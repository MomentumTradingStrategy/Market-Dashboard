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/>
  <mc:AlternateContent xmlns:mc="http://schemas.openxmlformats.org/markup-compatibility/2006">
    <mc:Choice Requires="x15">
      <x15ac:absPath xmlns:x15ac="http://schemas.microsoft.com/office/spreadsheetml/2010/11/ac" url="/Users/parislaundrychris/Desktop/"/>
    </mc:Choice>
  </mc:AlternateContent>
  <xr:revisionPtr revIDLastSave="0" documentId="13_ncr:1_{76B63211-41F4-7440-AD89-D3FF17FAAD38}" xr6:coauthVersionLast="47" xr6:coauthVersionMax="47" xr10:uidLastSave="{00000000-0000-0000-0000-000000000000}"/>
  <bookViews>
    <workbookView xWindow="3700" yWindow="14800" windowWidth="49720" windowHeight="25900" xr2:uid="{00000000-000D-0000-FFFF-FFFF00000000}"/>
  </bookViews>
  <sheets>
    <sheet name="Dashboard" sheetId="1" r:id="rId1"/>
    <sheet name="Data" sheetId="2" r:id="rId2"/>
    <sheet name="Pric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43" i="1" l="1"/>
  <c r="AA43" i="1"/>
  <c r="Z43" i="1"/>
  <c r="Y43" i="1"/>
  <c r="X43" i="1"/>
  <c r="C96" i="3" a="1"/>
  <c r="C96" i="3" s="1"/>
  <c r="C97" i="3" a="1"/>
  <c r="C97" i="3" s="1"/>
  <c r="C98" i="3" a="1"/>
  <c r="C98" i="3" s="1"/>
  <c r="C99" i="3" a="1"/>
  <c r="C99" i="3" s="1"/>
  <c r="C100" i="3" a="1"/>
  <c r="C100" i="3" s="1"/>
  <c r="C101" i="3" a="1"/>
  <c r="C101" i="3" s="1"/>
  <c r="C102" i="3" a="1"/>
  <c r="C102" i="3" s="1"/>
  <c r="C103" i="3" a="1"/>
  <c r="C103" i="3" s="1"/>
  <c r="C104" i="3" a="1"/>
  <c r="C104" i="3" s="1"/>
  <c r="C105" i="3" a="1"/>
  <c r="C105" i="3" s="1"/>
  <c r="C106" i="3" a="1"/>
  <c r="C106" i="3" s="1"/>
  <c r="C107" i="3" a="1"/>
  <c r="C107" i="3" s="1"/>
  <c r="C108" i="3" a="1"/>
  <c r="C108" i="3" s="1"/>
  <c r="C109" i="3" a="1"/>
  <c r="C109" i="3" s="1"/>
  <c r="C110" i="3" a="1"/>
  <c r="C110" i="3" s="1"/>
  <c r="C111" i="3" a="1"/>
  <c r="C111" i="3" s="1"/>
  <c r="C112" i="3" a="1"/>
  <c r="C112" i="3" s="1"/>
  <c r="C113" i="3" a="1"/>
  <c r="C113" i="3" s="1"/>
  <c r="C114" i="3" a="1"/>
  <c r="C114" i="3" s="1"/>
  <c r="C115" i="3" a="1"/>
  <c r="C115" i="3" s="1"/>
  <c r="C116" i="3" a="1"/>
  <c r="C116" i="3" s="1"/>
  <c r="C117" i="3" a="1"/>
  <c r="C117" i="3" s="1"/>
  <c r="C118" i="3" a="1"/>
  <c r="C118" i="3" s="1"/>
  <c r="C119" i="3" a="1"/>
  <c r="C119" i="3" s="1"/>
  <c r="C120" i="3" a="1"/>
  <c r="C120" i="3" s="1"/>
  <c r="C121" i="3" a="1"/>
  <c r="C121" i="3" s="1"/>
  <c r="C122" i="3" a="1"/>
  <c r="C122" i="3" s="1"/>
  <c r="C123" i="3" a="1"/>
  <c r="C123" i="3" s="1"/>
  <c r="C124" i="3" a="1"/>
  <c r="C124" i="3" s="1"/>
  <c r="C125" i="3" a="1"/>
  <c r="C125" i="3" s="1"/>
  <c r="C126" i="3" a="1"/>
  <c r="C126" i="3" s="1"/>
  <c r="C127" i="3" a="1"/>
  <c r="C127" i="3" s="1"/>
  <c r="C128" i="3" a="1"/>
  <c r="C128" i="3" s="1"/>
  <c r="C129" i="3" a="1"/>
  <c r="C129" i="3" s="1"/>
  <c r="C130" i="3" a="1"/>
  <c r="C130" i="3" s="1"/>
  <c r="C131" i="3" a="1"/>
  <c r="C131" i="3" s="1"/>
  <c r="C132" i="3" a="1"/>
  <c r="C132" i="3" s="1"/>
  <c r="C133" i="3" a="1"/>
  <c r="C133" i="3" s="1"/>
  <c r="C134" i="3" a="1"/>
  <c r="C134" i="3" s="1"/>
  <c r="C135" i="3" a="1"/>
  <c r="C135" i="3" s="1"/>
  <c r="C136" i="3" a="1"/>
  <c r="C136" i="3" s="1"/>
  <c r="C137" i="3" a="1"/>
  <c r="C137" i="3" s="1"/>
  <c r="C138" i="3" a="1"/>
  <c r="C138" i="3" s="1"/>
  <c r="C139" i="3" a="1"/>
  <c r="C139" i="3" s="1"/>
  <c r="C140" i="3" a="1"/>
  <c r="C140" i="3" s="1"/>
  <c r="C141" i="3" a="1"/>
  <c r="C141" i="3" s="1"/>
  <c r="C142" i="3" a="1"/>
  <c r="C142" i="3" s="1"/>
  <c r="C143" i="3" a="1"/>
  <c r="C143" i="3" s="1"/>
  <c r="C144" i="3" a="1"/>
  <c r="C144" i="3" s="1"/>
  <c r="C145" i="3" a="1"/>
  <c r="C145" i="3" s="1"/>
  <c r="C146" i="3" a="1"/>
  <c r="C146" i="3" s="1"/>
  <c r="C147" i="3" a="1"/>
  <c r="C147" i="3" s="1"/>
  <c r="C148" i="3" a="1"/>
  <c r="C148" i="3" s="1"/>
  <c r="C149" i="3" a="1"/>
  <c r="C149" i="3" s="1"/>
  <c r="C150" i="3" a="1"/>
  <c r="C150" i="3" s="1"/>
  <c r="C151" i="3" a="1"/>
  <c r="C151" i="3" s="1"/>
  <c r="C152" i="3" a="1"/>
  <c r="C152" i="3" s="1"/>
  <c r="C153" i="3" a="1"/>
  <c r="C153" i="3" s="1"/>
  <c r="C154" i="3" a="1"/>
  <c r="C154" i="3" s="1"/>
  <c r="C155" i="3" a="1"/>
  <c r="C155" i="3" s="1"/>
  <c r="C156" i="3" a="1"/>
  <c r="C156" i="3" s="1"/>
  <c r="C157" i="3" a="1"/>
  <c r="C157" i="3" s="1"/>
  <c r="C158" i="3" a="1"/>
  <c r="C158" i="3" s="1"/>
  <c r="C159" i="3" a="1"/>
  <c r="C159" i="3" s="1"/>
  <c r="C160" i="3" a="1"/>
  <c r="C160" i="3" s="1"/>
  <c r="C161" i="3" a="1"/>
  <c r="C161" i="3" s="1"/>
  <c r="B96" i="3" a="1"/>
  <c r="B96" i="3" s="1"/>
  <c r="D96" i="3" s="1" a="1"/>
  <c r="B97" i="3" a="1"/>
  <c r="B97" i="3" s="1"/>
  <c r="D97" i="3" s="1" a="1"/>
  <c r="B98" i="3" a="1"/>
  <c r="B98" i="3" s="1"/>
  <c r="D98" i="3" s="1" a="1"/>
  <c r="B99" i="3" a="1"/>
  <c r="B99" i="3" s="1"/>
  <c r="D99" i="3" s="1" a="1"/>
  <c r="B100" i="3" a="1"/>
  <c r="B100" i="3" s="1"/>
  <c r="D100" i="3" s="1" a="1"/>
  <c r="B101" i="3" a="1"/>
  <c r="B101" i="3" s="1"/>
  <c r="D101" i="3" s="1" a="1"/>
  <c r="B102" i="3" a="1"/>
  <c r="B102" i="3" s="1"/>
  <c r="D102" i="3" s="1" a="1"/>
  <c r="B103" i="3" a="1"/>
  <c r="B103" i="3" s="1"/>
  <c r="D103" i="3" s="1" a="1"/>
  <c r="B104" i="3" a="1"/>
  <c r="B104" i="3" s="1"/>
  <c r="D104" i="3" s="1" a="1"/>
  <c r="B105" i="3" a="1"/>
  <c r="B105" i="3" s="1"/>
  <c r="D105" i="3" s="1" a="1"/>
  <c r="B106" i="3" a="1"/>
  <c r="B106" i="3" s="1"/>
  <c r="D106" i="3" s="1" a="1"/>
  <c r="B107" i="3" a="1"/>
  <c r="B107" i="3" s="1"/>
  <c r="D107" i="3" s="1" a="1"/>
  <c r="D107" i="3" s="1"/>
  <c r="AC43" i="1" s="1"/>
  <c r="B108" i="3" a="1"/>
  <c r="B108" i="3" s="1"/>
  <c r="D108" i="3" s="1" a="1"/>
  <c r="B109" i="3" a="1"/>
  <c r="B109" i="3" s="1"/>
  <c r="D109" i="3" s="1" a="1"/>
  <c r="B110" i="3" a="1"/>
  <c r="B110" i="3" s="1"/>
  <c r="D110" i="3" s="1" a="1"/>
  <c r="B111" i="3" a="1"/>
  <c r="B111" i="3" s="1"/>
  <c r="D111" i="3" s="1" a="1"/>
  <c r="B112" i="3" a="1"/>
  <c r="B112" i="3" s="1"/>
  <c r="D112" i="3" s="1" a="1"/>
  <c r="B113" i="3" a="1"/>
  <c r="B113" i="3" s="1"/>
  <c r="D113" i="3" s="1" a="1"/>
  <c r="B114" i="3" a="1"/>
  <c r="B114" i="3" s="1"/>
  <c r="D114" i="3" s="1" a="1"/>
  <c r="B115" i="3" a="1"/>
  <c r="B115" i="3" s="1"/>
  <c r="D115" i="3" s="1" a="1"/>
  <c r="B116" i="3" a="1"/>
  <c r="B116" i="3" s="1"/>
  <c r="D116" i="3" s="1" a="1"/>
  <c r="B117" i="3" a="1"/>
  <c r="B117" i="3" s="1"/>
  <c r="D117" i="3" s="1" a="1"/>
  <c r="B118" i="3" a="1"/>
  <c r="B118" i="3" s="1"/>
  <c r="D118" i="3" s="1" a="1"/>
  <c r="B119" i="3" a="1"/>
  <c r="B119" i="3" s="1"/>
  <c r="D119" i="3" s="1" a="1"/>
  <c r="B120" i="3" a="1"/>
  <c r="B120" i="3" s="1"/>
  <c r="D120" i="3" s="1" a="1"/>
  <c r="B121" i="3" a="1"/>
  <c r="B121" i="3" s="1"/>
  <c r="D121" i="3" s="1" a="1"/>
  <c r="B122" i="3" a="1"/>
  <c r="B122" i="3" s="1"/>
  <c r="D122" i="3" s="1" a="1"/>
  <c r="B123" i="3" a="1"/>
  <c r="B123" i="3" s="1"/>
  <c r="D123" i="3" s="1" a="1"/>
  <c r="B124" i="3" a="1"/>
  <c r="B124" i="3" s="1"/>
  <c r="D124" i="3" s="1" a="1"/>
  <c r="B125" i="3" a="1"/>
  <c r="B125" i="3" s="1"/>
  <c r="D125" i="3" s="1" a="1"/>
  <c r="AB61" i="1" s="1"/>
  <c r="B126" i="3" a="1"/>
  <c r="B126" i="3" s="1"/>
  <c r="D126" i="3" s="1" a="1"/>
  <c r="B127" i="3" a="1"/>
  <c r="B127" i="3" s="1"/>
  <c r="D127" i="3" s="1" a="1"/>
  <c r="B128" i="3" a="1"/>
  <c r="B128" i="3" s="1"/>
  <c r="D128" i="3" s="1" a="1"/>
  <c r="B129" i="3" a="1"/>
  <c r="B129" i="3" s="1"/>
  <c r="D129" i="3" s="1" a="1"/>
  <c r="B130" i="3" a="1"/>
  <c r="B130" i="3" s="1"/>
  <c r="D130" i="3" s="1" a="1"/>
  <c r="B131" i="3" a="1"/>
  <c r="B131" i="3" s="1"/>
  <c r="D131" i="3" s="1" a="1"/>
  <c r="B132" i="3" a="1"/>
  <c r="B132" i="3" s="1"/>
  <c r="D132" i="3" s="1" a="1"/>
  <c r="B133" i="3" a="1"/>
  <c r="B133" i="3" s="1"/>
  <c r="D133" i="3" s="1" a="1"/>
  <c r="B134" i="3" a="1"/>
  <c r="B134" i="3" s="1"/>
  <c r="D134" i="3" s="1" a="1"/>
  <c r="B135" i="3" a="1"/>
  <c r="B135" i="3" s="1"/>
  <c r="D135" i="3" s="1" a="1"/>
  <c r="B136" i="3" a="1"/>
  <c r="B136" i="3" s="1"/>
  <c r="D136" i="3" s="1" a="1"/>
  <c r="B137" i="3" a="1"/>
  <c r="B137" i="3" s="1"/>
  <c r="D137" i="3" s="1" a="1"/>
  <c r="B138" i="3" a="1"/>
  <c r="B138" i="3" s="1"/>
  <c r="D138" i="3" s="1" a="1"/>
  <c r="B139" i="3" a="1"/>
  <c r="B139" i="3" s="1"/>
  <c r="D139" i="3" s="1" a="1"/>
  <c r="B140" i="3" a="1"/>
  <c r="B140" i="3" s="1"/>
  <c r="D140" i="3" s="1" a="1"/>
  <c r="B141" i="3" a="1"/>
  <c r="B141" i="3" s="1"/>
  <c r="D141" i="3" s="1" a="1"/>
  <c r="B142" i="3" a="1"/>
  <c r="B142" i="3" s="1"/>
  <c r="D142" i="3" s="1" a="1"/>
  <c r="B143" i="3" a="1"/>
  <c r="B143" i="3" s="1"/>
  <c r="D143" i="3" s="1" a="1"/>
  <c r="B144" i="3" a="1"/>
  <c r="B144" i="3" s="1"/>
  <c r="D144" i="3" s="1" a="1"/>
  <c r="B145" i="3" a="1"/>
  <c r="B145" i="3" s="1"/>
  <c r="D145" i="3" s="1" a="1"/>
  <c r="B146" i="3" a="1"/>
  <c r="B146" i="3" s="1"/>
  <c r="D146" i="3" s="1" a="1"/>
  <c r="B147" i="3" a="1"/>
  <c r="B147" i="3" s="1"/>
  <c r="D147" i="3" s="1" a="1"/>
  <c r="B148" i="3" a="1"/>
  <c r="B148" i="3" s="1"/>
  <c r="D148" i="3" s="1" a="1"/>
  <c r="B149" i="3" a="1"/>
  <c r="B149" i="3" s="1"/>
  <c r="D149" i="3" s="1" a="1"/>
  <c r="B150" i="3" a="1"/>
  <c r="B150" i="3" s="1"/>
  <c r="D150" i="3" s="1" a="1"/>
  <c r="B151" i="3" a="1"/>
  <c r="B151" i="3" s="1"/>
  <c r="D151" i="3" s="1" a="1"/>
  <c r="B152" i="3" a="1"/>
  <c r="B152" i="3" s="1"/>
  <c r="D152" i="3" s="1" a="1"/>
  <c r="B153" i="3" a="1"/>
  <c r="B153" i="3" s="1"/>
  <c r="D153" i="3" s="1" a="1"/>
  <c r="B154" i="3" a="1"/>
  <c r="B154" i="3" s="1"/>
  <c r="D154" i="3" s="1" a="1"/>
  <c r="B155" i="3" a="1"/>
  <c r="B155" i="3" s="1"/>
  <c r="D155" i="3" s="1" a="1"/>
  <c r="B156" i="3" a="1"/>
  <c r="B156" i="3" s="1"/>
  <c r="D156" i="3" s="1" a="1"/>
  <c r="B157" i="3" a="1"/>
  <c r="B157" i="3" s="1"/>
  <c r="D157" i="3" s="1" a="1"/>
  <c r="B158" i="3" a="1"/>
  <c r="B158" i="3" s="1"/>
  <c r="D158" i="3" s="1" a="1"/>
  <c r="B159" i="3" a="1"/>
  <c r="B159" i="3" s="1"/>
  <c r="D159" i="3" s="1" a="1"/>
  <c r="B160" i="3" a="1"/>
  <c r="B160" i="3" s="1"/>
  <c r="D160" i="3" s="1" a="1"/>
  <c r="B161" i="3" a="1"/>
  <c r="B161" i="3" s="1"/>
  <c r="D161" i="3" s="1" a="1"/>
  <c r="C96" i="2" a="1"/>
  <c r="C96" i="2" s="1"/>
  <c r="Q32" i="1" s="1"/>
  <c r="C97" i="2" a="1"/>
  <c r="C97" i="2" s="1"/>
  <c r="Q33" i="1" s="1"/>
  <c r="C98" i="2" a="1"/>
  <c r="C98" i="2" s="1"/>
  <c r="Q34" i="1" s="1"/>
  <c r="C99" i="2" a="1"/>
  <c r="C99" i="2" s="1"/>
  <c r="Q35" i="1" s="1"/>
  <c r="C100" i="2" a="1"/>
  <c r="C100" i="2" s="1"/>
  <c r="Q36" i="1" s="1"/>
  <c r="C101" i="2" a="1"/>
  <c r="C101" i="2" s="1"/>
  <c r="Q37" i="1" s="1"/>
  <c r="C102" i="2" a="1"/>
  <c r="C102" i="2" s="1"/>
  <c r="Q38" i="1" s="1"/>
  <c r="C103" i="2" a="1"/>
  <c r="C103" i="2" s="1"/>
  <c r="Q39" i="1" s="1"/>
  <c r="C104" i="2" a="1"/>
  <c r="C104" i="2" s="1"/>
  <c r="Q40" i="1" s="1"/>
  <c r="C105" i="2" a="1"/>
  <c r="C105" i="2" s="1"/>
  <c r="Q41" i="1" s="1"/>
  <c r="C106" i="2" a="1"/>
  <c r="C106" i="2" s="1"/>
  <c r="Q42" i="1" s="1"/>
  <c r="C107" i="2" a="1"/>
  <c r="C107" i="2" s="1"/>
  <c r="Q43" i="1" s="1"/>
  <c r="C108" i="2" a="1"/>
  <c r="C108" i="2" s="1"/>
  <c r="Q44" i="1" s="1"/>
  <c r="C109" i="2" a="1"/>
  <c r="C109" i="2" s="1"/>
  <c r="Q45" i="1" s="1"/>
  <c r="C110" i="2" a="1"/>
  <c r="C110" i="2" s="1"/>
  <c r="Q46" i="1" s="1"/>
  <c r="C111" i="2" a="1"/>
  <c r="C111" i="2" s="1"/>
  <c r="Q47" i="1" s="1"/>
  <c r="C112" i="2" a="1"/>
  <c r="C112" i="2" s="1"/>
  <c r="Q48" i="1" s="1"/>
  <c r="C113" i="2" a="1"/>
  <c r="C113" i="2" s="1"/>
  <c r="Q49" i="1" s="1"/>
  <c r="C114" i="2" a="1"/>
  <c r="C114" i="2" s="1"/>
  <c r="Q50" i="1" s="1"/>
  <c r="C115" i="2" a="1"/>
  <c r="C115" i="2" s="1"/>
  <c r="Q51" i="1" s="1"/>
  <c r="C116" i="2" a="1"/>
  <c r="C116" i="2" s="1"/>
  <c r="Q52" i="1" s="1"/>
  <c r="C117" i="2" a="1"/>
  <c r="C117" i="2" s="1"/>
  <c r="Q53" i="1" s="1"/>
  <c r="C118" i="2" a="1"/>
  <c r="C118" i="2" s="1"/>
  <c r="Q54" i="1" s="1"/>
  <c r="C119" i="2" a="1"/>
  <c r="C119" i="2" s="1"/>
  <c r="Q55" i="1" s="1"/>
  <c r="C120" i="2" a="1"/>
  <c r="C120" i="2" s="1"/>
  <c r="Q56" i="1" s="1"/>
  <c r="C121" i="2" a="1"/>
  <c r="C121" i="2" s="1"/>
  <c r="Q57" i="1" s="1"/>
  <c r="C122" i="2" a="1"/>
  <c r="C122" i="2" s="1"/>
  <c r="Q58" i="1" s="1"/>
  <c r="C123" i="2" a="1"/>
  <c r="C123" i="2" s="1"/>
  <c r="Q59" i="1" s="1"/>
  <c r="C124" i="2" a="1"/>
  <c r="C124" i="2" s="1"/>
  <c r="Q60" i="1" s="1"/>
  <c r="C125" i="2" a="1"/>
  <c r="C125" i="2" s="1"/>
  <c r="Q61" i="1" s="1"/>
  <c r="C126" i="2" a="1"/>
  <c r="C126" i="2" s="1"/>
  <c r="Q62" i="1" s="1"/>
  <c r="C127" i="2" a="1"/>
  <c r="C127" i="2" s="1"/>
  <c r="Q63" i="1" s="1"/>
  <c r="C128" i="2" a="1"/>
  <c r="C128" i="2" s="1"/>
  <c r="Q64" i="1" s="1"/>
  <c r="C129" i="2" a="1"/>
  <c r="C129" i="2" s="1"/>
  <c r="Q65" i="1" s="1"/>
  <c r="C130" i="2" a="1"/>
  <c r="C130" i="2" s="1"/>
  <c r="Q66" i="1" s="1"/>
  <c r="C131" i="2" a="1"/>
  <c r="C131" i="2" s="1"/>
  <c r="Q67" i="1" s="1"/>
  <c r="C132" i="2" a="1"/>
  <c r="C132" i="2" s="1"/>
  <c r="Q68" i="1" s="1"/>
  <c r="C133" i="2" a="1"/>
  <c r="C133" i="2" s="1"/>
  <c r="Q69" i="1" s="1"/>
  <c r="C134" i="2" a="1"/>
  <c r="C134" i="2" s="1"/>
  <c r="Q70" i="1" s="1"/>
  <c r="C135" i="2" a="1"/>
  <c r="C135" i="2" s="1"/>
  <c r="Q71" i="1" s="1"/>
  <c r="C136" i="2" a="1"/>
  <c r="C136" i="2" s="1"/>
  <c r="Q72" i="1" s="1"/>
  <c r="C137" i="2" a="1"/>
  <c r="C137" i="2" s="1"/>
  <c r="Q73" i="1" s="1"/>
  <c r="C138" i="2" a="1"/>
  <c r="C138" i="2" s="1"/>
  <c r="Q74" i="1" s="1"/>
  <c r="C139" i="2" a="1"/>
  <c r="C139" i="2" s="1"/>
  <c r="Q75" i="1" s="1"/>
  <c r="C140" i="2" a="1"/>
  <c r="C140" i="2" s="1"/>
  <c r="Q76" i="1" s="1"/>
  <c r="C141" i="2" a="1"/>
  <c r="C141" i="2" s="1"/>
  <c r="Q77" i="1" s="1"/>
  <c r="C142" i="2" a="1"/>
  <c r="C142" i="2" s="1"/>
  <c r="Q78" i="1" s="1"/>
  <c r="C143" i="2" a="1"/>
  <c r="C143" i="2" s="1"/>
  <c r="Q79" i="1" s="1"/>
  <c r="C144" i="2" a="1"/>
  <c r="C144" i="2" s="1"/>
  <c r="Q80" i="1" s="1"/>
  <c r="C145" i="2" a="1"/>
  <c r="C145" i="2" s="1"/>
  <c r="Q81" i="1" s="1"/>
  <c r="C146" i="2" a="1"/>
  <c r="C146" i="2" s="1"/>
  <c r="Q82" i="1" s="1"/>
  <c r="C147" i="2" a="1"/>
  <c r="C147" i="2" s="1"/>
  <c r="Q83" i="1" s="1"/>
  <c r="C148" i="2" a="1"/>
  <c r="C148" i="2" s="1"/>
  <c r="Q84" i="1" s="1"/>
  <c r="C149" i="2" a="1"/>
  <c r="C149" i="2" s="1"/>
  <c r="Q85" i="1" s="1"/>
  <c r="C150" i="2" a="1"/>
  <c r="C150" i="2" s="1"/>
  <c r="Q86" i="1" s="1"/>
  <c r="C151" i="2" a="1"/>
  <c r="C151" i="2" s="1"/>
  <c r="Q87" i="1" s="1"/>
  <c r="C152" i="2" a="1"/>
  <c r="C152" i="2" s="1"/>
  <c r="Q88" i="1" s="1"/>
  <c r="C153" i="2" a="1"/>
  <c r="C153" i="2" s="1"/>
  <c r="Q89" i="1" s="1"/>
  <c r="C154" i="2" a="1"/>
  <c r="C154" i="2" s="1"/>
  <c r="Q90" i="1" s="1"/>
  <c r="C155" i="2" a="1"/>
  <c r="C155" i="2" s="1"/>
  <c r="Q91" i="1" s="1"/>
  <c r="C156" i="2" a="1"/>
  <c r="C156" i="2" s="1"/>
  <c r="Q92" i="1" s="1"/>
  <c r="C157" i="2" a="1"/>
  <c r="C157" i="2" s="1"/>
  <c r="Q93" i="1" s="1"/>
  <c r="C158" i="2" a="1"/>
  <c r="C158" i="2" s="1"/>
  <c r="Q94" i="1" s="1"/>
  <c r="C159" i="2" a="1"/>
  <c r="C159" i="2" s="1"/>
  <c r="Q95" i="1" s="1"/>
  <c r="C160" i="2" a="1"/>
  <c r="C160" i="2" s="1"/>
  <c r="Q96" i="1" s="1"/>
  <c r="C161" i="2" a="1"/>
  <c r="C161" i="2" s="1"/>
  <c r="Q97" i="1" s="1"/>
  <c r="B96" i="2" a="1"/>
  <c r="B96" i="2" s="1"/>
  <c r="D96" i="2" s="1" a="1"/>
  <c r="B97" i="2" a="1"/>
  <c r="B97" i="2" s="1"/>
  <c r="D97" i="2" s="1" a="1"/>
  <c r="B98" i="2" a="1"/>
  <c r="B98" i="2" s="1"/>
  <c r="D98" i="2" s="1" a="1"/>
  <c r="B99" i="2" a="1"/>
  <c r="B99" i="2" s="1"/>
  <c r="D99" i="2" s="1" a="1"/>
  <c r="B100" i="2" a="1"/>
  <c r="B100" i="2" s="1"/>
  <c r="D100" i="2" s="1" a="1"/>
  <c r="B101" i="2" a="1"/>
  <c r="B101" i="2" s="1"/>
  <c r="D101" i="2" s="1" a="1"/>
  <c r="B102" i="2" a="1"/>
  <c r="B102" i="2" s="1"/>
  <c r="D102" i="2" s="1" a="1"/>
  <c r="B103" i="2" a="1"/>
  <c r="B103" i="2" s="1"/>
  <c r="D103" i="2" s="1" a="1"/>
  <c r="B104" i="2" a="1"/>
  <c r="B104" i="2" s="1"/>
  <c r="D104" i="2" s="1" a="1"/>
  <c r="B105" i="2" a="1"/>
  <c r="B105" i="2" s="1"/>
  <c r="D105" i="2" s="1" a="1"/>
  <c r="B106" i="2" a="1"/>
  <c r="B106" i="2" s="1"/>
  <c r="D106" i="2" s="1" a="1"/>
  <c r="B107" i="2" a="1"/>
  <c r="B107" i="2" s="1"/>
  <c r="D107" i="2" s="1" a="1"/>
  <c r="B108" i="2" a="1"/>
  <c r="B108" i="2" s="1"/>
  <c r="D108" i="2" s="1" a="1"/>
  <c r="B109" i="2" a="1"/>
  <c r="B109" i="2" s="1"/>
  <c r="D109" i="2" s="1" a="1"/>
  <c r="B110" i="2" a="1"/>
  <c r="B110" i="2" s="1"/>
  <c r="D110" i="2" s="1" a="1"/>
  <c r="B111" i="2" a="1"/>
  <c r="B111" i="2" s="1"/>
  <c r="D111" i="2" s="1" a="1"/>
  <c r="B112" i="2" a="1"/>
  <c r="B112" i="2" s="1"/>
  <c r="D112" i="2" s="1" a="1"/>
  <c r="B113" i="2" a="1"/>
  <c r="B113" i="2" s="1"/>
  <c r="D113" i="2" s="1" a="1"/>
  <c r="B114" i="2" a="1"/>
  <c r="B114" i="2" s="1"/>
  <c r="D114" i="2" s="1" a="1"/>
  <c r="B115" i="2" a="1"/>
  <c r="B115" i="2" s="1"/>
  <c r="D115" i="2" s="1" a="1"/>
  <c r="B116" i="2" a="1"/>
  <c r="B116" i="2" s="1"/>
  <c r="D116" i="2" s="1" a="1"/>
  <c r="B117" i="2" a="1"/>
  <c r="B117" i="2" s="1"/>
  <c r="D117" i="2" s="1" a="1"/>
  <c r="B118" i="2" a="1"/>
  <c r="B118" i="2" s="1"/>
  <c r="D118" i="2" s="1" a="1"/>
  <c r="B119" i="2" a="1"/>
  <c r="B119" i="2" s="1"/>
  <c r="D119" i="2" s="1" a="1"/>
  <c r="B120" i="2" a="1"/>
  <c r="B120" i="2" s="1"/>
  <c r="D120" i="2" s="1" a="1"/>
  <c r="B121" i="2" a="1"/>
  <c r="B121" i="2" s="1"/>
  <c r="D121" i="2" s="1" a="1"/>
  <c r="B122" i="2" a="1"/>
  <c r="B122" i="2" s="1"/>
  <c r="D122" i="2" s="1" a="1"/>
  <c r="B123" i="2" a="1"/>
  <c r="B123" i="2" s="1"/>
  <c r="D123" i="2" s="1" a="1"/>
  <c r="B124" i="2" a="1"/>
  <c r="B124" i="2" s="1"/>
  <c r="D124" i="2" s="1" a="1"/>
  <c r="B125" i="2" a="1"/>
  <c r="B125" i="2" s="1"/>
  <c r="D125" i="2" s="1" a="1"/>
  <c r="B126" i="2" a="1"/>
  <c r="B126" i="2" s="1"/>
  <c r="D126" i="2" s="1" a="1"/>
  <c r="B127" i="2" a="1"/>
  <c r="B127" i="2" s="1"/>
  <c r="D127" i="2" s="1" a="1"/>
  <c r="B128" i="2" a="1"/>
  <c r="B128" i="2" s="1"/>
  <c r="D128" i="2" s="1" a="1"/>
  <c r="B129" i="2" a="1"/>
  <c r="B129" i="2" s="1"/>
  <c r="D129" i="2" s="1" a="1"/>
  <c r="B130" i="2" a="1"/>
  <c r="B130" i="2" s="1"/>
  <c r="D130" i="2" s="1" a="1"/>
  <c r="B131" i="2" a="1"/>
  <c r="B131" i="2" s="1"/>
  <c r="D131" i="2" s="1" a="1"/>
  <c r="B132" i="2" a="1"/>
  <c r="B132" i="2" s="1"/>
  <c r="D132" i="2" s="1" a="1"/>
  <c r="B133" i="2" a="1"/>
  <c r="B133" i="2" s="1"/>
  <c r="D133" i="2" s="1" a="1"/>
  <c r="B134" i="2" a="1"/>
  <c r="B134" i="2" s="1"/>
  <c r="D134" i="2" s="1" a="1"/>
  <c r="B135" i="2" a="1"/>
  <c r="B135" i="2" s="1"/>
  <c r="D135" i="2" s="1" a="1"/>
  <c r="B136" i="2" a="1"/>
  <c r="B136" i="2" s="1"/>
  <c r="D136" i="2" s="1" a="1"/>
  <c r="B137" i="2" a="1"/>
  <c r="B137" i="2" s="1"/>
  <c r="D137" i="2" s="1" a="1"/>
  <c r="B138" i="2" a="1"/>
  <c r="B138" i="2" s="1"/>
  <c r="D138" i="2" s="1" a="1"/>
  <c r="B139" i="2" a="1"/>
  <c r="B139" i="2" s="1"/>
  <c r="D139" i="2" s="1" a="1"/>
  <c r="B140" i="2" a="1"/>
  <c r="B140" i="2" s="1"/>
  <c r="D140" i="2" s="1" a="1"/>
  <c r="B141" i="2" a="1"/>
  <c r="B141" i="2" s="1"/>
  <c r="D141" i="2" s="1" a="1"/>
  <c r="B142" i="2" a="1"/>
  <c r="B142" i="2" s="1"/>
  <c r="D142" i="2" s="1" a="1"/>
  <c r="B143" i="2" a="1"/>
  <c r="B143" i="2" s="1"/>
  <c r="D143" i="2" s="1" a="1"/>
  <c r="B144" i="2" a="1"/>
  <c r="B144" i="2" s="1"/>
  <c r="D144" i="2" s="1" a="1"/>
  <c r="B145" i="2" a="1"/>
  <c r="B145" i="2" s="1"/>
  <c r="D145" i="2" s="1" a="1"/>
  <c r="B146" i="2" a="1"/>
  <c r="B146" i="2" s="1"/>
  <c r="D146" i="2" s="1" a="1"/>
  <c r="B147" i="2" a="1"/>
  <c r="B147" i="2" s="1"/>
  <c r="D147" i="2" s="1" a="1"/>
  <c r="B148" i="2" a="1"/>
  <c r="B148" i="2" s="1"/>
  <c r="D148" i="2" s="1" a="1"/>
  <c r="B149" i="2" a="1"/>
  <c r="B149" i="2" s="1"/>
  <c r="D149" i="2" s="1" a="1"/>
  <c r="B150" i="2" a="1"/>
  <c r="B150" i="2" s="1"/>
  <c r="D150" i="2" s="1" a="1"/>
  <c r="B151" i="2" a="1"/>
  <c r="B151" i="2" s="1"/>
  <c r="D151" i="2" s="1" a="1"/>
  <c r="B152" i="2" a="1"/>
  <c r="B152" i="2" s="1"/>
  <c r="D152" i="2" s="1" a="1"/>
  <c r="B153" i="2" a="1"/>
  <c r="B153" i="2" s="1"/>
  <c r="D153" i="2" s="1" a="1"/>
  <c r="B154" i="2" a="1"/>
  <c r="B154" i="2" s="1"/>
  <c r="D154" i="2" s="1" a="1"/>
  <c r="B155" i="2" a="1"/>
  <c r="B155" i="2" s="1"/>
  <c r="D155" i="2" s="1" a="1"/>
  <c r="B156" i="2" a="1"/>
  <c r="B156" i="2" s="1"/>
  <c r="D156" i="2" s="1" a="1"/>
  <c r="B157" i="2" a="1"/>
  <c r="B157" i="2" s="1"/>
  <c r="D157" i="2" s="1" a="1"/>
  <c r="B158" i="2" a="1"/>
  <c r="B158" i="2" s="1"/>
  <c r="D158" i="2" s="1" a="1"/>
  <c r="B159" i="2" a="1"/>
  <c r="B159" i="2" s="1"/>
  <c r="D159" i="2" s="1" a="1"/>
  <c r="B160" i="2" a="1"/>
  <c r="B160" i="2" s="1"/>
  <c r="D160" i="2" s="1" a="1"/>
  <c r="B161" i="2" a="1"/>
  <c r="B161" i="2" s="1"/>
  <c r="D161" i="2" s="1" a="1"/>
  <c r="C95" i="3" a="1"/>
  <c r="C95" i="3" s="1"/>
  <c r="B95" i="3" a="1"/>
  <c r="B95" i="3" s="1"/>
  <c r="D95" i="3" s="1" a="1"/>
  <c r="C94" i="3" a="1"/>
  <c r="C94" i="3" s="1"/>
  <c r="B94" i="3" a="1"/>
  <c r="B94" i="3" s="1"/>
  <c r="D94" i="3" s="1" a="1"/>
  <c r="C93" i="3" a="1"/>
  <c r="C93" i="3" s="1"/>
  <c r="B93" i="3" a="1"/>
  <c r="B93" i="3" s="1"/>
  <c r="D93" i="3" s="1" a="1"/>
  <c r="C92" i="3" a="1"/>
  <c r="C92" i="3" s="1"/>
  <c r="B92" i="3" a="1"/>
  <c r="B92" i="3" s="1"/>
  <c r="D92" i="3" s="1" a="1"/>
  <c r="C91" i="3" a="1"/>
  <c r="C91" i="3" s="1"/>
  <c r="B91" i="3" a="1"/>
  <c r="B91" i="3" s="1"/>
  <c r="D91" i="3" s="1" a="1"/>
  <c r="C90" i="3" a="1"/>
  <c r="C90" i="3" s="1"/>
  <c r="B90" i="3" a="1"/>
  <c r="B90" i="3" s="1"/>
  <c r="D90" i="3" s="1" a="1"/>
  <c r="C89" i="3" a="1"/>
  <c r="C89" i="3" s="1"/>
  <c r="B89" i="3" a="1"/>
  <c r="B89" i="3" s="1"/>
  <c r="D89" i="3" s="1" a="1"/>
  <c r="C88" i="3" a="1"/>
  <c r="C88" i="3" s="1"/>
  <c r="B88" i="3" a="1"/>
  <c r="B88" i="3" s="1"/>
  <c r="D88" i="3" s="1" a="1"/>
  <c r="C87" i="3" a="1"/>
  <c r="C87" i="3" s="1"/>
  <c r="B87" i="3" a="1"/>
  <c r="B87" i="3" s="1"/>
  <c r="D87" i="3" s="1" a="1"/>
  <c r="C86" i="3" a="1"/>
  <c r="C86" i="3" s="1"/>
  <c r="B86" i="3" a="1"/>
  <c r="B86" i="3" s="1"/>
  <c r="D86" i="3" s="1" a="1"/>
  <c r="C85" i="3" a="1"/>
  <c r="C85" i="3" s="1"/>
  <c r="B85" i="3" a="1"/>
  <c r="B85" i="3" s="1"/>
  <c r="D85" i="3" s="1" a="1"/>
  <c r="C84" i="3" a="1"/>
  <c r="C84" i="3" s="1"/>
  <c r="B84" i="3" a="1"/>
  <c r="B84" i="3" s="1"/>
  <c r="D84" i="3" s="1" a="1"/>
  <c r="C83" i="3" a="1"/>
  <c r="C83" i="3" s="1"/>
  <c r="B83" i="3" a="1"/>
  <c r="B83" i="3" s="1"/>
  <c r="D83" i="3" s="1" a="1"/>
  <c r="C82" i="3" a="1"/>
  <c r="C82" i="3" s="1"/>
  <c r="B82" i="3" a="1"/>
  <c r="B82" i="3" s="1"/>
  <c r="D82" i="3" s="1" a="1"/>
  <c r="C81" i="3" a="1"/>
  <c r="C81" i="3" s="1"/>
  <c r="B81" i="3" a="1"/>
  <c r="B81" i="3" s="1"/>
  <c r="D81" i="3" s="1" a="1"/>
  <c r="C80" i="3" a="1"/>
  <c r="C80" i="3" s="1"/>
  <c r="B80" i="3" a="1"/>
  <c r="B80" i="3" s="1"/>
  <c r="D80" i="3" s="1" a="1"/>
  <c r="C79" i="3" a="1"/>
  <c r="C79" i="3" s="1"/>
  <c r="B79" i="3" a="1"/>
  <c r="B79" i="3" s="1"/>
  <c r="D79" i="3" s="1" a="1"/>
  <c r="C78" i="3" a="1"/>
  <c r="C78" i="3" s="1"/>
  <c r="B78" i="3" a="1"/>
  <c r="B78" i="3" s="1"/>
  <c r="D78" i="3" s="1" a="1"/>
  <c r="C77" i="3" a="1"/>
  <c r="C77" i="3" s="1"/>
  <c r="B77" i="3" a="1"/>
  <c r="B77" i="3" s="1"/>
  <c r="D77" i="3" s="1" a="1"/>
  <c r="C76" i="3" a="1"/>
  <c r="C76" i="3" s="1"/>
  <c r="B76" i="3" a="1"/>
  <c r="B76" i="3" s="1"/>
  <c r="D76" i="3" s="1" a="1"/>
  <c r="C75" i="3" a="1"/>
  <c r="C75" i="3" s="1"/>
  <c r="B75" i="3" a="1"/>
  <c r="B75" i="3" s="1"/>
  <c r="D75" i="3" s="1" a="1"/>
  <c r="C74" i="3" a="1"/>
  <c r="C74" i="3" s="1"/>
  <c r="B74" i="3" a="1"/>
  <c r="B74" i="3" s="1"/>
  <c r="D74" i="3" s="1" a="1"/>
  <c r="C73" i="3" a="1"/>
  <c r="C73" i="3" s="1"/>
  <c r="B73" i="3" a="1"/>
  <c r="B73" i="3" s="1"/>
  <c r="D73" i="3" s="1" a="1"/>
  <c r="C72" i="3" a="1"/>
  <c r="C72" i="3" s="1"/>
  <c r="B72" i="3" a="1"/>
  <c r="B72" i="3" s="1"/>
  <c r="D72" i="3" s="1" a="1"/>
  <c r="C71" i="3" a="1"/>
  <c r="C71" i="3" s="1"/>
  <c r="B71" i="3" a="1"/>
  <c r="B71" i="3" s="1"/>
  <c r="D71" i="3" s="1" a="1"/>
  <c r="C70" i="3" a="1"/>
  <c r="C70" i="3" s="1"/>
  <c r="B70" i="3" a="1"/>
  <c r="B70" i="3" s="1"/>
  <c r="D70" i="3" s="1" a="1"/>
  <c r="C69" i="3" a="1"/>
  <c r="C69" i="3" s="1"/>
  <c r="B69" i="3" a="1"/>
  <c r="B69" i="3" s="1"/>
  <c r="D69" i="3" s="1" a="1"/>
  <c r="C68" i="3" a="1"/>
  <c r="C68" i="3" s="1"/>
  <c r="B68" i="3" a="1"/>
  <c r="B68" i="3" s="1"/>
  <c r="D68" i="3" s="1" a="1"/>
  <c r="C67" i="3" a="1"/>
  <c r="C67" i="3" s="1"/>
  <c r="B67" i="3" a="1"/>
  <c r="B67" i="3" s="1"/>
  <c r="D67" i="3" s="1" a="1"/>
  <c r="C66" i="3" a="1"/>
  <c r="C66" i="3" s="1"/>
  <c r="B66" i="3" a="1"/>
  <c r="B66" i="3" s="1"/>
  <c r="D66" i="3" s="1" a="1"/>
  <c r="C65" i="3" a="1"/>
  <c r="C65" i="3" s="1"/>
  <c r="B65" i="3" a="1"/>
  <c r="B65" i="3" s="1"/>
  <c r="D65" i="3" s="1" a="1"/>
  <c r="C64" i="3" a="1"/>
  <c r="C64" i="3" s="1"/>
  <c r="B64" i="3" a="1"/>
  <c r="B64" i="3" s="1"/>
  <c r="D64" i="3" s="1" a="1"/>
  <c r="C63" i="3" a="1"/>
  <c r="C63" i="3" s="1"/>
  <c r="B63" i="3" a="1"/>
  <c r="B63" i="3" s="1"/>
  <c r="D63" i="3" s="1" a="1"/>
  <c r="C62" i="3" a="1"/>
  <c r="C62" i="3" s="1"/>
  <c r="B62" i="3" a="1"/>
  <c r="B62" i="3" s="1"/>
  <c r="D62" i="3" s="1" a="1"/>
  <c r="C61" i="3" a="1"/>
  <c r="C61" i="3" s="1"/>
  <c r="B61" i="3" a="1"/>
  <c r="B61" i="3" s="1"/>
  <c r="D61" i="3" s="1" a="1"/>
  <c r="C60" i="3" a="1"/>
  <c r="C60" i="3" s="1"/>
  <c r="B60" i="3" a="1"/>
  <c r="B60" i="3" s="1"/>
  <c r="D60" i="3" s="1" a="1"/>
  <c r="C59" i="3" a="1"/>
  <c r="C59" i="3" s="1"/>
  <c r="B59" i="3" a="1"/>
  <c r="B59" i="3" s="1"/>
  <c r="D59" i="3" s="1" a="1"/>
  <c r="C58" i="3" a="1"/>
  <c r="C58" i="3" s="1"/>
  <c r="B58" i="3" a="1"/>
  <c r="B58" i="3" s="1"/>
  <c r="D58" i="3" s="1" a="1"/>
  <c r="C57" i="3" a="1"/>
  <c r="C57" i="3" s="1"/>
  <c r="B57" i="3" a="1"/>
  <c r="B57" i="3" s="1"/>
  <c r="D57" i="3" s="1" a="1"/>
  <c r="C56" i="3" a="1"/>
  <c r="C56" i="3" s="1"/>
  <c r="B56" i="3" a="1"/>
  <c r="B56" i="3" s="1"/>
  <c r="D56" i="3" s="1" a="1"/>
  <c r="C55" i="3" a="1"/>
  <c r="C55" i="3" s="1"/>
  <c r="B55" i="3" a="1"/>
  <c r="B55" i="3" s="1"/>
  <c r="D55" i="3" s="1" a="1"/>
  <c r="C54" i="3" a="1"/>
  <c r="C54" i="3" s="1"/>
  <c r="B54" i="3" a="1"/>
  <c r="B54" i="3" s="1"/>
  <c r="D54" i="3" s="1" a="1"/>
  <c r="C53" i="3" a="1"/>
  <c r="C53" i="3" s="1"/>
  <c r="B53" i="3" a="1"/>
  <c r="B53" i="3" s="1"/>
  <c r="D53" i="3" s="1" a="1"/>
  <c r="C52" i="3" a="1"/>
  <c r="C52" i="3" s="1"/>
  <c r="B52" i="3" a="1"/>
  <c r="B52" i="3" s="1"/>
  <c r="D52" i="3" s="1" a="1"/>
  <c r="C51" i="3" a="1"/>
  <c r="C51" i="3" s="1"/>
  <c r="B51" i="3" a="1"/>
  <c r="B51" i="3" s="1"/>
  <c r="D51" i="3" s="1" a="1"/>
  <c r="C50" i="3" a="1"/>
  <c r="C50" i="3" s="1"/>
  <c r="B50" i="3" a="1"/>
  <c r="B50" i="3" s="1"/>
  <c r="D50" i="3" s="1" a="1"/>
  <c r="C49" i="3" a="1"/>
  <c r="C49" i="3" s="1"/>
  <c r="B49" i="3" a="1"/>
  <c r="B49" i="3" s="1"/>
  <c r="D49" i="3" s="1" a="1"/>
  <c r="C48" i="3" a="1"/>
  <c r="C48" i="3" s="1"/>
  <c r="B48" i="3" a="1"/>
  <c r="B48" i="3" s="1"/>
  <c r="D48" i="3" s="1" a="1"/>
  <c r="C47" i="3" a="1"/>
  <c r="C47" i="3" s="1"/>
  <c r="B47" i="3" a="1"/>
  <c r="B47" i="3" s="1"/>
  <c r="D47" i="3" s="1" a="1"/>
  <c r="C46" i="3" a="1"/>
  <c r="C46" i="3" s="1"/>
  <c r="B46" i="3" a="1"/>
  <c r="B46" i="3" s="1"/>
  <c r="D46" i="3" s="1" a="1"/>
  <c r="C45" i="3" a="1"/>
  <c r="C45" i="3" s="1"/>
  <c r="B45" i="3" a="1"/>
  <c r="B45" i="3" s="1"/>
  <c r="D45" i="3" s="1" a="1"/>
  <c r="C44" i="3" a="1"/>
  <c r="C44" i="3" s="1"/>
  <c r="B44" i="3" a="1"/>
  <c r="B44" i="3" s="1"/>
  <c r="D44" i="3" s="1" a="1"/>
  <c r="C43" i="3" a="1"/>
  <c r="C43" i="3" s="1"/>
  <c r="B43" i="3" a="1"/>
  <c r="B43" i="3" s="1"/>
  <c r="D43" i="3" s="1" a="1"/>
  <c r="C42" i="3" a="1"/>
  <c r="C42" i="3" s="1"/>
  <c r="B42" i="3" a="1"/>
  <c r="B42" i="3" s="1"/>
  <c r="D42" i="3" s="1" a="1"/>
  <c r="C41" i="3" a="1"/>
  <c r="C41" i="3" s="1"/>
  <c r="B41" i="3" a="1"/>
  <c r="B41" i="3" s="1"/>
  <c r="D41" i="3" s="1" a="1"/>
  <c r="C40" i="3" a="1"/>
  <c r="C40" i="3" s="1"/>
  <c r="B40" i="3" a="1"/>
  <c r="B40" i="3" s="1"/>
  <c r="D40" i="3" s="1" a="1"/>
  <c r="C39" i="3" a="1"/>
  <c r="C39" i="3" s="1"/>
  <c r="B39" i="3" a="1"/>
  <c r="B39" i="3" s="1"/>
  <c r="D39" i="3" s="1" a="1"/>
  <c r="C38" i="3" a="1"/>
  <c r="C38" i="3" s="1"/>
  <c r="B38" i="3" a="1"/>
  <c r="B38" i="3" s="1"/>
  <c r="D38" i="3" s="1" a="1"/>
  <c r="C37" i="3" a="1"/>
  <c r="C37" i="3" s="1"/>
  <c r="B37" i="3" a="1"/>
  <c r="B37" i="3" s="1"/>
  <c r="D37" i="3" s="1" a="1"/>
  <c r="C36" i="3" a="1"/>
  <c r="C36" i="3" s="1"/>
  <c r="B36" i="3" a="1"/>
  <c r="B36" i="3" s="1"/>
  <c r="D36" i="3" s="1" a="1"/>
  <c r="C35" i="3" a="1"/>
  <c r="C35" i="3" s="1"/>
  <c r="B35" i="3" a="1"/>
  <c r="B35" i="3" s="1"/>
  <c r="D35" i="3" s="1" a="1"/>
  <c r="C34" i="3" a="1"/>
  <c r="C34" i="3" s="1"/>
  <c r="B34" i="3" a="1"/>
  <c r="B34" i="3" s="1"/>
  <c r="D34" i="3" s="1" a="1"/>
  <c r="C33" i="3" a="1"/>
  <c r="C33" i="3" s="1"/>
  <c r="B33" i="3" a="1"/>
  <c r="B33" i="3" s="1"/>
  <c r="D33" i="3" s="1" a="1"/>
  <c r="C32" i="3" a="1"/>
  <c r="C32" i="3" s="1"/>
  <c r="B32" i="3" a="1"/>
  <c r="B32" i="3" s="1"/>
  <c r="D32" i="3" s="1" a="1"/>
  <c r="C31" i="3" a="1"/>
  <c r="C31" i="3" s="1"/>
  <c r="B31" i="3" a="1"/>
  <c r="B31" i="3" s="1"/>
  <c r="D31" i="3" s="1" a="1"/>
  <c r="C30" i="3" a="1"/>
  <c r="C30" i="3" s="1"/>
  <c r="B30" i="3" a="1"/>
  <c r="B30" i="3" s="1"/>
  <c r="D30" i="3" s="1" a="1"/>
  <c r="C29" i="3" a="1"/>
  <c r="C29" i="3" s="1"/>
  <c r="B29" i="3" a="1"/>
  <c r="B29" i="3" s="1"/>
  <c r="D29" i="3" s="1" a="1"/>
  <c r="C28" i="3" a="1"/>
  <c r="C28" i="3" s="1"/>
  <c r="B28" i="3" a="1"/>
  <c r="B28" i="3" s="1"/>
  <c r="D28" i="3" s="1" a="1"/>
  <c r="C27" i="3" a="1"/>
  <c r="C27" i="3" s="1"/>
  <c r="B27" i="3" a="1"/>
  <c r="B27" i="3" s="1"/>
  <c r="D27" i="3" s="1" a="1"/>
  <c r="C26" i="3" a="1"/>
  <c r="C26" i="3" s="1"/>
  <c r="B26" i="3" a="1"/>
  <c r="B26" i="3" s="1"/>
  <c r="D26" i="3" s="1" a="1"/>
  <c r="C25" i="3" a="1"/>
  <c r="C25" i="3" s="1"/>
  <c r="B25" i="3" a="1"/>
  <c r="B25" i="3" s="1"/>
  <c r="D25" i="3" s="1" a="1"/>
  <c r="C24" i="3" a="1"/>
  <c r="C24" i="3" s="1"/>
  <c r="B24" i="3" a="1"/>
  <c r="B24" i="3" s="1"/>
  <c r="D24" i="3" s="1" a="1"/>
  <c r="C23" i="3" a="1"/>
  <c r="C23" i="3" s="1"/>
  <c r="B23" i="3" a="1"/>
  <c r="B23" i="3" s="1"/>
  <c r="D23" i="3" s="1" a="1"/>
  <c r="C22" i="3" a="1"/>
  <c r="C22" i="3" s="1"/>
  <c r="B22" i="3" a="1"/>
  <c r="B22" i="3" s="1"/>
  <c r="D22" i="3" s="1" a="1"/>
  <c r="C21" i="3" a="1"/>
  <c r="C21" i="3" s="1"/>
  <c r="B21" i="3" a="1"/>
  <c r="B21" i="3" s="1"/>
  <c r="D21" i="3" s="1" a="1"/>
  <c r="C20" i="3" a="1"/>
  <c r="C20" i="3" s="1"/>
  <c r="B20" i="3" a="1"/>
  <c r="B20" i="3" s="1"/>
  <c r="D20" i="3" s="1" a="1"/>
  <c r="C19" i="3" a="1"/>
  <c r="C19" i="3" s="1"/>
  <c r="B19" i="3" a="1"/>
  <c r="B19" i="3" s="1"/>
  <c r="D19" i="3" s="1" a="1"/>
  <c r="C18" i="3" a="1"/>
  <c r="C18" i="3" s="1"/>
  <c r="B18" i="3" a="1"/>
  <c r="B18" i="3" s="1"/>
  <c r="D18" i="3" s="1" a="1"/>
  <c r="C17" i="3" a="1"/>
  <c r="C17" i="3" s="1"/>
  <c r="B17" i="3" a="1"/>
  <c r="B17" i="3" s="1"/>
  <c r="D17" i="3" s="1" a="1"/>
  <c r="C16" i="3" a="1"/>
  <c r="C16" i="3" s="1"/>
  <c r="B16" i="3" a="1"/>
  <c r="B16" i="3" s="1"/>
  <c r="D16" i="3" s="1" a="1"/>
  <c r="C15" i="3" a="1"/>
  <c r="C15" i="3" s="1"/>
  <c r="B15" i="3" a="1"/>
  <c r="B15" i="3" s="1"/>
  <c r="D15" i="3" s="1" a="1"/>
  <c r="C14" i="3" a="1"/>
  <c r="C14" i="3" s="1"/>
  <c r="B14" i="3" a="1"/>
  <c r="B14" i="3" s="1"/>
  <c r="D14" i="3" s="1" a="1"/>
  <c r="C13" i="3" a="1"/>
  <c r="C13" i="3" s="1"/>
  <c r="B13" i="3" a="1"/>
  <c r="B13" i="3" s="1"/>
  <c r="D13" i="3" s="1" a="1"/>
  <c r="C12" i="3" a="1"/>
  <c r="C12" i="3" s="1"/>
  <c r="B12" i="3" a="1"/>
  <c r="B12" i="3" s="1"/>
  <c r="D12" i="3" s="1" a="1"/>
  <c r="C11" i="3" a="1"/>
  <c r="C11" i="3" s="1"/>
  <c r="B11" i="3" a="1"/>
  <c r="B11" i="3" s="1"/>
  <c r="D11" i="3" s="1" a="1"/>
  <c r="C10" i="3" a="1"/>
  <c r="C10" i="3" s="1"/>
  <c r="B10" i="3" a="1"/>
  <c r="B10" i="3" s="1"/>
  <c r="D10" i="3" s="1" a="1"/>
  <c r="C9" i="3" a="1"/>
  <c r="C9" i="3" s="1"/>
  <c r="B9" i="3" a="1"/>
  <c r="B9" i="3" s="1"/>
  <c r="D9" i="3" s="1" a="1"/>
  <c r="C8" i="3" a="1"/>
  <c r="C8" i="3" s="1"/>
  <c r="B8" i="3" a="1"/>
  <c r="B8" i="3" s="1"/>
  <c r="D8" i="3" s="1" a="1"/>
  <c r="C7" i="3" a="1"/>
  <c r="C7" i="3" s="1"/>
  <c r="B7" i="3" a="1"/>
  <c r="B7" i="3" s="1"/>
  <c r="D7" i="3" s="1" a="1"/>
  <c r="C6" i="3" a="1"/>
  <c r="C6" i="3" s="1"/>
  <c r="B6" i="3" a="1"/>
  <c r="B6" i="3" s="1"/>
  <c r="D6" i="3" s="1" a="1"/>
  <c r="C5" i="3" a="1"/>
  <c r="C5" i="3" s="1"/>
  <c r="B5" i="3" a="1"/>
  <c r="B5" i="3" s="1"/>
  <c r="D5" i="3" s="1" a="1"/>
  <c r="C4" i="3" a="1"/>
  <c r="C4" i="3" s="1"/>
  <c r="B4" i="3" a="1"/>
  <c r="B4" i="3" s="1"/>
  <c r="D4" i="3" s="1" a="1"/>
  <c r="C3" i="3" a="1"/>
  <c r="C3" i="3" s="1"/>
  <c r="B3" i="3" a="1"/>
  <c r="B3" i="3" s="1"/>
  <c r="D3" i="3" s="1" a="1"/>
  <c r="C2" i="3" a="1"/>
  <c r="C2" i="3" s="1"/>
  <c r="B2" i="3" a="1"/>
  <c r="B2" i="3" s="1"/>
  <c r="D2" i="3" s="1" a="1"/>
  <c r="C1" i="3" a="1"/>
  <c r="C1" i="3" s="1"/>
  <c r="B1" i="3" a="1"/>
  <c r="B1" i="3" s="1"/>
  <c r="D1" i="3" s="1" a="1"/>
  <c r="C2" i="2" a="1"/>
  <c r="C2" i="2" s="1"/>
  <c r="C3" i="2" a="1"/>
  <c r="C3" i="2" s="1"/>
  <c r="C4" i="2" a="1"/>
  <c r="C4" i="2" s="1"/>
  <c r="C5" i="2" a="1"/>
  <c r="C5" i="2" s="1"/>
  <c r="C6" i="2" a="1"/>
  <c r="C6" i="2" s="1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 s="1"/>
  <c r="B32" i="1" s="1"/>
  <c r="C23" i="2" a="1"/>
  <c r="C23" i="2" s="1"/>
  <c r="B33" i="1" s="1"/>
  <c r="C24" i="2" a="1"/>
  <c r="C24" i="2" s="1"/>
  <c r="B34" i="1" s="1"/>
  <c r="C25" i="2" a="1"/>
  <c r="C25" i="2" s="1"/>
  <c r="B35" i="1" s="1"/>
  <c r="C26" i="2" a="1"/>
  <c r="C26" i="2" s="1"/>
  <c r="B36" i="1" s="1"/>
  <c r="C27" i="2" a="1"/>
  <c r="C27" i="2" s="1"/>
  <c r="B37" i="1" s="1"/>
  <c r="C28" i="2" a="1"/>
  <c r="C28" i="2" s="1"/>
  <c r="B38" i="1" s="1"/>
  <c r="C29" i="2" a="1"/>
  <c r="C29" i="2" s="1"/>
  <c r="B39" i="1" s="1"/>
  <c r="C30" i="2" a="1"/>
  <c r="C30" i="2" s="1"/>
  <c r="B40" i="1" s="1"/>
  <c r="C31" i="2" a="1"/>
  <c r="C31" i="2" s="1"/>
  <c r="B41" i="1" s="1"/>
  <c r="C32" i="2" a="1"/>
  <c r="C32" i="2" s="1"/>
  <c r="B42" i="1" s="1"/>
  <c r="C33" i="2" a="1"/>
  <c r="C33" i="2" s="1"/>
  <c r="B43" i="1" s="1"/>
  <c r="C34" i="2" a="1"/>
  <c r="C34" i="2" s="1"/>
  <c r="B44" i="1" s="1"/>
  <c r="C35" i="2" a="1"/>
  <c r="C35" i="2" s="1"/>
  <c r="B45" i="1" s="1"/>
  <c r="C36" i="2" a="1"/>
  <c r="C36" i="2" s="1"/>
  <c r="B46" i="1" s="1"/>
  <c r="C37" i="2" a="1"/>
  <c r="C37" i="2" s="1"/>
  <c r="B47" i="1" s="1"/>
  <c r="C38" i="2" a="1"/>
  <c r="C38" i="2" s="1"/>
  <c r="B48" i="1" s="1"/>
  <c r="C39" i="2" a="1"/>
  <c r="C39" i="2" s="1"/>
  <c r="B49" i="1" s="1"/>
  <c r="C40" i="2" a="1"/>
  <c r="C40" i="2" s="1"/>
  <c r="B50" i="1" s="1"/>
  <c r="C41" i="2" a="1"/>
  <c r="C41" i="2" s="1"/>
  <c r="B51" i="1" s="1"/>
  <c r="C42" i="2" a="1"/>
  <c r="C42" i="2" s="1"/>
  <c r="B52" i="1" s="1"/>
  <c r="C43" i="2" a="1"/>
  <c r="C43" i="2" s="1"/>
  <c r="B53" i="1" s="1"/>
  <c r="C44" i="2" a="1"/>
  <c r="C44" i="2" s="1"/>
  <c r="B54" i="1" s="1"/>
  <c r="C45" i="2" a="1"/>
  <c r="C45" i="2" s="1"/>
  <c r="B55" i="1" s="1"/>
  <c r="C46" i="2" a="1"/>
  <c r="C46" i="2" s="1"/>
  <c r="B56" i="1" s="1"/>
  <c r="C47" i="2" a="1"/>
  <c r="C47" i="2" s="1"/>
  <c r="B57" i="1" s="1"/>
  <c r="C48" i="2" a="1"/>
  <c r="C48" i="2" s="1"/>
  <c r="B58" i="1" s="1"/>
  <c r="C49" i="2" a="1"/>
  <c r="C49" i="2" s="1"/>
  <c r="B59" i="1" s="1"/>
  <c r="C50" i="2" a="1"/>
  <c r="C50" i="2" s="1"/>
  <c r="B60" i="1" s="1"/>
  <c r="C51" i="2" a="1"/>
  <c r="C51" i="2" s="1"/>
  <c r="B61" i="1" s="1"/>
  <c r="C52" i="2" a="1"/>
  <c r="C52" i="2" s="1"/>
  <c r="B62" i="1" s="1"/>
  <c r="C53" i="2" a="1"/>
  <c r="C53" i="2" s="1"/>
  <c r="B63" i="1" s="1"/>
  <c r="C54" i="2" a="1"/>
  <c r="C54" i="2" s="1"/>
  <c r="B64" i="1" s="1"/>
  <c r="C55" i="2" a="1"/>
  <c r="C55" i="2" s="1"/>
  <c r="B65" i="1" s="1"/>
  <c r="C56" i="2" a="1"/>
  <c r="C56" i="2" s="1"/>
  <c r="B66" i="1" s="1"/>
  <c r="C57" i="2" a="1"/>
  <c r="C57" i="2" s="1"/>
  <c r="B67" i="1" s="1"/>
  <c r="C58" i="2" a="1"/>
  <c r="C58" i="2" s="1"/>
  <c r="B68" i="1" s="1"/>
  <c r="C59" i="2" a="1"/>
  <c r="C59" i="2" s="1"/>
  <c r="B69" i="1" s="1"/>
  <c r="C60" i="2" a="1"/>
  <c r="C60" i="2" s="1"/>
  <c r="B70" i="1" s="1"/>
  <c r="C61" i="2" a="1"/>
  <c r="C61" i="2" s="1"/>
  <c r="B71" i="1" s="1"/>
  <c r="C62" i="2" a="1"/>
  <c r="C62" i="2" s="1"/>
  <c r="B72" i="1" s="1"/>
  <c r="C63" i="2" a="1"/>
  <c r="C63" i="2" s="1"/>
  <c r="B73" i="1" s="1"/>
  <c r="C64" i="2" a="1"/>
  <c r="C64" i="2" s="1"/>
  <c r="B74" i="1" s="1"/>
  <c r="C65" i="2" a="1"/>
  <c r="C65" i="2" s="1"/>
  <c r="B75" i="1" s="1"/>
  <c r="C66" i="2" a="1"/>
  <c r="C66" i="2" s="1"/>
  <c r="B76" i="1" s="1"/>
  <c r="C67" i="2" a="1"/>
  <c r="C67" i="2" s="1"/>
  <c r="B77" i="1" s="1"/>
  <c r="C68" i="2" a="1"/>
  <c r="C68" i="2" s="1"/>
  <c r="B78" i="1" s="1"/>
  <c r="C69" i="2" a="1"/>
  <c r="C69" i="2" s="1"/>
  <c r="B79" i="1" s="1"/>
  <c r="C70" i="2" a="1"/>
  <c r="C70" i="2" s="1"/>
  <c r="B80" i="1" s="1"/>
  <c r="C71" i="2" a="1"/>
  <c r="C71" i="2" s="1"/>
  <c r="B81" i="1" s="1"/>
  <c r="C72" i="2" a="1"/>
  <c r="C72" i="2" s="1"/>
  <c r="B82" i="1" s="1"/>
  <c r="C73" i="2" a="1"/>
  <c r="C73" i="2" s="1"/>
  <c r="B83" i="1" s="1"/>
  <c r="C74" i="2" a="1"/>
  <c r="C74" i="2" s="1"/>
  <c r="B84" i="1" s="1"/>
  <c r="C75" i="2" a="1"/>
  <c r="C75" i="2" s="1"/>
  <c r="B85" i="1" s="1"/>
  <c r="C76" i="2" a="1"/>
  <c r="C76" i="2" s="1"/>
  <c r="B86" i="1" s="1"/>
  <c r="C77" i="2" a="1"/>
  <c r="C77" i="2" s="1"/>
  <c r="B87" i="1" s="1"/>
  <c r="C78" i="2" a="1"/>
  <c r="C78" i="2" s="1"/>
  <c r="B88" i="1" s="1"/>
  <c r="C79" i="2" a="1"/>
  <c r="C79" i="2" s="1"/>
  <c r="B89" i="1" s="1"/>
  <c r="C80" i="2" a="1"/>
  <c r="C80" i="2" s="1"/>
  <c r="B90" i="1" s="1"/>
  <c r="C81" i="2" a="1"/>
  <c r="C81" i="2" s="1"/>
  <c r="B91" i="1" s="1"/>
  <c r="C82" i="2" a="1"/>
  <c r="C82" i="2" s="1"/>
  <c r="B92" i="1" s="1"/>
  <c r="C83" i="2" a="1"/>
  <c r="C83" i="2" s="1"/>
  <c r="B93" i="1" s="1"/>
  <c r="C84" i="2" a="1"/>
  <c r="C84" i="2" s="1"/>
  <c r="B94" i="1" s="1"/>
  <c r="C85" i="2" a="1"/>
  <c r="C85" i="2" s="1"/>
  <c r="B95" i="1" s="1"/>
  <c r="C86" i="2" a="1"/>
  <c r="C86" i="2" s="1"/>
  <c r="B96" i="1" s="1"/>
  <c r="C87" i="2" a="1"/>
  <c r="C87" i="2" s="1"/>
  <c r="B97" i="1" s="1"/>
  <c r="C88" i="2" a="1"/>
  <c r="C88" i="2" s="1"/>
  <c r="B98" i="1" s="1"/>
  <c r="C89" i="2" a="1"/>
  <c r="C89" i="2" s="1"/>
  <c r="B99" i="1" s="1"/>
  <c r="C90" i="2" a="1"/>
  <c r="C90" i="2" s="1"/>
  <c r="B100" i="1" s="1"/>
  <c r="C91" i="2" a="1"/>
  <c r="C91" i="2" s="1"/>
  <c r="B101" i="1" s="1"/>
  <c r="C92" i="2" a="1"/>
  <c r="C92" i="2" s="1"/>
  <c r="B102" i="1" s="1"/>
  <c r="C93" i="2" a="1"/>
  <c r="C93" i="2" s="1"/>
  <c r="B103" i="1" s="1"/>
  <c r="C94" i="2" a="1"/>
  <c r="C94" i="2" s="1"/>
  <c r="B104" i="1" s="1"/>
  <c r="C95" i="2" a="1"/>
  <c r="C95" i="2" s="1"/>
  <c r="B105" i="1" s="1"/>
  <c r="C1" i="2" a="1"/>
  <c r="C1" i="2" s="1"/>
  <c r="B2" i="2" a="1"/>
  <c r="B2" i="2" s="1"/>
  <c r="D2" i="2" s="1" a="1"/>
  <c r="B3" i="2" a="1"/>
  <c r="B3" i="2" s="1"/>
  <c r="D3" i="2" s="1" a="1"/>
  <c r="B4" i="2" a="1"/>
  <c r="B4" i="2" s="1"/>
  <c r="D4" i="2" s="1" a="1"/>
  <c r="B5" i="2" a="1"/>
  <c r="B5" i="2" s="1"/>
  <c r="D5" i="2" s="1" a="1"/>
  <c r="B6" i="2" a="1"/>
  <c r="B6" i="2" s="1"/>
  <c r="D6" i="2" s="1" a="1"/>
  <c r="B7" i="2" a="1"/>
  <c r="B7" i="2" s="1"/>
  <c r="D7" i="2" s="1" a="1"/>
  <c r="B8" i="2" a="1"/>
  <c r="B8" i="2" s="1"/>
  <c r="D8" i="2" s="1" a="1"/>
  <c r="B9" i="2" a="1"/>
  <c r="B9" i="2" s="1"/>
  <c r="D9" i="2" s="1" a="1"/>
  <c r="B10" i="2" a="1"/>
  <c r="B10" i="2" s="1"/>
  <c r="D10" i="2" s="1" a="1"/>
  <c r="B11" i="2" a="1"/>
  <c r="B11" i="2" s="1"/>
  <c r="D11" i="2" s="1" a="1"/>
  <c r="B12" i="2" a="1"/>
  <c r="B12" i="2" s="1"/>
  <c r="D12" i="2" s="1" a="1"/>
  <c r="B13" i="2" a="1"/>
  <c r="B13" i="2" s="1"/>
  <c r="D13" i="2" s="1" a="1"/>
  <c r="B14" i="2" a="1"/>
  <c r="B14" i="2" s="1"/>
  <c r="D14" i="2" s="1" a="1"/>
  <c r="B15" i="2" a="1"/>
  <c r="B15" i="2" s="1"/>
  <c r="D15" i="2" s="1" a="1"/>
  <c r="B16" i="2" a="1"/>
  <c r="B16" i="2" s="1"/>
  <c r="D16" i="2" s="1" a="1"/>
  <c r="B17" i="2" a="1"/>
  <c r="B17" i="2" s="1"/>
  <c r="D17" i="2" s="1" a="1"/>
  <c r="B18" i="2" a="1"/>
  <c r="B18" i="2" s="1"/>
  <c r="D18" i="2" s="1" a="1"/>
  <c r="B19" i="2" a="1"/>
  <c r="B19" i="2" s="1"/>
  <c r="D19" i="2" s="1" a="1"/>
  <c r="B20" i="2" a="1"/>
  <c r="B20" i="2" s="1"/>
  <c r="D20" i="2" s="1" a="1"/>
  <c r="B21" i="2" a="1"/>
  <c r="B21" i="2" s="1"/>
  <c r="D21" i="2" s="1" a="1"/>
  <c r="B22" i="2" a="1"/>
  <c r="B22" i="2" s="1"/>
  <c r="D22" i="2" s="1" a="1"/>
  <c r="B23" i="2" a="1"/>
  <c r="B23" i="2" s="1"/>
  <c r="D23" i="2" s="1" a="1"/>
  <c r="B24" i="2" a="1"/>
  <c r="B24" i="2" s="1"/>
  <c r="D24" i="2" s="1" a="1"/>
  <c r="B25" i="2" a="1"/>
  <c r="B25" i="2" s="1"/>
  <c r="D25" i="2" s="1" a="1"/>
  <c r="B26" i="2" a="1"/>
  <c r="B26" i="2" s="1"/>
  <c r="D26" i="2" s="1" a="1"/>
  <c r="B27" i="2" a="1"/>
  <c r="B27" i="2" s="1"/>
  <c r="D27" i="2" s="1" a="1"/>
  <c r="B28" i="2" a="1"/>
  <c r="B28" i="2" s="1"/>
  <c r="D28" i="2" s="1" a="1"/>
  <c r="B29" i="2" a="1"/>
  <c r="B29" i="2" s="1"/>
  <c r="D29" i="2" s="1" a="1"/>
  <c r="B30" i="2" a="1"/>
  <c r="B30" i="2" s="1"/>
  <c r="D30" i="2" s="1" a="1"/>
  <c r="B31" i="2" a="1"/>
  <c r="B31" i="2" s="1"/>
  <c r="D31" i="2" s="1" a="1"/>
  <c r="B32" i="2" a="1"/>
  <c r="B32" i="2" s="1"/>
  <c r="D32" i="2" s="1" a="1"/>
  <c r="B33" i="2" a="1"/>
  <c r="B33" i="2" s="1"/>
  <c r="D33" i="2" s="1" a="1"/>
  <c r="B34" i="2" a="1"/>
  <c r="B34" i="2" s="1"/>
  <c r="D34" i="2" s="1" a="1"/>
  <c r="B35" i="2" a="1"/>
  <c r="B35" i="2" s="1"/>
  <c r="D35" i="2" s="1" a="1"/>
  <c r="B36" i="2" a="1"/>
  <c r="B36" i="2" s="1"/>
  <c r="D36" i="2" s="1" a="1"/>
  <c r="B37" i="2" a="1"/>
  <c r="B37" i="2" s="1"/>
  <c r="D37" i="2" s="1" a="1"/>
  <c r="B38" i="2" a="1"/>
  <c r="B38" i="2" s="1"/>
  <c r="D38" i="2" s="1" a="1"/>
  <c r="B39" i="2" a="1"/>
  <c r="B39" i="2" s="1"/>
  <c r="D39" i="2" s="1" a="1"/>
  <c r="B40" i="2" a="1"/>
  <c r="B40" i="2" s="1"/>
  <c r="D40" i="2" s="1" a="1"/>
  <c r="B41" i="2" a="1"/>
  <c r="B41" i="2" s="1"/>
  <c r="D41" i="2" s="1" a="1"/>
  <c r="B42" i="2" a="1"/>
  <c r="B42" i="2" s="1"/>
  <c r="D42" i="2" s="1" a="1"/>
  <c r="B43" i="2" a="1"/>
  <c r="B43" i="2" s="1"/>
  <c r="D43" i="2" s="1" a="1"/>
  <c r="B44" i="2" a="1"/>
  <c r="B44" i="2" s="1"/>
  <c r="D44" i="2" s="1" a="1"/>
  <c r="B45" i="2" a="1"/>
  <c r="B45" i="2" s="1"/>
  <c r="D45" i="2" s="1" a="1"/>
  <c r="B46" i="2" a="1"/>
  <c r="B46" i="2" s="1"/>
  <c r="D46" i="2" s="1" a="1"/>
  <c r="B47" i="2" a="1"/>
  <c r="B47" i="2" s="1"/>
  <c r="D47" i="2" s="1" a="1"/>
  <c r="B48" i="2" a="1"/>
  <c r="B48" i="2" s="1"/>
  <c r="D48" i="2" s="1" a="1"/>
  <c r="B49" i="2" a="1"/>
  <c r="B49" i="2" s="1"/>
  <c r="D49" i="2" s="1" a="1"/>
  <c r="B50" i="2" a="1"/>
  <c r="B50" i="2" s="1"/>
  <c r="D50" i="2" s="1" a="1"/>
  <c r="B51" i="2" a="1"/>
  <c r="B51" i="2" s="1"/>
  <c r="D51" i="2" s="1" a="1"/>
  <c r="B52" i="2" a="1"/>
  <c r="B52" i="2" s="1"/>
  <c r="D52" i="2" s="1" a="1"/>
  <c r="B53" i="2" a="1"/>
  <c r="B53" i="2" s="1"/>
  <c r="D53" i="2" s="1" a="1"/>
  <c r="B54" i="2" a="1"/>
  <c r="B54" i="2" s="1"/>
  <c r="D54" i="2" s="1" a="1"/>
  <c r="B55" i="2" a="1"/>
  <c r="B55" i="2" s="1"/>
  <c r="D55" i="2" s="1" a="1"/>
  <c r="B56" i="2" a="1"/>
  <c r="B56" i="2" s="1"/>
  <c r="D56" i="2" s="1" a="1"/>
  <c r="B57" i="2" a="1"/>
  <c r="B57" i="2" s="1"/>
  <c r="D57" i="2" s="1" a="1"/>
  <c r="B58" i="2" a="1"/>
  <c r="B58" i="2" s="1"/>
  <c r="D58" i="2" s="1" a="1"/>
  <c r="B59" i="2" a="1"/>
  <c r="B59" i="2" s="1"/>
  <c r="D59" i="2" s="1" a="1"/>
  <c r="B60" i="2" a="1"/>
  <c r="B60" i="2" s="1"/>
  <c r="D60" i="2" s="1" a="1"/>
  <c r="B61" i="2" a="1"/>
  <c r="B61" i="2" s="1"/>
  <c r="D61" i="2" s="1" a="1"/>
  <c r="B62" i="2" a="1"/>
  <c r="B62" i="2" s="1"/>
  <c r="D62" i="2" s="1" a="1"/>
  <c r="B63" i="2" a="1"/>
  <c r="B63" i="2" s="1"/>
  <c r="D63" i="2" s="1" a="1"/>
  <c r="B64" i="2" a="1"/>
  <c r="B64" i="2" s="1"/>
  <c r="D64" i="2" s="1" a="1"/>
  <c r="B65" i="2" a="1"/>
  <c r="B65" i="2" s="1"/>
  <c r="D65" i="2" s="1" a="1"/>
  <c r="B66" i="2" a="1"/>
  <c r="B66" i="2" s="1"/>
  <c r="D66" i="2" s="1" a="1"/>
  <c r="B67" i="2" a="1"/>
  <c r="B67" i="2" s="1"/>
  <c r="D67" i="2" s="1" a="1"/>
  <c r="B68" i="2" a="1"/>
  <c r="B68" i="2" s="1"/>
  <c r="D68" i="2" s="1" a="1"/>
  <c r="B69" i="2" a="1"/>
  <c r="B69" i="2" s="1"/>
  <c r="D69" i="2" s="1" a="1"/>
  <c r="B70" i="2" a="1"/>
  <c r="B70" i="2" s="1"/>
  <c r="D70" i="2" s="1" a="1"/>
  <c r="B71" i="2" a="1"/>
  <c r="B71" i="2" s="1"/>
  <c r="D71" i="2" s="1" a="1"/>
  <c r="B72" i="2" a="1"/>
  <c r="B72" i="2" s="1"/>
  <c r="D72" i="2" s="1" a="1"/>
  <c r="B73" i="2" a="1"/>
  <c r="B73" i="2" s="1"/>
  <c r="D73" i="2" s="1" a="1"/>
  <c r="B74" i="2" a="1"/>
  <c r="B74" i="2" s="1"/>
  <c r="D74" i="2" s="1" a="1"/>
  <c r="B75" i="2" a="1"/>
  <c r="B75" i="2" s="1"/>
  <c r="D75" i="2" s="1" a="1"/>
  <c r="B76" i="2" a="1"/>
  <c r="B76" i="2" s="1"/>
  <c r="D76" i="2" s="1" a="1"/>
  <c r="B77" i="2" a="1"/>
  <c r="B77" i="2" s="1"/>
  <c r="D77" i="2" s="1" a="1"/>
  <c r="B78" i="2" a="1"/>
  <c r="B78" i="2" s="1"/>
  <c r="D78" i="2" s="1" a="1"/>
  <c r="B79" i="2" a="1"/>
  <c r="B79" i="2" s="1"/>
  <c r="D79" i="2" s="1" a="1"/>
  <c r="B80" i="2" a="1"/>
  <c r="B80" i="2" s="1"/>
  <c r="D80" i="2" s="1" a="1"/>
  <c r="B81" i="2" a="1"/>
  <c r="B81" i="2" s="1"/>
  <c r="D81" i="2" s="1" a="1"/>
  <c r="B82" i="2" a="1"/>
  <c r="B82" i="2" s="1"/>
  <c r="D82" i="2" s="1" a="1"/>
  <c r="B83" i="2" a="1"/>
  <c r="B83" i="2" s="1"/>
  <c r="D83" i="2" s="1" a="1"/>
  <c r="B84" i="2" a="1"/>
  <c r="B84" i="2" s="1"/>
  <c r="D84" i="2" s="1" a="1"/>
  <c r="B85" i="2" a="1"/>
  <c r="B85" i="2" s="1"/>
  <c r="D85" i="2" s="1" a="1"/>
  <c r="B86" i="2" a="1"/>
  <c r="B86" i="2" s="1"/>
  <c r="D86" i="2" s="1" a="1"/>
  <c r="B87" i="2" a="1"/>
  <c r="B87" i="2" s="1"/>
  <c r="D87" i="2" s="1" a="1"/>
  <c r="B88" i="2" a="1"/>
  <c r="B88" i="2" s="1"/>
  <c r="D88" i="2" s="1" a="1"/>
  <c r="B89" i="2" a="1"/>
  <c r="B89" i="2" s="1"/>
  <c r="D89" i="2" s="1" a="1"/>
  <c r="B90" i="2" a="1"/>
  <c r="B90" i="2" s="1"/>
  <c r="D90" i="2" s="1" a="1"/>
  <c r="B91" i="2" a="1"/>
  <c r="B91" i="2" s="1"/>
  <c r="D91" i="2" s="1" a="1"/>
  <c r="B92" i="2" a="1"/>
  <c r="B92" i="2" s="1"/>
  <c r="D92" i="2" s="1" a="1"/>
  <c r="B93" i="2" a="1"/>
  <c r="B93" i="2" s="1"/>
  <c r="D93" i="2" s="1" a="1"/>
  <c r="B94" i="2" a="1"/>
  <c r="B94" i="2" s="1"/>
  <c r="D94" i="2" s="1" a="1"/>
  <c r="B95" i="2" a="1"/>
  <c r="B95" i="2" s="1"/>
  <c r="D95" i="2" s="1" a="1"/>
  <c r="B1" i="2" a="1"/>
  <c r="B1" i="2" s="1"/>
  <c r="D1" i="2" s="1" a="1"/>
  <c r="D97" i="2" l="1"/>
  <c r="R33" i="1"/>
  <c r="D98" i="2"/>
  <c r="R34" i="1"/>
  <c r="D99" i="2"/>
  <c r="R35" i="1"/>
  <c r="D100" i="2"/>
  <c r="R36" i="1"/>
  <c r="D101" i="2"/>
  <c r="R37" i="1"/>
  <c r="D102" i="2"/>
  <c r="R38" i="1"/>
  <c r="D103" i="2"/>
  <c r="R39" i="1"/>
  <c r="D104" i="2"/>
  <c r="R40" i="1"/>
  <c r="D105" i="2"/>
  <c r="R41" i="1"/>
  <c r="D106" i="2"/>
  <c r="R42" i="1"/>
  <c r="D107" i="2"/>
  <c r="R43" i="1"/>
  <c r="D108" i="2"/>
  <c r="R44" i="1"/>
  <c r="D109" i="2"/>
  <c r="R45" i="1"/>
  <c r="D110" i="2"/>
  <c r="R46" i="1"/>
  <c r="D111" i="2"/>
  <c r="R47" i="1"/>
  <c r="D112" i="2"/>
  <c r="R48" i="1"/>
  <c r="D113" i="2"/>
  <c r="R49" i="1"/>
  <c r="D114" i="2"/>
  <c r="R50" i="1"/>
  <c r="D115" i="2"/>
  <c r="R51" i="1"/>
  <c r="D116" i="2"/>
  <c r="R52" i="1"/>
  <c r="D117" i="2"/>
  <c r="R53" i="1"/>
  <c r="D118" i="2"/>
  <c r="R54" i="1"/>
  <c r="D119" i="2"/>
  <c r="R55" i="1"/>
  <c r="D120" i="2"/>
  <c r="R56" i="1"/>
  <c r="D121" i="2"/>
  <c r="R57" i="1"/>
  <c r="D122" i="2"/>
  <c r="R58" i="1"/>
  <c r="D123" i="2"/>
  <c r="R59" i="1"/>
  <c r="D124" i="2"/>
  <c r="R60" i="1"/>
  <c r="D125" i="2"/>
  <c r="R61" i="1"/>
  <c r="D126" i="2"/>
  <c r="R62" i="1"/>
  <c r="D127" i="2"/>
  <c r="R63" i="1"/>
  <c r="D128" i="2"/>
  <c r="R64" i="1"/>
  <c r="D129" i="2"/>
  <c r="R65" i="1"/>
  <c r="D130" i="2"/>
  <c r="R66" i="1"/>
  <c r="D131" i="2"/>
  <c r="R67" i="1"/>
  <c r="D132" i="2"/>
  <c r="R68" i="1"/>
  <c r="D133" i="2"/>
  <c r="R69" i="1"/>
  <c r="D134" i="2"/>
  <c r="R70" i="1"/>
  <c r="D135" i="2"/>
  <c r="R71" i="1"/>
  <c r="D136" i="2"/>
  <c r="R72" i="1"/>
  <c r="D137" i="2"/>
  <c r="R73" i="1"/>
  <c r="D138" i="2"/>
  <c r="R74" i="1"/>
  <c r="D139" i="2"/>
  <c r="R75" i="1"/>
  <c r="D140" i="2"/>
  <c r="R76" i="1"/>
  <c r="D141" i="2"/>
  <c r="R77" i="1"/>
  <c r="D142" i="2"/>
  <c r="R78" i="1"/>
  <c r="D143" i="2"/>
  <c r="R79" i="1"/>
  <c r="D144" i="2"/>
  <c r="R80" i="1"/>
  <c r="D145" i="2"/>
  <c r="R81" i="1"/>
  <c r="D146" i="2"/>
  <c r="R82" i="1"/>
  <c r="D147" i="2"/>
  <c r="R83" i="1"/>
  <c r="D148" i="2"/>
  <c r="R84" i="1"/>
  <c r="D149" i="2"/>
  <c r="R85" i="1"/>
  <c r="D150" i="2"/>
  <c r="R86" i="1"/>
  <c r="D151" i="2"/>
  <c r="R87" i="1"/>
  <c r="D152" i="2"/>
  <c r="R88" i="1"/>
  <c r="D153" i="2"/>
  <c r="R89" i="1"/>
  <c r="D154" i="2"/>
  <c r="R90" i="1"/>
  <c r="D155" i="2"/>
  <c r="R91" i="1"/>
  <c r="D156" i="2"/>
  <c r="R92" i="1"/>
  <c r="D157" i="2"/>
  <c r="R93" i="1"/>
  <c r="D158" i="2"/>
  <c r="R94" i="1"/>
  <c r="D159" i="2"/>
  <c r="R95" i="1"/>
  <c r="D160" i="2"/>
  <c r="R96" i="1"/>
  <c r="D161" i="2"/>
  <c r="R97" i="1"/>
  <c r="D96" i="2"/>
  <c r="R32" i="1"/>
  <c r="D23" i="2"/>
  <c r="C33" i="1"/>
  <c r="D24" i="2"/>
  <c r="C34" i="1"/>
  <c r="D25" i="2"/>
  <c r="C35" i="1"/>
  <c r="D26" i="2"/>
  <c r="C36" i="1"/>
  <c r="D27" i="2"/>
  <c r="C37" i="1"/>
  <c r="D28" i="2"/>
  <c r="C38" i="1"/>
  <c r="D29" i="2"/>
  <c r="C39" i="1"/>
  <c r="D30" i="2"/>
  <c r="C40" i="1"/>
  <c r="D31" i="2"/>
  <c r="C41" i="1"/>
  <c r="D32" i="2"/>
  <c r="C42" i="1"/>
  <c r="D33" i="2"/>
  <c r="C43" i="1"/>
  <c r="D34" i="2"/>
  <c r="C44" i="1"/>
  <c r="D35" i="2"/>
  <c r="C45" i="1"/>
  <c r="D36" i="2"/>
  <c r="C46" i="1"/>
  <c r="D37" i="2"/>
  <c r="C47" i="1"/>
  <c r="D38" i="2"/>
  <c r="C48" i="1"/>
  <c r="D39" i="2"/>
  <c r="C49" i="1"/>
  <c r="D40" i="2"/>
  <c r="C50" i="1"/>
  <c r="D41" i="2"/>
  <c r="C51" i="1"/>
  <c r="D42" i="2"/>
  <c r="C52" i="1"/>
  <c r="D43" i="2"/>
  <c r="C53" i="1"/>
  <c r="D44" i="2"/>
  <c r="C54" i="1"/>
  <c r="D45" i="2"/>
  <c r="C55" i="1"/>
  <c r="D46" i="2"/>
  <c r="C56" i="1"/>
  <c r="D47" i="2"/>
  <c r="C57" i="1"/>
  <c r="D48" i="2"/>
  <c r="C58" i="1"/>
  <c r="D49" i="2"/>
  <c r="C59" i="1"/>
  <c r="D50" i="2"/>
  <c r="C60" i="1"/>
  <c r="D51" i="2"/>
  <c r="C61" i="1"/>
  <c r="D52" i="2"/>
  <c r="C62" i="1"/>
  <c r="D53" i="2"/>
  <c r="C63" i="1"/>
  <c r="D54" i="2"/>
  <c r="C64" i="1"/>
  <c r="D55" i="2"/>
  <c r="C65" i="1"/>
  <c r="D56" i="2"/>
  <c r="C66" i="1"/>
  <c r="D57" i="2"/>
  <c r="C67" i="1"/>
  <c r="D58" i="2"/>
  <c r="C68" i="1"/>
  <c r="D59" i="2"/>
  <c r="C69" i="1"/>
  <c r="D60" i="2"/>
  <c r="C70" i="1"/>
  <c r="D61" i="2"/>
  <c r="C71" i="1"/>
  <c r="D62" i="2"/>
  <c r="C72" i="1"/>
  <c r="D63" i="2"/>
  <c r="C73" i="1"/>
  <c r="D64" i="2"/>
  <c r="C74" i="1"/>
  <c r="D65" i="2"/>
  <c r="C75" i="1"/>
  <c r="D66" i="2"/>
  <c r="C76" i="1"/>
  <c r="D67" i="2"/>
  <c r="C77" i="1"/>
  <c r="D68" i="2"/>
  <c r="C78" i="1"/>
  <c r="D69" i="2"/>
  <c r="C79" i="1"/>
  <c r="D70" i="2"/>
  <c r="C80" i="1"/>
  <c r="D71" i="2"/>
  <c r="C81" i="1"/>
  <c r="D72" i="2"/>
  <c r="C82" i="1"/>
  <c r="D73" i="2"/>
  <c r="C83" i="1"/>
  <c r="D74" i="2"/>
  <c r="C84" i="1"/>
  <c r="D75" i="2"/>
  <c r="C85" i="1"/>
  <c r="D76" i="2"/>
  <c r="C86" i="1"/>
  <c r="D77" i="2"/>
  <c r="C87" i="1"/>
  <c r="D78" i="2"/>
  <c r="C88" i="1"/>
  <c r="D79" i="2"/>
  <c r="C89" i="1"/>
  <c r="D80" i="2"/>
  <c r="C90" i="1"/>
  <c r="D81" i="2"/>
  <c r="C91" i="1"/>
  <c r="D82" i="2"/>
  <c r="C92" i="1"/>
  <c r="D83" i="2"/>
  <c r="C93" i="1"/>
  <c r="D84" i="2"/>
  <c r="C94" i="1"/>
  <c r="D85" i="2"/>
  <c r="C95" i="1"/>
  <c r="D86" i="2"/>
  <c r="C96" i="1"/>
  <c r="D87" i="2"/>
  <c r="C97" i="1"/>
  <c r="D88" i="2"/>
  <c r="C98" i="1"/>
  <c r="D89" i="2"/>
  <c r="C99" i="1"/>
  <c r="D90" i="2"/>
  <c r="C100" i="1"/>
  <c r="D91" i="2"/>
  <c r="C101" i="1"/>
  <c r="D92" i="2"/>
  <c r="C102" i="1"/>
  <c r="D93" i="2"/>
  <c r="C103" i="1"/>
  <c r="D94" i="2"/>
  <c r="C104" i="1"/>
  <c r="D95" i="2"/>
  <c r="C105" i="1"/>
  <c r="D22" i="2"/>
  <c r="C32" i="1"/>
  <c r="D12" i="2"/>
  <c r="C19" i="1"/>
  <c r="D13" i="2"/>
  <c r="C20" i="1"/>
  <c r="D14" i="2"/>
  <c r="C21" i="1"/>
  <c r="D15" i="2"/>
  <c r="C22" i="1"/>
  <c r="D16" i="2"/>
  <c r="C23" i="1"/>
  <c r="D17" i="2"/>
  <c r="C24" i="1"/>
  <c r="D18" i="2"/>
  <c r="C25" i="1"/>
  <c r="D19" i="2"/>
  <c r="C26" i="1"/>
  <c r="D20" i="2"/>
  <c r="C27" i="1"/>
  <c r="D21" i="2"/>
  <c r="C28" i="1"/>
  <c r="D11" i="2"/>
  <c r="C18" i="1"/>
  <c r="D2" i="2"/>
  <c r="C6" i="1"/>
  <c r="D3" i="2"/>
  <c r="C7" i="1"/>
  <c r="D4" i="2"/>
  <c r="C8" i="1"/>
  <c r="D5" i="2"/>
  <c r="C9" i="1"/>
  <c r="D6" i="2"/>
  <c r="C10" i="1"/>
  <c r="D7" i="2"/>
  <c r="C11" i="1"/>
  <c r="D8" i="2"/>
  <c r="C12" i="1"/>
  <c r="D9" i="2"/>
  <c r="C13" i="1"/>
  <c r="D10" i="2"/>
  <c r="C14" i="1"/>
  <c r="C5" i="1"/>
  <c r="D1" i="2"/>
  <c r="AB33" i="1"/>
  <c r="AB34" i="1"/>
  <c r="AB35" i="1"/>
  <c r="AB36" i="1"/>
  <c r="AB37" i="1"/>
  <c r="AB38" i="1"/>
  <c r="AB39" i="1"/>
  <c r="AB40" i="1"/>
  <c r="AB41" i="1"/>
  <c r="AB42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32" i="1"/>
  <c r="M33" i="1"/>
  <c r="M34" i="1"/>
  <c r="M35" i="1"/>
  <c r="M36" i="1"/>
  <c r="M37" i="1"/>
  <c r="M38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2" i="1"/>
  <c r="M19" i="1"/>
  <c r="M20" i="1"/>
  <c r="M21" i="1"/>
  <c r="M22" i="1"/>
  <c r="M23" i="1"/>
  <c r="M24" i="1"/>
  <c r="M25" i="1"/>
  <c r="M26" i="1"/>
  <c r="M27" i="1"/>
  <c r="M28" i="1"/>
  <c r="M18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5" i="1"/>
  <c r="M5" i="1"/>
  <c r="Z33" i="1"/>
  <c r="AA33" i="1"/>
  <c r="Z34" i="1"/>
  <c r="AA34" i="1"/>
  <c r="Z35" i="1"/>
  <c r="AA35" i="1"/>
  <c r="Z36" i="1"/>
  <c r="AA36" i="1"/>
  <c r="Z37" i="1"/>
  <c r="AA37" i="1"/>
  <c r="Z38" i="1"/>
  <c r="AA38" i="1"/>
  <c r="Z39" i="1"/>
  <c r="AA39" i="1"/>
  <c r="Z40" i="1"/>
  <c r="AA40" i="1"/>
  <c r="Z41" i="1"/>
  <c r="AA41" i="1"/>
  <c r="Z42" i="1"/>
  <c r="AA42" i="1"/>
  <c r="Z44" i="1"/>
  <c r="AA44" i="1"/>
  <c r="Z45" i="1"/>
  <c r="AA45" i="1"/>
  <c r="Z46" i="1"/>
  <c r="AA46" i="1"/>
  <c r="Z47" i="1"/>
  <c r="AA47" i="1"/>
  <c r="Z48" i="1"/>
  <c r="AA48" i="1"/>
  <c r="Z49" i="1"/>
  <c r="AA49" i="1"/>
  <c r="Z50" i="1"/>
  <c r="AA50" i="1"/>
  <c r="Z51" i="1"/>
  <c r="AA51" i="1"/>
  <c r="Z52" i="1"/>
  <c r="AA52" i="1"/>
  <c r="Z53" i="1"/>
  <c r="AA53" i="1"/>
  <c r="Z54" i="1"/>
  <c r="AA54" i="1"/>
  <c r="Z55" i="1"/>
  <c r="AA55" i="1"/>
  <c r="Z56" i="1"/>
  <c r="AA56" i="1"/>
  <c r="Z57" i="1"/>
  <c r="AA57" i="1"/>
  <c r="Z58" i="1"/>
  <c r="AA58" i="1"/>
  <c r="Z59" i="1"/>
  <c r="AA59" i="1"/>
  <c r="Z60" i="1"/>
  <c r="AA60" i="1"/>
  <c r="Z61" i="1"/>
  <c r="AA61" i="1"/>
  <c r="Z62" i="1"/>
  <c r="AA62" i="1"/>
  <c r="Z63" i="1"/>
  <c r="AA63" i="1"/>
  <c r="Z64" i="1"/>
  <c r="AA64" i="1"/>
  <c r="Z65" i="1"/>
  <c r="AA65" i="1"/>
  <c r="Z66" i="1"/>
  <c r="AA66" i="1"/>
  <c r="Z67" i="1"/>
  <c r="AA67" i="1"/>
  <c r="Z68" i="1"/>
  <c r="AA68" i="1"/>
  <c r="Z69" i="1"/>
  <c r="AA69" i="1"/>
  <c r="Z70" i="1"/>
  <c r="AA70" i="1"/>
  <c r="Z71" i="1"/>
  <c r="AA71" i="1"/>
  <c r="Z72" i="1"/>
  <c r="AA72" i="1"/>
  <c r="Z73" i="1"/>
  <c r="AA73" i="1"/>
  <c r="Z74" i="1"/>
  <c r="AA74" i="1"/>
  <c r="Z75" i="1"/>
  <c r="AA75" i="1"/>
  <c r="Z76" i="1"/>
  <c r="AA76" i="1"/>
  <c r="Z77" i="1"/>
  <c r="AA77" i="1"/>
  <c r="Z78" i="1"/>
  <c r="AA78" i="1"/>
  <c r="Z79" i="1"/>
  <c r="AA79" i="1"/>
  <c r="Z80" i="1"/>
  <c r="AA80" i="1"/>
  <c r="Z81" i="1"/>
  <c r="AA81" i="1"/>
  <c r="Z82" i="1"/>
  <c r="AA82" i="1"/>
  <c r="Z83" i="1"/>
  <c r="AA83" i="1"/>
  <c r="Z84" i="1"/>
  <c r="AA84" i="1"/>
  <c r="Z85" i="1"/>
  <c r="AA85" i="1"/>
  <c r="Z86" i="1"/>
  <c r="AA86" i="1"/>
  <c r="Z87" i="1"/>
  <c r="AA87" i="1"/>
  <c r="Z88" i="1"/>
  <c r="AA88" i="1"/>
  <c r="Z89" i="1"/>
  <c r="AA89" i="1"/>
  <c r="Z90" i="1"/>
  <c r="AA90" i="1"/>
  <c r="Z91" i="1"/>
  <c r="AA91" i="1"/>
  <c r="Z92" i="1"/>
  <c r="AA92" i="1"/>
  <c r="Z93" i="1"/>
  <c r="AA93" i="1"/>
  <c r="Z94" i="1"/>
  <c r="AA94" i="1"/>
  <c r="Z95" i="1"/>
  <c r="AA95" i="1"/>
  <c r="Z96" i="1"/>
  <c r="AA96" i="1"/>
  <c r="Z97" i="1"/>
  <c r="AA97" i="1"/>
  <c r="Z32" i="1"/>
  <c r="AA32" i="1"/>
  <c r="K33" i="1"/>
  <c r="L33" i="1"/>
  <c r="K34" i="1"/>
  <c r="L34" i="1"/>
  <c r="K35" i="1"/>
  <c r="L35" i="1"/>
  <c r="K36" i="1"/>
  <c r="L36" i="1"/>
  <c r="K37" i="1"/>
  <c r="L37" i="1"/>
  <c r="K38" i="1"/>
  <c r="L38" i="1"/>
  <c r="K105" i="1"/>
  <c r="L105" i="1"/>
  <c r="K104" i="1"/>
  <c r="L104" i="1"/>
  <c r="K103" i="1"/>
  <c r="L103" i="1"/>
  <c r="K102" i="1"/>
  <c r="L102" i="1"/>
  <c r="K101" i="1"/>
  <c r="L101" i="1"/>
  <c r="K100" i="1"/>
  <c r="L100" i="1"/>
  <c r="K99" i="1"/>
  <c r="L99" i="1"/>
  <c r="K98" i="1"/>
  <c r="L98" i="1"/>
  <c r="K97" i="1"/>
  <c r="L97" i="1"/>
  <c r="K96" i="1"/>
  <c r="L96" i="1"/>
  <c r="K95" i="1"/>
  <c r="L95" i="1"/>
  <c r="K94" i="1"/>
  <c r="L94" i="1"/>
  <c r="K93" i="1"/>
  <c r="L93" i="1"/>
  <c r="K92" i="1"/>
  <c r="L92" i="1"/>
  <c r="K91" i="1"/>
  <c r="L91" i="1"/>
  <c r="K90" i="1"/>
  <c r="L90" i="1"/>
  <c r="K89" i="1"/>
  <c r="L89" i="1"/>
  <c r="K88" i="1"/>
  <c r="L88" i="1"/>
  <c r="K87" i="1"/>
  <c r="L87" i="1"/>
  <c r="K86" i="1"/>
  <c r="L86" i="1"/>
  <c r="K85" i="1"/>
  <c r="L85" i="1"/>
  <c r="K84" i="1"/>
  <c r="L84" i="1"/>
  <c r="K83" i="1"/>
  <c r="L83" i="1"/>
  <c r="K82" i="1"/>
  <c r="L82" i="1"/>
  <c r="K81" i="1"/>
  <c r="L81" i="1"/>
  <c r="K80" i="1"/>
  <c r="L80" i="1"/>
  <c r="K79" i="1"/>
  <c r="L79" i="1"/>
  <c r="K78" i="1"/>
  <c r="L78" i="1"/>
  <c r="K77" i="1"/>
  <c r="L77" i="1"/>
  <c r="K76" i="1"/>
  <c r="L76" i="1"/>
  <c r="K75" i="1"/>
  <c r="L75" i="1"/>
  <c r="K74" i="1"/>
  <c r="L74" i="1"/>
  <c r="K73" i="1"/>
  <c r="L73" i="1"/>
  <c r="K72" i="1"/>
  <c r="L72" i="1"/>
  <c r="K71" i="1"/>
  <c r="L71" i="1"/>
  <c r="K70" i="1"/>
  <c r="L70" i="1"/>
  <c r="K69" i="1"/>
  <c r="L69" i="1"/>
  <c r="K68" i="1"/>
  <c r="L68" i="1"/>
  <c r="K67" i="1"/>
  <c r="L67" i="1"/>
  <c r="K66" i="1"/>
  <c r="L66" i="1"/>
  <c r="K65" i="1"/>
  <c r="L65" i="1"/>
  <c r="K64" i="1"/>
  <c r="L64" i="1"/>
  <c r="K63" i="1"/>
  <c r="L63" i="1"/>
  <c r="K62" i="1"/>
  <c r="L62" i="1"/>
  <c r="K61" i="1"/>
  <c r="L61" i="1"/>
  <c r="K60" i="1"/>
  <c r="L60" i="1"/>
  <c r="K59" i="1"/>
  <c r="L59" i="1"/>
  <c r="K58" i="1"/>
  <c r="L58" i="1"/>
  <c r="K57" i="1"/>
  <c r="L57" i="1"/>
  <c r="K56" i="1"/>
  <c r="L56" i="1"/>
  <c r="K55" i="1"/>
  <c r="L55" i="1"/>
  <c r="K54" i="1"/>
  <c r="L54" i="1"/>
  <c r="K53" i="1"/>
  <c r="L53" i="1"/>
  <c r="K52" i="1"/>
  <c r="L52" i="1"/>
  <c r="K51" i="1"/>
  <c r="L51" i="1"/>
  <c r="K50" i="1"/>
  <c r="L50" i="1"/>
  <c r="K49" i="1"/>
  <c r="L49" i="1"/>
  <c r="K48" i="1"/>
  <c r="L48" i="1"/>
  <c r="K47" i="1"/>
  <c r="L47" i="1"/>
  <c r="K46" i="1"/>
  <c r="L46" i="1"/>
  <c r="K45" i="1"/>
  <c r="L45" i="1"/>
  <c r="K44" i="1"/>
  <c r="L44" i="1"/>
  <c r="K43" i="1"/>
  <c r="L43" i="1"/>
  <c r="K42" i="1"/>
  <c r="L42" i="1"/>
  <c r="K41" i="1"/>
  <c r="L41" i="1"/>
  <c r="K40" i="1"/>
  <c r="L40" i="1"/>
  <c r="K39" i="1"/>
  <c r="L39" i="1"/>
  <c r="K32" i="1"/>
  <c r="L32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18" i="1"/>
  <c r="L18" i="1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L4" i="2"/>
  <c r="AB4" i="2"/>
  <c r="AC4" i="2"/>
  <c r="AD4" i="2"/>
  <c r="AE4" i="2"/>
  <c r="AF4" i="2"/>
  <c r="AG4" i="2"/>
  <c r="AH4" i="2"/>
  <c r="AI4" i="2"/>
  <c r="AJ4" i="2"/>
  <c r="AK4" i="2"/>
  <c r="AM4" i="2"/>
  <c r="AN4" i="2"/>
  <c r="AO4" i="2"/>
  <c r="AP4" i="2"/>
  <c r="AQ4" i="2"/>
  <c r="AR4" i="2"/>
  <c r="AS4" i="2"/>
  <c r="AT4" i="2"/>
  <c r="AU4" i="2"/>
  <c r="AV4" i="2"/>
  <c r="AV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L6" i="2"/>
  <c r="AC6" i="2"/>
  <c r="AD6" i="2"/>
  <c r="AE6" i="2"/>
  <c r="AF6" i="2"/>
  <c r="AG6" i="2"/>
  <c r="AH6" i="2"/>
  <c r="AI6" i="2"/>
  <c r="AJ6" i="2"/>
  <c r="AK6" i="2"/>
  <c r="AB6" i="2"/>
  <c r="AM6" i="2"/>
  <c r="AN6" i="2"/>
  <c r="AO6" i="2"/>
  <c r="AP6" i="2"/>
  <c r="AQ6" i="2"/>
  <c r="AR6" i="2"/>
  <c r="AS6" i="2"/>
  <c r="AT6" i="2"/>
  <c r="AU6" i="2"/>
  <c r="AV6" i="2"/>
  <c r="AL7" i="2"/>
  <c r="AB7" i="2"/>
  <c r="AC7" i="2"/>
  <c r="AD7" i="2"/>
  <c r="AE7" i="2"/>
  <c r="AF7" i="2"/>
  <c r="AG7" i="2"/>
  <c r="AH7" i="2"/>
  <c r="AI7" i="2"/>
  <c r="AJ7" i="2"/>
  <c r="AK7" i="2"/>
  <c r="AM7" i="2"/>
  <c r="AN7" i="2"/>
  <c r="AO7" i="2"/>
  <c r="AP7" i="2"/>
  <c r="AQ7" i="2"/>
  <c r="AR7" i="2"/>
  <c r="AS7" i="2"/>
  <c r="AT7" i="2"/>
  <c r="AU7" i="2"/>
  <c r="AV7" i="2"/>
  <c r="AV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L10" i="2"/>
  <c r="AC10" i="2"/>
  <c r="AD10" i="2"/>
  <c r="AE10" i="2"/>
  <c r="AF10" i="2"/>
  <c r="AG10" i="2"/>
  <c r="AH10" i="2"/>
  <c r="AI10" i="2"/>
  <c r="AJ10" i="2"/>
  <c r="AK10" i="2"/>
  <c r="AM10" i="2"/>
  <c r="AB10" i="2"/>
  <c r="AN10" i="2"/>
  <c r="AO10" i="2"/>
  <c r="AP10" i="2"/>
  <c r="AQ10" i="2"/>
  <c r="AR10" i="2"/>
  <c r="AS10" i="2"/>
  <c r="AT10" i="2"/>
  <c r="AU10" i="2"/>
  <c r="AV10" i="2"/>
  <c r="AL11" i="2"/>
  <c r="AB11" i="2"/>
  <c r="AC11" i="2"/>
  <c r="AD11" i="2"/>
  <c r="AE11" i="2"/>
  <c r="AF11" i="2"/>
  <c r="AG11" i="2"/>
  <c r="AH11" i="2"/>
  <c r="AI11" i="2"/>
  <c r="AJ11" i="2"/>
  <c r="AK11" i="2"/>
  <c r="AM11" i="2"/>
  <c r="AN11" i="2"/>
  <c r="AO11" i="2"/>
  <c r="AP11" i="2"/>
  <c r="AQ11" i="2"/>
  <c r="AR11" i="2"/>
  <c r="AS11" i="2"/>
  <c r="AT11" i="2"/>
  <c r="AU11" i="2"/>
  <c r="AV11" i="2"/>
  <c r="AV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B14" i="2"/>
  <c r="AD14" i="2"/>
  <c r="AE14" i="2"/>
  <c r="AF14" i="2"/>
  <c r="AG14" i="2"/>
  <c r="AH14" i="2"/>
  <c r="AI14" i="2"/>
  <c r="AJ14" i="2"/>
  <c r="AK14" i="2"/>
  <c r="AL14" i="2"/>
  <c r="AC14" i="2"/>
  <c r="AM14" i="2"/>
  <c r="AN14" i="2"/>
  <c r="AO14" i="2"/>
  <c r="AP14" i="2"/>
  <c r="AQ14" i="2"/>
  <c r="AR14" i="2"/>
  <c r="AS14" i="2"/>
  <c r="AT14" i="2"/>
  <c r="AU14" i="2"/>
  <c r="AV14" i="2"/>
  <c r="AL15" i="2"/>
  <c r="AB15" i="2"/>
  <c r="AC15" i="2"/>
  <c r="AD15" i="2"/>
  <c r="AE15" i="2"/>
  <c r="AF15" i="2"/>
  <c r="AG15" i="2"/>
  <c r="AH15" i="2"/>
  <c r="AI15" i="2"/>
  <c r="AJ15" i="2"/>
  <c r="AK15" i="2"/>
  <c r="AM15" i="2"/>
  <c r="AN15" i="2"/>
  <c r="AO15" i="2"/>
  <c r="AP15" i="2"/>
  <c r="AQ15" i="2"/>
  <c r="AR15" i="2"/>
  <c r="AS15" i="2"/>
  <c r="AT15" i="2"/>
  <c r="AU15" i="2"/>
  <c r="AV15" i="2"/>
  <c r="AV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N18" i="2"/>
  <c r="AP18" i="2"/>
  <c r="AC18" i="2"/>
  <c r="AD18" i="2"/>
  <c r="AE18" i="2"/>
  <c r="AF18" i="2"/>
  <c r="AG18" i="2"/>
  <c r="AH18" i="2"/>
  <c r="AI18" i="2"/>
  <c r="AJ18" i="2"/>
  <c r="AK18" i="2"/>
  <c r="AL18" i="2"/>
  <c r="AQ18" i="2"/>
  <c r="AR18" i="2"/>
  <c r="AS18" i="2"/>
  <c r="AT18" i="2"/>
  <c r="AU18" i="2"/>
  <c r="AV18" i="2"/>
  <c r="AB18" i="2"/>
  <c r="AO18" i="2"/>
  <c r="AM18" i="2"/>
  <c r="AC19" i="2"/>
  <c r="AB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E19" i="2"/>
  <c r="AD19" i="2"/>
  <c r="AF19" i="2"/>
  <c r="AD20" i="2"/>
  <c r="AC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B20" i="2"/>
  <c r="AE20" i="2"/>
  <c r="AP21" i="2"/>
  <c r="AF21" i="2"/>
  <c r="AG21" i="2"/>
  <c r="AH21" i="2"/>
  <c r="AI21" i="2"/>
  <c r="AJ21" i="2"/>
  <c r="AK21" i="2"/>
  <c r="AL21" i="2"/>
  <c r="AM21" i="2"/>
  <c r="AN21" i="2"/>
  <c r="AE21" i="2"/>
  <c r="AD21" i="2"/>
  <c r="AQ21" i="2"/>
  <c r="AR21" i="2"/>
  <c r="AS21" i="2"/>
  <c r="AT21" i="2"/>
  <c r="AU21" i="2"/>
  <c r="AV21" i="2"/>
  <c r="AB21" i="2"/>
  <c r="AC21" i="2"/>
  <c r="AO21" i="2"/>
  <c r="AP22" i="2"/>
  <c r="AF22" i="2"/>
  <c r="AG22" i="2"/>
  <c r="AH22" i="2"/>
  <c r="AI22" i="2"/>
  <c r="AJ22" i="2"/>
  <c r="AK22" i="2"/>
  <c r="AL22" i="2"/>
  <c r="AM22" i="2"/>
  <c r="AN22" i="2"/>
  <c r="AO22" i="2"/>
  <c r="AC22" i="2"/>
  <c r="AQ22" i="2"/>
  <c r="AR22" i="2"/>
  <c r="AS22" i="2"/>
  <c r="AT22" i="2"/>
  <c r="AU22" i="2"/>
  <c r="AV22" i="2"/>
  <c r="AE22" i="2"/>
  <c r="AB22" i="2"/>
  <c r="AD22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C23" i="2"/>
  <c r="AB23" i="2"/>
  <c r="AD23" i="2"/>
  <c r="AO24" i="2"/>
  <c r="AD24" i="2"/>
  <c r="AG24" i="2"/>
  <c r="AH24" i="2"/>
  <c r="AI24" i="2"/>
  <c r="AJ24" i="2"/>
  <c r="AK24" i="2"/>
  <c r="AL24" i="2"/>
  <c r="AM24" i="2"/>
  <c r="AN24" i="2"/>
  <c r="AB24" i="2"/>
  <c r="AP24" i="2"/>
  <c r="AQ24" i="2"/>
  <c r="AR24" i="2"/>
  <c r="AS24" i="2"/>
  <c r="AT24" i="2"/>
  <c r="AU24" i="2"/>
  <c r="AV24" i="2"/>
  <c r="AF24" i="2"/>
  <c r="AC24" i="2"/>
  <c r="AE24" i="2"/>
  <c r="AC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E25" i="2"/>
  <c r="AD25" i="2"/>
  <c r="AB25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B26" i="2"/>
  <c r="AC26" i="2"/>
  <c r="AN27" i="2"/>
  <c r="AB27" i="2"/>
  <c r="AF27" i="2"/>
  <c r="AG27" i="2"/>
  <c r="AH27" i="2"/>
  <c r="AI27" i="2"/>
  <c r="AJ27" i="2"/>
  <c r="AK27" i="2"/>
  <c r="AL27" i="2"/>
  <c r="AM27" i="2"/>
  <c r="AC27" i="2"/>
  <c r="AO27" i="2"/>
  <c r="AP27" i="2"/>
  <c r="AQ27" i="2"/>
  <c r="AR27" i="2"/>
  <c r="AS27" i="2"/>
  <c r="AT27" i="2"/>
  <c r="AU27" i="2"/>
  <c r="AV27" i="2"/>
  <c r="AE27" i="2"/>
  <c r="AD27" i="2"/>
  <c r="AO28" i="2"/>
  <c r="AE28" i="2"/>
  <c r="AF28" i="2"/>
  <c r="AG28" i="2"/>
  <c r="AH28" i="2"/>
  <c r="AI28" i="2"/>
  <c r="AJ28" i="2"/>
  <c r="AK28" i="2"/>
  <c r="AL28" i="2"/>
  <c r="AM28" i="2"/>
  <c r="AN28" i="2"/>
  <c r="AB28" i="2"/>
  <c r="AP28" i="2"/>
  <c r="AQ28" i="2"/>
  <c r="AR28" i="2"/>
  <c r="AS28" i="2"/>
  <c r="AT28" i="2"/>
  <c r="AU28" i="2"/>
  <c r="AV28" i="2"/>
  <c r="AD28" i="2"/>
  <c r="AC28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B29" i="2"/>
  <c r="AC29" i="2"/>
  <c r="AQ30" i="2"/>
  <c r="AM30" i="2"/>
  <c r="AK30" i="2"/>
  <c r="AJ30" i="2"/>
  <c r="AI30" i="2"/>
  <c r="AH30" i="2"/>
  <c r="AG30" i="2"/>
  <c r="AF30" i="2"/>
  <c r="AE30" i="2"/>
  <c r="AD30" i="2"/>
  <c r="AC30" i="2"/>
  <c r="AB30" i="2"/>
  <c r="AN30" i="2"/>
  <c r="AO30" i="2"/>
  <c r="AP30" i="2"/>
  <c r="AR30" i="2"/>
  <c r="AS30" i="2"/>
  <c r="AT30" i="2"/>
  <c r="AU30" i="2"/>
  <c r="AV30" i="2"/>
  <c r="AL30" i="2"/>
  <c r="AV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B32" i="2"/>
  <c r="AM32" i="2"/>
  <c r="AC32" i="2"/>
  <c r="AD32" i="2"/>
  <c r="AE32" i="2"/>
  <c r="AF32" i="2"/>
  <c r="AG32" i="2"/>
  <c r="AH32" i="2"/>
  <c r="AI32" i="2"/>
  <c r="AJ32" i="2"/>
  <c r="AK32" i="2"/>
  <c r="AL32" i="2"/>
  <c r="AN32" i="2"/>
  <c r="AP32" i="2"/>
  <c r="AQ32" i="2"/>
  <c r="AR32" i="2"/>
  <c r="AS32" i="2"/>
  <c r="AT32" i="2"/>
  <c r="AU32" i="2"/>
  <c r="AV32" i="2"/>
  <c r="AO32" i="2"/>
  <c r="AB33" i="2"/>
  <c r="AC33" i="2"/>
  <c r="AG33" i="2"/>
  <c r="AH33" i="2"/>
  <c r="AI33" i="2"/>
  <c r="AJ33" i="2"/>
  <c r="AK33" i="2"/>
  <c r="AL33" i="2"/>
  <c r="AM33" i="2"/>
  <c r="AN33" i="2"/>
  <c r="AD33" i="2"/>
  <c r="AO33" i="2"/>
  <c r="AP33" i="2"/>
  <c r="AQ33" i="2"/>
  <c r="AR33" i="2"/>
  <c r="AS33" i="2"/>
  <c r="AT33" i="2"/>
  <c r="AU33" i="2"/>
  <c r="AV33" i="2"/>
  <c r="AF33" i="2"/>
  <c r="AE33" i="2"/>
  <c r="AO34" i="2"/>
  <c r="AQ34" i="2"/>
  <c r="AM34" i="2"/>
  <c r="AR34" i="2"/>
  <c r="AS34" i="2"/>
  <c r="AT34" i="2"/>
  <c r="AU34" i="2"/>
  <c r="AV34" i="2"/>
  <c r="AP34" i="2"/>
  <c r="AB34" i="2"/>
  <c r="AC34" i="2"/>
  <c r="AD34" i="2"/>
  <c r="AE34" i="2"/>
  <c r="AF34" i="2"/>
  <c r="AG34" i="2"/>
  <c r="AH34" i="2"/>
  <c r="AI34" i="2"/>
  <c r="AJ34" i="2"/>
  <c r="AK34" i="2"/>
  <c r="AL34" i="2"/>
  <c r="AN34" i="2"/>
  <c r="AN35" i="2"/>
  <c r="AM35" i="2"/>
  <c r="AP35" i="2"/>
  <c r="AQ35" i="2"/>
  <c r="AR35" i="2"/>
  <c r="AS35" i="2"/>
  <c r="AT35" i="2"/>
  <c r="AU35" i="2"/>
  <c r="AV35" i="2"/>
  <c r="AL35" i="2"/>
  <c r="AK35" i="2"/>
  <c r="AJ35" i="2"/>
  <c r="AI35" i="2"/>
  <c r="AH35" i="2"/>
  <c r="AG35" i="2"/>
  <c r="AF35" i="2"/>
  <c r="AE35" i="2"/>
  <c r="AD35" i="2"/>
  <c r="AC35" i="2"/>
  <c r="AB35" i="2"/>
  <c r="AO35" i="2"/>
  <c r="AN36" i="2"/>
  <c r="AM36" i="2"/>
  <c r="AO36" i="2"/>
  <c r="AP36" i="2"/>
  <c r="AQ36" i="2"/>
  <c r="AR36" i="2"/>
  <c r="AS36" i="2"/>
  <c r="AT36" i="2"/>
  <c r="AU36" i="2"/>
  <c r="AV36" i="2"/>
  <c r="AB36" i="2"/>
  <c r="AC36" i="2"/>
  <c r="AD36" i="2"/>
  <c r="AE36" i="2"/>
  <c r="AF36" i="2"/>
  <c r="AG36" i="2"/>
  <c r="AH36" i="2"/>
  <c r="AI36" i="2"/>
  <c r="AJ36" i="2"/>
  <c r="AK36" i="2"/>
  <c r="AL36" i="2"/>
  <c r="AM37" i="2"/>
  <c r="AN37" i="2"/>
  <c r="AO37" i="2"/>
  <c r="AP37" i="2"/>
  <c r="AQ37" i="2"/>
  <c r="AR37" i="2"/>
  <c r="AS37" i="2"/>
  <c r="AT37" i="2"/>
  <c r="AU37" i="2"/>
  <c r="AL37" i="2"/>
  <c r="AK37" i="2"/>
  <c r="AJ37" i="2"/>
  <c r="AI37" i="2"/>
  <c r="AH37" i="2"/>
  <c r="AG37" i="2"/>
  <c r="AF37" i="2"/>
  <c r="AE37" i="2"/>
  <c r="AD37" i="2"/>
  <c r="AC37" i="2"/>
  <c r="AB37" i="2"/>
  <c r="AV37" i="2"/>
  <c r="AO38" i="2"/>
  <c r="AR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P38" i="2"/>
  <c r="AQ38" i="2"/>
  <c r="AN38" i="2"/>
  <c r="AS38" i="2"/>
  <c r="AT38" i="2"/>
  <c r="AU38" i="2"/>
  <c r="AV38" i="2"/>
  <c r="AV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P40" i="2"/>
  <c r="AQ40" i="2"/>
  <c r="AR40" i="2"/>
  <c r="AS40" i="2"/>
  <c r="AT40" i="2"/>
  <c r="AU40" i="2"/>
  <c r="AV40" i="2"/>
  <c r="AV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C42" i="2"/>
  <c r="AO42" i="2"/>
  <c r="AM42" i="2"/>
  <c r="AL42" i="2"/>
  <c r="AK42" i="2"/>
  <c r="AJ42" i="2"/>
  <c r="AI42" i="2"/>
  <c r="AH42" i="2"/>
  <c r="AG42" i="2"/>
  <c r="AF42" i="2"/>
  <c r="AE42" i="2"/>
  <c r="AD42" i="2"/>
  <c r="AP42" i="2"/>
  <c r="AQ42" i="2"/>
  <c r="AR42" i="2"/>
  <c r="AS42" i="2"/>
  <c r="AT42" i="2"/>
  <c r="AU42" i="2"/>
  <c r="AV42" i="2"/>
  <c r="AB42" i="2"/>
  <c r="AN42" i="2"/>
  <c r="AV43" i="2"/>
  <c r="AJ43" i="2"/>
  <c r="AL43" i="2"/>
  <c r="AB43" i="2"/>
  <c r="AC43" i="2"/>
  <c r="AD43" i="2"/>
  <c r="AE43" i="2"/>
  <c r="AF43" i="2"/>
  <c r="AG43" i="2"/>
  <c r="AH43" i="2"/>
  <c r="AI43" i="2"/>
  <c r="AK43" i="2"/>
  <c r="AM43" i="2"/>
  <c r="AN43" i="2"/>
  <c r="AO43" i="2"/>
  <c r="AP43" i="2"/>
  <c r="AQ43" i="2"/>
  <c r="AR43" i="2"/>
  <c r="AS43" i="2"/>
  <c r="AT43" i="2"/>
  <c r="AU43" i="2"/>
  <c r="AC44" i="2"/>
  <c r="AS44" i="2"/>
  <c r="AV44" i="2"/>
  <c r="AU44" i="2"/>
  <c r="AD44" i="2"/>
  <c r="AE44" i="2"/>
  <c r="AF44" i="2"/>
  <c r="AG44" i="2"/>
  <c r="AH44" i="2"/>
  <c r="AI44" i="2"/>
  <c r="AJ44" i="2"/>
  <c r="AK44" i="2"/>
  <c r="AL44" i="2"/>
  <c r="AT44" i="2"/>
  <c r="AM44" i="2"/>
  <c r="AN44" i="2"/>
  <c r="AO44" i="2"/>
  <c r="AP44" i="2"/>
  <c r="AQ44" i="2"/>
  <c r="AR44" i="2"/>
  <c r="AB44" i="2"/>
  <c r="AF45" i="2"/>
  <c r="AE45" i="2"/>
  <c r="AV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AB45" i="2"/>
  <c r="AC45" i="2"/>
  <c r="AD45" i="2"/>
  <c r="AD46" i="2"/>
  <c r="AE46" i="2"/>
  <c r="AQ46" i="2"/>
  <c r="AO46" i="2"/>
  <c r="AF46" i="2"/>
  <c r="AG46" i="2"/>
  <c r="AH46" i="2"/>
  <c r="AI46" i="2"/>
  <c r="AJ46" i="2"/>
  <c r="AK46" i="2"/>
  <c r="AB46" i="2"/>
  <c r="AR46" i="2"/>
  <c r="AL46" i="2"/>
  <c r="AM46" i="2"/>
  <c r="AS46" i="2"/>
  <c r="AT46" i="2"/>
  <c r="AU46" i="2"/>
  <c r="AV46" i="2"/>
  <c r="AC46" i="2"/>
  <c r="AP46" i="2"/>
  <c r="AN46" i="2"/>
  <c r="AP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V47" i="2"/>
  <c r="AU47" i="2"/>
  <c r="AT47" i="2"/>
  <c r="AS47" i="2"/>
  <c r="AR47" i="2"/>
  <c r="AQ47" i="2"/>
  <c r="AO48" i="2"/>
  <c r="AR48" i="2"/>
  <c r="AB48" i="2"/>
  <c r="AC48" i="2"/>
  <c r="AQ48" i="2"/>
  <c r="AE48" i="2"/>
  <c r="AF48" i="2"/>
  <c r="AG48" i="2"/>
  <c r="AH48" i="2"/>
  <c r="AI48" i="2"/>
  <c r="AJ48" i="2"/>
  <c r="AK48" i="2"/>
  <c r="AL48" i="2"/>
  <c r="AM48" i="2"/>
  <c r="AP48" i="2"/>
  <c r="AS48" i="2"/>
  <c r="AT48" i="2"/>
  <c r="AU48" i="2"/>
  <c r="AV48" i="2"/>
  <c r="AN48" i="2"/>
  <c r="AD48" i="2"/>
  <c r="AK49" i="2"/>
  <c r="AH49" i="2"/>
  <c r="AJ49" i="2"/>
  <c r="AB49" i="2"/>
  <c r="AC49" i="2"/>
  <c r="AD49" i="2"/>
  <c r="AE49" i="2"/>
  <c r="AF49" i="2"/>
  <c r="AG49" i="2"/>
  <c r="AL49" i="2"/>
  <c r="AM49" i="2"/>
  <c r="AN49" i="2"/>
  <c r="AO49" i="2"/>
  <c r="AP49" i="2"/>
  <c r="AQ49" i="2"/>
  <c r="AR49" i="2"/>
  <c r="AS49" i="2"/>
  <c r="AT49" i="2"/>
  <c r="AU49" i="2"/>
  <c r="AV49" i="2"/>
  <c r="AI49" i="2"/>
  <c r="AL50" i="2"/>
  <c r="AC50" i="2"/>
  <c r="AD50" i="2"/>
  <c r="AE50" i="2"/>
  <c r="AB50" i="2"/>
  <c r="AF50" i="2"/>
  <c r="AG50" i="2"/>
  <c r="AH50" i="2"/>
  <c r="AI50" i="2"/>
  <c r="AJ50" i="2"/>
  <c r="AK50" i="2"/>
  <c r="AM50" i="2"/>
  <c r="AN50" i="2"/>
  <c r="AO50" i="2"/>
  <c r="AP50" i="2"/>
  <c r="AQ50" i="2"/>
  <c r="AR50" i="2"/>
  <c r="AS50" i="2"/>
  <c r="AT50" i="2"/>
  <c r="AU50" i="2"/>
  <c r="AV50" i="2"/>
  <c r="AV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Q51" i="2"/>
  <c r="AR51" i="2"/>
  <c r="AS51" i="2"/>
  <c r="AT51" i="2"/>
  <c r="AU51" i="2"/>
  <c r="AE52" i="2"/>
  <c r="AD52" i="2"/>
  <c r="AC52" i="2"/>
  <c r="AB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V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AQ53" i="2"/>
  <c r="AR53" i="2"/>
  <c r="AS53" i="2"/>
  <c r="AT53" i="2"/>
  <c r="AU53" i="2"/>
  <c r="AL54" i="2"/>
  <c r="AB54" i="2"/>
  <c r="AC54" i="2"/>
  <c r="AD54" i="2"/>
  <c r="AE54" i="2"/>
  <c r="AF54" i="2"/>
  <c r="AG54" i="2"/>
  <c r="AH54" i="2"/>
  <c r="AI54" i="2"/>
  <c r="AJ54" i="2"/>
  <c r="AK54" i="2"/>
  <c r="AM54" i="2"/>
  <c r="AN54" i="2"/>
  <c r="AO54" i="2"/>
  <c r="AP54" i="2"/>
  <c r="AQ54" i="2"/>
  <c r="AR54" i="2"/>
  <c r="AS54" i="2"/>
  <c r="AT54" i="2"/>
  <c r="AU54" i="2"/>
  <c r="AV54" i="2"/>
  <c r="AL55" i="2"/>
  <c r="AB55" i="2"/>
  <c r="AC55" i="2"/>
  <c r="AD55" i="2"/>
  <c r="AE55" i="2"/>
  <c r="AF55" i="2"/>
  <c r="AG55" i="2"/>
  <c r="AH55" i="2"/>
  <c r="AI55" i="2"/>
  <c r="AJ55" i="2"/>
  <c r="AK55" i="2"/>
  <c r="AM55" i="2"/>
  <c r="AN55" i="2"/>
  <c r="AO55" i="2"/>
  <c r="AP55" i="2"/>
  <c r="AQ55" i="2"/>
  <c r="AR55" i="2"/>
  <c r="AS55" i="2"/>
  <c r="AT55" i="2"/>
  <c r="AU55" i="2"/>
  <c r="AV55" i="2"/>
  <c r="AV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Q56" i="2"/>
  <c r="AR56" i="2"/>
  <c r="AS56" i="2"/>
  <c r="AT56" i="2"/>
  <c r="AU56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AQ57" i="2"/>
  <c r="AR57" i="2"/>
  <c r="AS57" i="2"/>
  <c r="AT57" i="2"/>
  <c r="AU57" i="2"/>
  <c r="AV57" i="2"/>
  <c r="AC58" i="2"/>
  <c r="AB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AQ58" i="2"/>
  <c r="AR58" i="2"/>
  <c r="AS58" i="2"/>
  <c r="AT58" i="2"/>
  <c r="AU58" i="2"/>
  <c r="AV58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AP59" i="2"/>
  <c r="AQ59" i="2"/>
  <c r="AR59" i="2"/>
  <c r="AS59" i="2"/>
  <c r="AT59" i="2"/>
  <c r="AU59" i="2"/>
  <c r="AV59" i="2"/>
  <c r="AB60" i="2"/>
  <c r="AM60" i="2"/>
  <c r="AC60" i="2"/>
  <c r="AD60" i="2"/>
  <c r="AE60" i="2"/>
  <c r="AF60" i="2"/>
  <c r="AG60" i="2"/>
  <c r="AH60" i="2"/>
  <c r="AI60" i="2"/>
  <c r="AJ60" i="2"/>
  <c r="AK60" i="2"/>
  <c r="AL60" i="2"/>
  <c r="AN60" i="2"/>
  <c r="AO60" i="2"/>
  <c r="AP60" i="2"/>
  <c r="AQ60" i="2"/>
  <c r="AR60" i="2"/>
  <c r="AS60" i="2"/>
  <c r="AT60" i="2"/>
  <c r="AU60" i="2"/>
  <c r="AV60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AQ61" i="2"/>
  <c r="AR61" i="2"/>
  <c r="AS61" i="2"/>
  <c r="AT61" i="2"/>
  <c r="AU61" i="2"/>
  <c r="AV61" i="2"/>
  <c r="AB61" i="2"/>
  <c r="AM62" i="2"/>
  <c r="AV62" i="2"/>
  <c r="AC62" i="2"/>
  <c r="AD62" i="2"/>
  <c r="AE62" i="2"/>
  <c r="AF62" i="2"/>
  <c r="AG62" i="2"/>
  <c r="AH62" i="2"/>
  <c r="AL62" i="2"/>
  <c r="AN62" i="2"/>
  <c r="AB62" i="2"/>
  <c r="AI62" i="2"/>
  <c r="AJ62" i="2"/>
  <c r="AK62" i="2"/>
  <c r="AO62" i="2"/>
  <c r="AP62" i="2"/>
  <c r="AQ62" i="2"/>
  <c r="AR62" i="2"/>
  <c r="AS62" i="2"/>
  <c r="AT62" i="2"/>
  <c r="AU62" i="2"/>
  <c r="AV63" i="2"/>
  <c r="AB63" i="2"/>
  <c r="AC63" i="2"/>
  <c r="AD63" i="2"/>
  <c r="AE63" i="2"/>
  <c r="AF63" i="2"/>
  <c r="AG63" i="2"/>
  <c r="AH63" i="2"/>
  <c r="AI63" i="2"/>
  <c r="AJ63" i="2"/>
  <c r="AK63" i="2"/>
  <c r="AL63" i="2"/>
  <c r="AM63" i="2"/>
  <c r="AN63" i="2"/>
  <c r="AO63" i="2"/>
  <c r="AP63" i="2"/>
  <c r="AQ63" i="2"/>
  <c r="AR63" i="2"/>
  <c r="AS63" i="2"/>
  <c r="AT63" i="2"/>
  <c r="AU63" i="2"/>
  <c r="AK64" i="2"/>
  <c r="AU64" i="2"/>
  <c r="AB64" i="2"/>
  <c r="AC64" i="2"/>
  <c r="AD64" i="2"/>
  <c r="AE64" i="2"/>
  <c r="AF64" i="2"/>
  <c r="AG64" i="2"/>
  <c r="AH64" i="2"/>
  <c r="AI64" i="2"/>
  <c r="AJ64" i="2"/>
  <c r="AV64" i="2"/>
  <c r="AL64" i="2"/>
  <c r="AM64" i="2"/>
  <c r="AN64" i="2"/>
  <c r="AO64" i="2"/>
  <c r="AP64" i="2"/>
  <c r="AQ64" i="2"/>
  <c r="AR64" i="2"/>
  <c r="AS64" i="2"/>
  <c r="AT64" i="2"/>
  <c r="AL65" i="2"/>
  <c r="AB65" i="2"/>
  <c r="AC65" i="2"/>
  <c r="AD65" i="2"/>
  <c r="AE65" i="2"/>
  <c r="AF65" i="2"/>
  <c r="AG65" i="2"/>
  <c r="AH65" i="2"/>
  <c r="AI65" i="2"/>
  <c r="AJ65" i="2"/>
  <c r="AK65" i="2"/>
  <c r="AV65" i="2"/>
  <c r="AM65" i="2"/>
  <c r="AN65" i="2"/>
  <c r="AO65" i="2"/>
  <c r="AP65" i="2"/>
  <c r="AQ65" i="2"/>
  <c r="AR65" i="2"/>
  <c r="AS65" i="2"/>
  <c r="AT65" i="2"/>
  <c r="AU65" i="2"/>
  <c r="AV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Q66" i="2"/>
  <c r="AR66" i="2"/>
  <c r="AS66" i="2"/>
  <c r="AT66" i="2"/>
  <c r="AU66" i="2"/>
  <c r="AP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Q67" i="2"/>
  <c r="AO67" i="2"/>
  <c r="AR67" i="2"/>
  <c r="AS67" i="2"/>
  <c r="AT67" i="2"/>
  <c r="AU67" i="2"/>
  <c r="AV67" i="2"/>
  <c r="AV68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AQ68" i="2"/>
  <c r="AR68" i="2"/>
  <c r="AS68" i="2"/>
  <c r="AT68" i="2"/>
  <c r="AU68" i="2"/>
  <c r="AQ69" i="2"/>
  <c r="AT69" i="2"/>
  <c r="AR69" i="2"/>
  <c r="AS69" i="2"/>
  <c r="AE69" i="2"/>
  <c r="AF69" i="2"/>
  <c r="AG69" i="2"/>
  <c r="AH69" i="2"/>
  <c r="AI69" i="2"/>
  <c r="AJ69" i="2"/>
  <c r="AK69" i="2"/>
  <c r="AL69" i="2"/>
  <c r="AM69" i="2"/>
  <c r="AN69" i="2"/>
  <c r="AO69" i="2"/>
  <c r="AP69" i="2"/>
  <c r="AB69" i="2"/>
  <c r="AC69" i="2"/>
  <c r="AV69" i="2"/>
  <c r="AU69" i="2"/>
  <c r="AD69" i="2"/>
  <c r="AL70" i="2"/>
  <c r="AU70" i="2"/>
  <c r="AS70" i="2"/>
  <c r="AI70" i="2"/>
  <c r="AH70" i="2"/>
  <c r="AG70" i="2"/>
  <c r="AF70" i="2"/>
  <c r="AE70" i="2"/>
  <c r="AD70" i="2"/>
  <c r="AC70" i="2"/>
  <c r="AB70" i="2"/>
  <c r="AK70" i="2"/>
  <c r="AM70" i="2"/>
  <c r="AN70" i="2"/>
  <c r="AO70" i="2"/>
  <c r="AP70" i="2"/>
  <c r="AQ70" i="2"/>
  <c r="AR70" i="2"/>
  <c r="AT70" i="2"/>
  <c r="AV70" i="2"/>
  <c r="AJ70" i="2"/>
  <c r="AN71" i="2"/>
  <c r="AD71" i="2"/>
  <c r="AE71" i="2"/>
  <c r="AF71" i="2"/>
  <c r="AG71" i="2"/>
  <c r="AH71" i="2"/>
  <c r="AI71" i="2"/>
  <c r="AJ71" i="2"/>
  <c r="AK71" i="2"/>
  <c r="AL71" i="2"/>
  <c r="AM71" i="2"/>
  <c r="AO71" i="2"/>
  <c r="AP71" i="2"/>
  <c r="AQ71" i="2"/>
  <c r="AR71" i="2"/>
  <c r="AS71" i="2"/>
  <c r="AT71" i="2"/>
  <c r="AU71" i="2"/>
  <c r="AV71" i="2"/>
  <c r="AC71" i="2"/>
  <c r="AB71" i="2"/>
  <c r="AC72" i="2"/>
  <c r="AD72" i="2"/>
  <c r="AE72" i="2"/>
  <c r="AF72" i="2"/>
  <c r="AG72" i="2"/>
  <c r="AH72" i="2"/>
  <c r="AI72" i="2"/>
  <c r="AJ72" i="2"/>
  <c r="AK72" i="2"/>
  <c r="AL72" i="2"/>
  <c r="AM72" i="2"/>
  <c r="AN72" i="2"/>
  <c r="AO72" i="2"/>
  <c r="AP72" i="2"/>
  <c r="AQ72" i="2"/>
  <c r="AR72" i="2"/>
  <c r="AS72" i="2"/>
  <c r="AT72" i="2"/>
  <c r="AU72" i="2"/>
  <c r="AV72" i="2"/>
  <c r="AB72" i="2"/>
  <c r="AD73" i="2"/>
  <c r="AC73" i="2"/>
  <c r="AE73" i="2"/>
  <c r="AF73" i="2"/>
  <c r="AG73" i="2"/>
  <c r="AH73" i="2"/>
  <c r="AI73" i="2"/>
  <c r="AJ73" i="2"/>
  <c r="AK73" i="2"/>
  <c r="AL73" i="2"/>
  <c r="AM73" i="2"/>
  <c r="AN73" i="2"/>
  <c r="AO73" i="2"/>
  <c r="AP73" i="2"/>
  <c r="AQ73" i="2"/>
  <c r="AR73" i="2"/>
  <c r="AS73" i="2"/>
  <c r="AT73" i="2"/>
  <c r="AU73" i="2"/>
  <c r="AV73" i="2"/>
  <c r="AB73" i="2"/>
  <c r="AN74" i="2"/>
  <c r="AD74" i="2"/>
  <c r="AE74" i="2"/>
  <c r="AF74" i="2"/>
  <c r="AG74" i="2"/>
  <c r="AH74" i="2"/>
  <c r="AI74" i="2"/>
  <c r="AJ74" i="2"/>
  <c r="AK74" i="2"/>
  <c r="AL74" i="2"/>
  <c r="AM74" i="2"/>
  <c r="AB74" i="2"/>
  <c r="AO74" i="2"/>
  <c r="AP74" i="2"/>
  <c r="AQ74" i="2"/>
  <c r="AR74" i="2"/>
  <c r="AS74" i="2"/>
  <c r="AT74" i="2"/>
  <c r="AU74" i="2"/>
  <c r="AV74" i="2"/>
  <c r="AC74" i="2"/>
  <c r="AD75" i="2"/>
  <c r="AE75" i="2"/>
  <c r="AF75" i="2"/>
  <c r="AG75" i="2"/>
  <c r="AH75" i="2"/>
  <c r="AI75" i="2"/>
  <c r="AJ75" i="2"/>
  <c r="AK75" i="2"/>
  <c r="AL75" i="2"/>
  <c r="AM75" i="2"/>
  <c r="AN75" i="2"/>
  <c r="AO75" i="2"/>
  <c r="AP75" i="2"/>
  <c r="AQ75" i="2"/>
  <c r="AR75" i="2"/>
  <c r="AS75" i="2"/>
  <c r="AT75" i="2"/>
  <c r="AB75" i="2"/>
  <c r="AU75" i="2"/>
  <c r="AV75" i="2"/>
  <c r="AC75" i="2"/>
  <c r="AP76" i="2"/>
  <c r="AQ76" i="2"/>
  <c r="AT76" i="2"/>
  <c r="AU76" i="2"/>
  <c r="AV76" i="2"/>
  <c r="AO76" i="2"/>
  <c r="AN76" i="2"/>
  <c r="AM76" i="2"/>
  <c r="AL76" i="2"/>
  <c r="AR76" i="2"/>
  <c r="AK76" i="2"/>
  <c r="AS76" i="2"/>
  <c r="AJ76" i="2"/>
  <c r="AI76" i="2"/>
  <c r="AH76" i="2"/>
  <c r="AG76" i="2"/>
  <c r="AF76" i="2"/>
  <c r="AE76" i="2"/>
  <c r="AD76" i="2"/>
  <c r="AC76" i="2"/>
  <c r="AB76" i="2"/>
  <c r="AJ77" i="2"/>
  <c r="AP77" i="2"/>
  <c r="AK77" i="2"/>
  <c r="AL77" i="2"/>
  <c r="AM77" i="2"/>
  <c r="AO77" i="2"/>
  <c r="AB77" i="2"/>
  <c r="AC77" i="2"/>
  <c r="AD77" i="2"/>
  <c r="AE77" i="2"/>
  <c r="AF77" i="2"/>
  <c r="AG77" i="2"/>
  <c r="AH77" i="2"/>
  <c r="AI77" i="2"/>
  <c r="AN77" i="2"/>
  <c r="AR77" i="2"/>
  <c r="AS77" i="2"/>
  <c r="AT77" i="2"/>
  <c r="AU77" i="2"/>
  <c r="AV77" i="2"/>
  <c r="AQ77" i="2"/>
  <c r="AB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Q78" i="2"/>
  <c r="AR78" i="2"/>
  <c r="AS78" i="2"/>
  <c r="AT78" i="2"/>
  <c r="AU78" i="2"/>
  <c r="AV78" i="2"/>
  <c r="AC78" i="2"/>
  <c r="AI79" i="2"/>
  <c r="AH79" i="2"/>
  <c r="AB79" i="2"/>
  <c r="AC79" i="2"/>
  <c r="AD79" i="2"/>
  <c r="AE79" i="2"/>
  <c r="AF79" i="2"/>
  <c r="AV79" i="2"/>
  <c r="AU79" i="2"/>
  <c r="AG79" i="2"/>
  <c r="AJ79" i="2"/>
  <c r="AS79" i="2"/>
  <c r="AR79" i="2"/>
  <c r="AQ79" i="2"/>
  <c r="AP79" i="2"/>
  <c r="AO79" i="2"/>
  <c r="AN79" i="2"/>
  <c r="AM79" i="2"/>
  <c r="AL79" i="2"/>
  <c r="AK79" i="2"/>
  <c r="AT79" i="2"/>
  <c r="AJ80" i="2"/>
  <c r="AI80" i="2"/>
  <c r="AH80" i="2"/>
  <c r="AB80" i="2"/>
  <c r="AC80" i="2"/>
  <c r="AD80" i="2"/>
  <c r="AE80" i="2"/>
  <c r="AF80" i="2"/>
  <c r="AK80" i="2"/>
  <c r="AL80" i="2"/>
  <c r="AM80" i="2"/>
  <c r="AN80" i="2"/>
  <c r="AO80" i="2"/>
  <c r="AP80" i="2"/>
  <c r="AQ80" i="2"/>
  <c r="AR80" i="2"/>
  <c r="AS80" i="2"/>
  <c r="AT80" i="2"/>
  <c r="AU80" i="2"/>
  <c r="AV80" i="2"/>
  <c r="AG80" i="2"/>
  <c r="AB81" i="2"/>
  <c r="AC81" i="2"/>
  <c r="AD81" i="2"/>
  <c r="AE81" i="2"/>
  <c r="AF81" i="2"/>
  <c r="AG81" i="2"/>
  <c r="AH81" i="2"/>
  <c r="AI81" i="2"/>
  <c r="AJ81" i="2"/>
  <c r="AK81" i="2"/>
  <c r="AL81" i="2"/>
  <c r="AM81" i="2"/>
  <c r="AN81" i="2"/>
  <c r="AO81" i="2"/>
  <c r="AV81" i="2"/>
  <c r="AU81" i="2"/>
  <c r="AT81" i="2"/>
  <c r="AS81" i="2"/>
  <c r="AR81" i="2"/>
  <c r="AQ81" i="2"/>
  <c r="AP81" i="2"/>
  <c r="AQ82" i="2"/>
  <c r="AR82" i="2"/>
  <c r="AS82" i="2"/>
  <c r="AT82" i="2"/>
  <c r="AU82" i="2"/>
  <c r="AV82" i="2"/>
  <c r="AP82" i="2"/>
  <c r="AO82" i="2"/>
  <c r="AN82" i="2"/>
  <c r="AM82" i="2"/>
  <c r="AL82" i="2"/>
  <c r="AK82" i="2"/>
  <c r="AJ82" i="2"/>
  <c r="AB82" i="2"/>
  <c r="AC82" i="2"/>
  <c r="AD82" i="2"/>
  <c r="AI82" i="2"/>
  <c r="AH82" i="2"/>
  <c r="AE82" i="2"/>
  <c r="AF82" i="2"/>
  <c r="AG82" i="2"/>
  <c r="AP83" i="2"/>
  <c r="AV83" i="2"/>
  <c r="AO83" i="2"/>
  <c r="AQ83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AN83" i="2"/>
  <c r="AR83" i="2"/>
  <c r="AS83" i="2"/>
  <c r="AT83" i="2"/>
  <c r="AU83" i="2"/>
  <c r="AV84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AP84" i="2"/>
  <c r="AQ84" i="2"/>
  <c r="AR84" i="2"/>
  <c r="AS84" i="2"/>
  <c r="AT84" i="2"/>
  <c r="AU84" i="2"/>
  <c r="AV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AU85" i="2"/>
  <c r="AT85" i="2"/>
  <c r="AQ85" i="2"/>
  <c r="AR85" i="2"/>
  <c r="AS85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E87" i="2"/>
  <c r="AF87" i="2"/>
  <c r="AD87" i="2"/>
  <c r="AB87" i="2"/>
  <c r="AC87" i="2"/>
  <c r="AG87" i="2"/>
  <c r="AH87" i="2"/>
  <c r="AI87" i="2"/>
  <c r="AJ87" i="2"/>
  <c r="AK87" i="2"/>
  <c r="AL87" i="2"/>
  <c r="AM87" i="2"/>
  <c r="AN87" i="2"/>
  <c r="AO87" i="2"/>
  <c r="AP87" i="2"/>
  <c r="AQ87" i="2"/>
  <c r="AR87" i="2"/>
  <c r="AS87" i="2"/>
  <c r="AT87" i="2"/>
  <c r="AU87" i="2"/>
  <c r="AV87" i="2"/>
  <c r="AL88" i="2"/>
  <c r="AB88" i="2"/>
  <c r="AC88" i="2"/>
  <c r="AD88" i="2"/>
  <c r="AE88" i="2"/>
  <c r="AF88" i="2"/>
  <c r="AG88" i="2"/>
  <c r="AH88" i="2"/>
  <c r="AI88" i="2"/>
  <c r="AJ88" i="2"/>
  <c r="AK88" i="2"/>
  <c r="AM88" i="2"/>
  <c r="AN88" i="2"/>
  <c r="AO88" i="2"/>
  <c r="AP88" i="2"/>
  <c r="AQ88" i="2"/>
  <c r="AR88" i="2"/>
  <c r="AS88" i="2"/>
  <c r="AT88" i="2"/>
  <c r="AU88" i="2"/>
  <c r="AV88" i="2"/>
  <c r="AV89" i="2"/>
  <c r="AB89" i="2"/>
  <c r="AC89" i="2"/>
  <c r="AD89" i="2"/>
  <c r="AE89" i="2"/>
  <c r="AF89" i="2"/>
  <c r="AG89" i="2"/>
  <c r="AH89" i="2"/>
  <c r="AI89" i="2"/>
  <c r="AJ89" i="2"/>
  <c r="AK89" i="2"/>
  <c r="AL89" i="2"/>
  <c r="AM89" i="2"/>
  <c r="AN89" i="2"/>
  <c r="AO89" i="2"/>
  <c r="AP89" i="2"/>
  <c r="AQ89" i="2"/>
  <c r="AR89" i="2"/>
  <c r="AS89" i="2"/>
  <c r="AT89" i="2"/>
  <c r="AU89" i="2"/>
  <c r="AE90" i="2"/>
  <c r="AT90" i="2"/>
  <c r="AC90" i="2"/>
  <c r="AD90" i="2"/>
  <c r="AF90" i="2"/>
  <c r="AG90" i="2"/>
  <c r="AH90" i="2"/>
  <c r="AI90" i="2"/>
  <c r="AJ90" i="2"/>
  <c r="AK90" i="2"/>
  <c r="AV90" i="2"/>
  <c r="AU90" i="2"/>
  <c r="AL90" i="2"/>
  <c r="AM90" i="2"/>
  <c r="AN90" i="2"/>
  <c r="AO90" i="2"/>
  <c r="AP90" i="2"/>
  <c r="AQ90" i="2"/>
  <c r="AR90" i="2"/>
  <c r="AS90" i="2"/>
  <c r="AB90" i="2"/>
  <c r="AV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AN91" i="2"/>
  <c r="AO91" i="2"/>
  <c r="AP91" i="2"/>
  <c r="AQ91" i="2"/>
  <c r="AR91" i="2"/>
  <c r="AS91" i="2"/>
  <c r="AT91" i="2"/>
  <c r="AU91" i="2"/>
  <c r="AV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AN92" i="2"/>
  <c r="AO92" i="2"/>
  <c r="AP92" i="2"/>
  <c r="AQ92" i="2"/>
  <c r="AR92" i="2"/>
  <c r="AS92" i="2"/>
  <c r="AT92" i="2"/>
  <c r="AU92" i="2"/>
  <c r="AJ93" i="2"/>
  <c r="AV93" i="2"/>
  <c r="AT93" i="2"/>
  <c r="AS93" i="2"/>
  <c r="AR93" i="2"/>
  <c r="AQ93" i="2"/>
  <c r="AP93" i="2"/>
  <c r="AO93" i="2"/>
  <c r="AN93" i="2"/>
  <c r="AM93" i="2"/>
  <c r="AL93" i="2"/>
  <c r="AK93" i="2"/>
  <c r="AU93" i="2"/>
  <c r="AI93" i="2"/>
  <c r="AH93" i="2"/>
  <c r="AG93" i="2"/>
  <c r="AF93" i="2"/>
  <c r="AE93" i="2"/>
  <c r="AD93" i="2"/>
  <c r="AC93" i="2"/>
  <c r="AB93" i="2"/>
  <c r="AV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AN94" i="2"/>
  <c r="AO94" i="2"/>
  <c r="AP94" i="2"/>
  <c r="AQ94" i="2"/>
  <c r="AR94" i="2"/>
  <c r="AS94" i="2"/>
  <c r="AT94" i="2"/>
  <c r="AU94" i="2"/>
  <c r="AJ95" i="2"/>
  <c r="AB95" i="2"/>
  <c r="AC95" i="2"/>
  <c r="AD95" i="2"/>
  <c r="AE95" i="2"/>
  <c r="AF95" i="2"/>
  <c r="AG95" i="2"/>
  <c r="AH95" i="2"/>
  <c r="AI95" i="2"/>
  <c r="AL95" i="2"/>
  <c r="AK95" i="2"/>
  <c r="AM95" i="2"/>
  <c r="AN95" i="2"/>
  <c r="AO95" i="2"/>
  <c r="AP95" i="2"/>
  <c r="AQ95" i="2"/>
  <c r="AR95" i="2"/>
  <c r="AS95" i="2"/>
  <c r="AT95" i="2"/>
  <c r="AU95" i="2"/>
  <c r="AV95" i="2"/>
  <c r="AJ96" i="2"/>
  <c r="AI96" i="2"/>
  <c r="AH96" i="2"/>
  <c r="AG96" i="2"/>
  <c r="AF96" i="2"/>
  <c r="AE96" i="2"/>
  <c r="AD96" i="2"/>
  <c r="AC96" i="2"/>
  <c r="AB96" i="2"/>
  <c r="AK96" i="2"/>
  <c r="AL96" i="2"/>
  <c r="AM96" i="2"/>
  <c r="AN96" i="2"/>
  <c r="AO96" i="2"/>
  <c r="AP96" i="2"/>
  <c r="AQ96" i="2"/>
  <c r="AR96" i="2"/>
  <c r="AS96" i="2"/>
  <c r="AT96" i="2"/>
  <c r="AV96" i="2"/>
  <c r="AU96" i="2"/>
  <c r="AR97" i="2"/>
  <c r="AC97" i="2"/>
  <c r="AD97" i="2"/>
  <c r="AE97" i="2"/>
  <c r="AF97" i="2"/>
  <c r="AG97" i="2"/>
  <c r="AH97" i="2"/>
  <c r="AI97" i="2"/>
  <c r="AJ97" i="2"/>
  <c r="AK97" i="2"/>
  <c r="AL97" i="2"/>
  <c r="AM97" i="2"/>
  <c r="AN97" i="2"/>
  <c r="AO97" i="2"/>
  <c r="AP97" i="2"/>
  <c r="AS97" i="2"/>
  <c r="AT97" i="2"/>
  <c r="AU97" i="2"/>
  <c r="AV97" i="2"/>
  <c r="AQ97" i="2"/>
  <c r="AB97" i="2"/>
  <c r="AS98" i="2"/>
  <c r="AR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P98" i="2"/>
  <c r="AT98" i="2"/>
  <c r="AQ98" i="2"/>
  <c r="AV98" i="2"/>
  <c r="AU98" i="2"/>
  <c r="AO99" i="2"/>
  <c r="AS99" i="2"/>
  <c r="AL99" i="2"/>
  <c r="AK99" i="2"/>
  <c r="AJ99" i="2"/>
  <c r="AI99" i="2"/>
  <c r="AH99" i="2"/>
  <c r="AG99" i="2"/>
  <c r="AF99" i="2"/>
  <c r="AE99" i="2"/>
  <c r="AD99" i="2"/>
  <c r="AC99" i="2"/>
  <c r="AB99" i="2"/>
  <c r="AM99" i="2"/>
  <c r="AN99" i="2"/>
  <c r="AR99" i="2"/>
  <c r="AP99" i="2"/>
  <c r="AV99" i="2"/>
  <c r="AU99" i="2"/>
  <c r="AT99" i="2"/>
  <c r="AQ99" i="2"/>
  <c r="AQ100" i="2"/>
  <c r="AR100" i="2"/>
  <c r="AN100" i="2"/>
  <c r="AS100" i="2"/>
  <c r="AT100" i="2"/>
  <c r="AU100" i="2"/>
  <c r="AV100" i="2"/>
  <c r="AO100" i="2"/>
  <c r="AP100" i="2"/>
  <c r="AM100" i="2"/>
  <c r="AL100" i="2"/>
  <c r="AB100" i="2"/>
  <c r="AC100" i="2"/>
  <c r="AD100" i="2"/>
  <c r="AE100" i="2"/>
  <c r="AK100" i="2"/>
  <c r="AF100" i="2"/>
  <c r="AG100" i="2"/>
  <c r="AH100" i="2"/>
  <c r="AI100" i="2"/>
  <c r="AJ100" i="2"/>
  <c r="AR101" i="2"/>
  <c r="AJ101" i="2"/>
  <c r="AI101" i="2"/>
  <c r="AH101" i="2"/>
  <c r="AK101" i="2"/>
  <c r="AL101" i="2"/>
  <c r="AM101" i="2"/>
  <c r="AN101" i="2"/>
  <c r="AQ101" i="2"/>
  <c r="AG101" i="2"/>
  <c r="AF101" i="2"/>
  <c r="AE101" i="2"/>
  <c r="AD101" i="2"/>
  <c r="AC101" i="2"/>
  <c r="AB101" i="2"/>
  <c r="AO101" i="2"/>
  <c r="AV101" i="2"/>
  <c r="AU101" i="2"/>
  <c r="AT101" i="2"/>
  <c r="AS101" i="2"/>
  <c r="AP101" i="2"/>
  <c r="AQ102" i="2"/>
  <c r="AV102" i="2"/>
  <c r="AU102" i="2"/>
  <c r="AT102" i="2"/>
  <c r="AS102" i="2"/>
  <c r="AR102" i="2"/>
  <c r="AP102" i="2"/>
  <c r="AO102" i="2"/>
  <c r="AN102" i="2"/>
  <c r="AM102" i="2"/>
  <c r="AL102" i="2"/>
  <c r="AK102" i="2"/>
  <c r="AJ102" i="2"/>
  <c r="AI102" i="2"/>
  <c r="AH102" i="2"/>
  <c r="AG102" i="2"/>
  <c r="AE102" i="2"/>
  <c r="AD102" i="2"/>
  <c r="AC102" i="2"/>
  <c r="AB102" i="2"/>
  <c r="AF102" i="2"/>
  <c r="AQ103" i="2"/>
  <c r="AR103" i="2"/>
  <c r="AB103" i="2"/>
  <c r="AC103" i="2"/>
  <c r="AD103" i="2"/>
  <c r="AE103" i="2"/>
  <c r="AF103" i="2"/>
  <c r="AG103" i="2"/>
  <c r="AH103" i="2"/>
  <c r="AI103" i="2"/>
  <c r="AJ103" i="2"/>
  <c r="AK103" i="2"/>
  <c r="AL103" i="2"/>
  <c r="AM103" i="2"/>
  <c r="AN103" i="2"/>
  <c r="AO103" i="2"/>
  <c r="AS103" i="2"/>
  <c r="AT103" i="2"/>
  <c r="AU103" i="2"/>
  <c r="AV103" i="2"/>
  <c r="AP103" i="2"/>
  <c r="AF104" i="2"/>
  <c r="AR104" i="2"/>
  <c r="AE104" i="2"/>
  <c r="AG104" i="2"/>
  <c r="AS104" i="2"/>
  <c r="AT104" i="2"/>
  <c r="AU104" i="2"/>
  <c r="AV104" i="2"/>
  <c r="AB104" i="2"/>
  <c r="AC104" i="2"/>
  <c r="AD104" i="2"/>
  <c r="AH104" i="2"/>
  <c r="AI104" i="2"/>
  <c r="AJ104" i="2"/>
  <c r="AK104" i="2"/>
  <c r="AL104" i="2"/>
  <c r="AM104" i="2"/>
  <c r="AN104" i="2"/>
  <c r="AO104" i="2"/>
  <c r="AP104" i="2"/>
  <c r="AQ104" i="2"/>
  <c r="AR105" i="2"/>
  <c r="AO105" i="2"/>
  <c r="AS105" i="2"/>
  <c r="AT105" i="2"/>
  <c r="AU105" i="2"/>
  <c r="AV105" i="2"/>
  <c r="AB105" i="2"/>
  <c r="AC105" i="2"/>
  <c r="AD105" i="2"/>
  <c r="AE105" i="2"/>
  <c r="AF105" i="2"/>
  <c r="AG105" i="2"/>
  <c r="AH105" i="2"/>
  <c r="AI105" i="2"/>
  <c r="AJ105" i="2"/>
  <c r="AQ105" i="2"/>
  <c r="AP105" i="2"/>
  <c r="AK105" i="2"/>
  <c r="AL105" i="2"/>
  <c r="AM105" i="2"/>
  <c r="AN105" i="2"/>
  <c r="AR106" i="2"/>
  <c r="AC106" i="2"/>
  <c r="AD106" i="2"/>
  <c r="AE106" i="2"/>
  <c r="AF106" i="2"/>
  <c r="AG106" i="2"/>
  <c r="AH106" i="2"/>
  <c r="AI106" i="2"/>
  <c r="AJ106" i="2"/>
  <c r="AK106" i="2"/>
  <c r="AL106" i="2"/>
  <c r="AM106" i="2"/>
  <c r="AN106" i="2"/>
  <c r="AO106" i="2"/>
  <c r="AP106" i="2"/>
  <c r="AB106" i="2"/>
  <c r="AV106" i="2"/>
  <c r="AU106" i="2"/>
  <c r="AT106" i="2"/>
  <c r="AS106" i="2"/>
  <c r="AQ106" i="2"/>
  <c r="AR107" i="2"/>
  <c r="AV107" i="2"/>
  <c r="AU107" i="2"/>
  <c r="AT107" i="2"/>
  <c r="AS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J108" i="2"/>
  <c r="AM108" i="2"/>
  <c r="AV108" i="2"/>
  <c r="AU108" i="2"/>
  <c r="AL108" i="2"/>
  <c r="AI108" i="2"/>
  <c r="AK108" i="2"/>
  <c r="AT108" i="2"/>
  <c r="AS108" i="2"/>
  <c r="AB108" i="2"/>
  <c r="AC108" i="2"/>
  <c r="AD108" i="2"/>
  <c r="AE108" i="2"/>
  <c r="AF108" i="2"/>
  <c r="AG108" i="2"/>
  <c r="AH108" i="2"/>
  <c r="AQ108" i="2"/>
  <c r="AP108" i="2"/>
  <c r="AO108" i="2"/>
  <c r="AN108" i="2"/>
  <c r="AR108" i="2"/>
  <c r="AV109" i="2"/>
  <c r="AK109" i="2"/>
  <c r="AL109" i="2"/>
  <c r="AM109" i="2"/>
  <c r="AN109" i="2"/>
  <c r="AO109" i="2"/>
  <c r="AP109" i="2"/>
  <c r="AQ109" i="2"/>
  <c r="AI109" i="2"/>
  <c r="AH109" i="2"/>
  <c r="AR109" i="2"/>
  <c r="AG109" i="2"/>
  <c r="AF109" i="2"/>
  <c r="AE109" i="2"/>
  <c r="AD109" i="2"/>
  <c r="AC109" i="2"/>
  <c r="AB109" i="2"/>
  <c r="AS109" i="2"/>
  <c r="AT109" i="2"/>
  <c r="AU109" i="2"/>
  <c r="AJ109" i="2"/>
  <c r="AP110" i="2"/>
  <c r="AB110" i="2"/>
  <c r="AC110" i="2"/>
  <c r="AD110" i="2"/>
  <c r="AE110" i="2"/>
  <c r="AF110" i="2"/>
  <c r="AG110" i="2"/>
  <c r="AH110" i="2"/>
  <c r="AI110" i="2"/>
  <c r="AJ110" i="2"/>
  <c r="AK110" i="2"/>
  <c r="AL110" i="2"/>
  <c r="AM110" i="2"/>
  <c r="AN110" i="2"/>
  <c r="AO110" i="2"/>
  <c r="AV110" i="2"/>
  <c r="AU110" i="2"/>
  <c r="AT110" i="2"/>
  <c r="AS110" i="2"/>
  <c r="AR110" i="2"/>
  <c r="AQ110" i="2"/>
  <c r="AQ111" i="2"/>
  <c r="AR111" i="2"/>
  <c r="AP111" i="2"/>
  <c r="AS111" i="2"/>
  <c r="AB111" i="2"/>
  <c r="AC111" i="2"/>
  <c r="AD111" i="2"/>
  <c r="AT111" i="2"/>
  <c r="AU111" i="2"/>
  <c r="AE111" i="2"/>
  <c r="AF111" i="2"/>
  <c r="AG111" i="2"/>
  <c r="AH111" i="2"/>
  <c r="AI111" i="2"/>
  <c r="AJ111" i="2"/>
  <c r="AK111" i="2"/>
  <c r="AL111" i="2"/>
  <c r="AM111" i="2"/>
  <c r="AN111" i="2"/>
  <c r="AO111" i="2"/>
  <c r="AV111" i="2"/>
  <c r="AU112" i="2"/>
  <c r="AC112" i="2"/>
  <c r="AE112" i="2"/>
  <c r="AV112" i="2"/>
  <c r="AT112" i="2"/>
  <c r="AR112" i="2"/>
  <c r="AP112" i="2"/>
  <c r="AN112" i="2"/>
  <c r="AM112" i="2"/>
  <c r="AK112" i="2"/>
  <c r="AH112" i="2"/>
  <c r="AF112" i="2"/>
  <c r="AD112" i="2"/>
  <c r="AB112" i="2"/>
  <c r="AG112" i="2"/>
  <c r="AI112" i="2"/>
  <c r="AJ112" i="2"/>
  <c r="AL112" i="2"/>
  <c r="AO112" i="2"/>
  <c r="AS112" i="2"/>
  <c r="AQ112" i="2"/>
  <c r="AU113" i="2"/>
  <c r="AK113" i="2"/>
  <c r="AN113" i="2"/>
  <c r="AV113" i="2"/>
  <c r="AC113" i="2"/>
  <c r="AD113" i="2"/>
  <c r="AF113" i="2"/>
  <c r="AT113" i="2"/>
  <c r="AQ113" i="2"/>
  <c r="AP113" i="2"/>
  <c r="AM113" i="2"/>
  <c r="AJ113" i="2"/>
  <c r="AG113" i="2"/>
  <c r="AH113" i="2"/>
  <c r="AE113" i="2"/>
  <c r="AB113" i="2"/>
  <c r="AI113" i="2"/>
  <c r="AL113" i="2"/>
  <c r="AO113" i="2"/>
  <c r="AR113" i="2"/>
  <c r="AS113" i="2"/>
  <c r="AD114" i="2"/>
  <c r="AG114" i="2"/>
  <c r="AJ114" i="2"/>
  <c r="AN114" i="2"/>
  <c r="AQ114" i="2"/>
  <c r="AT114" i="2"/>
  <c r="AE114" i="2"/>
  <c r="AH114" i="2"/>
  <c r="AK114" i="2"/>
  <c r="AV114" i="2"/>
  <c r="AS114" i="2"/>
  <c r="AP114" i="2"/>
  <c r="AM114" i="2"/>
  <c r="AL114" i="2"/>
  <c r="AI114" i="2"/>
  <c r="AF114" i="2"/>
  <c r="AC114" i="2"/>
  <c r="AO114" i="2"/>
  <c r="AB114" i="2"/>
  <c r="AR114" i="2"/>
  <c r="AU114" i="2"/>
  <c r="AT115" i="2"/>
  <c r="AB115" i="2"/>
  <c r="AO115" i="2"/>
  <c r="AL115" i="2"/>
  <c r="AI115" i="2"/>
  <c r="AD115" i="2"/>
  <c r="AG115" i="2"/>
  <c r="AJ115" i="2"/>
  <c r="AM115" i="2"/>
  <c r="AP115" i="2"/>
  <c r="AF115" i="2"/>
  <c r="AC115" i="2"/>
  <c r="AV115" i="2"/>
  <c r="AU115" i="2"/>
  <c r="AS115" i="2"/>
  <c r="AQ115" i="2"/>
  <c r="AN115" i="2"/>
  <c r="AK115" i="2"/>
  <c r="AH115" i="2"/>
  <c r="AE115" i="2"/>
  <c r="AR115" i="2"/>
  <c r="AU116" i="2"/>
  <c r="AN116" i="2"/>
  <c r="AJ116" i="2"/>
  <c r="AC116" i="2"/>
  <c r="AF116" i="2"/>
  <c r="AG116" i="2"/>
  <c r="AM116" i="2"/>
  <c r="AQ116" i="2"/>
  <c r="AT116" i="2"/>
  <c r="AV116" i="2"/>
  <c r="AR116" i="2"/>
  <c r="AO116" i="2"/>
  <c r="AK116" i="2"/>
  <c r="AH116" i="2"/>
  <c r="AD116" i="2"/>
  <c r="AB116" i="2"/>
  <c r="AE116" i="2"/>
  <c r="AI116" i="2"/>
  <c r="AL116" i="2"/>
  <c r="AP116" i="2"/>
  <c r="AS116" i="2"/>
  <c r="AI117" i="2"/>
  <c r="AC117" i="2"/>
  <c r="AH117" i="2"/>
  <c r="AV117" i="2"/>
  <c r="AP117" i="2"/>
  <c r="AN117" i="2"/>
  <c r="AJ117" i="2"/>
  <c r="AG117" i="2"/>
  <c r="AB117" i="2"/>
  <c r="AD117" i="2"/>
  <c r="AF117" i="2"/>
  <c r="AM117" i="2"/>
  <c r="AQ117" i="2"/>
  <c r="AR117" i="2"/>
  <c r="AT117" i="2"/>
  <c r="AL117" i="2"/>
  <c r="AS117" i="2"/>
  <c r="AU117" i="2"/>
  <c r="AO117" i="2"/>
  <c r="AK117" i="2"/>
  <c r="AE117" i="2"/>
  <c r="AH118" i="2"/>
  <c r="AR118" i="2"/>
  <c r="AS118" i="2"/>
  <c r="AG118" i="2"/>
  <c r="AF118" i="2"/>
  <c r="AE118" i="2"/>
  <c r="AI118" i="2"/>
  <c r="AK118" i="2"/>
  <c r="AN118" i="2"/>
  <c r="AD118" i="2"/>
  <c r="AB118" i="2"/>
  <c r="AC118" i="2"/>
  <c r="AL118" i="2"/>
  <c r="AT118" i="2"/>
  <c r="AV118" i="2"/>
  <c r="AU118" i="2"/>
  <c r="AJ118" i="2"/>
  <c r="AM118" i="2"/>
  <c r="AO118" i="2"/>
  <c r="AP118" i="2"/>
  <c r="AQ118" i="2"/>
  <c r="AQ119" i="2"/>
  <c r="AJ119" i="2"/>
  <c r="AK119" i="2"/>
  <c r="AL119" i="2"/>
  <c r="AU119" i="2"/>
  <c r="AP119" i="2"/>
  <c r="AO119" i="2"/>
  <c r="AG119" i="2"/>
  <c r="AH119" i="2"/>
  <c r="AF119" i="2"/>
  <c r="AI119" i="2"/>
  <c r="AC119" i="2"/>
  <c r="AB119" i="2"/>
  <c r="AM119" i="2"/>
  <c r="AN119" i="2"/>
  <c r="AS119" i="2"/>
  <c r="AR119" i="2"/>
  <c r="AE119" i="2"/>
  <c r="AT119" i="2"/>
  <c r="AV119" i="2"/>
  <c r="AD119" i="2"/>
  <c r="AJ120" i="2"/>
  <c r="AN120" i="2"/>
  <c r="AI120" i="2"/>
  <c r="AH120" i="2"/>
  <c r="AS120" i="2"/>
  <c r="AR120" i="2"/>
  <c r="AO120" i="2"/>
  <c r="AV120" i="2"/>
  <c r="AU120" i="2"/>
  <c r="AT120" i="2"/>
  <c r="AP120" i="2"/>
  <c r="AG120" i="2"/>
  <c r="AE120" i="2"/>
  <c r="AB120" i="2"/>
  <c r="AD120" i="2"/>
  <c r="AQ120" i="2"/>
  <c r="AL120" i="2"/>
  <c r="AC120" i="2"/>
  <c r="AF120" i="2"/>
  <c r="AK120" i="2"/>
  <c r="AM120" i="2"/>
  <c r="AV121" i="2"/>
  <c r="AC121" i="2"/>
  <c r="AM121" i="2"/>
  <c r="AD121" i="2"/>
  <c r="AE121" i="2"/>
  <c r="AF121" i="2"/>
  <c r="AG121" i="2"/>
  <c r="AH121" i="2"/>
  <c r="AP121" i="2"/>
  <c r="AR121" i="2"/>
  <c r="AS121" i="2"/>
  <c r="AB121" i="2"/>
  <c r="AI121" i="2"/>
  <c r="AJ121" i="2"/>
  <c r="AK121" i="2"/>
  <c r="AL121" i="2"/>
  <c r="AN121" i="2"/>
  <c r="AO121" i="2"/>
  <c r="AQ121" i="2"/>
  <c r="AT121" i="2"/>
  <c r="AU121" i="2"/>
  <c r="AD122" i="2"/>
  <c r="AQ122" i="2"/>
  <c r="AM122" i="2"/>
  <c r="AI122" i="2"/>
  <c r="AH122" i="2"/>
  <c r="AR122" i="2"/>
  <c r="AS122" i="2"/>
  <c r="AT122" i="2"/>
  <c r="AU122" i="2"/>
  <c r="AV122" i="2"/>
  <c r="AN122" i="2"/>
  <c r="AJ122" i="2"/>
  <c r="AL122" i="2"/>
  <c r="AK122" i="2"/>
  <c r="AG122" i="2"/>
  <c r="AE122" i="2"/>
  <c r="AB122" i="2"/>
  <c r="AP122" i="2"/>
  <c r="AO122" i="2"/>
  <c r="AC122" i="2"/>
  <c r="AF122" i="2"/>
  <c r="AB123" i="2"/>
  <c r="AC123" i="2"/>
  <c r="AF123" i="2"/>
  <c r="AM123" i="2"/>
  <c r="AG123" i="2"/>
  <c r="AS123" i="2"/>
  <c r="AD123" i="2"/>
  <c r="AN123" i="2"/>
  <c r="AO123" i="2"/>
  <c r="AP123" i="2"/>
  <c r="AQ123" i="2"/>
  <c r="AR123" i="2"/>
  <c r="AT123" i="2"/>
  <c r="AV123" i="2"/>
  <c r="AE123" i="2"/>
  <c r="AU123" i="2"/>
  <c r="AL123" i="2"/>
  <c r="AK123" i="2"/>
  <c r="AJ123" i="2"/>
  <c r="AI123" i="2"/>
  <c r="AH123" i="2"/>
  <c r="AJ124" i="2"/>
  <c r="AC124" i="2"/>
  <c r="AT124" i="2"/>
  <c r="AO124" i="2"/>
  <c r="AN124" i="2"/>
  <c r="AI124" i="2"/>
  <c r="AH124" i="2"/>
  <c r="AG124" i="2"/>
  <c r="AB124" i="2"/>
  <c r="AK124" i="2"/>
  <c r="AL124" i="2"/>
  <c r="AU124" i="2"/>
  <c r="AV124" i="2"/>
  <c r="AD124" i="2"/>
  <c r="AM124" i="2"/>
  <c r="AR124" i="2"/>
  <c r="AP124" i="2"/>
  <c r="AE124" i="2"/>
  <c r="AF124" i="2"/>
  <c r="AS124" i="2"/>
  <c r="AQ124" i="2"/>
  <c r="AN125" i="2"/>
  <c r="AU125" i="2"/>
  <c r="AC125" i="2"/>
  <c r="AD125" i="2"/>
  <c r="AR125" i="2"/>
  <c r="AO125" i="2"/>
  <c r="AL125" i="2"/>
  <c r="AK125" i="2"/>
  <c r="AJ125" i="2"/>
  <c r="AT125" i="2"/>
  <c r="AP125" i="2"/>
  <c r="AE125" i="2"/>
  <c r="AI125" i="2"/>
  <c r="AF125" i="2"/>
  <c r="AG125" i="2"/>
  <c r="AH125" i="2"/>
  <c r="AM125" i="2"/>
  <c r="AB125" i="2"/>
  <c r="AQ125" i="2"/>
  <c r="AS125" i="2"/>
  <c r="AV125" i="2"/>
  <c r="AH126" i="2"/>
  <c r="AU126" i="2"/>
  <c r="AN126" i="2"/>
  <c r="AP126" i="2"/>
  <c r="AR126" i="2"/>
  <c r="AS126" i="2"/>
  <c r="AV126" i="2"/>
  <c r="AM126" i="2"/>
  <c r="AL126" i="2"/>
  <c r="AJ126" i="2"/>
  <c r="AO126" i="2"/>
  <c r="AG126" i="2"/>
  <c r="AE126" i="2"/>
  <c r="AD126" i="2"/>
  <c r="AI126" i="2"/>
  <c r="AF126" i="2"/>
  <c r="AK126" i="2"/>
  <c r="AQ126" i="2"/>
  <c r="AT126" i="2"/>
  <c r="AB126" i="2"/>
  <c r="AC126" i="2"/>
  <c r="AL127" i="2"/>
  <c r="AB127" i="2"/>
  <c r="AJ127" i="2"/>
  <c r="AE127" i="2"/>
  <c r="AM127" i="2"/>
  <c r="AK127" i="2"/>
  <c r="AP127" i="2"/>
  <c r="AV127" i="2"/>
  <c r="AO127" i="2"/>
  <c r="AR127" i="2"/>
  <c r="AH127" i="2"/>
  <c r="AG127" i="2"/>
  <c r="AC127" i="2"/>
  <c r="AT127" i="2"/>
  <c r="AD127" i="2"/>
  <c r="AI127" i="2"/>
  <c r="AN127" i="2"/>
  <c r="AS127" i="2"/>
  <c r="AU127" i="2"/>
  <c r="AQ127" i="2"/>
  <c r="AF127" i="2"/>
  <c r="AB128" i="2"/>
  <c r="AN128" i="2"/>
  <c r="AQ128" i="2"/>
  <c r="AU128" i="2"/>
  <c r="AL128" i="2"/>
  <c r="AH128" i="2"/>
  <c r="AC128" i="2"/>
  <c r="AT128" i="2"/>
  <c r="AE128" i="2"/>
  <c r="AG128" i="2"/>
  <c r="AJ128" i="2"/>
  <c r="AM128" i="2"/>
  <c r="AO128" i="2"/>
  <c r="AR128" i="2"/>
  <c r="AI128" i="2"/>
  <c r="AF128" i="2"/>
  <c r="AV128" i="2"/>
  <c r="AS128" i="2"/>
  <c r="AP128" i="2"/>
  <c r="AK128" i="2"/>
  <c r="AD128" i="2"/>
  <c r="AC129" i="2"/>
  <c r="AI129" i="2"/>
  <c r="AH129" i="2"/>
  <c r="AE129" i="2"/>
  <c r="AK129" i="2"/>
  <c r="AD129" i="2"/>
  <c r="AF129" i="2"/>
  <c r="AL129" i="2"/>
  <c r="AM129" i="2"/>
  <c r="AN129" i="2"/>
  <c r="AO129" i="2"/>
  <c r="AP129" i="2"/>
  <c r="AQ129" i="2"/>
  <c r="AR129" i="2"/>
  <c r="AS129" i="2"/>
  <c r="AT129" i="2"/>
  <c r="AU129" i="2"/>
  <c r="AV129" i="2"/>
  <c r="AJ129" i="2"/>
  <c r="AG129" i="2"/>
  <c r="AB129" i="2"/>
  <c r="AU130" i="2"/>
  <c r="AD130" i="2"/>
  <c r="AE130" i="2"/>
  <c r="AC130" i="2"/>
  <c r="AV130" i="2"/>
  <c r="AF130" i="2"/>
  <c r="AG130" i="2"/>
  <c r="AH130" i="2"/>
  <c r="AI130" i="2"/>
  <c r="AJ130" i="2"/>
  <c r="AK130" i="2"/>
  <c r="AL130" i="2"/>
  <c r="AM130" i="2"/>
  <c r="AB130" i="2"/>
  <c r="AN130" i="2"/>
  <c r="AO130" i="2"/>
  <c r="AP130" i="2"/>
  <c r="AQ130" i="2"/>
  <c r="AR130" i="2"/>
  <c r="AS130" i="2"/>
  <c r="AT130" i="2"/>
  <c r="AR131" i="2"/>
  <c r="AS131" i="2"/>
  <c r="AB131" i="2"/>
  <c r="AC131" i="2"/>
  <c r="AD131" i="2"/>
  <c r="AE131" i="2"/>
  <c r="AF131" i="2"/>
  <c r="AG131" i="2"/>
  <c r="AH131" i="2"/>
  <c r="AI131" i="2"/>
  <c r="AJ131" i="2"/>
  <c r="AK131" i="2"/>
  <c r="AL131" i="2"/>
  <c r="AM131" i="2"/>
  <c r="AN131" i="2"/>
  <c r="AO131" i="2"/>
  <c r="AP131" i="2"/>
  <c r="AT131" i="2"/>
  <c r="AU131" i="2"/>
  <c r="AV131" i="2"/>
  <c r="AQ131" i="2"/>
  <c r="AI132" i="2"/>
  <c r="AU132" i="2"/>
  <c r="AV132" i="2"/>
  <c r="AH132" i="2"/>
  <c r="AJ132" i="2"/>
  <c r="AB132" i="2"/>
  <c r="AC132" i="2"/>
  <c r="AD132" i="2"/>
  <c r="AE132" i="2"/>
  <c r="AF132" i="2"/>
  <c r="AT132" i="2"/>
  <c r="AS132" i="2"/>
  <c r="AR132" i="2"/>
  <c r="AQ132" i="2"/>
  <c r="AP132" i="2"/>
  <c r="AO132" i="2"/>
  <c r="AN132" i="2"/>
  <c r="AM132" i="2"/>
  <c r="AL132" i="2"/>
  <c r="AK132" i="2"/>
  <c r="AG132" i="2"/>
  <c r="AC133" i="2"/>
  <c r="AB133" i="2"/>
  <c r="AD133" i="2"/>
  <c r="AE133" i="2"/>
  <c r="AF133" i="2"/>
  <c r="AG133" i="2"/>
  <c r="AH133" i="2"/>
  <c r="AI133" i="2"/>
  <c r="AJ133" i="2"/>
  <c r="AK133" i="2"/>
  <c r="AL133" i="2"/>
  <c r="AM133" i="2"/>
  <c r="AN133" i="2"/>
  <c r="AO133" i="2"/>
  <c r="AP133" i="2"/>
  <c r="AQ133" i="2"/>
  <c r="AR133" i="2"/>
  <c r="AS133" i="2"/>
  <c r="AT133" i="2"/>
  <c r="AU133" i="2"/>
  <c r="AV133" i="2"/>
  <c r="AB134" i="2"/>
  <c r="AG134" i="2"/>
  <c r="AH134" i="2"/>
  <c r="AI134" i="2"/>
  <c r="AJ134" i="2"/>
  <c r="AK134" i="2"/>
  <c r="AL134" i="2"/>
  <c r="AM134" i="2"/>
  <c r="AN134" i="2"/>
  <c r="AO134" i="2"/>
  <c r="AP134" i="2"/>
  <c r="AQ134" i="2"/>
  <c r="AR134" i="2"/>
  <c r="AS134" i="2"/>
  <c r="AT134" i="2"/>
  <c r="AU134" i="2"/>
  <c r="AV134" i="2"/>
  <c r="AF134" i="2"/>
  <c r="AE134" i="2"/>
  <c r="AD134" i="2"/>
  <c r="AC134" i="2"/>
  <c r="AP135" i="2"/>
  <c r="AE135" i="2"/>
  <c r="AB135" i="2"/>
  <c r="AC135" i="2"/>
  <c r="AV135" i="2"/>
  <c r="AU135" i="2"/>
  <c r="AT135" i="2"/>
  <c r="AS135" i="2"/>
  <c r="AR135" i="2"/>
  <c r="AQ135" i="2"/>
  <c r="AD135" i="2"/>
  <c r="AO135" i="2"/>
  <c r="AN135" i="2"/>
  <c r="AM135" i="2"/>
  <c r="AL135" i="2"/>
  <c r="AK135" i="2"/>
  <c r="AJ135" i="2"/>
  <c r="AI135" i="2"/>
  <c r="AH135" i="2"/>
  <c r="AG135" i="2"/>
  <c r="AF135" i="2"/>
  <c r="AD136" i="2"/>
  <c r="AV136" i="2"/>
  <c r="AB136" i="2"/>
  <c r="AC136" i="2"/>
  <c r="AU136" i="2"/>
  <c r="AT136" i="2"/>
  <c r="AS136" i="2"/>
  <c r="AR136" i="2"/>
  <c r="AQ136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E137" i="2"/>
  <c r="AV137" i="2"/>
  <c r="AD137" i="2"/>
  <c r="AB137" i="2"/>
  <c r="AC137" i="2"/>
  <c r="AF137" i="2"/>
  <c r="AG137" i="2"/>
  <c r="AH137" i="2"/>
  <c r="AI137" i="2"/>
  <c r="AJ137" i="2"/>
  <c r="AK137" i="2"/>
  <c r="AL137" i="2"/>
  <c r="AM137" i="2"/>
  <c r="AN137" i="2"/>
  <c r="AO137" i="2"/>
  <c r="AP137" i="2"/>
  <c r="AQ137" i="2"/>
  <c r="AR137" i="2"/>
  <c r="AS137" i="2"/>
  <c r="AT137" i="2"/>
  <c r="AU137" i="2"/>
  <c r="AV138" i="2"/>
  <c r="AB138" i="2"/>
  <c r="AC138" i="2"/>
  <c r="AD138" i="2"/>
  <c r="AE138" i="2"/>
  <c r="AF138" i="2"/>
  <c r="AG138" i="2"/>
  <c r="AH138" i="2"/>
  <c r="AI138" i="2"/>
  <c r="AJ138" i="2"/>
  <c r="AK138" i="2"/>
  <c r="AL138" i="2"/>
  <c r="AM138" i="2"/>
  <c r="AN138" i="2"/>
  <c r="AO138" i="2"/>
  <c r="AP138" i="2"/>
  <c r="AQ138" i="2"/>
  <c r="AR138" i="2"/>
  <c r="AS138" i="2"/>
  <c r="AT138" i="2"/>
  <c r="AU138" i="2"/>
  <c r="AN139" i="2"/>
  <c r="AV139" i="2"/>
  <c r="AU139" i="2"/>
  <c r="AT139" i="2"/>
  <c r="AS139" i="2"/>
  <c r="AR139" i="2"/>
  <c r="AQ139" i="2"/>
  <c r="AP139" i="2"/>
  <c r="AO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K140" i="2"/>
  <c r="AL140" i="2"/>
  <c r="AJ140" i="2"/>
  <c r="AI140" i="2"/>
  <c r="AH140" i="2"/>
  <c r="AG140" i="2"/>
  <c r="AF140" i="2"/>
  <c r="AE140" i="2"/>
  <c r="AD140" i="2"/>
  <c r="AC140" i="2"/>
  <c r="AB140" i="2"/>
  <c r="AM140" i="2"/>
  <c r="AN140" i="2"/>
  <c r="AO140" i="2"/>
  <c r="AP140" i="2"/>
  <c r="AQ140" i="2"/>
  <c r="AR140" i="2"/>
  <c r="AS140" i="2"/>
  <c r="AT140" i="2"/>
  <c r="AU140" i="2"/>
  <c r="AV140" i="2"/>
  <c r="AJ141" i="2"/>
  <c r="AT141" i="2"/>
  <c r="AS141" i="2"/>
  <c r="AR141" i="2"/>
  <c r="AQ141" i="2"/>
  <c r="AP141" i="2"/>
  <c r="AO141" i="2"/>
  <c r="AN141" i="2"/>
  <c r="AM141" i="2"/>
  <c r="AL141" i="2"/>
  <c r="AK141" i="2"/>
  <c r="AU141" i="2"/>
  <c r="AI141" i="2"/>
  <c r="AH141" i="2"/>
  <c r="AG141" i="2"/>
  <c r="AF141" i="2"/>
  <c r="AE141" i="2"/>
  <c r="AD141" i="2"/>
  <c r="AC141" i="2"/>
  <c r="AB141" i="2"/>
  <c r="AV141" i="2"/>
  <c r="AT142" i="2"/>
  <c r="AB142" i="2"/>
  <c r="AC142" i="2"/>
  <c r="AD142" i="2"/>
  <c r="AE142" i="2"/>
  <c r="AF142" i="2"/>
  <c r="AG142" i="2"/>
  <c r="AH142" i="2"/>
  <c r="AI142" i="2"/>
  <c r="AS142" i="2"/>
  <c r="AR142" i="2"/>
  <c r="AU142" i="2"/>
  <c r="AV142" i="2"/>
  <c r="AQ142" i="2"/>
  <c r="AP142" i="2"/>
  <c r="AO142" i="2"/>
  <c r="AN142" i="2"/>
  <c r="AM142" i="2"/>
  <c r="AL142" i="2"/>
  <c r="AK142" i="2"/>
  <c r="AJ142" i="2"/>
  <c r="AI143" i="2"/>
  <c r="AJ143" i="2"/>
  <c r="AK143" i="2"/>
  <c r="AL143" i="2"/>
  <c r="AM143" i="2"/>
  <c r="AN143" i="2"/>
  <c r="AO143" i="2"/>
  <c r="AP143" i="2"/>
  <c r="AQ143" i="2"/>
  <c r="AR143" i="2"/>
  <c r="AS143" i="2"/>
  <c r="AH143" i="2"/>
  <c r="AG143" i="2"/>
  <c r="AF143" i="2"/>
  <c r="AE143" i="2"/>
  <c r="AD143" i="2"/>
  <c r="AC143" i="2"/>
  <c r="AB143" i="2"/>
  <c r="AV143" i="2"/>
  <c r="AT143" i="2"/>
  <c r="AU143" i="2"/>
  <c r="AF144" i="2"/>
  <c r="AV144" i="2"/>
  <c r="AE144" i="2"/>
  <c r="AG144" i="2"/>
  <c r="AD144" i="2"/>
  <c r="AC144" i="2"/>
  <c r="AB144" i="2"/>
  <c r="AH144" i="2"/>
  <c r="AI144" i="2"/>
  <c r="AJ144" i="2"/>
  <c r="AK144" i="2"/>
  <c r="AL144" i="2"/>
  <c r="AM144" i="2"/>
  <c r="AN144" i="2"/>
  <c r="AO144" i="2"/>
  <c r="AP144" i="2"/>
  <c r="AQ144" i="2"/>
  <c r="AR144" i="2"/>
  <c r="AS144" i="2"/>
  <c r="AT144" i="2"/>
  <c r="AU144" i="2"/>
  <c r="AR145" i="2"/>
  <c r="AT145" i="2"/>
  <c r="AC145" i="2"/>
  <c r="AQ145" i="2"/>
  <c r="AN145" i="2"/>
  <c r="AF145" i="2"/>
  <c r="AB145" i="2"/>
  <c r="AO145" i="2"/>
  <c r="AL145" i="2"/>
  <c r="AI145" i="2"/>
  <c r="AV145" i="2"/>
  <c r="AK145" i="2"/>
  <c r="AM145" i="2"/>
  <c r="AU145" i="2"/>
  <c r="AD145" i="2"/>
  <c r="AE145" i="2"/>
  <c r="AH145" i="2"/>
  <c r="AJ145" i="2"/>
  <c r="AP145" i="2"/>
  <c r="AS145" i="2"/>
  <c r="AG145" i="2"/>
  <c r="AR146" i="2"/>
  <c r="AO146" i="2"/>
  <c r="AB146" i="2"/>
  <c r="AK146" i="2"/>
  <c r="AT146" i="2"/>
  <c r="AG146" i="2"/>
  <c r="AE146" i="2"/>
  <c r="AM146" i="2"/>
  <c r="AJ146" i="2"/>
  <c r="AH146" i="2"/>
  <c r="AF146" i="2"/>
  <c r="AD146" i="2"/>
  <c r="AP146" i="2"/>
  <c r="AC146" i="2"/>
  <c r="AI146" i="2"/>
  <c r="AL146" i="2"/>
  <c r="AU146" i="2"/>
  <c r="AV146" i="2"/>
  <c r="AQ146" i="2"/>
  <c r="AN146" i="2"/>
  <c r="AS146" i="2"/>
  <c r="AG147" i="2"/>
  <c r="AP147" i="2"/>
  <c r="AS147" i="2"/>
  <c r="AC147" i="2"/>
  <c r="AE147" i="2"/>
  <c r="AL147" i="2"/>
  <c r="AV147" i="2"/>
  <c r="AN147" i="2"/>
  <c r="AU147" i="2"/>
  <c r="AI147" i="2"/>
  <c r="AH147" i="2"/>
  <c r="AD147" i="2"/>
  <c r="AT147" i="2"/>
  <c r="AQ147" i="2"/>
  <c r="AO147" i="2"/>
  <c r="AK147" i="2"/>
  <c r="AJ147" i="2"/>
  <c r="AM147" i="2"/>
  <c r="AF147" i="2"/>
  <c r="AB147" i="2"/>
  <c r="AR147" i="2"/>
  <c r="AL148" i="2"/>
  <c r="AK148" i="2"/>
  <c r="AG148" i="2"/>
  <c r="AF148" i="2"/>
  <c r="AC148" i="2"/>
  <c r="AT148" i="2"/>
  <c r="AV148" i="2"/>
  <c r="AS148" i="2"/>
  <c r="AQ148" i="2"/>
  <c r="AM148" i="2"/>
  <c r="AD148" i="2"/>
  <c r="AI148" i="2"/>
  <c r="AO148" i="2"/>
  <c r="AB148" i="2"/>
  <c r="AE148" i="2"/>
  <c r="AH148" i="2"/>
  <c r="AJ148" i="2"/>
  <c r="AU148" i="2"/>
  <c r="AR148" i="2"/>
  <c r="AP148" i="2"/>
  <c r="AN148" i="2"/>
  <c r="AV149" i="2"/>
  <c r="AB149" i="2"/>
  <c r="AE149" i="2"/>
  <c r="AG149" i="2"/>
  <c r="AI149" i="2"/>
  <c r="AK149" i="2"/>
  <c r="AN149" i="2"/>
  <c r="AD149" i="2"/>
  <c r="AS149" i="2"/>
  <c r="AP149" i="2"/>
  <c r="AT149" i="2"/>
  <c r="AM149" i="2"/>
  <c r="AF149" i="2"/>
  <c r="AC149" i="2"/>
  <c r="AJ149" i="2"/>
  <c r="AO149" i="2"/>
  <c r="AR149" i="2"/>
  <c r="AU149" i="2"/>
  <c r="AH149" i="2"/>
  <c r="AL149" i="2"/>
  <c r="AQ149" i="2"/>
  <c r="AB150" i="2"/>
  <c r="AF150" i="2"/>
  <c r="AR150" i="2"/>
  <c r="AD150" i="2"/>
  <c r="AC150" i="2"/>
  <c r="AG150" i="2"/>
  <c r="AN150" i="2"/>
  <c r="AU150" i="2"/>
  <c r="AS150" i="2"/>
  <c r="AQ150" i="2"/>
  <c r="AP150" i="2"/>
  <c r="AI150" i="2"/>
  <c r="AH150" i="2"/>
  <c r="AM150" i="2"/>
  <c r="AK150" i="2"/>
  <c r="AO150" i="2"/>
  <c r="AE150" i="2"/>
  <c r="AV150" i="2"/>
  <c r="AT150" i="2"/>
  <c r="AL150" i="2"/>
  <c r="AJ150" i="2"/>
  <c r="AV151" i="2"/>
  <c r="AR151" i="2"/>
  <c r="AB151" i="2"/>
  <c r="AC151" i="2"/>
  <c r="AD151" i="2"/>
  <c r="AE151" i="2"/>
  <c r="AG151" i="2"/>
  <c r="AK151" i="2"/>
  <c r="AJ151" i="2"/>
  <c r="AN151" i="2"/>
  <c r="AT151" i="2"/>
  <c r="AU151" i="2"/>
  <c r="AQ151" i="2"/>
  <c r="AL151" i="2"/>
  <c r="AP151" i="2"/>
  <c r="AF151" i="2"/>
  <c r="AH151" i="2"/>
  <c r="AI151" i="2"/>
  <c r="AM151" i="2"/>
  <c r="AO151" i="2"/>
  <c r="AS151" i="2"/>
  <c r="AQ152" i="2"/>
  <c r="AB152" i="2"/>
  <c r="AG152" i="2"/>
  <c r="AJ152" i="2"/>
  <c r="AM152" i="2"/>
  <c r="AP152" i="2"/>
  <c r="AR152" i="2"/>
  <c r="AU152" i="2"/>
  <c r="AD152" i="2"/>
  <c r="AI152" i="2"/>
  <c r="AK152" i="2"/>
  <c r="AS152" i="2"/>
  <c r="AF152" i="2"/>
  <c r="AH152" i="2"/>
  <c r="AC152" i="2"/>
  <c r="AL152" i="2"/>
  <c r="AT152" i="2"/>
  <c r="AN152" i="2"/>
  <c r="AV152" i="2"/>
  <c r="AE152" i="2"/>
  <c r="AO152" i="2"/>
  <c r="AH153" i="2"/>
  <c r="AP153" i="2"/>
  <c r="AS153" i="2"/>
  <c r="AG153" i="2"/>
  <c r="AI153" i="2"/>
  <c r="AU153" i="2"/>
  <c r="AM153" i="2"/>
  <c r="AQ153" i="2"/>
  <c r="AT153" i="2"/>
  <c r="AV153" i="2"/>
  <c r="AJ153" i="2"/>
  <c r="AK153" i="2"/>
  <c r="AL153" i="2"/>
  <c r="AR153" i="2"/>
  <c r="AB153" i="2"/>
  <c r="AC153" i="2"/>
  <c r="AD153" i="2"/>
  <c r="AE153" i="2"/>
  <c r="AF153" i="2"/>
  <c r="AN153" i="2"/>
  <c r="AO153" i="2"/>
  <c r="AD154" i="2"/>
  <c r="AK154" i="2"/>
  <c r="AO154" i="2"/>
  <c r="AQ154" i="2"/>
  <c r="AL154" i="2"/>
  <c r="AN154" i="2"/>
  <c r="AP154" i="2"/>
  <c r="AV154" i="2"/>
  <c r="AR154" i="2"/>
  <c r="AT154" i="2"/>
  <c r="AS154" i="2"/>
  <c r="AI154" i="2"/>
  <c r="AB154" i="2"/>
  <c r="AJ154" i="2"/>
  <c r="AH154" i="2"/>
  <c r="AF154" i="2"/>
  <c r="AC154" i="2"/>
  <c r="AU154" i="2"/>
  <c r="AM154" i="2"/>
  <c r="AG154" i="2"/>
  <c r="AE154" i="2"/>
  <c r="AU155" i="2"/>
  <c r="AT155" i="2"/>
  <c r="AB155" i="2"/>
  <c r="AN155" i="2"/>
  <c r="AI155" i="2"/>
  <c r="AC155" i="2"/>
  <c r="AL155" i="2"/>
  <c r="AE155" i="2"/>
  <c r="AQ155" i="2"/>
  <c r="AH155" i="2"/>
  <c r="AG155" i="2"/>
  <c r="AV155" i="2"/>
  <c r="AR155" i="2"/>
  <c r="AM155" i="2"/>
  <c r="AF155" i="2"/>
  <c r="AS155" i="2"/>
  <c r="AO155" i="2"/>
  <c r="AD155" i="2"/>
  <c r="AJ155" i="2"/>
  <c r="AK155" i="2"/>
  <c r="AP155" i="2"/>
  <c r="AU156" i="2"/>
  <c r="AG156" i="2"/>
  <c r="AR156" i="2"/>
  <c r="AO156" i="2"/>
  <c r="AV156" i="2"/>
  <c r="AT156" i="2"/>
  <c r="AN156" i="2"/>
  <c r="AF156" i="2"/>
  <c r="AL156" i="2"/>
  <c r="AC156" i="2"/>
  <c r="AI156" i="2"/>
  <c r="AE156" i="2"/>
  <c r="AB156" i="2"/>
  <c r="AJ156" i="2"/>
  <c r="AH156" i="2"/>
  <c r="AS156" i="2"/>
  <c r="AP156" i="2"/>
  <c r="AM156" i="2"/>
  <c r="AK156" i="2"/>
  <c r="AQ156" i="2"/>
  <c r="AD156" i="2"/>
  <c r="AM157" i="2"/>
  <c r="AO157" i="2"/>
  <c r="AL157" i="2"/>
  <c r="AE157" i="2"/>
  <c r="AH157" i="2"/>
  <c r="AI157" i="2"/>
  <c r="AJ157" i="2"/>
  <c r="AD157" i="2"/>
  <c r="AG157" i="2"/>
  <c r="AQ157" i="2"/>
  <c r="AN157" i="2"/>
  <c r="AU157" i="2"/>
  <c r="AS157" i="2"/>
  <c r="AR157" i="2"/>
  <c r="AT157" i="2"/>
  <c r="AV157" i="2"/>
  <c r="AF157" i="2"/>
  <c r="AP157" i="2"/>
  <c r="AC157" i="2"/>
  <c r="AK157" i="2"/>
  <c r="AB157" i="2"/>
  <c r="AJ158" i="2"/>
  <c r="AE158" i="2"/>
  <c r="AN158" i="2"/>
  <c r="AU158" i="2"/>
  <c r="AS158" i="2"/>
  <c r="AR158" i="2"/>
  <c r="AO158" i="2"/>
  <c r="AP158" i="2"/>
  <c r="AK158" i="2"/>
  <c r="AT158" i="2"/>
  <c r="AQ158" i="2"/>
  <c r="AL158" i="2"/>
  <c r="AH158" i="2"/>
  <c r="AB158" i="2"/>
  <c r="AD158" i="2"/>
  <c r="AV158" i="2"/>
  <c r="AF158" i="2"/>
  <c r="AC158" i="2"/>
  <c r="AI158" i="2"/>
  <c r="AG158" i="2"/>
  <c r="AM158" i="2"/>
  <c r="AT159" i="2"/>
  <c r="AQ159" i="2"/>
  <c r="AL159" i="2"/>
  <c r="AI159" i="2"/>
  <c r="AG159" i="2"/>
  <c r="AO159" i="2"/>
  <c r="AK159" i="2"/>
  <c r="AR159" i="2"/>
  <c r="AD159" i="2"/>
  <c r="AE159" i="2"/>
  <c r="AB159" i="2"/>
  <c r="AF159" i="2"/>
  <c r="AH159" i="2"/>
  <c r="AJ159" i="2"/>
  <c r="AM159" i="2"/>
  <c r="AP159" i="2"/>
  <c r="AS159" i="2"/>
  <c r="AU159" i="2"/>
  <c r="AC159" i="2"/>
  <c r="AN159" i="2"/>
  <c r="AV159" i="2"/>
  <c r="AQ160" i="2"/>
  <c r="AR160" i="2"/>
  <c r="AD160" i="2"/>
  <c r="AJ160" i="2"/>
  <c r="AN160" i="2"/>
  <c r="AO160" i="2"/>
  <c r="AK160" i="2"/>
  <c r="AT160" i="2"/>
  <c r="AF160" i="2"/>
  <c r="AI160" i="2"/>
  <c r="AL160" i="2"/>
  <c r="AP160" i="2"/>
  <c r="AS160" i="2"/>
  <c r="AV160" i="2"/>
  <c r="AB160" i="2"/>
  <c r="AG160" i="2"/>
  <c r="AM160" i="2"/>
  <c r="AU160" i="2"/>
  <c r="AH160" i="2"/>
  <c r="AE160" i="2"/>
  <c r="AC160" i="2"/>
  <c r="AG161" i="2"/>
  <c r="AH161" i="2"/>
  <c r="AI161" i="2"/>
  <c r="AJ161" i="2"/>
  <c r="AK161" i="2"/>
  <c r="AL161" i="2"/>
  <c r="AM161" i="2"/>
  <c r="AN161" i="2"/>
  <c r="AO161" i="2"/>
  <c r="AP161" i="2"/>
  <c r="AQ161" i="2"/>
  <c r="AR161" i="2"/>
  <c r="AS161" i="2"/>
  <c r="AF161" i="2"/>
  <c r="AE161" i="2"/>
  <c r="AD161" i="2"/>
  <c r="AC161" i="2"/>
  <c r="AV161" i="2"/>
  <c r="AT161" i="2"/>
  <c r="AU161" i="2"/>
  <c r="AB161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AT2" i="2"/>
  <c r="AU2" i="2"/>
  <c r="AV2" i="2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5" i="1"/>
  <c r="K5" i="1"/>
  <c r="X33" i="1"/>
  <c r="Y33" i="1"/>
  <c r="X34" i="1"/>
  <c r="Y34" i="1"/>
  <c r="X35" i="1"/>
  <c r="Y35" i="1"/>
  <c r="X36" i="1"/>
  <c r="Y36" i="1"/>
  <c r="X37" i="1"/>
  <c r="Y37" i="1"/>
  <c r="X38" i="1"/>
  <c r="Y38" i="1"/>
  <c r="X39" i="1"/>
  <c r="Y39" i="1"/>
  <c r="X40" i="1"/>
  <c r="Y40" i="1"/>
  <c r="X41" i="1"/>
  <c r="Y41" i="1"/>
  <c r="X42" i="1"/>
  <c r="Y42" i="1"/>
  <c r="X44" i="1"/>
  <c r="Y44" i="1"/>
  <c r="X45" i="1"/>
  <c r="Y45" i="1"/>
  <c r="X46" i="1"/>
  <c r="Y46" i="1"/>
  <c r="X47" i="1"/>
  <c r="Y47" i="1"/>
  <c r="X48" i="1"/>
  <c r="Y48" i="1"/>
  <c r="X49" i="1"/>
  <c r="Y49" i="1"/>
  <c r="X50" i="1"/>
  <c r="Y50" i="1"/>
  <c r="X51" i="1"/>
  <c r="Y51" i="1"/>
  <c r="X52" i="1"/>
  <c r="Y52" i="1"/>
  <c r="X53" i="1"/>
  <c r="Y53" i="1"/>
  <c r="X54" i="1"/>
  <c r="Y54" i="1"/>
  <c r="X55" i="1"/>
  <c r="Y55" i="1"/>
  <c r="X56" i="1"/>
  <c r="Y56" i="1"/>
  <c r="X57" i="1"/>
  <c r="Y57" i="1"/>
  <c r="X58" i="1"/>
  <c r="Y58" i="1"/>
  <c r="X59" i="1"/>
  <c r="Y59" i="1"/>
  <c r="X60" i="1"/>
  <c r="Y60" i="1"/>
  <c r="X61" i="1"/>
  <c r="Y61" i="1"/>
  <c r="X62" i="1"/>
  <c r="Y62" i="1"/>
  <c r="X63" i="1"/>
  <c r="Y63" i="1"/>
  <c r="X64" i="1"/>
  <c r="Y64" i="1"/>
  <c r="X65" i="1"/>
  <c r="Y65" i="1"/>
  <c r="X66" i="1"/>
  <c r="Y66" i="1"/>
  <c r="X67" i="1"/>
  <c r="Y67" i="1"/>
  <c r="X68" i="1"/>
  <c r="Y68" i="1"/>
  <c r="X69" i="1"/>
  <c r="Y69" i="1"/>
  <c r="X70" i="1"/>
  <c r="Y70" i="1"/>
  <c r="X71" i="1"/>
  <c r="Y71" i="1"/>
  <c r="X72" i="1"/>
  <c r="Y72" i="1"/>
  <c r="X73" i="1"/>
  <c r="Y73" i="1"/>
  <c r="X74" i="1"/>
  <c r="Y74" i="1"/>
  <c r="X75" i="1"/>
  <c r="Y75" i="1"/>
  <c r="X76" i="1"/>
  <c r="Y76" i="1"/>
  <c r="X77" i="1"/>
  <c r="Y77" i="1"/>
  <c r="X78" i="1"/>
  <c r="Y78" i="1"/>
  <c r="X79" i="1"/>
  <c r="Y79" i="1"/>
  <c r="X80" i="1"/>
  <c r="Y80" i="1"/>
  <c r="X81" i="1"/>
  <c r="Y81" i="1"/>
  <c r="X82" i="1"/>
  <c r="Y82" i="1"/>
  <c r="X83" i="1"/>
  <c r="Y83" i="1"/>
  <c r="X84" i="1"/>
  <c r="Y84" i="1"/>
  <c r="X85" i="1"/>
  <c r="Y85" i="1"/>
  <c r="X86" i="1"/>
  <c r="Y86" i="1"/>
  <c r="X87" i="1"/>
  <c r="Y87" i="1"/>
  <c r="X88" i="1"/>
  <c r="Y88" i="1"/>
  <c r="X89" i="1"/>
  <c r="Y89" i="1"/>
  <c r="X90" i="1"/>
  <c r="Y90" i="1"/>
  <c r="X91" i="1"/>
  <c r="Y91" i="1"/>
  <c r="X92" i="1"/>
  <c r="Y92" i="1"/>
  <c r="X93" i="1"/>
  <c r="Y93" i="1"/>
  <c r="X94" i="1"/>
  <c r="Y94" i="1"/>
  <c r="X95" i="1"/>
  <c r="Y95" i="1"/>
  <c r="X96" i="1"/>
  <c r="Y96" i="1"/>
  <c r="X97" i="1"/>
  <c r="Y97" i="1"/>
  <c r="X32" i="1"/>
  <c r="Y32" i="1"/>
  <c r="I33" i="1"/>
  <c r="J33" i="1"/>
  <c r="I34" i="1"/>
  <c r="J34" i="1"/>
  <c r="I35" i="1"/>
  <c r="J35" i="1"/>
  <c r="I36" i="1"/>
  <c r="J36" i="1"/>
  <c r="I37" i="1"/>
  <c r="J37" i="1"/>
  <c r="I38" i="1"/>
  <c r="J38" i="1"/>
  <c r="I105" i="1"/>
  <c r="J105" i="1"/>
  <c r="I104" i="1"/>
  <c r="J104" i="1"/>
  <c r="I103" i="1"/>
  <c r="J103" i="1"/>
  <c r="I102" i="1"/>
  <c r="J102" i="1"/>
  <c r="I101" i="1"/>
  <c r="J101" i="1"/>
  <c r="I100" i="1"/>
  <c r="J100" i="1"/>
  <c r="I99" i="1"/>
  <c r="J99" i="1"/>
  <c r="I98" i="1"/>
  <c r="J98" i="1"/>
  <c r="I97" i="1"/>
  <c r="J97" i="1"/>
  <c r="I96" i="1"/>
  <c r="J96" i="1"/>
  <c r="I95" i="1"/>
  <c r="J95" i="1"/>
  <c r="I94" i="1"/>
  <c r="J94" i="1"/>
  <c r="I93" i="1"/>
  <c r="J93" i="1"/>
  <c r="I92" i="1"/>
  <c r="J92" i="1"/>
  <c r="I91" i="1"/>
  <c r="J91" i="1"/>
  <c r="I90" i="1"/>
  <c r="J90" i="1"/>
  <c r="I89" i="1"/>
  <c r="J89" i="1"/>
  <c r="I88" i="1"/>
  <c r="J88" i="1"/>
  <c r="I87" i="1"/>
  <c r="J87" i="1"/>
  <c r="I86" i="1"/>
  <c r="J86" i="1"/>
  <c r="I85" i="1"/>
  <c r="J85" i="1"/>
  <c r="I84" i="1"/>
  <c r="J84" i="1"/>
  <c r="I83" i="1"/>
  <c r="J83" i="1"/>
  <c r="I82" i="1"/>
  <c r="J82" i="1"/>
  <c r="I81" i="1"/>
  <c r="J81" i="1"/>
  <c r="I80" i="1"/>
  <c r="J80" i="1"/>
  <c r="I79" i="1"/>
  <c r="J79" i="1"/>
  <c r="I78" i="1"/>
  <c r="J78" i="1"/>
  <c r="I77" i="1"/>
  <c r="J77" i="1"/>
  <c r="I76" i="1"/>
  <c r="J76" i="1"/>
  <c r="I75" i="1"/>
  <c r="J75" i="1"/>
  <c r="I74" i="1"/>
  <c r="J74" i="1"/>
  <c r="I73" i="1"/>
  <c r="J73" i="1"/>
  <c r="I72" i="1"/>
  <c r="J72" i="1"/>
  <c r="I71" i="1"/>
  <c r="J71" i="1"/>
  <c r="I70" i="1"/>
  <c r="J70" i="1"/>
  <c r="I69" i="1"/>
  <c r="J69" i="1"/>
  <c r="I68" i="1"/>
  <c r="J68" i="1"/>
  <c r="I67" i="1"/>
  <c r="J67" i="1"/>
  <c r="I66" i="1"/>
  <c r="J66" i="1"/>
  <c r="I65" i="1"/>
  <c r="J65" i="1"/>
  <c r="I64" i="1"/>
  <c r="J64" i="1"/>
  <c r="I63" i="1"/>
  <c r="J63" i="1"/>
  <c r="I62" i="1"/>
  <c r="J62" i="1"/>
  <c r="I61" i="1"/>
  <c r="J61" i="1"/>
  <c r="I60" i="1"/>
  <c r="J60" i="1"/>
  <c r="I59" i="1"/>
  <c r="J59" i="1"/>
  <c r="I58" i="1"/>
  <c r="J58" i="1"/>
  <c r="I57" i="1"/>
  <c r="J57" i="1"/>
  <c r="I56" i="1"/>
  <c r="J56" i="1"/>
  <c r="I55" i="1"/>
  <c r="J55" i="1"/>
  <c r="I54" i="1"/>
  <c r="J54" i="1"/>
  <c r="I53" i="1"/>
  <c r="J53" i="1"/>
  <c r="I52" i="1"/>
  <c r="J52" i="1"/>
  <c r="I51" i="1"/>
  <c r="J51" i="1"/>
  <c r="I50" i="1"/>
  <c r="J50" i="1"/>
  <c r="I49" i="1"/>
  <c r="J49" i="1"/>
  <c r="I48" i="1"/>
  <c r="J48" i="1"/>
  <c r="I47" i="1"/>
  <c r="J47" i="1"/>
  <c r="I46" i="1"/>
  <c r="J46" i="1"/>
  <c r="I45" i="1"/>
  <c r="J45" i="1"/>
  <c r="I44" i="1"/>
  <c r="J44" i="1"/>
  <c r="I43" i="1"/>
  <c r="J43" i="1"/>
  <c r="I42" i="1"/>
  <c r="J42" i="1"/>
  <c r="I41" i="1"/>
  <c r="J41" i="1"/>
  <c r="I40" i="1"/>
  <c r="J40" i="1"/>
  <c r="I39" i="1"/>
  <c r="J39" i="1"/>
  <c r="I32" i="1"/>
  <c r="J32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18" i="1"/>
  <c r="J18" i="1"/>
  <c r="I6" i="1"/>
  <c r="I7" i="1"/>
  <c r="I8" i="1"/>
  <c r="I9" i="1"/>
  <c r="I10" i="1"/>
  <c r="I11" i="1"/>
  <c r="I12" i="1"/>
  <c r="I13" i="1"/>
  <c r="I14" i="1"/>
  <c r="I5" i="1"/>
  <c r="D97" i="3"/>
  <c r="AC33" i="1" s="1"/>
  <c r="D98" i="3"/>
  <c r="AC34" i="1" s="1"/>
  <c r="D99" i="3"/>
  <c r="AC35" i="1" s="1"/>
  <c r="D100" i="3"/>
  <c r="AC36" i="1" s="1"/>
  <c r="D101" i="3"/>
  <c r="AC37" i="1" s="1"/>
  <c r="D102" i="3"/>
  <c r="AC38" i="1" s="1"/>
  <c r="D103" i="3"/>
  <c r="AC39" i="1" s="1"/>
  <c r="D104" i="3"/>
  <c r="AC40" i="1" s="1"/>
  <c r="D105" i="3"/>
  <c r="AC41" i="1" s="1"/>
  <c r="D106" i="3"/>
  <c r="AC42" i="1" s="1"/>
  <c r="D108" i="3"/>
  <c r="AC44" i="1" s="1"/>
  <c r="D109" i="3"/>
  <c r="AC45" i="1" s="1"/>
  <c r="D110" i="3"/>
  <c r="AC46" i="1" s="1"/>
  <c r="D111" i="3"/>
  <c r="AC47" i="1" s="1"/>
  <c r="D112" i="3"/>
  <c r="AC48" i="1" s="1"/>
  <c r="D113" i="3"/>
  <c r="AC49" i="1" s="1"/>
  <c r="D114" i="3"/>
  <c r="AC50" i="1" s="1"/>
  <c r="D115" i="3"/>
  <c r="AC51" i="1" s="1"/>
  <c r="D116" i="3"/>
  <c r="AC52" i="1" s="1"/>
  <c r="D117" i="3"/>
  <c r="AC53" i="1" s="1"/>
  <c r="D118" i="3"/>
  <c r="AC54" i="1" s="1"/>
  <c r="D119" i="3"/>
  <c r="AC55" i="1" s="1"/>
  <c r="D120" i="3"/>
  <c r="AC56" i="1" s="1"/>
  <c r="D121" i="3"/>
  <c r="AC57" i="1" s="1"/>
  <c r="D122" i="3"/>
  <c r="AC58" i="1" s="1"/>
  <c r="D123" i="3"/>
  <c r="AC59" i="1" s="1"/>
  <c r="D124" i="3"/>
  <c r="AC60" i="1" s="1"/>
  <c r="D125" i="3"/>
  <c r="AC61" i="1" s="1"/>
  <c r="D126" i="3"/>
  <c r="AC62" i="1" s="1"/>
  <c r="D127" i="3"/>
  <c r="AC63" i="1" s="1"/>
  <c r="D128" i="3"/>
  <c r="AC64" i="1" s="1"/>
  <c r="D129" i="3"/>
  <c r="AC65" i="1" s="1"/>
  <c r="D131" i="3"/>
  <c r="AC67" i="1" s="1"/>
  <c r="D132" i="3"/>
  <c r="AC68" i="1" s="1"/>
  <c r="D133" i="3"/>
  <c r="AC69" i="1" s="1"/>
  <c r="D134" i="3"/>
  <c r="AC70" i="1" s="1"/>
  <c r="D135" i="3"/>
  <c r="AC71" i="1" s="1"/>
  <c r="D136" i="3"/>
  <c r="AC72" i="1" s="1"/>
  <c r="D137" i="3"/>
  <c r="AC73" i="1" s="1"/>
  <c r="D138" i="3"/>
  <c r="AC74" i="1" s="1"/>
  <c r="D139" i="3"/>
  <c r="AC75" i="1" s="1"/>
  <c r="D140" i="3"/>
  <c r="AC76" i="1" s="1"/>
  <c r="D141" i="3"/>
  <c r="AC77" i="1" s="1"/>
  <c r="D142" i="3"/>
  <c r="AC78" i="1" s="1"/>
  <c r="D144" i="3"/>
  <c r="AC80" i="1" s="1"/>
  <c r="D145" i="3"/>
  <c r="AC81" i="1" s="1"/>
  <c r="D146" i="3"/>
  <c r="AC82" i="1" s="1"/>
  <c r="D147" i="3"/>
  <c r="AC83" i="1" s="1"/>
  <c r="D148" i="3"/>
  <c r="AC84" i="1" s="1"/>
  <c r="D149" i="3"/>
  <c r="AC85" i="1" s="1"/>
  <c r="D150" i="3"/>
  <c r="AC86" i="1" s="1"/>
  <c r="D151" i="3"/>
  <c r="AC87" i="1" s="1"/>
  <c r="D152" i="3"/>
  <c r="AC88" i="1" s="1"/>
  <c r="D153" i="3"/>
  <c r="AC89" i="1" s="1"/>
  <c r="D154" i="3"/>
  <c r="AC90" i="1" s="1"/>
  <c r="D155" i="3"/>
  <c r="AC91" i="1" s="1"/>
  <c r="D156" i="3"/>
  <c r="AC92" i="1" s="1"/>
  <c r="D157" i="3"/>
  <c r="AC93" i="1" s="1"/>
  <c r="D158" i="3"/>
  <c r="AC94" i="1" s="1"/>
  <c r="D159" i="3"/>
  <c r="AC95" i="1" s="1"/>
  <c r="D160" i="3"/>
  <c r="AC96" i="1" s="1"/>
  <c r="D161" i="3"/>
  <c r="AC97" i="1" s="1"/>
  <c r="D130" i="3"/>
  <c r="AC66" i="1" s="1"/>
  <c r="D143" i="3"/>
  <c r="AC79" i="1" s="1"/>
  <c r="D96" i="3"/>
  <c r="AC32" i="1" s="1"/>
  <c r="D26" i="3"/>
  <c r="N36" i="1" s="1"/>
  <c r="D28" i="3"/>
  <c r="N38" i="1" s="1"/>
  <c r="D29" i="3"/>
  <c r="N39" i="1" s="1"/>
  <c r="D36" i="3"/>
  <c r="N46" i="1" s="1"/>
  <c r="D41" i="3"/>
  <c r="N51" i="1" s="1"/>
  <c r="D44" i="3"/>
  <c r="N54" i="1" s="1"/>
  <c r="D55" i="3"/>
  <c r="N65" i="1" s="1"/>
  <c r="D58" i="3"/>
  <c r="N68" i="1" s="1"/>
  <c r="D59" i="3"/>
  <c r="N69" i="1" s="1"/>
  <c r="D60" i="3"/>
  <c r="N70" i="1" s="1"/>
  <c r="D61" i="3"/>
  <c r="N71" i="1" s="1"/>
  <c r="D62" i="3"/>
  <c r="N72" i="1" s="1"/>
  <c r="D63" i="3"/>
  <c r="N73" i="1" s="1"/>
  <c r="D64" i="3"/>
  <c r="N74" i="1" s="1"/>
  <c r="D65" i="3"/>
  <c r="N75" i="1" s="1"/>
  <c r="D66" i="3"/>
  <c r="N76" i="1" s="1"/>
  <c r="D67" i="3"/>
  <c r="N77" i="1" s="1"/>
  <c r="D68" i="3"/>
  <c r="N78" i="1" s="1"/>
  <c r="D69" i="3"/>
  <c r="N79" i="1" s="1"/>
  <c r="D70" i="3"/>
  <c r="N80" i="1" s="1"/>
  <c r="D71" i="3"/>
  <c r="N81" i="1" s="1"/>
  <c r="D72" i="3"/>
  <c r="N82" i="1" s="1"/>
  <c r="D73" i="3"/>
  <c r="N83" i="1" s="1"/>
  <c r="D74" i="3"/>
  <c r="N84" i="1" s="1"/>
  <c r="D75" i="3"/>
  <c r="N85" i="1" s="1"/>
  <c r="D76" i="3"/>
  <c r="N86" i="1" s="1"/>
  <c r="D77" i="3"/>
  <c r="N87" i="1" s="1"/>
  <c r="D78" i="3"/>
  <c r="N88" i="1" s="1"/>
  <c r="D79" i="3"/>
  <c r="N89" i="1" s="1"/>
  <c r="D80" i="3"/>
  <c r="N90" i="1" s="1"/>
  <c r="D81" i="3"/>
  <c r="N91" i="1" s="1"/>
  <c r="D82" i="3"/>
  <c r="N92" i="1" s="1"/>
  <c r="D83" i="3"/>
  <c r="N93" i="1" s="1"/>
  <c r="D84" i="3"/>
  <c r="N94" i="1" s="1"/>
  <c r="D85" i="3"/>
  <c r="N95" i="1" s="1"/>
  <c r="D86" i="3"/>
  <c r="N96" i="1" s="1"/>
  <c r="D87" i="3"/>
  <c r="N97" i="1" s="1"/>
  <c r="D88" i="3"/>
  <c r="N98" i="1" s="1"/>
  <c r="D89" i="3"/>
  <c r="N99" i="1" s="1"/>
  <c r="D90" i="3"/>
  <c r="N100" i="1" s="1"/>
  <c r="D91" i="3"/>
  <c r="N101" i="1" s="1"/>
  <c r="D92" i="3"/>
  <c r="N102" i="1" s="1"/>
  <c r="D93" i="3"/>
  <c r="N103" i="1" s="1"/>
  <c r="D94" i="3"/>
  <c r="N104" i="1" s="1"/>
  <c r="D95" i="3"/>
  <c r="N105" i="1" s="1"/>
  <c r="D12" i="3"/>
  <c r="N19" i="1" s="1"/>
  <c r="D13" i="3"/>
  <c r="N20" i="1" s="1"/>
  <c r="D15" i="3"/>
  <c r="N22" i="1" s="1"/>
  <c r="D16" i="3"/>
  <c r="N23" i="1" s="1"/>
  <c r="D17" i="3"/>
  <c r="N24" i="1" s="1"/>
  <c r="D18" i="3"/>
  <c r="N25" i="1" s="1"/>
  <c r="D19" i="3"/>
  <c r="N26" i="1" s="1"/>
  <c r="D20" i="3"/>
  <c r="N27" i="1" s="1"/>
  <c r="D21" i="3"/>
  <c r="N28" i="1" s="1"/>
  <c r="D11" i="3"/>
  <c r="N18" i="1" s="1"/>
  <c r="D1" i="3"/>
  <c r="N5" i="1" s="1"/>
  <c r="D2" i="3"/>
  <c r="N6" i="1" s="1"/>
  <c r="D3" i="3"/>
  <c r="N7" i="1" s="1"/>
  <c r="D4" i="3"/>
  <c r="N8" i="1" s="1"/>
  <c r="D5" i="3"/>
  <c r="N9" i="1" s="1"/>
  <c r="D6" i="3"/>
  <c r="N10" i="1" s="1"/>
  <c r="D7" i="3"/>
  <c r="N11" i="1" s="1"/>
  <c r="D8" i="3"/>
  <c r="N12" i="1" s="1"/>
  <c r="D9" i="3"/>
  <c r="N13" i="1" s="1"/>
  <c r="D10" i="3"/>
  <c r="N14" i="1" s="1"/>
  <c r="D14" i="3"/>
  <c r="N21" i="1" s="1"/>
  <c r="D22" i="3"/>
  <c r="N32" i="1" s="1"/>
  <c r="D23" i="3"/>
  <c r="N33" i="1" s="1"/>
  <c r="D24" i="3"/>
  <c r="N34" i="1" s="1"/>
  <c r="D25" i="3"/>
  <c r="N35" i="1" s="1"/>
  <c r="D27" i="3"/>
  <c r="N37" i="1" s="1"/>
  <c r="D30" i="3"/>
  <c r="N40" i="1" s="1"/>
  <c r="D31" i="3"/>
  <c r="N41" i="1" s="1"/>
  <c r="D32" i="3"/>
  <c r="N42" i="1" s="1"/>
  <c r="D33" i="3"/>
  <c r="N43" i="1" s="1"/>
  <c r="D34" i="3"/>
  <c r="N44" i="1" s="1"/>
  <c r="D35" i="3"/>
  <c r="N45" i="1" s="1"/>
  <c r="D37" i="3"/>
  <c r="N47" i="1" s="1"/>
  <c r="D38" i="3"/>
  <c r="N48" i="1" s="1"/>
  <c r="D39" i="3"/>
  <c r="N49" i="1" s="1"/>
  <c r="D40" i="3"/>
  <c r="N50" i="1" s="1"/>
  <c r="D42" i="3"/>
  <c r="N52" i="1" s="1"/>
  <c r="D43" i="3"/>
  <c r="N53" i="1" s="1"/>
  <c r="D45" i="3"/>
  <c r="N55" i="1" s="1"/>
  <c r="D46" i="3"/>
  <c r="N56" i="1" s="1"/>
  <c r="D47" i="3"/>
  <c r="N57" i="1" s="1"/>
  <c r="D48" i="3"/>
  <c r="N58" i="1" s="1"/>
  <c r="D49" i="3"/>
  <c r="N59" i="1" s="1"/>
  <c r="D50" i="3"/>
  <c r="N60" i="1" s="1"/>
  <c r="D51" i="3"/>
  <c r="N61" i="1" s="1"/>
  <c r="D52" i="3"/>
  <c r="N62" i="1" s="1"/>
  <c r="D53" i="3"/>
  <c r="N63" i="1" s="1"/>
  <c r="D54" i="3"/>
  <c r="N64" i="1" s="1"/>
  <c r="D56" i="3"/>
  <c r="N66" i="1" s="1"/>
  <c r="D57" i="3"/>
  <c r="N67" i="1" s="1"/>
  <c r="AA3" i="2" l="1"/>
  <c r="E7" i="1" s="1"/>
  <c r="AA4" i="2"/>
  <c r="E8" i="1" s="1"/>
  <c r="AA5" i="2"/>
  <c r="E9" i="1" s="1"/>
  <c r="AA6" i="2"/>
  <c r="E10" i="1" s="1"/>
  <c r="AA7" i="2"/>
  <c r="AA137" i="2"/>
  <c r="T73" i="1" s="1"/>
  <c r="AA144" i="2"/>
  <c r="T80" i="1" s="1"/>
  <c r="AA135" i="2"/>
  <c r="T71" i="1" s="1"/>
  <c r="AA142" i="2"/>
  <c r="T78" i="1" s="1"/>
  <c r="AA136" i="2"/>
  <c r="T72" i="1" s="1"/>
  <c r="AA138" i="2"/>
  <c r="T74" i="1" s="1"/>
  <c r="AA139" i="2"/>
  <c r="T75" i="1" s="1"/>
  <c r="AA140" i="2"/>
  <c r="T76" i="1" s="1"/>
  <c r="AA143" i="2"/>
  <c r="T79" i="1" s="1"/>
  <c r="AA141" i="2"/>
  <c r="T77" i="1" s="1"/>
  <c r="AA145" i="2"/>
  <c r="T81" i="1" s="1"/>
  <c r="AA133" i="2"/>
  <c r="T69" i="1" s="1"/>
  <c r="AA134" i="2"/>
  <c r="T70" i="1" s="1"/>
  <c r="E11" i="1"/>
  <c r="AA126" i="2"/>
  <c r="T62" i="1" s="1"/>
  <c r="AA127" i="2"/>
  <c r="T63" i="1" s="1"/>
  <c r="AA128" i="2"/>
  <c r="T64" i="1" s="1"/>
  <c r="AA129" i="2"/>
  <c r="T65" i="1" s="1"/>
  <c r="AA130" i="2"/>
  <c r="T66" i="1" s="1"/>
  <c r="AA131" i="2"/>
  <c r="T67" i="1" s="1"/>
  <c r="AA132" i="2"/>
  <c r="T68" i="1" s="1"/>
  <c r="AA125" i="2"/>
  <c r="T61" i="1" s="1"/>
  <c r="AA8" i="2"/>
  <c r="E12" i="1" s="1"/>
  <c r="AA14" i="2"/>
  <c r="E21" i="1" s="1"/>
  <c r="AA15" i="2"/>
  <c r="E22" i="1" s="1"/>
  <c r="AA16" i="2"/>
  <c r="E23" i="1" s="1"/>
  <c r="AA17" i="2"/>
  <c r="E24" i="1" s="1"/>
  <c r="AA18" i="2"/>
  <c r="E25" i="1" s="1"/>
  <c r="AA19" i="2"/>
  <c r="E26" i="1" s="1"/>
  <c r="AA20" i="2"/>
  <c r="E27" i="1" s="1"/>
  <c r="AA21" i="2"/>
  <c r="E28" i="1" s="1"/>
  <c r="AA22" i="2"/>
  <c r="E32" i="1" s="1"/>
  <c r="AA23" i="2"/>
  <c r="E33" i="1" s="1"/>
  <c r="AA24" i="2"/>
  <c r="E34" i="1" s="1"/>
  <c r="AA25" i="2"/>
  <c r="E35" i="1" s="1"/>
  <c r="AA26" i="2"/>
  <c r="E36" i="1" s="1"/>
  <c r="AA27" i="2"/>
  <c r="E37" i="1" s="1"/>
  <c r="AA28" i="2"/>
  <c r="E38" i="1" s="1"/>
  <c r="AA29" i="2"/>
  <c r="E39" i="1" s="1"/>
  <c r="AA30" i="2"/>
  <c r="E40" i="1" s="1"/>
  <c r="AA31" i="2"/>
  <c r="E41" i="1" s="1"/>
  <c r="AA32" i="2"/>
  <c r="E42" i="1" s="1"/>
  <c r="AA33" i="2"/>
  <c r="E43" i="1" s="1"/>
  <c r="AA34" i="2"/>
  <c r="E44" i="1" s="1"/>
  <c r="AA35" i="2"/>
  <c r="E45" i="1" s="1"/>
  <c r="AA40" i="2"/>
  <c r="E50" i="1" s="1"/>
  <c r="AA41" i="2"/>
  <c r="E51" i="1" s="1"/>
  <c r="AA42" i="2"/>
  <c r="E52" i="1" s="1"/>
  <c r="AA43" i="2"/>
  <c r="E53" i="1" s="1"/>
  <c r="AA44" i="2"/>
  <c r="E54" i="1" s="1"/>
  <c r="AA45" i="2"/>
  <c r="E55" i="1" s="1"/>
  <c r="AA46" i="2"/>
  <c r="E56" i="1" s="1"/>
  <c r="AA47" i="2"/>
  <c r="E57" i="1" s="1"/>
  <c r="AA48" i="2"/>
  <c r="E58" i="1" s="1"/>
  <c r="AA49" i="2"/>
  <c r="E59" i="1" s="1"/>
  <c r="AA50" i="2"/>
  <c r="E60" i="1" s="1"/>
  <c r="AA51" i="2"/>
  <c r="E61" i="1" s="1"/>
  <c r="AA52" i="2"/>
  <c r="E62" i="1" s="1"/>
  <c r="AA53" i="2"/>
  <c r="E63" i="1" s="1"/>
  <c r="AA54" i="2"/>
  <c r="E64" i="1" s="1"/>
  <c r="AA55" i="2"/>
  <c r="E65" i="1" s="1"/>
  <c r="AA56" i="2"/>
  <c r="E66" i="1" s="1"/>
  <c r="AA57" i="2"/>
  <c r="E67" i="1" s="1"/>
  <c r="AA58" i="2"/>
  <c r="E68" i="1" s="1"/>
  <c r="AA59" i="2"/>
  <c r="E69" i="1" s="1"/>
  <c r="AA60" i="2"/>
  <c r="E70" i="1" s="1"/>
  <c r="AA61" i="2"/>
  <c r="E71" i="1" s="1"/>
  <c r="AA62" i="2"/>
  <c r="E72" i="1" s="1"/>
  <c r="AA79" i="2"/>
  <c r="E89" i="1" s="1"/>
  <c r="AA81" i="2"/>
  <c r="E91" i="1" s="1"/>
  <c r="AA86" i="2"/>
  <c r="E96" i="1" s="1"/>
  <c r="AA87" i="2"/>
  <c r="E97" i="1" s="1"/>
  <c r="AA88" i="2"/>
  <c r="E98" i="1" s="1"/>
  <c r="AA89" i="2"/>
  <c r="E99" i="1" s="1"/>
  <c r="AA90" i="2"/>
  <c r="E100" i="1" s="1"/>
  <c r="AA110" i="2"/>
  <c r="T46" i="1" s="1"/>
  <c r="AA112" i="2"/>
  <c r="T48" i="1" s="1"/>
  <c r="AA113" i="2"/>
  <c r="T49" i="1" s="1"/>
  <c r="AA114" i="2"/>
  <c r="T50" i="1" s="1"/>
  <c r="AA115" i="2"/>
  <c r="AA78" i="2"/>
  <c r="E88" i="1" s="1"/>
  <c r="AA84" i="2"/>
  <c r="E94" i="1" s="1"/>
  <c r="AA85" i="2"/>
  <c r="E95" i="1" s="1"/>
  <c r="AA111" i="2"/>
  <c r="T47" i="1" s="1"/>
  <c r="AA64" i="2"/>
  <c r="E74" i="1" s="1"/>
  <c r="AA65" i="2"/>
  <c r="E75" i="1" s="1"/>
  <c r="AA66" i="2"/>
  <c r="E76" i="1" s="1"/>
  <c r="AA67" i="2"/>
  <c r="E77" i="1" s="1"/>
  <c r="AA68" i="2"/>
  <c r="E78" i="1" s="1"/>
  <c r="AA69" i="2"/>
  <c r="E79" i="1" s="1"/>
  <c r="AA70" i="2"/>
  <c r="E80" i="1" s="1"/>
  <c r="AA71" i="2"/>
  <c r="E81" i="1" s="1"/>
  <c r="AA72" i="2"/>
  <c r="E82" i="1" s="1"/>
  <c r="AA73" i="2"/>
  <c r="E83" i="1" s="1"/>
  <c r="AA74" i="2"/>
  <c r="E84" i="1" s="1"/>
  <c r="AA75" i="2"/>
  <c r="E85" i="1" s="1"/>
  <c r="AA76" i="2"/>
  <c r="E86" i="1" s="1"/>
  <c r="AA77" i="2"/>
  <c r="E87" i="1" s="1"/>
  <c r="AA80" i="2"/>
  <c r="E90" i="1" s="1"/>
  <c r="AA82" i="2"/>
  <c r="E92" i="1" s="1"/>
  <c r="AA83" i="2"/>
  <c r="E93" i="1" s="1"/>
  <c r="AA116" i="2"/>
  <c r="T52" i="1" s="1"/>
  <c r="AA117" i="2"/>
  <c r="T53" i="1" s="1"/>
  <c r="AA104" i="2"/>
  <c r="T40" i="1" s="1"/>
  <c r="AA105" i="2"/>
  <c r="T41" i="1" s="1"/>
  <c r="AA106" i="2"/>
  <c r="T42" i="1" s="1"/>
  <c r="AA107" i="2"/>
  <c r="T43" i="1" s="1"/>
  <c r="AA108" i="2"/>
  <c r="T44" i="1" s="1"/>
  <c r="AA109" i="2"/>
  <c r="T45" i="1" s="1"/>
  <c r="AA118" i="2"/>
  <c r="T54" i="1" s="1"/>
  <c r="AA119" i="2"/>
  <c r="T55" i="1" s="1"/>
  <c r="AA120" i="2"/>
  <c r="T56" i="1" s="1"/>
  <c r="AA121" i="2"/>
  <c r="T57" i="1" s="1"/>
  <c r="AA122" i="2"/>
  <c r="T58" i="1" s="1"/>
  <c r="AA123" i="2"/>
  <c r="T59" i="1" s="1"/>
  <c r="AA124" i="2"/>
  <c r="T60" i="1" s="1"/>
  <c r="AA158" i="2"/>
  <c r="T94" i="1" s="1"/>
  <c r="AA159" i="2"/>
  <c r="T95" i="1" s="1"/>
  <c r="AA160" i="2"/>
  <c r="T96" i="1" s="1"/>
  <c r="AA161" i="2"/>
  <c r="T97" i="1" s="1"/>
  <c r="AA9" i="2"/>
  <c r="E13" i="1" s="1"/>
  <c r="AA10" i="2"/>
  <c r="E14" i="1" s="1"/>
  <c r="AA11" i="2"/>
  <c r="E18" i="1" s="1"/>
  <c r="AA12" i="2"/>
  <c r="E19" i="1" s="1"/>
  <c r="AA13" i="2"/>
  <c r="E20" i="1" s="1"/>
  <c r="AA36" i="2"/>
  <c r="E46" i="1" s="1"/>
  <c r="AA37" i="2"/>
  <c r="E47" i="1" s="1"/>
  <c r="AA38" i="2"/>
  <c r="E48" i="1" s="1"/>
  <c r="AA39" i="2"/>
  <c r="E49" i="1" s="1"/>
  <c r="AA63" i="2"/>
  <c r="E73" i="1" s="1"/>
  <c r="AA91" i="2"/>
  <c r="E101" i="1" s="1"/>
  <c r="AA92" i="2"/>
  <c r="E102" i="1" s="1"/>
  <c r="AA93" i="2"/>
  <c r="E103" i="1" s="1"/>
  <c r="AA94" i="2"/>
  <c r="E104" i="1" s="1"/>
  <c r="AA95" i="2"/>
  <c r="E105" i="1" s="1"/>
  <c r="AA96" i="2"/>
  <c r="T32" i="1" s="1"/>
  <c r="AA97" i="2"/>
  <c r="T33" i="1" s="1"/>
  <c r="AA98" i="2"/>
  <c r="T34" i="1" s="1"/>
  <c r="AA99" i="2"/>
  <c r="T35" i="1" s="1"/>
  <c r="AA100" i="2"/>
  <c r="T36" i="1" s="1"/>
  <c r="AA101" i="2"/>
  <c r="T37" i="1" s="1"/>
  <c r="AA102" i="2"/>
  <c r="T38" i="1" s="1"/>
  <c r="AA103" i="2"/>
  <c r="T39" i="1" s="1"/>
  <c r="AA146" i="2"/>
  <c r="T82" i="1" s="1"/>
  <c r="AA147" i="2"/>
  <c r="T83" i="1" s="1"/>
  <c r="AA148" i="2"/>
  <c r="T84" i="1" s="1"/>
  <c r="AA149" i="2"/>
  <c r="T85" i="1" s="1"/>
  <c r="AA150" i="2"/>
  <c r="T86" i="1" s="1"/>
  <c r="AA151" i="2"/>
  <c r="T87" i="1" s="1"/>
  <c r="AA152" i="2"/>
  <c r="T88" i="1" s="1"/>
  <c r="AA153" i="2"/>
  <c r="T89" i="1" s="1"/>
  <c r="AA154" i="2"/>
  <c r="T90" i="1" s="1"/>
  <c r="AA155" i="2"/>
  <c r="AA156" i="2"/>
  <c r="T92" i="1" s="1"/>
  <c r="AA157" i="2"/>
  <c r="T93" i="1" s="1"/>
  <c r="T91" i="1"/>
  <c r="T51" i="1"/>
  <c r="AA2" i="2"/>
  <c r="E6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101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  <bk>
      <extLst>
        <ext uri="{3e2802c4-a4d2-4d8b-9148-e3be6c30e623}">
          <xlrd:rvb i="1539"/>
        </ext>
      </extLst>
    </bk>
    <bk>
      <extLst>
        <ext uri="{3e2802c4-a4d2-4d8b-9148-e3be6c30e623}">
          <xlrd:rvb i="1540"/>
        </ext>
      </extLst>
    </bk>
    <bk>
      <extLst>
        <ext uri="{3e2802c4-a4d2-4d8b-9148-e3be6c30e623}">
          <xlrd:rvb i="1541"/>
        </ext>
      </extLst>
    </bk>
    <bk>
      <extLst>
        <ext uri="{3e2802c4-a4d2-4d8b-9148-e3be6c30e623}">
          <xlrd:rvb i="1542"/>
        </ext>
      </extLst>
    </bk>
    <bk>
      <extLst>
        <ext uri="{3e2802c4-a4d2-4d8b-9148-e3be6c30e623}">
          <xlrd:rvb i="1543"/>
        </ext>
      </extLst>
    </bk>
    <bk>
      <extLst>
        <ext uri="{3e2802c4-a4d2-4d8b-9148-e3be6c30e623}">
          <xlrd:rvb i="1544"/>
        </ext>
      </extLst>
    </bk>
    <bk>
      <extLst>
        <ext uri="{3e2802c4-a4d2-4d8b-9148-e3be6c30e623}">
          <xlrd:rvb i="1545"/>
        </ext>
      </extLst>
    </bk>
    <bk>
      <extLst>
        <ext uri="{3e2802c4-a4d2-4d8b-9148-e3be6c30e623}">
          <xlrd:rvb i="1546"/>
        </ext>
      </extLst>
    </bk>
    <bk>
      <extLst>
        <ext uri="{3e2802c4-a4d2-4d8b-9148-e3be6c30e623}">
          <xlrd:rvb i="1547"/>
        </ext>
      </extLst>
    </bk>
    <bk>
      <extLst>
        <ext uri="{3e2802c4-a4d2-4d8b-9148-e3be6c30e623}">
          <xlrd:rvb i="1548"/>
        </ext>
      </extLst>
    </bk>
    <bk>
      <extLst>
        <ext uri="{3e2802c4-a4d2-4d8b-9148-e3be6c30e623}">
          <xlrd:rvb i="1549"/>
        </ext>
      </extLst>
    </bk>
    <bk>
      <extLst>
        <ext uri="{3e2802c4-a4d2-4d8b-9148-e3be6c30e623}">
          <xlrd:rvb i="1550"/>
        </ext>
      </extLst>
    </bk>
    <bk>
      <extLst>
        <ext uri="{3e2802c4-a4d2-4d8b-9148-e3be6c30e623}">
          <xlrd:rvb i="1551"/>
        </ext>
      </extLst>
    </bk>
    <bk>
      <extLst>
        <ext uri="{3e2802c4-a4d2-4d8b-9148-e3be6c30e623}">
          <xlrd:rvb i="1552"/>
        </ext>
      </extLst>
    </bk>
    <bk>
      <extLst>
        <ext uri="{3e2802c4-a4d2-4d8b-9148-e3be6c30e623}">
          <xlrd:rvb i="1553"/>
        </ext>
      </extLst>
    </bk>
    <bk>
      <extLst>
        <ext uri="{3e2802c4-a4d2-4d8b-9148-e3be6c30e623}">
          <xlrd:rvb i="1554"/>
        </ext>
      </extLst>
    </bk>
    <bk>
      <extLst>
        <ext uri="{3e2802c4-a4d2-4d8b-9148-e3be6c30e623}">
          <xlrd:rvb i="1555"/>
        </ext>
      </extLst>
    </bk>
    <bk>
      <extLst>
        <ext uri="{3e2802c4-a4d2-4d8b-9148-e3be6c30e623}">
          <xlrd:rvb i="1556"/>
        </ext>
      </extLst>
    </bk>
    <bk>
      <extLst>
        <ext uri="{3e2802c4-a4d2-4d8b-9148-e3be6c30e623}">
          <xlrd:rvb i="1557"/>
        </ext>
      </extLst>
    </bk>
    <bk>
      <extLst>
        <ext uri="{3e2802c4-a4d2-4d8b-9148-e3be6c30e623}">
          <xlrd:rvb i="1558"/>
        </ext>
      </extLst>
    </bk>
    <bk>
      <extLst>
        <ext uri="{3e2802c4-a4d2-4d8b-9148-e3be6c30e623}">
          <xlrd:rvb i="1559"/>
        </ext>
      </extLst>
    </bk>
    <bk>
      <extLst>
        <ext uri="{3e2802c4-a4d2-4d8b-9148-e3be6c30e623}">
          <xlrd:rvb i="1562"/>
        </ext>
      </extLst>
    </bk>
    <bk>
      <extLst>
        <ext uri="{3e2802c4-a4d2-4d8b-9148-e3be6c30e623}">
          <xlrd:rvb i="1563"/>
        </ext>
      </extLst>
    </bk>
    <bk>
      <extLst>
        <ext uri="{3e2802c4-a4d2-4d8b-9148-e3be6c30e623}">
          <xlrd:rvb i="1564"/>
        </ext>
      </extLst>
    </bk>
    <bk>
      <extLst>
        <ext uri="{3e2802c4-a4d2-4d8b-9148-e3be6c30e623}">
          <xlrd:rvb i="1565"/>
        </ext>
      </extLst>
    </bk>
    <bk>
      <extLst>
        <ext uri="{3e2802c4-a4d2-4d8b-9148-e3be6c30e623}">
          <xlrd:rvb i="1566"/>
        </ext>
      </extLst>
    </bk>
    <bk>
      <extLst>
        <ext uri="{3e2802c4-a4d2-4d8b-9148-e3be6c30e623}">
          <xlrd:rvb i="1567"/>
        </ext>
      </extLst>
    </bk>
    <bk>
      <extLst>
        <ext uri="{3e2802c4-a4d2-4d8b-9148-e3be6c30e623}">
          <xlrd:rvb i="1568"/>
        </ext>
      </extLst>
    </bk>
    <bk>
      <extLst>
        <ext uri="{3e2802c4-a4d2-4d8b-9148-e3be6c30e623}">
          <xlrd:rvb i="1569"/>
        </ext>
      </extLst>
    </bk>
    <bk>
      <extLst>
        <ext uri="{3e2802c4-a4d2-4d8b-9148-e3be6c30e623}">
          <xlrd:rvb i="1570"/>
        </ext>
      </extLst>
    </bk>
    <bk>
      <extLst>
        <ext uri="{3e2802c4-a4d2-4d8b-9148-e3be6c30e623}">
          <xlrd:rvb i="1571"/>
        </ext>
      </extLst>
    </bk>
    <bk>
      <extLst>
        <ext uri="{3e2802c4-a4d2-4d8b-9148-e3be6c30e623}">
          <xlrd:rvb i="1572"/>
        </ext>
      </extLst>
    </bk>
    <bk>
      <extLst>
        <ext uri="{3e2802c4-a4d2-4d8b-9148-e3be6c30e623}">
          <xlrd:rvb i="1573"/>
        </ext>
      </extLst>
    </bk>
    <bk>
      <extLst>
        <ext uri="{3e2802c4-a4d2-4d8b-9148-e3be6c30e623}">
          <xlrd:rvb i="1574"/>
        </ext>
      </extLst>
    </bk>
    <bk>
      <extLst>
        <ext uri="{3e2802c4-a4d2-4d8b-9148-e3be6c30e623}">
          <xlrd:rvb i="1575"/>
        </ext>
      </extLst>
    </bk>
    <bk>
      <extLst>
        <ext uri="{3e2802c4-a4d2-4d8b-9148-e3be6c30e623}">
          <xlrd:rvb i="1576"/>
        </ext>
      </extLst>
    </bk>
    <bk>
      <extLst>
        <ext uri="{3e2802c4-a4d2-4d8b-9148-e3be6c30e623}">
          <xlrd:rvb i="1577"/>
        </ext>
      </extLst>
    </bk>
    <bk>
      <extLst>
        <ext uri="{3e2802c4-a4d2-4d8b-9148-e3be6c30e623}">
          <xlrd:rvb i="1578"/>
        </ext>
      </extLst>
    </bk>
    <bk>
      <extLst>
        <ext uri="{3e2802c4-a4d2-4d8b-9148-e3be6c30e623}">
          <xlrd:rvb i="1579"/>
        </ext>
      </extLst>
    </bk>
    <bk>
      <extLst>
        <ext uri="{3e2802c4-a4d2-4d8b-9148-e3be6c30e623}">
          <xlrd:rvb i="1580"/>
        </ext>
      </extLst>
    </bk>
    <bk>
      <extLst>
        <ext uri="{3e2802c4-a4d2-4d8b-9148-e3be6c30e623}">
          <xlrd:rvb i="1581"/>
        </ext>
      </extLst>
    </bk>
    <bk>
      <extLst>
        <ext uri="{3e2802c4-a4d2-4d8b-9148-e3be6c30e623}">
          <xlrd:rvb i="1582"/>
        </ext>
      </extLst>
    </bk>
    <bk>
      <extLst>
        <ext uri="{3e2802c4-a4d2-4d8b-9148-e3be6c30e623}">
          <xlrd:rvb i="1585"/>
        </ext>
      </extLst>
    </bk>
    <bk>
      <extLst>
        <ext uri="{3e2802c4-a4d2-4d8b-9148-e3be6c30e623}">
          <xlrd:rvb i="1586"/>
        </ext>
      </extLst>
    </bk>
    <bk>
      <extLst>
        <ext uri="{3e2802c4-a4d2-4d8b-9148-e3be6c30e623}">
          <xlrd:rvb i="1587"/>
        </ext>
      </extLst>
    </bk>
    <bk>
      <extLst>
        <ext uri="{3e2802c4-a4d2-4d8b-9148-e3be6c30e623}">
          <xlrd:rvb i="1588"/>
        </ext>
      </extLst>
    </bk>
    <bk>
      <extLst>
        <ext uri="{3e2802c4-a4d2-4d8b-9148-e3be6c30e623}">
          <xlrd:rvb i="1589"/>
        </ext>
      </extLst>
    </bk>
    <bk>
      <extLst>
        <ext uri="{3e2802c4-a4d2-4d8b-9148-e3be6c30e623}">
          <xlrd:rvb i="1590"/>
        </ext>
      </extLst>
    </bk>
    <bk>
      <extLst>
        <ext uri="{3e2802c4-a4d2-4d8b-9148-e3be6c30e623}">
          <xlrd:rvb i="1591"/>
        </ext>
      </extLst>
    </bk>
    <bk>
      <extLst>
        <ext uri="{3e2802c4-a4d2-4d8b-9148-e3be6c30e623}">
          <xlrd:rvb i="1592"/>
        </ext>
      </extLst>
    </bk>
    <bk>
      <extLst>
        <ext uri="{3e2802c4-a4d2-4d8b-9148-e3be6c30e623}">
          <xlrd:rvb i="1593"/>
        </ext>
      </extLst>
    </bk>
    <bk>
      <extLst>
        <ext uri="{3e2802c4-a4d2-4d8b-9148-e3be6c30e623}">
          <xlrd:rvb i="1594"/>
        </ext>
      </extLst>
    </bk>
    <bk>
      <extLst>
        <ext uri="{3e2802c4-a4d2-4d8b-9148-e3be6c30e623}">
          <xlrd:rvb i="1595"/>
        </ext>
      </extLst>
    </bk>
    <bk>
      <extLst>
        <ext uri="{3e2802c4-a4d2-4d8b-9148-e3be6c30e623}">
          <xlrd:rvb i="1596"/>
        </ext>
      </extLst>
    </bk>
    <bk>
      <extLst>
        <ext uri="{3e2802c4-a4d2-4d8b-9148-e3be6c30e623}">
          <xlrd:rvb i="1597"/>
        </ext>
      </extLst>
    </bk>
    <bk>
      <extLst>
        <ext uri="{3e2802c4-a4d2-4d8b-9148-e3be6c30e623}">
          <xlrd:rvb i="1598"/>
        </ext>
      </extLst>
    </bk>
    <bk>
      <extLst>
        <ext uri="{3e2802c4-a4d2-4d8b-9148-e3be6c30e623}">
          <xlrd:rvb i="1599"/>
        </ext>
      </extLst>
    </bk>
    <bk>
      <extLst>
        <ext uri="{3e2802c4-a4d2-4d8b-9148-e3be6c30e623}">
          <xlrd:rvb i="1600"/>
        </ext>
      </extLst>
    </bk>
    <bk>
      <extLst>
        <ext uri="{3e2802c4-a4d2-4d8b-9148-e3be6c30e623}">
          <xlrd:rvb i="1601"/>
        </ext>
      </extLst>
    </bk>
    <bk>
      <extLst>
        <ext uri="{3e2802c4-a4d2-4d8b-9148-e3be6c30e623}">
          <xlrd:rvb i="1602"/>
        </ext>
      </extLst>
    </bk>
    <bk>
      <extLst>
        <ext uri="{3e2802c4-a4d2-4d8b-9148-e3be6c30e623}">
          <xlrd:rvb i="1603"/>
        </ext>
      </extLst>
    </bk>
    <bk>
      <extLst>
        <ext uri="{3e2802c4-a4d2-4d8b-9148-e3be6c30e623}">
          <xlrd:rvb i="1604"/>
        </ext>
      </extLst>
    </bk>
    <bk>
      <extLst>
        <ext uri="{3e2802c4-a4d2-4d8b-9148-e3be6c30e623}">
          <xlrd:rvb i="1605"/>
        </ext>
      </extLst>
    </bk>
    <bk>
      <extLst>
        <ext uri="{3e2802c4-a4d2-4d8b-9148-e3be6c30e623}">
          <xlrd:rvb i="1606"/>
        </ext>
      </extLst>
    </bk>
    <bk>
      <extLst>
        <ext uri="{3e2802c4-a4d2-4d8b-9148-e3be6c30e623}">
          <xlrd:rvb i="1609"/>
        </ext>
      </extLst>
    </bk>
    <bk>
      <extLst>
        <ext uri="{3e2802c4-a4d2-4d8b-9148-e3be6c30e623}">
          <xlrd:rvb i="1610"/>
        </ext>
      </extLst>
    </bk>
    <bk>
      <extLst>
        <ext uri="{3e2802c4-a4d2-4d8b-9148-e3be6c30e623}">
          <xlrd:rvb i="1611"/>
        </ext>
      </extLst>
    </bk>
    <bk>
      <extLst>
        <ext uri="{3e2802c4-a4d2-4d8b-9148-e3be6c30e623}">
          <xlrd:rvb i="1612"/>
        </ext>
      </extLst>
    </bk>
    <bk>
      <extLst>
        <ext uri="{3e2802c4-a4d2-4d8b-9148-e3be6c30e623}">
          <xlrd:rvb i="1613"/>
        </ext>
      </extLst>
    </bk>
    <bk>
      <extLst>
        <ext uri="{3e2802c4-a4d2-4d8b-9148-e3be6c30e623}">
          <xlrd:rvb i="1614"/>
        </ext>
      </extLst>
    </bk>
    <bk>
      <extLst>
        <ext uri="{3e2802c4-a4d2-4d8b-9148-e3be6c30e623}">
          <xlrd:rvb i="1615"/>
        </ext>
      </extLst>
    </bk>
    <bk>
      <extLst>
        <ext uri="{3e2802c4-a4d2-4d8b-9148-e3be6c30e623}">
          <xlrd:rvb i="1616"/>
        </ext>
      </extLst>
    </bk>
    <bk>
      <extLst>
        <ext uri="{3e2802c4-a4d2-4d8b-9148-e3be6c30e623}">
          <xlrd:rvb i="1617"/>
        </ext>
      </extLst>
    </bk>
    <bk>
      <extLst>
        <ext uri="{3e2802c4-a4d2-4d8b-9148-e3be6c30e623}">
          <xlrd:rvb i="1618"/>
        </ext>
      </extLst>
    </bk>
    <bk>
      <extLst>
        <ext uri="{3e2802c4-a4d2-4d8b-9148-e3be6c30e623}">
          <xlrd:rvb i="1619"/>
        </ext>
      </extLst>
    </bk>
    <bk>
      <extLst>
        <ext uri="{3e2802c4-a4d2-4d8b-9148-e3be6c30e623}">
          <xlrd:rvb i="1620"/>
        </ext>
      </extLst>
    </bk>
    <bk>
      <extLst>
        <ext uri="{3e2802c4-a4d2-4d8b-9148-e3be6c30e623}">
          <xlrd:rvb i="1621"/>
        </ext>
      </extLst>
    </bk>
    <bk>
      <extLst>
        <ext uri="{3e2802c4-a4d2-4d8b-9148-e3be6c30e623}">
          <xlrd:rvb i="1622"/>
        </ext>
      </extLst>
    </bk>
    <bk>
      <extLst>
        <ext uri="{3e2802c4-a4d2-4d8b-9148-e3be6c30e623}">
          <xlrd:rvb i="1623"/>
        </ext>
      </extLst>
    </bk>
    <bk>
      <extLst>
        <ext uri="{3e2802c4-a4d2-4d8b-9148-e3be6c30e623}">
          <xlrd:rvb i="1624"/>
        </ext>
      </extLst>
    </bk>
    <bk>
      <extLst>
        <ext uri="{3e2802c4-a4d2-4d8b-9148-e3be6c30e623}">
          <xlrd:rvb i="1625"/>
        </ext>
      </extLst>
    </bk>
    <bk>
      <extLst>
        <ext uri="{3e2802c4-a4d2-4d8b-9148-e3be6c30e623}">
          <xlrd:rvb i="1628"/>
        </ext>
      </extLst>
    </bk>
    <bk>
      <extLst>
        <ext uri="{3e2802c4-a4d2-4d8b-9148-e3be6c30e623}">
          <xlrd:rvb i="1629"/>
        </ext>
      </extLst>
    </bk>
    <bk>
      <extLst>
        <ext uri="{3e2802c4-a4d2-4d8b-9148-e3be6c30e623}">
          <xlrd:rvb i="1630"/>
        </ext>
      </extLst>
    </bk>
    <bk>
      <extLst>
        <ext uri="{3e2802c4-a4d2-4d8b-9148-e3be6c30e623}">
          <xlrd:rvb i="1631"/>
        </ext>
      </extLst>
    </bk>
    <bk>
      <extLst>
        <ext uri="{3e2802c4-a4d2-4d8b-9148-e3be6c30e623}">
          <xlrd:rvb i="1632"/>
        </ext>
      </extLst>
    </bk>
    <bk>
      <extLst>
        <ext uri="{3e2802c4-a4d2-4d8b-9148-e3be6c30e623}">
          <xlrd:rvb i="1633"/>
        </ext>
      </extLst>
    </bk>
    <bk>
      <extLst>
        <ext uri="{3e2802c4-a4d2-4d8b-9148-e3be6c30e623}">
          <xlrd:rvb i="1634"/>
        </ext>
      </extLst>
    </bk>
    <bk>
      <extLst>
        <ext uri="{3e2802c4-a4d2-4d8b-9148-e3be6c30e623}">
          <xlrd:rvb i="1635"/>
        </ext>
      </extLst>
    </bk>
    <bk>
      <extLst>
        <ext uri="{3e2802c4-a4d2-4d8b-9148-e3be6c30e623}">
          <xlrd:rvb i="1636"/>
        </ext>
      </extLst>
    </bk>
    <bk>
      <extLst>
        <ext uri="{3e2802c4-a4d2-4d8b-9148-e3be6c30e623}">
          <xlrd:rvb i="1637"/>
        </ext>
      </extLst>
    </bk>
    <bk>
      <extLst>
        <ext uri="{3e2802c4-a4d2-4d8b-9148-e3be6c30e623}">
          <xlrd:rvb i="1638"/>
        </ext>
      </extLst>
    </bk>
    <bk>
      <extLst>
        <ext uri="{3e2802c4-a4d2-4d8b-9148-e3be6c30e623}">
          <xlrd:rvb i="1639"/>
        </ext>
      </extLst>
    </bk>
    <bk>
      <extLst>
        <ext uri="{3e2802c4-a4d2-4d8b-9148-e3be6c30e623}">
          <xlrd:rvb i="1640"/>
        </ext>
      </extLst>
    </bk>
    <bk>
      <extLst>
        <ext uri="{3e2802c4-a4d2-4d8b-9148-e3be6c30e623}">
          <xlrd:rvb i="1641"/>
        </ext>
      </extLst>
    </bk>
    <bk>
      <extLst>
        <ext uri="{3e2802c4-a4d2-4d8b-9148-e3be6c30e623}">
          <xlrd:rvb i="1642"/>
        </ext>
      </extLst>
    </bk>
    <bk>
      <extLst>
        <ext uri="{3e2802c4-a4d2-4d8b-9148-e3be6c30e623}">
          <xlrd:rvb i="1643"/>
        </ext>
      </extLst>
    </bk>
    <bk>
      <extLst>
        <ext uri="{3e2802c4-a4d2-4d8b-9148-e3be6c30e623}">
          <xlrd:rvb i="1644"/>
        </ext>
      </extLst>
    </bk>
    <bk>
      <extLst>
        <ext uri="{3e2802c4-a4d2-4d8b-9148-e3be6c30e623}">
          <xlrd:rvb i="1645"/>
        </ext>
      </extLst>
    </bk>
    <bk>
      <extLst>
        <ext uri="{3e2802c4-a4d2-4d8b-9148-e3be6c30e623}">
          <xlrd:rvb i="1646"/>
        </ext>
      </extLst>
    </bk>
    <bk>
      <extLst>
        <ext uri="{3e2802c4-a4d2-4d8b-9148-e3be6c30e623}">
          <xlrd:rvb i="1647"/>
        </ext>
      </extLst>
    </bk>
    <bk>
      <extLst>
        <ext uri="{3e2802c4-a4d2-4d8b-9148-e3be6c30e623}">
          <xlrd:rvb i="1650"/>
        </ext>
      </extLst>
    </bk>
    <bk>
      <extLst>
        <ext uri="{3e2802c4-a4d2-4d8b-9148-e3be6c30e623}">
          <xlrd:rvb i="1651"/>
        </ext>
      </extLst>
    </bk>
    <bk>
      <extLst>
        <ext uri="{3e2802c4-a4d2-4d8b-9148-e3be6c30e623}">
          <xlrd:rvb i="1652"/>
        </ext>
      </extLst>
    </bk>
    <bk>
      <extLst>
        <ext uri="{3e2802c4-a4d2-4d8b-9148-e3be6c30e623}">
          <xlrd:rvb i="1653"/>
        </ext>
      </extLst>
    </bk>
    <bk>
      <extLst>
        <ext uri="{3e2802c4-a4d2-4d8b-9148-e3be6c30e623}">
          <xlrd:rvb i="1654"/>
        </ext>
      </extLst>
    </bk>
    <bk>
      <extLst>
        <ext uri="{3e2802c4-a4d2-4d8b-9148-e3be6c30e623}">
          <xlrd:rvb i="1655"/>
        </ext>
      </extLst>
    </bk>
    <bk>
      <extLst>
        <ext uri="{3e2802c4-a4d2-4d8b-9148-e3be6c30e623}">
          <xlrd:rvb i="1656"/>
        </ext>
      </extLst>
    </bk>
    <bk>
      <extLst>
        <ext uri="{3e2802c4-a4d2-4d8b-9148-e3be6c30e623}">
          <xlrd:rvb i="1657"/>
        </ext>
      </extLst>
    </bk>
    <bk>
      <extLst>
        <ext uri="{3e2802c4-a4d2-4d8b-9148-e3be6c30e623}">
          <xlrd:rvb i="1658"/>
        </ext>
      </extLst>
    </bk>
    <bk>
      <extLst>
        <ext uri="{3e2802c4-a4d2-4d8b-9148-e3be6c30e623}">
          <xlrd:rvb i="1659"/>
        </ext>
      </extLst>
    </bk>
    <bk>
      <extLst>
        <ext uri="{3e2802c4-a4d2-4d8b-9148-e3be6c30e623}">
          <xlrd:rvb i="1660"/>
        </ext>
      </extLst>
    </bk>
    <bk>
      <extLst>
        <ext uri="{3e2802c4-a4d2-4d8b-9148-e3be6c30e623}">
          <xlrd:rvb i="1661"/>
        </ext>
      </extLst>
    </bk>
    <bk>
      <extLst>
        <ext uri="{3e2802c4-a4d2-4d8b-9148-e3be6c30e623}">
          <xlrd:rvb i="1662"/>
        </ext>
      </extLst>
    </bk>
    <bk>
      <extLst>
        <ext uri="{3e2802c4-a4d2-4d8b-9148-e3be6c30e623}">
          <xlrd:rvb i="1663"/>
        </ext>
      </extLst>
    </bk>
    <bk>
      <extLst>
        <ext uri="{3e2802c4-a4d2-4d8b-9148-e3be6c30e623}">
          <xlrd:rvb i="1664"/>
        </ext>
      </extLst>
    </bk>
    <bk>
      <extLst>
        <ext uri="{3e2802c4-a4d2-4d8b-9148-e3be6c30e623}">
          <xlrd:rvb i="1665"/>
        </ext>
      </extLst>
    </bk>
    <bk>
      <extLst>
        <ext uri="{3e2802c4-a4d2-4d8b-9148-e3be6c30e623}">
          <xlrd:rvb i="1666"/>
        </ext>
      </extLst>
    </bk>
    <bk>
      <extLst>
        <ext uri="{3e2802c4-a4d2-4d8b-9148-e3be6c30e623}">
          <xlrd:rvb i="1667"/>
        </ext>
      </extLst>
    </bk>
    <bk>
      <extLst>
        <ext uri="{3e2802c4-a4d2-4d8b-9148-e3be6c30e623}">
          <xlrd:rvb i="1668"/>
        </ext>
      </extLst>
    </bk>
    <bk>
      <extLst>
        <ext uri="{3e2802c4-a4d2-4d8b-9148-e3be6c30e623}">
          <xlrd:rvb i="1669"/>
        </ext>
      </extLst>
    </bk>
    <bk>
      <extLst>
        <ext uri="{3e2802c4-a4d2-4d8b-9148-e3be6c30e623}">
          <xlrd:rvb i="1672"/>
        </ext>
      </extLst>
    </bk>
    <bk>
      <extLst>
        <ext uri="{3e2802c4-a4d2-4d8b-9148-e3be6c30e623}">
          <xlrd:rvb i="1673"/>
        </ext>
      </extLst>
    </bk>
    <bk>
      <extLst>
        <ext uri="{3e2802c4-a4d2-4d8b-9148-e3be6c30e623}">
          <xlrd:rvb i="1674"/>
        </ext>
      </extLst>
    </bk>
    <bk>
      <extLst>
        <ext uri="{3e2802c4-a4d2-4d8b-9148-e3be6c30e623}">
          <xlrd:rvb i="1675"/>
        </ext>
      </extLst>
    </bk>
    <bk>
      <extLst>
        <ext uri="{3e2802c4-a4d2-4d8b-9148-e3be6c30e623}">
          <xlrd:rvb i="1676"/>
        </ext>
      </extLst>
    </bk>
    <bk>
      <extLst>
        <ext uri="{3e2802c4-a4d2-4d8b-9148-e3be6c30e623}">
          <xlrd:rvb i="1677"/>
        </ext>
      </extLst>
    </bk>
    <bk>
      <extLst>
        <ext uri="{3e2802c4-a4d2-4d8b-9148-e3be6c30e623}">
          <xlrd:rvb i="1678"/>
        </ext>
      </extLst>
    </bk>
    <bk>
      <extLst>
        <ext uri="{3e2802c4-a4d2-4d8b-9148-e3be6c30e623}">
          <xlrd:rvb i="1679"/>
        </ext>
      </extLst>
    </bk>
    <bk>
      <extLst>
        <ext uri="{3e2802c4-a4d2-4d8b-9148-e3be6c30e623}">
          <xlrd:rvb i="1680"/>
        </ext>
      </extLst>
    </bk>
    <bk>
      <extLst>
        <ext uri="{3e2802c4-a4d2-4d8b-9148-e3be6c30e623}">
          <xlrd:rvb i="1681"/>
        </ext>
      </extLst>
    </bk>
    <bk>
      <extLst>
        <ext uri="{3e2802c4-a4d2-4d8b-9148-e3be6c30e623}">
          <xlrd:rvb i="1682"/>
        </ext>
      </extLst>
    </bk>
    <bk>
      <extLst>
        <ext uri="{3e2802c4-a4d2-4d8b-9148-e3be6c30e623}">
          <xlrd:rvb i="1683"/>
        </ext>
      </extLst>
    </bk>
    <bk>
      <extLst>
        <ext uri="{3e2802c4-a4d2-4d8b-9148-e3be6c30e623}">
          <xlrd:rvb i="1684"/>
        </ext>
      </extLst>
    </bk>
    <bk>
      <extLst>
        <ext uri="{3e2802c4-a4d2-4d8b-9148-e3be6c30e623}">
          <xlrd:rvb i="1685"/>
        </ext>
      </extLst>
    </bk>
    <bk>
      <extLst>
        <ext uri="{3e2802c4-a4d2-4d8b-9148-e3be6c30e623}">
          <xlrd:rvb i="1686"/>
        </ext>
      </extLst>
    </bk>
    <bk>
      <extLst>
        <ext uri="{3e2802c4-a4d2-4d8b-9148-e3be6c30e623}">
          <xlrd:rvb i="1687"/>
        </ext>
      </extLst>
    </bk>
    <bk>
      <extLst>
        <ext uri="{3e2802c4-a4d2-4d8b-9148-e3be6c30e623}">
          <xlrd:rvb i="1688"/>
        </ext>
      </extLst>
    </bk>
    <bk>
      <extLst>
        <ext uri="{3e2802c4-a4d2-4d8b-9148-e3be6c30e623}">
          <xlrd:rvb i="1689"/>
        </ext>
      </extLst>
    </bk>
    <bk>
      <extLst>
        <ext uri="{3e2802c4-a4d2-4d8b-9148-e3be6c30e623}">
          <xlrd:rvb i="1690"/>
        </ext>
      </extLst>
    </bk>
    <bk>
      <extLst>
        <ext uri="{3e2802c4-a4d2-4d8b-9148-e3be6c30e623}">
          <xlrd:rvb i="1693"/>
        </ext>
      </extLst>
    </bk>
    <bk>
      <extLst>
        <ext uri="{3e2802c4-a4d2-4d8b-9148-e3be6c30e623}">
          <xlrd:rvb i="1694"/>
        </ext>
      </extLst>
    </bk>
    <bk>
      <extLst>
        <ext uri="{3e2802c4-a4d2-4d8b-9148-e3be6c30e623}">
          <xlrd:rvb i="1695"/>
        </ext>
      </extLst>
    </bk>
    <bk>
      <extLst>
        <ext uri="{3e2802c4-a4d2-4d8b-9148-e3be6c30e623}">
          <xlrd:rvb i="1696"/>
        </ext>
      </extLst>
    </bk>
    <bk>
      <extLst>
        <ext uri="{3e2802c4-a4d2-4d8b-9148-e3be6c30e623}">
          <xlrd:rvb i="1697"/>
        </ext>
      </extLst>
    </bk>
    <bk>
      <extLst>
        <ext uri="{3e2802c4-a4d2-4d8b-9148-e3be6c30e623}">
          <xlrd:rvb i="1698"/>
        </ext>
      </extLst>
    </bk>
    <bk>
      <extLst>
        <ext uri="{3e2802c4-a4d2-4d8b-9148-e3be6c30e623}">
          <xlrd:rvb i="1699"/>
        </ext>
      </extLst>
    </bk>
    <bk>
      <extLst>
        <ext uri="{3e2802c4-a4d2-4d8b-9148-e3be6c30e623}">
          <xlrd:rvb i="1700"/>
        </ext>
      </extLst>
    </bk>
    <bk>
      <extLst>
        <ext uri="{3e2802c4-a4d2-4d8b-9148-e3be6c30e623}">
          <xlrd:rvb i="1701"/>
        </ext>
      </extLst>
    </bk>
    <bk>
      <extLst>
        <ext uri="{3e2802c4-a4d2-4d8b-9148-e3be6c30e623}">
          <xlrd:rvb i="1702"/>
        </ext>
      </extLst>
    </bk>
    <bk>
      <extLst>
        <ext uri="{3e2802c4-a4d2-4d8b-9148-e3be6c30e623}">
          <xlrd:rvb i="1703"/>
        </ext>
      </extLst>
    </bk>
    <bk>
      <extLst>
        <ext uri="{3e2802c4-a4d2-4d8b-9148-e3be6c30e623}">
          <xlrd:rvb i="1704"/>
        </ext>
      </extLst>
    </bk>
    <bk>
      <extLst>
        <ext uri="{3e2802c4-a4d2-4d8b-9148-e3be6c30e623}">
          <xlrd:rvb i="1705"/>
        </ext>
      </extLst>
    </bk>
    <bk>
      <extLst>
        <ext uri="{3e2802c4-a4d2-4d8b-9148-e3be6c30e623}">
          <xlrd:rvb i="1706"/>
        </ext>
      </extLst>
    </bk>
    <bk>
      <extLst>
        <ext uri="{3e2802c4-a4d2-4d8b-9148-e3be6c30e623}">
          <xlrd:rvb i="1707"/>
        </ext>
      </extLst>
    </bk>
    <bk>
      <extLst>
        <ext uri="{3e2802c4-a4d2-4d8b-9148-e3be6c30e623}">
          <xlrd:rvb i="1708"/>
        </ext>
      </extLst>
    </bk>
    <bk>
      <extLst>
        <ext uri="{3e2802c4-a4d2-4d8b-9148-e3be6c30e623}">
          <xlrd:rvb i="1709"/>
        </ext>
      </extLst>
    </bk>
    <bk>
      <extLst>
        <ext uri="{3e2802c4-a4d2-4d8b-9148-e3be6c30e623}">
          <xlrd:rvb i="1710"/>
        </ext>
      </extLst>
    </bk>
    <bk>
      <extLst>
        <ext uri="{3e2802c4-a4d2-4d8b-9148-e3be6c30e623}">
          <xlrd:rvb i="1713"/>
        </ext>
      </extLst>
    </bk>
    <bk>
      <extLst>
        <ext uri="{3e2802c4-a4d2-4d8b-9148-e3be6c30e623}">
          <xlrd:rvb i="1714"/>
        </ext>
      </extLst>
    </bk>
    <bk>
      <extLst>
        <ext uri="{3e2802c4-a4d2-4d8b-9148-e3be6c30e623}">
          <xlrd:rvb i="1715"/>
        </ext>
      </extLst>
    </bk>
    <bk>
      <extLst>
        <ext uri="{3e2802c4-a4d2-4d8b-9148-e3be6c30e623}">
          <xlrd:rvb i="1716"/>
        </ext>
      </extLst>
    </bk>
    <bk>
      <extLst>
        <ext uri="{3e2802c4-a4d2-4d8b-9148-e3be6c30e623}">
          <xlrd:rvb i="1717"/>
        </ext>
      </extLst>
    </bk>
    <bk>
      <extLst>
        <ext uri="{3e2802c4-a4d2-4d8b-9148-e3be6c30e623}">
          <xlrd:rvb i="1718"/>
        </ext>
      </extLst>
    </bk>
    <bk>
      <extLst>
        <ext uri="{3e2802c4-a4d2-4d8b-9148-e3be6c30e623}">
          <xlrd:rvb i="1719"/>
        </ext>
      </extLst>
    </bk>
    <bk>
      <extLst>
        <ext uri="{3e2802c4-a4d2-4d8b-9148-e3be6c30e623}">
          <xlrd:rvb i="1720"/>
        </ext>
      </extLst>
    </bk>
    <bk>
      <extLst>
        <ext uri="{3e2802c4-a4d2-4d8b-9148-e3be6c30e623}">
          <xlrd:rvb i="1721"/>
        </ext>
      </extLst>
    </bk>
    <bk>
      <extLst>
        <ext uri="{3e2802c4-a4d2-4d8b-9148-e3be6c30e623}">
          <xlrd:rvb i="1722"/>
        </ext>
      </extLst>
    </bk>
    <bk>
      <extLst>
        <ext uri="{3e2802c4-a4d2-4d8b-9148-e3be6c30e623}">
          <xlrd:rvb i="1723"/>
        </ext>
      </extLst>
    </bk>
    <bk>
      <extLst>
        <ext uri="{3e2802c4-a4d2-4d8b-9148-e3be6c30e623}">
          <xlrd:rvb i="1724"/>
        </ext>
      </extLst>
    </bk>
    <bk>
      <extLst>
        <ext uri="{3e2802c4-a4d2-4d8b-9148-e3be6c30e623}">
          <xlrd:rvb i="1725"/>
        </ext>
      </extLst>
    </bk>
    <bk>
      <extLst>
        <ext uri="{3e2802c4-a4d2-4d8b-9148-e3be6c30e623}">
          <xlrd:rvb i="1726"/>
        </ext>
      </extLst>
    </bk>
    <bk>
      <extLst>
        <ext uri="{3e2802c4-a4d2-4d8b-9148-e3be6c30e623}">
          <xlrd:rvb i="1727"/>
        </ext>
      </extLst>
    </bk>
    <bk>
      <extLst>
        <ext uri="{3e2802c4-a4d2-4d8b-9148-e3be6c30e623}">
          <xlrd:rvb i="1728"/>
        </ext>
      </extLst>
    </bk>
    <bk>
      <extLst>
        <ext uri="{3e2802c4-a4d2-4d8b-9148-e3be6c30e623}">
          <xlrd:rvb i="1729"/>
        </ext>
      </extLst>
    </bk>
    <bk>
      <extLst>
        <ext uri="{3e2802c4-a4d2-4d8b-9148-e3be6c30e623}">
          <xlrd:rvb i="1730"/>
        </ext>
      </extLst>
    </bk>
    <bk>
      <extLst>
        <ext uri="{3e2802c4-a4d2-4d8b-9148-e3be6c30e623}">
          <xlrd:rvb i="1731"/>
        </ext>
      </extLst>
    </bk>
    <bk>
      <extLst>
        <ext uri="{3e2802c4-a4d2-4d8b-9148-e3be6c30e623}">
          <xlrd:rvb i="1732"/>
        </ext>
      </extLst>
    </bk>
    <bk>
      <extLst>
        <ext uri="{3e2802c4-a4d2-4d8b-9148-e3be6c30e623}">
          <xlrd:rvb i="1733"/>
        </ext>
      </extLst>
    </bk>
    <bk>
      <extLst>
        <ext uri="{3e2802c4-a4d2-4d8b-9148-e3be6c30e623}">
          <xlrd:rvb i="1736"/>
        </ext>
      </extLst>
    </bk>
    <bk>
      <extLst>
        <ext uri="{3e2802c4-a4d2-4d8b-9148-e3be6c30e623}">
          <xlrd:rvb i="1737"/>
        </ext>
      </extLst>
    </bk>
    <bk>
      <extLst>
        <ext uri="{3e2802c4-a4d2-4d8b-9148-e3be6c30e623}">
          <xlrd:rvb i="1738"/>
        </ext>
      </extLst>
    </bk>
    <bk>
      <extLst>
        <ext uri="{3e2802c4-a4d2-4d8b-9148-e3be6c30e623}">
          <xlrd:rvb i="1739"/>
        </ext>
      </extLst>
    </bk>
    <bk>
      <extLst>
        <ext uri="{3e2802c4-a4d2-4d8b-9148-e3be6c30e623}">
          <xlrd:rvb i="1740"/>
        </ext>
      </extLst>
    </bk>
    <bk>
      <extLst>
        <ext uri="{3e2802c4-a4d2-4d8b-9148-e3be6c30e623}">
          <xlrd:rvb i="1741"/>
        </ext>
      </extLst>
    </bk>
    <bk>
      <extLst>
        <ext uri="{3e2802c4-a4d2-4d8b-9148-e3be6c30e623}">
          <xlrd:rvb i="1742"/>
        </ext>
      </extLst>
    </bk>
    <bk>
      <extLst>
        <ext uri="{3e2802c4-a4d2-4d8b-9148-e3be6c30e623}">
          <xlrd:rvb i="1743"/>
        </ext>
      </extLst>
    </bk>
    <bk>
      <extLst>
        <ext uri="{3e2802c4-a4d2-4d8b-9148-e3be6c30e623}">
          <xlrd:rvb i="1744"/>
        </ext>
      </extLst>
    </bk>
    <bk>
      <extLst>
        <ext uri="{3e2802c4-a4d2-4d8b-9148-e3be6c30e623}">
          <xlrd:rvb i="1745"/>
        </ext>
      </extLst>
    </bk>
    <bk>
      <extLst>
        <ext uri="{3e2802c4-a4d2-4d8b-9148-e3be6c30e623}">
          <xlrd:rvb i="1746"/>
        </ext>
      </extLst>
    </bk>
    <bk>
      <extLst>
        <ext uri="{3e2802c4-a4d2-4d8b-9148-e3be6c30e623}">
          <xlrd:rvb i="1747"/>
        </ext>
      </extLst>
    </bk>
    <bk>
      <extLst>
        <ext uri="{3e2802c4-a4d2-4d8b-9148-e3be6c30e623}">
          <xlrd:rvb i="1748"/>
        </ext>
      </extLst>
    </bk>
    <bk>
      <extLst>
        <ext uri="{3e2802c4-a4d2-4d8b-9148-e3be6c30e623}">
          <xlrd:rvb i="1749"/>
        </ext>
      </extLst>
    </bk>
    <bk>
      <extLst>
        <ext uri="{3e2802c4-a4d2-4d8b-9148-e3be6c30e623}">
          <xlrd:rvb i="1750"/>
        </ext>
      </extLst>
    </bk>
    <bk>
      <extLst>
        <ext uri="{3e2802c4-a4d2-4d8b-9148-e3be6c30e623}">
          <xlrd:rvb i="1751"/>
        </ext>
      </extLst>
    </bk>
    <bk>
      <extLst>
        <ext uri="{3e2802c4-a4d2-4d8b-9148-e3be6c30e623}">
          <xlrd:rvb i="1752"/>
        </ext>
      </extLst>
    </bk>
    <bk>
      <extLst>
        <ext uri="{3e2802c4-a4d2-4d8b-9148-e3be6c30e623}">
          <xlrd:rvb i="1753"/>
        </ext>
      </extLst>
    </bk>
    <bk>
      <extLst>
        <ext uri="{3e2802c4-a4d2-4d8b-9148-e3be6c30e623}">
          <xlrd:rvb i="1754"/>
        </ext>
      </extLst>
    </bk>
    <bk>
      <extLst>
        <ext uri="{3e2802c4-a4d2-4d8b-9148-e3be6c30e623}">
          <xlrd:rvb i="1755"/>
        </ext>
      </extLst>
    </bk>
    <bk>
      <extLst>
        <ext uri="{3e2802c4-a4d2-4d8b-9148-e3be6c30e623}">
          <xlrd:rvb i="1756"/>
        </ext>
      </extLst>
    </bk>
    <bk>
      <extLst>
        <ext uri="{3e2802c4-a4d2-4d8b-9148-e3be6c30e623}">
          <xlrd:rvb i="1759"/>
        </ext>
      </extLst>
    </bk>
    <bk>
      <extLst>
        <ext uri="{3e2802c4-a4d2-4d8b-9148-e3be6c30e623}">
          <xlrd:rvb i="1760"/>
        </ext>
      </extLst>
    </bk>
    <bk>
      <extLst>
        <ext uri="{3e2802c4-a4d2-4d8b-9148-e3be6c30e623}">
          <xlrd:rvb i="1761"/>
        </ext>
      </extLst>
    </bk>
    <bk>
      <extLst>
        <ext uri="{3e2802c4-a4d2-4d8b-9148-e3be6c30e623}">
          <xlrd:rvb i="1762"/>
        </ext>
      </extLst>
    </bk>
    <bk>
      <extLst>
        <ext uri="{3e2802c4-a4d2-4d8b-9148-e3be6c30e623}">
          <xlrd:rvb i="1763"/>
        </ext>
      </extLst>
    </bk>
    <bk>
      <extLst>
        <ext uri="{3e2802c4-a4d2-4d8b-9148-e3be6c30e623}">
          <xlrd:rvb i="1764"/>
        </ext>
      </extLst>
    </bk>
    <bk>
      <extLst>
        <ext uri="{3e2802c4-a4d2-4d8b-9148-e3be6c30e623}">
          <xlrd:rvb i="1765"/>
        </ext>
      </extLst>
    </bk>
    <bk>
      <extLst>
        <ext uri="{3e2802c4-a4d2-4d8b-9148-e3be6c30e623}">
          <xlrd:rvb i="1766"/>
        </ext>
      </extLst>
    </bk>
    <bk>
      <extLst>
        <ext uri="{3e2802c4-a4d2-4d8b-9148-e3be6c30e623}">
          <xlrd:rvb i="1767"/>
        </ext>
      </extLst>
    </bk>
    <bk>
      <extLst>
        <ext uri="{3e2802c4-a4d2-4d8b-9148-e3be6c30e623}">
          <xlrd:rvb i="1768"/>
        </ext>
      </extLst>
    </bk>
    <bk>
      <extLst>
        <ext uri="{3e2802c4-a4d2-4d8b-9148-e3be6c30e623}">
          <xlrd:rvb i="1769"/>
        </ext>
      </extLst>
    </bk>
    <bk>
      <extLst>
        <ext uri="{3e2802c4-a4d2-4d8b-9148-e3be6c30e623}">
          <xlrd:rvb i="1770"/>
        </ext>
      </extLst>
    </bk>
    <bk>
      <extLst>
        <ext uri="{3e2802c4-a4d2-4d8b-9148-e3be6c30e623}">
          <xlrd:rvb i="1771"/>
        </ext>
      </extLst>
    </bk>
    <bk>
      <extLst>
        <ext uri="{3e2802c4-a4d2-4d8b-9148-e3be6c30e623}">
          <xlrd:rvb i="1772"/>
        </ext>
      </extLst>
    </bk>
    <bk>
      <extLst>
        <ext uri="{3e2802c4-a4d2-4d8b-9148-e3be6c30e623}">
          <xlrd:rvb i="1773"/>
        </ext>
      </extLst>
    </bk>
    <bk>
      <extLst>
        <ext uri="{3e2802c4-a4d2-4d8b-9148-e3be6c30e623}">
          <xlrd:rvb i="1774"/>
        </ext>
      </extLst>
    </bk>
    <bk>
      <extLst>
        <ext uri="{3e2802c4-a4d2-4d8b-9148-e3be6c30e623}">
          <xlrd:rvb i="1775"/>
        </ext>
      </extLst>
    </bk>
    <bk>
      <extLst>
        <ext uri="{3e2802c4-a4d2-4d8b-9148-e3be6c30e623}">
          <xlrd:rvb i="1776"/>
        </ext>
      </extLst>
    </bk>
    <bk>
      <extLst>
        <ext uri="{3e2802c4-a4d2-4d8b-9148-e3be6c30e623}">
          <xlrd:rvb i="1777"/>
        </ext>
      </extLst>
    </bk>
    <bk>
      <extLst>
        <ext uri="{3e2802c4-a4d2-4d8b-9148-e3be6c30e623}">
          <xlrd:rvb i="1778"/>
        </ext>
      </extLst>
    </bk>
    <bk>
      <extLst>
        <ext uri="{3e2802c4-a4d2-4d8b-9148-e3be6c30e623}">
          <xlrd:rvb i="1781"/>
        </ext>
      </extLst>
    </bk>
    <bk>
      <extLst>
        <ext uri="{3e2802c4-a4d2-4d8b-9148-e3be6c30e623}">
          <xlrd:rvb i="1782"/>
        </ext>
      </extLst>
    </bk>
    <bk>
      <extLst>
        <ext uri="{3e2802c4-a4d2-4d8b-9148-e3be6c30e623}">
          <xlrd:rvb i="1783"/>
        </ext>
      </extLst>
    </bk>
    <bk>
      <extLst>
        <ext uri="{3e2802c4-a4d2-4d8b-9148-e3be6c30e623}">
          <xlrd:rvb i="1784"/>
        </ext>
      </extLst>
    </bk>
    <bk>
      <extLst>
        <ext uri="{3e2802c4-a4d2-4d8b-9148-e3be6c30e623}">
          <xlrd:rvb i="1785"/>
        </ext>
      </extLst>
    </bk>
    <bk>
      <extLst>
        <ext uri="{3e2802c4-a4d2-4d8b-9148-e3be6c30e623}">
          <xlrd:rvb i="1786"/>
        </ext>
      </extLst>
    </bk>
    <bk>
      <extLst>
        <ext uri="{3e2802c4-a4d2-4d8b-9148-e3be6c30e623}">
          <xlrd:rvb i="1787"/>
        </ext>
      </extLst>
    </bk>
    <bk>
      <extLst>
        <ext uri="{3e2802c4-a4d2-4d8b-9148-e3be6c30e623}">
          <xlrd:rvb i="1788"/>
        </ext>
      </extLst>
    </bk>
    <bk>
      <extLst>
        <ext uri="{3e2802c4-a4d2-4d8b-9148-e3be6c30e623}">
          <xlrd:rvb i="1789"/>
        </ext>
      </extLst>
    </bk>
    <bk>
      <extLst>
        <ext uri="{3e2802c4-a4d2-4d8b-9148-e3be6c30e623}">
          <xlrd:rvb i="1790"/>
        </ext>
      </extLst>
    </bk>
    <bk>
      <extLst>
        <ext uri="{3e2802c4-a4d2-4d8b-9148-e3be6c30e623}">
          <xlrd:rvb i="1791"/>
        </ext>
      </extLst>
    </bk>
    <bk>
      <extLst>
        <ext uri="{3e2802c4-a4d2-4d8b-9148-e3be6c30e623}">
          <xlrd:rvb i="1792"/>
        </ext>
      </extLst>
    </bk>
    <bk>
      <extLst>
        <ext uri="{3e2802c4-a4d2-4d8b-9148-e3be6c30e623}">
          <xlrd:rvb i="1793"/>
        </ext>
      </extLst>
    </bk>
    <bk>
      <extLst>
        <ext uri="{3e2802c4-a4d2-4d8b-9148-e3be6c30e623}">
          <xlrd:rvb i="1794"/>
        </ext>
      </extLst>
    </bk>
    <bk>
      <extLst>
        <ext uri="{3e2802c4-a4d2-4d8b-9148-e3be6c30e623}">
          <xlrd:rvb i="1795"/>
        </ext>
      </extLst>
    </bk>
    <bk>
      <extLst>
        <ext uri="{3e2802c4-a4d2-4d8b-9148-e3be6c30e623}">
          <xlrd:rvb i="1796"/>
        </ext>
      </extLst>
    </bk>
    <bk>
      <extLst>
        <ext uri="{3e2802c4-a4d2-4d8b-9148-e3be6c30e623}">
          <xlrd:rvb i="1797"/>
        </ext>
      </extLst>
    </bk>
    <bk>
      <extLst>
        <ext uri="{3e2802c4-a4d2-4d8b-9148-e3be6c30e623}">
          <xlrd:rvb i="1798"/>
        </ext>
      </extLst>
    </bk>
    <bk>
      <extLst>
        <ext uri="{3e2802c4-a4d2-4d8b-9148-e3be6c30e623}">
          <xlrd:rvb i="1799"/>
        </ext>
      </extLst>
    </bk>
    <bk>
      <extLst>
        <ext uri="{3e2802c4-a4d2-4d8b-9148-e3be6c30e623}">
          <xlrd:rvb i="1800"/>
        </ext>
      </extLst>
    </bk>
    <bk>
      <extLst>
        <ext uri="{3e2802c4-a4d2-4d8b-9148-e3be6c30e623}">
          <xlrd:rvb i="1801"/>
        </ext>
      </extLst>
    </bk>
    <bk>
      <extLst>
        <ext uri="{3e2802c4-a4d2-4d8b-9148-e3be6c30e623}">
          <xlrd:rvb i="1804"/>
        </ext>
      </extLst>
    </bk>
    <bk>
      <extLst>
        <ext uri="{3e2802c4-a4d2-4d8b-9148-e3be6c30e623}">
          <xlrd:rvb i="1805"/>
        </ext>
      </extLst>
    </bk>
    <bk>
      <extLst>
        <ext uri="{3e2802c4-a4d2-4d8b-9148-e3be6c30e623}">
          <xlrd:rvb i="1806"/>
        </ext>
      </extLst>
    </bk>
    <bk>
      <extLst>
        <ext uri="{3e2802c4-a4d2-4d8b-9148-e3be6c30e623}">
          <xlrd:rvb i="1807"/>
        </ext>
      </extLst>
    </bk>
    <bk>
      <extLst>
        <ext uri="{3e2802c4-a4d2-4d8b-9148-e3be6c30e623}">
          <xlrd:rvb i="1808"/>
        </ext>
      </extLst>
    </bk>
    <bk>
      <extLst>
        <ext uri="{3e2802c4-a4d2-4d8b-9148-e3be6c30e623}">
          <xlrd:rvb i="1809"/>
        </ext>
      </extLst>
    </bk>
    <bk>
      <extLst>
        <ext uri="{3e2802c4-a4d2-4d8b-9148-e3be6c30e623}">
          <xlrd:rvb i="1810"/>
        </ext>
      </extLst>
    </bk>
    <bk>
      <extLst>
        <ext uri="{3e2802c4-a4d2-4d8b-9148-e3be6c30e623}">
          <xlrd:rvb i="1811"/>
        </ext>
      </extLst>
    </bk>
    <bk>
      <extLst>
        <ext uri="{3e2802c4-a4d2-4d8b-9148-e3be6c30e623}">
          <xlrd:rvb i="1812"/>
        </ext>
      </extLst>
    </bk>
    <bk>
      <extLst>
        <ext uri="{3e2802c4-a4d2-4d8b-9148-e3be6c30e623}">
          <xlrd:rvb i="1813"/>
        </ext>
      </extLst>
    </bk>
    <bk>
      <extLst>
        <ext uri="{3e2802c4-a4d2-4d8b-9148-e3be6c30e623}">
          <xlrd:rvb i="1814"/>
        </ext>
      </extLst>
    </bk>
    <bk>
      <extLst>
        <ext uri="{3e2802c4-a4d2-4d8b-9148-e3be6c30e623}">
          <xlrd:rvb i="1815"/>
        </ext>
      </extLst>
    </bk>
    <bk>
      <extLst>
        <ext uri="{3e2802c4-a4d2-4d8b-9148-e3be6c30e623}">
          <xlrd:rvb i="1816"/>
        </ext>
      </extLst>
    </bk>
    <bk>
      <extLst>
        <ext uri="{3e2802c4-a4d2-4d8b-9148-e3be6c30e623}">
          <xlrd:rvb i="1817"/>
        </ext>
      </extLst>
    </bk>
    <bk>
      <extLst>
        <ext uri="{3e2802c4-a4d2-4d8b-9148-e3be6c30e623}">
          <xlrd:rvb i="1818"/>
        </ext>
      </extLst>
    </bk>
    <bk>
      <extLst>
        <ext uri="{3e2802c4-a4d2-4d8b-9148-e3be6c30e623}">
          <xlrd:rvb i="1819"/>
        </ext>
      </extLst>
    </bk>
    <bk>
      <extLst>
        <ext uri="{3e2802c4-a4d2-4d8b-9148-e3be6c30e623}">
          <xlrd:rvb i="1820"/>
        </ext>
      </extLst>
    </bk>
    <bk>
      <extLst>
        <ext uri="{3e2802c4-a4d2-4d8b-9148-e3be6c30e623}">
          <xlrd:rvb i="1821"/>
        </ext>
      </extLst>
    </bk>
    <bk>
      <extLst>
        <ext uri="{3e2802c4-a4d2-4d8b-9148-e3be6c30e623}">
          <xlrd:rvb i="1822"/>
        </ext>
      </extLst>
    </bk>
    <bk>
      <extLst>
        <ext uri="{3e2802c4-a4d2-4d8b-9148-e3be6c30e623}">
          <xlrd:rvb i="1823"/>
        </ext>
      </extLst>
    </bk>
    <bk>
      <extLst>
        <ext uri="{3e2802c4-a4d2-4d8b-9148-e3be6c30e623}">
          <xlrd:rvb i="1824"/>
        </ext>
      </extLst>
    </bk>
    <bk>
      <extLst>
        <ext uri="{3e2802c4-a4d2-4d8b-9148-e3be6c30e623}">
          <xlrd:rvb i="1827"/>
        </ext>
      </extLst>
    </bk>
    <bk>
      <extLst>
        <ext uri="{3e2802c4-a4d2-4d8b-9148-e3be6c30e623}">
          <xlrd:rvb i="1828"/>
        </ext>
      </extLst>
    </bk>
    <bk>
      <extLst>
        <ext uri="{3e2802c4-a4d2-4d8b-9148-e3be6c30e623}">
          <xlrd:rvb i="1829"/>
        </ext>
      </extLst>
    </bk>
    <bk>
      <extLst>
        <ext uri="{3e2802c4-a4d2-4d8b-9148-e3be6c30e623}">
          <xlrd:rvb i="1830"/>
        </ext>
      </extLst>
    </bk>
    <bk>
      <extLst>
        <ext uri="{3e2802c4-a4d2-4d8b-9148-e3be6c30e623}">
          <xlrd:rvb i="1831"/>
        </ext>
      </extLst>
    </bk>
    <bk>
      <extLst>
        <ext uri="{3e2802c4-a4d2-4d8b-9148-e3be6c30e623}">
          <xlrd:rvb i="1832"/>
        </ext>
      </extLst>
    </bk>
    <bk>
      <extLst>
        <ext uri="{3e2802c4-a4d2-4d8b-9148-e3be6c30e623}">
          <xlrd:rvb i="1833"/>
        </ext>
      </extLst>
    </bk>
    <bk>
      <extLst>
        <ext uri="{3e2802c4-a4d2-4d8b-9148-e3be6c30e623}">
          <xlrd:rvb i="1834"/>
        </ext>
      </extLst>
    </bk>
    <bk>
      <extLst>
        <ext uri="{3e2802c4-a4d2-4d8b-9148-e3be6c30e623}">
          <xlrd:rvb i="1835"/>
        </ext>
      </extLst>
    </bk>
    <bk>
      <extLst>
        <ext uri="{3e2802c4-a4d2-4d8b-9148-e3be6c30e623}">
          <xlrd:rvb i="1836"/>
        </ext>
      </extLst>
    </bk>
    <bk>
      <extLst>
        <ext uri="{3e2802c4-a4d2-4d8b-9148-e3be6c30e623}">
          <xlrd:rvb i="1837"/>
        </ext>
      </extLst>
    </bk>
    <bk>
      <extLst>
        <ext uri="{3e2802c4-a4d2-4d8b-9148-e3be6c30e623}">
          <xlrd:rvb i="1838"/>
        </ext>
      </extLst>
    </bk>
    <bk>
      <extLst>
        <ext uri="{3e2802c4-a4d2-4d8b-9148-e3be6c30e623}">
          <xlrd:rvb i="1839"/>
        </ext>
      </extLst>
    </bk>
    <bk>
      <extLst>
        <ext uri="{3e2802c4-a4d2-4d8b-9148-e3be6c30e623}">
          <xlrd:rvb i="1840"/>
        </ext>
      </extLst>
    </bk>
    <bk>
      <extLst>
        <ext uri="{3e2802c4-a4d2-4d8b-9148-e3be6c30e623}">
          <xlrd:rvb i="1841"/>
        </ext>
      </extLst>
    </bk>
    <bk>
      <extLst>
        <ext uri="{3e2802c4-a4d2-4d8b-9148-e3be6c30e623}">
          <xlrd:rvb i="1842"/>
        </ext>
      </extLst>
    </bk>
    <bk>
      <extLst>
        <ext uri="{3e2802c4-a4d2-4d8b-9148-e3be6c30e623}">
          <xlrd:rvb i="1843"/>
        </ext>
      </extLst>
    </bk>
    <bk>
      <extLst>
        <ext uri="{3e2802c4-a4d2-4d8b-9148-e3be6c30e623}">
          <xlrd:rvb i="1844"/>
        </ext>
      </extLst>
    </bk>
    <bk>
      <extLst>
        <ext uri="{3e2802c4-a4d2-4d8b-9148-e3be6c30e623}">
          <xlrd:rvb i="1845"/>
        </ext>
      </extLst>
    </bk>
    <bk>
      <extLst>
        <ext uri="{3e2802c4-a4d2-4d8b-9148-e3be6c30e623}">
          <xlrd:rvb i="1846"/>
        </ext>
      </extLst>
    </bk>
    <bk>
      <extLst>
        <ext uri="{3e2802c4-a4d2-4d8b-9148-e3be6c30e623}">
          <xlrd:rvb i="1847"/>
        </ext>
      </extLst>
    </bk>
    <bk>
      <extLst>
        <ext uri="{3e2802c4-a4d2-4d8b-9148-e3be6c30e623}">
          <xlrd:rvb i="1848"/>
        </ext>
      </extLst>
    </bk>
    <bk>
      <extLst>
        <ext uri="{3e2802c4-a4d2-4d8b-9148-e3be6c30e623}">
          <xlrd:rvb i="1851"/>
        </ext>
      </extLst>
    </bk>
    <bk>
      <extLst>
        <ext uri="{3e2802c4-a4d2-4d8b-9148-e3be6c30e623}">
          <xlrd:rvb i="1852"/>
        </ext>
      </extLst>
    </bk>
    <bk>
      <extLst>
        <ext uri="{3e2802c4-a4d2-4d8b-9148-e3be6c30e623}">
          <xlrd:rvb i="1853"/>
        </ext>
      </extLst>
    </bk>
    <bk>
      <extLst>
        <ext uri="{3e2802c4-a4d2-4d8b-9148-e3be6c30e623}">
          <xlrd:rvb i="1854"/>
        </ext>
      </extLst>
    </bk>
    <bk>
      <extLst>
        <ext uri="{3e2802c4-a4d2-4d8b-9148-e3be6c30e623}">
          <xlrd:rvb i="1855"/>
        </ext>
      </extLst>
    </bk>
    <bk>
      <extLst>
        <ext uri="{3e2802c4-a4d2-4d8b-9148-e3be6c30e623}">
          <xlrd:rvb i="1856"/>
        </ext>
      </extLst>
    </bk>
    <bk>
      <extLst>
        <ext uri="{3e2802c4-a4d2-4d8b-9148-e3be6c30e623}">
          <xlrd:rvb i="1857"/>
        </ext>
      </extLst>
    </bk>
    <bk>
      <extLst>
        <ext uri="{3e2802c4-a4d2-4d8b-9148-e3be6c30e623}">
          <xlrd:rvb i="1858"/>
        </ext>
      </extLst>
    </bk>
    <bk>
      <extLst>
        <ext uri="{3e2802c4-a4d2-4d8b-9148-e3be6c30e623}">
          <xlrd:rvb i="1859"/>
        </ext>
      </extLst>
    </bk>
    <bk>
      <extLst>
        <ext uri="{3e2802c4-a4d2-4d8b-9148-e3be6c30e623}">
          <xlrd:rvb i="1860"/>
        </ext>
      </extLst>
    </bk>
    <bk>
      <extLst>
        <ext uri="{3e2802c4-a4d2-4d8b-9148-e3be6c30e623}">
          <xlrd:rvb i="1861"/>
        </ext>
      </extLst>
    </bk>
    <bk>
      <extLst>
        <ext uri="{3e2802c4-a4d2-4d8b-9148-e3be6c30e623}">
          <xlrd:rvb i="1862"/>
        </ext>
      </extLst>
    </bk>
    <bk>
      <extLst>
        <ext uri="{3e2802c4-a4d2-4d8b-9148-e3be6c30e623}">
          <xlrd:rvb i="1863"/>
        </ext>
      </extLst>
    </bk>
    <bk>
      <extLst>
        <ext uri="{3e2802c4-a4d2-4d8b-9148-e3be6c30e623}">
          <xlrd:rvb i="1864"/>
        </ext>
      </extLst>
    </bk>
    <bk>
      <extLst>
        <ext uri="{3e2802c4-a4d2-4d8b-9148-e3be6c30e623}">
          <xlrd:rvb i="1865"/>
        </ext>
      </extLst>
    </bk>
    <bk>
      <extLst>
        <ext uri="{3e2802c4-a4d2-4d8b-9148-e3be6c30e623}">
          <xlrd:rvb i="1866"/>
        </ext>
      </extLst>
    </bk>
    <bk>
      <extLst>
        <ext uri="{3e2802c4-a4d2-4d8b-9148-e3be6c30e623}">
          <xlrd:rvb i="1867"/>
        </ext>
      </extLst>
    </bk>
    <bk>
      <extLst>
        <ext uri="{3e2802c4-a4d2-4d8b-9148-e3be6c30e623}">
          <xlrd:rvb i="1868"/>
        </ext>
      </extLst>
    </bk>
    <bk>
      <extLst>
        <ext uri="{3e2802c4-a4d2-4d8b-9148-e3be6c30e623}">
          <xlrd:rvb i="1869"/>
        </ext>
      </extLst>
    </bk>
    <bk>
      <extLst>
        <ext uri="{3e2802c4-a4d2-4d8b-9148-e3be6c30e623}">
          <xlrd:rvb i="1870"/>
        </ext>
      </extLst>
    </bk>
    <bk>
      <extLst>
        <ext uri="{3e2802c4-a4d2-4d8b-9148-e3be6c30e623}">
          <xlrd:rvb i="1873"/>
        </ext>
      </extLst>
    </bk>
    <bk>
      <extLst>
        <ext uri="{3e2802c4-a4d2-4d8b-9148-e3be6c30e623}">
          <xlrd:rvb i="1874"/>
        </ext>
      </extLst>
    </bk>
    <bk>
      <extLst>
        <ext uri="{3e2802c4-a4d2-4d8b-9148-e3be6c30e623}">
          <xlrd:rvb i="1875"/>
        </ext>
      </extLst>
    </bk>
    <bk>
      <extLst>
        <ext uri="{3e2802c4-a4d2-4d8b-9148-e3be6c30e623}">
          <xlrd:rvb i="1876"/>
        </ext>
      </extLst>
    </bk>
    <bk>
      <extLst>
        <ext uri="{3e2802c4-a4d2-4d8b-9148-e3be6c30e623}">
          <xlrd:rvb i="1877"/>
        </ext>
      </extLst>
    </bk>
    <bk>
      <extLst>
        <ext uri="{3e2802c4-a4d2-4d8b-9148-e3be6c30e623}">
          <xlrd:rvb i="1878"/>
        </ext>
      </extLst>
    </bk>
    <bk>
      <extLst>
        <ext uri="{3e2802c4-a4d2-4d8b-9148-e3be6c30e623}">
          <xlrd:rvb i="1879"/>
        </ext>
      </extLst>
    </bk>
    <bk>
      <extLst>
        <ext uri="{3e2802c4-a4d2-4d8b-9148-e3be6c30e623}">
          <xlrd:rvb i="1880"/>
        </ext>
      </extLst>
    </bk>
    <bk>
      <extLst>
        <ext uri="{3e2802c4-a4d2-4d8b-9148-e3be6c30e623}">
          <xlrd:rvb i="1881"/>
        </ext>
      </extLst>
    </bk>
    <bk>
      <extLst>
        <ext uri="{3e2802c4-a4d2-4d8b-9148-e3be6c30e623}">
          <xlrd:rvb i="1882"/>
        </ext>
      </extLst>
    </bk>
    <bk>
      <extLst>
        <ext uri="{3e2802c4-a4d2-4d8b-9148-e3be6c30e623}">
          <xlrd:rvb i="1883"/>
        </ext>
      </extLst>
    </bk>
    <bk>
      <extLst>
        <ext uri="{3e2802c4-a4d2-4d8b-9148-e3be6c30e623}">
          <xlrd:rvb i="1884"/>
        </ext>
      </extLst>
    </bk>
    <bk>
      <extLst>
        <ext uri="{3e2802c4-a4d2-4d8b-9148-e3be6c30e623}">
          <xlrd:rvb i="1885"/>
        </ext>
      </extLst>
    </bk>
    <bk>
      <extLst>
        <ext uri="{3e2802c4-a4d2-4d8b-9148-e3be6c30e623}">
          <xlrd:rvb i="1886"/>
        </ext>
      </extLst>
    </bk>
    <bk>
      <extLst>
        <ext uri="{3e2802c4-a4d2-4d8b-9148-e3be6c30e623}">
          <xlrd:rvb i="1887"/>
        </ext>
      </extLst>
    </bk>
    <bk>
      <extLst>
        <ext uri="{3e2802c4-a4d2-4d8b-9148-e3be6c30e623}">
          <xlrd:rvb i="1888"/>
        </ext>
      </extLst>
    </bk>
    <bk>
      <extLst>
        <ext uri="{3e2802c4-a4d2-4d8b-9148-e3be6c30e623}">
          <xlrd:rvb i="1889"/>
        </ext>
      </extLst>
    </bk>
    <bk>
      <extLst>
        <ext uri="{3e2802c4-a4d2-4d8b-9148-e3be6c30e623}">
          <xlrd:rvb i="1890"/>
        </ext>
      </extLst>
    </bk>
    <bk>
      <extLst>
        <ext uri="{3e2802c4-a4d2-4d8b-9148-e3be6c30e623}">
          <xlrd:rvb i="1891"/>
        </ext>
      </extLst>
    </bk>
    <bk>
      <extLst>
        <ext uri="{3e2802c4-a4d2-4d8b-9148-e3be6c30e623}">
          <xlrd:rvb i="1892"/>
        </ext>
      </extLst>
    </bk>
    <bk>
      <extLst>
        <ext uri="{3e2802c4-a4d2-4d8b-9148-e3be6c30e623}">
          <xlrd:rvb i="1893"/>
        </ext>
      </extLst>
    </bk>
    <bk>
      <extLst>
        <ext uri="{3e2802c4-a4d2-4d8b-9148-e3be6c30e623}">
          <xlrd:rvb i="1896"/>
        </ext>
      </extLst>
    </bk>
    <bk>
      <extLst>
        <ext uri="{3e2802c4-a4d2-4d8b-9148-e3be6c30e623}">
          <xlrd:rvb i="1897"/>
        </ext>
      </extLst>
    </bk>
    <bk>
      <extLst>
        <ext uri="{3e2802c4-a4d2-4d8b-9148-e3be6c30e623}">
          <xlrd:rvb i="1898"/>
        </ext>
      </extLst>
    </bk>
    <bk>
      <extLst>
        <ext uri="{3e2802c4-a4d2-4d8b-9148-e3be6c30e623}">
          <xlrd:rvb i="1899"/>
        </ext>
      </extLst>
    </bk>
    <bk>
      <extLst>
        <ext uri="{3e2802c4-a4d2-4d8b-9148-e3be6c30e623}">
          <xlrd:rvb i="1900"/>
        </ext>
      </extLst>
    </bk>
    <bk>
      <extLst>
        <ext uri="{3e2802c4-a4d2-4d8b-9148-e3be6c30e623}">
          <xlrd:rvb i="1901"/>
        </ext>
      </extLst>
    </bk>
    <bk>
      <extLst>
        <ext uri="{3e2802c4-a4d2-4d8b-9148-e3be6c30e623}">
          <xlrd:rvb i="1902"/>
        </ext>
      </extLst>
    </bk>
    <bk>
      <extLst>
        <ext uri="{3e2802c4-a4d2-4d8b-9148-e3be6c30e623}">
          <xlrd:rvb i="1903"/>
        </ext>
      </extLst>
    </bk>
    <bk>
      <extLst>
        <ext uri="{3e2802c4-a4d2-4d8b-9148-e3be6c30e623}">
          <xlrd:rvb i="1904"/>
        </ext>
      </extLst>
    </bk>
    <bk>
      <extLst>
        <ext uri="{3e2802c4-a4d2-4d8b-9148-e3be6c30e623}">
          <xlrd:rvb i="1905"/>
        </ext>
      </extLst>
    </bk>
    <bk>
      <extLst>
        <ext uri="{3e2802c4-a4d2-4d8b-9148-e3be6c30e623}">
          <xlrd:rvb i="1906"/>
        </ext>
      </extLst>
    </bk>
    <bk>
      <extLst>
        <ext uri="{3e2802c4-a4d2-4d8b-9148-e3be6c30e623}">
          <xlrd:rvb i="1907"/>
        </ext>
      </extLst>
    </bk>
    <bk>
      <extLst>
        <ext uri="{3e2802c4-a4d2-4d8b-9148-e3be6c30e623}">
          <xlrd:rvb i="1908"/>
        </ext>
      </extLst>
    </bk>
    <bk>
      <extLst>
        <ext uri="{3e2802c4-a4d2-4d8b-9148-e3be6c30e623}">
          <xlrd:rvb i="1909"/>
        </ext>
      </extLst>
    </bk>
    <bk>
      <extLst>
        <ext uri="{3e2802c4-a4d2-4d8b-9148-e3be6c30e623}">
          <xlrd:rvb i="1910"/>
        </ext>
      </extLst>
    </bk>
    <bk>
      <extLst>
        <ext uri="{3e2802c4-a4d2-4d8b-9148-e3be6c30e623}">
          <xlrd:rvb i="1911"/>
        </ext>
      </extLst>
    </bk>
    <bk>
      <extLst>
        <ext uri="{3e2802c4-a4d2-4d8b-9148-e3be6c30e623}">
          <xlrd:rvb i="1912"/>
        </ext>
      </extLst>
    </bk>
    <bk>
      <extLst>
        <ext uri="{3e2802c4-a4d2-4d8b-9148-e3be6c30e623}">
          <xlrd:rvb i="1913"/>
        </ext>
      </extLst>
    </bk>
    <bk>
      <extLst>
        <ext uri="{3e2802c4-a4d2-4d8b-9148-e3be6c30e623}">
          <xlrd:rvb i="1914"/>
        </ext>
      </extLst>
    </bk>
    <bk>
      <extLst>
        <ext uri="{3e2802c4-a4d2-4d8b-9148-e3be6c30e623}">
          <xlrd:rvb i="1915"/>
        </ext>
      </extLst>
    </bk>
    <bk>
      <extLst>
        <ext uri="{3e2802c4-a4d2-4d8b-9148-e3be6c30e623}">
          <xlrd:rvb i="1916"/>
        </ext>
      </extLst>
    </bk>
    <bk>
      <extLst>
        <ext uri="{3e2802c4-a4d2-4d8b-9148-e3be6c30e623}">
          <xlrd:rvb i="1917"/>
        </ext>
      </extLst>
    </bk>
    <bk>
      <extLst>
        <ext uri="{3e2802c4-a4d2-4d8b-9148-e3be6c30e623}">
          <xlrd:rvb i="1920"/>
        </ext>
      </extLst>
    </bk>
    <bk>
      <extLst>
        <ext uri="{3e2802c4-a4d2-4d8b-9148-e3be6c30e623}">
          <xlrd:rvb i="1921"/>
        </ext>
      </extLst>
    </bk>
    <bk>
      <extLst>
        <ext uri="{3e2802c4-a4d2-4d8b-9148-e3be6c30e623}">
          <xlrd:rvb i="1922"/>
        </ext>
      </extLst>
    </bk>
    <bk>
      <extLst>
        <ext uri="{3e2802c4-a4d2-4d8b-9148-e3be6c30e623}">
          <xlrd:rvb i="1923"/>
        </ext>
      </extLst>
    </bk>
    <bk>
      <extLst>
        <ext uri="{3e2802c4-a4d2-4d8b-9148-e3be6c30e623}">
          <xlrd:rvb i="1924"/>
        </ext>
      </extLst>
    </bk>
    <bk>
      <extLst>
        <ext uri="{3e2802c4-a4d2-4d8b-9148-e3be6c30e623}">
          <xlrd:rvb i="1925"/>
        </ext>
      </extLst>
    </bk>
    <bk>
      <extLst>
        <ext uri="{3e2802c4-a4d2-4d8b-9148-e3be6c30e623}">
          <xlrd:rvb i="1926"/>
        </ext>
      </extLst>
    </bk>
    <bk>
      <extLst>
        <ext uri="{3e2802c4-a4d2-4d8b-9148-e3be6c30e623}">
          <xlrd:rvb i="1927"/>
        </ext>
      </extLst>
    </bk>
    <bk>
      <extLst>
        <ext uri="{3e2802c4-a4d2-4d8b-9148-e3be6c30e623}">
          <xlrd:rvb i="1928"/>
        </ext>
      </extLst>
    </bk>
    <bk>
      <extLst>
        <ext uri="{3e2802c4-a4d2-4d8b-9148-e3be6c30e623}">
          <xlrd:rvb i="1929"/>
        </ext>
      </extLst>
    </bk>
    <bk>
      <extLst>
        <ext uri="{3e2802c4-a4d2-4d8b-9148-e3be6c30e623}">
          <xlrd:rvb i="1930"/>
        </ext>
      </extLst>
    </bk>
    <bk>
      <extLst>
        <ext uri="{3e2802c4-a4d2-4d8b-9148-e3be6c30e623}">
          <xlrd:rvb i="1931"/>
        </ext>
      </extLst>
    </bk>
    <bk>
      <extLst>
        <ext uri="{3e2802c4-a4d2-4d8b-9148-e3be6c30e623}">
          <xlrd:rvb i="1932"/>
        </ext>
      </extLst>
    </bk>
    <bk>
      <extLst>
        <ext uri="{3e2802c4-a4d2-4d8b-9148-e3be6c30e623}">
          <xlrd:rvb i="1933"/>
        </ext>
      </extLst>
    </bk>
    <bk>
      <extLst>
        <ext uri="{3e2802c4-a4d2-4d8b-9148-e3be6c30e623}">
          <xlrd:rvb i="1934"/>
        </ext>
      </extLst>
    </bk>
    <bk>
      <extLst>
        <ext uri="{3e2802c4-a4d2-4d8b-9148-e3be6c30e623}">
          <xlrd:rvb i="1935"/>
        </ext>
      </extLst>
    </bk>
    <bk>
      <extLst>
        <ext uri="{3e2802c4-a4d2-4d8b-9148-e3be6c30e623}">
          <xlrd:rvb i="1936"/>
        </ext>
      </extLst>
    </bk>
    <bk>
      <extLst>
        <ext uri="{3e2802c4-a4d2-4d8b-9148-e3be6c30e623}">
          <xlrd:rvb i="1937"/>
        </ext>
      </extLst>
    </bk>
    <bk>
      <extLst>
        <ext uri="{3e2802c4-a4d2-4d8b-9148-e3be6c30e623}">
          <xlrd:rvb i="1938"/>
        </ext>
      </extLst>
    </bk>
    <bk>
      <extLst>
        <ext uri="{3e2802c4-a4d2-4d8b-9148-e3be6c30e623}">
          <xlrd:rvb i="1939"/>
        </ext>
      </extLst>
    </bk>
    <bk>
      <extLst>
        <ext uri="{3e2802c4-a4d2-4d8b-9148-e3be6c30e623}">
          <xlrd:rvb i="1940"/>
        </ext>
      </extLst>
    </bk>
    <bk>
      <extLst>
        <ext uri="{3e2802c4-a4d2-4d8b-9148-e3be6c30e623}">
          <xlrd:rvb i="1943"/>
        </ext>
      </extLst>
    </bk>
    <bk>
      <extLst>
        <ext uri="{3e2802c4-a4d2-4d8b-9148-e3be6c30e623}">
          <xlrd:rvb i="1944"/>
        </ext>
      </extLst>
    </bk>
    <bk>
      <extLst>
        <ext uri="{3e2802c4-a4d2-4d8b-9148-e3be6c30e623}">
          <xlrd:rvb i="1945"/>
        </ext>
      </extLst>
    </bk>
    <bk>
      <extLst>
        <ext uri="{3e2802c4-a4d2-4d8b-9148-e3be6c30e623}">
          <xlrd:rvb i="1946"/>
        </ext>
      </extLst>
    </bk>
    <bk>
      <extLst>
        <ext uri="{3e2802c4-a4d2-4d8b-9148-e3be6c30e623}">
          <xlrd:rvb i="1947"/>
        </ext>
      </extLst>
    </bk>
    <bk>
      <extLst>
        <ext uri="{3e2802c4-a4d2-4d8b-9148-e3be6c30e623}">
          <xlrd:rvb i="1948"/>
        </ext>
      </extLst>
    </bk>
    <bk>
      <extLst>
        <ext uri="{3e2802c4-a4d2-4d8b-9148-e3be6c30e623}">
          <xlrd:rvb i="1949"/>
        </ext>
      </extLst>
    </bk>
    <bk>
      <extLst>
        <ext uri="{3e2802c4-a4d2-4d8b-9148-e3be6c30e623}">
          <xlrd:rvb i="1950"/>
        </ext>
      </extLst>
    </bk>
    <bk>
      <extLst>
        <ext uri="{3e2802c4-a4d2-4d8b-9148-e3be6c30e623}">
          <xlrd:rvb i="1951"/>
        </ext>
      </extLst>
    </bk>
    <bk>
      <extLst>
        <ext uri="{3e2802c4-a4d2-4d8b-9148-e3be6c30e623}">
          <xlrd:rvb i="1952"/>
        </ext>
      </extLst>
    </bk>
    <bk>
      <extLst>
        <ext uri="{3e2802c4-a4d2-4d8b-9148-e3be6c30e623}">
          <xlrd:rvb i="1953"/>
        </ext>
      </extLst>
    </bk>
    <bk>
      <extLst>
        <ext uri="{3e2802c4-a4d2-4d8b-9148-e3be6c30e623}">
          <xlrd:rvb i="1954"/>
        </ext>
      </extLst>
    </bk>
    <bk>
      <extLst>
        <ext uri="{3e2802c4-a4d2-4d8b-9148-e3be6c30e623}">
          <xlrd:rvb i="1955"/>
        </ext>
      </extLst>
    </bk>
    <bk>
      <extLst>
        <ext uri="{3e2802c4-a4d2-4d8b-9148-e3be6c30e623}">
          <xlrd:rvb i="1956"/>
        </ext>
      </extLst>
    </bk>
    <bk>
      <extLst>
        <ext uri="{3e2802c4-a4d2-4d8b-9148-e3be6c30e623}">
          <xlrd:rvb i="1957"/>
        </ext>
      </extLst>
    </bk>
    <bk>
      <extLst>
        <ext uri="{3e2802c4-a4d2-4d8b-9148-e3be6c30e623}">
          <xlrd:rvb i="1958"/>
        </ext>
      </extLst>
    </bk>
    <bk>
      <extLst>
        <ext uri="{3e2802c4-a4d2-4d8b-9148-e3be6c30e623}">
          <xlrd:rvb i="1959"/>
        </ext>
      </extLst>
    </bk>
    <bk>
      <extLst>
        <ext uri="{3e2802c4-a4d2-4d8b-9148-e3be6c30e623}">
          <xlrd:rvb i="1960"/>
        </ext>
      </extLst>
    </bk>
    <bk>
      <extLst>
        <ext uri="{3e2802c4-a4d2-4d8b-9148-e3be6c30e623}">
          <xlrd:rvb i="1961"/>
        </ext>
      </extLst>
    </bk>
    <bk>
      <extLst>
        <ext uri="{3e2802c4-a4d2-4d8b-9148-e3be6c30e623}">
          <xlrd:rvb i="1962"/>
        </ext>
      </extLst>
    </bk>
    <bk>
      <extLst>
        <ext uri="{3e2802c4-a4d2-4d8b-9148-e3be6c30e623}">
          <xlrd:rvb i="1963"/>
        </ext>
      </extLst>
    </bk>
    <bk>
      <extLst>
        <ext uri="{3e2802c4-a4d2-4d8b-9148-e3be6c30e623}">
          <xlrd:rvb i="1964"/>
        </ext>
      </extLst>
    </bk>
    <bk>
      <extLst>
        <ext uri="{3e2802c4-a4d2-4d8b-9148-e3be6c30e623}">
          <xlrd:rvb i="1967"/>
        </ext>
      </extLst>
    </bk>
    <bk>
      <extLst>
        <ext uri="{3e2802c4-a4d2-4d8b-9148-e3be6c30e623}">
          <xlrd:rvb i="1968"/>
        </ext>
      </extLst>
    </bk>
    <bk>
      <extLst>
        <ext uri="{3e2802c4-a4d2-4d8b-9148-e3be6c30e623}">
          <xlrd:rvb i="1969"/>
        </ext>
      </extLst>
    </bk>
    <bk>
      <extLst>
        <ext uri="{3e2802c4-a4d2-4d8b-9148-e3be6c30e623}">
          <xlrd:rvb i="1970"/>
        </ext>
      </extLst>
    </bk>
    <bk>
      <extLst>
        <ext uri="{3e2802c4-a4d2-4d8b-9148-e3be6c30e623}">
          <xlrd:rvb i="1971"/>
        </ext>
      </extLst>
    </bk>
    <bk>
      <extLst>
        <ext uri="{3e2802c4-a4d2-4d8b-9148-e3be6c30e623}">
          <xlrd:rvb i="1972"/>
        </ext>
      </extLst>
    </bk>
    <bk>
      <extLst>
        <ext uri="{3e2802c4-a4d2-4d8b-9148-e3be6c30e623}">
          <xlrd:rvb i="1973"/>
        </ext>
      </extLst>
    </bk>
    <bk>
      <extLst>
        <ext uri="{3e2802c4-a4d2-4d8b-9148-e3be6c30e623}">
          <xlrd:rvb i="1974"/>
        </ext>
      </extLst>
    </bk>
    <bk>
      <extLst>
        <ext uri="{3e2802c4-a4d2-4d8b-9148-e3be6c30e623}">
          <xlrd:rvb i="1975"/>
        </ext>
      </extLst>
    </bk>
    <bk>
      <extLst>
        <ext uri="{3e2802c4-a4d2-4d8b-9148-e3be6c30e623}">
          <xlrd:rvb i="1976"/>
        </ext>
      </extLst>
    </bk>
    <bk>
      <extLst>
        <ext uri="{3e2802c4-a4d2-4d8b-9148-e3be6c30e623}">
          <xlrd:rvb i="1977"/>
        </ext>
      </extLst>
    </bk>
    <bk>
      <extLst>
        <ext uri="{3e2802c4-a4d2-4d8b-9148-e3be6c30e623}">
          <xlrd:rvb i="1978"/>
        </ext>
      </extLst>
    </bk>
    <bk>
      <extLst>
        <ext uri="{3e2802c4-a4d2-4d8b-9148-e3be6c30e623}">
          <xlrd:rvb i="1979"/>
        </ext>
      </extLst>
    </bk>
    <bk>
      <extLst>
        <ext uri="{3e2802c4-a4d2-4d8b-9148-e3be6c30e623}">
          <xlrd:rvb i="1980"/>
        </ext>
      </extLst>
    </bk>
    <bk>
      <extLst>
        <ext uri="{3e2802c4-a4d2-4d8b-9148-e3be6c30e623}">
          <xlrd:rvb i="1981"/>
        </ext>
      </extLst>
    </bk>
    <bk>
      <extLst>
        <ext uri="{3e2802c4-a4d2-4d8b-9148-e3be6c30e623}">
          <xlrd:rvb i="1982"/>
        </ext>
      </extLst>
    </bk>
    <bk>
      <extLst>
        <ext uri="{3e2802c4-a4d2-4d8b-9148-e3be6c30e623}">
          <xlrd:rvb i="1983"/>
        </ext>
      </extLst>
    </bk>
    <bk>
      <extLst>
        <ext uri="{3e2802c4-a4d2-4d8b-9148-e3be6c30e623}">
          <xlrd:rvb i="1984"/>
        </ext>
      </extLst>
    </bk>
    <bk>
      <extLst>
        <ext uri="{3e2802c4-a4d2-4d8b-9148-e3be6c30e623}">
          <xlrd:rvb i="1985"/>
        </ext>
      </extLst>
    </bk>
    <bk>
      <extLst>
        <ext uri="{3e2802c4-a4d2-4d8b-9148-e3be6c30e623}">
          <xlrd:rvb i="1986"/>
        </ext>
      </extLst>
    </bk>
    <bk>
      <extLst>
        <ext uri="{3e2802c4-a4d2-4d8b-9148-e3be6c30e623}">
          <xlrd:rvb i="1987"/>
        </ext>
      </extLst>
    </bk>
    <bk>
      <extLst>
        <ext uri="{3e2802c4-a4d2-4d8b-9148-e3be6c30e623}">
          <xlrd:rvb i="1988"/>
        </ext>
      </extLst>
    </bk>
    <bk>
      <extLst>
        <ext uri="{3e2802c4-a4d2-4d8b-9148-e3be6c30e623}">
          <xlrd:rvb i="1991"/>
        </ext>
      </extLst>
    </bk>
    <bk>
      <extLst>
        <ext uri="{3e2802c4-a4d2-4d8b-9148-e3be6c30e623}">
          <xlrd:rvb i="1992"/>
        </ext>
      </extLst>
    </bk>
    <bk>
      <extLst>
        <ext uri="{3e2802c4-a4d2-4d8b-9148-e3be6c30e623}">
          <xlrd:rvb i="1993"/>
        </ext>
      </extLst>
    </bk>
    <bk>
      <extLst>
        <ext uri="{3e2802c4-a4d2-4d8b-9148-e3be6c30e623}">
          <xlrd:rvb i="1994"/>
        </ext>
      </extLst>
    </bk>
    <bk>
      <extLst>
        <ext uri="{3e2802c4-a4d2-4d8b-9148-e3be6c30e623}">
          <xlrd:rvb i="1995"/>
        </ext>
      </extLst>
    </bk>
    <bk>
      <extLst>
        <ext uri="{3e2802c4-a4d2-4d8b-9148-e3be6c30e623}">
          <xlrd:rvb i="1996"/>
        </ext>
      </extLst>
    </bk>
    <bk>
      <extLst>
        <ext uri="{3e2802c4-a4d2-4d8b-9148-e3be6c30e623}">
          <xlrd:rvb i="1997"/>
        </ext>
      </extLst>
    </bk>
    <bk>
      <extLst>
        <ext uri="{3e2802c4-a4d2-4d8b-9148-e3be6c30e623}">
          <xlrd:rvb i="1998"/>
        </ext>
      </extLst>
    </bk>
    <bk>
      <extLst>
        <ext uri="{3e2802c4-a4d2-4d8b-9148-e3be6c30e623}">
          <xlrd:rvb i="1999"/>
        </ext>
      </extLst>
    </bk>
    <bk>
      <extLst>
        <ext uri="{3e2802c4-a4d2-4d8b-9148-e3be6c30e623}">
          <xlrd:rvb i="2000"/>
        </ext>
      </extLst>
    </bk>
    <bk>
      <extLst>
        <ext uri="{3e2802c4-a4d2-4d8b-9148-e3be6c30e623}">
          <xlrd:rvb i="2001"/>
        </ext>
      </extLst>
    </bk>
    <bk>
      <extLst>
        <ext uri="{3e2802c4-a4d2-4d8b-9148-e3be6c30e623}">
          <xlrd:rvb i="2002"/>
        </ext>
      </extLst>
    </bk>
    <bk>
      <extLst>
        <ext uri="{3e2802c4-a4d2-4d8b-9148-e3be6c30e623}">
          <xlrd:rvb i="2003"/>
        </ext>
      </extLst>
    </bk>
    <bk>
      <extLst>
        <ext uri="{3e2802c4-a4d2-4d8b-9148-e3be6c30e623}">
          <xlrd:rvb i="2004"/>
        </ext>
      </extLst>
    </bk>
    <bk>
      <extLst>
        <ext uri="{3e2802c4-a4d2-4d8b-9148-e3be6c30e623}">
          <xlrd:rvb i="2005"/>
        </ext>
      </extLst>
    </bk>
    <bk>
      <extLst>
        <ext uri="{3e2802c4-a4d2-4d8b-9148-e3be6c30e623}">
          <xlrd:rvb i="2006"/>
        </ext>
      </extLst>
    </bk>
    <bk>
      <extLst>
        <ext uri="{3e2802c4-a4d2-4d8b-9148-e3be6c30e623}">
          <xlrd:rvb i="2007"/>
        </ext>
      </extLst>
    </bk>
    <bk>
      <extLst>
        <ext uri="{3e2802c4-a4d2-4d8b-9148-e3be6c30e623}">
          <xlrd:rvb i="2008"/>
        </ext>
      </extLst>
    </bk>
    <bk>
      <extLst>
        <ext uri="{3e2802c4-a4d2-4d8b-9148-e3be6c30e623}">
          <xlrd:rvb i="2009"/>
        </ext>
      </extLst>
    </bk>
    <bk>
      <extLst>
        <ext uri="{3e2802c4-a4d2-4d8b-9148-e3be6c30e623}">
          <xlrd:rvb i="2010"/>
        </ext>
      </extLst>
    </bk>
    <bk>
      <extLst>
        <ext uri="{3e2802c4-a4d2-4d8b-9148-e3be6c30e623}">
          <xlrd:rvb i="2013"/>
        </ext>
      </extLst>
    </bk>
    <bk>
      <extLst>
        <ext uri="{3e2802c4-a4d2-4d8b-9148-e3be6c30e623}">
          <xlrd:rvb i="2014"/>
        </ext>
      </extLst>
    </bk>
    <bk>
      <extLst>
        <ext uri="{3e2802c4-a4d2-4d8b-9148-e3be6c30e623}">
          <xlrd:rvb i="2015"/>
        </ext>
      </extLst>
    </bk>
    <bk>
      <extLst>
        <ext uri="{3e2802c4-a4d2-4d8b-9148-e3be6c30e623}">
          <xlrd:rvb i="2016"/>
        </ext>
      </extLst>
    </bk>
    <bk>
      <extLst>
        <ext uri="{3e2802c4-a4d2-4d8b-9148-e3be6c30e623}">
          <xlrd:rvb i="2017"/>
        </ext>
      </extLst>
    </bk>
    <bk>
      <extLst>
        <ext uri="{3e2802c4-a4d2-4d8b-9148-e3be6c30e623}">
          <xlrd:rvb i="2018"/>
        </ext>
      </extLst>
    </bk>
    <bk>
      <extLst>
        <ext uri="{3e2802c4-a4d2-4d8b-9148-e3be6c30e623}">
          <xlrd:rvb i="2019"/>
        </ext>
      </extLst>
    </bk>
    <bk>
      <extLst>
        <ext uri="{3e2802c4-a4d2-4d8b-9148-e3be6c30e623}">
          <xlrd:rvb i="2020"/>
        </ext>
      </extLst>
    </bk>
    <bk>
      <extLst>
        <ext uri="{3e2802c4-a4d2-4d8b-9148-e3be6c30e623}">
          <xlrd:rvb i="2021"/>
        </ext>
      </extLst>
    </bk>
    <bk>
      <extLst>
        <ext uri="{3e2802c4-a4d2-4d8b-9148-e3be6c30e623}">
          <xlrd:rvb i="2022"/>
        </ext>
      </extLst>
    </bk>
    <bk>
      <extLst>
        <ext uri="{3e2802c4-a4d2-4d8b-9148-e3be6c30e623}">
          <xlrd:rvb i="2023"/>
        </ext>
      </extLst>
    </bk>
    <bk>
      <extLst>
        <ext uri="{3e2802c4-a4d2-4d8b-9148-e3be6c30e623}">
          <xlrd:rvb i="2024"/>
        </ext>
      </extLst>
    </bk>
    <bk>
      <extLst>
        <ext uri="{3e2802c4-a4d2-4d8b-9148-e3be6c30e623}">
          <xlrd:rvb i="2025"/>
        </ext>
      </extLst>
    </bk>
    <bk>
      <extLst>
        <ext uri="{3e2802c4-a4d2-4d8b-9148-e3be6c30e623}">
          <xlrd:rvb i="2026"/>
        </ext>
      </extLst>
    </bk>
    <bk>
      <extLst>
        <ext uri="{3e2802c4-a4d2-4d8b-9148-e3be6c30e623}">
          <xlrd:rvb i="2027"/>
        </ext>
      </extLst>
    </bk>
    <bk>
      <extLst>
        <ext uri="{3e2802c4-a4d2-4d8b-9148-e3be6c30e623}">
          <xlrd:rvb i="2028"/>
        </ext>
      </extLst>
    </bk>
    <bk>
      <extLst>
        <ext uri="{3e2802c4-a4d2-4d8b-9148-e3be6c30e623}">
          <xlrd:rvb i="2029"/>
        </ext>
      </extLst>
    </bk>
    <bk>
      <extLst>
        <ext uri="{3e2802c4-a4d2-4d8b-9148-e3be6c30e623}">
          <xlrd:rvb i="2030"/>
        </ext>
      </extLst>
    </bk>
    <bk>
      <extLst>
        <ext uri="{3e2802c4-a4d2-4d8b-9148-e3be6c30e623}">
          <xlrd:rvb i="2031"/>
        </ext>
      </extLst>
    </bk>
    <bk>
      <extLst>
        <ext uri="{3e2802c4-a4d2-4d8b-9148-e3be6c30e623}">
          <xlrd:rvb i="2032"/>
        </ext>
      </extLst>
    </bk>
    <bk>
      <extLst>
        <ext uri="{3e2802c4-a4d2-4d8b-9148-e3be6c30e623}">
          <xlrd:rvb i="2033"/>
        </ext>
      </extLst>
    </bk>
    <bk>
      <extLst>
        <ext uri="{3e2802c4-a4d2-4d8b-9148-e3be6c30e623}">
          <xlrd:rvb i="2034"/>
        </ext>
      </extLst>
    </bk>
    <bk>
      <extLst>
        <ext uri="{3e2802c4-a4d2-4d8b-9148-e3be6c30e623}">
          <xlrd:rvb i="2037"/>
        </ext>
      </extLst>
    </bk>
    <bk>
      <extLst>
        <ext uri="{3e2802c4-a4d2-4d8b-9148-e3be6c30e623}">
          <xlrd:rvb i="2038"/>
        </ext>
      </extLst>
    </bk>
    <bk>
      <extLst>
        <ext uri="{3e2802c4-a4d2-4d8b-9148-e3be6c30e623}">
          <xlrd:rvb i="2039"/>
        </ext>
      </extLst>
    </bk>
    <bk>
      <extLst>
        <ext uri="{3e2802c4-a4d2-4d8b-9148-e3be6c30e623}">
          <xlrd:rvb i="2040"/>
        </ext>
      </extLst>
    </bk>
    <bk>
      <extLst>
        <ext uri="{3e2802c4-a4d2-4d8b-9148-e3be6c30e623}">
          <xlrd:rvb i="2041"/>
        </ext>
      </extLst>
    </bk>
    <bk>
      <extLst>
        <ext uri="{3e2802c4-a4d2-4d8b-9148-e3be6c30e623}">
          <xlrd:rvb i="2042"/>
        </ext>
      </extLst>
    </bk>
    <bk>
      <extLst>
        <ext uri="{3e2802c4-a4d2-4d8b-9148-e3be6c30e623}">
          <xlrd:rvb i="2043"/>
        </ext>
      </extLst>
    </bk>
    <bk>
      <extLst>
        <ext uri="{3e2802c4-a4d2-4d8b-9148-e3be6c30e623}">
          <xlrd:rvb i="2044"/>
        </ext>
      </extLst>
    </bk>
    <bk>
      <extLst>
        <ext uri="{3e2802c4-a4d2-4d8b-9148-e3be6c30e623}">
          <xlrd:rvb i="2045"/>
        </ext>
      </extLst>
    </bk>
    <bk>
      <extLst>
        <ext uri="{3e2802c4-a4d2-4d8b-9148-e3be6c30e623}">
          <xlrd:rvb i="2046"/>
        </ext>
      </extLst>
    </bk>
    <bk>
      <extLst>
        <ext uri="{3e2802c4-a4d2-4d8b-9148-e3be6c30e623}">
          <xlrd:rvb i="2047"/>
        </ext>
      </extLst>
    </bk>
    <bk>
      <extLst>
        <ext uri="{3e2802c4-a4d2-4d8b-9148-e3be6c30e623}">
          <xlrd:rvb i="2048"/>
        </ext>
      </extLst>
    </bk>
    <bk>
      <extLst>
        <ext uri="{3e2802c4-a4d2-4d8b-9148-e3be6c30e623}">
          <xlrd:rvb i="2049"/>
        </ext>
      </extLst>
    </bk>
    <bk>
      <extLst>
        <ext uri="{3e2802c4-a4d2-4d8b-9148-e3be6c30e623}">
          <xlrd:rvb i="2050"/>
        </ext>
      </extLst>
    </bk>
    <bk>
      <extLst>
        <ext uri="{3e2802c4-a4d2-4d8b-9148-e3be6c30e623}">
          <xlrd:rvb i="2051"/>
        </ext>
      </extLst>
    </bk>
    <bk>
      <extLst>
        <ext uri="{3e2802c4-a4d2-4d8b-9148-e3be6c30e623}">
          <xlrd:rvb i="2052"/>
        </ext>
      </extLst>
    </bk>
    <bk>
      <extLst>
        <ext uri="{3e2802c4-a4d2-4d8b-9148-e3be6c30e623}">
          <xlrd:rvb i="2053"/>
        </ext>
      </extLst>
    </bk>
    <bk>
      <extLst>
        <ext uri="{3e2802c4-a4d2-4d8b-9148-e3be6c30e623}">
          <xlrd:rvb i="2054"/>
        </ext>
      </extLst>
    </bk>
    <bk>
      <extLst>
        <ext uri="{3e2802c4-a4d2-4d8b-9148-e3be6c30e623}">
          <xlrd:rvb i="2055"/>
        </ext>
      </extLst>
    </bk>
    <bk>
      <extLst>
        <ext uri="{3e2802c4-a4d2-4d8b-9148-e3be6c30e623}">
          <xlrd:rvb i="2058"/>
        </ext>
      </extLst>
    </bk>
    <bk>
      <extLst>
        <ext uri="{3e2802c4-a4d2-4d8b-9148-e3be6c30e623}">
          <xlrd:rvb i="2059"/>
        </ext>
      </extLst>
    </bk>
    <bk>
      <extLst>
        <ext uri="{3e2802c4-a4d2-4d8b-9148-e3be6c30e623}">
          <xlrd:rvb i="2060"/>
        </ext>
      </extLst>
    </bk>
    <bk>
      <extLst>
        <ext uri="{3e2802c4-a4d2-4d8b-9148-e3be6c30e623}">
          <xlrd:rvb i="2061"/>
        </ext>
      </extLst>
    </bk>
    <bk>
      <extLst>
        <ext uri="{3e2802c4-a4d2-4d8b-9148-e3be6c30e623}">
          <xlrd:rvb i="2062"/>
        </ext>
      </extLst>
    </bk>
    <bk>
      <extLst>
        <ext uri="{3e2802c4-a4d2-4d8b-9148-e3be6c30e623}">
          <xlrd:rvb i="2063"/>
        </ext>
      </extLst>
    </bk>
    <bk>
      <extLst>
        <ext uri="{3e2802c4-a4d2-4d8b-9148-e3be6c30e623}">
          <xlrd:rvb i="2064"/>
        </ext>
      </extLst>
    </bk>
    <bk>
      <extLst>
        <ext uri="{3e2802c4-a4d2-4d8b-9148-e3be6c30e623}">
          <xlrd:rvb i="2065"/>
        </ext>
      </extLst>
    </bk>
    <bk>
      <extLst>
        <ext uri="{3e2802c4-a4d2-4d8b-9148-e3be6c30e623}">
          <xlrd:rvb i="2066"/>
        </ext>
      </extLst>
    </bk>
    <bk>
      <extLst>
        <ext uri="{3e2802c4-a4d2-4d8b-9148-e3be6c30e623}">
          <xlrd:rvb i="2067"/>
        </ext>
      </extLst>
    </bk>
    <bk>
      <extLst>
        <ext uri="{3e2802c4-a4d2-4d8b-9148-e3be6c30e623}">
          <xlrd:rvb i="2068"/>
        </ext>
      </extLst>
    </bk>
    <bk>
      <extLst>
        <ext uri="{3e2802c4-a4d2-4d8b-9148-e3be6c30e623}">
          <xlrd:rvb i="2069"/>
        </ext>
      </extLst>
    </bk>
    <bk>
      <extLst>
        <ext uri="{3e2802c4-a4d2-4d8b-9148-e3be6c30e623}">
          <xlrd:rvb i="2070"/>
        </ext>
      </extLst>
    </bk>
    <bk>
      <extLst>
        <ext uri="{3e2802c4-a4d2-4d8b-9148-e3be6c30e623}">
          <xlrd:rvb i="2071"/>
        </ext>
      </extLst>
    </bk>
    <bk>
      <extLst>
        <ext uri="{3e2802c4-a4d2-4d8b-9148-e3be6c30e623}">
          <xlrd:rvb i="2072"/>
        </ext>
      </extLst>
    </bk>
    <bk>
      <extLst>
        <ext uri="{3e2802c4-a4d2-4d8b-9148-e3be6c30e623}">
          <xlrd:rvb i="2073"/>
        </ext>
      </extLst>
    </bk>
    <bk>
      <extLst>
        <ext uri="{3e2802c4-a4d2-4d8b-9148-e3be6c30e623}">
          <xlrd:rvb i="2074"/>
        </ext>
      </extLst>
    </bk>
    <bk>
      <extLst>
        <ext uri="{3e2802c4-a4d2-4d8b-9148-e3be6c30e623}">
          <xlrd:rvb i="2075"/>
        </ext>
      </extLst>
    </bk>
    <bk>
      <extLst>
        <ext uri="{3e2802c4-a4d2-4d8b-9148-e3be6c30e623}">
          <xlrd:rvb i="2076"/>
        </ext>
      </extLst>
    </bk>
    <bk>
      <extLst>
        <ext uri="{3e2802c4-a4d2-4d8b-9148-e3be6c30e623}">
          <xlrd:rvb i="2077"/>
        </ext>
      </extLst>
    </bk>
    <bk>
      <extLst>
        <ext uri="{3e2802c4-a4d2-4d8b-9148-e3be6c30e623}">
          <xlrd:rvb i="2078"/>
        </ext>
      </extLst>
    </bk>
    <bk>
      <extLst>
        <ext uri="{3e2802c4-a4d2-4d8b-9148-e3be6c30e623}">
          <xlrd:rvb i="2081"/>
        </ext>
      </extLst>
    </bk>
    <bk>
      <extLst>
        <ext uri="{3e2802c4-a4d2-4d8b-9148-e3be6c30e623}">
          <xlrd:rvb i="2082"/>
        </ext>
      </extLst>
    </bk>
    <bk>
      <extLst>
        <ext uri="{3e2802c4-a4d2-4d8b-9148-e3be6c30e623}">
          <xlrd:rvb i="2083"/>
        </ext>
      </extLst>
    </bk>
    <bk>
      <extLst>
        <ext uri="{3e2802c4-a4d2-4d8b-9148-e3be6c30e623}">
          <xlrd:rvb i="2084"/>
        </ext>
      </extLst>
    </bk>
    <bk>
      <extLst>
        <ext uri="{3e2802c4-a4d2-4d8b-9148-e3be6c30e623}">
          <xlrd:rvb i="2085"/>
        </ext>
      </extLst>
    </bk>
    <bk>
      <extLst>
        <ext uri="{3e2802c4-a4d2-4d8b-9148-e3be6c30e623}">
          <xlrd:rvb i="2086"/>
        </ext>
      </extLst>
    </bk>
    <bk>
      <extLst>
        <ext uri="{3e2802c4-a4d2-4d8b-9148-e3be6c30e623}">
          <xlrd:rvb i="2087"/>
        </ext>
      </extLst>
    </bk>
    <bk>
      <extLst>
        <ext uri="{3e2802c4-a4d2-4d8b-9148-e3be6c30e623}">
          <xlrd:rvb i="2088"/>
        </ext>
      </extLst>
    </bk>
    <bk>
      <extLst>
        <ext uri="{3e2802c4-a4d2-4d8b-9148-e3be6c30e623}">
          <xlrd:rvb i="2089"/>
        </ext>
      </extLst>
    </bk>
    <bk>
      <extLst>
        <ext uri="{3e2802c4-a4d2-4d8b-9148-e3be6c30e623}">
          <xlrd:rvb i="2090"/>
        </ext>
      </extLst>
    </bk>
    <bk>
      <extLst>
        <ext uri="{3e2802c4-a4d2-4d8b-9148-e3be6c30e623}">
          <xlrd:rvb i="2091"/>
        </ext>
      </extLst>
    </bk>
    <bk>
      <extLst>
        <ext uri="{3e2802c4-a4d2-4d8b-9148-e3be6c30e623}">
          <xlrd:rvb i="2092"/>
        </ext>
      </extLst>
    </bk>
    <bk>
      <extLst>
        <ext uri="{3e2802c4-a4d2-4d8b-9148-e3be6c30e623}">
          <xlrd:rvb i="2093"/>
        </ext>
      </extLst>
    </bk>
    <bk>
      <extLst>
        <ext uri="{3e2802c4-a4d2-4d8b-9148-e3be6c30e623}">
          <xlrd:rvb i="2094"/>
        </ext>
      </extLst>
    </bk>
    <bk>
      <extLst>
        <ext uri="{3e2802c4-a4d2-4d8b-9148-e3be6c30e623}">
          <xlrd:rvb i="2095"/>
        </ext>
      </extLst>
    </bk>
    <bk>
      <extLst>
        <ext uri="{3e2802c4-a4d2-4d8b-9148-e3be6c30e623}">
          <xlrd:rvb i="2096"/>
        </ext>
      </extLst>
    </bk>
    <bk>
      <extLst>
        <ext uri="{3e2802c4-a4d2-4d8b-9148-e3be6c30e623}">
          <xlrd:rvb i="2097"/>
        </ext>
      </extLst>
    </bk>
    <bk>
      <extLst>
        <ext uri="{3e2802c4-a4d2-4d8b-9148-e3be6c30e623}">
          <xlrd:rvb i="2098"/>
        </ext>
      </extLst>
    </bk>
    <bk>
      <extLst>
        <ext uri="{3e2802c4-a4d2-4d8b-9148-e3be6c30e623}">
          <xlrd:rvb i="2099"/>
        </ext>
      </extLst>
    </bk>
    <bk>
      <extLst>
        <ext uri="{3e2802c4-a4d2-4d8b-9148-e3be6c30e623}">
          <xlrd:rvb i="2100"/>
        </ext>
      </extLst>
    </bk>
    <bk>
      <extLst>
        <ext uri="{3e2802c4-a4d2-4d8b-9148-e3be6c30e623}">
          <xlrd:rvb i="2101"/>
        </ext>
      </extLst>
    </bk>
    <bk>
      <extLst>
        <ext uri="{3e2802c4-a4d2-4d8b-9148-e3be6c30e623}">
          <xlrd:rvb i="2104"/>
        </ext>
      </extLst>
    </bk>
    <bk>
      <extLst>
        <ext uri="{3e2802c4-a4d2-4d8b-9148-e3be6c30e623}">
          <xlrd:rvb i="2105"/>
        </ext>
      </extLst>
    </bk>
    <bk>
      <extLst>
        <ext uri="{3e2802c4-a4d2-4d8b-9148-e3be6c30e623}">
          <xlrd:rvb i="2106"/>
        </ext>
      </extLst>
    </bk>
    <bk>
      <extLst>
        <ext uri="{3e2802c4-a4d2-4d8b-9148-e3be6c30e623}">
          <xlrd:rvb i="2107"/>
        </ext>
      </extLst>
    </bk>
    <bk>
      <extLst>
        <ext uri="{3e2802c4-a4d2-4d8b-9148-e3be6c30e623}">
          <xlrd:rvb i="2108"/>
        </ext>
      </extLst>
    </bk>
    <bk>
      <extLst>
        <ext uri="{3e2802c4-a4d2-4d8b-9148-e3be6c30e623}">
          <xlrd:rvb i="2109"/>
        </ext>
      </extLst>
    </bk>
    <bk>
      <extLst>
        <ext uri="{3e2802c4-a4d2-4d8b-9148-e3be6c30e623}">
          <xlrd:rvb i="2110"/>
        </ext>
      </extLst>
    </bk>
    <bk>
      <extLst>
        <ext uri="{3e2802c4-a4d2-4d8b-9148-e3be6c30e623}">
          <xlrd:rvb i="2111"/>
        </ext>
      </extLst>
    </bk>
    <bk>
      <extLst>
        <ext uri="{3e2802c4-a4d2-4d8b-9148-e3be6c30e623}">
          <xlrd:rvb i="2112"/>
        </ext>
      </extLst>
    </bk>
    <bk>
      <extLst>
        <ext uri="{3e2802c4-a4d2-4d8b-9148-e3be6c30e623}">
          <xlrd:rvb i="2113"/>
        </ext>
      </extLst>
    </bk>
    <bk>
      <extLst>
        <ext uri="{3e2802c4-a4d2-4d8b-9148-e3be6c30e623}">
          <xlrd:rvb i="2114"/>
        </ext>
      </extLst>
    </bk>
    <bk>
      <extLst>
        <ext uri="{3e2802c4-a4d2-4d8b-9148-e3be6c30e623}">
          <xlrd:rvb i="2115"/>
        </ext>
      </extLst>
    </bk>
    <bk>
      <extLst>
        <ext uri="{3e2802c4-a4d2-4d8b-9148-e3be6c30e623}">
          <xlrd:rvb i="2116"/>
        </ext>
      </extLst>
    </bk>
    <bk>
      <extLst>
        <ext uri="{3e2802c4-a4d2-4d8b-9148-e3be6c30e623}">
          <xlrd:rvb i="2117"/>
        </ext>
      </extLst>
    </bk>
    <bk>
      <extLst>
        <ext uri="{3e2802c4-a4d2-4d8b-9148-e3be6c30e623}">
          <xlrd:rvb i="2118"/>
        </ext>
      </extLst>
    </bk>
    <bk>
      <extLst>
        <ext uri="{3e2802c4-a4d2-4d8b-9148-e3be6c30e623}">
          <xlrd:rvb i="2119"/>
        </ext>
      </extLst>
    </bk>
    <bk>
      <extLst>
        <ext uri="{3e2802c4-a4d2-4d8b-9148-e3be6c30e623}">
          <xlrd:rvb i="2120"/>
        </ext>
      </extLst>
    </bk>
    <bk>
      <extLst>
        <ext uri="{3e2802c4-a4d2-4d8b-9148-e3be6c30e623}">
          <xlrd:rvb i="2121"/>
        </ext>
      </extLst>
    </bk>
    <bk>
      <extLst>
        <ext uri="{3e2802c4-a4d2-4d8b-9148-e3be6c30e623}">
          <xlrd:rvb i="2122"/>
        </ext>
      </extLst>
    </bk>
    <bk>
      <extLst>
        <ext uri="{3e2802c4-a4d2-4d8b-9148-e3be6c30e623}">
          <xlrd:rvb i="2123"/>
        </ext>
      </extLst>
    </bk>
    <bk>
      <extLst>
        <ext uri="{3e2802c4-a4d2-4d8b-9148-e3be6c30e623}">
          <xlrd:rvb i="2126"/>
        </ext>
      </extLst>
    </bk>
    <bk>
      <extLst>
        <ext uri="{3e2802c4-a4d2-4d8b-9148-e3be6c30e623}">
          <xlrd:rvb i="2127"/>
        </ext>
      </extLst>
    </bk>
    <bk>
      <extLst>
        <ext uri="{3e2802c4-a4d2-4d8b-9148-e3be6c30e623}">
          <xlrd:rvb i="2128"/>
        </ext>
      </extLst>
    </bk>
    <bk>
      <extLst>
        <ext uri="{3e2802c4-a4d2-4d8b-9148-e3be6c30e623}">
          <xlrd:rvb i="2129"/>
        </ext>
      </extLst>
    </bk>
    <bk>
      <extLst>
        <ext uri="{3e2802c4-a4d2-4d8b-9148-e3be6c30e623}">
          <xlrd:rvb i="2130"/>
        </ext>
      </extLst>
    </bk>
    <bk>
      <extLst>
        <ext uri="{3e2802c4-a4d2-4d8b-9148-e3be6c30e623}">
          <xlrd:rvb i="2131"/>
        </ext>
      </extLst>
    </bk>
    <bk>
      <extLst>
        <ext uri="{3e2802c4-a4d2-4d8b-9148-e3be6c30e623}">
          <xlrd:rvb i="2132"/>
        </ext>
      </extLst>
    </bk>
    <bk>
      <extLst>
        <ext uri="{3e2802c4-a4d2-4d8b-9148-e3be6c30e623}">
          <xlrd:rvb i="2133"/>
        </ext>
      </extLst>
    </bk>
    <bk>
      <extLst>
        <ext uri="{3e2802c4-a4d2-4d8b-9148-e3be6c30e623}">
          <xlrd:rvb i="2134"/>
        </ext>
      </extLst>
    </bk>
    <bk>
      <extLst>
        <ext uri="{3e2802c4-a4d2-4d8b-9148-e3be6c30e623}">
          <xlrd:rvb i="2135"/>
        </ext>
      </extLst>
    </bk>
    <bk>
      <extLst>
        <ext uri="{3e2802c4-a4d2-4d8b-9148-e3be6c30e623}">
          <xlrd:rvb i="2136"/>
        </ext>
      </extLst>
    </bk>
    <bk>
      <extLst>
        <ext uri="{3e2802c4-a4d2-4d8b-9148-e3be6c30e623}">
          <xlrd:rvb i="2137"/>
        </ext>
      </extLst>
    </bk>
    <bk>
      <extLst>
        <ext uri="{3e2802c4-a4d2-4d8b-9148-e3be6c30e623}">
          <xlrd:rvb i="2138"/>
        </ext>
      </extLst>
    </bk>
    <bk>
      <extLst>
        <ext uri="{3e2802c4-a4d2-4d8b-9148-e3be6c30e623}">
          <xlrd:rvb i="2139"/>
        </ext>
      </extLst>
    </bk>
    <bk>
      <extLst>
        <ext uri="{3e2802c4-a4d2-4d8b-9148-e3be6c30e623}">
          <xlrd:rvb i="2140"/>
        </ext>
      </extLst>
    </bk>
    <bk>
      <extLst>
        <ext uri="{3e2802c4-a4d2-4d8b-9148-e3be6c30e623}">
          <xlrd:rvb i="2141"/>
        </ext>
      </extLst>
    </bk>
    <bk>
      <extLst>
        <ext uri="{3e2802c4-a4d2-4d8b-9148-e3be6c30e623}">
          <xlrd:rvb i="2142"/>
        </ext>
      </extLst>
    </bk>
    <bk>
      <extLst>
        <ext uri="{3e2802c4-a4d2-4d8b-9148-e3be6c30e623}">
          <xlrd:rvb i="2143"/>
        </ext>
      </extLst>
    </bk>
    <bk>
      <extLst>
        <ext uri="{3e2802c4-a4d2-4d8b-9148-e3be6c30e623}">
          <xlrd:rvb i="2144"/>
        </ext>
      </extLst>
    </bk>
    <bk>
      <extLst>
        <ext uri="{3e2802c4-a4d2-4d8b-9148-e3be6c30e623}">
          <xlrd:rvb i="2145"/>
        </ext>
      </extLst>
    </bk>
    <bk>
      <extLst>
        <ext uri="{3e2802c4-a4d2-4d8b-9148-e3be6c30e623}">
          <xlrd:rvb i="2146"/>
        </ext>
      </extLst>
    </bk>
    <bk>
      <extLst>
        <ext uri="{3e2802c4-a4d2-4d8b-9148-e3be6c30e623}">
          <xlrd:rvb i="2149"/>
        </ext>
      </extLst>
    </bk>
    <bk>
      <extLst>
        <ext uri="{3e2802c4-a4d2-4d8b-9148-e3be6c30e623}">
          <xlrd:rvb i="2150"/>
        </ext>
      </extLst>
    </bk>
    <bk>
      <extLst>
        <ext uri="{3e2802c4-a4d2-4d8b-9148-e3be6c30e623}">
          <xlrd:rvb i="2151"/>
        </ext>
      </extLst>
    </bk>
    <bk>
      <extLst>
        <ext uri="{3e2802c4-a4d2-4d8b-9148-e3be6c30e623}">
          <xlrd:rvb i="2152"/>
        </ext>
      </extLst>
    </bk>
    <bk>
      <extLst>
        <ext uri="{3e2802c4-a4d2-4d8b-9148-e3be6c30e623}">
          <xlrd:rvb i="2153"/>
        </ext>
      </extLst>
    </bk>
    <bk>
      <extLst>
        <ext uri="{3e2802c4-a4d2-4d8b-9148-e3be6c30e623}">
          <xlrd:rvb i="2154"/>
        </ext>
      </extLst>
    </bk>
    <bk>
      <extLst>
        <ext uri="{3e2802c4-a4d2-4d8b-9148-e3be6c30e623}">
          <xlrd:rvb i="2155"/>
        </ext>
      </extLst>
    </bk>
    <bk>
      <extLst>
        <ext uri="{3e2802c4-a4d2-4d8b-9148-e3be6c30e623}">
          <xlrd:rvb i="2156"/>
        </ext>
      </extLst>
    </bk>
    <bk>
      <extLst>
        <ext uri="{3e2802c4-a4d2-4d8b-9148-e3be6c30e623}">
          <xlrd:rvb i="2157"/>
        </ext>
      </extLst>
    </bk>
    <bk>
      <extLst>
        <ext uri="{3e2802c4-a4d2-4d8b-9148-e3be6c30e623}">
          <xlrd:rvb i="2158"/>
        </ext>
      </extLst>
    </bk>
    <bk>
      <extLst>
        <ext uri="{3e2802c4-a4d2-4d8b-9148-e3be6c30e623}">
          <xlrd:rvb i="2159"/>
        </ext>
      </extLst>
    </bk>
    <bk>
      <extLst>
        <ext uri="{3e2802c4-a4d2-4d8b-9148-e3be6c30e623}">
          <xlrd:rvb i="2160"/>
        </ext>
      </extLst>
    </bk>
    <bk>
      <extLst>
        <ext uri="{3e2802c4-a4d2-4d8b-9148-e3be6c30e623}">
          <xlrd:rvb i="2161"/>
        </ext>
      </extLst>
    </bk>
    <bk>
      <extLst>
        <ext uri="{3e2802c4-a4d2-4d8b-9148-e3be6c30e623}">
          <xlrd:rvb i="2162"/>
        </ext>
      </extLst>
    </bk>
    <bk>
      <extLst>
        <ext uri="{3e2802c4-a4d2-4d8b-9148-e3be6c30e623}">
          <xlrd:rvb i="2163"/>
        </ext>
      </extLst>
    </bk>
    <bk>
      <extLst>
        <ext uri="{3e2802c4-a4d2-4d8b-9148-e3be6c30e623}">
          <xlrd:rvb i="2164"/>
        </ext>
      </extLst>
    </bk>
    <bk>
      <extLst>
        <ext uri="{3e2802c4-a4d2-4d8b-9148-e3be6c30e623}">
          <xlrd:rvb i="2165"/>
        </ext>
      </extLst>
    </bk>
    <bk>
      <extLst>
        <ext uri="{3e2802c4-a4d2-4d8b-9148-e3be6c30e623}">
          <xlrd:rvb i="2166"/>
        </ext>
      </extLst>
    </bk>
    <bk>
      <extLst>
        <ext uri="{3e2802c4-a4d2-4d8b-9148-e3be6c30e623}">
          <xlrd:rvb i="2167"/>
        </ext>
      </extLst>
    </bk>
    <bk>
      <extLst>
        <ext uri="{3e2802c4-a4d2-4d8b-9148-e3be6c30e623}">
          <xlrd:rvb i="2170"/>
        </ext>
      </extLst>
    </bk>
    <bk>
      <extLst>
        <ext uri="{3e2802c4-a4d2-4d8b-9148-e3be6c30e623}">
          <xlrd:rvb i="2171"/>
        </ext>
      </extLst>
    </bk>
    <bk>
      <extLst>
        <ext uri="{3e2802c4-a4d2-4d8b-9148-e3be6c30e623}">
          <xlrd:rvb i="2172"/>
        </ext>
      </extLst>
    </bk>
    <bk>
      <extLst>
        <ext uri="{3e2802c4-a4d2-4d8b-9148-e3be6c30e623}">
          <xlrd:rvb i="2173"/>
        </ext>
      </extLst>
    </bk>
    <bk>
      <extLst>
        <ext uri="{3e2802c4-a4d2-4d8b-9148-e3be6c30e623}">
          <xlrd:rvb i="2174"/>
        </ext>
      </extLst>
    </bk>
    <bk>
      <extLst>
        <ext uri="{3e2802c4-a4d2-4d8b-9148-e3be6c30e623}">
          <xlrd:rvb i="2175"/>
        </ext>
      </extLst>
    </bk>
    <bk>
      <extLst>
        <ext uri="{3e2802c4-a4d2-4d8b-9148-e3be6c30e623}">
          <xlrd:rvb i="2176"/>
        </ext>
      </extLst>
    </bk>
    <bk>
      <extLst>
        <ext uri="{3e2802c4-a4d2-4d8b-9148-e3be6c30e623}">
          <xlrd:rvb i="2177"/>
        </ext>
      </extLst>
    </bk>
    <bk>
      <extLst>
        <ext uri="{3e2802c4-a4d2-4d8b-9148-e3be6c30e623}">
          <xlrd:rvb i="2178"/>
        </ext>
      </extLst>
    </bk>
    <bk>
      <extLst>
        <ext uri="{3e2802c4-a4d2-4d8b-9148-e3be6c30e623}">
          <xlrd:rvb i="2179"/>
        </ext>
      </extLst>
    </bk>
    <bk>
      <extLst>
        <ext uri="{3e2802c4-a4d2-4d8b-9148-e3be6c30e623}">
          <xlrd:rvb i="2180"/>
        </ext>
      </extLst>
    </bk>
    <bk>
      <extLst>
        <ext uri="{3e2802c4-a4d2-4d8b-9148-e3be6c30e623}">
          <xlrd:rvb i="2181"/>
        </ext>
      </extLst>
    </bk>
    <bk>
      <extLst>
        <ext uri="{3e2802c4-a4d2-4d8b-9148-e3be6c30e623}">
          <xlrd:rvb i="2182"/>
        </ext>
      </extLst>
    </bk>
    <bk>
      <extLst>
        <ext uri="{3e2802c4-a4d2-4d8b-9148-e3be6c30e623}">
          <xlrd:rvb i="2183"/>
        </ext>
      </extLst>
    </bk>
    <bk>
      <extLst>
        <ext uri="{3e2802c4-a4d2-4d8b-9148-e3be6c30e623}">
          <xlrd:rvb i="2184"/>
        </ext>
      </extLst>
    </bk>
    <bk>
      <extLst>
        <ext uri="{3e2802c4-a4d2-4d8b-9148-e3be6c30e623}">
          <xlrd:rvb i="2185"/>
        </ext>
      </extLst>
    </bk>
    <bk>
      <extLst>
        <ext uri="{3e2802c4-a4d2-4d8b-9148-e3be6c30e623}">
          <xlrd:rvb i="2186"/>
        </ext>
      </extLst>
    </bk>
    <bk>
      <extLst>
        <ext uri="{3e2802c4-a4d2-4d8b-9148-e3be6c30e623}">
          <xlrd:rvb i="2187"/>
        </ext>
      </extLst>
    </bk>
    <bk>
      <extLst>
        <ext uri="{3e2802c4-a4d2-4d8b-9148-e3be6c30e623}">
          <xlrd:rvb i="2188"/>
        </ext>
      </extLst>
    </bk>
    <bk>
      <extLst>
        <ext uri="{3e2802c4-a4d2-4d8b-9148-e3be6c30e623}">
          <xlrd:rvb i="2189"/>
        </ext>
      </extLst>
    </bk>
    <bk>
      <extLst>
        <ext uri="{3e2802c4-a4d2-4d8b-9148-e3be6c30e623}">
          <xlrd:rvb i="2190"/>
        </ext>
      </extLst>
    </bk>
    <bk>
      <extLst>
        <ext uri="{3e2802c4-a4d2-4d8b-9148-e3be6c30e623}">
          <xlrd:rvb i="2191"/>
        </ext>
      </extLst>
    </bk>
    <bk>
      <extLst>
        <ext uri="{3e2802c4-a4d2-4d8b-9148-e3be6c30e623}">
          <xlrd:rvb i="2194"/>
        </ext>
      </extLst>
    </bk>
    <bk>
      <extLst>
        <ext uri="{3e2802c4-a4d2-4d8b-9148-e3be6c30e623}">
          <xlrd:rvb i="2195"/>
        </ext>
      </extLst>
    </bk>
    <bk>
      <extLst>
        <ext uri="{3e2802c4-a4d2-4d8b-9148-e3be6c30e623}">
          <xlrd:rvb i="2196"/>
        </ext>
      </extLst>
    </bk>
    <bk>
      <extLst>
        <ext uri="{3e2802c4-a4d2-4d8b-9148-e3be6c30e623}">
          <xlrd:rvb i="2197"/>
        </ext>
      </extLst>
    </bk>
    <bk>
      <extLst>
        <ext uri="{3e2802c4-a4d2-4d8b-9148-e3be6c30e623}">
          <xlrd:rvb i="2198"/>
        </ext>
      </extLst>
    </bk>
    <bk>
      <extLst>
        <ext uri="{3e2802c4-a4d2-4d8b-9148-e3be6c30e623}">
          <xlrd:rvb i="2199"/>
        </ext>
      </extLst>
    </bk>
    <bk>
      <extLst>
        <ext uri="{3e2802c4-a4d2-4d8b-9148-e3be6c30e623}">
          <xlrd:rvb i="2200"/>
        </ext>
      </extLst>
    </bk>
    <bk>
      <extLst>
        <ext uri="{3e2802c4-a4d2-4d8b-9148-e3be6c30e623}">
          <xlrd:rvb i="2201"/>
        </ext>
      </extLst>
    </bk>
    <bk>
      <extLst>
        <ext uri="{3e2802c4-a4d2-4d8b-9148-e3be6c30e623}">
          <xlrd:rvb i="2202"/>
        </ext>
      </extLst>
    </bk>
    <bk>
      <extLst>
        <ext uri="{3e2802c4-a4d2-4d8b-9148-e3be6c30e623}">
          <xlrd:rvb i="2203"/>
        </ext>
      </extLst>
    </bk>
    <bk>
      <extLst>
        <ext uri="{3e2802c4-a4d2-4d8b-9148-e3be6c30e623}">
          <xlrd:rvb i="2204"/>
        </ext>
      </extLst>
    </bk>
    <bk>
      <extLst>
        <ext uri="{3e2802c4-a4d2-4d8b-9148-e3be6c30e623}">
          <xlrd:rvb i="2205"/>
        </ext>
      </extLst>
    </bk>
    <bk>
      <extLst>
        <ext uri="{3e2802c4-a4d2-4d8b-9148-e3be6c30e623}">
          <xlrd:rvb i="2206"/>
        </ext>
      </extLst>
    </bk>
    <bk>
      <extLst>
        <ext uri="{3e2802c4-a4d2-4d8b-9148-e3be6c30e623}">
          <xlrd:rvb i="2207"/>
        </ext>
      </extLst>
    </bk>
    <bk>
      <extLst>
        <ext uri="{3e2802c4-a4d2-4d8b-9148-e3be6c30e623}">
          <xlrd:rvb i="2208"/>
        </ext>
      </extLst>
    </bk>
    <bk>
      <extLst>
        <ext uri="{3e2802c4-a4d2-4d8b-9148-e3be6c30e623}">
          <xlrd:rvb i="2211"/>
        </ext>
      </extLst>
    </bk>
    <bk>
      <extLst>
        <ext uri="{3e2802c4-a4d2-4d8b-9148-e3be6c30e623}">
          <xlrd:rvb i="2212"/>
        </ext>
      </extLst>
    </bk>
    <bk>
      <extLst>
        <ext uri="{3e2802c4-a4d2-4d8b-9148-e3be6c30e623}">
          <xlrd:rvb i="2213"/>
        </ext>
      </extLst>
    </bk>
    <bk>
      <extLst>
        <ext uri="{3e2802c4-a4d2-4d8b-9148-e3be6c30e623}">
          <xlrd:rvb i="2214"/>
        </ext>
      </extLst>
    </bk>
    <bk>
      <extLst>
        <ext uri="{3e2802c4-a4d2-4d8b-9148-e3be6c30e623}">
          <xlrd:rvb i="2215"/>
        </ext>
      </extLst>
    </bk>
    <bk>
      <extLst>
        <ext uri="{3e2802c4-a4d2-4d8b-9148-e3be6c30e623}">
          <xlrd:rvb i="2216"/>
        </ext>
      </extLst>
    </bk>
    <bk>
      <extLst>
        <ext uri="{3e2802c4-a4d2-4d8b-9148-e3be6c30e623}">
          <xlrd:rvb i="2217"/>
        </ext>
      </extLst>
    </bk>
    <bk>
      <extLst>
        <ext uri="{3e2802c4-a4d2-4d8b-9148-e3be6c30e623}">
          <xlrd:rvb i="2218"/>
        </ext>
      </extLst>
    </bk>
    <bk>
      <extLst>
        <ext uri="{3e2802c4-a4d2-4d8b-9148-e3be6c30e623}">
          <xlrd:rvb i="2219"/>
        </ext>
      </extLst>
    </bk>
    <bk>
      <extLst>
        <ext uri="{3e2802c4-a4d2-4d8b-9148-e3be6c30e623}">
          <xlrd:rvb i="2220"/>
        </ext>
      </extLst>
    </bk>
    <bk>
      <extLst>
        <ext uri="{3e2802c4-a4d2-4d8b-9148-e3be6c30e623}">
          <xlrd:rvb i="2221"/>
        </ext>
      </extLst>
    </bk>
    <bk>
      <extLst>
        <ext uri="{3e2802c4-a4d2-4d8b-9148-e3be6c30e623}">
          <xlrd:rvb i="2222"/>
        </ext>
      </extLst>
    </bk>
    <bk>
      <extLst>
        <ext uri="{3e2802c4-a4d2-4d8b-9148-e3be6c30e623}">
          <xlrd:rvb i="2223"/>
        </ext>
      </extLst>
    </bk>
    <bk>
      <extLst>
        <ext uri="{3e2802c4-a4d2-4d8b-9148-e3be6c30e623}">
          <xlrd:rvb i="2224"/>
        </ext>
      </extLst>
    </bk>
    <bk>
      <extLst>
        <ext uri="{3e2802c4-a4d2-4d8b-9148-e3be6c30e623}">
          <xlrd:rvb i="2225"/>
        </ext>
      </extLst>
    </bk>
    <bk>
      <extLst>
        <ext uri="{3e2802c4-a4d2-4d8b-9148-e3be6c30e623}">
          <xlrd:rvb i="2226"/>
        </ext>
      </extLst>
    </bk>
    <bk>
      <extLst>
        <ext uri="{3e2802c4-a4d2-4d8b-9148-e3be6c30e623}">
          <xlrd:rvb i="2227"/>
        </ext>
      </extLst>
    </bk>
    <bk>
      <extLst>
        <ext uri="{3e2802c4-a4d2-4d8b-9148-e3be6c30e623}">
          <xlrd:rvb i="2228"/>
        </ext>
      </extLst>
    </bk>
    <bk>
      <extLst>
        <ext uri="{3e2802c4-a4d2-4d8b-9148-e3be6c30e623}">
          <xlrd:rvb i="2229"/>
        </ext>
      </extLst>
    </bk>
    <bk>
      <extLst>
        <ext uri="{3e2802c4-a4d2-4d8b-9148-e3be6c30e623}">
          <xlrd:rvb i="2230"/>
        </ext>
      </extLst>
    </bk>
    <bk>
      <extLst>
        <ext uri="{3e2802c4-a4d2-4d8b-9148-e3be6c30e623}">
          <xlrd:rvb i="2231"/>
        </ext>
      </extLst>
    </bk>
    <bk>
      <extLst>
        <ext uri="{3e2802c4-a4d2-4d8b-9148-e3be6c30e623}">
          <xlrd:rvb i="2232"/>
        </ext>
      </extLst>
    </bk>
    <bk>
      <extLst>
        <ext uri="{3e2802c4-a4d2-4d8b-9148-e3be6c30e623}">
          <xlrd:rvb i="2235"/>
        </ext>
      </extLst>
    </bk>
    <bk>
      <extLst>
        <ext uri="{3e2802c4-a4d2-4d8b-9148-e3be6c30e623}">
          <xlrd:rvb i="2236"/>
        </ext>
      </extLst>
    </bk>
    <bk>
      <extLst>
        <ext uri="{3e2802c4-a4d2-4d8b-9148-e3be6c30e623}">
          <xlrd:rvb i="2237"/>
        </ext>
      </extLst>
    </bk>
    <bk>
      <extLst>
        <ext uri="{3e2802c4-a4d2-4d8b-9148-e3be6c30e623}">
          <xlrd:rvb i="2238"/>
        </ext>
      </extLst>
    </bk>
    <bk>
      <extLst>
        <ext uri="{3e2802c4-a4d2-4d8b-9148-e3be6c30e623}">
          <xlrd:rvb i="2239"/>
        </ext>
      </extLst>
    </bk>
    <bk>
      <extLst>
        <ext uri="{3e2802c4-a4d2-4d8b-9148-e3be6c30e623}">
          <xlrd:rvb i="2240"/>
        </ext>
      </extLst>
    </bk>
    <bk>
      <extLst>
        <ext uri="{3e2802c4-a4d2-4d8b-9148-e3be6c30e623}">
          <xlrd:rvb i="2241"/>
        </ext>
      </extLst>
    </bk>
    <bk>
      <extLst>
        <ext uri="{3e2802c4-a4d2-4d8b-9148-e3be6c30e623}">
          <xlrd:rvb i="2242"/>
        </ext>
      </extLst>
    </bk>
    <bk>
      <extLst>
        <ext uri="{3e2802c4-a4d2-4d8b-9148-e3be6c30e623}">
          <xlrd:rvb i="2243"/>
        </ext>
      </extLst>
    </bk>
    <bk>
      <extLst>
        <ext uri="{3e2802c4-a4d2-4d8b-9148-e3be6c30e623}">
          <xlrd:rvb i="2244"/>
        </ext>
      </extLst>
    </bk>
    <bk>
      <extLst>
        <ext uri="{3e2802c4-a4d2-4d8b-9148-e3be6c30e623}">
          <xlrd:rvb i="2245"/>
        </ext>
      </extLst>
    </bk>
    <bk>
      <extLst>
        <ext uri="{3e2802c4-a4d2-4d8b-9148-e3be6c30e623}">
          <xlrd:rvb i="2246"/>
        </ext>
      </extLst>
    </bk>
    <bk>
      <extLst>
        <ext uri="{3e2802c4-a4d2-4d8b-9148-e3be6c30e623}">
          <xlrd:rvb i="2247"/>
        </ext>
      </extLst>
    </bk>
    <bk>
      <extLst>
        <ext uri="{3e2802c4-a4d2-4d8b-9148-e3be6c30e623}">
          <xlrd:rvb i="2248"/>
        </ext>
      </extLst>
    </bk>
    <bk>
      <extLst>
        <ext uri="{3e2802c4-a4d2-4d8b-9148-e3be6c30e623}">
          <xlrd:rvb i="2249"/>
        </ext>
      </extLst>
    </bk>
    <bk>
      <extLst>
        <ext uri="{3e2802c4-a4d2-4d8b-9148-e3be6c30e623}">
          <xlrd:rvb i="2250"/>
        </ext>
      </extLst>
    </bk>
    <bk>
      <extLst>
        <ext uri="{3e2802c4-a4d2-4d8b-9148-e3be6c30e623}">
          <xlrd:rvb i="2251"/>
        </ext>
      </extLst>
    </bk>
    <bk>
      <extLst>
        <ext uri="{3e2802c4-a4d2-4d8b-9148-e3be6c30e623}">
          <xlrd:rvb i="2252"/>
        </ext>
      </extLst>
    </bk>
    <bk>
      <extLst>
        <ext uri="{3e2802c4-a4d2-4d8b-9148-e3be6c30e623}">
          <xlrd:rvb i="2253"/>
        </ext>
      </extLst>
    </bk>
    <bk>
      <extLst>
        <ext uri="{3e2802c4-a4d2-4d8b-9148-e3be6c30e623}">
          <xlrd:rvb i="2256"/>
        </ext>
      </extLst>
    </bk>
    <bk>
      <extLst>
        <ext uri="{3e2802c4-a4d2-4d8b-9148-e3be6c30e623}">
          <xlrd:rvb i="2257"/>
        </ext>
      </extLst>
    </bk>
    <bk>
      <extLst>
        <ext uri="{3e2802c4-a4d2-4d8b-9148-e3be6c30e623}">
          <xlrd:rvb i="2258"/>
        </ext>
      </extLst>
    </bk>
    <bk>
      <extLst>
        <ext uri="{3e2802c4-a4d2-4d8b-9148-e3be6c30e623}">
          <xlrd:rvb i="2259"/>
        </ext>
      </extLst>
    </bk>
    <bk>
      <extLst>
        <ext uri="{3e2802c4-a4d2-4d8b-9148-e3be6c30e623}">
          <xlrd:rvb i="2260"/>
        </ext>
      </extLst>
    </bk>
    <bk>
      <extLst>
        <ext uri="{3e2802c4-a4d2-4d8b-9148-e3be6c30e623}">
          <xlrd:rvb i="2261"/>
        </ext>
      </extLst>
    </bk>
    <bk>
      <extLst>
        <ext uri="{3e2802c4-a4d2-4d8b-9148-e3be6c30e623}">
          <xlrd:rvb i="2262"/>
        </ext>
      </extLst>
    </bk>
    <bk>
      <extLst>
        <ext uri="{3e2802c4-a4d2-4d8b-9148-e3be6c30e623}">
          <xlrd:rvb i="2263"/>
        </ext>
      </extLst>
    </bk>
    <bk>
      <extLst>
        <ext uri="{3e2802c4-a4d2-4d8b-9148-e3be6c30e623}">
          <xlrd:rvb i="2264"/>
        </ext>
      </extLst>
    </bk>
    <bk>
      <extLst>
        <ext uri="{3e2802c4-a4d2-4d8b-9148-e3be6c30e623}">
          <xlrd:rvb i="2265"/>
        </ext>
      </extLst>
    </bk>
    <bk>
      <extLst>
        <ext uri="{3e2802c4-a4d2-4d8b-9148-e3be6c30e623}">
          <xlrd:rvb i="2266"/>
        </ext>
      </extLst>
    </bk>
    <bk>
      <extLst>
        <ext uri="{3e2802c4-a4d2-4d8b-9148-e3be6c30e623}">
          <xlrd:rvb i="2267"/>
        </ext>
      </extLst>
    </bk>
    <bk>
      <extLst>
        <ext uri="{3e2802c4-a4d2-4d8b-9148-e3be6c30e623}">
          <xlrd:rvb i="2268"/>
        </ext>
      </extLst>
    </bk>
    <bk>
      <extLst>
        <ext uri="{3e2802c4-a4d2-4d8b-9148-e3be6c30e623}">
          <xlrd:rvb i="2269"/>
        </ext>
      </extLst>
    </bk>
    <bk>
      <extLst>
        <ext uri="{3e2802c4-a4d2-4d8b-9148-e3be6c30e623}">
          <xlrd:rvb i="2270"/>
        </ext>
      </extLst>
    </bk>
    <bk>
      <extLst>
        <ext uri="{3e2802c4-a4d2-4d8b-9148-e3be6c30e623}">
          <xlrd:rvb i="2271"/>
        </ext>
      </extLst>
    </bk>
    <bk>
      <extLst>
        <ext uri="{3e2802c4-a4d2-4d8b-9148-e3be6c30e623}">
          <xlrd:rvb i="2272"/>
        </ext>
      </extLst>
    </bk>
    <bk>
      <extLst>
        <ext uri="{3e2802c4-a4d2-4d8b-9148-e3be6c30e623}">
          <xlrd:rvb i="2273"/>
        </ext>
      </extLst>
    </bk>
    <bk>
      <extLst>
        <ext uri="{3e2802c4-a4d2-4d8b-9148-e3be6c30e623}">
          <xlrd:rvb i="2274"/>
        </ext>
      </extLst>
    </bk>
    <bk>
      <extLst>
        <ext uri="{3e2802c4-a4d2-4d8b-9148-e3be6c30e623}">
          <xlrd:rvb i="2275"/>
        </ext>
      </extLst>
    </bk>
    <bk>
      <extLst>
        <ext uri="{3e2802c4-a4d2-4d8b-9148-e3be6c30e623}">
          <xlrd:rvb i="2276"/>
        </ext>
      </extLst>
    </bk>
    <bk>
      <extLst>
        <ext uri="{3e2802c4-a4d2-4d8b-9148-e3be6c30e623}">
          <xlrd:rvb i="2277"/>
        </ext>
      </extLst>
    </bk>
    <bk>
      <extLst>
        <ext uri="{3e2802c4-a4d2-4d8b-9148-e3be6c30e623}">
          <xlrd:rvb i="2280"/>
        </ext>
      </extLst>
    </bk>
    <bk>
      <extLst>
        <ext uri="{3e2802c4-a4d2-4d8b-9148-e3be6c30e623}">
          <xlrd:rvb i="2281"/>
        </ext>
      </extLst>
    </bk>
    <bk>
      <extLst>
        <ext uri="{3e2802c4-a4d2-4d8b-9148-e3be6c30e623}">
          <xlrd:rvb i="2282"/>
        </ext>
      </extLst>
    </bk>
    <bk>
      <extLst>
        <ext uri="{3e2802c4-a4d2-4d8b-9148-e3be6c30e623}">
          <xlrd:rvb i="2283"/>
        </ext>
      </extLst>
    </bk>
    <bk>
      <extLst>
        <ext uri="{3e2802c4-a4d2-4d8b-9148-e3be6c30e623}">
          <xlrd:rvb i="2284"/>
        </ext>
      </extLst>
    </bk>
    <bk>
      <extLst>
        <ext uri="{3e2802c4-a4d2-4d8b-9148-e3be6c30e623}">
          <xlrd:rvb i="2285"/>
        </ext>
      </extLst>
    </bk>
    <bk>
      <extLst>
        <ext uri="{3e2802c4-a4d2-4d8b-9148-e3be6c30e623}">
          <xlrd:rvb i="2286"/>
        </ext>
      </extLst>
    </bk>
    <bk>
      <extLst>
        <ext uri="{3e2802c4-a4d2-4d8b-9148-e3be6c30e623}">
          <xlrd:rvb i="2287"/>
        </ext>
      </extLst>
    </bk>
    <bk>
      <extLst>
        <ext uri="{3e2802c4-a4d2-4d8b-9148-e3be6c30e623}">
          <xlrd:rvb i="2288"/>
        </ext>
      </extLst>
    </bk>
    <bk>
      <extLst>
        <ext uri="{3e2802c4-a4d2-4d8b-9148-e3be6c30e623}">
          <xlrd:rvb i="2289"/>
        </ext>
      </extLst>
    </bk>
    <bk>
      <extLst>
        <ext uri="{3e2802c4-a4d2-4d8b-9148-e3be6c30e623}">
          <xlrd:rvb i="2290"/>
        </ext>
      </extLst>
    </bk>
    <bk>
      <extLst>
        <ext uri="{3e2802c4-a4d2-4d8b-9148-e3be6c30e623}">
          <xlrd:rvb i="2291"/>
        </ext>
      </extLst>
    </bk>
    <bk>
      <extLst>
        <ext uri="{3e2802c4-a4d2-4d8b-9148-e3be6c30e623}">
          <xlrd:rvb i="2292"/>
        </ext>
      </extLst>
    </bk>
    <bk>
      <extLst>
        <ext uri="{3e2802c4-a4d2-4d8b-9148-e3be6c30e623}">
          <xlrd:rvb i="2293"/>
        </ext>
      </extLst>
    </bk>
    <bk>
      <extLst>
        <ext uri="{3e2802c4-a4d2-4d8b-9148-e3be6c30e623}">
          <xlrd:rvb i="2294"/>
        </ext>
      </extLst>
    </bk>
    <bk>
      <extLst>
        <ext uri="{3e2802c4-a4d2-4d8b-9148-e3be6c30e623}">
          <xlrd:rvb i="2295"/>
        </ext>
      </extLst>
    </bk>
    <bk>
      <extLst>
        <ext uri="{3e2802c4-a4d2-4d8b-9148-e3be6c30e623}">
          <xlrd:rvb i="2296"/>
        </ext>
      </extLst>
    </bk>
    <bk>
      <extLst>
        <ext uri="{3e2802c4-a4d2-4d8b-9148-e3be6c30e623}">
          <xlrd:rvb i="2297"/>
        </ext>
      </extLst>
    </bk>
    <bk>
      <extLst>
        <ext uri="{3e2802c4-a4d2-4d8b-9148-e3be6c30e623}">
          <xlrd:rvb i="2298"/>
        </ext>
      </extLst>
    </bk>
    <bk>
      <extLst>
        <ext uri="{3e2802c4-a4d2-4d8b-9148-e3be6c30e623}">
          <xlrd:rvb i="2299"/>
        </ext>
      </extLst>
    </bk>
    <bk>
      <extLst>
        <ext uri="{3e2802c4-a4d2-4d8b-9148-e3be6c30e623}">
          <xlrd:rvb i="2300"/>
        </ext>
      </extLst>
    </bk>
    <bk>
      <extLst>
        <ext uri="{3e2802c4-a4d2-4d8b-9148-e3be6c30e623}">
          <xlrd:rvb i="2301"/>
        </ext>
      </extLst>
    </bk>
    <bk>
      <extLst>
        <ext uri="{3e2802c4-a4d2-4d8b-9148-e3be6c30e623}">
          <xlrd:rvb i="2304"/>
        </ext>
      </extLst>
    </bk>
    <bk>
      <extLst>
        <ext uri="{3e2802c4-a4d2-4d8b-9148-e3be6c30e623}">
          <xlrd:rvb i="2305"/>
        </ext>
      </extLst>
    </bk>
    <bk>
      <extLst>
        <ext uri="{3e2802c4-a4d2-4d8b-9148-e3be6c30e623}">
          <xlrd:rvb i="2306"/>
        </ext>
      </extLst>
    </bk>
    <bk>
      <extLst>
        <ext uri="{3e2802c4-a4d2-4d8b-9148-e3be6c30e623}">
          <xlrd:rvb i="2307"/>
        </ext>
      </extLst>
    </bk>
    <bk>
      <extLst>
        <ext uri="{3e2802c4-a4d2-4d8b-9148-e3be6c30e623}">
          <xlrd:rvb i="2308"/>
        </ext>
      </extLst>
    </bk>
    <bk>
      <extLst>
        <ext uri="{3e2802c4-a4d2-4d8b-9148-e3be6c30e623}">
          <xlrd:rvb i="2309"/>
        </ext>
      </extLst>
    </bk>
    <bk>
      <extLst>
        <ext uri="{3e2802c4-a4d2-4d8b-9148-e3be6c30e623}">
          <xlrd:rvb i="2310"/>
        </ext>
      </extLst>
    </bk>
    <bk>
      <extLst>
        <ext uri="{3e2802c4-a4d2-4d8b-9148-e3be6c30e623}">
          <xlrd:rvb i="2311"/>
        </ext>
      </extLst>
    </bk>
    <bk>
      <extLst>
        <ext uri="{3e2802c4-a4d2-4d8b-9148-e3be6c30e623}">
          <xlrd:rvb i="2312"/>
        </ext>
      </extLst>
    </bk>
    <bk>
      <extLst>
        <ext uri="{3e2802c4-a4d2-4d8b-9148-e3be6c30e623}">
          <xlrd:rvb i="2313"/>
        </ext>
      </extLst>
    </bk>
    <bk>
      <extLst>
        <ext uri="{3e2802c4-a4d2-4d8b-9148-e3be6c30e623}">
          <xlrd:rvb i="2314"/>
        </ext>
      </extLst>
    </bk>
    <bk>
      <extLst>
        <ext uri="{3e2802c4-a4d2-4d8b-9148-e3be6c30e623}">
          <xlrd:rvb i="2315"/>
        </ext>
      </extLst>
    </bk>
    <bk>
      <extLst>
        <ext uri="{3e2802c4-a4d2-4d8b-9148-e3be6c30e623}">
          <xlrd:rvb i="2316"/>
        </ext>
      </extLst>
    </bk>
    <bk>
      <extLst>
        <ext uri="{3e2802c4-a4d2-4d8b-9148-e3be6c30e623}">
          <xlrd:rvb i="2317"/>
        </ext>
      </extLst>
    </bk>
    <bk>
      <extLst>
        <ext uri="{3e2802c4-a4d2-4d8b-9148-e3be6c30e623}">
          <xlrd:rvb i="2318"/>
        </ext>
      </extLst>
    </bk>
    <bk>
      <extLst>
        <ext uri="{3e2802c4-a4d2-4d8b-9148-e3be6c30e623}">
          <xlrd:rvb i="2319"/>
        </ext>
      </extLst>
    </bk>
    <bk>
      <extLst>
        <ext uri="{3e2802c4-a4d2-4d8b-9148-e3be6c30e623}">
          <xlrd:rvb i="2320"/>
        </ext>
      </extLst>
    </bk>
    <bk>
      <extLst>
        <ext uri="{3e2802c4-a4d2-4d8b-9148-e3be6c30e623}">
          <xlrd:rvb i="2321"/>
        </ext>
      </extLst>
    </bk>
    <bk>
      <extLst>
        <ext uri="{3e2802c4-a4d2-4d8b-9148-e3be6c30e623}">
          <xlrd:rvb i="2322"/>
        </ext>
      </extLst>
    </bk>
    <bk>
      <extLst>
        <ext uri="{3e2802c4-a4d2-4d8b-9148-e3be6c30e623}">
          <xlrd:rvb i="2323"/>
        </ext>
      </extLst>
    </bk>
    <bk>
      <extLst>
        <ext uri="{3e2802c4-a4d2-4d8b-9148-e3be6c30e623}">
          <xlrd:rvb i="2324"/>
        </ext>
      </extLst>
    </bk>
    <bk>
      <extLst>
        <ext uri="{3e2802c4-a4d2-4d8b-9148-e3be6c30e623}">
          <xlrd:rvb i="2327"/>
        </ext>
      </extLst>
    </bk>
    <bk>
      <extLst>
        <ext uri="{3e2802c4-a4d2-4d8b-9148-e3be6c30e623}">
          <xlrd:rvb i="2328"/>
        </ext>
      </extLst>
    </bk>
    <bk>
      <extLst>
        <ext uri="{3e2802c4-a4d2-4d8b-9148-e3be6c30e623}">
          <xlrd:rvb i="2329"/>
        </ext>
      </extLst>
    </bk>
    <bk>
      <extLst>
        <ext uri="{3e2802c4-a4d2-4d8b-9148-e3be6c30e623}">
          <xlrd:rvb i="2330"/>
        </ext>
      </extLst>
    </bk>
    <bk>
      <extLst>
        <ext uri="{3e2802c4-a4d2-4d8b-9148-e3be6c30e623}">
          <xlrd:rvb i="2331"/>
        </ext>
      </extLst>
    </bk>
    <bk>
      <extLst>
        <ext uri="{3e2802c4-a4d2-4d8b-9148-e3be6c30e623}">
          <xlrd:rvb i="2332"/>
        </ext>
      </extLst>
    </bk>
    <bk>
      <extLst>
        <ext uri="{3e2802c4-a4d2-4d8b-9148-e3be6c30e623}">
          <xlrd:rvb i="2333"/>
        </ext>
      </extLst>
    </bk>
    <bk>
      <extLst>
        <ext uri="{3e2802c4-a4d2-4d8b-9148-e3be6c30e623}">
          <xlrd:rvb i="2334"/>
        </ext>
      </extLst>
    </bk>
    <bk>
      <extLst>
        <ext uri="{3e2802c4-a4d2-4d8b-9148-e3be6c30e623}">
          <xlrd:rvb i="2335"/>
        </ext>
      </extLst>
    </bk>
    <bk>
      <extLst>
        <ext uri="{3e2802c4-a4d2-4d8b-9148-e3be6c30e623}">
          <xlrd:rvb i="2336"/>
        </ext>
      </extLst>
    </bk>
    <bk>
      <extLst>
        <ext uri="{3e2802c4-a4d2-4d8b-9148-e3be6c30e623}">
          <xlrd:rvb i="2337"/>
        </ext>
      </extLst>
    </bk>
    <bk>
      <extLst>
        <ext uri="{3e2802c4-a4d2-4d8b-9148-e3be6c30e623}">
          <xlrd:rvb i="2338"/>
        </ext>
      </extLst>
    </bk>
    <bk>
      <extLst>
        <ext uri="{3e2802c4-a4d2-4d8b-9148-e3be6c30e623}">
          <xlrd:rvb i="2339"/>
        </ext>
      </extLst>
    </bk>
    <bk>
      <extLst>
        <ext uri="{3e2802c4-a4d2-4d8b-9148-e3be6c30e623}">
          <xlrd:rvb i="2340"/>
        </ext>
      </extLst>
    </bk>
    <bk>
      <extLst>
        <ext uri="{3e2802c4-a4d2-4d8b-9148-e3be6c30e623}">
          <xlrd:rvb i="2341"/>
        </ext>
      </extLst>
    </bk>
    <bk>
      <extLst>
        <ext uri="{3e2802c4-a4d2-4d8b-9148-e3be6c30e623}">
          <xlrd:rvb i="2342"/>
        </ext>
      </extLst>
    </bk>
    <bk>
      <extLst>
        <ext uri="{3e2802c4-a4d2-4d8b-9148-e3be6c30e623}">
          <xlrd:rvb i="2343"/>
        </ext>
      </extLst>
    </bk>
    <bk>
      <extLst>
        <ext uri="{3e2802c4-a4d2-4d8b-9148-e3be6c30e623}">
          <xlrd:rvb i="2344"/>
        </ext>
      </extLst>
    </bk>
    <bk>
      <extLst>
        <ext uri="{3e2802c4-a4d2-4d8b-9148-e3be6c30e623}">
          <xlrd:rvb i="2345"/>
        </ext>
      </extLst>
    </bk>
    <bk>
      <extLst>
        <ext uri="{3e2802c4-a4d2-4d8b-9148-e3be6c30e623}">
          <xlrd:rvb i="2346"/>
        </ext>
      </extLst>
    </bk>
    <bk>
      <extLst>
        <ext uri="{3e2802c4-a4d2-4d8b-9148-e3be6c30e623}">
          <xlrd:rvb i="2347"/>
        </ext>
      </extLst>
    </bk>
    <bk>
      <extLst>
        <ext uri="{3e2802c4-a4d2-4d8b-9148-e3be6c30e623}">
          <xlrd:rvb i="2348"/>
        </ext>
      </extLst>
    </bk>
    <bk>
      <extLst>
        <ext uri="{3e2802c4-a4d2-4d8b-9148-e3be6c30e623}">
          <xlrd:rvb i="2351"/>
        </ext>
      </extLst>
    </bk>
    <bk>
      <extLst>
        <ext uri="{3e2802c4-a4d2-4d8b-9148-e3be6c30e623}">
          <xlrd:rvb i="2352"/>
        </ext>
      </extLst>
    </bk>
    <bk>
      <extLst>
        <ext uri="{3e2802c4-a4d2-4d8b-9148-e3be6c30e623}">
          <xlrd:rvb i="2353"/>
        </ext>
      </extLst>
    </bk>
    <bk>
      <extLst>
        <ext uri="{3e2802c4-a4d2-4d8b-9148-e3be6c30e623}">
          <xlrd:rvb i="2354"/>
        </ext>
      </extLst>
    </bk>
    <bk>
      <extLst>
        <ext uri="{3e2802c4-a4d2-4d8b-9148-e3be6c30e623}">
          <xlrd:rvb i="2355"/>
        </ext>
      </extLst>
    </bk>
    <bk>
      <extLst>
        <ext uri="{3e2802c4-a4d2-4d8b-9148-e3be6c30e623}">
          <xlrd:rvb i="2356"/>
        </ext>
      </extLst>
    </bk>
    <bk>
      <extLst>
        <ext uri="{3e2802c4-a4d2-4d8b-9148-e3be6c30e623}">
          <xlrd:rvb i="2357"/>
        </ext>
      </extLst>
    </bk>
    <bk>
      <extLst>
        <ext uri="{3e2802c4-a4d2-4d8b-9148-e3be6c30e623}">
          <xlrd:rvb i="2358"/>
        </ext>
      </extLst>
    </bk>
    <bk>
      <extLst>
        <ext uri="{3e2802c4-a4d2-4d8b-9148-e3be6c30e623}">
          <xlrd:rvb i="2359"/>
        </ext>
      </extLst>
    </bk>
    <bk>
      <extLst>
        <ext uri="{3e2802c4-a4d2-4d8b-9148-e3be6c30e623}">
          <xlrd:rvb i="2360"/>
        </ext>
      </extLst>
    </bk>
    <bk>
      <extLst>
        <ext uri="{3e2802c4-a4d2-4d8b-9148-e3be6c30e623}">
          <xlrd:rvb i="2361"/>
        </ext>
      </extLst>
    </bk>
    <bk>
      <extLst>
        <ext uri="{3e2802c4-a4d2-4d8b-9148-e3be6c30e623}">
          <xlrd:rvb i="2362"/>
        </ext>
      </extLst>
    </bk>
    <bk>
      <extLst>
        <ext uri="{3e2802c4-a4d2-4d8b-9148-e3be6c30e623}">
          <xlrd:rvb i="2363"/>
        </ext>
      </extLst>
    </bk>
    <bk>
      <extLst>
        <ext uri="{3e2802c4-a4d2-4d8b-9148-e3be6c30e623}">
          <xlrd:rvb i="2364"/>
        </ext>
      </extLst>
    </bk>
    <bk>
      <extLst>
        <ext uri="{3e2802c4-a4d2-4d8b-9148-e3be6c30e623}">
          <xlrd:rvb i="2365"/>
        </ext>
      </extLst>
    </bk>
    <bk>
      <extLst>
        <ext uri="{3e2802c4-a4d2-4d8b-9148-e3be6c30e623}">
          <xlrd:rvb i="2366"/>
        </ext>
      </extLst>
    </bk>
    <bk>
      <extLst>
        <ext uri="{3e2802c4-a4d2-4d8b-9148-e3be6c30e623}">
          <xlrd:rvb i="2367"/>
        </ext>
      </extLst>
    </bk>
    <bk>
      <extLst>
        <ext uri="{3e2802c4-a4d2-4d8b-9148-e3be6c30e623}">
          <xlrd:rvb i="2368"/>
        </ext>
      </extLst>
    </bk>
    <bk>
      <extLst>
        <ext uri="{3e2802c4-a4d2-4d8b-9148-e3be6c30e623}">
          <xlrd:rvb i="2369"/>
        </ext>
      </extLst>
    </bk>
    <bk>
      <extLst>
        <ext uri="{3e2802c4-a4d2-4d8b-9148-e3be6c30e623}">
          <xlrd:rvb i="2370"/>
        </ext>
      </extLst>
    </bk>
    <bk>
      <extLst>
        <ext uri="{3e2802c4-a4d2-4d8b-9148-e3be6c30e623}">
          <xlrd:rvb i="2371"/>
        </ext>
      </extLst>
    </bk>
    <bk>
      <extLst>
        <ext uri="{3e2802c4-a4d2-4d8b-9148-e3be6c30e623}">
          <xlrd:rvb i="2372"/>
        </ext>
      </extLst>
    </bk>
    <bk>
      <extLst>
        <ext uri="{3e2802c4-a4d2-4d8b-9148-e3be6c30e623}">
          <xlrd:rvb i="2375"/>
        </ext>
      </extLst>
    </bk>
    <bk>
      <extLst>
        <ext uri="{3e2802c4-a4d2-4d8b-9148-e3be6c30e623}">
          <xlrd:rvb i="2376"/>
        </ext>
      </extLst>
    </bk>
    <bk>
      <extLst>
        <ext uri="{3e2802c4-a4d2-4d8b-9148-e3be6c30e623}">
          <xlrd:rvb i="2377"/>
        </ext>
      </extLst>
    </bk>
    <bk>
      <extLst>
        <ext uri="{3e2802c4-a4d2-4d8b-9148-e3be6c30e623}">
          <xlrd:rvb i="2378"/>
        </ext>
      </extLst>
    </bk>
    <bk>
      <extLst>
        <ext uri="{3e2802c4-a4d2-4d8b-9148-e3be6c30e623}">
          <xlrd:rvb i="2379"/>
        </ext>
      </extLst>
    </bk>
    <bk>
      <extLst>
        <ext uri="{3e2802c4-a4d2-4d8b-9148-e3be6c30e623}">
          <xlrd:rvb i="2380"/>
        </ext>
      </extLst>
    </bk>
    <bk>
      <extLst>
        <ext uri="{3e2802c4-a4d2-4d8b-9148-e3be6c30e623}">
          <xlrd:rvb i="2381"/>
        </ext>
      </extLst>
    </bk>
    <bk>
      <extLst>
        <ext uri="{3e2802c4-a4d2-4d8b-9148-e3be6c30e623}">
          <xlrd:rvb i="2382"/>
        </ext>
      </extLst>
    </bk>
    <bk>
      <extLst>
        <ext uri="{3e2802c4-a4d2-4d8b-9148-e3be6c30e623}">
          <xlrd:rvb i="2383"/>
        </ext>
      </extLst>
    </bk>
    <bk>
      <extLst>
        <ext uri="{3e2802c4-a4d2-4d8b-9148-e3be6c30e623}">
          <xlrd:rvb i="2384"/>
        </ext>
      </extLst>
    </bk>
    <bk>
      <extLst>
        <ext uri="{3e2802c4-a4d2-4d8b-9148-e3be6c30e623}">
          <xlrd:rvb i="2385"/>
        </ext>
      </extLst>
    </bk>
    <bk>
      <extLst>
        <ext uri="{3e2802c4-a4d2-4d8b-9148-e3be6c30e623}">
          <xlrd:rvb i="2386"/>
        </ext>
      </extLst>
    </bk>
    <bk>
      <extLst>
        <ext uri="{3e2802c4-a4d2-4d8b-9148-e3be6c30e623}">
          <xlrd:rvb i="2387"/>
        </ext>
      </extLst>
    </bk>
    <bk>
      <extLst>
        <ext uri="{3e2802c4-a4d2-4d8b-9148-e3be6c30e623}">
          <xlrd:rvb i="2388"/>
        </ext>
      </extLst>
    </bk>
    <bk>
      <extLst>
        <ext uri="{3e2802c4-a4d2-4d8b-9148-e3be6c30e623}">
          <xlrd:rvb i="2389"/>
        </ext>
      </extLst>
    </bk>
    <bk>
      <extLst>
        <ext uri="{3e2802c4-a4d2-4d8b-9148-e3be6c30e623}">
          <xlrd:rvb i="2390"/>
        </ext>
      </extLst>
    </bk>
    <bk>
      <extLst>
        <ext uri="{3e2802c4-a4d2-4d8b-9148-e3be6c30e623}">
          <xlrd:rvb i="2391"/>
        </ext>
      </extLst>
    </bk>
    <bk>
      <extLst>
        <ext uri="{3e2802c4-a4d2-4d8b-9148-e3be6c30e623}">
          <xlrd:rvb i="2392"/>
        </ext>
      </extLst>
    </bk>
    <bk>
      <extLst>
        <ext uri="{3e2802c4-a4d2-4d8b-9148-e3be6c30e623}">
          <xlrd:rvb i="2393"/>
        </ext>
      </extLst>
    </bk>
    <bk>
      <extLst>
        <ext uri="{3e2802c4-a4d2-4d8b-9148-e3be6c30e623}">
          <xlrd:rvb i="2394"/>
        </ext>
      </extLst>
    </bk>
    <bk>
      <extLst>
        <ext uri="{3e2802c4-a4d2-4d8b-9148-e3be6c30e623}">
          <xlrd:rvb i="2397"/>
        </ext>
      </extLst>
    </bk>
    <bk>
      <extLst>
        <ext uri="{3e2802c4-a4d2-4d8b-9148-e3be6c30e623}">
          <xlrd:rvb i="2398"/>
        </ext>
      </extLst>
    </bk>
    <bk>
      <extLst>
        <ext uri="{3e2802c4-a4d2-4d8b-9148-e3be6c30e623}">
          <xlrd:rvb i="2399"/>
        </ext>
      </extLst>
    </bk>
    <bk>
      <extLst>
        <ext uri="{3e2802c4-a4d2-4d8b-9148-e3be6c30e623}">
          <xlrd:rvb i="2400"/>
        </ext>
      </extLst>
    </bk>
    <bk>
      <extLst>
        <ext uri="{3e2802c4-a4d2-4d8b-9148-e3be6c30e623}">
          <xlrd:rvb i="2401"/>
        </ext>
      </extLst>
    </bk>
    <bk>
      <extLst>
        <ext uri="{3e2802c4-a4d2-4d8b-9148-e3be6c30e623}">
          <xlrd:rvb i="2402"/>
        </ext>
      </extLst>
    </bk>
    <bk>
      <extLst>
        <ext uri="{3e2802c4-a4d2-4d8b-9148-e3be6c30e623}">
          <xlrd:rvb i="2403"/>
        </ext>
      </extLst>
    </bk>
    <bk>
      <extLst>
        <ext uri="{3e2802c4-a4d2-4d8b-9148-e3be6c30e623}">
          <xlrd:rvb i="2404"/>
        </ext>
      </extLst>
    </bk>
    <bk>
      <extLst>
        <ext uri="{3e2802c4-a4d2-4d8b-9148-e3be6c30e623}">
          <xlrd:rvb i="2405"/>
        </ext>
      </extLst>
    </bk>
    <bk>
      <extLst>
        <ext uri="{3e2802c4-a4d2-4d8b-9148-e3be6c30e623}">
          <xlrd:rvb i="2406"/>
        </ext>
      </extLst>
    </bk>
    <bk>
      <extLst>
        <ext uri="{3e2802c4-a4d2-4d8b-9148-e3be6c30e623}">
          <xlrd:rvb i="2407"/>
        </ext>
      </extLst>
    </bk>
    <bk>
      <extLst>
        <ext uri="{3e2802c4-a4d2-4d8b-9148-e3be6c30e623}">
          <xlrd:rvb i="2408"/>
        </ext>
      </extLst>
    </bk>
    <bk>
      <extLst>
        <ext uri="{3e2802c4-a4d2-4d8b-9148-e3be6c30e623}">
          <xlrd:rvb i="2409"/>
        </ext>
      </extLst>
    </bk>
    <bk>
      <extLst>
        <ext uri="{3e2802c4-a4d2-4d8b-9148-e3be6c30e623}">
          <xlrd:rvb i="2410"/>
        </ext>
      </extLst>
    </bk>
    <bk>
      <extLst>
        <ext uri="{3e2802c4-a4d2-4d8b-9148-e3be6c30e623}">
          <xlrd:rvb i="2411"/>
        </ext>
      </extLst>
    </bk>
    <bk>
      <extLst>
        <ext uri="{3e2802c4-a4d2-4d8b-9148-e3be6c30e623}">
          <xlrd:rvb i="2412"/>
        </ext>
      </extLst>
    </bk>
    <bk>
      <extLst>
        <ext uri="{3e2802c4-a4d2-4d8b-9148-e3be6c30e623}">
          <xlrd:rvb i="2413"/>
        </ext>
      </extLst>
    </bk>
    <bk>
      <extLst>
        <ext uri="{3e2802c4-a4d2-4d8b-9148-e3be6c30e623}">
          <xlrd:rvb i="2414"/>
        </ext>
      </extLst>
    </bk>
    <bk>
      <extLst>
        <ext uri="{3e2802c4-a4d2-4d8b-9148-e3be6c30e623}">
          <xlrd:rvb i="2415"/>
        </ext>
      </extLst>
    </bk>
    <bk>
      <extLst>
        <ext uri="{3e2802c4-a4d2-4d8b-9148-e3be6c30e623}">
          <xlrd:rvb i="2416"/>
        </ext>
      </extLst>
    </bk>
    <bk>
      <extLst>
        <ext uri="{3e2802c4-a4d2-4d8b-9148-e3be6c30e623}">
          <xlrd:rvb i="2417"/>
        </ext>
      </extLst>
    </bk>
    <bk>
      <extLst>
        <ext uri="{3e2802c4-a4d2-4d8b-9148-e3be6c30e623}">
          <xlrd:rvb i="2418"/>
        </ext>
      </extLst>
    </bk>
    <bk>
      <extLst>
        <ext uri="{3e2802c4-a4d2-4d8b-9148-e3be6c30e623}">
          <xlrd:rvb i="2421"/>
        </ext>
      </extLst>
    </bk>
    <bk>
      <extLst>
        <ext uri="{3e2802c4-a4d2-4d8b-9148-e3be6c30e623}">
          <xlrd:rvb i="2422"/>
        </ext>
      </extLst>
    </bk>
    <bk>
      <extLst>
        <ext uri="{3e2802c4-a4d2-4d8b-9148-e3be6c30e623}">
          <xlrd:rvb i="2423"/>
        </ext>
      </extLst>
    </bk>
    <bk>
      <extLst>
        <ext uri="{3e2802c4-a4d2-4d8b-9148-e3be6c30e623}">
          <xlrd:rvb i="2424"/>
        </ext>
      </extLst>
    </bk>
    <bk>
      <extLst>
        <ext uri="{3e2802c4-a4d2-4d8b-9148-e3be6c30e623}">
          <xlrd:rvb i="2425"/>
        </ext>
      </extLst>
    </bk>
    <bk>
      <extLst>
        <ext uri="{3e2802c4-a4d2-4d8b-9148-e3be6c30e623}">
          <xlrd:rvb i="2426"/>
        </ext>
      </extLst>
    </bk>
    <bk>
      <extLst>
        <ext uri="{3e2802c4-a4d2-4d8b-9148-e3be6c30e623}">
          <xlrd:rvb i="2427"/>
        </ext>
      </extLst>
    </bk>
    <bk>
      <extLst>
        <ext uri="{3e2802c4-a4d2-4d8b-9148-e3be6c30e623}">
          <xlrd:rvb i="2428"/>
        </ext>
      </extLst>
    </bk>
    <bk>
      <extLst>
        <ext uri="{3e2802c4-a4d2-4d8b-9148-e3be6c30e623}">
          <xlrd:rvb i="2429"/>
        </ext>
      </extLst>
    </bk>
    <bk>
      <extLst>
        <ext uri="{3e2802c4-a4d2-4d8b-9148-e3be6c30e623}">
          <xlrd:rvb i="2430"/>
        </ext>
      </extLst>
    </bk>
    <bk>
      <extLst>
        <ext uri="{3e2802c4-a4d2-4d8b-9148-e3be6c30e623}">
          <xlrd:rvb i="2431"/>
        </ext>
      </extLst>
    </bk>
    <bk>
      <extLst>
        <ext uri="{3e2802c4-a4d2-4d8b-9148-e3be6c30e623}">
          <xlrd:rvb i="2432"/>
        </ext>
      </extLst>
    </bk>
    <bk>
      <extLst>
        <ext uri="{3e2802c4-a4d2-4d8b-9148-e3be6c30e623}">
          <xlrd:rvb i="2433"/>
        </ext>
      </extLst>
    </bk>
    <bk>
      <extLst>
        <ext uri="{3e2802c4-a4d2-4d8b-9148-e3be6c30e623}">
          <xlrd:rvb i="2434"/>
        </ext>
      </extLst>
    </bk>
    <bk>
      <extLst>
        <ext uri="{3e2802c4-a4d2-4d8b-9148-e3be6c30e623}">
          <xlrd:rvb i="2435"/>
        </ext>
      </extLst>
    </bk>
    <bk>
      <extLst>
        <ext uri="{3e2802c4-a4d2-4d8b-9148-e3be6c30e623}">
          <xlrd:rvb i="2436"/>
        </ext>
      </extLst>
    </bk>
    <bk>
      <extLst>
        <ext uri="{3e2802c4-a4d2-4d8b-9148-e3be6c30e623}">
          <xlrd:rvb i="2437"/>
        </ext>
      </extLst>
    </bk>
    <bk>
      <extLst>
        <ext uri="{3e2802c4-a4d2-4d8b-9148-e3be6c30e623}">
          <xlrd:rvb i="2438"/>
        </ext>
      </extLst>
    </bk>
    <bk>
      <extLst>
        <ext uri="{3e2802c4-a4d2-4d8b-9148-e3be6c30e623}">
          <xlrd:rvb i="2439"/>
        </ext>
      </extLst>
    </bk>
    <bk>
      <extLst>
        <ext uri="{3e2802c4-a4d2-4d8b-9148-e3be6c30e623}">
          <xlrd:rvb i="2440"/>
        </ext>
      </extLst>
    </bk>
    <bk>
      <extLst>
        <ext uri="{3e2802c4-a4d2-4d8b-9148-e3be6c30e623}">
          <xlrd:rvb i="2441"/>
        </ext>
      </extLst>
    </bk>
    <bk>
      <extLst>
        <ext uri="{3e2802c4-a4d2-4d8b-9148-e3be6c30e623}">
          <xlrd:rvb i="2444"/>
        </ext>
      </extLst>
    </bk>
    <bk>
      <extLst>
        <ext uri="{3e2802c4-a4d2-4d8b-9148-e3be6c30e623}">
          <xlrd:rvb i="2445"/>
        </ext>
      </extLst>
    </bk>
    <bk>
      <extLst>
        <ext uri="{3e2802c4-a4d2-4d8b-9148-e3be6c30e623}">
          <xlrd:rvb i="2446"/>
        </ext>
      </extLst>
    </bk>
    <bk>
      <extLst>
        <ext uri="{3e2802c4-a4d2-4d8b-9148-e3be6c30e623}">
          <xlrd:rvb i="2447"/>
        </ext>
      </extLst>
    </bk>
    <bk>
      <extLst>
        <ext uri="{3e2802c4-a4d2-4d8b-9148-e3be6c30e623}">
          <xlrd:rvb i="2448"/>
        </ext>
      </extLst>
    </bk>
    <bk>
      <extLst>
        <ext uri="{3e2802c4-a4d2-4d8b-9148-e3be6c30e623}">
          <xlrd:rvb i="2449"/>
        </ext>
      </extLst>
    </bk>
    <bk>
      <extLst>
        <ext uri="{3e2802c4-a4d2-4d8b-9148-e3be6c30e623}">
          <xlrd:rvb i="2450"/>
        </ext>
      </extLst>
    </bk>
    <bk>
      <extLst>
        <ext uri="{3e2802c4-a4d2-4d8b-9148-e3be6c30e623}">
          <xlrd:rvb i="2451"/>
        </ext>
      </extLst>
    </bk>
    <bk>
      <extLst>
        <ext uri="{3e2802c4-a4d2-4d8b-9148-e3be6c30e623}">
          <xlrd:rvb i="2452"/>
        </ext>
      </extLst>
    </bk>
    <bk>
      <extLst>
        <ext uri="{3e2802c4-a4d2-4d8b-9148-e3be6c30e623}">
          <xlrd:rvb i="2453"/>
        </ext>
      </extLst>
    </bk>
    <bk>
      <extLst>
        <ext uri="{3e2802c4-a4d2-4d8b-9148-e3be6c30e623}">
          <xlrd:rvb i="2454"/>
        </ext>
      </extLst>
    </bk>
    <bk>
      <extLst>
        <ext uri="{3e2802c4-a4d2-4d8b-9148-e3be6c30e623}">
          <xlrd:rvb i="2455"/>
        </ext>
      </extLst>
    </bk>
    <bk>
      <extLst>
        <ext uri="{3e2802c4-a4d2-4d8b-9148-e3be6c30e623}">
          <xlrd:rvb i="2456"/>
        </ext>
      </extLst>
    </bk>
    <bk>
      <extLst>
        <ext uri="{3e2802c4-a4d2-4d8b-9148-e3be6c30e623}">
          <xlrd:rvb i="2457"/>
        </ext>
      </extLst>
    </bk>
    <bk>
      <extLst>
        <ext uri="{3e2802c4-a4d2-4d8b-9148-e3be6c30e623}">
          <xlrd:rvb i="2458"/>
        </ext>
      </extLst>
    </bk>
    <bk>
      <extLst>
        <ext uri="{3e2802c4-a4d2-4d8b-9148-e3be6c30e623}">
          <xlrd:rvb i="2461"/>
        </ext>
      </extLst>
    </bk>
    <bk>
      <extLst>
        <ext uri="{3e2802c4-a4d2-4d8b-9148-e3be6c30e623}">
          <xlrd:rvb i="2462"/>
        </ext>
      </extLst>
    </bk>
    <bk>
      <extLst>
        <ext uri="{3e2802c4-a4d2-4d8b-9148-e3be6c30e623}">
          <xlrd:rvb i="2463"/>
        </ext>
      </extLst>
    </bk>
    <bk>
      <extLst>
        <ext uri="{3e2802c4-a4d2-4d8b-9148-e3be6c30e623}">
          <xlrd:rvb i="2464"/>
        </ext>
      </extLst>
    </bk>
    <bk>
      <extLst>
        <ext uri="{3e2802c4-a4d2-4d8b-9148-e3be6c30e623}">
          <xlrd:rvb i="2465"/>
        </ext>
      </extLst>
    </bk>
    <bk>
      <extLst>
        <ext uri="{3e2802c4-a4d2-4d8b-9148-e3be6c30e623}">
          <xlrd:rvb i="2466"/>
        </ext>
      </extLst>
    </bk>
    <bk>
      <extLst>
        <ext uri="{3e2802c4-a4d2-4d8b-9148-e3be6c30e623}">
          <xlrd:rvb i="2467"/>
        </ext>
      </extLst>
    </bk>
    <bk>
      <extLst>
        <ext uri="{3e2802c4-a4d2-4d8b-9148-e3be6c30e623}">
          <xlrd:rvb i="2468"/>
        </ext>
      </extLst>
    </bk>
    <bk>
      <extLst>
        <ext uri="{3e2802c4-a4d2-4d8b-9148-e3be6c30e623}">
          <xlrd:rvb i="2469"/>
        </ext>
      </extLst>
    </bk>
    <bk>
      <extLst>
        <ext uri="{3e2802c4-a4d2-4d8b-9148-e3be6c30e623}">
          <xlrd:rvb i="2470"/>
        </ext>
      </extLst>
    </bk>
    <bk>
      <extLst>
        <ext uri="{3e2802c4-a4d2-4d8b-9148-e3be6c30e623}">
          <xlrd:rvb i="2471"/>
        </ext>
      </extLst>
    </bk>
    <bk>
      <extLst>
        <ext uri="{3e2802c4-a4d2-4d8b-9148-e3be6c30e623}">
          <xlrd:rvb i="2472"/>
        </ext>
      </extLst>
    </bk>
    <bk>
      <extLst>
        <ext uri="{3e2802c4-a4d2-4d8b-9148-e3be6c30e623}">
          <xlrd:rvb i="2473"/>
        </ext>
      </extLst>
    </bk>
    <bk>
      <extLst>
        <ext uri="{3e2802c4-a4d2-4d8b-9148-e3be6c30e623}">
          <xlrd:rvb i="2474"/>
        </ext>
      </extLst>
    </bk>
    <bk>
      <extLst>
        <ext uri="{3e2802c4-a4d2-4d8b-9148-e3be6c30e623}">
          <xlrd:rvb i="2475"/>
        </ext>
      </extLst>
    </bk>
    <bk>
      <extLst>
        <ext uri="{3e2802c4-a4d2-4d8b-9148-e3be6c30e623}">
          <xlrd:rvb i="2476"/>
        </ext>
      </extLst>
    </bk>
    <bk>
      <extLst>
        <ext uri="{3e2802c4-a4d2-4d8b-9148-e3be6c30e623}">
          <xlrd:rvb i="2477"/>
        </ext>
      </extLst>
    </bk>
    <bk>
      <extLst>
        <ext uri="{3e2802c4-a4d2-4d8b-9148-e3be6c30e623}">
          <xlrd:rvb i="2478"/>
        </ext>
      </extLst>
    </bk>
    <bk>
      <extLst>
        <ext uri="{3e2802c4-a4d2-4d8b-9148-e3be6c30e623}">
          <xlrd:rvb i="2479"/>
        </ext>
      </extLst>
    </bk>
    <bk>
      <extLst>
        <ext uri="{3e2802c4-a4d2-4d8b-9148-e3be6c30e623}">
          <xlrd:rvb i="2480"/>
        </ext>
      </extLst>
    </bk>
    <bk>
      <extLst>
        <ext uri="{3e2802c4-a4d2-4d8b-9148-e3be6c30e623}">
          <xlrd:rvb i="2483"/>
        </ext>
      </extLst>
    </bk>
    <bk>
      <extLst>
        <ext uri="{3e2802c4-a4d2-4d8b-9148-e3be6c30e623}">
          <xlrd:rvb i="2484"/>
        </ext>
      </extLst>
    </bk>
    <bk>
      <extLst>
        <ext uri="{3e2802c4-a4d2-4d8b-9148-e3be6c30e623}">
          <xlrd:rvb i="2485"/>
        </ext>
      </extLst>
    </bk>
    <bk>
      <extLst>
        <ext uri="{3e2802c4-a4d2-4d8b-9148-e3be6c30e623}">
          <xlrd:rvb i="2486"/>
        </ext>
      </extLst>
    </bk>
    <bk>
      <extLst>
        <ext uri="{3e2802c4-a4d2-4d8b-9148-e3be6c30e623}">
          <xlrd:rvb i="2487"/>
        </ext>
      </extLst>
    </bk>
    <bk>
      <extLst>
        <ext uri="{3e2802c4-a4d2-4d8b-9148-e3be6c30e623}">
          <xlrd:rvb i="2488"/>
        </ext>
      </extLst>
    </bk>
    <bk>
      <extLst>
        <ext uri="{3e2802c4-a4d2-4d8b-9148-e3be6c30e623}">
          <xlrd:rvb i="2489"/>
        </ext>
      </extLst>
    </bk>
    <bk>
      <extLst>
        <ext uri="{3e2802c4-a4d2-4d8b-9148-e3be6c30e623}">
          <xlrd:rvb i="2490"/>
        </ext>
      </extLst>
    </bk>
    <bk>
      <extLst>
        <ext uri="{3e2802c4-a4d2-4d8b-9148-e3be6c30e623}">
          <xlrd:rvb i="2491"/>
        </ext>
      </extLst>
    </bk>
    <bk>
      <extLst>
        <ext uri="{3e2802c4-a4d2-4d8b-9148-e3be6c30e623}">
          <xlrd:rvb i="2492"/>
        </ext>
      </extLst>
    </bk>
    <bk>
      <extLst>
        <ext uri="{3e2802c4-a4d2-4d8b-9148-e3be6c30e623}">
          <xlrd:rvb i="2493"/>
        </ext>
      </extLst>
    </bk>
    <bk>
      <extLst>
        <ext uri="{3e2802c4-a4d2-4d8b-9148-e3be6c30e623}">
          <xlrd:rvb i="2494"/>
        </ext>
      </extLst>
    </bk>
    <bk>
      <extLst>
        <ext uri="{3e2802c4-a4d2-4d8b-9148-e3be6c30e623}">
          <xlrd:rvb i="2495"/>
        </ext>
      </extLst>
    </bk>
    <bk>
      <extLst>
        <ext uri="{3e2802c4-a4d2-4d8b-9148-e3be6c30e623}">
          <xlrd:rvb i="2496"/>
        </ext>
      </extLst>
    </bk>
    <bk>
      <extLst>
        <ext uri="{3e2802c4-a4d2-4d8b-9148-e3be6c30e623}">
          <xlrd:rvb i="2497"/>
        </ext>
      </extLst>
    </bk>
    <bk>
      <extLst>
        <ext uri="{3e2802c4-a4d2-4d8b-9148-e3be6c30e623}">
          <xlrd:rvb i="2498"/>
        </ext>
      </extLst>
    </bk>
    <bk>
      <extLst>
        <ext uri="{3e2802c4-a4d2-4d8b-9148-e3be6c30e623}">
          <xlrd:rvb i="2499"/>
        </ext>
      </extLst>
    </bk>
    <bk>
      <extLst>
        <ext uri="{3e2802c4-a4d2-4d8b-9148-e3be6c30e623}">
          <xlrd:rvb i="2500"/>
        </ext>
      </extLst>
    </bk>
    <bk>
      <extLst>
        <ext uri="{3e2802c4-a4d2-4d8b-9148-e3be6c30e623}">
          <xlrd:rvb i="2501"/>
        </ext>
      </extLst>
    </bk>
    <bk>
      <extLst>
        <ext uri="{3e2802c4-a4d2-4d8b-9148-e3be6c30e623}">
          <xlrd:rvb i="2502"/>
        </ext>
      </extLst>
    </bk>
    <bk>
      <extLst>
        <ext uri="{3e2802c4-a4d2-4d8b-9148-e3be6c30e623}">
          <xlrd:rvb i="2505"/>
        </ext>
      </extLst>
    </bk>
    <bk>
      <extLst>
        <ext uri="{3e2802c4-a4d2-4d8b-9148-e3be6c30e623}">
          <xlrd:rvb i="2506"/>
        </ext>
      </extLst>
    </bk>
    <bk>
      <extLst>
        <ext uri="{3e2802c4-a4d2-4d8b-9148-e3be6c30e623}">
          <xlrd:rvb i="2507"/>
        </ext>
      </extLst>
    </bk>
    <bk>
      <extLst>
        <ext uri="{3e2802c4-a4d2-4d8b-9148-e3be6c30e623}">
          <xlrd:rvb i="2508"/>
        </ext>
      </extLst>
    </bk>
    <bk>
      <extLst>
        <ext uri="{3e2802c4-a4d2-4d8b-9148-e3be6c30e623}">
          <xlrd:rvb i="2509"/>
        </ext>
      </extLst>
    </bk>
    <bk>
      <extLst>
        <ext uri="{3e2802c4-a4d2-4d8b-9148-e3be6c30e623}">
          <xlrd:rvb i="2510"/>
        </ext>
      </extLst>
    </bk>
    <bk>
      <extLst>
        <ext uri="{3e2802c4-a4d2-4d8b-9148-e3be6c30e623}">
          <xlrd:rvb i="2511"/>
        </ext>
      </extLst>
    </bk>
    <bk>
      <extLst>
        <ext uri="{3e2802c4-a4d2-4d8b-9148-e3be6c30e623}">
          <xlrd:rvb i="2512"/>
        </ext>
      </extLst>
    </bk>
    <bk>
      <extLst>
        <ext uri="{3e2802c4-a4d2-4d8b-9148-e3be6c30e623}">
          <xlrd:rvb i="2513"/>
        </ext>
      </extLst>
    </bk>
    <bk>
      <extLst>
        <ext uri="{3e2802c4-a4d2-4d8b-9148-e3be6c30e623}">
          <xlrd:rvb i="2514"/>
        </ext>
      </extLst>
    </bk>
    <bk>
      <extLst>
        <ext uri="{3e2802c4-a4d2-4d8b-9148-e3be6c30e623}">
          <xlrd:rvb i="2515"/>
        </ext>
      </extLst>
    </bk>
    <bk>
      <extLst>
        <ext uri="{3e2802c4-a4d2-4d8b-9148-e3be6c30e623}">
          <xlrd:rvb i="2516"/>
        </ext>
      </extLst>
    </bk>
    <bk>
      <extLst>
        <ext uri="{3e2802c4-a4d2-4d8b-9148-e3be6c30e623}">
          <xlrd:rvb i="2517"/>
        </ext>
      </extLst>
    </bk>
    <bk>
      <extLst>
        <ext uri="{3e2802c4-a4d2-4d8b-9148-e3be6c30e623}">
          <xlrd:rvb i="2518"/>
        </ext>
      </extLst>
    </bk>
    <bk>
      <extLst>
        <ext uri="{3e2802c4-a4d2-4d8b-9148-e3be6c30e623}">
          <xlrd:rvb i="2519"/>
        </ext>
      </extLst>
    </bk>
    <bk>
      <extLst>
        <ext uri="{3e2802c4-a4d2-4d8b-9148-e3be6c30e623}">
          <xlrd:rvb i="2520"/>
        </ext>
      </extLst>
    </bk>
    <bk>
      <extLst>
        <ext uri="{3e2802c4-a4d2-4d8b-9148-e3be6c30e623}">
          <xlrd:rvb i="2521"/>
        </ext>
      </extLst>
    </bk>
    <bk>
      <extLst>
        <ext uri="{3e2802c4-a4d2-4d8b-9148-e3be6c30e623}">
          <xlrd:rvb i="2522"/>
        </ext>
      </extLst>
    </bk>
    <bk>
      <extLst>
        <ext uri="{3e2802c4-a4d2-4d8b-9148-e3be6c30e623}">
          <xlrd:rvb i="2523"/>
        </ext>
      </extLst>
    </bk>
    <bk>
      <extLst>
        <ext uri="{3e2802c4-a4d2-4d8b-9148-e3be6c30e623}">
          <xlrd:rvb i="2524"/>
        </ext>
      </extLst>
    </bk>
    <bk>
      <extLst>
        <ext uri="{3e2802c4-a4d2-4d8b-9148-e3be6c30e623}">
          <xlrd:rvb i="2525"/>
        </ext>
      </extLst>
    </bk>
    <bk>
      <extLst>
        <ext uri="{3e2802c4-a4d2-4d8b-9148-e3be6c30e623}">
          <xlrd:rvb i="2528"/>
        </ext>
      </extLst>
    </bk>
    <bk>
      <extLst>
        <ext uri="{3e2802c4-a4d2-4d8b-9148-e3be6c30e623}">
          <xlrd:rvb i="2529"/>
        </ext>
      </extLst>
    </bk>
    <bk>
      <extLst>
        <ext uri="{3e2802c4-a4d2-4d8b-9148-e3be6c30e623}">
          <xlrd:rvb i="2530"/>
        </ext>
      </extLst>
    </bk>
    <bk>
      <extLst>
        <ext uri="{3e2802c4-a4d2-4d8b-9148-e3be6c30e623}">
          <xlrd:rvb i="2531"/>
        </ext>
      </extLst>
    </bk>
    <bk>
      <extLst>
        <ext uri="{3e2802c4-a4d2-4d8b-9148-e3be6c30e623}">
          <xlrd:rvb i="2532"/>
        </ext>
      </extLst>
    </bk>
    <bk>
      <extLst>
        <ext uri="{3e2802c4-a4d2-4d8b-9148-e3be6c30e623}">
          <xlrd:rvb i="2533"/>
        </ext>
      </extLst>
    </bk>
    <bk>
      <extLst>
        <ext uri="{3e2802c4-a4d2-4d8b-9148-e3be6c30e623}">
          <xlrd:rvb i="2534"/>
        </ext>
      </extLst>
    </bk>
    <bk>
      <extLst>
        <ext uri="{3e2802c4-a4d2-4d8b-9148-e3be6c30e623}">
          <xlrd:rvb i="2535"/>
        </ext>
      </extLst>
    </bk>
    <bk>
      <extLst>
        <ext uri="{3e2802c4-a4d2-4d8b-9148-e3be6c30e623}">
          <xlrd:rvb i="2536"/>
        </ext>
      </extLst>
    </bk>
    <bk>
      <extLst>
        <ext uri="{3e2802c4-a4d2-4d8b-9148-e3be6c30e623}">
          <xlrd:rvb i="2537"/>
        </ext>
      </extLst>
    </bk>
    <bk>
      <extLst>
        <ext uri="{3e2802c4-a4d2-4d8b-9148-e3be6c30e623}">
          <xlrd:rvb i="2538"/>
        </ext>
      </extLst>
    </bk>
    <bk>
      <extLst>
        <ext uri="{3e2802c4-a4d2-4d8b-9148-e3be6c30e623}">
          <xlrd:rvb i="2539"/>
        </ext>
      </extLst>
    </bk>
    <bk>
      <extLst>
        <ext uri="{3e2802c4-a4d2-4d8b-9148-e3be6c30e623}">
          <xlrd:rvb i="2540"/>
        </ext>
      </extLst>
    </bk>
    <bk>
      <extLst>
        <ext uri="{3e2802c4-a4d2-4d8b-9148-e3be6c30e623}">
          <xlrd:rvb i="2541"/>
        </ext>
      </extLst>
    </bk>
    <bk>
      <extLst>
        <ext uri="{3e2802c4-a4d2-4d8b-9148-e3be6c30e623}">
          <xlrd:rvb i="2542"/>
        </ext>
      </extLst>
    </bk>
    <bk>
      <extLst>
        <ext uri="{3e2802c4-a4d2-4d8b-9148-e3be6c30e623}">
          <xlrd:rvb i="2543"/>
        </ext>
      </extLst>
    </bk>
    <bk>
      <extLst>
        <ext uri="{3e2802c4-a4d2-4d8b-9148-e3be6c30e623}">
          <xlrd:rvb i="2544"/>
        </ext>
      </extLst>
    </bk>
    <bk>
      <extLst>
        <ext uri="{3e2802c4-a4d2-4d8b-9148-e3be6c30e623}">
          <xlrd:rvb i="2545"/>
        </ext>
      </extLst>
    </bk>
    <bk>
      <extLst>
        <ext uri="{3e2802c4-a4d2-4d8b-9148-e3be6c30e623}">
          <xlrd:rvb i="2548"/>
        </ext>
      </extLst>
    </bk>
    <bk>
      <extLst>
        <ext uri="{3e2802c4-a4d2-4d8b-9148-e3be6c30e623}">
          <xlrd:rvb i="2549"/>
        </ext>
      </extLst>
    </bk>
    <bk>
      <extLst>
        <ext uri="{3e2802c4-a4d2-4d8b-9148-e3be6c30e623}">
          <xlrd:rvb i="2550"/>
        </ext>
      </extLst>
    </bk>
    <bk>
      <extLst>
        <ext uri="{3e2802c4-a4d2-4d8b-9148-e3be6c30e623}">
          <xlrd:rvb i="2551"/>
        </ext>
      </extLst>
    </bk>
    <bk>
      <extLst>
        <ext uri="{3e2802c4-a4d2-4d8b-9148-e3be6c30e623}">
          <xlrd:rvb i="2552"/>
        </ext>
      </extLst>
    </bk>
    <bk>
      <extLst>
        <ext uri="{3e2802c4-a4d2-4d8b-9148-e3be6c30e623}">
          <xlrd:rvb i="2553"/>
        </ext>
      </extLst>
    </bk>
    <bk>
      <extLst>
        <ext uri="{3e2802c4-a4d2-4d8b-9148-e3be6c30e623}">
          <xlrd:rvb i="2554"/>
        </ext>
      </extLst>
    </bk>
    <bk>
      <extLst>
        <ext uri="{3e2802c4-a4d2-4d8b-9148-e3be6c30e623}">
          <xlrd:rvb i="2555"/>
        </ext>
      </extLst>
    </bk>
    <bk>
      <extLst>
        <ext uri="{3e2802c4-a4d2-4d8b-9148-e3be6c30e623}">
          <xlrd:rvb i="2556"/>
        </ext>
      </extLst>
    </bk>
    <bk>
      <extLst>
        <ext uri="{3e2802c4-a4d2-4d8b-9148-e3be6c30e623}">
          <xlrd:rvb i="2557"/>
        </ext>
      </extLst>
    </bk>
    <bk>
      <extLst>
        <ext uri="{3e2802c4-a4d2-4d8b-9148-e3be6c30e623}">
          <xlrd:rvb i="2558"/>
        </ext>
      </extLst>
    </bk>
    <bk>
      <extLst>
        <ext uri="{3e2802c4-a4d2-4d8b-9148-e3be6c30e623}">
          <xlrd:rvb i="2559"/>
        </ext>
      </extLst>
    </bk>
    <bk>
      <extLst>
        <ext uri="{3e2802c4-a4d2-4d8b-9148-e3be6c30e623}">
          <xlrd:rvb i="2560"/>
        </ext>
      </extLst>
    </bk>
    <bk>
      <extLst>
        <ext uri="{3e2802c4-a4d2-4d8b-9148-e3be6c30e623}">
          <xlrd:rvb i="2561"/>
        </ext>
      </extLst>
    </bk>
    <bk>
      <extLst>
        <ext uri="{3e2802c4-a4d2-4d8b-9148-e3be6c30e623}">
          <xlrd:rvb i="2562"/>
        </ext>
      </extLst>
    </bk>
    <bk>
      <extLst>
        <ext uri="{3e2802c4-a4d2-4d8b-9148-e3be6c30e623}">
          <xlrd:rvb i="2563"/>
        </ext>
      </extLst>
    </bk>
    <bk>
      <extLst>
        <ext uri="{3e2802c4-a4d2-4d8b-9148-e3be6c30e623}">
          <xlrd:rvb i="2564"/>
        </ext>
      </extLst>
    </bk>
    <bk>
      <extLst>
        <ext uri="{3e2802c4-a4d2-4d8b-9148-e3be6c30e623}">
          <xlrd:rvb i="2565"/>
        </ext>
      </extLst>
    </bk>
    <bk>
      <extLst>
        <ext uri="{3e2802c4-a4d2-4d8b-9148-e3be6c30e623}">
          <xlrd:rvb i="2566"/>
        </ext>
      </extLst>
    </bk>
    <bk>
      <extLst>
        <ext uri="{3e2802c4-a4d2-4d8b-9148-e3be6c30e623}">
          <xlrd:rvb i="2569"/>
        </ext>
      </extLst>
    </bk>
    <bk>
      <extLst>
        <ext uri="{3e2802c4-a4d2-4d8b-9148-e3be6c30e623}">
          <xlrd:rvb i="2570"/>
        </ext>
      </extLst>
    </bk>
    <bk>
      <extLst>
        <ext uri="{3e2802c4-a4d2-4d8b-9148-e3be6c30e623}">
          <xlrd:rvb i="2571"/>
        </ext>
      </extLst>
    </bk>
    <bk>
      <extLst>
        <ext uri="{3e2802c4-a4d2-4d8b-9148-e3be6c30e623}">
          <xlrd:rvb i="2572"/>
        </ext>
      </extLst>
    </bk>
    <bk>
      <extLst>
        <ext uri="{3e2802c4-a4d2-4d8b-9148-e3be6c30e623}">
          <xlrd:rvb i="2573"/>
        </ext>
      </extLst>
    </bk>
    <bk>
      <extLst>
        <ext uri="{3e2802c4-a4d2-4d8b-9148-e3be6c30e623}">
          <xlrd:rvb i="2574"/>
        </ext>
      </extLst>
    </bk>
    <bk>
      <extLst>
        <ext uri="{3e2802c4-a4d2-4d8b-9148-e3be6c30e623}">
          <xlrd:rvb i="2575"/>
        </ext>
      </extLst>
    </bk>
    <bk>
      <extLst>
        <ext uri="{3e2802c4-a4d2-4d8b-9148-e3be6c30e623}">
          <xlrd:rvb i="2576"/>
        </ext>
      </extLst>
    </bk>
    <bk>
      <extLst>
        <ext uri="{3e2802c4-a4d2-4d8b-9148-e3be6c30e623}">
          <xlrd:rvb i="2577"/>
        </ext>
      </extLst>
    </bk>
    <bk>
      <extLst>
        <ext uri="{3e2802c4-a4d2-4d8b-9148-e3be6c30e623}">
          <xlrd:rvb i="2578"/>
        </ext>
      </extLst>
    </bk>
    <bk>
      <extLst>
        <ext uri="{3e2802c4-a4d2-4d8b-9148-e3be6c30e623}">
          <xlrd:rvb i="2579"/>
        </ext>
      </extLst>
    </bk>
    <bk>
      <extLst>
        <ext uri="{3e2802c4-a4d2-4d8b-9148-e3be6c30e623}">
          <xlrd:rvb i="2580"/>
        </ext>
      </extLst>
    </bk>
    <bk>
      <extLst>
        <ext uri="{3e2802c4-a4d2-4d8b-9148-e3be6c30e623}">
          <xlrd:rvb i="2581"/>
        </ext>
      </extLst>
    </bk>
    <bk>
      <extLst>
        <ext uri="{3e2802c4-a4d2-4d8b-9148-e3be6c30e623}">
          <xlrd:rvb i="2582"/>
        </ext>
      </extLst>
    </bk>
    <bk>
      <extLst>
        <ext uri="{3e2802c4-a4d2-4d8b-9148-e3be6c30e623}">
          <xlrd:rvb i="2583"/>
        </ext>
      </extLst>
    </bk>
    <bk>
      <extLst>
        <ext uri="{3e2802c4-a4d2-4d8b-9148-e3be6c30e623}">
          <xlrd:rvb i="2584"/>
        </ext>
      </extLst>
    </bk>
    <bk>
      <extLst>
        <ext uri="{3e2802c4-a4d2-4d8b-9148-e3be6c30e623}">
          <xlrd:rvb i="2585"/>
        </ext>
      </extLst>
    </bk>
    <bk>
      <extLst>
        <ext uri="{3e2802c4-a4d2-4d8b-9148-e3be6c30e623}">
          <xlrd:rvb i="2586"/>
        </ext>
      </extLst>
    </bk>
    <bk>
      <extLst>
        <ext uri="{3e2802c4-a4d2-4d8b-9148-e3be6c30e623}">
          <xlrd:rvb i="2587"/>
        </ext>
      </extLst>
    </bk>
    <bk>
      <extLst>
        <ext uri="{3e2802c4-a4d2-4d8b-9148-e3be6c30e623}">
          <xlrd:rvb i="2588"/>
        </ext>
      </extLst>
    </bk>
    <bk>
      <extLst>
        <ext uri="{3e2802c4-a4d2-4d8b-9148-e3be6c30e623}">
          <xlrd:rvb i="2589"/>
        </ext>
      </extLst>
    </bk>
    <bk>
      <extLst>
        <ext uri="{3e2802c4-a4d2-4d8b-9148-e3be6c30e623}">
          <xlrd:rvb i="2590"/>
        </ext>
      </extLst>
    </bk>
    <bk>
      <extLst>
        <ext uri="{3e2802c4-a4d2-4d8b-9148-e3be6c30e623}">
          <xlrd:rvb i="2593"/>
        </ext>
      </extLst>
    </bk>
    <bk>
      <extLst>
        <ext uri="{3e2802c4-a4d2-4d8b-9148-e3be6c30e623}">
          <xlrd:rvb i="2594"/>
        </ext>
      </extLst>
    </bk>
    <bk>
      <extLst>
        <ext uri="{3e2802c4-a4d2-4d8b-9148-e3be6c30e623}">
          <xlrd:rvb i="2595"/>
        </ext>
      </extLst>
    </bk>
    <bk>
      <extLst>
        <ext uri="{3e2802c4-a4d2-4d8b-9148-e3be6c30e623}">
          <xlrd:rvb i="2596"/>
        </ext>
      </extLst>
    </bk>
    <bk>
      <extLst>
        <ext uri="{3e2802c4-a4d2-4d8b-9148-e3be6c30e623}">
          <xlrd:rvb i="2597"/>
        </ext>
      </extLst>
    </bk>
    <bk>
      <extLst>
        <ext uri="{3e2802c4-a4d2-4d8b-9148-e3be6c30e623}">
          <xlrd:rvb i="2598"/>
        </ext>
      </extLst>
    </bk>
    <bk>
      <extLst>
        <ext uri="{3e2802c4-a4d2-4d8b-9148-e3be6c30e623}">
          <xlrd:rvb i="2599"/>
        </ext>
      </extLst>
    </bk>
    <bk>
      <extLst>
        <ext uri="{3e2802c4-a4d2-4d8b-9148-e3be6c30e623}">
          <xlrd:rvb i="2600"/>
        </ext>
      </extLst>
    </bk>
    <bk>
      <extLst>
        <ext uri="{3e2802c4-a4d2-4d8b-9148-e3be6c30e623}">
          <xlrd:rvb i="2601"/>
        </ext>
      </extLst>
    </bk>
    <bk>
      <extLst>
        <ext uri="{3e2802c4-a4d2-4d8b-9148-e3be6c30e623}">
          <xlrd:rvb i="2602"/>
        </ext>
      </extLst>
    </bk>
    <bk>
      <extLst>
        <ext uri="{3e2802c4-a4d2-4d8b-9148-e3be6c30e623}">
          <xlrd:rvb i="2603"/>
        </ext>
      </extLst>
    </bk>
    <bk>
      <extLst>
        <ext uri="{3e2802c4-a4d2-4d8b-9148-e3be6c30e623}">
          <xlrd:rvb i="2604"/>
        </ext>
      </extLst>
    </bk>
    <bk>
      <extLst>
        <ext uri="{3e2802c4-a4d2-4d8b-9148-e3be6c30e623}">
          <xlrd:rvb i="2605"/>
        </ext>
      </extLst>
    </bk>
    <bk>
      <extLst>
        <ext uri="{3e2802c4-a4d2-4d8b-9148-e3be6c30e623}">
          <xlrd:rvb i="2606"/>
        </ext>
      </extLst>
    </bk>
    <bk>
      <extLst>
        <ext uri="{3e2802c4-a4d2-4d8b-9148-e3be6c30e623}">
          <xlrd:rvb i="2607"/>
        </ext>
      </extLst>
    </bk>
    <bk>
      <extLst>
        <ext uri="{3e2802c4-a4d2-4d8b-9148-e3be6c30e623}">
          <xlrd:rvb i="2608"/>
        </ext>
      </extLst>
    </bk>
    <bk>
      <extLst>
        <ext uri="{3e2802c4-a4d2-4d8b-9148-e3be6c30e623}">
          <xlrd:rvb i="2609"/>
        </ext>
      </extLst>
    </bk>
    <bk>
      <extLst>
        <ext uri="{3e2802c4-a4d2-4d8b-9148-e3be6c30e623}">
          <xlrd:rvb i="2610"/>
        </ext>
      </extLst>
    </bk>
    <bk>
      <extLst>
        <ext uri="{3e2802c4-a4d2-4d8b-9148-e3be6c30e623}">
          <xlrd:rvb i="2611"/>
        </ext>
      </extLst>
    </bk>
    <bk>
      <extLst>
        <ext uri="{3e2802c4-a4d2-4d8b-9148-e3be6c30e623}">
          <xlrd:rvb i="2612"/>
        </ext>
      </extLst>
    </bk>
    <bk>
      <extLst>
        <ext uri="{3e2802c4-a4d2-4d8b-9148-e3be6c30e623}">
          <xlrd:rvb i="2615"/>
        </ext>
      </extLst>
    </bk>
    <bk>
      <extLst>
        <ext uri="{3e2802c4-a4d2-4d8b-9148-e3be6c30e623}">
          <xlrd:rvb i="2616"/>
        </ext>
      </extLst>
    </bk>
    <bk>
      <extLst>
        <ext uri="{3e2802c4-a4d2-4d8b-9148-e3be6c30e623}">
          <xlrd:rvb i="2617"/>
        </ext>
      </extLst>
    </bk>
    <bk>
      <extLst>
        <ext uri="{3e2802c4-a4d2-4d8b-9148-e3be6c30e623}">
          <xlrd:rvb i="2618"/>
        </ext>
      </extLst>
    </bk>
    <bk>
      <extLst>
        <ext uri="{3e2802c4-a4d2-4d8b-9148-e3be6c30e623}">
          <xlrd:rvb i="2619"/>
        </ext>
      </extLst>
    </bk>
    <bk>
      <extLst>
        <ext uri="{3e2802c4-a4d2-4d8b-9148-e3be6c30e623}">
          <xlrd:rvb i="2620"/>
        </ext>
      </extLst>
    </bk>
    <bk>
      <extLst>
        <ext uri="{3e2802c4-a4d2-4d8b-9148-e3be6c30e623}">
          <xlrd:rvb i="2621"/>
        </ext>
      </extLst>
    </bk>
    <bk>
      <extLst>
        <ext uri="{3e2802c4-a4d2-4d8b-9148-e3be6c30e623}">
          <xlrd:rvb i="2622"/>
        </ext>
      </extLst>
    </bk>
    <bk>
      <extLst>
        <ext uri="{3e2802c4-a4d2-4d8b-9148-e3be6c30e623}">
          <xlrd:rvb i="2623"/>
        </ext>
      </extLst>
    </bk>
    <bk>
      <extLst>
        <ext uri="{3e2802c4-a4d2-4d8b-9148-e3be6c30e623}">
          <xlrd:rvb i="2624"/>
        </ext>
      </extLst>
    </bk>
    <bk>
      <extLst>
        <ext uri="{3e2802c4-a4d2-4d8b-9148-e3be6c30e623}">
          <xlrd:rvb i="2625"/>
        </ext>
      </extLst>
    </bk>
    <bk>
      <extLst>
        <ext uri="{3e2802c4-a4d2-4d8b-9148-e3be6c30e623}">
          <xlrd:rvb i="2626"/>
        </ext>
      </extLst>
    </bk>
    <bk>
      <extLst>
        <ext uri="{3e2802c4-a4d2-4d8b-9148-e3be6c30e623}">
          <xlrd:rvb i="2627"/>
        </ext>
      </extLst>
    </bk>
    <bk>
      <extLst>
        <ext uri="{3e2802c4-a4d2-4d8b-9148-e3be6c30e623}">
          <xlrd:rvb i="2628"/>
        </ext>
      </extLst>
    </bk>
    <bk>
      <extLst>
        <ext uri="{3e2802c4-a4d2-4d8b-9148-e3be6c30e623}">
          <xlrd:rvb i="2629"/>
        </ext>
      </extLst>
    </bk>
    <bk>
      <extLst>
        <ext uri="{3e2802c4-a4d2-4d8b-9148-e3be6c30e623}">
          <xlrd:rvb i="2630"/>
        </ext>
      </extLst>
    </bk>
    <bk>
      <extLst>
        <ext uri="{3e2802c4-a4d2-4d8b-9148-e3be6c30e623}">
          <xlrd:rvb i="2631"/>
        </ext>
      </extLst>
    </bk>
    <bk>
      <extLst>
        <ext uri="{3e2802c4-a4d2-4d8b-9148-e3be6c30e623}">
          <xlrd:rvb i="2632"/>
        </ext>
      </extLst>
    </bk>
    <bk>
      <extLst>
        <ext uri="{3e2802c4-a4d2-4d8b-9148-e3be6c30e623}">
          <xlrd:rvb i="2633"/>
        </ext>
      </extLst>
    </bk>
    <bk>
      <extLst>
        <ext uri="{3e2802c4-a4d2-4d8b-9148-e3be6c30e623}">
          <xlrd:rvb i="2634"/>
        </ext>
      </extLst>
    </bk>
    <bk>
      <extLst>
        <ext uri="{3e2802c4-a4d2-4d8b-9148-e3be6c30e623}">
          <xlrd:rvb i="2635"/>
        </ext>
      </extLst>
    </bk>
    <bk>
      <extLst>
        <ext uri="{3e2802c4-a4d2-4d8b-9148-e3be6c30e623}">
          <xlrd:rvb i="2638"/>
        </ext>
      </extLst>
    </bk>
    <bk>
      <extLst>
        <ext uri="{3e2802c4-a4d2-4d8b-9148-e3be6c30e623}">
          <xlrd:rvb i="2639"/>
        </ext>
      </extLst>
    </bk>
    <bk>
      <extLst>
        <ext uri="{3e2802c4-a4d2-4d8b-9148-e3be6c30e623}">
          <xlrd:rvb i="2640"/>
        </ext>
      </extLst>
    </bk>
    <bk>
      <extLst>
        <ext uri="{3e2802c4-a4d2-4d8b-9148-e3be6c30e623}">
          <xlrd:rvb i="2641"/>
        </ext>
      </extLst>
    </bk>
    <bk>
      <extLst>
        <ext uri="{3e2802c4-a4d2-4d8b-9148-e3be6c30e623}">
          <xlrd:rvb i="2642"/>
        </ext>
      </extLst>
    </bk>
    <bk>
      <extLst>
        <ext uri="{3e2802c4-a4d2-4d8b-9148-e3be6c30e623}">
          <xlrd:rvb i="2643"/>
        </ext>
      </extLst>
    </bk>
    <bk>
      <extLst>
        <ext uri="{3e2802c4-a4d2-4d8b-9148-e3be6c30e623}">
          <xlrd:rvb i="2644"/>
        </ext>
      </extLst>
    </bk>
    <bk>
      <extLst>
        <ext uri="{3e2802c4-a4d2-4d8b-9148-e3be6c30e623}">
          <xlrd:rvb i="2645"/>
        </ext>
      </extLst>
    </bk>
    <bk>
      <extLst>
        <ext uri="{3e2802c4-a4d2-4d8b-9148-e3be6c30e623}">
          <xlrd:rvb i="2646"/>
        </ext>
      </extLst>
    </bk>
    <bk>
      <extLst>
        <ext uri="{3e2802c4-a4d2-4d8b-9148-e3be6c30e623}">
          <xlrd:rvb i="2647"/>
        </ext>
      </extLst>
    </bk>
    <bk>
      <extLst>
        <ext uri="{3e2802c4-a4d2-4d8b-9148-e3be6c30e623}">
          <xlrd:rvb i="2648"/>
        </ext>
      </extLst>
    </bk>
    <bk>
      <extLst>
        <ext uri="{3e2802c4-a4d2-4d8b-9148-e3be6c30e623}">
          <xlrd:rvb i="2649"/>
        </ext>
      </extLst>
    </bk>
    <bk>
      <extLst>
        <ext uri="{3e2802c4-a4d2-4d8b-9148-e3be6c30e623}">
          <xlrd:rvb i="2650"/>
        </ext>
      </extLst>
    </bk>
    <bk>
      <extLst>
        <ext uri="{3e2802c4-a4d2-4d8b-9148-e3be6c30e623}">
          <xlrd:rvb i="2651"/>
        </ext>
      </extLst>
    </bk>
    <bk>
      <extLst>
        <ext uri="{3e2802c4-a4d2-4d8b-9148-e3be6c30e623}">
          <xlrd:rvb i="2652"/>
        </ext>
      </extLst>
    </bk>
    <bk>
      <extLst>
        <ext uri="{3e2802c4-a4d2-4d8b-9148-e3be6c30e623}">
          <xlrd:rvb i="2653"/>
        </ext>
      </extLst>
    </bk>
    <bk>
      <extLst>
        <ext uri="{3e2802c4-a4d2-4d8b-9148-e3be6c30e623}">
          <xlrd:rvb i="2654"/>
        </ext>
      </extLst>
    </bk>
    <bk>
      <extLst>
        <ext uri="{3e2802c4-a4d2-4d8b-9148-e3be6c30e623}">
          <xlrd:rvb i="2655"/>
        </ext>
      </extLst>
    </bk>
    <bk>
      <extLst>
        <ext uri="{3e2802c4-a4d2-4d8b-9148-e3be6c30e623}">
          <xlrd:rvb i="2656"/>
        </ext>
      </extLst>
    </bk>
    <bk>
      <extLst>
        <ext uri="{3e2802c4-a4d2-4d8b-9148-e3be6c30e623}">
          <xlrd:rvb i="2659"/>
        </ext>
      </extLst>
    </bk>
    <bk>
      <extLst>
        <ext uri="{3e2802c4-a4d2-4d8b-9148-e3be6c30e623}">
          <xlrd:rvb i="2660"/>
        </ext>
      </extLst>
    </bk>
    <bk>
      <extLst>
        <ext uri="{3e2802c4-a4d2-4d8b-9148-e3be6c30e623}">
          <xlrd:rvb i="2661"/>
        </ext>
      </extLst>
    </bk>
    <bk>
      <extLst>
        <ext uri="{3e2802c4-a4d2-4d8b-9148-e3be6c30e623}">
          <xlrd:rvb i="2662"/>
        </ext>
      </extLst>
    </bk>
    <bk>
      <extLst>
        <ext uri="{3e2802c4-a4d2-4d8b-9148-e3be6c30e623}">
          <xlrd:rvb i="2663"/>
        </ext>
      </extLst>
    </bk>
    <bk>
      <extLst>
        <ext uri="{3e2802c4-a4d2-4d8b-9148-e3be6c30e623}">
          <xlrd:rvb i="2664"/>
        </ext>
      </extLst>
    </bk>
    <bk>
      <extLst>
        <ext uri="{3e2802c4-a4d2-4d8b-9148-e3be6c30e623}">
          <xlrd:rvb i="2665"/>
        </ext>
      </extLst>
    </bk>
    <bk>
      <extLst>
        <ext uri="{3e2802c4-a4d2-4d8b-9148-e3be6c30e623}">
          <xlrd:rvb i="2666"/>
        </ext>
      </extLst>
    </bk>
    <bk>
      <extLst>
        <ext uri="{3e2802c4-a4d2-4d8b-9148-e3be6c30e623}">
          <xlrd:rvb i="2667"/>
        </ext>
      </extLst>
    </bk>
    <bk>
      <extLst>
        <ext uri="{3e2802c4-a4d2-4d8b-9148-e3be6c30e623}">
          <xlrd:rvb i="2668"/>
        </ext>
      </extLst>
    </bk>
    <bk>
      <extLst>
        <ext uri="{3e2802c4-a4d2-4d8b-9148-e3be6c30e623}">
          <xlrd:rvb i="2669"/>
        </ext>
      </extLst>
    </bk>
    <bk>
      <extLst>
        <ext uri="{3e2802c4-a4d2-4d8b-9148-e3be6c30e623}">
          <xlrd:rvb i="2670"/>
        </ext>
      </extLst>
    </bk>
    <bk>
      <extLst>
        <ext uri="{3e2802c4-a4d2-4d8b-9148-e3be6c30e623}">
          <xlrd:rvb i="2671"/>
        </ext>
      </extLst>
    </bk>
    <bk>
      <extLst>
        <ext uri="{3e2802c4-a4d2-4d8b-9148-e3be6c30e623}">
          <xlrd:rvb i="2672"/>
        </ext>
      </extLst>
    </bk>
    <bk>
      <extLst>
        <ext uri="{3e2802c4-a4d2-4d8b-9148-e3be6c30e623}">
          <xlrd:rvb i="2673"/>
        </ext>
      </extLst>
    </bk>
    <bk>
      <extLst>
        <ext uri="{3e2802c4-a4d2-4d8b-9148-e3be6c30e623}">
          <xlrd:rvb i="2676"/>
        </ext>
      </extLst>
    </bk>
    <bk>
      <extLst>
        <ext uri="{3e2802c4-a4d2-4d8b-9148-e3be6c30e623}">
          <xlrd:rvb i="2677"/>
        </ext>
      </extLst>
    </bk>
    <bk>
      <extLst>
        <ext uri="{3e2802c4-a4d2-4d8b-9148-e3be6c30e623}">
          <xlrd:rvb i="2678"/>
        </ext>
      </extLst>
    </bk>
    <bk>
      <extLst>
        <ext uri="{3e2802c4-a4d2-4d8b-9148-e3be6c30e623}">
          <xlrd:rvb i="2679"/>
        </ext>
      </extLst>
    </bk>
    <bk>
      <extLst>
        <ext uri="{3e2802c4-a4d2-4d8b-9148-e3be6c30e623}">
          <xlrd:rvb i="2680"/>
        </ext>
      </extLst>
    </bk>
    <bk>
      <extLst>
        <ext uri="{3e2802c4-a4d2-4d8b-9148-e3be6c30e623}">
          <xlrd:rvb i="2681"/>
        </ext>
      </extLst>
    </bk>
    <bk>
      <extLst>
        <ext uri="{3e2802c4-a4d2-4d8b-9148-e3be6c30e623}">
          <xlrd:rvb i="2682"/>
        </ext>
      </extLst>
    </bk>
    <bk>
      <extLst>
        <ext uri="{3e2802c4-a4d2-4d8b-9148-e3be6c30e623}">
          <xlrd:rvb i="2683"/>
        </ext>
      </extLst>
    </bk>
    <bk>
      <extLst>
        <ext uri="{3e2802c4-a4d2-4d8b-9148-e3be6c30e623}">
          <xlrd:rvb i="2684"/>
        </ext>
      </extLst>
    </bk>
    <bk>
      <extLst>
        <ext uri="{3e2802c4-a4d2-4d8b-9148-e3be6c30e623}">
          <xlrd:rvb i="2685"/>
        </ext>
      </extLst>
    </bk>
    <bk>
      <extLst>
        <ext uri="{3e2802c4-a4d2-4d8b-9148-e3be6c30e623}">
          <xlrd:rvb i="2686"/>
        </ext>
      </extLst>
    </bk>
    <bk>
      <extLst>
        <ext uri="{3e2802c4-a4d2-4d8b-9148-e3be6c30e623}">
          <xlrd:rvb i="2687"/>
        </ext>
      </extLst>
    </bk>
    <bk>
      <extLst>
        <ext uri="{3e2802c4-a4d2-4d8b-9148-e3be6c30e623}">
          <xlrd:rvb i="2688"/>
        </ext>
      </extLst>
    </bk>
    <bk>
      <extLst>
        <ext uri="{3e2802c4-a4d2-4d8b-9148-e3be6c30e623}">
          <xlrd:rvb i="2689"/>
        </ext>
      </extLst>
    </bk>
    <bk>
      <extLst>
        <ext uri="{3e2802c4-a4d2-4d8b-9148-e3be6c30e623}">
          <xlrd:rvb i="2690"/>
        </ext>
      </extLst>
    </bk>
    <bk>
      <extLst>
        <ext uri="{3e2802c4-a4d2-4d8b-9148-e3be6c30e623}">
          <xlrd:rvb i="2691"/>
        </ext>
      </extLst>
    </bk>
    <bk>
      <extLst>
        <ext uri="{3e2802c4-a4d2-4d8b-9148-e3be6c30e623}">
          <xlrd:rvb i="2692"/>
        </ext>
      </extLst>
    </bk>
    <bk>
      <extLst>
        <ext uri="{3e2802c4-a4d2-4d8b-9148-e3be6c30e623}">
          <xlrd:rvb i="2695"/>
        </ext>
      </extLst>
    </bk>
    <bk>
      <extLst>
        <ext uri="{3e2802c4-a4d2-4d8b-9148-e3be6c30e623}">
          <xlrd:rvb i="2696"/>
        </ext>
      </extLst>
    </bk>
    <bk>
      <extLst>
        <ext uri="{3e2802c4-a4d2-4d8b-9148-e3be6c30e623}">
          <xlrd:rvb i="2697"/>
        </ext>
      </extLst>
    </bk>
    <bk>
      <extLst>
        <ext uri="{3e2802c4-a4d2-4d8b-9148-e3be6c30e623}">
          <xlrd:rvb i="2698"/>
        </ext>
      </extLst>
    </bk>
    <bk>
      <extLst>
        <ext uri="{3e2802c4-a4d2-4d8b-9148-e3be6c30e623}">
          <xlrd:rvb i="2699"/>
        </ext>
      </extLst>
    </bk>
    <bk>
      <extLst>
        <ext uri="{3e2802c4-a4d2-4d8b-9148-e3be6c30e623}">
          <xlrd:rvb i="2700"/>
        </ext>
      </extLst>
    </bk>
    <bk>
      <extLst>
        <ext uri="{3e2802c4-a4d2-4d8b-9148-e3be6c30e623}">
          <xlrd:rvb i="2701"/>
        </ext>
      </extLst>
    </bk>
    <bk>
      <extLst>
        <ext uri="{3e2802c4-a4d2-4d8b-9148-e3be6c30e623}">
          <xlrd:rvb i="2702"/>
        </ext>
      </extLst>
    </bk>
    <bk>
      <extLst>
        <ext uri="{3e2802c4-a4d2-4d8b-9148-e3be6c30e623}">
          <xlrd:rvb i="2703"/>
        </ext>
      </extLst>
    </bk>
    <bk>
      <extLst>
        <ext uri="{3e2802c4-a4d2-4d8b-9148-e3be6c30e623}">
          <xlrd:rvb i="2704"/>
        </ext>
      </extLst>
    </bk>
    <bk>
      <extLst>
        <ext uri="{3e2802c4-a4d2-4d8b-9148-e3be6c30e623}">
          <xlrd:rvb i="2705"/>
        </ext>
      </extLst>
    </bk>
    <bk>
      <extLst>
        <ext uri="{3e2802c4-a4d2-4d8b-9148-e3be6c30e623}">
          <xlrd:rvb i="2706"/>
        </ext>
      </extLst>
    </bk>
    <bk>
      <extLst>
        <ext uri="{3e2802c4-a4d2-4d8b-9148-e3be6c30e623}">
          <xlrd:rvb i="2707"/>
        </ext>
      </extLst>
    </bk>
    <bk>
      <extLst>
        <ext uri="{3e2802c4-a4d2-4d8b-9148-e3be6c30e623}">
          <xlrd:rvb i="2708"/>
        </ext>
      </extLst>
    </bk>
    <bk>
      <extLst>
        <ext uri="{3e2802c4-a4d2-4d8b-9148-e3be6c30e623}">
          <xlrd:rvb i="2709"/>
        </ext>
      </extLst>
    </bk>
    <bk>
      <extLst>
        <ext uri="{3e2802c4-a4d2-4d8b-9148-e3be6c30e623}">
          <xlrd:rvb i="2710"/>
        </ext>
      </extLst>
    </bk>
    <bk>
      <extLst>
        <ext uri="{3e2802c4-a4d2-4d8b-9148-e3be6c30e623}">
          <xlrd:rvb i="2711"/>
        </ext>
      </extLst>
    </bk>
    <bk>
      <extLst>
        <ext uri="{3e2802c4-a4d2-4d8b-9148-e3be6c30e623}">
          <xlrd:rvb i="2712"/>
        </ext>
      </extLst>
    </bk>
    <bk>
      <extLst>
        <ext uri="{3e2802c4-a4d2-4d8b-9148-e3be6c30e623}">
          <xlrd:rvb i="2715"/>
        </ext>
      </extLst>
    </bk>
    <bk>
      <extLst>
        <ext uri="{3e2802c4-a4d2-4d8b-9148-e3be6c30e623}">
          <xlrd:rvb i="2716"/>
        </ext>
      </extLst>
    </bk>
    <bk>
      <extLst>
        <ext uri="{3e2802c4-a4d2-4d8b-9148-e3be6c30e623}">
          <xlrd:rvb i="2717"/>
        </ext>
      </extLst>
    </bk>
    <bk>
      <extLst>
        <ext uri="{3e2802c4-a4d2-4d8b-9148-e3be6c30e623}">
          <xlrd:rvb i="2718"/>
        </ext>
      </extLst>
    </bk>
    <bk>
      <extLst>
        <ext uri="{3e2802c4-a4d2-4d8b-9148-e3be6c30e623}">
          <xlrd:rvb i="2719"/>
        </ext>
      </extLst>
    </bk>
    <bk>
      <extLst>
        <ext uri="{3e2802c4-a4d2-4d8b-9148-e3be6c30e623}">
          <xlrd:rvb i="2720"/>
        </ext>
      </extLst>
    </bk>
    <bk>
      <extLst>
        <ext uri="{3e2802c4-a4d2-4d8b-9148-e3be6c30e623}">
          <xlrd:rvb i="2721"/>
        </ext>
      </extLst>
    </bk>
    <bk>
      <extLst>
        <ext uri="{3e2802c4-a4d2-4d8b-9148-e3be6c30e623}">
          <xlrd:rvb i="2722"/>
        </ext>
      </extLst>
    </bk>
    <bk>
      <extLst>
        <ext uri="{3e2802c4-a4d2-4d8b-9148-e3be6c30e623}">
          <xlrd:rvb i="2723"/>
        </ext>
      </extLst>
    </bk>
    <bk>
      <extLst>
        <ext uri="{3e2802c4-a4d2-4d8b-9148-e3be6c30e623}">
          <xlrd:rvb i="2724"/>
        </ext>
      </extLst>
    </bk>
    <bk>
      <extLst>
        <ext uri="{3e2802c4-a4d2-4d8b-9148-e3be6c30e623}">
          <xlrd:rvb i="2725"/>
        </ext>
      </extLst>
    </bk>
    <bk>
      <extLst>
        <ext uri="{3e2802c4-a4d2-4d8b-9148-e3be6c30e623}">
          <xlrd:rvb i="2726"/>
        </ext>
      </extLst>
    </bk>
    <bk>
      <extLst>
        <ext uri="{3e2802c4-a4d2-4d8b-9148-e3be6c30e623}">
          <xlrd:rvb i="2727"/>
        </ext>
      </extLst>
    </bk>
    <bk>
      <extLst>
        <ext uri="{3e2802c4-a4d2-4d8b-9148-e3be6c30e623}">
          <xlrd:rvb i="2728"/>
        </ext>
      </extLst>
    </bk>
    <bk>
      <extLst>
        <ext uri="{3e2802c4-a4d2-4d8b-9148-e3be6c30e623}">
          <xlrd:rvb i="2729"/>
        </ext>
      </extLst>
    </bk>
    <bk>
      <extLst>
        <ext uri="{3e2802c4-a4d2-4d8b-9148-e3be6c30e623}">
          <xlrd:rvb i="2730"/>
        </ext>
      </extLst>
    </bk>
    <bk>
      <extLst>
        <ext uri="{3e2802c4-a4d2-4d8b-9148-e3be6c30e623}">
          <xlrd:rvb i="2731"/>
        </ext>
      </extLst>
    </bk>
    <bk>
      <extLst>
        <ext uri="{3e2802c4-a4d2-4d8b-9148-e3be6c30e623}">
          <xlrd:rvb i="2732"/>
        </ext>
      </extLst>
    </bk>
    <bk>
      <extLst>
        <ext uri="{3e2802c4-a4d2-4d8b-9148-e3be6c30e623}">
          <xlrd:rvb i="2733"/>
        </ext>
      </extLst>
    </bk>
    <bk>
      <extLst>
        <ext uri="{3e2802c4-a4d2-4d8b-9148-e3be6c30e623}">
          <xlrd:rvb i="2734"/>
        </ext>
      </extLst>
    </bk>
    <bk>
      <extLst>
        <ext uri="{3e2802c4-a4d2-4d8b-9148-e3be6c30e623}">
          <xlrd:rvb i="2735"/>
        </ext>
      </extLst>
    </bk>
    <bk>
      <extLst>
        <ext uri="{3e2802c4-a4d2-4d8b-9148-e3be6c30e623}">
          <xlrd:rvb i="2736"/>
        </ext>
      </extLst>
    </bk>
    <bk>
      <extLst>
        <ext uri="{3e2802c4-a4d2-4d8b-9148-e3be6c30e623}">
          <xlrd:rvb i="2739"/>
        </ext>
      </extLst>
    </bk>
    <bk>
      <extLst>
        <ext uri="{3e2802c4-a4d2-4d8b-9148-e3be6c30e623}">
          <xlrd:rvb i="2740"/>
        </ext>
      </extLst>
    </bk>
    <bk>
      <extLst>
        <ext uri="{3e2802c4-a4d2-4d8b-9148-e3be6c30e623}">
          <xlrd:rvb i="2741"/>
        </ext>
      </extLst>
    </bk>
    <bk>
      <extLst>
        <ext uri="{3e2802c4-a4d2-4d8b-9148-e3be6c30e623}">
          <xlrd:rvb i="2742"/>
        </ext>
      </extLst>
    </bk>
    <bk>
      <extLst>
        <ext uri="{3e2802c4-a4d2-4d8b-9148-e3be6c30e623}">
          <xlrd:rvb i="2743"/>
        </ext>
      </extLst>
    </bk>
    <bk>
      <extLst>
        <ext uri="{3e2802c4-a4d2-4d8b-9148-e3be6c30e623}">
          <xlrd:rvb i="2744"/>
        </ext>
      </extLst>
    </bk>
    <bk>
      <extLst>
        <ext uri="{3e2802c4-a4d2-4d8b-9148-e3be6c30e623}">
          <xlrd:rvb i="2745"/>
        </ext>
      </extLst>
    </bk>
    <bk>
      <extLst>
        <ext uri="{3e2802c4-a4d2-4d8b-9148-e3be6c30e623}">
          <xlrd:rvb i="2746"/>
        </ext>
      </extLst>
    </bk>
    <bk>
      <extLst>
        <ext uri="{3e2802c4-a4d2-4d8b-9148-e3be6c30e623}">
          <xlrd:rvb i="2747"/>
        </ext>
      </extLst>
    </bk>
    <bk>
      <extLst>
        <ext uri="{3e2802c4-a4d2-4d8b-9148-e3be6c30e623}">
          <xlrd:rvb i="2748"/>
        </ext>
      </extLst>
    </bk>
    <bk>
      <extLst>
        <ext uri="{3e2802c4-a4d2-4d8b-9148-e3be6c30e623}">
          <xlrd:rvb i="2749"/>
        </ext>
      </extLst>
    </bk>
    <bk>
      <extLst>
        <ext uri="{3e2802c4-a4d2-4d8b-9148-e3be6c30e623}">
          <xlrd:rvb i="2750"/>
        </ext>
      </extLst>
    </bk>
    <bk>
      <extLst>
        <ext uri="{3e2802c4-a4d2-4d8b-9148-e3be6c30e623}">
          <xlrd:rvb i="2751"/>
        </ext>
      </extLst>
    </bk>
    <bk>
      <extLst>
        <ext uri="{3e2802c4-a4d2-4d8b-9148-e3be6c30e623}">
          <xlrd:rvb i="2752"/>
        </ext>
      </extLst>
    </bk>
    <bk>
      <extLst>
        <ext uri="{3e2802c4-a4d2-4d8b-9148-e3be6c30e623}">
          <xlrd:rvb i="2753"/>
        </ext>
      </extLst>
    </bk>
    <bk>
      <extLst>
        <ext uri="{3e2802c4-a4d2-4d8b-9148-e3be6c30e623}">
          <xlrd:rvb i="2754"/>
        </ext>
      </extLst>
    </bk>
    <bk>
      <extLst>
        <ext uri="{3e2802c4-a4d2-4d8b-9148-e3be6c30e623}">
          <xlrd:rvb i="2755"/>
        </ext>
      </extLst>
    </bk>
    <bk>
      <extLst>
        <ext uri="{3e2802c4-a4d2-4d8b-9148-e3be6c30e623}">
          <xlrd:rvb i="2756"/>
        </ext>
      </extLst>
    </bk>
    <bk>
      <extLst>
        <ext uri="{3e2802c4-a4d2-4d8b-9148-e3be6c30e623}">
          <xlrd:rvb i="2757"/>
        </ext>
      </extLst>
    </bk>
    <bk>
      <extLst>
        <ext uri="{3e2802c4-a4d2-4d8b-9148-e3be6c30e623}">
          <xlrd:rvb i="2758"/>
        </ext>
      </extLst>
    </bk>
    <bk>
      <extLst>
        <ext uri="{3e2802c4-a4d2-4d8b-9148-e3be6c30e623}">
          <xlrd:rvb i="2759"/>
        </ext>
      </extLst>
    </bk>
    <bk>
      <extLst>
        <ext uri="{3e2802c4-a4d2-4d8b-9148-e3be6c30e623}">
          <xlrd:rvb i="2760"/>
        </ext>
      </extLst>
    </bk>
    <bk>
      <extLst>
        <ext uri="{3e2802c4-a4d2-4d8b-9148-e3be6c30e623}">
          <xlrd:rvb i="2763"/>
        </ext>
      </extLst>
    </bk>
    <bk>
      <extLst>
        <ext uri="{3e2802c4-a4d2-4d8b-9148-e3be6c30e623}">
          <xlrd:rvb i="2764"/>
        </ext>
      </extLst>
    </bk>
    <bk>
      <extLst>
        <ext uri="{3e2802c4-a4d2-4d8b-9148-e3be6c30e623}">
          <xlrd:rvb i="2765"/>
        </ext>
      </extLst>
    </bk>
    <bk>
      <extLst>
        <ext uri="{3e2802c4-a4d2-4d8b-9148-e3be6c30e623}">
          <xlrd:rvb i="2766"/>
        </ext>
      </extLst>
    </bk>
    <bk>
      <extLst>
        <ext uri="{3e2802c4-a4d2-4d8b-9148-e3be6c30e623}">
          <xlrd:rvb i="2767"/>
        </ext>
      </extLst>
    </bk>
    <bk>
      <extLst>
        <ext uri="{3e2802c4-a4d2-4d8b-9148-e3be6c30e623}">
          <xlrd:rvb i="2768"/>
        </ext>
      </extLst>
    </bk>
    <bk>
      <extLst>
        <ext uri="{3e2802c4-a4d2-4d8b-9148-e3be6c30e623}">
          <xlrd:rvb i="2769"/>
        </ext>
      </extLst>
    </bk>
    <bk>
      <extLst>
        <ext uri="{3e2802c4-a4d2-4d8b-9148-e3be6c30e623}">
          <xlrd:rvb i="2770"/>
        </ext>
      </extLst>
    </bk>
    <bk>
      <extLst>
        <ext uri="{3e2802c4-a4d2-4d8b-9148-e3be6c30e623}">
          <xlrd:rvb i="2771"/>
        </ext>
      </extLst>
    </bk>
    <bk>
      <extLst>
        <ext uri="{3e2802c4-a4d2-4d8b-9148-e3be6c30e623}">
          <xlrd:rvb i="2772"/>
        </ext>
      </extLst>
    </bk>
    <bk>
      <extLst>
        <ext uri="{3e2802c4-a4d2-4d8b-9148-e3be6c30e623}">
          <xlrd:rvb i="2773"/>
        </ext>
      </extLst>
    </bk>
    <bk>
      <extLst>
        <ext uri="{3e2802c4-a4d2-4d8b-9148-e3be6c30e623}">
          <xlrd:rvb i="2774"/>
        </ext>
      </extLst>
    </bk>
    <bk>
      <extLst>
        <ext uri="{3e2802c4-a4d2-4d8b-9148-e3be6c30e623}">
          <xlrd:rvb i="2775"/>
        </ext>
      </extLst>
    </bk>
    <bk>
      <extLst>
        <ext uri="{3e2802c4-a4d2-4d8b-9148-e3be6c30e623}">
          <xlrd:rvb i="2776"/>
        </ext>
      </extLst>
    </bk>
    <bk>
      <extLst>
        <ext uri="{3e2802c4-a4d2-4d8b-9148-e3be6c30e623}">
          <xlrd:rvb i="2777"/>
        </ext>
      </extLst>
    </bk>
    <bk>
      <extLst>
        <ext uri="{3e2802c4-a4d2-4d8b-9148-e3be6c30e623}">
          <xlrd:rvb i="2778"/>
        </ext>
      </extLst>
    </bk>
    <bk>
      <extLst>
        <ext uri="{3e2802c4-a4d2-4d8b-9148-e3be6c30e623}">
          <xlrd:rvb i="2779"/>
        </ext>
      </extLst>
    </bk>
    <bk>
      <extLst>
        <ext uri="{3e2802c4-a4d2-4d8b-9148-e3be6c30e623}">
          <xlrd:rvb i="2782"/>
        </ext>
      </extLst>
    </bk>
    <bk>
      <extLst>
        <ext uri="{3e2802c4-a4d2-4d8b-9148-e3be6c30e623}">
          <xlrd:rvb i="2783"/>
        </ext>
      </extLst>
    </bk>
    <bk>
      <extLst>
        <ext uri="{3e2802c4-a4d2-4d8b-9148-e3be6c30e623}">
          <xlrd:rvb i="2784"/>
        </ext>
      </extLst>
    </bk>
    <bk>
      <extLst>
        <ext uri="{3e2802c4-a4d2-4d8b-9148-e3be6c30e623}">
          <xlrd:rvb i="2785"/>
        </ext>
      </extLst>
    </bk>
    <bk>
      <extLst>
        <ext uri="{3e2802c4-a4d2-4d8b-9148-e3be6c30e623}">
          <xlrd:rvb i="2786"/>
        </ext>
      </extLst>
    </bk>
    <bk>
      <extLst>
        <ext uri="{3e2802c4-a4d2-4d8b-9148-e3be6c30e623}">
          <xlrd:rvb i="2787"/>
        </ext>
      </extLst>
    </bk>
    <bk>
      <extLst>
        <ext uri="{3e2802c4-a4d2-4d8b-9148-e3be6c30e623}">
          <xlrd:rvb i="2788"/>
        </ext>
      </extLst>
    </bk>
    <bk>
      <extLst>
        <ext uri="{3e2802c4-a4d2-4d8b-9148-e3be6c30e623}">
          <xlrd:rvb i="2789"/>
        </ext>
      </extLst>
    </bk>
    <bk>
      <extLst>
        <ext uri="{3e2802c4-a4d2-4d8b-9148-e3be6c30e623}">
          <xlrd:rvb i="2790"/>
        </ext>
      </extLst>
    </bk>
    <bk>
      <extLst>
        <ext uri="{3e2802c4-a4d2-4d8b-9148-e3be6c30e623}">
          <xlrd:rvb i="2791"/>
        </ext>
      </extLst>
    </bk>
    <bk>
      <extLst>
        <ext uri="{3e2802c4-a4d2-4d8b-9148-e3be6c30e623}">
          <xlrd:rvb i="2792"/>
        </ext>
      </extLst>
    </bk>
    <bk>
      <extLst>
        <ext uri="{3e2802c4-a4d2-4d8b-9148-e3be6c30e623}">
          <xlrd:rvb i="2793"/>
        </ext>
      </extLst>
    </bk>
    <bk>
      <extLst>
        <ext uri="{3e2802c4-a4d2-4d8b-9148-e3be6c30e623}">
          <xlrd:rvb i="2794"/>
        </ext>
      </extLst>
    </bk>
    <bk>
      <extLst>
        <ext uri="{3e2802c4-a4d2-4d8b-9148-e3be6c30e623}">
          <xlrd:rvb i="2795"/>
        </ext>
      </extLst>
    </bk>
    <bk>
      <extLst>
        <ext uri="{3e2802c4-a4d2-4d8b-9148-e3be6c30e623}">
          <xlrd:rvb i="2796"/>
        </ext>
      </extLst>
    </bk>
    <bk>
      <extLst>
        <ext uri="{3e2802c4-a4d2-4d8b-9148-e3be6c30e623}">
          <xlrd:rvb i="2797"/>
        </ext>
      </extLst>
    </bk>
    <bk>
      <extLst>
        <ext uri="{3e2802c4-a4d2-4d8b-9148-e3be6c30e623}">
          <xlrd:rvb i="2798"/>
        </ext>
      </extLst>
    </bk>
    <bk>
      <extLst>
        <ext uri="{3e2802c4-a4d2-4d8b-9148-e3be6c30e623}">
          <xlrd:rvb i="2799"/>
        </ext>
      </extLst>
    </bk>
    <bk>
      <extLst>
        <ext uri="{3e2802c4-a4d2-4d8b-9148-e3be6c30e623}">
          <xlrd:rvb i="2802"/>
        </ext>
      </extLst>
    </bk>
    <bk>
      <extLst>
        <ext uri="{3e2802c4-a4d2-4d8b-9148-e3be6c30e623}">
          <xlrd:rvb i="2803"/>
        </ext>
      </extLst>
    </bk>
    <bk>
      <extLst>
        <ext uri="{3e2802c4-a4d2-4d8b-9148-e3be6c30e623}">
          <xlrd:rvb i="2804"/>
        </ext>
      </extLst>
    </bk>
    <bk>
      <extLst>
        <ext uri="{3e2802c4-a4d2-4d8b-9148-e3be6c30e623}">
          <xlrd:rvb i="2805"/>
        </ext>
      </extLst>
    </bk>
    <bk>
      <extLst>
        <ext uri="{3e2802c4-a4d2-4d8b-9148-e3be6c30e623}">
          <xlrd:rvb i="2806"/>
        </ext>
      </extLst>
    </bk>
    <bk>
      <extLst>
        <ext uri="{3e2802c4-a4d2-4d8b-9148-e3be6c30e623}">
          <xlrd:rvb i="2807"/>
        </ext>
      </extLst>
    </bk>
    <bk>
      <extLst>
        <ext uri="{3e2802c4-a4d2-4d8b-9148-e3be6c30e623}">
          <xlrd:rvb i="2808"/>
        </ext>
      </extLst>
    </bk>
    <bk>
      <extLst>
        <ext uri="{3e2802c4-a4d2-4d8b-9148-e3be6c30e623}">
          <xlrd:rvb i="2809"/>
        </ext>
      </extLst>
    </bk>
    <bk>
      <extLst>
        <ext uri="{3e2802c4-a4d2-4d8b-9148-e3be6c30e623}">
          <xlrd:rvb i="2810"/>
        </ext>
      </extLst>
    </bk>
    <bk>
      <extLst>
        <ext uri="{3e2802c4-a4d2-4d8b-9148-e3be6c30e623}">
          <xlrd:rvb i="2811"/>
        </ext>
      </extLst>
    </bk>
    <bk>
      <extLst>
        <ext uri="{3e2802c4-a4d2-4d8b-9148-e3be6c30e623}">
          <xlrd:rvb i="2812"/>
        </ext>
      </extLst>
    </bk>
    <bk>
      <extLst>
        <ext uri="{3e2802c4-a4d2-4d8b-9148-e3be6c30e623}">
          <xlrd:rvb i="2813"/>
        </ext>
      </extLst>
    </bk>
    <bk>
      <extLst>
        <ext uri="{3e2802c4-a4d2-4d8b-9148-e3be6c30e623}">
          <xlrd:rvb i="2814"/>
        </ext>
      </extLst>
    </bk>
    <bk>
      <extLst>
        <ext uri="{3e2802c4-a4d2-4d8b-9148-e3be6c30e623}">
          <xlrd:rvb i="2815"/>
        </ext>
      </extLst>
    </bk>
    <bk>
      <extLst>
        <ext uri="{3e2802c4-a4d2-4d8b-9148-e3be6c30e623}">
          <xlrd:rvb i="2816"/>
        </ext>
      </extLst>
    </bk>
    <bk>
      <extLst>
        <ext uri="{3e2802c4-a4d2-4d8b-9148-e3be6c30e623}">
          <xlrd:rvb i="2817"/>
        </ext>
      </extLst>
    </bk>
    <bk>
      <extLst>
        <ext uri="{3e2802c4-a4d2-4d8b-9148-e3be6c30e623}">
          <xlrd:rvb i="2818"/>
        </ext>
      </extLst>
    </bk>
    <bk>
      <extLst>
        <ext uri="{3e2802c4-a4d2-4d8b-9148-e3be6c30e623}">
          <xlrd:rvb i="2819"/>
        </ext>
      </extLst>
    </bk>
    <bk>
      <extLst>
        <ext uri="{3e2802c4-a4d2-4d8b-9148-e3be6c30e623}">
          <xlrd:rvb i="2820"/>
        </ext>
      </extLst>
    </bk>
    <bk>
      <extLst>
        <ext uri="{3e2802c4-a4d2-4d8b-9148-e3be6c30e623}">
          <xlrd:rvb i="2821"/>
        </ext>
      </extLst>
    </bk>
    <bk>
      <extLst>
        <ext uri="{3e2802c4-a4d2-4d8b-9148-e3be6c30e623}">
          <xlrd:rvb i="2822"/>
        </ext>
      </extLst>
    </bk>
    <bk>
      <extLst>
        <ext uri="{3e2802c4-a4d2-4d8b-9148-e3be6c30e623}">
          <xlrd:rvb i="2823"/>
        </ext>
      </extLst>
    </bk>
    <bk>
      <extLst>
        <ext uri="{3e2802c4-a4d2-4d8b-9148-e3be6c30e623}">
          <xlrd:rvb i="2826"/>
        </ext>
      </extLst>
    </bk>
    <bk>
      <extLst>
        <ext uri="{3e2802c4-a4d2-4d8b-9148-e3be6c30e623}">
          <xlrd:rvb i="2827"/>
        </ext>
      </extLst>
    </bk>
    <bk>
      <extLst>
        <ext uri="{3e2802c4-a4d2-4d8b-9148-e3be6c30e623}">
          <xlrd:rvb i="2828"/>
        </ext>
      </extLst>
    </bk>
    <bk>
      <extLst>
        <ext uri="{3e2802c4-a4d2-4d8b-9148-e3be6c30e623}">
          <xlrd:rvb i="2829"/>
        </ext>
      </extLst>
    </bk>
    <bk>
      <extLst>
        <ext uri="{3e2802c4-a4d2-4d8b-9148-e3be6c30e623}">
          <xlrd:rvb i="2830"/>
        </ext>
      </extLst>
    </bk>
    <bk>
      <extLst>
        <ext uri="{3e2802c4-a4d2-4d8b-9148-e3be6c30e623}">
          <xlrd:rvb i="2831"/>
        </ext>
      </extLst>
    </bk>
    <bk>
      <extLst>
        <ext uri="{3e2802c4-a4d2-4d8b-9148-e3be6c30e623}">
          <xlrd:rvb i="2832"/>
        </ext>
      </extLst>
    </bk>
    <bk>
      <extLst>
        <ext uri="{3e2802c4-a4d2-4d8b-9148-e3be6c30e623}">
          <xlrd:rvb i="2833"/>
        </ext>
      </extLst>
    </bk>
    <bk>
      <extLst>
        <ext uri="{3e2802c4-a4d2-4d8b-9148-e3be6c30e623}">
          <xlrd:rvb i="2834"/>
        </ext>
      </extLst>
    </bk>
    <bk>
      <extLst>
        <ext uri="{3e2802c4-a4d2-4d8b-9148-e3be6c30e623}">
          <xlrd:rvb i="2835"/>
        </ext>
      </extLst>
    </bk>
    <bk>
      <extLst>
        <ext uri="{3e2802c4-a4d2-4d8b-9148-e3be6c30e623}">
          <xlrd:rvb i="2836"/>
        </ext>
      </extLst>
    </bk>
    <bk>
      <extLst>
        <ext uri="{3e2802c4-a4d2-4d8b-9148-e3be6c30e623}">
          <xlrd:rvb i="2837"/>
        </ext>
      </extLst>
    </bk>
    <bk>
      <extLst>
        <ext uri="{3e2802c4-a4d2-4d8b-9148-e3be6c30e623}">
          <xlrd:rvb i="2838"/>
        </ext>
      </extLst>
    </bk>
    <bk>
      <extLst>
        <ext uri="{3e2802c4-a4d2-4d8b-9148-e3be6c30e623}">
          <xlrd:rvb i="2839"/>
        </ext>
      </extLst>
    </bk>
    <bk>
      <extLst>
        <ext uri="{3e2802c4-a4d2-4d8b-9148-e3be6c30e623}">
          <xlrd:rvb i="2840"/>
        </ext>
      </extLst>
    </bk>
    <bk>
      <extLst>
        <ext uri="{3e2802c4-a4d2-4d8b-9148-e3be6c30e623}">
          <xlrd:rvb i="2841"/>
        </ext>
      </extLst>
    </bk>
    <bk>
      <extLst>
        <ext uri="{3e2802c4-a4d2-4d8b-9148-e3be6c30e623}">
          <xlrd:rvb i="2842"/>
        </ext>
      </extLst>
    </bk>
    <bk>
      <extLst>
        <ext uri="{3e2802c4-a4d2-4d8b-9148-e3be6c30e623}">
          <xlrd:rvb i="2843"/>
        </ext>
      </extLst>
    </bk>
    <bk>
      <extLst>
        <ext uri="{3e2802c4-a4d2-4d8b-9148-e3be6c30e623}">
          <xlrd:rvb i="2844"/>
        </ext>
      </extLst>
    </bk>
    <bk>
      <extLst>
        <ext uri="{3e2802c4-a4d2-4d8b-9148-e3be6c30e623}">
          <xlrd:rvb i="2845"/>
        </ext>
      </extLst>
    </bk>
    <bk>
      <extLst>
        <ext uri="{3e2802c4-a4d2-4d8b-9148-e3be6c30e623}">
          <xlrd:rvb i="2846"/>
        </ext>
      </extLst>
    </bk>
    <bk>
      <extLst>
        <ext uri="{3e2802c4-a4d2-4d8b-9148-e3be6c30e623}">
          <xlrd:rvb i="2847"/>
        </ext>
      </extLst>
    </bk>
    <bk>
      <extLst>
        <ext uri="{3e2802c4-a4d2-4d8b-9148-e3be6c30e623}">
          <xlrd:rvb i="2848"/>
        </ext>
      </extLst>
    </bk>
    <bk>
      <extLst>
        <ext uri="{3e2802c4-a4d2-4d8b-9148-e3be6c30e623}">
          <xlrd:rvb i="2851"/>
        </ext>
      </extLst>
    </bk>
    <bk>
      <extLst>
        <ext uri="{3e2802c4-a4d2-4d8b-9148-e3be6c30e623}">
          <xlrd:rvb i="2852"/>
        </ext>
      </extLst>
    </bk>
    <bk>
      <extLst>
        <ext uri="{3e2802c4-a4d2-4d8b-9148-e3be6c30e623}">
          <xlrd:rvb i="2853"/>
        </ext>
      </extLst>
    </bk>
    <bk>
      <extLst>
        <ext uri="{3e2802c4-a4d2-4d8b-9148-e3be6c30e623}">
          <xlrd:rvb i="2854"/>
        </ext>
      </extLst>
    </bk>
    <bk>
      <extLst>
        <ext uri="{3e2802c4-a4d2-4d8b-9148-e3be6c30e623}">
          <xlrd:rvb i="2855"/>
        </ext>
      </extLst>
    </bk>
    <bk>
      <extLst>
        <ext uri="{3e2802c4-a4d2-4d8b-9148-e3be6c30e623}">
          <xlrd:rvb i="2856"/>
        </ext>
      </extLst>
    </bk>
    <bk>
      <extLst>
        <ext uri="{3e2802c4-a4d2-4d8b-9148-e3be6c30e623}">
          <xlrd:rvb i="2857"/>
        </ext>
      </extLst>
    </bk>
    <bk>
      <extLst>
        <ext uri="{3e2802c4-a4d2-4d8b-9148-e3be6c30e623}">
          <xlrd:rvb i="2858"/>
        </ext>
      </extLst>
    </bk>
    <bk>
      <extLst>
        <ext uri="{3e2802c4-a4d2-4d8b-9148-e3be6c30e623}">
          <xlrd:rvb i="2859"/>
        </ext>
      </extLst>
    </bk>
    <bk>
      <extLst>
        <ext uri="{3e2802c4-a4d2-4d8b-9148-e3be6c30e623}">
          <xlrd:rvb i="2860"/>
        </ext>
      </extLst>
    </bk>
    <bk>
      <extLst>
        <ext uri="{3e2802c4-a4d2-4d8b-9148-e3be6c30e623}">
          <xlrd:rvb i="2861"/>
        </ext>
      </extLst>
    </bk>
    <bk>
      <extLst>
        <ext uri="{3e2802c4-a4d2-4d8b-9148-e3be6c30e623}">
          <xlrd:rvb i="2862"/>
        </ext>
      </extLst>
    </bk>
    <bk>
      <extLst>
        <ext uri="{3e2802c4-a4d2-4d8b-9148-e3be6c30e623}">
          <xlrd:rvb i="2863"/>
        </ext>
      </extLst>
    </bk>
    <bk>
      <extLst>
        <ext uri="{3e2802c4-a4d2-4d8b-9148-e3be6c30e623}">
          <xlrd:rvb i="2864"/>
        </ext>
      </extLst>
    </bk>
    <bk>
      <extLst>
        <ext uri="{3e2802c4-a4d2-4d8b-9148-e3be6c30e623}">
          <xlrd:rvb i="2865"/>
        </ext>
      </extLst>
    </bk>
    <bk>
      <extLst>
        <ext uri="{3e2802c4-a4d2-4d8b-9148-e3be6c30e623}">
          <xlrd:rvb i="2866"/>
        </ext>
      </extLst>
    </bk>
    <bk>
      <extLst>
        <ext uri="{3e2802c4-a4d2-4d8b-9148-e3be6c30e623}">
          <xlrd:rvb i="2867"/>
        </ext>
      </extLst>
    </bk>
    <bk>
      <extLst>
        <ext uri="{3e2802c4-a4d2-4d8b-9148-e3be6c30e623}">
          <xlrd:rvb i="2868"/>
        </ext>
      </extLst>
    </bk>
    <bk>
      <extLst>
        <ext uri="{3e2802c4-a4d2-4d8b-9148-e3be6c30e623}">
          <xlrd:rvb i="2869"/>
        </ext>
      </extLst>
    </bk>
    <bk>
      <extLst>
        <ext uri="{3e2802c4-a4d2-4d8b-9148-e3be6c30e623}">
          <xlrd:rvb i="2870"/>
        </ext>
      </extLst>
    </bk>
    <bk>
      <extLst>
        <ext uri="{3e2802c4-a4d2-4d8b-9148-e3be6c30e623}">
          <xlrd:rvb i="2873"/>
        </ext>
      </extLst>
    </bk>
    <bk>
      <extLst>
        <ext uri="{3e2802c4-a4d2-4d8b-9148-e3be6c30e623}">
          <xlrd:rvb i="2874"/>
        </ext>
      </extLst>
    </bk>
    <bk>
      <extLst>
        <ext uri="{3e2802c4-a4d2-4d8b-9148-e3be6c30e623}">
          <xlrd:rvb i="2875"/>
        </ext>
      </extLst>
    </bk>
    <bk>
      <extLst>
        <ext uri="{3e2802c4-a4d2-4d8b-9148-e3be6c30e623}">
          <xlrd:rvb i="2876"/>
        </ext>
      </extLst>
    </bk>
    <bk>
      <extLst>
        <ext uri="{3e2802c4-a4d2-4d8b-9148-e3be6c30e623}">
          <xlrd:rvb i="2877"/>
        </ext>
      </extLst>
    </bk>
    <bk>
      <extLst>
        <ext uri="{3e2802c4-a4d2-4d8b-9148-e3be6c30e623}">
          <xlrd:rvb i="2878"/>
        </ext>
      </extLst>
    </bk>
    <bk>
      <extLst>
        <ext uri="{3e2802c4-a4d2-4d8b-9148-e3be6c30e623}">
          <xlrd:rvb i="2879"/>
        </ext>
      </extLst>
    </bk>
    <bk>
      <extLst>
        <ext uri="{3e2802c4-a4d2-4d8b-9148-e3be6c30e623}">
          <xlrd:rvb i="2880"/>
        </ext>
      </extLst>
    </bk>
    <bk>
      <extLst>
        <ext uri="{3e2802c4-a4d2-4d8b-9148-e3be6c30e623}">
          <xlrd:rvb i="2881"/>
        </ext>
      </extLst>
    </bk>
    <bk>
      <extLst>
        <ext uri="{3e2802c4-a4d2-4d8b-9148-e3be6c30e623}">
          <xlrd:rvb i="2882"/>
        </ext>
      </extLst>
    </bk>
    <bk>
      <extLst>
        <ext uri="{3e2802c4-a4d2-4d8b-9148-e3be6c30e623}">
          <xlrd:rvb i="2883"/>
        </ext>
      </extLst>
    </bk>
    <bk>
      <extLst>
        <ext uri="{3e2802c4-a4d2-4d8b-9148-e3be6c30e623}">
          <xlrd:rvb i="2884"/>
        </ext>
      </extLst>
    </bk>
    <bk>
      <extLst>
        <ext uri="{3e2802c4-a4d2-4d8b-9148-e3be6c30e623}">
          <xlrd:rvb i="2885"/>
        </ext>
      </extLst>
    </bk>
    <bk>
      <extLst>
        <ext uri="{3e2802c4-a4d2-4d8b-9148-e3be6c30e623}">
          <xlrd:rvb i="2886"/>
        </ext>
      </extLst>
    </bk>
    <bk>
      <extLst>
        <ext uri="{3e2802c4-a4d2-4d8b-9148-e3be6c30e623}">
          <xlrd:rvb i="2887"/>
        </ext>
      </extLst>
    </bk>
    <bk>
      <extLst>
        <ext uri="{3e2802c4-a4d2-4d8b-9148-e3be6c30e623}">
          <xlrd:rvb i="2888"/>
        </ext>
      </extLst>
    </bk>
    <bk>
      <extLst>
        <ext uri="{3e2802c4-a4d2-4d8b-9148-e3be6c30e623}">
          <xlrd:rvb i="2889"/>
        </ext>
      </extLst>
    </bk>
    <bk>
      <extLst>
        <ext uri="{3e2802c4-a4d2-4d8b-9148-e3be6c30e623}">
          <xlrd:rvb i="2890"/>
        </ext>
      </extLst>
    </bk>
    <bk>
      <extLst>
        <ext uri="{3e2802c4-a4d2-4d8b-9148-e3be6c30e623}">
          <xlrd:rvb i="2891"/>
        </ext>
      </extLst>
    </bk>
    <bk>
      <extLst>
        <ext uri="{3e2802c4-a4d2-4d8b-9148-e3be6c30e623}">
          <xlrd:rvb i="2894"/>
        </ext>
      </extLst>
    </bk>
    <bk>
      <extLst>
        <ext uri="{3e2802c4-a4d2-4d8b-9148-e3be6c30e623}">
          <xlrd:rvb i="2895"/>
        </ext>
      </extLst>
    </bk>
    <bk>
      <extLst>
        <ext uri="{3e2802c4-a4d2-4d8b-9148-e3be6c30e623}">
          <xlrd:rvb i="2896"/>
        </ext>
      </extLst>
    </bk>
    <bk>
      <extLst>
        <ext uri="{3e2802c4-a4d2-4d8b-9148-e3be6c30e623}">
          <xlrd:rvb i="2897"/>
        </ext>
      </extLst>
    </bk>
    <bk>
      <extLst>
        <ext uri="{3e2802c4-a4d2-4d8b-9148-e3be6c30e623}">
          <xlrd:rvb i="2898"/>
        </ext>
      </extLst>
    </bk>
    <bk>
      <extLst>
        <ext uri="{3e2802c4-a4d2-4d8b-9148-e3be6c30e623}">
          <xlrd:rvb i="2899"/>
        </ext>
      </extLst>
    </bk>
    <bk>
      <extLst>
        <ext uri="{3e2802c4-a4d2-4d8b-9148-e3be6c30e623}">
          <xlrd:rvb i="2900"/>
        </ext>
      </extLst>
    </bk>
    <bk>
      <extLst>
        <ext uri="{3e2802c4-a4d2-4d8b-9148-e3be6c30e623}">
          <xlrd:rvb i="2901"/>
        </ext>
      </extLst>
    </bk>
    <bk>
      <extLst>
        <ext uri="{3e2802c4-a4d2-4d8b-9148-e3be6c30e623}">
          <xlrd:rvb i="2902"/>
        </ext>
      </extLst>
    </bk>
    <bk>
      <extLst>
        <ext uri="{3e2802c4-a4d2-4d8b-9148-e3be6c30e623}">
          <xlrd:rvb i="2903"/>
        </ext>
      </extLst>
    </bk>
    <bk>
      <extLst>
        <ext uri="{3e2802c4-a4d2-4d8b-9148-e3be6c30e623}">
          <xlrd:rvb i="2904"/>
        </ext>
      </extLst>
    </bk>
    <bk>
      <extLst>
        <ext uri="{3e2802c4-a4d2-4d8b-9148-e3be6c30e623}">
          <xlrd:rvb i="2905"/>
        </ext>
      </extLst>
    </bk>
    <bk>
      <extLst>
        <ext uri="{3e2802c4-a4d2-4d8b-9148-e3be6c30e623}">
          <xlrd:rvb i="2906"/>
        </ext>
      </extLst>
    </bk>
    <bk>
      <extLst>
        <ext uri="{3e2802c4-a4d2-4d8b-9148-e3be6c30e623}">
          <xlrd:rvb i="2907"/>
        </ext>
      </extLst>
    </bk>
    <bk>
      <extLst>
        <ext uri="{3e2802c4-a4d2-4d8b-9148-e3be6c30e623}">
          <xlrd:rvb i="2908"/>
        </ext>
      </extLst>
    </bk>
    <bk>
      <extLst>
        <ext uri="{3e2802c4-a4d2-4d8b-9148-e3be6c30e623}">
          <xlrd:rvb i="2909"/>
        </ext>
      </extLst>
    </bk>
    <bk>
      <extLst>
        <ext uri="{3e2802c4-a4d2-4d8b-9148-e3be6c30e623}">
          <xlrd:rvb i="2910"/>
        </ext>
      </extLst>
    </bk>
    <bk>
      <extLst>
        <ext uri="{3e2802c4-a4d2-4d8b-9148-e3be6c30e623}">
          <xlrd:rvb i="2911"/>
        </ext>
      </extLst>
    </bk>
    <bk>
      <extLst>
        <ext uri="{3e2802c4-a4d2-4d8b-9148-e3be6c30e623}">
          <xlrd:rvb i="2912"/>
        </ext>
      </extLst>
    </bk>
    <bk>
      <extLst>
        <ext uri="{3e2802c4-a4d2-4d8b-9148-e3be6c30e623}">
          <xlrd:rvb i="2913"/>
        </ext>
      </extLst>
    </bk>
    <bk>
      <extLst>
        <ext uri="{3e2802c4-a4d2-4d8b-9148-e3be6c30e623}">
          <xlrd:rvb i="2914"/>
        </ext>
      </extLst>
    </bk>
    <bk>
      <extLst>
        <ext uri="{3e2802c4-a4d2-4d8b-9148-e3be6c30e623}">
          <xlrd:rvb i="2915"/>
        </ext>
      </extLst>
    </bk>
    <bk>
      <extLst>
        <ext uri="{3e2802c4-a4d2-4d8b-9148-e3be6c30e623}">
          <xlrd:rvb i="2918"/>
        </ext>
      </extLst>
    </bk>
    <bk>
      <extLst>
        <ext uri="{3e2802c4-a4d2-4d8b-9148-e3be6c30e623}">
          <xlrd:rvb i="2919"/>
        </ext>
      </extLst>
    </bk>
    <bk>
      <extLst>
        <ext uri="{3e2802c4-a4d2-4d8b-9148-e3be6c30e623}">
          <xlrd:rvb i="2920"/>
        </ext>
      </extLst>
    </bk>
    <bk>
      <extLst>
        <ext uri="{3e2802c4-a4d2-4d8b-9148-e3be6c30e623}">
          <xlrd:rvb i="2921"/>
        </ext>
      </extLst>
    </bk>
    <bk>
      <extLst>
        <ext uri="{3e2802c4-a4d2-4d8b-9148-e3be6c30e623}">
          <xlrd:rvb i="2922"/>
        </ext>
      </extLst>
    </bk>
    <bk>
      <extLst>
        <ext uri="{3e2802c4-a4d2-4d8b-9148-e3be6c30e623}">
          <xlrd:rvb i="2923"/>
        </ext>
      </extLst>
    </bk>
    <bk>
      <extLst>
        <ext uri="{3e2802c4-a4d2-4d8b-9148-e3be6c30e623}">
          <xlrd:rvb i="2924"/>
        </ext>
      </extLst>
    </bk>
    <bk>
      <extLst>
        <ext uri="{3e2802c4-a4d2-4d8b-9148-e3be6c30e623}">
          <xlrd:rvb i="2925"/>
        </ext>
      </extLst>
    </bk>
    <bk>
      <extLst>
        <ext uri="{3e2802c4-a4d2-4d8b-9148-e3be6c30e623}">
          <xlrd:rvb i="2926"/>
        </ext>
      </extLst>
    </bk>
    <bk>
      <extLst>
        <ext uri="{3e2802c4-a4d2-4d8b-9148-e3be6c30e623}">
          <xlrd:rvb i="2927"/>
        </ext>
      </extLst>
    </bk>
    <bk>
      <extLst>
        <ext uri="{3e2802c4-a4d2-4d8b-9148-e3be6c30e623}">
          <xlrd:rvb i="2928"/>
        </ext>
      </extLst>
    </bk>
    <bk>
      <extLst>
        <ext uri="{3e2802c4-a4d2-4d8b-9148-e3be6c30e623}">
          <xlrd:rvb i="2929"/>
        </ext>
      </extLst>
    </bk>
    <bk>
      <extLst>
        <ext uri="{3e2802c4-a4d2-4d8b-9148-e3be6c30e623}">
          <xlrd:rvb i="2930"/>
        </ext>
      </extLst>
    </bk>
    <bk>
      <extLst>
        <ext uri="{3e2802c4-a4d2-4d8b-9148-e3be6c30e623}">
          <xlrd:rvb i="2931"/>
        </ext>
      </extLst>
    </bk>
    <bk>
      <extLst>
        <ext uri="{3e2802c4-a4d2-4d8b-9148-e3be6c30e623}">
          <xlrd:rvb i="2932"/>
        </ext>
      </extLst>
    </bk>
    <bk>
      <extLst>
        <ext uri="{3e2802c4-a4d2-4d8b-9148-e3be6c30e623}">
          <xlrd:rvb i="2933"/>
        </ext>
      </extLst>
    </bk>
    <bk>
      <extLst>
        <ext uri="{3e2802c4-a4d2-4d8b-9148-e3be6c30e623}">
          <xlrd:rvb i="2934"/>
        </ext>
      </extLst>
    </bk>
    <bk>
      <extLst>
        <ext uri="{3e2802c4-a4d2-4d8b-9148-e3be6c30e623}">
          <xlrd:rvb i="2935"/>
        </ext>
      </extLst>
    </bk>
    <bk>
      <extLst>
        <ext uri="{3e2802c4-a4d2-4d8b-9148-e3be6c30e623}">
          <xlrd:rvb i="2938"/>
        </ext>
      </extLst>
    </bk>
    <bk>
      <extLst>
        <ext uri="{3e2802c4-a4d2-4d8b-9148-e3be6c30e623}">
          <xlrd:rvb i="2939"/>
        </ext>
      </extLst>
    </bk>
    <bk>
      <extLst>
        <ext uri="{3e2802c4-a4d2-4d8b-9148-e3be6c30e623}">
          <xlrd:rvb i="2940"/>
        </ext>
      </extLst>
    </bk>
    <bk>
      <extLst>
        <ext uri="{3e2802c4-a4d2-4d8b-9148-e3be6c30e623}">
          <xlrd:rvb i="2941"/>
        </ext>
      </extLst>
    </bk>
    <bk>
      <extLst>
        <ext uri="{3e2802c4-a4d2-4d8b-9148-e3be6c30e623}">
          <xlrd:rvb i="2942"/>
        </ext>
      </extLst>
    </bk>
    <bk>
      <extLst>
        <ext uri="{3e2802c4-a4d2-4d8b-9148-e3be6c30e623}">
          <xlrd:rvb i="2943"/>
        </ext>
      </extLst>
    </bk>
    <bk>
      <extLst>
        <ext uri="{3e2802c4-a4d2-4d8b-9148-e3be6c30e623}">
          <xlrd:rvb i="2944"/>
        </ext>
      </extLst>
    </bk>
    <bk>
      <extLst>
        <ext uri="{3e2802c4-a4d2-4d8b-9148-e3be6c30e623}">
          <xlrd:rvb i="2945"/>
        </ext>
      </extLst>
    </bk>
    <bk>
      <extLst>
        <ext uri="{3e2802c4-a4d2-4d8b-9148-e3be6c30e623}">
          <xlrd:rvb i="2946"/>
        </ext>
      </extLst>
    </bk>
    <bk>
      <extLst>
        <ext uri="{3e2802c4-a4d2-4d8b-9148-e3be6c30e623}">
          <xlrd:rvb i="2947"/>
        </ext>
      </extLst>
    </bk>
    <bk>
      <extLst>
        <ext uri="{3e2802c4-a4d2-4d8b-9148-e3be6c30e623}">
          <xlrd:rvb i="2948"/>
        </ext>
      </extLst>
    </bk>
    <bk>
      <extLst>
        <ext uri="{3e2802c4-a4d2-4d8b-9148-e3be6c30e623}">
          <xlrd:rvb i="2949"/>
        </ext>
      </extLst>
    </bk>
    <bk>
      <extLst>
        <ext uri="{3e2802c4-a4d2-4d8b-9148-e3be6c30e623}">
          <xlrd:rvb i="2950"/>
        </ext>
      </extLst>
    </bk>
    <bk>
      <extLst>
        <ext uri="{3e2802c4-a4d2-4d8b-9148-e3be6c30e623}">
          <xlrd:rvb i="2951"/>
        </ext>
      </extLst>
    </bk>
    <bk>
      <extLst>
        <ext uri="{3e2802c4-a4d2-4d8b-9148-e3be6c30e623}">
          <xlrd:rvb i="2952"/>
        </ext>
      </extLst>
    </bk>
    <bk>
      <extLst>
        <ext uri="{3e2802c4-a4d2-4d8b-9148-e3be6c30e623}">
          <xlrd:rvb i="2953"/>
        </ext>
      </extLst>
    </bk>
    <bk>
      <extLst>
        <ext uri="{3e2802c4-a4d2-4d8b-9148-e3be6c30e623}">
          <xlrd:rvb i="2954"/>
        </ext>
      </extLst>
    </bk>
    <bk>
      <extLst>
        <ext uri="{3e2802c4-a4d2-4d8b-9148-e3be6c30e623}">
          <xlrd:rvb i="2955"/>
        </ext>
      </extLst>
    </bk>
    <bk>
      <extLst>
        <ext uri="{3e2802c4-a4d2-4d8b-9148-e3be6c30e623}">
          <xlrd:rvb i="2956"/>
        </ext>
      </extLst>
    </bk>
    <bk>
      <extLst>
        <ext uri="{3e2802c4-a4d2-4d8b-9148-e3be6c30e623}">
          <xlrd:rvb i="2957"/>
        </ext>
      </extLst>
    </bk>
    <bk>
      <extLst>
        <ext uri="{3e2802c4-a4d2-4d8b-9148-e3be6c30e623}">
          <xlrd:rvb i="2960"/>
        </ext>
      </extLst>
    </bk>
    <bk>
      <extLst>
        <ext uri="{3e2802c4-a4d2-4d8b-9148-e3be6c30e623}">
          <xlrd:rvb i="2961"/>
        </ext>
      </extLst>
    </bk>
    <bk>
      <extLst>
        <ext uri="{3e2802c4-a4d2-4d8b-9148-e3be6c30e623}">
          <xlrd:rvb i="2962"/>
        </ext>
      </extLst>
    </bk>
    <bk>
      <extLst>
        <ext uri="{3e2802c4-a4d2-4d8b-9148-e3be6c30e623}">
          <xlrd:rvb i="2963"/>
        </ext>
      </extLst>
    </bk>
    <bk>
      <extLst>
        <ext uri="{3e2802c4-a4d2-4d8b-9148-e3be6c30e623}">
          <xlrd:rvb i="2964"/>
        </ext>
      </extLst>
    </bk>
    <bk>
      <extLst>
        <ext uri="{3e2802c4-a4d2-4d8b-9148-e3be6c30e623}">
          <xlrd:rvb i="2965"/>
        </ext>
      </extLst>
    </bk>
    <bk>
      <extLst>
        <ext uri="{3e2802c4-a4d2-4d8b-9148-e3be6c30e623}">
          <xlrd:rvb i="2966"/>
        </ext>
      </extLst>
    </bk>
    <bk>
      <extLst>
        <ext uri="{3e2802c4-a4d2-4d8b-9148-e3be6c30e623}">
          <xlrd:rvb i="2967"/>
        </ext>
      </extLst>
    </bk>
    <bk>
      <extLst>
        <ext uri="{3e2802c4-a4d2-4d8b-9148-e3be6c30e623}">
          <xlrd:rvb i="2968"/>
        </ext>
      </extLst>
    </bk>
    <bk>
      <extLst>
        <ext uri="{3e2802c4-a4d2-4d8b-9148-e3be6c30e623}">
          <xlrd:rvb i="2969"/>
        </ext>
      </extLst>
    </bk>
    <bk>
      <extLst>
        <ext uri="{3e2802c4-a4d2-4d8b-9148-e3be6c30e623}">
          <xlrd:rvb i="2970"/>
        </ext>
      </extLst>
    </bk>
    <bk>
      <extLst>
        <ext uri="{3e2802c4-a4d2-4d8b-9148-e3be6c30e623}">
          <xlrd:rvb i="2971"/>
        </ext>
      </extLst>
    </bk>
    <bk>
      <extLst>
        <ext uri="{3e2802c4-a4d2-4d8b-9148-e3be6c30e623}">
          <xlrd:rvb i="2974"/>
        </ext>
      </extLst>
    </bk>
    <bk>
      <extLst>
        <ext uri="{3e2802c4-a4d2-4d8b-9148-e3be6c30e623}">
          <xlrd:rvb i="2975"/>
        </ext>
      </extLst>
    </bk>
    <bk>
      <extLst>
        <ext uri="{3e2802c4-a4d2-4d8b-9148-e3be6c30e623}">
          <xlrd:rvb i="2976"/>
        </ext>
      </extLst>
    </bk>
    <bk>
      <extLst>
        <ext uri="{3e2802c4-a4d2-4d8b-9148-e3be6c30e623}">
          <xlrd:rvb i="2977"/>
        </ext>
      </extLst>
    </bk>
    <bk>
      <extLst>
        <ext uri="{3e2802c4-a4d2-4d8b-9148-e3be6c30e623}">
          <xlrd:rvb i="2978"/>
        </ext>
      </extLst>
    </bk>
    <bk>
      <extLst>
        <ext uri="{3e2802c4-a4d2-4d8b-9148-e3be6c30e623}">
          <xlrd:rvb i="2979"/>
        </ext>
      </extLst>
    </bk>
    <bk>
      <extLst>
        <ext uri="{3e2802c4-a4d2-4d8b-9148-e3be6c30e623}">
          <xlrd:rvb i="2980"/>
        </ext>
      </extLst>
    </bk>
    <bk>
      <extLst>
        <ext uri="{3e2802c4-a4d2-4d8b-9148-e3be6c30e623}">
          <xlrd:rvb i="2981"/>
        </ext>
      </extLst>
    </bk>
    <bk>
      <extLst>
        <ext uri="{3e2802c4-a4d2-4d8b-9148-e3be6c30e623}">
          <xlrd:rvb i="2982"/>
        </ext>
      </extLst>
    </bk>
    <bk>
      <extLst>
        <ext uri="{3e2802c4-a4d2-4d8b-9148-e3be6c30e623}">
          <xlrd:rvb i="2983"/>
        </ext>
      </extLst>
    </bk>
    <bk>
      <extLst>
        <ext uri="{3e2802c4-a4d2-4d8b-9148-e3be6c30e623}">
          <xlrd:rvb i="2984"/>
        </ext>
      </extLst>
    </bk>
    <bk>
      <extLst>
        <ext uri="{3e2802c4-a4d2-4d8b-9148-e3be6c30e623}">
          <xlrd:rvb i="2985"/>
        </ext>
      </extLst>
    </bk>
    <bk>
      <extLst>
        <ext uri="{3e2802c4-a4d2-4d8b-9148-e3be6c30e623}">
          <xlrd:rvb i="2986"/>
        </ext>
      </extLst>
    </bk>
    <bk>
      <extLst>
        <ext uri="{3e2802c4-a4d2-4d8b-9148-e3be6c30e623}">
          <xlrd:rvb i="2987"/>
        </ext>
      </extLst>
    </bk>
    <bk>
      <extLst>
        <ext uri="{3e2802c4-a4d2-4d8b-9148-e3be6c30e623}">
          <xlrd:rvb i="2988"/>
        </ext>
      </extLst>
    </bk>
    <bk>
      <extLst>
        <ext uri="{3e2802c4-a4d2-4d8b-9148-e3be6c30e623}">
          <xlrd:rvb i="2989"/>
        </ext>
      </extLst>
    </bk>
    <bk>
      <extLst>
        <ext uri="{3e2802c4-a4d2-4d8b-9148-e3be6c30e623}">
          <xlrd:rvb i="2990"/>
        </ext>
      </extLst>
    </bk>
    <bk>
      <extLst>
        <ext uri="{3e2802c4-a4d2-4d8b-9148-e3be6c30e623}">
          <xlrd:rvb i="2991"/>
        </ext>
      </extLst>
    </bk>
    <bk>
      <extLst>
        <ext uri="{3e2802c4-a4d2-4d8b-9148-e3be6c30e623}">
          <xlrd:rvb i="2992"/>
        </ext>
      </extLst>
    </bk>
    <bk>
      <extLst>
        <ext uri="{3e2802c4-a4d2-4d8b-9148-e3be6c30e623}">
          <xlrd:rvb i="2993"/>
        </ext>
      </extLst>
    </bk>
    <bk>
      <extLst>
        <ext uri="{3e2802c4-a4d2-4d8b-9148-e3be6c30e623}">
          <xlrd:rvb i="2994"/>
        </ext>
      </extLst>
    </bk>
    <bk>
      <extLst>
        <ext uri="{3e2802c4-a4d2-4d8b-9148-e3be6c30e623}">
          <xlrd:rvb i="2997"/>
        </ext>
      </extLst>
    </bk>
    <bk>
      <extLst>
        <ext uri="{3e2802c4-a4d2-4d8b-9148-e3be6c30e623}">
          <xlrd:rvb i="2998"/>
        </ext>
      </extLst>
    </bk>
    <bk>
      <extLst>
        <ext uri="{3e2802c4-a4d2-4d8b-9148-e3be6c30e623}">
          <xlrd:rvb i="2999"/>
        </ext>
      </extLst>
    </bk>
    <bk>
      <extLst>
        <ext uri="{3e2802c4-a4d2-4d8b-9148-e3be6c30e623}">
          <xlrd:rvb i="3000"/>
        </ext>
      </extLst>
    </bk>
    <bk>
      <extLst>
        <ext uri="{3e2802c4-a4d2-4d8b-9148-e3be6c30e623}">
          <xlrd:rvb i="3001"/>
        </ext>
      </extLst>
    </bk>
    <bk>
      <extLst>
        <ext uri="{3e2802c4-a4d2-4d8b-9148-e3be6c30e623}">
          <xlrd:rvb i="3002"/>
        </ext>
      </extLst>
    </bk>
    <bk>
      <extLst>
        <ext uri="{3e2802c4-a4d2-4d8b-9148-e3be6c30e623}">
          <xlrd:rvb i="3003"/>
        </ext>
      </extLst>
    </bk>
    <bk>
      <extLst>
        <ext uri="{3e2802c4-a4d2-4d8b-9148-e3be6c30e623}">
          <xlrd:rvb i="3004"/>
        </ext>
      </extLst>
    </bk>
    <bk>
      <extLst>
        <ext uri="{3e2802c4-a4d2-4d8b-9148-e3be6c30e623}">
          <xlrd:rvb i="3005"/>
        </ext>
      </extLst>
    </bk>
    <bk>
      <extLst>
        <ext uri="{3e2802c4-a4d2-4d8b-9148-e3be6c30e623}">
          <xlrd:rvb i="3006"/>
        </ext>
      </extLst>
    </bk>
    <bk>
      <extLst>
        <ext uri="{3e2802c4-a4d2-4d8b-9148-e3be6c30e623}">
          <xlrd:rvb i="3007"/>
        </ext>
      </extLst>
    </bk>
    <bk>
      <extLst>
        <ext uri="{3e2802c4-a4d2-4d8b-9148-e3be6c30e623}">
          <xlrd:rvb i="3008"/>
        </ext>
      </extLst>
    </bk>
    <bk>
      <extLst>
        <ext uri="{3e2802c4-a4d2-4d8b-9148-e3be6c30e623}">
          <xlrd:rvb i="3009"/>
        </ext>
      </extLst>
    </bk>
    <bk>
      <extLst>
        <ext uri="{3e2802c4-a4d2-4d8b-9148-e3be6c30e623}">
          <xlrd:rvb i="3010"/>
        </ext>
      </extLst>
    </bk>
    <bk>
      <extLst>
        <ext uri="{3e2802c4-a4d2-4d8b-9148-e3be6c30e623}">
          <xlrd:rvb i="3011"/>
        </ext>
      </extLst>
    </bk>
    <bk>
      <extLst>
        <ext uri="{3e2802c4-a4d2-4d8b-9148-e3be6c30e623}">
          <xlrd:rvb i="3014"/>
        </ext>
      </extLst>
    </bk>
    <bk>
      <extLst>
        <ext uri="{3e2802c4-a4d2-4d8b-9148-e3be6c30e623}">
          <xlrd:rvb i="3015"/>
        </ext>
      </extLst>
    </bk>
    <bk>
      <extLst>
        <ext uri="{3e2802c4-a4d2-4d8b-9148-e3be6c30e623}">
          <xlrd:rvb i="3016"/>
        </ext>
      </extLst>
    </bk>
    <bk>
      <extLst>
        <ext uri="{3e2802c4-a4d2-4d8b-9148-e3be6c30e623}">
          <xlrd:rvb i="3017"/>
        </ext>
      </extLst>
    </bk>
    <bk>
      <extLst>
        <ext uri="{3e2802c4-a4d2-4d8b-9148-e3be6c30e623}">
          <xlrd:rvb i="3018"/>
        </ext>
      </extLst>
    </bk>
    <bk>
      <extLst>
        <ext uri="{3e2802c4-a4d2-4d8b-9148-e3be6c30e623}">
          <xlrd:rvb i="3019"/>
        </ext>
      </extLst>
    </bk>
    <bk>
      <extLst>
        <ext uri="{3e2802c4-a4d2-4d8b-9148-e3be6c30e623}">
          <xlrd:rvb i="3020"/>
        </ext>
      </extLst>
    </bk>
    <bk>
      <extLst>
        <ext uri="{3e2802c4-a4d2-4d8b-9148-e3be6c30e623}">
          <xlrd:rvb i="3021"/>
        </ext>
      </extLst>
    </bk>
    <bk>
      <extLst>
        <ext uri="{3e2802c4-a4d2-4d8b-9148-e3be6c30e623}">
          <xlrd:rvb i="3022"/>
        </ext>
      </extLst>
    </bk>
    <bk>
      <extLst>
        <ext uri="{3e2802c4-a4d2-4d8b-9148-e3be6c30e623}">
          <xlrd:rvb i="3023"/>
        </ext>
      </extLst>
    </bk>
    <bk>
      <extLst>
        <ext uri="{3e2802c4-a4d2-4d8b-9148-e3be6c30e623}">
          <xlrd:rvb i="3024"/>
        </ext>
      </extLst>
    </bk>
    <bk>
      <extLst>
        <ext uri="{3e2802c4-a4d2-4d8b-9148-e3be6c30e623}">
          <xlrd:rvb i="3025"/>
        </ext>
      </extLst>
    </bk>
    <bk>
      <extLst>
        <ext uri="{3e2802c4-a4d2-4d8b-9148-e3be6c30e623}">
          <xlrd:rvb i="3026"/>
        </ext>
      </extLst>
    </bk>
    <bk>
      <extLst>
        <ext uri="{3e2802c4-a4d2-4d8b-9148-e3be6c30e623}">
          <xlrd:rvb i="3027"/>
        </ext>
      </extLst>
    </bk>
    <bk>
      <extLst>
        <ext uri="{3e2802c4-a4d2-4d8b-9148-e3be6c30e623}">
          <xlrd:rvb i="3028"/>
        </ext>
      </extLst>
    </bk>
    <bk>
      <extLst>
        <ext uri="{3e2802c4-a4d2-4d8b-9148-e3be6c30e623}">
          <xlrd:rvb i="3029"/>
        </ext>
      </extLst>
    </bk>
    <bk>
      <extLst>
        <ext uri="{3e2802c4-a4d2-4d8b-9148-e3be6c30e623}">
          <xlrd:rvb i="3032"/>
        </ext>
      </extLst>
    </bk>
    <bk>
      <extLst>
        <ext uri="{3e2802c4-a4d2-4d8b-9148-e3be6c30e623}">
          <xlrd:rvb i="3033"/>
        </ext>
      </extLst>
    </bk>
    <bk>
      <extLst>
        <ext uri="{3e2802c4-a4d2-4d8b-9148-e3be6c30e623}">
          <xlrd:rvb i="3034"/>
        </ext>
      </extLst>
    </bk>
    <bk>
      <extLst>
        <ext uri="{3e2802c4-a4d2-4d8b-9148-e3be6c30e623}">
          <xlrd:rvb i="3035"/>
        </ext>
      </extLst>
    </bk>
    <bk>
      <extLst>
        <ext uri="{3e2802c4-a4d2-4d8b-9148-e3be6c30e623}">
          <xlrd:rvb i="3036"/>
        </ext>
      </extLst>
    </bk>
    <bk>
      <extLst>
        <ext uri="{3e2802c4-a4d2-4d8b-9148-e3be6c30e623}">
          <xlrd:rvb i="3037"/>
        </ext>
      </extLst>
    </bk>
    <bk>
      <extLst>
        <ext uri="{3e2802c4-a4d2-4d8b-9148-e3be6c30e623}">
          <xlrd:rvb i="3038"/>
        </ext>
      </extLst>
    </bk>
    <bk>
      <extLst>
        <ext uri="{3e2802c4-a4d2-4d8b-9148-e3be6c30e623}">
          <xlrd:rvb i="3039"/>
        </ext>
      </extLst>
    </bk>
    <bk>
      <extLst>
        <ext uri="{3e2802c4-a4d2-4d8b-9148-e3be6c30e623}">
          <xlrd:rvb i="3040"/>
        </ext>
      </extLst>
    </bk>
    <bk>
      <extLst>
        <ext uri="{3e2802c4-a4d2-4d8b-9148-e3be6c30e623}">
          <xlrd:rvb i="3041"/>
        </ext>
      </extLst>
    </bk>
    <bk>
      <extLst>
        <ext uri="{3e2802c4-a4d2-4d8b-9148-e3be6c30e623}">
          <xlrd:rvb i="3042"/>
        </ext>
      </extLst>
    </bk>
    <bk>
      <extLst>
        <ext uri="{3e2802c4-a4d2-4d8b-9148-e3be6c30e623}">
          <xlrd:rvb i="3043"/>
        </ext>
      </extLst>
    </bk>
    <bk>
      <extLst>
        <ext uri="{3e2802c4-a4d2-4d8b-9148-e3be6c30e623}">
          <xlrd:rvb i="3044"/>
        </ext>
      </extLst>
    </bk>
    <bk>
      <extLst>
        <ext uri="{3e2802c4-a4d2-4d8b-9148-e3be6c30e623}">
          <xlrd:rvb i="3045"/>
        </ext>
      </extLst>
    </bk>
    <bk>
      <extLst>
        <ext uri="{3e2802c4-a4d2-4d8b-9148-e3be6c30e623}">
          <xlrd:rvb i="3046"/>
        </ext>
      </extLst>
    </bk>
    <bk>
      <extLst>
        <ext uri="{3e2802c4-a4d2-4d8b-9148-e3be6c30e623}">
          <xlrd:rvb i="3047"/>
        </ext>
      </extLst>
    </bk>
    <bk>
      <extLst>
        <ext uri="{3e2802c4-a4d2-4d8b-9148-e3be6c30e623}">
          <xlrd:rvb i="3048"/>
        </ext>
      </extLst>
    </bk>
    <bk>
      <extLst>
        <ext uri="{3e2802c4-a4d2-4d8b-9148-e3be6c30e623}">
          <xlrd:rvb i="3049"/>
        </ext>
      </extLst>
    </bk>
    <bk>
      <extLst>
        <ext uri="{3e2802c4-a4d2-4d8b-9148-e3be6c30e623}">
          <xlrd:rvb i="3050"/>
        </ext>
      </extLst>
    </bk>
    <bk>
      <extLst>
        <ext uri="{3e2802c4-a4d2-4d8b-9148-e3be6c30e623}">
          <xlrd:rvb i="3053"/>
        </ext>
      </extLst>
    </bk>
    <bk>
      <extLst>
        <ext uri="{3e2802c4-a4d2-4d8b-9148-e3be6c30e623}">
          <xlrd:rvb i="3054"/>
        </ext>
      </extLst>
    </bk>
    <bk>
      <extLst>
        <ext uri="{3e2802c4-a4d2-4d8b-9148-e3be6c30e623}">
          <xlrd:rvb i="3055"/>
        </ext>
      </extLst>
    </bk>
    <bk>
      <extLst>
        <ext uri="{3e2802c4-a4d2-4d8b-9148-e3be6c30e623}">
          <xlrd:rvb i="3056"/>
        </ext>
      </extLst>
    </bk>
    <bk>
      <extLst>
        <ext uri="{3e2802c4-a4d2-4d8b-9148-e3be6c30e623}">
          <xlrd:rvb i="3057"/>
        </ext>
      </extLst>
    </bk>
    <bk>
      <extLst>
        <ext uri="{3e2802c4-a4d2-4d8b-9148-e3be6c30e623}">
          <xlrd:rvb i="3058"/>
        </ext>
      </extLst>
    </bk>
    <bk>
      <extLst>
        <ext uri="{3e2802c4-a4d2-4d8b-9148-e3be6c30e623}">
          <xlrd:rvb i="3059"/>
        </ext>
      </extLst>
    </bk>
    <bk>
      <extLst>
        <ext uri="{3e2802c4-a4d2-4d8b-9148-e3be6c30e623}">
          <xlrd:rvb i="3060"/>
        </ext>
      </extLst>
    </bk>
    <bk>
      <extLst>
        <ext uri="{3e2802c4-a4d2-4d8b-9148-e3be6c30e623}">
          <xlrd:rvb i="3061"/>
        </ext>
      </extLst>
    </bk>
    <bk>
      <extLst>
        <ext uri="{3e2802c4-a4d2-4d8b-9148-e3be6c30e623}">
          <xlrd:rvb i="3062"/>
        </ext>
      </extLst>
    </bk>
    <bk>
      <extLst>
        <ext uri="{3e2802c4-a4d2-4d8b-9148-e3be6c30e623}">
          <xlrd:rvb i="3063"/>
        </ext>
      </extLst>
    </bk>
    <bk>
      <extLst>
        <ext uri="{3e2802c4-a4d2-4d8b-9148-e3be6c30e623}">
          <xlrd:rvb i="3064"/>
        </ext>
      </extLst>
    </bk>
    <bk>
      <extLst>
        <ext uri="{3e2802c4-a4d2-4d8b-9148-e3be6c30e623}">
          <xlrd:rvb i="3065"/>
        </ext>
      </extLst>
    </bk>
    <bk>
      <extLst>
        <ext uri="{3e2802c4-a4d2-4d8b-9148-e3be6c30e623}">
          <xlrd:rvb i="3066"/>
        </ext>
      </extLst>
    </bk>
    <bk>
      <extLst>
        <ext uri="{3e2802c4-a4d2-4d8b-9148-e3be6c30e623}">
          <xlrd:rvb i="3067"/>
        </ext>
      </extLst>
    </bk>
    <bk>
      <extLst>
        <ext uri="{3e2802c4-a4d2-4d8b-9148-e3be6c30e623}">
          <xlrd:rvb i="3068"/>
        </ext>
      </extLst>
    </bk>
    <bk>
      <extLst>
        <ext uri="{3e2802c4-a4d2-4d8b-9148-e3be6c30e623}">
          <xlrd:rvb i="3069"/>
        </ext>
      </extLst>
    </bk>
    <bk>
      <extLst>
        <ext uri="{3e2802c4-a4d2-4d8b-9148-e3be6c30e623}">
          <xlrd:rvb i="3070"/>
        </ext>
      </extLst>
    </bk>
    <bk>
      <extLst>
        <ext uri="{3e2802c4-a4d2-4d8b-9148-e3be6c30e623}">
          <xlrd:rvb i="3071"/>
        </ext>
      </extLst>
    </bk>
    <bk>
      <extLst>
        <ext uri="{3e2802c4-a4d2-4d8b-9148-e3be6c30e623}">
          <xlrd:rvb i="3074"/>
        </ext>
      </extLst>
    </bk>
    <bk>
      <extLst>
        <ext uri="{3e2802c4-a4d2-4d8b-9148-e3be6c30e623}">
          <xlrd:rvb i="3075"/>
        </ext>
      </extLst>
    </bk>
    <bk>
      <extLst>
        <ext uri="{3e2802c4-a4d2-4d8b-9148-e3be6c30e623}">
          <xlrd:rvb i="3076"/>
        </ext>
      </extLst>
    </bk>
    <bk>
      <extLst>
        <ext uri="{3e2802c4-a4d2-4d8b-9148-e3be6c30e623}">
          <xlrd:rvb i="3077"/>
        </ext>
      </extLst>
    </bk>
    <bk>
      <extLst>
        <ext uri="{3e2802c4-a4d2-4d8b-9148-e3be6c30e623}">
          <xlrd:rvb i="3078"/>
        </ext>
      </extLst>
    </bk>
    <bk>
      <extLst>
        <ext uri="{3e2802c4-a4d2-4d8b-9148-e3be6c30e623}">
          <xlrd:rvb i="3079"/>
        </ext>
      </extLst>
    </bk>
    <bk>
      <extLst>
        <ext uri="{3e2802c4-a4d2-4d8b-9148-e3be6c30e623}">
          <xlrd:rvb i="3080"/>
        </ext>
      </extLst>
    </bk>
    <bk>
      <extLst>
        <ext uri="{3e2802c4-a4d2-4d8b-9148-e3be6c30e623}">
          <xlrd:rvb i="3081"/>
        </ext>
      </extLst>
    </bk>
    <bk>
      <extLst>
        <ext uri="{3e2802c4-a4d2-4d8b-9148-e3be6c30e623}">
          <xlrd:rvb i="3082"/>
        </ext>
      </extLst>
    </bk>
    <bk>
      <extLst>
        <ext uri="{3e2802c4-a4d2-4d8b-9148-e3be6c30e623}">
          <xlrd:rvb i="3083"/>
        </ext>
      </extLst>
    </bk>
    <bk>
      <extLst>
        <ext uri="{3e2802c4-a4d2-4d8b-9148-e3be6c30e623}">
          <xlrd:rvb i="3084"/>
        </ext>
      </extLst>
    </bk>
    <bk>
      <extLst>
        <ext uri="{3e2802c4-a4d2-4d8b-9148-e3be6c30e623}">
          <xlrd:rvb i="3085"/>
        </ext>
      </extLst>
    </bk>
    <bk>
      <extLst>
        <ext uri="{3e2802c4-a4d2-4d8b-9148-e3be6c30e623}">
          <xlrd:rvb i="3086"/>
        </ext>
      </extLst>
    </bk>
    <bk>
      <extLst>
        <ext uri="{3e2802c4-a4d2-4d8b-9148-e3be6c30e623}">
          <xlrd:rvb i="3087"/>
        </ext>
      </extLst>
    </bk>
    <bk>
      <extLst>
        <ext uri="{3e2802c4-a4d2-4d8b-9148-e3be6c30e623}">
          <xlrd:rvb i="3088"/>
        </ext>
      </extLst>
    </bk>
    <bk>
      <extLst>
        <ext uri="{3e2802c4-a4d2-4d8b-9148-e3be6c30e623}">
          <xlrd:rvb i="3089"/>
        </ext>
      </extLst>
    </bk>
    <bk>
      <extLst>
        <ext uri="{3e2802c4-a4d2-4d8b-9148-e3be6c30e623}">
          <xlrd:rvb i="3090"/>
        </ext>
      </extLst>
    </bk>
    <bk>
      <extLst>
        <ext uri="{3e2802c4-a4d2-4d8b-9148-e3be6c30e623}">
          <xlrd:rvb i="3091"/>
        </ext>
      </extLst>
    </bk>
    <bk>
      <extLst>
        <ext uri="{3e2802c4-a4d2-4d8b-9148-e3be6c30e623}">
          <xlrd:rvb i="3092"/>
        </ext>
      </extLst>
    </bk>
    <bk>
      <extLst>
        <ext uri="{3e2802c4-a4d2-4d8b-9148-e3be6c30e623}">
          <xlrd:rvb i="3093"/>
        </ext>
      </extLst>
    </bk>
    <bk>
      <extLst>
        <ext uri="{3e2802c4-a4d2-4d8b-9148-e3be6c30e623}">
          <xlrd:rvb i="3096"/>
        </ext>
      </extLst>
    </bk>
    <bk>
      <extLst>
        <ext uri="{3e2802c4-a4d2-4d8b-9148-e3be6c30e623}">
          <xlrd:rvb i="3097"/>
        </ext>
      </extLst>
    </bk>
    <bk>
      <extLst>
        <ext uri="{3e2802c4-a4d2-4d8b-9148-e3be6c30e623}">
          <xlrd:rvb i="3098"/>
        </ext>
      </extLst>
    </bk>
    <bk>
      <extLst>
        <ext uri="{3e2802c4-a4d2-4d8b-9148-e3be6c30e623}">
          <xlrd:rvb i="3099"/>
        </ext>
      </extLst>
    </bk>
    <bk>
      <extLst>
        <ext uri="{3e2802c4-a4d2-4d8b-9148-e3be6c30e623}">
          <xlrd:rvb i="3100"/>
        </ext>
      </extLst>
    </bk>
    <bk>
      <extLst>
        <ext uri="{3e2802c4-a4d2-4d8b-9148-e3be6c30e623}">
          <xlrd:rvb i="3101"/>
        </ext>
      </extLst>
    </bk>
    <bk>
      <extLst>
        <ext uri="{3e2802c4-a4d2-4d8b-9148-e3be6c30e623}">
          <xlrd:rvb i="3102"/>
        </ext>
      </extLst>
    </bk>
    <bk>
      <extLst>
        <ext uri="{3e2802c4-a4d2-4d8b-9148-e3be6c30e623}">
          <xlrd:rvb i="3103"/>
        </ext>
      </extLst>
    </bk>
    <bk>
      <extLst>
        <ext uri="{3e2802c4-a4d2-4d8b-9148-e3be6c30e623}">
          <xlrd:rvb i="3104"/>
        </ext>
      </extLst>
    </bk>
    <bk>
      <extLst>
        <ext uri="{3e2802c4-a4d2-4d8b-9148-e3be6c30e623}">
          <xlrd:rvb i="3105"/>
        </ext>
      </extLst>
    </bk>
    <bk>
      <extLst>
        <ext uri="{3e2802c4-a4d2-4d8b-9148-e3be6c30e623}">
          <xlrd:rvb i="3106"/>
        </ext>
      </extLst>
    </bk>
    <bk>
      <extLst>
        <ext uri="{3e2802c4-a4d2-4d8b-9148-e3be6c30e623}">
          <xlrd:rvb i="3107"/>
        </ext>
      </extLst>
    </bk>
    <bk>
      <extLst>
        <ext uri="{3e2802c4-a4d2-4d8b-9148-e3be6c30e623}">
          <xlrd:rvb i="3108"/>
        </ext>
      </extLst>
    </bk>
    <bk>
      <extLst>
        <ext uri="{3e2802c4-a4d2-4d8b-9148-e3be6c30e623}">
          <xlrd:rvb i="3109"/>
        </ext>
      </extLst>
    </bk>
    <bk>
      <extLst>
        <ext uri="{3e2802c4-a4d2-4d8b-9148-e3be6c30e623}">
          <xlrd:rvb i="3110"/>
        </ext>
      </extLst>
    </bk>
    <bk>
      <extLst>
        <ext uri="{3e2802c4-a4d2-4d8b-9148-e3be6c30e623}">
          <xlrd:rvb i="3111"/>
        </ext>
      </extLst>
    </bk>
    <bk>
      <extLst>
        <ext uri="{3e2802c4-a4d2-4d8b-9148-e3be6c30e623}">
          <xlrd:rvb i="3112"/>
        </ext>
      </extLst>
    </bk>
    <bk>
      <extLst>
        <ext uri="{3e2802c4-a4d2-4d8b-9148-e3be6c30e623}">
          <xlrd:rvb i="3113"/>
        </ext>
      </extLst>
    </bk>
    <bk>
      <extLst>
        <ext uri="{3e2802c4-a4d2-4d8b-9148-e3be6c30e623}">
          <xlrd:rvb i="3114"/>
        </ext>
      </extLst>
    </bk>
    <bk>
      <extLst>
        <ext uri="{3e2802c4-a4d2-4d8b-9148-e3be6c30e623}">
          <xlrd:rvb i="3115"/>
        </ext>
      </extLst>
    </bk>
    <bk>
      <extLst>
        <ext uri="{3e2802c4-a4d2-4d8b-9148-e3be6c30e623}">
          <xlrd:rvb i="3118"/>
        </ext>
      </extLst>
    </bk>
    <bk>
      <extLst>
        <ext uri="{3e2802c4-a4d2-4d8b-9148-e3be6c30e623}">
          <xlrd:rvb i="3119"/>
        </ext>
      </extLst>
    </bk>
    <bk>
      <extLst>
        <ext uri="{3e2802c4-a4d2-4d8b-9148-e3be6c30e623}">
          <xlrd:rvb i="3120"/>
        </ext>
      </extLst>
    </bk>
    <bk>
      <extLst>
        <ext uri="{3e2802c4-a4d2-4d8b-9148-e3be6c30e623}">
          <xlrd:rvb i="3121"/>
        </ext>
      </extLst>
    </bk>
    <bk>
      <extLst>
        <ext uri="{3e2802c4-a4d2-4d8b-9148-e3be6c30e623}">
          <xlrd:rvb i="3122"/>
        </ext>
      </extLst>
    </bk>
    <bk>
      <extLst>
        <ext uri="{3e2802c4-a4d2-4d8b-9148-e3be6c30e623}">
          <xlrd:rvb i="3123"/>
        </ext>
      </extLst>
    </bk>
    <bk>
      <extLst>
        <ext uri="{3e2802c4-a4d2-4d8b-9148-e3be6c30e623}">
          <xlrd:rvb i="3124"/>
        </ext>
      </extLst>
    </bk>
    <bk>
      <extLst>
        <ext uri="{3e2802c4-a4d2-4d8b-9148-e3be6c30e623}">
          <xlrd:rvb i="3125"/>
        </ext>
      </extLst>
    </bk>
    <bk>
      <extLst>
        <ext uri="{3e2802c4-a4d2-4d8b-9148-e3be6c30e623}">
          <xlrd:rvb i="3126"/>
        </ext>
      </extLst>
    </bk>
    <bk>
      <extLst>
        <ext uri="{3e2802c4-a4d2-4d8b-9148-e3be6c30e623}">
          <xlrd:rvb i="3127"/>
        </ext>
      </extLst>
    </bk>
    <bk>
      <extLst>
        <ext uri="{3e2802c4-a4d2-4d8b-9148-e3be6c30e623}">
          <xlrd:rvb i="3128"/>
        </ext>
      </extLst>
    </bk>
    <bk>
      <extLst>
        <ext uri="{3e2802c4-a4d2-4d8b-9148-e3be6c30e623}">
          <xlrd:rvb i="3131"/>
        </ext>
      </extLst>
    </bk>
    <bk>
      <extLst>
        <ext uri="{3e2802c4-a4d2-4d8b-9148-e3be6c30e623}">
          <xlrd:rvb i="3132"/>
        </ext>
      </extLst>
    </bk>
    <bk>
      <extLst>
        <ext uri="{3e2802c4-a4d2-4d8b-9148-e3be6c30e623}">
          <xlrd:rvb i="3133"/>
        </ext>
      </extLst>
    </bk>
    <bk>
      <extLst>
        <ext uri="{3e2802c4-a4d2-4d8b-9148-e3be6c30e623}">
          <xlrd:rvb i="3134"/>
        </ext>
      </extLst>
    </bk>
    <bk>
      <extLst>
        <ext uri="{3e2802c4-a4d2-4d8b-9148-e3be6c30e623}">
          <xlrd:rvb i="3135"/>
        </ext>
      </extLst>
    </bk>
    <bk>
      <extLst>
        <ext uri="{3e2802c4-a4d2-4d8b-9148-e3be6c30e623}">
          <xlrd:rvb i="3136"/>
        </ext>
      </extLst>
    </bk>
    <bk>
      <extLst>
        <ext uri="{3e2802c4-a4d2-4d8b-9148-e3be6c30e623}">
          <xlrd:rvb i="3137"/>
        </ext>
      </extLst>
    </bk>
    <bk>
      <extLst>
        <ext uri="{3e2802c4-a4d2-4d8b-9148-e3be6c30e623}">
          <xlrd:rvb i="3138"/>
        </ext>
      </extLst>
    </bk>
    <bk>
      <extLst>
        <ext uri="{3e2802c4-a4d2-4d8b-9148-e3be6c30e623}">
          <xlrd:rvb i="3139"/>
        </ext>
      </extLst>
    </bk>
    <bk>
      <extLst>
        <ext uri="{3e2802c4-a4d2-4d8b-9148-e3be6c30e623}">
          <xlrd:rvb i="3140"/>
        </ext>
      </extLst>
    </bk>
    <bk>
      <extLst>
        <ext uri="{3e2802c4-a4d2-4d8b-9148-e3be6c30e623}">
          <xlrd:rvb i="3141"/>
        </ext>
      </extLst>
    </bk>
    <bk>
      <extLst>
        <ext uri="{3e2802c4-a4d2-4d8b-9148-e3be6c30e623}">
          <xlrd:rvb i="3142"/>
        </ext>
      </extLst>
    </bk>
    <bk>
      <extLst>
        <ext uri="{3e2802c4-a4d2-4d8b-9148-e3be6c30e623}">
          <xlrd:rvb i="3143"/>
        </ext>
      </extLst>
    </bk>
    <bk>
      <extLst>
        <ext uri="{3e2802c4-a4d2-4d8b-9148-e3be6c30e623}">
          <xlrd:rvb i="3144"/>
        </ext>
      </extLst>
    </bk>
    <bk>
      <extLst>
        <ext uri="{3e2802c4-a4d2-4d8b-9148-e3be6c30e623}">
          <xlrd:rvb i="3145"/>
        </ext>
      </extLst>
    </bk>
    <bk>
      <extLst>
        <ext uri="{3e2802c4-a4d2-4d8b-9148-e3be6c30e623}">
          <xlrd:rvb i="3146"/>
        </ext>
      </extLst>
    </bk>
    <bk>
      <extLst>
        <ext uri="{3e2802c4-a4d2-4d8b-9148-e3be6c30e623}">
          <xlrd:rvb i="3149"/>
        </ext>
      </extLst>
    </bk>
    <bk>
      <extLst>
        <ext uri="{3e2802c4-a4d2-4d8b-9148-e3be6c30e623}">
          <xlrd:rvb i="3150"/>
        </ext>
      </extLst>
    </bk>
    <bk>
      <extLst>
        <ext uri="{3e2802c4-a4d2-4d8b-9148-e3be6c30e623}">
          <xlrd:rvb i="3151"/>
        </ext>
      </extLst>
    </bk>
    <bk>
      <extLst>
        <ext uri="{3e2802c4-a4d2-4d8b-9148-e3be6c30e623}">
          <xlrd:rvb i="3152"/>
        </ext>
      </extLst>
    </bk>
    <bk>
      <extLst>
        <ext uri="{3e2802c4-a4d2-4d8b-9148-e3be6c30e623}">
          <xlrd:rvb i="3153"/>
        </ext>
      </extLst>
    </bk>
    <bk>
      <extLst>
        <ext uri="{3e2802c4-a4d2-4d8b-9148-e3be6c30e623}">
          <xlrd:rvb i="3154"/>
        </ext>
      </extLst>
    </bk>
    <bk>
      <extLst>
        <ext uri="{3e2802c4-a4d2-4d8b-9148-e3be6c30e623}">
          <xlrd:rvb i="3155"/>
        </ext>
      </extLst>
    </bk>
    <bk>
      <extLst>
        <ext uri="{3e2802c4-a4d2-4d8b-9148-e3be6c30e623}">
          <xlrd:rvb i="3156"/>
        </ext>
      </extLst>
    </bk>
    <bk>
      <extLst>
        <ext uri="{3e2802c4-a4d2-4d8b-9148-e3be6c30e623}">
          <xlrd:rvb i="3157"/>
        </ext>
      </extLst>
    </bk>
    <bk>
      <extLst>
        <ext uri="{3e2802c4-a4d2-4d8b-9148-e3be6c30e623}">
          <xlrd:rvb i="3158"/>
        </ext>
      </extLst>
    </bk>
    <bk>
      <extLst>
        <ext uri="{3e2802c4-a4d2-4d8b-9148-e3be6c30e623}">
          <xlrd:rvb i="3159"/>
        </ext>
      </extLst>
    </bk>
    <bk>
      <extLst>
        <ext uri="{3e2802c4-a4d2-4d8b-9148-e3be6c30e623}">
          <xlrd:rvb i="3160"/>
        </ext>
      </extLst>
    </bk>
    <bk>
      <extLst>
        <ext uri="{3e2802c4-a4d2-4d8b-9148-e3be6c30e623}">
          <xlrd:rvb i="3161"/>
        </ext>
      </extLst>
    </bk>
    <bk>
      <extLst>
        <ext uri="{3e2802c4-a4d2-4d8b-9148-e3be6c30e623}">
          <xlrd:rvb i="3162"/>
        </ext>
      </extLst>
    </bk>
    <bk>
      <extLst>
        <ext uri="{3e2802c4-a4d2-4d8b-9148-e3be6c30e623}">
          <xlrd:rvb i="3163"/>
        </ext>
      </extLst>
    </bk>
    <bk>
      <extLst>
        <ext uri="{3e2802c4-a4d2-4d8b-9148-e3be6c30e623}">
          <xlrd:rvb i="3164"/>
        </ext>
      </extLst>
    </bk>
    <bk>
      <extLst>
        <ext uri="{3e2802c4-a4d2-4d8b-9148-e3be6c30e623}">
          <xlrd:rvb i="3165"/>
        </ext>
      </extLst>
    </bk>
    <bk>
      <extLst>
        <ext uri="{3e2802c4-a4d2-4d8b-9148-e3be6c30e623}">
          <xlrd:rvb i="3166"/>
        </ext>
      </extLst>
    </bk>
    <bk>
      <extLst>
        <ext uri="{3e2802c4-a4d2-4d8b-9148-e3be6c30e623}">
          <xlrd:rvb i="3167"/>
        </ext>
      </extLst>
    </bk>
    <bk>
      <extLst>
        <ext uri="{3e2802c4-a4d2-4d8b-9148-e3be6c30e623}">
          <xlrd:rvb i="3170"/>
        </ext>
      </extLst>
    </bk>
    <bk>
      <extLst>
        <ext uri="{3e2802c4-a4d2-4d8b-9148-e3be6c30e623}">
          <xlrd:rvb i="3171"/>
        </ext>
      </extLst>
    </bk>
    <bk>
      <extLst>
        <ext uri="{3e2802c4-a4d2-4d8b-9148-e3be6c30e623}">
          <xlrd:rvb i="3172"/>
        </ext>
      </extLst>
    </bk>
    <bk>
      <extLst>
        <ext uri="{3e2802c4-a4d2-4d8b-9148-e3be6c30e623}">
          <xlrd:rvb i="3173"/>
        </ext>
      </extLst>
    </bk>
    <bk>
      <extLst>
        <ext uri="{3e2802c4-a4d2-4d8b-9148-e3be6c30e623}">
          <xlrd:rvb i="3174"/>
        </ext>
      </extLst>
    </bk>
    <bk>
      <extLst>
        <ext uri="{3e2802c4-a4d2-4d8b-9148-e3be6c30e623}">
          <xlrd:rvb i="3175"/>
        </ext>
      </extLst>
    </bk>
    <bk>
      <extLst>
        <ext uri="{3e2802c4-a4d2-4d8b-9148-e3be6c30e623}">
          <xlrd:rvb i="3176"/>
        </ext>
      </extLst>
    </bk>
    <bk>
      <extLst>
        <ext uri="{3e2802c4-a4d2-4d8b-9148-e3be6c30e623}">
          <xlrd:rvb i="3177"/>
        </ext>
      </extLst>
    </bk>
    <bk>
      <extLst>
        <ext uri="{3e2802c4-a4d2-4d8b-9148-e3be6c30e623}">
          <xlrd:rvb i="3178"/>
        </ext>
      </extLst>
    </bk>
    <bk>
      <extLst>
        <ext uri="{3e2802c4-a4d2-4d8b-9148-e3be6c30e623}">
          <xlrd:rvb i="3179"/>
        </ext>
      </extLst>
    </bk>
    <bk>
      <extLst>
        <ext uri="{3e2802c4-a4d2-4d8b-9148-e3be6c30e623}">
          <xlrd:rvb i="3180"/>
        </ext>
      </extLst>
    </bk>
    <bk>
      <extLst>
        <ext uri="{3e2802c4-a4d2-4d8b-9148-e3be6c30e623}">
          <xlrd:rvb i="3183"/>
        </ext>
      </extLst>
    </bk>
    <bk>
      <extLst>
        <ext uri="{3e2802c4-a4d2-4d8b-9148-e3be6c30e623}">
          <xlrd:rvb i="3184"/>
        </ext>
      </extLst>
    </bk>
    <bk>
      <extLst>
        <ext uri="{3e2802c4-a4d2-4d8b-9148-e3be6c30e623}">
          <xlrd:rvb i="3185"/>
        </ext>
      </extLst>
    </bk>
    <bk>
      <extLst>
        <ext uri="{3e2802c4-a4d2-4d8b-9148-e3be6c30e623}">
          <xlrd:rvb i="3186"/>
        </ext>
      </extLst>
    </bk>
    <bk>
      <extLst>
        <ext uri="{3e2802c4-a4d2-4d8b-9148-e3be6c30e623}">
          <xlrd:rvb i="3187"/>
        </ext>
      </extLst>
    </bk>
    <bk>
      <extLst>
        <ext uri="{3e2802c4-a4d2-4d8b-9148-e3be6c30e623}">
          <xlrd:rvb i="3188"/>
        </ext>
      </extLst>
    </bk>
    <bk>
      <extLst>
        <ext uri="{3e2802c4-a4d2-4d8b-9148-e3be6c30e623}">
          <xlrd:rvb i="3189"/>
        </ext>
      </extLst>
    </bk>
    <bk>
      <extLst>
        <ext uri="{3e2802c4-a4d2-4d8b-9148-e3be6c30e623}">
          <xlrd:rvb i="3190"/>
        </ext>
      </extLst>
    </bk>
    <bk>
      <extLst>
        <ext uri="{3e2802c4-a4d2-4d8b-9148-e3be6c30e623}">
          <xlrd:rvb i="3191"/>
        </ext>
      </extLst>
    </bk>
    <bk>
      <extLst>
        <ext uri="{3e2802c4-a4d2-4d8b-9148-e3be6c30e623}">
          <xlrd:rvb i="3192"/>
        </ext>
      </extLst>
    </bk>
    <bk>
      <extLst>
        <ext uri="{3e2802c4-a4d2-4d8b-9148-e3be6c30e623}">
          <xlrd:rvb i="3193"/>
        </ext>
      </extLst>
    </bk>
    <bk>
      <extLst>
        <ext uri="{3e2802c4-a4d2-4d8b-9148-e3be6c30e623}">
          <xlrd:rvb i="3194"/>
        </ext>
      </extLst>
    </bk>
    <bk>
      <extLst>
        <ext uri="{3e2802c4-a4d2-4d8b-9148-e3be6c30e623}">
          <xlrd:rvb i="3195"/>
        </ext>
      </extLst>
    </bk>
    <bk>
      <extLst>
        <ext uri="{3e2802c4-a4d2-4d8b-9148-e3be6c30e623}">
          <xlrd:rvb i="3196"/>
        </ext>
      </extLst>
    </bk>
    <bk>
      <extLst>
        <ext uri="{3e2802c4-a4d2-4d8b-9148-e3be6c30e623}">
          <xlrd:rvb i="3197"/>
        </ext>
      </extLst>
    </bk>
    <bk>
      <extLst>
        <ext uri="{3e2802c4-a4d2-4d8b-9148-e3be6c30e623}">
          <xlrd:rvb i="3198"/>
        </ext>
      </extLst>
    </bk>
    <bk>
      <extLst>
        <ext uri="{3e2802c4-a4d2-4d8b-9148-e3be6c30e623}">
          <xlrd:rvb i="3199"/>
        </ext>
      </extLst>
    </bk>
    <bk>
      <extLst>
        <ext uri="{3e2802c4-a4d2-4d8b-9148-e3be6c30e623}">
          <xlrd:rvb i="3200"/>
        </ext>
      </extLst>
    </bk>
    <bk>
      <extLst>
        <ext uri="{3e2802c4-a4d2-4d8b-9148-e3be6c30e623}">
          <xlrd:rvb i="3203"/>
        </ext>
      </extLst>
    </bk>
    <bk>
      <extLst>
        <ext uri="{3e2802c4-a4d2-4d8b-9148-e3be6c30e623}">
          <xlrd:rvb i="3204"/>
        </ext>
      </extLst>
    </bk>
    <bk>
      <extLst>
        <ext uri="{3e2802c4-a4d2-4d8b-9148-e3be6c30e623}">
          <xlrd:rvb i="3205"/>
        </ext>
      </extLst>
    </bk>
    <bk>
      <extLst>
        <ext uri="{3e2802c4-a4d2-4d8b-9148-e3be6c30e623}">
          <xlrd:rvb i="3206"/>
        </ext>
      </extLst>
    </bk>
    <bk>
      <extLst>
        <ext uri="{3e2802c4-a4d2-4d8b-9148-e3be6c30e623}">
          <xlrd:rvb i="3207"/>
        </ext>
      </extLst>
    </bk>
    <bk>
      <extLst>
        <ext uri="{3e2802c4-a4d2-4d8b-9148-e3be6c30e623}">
          <xlrd:rvb i="3208"/>
        </ext>
      </extLst>
    </bk>
    <bk>
      <extLst>
        <ext uri="{3e2802c4-a4d2-4d8b-9148-e3be6c30e623}">
          <xlrd:rvb i="3209"/>
        </ext>
      </extLst>
    </bk>
    <bk>
      <extLst>
        <ext uri="{3e2802c4-a4d2-4d8b-9148-e3be6c30e623}">
          <xlrd:rvb i="3210"/>
        </ext>
      </extLst>
    </bk>
    <bk>
      <extLst>
        <ext uri="{3e2802c4-a4d2-4d8b-9148-e3be6c30e623}">
          <xlrd:rvb i="3211"/>
        </ext>
      </extLst>
    </bk>
    <bk>
      <extLst>
        <ext uri="{3e2802c4-a4d2-4d8b-9148-e3be6c30e623}">
          <xlrd:rvb i="3212"/>
        </ext>
      </extLst>
    </bk>
    <bk>
      <extLst>
        <ext uri="{3e2802c4-a4d2-4d8b-9148-e3be6c30e623}">
          <xlrd:rvb i="3213"/>
        </ext>
      </extLst>
    </bk>
    <bk>
      <extLst>
        <ext uri="{3e2802c4-a4d2-4d8b-9148-e3be6c30e623}">
          <xlrd:rvb i="3214"/>
        </ext>
      </extLst>
    </bk>
    <bk>
      <extLst>
        <ext uri="{3e2802c4-a4d2-4d8b-9148-e3be6c30e623}">
          <xlrd:rvb i="3215"/>
        </ext>
      </extLst>
    </bk>
    <bk>
      <extLst>
        <ext uri="{3e2802c4-a4d2-4d8b-9148-e3be6c30e623}">
          <xlrd:rvb i="3216"/>
        </ext>
      </extLst>
    </bk>
    <bk>
      <extLst>
        <ext uri="{3e2802c4-a4d2-4d8b-9148-e3be6c30e623}">
          <xlrd:rvb i="3217"/>
        </ext>
      </extLst>
    </bk>
    <bk>
      <extLst>
        <ext uri="{3e2802c4-a4d2-4d8b-9148-e3be6c30e623}">
          <xlrd:rvb i="3218"/>
        </ext>
      </extLst>
    </bk>
    <bk>
      <extLst>
        <ext uri="{3e2802c4-a4d2-4d8b-9148-e3be6c30e623}">
          <xlrd:rvb i="3219"/>
        </ext>
      </extLst>
    </bk>
    <bk>
      <extLst>
        <ext uri="{3e2802c4-a4d2-4d8b-9148-e3be6c30e623}">
          <xlrd:rvb i="3222"/>
        </ext>
      </extLst>
    </bk>
    <bk>
      <extLst>
        <ext uri="{3e2802c4-a4d2-4d8b-9148-e3be6c30e623}">
          <xlrd:rvb i="3223"/>
        </ext>
      </extLst>
    </bk>
    <bk>
      <extLst>
        <ext uri="{3e2802c4-a4d2-4d8b-9148-e3be6c30e623}">
          <xlrd:rvb i="3224"/>
        </ext>
      </extLst>
    </bk>
    <bk>
      <extLst>
        <ext uri="{3e2802c4-a4d2-4d8b-9148-e3be6c30e623}">
          <xlrd:rvb i="3225"/>
        </ext>
      </extLst>
    </bk>
    <bk>
      <extLst>
        <ext uri="{3e2802c4-a4d2-4d8b-9148-e3be6c30e623}">
          <xlrd:rvb i="3226"/>
        </ext>
      </extLst>
    </bk>
    <bk>
      <extLst>
        <ext uri="{3e2802c4-a4d2-4d8b-9148-e3be6c30e623}">
          <xlrd:rvb i="3227"/>
        </ext>
      </extLst>
    </bk>
    <bk>
      <extLst>
        <ext uri="{3e2802c4-a4d2-4d8b-9148-e3be6c30e623}">
          <xlrd:rvb i="3228"/>
        </ext>
      </extLst>
    </bk>
    <bk>
      <extLst>
        <ext uri="{3e2802c4-a4d2-4d8b-9148-e3be6c30e623}">
          <xlrd:rvb i="3229"/>
        </ext>
      </extLst>
    </bk>
    <bk>
      <extLst>
        <ext uri="{3e2802c4-a4d2-4d8b-9148-e3be6c30e623}">
          <xlrd:rvb i="3230"/>
        </ext>
      </extLst>
    </bk>
    <bk>
      <extLst>
        <ext uri="{3e2802c4-a4d2-4d8b-9148-e3be6c30e623}">
          <xlrd:rvb i="3231"/>
        </ext>
      </extLst>
    </bk>
    <bk>
      <extLst>
        <ext uri="{3e2802c4-a4d2-4d8b-9148-e3be6c30e623}">
          <xlrd:rvb i="3232"/>
        </ext>
      </extLst>
    </bk>
    <bk>
      <extLst>
        <ext uri="{3e2802c4-a4d2-4d8b-9148-e3be6c30e623}">
          <xlrd:rvb i="3233"/>
        </ext>
      </extLst>
    </bk>
    <bk>
      <extLst>
        <ext uri="{3e2802c4-a4d2-4d8b-9148-e3be6c30e623}">
          <xlrd:rvb i="3234"/>
        </ext>
      </extLst>
    </bk>
    <bk>
      <extLst>
        <ext uri="{3e2802c4-a4d2-4d8b-9148-e3be6c30e623}">
          <xlrd:rvb i="3235"/>
        </ext>
      </extLst>
    </bk>
    <bk>
      <extLst>
        <ext uri="{3e2802c4-a4d2-4d8b-9148-e3be6c30e623}">
          <xlrd:rvb i="3236"/>
        </ext>
      </extLst>
    </bk>
    <bk>
      <extLst>
        <ext uri="{3e2802c4-a4d2-4d8b-9148-e3be6c30e623}">
          <xlrd:rvb i="3237"/>
        </ext>
      </extLst>
    </bk>
    <bk>
      <extLst>
        <ext uri="{3e2802c4-a4d2-4d8b-9148-e3be6c30e623}">
          <xlrd:rvb i="3238"/>
        </ext>
      </extLst>
    </bk>
    <bk>
      <extLst>
        <ext uri="{3e2802c4-a4d2-4d8b-9148-e3be6c30e623}">
          <xlrd:rvb i="3239"/>
        </ext>
      </extLst>
    </bk>
    <bk>
      <extLst>
        <ext uri="{3e2802c4-a4d2-4d8b-9148-e3be6c30e623}">
          <xlrd:rvb i="3240"/>
        </ext>
      </extLst>
    </bk>
    <bk>
      <extLst>
        <ext uri="{3e2802c4-a4d2-4d8b-9148-e3be6c30e623}">
          <xlrd:rvb i="3241"/>
        </ext>
      </extLst>
    </bk>
    <bk>
      <extLst>
        <ext uri="{3e2802c4-a4d2-4d8b-9148-e3be6c30e623}">
          <xlrd:rvb i="3244"/>
        </ext>
      </extLst>
    </bk>
    <bk>
      <extLst>
        <ext uri="{3e2802c4-a4d2-4d8b-9148-e3be6c30e623}">
          <xlrd:rvb i="3245"/>
        </ext>
      </extLst>
    </bk>
    <bk>
      <extLst>
        <ext uri="{3e2802c4-a4d2-4d8b-9148-e3be6c30e623}">
          <xlrd:rvb i="3246"/>
        </ext>
      </extLst>
    </bk>
    <bk>
      <extLst>
        <ext uri="{3e2802c4-a4d2-4d8b-9148-e3be6c30e623}">
          <xlrd:rvb i="3247"/>
        </ext>
      </extLst>
    </bk>
    <bk>
      <extLst>
        <ext uri="{3e2802c4-a4d2-4d8b-9148-e3be6c30e623}">
          <xlrd:rvb i="3248"/>
        </ext>
      </extLst>
    </bk>
    <bk>
      <extLst>
        <ext uri="{3e2802c4-a4d2-4d8b-9148-e3be6c30e623}">
          <xlrd:rvb i="3249"/>
        </ext>
      </extLst>
    </bk>
    <bk>
      <extLst>
        <ext uri="{3e2802c4-a4d2-4d8b-9148-e3be6c30e623}">
          <xlrd:rvb i="3250"/>
        </ext>
      </extLst>
    </bk>
    <bk>
      <extLst>
        <ext uri="{3e2802c4-a4d2-4d8b-9148-e3be6c30e623}">
          <xlrd:rvb i="3251"/>
        </ext>
      </extLst>
    </bk>
    <bk>
      <extLst>
        <ext uri="{3e2802c4-a4d2-4d8b-9148-e3be6c30e623}">
          <xlrd:rvb i="3252"/>
        </ext>
      </extLst>
    </bk>
    <bk>
      <extLst>
        <ext uri="{3e2802c4-a4d2-4d8b-9148-e3be6c30e623}">
          <xlrd:rvb i="3253"/>
        </ext>
      </extLst>
    </bk>
    <bk>
      <extLst>
        <ext uri="{3e2802c4-a4d2-4d8b-9148-e3be6c30e623}">
          <xlrd:rvb i="3254"/>
        </ext>
      </extLst>
    </bk>
    <bk>
      <extLst>
        <ext uri="{3e2802c4-a4d2-4d8b-9148-e3be6c30e623}">
          <xlrd:rvb i="3255"/>
        </ext>
      </extLst>
    </bk>
    <bk>
      <extLst>
        <ext uri="{3e2802c4-a4d2-4d8b-9148-e3be6c30e623}">
          <xlrd:rvb i="3256"/>
        </ext>
      </extLst>
    </bk>
    <bk>
      <extLst>
        <ext uri="{3e2802c4-a4d2-4d8b-9148-e3be6c30e623}">
          <xlrd:rvb i="3257"/>
        </ext>
      </extLst>
    </bk>
    <bk>
      <extLst>
        <ext uri="{3e2802c4-a4d2-4d8b-9148-e3be6c30e623}">
          <xlrd:rvb i="3258"/>
        </ext>
      </extLst>
    </bk>
    <bk>
      <extLst>
        <ext uri="{3e2802c4-a4d2-4d8b-9148-e3be6c30e623}">
          <xlrd:rvb i="3259"/>
        </ext>
      </extLst>
    </bk>
    <bk>
      <extLst>
        <ext uri="{3e2802c4-a4d2-4d8b-9148-e3be6c30e623}">
          <xlrd:rvb i="3260"/>
        </ext>
      </extLst>
    </bk>
    <bk>
      <extLst>
        <ext uri="{3e2802c4-a4d2-4d8b-9148-e3be6c30e623}">
          <xlrd:rvb i="3263"/>
        </ext>
      </extLst>
    </bk>
    <bk>
      <extLst>
        <ext uri="{3e2802c4-a4d2-4d8b-9148-e3be6c30e623}">
          <xlrd:rvb i="3264"/>
        </ext>
      </extLst>
    </bk>
    <bk>
      <extLst>
        <ext uri="{3e2802c4-a4d2-4d8b-9148-e3be6c30e623}">
          <xlrd:rvb i="3265"/>
        </ext>
      </extLst>
    </bk>
    <bk>
      <extLst>
        <ext uri="{3e2802c4-a4d2-4d8b-9148-e3be6c30e623}">
          <xlrd:rvb i="3266"/>
        </ext>
      </extLst>
    </bk>
    <bk>
      <extLst>
        <ext uri="{3e2802c4-a4d2-4d8b-9148-e3be6c30e623}">
          <xlrd:rvb i="3267"/>
        </ext>
      </extLst>
    </bk>
    <bk>
      <extLst>
        <ext uri="{3e2802c4-a4d2-4d8b-9148-e3be6c30e623}">
          <xlrd:rvb i="3268"/>
        </ext>
      </extLst>
    </bk>
    <bk>
      <extLst>
        <ext uri="{3e2802c4-a4d2-4d8b-9148-e3be6c30e623}">
          <xlrd:rvb i="3269"/>
        </ext>
      </extLst>
    </bk>
    <bk>
      <extLst>
        <ext uri="{3e2802c4-a4d2-4d8b-9148-e3be6c30e623}">
          <xlrd:rvb i="3270"/>
        </ext>
      </extLst>
    </bk>
    <bk>
      <extLst>
        <ext uri="{3e2802c4-a4d2-4d8b-9148-e3be6c30e623}">
          <xlrd:rvb i="3271"/>
        </ext>
      </extLst>
    </bk>
    <bk>
      <extLst>
        <ext uri="{3e2802c4-a4d2-4d8b-9148-e3be6c30e623}">
          <xlrd:rvb i="3272"/>
        </ext>
      </extLst>
    </bk>
    <bk>
      <extLst>
        <ext uri="{3e2802c4-a4d2-4d8b-9148-e3be6c30e623}">
          <xlrd:rvb i="3273"/>
        </ext>
      </extLst>
    </bk>
    <bk>
      <extLst>
        <ext uri="{3e2802c4-a4d2-4d8b-9148-e3be6c30e623}">
          <xlrd:rvb i="3274"/>
        </ext>
      </extLst>
    </bk>
    <bk>
      <extLst>
        <ext uri="{3e2802c4-a4d2-4d8b-9148-e3be6c30e623}">
          <xlrd:rvb i="3275"/>
        </ext>
      </extLst>
    </bk>
    <bk>
      <extLst>
        <ext uri="{3e2802c4-a4d2-4d8b-9148-e3be6c30e623}">
          <xlrd:rvb i="3276"/>
        </ext>
      </extLst>
    </bk>
    <bk>
      <extLst>
        <ext uri="{3e2802c4-a4d2-4d8b-9148-e3be6c30e623}">
          <xlrd:rvb i="3277"/>
        </ext>
      </extLst>
    </bk>
    <bk>
      <extLst>
        <ext uri="{3e2802c4-a4d2-4d8b-9148-e3be6c30e623}">
          <xlrd:rvb i="3278"/>
        </ext>
      </extLst>
    </bk>
    <bk>
      <extLst>
        <ext uri="{3e2802c4-a4d2-4d8b-9148-e3be6c30e623}">
          <xlrd:rvb i="3279"/>
        </ext>
      </extLst>
    </bk>
    <bk>
      <extLst>
        <ext uri="{3e2802c4-a4d2-4d8b-9148-e3be6c30e623}">
          <xlrd:rvb i="3280"/>
        </ext>
      </extLst>
    </bk>
    <bk>
      <extLst>
        <ext uri="{3e2802c4-a4d2-4d8b-9148-e3be6c30e623}">
          <xlrd:rvb i="3281"/>
        </ext>
      </extLst>
    </bk>
    <bk>
      <extLst>
        <ext uri="{3e2802c4-a4d2-4d8b-9148-e3be6c30e623}">
          <xlrd:rvb i="3282"/>
        </ext>
      </extLst>
    </bk>
    <bk>
      <extLst>
        <ext uri="{3e2802c4-a4d2-4d8b-9148-e3be6c30e623}">
          <xlrd:rvb i="3283"/>
        </ext>
      </extLst>
    </bk>
    <bk>
      <extLst>
        <ext uri="{3e2802c4-a4d2-4d8b-9148-e3be6c30e623}">
          <xlrd:rvb i="3284"/>
        </ext>
      </extLst>
    </bk>
    <bk>
      <extLst>
        <ext uri="{3e2802c4-a4d2-4d8b-9148-e3be6c30e623}">
          <xlrd:rvb i="3287"/>
        </ext>
      </extLst>
    </bk>
    <bk>
      <extLst>
        <ext uri="{3e2802c4-a4d2-4d8b-9148-e3be6c30e623}">
          <xlrd:rvb i="3288"/>
        </ext>
      </extLst>
    </bk>
    <bk>
      <extLst>
        <ext uri="{3e2802c4-a4d2-4d8b-9148-e3be6c30e623}">
          <xlrd:rvb i="3289"/>
        </ext>
      </extLst>
    </bk>
    <bk>
      <extLst>
        <ext uri="{3e2802c4-a4d2-4d8b-9148-e3be6c30e623}">
          <xlrd:rvb i="3290"/>
        </ext>
      </extLst>
    </bk>
    <bk>
      <extLst>
        <ext uri="{3e2802c4-a4d2-4d8b-9148-e3be6c30e623}">
          <xlrd:rvb i="3291"/>
        </ext>
      </extLst>
    </bk>
    <bk>
      <extLst>
        <ext uri="{3e2802c4-a4d2-4d8b-9148-e3be6c30e623}">
          <xlrd:rvb i="3292"/>
        </ext>
      </extLst>
    </bk>
    <bk>
      <extLst>
        <ext uri="{3e2802c4-a4d2-4d8b-9148-e3be6c30e623}">
          <xlrd:rvb i="3293"/>
        </ext>
      </extLst>
    </bk>
    <bk>
      <extLst>
        <ext uri="{3e2802c4-a4d2-4d8b-9148-e3be6c30e623}">
          <xlrd:rvb i="3294"/>
        </ext>
      </extLst>
    </bk>
    <bk>
      <extLst>
        <ext uri="{3e2802c4-a4d2-4d8b-9148-e3be6c30e623}">
          <xlrd:rvb i="3295"/>
        </ext>
      </extLst>
    </bk>
    <bk>
      <extLst>
        <ext uri="{3e2802c4-a4d2-4d8b-9148-e3be6c30e623}">
          <xlrd:rvb i="3296"/>
        </ext>
      </extLst>
    </bk>
    <bk>
      <extLst>
        <ext uri="{3e2802c4-a4d2-4d8b-9148-e3be6c30e623}">
          <xlrd:rvb i="3297"/>
        </ext>
      </extLst>
    </bk>
    <bk>
      <extLst>
        <ext uri="{3e2802c4-a4d2-4d8b-9148-e3be6c30e623}">
          <xlrd:rvb i="3298"/>
        </ext>
      </extLst>
    </bk>
    <bk>
      <extLst>
        <ext uri="{3e2802c4-a4d2-4d8b-9148-e3be6c30e623}">
          <xlrd:rvb i="3299"/>
        </ext>
      </extLst>
    </bk>
    <bk>
      <extLst>
        <ext uri="{3e2802c4-a4d2-4d8b-9148-e3be6c30e623}">
          <xlrd:rvb i="3300"/>
        </ext>
      </extLst>
    </bk>
    <bk>
      <extLst>
        <ext uri="{3e2802c4-a4d2-4d8b-9148-e3be6c30e623}">
          <xlrd:rvb i="3301"/>
        </ext>
      </extLst>
    </bk>
    <bk>
      <extLst>
        <ext uri="{3e2802c4-a4d2-4d8b-9148-e3be6c30e623}">
          <xlrd:rvb i="3304"/>
        </ext>
      </extLst>
    </bk>
    <bk>
      <extLst>
        <ext uri="{3e2802c4-a4d2-4d8b-9148-e3be6c30e623}">
          <xlrd:rvb i="3305"/>
        </ext>
      </extLst>
    </bk>
    <bk>
      <extLst>
        <ext uri="{3e2802c4-a4d2-4d8b-9148-e3be6c30e623}">
          <xlrd:rvb i="3306"/>
        </ext>
      </extLst>
    </bk>
    <bk>
      <extLst>
        <ext uri="{3e2802c4-a4d2-4d8b-9148-e3be6c30e623}">
          <xlrd:rvb i="3307"/>
        </ext>
      </extLst>
    </bk>
    <bk>
      <extLst>
        <ext uri="{3e2802c4-a4d2-4d8b-9148-e3be6c30e623}">
          <xlrd:rvb i="3308"/>
        </ext>
      </extLst>
    </bk>
    <bk>
      <extLst>
        <ext uri="{3e2802c4-a4d2-4d8b-9148-e3be6c30e623}">
          <xlrd:rvb i="3309"/>
        </ext>
      </extLst>
    </bk>
    <bk>
      <extLst>
        <ext uri="{3e2802c4-a4d2-4d8b-9148-e3be6c30e623}">
          <xlrd:rvb i="3310"/>
        </ext>
      </extLst>
    </bk>
    <bk>
      <extLst>
        <ext uri="{3e2802c4-a4d2-4d8b-9148-e3be6c30e623}">
          <xlrd:rvb i="3311"/>
        </ext>
      </extLst>
    </bk>
    <bk>
      <extLst>
        <ext uri="{3e2802c4-a4d2-4d8b-9148-e3be6c30e623}">
          <xlrd:rvb i="3312"/>
        </ext>
      </extLst>
    </bk>
    <bk>
      <extLst>
        <ext uri="{3e2802c4-a4d2-4d8b-9148-e3be6c30e623}">
          <xlrd:rvb i="3313"/>
        </ext>
      </extLst>
    </bk>
    <bk>
      <extLst>
        <ext uri="{3e2802c4-a4d2-4d8b-9148-e3be6c30e623}">
          <xlrd:rvb i="3314"/>
        </ext>
      </extLst>
    </bk>
    <bk>
      <extLst>
        <ext uri="{3e2802c4-a4d2-4d8b-9148-e3be6c30e623}">
          <xlrd:rvb i="3315"/>
        </ext>
      </extLst>
    </bk>
    <bk>
      <extLst>
        <ext uri="{3e2802c4-a4d2-4d8b-9148-e3be6c30e623}">
          <xlrd:rvb i="3316"/>
        </ext>
      </extLst>
    </bk>
    <bk>
      <extLst>
        <ext uri="{3e2802c4-a4d2-4d8b-9148-e3be6c30e623}">
          <xlrd:rvb i="3317"/>
        </ext>
      </extLst>
    </bk>
    <bk>
      <extLst>
        <ext uri="{3e2802c4-a4d2-4d8b-9148-e3be6c30e623}">
          <xlrd:rvb i="3318"/>
        </ext>
      </extLst>
    </bk>
    <bk>
      <extLst>
        <ext uri="{3e2802c4-a4d2-4d8b-9148-e3be6c30e623}">
          <xlrd:rvb i="3319"/>
        </ext>
      </extLst>
    </bk>
    <bk>
      <extLst>
        <ext uri="{3e2802c4-a4d2-4d8b-9148-e3be6c30e623}">
          <xlrd:rvb i="3320"/>
        </ext>
      </extLst>
    </bk>
    <bk>
      <extLst>
        <ext uri="{3e2802c4-a4d2-4d8b-9148-e3be6c30e623}">
          <xlrd:rvb i="3321"/>
        </ext>
      </extLst>
    </bk>
    <bk>
      <extLst>
        <ext uri="{3e2802c4-a4d2-4d8b-9148-e3be6c30e623}">
          <xlrd:rvb i="3322"/>
        </ext>
      </extLst>
    </bk>
    <bk>
      <extLst>
        <ext uri="{3e2802c4-a4d2-4d8b-9148-e3be6c30e623}">
          <xlrd:rvb i="3323"/>
        </ext>
      </extLst>
    </bk>
    <bk>
      <extLst>
        <ext uri="{3e2802c4-a4d2-4d8b-9148-e3be6c30e623}">
          <xlrd:rvb i="3326"/>
        </ext>
      </extLst>
    </bk>
    <bk>
      <extLst>
        <ext uri="{3e2802c4-a4d2-4d8b-9148-e3be6c30e623}">
          <xlrd:rvb i="3327"/>
        </ext>
      </extLst>
    </bk>
    <bk>
      <extLst>
        <ext uri="{3e2802c4-a4d2-4d8b-9148-e3be6c30e623}">
          <xlrd:rvb i="3328"/>
        </ext>
      </extLst>
    </bk>
    <bk>
      <extLst>
        <ext uri="{3e2802c4-a4d2-4d8b-9148-e3be6c30e623}">
          <xlrd:rvb i="3329"/>
        </ext>
      </extLst>
    </bk>
    <bk>
      <extLst>
        <ext uri="{3e2802c4-a4d2-4d8b-9148-e3be6c30e623}">
          <xlrd:rvb i="3330"/>
        </ext>
      </extLst>
    </bk>
    <bk>
      <extLst>
        <ext uri="{3e2802c4-a4d2-4d8b-9148-e3be6c30e623}">
          <xlrd:rvb i="3331"/>
        </ext>
      </extLst>
    </bk>
    <bk>
      <extLst>
        <ext uri="{3e2802c4-a4d2-4d8b-9148-e3be6c30e623}">
          <xlrd:rvb i="3332"/>
        </ext>
      </extLst>
    </bk>
    <bk>
      <extLst>
        <ext uri="{3e2802c4-a4d2-4d8b-9148-e3be6c30e623}">
          <xlrd:rvb i="3333"/>
        </ext>
      </extLst>
    </bk>
    <bk>
      <extLst>
        <ext uri="{3e2802c4-a4d2-4d8b-9148-e3be6c30e623}">
          <xlrd:rvb i="3334"/>
        </ext>
      </extLst>
    </bk>
    <bk>
      <extLst>
        <ext uri="{3e2802c4-a4d2-4d8b-9148-e3be6c30e623}">
          <xlrd:rvb i="3335"/>
        </ext>
      </extLst>
    </bk>
    <bk>
      <extLst>
        <ext uri="{3e2802c4-a4d2-4d8b-9148-e3be6c30e623}">
          <xlrd:rvb i="3336"/>
        </ext>
      </extLst>
    </bk>
    <bk>
      <extLst>
        <ext uri="{3e2802c4-a4d2-4d8b-9148-e3be6c30e623}">
          <xlrd:rvb i="3337"/>
        </ext>
      </extLst>
    </bk>
    <bk>
      <extLst>
        <ext uri="{3e2802c4-a4d2-4d8b-9148-e3be6c30e623}">
          <xlrd:rvb i="3338"/>
        </ext>
      </extLst>
    </bk>
    <bk>
      <extLst>
        <ext uri="{3e2802c4-a4d2-4d8b-9148-e3be6c30e623}">
          <xlrd:rvb i="3339"/>
        </ext>
      </extLst>
    </bk>
    <bk>
      <extLst>
        <ext uri="{3e2802c4-a4d2-4d8b-9148-e3be6c30e623}">
          <xlrd:rvb i="3340"/>
        </ext>
      </extLst>
    </bk>
    <bk>
      <extLst>
        <ext uri="{3e2802c4-a4d2-4d8b-9148-e3be6c30e623}">
          <xlrd:rvb i="3341"/>
        </ext>
      </extLst>
    </bk>
    <bk>
      <extLst>
        <ext uri="{3e2802c4-a4d2-4d8b-9148-e3be6c30e623}">
          <xlrd:rvb i="3342"/>
        </ext>
      </extLst>
    </bk>
    <bk>
      <extLst>
        <ext uri="{3e2802c4-a4d2-4d8b-9148-e3be6c30e623}">
          <xlrd:rvb i="3343"/>
        </ext>
      </extLst>
    </bk>
    <bk>
      <extLst>
        <ext uri="{3e2802c4-a4d2-4d8b-9148-e3be6c30e623}">
          <xlrd:rvb i="3344"/>
        </ext>
      </extLst>
    </bk>
    <bk>
      <extLst>
        <ext uri="{3e2802c4-a4d2-4d8b-9148-e3be6c30e623}">
          <xlrd:rvb i="3345"/>
        </ext>
      </extLst>
    </bk>
    <bk>
      <extLst>
        <ext uri="{3e2802c4-a4d2-4d8b-9148-e3be6c30e623}">
          <xlrd:rvb i="3346"/>
        </ext>
      </extLst>
    </bk>
    <bk>
      <extLst>
        <ext uri="{3e2802c4-a4d2-4d8b-9148-e3be6c30e623}">
          <xlrd:rvb i="3347"/>
        </ext>
      </extLst>
    </bk>
    <bk>
      <extLst>
        <ext uri="{3e2802c4-a4d2-4d8b-9148-e3be6c30e623}">
          <xlrd:rvb i="3350"/>
        </ext>
      </extLst>
    </bk>
    <bk>
      <extLst>
        <ext uri="{3e2802c4-a4d2-4d8b-9148-e3be6c30e623}">
          <xlrd:rvb i="3351"/>
        </ext>
      </extLst>
    </bk>
    <bk>
      <extLst>
        <ext uri="{3e2802c4-a4d2-4d8b-9148-e3be6c30e623}">
          <xlrd:rvb i="3352"/>
        </ext>
      </extLst>
    </bk>
    <bk>
      <extLst>
        <ext uri="{3e2802c4-a4d2-4d8b-9148-e3be6c30e623}">
          <xlrd:rvb i="3353"/>
        </ext>
      </extLst>
    </bk>
    <bk>
      <extLst>
        <ext uri="{3e2802c4-a4d2-4d8b-9148-e3be6c30e623}">
          <xlrd:rvb i="3354"/>
        </ext>
      </extLst>
    </bk>
    <bk>
      <extLst>
        <ext uri="{3e2802c4-a4d2-4d8b-9148-e3be6c30e623}">
          <xlrd:rvb i="3355"/>
        </ext>
      </extLst>
    </bk>
    <bk>
      <extLst>
        <ext uri="{3e2802c4-a4d2-4d8b-9148-e3be6c30e623}">
          <xlrd:rvb i="3356"/>
        </ext>
      </extLst>
    </bk>
    <bk>
      <extLst>
        <ext uri="{3e2802c4-a4d2-4d8b-9148-e3be6c30e623}">
          <xlrd:rvb i="3357"/>
        </ext>
      </extLst>
    </bk>
    <bk>
      <extLst>
        <ext uri="{3e2802c4-a4d2-4d8b-9148-e3be6c30e623}">
          <xlrd:rvb i="3358"/>
        </ext>
      </extLst>
    </bk>
    <bk>
      <extLst>
        <ext uri="{3e2802c4-a4d2-4d8b-9148-e3be6c30e623}">
          <xlrd:rvb i="3359"/>
        </ext>
      </extLst>
    </bk>
    <bk>
      <extLst>
        <ext uri="{3e2802c4-a4d2-4d8b-9148-e3be6c30e623}">
          <xlrd:rvb i="3360"/>
        </ext>
      </extLst>
    </bk>
    <bk>
      <extLst>
        <ext uri="{3e2802c4-a4d2-4d8b-9148-e3be6c30e623}">
          <xlrd:rvb i="3361"/>
        </ext>
      </extLst>
    </bk>
    <bk>
      <extLst>
        <ext uri="{3e2802c4-a4d2-4d8b-9148-e3be6c30e623}">
          <xlrd:rvb i="3362"/>
        </ext>
      </extLst>
    </bk>
    <bk>
      <extLst>
        <ext uri="{3e2802c4-a4d2-4d8b-9148-e3be6c30e623}">
          <xlrd:rvb i="3363"/>
        </ext>
      </extLst>
    </bk>
    <bk>
      <extLst>
        <ext uri="{3e2802c4-a4d2-4d8b-9148-e3be6c30e623}">
          <xlrd:rvb i="3364"/>
        </ext>
      </extLst>
    </bk>
    <bk>
      <extLst>
        <ext uri="{3e2802c4-a4d2-4d8b-9148-e3be6c30e623}">
          <xlrd:rvb i="3365"/>
        </ext>
      </extLst>
    </bk>
    <bk>
      <extLst>
        <ext uri="{3e2802c4-a4d2-4d8b-9148-e3be6c30e623}">
          <xlrd:rvb i="3366"/>
        </ext>
      </extLst>
    </bk>
    <bk>
      <extLst>
        <ext uri="{3e2802c4-a4d2-4d8b-9148-e3be6c30e623}">
          <xlrd:rvb i="3367"/>
        </ext>
      </extLst>
    </bk>
    <bk>
      <extLst>
        <ext uri="{3e2802c4-a4d2-4d8b-9148-e3be6c30e623}">
          <xlrd:rvb i="3368"/>
        </ext>
      </extLst>
    </bk>
    <bk>
      <extLst>
        <ext uri="{3e2802c4-a4d2-4d8b-9148-e3be6c30e623}">
          <xlrd:rvb i="3371"/>
        </ext>
      </extLst>
    </bk>
    <bk>
      <extLst>
        <ext uri="{3e2802c4-a4d2-4d8b-9148-e3be6c30e623}">
          <xlrd:rvb i="3372"/>
        </ext>
      </extLst>
    </bk>
    <bk>
      <extLst>
        <ext uri="{3e2802c4-a4d2-4d8b-9148-e3be6c30e623}">
          <xlrd:rvb i="3373"/>
        </ext>
      </extLst>
    </bk>
    <bk>
      <extLst>
        <ext uri="{3e2802c4-a4d2-4d8b-9148-e3be6c30e623}">
          <xlrd:rvb i="3374"/>
        </ext>
      </extLst>
    </bk>
    <bk>
      <extLst>
        <ext uri="{3e2802c4-a4d2-4d8b-9148-e3be6c30e623}">
          <xlrd:rvb i="3375"/>
        </ext>
      </extLst>
    </bk>
    <bk>
      <extLst>
        <ext uri="{3e2802c4-a4d2-4d8b-9148-e3be6c30e623}">
          <xlrd:rvb i="3376"/>
        </ext>
      </extLst>
    </bk>
    <bk>
      <extLst>
        <ext uri="{3e2802c4-a4d2-4d8b-9148-e3be6c30e623}">
          <xlrd:rvb i="3377"/>
        </ext>
      </extLst>
    </bk>
    <bk>
      <extLst>
        <ext uri="{3e2802c4-a4d2-4d8b-9148-e3be6c30e623}">
          <xlrd:rvb i="3378"/>
        </ext>
      </extLst>
    </bk>
    <bk>
      <extLst>
        <ext uri="{3e2802c4-a4d2-4d8b-9148-e3be6c30e623}">
          <xlrd:rvb i="3379"/>
        </ext>
      </extLst>
    </bk>
    <bk>
      <extLst>
        <ext uri="{3e2802c4-a4d2-4d8b-9148-e3be6c30e623}">
          <xlrd:rvb i="3380"/>
        </ext>
      </extLst>
    </bk>
    <bk>
      <extLst>
        <ext uri="{3e2802c4-a4d2-4d8b-9148-e3be6c30e623}">
          <xlrd:rvb i="3381"/>
        </ext>
      </extLst>
    </bk>
    <bk>
      <extLst>
        <ext uri="{3e2802c4-a4d2-4d8b-9148-e3be6c30e623}">
          <xlrd:rvb i="3382"/>
        </ext>
      </extLst>
    </bk>
    <bk>
      <extLst>
        <ext uri="{3e2802c4-a4d2-4d8b-9148-e3be6c30e623}">
          <xlrd:rvb i="3383"/>
        </ext>
      </extLst>
    </bk>
    <bk>
      <extLst>
        <ext uri="{3e2802c4-a4d2-4d8b-9148-e3be6c30e623}">
          <xlrd:rvb i="3384"/>
        </ext>
      </extLst>
    </bk>
    <bk>
      <extLst>
        <ext uri="{3e2802c4-a4d2-4d8b-9148-e3be6c30e623}">
          <xlrd:rvb i="3385"/>
        </ext>
      </extLst>
    </bk>
    <bk>
      <extLst>
        <ext uri="{3e2802c4-a4d2-4d8b-9148-e3be6c30e623}">
          <xlrd:rvb i="3386"/>
        </ext>
      </extLst>
    </bk>
    <bk>
      <extLst>
        <ext uri="{3e2802c4-a4d2-4d8b-9148-e3be6c30e623}">
          <xlrd:rvb i="3387"/>
        </ext>
      </extLst>
    </bk>
    <bk>
      <extLst>
        <ext uri="{3e2802c4-a4d2-4d8b-9148-e3be6c30e623}">
          <xlrd:rvb i="3388"/>
        </ext>
      </extLst>
    </bk>
    <bk>
      <extLst>
        <ext uri="{3e2802c4-a4d2-4d8b-9148-e3be6c30e623}">
          <xlrd:rvb i="3389"/>
        </ext>
      </extLst>
    </bk>
    <bk>
      <extLst>
        <ext uri="{3e2802c4-a4d2-4d8b-9148-e3be6c30e623}">
          <xlrd:rvb i="3390"/>
        </ext>
      </extLst>
    </bk>
    <bk>
      <extLst>
        <ext uri="{3e2802c4-a4d2-4d8b-9148-e3be6c30e623}">
          <xlrd:rvb i="3392"/>
        </ext>
      </extLst>
    </bk>
    <bk>
      <extLst>
        <ext uri="{3e2802c4-a4d2-4d8b-9148-e3be6c30e623}">
          <xlrd:rvb i="3393"/>
        </ext>
      </extLst>
    </bk>
    <bk>
      <extLst>
        <ext uri="{3e2802c4-a4d2-4d8b-9148-e3be6c30e623}">
          <xlrd:rvb i="3394"/>
        </ext>
      </extLst>
    </bk>
    <bk>
      <extLst>
        <ext uri="{3e2802c4-a4d2-4d8b-9148-e3be6c30e623}">
          <xlrd:rvb i="3395"/>
        </ext>
      </extLst>
    </bk>
    <bk>
      <extLst>
        <ext uri="{3e2802c4-a4d2-4d8b-9148-e3be6c30e623}">
          <xlrd:rvb i="3396"/>
        </ext>
      </extLst>
    </bk>
    <bk>
      <extLst>
        <ext uri="{3e2802c4-a4d2-4d8b-9148-e3be6c30e623}">
          <xlrd:rvb i="3397"/>
        </ext>
      </extLst>
    </bk>
    <bk>
      <extLst>
        <ext uri="{3e2802c4-a4d2-4d8b-9148-e3be6c30e623}">
          <xlrd:rvb i="3398"/>
        </ext>
      </extLst>
    </bk>
    <bk>
      <extLst>
        <ext uri="{3e2802c4-a4d2-4d8b-9148-e3be6c30e623}">
          <xlrd:rvb i="3399"/>
        </ext>
      </extLst>
    </bk>
    <bk>
      <extLst>
        <ext uri="{3e2802c4-a4d2-4d8b-9148-e3be6c30e623}">
          <xlrd:rvb i="3400"/>
        </ext>
      </extLst>
    </bk>
    <bk>
      <extLst>
        <ext uri="{3e2802c4-a4d2-4d8b-9148-e3be6c30e623}">
          <xlrd:rvb i="3401"/>
        </ext>
      </extLst>
    </bk>
    <bk>
      <extLst>
        <ext uri="{3e2802c4-a4d2-4d8b-9148-e3be6c30e623}">
          <xlrd:rvb i="3402"/>
        </ext>
      </extLst>
    </bk>
    <bk>
      <extLst>
        <ext uri="{3e2802c4-a4d2-4d8b-9148-e3be6c30e623}">
          <xlrd:rvb i="3403"/>
        </ext>
      </extLst>
    </bk>
    <bk>
      <extLst>
        <ext uri="{3e2802c4-a4d2-4d8b-9148-e3be6c30e623}">
          <xlrd:rvb i="3404"/>
        </ext>
      </extLst>
    </bk>
    <bk>
      <extLst>
        <ext uri="{3e2802c4-a4d2-4d8b-9148-e3be6c30e623}">
          <xlrd:rvb i="3405"/>
        </ext>
      </extLst>
    </bk>
    <bk>
      <extLst>
        <ext uri="{3e2802c4-a4d2-4d8b-9148-e3be6c30e623}">
          <xlrd:rvb i="3406"/>
        </ext>
      </extLst>
    </bk>
    <bk>
      <extLst>
        <ext uri="{3e2802c4-a4d2-4d8b-9148-e3be6c30e623}">
          <xlrd:rvb i="3407"/>
        </ext>
      </extLst>
    </bk>
    <bk>
      <extLst>
        <ext uri="{3e2802c4-a4d2-4d8b-9148-e3be6c30e623}">
          <xlrd:rvb i="3409"/>
        </ext>
      </extLst>
    </bk>
    <bk>
      <extLst>
        <ext uri="{3e2802c4-a4d2-4d8b-9148-e3be6c30e623}">
          <xlrd:rvb i="3410"/>
        </ext>
      </extLst>
    </bk>
    <bk>
      <extLst>
        <ext uri="{3e2802c4-a4d2-4d8b-9148-e3be6c30e623}">
          <xlrd:rvb i="3411"/>
        </ext>
      </extLst>
    </bk>
    <bk>
      <extLst>
        <ext uri="{3e2802c4-a4d2-4d8b-9148-e3be6c30e623}">
          <xlrd:rvb i="3412"/>
        </ext>
      </extLst>
    </bk>
    <bk>
      <extLst>
        <ext uri="{3e2802c4-a4d2-4d8b-9148-e3be6c30e623}">
          <xlrd:rvb i="3413"/>
        </ext>
      </extLst>
    </bk>
    <bk>
      <extLst>
        <ext uri="{3e2802c4-a4d2-4d8b-9148-e3be6c30e623}">
          <xlrd:rvb i="3414"/>
        </ext>
      </extLst>
    </bk>
    <bk>
      <extLst>
        <ext uri="{3e2802c4-a4d2-4d8b-9148-e3be6c30e623}">
          <xlrd:rvb i="3415"/>
        </ext>
      </extLst>
    </bk>
    <bk>
      <extLst>
        <ext uri="{3e2802c4-a4d2-4d8b-9148-e3be6c30e623}">
          <xlrd:rvb i="3416"/>
        </ext>
      </extLst>
    </bk>
    <bk>
      <extLst>
        <ext uri="{3e2802c4-a4d2-4d8b-9148-e3be6c30e623}">
          <xlrd:rvb i="3417"/>
        </ext>
      </extLst>
    </bk>
    <bk>
      <extLst>
        <ext uri="{3e2802c4-a4d2-4d8b-9148-e3be6c30e623}">
          <xlrd:rvb i="3418"/>
        </ext>
      </extLst>
    </bk>
    <bk>
      <extLst>
        <ext uri="{3e2802c4-a4d2-4d8b-9148-e3be6c30e623}">
          <xlrd:rvb i="3419"/>
        </ext>
      </extLst>
    </bk>
    <bk>
      <extLst>
        <ext uri="{3e2802c4-a4d2-4d8b-9148-e3be6c30e623}">
          <xlrd:rvb i="3420"/>
        </ext>
      </extLst>
    </bk>
    <bk>
      <extLst>
        <ext uri="{3e2802c4-a4d2-4d8b-9148-e3be6c30e623}">
          <xlrd:rvb i="3421"/>
        </ext>
      </extLst>
    </bk>
    <bk>
      <extLst>
        <ext uri="{3e2802c4-a4d2-4d8b-9148-e3be6c30e623}">
          <xlrd:rvb i="3422"/>
        </ext>
      </extLst>
    </bk>
    <bk>
      <extLst>
        <ext uri="{3e2802c4-a4d2-4d8b-9148-e3be6c30e623}">
          <xlrd:rvb i="3423"/>
        </ext>
      </extLst>
    </bk>
    <bk>
      <extLst>
        <ext uri="{3e2802c4-a4d2-4d8b-9148-e3be6c30e623}">
          <xlrd:rvb i="3426"/>
        </ext>
      </extLst>
    </bk>
    <bk>
      <extLst>
        <ext uri="{3e2802c4-a4d2-4d8b-9148-e3be6c30e623}">
          <xlrd:rvb i="3427"/>
        </ext>
      </extLst>
    </bk>
    <bk>
      <extLst>
        <ext uri="{3e2802c4-a4d2-4d8b-9148-e3be6c30e623}">
          <xlrd:rvb i="3428"/>
        </ext>
      </extLst>
    </bk>
    <bk>
      <extLst>
        <ext uri="{3e2802c4-a4d2-4d8b-9148-e3be6c30e623}">
          <xlrd:rvb i="3429"/>
        </ext>
      </extLst>
    </bk>
    <bk>
      <extLst>
        <ext uri="{3e2802c4-a4d2-4d8b-9148-e3be6c30e623}">
          <xlrd:rvb i="3430"/>
        </ext>
      </extLst>
    </bk>
    <bk>
      <extLst>
        <ext uri="{3e2802c4-a4d2-4d8b-9148-e3be6c30e623}">
          <xlrd:rvb i="3431"/>
        </ext>
      </extLst>
    </bk>
    <bk>
      <extLst>
        <ext uri="{3e2802c4-a4d2-4d8b-9148-e3be6c30e623}">
          <xlrd:rvb i="3432"/>
        </ext>
      </extLst>
    </bk>
    <bk>
      <extLst>
        <ext uri="{3e2802c4-a4d2-4d8b-9148-e3be6c30e623}">
          <xlrd:rvb i="3433"/>
        </ext>
      </extLst>
    </bk>
    <bk>
      <extLst>
        <ext uri="{3e2802c4-a4d2-4d8b-9148-e3be6c30e623}">
          <xlrd:rvb i="3434"/>
        </ext>
      </extLst>
    </bk>
    <bk>
      <extLst>
        <ext uri="{3e2802c4-a4d2-4d8b-9148-e3be6c30e623}">
          <xlrd:rvb i="3435"/>
        </ext>
      </extLst>
    </bk>
    <bk>
      <extLst>
        <ext uri="{3e2802c4-a4d2-4d8b-9148-e3be6c30e623}">
          <xlrd:rvb i="3436"/>
        </ext>
      </extLst>
    </bk>
    <bk>
      <extLst>
        <ext uri="{3e2802c4-a4d2-4d8b-9148-e3be6c30e623}">
          <xlrd:rvb i="3437"/>
        </ext>
      </extLst>
    </bk>
    <bk>
      <extLst>
        <ext uri="{3e2802c4-a4d2-4d8b-9148-e3be6c30e623}">
          <xlrd:rvb i="3438"/>
        </ext>
      </extLst>
    </bk>
    <bk>
      <extLst>
        <ext uri="{3e2802c4-a4d2-4d8b-9148-e3be6c30e623}">
          <xlrd:rvb i="3439"/>
        </ext>
      </extLst>
    </bk>
    <bk>
      <extLst>
        <ext uri="{3e2802c4-a4d2-4d8b-9148-e3be6c30e623}">
          <xlrd:rvb i="3440"/>
        </ext>
      </extLst>
    </bk>
    <bk>
      <extLst>
        <ext uri="{3e2802c4-a4d2-4d8b-9148-e3be6c30e623}">
          <xlrd:rvb i="3441"/>
        </ext>
      </extLst>
    </bk>
    <bk>
      <extLst>
        <ext uri="{3e2802c4-a4d2-4d8b-9148-e3be6c30e623}">
          <xlrd:rvb i="3442"/>
        </ext>
      </extLst>
    </bk>
    <bk>
      <extLst>
        <ext uri="{3e2802c4-a4d2-4d8b-9148-e3be6c30e623}">
          <xlrd:rvb i="3445"/>
        </ext>
      </extLst>
    </bk>
    <bk>
      <extLst>
        <ext uri="{3e2802c4-a4d2-4d8b-9148-e3be6c30e623}">
          <xlrd:rvb i="3446"/>
        </ext>
      </extLst>
    </bk>
    <bk>
      <extLst>
        <ext uri="{3e2802c4-a4d2-4d8b-9148-e3be6c30e623}">
          <xlrd:rvb i="3447"/>
        </ext>
      </extLst>
    </bk>
    <bk>
      <extLst>
        <ext uri="{3e2802c4-a4d2-4d8b-9148-e3be6c30e623}">
          <xlrd:rvb i="3448"/>
        </ext>
      </extLst>
    </bk>
    <bk>
      <extLst>
        <ext uri="{3e2802c4-a4d2-4d8b-9148-e3be6c30e623}">
          <xlrd:rvb i="3449"/>
        </ext>
      </extLst>
    </bk>
    <bk>
      <extLst>
        <ext uri="{3e2802c4-a4d2-4d8b-9148-e3be6c30e623}">
          <xlrd:rvb i="3450"/>
        </ext>
      </extLst>
    </bk>
    <bk>
      <extLst>
        <ext uri="{3e2802c4-a4d2-4d8b-9148-e3be6c30e623}">
          <xlrd:rvb i="3451"/>
        </ext>
      </extLst>
    </bk>
    <bk>
      <extLst>
        <ext uri="{3e2802c4-a4d2-4d8b-9148-e3be6c30e623}">
          <xlrd:rvb i="3452"/>
        </ext>
      </extLst>
    </bk>
    <bk>
      <extLst>
        <ext uri="{3e2802c4-a4d2-4d8b-9148-e3be6c30e623}">
          <xlrd:rvb i="3453"/>
        </ext>
      </extLst>
    </bk>
    <bk>
      <extLst>
        <ext uri="{3e2802c4-a4d2-4d8b-9148-e3be6c30e623}">
          <xlrd:rvb i="3454"/>
        </ext>
      </extLst>
    </bk>
    <bk>
      <extLst>
        <ext uri="{3e2802c4-a4d2-4d8b-9148-e3be6c30e623}">
          <xlrd:rvb i="3455"/>
        </ext>
      </extLst>
    </bk>
    <bk>
      <extLst>
        <ext uri="{3e2802c4-a4d2-4d8b-9148-e3be6c30e623}">
          <xlrd:rvb i="3456"/>
        </ext>
      </extLst>
    </bk>
    <bk>
      <extLst>
        <ext uri="{3e2802c4-a4d2-4d8b-9148-e3be6c30e623}">
          <xlrd:rvb i="3457"/>
        </ext>
      </extLst>
    </bk>
    <bk>
      <extLst>
        <ext uri="{3e2802c4-a4d2-4d8b-9148-e3be6c30e623}">
          <xlrd:rvb i="3460"/>
        </ext>
      </extLst>
    </bk>
    <bk>
      <extLst>
        <ext uri="{3e2802c4-a4d2-4d8b-9148-e3be6c30e623}">
          <xlrd:rvb i="3461"/>
        </ext>
      </extLst>
    </bk>
    <bk>
      <extLst>
        <ext uri="{3e2802c4-a4d2-4d8b-9148-e3be6c30e623}">
          <xlrd:rvb i="3462"/>
        </ext>
      </extLst>
    </bk>
    <bk>
      <extLst>
        <ext uri="{3e2802c4-a4d2-4d8b-9148-e3be6c30e623}">
          <xlrd:rvb i="3463"/>
        </ext>
      </extLst>
    </bk>
    <bk>
      <extLst>
        <ext uri="{3e2802c4-a4d2-4d8b-9148-e3be6c30e623}">
          <xlrd:rvb i="3464"/>
        </ext>
      </extLst>
    </bk>
    <bk>
      <extLst>
        <ext uri="{3e2802c4-a4d2-4d8b-9148-e3be6c30e623}">
          <xlrd:rvb i="3465"/>
        </ext>
      </extLst>
    </bk>
    <bk>
      <extLst>
        <ext uri="{3e2802c4-a4d2-4d8b-9148-e3be6c30e623}">
          <xlrd:rvb i="3466"/>
        </ext>
      </extLst>
    </bk>
    <bk>
      <extLst>
        <ext uri="{3e2802c4-a4d2-4d8b-9148-e3be6c30e623}">
          <xlrd:rvb i="3467"/>
        </ext>
      </extLst>
    </bk>
    <bk>
      <extLst>
        <ext uri="{3e2802c4-a4d2-4d8b-9148-e3be6c30e623}">
          <xlrd:rvb i="3468"/>
        </ext>
      </extLst>
    </bk>
    <bk>
      <extLst>
        <ext uri="{3e2802c4-a4d2-4d8b-9148-e3be6c30e623}">
          <xlrd:rvb i="3469"/>
        </ext>
      </extLst>
    </bk>
    <bk>
      <extLst>
        <ext uri="{3e2802c4-a4d2-4d8b-9148-e3be6c30e623}">
          <xlrd:rvb i="3470"/>
        </ext>
      </extLst>
    </bk>
    <bk>
      <extLst>
        <ext uri="{3e2802c4-a4d2-4d8b-9148-e3be6c30e623}">
          <xlrd:rvb i="3471"/>
        </ext>
      </extLst>
    </bk>
    <bk>
      <extLst>
        <ext uri="{3e2802c4-a4d2-4d8b-9148-e3be6c30e623}">
          <xlrd:rvb i="3472"/>
        </ext>
      </extLst>
    </bk>
    <bk>
      <extLst>
        <ext uri="{3e2802c4-a4d2-4d8b-9148-e3be6c30e623}">
          <xlrd:rvb i="3473"/>
        </ext>
      </extLst>
    </bk>
    <bk>
      <extLst>
        <ext uri="{3e2802c4-a4d2-4d8b-9148-e3be6c30e623}">
          <xlrd:rvb i="3474"/>
        </ext>
      </extLst>
    </bk>
    <bk>
      <extLst>
        <ext uri="{3e2802c4-a4d2-4d8b-9148-e3be6c30e623}">
          <xlrd:rvb i="3477"/>
        </ext>
      </extLst>
    </bk>
    <bk>
      <extLst>
        <ext uri="{3e2802c4-a4d2-4d8b-9148-e3be6c30e623}">
          <xlrd:rvb i="3478"/>
        </ext>
      </extLst>
    </bk>
    <bk>
      <extLst>
        <ext uri="{3e2802c4-a4d2-4d8b-9148-e3be6c30e623}">
          <xlrd:rvb i="3479"/>
        </ext>
      </extLst>
    </bk>
    <bk>
      <extLst>
        <ext uri="{3e2802c4-a4d2-4d8b-9148-e3be6c30e623}">
          <xlrd:rvb i="3480"/>
        </ext>
      </extLst>
    </bk>
    <bk>
      <extLst>
        <ext uri="{3e2802c4-a4d2-4d8b-9148-e3be6c30e623}">
          <xlrd:rvb i="3481"/>
        </ext>
      </extLst>
    </bk>
    <bk>
      <extLst>
        <ext uri="{3e2802c4-a4d2-4d8b-9148-e3be6c30e623}">
          <xlrd:rvb i="3482"/>
        </ext>
      </extLst>
    </bk>
    <bk>
      <extLst>
        <ext uri="{3e2802c4-a4d2-4d8b-9148-e3be6c30e623}">
          <xlrd:rvb i="3483"/>
        </ext>
      </extLst>
    </bk>
    <bk>
      <extLst>
        <ext uri="{3e2802c4-a4d2-4d8b-9148-e3be6c30e623}">
          <xlrd:rvb i="3484"/>
        </ext>
      </extLst>
    </bk>
    <bk>
      <extLst>
        <ext uri="{3e2802c4-a4d2-4d8b-9148-e3be6c30e623}">
          <xlrd:rvb i="3485"/>
        </ext>
      </extLst>
    </bk>
    <bk>
      <extLst>
        <ext uri="{3e2802c4-a4d2-4d8b-9148-e3be6c30e623}">
          <xlrd:rvb i="3486"/>
        </ext>
      </extLst>
    </bk>
    <bk>
      <extLst>
        <ext uri="{3e2802c4-a4d2-4d8b-9148-e3be6c30e623}">
          <xlrd:rvb i="3487"/>
        </ext>
      </extLst>
    </bk>
    <bk>
      <extLst>
        <ext uri="{3e2802c4-a4d2-4d8b-9148-e3be6c30e623}">
          <xlrd:rvb i="3488"/>
        </ext>
      </extLst>
    </bk>
    <bk>
      <extLst>
        <ext uri="{3e2802c4-a4d2-4d8b-9148-e3be6c30e623}">
          <xlrd:rvb i="3489"/>
        </ext>
      </extLst>
    </bk>
    <bk>
      <extLst>
        <ext uri="{3e2802c4-a4d2-4d8b-9148-e3be6c30e623}">
          <xlrd:rvb i="3490"/>
        </ext>
      </extLst>
    </bk>
    <bk>
      <extLst>
        <ext uri="{3e2802c4-a4d2-4d8b-9148-e3be6c30e623}">
          <xlrd:rvb i="3491"/>
        </ext>
      </extLst>
    </bk>
    <bk>
      <extLst>
        <ext uri="{3e2802c4-a4d2-4d8b-9148-e3be6c30e623}">
          <xlrd:rvb i="3492"/>
        </ext>
      </extLst>
    </bk>
    <bk>
      <extLst>
        <ext uri="{3e2802c4-a4d2-4d8b-9148-e3be6c30e623}">
          <xlrd:rvb i="3493"/>
        </ext>
      </extLst>
    </bk>
    <bk>
      <extLst>
        <ext uri="{3e2802c4-a4d2-4d8b-9148-e3be6c30e623}">
          <xlrd:rvb i="3494"/>
        </ext>
      </extLst>
    </bk>
    <bk>
      <extLst>
        <ext uri="{3e2802c4-a4d2-4d8b-9148-e3be6c30e623}">
          <xlrd:rvb i="3495"/>
        </ext>
      </extLst>
    </bk>
    <bk>
      <extLst>
        <ext uri="{3e2802c4-a4d2-4d8b-9148-e3be6c30e623}">
          <xlrd:rvb i="3498"/>
        </ext>
      </extLst>
    </bk>
    <bk>
      <extLst>
        <ext uri="{3e2802c4-a4d2-4d8b-9148-e3be6c30e623}">
          <xlrd:rvb i="3499"/>
        </ext>
      </extLst>
    </bk>
    <bk>
      <extLst>
        <ext uri="{3e2802c4-a4d2-4d8b-9148-e3be6c30e623}">
          <xlrd:rvb i="3500"/>
        </ext>
      </extLst>
    </bk>
    <bk>
      <extLst>
        <ext uri="{3e2802c4-a4d2-4d8b-9148-e3be6c30e623}">
          <xlrd:rvb i="3501"/>
        </ext>
      </extLst>
    </bk>
    <bk>
      <extLst>
        <ext uri="{3e2802c4-a4d2-4d8b-9148-e3be6c30e623}">
          <xlrd:rvb i="3502"/>
        </ext>
      </extLst>
    </bk>
    <bk>
      <extLst>
        <ext uri="{3e2802c4-a4d2-4d8b-9148-e3be6c30e623}">
          <xlrd:rvb i="3503"/>
        </ext>
      </extLst>
    </bk>
    <bk>
      <extLst>
        <ext uri="{3e2802c4-a4d2-4d8b-9148-e3be6c30e623}">
          <xlrd:rvb i="3504"/>
        </ext>
      </extLst>
    </bk>
    <bk>
      <extLst>
        <ext uri="{3e2802c4-a4d2-4d8b-9148-e3be6c30e623}">
          <xlrd:rvb i="3505"/>
        </ext>
      </extLst>
    </bk>
    <bk>
      <extLst>
        <ext uri="{3e2802c4-a4d2-4d8b-9148-e3be6c30e623}">
          <xlrd:rvb i="3506"/>
        </ext>
      </extLst>
    </bk>
    <bk>
      <extLst>
        <ext uri="{3e2802c4-a4d2-4d8b-9148-e3be6c30e623}">
          <xlrd:rvb i="3507"/>
        </ext>
      </extLst>
    </bk>
    <bk>
      <extLst>
        <ext uri="{3e2802c4-a4d2-4d8b-9148-e3be6c30e623}">
          <xlrd:rvb i="3508"/>
        </ext>
      </extLst>
    </bk>
    <bk>
      <extLst>
        <ext uri="{3e2802c4-a4d2-4d8b-9148-e3be6c30e623}">
          <xlrd:rvb i="3509"/>
        </ext>
      </extLst>
    </bk>
    <bk>
      <extLst>
        <ext uri="{3e2802c4-a4d2-4d8b-9148-e3be6c30e623}">
          <xlrd:rvb i="3510"/>
        </ext>
      </extLst>
    </bk>
    <bk>
      <extLst>
        <ext uri="{3e2802c4-a4d2-4d8b-9148-e3be6c30e623}">
          <xlrd:rvb i="3511"/>
        </ext>
      </extLst>
    </bk>
    <bk>
      <extLst>
        <ext uri="{3e2802c4-a4d2-4d8b-9148-e3be6c30e623}">
          <xlrd:rvb i="3512"/>
        </ext>
      </extLst>
    </bk>
    <bk>
      <extLst>
        <ext uri="{3e2802c4-a4d2-4d8b-9148-e3be6c30e623}">
          <xlrd:rvb i="3513"/>
        </ext>
      </extLst>
    </bk>
    <bk>
      <extLst>
        <ext uri="{3e2802c4-a4d2-4d8b-9148-e3be6c30e623}">
          <xlrd:rvb i="3516"/>
        </ext>
      </extLst>
    </bk>
    <bk>
      <extLst>
        <ext uri="{3e2802c4-a4d2-4d8b-9148-e3be6c30e623}">
          <xlrd:rvb i="3517"/>
        </ext>
      </extLst>
    </bk>
    <bk>
      <extLst>
        <ext uri="{3e2802c4-a4d2-4d8b-9148-e3be6c30e623}">
          <xlrd:rvb i="3518"/>
        </ext>
      </extLst>
    </bk>
    <bk>
      <extLst>
        <ext uri="{3e2802c4-a4d2-4d8b-9148-e3be6c30e623}">
          <xlrd:rvb i="3519"/>
        </ext>
      </extLst>
    </bk>
    <bk>
      <extLst>
        <ext uri="{3e2802c4-a4d2-4d8b-9148-e3be6c30e623}">
          <xlrd:rvb i="3520"/>
        </ext>
      </extLst>
    </bk>
    <bk>
      <extLst>
        <ext uri="{3e2802c4-a4d2-4d8b-9148-e3be6c30e623}">
          <xlrd:rvb i="3521"/>
        </ext>
      </extLst>
    </bk>
    <bk>
      <extLst>
        <ext uri="{3e2802c4-a4d2-4d8b-9148-e3be6c30e623}">
          <xlrd:rvb i="3522"/>
        </ext>
      </extLst>
    </bk>
    <bk>
      <extLst>
        <ext uri="{3e2802c4-a4d2-4d8b-9148-e3be6c30e623}">
          <xlrd:rvb i="3523"/>
        </ext>
      </extLst>
    </bk>
    <bk>
      <extLst>
        <ext uri="{3e2802c4-a4d2-4d8b-9148-e3be6c30e623}">
          <xlrd:rvb i="3524"/>
        </ext>
      </extLst>
    </bk>
    <bk>
      <extLst>
        <ext uri="{3e2802c4-a4d2-4d8b-9148-e3be6c30e623}">
          <xlrd:rvb i="3525"/>
        </ext>
      </extLst>
    </bk>
    <bk>
      <extLst>
        <ext uri="{3e2802c4-a4d2-4d8b-9148-e3be6c30e623}">
          <xlrd:rvb i="3526"/>
        </ext>
      </extLst>
    </bk>
    <bk>
      <extLst>
        <ext uri="{3e2802c4-a4d2-4d8b-9148-e3be6c30e623}">
          <xlrd:rvb i="3527"/>
        </ext>
      </extLst>
    </bk>
    <bk>
      <extLst>
        <ext uri="{3e2802c4-a4d2-4d8b-9148-e3be6c30e623}">
          <xlrd:rvb i="3528"/>
        </ext>
      </extLst>
    </bk>
    <bk>
      <extLst>
        <ext uri="{3e2802c4-a4d2-4d8b-9148-e3be6c30e623}">
          <xlrd:rvb i="3529"/>
        </ext>
      </extLst>
    </bk>
    <bk>
      <extLst>
        <ext uri="{3e2802c4-a4d2-4d8b-9148-e3be6c30e623}">
          <xlrd:rvb i="3530"/>
        </ext>
      </extLst>
    </bk>
    <bk>
      <extLst>
        <ext uri="{3e2802c4-a4d2-4d8b-9148-e3be6c30e623}">
          <xlrd:rvb i="3531"/>
        </ext>
      </extLst>
    </bk>
    <bk>
      <extLst>
        <ext uri="{3e2802c4-a4d2-4d8b-9148-e3be6c30e623}">
          <xlrd:rvb i="3532"/>
        </ext>
      </extLst>
    </bk>
    <bk>
      <extLst>
        <ext uri="{3e2802c4-a4d2-4d8b-9148-e3be6c30e623}">
          <xlrd:rvb i="3533"/>
        </ext>
      </extLst>
    </bk>
    <bk>
      <extLst>
        <ext uri="{3e2802c4-a4d2-4d8b-9148-e3be6c30e623}">
          <xlrd:rvb i="3534"/>
        </ext>
      </extLst>
    </bk>
    <bk>
      <extLst>
        <ext uri="{3e2802c4-a4d2-4d8b-9148-e3be6c30e623}">
          <xlrd:rvb i="3535"/>
        </ext>
      </extLst>
    </bk>
    <bk>
      <extLst>
        <ext uri="{3e2802c4-a4d2-4d8b-9148-e3be6c30e623}">
          <xlrd:rvb i="3538"/>
        </ext>
      </extLst>
    </bk>
    <bk>
      <extLst>
        <ext uri="{3e2802c4-a4d2-4d8b-9148-e3be6c30e623}">
          <xlrd:rvb i="3539"/>
        </ext>
      </extLst>
    </bk>
    <bk>
      <extLst>
        <ext uri="{3e2802c4-a4d2-4d8b-9148-e3be6c30e623}">
          <xlrd:rvb i="3540"/>
        </ext>
      </extLst>
    </bk>
    <bk>
      <extLst>
        <ext uri="{3e2802c4-a4d2-4d8b-9148-e3be6c30e623}">
          <xlrd:rvb i="3541"/>
        </ext>
      </extLst>
    </bk>
    <bk>
      <extLst>
        <ext uri="{3e2802c4-a4d2-4d8b-9148-e3be6c30e623}">
          <xlrd:rvb i="3542"/>
        </ext>
      </extLst>
    </bk>
    <bk>
      <extLst>
        <ext uri="{3e2802c4-a4d2-4d8b-9148-e3be6c30e623}">
          <xlrd:rvb i="3543"/>
        </ext>
      </extLst>
    </bk>
    <bk>
      <extLst>
        <ext uri="{3e2802c4-a4d2-4d8b-9148-e3be6c30e623}">
          <xlrd:rvb i="3544"/>
        </ext>
      </extLst>
    </bk>
    <bk>
      <extLst>
        <ext uri="{3e2802c4-a4d2-4d8b-9148-e3be6c30e623}">
          <xlrd:rvb i="3545"/>
        </ext>
      </extLst>
    </bk>
    <bk>
      <extLst>
        <ext uri="{3e2802c4-a4d2-4d8b-9148-e3be6c30e623}">
          <xlrd:rvb i="3546"/>
        </ext>
      </extLst>
    </bk>
    <bk>
      <extLst>
        <ext uri="{3e2802c4-a4d2-4d8b-9148-e3be6c30e623}">
          <xlrd:rvb i="3547"/>
        </ext>
      </extLst>
    </bk>
    <bk>
      <extLst>
        <ext uri="{3e2802c4-a4d2-4d8b-9148-e3be6c30e623}">
          <xlrd:rvb i="3548"/>
        </ext>
      </extLst>
    </bk>
    <bk>
      <extLst>
        <ext uri="{3e2802c4-a4d2-4d8b-9148-e3be6c30e623}">
          <xlrd:rvb i="3549"/>
        </ext>
      </extLst>
    </bk>
    <bk>
      <extLst>
        <ext uri="{3e2802c4-a4d2-4d8b-9148-e3be6c30e623}">
          <xlrd:rvb i="3550"/>
        </ext>
      </extLst>
    </bk>
    <bk>
      <extLst>
        <ext uri="{3e2802c4-a4d2-4d8b-9148-e3be6c30e623}">
          <xlrd:rvb i="3551"/>
        </ext>
      </extLst>
    </bk>
    <bk>
      <extLst>
        <ext uri="{3e2802c4-a4d2-4d8b-9148-e3be6c30e623}">
          <xlrd:rvb i="3552"/>
        </ext>
      </extLst>
    </bk>
    <bk>
      <extLst>
        <ext uri="{3e2802c4-a4d2-4d8b-9148-e3be6c30e623}">
          <xlrd:rvb i="3553"/>
        </ext>
      </extLst>
    </bk>
    <bk>
      <extLst>
        <ext uri="{3e2802c4-a4d2-4d8b-9148-e3be6c30e623}">
          <xlrd:rvb i="3554"/>
        </ext>
      </extLst>
    </bk>
    <bk>
      <extLst>
        <ext uri="{3e2802c4-a4d2-4d8b-9148-e3be6c30e623}">
          <xlrd:rvb i="3555"/>
        </ext>
      </extLst>
    </bk>
    <bk>
      <extLst>
        <ext uri="{3e2802c4-a4d2-4d8b-9148-e3be6c30e623}">
          <xlrd:rvb i="3558"/>
        </ext>
      </extLst>
    </bk>
    <bk>
      <extLst>
        <ext uri="{3e2802c4-a4d2-4d8b-9148-e3be6c30e623}">
          <xlrd:rvb i="3559"/>
        </ext>
      </extLst>
    </bk>
    <bk>
      <extLst>
        <ext uri="{3e2802c4-a4d2-4d8b-9148-e3be6c30e623}">
          <xlrd:rvb i="3560"/>
        </ext>
      </extLst>
    </bk>
    <bk>
      <extLst>
        <ext uri="{3e2802c4-a4d2-4d8b-9148-e3be6c30e623}">
          <xlrd:rvb i="3561"/>
        </ext>
      </extLst>
    </bk>
    <bk>
      <extLst>
        <ext uri="{3e2802c4-a4d2-4d8b-9148-e3be6c30e623}">
          <xlrd:rvb i="3562"/>
        </ext>
      </extLst>
    </bk>
    <bk>
      <extLst>
        <ext uri="{3e2802c4-a4d2-4d8b-9148-e3be6c30e623}">
          <xlrd:rvb i="3563"/>
        </ext>
      </extLst>
    </bk>
    <bk>
      <extLst>
        <ext uri="{3e2802c4-a4d2-4d8b-9148-e3be6c30e623}">
          <xlrd:rvb i="3564"/>
        </ext>
      </extLst>
    </bk>
    <bk>
      <extLst>
        <ext uri="{3e2802c4-a4d2-4d8b-9148-e3be6c30e623}">
          <xlrd:rvb i="3565"/>
        </ext>
      </extLst>
    </bk>
    <bk>
      <extLst>
        <ext uri="{3e2802c4-a4d2-4d8b-9148-e3be6c30e623}">
          <xlrd:rvb i="3566"/>
        </ext>
      </extLst>
    </bk>
    <bk>
      <extLst>
        <ext uri="{3e2802c4-a4d2-4d8b-9148-e3be6c30e623}">
          <xlrd:rvb i="3567"/>
        </ext>
      </extLst>
    </bk>
    <bk>
      <extLst>
        <ext uri="{3e2802c4-a4d2-4d8b-9148-e3be6c30e623}">
          <xlrd:rvb i="3568"/>
        </ext>
      </extLst>
    </bk>
    <bk>
      <extLst>
        <ext uri="{3e2802c4-a4d2-4d8b-9148-e3be6c30e623}">
          <xlrd:rvb i="3569"/>
        </ext>
      </extLst>
    </bk>
    <bk>
      <extLst>
        <ext uri="{3e2802c4-a4d2-4d8b-9148-e3be6c30e623}">
          <xlrd:rvb i="3570"/>
        </ext>
      </extLst>
    </bk>
    <bk>
      <extLst>
        <ext uri="{3e2802c4-a4d2-4d8b-9148-e3be6c30e623}">
          <xlrd:rvb i="3571"/>
        </ext>
      </extLst>
    </bk>
    <bk>
      <extLst>
        <ext uri="{3e2802c4-a4d2-4d8b-9148-e3be6c30e623}">
          <xlrd:rvb i="3572"/>
        </ext>
      </extLst>
    </bk>
    <bk>
      <extLst>
        <ext uri="{3e2802c4-a4d2-4d8b-9148-e3be6c30e623}">
          <xlrd:rvb i="3573"/>
        </ext>
      </extLst>
    </bk>
    <bk>
      <extLst>
        <ext uri="{3e2802c4-a4d2-4d8b-9148-e3be6c30e623}">
          <xlrd:rvb i="3574"/>
        </ext>
      </extLst>
    </bk>
    <bk>
      <extLst>
        <ext uri="{3e2802c4-a4d2-4d8b-9148-e3be6c30e623}">
          <xlrd:rvb i="3577"/>
        </ext>
      </extLst>
    </bk>
    <bk>
      <extLst>
        <ext uri="{3e2802c4-a4d2-4d8b-9148-e3be6c30e623}">
          <xlrd:rvb i="3578"/>
        </ext>
      </extLst>
    </bk>
    <bk>
      <extLst>
        <ext uri="{3e2802c4-a4d2-4d8b-9148-e3be6c30e623}">
          <xlrd:rvb i="3579"/>
        </ext>
      </extLst>
    </bk>
    <bk>
      <extLst>
        <ext uri="{3e2802c4-a4d2-4d8b-9148-e3be6c30e623}">
          <xlrd:rvb i="3580"/>
        </ext>
      </extLst>
    </bk>
    <bk>
      <extLst>
        <ext uri="{3e2802c4-a4d2-4d8b-9148-e3be6c30e623}">
          <xlrd:rvb i="3581"/>
        </ext>
      </extLst>
    </bk>
    <bk>
      <extLst>
        <ext uri="{3e2802c4-a4d2-4d8b-9148-e3be6c30e623}">
          <xlrd:rvb i="3582"/>
        </ext>
      </extLst>
    </bk>
    <bk>
      <extLst>
        <ext uri="{3e2802c4-a4d2-4d8b-9148-e3be6c30e623}">
          <xlrd:rvb i="3583"/>
        </ext>
      </extLst>
    </bk>
    <bk>
      <extLst>
        <ext uri="{3e2802c4-a4d2-4d8b-9148-e3be6c30e623}">
          <xlrd:rvb i="3584"/>
        </ext>
      </extLst>
    </bk>
    <bk>
      <extLst>
        <ext uri="{3e2802c4-a4d2-4d8b-9148-e3be6c30e623}">
          <xlrd:rvb i="3585"/>
        </ext>
      </extLst>
    </bk>
    <bk>
      <extLst>
        <ext uri="{3e2802c4-a4d2-4d8b-9148-e3be6c30e623}">
          <xlrd:rvb i="3586"/>
        </ext>
      </extLst>
    </bk>
    <bk>
      <extLst>
        <ext uri="{3e2802c4-a4d2-4d8b-9148-e3be6c30e623}">
          <xlrd:rvb i="3587"/>
        </ext>
      </extLst>
    </bk>
    <bk>
      <extLst>
        <ext uri="{3e2802c4-a4d2-4d8b-9148-e3be6c30e623}">
          <xlrd:rvb i="3588"/>
        </ext>
      </extLst>
    </bk>
    <bk>
      <extLst>
        <ext uri="{3e2802c4-a4d2-4d8b-9148-e3be6c30e623}">
          <xlrd:rvb i="3589"/>
        </ext>
      </extLst>
    </bk>
    <bk>
      <extLst>
        <ext uri="{3e2802c4-a4d2-4d8b-9148-e3be6c30e623}">
          <xlrd:rvb i="3590"/>
        </ext>
      </extLst>
    </bk>
    <bk>
      <extLst>
        <ext uri="{3e2802c4-a4d2-4d8b-9148-e3be6c30e623}">
          <xlrd:rvb i="3591"/>
        </ext>
      </extLst>
    </bk>
    <bk>
      <extLst>
        <ext uri="{3e2802c4-a4d2-4d8b-9148-e3be6c30e623}">
          <xlrd:rvb i="3592"/>
        </ext>
      </extLst>
    </bk>
    <bk>
      <extLst>
        <ext uri="{3e2802c4-a4d2-4d8b-9148-e3be6c30e623}">
          <xlrd:rvb i="3595"/>
        </ext>
      </extLst>
    </bk>
    <bk>
      <extLst>
        <ext uri="{3e2802c4-a4d2-4d8b-9148-e3be6c30e623}">
          <xlrd:rvb i="3596"/>
        </ext>
      </extLst>
    </bk>
    <bk>
      <extLst>
        <ext uri="{3e2802c4-a4d2-4d8b-9148-e3be6c30e623}">
          <xlrd:rvb i="3597"/>
        </ext>
      </extLst>
    </bk>
    <bk>
      <extLst>
        <ext uri="{3e2802c4-a4d2-4d8b-9148-e3be6c30e623}">
          <xlrd:rvb i="3598"/>
        </ext>
      </extLst>
    </bk>
    <bk>
      <extLst>
        <ext uri="{3e2802c4-a4d2-4d8b-9148-e3be6c30e623}">
          <xlrd:rvb i="3599"/>
        </ext>
      </extLst>
    </bk>
    <bk>
      <extLst>
        <ext uri="{3e2802c4-a4d2-4d8b-9148-e3be6c30e623}">
          <xlrd:rvb i="3600"/>
        </ext>
      </extLst>
    </bk>
    <bk>
      <extLst>
        <ext uri="{3e2802c4-a4d2-4d8b-9148-e3be6c30e623}">
          <xlrd:rvb i="3601"/>
        </ext>
      </extLst>
    </bk>
    <bk>
      <extLst>
        <ext uri="{3e2802c4-a4d2-4d8b-9148-e3be6c30e623}">
          <xlrd:rvb i="3602"/>
        </ext>
      </extLst>
    </bk>
    <bk>
      <extLst>
        <ext uri="{3e2802c4-a4d2-4d8b-9148-e3be6c30e623}">
          <xlrd:rvb i="3603"/>
        </ext>
      </extLst>
    </bk>
    <bk>
      <extLst>
        <ext uri="{3e2802c4-a4d2-4d8b-9148-e3be6c30e623}">
          <xlrd:rvb i="3604"/>
        </ext>
      </extLst>
    </bk>
    <bk>
      <extLst>
        <ext uri="{3e2802c4-a4d2-4d8b-9148-e3be6c30e623}">
          <xlrd:rvb i="3605"/>
        </ext>
      </extLst>
    </bk>
    <bk>
      <extLst>
        <ext uri="{3e2802c4-a4d2-4d8b-9148-e3be6c30e623}">
          <xlrd:rvb i="3606"/>
        </ext>
      </extLst>
    </bk>
    <bk>
      <extLst>
        <ext uri="{3e2802c4-a4d2-4d8b-9148-e3be6c30e623}">
          <xlrd:rvb i="3607"/>
        </ext>
      </extLst>
    </bk>
    <bk>
      <extLst>
        <ext uri="{3e2802c4-a4d2-4d8b-9148-e3be6c30e623}">
          <xlrd:rvb i="3608"/>
        </ext>
      </extLst>
    </bk>
    <bk>
      <extLst>
        <ext uri="{3e2802c4-a4d2-4d8b-9148-e3be6c30e623}">
          <xlrd:rvb i="3609"/>
        </ext>
      </extLst>
    </bk>
    <bk>
      <extLst>
        <ext uri="{3e2802c4-a4d2-4d8b-9148-e3be6c30e623}">
          <xlrd:rvb i="3612"/>
        </ext>
      </extLst>
    </bk>
    <bk>
      <extLst>
        <ext uri="{3e2802c4-a4d2-4d8b-9148-e3be6c30e623}">
          <xlrd:rvb i="3613"/>
        </ext>
      </extLst>
    </bk>
    <bk>
      <extLst>
        <ext uri="{3e2802c4-a4d2-4d8b-9148-e3be6c30e623}">
          <xlrd:rvb i="3614"/>
        </ext>
      </extLst>
    </bk>
    <bk>
      <extLst>
        <ext uri="{3e2802c4-a4d2-4d8b-9148-e3be6c30e623}">
          <xlrd:rvb i="3615"/>
        </ext>
      </extLst>
    </bk>
    <bk>
      <extLst>
        <ext uri="{3e2802c4-a4d2-4d8b-9148-e3be6c30e623}">
          <xlrd:rvb i="3616"/>
        </ext>
      </extLst>
    </bk>
    <bk>
      <extLst>
        <ext uri="{3e2802c4-a4d2-4d8b-9148-e3be6c30e623}">
          <xlrd:rvb i="3617"/>
        </ext>
      </extLst>
    </bk>
    <bk>
      <extLst>
        <ext uri="{3e2802c4-a4d2-4d8b-9148-e3be6c30e623}">
          <xlrd:rvb i="3618"/>
        </ext>
      </extLst>
    </bk>
    <bk>
      <extLst>
        <ext uri="{3e2802c4-a4d2-4d8b-9148-e3be6c30e623}">
          <xlrd:rvb i="3619"/>
        </ext>
      </extLst>
    </bk>
    <bk>
      <extLst>
        <ext uri="{3e2802c4-a4d2-4d8b-9148-e3be6c30e623}">
          <xlrd:rvb i="3620"/>
        </ext>
      </extLst>
    </bk>
    <bk>
      <extLst>
        <ext uri="{3e2802c4-a4d2-4d8b-9148-e3be6c30e623}">
          <xlrd:rvb i="3623"/>
        </ext>
      </extLst>
    </bk>
    <bk>
      <extLst>
        <ext uri="{3e2802c4-a4d2-4d8b-9148-e3be6c30e623}">
          <xlrd:rvb i="3624"/>
        </ext>
      </extLst>
    </bk>
    <bk>
      <extLst>
        <ext uri="{3e2802c4-a4d2-4d8b-9148-e3be6c30e623}">
          <xlrd:rvb i="3625"/>
        </ext>
      </extLst>
    </bk>
    <bk>
      <extLst>
        <ext uri="{3e2802c4-a4d2-4d8b-9148-e3be6c30e623}">
          <xlrd:rvb i="3626"/>
        </ext>
      </extLst>
    </bk>
    <bk>
      <extLst>
        <ext uri="{3e2802c4-a4d2-4d8b-9148-e3be6c30e623}">
          <xlrd:rvb i="3627"/>
        </ext>
      </extLst>
    </bk>
    <bk>
      <extLst>
        <ext uri="{3e2802c4-a4d2-4d8b-9148-e3be6c30e623}">
          <xlrd:rvb i="3628"/>
        </ext>
      </extLst>
    </bk>
    <bk>
      <extLst>
        <ext uri="{3e2802c4-a4d2-4d8b-9148-e3be6c30e623}">
          <xlrd:rvb i="3629"/>
        </ext>
      </extLst>
    </bk>
    <bk>
      <extLst>
        <ext uri="{3e2802c4-a4d2-4d8b-9148-e3be6c30e623}">
          <xlrd:rvb i="3630"/>
        </ext>
      </extLst>
    </bk>
    <bk>
      <extLst>
        <ext uri="{3e2802c4-a4d2-4d8b-9148-e3be6c30e623}">
          <xlrd:rvb i="3631"/>
        </ext>
      </extLst>
    </bk>
    <bk>
      <extLst>
        <ext uri="{3e2802c4-a4d2-4d8b-9148-e3be6c30e623}">
          <xlrd:rvb i="3632"/>
        </ext>
      </extLst>
    </bk>
    <bk>
      <extLst>
        <ext uri="{3e2802c4-a4d2-4d8b-9148-e3be6c30e623}">
          <xlrd:rvb i="3633"/>
        </ext>
      </extLst>
    </bk>
    <bk>
      <extLst>
        <ext uri="{3e2802c4-a4d2-4d8b-9148-e3be6c30e623}">
          <xlrd:rvb i="3634"/>
        </ext>
      </extLst>
    </bk>
    <bk>
      <extLst>
        <ext uri="{3e2802c4-a4d2-4d8b-9148-e3be6c30e623}">
          <xlrd:rvb i="3635"/>
        </ext>
      </extLst>
    </bk>
    <bk>
      <extLst>
        <ext uri="{3e2802c4-a4d2-4d8b-9148-e3be6c30e623}">
          <xlrd:rvb i="3636"/>
        </ext>
      </extLst>
    </bk>
    <bk>
      <extLst>
        <ext uri="{3e2802c4-a4d2-4d8b-9148-e3be6c30e623}">
          <xlrd:rvb i="3637"/>
        </ext>
      </extLst>
    </bk>
    <bk>
      <extLst>
        <ext uri="{3e2802c4-a4d2-4d8b-9148-e3be6c30e623}">
          <xlrd:rvb i="3638"/>
        </ext>
      </extLst>
    </bk>
    <bk>
      <extLst>
        <ext uri="{3e2802c4-a4d2-4d8b-9148-e3be6c30e623}">
          <xlrd:rvb i="3639"/>
        </ext>
      </extLst>
    </bk>
    <bk>
      <extLst>
        <ext uri="{3e2802c4-a4d2-4d8b-9148-e3be6c30e623}">
          <xlrd:rvb i="3640"/>
        </ext>
      </extLst>
    </bk>
    <bk>
      <extLst>
        <ext uri="{3e2802c4-a4d2-4d8b-9148-e3be6c30e623}">
          <xlrd:rvb i="3643"/>
        </ext>
      </extLst>
    </bk>
    <bk>
      <extLst>
        <ext uri="{3e2802c4-a4d2-4d8b-9148-e3be6c30e623}">
          <xlrd:rvb i="3644"/>
        </ext>
      </extLst>
    </bk>
    <bk>
      <extLst>
        <ext uri="{3e2802c4-a4d2-4d8b-9148-e3be6c30e623}">
          <xlrd:rvb i="3645"/>
        </ext>
      </extLst>
    </bk>
    <bk>
      <extLst>
        <ext uri="{3e2802c4-a4d2-4d8b-9148-e3be6c30e623}">
          <xlrd:rvb i="3646"/>
        </ext>
      </extLst>
    </bk>
    <bk>
      <extLst>
        <ext uri="{3e2802c4-a4d2-4d8b-9148-e3be6c30e623}">
          <xlrd:rvb i="3647"/>
        </ext>
      </extLst>
    </bk>
    <bk>
      <extLst>
        <ext uri="{3e2802c4-a4d2-4d8b-9148-e3be6c30e623}">
          <xlrd:rvb i="3648"/>
        </ext>
      </extLst>
    </bk>
    <bk>
      <extLst>
        <ext uri="{3e2802c4-a4d2-4d8b-9148-e3be6c30e623}">
          <xlrd:rvb i="3649"/>
        </ext>
      </extLst>
    </bk>
    <bk>
      <extLst>
        <ext uri="{3e2802c4-a4d2-4d8b-9148-e3be6c30e623}">
          <xlrd:rvb i="3650"/>
        </ext>
      </extLst>
    </bk>
    <bk>
      <extLst>
        <ext uri="{3e2802c4-a4d2-4d8b-9148-e3be6c30e623}">
          <xlrd:rvb i="3651"/>
        </ext>
      </extLst>
    </bk>
    <bk>
      <extLst>
        <ext uri="{3e2802c4-a4d2-4d8b-9148-e3be6c30e623}">
          <xlrd:rvb i="3652"/>
        </ext>
      </extLst>
    </bk>
    <bk>
      <extLst>
        <ext uri="{3e2802c4-a4d2-4d8b-9148-e3be6c30e623}">
          <xlrd:rvb i="3653"/>
        </ext>
      </extLst>
    </bk>
    <bk>
      <extLst>
        <ext uri="{3e2802c4-a4d2-4d8b-9148-e3be6c30e623}">
          <xlrd:rvb i="3654"/>
        </ext>
      </extLst>
    </bk>
    <bk>
      <extLst>
        <ext uri="{3e2802c4-a4d2-4d8b-9148-e3be6c30e623}">
          <xlrd:rvb i="3655"/>
        </ext>
      </extLst>
    </bk>
    <bk>
      <extLst>
        <ext uri="{3e2802c4-a4d2-4d8b-9148-e3be6c30e623}">
          <xlrd:rvb i="3656"/>
        </ext>
      </extLst>
    </bk>
    <bk>
      <extLst>
        <ext uri="{3e2802c4-a4d2-4d8b-9148-e3be6c30e623}">
          <xlrd:rvb i="3657"/>
        </ext>
      </extLst>
    </bk>
    <bk>
      <extLst>
        <ext uri="{3e2802c4-a4d2-4d8b-9148-e3be6c30e623}">
          <xlrd:rvb i="3658"/>
        </ext>
      </extLst>
    </bk>
    <bk>
      <extLst>
        <ext uri="{3e2802c4-a4d2-4d8b-9148-e3be6c30e623}">
          <xlrd:rvb i="3659"/>
        </ext>
      </extLst>
    </bk>
    <bk>
      <extLst>
        <ext uri="{3e2802c4-a4d2-4d8b-9148-e3be6c30e623}">
          <xlrd:rvb i="3660"/>
        </ext>
      </extLst>
    </bk>
    <bk>
      <extLst>
        <ext uri="{3e2802c4-a4d2-4d8b-9148-e3be6c30e623}">
          <xlrd:rvb i="3661"/>
        </ext>
      </extLst>
    </bk>
    <bk>
      <extLst>
        <ext uri="{3e2802c4-a4d2-4d8b-9148-e3be6c30e623}">
          <xlrd:rvb i="3662"/>
        </ext>
      </extLst>
    </bk>
    <bk>
      <extLst>
        <ext uri="{3e2802c4-a4d2-4d8b-9148-e3be6c30e623}">
          <xlrd:rvb i="3663"/>
        </ext>
      </extLst>
    </bk>
    <bk>
      <extLst>
        <ext uri="{3e2802c4-a4d2-4d8b-9148-e3be6c30e623}">
          <xlrd:rvb i="3664"/>
        </ext>
      </extLst>
    </bk>
    <bk>
      <extLst>
        <ext uri="{3e2802c4-a4d2-4d8b-9148-e3be6c30e623}">
          <xlrd:rvb i="3665"/>
        </ext>
      </extLst>
    </bk>
    <bk>
      <extLst>
        <ext uri="{3e2802c4-a4d2-4d8b-9148-e3be6c30e623}">
          <xlrd:rvb i="3666"/>
        </ext>
      </extLst>
    </bk>
    <bk>
      <extLst>
        <ext uri="{3e2802c4-a4d2-4d8b-9148-e3be6c30e623}">
          <xlrd:rvb i="3667"/>
        </ext>
      </extLst>
    </bk>
    <bk>
      <extLst>
        <ext uri="{3e2802c4-a4d2-4d8b-9148-e3be6c30e623}">
          <xlrd:rvb i="3668"/>
        </ext>
      </extLst>
    </bk>
    <bk>
      <extLst>
        <ext uri="{3e2802c4-a4d2-4d8b-9148-e3be6c30e623}">
          <xlrd:rvb i="3669"/>
        </ext>
      </extLst>
    </bk>
    <bk>
      <extLst>
        <ext uri="{3e2802c4-a4d2-4d8b-9148-e3be6c30e623}">
          <xlrd:rvb i="3670"/>
        </ext>
      </extLst>
    </bk>
    <bk>
      <extLst>
        <ext uri="{3e2802c4-a4d2-4d8b-9148-e3be6c30e623}">
          <xlrd:rvb i="3671"/>
        </ext>
      </extLst>
    </bk>
    <bk>
      <extLst>
        <ext uri="{3e2802c4-a4d2-4d8b-9148-e3be6c30e623}">
          <xlrd:rvb i="3672"/>
        </ext>
      </extLst>
    </bk>
    <bk>
      <extLst>
        <ext uri="{3e2802c4-a4d2-4d8b-9148-e3be6c30e623}">
          <xlrd:rvb i="3673"/>
        </ext>
      </extLst>
    </bk>
    <bk>
      <extLst>
        <ext uri="{3e2802c4-a4d2-4d8b-9148-e3be6c30e623}">
          <xlrd:rvb i="3674"/>
        </ext>
      </extLst>
    </bk>
    <bk>
      <extLst>
        <ext uri="{3e2802c4-a4d2-4d8b-9148-e3be6c30e623}">
          <xlrd:rvb i="3675"/>
        </ext>
      </extLst>
    </bk>
    <bk>
      <extLst>
        <ext uri="{3e2802c4-a4d2-4d8b-9148-e3be6c30e623}">
          <xlrd:rvb i="3676"/>
        </ext>
      </extLst>
    </bk>
    <bk>
      <extLst>
        <ext uri="{3e2802c4-a4d2-4d8b-9148-e3be6c30e623}">
          <xlrd:rvb i="3677"/>
        </ext>
      </extLst>
    </bk>
    <bk>
      <extLst>
        <ext uri="{3e2802c4-a4d2-4d8b-9148-e3be6c30e623}">
          <xlrd:rvb i="3678"/>
        </ext>
      </extLst>
    </bk>
    <bk>
      <extLst>
        <ext uri="{3e2802c4-a4d2-4d8b-9148-e3be6c30e623}">
          <xlrd:rvb i="3679"/>
        </ext>
      </extLst>
    </bk>
    <bk>
      <extLst>
        <ext uri="{3e2802c4-a4d2-4d8b-9148-e3be6c30e623}">
          <xlrd:rvb i="3680"/>
        </ext>
      </extLst>
    </bk>
    <bk>
      <extLst>
        <ext uri="{3e2802c4-a4d2-4d8b-9148-e3be6c30e623}">
          <xlrd:rvb i="3681"/>
        </ext>
      </extLst>
    </bk>
    <bk>
      <extLst>
        <ext uri="{3e2802c4-a4d2-4d8b-9148-e3be6c30e623}">
          <xlrd:rvb i="3682"/>
        </ext>
      </extLst>
    </bk>
    <bk>
      <extLst>
        <ext uri="{3e2802c4-a4d2-4d8b-9148-e3be6c30e623}">
          <xlrd:rvb i="3683"/>
        </ext>
      </extLst>
    </bk>
    <bk>
      <extLst>
        <ext uri="{3e2802c4-a4d2-4d8b-9148-e3be6c30e623}">
          <xlrd:rvb i="3684"/>
        </ext>
      </extLst>
    </bk>
    <bk>
      <extLst>
        <ext uri="{3e2802c4-a4d2-4d8b-9148-e3be6c30e623}">
          <xlrd:rvb i="3685"/>
        </ext>
      </extLst>
    </bk>
    <bk>
      <extLst>
        <ext uri="{3e2802c4-a4d2-4d8b-9148-e3be6c30e623}">
          <xlrd:rvb i="3686"/>
        </ext>
      </extLst>
    </bk>
    <bk>
      <extLst>
        <ext uri="{3e2802c4-a4d2-4d8b-9148-e3be6c30e623}">
          <xlrd:rvb i="3687"/>
        </ext>
      </extLst>
    </bk>
    <bk>
      <extLst>
        <ext uri="{3e2802c4-a4d2-4d8b-9148-e3be6c30e623}">
          <xlrd:rvb i="3688"/>
        </ext>
      </extLst>
    </bk>
    <bk>
      <extLst>
        <ext uri="{3e2802c4-a4d2-4d8b-9148-e3be6c30e623}">
          <xlrd:rvb i="3689"/>
        </ext>
      </extLst>
    </bk>
    <bk>
      <extLst>
        <ext uri="{3e2802c4-a4d2-4d8b-9148-e3be6c30e623}">
          <xlrd:rvb i="3690"/>
        </ext>
      </extLst>
    </bk>
    <bk>
      <extLst>
        <ext uri="{3e2802c4-a4d2-4d8b-9148-e3be6c30e623}">
          <xlrd:rvb i="3691"/>
        </ext>
      </extLst>
    </bk>
    <bk>
      <extLst>
        <ext uri="{3e2802c4-a4d2-4d8b-9148-e3be6c30e623}">
          <xlrd:rvb i="3692"/>
        </ext>
      </extLst>
    </bk>
    <bk>
      <extLst>
        <ext uri="{3e2802c4-a4d2-4d8b-9148-e3be6c30e623}">
          <xlrd:rvb i="3693"/>
        </ext>
      </extLst>
    </bk>
    <bk>
      <extLst>
        <ext uri="{3e2802c4-a4d2-4d8b-9148-e3be6c30e623}">
          <xlrd:rvb i="3694"/>
        </ext>
      </extLst>
    </bk>
    <bk>
      <extLst>
        <ext uri="{3e2802c4-a4d2-4d8b-9148-e3be6c30e623}">
          <xlrd:rvb i="3695"/>
        </ext>
      </extLst>
    </bk>
    <bk>
      <extLst>
        <ext uri="{3e2802c4-a4d2-4d8b-9148-e3be6c30e623}">
          <xlrd:rvb i="3696"/>
        </ext>
      </extLst>
    </bk>
    <bk>
      <extLst>
        <ext uri="{3e2802c4-a4d2-4d8b-9148-e3be6c30e623}">
          <xlrd:rvb i="3697"/>
        </ext>
      </extLst>
    </bk>
    <bk>
      <extLst>
        <ext uri="{3e2802c4-a4d2-4d8b-9148-e3be6c30e623}">
          <xlrd:rvb i="3698"/>
        </ext>
      </extLst>
    </bk>
    <bk>
      <extLst>
        <ext uri="{3e2802c4-a4d2-4d8b-9148-e3be6c30e623}">
          <xlrd:rvb i="3699"/>
        </ext>
      </extLst>
    </bk>
    <bk>
      <extLst>
        <ext uri="{3e2802c4-a4d2-4d8b-9148-e3be6c30e623}">
          <xlrd:rvb i="3700"/>
        </ext>
      </extLst>
    </bk>
    <bk>
      <extLst>
        <ext uri="{3e2802c4-a4d2-4d8b-9148-e3be6c30e623}">
          <xlrd:rvb i="3701"/>
        </ext>
      </extLst>
    </bk>
    <bk>
      <extLst>
        <ext uri="{3e2802c4-a4d2-4d8b-9148-e3be6c30e623}">
          <xlrd:rvb i="3702"/>
        </ext>
      </extLst>
    </bk>
    <bk>
      <extLst>
        <ext uri="{3e2802c4-a4d2-4d8b-9148-e3be6c30e623}">
          <xlrd:rvb i="3703"/>
        </ext>
      </extLst>
    </bk>
    <bk>
      <extLst>
        <ext uri="{3e2802c4-a4d2-4d8b-9148-e3be6c30e623}">
          <xlrd:rvb i="3704"/>
        </ext>
      </extLst>
    </bk>
    <bk>
      <extLst>
        <ext uri="{3e2802c4-a4d2-4d8b-9148-e3be6c30e623}">
          <xlrd:rvb i="3705"/>
        </ext>
      </extLst>
    </bk>
    <bk>
      <extLst>
        <ext uri="{3e2802c4-a4d2-4d8b-9148-e3be6c30e623}">
          <xlrd:rvb i="3706"/>
        </ext>
      </extLst>
    </bk>
    <bk>
      <extLst>
        <ext uri="{3e2802c4-a4d2-4d8b-9148-e3be6c30e623}">
          <xlrd:rvb i="3707"/>
        </ext>
      </extLst>
    </bk>
    <bk>
      <extLst>
        <ext uri="{3e2802c4-a4d2-4d8b-9148-e3be6c30e623}">
          <xlrd:rvb i="3708"/>
        </ext>
      </extLst>
    </bk>
    <bk>
      <extLst>
        <ext uri="{3e2802c4-a4d2-4d8b-9148-e3be6c30e623}">
          <xlrd:rvb i="3709"/>
        </ext>
      </extLst>
    </bk>
    <bk>
      <extLst>
        <ext uri="{3e2802c4-a4d2-4d8b-9148-e3be6c30e623}">
          <xlrd:rvb i="3710"/>
        </ext>
      </extLst>
    </bk>
    <bk>
      <extLst>
        <ext uri="{3e2802c4-a4d2-4d8b-9148-e3be6c30e623}">
          <xlrd:rvb i="3711"/>
        </ext>
      </extLst>
    </bk>
    <bk>
      <extLst>
        <ext uri="{3e2802c4-a4d2-4d8b-9148-e3be6c30e623}">
          <xlrd:rvb i="3712"/>
        </ext>
      </extLst>
    </bk>
    <bk>
      <extLst>
        <ext uri="{3e2802c4-a4d2-4d8b-9148-e3be6c30e623}">
          <xlrd:rvb i="3713"/>
        </ext>
      </extLst>
    </bk>
    <bk>
      <extLst>
        <ext uri="{3e2802c4-a4d2-4d8b-9148-e3be6c30e623}">
          <xlrd:rvb i="3714"/>
        </ext>
      </extLst>
    </bk>
    <bk>
      <extLst>
        <ext uri="{3e2802c4-a4d2-4d8b-9148-e3be6c30e623}">
          <xlrd:rvb i="3715"/>
        </ext>
      </extLst>
    </bk>
    <bk>
      <extLst>
        <ext uri="{3e2802c4-a4d2-4d8b-9148-e3be6c30e623}">
          <xlrd:rvb i="3716"/>
        </ext>
      </extLst>
    </bk>
    <bk>
      <extLst>
        <ext uri="{3e2802c4-a4d2-4d8b-9148-e3be6c30e623}">
          <xlrd:rvb i="3717"/>
        </ext>
      </extLst>
    </bk>
    <bk>
      <extLst>
        <ext uri="{3e2802c4-a4d2-4d8b-9148-e3be6c30e623}">
          <xlrd:rvb i="3718"/>
        </ext>
      </extLst>
    </bk>
    <bk>
      <extLst>
        <ext uri="{3e2802c4-a4d2-4d8b-9148-e3be6c30e623}">
          <xlrd:rvb i="3719"/>
        </ext>
      </extLst>
    </bk>
    <bk>
      <extLst>
        <ext uri="{3e2802c4-a4d2-4d8b-9148-e3be6c30e623}">
          <xlrd:rvb i="3720"/>
        </ext>
      </extLst>
    </bk>
    <bk>
      <extLst>
        <ext uri="{3e2802c4-a4d2-4d8b-9148-e3be6c30e623}">
          <xlrd:rvb i="3721"/>
        </ext>
      </extLst>
    </bk>
    <bk>
      <extLst>
        <ext uri="{3e2802c4-a4d2-4d8b-9148-e3be6c30e623}">
          <xlrd:rvb i="3722"/>
        </ext>
      </extLst>
    </bk>
    <bk>
      <extLst>
        <ext uri="{3e2802c4-a4d2-4d8b-9148-e3be6c30e623}">
          <xlrd:rvb i="3723"/>
        </ext>
      </extLst>
    </bk>
    <bk>
      <extLst>
        <ext uri="{3e2802c4-a4d2-4d8b-9148-e3be6c30e623}">
          <xlrd:rvb i="3724"/>
        </ext>
      </extLst>
    </bk>
    <bk>
      <extLst>
        <ext uri="{3e2802c4-a4d2-4d8b-9148-e3be6c30e623}">
          <xlrd:rvb i="3725"/>
        </ext>
      </extLst>
    </bk>
    <bk>
      <extLst>
        <ext uri="{3e2802c4-a4d2-4d8b-9148-e3be6c30e623}">
          <xlrd:rvb i="3726"/>
        </ext>
      </extLst>
    </bk>
    <bk>
      <extLst>
        <ext uri="{3e2802c4-a4d2-4d8b-9148-e3be6c30e623}">
          <xlrd:rvb i="3727"/>
        </ext>
      </extLst>
    </bk>
    <bk>
      <extLst>
        <ext uri="{3e2802c4-a4d2-4d8b-9148-e3be6c30e623}">
          <xlrd:rvb i="3728"/>
        </ext>
      </extLst>
    </bk>
    <bk>
      <extLst>
        <ext uri="{3e2802c4-a4d2-4d8b-9148-e3be6c30e623}">
          <xlrd:rvb i="3729"/>
        </ext>
      </extLst>
    </bk>
    <bk>
      <extLst>
        <ext uri="{3e2802c4-a4d2-4d8b-9148-e3be6c30e623}">
          <xlrd:rvb i="3730"/>
        </ext>
      </extLst>
    </bk>
    <bk>
      <extLst>
        <ext uri="{3e2802c4-a4d2-4d8b-9148-e3be6c30e623}">
          <xlrd:rvb i="3731"/>
        </ext>
      </extLst>
    </bk>
    <bk>
      <extLst>
        <ext uri="{3e2802c4-a4d2-4d8b-9148-e3be6c30e623}">
          <xlrd:rvb i="3732"/>
        </ext>
      </extLst>
    </bk>
    <bk>
      <extLst>
        <ext uri="{3e2802c4-a4d2-4d8b-9148-e3be6c30e623}">
          <xlrd:rvb i="3733"/>
        </ext>
      </extLst>
    </bk>
    <bk>
      <extLst>
        <ext uri="{3e2802c4-a4d2-4d8b-9148-e3be6c30e623}">
          <xlrd:rvb i="3734"/>
        </ext>
      </extLst>
    </bk>
    <bk>
      <extLst>
        <ext uri="{3e2802c4-a4d2-4d8b-9148-e3be6c30e623}">
          <xlrd:rvb i="3735"/>
        </ext>
      </extLst>
    </bk>
    <bk>
      <extLst>
        <ext uri="{3e2802c4-a4d2-4d8b-9148-e3be6c30e623}">
          <xlrd:rvb i="3736"/>
        </ext>
      </extLst>
    </bk>
    <bk>
      <extLst>
        <ext uri="{3e2802c4-a4d2-4d8b-9148-e3be6c30e623}">
          <xlrd:rvb i="3737"/>
        </ext>
      </extLst>
    </bk>
    <bk>
      <extLst>
        <ext uri="{3e2802c4-a4d2-4d8b-9148-e3be6c30e623}">
          <xlrd:rvb i="3738"/>
        </ext>
      </extLst>
    </bk>
    <bk>
      <extLst>
        <ext uri="{3e2802c4-a4d2-4d8b-9148-e3be6c30e623}">
          <xlrd:rvb i="3739"/>
        </ext>
      </extLst>
    </bk>
    <bk>
      <extLst>
        <ext uri="{3e2802c4-a4d2-4d8b-9148-e3be6c30e623}">
          <xlrd:rvb i="3740"/>
        </ext>
      </extLst>
    </bk>
    <bk>
      <extLst>
        <ext uri="{3e2802c4-a4d2-4d8b-9148-e3be6c30e623}">
          <xlrd:rvb i="3741"/>
        </ext>
      </extLst>
    </bk>
    <bk>
      <extLst>
        <ext uri="{3e2802c4-a4d2-4d8b-9148-e3be6c30e623}">
          <xlrd:rvb i="3742"/>
        </ext>
      </extLst>
    </bk>
    <bk>
      <extLst>
        <ext uri="{3e2802c4-a4d2-4d8b-9148-e3be6c30e623}">
          <xlrd:rvb i="3743"/>
        </ext>
      </extLst>
    </bk>
    <bk>
      <extLst>
        <ext uri="{3e2802c4-a4d2-4d8b-9148-e3be6c30e623}">
          <xlrd:rvb i="3744"/>
        </ext>
      </extLst>
    </bk>
    <bk>
      <extLst>
        <ext uri="{3e2802c4-a4d2-4d8b-9148-e3be6c30e623}">
          <xlrd:rvb i="3745"/>
        </ext>
      </extLst>
    </bk>
    <bk>
      <extLst>
        <ext uri="{3e2802c4-a4d2-4d8b-9148-e3be6c30e623}">
          <xlrd:rvb i="3746"/>
        </ext>
      </extLst>
    </bk>
    <bk>
      <extLst>
        <ext uri="{3e2802c4-a4d2-4d8b-9148-e3be6c30e623}">
          <xlrd:rvb i="3747"/>
        </ext>
      </extLst>
    </bk>
    <bk>
      <extLst>
        <ext uri="{3e2802c4-a4d2-4d8b-9148-e3be6c30e623}">
          <xlrd:rvb i="3748"/>
        </ext>
      </extLst>
    </bk>
    <bk>
      <extLst>
        <ext uri="{3e2802c4-a4d2-4d8b-9148-e3be6c30e623}">
          <xlrd:rvb i="3749"/>
        </ext>
      </extLst>
    </bk>
    <bk>
      <extLst>
        <ext uri="{3e2802c4-a4d2-4d8b-9148-e3be6c30e623}">
          <xlrd:rvb i="3750"/>
        </ext>
      </extLst>
    </bk>
    <bk>
      <extLst>
        <ext uri="{3e2802c4-a4d2-4d8b-9148-e3be6c30e623}">
          <xlrd:rvb i="3751"/>
        </ext>
      </extLst>
    </bk>
    <bk>
      <extLst>
        <ext uri="{3e2802c4-a4d2-4d8b-9148-e3be6c30e623}">
          <xlrd:rvb i="3752"/>
        </ext>
      </extLst>
    </bk>
    <bk>
      <extLst>
        <ext uri="{3e2802c4-a4d2-4d8b-9148-e3be6c30e623}">
          <xlrd:rvb i="3753"/>
        </ext>
      </extLst>
    </bk>
    <bk>
      <extLst>
        <ext uri="{3e2802c4-a4d2-4d8b-9148-e3be6c30e623}">
          <xlrd:rvb i="3754"/>
        </ext>
      </extLst>
    </bk>
    <bk>
      <extLst>
        <ext uri="{3e2802c4-a4d2-4d8b-9148-e3be6c30e623}">
          <xlrd:rvb i="3755"/>
        </ext>
      </extLst>
    </bk>
    <bk>
      <extLst>
        <ext uri="{3e2802c4-a4d2-4d8b-9148-e3be6c30e623}">
          <xlrd:rvb i="3756"/>
        </ext>
      </extLst>
    </bk>
    <bk>
      <extLst>
        <ext uri="{3e2802c4-a4d2-4d8b-9148-e3be6c30e623}">
          <xlrd:rvb i="3757"/>
        </ext>
      </extLst>
    </bk>
    <bk>
      <extLst>
        <ext uri="{3e2802c4-a4d2-4d8b-9148-e3be6c30e623}">
          <xlrd:rvb i="3758"/>
        </ext>
      </extLst>
    </bk>
    <bk>
      <extLst>
        <ext uri="{3e2802c4-a4d2-4d8b-9148-e3be6c30e623}">
          <xlrd:rvb i="3759"/>
        </ext>
      </extLst>
    </bk>
    <bk>
      <extLst>
        <ext uri="{3e2802c4-a4d2-4d8b-9148-e3be6c30e623}">
          <xlrd:rvb i="3760"/>
        </ext>
      </extLst>
    </bk>
    <bk>
      <extLst>
        <ext uri="{3e2802c4-a4d2-4d8b-9148-e3be6c30e623}">
          <xlrd:rvb i="3761"/>
        </ext>
      </extLst>
    </bk>
    <bk>
      <extLst>
        <ext uri="{3e2802c4-a4d2-4d8b-9148-e3be6c30e623}">
          <xlrd:rvb i="3762"/>
        </ext>
      </extLst>
    </bk>
    <bk>
      <extLst>
        <ext uri="{3e2802c4-a4d2-4d8b-9148-e3be6c30e623}">
          <xlrd:rvb i="3763"/>
        </ext>
      </extLst>
    </bk>
    <bk>
      <extLst>
        <ext uri="{3e2802c4-a4d2-4d8b-9148-e3be6c30e623}">
          <xlrd:rvb i="3764"/>
        </ext>
      </extLst>
    </bk>
    <bk>
      <extLst>
        <ext uri="{3e2802c4-a4d2-4d8b-9148-e3be6c30e623}">
          <xlrd:rvb i="3765"/>
        </ext>
      </extLst>
    </bk>
    <bk>
      <extLst>
        <ext uri="{3e2802c4-a4d2-4d8b-9148-e3be6c30e623}">
          <xlrd:rvb i="3766"/>
        </ext>
      </extLst>
    </bk>
    <bk>
      <extLst>
        <ext uri="{3e2802c4-a4d2-4d8b-9148-e3be6c30e623}">
          <xlrd:rvb i="3767"/>
        </ext>
      </extLst>
    </bk>
    <bk>
      <extLst>
        <ext uri="{3e2802c4-a4d2-4d8b-9148-e3be6c30e623}">
          <xlrd:rvb i="3768"/>
        </ext>
      </extLst>
    </bk>
    <bk>
      <extLst>
        <ext uri="{3e2802c4-a4d2-4d8b-9148-e3be6c30e623}">
          <xlrd:rvb i="3769"/>
        </ext>
      </extLst>
    </bk>
    <bk>
      <extLst>
        <ext uri="{3e2802c4-a4d2-4d8b-9148-e3be6c30e623}">
          <xlrd:rvb i="3770"/>
        </ext>
      </extLst>
    </bk>
    <bk>
      <extLst>
        <ext uri="{3e2802c4-a4d2-4d8b-9148-e3be6c30e623}">
          <xlrd:rvb i="3771"/>
        </ext>
      </extLst>
    </bk>
    <bk>
      <extLst>
        <ext uri="{3e2802c4-a4d2-4d8b-9148-e3be6c30e623}">
          <xlrd:rvb i="3772"/>
        </ext>
      </extLst>
    </bk>
    <bk>
      <extLst>
        <ext uri="{3e2802c4-a4d2-4d8b-9148-e3be6c30e623}">
          <xlrd:rvb i="3773"/>
        </ext>
      </extLst>
    </bk>
    <bk>
      <extLst>
        <ext uri="{3e2802c4-a4d2-4d8b-9148-e3be6c30e623}">
          <xlrd:rvb i="3774"/>
        </ext>
      </extLst>
    </bk>
    <bk>
      <extLst>
        <ext uri="{3e2802c4-a4d2-4d8b-9148-e3be6c30e623}">
          <xlrd:rvb i="3775"/>
        </ext>
      </extLst>
    </bk>
    <bk>
      <extLst>
        <ext uri="{3e2802c4-a4d2-4d8b-9148-e3be6c30e623}">
          <xlrd:rvb i="3776"/>
        </ext>
      </extLst>
    </bk>
    <bk>
      <extLst>
        <ext uri="{3e2802c4-a4d2-4d8b-9148-e3be6c30e623}">
          <xlrd:rvb i="3777"/>
        </ext>
      </extLst>
    </bk>
    <bk>
      <extLst>
        <ext uri="{3e2802c4-a4d2-4d8b-9148-e3be6c30e623}">
          <xlrd:rvb i="3778"/>
        </ext>
      </extLst>
    </bk>
    <bk>
      <extLst>
        <ext uri="{3e2802c4-a4d2-4d8b-9148-e3be6c30e623}">
          <xlrd:rvb i="3779"/>
        </ext>
      </extLst>
    </bk>
    <bk>
      <extLst>
        <ext uri="{3e2802c4-a4d2-4d8b-9148-e3be6c30e623}">
          <xlrd:rvb i="3780"/>
        </ext>
      </extLst>
    </bk>
    <bk>
      <extLst>
        <ext uri="{3e2802c4-a4d2-4d8b-9148-e3be6c30e623}">
          <xlrd:rvb i="3781"/>
        </ext>
      </extLst>
    </bk>
    <bk>
      <extLst>
        <ext uri="{3e2802c4-a4d2-4d8b-9148-e3be6c30e623}">
          <xlrd:rvb i="3782"/>
        </ext>
      </extLst>
    </bk>
    <bk>
      <extLst>
        <ext uri="{3e2802c4-a4d2-4d8b-9148-e3be6c30e623}">
          <xlrd:rvb i="3783"/>
        </ext>
      </extLst>
    </bk>
    <bk>
      <extLst>
        <ext uri="{3e2802c4-a4d2-4d8b-9148-e3be6c30e623}">
          <xlrd:rvb i="3784"/>
        </ext>
      </extLst>
    </bk>
    <bk>
      <extLst>
        <ext uri="{3e2802c4-a4d2-4d8b-9148-e3be6c30e623}">
          <xlrd:rvb i="3785"/>
        </ext>
      </extLst>
    </bk>
    <bk>
      <extLst>
        <ext uri="{3e2802c4-a4d2-4d8b-9148-e3be6c30e623}">
          <xlrd:rvb i="3786"/>
        </ext>
      </extLst>
    </bk>
    <bk>
      <extLst>
        <ext uri="{3e2802c4-a4d2-4d8b-9148-e3be6c30e623}">
          <xlrd:rvb i="3787"/>
        </ext>
      </extLst>
    </bk>
    <bk>
      <extLst>
        <ext uri="{3e2802c4-a4d2-4d8b-9148-e3be6c30e623}">
          <xlrd:rvb i="3788"/>
        </ext>
      </extLst>
    </bk>
    <bk>
      <extLst>
        <ext uri="{3e2802c4-a4d2-4d8b-9148-e3be6c30e623}">
          <xlrd:rvb i="3789"/>
        </ext>
      </extLst>
    </bk>
    <bk>
      <extLst>
        <ext uri="{3e2802c4-a4d2-4d8b-9148-e3be6c30e623}">
          <xlrd:rvb i="3790"/>
        </ext>
      </extLst>
    </bk>
    <bk>
      <extLst>
        <ext uri="{3e2802c4-a4d2-4d8b-9148-e3be6c30e623}">
          <xlrd:rvb i="3791"/>
        </ext>
      </extLst>
    </bk>
    <bk>
      <extLst>
        <ext uri="{3e2802c4-a4d2-4d8b-9148-e3be6c30e623}">
          <xlrd:rvb i="3792"/>
        </ext>
      </extLst>
    </bk>
    <bk>
      <extLst>
        <ext uri="{3e2802c4-a4d2-4d8b-9148-e3be6c30e623}">
          <xlrd:rvb i="3793"/>
        </ext>
      </extLst>
    </bk>
    <bk>
      <extLst>
        <ext uri="{3e2802c4-a4d2-4d8b-9148-e3be6c30e623}">
          <xlrd:rvb i="3794"/>
        </ext>
      </extLst>
    </bk>
    <bk>
      <extLst>
        <ext uri="{3e2802c4-a4d2-4d8b-9148-e3be6c30e623}">
          <xlrd:rvb i="3795"/>
        </ext>
      </extLst>
    </bk>
    <bk>
      <extLst>
        <ext uri="{3e2802c4-a4d2-4d8b-9148-e3be6c30e623}">
          <xlrd:rvb i="3796"/>
        </ext>
      </extLst>
    </bk>
    <bk>
      <extLst>
        <ext uri="{3e2802c4-a4d2-4d8b-9148-e3be6c30e623}">
          <xlrd:rvb i="3797"/>
        </ext>
      </extLst>
    </bk>
    <bk>
      <extLst>
        <ext uri="{3e2802c4-a4d2-4d8b-9148-e3be6c30e623}">
          <xlrd:rvb i="3798"/>
        </ext>
      </extLst>
    </bk>
    <bk>
      <extLst>
        <ext uri="{3e2802c4-a4d2-4d8b-9148-e3be6c30e623}">
          <xlrd:rvb i="3799"/>
        </ext>
      </extLst>
    </bk>
    <bk>
      <extLst>
        <ext uri="{3e2802c4-a4d2-4d8b-9148-e3be6c30e623}">
          <xlrd:rvb i="3800"/>
        </ext>
      </extLst>
    </bk>
    <bk>
      <extLst>
        <ext uri="{3e2802c4-a4d2-4d8b-9148-e3be6c30e623}">
          <xlrd:rvb i="3801"/>
        </ext>
      </extLst>
    </bk>
    <bk>
      <extLst>
        <ext uri="{3e2802c4-a4d2-4d8b-9148-e3be6c30e623}">
          <xlrd:rvb i="3802"/>
        </ext>
      </extLst>
    </bk>
    <bk>
      <extLst>
        <ext uri="{3e2802c4-a4d2-4d8b-9148-e3be6c30e623}">
          <xlrd:rvb i="3803"/>
        </ext>
      </extLst>
    </bk>
    <bk>
      <extLst>
        <ext uri="{3e2802c4-a4d2-4d8b-9148-e3be6c30e623}">
          <xlrd:rvb i="3804"/>
        </ext>
      </extLst>
    </bk>
    <bk>
      <extLst>
        <ext uri="{3e2802c4-a4d2-4d8b-9148-e3be6c30e623}">
          <xlrd:rvb i="3805"/>
        </ext>
      </extLst>
    </bk>
    <bk>
      <extLst>
        <ext uri="{3e2802c4-a4d2-4d8b-9148-e3be6c30e623}">
          <xlrd:rvb i="3806"/>
        </ext>
      </extLst>
    </bk>
    <bk>
      <extLst>
        <ext uri="{3e2802c4-a4d2-4d8b-9148-e3be6c30e623}">
          <xlrd:rvb i="3807"/>
        </ext>
      </extLst>
    </bk>
    <bk>
      <extLst>
        <ext uri="{3e2802c4-a4d2-4d8b-9148-e3be6c30e623}">
          <xlrd:rvb i="3808"/>
        </ext>
      </extLst>
    </bk>
    <bk>
      <extLst>
        <ext uri="{3e2802c4-a4d2-4d8b-9148-e3be6c30e623}">
          <xlrd:rvb i="3809"/>
        </ext>
      </extLst>
    </bk>
    <bk>
      <extLst>
        <ext uri="{3e2802c4-a4d2-4d8b-9148-e3be6c30e623}">
          <xlrd:rvb i="3810"/>
        </ext>
      </extLst>
    </bk>
    <bk>
      <extLst>
        <ext uri="{3e2802c4-a4d2-4d8b-9148-e3be6c30e623}">
          <xlrd:rvb i="3811"/>
        </ext>
      </extLst>
    </bk>
    <bk>
      <extLst>
        <ext uri="{3e2802c4-a4d2-4d8b-9148-e3be6c30e623}">
          <xlrd:rvb i="3812"/>
        </ext>
      </extLst>
    </bk>
    <bk>
      <extLst>
        <ext uri="{3e2802c4-a4d2-4d8b-9148-e3be6c30e623}">
          <xlrd:rvb i="3813"/>
        </ext>
      </extLst>
    </bk>
    <bk>
      <extLst>
        <ext uri="{3e2802c4-a4d2-4d8b-9148-e3be6c30e623}">
          <xlrd:rvb i="3814"/>
        </ext>
      </extLst>
    </bk>
    <bk>
      <extLst>
        <ext uri="{3e2802c4-a4d2-4d8b-9148-e3be6c30e623}">
          <xlrd:rvb i="3815"/>
        </ext>
      </extLst>
    </bk>
    <bk>
      <extLst>
        <ext uri="{3e2802c4-a4d2-4d8b-9148-e3be6c30e623}">
          <xlrd:rvb i="3816"/>
        </ext>
      </extLst>
    </bk>
    <bk>
      <extLst>
        <ext uri="{3e2802c4-a4d2-4d8b-9148-e3be6c30e623}">
          <xlrd:rvb i="3817"/>
        </ext>
      </extLst>
    </bk>
    <bk>
      <extLst>
        <ext uri="{3e2802c4-a4d2-4d8b-9148-e3be6c30e623}">
          <xlrd:rvb i="3818"/>
        </ext>
      </extLst>
    </bk>
    <bk>
      <extLst>
        <ext uri="{3e2802c4-a4d2-4d8b-9148-e3be6c30e623}">
          <xlrd:rvb i="3819"/>
        </ext>
      </extLst>
    </bk>
    <bk>
      <extLst>
        <ext uri="{3e2802c4-a4d2-4d8b-9148-e3be6c30e623}">
          <xlrd:rvb i="3820"/>
        </ext>
      </extLst>
    </bk>
    <bk>
      <extLst>
        <ext uri="{3e2802c4-a4d2-4d8b-9148-e3be6c30e623}">
          <xlrd:rvb i="3821"/>
        </ext>
      </extLst>
    </bk>
    <bk>
      <extLst>
        <ext uri="{3e2802c4-a4d2-4d8b-9148-e3be6c30e623}">
          <xlrd:rvb i="3822"/>
        </ext>
      </extLst>
    </bk>
    <bk>
      <extLst>
        <ext uri="{3e2802c4-a4d2-4d8b-9148-e3be6c30e623}">
          <xlrd:rvb i="3823"/>
        </ext>
      </extLst>
    </bk>
    <bk>
      <extLst>
        <ext uri="{3e2802c4-a4d2-4d8b-9148-e3be6c30e623}">
          <xlrd:rvb i="3824"/>
        </ext>
      </extLst>
    </bk>
    <bk>
      <extLst>
        <ext uri="{3e2802c4-a4d2-4d8b-9148-e3be6c30e623}">
          <xlrd:rvb i="3825"/>
        </ext>
      </extLst>
    </bk>
    <bk>
      <extLst>
        <ext uri="{3e2802c4-a4d2-4d8b-9148-e3be6c30e623}">
          <xlrd:rvb i="3826"/>
        </ext>
      </extLst>
    </bk>
    <bk>
      <extLst>
        <ext uri="{3e2802c4-a4d2-4d8b-9148-e3be6c30e623}">
          <xlrd:rvb i="3827"/>
        </ext>
      </extLst>
    </bk>
    <bk>
      <extLst>
        <ext uri="{3e2802c4-a4d2-4d8b-9148-e3be6c30e623}">
          <xlrd:rvb i="3828"/>
        </ext>
      </extLst>
    </bk>
    <bk>
      <extLst>
        <ext uri="{3e2802c4-a4d2-4d8b-9148-e3be6c30e623}">
          <xlrd:rvb i="3829"/>
        </ext>
      </extLst>
    </bk>
    <bk>
      <extLst>
        <ext uri="{3e2802c4-a4d2-4d8b-9148-e3be6c30e623}">
          <xlrd:rvb i="3830"/>
        </ext>
      </extLst>
    </bk>
    <bk>
      <extLst>
        <ext uri="{3e2802c4-a4d2-4d8b-9148-e3be6c30e623}">
          <xlrd:rvb i="3831"/>
        </ext>
      </extLst>
    </bk>
    <bk>
      <extLst>
        <ext uri="{3e2802c4-a4d2-4d8b-9148-e3be6c30e623}">
          <xlrd:rvb i="3832"/>
        </ext>
      </extLst>
    </bk>
    <bk>
      <extLst>
        <ext uri="{3e2802c4-a4d2-4d8b-9148-e3be6c30e623}">
          <xlrd:rvb i="3833"/>
        </ext>
      </extLst>
    </bk>
    <bk>
      <extLst>
        <ext uri="{3e2802c4-a4d2-4d8b-9148-e3be6c30e623}">
          <xlrd:rvb i="3834"/>
        </ext>
      </extLst>
    </bk>
    <bk>
      <extLst>
        <ext uri="{3e2802c4-a4d2-4d8b-9148-e3be6c30e623}">
          <xlrd:rvb i="3835"/>
        </ext>
      </extLst>
    </bk>
    <bk>
      <extLst>
        <ext uri="{3e2802c4-a4d2-4d8b-9148-e3be6c30e623}">
          <xlrd:rvb i="3836"/>
        </ext>
      </extLst>
    </bk>
    <bk>
      <extLst>
        <ext uri="{3e2802c4-a4d2-4d8b-9148-e3be6c30e623}">
          <xlrd:rvb i="3837"/>
        </ext>
      </extLst>
    </bk>
    <bk>
      <extLst>
        <ext uri="{3e2802c4-a4d2-4d8b-9148-e3be6c30e623}">
          <xlrd:rvb i="3838"/>
        </ext>
      </extLst>
    </bk>
    <bk>
      <extLst>
        <ext uri="{3e2802c4-a4d2-4d8b-9148-e3be6c30e623}">
          <xlrd:rvb i="3839"/>
        </ext>
      </extLst>
    </bk>
    <bk>
      <extLst>
        <ext uri="{3e2802c4-a4d2-4d8b-9148-e3be6c30e623}">
          <xlrd:rvb i="3840"/>
        </ext>
      </extLst>
    </bk>
    <bk>
      <extLst>
        <ext uri="{3e2802c4-a4d2-4d8b-9148-e3be6c30e623}">
          <xlrd:rvb i="3841"/>
        </ext>
      </extLst>
    </bk>
    <bk>
      <extLst>
        <ext uri="{3e2802c4-a4d2-4d8b-9148-e3be6c30e623}">
          <xlrd:rvb i="3842"/>
        </ext>
      </extLst>
    </bk>
    <bk>
      <extLst>
        <ext uri="{3e2802c4-a4d2-4d8b-9148-e3be6c30e623}">
          <xlrd:rvb i="3843"/>
        </ext>
      </extLst>
    </bk>
    <bk>
      <extLst>
        <ext uri="{3e2802c4-a4d2-4d8b-9148-e3be6c30e623}">
          <xlrd:rvb i="3844"/>
        </ext>
      </extLst>
    </bk>
    <bk>
      <extLst>
        <ext uri="{3e2802c4-a4d2-4d8b-9148-e3be6c30e623}">
          <xlrd:rvb i="3845"/>
        </ext>
      </extLst>
    </bk>
    <bk>
      <extLst>
        <ext uri="{3e2802c4-a4d2-4d8b-9148-e3be6c30e623}">
          <xlrd:rvb i="3846"/>
        </ext>
      </extLst>
    </bk>
    <bk>
      <extLst>
        <ext uri="{3e2802c4-a4d2-4d8b-9148-e3be6c30e623}">
          <xlrd:rvb i="3847"/>
        </ext>
      </extLst>
    </bk>
    <bk>
      <extLst>
        <ext uri="{3e2802c4-a4d2-4d8b-9148-e3be6c30e623}">
          <xlrd:rvb i="3848"/>
        </ext>
      </extLst>
    </bk>
    <bk>
      <extLst>
        <ext uri="{3e2802c4-a4d2-4d8b-9148-e3be6c30e623}">
          <xlrd:rvb i="3849"/>
        </ext>
      </extLst>
    </bk>
    <bk>
      <extLst>
        <ext uri="{3e2802c4-a4d2-4d8b-9148-e3be6c30e623}">
          <xlrd:rvb i="3850"/>
        </ext>
      </extLst>
    </bk>
    <bk>
      <extLst>
        <ext uri="{3e2802c4-a4d2-4d8b-9148-e3be6c30e623}">
          <xlrd:rvb i="3851"/>
        </ext>
      </extLst>
    </bk>
    <bk>
      <extLst>
        <ext uri="{3e2802c4-a4d2-4d8b-9148-e3be6c30e623}">
          <xlrd:rvb i="3852"/>
        </ext>
      </extLst>
    </bk>
    <bk>
      <extLst>
        <ext uri="{3e2802c4-a4d2-4d8b-9148-e3be6c30e623}">
          <xlrd:rvb i="3853"/>
        </ext>
      </extLst>
    </bk>
    <bk>
      <extLst>
        <ext uri="{3e2802c4-a4d2-4d8b-9148-e3be6c30e623}">
          <xlrd:rvb i="3854"/>
        </ext>
      </extLst>
    </bk>
    <bk>
      <extLst>
        <ext uri="{3e2802c4-a4d2-4d8b-9148-e3be6c30e623}">
          <xlrd:rvb i="3855"/>
        </ext>
      </extLst>
    </bk>
    <bk>
      <extLst>
        <ext uri="{3e2802c4-a4d2-4d8b-9148-e3be6c30e623}">
          <xlrd:rvb i="3856"/>
        </ext>
      </extLst>
    </bk>
    <bk>
      <extLst>
        <ext uri="{3e2802c4-a4d2-4d8b-9148-e3be6c30e623}">
          <xlrd:rvb i="3857"/>
        </ext>
      </extLst>
    </bk>
    <bk>
      <extLst>
        <ext uri="{3e2802c4-a4d2-4d8b-9148-e3be6c30e623}">
          <xlrd:rvb i="3858"/>
        </ext>
      </extLst>
    </bk>
    <bk>
      <extLst>
        <ext uri="{3e2802c4-a4d2-4d8b-9148-e3be6c30e623}">
          <xlrd:rvb i="3859"/>
        </ext>
      </extLst>
    </bk>
    <bk>
      <extLst>
        <ext uri="{3e2802c4-a4d2-4d8b-9148-e3be6c30e623}">
          <xlrd:rvb i="3860"/>
        </ext>
      </extLst>
    </bk>
    <bk>
      <extLst>
        <ext uri="{3e2802c4-a4d2-4d8b-9148-e3be6c30e623}">
          <xlrd:rvb i="3861"/>
        </ext>
      </extLst>
    </bk>
    <bk>
      <extLst>
        <ext uri="{3e2802c4-a4d2-4d8b-9148-e3be6c30e623}">
          <xlrd:rvb i="3862"/>
        </ext>
      </extLst>
    </bk>
    <bk>
      <extLst>
        <ext uri="{3e2802c4-a4d2-4d8b-9148-e3be6c30e623}">
          <xlrd:rvb i="3863"/>
        </ext>
      </extLst>
    </bk>
    <bk>
      <extLst>
        <ext uri="{3e2802c4-a4d2-4d8b-9148-e3be6c30e623}">
          <xlrd:rvb i="3864"/>
        </ext>
      </extLst>
    </bk>
    <bk>
      <extLst>
        <ext uri="{3e2802c4-a4d2-4d8b-9148-e3be6c30e623}">
          <xlrd:rvb i="3865"/>
        </ext>
      </extLst>
    </bk>
    <bk>
      <extLst>
        <ext uri="{3e2802c4-a4d2-4d8b-9148-e3be6c30e623}">
          <xlrd:rvb i="3866"/>
        </ext>
      </extLst>
    </bk>
    <bk>
      <extLst>
        <ext uri="{3e2802c4-a4d2-4d8b-9148-e3be6c30e623}">
          <xlrd:rvb i="3867"/>
        </ext>
      </extLst>
    </bk>
    <bk>
      <extLst>
        <ext uri="{3e2802c4-a4d2-4d8b-9148-e3be6c30e623}">
          <xlrd:rvb i="3868"/>
        </ext>
      </extLst>
    </bk>
    <bk>
      <extLst>
        <ext uri="{3e2802c4-a4d2-4d8b-9148-e3be6c30e623}">
          <xlrd:rvb i="3869"/>
        </ext>
      </extLst>
    </bk>
    <bk>
      <extLst>
        <ext uri="{3e2802c4-a4d2-4d8b-9148-e3be6c30e623}">
          <xlrd:rvb i="3870"/>
        </ext>
      </extLst>
    </bk>
    <bk>
      <extLst>
        <ext uri="{3e2802c4-a4d2-4d8b-9148-e3be6c30e623}">
          <xlrd:rvb i="3871"/>
        </ext>
      </extLst>
    </bk>
    <bk>
      <extLst>
        <ext uri="{3e2802c4-a4d2-4d8b-9148-e3be6c30e623}">
          <xlrd:rvb i="3872"/>
        </ext>
      </extLst>
    </bk>
    <bk>
      <extLst>
        <ext uri="{3e2802c4-a4d2-4d8b-9148-e3be6c30e623}">
          <xlrd:rvb i="3873"/>
        </ext>
      </extLst>
    </bk>
    <bk>
      <extLst>
        <ext uri="{3e2802c4-a4d2-4d8b-9148-e3be6c30e623}">
          <xlrd:rvb i="3874"/>
        </ext>
      </extLst>
    </bk>
    <bk>
      <extLst>
        <ext uri="{3e2802c4-a4d2-4d8b-9148-e3be6c30e623}">
          <xlrd:rvb i="3875"/>
        </ext>
      </extLst>
    </bk>
    <bk>
      <extLst>
        <ext uri="{3e2802c4-a4d2-4d8b-9148-e3be6c30e623}">
          <xlrd:rvb i="3876"/>
        </ext>
      </extLst>
    </bk>
    <bk>
      <extLst>
        <ext uri="{3e2802c4-a4d2-4d8b-9148-e3be6c30e623}">
          <xlrd:rvb i="3877"/>
        </ext>
      </extLst>
    </bk>
    <bk>
      <extLst>
        <ext uri="{3e2802c4-a4d2-4d8b-9148-e3be6c30e623}">
          <xlrd:rvb i="3878"/>
        </ext>
      </extLst>
    </bk>
    <bk>
      <extLst>
        <ext uri="{3e2802c4-a4d2-4d8b-9148-e3be6c30e623}">
          <xlrd:rvb i="3879"/>
        </ext>
      </extLst>
    </bk>
    <bk>
      <extLst>
        <ext uri="{3e2802c4-a4d2-4d8b-9148-e3be6c30e623}">
          <xlrd:rvb i="3880"/>
        </ext>
      </extLst>
    </bk>
    <bk>
      <extLst>
        <ext uri="{3e2802c4-a4d2-4d8b-9148-e3be6c30e623}">
          <xlrd:rvb i="3881"/>
        </ext>
      </extLst>
    </bk>
    <bk>
      <extLst>
        <ext uri="{3e2802c4-a4d2-4d8b-9148-e3be6c30e623}">
          <xlrd:rvb i="3882"/>
        </ext>
      </extLst>
    </bk>
    <bk>
      <extLst>
        <ext uri="{3e2802c4-a4d2-4d8b-9148-e3be6c30e623}">
          <xlrd:rvb i="3883"/>
        </ext>
      </extLst>
    </bk>
    <bk>
      <extLst>
        <ext uri="{3e2802c4-a4d2-4d8b-9148-e3be6c30e623}">
          <xlrd:rvb i="3884"/>
        </ext>
      </extLst>
    </bk>
    <bk>
      <extLst>
        <ext uri="{3e2802c4-a4d2-4d8b-9148-e3be6c30e623}">
          <xlrd:rvb i="3885"/>
        </ext>
      </extLst>
    </bk>
    <bk>
      <extLst>
        <ext uri="{3e2802c4-a4d2-4d8b-9148-e3be6c30e623}">
          <xlrd:rvb i="3886"/>
        </ext>
      </extLst>
    </bk>
    <bk>
      <extLst>
        <ext uri="{3e2802c4-a4d2-4d8b-9148-e3be6c30e623}">
          <xlrd:rvb i="3887"/>
        </ext>
      </extLst>
    </bk>
    <bk>
      <extLst>
        <ext uri="{3e2802c4-a4d2-4d8b-9148-e3be6c30e623}">
          <xlrd:rvb i="3888"/>
        </ext>
      </extLst>
    </bk>
    <bk>
      <extLst>
        <ext uri="{3e2802c4-a4d2-4d8b-9148-e3be6c30e623}">
          <xlrd:rvb i="3889"/>
        </ext>
      </extLst>
    </bk>
    <bk>
      <extLst>
        <ext uri="{3e2802c4-a4d2-4d8b-9148-e3be6c30e623}">
          <xlrd:rvb i="3890"/>
        </ext>
      </extLst>
    </bk>
    <bk>
      <extLst>
        <ext uri="{3e2802c4-a4d2-4d8b-9148-e3be6c30e623}">
          <xlrd:rvb i="3891"/>
        </ext>
      </extLst>
    </bk>
    <bk>
      <extLst>
        <ext uri="{3e2802c4-a4d2-4d8b-9148-e3be6c30e623}">
          <xlrd:rvb i="3892"/>
        </ext>
      </extLst>
    </bk>
    <bk>
      <extLst>
        <ext uri="{3e2802c4-a4d2-4d8b-9148-e3be6c30e623}">
          <xlrd:rvb i="3893"/>
        </ext>
      </extLst>
    </bk>
    <bk>
      <extLst>
        <ext uri="{3e2802c4-a4d2-4d8b-9148-e3be6c30e623}">
          <xlrd:rvb i="3894"/>
        </ext>
      </extLst>
    </bk>
    <bk>
      <extLst>
        <ext uri="{3e2802c4-a4d2-4d8b-9148-e3be6c30e623}">
          <xlrd:rvb i="3895"/>
        </ext>
      </extLst>
    </bk>
    <bk>
      <extLst>
        <ext uri="{3e2802c4-a4d2-4d8b-9148-e3be6c30e623}">
          <xlrd:rvb i="3896"/>
        </ext>
      </extLst>
    </bk>
    <bk>
      <extLst>
        <ext uri="{3e2802c4-a4d2-4d8b-9148-e3be6c30e623}">
          <xlrd:rvb i="3897"/>
        </ext>
      </extLst>
    </bk>
    <bk>
      <extLst>
        <ext uri="{3e2802c4-a4d2-4d8b-9148-e3be6c30e623}">
          <xlrd:rvb i="3898"/>
        </ext>
      </extLst>
    </bk>
    <bk>
      <extLst>
        <ext uri="{3e2802c4-a4d2-4d8b-9148-e3be6c30e623}">
          <xlrd:rvb i="3899"/>
        </ext>
      </extLst>
    </bk>
    <bk>
      <extLst>
        <ext uri="{3e2802c4-a4d2-4d8b-9148-e3be6c30e623}">
          <xlrd:rvb i="3900"/>
        </ext>
      </extLst>
    </bk>
    <bk>
      <extLst>
        <ext uri="{3e2802c4-a4d2-4d8b-9148-e3be6c30e623}">
          <xlrd:rvb i="3901"/>
        </ext>
      </extLst>
    </bk>
    <bk>
      <extLst>
        <ext uri="{3e2802c4-a4d2-4d8b-9148-e3be6c30e623}">
          <xlrd:rvb i="3902"/>
        </ext>
      </extLst>
    </bk>
    <bk>
      <extLst>
        <ext uri="{3e2802c4-a4d2-4d8b-9148-e3be6c30e623}">
          <xlrd:rvb i="3903"/>
        </ext>
      </extLst>
    </bk>
    <bk>
      <extLst>
        <ext uri="{3e2802c4-a4d2-4d8b-9148-e3be6c30e623}">
          <xlrd:rvb i="3904"/>
        </ext>
      </extLst>
    </bk>
    <bk>
      <extLst>
        <ext uri="{3e2802c4-a4d2-4d8b-9148-e3be6c30e623}">
          <xlrd:rvb i="3905"/>
        </ext>
      </extLst>
    </bk>
    <bk>
      <extLst>
        <ext uri="{3e2802c4-a4d2-4d8b-9148-e3be6c30e623}">
          <xlrd:rvb i="3906"/>
        </ext>
      </extLst>
    </bk>
    <bk>
      <extLst>
        <ext uri="{3e2802c4-a4d2-4d8b-9148-e3be6c30e623}">
          <xlrd:rvb i="3907"/>
        </ext>
      </extLst>
    </bk>
    <bk>
      <extLst>
        <ext uri="{3e2802c4-a4d2-4d8b-9148-e3be6c30e623}">
          <xlrd:rvb i="3908"/>
        </ext>
      </extLst>
    </bk>
    <bk>
      <extLst>
        <ext uri="{3e2802c4-a4d2-4d8b-9148-e3be6c30e623}">
          <xlrd:rvb i="3909"/>
        </ext>
      </extLst>
    </bk>
    <bk>
      <extLst>
        <ext uri="{3e2802c4-a4d2-4d8b-9148-e3be6c30e623}">
          <xlrd:rvb i="3910"/>
        </ext>
      </extLst>
    </bk>
    <bk>
      <extLst>
        <ext uri="{3e2802c4-a4d2-4d8b-9148-e3be6c30e623}">
          <xlrd:rvb i="3911"/>
        </ext>
      </extLst>
    </bk>
    <bk>
      <extLst>
        <ext uri="{3e2802c4-a4d2-4d8b-9148-e3be6c30e623}">
          <xlrd:rvb i="3912"/>
        </ext>
      </extLst>
    </bk>
    <bk>
      <extLst>
        <ext uri="{3e2802c4-a4d2-4d8b-9148-e3be6c30e623}">
          <xlrd:rvb i="3913"/>
        </ext>
      </extLst>
    </bk>
    <bk>
      <extLst>
        <ext uri="{3e2802c4-a4d2-4d8b-9148-e3be6c30e623}">
          <xlrd:rvb i="3914"/>
        </ext>
      </extLst>
    </bk>
    <bk>
      <extLst>
        <ext uri="{3e2802c4-a4d2-4d8b-9148-e3be6c30e623}">
          <xlrd:rvb i="3915"/>
        </ext>
      </extLst>
    </bk>
    <bk>
      <extLst>
        <ext uri="{3e2802c4-a4d2-4d8b-9148-e3be6c30e623}">
          <xlrd:rvb i="3916"/>
        </ext>
      </extLst>
    </bk>
    <bk>
      <extLst>
        <ext uri="{3e2802c4-a4d2-4d8b-9148-e3be6c30e623}">
          <xlrd:rvb i="3917"/>
        </ext>
      </extLst>
    </bk>
    <bk>
      <extLst>
        <ext uri="{3e2802c4-a4d2-4d8b-9148-e3be6c30e623}">
          <xlrd:rvb i="3918"/>
        </ext>
      </extLst>
    </bk>
    <bk>
      <extLst>
        <ext uri="{3e2802c4-a4d2-4d8b-9148-e3be6c30e623}">
          <xlrd:rvb i="3919"/>
        </ext>
      </extLst>
    </bk>
    <bk>
      <extLst>
        <ext uri="{3e2802c4-a4d2-4d8b-9148-e3be6c30e623}">
          <xlrd:rvb i="3920"/>
        </ext>
      </extLst>
    </bk>
    <bk>
      <extLst>
        <ext uri="{3e2802c4-a4d2-4d8b-9148-e3be6c30e623}">
          <xlrd:rvb i="3921"/>
        </ext>
      </extLst>
    </bk>
    <bk>
      <extLst>
        <ext uri="{3e2802c4-a4d2-4d8b-9148-e3be6c30e623}">
          <xlrd:rvb i="3922"/>
        </ext>
      </extLst>
    </bk>
    <bk>
      <extLst>
        <ext uri="{3e2802c4-a4d2-4d8b-9148-e3be6c30e623}">
          <xlrd:rvb i="3923"/>
        </ext>
      </extLst>
    </bk>
    <bk>
      <extLst>
        <ext uri="{3e2802c4-a4d2-4d8b-9148-e3be6c30e623}">
          <xlrd:rvb i="3924"/>
        </ext>
      </extLst>
    </bk>
    <bk>
      <extLst>
        <ext uri="{3e2802c4-a4d2-4d8b-9148-e3be6c30e623}">
          <xlrd:rvb i="3925"/>
        </ext>
      </extLst>
    </bk>
    <bk>
      <extLst>
        <ext uri="{3e2802c4-a4d2-4d8b-9148-e3be6c30e623}">
          <xlrd:rvb i="3926"/>
        </ext>
      </extLst>
    </bk>
    <bk>
      <extLst>
        <ext uri="{3e2802c4-a4d2-4d8b-9148-e3be6c30e623}">
          <xlrd:rvb i="3927"/>
        </ext>
      </extLst>
    </bk>
    <bk>
      <extLst>
        <ext uri="{3e2802c4-a4d2-4d8b-9148-e3be6c30e623}">
          <xlrd:rvb i="3928"/>
        </ext>
      </extLst>
    </bk>
    <bk>
      <extLst>
        <ext uri="{3e2802c4-a4d2-4d8b-9148-e3be6c30e623}">
          <xlrd:rvb i="3929"/>
        </ext>
      </extLst>
    </bk>
    <bk>
      <extLst>
        <ext uri="{3e2802c4-a4d2-4d8b-9148-e3be6c30e623}">
          <xlrd:rvb i="3930"/>
        </ext>
      </extLst>
    </bk>
    <bk>
      <extLst>
        <ext uri="{3e2802c4-a4d2-4d8b-9148-e3be6c30e623}">
          <xlrd:rvb i="3931"/>
        </ext>
      </extLst>
    </bk>
    <bk>
      <extLst>
        <ext uri="{3e2802c4-a4d2-4d8b-9148-e3be6c30e623}">
          <xlrd:rvb i="3932"/>
        </ext>
      </extLst>
    </bk>
    <bk>
      <extLst>
        <ext uri="{3e2802c4-a4d2-4d8b-9148-e3be6c30e623}">
          <xlrd:rvb i="3933"/>
        </ext>
      </extLst>
    </bk>
    <bk>
      <extLst>
        <ext uri="{3e2802c4-a4d2-4d8b-9148-e3be6c30e623}">
          <xlrd:rvb i="3934"/>
        </ext>
      </extLst>
    </bk>
    <bk>
      <extLst>
        <ext uri="{3e2802c4-a4d2-4d8b-9148-e3be6c30e623}">
          <xlrd:rvb i="3935"/>
        </ext>
      </extLst>
    </bk>
    <bk>
      <extLst>
        <ext uri="{3e2802c4-a4d2-4d8b-9148-e3be6c30e623}">
          <xlrd:rvb i="3936"/>
        </ext>
      </extLst>
    </bk>
    <bk>
      <extLst>
        <ext uri="{3e2802c4-a4d2-4d8b-9148-e3be6c30e623}">
          <xlrd:rvb i="3937"/>
        </ext>
      </extLst>
    </bk>
    <bk>
      <extLst>
        <ext uri="{3e2802c4-a4d2-4d8b-9148-e3be6c30e623}">
          <xlrd:rvb i="3938"/>
        </ext>
      </extLst>
    </bk>
    <bk>
      <extLst>
        <ext uri="{3e2802c4-a4d2-4d8b-9148-e3be6c30e623}">
          <xlrd:rvb i="3939"/>
        </ext>
      </extLst>
    </bk>
    <bk>
      <extLst>
        <ext uri="{3e2802c4-a4d2-4d8b-9148-e3be6c30e623}">
          <xlrd:rvb i="3940"/>
        </ext>
      </extLst>
    </bk>
    <bk>
      <extLst>
        <ext uri="{3e2802c4-a4d2-4d8b-9148-e3be6c30e623}">
          <xlrd:rvb i="3941"/>
        </ext>
      </extLst>
    </bk>
    <bk>
      <extLst>
        <ext uri="{3e2802c4-a4d2-4d8b-9148-e3be6c30e623}">
          <xlrd:rvb i="3942"/>
        </ext>
      </extLst>
    </bk>
    <bk>
      <extLst>
        <ext uri="{3e2802c4-a4d2-4d8b-9148-e3be6c30e623}">
          <xlrd:rvb i="3943"/>
        </ext>
      </extLst>
    </bk>
    <bk>
      <extLst>
        <ext uri="{3e2802c4-a4d2-4d8b-9148-e3be6c30e623}">
          <xlrd:rvb i="3944"/>
        </ext>
      </extLst>
    </bk>
    <bk>
      <extLst>
        <ext uri="{3e2802c4-a4d2-4d8b-9148-e3be6c30e623}">
          <xlrd:rvb i="3945"/>
        </ext>
      </extLst>
    </bk>
    <bk>
      <extLst>
        <ext uri="{3e2802c4-a4d2-4d8b-9148-e3be6c30e623}">
          <xlrd:rvb i="3946"/>
        </ext>
      </extLst>
    </bk>
    <bk>
      <extLst>
        <ext uri="{3e2802c4-a4d2-4d8b-9148-e3be6c30e623}">
          <xlrd:rvb i="3947"/>
        </ext>
      </extLst>
    </bk>
    <bk>
      <extLst>
        <ext uri="{3e2802c4-a4d2-4d8b-9148-e3be6c30e623}">
          <xlrd:rvb i="3948"/>
        </ext>
      </extLst>
    </bk>
    <bk>
      <extLst>
        <ext uri="{3e2802c4-a4d2-4d8b-9148-e3be6c30e623}">
          <xlrd:rvb i="3949"/>
        </ext>
      </extLst>
    </bk>
    <bk>
      <extLst>
        <ext uri="{3e2802c4-a4d2-4d8b-9148-e3be6c30e623}">
          <xlrd:rvb i="3950"/>
        </ext>
      </extLst>
    </bk>
    <bk>
      <extLst>
        <ext uri="{3e2802c4-a4d2-4d8b-9148-e3be6c30e623}">
          <xlrd:rvb i="3951"/>
        </ext>
      </extLst>
    </bk>
    <bk>
      <extLst>
        <ext uri="{3e2802c4-a4d2-4d8b-9148-e3be6c30e623}">
          <xlrd:rvb i="3952"/>
        </ext>
      </extLst>
    </bk>
    <bk>
      <extLst>
        <ext uri="{3e2802c4-a4d2-4d8b-9148-e3be6c30e623}">
          <xlrd:rvb i="3953"/>
        </ext>
      </extLst>
    </bk>
    <bk>
      <extLst>
        <ext uri="{3e2802c4-a4d2-4d8b-9148-e3be6c30e623}">
          <xlrd:rvb i="3954"/>
        </ext>
      </extLst>
    </bk>
    <bk>
      <extLst>
        <ext uri="{3e2802c4-a4d2-4d8b-9148-e3be6c30e623}">
          <xlrd:rvb i="3955"/>
        </ext>
      </extLst>
    </bk>
    <bk>
      <extLst>
        <ext uri="{3e2802c4-a4d2-4d8b-9148-e3be6c30e623}">
          <xlrd:rvb i="3956"/>
        </ext>
      </extLst>
    </bk>
    <bk>
      <extLst>
        <ext uri="{3e2802c4-a4d2-4d8b-9148-e3be6c30e623}">
          <xlrd:rvb i="3957"/>
        </ext>
      </extLst>
    </bk>
    <bk>
      <extLst>
        <ext uri="{3e2802c4-a4d2-4d8b-9148-e3be6c30e623}">
          <xlrd:rvb i="3958"/>
        </ext>
      </extLst>
    </bk>
    <bk>
      <extLst>
        <ext uri="{3e2802c4-a4d2-4d8b-9148-e3be6c30e623}">
          <xlrd:rvb i="3959"/>
        </ext>
      </extLst>
    </bk>
    <bk>
      <extLst>
        <ext uri="{3e2802c4-a4d2-4d8b-9148-e3be6c30e623}">
          <xlrd:rvb i="3960"/>
        </ext>
      </extLst>
    </bk>
    <bk>
      <extLst>
        <ext uri="{3e2802c4-a4d2-4d8b-9148-e3be6c30e623}">
          <xlrd:rvb i="3961"/>
        </ext>
      </extLst>
    </bk>
    <bk>
      <extLst>
        <ext uri="{3e2802c4-a4d2-4d8b-9148-e3be6c30e623}">
          <xlrd:rvb i="3962"/>
        </ext>
      </extLst>
    </bk>
    <bk>
      <extLst>
        <ext uri="{3e2802c4-a4d2-4d8b-9148-e3be6c30e623}">
          <xlrd:rvb i="3963"/>
        </ext>
      </extLst>
    </bk>
    <bk>
      <extLst>
        <ext uri="{3e2802c4-a4d2-4d8b-9148-e3be6c30e623}">
          <xlrd:rvb i="3964"/>
        </ext>
      </extLst>
    </bk>
    <bk>
      <extLst>
        <ext uri="{3e2802c4-a4d2-4d8b-9148-e3be6c30e623}">
          <xlrd:rvb i="3965"/>
        </ext>
      </extLst>
    </bk>
    <bk>
      <extLst>
        <ext uri="{3e2802c4-a4d2-4d8b-9148-e3be6c30e623}">
          <xlrd:rvb i="3966"/>
        </ext>
      </extLst>
    </bk>
    <bk>
      <extLst>
        <ext uri="{3e2802c4-a4d2-4d8b-9148-e3be6c30e623}">
          <xlrd:rvb i="3967"/>
        </ext>
      </extLst>
    </bk>
    <bk>
      <extLst>
        <ext uri="{3e2802c4-a4d2-4d8b-9148-e3be6c30e623}">
          <xlrd:rvb i="3968"/>
        </ext>
      </extLst>
    </bk>
    <bk>
      <extLst>
        <ext uri="{3e2802c4-a4d2-4d8b-9148-e3be6c30e623}">
          <xlrd:rvb i="3969"/>
        </ext>
      </extLst>
    </bk>
    <bk>
      <extLst>
        <ext uri="{3e2802c4-a4d2-4d8b-9148-e3be6c30e623}">
          <xlrd:rvb i="3970"/>
        </ext>
      </extLst>
    </bk>
    <bk>
      <extLst>
        <ext uri="{3e2802c4-a4d2-4d8b-9148-e3be6c30e623}">
          <xlrd:rvb i="3971"/>
        </ext>
      </extLst>
    </bk>
    <bk>
      <extLst>
        <ext uri="{3e2802c4-a4d2-4d8b-9148-e3be6c30e623}">
          <xlrd:rvb i="3972"/>
        </ext>
      </extLst>
    </bk>
    <bk>
      <extLst>
        <ext uri="{3e2802c4-a4d2-4d8b-9148-e3be6c30e623}">
          <xlrd:rvb i="3973"/>
        </ext>
      </extLst>
    </bk>
    <bk>
      <extLst>
        <ext uri="{3e2802c4-a4d2-4d8b-9148-e3be6c30e623}">
          <xlrd:rvb i="3974"/>
        </ext>
      </extLst>
    </bk>
    <bk>
      <extLst>
        <ext uri="{3e2802c4-a4d2-4d8b-9148-e3be6c30e623}">
          <xlrd:rvb i="3975"/>
        </ext>
      </extLst>
    </bk>
    <bk>
      <extLst>
        <ext uri="{3e2802c4-a4d2-4d8b-9148-e3be6c30e623}">
          <xlrd:rvb i="3976"/>
        </ext>
      </extLst>
    </bk>
    <bk>
      <extLst>
        <ext uri="{3e2802c4-a4d2-4d8b-9148-e3be6c30e623}">
          <xlrd:rvb i="3977"/>
        </ext>
      </extLst>
    </bk>
    <bk>
      <extLst>
        <ext uri="{3e2802c4-a4d2-4d8b-9148-e3be6c30e623}">
          <xlrd:rvb i="3978"/>
        </ext>
      </extLst>
    </bk>
    <bk>
      <extLst>
        <ext uri="{3e2802c4-a4d2-4d8b-9148-e3be6c30e623}">
          <xlrd:rvb i="3979"/>
        </ext>
      </extLst>
    </bk>
    <bk>
      <extLst>
        <ext uri="{3e2802c4-a4d2-4d8b-9148-e3be6c30e623}">
          <xlrd:rvb i="3980"/>
        </ext>
      </extLst>
    </bk>
    <bk>
      <extLst>
        <ext uri="{3e2802c4-a4d2-4d8b-9148-e3be6c30e623}">
          <xlrd:rvb i="3981"/>
        </ext>
      </extLst>
    </bk>
    <bk>
      <extLst>
        <ext uri="{3e2802c4-a4d2-4d8b-9148-e3be6c30e623}">
          <xlrd:rvb i="3982"/>
        </ext>
      </extLst>
    </bk>
    <bk>
      <extLst>
        <ext uri="{3e2802c4-a4d2-4d8b-9148-e3be6c30e623}">
          <xlrd:rvb i="3983"/>
        </ext>
      </extLst>
    </bk>
    <bk>
      <extLst>
        <ext uri="{3e2802c4-a4d2-4d8b-9148-e3be6c30e623}">
          <xlrd:rvb i="3984"/>
        </ext>
      </extLst>
    </bk>
    <bk>
      <extLst>
        <ext uri="{3e2802c4-a4d2-4d8b-9148-e3be6c30e623}">
          <xlrd:rvb i="3985"/>
        </ext>
      </extLst>
    </bk>
    <bk>
      <extLst>
        <ext uri="{3e2802c4-a4d2-4d8b-9148-e3be6c30e623}">
          <xlrd:rvb i="3986"/>
        </ext>
      </extLst>
    </bk>
    <bk>
      <extLst>
        <ext uri="{3e2802c4-a4d2-4d8b-9148-e3be6c30e623}">
          <xlrd:rvb i="3987"/>
        </ext>
      </extLst>
    </bk>
    <bk>
      <extLst>
        <ext uri="{3e2802c4-a4d2-4d8b-9148-e3be6c30e623}">
          <xlrd:rvb i="3988"/>
        </ext>
      </extLst>
    </bk>
    <bk>
      <extLst>
        <ext uri="{3e2802c4-a4d2-4d8b-9148-e3be6c30e623}">
          <xlrd:rvb i="3989"/>
        </ext>
      </extLst>
    </bk>
    <bk>
      <extLst>
        <ext uri="{3e2802c4-a4d2-4d8b-9148-e3be6c30e623}">
          <xlrd:rvb i="3990"/>
        </ext>
      </extLst>
    </bk>
    <bk>
      <extLst>
        <ext uri="{3e2802c4-a4d2-4d8b-9148-e3be6c30e623}">
          <xlrd:rvb i="3991"/>
        </ext>
      </extLst>
    </bk>
    <bk>
      <extLst>
        <ext uri="{3e2802c4-a4d2-4d8b-9148-e3be6c30e623}">
          <xlrd:rvb i="3992"/>
        </ext>
      </extLst>
    </bk>
    <bk>
      <extLst>
        <ext uri="{3e2802c4-a4d2-4d8b-9148-e3be6c30e623}">
          <xlrd:rvb i="3993"/>
        </ext>
      </extLst>
    </bk>
    <bk>
      <extLst>
        <ext uri="{3e2802c4-a4d2-4d8b-9148-e3be6c30e623}">
          <xlrd:rvb i="3994"/>
        </ext>
      </extLst>
    </bk>
    <bk>
      <extLst>
        <ext uri="{3e2802c4-a4d2-4d8b-9148-e3be6c30e623}">
          <xlrd:rvb i="3995"/>
        </ext>
      </extLst>
    </bk>
    <bk>
      <extLst>
        <ext uri="{3e2802c4-a4d2-4d8b-9148-e3be6c30e623}">
          <xlrd:rvb i="3996"/>
        </ext>
      </extLst>
    </bk>
    <bk>
      <extLst>
        <ext uri="{3e2802c4-a4d2-4d8b-9148-e3be6c30e623}">
          <xlrd:rvb i="3997"/>
        </ext>
      </extLst>
    </bk>
    <bk>
      <extLst>
        <ext uri="{3e2802c4-a4d2-4d8b-9148-e3be6c30e623}">
          <xlrd:rvb i="3998"/>
        </ext>
      </extLst>
    </bk>
    <bk>
      <extLst>
        <ext uri="{3e2802c4-a4d2-4d8b-9148-e3be6c30e623}">
          <xlrd:rvb i="3999"/>
        </ext>
      </extLst>
    </bk>
    <bk>
      <extLst>
        <ext uri="{3e2802c4-a4d2-4d8b-9148-e3be6c30e623}">
          <xlrd:rvb i="4000"/>
        </ext>
      </extLst>
    </bk>
    <bk>
      <extLst>
        <ext uri="{3e2802c4-a4d2-4d8b-9148-e3be6c30e623}">
          <xlrd:rvb i="4001"/>
        </ext>
      </extLst>
    </bk>
    <bk>
      <extLst>
        <ext uri="{3e2802c4-a4d2-4d8b-9148-e3be6c30e623}">
          <xlrd:rvb i="4002"/>
        </ext>
      </extLst>
    </bk>
    <bk>
      <extLst>
        <ext uri="{3e2802c4-a4d2-4d8b-9148-e3be6c30e623}">
          <xlrd:rvb i="4003"/>
        </ext>
      </extLst>
    </bk>
    <bk>
      <extLst>
        <ext uri="{3e2802c4-a4d2-4d8b-9148-e3be6c30e623}">
          <xlrd:rvb i="4004"/>
        </ext>
      </extLst>
    </bk>
    <bk>
      <extLst>
        <ext uri="{3e2802c4-a4d2-4d8b-9148-e3be6c30e623}">
          <xlrd:rvb i="4005"/>
        </ext>
      </extLst>
    </bk>
    <bk>
      <extLst>
        <ext uri="{3e2802c4-a4d2-4d8b-9148-e3be6c30e623}">
          <xlrd:rvb i="4006"/>
        </ext>
      </extLst>
    </bk>
    <bk>
      <extLst>
        <ext uri="{3e2802c4-a4d2-4d8b-9148-e3be6c30e623}">
          <xlrd:rvb i="4007"/>
        </ext>
      </extLst>
    </bk>
    <bk>
      <extLst>
        <ext uri="{3e2802c4-a4d2-4d8b-9148-e3be6c30e623}">
          <xlrd:rvb i="4008"/>
        </ext>
      </extLst>
    </bk>
    <bk>
      <extLst>
        <ext uri="{3e2802c4-a4d2-4d8b-9148-e3be6c30e623}">
          <xlrd:rvb i="4009"/>
        </ext>
      </extLst>
    </bk>
    <bk>
      <extLst>
        <ext uri="{3e2802c4-a4d2-4d8b-9148-e3be6c30e623}">
          <xlrd:rvb i="4010"/>
        </ext>
      </extLst>
    </bk>
    <bk>
      <extLst>
        <ext uri="{3e2802c4-a4d2-4d8b-9148-e3be6c30e623}">
          <xlrd:rvb i="4011"/>
        </ext>
      </extLst>
    </bk>
    <bk>
      <extLst>
        <ext uri="{3e2802c4-a4d2-4d8b-9148-e3be6c30e623}">
          <xlrd:rvb i="4012"/>
        </ext>
      </extLst>
    </bk>
    <bk>
      <extLst>
        <ext uri="{3e2802c4-a4d2-4d8b-9148-e3be6c30e623}">
          <xlrd:rvb i="4013"/>
        </ext>
      </extLst>
    </bk>
    <bk>
      <extLst>
        <ext uri="{3e2802c4-a4d2-4d8b-9148-e3be6c30e623}">
          <xlrd:rvb i="4014"/>
        </ext>
      </extLst>
    </bk>
    <bk>
      <extLst>
        <ext uri="{3e2802c4-a4d2-4d8b-9148-e3be6c30e623}">
          <xlrd:rvb i="4015"/>
        </ext>
      </extLst>
    </bk>
    <bk>
      <extLst>
        <ext uri="{3e2802c4-a4d2-4d8b-9148-e3be6c30e623}">
          <xlrd:rvb i="4016"/>
        </ext>
      </extLst>
    </bk>
    <bk>
      <extLst>
        <ext uri="{3e2802c4-a4d2-4d8b-9148-e3be6c30e623}">
          <xlrd:rvb i="4017"/>
        </ext>
      </extLst>
    </bk>
    <bk>
      <extLst>
        <ext uri="{3e2802c4-a4d2-4d8b-9148-e3be6c30e623}">
          <xlrd:rvb i="4018"/>
        </ext>
      </extLst>
    </bk>
    <bk>
      <extLst>
        <ext uri="{3e2802c4-a4d2-4d8b-9148-e3be6c30e623}">
          <xlrd:rvb i="4019"/>
        </ext>
      </extLst>
    </bk>
    <bk>
      <extLst>
        <ext uri="{3e2802c4-a4d2-4d8b-9148-e3be6c30e623}">
          <xlrd:rvb i="4020"/>
        </ext>
      </extLst>
    </bk>
    <bk>
      <extLst>
        <ext uri="{3e2802c4-a4d2-4d8b-9148-e3be6c30e623}">
          <xlrd:rvb i="4021"/>
        </ext>
      </extLst>
    </bk>
    <bk>
      <extLst>
        <ext uri="{3e2802c4-a4d2-4d8b-9148-e3be6c30e623}">
          <xlrd:rvb i="4022"/>
        </ext>
      </extLst>
    </bk>
    <bk>
      <extLst>
        <ext uri="{3e2802c4-a4d2-4d8b-9148-e3be6c30e623}">
          <xlrd:rvb i="4023"/>
        </ext>
      </extLst>
    </bk>
    <bk>
      <extLst>
        <ext uri="{3e2802c4-a4d2-4d8b-9148-e3be6c30e623}">
          <xlrd:rvb i="4024"/>
        </ext>
      </extLst>
    </bk>
    <bk>
      <extLst>
        <ext uri="{3e2802c4-a4d2-4d8b-9148-e3be6c30e623}">
          <xlrd:rvb i="4025"/>
        </ext>
      </extLst>
    </bk>
    <bk>
      <extLst>
        <ext uri="{3e2802c4-a4d2-4d8b-9148-e3be6c30e623}">
          <xlrd:rvb i="4026"/>
        </ext>
      </extLst>
    </bk>
    <bk>
      <extLst>
        <ext uri="{3e2802c4-a4d2-4d8b-9148-e3be6c30e623}">
          <xlrd:rvb i="4027"/>
        </ext>
      </extLst>
    </bk>
    <bk>
      <extLst>
        <ext uri="{3e2802c4-a4d2-4d8b-9148-e3be6c30e623}">
          <xlrd:rvb i="4028"/>
        </ext>
      </extLst>
    </bk>
    <bk>
      <extLst>
        <ext uri="{3e2802c4-a4d2-4d8b-9148-e3be6c30e623}">
          <xlrd:rvb i="4029"/>
        </ext>
      </extLst>
    </bk>
    <bk>
      <extLst>
        <ext uri="{3e2802c4-a4d2-4d8b-9148-e3be6c30e623}">
          <xlrd:rvb i="4030"/>
        </ext>
      </extLst>
    </bk>
    <bk>
      <extLst>
        <ext uri="{3e2802c4-a4d2-4d8b-9148-e3be6c30e623}">
          <xlrd:rvb i="4031"/>
        </ext>
      </extLst>
    </bk>
    <bk>
      <extLst>
        <ext uri="{3e2802c4-a4d2-4d8b-9148-e3be6c30e623}">
          <xlrd:rvb i="4032"/>
        </ext>
      </extLst>
    </bk>
    <bk>
      <extLst>
        <ext uri="{3e2802c4-a4d2-4d8b-9148-e3be6c30e623}">
          <xlrd:rvb i="4033"/>
        </ext>
      </extLst>
    </bk>
    <bk>
      <extLst>
        <ext uri="{3e2802c4-a4d2-4d8b-9148-e3be6c30e623}">
          <xlrd:rvb i="4034"/>
        </ext>
      </extLst>
    </bk>
    <bk>
      <extLst>
        <ext uri="{3e2802c4-a4d2-4d8b-9148-e3be6c30e623}">
          <xlrd:rvb i="4035"/>
        </ext>
      </extLst>
    </bk>
    <bk>
      <extLst>
        <ext uri="{3e2802c4-a4d2-4d8b-9148-e3be6c30e623}">
          <xlrd:rvb i="4036"/>
        </ext>
      </extLst>
    </bk>
    <bk>
      <extLst>
        <ext uri="{3e2802c4-a4d2-4d8b-9148-e3be6c30e623}">
          <xlrd:rvb i="4037"/>
        </ext>
      </extLst>
    </bk>
    <bk>
      <extLst>
        <ext uri="{3e2802c4-a4d2-4d8b-9148-e3be6c30e623}">
          <xlrd:rvb i="4038"/>
        </ext>
      </extLst>
    </bk>
    <bk>
      <extLst>
        <ext uri="{3e2802c4-a4d2-4d8b-9148-e3be6c30e623}">
          <xlrd:rvb i="4039"/>
        </ext>
      </extLst>
    </bk>
    <bk>
      <extLst>
        <ext uri="{3e2802c4-a4d2-4d8b-9148-e3be6c30e623}">
          <xlrd:rvb i="4040"/>
        </ext>
      </extLst>
    </bk>
    <bk>
      <extLst>
        <ext uri="{3e2802c4-a4d2-4d8b-9148-e3be6c30e623}">
          <xlrd:rvb i="4041"/>
        </ext>
      </extLst>
    </bk>
    <bk>
      <extLst>
        <ext uri="{3e2802c4-a4d2-4d8b-9148-e3be6c30e623}">
          <xlrd:rvb i="4042"/>
        </ext>
      </extLst>
    </bk>
    <bk>
      <extLst>
        <ext uri="{3e2802c4-a4d2-4d8b-9148-e3be6c30e623}">
          <xlrd:rvb i="4043"/>
        </ext>
      </extLst>
    </bk>
    <bk>
      <extLst>
        <ext uri="{3e2802c4-a4d2-4d8b-9148-e3be6c30e623}">
          <xlrd:rvb i="4044"/>
        </ext>
      </extLst>
    </bk>
    <bk>
      <extLst>
        <ext uri="{3e2802c4-a4d2-4d8b-9148-e3be6c30e623}">
          <xlrd:rvb i="4045"/>
        </ext>
      </extLst>
    </bk>
    <bk>
      <extLst>
        <ext uri="{3e2802c4-a4d2-4d8b-9148-e3be6c30e623}">
          <xlrd:rvb i="4046"/>
        </ext>
      </extLst>
    </bk>
    <bk>
      <extLst>
        <ext uri="{3e2802c4-a4d2-4d8b-9148-e3be6c30e623}">
          <xlrd:rvb i="4047"/>
        </ext>
      </extLst>
    </bk>
    <bk>
      <extLst>
        <ext uri="{3e2802c4-a4d2-4d8b-9148-e3be6c30e623}">
          <xlrd:rvb i="4048"/>
        </ext>
      </extLst>
    </bk>
    <bk>
      <extLst>
        <ext uri="{3e2802c4-a4d2-4d8b-9148-e3be6c30e623}">
          <xlrd:rvb i="4049"/>
        </ext>
      </extLst>
    </bk>
    <bk>
      <extLst>
        <ext uri="{3e2802c4-a4d2-4d8b-9148-e3be6c30e623}">
          <xlrd:rvb i="4050"/>
        </ext>
      </extLst>
    </bk>
    <bk>
      <extLst>
        <ext uri="{3e2802c4-a4d2-4d8b-9148-e3be6c30e623}">
          <xlrd:rvb i="4051"/>
        </ext>
      </extLst>
    </bk>
    <bk>
      <extLst>
        <ext uri="{3e2802c4-a4d2-4d8b-9148-e3be6c30e623}">
          <xlrd:rvb i="4052"/>
        </ext>
      </extLst>
    </bk>
    <bk>
      <extLst>
        <ext uri="{3e2802c4-a4d2-4d8b-9148-e3be6c30e623}">
          <xlrd:rvb i="4053"/>
        </ext>
      </extLst>
    </bk>
    <bk>
      <extLst>
        <ext uri="{3e2802c4-a4d2-4d8b-9148-e3be6c30e623}">
          <xlrd:rvb i="4054"/>
        </ext>
      </extLst>
    </bk>
    <bk>
      <extLst>
        <ext uri="{3e2802c4-a4d2-4d8b-9148-e3be6c30e623}">
          <xlrd:rvb i="4055"/>
        </ext>
      </extLst>
    </bk>
    <bk>
      <extLst>
        <ext uri="{3e2802c4-a4d2-4d8b-9148-e3be6c30e623}">
          <xlrd:rvb i="4056"/>
        </ext>
      </extLst>
    </bk>
    <bk>
      <extLst>
        <ext uri="{3e2802c4-a4d2-4d8b-9148-e3be6c30e623}">
          <xlrd:rvb i="4057"/>
        </ext>
      </extLst>
    </bk>
    <bk>
      <extLst>
        <ext uri="{3e2802c4-a4d2-4d8b-9148-e3be6c30e623}">
          <xlrd:rvb i="4058"/>
        </ext>
      </extLst>
    </bk>
    <bk>
      <extLst>
        <ext uri="{3e2802c4-a4d2-4d8b-9148-e3be6c30e623}">
          <xlrd:rvb i="4059"/>
        </ext>
      </extLst>
    </bk>
    <bk>
      <extLst>
        <ext uri="{3e2802c4-a4d2-4d8b-9148-e3be6c30e623}">
          <xlrd:rvb i="4060"/>
        </ext>
      </extLst>
    </bk>
    <bk>
      <extLst>
        <ext uri="{3e2802c4-a4d2-4d8b-9148-e3be6c30e623}">
          <xlrd:rvb i="4061"/>
        </ext>
      </extLst>
    </bk>
    <bk>
      <extLst>
        <ext uri="{3e2802c4-a4d2-4d8b-9148-e3be6c30e623}">
          <xlrd:rvb i="4062"/>
        </ext>
      </extLst>
    </bk>
    <bk>
      <extLst>
        <ext uri="{3e2802c4-a4d2-4d8b-9148-e3be6c30e623}">
          <xlrd:rvb i="4063"/>
        </ext>
      </extLst>
    </bk>
    <bk>
      <extLst>
        <ext uri="{3e2802c4-a4d2-4d8b-9148-e3be6c30e623}">
          <xlrd:rvb i="4064"/>
        </ext>
      </extLst>
    </bk>
    <bk>
      <extLst>
        <ext uri="{3e2802c4-a4d2-4d8b-9148-e3be6c30e623}">
          <xlrd:rvb i="4065"/>
        </ext>
      </extLst>
    </bk>
    <bk>
      <extLst>
        <ext uri="{3e2802c4-a4d2-4d8b-9148-e3be6c30e623}">
          <xlrd:rvb i="4066"/>
        </ext>
      </extLst>
    </bk>
    <bk>
      <extLst>
        <ext uri="{3e2802c4-a4d2-4d8b-9148-e3be6c30e623}">
          <xlrd:rvb i="4067"/>
        </ext>
      </extLst>
    </bk>
    <bk>
      <extLst>
        <ext uri="{3e2802c4-a4d2-4d8b-9148-e3be6c30e623}">
          <xlrd:rvb i="4068"/>
        </ext>
      </extLst>
    </bk>
    <bk>
      <extLst>
        <ext uri="{3e2802c4-a4d2-4d8b-9148-e3be6c30e623}">
          <xlrd:rvb i="4069"/>
        </ext>
      </extLst>
    </bk>
    <bk>
      <extLst>
        <ext uri="{3e2802c4-a4d2-4d8b-9148-e3be6c30e623}">
          <xlrd:rvb i="4070"/>
        </ext>
      </extLst>
    </bk>
    <bk>
      <extLst>
        <ext uri="{3e2802c4-a4d2-4d8b-9148-e3be6c30e623}">
          <xlrd:rvb i="4071"/>
        </ext>
      </extLst>
    </bk>
    <bk>
      <extLst>
        <ext uri="{3e2802c4-a4d2-4d8b-9148-e3be6c30e623}">
          <xlrd:rvb i="4072"/>
        </ext>
      </extLst>
    </bk>
    <bk>
      <extLst>
        <ext uri="{3e2802c4-a4d2-4d8b-9148-e3be6c30e623}">
          <xlrd:rvb i="4073"/>
        </ext>
      </extLst>
    </bk>
    <bk>
      <extLst>
        <ext uri="{3e2802c4-a4d2-4d8b-9148-e3be6c30e623}">
          <xlrd:rvb i="4074"/>
        </ext>
      </extLst>
    </bk>
    <bk>
      <extLst>
        <ext uri="{3e2802c4-a4d2-4d8b-9148-e3be6c30e623}">
          <xlrd:rvb i="4075"/>
        </ext>
      </extLst>
    </bk>
    <bk>
      <extLst>
        <ext uri="{3e2802c4-a4d2-4d8b-9148-e3be6c30e623}">
          <xlrd:rvb i="4076"/>
        </ext>
      </extLst>
    </bk>
    <bk>
      <extLst>
        <ext uri="{3e2802c4-a4d2-4d8b-9148-e3be6c30e623}">
          <xlrd:rvb i="4077"/>
        </ext>
      </extLst>
    </bk>
    <bk>
      <extLst>
        <ext uri="{3e2802c4-a4d2-4d8b-9148-e3be6c30e623}">
          <xlrd:rvb i="4078"/>
        </ext>
      </extLst>
    </bk>
    <bk>
      <extLst>
        <ext uri="{3e2802c4-a4d2-4d8b-9148-e3be6c30e623}">
          <xlrd:rvb i="4079"/>
        </ext>
      </extLst>
    </bk>
    <bk>
      <extLst>
        <ext uri="{3e2802c4-a4d2-4d8b-9148-e3be6c30e623}">
          <xlrd:rvb i="4080"/>
        </ext>
      </extLst>
    </bk>
    <bk>
      <extLst>
        <ext uri="{3e2802c4-a4d2-4d8b-9148-e3be6c30e623}">
          <xlrd:rvb i="4081"/>
        </ext>
      </extLst>
    </bk>
    <bk>
      <extLst>
        <ext uri="{3e2802c4-a4d2-4d8b-9148-e3be6c30e623}">
          <xlrd:rvb i="4082"/>
        </ext>
      </extLst>
    </bk>
    <bk>
      <extLst>
        <ext uri="{3e2802c4-a4d2-4d8b-9148-e3be6c30e623}">
          <xlrd:rvb i="4083"/>
        </ext>
      </extLst>
    </bk>
    <bk>
      <extLst>
        <ext uri="{3e2802c4-a4d2-4d8b-9148-e3be6c30e623}">
          <xlrd:rvb i="4084"/>
        </ext>
      </extLst>
    </bk>
    <bk>
      <extLst>
        <ext uri="{3e2802c4-a4d2-4d8b-9148-e3be6c30e623}">
          <xlrd:rvb i="4085"/>
        </ext>
      </extLst>
    </bk>
    <bk>
      <extLst>
        <ext uri="{3e2802c4-a4d2-4d8b-9148-e3be6c30e623}">
          <xlrd:rvb i="4086"/>
        </ext>
      </extLst>
    </bk>
    <bk>
      <extLst>
        <ext uri="{3e2802c4-a4d2-4d8b-9148-e3be6c30e623}">
          <xlrd:rvb i="4087"/>
        </ext>
      </extLst>
    </bk>
    <bk>
      <extLst>
        <ext uri="{3e2802c4-a4d2-4d8b-9148-e3be6c30e623}">
          <xlrd:rvb i="4088"/>
        </ext>
      </extLst>
    </bk>
    <bk>
      <extLst>
        <ext uri="{3e2802c4-a4d2-4d8b-9148-e3be6c30e623}">
          <xlrd:rvb i="4089"/>
        </ext>
      </extLst>
    </bk>
    <bk>
      <extLst>
        <ext uri="{3e2802c4-a4d2-4d8b-9148-e3be6c30e623}">
          <xlrd:rvb i="4090"/>
        </ext>
      </extLst>
    </bk>
    <bk>
      <extLst>
        <ext uri="{3e2802c4-a4d2-4d8b-9148-e3be6c30e623}">
          <xlrd:rvb i="4091"/>
        </ext>
      </extLst>
    </bk>
    <bk>
      <extLst>
        <ext uri="{3e2802c4-a4d2-4d8b-9148-e3be6c30e623}">
          <xlrd:rvb i="4092"/>
        </ext>
      </extLst>
    </bk>
    <bk>
      <extLst>
        <ext uri="{3e2802c4-a4d2-4d8b-9148-e3be6c30e623}">
          <xlrd:rvb i="4093"/>
        </ext>
      </extLst>
    </bk>
    <bk>
      <extLst>
        <ext uri="{3e2802c4-a4d2-4d8b-9148-e3be6c30e623}">
          <xlrd:rvb i="4094"/>
        </ext>
      </extLst>
    </bk>
    <bk>
      <extLst>
        <ext uri="{3e2802c4-a4d2-4d8b-9148-e3be6c30e623}">
          <xlrd:rvb i="4095"/>
        </ext>
      </extLst>
    </bk>
    <bk>
      <extLst>
        <ext uri="{3e2802c4-a4d2-4d8b-9148-e3be6c30e623}">
          <xlrd:rvb i="4096"/>
        </ext>
      </extLst>
    </bk>
    <bk>
      <extLst>
        <ext uri="{3e2802c4-a4d2-4d8b-9148-e3be6c30e623}">
          <xlrd:rvb i="4097"/>
        </ext>
      </extLst>
    </bk>
    <bk>
      <extLst>
        <ext uri="{3e2802c4-a4d2-4d8b-9148-e3be6c30e623}">
          <xlrd:rvb i="4098"/>
        </ext>
      </extLst>
    </bk>
    <bk>
      <extLst>
        <ext uri="{3e2802c4-a4d2-4d8b-9148-e3be6c30e623}">
          <xlrd:rvb i="4099"/>
        </ext>
      </extLst>
    </bk>
    <bk>
      <extLst>
        <ext uri="{3e2802c4-a4d2-4d8b-9148-e3be6c30e623}">
          <xlrd:rvb i="4100"/>
        </ext>
      </extLst>
    </bk>
    <bk>
      <extLst>
        <ext uri="{3e2802c4-a4d2-4d8b-9148-e3be6c30e623}">
          <xlrd:rvb i="4101"/>
        </ext>
      </extLst>
    </bk>
    <bk>
      <extLst>
        <ext uri="{3e2802c4-a4d2-4d8b-9148-e3be6c30e623}">
          <xlrd:rvb i="4102"/>
        </ext>
      </extLst>
    </bk>
    <bk>
      <extLst>
        <ext uri="{3e2802c4-a4d2-4d8b-9148-e3be6c30e623}">
          <xlrd:rvb i="4103"/>
        </ext>
      </extLst>
    </bk>
    <bk>
      <extLst>
        <ext uri="{3e2802c4-a4d2-4d8b-9148-e3be6c30e623}">
          <xlrd:rvb i="4104"/>
        </ext>
      </extLst>
    </bk>
    <bk>
      <extLst>
        <ext uri="{3e2802c4-a4d2-4d8b-9148-e3be6c30e623}">
          <xlrd:rvb i="4105"/>
        </ext>
      </extLst>
    </bk>
    <bk>
      <extLst>
        <ext uri="{3e2802c4-a4d2-4d8b-9148-e3be6c30e623}">
          <xlrd:rvb i="4106"/>
        </ext>
      </extLst>
    </bk>
    <bk>
      <extLst>
        <ext uri="{3e2802c4-a4d2-4d8b-9148-e3be6c30e623}">
          <xlrd:rvb i="4107"/>
        </ext>
      </extLst>
    </bk>
    <bk>
      <extLst>
        <ext uri="{3e2802c4-a4d2-4d8b-9148-e3be6c30e623}">
          <xlrd:rvb i="4108"/>
        </ext>
      </extLst>
    </bk>
    <bk>
      <extLst>
        <ext uri="{3e2802c4-a4d2-4d8b-9148-e3be6c30e623}">
          <xlrd:rvb i="4109"/>
        </ext>
      </extLst>
    </bk>
    <bk>
      <extLst>
        <ext uri="{3e2802c4-a4d2-4d8b-9148-e3be6c30e623}">
          <xlrd:rvb i="4110"/>
        </ext>
      </extLst>
    </bk>
    <bk>
      <extLst>
        <ext uri="{3e2802c4-a4d2-4d8b-9148-e3be6c30e623}">
          <xlrd:rvb i="4111"/>
        </ext>
      </extLst>
    </bk>
    <bk>
      <extLst>
        <ext uri="{3e2802c4-a4d2-4d8b-9148-e3be6c30e623}">
          <xlrd:rvb i="4112"/>
        </ext>
      </extLst>
    </bk>
    <bk>
      <extLst>
        <ext uri="{3e2802c4-a4d2-4d8b-9148-e3be6c30e623}">
          <xlrd:rvb i="4113"/>
        </ext>
      </extLst>
    </bk>
    <bk>
      <extLst>
        <ext uri="{3e2802c4-a4d2-4d8b-9148-e3be6c30e623}">
          <xlrd:rvb i="4114"/>
        </ext>
      </extLst>
    </bk>
    <bk>
      <extLst>
        <ext uri="{3e2802c4-a4d2-4d8b-9148-e3be6c30e623}">
          <xlrd:rvb i="4115"/>
        </ext>
      </extLst>
    </bk>
    <bk>
      <extLst>
        <ext uri="{3e2802c4-a4d2-4d8b-9148-e3be6c30e623}">
          <xlrd:rvb i="4116"/>
        </ext>
      </extLst>
    </bk>
    <bk>
      <extLst>
        <ext uri="{3e2802c4-a4d2-4d8b-9148-e3be6c30e623}">
          <xlrd:rvb i="4117"/>
        </ext>
      </extLst>
    </bk>
    <bk>
      <extLst>
        <ext uri="{3e2802c4-a4d2-4d8b-9148-e3be6c30e623}">
          <xlrd:rvb i="4118"/>
        </ext>
      </extLst>
    </bk>
    <bk>
      <extLst>
        <ext uri="{3e2802c4-a4d2-4d8b-9148-e3be6c30e623}">
          <xlrd:rvb i="4119"/>
        </ext>
      </extLst>
    </bk>
    <bk>
      <extLst>
        <ext uri="{3e2802c4-a4d2-4d8b-9148-e3be6c30e623}">
          <xlrd:rvb i="4120"/>
        </ext>
      </extLst>
    </bk>
    <bk>
      <extLst>
        <ext uri="{3e2802c4-a4d2-4d8b-9148-e3be6c30e623}">
          <xlrd:rvb i="4121"/>
        </ext>
      </extLst>
    </bk>
    <bk>
      <extLst>
        <ext uri="{3e2802c4-a4d2-4d8b-9148-e3be6c30e623}">
          <xlrd:rvb i="4122"/>
        </ext>
      </extLst>
    </bk>
    <bk>
      <extLst>
        <ext uri="{3e2802c4-a4d2-4d8b-9148-e3be6c30e623}">
          <xlrd:rvb i="4123"/>
        </ext>
      </extLst>
    </bk>
    <bk>
      <extLst>
        <ext uri="{3e2802c4-a4d2-4d8b-9148-e3be6c30e623}">
          <xlrd:rvb i="4124"/>
        </ext>
      </extLst>
    </bk>
    <bk>
      <extLst>
        <ext uri="{3e2802c4-a4d2-4d8b-9148-e3be6c30e623}">
          <xlrd:rvb i="4125"/>
        </ext>
      </extLst>
    </bk>
    <bk>
      <extLst>
        <ext uri="{3e2802c4-a4d2-4d8b-9148-e3be6c30e623}">
          <xlrd:rvb i="4126"/>
        </ext>
      </extLst>
    </bk>
    <bk>
      <extLst>
        <ext uri="{3e2802c4-a4d2-4d8b-9148-e3be6c30e623}">
          <xlrd:rvb i="4127"/>
        </ext>
      </extLst>
    </bk>
    <bk>
      <extLst>
        <ext uri="{3e2802c4-a4d2-4d8b-9148-e3be6c30e623}">
          <xlrd:rvb i="4128"/>
        </ext>
      </extLst>
    </bk>
    <bk>
      <extLst>
        <ext uri="{3e2802c4-a4d2-4d8b-9148-e3be6c30e623}">
          <xlrd:rvb i="4129"/>
        </ext>
      </extLst>
    </bk>
    <bk>
      <extLst>
        <ext uri="{3e2802c4-a4d2-4d8b-9148-e3be6c30e623}">
          <xlrd:rvb i="4130"/>
        </ext>
      </extLst>
    </bk>
    <bk>
      <extLst>
        <ext uri="{3e2802c4-a4d2-4d8b-9148-e3be6c30e623}">
          <xlrd:rvb i="4131"/>
        </ext>
      </extLst>
    </bk>
    <bk>
      <extLst>
        <ext uri="{3e2802c4-a4d2-4d8b-9148-e3be6c30e623}">
          <xlrd:rvb i="4132"/>
        </ext>
      </extLst>
    </bk>
    <bk>
      <extLst>
        <ext uri="{3e2802c4-a4d2-4d8b-9148-e3be6c30e623}">
          <xlrd:rvb i="4133"/>
        </ext>
      </extLst>
    </bk>
    <bk>
      <extLst>
        <ext uri="{3e2802c4-a4d2-4d8b-9148-e3be6c30e623}">
          <xlrd:rvb i="4134"/>
        </ext>
      </extLst>
    </bk>
    <bk>
      <extLst>
        <ext uri="{3e2802c4-a4d2-4d8b-9148-e3be6c30e623}">
          <xlrd:rvb i="4135"/>
        </ext>
      </extLst>
    </bk>
    <bk>
      <extLst>
        <ext uri="{3e2802c4-a4d2-4d8b-9148-e3be6c30e623}">
          <xlrd:rvb i="4136"/>
        </ext>
      </extLst>
    </bk>
    <bk>
      <extLst>
        <ext uri="{3e2802c4-a4d2-4d8b-9148-e3be6c30e623}">
          <xlrd:rvb i="4137"/>
        </ext>
      </extLst>
    </bk>
    <bk>
      <extLst>
        <ext uri="{3e2802c4-a4d2-4d8b-9148-e3be6c30e623}">
          <xlrd:rvb i="4138"/>
        </ext>
      </extLst>
    </bk>
    <bk>
      <extLst>
        <ext uri="{3e2802c4-a4d2-4d8b-9148-e3be6c30e623}">
          <xlrd:rvb i="4139"/>
        </ext>
      </extLst>
    </bk>
    <bk>
      <extLst>
        <ext uri="{3e2802c4-a4d2-4d8b-9148-e3be6c30e623}">
          <xlrd:rvb i="4140"/>
        </ext>
      </extLst>
    </bk>
    <bk>
      <extLst>
        <ext uri="{3e2802c4-a4d2-4d8b-9148-e3be6c30e623}">
          <xlrd:rvb i="4141"/>
        </ext>
      </extLst>
    </bk>
    <bk>
      <extLst>
        <ext uri="{3e2802c4-a4d2-4d8b-9148-e3be6c30e623}">
          <xlrd:rvb i="4142"/>
        </ext>
      </extLst>
    </bk>
    <bk>
      <extLst>
        <ext uri="{3e2802c4-a4d2-4d8b-9148-e3be6c30e623}">
          <xlrd:rvb i="4143"/>
        </ext>
      </extLst>
    </bk>
    <bk>
      <extLst>
        <ext uri="{3e2802c4-a4d2-4d8b-9148-e3be6c30e623}">
          <xlrd:rvb i="4144"/>
        </ext>
      </extLst>
    </bk>
    <bk>
      <extLst>
        <ext uri="{3e2802c4-a4d2-4d8b-9148-e3be6c30e623}">
          <xlrd:rvb i="4145"/>
        </ext>
      </extLst>
    </bk>
    <bk>
      <extLst>
        <ext uri="{3e2802c4-a4d2-4d8b-9148-e3be6c30e623}">
          <xlrd:rvb i="4146"/>
        </ext>
      </extLst>
    </bk>
    <bk>
      <extLst>
        <ext uri="{3e2802c4-a4d2-4d8b-9148-e3be6c30e623}">
          <xlrd:rvb i="4147"/>
        </ext>
      </extLst>
    </bk>
    <bk>
      <extLst>
        <ext uri="{3e2802c4-a4d2-4d8b-9148-e3be6c30e623}">
          <xlrd:rvb i="4148"/>
        </ext>
      </extLst>
    </bk>
    <bk>
      <extLst>
        <ext uri="{3e2802c4-a4d2-4d8b-9148-e3be6c30e623}">
          <xlrd:rvb i="4149"/>
        </ext>
      </extLst>
    </bk>
    <bk>
      <extLst>
        <ext uri="{3e2802c4-a4d2-4d8b-9148-e3be6c30e623}">
          <xlrd:rvb i="4150"/>
        </ext>
      </extLst>
    </bk>
    <bk>
      <extLst>
        <ext uri="{3e2802c4-a4d2-4d8b-9148-e3be6c30e623}">
          <xlrd:rvb i="4151"/>
        </ext>
      </extLst>
    </bk>
    <bk>
      <extLst>
        <ext uri="{3e2802c4-a4d2-4d8b-9148-e3be6c30e623}">
          <xlrd:rvb i="4152"/>
        </ext>
      </extLst>
    </bk>
    <bk>
      <extLst>
        <ext uri="{3e2802c4-a4d2-4d8b-9148-e3be6c30e623}">
          <xlrd:rvb i="4153"/>
        </ext>
      </extLst>
    </bk>
    <bk>
      <extLst>
        <ext uri="{3e2802c4-a4d2-4d8b-9148-e3be6c30e623}">
          <xlrd:rvb i="4154"/>
        </ext>
      </extLst>
    </bk>
    <bk>
      <extLst>
        <ext uri="{3e2802c4-a4d2-4d8b-9148-e3be6c30e623}">
          <xlrd:rvb i="4155"/>
        </ext>
      </extLst>
    </bk>
    <bk>
      <extLst>
        <ext uri="{3e2802c4-a4d2-4d8b-9148-e3be6c30e623}">
          <xlrd:rvb i="4156"/>
        </ext>
      </extLst>
    </bk>
    <bk>
      <extLst>
        <ext uri="{3e2802c4-a4d2-4d8b-9148-e3be6c30e623}">
          <xlrd:rvb i="4157"/>
        </ext>
      </extLst>
    </bk>
    <bk>
      <extLst>
        <ext uri="{3e2802c4-a4d2-4d8b-9148-e3be6c30e623}">
          <xlrd:rvb i="4158"/>
        </ext>
      </extLst>
    </bk>
    <bk>
      <extLst>
        <ext uri="{3e2802c4-a4d2-4d8b-9148-e3be6c30e623}">
          <xlrd:rvb i="4159"/>
        </ext>
      </extLst>
    </bk>
    <bk>
      <extLst>
        <ext uri="{3e2802c4-a4d2-4d8b-9148-e3be6c30e623}">
          <xlrd:rvb i="4160"/>
        </ext>
      </extLst>
    </bk>
    <bk>
      <extLst>
        <ext uri="{3e2802c4-a4d2-4d8b-9148-e3be6c30e623}">
          <xlrd:rvb i="4161"/>
        </ext>
      </extLst>
    </bk>
    <bk>
      <extLst>
        <ext uri="{3e2802c4-a4d2-4d8b-9148-e3be6c30e623}">
          <xlrd:rvb i="4162"/>
        </ext>
      </extLst>
    </bk>
    <bk>
      <extLst>
        <ext uri="{3e2802c4-a4d2-4d8b-9148-e3be6c30e623}">
          <xlrd:rvb i="4163"/>
        </ext>
      </extLst>
    </bk>
    <bk>
      <extLst>
        <ext uri="{3e2802c4-a4d2-4d8b-9148-e3be6c30e623}">
          <xlrd:rvb i="4164"/>
        </ext>
      </extLst>
    </bk>
    <bk>
      <extLst>
        <ext uri="{3e2802c4-a4d2-4d8b-9148-e3be6c30e623}">
          <xlrd:rvb i="4165"/>
        </ext>
      </extLst>
    </bk>
    <bk>
      <extLst>
        <ext uri="{3e2802c4-a4d2-4d8b-9148-e3be6c30e623}">
          <xlrd:rvb i="4166"/>
        </ext>
      </extLst>
    </bk>
    <bk>
      <extLst>
        <ext uri="{3e2802c4-a4d2-4d8b-9148-e3be6c30e623}">
          <xlrd:rvb i="4167"/>
        </ext>
      </extLst>
    </bk>
    <bk>
      <extLst>
        <ext uri="{3e2802c4-a4d2-4d8b-9148-e3be6c30e623}">
          <xlrd:rvb i="4168"/>
        </ext>
      </extLst>
    </bk>
    <bk>
      <extLst>
        <ext uri="{3e2802c4-a4d2-4d8b-9148-e3be6c30e623}">
          <xlrd:rvb i="4169"/>
        </ext>
      </extLst>
    </bk>
    <bk>
      <extLst>
        <ext uri="{3e2802c4-a4d2-4d8b-9148-e3be6c30e623}">
          <xlrd:rvb i="4170"/>
        </ext>
      </extLst>
    </bk>
    <bk>
      <extLst>
        <ext uri="{3e2802c4-a4d2-4d8b-9148-e3be6c30e623}">
          <xlrd:rvb i="4171"/>
        </ext>
      </extLst>
    </bk>
    <bk>
      <extLst>
        <ext uri="{3e2802c4-a4d2-4d8b-9148-e3be6c30e623}">
          <xlrd:rvb i="4172"/>
        </ext>
      </extLst>
    </bk>
    <bk>
      <extLst>
        <ext uri="{3e2802c4-a4d2-4d8b-9148-e3be6c30e623}">
          <xlrd:rvb i="4173"/>
        </ext>
      </extLst>
    </bk>
    <bk>
      <extLst>
        <ext uri="{3e2802c4-a4d2-4d8b-9148-e3be6c30e623}">
          <xlrd:rvb i="4174"/>
        </ext>
      </extLst>
    </bk>
    <bk>
      <extLst>
        <ext uri="{3e2802c4-a4d2-4d8b-9148-e3be6c30e623}">
          <xlrd:rvb i="4175"/>
        </ext>
      </extLst>
    </bk>
    <bk>
      <extLst>
        <ext uri="{3e2802c4-a4d2-4d8b-9148-e3be6c30e623}">
          <xlrd:rvb i="4176"/>
        </ext>
      </extLst>
    </bk>
    <bk>
      <extLst>
        <ext uri="{3e2802c4-a4d2-4d8b-9148-e3be6c30e623}">
          <xlrd:rvb i="4177"/>
        </ext>
      </extLst>
    </bk>
    <bk>
      <extLst>
        <ext uri="{3e2802c4-a4d2-4d8b-9148-e3be6c30e623}">
          <xlrd:rvb i="4178"/>
        </ext>
      </extLst>
    </bk>
    <bk>
      <extLst>
        <ext uri="{3e2802c4-a4d2-4d8b-9148-e3be6c30e623}">
          <xlrd:rvb i="4179"/>
        </ext>
      </extLst>
    </bk>
    <bk>
      <extLst>
        <ext uri="{3e2802c4-a4d2-4d8b-9148-e3be6c30e623}">
          <xlrd:rvb i="4180"/>
        </ext>
      </extLst>
    </bk>
    <bk>
      <extLst>
        <ext uri="{3e2802c4-a4d2-4d8b-9148-e3be6c30e623}">
          <xlrd:rvb i="4181"/>
        </ext>
      </extLst>
    </bk>
    <bk>
      <extLst>
        <ext uri="{3e2802c4-a4d2-4d8b-9148-e3be6c30e623}">
          <xlrd:rvb i="4182"/>
        </ext>
      </extLst>
    </bk>
    <bk>
      <extLst>
        <ext uri="{3e2802c4-a4d2-4d8b-9148-e3be6c30e623}">
          <xlrd:rvb i="4183"/>
        </ext>
      </extLst>
    </bk>
    <bk>
      <extLst>
        <ext uri="{3e2802c4-a4d2-4d8b-9148-e3be6c30e623}">
          <xlrd:rvb i="4184"/>
        </ext>
      </extLst>
    </bk>
    <bk>
      <extLst>
        <ext uri="{3e2802c4-a4d2-4d8b-9148-e3be6c30e623}">
          <xlrd:rvb i="4185"/>
        </ext>
      </extLst>
    </bk>
    <bk>
      <extLst>
        <ext uri="{3e2802c4-a4d2-4d8b-9148-e3be6c30e623}">
          <xlrd:rvb i="4186"/>
        </ext>
      </extLst>
    </bk>
    <bk>
      <extLst>
        <ext uri="{3e2802c4-a4d2-4d8b-9148-e3be6c30e623}">
          <xlrd:rvb i="4187"/>
        </ext>
      </extLst>
    </bk>
    <bk>
      <extLst>
        <ext uri="{3e2802c4-a4d2-4d8b-9148-e3be6c30e623}">
          <xlrd:rvb i="4188"/>
        </ext>
      </extLst>
    </bk>
    <bk>
      <extLst>
        <ext uri="{3e2802c4-a4d2-4d8b-9148-e3be6c30e623}">
          <xlrd:rvb i="4189"/>
        </ext>
      </extLst>
    </bk>
    <bk>
      <extLst>
        <ext uri="{3e2802c4-a4d2-4d8b-9148-e3be6c30e623}">
          <xlrd:rvb i="4190"/>
        </ext>
      </extLst>
    </bk>
    <bk>
      <extLst>
        <ext uri="{3e2802c4-a4d2-4d8b-9148-e3be6c30e623}">
          <xlrd:rvb i="4191"/>
        </ext>
      </extLst>
    </bk>
    <bk>
      <extLst>
        <ext uri="{3e2802c4-a4d2-4d8b-9148-e3be6c30e623}">
          <xlrd:rvb i="4192"/>
        </ext>
      </extLst>
    </bk>
    <bk>
      <extLst>
        <ext uri="{3e2802c4-a4d2-4d8b-9148-e3be6c30e623}">
          <xlrd:rvb i="4193"/>
        </ext>
      </extLst>
    </bk>
    <bk>
      <extLst>
        <ext uri="{3e2802c4-a4d2-4d8b-9148-e3be6c30e623}">
          <xlrd:rvb i="4194"/>
        </ext>
      </extLst>
    </bk>
    <bk>
      <extLst>
        <ext uri="{3e2802c4-a4d2-4d8b-9148-e3be6c30e623}">
          <xlrd:rvb i="4195"/>
        </ext>
      </extLst>
    </bk>
    <bk>
      <extLst>
        <ext uri="{3e2802c4-a4d2-4d8b-9148-e3be6c30e623}">
          <xlrd:rvb i="4196"/>
        </ext>
      </extLst>
    </bk>
    <bk>
      <extLst>
        <ext uri="{3e2802c4-a4d2-4d8b-9148-e3be6c30e623}">
          <xlrd:rvb i="4197"/>
        </ext>
      </extLst>
    </bk>
    <bk>
      <extLst>
        <ext uri="{3e2802c4-a4d2-4d8b-9148-e3be6c30e623}">
          <xlrd:rvb i="4198"/>
        </ext>
      </extLst>
    </bk>
    <bk>
      <extLst>
        <ext uri="{3e2802c4-a4d2-4d8b-9148-e3be6c30e623}">
          <xlrd:rvb i="4199"/>
        </ext>
      </extLst>
    </bk>
    <bk>
      <extLst>
        <ext uri="{3e2802c4-a4d2-4d8b-9148-e3be6c30e623}">
          <xlrd:rvb i="4200"/>
        </ext>
      </extLst>
    </bk>
    <bk>
      <extLst>
        <ext uri="{3e2802c4-a4d2-4d8b-9148-e3be6c30e623}">
          <xlrd:rvb i="4201"/>
        </ext>
      </extLst>
    </bk>
    <bk>
      <extLst>
        <ext uri="{3e2802c4-a4d2-4d8b-9148-e3be6c30e623}">
          <xlrd:rvb i="4202"/>
        </ext>
      </extLst>
    </bk>
    <bk>
      <extLst>
        <ext uri="{3e2802c4-a4d2-4d8b-9148-e3be6c30e623}">
          <xlrd:rvb i="4203"/>
        </ext>
      </extLst>
    </bk>
    <bk>
      <extLst>
        <ext uri="{3e2802c4-a4d2-4d8b-9148-e3be6c30e623}">
          <xlrd:rvb i="4204"/>
        </ext>
      </extLst>
    </bk>
    <bk>
      <extLst>
        <ext uri="{3e2802c4-a4d2-4d8b-9148-e3be6c30e623}">
          <xlrd:rvb i="4205"/>
        </ext>
      </extLst>
    </bk>
    <bk>
      <extLst>
        <ext uri="{3e2802c4-a4d2-4d8b-9148-e3be6c30e623}">
          <xlrd:rvb i="4206"/>
        </ext>
      </extLst>
    </bk>
    <bk>
      <extLst>
        <ext uri="{3e2802c4-a4d2-4d8b-9148-e3be6c30e623}">
          <xlrd:rvb i="4207"/>
        </ext>
      </extLst>
    </bk>
    <bk>
      <extLst>
        <ext uri="{3e2802c4-a4d2-4d8b-9148-e3be6c30e623}">
          <xlrd:rvb i="4208"/>
        </ext>
      </extLst>
    </bk>
    <bk>
      <extLst>
        <ext uri="{3e2802c4-a4d2-4d8b-9148-e3be6c30e623}">
          <xlrd:rvb i="4209"/>
        </ext>
      </extLst>
    </bk>
    <bk>
      <extLst>
        <ext uri="{3e2802c4-a4d2-4d8b-9148-e3be6c30e623}">
          <xlrd:rvb i="4210"/>
        </ext>
      </extLst>
    </bk>
    <bk>
      <extLst>
        <ext uri="{3e2802c4-a4d2-4d8b-9148-e3be6c30e623}">
          <xlrd:rvb i="4211"/>
        </ext>
      </extLst>
    </bk>
    <bk>
      <extLst>
        <ext uri="{3e2802c4-a4d2-4d8b-9148-e3be6c30e623}">
          <xlrd:rvb i="4212"/>
        </ext>
      </extLst>
    </bk>
    <bk>
      <extLst>
        <ext uri="{3e2802c4-a4d2-4d8b-9148-e3be6c30e623}">
          <xlrd:rvb i="4213"/>
        </ext>
      </extLst>
    </bk>
    <bk>
      <extLst>
        <ext uri="{3e2802c4-a4d2-4d8b-9148-e3be6c30e623}">
          <xlrd:rvb i="4214"/>
        </ext>
      </extLst>
    </bk>
    <bk>
      <extLst>
        <ext uri="{3e2802c4-a4d2-4d8b-9148-e3be6c30e623}">
          <xlrd:rvb i="4215"/>
        </ext>
      </extLst>
    </bk>
    <bk>
      <extLst>
        <ext uri="{3e2802c4-a4d2-4d8b-9148-e3be6c30e623}">
          <xlrd:rvb i="4216"/>
        </ext>
      </extLst>
    </bk>
    <bk>
      <extLst>
        <ext uri="{3e2802c4-a4d2-4d8b-9148-e3be6c30e623}">
          <xlrd:rvb i="4217"/>
        </ext>
      </extLst>
    </bk>
    <bk>
      <extLst>
        <ext uri="{3e2802c4-a4d2-4d8b-9148-e3be6c30e623}">
          <xlrd:rvb i="4218"/>
        </ext>
      </extLst>
    </bk>
    <bk>
      <extLst>
        <ext uri="{3e2802c4-a4d2-4d8b-9148-e3be6c30e623}">
          <xlrd:rvb i="4219"/>
        </ext>
      </extLst>
    </bk>
    <bk>
      <extLst>
        <ext uri="{3e2802c4-a4d2-4d8b-9148-e3be6c30e623}">
          <xlrd:rvb i="4220"/>
        </ext>
      </extLst>
    </bk>
    <bk>
      <extLst>
        <ext uri="{3e2802c4-a4d2-4d8b-9148-e3be6c30e623}">
          <xlrd:rvb i="4221"/>
        </ext>
      </extLst>
    </bk>
    <bk>
      <extLst>
        <ext uri="{3e2802c4-a4d2-4d8b-9148-e3be6c30e623}">
          <xlrd:rvb i="4222"/>
        </ext>
      </extLst>
    </bk>
    <bk>
      <extLst>
        <ext uri="{3e2802c4-a4d2-4d8b-9148-e3be6c30e623}">
          <xlrd:rvb i="4223"/>
        </ext>
      </extLst>
    </bk>
    <bk>
      <extLst>
        <ext uri="{3e2802c4-a4d2-4d8b-9148-e3be6c30e623}">
          <xlrd:rvb i="4224"/>
        </ext>
      </extLst>
    </bk>
    <bk>
      <extLst>
        <ext uri="{3e2802c4-a4d2-4d8b-9148-e3be6c30e623}">
          <xlrd:rvb i="4225"/>
        </ext>
      </extLst>
    </bk>
    <bk>
      <extLst>
        <ext uri="{3e2802c4-a4d2-4d8b-9148-e3be6c30e623}">
          <xlrd:rvb i="4226"/>
        </ext>
      </extLst>
    </bk>
    <bk>
      <extLst>
        <ext uri="{3e2802c4-a4d2-4d8b-9148-e3be6c30e623}">
          <xlrd:rvb i="4227"/>
        </ext>
      </extLst>
    </bk>
    <bk>
      <extLst>
        <ext uri="{3e2802c4-a4d2-4d8b-9148-e3be6c30e623}">
          <xlrd:rvb i="4228"/>
        </ext>
      </extLst>
    </bk>
    <bk>
      <extLst>
        <ext uri="{3e2802c4-a4d2-4d8b-9148-e3be6c30e623}">
          <xlrd:rvb i="4229"/>
        </ext>
      </extLst>
    </bk>
    <bk>
      <extLst>
        <ext uri="{3e2802c4-a4d2-4d8b-9148-e3be6c30e623}">
          <xlrd:rvb i="4230"/>
        </ext>
      </extLst>
    </bk>
    <bk>
      <extLst>
        <ext uri="{3e2802c4-a4d2-4d8b-9148-e3be6c30e623}">
          <xlrd:rvb i="4231"/>
        </ext>
      </extLst>
    </bk>
    <bk>
      <extLst>
        <ext uri="{3e2802c4-a4d2-4d8b-9148-e3be6c30e623}">
          <xlrd:rvb i="4232"/>
        </ext>
      </extLst>
    </bk>
    <bk>
      <extLst>
        <ext uri="{3e2802c4-a4d2-4d8b-9148-e3be6c30e623}">
          <xlrd:rvb i="4233"/>
        </ext>
      </extLst>
    </bk>
    <bk>
      <extLst>
        <ext uri="{3e2802c4-a4d2-4d8b-9148-e3be6c30e623}">
          <xlrd:rvb i="4234"/>
        </ext>
      </extLst>
    </bk>
    <bk>
      <extLst>
        <ext uri="{3e2802c4-a4d2-4d8b-9148-e3be6c30e623}">
          <xlrd:rvb i="4235"/>
        </ext>
      </extLst>
    </bk>
    <bk>
      <extLst>
        <ext uri="{3e2802c4-a4d2-4d8b-9148-e3be6c30e623}">
          <xlrd:rvb i="4236"/>
        </ext>
      </extLst>
    </bk>
    <bk>
      <extLst>
        <ext uri="{3e2802c4-a4d2-4d8b-9148-e3be6c30e623}">
          <xlrd:rvb i="4237"/>
        </ext>
      </extLst>
    </bk>
    <bk>
      <extLst>
        <ext uri="{3e2802c4-a4d2-4d8b-9148-e3be6c30e623}">
          <xlrd:rvb i="4238"/>
        </ext>
      </extLst>
    </bk>
    <bk>
      <extLst>
        <ext uri="{3e2802c4-a4d2-4d8b-9148-e3be6c30e623}">
          <xlrd:rvb i="4239"/>
        </ext>
      </extLst>
    </bk>
    <bk>
      <extLst>
        <ext uri="{3e2802c4-a4d2-4d8b-9148-e3be6c30e623}">
          <xlrd:rvb i="4240"/>
        </ext>
      </extLst>
    </bk>
    <bk>
      <extLst>
        <ext uri="{3e2802c4-a4d2-4d8b-9148-e3be6c30e623}">
          <xlrd:rvb i="4241"/>
        </ext>
      </extLst>
    </bk>
    <bk>
      <extLst>
        <ext uri="{3e2802c4-a4d2-4d8b-9148-e3be6c30e623}">
          <xlrd:rvb i="4242"/>
        </ext>
      </extLst>
    </bk>
    <bk>
      <extLst>
        <ext uri="{3e2802c4-a4d2-4d8b-9148-e3be6c30e623}">
          <xlrd:rvb i="4243"/>
        </ext>
      </extLst>
    </bk>
    <bk>
      <extLst>
        <ext uri="{3e2802c4-a4d2-4d8b-9148-e3be6c30e623}">
          <xlrd:rvb i="4244"/>
        </ext>
      </extLst>
    </bk>
    <bk>
      <extLst>
        <ext uri="{3e2802c4-a4d2-4d8b-9148-e3be6c30e623}">
          <xlrd:rvb i="4245"/>
        </ext>
      </extLst>
    </bk>
    <bk>
      <extLst>
        <ext uri="{3e2802c4-a4d2-4d8b-9148-e3be6c30e623}">
          <xlrd:rvb i="4246"/>
        </ext>
      </extLst>
    </bk>
    <bk>
      <extLst>
        <ext uri="{3e2802c4-a4d2-4d8b-9148-e3be6c30e623}">
          <xlrd:rvb i="4247"/>
        </ext>
      </extLst>
    </bk>
    <bk>
      <extLst>
        <ext uri="{3e2802c4-a4d2-4d8b-9148-e3be6c30e623}">
          <xlrd:rvb i="4248"/>
        </ext>
      </extLst>
    </bk>
    <bk>
      <extLst>
        <ext uri="{3e2802c4-a4d2-4d8b-9148-e3be6c30e623}">
          <xlrd:rvb i="4249"/>
        </ext>
      </extLst>
    </bk>
    <bk>
      <extLst>
        <ext uri="{3e2802c4-a4d2-4d8b-9148-e3be6c30e623}">
          <xlrd:rvb i="4250"/>
        </ext>
      </extLst>
    </bk>
    <bk>
      <extLst>
        <ext uri="{3e2802c4-a4d2-4d8b-9148-e3be6c30e623}">
          <xlrd:rvb i="4251"/>
        </ext>
      </extLst>
    </bk>
    <bk>
      <extLst>
        <ext uri="{3e2802c4-a4d2-4d8b-9148-e3be6c30e623}">
          <xlrd:rvb i="4252"/>
        </ext>
      </extLst>
    </bk>
    <bk>
      <extLst>
        <ext uri="{3e2802c4-a4d2-4d8b-9148-e3be6c30e623}">
          <xlrd:rvb i="4253"/>
        </ext>
      </extLst>
    </bk>
    <bk>
      <extLst>
        <ext uri="{3e2802c4-a4d2-4d8b-9148-e3be6c30e623}">
          <xlrd:rvb i="4254"/>
        </ext>
      </extLst>
    </bk>
    <bk>
      <extLst>
        <ext uri="{3e2802c4-a4d2-4d8b-9148-e3be6c30e623}">
          <xlrd:rvb i="4255"/>
        </ext>
      </extLst>
    </bk>
    <bk>
      <extLst>
        <ext uri="{3e2802c4-a4d2-4d8b-9148-e3be6c30e623}">
          <xlrd:rvb i="4256"/>
        </ext>
      </extLst>
    </bk>
    <bk>
      <extLst>
        <ext uri="{3e2802c4-a4d2-4d8b-9148-e3be6c30e623}">
          <xlrd:rvb i="4257"/>
        </ext>
      </extLst>
    </bk>
    <bk>
      <extLst>
        <ext uri="{3e2802c4-a4d2-4d8b-9148-e3be6c30e623}">
          <xlrd:rvb i="4258"/>
        </ext>
      </extLst>
    </bk>
    <bk>
      <extLst>
        <ext uri="{3e2802c4-a4d2-4d8b-9148-e3be6c30e623}">
          <xlrd:rvb i="4259"/>
        </ext>
      </extLst>
    </bk>
    <bk>
      <extLst>
        <ext uri="{3e2802c4-a4d2-4d8b-9148-e3be6c30e623}">
          <xlrd:rvb i="4260"/>
        </ext>
      </extLst>
    </bk>
    <bk>
      <extLst>
        <ext uri="{3e2802c4-a4d2-4d8b-9148-e3be6c30e623}">
          <xlrd:rvb i="4261"/>
        </ext>
      </extLst>
    </bk>
    <bk>
      <extLst>
        <ext uri="{3e2802c4-a4d2-4d8b-9148-e3be6c30e623}">
          <xlrd:rvb i="4262"/>
        </ext>
      </extLst>
    </bk>
    <bk>
      <extLst>
        <ext uri="{3e2802c4-a4d2-4d8b-9148-e3be6c30e623}">
          <xlrd:rvb i="4263"/>
        </ext>
      </extLst>
    </bk>
    <bk>
      <extLst>
        <ext uri="{3e2802c4-a4d2-4d8b-9148-e3be6c30e623}">
          <xlrd:rvb i="4264"/>
        </ext>
      </extLst>
    </bk>
    <bk>
      <extLst>
        <ext uri="{3e2802c4-a4d2-4d8b-9148-e3be6c30e623}">
          <xlrd:rvb i="4265"/>
        </ext>
      </extLst>
    </bk>
    <bk>
      <extLst>
        <ext uri="{3e2802c4-a4d2-4d8b-9148-e3be6c30e623}">
          <xlrd:rvb i="4266"/>
        </ext>
      </extLst>
    </bk>
    <bk>
      <extLst>
        <ext uri="{3e2802c4-a4d2-4d8b-9148-e3be6c30e623}">
          <xlrd:rvb i="4267"/>
        </ext>
      </extLst>
    </bk>
    <bk>
      <extLst>
        <ext uri="{3e2802c4-a4d2-4d8b-9148-e3be6c30e623}">
          <xlrd:rvb i="4268"/>
        </ext>
      </extLst>
    </bk>
    <bk>
      <extLst>
        <ext uri="{3e2802c4-a4d2-4d8b-9148-e3be6c30e623}">
          <xlrd:rvb i="4269"/>
        </ext>
      </extLst>
    </bk>
    <bk>
      <extLst>
        <ext uri="{3e2802c4-a4d2-4d8b-9148-e3be6c30e623}">
          <xlrd:rvb i="4270"/>
        </ext>
      </extLst>
    </bk>
    <bk>
      <extLst>
        <ext uri="{3e2802c4-a4d2-4d8b-9148-e3be6c30e623}">
          <xlrd:rvb i="4271"/>
        </ext>
      </extLst>
    </bk>
    <bk>
      <extLst>
        <ext uri="{3e2802c4-a4d2-4d8b-9148-e3be6c30e623}">
          <xlrd:rvb i="4272"/>
        </ext>
      </extLst>
    </bk>
    <bk>
      <extLst>
        <ext uri="{3e2802c4-a4d2-4d8b-9148-e3be6c30e623}">
          <xlrd:rvb i="4273"/>
        </ext>
      </extLst>
    </bk>
    <bk>
      <extLst>
        <ext uri="{3e2802c4-a4d2-4d8b-9148-e3be6c30e623}">
          <xlrd:rvb i="4274"/>
        </ext>
      </extLst>
    </bk>
    <bk>
      <extLst>
        <ext uri="{3e2802c4-a4d2-4d8b-9148-e3be6c30e623}">
          <xlrd:rvb i="4275"/>
        </ext>
      </extLst>
    </bk>
    <bk>
      <extLst>
        <ext uri="{3e2802c4-a4d2-4d8b-9148-e3be6c30e623}">
          <xlrd:rvb i="4276"/>
        </ext>
      </extLst>
    </bk>
    <bk>
      <extLst>
        <ext uri="{3e2802c4-a4d2-4d8b-9148-e3be6c30e623}">
          <xlrd:rvb i="4277"/>
        </ext>
      </extLst>
    </bk>
    <bk>
      <extLst>
        <ext uri="{3e2802c4-a4d2-4d8b-9148-e3be6c30e623}">
          <xlrd:rvb i="4278"/>
        </ext>
      </extLst>
    </bk>
    <bk>
      <extLst>
        <ext uri="{3e2802c4-a4d2-4d8b-9148-e3be6c30e623}">
          <xlrd:rvb i="4279"/>
        </ext>
      </extLst>
    </bk>
    <bk>
      <extLst>
        <ext uri="{3e2802c4-a4d2-4d8b-9148-e3be6c30e623}">
          <xlrd:rvb i="4280"/>
        </ext>
      </extLst>
    </bk>
    <bk>
      <extLst>
        <ext uri="{3e2802c4-a4d2-4d8b-9148-e3be6c30e623}">
          <xlrd:rvb i="4281"/>
        </ext>
      </extLst>
    </bk>
    <bk>
      <extLst>
        <ext uri="{3e2802c4-a4d2-4d8b-9148-e3be6c30e623}">
          <xlrd:rvb i="4282"/>
        </ext>
      </extLst>
    </bk>
    <bk>
      <extLst>
        <ext uri="{3e2802c4-a4d2-4d8b-9148-e3be6c30e623}">
          <xlrd:rvb i="4283"/>
        </ext>
      </extLst>
    </bk>
    <bk>
      <extLst>
        <ext uri="{3e2802c4-a4d2-4d8b-9148-e3be6c30e623}">
          <xlrd:rvb i="4284"/>
        </ext>
      </extLst>
    </bk>
    <bk>
      <extLst>
        <ext uri="{3e2802c4-a4d2-4d8b-9148-e3be6c30e623}">
          <xlrd:rvb i="4285"/>
        </ext>
      </extLst>
    </bk>
    <bk>
      <extLst>
        <ext uri="{3e2802c4-a4d2-4d8b-9148-e3be6c30e623}">
          <xlrd:rvb i="4286"/>
        </ext>
      </extLst>
    </bk>
    <bk>
      <extLst>
        <ext uri="{3e2802c4-a4d2-4d8b-9148-e3be6c30e623}">
          <xlrd:rvb i="4287"/>
        </ext>
      </extLst>
    </bk>
    <bk>
      <extLst>
        <ext uri="{3e2802c4-a4d2-4d8b-9148-e3be6c30e623}">
          <xlrd:rvb i="4288"/>
        </ext>
      </extLst>
    </bk>
    <bk>
      <extLst>
        <ext uri="{3e2802c4-a4d2-4d8b-9148-e3be6c30e623}">
          <xlrd:rvb i="4289"/>
        </ext>
      </extLst>
    </bk>
    <bk>
      <extLst>
        <ext uri="{3e2802c4-a4d2-4d8b-9148-e3be6c30e623}">
          <xlrd:rvb i="4290"/>
        </ext>
      </extLst>
    </bk>
    <bk>
      <extLst>
        <ext uri="{3e2802c4-a4d2-4d8b-9148-e3be6c30e623}">
          <xlrd:rvb i="4291"/>
        </ext>
      </extLst>
    </bk>
    <bk>
      <extLst>
        <ext uri="{3e2802c4-a4d2-4d8b-9148-e3be6c30e623}">
          <xlrd:rvb i="4292"/>
        </ext>
      </extLst>
    </bk>
    <bk>
      <extLst>
        <ext uri="{3e2802c4-a4d2-4d8b-9148-e3be6c30e623}">
          <xlrd:rvb i="4293"/>
        </ext>
      </extLst>
    </bk>
    <bk>
      <extLst>
        <ext uri="{3e2802c4-a4d2-4d8b-9148-e3be6c30e623}">
          <xlrd:rvb i="4294"/>
        </ext>
      </extLst>
    </bk>
    <bk>
      <extLst>
        <ext uri="{3e2802c4-a4d2-4d8b-9148-e3be6c30e623}">
          <xlrd:rvb i="4295"/>
        </ext>
      </extLst>
    </bk>
    <bk>
      <extLst>
        <ext uri="{3e2802c4-a4d2-4d8b-9148-e3be6c30e623}">
          <xlrd:rvb i="4296"/>
        </ext>
      </extLst>
    </bk>
    <bk>
      <extLst>
        <ext uri="{3e2802c4-a4d2-4d8b-9148-e3be6c30e623}">
          <xlrd:rvb i="4297"/>
        </ext>
      </extLst>
    </bk>
    <bk>
      <extLst>
        <ext uri="{3e2802c4-a4d2-4d8b-9148-e3be6c30e623}">
          <xlrd:rvb i="4298"/>
        </ext>
      </extLst>
    </bk>
    <bk>
      <extLst>
        <ext uri="{3e2802c4-a4d2-4d8b-9148-e3be6c30e623}">
          <xlrd:rvb i="4299"/>
        </ext>
      </extLst>
    </bk>
    <bk>
      <extLst>
        <ext uri="{3e2802c4-a4d2-4d8b-9148-e3be6c30e623}">
          <xlrd:rvb i="4300"/>
        </ext>
      </extLst>
    </bk>
    <bk>
      <extLst>
        <ext uri="{3e2802c4-a4d2-4d8b-9148-e3be6c30e623}">
          <xlrd:rvb i="4301"/>
        </ext>
      </extLst>
    </bk>
    <bk>
      <extLst>
        <ext uri="{3e2802c4-a4d2-4d8b-9148-e3be6c30e623}">
          <xlrd:rvb i="4302"/>
        </ext>
      </extLst>
    </bk>
    <bk>
      <extLst>
        <ext uri="{3e2802c4-a4d2-4d8b-9148-e3be6c30e623}">
          <xlrd:rvb i="4303"/>
        </ext>
      </extLst>
    </bk>
    <bk>
      <extLst>
        <ext uri="{3e2802c4-a4d2-4d8b-9148-e3be6c30e623}">
          <xlrd:rvb i="4304"/>
        </ext>
      </extLst>
    </bk>
    <bk>
      <extLst>
        <ext uri="{3e2802c4-a4d2-4d8b-9148-e3be6c30e623}">
          <xlrd:rvb i="4305"/>
        </ext>
      </extLst>
    </bk>
    <bk>
      <extLst>
        <ext uri="{3e2802c4-a4d2-4d8b-9148-e3be6c30e623}">
          <xlrd:rvb i="4306"/>
        </ext>
      </extLst>
    </bk>
    <bk>
      <extLst>
        <ext uri="{3e2802c4-a4d2-4d8b-9148-e3be6c30e623}">
          <xlrd:rvb i="4307"/>
        </ext>
      </extLst>
    </bk>
    <bk>
      <extLst>
        <ext uri="{3e2802c4-a4d2-4d8b-9148-e3be6c30e623}">
          <xlrd:rvb i="4308"/>
        </ext>
      </extLst>
    </bk>
    <bk>
      <extLst>
        <ext uri="{3e2802c4-a4d2-4d8b-9148-e3be6c30e623}">
          <xlrd:rvb i="4309"/>
        </ext>
      </extLst>
    </bk>
    <bk>
      <extLst>
        <ext uri="{3e2802c4-a4d2-4d8b-9148-e3be6c30e623}">
          <xlrd:rvb i="4310"/>
        </ext>
      </extLst>
    </bk>
    <bk>
      <extLst>
        <ext uri="{3e2802c4-a4d2-4d8b-9148-e3be6c30e623}">
          <xlrd:rvb i="4311"/>
        </ext>
      </extLst>
    </bk>
    <bk>
      <extLst>
        <ext uri="{3e2802c4-a4d2-4d8b-9148-e3be6c30e623}">
          <xlrd:rvb i="4312"/>
        </ext>
      </extLst>
    </bk>
    <bk>
      <extLst>
        <ext uri="{3e2802c4-a4d2-4d8b-9148-e3be6c30e623}">
          <xlrd:rvb i="4313"/>
        </ext>
      </extLst>
    </bk>
    <bk>
      <extLst>
        <ext uri="{3e2802c4-a4d2-4d8b-9148-e3be6c30e623}">
          <xlrd:rvb i="4314"/>
        </ext>
      </extLst>
    </bk>
    <bk>
      <extLst>
        <ext uri="{3e2802c4-a4d2-4d8b-9148-e3be6c30e623}">
          <xlrd:rvb i="4315"/>
        </ext>
      </extLst>
    </bk>
    <bk>
      <extLst>
        <ext uri="{3e2802c4-a4d2-4d8b-9148-e3be6c30e623}">
          <xlrd:rvb i="4316"/>
        </ext>
      </extLst>
    </bk>
    <bk>
      <extLst>
        <ext uri="{3e2802c4-a4d2-4d8b-9148-e3be6c30e623}">
          <xlrd:rvb i="4317"/>
        </ext>
      </extLst>
    </bk>
    <bk>
      <extLst>
        <ext uri="{3e2802c4-a4d2-4d8b-9148-e3be6c30e623}">
          <xlrd:rvb i="4318"/>
        </ext>
      </extLst>
    </bk>
    <bk>
      <extLst>
        <ext uri="{3e2802c4-a4d2-4d8b-9148-e3be6c30e623}">
          <xlrd:rvb i="4319"/>
        </ext>
      </extLst>
    </bk>
    <bk>
      <extLst>
        <ext uri="{3e2802c4-a4d2-4d8b-9148-e3be6c30e623}">
          <xlrd:rvb i="4320"/>
        </ext>
      </extLst>
    </bk>
    <bk>
      <extLst>
        <ext uri="{3e2802c4-a4d2-4d8b-9148-e3be6c30e623}">
          <xlrd:rvb i="4321"/>
        </ext>
      </extLst>
    </bk>
    <bk>
      <extLst>
        <ext uri="{3e2802c4-a4d2-4d8b-9148-e3be6c30e623}">
          <xlrd:rvb i="4322"/>
        </ext>
      </extLst>
    </bk>
    <bk>
      <extLst>
        <ext uri="{3e2802c4-a4d2-4d8b-9148-e3be6c30e623}">
          <xlrd:rvb i="4323"/>
        </ext>
      </extLst>
    </bk>
    <bk>
      <extLst>
        <ext uri="{3e2802c4-a4d2-4d8b-9148-e3be6c30e623}">
          <xlrd:rvb i="4324"/>
        </ext>
      </extLst>
    </bk>
    <bk>
      <extLst>
        <ext uri="{3e2802c4-a4d2-4d8b-9148-e3be6c30e623}">
          <xlrd:rvb i="4325"/>
        </ext>
      </extLst>
    </bk>
    <bk>
      <extLst>
        <ext uri="{3e2802c4-a4d2-4d8b-9148-e3be6c30e623}">
          <xlrd:rvb i="4326"/>
        </ext>
      </extLst>
    </bk>
    <bk>
      <extLst>
        <ext uri="{3e2802c4-a4d2-4d8b-9148-e3be6c30e623}">
          <xlrd:rvb i="4327"/>
        </ext>
      </extLst>
    </bk>
    <bk>
      <extLst>
        <ext uri="{3e2802c4-a4d2-4d8b-9148-e3be6c30e623}">
          <xlrd:rvb i="4328"/>
        </ext>
      </extLst>
    </bk>
    <bk>
      <extLst>
        <ext uri="{3e2802c4-a4d2-4d8b-9148-e3be6c30e623}">
          <xlrd:rvb i="4329"/>
        </ext>
      </extLst>
    </bk>
    <bk>
      <extLst>
        <ext uri="{3e2802c4-a4d2-4d8b-9148-e3be6c30e623}">
          <xlrd:rvb i="4330"/>
        </ext>
      </extLst>
    </bk>
    <bk>
      <extLst>
        <ext uri="{3e2802c4-a4d2-4d8b-9148-e3be6c30e623}">
          <xlrd:rvb i="4331"/>
        </ext>
      </extLst>
    </bk>
    <bk>
      <extLst>
        <ext uri="{3e2802c4-a4d2-4d8b-9148-e3be6c30e623}">
          <xlrd:rvb i="4332"/>
        </ext>
      </extLst>
    </bk>
    <bk>
      <extLst>
        <ext uri="{3e2802c4-a4d2-4d8b-9148-e3be6c30e623}">
          <xlrd:rvb i="4333"/>
        </ext>
      </extLst>
    </bk>
    <bk>
      <extLst>
        <ext uri="{3e2802c4-a4d2-4d8b-9148-e3be6c30e623}">
          <xlrd:rvb i="4334"/>
        </ext>
      </extLst>
    </bk>
    <bk>
      <extLst>
        <ext uri="{3e2802c4-a4d2-4d8b-9148-e3be6c30e623}">
          <xlrd:rvb i="4335"/>
        </ext>
      </extLst>
    </bk>
    <bk>
      <extLst>
        <ext uri="{3e2802c4-a4d2-4d8b-9148-e3be6c30e623}">
          <xlrd:rvb i="4336"/>
        </ext>
      </extLst>
    </bk>
    <bk>
      <extLst>
        <ext uri="{3e2802c4-a4d2-4d8b-9148-e3be6c30e623}">
          <xlrd:rvb i="4337"/>
        </ext>
      </extLst>
    </bk>
    <bk>
      <extLst>
        <ext uri="{3e2802c4-a4d2-4d8b-9148-e3be6c30e623}">
          <xlrd:rvb i="4338"/>
        </ext>
      </extLst>
    </bk>
    <bk>
      <extLst>
        <ext uri="{3e2802c4-a4d2-4d8b-9148-e3be6c30e623}">
          <xlrd:rvb i="4339"/>
        </ext>
      </extLst>
    </bk>
    <bk>
      <extLst>
        <ext uri="{3e2802c4-a4d2-4d8b-9148-e3be6c30e623}">
          <xlrd:rvb i="4340"/>
        </ext>
      </extLst>
    </bk>
    <bk>
      <extLst>
        <ext uri="{3e2802c4-a4d2-4d8b-9148-e3be6c30e623}">
          <xlrd:rvb i="4341"/>
        </ext>
      </extLst>
    </bk>
    <bk>
      <extLst>
        <ext uri="{3e2802c4-a4d2-4d8b-9148-e3be6c30e623}">
          <xlrd:rvb i="4342"/>
        </ext>
      </extLst>
    </bk>
    <bk>
      <extLst>
        <ext uri="{3e2802c4-a4d2-4d8b-9148-e3be6c30e623}">
          <xlrd:rvb i="4343"/>
        </ext>
      </extLst>
    </bk>
    <bk>
      <extLst>
        <ext uri="{3e2802c4-a4d2-4d8b-9148-e3be6c30e623}">
          <xlrd:rvb i="4344"/>
        </ext>
      </extLst>
    </bk>
    <bk>
      <extLst>
        <ext uri="{3e2802c4-a4d2-4d8b-9148-e3be6c30e623}">
          <xlrd:rvb i="4345"/>
        </ext>
      </extLst>
    </bk>
    <bk>
      <extLst>
        <ext uri="{3e2802c4-a4d2-4d8b-9148-e3be6c30e623}">
          <xlrd:rvb i="4346"/>
        </ext>
      </extLst>
    </bk>
    <bk>
      <extLst>
        <ext uri="{3e2802c4-a4d2-4d8b-9148-e3be6c30e623}">
          <xlrd:rvb i="4347"/>
        </ext>
      </extLst>
    </bk>
    <bk>
      <extLst>
        <ext uri="{3e2802c4-a4d2-4d8b-9148-e3be6c30e623}">
          <xlrd:rvb i="4348"/>
        </ext>
      </extLst>
    </bk>
    <bk>
      <extLst>
        <ext uri="{3e2802c4-a4d2-4d8b-9148-e3be6c30e623}">
          <xlrd:rvb i="4349"/>
        </ext>
      </extLst>
    </bk>
    <bk>
      <extLst>
        <ext uri="{3e2802c4-a4d2-4d8b-9148-e3be6c30e623}">
          <xlrd:rvb i="4350"/>
        </ext>
      </extLst>
    </bk>
    <bk>
      <extLst>
        <ext uri="{3e2802c4-a4d2-4d8b-9148-e3be6c30e623}">
          <xlrd:rvb i="4351"/>
        </ext>
      </extLst>
    </bk>
    <bk>
      <extLst>
        <ext uri="{3e2802c4-a4d2-4d8b-9148-e3be6c30e623}">
          <xlrd:rvb i="4352"/>
        </ext>
      </extLst>
    </bk>
    <bk>
      <extLst>
        <ext uri="{3e2802c4-a4d2-4d8b-9148-e3be6c30e623}">
          <xlrd:rvb i="4353"/>
        </ext>
      </extLst>
    </bk>
    <bk>
      <extLst>
        <ext uri="{3e2802c4-a4d2-4d8b-9148-e3be6c30e623}">
          <xlrd:rvb i="4354"/>
        </ext>
      </extLst>
    </bk>
    <bk>
      <extLst>
        <ext uri="{3e2802c4-a4d2-4d8b-9148-e3be6c30e623}">
          <xlrd:rvb i="4355"/>
        </ext>
      </extLst>
    </bk>
    <bk>
      <extLst>
        <ext uri="{3e2802c4-a4d2-4d8b-9148-e3be6c30e623}">
          <xlrd:rvb i="4356"/>
        </ext>
      </extLst>
    </bk>
    <bk>
      <extLst>
        <ext uri="{3e2802c4-a4d2-4d8b-9148-e3be6c30e623}">
          <xlrd:rvb i="4357"/>
        </ext>
      </extLst>
    </bk>
    <bk>
      <extLst>
        <ext uri="{3e2802c4-a4d2-4d8b-9148-e3be6c30e623}">
          <xlrd:rvb i="4358"/>
        </ext>
      </extLst>
    </bk>
    <bk>
      <extLst>
        <ext uri="{3e2802c4-a4d2-4d8b-9148-e3be6c30e623}">
          <xlrd:rvb i="4359"/>
        </ext>
      </extLst>
    </bk>
    <bk>
      <extLst>
        <ext uri="{3e2802c4-a4d2-4d8b-9148-e3be6c30e623}">
          <xlrd:rvb i="4360"/>
        </ext>
      </extLst>
    </bk>
    <bk>
      <extLst>
        <ext uri="{3e2802c4-a4d2-4d8b-9148-e3be6c30e623}">
          <xlrd:rvb i="4361"/>
        </ext>
      </extLst>
    </bk>
    <bk>
      <extLst>
        <ext uri="{3e2802c4-a4d2-4d8b-9148-e3be6c30e623}">
          <xlrd:rvb i="4362"/>
        </ext>
      </extLst>
    </bk>
    <bk>
      <extLst>
        <ext uri="{3e2802c4-a4d2-4d8b-9148-e3be6c30e623}">
          <xlrd:rvb i="4363"/>
        </ext>
      </extLst>
    </bk>
    <bk>
      <extLst>
        <ext uri="{3e2802c4-a4d2-4d8b-9148-e3be6c30e623}">
          <xlrd:rvb i="4364"/>
        </ext>
      </extLst>
    </bk>
    <bk>
      <extLst>
        <ext uri="{3e2802c4-a4d2-4d8b-9148-e3be6c30e623}">
          <xlrd:rvb i="4365"/>
        </ext>
      </extLst>
    </bk>
    <bk>
      <extLst>
        <ext uri="{3e2802c4-a4d2-4d8b-9148-e3be6c30e623}">
          <xlrd:rvb i="4366"/>
        </ext>
      </extLst>
    </bk>
    <bk>
      <extLst>
        <ext uri="{3e2802c4-a4d2-4d8b-9148-e3be6c30e623}">
          <xlrd:rvb i="4367"/>
        </ext>
      </extLst>
    </bk>
    <bk>
      <extLst>
        <ext uri="{3e2802c4-a4d2-4d8b-9148-e3be6c30e623}">
          <xlrd:rvb i="4368"/>
        </ext>
      </extLst>
    </bk>
    <bk>
      <extLst>
        <ext uri="{3e2802c4-a4d2-4d8b-9148-e3be6c30e623}">
          <xlrd:rvb i="4369"/>
        </ext>
      </extLst>
    </bk>
    <bk>
      <extLst>
        <ext uri="{3e2802c4-a4d2-4d8b-9148-e3be6c30e623}">
          <xlrd:rvb i="4370"/>
        </ext>
      </extLst>
    </bk>
    <bk>
      <extLst>
        <ext uri="{3e2802c4-a4d2-4d8b-9148-e3be6c30e623}">
          <xlrd:rvb i="4371"/>
        </ext>
      </extLst>
    </bk>
    <bk>
      <extLst>
        <ext uri="{3e2802c4-a4d2-4d8b-9148-e3be6c30e623}">
          <xlrd:rvb i="4372"/>
        </ext>
      </extLst>
    </bk>
    <bk>
      <extLst>
        <ext uri="{3e2802c4-a4d2-4d8b-9148-e3be6c30e623}">
          <xlrd:rvb i="4373"/>
        </ext>
      </extLst>
    </bk>
    <bk>
      <extLst>
        <ext uri="{3e2802c4-a4d2-4d8b-9148-e3be6c30e623}">
          <xlrd:rvb i="4374"/>
        </ext>
      </extLst>
    </bk>
    <bk>
      <extLst>
        <ext uri="{3e2802c4-a4d2-4d8b-9148-e3be6c30e623}">
          <xlrd:rvb i="4375"/>
        </ext>
      </extLst>
    </bk>
    <bk>
      <extLst>
        <ext uri="{3e2802c4-a4d2-4d8b-9148-e3be6c30e623}">
          <xlrd:rvb i="4376"/>
        </ext>
      </extLst>
    </bk>
    <bk>
      <extLst>
        <ext uri="{3e2802c4-a4d2-4d8b-9148-e3be6c30e623}">
          <xlrd:rvb i="4377"/>
        </ext>
      </extLst>
    </bk>
    <bk>
      <extLst>
        <ext uri="{3e2802c4-a4d2-4d8b-9148-e3be6c30e623}">
          <xlrd:rvb i="4378"/>
        </ext>
      </extLst>
    </bk>
    <bk>
      <extLst>
        <ext uri="{3e2802c4-a4d2-4d8b-9148-e3be6c30e623}">
          <xlrd:rvb i="4379"/>
        </ext>
      </extLst>
    </bk>
    <bk>
      <extLst>
        <ext uri="{3e2802c4-a4d2-4d8b-9148-e3be6c30e623}">
          <xlrd:rvb i="4380"/>
        </ext>
      </extLst>
    </bk>
    <bk>
      <extLst>
        <ext uri="{3e2802c4-a4d2-4d8b-9148-e3be6c30e623}">
          <xlrd:rvb i="4381"/>
        </ext>
      </extLst>
    </bk>
    <bk>
      <extLst>
        <ext uri="{3e2802c4-a4d2-4d8b-9148-e3be6c30e623}">
          <xlrd:rvb i="4382"/>
        </ext>
      </extLst>
    </bk>
    <bk>
      <extLst>
        <ext uri="{3e2802c4-a4d2-4d8b-9148-e3be6c30e623}">
          <xlrd:rvb i="4383"/>
        </ext>
      </extLst>
    </bk>
    <bk>
      <extLst>
        <ext uri="{3e2802c4-a4d2-4d8b-9148-e3be6c30e623}">
          <xlrd:rvb i="4384"/>
        </ext>
      </extLst>
    </bk>
    <bk>
      <extLst>
        <ext uri="{3e2802c4-a4d2-4d8b-9148-e3be6c30e623}">
          <xlrd:rvb i="4385"/>
        </ext>
      </extLst>
    </bk>
    <bk>
      <extLst>
        <ext uri="{3e2802c4-a4d2-4d8b-9148-e3be6c30e623}">
          <xlrd:rvb i="4386"/>
        </ext>
      </extLst>
    </bk>
    <bk>
      <extLst>
        <ext uri="{3e2802c4-a4d2-4d8b-9148-e3be6c30e623}">
          <xlrd:rvb i="4387"/>
        </ext>
      </extLst>
    </bk>
    <bk>
      <extLst>
        <ext uri="{3e2802c4-a4d2-4d8b-9148-e3be6c30e623}">
          <xlrd:rvb i="4388"/>
        </ext>
      </extLst>
    </bk>
    <bk>
      <extLst>
        <ext uri="{3e2802c4-a4d2-4d8b-9148-e3be6c30e623}">
          <xlrd:rvb i="4389"/>
        </ext>
      </extLst>
    </bk>
    <bk>
      <extLst>
        <ext uri="{3e2802c4-a4d2-4d8b-9148-e3be6c30e623}">
          <xlrd:rvb i="4390"/>
        </ext>
      </extLst>
    </bk>
    <bk>
      <extLst>
        <ext uri="{3e2802c4-a4d2-4d8b-9148-e3be6c30e623}">
          <xlrd:rvb i="4391"/>
        </ext>
      </extLst>
    </bk>
    <bk>
      <extLst>
        <ext uri="{3e2802c4-a4d2-4d8b-9148-e3be6c30e623}">
          <xlrd:rvb i="4392"/>
        </ext>
      </extLst>
    </bk>
    <bk>
      <extLst>
        <ext uri="{3e2802c4-a4d2-4d8b-9148-e3be6c30e623}">
          <xlrd:rvb i="4393"/>
        </ext>
      </extLst>
    </bk>
    <bk>
      <extLst>
        <ext uri="{3e2802c4-a4d2-4d8b-9148-e3be6c30e623}">
          <xlrd:rvb i="4394"/>
        </ext>
      </extLst>
    </bk>
    <bk>
      <extLst>
        <ext uri="{3e2802c4-a4d2-4d8b-9148-e3be6c30e623}">
          <xlrd:rvb i="4395"/>
        </ext>
      </extLst>
    </bk>
    <bk>
      <extLst>
        <ext uri="{3e2802c4-a4d2-4d8b-9148-e3be6c30e623}">
          <xlrd:rvb i="4396"/>
        </ext>
      </extLst>
    </bk>
    <bk>
      <extLst>
        <ext uri="{3e2802c4-a4d2-4d8b-9148-e3be6c30e623}">
          <xlrd:rvb i="4397"/>
        </ext>
      </extLst>
    </bk>
    <bk>
      <extLst>
        <ext uri="{3e2802c4-a4d2-4d8b-9148-e3be6c30e623}">
          <xlrd:rvb i="4398"/>
        </ext>
      </extLst>
    </bk>
    <bk>
      <extLst>
        <ext uri="{3e2802c4-a4d2-4d8b-9148-e3be6c30e623}">
          <xlrd:rvb i="4399"/>
        </ext>
      </extLst>
    </bk>
    <bk>
      <extLst>
        <ext uri="{3e2802c4-a4d2-4d8b-9148-e3be6c30e623}">
          <xlrd:rvb i="4400"/>
        </ext>
      </extLst>
    </bk>
    <bk>
      <extLst>
        <ext uri="{3e2802c4-a4d2-4d8b-9148-e3be6c30e623}">
          <xlrd:rvb i="4401"/>
        </ext>
      </extLst>
    </bk>
    <bk>
      <extLst>
        <ext uri="{3e2802c4-a4d2-4d8b-9148-e3be6c30e623}">
          <xlrd:rvb i="4402"/>
        </ext>
      </extLst>
    </bk>
    <bk>
      <extLst>
        <ext uri="{3e2802c4-a4d2-4d8b-9148-e3be6c30e623}">
          <xlrd:rvb i="4403"/>
        </ext>
      </extLst>
    </bk>
    <bk>
      <extLst>
        <ext uri="{3e2802c4-a4d2-4d8b-9148-e3be6c30e623}">
          <xlrd:rvb i="4404"/>
        </ext>
      </extLst>
    </bk>
    <bk>
      <extLst>
        <ext uri="{3e2802c4-a4d2-4d8b-9148-e3be6c30e623}">
          <xlrd:rvb i="4405"/>
        </ext>
      </extLst>
    </bk>
    <bk>
      <extLst>
        <ext uri="{3e2802c4-a4d2-4d8b-9148-e3be6c30e623}">
          <xlrd:rvb i="4406"/>
        </ext>
      </extLst>
    </bk>
    <bk>
      <extLst>
        <ext uri="{3e2802c4-a4d2-4d8b-9148-e3be6c30e623}">
          <xlrd:rvb i="4407"/>
        </ext>
      </extLst>
    </bk>
    <bk>
      <extLst>
        <ext uri="{3e2802c4-a4d2-4d8b-9148-e3be6c30e623}">
          <xlrd:rvb i="4408"/>
        </ext>
      </extLst>
    </bk>
    <bk>
      <extLst>
        <ext uri="{3e2802c4-a4d2-4d8b-9148-e3be6c30e623}">
          <xlrd:rvb i="4409"/>
        </ext>
      </extLst>
    </bk>
    <bk>
      <extLst>
        <ext uri="{3e2802c4-a4d2-4d8b-9148-e3be6c30e623}">
          <xlrd:rvb i="4410"/>
        </ext>
      </extLst>
    </bk>
    <bk>
      <extLst>
        <ext uri="{3e2802c4-a4d2-4d8b-9148-e3be6c30e623}">
          <xlrd:rvb i="4411"/>
        </ext>
      </extLst>
    </bk>
    <bk>
      <extLst>
        <ext uri="{3e2802c4-a4d2-4d8b-9148-e3be6c30e623}">
          <xlrd:rvb i="4412"/>
        </ext>
      </extLst>
    </bk>
    <bk>
      <extLst>
        <ext uri="{3e2802c4-a4d2-4d8b-9148-e3be6c30e623}">
          <xlrd:rvb i="4413"/>
        </ext>
      </extLst>
    </bk>
    <bk>
      <extLst>
        <ext uri="{3e2802c4-a4d2-4d8b-9148-e3be6c30e623}">
          <xlrd:rvb i="4414"/>
        </ext>
      </extLst>
    </bk>
    <bk>
      <extLst>
        <ext uri="{3e2802c4-a4d2-4d8b-9148-e3be6c30e623}">
          <xlrd:rvb i="4415"/>
        </ext>
      </extLst>
    </bk>
    <bk>
      <extLst>
        <ext uri="{3e2802c4-a4d2-4d8b-9148-e3be6c30e623}">
          <xlrd:rvb i="4416"/>
        </ext>
      </extLst>
    </bk>
    <bk>
      <extLst>
        <ext uri="{3e2802c4-a4d2-4d8b-9148-e3be6c30e623}">
          <xlrd:rvb i="4417"/>
        </ext>
      </extLst>
    </bk>
    <bk>
      <extLst>
        <ext uri="{3e2802c4-a4d2-4d8b-9148-e3be6c30e623}">
          <xlrd:rvb i="4418"/>
        </ext>
      </extLst>
    </bk>
    <bk>
      <extLst>
        <ext uri="{3e2802c4-a4d2-4d8b-9148-e3be6c30e623}">
          <xlrd:rvb i="4419"/>
        </ext>
      </extLst>
    </bk>
    <bk>
      <extLst>
        <ext uri="{3e2802c4-a4d2-4d8b-9148-e3be6c30e623}">
          <xlrd:rvb i="4420"/>
        </ext>
      </extLst>
    </bk>
    <bk>
      <extLst>
        <ext uri="{3e2802c4-a4d2-4d8b-9148-e3be6c30e623}">
          <xlrd:rvb i="4421"/>
        </ext>
      </extLst>
    </bk>
    <bk>
      <extLst>
        <ext uri="{3e2802c4-a4d2-4d8b-9148-e3be6c30e623}">
          <xlrd:rvb i="4422"/>
        </ext>
      </extLst>
    </bk>
    <bk>
      <extLst>
        <ext uri="{3e2802c4-a4d2-4d8b-9148-e3be6c30e623}">
          <xlrd:rvb i="4423"/>
        </ext>
      </extLst>
    </bk>
    <bk>
      <extLst>
        <ext uri="{3e2802c4-a4d2-4d8b-9148-e3be6c30e623}">
          <xlrd:rvb i="4424"/>
        </ext>
      </extLst>
    </bk>
    <bk>
      <extLst>
        <ext uri="{3e2802c4-a4d2-4d8b-9148-e3be6c30e623}">
          <xlrd:rvb i="4425"/>
        </ext>
      </extLst>
    </bk>
    <bk>
      <extLst>
        <ext uri="{3e2802c4-a4d2-4d8b-9148-e3be6c30e623}">
          <xlrd:rvb i="4426"/>
        </ext>
      </extLst>
    </bk>
    <bk>
      <extLst>
        <ext uri="{3e2802c4-a4d2-4d8b-9148-e3be6c30e623}">
          <xlrd:rvb i="4427"/>
        </ext>
      </extLst>
    </bk>
    <bk>
      <extLst>
        <ext uri="{3e2802c4-a4d2-4d8b-9148-e3be6c30e623}">
          <xlrd:rvb i="4428"/>
        </ext>
      </extLst>
    </bk>
    <bk>
      <extLst>
        <ext uri="{3e2802c4-a4d2-4d8b-9148-e3be6c30e623}">
          <xlrd:rvb i="4429"/>
        </ext>
      </extLst>
    </bk>
    <bk>
      <extLst>
        <ext uri="{3e2802c4-a4d2-4d8b-9148-e3be6c30e623}">
          <xlrd:rvb i="4430"/>
        </ext>
      </extLst>
    </bk>
    <bk>
      <extLst>
        <ext uri="{3e2802c4-a4d2-4d8b-9148-e3be6c30e623}">
          <xlrd:rvb i="4431"/>
        </ext>
      </extLst>
    </bk>
    <bk>
      <extLst>
        <ext uri="{3e2802c4-a4d2-4d8b-9148-e3be6c30e623}">
          <xlrd:rvb i="4432"/>
        </ext>
      </extLst>
    </bk>
    <bk>
      <extLst>
        <ext uri="{3e2802c4-a4d2-4d8b-9148-e3be6c30e623}">
          <xlrd:rvb i="4433"/>
        </ext>
      </extLst>
    </bk>
    <bk>
      <extLst>
        <ext uri="{3e2802c4-a4d2-4d8b-9148-e3be6c30e623}">
          <xlrd:rvb i="4434"/>
        </ext>
      </extLst>
    </bk>
    <bk>
      <extLst>
        <ext uri="{3e2802c4-a4d2-4d8b-9148-e3be6c30e623}">
          <xlrd:rvb i="4435"/>
        </ext>
      </extLst>
    </bk>
    <bk>
      <extLst>
        <ext uri="{3e2802c4-a4d2-4d8b-9148-e3be6c30e623}">
          <xlrd:rvb i="4436"/>
        </ext>
      </extLst>
    </bk>
    <bk>
      <extLst>
        <ext uri="{3e2802c4-a4d2-4d8b-9148-e3be6c30e623}">
          <xlrd:rvb i="4437"/>
        </ext>
      </extLst>
    </bk>
    <bk>
      <extLst>
        <ext uri="{3e2802c4-a4d2-4d8b-9148-e3be6c30e623}">
          <xlrd:rvb i="4438"/>
        </ext>
      </extLst>
    </bk>
    <bk>
      <extLst>
        <ext uri="{3e2802c4-a4d2-4d8b-9148-e3be6c30e623}">
          <xlrd:rvb i="4439"/>
        </ext>
      </extLst>
    </bk>
    <bk>
      <extLst>
        <ext uri="{3e2802c4-a4d2-4d8b-9148-e3be6c30e623}">
          <xlrd:rvb i="4440"/>
        </ext>
      </extLst>
    </bk>
    <bk>
      <extLst>
        <ext uri="{3e2802c4-a4d2-4d8b-9148-e3be6c30e623}">
          <xlrd:rvb i="4441"/>
        </ext>
      </extLst>
    </bk>
    <bk>
      <extLst>
        <ext uri="{3e2802c4-a4d2-4d8b-9148-e3be6c30e623}">
          <xlrd:rvb i="4442"/>
        </ext>
      </extLst>
    </bk>
    <bk>
      <extLst>
        <ext uri="{3e2802c4-a4d2-4d8b-9148-e3be6c30e623}">
          <xlrd:rvb i="4443"/>
        </ext>
      </extLst>
    </bk>
    <bk>
      <extLst>
        <ext uri="{3e2802c4-a4d2-4d8b-9148-e3be6c30e623}">
          <xlrd:rvb i="4444"/>
        </ext>
      </extLst>
    </bk>
    <bk>
      <extLst>
        <ext uri="{3e2802c4-a4d2-4d8b-9148-e3be6c30e623}">
          <xlrd:rvb i="4445"/>
        </ext>
      </extLst>
    </bk>
    <bk>
      <extLst>
        <ext uri="{3e2802c4-a4d2-4d8b-9148-e3be6c30e623}">
          <xlrd:rvb i="4446"/>
        </ext>
      </extLst>
    </bk>
    <bk>
      <extLst>
        <ext uri="{3e2802c4-a4d2-4d8b-9148-e3be6c30e623}">
          <xlrd:rvb i="4447"/>
        </ext>
      </extLst>
    </bk>
    <bk>
      <extLst>
        <ext uri="{3e2802c4-a4d2-4d8b-9148-e3be6c30e623}">
          <xlrd:rvb i="4448"/>
        </ext>
      </extLst>
    </bk>
    <bk>
      <extLst>
        <ext uri="{3e2802c4-a4d2-4d8b-9148-e3be6c30e623}">
          <xlrd:rvb i="4449"/>
        </ext>
      </extLst>
    </bk>
    <bk>
      <extLst>
        <ext uri="{3e2802c4-a4d2-4d8b-9148-e3be6c30e623}">
          <xlrd:rvb i="4450"/>
        </ext>
      </extLst>
    </bk>
    <bk>
      <extLst>
        <ext uri="{3e2802c4-a4d2-4d8b-9148-e3be6c30e623}">
          <xlrd:rvb i="4451"/>
        </ext>
      </extLst>
    </bk>
    <bk>
      <extLst>
        <ext uri="{3e2802c4-a4d2-4d8b-9148-e3be6c30e623}">
          <xlrd:rvb i="4452"/>
        </ext>
      </extLst>
    </bk>
    <bk>
      <extLst>
        <ext uri="{3e2802c4-a4d2-4d8b-9148-e3be6c30e623}">
          <xlrd:rvb i="4453"/>
        </ext>
      </extLst>
    </bk>
    <bk>
      <extLst>
        <ext uri="{3e2802c4-a4d2-4d8b-9148-e3be6c30e623}">
          <xlrd:rvb i="4454"/>
        </ext>
      </extLst>
    </bk>
    <bk>
      <extLst>
        <ext uri="{3e2802c4-a4d2-4d8b-9148-e3be6c30e623}">
          <xlrd:rvb i="4455"/>
        </ext>
      </extLst>
    </bk>
    <bk>
      <extLst>
        <ext uri="{3e2802c4-a4d2-4d8b-9148-e3be6c30e623}">
          <xlrd:rvb i="4456"/>
        </ext>
      </extLst>
    </bk>
    <bk>
      <extLst>
        <ext uri="{3e2802c4-a4d2-4d8b-9148-e3be6c30e623}">
          <xlrd:rvb i="4457"/>
        </ext>
      </extLst>
    </bk>
    <bk>
      <extLst>
        <ext uri="{3e2802c4-a4d2-4d8b-9148-e3be6c30e623}">
          <xlrd:rvb i="4458"/>
        </ext>
      </extLst>
    </bk>
    <bk>
      <extLst>
        <ext uri="{3e2802c4-a4d2-4d8b-9148-e3be6c30e623}">
          <xlrd:rvb i="4459"/>
        </ext>
      </extLst>
    </bk>
    <bk>
      <extLst>
        <ext uri="{3e2802c4-a4d2-4d8b-9148-e3be6c30e623}">
          <xlrd:rvb i="4460"/>
        </ext>
      </extLst>
    </bk>
    <bk>
      <extLst>
        <ext uri="{3e2802c4-a4d2-4d8b-9148-e3be6c30e623}">
          <xlrd:rvb i="4461"/>
        </ext>
      </extLst>
    </bk>
    <bk>
      <extLst>
        <ext uri="{3e2802c4-a4d2-4d8b-9148-e3be6c30e623}">
          <xlrd:rvb i="4462"/>
        </ext>
      </extLst>
    </bk>
    <bk>
      <extLst>
        <ext uri="{3e2802c4-a4d2-4d8b-9148-e3be6c30e623}">
          <xlrd:rvb i="4463"/>
        </ext>
      </extLst>
    </bk>
    <bk>
      <extLst>
        <ext uri="{3e2802c4-a4d2-4d8b-9148-e3be6c30e623}">
          <xlrd:rvb i="4464"/>
        </ext>
      </extLst>
    </bk>
    <bk>
      <extLst>
        <ext uri="{3e2802c4-a4d2-4d8b-9148-e3be6c30e623}">
          <xlrd:rvb i="4465"/>
        </ext>
      </extLst>
    </bk>
    <bk>
      <extLst>
        <ext uri="{3e2802c4-a4d2-4d8b-9148-e3be6c30e623}">
          <xlrd:rvb i="4466"/>
        </ext>
      </extLst>
    </bk>
    <bk>
      <extLst>
        <ext uri="{3e2802c4-a4d2-4d8b-9148-e3be6c30e623}">
          <xlrd:rvb i="4467"/>
        </ext>
      </extLst>
    </bk>
    <bk>
      <extLst>
        <ext uri="{3e2802c4-a4d2-4d8b-9148-e3be6c30e623}">
          <xlrd:rvb i="4468"/>
        </ext>
      </extLst>
    </bk>
    <bk>
      <extLst>
        <ext uri="{3e2802c4-a4d2-4d8b-9148-e3be6c30e623}">
          <xlrd:rvb i="4469"/>
        </ext>
      </extLst>
    </bk>
    <bk>
      <extLst>
        <ext uri="{3e2802c4-a4d2-4d8b-9148-e3be6c30e623}">
          <xlrd:rvb i="4470"/>
        </ext>
      </extLst>
    </bk>
    <bk>
      <extLst>
        <ext uri="{3e2802c4-a4d2-4d8b-9148-e3be6c30e623}">
          <xlrd:rvb i="4471"/>
        </ext>
      </extLst>
    </bk>
    <bk>
      <extLst>
        <ext uri="{3e2802c4-a4d2-4d8b-9148-e3be6c30e623}">
          <xlrd:rvb i="4472"/>
        </ext>
      </extLst>
    </bk>
    <bk>
      <extLst>
        <ext uri="{3e2802c4-a4d2-4d8b-9148-e3be6c30e623}">
          <xlrd:rvb i="4473"/>
        </ext>
      </extLst>
    </bk>
    <bk>
      <extLst>
        <ext uri="{3e2802c4-a4d2-4d8b-9148-e3be6c30e623}">
          <xlrd:rvb i="4474"/>
        </ext>
      </extLst>
    </bk>
    <bk>
      <extLst>
        <ext uri="{3e2802c4-a4d2-4d8b-9148-e3be6c30e623}">
          <xlrd:rvb i="4475"/>
        </ext>
      </extLst>
    </bk>
    <bk>
      <extLst>
        <ext uri="{3e2802c4-a4d2-4d8b-9148-e3be6c30e623}">
          <xlrd:rvb i="4476"/>
        </ext>
      </extLst>
    </bk>
    <bk>
      <extLst>
        <ext uri="{3e2802c4-a4d2-4d8b-9148-e3be6c30e623}">
          <xlrd:rvb i="4477"/>
        </ext>
      </extLst>
    </bk>
    <bk>
      <extLst>
        <ext uri="{3e2802c4-a4d2-4d8b-9148-e3be6c30e623}">
          <xlrd:rvb i="4478"/>
        </ext>
      </extLst>
    </bk>
    <bk>
      <extLst>
        <ext uri="{3e2802c4-a4d2-4d8b-9148-e3be6c30e623}">
          <xlrd:rvb i="4479"/>
        </ext>
      </extLst>
    </bk>
    <bk>
      <extLst>
        <ext uri="{3e2802c4-a4d2-4d8b-9148-e3be6c30e623}">
          <xlrd:rvb i="4480"/>
        </ext>
      </extLst>
    </bk>
    <bk>
      <extLst>
        <ext uri="{3e2802c4-a4d2-4d8b-9148-e3be6c30e623}">
          <xlrd:rvb i="4481"/>
        </ext>
      </extLst>
    </bk>
    <bk>
      <extLst>
        <ext uri="{3e2802c4-a4d2-4d8b-9148-e3be6c30e623}">
          <xlrd:rvb i="4482"/>
        </ext>
      </extLst>
    </bk>
    <bk>
      <extLst>
        <ext uri="{3e2802c4-a4d2-4d8b-9148-e3be6c30e623}">
          <xlrd:rvb i="4483"/>
        </ext>
      </extLst>
    </bk>
    <bk>
      <extLst>
        <ext uri="{3e2802c4-a4d2-4d8b-9148-e3be6c30e623}">
          <xlrd:rvb i="4484"/>
        </ext>
      </extLst>
    </bk>
    <bk>
      <extLst>
        <ext uri="{3e2802c4-a4d2-4d8b-9148-e3be6c30e623}">
          <xlrd:rvb i="4485"/>
        </ext>
      </extLst>
    </bk>
    <bk>
      <extLst>
        <ext uri="{3e2802c4-a4d2-4d8b-9148-e3be6c30e623}">
          <xlrd:rvb i="4486"/>
        </ext>
      </extLst>
    </bk>
    <bk>
      <extLst>
        <ext uri="{3e2802c4-a4d2-4d8b-9148-e3be6c30e623}">
          <xlrd:rvb i="4487"/>
        </ext>
      </extLst>
    </bk>
    <bk>
      <extLst>
        <ext uri="{3e2802c4-a4d2-4d8b-9148-e3be6c30e623}">
          <xlrd:rvb i="4488"/>
        </ext>
      </extLst>
    </bk>
    <bk>
      <extLst>
        <ext uri="{3e2802c4-a4d2-4d8b-9148-e3be6c30e623}">
          <xlrd:rvb i="4489"/>
        </ext>
      </extLst>
    </bk>
    <bk>
      <extLst>
        <ext uri="{3e2802c4-a4d2-4d8b-9148-e3be6c30e623}">
          <xlrd:rvb i="4490"/>
        </ext>
      </extLst>
    </bk>
    <bk>
      <extLst>
        <ext uri="{3e2802c4-a4d2-4d8b-9148-e3be6c30e623}">
          <xlrd:rvb i="4491"/>
        </ext>
      </extLst>
    </bk>
    <bk>
      <extLst>
        <ext uri="{3e2802c4-a4d2-4d8b-9148-e3be6c30e623}">
          <xlrd:rvb i="4492"/>
        </ext>
      </extLst>
    </bk>
    <bk>
      <extLst>
        <ext uri="{3e2802c4-a4d2-4d8b-9148-e3be6c30e623}">
          <xlrd:rvb i="4493"/>
        </ext>
      </extLst>
    </bk>
    <bk>
      <extLst>
        <ext uri="{3e2802c4-a4d2-4d8b-9148-e3be6c30e623}">
          <xlrd:rvb i="4494"/>
        </ext>
      </extLst>
    </bk>
    <bk>
      <extLst>
        <ext uri="{3e2802c4-a4d2-4d8b-9148-e3be6c30e623}">
          <xlrd:rvb i="4495"/>
        </ext>
      </extLst>
    </bk>
    <bk>
      <extLst>
        <ext uri="{3e2802c4-a4d2-4d8b-9148-e3be6c30e623}">
          <xlrd:rvb i="4496"/>
        </ext>
      </extLst>
    </bk>
    <bk>
      <extLst>
        <ext uri="{3e2802c4-a4d2-4d8b-9148-e3be6c30e623}">
          <xlrd:rvb i="4497"/>
        </ext>
      </extLst>
    </bk>
    <bk>
      <extLst>
        <ext uri="{3e2802c4-a4d2-4d8b-9148-e3be6c30e623}">
          <xlrd:rvb i="4498"/>
        </ext>
      </extLst>
    </bk>
    <bk>
      <extLst>
        <ext uri="{3e2802c4-a4d2-4d8b-9148-e3be6c30e623}">
          <xlrd:rvb i="4499"/>
        </ext>
      </extLst>
    </bk>
    <bk>
      <extLst>
        <ext uri="{3e2802c4-a4d2-4d8b-9148-e3be6c30e623}">
          <xlrd:rvb i="4500"/>
        </ext>
      </extLst>
    </bk>
    <bk>
      <extLst>
        <ext uri="{3e2802c4-a4d2-4d8b-9148-e3be6c30e623}">
          <xlrd:rvb i="4501"/>
        </ext>
      </extLst>
    </bk>
    <bk>
      <extLst>
        <ext uri="{3e2802c4-a4d2-4d8b-9148-e3be6c30e623}">
          <xlrd:rvb i="4502"/>
        </ext>
      </extLst>
    </bk>
    <bk>
      <extLst>
        <ext uri="{3e2802c4-a4d2-4d8b-9148-e3be6c30e623}">
          <xlrd:rvb i="4503"/>
        </ext>
      </extLst>
    </bk>
    <bk>
      <extLst>
        <ext uri="{3e2802c4-a4d2-4d8b-9148-e3be6c30e623}">
          <xlrd:rvb i="4504"/>
        </ext>
      </extLst>
    </bk>
    <bk>
      <extLst>
        <ext uri="{3e2802c4-a4d2-4d8b-9148-e3be6c30e623}">
          <xlrd:rvb i="4505"/>
        </ext>
      </extLst>
    </bk>
    <bk>
      <extLst>
        <ext uri="{3e2802c4-a4d2-4d8b-9148-e3be6c30e623}">
          <xlrd:rvb i="4506"/>
        </ext>
      </extLst>
    </bk>
    <bk>
      <extLst>
        <ext uri="{3e2802c4-a4d2-4d8b-9148-e3be6c30e623}">
          <xlrd:rvb i="4507"/>
        </ext>
      </extLst>
    </bk>
    <bk>
      <extLst>
        <ext uri="{3e2802c4-a4d2-4d8b-9148-e3be6c30e623}">
          <xlrd:rvb i="4508"/>
        </ext>
      </extLst>
    </bk>
    <bk>
      <extLst>
        <ext uri="{3e2802c4-a4d2-4d8b-9148-e3be6c30e623}">
          <xlrd:rvb i="4509"/>
        </ext>
      </extLst>
    </bk>
    <bk>
      <extLst>
        <ext uri="{3e2802c4-a4d2-4d8b-9148-e3be6c30e623}">
          <xlrd:rvb i="4510"/>
        </ext>
      </extLst>
    </bk>
    <bk>
      <extLst>
        <ext uri="{3e2802c4-a4d2-4d8b-9148-e3be6c30e623}">
          <xlrd:rvb i="4511"/>
        </ext>
      </extLst>
    </bk>
    <bk>
      <extLst>
        <ext uri="{3e2802c4-a4d2-4d8b-9148-e3be6c30e623}">
          <xlrd:rvb i="4512"/>
        </ext>
      </extLst>
    </bk>
    <bk>
      <extLst>
        <ext uri="{3e2802c4-a4d2-4d8b-9148-e3be6c30e623}">
          <xlrd:rvb i="4513"/>
        </ext>
      </extLst>
    </bk>
    <bk>
      <extLst>
        <ext uri="{3e2802c4-a4d2-4d8b-9148-e3be6c30e623}">
          <xlrd:rvb i="4514"/>
        </ext>
      </extLst>
    </bk>
    <bk>
      <extLst>
        <ext uri="{3e2802c4-a4d2-4d8b-9148-e3be6c30e623}">
          <xlrd:rvb i="4515"/>
        </ext>
      </extLst>
    </bk>
    <bk>
      <extLst>
        <ext uri="{3e2802c4-a4d2-4d8b-9148-e3be6c30e623}">
          <xlrd:rvb i="4516"/>
        </ext>
      </extLst>
    </bk>
    <bk>
      <extLst>
        <ext uri="{3e2802c4-a4d2-4d8b-9148-e3be6c30e623}">
          <xlrd:rvb i="4517"/>
        </ext>
      </extLst>
    </bk>
    <bk>
      <extLst>
        <ext uri="{3e2802c4-a4d2-4d8b-9148-e3be6c30e623}">
          <xlrd:rvb i="4518"/>
        </ext>
      </extLst>
    </bk>
    <bk>
      <extLst>
        <ext uri="{3e2802c4-a4d2-4d8b-9148-e3be6c30e623}">
          <xlrd:rvb i="4519"/>
        </ext>
      </extLst>
    </bk>
    <bk>
      <extLst>
        <ext uri="{3e2802c4-a4d2-4d8b-9148-e3be6c30e623}">
          <xlrd:rvb i="4520"/>
        </ext>
      </extLst>
    </bk>
    <bk>
      <extLst>
        <ext uri="{3e2802c4-a4d2-4d8b-9148-e3be6c30e623}">
          <xlrd:rvb i="4521"/>
        </ext>
      </extLst>
    </bk>
    <bk>
      <extLst>
        <ext uri="{3e2802c4-a4d2-4d8b-9148-e3be6c30e623}">
          <xlrd:rvb i="4522"/>
        </ext>
      </extLst>
    </bk>
    <bk>
      <extLst>
        <ext uri="{3e2802c4-a4d2-4d8b-9148-e3be6c30e623}">
          <xlrd:rvb i="4523"/>
        </ext>
      </extLst>
    </bk>
    <bk>
      <extLst>
        <ext uri="{3e2802c4-a4d2-4d8b-9148-e3be6c30e623}">
          <xlrd:rvb i="4524"/>
        </ext>
      </extLst>
    </bk>
    <bk>
      <extLst>
        <ext uri="{3e2802c4-a4d2-4d8b-9148-e3be6c30e623}">
          <xlrd:rvb i="4525"/>
        </ext>
      </extLst>
    </bk>
    <bk>
      <extLst>
        <ext uri="{3e2802c4-a4d2-4d8b-9148-e3be6c30e623}">
          <xlrd:rvb i="4526"/>
        </ext>
      </extLst>
    </bk>
    <bk>
      <extLst>
        <ext uri="{3e2802c4-a4d2-4d8b-9148-e3be6c30e623}">
          <xlrd:rvb i="4527"/>
        </ext>
      </extLst>
    </bk>
    <bk>
      <extLst>
        <ext uri="{3e2802c4-a4d2-4d8b-9148-e3be6c30e623}">
          <xlrd:rvb i="4528"/>
        </ext>
      </extLst>
    </bk>
    <bk>
      <extLst>
        <ext uri="{3e2802c4-a4d2-4d8b-9148-e3be6c30e623}">
          <xlrd:rvb i="4529"/>
        </ext>
      </extLst>
    </bk>
    <bk>
      <extLst>
        <ext uri="{3e2802c4-a4d2-4d8b-9148-e3be6c30e623}">
          <xlrd:rvb i="4530"/>
        </ext>
      </extLst>
    </bk>
    <bk>
      <extLst>
        <ext uri="{3e2802c4-a4d2-4d8b-9148-e3be6c30e623}">
          <xlrd:rvb i="4531"/>
        </ext>
      </extLst>
    </bk>
    <bk>
      <extLst>
        <ext uri="{3e2802c4-a4d2-4d8b-9148-e3be6c30e623}">
          <xlrd:rvb i="4532"/>
        </ext>
      </extLst>
    </bk>
    <bk>
      <extLst>
        <ext uri="{3e2802c4-a4d2-4d8b-9148-e3be6c30e623}">
          <xlrd:rvb i="4533"/>
        </ext>
      </extLst>
    </bk>
    <bk>
      <extLst>
        <ext uri="{3e2802c4-a4d2-4d8b-9148-e3be6c30e623}">
          <xlrd:rvb i="4534"/>
        </ext>
      </extLst>
    </bk>
    <bk>
      <extLst>
        <ext uri="{3e2802c4-a4d2-4d8b-9148-e3be6c30e623}">
          <xlrd:rvb i="4535"/>
        </ext>
      </extLst>
    </bk>
    <bk>
      <extLst>
        <ext uri="{3e2802c4-a4d2-4d8b-9148-e3be6c30e623}">
          <xlrd:rvb i="4536"/>
        </ext>
      </extLst>
    </bk>
    <bk>
      <extLst>
        <ext uri="{3e2802c4-a4d2-4d8b-9148-e3be6c30e623}">
          <xlrd:rvb i="4537"/>
        </ext>
      </extLst>
    </bk>
    <bk>
      <extLst>
        <ext uri="{3e2802c4-a4d2-4d8b-9148-e3be6c30e623}">
          <xlrd:rvb i="4538"/>
        </ext>
      </extLst>
    </bk>
    <bk>
      <extLst>
        <ext uri="{3e2802c4-a4d2-4d8b-9148-e3be6c30e623}">
          <xlrd:rvb i="4539"/>
        </ext>
      </extLst>
    </bk>
    <bk>
      <extLst>
        <ext uri="{3e2802c4-a4d2-4d8b-9148-e3be6c30e623}">
          <xlrd:rvb i="4540"/>
        </ext>
      </extLst>
    </bk>
    <bk>
      <extLst>
        <ext uri="{3e2802c4-a4d2-4d8b-9148-e3be6c30e623}">
          <xlrd:rvb i="4541"/>
        </ext>
      </extLst>
    </bk>
    <bk>
      <extLst>
        <ext uri="{3e2802c4-a4d2-4d8b-9148-e3be6c30e623}">
          <xlrd:rvb i="4542"/>
        </ext>
      </extLst>
    </bk>
    <bk>
      <extLst>
        <ext uri="{3e2802c4-a4d2-4d8b-9148-e3be6c30e623}">
          <xlrd:rvb i="4543"/>
        </ext>
      </extLst>
    </bk>
    <bk>
      <extLst>
        <ext uri="{3e2802c4-a4d2-4d8b-9148-e3be6c30e623}">
          <xlrd:rvb i="4544"/>
        </ext>
      </extLst>
    </bk>
    <bk>
      <extLst>
        <ext uri="{3e2802c4-a4d2-4d8b-9148-e3be6c30e623}">
          <xlrd:rvb i="4545"/>
        </ext>
      </extLst>
    </bk>
    <bk>
      <extLst>
        <ext uri="{3e2802c4-a4d2-4d8b-9148-e3be6c30e623}">
          <xlrd:rvb i="4546"/>
        </ext>
      </extLst>
    </bk>
    <bk>
      <extLst>
        <ext uri="{3e2802c4-a4d2-4d8b-9148-e3be6c30e623}">
          <xlrd:rvb i="4547"/>
        </ext>
      </extLst>
    </bk>
    <bk>
      <extLst>
        <ext uri="{3e2802c4-a4d2-4d8b-9148-e3be6c30e623}">
          <xlrd:rvb i="4548"/>
        </ext>
      </extLst>
    </bk>
    <bk>
      <extLst>
        <ext uri="{3e2802c4-a4d2-4d8b-9148-e3be6c30e623}">
          <xlrd:rvb i="4549"/>
        </ext>
      </extLst>
    </bk>
    <bk>
      <extLst>
        <ext uri="{3e2802c4-a4d2-4d8b-9148-e3be6c30e623}">
          <xlrd:rvb i="4550"/>
        </ext>
      </extLst>
    </bk>
    <bk>
      <extLst>
        <ext uri="{3e2802c4-a4d2-4d8b-9148-e3be6c30e623}">
          <xlrd:rvb i="4551"/>
        </ext>
      </extLst>
    </bk>
    <bk>
      <extLst>
        <ext uri="{3e2802c4-a4d2-4d8b-9148-e3be6c30e623}">
          <xlrd:rvb i="4552"/>
        </ext>
      </extLst>
    </bk>
    <bk>
      <extLst>
        <ext uri="{3e2802c4-a4d2-4d8b-9148-e3be6c30e623}">
          <xlrd:rvb i="4553"/>
        </ext>
      </extLst>
    </bk>
    <bk>
      <extLst>
        <ext uri="{3e2802c4-a4d2-4d8b-9148-e3be6c30e623}">
          <xlrd:rvb i="4554"/>
        </ext>
      </extLst>
    </bk>
    <bk>
      <extLst>
        <ext uri="{3e2802c4-a4d2-4d8b-9148-e3be6c30e623}">
          <xlrd:rvb i="4555"/>
        </ext>
      </extLst>
    </bk>
    <bk>
      <extLst>
        <ext uri="{3e2802c4-a4d2-4d8b-9148-e3be6c30e623}">
          <xlrd:rvb i="4556"/>
        </ext>
      </extLst>
    </bk>
    <bk>
      <extLst>
        <ext uri="{3e2802c4-a4d2-4d8b-9148-e3be6c30e623}">
          <xlrd:rvb i="4557"/>
        </ext>
      </extLst>
    </bk>
    <bk>
      <extLst>
        <ext uri="{3e2802c4-a4d2-4d8b-9148-e3be6c30e623}">
          <xlrd:rvb i="4558"/>
        </ext>
      </extLst>
    </bk>
    <bk>
      <extLst>
        <ext uri="{3e2802c4-a4d2-4d8b-9148-e3be6c30e623}">
          <xlrd:rvb i="4559"/>
        </ext>
      </extLst>
    </bk>
    <bk>
      <extLst>
        <ext uri="{3e2802c4-a4d2-4d8b-9148-e3be6c30e623}">
          <xlrd:rvb i="4560"/>
        </ext>
      </extLst>
    </bk>
    <bk>
      <extLst>
        <ext uri="{3e2802c4-a4d2-4d8b-9148-e3be6c30e623}">
          <xlrd:rvb i="4561"/>
        </ext>
      </extLst>
    </bk>
    <bk>
      <extLst>
        <ext uri="{3e2802c4-a4d2-4d8b-9148-e3be6c30e623}">
          <xlrd:rvb i="4562"/>
        </ext>
      </extLst>
    </bk>
    <bk>
      <extLst>
        <ext uri="{3e2802c4-a4d2-4d8b-9148-e3be6c30e623}">
          <xlrd:rvb i="4563"/>
        </ext>
      </extLst>
    </bk>
    <bk>
      <extLst>
        <ext uri="{3e2802c4-a4d2-4d8b-9148-e3be6c30e623}">
          <xlrd:rvb i="4564"/>
        </ext>
      </extLst>
    </bk>
    <bk>
      <extLst>
        <ext uri="{3e2802c4-a4d2-4d8b-9148-e3be6c30e623}">
          <xlrd:rvb i="4565"/>
        </ext>
      </extLst>
    </bk>
    <bk>
      <extLst>
        <ext uri="{3e2802c4-a4d2-4d8b-9148-e3be6c30e623}">
          <xlrd:rvb i="4566"/>
        </ext>
      </extLst>
    </bk>
    <bk>
      <extLst>
        <ext uri="{3e2802c4-a4d2-4d8b-9148-e3be6c30e623}">
          <xlrd:rvb i="4567"/>
        </ext>
      </extLst>
    </bk>
    <bk>
      <extLst>
        <ext uri="{3e2802c4-a4d2-4d8b-9148-e3be6c30e623}">
          <xlrd:rvb i="4568"/>
        </ext>
      </extLst>
    </bk>
    <bk>
      <extLst>
        <ext uri="{3e2802c4-a4d2-4d8b-9148-e3be6c30e623}">
          <xlrd:rvb i="4569"/>
        </ext>
      </extLst>
    </bk>
    <bk>
      <extLst>
        <ext uri="{3e2802c4-a4d2-4d8b-9148-e3be6c30e623}">
          <xlrd:rvb i="4570"/>
        </ext>
      </extLst>
    </bk>
    <bk>
      <extLst>
        <ext uri="{3e2802c4-a4d2-4d8b-9148-e3be6c30e623}">
          <xlrd:rvb i="4571"/>
        </ext>
      </extLst>
    </bk>
    <bk>
      <extLst>
        <ext uri="{3e2802c4-a4d2-4d8b-9148-e3be6c30e623}">
          <xlrd:rvb i="4572"/>
        </ext>
      </extLst>
    </bk>
    <bk>
      <extLst>
        <ext uri="{3e2802c4-a4d2-4d8b-9148-e3be6c30e623}">
          <xlrd:rvb i="4573"/>
        </ext>
      </extLst>
    </bk>
    <bk>
      <extLst>
        <ext uri="{3e2802c4-a4d2-4d8b-9148-e3be6c30e623}">
          <xlrd:rvb i="4574"/>
        </ext>
      </extLst>
    </bk>
    <bk>
      <extLst>
        <ext uri="{3e2802c4-a4d2-4d8b-9148-e3be6c30e623}">
          <xlrd:rvb i="4575"/>
        </ext>
      </extLst>
    </bk>
    <bk>
      <extLst>
        <ext uri="{3e2802c4-a4d2-4d8b-9148-e3be6c30e623}">
          <xlrd:rvb i="4576"/>
        </ext>
      </extLst>
    </bk>
    <bk>
      <extLst>
        <ext uri="{3e2802c4-a4d2-4d8b-9148-e3be6c30e623}">
          <xlrd:rvb i="4577"/>
        </ext>
      </extLst>
    </bk>
    <bk>
      <extLst>
        <ext uri="{3e2802c4-a4d2-4d8b-9148-e3be6c30e623}">
          <xlrd:rvb i="4578"/>
        </ext>
      </extLst>
    </bk>
    <bk>
      <extLst>
        <ext uri="{3e2802c4-a4d2-4d8b-9148-e3be6c30e623}">
          <xlrd:rvb i="4579"/>
        </ext>
      </extLst>
    </bk>
    <bk>
      <extLst>
        <ext uri="{3e2802c4-a4d2-4d8b-9148-e3be6c30e623}">
          <xlrd:rvb i="4580"/>
        </ext>
      </extLst>
    </bk>
    <bk>
      <extLst>
        <ext uri="{3e2802c4-a4d2-4d8b-9148-e3be6c30e623}">
          <xlrd:rvb i="4581"/>
        </ext>
      </extLst>
    </bk>
    <bk>
      <extLst>
        <ext uri="{3e2802c4-a4d2-4d8b-9148-e3be6c30e623}">
          <xlrd:rvb i="4582"/>
        </ext>
      </extLst>
    </bk>
    <bk>
      <extLst>
        <ext uri="{3e2802c4-a4d2-4d8b-9148-e3be6c30e623}">
          <xlrd:rvb i="4583"/>
        </ext>
      </extLst>
    </bk>
    <bk>
      <extLst>
        <ext uri="{3e2802c4-a4d2-4d8b-9148-e3be6c30e623}">
          <xlrd:rvb i="4584"/>
        </ext>
      </extLst>
    </bk>
    <bk>
      <extLst>
        <ext uri="{3e2802c4-a4d2-4d8b-9148-e3be6c30e623}">
          <xlrd:rvb i="4585"/>
        </ext>
      </extLst>
    </bk>
    <bk>
      <extLst>
        <ext uri="{3e2802c4-a4d2-4d8b-9148-e3be6c30e623}">
          <xlrd:rvb i="4586"/>
        </ext>
      </extLst>
    </bk>
    <bk>
      <extLst>
        <ext uri="{3e2802c4-a4d2-4d8b-9148-e3be6c30e623}">
          <xlrd:rvb i="4587"/>
        </ext>
      </extLst>
    </bk>
    <bk>
      <extLst>
        <ext uri="{3e2802c4-a4d2-4d8b-9148-e3be6c30e623}">
          <xlrd:rvb i="4588"/>
        </ext>
      </extLst>
    </bk>
    <bk>
      <extLst>
        <ext uri="{3e2802c4-a4d2-4d8b-9148-e3be6c30e623}">
          <xlrd:rvb i="4589"/>
        </ext>
      </extLst>
    </bk>
    <bk>
      <extLst>
        <ext uri="{3e2802c4-a4d2-4d8b-9148-e3be6c30e623}">
          <xlrd:rvb i="4590"/>
        </ext>
      </extLst>
    </bk>
    <bk>
      <extLst>
        <ext uri="{3e2802c4-a4d2-4d8b-9148-e3be6c30e623}">
          <xlrd:rvb i="4591"/>
        </ext>
      </extLst>
    </bk>
    <bk>
      <extLst>
        <ext uri="{3e2802c4-a4d2-4d8b-9148-e3be6c30e623}">
          <xlrd:rvb i="4592"/>
        </ext>
      </extLst>
    </bk>
    <bk>
      <extLst>
        <ext uri="{3e2802c4-a4d2-4d8b-9148-e3be6c30e623}">
          <xlrd:rvb i="4593"/>
        </ext>
      </extLst>
    </bk>
    <bk>
      <extLst>
        <ext uri="{3e2802c4-a4d2-4d8b-9148-e3be6c30e623}">
          <xlrd:rvb i="4594"/>
        </ext>
      </extLst>
    </bk>
    <bk>
      <extLst>
        <ext uri="{3e2802c4-a4d2-4d8b-9148-e3be6c30e623}">
          <xlrd:rvb i="4595"/>
        </ext>
      </extLst>
    </bk>
    <bk>
      <extLst>
        <ext uri="{3e2802c4-a4d2-4d8b-9148-e3be6c30e623}">
          <xlrd:rvb i="4596"/>
        </ext>
      </extLst>
    </bk>
    <bk>
      <extLst>
        <ext uri="{3e2802c4-a4d2-4d8b-9148-e3be6c30e623}">
          <xlrd:rvb i="4597"/>
        </ext>
      </extLst>
    </bk>
    <bk>
      <extLst>
        <ext uri="{3e2802c4-a4d2-4d8b-9148-e3be6c30e623}">
          <xlrd:rvb i="4598"/>
        </ext>
      </extLst>
    </bk>
    <bk>
      <extLst>
        <ext uri="{3e2802c4-a4d2-4d8b-9148-e3be6c30e623}">
          <xlrd:rvb i="4599"/>
        </ext>
      </extLst>
    </bk>
    <bk>
      <extLst>
        <ext uri="{3e2802c4-a4d2-4d8b-9148-e3be6c30e623}">
          <xlrd:rvb i="4600"/>
        </ext>
      </extLst>
    </bk>
    <bk>
      <extLst>
        <ext uri="{3e2802c4-a4d2-4d8b-9148-e3be6c30e623}">
          <xlrd:rvb i="4601"/>
        </ext>
      </extLst>
    </bk>
    <bk>
      <extLst>
        <ext uri="{3e2802c4-a4d2-4d8b-9148-e3be6c30e623}">
          <xlrd:rvb i="4602"/>
        </ext>
      </extLst>
    </bk>
    <bk>
      <extLst>
        <ext uri="{3e2802c4-a4d2-4d8b-9148-e3be6c30e623}">
          <xlrd:rvb i="4603"/>
        </ext>
      </extLst>
    </bk>
    <bk>
      <extLst>
        <ext uri="{3e2802c4-a4d2-4d8b-9148-e3be6c30e623}">
          <xlrd:rvb i="4604"/>
        </ext>
      </extLst>
    </bk>
    <bk>
      <extLst>
        <ext uri="{3e2802c4-a4d2-4d8b-9148-e3be6c30e623}">
          <xlrd:rvb i="4605"/>
        </ext>
      </extLst>
    </bk>
    <bk>
      <extLst>
        <ext uri="{3e2802c4-a4d2-4d8b-9148-e3be6c30e623}">
          <xlrd:rvb i="4606"/>
        </ext>
      </extLst>
    </bk>
    <bk>
      <extLst>
        <ext uri="{3e2802c4-a4d2-4d8b-9148-e3be6c30e623}">
          <xlrd:rvb i="4607"/>
        </ext>
      </extLst>
    </bk>
    <bk>
      <extLst>
        <ext uri="{3e2802c4-a4d2-4d8b-9148-e3be6c30e623}">
          <xlrd:rvb i="4608"/>
        </ext>
      </extLst>
    </bk>
    <bk>
      <extLst>
        <ext uri="{3e2802c4-a4d2-4d8b-9148-e3be6c30e623}">
          <xlrd:rvb i="4609"/>
        </ext>
      </extLst>
    </bk>
    <bk>
      <extLst>
        <ext uri="{3e2802c4-a4d2-4d8b-9148-e3be6c30e623}">
          <xlrd:rvb i="4610"/>
        </ext>
      </extLst>
    </bk>
    <bk>
      <extLst>
        <ext uri="{3e2802c4-a4d2-4d8b-9148-e3be6c30e623}">
          <xlrd:rvb i="4611"/>
        </ext>
      </extLst>
    </bk>
    <bk>
      <extLst>
        <ext uri="{3e2802c4-a4d2-4d8b-9148-e3be6c30e623}">
          <xlrd:rvb i="4612"/>
        </ext>
      </extLst>
    </bk>
    <bk>
      <extLst>
        <ext uri="{3e2802c4-a4d2-4d8b-9148-e3be6c30e623}">
          <xlrd:rvb i="4613"/>
        </ext>
      </extLst>
    </bk>
    <bk>
      <extLst>
        <ext uri="{3e2802c4-a4d2-4d8b-9148-e3be6c30e623}">
          <xlrd:rvb i="4614"/>
        </ext>
      </extLst>
    </bk>
    <bk>
      <extLst>
        <ext uri="{3e2802c4-a4d2-4d8b-9148-e3be6c30e623}">
          <xlrd:rvb i="4615"/>
        </ext>
      </extLst>
    </bk>
    <bk>
      <extLst>
        <ext uri="{3e2802c4-a4d2-4d8b-9148-e3be6c30e623}">
          <xlrd:rvb i="4616"/>
        </ext>
      </extLst>
    </bk>
    <bk>
      <extLst>
        <ext uri="{3e2802c4-a4d2-4d8b-9148-e3be6c30e623}">
          <xlrd:rvb i="4617"/>
        </ext>
      </extLst>
    </bk>
    <bk>
      <extLst>
        <ext uri="{3e2802c4-a4d2-4d8b-9148-e3be6c30e623}">
          <xlrd:rvb i="4618"/>
        </ext>
      </extLst>
    </bk>
    <bk>
      <extLst>
        <ext uri="{3e2802c4-a4d2-4d8b-9148-e3be6c30e623}">
          <xlrd:rvb i="4619"/>
        </ext>
      </extLst>
    </bk>
    <bk>
      <extLst>
        <ext uri="{3e2802c4-a4d2-4d8b-9148-e3be6c30e623}">
          <xlrd:rvb i="4620"/>
        </ext>
      </extLst>
    </bk>
    <bk>
      <extLst>
        <ext uri="{3e2802c4-a4d2-4d8b-9148-e3be6c30e623}">
          <xlrd:rvb i="4621"/>
        </ext>
      </extLst>
    </bk>
    <bk>
      <extLst>
        <ext uri="{3e2802c4-a4d2-4d8b-9148-e3be6c30e623}">
          <xlrd:rvb i="4622"/>
        </ext>
      </extLst>
    </bk>
    <bk>
      <extLst>
        <ext uri="{3e2802c4-a4d2-4d8b-9148-e3be6c30e623}">
          <xlrd:rvb i="4623"/>
        </ext>
      </extLst>
    </bk>
    <bk>
      <extLst>
        <ext uri="{3e2802c4-a4d2-4d8b-9148-e3be6c30e623}">
          <xlrd:rvb i="4624"/>
        </ext>
      </extLst>
    </bk>
    <bk>
      <extLst>
        <ext uri="{3e2802c4-a4d2-4d8b-9148-e3be6c30e623}">
          <xlrd:rvb i="4625"/>
        </ext>
      </extLst>
    </bk>
    <bk>
      <extLst>
        <ext uri="{3e2802c4-a4d2-4d8b-9148-e3be6c30e623}">
          <xlrd:rvb i="4626"/>
        </ext>
      </extLst>
    </bk>
    <bk>
      <extLst>
        <ext uri="{3e2802c4-a4d2-4d8b-9148-e3be6c30e623}">
          <xlrd:rvb i="4627"/>
        </ext>
      </extLst>
    </bk>
    <bk>
      <extLst>
        <ext uri="{3e2802c4-a4d2-4d8b-9148-e3be6c30e623}">
          <xlrd:rvb i="4628"/>
        </ext>
      </extLst>
    </bk>
    <bk>
      <extLst>
        <ext uri="{3e2802c4-a4d2-4d8b-9148-e3be6c30e623}">
          <xlrd:rvb i="4629"/>
        </ext>
      </extLst>
    </bk>
    <bk>
      <extLst>
        <ext uri="{3e2802c4-a4d2-4d8b-9148-e3be6c30e623}">
          <xlrd:rvb i="4630"/>
        </ext>
      </extLst>
    </bk>
    <bk>
      <extLst>
        <ext uri="{3e2802c4-a4d2-4d8b-9148-e3be6c30e623}">
          <xlrd:rvb i="4631"/>
        </ext>
      </extLst>
    </bk>
    <bk>
      <extLst>
        <ext uri="{3e2802c4-a4d2-4d8b-9148-e3be6c30e623}">
          <xlrd:rvb i="4632"/>
        </ext>
      </extLst>
    </bk>
    <bk>
      <extLst>
        <ext uri="{3e2802c4-a4d2-4d8b-9148-e3be6c30e623}">
          <xlrd:rvb i="4633"/>
        </ext>
      </extLst>
    </bk>
    <bk>
      <extLst>
        <ext uri="{3e2802c4-a4d2-4d8b-9148-e3be6c30e623}">
          <xlrd:rvb i="4634"/>
        </ext>
      </extLst>
    </bk>
    <bk>
      <extLst>
        <ext uri="{3e2802c4-a4d2-4d8b-9148-e3be6c30e623}">
          <xlrd:rvb i="4635"/>
        </ext>
      </extLst>
    </bk>
    <bk>
      <extLst>
        <ext uri="{3e2802c4-a4d2-4d8b-9148-e3be6c30e623}">
          <xlrd:rvb i="4636"/>
        </ext>
      </extLst>
    </bk>
    <bk>
      <extLst>
        <ext uri="{3e2802c4-a4d2-4d8b-9148-e3be6c30e623}">
          <xlrd:rvb i="4637"/>
        </ext>
      </extLst>
    </bk>
    <bk>
      <extLst>
        <ext uri="{3e2802c4-a4d2-4d8b-9148-e3be6c30e623}">
          <xlrd:rvb i="4638"/>
        </ext>
      </extLst>
    </bk>
    <bk>
      <extLst>
        <ext uri="{3e2802c4-a4d2-4d8b-9148-e3be6c30e623}">
          <xlrd:rvb i="4639"/>
        </ext>
      </extLst>
    </bk>
    <bk>
      <extLst>
        <ext uri="{3e2802c4-a4d2-4d8b-9148-e3be6c30e623}">
          <xlrd:rvb i="4640"/>
        </ext>
      </extLst>
    </bk>
    <bk>
      <extLst>
        <ext uri="{3e2802c4-a4d2-4d8b-9148-e3be6c30e623}">
          <xlrd:rvb i="4641"/>
        </ext>
      </extLst>
    </bk>
    <bk>
      <extLst>
        <ext uri="{3e2802c4-a4d2-4d8b-9148-e3be6c30e623}">
          <xlrd:rvb i="4642"/>
        </ext>
      </extLst>
    </bk>
    <bk>
      <extLst>
        <ext uri="{3e2802c4-a4d2-4d8b-9148-e3be6c30e623}">
          <xlrd:rvb i="4643"/>
        </ext>
      </extLst>
    </bk>
    <bk>
      <extLst>
        <ext uri="{3e2802c4-a4d2-4d8b-9148-e3be6c30e623}">
          <xlrd:rvb i="4644"/>
        </ext>
      </extLst>
    </bk>
    <bk>
      <extLst>
        <ext uri="{3e2802c4-a4d2-4d8b-9148-e3be6c30e623}">
          <xlrd:rvb i="4645"/>
        </ext>
      </extLst>
    </bk>
    <bk>
      <extLst>
        <ext uri="{3e2802c4-a4d2-4d8b-9148-e3be6c30e623}">
          <xlrd:rvb i="4646"/>
        </ext>
      </extLst>
    </bk>
    <bk>
      <extLst>
        <ext uri="{3e2802c4-a4d2-4d8b-9148-e3be6c30e623}">
          <xlrd:rvb i="4647"/>
        </ext>
      </extLst>
    </bk>
    <bk>
      <extLst>
        <ext uri="{3e2802c4-a4d2-4d8b-9148-e3be6c30e623}">
          <xlrd:rvb i="4648"/>
        </ext>
      </extLst>
    </bk>
    <bk>
      <extLst>
        <ext uri="{3e2802c4-a4d2-4d8b-9148-e3be6c30e623}">
          <xlrd:rvb i="4649"/>
        </ext>
      </extLst>
    </bk>
    <bk>
      <extLst>
        <ext uri="{3e2802c4-a4d2-4d8b-9148-e3be6c30e623}">
          <xlrd:rvb i="4650"/>
        </ext>
      </extLst>
    </bk>
    <bk>
      <extLst>
        <ext uri="{3e2802c4-a4d2-4d8b-9148-e3be6c30e623}">
          <xlrd:rvb i="4651"/>
        </ext>
      </extLst>
    </bk>
    <bk>
      <extLst>
        <ext uri="{3e2802c4-a4d2-4d8b-9148-e3be6c30e623}">
          <xlrd:rvb i="4652"/>
        </ext>
      </extLst>
    </bk>
    <bk>
      <extLst>
        <ext uri="{3e2802c4-a4d2-4d8b-9148-e3be6c30e623}">
          <xlrd:rvb i="4653"/>
        </ext>
      </extLst>
    </bk>
    <bk>
      <extLst>
        <ext uri="{3e2802c4-a4d2-4d8b-9148-e3be6c30e623}">
          <xlrd:rvb i="4654"/>
        </ext>
      </extLst>
    </bk>
    <bk>
      <extLst>
        <ext uri="{3e2802c4-a4d2-4d8b-9148-e3be6c30e623}">
          <xlrd:rvb i="4655"/>
        </ext>
      </extLst>
    </bk>
    <bk>
      <extLst>
        <ext uri="{3e2802c4-a4d2-4d8b-9148-e3be6c30e623}">
          <xlrd:rvb i="4656"/>
        </ext>
      </extLst>
    </bk>
    <bk>
      <extLst>
        <ext uri="{3e2802c4-a4d2-4d8b-9148-e3be6c30e623}">
          <xlrd:rvb i="4657"/>
        </ext>
      </extLst>
    </bk>
    <bk>
      <extLst>
        <ext uri="{3e2802c4-a4d2-4d8b-9148-e3be6c30e623}">
          <xlrd:rvb i="4658"/>
        </ext>
      </extLst>
    </bk>
    <bk>
      <extLst>
        <ext uri="{3e2802c4-a4d2-4d8b-9148-e3be6c30e623}">
          <xlrd:rvb i="4659"/>
        </ext>
      </extLst>
    </bk>
    <bk>
      <extLst>
        <ext uri="{3e2802c4-a4d2-4d8b-9148-e3be6c30e623}">
          <xlrd:rvb i="4660"/>
        </ext>
      </extLst>
    </bk>
    <bk>
      <extLst>
        <ext uri="{3e2802c4-a4d2-4d8b-9148-e3be6c30e623}">
          <xlrd:rvb i="4661"/>
        </ext>
      </extLst>
    </bk>
    <bk>
      <extLst>
        <ext uri="{3e2802c4-a4d2-4d8b-9148-e3be6c30e623}">
          <xlrd:rvb i="4662"/>
        </ext>
      </extLst>
    </bk>
    <bk>
      <extLst>
        <ext uri="{3e2802c4-a4d2-4d8b-9148-e3be6c30e623}">
          <xlrd:rvb i="4663"/>
        </ext>
      </extLst>
    </bk>
    <bk>
      <extLst>
        <ext uri="{3e2802c4-a4d2-4d8b-9148-e3be6c30e623}">
          <xlrd:rvb i="4664"/>
        </ext>
      </extLst>
    </bk>
    <bk>
      <extLst>
        <ext uri="{3e2802c4-a4d2-4d8b-9148-e3be6c30e623}">
          <xlrd:rvb i="4665"/>
        </ext>
      </extLst>
    </bk>
    <bk>
      <extLst>
        <ext uri="{3e2802c4-a4d2-4d8b-9148-e3be6c30e623}">
          <xlrd:rvb i="4666"/>
        </ext>
      </extLst>
    </bk>
    <bk>
      <extLst>
        <ext uri="{3e2802c4-a4d2-4d8b-9148-e3be6c30e623}">
          <xlrd:rvb i="4667"/>
        </ext>
      </extLst>
    </bk>
    <bk>
      <extLst>
        <ext uri="{3e2802c4-a4d2-4d8b-9148-e3be6c30e623}">
          <xlrd:rvb i="4668"/>
        </ext>
      </extLst>
    </bk>
    <bk>
      <extLst>
        <ext uri="{3e2802c4-a4d2-4d8b-9148-e3be6c30e623}">
          <xlrd:rvb i="4669"/>
        </ext>
      </extLst>
    </bk>
    <bk>
      <extLst>
        <ext uri="{3e2802c4-a4d2-4d8b-9148-e3be6c30e623}">
          <xlrd:rvb i="4670"/>
        </ext>
      </extLst>
    </bk>
    <bk>
      <extLst>
        <ext uri="{3e2802c4-a4d2-4d8b-9148-e3be6c30e623}">
          <xlrd:rvb i="4671"/>
        </ext>
      </extLst>
    </bk>
    <bk>
      <extLst>
        <ext uri="{3e2802c4-a4d2-4d8b-9148-e3be6c30e623}">
          <xlrd:rvb i="4672"/>
        </ext>
      </extLst>
    </bk>
    <bk>
      <extLst>
        <ext uri="{3e2802c4-a4d2-4d8b-9148-e3be6c30e623}">
          <xlrd:rvb i="4673"/>
        </ext>
      </extLst>
    </bk>
    <bk>
      <extLst>
        <ext uri="{3e2802c4-a4d2-4d8b-9148-e3be6c30e623}">
          <xlrd:rvb i="4674"/>
        </ext>
      </extLst>
    </bk>
    <bk>
      <extLst>
        <ext uri="{3e2802c4-a4d2-4d8b-9148-e3be6c30e623}">
          <xlrd:rvb i="4675"/>
        </ext>
      </extLst>
    </bk>
    <bk>
      <extLst>
        <ext uri="{3e2802c4-a4d2-4d8b-9148-e3be6c30e623}">
          <xlrd:rvb i="4676"/>
        </ext>
      </extLst>
    </bk>
    <bk>
      <extLst>
        <ext uri="{3e2802c4-a4d2-4d8b-9148-e3be6c30e623}">
          <xlrd:rvb i="4677"/>
        </ext>
      </extLst>
    </bk>
    <bk>
      <extLst>
        <ext uri="{3e2802c4-a4d2-4d8b-9148-e3be6c30e623}">
          <xlrd:rvb i="4678"/>
        </ext>
      </extLst>
    </bk>
    <bk>
      <extLst>
        <ext uri="{3e2802c4-a4d2-4d8b-9148-e3be6c30e623}">
          <xlrd:rvb i="4679"/>
        </ext>
      </extLst>
    </bk>
    <bk>
      <extLst>
        <ext uri="{3e2802c4-a4d2-4d8b-9148-e3be6c30e623}">
          <xlrd:rvb i="4680"/>
        </ext>
      </extLst>
    </bk>
    <bk>
      <extLst>
        <ext uri="{3e2802c4-a4d2-4d8b-9148-e3be6c30e623}">
          <xlrd:rvb i="4681"/>
        </ext>
      </extLst>
    </bk>
    <bk>
      <extLst>
        <ext uri="{3e2802c4-a4d2-4d8b-9148-e3be6c30e623}">
          <xlrd:rvb i="4682"/>
        </ext>
      </extLst>
    </bk>
    <bk>
      <extLst>
        <ext uri="{3e2802c4-a4d2-4d8b-9148-e3be6c30e623}">
          <xlrd:rvb i="4683"/>
        </ext>
      </extLst>
    </bk>
    <bk>
      <extLst>
        <ext uri="{3e2802c4-a4d2-4d8b-9148-e3be6c30e623}">
          <xlrd:rvb i="4684"/>
        </ext>
      </extLst>
    </bk>
    <bk>
      <extLst>
        <ext uri="{3e2802c4-a4d2-4d8b-9148-e3be6c30e623}">
          <xlrd:rvb i="4685"/>
        </ext>
      </extLst>
    </bk>
    <bk>
      <extLst>
        <ext uri="{3e2802c4-a4d2-4d8b-9148-e3be6c30e623}">
          <xlrd:rvb i="4686"/>
        </ext>
      </extLst>
    </bk>
    <bk>
      <extLst>
        <ext uri="{3e2802c4-a4d2-4d8b-9148-e3be6c30e623}">
          <xlrd:rvb i="4687"/>
        </ext>
      </extLst>
    </bk>
    <bk>
      <extLst>
        <ext uri="{3e2802c4-a4d2-4d8b-9148-e3be6c30e623}">
          <xlrd:rvb i="4688"/>
        </ext>
      </extLst>
    </bk>
    <bk>
      <extLst>
        <ext uri="{3e2802c4-a4d2-4d8b-9148-e3be6c30e623}">
          <xlrd:rvb i="4689"/>
        </ext>
      </extLst>
    </bk>
    <bk>
      <extLst>
        <ext uri="{3e2802c4-a4d2-4d8b-9148-e3be6c30e623}">
          <xlrd:rvb i="4690"/>
        </ext>
      </extLst>
    </bk>
    <bk>
      <extLst>
        <ext uri="{3e2802c4-a4d2-4d8b-9148-e3be6c30e623}">
          <xlrd:rvb i="4691"/>
        </ext>
      </extLst>
    </bk>
    <bk>
      <extLst>
        <ext uri="{3e2802c4-a4d2-4d8b-9148-e3be6c30e623}">
          <xlrd:rvb i="4692"/>
        </ext>
      </extLst>
    </bk>
    <bk>
      <extLst>
        <ext uri="{3e2802c4-a4d2-4d8b-9148-e3be6c30e623}">
          <xlrd:rvb i="4693"/>
        </ext>
      </extLst>
    </bk>
    <bk>
      <extLst>
        <ext uri="{3e2802c4-a4d2-4d8b-9148-e3be6c30e623}">
          <xlrd:rvb i="4694"/>
        </ext>
      </extLst>
    </bk>
    <bk>
      <extLst>
        <ext uri="{3e2802c4-a4d2-4d8b-9148-e3be6c30e623}">
          <xlrd:rvb i="4695"/>
        </ext>
      </extLst>
    </bk>
    <bk>
      <extLst>
        <ext uri="{3e2802c4-a4d2-4d8b-9148-e3be6c30e623}">
          <xlrd:rvb i="4696"/>
        </ext>
      </extLst>
    </bk>
    <bk>
      <extLst>
        <ext uri="{3e2802c4-a4d2-4d8b-9148-e3be6c30e623}">
          <xlrd:rvb i="4697"/>
        </ext>
      </extLst>
    </bk>
    <bk>
      <extLst>
        <ext uri="{3e2802c4-a4d2-4d8b-9148-e3be6c30e623}">
          <xlrd:rvb i="4698"/>
        </ext>
      </extLst>
    </bk>
    <bk>
      <extLst>
        <ext uri="{3e2802c4-a4d2-4d8b-9148-e3be6c30e623}">
          <xlrd:rvb i="4699"/>
        </ext>
      </extLst>
    </bk>
    <bk>
      <extLst>
        <ext uri="{3e2802c4-a4d2-4d8b-9148-e3be6c30e623}">
          <xlrd:rvb i="4700"/>
        </ext>
      </extLst>
    </bk>
    <bk>
      <extLst>
        <ext uri="{3e2802c4-a4d2-4d8b-9148-e3be6c30e623}">
          <xlrd:rvb i="4701"/>
        </ext>
      </extLst>
    </bk>
    <bk>
      <extLst>
        <ext uri="{3e2802c4-a4d2-4d8b-9148-e3be6c30e623}">
          <xlrd:rvb i="4702"/>
        </ext>
      </extLst>
    </bk>
    <bk>
      <extLst>
        <ext uri="{3e2802c4-a4d2-4d8b-9148-e3be6c30e623}">
          <xlrd:rvb i="4703"/>
        </ext>
      </extLst>
    </bk>
    <bk>
      <extLst>
        <ext uri="{3e2802c4-a4d2-4d8b-9148-e3be6c30e623}">
          <xlrd:rvb i="4704"/>
        </ext>
      </extLst>
    </bk>
    <bk>
      <extLst>
        <ext uri="{3e2802c4-a4d2-4d8b-9148-e3be6c30e623}">
          <xlrd:rvb i="4705"/>
        </ext>
      </extLst>
    </bk>
    <bk>
      <extLst>
        <ext uri="{3e2802c4-a4d2-4d8b-9148-e3be6c30e623}">
          <xlrd:rvb i="4706"/>
        </ext>
      </extLst>
    </bk>
    <bk>
      <extLst>
        <ext uri="{3e2802c4-a4d2-4d8b-9148-e3be6c30e623}">
          <xlrd:rvb i="4707"/>
        </ext>
      </extLst>
    </bk>
    <bk>
      <extLst>
        <ext uri="{3e2802c4-a4d2-4d8b-9148-e3be6c30e623}">
          <xlrd:rvb i="4708"/>
        </ext>
      </extLst>
    </bk>
    <bk>
      <extLst>
        <ext uri="{3e2802c4-a4d2-4d8b-9148-e3be6c30e623}">
          <xlrd:rvb i="4709"/>
        </ext>
      </extLst>
    </bk>
    <bk>
      <extLst>
        <ext uri="{3e2802c4-a4d2-4d8b-9148-e3be6c30e623}">
          <xlrd:rvb i="4710"/>
        </ext>
      </extLst>
    </bk>
    <bk>
      <extLst>
        <ext uri="{3e2802c4-a4d2-4d8b-9148-e3be6c30e623}">
          <xlrd:rvb i="4711"/>
        </ext>
      </extLst>
    </bk>
    <bk>
      <extLst>
        <ext uri="{3e2802c4-a4d2-4d8b-9148-e3be6c30e623}">
          <xlrd:rvb i="4712"/>
        </ext>
      </extLst>
    </bk>
    <bk>
      <extLst>
        <ext uri="{3e2802c4-a4d2-4d8b-9148-e3be6c30e623}">
          <xlrd:rvb i="4713"/>
        </ext>
      </extLst>
    </bk>
    <bk>
      <extLst>
        <ext uri="{3e2802c4-a4d2-4d8b-9148-e3be6c30e623}">
          <xlrd:rvb i="4714"/>
        </ext>
      </extLst>
    </bk>
    <bk>
      <extLst>
        <ext uri="{3e2802c4-a4d2-4d8b-9148-e3be6c30e623}">
          <xlrd:rvb i="4715"/>
        </ext>
      </extLst>
    </bk>
    <bk>
      <extLst>
        <ext uri="{3e2802c4-a4d2-4d8b-9148-e3be6c30e623}">
          <xlrd:rvb i="4716"/>
        </ext>
      </extLst>
    </bk>
    <bk>
      <extLst>
        <ext uri="{3e2802c4-a4d2-4d8b-9148-e3be6c30e623}">
          <xlrd:rvb i="4717"/>
        </ext>
      </extLst>
    </bk>
    <bk>
      <extLst>
        <ext uri="{3e2802c4-a4d2-4d8b-9148-e3be6c30e623}">
          <xlrd:rvb i="4718"/>
        </ext>
      </extLst>
    </bk>
    <bk>
      <extLst>
        <ext uri="{3e2802c4-a4d2-4d8b-9148-e3be6c30e623}">
          <xlrd:rvb i="4719"/>
        </ext>
      </extLst>
    </bk>
    <bk>
      <extLst>
        <ext uri="{3e2802c4-a4d2-4d8b-9148-e3be6c30e623}">
          <xlrd:rvb i="4720"/>
        </ext>
      </extLst>
    </bk>
    <bk>
      <extLst>
        <ext uri="{3e2802c4-a4d2-4d8b-9148-e3be6c30e623}">
          <xlrd:rvb i="4721"/>
        </ext>
      </extLst>
    </bk>
    <bk>
      <extLst>
        <ext uri="{3e2802c4-a4d2-4d8b-9148-e3be6c30e623}">
          <xlrd:rvb i="4722"/>
        </ext>
      </extLst>
    </bk>
    <bk>
      <extLst>
        <ext uri="{3e2802c4-a4d2-4d8b-9148-e3be6c30e623}">
          <xlrd:rvb i="4723"/>
        </ext>
      </extLst>
    </bk>
    <bk>
      <extLst>
        <ext uri="{3e2802c4-a4d2-4d8b-9148-e3be6c30e623}">
          <xlrd:rvb i="4724"/>
        </ext>
      </extLst>
    </bk>
    <bk>
      <extLst>
        <ext uri="{3e2802c4-a4d2-4d8b-9148-e3be6c30e623}">
          <xlrd:rvb i="4725"/>
        </ext>
      </extLst>
    </bk>
    <bk>
      <extLst>
        <ext uri="{3e2802c4-a4d2-4d8b-9148-e3be6c30e623}">
          <xlrd:rvb i="4726"/>
        </ext>
      </extLst>
    </bk>
    <bk>
      <extLst>
        <ext uri="{3e2802c4-a4d2-4d8b-9148-e3be6c30e623}">
          <xlrd:rvb i="4727"/>
        </ext>
      </extLst>
    </bk>
    <bk>
      <extLst>
        <ext uri="{3e2802c4-a4d2-4d8b-9148-e3be6c30e623}">
          <xlrd:rvb i="4728"/>
        </ext>
      </extLst>
    </bk>
    <bk>
      <extLst>
        <ext uri="{3e2802c4-a4d2-4d8b-9148-e3be6c30e623}">
          <xlrd:rvb i="4729"/>
        </ext>
      </extLst>
    </bk>
    <bk>
      <extLst>
        <ext uri="{3e2802c4-a4d2-4d8b-9148-e3be6c30e623}">
          <xlrd:rvb i="4730"/>
        </ext>
      </extLst>
    </bk>
    <bk>
      <extLst>
        <ext uri="{3e2802c4-a4d2-4d8b-9148-e3be6c30e623}">
          <xlrd:rvb i="4731"/>
        </ext>
      </extLst>
    </bk>
    <bk>
      <extLst>
        <ext uri="{3e2802c4-a4d2-4d8b-9148-e3be6c30e623}">
          <xlrd:rvb i="4732"/>
        </ext>
      </extLst>
    </bk>
    <bk>
      <extLst>
        <ext uri="{3e2802c4-a4d2-4d8b-9148-e3be6c30e623}">
          <xlrd:rvb i="4733"/>
        </ext>
      </extLst>
    </bk>
    <bk>
      <extLst>
        <ext uri="{3e2802c4-a4d2-4d8b-9148-e3be6c30e623}">
          <xlrd:rvb i="4734"/>
        </ext>
      </extLst>
    </bk>
    <bk>
      <extLst>
        <ext uri="{3e2802c4-a4d2-4d8b-9148-e3be6c30e623}">
          <xlrd:rvb i="4735"/>
        </ext>
      </extLst>
    </bk>
    <bk>
      <extLst>
        <ext uri="{3e2802c4-a4d2-4d8b-9148-e3be6c30e623}">
          <xlrd:rvb i="4736"/>
        </ext>
      </extLst>
    </bk>
    <bk>
      <extLst>
        <ext uri="{3e2802c4-a4d2-4d8b-9148-e3be6c30e623}">
          <xlrd:rvb i="4737"/>
        </ext>
      </extLst>
    </bk>
    <bk>
      <extLst>
        <ext uri="{3e2802c4-a4d2-4d8b-9148-e3be6c30e623}">
          <xlrd:rvb i="4738"/>
        </ext>
      </extLst>
    </bk>
    <bk>
      <extLst>
        <ext uri="{3e2802c4-a4d2-4d8b-9148-e3be6c30e623}">
          <xlrd:rvb i="4739"/>
        </ext>
      </extLst>
    </bk>
    <bk>
      <extLst>
        <ext uri="{3e2802c4-a4d2-4d8b-9148-e3be6c30e623}">
          <xlrd:rvb i="4740"/>
        </ext>
      </extLst>
    </bk>
    <bk>
      <extLst>
        <ext uri="{3e2802c4-a4d2-4d8b-9148-e3be6c30e623}">
          <xlrd:rvb i="4741"/>
        </ext>
      </extLst>
    </bk>
    <bk>
      <extLst>
        <ext uri="{3e2802c4-a4d2-4d8b-9148-e3be6c30e623}">
          <xlrd:rvb i="4742"/>
        </ext>
      </extLst>
    </bk>
    <bk>
      <extLst>
        <ext uri="{3e2802c4-a4d2-4d8b-9148-e3be6c30e623}">
          <xlrd:rvb i="4743"/>
        </ext>
      </extLst>
    </bk>
    <bk>
      <extLst>
        <ext uri="{3e2802c4-a4d2-4d8b-9148-e3be6c30e623}">
          <xlrd:rvb i="4744"/>
        </ext>
      </extLst>
    </bk>
    <bk>
      <extLst>
        <ext uri="{3e2802c4-a4d2-4d8b-9148-e3be6c30e623}">
          <xlrd:rvb i="4745"/>
        </ext>
      </extLst>
    </bk>
    <bk>
      <extLst>
        <ext uri="{3e2802c4-a4d2-4d8b-9148-e3be6c30e623}">
          <xlrd:rvb i="4746"/>
        </ext>
      </extLst>
    </bk>
    <bk>
      <extLst>
        <ext uri="{3e2802c4-a4d2-4d8b-9148-e3be6c30e623}">
          <xlrd:rvb i="4747"/>
        </ext>
      </extLst>
    </bk>
    <bk>
      <extLst>
        <ext uri="{3e2802c4-a4d2-4d8b-9148-e3be6c30e623}">
          <xlrd:rvb i="4748"/>
        </ext>
      </extLst>
    </bk>
    <bk>
      <extLst>
        <ext uri="{3e2802c4-a4d2-4d8b-9148-e3be6c30e623}">
          <xlrd:rvb i="4749"/>
        </ext>
      </extLst>
    </bk>
    <bk>
      <extLst>
        <ext uri="{3e2802c4-a4d2-4d8b-9148-e3be6c30e623}">
          <xlrd:rvb i="4750"/>
        </ext>
      </extLst>
    </bk>
    <bk>
      <extLst>
        <ext uri="{3e2802c4-a4d2-4d8b-9148-e3be6c30e623}">
          <xlrd:rvb i="4751"/>
        </ext>
      </extLst>
    </bk>
    <bk>
      <extLst>
        <ext uri="{3e2802c4-a4d2-4d8b-9148-e3be6c30e623}">
          <xlrd:rvb i="4752"/>
        </ext>
      </extLst>
    </bk>
    <bk>
      <extLst>
        <ext uri="{3e2802c4-a4d2-4d8b-9148-e3be6c30e623}">
          <xlrd:rvb i="4753"/>
        </ext>
      </extLst>
    </bk>
    <bk>
      <extLst>
        <ext uri="{3e2802c4-a4d2-4d8b-9148-e3be6c30e623}">
          <xlrd:rvb i="4754"/>
        </ext>
      </extLst>
    </bk>
    <bk>
      <extLst>
        <ext uri="{3e2802c4-a4d2-4d8b-9148-e3be6c30e623}">
          <xlrd:rvb i="4755"/>
        </ext>
      </extLst>
    </bk>
    <bk>
      <extLst>
        <ext uri="{3e2802c4-a4d2-4d8b-9148-e3be6c30e623}">
          <xlrd:rvb i="4756"/>
        </ext>
      </extLst>
    </bk>
    <bk>
      <extLst>
        <ext uri="{3e2802c4-a4d2-4d8b-9148-e3be6c30e623}">
          <xlrd:rvb i="4757"/>
        </ext>
      </extLst>
    </bk>
    <bk>
      <extLst>
        <ext uri="{3e2802c4-a4d2-4d8b-9148-e3be6c30e623}">
          <xlrd:rvb i="4758"/>
        </ext>
      </extLst>
    </bk>
    <bk>
      <extLst>
        <ext uri="{3e2802c4-a4d2-4d8b-9148-e3be6c30e623}">
          <xlrd:rvb i="4759"/>
        </ext>
      </extLst>
    </bk>
    <bk>
      <extLst>
        <ext uri="{3e2802c4-a4d2-4d8b-9148-e3be6c30e623}">
          <xlrd:rvb i="4760"/>
        </ext>
      </extLst>
    </bk>
    <bk>
      <extLst>
        <ext uri="{3e2802c4-a4d2-4d8b-9148-e3be6c30e623}">
          <xlrd:rvb i="4761"/>
        </ext>
      </extLst>
    </bk>
    <bk>
      <extLst>
        <ext uri="{3e2802c4-a4d2-4d8b-9148-e3be6c30e623}">
          <xlrd:rvb i="4762"/>
        </ext>
      </extLst>
    </bk>
    <bk>
      <extLst>
        <ext uri="{3e2802c4-a4d2-4d8b-9148-e3be6c30e623}">
          <xlrd:rvb i="4763"/>
        </ext>
      </extLst>
    </bk>
    <bk>
      <extLst>
        <ext uri="{3e2802c4-a4d2-4d8b-9148-e3be6c30e623}">
          <xlrd:rvb i="4764"/>
        </ext>
      </extLst>
    </bk>
    <bk>
      <extLst>
        <ext uri="{3e2802c4-a4d2-4d8b-9148-e3be6c30e623}">
          <xlrd:rvb i="4765"/>
        </ext>
      </extLst>
    </bk>
    <bk>
      <extLst>
        <ext uri="{3e2802c4-a4d2-4d8b-9148-e3be6c30e623}">
          <xlrd:rvb i="4766"/>
        </ext>
      </extLst>
    </bk>
    <bk>
      <extLst>
        <ext uri="{3e2802c4-a4d2-4d8b-9148-e3be6c30e623}">
          <xlrd:rvb i="4767"/>
        </ext>
      </extLst>
    </bk>
    <bk>
      <extLst>
        <ext uri="{3e2802c4-a4d2-4d8b-9148-e3be6c30e623}">
          <xlrd:rvb i="4768"/>
        </ext>
      </extLst>
    </bk>
    <bk>
      <extLst>
        <ext uri="{3e2802c4-a4d2-4d8b-9148-e3be6c30e623}">
          <xlrd:rvb i="4769"/>
        </ext>
      </extLst>
    </bk>
    <bk>
      <extLst>
        <ext uri="{3e2802c4-a4d2-4d8b-9148-e3be6c30e623}">
          <xlrd:rvb i="4770"/>
        </ext>
      </extLst>
    </bk>
    <bk>
      <extLst>
        <ext uri="{3e2802c4-a4d2-4d8b-9148-e3be6c30e623}">
          <xlrd:rvb i="4771"/>
        </ext>
      </extLst>
    </bk>
    <bk>
      <extLst>
        <ext uri="{3e2802c4-a4d2-4d8b-9148-e3be6c30e623}">
          <xlrd:rvb i="4772"/>
        </ext>
      </extLst>
    </bk>
    <bk>
      <extLst>
        <ext uri="{3e2802c4-a4d2-4d8b-9148-e3be6c30e623}">
          <xlrd:rvb i="4773"/>
        </ext>
      </extLst>
    </bk>
    <bk>
      <extLst>
        <ext uri="{3e2802c4-a4d2-4d8b-9148-e3be6c30e623}">
          <xlrd:rvb i="4774"/>
        </ext>
      </extLst>
    </bk>
    <bk>
      <extLst>
        <ext uri="{3e2802c4-a4d2-4d8b-9148-e3be6c30e623}">
          <xlrd:rvb i="4775"/>
        </ext>
      </extLst>
    </bk>
    <bk>
      <extLst>
        <ext uri="{3e2802c4-a4d2-4d8b-9148-e3be6c30e623}">
          <xlrd:rvb i="4776"/>
        </ext>
      </extLst>
    </bk>
    <bk>
      <extLst>
        <ext uri="{3e2802c4-a4d2-4d8b-9148-e3be6c30e623}">
          <xlrd:rvb i="4777"/>
        </ext>
      </extLst>
    </bk>
    <bk>
      <extLst>
        <ext uri="{3e2802c4-a4d2-4d8b-9148-e3be6c30e623}">
          <xlrd:rvb i="4778"/>
        </ext>
      </extLst>
    </bk>
    <bk>
      <extLst>
        <ext uri="{3e2802c4-a4d2-4d8b-9148-e3be6c30e623}">
          <xlrd:rvb i="4779"/>
        </ext>
      </extLst>
    </bk>
    <bk>
      <extLst>
        <ext uri="{3e2802c4-a4d2-4d8b-9148-e3be6c30e623}">
          <xlrd:rvb i="4780"/>
        </ext>
      </extLst>
    </bk>
    <bk>
      <extLst>
        <ext uri="{3e2802c4-a4d2-4d8b-9148-e3be6c30e623}">
          <xlrd:rvb i="4781"/>
        </ext>
      </extLst>
    </bk>
    <bk>
      <extLst>
        <ext uri="{3e2802c4-a4d2-4d8b-9148-e3be6c30e623}">
          <xlrd:rvb i="4782"/>
        </ext>
      </extLst>
    </bk>
    <bk>
      <extLst>
        <ext uri="{3e2802c4-a4d2-4d8b-9148-e3be6c30e623}">
          <xlrd:rvb i="4783"/>
        </ext>
      </extLst>
    </bk>
    <bk>
      <extLst>
        <ext uri="{3e2802c4-a4d2-4d8b-9148-e3be6c30e623}">
          <xlrd:rvb i="4784"/>
        </ext>
      </extLst>
    </bk>
    <bk>
      <extLst>
        <ext uri="{3e2802c4-a4d2-4d8b-9148-e3be6c30e623}">
          <xlrd:rvb i="4785"/>
        </ext>
      </extLst>
    </bk>
    <bk>
      <extLst>
        <ext uri="{3e2802c4-a4d2-4d8b-9148-e3be6c30e623}">
          <xlrd:rvb i="4786"/>
        </ext>
      </extLst>
    </bk>
    <bk>
      <extLst>
        <ext uri="{3e2802c4-a4d2-4d8b-9148-e3be6c30e623}">
          <xlrd:rvb i="4787"/>
        </ext>
      </extLst>
    </bk>
    <bk>
      <extLst>
        <ext uri="{3e2802c4-a4d2-4d8b-9148-e3be6c30e623}">
          <xlrd:rvb i="4788"/>
        </ext>
      </extLst>
    </bk>
    <bk>
      <extLst>
        <ext uri="{3e2802c4-a4d2-4d8b-9148-e3be6c30e623}">
          <xlrd:rvb i="4789"/>
        </ext>
      </extLst>
    </bk>
    <bk>
      <extLst>
        <ext uri="{3e2802c4-a4d2-4d8b-9148-e3be6c30e623}">
          <xlrd:rvb i="4790"/>
        </ext>
      </extLst>
    </bk>
    <bk>
      <extLst>
        <ext uri="{3e2802c4-a4d2-4d8b-9148-e3be6c30e623}">
          <xlrd:rvb i="4791"/>
        </ext>
      </extLst>
    </bk>
    <bk>
      <extLst>
        <ext uri="{3e2802c4-a4d2-4d8b-9148-e3be6c30e623}">
          <xlrd:rvb i="4792"/>
        </ext>
      </extLst>
    </bk>
    <bk>
      <extLst>
        <ext uri="{3e2802c4-a4d2-4d8b-9148-e3be6c30e623}">
          <xlrd:rvb i="4793"/>
        </ext>
      </extLst>
    </bk>
    <bk>
      <extLst>
        <ext uri="{3e2802c4-a4d2-4d8b-9148-e3be6c30e623}">
          <xlrd:rvb i="4794"/>
        </ext>
      </extLst>
    </bk>
    <bk>
      <extLst>
        <ext uri="{3e2802c4-a4d2-4d8b-9148-e3be6c30e623}">
          <xlrd:rvb i="4795"/>
        </ext>
      </extLst>
    </bk>
    <bk>
      <extLst>
        <ext uri="{3e2802c4-a4d2-4d8b-9148-e3be6c30e623}">
          <xlrd:rvb i="4796"/>
        </ext>
      </extLst>
    </bk>
    <bk>
      <extLst>
        <ext uri="{3e2802c4-a4d2-4d8b-9148-e3be6c30e623}">
          <xlrd:rvb i="4797"/>
        </ext>
      </extLst>
    </bk>
    <bk>
      <extLst>
        <ext uri="{3e2802c4-a4d2-4d8b-9148-e3be6c30e623}">
          <xlrd:rvb i="4798"/>
        </ext>
      </extLst>
    </bk>
    <bk>
      <extLst>
        <ext uri="{3e2802c4-a4d2-4d8b-9148-e3be6c30e623}">
          <xlrd:rvb i="4799"/>
        </ext>
      </extLst>
    </bk>
    <bk>
      <extLst>
        <ext uri="{3e2802c4-a4d2-4d8b-9148-e3be6c30e623}">
          <xlrd:rvb i="4800"/>
        </ext>
      </extLst>
    </bk>
    <bk>
      <extLst>
        <ext uri="{3e2802c4-a4d2-4d8b-9148-e3be6c30e623}">
          <xlrd:rvb i="4801"/>
        </ext>
      </extLst>
    </bk>
    <bk>
      <extLst>
        <ext uri="{3e2802c4-a4d2-4d8b-9148-e3be6c30e623}">
          <xlrd:rvb i="4802"/>
        </ext>
      </extLst>
    </bk>
    <bk>
      <extLst>
        <ext uri="{3e2802c4-a4d2-4d8b-9148-e3be6c30e623}">
          <xlrd:rvb i="4803"/>
        </ext>
      </extLst>
    </bk>
    <bk>
      <extLst>
        <ext uri="{3e2802c4-a4d2-4d8b-9148-e3be6c30e623}">
          <xlrd:rvb i="4804"/>
        </ext>
      </extLst>
    </bk>
    <bk>
      <extLst>
        <ext uri="{3e2802c4-a4d2-4d8b-9148-e3be6c30e623}">
          <xlrd:rvb i="4805"/>
        </ext>
      </extLst>
    </bk>
    <bk>
      <extLst>
        <ext uri="{3e2802c4-a4d2-4d8b-9148-e3be6c30e623}">
          <xlrd:rvb i="4806"/>
        </ext>
      </extLst>
    </bk>
    <bk>
      <extLst>
        <ext uri="{3e2802c4-a4d2-4d8b-9148-e3be6c30e623}">
          <xlrd:rvb i="4807"/>
        </ext>
      </extLst>
    </bk>
    <bk>
      <extLst>
        <ext uri="{3e2802c4-a4d2-4d8b-9148-e3be6c30e623}">
          <xlrd:rvb i="4808"/>
        </ext>
      </extLst>
    </bk>
    <bk>
      <extLst>
        <ext uri="{3e2802c4-a4d2-4d8b-9148-e3be6c30e623}">
          <xlrd:rvb i="4809"/>
        </ext>
      </extLst>
    </bk>
    <bk>
      <extLst>
        <ext uri="{3e2802c4-a4d2-4d8b-9148-e3be6c30e623}">
          <xlrd:rvb i="4810"/>
        </ext>
      </extLst>
    </bk>
    <bk>
      <extLst>
        <ext uri="{3e2802c4-a4d2-4d8b-9148-e3be6c30e623}">
          <xlrd:rvb i="4811"/>
        </ext>
      </extLst>
    </bk>
    <bk>
      <extLst>
        <ext uri="{3e2802c4-a4d2-4d8b-9148-e3be6c30e623}">
          <xlrd:rvb i="4812"/>
        </ext>
      </extLst>
    </bk>
    <bk>
      <extLst>
        <ext uri="{3e2802c4-a4d2-4d8b-9148-e3be6c30e623}">
          <xlrd:rvb i="4813"/>
        </ext>
      </extLst>
    </bk>
    <bk>
      <extLst>
        <ext uri="{3e2802c4-a4d2-4d8b-9148-e3be6c30e623}">
          <xlrd:rvb i="4814"/>
        </ext>
      </extLst>
    </bk>
    <bk>
      <extLst>
        <ext uri="{3e2802c4-a4d2-4d8b-9148-e3be6c30e623}">
          <xlrd:rvb i="4815"/>
        </ext>
      </extLst>
    </bk>
    <bk>
      <extLst>
        <ext uri="{3e2802c4-a4d2-4d8b-9148-e3be6c30e623}">
          <xlrd:rvb i="4816"/>
        </ext>
      </extLst>
    </bk>
    <bk>
      <extLst>
        <ext uri="{3e2802c4-a4d2-4d8b-9148-e3be6c30e623}">
          <xlrd:rvb i="4817"/>
        </ext>
      </extLst>
    </bk>
    <bk>
      <extLst>
        <ext uri="{3e2802c4-a4d2-4d8b-9148-e3be6c30e623}">
          <xlrd:rvb i="4818"/>
        </ext>
      </extLst>
    </bk>
    <bk>
      <extLst>
        <ext uri="{3e2802c4-a4d2-4d8b-9148-e3be6c30e623}">
          <xlrd:rvb i="4819"/>
        </ext>
      </extLst>
    </bk>
    <bk>
      <extLst>
        <ext uri="{3e2802c4-a4d2-4d8b-9148-e3be6c30e623}">
          <xlrd:rvb i="4820"/>
        </ext>
      </extLst>
    </bk>
    <bk>
      <extLst>
        <ext uri="{3e2802c4-a4d2-4d8b-9148-e3be6c30e623}">
          <xlrd:rvb i="4821"/>
        </ext>
      </extLst>
    </bk>
    <bk>
      <extLst>
        <ext uri="{3e2802c4-a4d2-4d8b-9148-e3be6c30e623}">
          <xlrd:rvb i="4822"/>
        </ext>
      </extLst>
    </bk>
    <bk>
      <extLst>
        <ext uri="{3e2802c4-a4d2-4d8b-9148-e3be6c30e623}">
          <xlrd:rvb i="4823"/>
        </ext>
      </extLst>
    </bk>
    <bk>
      <extLst>
        <ext uri="{3e2802c4-a4d2-4d8b-9148-e3be6c30e623}">
          <xlrd:rvb i="4824"/>
        </ext>
      </extLst>
    </bk>
    <bk>
      <extLst>
        <ext uri="{3e2802c4-a4d2-4d8b-9148-e3be6c30e623}">
          <xlrd:rvb i="4825"/>
        </ext>
      </extLst>
    </bk>
    <bk>
      <extLst>
        <ext uri="{3e2802c4-a4d2-4d8b-9148-e3be6c30e623}">
          <xlrd:rvb i="4826"/>
        </ext>
      </extLst>
    </bk>
    <bk>
      <extLst>
        <ext uri="{3e2802c4-a4d2-4d8b-9148-e3be6c30e623}">
          <xlrd:rvb i="4827"/>
        </ext>
      </extLst>
    </bk>
    <bk>
      <extLst>
        <ext uri="{3e2802c4-a4d2-4d8b-9148-e3be6c30e623}">
          <xlrd:rvb i="4828"/>
        </ext>
      </extLst>
    </bk>
    <bk>
      <extLst>
        <ext uri="{3e2802c4-a4d2-4d8b-9148-e3be6c30e623}">
          <xlrd:rvb i="4829"/>
        </ext>
      </extLst>
    </bk>
    <bk>
      <extLst>
        <ext uri="{3e2802c4-a4d2-4d8b-9148-e3be6c30e623}">
          <xlrd:rvb i="4830"/>
        </ext>
      </extLst>
    </bk>
    <bk>
      <extLst>
        <ext uri="{3e2802c4-a4d2-4d8b-9148-e3be6c30e623}">
          <xlrd:rvb i="4831"/>
        </ext>
      </extLst>
    </bk>
    <bk>
      <extLst>
        <ext uri="{3e2802c4-a4d2-4d8b-9148-e3be6c30e623}">
          <xlrd:rvb i="4832"/>
        </ext>
      </extLst>
    </bk>
    <bk>
      <extLst>
        <ext uri="{3e2802c4-a4d2-4d8b-9148-e3be6c30e623}">
          <xlrd:rvb i="4833"/>
        </ext>
      </extLst>
    </bk>
    <bk>
      <extLst>
        <ext uri="{3e2802c4-a4d2-4d8b-9148-e3be6c30e623}">
          <xlrd:rvb i="4834"/>
        </ext>
      </extLst>
    </bk>
    <bk>
      <extLst>
        <ext uri="{3e2802c4-a4d2-4d8b-9148-e3be6c30e623}">
          <xlrd:rvb i="4835"/>
        </ext>
      </extLst>
    </bk>
    <bk>
      <extLst>
        <ext uri="{3e2802c4-a4d2-4d8b-9148-e3be6c30e623}">
          <xlrd:rvb i="4836"/>
        </ext>
      </extLst>
    </bk>
    <bk>
      <extLst>
        <ext uri="{3e2802c4-a4d2-4d8b-9148-e3be6c30e623}">
          <xlrd:rvb i="4837"/>
        </ext>
      </extLst>
    </bk>
    <bk>
      <extLst>
        <ext uri="{3e2802c4-a4d2-4d8b-9148-e3be6c30e623}">
          <xlrd:rvb i="4838"/>
        </ext>
      </extLst>
    </bk>
    <bk>
      <extLst>
        <ext uri="{3e2802c4-a4d2-4d8b-9148-e3be6c30e623}">
          <xlrd:rvb i="4839"/>
        </ext>
      </extLst>
    </bk>
    <bk>
      <extLst>
        <ext uri="{3e2802c4-a4d2-4d8b-9148-e3be6c30e623}">
          <xlrd:rvb i="4840"/>
        </ext>
      </extLst>
    </bk>
    <bk>
      <extLst>
        <ext uri="{3e2802c4-a4d2-4d8b-9148-e3be6c30e623}">
          <xlrd:rvb i="4841"/>
        </ext>
      </extLst>
    </bk>
    <bk>
      <extLst>
        <ext uri="{3e2802c4-a4d2-4d8b-9148-e3be6c30e623}">
          <xlrd:rvb i="4842"/>
        </ext>
      </extLst>
    </bk>
    <bk>
      <extLst>
        <ext uri="{3e2802c4-a4d2-4d8b-9148-e3be6c30e623}">
          <xlrd:rvb i="4843"/>
        </ext>
      </extLst>
    </bk>
    <bk>
      <extLst>
        <ext uri="{3e2802c4-a4d2-4d8b-9148-e3be6c30e623}">
          <xlrd:rvb i="4844"/>
        </ext>
      </extLst>
    </bk>
    <bk>
      <extLst>
        <ext uri="{3e2802c4-a4d2-4d8b-9148-e3be6c30e623}">
          <xlrd:rvb i="4845"/>
        </ext>
      </extLst>
    </bk>
    <bk>
      <extLst>
        <ext uri="{3e2802c4-a4d2-4d8b-9148-e3be6c30e623}">
          <xlrd:rvb i="4846"/>
        </ext>
      </extLst>
    </bk>
    <bk>
      <extLst>
        <ext uri="{3e2802c4-a4d2-4d8b-9148-e3be6c30e623}">
          <xlrd:rvb i="4847"/>
        </ext>
      </extLst>
    </bk>
    <bk>
      <extLst>
        <ext uri="{3e2802c4-a4d2-4d8b-9148-e3be6c30e623}">
          <xlrd:rvb i="4848"/>
        </ext>
      </extLst>
    </bk>
    <bk>
      <extLst>
        <ext uri="{3e2802c4-a4d2-4d8b-9148-e3be6c30e623}">
          <xlrd:rvb i="4849"/>
        </ext>
      </extLst>
    </bk>
    <bk>
      <extLst>
        <ext uri="{3e2802c4-a4d2-4d8b-9148-e3be6c30e623}">
          <xlrd:rvb i="4850"/>
        </ext>
      </extLst>
    </bk>
    <bk>
      <extLst>
        <ext uri="{3e2802c4-a4d2-4d8b-9148-e3be6c30e623}">
          <xlrd:rvb i="4851"/>
        </ext>
      </extLst>
    </bk>
    <bk>
      <extLst>
        <ext uri="{3e2802c4-a4d2-4d8b-9148-e3be6c30e623}">
          <xlrd:rvb i="4852"/>
        </ext>
      </extLst>
    </bk>
    <bk>
      <extLst>
        <ext uri="{3e2802c4-a4d2-4d8b-9148-e3be6c30e623}">
          <xlrd:rvb i="4853"/>
        </ext>
      </extLst>
    </bk>
    <bk>
      <extLst>
        <ext uri="{3e2802c4-a4d2-4d8b-9148-e3be6c30e623}">
          <xlrd:rvb i="4854"/>
        </ext>
      </extLst>
    </bk>
    <bk>
      <extLst>
        <ext uri="{3e2802c4-a4d2-4d8b-9148-e3be6c30e623}">
          <xlrd:rvb i="4855"/>
        </ext>
      </extLst>
    </bk>
    <bk>
      <extLst>
        <ext uri="{3e2802c4-a4d2-4d8b-9148-e3be6c30e623}">
          <xlrd:rvb i="4856"/>
        </ext>
      </extLst>
    </bk>
    <bk>
      <extLst>
        <ext uri="{3e2802c4-a4d2-4d8b-9148-e3be6c30e623}">
          <xlrd:rvb i="4857"/>
        </ext>
      </extLst>
    </bk>
    <bk>
      <extLst>
        <ext uri="{3e2802c4-a4d2-4d8b-9148-e3be6c30e623}">
          <xlrd:rvb i="4858"/>
        </ext>
      </extLst>
    </bk>
    <bk>
      <extLst>
        <ext uri="{3e2802c4-a4d2-4d8b-9148-e3be6c30e623}">
          <xlrd:rvb i="4859"/>
        </ext>
      </extLst>
    </bk>
    <bk>
      <extLst>
        <ext uri="{3e2802c4-a4d2-4d8b-9148-e3be6c30e623}">
          <xlrd:rvb i="4860"/>
        </ext>
      </extLst>
    </bk>
    <bk>
      <extLst>
        <ext uri="{3e2802c4-a4d2-4d8b-9148-e3be6c30e623}">
          <xlrd:rvb i="4861"/>
        </ext>
      </extLst>
    </bk>
    <bk>
      <extLst>
        <ext uri="{3e2802c4-a4d2-4d8b-9148-e3be6c30e623}">
          <xlrd:rvb i="4862"/>
        </ext>
      </extLst>
    </bk>
    <bk>
      <extLst>
        <ext uri="{3e2802c4-a4d2-4d8b-9148-e3be6c30e623}">
          <xlrd:rvb i="4863"/>
        </ext>
      </extLst>
    </bk>
    <bk>
      <extLst>
        <ext uri="{3e2802c4-a4d2-4d8b-9148-e3be6c30e623}">
          <xlrd:rvb i="4864"/>
        </ext>
      </extLst>
    </bk>
    <bk>
      <extLst>
        <ext uri="{3e2802c4-a4d2-4d8b-9148-e3be6c30e623}">
          <xlrd:rvb i="4865"/>
        </ext>
      </extLst>
    </bk>
    <bk>
      <extLst>
        <ext uri="{3e2802c4-a4d2-4d8b-9148-e3be6c30e623}">
          <xlrd:rvb i="4866"/>
        </ext>
      </extLst>
    </bk>
    <bk>
      <extLst>
        <ext uri="{3e2802c4-a4d2-4d8b-9148-e3be6c30e623}">
          <xlrd:rvb i="4867"/>
        </ext>
      </extLst>
    </bk>
    <bk>
      <extLst>
        <ext uri="{3e2802c4-a4d2-4d8b-9148-e3be6c30e623}">
          <xlrd:rvb i="4868"/>
        </ext>
      </extLst>
    </bk>
    <bk>
      <extLst>
        <ext uri="{3e2802c4-a4d2-4d8b-9148-e3be6c30e623}">
          <xlrd:rvb i="4869"/>
        </ext>
      </extLst>
    </bk>
    <bk>
      <extLst>
        <ext uri="{3e2802c4-a4d2-4d8b-9148-e3be6c30e623}">
          <xlrd:rvb i="4870"/>
        </ext>
      </extLst>
    </bk>
    <bk>
      <extLst>
        <ext uri="{3e2802c4-a4d2-4d8b-9148-e3be6c30e623}">
          <xlrd:rvb i="4871"/>
        </ext>
      </extLst>
    </bk>
    <bk>
      <extLst>
        <ext uri="{3e2802c4-a4d2-4d8b-9148-e3be6c30e623}">
          <xlrd:rvb i="4872"/>
        </ext>
      </extLst>
    </bk>
    <bk>
      <extLst>
        <ext uri="{3e2802c4-a4d2-4d8b-9148-e3be6c30e623}">
          <xlrd:rvb i="4873"/>
        </ext>
      </extLst>
    </bk>
    <bk>
      <extLst>
        <ext uri="{3e2802c4-a4d2-4d8b-9148-e3be6c30e623}">
          <xlrd:rvb i="4874"/>
        </ext>
      </extLst>
    </bk>
    <bk>
      <extLst>
        <ext uri="{3e2802c4-a4d2-4d8b-9148-e3be6c30e623}">
          <xlrd:rvb i="4875"/>
        </ext>
      </extLst>
    </bk>
    <bk>
      <extLst>
        <ext uri="{3e2802c4-a4d2-4d8b-9148-e3be6c30e623}">
          <xlrd:rvb i="4876"/>
        </ext>
      </extLst>
    </bk>
    <bk>
      <extLst>
        <ext uri="{3e2802c4-a4d2-4d8b-9148-e3be6c30e623}">
          <xlrd:rvb i="4877"/>
        </ext>
      </extLst>
    </bk>
    <bk>
      <extLst>
        <ext uri="{3e2802c4-a4d2-4d8b-9148-e3be6c30e623}">
          <xlrd:rvb i="4878"/>
        </ext>
      </extLst>
    </bk>
    <bk>
      <extLst>
        <ext uri="{3e2802c4-a4d2-4d8b-9148-e3be6c30e623}">
          <xlrd:rvb i="4879"/>
        </ext>
      </extLst>
    </bk>
    <bk>
      <extLst>
        <ext uri="{3e2802c4-a4d2-4d8b-9148-e3be6c30e623}">
          <xlrd:rvb i="4880"/>
        </ext>
      </extLst>
    </bk>
    <bk>
      <extLst>
        <ext uri="{3e2802c4-a4d2-4d8b-9148-e3be6c30e623}">
          <xlrd:rvb i="4881"/>
        </ext>
      </extLst>
    </bk>
    <bk>
      <extLst>
        <ext uri="{3e2802c4-a4d2-4d8b-9148-e3be6c30e623}">
          <xlrd:rvb i="4882"/>
        </ext>
      </extLst>
    </bk>
    <bk>
      <extLst>
        <ext uri="{3e2802c4-a4d2-4d8b-9148-e3be6c30e623}">
          <xlrd:rvb i="4883"/>
        </ext>
      </extLst>
    </bk>
    <bk>
      <extLst>
        <ext uri="{3e2802c4-a4d2-4d8b-9148-e3be6c30e623}">
          <xlrd:rvb i="4884"/>
        </ext>
      </extLst>
    </bk>
    <bk>
      <extLst>
        <ext uri="{3e2802c4-a4d2-4d8b-9148-e3be6c30e623}">
          <xlrd:rvb i="4885"/>
        </ext>
      </extLst>
    </bk>
    <bk>
      <extLst>
        <ext uri="{3e2802c4-a4d2-4d8b-9148-e3be6c30e623}">
          <xlrd:rvb i="4886"/>
        </ext>
      </extLst>
    </bk>
    <bk>
      <extLst>
        <ext uri="{3e2802c4-a4d2-4d8b-9148-e3be6c30e623}">
          <xlrd:rvb i="4887"/>
        </ext>
      </extLst>
    </bk>
    <bk>
      <extLst>
        <ext uri="{3e2802c4-a4d2-4d8b-9148-e3be6c30e623}">
          <xlrd:rvb i="4888"/>
        </ext>
      </extLst>
    </bk>
    <bk>
      <extLst>
        <ext uri="{3e2802c4-a4d2-4d8b-9148-e3be6c30e623}">
          <xlrd:rvb i="4889"/>
        </ext>
      </extLst>
    </bk>
    <bk>
      <extLst>
        <ext uri="{3e2802c4-a4d2-4d8b-9148-e3be6c30e623}">
          <xlrd:rvb i="4890"/>
        </ext>
      </extLst>
    </bk>
    <bk>
      <extLst>
        <ext uri="{3e2802c4-a4d2-4d8b-9148-e3be6c30e623}">
          <xlrd:rvb i="4891"/>
        </ext>
      </extLst>
    </bk>
    <bk>
      <extLst>
        <ext uri="{3e2802c4-a4d2-4d8b-9148-e3be6c30e623}">
          <xlrd:rvb i="4892"/>
        </ext>
      </extLst>
    </bk>
    <bk>
      <extLst>
        <ext uri="{3e2802c4-a4d2-4d8b-9148-e3be6c30e623}">
          <xlrd:rvb i="4893"/>
        </ext>
      </extLst>
    </bk>
    <bk>
      <extLst>
        <ext uri="{3e2802c4-a4d2-4d8b-9148-e3be6c30e623}">
          <xlrd:rvb i="4894"/>
        </ext>
      </extLst>
    </bk>
    <bk>
      <extLst>
        <ext uri="{3e2802c4-a4d2-4d8b-9148-e3be6c30e623}">
          <xlrd:rvb i="4895"/>
        </ext>
      </extLst>
    </bk>
    <bk>
      <extLst>
        <ext uri="{3e2802c4-a4d2-4d8b-9148-e3be6c30e623}">
          <xlrd:rvb i="4896"/>
        </ext>
      </extLst>
    </bk>
    <bk>
      <extLst>
        <ext uri="{3e2802c4-a4d2-4d8b-9148-e3be6c30e623}">
          <xlrd:rvb i="4897"/>
        </ext>
      </extLst>
    </bk>
    <bk>
      <extLst>
        <ext uri="{3e2802c4-a4d2-4d8b-9148-e3be6c30e623}">
          <xlrd:rvb i="4898"/>
        </ext>
      </extLst>
    </bk>
    <bk>
      <extLst>
        <ext uri="{3e2802c4-a4d2-4d8b-9148-e3be6c30e623}">
          <xlrd:rvb i="4899"/>
        </ext>
      </extLst>
    </bk>
    <bk>
      <extLst>
        <ext uri="{3e2802c4-a4d2-4d8b-9148-e3be6c30e623}">
          <xlrd:rvb i="4900"/>
        </ext>
      </extLst>
    </bk>
    <bk>
      <extLst>
        <ext uri="{3e2802c4-a4d2-4d8b-9148-e3be6c30e623}">
          <xlrd:rvb i="4901"/>
        </ext>
      </extLst>
    </bk>
    <bk>
      <extLst>
        <ext uri="{3e2802c4-a4d2-4d8b-9148-e3be6c30e623}">
          <xlrd:rvb i="4902"/>
        </ext>
      </extLst>
    </bk>
    <bk>
      <extLst>
        <ext uri="{3e2802c4-a4d2-4d8b-9148-e3be6c30e623}">
          <xlrd:rvb i="4903"/>
        </ext>
      </extLst>
    </bk>
    <bk>
      <extLst>
        <ext uri="{3e2802c4-a4d2-4d8b-9148-e3be6c30e623}">
          <xlrd:rvb i="4904"/>
        </ext>
      </extLst>
    </bk>
    <bk>
      <extLst>
        <ext uri="{3e2802c4-a4d2-4d8b-9148-e3be6c30e623}">
          <xlrd:rvb i="4905"/>
        </ext>
      </extLst>
    </bk>
    <bk>
      <extLst>
        <ext uri="{3e2802c4-a4d2-4d8b-9148-e3be6c30e623}">
          <xlrd:rvb i="4906"/>
        </ext>
      </extLst>
    </bk>
    <bk>
      <extLst>
        <ext uri="{3e2802c4-a4d2-4d8b-9148-e3be6c30e623}">
          <xlrd:rvb i="4907"/>
        </ext>
      </extLst>
    </bk>
    <bk>
      <extLst>
        <ext uri="{3e2802c4-a4d2-4d8b-9148-e3be6c30e623}">
          <xlrd:rvb i="4908"/>
        </ext>
      </extLst>
    </bk>
    <bk>
      <extLst>
        <ext uri="{3e2802c4-a4d2-4d8b-9148-e3be6c30e623}">
          <xlrd:rvb i="4909"/>
        </ext>
      </extLst>
    </bk>
    <bk>
      <extLst>
        <ext uri="{3e2802c4-a4d2-4d8b-9148-e3be6c30e623}">
          <xlrd:rvb i="4910"/>
        </ext>
      </extLst>
    </bk>
    <bk>
      <extLst>
        <ext uri="{3e2802c4-a4d2-4d8b-9148-e3be6c30e623}">
          <xlrd:rvb i="4911"/>
        </ext>
      </extLst>
    </bk>
    <bk>
      <extLst>
        <ext uri="{3e2802c4-a4d2-4d8b-9148-e3be6c30e623}">
          <xlrd:rvb i="4912"/>
        </ext>
      </extLst>
    </bk>
    <bk>
      <extLst>
        <ext uri="{3e2802c4-a4d2-4d8b-9148-e3be6c30e623}">
          <xlrd:rvb i="4913"/>
        </ext>
      </extLst>
    </bk>
    <bk>
      <extLst>
        <ext uri="{3e2802c4-a4d2-4d8b-9148-e3be6c30e623}">
          <xlrd:rvb i="4914"/>
        </ext>
      </extLst>
    </bk>
    <bk>
      <extLst>
        <ext uri="{3e2802c4-a4d2-4d8b-9148-e3be6c30e623}">
          <xlrd:rvb i="4915"/>
        </ext>
      </extLst>
    </bk>
    <bk>
      <extLst>
        <ext uri="{3e2802c4-a4d2-4d8b-9148-e3be6c30e623}">
          <xlrd:rvb i="4916"/>
        </ext>
      </extLst>
    </bk>
    <bk>
      <extLst>
        <ext uri="{3e2802c4-a4d2-4d8b-9148-e3be6c30e623}">
          <xlrd:rvb i="4917"/>
        </ext>
      </extLst>
    </bk>
    <bk>
      <extLst>
        <ext uri="{3e2802c4-a4d2-4d8b-9148-e3be6c30e623}">
          <xlrd:rvb i="4918"/>
        </ext>
      </extLst>
    </bk>
    <bk>
      <extLst>
        <ext uri="{3e2802c4-a4d2-4d8b-9148-e3be6c30e623}">
          <xlrd:rvb i="4919"/>
        </ext>
      </extLst>
    </bk>
    <bk>
      <extLst>
        <ext uri="{3e2802c4-a4d2-4d8b-9148-e3be6c30e623}">
          <xlrd:rvb i="4920"/>
        </ext>
      </extLst>
    </bk>
    <bk>
      <extLst>
        <ext uri="{3e2802c4-a4d2-4d8b-9148-e3be6c30e623}">
          <xlrd:rvb i="4921"/>
        </ext>
      </extLst>
    </bk>
    <bk>
      <extLst>
        <ext uri="{3e2802c4-a4d2-4d8b-9148-e3be6c30e623}">
          <xlrd:rvb i="4922"/>
        </ext>
      </extLst>
    </bk>
    <bk>
      <extLst>
        <ext uri="{3e2802c4-a4d2-4d8b-9148-e3be6c30e623}">
          <xlrd:rvb i="4923"/>
        </ext>
      </extLst>
    </bk>
    <bk>
      <extLst>
        <ext uri="{3e2802c4-a4d2-4d8b-9148-e3be6c30e623}">
          <xlrd:rvb i="4924"/>
        </ext>
      </extLst>
    </bk>
    <bk>
      <extLst>
        <ext uri="{3e2802c4-a4d2-4d8b-9148-e3be6c30e623}">
          <xlrd:rvb i="4925"/>
        </ext>
      </extLst>
    </bk>
    <bk>
      <extLst>
        <ext uri="{3e2802c4-a4d2-4d8b-9148-e3be6c30e623}">
          <xlrd:rvb i="4926"/>
        </ext>
      </extLst>
    </bk>
    <bk>
      <extLst>
        <ext uri="{3e2802c4-a4d2-4d8b-9148-e3be6c30e623}">
          <xlrd:rvb i="4927"/>
        </ext>
      </extLst>
    </bk>
    <bk>
      <extLst>
        <ext uri="{3e2802c4-a4d2-4d8b-9148-e3be6c30e623}">
          <xlrd:rvb i="4928"/>
        </ext>
      </extLst>
    </bk>
    <bk>
      <extLst>
        <ext uri="{3e2802c4-a4d2-4d8b-9148-e3be6c30e623}">
          <xlrd:rvb i="4929"/>
        </ext>
      </extLst>
    </bk>
    <bk>
      <extLst>
        <ext uri="{3e2802c4-a4d2-4d8b-9148-e3be6c30e623}">
          <xlrd:rvb i="4930"/>
        </ext>
      </extLst>
    </bk>
    <bk>
      <extLst>
        <ext uri="{3e2802c4-a4d2-4d8b-9148-e3be6c30e623}">
          <xlrd:rvb i="4931"/>
        </ext>
      </extLst>
    </bk>
    <bk>
      <extLst>
        <ext uri="{3e2802c4-a4d2-4d8b-9148-e3be6c30e623}">
          <xlrd:rvb i="4932"/>
        </ext>
      </extLst>
    </bk>
    <bk>
      <extLst>
        <ext uri="{3e2802c4-a4d2-4d8b-9148-e3be6c30e623}">
          <xlrd:rvb i="4933"/>
        </ext>
      </extLst>
    </bk>
    <bk>
      <extLst>
        <ext uri="{3e2802c4-a4d2-4d8b-9148-e3be6c30e623}">
          <xlrd:rvb i="4934"/>
        </ext>
      </extLst>
    </bk>
    <bk>
      <extLst>
        <ext uri="{3e2802c4-a4d2-4d8b-9148-e3be6c30e623}">
          <xlrd:rvb i="4935"/>
        </ext>
      </extLst>
    </bk>
    <bk>
      <extLst>
        <ext uri="{3e2802c4-a4d2-4d8b-9148-e3be6c30e623}">
          <xlrd:rvb i="4936"/>
        </ext>
      </extLst>
    </bk>
    <bk>
      <extLst>
        <ext uri="{3e2802c4-a4d2-4d8b-9148-e3be6c30e623}">
          <xlrd:rvb i="4937"/>
        </ext>
      </extLst>
    </bk>
    <bk>
      <extLst>
        <ext uri="{3e2802c4-a4d2-4d8b-9148-e3be6c30e623}">
          <xlrd:rvb i="4938"/>
        </ext>
      </extLst>
    </bk>
    <bk>
      <extLst>
        <ext uri="{3e2802c4-a4d2-4d8b-9148-e3be6c30e623}">
          <xlrd:rvb i="4939"/>
        </ext>
      </extLst>
    </bk>
    <bk>
      <extLst>
        <ext uri="{3e2802c4-a4d2-4d8b-9148-e3be6c30e623}">
          <xlrd:rvb i="4940"/>
        </ext>
      </extLst>
    </bk>
    <bk>
      <extLst>
        <ext uri="{3e2802c4-a4d2-4d8b-9148-e3be6c30e623}">
          <xlrd:rvb i="4941"/>
        </ext>
      </extLst>
    </bk>
    <bk>
      <extLst>
        <ext uri="{3e2802c4-a4d2-4d8b-9148-e3be6c30e623}">
          <xlrd:rvb i="4942"/>
        </ext>
      </extLst>
    </bk>
    <bk>
      <extLst>
        <ext uri="{3e2802c4-a4d2-4d8b-9148-e3be6c30e623}">
          <xlrd:rvb i="4943"/>
        </ext>
      </extLst>
    </bk>
    <bk>
      <extLst>
        <ext uri="{3e2802c4-a4d2-4d8b-9148-e3be6c30e623}">
          <xlrd:rvb i="4944"/>
        </ext>
      </extLst>
    </bk>
    <bk>
      <extLst>
        <ext uri="{3e2802c4-a4d2-4d8b-9148-e3be6c30e623}">
          <xlrd:rvb i="4945"/>
        </ext>
      </extLst>
    </bk>
    <bk>
      <extLst>
        <ext uri="{3e2802c4-a4d2-4d8b-9148-e3be6c30e623}">
          <xlrd:rvb i="4946"/>
        </ext>
      </extLst>
    </bk>
    <bk>
      <extLst>
        <ext uri="{3e2802c4-a4d2-4d8b-9148-e3be6c30e623}">
          <xlrd:rvb i="4947"/>
        </ext>
      </extLst>
    </bk>
    <bk>
      <extLst>
        <ext uri="{3e2802c4-a4d2-4d8b-9148-e3be6c30e623}">
          <xlrd:rvb i="4948"/>
        </ext>
      </extLst>
    </bk>
    <bk>
      <extLst>
        <ext uri="{3e2802c4-a4d2-4d8b-9148-e3be6c30e623}">
          <xlrd:rvb i="4949"/>
        </ext>
      </extLst>
    </bk>
    <bk>
      <extLst>
        <ext uri="{3e2802c4-a4d2-4d8b-9148-e3be6c30e623}">
          <xlrd:rvb i="4950"/>
        </ext>
      </extLst>
    </bk>
    <bk>
      <extLst>
        <ext uri="{3e2802c4-a4d2-4d8b-9148-e3be6c30e623}">
          <xlrd:rvb i="4951"/>
        </ext>
      </extLst>
    </bk>
    <bk>
      <extLst>
        <ext uri="{3e2802c4-a4d2-4d8b-9148-e3be6c30e623}">
          <xlrd:rvb i="4952"/>
        </ext>
      </extLst>
    </bk>
    <bk>
      <extLst>
        <ext uri="{3e2802c4-a4d2-4d8b-9148-e3be6c30e623}">
          <xlrd:rvb i="4953"/>
        </ext>
      </extLst>
    </bk>
    <bk>
      <extLst>
        <ext uri="{3e2802c4-a4d2-4d8b-9148-e3be6c30e623}">
          <xlrd:rvb i="4954"/>
        </ext>
      </extLst>
    </bk>
    <bk>
      <extLst>
        <ext uri="{3e2802c4-a4d2-4d8b-9148-e3be6c30e623}">
          <xlrd:rvb i="4955"/>
        </ext>
      </extLst>
    </bk>
    <bk>
      <extLst>
        <ext uri="{3e2802c4-a4d2-4d8b-9148-e3be6c30e623}">
          <xlrd:rvb i="4956"/>
        </ext>
      </extLst>
    </bk>
    <bk>
      <extLst>
        <ext uri="{3e2802c4-a4d2-4d8b-9148-e3be6c30e623}">
          <xlrd:rvb i="4957"/>
        </ext>
      </extLst>
    </bk>
    <bk>
      <extLst>
        <ext uri="{3e2802c4-a4d2-4d8b-9148-e3be6c30e623}">
          <xlrd:rvb i="4958"/>
        </ext>
      </extLst>
    </bk>
    <bk>
      <extLst>
        <ext uri="{3e2802c4-a4d2-4d8b-9148-e3be6c30e623}">
          <xlrd:rvb i="4959"/>
        </ext>
      </extLst>
    </bk>
    <bk>
      <extLst>
        <ext uri="{3e2802c4-a4d2-4d8b-9148-e3be6c30e623}">
          <xlrd:rvb i="4960"/>
        </ext>
      </extLst>
    </bk>
    <bk>
      <extLst>
        <ext uri="{3e2802c4-a4d2-4d8b-9148-e3be6c30e623}">
          <xlrd:rvb i="4961"/>
        </ext>
      </extLst>
    </bk>
    <bk>
      <extLst>
        <ext uri="{3e2802c4-a4d2-4d8b-9148-e3be6c30e623}">
          <xlrd:rvb i="4962"/>
        </ext>
      </extLst>
    </bk>
    <bk>
      <extLst>
        <ext uri="{3e2802c4-a4d2-4d8b-9148-e3be6c30e623}">
          <xlrd:rvb i="4963"/>
        </ext>
      </extLst>
    </bk>
    <bk>
      <extLst>
        <ext uri="{3e2802c4-a4d2-4d8b-9148-e3be6c30e623}">
          <xlrd:rvb i="4964"/>
        </ext>
      </extLst>
    </bk>
    <bk>
      <extLst>
        <ext uri="{3e2802c4-a4d2-4d8b-9148-e3be6c30e623}">
          <xlrd:rvb i="4965"/>
        </ext>
      </extLst>
    </bk>
    <bk>
      <extLst>
        <ext uri="{3e2802c4-a4d2-4d8b-9148-e3be6c30e623}">
          <xlrd:rvb i="4966"/>
        </ext>
      </extLst>
    </bk>
    <bk>
      <extLst>
        <ext uri="{3e2802c4-a4d2-4d8b-9148-e3be6c30e623}">
          <xlrd:rvb i="4967"/>
        </ext>
      </extLst>
    </bk>
    <bk>
      <extLst>
        <ext uri="{3e2802c4-a4d2-4d8b-9148-e3be6c30e623}">
          <xlrd:rvb i="4968"/>
        </ext>
      </extLst>
    </bk>
    <bk>
      <extLst>
        <ext uri="{3e2802c4-a4d2-4d8b-9148-e3be6c30e623}">
          <xlrd:rvb i="4969"/>
        </ext>
      </extLst>
    </bk>
    <bk>
      <extLst>
        <ext uri="{3e2802c4-a4d2-4d8b-9148-e3be6c30e623}">
          <xlrd:rvb i="4970"/>
        </ext>
      </extLst>
    </bk>
    <bk>
      <extLst>
        <ext uri="{3e2802c4-a4d2-4d8b-9148-e3be6c30e623}">
          <xlrd:rvb i="4971"/>
        </ext>
      </extLst>
    </bk>
    <bk>
      <extLst>
        <ext uri="{3e2802c4-a4d2-4d8b-9148-e3be6c30e623}">
          <xlrd:rvb i="4972"/>
        </ext>
      </extLst>
    </bk>
    <bk>
      <extLst>
        <ext uri="{3e2802c4-a4d2-4d8b-9148-e3be6c30e623}">
          <xlrd:rvb i="4973"/>
        </ext>
      </extLst>
    </bk>
    <bk>
      <extLst>
        <ext uri="{3e2802c4-a4d2-4d8b-9148-e3be6c30e623}">
          <xlrd:rvb i="4974"/>
        </ext>
      </extLst>
    </bk>
    <bk>
      <extLst>
        <ext uri="{3e2802c4-a4d2-4d8b-9148-e3be6c30e623}">
          <xlrd:rvb i="4975"/>
        </ext>
      </extLst>
    </bk>
    <bk>
      <extLst>
        <ext uri="{3e2802c4-a4d2-4d8b-9148-e3be6c30e623}">
          <xlrd:rvb i="4976"/>
        </ext>
      </extLst>
    </bk>
    <bk>
      <extLst>
        <ext uri="{3e2802c4-a4d2-4d8b-9148-e3be6c30e623}">
          <xlrd:rvb i="4977"/>
        </ext>
      </extLst>
    </bk>
    <bk>
      <extLst>
        <ext uri="{3e2802c4-a4d2-4d8b-9148-e3be6c30e623}">
          <xlrd:rvb i="4978"/>
        </ext>
      </extLst>
    </bk>
    <bk>
      <extLst>
        <ext uri="{3e2802c4-a4d2-4d8b-9148-e3be6c30e623}">
          <xlrd:rvb i="4979"/>
        </ext>
      </extLst>
    </bk>
    <bk>
      <extLst>
        <ext uri="{3e2802c4-a4d2-4d8b-9148-e3be6c30e623}">
          <xlrd:rvb i="4980"/>
        </ext>
      </extLst>
    </bk>
    <bk>
      <extLst>
        <ext uri="{3e2802c4-a4d2-4d8b-9148-e3be6c30e623}">
          <xlrd:rvb i="4981"/>
        </ext>
      </extLst>
    </bk>
    <bk>
      <extLst>
        <ext uri="{3e2802c4-a4d2-4d8b-9148-e3be6c30e623}">
          <xlrd:rvb i="4982"/>
        </ext>
      </extLst>
    </bk>
    <bk>
      <extLst>
        <ext uri="{3e2802c4-a4d2-4d8b-9148-e3be6c30e623}">
          <xlrd:rvb i="4983"/>
        </ext>
      </extLst>
    </bk>
    <bk>
      <extLst>
        <ext uri="{3e2802c4-a4d2-4d8b-9148-e3be6c30e623}">
          <xlrd:rvb i="4984"/>
        </ext>
      </extLst>
    </bk>
    <bk>
      <extLst>
        <ext uri="{3e2802c4-a4d2-4d8b-9148-e3be6c30e623}">
          <xlrd:rvb i="4985"/>
        </ext>
      </extLst>
    </bk>
    <bk>
      <extLst>
        <ext uri="{3e2802c4-a4d2-4d8b-9148-e3be6c30e623}">
          <xlrd:rvb i="4986"/>
        </ext>
      </extLst>
    </bk>
    <bk>
      <extLst>
        <ext uri="{3e2802c4-a4d2-4d8b-9148-e3be6c30e623}">
          <xlrd:rvb i="4987"/>
        </ext>
      </extLst>
    </bk>
    <bk>
      <extLst>
        <ext uri="{3e2802c4-a4d2-4d8b-9148-e3be6c30e623}">
          <xlrd:rvb i="4988"/>
        </ext>
      </extLst>
    </bk>
    <bk>
      <extLst>
        <ext uri="{3e2802c4-a4d2-4d8b-9148-e3be6c30e623}">
          <xlrd:rvb i="4989"/>
        </ext>
      </extLst>
    </bk>
    <bk>
      <extLst>
        <ext uri="{3e2802c4-a4d2-4d8b-9148-e3be6c30e623}">
          <xlrd:rvb i="4990"/>
        </ext>
      </extLst>
    </bk>
    <bk>
      <extLst>
        <ext uri="{3e2802c4-a4d2-4d8b-9148-e3be6c30e623}">
          <xlrd:rvb i="4991"/>
        </ext>
      </extLst>
    </bk>
    <bk>
      <extLst>
        <ext uri="{3e2802c4-a4d2-4d8b-9148-e3be6c30e623}">
          <xlrd:rvb i="4992"/>
        </ext>
      </extLst>
    </bk>
    <bk>
      <extLst>
        <ext uri="{3e2802c4-a4d2-4d8b-9148-e3be6c30e623}">
          <xlrd:rvb i="4993"/>
        </ext>
      </extLst>
    </bk>
    <bk>
      <extLst>
        <ext uri="{3e2802c4-a4d2-4d8b-9148-e3be6c30e623}">
          <xlrd:rvb i="4994"/>
        </ext>
      </extLst>
    </bk>
    <bk>
      <extLst>
        <ext uri="{3e2802c4-a4d2-4d8b-9148-e3be6c30e623}">
          <xlrd:rvb i="4995"/>
        </ext>
      </extLst>
    </bk>
    <bk>
      <extLst>
        <ext uri="{3e2802c4-a4d2-4d8b-9148-e3be6c30e623}">
          <xlrd:rvb i="4996"/>
        </ext>
      </extLst>
    </bk>
    <bk>
      <extLst>
        <ext uri="{3e2802c4-a4d2-4d8b-9148-e3be6c30e623}">
          <xlrd:rvb i="4997"/>
        </ext>
      </extLst>
    </bk>
    <bk>
      <extLst>
        <ext uri="{3e2802c4-a4d2-4d8b-9148-e3be6c30e623}">
          <xlrd:rvb i="4998"/>
        </ext>
      </extLst>
    </bk>
    <bk>
      <extLst>
        <ext uri="{3e2802c4-a4d2-4d8b-9148-e3be6c30e623}">
          <xlrd:rvb i="4999"/>
        </ext>
      </extLst>
    </bk>
    <bk>
      <extLst>
        <ext uri="{3e2802c4-a4d2-4d8b-9148-e3be6c30e623}">
          <xlrd:rvb i="5000"/>
        </ext>
      </extLst>
    </bk>
    <bk>
      <extLst>
        <ext uri="{3e2802c4-a4d2-4d8b-9148-e3be6c30e623}">
          <xlrd:rvb i="5001"/>
        </ext>
      </extLst>
    </bk>
    <bk>
      <extLst>
        <ext uri="{3e2802c4-a4d2-4d8b-9148-e3be6c30e623}">
          <xlrd:rvb i="5002"/>
        </ext>
      </extLst>
    </bk>
    <bk>
      <extLst>
        <ext uri="{3e2802c4-a4d2-4d8b-9148-e3be6c30e623}">
          <xlrd:rvb i="5003"/>
        </ext>
      </extLst>
    </bk>
    <bk>
      <extLst>
        <ext uri="{3e2802c4-a4d2-4d8b-9148-e3be6c30e623}">
          <xlrd:rvb i="5004"/>
        </ext>
      </extLst>
    </bk>
    <bk>
      <extLst>
        <ext uri="{3e2802c4-a4d2-4d8b-9148-e3be6c30e623}">
          <xlrd:rvb i="5005"/>
        </ext>
      </extLst>
    </bk>
    <bk>
      <extLst>
        <ext uri="{3e2802c4-a4d2-4d8b-9148-e3be6c30e623}">
          <xlrd:rvb i="5006"/>
        </ext>
      </extLst>
    </bk>
    <bk>
      <extLst>
        <ext uri="{3e2802c4-a4d2-4d8b-9148-e3be6c30e623}">
          <xlrd:rvb i="5007"/>
        </ext>
      </extLst>
    </bk>
    <bk>
      <extLst>
        <ext uri="{3e2802c4-a4d2-4d8b-9148-e3be6c30e623}">
          <xlrd:rvb i="5008"/>
        </ext>
      </extLst>
    </bk>
    <bk>
      <extLst>
        <ext uri="{3e2802c4-a4d2-4d8b-9148-e3be6c30e623}">
          <xlrd:rvb i="5009"/>
        </ext>
      </extLst>
    </bk>
    <bk>
      <extLst>
        <ext uri="{3e2802c4-a4d2-4d8b-9148-e3be6c30e623}">
          <xlrd:rvb i="5010"/>
        </ext>
      </extLst>
    </bk>
    <bk>
      <extLst>
        <ext uri="{3e2802c4-a4d2-4d8b-9148-e3be6c30e623}">
          <xlrd:rvb i="5011"/>
        </ext>
      </extLst>
    </bk>
    <bk>
      <extLst>
        <ext uri="{3e2802c4-a4d2-4d8b-9148-e3be6c30e623}">
          <xlrd:rvb i="5012"/>
        </ext>
      </extLst>
    </bk>
    <bk>
      <extLst>
        <ext uri="{3e2802c4-a4d2-4d8b-9148-e3be6c30e623}">
          <xlrd:rvb i="5013"/>
        </ext>
      </extLst>
    </bk>
    <bk>
      <extLst>
        <ext uri="{3e2802c4-a4d2-4d8b-9148-e3be6c30e623}">
          <xlrd:rvb i="5014"/>
        </ext>
      </extLst>
    </bk>
    <bk>
      <extLst>
        <ext uri="{3e2802c4-a4d2-4d8b-9148-e3be6c30e623}">
          <xlrd:rvb i="5015"/>
        </ext>
      </extLst>
    </bk>
    <bk>
      <extLst>
        <ext uri="{3e2802c4-a4d2-4d8b-9148-e3be6c30e623}">
          <xlrd:rvb i="5016"/>
        </ext>
      </extLst>
    </bk>
    <bk>
      <extLst>
        <ext uri="{3e2802c4-a4d2-4d8b-9148-e3be6c30e623}">
          <xlrd:rvb i="5017"/>
        </ext>
      </extLst>
    </bk>
    <bk>
      <extLst>
        <ext uri="{3e2802c4-a4d2-4d8b-9148-e3be6c30e623}">
          <xlrd:rvb i="5018"/>
        </ext>
      </extLst>
    </bk>
    <bk>
      <extLst>
        <ext uri="{3e2802c4-a4d2-4d8b-9148-e3be6c30e623}">
          <xlrd:rvb i="5019"/>
        </ext>
      </extLst>
    </bk>
    <bk>
      <extLst>
        <ext uri="{3e2802c4-a4d2-4d8b-9148-e3be6c30e623}">
          <xlrd:rvb i="5020"/>
        </ext>
      </extLst>
    </bk>
    <bk>
      <extLst>
        <ext uri="{3e2802c4-a4d2-4d8b-9148-e3be6c30e623}">
          <xlrd:rvb i="5021"/>
        </ext>
      </extLst>
    </bk>
    <bk>
      <extLst>
        <ext uri="{3e2802c4-a4d2-4d8b-9148-e3be6c30e623}">
          <xlrd:rvb i="5022"/>
        </ext>
      </extLst>
    </bk>
    <bk>
      <extLst>
        <ext uri="{3e2802c4-a4d2-4d8b-9148-e3be6c30e623}">
          <xlrd:rvb i="5023"/>
        </ext>
      </extLst>
    </bk>
    <bk>
      <extLst>
        <ext uri="{3e2802c4-a4d2-4d8b-9148-e3be6c30e623}">
          <xlrd:rvb i="5024"/>
        </ext>
      </extLst>
    </bk>
    <bk>
      <extLst>
        <ext uri="{3e2802c4-a4d2-4d8b-9148-e3be6c30e623}">
          <xlrd:rvb i="5025"/>
        </ext>
      </extLst>
    </bk>
    <bk>
      <extLst>
        <ext uri="{3e2802c4-a4d2-4d8b-9148-e3be6c30e623}">
          <xlrd:rvb i="5026"/>
        </ext>
      </extLst>
    </bk>
    <bk>
      <extLst>
        <ext uri="{3e2802c4-a4d2-4d8b-9148-e3be6c30e623}">
          <xlrd:rvb i="5027"/>
        </ext>
      </extLst>
    </bk>
    <bk>
      <extLst>
        <ext uri="{3e2802c4-a4d2-4d8b-9148-e3be6c30e623}">
          <xlrd:rvb i="5028"/>
        </ext>
      </extLst>
    </bk>
    <bk>
      <extLst>
        <ext uri="{3e2802c4-a4d2-4d8b-9148-e3be6c30e623}">
          <xlrd:rvb i="5029"/>
        </ext>
      </extLst>
    </bk>
    <bk>
      <extLst>
        <ext uri="{3e2802c4-a4d2-4d8b-9148-e3be6c30e623}">
          <xlrd:rvb i="5030"/>
        </ext>
      </extLst>
    </bk>
    <bk>
      <extLst>
        <ext uri="{3e2802c4-a4d2-4d8b-9148-e3be6c30e623}">
          <xlrd:rvb i="5031"/>
        </ext>
      </extLst>
    </bk>
    <bk>
      <extLst>
        <ext uri="{3e2802c4-a4d2-4d8b-9148-e3be6c30e623}">
          <xlrd:rvb i="5032"/>
        </ext>
      </extLst>
    </bk>
    <bk>
      <extLst>
        <ext uri="{3e2802c4-a4d2-4d8b-9148-e3be6c30e623}">
          <xlrd:rvb i="5033"/>
        </ext>
      </extLst>
    </bk>
    <bk>
      <extLst>
        <ext uri="{3e2802c4-a4d2-4d8b-9148-e3be6c30e623}">
          <xlrd:rvb i="5034"/>
        </ext>
      </extLst>
    </bk>
    <bk>
      <extLst>
        <ext uri="{3e2802c4-a4d2-4d8b-9148-e3be6c30e623}">
          <xlrd:rvb i="5035"/>
        </ext>
      </extLst>
    </bk>
    <bk>
      <extLst>
        <ext uri="{3e2802c4-a4d2-4d8b-9148-e3be6c30e623}">
          <xlrd:rvb i="5036"/>
        </ext>
      </extLst>
    </bk>
    <bk>
      <extLst>
        <ext uri="{3e2802c4-a4d2-4d8b-9148-e3be6c30e623}">
          <xlrd:rvb i="5037"/>
        </ext>
      </extLst>
    </bk>
    <bk>
      <extLst>
        <ext uri="{3e2802c4-a4d2-4d8b-9148-e3be6c30e623}">
          <xlrd:rvb i="5038"/>
        </ext>
      </extLst>
    </bk>
    <bk>
      <extLst>
        <ext uri="{3e2802c4-a4d2-4d8b-9148-e3be6c30e623}">
          <xlrd:rvb i="5039"/>
        </ext>
      </extLst>
    </bk>
    <bk>
      <extLst>
        <ext uri="{3e2802c4-a4d2-4d8b-9148-e3be6c30e623}">
          <xlrd:rvb i="5040"/>
        </ext>
      </extLst>
    </bk>
    <bk>
      <extLst>
        <ext uri="{3e2802c4-a4d2-4d8b-9148-e3be6c30e623}">
          <xlrd:rvb i="5041"/>
        </ext>
      </extLst>
    </bk>
    <bk>
      <extLst>
        <ext uri="{3e2802c4-a4d2-4d8b-9148-e3be6c30e623}">
          <xlrd:rvb i="5042"/>
        </ext>
      </extLst>
    </bk>
    <bk>
      <extLst>
        <ext uri="{3e2802c4-a4d2-4d8b-9148-e3be6c30e623}">
          <xlrd:rvb i="5043"/>
        </ext>
      </extLst>
    </bk>
    <bk>
      <extLst>
        <ext uri="{3e2802c4-a4d2-4d8b-9148-e3be6c30e623}">
          <xlrd:rvb i="5044"/>
        </ext>
      </extLst>
    </bk>
    <bk>
      <extLst>
        <ext uri="{3e2802c4-a4d2-4d8b-9148-e3be6c30e623}">
          <xlrd:rvb i="5045"/>
        </ext>
      </extLst>
    </bk>
    <bk>
      <extLst>
        <ext uri="{3e2802c4-a4d2-4d8b-9148-e3be6c30e623}">
          <xlrd:rvb i="5046"/>
        </ext>
      </extLst>
    </bk>
    <bk>
      <extLst>
        <ext uri="{3e2802c4-a4d2-4d8b-9148-e3be6c30e623}">
          <xlrd:rvb i="5047"/>
        </ext>
      </extLst>
    </bk>
    <bk>
      <extLst>
        <ext uri="{3e2802c4-a4d2-4d8b-9148-e3be6c30e623}">
          <xlrd:rvb i="5048"/>
        </ext>
      </extLst>
    </bk>
    <bk>
      <extLst>
        <ext uri="{3e2802c4-a4d2-4d8b-9148-e3be6c30e623}">
          <xlrd:rvb i="5049"/>
        </ext>
      </extLst>
    </bk>
    <bk>
      <extLst>
        <ext uri="{3e2802c4-a4d2-4d8b-9148-e3be6c30e623}">
          <xlrd:rvb i="5050"/>
        </ext>
      </extLst>
    </bk>
    <bk>
      <extLst>
        <ext uri="{3e2802c4-a4d2-4d8b-9148-e3be6c30e623}">
          <xlrd:rvb i="5051"/>
        </ext>
      </extLst>
    </bk>
    <bk>
      <extLst>
        <ext uri="{3e2802c4-a4d2-4d8b-9148-e3be6c30e623}">
          <xlrd:rvb i="5052"/>
        </ext>
      </extLst>
    </bk>
    <bk>
      <extLst>
        <ext uri="{3e2802c4-a4d2-4d8b-9148-e3be6c30e623}">
          <xlrd:rvb i="5053"/>
        </ext>
      </extLst>
    </bk>
    <bk>
      <extLst>
        <ext uri="{3e2802c4-a4d2-4d8b-9148-e3be6c30e623}">
          <xlrd:rvb i="5054"/>
        </ext>
      </extLst>
    </bk>
    <bk>
      <extLst>
        <ext uri="{3e2802c4-a4d2-4d8b-9148-e3be6c30e623}">
          <xlrd:rvb i="5055"/>
        </ext>
      </extLst>
    </bk>
    <bk>
      <extLst>
        <ext uri="{3e2802c4-a4d2-4d8b-9148-e3be6c30e623}">
          <xlrd:rvb i="5056"/>
        </ext>
      </extLst>
    </bk>
    <bk>
      <extLst>
        <ext uri="{3e2802c4-a4d2-4d8b-9148-e3be6c30e623}">
          <xlrd:rvb i="5057"/>
        </ext>
      </extLst>
    </bk>
    <bk>
      <extLst>
        <ext uri="{3e2802c4-a4d2-4d8b-9148-e3be6c30e623}">
          <xlrd:rvb i="5058"/>
        </ext>
      </extLst>
    </bk>
    <bk>
      <extLst>
        <ext uri="{3e2802c4-a4d2-4d8b-9148-e3be6c30e623}">
          <xlrd:rvb i="5059"/>
        </ext>
      </extLst>
    </bk>
    <bk>
      <extLst>
        <ext uri="{3e2802c4-a4d2-4d8b-9148-e3be6c30e623}">
          <xlrd:rvb i="5060"/>
        </ext>
      </extLst>
    </bk>
    <bk>
      <extLst>
        <ext uri="{3e2802c4-a4d2-4d8b-9148-e3be6c30e623}">
          <xlrd:rvb i="5061"/>
        </ext>
      </extLst>
    </bk>
    <bk>
      <extLst>
        <ext uri="{3e2802c4-a4d2-4d8b-9148-e3be6c30e623}">
          <xlrd:rvb i="5062"/>
        </ext>
      </extLst>
    </bk>
    <bk>
      <extLst>
        <ext uri="{3e2802c4-a4d2-4d8b-9148-e3be6c30e623}">
          <xlrd:rvb i="5063"/>
        </ext>
      </extLst>
    </bk>
    <bk>
      <extLst>
        <ext uri="{3e2802c4-a4d2-4d8b-9148-e3be6c30e623}">
          <xlrd:rvb i="5064"/>
        </ext>
      </extLst>
    </bk>
    <bk>
      <extLst>
        <ext uri="{3e2802c4-a4d2-4d8b-9148-e3be6c30e623}">
          <xlrd:rvb i="5065"/>
        </ext>
      </extLst>
    </bk>
    <bk>
      <extLst>
        <ext uri="{3e2802c4-a4d2-4d8b-9148-e3be6c30e623}">
          <xlrd:rvb i="5066"/>
        </ext>
      </extLst>
    </bk>
    <bk>
      <extLst>
        <ext uri="{3e2802c4-a4d2-4d8b-9148-e3be6c30e623}">
          <xlrd:rvb i="5067"/>
        </ext>
      </extLst>
    </bk>
    <bk>
      <extLst>
        <ext uri="{3e2802c4-a4d2-4d8b-9148-e3be6c30e623}">
          <xlrd:rvb i="5068"/>
        </ext>
      </extLst>
    </bk>
    <bk>
      <extLst>
        <ext uri="{3e2802c4-a4d2-4d8b-9148-e3be6c30e623}">
          <xlrd:rvb i="5069"/>
        </ext>
      </extLst>
    </bk>
    <bk>
      <extLst>
        <ext uri="{3e2802c4-a4d2-4d8b-9148-e3be6c30e623}">
          <xlrd:rvb i="5070"/>
        </ext>
      </extLst>
    </bk>
    <bk>
      <extLst>
        <ext uri="{3e2802c4-a4d2-4d8b-9148-e3be6c30e623}">
          <xlrd:rvb i="5071"/>
        </ext>
      </extLst>
    </bk>
    <bk>
      <extLst>
        <ext uri="{3e2802c4-a4d2-4d8b-9148-e3be6c30e623}">
          <xlrd:rvb i="5072"/>
        </ext>
      </extLst>
    </bk>
    <bk>
      <extLst>
        <ext uri="{3e2802c4-a4d2-4d8b-9148-e3be6c30e623}">
          <xlrd:rvb i="5073"/>
        </ext>
      </extLst>
    </bk>
    <bk>
      <extLst>
        <ext uri="{3e2802c4-a4d2-4d8b-9148-e3be6c30e623}">
          <xlrd:rvb i="5074"/>
        </ext>
      </extLst>
    </bk>
    <bk>
      <extLst>
        <ext uri="{3e2802c4-a4d2-4d8b-9148-e3be6c30e623}">
          <xlrd:rvb i="5075"/>
        </ext>
      </extLst>
    </bk>
    <bk>
      <extLst>
        <ext uri="{3e2802c4-a4d2-4d8b-9148-e3be6c30e623}">
          <xlrd:rvb i="5076"/>
        </ext>
      </extLst>
    </bk>
    <bk>
      <extLst>
        <ext uri="{3e2802c4-a4d2-4d8b-9148-e3be6c30e623}">
          <xlrd:rvb i="5077"/>
        </ext>
      </extLst>
    </bk>
    <bk>
      <extLst>
        <ext uri="{3e2802c4-a4d2-4d8b-9148-e3be6c30e623}">
          <xlrd:rvb i="5078"/>
        </ext>
      </extLst>
    </bk>
    <bk>
      <extLst>
        <ext uri="{3e2802c4-a4d2-4d8b-9148-e3be6c30e623}">
          <xlrd:rvb i="5079"/>
        </ext>
      </extLst>
    </bk>
    <bk>
      <extLst>
        <ext uri="{3e2802c4-a4d2-4d8b-9148-e3be6c30e623}">
          <xlrd:rvb i="5080"/>
        </ext>
      </extLst>
    </bk>
    <bk>
      <extLst>
        <ext uri="{3e2802c4-a4d2-4d8b-9148-e3be6c30e623}">
          <xlrd:rvb i="5081"/>
        </ext>
      </extLst>
    </bk>
    <bk>
      <extLst>
        <ext uri="{3e2802c4-a4d2-4d8b-9148-e3be6c30e623}">
          <xlrd:rvb i="5082"/>
        </ext>
      </extLst>
    </bk>
    <bk>
      <extLst>
        <ext uri="{3e2802c4-a4d2-4d8b-9148-e3be6c30e623}">
          <xlrd:rvb i="5083"/>
        </ext>
      </extLst>
    </bk>
    <bk>
      <extLst>
        <ext uri="{3e2802c4-a4d2-4d8b-9148-e3be6c30e623}">
          <xlrd:rvb i="5084"/>
        </ext>
      </extLst>
    </bk>
    <bk>
      <extLst>
        <ext uri="{3e2802c4-a4d2-4d8b-9148-e3be6c30e623}">
          <xlrd:rvb i="5085"/>
        </ext>
      </extLst>
    </bk>
    <bk>
      <extLst>
        <ext uri="{3e2802c4-a4d2-4d8b-9148-e3be6c30e623}">
          <xlrd:rvb i="5086"/>
        </ext>
      </extLst>
    </bk>
    <bk>
      <extLst>
        <ext uri="{3e2802c4-a4d2-4d8b-9148-e3be6c30e623}">
          <xlrd:rvb i="5087"/>
        </ext>
      </extLst>
    </bk>
    <bk>
      <extLst>
        <ext uri="{3e2802c4-a4d2-4d8b-9148-e3be6c30e623}">
          <xlrd:rvb i="5088"/>
        </ext>
      </extLst>
    </bk>
    <bk>
      <extLst>
        <ext uri="{3e2802c4-a4d2-4d8b-9148-e3be6c30e623}">
          <xlrd:rvb i="5089"/>
        </ext>
      </extLst>
    </bk>
    <bk>
      <extLst>
        <ext uri="{3e2802c4-a4d2-4d8b-9148-e3be6c30e623}">
          <xlrd:rvb i="5090"/>
        </ext>
      </extLst>
    </bk>
    <bk>
      <extLst>
        <ext uri="{3e2802c4-a4d2-4d8b-9148-e3be6c30e623}">
          <xlrd:rvb i="5091"/>
        </ext>
      </extLst>
    </bk>
    <bk>
      <extLst>
        <ext uri="{3e2802c4-a4d2-4d8b-9148-e3be6c30e623}">
          <xlrd:rvb i="5092"/>
        </ext>
      </extLst>
    </bk>
    <bk>
      <extLst>
        <ext uri="{3e2802c4-a4d2-4d8b-9148-e3be6c30e623}">
          <xlrd:rvb i="5093"/>
        </ext>
      </extLst>
    </bk>
    <bk>
      <extLst>
        <ext uri="{3e2802c4-a4d2-4d8b-9148-e3be6c30e623}">
          <xlrd:rvb i="5094"/>
        </ext>
      </extLst>
    </bk>
    <bk>
      <extLst>
        <ext uri="{3e2802c4-a4d2-4d8b-9148-e3be6c30e623}">
          <xlrd:rvb i="5095"/>
        </ext>
      </extLst>
    </bk>
    <bk>
      <extLst>
        <ext uri="{3e2802c4-a4d2-4d8b-9148-e3be6c30e623}">
          <xlrd:rvb i="5096"/>
        </ext>
      </extLst>
    </bk>
    <bk>
      <extLst>
        <ext uri="{3e2802c4-a4d2-4d8b-9148-e3be6c30e623}">
          <xlrd:rvb i="5097"/>
        </ext>
      </extLst>
    </bk>
    <bk>
      <extLst>
        <ext uri="{3e2802c4-a4d2-4d8b-9148-e3be6c30e623}">
          <xlrd:rvb i="5098"/>
        </ext>
      </extLst>
    </bk>
    <bk>
      <extLst>
        <ext uri="{3e2802c4-a4d2-4d8b-9148-e3be6c30e623}">
          <xlrd:rvb i="5099"/>
        </ext>
      </extLst>
    </bk>
    <bk>
      <extLst>
        <ext uri="{3e2802c4-a4d2-4d8b-9148-e3be6c30e623}">
          <xlrd:rvb i="5100"/>
        </ext>
      </extLst>
    </bk>
    <bk>
      <extLst>
        <ext uri="{3e2802c4-a4d2-4d8b-9148-e3be6c30e623}">
          <xlrd:rvb i="5101"/>
        </ext>
      </extLst>
    </bk>
    <bk>
      <extLst>
        <ext uri="{3e2802c4-a4d2-4d8b-9148-e3be6c30e623}">
          <xlrd:rvb i="5102"/>
        </ext>
      </extLst>
    </bk>
    <bk>
      <extLst>
        <ext uri="{3e2802c4-a4d2-4d8b-9148-e3be6c30e623}">
          <xlrd:rvb i="5103"/>
        </ext>
      </extLst>
    </bk>
    <bk>
      <extLst>
        <ext uri="{3e2802c4-a4d2-4d8b-9148-e3be6c30e623}">
          <xlrd:rvb i="5104"/>
        </ext>
      </extLst>
    </bk>
    <bk>
      <extLst>
        <ext uri="{3e2802c4-a4d2-4d8b-9148-e3be6c30e623}">
          <xlrd:rvb i="5105"/>
        </ext>
      </extLst>
    </bk>
    <bk>
      <extLst>
        <ext uri="{3e2802c4-a4d2-4d8b-9148-e3be6c30e623}">
          <xlrd:rvb i="5106"/>
        </ext>
      </extLst>
    </bk>
    <bk>
      <extLst>
        <ext uri="{3e2802c4-a4d2-4d8b-9148-e3be6c30e623}">
          <xlrd:rvb i="5107"/>
        </ext>
      </extLst>
    </bk>
    <bk>
      <extLst>
        <ext uri="{3e2802c4-a4d2-4d8b-9148-e3be6c30e623}">
          <xlrd:rvb i="5108"/>
        </ext>
      </extLst>
    </bk>
    <bk>
      <extLst>
        <ext uri="{3e2802c4-a4d2-4d8b-9148-e3be6c30e623}">
          <xlrd:rvb i="5109"/>
        </ext>
      </extLst>
    </bk>
    <bk>
      <extLst>
        <ext uri="{3e2802c4-a4d2-4d8b-9148-e3be6c30e623}">
          <xlrd:rvb i="5110"/>
        </ext>
      </extLst>
    </bk>
    <bk>
      <extLst>
        <ext uri="{3e2802c4-a4d2-4d8b-9148-e3be6c30e623}">
          <xlrd:rvb i="5111"/>
        </ext>
      </extLst>
    </bk>
    <bk>
      <extLst>
        <ext uri="{3e2802c4-a4d2-4d8b-9148-e3be6c30e623}">
          <xlrd:rvb i="5112"/>
        </ext>
      </extLst>
    </bk>
    <bk>
      <extLst>
        <ext uri="{3e2802c4-a4d2-4d8b-9148-e3be6c30e623}">
          <xlrd:rvb i="5113"/>
        </ext>
      </extLst>
    </bk>
    <bk>
      <extLst>
        <ext uri="{3e2802c4-a4d2-4d8b-9148-e3be6c30e623}">
          <xlrd:rvb i="5114"/>
        </ext>
      </extLst>
    </bk>
    <bk>
      <extLst>
        <ext uri="{3e2802c4-a4d2-4d8b-9148-e3be6c30e623}">
          <xlrd:rvb i="5115"/>
        </ext>
      </extLst>
    </bk>
    <bk>
      <extLst>
        <ext uri="{3e2802c4-a4d2-4d8b-9148-e3be6c30e623}">
          <xlrd:rvb i="5116"/>
        </ext>
      </extLst>
    </bk>
    <bk>
      <extLst>
        <ext uri="{3e2802c4-a4d2-4d8b-9148-e3be6c30e623}">
          <xlrd:rvb i="5117"/>
        </ext>
      </extLst>
    </bk>
    <bk>
      <extLst>
        <ext uri="{3e2802c4-a4d2-4d8b-9148-e3be6c30e623}">
          <xlrd:rvb i="5118"/>
        </ext>
      </extLst>
    </bk>
    <bk>
      <extLst>
        <ext uri="{3e2802c4-a4d2-4d8b-9148-e3be6c30e623}">
          <xlrd:rvb i="5119"/>
        </ext>
      </extLst>
    </bk>
    <bk>
      <extLst>
        <ext uri="{3e2802c4-a4d2-4d8b-9148-e3be6c30e623}">
          <xlrd:rvb i="5120"/>
        </ext>
      </extLst>
    </bk>
    <bk>
      <extLst>
        <ext uri="{3e2802c4-a4d2-4d8b-9148-e3be6c30e623}">
          <xlrd:rvb i="5121"/>
        </ext>
      </extLst>
    </bk>
    <bk>
      <extLst>
        <ext uri="{3e2802c4-a4d2-4d8b-9148-e3be6c30e623}">
          <xlrd:rvb i="5122"/>
        </ext>
      </extLst>
    </bk>
    <bk>
      <extLst>
        <ext uri="{3e2802c4-a4d2-4d8b-9148-e3be6c30e623}">
          <xlrd:rvb i="5123"/>
        </ext>
      </extLst>
    </bk>
    <bk>
      <extLst>
        <ext uri="{3e2802c4-a4d2-4d8b-9148-e3be6c30e623}">
          <xlrd:rvb i="5124"/>
        </ext>
      </extLst>
    </bk>
    <bk>
      <extLst>
        <ext uri="{3e2802c4-a4d2-4d8b-9148-e3be6c30e623}">
          <xlrd:rvb i="5125"/>
        </ext>
      </extLst>
    </bk>
    <bk>
      <extLst>
        <ext uri="{3e2802c4-a4d2-4d8b-9148-e3be6c30e623}">
          <xlrd:rvb i="5126"/>
        </ext>
      </extLst>
    </bk>
    <bk>
      <extLst>
        <ext uri="{3e2802c4-a4d2-4d8b-9148-e3be6c30e623}">
          <xlrd:rvb i="5127"/>
        </ext>
      </extLst>
    </bk>
    <bk>
      <extLst>
        <ext uri="{3e2802c4-a4d2-4d8b-9148-e3be6c30e623}">
          <xlrd:rvb i="5128"/>
        </ext>
      </extLst>
    </bk>
    <bk>
      <extLst>
        <ext uri="{3e2802c4-a4d2-4d8b-9148-e3be6c30e623}">
          <xlrd:rvb i="5129"/>
        </ext>
      </extLst>
    </bk>
    <bk>
      <extLst>
        <ext uri="{3e2802c4-a4d2-4d8b-9148-e3be6c30e623}">
          <xlrd:rvb i="5130"/>
        </ext>
      </extLst>
    </bk>
    <bk>
      <extLst>
        <ext uri="{3e2802c4-a4d2-4d8b-9148-e3be6c30e623}">
          <xlrd:rvb i="5131"/>
        </ext>
      </extLst>
    </bk>
    <bk>
      <extLst>
        <ext uri="{3e2802c4-a4d2-4d8b-9148-e3be6c30e623}">
          <xlrd:rvb i="5132"/>
        </ext>
      </extLst>
    </bk>
    <bk>
      <extLst>
        <ext uri="{3e2802c4-a4d2-4d8b-9148-e3be6c30e623}">
          <xlrd:rvb i="5133"/>
        </ext>
      </extLst>
    </bk>
    <bk>
      <extLst>
        <ext uri="{3e2802c4-a4d2-4d8b-9148-e3be6c30e623}">
          <xlrd:rvb i="5134"/>
        </ext>
      </extLst>
    </bk>
    <bk>
      <extLst>
        <ext uri="{3e2802c4-a4d2-4d8b-9148-e3be6c30e623}">
          <xlrd:rvb i="5135"/>
        </ext>
      </extLst>
    </bk>
    <bk>
      <extLst>
        <ext uri="{3e2802c4-a4d2-4d8b-9148-e3be6c30e623}">
          <xlrd:rvb i="5136"/>
        </ext>
      </extLst>
    </bk>
    <bk>
      <extLst>
        <ext uri="{3e2802c4-a4d2-4d8b-9148-e3be6c30e623}">
          <xlrd:rvb i="5137"/>
        </ext>
      </extLst>
    </bk>
    <bk>
      <extLst>
        <ext uri="{3e2802c4-a4d2-4d8b-9148-e3be6c30e623}">
          <xlrd:rvb i="5138"/>
        </ext>
      </extLst>
    </bk>
    <bk>
      <extLst>
        <ext uri="{3e2802c4-a4d2-4d8b-9148-e3be6c30e623}">
          <xlrd:rvb i="5139"/>
        </ext>
      </extLst>
    </bk>
    <bk>
      <extLst>
        <ext uri="{3e2802c4-a4d2-4d8b-9148-e3be6c30e623}">
          <xlrd:rvb i="5140"/>
        </ext>
      </extLst>
    </bk>
    <bk>
      <extLst>
        <ext uri="{3e2802c4-a4d2-4d8b-9148-e3be6c30e623}">
          <xlrd:rvb i="5141"/>
        </ext>
      </extLst>
    </bk>
    <bk>
      <extLst>
        <ext uri="{3e2802c4-a4d2-4d8b-9148-e3be6c30e623}">
          <xlrd:rvb i="5142"/>
        </ext>
      </extLst>
    </bk>
    <bk>
      <extLst>
        <ext uri="{3e2802c4-a4d2-4d8b-9148-e3be6c30e623}">
          <xlrd:rvb i="5143"/>
        </ext>
      </extLst>
    </bk>
    <bk>
      <extLst>
        <ext uri="{3e2802c4-a4d2-4d8b-9148-e3be6c30e623}">
          <xlrd:rvb i="5144"/>
        </ext>
      </extLst>
    </bk>
    <bk>
      <extLst>
        <ext uri="{3e2802c4-a4d2-4d8b-9148-e3be6c30e623}">
          <xlrd:rvb i="5145"/>
        </ext>
      </extLst>
    </bk>
    <bk>
      <extLst>
        <ext uri="{3e2802c4-a4d2-4d8b-9148-e3be6c30e623}">
          <xlrd:rvb i="5146"/>
        </ext>
      </extLst>
    </bk>
    <bk>
      <extLst>
        <ext uri="{3e2802c4-a4d2-4d8b-9148-e3be6c30e623}">
          <xlrd:rvb i="5147"/>
        </ext>
      </extLst>
    </bk>
    <bk>
      <extLst>
        <ext uri="{3e2802c4-a4d2-4d8b-9148-e3be6c30e623}">
          <xlrd:rvb i="5148"/>
        </ext>
      </extLst>
    </bk>
    <bk>
      <extLst>
        <ext uri="{3e2802c4-a4d2-4d8b-9148-e3be6c30e623}">
          <xlrd:rvb i="5149"/>
        </ext>
      </extLst>
    </bk>
    <bk>
      <extLst>
        <ext uri="{3e2802c4-a4d2-4d8b-9148-e3be6c30e623}">
          <xlrd:rvb i="5150"/>
        </ext>
      </extLst>
    </bk>
    <bk>
      <extLst>
        <ext uri="{3e2802c4-a4d2-4d8b-9148-e3be6c30e623}">
          <xlrd:rvb i="5151"/>
        </ext>
      </extLst>
    </bk>
    <bk>
      <extLst>
        <ext uri="{3e2802c4-a4d2-4d8b-9148-e3be6c30e623}">
          <xlrd:rvb i="5152"/>
        </ext>
      </extLst>
    </bk>
    <bk>
      <extLst>
        <ext uri="{3e2802c4-a4d2-4d8b-9148-e3be6c30e623}">
          <xlrd:rvb i="5153"/>
        </ext>
      </extLst>
    </bk>
    <bk>
      <extLst>
        <ext uri="{3e2802c4-a4d2-4d8b-9148-e3be6c30e623}">
          <xlrd:rvb i="5154"/>
        </ext>
      </extLst>
    </bk>
    <bk>
      <extLst>
        <ext uri="{3e2802c4-a4d2-4d8b-9148-e3be6c30e623}">
          <xlrd:rvb i="5155"/>
        </ext>
      </extLst>
    </bk>
    <bk>
      <extLst>
        <ext uri="{3e2802c4-a4d2-4d8b-9148-e3be6c30e623}">
          <xlrd:rvb i="5156"/>
        </ext>
      </extLst>
    </bk>
    <bk>
      <extLst>
        <ext uri="{3e2802c4-a4d2-4d8b-9148-e3be6c30e623}">
          <xlrd:rvb i="5157"/>
        </ext>
      </extLst>
    </bk>
    <bk>
      <extLst>
        <ext uri="{3e2802c4-a4d2-4d8b-9148-e3be6c30e623}">
          <xlrd:rvb i="5158"/>
        </ext>
      </extLst>
    </bk>
    <bk>
      <extLst>
        <ext uri="{3e2802c4-a4d2-4d8b-9148-e3be6c30e623}">
          <xlrd:rvb i="5159"/>
        </ext>
      </extLst>
    </bk>
    <bk>
      <extLst>
        <ext uri="{3e2802c4-a4d2-4d8b-9148-e3be6c30e623}">
          <xlrd:rvb i="5160"/>
        </ext>
      </extLst>
    </bk>
    <bk>
      <extLst>
        <ext uri="{3e2802c4-a4d2-4d8b-9148-e3be6c30e623}">
          <xlrd:rvb i="5161"/>
        </ext>
      </extLst>
    </bk>
    <bk>
      <extLst>
        <ext uri="{3e2802c4-a4d2-4d8b-9148-e3be6c30e623}">
          <xlrd:rvb i="5162"/>
        </ext>
      </extLst>
    </bk>
    <bk>
      <extLst>
        <ext uri="{3e2802c4-a4d2-4d8b-9148-e3be6c30e623}">
          <xlrd:rvb i="5163"/>
        </ext>
      </extLst>
    </bk>
    <bk>
      <extLst>
        <ext uri="{3e2802c4-a4d2-4d8b-9148-e3be6c30e623}">
          <xlrd:rvb i="5164"/>
        </ext>
      </extLst>
    </bk>
    <bk>
      <extLst>
        <ext uri="{3e2802c4-a4d2-4d8b-9148-e3be6c30e623}">
          <xlrd:rvb i="5165"/>
        </ext>
      </extLst>
    </bk>
    <bk>
      <extLst>
        <ext uri="{3e2802c4-a4d2-4d8b-9148-e3be6c30e623}">
          <xlrd:rvb i="5166"/>
        </ext>
      </extLst>
    </bk>
    <bk>
      <extLst>
        <ext uri="{3e2802c4-a4d2-4d8b-9148-e3be6c30e623}">
          <xlrd:rvb i="5167"/>
        </ext>
      </extLst>
    </bk>
    <bk>
      <extLst>
        <ext uri="{3e2802c4-a4d2-4d8b-9148-e3be6c30e623}">
          <xlrd:rvb i="5168"/>
        </ext>
      </extLst>
    </bk>
    <bk>
      <extLst>
        <ext uri="{3e2802c4-a4d2-4d8b-9148-e3be6c30e623}">
          <xlrd:rvb i="5169"/>
        </ext>
      </extLst>
    </bk>
    <bk>
      <extLst>
        <ext uri="{3e2802c4-a4d2-4d8b-9148-e3be6c30e623}">
          <xlrd:rvb i="5170"/>
        </ext>
      </extLst>
    </bk>
    <bk>
      <extLst>
        <ext uri="{3e2802c4-a4d2-4d8b-9148-e3be6c30e623}">
          <xlrd:rvb i="5171"/>
        </ext>
      </extLst>
    </bk>
    <bk>
      <extLst>
        <ext uri="{3e2802c4-a4d2-4d8b-9148-e3be6c30e623}">
          <xlrd:rvb i="5172"/>
        </ext>
      </extLst>
    </bk>
    <bk>
      <extLst>
        <ext uri="{3e2802c4-a4d2-4d8b-9148-e3be6c30e623}">
          <xlrd:rvb i="5173"/>
        </ext>
      </extLst>
    </bk>
    <bk>
      <extLst>
        <ext uri="{3e2802c4-a4d2-4d8b-9148-e3be6c30e623}">
          <xlrd:rvb i="5174"/>
        </ext>
      </extLst>
    </bk>
    <bk>
      <extLst>
        <ext uri="{3e2802c4-a4d2-4d8b-9148-e3be6c30e623}">
          <xlrd:rvb i="5175"/>
        </ext>
      </extLst>
    </bk>
    <bk>
      <extLst>
        <ext uri="{3e2802c4-a4d2-4d8b-9148-e3be6c30e623}">
          <xlrd:rvb i="5176"/>
        </ext>
      </extLst>
    </bk>
    <bk>
      <extLst>
        <ext uri="{3e2802c4-a4d2-4d8b-9148-e3be6c30e623}">
          <xlrd:rvb i="5177"/>
        </ext>
      </extLst>
    </bk>
    <bk>
      <extLst>
        <ext uri="{3e2802c4-a4d2-4d8b-9148-e3be6c30e623}">
          <xlrd:rvb i="5178"/>
        </ext>
      </extLst>
    </bk>
    <bk>
      <extLst>
        <ext uri="{3e2802c4-a4d2-4d8b-9148-e3be6c30e623}">
          <xlrd:rvb i="5179"/>
        </ext>
      </extLst>
    </bk>
    <bk>
      <extLst>
        <ext uri="{3e2802c4-a4d2-4d8b-9148-e3be6c30e623}">
          <xlrd:rvb i="5180"/>
        </ext>
      </extLst>
    </bk>
    <bk>
      <extLst>
        <ext uri="{3e2802c4-a4d2-4d8b-9148-e3be6c30e623}">
          <xlrd:rvb i="5181"/>
        </ext>
      </extLst>
    </bk>
    <bk>
      <extLst>
        <ext uri="{3e2802c4-a4d2-4d8b-9148-e3be6c30e623}">
          <xlrd:rvb i="5182"/>
        </ext>
      </extLst>
    </bk>
    <bk>
      <extLst>
        <ext uri="{3e2802c4-a4d2-4d8b-9148-e3be6c30e623}">
          <xlrd:rvb i="5183"/>
        </ext>
      </extLst>
    </bk>
    <bk>
      <extLst>
        <ext uri="{3e2802c4-a4d2-4d8b-9148-e3be6c30e623}">
          <xlrd:rvb i="5184"/>
        </ext>
      </extLst>
    </bk>
    <bk>
      <extLst>
        <ext uri="{3e2802c4-a4d2-4d8b-9148-e3be6c30e623}">
          <xlrd:rvb i="5185"/>
        </ext>
      </extLst>
    </bk>
    <bk>
      <extLst>
        <ext uri="{3e2802c4-a4d2-4d8b-9148-e3be6c30e623}">
          <xlrd:rvb i="5186"/>
        </ext>
      </extLst>
    </bk>
    <bk>
      <extLst>
        <ext uri="{3e2802c4-a4d2-4d8b-9148-e3be6c30e623}">
          <xlrd:rvb i="5187"/>
        </ext>
      </extLst>
    </bk>
    <bk>
      <extLst>
        <ext uri="{3e2802c4-a4d2-4d8b-9148-e3be6c30e623}">
          <xlrd:rvb i="5188"/>
        </ext>
      </extLst>
    </bk>
    <bk>
      <extLst>
        <ext uri="{3e2802c4-a4d2-4d8b-9148-e3be6c30e623}">
          <xlrd:rvb i="5189"/>
        </ext>
      </extLst>
    </bk>
    <bk>
      <extLst>
        <ext uri="{3e2802c4-a4d2-4d8b-9148-e3be6c30e623}">
          <xlrd:rvb i="5190"/>
        </ext>
      </extLst>
    </bk>
    <bk>
      <extLst>
        <ext uri="{3e2802c4-a4d2-4d8b-9148-e3be6c30e623}">
          <xlrd:rvb i="5191"/>
        </ext>
      </extLst>
    </bk>
    <bk>
      <extLst>
        <ext uri="{3e2802c4-a4d2-4d8b-9148-e3be6c30e623}">
          <xlrd:rvb i="5192"/>
        </ext>
      </extLst>
    </bk>
    <bk>
      <extLst>
        <ext uri="{3e2802c4-a4d2-4d8b-9148-e3be6c30e623}">
          <xlrd:rvb i="5193"/>
        </ext>
      </extLst>
    </bk>
    <bk>
      <extLst>
        <ext uri="{3e2802c4-a4d2-4d8b-9148-e3be6c30e623}">
          <xlrd:rvb i="5194"/>
        </ext>
      </extLst>
    </bk>
    <bk>
      <extLst>
        <ext uri="{3e2802c4-a4d2-4d8b-9148-e3be6c30e623}">
          <xlrd:rvb i="5195"/>
        </ext>
      </extLst>
    </bk>
    <bk>
      <extLst>
        <ext uri="{3e2802c4-a4d2-4d8b-9148-e3be6c30e623}">
          <xlrd:rvb i="5196"/>
        </ext>
      </extLst>
    </bk>
    <bk>
      <extLst>
        <ext uri="{3e2802c4-a4d2-4d8b-9148-e3be6c30e623}">
          <xlrd:rvb i="5197"/>
        </ext>
      </extLst>
    </bk>
    <bk>
      <extLst>
        <ext uri="{3e2802c4-a4d2-4d8b-9148-e3be6c30e623}">
          <xlrd:rvb i="5198"/>
        </ext>
      </extLst>
    </bk>
    <bk>
      <extLst>
        <ext uri="{3e2802c4-a4d2-4d8b-9148-e3be6c30e623}">
          <xlrd:rvb i="5199"/>
        </ext>
      </extLst>
    </bk>
    <bk>
      <extLst>
        <ext uri="{3e2802c4-a4d2-4d8b-9148-e3be6c30e623}">
          <xlrd:rvb i="5200"/>
        </ext>
      </extLst>
    </bk>
    <bk>
      <extLst>
        <ext uri="{3e2802c4-a4d2-4d8b-9148-e3be6c30e623}">
          <xlrd:rvb i="5201"/>
        </ext>
      </extLst>
    </bk>
    <bk>
      <extLst>
        <ext uri="{3e2802c4-a4d2-4d8b-9148-e3be6c30e623}">
          <xlrd:rvb i="5202"/>
        </ext>
      </extLst>
    </bk>
    <bk>
      <extLst>
        <ext uri="{3e2802c4-a4d2-4d8b-9148-e3be6c30e623}">
          <xlrd:rvb i="5203"/>
        </ext>
      </extLst>
    </bk>
    <bk>
      <extLst>
        <ext uri="{3e2802c4-a4d2-4d8b-9148-e3be6c30e623}">
          <xlrd:rvb i="5204"/>
        </ext>
      </extLst>
    </bk>
    <bk>
      <extLst>
        <ext uri="{3e2802c4-a4d2-4d8b-9148-e3be6c30e623}">
          <xlrd:rvb i="5205"/>
        </ext>
      </extLst>
    </bk>
    <bk>
      <extLst>
        <ext uri="{3e2802c4-a4d2-4d8b-9148-e3be6c30e623}">
          <xlrd:rvb i="5206"/>
        </ext>
      </extLst>
    </bk>
    <bk>
      <extLst>
        <ext uri="{3e2802c4-a4d2-4d8b-9148-e3be6c30e623}">
          <xlrd:rvb i="5207"/>
        </ext>
      </extLst>
    </bk>
    <bk>
      <extLst>
        <ext uri="{3e2802c4-a4d2-4d8b-9148-e3be6c30e623}">
          <xlrd:rvb i="5208"/>
        </ext>
      </extLst>
    </bk>
    <bk>
      <extLst>
        <ext uri="{3e2802c4-a4d2-4d8b-9148-e3be6c30e623}">
          <xlrd:rvb i="5209"/>
        </ext>
      </extLst>
    </bk>
    <bk>
      <extLst>
        <ext uri="{3e2802c4-a4d2-4d8b-9148-e3be6c30e623}">
          <xlrd:rvb i="5210"/>
        </ext>
      </extLst>
    </bk>
    <bk>
      <extLst>
        <ext uri="{3e2802c4-a4d2-4d8b-9148-e3be6c30e623}">
          <xlrd:rvb i="5211"/>
        </ext>
      </extLst>
    </bk>
    <bk>
      <extLst>
        <ext uri="{3e2802c4-a4d2-4d8b-9148-e3be6c30e623}">
          <xlrd:rvb i="5212"/>
        </ext>
      </extLst>
    </bk>
    <bk>
      <extLst>
        <ext uri="{3e2802c4-a4d2-4d8b-9148-e3be6c30e623}">
          <xlrd:rvb i="5213"/>
        </ext>
      </extLst>
    </bk>
    <bk>
      <extLst>
        <ext uri="{3e2802c4-a4d2-4d8b-9148-e3be6c30e623}">
          <xlrd:rvb i="5214"/>
        </ext>
      </extLst>
    </bk>
    <bk>
      <extLst>
        <ext uri="{3e2802c4-a4d2-4d8b-9148-e3be6c30e623}">
          <xlrd:rvb i="5215"/>
        </ext>
      </extLst>
    </bk>
    <bk>
      <extLst>
        <ext uri="{3e2802c4-a4d2-4d8b-9148-e3be6c30e623}">
          <xlrd:rvb i="5216"/>
        </ext>
      </extLst>
    </bk>
    <bk>
      <extLst>
        <ext uri="{3e2802c4-a4d2-4d8b-9148-e3be6c30e623}">
          <xlrd:rvb i="5217"/>
        </ext>
      </extLst>
    </bk>
    <bk>
      <extLst>
        <ext uri="{3e2802c4-a4d2-4d8b-9148-e3be6c30e623}">
          <xlrd:rvb i="5218"/>
        </ext>
      </extLst>
    </bk>
    <bk>
      <extLst>
        <ext uri="{3e2802c4-a4d2-4d8b-9148-e3be6c30e623}">
          <xlrd:rvb i="5219"/>
        </ext>
      </extLst>
    </bk>
    <bk>
      <extLst>
        <ext uri="{3e2802c4-a4d2-4d8b-9148-e3be6c30e623}">
          <xlrd:rvb i="5220"/>
        </ext>
      </extLst>
    </bk>
    <bk>
      <extLst>
        <ext uri="{3e2802c4-a4d2-4d8b-9148-e3be6c30e623}">
          <xlrd:rvb i="5221"/>
        </ext>
      </extLst>
    </bk>
    <bk>
      <extLst>
        <ext uri="{3e2802c4-a4d2-4d8b-9148-e3be6c30e623}">
          <xlrd:rvb i="5222"/>
        </ext>
      </extLst>
    </bk>
    <bk>
      <extLst>
        <ext uri="{3e2802c4-a4d2-4d8b-9148-e3be6c30e623}">
          <xlrd:rvb i="5223"/>
        </ext>
      </extLst>
    </bk>
    <bk>
      <extLst>
        <ext uri="{3e2802c4-a4d2-4d8b-9148-e3be6c30e623}">
          <xlrd:rvb i="5224"/>
        </ext>
      </extLst>
    </bk>
    <bk>
      <extLst>
        <ext uri="{3e2802c4-a4d2-4d8b-9148-e3be6c30e623}">
          <xlrd:rvb i="5225"/>
        </ext>
      </extLst>
    </bk>
    <bk>
      <extLst>
        <ext uri="{3e2802c4-a4d2-4d8b-9148-e3be6c30e623}">
          <xlrd:rvb i="5226"/>
        </ext>
      </extLst>
    </bk>
    <bk>
      <extLst>
        <ext uri="{3e2802c4-a4d2-4d8b-9148-e3be6c30e623}">
          <xlrd:rvb i="5227"/>
        </ext>
      </extLst>
    </bk>
    <bk>
      <extLst>
        <ext uri="{3e2802c4-a4d2-4d8b-9148-e3be6c30e623}">
          <xlrd:rvb i="5228"/>
        </ext>
      </extLst>
    </bk>
    <bk>
      <extLst>
        <ext uri="{3e2802c4-a4d2-4d8b-9148-e3be6c30e623}">
          <xlrd:rvb i="5229"/>
        </ext>
      </extLst>
    </bk>
    <bk>
      <extLst>
        <ext uri="{3e2802c4-a4d2-4d8b-9148-e3be6c30e623}">
          <xlrd:rvb i="5230"/>
        </ext>
      </extLst>
    </bk>
    <bk>
      <extLst>
        <ext uri="{3e2802c4-a4d2-4d8b-9148-e3be6c30e623}">
          <xlrd:rvb i="5231"/>
        </ext>
      </extLst>
    </bk>
    <bk>
      <extLst>
        <ext uri="{3e2802c4-a4d2-4d8b-9148-e3be6c30e623}">
          <xlrd:rvb i="5232"/>
        </ext>
      </extLst>
    </bk>
    <bk>
      <extLst>
        <ext uri="{3e2802c4-a4d2-4d8b-9148-e3be6c30e623}">
          <xlrd:rvb i="5233"/>
        </ext>
      </extLst>
    </bk>
    <bk>
      <extLst>
        <ext uri="{3e2802c4-a4d2-4d8b-9148-e3be6c30e623}">
          <xlrd:rvb i="5234"/>
        </ext>
      </extLst>
    </bk>
    <bk>
      <extLst>
        <ext uri="{3e2802c4-a4d2-4d8b-9148-e3be6c30e623}">
          <xlrd:rvb i="5235"/>
        </ext>
      </extLst>
    </bk>
    <bk>
      <extLst>
        <ext uri="{3e2802c4-a4d2-4d8b-9148-e3be6c30e623}">
          <xlrd:rvb i="5236"/>
        </ext>
      </extLst>
    </bk>
    <bk>
      <extLst>
        <ext uri="{3e2802c4-a4d2-4d8b-9148-e3be6c30e623}">
          <xlrd:rvb i="5237"/>
        </ext>
      </extLst>
    </bk>
    <bk>
      <extLst>
        <ext uri="{3e2802c4-a4d2-4d8b-9148-e3be6c30e623}">
          <xlrd:rvb i="5238"/>
        </ext>
      </extLst>
    </bk>
    <bk>
      <extLst>
        <ext uri="{3e2802c4-a4d2-4d8b-9148-e3be6c30e623}">
          <xlrd:rvb i="5239"/>
        </ext>
      </extLst>
    </bk>
    <bk>
      <extLst>
        <ext uri="{3e2802c4-a4d2-4d8b-9148-e3be6c30e623}">
          <xlrd:rvb i="5240"/>
        </ext>
      </extLst>
    </bk>
    <bk>
      <extLst>
        <ext uri="{3e2802c4-a4d2-4d8b-9148-e3be6c30e623}">
          <xlrd:rvb i="5241"/>
        </ext>
      </extLst>
    </bk>
    <bk>
      <extLst>
        <ext uri="{3e2802c4-a4d2-4d8b-9148-e3be6c30e623}">
          <xlrd:rvb i="5242"/>
        </ext>
      </extLst>
    </bk>
    <bk>
      <extLst>
        <ext uri="{3e2802c4-a4d2-4d8b-9148-e3be6c30e623}">
          <xlrd:rvb i="5243"/>
        </ext>
      </extLst>
    </bk>
    <bk>
      <extLst>
        <ext uri="{3e2802c4-a4d2-4d8b-9148-e3be6c30e623}">
          <xlrd:rvb i="5244"/>
        </ext>
      </extLst>
    </bk>
    <bk>
      <extLst>
        <ext uri="{3e2802c4-a4d2-4d8b-9148-e3be6c30e623}">
          <xlrd:rvb i="5245"/>
        </ext>
      </extLst>
    </bk>
    <bk>
      <extLst>
        <ext uri="{3e2802c4-a4d2-4d8b-9148-e3be6c30e623}">
          <xlrd:rvb i="5246"/>
        </ext>
      </extLst>
    </bk>
    <bk>
      <extLst>
        <ext uri="{3e2802c4-a4d2-4d8b-9148-e3be6c30e623}">
          <xlrd:rvb i="5247"/>
        </ext>
      </extLst>
    </bk>
    <bk>
      <extLst>
        <ext uri="{3e2802c4-a4d2-4d8b-9148-e3be6c30e623}">
          <xlrd:rvb i="5248"/>
        </ext>
      </extLst>
    </bk>
    <bk>
      <extLst>
        <ext uri="{3e2802c4-a4d2-4d8b-9148-e3be6c30e623}">
          <xlrd:rvb i="5249"/>
        </ext>
      </extLst>
    </bk>
    <bk>
      <extLst>
        <ext uri="{3e2802c4-a4d2-4d8b-9148-e3be6c30e623}">
          <xlrd:rvb i="5250"/>
        </ext>
      </extLst>
    </bk>
    <bk>
      <extLst>
        <ext uri="{3e2802c4-a4d2-4d8b-9148-e3be6c30e623}">
          <xlrd:rvb i="5251"/>
        </ext>
      </extLst>
    </bk>
    <bk>
      <extLst>
        <ext uri="{3e2802c4-a4d2-4d8b-9148-e3be6c30e623}">
          <xlrd:rvb i="5252"/>
        </ext>
      </extLst>
    </bk>
    <bk>
      <extLst>
        <ext uri="{3e2802c4-a4d2-4d8b-9148-e3be6c30e623}">
          <xlrd:rvb i="5253"/>
        </ext>
      </extLst>
    </bk>
    <bk>
      <extLst>
        <ext uri="{3e2802c4-a4d2-4d8b-9148-e3be6c30e623}">
          <xlrd:rvb i="5254"/>
        </ext>
      </extLst>
    </bk>
    <bk>
      <extLst>
        <ext uri="{3e2802c4-a4d2-4d8b-9148-e3be6c30e623}">
          <xlrd:rvb i="5255"/>
        </ext>
      </extLst>
    </bk>
    <bk>
      <extLst>
        <ext uri="{3e2802c4-a4d2-4d8b-9148-e3be6c30e623}">
          <xlrd:rvb i="5256"/>
        </ext>
      </extLst>
    </bk>
    <bk>
      <extLst>
        <ext uri="{3e2802c4-a4d2-4d8b-9148-e3be6c30e623}">
          <xlrd:rvb i="5257"/>
        </ext>
      </extLst>
    </bk>
    <bk>
      <extLst>
        <ext uri="{3e2802c4-a4d2-4d8b-9148-e3be6c30e623}">
          <xlrd:rvb i="5258"/>
        </ext>
      </extLst>
    </bk>
    <bk>
      <extLst>
        <ext uri="{3e2802c4-a4d2-4d8b-9148-e3be6c30e623}">
          <xlrd:rvb i="5259"/>
        </ext>
      </extLst>
    </bk>
    <bk>
      <extLst>
        <ext uri="{3e2802c4-a4d2-4d8b-9148-e3be6c30e623}">
          <xlrd:rvb i="5260"/>
        </ext>
      </extLst>
    </bk>
    <bk>
      <extLst>
        <ext uri="{3e2802c4-a4d2-4d8b-9148-e3be6c30e623}">
          <xlrd:rvb i="5261"/>
        </ext>
      </extLst>
    </bk>
    <bk>
      <extLst>
        <ext uri="{3e2802c4-a4d2-4d8b-9148-e3be6c30e623}">
          <xlrd:rvb i="5262"/>
        </ext>
      </extLst>
    </bk>
    <bk>
      <extLst>
        <ext uri="{3e2802c4-a4d2-4d8b-9148-e3be6c30e623}">
          <xlrd:rvb i="5263"/>
        </ext>
      </extLst>
    </bk>
    <bk>
      <extLst>
        <ext uri="{3e2802c4-a4d2-4d8b-9148-e3be6c30e623}">
          <xlrd:rvb i="5264"/>
        </ext>
      </extLst>
    </bk>
    <bk>
      <extLst>
        <ext uri="{3e2802c4-a4d2-4d8b-9148-e3be6c30e623}">
          <xlrd:rvb i="5265"/>
        </ext>
      </extLst>
    </bk>
    <bk>
      <extLst>
        <ext uri="{3e2802c4-a4d2-4d8b-9148-e3be6c30e623}">
          <xlrd:rvb i="5266"/>
        </ext>
      </extLst>
    </bk>
    <bk>
      <extLst>
        <ext uri="{3e2802c4-a4d2-4d8b-9148-e3be6c30e623}">
          <xlrd:rvb i="5267"/>
        </ext>
      </extLst>
    </bk>
    <bk>
      <extLst>
        <ext uri="{3e2802c4-a4d2-4d8b-9148-e3be6c30e623}">
          <xlrd:rvb i="5268"/>
        </ext>
      </extLst>
    </bk>
    <bk>
      <extLst>
        <ext uri="{3e2802c4-a4d2-4d8b-9148-e3be6c30e623}">
          <xlrd:rvb i="5269"/>
        </ext>
      </extLst>
    </bk>
    <bk>
      <extLst>
        <ext uri="{3e2802c4-a4d2-4d8b-9148-e3be6c30e623}">
          <xlrd:rvb i="5270"/>
        </ext>
      </extLst>
    </bk>
    <bk>
      <extLst>
        <ext uri="{3e2802c4-a4d2-4d8b-9148-e3be6c30e623}">
          <xlrd:rvb i="5271"/>
        </ext>
      </extLst>
    </bk>
    <bk>
      <extLst>
        <ext uri="{3e2802c4-a4d2-4d8b-9148-e3be6c30e623}">
          <xlrd:rvb i="5272"/>
        </ext>
      </extLst>
    </bk>
    <bk>
      <extLst>
        <ext uri="{3e2802c4-a4d2-4d8b-9148-e3be6c30e623}">
          <xlrd:rvb i="5273"/>
        </ext>
      </extLst>
    </bk>
    <bk>
      <extLst>
        <ext uri="{3e2802c4-a4d2-4d8b-9148-e3be6c30e623}">
          <xlrd:rvb i="5274"/>
        </ext>
      </extLst>
    </bk>
    <bk>
      <extLst>
        <ext uri="{3e2802c4-a4d2-4d8b-9148-e3be6c30e623}">
          <xlrd:rvb i="5275"/>
        </ext>
      </extLst>
    </bk>
    <bk>
      <extLst>
        <ext uri="{3e2802c4-a4d2-4d8b-9148-e3be6c30e623}">
          <xlrd:rvb i="5276"/>
        </ext>
      </extLst>
    </bk>
    <bk>
      <extLst>
        <ext uri="{3e2802c4-a4d2-4d8b-9148-e3be6c30e623}">
          <xlrd:rvb i="5277"/>
        </ext>
      </extLst>
    </bk>
    <bk>
      <extLst>
        <ext uri="{3e2802c4-a4d2-4d8b-9148-e3be6c30e623}">
          <xlrd:rvb i="5278"/>
        </ext>
      </extLst>
    </bk>
    <bk>
      <extLst>
        <ext uri="{3e2802c4-a4d2-4d8b-9148-e3be6c30e623}">
          <xlrd:rvb i="5279"/>
        </ext>
      </extLst>
    </bk>
    <bk>
      <extLst>
        <ext uri="{3e2802c4-a4d2-4d8b-9148-e3be6c30e623}">
          <xlrd:rvb i="5280"/>
        </ext>
      </extLst>
    </bk>
    <bk>
      <extLst>
        <ext uri="{3e2802c4-a4d2-4d8b-9148-e3be6c30e623}">
          <xlrd:rvb i="5281"/>
        </ext>
      </extLst>
    </bk>
    <bk>
      <extLst>
        <ext uri="{3e2802c4-a4d2-4d8b-9148-e3be6c30e623}">
          <xlrd:rvb i="5282"/>
        </ext>
      </extLst>
    </bk>
    <bk>
      <extLst>
        <ext uri="{3e2802c4-a4d2-4d8b-9148-e3be6c30e623}">
          <xlrd:rvb i="5283"/>
        </ext>
      </extLst>
    </bk>
    <bk>
      <extLst>
        <ext uri="{3e2802c4-a4d2-4d8b-9148-e3be6c30e623}">
          <xlrd:rvb i="5284"/>
        </ext>
      </extLst>
    </bk>
    <bk>
      <extLst>
        <ext uri="{3e2802c4-a4d2-4d8b-9148-e3be6c30e623}">
          <xlrd:rvb i="5285"/>
        </ext>
      </extLst>
    </bk>
    <bk>
      <extLst>
        <ext uri="{3e2802c4-a4d2-4d8b-9148-e3be6c30e623}">
          <xlrd:rvb i="5286"/>
        </ext>
      </extLst>
    </bk>
    <bk>
      <extLst>
        <ext uri="{3e2802c4-a4d2-4d8b-9148-e3be6c30e623}">
          <xlrd:rvb i="5287"/>
        </ext>
      </extLst>
    </bk>
    <bk>
      <extLst>
        <ext uri="{3e2802c4-a4d2-4d8b-9148-e3be6c30e623}">
          <xlrd:rvb i="5288"/>
        </ext>
      </extLst>
    </bk>
    <bk>
      <extLst>
        <ext uri="{3e2802c4-a4d2-4d8b-9148-e3be6c30e623}">
          <xlrd:rvb i="5289"/>
        </ext>
      </extLst>
    </bk>
    <bk>
      <extLst>
        <ext uri="{3e2802c4-a4d2-4d8b-9148-e3be6c30e623}">
          <xlrd:rvb i="5290"/>
        </ext>
      </extLst>
    </bk>
    <bk>
      <extLst>
        <ext uri="{3e2802c4-a4d2-4d8b-9148-e3be6c30e623}">
          <xlrd:rvb i="5291"/>
        </ext>
      </extLst>
    </bk>
    <bk>
      <extLst>
        <ext uri="{3e2802c4-a4d2-4d8b-9148-e3be6c30e623}">
          <xlrd:rvb i="5292"/>
        </ext>
      </extLst>
    </bk>
    <bk>
      <extLst>
        <ext uri="{3e2802c4-a4d2-4d8b-9148-e3be6c30e623}">
          <xlrd:rvb i="5293"/>
        </ext>
      </extLst>
    </bk>
    <bk>
      <extLst>
        <ext uri="{3e2802c4-a4d2-4d8b-9148-e3be6c30e623}">
          <xlrd:rvb i="5294"/>
        </ext>
      </extLst>
    </bk>
    <bk>
      <extLst>
        <ext uri="{3e2802c4-a4d2-4d8b-9148-e3be6c30e623}">
          <xlrd:rvb i="5295"/>
        </ext>
      </extLst>
    </bk>
    <bk>
      <extLst>
        <ext uri="{3e2802c4-a4d2-4d8b-9148-e3be6c30e623}">
          <xlrd:rvb i="5296"/>
        </ext>
      </extLst>
    </bk>
    <bk>
      <extLst>
        <ext uri="{3e2802c4-a4d2-4d8b-9148-e3be6c30e623}">
          <xlrd:rvb i="5297"/>
        </ext>
      </extLst>
    </bk>
    <bk>
      <extLst>
        <ext uri="{3e2802c4-a4d2-4d8b-9148-e3be6c30e623}">
          <xlrd:rvb i="5298"/>
        </ext>
      </extLst>
    </bk>
    <bk>
      <extLst>
        <ext uri="{3e2802c4-a4d2-4d8b-9148-e3be6c30e623}">
          <xlrd:rvb i="5299"/>
        </ext>
      </extLst>
    </bk>
    <bk>
      <extLst>
        <ext uri="{3e2802c4-a4d2-4d8b-9148-e3be6c30e623}">
          <xlrd:rvb i="5300"/>
        </ext>
      </extLst>
    </bk>
    <bk>
      <extLst>
        <ext uri="{3e2802c4-a4d2-4d8b-9148-e3be6c30e623}">
          <xlrd:rvb i="5301"/>
        </ext>
      </extLst>
    </bk>
    <bk>
      <extLst>
        <ext uri="{3e2802c4-a4d2-4d8b-9148-e3be6c30e623}">
          <xlrd:rvb i="5302"/>
        </ext>
      </extLst>
    </bk>
    <bk>
      <extLst>
        <ext uri="{3e2802c4-a4d2-4d8b-9148-e3be6c30e623}">
          <xlrd:rvb i="5303"/>
        </ext>
      </extLst>
    </bk>
    <bk>
      <extLst>
        <ext uri="{3e2802c4-a4d2-4d8b-9148-e3be6c30e623}">
          <xlrd:rvb i="5304"/>
        </ext>
      </extLst>
    </bk>
    <bk>
      <extLst>
        <ext uri="{3e2802c4-a4d2-4d8b-9148-e3be6c30e623}">
          <xlrd:rvb i="5305"/>
        </ext>
      </extLst>
    </bk>
    <bk>
      <extLst>
        <ext uri="{3e2802c4-a4d2-4d8b-9148-e3be6c30e623}">
          <xlrd:rvb i="5306"/>
        </ext>
      </extLst>
    </bk>
    <bk>
      <extLst>
        <ext uri="{3e2802c4-a4d2-4d8b-9148-e3be6c30e623}">
          <xlrd:rvb i="5307"/>
        </ext>
      </extLst>
    </bk>
    <bk>
      <extLst>
        <ext uri="{3e2802c4-a4d2-4d8b-9148-e3be6c30e623}">
          <xlrd:rvb i="5308"/>
        </ext>
      </extLst>
    </bk>
    <bk>
      <extLst>
        <ext uri="{3e2802c4-a4d2-4d8b-9148-e3be6c30e623}">
          <xlrd:rvb i="5309"/>
        </ext>
      </extLst>
    </bk>
    <bk>
      <extLst>
        <ext uri="{3e2802c4-a4d2-4d8b-9148-e3be6c30e623}">
          <xlrd:rvb i="5310"/>
        </ext>
      </extLst>
    </bk>
    <bk>
      <extLst>
        <ext uri="{3e2802c4-a4d2-4d8b-9148-e3be6c30e623}">
          <xlrd:rvb i="5311"/>
        </ext>
      </extLst>
    </bk>
    <bk>
      <extLst>
        <ext uri="{3e2802c4-a4d2-4d8b-9148-e3be6c30e623}">
          <xlrd:rvb i="5312"/>
        </ext>
      </extLst>
    </bk>
    <bk>
      <extLst>
        <ext uri="{3e2802c4-a4d2-4d8b-9148-e3be6c30e623}">
          <xlrd:rvb i="5313"/>
        </ext>
      </extLst>
    </bk>
    <bk>
      <extLst>
        <ext uri="{3e2802c4-a4d2-4d8b-9148-e3be6c30e623}">
          <xlrd:rvb i="5314"/>
        </ext>
      </extLst>
    </bk>
    <bk>
      <extLst>
        <ext uri="{3e2802c4-a4d2-4d8b-9148-e3be6c30e623}">
          <xlrd:rvb i="5315"/>
        </ext>
      </extLst>
    </bk>
    <bk>
      <extLst>
        <ext uri="{3e2802c4-a4d2-4d8b-9148-e3be6c30e623}">
          <xlrd:rvb i="5316"/>
        </ext>
      </extLst>
    </bk>
    <bk>
      <extLst>
        <ext uri="{3e2802c4-a4d2-4d8b-9148-e3be6c30e623}">
          <xlrd:rvb i="5317"/>
        </ext>
      </extLst>
    </bk>
    <bk>
      <extLst>
        <ext uri="{3e2802c4-a4d2-4d8b-9148-e3be6c30e623}">
          <xlrd:rvb i="5318"/>
        </ext>
      </extLst>
    </bk>
    <bk>
      <extLst>
        <ext uri="{3e2802c4-a4d2-4d8b-9148-e3be6c30e623}">
          <xlrd:rvb i="5319"/>
        </ext>
      </extLst>
    </bk>
    <bk>
      <extLst>
        <ext uri="{3e2802c4-a4d2-4d8b-9148-e3be6c30e623}">
          <xlrd:rvb i="5320"/>
        </ext>
      </extLst>
    </bk>
    <bk>
      <extLst>
        <ext uri="{3e2802c4-a4d2-4d8b-9148-e3be6c30e623}">
          <xlrd:rvb i="5321"/>
        </ext>
      </extLst>
    </bk>
    <bk>
      <extLst>
        <ext uri="{3e2802c4-a4d2-4d8b-9148-e3be6c30e623}">
          <xlrd:rvb i="5322"/>
        </ext>
      </extLst>
    </bk>
    <bk>
      <extLst>
        <ext uri="{3e2802c4-a4d2-4d8b-9148-e3be6c30e623}">
          <xlrd:rvb i="5323"/>
        </ext>
      </extLst>
    </bk>
    <bk>
      <extLst>
        <ext uri="{3e2802c4-a4d2-4d8b-9148-e3be6c30e623}">
          <xlrd:rvb i="5324"/>
        </ext>
      </extLst>
    </bk>
    <bk>
      <extLst>
        <ext uri="{3e2802c4-a4d2-4d8b-9148-e3be6c30e623}">
          <xlrd:rvb i="5325"/>
        </ext>
      </extLst>
    </bk>
    <bk>
      <extLst>
        <ext uri="{3e2802c4-a4d2-4d8b-9148-e3be6c30e623}">
          <xlrd:rvb i="5326"/>
        </ext>
      </extLst>
    </bk>
    <bk>
      <extLst>
        <ext uri="{3e2802c4-a4d2-4d8b-9148-e3be6c30e623}">
          <xlrd:rvb i="5327"/>
        </ext>
      </extLst>
    </bk>
    <bk>
      <extLst>
        <ext uri="{3e2802c4-a4d2-4d8b-9148-e3be6c30e623}">
          <xlrd:rvb i="5328"/>
        </ext>
      </extLst>
    </bk>
    <bk>
      <extLst>
        <ext uri="{3e2802c4-a4d2-4d8b-9148-e3be6c30e623}">
          <xlrd:rvb i="5329"/>
        </ext>
      </extLst>
    </bk>
    <bk>
      <extLst>
        <ext uri="{3e2802c4-a4d2-4d8b-9148-e3be6c30e623}">
          <xlrd:rvb i="5330"/>
        </ext>
      </extLst>
    </bk>
    <bk>
      <extLst>
        <ext uri="{3e2802c4-a4d2-4d8b-9148-e3be6c30e623}">
          <xlrd:rvb i="5331"/>
        </ext>
      </extLst>
    </bk>
    <bk>
      <extLst>
        <ext uri="{3e2802c4-a4d2-4d8b-9148-e3be6c30e623}">
          <xlrd:rvb i="5332"/>
        </ext>
      </extLst>
    </bk>
    <bk>
      <extLst>
        <ext uri="{3e2802c4-a4d2-4d8b-9148-e3be6c30e623}">
          <xlrd:rvb i="5333"/>
        </ext>
      </extLst>
    </bk>
    <bk>
      <extLst>
        <ext uri="{3e2802c4-a4d2-4d8b-9148-e3be6c30e623}">
          <xlrd:rvb i="5334"/>
        </ext>
      </extLst>
    </bk>
    <bk>
      <extLst>
        <ext uri="{3e2802c4-a4d2-4d8b-9148-e3be6c30e623}">
          <xlrd:rvb i="5335"/>
        </ext>
      </extLst>
    </bk>
    <bk>
      <extLst>
        <ext uri="{3e2802c4-a4d2-4d8b-9148-e3be6c30e623}">
          <xlrd:rvb i="5336"/>
        </ext>
      </extLst>
    </bk>
    <bk>
      <extLst>
        <ext uri="{3e2802c4-a4d2-4d8b-9148-e3be6c30e623}">
          <xlrd:rvb i="5337"/>
        </ext>
      </extLst>
    </bk>
    <bk>
      <extLst>
        <ext uri="{3e2802c4-a4d2-4d8b-9148-e3be6c30e623}">
          <xlrd:rvb i="5338"/>
        </ext>
      </extLst>
    </bk>
    <bk>
      <extLst>
        <ext uri="{3e2802c4-a4d2-4d8b-9148-e3be6c30e623}">
          <xlrd:rvb i="5339"/>
        </ext>
      </extLst>
    </bk>
    <bk>
      <extLst>
        <ext uri="{3e2802c4-a4d2-4d8b-9148-e3be6c30e623}">
          <xlrd:rvb i="5340"/>
        </ext>
      </extLst>
    </bk>
    <bk>
      <extLst>
        <ext uri="{3e2802c4-a4d2-4d8b-9148-e3be6c30e623}">
          <xlrd:rvb i="5341"/>
        </ext>
      </extLst>
    </bk>
    <bk>
      <extLst>
        <ext uri="{3e2802c4-a4d2-4d8b-9148-e3be6c30e623}">
          <xlrd:rvb i="5342"/>
        </ext>
      </extLst>
    </bk>
    <bk>
      <extLst>
        <ext uri="{3e2802c4-a4d2-4d8b-9148-e3be6c30e623}">
          <xlrd:rvb i="5343"/>
        </ext>
      </extLst>
    </bk>
    <bk>
      <extLst>
        <ext uri="{3e2802c4-a4d2-4d8b-9148-e3be6c30e623}">
          <xlrd:rvb i="5344"/>
        </ext>
      </extLst>
    </bk>
    <bk>
      <extLst>
        <ext uri="{3e2802c4-a4d2-4d8b-9148-e3be6c30e623}">
          <xlrd:rvb i="5345"/>
        </ext>
      </extLst>
    </bk>
    <bk>
      <extLst>
        <ext uri="{3e2802c4-a4d2-4d8b-9148-e3be6c30e623}">
          <xlrd:rvb i="5346"/>
        </ext>
      </extLst>
    </bk>
    <bk>
      <extLst>
        <ext uri="{3e2802c4-a4d2-4d8b-9148-e3be6c30e623}">
          <xlrd:rvb i="5347"/>
        </ext>
      </extLst>
    </bk>
    <bk>
      <extLst>
        <ext uri="{3e2802c4-a4d2-4d8b-9148-e3be6c30e623}">
          <xlrd:rvb i="5348"/>
        </ext>
      </extLst>
    </bk>
    <bk>
      <extLst>
        <ext uri="{3e2802c4-a4d2-4d8b-9148-e3be6c30e623}">
          <xlrd:rvb i="5349"/>
        </ext>
      </extLst>
    </bk>
    <bk>
      <extLst>
        <ext uri="{3e2802c4-a4d2-4d8b-9148-e3be6c30e623}">
          <xlrd:rvb i="5350"/>
        </ext>
      </extLst>
    </bk>
    <bk>
      <extLst>
        <ext uri="{3e2802c4-a4d2-4d8b-9148-e3be6c30e623}">
          <xlrd:rvb i="5351"/>
        </ext>
      </extLst>
    </bk>
    <bk>
      <extLst>
        <ext uri="{3e2802c4-a4d2-4d8b-9148-e3be6c30e623}">
          <xlrd:rvb i="5352"/>
        </ext>
      </extLst>
    </bk>
    <bk>
      <extLst>
        <ext uri="{3e2802c4-a4d2-4d8b-9148-e3be6c30e623}">
          <xlrd:rvb i="5353"/>
        </ext>
      </extLst>
    </bk>
    <bk>
      <extLst>
        <ext uri="{3e2802c4-a4d2-4d8b-9148-e3be6c30e623}">
          <xlrd:rvb i="5354"/>
        </ext>
      </extLst>
    </bk>
    <bk>
      <extLst>
        <ext uri="{3e2802c4-a4d2-4d8b-9148-e3be6c30e623}">
          <xlrd:rvb i="5355"/>
        </ext>
      </extLst>
    </bk>
    <bk>
      <extLst>
        <ext uri="{3e2802c4-a4d2-4d8b-9148-e3be6c30e623}">
          <xlrd:rvb i="5356"/>
        </ext>
      </extLst>
    </bk>
    <bk>
      <extLst>
        <ext uri="{3e2802c4-a4d2-4d8b-9148-e3be6c30e623}">
          <xlrd:rvb i="5357"/>
        </ext>
      </extLst>
    </bk>
    <bk>
      <extLst>
        <ext uri="{3e2802c4-a4d2-4d8b-9148-e3be6c30e623}">
          <xlrd:rvb i="5358"/>
        </ext>
      </extLst>
    </bk>
    <bk>
      <extLst>
        <ext uri="{3e2802c4-a4d2-4d8b-9148-e3be6c30e623}">
          <xlrd:rvb i="5359"/>
        </ext>
      </extLst>
    </bk>
    <bk>
      <extLst>
        <ext uri="{3e2802c4-a4d2-4d8b-9148-e3be6c30e623}">
          <xlrd:rvb i="5360"/>
        </ext>
      </extLst>
    </bk>
    <bk>
      <extLst>
        <ext uri="{3e2802c4-a4d2-4d8b-9148-e3be6c30e623}">
          <xlrd:rvb i="5361"/>
        </ext>
      </extLst>
    </bk>
    <bk>
      <extLst>
        <ext uri="{3e2802c4-a4d2-4d8b-9148-e3be6c30e623}">
          <xlrd:rvb i="5362"/>
        </ext>
      </extLst>
    </bk>
    <bk>
      <extLst>
        <ext uri="{3e2802c4-a4d2-4d8b-9148-e3be6c30e623}">
          <xlrd:rvb i="5363"/>
        </ext>
      </extLst>
    </bk>
    <bk>
      <extLst>
        <ext uri="{3e2802c4-a4d2-4d8b-9148-e3be6c30e623}">
          <xlrd:rvb i="5364"/>
        </ext>
      </extLst>
    </bk>
    <bk>
      <extLst>
        <ext uri="{3e2802c4-a4d2-4d8b-9148-e3be6c30e623}">
          <xlrd:rvb i="5365"/>
        </ext>
      </extLst>
    </bk>
    <bk>
      <extLst>
        <ext uri="{3e2802c4-a4d2-4d8b-9148-e3be6c30e623}">
          <xlrd:rvb i="5366"/>
        </ext>
      </extLst>
    </bk>
    <bk>
      <extLst>
        <ext uri="{3e2802c4-a4d2-4d8b-9148-e3be6c30e623}">
          <xlrd:rvb i="5367"/>
        </ext>
      </extLst>
    </bk>
    <bk>
      <extLst>
        <ext uri="{3e2802c4-a4d2-4d8b-9148-e3be6c30e623}">
          <xlrd:rvb i="5368"/>
        </ext>
      </extLst>
    </bk>
    <bk>
      <extLst>
        <ext uri="{3e2802c4-a4d2-4d8b-9148-e3be6c30e623}">
          <xlrd:rvb i="5369"/>
        </ext>
      </extLst>
    </bk>
    <bk>
      <extLst>
        <ext uri="{3e2802c4-a4d2-4d8b-9148-e3be6c30e623}">
          <xlrd:rvb i="5370"/>
        </ext>
      </extLst>
    </bk>
    <bk>
      <extLst>
        <ext uri="{3e2802c4-a4d2-4d8b-9148-e3be6c30e623}">
          <xlrd:rvb i="5371"/>
        </ext>
      </extLst>
    </bk>
    <bk>
      <extLst>
        <ext uri="{3e2802c4-a4d2-4d8b-9148-e3be6c30e623}">
          <xlrd:rvb i="5372"/>
        </ext>
      </extLst>
    </bk>
    <bk>
      <extLst>
        <ext uri="{3e2802c4-a4d2-4d8b-9148-e3be6c30e623}">
          <xlrd:rvb i="5373"/>
        </ext>
      </extLst>
    </bk>
    <bk>
      <extLst>
        <ext uri="{3e2802c4-a4d2-4d8b-9148-e3be6c30e623}">
          <xlrd:rvb i="5374"/>
        </ext>
      </extLst>
    </bk>
    <bk>
      <extLst>
        <ext uri="{3e2802c4-a4d2-4d8b-9148-e3be6c30e623}">
          <xlrd:rvb i="5375"/>
        </ext>
      </extLst>
    </bk>
    <bk>
      <extLst>
        <ext uri="{3e2802c4-a4d2-4d8b-9148-e3be6c30e623}">
          <xlrd:rvb i="5376"/>
        </ext>
      </extLst>
    </bk>
    <bk>
      <extLst>
        <ext uri="{3e2802c4-a4d2-4d8b-9148-e3be6c30e623}">
          <xlrd:rvb i="5377"/>
        </ext>
      </extLst>
    </bk>
    <bk>
      <extLst>
        <ext uri="{3e2802c4-a4d2-4d8b-9148-e3be6c30e623}">
          <xlrd:rvb i="5378"/>
        </ext>
      </extLst>
    </bk>
    <bk>
      <extLst>
        <ext uri="{3e2802c4-a4d2-4d8b-9148-e3be6c30e623}">
          <xlrd:rvb i="5379"/>
        </ext>
      </extLst>
    </bk>
    <bk>
      <extLst>
        <ext uri="{3e2802c4-a4d2-4d8b-9148-e3be6c30e623}">
          <xlrd:rvb i="5380"/>
        </ext>
      </extLst>
    </bk>
    <bk>
      <extLst>
        <ext uri="{3e2802c4-a4d2-4d8b-9148-e3be6c30e623}">
          <xlrd:rvb i="5381"/>
        </ext>
      </extLst>
    </bk>
    <bk>
      <extLst>
        <ext uri="{3e2802c4-a4d2-4d8b-9148-e3be6c30e623}">
          <xlrd:rvb i="5382"/>
        </ext>
      </extLst>
    </bk>
    <bk>
      <extLst>
        <ext uri="{3e2802c4-a4d2-4d8b-9148-e3be6c30e623}">
          <xlrd:rvb i="5383"/>
        </ext>
      </extLst>
    </bk>
    <bk>
      <extLst>
        <ext uri="{3e2802c4-a4d2-4d8b-9148-e3be6c30e623}">
          <xlrd:rvb i="5384"/>
        </ext>
      </extLst>
    </bk>
    <bk>
      <extLst>
        <ext uri="{3e2802c4-a4d2-4d8b-9148-e3be6c30e623}">
          <xlrd:rvb i="5385"/>
        </ext>
      </extLst>
    </bk>
    <bk>
      <extLst>
        <ext uri="{3e2802c4-a4d2-4d8b-9148-e3be6c30e623}">
          <xlrd:rvb i="5386"/>
        </ext>
      </extLst>
    </bk>
    <bk>
      <extLst>
        <ext uri="{3e2802c4-a4d2-4d8b-9148-e3be6c30e623}">
          <xlrd:rvb i="5387"/>
        </ext>
      </extLst>
    </bk>
    <bk>
      <extLst>
        <ext uri="{3e2802c4-a4d2-4d8b-9148-e3be6c30e623}">
          <xlrd:rvb i="5388"/>
        </ext>
      </extLst>
    </bk>
    <bk>
      <extLst>
        <ext uri="{3e2802c4-a4d2-4d8b-9148-e3be6c30e623}">
          <xlrd:rvb i="5389"/>
        </ext>
      </extLst>
    </bk>
    <bk>
      <extLst>
        <ext uri="{3e2802c4-a4d2-4d8b-9148-e3be6c30e623}">
          <xlrd:rvb i="5390"/>
        </ext>
      </extLst>
    </bk>
    <bk>
      <extLst>
        <ext uri="{3e2802c4-a4d2-4d8b-9148-e3be6c30e623}">
          <xlrd:rvb i="5391"/>
        </ext>
      </extLst>
    </bk>
    <bk>
      <extLst>
        <ext uri="{3e2802c4-a4d2-4d8b-9148-e3be6c30e623}">
          <xlrd:rvb i="5392"/>
        </ext>
      </extLst>
    </bk>
    <bk>
      <extLst>
        <ext uri="{3e2802c4-a4d2-4d8b-9148-e3be6c30e623}">
          <xlrd:rvb i="5393"/>
        </ext>
      </extLst>
    </bk>
    <bk>
      <extLst>
        <ext uri="{3e2802c4-a4d2-4d8b-9148-e3be6c30e623}">
          <xlrd:rvb i="5394"/>
        </ext>
      </extLst>
    </bk>
    <bk>
      <extLst>
        <ext uri="{3e2802c4-a4d2-4d8b-9148-e3be6c30e623}">
          <xlrd:rvb i="5395"/>
        </ext>
      </extLst>
    </bk>
    <bk>
      <extLst>
        <ext uri="{3e2802c4-a4d2-4d8b-9148-e3be6c30e623}">
          <xlrd:rvb i="5396"/>
        </ext>
      </extLst>
    </bk>
    <bk>
      <extLst>
        <ext uri="{3e2802c4-a4d2-4d8b-9148-e3be6c30e623}">
          <xlrd:rvb i="5397"/>
        </ext>
      </extLst>
    </bk>
    <bk>
      <extLst>
        <ext uri="{3e2802c4-a4d2-4d8b-9148-e3be6c30e623}">
          <xlrd:rvb i="5398"/>
        </ext>
      </extLst>
    </bk>
    <bk>
      <extLst>
        <ext uri="{3e2802c4-a4d2-4d8b-9148-e3be6c30e623}">
          <xlrd:rvb i="5399"/>
        </ext>
      </extLst>
    </bk>
    <bk>
      <extLst>
        <ext uri="{3e2802c4-a4d2-4d8b-9148-e3be6c30e623}">
          <xlrd:rvb i="5400"/>
        </ext>
      </extLst>
    </bk>
    <bk>
      <extLst>
        <ext uri="{3e2802c4-a4d2-4d8b-9148-e3be6c30e623}">
          <xlrd:rvb i="5401"/>
        </ext>
      </extLst>
    </bk>
    <bk>
      <extLst>
        <ext uri="{3e2802c4-a4d2-4d8b-9148-e3be6c30e623}">
          <xlrd:rvb i="5402"/>
        </ext>
      </extLst>
    </bk>
    <bk>
      <extLst>
        <ext uri="{3e2802c4-a4d2-4d8b-9148-e3be6c30e623}">
          <xlrd:rvb i="5403"/>
        </ext>
      </extLst>
    </bk>
    <bk>
      <extLst>
        <ext uri="{3e2802c4-a4d2-4d8b-9148-e3be6c30e623}">
          <xlrd:rvb i="5404"/>
        </ext>
      </extLst>
    </bk>
    <bk>
      <extLst>
        <ext uri="{3e2802c4-a4d2-4d8b-9148-e3be6c30e623}">
          <xlrd:rvb i="5405"/>
        </ext>
      </extLst>
    </bk>
    <bk>
      <extLst>
        <ext uri="{3e2802c4-a4d2-4d8b-9148-e3be6c30e623}">
          <xlrd:rvb i="5406"/>
        </ext>
      </extLst>
    </bk>
    <bk>
      <extLst>
        <ext uri="{3e2802c4-a4d2-4d8b-9148-e3be6c30e623}">
          <xlrd:rvb i="5407"/>
        </ext>
      </extLst>
    </bk>
    <bk>
      <extLst>
        <ext uri="{3e2802c4-a4d2-4d8b-9148-e3be6c30e623}">
          <xlrd:rvb i="5408"/>
        </ext>
      </extLst>
    </bk>
    <bk>
      <extLst>
        <ext uri="{3e2802c4-a4d2-4d8b-9148-e3be6c30e623}">
          <xlrd:rvb i="5409"/>
        </ext>
      </extLst>
    </bk>
    <bk>
      <extLst>
        <ext uri="{3e2802c4-a4d2-4d8b-9148-e3be6c30e623}">
          <xlrd:rvb i="5410"/>
        </ext>
      </extLst>
    </bk>
    <bk>
      <extLst>
        <ext uri="{3e2802c4-a4d2-4d8b-9148-e3be6c30e623}">
          <xlrd:rvb i="5411"/>
        </ext>
      </extLst>
    </bk>
    <bk>
      <extLst>
        <ext uri="{3e2802c4-a4d2-4d8b-9148-e3be6c30e623}">
          <xlrd:rvb i="5412"/>
        </ext>
      </extLst>
    </bk>
    <bk>
      <extLst>
        <ext uri="{3e2802c4-a4d2-4d8b-9148-e3be6c30e623}">
          <xlrd:rvb i="5413"/>
        </ext>
      </extLst>
    </bk>
    <bk>
      <extLst>
        <ext uri="{3e2802c4-a4d2-4d8b-9148-e3be6c30e623}">
          <xlrd:rvb i="5414"/>
        </ext>
      </extLst>
    </bk>
    <bk>
      <extLst>
        <ext uri="{3e2802c4-a4d2-4d8b-9148-e3be6c30e623}">
          <xlrd:rvb i="5415"/>
        </ext>
      </extLst>
    </bk>
    <bk>
      <extLst>
        <ext uri="{3e2802c4-a4d2-4d8b-9148-e3be6c30e623}">
          <xlrd:rvb i="5416"/>
        </ext>
      </extLst>
    </bk>
    <bk>
      <extLst>
        <ext uri="{3e2802c4-a4d2-4d8b-9148-e3be6c30e623}">
          <xlrd:rvb i="5417"/>
        </ext>
      </extLst>
    </bk>
    <bk>
      <extLst>
        <ext uri="{3e2802c4-a4d2-4d8b-9148-e3be6c30e623}">
          <xlrd:rvb i="5418"/>
        </ext>
      </extLst>
    </bk>
    <bk>
      <extLst>
        <ext uri="{3e2802c4-a4d2-4d8b-9148-e3be6c30e623}">
          <xlrd:rvb i="5419"/>
        </ext>
      </extLst>
    </bk>
    <bk>
      <extLst>
        <ext uri="{3e2802c4-a4d2-4d8b-9148-e3be6c30e623}">
          <xlrd:rvb i="5420"/>
        </ext>
      </extLst>
    </bk>
    <bk>
      <extLst>
        <ext uri="{3e2802c4-a4d2-4d8b-9148-e3be6c30e623}">
          <xlrd:rvb i="5421"/>
        </ext>
      </extLst>
    </bk>
    <bk>
      <extLst>
        <ext uri="{3e2802c4-a4d2-4d8b-9148-e3be6c30e623}">
          <xlrd:rvb i="5422"/>
        </ext>
      </extLst>
    </bk>
    <bk>
      <extLst>
        <ext uri="{3e2802c4-a4d2-4d8b-9148-e3be6c30e623}">
          <xlrd:rvb i="5423"/>
        </ext>
      </extLst>
    </bk>
    <bk>
      <extLst>
        <ext uri="{3e2802c4-a4d2-4d8b-9148-e3be6c30e623}">
          <xlrd:rvb i="5424"/>
        </ext>
      </extLst>
    </bk>
    <bk>
      <extLst>
        <ext uri="{3e2802c4-a4d2-4d8b-9148-e3be6c30e623}">
          <xlrd:rvb i="5425"/>
        </ext>
      </extLst>
    </bk>
    <bk>
      <extLst>
        <ext uri="{3e2802c4-a4d2-4d8b-9148-e3be6c30e623}">
          <xlrd:rvb i="5426"/>
        </ext>
      </extLst>
    </bk>
    <bk>
      <extLst>
        <ext uri="{3e2802c4-a4d2-4d8b-9148-e3be6c30e623}">
          <xlrd:rvb i="5427"/>
        </ext>
      </extLst>
    </bk>
    <bk>
      <extLst>
        <ext uri="{3e2802c4-a4d2-4d8b-9148-e3be6c30e623}">
          <xlrd:rvb i="5428"/>
        </ext>
      </extLst>
    </bk>
    <bk>
      <extLst>
        <ext uri="{3e2802c4-a4d2-4d8b-9148-e3be6c30e623}">
          <xlrd:rvb i="5429"/>
        </ext>
      </extLst>
    </bk>
    <bk>
      <extLst>
        <ext uri="{3e2802c4-a4d2-4d8b-9148-e3be6c30e623}">
          <xlrd:rvb i="5430"/>
        </ext>
      </extLst>
    </bk>
    <bk>
      <extLst>
        <ext uri="{3e2802c4-a4d2-4d8b-9148-e3be6c30e623}">
          <xlrd:rvb i="5431"/>
        </ext>
      </extLst>
    </bk>
    <bk>
      <extLst>
        <ext uri="{3e2802c4-a4d2-4d8b-9148-e3be6c30e623}">
          <xlrd:rvb i="5432"/>
        </ext>
      </extLst>
    </bk>
    <bk>
      <extLst>
        <ext uri="{3e2802c4-a4d2-4d8b-9148-e3be6c30e623}">
          <xlrd:rvb i="5433"/>
        </ext>
      </extLst>
    </bk>
    <bk>
      <extLst>
        <ext uri="{3e2802c4-a4d2-4d8b-9148-e3be6c30e623}">
          <xlrd:rvb i="5434"/>
        </ext>
      </extLst>
    </bk>
    <bk>
      <extLst>
        <ext uri="{3e2802c4-a4d2-4d8b-9148-e3be6c30e623}">
          <xlrd:rvb i="5435"/>
        </ext>
      </extLst>
    </bk>
    <bk>
      <extLst>
        <ext uri="{3e2802c4-a4d2-4d8b-9148-e3be6c30e623}">
          <xlrd:rvb i="5436"/>
        </ext>
      </extLst>
    </bk>
    <bk>
      <extLst>
        <ext uri="{3e2802c4-a4d2-4d8b-9148-e3be6c30e623}">
          <xlrd:rvb i="5437"/>
        </ext>
      </extLst>
    </bk>
    <bk>
      <extLst>
        <ext uri="{3e2802c4-a4d2-4d8b-9148-e3be6c30e623}">
          <xlrd:rvb i="5438"/>
        </ext>
      </extLst>
    </bk>
    <bk>
      <extLst>
        <ext uri="{3e2802c4-a4d2-4d8b-9148-e3be6c30e623}">
          <xlrd:rvb i="5439"/>
        </ext>
      </extLst>
    </bk>
    <bk>
      <extLst>
        <ext uri="{3e2802c4-a4d2-4d8b-9148-e3be6c30e623}">
          <xlrd:rvb i="5440"/>
        </ext>
      </extLst>
    </bk>
    <bk>
      <extLst>
        <ext uri="{3e2802c4-a4d2-4d8b-9148-e3be6c30e623}">
          <xlrd:rvb i="5441"/>
        </ext>
      </extLst>
    </bk>
    <bk>
      <extLst>
        <ext uri="{3e2802c4-a4d2-4d8b-9148-e3be6c30e623}">
          <xlrd:rvb i="5442"/>
        </ext>
      </extLst>
    </bk>
    <bk>
      <extLst>
        <ext uri="{3e2802c4-a4d2-4d8b-9148-e3be6c30e623}">
          <xlrd:rvb i="5443"/>
        </ext>
      </extLst>
    </bk>
    <bk>
      <extLst>
        <ext uri="{3e2802c4-a4d2-4d8b-9148-e3be6c30e623}">
          <xlrd:rvb i="5444"/>
        </ext>
      </extLst>
    </bk>
    <bk>
      <extLst>
        <ext uri="{3e2802c4-a4d2-4d8b-9148-e3be6c30e623}">
          <xlrd:rvb i="5445"/>
        </ext>
      </extLst>
    </bk>
    <bk>
      <extLst>
        <ext uri="{3e2802c4-a4d2-4d8b-9148-e3be6c30e623}">
          <xlrd:rvb i="5446"/>
        </ext>
      </extLst>
    </bk>
    <bk>
      <extLst>
        <ext uri="{3e2802c4-a4d2-4d8b-9148-e3be6c30e623}">
          <xlrd:rvb i="5447"/>
        </ext>
      </extLst>
    </bk>
    <bk>
      <extLst>
        <ext uri="{3e2802c4-a4d2-4d8b-9148-e3be6c30e623}">
          <xlrd:rvb i="5448"/>
        </ext>
      </extLst>
    </bk>
    <bk>
      <extLst>
        <ext uri="{3e2802c4-a4d2-4d8b-9148-e3be6c30e623}">
          <xlrd:rvb i="5449"/>
        </ext>
      </extLst>
    </bk>
    <bk>
      <extLst>
        <ext uri="{3e2802c4-a4d2-4d8b-9148-e3be6c30e623}">
          <xlrd:rvb i="5450"/>
        </ext>
      </extLst>
    </bk>
    <bk>
      <extLst>
        <ext uri="{3e2802c4-a4d2-4d8b-9148-e3be6c30e623}">
          <xlrd:rvb i="5451"/>
        </ext>
      </extLst>
    </bk>
    <bk>
      <extLst>
        <ext uri="{3e2802c4-a4d2-4d8b-9148-e3be6c30e623}">
          <xlrd:rvb i="5452"/>
        </ext>
      </extLst>
    </bk>
    <bk>
      <extLst>
        <ext uri="{3e2802c4-a4d2-4d8b-9148-e3be6c30e623}">
          <xlrd:rvb i="5453"/>
        </ext>
      </extLst>
    </bk>
    <bk>
      <extLst>
        <ext uri="{3e2802c4-a4d2-4d8b-9148-e3be6c30e623}">
          <xlrd:rvb i="5454"/>
        </ext>
      </extLst>
    </bk>
    <bk>
      <extLst>
        <ext uri="{3e2802c4-a4d2-4d8b-9148-e3be6c30e623}">
          <xlrd:rvb i="5455"/>
        </ext>
      </extLst>
    </bk>
    <bk>
      <extLst>
        <ext uri="{3e2802c4-a4d2-4d8b-9148-e3be6c30e623}">
          <xlrd:rvb i="5456"/>
        </ext>
      </extLst>
    </bk>
    <bk>
      <extLst>
        <ext uri="{3e2802c4-a4d2-4d8b-9148-e3be6c30e623}">
          <xlrd:rvb i="5457"/>
        </ext>
      </extLst>
    </bk>
    <bk>
      <extLst>
        <ext uri="{3e2802c4-a4d2-4d8b-9148-e3be6c30e623}">
          <xlrd:rvb i="5458"/>
        </ext>
      </extLst>
    </bk>
    <bk>
      <extLst>
        <ext uri="{3e2802c4-a4d2-4d8b-9148-e3be6c30e623}">
          <xlrd:rvb i="5459"/>
        </ext>
      </extLst>
    </bk>
    <bk>
      <extLst>
        <ext uri="{3e2802c4-a4d2-4d8b-9148-e3be6c30e623}">
          <xlrd:rvb i="5460"/>
        </ext>
      </extLst>
    </bk>
    <bk>
      <extLst>
        <ext uri="{3e2802c4-a4d2-4d8b-9148-e3be6c30e623}">
          <xlrd:rvb i="5461"/>
        </ext>
      </extLst>
    </bk>
    <bk>
      <extLst>
        <ext uri="{3e2802c4-a4d2-4d8b-9148-e3be6c30e623}">
          <xlrd:rvb i="5462"/>
        </ext>
      </extLst>
    </bk>
    <bk>
      <extLst>
        <ext uri="{3e2802c4-a4d2-4d8b-9148-e3be6c30e623}">
          <xlrd:rvb i="5463"/>
        </ext>
      </extLst>
    </bk>
    <bk>
      <extLst>
        <ext uri="{3e2802c4-a4d2-4d8b-9148-e3be6c30e623}">
          <xlrd:rvb i="5464"/>
        </ext>
      </extLst>
    </bk>
    <bk>
      <extLst>
        <ext uri="{3e2802c4-a4d2-4d8b-9148-e3be6c30e623}">
          <xlrd:rvb i="5465"/>
        </ext>
      </extLst>
    </bk>
    <bk>
      <extLst>
        <ext uri="{3e2802c4-a4d2-4d8b-9148-e3be6c30e623}">
          <xlrd:rvb i="5466"/>
        </ext>
      </extLst>
    </bk>
    <bk>
      <extLst>
        <ext uri="{3e2802c4-a4d2-4d8b-9148-e3be6c30e623}">
          <xlrd:rvb i="5467"/>
        </ext>
      </extLst>
    </bk>
    <bk>
      <extLst>
        <ext uri="{3e2802c4-a4d2-4d8b-9148-e3be6c30e623}">
          <xlrd:rvb i="5468"/>
        </ext>
      </extLst>
    </bk>
    <bk>
      <extLst>
        <ext uri="{3e2802c4-a4d2-4d8b-9148-e3be6c30e623}">
          <xlrd:rvb i="5469"/>
        </ext>
      </extLst>
    </bk>
    <bk>
      <extLst>
        <ext uri="{3e2802c4-a4d2-4d8b-9148-e3be6c30e623}">
          <xlrd:rvb i="5470"/>
        </ext>
      </extLst>
    </bk>
    <bk>
      <extLst>
        <ext uri="{3e2802c4-a4d2-4d8b-9148-e3be6c30e623}">
          <xlrd:rvb i="5471"/>
        </ext>
      </extLst>
    </bk>
    <bk>
      <extLst>
        <ext uri="{3e2802c4-a4d2-4d8b-9148-e3be6c30e623}">
          <xlrd:rvb i="5472"/>
        </ext>
      </extLst>
    </bk>
    <bk>
      <extLst>
        <ext uri="{3e2802c4-a4d2-4d8b-9148-e3be6c30e623}">
          <xlrd:rvb i="5473"/>
        </ext>
      </extLst>
    </bk>
    <bk>
      <extLst>
        <ext uri="{3e2802c4-a4d2-4d8b-9148-e3be6c30e623}">
          <xlrd:rvb i="5474"/>
        </ext>
      </extLst>
    </bk>
    <bk>
      <extLst>
        <ext uri="{3e2802c4-a4d2-4d8b-9148-e3be6c30e623}">
          <xlrd:rvb i="5475"/>
        </ext>
      </extLst>
    </bk>
    <bk>
      <extLst>
        <ext uri="{3e2802c4-a4d2-4d8b-9148-e3be6c30e623}">
          <xlrd:rvb i="5476"/>
        </ext>
      </extLst>
    </bk>
    <bk>
      <extLst>
        <ext uri="{3e2802c4-a4d2-4d8b-9148-e3be6c30e623}">
          <xlrd:rvb i="5477"/>
        </ext>
      </extLst>
    </bk>
    <bk>
      <extLst>
        <ext uri="{3e2802c4-a4d2-4d8b-9148-e3be6c30e623}">
          <xlrd:rvb i="5478"/>
        </ext>
      </extLst>
    </bk>
    <bk>
      <extLst>
        <ext uri="{3e2802c4-a4d2-4d8b-9148-e3be6c30e623}">
          <xlrd:rvb i="5479"/>
        </ext>
      </extLst>
    </bk>
    <bk>
      <extLst>
        <ext uri="{3e2802c4-a4d2-4d8b-9148-e3be6c30e623}">
          <xlrd:rvb i="5480"/>
        </ext>
      </extLst>
    </bk>
    <bk>
      <extLst>
        <ext uri="{3e2802c4-a4d2-4d8b-9148-e3be6c30e623}">
          <xlrd:rvb i="5481"/>
        </ext>
      </extLst>
    </bk>
    <bk>
      <extLst>
        <ext uri="{3e2802c4-a4d2-4d8b-9148-e3be6c30e623}">
          <xlrd:rvb i="5482"/>
        </ext>
      </extLst>
    </bk>
    <bk>
      <extLst>
        <ext uri="{3e2802c4-a4d2-4d8b-9148-e3be6c30e623}">
          <xlrd:rvb i="5483"/>
        </ext>
      </extLst>
    </bk>
    <bk>
      <extLst>
        <ext uri="{3e2802c4-a4d2-4d8b-9148-e3be6c30e623}">
          <xlrd:rvb i="5484"/>
        </ext>
      </extLst>
    </bk>
    <bk>
      <extLst>
        <ext uri="{3e2802c4-a4d2-4d8b-9148-e3be6c30e623}">
          <xlrd:rvb i="5485"/>
        </ext>
      </extLst>
    </bk>
    <bk>
      <extLst>
        <ext uri="{3e2802c4-a4d2-4d8b-9148-e3be6c30e623}">
          <xlrd:rvb i="5486"/>
        </ext>
      </extLst>
    </bk>
    <bk>
      <extLst>
        <ext uri="{3e2802c4-a4d2-4d8b-9148-e3be6c30e623}">
          <xlrd:rvb i="5487"/>
        </ext>
      </extLst>
    </bk>
    <bk>
      <extLst>
        <ext uri="{3e2802c4-a4d2-4d8b-9148-e3be6c30e623}">
          <xlrd:rvb i="5488"/>
        </ext>
      </extLst>
    </bk>
    <bk>
      <extLst>
        <ext uri="{3e2802c4-a4d2-4d8b-9148-e3be6c30e623}">
          <xlrd:rvb i="5489"/>
        </ext>
      </extLst>
    </bk>
    <bk>
      <extLst>
        <ext uri="{3e2802c4-a4d2-4d8b-9148-e3be6c30e623}">
          <xlrd:rvb i="5490"/>
        </ext>
      </extLst>
    </bk>
    <bk>
      <extLst>
        <ext uri="{3e2802c4-a4d2-4d8b-9148-e3be6c30e623}">
          <xlrd:rvb i="5491"/>
        </ext>
      </extLst>
    </bk>
    <bk>
      <extLst>
        <ext uri="{3e2802c4-a4d2-4d8b-9148-e3be6c30e623}">
          <xlrd:rvb i="5492"/>
        </ext>
      </extLst>
    </bk>
    <bk>
      <extLst>
        <ext uri="{3e2802c4-a4d2-4d8b-9148-e3be6c30e623}">
          <xlrd:rvb i="5493"/>
        </ext>
      </extLst>
    </bk>
    <bk>
      <extLst>
        <ext uri="{3e2802c4-a4d2-4d8b-9148-e3be6c30e623}">
          <xlrd:rvb i="5494"/>
        </ext>
      </extLst>
    </bk>
    <bk>
      <extLst>
        <ext uri="{3e2802c4-a4d2-4d8b-9148-e3be6c30e623}">
          <xlrd:rvb i="5495"/>
        </ext>
      </extLst>
    </bk>
    <bk>
      <extLst>
        <ext uri="{3e2802c4-a4d2-4d8b-9148-e3be6c30e623}">
          <xlrd:rvb i="5496"/>
        </ext>
      </extLst>
    </bk>
    <bk>
      <extLst>
        <ext uri="{3e2802c4-a4d2-4d8b-9148-e3be6c30e623}">
          <xlrd:rvb i="5497"/>
        </ext>
      </extLst>
    </bk>
    <bk>
      <extLst>
        <ext uri="{3e2802c4-a4d2-4d8b-9148-e3be6c30e623}">
          <xlrd:rvb i="5498"/>
        </ext>
      </extLst>
    </bk>
    <bk>
      <extLst>
        <ext uri="{3e2802c4-a4d2-4d8b-9148-e3be6c30e623}">
          <xlrd:rvb i="5499"/>
        </ext>
      </extLst>
    </bk>
    <bk>
      <extLst>
        <ext uri="{3e2802c4-a4d2-4d8b-9148-e3be6c30e623}">
          <xlrd:rvb i="5500"/>
        </ext>
      </extLst>
    </bk>
    <bk>
      <extLst>
        <ext uri="{3e2802c4-a4d2-4d8b-9148-e3be6c30e623}">
          <xlrd:rvb i="5501"/>
        </ext>
      </extLst>
    </bk>
    <bk>
      <extLst>
        <ext uri="{3e2802c4-a4d2-4d8b-9148-e3be6c30e623}">
          <xlrd:rvb i="5502"/>
        </ext>
      </extLst>
    </bk>
    <bk>
      <extLst>
        <ext uri="{3e2802c4-a4d2-4d8b-9148-e3be6c30e623}">
          <xlrd:rvb i="5503"/>
        </ext>
      </extLst>
    </bk>
    <bk>
      <extLst>
        <ext uri="{3e2802c4-a4d2-4d8b-9148-e3be6c30e623}">
          <xlrd:rvb i="5504"/>
        </ext>
      </extLst>
    </bk>
    <bk>
      <extLst>
        <ext uri="{3e2802c4-a4d2-4d8b-9148-e3be6c30e623}">
          <xlrd:rvb i="5505"/>
        </ext>
      </extLst>
    </bk>
    <bk>
      <extLst>
        <ext uri="{3e2802c4-a4d2-4d8b-9148-e3be6c30e623}">
          <xlrd:rvb i="5506"/>
        </ext>
      </extLst>
    </bk>
    <bk>
      <extLst>
        <ext uri="{3e2802c4-a4d2-4d8b-9148-e3be6c30e623}">
          <xlrd:rvb i="5507"/>
        </ext>
      </extLst>
    </bk>
    <bk>
      <extLst>
        <ext uri="{3e2802c4-a4d2-4d8b-9148-e3be6c30e623}">
          <xlrd:rvb i="5508"/>
        </ext>
      </extLst>
    </bk>
    <bk>
      <extLst>
        <ext uri="{3e2802c4-a4d2-4d8b-9148-e3be6c30e623}">
          <xlrd:rvb i="5509"/>
        </ext>
      </extLst>
    </bk>
    <bk>
      <extLst>
        <ext uri="{3e2802c4-a4d2-4d8b-9148-e3be6c30e623}">
          <xlrd:rvb i="5510"/>
        </ext>
      </extLst>
    </bk>
    <bk>
      <extLst>
        <ext uri="{3e2802c4-a4d2-4d8b-9148-e3be6c30e623}">
          <xlrd:rvb i="5511"/>
        </ext>
      </extLst>
    </bk>
    <bk>
      <extLst>
        <ext uri="{3e2802c4-a4d2-4d8b-9148-e3be6c30e623}">
          <xlrd:rvb i="5512"/>
        </ext>
      </extLst>
    </bk>
    <bk>
      <extLst>
        <ext uri="{3e2802c4-a4d2-4d8b-9148-e3be6c30e623}">
          <xlrd:rvb i="5513"/>
        </ext>
      </extLst>
    </bk>
    <bk>
      <extLst>
        <ext uri="{3e2802c4-a4d2-4d8b-9148-e3be6c30e623}">
          <xlrd:rvb i="5514"/>
        </ext>
      </extLst>
    </bk>
    <bk>
      <extLst>
        <ext uri="{3e2802c4-a4d2-4d8b-9148-e3be6c30e623}">
          <xlrd:rvb i="5515"/>
        </ext>
      </extLst>
    </bk>
    <bk>
      <extLst>
        <ext uri="{3e2802c4-a4d2-4d8b-9148-e3be6c30e623}">
          <xlrd:rvb i="5516"/>
        </ext>
      </extLst>
    </bk>
    <bk>
      <extLst>
        <ext uri="{3e2802c4-a4d2-4d8b-9148-e3be6c30e623}">
          <xlrd:rvb i="5517"/>
        </ext>
      </extLst>
    </bk>
    <bk>
      <extLst>
        <ext uri="{3e2802c4-a4d2-4d8b-9148-e3be6c30e623}">
          <xlrd:rvb i="5518"/>
        </ext>
      </extLst>
    </bk>
    <bk>
      <extLst>
        <ext uri="{3e2802c4-a4d2-4d8b-9148-e3be6c30e623}">
          <xlrd:rvb i="5519"/>
        </ext>
      </extLst>
    </bk>
    <bk>
      <extLst>
        <ext uri="{3e2802c4-a4d2-4d8b-9148-e3be6c30e623}">
          <xlrd:rvb i="5520"/>
        </ext>
      </extLst>
    </bk>
    <bk>
      <extLst>
        <ext uri="{3e2802c4-a4d2-4d8b-9148-e3be6c30e623}">
          <xlrd:rvb i="5521"/>
        </ext>
      </extLst>
    </bk>
    <bk>
      <extLst>
        <ext uri="{3e2802c4-a4d2-4d8b-9148-e3be6c30e623}">
          <xlrd:rvb i="5522"/>
        </ext>
      </extLst>
    </bk>
    <bk>
      <extLst>
        <ext uri="{3e2802c4-a4d2-4d8b-9148-e3be6c30e623}">
          <xlrd:rvb i="5523"/>
        </ext>
      </extLst>
    </bk>
    <bk>
      <extLst>
        <ext uri="{3e2802c4-a4d2-4d8b-9148-e3be6c30e623}">
          <xlrd:rvb i="5524"/>
        </ext>
      </extLst>
    </bk>
    <bk>
      <extLst>
        <ext uri="{3e2802c4-a4d2-4d8b-9148-e3be6c30e623}">
          <xlrd:rvb i="5525"/>
        </ext>
      </extLst>
    </bk>
    <bk>
      <extLst>
        <ext uri="{3e2802c4-a4d2-4d8b-9148-e3be6c30e623}">
          <xlrd:rvb i="5526"/>
        </ext>
      </extLst>
    </bk>
    <bk>
      <extLst>
        <ext uri="{3e2802c4-a4d2-4d8b-9148-e3be6c30e623}">
          <xlrd:rvb i="5527"/>
        </ext>
      </extLst>
    </bk>
    <bk>
      <extLst>
        <ext uri="{3e2802c4-a4d2-4d8b-9148-e3be6c30e623}">
          <xlrd:rvb i="5528"/>
        </ext>
      </extLst>
    </bk>
    <bk>
      <extLst>
        <ext uri="{3e2802c4-a4d2-4d8b-9148-e3be6c30e623}">
          <xlrd:rvb i="5529"/>
        </ext>
      </extLst>
    </bk>
    <bk>
      <extLst>
        <ext uri="{3e2802c4-a4d2-4d8b-9148-e3be6c30e623}">
          <xlrd:rvb i="5530"/>
        </ext>
      </extLst>
    </bk>
    <bk>
      <extLst>
        <ext uri="{3e2802c4-a4d2-4d8b-9148-e3be6c30e623}">
          <xlrd:rvb i="5531"/>
        </ext>
      </extLst>
    </bk>
    <bk>
      <extLst>
        <ext uri="{3e2802c4-a4d2-4d8b-9148-e3be6c30e623}">
          <xlrd:rvb i="5532"/>
        </ext>
      </extLst>
    </bk>
    <bk>
      <extLst>
        <ext uri="{3e2802c4-a4d2-4d8b-9148-e3be6c30e623}">
          <xlrd:rvb i="5533"/>
        </ext>
      </extLst>
    </bk>
    <bk>
      <extLst>
        <ext uri="{3e2802c4-a4d2-4d8b-9148-e3be6c30e623}">
          <xlrd:rvb i="5534"/>
        </ext>
      </extLst>
    </bk>
    <bk>
      <extLst>
        <ext uri="{3e2802c4-a4d2-4d8b-9148-e3be6c30e623}">
          <xlrd:rvb i="5535"/>
        </ext>
      </extLst>
    </bk>
    <bk>
      <extLst>
        <ext uri="{3e2802c4-a4d2-4d8b-9148-e3be6c30e623}">
          <xlrd:rvb i="5536"/>
        </ext>
      </extLst>
    </bk>
    <bk>
      <extLst>
        <ext uri="{3e2802c4-a4d2-4d8b-9148-e3be6c30e623}">
          <xlrd:rvb i="5537"/>
        </ext>
      </extLst>
    </bk>
    <bk>
      <extLst>
        <ext uri="{3e2802c4-a4d2-4d8b-9148-e3be6c30e623}">
          <xlrd:rvb i="5538"/>
        </ext>
      </extLst>
    </bk>
    <bk>
      <extLst>
        <ext uri="{3e2802c4-a4d2-4d8b-9148-e3be6c30e623}">
          <xlrd:rvb i="5539"/>
        </ext>
      </extLst>
    </bk>
    <bk>
      <extLst>
        <ext uri="{3e2802c4-a4d2-4d8b-9148-e3be6c30e623}">
          <xlrd:rvb i="5540"/>
        </ext>
      </extLst>
    </bk>
    <bk>
      <extLst>
        <ext uri="{3e2802c4-a4d2-4d8b-9148-e3be6c30e623}">
          <xlrd:rvb i="5541"/>
        </ext>
      </extLst>
    </bk>
    <bk>
      <extLst>
        <ext uri="{3e2802c4-a4d2-4d8b-9148-e3be6c30e623}">
          <xlrd:rvb i="5542"/>
        </ext>
      </extLst>
    </bk>
    <bk>
      <extLst>
        <ext uri="{3e2802c4-a4d2-4d8b-9148-e3be6c30e623}">
          <xlrd:rvb i="5543"/>
        </ext>
      </extLst>
    </bk>
    <bk>
      <extLst>
        <ext uri="{3e2802c4-a4d2-4d8b-9148-e3be6c30e623}">
          <xlrd:rvb i="5544"/>
        </ext>
      </extLst>
    </bk>
    <bk>
      <extLst>
        <ext uri="{3e2802c4-a4d2-4d8b-9148-e3be6c30e623}">
          <xlrd:rvb i="5545"/>
        </ext>
      </extLst>
    </bk>
    <bk>
      <extLst>
        <ext uri="{3e2802c4-a4d2-4d8b-9148-e3be6c30e623}">
          <xlrd:rvb i="5546"/>
        </ext>
      </extLst>
    </bk>
    <bk>
      <extLst>
        <ext uri="{3e2802c4-a4d2-4d8b-9148-e3be6c30e623}">
          <xlrd:rvb i="5547"/>
        </ext>
      </extLst>
    </bk>
    <bk>
      <extLst>
        <ext uri="{3e2802c4-a4d2-4d8b-9148-e3be6c30e623}">
          <xlrd:rvb i="5548"/>
        </ext>
      </extLst>
    </bk>
    <bk>
      <extLst>
        <ext uri="{3e2802c4-a4d2-4d8b-9148-e3be6c30e623}">
          <xlrd:rvb i="5549"/>
        </ext>
      </extLst>
    </bk>
    <bk>
      <extLst>
        <ext uri="{3e2802c4-a4d2-4d8b-9148-e3be6c30e623}">
          <xlrd:rvb i="5550"/>
        </ext>
      </extLst>
    </bk>
    <bk>
      <extLst>
        <ext uri="{3e2802c4-a4d2-4d8b-9148-e3be6c30e623}">
          <xlrd:rvb i="5551"/>
        </ext>
      </extLst>
    </bk>
    <bk>
      <extLst>
        <ext uri="{3e2802c4-a4d2-4d8b-9148-e3be6c30e623}">
          <xlrd:rvb i="5552"/>
        </ext>
      </extLst>
    </bk>
    <bk>
      <extLst>
        <ext uri="{3e2802c4-a4d2-4d8b-9148-e3be6c30e623}">
          <xlrd:rvb i="5553"/>
        </ext>
      </extLst>
    </bk>
    <bk>
      <extLst>
        <ext uri="{3e2802c4-a4d2-4d8b-9148-e3be6c30e623}">
          <xlrd:rvb i="5554"/>
        </ext>
      </extLst>
    </bk>
    <bk>
      <extLst>
        <ext uri="{3e2802c4-a4d2-4d8b-9148-e3be6c30e623}">
          <xlrd:rvb i="5555"/>
        </ext>
      </extLst>
    </bk>
    <bk>
      <extLst>
        <ext uri="{3e2802c4-a4d2-4d8b-9148-e3be6c30e623}">
          <xlrd:rvb i="5556"/>
        </ext>
      </extLst>
    </bk>
    <bk>
      <extLst>
        <ext uri="{3e2802c4-a4d2-4d8b-9148-e3be6c30e623}">
          <xlrd:rvb i="5557"/>
        </ext>
      </extLst>
    </bk>
    <bk>
      <extLst>
        <ext uri="{3e2802c4-a4d2-4d8b-9148-e3be6c30e623}">
          <xlrd:rvb i="5558"/>
        </ext>
      </extLst>
    </bk>
    <bk>
      <extLst>
        <ext uri="{3e2802c4-a4d2-4d8b-9148-e3be6c30e623}">
          <xlrd:rvb i="5559"/>
        </ext>
      </extLst>
    </bk>
    <bk>
      <extLst>
        <ext uri="{3e2802c4-a4d2-4d8b-9148-e3be6c30e623}">
          <xlrd:rvb i="5560"/>
        </ext>
      </extLst>
    </bk>
    <bk>
      <extLst>
        <ext uri="{3e2802c4-a4d2-4d8b-9148-e3be6c30e623}">
          <xlrd:rvb i="5561"/>
        </ext>
      </extLst>
    </bk>
    <bk>
      <extLst>
        <ext uri="{3e2802c4-a4d2-4d8b-9148-e3be6c30e623}">
          <xlrd:rvb i="5562"/>
        </ext>
      </extLst>
    </bk>
    <bk>
      <extLst>
        <ext uri="{3e2802c4-a4d2-4d8b-9148-e3be6c30e623}">
          <xlrd:rvb i="5563"/>
        </ext>
      </extLst>
    </bk>
    <bk>
      <extLst>
        <ext uri="{3e2802c4-a4d2-4d8b-9148-e3be6c30e623}">
          <xlrd:rvb i="5564"/>
        </ext>
      </extLst>
    </bk>
    <bk>
      <extLst>
        <ext uri="{3e2802c4-a4d2-4d8b-9148-e3be6c30e623}">
          <xlrd:rvb i="5565"/>
        </ext>
      </extLst>
    </bk>
    <bk>
      <extLst>
        <ext uri="{3e2802c4-a4d2-4d8b-9148-e3be6c30e623}">
          <xlrd:rvb i="5566"/>
        </ext>
      </extLst>
    </bk>
    <bk>
      <extLst>
        <ext uri="{3e2802c4-a4d2-4d8b-9148-e3be6c30e623}">
          <xlrd:rvb i="5567"/>
        </ext>
      </extLst>
    </bk>
    <bk>
      <extLst>
        <ext uri="{3e2802c4-a4d2-4d8b-9148-e3be6c30e623}">
          <xlrd:rvb i="5568"/>
        </ext>
      </extLst>
    </bk>
    <bk>
      <extLst>
        <ext uri="{3e2802c4-a4d2-4d8b-9148-e3be6c30e623}">
          <xlrd:rvb i="5569"/>
        </ext>
      </extLst>
    </bk>
    <bk>
      <extLst>
        <ext uri="{3e2802c4-a4d2-4d8b-9148-e3be6c30e623}">
          <xlrd:rvb i="5570"/>
        </ext>
      </extLst>
    </bk>
    <bk>
      <extLst>
        <ext uri="{3e2802c4-a4d2-4d8b-9148-e3be6c30e623}">
          <xlrd:rvb i="5571"/>
        </ext>
      </extLst>
    </bk>
    <bk>
      <extLst>
        <ext uri="{3e2802c4-a4d2-4d8b-9148-e3be6c30e623}">
          <xlrd:rvb i="5572"/>
        </ext>
      </extLst>
    </bk>
    <bk>
      <extLst>
        <ext uri="{3e2802c4-a4d2-4d8b-9148-e3be6c30e623}">
          <xlrd:rvb i="5573"/>
        </ext>
      </extLst>
    </bk>
    <bk>
      <extLst>
        <ext uri="{3e2802c4-a4d2-4d8b-9148-e3be6c30e623}">
          <xlrd:rvb i="5574"/>
        </ext>
      </extLst>
    </bk>
    <bk>
      <extLst>
        <ext uri="{3e2802c4-a4d2-4d8b-9148-e3be6c30e623}">
          <xlrd:rvb i="5575"/>
        </ext>
      </extLst>
    </bk>
    <bk>
      <extLst>
        <ext uri="{3e2802c4-a4d2-4d8b-9148-e3be6c30e623}">
          <xlrd:rvb i="5576"/>
        </ext>
      </extLst>
    </bk>
    <bk>
      <extLst>
        <ext uri="{3e2802c4-a4d2-4d8b-9148-e3be6c30e623}">
          <xlrd:rvb i="5577"/>
        </ext>
      </extLst>
    </bk>
    <bk>
      <extLst>
        <ext uri="{3e2802c4-a4d2-4d8b-9148-e3be6c30e623}">
          <xlrd:rvb i="5578"/>
        </ext>
      </extLst>
    </bk>
    <bk>
      <extLst>
        <ext uri="{3e2802c4-a4d2-4d8b-9148-e3be6c30e623}">
          <xlrd:rvb i="5579"/>
        </ext>
      </extLst>
    </bk>
    <bk>
      <extLst>
        <ext uri="{3e2802c4-a4d2-4d8b-9148-e3be6c30e623}">
          <xlrd:rvb i="5580"/>
        </ext>
      </extLst>
    </bk>
    <bk>
      <extLst>
        <ext uri="{3e2802c4-a4d2-4d8b-9148-e3be6c30e623}">
          <xlrd:rvb i="5581"/>
        </ext>
      </extLst>
    </bk>
    <bk>
      <extLst>
        <ext uri="{3e2802c4-a4d2-4d8b-9148-e3be6c30e623}">
          <xlrd:rvb i="5582"/>
        </ext>
      </extLst>
    </bk>
    <bk>
      <extLst>
        <ext uri="{3e2802c4-a4d2-4d8b-9148-e3be6c30e623}">
          <xlrd:rvb i="5583"/>
        </ext>
      </extLst>
    </bk>
    <bk>
      <extLst>
        <ext uri="{3e2802c4-a4d2-4d8b-9148-e3be6c30e623}">
          <xlrd:rvb i="5584"/>
        </ext>
      </extLst>
    </bk>
    <bk>
      <extLst>
        <ext uri="{3e2802c4-a4d2-4d8b-9148-e3be6c30e623}">
          <xlrd:rvb i="5585"/>
        </ext>
      </extLst>
    </bk>
    <bk>
      <extLst>
        <ext uri="{3e2802c4-a4d2-4d8b-9148-e3be6c30e623}">
          <xlrd:rvb i="5586"/>
        </ext>
      </extLst>
    </bk>
    <bk>
      <extLst>
        <ext uri="{3e2802c4-a4d2-4d8b-9148-e3be6c30e623}">
          <xlrd:rvb i="5587"/>
        </ext>
      </extLst>
    </bk>
    <bk>
      <extLst>
        <ext uri="{3e2802c4-a4d2-4d8b-9148-e3be6c30e623}">
          <xlrd:rvb i="5588"/>
        </ext>
      </extLst>
    </bk>
    <bk>
      <extLst>
        <ext uri="{3e2802c4-a4d2-4d8b-9148-e3be6c30e623}">
          <xlrd:rvb i="5589"/>
        </ext>
      </extLst>
    </bk>
    <bk>
      <extLst>
        <ext uri="{3e2802c4-a4d2-4d8b-9148-e3be6c30e623}">
          <xlrd:rvb i="5590"/>
        </ext>
      </extLst>
    </bk>
    <bk>
      <extLst>
        <ext uri="{3e2802c4-a4d2-4d8b-9148-e3be6c30e623}">
          <xlrd:rvb i="5591"/>
        </ext>
      </extLst>
    </bk>
    <bk>
      <extLst>
        <ext uri="{3e2802c4-a4d2-4d8b-9148-e3be6c30e623}">
          <xlrd:rvb i="5592"/>
        </ext>
      </extLst>
    </bk>
    <bk>
      <extLst>
        <ext uri="{3e2802c4-a4d2-4d8b-9148-e3be6c30e623}">
          <xlrd:rvb i="5593"/>
        </ext>
      </extLst>
    </bk>
    <bk>
      <extLst>
        <ext uri="{3e2802c4-a4d2-4d8b-9148-e3be6c30e623}">
          <xlrd:rvb i="5594"/>
        </ext>
      </extLst>
    </bk>
    <bk>
      <extLst>
        <ext uri="{3e2802c4-a4d2-4d8b-9148-e3be6c30e623}">
          <xlrd:rvb i="5595"/>
        </ext>
      </extLst>
    </bk>
    <bk>
      <extLst>
        <ext uri="{3e2802c4-a4d2-4d8b-9148-e3be6c30e623}">
          <xlrd:rvb i="5596"/>
        </ext>
      </extLst>
    </bk>
    <bk>
      <extLst>
        <ext uri="{3e2802c4-a4d2-4d8b-9148-e3be6c30e623}">
          <xlrd:rvb i="5597"/>
        </ext>
      </extLst>
    </bk>
    <bk>
      <extLst>
        <ext uri="{3e2802c4-a4d2-4d8b-9148-e3be6c30e623}">
          <xlrd:rvb i="5598"/>
        </ext>
      </extLst>
    </bk>
    <bk>
      <extLst>
        <ext uri="{3e2802c4-a4d2-4d8b-9148-e3be6c30e623}">
          <xlrd:rvb i="5599"/>
        </ext>
      </extLst>
    </bk>
    <bk>
      <extLst>
        <ext uri="{3e2802c4-a4d2-4d8b-9148-e3be6c30e623}">
          <xlrd:rvb i="5600"/>
        </ext>
      </extLst>
    </bk>
    <bk>
      <extLst>
        <ext uri="{3e2802c4-a4d2-4d8b-9148-e3be6c30e623}">
          <xlrd:rvb i="5601"/>
        </ext>
      </extLst>
    </bk>
    <bk>
      <extLst>
        <ext uri="{3e2802c4-a4d2-4d8b-9148-e3be6c30e623}">
          <xlrd:rvb i="5602"/>
        </ext>
      </extLst>
    </bk>
    <bk>
      <extLst>
        <ext uri="{3e2802c4-a4d2-4d8b-9148-e3be6c30e623}">
          <xlrd:rvb i="5603"/>
        </ext>
      </extLst>
    </bk>
    <bk>
      <extLst>
        <ext uri="{3e2802c4-a4d2-4d8b-9148-e3be6c30e623}">
          <xlrd:rvb i="5604"/>
        </ext>
      </extLst>
    </bk>
    <bk>
      <extLst>
        <ext uri="{3e2802c4-a4d2-4d8b-9148-e3be6c30e623}">
          <xlrd:rvb i="5605"/>
        </ext>
      </extLst>
    </bk>
    <bk>
      <extLst>
        <ext uri="{3e2802c4-a4d2-4d8b-9148-e3be6c30e623}">
          <xlrd:rvb i="5606"/>
        </ext>
      </extLst>
    </bk>
    <bk>
      <extLst>
        <ext uri="{3e2802c4-a4d2-4d8b-9148-e3be6c30e623}">
          <xlrd:rvb i="5607"/>
        </ext>
      </extLst>
    </bk>
    <bk>
      <extLst>
        <ext uri="{3e2802c4-a4d2-4d8b-9148-e3be6c30e623}">
          <xlrd:rvb i="5608"/>
        </ext>
      </extLst>
    </bk>
    <bk>
      <extLst>
        <ext uri="{3e2802c4-a4d2-4d8b-9148-e3be6c30e623}">
          <xlrd:rvb i="5609"/>
        </ext>
      </extLst>
    </bk>
    <bk>
      <extLst>
        <ext uri="{3e2802c4-a4d2-4d8b-9148-e3be6c30e623}">
          <xlrd:rvb i="5610"/>
        </ext>
      </extLst>
    </bk>
    <bk>
      <extLst>
        <ext uri="{3e2802c4-a4d2-4d8b-9148-e3be6c30e623}">
          <xlrd:rvb i="5611"/>
        </ext>
      </extLst>
    </bk>
    <bk>
      <extLst>
        <ext uri="{3e2802c4-a4d2-4d8b-9148-e3be6c30e623}">
          <xlrd:rvb i="5612"/>
        </ext>
      </extLst>
    </bk>
    <bk>
      <extLst>
        <ext uri="{3e2802c4-a4d2-4d8b-9148-e3be6c30e623}">
          <xlrd:rvb i="5613"/>
        </ext>
      </extLst>
    </bk>
    <bk>
      <extLst>
        <ext uri="{3e2802c4-a4d2-4d8b-9148-e3be6c30e623}">
          <xlrd:rvb i="5614"/>
        </ext>
      </extLst>
    </bk>
    <bk>
      <extLst>
        <ext uri="{3e2802c4-a4d2-4d8b-9148-e3be6c30e623}">
          <xlrd:rvb i="5615"/>
        </ext>
      </extLst>
    </bk>
    <bk>
      <extLst>
        <ext uri="{3e2802c4-a4d2-4d8b-9148-e3be6c30e623}">
          <xlrd:rvb i="5616"/>
        </ext>
      </extLst>
    </bk>
    <bk>
      <extLst>
        <ext uri="{3e2802c4-a4d2-4d8b-9148-e3be6c30e623}">
          <xlrd:rvb i="5617"/>
        </ext>
      </extLst>
    </bk>
    <bk>
      <extLst>
        <ext uri="{3e2802c4-a4d2-4d8b-9148-e3be6c30e623}">
          <xlrd:rvb i="5618"/>
        </ext>
      </extLst>
    </bk>
    <bk>
      <extLst>
        <ext uri="{3e2802c4-a4d2-4d8b-9148-e3be6c30e623}">
          <xlrd:rvb i="5619"/>
        </ext>
      </extLst>
    </bk>
    <bk>
      <extLst>
        <ext uri="{3e2802c4-a4d2-4d8b-9148-e3be6c30e623}">
          <xlrd:rvb i="5620"/>
        </ext>
      </extLst>
    </bk>
    <bk>
      <extLst>
        <ext uri="{3e2802c4-a4d2-4d8b-9148-e3be6c30e623}">
          <xlrd:rvb i="5621"/>
        </ext>
      </extLst>
    </bk>
    <bk>
      <extLst>
        <ext uri="{3e2802c4-a4d2-4d8b-9148-e3be6c30e623}">
          <xlrd:rvb i="5622"/>
        </ext>
      </extLst>
    </bk>
    <bk>
      <extLst>
        <ext uri="{3e2802c4-a4d2-4d8b-9148-e3be6c30e623}">
          <xlrd:rvb i="5623"/>
        </ext>
      </extLst>
    </bk>
    <bk>
      <extLst>
        <ext uri="{3e2802c4-a4d2-4d8b-9148-e3be6c30e623}">
          <xlrd:rvb i="5624"/>
        </ext>
      </extLst>
    </bk>
    <bk>
      <extLst>
        <ext uri="{3e2802c4-a4d2-4d8b-9148-e3be6c30e623}">
          <xlrd:rvb i="5625"/>
        </ext>
      </extLst>
    </bk>
    <bk>
      <extLst>
        <ext uri="{3e2802c4-a4d2-4d8b-9148-e3be6c30e623}">
          <xlrd:rvb i="5626"/>
        </ext>
      </extLst>
    </bk>
    <bk>
      <extLst>
        <ext uri="{3e2802c4-a4d2-4d8b-9148-e3be6c30e623}">
          <xlrd:rvb i="5627"/>
        </ext>
      </extLst>
    </bk>
    <bk>
      <extLst>
        <ext uri="{3e2802c4-a4d2-4d8b-9148-e3be6c30e623}">
          <xlrd:rvb i="5628"/>
        </ext>
      </extLst>
    </bk>
    <bk>
      <extLst>
        <ext uri="{3e2802c4-a4d2-4d8b-9148-e3be6c30e623}">
          <xlrd:rvb i="5629"/>
        </ext>
      </extLst>
    </bk>
    <bk>
      <extLst>
        <ext uri="{3e2802c4-a4d2-4d8b-9148-e3be6c30e623}">
          <xlrd:rvb i="5630"/>
        </ext>
      </extLst>
    </bk>
    <bk>
      <extLst>
        <ext uri="{3e2802c4-a4d2-4d8b-9148-e3be6c30e623}">
          <xlrd:rvb i="5631"/>
        </ext>
      </extLst>
    </bk>
    <bk>
      <extLst>
        <ext uri="{3e2802c4-a4d2-4d8b-9148-e3be6c30e623}">
          <xlrd:rvb i="5632"/>
        </ext>
      </extLst>
    </bk>
    <bk>
      <extLst>
        <ext uri="{3e2802c4-a4d2-4d8b-9148-e3be6c30e623}">
          <xlrd:rvb i="5633"/>
        </ext>
      </extLst>
    </bk>
    <bk>
      <extLst>
        <ext uri="{3e2802c4-a4d2-4d8b-9148-e3be6c30e623}">
          <xlrd:rvb i="5634"/>
        </ext>
      </extLst>
    </bk>
    <bk>
      <extLst>
        <ext uri="{3e2802c4-a4d2-4d8b-9148-e3be6c30e623}">
          <xlrd:rvb i="5635"/>
        </ext>
      </extLst>
    </bk>
    <bk>
      <extLst>
        <ext uri="{3e2802c4-a4d2-4d8b-9148-e3be6c30e623}">
          <xlrd:rvb i="5636"/>
        </ext>
      </extLst>
    </bk>
    <bk>
      <extLst>
        <ext uri="{3e2802c4-a4d2-4d8b-9148-e3be6c30e623}">
          <xlrd:rvb i="5637"/>
        </ext>
      </extLst>
    </bk>
    <bk>
      <extLst>
        <ext uri="{3e2802c4-a4d2-4d8b-9148-e3be6c30e623}">
          <xlrd:rvb i="5638"/>
        </ext>
      </extLst>
    </bk>
    <bk>
      <extLst>
        <ext uri="{3e2802c4-a4d2-4d8b-9148-e3be6c30e623}">
          <xlrd:rvb i="5639"/>
        </ext>
      </extLst>
    </bk>
    <bk>
      <extLst>
        <ext uri="{3e2802c4-a4d2-4d8b-9148-e3be6c30e623}">
          <xlrd:rvb i="5640"/>
        </ext>
      </extLst>
    </bk>
    <bk>
      <extLst>
        <ext uri="{3e2802c4-a4d2-4d8b-9148-e3be6c30e623}">
          <xlrd:rvb i="5641"/>
        </ext>
      </extLst>
    </bk>
    <bk>
      <extLst>
        <ext uri="{3e2802c4-a4d2-4d8b-9148-e3be6c30e623}">
          <xlrd:rvb i="5642"/>
        </ext>
      </extLst>
    </bk>
    <bk>
      <extLst>
        <ext uri="{3e2802c4-a4d2-4d8b-9148-e3be6c30e623}">
          <xlrd:rvb i="5643"/>
        </ext>
      </extLst>
    </bk>
    <bk>
      <extLst>
        <ext uri="{3e2802c4-a4d2-4d8b-9148-e3be6c30e623}">
          <xlrd:rvb i="5644"/>
        </ext>
      </extLst>
    </bk>
    <bk>
      <extLst>
        <ext uri="{3e2802c4-a4d2-4d8b-9148-e3be6c30e623}">
          <xlrd:rvb i="5645"/>
        </ext>
      </extLst>
    </bk>
    <bk>
      <extLst>
        <ext uri="{3e2802c4-a4d2-4d8b-9148-e3be6c30e623}">
          <xlrd:rvb i="5646"/>
        </ext>
      </extLst>
    </bk>
    <bk>
      <extLst>
        <ext uri="{3e2802c4-a4d2-4d8b-9148-e3be6c30e623}">
          <xlrd:rvb i="5647"/>
        </ext>
      </extLst>
    </bk>
    <bk>
      <extLst>
        <ext uri="{3e2802c4-a4d2-4d8b-9148-e3be6c30e623}">
          <xlrd:rvb i="5648"/>
        </ext>
      </extLst>
    </bk>
    <bk>
      <extLst>
        <ext uri="{3e2802c4-a4d2-4d8b-9148-e3be6c30e623}">
          <xlrd:rvb i="5649"/>
        </ext>
      </extLst>
    </bk>
    <bk>
      <extLst>
        <ext uri="{3e2802c4-a4d2-4d8b-9148-e3be6c30e623}">
          <xlrd:rvb i="5650"/>
        </ext>
      </extLst>
    </bk>
    <bk>
      <extLst>
        <ext uri="{3e2802c4-a4d2-4d8b-9148-e3be6c30e623}">
          <xlrd:rvb i="5651"/>
        </ext>
      </extLst>
    </bk>
    <bk>
      <extLst>
        <ext uri="{3e2802c4-a4d2-4d8b-9148-e3be6c30e623}">
          <xlrd:rvb i="5652"/>
        </ext>
      </extLst>
    </bk>
    <bk>
      <extLst>
        <ext uri="{3e2802c4-a4d2-4d8b-9148-e3be6c30e623}">
          <xlrd:rvb i="5653"/>
        </ext>
      </extLst>
    </bk>
    <bk>
      <extLst>
        <ext uri="{3e2802c4-a4d2-4d8b-9148-e3be6c30e623}">
          <xlrd:rvb i="5654"/>
        </ext>
      </extLst>
    </bk>
    <bk>
      <extLst>
        <ext uri="{3e2802c4-a4d2-4d8b-9148-e3be6c30e623}">
          <xlrd:rvb i="5655"/>
        </ext>
      </extLst>
    </bk>
    <bk>
      <extLst>
        <ext uri="{3e2802c4-a4d2-4d8b-9148-e3be6c30e623}">
          <xlrd:rvb i="5656"/>
        </ext>
      </extLst>
    </bk>
    <bk>
      <extLst>
        <ext uri="{3e2802c4-a4d2-4d8b-9148-e3be6c30e623}">
          <xlrd:rvb i="5657"/>
        </ext>
      </extLst>
    </bk>
    <bk>
      <extLst>
        <ext uri="{3e2802c4-a4d2-4d8b-9148-e3be6c30e623}">
          <xlrd:rvb i="5658"/>
        </ext>
      </extLst>
    </bk>
    <bk>
      <extLst>
        <ext uri="{3e2802c4-a4d2-4d8b-9148-e3be6c30e623}">
          <xlrd:rvb i="5659"/>
        </ext>
      </extLst>
    </bk>
    <bk>
      <extLst>
        <ext uri="{3e2802c4-a4d2-4d8b-9148-e3be6c30e623}">
          <xlrd:rvb i="5660"/>
        </ext>
      </extLst>
    </bk>
    <bk>
      <extLst>
        <ext uri="{3e2802c4-a4d2-4d8b-9148-e3be6c30e623}">
          <xlrd:rvb i="5661"/>
        </ext>
      </extLst>
    </bk>
    <bk>
      <extLst>
        <ext uri="{3e2802c4-a4d2-4d8b-9148-e3be6c30e623}">
          <xlrd:rvb i="5662"/>
        </ext>
      </extLst>
    </bk>
    <bk>
      <extLst>
        <ext uri="{3e2802c4-a4d2-4d8b-9148-e3be6c30e623}">
          <xlrd:rvb i="5663"/>
        </ext>
      </extLst>
    </bk>
    <bk>
      <extLst>
        <ext uri="{3e2802c4-a4d2-4d8b-9148-e3be6c30e623}">
          <xlrd:rvb i="5664"/>
        </ext>
      </extLst>
    </bk>
    <bk>
      <extLst>
        <ext uri="{3e2802c4-a4d2-4d8b-9148-e3be6c30e623}">
          <xlrd:rvb i="5665"/>
        </ext>
      </extLst>
    </bk>
    <bk>
      <extLst>
        <ext uri="{3e2802c4-a4d2-4d8b-9148-e3be6c30e623}">
          <xlrd:rvb i="5666"/>
        </ext>
      </extLst>
    </bk>
    <bk>
      <extLst>
        <ext uri="{3e2802c4-a4d2-4d8b-9148-e3be6c30e623}">
          <xlrd:rvb i="5667"/>
        </ext>
      </extLst>
    </bk>
    <bk>
      <extLst>
        <ext uri="{3e2802c4-a4d2-4d8b-9148-e3be6c30e623}">
          <xlrd:rvb i="5668"/>
        </ext>
      </extLst>
    </bk>
    <bk>
      <extLst>
        <ext uri="{3e2802c4-a4d2-4d8b-9148-e3be6c30e623}">
          <xlrd:rvb i="5669"/>
        </ext>
      </extLst>
    </bk>
    <bk>
      <extLst>
        <ext uri="{3e2802c4-a4d2-4d8b-9148-e3be6c30e623}">
          <xlrd:rvb i="5670"/>
        </ext>
      </extLst>
    </bk>
    <bk>
      <extLst>
        <ext uri="{3e2802c4-a4d2-4d8b-9148-e3be6c30e623}">
          <xlrd:rvb i="5671"/>
        </ext>
      </extLst>
    </bk>
    <bk>
      <extLst>
        <ext uri="{3e2802c4-a4d2-4d8b-9148-e3be6c30e623}">
          <xlrd:rvb i="5672"/>
        </ext>
      </extLst>
    </bk>
    <bk>
      <extLst>
        <ext uri="{3e2802c4-a4d2-4d8b-9148-e3be6c30e623}">
          <xlrd:rvb i="5673"/>
        </ext>
      </extLst>
    </bk>
    <bk>
      <extLst>
        <ext uri="{3e2802c4-a4d2-4d8b-9148-e3be6c30e623}">
          <xlrd:rvb i="5674"/>
        </ext>
      </extLst>
    </bk>
    <bk>
      <extLst>
        <ext uri="{3e2802c4-a4d2-4d8b-9148-e3be6c30e623}">
          <xlrd:rvb i="5675"/>
        </ext>
      </extLst>
    </bk>
    <bk>
      <extLst>
        <ext uri="{3e2802c4-a4d2-4d8b-9148-e3be6c30e623}">
          <xlrd:rvb i="5676"/>
        </ext>
      </extLst>
    </bk>
    <bk>
      <extLst>
        <ext uri="{3e2802c4-a4d2-4d8b-9148-e3be6c30e623}">
          <xlrd:rvb i="5677"/>
        </ext>
      </extLst>
    </bk>
    <bk>
      <extLst>
        <ext uri="{3e2802c4-a4d2-4d8b-9148-e3be6c30e623}">
          <xlrd:rvb i="5678"/>
        </ext>
      </extLst>
    </bk>
    <bk>
      <extLst>
        <ext uri="{3e2802c4-a4d2-4d8b-9148-e3be6c30e623}">
          <xlrd:rvb i="5679"/>
        </ext>
      </extLst>
    </bk>
    <bk>
      <extLst>
        <ext uri="{3e2802c4-a4d2-4d8b-9148-e3be6c30e623}">
          <xlrd:rvb i="5680"/>
        </ext>
      </extLst>
    </bk>
    <bk>
      <extLst>
        <ext uri="{3e2802c4-a4d2-4d8b-9148-e3be6c30e623}">
          <xlrd:rvb i="5681"/>
        </ext>
      </extLst>
    </bk>
    <bk>
      <extLst>
        <ext uri="{3e2802c4-a4d2-4d8b-9148-e3be6c30e623}">
          <xlrd:rvb i="5682"/>
        </ext>
      </extLst>
    </bk>
    <bk>
      <extLst>
        <ext uri="{3e2802c4-a4d2-4d8b-9148-e3be6c30e623}">
          <xlrd:rvb i="5683"/>
        </ext>
      </extLst>
    </bk>
    <bk>
      <extLst>
        <ext uri="{3e2802c4-a4d2-4d8b-9148-e3be6c30e623}">
          <xlrd:rvb i="5684"/>
        </ext>
      </extLst>
    </bk>
    <bk>
      <extLst>
        <ext uri="{3e2802c4-a4d2-4d8b-9148-e3be6c30e623}">
          <xlrd:rvb i="5685"/>
        </ext>
      </extLst>
    </bk>
    <bk>
      <extLst>
        <ext uri="{3e2802c4-a4d2-4d8b-9148-e3be6c30e623}">
          <xlrd:rvb i="5686"/>
        </ext>
      </extLst>
    </bk>
    <bk>
      <extLst>
        <ext uri="{3e2802c4-a4d2-4d8b-9148-e3be6c30e623}">
          <xlrd:rvb i="5687"/>
        </ext>
      </extLst>
    </bk>
    <bk>
      <extLst>
        <ext uri="{3e2802c4-a4d2-4d8b-9148-e3be6c30e623}">
          <xlrd:rvb i="5688"/>
        </ext>
      </extLst>
    </bk>
    <bk>
      <extLst>
        <ext uri="{3e2802c4-a4d2-4d8b-9148-e3be6c30e623}">
          <xlrd:rvb i="5689"/>
        </ext>
      </extLst>
    </bk>
    <bk>
      <extLst>
        <ext uri="{3e2802c4-a4d2-4d8b-9148-e3be6c30e623}">
          <xlrd:rvb i="5690"/>
        </ext>
      </extLst>
    </bk>
    <bk>
      <extLst>
        <ext uri="{3e2802c4-a4d2-4d8b-9148-e3be6c30e623}">
          <xlrd:rvb i="5691"/>
        </ext>
      </extLst>
    </bk>
    <bk>
      <extLst>
        <ext uri="{3e2802c4-a4d2-4d8b-9148-e3be6c30e623}">
          <xlrd:rvb i="5692"/>
        </ext>
      </extLst>
    </bk>
    <bk>
      <extLst>
        <ext uri="{3e2802c4-a4d2-4d8b-9148-e3be6c30e623}">
          <xlrd:rvb i="5693"/>
        </ext>
      </extLst>
    </bk>
    <bk>
      <extLst>
        <ext uri="{3e2802c4-a4d2-4d8b-9148-e3be6c30e623}">
          <xlrd:rvb i="5694"/>
        </ext>
      </extLst>
    </bk>
    <bk>
      <extLst>
        <ext uri="{3e2802c4-a4d2-4d8b-9148-e3be6c30e623}">
          <xlrd:rvb i="5695"/>
        </ext>
      </extLst>
    </bk>
    <bk>
      <extLst>
        <ext uri="{3e2802c4-a4d2-4d8b-9148-e3be6c30e623}">
          <xlrd:rvb i="5696"/>
        </ext>
      </extLst>
    </bk>
    <bk>
      <extLst>
        <ext uri="{3e2802c4-a4d2-4d8b-9148-e3be6c30e623}">
          <xlrd:rvb i="5697"/>
        </ext>
      </extLst>
    </bk>
    <bk>
      <extLst>
        <ext uri="{3e2802c4-a4d2-4d8b-9148-e3be6c30e623}">
          <xlrd:rvb i="5698"/>
        </ext>
      </extLst>
    </bk>
    <bk>
      <extLst>
        <ext uri="{3e2802c4-a4d2-4d8b-9148-e3be6c30e623}">
          <xlrd:rvb i="5699"/>
        </ext>
      </extLst>
    </bk>
    <bk>
      <extLst>
        <ext uri="{3e2802c4-a4d2-4d8b-9148-e3be6c30e623}">
          <xlrd:rvb i="5700"/>
        </ext>
      </extLst>
    </bk>
    <bk>
      <extLst>
        <ext uri="{3e2802c4-a4d2-4d8b-9148-e3be6c30e623}">
          <xlrd:rvb i="5701"/>
        </ext>
      </extLst>
    </bk>
    <bk>
      <extLst>
        <ext uri="{3e2802c4-a4d2-4d8b-9148-e3be6c30e623}">
          <xlrd:rvb i="5702"/>
        </ext>
      </extLst>
    </bk>
    <bk>
      <extLst>
        <ext uri="{3e2802c4-a4d2-4d8b-9148-e3be6c30e623}">
          <xlrd:rvb i="5703"/>
        </ext>
      </extLst>
    </bk>
    <bk>
      <extLst>
        <ext uri="{3e2802c4-a4d2-4d8b-9148-e3be6c30e623}">
          <xlrd:rvb i="5704"/>
        </ext>
      </extLst>
    </bk>
    <bk>
      <extLst>
        <ext uri="{3e2802c4-a4d2-4d8b-9148-e3be6c30e623}">
          <xlrd:rvb i="5705"/>
        </ext>
      </extLst>
    </bk>
    <bk>
      <extLst>
        <ext uri="{3e2802c4-a4d2-4d8b-9148-e3be6c30e623}">
          <xlrd:rvb i="5706"/>
        </ext>
      </extLst>
    </bk>
    <bk>
      <extLst>
        <ext uri="{3e2802c4-a4d2-4d8b-9148-e3be6c30e623}">
          <xlrd:rvb i="5707"/>
        </ext>
      </extLst>
    </bk>
    <bk>
      <extLst>
        <ext uri="{3e2802c4-a4d2-4d8b-9148-e3be6c30e623}">
          <xlrd:rvb i="5708"/>
        </ext>
      </extLst>
    </bk>
    <bk>
      <extLst>
        <ext uri="{3e2802c4-a4d2-4d8b-9148-e3be6c30e623}">
          <xlrd:rvb i="5709"/>
        </ext>
      </extLst>
    </bk>
    <bk>
      <extLst>
        <ext uri="{3e2802c4-a4d2-4d8b-9148-e3be6c30e623}">
          <xlrd:rvb i="5710"/>
        </ext>
      </extLst>
    </bk>
    <bk>
      <extLst>
        <ext uri="{3e2802c4-a4d2-4d8b-9148-e3be6c30e623}">
          <xlrd:rvb i="5711"/>
        </ext>
      </extLst>
    </bk>
    <bk>
      <extLst>
        <ext uri="{3e2802c4-a4d2-4d8b-9148-e3be6c30e623}">
          <xlrd:rvb i="5712"/>
        </ext>
      </extLst>
    </bk>
    <bk>
      <extLst>
        <ext uri="{3e2802c4-a4d2-4d8b-9148-e3be6c30e623}">
          <xlrd:rvb i="5713"/>
        </ext>
      </extLst>
    </bk>
    <bk>
      <extLst>
        <ext uri="{3e2802c4-a4d2-4d8b-9148-e3be6c30e623}">
          <xlrd:rvb i="5714"/>
        </ext>
      </extLst>
    </bk>
    <bk>
      <extLst>
        <ext uri="{3e2802c4-a4d2-4d8b-9148-e3be6c30e623}">
          <xlrd:rvb i="5715"/>
        </ext>
      </extLst>
    </bk>
    <bk>
      <extLst>
        <ext uri="{3e2802c4-a4d2-4d8b-9148-e3be6c30e623}">
          <xlrd:rvb i="5716"/>
        </ext>
      </extLst>
    </bk>
    <bk>
      <extLst>
        <ext uri="{3e2802c4-a4d2-4d8b-9148-e3be6c30e623}">
          <xlrd:rvb i="5717"/>
        </ext>
      </extLst>
    </bk>
    <bk>
      <extLst>
        <ext uri="{3e2802c4-a4d2-4d8b-9148-e3be6c30e623}">
          <xlrd:rvb i="5718"/>
        </ext>
      </extLst>
    </bk>
    <bk>
      <extLst>
        <ext uri="{3e2802c4-a4d2-4d8b-9148-e3be6c30e623}">
          <xlrd:rvb i="5719"/>
        </ext>
      </extLst>
    </bk>
    <bk>
      <extLst>
        <ext uri="{3e2802c4-a4d2-4d8b-9148-e3be6c30e623}">
          <xlrd:rvb i="5720"/>
        </ext>
      </extLst>
    </bk>
    <bk>
      <extLst>
        <ext uri="{3e2802c4-a4d2-4d8b-9148-e3be6c30e623}">
          <xlrd:rvb i="5721"/>
        </ext>
      </extLst>
    </bk>
    <bk>
      <extLst>
        <ext uri="{3e2802c4-a4d2-4d8b-9148-e3be6c30e623}">
          <xlrd:rvb i="5722"/>
        </ext>
      </extLst>
    </bk>
    <bk>
      <extLst>
        <ext uri="{3e2802c4-a4d2-4d8b-9148-e3be6c30e623}">
          <xlrd:rvb i="5723"/>
        </ext>
      </extLst>
    </bk>
    <bk>
      <extLst>
        <ext uri="{3e2802c4-a4d2-4d8b-9148-e3be6c30e623}">
          <xlrd:rvb i="5724"/>
        </ext>
      </extLst>
    </bk>
    <bk>
      <extLst>
        <ext uri="{3e2802c4-a4d2-4d8b-9148-e3be6c30e623}">
          <xlrd:rvb i="5725"/>
        </ext>
      </extLst>
    </bk>
    <bk>
      <extLst>
        <ext uri="{3e2802c4-a4d2-4d8b-9148-e3be6c30e623}">
          <xlrd:rvb i="5726"/>
        </ext>
      </extLst>
    </bk>
    <bk>
      <extLst>
        <ext uri="{3e2802c4-a4d2-4d8b-9148-e3be6c30e623}">
          <xlrd:rvb i="5727"/>
        </ext>
      </extLst>
    </bk>
    <bk>
      <extLst>
        <ext uri="{3e2802c4-a4d2-4d8b-9148-e3be6c30e623}">
          <xlrd:rvb i="5728"/>
        </ext>
      </extLst>
    </bk>
    <bk>
      <extLst>
        <ext uri="{3e2802c4-a4d2-4d8b-9148-e3be6c30e623}">
          <xlrd:rvb i="5729"/>
        </ext>
      </extLst>
    </bk>
    <bk>
      <extLst>
        <ext uri="{3e2802c4-a4d2-4d8b-9148-e3be6c30e623}">
          <xlrd:rvb i="5730"/>
        </ext>
      </extLst>
    </bk>
    <bk>
      <extLst>
        <ext uri="{3e2802c4-a4d2-4d8b-9148-e3be6c30e623}">
          <xlrd:rvb i="5731"/>
        </ext>
      </extLst>
    </bk>
    <bk>
      <extLst>
        <ext uri="{3e2802c4-a4d2-4d8b-9148-e3be6c30e623}">
          <xlrd:rvb i="5732"/>
        </ext>
      </extLst>
    </bk>
    <bk>
      <extLst>
        <ext uri="{3e2802c4-a4d2-4d8b-9148-e3be6c30e623}">
          <xlrd:rvb i="5733"/>
        </ext>
      </extLst>
    </bk>
    <bk>
      <extLst>
        <ext uri="{3e2802c4-a4d2-4d8b-9148-e3be6c30e623}">
          <xlrd:rvb i="5734"/>
        </ext>
      </extLst>
    </bk>
    <bk>
      <extLst>
        <ext uri="{3e2802c4-a4d2-4d8b-9148-e3be6c30e623}">
          <xlrd:rvb i="5735"/>
        </ext>
      </extLst>
    </bk>
    <bk>
      <extLst>
        <ext uri="{3e2802c4-a4d2-4d8b-9148-e3be6c30e623}">
          <xlrd:rvb i="5736"/>
        </ext>
      </extLst>
    </bk>
    <bk>
      <extLst>
        <ext uri="{3e2802c4-a4d2-4d8b-9148-e3be6c30e623}">
          <xlrd:rvb i="5737"/>
        </ext>
      </extLst>
    </bk>
    <bk>
      <extLst>
        <ext uri="{3e2802c4-a4d2-4d8b-9148-e3be6c30e623}">
          <xlrd:rvb i="5738"/>
        </ext>
      </extLst>
    </bk>
    <bk>
      <extLst>
        <ext uri="{3e2802c4-a4d2-4d8b-9148-e3be6c30e623}">
          <xlrd:rvb i="5739"/>
        </ext>
      </extLst>
    </bk>
    <bk>
      <extLst>
        <ext uri="{3e2802c4-a4d2-4d8b-9148-e3be6c30e623}">
          <xlrd:rvb i="5740"/>
        </ext>
      </extLst>
    </bk>
    <bk>
      <extLst>
        <ext uri="{3e2802c4-a4d2-4d8b-9148-e3be6c30e623}">
          <xlrd:rvb i="5741"/>
        </ext>
      </extLst>
    </bk>
    <bk>
      <extLst>
        <ext uri="{3e2802c4-a4d2-4d8b-9148-e3be6c30e623}">
          <xlrd:rvb i="5742"/>
        </ext>
      </extLst>
    </bk>
    <bk>
      <extLst>
        <ext uri="{3e2802c4-a4d2-4d8b-9148-e3be6c30e623}">
          <xlrd:rvb i="5743"/>
        </ext>
      </extLst>
    </bk>
    <bk>
      <extLst>
        <ext uri="{3e2802c4-a4d2-4d8b-9148-e3be6c30e623}">
          <xlrd:rvb i="5744"/>
        </ext>
      </extLst>
    </bk>
    <bk>
      <extLst>
        <ext uri="{3e2802c4-a4d2-4d8b-9148-e3be6c30e623}">
          <xlrd:rvb i="5745"/>
        </ext>
      </extLst>
    </bk>
    <bk>
      <extLst>
        <ext uri="{3e2802c4-a4d2-4d8b-9148-e3be6c30e623}">
          <xlrd:rvb i="5746"/>
        </ext>
      </extLst>
    </bk>
    <bk>
      <extLst>
        <ext uri="{3e2802c4-a4d2-4d8b-9148-e3be6c30e623}">
          <xlrd:rvb i="5747"/>
        </ext>
      </extLst>
    </bk>
    <bk>
      <extLst>
        <ext uri="{3e2802c4-a4d2-4d8b-9148-e3be6c30e623}">
          <xlrd:rvb i="5748"/>
        </ext>
      </extLst>
    </bk>
    <bk>
      <extLst>
        <ext uri="{3e2802c4-a4d2-4d8b-9148-e3be6c30e623}">
          <xlrd:rvb i="5749"/>
        </ext>
      </extLst>
    </bk>
    <bk>
      <extLst>
        <ext uri="{3e2802c4-a4d2-4d8b-9148-e3be6c30e623}">
          <xlrd:rvb i="5750"/>
        </ext>
      </extLst>
    </bk>
    <bk>
      <extLst>
        <ext uri="{3e2802c4-a4d2-4d8b-9148-e3be6c30e623}">
          <xlrd:rvb i="5751"/>
        </ext>
      </extLst>
    </bk>
    <bk>
      <extLst>
        <ext uri="{3e2802c4-a4d2-4d8b-9148-e3be6c30e623}">
          <xlrd:rvb i="5752"/>
        </ext>
      </extLst>
    </bk>
    <bk>
      <extLst>
        <ext uri="{3e2802c4-a4d2-4d8b-9148-e3be6c30e623}">
          <xlrd:rvb i="5753"/>
        </ext>
      </extLst>
    </bk>
    <bk>
      <extLst>
        <ext uri="{3e2802c4-a4d2-4d8b-9148-e3be6c30e623}">
          <xlrd:rvb i="5754"/>
        </ext>
      </extLst>
    </bk>
    <bk>
      <extLst>
        <ext uri="{3e2802c4-a4d2-4d8b-9148-e3be6c30e623}">
          <xlrd:rvb i="5755"/>
        </ext>
      </extLst>
    </bk>
    <bk>
      <extLst>
        <ext uri="{3e2802c4-a4d2-4d8b-9148-e3be6c30e623}">
          <xlrd:rvb i="5756"/>
        </ext>
      </extLst>
    </bk>
    <bk>
      <extLst>
        <ext uri="{3e2802c4-a4d2-4d8b-9148-e3be6c30e623}">
          <xlrd:rvb i="5757"/>
        </ext>
      </extLst>
    </bk>
    <bk>
      <extLst>
        <ext uri="{3e2802c4-a4d2-4d8b-9148-e3be6c30e623}">
          <xlrd:rvb i="5758"/>
        </ext>
      </extLst>
    </bk>
    <bk>
      <extLst>
        <ext uri="{3e2802c4-a4d2-4d8b-9148-e3be6c30e623}">
          <xlrd:rvb i="5759"/>
        </ext>
      </extLst>
    </bk>
    <bk>
      <extLst>
        <ext uri="{3e2802c4-a4d2-4d8b-9148-e3be6c30e623}">
          <xlrd:rvb i="5760"/>
        </ext>
      </extLst>
    </bk>
    <bk>
      <extLst>
        <ext uri="{3e2802c4-a4d2-4d8b-9148-e3be6c30e623}">
          <xlrd:rvb i="5761"/>
        </ext>
      </extLst>
    </bk>
    <bk>
      <extLst>
        <ext uri="{3e2802c4-a4d2-4d8b-9148-e3be6c30e623}">
          <xlrd:rvb i="5762"/>
        </ext>
      </extLst>
    </bk>
    <bk>
      <extLst>
        <ext uri="{3e2802c4-a4d2-4d8b-9148-e3be6c30e623}">
          <xlrd:rvb i="5763"/>
        </ext>
      </extLst>
    </bk>
    <bk>
      <extLst>
        <ext uri="{3e2802c4-a4d2-4d8b-9148-e3be6c30e623}">
          <xlrd:rvb i="5764"/>
        </ext>
      </extLst>
    </bk>
    <bk>
      <extLst>
        <ext uri="{3e2802c4-a4d2-4d8b-9148-e3be6c30e623}">
          <xlrd:rvb i="5765"/>
        </ext>
      </extLst>
    </bk>
    <bk>
      <extLst>
        <ext uri="{3e2802c4-a4d2-4d8b-9148-e3be6c30e623}">
          <xlrd:rvb i="5766"/>
        </ext>
      </extLst>
    </bk>
    <bk>
      <extLst>
        <ext uri="{3e2802c4-a4d2-4d8b-9148-e3be6c30e623}">
          <xlrd:rvb i="5767"/>
        </ext>
      </extLst>
    </bk>
    <bk>
      <extLst>
        <ext uri="{3e2802c4-a4d2-4d8b-9148-e3be6c30e623}">
          <xlrd:rvb i="5768"/>
        </ext>
      </extLst>
    </bk>
    <bk>
      <extLst>
        <ext uri="{3e2802c4-a4d2-4d8b-9148-e3be6c30e623}">
          <xlrd:rvb i="5769"/>
        </ext>
      </extLst>
    </bk>
    <bk>
      <extLst>
        <ext uri="{3e2802c4-a4d2-4d8b-9148-e3be6c30e623}">
          <xlrd:rvb i="5770"/>
        </ext>
      </extLst>
    </bk>
    <bk>
      <extLst>
        <ext uri="{3e2802c4-a4d2-4d8b-9148-e3be6c30e623}">
          <xlrd:rvb i="5771"/>
        </ext>
      </extLst>
    </bk>
    <bk>
      <extLst>
        <ext uri="{3e2802c4-a4d2-4d8b-9148-e3be6c30e623}">
          <xlrd:rvb i="5772"/>
        </ext>
      </extLst>
    </bk>
    <bk>
      <extLst>
        <ext uri="{3e2802c4-a4d2-4d8b-9148-e3be6c30e623}">
          <xlrd:rvb i="5773"/>
        </ext>
      </extLst>
    </bk>
    <bk>
      <extLst>
        <ext uri="{3e2802c4-a4d2-4d8b-9148-e3be6c30e623}">
          <xlrd:rvb i="5774"/>
        </ext>
      </extLst>
    </bk>
    <bk>
      <extLst>
        <ext uri="{3e2802c4-a4d2-4d8b-9148-e3be6c30e623}">
          <xlrd:rvb i="5775"/>
        </ext>
      </extLst>
    </bk>
    <bk>
      <extLst>
        <ext uri="{3e2802c4-a4d2-4d8b-9148-e3be6c30e623}">
          <xlrd:rvb i="5776"/>
        </ext>
      </extLst>
    </bk>
    <bk>
      <extLst>
        <ext uri="{3e2802c4-a4d2-4d8b-9148-e3be6c30e623}">
          <xlrd:rvb i="5777"/>
        </ext>
      </extLst>
    </bk>
    <bk>
      <extLst>
        <ext uri="{3e2802c4-a4d2-4d8b-9148-e3be6c30e623}">
          <xlrd:rvb i="5778"/>
        </ext>
      </extLst>
    </bk>
    <bk>
      <extLst>
        <ext uri="{3e2802c4-a4d2-4d8b-9148-e3be6c30e623}">
          <xlrd:rvb i="5779"/>
        </ext>
      </extLst>
    </bk>
    <bk>
      <extLst>
        <ext uri="{3e2802c4-a4d2-4d8b-9148-e3be6c30e623}">
          <xlrd:rvb i="5780"/>
        </ext>
      </extLst>
    </bk>
    <bk>
      <extLst>
        <ext uri="{3e2802c4-a4d2-4d8b-9148-e3be6c30e623}">
          <xlrd:rvb i="5781"/>
        </ext>
      </extLst>
    </bk>
    <bk>
      <extLst>
        <ext uri="{3e2802c4-a4d2-4d8b-9148-e3be6c30e623}">
          <xlrd:rvb i="5782"/>
        </ext>
      </extLst>
    </bk>
    <bk>
      <extLst>
        <ext uri="{3e2802c4-a4d2-4d8b-9148-e3be6c30e623}">
          <xlrd:rvb i="5783"/>
        </ext>
      </extLst>
    </bk>
    <bk>
      <extLst>
        <ext uri="{3e2802c4-a4d2-4d8b-9148-e3be6c30e623}">
          <xlrd:rvb i="5784"/>
        </ext>
      </extLst>
    </bk>
    <bk>
      <extLst>
        <ext uri="{3e2802c4-a4d2-4d8b-9148-e3be6c30e623}">
          <xlrd:rvb i="5785"/>
        </ext>
      </extLst>
    </bk>
    <bk>
      <extLst>
        <ext uri="{3e2802c4-a4d2-4d8b-9148-e3be6c30e623}">
          <xlrd:rvb i="5786"/>
        </ext>
      </extLst>
    </bk>
    <bk>
      <extLst>
        <ext uri="{3e2802c4-a4d2-4d8b-9148-e3be6c30e623}">
          <xlrd:rvb i="5787"/>
        </ext>
      </extLst>
    </bk>
    <bk>
      <extLst>
        <ext uri="{3e2802c4-a4d2-4d8b-9148-e3be6c30e623}">
          <xlrd:rvb i="5788"/>
        </ext>
      </extLst>
    </bk>
    <bk>
      <extLst>
        <ext uri="{3e2802c4-a4d2-4d8b-9148-e3be6c30e623}">
          <xlrd:rvb i="5789"/>
        </ext>
      </extLst>
    </bk>
    <bk>
      <extLst>
        <ext uri="{3e2802c4-a4d2-4d8b-9148-e3be6c30e623}">
          <xlrd:rvb i="5790"/>
        </ext>
      </extLst>
    </bk>
    <bk>
      <extLst>
        <ext uri="{3e2802c4-a4d2-4d8b-9148-e3be6c30e623}">
          <xlrd:rvb i="5791"/>
        </ext>
      </extLst>
    </bk>
    <bk>
      <extLst>
        <ext uri="{3e2802c4-a4d2-4d8b-9148-e3be6c30e623}">
          <xlrd:rvb i="5792"/>
        </ext>
      </extLst>
    </bk>
    <bk>
      <extLst>
        <ext uri="{3e2802c4-a4d2-4d8b-9148-e3be6c30e623}">
          <xlrd:rvb i="5793"/>
        </ext>
      </extLst>
    </bk>
    <bk>
      <extLst>
        <ext uri="{3e2802c4-a4d2-4d8b-9148-e3be6c30e623}">
          <xlrd:rvb i="5794"/>
        </ext>
      </extLst>
    </bk>
    <bk>
      <extLst>
        <ext uri="{3e2802c4-a4d2-4d8b-9148-e3be6c30e623}">
          <xlrd:rvb i="5795"/>
        </ext>
      </extLst>
    </bk>
    <bk>
      <extLst>
        <ext uri="{3e2802c4-a4d2-4d8b-9148-e3be6c30e623}">
          <xlrd:rvb i="5796"/>
        </ext>
      </extLst>
    </bk>
    <bk>
      <extLst>
        <ext uri="{3e2802c4-a4d2-4d8b-9148-e3be6c30e623}">
          <xlrd:rvb i="5797"/>
        </ext>
      </extLst>
    </bk>
    <bk>
      <extLst>
        <ext uri="{3e2802c4-a4d2-4d8b-9148-e3be6c30e623}">
          <xlrd:rvb i="5798"/>
        </ext>
      </extLst>
    </bk>
    <bk>
      <extLst>
        <ext uri="{3e2802c4-a4d2-4d8b-9148-e3be6c30e623}">
          <xlrd:rvb i="5799"/>
        </ext>
      </extLst>
    </bk>
    <bk>
      <extLst>
        <ext uri="{3e2802c4-a4d2-4d8b-9148-e3be6c30e623}">
          <xlrd:rvb i="5800"/>
        </ext>
      </extLst>
    </bk>
    <bk>
      <extLst>
        <ext uri="{3e2802c4-a4d2-4d8b-9148-e3be6c30e623}">
          <xlrd:rvb i="5801"/>
        </ext>
      </extLst>
    </bk>
    <bk>
      <extLst>
        <ext uri="{3e2802c4-a4d2-4d8b-9148-e3be6c30e623}">
          <xlrd:rvb i="5802"/>
        </ext>
      </extLst>
    </bk>
    <bk>
      <extLst>
        <ext uri="{3e2802c4-a4d2-4d8b-9148-e3be6c30e623}">
          <xlrd:rvb i="5803"/>
        </ext>
      </extLst>
    </bk>
    <bk>
      <extLst>
        <ext uri="{3e2802c4-a4d2-4d8b-9148-e3be6c30e623}">
          <xlrd:rvb i="5804"/>
        </ext>
      </extLst>
    </bk>
    <bk>
      <extLst>
        <ext uri="{3e2802c4-a4d2-4d8b-9148-e3be6c30e623}">
          <xlrd:rvb i="5805"/>
        </ext>
      </extLst>
    </bk>
    <bk>
      <extLst>
        <ext uri="{3e2802c4-a4d2-4d8b-9148-e3be6c30e623}">
          <xlrd:rvb i="5806"/>
        </ext>
      </extLst>
    </bk>
    <bk>
      <extLst>
        <ext uri="{3e2802c4-a4d2-4d8b-9148-e3be6c30e623}">
          <xlrd:rvb i="5807"/>
        </ext>
      </extLst>
    </bk>
    <bk>
      <extLst>
        <ext uri="{3e2802c4-a4d2-4d8b-9148-e3be6c30e623}">
          <xlrd:rvb i="5808"/>
        </ext>
      </extLst>
    </bk>
    <bk>
      <extLst>
        <ext uri="{3e2802c4-a4d2-4d8b-9148-e3be6c30e623}">
          <xlrd:rvb i="5809"/>
        </ext>
      </extLst>
    </bk>
    <bk>
      <extLst>
        <ext uri="{3e2802c4-a4d2-4d8b-9148-e3be6c30e623}">
          <xlrd:rvb i="5810"/>
        </ext>
      </extLst>
    </bk>
    <bk>
      <extLst>
        <ext uri="{3e2802c4-a4d2-4d8b-9148-e3be6c30e623}">
          <xlrd:rvb i="5811"/>
        </ext>
      </extLst>
    </bk>
    <bk>
      <extLst>
        <ext uri="{3e2802c4-a4d2-4d8b-9148-e3be6c30e623}">
          <xlrd:rvb i="5812"/>
        </ext>
      </extLst>
    </bk>
    <bk>
      <extLst>
        <ext uri="{3e2802c4-a4d2-4d8b-9148-e3be6c30e623}">
          <xlrd:rvb i="5813"/>
        </ext>
      </extLst>
    </bk>
    <bk>
      <extLst>
        <ext uri="{3e2802c4-a4d2-4d8b-9148-e3be6c30e623}">
          <xlrd:rvb i="5814"/>
        </ext>
      </extLst>
    </bk>
    <bk>
      <extLst>
        <ext uri="{3e2802c4-a4d2-4d8b-9148-e3be6c30e623}">
          <xlrd:rvb i="5815"/>
        </ext>
      </extLst>
    </bk>
    <bk>
      <extLst>
        <ext uri="{3e2802c4-a4d2-4d8b-9148-e3be6c30e623}">
          <xlrd:rvb i="5816"/>
        </ext>
      </extLst>
    </bk>
    <bk>
      <extLst>
        <ext uri="{3e2802c4-a4d2-4d8b-9148-e3be6c30e623}">
          <xlrd:rvb i="5817"/>
        </ext>
      </extLst>
    </bk>
    <bk>
      <extLst>
        <ext uri="{3e2802c4-a4d2-4d8b-9148-e3be6c30e623}">
          <xlrd:rvb i="5818"/>
        </ext>
      </extLst>
    </bk>
    <bk>
      <extLst>
        <ext uri="{3e2802c4-a4d2-4d8b-9148-e3be6c30e623}">
          <xlrd:rvb i="5819"/>
        </ext>
      </extLst>
    </bk>
    <bk>
      <extLst>
        <ext uri="{3e2802c4-a4d2-4d8b-9148-e3be6c30e623}">
          <xlrd:rvb i="5820"/>
        </ext>
      </extLst>
    </bk>
    <bk>
      <extLst>
        <ext uri="{3e2802c4-a4d2-4d8b-9148-e3be6c30e623}">
          <xlrd:rvb i="5821"/>
        </ext>
      </extLst>
    </bk>
    <bk>
      <extLst>
        <ext uri="{3e2802c4-a4d2-4d8b-9148-e3be6c30e623}">
          <xlrd:rvb i="5822"/>
        </ext>
      </extLst>
    </bk>
    <bk>
      <extLst>
        <ext uri="{3e2802c4-a4d2-4d8b-9148-e3be6c30e623}">
          <xlrd:rvb i="5823"/>
        </ext>
      </extLst>
    </bk>
    <bk>
      <extLst>
        <ext uri="{3e2802c4-a4d2-4d8b-9148-e3be6c30e623}">
          <xlrd:rvb i="5824"/>
        </ext>
      </extLst>
    </bk>
    <bk>
      <extLst>
        <ext uri="{3e2802c4-a4d2-4d8b-9148-e3be6c30e623}">
          <xlrd:rvb i="5825"/>
        </ext>
      </extLst>
    </bk>
    <bk>
      <extLst>
        <ext uri="{3e2802c4-a4d2-4d8b-9148-e3be6c30e623}">
          <xlrd:rvb i="5826"/>
        </ext>
      </extLst>
    </bk>
    <bk>
      <extLst>
        <ext uri="{3e2802c4-a4d2-4d8b-9148-e3be6c30e623}">
          <xlrd:rvb i="5827"/>
        </ext>
      </extLst>
    </bk>
    <bk>
      <extLst>
        <ext uri="{3e2802c4-a4d2-4d8b-9148-e3be6c30e623}">
          <xlrd:rvb i="5828"/>
        </ext>
      </extLst>
    </bk>
    <bk>
      <extLst>
        <ext uri="{3e2802c4-a4d2-4d8b-9148-e3be6c30e623}">
          <xlrd:rvb i="5829"/>
        </ext>
      </extLst>
    </bk>
    <bk>
      <extLst>
        <ext uri="{3e2802c4-a4d2-4d8b-9148-e3be6c30e623}">
          <xlrd:rvb i="5830"/>
        </ext>
      </extLst>
    </bk>
    <bk>
      <extLst>
        <ext uri="{3e2802c4-a4d2-4d8b-9148-e3be6c30e623}">
          <xlrd:rvb i="5831"/>
        </ext>
      </extLst>
    </bk>
    <bk>
      <extLst>
        <ext uri="{3e2802c4-a4d2-4d8b-9148-e3be6c30e623}">
          <xlrd:rvb i="5832"/>
        </ext>
      </extLst>
    </bk>
    <bk>
      <extLst>
        <ext uri="{3e2802c4-a4d2-4d8b-9148-e3be6c30e623}">
          <xlrd:rvb i="5833"/>
        </ext>
      </extLst>
    </bk>
    <bk>
      <extLst>
        <ext uri="{3e2802c4-a4d2-4d8b-9148-e3be6c30e623}">
          <xlrd:rvb i="5834"/>
        </ext>
      </extLst>
    </bk>
    <bk>
      <extLst>
        <ext uri="{3e2802c4-a4d2-4d8b-9148-e3be6c30e623}">
          <xlrd:rvb i="5835"/>
        </ext>
      </extLst>
    </bk>
    <bk>
      <extLst>
        <ext uri="{3e2802c4-a4d2-4d8b-9148-e3be6c30e623}">
          <xlrd:rvb i="5836"/>
        </ext>
      </extLst>
    </bk>
    <bk>
      <extLst>
        <ext uri="{3e2802c4-a4d2-4d8b-9148-e3be6c30e623}">
          <xlrd:rvb i="5837"/>
        </ext>
      </extLst>
    </bk>
    <bk>
      <extLst>
        <ext uri="{3e2802c4-a4d2-4d8b-9148-e3be6c30e623}">
          <xlrd:rvb i="5838"/>
        </ext>
      </extLst>
    </bk>
    <bk>
      <extLst>
        <ext uri="{3e2802c4-a4d2-4d8b-9148-e3be6c30e623}">
          <xlrd:rvb i="5839"/>
        </ext>
      </extLst>
    </bk>
    <bk>
      <extLst>
        <ext uri="{3e2802c4-a4d2-4d8b-9148-e3be6c30e623}">
          <xlrd:rvb i="5840"/>
        </ext>
      </extLst>
    </bk>
    <bk>
      <extLst>
        <ext uri="{3e2802c4-a4d2-4d8b-9148-e3be6c30e623}">
          <xlrd:rvb i="5841"/>
        </ext>
      </extLst>
    </bk>
    <bk>
      <extLst>
        <ext uri="{3e2802c4-a4d2-4d8b-9148-e3be6c30e623}">
          <xlrd:rvb i="5842"/>
        </ext>
      </extLst>
    </bk>
    <bk>
      <extLst>
        <ext uri="{3e2802c4-a4d2-4d8b-9148-e3be6c30e623}">
          <xlrd:rvb i="5843"/>
        </ext>
      </extLst>
    </bk>
    <bk>
      <extLst>
        <ext uri="{3e2802c4-a4d2-4d8b-9148-e3be6c30e623}">
          <xlrd:rvb i="5844"/>
        </ext>
      </extLst>
    </bk>
    <bk>
      <extLst>
        <ext uri="{3e2802c4-a4d2-4d8b-9148-e3be6c30e623}">
          <xlrd:rvb i="5845"/>
        </ext>
      </extLst>
    </bk>
    <bk>
      <extLst>
        <ext uri="{3e2802c4-a4d2-4d8b-9148-e3be6c30e623}">
          <xlrd:rvb i="5846"/>
        </ext>
      </extLst>
    </bk>
    <bk>
      <extLst>
        <ext uri="{3e2802c4-a4d2-4d8b-9148-e3be6c30e623}">
          <xlrd:rvb i="5847"/>
        </ext>
      </extLst>
    </bk>
    <bk>
      <extLst>
        <ext uri="{3e2802c4-a4d2-4d8b-9148-e3be6c30e623}">
          <xlrd:rvb i="5848"/>
        </ext>
      </extLst>
    </bk>
    <bk>
      <extLst>
        <ext uri="{3e2802c4-a4d2-4d8b-9148-e3be6c30e623}">
          <xlrd:rvb i="5849"/>
        </ext>
      </extLst>
    </bk>
    <bk>
      <extLst>
        <ext uri="{3e2802c4-a4d2-4d8b-9148-e3be6c30e623}">
          <xlrd:rvb i="5850"/>
        </ext>
      </extLst>
    </bk>
    <bk>
      <extLst>
        <ext uri="{3e2802c4-a4d2-4d8b-9148-e3be6c30e623}">
          <xlrd:rvb i="5851"/>
        </ext>
      </extLst>
    </bk>
    <bk>
      <extLst>
        <ext uri="{3e2802c4-a4d2-4d8b-9148-e3be6c30e623}">
          <xlrd:rvb i="5852"/>
        </ext>
      </extLst>
    </bk>
    <bk>
      <extLst>
        <ext uri="{3e2802c4-a4d2-4d8b-9148-e3be6c30e623}">
          <xlrd:rvb i="5853"/>
        </ext>
      </extLst>
    </bk>
    <bk>
      <extLst>
        <ext uri="{3e2802c4-a4d2-4d8b-9148-e3be6c30e623}">
          <xlrd:rvb i="5854"/>
        </ext>
      </extLst>
    </bk>
    <bk>
      <extLst>
        <ext uri="{3e2802c4-a4d2-4d8b-9148-e3be6c30e623}">
          <xlrd:rvb i="5855"/>
        </ext>
      </extLst>
    </bk>
    <bk>
      <extLst>
        <ext uri="{3e2802c4-a4d2-4d8b-9148-e3be6c30e623}">
          <xlrd:rvb i="5856"/>
        </ext>
      </extLst>
    </bk>
    <bk>
      <extLst>
        <ext uri="{3e2802c4-a4d2-4d8b-9148-e3be6c30e623}">
          <xlrd:rvb i="5857"/>
        </ext>
      </extLst>
    </bk>
    <bk>
      <extLst>
        <ext uri="{3e2802c4-a4d2-4d8b-9148-e3be6c30e623}">
          <xlrd:rvb i="5858"/>
        </ext>
      </extLst>
    </bk>
    <bk>
      <extLst>
        <ext uri="{3e2802c4-a4d2-4d8b-9148-e3be6c30e623}">
          <xlrd:rvb i="5859"/>
        </ext>
      </extLst>
    </bk>
    <bk>
      <extLst>
        <ext uri="{3e2802c4-a4d2-4d8b-9148-e3be6c30e623}">
          <xlrd:rvb i="5860"/>
        </ext>
      </extLst>
    </bk>
    <bk>
      <extLst>
        <ext uri="{3e2802c4-a4d2-4d8b-9148-e3be6c30e623}">
          <xlrd:rvb i="5861"/>
        </ext>
      </extLst>
    </bk>
    <bk>
      <extLst>
        <ext uri="{3e2802c4-a4d2-4d8b-9148-e3be6c30e623}">
          <xlrd:rvb i="5862"/>
        </ext>
      </extLst>
    </bk>
    <bk>
      <extLst>
        <ext uri="{3e2802c4-a4d2-4d8b-9148-e3be6c30e623}">
          <xlrd:rvb i="5863"/>
        </ext>
      </extLst>
    </bk>
    <bk>
      <extLst>
        <ext uri="{3e2802c4-a4d2-4d8b-9148-e3be6c30e623}">
          <xlrd:rvb i="5864"/>
        </ext>
      </extLst>
    </bk>
    <bk>
      <extLst>
        <ext uri="{3e2802c4-a4d2-4d8b-9148-e3be6c30e623}">
          <xlrd:rvb i="5865"/>
        </ext>
      </extLst>
    </bk>
    <bk>
      <extLst>
        <ext uri="{3e2802c4-a4d2-4d8b-9148-e3be6c30e623}">
          <xlrd:rvb i="5866"/>
        </ext>
      </extLst>
    </bk>
    <bk>
      <extLst>
        <ext uri="{3e2802c4-a4d2-4d8b-9148-e3be6c30e623}">
          <xlrd:rvb i="5867"/>
        </ext>
      </extLst>
    </bk>
    <bk>
      <extLst>
        <ext uri="{3e2802c4-a4d2-4d8b-9148-e3be6c30e623}">
          <xlrd:rvb i="5868"/>
        </ext>
      </extLst>
    </bk>
    <bk>
      <extLst>
        <ext uri="{3e2802c4-a4d2-4d8b-9148-e3be6c30e623}">
          <xlrd:rvb i="5869"/>
        </ext>
      </extLst>
    </bk>
    <bk>
      <extLst>
        <ext uri="{3e2802c4-a4d2-4d8b-9148-e3be6c30e623}">
          <xlrd:rvb i="5870"/>
        </ext>
      </extLst>
    </bk>
    <bk>
      <extLst>
        <ext uri="{3e2802c4-a4d2-4d8b-9148-e3be6c30e623}">
          <xlrd:rvb i="5871"/>
        </ext>
      </extLst>
    </bk>
    <bk>
      <extLst>
        <ext uri="{3e2802c4-a4d2-4d8b-9148-e3be6c30e623}">
          <xlrd:rvb i="5872"/>
        </ext>
      </extLst>
    </bk>
    <bk>
      <extLst>
        <ext uri="{3e2802c4-a4d2-4d8b-9148-e3be6c30e623}">
          <xlrd:rvb i="5873"/>
        </ext>
      </extLst>
    </bk>
    <bk>
      <extLst>
        <ext uri="{3e2802c4-a4d2-4d8b-9148-e3be6c30e623}">
          <xlrd:rvb i="5874"/>
        </ext>
      </extLst>
    </bk>
    <bk>
      <extLst>
        <ext uri="{3e2802c4-a4d2-4d8b-9148-e3be6c30e623}">
          <xlrd:rvb i="5875"/>
        </ext>
      </extLst>
    </bk>
    <bk>
      <extLst>
        <ext uri="{3e2802c4-a4d2-4d8b-9148-e3be6c30e623}">
          <xlrd:rvb i="5876"/>
        </ext>
      </extLst>
    </bk>
    <bk>
      <extLst>
        <ext uri="{3e2802c4-a4d2-4d8b-9148-e3be6c30e623}">
          <xlrd:rvb i="5877"/>
        </ext>
      </extLst>
    </bk>
    <bk>
      <extLst>
        <ext uri="{3e2802c4-a4d2-4d8b-9148-e3be6c30e623}">
          <xlrd:rvb i="5878"/>
        </ext>
      </extLst>
    </bk>
    <bk>
      <extLst>
        <ext uri="{3e2802c4-a4d2-4d8b-9148-e3be6c30e623}">
          <xlrd:rvb i="5879"/>
        </ext>
      </extLst>
    </bk>
    <bk>
      <extLst>
        <ext uri="{3e2802c4-a4d2-4d8b-9148-e3be6c30e623}">
          <xlrd:rvb i="5880"/>
        </ext>
      </extLst>
    </bk>
    <bk>
      <extLst>
        <ext uri="{3e2802c4-a4d2-4d8b-9148-e3be6c30e623}">
          <xlrd:rvb i="5881"/>
        </ext>
      </extLst>
    </bk>
    <bk>
      <extLst>
        <ext uri="{3e2802c4-a4d2-4d8b-9148-e3be6c30e623}">
          <xlrd:rvb i="5882"/>
        </ext>
      </extLst>
    </bk>
    <bk>
      <extLst>
        <ext uri="{3e2802c4-a4d2-4d8b-9148-e3be6c30e623}">
          <xlrd:rvb i="5883"/>
        </ext>
      </extLst>
    </bk>
    <bk>
      <extLst>
        <ext uri="{3e2802c4-a4d2-4d8b-9148-e3be6c30e623}">
          <xlrd:rvb i="5884"/>
        </ext>
      </extLst>
    </bk>
    <bk>
      <extLst>
        <ext uri="{3e2802c4-a4d2-4d8b-9148-e3be6c30e623}">
          <xlrd:rvb i="5885"/>
        </ext>
      </extLst>
    </bk>
    <bk>
      <extLst>
        <ext uri="{3e2802c4-a4d2-4d8b-9148-e3be6c30e623}">
          <xlrd:rvb i="5886"/>
        </ext>
      </extLst>
    </bk>
    <bk>
      <extLst>
        <ext uri="{3e2802c4-a4d2-4d8b-9148-e3be6c30e623}">
          <xlrd:rvb i="5887"/>
        </ext>
      </extLst>
    </bk>
    <bk>
      <extLst>
        <ext uri="{3e2802c4-a4d2-4d8b-9148-e3be6c30e623}">
          <xlrd:rvb i="5888"/>
        </ext>
      </extLst>
    </bk>
    <bk>
      <extLst>
        <ext uri="{3e2802c4-a4d2-4d8b-9148-e3be6c30e623}">
          <xlrd:rvb i="5889"/>
        </ext>
      </extLst>
    </bk>
    <bk>
      <extLst>
        <ext uri="{3e2802c4-a4d2-4d8b-9148-e3be6c30e623}">
          <xlrd:rvb i="5890"/>
        </ext>
      </extLst>
    </bk>
    <bk>
      <extLst>
        <ext uri="{3e2802c4-a4d2-4d8b-9148-e3be6c30e623}">
          <xlrd:rvb i="5891"/>
        </ext>
      </extLst>
    </bk>
    <bk>
      <extLst>
        <ext uri="{3e2802c4-a4d2-4d8b-9148-e3be6c30e623}">
          <xlrd:rvb i="5892"/>
        </ext>
      </extLst>
    </bk>
    <bk>
      <extLst>
        <ext uri="{3e2802c4-a4d2-4d8b-9148-e3be6c30e623}">
          <xlrd:rvb i="5893"/>
        </ext>
      </extLst>
    </bk>
    <bk>
      <extLst>
        <ext uri="{3e2802c4-a4d2-4d8b-9148-e3be6c30e623}">
          <xlrd:rvb i="5894"/>
        </ext>
      </extLst>
    </bk>
    <bk>
      <extLst>
        <ext uri="{3e2802c4-a4d2-4d8b-9148-e3be6c30e623}">
          <xlrd:rvb i="5895"/>
        </ext>
      </extLst>
    </bk>
    <bk>
      <extLst>
        <ext uri="{3e2802c4-a4d2-4d8b-9148-e3be6c30e623}">
          <xlrd:rvb i="5896"/>
        </ext>
      </extLst>
    </bk>
    <bk>
      <extLst>
        <ext uri="{3e2802c4-a4d2-4d8b-9148-e3be6c30e623}">
          <xlrd:rvb i="5897"/>
        </ext>
      </extLst>
    </bk>
    <bk>
      <extLst>
        <ext uri="{3e2802c4-a4d2-4d8b-9148-e3be6c30e623}">
          <xlrd:rvb i="5898"/>
        </ext>
      </extLst>
    </bk>
    <bk>
      <extLst>
        <ext uri="{3e2802c4-a4d2-4d8b-9148-e3be6c30e623}">
          <xlrd:rvb i="5899"/>
        </ext>
      </extLst>
    </bk>
    <bk>
      <extLst>
        <ext uri="{3e2802c4-a4d2-4d8b-9148-e3be6c30e623}">
          <xlrd:rvb i="5900"/>
        </ext>
      </extLst>
    </bk>
    <bk>
      <extLst>
        <ext uri="{3e2802c4-a4d2-4d8b-9148-e3be6c30e623}">
          <xlrd:rvb i="5901"/>
        </ext>
      </extLst>
    </bk>
    <bk>
      <extLst>
        <ext uri="{3e2802c4-a4d2-4d8b-9148-e3be6c30e623}">
          <xlrd:rvb i="5902"/>
        </ext>
      </extLst>
    </bk>
    <bk>
      <extLst>
        <ext uri="{3e2802c4-a4d2-4d8b-9148-e3be6c30e623}">
          <xlrd:rvb i="5903"/>
        </ext>
      </extLst>
    </bk>
    <bk>
      <extLst>
        <ext uri="{3e2802c4-a4d2-4d8b-9148-e3be6c30e623}">
          <xlrd:rvb i="5904"/>
        </ext>
      </extLst>
    </bk>
    <bk>
      <extLst>
        <ext uri="{3e2802c4-a4d2-4d8b-9148-e3be6c30e623}">
          <xlrd:rvb i="5905"/>
        </ext>
      </extLst>
    </bk>
    <bk>
      <extLst>
        <ext uri="{3e2802c4-a4d2-4d8b-9148-e3be6c30e623}">
          <xlrd:rvb i="5906"/>
        </ext>
      </extLst>
    </bk>
    <bk>
      <extLst>
        <ext uri="{3e2802c4-a4d2-4d8b-9148-e3be6c30e623}">
          <xlrd:rvb i="5907"/>
        </ext>
      </extLst>
    </bk>
    <bk>
      <extLst>
        <ext uri="{3e2802c4-a4d2-4d8b-9148-e3be6c30e623}">
          <xlrd:rvb i="5908"/>
        </ext>
      </extLst>
    </bk>
    <bk>
      <extLst>
        <ext uri="{3e2802c4-a4d2-4d8b-9148-e3be6c30e623}">
          <xlrd:rvb i="5909"/>
        </ext>
      </extLst>
    </bk>
    <bk>
      <extLst>
        <ext uri="{3e2802c4-a4d2-4d8b-9148-e3be6c30e623}">
          <xlrd:rvb i="5910"/>
        </ext>
      </extLst>
    </bk>
    <bk>
      <extLst>
        <ext uri="{3e2802c4-a4d2-4d8b-9148-e3be6c30e623}">
          <xlrd:rvb i="5911"/>
        </ext>
      </extLst>
    </bk>
    <bk>
      <extLst>
        <ext uri="{3e2802c4-a4d2-4d8b-9148-e3be6c30e623}">
          <xlrd:rvb i="5912"/>
        </ext>
      </extLst>
    </bk>
    <bk>
      <extLst>
        <ext uri="{3e2802c4-a4d2-4d8b-9148-e3be6c30e623}">
          <xlrd:rvb i="5913"/>
        </ext>
      </extLst>
    </bk>
    <bk>
      <extLst>
        <ext uri="{3e2802c4-a4d2-4d8b-9148-e3be6c30e623}">
          <xlrd:rvb i="5914"/>
        </ext>
      </extLst>
    </bk>
    <bk>
      <extLst>
        <ext uri="{3e2802c4-a4d2-4d8b-9148-e3be6c30e623}">
          <xlrd:rvb i="5915"/>
        </ext>
      </extLst>
    </bk>
    <bk>
      <extLst>
        <ext uri="{3e2802c4-a4d2-4d8b-9148-e3be6c30e623}">
          <xlrd:rvb i="5916"/>
        </ext>
      </extLst>
    </bk>
    <bk>
      <extLst>
        <ext uri="{3e2802c4-a4d2-4d8b-9148-e3be6c30e623}">
          <xlrd:rvb i="5917"/>
        </ext>
      </extLst>
    </bk>
    <bk>
      <extLst>
        <ext uri="{3e2802c4-a4d2-4d8b-9148-e3be6c30e623}">
          <xlrd:rvb i="5918"/>
        </ext>
      </extLst>
    </bk>
    <bk>
      <extLst>
        <ext uri="{3e2802c4-a4d2-4d8b-9148-e3be6c30e623}">
          <xlrd:rvb i="5919"/>
        </ext>
      </extLst>
    </bk>
    <bk>
      <extLst>
        <ext uri="{3e2802c4-a4d2-4d8b-9148-e3be6c30e623}">
          <xlrd:rvb i="5920"/>
        </ext>
      </extLst>
    </bk>
    <bk>
      <extLst>
        <ext uri="{3e2802c4-a4d2-4d8b-9148-e3be6c30e623}">
          <xlrd:rvb i="5921"/>
        </ext>
      </extLst>
    </bk>
    <bk>
      <extLst>
        <ext uri="{3e2802c4-a4d2-4d8b-9148-e3be6c30e623}">
          <xlrd:rvb i="5922"/>
        </ext>
      </extLst>
    </bk>
    <bk>
      <extLst>
        <ext uri="{3e2802c4-a4d2-4d8b-9148-e3be6c30e623}">
          <xlrd:rvb i="5923"/>
        </ext>
      </extLst>
    </bk>
    <bk>
      <extLst>
        <ext uri="{3e2802c4-a4d2-4d8b-9148-e3be6c30e623}">
          <xlrd:rvb i="5924"/>
        </ext>
      </extLst>
    </bk>
    <bk>
      <extLst>
        <ext uri="{3e2802c4-a4d2-4d8b-9148-e3be6c30e623}">
          <xlrd:rvb i="5925"/>
        </ext>
      </extLst>
    </bk>
    <bk>
      <extLst>
        <ext uri="{3e2802c4-a4d2-4d8b-9148-e3be6c30e623}">
          <xlrd:rvb i="5926"/>
        </ext>
      </extLst>
    </bk>
    <bk>
      <extLst>
        <ext uri="{3e2802c4-a4d2-4d8b-9148-e3be6c30e623}">
          <xlrd:rvb i="5927"/>
        </ext>
      </extLst>
    </bk>
    <bk>
      <extLst>
        <ext uri="{3e2802c4-a4d2-4d8b-9148-e3be6c30e623}">
          <xlrd:rvb i="5928"/>
        </ext>
      </extLst>
    </bk>
    <bk>
      <extLst>
        <ext uri="{3e2802c4-a4d2-4d8b-9148-e3be6c30e623}">
          <xlrd:rvb i="5929"/>
        </ext>
      </extLst>
    </bk>
    <bk>
      <extLst>
        <ext uri="{3e2802c4-a4d2-4d8b-9148-e3be6c30e623}">
          <xlrd:rvb i="5930"/>
        </ext>
      </extLst>
    </bk>
    <bk>
      <extLst>
        <ext uri="{3e2802c4-a4d2-4d8b-9148-e3be6c30e623}">
          <xlrd:rvb i="5931"/>
        </ext>
      </extLst>
    </bk>
    <bk>
      <extLst>
        <ext uri="{3e2802c4-a4d2-4d8b-9148-e3be6c30e623}">
          <xlrd:rvb i="5932"/>
        </ext>
      </extLst>
    </bk>
    <bk>
      <extLst>
        <ext uri="{3e2802c4-a4d2-4d8b-9148-e3be6c30e623}">
          <xlrd:rvb i="5933"/>
        </ext>
      </extLst>
    </bk>
    <bk>
      <extLst>
        <ext uri="{3e2802c4-a4d2-4d8b-9148-e3be6c30e623}">
          <xlrd:rvb i="5934"/>
        </ext>
      </extLst>
    </bk>
    <bk>
      <extLst>
        <ext uri="{3e2802c4-a4d2-4d8b-9148-e3be6c30e623}">
          <xlrd:rvb i="5935"/>
        </ext>
      </extLst>
    </bk>
    <bk>
      <extLst>
        <ext uri="{3e2802c4-a4d2-4d8b-9148-e3be6c30e623}">
          <xlrd:rvb i="5936"/>
        </ext>
      </extLst>
    </bk>
    <bk>
      <extLst>
        <ext uri="{3e2802c4-a4d2-4d8b-9148-e3be6c30e623}">
          <xlrd:rvb i="5937"/>
        </ext>
      </extLst>
    </bk>
    <bk>
      <extLst>
        <ext uri="{3e2802c4-a4d2-4d8b-9148-e3be6c30e623}">
          <xlrd:rvb i="5938"/>
        </ext>
      </extLst>
    </bk>
    <bk>
      <extLst>
        <ext uri="{3e2802c4-a4d2-4d8b-9148-e3be6c30e623}">
          <xlrd:rvb i="5939"/>
        </ext>
      </extLst>
    </bk>
    <bk>
      <extLst>
        <ext uri="{3e2802c4-a4d2-4d8b-9148-e3be6c30e623}">
          <xlrd:rvb i="5940"/>
        </ext>
      </extLst>
    </bk>
    <bk>
      <extLst>
        <ext uri="{3e2802c4-a4d2-4d8b-9148-e3be6c30e623}">
          <xlrd:rvb i="5941"/>
        </ext>
      </extLst>
    </bk>
    <bk>
      <extLst>
        <ext uri="{3e2802c4-a4d2-4d8b-9148-e3be6c30e623}">
          <xlrd:rvb i="5942"/>
        </ext>
      </extLst>
    </bk>
    <bk>
      <extLst>
        <ext uri="{3e2802c4-a4d2-4d8b-9148-e3be6c30e623}">
          <xlrd:rvb i="5943"/>
        </ext>
      </extLst>
    </bk>
    <bk>
      <extLst>
        <ext uri="{3e2802c4-a4d2-4d8b-9148-e3be6c30e623}">
          <xlrd:rvb i="5944"/>
        </ext>
      </extLst>
    </bk>
    <bk>
      <extLst>
        <ext uri="{3e2802c4-a4d2-4d8b-9148-e3be6c30e623}">
          <xlrd:rvb i="5945"/>
        </ext>
      </extLst>
    </bk>
    <bk>
      <extLst>
        <ext uri="{3e2802c4-a4d2-4d8b-9148-e3be6c30e623}">
          <xlrd:rvb i="5946"/>
        </ext>
      </extLst>
    </bk>
    <bk>
      <extLst>
        <ext uri="{3e2802c4-a4d2-4d8b-9148-e3be6c30e623}">
          <xlrd:rvb i="5947"/>
        </ext>
      </extLst>
    </bk>
    <bk>
      <extLst>
        <ext uri="{3e2802c4-a4d2-4d8b-9148-e3be6c30e623}">
          <xlrd:rvb i="5948"/>
        </ext>
      </extLst>
    </bk>
    <bk>
      <extLst>
        <ext uri="{3e2802c4-a4d2-4d8b-9148-e3be6c30e623}">
          <xlrd:rvb i="5949"/>
        </ext>
      </extLst>
    </bk>
    <bk>
      <extLst>
        <ext uri="{3e2802c4-a4d2-4d8b-9148-e3be6c30e623}">
          <xlrd:rvb i="5950"/>
        </ext>
      </extLst>
    </bk>
    <bk>
      <extLst>
        <ext uri="{3e2802c4-a4d2-4d8b-9148-e3be6c30e623}">
          <xlrd:rvb i="5951"/>
        </ext>
      </extLst>
    </bk>
    <bk>
      <extLst>
        <ext uri="{3e2802c4-a4d2-4d8b-9148-e3be6c30e623}">
          <xlrd:rvb i="5952"/>
        </ext>
      </extLst>
    </bk>
    <bk>
      <extLst>
        <ext uri="{3e2802c4-a4d2-4d8b-9148-e3be6c30e623}">
          <xlrd:rvb i="5953"/>
        </ext>
      </extLst>
    </bk>
    <bk>
      <extLst>
        <ext uri="{3e2802c4-a4d2-4d8b-9148-e3be6c30e623}">
          <xlrd:rvb i="5954"/>
        </ext>
      </extLst>
    </bk>
    <bk>
      <extLst>
        <ext uri="{3e2802c4-a4d2-4d8b-9148-e3be6c30e623}">
          <xlrd:rvb i="5955"/>
        </ext>
      </extLst>
    </bk>
    <bk>
      <extLst>
        <ext uri="{3e2802c4-a4d2-4d8b-9148-e3be6c30e623}">
          <xlrd:rvb i="5956"/>
        </ext>
      </extLst>
    </bk>
    <bk>
      <extLst>
        <ext uri="{3e2802c4-a4d2-4d8b-9148-e3be6c30e623}">
          <xlrd:rvb i="5957"/>
        </ext>
      </extLst>
    </bk>
    <bk>
      <extLst>
        <ext uri="{3e2802c4-a4d2-4d8b-9148-e3be6c30e623}">
          <xlrd:rvb i="5958"/>
        </ext>
      </extLst>
    </bk>
    <bk>
      <extLst>
        <ext uri="{3e2802c4-a4d2-4d8b-9148-e3be6c30e623}">
          <xlrd:rvb i="5959"/>
        </ext>
      </extLst>
    </bk>
    <bk>
      <extLst>
        <ext uri="{3e2802c4-a4d2-4d8b-9148-e3be6c30e623}">
          <xlrd:rvb i="5960"/>
        </ext>
      </extLst>
    </bk>
    <bk>
      <extLst>
        <ext uri="{3e2802c4-a4d2-4d8b-9148-e3be6c30e623}">
          <xlrd:rvb i="5961"/>
        </ext>
      </extLst>
    </bk>
    <bk>
      <extLst>
        <ext uri="{3e2802c4-a4d2-4d8b-9148-e3be6c30e623}">
          <xlrd:rvb i="5962"/>
        </ext>
      </extLst>
    </bk>
    <bk>
      <extLst>
        <ext uri="{3e2802c4-a4d2-4d8b-9148-e3be6c30e623}">
          <xlrd:rvb i="5963"/>
        </ext>
      </extLst>
    </bk>
    <bk>
      <extLst>
        <ext uri="{3e2802c4-a4d2-4d8b-9148-e3be6c30e623}">
          <xlrd:rvb i="5964"/>
        </ext>
      </extLst>
    </bk>
    <bk>
      <extLst>
        <ext uri="{3e2802c4-a4d2-4d8b-9148-e3be6c30e623}">
          <xlrd:rvb i="5965"/>
        </ext>
      </extLst>
    </bk>
    <bk>
      <extLst>
        <ext uri="{3e2802c4-a4d2-4d8b-9148-e3be6c30e623}">
          <xlrd:rvb i="5966"/>
        </ext>
      </extLst>
    </bk>
    <bk>
      <extLst>
        <ext uri="{3e2802c4-a4d2-4d8b-9148-e3be6c30e623}">
          <xlrd:rvb i="5967"/>
        </ext>
      </extLst>
    </bk>
    <bk>
      <extLst>
        <ext uri="{3e2802c4-a4d2-4d8b-9148-e3be6c30e623}">
          <xlrd:rvb i="5968"/>
        </ext>
      </extLst>
    </bk>
    <bk>
      <extLst>
        <ext uri="{3e2802c4-a4d2-4d8b-9148-e3be6c30e623}">
          <xlrd:rvb i="5969"/>
        </ext>
      </extLst>
    </bk>
    <bk>
      <extLst>
        <ext uri="{3e2802c4-a4d2-4d8b-9148-e3be6c30e623}">
          <xlrd:rvb i="5970"/>
        </ext>
      </extLst>
    </bk>
    <bk>
      <extLst>
        <ext uri="{3e2802c4-a4d2-4d8b-9148-e3be6c30e623}">
          <xlrd:rvb i="5971"/>
        </ext>
      </extLst>
    </bk>
    <bk>
      <extLst>
        <ext uri="{3e2802c4-a4d2-4d8b-9148-e3be6c30e623}">
          <xlrd:rvb i="5972"/>
        </ext>
      </extLst>
    </bk>
    <bk>
      <extLst>
        <ext uri="{3e2802c4-a4d2-4d8b-9148-e3be6c30e623}">
          <xlrd:rvb i="5973"/>
        </ext>
      </extLst>
    </bk>
    <bk>
      <extLst>
        <ext uri="{3e2802c4-a4d2-4d8b-9148-e3be6c30e623}">
          <xlrd:rvb i="5974"/>
        </ext>
      </extLst>
    </bk>
    <bk>
      <extLst>
        <ext uri="{3e2802c4-a4d2-4d8b-9148-e3be6c30e623}">
          <xlrd:rvb i="5975"/>
        </ext>
      </extLst>
    </bk>
    <bk>
      <extLst>
        <ext uri="{3e2802c4-a4d2-4d8b-9148-e3be6c30e623}">
          <xlrd:rvb i="5976"/>
        </ext>
      </extLst>
    </bk>
    <bk>
      <extLst>
        <ext uri="{3e2802c4-a4d2-4d8b-9148-e3be6c30e623}">
          <xlrd:rvb i="5977"/>
        </ext>
      </extLst>
    </bk>
    <bk>
      <extLst>
        <ext uri="{3e2802c4-a4d2-4d8b-9148-e3be6c30e623}">
          <xlrd:rvb i="5978"/>
        </ext>
      </extLst>
    </bk>
    <bk>
      <extLst>
        <ext uri="{3e2802c4-a4d2-4d8b-9148-e3be6c30e623}">
          <xlrd:rvb i="5979"/>
        </ext>
      </extLst>
    </bk>
    <bk>
      <extLst>
        <ext uri="{3e2802c4-a4d2-4d8b-9148-e3be6c30e623}">
          <xlrd:rvb i="5980"/>
        </ext>
      </extLst>
    </bk>
    <bk>
      <extLst>
        <ext uri="{3e2802c4-a4d2-4d8b-9148-e3be6c30e623}">
          <xlrd:rvb i="5981"/>
        </ext>
      </extLst>
    </bk>
    <bk>
      <extLst>
        <ext uri="{3e2802c4-a4d2-4d8b-9148-e3be6c30e623}">
          <xlrd:rvb i="5982"/>
        </ext>
      </extLst>
    </bk>
    <bk>
      <extLst>
        <ext uri="{3e2802c4-a4d2-4d8b-9148-e3be6c30e623}">
          <xlrd:rvb i="5983"/>
        </ext>
      </extLst>
    </bk>
    <bk>
      <extLst>
        <ext uri="{3e2802c4-a4d2-4d8b-9148-e3be6c30e623}">
          <xlrd:rvb i="5984"/>
        </ext>
      </extLst>
    </bk>
    <bk>
      <extLst>
        <ext uri="{3e2802c4-a4d2-4d8b-9148-e3be6c30e623}">
          <xlrd:rvb i="5985"/>
        </ext>
      </extLst>
    </bk>
    <bk>
      <extLst>
        <ext uri="{3e2802c4-a4d2-4d8b-9148-e3be6c30e623}">
          <xlrd:rvb i="5986"/>
        </ext>
      </extLst>
    </bk>
    <bk>
      <extLst>
        <ext uri="{3e2802c4-a4d2-4d8b-9148-e3be6c30e623}">
          <xlrd:rvb i="5987"/>
        </ext>
      </extLst>
    </bk>
    <bk>
      <extLst>
        <ext uri="{3e2802c4-a4d2-4d8b-9148-e3be6c30e623}">
          <xlrd:rvb i="5988"/>
        </ext>
      </extLst>
    </bk>
    <bk>
      <extLst>
        <ext uri="{3e2802c4-a4d2-4d8b-9148-e3be6c30e623}">
          <xlrd:rvb i="5989"/>
        </ext>
      </extLst>
    </bk>
    <bk>
      <extLst>
        <ext uri="{3e2802c4-a4d2-4d8b-9148-e3be6c30e623}">
          <xlrd:rvb i="5990"/>
        </ext>
      </extLst>
    </bk>
    <bk>
      <extLst>
        <ext uri="{3e2802c4-a4d2-4d8b-9148-e3be6c30e623}">
          <xlrd:rvb i="5991"/>
        </ext>
      </extLst>
    </bk>
    <bk>
      <extLst>
        <ext uri="{3e2802c4-a4d2-4d8b-9148-e3be6c30e623}">
          <xlrd:rvb i="5992"/>
        </ext>
      </extLst>
    </bk>
    <bk>
      <extLst>
        <ext uri="{3e2802c4-a4d2-4d8b-9148-e3be6c30e623}">
          <xlrd:rvb i="5993"/>
        </ext>
      </extLst>
    </bk>
    <bk>
      <extLst>
        <ext uri="{3e2802c4-a4d2-4d8b-9148-e3be6c30e623}">
          <xlrd:rvb i="5994"/>
        </ext>
      </extLst>
    </bk>
    <bk>
      <extLst>
        <ext uri="{3e2802c4-a4d2-4d8b-9148-e3be6c30e623}">
          <xlrd:rvb i="5995"/>
        </ext>
      </extLst>
    </bk>
    <bk>
      <extLst>
        <ext uri="{3e2802c4-a4d2-4d8b-9148-e3be6c30e623}">
          <xlrd:rvb i="5996"/>
        </ext>
      </extLst>
    </bk>
    <bk>
      <extLst>
        <ext uri="{3e2802c4-a4d2-4d8b-9148-e3be6c30e623}">
          <xlrd:rvb i="5997"/>
        </ext>
      </extLst>
    </bk>
    <bk>
      <extLst>
        <ext uri="{3e2802c4-a4d2-4d8b-9148-e3be6c30e623}">
          <xlrd:rvb i="5998"/>
        </ext>
      </extLst>
    </bk>
    <bk>
      <extLst>
        <ext uri="{3e2802c4-a4d2-4d8b-9148-e3be6c30e623}">
          <xlrd:rvb i="5999"/>
        </ext>
      </extLst>
    </bk>
    <bk>
      <extLst>
        <ext uri="{3e2802c4-a4d2-4d8b-9148-e3be6c30e623}">
          <xlrd:rvb i="6000"/>
        </ext>
      </extLst>
    </bk>
    <bk>
      <extLst>
        <ext uri="{3e2802c4-a4d2-4d8b-9148-e3be6c30e623}">
          <xlrd:rvb i="6001"/>
        </ext>
      </extLst>
    </bk>
    <bk>
      <extLst>
        <ext uri="{3e2802c4-a4d2-4d8b-9148-e3be6c30e623}">
          <xlrd:rvb i="6002"/>
        </ext>
      </extLst>
    </bk>
    <bk>
      <extLst>
        <ext uri="{3e2802c4-a4d2-4d8b-9148-e3be6c30e623}">
          <xlrd:rvb i="6003"/>
        </ext>
      </extLst>
    </bk>
    <bk>
      <extLst>
        <ext uri="{3e2802c4-a4d2-4d8b-9148-e3be6c30e623}">
          <xlrd:rvb i="6004"/>
        </ext>
      </extLst>
    </bk>
    <bk>
      <extLst>
        <ext uri="{3e2802c4-a4d2-4d8b-9148-e3be6c30e623}">
          <xlrd:rvb i="6005"/>
        </ext>
      </extLst>
    </bk>
    <bk>
      <extLst>
        <ext uri="{3e2802c4-a4d2-4d8b-9148-e3be6c30e623}">
          <xlrd:rvb i="6006"/>
        </ext>
      </extLst>
    </bk>
    <bk>
      <extLst>
        <ext uri="{3e2802c4-a4d2-4d8b-9148-e3be6c30e623}">
          <xlrd:rvb i="6007"/>
        </ext>
      </extLst>
    </bk>
    <bk>
      <extLst>
        <ext uri="{3e2802c4-a4d2-4d8b-9148-e3be6c30e623}">
          <xlrd:rvb i="6008"/>
        </ext>
      </extLst>
    </bk>
    <bk>
      <extLst>
        <ext uri="{3e2802c4-a4d2-4d8b-9148-e3be6c30e623}">
          <xlrd:rvb i="6009"/>
        </ext>
      </extLst>
    </bk>
    <bk>
      <extLst>
        <ext uri="{3e2802c4-a4d2-4d8b-9148-e3be6c30e623}">
          <xlrd:rvb i="6010"/>
        </ext>
      </extLst>
    </bk>
    <bk>
      <extLst>
        <ext uri="{3e2802c4-a4d2-4d8b-9148-e3be6c30e623}">
          <xlrd:rvb i="6011"/>
        </ext>
      </extLst>
    </bk>
    <bk>
      <extLst>
        <ext uri="{3e2802c4-a4d2-4d8b-9148-e3be6c30e623}">
          <xlrd:rvb i="6012"/>
        </ext>
      </extLst>
    </bk>
    <bk>
      <extLst>
        <ext uri="{3e2802c4-a4d2-4d8b-9148-e3be6c30e623}">
          <xlrd:rvb i="6013"/>
        </ext>
      </extLst>
    </bk>
    <bk>
      <extLst>
        <ext uri="{3e2802c4-a4d2-4d8b-9148-e3be6c30e623}">
          <xlrd:rvb i="6014"/>
        </ext>
      </extLst>
    </bk>
    <bk>
      <extLst>
        <ext uri="{3e2802c4-a4d2-4d8b-9148-e3be6c30e623}">
          <xlrd:rvb i="6015"/>
        </ext>
      </extLst>
    </bk>
    <bk>
      <extLst>
        <ext uri="{3e2802c4-a4d2-4d8b-9148-e3be6c30e623}">
          <xlrd:rvb i="6016"/>
        </ext>
      </extLst>
    </bk>
    <bk>
      <extLst>
        <ext uri="{3e2802c4-a4d2-4d8b-9148-e3be6c30e623}">
          <xlrd:rvb i="6017"/>
        </ext>
      </extLst>
    </bk>
    <bk>
      <extLst>
        <ext uri="{3e2802c4-a4d2-4d8b-9148-e3be6c30e623}">
          <xlrd:rvb i="6018"/>
        </ext>
      </extLst>
    </bk>
    <bk>
      <extLst>
        <ext uri="{3e2802c4-a4d2-4d8b-9148-e3be6c30e623}">
          <xlrd:rvb i="6019"/>
        </ext>
      </extLst>
    </bk>
    <bk>
      <extLst>
        <ext uri="{3e2802c4-a4d2-4d8b-9148-e3be6c30e623}">
          <xlrd:rvb i="6020"/>
        </ext>
      </extLst>
    </bk>
    <bk>
      <extLst>
        <ext uri="{3e2802c4-a4d2-4d8b-9148-e3be6c30e623}">
          <xlrd:rvb i="6021"/>
        </ext>
      </extLst>
    </bk>
    <bk>
      <extLst>
        <ext uri="{3e2802c4-a4d2-4d8b-9148-e3be6c30e623}">
          <xlrd:rvb i="6022"/>
        </ext>
      </extLst>
    </bk>
    <bk>
      <extLst>
        <ext uri="{3e2802c4-a4d2-4d8b-9148-e3be6c30e623}">
          <xlrd:rvb i="6023"/>
        </ext>
      </extLst>
    </bk>
    <bk>
      <extLst>
        <ext uri="{3e2802c4-a4d2-4d8b-9148-e3be6c30e623}">
          <xlrd:rvb i="6024"/>
        </ext>
      </extLst>
    </bk>
    <bk>
      <extLst>
        <ext uri="{3e2802c4-a4d2-4d8b-9148-e3be6c30e623}">
          <xlrd:rvb i="6025"/>
        </ext>
      </extLst>
    </bk>
    <bk>
      <extLst>
        <ext uri="{3e2802c4-a4d2-4d8b-9148-e3be6c30e623}">
          <xlrd:rvb i="6026"/>
        </ext>
      </extLst>
    </bk>
    <bk>
      <extLst>
        <ext uri="{3e2802c4-a4d2-4d8b-9148-e3be6c30e623}">
          <xlrd:rvb i="6027"/>
        </ext>
      </extLst>
    </bk>
    <bk>
      <extLst>
        <ext uri="{3e2802c4-a4d2-4d8b-9148-e3be6c30e623}">
          <xlrd:rvb i="6028"/>
        </ext>
      </extLst>
    </bk>
    <bk>
      <extLst>
        <ext uri="{3e2802c4-a4d2-4d8b-9148-e3be6c30e623}">
          <xlrd:rvb i="6029"/>
        </ext>
      </extLst>
    </bk>
    <bk>
      <extLst>
        <ext uri="{3e2802c4-a4d2-4d8b-9148-e3be6c30e623}">
          <xlrd:rvb i="6030"/>
        </ext>
      </extLst>
    </bk>
    <bk>
      <extLst>
        <ext uri="{3e2802c4-a4d2-4d8b-9148-e3be6c30e623}">
          <xlrd:rvb i="6031"/>
        </ext>
      </extLst>
    </bk>
    <bk>
      <extLst>
        <ext uri="{3e2802c4-a4d2-4d8b-9148-e3be6c30e623}">
          <xlrd:rvb i="6032"/>
        </ext>
      </extLst>
    </bk>
    <bk>
      <extLst>
        <ext uri="{3e2802c4-a4d2-4d8b-9148-e3be6c30e623}">
          <xlrd:rvb i="6033"/>
        </ext>
      </extLst>
    </bk>
    <bk>
      <extLst>
        <ext uri="{3e2802c4-a4d2-4d8b-9148-e3be6c30e623}">
          <xlrd:rvb i="6034"/>
        </ext>
      </extLst>
    </bk>
    <bk>
      <extLst>
        <ext uri="{3e2802c4-a4d2-4d8b-9148-e3be6c30e623}">
          <xlrd:rvb i="6035"/>
        </ext>
      </extLst>
    </bk>
    <bk>
      <extLst>
        <ext uri="{3e2802c4-a4d2-4d8b-9148-e3be6c30e623}">
          <xlrd:rvb i="6036"/>
        </ext>
      </extLst>
    </bk>
    <bk>
      <extLst>
        <ext uri="{3e2802c4-a4d2-4d8b-9148-e3be6c30e623}">
          <xlrd:rvb i="6037"/>
        </ext>
      </extLst>
    </bk>
    <bk>
      <extLst>
        <ext uri="{3e2802c4-a4d2-4d8b-9148-e3be6c30e623}">
          <xlrd:rvb i="6038"/>
        </ext>
      </extLst>
    </bk>
    <bk>
      <extLst>
        <ext uri="{3e2802c4-a4d2-4d8b-9148-e3be6c30e623}">
          <xlrd:rvb i="6039"/>
        </ext>
      </extLst>
    </bk>
    <bk>
      <extLst>
        <ext uri="{3e2802c4-a4d2-4d8b-9148-e3be6c30e623}">
          <xlrd:rvb i="6040"/>
        </ext>
      </extLst>
    </bk>
    <bk>
      <extLst>
        <ext uri="{3e2802c4-a4d2-4d8b-9148-e3be6c30e623}">
          <xlrd:rvb i="6041"/>
        </ext>
      </extLst>
    </bk>
    <bk>
      <extLst>
        <ext uri="{3e2802c4-a4d2-4d8b-9148-e3be6c30e623}">
          <xlrd:rvb i="6042"/>
        </ext>
      </extLst>
    </bk>
    <bk>
      <extLst>
        <ext uri="{3e2802c4-a4d2-4d8b-9148-e3be6c30e623}">
          <xlrd:rvb i="6043"/>
        </ext>
      </extLst>
    </bk>
    <bk>
      <extLst>
        <ext uri="{3e2802c4-a4d2-4d8b-9148-e3be6c30e623}">
          <xlrd:rvb i="6044"/>
        </ext>
      </extLst>
    </bk>
    <bk>
      <extLst>
        <ext uri="{3e2802c4-a4d2-4d8b-9148-e3be6c30e623}">
          <xlrd:rvb i="6045"/>
        </ext>
      </extLst>
    </bk>
    <bk>
      <extLst>
        <ext uri="{3e2802c4-a4d2-4d8b-9148-e3be6c30e623}">
          <xlrd:rvb i="6046"/>
        </ext>
      </extLst>
    </bk>
    <bk>
      <extLst>
        <ext uri="{3e2802c4-a4d2-4d8b-9148-e3be6c30e623}">
          <xlrd:rvb i="6047"/>
        </ext>
      </extLst>
    </bk>
    <bk>
      <extLst>
        <ext uri="{3e2802c4-a4d2-4d8b-9148-e3be6c30e623}">
          <xlrd:rvb i="6048"/>
        </ext>
      </extLst>
    </bk>
    <bk>
      <extLst>
        <ext uri="{3e2802c4-a4d2-4d8b-9148-e3be6c30e623}">
          <xlrd:rvb i="6049"/>
        </ext>
      </extLst>
    </bk>
    <bk>
      <extLst>
        <ext uri="{3e2802c4-a4d2-4d8b-9148-e3be6c30e623}">
          <xlrd:rvb i="6050"/>
        </ext>
      </extLst>
    </bk>
    <bk>
      <extLst>
        <ext uri="{3e2802c4-a4d2-4d8b-9148-e3be6c30e623}">
          <xlrd:rvb i="6051"/>
        </ext>
      </extLst>
    </bk>
    <bk>
      <extLst>
        <ext uri="{3e2802c4-a4d2-4d8b-9148-e3be6c30e623}">
          <xlrd:rvb i="6052"/>
        </ext>
      </extLst>
    </bk>
    <bk>
      <extLst>
        <ext uri="{3e2802c4-a4d2-4d8b-9148-e3be6c30e623}">
          <xlrd:rvb i="6053"/>
        </ext>
      </extLst>
    </bk>
    <bk>
      <extLst>
        <ext uri="{3e2802c4-a4d2-4d8b-9148-e3be6c30e623}">
          <xlrd:rvb i="6054"/>
        </ext>
      </extLst>
    </bk>
    <bk>
      <extLst>
        <ext uri="{3e2802c4-a4d2-4d8b-9148-e3be6c30e623}">
          <xlrd:rvb i="6055"/>
        </ext>
      </extLst>
    </bk>
    <bk>
      <extLst>
        <ext uri="{3e2802c4-a4d2-4d8b-9148-e3be6c30e623}">
          <xlrd:rvb i="6056"/>
        </ext>
      </extLst>
    </bk>
    <bk>
      <extLst>
        <ext uri="{3e2802c4-a4d2-4d8b-9148-e3be6c30e623}">
          <xlrd:rvb i="6057"/>
        </ext>
      </extLst>
    </bk>
    <bk>
      <extLst>
        <ext uri="{3e2802c4-a4d2-4d8b-9148-e3be6c30e623}">
          <xlrd:rvb i="6058"/>
        </ext>
      </extLst>
    </bk>
    <bk>
      <extLst>
        <ext uri="{3e2802c4-a4d2-4d8b-9148-e3be6c30e623}">
          <xlrd:rvb i="6059"/>
        </ext>
      </extLst>
    </bk>
    <bk>
      <extLst>
        <ext uri="{3e2802c4-a4d2-4d8b-9148-e3be6c30e623}">
          <xlrd:rvb i="6060"/>
        </ext>
      </extLst>
    </bk>
    <bk>
      <extLst>
        <ext uri="{3e2802c4-a4d2-4d8b-9148-e3be6c30e623}">
          <xlrd:rvb i="6061"/>
        </ext>
      </extLst>
    </bk>
    <bk>
      <extLst>
        <ext uri="{3e2802c4-a4d2-4d8b-9148-e3be6c30e623}">
          <xlrd:rvb i="6062"/>
        </ext>
      </extLst>
    </bk>
    <bk>
      <extLst>
        <ext uri="{3e2802c4-a4d2-4d8b-9148-e3be6c30e623}">
          <xlrd:rvb i="6063"/>
        </ext>
      </extLst>
    </bk>
    <bk>
      <extLst>
        <ext uri="{3e2802c4-a4d2-4d8b-9148-e3be6c30e623}">
          <xlrd:rvb i="6064"/>
        </ext>
      </extLst>
    </bk>
    <bk>
      <extLst>
        <ext uri="{3e2802c4-a4d2-4d8b-9148-e3be6c30e623}">
          <xlrd:rvb i="6065"/>
        </ext>
      </extLst>
    </bk>
    <bk>
      <extLst>
        <ext uri="{3e2802c4-a4d2-4d8b-9148-e3be6c30e623}">
          <xlrd:rvb i="6066"/>
        </ext>
      </extLst>
    </bk>
    <bk>
      <extLst>
        <ext uri="{3e2802c4-a4d2-4d8b-9148-e3be6c30e623}">
          <xlrd:rvb i="6067"/>
        </ext>
      </extLst>
    </bk>
    <bk>
      <extLst>
        <ext uri="{3e2802c4-a4d2-4d8b-9148-e3be6c30e623}">
          <xlrd:rvb i="6068"/>
        </ext>
      </extLst>
    </bk>
    <bk>
      <extLst>
        <ext uri="{3e2802c4-a4d2-4d8b-9148-e3be6c30e623}">
          <xlrd:rvb i="6069"/>
        </ext>
      </extLst>
    </bk>
    <bk>
      <extLst>
        <ext uri="{3e2802c4-a4d2-4d8b-9148-e3be6c30e623}">
          <xlrd:rvb i="6070"/>
        </ext>
      </extLst>
    </bk>
    <bk>
      <extLst>
        <ext uri="{3e2802c4-a4d2-4d8b-9148-e3be6c30e623}">
          <xlrd:rvb i="6071"/>
        </ext>
      </extLst>
    </bk>
    <bk>
      <extLst>
        <ext uri="{3e2802c4-a4d2-4d8b-9148-e3be6c30e623}">
          <xlrd:rvb i="6072"/>
        </ext>
      </extLst>
    </bk>
    <bk>
      <extLst>
        <ext uri="{3e2802c4-a4d2-4d8b-9148-e3be6c30e623}">
          <xlrd:rvb i="6073"/>
        </ext>
      </extLst>
    </bk>
    <bk>
      <extLst>
        <ext uri="{3e2802c4-a4d2-4d8b-9148-e3be6c30e623}">
          <xlrd:rvb i="6074"/>
        </ext>
      </extLst>
    </bk>
    <bk>
      <extLst>
        <ext uri="{3e2802c4-a4d2-4d8b-9148-e3be6c30e623}">
          <xlrd:rvb i="6075"/>
        </ext>
      </extLst>
    </bk>
    <bk>
      <extLst>
        <ext uri="{3e2802c4-a4d2-4d8b-9148-e3be6c30e623}">
          <xlrd:rvb i="6076"/>
        </ext>
      </extLst>
    </bk>
    <bk>
      <extLst>
        <ext uri="{3e2802c4-a4d2-4d8b-9148-e3be6c30e623}">
          <xlrd:rvb i="6077"/>
        </ext>
      </extLst>
    </bk>
    <bk>
      <extLst>
        <ext uri="{3e2802c4-a4d2-4d8b-9148-e3be6c30e623}">
          <xlrd:rvb i="6078"/>
        </ext>
      </extLst>
    </bk>
    <bk>
      <extLst>
        <ext uri="{3e2802c4-a4d2-4d8b-9148-e3be6c30e623}">
          <xlrd:rvb i="6079"/>
        </ext>
      </extLst>
    </bk>
    <bk>
      <extLst>
        <ext uri="{3e2802c4-a4d2-4d8b-9148-e3be6c30e623}">
          <xlrd:rvb i="6080"/>
        </ext>
      </extLst>
    </bk>
    <bk>
      <extLst>
        <ext uri="{3e2802c4-a4d2-4d8b-9148-e3be6c30e623}">
          <xlrd:rvb i="6081"/>
        </ext>
      </extLst>
    </bk>
    <bk>
      <extLst>
        <ext uri="{3e2802c4-a4d2-4d8b-9148-e3be6c30e623}">
          <xlrd:rvb i="6082"/>
        </ext>
      </extLst>
    </bk>
    <bk>
      <extLst>
        <ext uri="{3e2802c4-a4d2-4d8b-9148-e3be6c30e623}">
          <xlrd:rvb i="6083"/>
        </ext>
      </extLst>
    </bk>
    <bk>
      <extLst>
        <ext uri="{3e2802c4-a4d2-4d8b-9148-e3be6c30e623}">
          <xlrd:rvb i="6084"/>
        </ext>
      </extLst>
    </bk>
    <bk>
      <extLst>
        <ext uri="{3e2802c4-a4d2-4d8b-9148-e3be6c30e623}">
          <xlrd:rvb i="6085"/>
        </ext>
      </extLst>
    </bk>
    <bk>
      <extLst>
        <ext uri="{3e2802c4-a4d2-4d8b-9148-e3be6c30e623}">
          <xlrd:rvb i="6086"/>
        </ext>
      </extLst>
    </bk>
    <bk>
      <extLst>
        <ext uri="{3e2802c4-a4d2-4d8b-9148-e3be6c30e623}">
          <xlrd:rvb i="6087"/>
        </ext>
      </extLst>
    </bk>
    <bk>
      <extLst>
        <ext uri="{3e2802c4-a4d2-4d8b-9148-e3be6c30e623}">
          <xlrd:rvb i="6088"/>
        </ext>
      </extLst>
    </bk>
    <bk>
      <extLst>
        <ext uri="{3e2802c4-a4d2-4d8b-9148-e3be6c30e623}">
          <xlrd:rvb i="6089"/>
        </ext>
      </extLst>
    </bk>
    <bk>
      <extLst>
        <ext uri="{3e2802c4-a4d2-4d8b-9148-e3be6c30e623}">
          <xlrd:rvb i="6090"/>
        </ext>
      </extLst>
    </bk>
    <bk>
      <extLst>
        <ext uri="{3e2802c4-a4d2-4d8b-9148-e3be6c30e623}">
          <xlrd:rvb i="6091"/>
        </ext>
      </extLst>
    </bk>
    <bk>
      <extLst>
        <ext uri="{3e2802c4-a4d2-4d8b-9148-e3be6c30e623}">
          <xlrd:rvb i="6092"/>
        </ext>
      </extLst>
    </bk>
    <bk>
      <extLst>
        <ext uri="{3e2802c4-a4d2-4d8b-9148-e3be6c30e623}">
          <xlrd:rvb i="6093"/>
        </ext>
      </extLst>
    </bk>
    <bk>
      <extLst>
        <ext uri="{3e2802c4-a4d2-4d8b-9148-e3be6c30e623}">
          <xlrd:rvb i="6094"/>
        </ext>
      </extLst>
    </bk>
    <bk>
      <extLst>
        <ext uri="{3e2802c4-a4d2-4d8b-9148-e3be6c30e623}">
          <xlrd:rvb i="6095"/>
        </ext>
      </extLst>
    </bk>
    <bk>
      <extLst>
        <ext uri="{3e2802c4-a4d2-4d8b-9148-e3be6c30e623}">
          <xlrd:rvb i="6096"/>
        </ext>
      </extLst>
    </bk>
    <bk>
      <extLst>
        <ext uri="{3e2802c4-a4d2-4d8b-9148-e3be6c30e623}">
          <xlrd:rvb i="6097"/>
        </ext>
      </extLst>
    </bk>
    <bk>
      <extLst>
        <ext uri="{3e2802c4-a4d2-4d8b-9148-e3be6c30e623}">
          <xlrd:rvb i="6098"/>
        </ext>
      </extLst>
    </bk>
    <bk>
      <extLst>
        <ext uri="{3e2802c4-a4d2-4d8b-9148-e3be6c30e623}">
          <xlrd:rvb i="6099"/>
        </ext>
      </extLst>
    </bk>
    <bk>
      <extLst>
        <ext uri="{3e2802c4-a4d2-4d8b-9148-e3be6c30e623}">
          <xlrd:rvb i="6100"/>
        </ext>
      </extLst>
    </bk>
    <bk>
      <extLst>
        <ext uri="{3e2802c4-a4d2-4d8b-9148-e3be6c30e623}">
          <xlrd:rvb i="6101"/>
        </ext>
      </extLst>
    </bk>
    <bk>
      <extLst>
        <ext uri="{3e2802c4-a4d2-4d8b-9148-e3be6c30e623}">
          <xlrd:rvb i="6102"/>
        </ext>
      </extLst>
    </bk>
    <bk>
      <extLst>
        <ext uri="{3e2802c4-a4d2-4d8b-9148-e3be6c30e623}">
          <xlrd:rvb i="6103"/>
        </ext>
      </extLst>
    </bk>
    <bk>
      <extLst>
        <ext uri="{3e2802c4-a4d2-4d8b-9148-e3be6c30e623}">
          <xlrd:rvb i="6104"/>
        </ext>
      </extLst>
    </bk>
    <bk>
      <extLst>
        <ext uri="{3e2802c4-a4d2-4d8b-9148-e3be6c30e623}">
          <xlrd:rvb i="6105"/>
        </ext>
      </extLst>
    </bk>
    <bk>
      <extLst>
        <ext uri="{3e2802c4-a4d2-4d8b-9148-e3be6c30e623}">
          <xlrd:rvb i="6106"/>
        </ext>
      </extLst>
    </bk>
    <bk>
      <extLst>
        <ext uri="{3e2802c4-a4d2-4d8b-9148-e3be6c30e623}">
          <xlrd:rvb i="6107"/>
        </ext>
      </extLst>
    </bk>
    <bk>
      <extLst>
        <ext uri="{3e2802c4-a4d2-4d8b-9148-e3be6c30e623}">
          <xlrd:rvb i="6108"/>
        </ext>
      </extLst>
    </bk>
    <bk>
      <extLst>
        <ext uri="{3e2802c4-a4d2-4d8b-9148-e3be6c30e623}">
          <xlrd:rvb i="6109"/>
        </ext>
      </extLst>
    </bk>
    <bk>
      <extLst>
        <ext uri="{3e2802c4-a4d2-4d8b-9148-e3be6c30e623}">
          <xlrd:rvb i="6110"/>
        </ext>
      </extLst>
    </bk>
    <bk>
      <extLst>
        <ext uri="{3e2802c4-a4d2-4d8b-9148-e3be6c30e623}">
          <xlrd:rvb i="6111"/>
        </ext>
      </extLst>
    </bk>
    <bk>
      <extLst>
        <ext uri="{3e2802c4-a4d2-4d8b-9148-e3be6c30e623}">
          <xlrd:rvb i="6112"/>
        </ext>
      </extLst>
    </bk>
    <bk>
      <extLst>
        <ext uri="{3e2802c4-a4d2-4d8b-9148-e3be6c30e623}">
          <xlrd:rvb i="6113"/>
        </ext>
      </extLst>
    </bk>
    <bk>
      <extLst>
        <ext uri="{3e2802c4-a4d2-4d8b-9148-e3be6c30e623}">
          <xlrd:rvb i="6114"/>
        </ext>
      </extLst>
    </bk>
    <bk>
      <extLst>
        <ext uri="{3e2802c4-a4d2-4d8b-9148-e3be6c30e623}">
          <xlrd:rvb i="6115"/>
        </ext>
      </extLst>
    </bk>
    <bk>
      <extLst>
        <ext uri="{3e2802c4-a4d2-4d8b-9148-e3be6c30e623}">
          <xlrd:rvb i="6116"/>
        </ext>
      </extLst>
    </bk>
    <bk>
      <extLst>
        <ext uri="{3e2802c4-a4d2-4d8b-9148-e3be6c30e623}">
          <xlrd:rvb i="6117"/>
        </ext>
      </extLst>
    </bk>
    <bk>
      <extLst>
        <ext uri="{3e2802c4-a4d2-4d8b-9148-e3be6c30e623}">
          <xlrd:rvb i="6118"/>
        </ext>
      </extLst>
    </bk>
    <bk>
      <extLst>
        <ext uri="{3e2802c4-a4d2-4d8b-9148-e3be6c30e623}">
          <xlrd:rvb i="6119"/>
        </ext>
      </extLst>
    </bk>
    <bk>
      <extLst>
        <ext uri="{3e2802c4-a4d2-4d8b-9148-e3be6c30e623}">
          <xlrd:rvb i="6120"/>
        </ext>
      </extLst>
    </bk>
    <bk>
      <extLst>
        <ext uri="{3e2802c4-a4d2-4d8b-9148-e3be6c30e623}">
          <xlrd:rvb i="6121"/>
        </ext>
      </extLst>
    </bk>
    <bk>
      <extLst>
        <ext uri="{3e2802c4-a4d2-4d8b-9148-e3be6c30e623}">
          <xlrd:rvb i="6122"/>
        </ext>
      </extLst>
    </bk>
    <bk>
      <extLst>
        <ext uri="{3e2802c4-a4d2-4d8b-9148-e3be6c30e623}">
          <xlrd:rvb i="6123"/>
        </ext>
      </extLst>
    </bk>
    <bk>
      <extLst>
        <ext uri="{3e2802c4-a4d2-4d8b-9148-e3be6c30e623}">
          <xlrd:rvb i="6124"/>
        </ext>
      </extLst>
    </bk>
    <bk>
      <extLst>
        <ext uri="{3e2802c4-a4d2-4d8b-9148-e3be6c30e623}">
          <xlrd:rvb i="6125"/>
        </ext>
      </extLst>
    </bk>
    <bk>
      <extLst>
        <ext uri="{3e2802c4-a4d2-4d8b-9148-e3be6c30e623}">
          <xlrd:rvb i="6126"/>
        </ext>
      </extLst>
    </bk>
    <bk>
      <extLst>
        <ext uri="{3e2802c4-a4d2-4d8b-9148-e3be6c30e623}">
          <xlrd:rvb i="6127"/>
        </ext>
      </extLst>
    </bk>
    <bk>
      <extLst>
        <ext uri="{3e2802c4-a4d2-4d8b-9148-e3be6c30e623}">
          <xlrd:rvb i="6128"/>
        </ext>
      </extLst>
    </bk>
    <bk>
      <extLst>
        <ext uri="{3e2802c4-a4d2-4d8b-9148-e3be6c30e623}">
          <xlrd:rvb i="6129"/>
        </ext>
      </extLst>
    </bk>
    <bk>
      <extLst>
        <ext uri="{3e2802c4-a4d2-4d8b-9148-e3be6c30e623}">
          <xlrd:rvb i="6130"/>
        </ext>
      </extLst>
    </bk>
    <bk>
      <extLst>
        <ext uri="{3e2802c4-a4d2-4d8b-9148-e3be6c30e623}">
          <xlrd:rvb i="6131"/>
        </ext>
      </extLst>
    </bk>
    <bk>
      <extLst>
        <ext uri="{3e2802c4-a4d2-4d8b-9148-e3be6c30e623}">
          <xlrd:rvb i="6132"/>
        </ext>
      </extLst>
    </bk>
    <bk>
      <extLst>
        <ext uri="{3e2802c4-a4d2-4d8b-9148-e3be6c30e623}">
          <xlrd:rvb i="6133"/>
        </ext>
      </extLst>
    </bk>
    <bk>
      <extLst>
        <ext uri="{3e2802c4-a4d2-4d8b-9148-e3be6c30e623}">
          <xlrd:rvb i="6134"/>
        </ext>
      </extLst>
    </bk>
    <bk>
      <extLst>
        <ext uri="{3e2802c4-a4d2-4d8b-9148-e3be6c30e623}">
          <xlrd:rvb i="6135"/>
        </ext>
      </extLst>
    </bk>
    <bk>
      <extLst>
        <ext uri="{3e2802c4-a4d2-4d8b-9148-e3be6c30e623}">
          <xlrd:rvb i="6136"/>
        </ext>
      </extLst>
    </bk>
    <bk>
      <extLst>
        <ext uri="{3e2802c4-a4d2-4d8b-9148-e3be6c30e623}">
          <xlrd:rvb i="6137"/>
        </ext>
      </extLst>
    </bk>
    <bk>
      <extLst>
        <ext uri="{3e2802c4-a4d2-4d8b-9148-e3be6c30e623}">
          <xlrd:rvb i="6138"/>
        </ext>
      </extLst>
    </bk>
    <bk>
      <extLst>
        <ext uri="{3e2802c4-a4d2-4d8b-9148-e3be6c30e623}">
          <xlrd:rvb i="6139"/>
        </ext>
      </extLst>
    </bk>
    <bk>
      <extLst>
        <ext uri="{3e2802c4-a4d2-4d8b-9148-e3be6c30e623}">
          <xlrd:rvb i="6140"/>
        </ext>
      </extLst>
    </bk>
    <bk>
      <extLst>
        <ext uri="{3e2802c4-a4d2-4d8b-9148-e3be6c30e623}">
          <xlrd:rvb i="6141"/>
        </ext>
      </extLst>
    </bk>
    <bk>
      <extLst>
        <ext uri="{3e2802c4-a4d2-4d8b-9148-e3be6c30e623}">
          <xlrd:rvb i="6142"/>
        </ext>
      </extLst>
    </bk>
    <bk>
      <extLst>
        <ext uri="{3e2802c4-a4d2-4d8b-9148-e3be6c30e623}">
          <xlrd:rvb i="6143"/>
        </ext>
      </extLst>
    </bk>
    <bk>
      <extLst>
        <ext uri="{3e2802c4-a4d2-4d8b-9148-e3be6c30e623}">
          <xlrd:rvb i="6144"/>
        </ext>
      </extLst>
    </bk>
    <bk>
      <extLst>
        <ext uri="{3e2802c4-a4d2-4d8b-9148-e3be6c30e623}">
          <xlrd:rvb i="6145"/>
        </ext>
      </extLst>
    </bk>
    <bk>
      <extLst>
        <ext uri="{3e2802c4-a4d2-4d8b-9148-e3be6c30e623}">
          <xlrd:rvb i="6146"/>
        </ext>
      </extLst>
    </bk>
    <bk>
      <extLst>
        <ext uri="{3e2802c4-a4d2-4d8b-9148-e3be6c30e623}">
          <xlrd:rvb i="6147"/>
        </ext>
      </extLst>
    </bk>
    <bk>
      <extLst>
        <ext uri="{3e2802c4-a4d2-4d8b-9148-e3be6c30e623}">
          <xlrd:rvb i="6148"/>
        </ext>
      </extLst>
    </bk>
    <bk>
      <extLst>
        <ext uri="{3e2802c4-a4d2-4d8b-9148-e3be6c30e623}">
          <xlrd:rvb i="6149"/>
        </ext>
      </extLst>
    </bk>
    <bk>
      <extLst>
        <ext uri="{3e2802c4-a4d2-4d8b-9148-e3be6c30e623}">
          <xlrd:rvb i="6150"/>
        </ext>
      </extLst>
    </bk>
    <bk>
      <extLst>
        <ext uri="{3e2802c4-a4d2-4d8b-9148-e3be6c30e623}">
          <xlrd:rvb i="6151"/>
        </ext>
      </extLst>
    </bk>
    <bk>
      <extLst>
        <ext uri="{3e2802c4-a4d2-4d8b-9148-e3be6c30e623}">
          <xlrd:rvb i="6152"/>
        </ext>
      </extLst>
    </bk>
    <bk>
      <extLst>
        <ext uri="{3e2802c4-a4d2-4d8b-9148-e3be6c30e623}">
          <xlrd:rvb i="6153"/>
        </ext>
      </extLst>
    </bk>
    <bk>
      <extLst>
        <ext uri="{3e2802c4-a4d2-4d8b-9148-e3be6c30e623}">
          <xlrd:rvb i="6154"/>
        </ext>
      </extLst>
    </bk>
    <bk>
      <extLst>
        <ext uri="{3e2802c4-a4d2-4d8b-9148-e3be6c30e623}">
          <xlrd:rvb i="6155"/>
        </ext>
      </extLst>
    </bk>
    <bk>
      <extLst>
        <ext uri="{3e2802c4-a4d2-4d8b-9148-e3be6c30e623}">
          <xlrd:rvb i="6156"/>
        </ext>
      </extLst>
    </bk>
    <bk>
      <extLst>
        <ext uri="{3e2802c4-a4d2-4d8b-9148-e3be6c30e623}">
          <xlrd:rvb i="6157"/>
        </ext>
      </extLst>
    </bk>
    <bk>
      <extLst>
        <ext uri="{3e2802c4-a4d2-4d8b-9148-e3be6c30e623}">
          <xlrd:rvb i="6158"/>
        </ext>
      </extLst>
    </bk>
    <bk>
      <extLst>
        <ext uri="{3e2802c4-a4d2-4d8b-9148-e3be6c30e623}">
          <xlrd:rvb i="6159"/>
        </ext>
      </extLst>
    </bk>
    <bk>
      <extLst>
        <ext uri="{3e2802c4-a4d2-4d8b-9148-e3be6c30e623}">
          <xlrd:rvb i="6160"/>
        </ext>
      </extLst>
    </bk>
    <bk>
      <extLst>
        <ext uri="{3e2802c4-a4d2-4d8b-9148-e3be6c30e623}">
          <xlrd:rvb i="6161"/>
        </ext>
      </extLst>
    </bk>
    <bk>
      <extLst>
        <ext uri="{3e2802c4-a4d2-4d8b-9148-e3be6c30e623}">
          <xlrd:rvb i="6162"/>
        </ext>
      </extLst>
    </bk>
    <bk>
      <extLst>
        <ext uri="{3e2802c4-a4d2-4d8b-9148-e3be6c30e623}">
          <xlrd:rvb i="6163"/>
        </ext>
      </extLst>
    </bk>
    <bk>
      <extLst>
        <ext uri="{3e2802c4-a4d2-4d8b-9148-e3be6c30e623}">
          <xlrd:rvb i="6164"/>
        </ext>
      </extLst>
    </bk>
    <bk>
      <extLst>
        <ext uri="{3e2802c4-a4d2-4d8b-9148-e3be6c30e623}">
          <xlrd:rvb i="6165"/>
        </ext>
      </extLst>
    </bk>
    <bk>
      <extLst>
        <ext uri="{3e2802c4-a4d2-4d8b-9148-e3be6c30e623}">
          <xlrd:rvb i="6166"/>
        </ext>
      </extLst>
    </bk>
    <bk>
      <extLst>
        <ext uri="{3e2802c4-a4d2-4d8b-9148-e3be6c30e623}">
          <xlrd:rvb i="6167"/>
        </ext>
      </extLst>
    </bk>
    <bk>
      <extLst>
        <ext uri="{3e2802c4-a4d2-4d8b-9148-e3be6c30e623}">
          <xlrd:rvb i="6168"/>
        </ext>
      </extLst>
    </bk>
    <bk>
      <extLst>
        <ext uri="{3e2802c4-a4d2-4d8b-9148-e3be6c30e623}">
          <xlrd:rvb i="6169"/>
        </ext>
      </extLst>
    </bk>
    <bk>
      <extLst>
        <ext uri="{3e2802c4-a4d2-4d8b-9148-e3be6c30e623}">
          <xlrd:rvb i="6170"/>
        </ext>
      </extLst>
    </bk>
    <bk>
      <extLst>
        <ext uri="{3e2802c4-a4d2-4d8b-9148-e3be6c30e623}">
          <xlrd:rvb i="6171"/>
        </ext>
      </extLst>
    </bk>
    <bk>
      <extLst>
        <ext uri="{3e2802c4-a4d2-4d8b-9148-e3be6c30e623}">
          <xlrd:rvb i="6172"/>
        </ext>
      </extLst>
    </bk>
    <bk>
      <extLst>
        <ext uri="{3e2802c4-a4d2-4d8b-9148-e3be6c30e623}">
          <xlrd:rvb i="6173"/>
        </ext>
      </extLst>
    </bk>
    <bk>
      <extLst>
        <ext uri="{3e2802c4-a4d2-4d8b-9148-e3be6c30e623}">
          <xlrd:rvb i="6174"/>
        </ext>
      </extLst>
    </bk>
    <bk>
      <extLst>
        <ext uri="{3e2802c4-a4d2-4d8b-9148-e3be6c30e623}">
          <xlrd:rvb i="6175"/>
        </ext>
      </extLst>
    </bk>
    <bk>
      <extLst>
        <ext uri="{3e2802c4-a4d2-4d8b-9148-e3be6c30e623}">
          <xlrd:rvb i="6176"/>
        </ext>
      </extLst>
    </bk>
    <bk>
      <extLst>
        <ext uri="{3e2802c4-a4d2-4d8b-9148-e3be6c30e623}">
          <xlrd:rvb i="6177"/>
        </ext>
      </extLst>
    </bk>
    <bk>
      <extLst>
        <ext uri="{3e2802c4-a4d2-4d8b-9148-e3be6c30e623}">
          <xlrd:rvb i="6178"/>
        </ext>
      </extLst>
    </bk>
    <bk>
      <extLst>
        <ext uri="{3e2802c4-a4d2-4d8b-9148-e3be6c30e623}">
          <xlrd:rvb i="6179"/>
        </ext>
      </extLst>
    </bk>
    <bk>
      <extLst>
        <ext uri="{3e2802c4-a4d2-4d8b-9148-e3be6c30e623}">
          <xlrd:rvb i="6180"/>
        </ext>
      </extLst>
    </bk>
    <bk>
      <extLst>
        <ext uri="{3e2802c4-a4d2-4d8b-9148-e3be6c30e623}">
          <xlrd:rvb i="6181"/>
        </ext>
      </extLst>
    </bk>
    <bk>
      <extLst>
        <ext uri="{3e2802c4-a4d2-4d8b-9148-e3be6c30e623}">
          <xlrd:rvb i="6182"/>
        </ext>
      </extLst>
    </bk>
    <bk>
      <extLst>
        <ext uri="{3e2802c4-a4d2-4d8b-9148-e3be6c30e623}">
          <xlrd:rvb i="6183"/>
        </ext>
      </extLst>
    </bk>
    <bk>
      <extLst>
        <ext uri="{3e2802c4-a4d2-4d8b-9148-e3be6c30e623}">
          <xlrd:rvb i="6184"/>
        </ext>
      </extLst>
    </bk>
    <bk>
      <extLst>
        <ext uri="{3e2802c4-a4d2-4d8b-9148-e3be6c30e623}">
          <xlrd:rvb i="6185"/>
        </ext>
      </extLst>
    </bk>
    <bk>
      <extLst>
        <ext uri="{3e2802c4-a4d2-4d8b-9148-e3be6c30e623}">
          <xlrd:rvb i="6186"/>
        </ext>
      </extLst>
    </bk>
    <bk>
      <extLst>
        <ext uri="{3e2802c4-a4d2-4d8b-9148-e3be6c30e623}">
          <xlrd:rvb i="6187"/>
        </ext>
      </extLst>
    </bk>
    <bk>
      <extLst>
        <ext uri="{3e2802c4-a4d2-4d8b-9148-e3be6c30e623}">
          <xlrd:rvb i="6188"/>
        </ext>
      </extLst>
    </bk>
    <bk>
      <extLst>
        <ext uri="{3e2802c4-a4d2-4d8b-9148-e3be6c30e623}">
          <xlrd:rvb i="6189"/>
        </ext>
      </extLst>
    </bk>
    <bk>
      <extLst>
        <ext uri="{3e2802c4-a4d2-4d8b-9148-e3be6c30e623}">
          <xlrd:rvb i="6190"/>
        </ext>
      </extLst>
    </bk>
    <bk>
      <extLst>
        <ext uri="{3e2802c4-a4d2-4d8b-9148-e3be6c30e623}">
          <xlrd:rvb i="6191"/>
        </ext>
      </extLst>
    </bk>
    <bk>
      <extLst>
        <ext uri="{3e2802c4-a4d2-4d8b-9148-e3be6c30e623}">
          <xlrd:rvb i="6192"/>
        </ext>
      </extLst>
    </bk>
    <bk>
      <extLst>
        <ext uri="{3e2802c4-a4d2-4d8b-9148-e3be6c30e623}">
          <xlrd:rvb i="6193"/>
        </ext>
      </extLst>
    </bk>
    <bk>
      <extLst>
        <ext uri="{3e2802c4-a4d2-4d8b-9148-e3be6c30e623}">
          <xlrd:rvb i="6194"/>
        </ext>
      </extLst>
    </bk>
    <bk>
      <extLst>
        <ext uri="{3e2802c4-a4d2-4d8b-9148-e3be6c30e623}">
          <xlrd:rvb i="6195"/>
        </ext>
      </extLst>
    </bk>
    <bk>
      <extLst>
        <ext uri="{3e2802c4-a4d2-4d8b-9148-e3be6c30e623}">
          <xlrd:rvb i="6196"/>
        </ext>
      </extLst>
    </bk>
    <bk>
      <extLst>
        <ext uri="{3e2802c4-a4d2-4d8b-9148-e3be6c30e623}">
          <xlrd:rvb i="6197"/>
        </ext>
      </extLst>
    </bk>
    <bk>
      <extLst>
        <ext uri="{3e2802c4-a4d2-4d8b-9148-e3be6c30e623}">
          <xlrd:rvb i="6198"/>
        </ext>
      </extLst>
    </bk>
    <bk>
      <extLst>
        <ext uri="{3e2802c4-a4d2-4d8b-9148-e3be6c30e623}">
          <xlrd:rvb i="6199"/>
        </ext>
      </extLst>
    </bk>
    <bk>
      <extLst>
        <ext uri="{3e2802c4-a4d2-4d8b-9148-e3be6c30e623}">
          <xlrd:rvb i="6200"/>
        </ext>
      </extLst>
    </bk>
    <bk>
      <extLst>
        <ext uri="{3e2802c4-a4d2-4d8b-9148-e3be6c30e623}">
          <xlrd:rvb i="6201"/>
        </ext>
      </extLst>
    </bk>
    <bk>
      <extLst>
        <ext uri="{3e2802c4-a4d2-4d8b-9148-e3be6c30e623}">
          <xlrd:rvb i="6202"/>
        </ext>
      </extLst>
    </bk>
    <bk>
      <extLst>
        <ext uri="{3e2802c4-a4d2-4d8b-9148-e3be6c30e623}">
          <xlrd:rvb i="6203"/>
        </ext>
      </extLst>
    </bk>
    <bk>
      <extLst>
        <ext uri="{3e2802c4-a4d2-4d8b-9148-e3be6c30e623}">
          <xlrd:rvb i="6204"/>
        </ext>
      </extLst>
    </bk>
    <bk>
      <extLst>
        <ext uri="{3e2802c4-a4d2-4d8b-9148-e3be6c30e623}">
          <xlrd:rvb i="6205"/>
        </ext>
      </extLst>
    </bk>
    <bk>
      <extLst>
        <ext uri="{3e2802c4-a4d2-4d8b-9148-e3be6c30e623}">
          <xlrd:rvb i="6206"/>
        </ext>
      </extLst>
    </bk>
    <bk>
      <extLst>
        <ext uri="{3e2802c4-a4d2-4d8b-9148-e3be6c30e623}">
          <xlrd:rvb i="6207"/>
        </ext>
      </extLst>
    </bk>
    <bk>
      <extLst>
        <ext uri="{3e2802c4-a4d2-4d8b-9148-e3be6c30e623}">
          <xlrd:rvb i="6208"/>
        </ext>
      </extLst>
    </bk>
    <bk>
      <extLst>
        <ext uri="{3e2802c4-a4d2-4d8b-9148-e3be6c30e623}">
          <xlrd:rvb i="6209"/>
        </ext>
      </extLst>
    </bk>
    <bk>
      <extLst>
        <ext uri="{3e2802c4-a4d2-4d8b-9148-e3be6c30e623}">
          <xlrd:rvb i="6210"/>
        </ext>
      </extLst>
    </bk>
    <bk>
      <extLst>
        <ext uri="{3e2802c4-a4d2-4d8b-9148-e3be6c30e623}">
          <xlrd:rvb i="6211"/>
        </ext>
      </extLst>
    </bk>
    <bk>
      <extLst>
        <ext uri="{3e2802c4-a4d2-4d8b-9148-e3be6c30e623}">
          <xlrd:rvb i="6212"/>
        </ext>
      </extLst>
    </bk>
    <bk>
      <extLst>
        <ext uri="{3e2802c4-a4d2-4d8b-9148-e3be6c30e623}">
          <xlrd:rvb i="6213"/>
        </ext>
      </extLst>
    </bk>
    <bk>
      <extLst>
        <ext uri="{3e2802c4-a4d2-4d8b-9148-e3be6c30e623}">
          <xlrd:rvb i="6214"/>
        </ext>
      </extLst>
    </bk>
    <bk>
      <extLst>
        <ext uri="{3e2802c4-a4d2-4d8b-9148-e3be6c30e623}">
          <xlrd:rvb i="6215"/>
        </ext>
      </extLst>
    </bk>
    <bk>
      <extLst>
        <ext uri="{3e2802c4-a4d2-4d8b-9148-e3be6c30e623}">
          <xlrd:rvb i="6216"/>
        </ext>
      </extLst>
    </bk>
    <bk>
      <extLst>
        <ext uri="{3e2802c4-a4d2-4d8b-9148-e3be6c30e623}">
          <xlrd:rvb i="6217"/>
        </ext>
      </extLst>
    </bk>
    <bk>
      <extLst>
        <ext uri="{3e2802c4-a4d2-4d8b-9148-e3be6c30e623}">
          <xlrd:rvb i="6218"/>
        </ext>
      </extLst>
    </bk>
    <bk>
      <extLst>
        <ext uri="{3e2802c4-a4d2-4d8b-9148-e3be6c30e623}">
          <xlrd:rvb i="6219"/>
        </ext>
      </extLst>
    </bk>
    <bk>
      <extLst>
        <ext uri="{3e2802c4-a4d2-4d8b-9148-e3be6c30e623}">
          <xlrd:rvb i="6220"/>
        </ext>
      </extLst>
    </bk>
    <bk>
      <extLst>
        <ext uri="{3e2802c4-a4d2-4d8b-9148-e3be6c30e623}">
          <xlrd:rvb i="6221"/>
        </ext>
      </extLst>
    </bk>
    <bk>
      <extLst>
        <ext uri="{3e2802c4-a4d2-4d8b-9148-e3be6c30e623}">
          <xlrd:rvb i="6222"/>
        </ext>
      </extLst>
    </bk>
    <bk>
      <extLst>
        <ext uri="{3e2802c4-a4d2-4d8b-9148-e3be6c30e623}">
          <xlrd:rvb i="6223"/>
        </ext>
      </extLst>
    </bk>
    <bk>
      <extLst>
        <ext uri="{3e2802c4-a4d2-4d8b-9148-e3be6c30e623}">
          <xlrd:rvb i="6224"/>
        </ext>
      </extLst>
    </bk>
    <bk>
      <extLst>
        <ext uri="{3e2802c4-a4d2-4d8b-9148-e3be6c30e623}">
          <xlrd:rvb i="6225"/>
        </ext>
      </extLst>
    </bk>
    <bk>
      <extLst>
        <ext uri="{3e2802c4-a4d2-4d8b-9148-e3be6c30e623}">
          <xlrd:rvb i="6226"/>
        </ext>
      </extLst>
    </bk>
    <bk>
      <extLst>
        <ext uri="{3e2802c4-a4d2-4d8b-9148-e3be6c30e623}">
          <xlrd:rvb i="6227"/>
        </ext>
      </extLst>
    </bk>
    <bk>
      <extLst>
        <ext uri="{3e2802c4-a4d2-4d8b-9148-e3be6c30e623}">
          <xlrd:rvb i="6228"/>
        </ext>
      </extLst>
    </bk>
    <bk>
      <extLst>
        <ext uri="{3e2802c4-a4d2-4d8b-9148-e3be6c30e623}">
          <xlrd:rvb i="6229"/>
        </ext>
      </extLst>
    </bk>
    <bk>
      <extLst>
        <ext uri="{3e2802c4-a4d2-4d8b-9148-e3be6c30e623}">
          <xlrd:rvb i="6230"/>
        </ext>
      </extLst>
    </bk>
    <bk>
      <extLst>
        <ext uri="{3e2802c4-a4d2-4d8b-9148-e3be6c30e623}">
          <xlrd:rvb i="6231"/>
        </ext>
      </extLst>
    </bk>
    <bk>
      <extLst>
        <ext uri="{3e2802c4-a4d2-4d8b-9148-e3be6c30e623}">
          <xlrd:rvb i="6232"/>
        </ext>
      </extLst>
    </bk>
    <bk>
      <extLst>
        <ext uri="{3e2802c4-a4d2-4d8b-9148-e3be6c30e623}">
          <xlrd:rvb i="6233"/>
        </ext>
      </extLst>
    </bk>
    <bk>
      <extLst>
        <ext uri="{3e2802c4-a4d2-4d8b-9148-e3be6c30e623}">
          <xlrd:rvb i="6234"/>
        </ext>
      </extLst>
    </bk>
    <bk>
      <extLst>
        <ext uri="{3e2802c4-a4d2-4d8b-9148-e3be6c30e623}">
          <xlrd:rvb i="6235"/>
        </ext>
      </extLst>
    </bk>
    <bk>
      <extLst>
        <ext uri="{3e2802c4-a4d2-4d8b-9148-e3be6c30e623}">
          <xlrd:rvb i="6236"/>
        </ext>
      </extLst>
    </bk>
    <bk>
      <extLst>
        <ext uri="{3e2802c4-a4d2-4d8b-9148-e3be6c30e623}">
          <xlrd:rvb i="6237"/>
        </ext>
      </extLst>
    </bk>
    <bk>
      <extLst>
        <ext uri="{3e2802c4-a4d2-4d8b-9148-e3be6c30e623}">
          <xlrd:rvb i="6238"/>
        </ext>
      </extLst>
    </bk>
    <bk>
      <extLst>
        <ext uri="{3e2802c4-a4d2-4d8b-9148-e3be6c30e623}">
          <xlrd:rvb i="6239"/>
        </ext>
      </extLst>
    </bk>
    <bk>
      <extLst>
        <ext uri="{3e2802c4-a4d2-4d8b-9148-e3be6c30e623}">
          <xlrd:rvb i="6240"/>
        </ext>
      </extLst>
    </bk>
    <bk>
      <extLst>
        <ext uri="{3e2802c4-a4d2-4d8b-9148-e3be6c30e623}">
          <xlrd:rvb i="6241"/>
        </ext>
      </extLst>
    </bk>
    <bk>
      <extLst>
        <ext uri="{3e2802c4-a4d2-4d8b-9148-e3be6c30e623}">
          <xlrd:rvb i="6242"/>
        </ext>
      </extLst>
    </bk>
    <bk>
      <extLst>
        <ext uri="{3e2802c4-a4d2-4d8b-9148-e3be6c30e623}">
          <xlrd:rvb i="6243"/>
        </ext>
      </extLst>
    </bk>
    <bk>
      <extLst>
        <ext uri="{3e2802c4-a4d2-4d8b-9148-e3be6c30e623}">
          <xlrd:rvb i="6244"/>
        </ext>
      </extLst>
    </bk>
    <bk>
      <extLst>
        <ext uri="{3e2802c4-a4d2-4d8b-9148-e3be6c30e623}">
          <xlrd:rvb i="6245"/>
        </ext>
      </extLst>
    </bk>
    <bk>
      <extLst>
        <ext uri="{3e2802c4-a4d2-4d8b-9148-e3be6c30e623}">
          <xlrd:rvb i="6246"/>
        </ext>
      </extLst>
    </bk>
    <bk>
      <extLst>
        <ext uri="{3e2802c4-a4d2-4d8b-9148-e3be6c30e623}">
          <xlrd:rvb i="6247"/>
        </ext>
      </extLst>
    </bk>
    <bk>
      <extLst>
        <ext uri="{3e2802c4-a4d2-4d8b-9148-e3be6c30e623}">
          <xlrd:rvb i="6248"/>
        </ext>
      </extLst>
    </bk>
    <bk>
      <extLst>
        <ext uri="{3e2802c4-a4d2-4d8b-9148-e3be6c30e623}">
          <xlrd:rvb i="6249"/>
        </ext>
      </extLst>
    </bk>
    <bk>
      <extLst>
        <ext uri="{3e2802c4-a4d2-4d8b-9148-e3be6c30e623}">
          <xlrd:rvb i="6250"/>
        </ext>
      </extLst>
    </bk>
    <bk>
      <extLst>
        <ext uri="{3e2802c4-a4d2-4d8b-9148-e3be6c30e623}">
          <xlrd:rvb i="6251"/>
        </ext>
      </extLst>
    </bk>
    <bk>
      <extLst>
        <ext uri="{3e2802c4-a4d2-4d8b-9148-e3be6c30e623}">
          <xlrd:rvb i="6252"/>
        </ext>
      </extLst>
    </bk>
    <bk>
      <extLst>
        <ext uri="{3e2802c4-a4d2-4d8b-9148-e3be6c30e623}">
          <xlrd:rvb i="6253"/>
        </ext>
      </extLst>
    </bk>
    <bk>
      <extLst>
        <ext uri="{3e2802c4-a4d2-4d8b-9148-e3be6c30e623}">
          <xlrd:rvb i="6254"/>
        </ext>
      </extLst>
    </bk>
    <bk>
      <extLst>
        <ext uri="{3e2802c4-a4d2-4d8b-9148-e3be6c30e623}">
          <xlrd:rvb i="6255"/>
        </ext>
      </extLst>
    </bk>
    <bk>
      <extLst>
        <ext uri="{3e2802c4-a4d2-4d8b-9148-e3be6c30e623}">
          <xlrd:rvb i="6256"/>
        </ext>
      </extLst>
    </bk>
    <bk>
      <extLst>
        <ext uri="{3e2802c4-a4d2-4d8b-9148-e3be6c30e623}">
          <xlrd:rvb i="6257"/>
        </ext>
      </extLst>
    </bk>
    <bk>
      <extLst>
        <ext uri="{3e2802c4-a4d2-4d8b-9148-e3be6c30e623}">
          <xlrd:rvb i="6258"/>
        </ext>
      </extLst>
    </bk>
    <bk>
      <extLst>
        <ext uri="{3e2802c4-a4d2-4d8b-9148-e3be6c30e623}">
          <xlrd:rvb i="6259"/>
        </ext>
      </extLst>
    </bk>
    <bk>
      <extLst>
        <ext uri="{3e2802c4-a4d2-4d8b-9148-e3be6c30e623}">
          <xlrd:rvb i="6260"/>
        </ext>
      </extLst>
    </bk>
    <bk>
      <extLst>
        <ext uri="{3e2802c4-a4d2-4d8b-9148-e3be6c30e623}">
          <xlrd:rvb i="6261"/>
        </ext>
      </extLst>
    </bk>
    <bk>
      <extLst>
        <ext uri="{3e2802c4-a4d2-4d8b-9148-e3be6c30e623}">
          <xlrd:rvb i="6262"/>
        </ext>
      </extLst>
    </bk>
    <bk>
      <extLst>
        <ext uri="{3e2802c4-a4d2-4d8b-9148-e3be6c30e623}">
          <xlrd:rvb i="6263"/>
        </ext>
      </extLst>
    </bk>
    <bk>
      <extLst>
        <ext uri="{3e2802c4-a4d2-4d8b-9148-e3be6c30e623}">
          <xlrd:rvb i="6264"/>
        </ext>
      </extLst>
    </bk>
    <bk>
      <extLst>
        <ext uri="{3e2802c4-a4d2-4d8b-9148-e3be6c30e623}">
          <xlrd:rvb i="6265"/>
        </ext>
      </extLst>
    </bk>
    <bk>
      <extLst>
        <ext uri="{3e2802c4-a4d2-4d8b-9148-e3be6c30e623}">
          <xlrd:rvb i="6266"/>
        </ext>
      </extLst>
    </bk>
    <bk>
      <extLst>
        <ext uri="{3e2802c4-a4d2-4d8b-9148-e3be6c30e623}">
          <xlrd:rvb i="6267"/>
        </ext>
      </extLst>
    </bk>
    <bk>
      <extLst>
        <ext uri="{3e2802c4-a4d2-4d8b-9148-e3be6c30e623}">
          <xlrd:rvb i="6268"/>
        </ext>
      </extLst>
    </bk>
    <bk>
      <extLst>
        <ext uri="{3e2802c4-a4d2-4d8b-9148-e3be6c30e623}">
          <xlrd:rvb i="6269"/>
        </ext>
      </extLst>
    </bk>
    <bk>
      <extLst>
        <ext uri="{3e2802c4-a4d2-4d8b-9148-e3be6c30e623}">
          <xlrd:rvb i="6270"/>
        </ext>
      </extLst>
    </bk>
    <bk>
      <extLst>
        <ext uri="{3e2802c4-a4d2-4d8b-9148-e3be6c30e623}">
          <xlrd:rvb i="6271"/>
        </ext>
      </extLst>
    </bk>
    <bk>
      <extLst>
        <ext uri="{3e2802c4-a4d2-4d8b-9148-e3be6c30e623}">
          <xlrd:rvb i="6272"/>
        </ext>
      </extLst>
    </bk>
    <bk>
      <extLst>
        <ext uri="{3e2802c4-a4d2-4d8b-9148-e3be6c30e623}">
          <xlrd:rvb i="6273"/>
        </ext>
      </extLst>
    </bk>
    <bk>
      <extLst>
        <ext uri="{3e2802c4-a4d2-4d8b-9148-e3be6c30e623}">
          <xlrd:rvb i="6274"/>
        </ext>
      </extLst>
    </bk>
    <bk>
      <extLst>
        <ext uri="{3e2802c4-a4d2-4d8b-9148-e3be6c30e623}">
          <xlrd:rvb i="6275"/>
        </ext>
      </extLst>
    </bk>
    <bk>
      <extLst>
        <ext uri="{3e2802c4-a4d2-4d8b-9148-e3be6c30e623}">
          <xlrd:rvb i="6276"/>
        </ext>
      </extLst>
    </bk>
    <bk>
      <extLst>
        <ext uri="{3e2802c4-a4d2-4d8b-9148-e3be6c30e623}">
          <xlrd:rvb i="6277"/>
        </ext>
      </extLst>
    </bk>
    <bk>
      <extLst>
        <ext uri="{3e2802c4-a4d2-4d8b-9148-e3be6c30e623}">
          <xlrd:rvb i="6278"/>
        </ext>
      </extLst>
    </bk>
    <bk>
      <extLst>
        <ext uri="{3e2802c4-a4d2-4d8b-9148-e3be6c30e623}">
          <xlrd:rvb i="6279"/>
        </ext>
      </extLst>
    </bk>
    <bk>
      <extLst>
        <ext uri="{3e2802c4-a4d2-4d8b-9148-e3be6c30e623}">
          <xlrd:rvb i="6280"/>
        </ext>
      </extLst>
    </bk>
    <bk>
      <extLst>
        <ext uri="{3e2802c4-a4d2-4d8b-9148-e3be6c30e623}">
          <xlrd:rvb i="6281"/>
        </ext>
      </extLst>
    </bk>
    <bk>
      <extLst>
        <ext uri="{3e2802c4-a4d2-4d8b-9148-e3be6c30e623}">
          <xlrd:rvb i="6282"/>
        </ext>
      </extLst>
    </bk>
    <bk>
      <extLst>
        <ext uri="{3e2802c4-a4d2-4d8b-9148-e3be6c30e623}">
          <xlrd:rvb i="6283"/>
        </ext>
      </extLst>
    </bk>
    <bk>
      <extLst>
        <ext uri="{3e2802c4-a4d2-4d8b-9148-e3be6c30e623}">
          <xlrd:rvb i="6284"/>
        </ext>
      </extLst>
    </bk>
    <bk>
      <extLst>
        <ext uri="{3e2802c4-a4d2-4d8b-9148-e3be6c30e623}">
          <xlrd:rvb i="6285"/>
        </ext>
      </extLst>
    </bk>
    <bk>
      <extLst>
        <ext uri="{3e2802c4-a4d2-4d8b-9148-e3be6c30e623}">
          <xlrd:rvb i="6286"/>
        </ext>
      </extLst>
    </bk>
    <bk>
      <extLst>
        <ext uri="{3e2802c4-a4d2-4d8b-9148-e3be6c30e623}">
          <xlrd:rvb i="6287"/>
        </ext>
      </extLst>
    </bk>
    <bk>
      <extLst>
        <ext uri="{3e2802c4-a4d2-4d8b-9148-e3be6c30e623}">
          <xlrd:rvb i="6288"/>
        </ext>
      </extLst>
    </bk>
    <bk>
      <extLst>
        <ext uri="{3e2802c4-a4d2-4d8b-9148-e3be6c30e623}">
          <xlrd:rvb i="6289"/>
        </ext>
      </extLst>
    </bk>
    <bk>
      <extLst>
        <ext uri="{3e2802c4-a4d2-4d8b-9148-e3be6c30e623}">
          <xlrd:rvb i="6290"/>
        </ext>
      </extLst>
    </bk>
    <bk>
      <extLst>
        <ext uri="{3e2802c4-a4d2-4d8b-9148-e3be6c30e623}">
          <xlrd:rvb i="6291"/>
        </ext>
      </extLst>
    </bk>
    <bk>
      <extLst>
        <ext uri="{3e2802c4-a4d2-4d8b-9148-e3be6c30e623}">
          <xlrd:rvb i="6292"/>
        </ext>
      </extLst>
    </bk>
    <bk>
      <extLst>
        <ext uri="{3e2802c4-a4d2-4d8b-9148-e3be6c30e623}">
          <xlrd:rvb i="6293"/>
        </ext>
      </extLst>
    </bk>
    <bk>
      <extLst>
        <ext uri="{3e2802c4-a4d2-4d8b-9148-e3be6c30e623}">
          <xlrd:rvb i="6294"/>
        </ext>
      </extLst>
    </bk>
    <bk>
      <extLst>
        <ext uri="{3e2802c4-a4d2-4d8b-9148-e3be6c30e623}">
          <xlrd:rvb i="6295"/>
        </ext>
      </extLst>
    </bk>
    <bk>
      <extLst>
        <ext uri="{3e2802c4-a4d2-4d8b-9148-e3be6c30e623}">
          <xlrd:rvb i="6296"/>
        </ext>
      </extLst>
    </bk>
    <bk>
      <extLst>
        <ext uri="{3e2802c4-a4d2-4d8b-9148-e3be6c30e623}">
          <xlrd:rvb i="6297"/>
        </ext>
      </extLst>
    </bk>
    <bk>
      <extLst>
        <ext uri="{3e2802c4-a4d2-4d8b-9148-e3be6c30e623}">
          <xlrd:rvb i="6298"/>
        </ext>
      </extLst>
    </bk>
    <bk>
      <extLst>
        <ext uri="{3e2802c4-a4d2-4d8b-9148-e3be6c30e623}">
          <xlrd:rvb i="6299"/>
        </ext>
      </extLst>
    </bk>
    <bk>
      <extLst>
        <ext uri="{3e2802c4-a4d2-4d8b-9148-e3be6c30e623}">
          <xlrd:rvb i="6300"/>
        </ext>
      </extLst>
    </bk>
    <bk>
      <extLst>
        <ext uri="{3e2802c4-a4d2-4d8b-9148-e3be6c30e623}">
          <xlrd:rvb i="6301"/>
        </ext>
      </extLst>
    </bk>
    <bk>
      <extLst>
        <ext uri="{3e2802c4-a4d2-4d8b-9148-e3be6c30e623}">
          <xlrd:rvb i="6302"/>
        </ext>
      </extLst>
    </bk>
    <bk>
      <extLst>
        <ext uri="{3e2802c4-a4d2-4d8b-9148-e3be6c30e623}">
          <xlrd:rvb i="6303"/>
        </ext>
      </extLst>
    </bk>
    <bk>
      <extLst>
        <ext uri="{3e2802c4-a4d2-4d8b-9148-e3be6c30e623}">
          <xlrd:rvb i="6304"/>
        </ext>
      </extLst>
    </bk>
    <bk>
      <extLst>
        <ext uri="{3e2802c4-a4d2-4d8b-9148-e3be6c30e623}">
          <xlrd:rvb i="6305"/>
        </ext>
      </extLst>
    </bk>
    <bk>
      <extLst>
        <ext uri="{3e2802c4-a4d2-4d8b-9148-e3be6c30e623}">
          <xlrd:rvb i="6306"/>
        </ext>
      </extLst>
    </bk>
    <bk>
      <extLst>
        <ext uri="{3e2802c4-a4d2-4d8b-9148-e3be6c30e623}">
          <xlrd:rvb i="6307"/>
        </ext>
      </extLst>
    </bk>
    <bk>
      <extLst>
        <ext uri="{3e2802c4-a4d2-4d8b-9148-e3be6c30e623}">
          <xlrd:rvb i="6308"/>
        </ext>
      </extLst>
    </bk>
    <bk>
      <extLst>
        <ext uri="{3e2802c4-a4d2-4d8b-9148-e3be6c30e623}">
          <xlrd:rvb i="6309"/>
        </ext>
      </extLst>
    </bk>
    <bk>
      <extLst>
        <ext uri="{3e2802c4-a4d2-4d8b-9148-e3be6c30e623}">
          <xlrd:rvb i="6310"/>
        </ext>
      </extLst>
    </bk>
    <bk>
      <extLst>
        <ext uri="{3e2802c4-a4d2-4d8b-9148-e3be6c30e623}">
          <xlrd:rvb i="6311"/>
        </ext>
      </extLst>
    </bk>
    <bk>
      <extLst>
        <ext uri="{3e2802c4-a4d2-4d8b-9148-e3be6c30e623}">
          <xlrd:rvb i="6312"/>
        </ext>
      </extLst>
    </bk>
    <bk>
      <extLst>
        <ext uri="{3e2802c4-a4d2-4d8b-9148-e3be6c30e623}">
          <xlrd:rvb i="6313"/>
        </ext>
      </extLst>
    </bk>
    <bk>
      <extLst>
        <ext uri="{3e2802c4-a4d2-4d8b-9148-e3be6c30e623}">
          <xlrd:rvb i="6314"/>
        </ext>
      </extLst>
    </bk>
    <bk>
      <extLst>
        <ext uri="{3e2802c4-a4d2-4d8b-9148-e3be6c30e623}">
          <xlrd:rvb i="6315"/>
        </ext>
      </extLst>
    </bk>
    <bk>
      <extLst>
        <ext uri="{3e2802c4-a4d2-4d8b-9148-e3be6c30e623}">
          <xlrd:rvb i="6316"/>
        </ext>
      </extLst>
    </bk>
    <bk>
      <extLst>
        <ext uri="{3e2802c4-a4d2-4d8b-9148-e3be6c30e623}">
          <xlrd:rvb i="6317"/>
        </ext>
      </extLst>
    </bk>
    <bk>
      <extLst>
        <ext uri="{3e2802c4-a4d2-4d8b-9148-e3be6c30e623}">
          <xlrd:rvb i="6318"/>
        </ext>
      </extLst>
    </bk>
    <bk>
      <extLst>
        <ext uri="{3e2802c4-a4d2-4d8b-9148-e3be6c30e623}">
          <xlrd:rvb i="6319"/>
        </ext>
      </extLst>
    </bk>
    <bk>
      <extLst>
        <ext uri="{3e2802c4-a4d2-4d8b-9148-e3be6c30e623}">
          <xlrd:rvb i="6320"/>
        </ext>
      </extLst>
    </bk>
    <bk>
      <extLst>
        <ext uri="{3e2802c4-a4d2-4d8b-9148-e3be6c30e623}">
          <xlrd:rvb i="6321"/>
        </ext>
      </extLst>
    </bk>
    <bk>
      <extLst>
        <ext uri="{3e2802c4-a4d2-4d8b-9148-e3be6c30e623}">
          <xlrd:rvb i="6322"/>
        </ext>
      </extLst>
    </bk>
    <bk>
      <extLst>
        <ext uri="{3e2802c4-a4d2-4d8b-9148-e3be6c30e623}">
          <xlrd:rvb i="6323"/>
        </ext>
      </extLst>
    </bk>
    <bk>
      <extLst>
        <ext uri="{3e2802c4-a4d2-4d8b-9148-e3be6c30e623}">
          <xlrd:rvb i="6324"/>
        </ext>
      </extLst>
    </bk>
    <bk>
      <extLst>
        <ext uri="{3e2802c4-a4d2-4d8b-9148-e3be6c30e623}">
          <xlrd:rvb i="6325"/>
        </ext>
      </extLst>
    </bk>
    <bk>
      <extLst>
        <ext uri="{3e2802c4-a4d2-4d8b-9148-e3be6c30e623}">
          <xlrd:rvb i="6326"/>
        </ext>
      </extLst>
    </bk>
    <bk>
      <extLst>
        <ext uri="{3e2802c4-a4d2-4d8b-9148-e3be6c30e623}">
          <xlrd:rvb i="6327"/>
        </ext>
      </extLst>
    </bk>
    <bk>
      <extLst>
        <ext uri="{3e2802c4-a4d2-4d8b-9148-e3be6c30e623}">
          <xlrd:rvb i="6328"/>
        </ext>
      </extLst>
    </bk>
    <bk>
      <extLst>
        <ext uri="{3e2802c4-a4d2-4d8b-9148-e3be6c30e623}">
          <xlrd:rvb i="6329"/>
        </ext>
      </extLst>
    </bk>
    <bk>
      <extLst>
        <ext uri="{3e2802c4-a4d2-4d8b-9148-e3be6c30e623}">
          <xlrd:rvb i="6330"/>
        </ext>
      </extLst>
    </bk>
    <bk>
      <extLst>
        <ext uri="{3e2802c4-a4d2-4d8b-9148-e3be6c30e623}">
          <xlrd:rvb i="6331"/>
        </ext>
      </extLst>
    </bk>
    <bk>
      <extLst>
        <ext uri="{3e2802c4-a4d2-4d8b-9148-e3be6c30e623}">
          <xlrd:rvb i="6332"/>
        </ext>
      </extLst>
    </bk>
    <bk>
      <extLst>
        <ext uri="{3e2802c4-a4d2-4d8b-9148-e3be6c30e623}">
          <xlrd:rvb i="6333"/>
        </ext>
      </extLst>
    </bk>
    <bk>
      <extLst>
        <ext uri="{3e2802c4-a4d2-4d8b-9148-e3be6c30e623}">
          <xlrd:rvb i="6334"/>
        </ext>
      </extLst>
    </bk>
    <bk>
      <extLst>
        <ext uri="{3e2802c4-a4d2-4d8b-9148-e3be6c30e623}">
          <xlrd:rvb i="6335"/>
        </ext>
      </extLst>
    </bk>
    <bk>
      <extLst>
        <ext uri="{3e2802c4-a4d2-4d8b-9148-e3be6c30e623}">
          <xlrd:rvb i="6336"/>
        </ext>
      </extLst>
    </bk>
    <bk>
      <extLst>
        <ext uri="{3e2802c4-a4d2-4d8b-9148-e3be6c30e623}">
          <xlrd:rvb i="6337"/>
        </ext>
      </extLst>
    </bk>
    <bk>
      <extLst>
        <ext uri="{3e2802c4-a4d2-4d8b-9148-e3be6c30e623}">
          <xlrd:rvb i="6338"/>
        </ext>
      </extLst>
    </bk>
    <bk>
      <extLst>
        <ext uri="{3e2802c4-a4d2-4d8b-9148-e3be6c30e623}">
          <xlrd:rvb i="6339"/>
        </ext>
      </extLst>
    </bk>
    <bk>
      <extLst>
        <ext uri="{3e2802c4-a4d2-4d8b-9148-e3be6c30e623}">
          <xlrd:rvb i="6340"/>
        </ext>
      </extLst>
    </bk>
    <bk>
      <extLst>
        <ext uri="{3e2802c4-a4d2-4d8b-9148-e3be6c30e623}">
          <xlrd:rvb i="6341"/>
        </ext>
      </extLst>
    </bk>
    <bk>
      <extLst>
        <ext uri="{3e2802c4-a4d2-4d8b-9148-e3be6c30e623}">
          <xlrd:rvb i="6342"/>
        </ext>
      </extLst>
    </bk>
    <bk>
      <extLst>
        <ext uri="{3e2802c4-a4d2-4d8b-9148-e3be6c30e623}">
          <xlrd:rvb i="6343"/>
        </ext>
      </extLst>
    </bk>
    <bk>
      <extLst>
        <ext uri="{3e2802c4-a4d2-4d8b-9148-e3be6c30e623}">
          <xlrd:rvb i="6344"/>
        </ext>
      </extLst>
    </bk>
    <bk>
      <extLst>
        <ext uri="{3e2802c4-a4d2-4d8b-9148-e3be6c30e623}">
          <xlrd:rvb i="6345"/>
        </ext>
      </extLst>
    </bk>
    <bk>
      <extLst>
        <ext uri="{3e2802c4-a4d2-4d8b-9148-e3be6c30e623}">
          <xlrd:rvb i="6346"/>
        </ext>
      </extLst>
    </bk>
    <bk>
      <extLst>
        <ext uri="{3e2802c4-a4d2-4d8b-9148-e3be6c30e623}">
          <xlrd:rvb i="6347"/>
        </ext>
      </extLst>
    </bk>
    <bk>
      <extLst>
        <ext uri="{3e2802c4-a4d2-4d8b-9148-e3be6c30e623}">
          <xlrd:rvb i="6348"/>
        </ext>
      </extLst>
    </bk>
    <bk>
      <extLst>
        <ext uri="{3e2802c4-a4d2-4d8b-9148-e3be6c30e623}">
          <xlrd:rvb i="6349"/>
        </ext>
      </extLst>
    </bk>
    <bk>
      <extLst>
        <ext uri="{3e2802c4-a4d2-4d8b-9148-e3be6c30e623}">
          <xlrd:rvb i="6350"/>
        </ext>
      </extLst>
    </bk>
    <bk>
      <extLst>
        <ext uri="{3e2802c4-a4d2-4d8b-9148-e3be6c30e623}">
          <xlrd:rvb i="6351"/>
        </ext>
      </extLst>
    </bk>
    <bk>
      <extLst>
        <ext uri="{3e2802c4-a4d2-4d8b-9148-e3be6c30e623}">
          <xlrd:rvb i="6352"/>
        </ext>
      </extLst>
    </bk>
    <bk>
      <extLst>
        <ext uri="{3e2802c4-a4d2-4d8b-9148-e3be6c30e623}">
          <xlrd:rvb i="6353"/>
        </ext>
      </extLst>
    </bk>
    <bk>
      <extLst>
        <ext uri="{3e2802c4-a4d2-4d8b-9148-e3be6c30e623}">
          <xlrd:rvb i="6354"/>
        </ext>
      </extLst>
    </bk>
    <bk>
      <extLst>
        <ext uri="{3e2802c4-a4d2-4d8b-9148-e3be6c30e623}">
          <xlrd:rvb i="6355"/>
        </ext>
      </extLst>
    </bk>
    <bk>
      <extLst>
        <ext uri="{3e2802c4-a4d2-4d8b-9148-e3be6c30e623}">
          <xlrd:rvb i="6356"/>
        </ext>
      </extLst>
    </bk>
    <bk>
      <extLst>
        <ext uri="{3e2802c4-a4d2-4d8b-9148-e3be6c30e623}">
          <xlrd:rvb i="6357"/>
        </ext>
      </extLst>
    </bk>
    <bk>
      <extLst>
        <ext uri="{3e2802c4-a4d2-4d8b-9148-e3be6c30e623}">
          <xlrd:rvb i="6358"/>
        </ext>
      </extLst>
    </bk>
    <bk>
      <extLst>
        <ext uri="{3e2802c4-a4d2-4d8b-9148-e3be6c30e623}">
          <xlrd:rvb i="6359"/>
        </ext>
      </extLst>
    </bk>
    <bk>
      <extLst>
        <ext uri="{3e2802c4-a4d2-4d8b-9148-e3be6c30e623}">
          <xlrd:rvb i="6360"/>
        </ext>
      </extLst>
    </bk>
    <bk>
      <extLst>
        <ext uri="{3e2802c4-a4d2-4d8b-9148-e3be6c30e623}">
          <xlrd:rvb i="6361"/>
        </ext>
      </extLst>
    </bk>
    <bk>
      <extLst>
        <ext uri="{3e2802c4-a4d2-4d8b-9148-e3be6c30e623}">
          <xlrd:rvb i="6362"/>
        </ext>
      </extLst>
    </bk>
    <bk>
      <extLst>
        <ext uri="{3e2802c4-a4d2-4d8b-9148-e3be6c30e623}">
          <xlrd:rvb i="6363"/>
        </ext>
      </extLst>
    </bk>
    <bk>
      <extLst>
        <ext uri="{3e2802c4-a4d2-4d8b-9148-e3be6c30e623}">
          <xlrd:rvb i="6364"/>
        </ext>
      </extLst>
    </bk>
    <bk>
      <extLst>
        <ext uri="{3e2802c4-a4d2-4d8b-9148-e3be6c30e623}">
          <xlrd:rvb i="6365"/>
        </ext>
      </extLst>
    </bk>
    <bk>
      <extLst>
        <ext uri="{3e2802c4-a4d2-4d8b-9148-e3be6c30e623}">
          <xlrd:rvb i="6366"/>
        </ext>
      </extLst>
    </bk>
    <bk>
      <extLst>
        <ext uri="{3e2802c4-a4d2-4d8b-9148-e3be6c30e623}">
          <xlrd:rvb i="6367"/>
        </ext>
      </extLst>
    </bk>
    <bk>
      <extLst>
        <ext uri="{3e2802c4-a4d2-4d8b-9148-e3be6c30e623}">
          <xlrd:rvb i="6368"/>
        </ext>
      </extLst>
    </bk>
    <bk>
      <extLst>
        <ext uri="{3e2802c4-a4d2-4d8b-9148-e3be6c30e623}">
          <xlrd:rvb i="6369"/>
        </ext>
      </extLst>
    </bk>
    <bk>
      <extLst>
        <ext uri="{3e2802c4-a4d2-4d8b-9148-e3be6c30e623}">
          <xlrd:rvb i="6370"/>
        </ext>
      </extLst>
    </bk>
    <bk>
      <extLst>
        <ext uri="{3e2802c4-a4d2-4d8b-9148-e3be6c30e623}">
          <xlrd:rvb i="6371"/>
        </ext>
      </extLst>
    </bk>
    <bk>
      <extLst>
        <ext uri="{3e2802c4-a4d2-4d8b-9148-e3be6c30e623}">
          <xlrd:rvb i="6372"/>
        </ext>
      </extLst>
    </bk>
    <bk>
      <extLst>
        <ext uri="{3e2802c4-a4d2-4d8b-9148-e3be6c30e623}">
          <xlrd:rvb i="6373"/>
        </ext>
      </extLst>
    </bk>
    <bk>
      <extLst>
        <ext uri="{3e2802c4-a4d2-4d8b-9148-e3be6c30e623}">
          <xlrd:rvb i="6374"/>
        </ext>
      </extLst>
    </bk>
    <bk>
      <extLst>
        <ext uri="{3e2802c4-a4d2-4d8b-9148-e3be6c30e623}">
          <xlrd:rvb i="6375"/>
        </ext>
      </extLst>
    </bk>
    <bk>
      <extLst>
        <ext uri="{3e2802c4-a4d2-4d8b-9148-e3be6c30e623}">
          <xlrd:rvb i="6376"/>
        </ext>
      </extLst>
    </bk>
    <bk>
      <extLst>
        <ext uri="{3e2802c4-a4d2-4d8b-9148-e3be6c30e623}">
          <xlrd:rvb i="6377"/>
        </ext>
      </extLst>
    </bk>
    <bk>
      <extLst>
        <ext uri="{3e2802c4-a4d2-4d8b-9148-e3be6c30e623}">
          <xlrd:rvb i="6378"/>
        </ext>
      </extLst>
    </bk>
    <bk>
      <extLst>
        <ext uri="{3e2802c4-a4d2-4d8b-9148-e3be6c30e623}">
          <xlrd:rvb i="6379"/>
        </ext>
      </extLst>
    </bk>
    <bk>
      <extLst>
        <ext uri="{3e2802c4-a4d2-4d8b-9148-e3be6c30e623}">
          <xlrd:rvb i="6380"/>
        </ext>
      </extLst>
    </bk>
    <bk>
      <extLst>
        <ext uri="{3e2802c4-a4d2-4d8b-9148-e3be6c30e623}">
          <xlrd:rvb i="6381"/>
        </ext>
      </extLst>
    </bk>
    <bk>
      <extLst>
        <ext uri="{3e2802c4-a4d2-4d8b-9148-e3be6c30e623}">
          <xlrd:rvb i="6382"/>
        </ext>
      </extLst>
    </bk>
    <bk>
      <extLst>
        <ext uri="{3e2802c4-a4d2-4d8b-9148-e3be6c30e623}">
          <xlrd:rvb i="6383"/>
        </ext>
      </extLst>
    </bk>
    <bk>
      <extLst>
        <ext uri="{3e2802c4-a4d2-4d8b-9148-e3be6c30e623}">
          <xlrd:rvb i="6384"/>
        </ext>
      </extLst>
    </bk>
    <bk>
      <extLst>
        <ext uri="{3e2802c4-a4d2-4d8b-9148-e3be6c30e623}">
          <xlrd:rvb i="6385"/>
        </ext>
      </extLst>
    </bk>
    <bk>
      <extLst>
        <ext uri="{3e2802c4-a4d2-4d8b-9148-e3be6c30e623}">
          <xlrd:rvb i="6386"/>
        </ext>
      </extLst>
    </bk>
    <bk>
      <extLst>
        <ext uri="{3e2802c4-a4d2-4d8b-9148-e3be6c30e623}">
          <xlrd:rvb i="6387"/>
        </ext>
      </extLst>
    </bk>
    <bk>
      <extLst>
        <ext uri="{3e2802c4-a4d2-4d8b-9148-e3be6c30e623}">
          <xlrd:rvb i="6388"/>
        </ext>
      </extLst>
    </bk>
    <bk>
      <extLst>
        <ext uri="{3e2802c4-a4d2-4d8b-9148-e3be6c30e623}">
          <xlrd:rvb i="6389"/>
        </ext>
      </extLst>
    </bk>
    <bk>
      <extLst>
        <ext uri="{3e2802c4-a4d2-4d8b-9148-e3be6c30e623}">
          <xlrd:rvb i="6390"/>
        </ext>
      </extLst>
    </bk>
    <bk>
      <extLst>
        <ext uri="{3e2802c4-a4d2-4d8b-9148-e3be6c30e623}">
          <xlrd:rvb i="6391"/>
        </ext>
      </extLst>
    </bk>
    <bk>
      <extLst>
        <ext uri="{3e2802c4-a4d2-4d8b-9148-e3be6c30e623}">
          <xlrd:rvb i="6392"/>
        </ext>
      </extLst>
    </bk>
    <bk>
      <extLst>
        <ext uri="{3e2802c4-a4d2-4d8b-9148-e3be6c30e623}">
          <xlrd:rvb i="6393"/>
        </ext>
      </extLst>
    </bk>
    <bk>
      <extLst>
        <ext uri="{3e2802c4-a4d2-4d8b-9148-e3be6c30e623}">
          <xlrd:rvb i="6394"/>
        </ext>
      </extLst>
    </bk>
    <bk>
      <extLst>
        <ext uri="{3e2802c4-a4d2-4d8b-9148-e3be6c30e623}">
          <xlrd:rvb i="6395"/>
        </ext>
      </extLst>
    </bk>
    <bk>
      <extLst>
        <ext uri="{3e2802c4-a4d2-4d8b-9148-e3be6c30e623}">
          <xlrd:rvb i="6396"/>
        </ext>
      </extLst>
    </bk>
    <bk>
      <extLst>
        <ext uri="{3e2802c4-a4d2-4d8b-9148-e3be6c30e623}">
          <xlrd:rvb i="6397"/>
        </ext>
      </extLst>
    </bk>
    <bk>
      <extLst>
        <ext uri="{3e2802c4-a4d2-4d8b-9148-e3be6c30e623}">
          <xlrd:rvb i="6398"/>
        </ext>
      </extLst>
    </bk>
    <bk>
      <extLst>
        <ext uri="{3e2802c4-a4d2-4d8b-9148-e3be6c30e623}">
          <xlrd:rvb i="6399"/>
        </ext>
      </extLst>
    </bk>
    <bk>
      <extLst>
        <ext uri="{3e2802c4-a4d2-4d8b-9148-e3be6c30e623}">
          <xlrd:rvb i="6400"/>
        </ext>
      </extLst>
    </bk>
    <bk>
      <extLst>
        <ext uri="{3e2802c4-a4d2-4d8b-9148-e3be6c30e623}">
          <xlrd:rvb i="6401"/>
        </ext>
      </extLst>
    </bk>
    <bk>
      <extLst>
        <ext uri="{3e2802c4-a4d2-4d8b-9148-e3be6c30e623}">
          <xlrd:rvb i="6402"/>
        </ext>
      </extLst>
    </bk>
    <bk>
      <extLst>
        <ext uri="{3e2802c4-a4d2-4d8b-9148-e3be6c30e623}">
          <xlrd:rvb i="6403"/>
        </ext>
      </extLst>
    </bk>
    <bk>
      <extLst>
        <ext uri="{3e2802c4-a4d2-4d8b-9148-e3be6c30e623}">
          <xlrd:rvb i="6404"/>
        </ext>
      </extLst>
    </bk>
    <bk>
      <extLst>
        <ext uri="{3e2802c4-a4d2-4d8b-9148-e3be6c30e623}">
          <xlrd:rvb i="6405"/>
        </ext>
      </extLst>
    </bk>
    <bk>
      <extLst>
        <ext uri="{3e2802c4-a4d2-4d8b-9148-e3be6c30e623}">
          <xlrd:rvb i="6406"/>
        </ext>
      </extLst>
    </bk>
    <bk>
      <extLst>
        <ext uri="{3e2802c4-a4d2-4d8b-9148-e3be6c30e623}">
          <xlrd:rvb i="6407"/>
        </ext>
      </extLst>
    </bk>
    <bk>
      <extLst>
        <ext uri="{3e2802c4-a4d2-4d8b-9148-e3be6c30e623}">
          <xlrd:rvb i="6408"/>
        </ext>
      </extLst>
    </bk>
    <bk>
      <extLst>
        <ext uri="{3e2802c4-a4d2-4d8b-9148-e3be6c30e623}">
          <xlrd:rvb i="6409"/>
        </ext>
      </extLst>
    </bk>
    <bk>
      <extLst>
        <ext uri="{3e2802c4-a4d2-4d8b-9148-e3be6c30e623}">
          <xlrd:rvb i="6410"/>
        </ext>
      </extLst>
    </bk>
    <bk>
      <extLst>
        <ext uri="{3e2802c4-a4d2-4d8b-9148-e3be6c30e623}">
          <xlrd:rvb i="6411"/>
        </ext>
      </extLst>
    </bk>
    <bk>
      <extLst>
        <ext uri="{3e2802c4-a4d2-4d8b-9148-e3be6c30e623}">
          <xlrd:rvb i="6412"/>
        </ext>
      </extLst>
    </bk>
    <bk>
      <extLst>
        <ext uri="{3e2802c4-a4d2-4d8b-9148-e3be6c30e623}">
          <xlrd:rvb i="6413"/>
        </ext>
      </extLst>
    </bk>
    <bk>
      <extLst>
        <ext uri="{3e2802c4-a4d2-4d8b-9148-e3be6c30e623}">
          <xlrd:rvb i="6414"/>
        </ext>
      </extLst>
    </bk>
    <bk>
      <extLst>
        <ext uri="{3e2802c4-a4d2-4d8b-9148-e3be6c30e623}">
          <xlrd:rvb i="6415"/>
        </ext>
      </extLst>
    </bk>
    <bk>
      <extLst>
        <ext uri="{3e2802c4-a4d2-4d8b-9148-e3be6c30e623}">
          <xlrd:rvb i="6416"/>
        </ext>
      </extLst>
    </bk>
    <bk>
      <extLst>
        <ext uri="{3e2802c4-a4d2-4d8b-9148-e3be6c30e623}">
          <xlrd:rvb i="6417"/>
        </ext>
      </extLst>
    </bk>
    <bk>
      <extLst>
        <ext uri="{3e2802c4-a4d2-4d8b-9148-e3be6c30e623}">
          <xlrd:rvb i="6418"/>
        </ext>
      </extLst>
    </bk>
    <bk>
      <extLst>
        <ext uri="{3e2802c4-a4d2-4d8b-9148-e3be6c30e623}">
          <xlrd:rvb i="6419"/>
        </ext>
      </extLst>
    </bk>
    <bk>
      <extLst>
        <ext uri="{3e2802c4-a4d2-4d8b-9148-e3be6c30e623}">
          <xlrd:rvb i="6420"/>
        </ext>
      </extLst>
    </bk>
    <bk>
      <extLst>
        <ext uri="{3e2802c4-a4d2-4d8b-9148-e3be6c30e623}">
          <xlrd:rvb i="6421"/>
        </ext>
      </extLst>
    </bk>
    <bk>
      <extLst>
        <ext uri="{3e2802c4-a4d2-4d8b-9148-e3be6c30e623}">
          <xlrd:rvb i="6422"/>
        </ext>
      </extLst>
    </bk>
    <bk>
      <extLst>
        <ext uri="{3e2802c4-a4d2-4d8b-9148-e3be6c30e623}">
          <xlrd:rvb i="6423"/>
        </ext>
      </extLst>
    </bk>
    <bk>
      <extLst>
        <ext uri="{3e2802c4-a4d2-4d8b-9148-e3be6c30e623}">
          <xlrd:rvb i="6424"/>
        </ext>
      </extLst>
    </bk>
    <bk>
      <extLst>
        <ext uri="{3e2802c4-a4d2-4d8b-9148-e3be6c30e623}">
          <xlrd:rvb i="6425"/>
        </ext>
      </extLst>
    </bk>
    <bk>
      <extLst>
        <ext uri="{3e2802c4-a4d2-4d8b-9148-e3be6c30e623}">
          <xlrd:rvb i="6426"/>
        </ext>
      </extLst>
    </bk>
    <bk>
      <extLst>
        <ext uri="{3e2802c4-a4d2-4d8b-9148-e3be6c30e623}">
          <xlrd:rvb i="6427"/>
        </ext>
      </extLst>
    </bk>
    <bk>
      <extLst>
        <ext uri="{3e2802c4-a4d2-4d8b-9148-e3be6c30e623}">
          <xlrd:rvb i="6428"/>
        </ext>
      </extLst>
    </bk>
    <bk>
      <extLst>
        <ext uri="{3e2802c4-a4d2-4d8b-9148-e3be6c30e623}">
          <xlrd:rvb i="6429"/>
        </ext>
      </extLst>
    </bk>
    <bk>
      <extLst>
        <ext uri="{3e2802c4-a4d2-4d8b-9148-e3be6c30e623}">
          <xlrd:rvb i="6430"/>
        </ext>
      </extLst>
    </bk>
    <bk>
      <extLst>
        <ext uri="{3e2802c4-a4d2-4d8b-9148-e3be6c30e623}">
          <xlrd:rvb i="6431"/>
        </ext>
      </extLst>
    </bk>
    <bk>
      <extLst>
        <ext uri="{3e2802c4-a4d2-4d8b-9148-e3be6c30e623}">
          <xlrd:rvb i="6432"/>
        </ext>
      </extLst>
    </bk>
    <bk>
      <extLst>
        <ext uri="{3e2802c4-a4d2-4d8b-9148-e3be6c30e623}">
          <xlrd:rvb i="6433"/>
        </ext>
      </extLst>
    </bk>
    <bk>
      <extLst>
        <ext uri="{3e2802c4-a4d2-4d8b-9148-e3be6c30e623}">
          <xlrd:rvb i="6434"/>
        </ext>
      </extLst>
    </bk>
    <bk>
      <extLst>
        <ext uri="{3e2802c4-a4d2-4d8b-9148-e3be6c30e623}">
          <xlrd:rvb i="6435"/>
        </ext>
      </extLst>
    </bk>
    <bk>
      <extLst>
        <ext uri="{3e2802c4-a4d2-4d8b-9148-e3be6c30e623}">
          <xlrd:rvb i="6436"/>
        </ext>
      </extLst>
    </bk>
    <bk>
      <extLst>
        <ext uri="{3e2802c4-a4d2-4d8b-9148-e3be6c30e623}">
          <xlrd:rvb i="6437"/>
        </ext>
      </extLst>
    </bk>
    <bk>
      <extLst>
        <ext uri="{3e2802c4-a4d2-4d8b-9148-e3be6c30e623}">
          <xlrd:rvb i="6438"/>
        </ext>
      </extLst>
    </bk>
    <bk>
      <extLst>
        <ext uri="{3e2802c4-a4d2-4d8b-9148-e3be6c30e623}">
          <xlrd:rvb i="6439"/>
        </ext>
      </extLst>
    </bk>
    <bk>
      <extLst>
        <ext uri="{3e2802c4-a4d2-4d8b-9148-e3be6c30e623}">
          <xlrd:rvb i="6440"/>
        </ext>
      </extLst>
    </bk>
    <bk>
      <extLst>
        <ext uri="{3e2802c4-a4d2-4d8b-9148-e3be6c30e623}">
          <xlrd:rvb i="6441"/>
        </ext>
      </extLst>
    </bk>
    <bk>
      <extLst>
        <ext uri="{3e2802c4-a4d2-4d8b-9148-e3be6c30e623}">
          <xlrd:rvb i="6442"/>
        </ext>
      </extLst>
    </bk>
    <bk>
      <extLst>
        <ext uri="{3e2802c4-a4d2-4d8b-9148-e3be6c30e623}">
          <xlrd:rvb i="6443"/>
        </ext>
      </extLst>
    </bk>
    <bk>
      <extLst>
        <ext uri="{3e2802c4-a4d2-4d8b-9148-e3be6c30e623}">
          <xlrd:rvb i="6444"/>
        </ext>
      </extLst>
    </bk>
    <bk>
      <extLst>
        <ext uri="{3e2802c4-a4d2-4d8b-9148-e3be6c30e623}">
          <xlrd:rvb i="6445"/>
        </ext>
      </extLst>
    </bk>
    <bk>
      <extLst>
        <ext uri="{3e2802c4-a4d2-4d8b-9148-e3be6c30e623}">
          <xlrd:rvb i="6446"/>
        </ext>
      </extLst>
    </bk>
    <bk>
      <extLst>
        <ext uri="{3e2802c4-a4d2-4d8b-9148-e3be6c30e623}">
          <xlrd:rvb i="6447"/>
        </ext>
      </extLst>
    </bk>
    <bk>
      <extLst>
        <ext uri="{3e2802c4-a4d2-4d8b-9148-e3be6c30e623}">
          <xlrd:rvb i="6448"/>
        </ext>
      </extLst>
    </bk>
    <bk>
      <extLst>
        <ext uri="{3e2802c4-a4d2-4d8b-9148-e3be6c30e623}">
          <xlrd:rvb i="6449"/>
        </ext>
      </extLst>
    </bk>
    <bk>
      <extLst>
        <ext uri="{3e2802c4-a4d2-4d8b-9148-e3be6c30e623}">
          <xlrd:rvb i="6450"/>
        </ext>
      </extLst>
    </bk>
    <bk>
      <extLst>
        <ext uri="{3e2802c4-a4d2-4d8b-9148-e3be6c30e623}">
          <xlrd:rvb i="6451"/>
        </ext>
      </extLst>
    </bk>
    <bk>
      <extLst>
        <ext uri="{3e2802c4-a4d2-4d8b-9148-e3be6c30e623}">
          <xlrd:rvb i="6452"/>
        </ext>
      </extLst>
    </bk>
    <bk>
      <extLst>
        <ext uri="{3e2802c4-a4d2-4d8b-9148-e3be6c30e623}">
          <xlrd:rvb i="6453"/>
        </ext>
      </extLst>
    </bk>
    <bk>
      <extLst>
        <ext uri="{3e2802c4-a4d2-4d8b-9148-e3be6c30e623}">
          <xlrd:rvb i="6454"/>
        </ext>
      </extLst>
    </bk>
    <bk>
      <extLst>
        <ext uri="{3e2802c4-a4d2-4d8b-9148-e3be6c30e623}">
          <xlrd:rvb i="6455"/>
        </ext>
      </extLst>
    </bk>
    <bk>
      <extLst>
        <ext uri="{3e2802c4-a4d2-4d8b-9148-e3be6c30e623}">
          <xlrd:rvb i="6456"/>
        </ext>
      </extLst>
    </bk>
    <bk>
      <extLst>
        <ext uri="{3e2802c4-a4d2-4d8b-9148-e3be6c30e623}">
          <xlrd:rvb i="6457"/>
        </ext>
      </extLst>
    </bk>
    <bk>
      <extLst>
        <ext uri="{3e2802c4-a4d2-4d8b-9148-e3be6c30e623}">
          <xlrd:rvb i="6458"/>
        </ext>
      </extLst>
    </bk>
    <bk>
      <extLst>
        <ext uri="{3e2802c4-a4d2-4d8b-9148-e3be6c30e623}">
          <xlrd:rvb i="6459"/>
        </ext>
      </extLst>
    </bk>
    <bk>
      <extLst>
        <ext uri="{3e2802c4-a4d2-4d8b-9148-e3be6c30e623}">
          <xlrd:rvb i="6460"/>
        </ext>
      </extLst>
    </bk>
    <bk>
      <extLst>
        <ext uri="{3e2802c4-a4d2-4d8b-9148-e3be6c30e623}">
          <xlrd:rvb i="6461"/>
        </ext>
      </extLst>
    </bk>
    <bk>
      <extLst>
        <ext uri="{3e2802c4-a4d2-4d8b-9148-e3be6c30e623}">
          <xlrd:rvb i="6462"/>
        </ext>
      </extLst>
    </bk>
    <bk>
      <extLst>
        <ext uri="{3e2802c4-a4d2-4d8b-9148-e3be6c30e623}">
          <xlrd:rvb i="6463"/>
        </ext>
      </extLst>
    </bk>
    <bk>
      <extLst>
        <ext uri="{3e2802c4-a4d2-4d8b-9148-e3be6c30e623}">
          <xlrd:rvb i="6464"/>
        </ext>
      </extLst>
    </bk>
    <bk>
      <extLst>
        <ext uri="{3e2802c4-a4d2-4d8b-9148-e3be6c30e623}">
          <xlrd:rvb i="6465"/>
        </ext>
      </extLst>
    </bk>
    <bk>
      <extLst>
        <ext uri="{3e2802c4-a4d2-4d8b-9148-e3be6c30e623}">
          <xlrd:rvb i="6466"/>
        </ext>
      </extLst>
    </bk>
    <bk>
      <extLst>
        <ext uri="{3e2802c4-a4d2-4d8b-9148-e3be6c30e623}">
          <xlrd:rvb i="6467"/>
        </ext>
      </extLst>
    </bk>
    <bk>
      <extLst>
        <ext uri="{3e2802c4-a4d2-4d8b-9148-e3be6c30e623}">
          <xlrd:rvb i="6468"/>
        </ext>
      </extLst>
    </bk>
    <bk>
      <extLst>
        <ext uri="{3e2802c4-a4d2-4d8b-9148-e3be6c30e623}">
          <xlrd:rvb i="6469"/>
        </ext>
      </extLst>
    </bk>
    <bk>
      <extLst>
        <ext uri="{3e2802c4-a4d2-4d8b-9148-e3be6c30e623}">
          <xlrd:rvb i="6470"/>
        </ext>
      </extLst>
    </bk>
    <bk>
      <extLst>
        <ext uri="{3e2802c4-a4d2-4d8b-9148-e3be6c30e623}">
          <xlrd:rvb i="6471"/>
        </ext>
      </extLst>
    </bk>
    <bk>
      <extLst>
        <ext uri="{3e2802c4-a4d2-4d8b-9148-e3be6c30e623}">
          <xlrd:rvb i="6472"/>
        </ext>
      </extLst>
    </bk>
    <bk>
      <extLst>
        <ext uri="{3e2802c4-a4d2-4d8b-9148-e3be6c30e623}">
          <xlrd:rvb i="6473"/>
        </ext>
      </extLst>
    </bk>
    <bk>
      <extLst>
        <ext uri="{3e2802c4-a4d2-4d8b-9148-e3be6c30e623}">
          <xlrd:rvb i="6474"/>
        </ext>
      </extLst>
    </bk>
    <bk>
      <extLst>
        <ext uri="{3e2802c4-a4d2-4d8b-9148-e3be6c30e623}">
          <xlrd:rvb i="6475"/>
        </ext>
      </extLst>
    </bk>
    <bk>
      <extLst>
        <ext uri="{3e2802c4-a4d2-4d8b-9148-e3be6c30e623}">
          <xlrd:rvb i="6476"/>
        </ext>
      </extLst>
    </bk>
    <bk>
      <extLst>
        <ext uri="{3e2802c4-a4d2-4d8b-9148-e3be6c30e623}">
          <xlrd:rvb i="6477"/>
        </ext>
      </extLst>
    </bk>
    <bk>
      <extLst>
        <ext uri="{3e2802c4-a4d2-4d8b-9148-e3be6c30e623}">
          <xlrd:rvb i="6478"/>
        </ext>
      </extLst>
    </bk>
    <bk>
      <extLst>
        <ext uri="{3e2802c4-a4d2-4d8b-9148-e3be6c30e623}">
          <xlrd:rvb i="6479"/>
        </ext>
      </extLst>
    </bk>
    <bk>
      <extLst>
        <ext uri="{3e2802c4-a4d2-4d8b-9148-e3be6c30e623}">
          <xlrd:rvb i="6480"/>
        </ext>
      </extLst>
    </bk>
    <bk>
      <extLst>
        <ext uri="{3e2802c4-a4d2-4d8b-9148-e3be6c30e623}">
          <xlrd:rvb i="6481"/>
        </ext>
      </extLst>
    </bk>
    <bk>
      <extLst>
        <ext uri="{3e2802c4-a4d2-4d8b-9148-e3be6c30e623}">
          <xlrd:rvb i="6482"/>
        </ext>
      </extLst>
    </bk>
    <bk>
      <extLst>
        <ext uri="{3e2802c4-a4d2-4d8b-9148-e3be6c30e623}">
          <xlrd:rvb i="6483"/>
        </ext>
      </extLst>
    </bk>
    <bk>
      <extLst>
        <ext uri="{3e2802c4-a4d2-4d8b-9148-e3be6c30e623}">
          <xlrd:rvb i="6484"/>
        </ext>
      </extLst>
    </bk>
    <bk>
      <extLst>
        <ext uri="{3e2802c4-a4d2-4d8b-9148-e3be6c30e623}">
          <xlrd:rvb i="6485"/>
        </ext>
      </extLst>
    </bk>
    <bk>
      <extLst>
        <ext uri="{3e2802c4-a4d2-4d8b-9148-e3be6c30e623}">
          <xlrd:rvb i="6486"/>
        </ext>
      </extLst>
    </bk>
    <bk>
      <extLst>
        <ext uri="{3e2802c4-a4d2-4d8b-9148-e3be6c30e623}">
          <xlrd:rvb i="6487"/>
        </ext>
      </extLst>
    </bk>
    <bk>
      <extLst>
        <ext uri="{3e2802c4-a4d2-4d8b-9148-e3be6c30e623}">
          <xlrd:rvb i="6488"/>
        </ext>
      </extLst>
    </bk>
    <bk>
      <extLst>
        <ext uri="{3e2802c4-a4d2-4d8b-9148-e3be6c30e623}">
          <xlrd:rvb i="6489"/>
        </ext>
      </extLst>
    </bk>
    <bk>
      <extLst>
        <ext uri="{3e2802c4-a4d2-4d8b-9148-e3be6c30e623}">
          <xlrd:rvb i="6490"/>
        </ext>
      </extLst>
    </bk>
    <bk>
      <extLst>
        <ext uri="{3e2802c4-a4d2-4d8b-9148-e3be6c30e623}">
          <xlrd:rvb i="6491"/>
        </ext>
      </extLst>
    </bk>
    <bk>
      <extLst>
        <ext uri="{3e2802c4-a4d2-4d8b-9148-e3be6c30e623}">
          <xlrd:rvb i="6492"/>
        </ext>
      </extLst>
    </bk>
    <bk>
      <extLst>
        <ext uri="{3e2802c4-a4d2-4d8b-9148-e3be6c30e623}">
          <xlrd:rvb i="6493"/>
        </ext>
      </extLst>
    </bk>
    <bk>
      <extLst>
        <ext uri="{3e2802c4-a4d2-4d8b-9148-e3be6c30e623}">
          <xlrd:rvb i="6494"/>
        </ext>
      </extLst>
    </bk>
    <bk>
      <extLst>
        <ext uri="{3e2802c4-a4d2-4d8b-9148-e3be6c30e623}">
          <xlrd:rvb i="6495"/>
        </ext>
      </extLst>
    </bk>
    <bk>
      <extLst>
        <ext uri="{3e2802c4-a4d2-4d8b-9148-e3be6c30e623}">
          <xlrd:rvb i="6496"/>
        </ext>
      </extLst>
    </bk>
    <bk>
      <extLst>
        <ext uri="{3e2802c4-a4d2-4d8b-9148-e3be6c30e623}">
          <xlrd:rvb i="6497"/>
        </ext>
      </extLst>
    </bk>
    <bk>
      <extLst>
        <ext uri="{3e2802c4-a4d2-4d8b-9148-e3be6c30e623}">
          <xlrd:rvb i="6498"/>
        </ext>
      </extLst>
    </bk>
    <bk>
      <extLst>
        <ext uri="{3e2802c4-a4d2-4d8b-9148-e3be6c30e623}">
          <xlrd:rvb i="6499"/>
        </ext>
      </extLst>
    </bk>
    <bk>
      <extLst>
        <ext uri="{3e2802c4-a4d2-4d8b-9148-e3be6c30e623}">
          <xlrd:rvb i="6500"/>
        </ext>
      </extLst>
    </bk>
    <bk>
      <extLst>
        <ext uri="{3e2802c4-a4d2-4d8b-9148-e3be6c30e623}">
          <xlrd:rvb i="6501"/>
        </ext>
      </extLst>
    </bk>
    <bk>
      <extLst>
        <ext uri="{3e2802c4-a4d2-4d8b-9148-e3be6c30e623}">
          <xlrd:rvb i="6502"/>
        </ext>
      </extLst>
    </bk>
    <bk>
      <extLst>
        <ext uri="{3e2802c4-a4d2-4d8b-9148-e3be6c30e623}">
          <xlrd:rvb i="6503"/>
        </ext>
      </extLst>
    </bk>
    <bk>
      <extLst>
        <ext uri="{3e2802c4-a4d2-4d8b-9148-e3be6c30e623}">
          <xlrd:rvb i="6504"/>
        </ext>
      </extLst>
    </bk>
    <bk>
      <extLst>
        <ext uri="{3e2802c4-a4d2-4d8b-9148-e3be6c30e623}">
          <xlrd:rvb i="6505"/>
        </ext>
      </extLst>
    </bk>
    <bk>
      <extLst>
        <ext uri="{3e2802c4-a4d2-4d8b-9148-e3be6c30e623}">
          <xlrd:rvb i="6506"/>
        </ext>
      </extLst>
    </bk>
    <bk>
      <extLst>
        <ext uri="{3e2802c4-a4d2-4d8b-9148-e3be6c30e623}">
          <xlrd:rvb i="6507"/>
        </ext>
      </extLst>
    </bk>
    <bk>
      <extLst>
        <ext uri="{3e2802c4-a4d2-4d8b-9148-e3be6c30e623}">
          <xlrd:rvb i="6508"/>
        </ext>
      </extLst>
    </bk>
    <bk>
      <extLst>
        <ext uri="{3e2802c4-a4d2-4d8b-9148-e3be6c30e623}">
          <xlrd:rvb i="6509"/>
        </ext>
      </extLst>
    </bk>
    <bk>
      <extLst>
        <ext uri="{3e2802c4-a4d2-4d8b-9148-e3be6c30e623}">
          <xlrd:rvb i="6510"/>
        </ext>
      </extLst>
    </bk>
    <bk>
      <extLst>
        <ext uri="{3e2802c4-a4d2-4d8b-9148-e3be6c30e623}">
          <xlrd:rvb i="6511"/>
        </ext>
      </extLst>
    </bk>
    <bk>
      <extLst>
        <ext uri="{3e2802c4-a4d2-4d8b-9148-e3be6c30e623}">
          <xlrd:rvb i="6512"/>
        </ext>
      </extLst>
    </bk>
    <bk>
      <extLst>
        <ext uri="{3e2802c4-a4d2-4d8b-9148-e3be6c30e623}">
          <xlrd:rvb i="6513"/>
        </ext>
      </extLst>
    </bk>
    <bk>
      <extLst>
        <ext uri="{3e2802c4-a4d2-4d8b-9148-e3be6c30e623}">
          <xlrd:rvb i="6514"/>
        </ext>
      </extLst>
    </bk>
    <bk>
      <extLst>
        <ext uri="{3e2802c4-a4d2-4d8b-9148-e3be6c30e623}">
          <xlrd:rvb i="6515"/>
        </ext>
      </extLst>
    </bk>
    <bk>
      <extLst>
        <ext uri="{3e2802c4-a4d2-4d8b-9148-e3be6c30e623}">
          <xlrd:rvb i="6516"/>
        </ext>
      </extLst>
    </bk>
    <bk>
      <extLst>
        <ext uri="{3e2802c4-a4d2-4d8b-9148-e3be6c30e623}">
          <xlrd:rvb i="6517"/>
        </ext>
      </extLst>
    </bk>
    <bk>
      <extLst>
        <ext uri="{3e2802c4-a4d2-4d8b-9148-e3be6c30e623}">
          <xlrd:rvb i="6518"/>
        </ext>
      </extLst>
    </bk>
    <bk>
      <extLst>
        <ext uri="{3e2802c4-a4d2-4d8b-9148-e3be6c30e623}">
          <xlrd:rvb i="6519"/>
        </ext>
      </extLst>
    </bk>
    <bk>
      <extLst>
        <ext uri="{3e2802c4-a4d2-4d8b-9148-e3be6c30e623}">
          <xlrd:rvb i="6520"/>
        </ext>
      </extLst>
    </bk>
    <bk>
      <extLst>
        <ext uri="{3e2802c4-a4d2-4d8b-9148-e3be6c30e623}">
          <xlrd:rvb i="6521"/>
        </ext>
      </extLst>
    </bk>
    <bk>
      <extLst>
        <ext uri="{3e2802c4-a4d2-4d8b-9148-e3be6c30e623}">
          <xlrd:rvb i="6522"/>
        </ext>
      </extLst>
    </bk>
    <bk>
      <extLst>
        <ext uri="{3e2802c4-a4d2-4d8b-9148-e3be6c30e623}">
          <xlrd:rvb i="6523"/>
        </ext>
      </extLst>
    </bk>
    <bk>
      <extLst>
        <ext uri="{3e2802c4-a4d2-4d8b-9148-e3be6c30e623}">
          <xlrd:rvb i="6524"/>
        </ext>
      </extLst>
    </bk>
    <bk>
      <extLst>
        <ext uri="{3e2802c4-a4d2-4d8b-9148-e3be6c30e623}">
          <xlrd:rvb i="6525"/>
        </ext>
      </extLst>
    </bk>
    <bk>
      <extLst>
        <ext uri="{3e2802c4-a4d2-4d8b-9148-e3be6c30e623}">
          <xlrd:rvb i="6526"/>
        </ext>
      </extLst>
    </bk>
    <bk>
      <extLst>
        <ext uri="{3e2802c4-a4d2-4d8b-9148-e3be6c30e623}">
          <xlrd:rvb i="6527"/>
        </ext>
      </extLst>
    </bk>
    <bk>
      <extLst>
        <ext uri="{3e2802c4-a4d2-4d8b-9148-e3be6c30e623}">
          <xlrd:rvb i="6528"/>
        </ext>
      </extLst>
    </bk>
    <bk>
      <extLst>
        <ext uri="{3e2802c4-a4d2-4d8b-9148-e3be6c30e623}">
          <xlrd:rvb i="6529"/>
        </ext>
      </extLst>
    </bk>
    <bk>
      <extLst>
        <ext uri="{3e2802c4-a4d2-4d8b-9148-e3be6c30e623}">
          <xlrd:rvb i="6530"/>
        </ext>
      </extLst>
    </bk>
    <bk>
      <extLst>
        <ext uri="{3e2802c4-a4d2-4d8b-9148-e3be6c30e623}">
          <xlrd:rvb i="6531"/>
        </ext>
      </extLst>
    </bk>
    <bk>
      <extLst>
        <ext uri="{3e2802c4-a4d2-4d8b-9148-e3be6c30e623}">
          <xlrd:rvb i="6532"/>
        </ext>
      </extLst>
    </bk>
    <bk>
      <extLst>
        <ext uri="{3e2802c4-a4d2-4d8b-9148-e3be6c30e623}">
          <xlrd:rvb i="6533"/>
        </ext>
      </extLst>
    </bk>
    <bk>
      <extLst>
        <ext uri="{3e2802c4-a4d2-4d8b-9148-e3be6c30e623}">
          <xlrd:rvb i="6534"/>
        </ext>
      </extLst>
    </bk>
    <bk>
      <extLst>
        <ext uri="{3e2802c4-a4d2-4d8b-9148-e3be6c30e623}">
          <xlrd:rvb i="6535"/>
        </ext>
      </extLst>
    </bk>
    <bk>
      <extLst>
        <ext uri="{3e2802c4-a4d2-4d8b-9148-e3be6c30e623}">
          <xlrd:rvb i="6536"/>
        </ext>
      </extLst>
    </bk>
    <bk>
      <extLst>
        <ext uri="{3e2802c4-a4d2-4d8b-9148-e3be6c30e623}">
          <xlrd:rvb i="6537"/>
        </ext>
      </extLst>
    </bk>
    <bk>
      <extLst>
        <ext uri="{3e2802c4-a4d2-4d8b-9148-e3be6c30e623}">
          <xlrd:rvb i="6538"/>
        </ext>
      </extLst>
    </bk>
    <bk>
      <extLst>
        <ext uri="{3e2802c4-a4d2-4d8b-9148-e3be6c30e623}">
          <xlrd:rvb i="6539"/>
        </ext>
      </extLst>
    </bk>
    <bk>
      <extLst>
        <ext uri="{3e2802c4-a4d2-4d8b-9148-e3be6c30e623}">
          <xlrd:rvb i="6540"/>
        </ext>
      </extLst>
    </bk>
    <bk>
      <extLst>
        <ext uri="{3e2802c4-a4d2-4d8b-9148-e3be6c30e623}">
          <xlrd:rvb i="6541"/>
        </ext>
      </extLst>
    </bk>
    <bk>
      <extLst>
        <ext uri="{3e2802c4-a4d2-4d8b-9148-e3be6c30e623}">
          <xlrd:rvb i="6542"/>
        </ext>
      </extLst>
    </bk>
    <bk>
      <extLst>
        <ext uri="{3e2802c4-a4d2-4d8b-9148-e3be6c30e623}">
          <xlrd:rvb i="6543"/>
        </ext>
      </extLst>
    </bk>
    <bk>
      <extLst>
        <ext uri="{3e2802c4-a4d2-4d8b-9148-e3be6c30e623}">
          <xlrd:rvb i="6544"/>
        </ext>
      </extLst>
    </bk>
    <bk>
      <extLst>
        <ext uri="{3e2802c4-a4d2-4d8b-9148-e3be6c30e623}">
          <xlrd:rvb i="6545"/>
        </ext>
      </extLst>
    </bk>
    <bk>
      <extLst>
        <ext uri="{3e2802c4-a4d2-4d8b-9148-e3be6c30e623}">
          <xlrd:rvb i="6546"/>
        </ext>
      </extLst>
    </bk>
    <bk>
      <extLst>
        <ext uri="{3e2802c4-a4d2-4d8b-9148-e3be6c30e623}">
          <xlrd:rvb i="6547"/>
        </ext>
      </extLst>
    </bk>
    <bk>
      <extLst>
        <ext uri="{3e2802c4-a4d2-4d8b-9148-e3be6c30e623}">
          <xlrd:rvb i="6548"/>
        </ext>
      </extLst>
    </bk>
    <bk>
      <extLst>
        <ext uri="{3e2802c4-a4d2-4d8b-9148-e3be6c30e623}">
          <xlrd:rvb i="6549"/>
        </ext>
      </extLst>
    </bk>
    <bk>
      <extLst>
        <ext uri="{3e2802c4-a4d2-4d8b-9148-e3be6c30e623}">
          <xlrd:rvb i="6550"/>
        </ext>
      </extLst>
    </bk>
    <bk>
      <extLst>
        <ext uri="{3e2802c4-a4d2-4d8b-9148-e3be6c30e623}">
          <xlrd:rvb i="6551"/>
        </ext>
      </extLst>
    </bk>
    <bk>
      <extLst>
        <ext uri="{3e2802c4-a4d2-4d8b-9148-e3be6c30e623}">
          <xlrd:rvb i="6552"/>
        </ext>
      </extLst>
    </bk>
    <bk>
      <extLst>
        <ext uri="{3e2802c4-a4d2-4d8b-9148-e3be6c30e623}">
          <xlrd:rvb i="6553"/>
        </ext>
      </extLst>
    </bk>
    <bk>
      <extLst>
        <ext uri="{3e2802c4-a4d2-4d8b-9148-e3be6c30e623}">
          <xlrd:rvb i="6554"/>
        </ext>
      </extLst>
    </bk>
    <bk>
      <extLst>
        <ext uri="{3e2802c4-a4d2-4d8b-9148-e3be6c30e623}">
          <xlrd:rvb i="6555"/>
        </ext>
      </extLst>
    </bk>
    <bk>
      <extLst>
        <ext uri="{3e2802c4-a4d2-4d8b-9148-e3be6c30e623}">
          <xlrd:rvb i="6556"/>
        </ext>
      </extLst>
    </bk>
    <bk>
      <extLst>
        <ext uri="{3e2802c4-a4d2-4d8b-9148-e3be6c30e623}">
          <xlrd:rvb i="6557"/>
        </ext>
      </extLst>
    </bk>
    <bk>
      <extLst>
        <ext uri="{3e2802c4-a4d2-4d8b-9148-e3be6c30e623}">
          <xlrd:rvb i="6558"/>
        </ext>
      </extLst>
    </bk>
    <bk>
      <extLst>
        <ext uri="{3e2802c4-a4d2-4d8b-9148-e3be6c30e623}">
          <xlrd:rvb i="6559"/>
        </ext>
      </extLst>
    </bk>
    <bk>
      <extLst>
        <ext uri="{3e2802c4-a4d2-4d8b-9148-e3be6c30e623}">
          <xlrd:rvb i="6560"/>
        </ext>
      </extLst>
    </bk>
    <bk>
      <extLst>
        <ext uri="{3e2802c4-a4d2-4d8b-9148-e3be6c30e623}">
          <xlrd:rvb i="6561"/>
        </ext>
      </extLst>
    </bk>
    <bk>
      <extLst>
        <ext uri="{3e2802c4-a4d2-4d8b-9148-e3be6c30e623}">
          <xlrd:rvb i="6562"/>
        </ext>
      </extLst>
    </bk>
    <bk>
      <extLst>
        <ext uri="{3e2802c4-a4d2-4d8b-9148-e3be6c30e623}">
          <xlrd:rvb i="6563"/>
        </ext>
      </extLst>
    </bk>
    <bk>
      <extLst>
        <ext uri="{3e2802c4-a4d2-4d8b-9148-e3be6c30e623}">
          <xlrd:rvb i="6564"/>
        </ext>
      </extLst>
    </bk>
    <bk>
      <extLst>
        <ext uri="{3e2802c4-a4d2-4d8b-9148-e3be6c30e623}">
          <xlrd:rvb i="6565"/>
        </ext>
      </extLst>
    </bk>
    <bk>
      <extLst>
        <ext uri="{3e2802c4-a4d2-4d8b-9148-e3be6c30e623}">
          <xlrd:rvb i="6566"/>
        </ext>
      </extLst>
    </bk>
    <bk>
      <extLst>
        <ext uri="{3e2802c4-a4d2-4d8b-9148-e3be6c30e623}">
          <xlrd:rvb i="6567"/>
        </ext>
      </extLst>
    </bk>
    <bk>
      <extLst>
        <ext uri="{3e2802c4-a4d2-4d8b-9148-e3be6c30e623}">
          <xlrd:rvb i="6568"/>
        </ext>
      </extLst>
    </bk>
    <bk>
      <extLst>
        <ext uri="{3e2802c4-a4d2-4d8b-9148-e3be6c30e623}">
          <xlrd:rvb i="6569"/>
        </ext>
      </extLst>
    </bk>
    <bk>
      <extLst>
        <ext uri="{3e2802c4-a4d2-4d8b-9148-e3be6c30e623}">
          <xlrd:rvb i="6570"/>
        </ext>
      </extLst>
    </bk>
    <bk>
      <extLst>
        <ext uri="{3e2802c4-a4d2-4d8b-9148-e3be6c30e623}">
          <xlrd:rvb i="6571"/>
        </ext>
      </extLst>
    </bk>
    <bk>
      <extLst>
        <ext uri="{3e2802c4-a4d2-4d8b-9148-e3be6c30e623}">
          <xlrd:rvb i="6572"/>
        </ext>
      </extLst>
    </bk>
    <bk>
      <extLst>
        <ext uri="{3e2802c4-a4d2-4d8b-9148-e3be6c30e623}">
          <xlrd:rvb i="6573"/>
        </ext>
      </extLst>
    </bk>
    <bk>
      <extLst>
        <ext uri="{3e2802c4-a4d2-4d8b-9148-e3be6c30e623}">
          <xlrd:rvb i="6574"/>
        </ext>
      </extLst>
    </bk>
    <bk>
      <extLst>
        <ext uri="{3e2802c4-a4d2-4d8b-9148-e3be6c30e623}">
          <xlrd:rvb i="6575"/>
        </ext>
      </extLst>
    </bk>
    <bk>
      <extLst>
        <ext uri="{3e2802c4-a4d2-4d8b-9148-e3be6c30e623}">
          <xlrd:rvb i="6576"/>
        </ext>
      </extLst>
    </bk>
    <bk>
      <extLst>
        <ext uri="{3e2802c4-a4d2-4d8b-9148-e3be6c30e623}">
          <xlrd:rvb i="6577"/>
        </ext>
      </extLst>
    </bk>
    <bk>
      <extLst>
        <ext uri="{3e2802c4-a4d2-4d8b-9148-e3be6c30e623}">
          <xlrd:rvb i="6578"/>
        </ext>
      </extLst>
    </bk>
    <bk>
      <extLst>
        <ext uri="{3e2802c4-a4d2-4d8b-9148-e3be6c30e623}">
          <xlrd:rvb i="6579"/>
        </ext>
      </extLst>
    </bk>
    <bk>
      <extLst>
        <ext uri="{3e2802c4-a4d2-4d8b-9148-e3be6c30e623}">
          <xlrd:rvb i="6580"/>
        </ext>
      </extLst>
    </bk>
    <bk>
      <extLst>
        <ext uri="{3e2802c4-a4d2-4d8b-9148-e3be6c30e623}">
          <xlrd:rvb i="6581"/>
        </ext>
      </extLst>
    </bk>
    <bk>
      <extLst>
        <ext uri="{3e2802c4-a4d2-4d8b-9148-e3be6c30e623}">
          <xlrd:rvb i="6582"/>
        </ext>
      </extLst>
    </bk>
    <bk>
      <extLst>
        <ext uri="{3e2802c4-a4d2-4d8b-9148-e3be6c30e623}">
          <xlrd:rvb i="6583"/>
        </ext>
      </extLst>
    </bk>
    <bk>
      <extLst>
        <ext uri="{3e2802c4-a4d2-4d8b-9148-e3be6c30e623}">
          <xlrd:rvb i="6584"/>
        </ext>
      </extLst>
    </bk>
    <bk>
      <extLst>
        <ext uri="{3e2802c4-a4d2-4d8b-9148-e3be6c30e623}">
          <xlrd:rvb i="6585"/>
        </ext>
      </extLst>
    </bk>
    <bk>
      <extLst>
        <ext uri="{3e2802c4-a4d2-4d8b-9148-e3be6c30e623}">
          <xlrd:rvb i="6586"/>
        </ext>
      </extLst>
    </bk>
    <bk>
      <extLst>
        <ext uri="{3e2802c4-a4d2-4d8b-9148-e3be6c30e623}">
          <xlrd:rvb i="6587"/>
        </ext>
      </extLst>
    </bk>
    <bk>
      <extLst>
        <ext uri="{3e2802c4-a4d2-4d8b-9148-e3be6c30e623}">
          <xlrd:rvb i="6588"/>
        </ext>
      </extLst>
    </bk>
    <bk>
      <extLst>
        <ext uri="{3e2802c4-a4d2-4d8b-9148-e3be6c30e623}">
          <xlrd:rvb i="6589"/>
        </ext>
      </extLst>
    </bk>
    <bk>
      <extLst>
        <ext uri="{3e2802c4-a4d2-4d8b-9148-e3be6c30e623}">
          <xlrd:rvb i="6590"/>
        </ext>
      </extLst>
    </bk>
    <bk>
      <extLst>
        <ext uri="{3e2802c4-a4d2-4d8b-9148-e3be6c30e623}">
          <xlrd:rvb i="6591"/>
        </ext>
      </extLst>
    </bk>
    <bk>
      <extLst>
        <ext uri="{3e2802c4-a4d2-4d8b-9148-e3be6c30e623}">
          <xlrd:rvb i="6592"/>
        </ext>
      </extLst>
    </bk>
    <bk>
      <extLst>
        <ext uri="{3e2802c4-a4d2-4d8b-9148-e3be6c30e623}">
          <xlrd:rvb i="6593"/>
        </ext>
      </extLst>
    </bk>
    <bk>
      <extLst>
        <ext uri="{3e2802c4-a4d2-4d8b-9148-e3be6c30e623}">
          <xlrd:rvb i="6594"/>
        </ext>
      </extLst>
    </bk>
    <bk>
      <extLst>
        <ext uri="{3e2802c4-a4d2-4d8b-9148-e3be6c30e623}">
          <xlrd:rvb i="6595"/>
        </ext>
      </extLst>
    </bk>
    <bk>
      <extLst>
        <ext uri="{3e2802c4-a4d2-4d8b-9148-e3be6c30e623}">
          <xlrd:rvb i="6596"/>
        </ext>
      </extLst>
    </bk>
    <bk>
      <extLst>
        <ext uri="{3e2802c4-a4d2-4d8b-9148-e3be6c30e623}">
          <xlrd:rvb i="6597"/>
        </ext>
      </extLst>
    </bk>
    <bk>
      <extLst>
        <ext uri="{3e2802c4-a4d2-4d8b-9148-e3be6c30e623}">
          <xlrd:rvb i="6598"/>
        </ext>
      </extLst>
    </bk>
    <bk>
      <extLst>
        <ext uri="{3e2802c4-a4d2-4d8b-9148-e3be6c30e623}">
          <xlrd:rvb i="6599"/>
        </ext>
      </extLst>
    </bk>
    <bk>
      <extLst>
        <ext uri="{3e2802c4-a4d2-4d8b-9148-e3be6c30e623}">
          <xlrd:rvb i="6600"/>
        </ext>
      </extLst>
    </bk>
    <bk>
      <extLst>
        <ext uri="{3e2802c4-a4d2-4d8b-9148-e3be6c30e623}">
          <xlrd:rvb i="6601"/>
        </ext>
      </extLst>
    </bk>
    <bk>
      <extLst>
        <ext uri="{3e2802c4-a4d2-4d8b-9148-e3be6c30e623}">
          <xlrd:rvb i="6602"/>
        </ext>
      </extLst>
    </bk>
    <bk>
      <extLst>
        <ext uri="{3e2802c4-a4d2-4d8b-9148-e3be6c30e623}">
          <xlrd:rvb i="6603"/>
        </ext>
      </extLst>
    </bk>
    <bk>
      <extLst>
        <ext uri="{3e2802c4-a4d2-4d8b-9148-e3be6c30e623}">
          <xlrd:rvb i="6604"/>
        </ext>
      </extLst>
    </bk>
    <bk>
      <extLst>
        <ext uri="{3e2802c4-a4d2-4d8b-9148-e3be6c30e623}">
          <xlrd:rvb i="6605"/>
        </ext>
      </extLst>
    </bk>
    <bk>
      <extLst>
        <ext uri="{3e2802c4-a4d2-4d8b-9148-e3be6c30e623}">
          <xlrd:rvb i="6606"/>
        </ext>
      </extLst>
    </bk>
    <bk>
      <extLst>
        <ext uri="{3e2802c4-a4d2-4d8b-9148-e3be6c30e623}">
          <xlrd:rvb i="6607"/>
        </ext>
      </extLst>
    </bk>
    <bk>
      <extLst>
        <ext uri="{3e2802c4-a4d2-4d8b-9148-e3be6c30e623}">
          <xlrd:rvb i="6608"/>
        </ext>
      </extLst>
    </bk>
    <bk>
      <extLst>
        <ext uri="{3e2802c4-a4d2-4d8b-9148-e3be6c30e623}">
          <xlrd:rvb i="6609"/>
        </ext>
      </extLst>
    </bk>
    <bk>
      <extLst>
        <ext uri="{3e2802c4-a4d2-4d8b-9148-e3be6c30e623}">
          <xlrd:rvb i="6610"/>
        </ext>
      </extLst>
    </bk>
    <bk>
      <extLst>
        <ext uri="{3e2802c4-a4d2-4d8b-9148-e3be6c30e623}">
          <xlrd:rvb i="6611"/>
        </ext>
      </extLst>
    </bk>
    <bk>
      <extLst>
        <ext uri="{3e2802c4-a4d2-4d8b-9148-e3be6c30e623}">
          <xlrd:rvb i="6612"/>
        </ext>
      </extLst>
    </bk>
    <bk>
      <extLst>
        <ext uri="{3e2802c4-a4d2-4d8b-9148-e3be6c30e623}">
          <xlrd:rvb i="6613"/>
        </ext>
      </extLst>
    </bk>
    <bk>
      <extLst>
        <ext uri="{3e2802c4-a4d2-4d8b-9148-e3be6c30e623}">
          <xlrd:rvb i="6614"/>
        </ext>
      </extLst>
    </bk>
    <bk>
      <extLst>
        <ext uri="{3e2802c4-a4d2-4d8b-9148-e3be6c30e623}">
          <xlrd:rvb i="6615"/>
        </ext>
      </extLst>
    </bk>
    <bk>
      <extLst>
        <ext uri="{3e2802c4-a4d2-4d8b-9148-e3be6c30e623}">
          <xlrd:rvb i="6616"/>
        </ext>
      </extLst>
    </bk>
    <bk>
      <extLst>
        <ext uri="{3e2802c4-a4d2-4d8b-9148-e3be6c30e623}">
          <xlrd:rvb i="6617"/>
        </ext>
      </extLst>
    </bk>
    <bk>
      <extLst>
        <ext uri="{3e2802c4-a4d2-4d8b-9148-e3be6c30e623}">
          <xlrd:rvb i="6618"/>
        </ext>
      </extLst>
    </bk>
    <bk>
      <extLst>
        <ext uri="{3e2802c4-a4d2-4d8b-9148-e3be6c30e623}">
          <xlrd:rvb i="6619"/>
        </ext>
      </extLst>
    </bk>
    <bk>
      <extLst>
        <ext uri="{3e2802c4-a4d2-4d8b-9148-e3be6c30e623}">
          <xlrd:rvb i="6620"/>
        </ext>
      </extLst>
    </bk>
    <bk>
      <extLst>
        <ext uri="{3e2802c4-a4d2-4d8b-9148-e3be6c30e623}">
          <xlrd:rvb i="6621"/>
        </ext>
      </extLst>
    </bk>
    <bk>
      <extLst>
        <ext uri="{3e2802c4-a4d2-4d8b-9148-e3be6c30e623}">
          <xlrd:rvb i="6622"/>
        </ext>
      </extLst>
    </bk>
    <bk>
      <extLst>
        <ext uri="{3e2802c4-a4d2-4d8b-9148-e3be6c30e623}">
          <xlrd:rvb i="6623"/>
        </ext>
      </extLst>
    </bk>
    <bk>
      <extLst>
        <ext uri="{3e2802c4-a4d2-4d8b-9148-e3be6c30e623}">
          <xlrd:rvb i="6624"/>
        </ext>
      </extLst>
    </bk>
    <bk>
      <extLst>
        <ext uri="{3e2802c4-a4d2-4d8b-9148-e3be6c30e623}">
          <xlrd:rvb i="6625"/>
        </ext>
      </extLst>
    </bk>
    <bk>
      <extLst>
        <ext uri="{3e2802c4-a4d2-4d8b-9148-e3be6c30e623}">
          <xlrd:rvb i="6626"/>
        </ext>
      </extLst>
    </bk>
    <bk>
      <extLst>
        <ext uri="{3e2802c4-a4d2-4d8b-9148-e3be6c30e623}">
          <xlrd:rvb i="6627"/>
        </ext>
      </extLst>
    </bk>
    <bk>
      <extLst>
        <ext uri="{3e2802c4-a4d2-4d8b-9148-e3be6c30e623}">
          <xlrd:rvb i="6628"/>
        </ext>
      </extLst>
    </bk>
    <bk>
      <extLst>
        <ext uri="{3e2802c4-a4d2-4d8b-9148-e3be6c30e623}">
          <xlrd:rvb i="6629"/>
        </ext>
      </extLst>
    </bk>
    <bk>
      <extLst>
        <ext uri="{3e2802c4-a4d2-4d8b-9148-e3be6c30e623}">
          <xlrd:rvb i="6630"/>
        </ext>
      </extLst>
    </bk>
    <bk>
      <extLst>
        <ext uri="{3e2802c4-a4d2-4d8b-9148-e3be6c30e623}">
          <xlrd:rvb i="6631"/>
        </ext>
      </extLst>
    </bk>
    <bk>
      <extLst>
        <ext uri="{3e2802c4-a4d2-4d8b-9148-e3be6c30e623}">
          <xlrd:rvb i="6632"/>
        </ext>
      </extLst>
    </bk>
    <bk>
      <extLst>
        <ext uri="{3e2802c4-a4d2-4d8b-9148-e3be6c30e623}">
          <xlrd:rvb i="6633"/>
        </ext>
      </extLst>
    </bk>
    <bk>
      <extLst>
        <ext uri="{3e2802c4-a4d2-4d8b-9148-e3be6c30e623}">
          <xlrd:rvb i="6634"/>
        </ext>
      </extLst>
    </bk>
    <bk>
      <extLst>
        <ext uri="{3e2802c4-a4d2-4d8b-9148-e3be6c30e623}">
          <xlrd:rvb i="6635"/>
        </ext>
      </extLst>
    </bk>
    <bk>
      <extLst>
        <ext uri="{3e2802c4-a4d2-4d8b-9148-e3be6c30e623}">
          <xlrd:rvb i="6636"/>
        </ext>
      </extLst>
    </bk>
    <bk>
      <extLst>
        <ext uri="{3e2802c4-a4d2-4d8b-9148-e3be6c30e623}">
          <xlrd:rvb i="6637"/>
        </ext>
      </extLst>
    </bk>
    <bk>
      <extLst>
        <ext uri="{3e2802c4-a4d2-4d8b-9148-e3be6c30e623}">
          <xlrd:rvb i="6638"/>
        </ext>
      </extLst>
    </bk>
    <bk>
      <extLst>
        <ext uri="{3e2802c4-a4d2-4d8b-9148-e3be6c30e623}">
          <xlrd:rvb i="6639"/>
        </ext>
      </extLst>
    </bk>
    <bk>
      <extLst>
        <ext uri="{3e2802c4-a4d2-4d8b-9148-e3be6c30e623}">
          <xlrd:rvb i="6640"/>
        </ext>
      </extLst>
    </bk>
    <bk>
      <extLst>
        <ext uri="{3e2802c4-a4d2-4d8b-9148-e3be6c30e623}">
          <xlrd:rvb i="6641"/>
        </ext>
      </extLst>
    </bk>
    <bk>
      <extLst>
        <ext uri="{3e2802c4-a4d2-4d8b-9148-e3be6c30e623}">
          <xlrd:rvb i="6642"/>
        </ext>
      </extLst>
    </bk>
    <bk>
      <extLst>
        <ext uri="{3e2802c4-a4d2-4d8b-9148-e3be6c30e623}">
          <xlrd:rvb i="6643"/>
        </ext>
      </extLst>
    </bk>
    <bk>
      <extLst>
        <ext uri="{3e2802c4-a4d2-4d8b-9148-e3be6c30e623}">
          <xlrd:rvb i="6644"/>
        </ext>
      </extLst>
    </bk>
    <bk>
      <extLst>
        <ext uri="{3e2802c4-a4d2-4d8b-9148-e3be6c30e623}">
          <xlrd:rvb i="6645"/>
        </ext>
      </extLst>
    </bk>
    <bk>
      <extLst>
        <ext uri="{3e2802c4-a4d2-4d8b-9148-e3be6c30e623}">
          <xlrd:rvb i="6646"/>
        </ext>
      </extLst>
    </bk>
    <bk>
      <extLst>
        <ext uri="{3e2802c4-a4d2-4d8b-9148-e3be6c30e623}">
          <xlrd:rvb i="6647"/>
        </ext>
      </extLst>
    </bk>
    <bk>
      <extLst>
        <ext uri="{3e2802c4-a4d2-4d8b-9148-e3be6c30e623}">
          <xlrd:rvb i="6648"/>
        </ext>
      </extLst>
    </bk>
    <bk>
      <extLst>
        <ext uri="{3e2802c4-a4d2-4d8b-9148-e3be6c30e623}">
          <xlrd:rvb i="6649"/>
        </ext>
      </extLst>
    </bk>
    <bk>
      <extLst>
        <ext uri="{3e2802c4-a4d2-4d8b-9148-e3be6c30e623}">
          <xlrd:rvb i="6650"/>
        </ext>
      </extLst>
    </bk>
    <bk>
      <extLst>
        <ext uri="{3e2802c4-a4d2-4d8b-9148-e3be6c30e623}">
          <xlrd:rvb i="6651"/>
        </ext>
      </extLst>
    </bk>
    <bk>
      <extLst>
        <ext uri="{3e2802c4-a4d2-4d8b-9148-e3be6c30e623}">
          <xlrd:rvb i="6652"/>
        </ext>
      </extLst>
    </bk>
    <bk>
      <extLst>
        <ext uri="{3e2802c4-a4d2-4d8b-9148-e3be6c30e623}">
          <xlrd:rvb i="6653"/>
        </ext>
      </extLst>
    </bk>
    <bk>
      <extLst>
        <ext uri="{3e2802c4-a4d2-4d8b-9148-e3be6c30e623}">
          <xlrd:rvb i="6654"/>
        </ext>
      </extLst>
    </bk>
    <bk>
      <extLst>
        <ext uri="{3e2802c4-a4d2-4d8b-9148-e3be6c30e623}">
          <xlrd:rvb i="6655"/>
        </ext>
      </extLst>
    </bk>
    <bk>
      <extLst>
        <ext uri="{3e2802c4-a4d2-4d8b-9148-e3be6c30e623}">
          <xlrd:rvb i="6656"/>
        </ext>
      </extLst>
    </bk>
    <bk>
      <extLst>
        <ext uri="{3e2802c4-a4d2-4d8b-9148-e3be6c30e623}">
          <xlrd:rvb i="6657"/>
        </ext>
      </extLst>
    </bk>
    <bk>
      <extLst>
        <ext uri="{3e2802c4-a4d2-4d8b-9148-e3be6c30e623}">
          <xlrd:rvb i="6658"/>
        </ext>
      </extLst>
    </bk>
    <bk>
      <extLst>
        <ext uri="{3e2802c4-a4d2-4d8b-9148-e3be6c30e623}">
          <xlrd:rvb i="6659"/>
        </ext>
      </extLst>
    </bk>
    <bk>
      <extLst>
        <ext uri="{3e2802c4-a4d2-4d8b-9148-e3be6c30e623}">
          <xlrd:rvb i="6660"/>
        </ext>
      </extLst>
    </bk>
    <bk>
      <extLst>
        <ext uri="{3e2802c4-a4d2-4d8b-9148-e3be6c30e623}">
          <xlrd:rvb i="6661"/>
        </ext>
      </extLst>
    </bk>
    <bk>
      <extLst>
        <ext uri="{3e2802c4-a4d2-4d8b-9148-e3be6c30e623}">
          <xlrd:rvb i="6662"/>
        </ext>
      </extLst>
    </bk>
    <bk>
      <extLst>
        <ext uri="{3e2802c4-a4d2-4d8b-9148-e3be6c30e623}">
          <xlrd:rvb i="6663"/>
        </ext>
      </extLst>
    </bk>
    <bk>
      <extLst>
        <ext uri="{3e2802c4-a4d2-4d8b-9148-e3be6c30e623}">
          <xlrd:rvb i="6664"/>
        </ext>
      </extLst>
    </bk>
    <bk>
      <extLst>
        <ext uri="{3e2802c4-a4d2-4d8b-9148-e3be6c30e623}">
          <xlrd:rvb i="6665"/>
        </ext>
      </extLst>
    </bk>
    <bk>
      <extLst>
        <ext uri="{3e2802c4-a4d2-4d8b-9148-e3be6c30e623}">
          <xlrd:rvb i="6666"/>
        </ext>
      </extLst>
    </bk>
    <bk>
      <extLst>
        <ext uri="{3e2802c4-a4d2-4d8b-9148-e3be6c30e623}">
          <xlrd:rvb i="6667"/>
        </ext>
      </extLst>
    </bk>
    <bk>
      <extLst>
        <ext uri="{3e2802c4-a4d2-4d8b-9148-e3be6c30e623}">
          <xlrd:rvb i="6668"/>
        </ext>
      </extLst>
    </bk>
    <bk>
      <extLst>
        <ext uri="{3e2802c4-a4d2-4d8b-9148-e3be6c30e623}">
          <xlrd:rvb i="6669"/>
        </ext>
      </extLst>
    </bk>
    <bk>
      <extLst>
        <ext uri="{3e2802c4-a4d2-4d8b-9148-e3be6c30e623}">
          <xlrd:rvb i="6670"/>
        </ext>
      </extLst>
    </bk>
    <bk>
      <extLst>
        <ext uri="{3e2802c4-a4d2-4d8b-9148-e3be6c30e623}">
          <xlrd:rvb i="6671"/>
        </ext>
      </extLst>
    </bk>
    <bk>
      <extLst>
        <ext uri="{3e2802c4-a4d2-4d8b-9148-e3be6c30e623}">
          <xlrd:rvb i="6672"/>
        </ext>
      </extLst>
    </bk>
    <bk>
      <extLst>
        <ext uri="{3e2802c4-a4d2-4d8b-9148-e3be6c30e623}">
          <xlrd:rvb i="6673"/>
        </ext>
      </extLst>
    </bk>
    <bk>
      <extLst>
        <ext uri="{3e2802c4-a4d2-4d8b-9148-e3be6c30e623}">
          <xlrd:rvb i="6674"/>
        </ext>
      </extLst>
    </bk>
    <bk>
      <extLst>
        <ext uri="{3e2802c4-a4d2-4d8b-9148-e3be6c30e623}">
          <xlrd:rvb i="6675"/>
        </ext>
      </extLst>
    </bk>
    <bk>
      <extLst>
        <ext uri="{3e2802c4-a4d2-4d8b-9148-e3be6c30e623}">
          <xlrd:rvb i="6676"/>
        </ext>
      </extLst>
    </bk>
    <bk>
      <extLst>
        <ext uri="{3e2802c4-a4d2-4d8b-9148-e3be6c30e623}">
          <xlrd:rvb i="6677"/>
        </ext>
      </extLst>
    </bk>
    <bk>
      <extLst>
        <ext uri="{3e2802c4-a4d2-4d8b-9148-e3be6c30e623}">
          <xlrd:rvb i="6678"/>
        </ext>
      </extLst>
    </bk>
    <bk>
      <extLst>
        <ext uri="{3e2802c4-a4d2-4d8b-9148-e3be6c30e623}">
          <xlrd:rvb i="6679"/>
        </ext>
      </extLst>
    </bk>
    <bk>
      <extLst>
        <ext uri="{3e2802c4-a4d2-4d8b-9148-e3be6c30e623}">
          <xlrd:rvb i="6680"/>
        </ext>
      </extLst>
    </bk>
    <bk>
      <extLst>
        <ext uri="{3e2802c4-a4d2-4d8b-9148-e3be6c30e623}">
          <xlrd:rvb i="6681"/>
        </ext>
      </extLst>
    </bk>
    <bk>
      <extLst>
        <ext uri="{3e2802c4-a4d2-4d8b-9148-e3be6c30e623}">
          <xlrd:rvb i="6682"/>
        </ext>
      </extLst>
    </bk>
    <bk>
      <extLst>
        <ext uri="{3e2802c4-a4d2-4d8b-9148-e3be6c30e623}">
          <xlrd:rvb i="6683"/>
        </ext>
      </extLst>
    </bk>
    <bk>
      <extLst>
        <ext uri="{3e2802c4-a4d2-4d8b-9148-e3be6c30e623}">
          <xlrd:rvb i="6684"/>
        </ext>
      </extLst>
    </bk>
    <bk>
      <extLst>
        <ext uri="{3e2802c4-a4d2-4d8b-9148-e3be6c30e623}">
          <xlrd:rvb i="6685"/>
        </ext>
      </extLst>
    </bk>
    <bk>
      <extLst>
        <ext uri="{3e2802c4-a4d2-4d8b-9148-e3be6c30e623}">
          <xlrd:rvb i="6686"/>
        </ext>
      </extLst>
    </bk>
    <bk>
      <extLst>
        <ext uri="{3e2802c4-a4d2-4d8b-9148-e3be6c30e623}">
          <xlrd:rvb i="6687"/>
        </ext>
      </extLst>
    </bk>
    <bk>
      <extLst>
        <ext uri="{3e2802c4-a4d2-4d8b-9148-e3be6c30e623}">
          <xlrd:rvb i="6688"/>
        </ext>
      </extLst>
    </bk>
    <bk>
      <extLst>
        <ext uri="{3e2802c4-a4d2-4d8b-9148-e3be6c30e623}">
          <xlrd:rvb i="6689"/>
        </ext>
      </extLst>
    </bk>
    <bk>
      <extLst>
        <ext uri="{3e2802c4-a4d2-4d8b-9148-e3be6c30e623}">
          <xlrd:rvb i="6690"/>
        </ext>
      </extLst>
    </bk>
    <bk>
      <extLst>
        <ext uri="{3e2802c4-a4d2-4d8b-9148-e3be6c30e623}">
          <xlrd:rvb i="6691"/>
        </ext>
      </extLst>
    </bk>
    <bk>
      <extLst>
        <ext uri="{3e2802c4-a4d2-4d8b-9148-e3be6c30e623}">
          <xlrd:rvb i="6692"/>
        </ext>
      </extLst>
    </bk>
    <bk>
      <extLst>
        <ext uri="{3e2802c4-a4d2-4d8b-9148-e3be6c30e623}">
          <xlrd:rvb i="6693"/>
        </ext>
      </extLst>
    </bk>
    <bk>
      <extLst>
        <ext uri="{3e2802c4-a4d2-4d8b-9148-e3be6c30e623}">
          <xlrd:rvb i="6694"/>
        </ext>
      </extLst>
    </bk>
    <bk>
      <extLst>
        <ext uri="{3e2802c4-a4d2-4d8b-9148-e3be6c30e623}">
          <xlrd:rvb i="6695"/>
        </ext>
      </extLst>
    </bk>
    <bk>
      <extLst>
        <ext uri="{3e2802c4-a4d2-4d8b-9148-e3be6c30e623}">
          <xlrd:rvb i="6696"/>
        </ext>
      </extLst>
    </bk>
    <bk>
      <extLst>
        <ext uri="{3e2802c4-a4d2-4d8b-9148-e3be6c30e623}">
          <xlrd:rvb i="6697"/>
        </ext>
      </extLst>
    </bk>
    <bk>
      <extLst>
        <ext uri="{3e2802c4-a4d2-4d8b-9148-e3be6c30e623}">
          <xlrd:rvb i="6698"/>
        </ext>
      </extLst>
    </bk>
    <bk>
      <extLst>
        <ext uri="{3e2802c4-a4d2-4d8b-9148-e3be6c30e623}">
          <xlrd:rvb i="6699"/>
        </ext>
      </extLst>
    </bk>
    <bk>
      <extLst>
        <ext uri="{3e2802c4-a4d2-4d8b-9148-e3be6c30e623}">
          <xlrd:rvb i="6700"/>
        </ext>
      </extLst>
    </bk>
    <bk>
      <extLst>
        <ext uri="{3e2802c4-a4d2-4d8b-9148-e3be6c30e623}">
          <xlrd:rvb i="6701"/>
        </ext>
      </extLst>
    </bk>
    <bk>
      <extLst>
        <ext uri="{3e2802c4-a4d2-4d8b-9148-e3be6c30e623}">
          <xlrd:rvb i="6702"/>
        </ext>
      </extLst>
    </bk>
    <bk>
      <extLst>
        <ext uri="{3e2802c4-a4d2-4d8b-9148-e3be6c30e623}">
          <xlrd:rvb i="6703"/>
        </ext>
      </extLst>
    </bk>
    <bk>
      <extLst>
        <ext uri="{3e2802c4-a4d2-4d8b-9148-e3be6c30e623}">
          <xlrd:rvb i="6704"/>
        </ext>
      </extLst>
    </bk>
    <bk>
      <extLst>
        <ext uri="{3e2802c4-a4d2-4d8b-9148-e3be6c30e623}">
          <xlrd:rvb i="6705"/>
        </ext>
      </extLst>
    </bk>
    <bk>
      <extLst>
        <ext uri="{3e2802c4-a4d2-4d8b-9148-e3be6c30e623}">
          <xlrd:rvb i="6706"/>
        </ext>
      </extLst>
    </bk>
    <bk>
      <extLst>
        <ext uri="{3e2802c4-a4d2-4d8b-9148-e3be6c30e623}">
          <xlrd:rvb i="6707"/>
        </ext>
      </extLst>
    </bk>
    <bk>
      <extLst>
        <ext uri="{3e2802c4-a4d2-4d8b-9148-e3be6c30e623}">
          <xlrd:rvb i="6708"/>
        </ext>
      </extLst>
    </bk>
    <bk>
      <extLst>
        <ext uri="{3e2802c4-a4d2-4d8b-9148-e3be6c30e623}">
          <xlrd:rvb i="6709"/>
        </ext>
      </extLst>
    </bk>
    <bk>
      <extLst>
        <ext uri="{3e2802c4-a4d2-4d8b-9148-e3be6c30e623}">
          <xlrd:rvb i="6710"/>
        </ext>
      </extLst>
    </bk>
    <bk>
      <extLst>
        <ext uri="{3e2802c4-a4d2-4d8b-9148-e3be6c30e623}">
          <xlrd:rvb i="6711"/>
        </ext>
      </extLst>
    </bk>
    <bk>
      <extLst>
        <ext uri="{3e2802c4-a4d2-4d8b-9148-e3be6c30e623}">
          <xlrd:rvb i="6712"/>
        </ext>
      </extLst>
    </bk>
    <bk>
      <extLst>
        <ext uri="{3e2802c4-a4d2-4d8b-9148-e3be6c30e623}">
          <xlrd:rvb i="6713"/>
        </ext>
      </extLst>
    </bk>
    <bk>
      <extLst>
        <ext uri="{3e2802c4-a4d2-4d8b-9148-e3be6c30e623}">
          <xlrd:rvb i="6714"/>
        </ext>
      </extLst>
    </bk>
    <bk>
      <extLst>
        <ext uri="{3e2802c4-a4d2-4d8b-9148-e3be6c30e623}">
          <xlrd:rvb i="6715"/>
        </ext>
      </extLst>
    </bk>
    <bk>
      <extLst>
        <ext uri="{3e2802c4-a4d2-4d8b-9148-e3be6c30e623}">
          <xlrd:rvb i="6716"/>
        </ext>
      </extLst>
    </bk>
    <bk>
      <extLst>
        <ext uri="{3e2802c4-a4d2-4d8b-9148-e3be6c30e623}">
          <xlrd:rvb i="6717"/>
        </ext>
      </extLst>
    </bk>
    <bk>
      <extLst>
        <ext uri="{3e2802c4-a4d2-4d8b-9148-e3be6c30e623}">
          <xlrd:rvb i="6718"/>
        </ext>
      </extLst>
    </bk>
    <bk>
      <extLst>
        <ext uri="{3e2802c4-a4d2-4d8b-9148-e3be6c30e623}">
          <xlrd:rvb i="6719"/>
        </ext>
      </extLst>
    </bk>
    <bk>
      <extLst>
        <ext uri="{3e2802c4-a4d2-4d8b-9148-e3be6c30e623}">
          <xlrd:rvb i="6720"/>
        </ext>
      </extLst>
    </bk>
    <bk>
      <extLst>
        <ext uri="{3e2802c4-a4d2-4d8b-9148-e3be6c30e623}">
          <xlrd:rvb i="6721"/>
        </ext>
      </extLst>
    </bk>
    <bk>
      <extLst>
        <ext uri="{3e2802c4-a4d2-4d8b-9148-e3be6c30e623}">
          <xlrd:rvb i="6722"/>
        </ext>
      </extLst>
    </bk>
    <bk>
      <extLst>
        <ext uri="{3e2802c4-a4d2-4d8b-9148-e3be6c30e623}">
          <xlrd:rvb i="6723"/>
        </ext>
      </extLst>
    </bk>
    <bk>
      <extLst>
        <ext uri="{3e2802c4-a4d2-4d8b-9148-e3be6c30e623}">
          <xlrd:rvb i="6724"/>
        </ext>
      </extLst>
    </bk>
    <bk>
      <extLst>
        <ext uri="{3e2802c4-a4d2-4d8b-9148-e3be6c30e623}">
          <xlrd:rvb i="6725"/>
        </ext>
      </extLst>
    </bk>
    <bk>
      <extLst>
        <ext uri="{3e2802c4-a4d2-4d8b-9148-e3be6c30e623}">
          <xlrd:rvb i="6726"/>
        </ext>
      </extLst>
    </bk>
    <bk>
      <extLst>
        <ext uri="{3e2802c4-a4d2-4d8b-9148-e3be6c30e623}">
          <xlrd:rvb i="6727"/>
        </ext>
      </extLst>
    </bk>
    <bk>
      <extLst>
        <ext uri="{3e2802c4-a4d2-4d8b-9148-e3be6c30e623}">
          <xlrd:rvb i="6728"/>
        </ext>
      </extLst>
    </bk>
    <bk>
      <extLst>
        <ext uri="{3e2802c4-a4d2-4d8b-9148-e3be6c30e623}">
          <xlrd:rvb i="6729"/>
        </ext>
      </extLst>
    </bk>
    <bk>
      <extLst>
        <ext uri="{3e2802c4-a4d2-4d8b-9148-e3be6c30e623}">
          <xlrd:rvb i="6730"/>
        </ext>
      </extLst>
    </bk>
    <bk>
      <extLst>
        <ext uri="{3e2802c4-a4d2-4d8b-9148-e3be6c30e623}">
          <xlrd:rvb i="6731"/>
        </ext>
      </extLst>
    </bk>
    <bk>
      <extLst>
        <ext uri="{3e2802c4-a4d2-4d8b-9148-e3be6c30e623}">
          <xlrd:rvb i="6732"/>
        </ext>
      </extLst>
    </bk>
    <bk>
      <extLst>
        <ext uri="{3e2802c4-a4d2-4d8b-9148-e3be6c30e623}">
          <xlrd:rvb i="6733"/>
        </ext>
      </extLst>
    </bk>
    <bk>
      <extLst>
        <ext uri="{3e2802c4-a4d2-4d8b-9148-e3be6c30e623}">
          <xlrd:rvb i="6734"/>
        </ext>
      </extLst>
    </bk>
    <bk>
      <extLst>
        <ext uri="{3e2802c4-a4d2-4d8b-9148-e3be6c30e623}">
          <xlrd:rvb i="6735"/>
        </ext>
      </extLst>
    </bk>
    <bk>
      <extLst>
        <ext uri="{3e2802c4-a4d2-4d8b-9148-e3be6c30e623}">
          <xlrd:rvb i="6736"/>
        </ext>
      </extLst>
    </bk>
    <bk>
      <extLst>
        <ext uri="{3e2802c4-a4d2-4d8b-9148-e3be6c30e623}">
          <xlrd:rvb i="6737"/>
        </ext>
      </extLst>
    </bk>
    <bk>
      <extLst>
        <ext uri="{3e2802c4-a4d2-4d8b-9148-e3be6c30e623}">
          <xlrd:rvb i="6738"/>
        </ext>
      </extLst>
    </bk>
    <bk>
      <extLst>
        <ext uri="{3e2802c4-a4d2-4d8b-9148-e3be6c30e623}">
          <xlrd:rvb i="6739"/>
        </ext>
      </extLst>
    </bk>
    <bk>
      <extLst>
        <ext uri="{3e2802c4-a4d2-4d8b-9148-e3be6c30e623}">
          <xlrd:rvb i="6740"/>
        </ext>
      </extLst>
    </bk>
    <bk>
      <extLst>
        <ext uri="{3e2802c4-a4d2-4d8b-9148-e3be6c30e623}">
          <xlrd:rvb i="6741"/>
        </ext>
      </extLst>
    </bk>
    <bk>
      <extLst>
        <ext uri="{3e2802c4-a4d2-4d8b-9148-e3be6c30e623}">
          <xlrd:rvb i="6742"/>
        </ext>
      </extLst>
    </bk>
    <bk>
      <extLst>
        <ext uri="{3e2802c4-a4d2-4d8b-9148-e3be6c30e623}">
          <xlrd:rvb i="6743"/>
        </ext>
      </extLst>
    </bk>
    <bk>
      <extLst>
        <ext uri="{3e2802c4-a4d2-4d8b-9148-e3be6c30e623}">
          <xlrd:rvb i="6744"/>
        </ext>
      </extLst>
    </bk>
    <bk>
      <extLst>
        <ext uri="{3e2802c4-a4d2-4d8b-9148-e3be6c30e623}">
          <xlrd:rvb i="6745"/>
        </ext>
      </extLst>
    </bk>
    <bk>
      <extLst>
        <ext uri="{3e2802c4-a4d2-4d8b-9148-e3be6c30e623}">
          <xlrd:rvb i="6746"/>
        </ext>
      </extLst>
    </bk>
    <bk>
      <extLst>
        <ext uri="{3e2802c4-a4d2-4d8b-9148-e3be6c30e623}">
          <xlrd:rvb i="6747"/>
        </ext>
      </extLst>
    </bk>
    <bk>
      <extLst>
        <ext uri="{3e2802c4-a4d2-4d8b-9148-e3be6c30e623}">
          <xlrd:rvb i="6748"/>
        </ext>
      </extLst>
    </bk>
    <bk>
      <extLst>
        <ext uri="{3e2802c4-a4d2-4d8b-9148-e3be6c30e623}">
          <xlrd:rvb i="6749"/>
        </ext>
      </extLst>
    </bk>
    <bk>
      <extLst>
        <ext uri="{3e2802c4-a4d2-4d8b-9148-e3be6c30e623}">
          <xlrd:rvb i="6750"/>
        </ext>
      </extLst>
    </bk>
    <bk>
      <extLst>
        <ext uri="{3e2802c4-a4d2-4d8b-9148-e3be6c30e623}">
          <xlrd:rvb i="6751"/>
        </ext>
      </extLst>
    </bk>
    <bk>
      <extLst>
        <ext uri="{3e2802c4-a4d2-4d8b-9148-e3be6c30e623}">
          <xlrd:rvb i="6752"/>
        </ext>
      </extLst>
    </bk>
    <bk>
      <extLst>
        <ext uri="{3e2802c4-a4d2-4d8b-9148-e3be6c30e623}">
          <xlrd:rvb i="6753"/>
        </ext>
      </extLst>
    </bk>
    <bk>
      <extLst>
        <ext uri="{3e2802c4-a4d2-4d8b-9148-e3be6c30e623}">
          <xlrd:rvb i="6754"/>
        </ext>
      </extLst>
    </bk>
    <bk>
      <extLst>
        <ext uri="{3e2802c4-a4d2-4d8b-9148-e3be6c30e623}">
          <xlrd:rvb i="6755"/>
        </ext>
      </extLst>
    </bk>
    <bk>
      <extLst>
        <ext uri="{3e2802c4-a4d2-4d8b-9148-e3be6c30e623}">
          <xlrd:rvb i="6756"/>
        </ext>
      </extLst>
    </bk>
    <bk>
      <extLst>
        <ext uri="{3e2802c4-a4d2-4d8b-9148-e3be6c30e623}">
          <xlrd:rvb i="6757"/>
        </ext>
      </extLst>
    </bk>
    <bk>
      <extLst>
        <ext uri="{3e2802c4-a4d2-4d8b-9148-e3be6c30e623}">
          <xlrd:rvb i="6758"/>
        </ext>
      </extLst>
    </bk>
    <bk>
      <extLst>
        <ext uri="{3e2802c4-a4d2-4d8b-9148-e3be6c30e623}">
          <xlrd:rvb i="6759"/>
        </ext>
      </extLst>
    </bk>
    <bk>
      <extLst>
        <ext uri="{3e2802c4-a4d2-4d8b-9148-e3be6c30e623}">
          <xlrd:rvb i="6760"/>
        </ext>
      </extLst>
    </bk>
    <bk>
      <extLst>
        <ext uri="{3e2802c4-a4d2-4d8b-9148-e3be6c30e623}">
          <xlrd:rvb i="6761"/>
        </ext>
      </extLst>
    </bk>
    <bk>
      <extLst>
        <ext uri="{3e2802c4-a4d2-4d8b-9148-e3be6c30e623}">
          <xlrd:rvb i="6762"/>
        </ext>
      </extLst>
    </bk>
    <bk>
      <extLst>
        <ext uri="{3e2802c4-a4d2-4d8b-9148-e3be6c30e623}">
          <xlrd:rvb i="6763"/>
        </ext>
      </extLst>
    </bk>
    <bk>
      <extLst>
        <ext uri="{3e2802c4-a4d2-4d8b-9148-e3be6c30e623}">
          <xlrd:rvb i="6764"/>
        </ext>
      </extLst>
    </bk>
    <bk>
      <extLst>
        <ext uri="{3e2802c4-a4d2-4d8b-9148-e3be6c30e623}">
          <xlrd:rvb i="6765"/>
        </ext>
      </extLst>
    </bk>
    <bk>
      <extLst>
        <ext uri="{3e2802c4-a4d2-4d8b-9148-e3be6c30e623}">
          <xlrd:rvb i="6766"/>
        </ext>
      </extLst>
    </bk>
    <bk>
      <extLst>
        <ext uri="{3e2802c4-a4d2-4d8b-9148-e3be6c30e623}">
          <xlrd:rvb i="6767"/>
        </ext>
      </extLst>
    </bk>
    <bk>
      <extLst>
        <ext uri="{3e2802c4-a4d2-4d8b-9148-e3be6c30e623}">
          <xlrd:rvb i="6768"/>
        </ext>
      </extLst>
    </bk>
    <bk>
      <extLst>
        <ext uri="{3e2802c4-a4d2-4d8b-9148-e3be6c30e623}">
          <xlrd:rvb i="6769"/>
        </ext>
      </extLst>
    </bk>
    <bk>
      <extLst>
        <ext uri="{3e2802c4-a4d2-4d8b-9148-e3be6c30e623}">
          <xlrd:rvb i="6770"/>
        </ext>
      </extLst>
    </bk>
    <bk>
      <extLst>
        <ext uri="{3e2802c4-a4d2-4d8b-9148-e3be6c30e623}">
          <xlrd:rvb i="6771"/>
        </ext>
      </extLst>
    </bk>
    <bk>
      <extLst>
        <ext uri="{3e2802c4-a4d2-4d8b-9148-e3be6c30e623}">
          <xlrd:rvb i="6772"/>
        </ext>
      </extLst>
    </bk>
    <bk>
      <extLst>
        <ext uri="{3e2802c4-a4d2-4d8b-9148-e3be6c30e623}">
          <xlrd:rvb i="6773"/>
        </ext>
      </extLst>
    </bk>
    <bk>
      <extLst>
        <ext uri="{3e2802c4-a4d2-4d8b-9148-e3be6c30e623}">
          <xlrd:rvb i="6774"/>
        </ext>
      </extLst>
    </bk>
    <bk>
      <extLst>
        <ext uri="{3e2802c4-a4d2-4d8b-9148-e3be6c30e623}">
          <xlrd:rvb i="6775"/>
        </ext>
      </extLst>
    </bk>
    <bk>
      <extLst>
        <ext uri="{3e2802c4-a4d2-4d8b-9148-e3be6c30e623}">
          <xlrd:rvb i="6776"/>
        </ext>
      </extLst>
    </bk>
    <bk>
      <extLst>
        <ext uri="{3e2802c4-a4d2-4d8b-9148-e3be6c30e623}">
          <xlrd:rvb i="6777"/>
        </ext>
      </extLst>
    </bk>
    <bk>
      <extLst>
        <ext uri="{3e2802c4-a4d2-4d8b-9148-e3be6c30e623}">
          <xlrd:rvb i="6778"/>
        </ext>
      </extLst>
    </bk>
    <bk>
      <extLst>
        <ext uri="{3e2802c4-a4d2-4d8b-9148-e3be6c30e623}">
          <xlrd:rvb i="6779"/>
        </ext>
      </extLst>
    </bk>
    <bk>
      <extLst>
        <ext uri="{3e2802c4-a4d2-4d8b-9148-e3be6c30e623}">
          <xlrd:rvb i="6780"/>
        </ext>
      </extLst>
    </bk>
    <bk>
      <extLst>
        <ext uri="{3e2802c4-a4d2-4d8b-9148-e3be6c30e623}">
          <xlrd:rvb i="6781"/>
        </ext>
      </extLst>
    </bk>
    <bk>
      <extLst>
        <ext uri="{3e2802c4-a4d2-4d8b-9148-e3be6c30e623}">
          <xlrd:rvb i="6782"/>
        </ext>
      </extLst>
    </bk>
    <bk>
      <extLst>
        <ext uri="{3e2802c4-a4d2-4d8b-9148-e3be6c30e623}">
          <xlrd:rvb i="6783"/>
        </ext>
      </extLst>
    </bk>
    <bk>
      <extLst>
        <ext uri="{3e2802c4-a4d2-4d8b-9148-e3be6c30e623}">
          <xlrd:rvb i="6784"/>
        </ext>
      </extLst>
    </bk>
    <bk>
      <extLst>
        <ext uri="{3e2802c4-a4d2-4d8b-9148-e3be6c30e623}">
          <xlrd:rvb i="6785"/>
        </ext>
      </extLst>
    </bk>
    <bk>
      <extLst>
        <ext uri="{3e2802c4-a4d2-4d8b-9148-e3be6c30e623}">
          <xlrd:rvb i="6786"/>
        </ext>
      </extLst>
    </bk>
    <bk>
      <extLst>
        <ext uri="{3e2802c4-a4d2-4d8b-9148-e3be6c30e623}">
          <xlrd:rvb i="6787"/>
        </ext>
      </extLst>
    </bk>
    <bk>
      <extLst>
        <ext uri="{3e2802c4-a4d2-4d8b-9148-e3be6c30e623}">
          <xlrd:rvb i="6788"/>
        </ext>
      </extLst>
    </bk>
    <bk>
      <extLst>
        <ext uri="{3e2802c4-a4d2-4d8b-9148-e3be6c30e623}">
          <xlrd:rvb i="6789"/>
        </ext>
      </extLst>
    </bk>
    <bk>
      <extLst>
        <ext uri="{3e2802c4-a4d2-4d8b-9148-e3be6c30e623}">
          <xlrd:rvb i="6790"/>
        </ext>
      </extLst>
    </bk>
    <bk>
      <extLst>
        <ext uri="{3e2802c4-a4d2-4d8b-9148-e3be6c30e623}">
          <xlrd:rvb i="6791"/>
        </ext>
      </extLst>
    </bk>
    <bk>
      <extLst>
        <ext uri="{3e2802c4-a4d2-4d8b-9148-e3be6c30e623}">
          <xlrd:rvb i="6792"/>
        </ext>
      </extLst>
    </bk>
    <bk>
      <extLst>
        <ext uri="{3e2802c4-a4d2-4d8b-9148-e3be6c30e623}">
          <xlrd:rvb i="6793"/>
        </ext>
      </extLst>
    </bk>
    <bk>
      <extLst>
        <ext uri="{3e2802c4-a4d2-4d8b-9148-e3be6c30e623}">
          <xlrd:rvb i="6794"/>
        </ext>
      </extLst>
    </bk>
    <bk>
      <extLst>
        <ext uri="{3e2802c4-a4d2-4d8b-9148-e3be6c30e623}">
          <xlrd:rvb i="6795"/>
        </ext>
      </extLst>
    </bk>
    <bk>
      <extLst>
        <ext uri="{3e2802c4-a4d2-4d8b-9148-e3be6c30e623}">
          <xlrd:rvb i="6796"/>
        </ext>
      </extLst>
    </bk>
    <bk>
      <extLst>
        <ext uri="{3e2802c4-a4d2-4d8b-9148-e3be6c30e623}">
          <xlrd:rvb i="6797"/>
        </ext>
      </extLst>
    </bk>
    <bk>
      <extLst>
        <ext uri="{3e2802c4-a4d2-4d8b-9148-e3be6c30e623}">
          <xlrd:rvb i="6798"/>
        </ext>
      </extLst>
    </bk>
    <bk>
      <extLst>
        <ext uri="{3e2802c4-a4d2-4d8b-9148-e3be6c30e623}">
          <xlrd:rvb i="6799"/>
        </ext>
      </extLst>
    </bk>
    <bk>
      <extLst>
        <ext uri="{3e2802c4-a4d2-4d8b-9148-e3be6c30e623}">
          <xlrd:rvb i="6800"/>
        </ext>
      </extLst>
    </bk>
    <bk>
      <extLst>
        <ext uri="{3e2802c4-a4d2-4d8b-9148-e3be6c30e623}">
          <xlrd:rvb i="6801"/>
        </ext>
      </extLst>
    </bk>
    <bk>
      <extLst>
        <ext uri="{3e2802c4-a4d2-4d8b-9148-e3be6c30e623}">
          <xlrd:rvb i="6802"/>
        </ext>
      </extLst>
    </bk>
    <bk>
      <extLst>
        <ext uri="{3e2802c4-a4d2-4d8b-9148-e3be6c30e623}">
          <xlrd:rvb i="6803"/>
        </ext>
      </extLst>
    </bk>
    <bk>
      <extLst>
        <ext uri="{3e2802c4-a4d2-4d8b-9148-e3be6c30e623}">
          <xlrd:rvb i="6804"/>
        </ext>
      </extLst>
    </bk>
    <bk>
      <extLst>
        <ext uri="{3e2802c4-a4d2-4d8b-9148-e3be6c30e623}">
          <xlrd:rvb i="6805"/>
        </ext>
      </extLst>
    </bk>
    <bk>
      <extLst>
        <ext uri="{3e2802c4-a4d2-4d8b-9148-e3be6c30e623}">
          <xlrd:rvb i="6806"/>
        </ext>
      </extLst>
    </bk>
    <bk>
      <extLst>
        <ext uri="{3e2802c4-a4d2-4d8b-9148-e3be6c30e623}">
          <xlrd:rvb i="6807"/>
        </ext>
      </extLst>
    </bk>
    <bk>
      <extLst>
        <ext uri="{3e2802c4-a4d2-4d8b-9148-e3be6c30e623}">
          <xlrd:rvb i="6808"/>
        </ext>
      </extLst>
    </bk>
    <bk>
      <extLst>
        <ext uri="{3e2802c4-a4d2-4d8b-9148-e3be6c30e623}">
          <xlrd:rvb i="6809"/>
        </ext>
      </extLst>
    </bk>
    <bk>
      <extLst>
        <ext uri="{3e2802c4-a4d2-4d8b-9148-e3be6c30e623}">
          <xlrd:rvb i="6810"/>
        </ext>
      </extLst>
    </bk>
    <bk>
      <extLst>
        <ext uri="{3e2802c4-a4d2-4d8b-9148-e3be6c30e623}">
          <xlrd:rvb i="6811"/>
        </ext>
      </extLst>
    </bk>
    <bk>
      <extLst>
        <ext uri="{3e2802c4-a4d2-4d8b-9148-e3be6c30e623}">
          <xlrd:rvb i="6812"/>
        </ext>
      </extLst>
    </bk>
    <bk>
      <extLst>
        <ext uri="{3e2802c4-a4d2-4d8b-9148-e3be6c30e623}">
          <xlrd:rvb i="6813"/>
        </ext>
      </extLst>
    </bk>
    <bk>
      <extLst>
        <ext uri="{3e2802c4-a4d2-4d8b-9148-e3be6c30e623}">
          <xlrd:rvb i="6814"/>
        </ext>
      </extLst>
    </bk>
    <bk>
      <extLst>
        <ext uri="{3e2802c4-a4d2-4d8b-9148-e3be6c30e623}">
          <xlrd:rvb i="6815"/>
        </ext>
      </extLst>
    </bk>
    <bk>
      <extLst>
        <ext uri="{3e2802c4-a4d2-4d8b-9148-e3be6c30e623}">
          <xlrd:rvb i="6816"/>
        </ext>
      </extLst>
    </bk>
    <bk>
      <extLst>
        <ext uri="{3e2802c4-a4d2-4d8b-9148-e3be6c30e623}">
          <xlrd:rvb i="6817"/>
        </ext>
      </extLst>
    </bk>
    <bk>
      <extLst>
        <ext uri="{3e2802c4-a4d2-4d8b-9148-e3be6c30e623}">
          <xlrd:rvb i="6818"/>
        </ext>
      </extLst>
    </bk>
    <bk>
      <extLst>
        <ext uri="{3e2802c4-a4d2-4d8b-9148-e3be6c30e623}">
          <xlrd:rvb i="6819"/>
        </ext>
      </extLst>
    </bk>
    <bk>
      <extLst>
        <ext uri="{3e2802c4-a4d2-4d8b-9148-e3be6c30e623}">
          <xlrd:rvb i="6820"/>
        </ext>
      </extLst>
    </bk>
    <bk>
      <extLst>
        <ext uri="{3e2802c4-a4d2-4d8b-9148-e3be6c30e623}">
          <xlrd:rvb i="6821"/>
        </ext>
      </extLst>
    </bk>
    <bk>
      <extLst>
        <ext uri="{3e2802c4-a4d2-4d8b-9148-e3be6c30e623}">
          <xlrd:rvb i="6822"/>
        </ext>
      </extLst>
    </bk>
    <bk>
      <extLst>
        <ext uri="{3e2802c4-a4d2-4d8b-9148-e3be6c30e623}">
          <xlrd:rvb i="6823"/>
        </ext>
      </extLst>
    </bk>
    <bk>
      <extLst>
        <ext uri="{3e2802c4-a4d2-4d8b-9148-e3be6c30e623}">
          <xlrd:rvb i="6824"/>
        </ext>
      </extLst>
    </bk>
    <bk>
      <extLst>
        <ext uri="{3e2802c4-a4d2-4d8b-9148-e3be6c30e623}">
          <xlrd:rvb i="6825"/>
        </ext>
      </extLst>
    </bk>
    <bk>
      <extLst>
        <ext uri="{3e2802c4-a4d2-4d8b-9148-e3be6c30e623}">
          <xlrd:rvb i="6826"/>
        </ext>
      </extLst>
    </bk>
    <bk>
      <extLst>
        <ext uri="{3e2802c4-a4d2-4d8b-9148-e3be6c30e623}">
          <xlrd:rvb i="6827"/>
        </ext>
      </extLst>
    </bk>
    <bk>
      <extLst>
        <ext uri="{3e2802c4-a4d2-4d8b-9148-e3be6c30e623}">
          <xlrd:rvb i="6828"/>
        </ext>
      </extLst>
    </bk>
    <bk>
      <extLst>
        <ext uri="{3e2802c4-a4d2-4d8b-9148-e3be6c30e623}">
          <xlrd:rvb i="6829"/>
        </ext>
      </extLst>
    </bk>
    <bk>
      <extLst>
        <ext uri="{3e2802c4-a4d2-4d8b-9148-e3be6c30e623}">
          <xlrd:rvb i="6830"/>
        </ext>
      </extLst>
    </bk>
    <bk>
      <extLst>
        <ext uri="{3e2802c4-a4d2-4d8b-9148-e3be6c30e623}">
          <xlrd:rvb i="6831"/>
        </ext>
      </extLst>
    </bk>
    <bk>
      <extLst>
        <ext uri="{3e2802c4-a4d2-4d8b-9148-e3be6c30e623}">
          <xlrd:rvb i="6832"/>
        </ext>
      </extLst>
    </bk>
    <bk>
      <extLst>
        <ext uri="{3e2802c4-a4d2-4d8b-9148-e3be6c30e623}">
          <xlrd:rvb i="6833"/>
        </ext>
      </extLst>
    </bk>
    <bk>
      <extLst>
        <ext uri="{3e2802c4-a4d2-4d8b-9148-e3be6c30e623}">
          <xlrd:rvb i="6834"/>
        </ext>
      </extLst>
    </bk>
    <bk>
      <extLst>
        <ext uri="{3e2802c4-a4d2-4d8b-9148-e3be6c30e623}">
          <xlrd:rvb i="6835"/>
        </ext>
      </extLst>
    </bk>
    <bk>
      <extLst>
        <ext uri="{3e2802c4-a4d2-4d8b-9148-e3be6c30e623}">
          <xlrd:rvb i="6836"/>
        </ext>
      </extLst>
    </bk>
    <bk>
      <extLst>
        <ext uri="{3e2802c4-a4d2-4d8b-9148-e3be6c30e623}">
          <xlrd:rvb i="6837"/>
        </ext>
      </extLst>
    </bk>
    <bk>
      <extLst>
        <ext uri="{3e2802c4-a4d2-4d8b-9148-e3be6c30e623}">
          <xlrd:rvb i="6838"/>
        </ext>
      </extLst>
    </bk>
    <bk>
      <extLst>
        <ext uri="{3e2802c4-a4d2-4d8b-9148-e3be6c30e623}">
          <xlrd:rvb i="6839"/>
        </ext>
      </extLst>
    </bk>
    <bk>
      <extLst>
        <ext uri="{3e2802c4-a4d2-4d8b-9148-e3be6c30e623}">
          <xlrd:rvb i="6840"/>
        </ext>
      </extLst>
    </bk>
    <bk>
      <extLst>
        <ext uri="{3e2802c4-a4d2-4d8b-9148-e3be6c30e623}">
          <xlrd:rvb i="6841"/>
        </ext>
      </extLst>
    </bk>
    <bk>
      <extLst>
        <ext uri="{3e2802c4-a4d2-4d8b-9148-e3be6c30e623}">
          <xlrd:rvb i="6842"/>
        </ext>
      </extLst>
    </bk>
    <bk>
      <extLst>
        <ext uri="{3e2802c4-a4d2-4d8b-9148-e3be6c30e623}">
          <xlrd:rvb i="6843"/>
        </ext>
      </extLst>
    </bk>
    <bk>
      <extLst>
        <ext uri="{3e2802c4-a4d2-4d8b-9148-e3be6c30e623}">
          <xlrd:rvb i="6844"/>
        </ext>
      </extLst>
    </bk>
    <bk>
      <extLst>
        <ext uri="{3e2802c4-a4d2-4d8b-9148-e3be6c30e623}">
          <xlrd:rvb i="6845"/>
        </ext>
      </extLst>
    </bk>
    <bk>
      <extLst>
        <ext uri="{3e2802c4-a4d2-4d8b-9148-e3be6c30e623}">
          <xlrd:rvb i="6846"/>
        </ext>
      </extLst>
    </bk>
    <bk>
      <extLst>
        <ext uri="{3e2802c4-a4d2-4d8b-9148-e3be6c30e623}">
          <xlrd:rvb i="6847"/>
        </ext>
      </extLst>
    </bk>
    <bk>
      <extLst>
        <ext uri="{3e2802c4-a4d2-4d8b-9148-e3be6c30e623}">
          <xlrd:rvb i="6848"/>
        </ext>
      </extLst>
    </bk>
    <bk>
      <extLst>
        <ext uri="{3e2802c4-a4d2-4d8b-9148-e3be6c30e623}">
          <xlrd:rvb i="6849"/>
        </ext>
      </extLst>
    </bk>
    <bk>
      <extLst>
        <ext uri="{3e2802c4-a4d2-4d8b-9148-e3be6c30e623}">
          <xlrd:rvb i="6850"/>
        </ext>
      </extLst>
    </bk>
    <bk>
      <extLst>
        <ext uri="{3e2802c4-a4d2-4d8b-9148-e3be6c30e623}">
          <xlrd:rvb i="6851"/>
        </ext>
      </extLst>
    </bk>
    <bk>
      <extLst>
        <ext uri="{3e2802c4-a4d2-4d8b-9148-e3be6c30e623}">
          <xlrd:rvb i="6852"/>
        </ext>
      </extLst>
    </bk>
    <bk>
      <extLst>
        <ext uri="{3e2802c4-a4d2-4d8b-9148-e3be6c30e623}">
          <xlrd:rvb i="6853"/>
        </ext>
      </extLst>
    </bk>
    <bk>
      <extLst>
        <ext uri="{3e2802c4-a4d2-4d8b-9148-e3be6c30e623}">
          <xlrd:rvb i="6854"/>
        </ext>
      </extLst>
    </bk>
    <bk>
      <extLst>
        <ext uri="{3e2802c4-a4d2-4d8b-9148-e3be6c30e623}">
          <xlrd:rvb i="6855"/>
        </ext>
      </extLst>
    </bk>
    <bk>
      <extLst>
        <ext uri="{3e2802c4-a4d2-4d8b-9148-e3be6c30e623}">
          <xlrd:rvb i="6856"/>
        </ext>
      </extLst>
    </bk>
    <bk>
      <extLst>
        <ext uri="{3e2802c4-a4d2-4d8b-9148-e3be6c30e623}">
          <xlrd:rvb i="6857"/>
        </ext>
      </extLst>
    </bk>
    <bk>
      <extLst>
        <ext uri="{3e2802c4-a4d2-4d8b-9148-e3be6c30e623}">
          <xlrd:rvb i="6858"/>
        </ext>
      </extLst>
    </bk>
    <bk>
      <extLst>
        <ext uri="{3e2802c4-a4d2-4d8b-9148-e3be6c30e623}">
          <xlrd:rvb i="6859"/>
        </ext>
      </extLst>
    </bk>
    <bk>
      <extLst>
        <ext uri="{3e2802c4-a4d2-4d8b-9148-e3be6c30e623}">
          <xlrd:rvb i="6860"/>
        </ext>
      </extLst>
    </bk>
    <bk>
      <extLst>
        <ext uri="{3e2802c4-a4d2-4d8b-9148-e3be6c30e623}">
          <xlrd:rvb i="6861"/>
        </ext>
      </extLst>
    </bk>
    <bk>
      <extLst>
        <ext uri="{3e2802c4-a4d2-4d8b-9148-e3be6c30e623}">
          <xlrd:rvb i="6862"/>
        </ext>
      </extLst>
    </bk>
    <bk>
      <extLst>
        <ext uri="{3e2802c4-a4d2-4d8b-9148-e3be6c30e623}">
          <xlrd:rvb i="6863"/>
        </ext>
      </extLst>
    </bk>
    <bk>
      <extLst>
        <ext uri="{3e2802c4-a4d2-4d8b-9148-e3be6c30e623}">
          <xlrd:rvb i="6864"/>
        </ext>
      </extLst>
    </bk>
    <bk>
      <extLst>
        <ext uri="{3e2802c4-a4d2-4d8b-9148-e3be6c30e623}">
          <xlrd:rvb i="6865"/>
        </ext>
      </extLst>
    </bk>
    <bk>
      <extLst>
        <ext uri="{3e2802c4-a4d2-4d8b-9148-e3be6c30e623}">
          <xlrd:rvb i="6866"/>
        </ext>
      </extLst>
    </bk>
    <bk>
      <extLst>
        <ext uri="{3e2802c4-a4d2-4d8b-9148-e3be6c30e623}">
          <xlrd:rvb i="6867"/>
        </ext>
      </extLst>
    </bk>
    <bk>
      <extLst>
        <ext uri="{3e2802c4-a4d2-4d8b-9148-e3be6c30e623}">
          <xlrd:rvb i="6868"/>
        </ext>
      </extLst>
    </bk>
    <bk>
      <extLst>
        <ext uri="{3e2802c4-a4d2-4d8b-9148-e3be6c30e623}">
          <xlrd:rvb i="6869"/>
        </ext>
      </extLst>
    </bk>
    <bk>
      <extLst>
        <ext uri="{3e2802c4-a4d2-4d8b-9148-e3be6c30e623}">
          <xlrd:rvb i="6870"/>
        </ext>
      </extLst>
    </bk>
    <bk>
      <extLst>
        <ext uri="{3e2802c4-a4d2-4d8b-9148-e3be6c30e623}">
          <xlrd:rvb i="6871"/>
        </ext>
      </extLst>
    </bk>
    <bk>
      <extLst>
        <ext uri="{3e2802c4-a4d2-4d8b-9148-e3be6c30e623}">
          <xlrd:rvb i="6872"/>
        </ext>
      </extLst>
    </bk>
    <bk>
      <extLst>
        <ext uri="{3e2802c4-a4d2-4d8b-9148-e3be6c30e623}">
          <xlrd:rvb i="6873"/>
        </ext>
      </extLst>
    </bk>
    <bk>
      <extLst>
        <ext uri="{3e2802c4-a4d2-4d8b-9148-e3be6c30e623}">
          <xlrd:rvb i="6874"/>
        </ext>
      </extLst>
    </bk>
    <bk>
      <extLst>
        <ext uri="{3e2802c4-a4d2-4d8b-9148-e3be6c30e623}">
          <xlrd:rvb i="6875"/>
        </ext>
      </extLst>
    </bk>
    <bk>
      <extLst>
        <ext uri="{3e2802c4-a4d2-4d8b-9148-e3be6c30e623}">
          <xlrd:rvb i="6876"/>
        </ext>
      </extLst>
    </bk>
    <bk>
      <extLst>
        <ext uri="{3e2802c4-a4d2-4d8b-9148-e3be6c30e623}">
          <xlrd:rvb i="6877"/>
        </ext>
      </extLst>
    </bk>
    <bk>
      <extLst>
        <ext uri="{3e2802c4-a4d2-4d8b-9148-e3be6c30e623}">
          <xlrd:rvb i="6878"/>
        </ext>
      </extLst>
    </bk>
    <bk>
      <extLst>
        <ext uri="{3e2802c4-a4d2-4d8b-9148-e3be6c30e623}">
          <xlrd:rvb i="6879"/>
        </ext>
      </extLst>
    </bk>
    <bk>
      <extLst>
        <ext uri="{3e2802c4-a4d2-4d8b-9148-e3be6c30e623}">
          <xlrd:rvb i="6880"/>
        </ext>
      </extLst>
    </bk>
    <bk>
      <extLst>
        <ext uri="{3e2802c4-a4d2-4d8b-9148-e3be6c30e623}">
          <xlrd:rvb i="6881"/>
        </ext>
      </extLst>
    </bk>
    <bk>
      <extLst>
        <ext uri="{3e2802c4-a4d2-4d8b-9148-e3be6c30e623}">
          <xlrd:rvb i="6882"/>
        </ext>
      </extLst>
    </bk>
    <bk>
      <extLst>
        <ext uri="{3e2802c4-a4d2-4d8b-9148-e3be6c30e623}">
          <xlrd:rvb i="6883"/>
        </ext>
      </extLst>
    </bk>
    <bk>
      <extLst>
        <ext uri="{3e2802c4-a4d2-4d8b-9148-e3be6c30e623}">
          <xlrd:rvb i="6884"/>
        </ext>
      </extLst>
    </bk>
    <bk>
      <extLst>
        <ext uri="{3e2802c4-a4d2-4d8b-9148-e3be6c30e623}">
          <xlrd:rvb i="6885"/>
        </ext>
      </extLst>
    </bk>
    <bk>
      <extLst>
        <ext uri="{3e2802c4-a4d2-4d8b-9148-e3be6c30e623}">
          <xlrd:rvb i="6886"/>
        </ext>
      </extLst>
    </bk>
    <bk>
      <extLst>
        <ext uri="{3e2802c4-a4d2-4d8b-9148-e3be6c30e623}">
          <xlrd:rvb i="6887"/>
        </ext>
      </extLst>
    </bk>
    <bk>
      <extLst>
        <ext uri="{3e2802c4-a4d2-4d8b-9148-e3be6c30e623}">
          <xlrd:rvb i="6888"/>
        </ext>
      </extLst>
    </bk>
    <bk>
      <extLst>
        <ext uri="{3e2802c4-a4d2-4d8b-9148-e3be6c30e623}">
          <xlrd:rvb i="6889"/>
        </ext>
      </extLst>
    </bk>
    <bk>
      <extLst>
        <ext uri="{3e2802c4-a4d2-4d8b-9148-e3be6c30e623}">
          <xlrd:rvb i="6890"/>
        </ext>
      </extLst>
    </bk>
    <bk>
      <extLst>
        <ext uri="{3e2802c4-a4d2-4d8b-9148-e3be6c30e623}">
          <xlrd:rvb i="6891"/>
        </ext>
      </extLst>
    </bk>
    <bk>
      <extLst>
        <ext uri="{3e2802c4-a4d2-4d8b-9148-e3be6c30e623}">
          <xlrd:rvb i="6892"/>
        </ext>
      </extLst>
    </bk>
    <bk>
      <extLst>
        <ext uri="{3e2802c4-a4d2-4d8b-9148-e3be6c30e623}">
          <xlrd:rvb i="6893"/>
        </ext>
      </extLst>
    </bk>
    <bk>
      <extLst>
        <ext uri="{3e2802c4-a4d2-4d8b-9148-e3be6c30e623}">
          <xlrd:rvb i="6894"/>
        </ext>
      </extLst>
    </bk>
    <bk>
      <extLst>
        <ext uri="{3e2802c4-a4d2-4d8b-9148-e3be6c30e623}">
          <xlrd:rvb i="6895"/>
        </ext>
      </extLst>
    </bk>
    <bk>
      <extLst>
        <ext uri="{3e2802c4-a4d2-4d8b-9148-e3be6c30e623}">
          <xlrd:rvb i="6896"/>
        </ext>
      </extLst>
    </bk>
    <bk>
      <extLst>
        <ext uri="{3e2802c4-a4d2-4d8b-9148-e3be6c30e623}">
          <xlrd:rvb i="6897"/>
        </ext>
      </extLst>
    </bk>
    <bk>
      <extLst>
        <ext uri="{3e2802c4-a4d2-4d8b-9148-e3be6c30e623}">
          <xlrd:rvb i="6898"/>
        </ext>
      </extLst>
    </bk>
    <bk>
      <extLst>
        <ext uri="{3e2802c4-a4d2-4d8b-9148-e3be6c30e623}">
          <xlrd:rvb i="6899"/>
        </ext>
      </extLst>
    </bk>
    <bk>
      <extLst>
        <ext uri="{3e2802c4-a4d2-4d8b-9148-e3be6c30e623}">
          <xlrd:rvb i="6900"/>
        </ext>
      </extLst>
    </bk>
    <bk>
      <extLst>
        <ext uri="{3e2802c4-a4d2-4d8b-9148-e3be6c30e623}">
          <xlrd:rvb i="6901"/>
        </ext>
      </extLst>
    </bk>
    <bk>
      <extLst>
        <ext uri="{3e2802c4-a4d2-4d8b-9148-e3be6c30e623}">
          <xlrd:rvb i="6902"/>
        </ext>
      </extLst>
    </bk>
    <bk>
      <extLst>
        <ext uri="{3e2802c4-a4d2-4d8b-9148-e3be6c30e623}">
          <xlrd:rvb i="6903"/>
        </ext>
      </extLst>
    </bk>
    <bk>
      <extLst>
        <ext uri="{3e2802c4-a4d2-4d8b-9148-e3be6c30e623}">
          <xlrd:rvb i="6904"/>
        </ext>
      </extLst>
    </bk>
    <bk>
      <extLst>
        <ext uri="{3e2802c4-a4d2-4d8b-9148-e3be6c30e623}">
          <xlrd:rvb i="6905"/>
        </ext>
      </extLst>
    </bk>
    <bk>
      <extLst>
        <ext uri="{3e2802c4-a4d2-4d8b-9148-e3be6c30e623}">
          <xlrd:rvb i="6906"/>
        </ext>
      </extLst>
    </bk>
    <bk>
      <extLst>
        <ext uri="{3e2802c4-a4d2-4d8b-9148-e3be6c30e623}">
          <xlrd:rvb i="6907"/>
        </ext>
      </extLst>
    </bk>
    <bk>
      <extLst>
        <ext uri="{3e2802c4-a4d2-4d8b-9148-e3be6c30e623}">
          <xlrd:rvb i="6908"/>
        </ext>
      </extLst>
    </bk>
    <bk>
      <extLst>
        <ext uri="{3e2802c4-a4d2-4d8b-9148-e3be6c30e623}">
          <xlrd:rvb i="6909"/>
        </ext>
      </extLst>
    </bk>
    <bk>
      <extLst>
        <ext uri="{3e2802c4-a4d2-4d8b-9148-e3be6c30e623}">
          <xlrd:rvb i="6910"/>
        </ext>
      </extLst>
    </bk>
    <bk>
      <extLst>
        <ext uri="{3e2802c4-a4d2-4d8b-9148-e3be6c30e623}">
          <xlrd:rvb i="6911"/>
        </ext>
      </extLst>
    </bk>
    <bk>
      <extLst>
        <ext uri="{3e2802c4-a4d2-4d8b-9148-e3be6c30e623}">
          <xlrd:rvb i="6912"/>
        </ext>
      </extLst>
    </bk>
    <bk>
      <extLst>
        <ext uri="{3e2802c4-a4d2-4d8b-9148-e3be6c30e623}">
          <xlrd:rvb i="6913"/>
        </ext>
      </extLst>
    </bk>
    <bk>
      <extLst>
        <ext uri="{3e2802c4-a4d2-4d8b-9148-e3be6c30e623}">
          <xlrd:rvb i="6914"/>
        </ext>
      </extLst>
    </bk>
    <bk>
      <extLst>
        <ext uri="{3e2802c4-a4d2-4d8b-9148-e3be6c30e623}">
          <xlrd:rvb i="6915"/>
        </ext>
      </extLst>
    </bk>
    <bk>
      <extLst>
        <ext uri="{3e2802c4-a4d2-4d8b-9148-e3be6c30e623}">
          <xlrd:rvb i="6916"/>
        </ext>
      </extLst>
    </bk>
    <bk>
      <extLst>
        <ext uri="{3e2802c4-a4d2-4d8b-9148-e3be6c30e623}">
          <xlrd:rvb i="6917"/>
        </ext>
      </extLst>
    </bk>
    <bk>
      <extLst>
        <ext uri="{3e2802c4-a4d2-4d8b-9148-e3be6c30e623}">
          <xlrd:rvb i="6918"/>
        </ext>
      </extLst>
    </bk>
    <bk>
      <extLst>
        <ext uri="{3e2802c4-a4d2-4d8b-9148-e3be6c30e623}">
          <xlrd:rvb i="6919"/>
        </ext>
      </extLst>
    </bk>
    <bk>
      <extLst>
        <ext uri="{3e2802c4-a4d2-4d8b-9148-e3be6c30e623}">
          <xlrd:rvb i="6920"/>
        </ext>
      </extLst>
    </bk>
    <bk>
      <extLst>
        <ext uri="{3e2802c4-a4d2-4d8b-9148-e3be6c30e623}">
          <xlrd:rvb i="6921"/>
        </ext>
      </extLst>
    </bk>
    <bk>
      <extLst>
        <ext uri="{3e2802c4-a4d2-4d8b-9148-e3be6c30e623}">
          <xlrd:rvb i="6922"/>
        </ext>
      </extLst>
    </bk>
    <bk>
      <extLst>
        <ext uri="{3e2802c4-a4d2-4d8b-9148-e3be6c30e623}">
          <xlrd:rvb i="6923"/>
        </ext>
      </extLst>
    </bk>
    <bk>
      <extLst>
        <ext uri="{3e2802c4-a4d2-4d8b-9148-e3be6c30e623}">
          <xlrd:rvb i="6924"/>
        </ext>
      </extLst>
    </bk>
    <bk>
      <extLst>
        <ext uri="{3e2802c4-a4d2-4d8b-9148-e3be6c30e623}">
          <xlrd:rvb i="6925"/>
        </ext>
      </extLst>
    </bk>
    <bk>
      <extLst>
        <ext uri="{3e2802c4-a4d2-4d8b-9148-e3be6c30e623}">
          <xlrd:rvb i="6926"/>
        </ext>
      </extLst>
    </bk>
    <bk>
      <extLst>
        <ext uri="{3e2802c4-a4d2-4d8b-9148-e3be6c30e623}">
          <xlrd:rvb i="6927"/>
        </ext>
      </extLst>
    </bk>
    <bk>
      <extLst>
        <ext uri="{3e2802c4-a4d2-4d8b-9148-e3be6c30e623}">
          <xlrd:rvb i="6928"/>
        </ext>
      </extLst>
    </bk>
    <bk>
      <extLst>
        <ext uri="{3e2802c4-a4d2-4d8b-9148-e3be6c30e623}">
          <xlrd:rvb i="6929"/>
        </ext>
      </extLst>
    </bk>
    <bk>
      <extLst>
        <ext uri="{3e2802c4-a4d2-4d8b-9148-e3be6c30e623}">
          <xlrd:rvb i="6930"/>
        </ext>
      </extLst>
    </bk>
    <bk>
      <extLst>
        <ext uri="{3e2802c4-a4d2-4d8b-9148-e3be6c30e623}">
          <xlrd:rvb i="6931"/>
        </ext>
      </extLst>
    </bk>
    <bk>
      <extLst>
        <ext uri="{3e2802c4-a4d2-4d8b-9148-e3be6c30e623}">
          <xlrd:rvb i="6932"/>
        </ext>
      </extLst>
    </bk>
    <bk>
      <extLst>
        <ext uri="{3e2802c4-a4d2-4d8b-9148-e3be6c30e623}">
          <xlrd:rvb i="6933"/>
        </ext>
      </extLst>
    </bk>
    <bk>
      <extLst>
        <ext uri="{3e2802c4-a4d2-4d8b-9148-e3be6c30e623}">
          <xlrd:rvb i="6934"/>
        </ext>
      </extLst>
    </bk>
    <bk>
      <extLst>
        <ext uri="{3e2802c4-a4d2-4d8b-9148-e3be6c30e623}">
          <xlrd:rvb i="6935"/>
        </ext>
      </extLst>
    </bk>
    <bk>
      <extLst>
        <ext uri="{3e2802c4-a4d2-4d8b-9148-e3be6c30e623}">
          <xlrd:rvb i="6936"/>
        </ext>
      </extLst>
    </bk>
    <bk>
      <extLst>
        <ext uri="{3e2802c4-a4d2-4d8b-9148-e3be6c30e623}">
          <xlrd:rvb i="6937"/>
        </ext>
      </extLst>
    </bk>
    <bk>
      <extLst>
        <ext uri="{3e2802c4-a4d2-4d8b-9148-e3be6c30e623}">
          <xlrd:rvb i="6938"/>
        </ext>
      </extLst>
    </bk>
    <bk>
      <extLst>
        <ext uri="{3e2802c4-a4d2-4d8b-9148-e3be6c30e623}">
          <xlrd:rvb i="6939"/>
        </ext>
      </extLst>
    </bk>
    <bk>
      <extLst>
        <ext uri="{3e2802c4-a4d2-4d8b-9148-e3be6c30e623}">
          <xlrd:rvb i="6940"/>
        </ext>
      </extLst>
    </bk>
    <bk>
      <extLst>
        <ext uri="{3e2802c4-a4d2-4d8b-9148-e3be6c30e623}">
          <xlrd:rvb i="6941"/>
        </ext>
      </extLst>
    </bk>
    <bk>
      <extLst>
        <ext uri="{3e2802c4-a4d2-4d8b-9148-e3be6c30e623}">
          <xlrd:rvb i="6942"/>
        </ext>
      </extLst>
    </bk>
    <bk>
      <extLst>
        <ext uri="{3e2802c4-a4d2-4d8b-9148-e3be6c30e623}">
          <xlrd:rvb i="6943"/>
        </ext>
      </extLst>
    </bk>
    <bk>
      <extLst>
        <ext uri="{3e2802c4-a4d2-4d8b-9148-e3be6c30e623}">
          <xlrd:rvb i="6944"/>
        </ext>
      </extLst>
    </bk>
    <bk>
      <extLst>
        <ext uri="{3e2802c4-a4d2-4d8b-9148-e3be6c30e623}">
          <xlrd:rvb i="6945"/>
        </ext>
      </extLst>
    </bk>
    <bk>
      <extLst>
        <ext uri="{3e2802c4-a4d2-4d8b-9148-e3be6c30e623}">
          <xlrd:rvb i="6946"/>
        </ext>
      </extLst>
    </bk>
    <bk>
      <extLst>
        <ext uri="{3e2802c4-a4d2-4d8b-9148-e3be6c30e623}">
          <xlrd:rvb i="6947"/>
        </ext>
      </extLst>
    </bk>
    <bk>
      <extLst>
        <ext uri="{3e2802c4-a4d2-4d8b-9148-e3be6c30e623}">
          <xlrd:rvb i="6948"/>
        </ext>
      </extLst>
    </bk>
    <bk>
      <extLst>
        <ext uri="{3e2802c4-a4d2-4d8b-9148-e3be6c30e623}">
          <xlrd:rvb i="6949"/>
        </ext>
      </extLst>
    </bk>
    <bk>
      <extLst>
        <ext uri="{3e2802c4-a4d2-4d8b-9148-e3be6c30e623}">
          <xlrd:rvb i="6950"/>
        </ext>
      </extLst>
    </bk>
    <bk>
      <extLst>
        <ext uri="{3e2802c4-a4d2-4d8b-9148-e3be6c30e623}">
          <xlrd:rvb i="6951"/>
        </ext>
      </extLst>
    </bk>
    <bk>
      <extLst>
        <ext uri="{3e2802c4-a4d2-4d8b-9148-e3be6c30e623}">
          <xlrd:rvb i="6952"/>
        </ext>
      </extLst>
    </bk>
    <bk>
      <extLst>
        <ext uri="{3e2802c4-a4d2-4d8b-9148-e3be6c30e623}">
          <xlrd:rvb i="6953"/>
        </ext>
      </extLst>
    </bk>
    <bk>
      <extLst>
        <ext uri="{3e2802c4-a4d2-4d8b-9148-e3be6c30e623}">
          <xlrd:rvb i="6954"/>
        </ext>
      </extLst>
    </bk>
    <bk>
      <extLst>
        <ext uri="{3e2802c4-a4d2-4d8b-9148-e3be6c30e623}">
          <xlrd:rvb i="6955"/>
        </ext>
      </extLst>
    </bk>
    <bk>
      <extLst>
        <ext uri="{3e2802c4-a4d2-4d8b-9148-e3be6c30e623}">
          <xlrd:rvb i="6956"/>
        </ext>
      </extLst>
    </bk>
    <bk>
      <extLst>
        <ext uri="{3e2802c4-a4d2-4d8b-9148-e3be6c30e623}">
          <xlrd:rvb i="6957"/>
        </ext>
      </extLst>
    </bk>
    <bk>
      <extLst>
        <ext uri="{3e2802c4-a4d2-4d8b-9148-e3be6c30e623}">
          <xlrd:rvb i="6958"/>
        </ext>
      </extLst>
    </bk>
    <bk>
      <extLst>
        <ext uri="{3e2802c4-a4d2-4d8b-9148-e3be6c30e623}">
          <xlrd:rvb i="6959"/>
        </ext>
      </extLst>
    </bk>
    <bk>
      <extLst>
        <ext uri="{3e2802c4-a4d2-4d8b-9148-e3be6c30e623}">
          <xlrd:rvb i="6960"/>
        </ext>
      </extLst>
    </bk>
    <bk>
      <extLst>
        <ext uri="{3e2802c4-a4d2-4d8b-9148-e3be6c30e623}">
          <xlrd:rvb i="6961"/>
        </ext>
      </extLst>
    </bk>
    <bk>
      <extLst>
        <ext uri="{3e2802c4-a4d2-4d8b-9148-e3be6c30e623}">
          <xlrd:rvb i="6962"/>
        </ext>
      </extLst>
    </bk>
    <bk>
      <extLst>
        <ext uri="{3e2802c4-a4d2-4d8b-9148-e3be6c30e623}">
          <xlrd:rvb i="6963"/>
        </ext>
      </extLst>
    </bk>
    <bk>
      <extLst>
        <ext uri="{3e2802c4-a4d2-4d8b-9148-e3be6c30e623}">
          <xlrd:rvb i="6964"/>
        </ext>
      </extLst>
    </bk>
    <bk>
      <extLst>
        <ext uri="{3e2802c4-a4d2-4d8b-9148-e3be6c30e623}">
          <xlrd:rvb i="6965"/>
        </ext>
      </extLst>
    </bk>
    <bk>
      <extLst>
        <ext uri="{3e2802c4-a4d2-4d8b-9148-e3be6c30e623}">
          <xlrd:rvb i="6966"/>
        </ext>
      </extLst>
    </bk>
    <bk>
      <extLst>
        <ext uri="{3e2802c4-a4d2-4d8b-9148-e3be6c30e623}">
          <xlrd:rvb i="6967"/>
        </ext>
      </extLst>
    </bk>
    <bk>
      <extLst>
        <ext uri="{3e2802c4-a4d2-4d8b-9148-e3be6c30e623}">
          <xlrd:rvb i="6968"/>
        </ext>
      </extLst>
    </bk>
    <bk>
      <extLst>
        <ext uri="{3e2802c4-a4d2-4d8b-9148-e3be6c30e623}">
          <xlrd:rvb i="6969"/>
        </ext>
      </extLst>
    </bk>
    <bk>
      <extLst>
        <ext uri="{3e2802c4-a4d2-4d8b-9148-e3be6c30e623}">
          <xlrd:rvb i="6970"/>
        </ext>
      </extLst>
    </bk>
    <bk>
      <extLst>
        <ext uri="{3e2802c4-a4d2-4d8b-9148-e3be6c30e623}">
          <xlrd:rvb i="6971"/>
        </ext>
      </extLst>
    </bk>
    <bk>
      <extLst>
        <ext uri="{3e2802c4-a4d2-4d8b-9148-e3be6c30e623}">
          <xlrd:rvb i="6972"/>
        </ext>
      </extLst>
    </bk>
    <bk>
      <extLst>
        <ext uri="{3e2802c4-a4d2-4d8b-9148-e3be6c30e623}">
          <xlrd:rvb i="6973"/>
        </ext>
      </extLst>
    </bk>
    <bk>
      <extLst>
        <ext uri="{3e2802c4-a4d2-4d8b-9148-e3be6c30e623}">
          <xlrd:rvb i="6974"/>
        </ext>
      </extLst>
    </bk>
    <bk>
      <extLst>
        <ext uri="{3e2802c4-a4d2-4d8b-9148-e3be6c30e623}">
          <xlrd:rvb i="6975"/>
        </ext>
      </extLst>
    </bk>
    <bk>
      <extLst>
        <ext uri="{3e2802c4-a4d2-4d8b-9148-e3be6c30e623}">
          <xlrd:rvb i="6976"/>
        </ext>
      </extLst>
    </bk>
    <bk>
      <extLst>
        <ext uri="{3e2802c4-a4d2-4d8b-9148-e3be6c30e623}">
          <xlrd:rvb i="6977"/>
        </ext>
      </extLst>
    </bk>
    <bk>
      <extLst>
        <ext uri="{3e2802c4-a4d2-4d8b-9148-e3be6c30e623}">
          <xlrd:rvb i="6978"/>
        </ext>
      </extLst>
    </bk>
    <bk>
      <extLst>
        <ext uri="{3e2802c4-a4d2-4d8b-9148-e3be6c30e623}">
          <xlrd:rvb i="6979"/>
        </ext>
      </extLst>
    </bk>
    <bk>
      <extLst>
        <ext uri="{3e2802c4-a4d2-4d8b-9148-e3be6c30e623}">
          <xlrd:rvb i="6980"/>
        </ext>
      </extLst>
    </bk>
    <bk>
      <extLst>
        <ext uri="{3e2802c4-a4d2-4d8b-9148-e3be6c30e623}">
          <xlrd:rvb i="6981"/>
        </ext>
      </extLst>
    </bk>
    <bk>
      <extLst>
        <ext uri="{3e2802c4-a4d2-4d8b-9148-e3be6c30e623}">
          <xlrd:rvb i="6982"/>
        </ext>
      </extLst>
    </bk>
    <bk>
      <extLst>
        <ext uri="{3e2802c4-a4d2-4d8b-9148-e3be6c30e623}">
          <xlrd:rvb i="6983"/>
        </ext>
      </extLst>
    </bk>
    <bk>
      <extLst>
        <ext uri="{3e2802c4-a4d2-4d8b-9148-e3be6c30e623}">
          <xlrd:rvb i="6984"/>
        </ext>
      </extLst>
    </bk>
    <bk>
      <extLst>
        <ext uri="{3e2802c4-a4d2-4d8b-9148-e3be6c30e623}">
          <xlrd:rvb i="6985"/>
        </ext>
      </extLst>
    </bk>
    <bk>
      <extLst>
        <ext uri="{3e2802c4-a4d2-4d8b-9148-e3be6c30e623}">
          <xlrd:rvb i="6986"/>
        </ext>
      </extLst>
    </bk>
    <bk>
      <extLst>
        <ext uri="{3e2802c4-a4d2-4d8b-9148-e3be6c30e623}">
          <xlrd:rvb i="6987"/>
        </ext>
      </extLst>
    </bk>
    <bk>
      <extLst>
        <ext uri="{3e2802c4-a4d2-4d8b-9148-e3be6c30e623}">
          <xlrd:rvb i="6988"/>
        </ext>
      </extLst>
    </bk>
    <bk>
      <extLst>
        <ext uri="{3e2802c4-a4d2-4d8b-9148-e3be6c30e623}">
          <xlrd:rvb i="6989"/>
        </ext>
      </extLst>
    </bk>
    <bk>
      <extLst>
        <ext uri="{3e2802c4-a4d2-4d8b-9148-e3be6c30e623}">
          <xlrd:rvb i="6990"/>
        </ext>
      </extLst>
    </bk>
    <bk>
      <extLst>
        <ext uri="{3e2802c4-a4d2-4d8b-9148-e3be6c30e623}">
          <xlrd:rvb i="6991"/>
        </ext>
      </extLst>
    </bk>
    <bk>
      <extLst>
        <ext uri="{3e2802c4-a4d2-4d8b-9148-e3be6c30e623}">
          <xlrd:rvb i="6992"/>
        </ext>
      </extLst>
    </bk>
    <bk>
      <extLst>
        <ext uri="{3e2802c4-a4d2-4d8b-9148-e3be6c30e623}">
          <xlrd:rvb i="6993"/>
        </ext>
      </extLst>
    </bk>
    <bk>
      <extLst>
        <ext uri="{3e2802c4-a4d2-4d8b-9148-e3be6c30e623}">
          <xlrd:rvb i="6994"/>
        </ext>
      </extLst>
    </bk>
    <bk>
      <extLst>
        <ext uri="{3e2802c4-a4d2-4d8b-9148-e3be6c30e623}">
          <xlrd:rvb i="6995"/>
        </ext>
      </extLst>
    </bk>
    <bk>
      <extLst>
        <ext uri="{3e2802c4-a4d2-4d8b-9148-e3be6c30e623}">
          <xlrd:rvb i="6996"/>
        </ext>
      </extLst>
    </bk>
    <bk>
      <extLst>
        <ext uri="{3e2802c4-a4d2-4d8b-9148-e3be6c30e623}">
          <xlrd:rvb i="6997"/>
        </ext>
      </extLst>
    </bk>
    <bk>
      <extLst>
        <ext uri="{3e2802c4-a4d2-4d8b-9148-e3be6c30e623}">
          <xlrd:rvb i="6998"/>
        </ext>
      </extLst>
    </bk>
    <bk>
      <extLst>
        <ext uri="{3e2802c4-a4d2-4d8b-9148-e3be6c30e623}">
          <xlrd:rvb i="6999"/>
        </ext>
      </extLst>
    </bk>
    <bk>
      <extLst>
        <ext uri="{3e2802c4-a4d2-4d8b-9148-e3be6c30e623}">
          <xlrd:rvb i="7000"/>
        </ext>
      </extLst>
    </bk>
    <bk>
      <extLst>
        <ext uri="{3e2802c4-a4d2-4d8b-9148-e3be6c30e623}">
          <xlrd:rvb i="7001"/>
        </ext>
      </extLst>
    </bk>
    <bk>
      <extLst>
        <ext uri="{3e2802c4-a4d2-4d8b-9148-e3be6c30e623}">
          <xlrd:rvb i="7002"/>
        </ext>
      </extLst>
    </bk>
    <bk>
      <extLst>
        <ext uri="{3e2802c4-a4d2-4d8b-9148-e3be6c30e623}">
          <xlrd:rvb i="7003"/>
        </ext>
      </extLst>
    </bk>
    <bk>
      <extLst>
        <ext uri="{3e2802c4-a4d2-4d8b-9148-e3be6c30e623}">
          <xlrd:rvb i="7004"/>
        </ext>
      </extLst>
    </bk>
    <bk>
      <extLst>
        <ext uri="{3e2802c4-a4d2-4d8b-9148-e3be6c30e623}">
          <xlrd:rvb i="7005"/>
        </ext>
      </extLst>
    </bk>
    <bk>
      <extLst>
        <ext uri="{3e2802c4-a4d2-4d8b-9148-e3be6c30e623}">
          <xlrd:rvb i="7006"/>
        </ext>
      </extLst>
    </bk>
    <bk>
      <extLst>
        <ext uri="{3e2802c4-a4d2-4d8b-9148-e3be6c30e623}">
          <xlrd:rvb i="7007"/>
        </ext>
      </extLst>
    </bk>
    <bk>
      <extLst>
        <ext uri="{3e2802c4-a4d2-4d8b-9148-e3be6c30e623}">
          <xlrd:rvb i="7008"/>
        </ext>
      </extLst>
    </bk>
    <bk>
      <extLst>
        <ext uri="{3e2802c4-a4d2-4d8b-9148-e3be6c30e623}">
          <xlrd:rvb i="7009"/>
        </ext>
      </extLst>
    </bk>
    <bk>
      <extLst>
        <ext uri="{3e2802c4-a4d2-4d8b-9148-e3be6c30e623}">
          <xlrd:rvb i="7010"/>
        </ext>
      </extLst>
    </bk>
    <bk>
      <extLst>
        <ext uri="{3e2802c4-a4d2-4d8b-9148-e3be6c30e623}">
          <xlrd:rvb i="7011"/>
        </ext>
      </extLst>
    </bk>
    <bk>
      <extLst>
        <ext uri="{3e2802c4-a4d2-4d8b-9148-e3be6c30e623}">
          <xlrd:rvb i="7012"/>
        </ext>
      </extLst>
    </bk>
    <bk>
      <extLst>
        <ext uri="{3e2802c4-a4d2-4d8b-9148-e3be6c30e623}">
          <xlrd:rvb i="7013"/>
        </ext>
      </extLst>
    </bk>
    <bk>
      <extLst>
        <ext uri="{3e2802c4-a4d2-4d8b-9148-e3be6c30e623}">
          <xlrd:rvb i="7014"/>
        </ext>
      </extLst>
    </bk>
    <bk>
      <extLst>
        <ext uri="{3e2802c4-a4d2-4d8b-9148-e3be6c30e623}">
          <xlrd:rvb i="7015"/>
        </ext>
      </extLst>
    </bk>
    <bk>
      <extLst>
        <ext uri="{3e2802c4-a4d2-4d8b-9148-e3be6c30e623}">
          <xlrd:rvb i="7016"/>
        </ext>
      </extLst>
    </bk>
    <bk>
      <extLst>
        <ext uri="{3e2802c4-a4d2-4d8b-9148-e3be6c30e623}">
          <xlrd:rvb i="7017"/>
        </ext>
      </extLst>
    </bk>
    <bk>
      <extLst>
        <ext uri="{3e2802c4-a4d2-4d8b-9148-e3be6c30e623}">
          <xlrd:rvb i="7018"/>
        </ext>
      </extLst>
    </bk>
    <bk>
      <extLst>
        <ext uri="{3e2802c4-a4d2-4d8b-9148-e3be6c30e623}">
          <xlrd:rvb i="7019"/>
        </ext>
      </extLst>
    </bk>
    <bk>
      <extLst>
        <ext uri="{3e2802c4-a4d2-4d8b-9148-e3be6c30e623}">
          <xlrd:rvb i="7020"/>
        </ext>
      </extLst>
    </bk>
    <bk>
      <extLst>
        <ext uri="{3e2802c4-a4d2-4d8b-9148-e3be6c30e623}">
          <xlrd:rvb i="7021"/>
        </ext>
      </extLst>
    </bk>
    <bk>
      <extLst>
        <ext uri="{3e2802c4-a4d2-4d8b-9148-e3be6c30e623}">
          <xlrd:rvb i="7022"/>
        </ext>
      </extLst>
    </bk>
    <bk>
      <extLst>
        <ext uri="{3e2802c4-a4d2-4d8b-9148-e3be6c30e623}">
          <xlrd:rvb i="7023"/>
        </ext>
      </extLst>
    </bk>
    <bk>
      <extLst>
        <ext uri="{3e2802c4-a4d2-4d8b-9148-e3be6c30e623}">
          <xlrd:rvb i="7024"/>
        </ext>
      </extLst>
    </bk>
    <bk>
      <extLst>
        <ext uri="{3e2802c4-a4d2-4d8b-9148-e3be6c30e623}">
          <xlrd:rvb i="7025"/>
        </ext>
      </extLst>
    </bk>
    <bk>
      <extLst>
        <ext uri="{3e2802c4-a4d2-4d8b-9148-e3be6c30e623}">
          <xlrd:rvb i="7026"/>
        </ext>
      </extLst>
    </bk>
    <bk>
      <extLst>
        <ext uri="{3e2802c4-a4d2-4d8b-9148-e3be6c30e623}">
          <xlrd:rvb i="7027"/>
        </ext>
      </extLst>
    </bk>
    <bk>
      <extLst>
        <ext uri="{3e2802c4-a4d2-4d8b-9148-e3be6c30e623}">
          <xlrd:rvb i="7028"/>
        </ext>
      </extLst>
    </bk>
    <bk>
      <extLst>
        <ext uri="{3e2802c4-a4d2-4d8b-9148-e3be6c30e623}">
          <xlrd:rvb i="7029"/>
        </ext>
      </extLst>
    </bk>
    <bk>
      <extLst>
        <ext uri="{3e2802c4-a4d2-4d8b-9148-e3be6c30e623}">
          <xlrd:rvb i="7030"/>
        </ext>
      </extLst>
    </bk>
    <bk>
      <extLst>
        <ext uri="{3e2802c4-a4d2-4d8b-9148-e3be6c30e623}">
          <xlrd:rvb i="7031"/>
        </ext>
      </extLst>
    </bk>
    <bk>
      <extLst>
        <ext uri="{3e2802c4-a4d2-4d8b-9148-e3be6c30e623}">
          <xlrd:rvb i="7032"/>
        </ext>
      </extLst>
    </bk>
    <bk>
      <extLst>
        <ext uri="{3e2802c4-a4d2-4d8b-9148-e3be6c30e623}">
          <xlrd:rvb i="7033"/>
        </ext>
      </extLst>
    </bk>
    <bk>
      <extLst>
        <ext uri="{3e2802c4-a4d2-4d8b-9148-e3be6c30e623}">
          <xlrd:rvb i="7034"/>
        </ext>
      </extLst>
    </bk>
    <bk>
      <extLst>
        <ext uri="{3e2802c4-a4d2-4d8b-9148-e3be6c30e623}">
          <xlrd:rvb i="7035"/>
        </ext>
      </extLst>
    </bk>
    <bk>
      <extLst>
        <ext uri="{3e2802c4-a4d2-4d8b-9148-e3be6c30e623}">
          <xlrd:rvb i="7036"/>
        </ext>
      </extLst>
    </bk>
    <bk>
      <extLst>
        <ext uri="{3e2802c4-a4d2-4d8b-9148-e3be6c30e623}">
          <xlrd:rvb i="7037"/>
        </ext>
      </extLst>
    </bk>
    <bk>
      <extLst>
        <ext uri="{3e2802c4-a4d2-4d8b-9148-e3be6c30e623}">
          <xlrd:rvb i="7038"/>
        </ext>
      </extLst>
    </bk>
    <bk>
      <extLst>
        <ext uri="{3e2802c4-a4d2-4d8b-9148-e3be6c30e623}">
          <xlrd:rvb i="7039"/>
        </ext>
      </extLst>
    </bk>
    <bk>
      <extLst>
        <ext uri="{3e2802c4-a4d2-4d8b-9148-e3be6c30e623}">
          <xlrd:rvb i="7040"/>
        </ext>
      </extLst>
    </bk>
    <bk>
      <extLst>
        <ext uri="{3e2802c4-a4d2-4d8b-9148-e3be6c30e623}">
          <xlrd:rvb i="7041"/>
        </ext>
      </extLst>
    </bk>
    <bk>
      <extLst>
        <ext uri="{3e2802c4-a4d2-4d8b-9148-e3be6c30e623}">
          <xlrd:rvb i="7042"/>
        </ext>
      </extLst>
    </bk>
    <bk>
      <extLst>
        <ext uri="{3e2802c4-a4d2-4d8b-9148-e3be6c30e623}">
          <xlrd:rvb i="7043"/>
        </ext>
      </extLst>
    </bk>
    <bk>
      <extLst>
        <ext uri="{3e2802c4-a4d2-4d8b-9148-e3be6c30e623}">
          <xlrd:rvb i="7044"/>
        </ext>
      </extLst>
    </bk>
    <bk>
      <extLst>
        <ext uri="{3e2802c4-a4d2-4d8b-9148-e3be6c30e623}">
          <xlrd:rvb i="7045"/>
        </ext>
      </extLst>
    </bk>
    <bk>
      <extLst>
        <ext uri="{3e2802c4-a4d2-4d8b-9148-e3be6c30e623}">
          <xlrd:rvb i="7046"/>
        </ext>
      </extLst>
    </bk>
    <bk>
      <extLst>
        <ext uri="{3e2802c4-a4d2-4d8b-9148-e3be6c30e623}">
          <xlrd:rvb i="7047"/>
        </ext>
      </extLst>
    </bk>
    <bk>
      <extLst>
        <ext uri="{3e2802c4-a4d2-4d8b-9148-e3be6c30e623}">
          <xlrd:rvb i="7048"/>
        </ext>
      </extLst>
    </bk>
    <bk>
      <extLst>
        <ext uri="{3e2802c4-a4d2-4d8b-9148-e3be6c30e623}">
          <xlrd:rvb i="7049"/>
        </ext>
      </extLst>
    </bk>
    <bk>
      <extLst>
        <ext uri="{3e2802c4-a4d2-4d8b-9148-e3be6c30e623}">
          <xlrd:rvb i="7050"/>
        </ext>
      </extLst>
    </bk>
    <bk>
      <extLst>
        <ext uri="{3e2802c4-a4d2-4d8b-9148-e3be6c30e623}">
          <xlrd:rvb i="7051"/>
        </ext>
      </extLst>
    </bk>
    <bk>
      <extLst>
        <ext uri="{3e2802c4-a4d2-4d8b-9148-e3be6c30e623}">
          <xlrd:rvb i="7052"/>
        </ext>
      </extLst>
    </bk>
    <bk>
      <extLst>
        <ext uri="{3e2802c4-a4d2-4d8b-9148-e3be6c30e623}">
          <xlrd:rvb i="7053"/>
        </ext>
      </extLst>
    </bk>
    <bk>
      <extLst>
        <ext uri="{3e2802c4-a4d2-4d8b-9148-e3be6c30e623}">
          <xlrd:rvb i="7054"/>
        </ext>
      </extLst>
    </bk>
    <bk>
      <extLst>
        <ext uri="{3e2802c4-a4d2-4d8b-9148-e3be6c30e623}">
          <xlrd:rvb i="7055"/>
        </ext>
      </extLst>
    </bk>
    <bk>
      <extLst>
        <ext uri="{3e2802c4-a4d2-4d8b-9148-e3be6c30e623}">
          <xlrd:rvb i="7056"/>
        </ext>
      </extLst>
    </bk>
    <bk>
      <extLst>
        <ext uri="{3e2802c4-a4d2-4d8b-9148-e3be6c30e623}">
          <xlrd:rvb i="7057"/>
        </ext>
      </extLst>
    </bk>
    <bk>
      <extLst>
        <ext uri="{3e2802c4-a4d2-4d8b-9148-e3be6c30e623}">
          <xlrd:rvb i="7058"/>
        </ext>
      </extLst>
    </bk>
    <bk>
      <extLst>
        <ext uri="{3e2802c4-a4d2-4d8b-9148-e3be6c30e623}">
          <xlrd:rvb i="7059"/>
        </ext>
      </extLst>
    </bk>
    <bk>
      <extLst>
        <ext uri="{3e2802c4-a4d2-4d8b-9148-e3be6c30e623}">
          <xlrd:rvb i="7060"/>
        </ext>
      </extLst>
    </bk>
    <bk>
      <extLst>
        <ext uri="{3e2802c4-a4d2-4d8b-9148-e3be6c30e623}">
          <xlrd:rvb i="7061"/>
        </ext>
      </extLst>
    </bk>
    <bk>
      <extLst>
        <ext uri="{3e2802c4-a4d2-4d8b-9148-e3be6c30e623}">
          <xlrd:rvb i="7062"/>
        </ext>
      </extLst>
    </bk>
    <bk>
      <extLst>
        <ext uri="{3e2802c4-a4d2-4d8b-9148-e3be6c30e623}">
          <xlrd:rvb i="7063"/>
        </ext>
      </extLst>
    </bk>
    <bk>
      <extLst>
        <ext uri="{3e2802c4-a4d2-4d8b-9148-e3be6c30e623}">
          <xlrd:rvb i="7064"/>
        </ext>
      </extLst>
    </bk>
    <bk>
      <extLst>
        <ext uri="{3e2802c4-a4d2-4d8b-9148-e3be6c30e623}">
          <xlrd:rvb i="7065"/>
        </ext>
      </extLst>
    </bk>
    <bk>
      <extLst>
        <ext uri="{3e2802c4-a4d2-4d8b-9148-e3be6c30e623}">
          <xlrd:rvb i="7066"/>
        </ext>
      </extLst>
    </bk>
    <bk>
      <extLst>
        <ext uri="{3e2802c4-a4d2-4d8b-9148-e3be6c30e623}">
          <xlrd:rvb i="7067"/>
        </ext>
      </extLst>
    </bk>
    <bk>
      <extLst>
        <ext uri="{3e2802c4-a4d2-4d8b-9148-e3be6c30e623}">
          <xlrd:rvb i="7068"/>
        </ext>
      </extLst>
    </bk>
    <bk>
      <extLst>
        <ext uri="{3e2802c4-a4d2-4d8b-9148-e3be6c30e623}">
          <xlrd:rvb i="7069"/>
        </ext>
      </extLst>
    </bk>
    <bk>
      <extLst>
        <ext uri="{3e2802c4-a4d2-4d8b-9148-e3be6c30e623}">
          <xlrd:rvb i="7070"/>
        </ext>
      </extLst>
    </bk>
    <bk>
      <extLst>
        <ext uri="{3e2802c4-a4d2-4d8b-9148-e3be6c30e623}">
          <xlrd:rvb i="7071"/>
        </ext>
      </extLst>
    </bk>
    <bk>
      <extLst>
        <ext uri="{3e2802c4-a4d2-4d8b-9148-e3be6c30e623}">
          <xlrd:rvb i="7072"/>
        </ext>
      </extLst>
    </bk>
    <bk>
      <extLst>
        <ext uri="{3e2802c4-a4d2-4d8b-9148-e3be6c30e623}">
          <xlrd:rvb i="7073"/>
        </ext>
      </extLst>
    </bk>
    <bk>
      <extLst>
        <ext uri="{3e2802c4-a4d2-4d8b-9148-e3be6c30e623}">
          <xlrd:rvb i="7074"/>
        </ext>
      </extLst>
    </bk>
    <bk>
      <extLst>
        <ext uri="{3e2802c4-a4d2-4d8b-9148-e3be6c30e623}">
          <xlrd:rvb i="7075"/>
        </ext>
      </extLst>
    </bk>
    <bk>
      <extLst>
        <ext uri="{3e2802c4-a4d2-4d8b-9148-e3be6c30e623}">
          <xlrd:rvb i="7076"/>
        </ext>
      </extLst>
    </bk>
    <bk>
      <extLst>
        <ext uri="{3e2802c4-a4d2-4d8b-9148-e3be6c30e623}">
          <xlrd:rvb i="7077"/>
        </ext>
      </extLst>
    </bk>
    <bk>
      <extLst>
        <ext uri="{3e2802c4-a4d2-4d8b-9148-e3be6c30e623}">
          <xlrd:rvb i="7078"/>
        </ext>
      </extLst>
    </bk>
    <bk>
      <extLst>
        <ext uri="{3e2802c4-a4d2-4d8b-9148-e3be6c30e623}">
          <xlrd:rvb i="7079"/>
        </ext>
      </extLst>
    </bk>
    <bk>
      <extLst>
        <ext uri="{3e2802c4-a4d2-4d8b-9148-e3be6c30e623}">
          <xlrd:rvb i="7080"/>
        </ext>
      </extLst>
    </bk>
    <bk>
      <extLst>
        <ext uri="{3e2802c4-a4d2-4d8b-9148-e3be6c30e623}">
          <xlrd:rvb i="7081"/>
        </ext>
      </extLst>
    </bk>
    <bk>
      <extLst>
        <ext uri="{3e2802c4-a4d2-4d8b-9148-e3be6c30e623}">
          <xlrd:rvb i="7082"/>
        </ext>
      </extLst>
    </bk>
    <bk>
      <extLst>
        <ext uri="{3e2802c4-a4d2-4d8b-9148-e3be6c30e623}">
          <xlrd:rvb i="7083"/>
        </ext>
      </extLst>
    </bk>
    <bk>
      <extLst>
        <ext uri="{3e2802c4-a4d2-4d8b-9148-e3be6c30e623}">
          <xlrd:rvb i="7084"/>
        </ext>
      </extLst>
    </bk>
    <bk>
      <extLst>
        <ext uri="{3e2802c4-a4d2-4d8b-9148-e3be6c30e623}">
          <xlrd:rvb i="7085"/>
        </ext>
      </extLst>
    </bk>
    <bk>
      <extLst>
        <ext uri="{3e2802c4-a4d2-4d8b-9148-e3be6c30e623}">
          <xlrd:rvb i="7086"/>
        </ext>
      </extLst>
    </bk>
    <bk>
      <extLst>
        <ext uri="{3e2802c4-a4d2-4d8b-9148-e3be6c30e623}">
          <xlrd:rvb i="7087"/>
        </ext>
      </extLst>
    </bk>
    <bk>
      <extLst>
        <ext uri="{3e2802c4-a4d2-4d8b-9148-e3be6c30e623}">
          <xlrd:rvb i="7088"/>
        </ext>
      </extLst>
    </bk>
    <bk>
      <extLst>
        <ext uri="{3e2802c4-a4d2-4d8b-9148-e3be6c30e623}">
          <xlrd:rvb i="7089"/>
        </ext>
      </extLst>
    </bk>
    <bk>
      <extLst>
        <ext uri="{3e2802c4-a4d2-4d8b-9148-e3be6c30e623}">
          <xlrd:rvb i="7090"/>
        </ext>
      </extLst>
    </bk>
    <bk>
      <extLst>
        <ext uri="{3e2802c4-a4d2-4d8b-9148-e3be6c30e623}">
          <xlrd:rvb i="7091"/>
        </ext>
      </extLst>
    </bk>
    <bk>
      <extLst>
        <ext uri="{3e2802c4-a4d2-4d8b-9148-e3be6c30e623}">
          <xlrd:rvb i="7092"/>
        </ext>
      </extLst>
    </bk>
    <bk>
      <extLst>
        <ext uri="{3e2802c4-a4d2-4d8b-9148-e3be6c30e623}">
          <xlrd:rvb i="7093"/>
        </ext>
      </extLst>
    </bk>
    <bk>
      <extLst>
        <ext uri="{3e2802c4-a4d2-4d8b-9148-e3be6c30e623}">
          <xlrd:rvb i="7094"/>
        </ext>
      </extLst>
    </bk>
    <bk>
      <extLst>
        <ext uri="{3e2802c4-a4d2-4d8b-9148-e3be6c30e623}">
          <xlrd:rvb i="7095"/>
        </ext>
      </extLst>
    </bk>
    <bk>
      <extLst>
        <ext uri="{3e2802c4-a4d2-4d8b-9148-e3be6c30e623}">
          <xlrd:rvb i="7096"/>
        </ext>
      </extLst>
    </bk>
    <bk>
      <extLst>
        <ext uri="{3e2802c4-a4d2-4d8b-9148-e3be6c30e623}">
          <xlrd:rvb i="7097"/>
        </ext>
      </extLst>
    </bk>
    <bk>
      <extLst>
        <ext uri="{3e2802c4-a4d2-4d8b-9148-e3be6c30e623}">
          <xlrd:rvb i="7098"/>
        </ext>
      </extLst>
    </bk>
    <bk>
      <extLst>
        <ext uri="{3e2802c4-a4d2-4d8b-9148-e3be6c30e623}">
          <xlrd:rvb i="7099"/>
        </ext>
      </extLst>
    </bk>
    <bk>
      <extLst>
        <ext uri="{3e2802c4-a4d2-4d8b-9148-e3be6c30e623}">
          <xlrd:rvb i="7100"/>
        </ext>
      </extLst>
    </bk>
    <bk>
      <extLst>
        <ext uri="{3e2802c4-a4d2-4d8b-9148-e3be6c30e623}">
          <xlrd:rvb i="7101"/>
        </ext>
      </extLst>
    </bk>
    <bk>
      <extLst>
        <ext uri="{3e2802c4-a4d2-4d8b-9148-e3be6c30e623}">
          <xlrd:rvb i="7102"/>
        </ext>
      </extLst>
    </bk>
    <bk>
      <extLst>
        <ext uri="{3e2802c4-a4d2-4d8b-9148-e3be6c30e623}">
          <xlrd:rvb i="7103"/>
        </ext>
      </extLst>
    </bk>
    <bk>
      <extLst>
        <ext uri="{3e2802c4-a4d2-4d8b-9148-e3be6c30e623}">
          <xlrd:rvb i="7104"/>
        </ext>
      </extLst>
    </bk>
    <bk>
      <extLst>
        <ext uri="{3e2802c4-a4d2-4d8b-9148-e3be6c30e623}">
          <xlrd:rvb i="7105"/>
        </ext>
      </extLst>
    </bk>
    <bk>
      <extLst>
        <ext uri="{3e2802c4-a4d2-4d8b-9148-e3be6c30e623}">
          <xlrd:rvb i="7106"/>
        </ext>
      </extLst>
    </bk>
    <bk>
      <extLst>
        <ext uri="{3e2802c4-a4d2-4d8b-9148-e3be6c30e623}">
          <xlrd:rvb i="7107"/>
        </ext>
      </extLst>
    </bk>
    <bk>
      <extLst>
        <ext uri="{3e2802c4-a4d2-4d8b-9148-e3be6c30e623}">
          <xlrd:rvb i="7108"/>
        </ext>
      </extLst>
    </bk>
    <bk>
      <extLst>
        <ext uri="{3e2802c4-a4d2-4d8b-9148-e3be6c30e623}">
          <xlrd:rvb i="7109"/>
        </ext>
      </extLst>
    </bk>
    <bk>
      <extLst>
        <ext uri="{3e2802c4-a4d2-4d8b-9148-e3be6c30e623}">
          <xlrd:rvb i="7110"/>
        </ext>
      </extLst>
    </bk>
    <bk>
      <extLst>
        <ext uri="{3e2802c4-a4d2-4d8b-9148-e3be6c30e623}">
          <xlrd:rvb i="7111"/>
        </ext>
      </extLst>
    </bk>
    <bk>
      <extLst>
        <ext uri="{3e2802c4-a4d2-4d8b-9148-e3be6c30e623}">
          <xlrd:rvb i="7112"/>
        </ext>
      </extLst>
    </bk>
    <bk>
      <extLst>
        <ext uri="{3e2802c4-a4d2-4d8b-9148-e3be6c30e623}">
          <xlrd:rvb i="7113"/>
        </ext>
      </extLst>
    </bk>
    <bk>
      <extLst>
        <ext uri="{3e2802c4-a4d2-4d8b-9148-e3be6c30e623}">
          <xlrd:rvb i="7114"/>
        </ext>
      </extLst>
    </bk>
    <bk>
      <extLst>
        <ext uri="{3e2802c4-a4d2-4d8b-9148-e3be6c30e623}">
          <xlrd:rvb i="7115"/>
        </ext>
      </extLst>
    </bk>
    <bk>
      <extLst>
        <ext uri="{3e2802c4-a4d2-4d8b-9148-e3be6c30e623}">
          <xlrd:rvb i="7116"/>
        </ext>
      </extLst>
    </bk>
    <bk>
      <extLst>
        <ext uri="{3e2802c4-a4d2-4d8b-9148-e3be6c30e623}">
          <xlrd:rvb i="7117"/>
        </ext>
      </extLst>
    </bk>
    <bk>
      <extLst>
        <ext uri="{3e2802c4-a4d2-4d8b-9148-e3be6c30e623}">
          <xlrd:rvb i="7118"/>
        </ext>
      </extLst>
    </bk>
    <bk>
      <extLst>
        <ext uri="{3e2802c4-a4d2-4d8b-9148-e3be6c30e623}">
          <xlrd:rvb i="7119"/>
        </ext>
      </extLst>
    </bk>
    <bk>
      <extLst>
        <ext uri="{3e2802c4-a4d2-4d8b-9148-e3be6c30e623}">
          <xlrd:rvb i="7120"/>
        </ext>
      </extLst>
    </bk>
    <bk>
      <extLst>
        <ext uri="{3e2802c4-a4d2-4d8b-9148-e3be6c30e623}">
          <xlrd:rvb i="7121"/>
        </ext>
      </extLst>
    </bk>
    <bk>
      <extLst>
        <ext uri="{3e2802c4-a4d2-4d8b-9148-e3be6c30e623}">
          <xlrd:rvb i="7122"/>
        </ext>
      </extLst>
    </bk>
    <bk>
      <extLst>
        <ext uri="{3e2802c4-a4d2-4d8b-9148-e3be6c30e623}">
          <xlrd:rvb i="7123"/>
        </ext>
      </extLst>
    </bk>
    <bk>
      <extLst>
        <ext uri="{3e2802c4-a4d2-4d8b-9148-e3be6c30e623}">
          <xlrd:rvb i="7124"/>
        </ext>
      </extLst>
    </bk>
    <bk>
      <extLst>
        <ext uri="{3e2802c4-a4d2-4d8b-9148-e3be6c30e623}">
          <xlrd:rvb i="7125"/>
        </ext>
      </extLst>
    </bk>
    <bk>
      <extLst>
        <ext uri="{3e2802c4-a4d2-4d8b-9148-e3be6c30e623}">
          <xlrd:rvb i="7126"/>
        </ext>
      </extLst>
    </bk>
    <bk>
      <extLst>
        <ext uri="{3e2802c4-a4d2-4d8b-9148-e3be6c30e623}">
          <xlrd:rvb i="7127"/>
        </ext>
      </extLst>
    </bk>
    <bk>
      <extLst>
        <ext uri="{3e2802c4-a4d2-4d8b-9148-e3be6c30e623}">
          <xlrd:rvb i="7128"/>
        </ext>
      </extLst>
    </bk>
    <bk>
      <extLst>
        <ext uri="{3e2802c4-a4d2-4d8b-9148-e3be6c30e623}">
          <xlrd:rvb i="7129"/>
        </ext>
      </extLst>
    </bk>
    <bk>
      <extLst>
        <ext uri="{3e2802c4-a4d2-4d8b-9148-e3be6c30e623}">
          <xlrd:rvb i="7130"/>
        </ext>
      </extLst>
    </bk>
    <bk>
      <extLst>
        <ext uri="{3e2802c4-a4d2-4d8b-9148-e3be6c30e623}">
          <xlrd:rvb i="7131"/>
        </ext>
      </extLst>
    </bk>
    <bk>
      <extLst>
        <ext uri="{3e2802c4-a4d2-4d8b-9148-e3be6c30e623}">
          <xlrd:rvb i="7132"/>
        </ext>
      </extLst>
    </bk>
    <bk>
      <extLst>
        <ext uri="{3e2802c4-a4d2-4d8b-9148-e3be6c30e623}">
          <xlrd:rvb i="7133"/>
        </ext>
      </extLst>
    </bk>
    <bk>
      <extLst>
        <ext uri="{3e2802c4-a4d2-4d8b-9148-e3be6c30e623}">
          <xlrd:rvb i="7134"/>
        </ext>
      </extLst>
    </bk>
    <bk>
      <extLst>
        <ext uri="{3e2802c4-a4d2-4d8b-9148-e3be6c30e623}">
          <xlrd:rvb i="7135"/>
        </ext>
      </extLst>
    </bk>
    <bk>
      <extLst>
        <ext uri="{3e2802c4-a4d2-4d8b-9148-e3be6c30e623}">
          <xlrd:rvb i="7136"/>
        </ext>
      </extLst>
    </bk>
    <bk>
      <extLst>
        <ext uri="{3e2802c4-a4d2-4d8b-9148-e3be6c30e623}">
          <xlrd:rvb i="7137"/>
        </ext>
      </extLst>
    </bk>
    <bk>
      <extLst>
        <ext uri="{3e2802c4-a4d2-4d8b-9148-e3be6c30e623}">
          <xlrd:rvb i="7138"/>
        </ext>
      </extLst>
    </bk>
    <bk>
      <extLst>
        <ext uri="{3e2802c4-a4d2-4d8b-9148-e3be6c30e623}">
          <xlrd:rvb i="7139"/>
        </ext>
      </extLst>
    </bk>
    <bk>
      <extLst>
        <ext uri="{3e2802c4-a4d2-4d8b-9148-e3be6c30e623}">
          <xlrd:rvb i="7140"/>
        </ext>
      </extLst>
    </bk>
    <bk>
      <extLst>
        <ext uri="{3e2802c4-a4d2-4d8b-9148-e3be6c30e623}">
          <xlrd:rvb i="7141"/>
        </ext>
      </extLst>
    </bk>
    <bk>
      <extLst>
        <ext uri="{3e2802c4-a4d2-4d8b-9148-e3be6c30e623}">
          <xlrd:rvb i="7142"/>
        </ext>
      </extLst>
    </bk>
    <bk>
      <extLst>
        <ext uri="{3e2802c4-a4d2-4d8b-9148-e3be6c30e623}">
          <xlrd:rvb i="7143"/>
        </ext>
      </extLst>
    </bk>
    <bk>
      <extLst>
        <ext uri="{3e2802c4-a4d2-4d8b-9148-e3be6c30e623}">
          <xlrd:rvb i="7144"/>
        </ext>
      </extLst>
    </bk>
    <bk>
      <extLst>
        <ext uri="{3e2802c4-a4d2-4d8b-9148-e3be6c30e623}">
          <xlrd:rvb i="7145"/>
        </ext>
      </extLst>
    </bk>
    <bk>
      <extLst>
        <ext uri="{3e2802c4-a4d2-4d8b-9148-e3be6c30e623}">
          <xlrd:rvb i="7146"/>
        </ext>
      </extLst>
    </bk>
    <bk>
      <extLst>
        <ext uri="{3e2802c4-a4d2-4d8b-9148-e3be6c30e623}">
          <xlrd:rvb i="7147"/>
        </ext>
      </extLst>
    </bk>
    <bk>
      <extLst>
        <ext uri="{3e2802c4-a4d2-4d8b-9148-e3be6c30e623}">
          <xlrd:rvb i="7148"/>
        </ext>
      </extLst>
    </bk>
    <bk>
      <extLst>
        <ext uri="{3e2802c4-a4d2-4d8b-9148-e3be6c30e623}">
          <xlrd:rvb i="7149"/>
        </ext>
      </extLst>
    </bk>
    <bk>
      <extLst>
        <ext uri="{3e2802c4-a4d2-4d8b-9148-e3be6c30e623}">
          <xlrd:rvb i="7150"/>
        </ext>
      </extLst>
    </bk>
    <bk>
      <extLst>
        <ext uri="{3e2802c4-a4d2-4d8b-9148-e3be6c30e623}">
          <xlrd:rvb i="7151"/>
        </ext>
      </extLst>
    </bk>
    <bk>
      <extLst>
        <ext uri="{3e2802c4-a4d2-4d8b-9148-e3be6c30e623}">
          <xlrd:rvb i="7152"/>
        </ext>
      </extLst>
    </bk>
    <bk>
      <extLst>
        <ext uri="{3e2802c4-a4d2-4d8b-9148-e3be6c30e623}">
          <xlrd:rvb i="7153"/>
        </ext>
      </extLst>
    </bk>
    <bk>
      <extLst>
        <ext uri="{3e2802c4-a4d2-4d8b-9148-e3be6c30e623}">
          <xlrd:rvb i="7154"/>
        </ext>
      </extLst>
    </bk>
    <bk>
      <extLst>
        <ext uri="{3e2802c4-a4d2-4d8b-9148-e3be6c30e623}">
          <xlrd:rvb i="7155"/>
        </ext>
      </extLst>
    </bk>
    <bk>
      <extLst>
        <ext uri="{3e2802c4-a4d2-4d8b-9148-e3be6c30e623}">
          <xlrd:rvb i="7156"/>
        </ext>
      </extLst>
    </bk>
    <bk>
      <extLst>
        <ext uri="{3e2802c4-a4d2-4d8b-9148-e3be6c30e623}">
          <xlrd:rvb i="7157"/>
        </ext>
      </extLst>
    </bk>
    <bk>
      <extLst>
        <ext uri="{3e2802c4-a4d2-4d8b-9148-e3be6c30e623}">
          <xlrd:rvb i="7158"/>
        </ext>
      </extLst>
    </bk>
    <bk>
      <extLst>
        <ext uri="{3e2802c4-a4d2-4d8b-9148-e3be6c30e623}">
          <xlrd:rvb i="7159"/>
        </ext>
      </extLst>
    </bk>
    <bk>
      <extLst>
        <ext uri="{3e2802c4-a4d2-4d8b-9148-e3be6c30e623}">
          <xlrd:rvb i="7160"/>
        </ext>
      </extLst>
    </bk>
    <bk>
      <extLst>
        <ext uri="{3e2802c4-a4d2-4d8b-9148-e3be6c30e623}">
          <xlrd:rvb i="7161"/>
        </ext>
      </extLst>
    </bk>
    <bk>
      <extLst>
        <ext uri="{3e2802c4-a4d2-4d8b-9148-e3be6c30e623}">
          <xlrd:rvb i="7162"/>
        </ext>
      </extLst>
    </bk>
    <bk>
      <extLst>
        <ext uri="{3e2802c4-a4d2-4d8b-9148-e3be6c30e623}">
          <xlrd:rvb i="7163"/>
        </ext>
      </extLst>
    </bk>
    <bk>
      <extLst>
        <ext uri="{3e2802c4-a4d2-4d8b-9148-e3be6c30e623}">
          <xlrd:rvb i="7164"/>
        </ext>
      </extLst>
    </bk>
    <bk>
      <extLst>
        <ext uri="{3e2802c4-a4d2-4d8b-9148-e3be6c30e623}">
          <xlrd:rvb i="7165"/>
        </ext>
      </extLst>
    </bk>
    <bk>
      <extLst>
        <ext uri="{3e2802c4-a4d2-4d8b-9148-e3be6c30e623}">
          <xlrd:rvb i="7166"/>
        </ext>
      </extLst>
    </bk>
    <bk>
      <extLst>
        <ext uri="{3e2802c4-a4d2-4d8b-9148-e3be6c30e623}">
          <xlrd:rvb i="7167"/>
        </ext>
      </extLst>
    </bk>
    <bk>
      <extLst>
        <ext uri="{3e2802c4-a4d2-4d8b-9148-e3be6c30e623}">
          <xlrd:rvb i="7168"/>
        </ext>
      </extLst>
    </bk>
    <bk>
      <extLst>
        <ext uri="{3e2802c4-a4d2-4d8b-9148-e3be6c30e623}">
          <xlrd:rvb i="7169"/>
        </ext>
      </extLst>
    </bk>
    <bk>
      <extLst>
        <ext uri="{3e2802c4-a4d2-4d8b-9148-e3be6c30e623}">
          <xlrd:rvb i="7170"/>
        </ext>
      </extLst>
    </bk>
    <bk>
      <extLst>
        <ext uri="{3e2802c4-a4d2-4d8b-9148-e3be6c30e623}">
          <xlrd:rvb i="7171"/>
        </ext>
      </extLst>
    </bk>
    <bk>
      <extLst>
        <ext uri="{3e2802c4-a4d2-4d8b-9148-e3be6c30e623}">
          <xlrd:rvb i="7172"/>
        </ext>
      </extLst>
    </bk>
    <bk>
      <extLst>
        <ext uri="{3e2802c4-a4d2-4d8b-9148-e3be6c30e623}">
          <xlrd:rvb i="7173"/>
        </ext>
      </extLst>
    </bk>
    <bk>
      <extLst>
        <ext uri="{3e2802c4-a4d2-4d8b-9148-e3be6c30e623}">
          <xlrd:rvb i="7174"/>
        </ext>
      </extLst>
    </bk>
    <bk>
      <extLst>
        <ext uri="{3e2802c4-a4d2-4d8b-9148-e3be6c30e623}">
          <xlrd:rvb i="7175"/>
        </ext>
      </extLst>
    </bk>
    <bk>
      <extLst>
        <ext uri="{3e2802c4-a4d2-4d8b-9148-e3be6c30e623}">
          <xlrd:rvb i="7176"/>
        </ext>
      </extLst>
    </bk>
    <bk>
      <extLst>
        <ext uri="{3e2802c4-a4d2-4d8b-9148-e3be6c30e623}">
          <xlrd:rvb i="7177"/>
        </ext>
      </extLst>
    </bk>
    <bk>
      <extLst>
        <ext uri="{3e2802c4-a4d2-4d8b-9148-e3be6c30e623}">
          <xlrd:rvb i="7178"/>
        </ext>
      </extLst>
    </bk>
    <bk>
      <extLst>
        <ext uri="{3e2802c4-a4d2-4d8b-9148-e3be6c30e623}">
          <xlrd:rvb i="7179"/>
        </ext>
      </extLst>
    </bk>
    <bk>
      <extLst>
        <ext uri="{3e2802c4-a4d2-4d8b-9148-e3be6c30e623}">
          <xlrd:rvb i="7180"/>
        </ext>
      </extLst>
    </bk>
    <bk>
      <extLst>
        <ext uri="{3e2802c4-a4d2-4d8b-9148-e3be6c30e623}">
          <xlrd:rvb i="7181"/>
        </ext>
      </extLst>
    </bk>
    <bk>
      <extLst>
        <ext uri="{3e2802c4-a4d2-4d8b-9148-e3be6c30e623}">
          <xlrd:rvb i="7182"/>
        </ext>
      </extLst>
    </bk>
    <bk>
      <extLst>
        <ext uri="{3e2802c4-a4d2-4d8b-9148-e3be6c30e623}">
          <xlrd:rvb i="7183"/>
        </ext>
      </extLst>
    </bk>
    <bk>
      <extLst>
        <ext uri="{3e2802c4-a4d2-4d8b-9148-e3be6c30e623}">
          <xlrd:rvb i="7184"/>
        </ext>
      </extLst>
    </bk>
    <bk>
      <extLst>
        <ext uri="{3e2802c4-a4d2-4d8b-9148-e3be6c30e623}">
          <xlrd:rvb i="7185"/>
        </ext>
      </extLst>
    </bk>
    <bk>
      <extLst>
        <ext uri="{3e2802c4-a4d2-4d8b-9148-e3be6c30e623}">
          <xlrd:rvb i="7186"/>
        </ext>
      </extLst>
    </bk>
    <bk>
      <extLst>
        <ext uri="{3e2802c4-a4d2-4d8b-9148-e3be6c30e623}">
          <xlrd:rvb i="7187"/>
        </ext>
      </extLst>
    </bk>
    <bk>
      <extLst>
        <ext uri="{3e2802c4-a4d2-4d8b-9148-e3be6c30e623}">
          <xlrd:rvb i="7188"/>
        </ext>
      </extLst>
    </bk>
    <bk>
      <extLst>
        <ext uri="{3e2802c4-a4d2-4d8b-9148-e3be6c30e623}">
          <xlrd:rvb i="7189"/>
        </ext>
      </extLst>
    </bk>
    <bk>
      <extLst>
        <ext uri="{3e2802c4-a4d2-4d8b-9148-e3be6c30e623}">
          <xlrd:rvb i="7190"/>
        </ext>
      </extLst>
    </bk>
    <bk>
      <extLst>
        <ext uri="{3e2802c4-a4d2-4d8b-9148-e3be6c30e623}">
          <xlrd:rvb i="7191"/>
        </ext>
      </extLst>
    </bk>
    <bk>
      <extLst>
        <ext uri="{3e2802c4-a4d2-4d8b-9148-e3be6c30e623}">
          <xlrd:rvb i="7192"/>
        </ext>
      </extLst>
    </bk>
    <bk>
      <extLst>
        <ext uri="{3e2802c4-a4d2-4d8b-9148-e3be6c30e623}">
          <xlrd:rvb i="7193"/>
        </ext>
      </extLst>
    </bk>
    <bk>
      <extLst>
        <ext uri="{3e2802c4-a4d2-4d8b-9148-e3be6c30e623}">
          <xlrd:rvb i="7194"/>
        </ext>
      </extLst>
    </bk>
    <bk>
      <extLst>
        <ext uri="{3e2802c4-a4d2-4d8b-9148-e3be6c30e623}">
          <xlrd:rvb i="7195"/>
        </ext>
      </extLst>
    </bk>
    <bk>
      <extLst>
        <ext uri="{3e2802c4-a4d2-4d8b-9148-e3be6c30e623}">
          <xlrd:rvb i="7196"/>
        </ext>
      </extLst>
    </bk>
    <bk>
      <extLst>
        <ext uri="{3e2802c4-a4d2-4d8b-9148-e3be6c30e623}">
          <xlrd:rvb i="7197"/>
        </ext>
      </extLst>
    </bk>
    <bk>
      <extLst>
        <ext uri="{3e2802c4-a4d2-4d8b-9148-e3be6c30e623}">
          <xlrd:rvb i="7198"/>
        </ext>
      </extLst>
    </bk>
    <bk>
      <extLst>
        <ext uri="{3e2802c4-a4d2-4d8b-9148-e3be6c30e623}">
          <xlrd:rvb i="7199"/>
        </ext>
      </extLst>
    </bk>
    <bk>
      <extLst>
        <ext uri="{3e2802c4-a4d2-4d8b-9148-e3be6c30e623}">
          <xlrd:rvb i="7200"/>
        </ext>
      </extLst>
    </bk>
    <bk>
      <extLst>
        <ext uri="{3e2802c4-a4d2-4d8b-9148-e3be6c30e623}">
          <xlrd:rvb i="7201"/>
        </ext>
      </extLst>
    </bk>
    <bk>
      <extLst>
        <ext uri="{3e2802c4-a4d2-4d8b-9148-e3be6c30e623}">
          <xlrd:rvb i="7202"/>
        </ext>
      </extLst>
    </bk>
    <bk>
      <extLst>
        <ext uri="{3e2802c4-a4d2-4d8b-9148-e3be6c30e623}">
          <xlrd:rvb i="7203"/>
        </ext>
      </extLst>
    </bk>
    <bk>
      <extLst>
        <ext uri="{3e2802c4-a4d2-4d8b-9148-e3be6c30e623}">
          <xlrd:rvb i="7204"/>
        </ext>
      </extLst>
    </bk>
    <bk>
      <extLst>
        <ext uri="{3e2802c4-a4d2-4d8b-9148-e3be6c30e623}">
          <xlrd:rvb i="7205"/>
        </ext>
      </extLst>
    </bk>
    <bk>
      <extLst>
        <ext uri="{3e2802c4-a4d2-4d8b-9148-e3be6c30e623}">
          <xlrd:rvb i="7206"/>
        </ext>
      </extLst>
    </bk>
    <bk>
      <extLst>
        <ext uri="{3e2802c4-a4d2-4d8b-9148-e3be6c30e623}">
          <xlrd:rvb i="7207"/>
        </ext>
      </extLst>
    </bk>
    <bk>
      <extLst>
        <ext uri="{3e2802c4-a4d2-4d8b-9148-e3be6c30e623}">
          <xlrd:rvb i="7208"/>
        </ext>
      </extLst>
    </bk>
    <bk>
      <extLst>
        <ext uri="{3e2802c4-a4d2-4d8b-9148-e3be6c30e623}">
          <xlrd:rvb i="7209"/>
        </ext>
      </extLst>
    </bk>
    <bk>
      <extLst>
        <ext uri="{3e2802c4-a4d2-4d8b-9148-e3be6c30e623}">
          <xlrd:rvb i="7210"/>
        </ext>
      </extLst>
    </bk>
    <bk>
      <extLst>
        <ext uri="{3e2802c4-a4d2-4d8b-9148-e3be6c30e623}">
          <xlrd:rvb i="7211"/>
        </ext>
      </extLst>
    </bk>
    <bk>
      <extLst>
        <ext uri="{3e2802c4-a4d2-4d8b-9148-e3be6c30e623}">
          <xlrd:rvb i="7212"/>
        </ext>
      </extLst>
    </bk>
    <bk>
      <extLst>
        <ext uri="{3e2802c4-a4d2-4d8b-9148-e3be6c30e623}">
          <xlrd:rvb i="7213"/>
        </ext>
      </extLst>
    </bk>
    <bk>
      <extLst>
        <ext uri="{3e2802c4-a4d2-4d8b-9148-e3be6c30e623}">
          <xlrd:rvb i="7214"/>
        </ext>
      </extLst>
    </bk>
    <bk>
      <extLst>
        <ext uri="{3e2802c4-a4d2-4d8b-9148-e3be6c30e623}">
          <xlrd:rvb i="7215"/>
        </ext>
      </extLst>
    </bk>
    <bk>
      <extLst>
        <ext uri="{3e2802c4-a4d2-4d8b-9148-e3be6c30e623}">
          <xlrd:rvb i="7216"/>
        </ext>
      </extLst>
    </bk>
    <bk>
      <extLst>
        <ext uri="{3e2802c4-a4d2-4d8b-9148-e3be6c30e623}">
          <xlrd:rvb i="7217"/>
        </ext>
      </extLst>
    </bk>
    <bk>
      <extLst>
        <ext uri="{3e2802c4-a4d2-4d8b-9148-e3be6c30e623}">
          <xlrd:rvb i="7218"/>
        </ext>
      </extLst>
    </bk>
    <bk>
      <extLst>
        <ext uri="{3e2802c4-a4d2-4d8b-9148-e3be6c30e623}">
          <xlrd:rvb i="7219"/>
        </ext>
      </extLst>
    </bk>
    <bk>
      <extLst>
        <ext uri="{3e2802c4-a4d2-4d8b-9148-e3be6c30e623}">
          <xlrd:rvb i="7220"/>
        </ext>
      </extLst>
    </bk>
    <bk>
      <extLst>
        <ext uri="{3e2802c4-a4d2-4d8b-9148-e3be6c30e623}">
          <xlrd:rvb i="7221"/>
        </ext>
      </extLst>
    </bk>
    <bk>
      <extLst>
        <ext uri="{3e2802c4-a4d2-4d8b-9148-e3be6c30e623}">
          <xlrd:rvb i="7222"/>
        </ext>
      </extLst>
    </bk>
    <bk>
      <extLst>
        <ext uri="{3e2802c4-a4d2-4d8b-9148-e3be6c30e623}">
          <xlrd:rvb i="7223"/>
        </ext>
      </extLst>
    </bk>
    <bk>
      <extLst>
        <ext uri="{3e2802c4-a4d2-4d8b-9148-e3be6c30e623}">
          <xlrd:rvb i="7224"/>
        </ext>
      </extLst>
    </bk>
    <bk>
      <extLst>
        <ext uri="{3e2802c4-a4d2-4d8b-9148-e3be6c30e623}">
          <xlrd:rvb i="7225"/>
        </ext>
      </extLst>
    </bk>
    <bk>
      <extLst>
        <ext uri="{3e2802c4-a4d2-4d8b-9148-e3be6c30e623}">
          <xlrd:rvb i="7226"/>
        </ext>
      </extLst>
    </bk>
    <bk>
      <extLst>
        <ext uri="{3e2802c4-a4d2-4d8b-9148-e3be6c30e623}">
          <xlrd:rvb i="7227"/>
        </ext>
      </extLst>
    </bk>
    <bk>
      <extLst>
        <ext uri="{3e2802c4-a4d2-4d8b-9148-e3be6c30e623}">
          <xlrd:rvb i="7228"/>
        </ext>
      </extLst>
    </bk>
    <bk>
      <extLst>
        <ext uri="{3e2802c4-a4d2-4d8b-9148-e3be6c30e623}">
          <xlrd:rvb i="7229"/>
        </ext>
      </extLst>
    </bk>
    <bk>
      <extLst>
        <ext uri="{3e2802c4-a4d2-4d8b-9148-e3be6c30e623}">
          <xlrd:rvb i="7230"/>
        </ext>
      </extLst>
    </bk>
    <bk>
      <extLst>
        <ext uri="{3e2802c4-a4d2-4d8b-9148-e3be6c30e623}">
          <xlrd:rvb i="7231"/>
        </ext>
      </extLst>
    </bk>
    <bk>
      <extLst>
        <ext uri="{3e2802c4-a4d2-4d8b-9148-e3be6c30e623}">
          <xlrd:rvb i="7232"/>
        </ext>
      </extLst>
    </bk>
    <bk>
      <extLst>
        <ext uri="{3e2802c4-a4d2-4d8b-9148-e3be6c30e623}">
          <xlrd:rvb i="7233"/>
        </ext>
      </extLst>
    </bk>
    <bk>
      <extLst>
        <ext uri="{3e2802c4-a4d2-4d8b-9148-e3be6c30e623}">
          <xlrd:rvb i="7234"/>
        </ext>
      </extLst>
    </bk>
    <bk>
      <extLst>
        <ext uri="{3e2802c4-a4d2-4d8b-9148-e3be6c30e623}">
          <xlrd:rvb i="7235"/>
        </ext>
      </extLst>
    </bk>
    <bk>
      <extLst>
        <ext uri="{3e2802c4-a4d2-4d8b-9148-e3be6c30e623}">
          <xlrd:rvb i="7236"/>
        </ext>
      </extLst>
    </bk>
    <bk>
      <extLst>
        <ext uri="{3e2802c4-a4d2-4d8b-9148-e3be6c30e623}">
          <xlrd:rvb i="7237"/>
        </ext>
      </extLst>
    </bk>
    <bk>
      <extLst>
        <ext uri="{3e2802c4-a4d2-4d8b-9148-e3be6c30e623}">
          <xlrd:rvb i="7238"/>
        </ext>
      </extLst>
    </bk>
    <bk>
      <extLst>
        <ext uri="{3e2802c4-a4d2-4d8b-9148-e3be6c30e623}">
          <xlrd:rvb i="7239"/>
        </ext>
      </extLst>
    </bk>
    <bk>
      <extLst>
        <ext uri="{3e2802c4-a4d2-4d8b-9148-e3be6c30e623}">
          <xlrd:rvb i="7240"/>
        </ext>
      </extLst>
    </bk>
    <bk>
      <extLst>
        <ext uri="{3e2802c4-a4d2-4d8b-9148-e3be6c30e623}">
          <xlrd:rvb i="7241"/>
        </ext>
      </extLst>
    </bk>
    <bk>
      <extLst>
        <ext uri="{3e2802c4-a4d2-4d8b-9148-e3be6c30e623}">
          <xlrd:rvb i="7242"/>
        </ext>
      </extLst>
    </bk>
    <bk>
      <extLst>
        <ext uri="{3e2802c4-a4d2-4d8b-9148-e3be6c30e623}">
          <xlrd:rvb i="7243"/>
        </ext>
      </extLst>
    </bk>
    <bk>
      <extLst>
        <ext uri="{3e2802c4-a4d2-4d8b-9148-e3be6c30e623}">
          <xlrd:rvb i="7244"/>
        </ext>
      </extLst>
    </bk>
    <bk>
      <extLst>
        <ext uri="{3e2802c4-a4d2-4d8b-9148-e3be6c30e623}">
          <xlrd:rvb i="7245"/>
        </ext>
      </extLst>
    </bk>
    <bk>
      <extLst>
        <ext uri="{3e2802c4-a4d2-4d8b-9148-e3be6c30e623}">
          <xlrd:rvb i="7246"/>
        </ext>
      </extLst>
    </bk>
    <bk>
      <extLst>
        <ext uri="{3e2802c4-a4d2-4d8b-9148-e3be6c30e623}">
          <xlrd:rvb i="7247"/>
        </ext>
      </extLst>
    </bk>
    <bk>
      <extLst>
        <ext uri="{3e2802c4-a4d2-4d8b-9148-e3be6c30e623}">
          <xlrd:rvb i="7248"/>
        </ext>
      </extLst>
    </bk>
    <bk>
      <extLst>
        <ext uri="{3e2802c4-a4d2-4d8b-9148-e3be6c30e623}">
          <xlrd:rvb i="7249"/>
        </ext>
      </extLst>
    </bk>
    <bk>
      <extLst>
        <ext uri="{3e2802c4-a4d2-4d8b-9148-e3be6c30e623}">
          <xlrd:rvb i="7250"/>
        </ext>
      </extLst>
    </bk>
    <bk>
      <extLst>
        <ext uri="{3e2802c4-a4d2-4d8b-9148-e3be6c30e623}">
          <xlrd:rvb i="7251"/>
        </ext>
      </extLst>
    </bk>
    <bk>
      <extLst>
        <ext uri="{3e2802c4-a4d2-4d8b-9148-e3be6c30e623}">
          <xlrd:rvb i="7252"/>
        </ext>
      </extLst>
    </bk>
    <bk>
      <extLst>
        <ext uri="{3e2802c4-a4d2-4d8b-9148-e3be6c30e623}">
          <xlrd:rvb i="7253"/>
        </ext>
      </extLst>
    </bk>
    <bk>
      <extLst>
        <ext uri="{3e2802c4-a4d2-4d8b-9148-e3be6c30e623}">
          <xlrd:rvb i="7254"/>
        </ext>
      </extLst>
    </bk>
    <bk>
      <extLst>
        <ext uri="{3e2802c4-a4d2-4d8b-9148-e3be6c30e623}">
          <xlrd:rvb i="7255"/>
        </ext>
      </extLst>
    </bk>
    <bk>
      <extLst>
        <ext uri="{3e2802c4-a4d2-4d8b-9148-e3be6c30e623}">
          <xlrd:rvb i="7256"/>
        </ext>
      </extLst>
    </bk>
    <bk>
      <extLst>
        <ext uri="{3e2802c4-a4d2-4d8b-9148-e3be6c30e623}">
          <xlrd:rvb i="7257"/>
        </ext>
      </extLst>
    </bk>
    <bk>
      <extLst>
        <ext uri="{3e2802c4-a4d2-4d8b-9148-e3be6c30e623}">
          <xlrd:rvb i="7258"/>
        </ext>
      </extLst>
    </bk>
    <bk>
      <extLst>
        <ext uri="{3e2802c4-a4d2-4d8b-9148-e3be6c30e623}">
          <xlrd:rvb i="7259"/>
        </ext>
      </extLst>
    </bk>
    <bk>
      <extLst>
        <ext uri="{3e2802c4-a4d2-4d8b-9148-e3be6c30e623}">
          <xlrd:rvb i="7260"/>
        </ext>
      </extLst>
    </bk>
    <bk>
      <extLst>
        <ext uri="{3e2802c4-a4d2-4d8b-9148-e3be6c30e623}">
          <xlrd:rvb i="7261"/>
        </ext>
      </extLst>
    </bk>
    <bk>
      <extLst>
        <ext uri="{3e2802c4-a4d2-4d8b-9148-e3be6c30e623}">
          <xlrd:rvb i="7262"/>
        </ext>
      </extLst>
    </bk>
    <bk>
      <extLst>
        <ext uri="{3e2802c4-a4d2-4d8b-9148-e3be6c30e623}">
          <xlrd:rvb i="7263"/>
        </ext>
      </extLst>
    </bk>
    <bk>
      <extLst>
        <ext uri="{3e2802c4-a4d2-4d8b-9148-e3be6c30e623}">
          <xlrd:rvb i="7264"/>
        </ext>
      </extLst>
    </bk>
    <bk>
      <extLst>
        <ext uri="{3e2802c4-a4d2-4d8b-9148-e3be6c30e623}">
          <xlrd:rvb i="7265"/>
        </ext>
      </extLst>
    </bk>
    <bk>
      <extLst>
        <ext uri="{3e2802c4-a4d2-4d8b-9148-e3be6c30e623}">
          <xlrd:rvb i="7266"/>
        </ext>
      </extLst>
    </bk>
    <bk>
      <extLst>
        <ext uri="{3e2802c4-a4d2-4d8b-9148-e3be6c30e623}">
          <xlrd:rvb i="7267"/>
        </ext>
      </extLst>
    </bk>
    <bk>
      <extLst>
        <ext uri="{3e2802c4-a4d2-4d8b-9148-e3be6c30e623}">
          <xlrd:rvb i="7268"/>
        </ext>
      </extLst>
    </bk>
    <bk>
      <extLst>
        <ext uri="{3e2802c4-a4d2-4d8b-9148-e3be6c30e623}">
          <xlrd:rvb i="7269"/>
        </ext>
      </extLst>
    </bk>
    <bk>
      <extLst>
        <ext uri="{3e2802c4-a4d2-4d8b-9148-e3be6c30e623}">
          <xlrd:rvb i="7270"/>
        </ext>
      </extLst>
    </bk>
    <bk>
      <extLst>
        <ext uri="{3e2802c4-a4d2-4d8b-9148-e3be6c30e623}">
          <xlrd:rvb i="7271"/>
        </ext>
      </extLst>
    </bk>
    <bk>
      <extLst>
        <ext uri="{3e2802c4-a4d2-4d8b-9148-e3be6c30e623}">
          <xlrd:rvb i="7272"/>
        </ext>
      </extLst>
    </bk>
    <bk>
      <extLst>
        <ext uri="{3e2802c4-a4d2-4d8b-9148-e3be6c30e623}">
          <xlrd:rvb i="7273"/>
        </ext>
      </extLst>
    </bk>
    <bk>
      <extLst>
        <ext uri="{3e2802c4-a4d2-4d8b-9148-e3be6c30e623}">
          <xlrd:rvb i="7274"/>
        </ext>
      </extLst>
    </bk>
    <bk>
      <extLst>
        <ext uri="{3e2802c4-a4d2-4d8b-9148-e3be6c30e623}">
          <xlrd:rvb i="7275"/>
        </ext>
      </extLst>
    </bk>
    <bk>
      <extLst>
        <ext uri="{3e2802c4-a4d2-4d8b-9148-e3be6c30e623}">
          <xlrd:rvb i="7276"/>
        </ext>
      </extLst>
    </bk>
    <bk>
      <extLst>
        <ext uri="{3e2802c4-a4d2-4d8b-9148-e3be6c30e623}">
          <xlrd:rvb i="7277"/>
        </ext>
      </extLst>
    </bk>
    <bk>
      <extLst>
        <ext uri="{3e2802c4-a4d2-4d8b-9148-e3be6c30e623}">
          <xlrd:rvb i="7278"/>
        </ext>
      </extLst>
    </bk>
    <bk>
      <extLst>
        <ext uri="{3e2802c4-a4d2-4d8b-9148-e3be6c30e623}">
          <xlrd:rvb i="7279"/>
        </ext>
      </extLst>
    </bk>
    <bk>
      <extLst>
        <ext uri="{3e2802c4-a4d2-4d8b-9148-e3be6c30e623}">
          <xlrd:rvb i="7280"/>
        </ext>
      </extLst>
    </bk>
    <bk>
      <extLst>
        <ext uri="{3e2802c4-a4d2-4d8b-9148-e3be6c30e623}">
          <xlrd:rvb i="7281"/>
        </ext>
      </extLst>
    </bk>
    <bk>
      <extLst>
        <ext uri="{3e2802c4-a4d2-4d8b-9148-e3be6c30e623}">
          <xlrd:rvb i="7282"/>
        </ext>
      </extLst>
    </bk>
    <bk>
      <extLst>
        <ext uri="{3e2802c4-a4d2-4d8b-9148-e3be6c30e623}">
          <xlrd:rvb i="7283"/>
        </ext>
      </extLst>
    </bk>
    <bk>
      <extLst>
        <ext uri="{3e2802c4-a4d2-4d8b-9148-e3be6c30e623}">
          <xlrd:rvb i="7284"/>
        </ext>
      </extLst>
    </bk>
    <bk>
      <extLst>
        <ext uri="{3e2802c4-a4d2-4d8b-9148-e3be6c30e623}">
          <xlrd:rvb i="7285"/>
        </ext>
      </extLst>
    </bk>
    <bk>
      <extLst>
        <ext uri="{3e2802c4-a4d2-4d8b-9148-e3be6c30e623}">
          <xlrd:rvb i="7286"/>
        </ext>
      </extLst>
    </bk>
    <bk>
      <extLst>
        <ext uri="{3e2802c4-a4d2-4d8b-9148-e3be6c30e623}">
          <xlrd:rvb i="7287"/>
        </ext>
      </extLst>
    </bk>
    <bk>
      <extLst>
        <ext uri="{3e2802c4-a4d2-4d8b-9148-e3be6c30e623}">
          <xlrd:rvb i="7288"/>
        </ext>
      </extLst>
    </bk>
    <bk>
      <extLst>
        <ext uri="{3e2802c4-a4d2-4d8b-9148-e3be6c30e623}">
          <xlrd:rvb i="7289"/>
        </ext>
      </extLst>
    </bk>
    <bk>
      <extLst>
        <ext uri="{3e2802c4-a4d2-4d8b-9148-e3be6c30e623}">
          <xlrd:rvb i="7290"/>
        </ext>
      </extLst>
    </bk>
    <bk>
      <extLst>
        <ext uri="{3e2802c4-a4d2-4d8b-9148-e3be6c30e623}">
          <xlrd:rvb i="7291"/>
        </ext>
      </extLst>
    </bk>
    <bk>
      <extLst>
        <ext uri="{3e2802c4-a4d2-4d8b-9148-e3be6c30e623}">
          <xlrd:rvb i="7292"/>
        </ext>
      </extLst>
    </bk>
    <bk>
      <extLst>
        <ext uri="{3e2802c4-a4d2-4d8b-9148-e3be6c30e623}">
          <xlrd:rvb i="7293"/>
        </ext>
      </extLst>
    </bk>
    <bk>
      <extLst>
        <ext uri="{3e2802c4-a4d2-4d8b-9148-e3be6c30e623}">
          <xlrd:rvb i="7294"/>
        </ext>
      </extLst>
    </bk>
    <bk>
      <extLst>
        <ext uri="{3e2802c4-a4d2-4d8b-9148-e3be6c30e623}">
          <xlrd:rvb i="7295"/>
        </ext>
      </extLst>
    </bk>
    <bk>
      <extLst>
        <ext uri="{3e2802c4-a4d2-4d8b-9148-e3be6c30e623}">
          <xlrd:rvb i="7296"/>
        </ext>
      </extLst>
    </bk>
    <bk>
      <extLst>
        <ext uri="{3e2802c4-a4d2-4d8b-9148-e3be6c30e623}">
          <xlrd:rvb i="7297"/>
        </ext>
      </extLst>
    </bk>
    <bk>
      <extLst>
        <ext uri="{3e2802c4-a4d2-4d8b-9148-e3be6c30e623}">
          <xlrd:rvb i="7298"/>
        </ext>
      </extLst>
    </bk>
    <bk>
      <extLst>
        <ext uri="{3e2802c4-a4d2-4d8b-9148-e3be6c30e623}">
          <xlrd:rvb i="7299"/>
        </ext>
      </extLst>
    </bk>
    <bk>
      <extLst>
        <ext uri="{3e2802c4-a4d2-4d8b-9148-e3be6c30e623}">
          <xlrd:rvb i="7300"/>
        </ext>
      </extLst>
    </bk>
    <bk>
      <extLst>
        <ext uri="{3e2802c4-a4d2-4d8b-9148-e3be6c30e623}">
          <xlrd:rvb i="7301"/>
        </ext>
      </extLst>
    </bk>
    <bk>
      <extLst>
        <ext uri="{3e2802c4-a4d2-4d8b-9148-e3be6c30e623}">
          <xlrd:rvb i="7302"/>
        </ext>
      </extLst>
    </bk>
    <bk>
      <extLst>
        <ext uri="{3e2802c4-a4d2-4d8b-9148-e3be6c30e623}">
          <xlrd:rvb i="7303"/>
        </ext>
      </extLst>
    </bk>
    <bk>
      <extLst>
        <ext uri="{3e2802c4-a4d2-4d8b-9148-e3be6c30e623}">
          <xlrd:rvb i="7304"/>
        </ext>
      </extLst>
    </bk>
    <bk>
      <extLst>
        <ext uri="{3e2802c4-a4d2-4d8b-9148-e3be6c30e623}">
          <xlrd:rvb i="7305"/>
        </ext>
      </extLst>
    </bk>
    <bk>
      <extLst>
        <ext uri="{3e2802c4-a4d2-4d8b-9148-e3be6c30e623}">
          <xlrd:rvb i="7306"/>
        </ext>
      </extLst>
    </bk>
    <bk>
      <extLst>
        <ext uri="{3e2802c4-a4d2-4d8b-9148-e3be6c30e623}">
          <xlrd:rvb i="7307"/>
        </ext>
      </extLst>
    </bk>
    <bk>
      <extLst>
        <ext uri="{3e2802c4-a4d2-4d8b-9148-e3be6c30e623}">
          <xlrd:rvb i="7308"/>
        </ext>
      </extLst>
    </bk>
    <bk>
      <extLst>
        <ext uri="{3e2802c4-a4d2-4d8b-9148-e3be6c30e623}">
          <xlrd:rvb i="7309"/>
        </ext>
      </extLst>
    </bk>
    <bk>
      <extLst>
        <ext uri="{3e2802c4-a4d2-4d8b-9148-e3be6c30e623}">
          <xlrd:rvb i="7310"/>
        </ext>
      </extLst>
    </bk>
    <bk>
      <extLst>
        <ext uri="{3e2802c4-a4d2-4d8b-9148-e3be6c30e623}">
          <xlrd:rvb i="7311"/>
        </ext>
      </extLst>
    </bk>
    <bk>
      <extLst>
        <ext uri="{3e2802c4-a4d2-4d8b-9148-e3be6c30e623}">
          <xlrd:rvb i="7312"/>
        </ext>
      </extLst>
    </bk>
    <bk>
      <extLst>
        <ext uri="{3e2802c4-a4d2-4d8b-9148-e3be6c30e623}">
          <xlrd:rvb i="7313"/>
        </ext>
      </extLst>
    </bk>
    <bk>
      <extLst>
        <ext uri="{3e2802c4-a4d2-4d8b-9148-e3be6c30e623}">
          <xlrd:rvb i="7314"/>
        </ext>
      </extLst>
    </bk>
    <bk>
      <extLst>
        <ext uri="{3e2802c4-a4d2-4d8b-9148-e3be6c30e623}">
          <xlrd:rvb i="7315"/>
        </ext>
      </extLst>
    </bk>
    <bk>
      <extLst>
        <ext uri="{3e2802c4-a4d2-4d8b-9148-e3be6c30e623}">
          <xlrd:rvb i="7316"/>
        </ext>
      </extLst>
    </bk>
    <bk>
      <extLst>
        <ext uri="{3e2802c4-a4d2-4d8b-9148-e3be6c30e623}">
          <xlrd:rvb i="7317"/>
        </ext>
      </extLst>
    </bk>
    <bk>
      <extLst>
        <ext uri="{3e2802c4-a4d2-4d8b-9148-e3be6c30e623}">
          <xlrd:rvb i="7318"/>
        </ext>
      </extLst>
    </bk>
    <bk>
      <extLst>
        <ext uri="{3e2802c4-a4d2-4d8b-9148-e3be6c30e623}">
          <xlrd:rvb i="7319"/>
        </ext>
      </extLst>
    </bk>
    <bk>
      <extLst>
        <ext uri="{3e2802c4-a4d2-4d8b-9148-e3be6c30e623}">
          <xlrd:rvb i="7320"/>
        </ext>
      </extLst>
    </bk>
    <bk>
      <extLst>
        <ext uri="{3e2802c4-a4d2-4d8b-9148-e3be6c30e623}">
          <xlrd:rvb i="7321"/>
        </ext>
      </extLst>
    </bk>
    <bk>
      <extLst>
        <ext uri="{3e2802c4-a4d2-4d8b-9148-e3be6c30e623}">
          <xlrd:rvb i="7322"/>
        </ext>
      </extLst>
    </bk>
    <bk>
      <extLst>
        <ext uri="{3e2802c4-a4d2-4d8b-9148-e3be6c30e623}">
          <xlrd:rvb i="7323"/>
        </ext>
      </extLst>
    </bk>
    <bk>
      <extLst>
        <ext uri="{3e2802c4-a4d2-4d8b-9148-e3be6c30e623}">
          <xlrd:rvb i="7324"/>
        </ext>
      </extLst>
    </bk>
    <bk>
      <extLst>
        <ext uri="{3e2802c4-a4d2-4d8b-9148-e3be6c30e623}">
          <xlrd:rvb i="7325"/>
        </ext>
      </extLst>
    </bk>
    <bk>
      <extLst>
        <ext uri="{3e2802c4-a4d2-4d8b-9148-e3be6c30e623}">
          <xlrd:rvb i="7326"/>
        </ext>
      </extLst>
    </bk>
    <bk>
      <extLst>
        <ext uri="{3e2802c4-a4d2-4d8b-9148-e3be6c30e623}">
          <xlrd:rvb i="7327"/>
        </ext>
      </extLst>
    </bk>
    <bk>
      <extLst>
        <ext uri="{3e2802c4-a4d2-4d8b-9148-e3be6c30e623}">
          <xlrd:rvb i="7328"/>
        </ext>
      </extLst>
    </bk>
    <bk>
      <extLst>
        <ext uri="{3e2802c4-a4d2-4d8b-9148-e3be6c30e623}">
          <xlrd:rvb i="7329"/>
        </ext>
      </extLst>
    </bk>
    <bk>
      <extLst>
        <ext uri="{3e2802c4-a4d2-4d8b-9148-e3be6c30e623}">
          <xlrd:rvb i="7330"/>
        </ext>
      </extLst>
    </bk>
    <bk>
      <extLst>
        <ext uri="{3e2802c4-a4d2-4d8b-9148-e3be6c30e623}">
          <xlrd:rvb i="7331"/>
        </ext>
      </extLst>
    </bk>
    <bk>
      <extLst>
        <ext uri="{3e2802c4-a4d2-4d8b-9148-e3be6c30e623}">
          <xlrd:rvb i="7332"/>
        </ext>
      </extLst>
    </bk>
    <bk>
      <extLst>
        <ext uri="{3e2802c4-a4d2-4d8b-9148-e3be6c30e623}">
          <xlrd:rvb i="7333"/>
        </ext>
      </extLst>
    </bk>
    <bk>
      <extLst>
        <ext uri="{3e2802c4-a4d2-4d8b-9148-e3be6c30e623}">
          <xlrd:rvb i="7334"/>
        </ext>
      </extLst>
    </bk>
    <bk>
      <extLst>
        <ext uri="{3e2802c4-a4d2-4d8b-9148-e3be6c30e623}">
          <xlrd:rvb i="7335"/>
        </ext>
      </extLst>
    </bk>
    <bk>
      <extLst>
        <ext uri="{3e2802c4-a4d2-4d8b-9148-e3be6c30e623}">
          <xlrd:rvb i="7336"/>
        </ext>
      </extLst>
    </bk>
    <bk>
      <extLst>
        <ext uri="{3e2802c4-a4d2-4d8b-9148-e3be6c30e623}">
          <xlrd:rvb i="7337"/>
        </ext>
      </extLst>
    </bk>
    <bk>
      <extLst>
        <ext uri="{3e2802c4-a4d2-4d8b-9148-e3be6c30e623}">
          <xlrd:rvb i="7338"/>
        </ext>
      </extLst>
    </bk>
    <bk>
      <extLst>
        <ext uri="{3e2802c4-a4d2-4d8b-9148-e3be6c30e623}">
          <xlrd:rvb i="7339"/>
        </ext>
      </extLst>
    </bk>
    <bk>
      <extLst>
        <ext uri="{3e2802c4-a4d2-4d8b-9148-e3be6c30e623}">
          <xlrd:rvb i="7340"/>
        </ext>
      </extLst>
    </bk>
    <bk>
      <extLst>
        <ext uri="{3e2802c4-a4d2-4d8b-9148-e3be6c30e623}">
          <xlrd:rvb i="7341"/>
        </ext>
      </extLst>
    </bk>
    <bk>
      <extLst>
        <ext uri="{3e2802c4-a4d2-4d8b-9148-e3be6c30e623}">
          <xlrd:rvb i="7342"/>
        </ext>
      </extLst>
    </bk>
    <bk>
      <extLst>
        <ext uri="{3e2802c4-a4d2-4d8b-9148-e3be6c30e623}">
          <xlrd:rvb i="7343"/>
        </ext>
      </extLst>
    </bk>
    <bk>
      <extLst>
        <ext uri="{3e2802c4-a4d2-4d8b-9148-e3be6c30e623}">
          <xlrd:rvb i="7344"/>
        </ext>
      </extLst>
    </bk>
    <bk>
      <extLst>
        <ext uri="{3e2802c4-a4d2-4d8b-9148-e3be6c30e623}">
          <xlrd:rvb i="7345"/>
        </ext>
      </extLst>
    </bk>
    <bk>
      <extLst>
        <ext uri="{3e2802c4-a4d2-4d8b-9148-e3be6c30e623}">
          <xlrd:rvb i="7346"/>
        </ext>
      </extLst>
    </bk>
    <bk>
      <extLst>
        <ext uri="{3e2802c4-a4d2-4d8b-9148-e3be6c30e623}">
          <xlrd:rvb i="7347"/>
        </ext>
      </extLst>
    </bk>
    <bk>
      <extLst>
        <ext uri="{3e2802c4-a4d2-4d8b-9148-e3be6c30e623}">
          <xlrd:rvb i="7348"/>
        </ext>
      </extLst>
    </bk>
    <bk>
      <extLst>
        <ext uri="{3e2802c4-a4d2-4d8b-9148-e3be6c30e623}">
          <xlrd:rvb i="7349"/>
        </ext>
      </extLst>
    </bk>
    <bk>
      <extLst>
        <ext uri="{3e2802c4-a4d2-4d8b-9148-e3be6c30e623}">
          <xlrd:rvb i="7350"/>
        </ext>
      </extLst>
    </bk>
    <bk>
      <extLst>
        <ext uri="{3e2802c4-a4d2-4d8b-9148-e3be6c30e623}">
          <xlrd:rvb i="7351"/>
        </ext>
      </extLst>
    </bk>
    <bk>
      <extLst>
        <ext uri="{3e2802c4-a4d2-4d8b-9148-e3be6c30e623}">
          <xlrd:rvb i="7352"/>
        </ext>
      </extLst>
    </bk>
    <bk>
      <extLst>
        <ext uri="{3e2802c4-a4d2-4d8b-9148-e3be6c30e623}">
          <xlrd:rvb i="7353"/>
        </ext>
      </extLst>
    </bk>
    <bk>
      <extLst>
        <ext uri="{3e2802c4-a4d2-4d8b-9148-e3be6c30e623}">
          <xlrd:rvb i="7354"/>
        </ext>
      </extLst>
    </bk>
    <bk>
      <extLst>
        <ext uri="{3e2802c4-a4d2-4d8b-9148-e3be6c30e623}">
          <xlrd:rvb i="7355"/>
        </ext>
      </extLst>
    </bk>
    <bk>
      <extLst>
        <ext uri="{3e2802c4-a4d2-4d8b-9148-e3be6c30e623}">
          <xlrd:rvb i="7356"/>
        </ext>
      </extLst>
    </bk>
    <bk>
      <extLst>
        <ext uri="{3e2802c4-a4d2-4d8b-9148-e3be6c30e623}">
          <xlrd:rvb i="7357"/>
        </ext>
      </extLst>
    </bk>
    <bk>
      <extLst>
        <ext uri="{3e2802c4-a4d2-4d8b-9148-e3be6c30e623}">
          <xlrd:rvb i="7358"/>
        </ext>
      </extLst>
    </bk>
    <bk>
      <extLst>
        <ext uri="{3e2802c4-a4d2-4d8b-9148-e3be6c30e623}">
          <xlrd:rvb i="7359"/>
        </ext>
      </extLst>
    </bk>
    <bk>
      <extLst>
        <ext uri="{3e2802c4-a4d2-4d8b-9148-e3be6c30e623}">
          <xlrd:rvb i="7360"/>
        </ext>
      </extLst>
    </bk>
    <bk>
      <extLst>
        <ext uri="{3e2802c4-a4d2-4d8b-9148-e3be6c30e623}">
          <xlrd:rvb i="7361"/>
        </ext>
      </extLst>
    </bk>
    <bk>
      <extLst>
        <ext uri="{3e2802c4-a4d2-4d8b-9148-e3be6c30e623}">
          <xlrd:rvb i="7362"/>
        </ext>
      </extLst>
    </bk>
    <bk>
      <extLst>
        <ext uri="{3e2802c4-a4d2-4d8b-9148-e3be6c30e623}">
          <xlrd:rvb i="7363"/>
        </ext>
      </extLst>
    </bk>
    <bk>
      <extLst>
        <ext uri="{3e2802c4-a4d2-4d8b-9148-e3be6c30e623}">
          <xlrd:rvb i="7364"/>
        </ext>
      </extLst>
    </bk>
    <bk>
      <extLst>
        <ext uri="{3e2802c4-a4d2-4d8b-9148-e3be6c30e623}">
          <xlrd:rvb i="7365"/>
        </ext>
      </extLst>
    </bk>
    <bk>
      <extLst>
        <ext uri="{3e2802c4-a4d2-4d8b-9148-e3be6c30e623}">
          <xlrd:rvb i="7366"/>
        </ext>
      </extLst>
    </bk>
    <bk>
      <extLst>
        <ext uri="{3e2802c4-a4d2-4d8b-9148-e3be6c30e623}">
          <xlrd:rvb i="7367"/>
        </ext>
      </extLst>
    </bk>
    <bk>
      <extLst>
        <ext uri="{3e2802c4-a4d2-4d8b-9148-e3be6c30e623}">
          <xlrd:rvb i="7368"/>
        </ext>
      </extLst>
    </bk>
    <bk>
      <extLst>
        <ext uri="{3e2802c4-a4d2-4d8b-9148-e3be6c30e623}">
          <xlrd:rvb i="7369"/>
        </ext>
      </extLst>
    </bk>
    <bk>
      <extLst>
        <ext uri="{3e2802c4-a4d2-4d8b-9148-e3be6c30e623}">
          <xlrd:rvb i="7370"/>
        </ext>
      </extLst>
    </bk>
    <bk>
      <extLst>
        <ext uri="{3e2802c4-a4d2-4d8b-9148-e3be6c30e623}">
          <xlrd:rvb i="7371"/>
        </ext>
      </extLst>
    </bk>
    <bk>
      <extLst>
        <ext uri="{3e2802c4-a4d2-4d8b-9148-e3be6c30e623}">
          <xlrd:rvb i="7372"/>
        </ext>
      </extLst>
    </bk>
    <bk>
      <extLst>
        <ext uri="{3e2802c4-a4d2-4d8b-9148-e3be6c30e623}">
          <xlrd:rvb i="7373"/>
        </ext>
      </extLst>
    </bk>
    <bk>
      <extLst>
        <ext uri="{3e2802c4-a4d2-4d8b-9148-e3be6c30e623}">
          <xlrd:rvb i="7374"/>
        </ext>
      </extLst>
    </bk>
    <bk>
      <extLst>
        <ext uri="{3e2802c4-a4d2-4d8b-9148-e3be6c30e623}">
          <xlrd:rvb i="7375"/>
        </ext>
      </extLst>
    </bk>
    <bk>
      <extLst>
        <ext uri="{3e2802c4-a4d2-4d8b-9148-e3be6c30e623}">
          <xlrd:rvb i="7376"/>
        </ext>
      </extLst>
    </bk>
    <bk>
      <extLst>
        <ext uri="{3e2802c4-a4d2-4d8b-9148-e3be6c30e623}">
          <xlrd:rvb i="7377"/>
        </ext>
      </extLst>
    </bk>
    <bk>
      <extLst>
        <ext uri="{3e2802c4-a4d2-4d8b-9148-e3be6c30e623}">
          <xlrd:rvb i="7378"/>
        </ext>
      </extLst>
    </bk>
    <bk>
      <extLst>
        <ext uri="{3e2802c4-a4d2-4d8b-9148-e3be6c30e623}">
          <xlrd:rvb i="7379"/>
        </ext>
      </extLst>
    </bk>
    <bk>
      <extLst>
        <ext uri="{3e2802c4-a4d2-4d8b-9148-e3be6c30e623}">
          <xlrd:rvb i="7380"/>
        </ext>
      </extLst>
    </bk>
    <bk>
      <extLst>
        <ext uri="{3e2802c4-a4d2-4d8b-9148-e3be6c30e623}">
          <xlrd:rvb i="7381"/>
        </ext>
      </extLst>
    </bk>
    <bk>
      <extLst>
        <ext uri="{3e2802c4-a4d2-4d8b-9148-e3be6c30e623}">
          <xlrd:rvb i="7382"/>
        </ext>
      </extLst>
    </bk>
    <bk>
      <extLst>
        <ext uri="{3e2802c4-a4d2-4d8b-9148-e3be6c30e623}">
          <xlrd:rvb i="7383"/>
        </ext>
      </extLst>
    </bk>
    <bk>
      <extLst>
        <ext uri="{3e2802c4-a4d2-4d8b-9148-e3be6c30e623}">
          <xlrd:rvb i="7384"/>
        </ext>
      </extLst>
    </bk>
    <bk>
      <extLst>
        <ext uri="{3e2802c4-a4d2-4d8b-9148-e3be6c30e623}">
          <xlrd:rvb i="7385"/>
        </ext>
      </extLst>
    </bk>
    <bk>
      <extLst>
        <ext uri="{3e2802c4-a4d2-4d8b-9148-e3be6c30e623}">
          <xlrd:rvb i="7386"/>
        </ext>
      </extLst>
    </bk>
    <bk>
      <extLst>
        <ext uri="{3e2802c4-a4d2-4d8b-9148-e3be6c30e623}">
          <xlrd:rvb i="7387"/>
        </ext>
      </extLst>
    </bk>
    <bk>
      <extLst>
        <ext uri="{3e2802c4-a4d2-4d8b-9148-e3be6c30e623}">
          <xlrd:rvb i="7388"/>
        </ext>
      </extLst>
    </bk>
    <bk>
      <extLst>
        <ext uri="{3e2802c4-a4d2-4d8b-9148-e3be6c30e623}">
          <xlrd:rvb i="7389"/>
        </ext>
      </extLst>
    </bk>
    <bk>
      <extLst>
        <ext uri="{3e2802c4-a4d2-4d8b-9148-e3be6c30e623}">
          <xlrd:rvb i="7390"/>
        </ext>
      </extLst>
    </bk>
    <bk>
      <extLst>
        <ext uri="{3e2802c4-a4d2-4d8b-9148-e3be6c30e623}">
          <xlrd:rvb i="7391"/>
        </ext>
      </extLst>
    </bk>
    <bk>
      <extLst>
        <ext uri="{3e2802c4-a4d2-4d8b-9148-e3be6c30e623}">
          <xlrd:rvb i="7392"/>
        </ext>
      </extLst>
    </bk>
    <bk>
      <extLst>
        <ext uri="{3e2802c4-a4d2-4d8b-9148-e3be6c30e623}">
          <xlrd:rvb i="7393"/>
        </ext>
      </extLst>
    </bk>
    <bk>
      <extLst>
        <ext uri="{3e2802c4-a4d2-4d8b-9148-e3be6c30e623}">
          <xlrd:rvb i="7394"/>
        </ext>
      </extLst>
    </bk>
    <bk>
      <extLst>
        <ext uri="{3e2802c4-a4d2-4d8b-9148-e3be6c30e623}">
          <xlrd:rvb i="7395"/>
        </ext>
      </extLst>
    </bk>
    <bk>
      <extLst>
        <ext uri="{3e2802c4-a4d2-4d8b-9148-e3be6c30e623}">
          <xlrd:rvb i="7396"/>
        </ext>
      </extLst>
    </bk>
    <bk>
      <extLst>
        <ext uri="{3e2802c4-a4d2-4d8b-9148-e3be6c30e623}">
          <xlrd:rvb i="7397"/>
        </ext>
      </extLst>
    </bk>
    <bk>
      <extLst>
        <ext uri="{3e2802c4-a4d2-4d8b-9148-e3be6c30e623}">
          <xlrd:rvb i="7398"/>
        </ext>
      </extLst>
    </bk>
    <bk>
      <extLst>
        <ext uri="{3e2802c4-a4d2-4d8b-9148-e3be6c30e623}">
          <xlrd:rvb i="7399"/>
        </ext>
      </extLst>
    </bk>
    <bk>
      <extLst>
        <ext uri="{3e2802c4-a4d2-4d8b-9148-e3be6c30e623}">
          <xlrd:rvb i="7400"/>
        </ext>
      </extLst>
    </bk>
    <bk>
      <extLst>
        <ext uri="{3e2802c4-a4d2-4d8b-9148-e3be6c30e623}">
          <xlrd:rvb i="7401"/>
        </ext>
      </extLst>
    </bk>
    <bk>
      <extLst>
        <ext uri="{3e2802c4-a4d2-4d8b-9148-e3be6c30e623}">
          <xlrd:rvb i="7402"/>
        </ext>
      </extLst>
    </bk>
    <bk>
      <extLst>
        <ext uri="{3e2802c4-a4d2-4d8b-9148-e3be6c30e623}">
          <xlrd:rvb i="7403"/>
        </ext>
      </extLst>
    </bk>
    <bk>
      <extLst>
        <ext uri="{3e2802c4-a4d2-4d8b-9148-e3be6c30e623}">
          <xlrd:rvb i="7404"/>
        </ext>
      </extLst>
    </bk>
    <bk>
      <extLst>
        <ext uri="{3e2802c4-a4d2-4d8b-9148-e3be6c30e623}">
          <xlrd:rvb i="7405"/>
        </ext>
      </extLst>
    </bk>
    <bk>
      <extLst>
        <ext uri="{3e2802c4-a4d2-4d8b-9148-e3be6c30e623}">
          <xlrd:rvb i="7406"/>
        </ext>
      </extLst>
    </bk>
    <bk>
      <extLst>
        <ext uri="{3e2802c4-a4d2-4d8b-9148-e3be6c30e623}">
          <xlrd:rvb i="7407"/>
        </ext>
      </extLst>
    </bk>
    <bk>
      <extLst>
        <ext uri="{3e2802c4-a4d2-4d8b-9148-e3be6c30e623}">
          <xlrd:rvb i="7408"/>
        </ext>
      </extLst>
    </bk>
    <bk>
      <extLst>
        <ext uri="{3e2802c4-a4d2-4d8b-9148-e3be6c30e623}">
          <xlrd:rvb i="7409"/>
        </ext>
      </extLst>
    </bk>
    <bk>
      <extLst>
        <ext uri="{3e2802c4-a4d2-4d8b-9148-e3be6c30e623}">
          <xlrd:rvb i="7410"/>
        </ext>
      </extLst>
    </bk>
    <bk>
      <extLst>
        <ext uri="{3e2802c4-a4d2-4d8b-9148-e3be6c30e623}">
          <xlrd:rvb i="7411"/>
        </ext>
      </extLst>
    </bk>
    <bk>
      <extLst>
        <ext uri="{3e2802c4-a4d2-4d8b-9148-e3be6c30e623}">
          <xlrd:rvb i="7412"/>
        </ext>
      </extLst>
    </bk>
    <bk>
      <extLst>
        <ext uri="{3e2802c4-a4d2-4d8b-9148-e3be6c30e623}">
          <xlrd:rvb i="7413"/>
        </ext>
      </extLst>
    </bk>
    <bk>
      <extLst>
        <ext uri="{3e2802c4-a4d2-4d8b-9148-e3be6c30e623}">
          <xlrd:rvb i="7414"/>
        </ext>
      </extLst>
    </bk>
    <bk>
      <extLst>
        <ext uri="{3e2802c4-a4d2-4d8b-9148-e3be6c30e623}">
          <xlrd:rvb i="7415"/>
        </ext>
      </extLst>
    </bk>
    <bk>
      <extLst>
        <ext uri="{3e2802c4-a4d2-4d8b-9148-e3be6c30e623}">
          <xlrd:rvb i="7416"/>
        </ext>
      </extLst>
    </bk>
    <bk>
      <extLst>
        <ext uri="{3e2802c4-a4d2-4d8b-9148-e3be6c30e623}">
          <xlrd:rvb i="7417"/>
        </ext>
      </extLst>
    </bk>
    <bk>
      <extLst>
        <ext uri="{3e2802c4-a4d2-4d8b-9148-e3be6c30e623}">
          <xlrd:rvb i="7418"/>
        </ext>
      </extLst>
    </bk>
    <bk>
      <extLst>
        <ext uri="{3e2802c4-a4d2-4d8b-9148-e3be6c30e623}">
          <xlrd:rvb i="7419"/>
        </ext>
      </extLst>
    </bk>
    <bk>
      <extLst>
        <ext uri="{3e2802c4-a4d2-4d8b-9148-e3be6c30e623}">
          <xlrd:rvb i="7420"/>
        </ext>
      </extLst>
    </bk>
    <bk>
      <extLst>
        <ext uri="{3e2802c4-a4d2-4d8b-9148-e3be6c30e623}">
          <xlrd:rvb i="7421"/>
        </ext>
      </extLst>
    </bk>
    <bk>
      <extLst>
        <ext uri="{3e2802c4-a4d2-4d8b-9148-e3be6c30e623}">
          <xlrd:rvb i="7422"/>
        </ext>
      </extLst>
    </bk>
    <bk>
      <extLst>
        <ext uri="{3e2802c4-a4d2-4d8b-9148-e3be6c30e623}">
          <xlrd:rvb i="7423"/>
        </ext>
      </extLst>
    </bk>
    <bk>
      <extLst>
        <ext uri="{3e2802c4-a4d2-4d8b-9148-e3be6c30e623}">
          <xlrd:rvb i="7424"/>
        </ext>
      </extLst>
    </bk>
    <bk>
      <extLst>
        <ext uri="{3e2802c4-a4d2-4d8b-9148-e3be6c30e623}">
          <xlrd:rvb i="7425"/>
        </ext>
      </extLst>
    </bk>
    <bk>
      <extLst>
        <ext uri="{3e2802c4-a4d2-4d8b-9148-e3be6c30e623}">
          <xlrd:rvb i="7426"/>
        </ext>
      </extLst>
    </bk>
    <bk>
      <extLst>
        <ext uri="{3e2802c4-a4d2-4d8b-9148-e3be6c30e623}">
          <xlrd:rvb i="7427"/>
        </ext>
      </extLst>
    </bk>
    <bk>
      <extLst>
        <ext uri="{3e2802c4-a4d2-4d8b-9148-e3be6c30e623}">
          <xlrd:rvb i="7428"/>
        </ext>
      </extLst>
    </bk>
    <bk>
      <extLst>
        <ext uri="{3e2802c4-a4d2-4d8b-9148-e3be6c30e623}">
          <xlrd:rvb i="7429"/>
        </ext>
      </extLst>
    </bk>
    <bk>
      <extLst>
        <ext uri="{3e2802c4-a4d2-4d8b-9148-e3be6c30e623}">
          <xlrd:rvb i="7430"/>
        </ext>
      </extLst>
    </bk>
    <bk>
      <extLst>
        <ext uri="{3e2802c4-a4d2-4d8b-9148-e3be6c30e623}">
          <xlrd:rvb i="7431"/>
        </ext>
      </extLst>
    </bk>
    <bk>
      <extLst>
        <ext uri="{3e2802c4-a4d2-4d8b-9148-e3be6c30e623}">
          <xlrd:rvb i="7432"/>
        </ext>
      </extLst>
    </bk>
    <bk>
      <extLst>
        <ext uri="{3e2802c4-a4d2-4d8b-9148-e3be6c30e623}">
          <xlrd:rvb i="7433"/>
        </ext>
      </extLst>
    </bk>
    <bk>
      <extLst>
        <ext uri="{3e2802c4-a4d2-4d8b-9148-e3be6c30e623}">
          <xlrd:rvb i="7434"/>
        </ext>
      </extLst>
    </bk>
    <bk>
      <extLst>
        <ext uri="{3e2802c4-a4d2-4d8b-9148-e3be6c30e623}">
          <xlrd:rvb i="7435"/>
        </ext>
      </extLst>
    </bk>
    <bk>
      <extLst>
        <ext uri="{3e2802c4-a4d2-4d8b-9148-e3be6c30e623}">
          <xlrd:rvb i="7436"/>
        </ext>
      </extLst>
    </bk>
    <bk>
      <extLst>
        <ext uri="{3e2802c4-a4d2-4d8b-9148-e3be6c30e623}">
          <xlrd:rvb i="7437"/>
        </ext>
      </extLst>
    </bk>
    <bk>
      <extLst>
        <ext uri="{3e2802c4-a4d2-4d8b-9148-e3be6c30e623}">
          <xlrd:rvb i="7438"/>
        </ext>
      </extLst>
    </bk>
    <bk>
      <extLst>
        <ext uri="{3e2802c4-a4d2-4d8b-9148-e3be6c30e623}">
          <xlrd:rvb i="7439"/>
        </ext>
      </extLst>
    </bk>
    <bk>
      <extLst>
        <ext uri="{3e2802c4-a4d2-4d8b-9148-e3be6c30e623}">
          <xlrd:rvb i="7440"/>
        </ext>
      </extLst>
    </bk>
    <bk>
      <extLst>
        <ext uri="{3e2802c4-a4d2-4d8b-9148-e3be6c30e623}">
          <xlrd:rvb i="7441"/>
        </ext>
      </extLst>
    </bk>
    <bk>
      <extLst>
        <ext uri="{3e2802c4-a4d2-4d8b-9148-e3be6c30e623}">
          <xlrd:rvb i="7442"/>
        </ext>
      </extLst>
    </bk>
    <bk>
      <extLst>
        <ext uri="{3e2802c4-a4d2-4d8b-9148-e3be6c30e623}">
          <xlrd:rvb i="7443"/>
        </ext>
      </extLst>
    </bk>
    <bk>
      <extLst>
        <ext uri="{3e2802c4-a4d2-4d8b-9148-e3be6c30e623}">
          <xlrd:rvb i="7444"/>
        </ext>
      </extLst>
    </bk>
    <bk>
      <extLst>
        <ext uri="{3e2802c4-a4d2-4d8b-9148-e3be6c30e623}">
          <xlrd:rvb i="7445"/>
        </ext>
      </extLst>
    </bk>
    <bk>
      <extLst>
        <ext uri="{3e2802c4-a4d2-4d8b-9148-e3be6c30e623}">
          <xlrd:rvb i="7446"/>
        </ext>
      </extLst>
    </bk>
    <bk>
      <extLst>
        <ext uri="{3e2802c4-a4d2-4d8b-9148-e3be6c30e623}">
          <xlrd:rvb i="7447"/>
        </ext>
      </extLst>
    </bk>
    <bk>
      <extLst>
        <ext uri="{3e2802c4-a4d2-4d8b-9148-e3be6c30e623}">
          <xlrd:rvb i="7448"/>
        </ext>
      </extLst>
    </bk>
    <bk>
      <extLst>
        <ext uri="{3e2802c4-a4d2-4d8b-9148-e3be6c30e623}">
          <xlrd:rvb i="7449"/>
        </ext>
      </extLst>
    </bk>
    <bk>
      <extLst>
        <ext uri="{3e2802c4-a4d2-4d8b-9148-e3be6c30e623}">
          <xlrd:rvb i="7450"/>
        </ext>
      </extLst>
    </bk>
    <bk>
      <extLst>
        <ext uri="{3e2802c4-a4d2-4d8b-9148-e3be6c30e623}">
          <xlrd:rvb i="7451"/>
        </ext>
      </extLst>
    </bk>
    <bk>
      <extLst>
        <ext uri="{3e2802c4-a4d2-4d8b-9148-e3be6c30e623}">
          <xlrd:rvb i="7452"/>
        </ext>
      </extLst>
    </bk>
    <bk>
      <extLst>
        <ext uri="{3e2802c4-a4d2-4d8b-9148-e3be6c30e623}">
          <xlrd:rvb i="7453"/>
        </ext>
      </extLst>
    </bk>
    <bk>
      <extLst>
        <ext uri="{3e2802c4-a4d2-4d8b-9148-e3be6c30e623}">
          <xlrd:rvb i="7454"/>
        </ext>
      </extLst>
    </bk>
    <bk>
      <extLst>
        <ext uri="{3e2802c4-a4d2-4d8b-9148-e3be6c30e623}">
          <xlrd:rvb i="7455"/>
        </ext>
      </extLst>
    </bk>
    <bk>
      <extLst>
        <ext uri="{3e2802c4-a4d2-4d8b-9148-e3be6c30e623}">
          <xlrd:rvb i="7456"/>
        </ext>
      </extLst>
    </bk>
    <bk>
      <extLst>
        <ext uri="{3e2802c4-a4d2-4d8b-9148-e3be6c30e623}">
          <xlrd:rvb i="7457"/>
        </ext>
      </extLst>
    </bk>
    <bk>
      <extLst>
        <ext uri="{3e2802c4-a4d2-4d8b-9148-e3be6c30e623}">
          <xlrd:rvb i="7458"/>
        </ext>
      </extLst>
    </bk>
    <bk>
      <extLst>
        <ext uri="{3e2802c4-a4d2-4d8b-9148-e3be6c30e623}">
          <xlrd:rvb i="7459"/>
        </ext>
      </extLst>
    </bk>
    <bk>
      <extLst>
        <ext uri="{3e2802c4-a4d2-4d8b-9148-e3be6c30e623}">
          <xlrd:rvb i="7460"/>
        </ext>
      </extLst>
    </bk>
    <bk>
      <extLst>
        <ext uri="{3e2802c4-a4d2-4d8b-9148-e3be6c30e623}">
          <xlrd:rvb i="7461"/>
        </ext>
      </extLst>
    </bk>
    <bk>
      <extLst>
        <ext uri="{3e2802c4-a4d2-4d8b-9148-e3be6c30e623}">
          <xlrd:rvb i="7462"/>
        </ext>
      </extLst>
    </bk>
    <bk>
      <extLst>
        <ext uri="{3e2802c4-a4d2-4d8b-9148-e3be6c30e623}">
          <xlrd:rvb i="7463"/>
        </ext>
      </extLst>
    </bk>
    <bk>
      <extLst>
        <ext uri="{3e2802c4-a4d2-4d8b-9148-e3be6c30e623}">
          <xlrd:rvb i="7464"/>
        </ext>
      </extLst>
    </bk>
    <bk>
      <extLst>
        <ext uri="{3e2802c4-a4d2-4d8b-9148-e3be6c30e623}">
          <xlrd:rvb i="7465"/>
        </ext>
      </extLst>
    </bk>
    <bk>
      <extLst>
        <ext uri="{3e2802c4-a4d2-4d8b-9148-e3be6c30e623}">
          <xlrd:rvb i="7466"/>
        </ext>
      </extLst>
    </bk>
    <bk>
      <extLst>
        <ext uri="{3e2802c4-a4d2-4d8b-9148-e3be6c30e623}">
          <xlrd:rvb i="7467"/>
        </ext>
      </extLst>
    </bk>
    <bk>
      <extLst>
        <ext uri="{3e2802c4-a4d2-4d8b-9148-e3be6c30e623}">
          <xlrd:rvb i="7468"/>
        </ext>
      </extLst>
    </bk>
    <bk>
      <extLst>
        <ext uri="{3e2802c4-a4d2-4d8b-9148-e3be6c30e623}">
          <xlrd:rvb i="7469"/>
        </ext>
      </extLst>
    </bk>
    <bk>
      <extLst>
        <ext uri="{3e2802c4-a4d2-4d8b-9148-e3be6c30e623}">
          <xlrd:rvb i="7470"/>
        </ext>
      </extLst>
    </bk>
    <bk>
      <extLst>
        <ext uri="{3e2802c4-a4d2-4d8b-9148-e3be6c30e623}">
          <xlrd:rvb i="7471"/>
        </ext>
      </extLst>
    </bk>
    <bk>
      <extLst>
        <ext uri="{3e2802c4-a4d2-4d8b-9148-e3be6c30e623}">
          <xlrd:rvb i="7472"/>
        </ext>
      </extLst>
    </bk>
    <bk>
      <extLst>
        <ext uri="{3e2802c4-a4d2-4d8b-9148-e3be6c30e623}">
          <xlrd:rvb i="7473"/>
        </ext>
      </extLst>
    </bk>
    <bk>
      <extLst>
        <ext uri="{3e2802c4-a4d2-4d8b-9148-e3be6c30e623}">
          <xlrd:rvb i="7474"/>
        </ext>
      </extLst>
    </bk>
    <bk>
      <extLst>
        <ext uri="{3e2802c4-a4d2-4d8b-9148-e3be6c30e623}">
          <xlrd:rvb i="7475"/>
        </ext>
      </extLst>
    </bk>
    <bk>
      <extLst>
        <ext uri="{3e2802c4-a4d2-4d8b-9148-e3be6c30e623}">
          <xlrd:rvb i="7476"/>
        </ext>
      </extLst>
    </bk>
    <bk>
      <extLst>
        <ext uri="{3e2802c4-a4d2-4d8b-9148-e3be6c30e623}">
          <xlrd:rvb i="7477"/>
        </ext>
      </extLst>
    </bk>
    <bk>
      <extLst>
        <ext uri="{3e2802c4-a4d2-4d8b-9148-e3be6c30e623}">
          <xlrd:rvb i="7478"/>
        </ext>
      </extLst>
    </bk>
    <bk>
      <extLst>
        <ext uri="{3e2802c4-a4d2-4d8b-9148-e3be6c30e623}">
          <xlrd:rvb i="7479"/>
        </ext>
      </extLst>
    </bk>
    <bk>
      <extLst>
        <ext uri="{3e2802c4-a4d2-4d8b-9148-e3be6c30e623}">
          <xlrd:rvb i="7480"/>
        </ext>
      </extLst>
    </bk>
    <bk>
      <extLst>
        <ext uri="{3e2802c4-a4d2-4d8b-9148-e3be6c30e623}">
          <xlrd:rvb i="7481"/>
        </ext>
      </extLst>
    </bk>
    <bk>
      <extLst>
        <ext uri="{3e2802c4-a4d2-4d8b-9148-e3be6c30e623}">
          <xlrd:rvb i="7482"/>
        </ext>
      </extLst>
    </bk>
    <bk>
      <extLst>
        <ext uri="{3e2802c4-a4d2-4d8b-9148-e3be6c30e623}">
          <xlrd:rvb i="7483"/>
        </ext>
      </extLst>
    </bk>
    <bk>
      <extLst>
        <ext uri="{3e2802c4-a4d2-4d8b-9148-e3be6c30e623}">
          <xlrd:rvb i="7484"/>
        </ext>
      </extLst>
    </bk>
    <bk>
      <extLst>
        <ext uri="{3e2802c4-a4d2-4d8b-9148-e3be6c30e623}">
          <xlrd:rvb i="7485"/>
        </ext>
      </extLst>
    </bk>
    <bk>
      <extLst>
        <ext uri="{3e2802c4-a4d2-4d8b-9148-e3be6c30e623}">
          <xlrd:rvb i="7486"/>
        </ext>
      </extLst>
    </bk>
    <bk>
      <extLst>
        <ext uri="{3e2802c4-a4d2-4d8b-9148-e3be6c30e623}">
          <xlrd:rvb i="7487"/>
        </ext>
      </extLst>
    </bk>
    <bk>
      <extLst>
        <ext uri="{3e2802c4-a4d2-4d8b-9148-e3be6c30e623}">
          <xlrd:rvb i="7488"/>
        </ext>
      </extLst>
    </bk>
    <bk>
      <extLst>
        <ext uri="{3e2802c4-a4d2-4d8b-9148-e3be6c30e623}">
          <xlrd:rvb i="7489"/>
        </ext>
      </extLst>
    </bk>
    <bk>
      <extLst>
        <ext uri="{3e2802c4-a4d2-4d8b-9148-e3be6c30e623}">
          <xlrd:rvb i="7490"/>
        </ext>
      </extLst>
    </bk>
    <bk>
      <extLst>
        <ext uri="{3e2802c4-a4d2-4d8b-9148-e3be6c30e623}">
          <xlrd:rvb i="7491"/>
        </ext>
      </extLst>
    </bk>
    <bk>
      <extLst>
        <ext uri="{3e2802c4-a4d2-4d8b-9148-e3be6c30e623}">
          <xlrd:rvb i="7492"/>
        </ext>
      </extLst>
    </bk>
    <bk>
      <extLst>
        <ext uri="{3e2802c4-a4d2-4d8b-9148-e3be6c30e623}">
          <xlrd:rvb i="7493"/>
        </ext>
      </extLst>
    </bk>
    <bk>
      <extLst>
        <ext uri="{3e2802c4-a4d2-4d8b-9148-e3be6c30e623}">
          <xlrd:rvb i="7494"/>
        </ext>
      </extLst>
    </bk>
    <bk>
      <extLst>
        <ext uri="{3e2802c4-a4d2-4d8b-9148-e3be6c30e623}">
          <xlrd:rvb i="7495"/>
        </ext>
      </extLst>
    </bk>
    <bk>
      <extLst>
        <ext uri="{3e2802c4-a4d2-4d8b-9148-e3be6c30e623}">
          <xlrd:rvb i="7496"/>
        </ext>
      </extLst>
    </bk>
    <bk>
      <extLst>
        <ext uri="{3e2802c4-a4d2-4d8b-9148-e3be6c30e623}">
          <xlrd:rvb i="7497"/>
        </ext>
      </extLst>
    </bk>
    <bk>
      <extLst>
        <ext uri="{3e2802c4-a4d2-4d8b-9148-e3be6c30e623}">
          <xlrd:rvb i="7498"/>
        </ext>
      </extLst>
    </bk>
    <bk>
      <extLst>
        <ext uri="{3e2802c4-a4d2-4d8b-9148-e3be6c30e623}">
          <xlrd:rvb i="7499"/>
        </ext>
      </extLst>
    </bk>
    <bk>
      <extLst>
        <ext uri="{3e2802c4-a4d2-4d8b-9148-e3be6c30e623}">
          <xlrd:rvb i="7500"/>
        </ext>
      </extLst>
    </bk>
    <bk>
      <extLst>
        <ext uri="{3e2802c4-a4d2-4d8b-9148-e3be6c30e623}">
          <xlrd:rvb i="7501"/>
        </ext>
      </extLst>
    </bk>
    <bk>
      <extLst>
        <ext uri="{3e2802c4-a4d2-4d8b-9148-e3be6c30e623}">
          <xlrd:rvb i="7502"/>
        </ext>
      </extLst>
    </bk>
    <bk>
      <extLst>
        <ext uri="{3e2802c4-a4d2-4d8b-9148-e3be6c30e623}">
          <xlrd:rvb i="7503"/>
        </ext>
      </extLst>
    </bk>
    <bk>
      <extLst>
        <ext uri="{3e2802c4-a4d2-4d8b-9148-e3be6c30e623}">
          <xlrd:rvb i="7504"/>
        </ext>
      </extLst>
    </bk>
    <bk>
      <extLst>
        <ext uri="{3e2802c4-a4d2-4d8b-9148-e3be6c30e623}">
          <xlrd:rvb i="7505"/>
        </ext>
      </extLst>
    </bk>
    <bk>
      <extLst>
        <ext uri="{3e2802c4-a4d2-4d8b-9148-e3be6c30e623}">
          <xlrd:rvb i="7506"/>
        </ext>
      </extLst>
    </bk>
    <bk>
      <extLst>
        <ext uri="{3e2802c4-a4d2-4d8b-9148-e3be6c30e623}">
          <xlrd:rvb i="7507"/>
        </ext>
      </extLst>
    </bk>
    <bk>
      <extLst>
        <ext uri="{3e2802c4-a4d2-4d8b-9148-e3be6c30e623}">
          <xlrd:rvb i="7508"/>
        </ext>
      </extLst>
    </bk>
    <bk>
      <extLst>
        <ext uri="{3e2802c4-a4d2-4d8b-9148-e3be6c30e623}">
          <xlrd:rvb i="7509"/>
        </ext>
      </extLst>
    </bk>
    <bk>
      <extLst>
        <ext uri="{3e2802c4-a4d2-4d8b-9148-e3be6c30e623}">
          <xlrd:rvb i="7510"/>
        </ext>
      </extLst>
    </bk>
    <bk>
      <extLst>
        <ext uri="{3e2802c4-a4d2-4d8b-9148-e3be6c30e623}">
          <xlrd:rvb i="7511"/>
        </ext>
      </extLst>
    </bk>
    <bk>
      <extLst>
        <ext uri="{3e2802c4-a4d2-4d8b-9148-e3be6c30e623}">
          <xlrd:rvb i="7512"/>
        </ext>
      </extLst>
    </bk>
    <bk>
      <extLst>
        <ext uri="{3e2802c4-a4d2-4d8b-9148-e3be6c30e623}">
          <xlrd:rvb i="7513"/>
        </ext>
      </extLst>
    </bk>
    <bk>
      <extLst>
        <ext uri="{3e2802c4-a4d2-4d8b-9148-e3be6c30e623}">
          <xlrd:rvb i="7514"/>
        </ext>
      </extLst>
    </bk>
    <bk>
      <extLst>
        <ext uri="{3e2802c4-a4d2-4d8b-9148-e3be6c30e623}">
          <xlrd:rvb i="7515"/>
        </ext>
      </extLst>
    </bk>
    <bk>
      <extLst>
        <ext uri="{3e2802c4-a4d2-4d8b-9148-e3be6c30e623}">
          <xlrd:rvb i="7516"/>
        </ext>
      </extLst>
    </bk>
    <bk>
      <extLst>
        <ext uri="{3e2802c4-a4d2-4d8b-9148-e3be6c30e623}">
          <xlrd:rvb i="7517"/>
        </ext>
      </extLst>
    </bk>
    <bk>
      <extLst>
        <ext uri="{3e2802c4-a4d2-4d8b-9148-e3be6c30e623}">
          <xlrd:rvb i="7518"/>
        </ext>
      </extLst>
    </bk>
    <bk>
      <extLst>
        <ext uri="{3e2802c4-a4d2-4d8b-9148-e3be6c30e623}">
          <xlrd:rvb i="7519"/>
        </ext>
      </extLst>
    </bk>
    <bk>
      <extLst>
        <ext uri="{3e2802c4-a4d2-4d8b-9148-e3be6c30e623}">
          <xlrd:rvb i="7520"/>
        </ext>
      </extLst>
    </bk>
    <bk>
      <extLst>
        <ext uri="{3e2802c4-a4d2-4d8b-9148-e3be6c30e623}">
          <xlrd:rvb i="7521"/>
        </ext>
      </extLst>
    </bk>
    <bk>
      <extLst>
        <ext uri="{3e2802c4-a4d2-4d8b-9148-e3be6c30e623}">
          <xlrd:rvb i="7522"/>
        </ext>
      </extLst>
    </bk>
    <bk>
      <extLst>
        <ext uri="{3e2802c4-a4d2-4d8b-9148-e3be6c30e623}">
          <xlrd:rvb i="7523"/>
        </ext>
      </extLst>
    </bk>
    <bk>
      <extLst>
        <ext uri="{3e2802c4-a4d2-4d8b-9148-e3be6c30e623}">
          <xlrd:rvb i="7524"/>
        </ext>
      </extLst>
    </bk>
    <bk>
      <extLst>
        <ext uri="{3e2802c4-a4d2-4d8b-9148-e3be6c30e623}">
          <xlrd:rvb i="7525"/>
        </ext>
      </extLst>
    </bk>
    <bk>
      <extLst>
        <ext uri="{3e2802c4-a4d2-4d8b-9148-e3be6c30e623}">
          <xlrd:rvb i="7526"/>
        </ext>
      </extLst>
    </bk>
    <bk>
      <extLst>
        <ext uri="{3e2802c4-a4d2-4d8b-9148-e3be6c30e623}">
          <xlrd:rvb i="7527"/>
        </ext>
      </extLst>
    </bk>
    <bk>
      <extLst>
        <ext uri="{3e2802c4-a4d2-4d8b-9148-e3be6c30e623}">
          <xlrd:rvb i="7528"/>
        </ext>
      </extLst>
    </bk>
    <bk>
      <extLst>
        <ext uri="{3e2802c4-a4d2-4d8b-9148-e3be6c30e623}">
          <xlrd:rvb i="7529"/>
        </ext>
      </extLst>
    </bk>
    <bk>
      <extLst>
        <ext uri="{3e2802c4-a4d2-4d8b-9148-e3be6c30e623}">
          <xlrd:rvb i="7530"/>
        </ext>
      </extLst>
    </bk>
    <bk>
      <extLst>
        <ext uri="{3e2802c4-a4d2-4d8b-9148-e3be6c30e623}">
          <xlrd:rvb i="7531"/>
        </ext>
      </extLst>
    </bk>
    <bk>
      <extLst>
        <ext uri="{3e2802c4-a4d2-4d8b-9148-e3be6c30e623}">
          <xlrd:rvb i="7532"/>
        </ext>
      </extLst>
    </bk>
    <bk>
      <extLst>
        <ext uri="{3e2802c4-a4d2-4d8b-9148-e3be6c30e623}">
          <xlrd:rvb i="7533"/>
        </ext>
      </extLst>
    </bk>
    <bk>
      <extLst>
        <ext uri="{3e2802c4-a4d2-4d8b-9148-e3be6c30e623}">
          <xlrd:rvb i="7534"/>
        </ext>
      </extLst>
    </bk>
    <bk>
      <extLst>
        <ext uri="{3e2802c4-a4d2-4d8b-9148-e3be6c30e623}">
          <xlrd:rvb i="7535"/>
        </ext>
      </extLst>
    </bk>
    <bk>
      <extLst>
        <ext uri="{3e2802c4-a4d2-4d8b-9148-e3be6c30e623}">
          <xlrd:rvb i="7536"/>
        </ext>
      </extLst>
    </bk>
    <bk>
      <extLst>
        <ext uri="{3e2802c4-a4d2-4d8b-9148-e3be6c30e623}">
          <xlrd:rvb i="7537"/>
        </ext>
      </extLst>
    </bk>
    <bk>
      <extLst>
        <ext uri="{3e2802c4-a4d2-4d8b-9148-e3be6c30e623}">
          <xlrd:rvb i="7538"/>
        </ext>
      </extLst>
    </bk>
    <bk>
      <extLst>
        <ext uri="{3e2802c4-a4d2-4d8b-9148-e3be6c30e623}">
          <xlrd:rvb i="7539"/>
        </ext>
      </extLst>
    </bk>
    <bk>
      <extLst>
        <ext uri="{3e2802c4-a4d2-4d8b-9148-e3be6c30e623}">
          <xlrd:rvb i="7540"/>
        </ext>
      </extLst>
    </bk>
    <bk>
      <extLst>
        <ext uri="{3e2802c4-a4d2-4d8b-9148-e3be6c30e623}">
          <xlrd:rvb i="7541"/>
        </ext>
      </extLst>
    </bk>
    <bk>
      <extLst>
        <ext uri="{3e2802c4-a4d2-4d8b-9148-e3be6c30e623}">
          <xlrd:rvb i="7542"/>
        </ext>
      </extLst>
    </bk>
    <bk>
      <extLst>
        <ext uri="{3e2802c4-a4d2-4d8b-9148-e3be6c30e623}">
          <xlrd:rvb i="7543"/>
        </ext>
      </extLst>
    </bk>
    <bk>
      <extLst>
        <ext uri="{3e2802c4-a4d2-4d8b-9148-e3be6c30e623}">
          <xlrd:rvb i="7544"/>
        </ext>
      </extLst>
    </bk>
    <bk>
      <extLst>
        <ext uri="{3e2802c4-a4d2-4d8b-9148-e3be6c30e623}">
          <xlrd:rvb i="7545"/>
        </ext>
      </extLst>
    </bk>
    <bk>
      <extLst>
        <ext uri="{3e2802c4-a4d2-4d8b-9148-e3be6c30e623}">
          <xlrd:rvb i="7546"/>
        </ext>
      </extLst>
    </bk>
    <bk>
      <extLst>
        <ext uri="{3e2802c4-a4d2-4d8b-9148-e3be6c30e623}">
          <xlrd:rvb i="7547"/>
        </ext>
      </extLst>
    </bk>
    <bk>
      <extLst>
        <ext uri="{3e2802c4-a4d2-4d8b-9148-e3be6c30e623}">
          <xlrd:rvb i="7548"/>
        </ext>
      </extLst>
    </bk>
    <bk>
      <extLst>
        <ext uri="{3e2802c4-a4d2-4d8b-9148-e3be6c30e623}">
          <xlrd:rvb i="7549"/>
        </ext>
      </extLst>
    </bk>
    <bk>
      <extLst>
        <ext uri="{3e2802c4-a4d2-4d8b-9148-e3be6c30e623}">
          <xlrd:rvb i="7550"/>
        </ext>
      </extLst>
    </bk>
    <bk>
      <extLst>
        <ext uri="{3e2802c4-a4d2-4d8b-9148-e3be6c30e623}">
          <xlrd:rvb i="7551"/>
        </ext>
      </extLst>
    </bk>
    <bk>
      <extLst>
        <ext uri="{3e2802c4-a4d2-4d8b-9148-e3be6c30e623}">
          <xlrd:rvb i="7552"/>
        </ext>
      </extLst>
    </bk>
    <bk>
      <extLst>
        <ext uri="{3e2802c4-a4d2-4d8b-9148-e3be6c30e623}">
          <xlrd:rvb i="7553"/>
        </ext>
      </extLst>
    </bk>
    <bk>
      <extLst>
        <ext uri="{3e2802c4-a4d2-4d8b-9148-e3be6c30e623}">
          <xlrd:rvb i="7554"/>
        </ext>
      </extLst>
    </bk>
    <bk>
      <extLst>
        <ext uri="{3e2802c4-a4d2-4d8b-9148-e3be6c30e623}">
          <xlrd:rvb i="7555"/>
        </ext>
      </extLst>
    </bk>
    <bk>
      <extLst>
        <ext uri="{3e2802c4-a4d2-4d8b-9148-e3be6c30e623}">
          <xlrd:rvb i="7556"/>
        </ext>
      </extLst>
    </bk>
    <bk>
      <extLst>
        <ext uri="{3e2802c4-a4d2-4d8b-9148-e3be6c30e623}">
          <xlrd:rvb i="7557"/>
        </ext>
      </extLst>
    </bk>
    <bk>
      <extLst>
        <ext uri="{3e2802c4-a4d2-4d8b-9148-e3be6c30e623}">
          <xlrd:rvb i="7558"/>
        </ext>
      </extLst>
    </bk>
    <bk>
      <extLst>
        <ext uri="{3e2802c4-a4d2-4d8b-9148-e3be6c30e623}">
          <xlrd:rvb i="7559"/>
        </ext>
      </extLst>
    </bk>
    <bk>
      <extLst>
        <ext uri="{3e2802c4-a4d2-4d8b-9148-e3be6c30e623}">
          <xlrd:rvb i="7560"/>
        </ext>
      </extLst>
    </bk>
    <bk>
      <extLst>
        <ext uri="{3e2802c4-a4d2-4d8b-9148-e3be6c30e623}">
          <xlrd:rvb i="7561"/>
        </ext>
      </extLst>
    </bk>
    <bk>
      <extLst>
        <ext uri="{3e2802c4-a4d2-4d8b-9148-e3be6c30e623}">
          <xlrd:rvb i="7562"/>
        </ext>
      </extLst>
    </bk>
    <bk>
      <extLst>
        <ext uri="{3e2802c4-a4d2-4d8b-9148-e3be6c30e623}">
          <xlrd:rvb i="7563"/>
        </ext>
      </extLst>
    </bk>
    <bk>
      <extLst>
        <ext uri="{3e2802c4-a4d2-4d8b-9148-e3be6c30e623}">
          <xlrd:rvb i="7564"/>
        </ext>
      </extLst>
    </bk>
    <bk>
      <extLst>
        <ext uri="{3e2802c4-a4d2-4d8b-9148-e3be6c30e623}">
          <xlrd:rvb i="7565"/>
        </ext>
      </extLst>
    </bk>
    <bk>
      <extLst>
        <ext uri="{3e2802c4-a4d2-4d8b-9148-e3be6c30e623}">
          <xlrd:rvb i="7566"/>
        </ext>
      </extLst>
    </bk>
    <bk>
      <extLst>
        <ext uri="{3e2802c4-a4d2-4d8b-9148-e3be6c30e623}">
          <xlrd:rvb i="7567"/>
        </ext>
      </extLst>
    </bk>
    <bk>
      <extLst>
        <ext uri="{3e2802c4-a4d2-4d8b-9148-e3be6c30e623}">
          <xlrd:rvb i="7568"/>
        </ext>
      </extLst>
    </bk>
    <bk>
      <extLst>
        <ext uri="{3e2802c4-a4d2-4d8b-9148-e3be6c30e623}">
          <xlrd:rvb i="7569"/>
        </ext>
      </extLst>
    </bk>
    <bk>
      <extLst>
        <ext uri="{3e2802c4-a4d2-4d8b-9148-e3be6c30e623}">
          <xlrd:rvb i="7570"/>
        </ext>
      </extLst>
    </bk>
    <bk>
      <extLst>
        <ext uri="{3e2802c4-a4d2-4d8b-9148-e3be6c30e623}">
          <xlrd:rvb i="7571"/>
        </ext>
      </extLst>
    </bk>
    <bk>
      <extLst>
        <ext uri="{3e2802c4-a4d2-4d8b-9148-e3be6c30e623}">
          <xlrd:rvb i="7572"/>
        </ext>
      </extLst>
    </bk>
    <bk>
      <extLst>
        <ext uri="{3e2802c4-a4d2-4d8b-9148-e3be6c30e623}">
          <xlrd:rvb i="7573"/>
        </ext>
      </extLst>
    </bk>
    <bk>
      <extLst>
        <ext uri="{3e2802c4-a4d2-4d8b-9148-e3be6c30e623}">
          <xlrd:rvb i="7574"/>
        </ext>
      </extLst>
    </bk>
    <bk>
      <extLst>
        <ext uri="{3e2802c4-a4d2-4d8b-9148-e3be6c30e623}">
          <xlrd:rvb i="7575"/>
        </ext>
      </extLst>
    </bk>
    <bk>
      <extLst>
        <ext uri="{3e2802c4-a4d2-4d8b-9148-e3be6c30e623}">
          <xlrd:rvb i="7576"/>
        </ext>
      </extLst>
    </bk>
    <bk>
      <extLst>
        <ext uri="{3e2802c4-a4d2-4d8b-9148-e3be6c30e623}">
          <xlrd:rvb i="7577"/>
        </ext>
      </extLst>
    </bk>
    <bk>
      <extLst>
        <ext uri="{3e2802c4-a4d2-4d8b-9148-e3be6c30e623}">
          <xlrd:rvb i="7578"/>
        </ext>
      </extLst>
    </bk>
    <bk>
      <extLst>
        <ext uri="{3e2802c4-a4d2-4d8b-9148-e3be6c30e623}">
          <xlrd:rvb i="7579"/>
        </ext>
      </extLst>
    </bk>
    <bk>
      <extLst>
        <ext uri="{3e2802c4-a4d2-4d8b-9148-e3be6c30e623}">
          <xlrd:rvb i="7580"/>
        </ext>
      </extLst>
    </bk>
    <bk>
      <extLst>
        <ext uri="{3e2802c4-a4d2-4d8b-9148-e3be6c30e623}">
          <xlrd:rvb i="7581"/>
        </ext>
      </extLst>
    </bk>
    <bk>
      <extLst>
        <ext uri="{3e2802c4-a4d2-4d8b-9148-e3be6c30e623}">
          <xlrd:rvb i="7582"/>
        </ext>
      </extLst>
    </bk>
    <bk>
      <extLst>
        <ext uri="{3e2802c4-a4d2-4d8b-9148-e3be6c30e623}">
          <xlrd:rvb i="7583"/>
        </ext>
      </extLst>
    </bk>
    <bk>
      <extLst>
        <ext uri="{3e2802c4-a4d2-4d8b-9148-e3be6c30e623}">
          <xlrd:rvb i="7584"/>
        </ext>
      </extLst>
    </bk>
    <bk>
      <extLst>
        <ext uri="{3e2802c4-a4d2-4d8b-9148-e3be6c30e623}">
          <xlrd:rvb i="7585"/>
        </ext>
      </extLst>
    </bk>
    <bk>
      <extLst>
        <ext uri="{3e2802c4-a4d2-4d8b-9148-e3be6c30e623}">
          <xlrd:rvb i="7586"/>
        </ext>
      </extLst>
    </bk>
    <bk>
      <extLst>
        <ext uri="{3e2802c4-a4d2-4d8b-9148-e3be6c30e623}">
          <xlrd:rvb i="7587"/>
        </ext>
      </extLst>
    </bk>
    <bk>
      <extLst>
        <ext uri="{3e2802c4-a4d2-4d8b-9148-e3be6c30e623}">
          <xlrd:rvb i="7588"/>
        </ext>
      </extLst>
    </bk>
    <bk>
      <extLst>
        <ext uri="{3e2802c4-a4d2-4d8b-9148-e3be6c30e623}">
          <xlrd:rvb i="7589"/>
        </ext>
      </extLst>
    </bk>
    <bk>
      <extLst>
        <ext uri="{3e2802c4-a4d2-4d8b-9148-e3be6c30e623}">
          <xlrd:rvb i="7590"/>
        </ext>
      </extLst>
    </bk>
    <bk>
      <extLst>
        <ext uri="{3e2802c4-a4d2-4d8b-9148-e3be6c30e623}">
          <xlrd:rvb i="7591"/>
        </ext>
      </extLst>
    </bk>
    <bk>
      <extLst>
        <ext uri="{3e2802c4-a4d2-4d8b-9148-e3be6c30e623}">
          <xlrd:rvb i="7592"/>
        </ext>
      </extLst>
    </bk>
    <bk>
      <extLst>
        <ext uri="{3e2802c4-a4d2-4d8b-9148-e3be6c30e623}">
          <xlrd:rvb i="7593"/>
        </ext>
      </extLst>
    </bk>
    <bk>
      <extLst>
        <ext uri="{3e2802c4-a4d2-4d8b-9148-e3be6c30e623}">
          <xlrd:rvb i="7594"/>
        </ext>
      </extLst>
    </bk>
    <bk>
      <extLst>
        <ext uri="{3e2802c4-a4d2-4d8b-9148-e3be6c30e623}">
          <xlrd:rvb i="7595"/>
        </ext>
      </extLst>
    </bk>
    <bk>
      <extLst>
        <ext uri="{3e2802c4-a4d2-4d8b-9148-e3be6c30e623}">
          <xlrd:rvb i="7596"/>
        </ext>
      </extLst>
    </bk>
    <bk>
      <extLst>
        <ext uri="{3e2802c4-a4d2-4d8b-9148-e3be6c30e623}">
          <xlrd:rvb i="7597"/>
        </ext>
      </extLst>
    </bk>
    <bk>
      <extLst>
        <ext uri="{3e2802c4-a4d2-4d8b-9148-e3be6c30e623}">
          <xlrd:rvb i="7598"/>
        </ext>
      </extLst>
    </bk>
    <bk>
      <extLst>
        <ext uri="{3e2802c4-a4d2-4d8b-9148-e3be6c30e623}">
          <xlrd:rvb i="7599"/>
        </ext>
      </extLst>
    </bk>
    <bk>
      <extLst>
        <ext uri="{3e2802c4-a4d2-4d8b-9148-e3be6c30e623}">
          <xlrd:rvb i="7600"/>
        </ext>
      </extLst>
    </bk>
    <bk>
      <extLst>
        <ext uri="{3e2802c4-a4d2-4d8b-9148-e3be6c30e623}">
          <xlrd:rvb i="7601"/>
        </ext>
      </extLst>
    </bk>
    <bk>
      <extLst>
        <ext uri="{3e2802c4-a4d2-4d8b-9148-e3be6c30e623}">
          <xlrd:rvb i="7602"/>
        </ext>
      </extLst>
    </bk>
    <bk>
      <extLst>
        <ext uri="{3e2802c4-a4d2-4d8b-9148-e3be6c30e623}">
          <xlrd:rvb i="7603"/>
        </ext>
      </extLst>
    </bk>
    <bk>
      <extLst>
        <ext uri="{3e2802c4-a4d2-4d8b-9148-e3be6c30e623}">
          <xlrd:rvb i="7604"/>
        </ext>
      </extLst>
    </bk>
    <bk>
      <extLst>
        <ext uri="{3e2802c4-a4d2-4d8b-9148-e3be6c30e623}">
          <xlrd:rvb i="7605"/>
        </ext>
      </extLst>
    </bk>
    <bk>
      <extLst>
        <ext uri="{3e2802c4-a4d2-4d8b-9148-e3be6c30e623}">
          <xlrd:rvb i="7606"/>
        </ext>
      </extLst>
    </bk>
    <bk>
      <extLst>
        <ext uri="{3e2802c4-a4d2-4d8b-9148-e3be6c30e623}">
          <xlrd:rvb i="7607"/>
        </ext>
      </extLst>
    </bk>
    <bk>
      <extLst>
        <ext uri="{3e2802c4-a4d2-4d8b-9148-e3be6c30e623}">
          <xlrd:rvb i="7608"/>
        </ext>
      </extLst>
    </bk>
    <bk>
      <extLst>
        <ext uri="{3e2802c4-a4d2-4d8b-9148-e3be6c30e623}">
          <xlrd:rvb i="7609"/>
        </ext>
      </extLst>
    </bk>
    <bk>
      <extLst>
        <ext uri="{3e2802c4-a4d2-4d8b-9148-e3be6c30e623}">
          <xlrd:rvb i="7610"/>
        </ext>
      </extLst>
    </bk>
    <bk>
      <extLst>
        <ext uri="{3e2802c4-a4d2-4d8b-9148-e3be6c30e623}">
          <xlrd:rvb i="7611"/>
        </ext>
      </extLst>
    </bk>
    <bk>
      <extLst>
        <ext uri="{3e2802c4-a4d2-4d8b-9148-e3be6c30e623}">
          <xlrd:rvb i="7612"/>
        </ext>
      </extLst>
    </bk>
    <bk>
      <extLst>
        <ext uri="{3e2802c4-a4d2-4d8b-9148-e3be6c30e623}">
          <xlrd:rvb i="7613"/>
        </ext>
      </extLst>
    </bk>
    <bk>
      <extLst>
        <ext uri="{3e2802c4-a4d2-4d8b-9148-e3be6c30e623}">
          <xlrd:rvb i="7614"/>
        </ext>
      </extLst>
    </bk>
    <bk>
      <extLst>
        <ext uri="{3e2802c4-a4d2-4d8b-9148-e3be6c30e623}">
          <xlrd:rvb i="7615"/>
        </ext>
      </extLst>
    </bk>
    <bk>
      <extLst>
        <ext uri="{3e2802c4-a4d2-4d8b-9148-e3be6c30e623}">
          <xlrd:rvb i="7616"/>
        </ext>
      </extLst>
    </bk>
    <bk>
      <extLst>
        <ext uri="{3e2802c4-a4d2-4d8b-9148-e3be6c30e623}">
          <xlrd:rvb i="7617"/>
        </ext>
      </extLst>
    </bk>
    <bk>
      <extLst>
        <ext uri="{3e2802c4-a4d2-4d8b-9148-e3be6c30e623}">
          <xlrd:rvb i="7618"/>
        </ext>
      </extLst>
    </bk>
    <bk>
      <extLst>
        <ext uri="{3e2802c4-a4d2-4d8b-9148-e3be6c30e623}">
          <xlrd:rvb i="7619"/>
        </ext>
      </extLst>
    </bk>
    <bk>
      <extLst>
        <ext uri="{3e2802c4-a4d2-4d8b-9148-e3be6c30e623}">
          <xlrd:rvb i="7620"/>
        </ext>
      </extLst>
    </bk>
    <bk>
      <extLst>
        <ext uri="{3e2802c4-a4d2-4d8b-9148-e3be6c30e623}">
          <xlrd:rvb i="7621"/>
        </ext>
      </extLst>
    </bk>
    <bk>
      <extLst>
        <ext uri="{3e2802c4-a4d2-4d8b-9148-e3be6c30e623}">
          <xlrd:rvb i="7622"/>
        </ext>
      </extLst>
    </bk>
    <bk>
      <extLst>
        <ext uri="{3e2802c4-a4d2-4d8b-9148-e3be6c30e623}">
          <xlrd:rvb i="7623"/>
        </ext>
      </extLst>
    </bk>
    <bk>
      <extLst>
        <ext uri="{3e2802c4-a4d2-4d8b-9148-e3be6c30e623}">
          <xlrd:rvb i="7624"/>
        </ext>
      </extLst>
    </bk>
    <bk>
      <extLst>
        <ext uri="{3e2802c4-a4d2-4d8b-9148-e3be6c30e623}">
          <xlrd:rvb i="7625"/>
        </ext>
      </extLst>
    </bk>
    <bk>
      <extLst>
        <ext uri="{3e2802c4-a4d2-4d8b-9148-e3be6c30e623}">
          <xlrd:rvb i="7626"/>
        </ext>
      </extLst>
    </bk>
    <bk>
      <extLst>
        <ext uri="{3e2802c4-a4d2-4d8b-9148-e3be6c30e623}">
          <xlrd:rvb i="7627"/>
        </ext>
      </extLst>
    </bk>
    <bk>
      <extLst>
        <ext uri="{3e2802c4-a4d2-4d8b-9148-e3be6c30e623}">
          <xlrd:rvb i="7628"/>
        </ext>
      </extLst>
    </bk>
    <bk>
      <extLst>
        <ext uri="{3e2802c4-a4d2-4d8b-9148-e3be6c30e623}">
          <xlrd:rvb i="7629"/>
        </ext>
      </extLst>
    </bk>
    <bk>
      <extLst>
        <ext uri="{3e2802c4-a4d2-4d8b-9148-e3be6c30e623}">
          <xlrd:rvb i="7630"/>
        </ext>
      </extLst>
    </bk>
    <bk>
      <extLst>
        <ext uri="{3e2802c4-a4d2-4d8b-9148-e3be6c30e623}">
          <xlrd:rvb i="7631"/>
        </ext>
      </extLst>
    </bk>
    <bk>
      <extLst>
        <ext uri="{3e2802c4-a4d2-4d8b-9148-e3be6c30e623}">
          <xlrd:rvb i="7632"/>
        </ext>
      </extLst>
    </bk>
    <bk>
      <extLst>
        <ext uri="{3e2802c4-a4d2-4d8b-9148-e3be6c30e623}">
          <xlrd:rvb i="7633"/>
        </ext>
      </extLst>
    </bk>
    <bk>
      <extLst>
        <ext uri="{3e2802c4-a4d2-4d8b-9148-e3be6c30e623}">
          <xlrd:rvb i="7634"/>
        </ext>
      </extLst>
    </bk>
    <bk>
      <extLst>
        <ext uri="{3e2802c4-a4d2-4d8b-9148-e3be6c30e623}">
          <xlrd:rvb i="7635"/>
        </ext>
      </extLst>
    </bk>
    <bk>
      <extLst>
        <ext uri="{3e2802c4-a4d2-4d8b-9148-e3be6c30e623}">
          <xlrd:rvb i="7636"/>
        </ext>
      </extLst>
    </bk>
    <bk>
      <extLst>
        <ext uri="{3e2802c4-a4d2-4d8b-9148-e3be6c30e623}">
          <xlrd:rvb i="7637"/>
        </ext>
      </extLst>
    </bk>
    <bk>
      <extLst>
        <ext uri="{3e2802c4-a4d2-4d8b-9148-e3be6c30e623}">
          <xlrd:rvb i="7638"/>
        </ext>
      </extLst>
    </bk>
    <bk>
      <extLst>
        <ext uri="{3e2802c4-a4d2-4d8b-9148-e3be6c30e623}">
          <xlrd:rvb i="7639"/>
        </ext>
      </extLst>
    </bk>
    <bk>
      <extLst>
        <ext uri="{3e2802c4-a4d2-4d8b-9148-e3be6c30e623}">
          <xlrd:rvb i="7640"/>
        </ext>
      </extLst>
    </bk>
    <bk>
      <extLst>
        <ext uri="{3e2802c4-a4d2-4d8b-9148-e3be6c30e623}">
          <xlrd:rvb i="7641"/>
        </ext>
      </extLst>
    </bk>
    <bk>
      <extLst>
        <ext uri="{3e2802c4-a4d2-4d8b-9148-e3be6c30e623}">
          <xlrd:rvb i="7642"/>
        </ext>
      </extLst>
    </bk>
    <bk>
      <extLst>
        <ext uri="{3e2802c4-a4d2-4d8b-9148-e3be6c30e623}">
          <xlrd:rvb i="7643"/>
        </ext>
      </extLst>
    </bk>
    <bk>
      <extLst>
        <ext uri="{3e2802c4-a4d2-4d8b-9148-e3be6c30e623}">
          <xlrd:rvb i="7644"/>
        </ext>
      </extLst>
    </bk>
    <bk>
      <extLst>
        <ext uri="{3e2802c4-a4d2-4d8b-9148-e3be6c30e623}">
          <xlrd:rvb i="7645"/>
        </ext>
      </extLst>
    </bk>
    <bk>
      <extLst>
        <ext uri="{3e2802c4-a4d2-4d8b-9148-e3be6c30e623}">
          <xlrd:rvb i="7646"/>
        </ext>
      </extLst>
    </bk>
    <bk>
      <extLst>
        <ext uri="{3e2802c4-a4d2-4d8b-9148-e3be6c30e623}">
          <xlrd:rvb i="7647"/>
        </ext>
      </extLst>
    </bk>
    <bk>
      <extLst>
        <ext uri="{3e2802c4-a4d2-4d8b-9148-e3be6c30e623}">
          <xlrd:rvb i="7648"/>
        </ext>
      </extLst>
    </bk>
    <bk>
      <extLst>
        <ext uri="{3e2802c4-a4d2-4d8b-9148-e3be6c30e623}">
          <xlrd:rvb i="7649"/>
        </ext>
      </extLst>
    </bk>
    <bk>
      <extLst>
        <ext uri="{3e2802c4-a4d2-4d8b-9148-e3be6c30e623}">
          <xlrd:rvb i="7650"/>
        </ext>
      </extLst>
    </bk>
    <bk>
      <extLst>
        <ext uri="{3e2802c4-a4d2-4d8b-9148-e3be6c30e623}">
          <xlrd:rvb i="7651"/>
        </ext>
      </extLst>
    </bk>
    <bk>
      <extLst>
        <ext uri="{3e2802c4-a4d2-4d8b-9148-e3be6c30e623}">
          <xlrd:rvb i="7652"/>
        </ext>
      </extLst>
    </bk>
    <bk>
      <extLst>
        <ext uri="{3e2802c4-a4d2-4d8b-9148-e3be6c30e623}">
          <xlrd:rvb i="7653"/>
        </ext>
      </extLst>
    </bk>
    <bk>
      <extLst>
        <ext uri="{3e2802c4-a4d2-4d8b-9148-e3be6c30e623}">
          <xlrd:rvb i="7654"/>
        </ext>
      </extLst>
    </bk>
    <bk>
      <extLst>
        <ext uri="{3e2802c4-a4d2-4d8b-9148-e3be6c30e623}">
          <xlrd:rvb i="7655"/>
        </ext>
      </extLst>
    </bk>
    <bk>
      <extLst>
        <ext uri="{3e2802c4-a4d2-4d8b-9148-e3be6c30e623}">
          <xlrd:rvb i="7656"/>
        </ext>
      </extLst>
    </bk>
    <bk>
      <extLst>
        <ext uri="{3e2802c4-a4d2-4d8b-9148-e3be6c30e623}">
          <xlrd:rvb i="7657"/>
        </ext>
      </extLst>
    </bk>
    <bk>
      <extLst>
        <ext uri="{3e2802c4-a4d2-4d8b-9148-e3be6c30e623}">
          <xlrd:rvb i="7658"/>
        </ext>
      </extLst>
    </bk>
    <bk>
      <extLst>
        <ext uri="{3e2802c4-a4d2-4d8b-9148-e3be6c30e623}">
          <xlrd:rvb i="7659"/>
        </ext>
      </extLst>
    </bk>
    <bk>
      <extLst>
        <ext uri="{3e2802c4-a4d2-4d8b-9148-e3be6c30e623}">
          <xlrd:rvb i="7660"/>
        </ext>
      </extLst>
    </bk>
    <bk>
      <extLst>
        <ext uri="{3e2802c4-a4d2-4d8b-9148-e3be6c30e623}">
          <xlrd:rvb i="7661"/>
        </ext>
      </extLst>
    </bk>
    <bk>
      <extLst>
        <ext uri="{3e2802c4-a4d2-4d8b-9148-e3be6c30e623}">
          <xlrd:rvb i="7662"/>
        </ext>
      </extLst>
    </bk>
    <bk>
      <extLst>
        <ext uri="{3e2802c4-a4d2-4d8b-9148-e3be6c30e623}">
          <xlrd:rvb i="7663"/>
        </ext>
      </extLst>
    </bk>
    <bk>
      <extLst>
        <ext uri="{3e2802c4-a4d2-4d8b-9148-e3be6c30e623}">
          <xlrd:rvb i="7664"/>
        </ext>
      </extLst>
    </bk>
    <bk>
      <extLst>
        <ext uri="{3e2802c4-a4d2-4d8b-9148-e3be6c30e623}">
          <xlrd:rvb i="7665"/>
        </ext>
      </extLst>
    </bk>
    <bk>
      <extLst>
        <ext uri="{3e2802c4-a4d2-4d8b-9148-e3be6c30e623}">
          <xlrd:rvb i="7666"/>
        </ext>
      </extLst>
    </bk>
    <bk>
      <extLst>
        <ext uri="{3e2802c4-a4d2-4d8b-9148-e3be6c30e623}">
          <xlrd:rvb i="7667"/>
        </ext>
      </extLst>
    </bk>
    <bk>
      <extLst>
        <ext uri="{3e2802c4-a4d2-4d8b-9148-e3be6c30e623}">
          <xlrd:rvb i="7668"/>
        </ext>
      </extLst>
    </bk>
    <bk>
      <extLst>
        <ext uri="{3e2802c4-a4d2-4d8b-9148-e3be6c30e623}">
          <xlrd:rvb i="7669"/>
        </ext>
      </extLst>
    </bk>
    <bk>
      <extLst>
        <ext uri="{3e2802c4-a4d2-4d8b-9148-e3be6c30e623}">
          <xlrd:rvb i="7670"/>
        </ext>
      </extLst>
    </bk>
    <bk>
      <extLst>
        <ext uri="{3e2802c4-a4d2-4d8b-9148-e3be6c30e623}">
          <xlrd:rvb i="7671"/>
        </ext>
      </extLst>
    </bk>
    <bk>
      <extLst>
        <ext uri="{3e2802c4-a4d2-4d8b-9148-e3be6c30e623}">
          <xlrd:rvb i="7672"/>
        </ext>
      </extLst>
    </bk>
    <bk>
      <extLst>
        <ext uri="{3e2802c4-a4d2-4d8b-9148-e3be6c30e623}">
          <xlrd:rvb i="7673"/>
        </ext>
      </extLst>
    </bk>
    <bk>
      <extLst>
        <ext uri="{3e2802c4-a4d2-4d8b-9148-e3be6c30e623}">
          <xlrd:rvb i="7674"/>
        </ext>
      </extLst>
    </bk>
    <bk>
      <extLst>
        <ext uri="{3e2802c4-a4d2-4d8b-9148-e3be6c30e623}">
          <xlrd:rvb i="7675"/>
        </ext>
      </extLst>
    </bk>
    <bk>
      <extLst>
        <ext uri="{3e2802c4-a4d2-4d8b-9148-e3be6c30e623}">
          <xlrd:rvb i="7676"/>
        </ext>
      </extLst>
    </bk>
    <bk>
      <extLst>
        <ext uri="{3e2802c4-a4d2-4d8b-9148-e3be6c30e623}">
          <xlrd:rvb i="7677"/>
        </ext>
      </extLst>
    </bk>
    <bk>
      <extLst>
        <ext uri="{3e2802c4-a4d2-4d8b-9148-e3be6c30e623}">
          <xlrd:rvb i="7678"/>
        </ext>
      </extLst>
    </bk>
    <bk>
      <extLst>
        <ext uri="{3e2802c4-a4d2-4d8b-9148-e3be6c30e623}">
          <xlrd:rvb i="7679"/>
        </ext>
      </extLst>
    </bk>
    <bk>
      <extLst>
        <ext uri="{3e2802c4-a4d2-4d8b-9148-e3be6c30e623}">
          <xlrd:rvb i="7680"/>
        </ext>
      </extLst>
    </bk>
    <bk>
      <extLst>
        <ext uri="{3e2802c4-a4d2-4d8b-9148-e3be6c30e623}">
          <xlrd:rvb i="7681"/>
        </ext>
      </extLst>
    </bk>
    <bk>
      <extLst>
        <ext uri="{3e2802c4-a4d2-4d8b-9148-e3be6c30e623}">
          <xlrd:rvb i="7682"/>
        </ext>
      </extLst>
    </bk>
    <bk>
      <extLst>
        <ext uri="{3e2802c4-a4d2-4d8b-9148-e3be6c30e623}">
          <xlrd:rvb i="7683"/>
        </ext>
      </extLst>
    </bk>
    <bk>
      <extLst>
        <ext uri="{3e2802c4-a4d2-4d8b-9148-e3be6c30e623}">
          <xlrd:rvb i="7684"/>
        </ext>
      </extLst>
    </bk>
    <bk>
      <extLst>
        <ext uri="{3e2802c4-a4d2-4d8b-9148-e3be6c30e623}">
          <xlrd:rvb i="7685"/>
        </ext>
      </extLst>
    </bk>
    <bk>
      <extLst>
        <ext uri="{3e2802c4-a4d2-4d8b-9148-e3be6c30e623}">
          <xlrd:rvb i="7686"/>
        </ext>
      </extLst>
    </bk>
    <bk>
      <extLst>
        <ext uri="{3e2802c4-a4d2-4d8b-9148-e3be6c30e623}">
          <xlrd:rvb i="7687"/>
        </ext>
      </extLst>
    </bk>
    <bk>
      <extLst>
        <ext uri="{3e2802c4-a4d2-4d8b-9148-e3be6c30e623}">
          <xlrd:rvb i="7688"/>
        </ext>
      </extLst>
    </bk>
    <bk>
      <extLst>
        <ext uri="{3e2802c4-a4d2-4d8b-9148-e3be6c30e623}">
          <xlrd:rvb i="7689"/>
        </ext>
      </extLst>
    </bk>
    <bk>
      <extLst>
        <ext uri="{3e2802c4-a4d2-4d8b-9148-e3be6c30e623}">
          <xlrd:rvb i="7690"/>
        </ext>
      </extLst>
    </bk>
    <bk>
      <extLst>
        <ext uri="{3e2802c4-a4d2-4d8b-9148-e3be6c30e623}">
          <xlrd:rvb i="7691"/>
        </ext>
      </extLst>
    </bk>
    <bk>
      <extLst>
        <ext uri="{3e2802c4-a4d2-4d8b-9148-e3be6c30e623}">
          <xlrd:rvb i="7692"/>
        </ext>
      </extLst>
    </bk>
    <bk>
      <extLst>
        <ext uri="{3e2802c4-a4d2-4d8b-9148-e3be6c30e623}">
          <xlrd:rvb i="7693"/>
        </ext>
      </extLst>
    </bk>
    <bk>
      <extLst>
        <ext uri="{3e2802c4-a4d2-4d8b-9148-e3be6c30e623}">
          <xlrd:rvb i="7694"/>
        </ext>
      </extLst>
    </bk>
    <bk>
      <extLst>
        <ext uri="{3e2802c4-a4d2-4d8b-9148-e3be6c30e623}">
          <xlrd:rvb i="7695"/>
        </ext>
      </extLst>
    </bk>
    <bk>
      <extLst>
        <ext uri="{3e2802c4-a4d2-4d8b-9148-e3be6c30e623}">
          <xlrd:rvb i="7696"/>
        </ext>
      </extLst>
    </bk>
    <bk>
      <extLst>
        <ext uri="{3e2802c4-a4d2-4d8b-9148-e3be6c30e623}">
          <xlrd:rvb i="7697"/>
        </ext>
      </extLst>
    </bk>
    <bk>
      <extLst>
        <ext uri="{3e2802c4-a4d2-4d8b-9148-e3be6c30e623}">
          <xlrd:rvb i="7698"/>
        </ext>
      </extLst>
    </bk>
    <bk>
      <extLst>
        <ext uri="{3e2802c4-a4d2-4d8b-9148-e3be6c30e623}">
          <xlrd:rvb i="7699"/>
        </ext>
      </extLst>
    </bk>
    <bk>
      <extLst>
        <ext uri="{3e2802c4-a4d2-4d8b-9148-e3be6c30e623}">
          <xlrd:rvb i="7700"/>
        </ext>
      </extLst>
    </bk>
    <bk>
      <extLst>
        <ext uri="{3e2802c4-a4d2-4d8b-9148-e3be6c30e623}">
          <xlrd:rvb i="7701"/>
        </ext>
      </extLst>
    </bk>
    <bk>
      <extLst>
        <ext uri="{3e2802c4-a4d2-4d8b-9148-e3be6c30e623}">
          <xlrd:rvb i="7702"/>
        </ext>
      </extLst>
    </bk>
    <bk>
      <extLst>
        <ext uri="{3e2802c4-a4d2-4d8b-9148-e3be6c30e623}">
          <xlrd:rvb i="7703"/>
        </ext>
      </extLst>
    </bk>
    <bk>
      <extLst>
        <ext uri="{3e2802c4-a4d2-4d8b-9148-e3be6c30e623}">
          <xlrd:rvb i="7704"/>
        </ext>
      </extLst>
    </bk>
    <bk>
      <extLst>
        <ext uri="{3e2802c4-a4d2-4d8b-9148-e3be6c30e623}">
          <xlrd:rvb i="7705"/>
        </ext>
      </extLst>
    </bk>
    <bk>
      <extLst>
        <ext uri="{3e2802c4-a4d2-4d8b-9148-e3be6c30e623}">
          <xlrd:rvb i="7706"/>
        </ext>
      </extLst>
    </bk>
    <bk>
      <extLst>
        <ext uri="{3e2802c4-a4d2-4d8b-9148-e3be6c30e623}">
          <xlrd:rvb i="7707"/>
        </ext>
      </extLst>
    </bk>
    <bk>
      <extLst>
        <ext uri="{3e2802c4-a4d2-4d8b-9148-e3be6c30e623}">
          <xlrd:rvb i="7708"/>
        </ext>
      </extLst>
    </bk>
    <bk>
      <extLst>
        <ext uri="{3e2802c4-a4d2-4d8b-9148-e3be6c30e623}">
          <xlrd:rvb i="7709"/>
        </ext>
      </extLst>
    </bk>
    <bk>
      <extLst>
        <ext uri="{3e2802c4-a4d2-4d8b-9148-e3be6c30e623}">
          <xlrd:rvb i="7710"/>
        </ext>
      </extLst>
    </bk>
    <bk>
      <extLst>
        <ext uri="{3e2802c4-a4d2-4d8b-9148-e3be6c30e623}">
          <xlrd:rvb i="7711"/>
        </ext>
      </extLst>
    </bk>
    <bk>
      <extLst>
        <ext uri="{3e2802c4-a4d2-4d8b-9148-e3be6c30e623}">
          <xlrd:rvb i="7712"/>
        </ext>
      </extLst>
    </bk>
    <bk>
      <extLst>
        <ext uri="{3e2802c4-a4d2-4d8b-9148-e3be6c30e623}">
          <xlrd:rvb i="7713"/>
        </ext>
      </extLst>
    </bk>
    <bk>
      <extLst>
        <ext uri="{3e2802c4-a4d2-4d8b-9148-e3be6c30e623}">
          <xlrd:rvb i="7714"/>
        </ext>
      </extLst>
    </bk>
    <bk>
      <extLst>
        <ext uri="{3e2802c4-a4d2-4d8b-9148-e3be6c30e623}">
          <xlrd:rvb i="7715"/>
        </ext>
      </extLst>
    </bk>
    <bk>
      <extLst>
        <ext uri="{3e2802c4-a4d2-4d8b-9148-e3be6c30e623}">
          <xlrd:rvb i="7716"/>
        </ext>
      </extLst>
    </bk>
    <bk>
      <extLst>
        <ext uri="{3e2802c4-a4d2-4d8b-9148-e3be6c30e623}">
          <xlrd:rvb i="7717"/>
        </ext>
      </extLst>
    </bk>
    <bk>
      <extLst>
        <ext uri="{3e2802c4-a4d2-4d8b-9148-e3be6c30e623}">
          <xlrd:rvb i="7718"/>
        </ext>
      </extLst>
    </bk>
    <bk>
      <extLst>
        <ext uri="{3e2802c4-a4d2-4d8b-9148-e3be6c30e623}">
          <xlrd:rvb i="7719"/>
        </ext>
      </extLst>
    </bk>
    <bk>
      <extLst>
        <ext uri="{3e2802c4-a4d2-4d8b-9148-e3be6c30e623}">
          <xlrd:rvb i="7720"/>
        </ext>
      </extLst>
    </bk>
    <bk>
      <extLst>
        <ext uri="{3e2802c4-a4d2-4d8b-9148-e3be6c30e623}">
          <xlrd:rvb i="7721"/>
        </ext>
      </extLst>
    </bk>
    <bk>
      <extLst>
        <ext uri="{3e2802c4-a4d2-4d8b-9148-e3be6c30e623}">
          <xlrd:rvb i="7722"/>
        </ext>
      </extLst>
    </bk>
    <bk>
      <extLst>
        <ext uri="{3e2802c4-a4d2-4d8b-9148-e3be6c30e623}">
          <xlrd:rvb i="7723"/>
        </ext>
      </extLst>
    </bk>
    <bk>
      <extLst>
        <ext uri="{3e2802c4-a4d2-4d8b-9148-e3be6c30e623}">
          <xlrd:rvb i="7724"/>
        </ext>
      </extLst>
    </bk>
    <bk>
      <extLst>
        <ext uri="{3e2802c4-a4d2-4d8b-9148-e3be6c30e623}">
          <xlrd:rvb i="7725"/>
        </ext>
      </extLst>
    </bk>
    <bk>
      <extLst>
        <ext uri="{3e2802c4-a4d2-4d8b-9148-e3be6c30e623}">
          <xlrd:rvb i="7726"/>
        </ext>
      </extLst>
    </bk>
    <bk>
      <extLst>
        <ext uri="{3e2802c4-a4d2-4d8b-9148-e3be6c30e623}">
          <xlrd:rvb i="7727"/>
        </ext>
      </extLst>
    </bk>
    <bk>
      <extLst>
        <ext uri="{3e2802c4-a4d2-4d8b-9148-e3be6c30e623}">
          <xlrd:rvb i="7728"/>
        </ext>
      </extLst>
    </bk>
    <bk>
      <extLst>
        <ext uri="{3e2802c4-a4d2-4d8b-9148-e3be6c30e623}">
          <xlrd:rvb i="7729"/>
        </ext>
      </extLst>
    </bk>
    <bk>
      <extLst>
        <ext uri="{3e2802c4-a4d2-4d8b-9148-e3be6c30e623}">
          <xlrd:rvb i="7730"/>
        </ext>
      </extLst>
    </bk>
    <bk>
      <extLst>
        <ext uri="{3e2802c4-a4d2-4d8b-9148-e3be6c30e623}">
          <xlrd:rvb i="7731"/>
        </ext>
      </extLst>
    </bk>
    <bk>
      <extLst>
        <ext uri="{3e2802c4-a4d2-4d8b-9148-e3be6c30e623}">
          <xlrd:rvb i="7732"/>
        </ext>
      </extLst>
    </bk>
    <bk>
      <extLst>
        <ext uri="{3e2802c4-a4d2-4d8b-9148-e3be6c30e623}">
          <xlrd:rvb i="7733"/>
        </ext>
      </extLst>
    </bk>
    <bk>
      <extLst>
        <ext uri="{3e2802c4-a4d2-4d8b-9148-e3be6c30e623}">
          <xlrd:rvb i="7734"/>
        </ext>
      </extLst>
    </bk>
    <bk>
      <extLst>
        <ext uri="{3e2802c4-a4d2-4d8b-9148-e3be6c30e623}">
          <xlrd:rvb i="7735"/>
        </ext>
      </extLst>
    </bk>
    <bk>
      <extLst>
        <ext uri="{3e2802c4-a4d2-4d8b-9148-e3be6c30e623}">
          <xlrd:rvb i="7736"/>
        </ext>
      </extLst>
    </bk>
    <bk>
      <extLst>
        <ext uri="{3e2802c4-a4d2-4d8b-9148-e3be6c30e623}">
          <xlrd:rvb i="7737"/>
        </ext>
      </extLst>
    </bk>
    <bk>
      <extLst>
        <ext uri="{3e2802c4-a4d2-4d8b-9148-e3be6c30e623}">
          <xlrd:rvb i="7738"/>
        </ext>
      </extLst>
    </bk>
    <bk>
      <extLst>
        <ext uri="{3e2802c4-a4d2-4d8b-9148-e3be6c30e623}">
          <xlrd:rvb i="7739"/>
        </ext>
      </extLst>
    </bk>
    <bk>
      <extLst>
        <ext uri="{3e2802c4-a4d2-4d8b-9148-e3be6c30e623}">
          <xlrd:rvb i="7740"/>
        </ext>
      </extLst>
    </bk>
    <bk>
      <extLst>
        <ext uri="{3e2802c4-a4d2-4d8b-9148-e3be6c30e623}">
          <xlrd:rvb i="7741"/>
        </ext>
      </extLst>
    </bk>
    <bk>
      <extLst>
        <ext uri="{3e2802c4-a4d2-4d8b-9148-e3be6c30e623}">
          <xlrd:rvb i="7742"/>
        </ext>
      </extLst>
    </bk>
    <bk>
      <extLst>
        <ext uri="{3e2802c4-a4d2-4d8b-9148-e3be6c30e623}">
          <xlrd:rvb i="7743"/>
        </ext>
      </extLst>
    </bk>
    <bk>
      <extLst>
        <ext uri="{3e2802c4-a4d2-4d8b-9148-e3be6c30e623}">
          <xlrd:rvb i="7744"/>
        </ext>
      </extLst>
    </bk>
    <bk>
      <extLst>
        <ext uri="{3e2802c4-a4d2-4d8b-9148-e3be6c30e623}">
          <xlrd:rvb i="7745"/>
        </ext>
      </extLst>
    </bk>
    <bk>
      <extLst>
        <ext uri="{3e2802c4-a4d2-4d8b-9148-e3be6c30e623}">
          <xlrd:rvb i="7746"/>
        </ext>
      </extLst>
    </bk>
    <bk>
      <extLst>
        <ext uri="{3e2802c4-a4d2-4d8b-9148-e3be6c30e623}">
          <xlrd:rvb i="7747"/>
        </ext>
      </extLst>
    </bk>
    <bk>
      <extLst>
        <ext uri="{3e2802c4-a4d2-4d8b-9148-e3be6c30e623}">
          <xlrd:rvb i="7748"/>
        </ext>
      </extLst>
    </bk>
    <bk>
      <extLst>
        <ext uri="{3e2802c4-a4d2-4d8b-9148-e3be6c30e623}">
          <xlrd:rvb i="7749"/>
        </ext>
      </extLst>
    </bk>
    <bk>
      <extLst>
        <ext uri="{3e2802c4-a4d2-4d8b-9148-e3be6c30e623}">
          <xlrd:rvb i="7750"/>
        </ext>
      </extLst>
    </bk>
    <bk>
      <extLst>
        <ext uri="{3e2802c4-a4d2-4d8b-9148-e3be6c30e623}">
          <xlrd:rvb i="7751"/>
        </ext>
      </extLst>
    </bk>
    <bk>
      <extLst>
        <ext uri="{3e2802c4-a4d2-4d8b-9148-e3be6c30e623}">
          <xlrd:rvb i="7752"/>
        </ext>
      </extLst>
    </bk>
    <bk>
      <extLst>
        <ext uri="{3e2802c4-a4d2-4d8b-9148-e3be6c30e623}">
          <xlrd:rvb i="7753"/>
        </ext>
      </extLst>
    </bk>
    <bk>
      <extLst>
        <ext uri="{3e2802c4-a4d2-4d8b-9148-e3be6c30e623}">
          <xlrd:rvb i="7754"/>
        </ext>
      </extLst>
    </bk>
    <bk>
      <extLst>
        <ext uri="{3e2802c4-a4d2-4d8b-9148-e3be6c30e623}">
          <xlrd:rvb i="7755"/>
        </ext>
      </extLst>
    </bk>
    <bk>
      <extLst>
        <ext uri="{3e2802c4-a4d2-4d8b-9148-e3be6c30e623}">
          <xlrd:rvb i="7756"/>
        </ext>
      </extLst>
    </bk>
    <bk>
      <extLst>
        <ext uri="{3e2802c4-a4d2-4d8b-9148-e3be6c30e623}">
          <xlrd:rvb i="7757"/>
        </ext>
      </extLst>
    </bk>
    <bk>
      <extLst>
        <ext uri="{3e2802c4-a4d2-4d8b-9148-e3be6c30e623}">
          <xlrd:rvb i="7758"/>
        </ext>
      </extLst>
    </bk>
    <bk>
      <extLst>
        <ext uri="{3e2802c4-a4d2-4d8b-9148-e3be6c30e623}">
          <xlrd:rvb i="7759"/>
        </ext>
      </extLst>
    </bk>
    <bk>
      <extLst>
        <ext uri="{3e2802c4-a4d2-4d8b-9148-e3be6c30e623}">
          <xlrd:rvb i="7760"/>
        </ext>
      </extLst>
    </bk>
    <bk>
      <extLst>
        <ext uri="{3e2802c4-a4d2-4d8b-9148-e3be6c30e623}">
          <xlrd:rvb i="7761"/>
        </ext>
      </extLst>
    </bk>
    <bk>
      <extLst>
        <ext uri="{3e2802c4-a4d2-4d8b-9148-e3be6c30e623}">
          <xlrd:rvb i="7762"/>
        </ext>
      </extLst>
    </bk>
    <bk>
      <extLst>
        <ext uri="{3e2802c4-a4d2-4d8b-9148-e3be6c30e623}">
          <xlrd:rvb i="7763"/>
        </ext>
      </extLst>
    </bk>
    <bk>
      <extLst>
        <ext uri="{3e2802c4-a4d2-4d8b-9148-e3be6c30e623}">
          <xlrd:rvb i="7764"/>
        </ext>
      </extLst>
    </bk>
    <bk>
      <extLst>
        <ext uri="{3e2802c4-a4d2-4d8b-9148-e3be6c30e623}">
          <xlrd:rvb i="7765"/>
        </ext>
      </extLst>
    </bk>
    <bk>
      <extLst>
        <ext uri="{3e2802c4-a4d2-4d8b-9148-e3be6c30e623}">
          <xlrd:rvb i="7766"/>
        </ext>
      </extLst>
    </bk>
    <bk>
      <extLst>
        <ext uri="{3e2802c4-a4d2-4d8b-9148-e3be6c30e623}">
          <xlrd:rvb i="7767"/>
        </ext>
      </extLst>
    </bk>
    <bk>
      <extLst>
        <ext uri="{3e2802c4-a4d2-4d8b-9148-e3be6c30e623}">
          <xlrd:rvb i="7768"/>
        </ext>
      </extLst>
    </bk>
    <bk>
      <extLst>
        <ext uri="{3e2802c4-a4d2-4d8b-9148-e3be6c30e623}">
          <xlrd:rvb i="7769"/>
        </ext>
      </extLst>
    </bk>
    <bk>
      <extLst>
        <ext uri="{3e2802c4-a4d2-4d8b-9148-e3be6c30e623}">
          <xlrd:rvb i="7770"/>
        </ext>
      </extLst>
    </bk>
    <bk>
      <extLst>
        <ext uri="{3e2802c4-a4d2-4d8b-9148-e3be6c30e623}">
          <xlrd:rvb i="7771"/>
        </ext>
      </extLst>
    </bk>
    <bk>
      <extLst>
        <ext uri="{3e2802c4-a4d2-4d8b-9148-e3be6c30e623}">
          <xlrd:rvb i="7772"/>
        </ext>
      </extLst>
    </bk>
    <bk>
      <extLst>
        <ext uri="{3e2802c4-a4d2-4d8b-9148-e3be6c30e623}">
          <xlrd:rvb i="7773"/>
        </ext>
      </extLst>
    </bk>
    <bk>
      <extLst>
        <ext uri="{3e2802c4-a4d2-4d8b-9148-e3be6c30e623}">
          <xlrd:rvb i="7774"/>
        </ext>
      </extLst>
    </bk>
    <bk>
      <extLst>
        <ext uri="{3e2802c4-a4d2-4d8b-9148-e3be6c30e623}">
          <xlrd:rvb i="7775"/>
        </ext>
      </extLst>
    </bk>
    <bk>
      <extLst>
        <ext uri="{3e2802c4-a4d2-4d8b-9148-e3be6c30e623}">
          <xlrd:rvb i="7776"/>
        </ext>
      </extLst>
    </bk>
    <bk>
      <extLst>
        <ext uri="{3e2802c4-a4d2-4d8b-9148-e3be6c30e623}">
          <xlrd:rvb i="7777"/>
        </ext>
      </extLst>
    </bk>
    <bk>
      <extLst>
        <ext uri="{3e2802c4-a4d2-4d8b-9148-e3be6c30e623}">
          <xlrd:rvb i="7778"/>
        </ext>
      </extLst>
    </bk>
    <bk>
      <extLst>
        <ext uri="{3e2802c4-a4d2-4d8b-9148-e3be6c30e623}">
          <xlrd:rvb i="7779"/>
        </ext>
      </extLst>
    </bk>
    <bk>
      <extLst>
        <ext uri="{3e2802c4-a4d2-4d8b-9148-e3be6c30e623}">
          <xlrd:rvb i="7780"/>
        </ext>
      </extLst>
    </bk>
    <bk>
      <extLst>
        <ext uri="{3e2802c4-a4d2-4d8b-9148-e3be6c30e623}">
          <xlrd:rvb i="7781"/>
        </ext>
      </extLst>
    </bk>
    <bk>
      <extLst>
        <ext uri="{3e2802c4-a4d2-4d8b-9148-e3be6c30e623}">
          <xlrd:rvb i="7782"/>
        </ext>
      </extLst>
    </bk>
    <bk>
      <extLst>
        <ext uri="{3e2802c4-a4d2-4d8b-9148-e3be6c30e623}">
          <xlrd:rvb i="7783"/>
        </ext>
      </extLst>
    </bk>
    <bk>
      <extLst>
        <ext uri="{3e2802c4-a4d2-4d8b-9148-e3be6c30e623}">
          <xlrd:rvb i="7784"/>
        </ext>
      </extLst>
    </bk>
    <bk>
      <extLst>
        <ext uri="{3e2802c4-a4d2-4d8b-9148-e3be6c30e623}">
          <xlrd:rvb i="7785"/>
        </ext>
      </extLst>
    </bk>
    <bk>
      <extLst>
        <ext uri="{3e2802c4-a4d2-4d8b-9148-e3be6c30e623}">
          <xlrd:rvb i="7786"/>
        </ext>
      </extLst>
    </bk>
    <bk>
      <extLst>
        <ext uri="{3e2802c4-a4d2-4d8b-9148-e3be6c30e623}">
          <xlrd:rvb i="7787"/>
        </ext>
      </extLst>
    </bk>
    <bk>
      <extLst>
        <ext uri="{3e2802c4-a4d2-4d8b-9148-e3be6c30e623}">
          <xlrd:rvb i="7788"/>
        </ext>
      </extLst>
    </bk>
    <bk>
      <extLst>
        <ext uri="{3e2802c4-a4d2-4d8b-9148-e3be6c30e623}">
          <xlrd:rvb i="7789"/>
        </ext>
      </extLst>
    </bk>
    <bk>
      <extLst>
        <ext uri="{3e2802c4-a4d2-4d8b-9148-e3be6c30e623}">
          <xlrd:rvb i="7790"/>
        </ext>
      </extLst>
    </bk>
    <bk>
      <extLst>
        <ext uri="{3e2802c4-a4d2-4d8b-9148-e3be6c30e623}">
          <xlrd:rvb i="7791"/>
        </ext>
      </extLst>
    </bk>
    <bk>
      <extLst>
        <ext uri="{3e2802c4-a4d2-4d8b-9148-e3be6c30e623}">
          <xlrd:rvb i="7792"/>
        </ext>
      </extLst>
    </bk>
    <bk>
      <extLst>
        <ext uri="{3e2802c4-a4d2-4d8b-9148-e3be6c30e623}">
          <xlrd:rvb i="7793"/>
        </ext>
      </extLst>
    </bk>
    <bk>
      <extLst>
        <ext uri="{3e2802c4-a4d2-4d8b-9148-e3be6c30e623}">
          <xlrd:rvb i="7794"/>
        </ext>
      </extLst>
    </bk>
    <bk>
      <extLst>
        <ext uri="{3e2802c4-a4d2-4d8b-9148-e3be6c30e623}">
          <xlrd:rvb i="7795"/>
        </ext>
      </extLst>
    </bk>
    <bk>
      <extLst>
        <ext uri="{3e2802c4-a4d2-4d8b-9148-e3be6c30e623}">
          <xlrd:rvb i="7796"/>
        </ext>
      </extLst>
    </bk>
    <bk>
      <extLst>
        <ext uri="{3e2802c4-a4d2-4d8b-9148-e3be6c30e623}">
          <xlrd:rvb i="7797"/>
        </ext>
      </extLst>
    </bk>
    <bk>
      <extLst>
        <ext uri="{3e2802c4-a4d2-4d8b-9148-e3be6c30e623}">
          <xlrd:rvb i="7798"/>
        </ext>
      </extLst>
    </bk>
    <bk>
      <extLst>
        <ext uri="{3e2802c4-a4d2-4d8b-9148-e3be6c30e623}">
          <xlrd:rvb i="7799"/>
        </ext>
      </extLst>
    </bk>
    <bk>
      <extLst>
        <ext uri="{3e2802c4-a4d2-4d8b-9148-e3be6c30e623}">
          <xlrd:rvb i="7800"/>
        </ext>
      </extLst>
    </bk>
    <bk>
      <extLst>
        <ext uri="{3e2802c4-a4d2-4d8b-9148-e3be6c30e623}">
          <xlrd:rvb i="7801"/>
        </ext>
      </extLst>
    </bk>
    <bk>
      <extLst>
        <ext uri="{3e2802c4-a4d2-4d8b-9148-e3be6c30e623}">
          <xlrd:rvb i="7802"/>
        </ext>
      </extLst>
    </bk>
    <bk>
      <extLst>
        <ext uri="{3e2802c4-a4d2-4d8b-9148-e3be6c30e623}">
          <xlrd:rvb i="7803"/>
        </ext>
      </extLst>
    </bk>
    <bk>
      <extLst>
        <ext uri="{3e2802c4-a4d2-4d8b-9148-e3be6c30e623}">
          <xlrd:rvb i="7804"/>
        </ext>
      </extLst>
    </bk>
    <bk>
      <extLst>
        <ext uri="{3e2802c4-a4d2-4d8b-9148-e3be6c30e623}">
          <xlrd:rvb i="7805"/>
        </ext>
      </extLst>
    </bk>
    <bk>
      <extLst>
        <ext uri="{3e2802c4-a4d2-4d8b-9148-e3be6c30e623}">
          <xlrd:rvb i="7806"/>
        </ext>
      </extLst>
    </bk>
    <bk>
      <extLst>
        <ext uri="{3e2802c4-a4d2-4d8b-9148-e3be6c30e623}">
          <xlrd:rvb i="7807"/>
        </ext>
      </extLst>
    </bk>
    <bk>
      <extLst>
        <ext uri="{3e2802c4-a4d2-4d8b-9148-e3be6c30e623}">
          <xlrd:rvb i="7808"/>
        </ext>
      </extLst>
    </bk>
    <bk>
      <extLst>
        <ext uri="{3e2802c4-a4d2-4d8b-9148-e3be6c30e623}">
          <xlrd:rvb i="7809"/>
        </ext>
      </extLst>
    </bk>
    <bk>
      <extLst>
        <ext uri="{3e2802c4-a4d2-4d8b-9148-e3be6c30e623}">
          <xlrd:rvb i="7810"/>
        </ext>
      </extLst>
    </bk>
    <bk>
      <extLst>
        <ext uri="{3e2802c4-a4d2-4d8b-9148-e3be6c30e623}">
          <xlrd:rvb i="7811"/>
        </ext>
      </extLst>
    </bk>
    <bk>
      <extLst>
        <ext uri="{3e2802c4-a4d2-4d8b-9148-e3be6c30e623}">
          <xlrd:rvb i="7812"/>
        </ext>
      </extLst>
    </bk>
    <bk>
      <extLst>
        <ext uri="{3e2802c4-a4d2-4d8b-9148-e3be6c30e623}">
          <xlrd:rvb i="7813"/>
        </ext>
      </extLst>
    </bk>
    <bk>
      <extLst>
        <ext uri="{3e2802c4-a4d2-4d8b-9148-e3be6c30e623}">
          <xlrd:rvb i="7814"/>
        </ext>
      </extLst>
    </bk>
    <bk>
      <extLst>
        <ext uri="{3e2802c4-a4d2-4d8b-9148-e3be6c30e623}">
          <xlrd:rvb i="7815"/>
        </ext>
      </extLst>
    </bk>
    <bk>
      <extLst>
        <ext uri="{3e2802c4-a4d2-4d8b-9148-e3be6c30e623}">
          <xlrd:rvb i="7816"/>
        </ext>
      </extLst>
    </bk>
    <bk>
      <extLst>
        <ext uri="{3e2802c4-a4d2-4d8b-9148-e3be6c30e623}">
          <xlrd:rvb i="7817"/>
        </ext>
      </extLst>
    </bk>
    <bk>
      <extLst>
        <ext uri="{3e2802c4-a4d2-4d8b-9148-e3be6c30e623}">
          <xlrd:rvb i="7818"/>
        </ext>
      </extLst>
    </bk>
    <bk>
      <extLst>
        <ext uri="{3e2802c4-a4d2-4d8b-9148-e3be6c30e623}">
          <xlrd:rvb i="7819"/>
        </ext>
      </extLst>
    </bk>
    <bk>
      <extLst>
        <ext uri="{3e2802c4-a4d2-4d8b-9148-e3be6c30e623}">
          <xlrd:rvb i="7820"/>
        </ext>
      </extLst>
    </bk>
    <bk>
      <extLst>
        <ext uri="{3e2802c4-a4d2-4d8b-9148-e3be6c30e623}">
          <xlrd:rvb i="7821"/>
        </ext>
      </extLst>
    </bk>
    <bk>
      <extLst>
        <ext uri="{3e2802c4-a4d2-4d8b-9148-e3be6c30e623}">
          <xlrd:rvb i="7822"/>
        </ext>
      </extLst>
    </bk>
    <bk>
      <extLst>
        <ext uri="{3e2802c4-a4d2-4d8b-9148-e3be6c30e623}">
          <xlrd:rvb i="7823"/>
        </ext>
      </extLst>
    </bk>
    <bk>
      <extLst>
        <ext uri="{3e2802c4-a4d2-4d8b-9148-e3be6c30e623}">
          <xlrd:rvb i="7824"/>
        </ext>
      </extLst>
    </bk>
    <bk>
      <extLst>
        <ext uri="{3e2802c4-a4d2-4d8b-9148-e3be6c30e623}">
          <xlrd:rvb i="7825"/>
        </ext>
      </extLst>
    </bk>
    <bk>
      <extLst>
        <ext uri="{3e2802c4-a4d2-4d8b-9148-e3be6c30e623}">
          <xlrd:rvb i="7826"/>
        </ext>
      </extLst>
    </bk>
    <bk>
      <extLst>
        <ext uri="{3e2802c4-a4d2-4d8b-9148-e3be6c30e623}">
          <xlrd:rvb i="7827"/>
        </ext>
      </extLst>
    </bk>
    <bk>
      <extLst>
        <ext uri="{3e2802c4-a4d2-4d8b-9148-e3be6c30e623}">
          <xlrd:rvb i="7828"/>
        </ext>
      </extLst>
    </bk>
    <bk>
      <extLst>
        <ext uri="{3e2802c4-a4d2-4d8b-9148-e3be6c30e623}">
          <xlrd:rvb i="7829"/>
        </ext>
      </extLst>
    </bk>
    <bk>
      <extLst>
        <ext uri="{3e2802c4-a4d2-4d8b-9148-e3be6c30e623}">
          <xlrd:rvb i="7830"/>
        </ext>
      </extLst>
    </bk>
    <bk>
      <extLst>
        <ext uri="{3e2802c4-a4d2-4d8b-9148-e3be6c30e623}">
          <xlrd:rvb i="7831"/>
        </ext>
      </extLst>
    </bk>
    <bk>
      <extLst>
        <ext uri="{3e2802c4-a4d2-4d8b-9148-e3be6c30e623}">
          <xlrd:rvb i="7832"/>
        </ext>
      </extLst>
    </bk>
    <bk>
      <extLst>
        <ext uri="{3e2802c4-a4d2-4d8b-9148-e3be6c30e623}">
          <xlrd:rvb i="7833"/>
        </ext>
      </extLst>
    </bk>
    <bk>
      <extLst>
        <ext uri="{3e2802c4-a4d2-4d8b-9148-e3be6c30e623}">
          <xlrd:rvb i="7834"/>
        </ext>
      </extLst>
    </bk>
    <bk>
      <extLst>
        <ext uri="{3e2802c4-a4d2-4d8b-9148-e3be6c30e623}">
          <xlrd:rvb i="7835"/>
        </ext>
      </extLst>
    </bk>
    <bk>
      <extLst>
        <ext uri="{3e2802c4-a4d2-4d8b-9148-e3be6c30e623}">
          <xlrd:rvb i="7836"/>
        </ext>
      </extLst>
    </bk>
    <bk>
      <extLst>
        <ext uri="{3e2802c4-a4d2-4d8b-9148-e3be6c30e623}">
          <xlrd:rvb i="7837"/>
        </ext>
      </extLst>
    </bk>
    <bk>
      <extLst>
        <ext uri="{3e2802c4-a4d2-4d8b-9148-e3be6c30e623}">
          <xlrd:rvb i="7838"/>
        </ext>
      </extLst>
    </bk>
    <bk>
      <extLst>
        <ext uri="{3e2802c4-a4d2-4d8b-9148-e3be6c30e623}">
          <xlrd:rvb i="7839"/>
        </ext>
      </extLst>
    </bk>
    <bk>
      <extLst>
        <ext uri="{3e2802c4-a4d2-4d8b-9148-e3be6c30e623}">
          <xlrd:rvb i="7840"/>
        </ext>
      </extLst>
    </bk>
    <bk>
      <extLst>
        <ext uri="{3e2802c4-a4d2-4d8b-9148-e3be6c30e623}">
          <xlrd:rvb i="7841"/>
        </ext>
      </extLst>
    </bk>
    <bk>
      <extLst>
        <ext uri="{3e2802c4-a4d2-4d8b-9148-e3be6c30e623}">
          <xlrd:rvb i="7842"/>
        </ext>
      </extLst>
    </bk>
    <bk>
      <extLst>
        <ext uri="{3e2802c4-a4d2-4d8b-9148-e3be6c30e623}">
          <xlrd:rvb i="7843"/>
        </ext>
      </extLst>
    </bk>
    <bk>
      <extLst>
        <ext uri="{3e2802c4-a4d2-4d8b-9148-e3be6c30e623}">
          <xlrd:rvb i="7844"/>
        </ext>
      </extLst>
    </bk>
    <bk>
      <extLst>
        <ext uri="{3e2802c4-a4d2-4d8b-9148-e3be6c30e623}">
          <xlrd:rvb i="7845"/>
        </ext>
      </extLst>
    </bk>
    <bk>
      <extLst>
        <ext uri="{3e2802c4-a4d2-4d8b-9148-e3be6c30e623}">
          <xlrd:rvb i="7846"/>
        </ext>
      </extLst>
    </bk>
    <bk>
      <extLst>
        <ext uri="{3e2802c4-a4d2-4d8b-9148-e3be6c30e623}">
          <xlrd:rvb i="7847"/>
        </ext>
      </extLst>
    </bk>
    <bk>
      <extLst>
        <ext uri="{3e2802c4-a4d2-4d8b-9148-e3be6c30e623}">
          <xlrd:rvb i="7848"/>
        </ext>
      </extLst>
    </bk>
    <bk>
      <extLst>
        <ext uri="{3e2802c4-a4d2-4d8b-9148-e3be6c30e623}">
          <xlrd:rvb i="7849"/>
        </ext>
      </extLst>
    </bk>
    <bk>
      <extLst>
        <ext uri="{3e2802c4-a4d2-4d8b-9148-e3be6c30e623}">
          <xlrd:rvb i="7850"/>
        </ext>
      </extLst>
    </bk>
    <bk>
      <extLst>
        <ext uri="{3e2802c4-a4d2-4d8b-9148-e3be6c30e623}">
          <xlrd:rvb i="7851"/>
        </ext>
      </extLst>
    </bk>
    <bk>
      <extLst>
        <ext uri="{3e2802c4-a4d2-4d8b-9148-e3be6c30e623}">
          <xlrd:rvb i="7852"/>
        </ext>
      </extLst>
    </bk>
    <bk>
      <extLst>
        <ext uri="{3e2802c4-a4d2-4d8b-9148-e3be6c30e623}">
          <xlrd:rvb i="7853"/>
        </ext>
      </extLst>
    </bk>
    <bk>
      <extLst>
        <ext uri="{3e2802c4-a4d2-4d8b-9148-e3be6c30e623}">
          <xlrd:rvb i="7854"/>
        </ext>
      </extLst>
    </bk>
    <bk>
      <extLst>
        <ext uri="{3e2802c4-a4d2-4d8b-9148-e3be6c30e623}">
          <xlrd:rvb i="7855"/>
        </ext>
      </extLst>
    </bk>
    <bk>
      <extLst>
        <ext uri="{3e2802c4-a4d2-4d8b-9148-e3be6c30e623}">
          <xlrd:rvb i="7856"/>
        </ext>
      </extLst>
    </bk>
    <bk>
      <extLst>
        <ext uri="{3e2802c4-a4d2-4d8b-9148-e3be6c30e623}">
          <xlrd:rvb i="7857"/>
        </ext>
      </extLst>
    </bk>
    <bk>
      <extLst>
        <ext uri="{3e2802c4-a4d2-4d8b-9148-e3be6c30e623}">
          <xlrd:rvb i="7858"/>
        </ext>
      </extLst>
    </bk>
    <bk>
      <extLst>
        <ext uri="{3e2802c4-a4d2-4d8b-9148-e3be6c30e623}">
          <xlrd:rvb i="7859"/>
        </ext>
      </extLst>
    </bk>
    <bk>
      <extLst>
        <ext uri="{3e2802c4-a4d2-4d8b-9148-e3be6c30e623}">
          <xlrd:rvb i="7860"/>
        </ext>
      </extLst>
    </bk>
    <bk>
      <extLst>
        <ext uri="{3e2802c4-a4d2-4d8b-9148-e3be6c30e623}">
          <xlrd:rvb i="7861"/>
        </ext>
      </extLst>
    </bk>
    <bk>
      <extLst>
        <ext uri="{3e2802c4-a4d2-4d8b-9148-e3be6c30e623}">
          <xlrd:rvb i="7862"/>
        </ext>
      </extLst>
    </bk>
    <bk>
      <extLst>
        <ext uri="{3e2802c4-a4d2-4d8b-9148-e3be6c30e623}">
          <xlrd:rvb i="7863"/>
        </ext>
      </extLst>
    </bk>
    <bk>
      <extLst>
        <ext uri="{3e2802c4-a4d2-4d8b-9148-e3be6c30e623}">
          <xlrd:rvb i="7864"/>
        </ext>
      </extLst>
    </bk>
    <bk>
      <extLst>
        <ext uri="{3e2802c4-a4d2-4d8b-9148-e3be6c30e623}">
          <xlrd:rvb i="7865"/>
        </ext>
      </extLst>
    </bk>
    <bk>
      <extLst>
        <ext uri="{3e2802c4-a4d2-4d8b-9148-e3be6c30e623}">
          <xlrd:rvb i="7866"/>
        </ext>
      </extLst>
    </bk>
    <bk>
      <extLst>
        <ext uri="{3e2802c4-a4d2-4d8b-9148-e3be6c30e623}">
          <xlrd:rvb i="7867"/>
        </ext>
      </extLst>
    </bk>
    <bk>
      <extLst>
        <ext uri="{3e2802c4-a4d2-4d8b-9148-e3be6c30e623}">
          <xlrd:rvb i="7868"/>
        </ext>
      </extLst>
    </bk>
    <bk>
      <extLst>
        <ext uri="{3e2802c4-a4d2-4d8b-9148-e3be6c30e623}">
          <xlrd:rvb i="7869"/>
        </ext>
      </extLst>
    </bk>
    <bk>
      <extLst>
        <ext uri="{3e2802c4-a4d2-4d8b-9148-e3be6c30e623}">
          <xlrd:rvb i="7870"/>
        </ext>
      </extLst>
    </bk>
    <bk>
      <extLst>
        <ext uri="{3e2802c4-a4d2-4d8b-9148-e3be6c30e623}">
          <xlrd:rvb i="7871"/>
        </ext>
      </extLst>
    </bk>
    <bk>
      <extLst>
        <ext uri="{3e2802c4-a4d2-4d8b-9148-e3be6c30e623}">
          <xlrd:rvb i="7872"/>
        </ext>
      </extLst>
    </bk>
    <bk>
      <extLst>
        <ext uri="{3e2802c4-a4d2-4d8b-9148-e3be6c30e623}">
          <xlrd:rvb i="7873"/>
        </ext>
      </extLst>
    </bk>
    <bk>
      <extLst>
        <ext uri="{3e2802c4-a4d2-4d8b-9148-e3be6c30e623}">
          <xlrd:rvb i="7874"/>
        </ext>
      </extLst>
    </bk>
    <bk>
      <extLst>
        <ext uri="{3e2802c4-a4d2-4d8b-9148-e3be6c30e623}">
          <xlrd:rvb i="7875"/>
        </ext>
      </extLst>
    </bk>
    <bk>
      <extLst>
        <ext uri="{3e2802c4-a4d2-4d8b-9148-e3be6c30e623}">
          <xlrd:rvb i="7876"/>
        </ext>
      </extLst>
    </bk>
    <bk>
      <extLst>
        <ext uri="{3e2802c4-a4d2-4d8b-9148-e3be6c30e623}">
          <xlrd:rvb i="7877"/>
        </ext>
      </extLst>
    </bk>
    <bk>
      <extLst>
        <ext uri="{3e2802c4-a4d2-4d8b-9148-e3be6c30e623}">
          <xlrd:rvb i="7878"/>
        </ext>
      </extLst>
    </bk>
    <bk>
      <extLst>
        <ext uri="{3e2802c4-a4d2-4d8b-9148-e3be6c30e623}">
          <xlrd:rvb i="7879"/>
        </ext>
      </extLst>
    </bk>
    <bk>
      <extLst>
        <ext uri="{3e2802c4-a4d2-4d8b-9148-e3be6c30e623}">
          <xlrd:rvb i="7880"/>
        </ext>
      </extLst>
    </bk>
    <bk>
      <extLst>
        <ext uri="{3e2802c4-a4d2-4d8b-9148-e3be6c30e623}">
          <xlrd:rvb i="7881"/>
        </ext>
      </extLst>
    </bk>
    <bk>
      <extLst>
        <ext uri="{3e2802c4-a4d2-4d8b-9148-e3be6c30e623}">
          <xlrd:rvb i="7882"/>
        </ext>
      </extLst>
    </bk>
    <bk>
      <extLst>
        <ext uri="{3e2802c4-a4d2-4d8b-9148-e3be6c30e623}">
          <xlrd:rvb i="7883"/>
        </ext>
      </extLst>
    </bk>
    <bk>
      <extLst>
        <ext uri="{3e2802c4-a4d2-4d8b-9148-e3be6c30e623}">
          <xlrd:rvb i="7884"/>
        </ext>
      </extLst>
    </bk>
    <bk>
      <extLst>
        <ext uri="{3e2802c4-a4d2-4d8b-9148-e3be6c30e623}">
          <xlrd:rvb i="7885"/>
        </ext>
      </extLst>
    </bk>
    <bk>
      <extLst>
        <ext uri="{3e2802c4-a4d2-4d8b-9148-e3be6c30e623}">
          <xlrd:rvb i="7886"/>
        </ext>
      </extLst>
    </bk>
    <bk>
      <extLst>
        <ext uri="{3e2802c4-a4d2-4d8b-9148-e3be6c30e623}">
          <xlrd:rvb i="7887"/>
        </ext>
      </extLst>
    </bk>
    <bk>
      <extLst>
        <ext uri="{3e2802c4-a4d2-4d8b-9148-e3be6c30e623}">
          <xlrd:rvb i="7888"/>
        </ext>
      </extLst>
    </bk>
    <bk>
      <extLst>
        <ext uri="{3e2802c4-a4d2-4d8b-9148-e3be6c30e623}">
          <xlrd:rvb i="7889"/>
        </ext>
      </extLst>
    </bk>
    <bk>
      <extLst>
        <ext uri="{3e2802c4-a4d2-4d8b-9148-e3be6c30e623}">
          <xlrd:rvb i="7890"/>
        </ext>
      </extLst>
    </bk>
    <bk>
      <extLst>
        <ext uri="{3e2802c4-a4d2-4d8b-9148-e3be6c30e623}">
          <xlrd:rvb i="7891"/>
        </ext>
      </extLst>
    </bk>
    <bk>
      <extLst>
        <ext uri="{3e2802c4-a4d2-4d8b-9148-e3be6c30e623}">
          <xlrd:rvb i="7892"/>
        </ext>
      </extLst>
    </bk>
    <bk>
      <extLst>
        <ext uri="{3e2802c4-a4d2-4d8b-9148-e3be6c30e623}">
          <xlrd:rvb i="7893"/>
        </ext>
      </extLst>
    </bk>
    <bk>
      <extLst>
        <ext uri="{3e2802c4-a4d2-4d8b-9148-e3be6c30e623}">
          <xlrd:rvb i="7894"/>
        </ext>
      </extLst>
    </bk>
    <bk>
      <extLst>
        <ext uri="{3e2802c4-a4d2-4d8b-9148-e3be6c30e623}">
          <xlrd:rvb i="7895"/>
        </ext>
      </extLst>
    </bk>
    <bk>
      <extLst>
        <ext uri="{3e2802c4-a4d2-4d8b-9148-e3be6c30e623}">
          <xlrd:rvb i="7896"/>
        </ext>
      </extLst>
    </bk>
    <bk>
      <extLst>
        <ext uri="{3e2802c4-a4d2-4d8b-9148-e3be6c30e623}">
          <xlrd:rvb i="7897"/>
        </ext>
      </extLst>
    </bk>
    <bk>
      <extLst>
        <ext uri="{3e2802c4-a4d2-4d8b-9148-e3be6c30e623}">
          <xlrd:rvb i="7898"/>
        </ext>
      </extLst>
    </bk>
    <bk>
      <extLst>
        <ext uri="{3e2802c4-a4d2-4d8b-9148-e3be6c30e623}">
          <xlrd:rvb i="7899"/>
        </ext>
      </extLst>
    </bk>
    <bk>
      <extLst>
        <ext uri="{3e2802c4-a4d2-4d8b-9148-e3be6c30e623}">
          <xlrd:rvb i="7900"/>
        </ext>
      </extLst>
    </bk>
    <bk>
      <extLst>
        <ext uri="{3e2802c4-a4d2-4d8b-9148-e3be6c30e623}">
          <xlrd:rvb i="7901"/>
        </ext>
      </extLst>
    </bk>
    <bk>
      <extLst>
        <ext uri="{3e2802c4-a4d2-4d8b-9148-e3be6c30e623}">
          <xlrd:rvb i="7902"/>
        </ext>
      </extLst>
    </bk>
    <bk>
      <extLst>
        <ext uri="{3e2802c4-a4d2-4d8b-9148-e3be6c30e623}">
          <xlrd:rvb i="7903"/>
        </ext>
      </extLst>
    </bk>
    <bk>
      <extLst>
        <ext uri="{3e2802c4-a4d2-4d8b-9148-e3be6c30e623}">
          <xlrd:rvb i="7904"/>
        </ext>
      </extLst>
    </bk>
    <bk>
      <extLst>
        <ext uri="{3e2802c4-a4d2-4d8b-9148-e3be6c30e623}">
          <xlrd:rvb i="7905"/>
        </ext>
      </extLst>
    </bk>
    <bk>
      <extLst>
        <ext uri="{3e2802c4-a4d2-4d8b-9148-e3be6c30e623}">
          <xlrd:rvb i="7906"/>
        </ext>
      </extLst>
    </bk>
    <bk>
      <extLst>
        <ext uri="{3e2802c4-a4d2-4d8b-9148-e3be6c30e623}">
          <xlrd:rvb i="7907"/>
        </ext>
      </extLst>
    </bk>
    <bk>
      <extLst>
        <ext uri="{3e2802c4-a4d2-4d8b-9148-e3be6c30e623}">
          <xlrd:rvb i="7908"/>
        </ext>
      </extLst>
    </bk>
    <bk>
      <extLst>
        <ext uri="{3e2802c4-a4d2-4d8b-9148-e3be6c30e623}">
          <xlrd:rvb i="7909"/>
        </ext>
      </extLst>
    </bk>
    <bk>
      <extLst>
        <ext uri="{3e2802c4-a4d2-4d8b-9148-e3be6c30e623}">
          <xlrd:rvb i="7910"/>
        </ext>
      </extLst>
    </bk>
    <bk>
      <extLst>
        <ext uri="{3e2802c4-a4d2-4d8b-9148-e3be6c30e623}">
          <xlrd:rvb i="7911"/>
        </ext>
      </extLst>
    </bk>
    <bk>
      <extLst>
        <ext uri="{3e2802c4-a4d2-4d8b-9148-e3be6c30e623}">
          <xlrd:rvb i="7912"/>
        </ext>
      </extLst>
    </bk>
    <bk>
      <extLst>
        <ext uri="{3e2802c4-a4d2-4d8b-9148-e3be6c30e623}">
          <xlrd:rvb i="7913"/>
        </ext>
      </extLst>
    </bk>
    <bk>
      <extLst>
        <ext uri="{3e2802c4-a4d2-4d8b-9148-e3be6c30e623}">
          <xlrd:rvb i="7914"/>
        </ext>
      </extLst>
    </bk>
    <bk>
      <extLst>
        <ext uri="{3e2802c4-a4d2-4d8b-9148-e3be6c30e623}">
          <xlrd:rvb i="7915"/>
        </ext>
      </extLst>
    </bk>
    <bk>
      <extLst>
        <ext uri="{3e2802c4-a4d2-4d8b-9148-e3be6c30e623}">
          <xlrd:rvb i="7916"/>
        </ext>
      </extLst>
    </bk>
    <bk>
      <extLst>
        <ext uri="{3e2802c4-a4d2-4d8b-9148-e3be6c30e623}">
          <xlrd:rvb i="7917"/>
        </ext>
      </extLst>
    </bk>
    <bk>
      <extLst>
        <ext uri="{3e2802c4-a4d2-4d8b-9148-e3be6c30e623}">
          <xlrd:rvb i="7918"/>
        </ext>
      </extLst>
    </bk>
    <bk>
      <extLst>
        <ext uri="{3e2802c4-a4d2-4d8b-9148-e3be6c30e623}">
          <xlrd:rvb i="7919"/>
        </ext>
      </extLst>
    </bk>
    <bk>
      <extLst>
        <ext uri="{3e2802c4-a4d2-4d8b-9148-e3be6c30e623}">
          <xlrd:rvb i="7920"/>
        </ext>
      </extLst>
    </bk>
    <bk>
      <extLst>
        <ext uri="{3e2802c4-a4d2-4d8b-9148-e3be6c30e623}">
          <xlrd:rvb i="7921"/>
        </ext>
      </extLst>
    </bk>
    <bk>
      <extLst>
        <ext uri="{3e2802c4-a4d2-4d8b-9148-e3be6c30e623}">
          <xlrd:rvb i="7922"/>
        </ext>
      </extLst>
    </bk>
    <bk>
      <extLst>
        <ext uri="{3e2802c4-a4d2-4d8b-9148-e3be6c30e623}">
          <xlrd:rvb i="7923"/>
        </ext>
      </extLst>
    </bk>
    <bk>
      <extLst>
        <ext uri="{3e2802c4-a4d2-4d8b-9148-e3be6c30e623}">
          <xlrd:rvb i="7924"/>
        </ext>
      </extLst>
    </bk>
    <bk>
      <extLst>
        <ext uri="{3e2802c4-a4d2-4d8b-9148-e3be6c30e623}">
          <xlrd:rvb i="7925"/>
        </ext>
      </extLst>
    </bk>
    <bk>
      <extLst>
        <ext uri="{3e2802c4-a4d2-4d8b-9148-e3be6c30e623}">
          <xlrd:rvb i="7926"/>
        </ext>
      </extLst>
    </bk>
    <bk>
      <extLst>
        <ext uri="{3e2802c4-a4d2-4d8b-9148-e3be6c30e623}">
          <xlrd:rvb i="7927"/>
        </ext>
      </extLst>
    </bk>
    <bk>
      <extLst>
        <ext uri="{3e2802c4-a4d2-4d8b-9148-e3be6c30e623}">
          <xlrd:rvb i="7928"/>
        </ext>
      </extLst>
    </bk>
    <bk>
      <extLst>
        <ext uri="{3e2802c4-a4d2-4d8b-9148-e3be6c30e623}">
          <xlrd:rvb i="7929"/>
        </ext>
      </extLst>
    </bk>
    <bk>
      <extLst>
        <ext uri="{3e2802c4-a4d2-4d8b-9148-e3be6c30e623}">
          <xlrd:rvb i="7930"/>
        </ext>
      </extLst>
    </bk>
    <bk>
      <extLst>
        <ext uri="{3e2802c4-a4d2-4d8b-9148-e3be6c30e623}">
          <xlrd:rvb i="7931"/>
        </ext>
      </extLst>
    </bk>
    <bk>
      <extLst>
        <ext uri="{3e2802c4-a4d2-4d8b-9148-e3be6c30e623}">
          <xlrd:rvb i="7932"/>
        </ext>
      </extLst>
    </bk>
    <bk>
      <extLst>
        <ext uri="{3e2802c4-a4d2-4d8b-9148-e3be6c30e623}">
          <xlrd:rvb i="7933"/>
        </ext>
      </extLst>
    </bk>
    <bk>
      <extLst>
        <ext uri="{3e2802c4-a4d2-4d8b-9148-e3be6c30e623}">
          <xlrd:rvb i="7934"/>
        </ext>
      </extLst>
    </bk>
    <bk>
      <extLst>
        <ext uri="{3e2802c4-a4d2-4d8b-9148-e3be6c30e623}">
          <xlrd:rvb i="7935"/>
        </ext>
      </extLst>
    </bk>
    <bk>
      <extLst>
        <ext uri="{3e2802c4-a4d2-4d8b-9148-e3be6c30e623}">
          <xlrd:rvb i="7936"/>
        </ext>
      </extLst>
    </bk>
    <bk>
      <extLst>
        <ext uri="{3e2802c4-a4d2-4d8b-9148-e3be6c30e623}">
          <xlrd:rvb i="7937"/>
        </ext>
      </extLst>
    </bk>
    <bk>
      <extLst>
        <ext uri="{3e2802c4-a4d2-4d8b-9148-e3be6c30e623}">
          <xlrd:rvb i="7938"/>
        </ext>
      </extLst>
    </bk>
    <bk>
      <extLst>
        <ext uri="{3e2802c4-a4d2-4d8b-9148-e3be6c30e623}">
          <xlrd:rvb i="7939"/>
        </ext>
      </extLst>
    </bk>
    <bk>
      <extLst>
        <ext uri="{3e2802c4-a4d2-4d8b-9148-e3be6c30e623}">
          <xlrd:rvb i="7940"/>
        </ext>
      </extLst>
    </bk>
    <bk>
      <extLst>
        <ext uri="{3e2802c4-a4d2-4d8b-9148-e3be6c30e623}">
          <xlrd:rvb i="7941"/>
        </ext>
      </extLst>
    </bk>
    <bk>
      <extLst>
        <ext uri="{3e2802c4-a4d2-4d8b-9148-e3be6c30e623}">
          <xlrd:rvb i="7942"/>
        </ext>
      </extLst>
    </bk>
    <bk>
      <extLst>
        <ext uri="{3e2802c4-a4d2-4d8b-9148-e3be6c30e623}">
          <xlrd:rvb i="7943"/>
        </ext>
      </extLst>
    </bk>
    <bk>
      <extLst>
        <ext uri="{3e2802c4-a4d2-4d8b-9148-e3be6c30e623}">
          <xlrd:rvb i="7944"/>
        </ext>
      </extLst>
    </bk>
    <bk>
      <extLst>
        <ext uri="{3e2802c4-a4d2-4d8b-9148-e3be6c30e623}">
          <xlrd:rvb i="7945"/>
        </ext>
      </extLst>
    </bk>
    <bk>
      <extLst>
        <ext uri="{3e2802c4-a4d2-4d8b-9148-e3be6c30e623}">
          <xlrd:rvb i="7946"/>
        </ext>
      </extLst>
    </bk>
    <bk>
      <extLst>
        <ext uri="{3e2802c4-a4d2-4d8b-9148-e3be6c30e623}">
          <xlrd:rvb i="7947"/>
        </ext>
      </extLst>
    </bk>
    <bk>
      <extLst>
        <ext uri="{3e2802c4-a4d2-4d8b-9148-e3be6c30e623}">
          <xlrd:rvb i="7948"/>
        </ext>
      </extLst>
    </bk>
    <bk>
      <extLst>
        <ext uri="{3e2802c4-a4d2-4d8b-9148-e3be6c30e623}">
          <xlrd:rvb i="7949"/>
        </ext>
      </extLst>
    </bk>
    <bk>
      <extLst>
        <ext uri="{3e2802c4-a4d2-4d8b-9148-e3be6c30e623}">
          <xlrd:rvb i="7950"/>
        </ext>
      </extLst>
    </bk>
    <bk>
      <extLst>
        <ext uri="{3e2802c4-a4d2-4d8b-9148-e3be6c30e623}">
          <xlrd:rvb i="7951"/>
        </ext>
      </extLst>
    </bk>
    <bk>
      <extLst>
        <ext uri="{3e2802c4-a4d2-4d8b-9148-e3be6c30e623}">
          <xlrd:rvb i="7952"/>
        </ext>
      </extLst>
    </bk>
    <bk>
      <extLst>
        <ext uri="{3e2802c4-a4d2-4d8b-9148-e3be6c30e623}">
          <xlrd:rvb i="7953"/>
        </ext>
      </extLst>
    </bk>
    <bk>
      <extLst>
        <ext uri="{3e2802c4-a4d2-4d8b-9148-e3be6c30e623}">
          <xlrd:rvb i="7954"/>
        </ext>
      </extLst>
    </bk>
    <bk>
      <extLst>
        <ext uri="{3e2802c4-a4d2-4d8b-9148-e3be6c30e623}">
          <xlrd:rvb i="7955"/>
        </ext>
      </extLst>
    </bk>
    <bk>
      <extLst>
        <ext uri="{3e2802c4-a4d2-4d8b-9148-e3be6c30e623}">
          <xlrd:rvb i="7956"/>
        </ext>
      </extLst>
    </bk>
    <bk>
      <extLst>
        <ext uri="{3e2802c4-a4d2-4d8b-9148-e3be6c30e623}">
          <xlrd:rvb i="7957"/>
        </ext>
      </extLst>
    </bk>
    <bk>
      <extLst>
        <ext uri="{3e2802c4-a4d2-4d8b-9148-e3be6c30e623}">
          <xlrd:rvb i="7958"/>
        </ext>
      </extLst>
    </bk>
    <bk>
      <extLst>
        <ext uri="{3e2802c4-a4d2-4d8b-9148-e3be6c30e623}">
          <xlrd:rvb i="7959"/>
        </ext>
      </extLst>
    </bk>
    <bk>
      <extLst>
        <ext uri="{3e2802c4-a4d2-4d8b-9148-e3be6c30e623}">
          <xlrd:rvb i="7960"/>
        </ext>
      </extLst>
    </bk>
    <bk>
      <extLst>
        <ext uri="{3e2802c4-a4d2-4d8b-9148-e3be6c30e623}">
          <xlrd:rvb i="7961"/>
        </ext>
      </extLst>
    </bk>
    <bk>
      <extLst>
        <ext uri="{3e2802c4-a4d2-4d8b-9148-e3be6c30e623}">
          <xlrd:rvb i="7962"/>
        </ext>
      </extLst>
    </bk>
    <bk>
      <extLst>
        <ext uri="{3e2802c4-a4d2-4d8b-9148-e3be6c30e623}">
          <xlrd:rvb i="7963"/>
        </ext>
      </extLst>
    </bk>
    <bk>
      <extLst>
        <ext uri="{3e2802c4-a4d2-4d8b-9148-e3be6c30e623}">
          <xlrd:rvb i="7964"/>
        </ext>
      </extLst>
    </bk>
    <bk>
      <extLst>
        <ext uri="{3e2802c4-a4d2-4d8b-9148-e3be6c30e623}">
          <xlrd:rvb i="7965"/>
        </ext>
      </extLst>
    </bk>
    <bk>
      <extLst>
        <ext uri="{3e2802c4-a4d2-4d8b-9148-e3be6c30e623}">
          <xlrd:rvb i="7966"/>
        </ext>
      </extLst>
    </bk>
    <bk>
      <extLst>
        <ext uri="{3e2802c4-a4d2-4d8b-9148-e3be6c30e623}">
          <xlrd:rvb i="7967"/>
        </ext>
      </extLst>
    </bk>
    <bk>
      <extLst>
        <ext uri="{3e2802c4-a4d2-4d8b-9148-e3be6c30e623}">
          <xlrd:rvb i="7968"/>
        </ext>
      </extLst>
    </bk>
    <bk>
      <extLst>
        <ext uri="{3e2802c4-a4d2-4d8b-9148-e3be6c30e623}">
          <xlrd:rvb i="7969"/>
        </ext>
      </extLst>
    </bk>
    <bk>
      <extLst>
        <ext uri="{3e2802c4-a4d2-4d8b-9148-e3be6c30e623}">
          <xlrd:rvb i="7970"/>
        </ext>
      </extLst>
    </bk>
    <bk>
      <extLst>
        <ext uri="{3e2802c4-a4d2-4d8b-9148-e3be6c30e623}">
          <xlrd:rvb i="7971"/>
        </ext>
      </extLst>
    </bk>
    <bk>
      <extLst>
        <ext uri="{3e2802c4-a4d2-4d8b-9148-e3be6c30e623}">
          <xlrd:rvb i="7972"/>
        </ext>
      </extLst>
    </bk>
    <bk>
      <extLst>
        <ext uri="{3e2802c4-a4d2-4d8b-9148-e3be6c30e623}">
          <xlrd:rvb i="7973"/>
        </ext>
      </extLst>
    </bk>
    <bk>
      <extLst>
        <ext uri="{3e2802c4-a4d2-4d8b-9148-e3be6c30e623}">
          <xlrd:rvb i="7974"/>
        </ext>
      </extLst>
    </bk>
    <bk>
      <extLst>
        <ext uri="{3e2802c4-a4d2-4d8b-9148-e3be6c30e623}">
          <xlrd:rvb i="7975"/>
        </ext>
      </extLst>
    </bk>
    <bk>
      <extLst>
        <ext uri="{3e2802c4-a4d2-4d8b-9148-e3be6c30e623}">
          <xlrd:rvb i="7976"/>
        </ext>
      </extLst>
    </bk>
    <bk>
      <extLst>
        <ext uri="{3e2802c4-a4d2-4d8b-9148-e3be6c30e623}">
          <xlrd:rvb i="7977"/>
        </ext>
      </extLst>
    </bk>
    <bk>
      <extLst>
        <ext uri="{3e2802c4-a4d2-4d8b-9148-e3be6c30e623}">
          <xlrd:rvb i="7978"/>
        </ext>
      </extLst>
    </bk>
    <bk>
      <extLst>
        <ext uri="{3e2802c4-a4d2-4d8b-9148-e3be6c30e623}">
          <xlrd:rvb i="7979"/>
        </ext>
      </extLst>
    </bk>
    <bk>
      <extLst>
        <ext uri="{3e2802c4-a4d2-4d8b-9148-e3be6c30e623}">
          <xlrd:rvb i="7980"/>
        </ext>
      </extLst>
    </bk>
    <bk>
      <extLst>
        <ext uri="{3e2802c4-a4d2-4d8b-9148-e3be6c30e623}">
          <xlrd:rvb i="7981"/>
        </ext>
      </extLst>
    </bk>
    <bk>
      <extLst>
        <ext uri="{3e2802c4-a4d2-4d8b-9148-e3be6c30e623}">
          <xlrd:rvb i="7982"/>
        </ext>
      </extLst>
    </bk>
    <bk>
      <extLst>
        <ext uri="{3e2802c4-a4d2-4d8b-9148-e3be6c30e623}">
          <xlrd:rvb i="7983"/>
        </ext>
      </extLst>
    </bk>
    <bk>
      <extLst>
        <ext uri="{3e2802c4-a4d2-4d8b-9148-e3be6c30e623}">
          <xlrd:rvb i="7984"/>
        </ext>
      </extLst>
    </bk>
    <bk>
      <extLst>
        <ext uri="{3e2802c4-a4d2-4d8b-9148-e3be6c30e623}">
          <xlrd:rvb i="7985"/>
        </ext>
      </extLst>
    </bk>
    <bk>
      <extLst>
        <ext uri="{3e2802c4-a4d2-4d8b-9148-e3be6c30e623}">
          <xlrd:rvb i="7986"/>
        </ext>
      </extLst>
    </bk>
    <bk>
      <extLst>
        <ext uri="{3e2802c4-a4d2-4d8b-9148-e3be6c30e623}">
          <xlrd:rvb i="7987"/>
        </ext>
      </extLst>
    </bk>
    <bk>
      <extLst>
        <ext uri="{3e2802c4-a4d2-4d8b-9148-e3be6c30e623}">
          <xlrd:rvb i="7988"/>
        </ext>
      </extLst>
    </bk>
    <bk>
      <extLst>
        <ext uri="{3e2802c4-a4d2-4d8b-9148-e3be6c30e623}">
          <xlrd:rvb i="7989"/>
        </ext>
      </extLst>
    </bk>
    <bk>
      <extLst>
        <ext uri="{3e2802c4-a4d2-4d8b-9148-e3be6c30e623}">
          <xlrd:rvb i="7990"/>
        </ext>
      </extLst>
    </bk>
    <bk>
      <extLst>
        <ext uri="{3e2802c4-a4d2-4d8b-9148-e3be6c30e623}">
          <xlrd:rvb i="7991"/>
        </ext>
      </extLst>
    </bk>
    <bk>
      <extLst>
        <ext uri="{3e2802c4-a4d2-4d8b-9148-e3be6c30e623}">
          <xlrd:rvb i="7992"/>
        </ext>
      </extLst>
    </bk>
    <bk>
      <extLst>
        <ext uri="{3e2802c4-a4d2-4d8b-9148-e3be6c30e623}">
          <xlrd:rvb i="7993"/>
        </ext>
      </extLst>
    </bk>
    <bk>
      <extLst>
        <ext uri="{3e2802c4-a4d2-4d8b-9148-e3be6c30e623}">
          <xlrd:rvb i="7994"/>
        </ext>
      </extLst>
    </bk>
    <bk>
      <extLst>
        <ext uri="{3e2802c4-a4d2-4d8b-9148-e3be6c30e623}">
          <xlrd:rvb i="7995"/>
        </ext>
      </extLst>
    </bk>
    <bk>
      <extLst>
        <ext uri="{3e2802c4-a4d2-4d8b-9148-e3be6c30e623}">
          <xlrd:rvb i="7996"/>
        </ext>
      </extLst>
    </bk>
    <bk>
      <extLst>
        <ext uri="{3e2802c4-a4d2-4d8b-9148-e3be6c30e623}">
          <xlrd:rvb i="7997"/>
        </ext>
      </extLst>
    </bk>
    <bk>
      <extLst>
        <ext uri="{3e2802c4-a4d2-4d8b-9148-e3be6c30e623}">
          <xlrd:rvb i="7998"/>
        </ext>
      </extLst>
    </bk>
    <bk>
      <extLst>
        <ext uri="{3e2802c4-a4d2-4d8b-9148-e3be6c30e623}">
          <xlrd:rvb i="7999"/>
        </ext>
      </extLst>
    </bk>
    <bk>
      <extLst>
        <ext uri="{3e2802c4-a4d2-4d8b-9148-e3be6c30e623}">
          <xlrd:rvb i="8000"/>
        </ext>
      </extLst>
    </bk>
    <bk>
      <extLst>
        <ext uri="{3e2802c4-a4d2-4d8b-9148-e3be6c30e623}">
          <xlrd:rvb i="8001"/>
        </ext>
      </extLst>
    </bk>
    <bk>
      <extLst>
        <ext uri="{3e2802c4-a4d2-4d8b-9148-e3be6c30e623}">
          <xlrd:rvb i="8002"/>
        </ext>
      </extLst>
    </bk>
    <bk>
      <extLst>
        <ext uri="{3e2802c4-a4d2-4d8b-9148-e3be6c30e623}">
          <xlrd:rvb i="8003"/>
        </ext>
      </extLst>
    </bk>
    <bk>
      <extLst>
        <ext uri="{3e2802c4-a4d2-4d8b-9148-e3be6c30e623}">
          <xlrd:rvb i="8004"/>
        </ext>
      </extLst>
    </bk>
    <bk>
      <extLst>
        <ext uri="{3e2802c4-a4d2-4d8b-9148-e3be6c30e623}">
          <xlrd:rvb i="8005"/>
        </ext>
      </extLst>
    </bk>
    <bk>
      <extLst>
        <ext uri="{3e2802c4-a4d2-4d8b-9148-e3be6c30e623}">
          <xlrd:rvb i="8006"/>
        </ext>
      </extLst>
    </bk>
    <bk>
      <extLst>
        <ext uri="{3e2802c4-a4d2-4d8b-9148-e3be6c30e623}">
          <xlrd:rvb i="8007"/>
        </ext>
      </extLst>
    </bk>
    <bk>
      <extLst>
        <ext uri="{3e2802c4-a4d2-4d8b-9148-e3be6c30e623}">
          <xlrd:rvb i="8008"/>
        </ext>
      </extLst>
    </bk>
    <bk>
      <extLst>
        <ext uri="{3e2802c4-a4d2-4d8b-9148-e3be6c30e623}">
          <xlrd:rvb i="8009"/>
        </ext>
      </extLst>
    </bk>
    <bk>
      <extLst>
        <ext uri="{3e2802c4-a4d2-4d8b-9148-e3be6c30e623}">
          <xlrd:rvb i="8010"/>
        </ext>
      </extLst>
    </bk>
    <bk>
      <extLst>
        <ext uri="{3e2802c4-a4d2-4d8b-9148-e3be6c30e623}">
          <xlrd:rvb i="8011"/>
        </ext>
      </extLst>
    </bk>
    <bk>
      <extLst>
        <ext uri="{3e2802c4-a4d2-4d8b-9148-e3be6c30e623}">
          <xlrd:rvb i="8012"/>
        </ext>
      </extLst>
    </bk>
    <bk>
      <extLst>
        <ext uri="{3e2802c4-a4d2-4d8b-9148-e3be6c30e623}">
          <xlrd:rvb i="8013"/>
        </ext>
      </extLst>
    </bk>
    <bk>
      <extLst>
        <ext uri="{3e2802c4-a4d2-4d8b-9148-e3be6c30e623}">
          <xlrd:rvb i="8014"/>
        </ext>
      </extLst>
    </bk>
    <bk>
      <extLst>
        <ext uri="{3e2802c4-a4d2-4d8b-9148-e3be6c30e623}">
          <xlrd:rvb i="8015"/>
        </ext>
      </extLst>
    </bk>
    <bk>
      <extLst>
        <ext uri="{3e2802c4-a4d2-4d8b-9148-e3be6c30e623}">
          <xlrd:rvb i="8016"/>
        </ext>
      </extLst>
    </bk>
    <bk>
      <extLst>
        <ext uri="{3e2802c4-a4d2-4d8b-9148-e3be6c30e623}">
          <xlrd:rvb i="8017"/>
        </ext>
      </extLst>
    </bk>
    <bk>
      <extLst>
        <ext uri="{3e2802c4-a4d2-4d8b-9148-e3be6c30e623}">
          <xlrd:rvb i="8018"/>
        </ext>
      </extLst>
    </bk>
    <bk>
      <extLst>
        <ext uri="{3e2802c4-a4d2-4d8b-9148-e3be6c30e623}">
          <xlrd:rvb i="8019"/>
        </ext>
      </extLst>
    </bk>
    <bk>
      <extLst>
        <ext uri="{3e2802c4-a4d2-4d8b-9148-e3be6c30e623}">
          <xlrd:rvb i="8020"/>
        </ext>
      </extLst>
    </bk>
    <bk>
      <extLst>
        <ext uri="{3e2802c4-a4d2-4d8b-9148-e3be6c30e623}">
          <xlrd:rvb i="8021"/>
        </ext>
      </extLst>
    </bk>
    <bk>
      <extLst>
        <ext uri="{3e2802c4-a4d2-4d8b-9148-e3be6c30e623}">
          <xlrd:rvb i="8022"/>
        </ext>
      </extLst>
    </bk>
    <bk>
      <extLst>
        <ext uri="{3e2802c4-a4d2-4d8b-9148-e3be6c30e623}">
          <xlrd:rvb i="8023"/>
        </ext>
      </extLst>
    </bk>
    <bk>
      <extLst>
        <ext uri="{3e2802c4-a4d2-4d8b-9148-e3be6c30e623}">
          <xlrd:rvb i="8024"/>
        </ext>
      </extLst>
    </bk>
    <bk>
      <extLst>
        <ext uri="{3e2802c4-a4d2-4d8b-9148-e3be6c30e623}">
          <xlrd:rvb i="8025"/>
        </ext>
      </extLst>
    </bk>
    <bk>
      <extLst>
        <ext uri="{3e2802c4-a4d2-4d8b-9148-e3be6c30e623}">
          <xlrd:rvb i="8026"/>
        </ext>
      </extLst>
    </bk>
    <bk>
      <extLst>
        <ext uri="{3e2802c4-a4d2-4d8b-9148-e3be6c30e623}">
          <xlrd:rvb i="8027"/>
        </ext>
      </extLst>
    </bk>
    <bk>
      <extLst>
        <ext uri="{3e2802c4-a4d2-4d8b-9148-e3be6c30e623}">
          <xlrd:rvb i="8028"/>
        </ext>
      </extLst>
    </bk>
    <bk>
      <extLst>
        <ext uri="{3e2802c4-a4d2-4d8b-9148-e3be6c30e623}">
          <xlrd:rvb i="8029"/>
        </ext>
      </extLst>
    </bk>
    <bk>
      <extLst>
        <ext uri="{3e2802c4-a4d2-4d8b-9148-e3be6c30e623}">
          <xlrd:rvb i="8030"/>
        </ext>
      </extLst>
    </bk>
    <bk>
      <extLst>
        <ext uri="{3e2802c4-a4d2-4d8b-9148-e3be6c30e623}">
          <xlrd:rvb i="8031"/>
        </ext>
      </extLst>
    </bk>
    <bk>
      <extLst>
        <ext uri="{3e2802c4-a4d2-4d8b-9148-e3be6c30e623}">
          <xlrd:rvb i="8032"/>
        </ext>
      </extLst>
    </bk>
    <bk>
      <extLst>
        <ext uri="{3e2802c4-a4d2-4d8b-9148-e3be6c30e623}">
          <xlrd:rvb i="8033"/>
        </ext>
      </extLst>
    </bk>
    <bk>
      <extLst>
        <ext uri="{3e2802c4-a4d2-4d8b-9148-e3be6c30e623}">
          <xlrd:rvb i="8034"/>
        </ext>
      </extLst>
    </bk>
    <bk>
      <extLst>
        <ext uri="{3e2802c4-a4d2-4d8b-9148-e3be6c30e623}">
          <xlrd:rvb i="8035"/>
        </ext>
      </extLst>
    </bk>
    <bk>
      <extLst>
        <ext uri="{3e2802c4-a4d2-4d8b-9148-e3be6c30e623}">
          <xlrd:rvb i="8036"/>
        </ext>
      </extLst>
    </bk>
    <bk>
      <extLst>
        <ext uri="{3e2802c4-a4d2-4d8b-9148-e3be6c30e623}">
          <xlrd:rvb i="8037"/>
        </ext>
      </extLst>
    </bk>
    <bk>
      <extLst>
        <ext uri="{3e2802c4-a4d2-4d8b-9148-e3be6c30e623}">
          <xlrd:rvb i="8038"/>
        </ext>
      </extLst>
    </bk>
    <bk>
      <extLst>
        <ext uri="{3e2802c4-a4d2-4d8b-9148-e3be6c30e623}">
          <xlrd:rvb i="8039"/>
        </ext>
      </extLst>
    </bk>
    <bk>
      <extLst>
        <ext uri="{3e2802c4-a4d2-4d8b-9148-e3be6c30e623}">
          <xlrd:rvb i="8040"/>
        </ext>
      </extLst>
    </bk>
    <bk>
      <extLst>
        <ext uri="{3e2802c4-a4d2-4d8b-9148-e3be6c30e623}">
          <xlrd:rvb i="8041"/>
        </ext>
      </extLst>
    </bk>
    <bk>
      <extLst>
        <ext uri="{3e2802c4-a4d2-4d8b-9148-e3be6c30e623}">
          <xlrd:rvb i="8042"/>
        </ext>
      </extLst>
    </bk>
    <bk>
      <extLst>
        <ext uri="{3e2802c4-a4d2-4d8b-9148-e3be6c30e623}">
          <xlrd:rvb i="8043"/>
        </ext>
      </extLst>
    </bk>
    <bk>
      <extLst>
        <ext uri="{3e2802c4-a4d2-4d8b-9148-e3be6c30e623}">
          <xlrd:rvb i="8044"/>
        </ext>
      </extLst>
    </bk>
    <bk>
      <extLst>
        <ext uri="{3e2802c4-a4d2-4d8b-9148-e3be6c30e623}">
          <xlrd:rvb i="8045"/>
        </ext>
      </extLst>
    </bk>
    <bk>
      <extLst>
        <ext uri="{3e2802c4-a4d2-4d8b-9148-e3be6c30e623}">
          <xlrd:rvb i="8046"/>
        </ext>
      </extLst>
    </bk>
    <bk>
      <extLst>
        <ext uri="{3e2802c4-a4d2-4d8b-9148-e3be6c30e623}">
          <xlrd:rvb i="8047"/>
        </ext>
      </extLst>
    </bk>
    <bk>
      <extLst>
        <ext uri="{3e2802c4-a4d2-4d8b-9148-e3be6c30e623}">
          <xlrd:rvb i="8048"/>
        </ext>
      </extLst>
    </bk>
    <bk>
      <extLst>
        <ext uri="{3e2802c4-a4d2-4d8b-9148-e3be6c30e623}">
          <xlrd:rvb i="8049"/>
        </ext>
      </extLst>
    </bk>
    <bk>
      <extLst>
        <ext uri="{3e2802c4-a4d2-4d8b-9148-e3be6c30e623}">
          <xlrd:rvb i="8050"/>
        </ext>
      </extLst>
    </bk>
    <bk>
      <extLst>
        <ext uri="{3e2802c4-a4d2-4d8b-9148-e3be6c30e623}">
          <xlrd:rvb i="8051"/>
        </ext>
      </extLst>
    </bk>
    <bk>
      <extLst>
        <ext uri="{3e2802c4-a4d2-4d8b-9148-e3be6c30e623}">
          <xlrd:rvb i="8052"/>
        </ext>
      </extLst>
    </bk>
    <bk>
      <extLst>
        <ext uri="{3e2802c4-a4d2-4d8b-9148-e3be6c30e623}">
          <xlrd:rvb i="8053"/>
        </ext>
      </extLst>
    </bk>
    <bk>
      <extLst>
        <ext uri="{3e2802c4-a4d2-4d8b-9148-e3be6c30e623}">
          <xlrd:rvb i="8054"/>
        </ext>
      </extLst>
    </bk>
    <bk>
      <extLst>
        <ext uri="{3e2802c4-a4d2-4d8b-9148-e3be6c30e623}">
          <xlrd:rvb i="8055"/>
        </ext>
      </extLst>
    </bk>
    <bk>
      <extLst>
        <ext uri="{3e2802c4-a4d2-4d8b-9148-e3be6c30e623}">
          <xlrd:rvb i="8056"/>
        </ext>
      </extLst>
    </bk>
    <bk>
      <extLst>
        <ext uri="{3e2802c4-a4d2-4d8b-9148-e3be6c30e623}">
          <xlrd:rvb i="8057"/>
        </ext>
      </extLst>
    </bk>
    <bk>
      <extLst>
        <ext uri="{3e2802c4-a4d2-4d8b-9148-e3be6c30e623}">
          <xlrd:rvb i="8058"/>
        </ext>
      </extLst>
    </bk>
    <bk>
      <extLst>
        <ext uri="{3e2802c4-a4d2-4d8b-9148-e3be6c30e623}">
          <xlrd:rvb i="8059"/>
        </ext>
      </extLst>
    </bk>
    <bk>
      <extLst>
        <ext uri="{3e2802c4-a4d2-4d8b-9148-e3be6c30e623}">
          <xlrd:rvb i="8060"/>
        </ext>
      </extLst>
    </bk>
    <bk>
      <extLst>
        <ext uri="{3e2802c4-a4d2-4d8b-9148-e3be6c30e623}">
          <xlrd:rvb i="8061"/>
        </ext>
      </extLst>
    </bk>
    <bk>
      <extLst>
        <ext uri="{3e2802c4-a4d2-4d8b-9148-e3be6c30e623}">
          <xlrd:rvb i="8062"/>
        </ext>
      </extLst>
    </bk>
    <bk>
      <extLst>
        <ext uri="{3e2802c4-a4d2-4d8b-9148-e3be6c30e623}">
          <xlrd:rvb i="8063"/>
        </ext>
      </extLst>
    </bk>
    <bk>
      <extLst>
        <ext uri="{3e2802c4-a4d2-4d8b-9148-e3be6c30e623}">
          <xlrd:rvb i="8064"/>
        </ext>
      </extLst>
    </bk>
    <bk>
      <extLst>
        <ext uri="{3e2802c4-a4d2-4d8b-9148-e3be6c30e623}">
          <xlrd:rvb i="8065"/>
        </ext>
      </extLst>
    </bk>
    <bk>
      <extLst>
        <ext uri="{3e2802c4-a4d2-4d8b-9148-e3be6c30e623}">
          <xlrd:rvb i="8066"/>
        </ext>
      </extLst>
    </bk>
    <bk>
      <extLst>
        <ext uri="{3e2802c4-a4d2-4d8b-9148-e3be6c30e623}">
          <xlrd:rvb i="8067"/>
        </ext>
      </extLst>
    </bk>
    <bk>
      <extLst>
        <ext uri="{3e2802c4-a4d2-4d8b-9148-e3be6c30e623}">
          <xlrd:rvb i="8068"/>
        </ext>
      </extLst>
    </bk>
    <bk>
      <extLst>
        <ext uri="{3e2802c4-a4d2-4d8b-9148-e3be6c30e623}">
          <xlrd:rvb i="8069"/>
        </ext>
      </extLst>
    </bk>
    <bk>
      <extLst>
        <ext uri="{3e2802c4-a4d2-4d8b-9148-e3be6c30e623}">
          <xlrd:rvb i="8070"/>
        </ext>
      </extLst>
    </bk>
    <bk>
      <extLst>
        <ext uri="{3e2802c4-a4d2-4d8b-9148-e3be6c30e623}">
          <xlrd:rvb i="8071"/>
        </ext>
      </extLst>
    </bk>
    <bk>
      <extLst>
        <ext uri="{3e2802c4-a4d2-4d8b-9148-e3be6c30e623}">
          <xlrd:rvb i="8072"/>
        </ext>
      </extLst>
    </bk>
    <bk>
      <extLst>
        <ext uri="{3e2802c4-a4d2-4d8b-9148-e3be6c30e623}">
          <xlrd:rvb i="8073"/>
        </ext>
      </extLst>
    </bk>
    <bk>
      <extLst>
        <ext uri="{3e2802c4-a4d2-4d8b-9148-e3be6c30e623}">
          <xlrd:rvb i="8074"/>
        </ext>
      </extLst>
    </bk>
    <bk>
      <extLst>
        <ext uri="{3e2802c4-a4d2-4d8b-9148-e3be6c30e623}">
          <xlrd:rvb i="8075"/>
        </ext>
      </extLst>
    </bk>
    <bk>
      <extLst>
        <ext uri="{3e2802c4-a4d2-4d8b-9148-e3be6c30e623}">
          <xlrd:rvb i="8076"/>
        </ext>
      </extLst>
    </bk>
    <bk>
      <extLst>
        <ext uri="{3e2802c4-a4d2-4d8b-9148-e3be6c30e623}">
          <xlrd:rvb i="8077"/>
        </ext>
      </extLst>
    </bk>
    <bk>
      <extLst>
        <ext uri="{3e2802c4-a4d2-4d8b-9148-e3be6c30e623}">
          <xlrd:rvb i="8078"/>
        </ext>
      </extLst>
    </bk>
    <bk>
      <extLst>
        <ext uri="{3e2802c4-a4d2-4d8b-9148-e3be6c30e623}">
          <xlrd:rvb i="8079"/>
        </ext>
      </extLst>
    </bk>
    <bk>
      <extLst>
        <ext uri="{3e2802c4-a4d2-4d8b-9148-e3be6c30e623}">
          <xlrd:rvb i="8080"/>
        </ext>
      </extLst>
    </bk>
    <bk>
      <extLst>
        <ext uri="{3e2802c4-a4d2-4d8b-9148-e3be6c30e623}">
          <xlrd:rvb i="8081"/>
        </ext>
      </extLst>
    </bk>
    <bk>
      <extLst>
        <ext uri="{3e2802c4-a4d2-4d8b-9148-e3be6c30e623}">
          <xlrd:rvb i="8082"/>
        </ext>
      </extLst>
    </bk>
    <bk>
      <extLst>
        <ext uri="{3e2802c4-a4d2-4d8b-9148-e3be6c30e623}">
          <xlrd:rvb i="8083"/>
        </ext>
      </extLst>
    </bk>
    <bk>
      <extLst>
        <ext uri="{3e2802c4-a4d2-4d8b-9148-e3be6c30e623}">
          <xlrd:rvb i="8084"/>
        </ext>
      </extLst>
    </bk>
    <bk>
      <extLst>
        <ext uri="{3e2802c4-a4d2-4d8b-9148-e3be6c30e623}">
          <xlrd:rvb i="8085"/>
        </ext>
      </extLst>
    </bk>
    <bk>
      <extLst>
        <ext uri="{3e2802c4-a4d2-4d8b-9148-e3be6c30e623}">
          <xlrd:rvb i="8086"/>
        </ext>
      </extLst>
    </bk>
    <bk>
      <extLst>
        <ext uri="{3e2802c4-a4d2-4d8b-9148-e3be6c30e623}">
          <xlrd:rvb i="8087"/>
        </ext>
      </extLst>
    </bk>
    <bk>
      <extLst>
        <ext uri="{3e2802c4-a4d2-4d8b-9148-e3be6c30e623}">
          <xlrd:rvb i="8088"/>
        </ext>
      </extLst>
    </bk>
    <bk>
      <extLst>
        <ext uri="{3e2802c4-a4d2-4d8b-9148-e3be6c30e623}">
          <xlrd:rvb i="8089"/>
        </ext>
      </extLst>
    </bk>
    <bk>
      <extLst>
        <ext uri="{3e2802c4-a4d2-4d8b-9148-e3be6c30e623}">
          <xlrd:rvb i="8090"/>
        </ext>
      </extLst>
    </bk>
    <bk>
      <extLst>
        <ext uri="{3e2802c4-a4d2-4d8b-9148-e3be6c30e623}">
          <xlrd:rvb i="8091"/>
        </ext>
      </extLst>
    </bk>
    <bk>
      <extLst>
        <ext uri="{3e2802c4-a4d2-4d8b-9148-e3be6c30e623}">
          <xlrd:rvb i="8092"/>
        </ext>
      </extLst>
    </bk>
    <bk>
      <extLst>
        <ext uri="{3e2802c4-a4d2-4d8b-9148-e3be6c30e623}">
          <xlrd:rvb i="8093"/>
        </ext>
      </extLst>
    </bk>
    <bk>
      <extLst>
        <ext uri="{3e2802c4-a4d2-4d8b-9148-e3be6c30e623}">
          <xlrd:rvb i="8094"/>
        </ext>
      </extLst>
    </bk>
    <bk>
      <extLst>
        <ext uri="{3e2802c4-a4d2-4d8b-9148-e3be6c30e623}">
          <xlrd:rvb i="8095"/>
        </ext>
      </extLst>
    </bk>
    <bk>
      <extLst>
        <ext uri="{3e2802c4-a4d2-4d8b-9148-e3be6c30e623}">
          <xlrd:rvb i="8096"/>
        </ext>
      </extLst>
    </bk>
    <bk>
      <extLst>
        <ext uri="{3e2802c4-a4d2-4d8b-9148-e3be6c30e623}">
          <xlrd:rvb i="8097"/>
        </ext>
      </extLst>
    </bk>
    <bk>
      <extLst>
        <ext uri="{3e2802c4-a4d2-4d8b-9148-e3be6c30e623}">
          <xlrd:rvb i="8098"/>
        </ext>
      </extLst>
    </bk>
    <bk>
      <extLst>
        <ext uri="{3e2802c4-a4d2-4d8b-9148-e3be6c30e623}">
          <xlrd:rvb i="8099"/>
        </ext>
      </extLst>
    </bk>
    <bk>
      <extLst>
        <ext uri="{3e2802c4-a4d2-4d8b-9148-e3be6c30e623}">
          <xlrd:rvb i="8100"/>
        </ext>
      </extLst>
    </bk>
    <bk>
      <extLst>
        <ext uri="{3e2802c4-a4d2-4d8b-9148-e3be6c30e623}">
          <xlrd:rvb i="8101"/>
        </ext>
      </extLst>
    </bk>
    <bk>
      <extLst>
        <ext uri="{3e2802c4-a4d2-4d8b-9148-e3be6c30e623}">
          <xlrd:rvb i="8102"/>
        </ext>
      </extLst>
    </bk>
    <bk>
      <extLst>
        <ext uri="{3e2802c4-a4d2-4d8b-9148-e3be6c30e623}">
          <xlrd:rvb i="8103"/>
        </ext>
      </extLst>
    </bk>
    <bk>
      <extLst>
        <ext uri="{3e2802c4-a4d2-4d8b-9148-e3be6c30e623}">
          <xlrd:rvb i="8104"/>
        </ext>
      </extLst>
    </bk>
    <bk>
      <extLst>
        <ext uri="{3e2802c4-a4d2-4d8b-9148-e3be6c30e623}">
          <xlrd:rvb i="8105"/>
        </ext>
      </extLst>
    </bk>
    <bk>
      <extLst>
        <ext uri="{3e2802c4-a4d2-4d8b-9148-e3be6c30e623}">
          <xlrd:rvb i="8106"/>
        </ext>
      </extLst>
    </bk>
    <bk>
      <extLst>
        <ext uri="{3e2802c4-a4d2-4d8b-9148-e3be6c30e623}">
          <xlrd:rvb i="8107"/>
        </ext>
      </extLst>
    </bk>
    <bk>
      <extLst>
        <ext uri="{3e2802c4-a4d2-4d8b-9148-e3be6c30e623}">
          <xlrd:rvb i="8108"/>
        </ext>
      </extLst>
    </bk>
    <bk>
      <extLst>
        <ext uri="{3e2802c4-a4d2-4d8b-9148-e3be6c30e623}">
          <xlrd:rvb i="8109"/>
        </ext>
      </extLst>
    </bk>
    <bk>
      <extLst>
        <ext uri="{3e2802c4-a4d2-4d8b-9148-e3be6c30e623}">
          <xlrd:rvb i="8110"/>
        </ext>
      </extLst>
    </bk>
    <bk>
      <extLst>
        <ext uri="{3e2802c4-a4d2-4d8b-9148-e3be6c30e623}">
          <xlrd:rvb i="8111"/>
        </ext>
      </extLst>
    </bk>
    <bk>
      <extLst>
        <ext uri="{3e2802c4-a4d2-4d8b-9148-e3be6c30e623}">
          <xlrd:rvb i="8112"/>
        </ext>
      </extLst>
    </bk>
    <bk>
      <extLst>
        <ext uri="{3e2802c4-a4d2-4d8b-9148-e3be6c30e623}">
          <xlrd:rvb i="8113"/>
        </ext>
      </extLst>
    </bk>
    <bk>
      <extLst>
        <ext uri="{3e2802c4-a4d2-4d8b-9148-e3be6c30e623}">
          <xlrd:rvb i="8114"/>
        </ext>
      </extLst>
    </bk>
    <bk>
      <extLst>
        <ext uri="{3e2802c4-a4d2-4d8b-9148-e3be6c30e623}">
          <xlrd:rvb i="8115"/>
        </ext>
      </extLst>
    </bk>
    <bk>
      <extLst>
        <ext uri="{3e2802c4-a4d2-4d8b-9148-e3be6c30e623}">
          <xlrd:rvb i="8116"/>
        </ext>
      </extLst>
    </bk>
    <bk>
      <extLst>
        <ext uri="{3e2802c4-a4d2-4d8b-9148-e3be6c30e623}">
          <xlrd:rvb i="8117"/>
        </ext>
      </extLst>
    </bk>
    <bk>
      <extLst>
        <ext uri="{3e2802c4-a4d2-4d8b-9148-e3be6c30e623}">
          <xlrd:rvb i="8118"/>
        </ext>
      </extLst>
    </bk>
    <bk>
      <extLst>
        <ext uri="{3e2802c4-a4d2-4d8b-9148-e3be6c30e623}">
          <xlrd:rvb i="8119"/>
        </ext>
      </extLst>
    </bk>
    <bk>
      <extLst>
        <ext uri="{3e2802c4-a4d2-4d8b-9148-e3be6c30e623}">
          <xlrd:rvb i="8120"/>
        </ext>
      </extLst>
    </bk>
    <bk>
      <extLst>
        <ext uri="{3e2802c4-a4d2-4d8b-9148-e3be6c30e623}">
          <xlrd:rvb i="8121"/>
        </ext>
      </extLst>
    </bk>
    <bk>
      <extLst>
        <ext uri="{3e2802c4-a4d2-4d8b-9148-e3be6c30e623}">
          <xlrd:rvb i="8122"/>
        </ext>
      </extLst>
    </bk>
    <bk>
      <extLst>
        <ext uri="{3e2802c4-a4d2-4d8b-9148-e3be6c30e623}">
          <xlrd:rvb i="8123"/>
        </ext>
      </extLst>
    </bk>
    <bk>
      <extLst>
        <ext uri="{3e2802c4-a4d2-4d8b-9148-e3be6c30e623}">
          <xlrd:rvb i="8124"/>
        </ext>
      </extLst>
    </bk>
    <bk>
      <extLst>
        <ext uri="{3e2802c4-a4d2-4d8b-9148-e3be6c30e623}">
          <xlrd:rvb i="8125"/>
        </ext>
      </extLst>
    </bk>
    <bk>
      <extLst>
        <ext uri="{3e2802c4-a4d2-4d8b-9148-e3be6c30e623}">
          <xlrd:rvb i="8126"/>
        </ext>
      </extLst>
    </bk>
    <bk>
      <extLst>
        <ext uri="{3e2802c4-a4d2-4d8b-9148-e3be6c30e623}">
          <xlrd:rvb i="8127"/>
        </ext>
      </extLst>
    </bk>
    <bk>
      <extLst>
        <ext uri="{3e2802c4-a4d2-4d8b-9148-e3be6c30e623}">
          <xlrd:rvb i="8128"/>
        </ext>
      </extLst>
    </bk>
    <bk>
      <extLst>
        <ext uri="{3e2802c4-a4d2-4d8b-9148-e3be6c30e623}">
          <xlrd:rvb i="8129"/>
        </ext>
      </extLst>
    </bk>
    <bk>
      <extLst>
        <ext uri="{3e2802c4-a4d2-4d8b-9148-e3be6c30e623}">
          <xlrd:rvb i="8130"/>
        </ext>
      </extLst>
    </bk>
    <bk>
      <extLst>
        <ext uri="{3e2802c4-a4d2-4d8b-9148-e3be6c30e623}">
          <xlrd:rvb i="8131"/>
        </ext>
      </extLst>
    </bk>
    <bk>
      <extLst>
        <ext uri="{3e2802c4-a4d2-4d8b-9148-e3be6c30e623}">
          <xlrd:rvb i="8132"/>
        </ext>
      </extLst>
    </bk>
    <bk>
      <extLst>
        <ext uri="{3e2802c4-a4d2-4d8b-9148-e3be6c30e623}">
          <xlrd:rvb i="8133"/>
        </ext>
      </extLst>
    </bk>
    <bk>
      <extLst>
        <ext uri="{3e2802c4-a4d2-4d8b-9148-e3be6c30e623}">
          <xlrd:rvb i="8134"/>
        </ext>
      </extLst>
    </bk>
    <bk>
      <extLst>
        <ext uri="{3e2802c4-a4d2-4d8b-9148-e3be6c30e623}">
          <xlrd:rvb i="8135"/>
        </ext>
      </extLst>
    </bk>
    <bk>
      <extLst>
        <ext uri="{3e2802c4-a4d2-4d8b-9148-e3be6c30e623}">
          <xlrd:rvb i="8136"/>
        </ext>
      </extLst>
    </bk>
    <bk>
      <extLst>
        <ext uri="{3e2802c4-a4d2-4d8b-9148-e3be6c30e623}">
          <xlrd:rvb i="8137"/>
        </ext>
      </extLst>
    </bk>
    <bk>
      <extLst>
        <ext uri="{3e2802c4-a4d2-4d8b-9148-e3be6c30e623}">
          <xlrd:rvb i="8138"/>
        </ext>
      </extLst>
    </bk>
    <bk>
      <extLst>
        <ext uri="{3e2802c4-a4d2-4d8b-9148-e3be6c30e623}">
          <xlrd:rvb i="8139"/>
        </ext>
      </extLst>
    </bk>
    <bk>
      <extLst>
        <ext uri="{3e2802c4-a4d2-4d8b-9148-e3be6c30e623}">
          <xlrd:rvb i="8140"/>
        </ext>
      </extLst>
    </bk>
    <bk>
      <extLst>
        <ext uri="{3e2802c4-a4d2-4d8b-9148-e3be6c30e623}">
          <xlrd:rvb i="8141"/>
        </ext>
      </extLst>
    </bk>
    <bk>
      <extLst>
        <ext uri="{3e2802c4-a4d2-4d8b-9148-e3be6c30e623}">
          <xlrd:rvb i="8142"/>
        </ext>
      </extLst>
    </bk>
    <bk>
      <extLst>
        <ext uri="{3e2802c4-a4d2-4d8b-9148-e3be6c30e623}">
          <xlrd:rvb i="8143"/>
        </ext>
      </extLst>
    </bk>
    <bk>
      <extLst>
        <ext uri="{3e2802c4-a4d2-4d8b-9148-e3be6c30e623}">
          <xlrd:rvb i="8144"/>
        </ext>
      </extLst>
    </bk>
    <bk>
      <extLst>
        <ext uri="{3e2802c4-a4d2-4d8b-9148-e3be6c30e623}">
          <xlrd:rvb i="8145"/>
        </ext>
      </extLst>
    </bk>
    <bk>
      <extLst>
        <ext uri="{3e2802c4-a4d2-4d8b-9148-e3be6c30e623}">
          <xlrd:rvb i="8146"/>
        </ext>
      </extLst>
    </bk>
    <bk>
      <extLst>
        <ext uri="{3e2802c4-a4d2-4d8b-9148-e3be6c30e623}">
          <xlrd:rvb i="8147"/>
        </ext>
      </extLst>
    </bk>
    <bk>
      <extLst>
        <ext uri="{3e2802c4-a4d2-4d8b-9148-e3be6c30e623}">
          <xlrd:rvb i="8148"/>
        </ext>
      </extLst>
    </bk>
    <bk>
      <extLst>
        <ext uri="{3e2802c4-a4d2-4d8b-9148-e3be6c30e623}">
          <xlrd:rvb i="8149"/>
        </ext>
      </extLst>
    </bk>
    <bk>
      <extLst>
        <ext uri="{3e2802c4-a4d2-4d8b-9148-e3be6c30e623}">
          <xlrd:rvb i="8150"/>
        </ext>
      </extLst>
    </bk>
    <bk>
      <extLst>
        <ext uri="{3e2802c4-a4d2-4d8b-9148-e3be6c30e623}">
          <xlrd:rvb i="8151"/>
        </ext>
      </extLst>
    </bk>
    <bk>
      <extLst>
        <ext uri="{3e2802c4-a4d2-4d8b-9148-e3be6c30e623}">
          <xlrd:rvb i="8152"/>
        </ext>
      </extLst>
    </bk>
    <bk>
      <extLst>
        <ext uri="{3e2802c4-a4d2-4d8b-9148-e3be6c30e623}">
          <xlrd:rvb i="8153"/>
        </ext>
      </extLst>
    </bk>
    <bk>
      <extLst>
        <ext uri="{3e2802c4-a4d2-4d8b-9148-e3be6c30e623}">
          <xlrd:rvb i="8154"/>
        </ext>
      </extLst>
    </bk>
    <bk>
      <extLst>
        <ext uri="{3e2802c4-a4d2-4d8b-9148-e3be6c30e623}">
          <xlrd:rvb i="8155"/>
        </ext>
      </extLst>
    </bk>
    <bk>
      <extLst>
        <ext uri="{3e2802c4-a4d2-4d8b-9148-e3be6c30e623}">
          <xlrd:rvb i="8156"/>
        </ext>
      </extLst>
    </bk>
    <bk>
      <extLst>
        <ext uri="{3e2802c4-a4d2-4d8b-9148-e3be6c30e623}">
          <xlrd:rvb i="8157"/>
        </ext>
      </extLst>
    </bk>
    <bk>
      <extLst>
        <ext uri="{3e2802c4-a4d2-4d8b-9148-e3be6c30e623}">
          <xlrd:rvb i="8158"/>
        </ext>
      </extLst>
    </bk>
    <bk>
      <extLst>
        <ext uri="{3e2802c4-a4d2-4d8b-9148-e3be6c30e623}">
          <xlrd:rvb i="8159"/>
        </ext>
      </extLst>
    </bk>
    <bk>
      <extLst>
        <ext uri="{3e2802c4-a4d2-4d8b-9148-e3be6c30e623}">
          <xlrd:rvb i="8160"/>
        </ext>
      </extLst>
    </bk>
    <bk>
      <extLst>
        <ext uri="{3e2802c4-a4d2-4d8b-9148-e3be6c30e623}">
          <xlrd:rvb i="8161"/>
        </ext>
      </extLst>
    </bk>
    <bk>
      <extLst>
        <ext uri="{3e2802c4-a4d2-4d8b-9148-e3be6c30e623}">
          <xlrd:rvb i="8162"/>
        </ext>
      </extLst>
    </bk>
    <bk>
      <extLst>
        <ext uri="{3e2802c4-a4d2-4d8b-9148-e3be6c30e623}">
          <xlrd:rvb i="8163"/>
        </ext>
      </extLst>
    </bk>
    <bk>
      <extLst>
        <ext uri="{3e2802c4-a4d2-4d8b-9148-e3be6c30e623}">
          <xlrd:rvb i="8164"/>
        </ext>
      </extLst>
    </bk>
    <bk>
      <extLst>
        <ext uri="{3e2802c4-a4d2-4d8b-9148-e3be6c30e623}">
          <xlrd:rvb i="8165"/>
        </ext>
      </extLst>
    </bk>
    <bk>
      <extLst>
        <ext uri="{3e2802c4-a4d2-4d8b-9148-e3be6c30e623}">
          <xlrd:rvb i="8166"/>
        </ext>
      </extLst>
    </bk>
    <bk>
      <extLst>
        <ext uri="{3e2802c4-a4d2-4d8b-9148-e3be6c30e623}">
          <xlrd:rvb i="8167"/>
        </ext>
      </extLst>
    </bk>
    <bk>
      <extLst>
        <ext uri="{3e2802c4-a4d2-4d8b-9148-e3be6c30e623}">
          <xlrd:rvb i="8168"/>
        </ext>
      </extLst>
    </bk>
    <bk>
      <extLst>
        <ext uri="{3e2802c4-a4d2-4d8b-9148-e3be6c30e623}">
          <xlrd:rvb i="8169"/>
        </ext>
      </extLst>
    </bk>
    <bk>
      <extLst>
        <ext uri="{3e2802c4-a4d2-4d8b-9148-e3be6c30e623}">
          <xlrd:rvb i="8170"/>
        </ext>
      </extLst>
    </bk>
    <bk>
      <extLst>
        <ext uri="{3e2802c4-a4d2-4d8b-9148-e3be6c30e623}">
          <xlrd:rvb i="8171"/>
        </ext>
      </extLst>
    </bk>
    <bk>
      <extLst>
        <ext uri="{3e2802c4-a4d2-4d8b-9148-e3be6c30e623}">
          <xlrd:rvb i="8172"/>
        </ext>
      </extLst>
    </bk>
    <bk>
      <extLst>
        <ext uri="{3e2802c4-a4d2-4d8b-9148-e3be6c30e623}">
          <xlrd:rvb i="8173"/>
        </ext>
      </extLst>
    </bk>
    <bk>
      <extLst>
        <ext uri="{3e2802c4-a4d2-4d8b-9148-e3be6c30e623}">
          <xlrd:rvb i="8174"/>
        </ext>
      </extLst>
    </bk>
    <bk>
      <extLst>
        <ext uri="{3e2802c4-a4d2-4d8b-9148-e3be6c30e623}">
          <xlrd:rvb i="8175"/>
        </ext>
      </extLst>
    </bk>
    <bk>
      <extLst>
        <ext uri="{3e2802c4-a4d2-4d8b-9148-e3be6c30e623}">
          <xlrd:rvb i="8176"/>
        </ext>
      </extLst>
    </bk>
    <bk>
      <extLst>
        <ext uri="{3e2802c4-a4d2-4d8b-9148-e3be6c30e623}">
          <xlrd:rvb i="8177"/>
        </ext>
      </extLst>
    </bk>
    <bk>
      <extLst>
        <ext uri="{3e2802c4-a4d2-4d8b-9148-e3be6c30e623}">
          <xlrd:rvb i="8178"/>
        </ext>
      </extLst>
    </bk>
    <bk>
      <extLst>
        <ext uri="{3e2802c4-a4d2-4d8b-9148-e3be6c30e623}">
          <xlrd:rvb i="8179"/>
        </ext>
      </extLst>
    </bk>
    <bk>
      <extLst>
        <ext uri="{3e2802c4-a4d2-4d8b-9148-e3be6c30e623}">
          <xlrd:rvb i="8180"/>
        </ext>
      </extLst>
    </bk>
    <bk>
      <extLst>
        <ext uri="{3e2802c4-a4d2-4d8b-9148-e3be6c30e623}">
          <xlrd:rvb i="8181"/>
        </ext>
      </extLst>
    </bk>
    <bk>
      <extLst>
        <ext uri="{3e2802c4-a4d2-4d8b-9148-e3be6c30e623}">
          <xlrd:rvb i="8182"/>
        </ext>
      </extLst>
    </bk>
    <bk>
      <extLst>
        <ext uri="{3e2802c4-a4d2-4d8b-9148-e3be6c30e623}">
          <xlrd:rvb i="8183"/>
        </ext>
      </extLst>
    </bk>
    <bk>
      <extLst>
        <ext uri="{3e2802c4-a4d2-4d8b-9148-e3be6c30e623}">
          <xlrd:rvb i="8184"/>
        </ext>
      </extLst>
    </bk>
    <bk>
      <extLst>
        <ext uri="{3e2802c4-a4d2-4d8b-9148-e3be6c30e623}">
          <xlrd:rvb i="8185"/>
        </ext>
      </extLst>
    </bk>
    <bk>
      <extLst>
        <ext uri="{3e2802c4-a4d2-4d8b-9148-e3be6c30e623}">
          <xlrd:rvb i="8186"/>
        </ext>
      </extLst>
    </bk>
    <bk>
      <extLst>
        <ext uri="{3e2802c4-a4d2-4d8b-9148-e3be6c30e623}">
          <xlrd:rvb i="8187"/>
        </ext>
      </extLst>
    </bk>
    <bk>
      <extLst>
        <ext uri="{3e2802c4-a4d2-4d8b-9148-e3be6c30e623}">
          <xlrd:rvb i="8188"/>
        </ext>
      </extLst>
    </bk>
    <bk>
      <extLst>
        <ext uri="{3e2802c4-a4d2-4d8b-9148-e3be6c30e623}">
          <xlrd:rvb i="8189"/>
        </ext>
      </extLst>
    </bk>
    <bk>
      <extLst>
        <ext uri="{3e2802c4-a4d2-4d8b-9148-e3be6c30e623}">
          <xlrd:rvb i="8190"/>
        </ext>
      </extLst>
    </bk>
    <bk>
      <extLst>
        <ext uri="{3e2802c4-a4d2-4d8b-9148-e3be6c30e623}">
          <xlrd:rvb i="8191"/>
        </ext>
      </extLst>
    </bk>
    <bk>
      <extLst>
        <ext uri="{3e2802c4-a4d2-4d8b-9148-e3be6c30e623}">
          <xlrd:rvb i="8192"/>
        </ext>
      </extLst>
    </bk>
    <bk>
      <extLst>
        <ext uri="{3e2802c4-a4d2-4d8b-9148-e3be6c30e623}">
          <xlrd:rvb i="8193"/>
        </ext>
      </extLst>
    </bk>
    <bk>
      <extLst>
        <ext uri="{3e2802c4-a4d2-4d8b-9148-e3be6c30e623}">
          <xlrd:rvb i="8194"/>
        </ext>
      </extLst>
    </bk>
    <bk>
      <extLst>
        <ext uri="{3e2802c4-a4d2-4d8b-9148-e3be6c30e623}">
          <xlrd:rvb i="8195"/>
        </ext>
      </extLst>
    </bk>
    <bk>
      <extLst>
        <ext uri="{3e2802c4-a4d2-4d8b-9148-e3be6c30e623}">
          <xlrd:rvb i="8196"/>
        </ext>
      </extLst>
    </bk>
    <bk>
      <extLst>
        <ext uri="{3e2802c4-a4d2-4d8b-9148-e3be6c30e623}">
          <xlrd:rvb i="8197"/>
        </ext>
      </extLst>
    </bk>
    <bk>
      <extLst>
        <ext uri="{3e2802c4-a4d2-4d8b-9148-e3be6c30e623}">
          <xlrd:rvb i="8198"/>
        </ext>
      </extLst>
    </bk>
    <bk>
      <extLst>
        <ext uri="{3e2802c4-a4d2-4d8b-9148-e3be6c30e623}">
          <xlrd:rvb i="8199"/>
        </ext>
      </extLst>
    </bk>
    <bk>
      <extLst>
        <ext uri="{3e2802c4-a4d2-4d8b-9148-e3be6c30e623}">
          <xlrd:rvb i="8200"/>
        </ext>
      </extLst>
    </bk>
    <bk>
      <extLst>
        <ext uri="{3e2802c4-a4d2-4d8b-9148-e3be6c30e623}">
          <xlrd:rvb i="8201"/>
        </ext>
      </extLst>
    </bk>
    <bk>
      <extLst>
        <ext uri="{3e2802c4-a4d2-4d8b-9148-e3be6c30e623}">
          <xlrd:rvb i="8202"/>
        </ext>
      </extLst>
    </bk>
    <bk>
      <extLst>
        <ext uri="{3e2802c4-a4d2-4d8b-9148-e3be6c30e623}">
          <xlrd:rvb i="8203"/>
        </ext>
      </extLst>
    </bk>
    <bk>
      <extLst>
        <ext uri="{3e2802c4-a4d2-4d8b-9148-e3be6c30e623}">
          <xlrd:rvb i="8204"/>
        </ext>
      </extLst>
    </bk>
    <bk>
      <extLst>
        <ext uri="{3e2802c4-a4d2-4d8b-9148-e3be6c30e623}">
          <xlrd:rvb i="8205"/>
        </ext>
      </extLst>
    </bk>
    <bk>
      <extLst>
        <ext uri="{3e2802c4-a4d2-4d8b-9148-e3be6c30e623}">
          <xlrd:rvb i="8206"/>
        </ext>
      </extLst>
    </bk>
    <bk>
      <extLst>
        <ext uri="{3e2802c4-a4d2-4d8b-9148-e3be6c30e623}">
          <xlrd:rvb i="8207"/>
        </ext>
      </extLst>
    </bk>
    <bk>
      <extLst>
        <ext uri="{3e2802c4-a4d2-4d8b-9148-e3be6c30e623}">
          <xlrd:rvb i="8208"/>
        </ext>
      </extLst>
    </bk>
    <bk>
      <extLst>
        <ext uri="{3e2802c4-a4d2-4d8b-9148-e3be6c30e623}">
          <xlrd:rvb i="8209"/>
        </ext>
      </extLst>
    </bk>
    <bk>
      <extLst>
        <ext uri="{3e2802c4-a4d2-4d8b-9148-e3be6c30e623}">
          <xlrd:rvb i="8210"/>
        </ext>
      </extLst>
    </bk>
    <bk>
      <extLst>
        <ext uri="{3e2802c4-a4d2-4d8b-9148-e3be6c30e623}">
          <xlrd:rvb i="8211"/>
        </ext>
      </extLst>
    </bk>
    <bk>
      <extLst>
        <ext uri="{3e2802c4-a4d2-4d8b-9148-e3be6c30e623}">
          <xlrd:rvb i="8212"/>
        </ext>
      </extLst>
    </bk>
    <bk>
      <extLst>
        <ext uri="{3e2802c4-a4d2-4d8b-9148-e3be6c30e623}">
          <xlrd:rvb i="8213"/>
        </ext>
      </extLst>
    </bk>
    <bk>
      <extLst>
        <ext uri="{3e2802c4-a4d2-4d8b-9148-e3be6c30e623}">
          <xlrd:rvb i="8214"/>
        </ext>
      </extLst>
    </bk>
    <bk>
      <extLst>
        <ext uri="{3e2802c4-a4d2-4d8b-9148-e3be6c30e623}">
          <xlrd:rvb i="8215"/>
        </ext>
      </extLst>
    </bk>
    <bk>
      <extLst>
        <ext uri="{3e2802c4-a4d2-4d8b-9148-e3be6c30e623}">
          <xlrd:rvb i="8216"/>
        </ext>
      </extLst>
    </bk>
    <bk>
      <extLst>
        <ext uri="{3e2802c4-a4d2-4d8b-9148-e3be6c30e623}">
          <xlrd:rvb i="8217"/>
        </ext>
      </extLst>
    </bk>
    <bk>
      <extLst>
        <ext uri="{3e2802c4-a4d2-4d8b-9148-e3be6c30e623}">
          <xlrd:rvb i="8218"/>
        </ext>
      </extLst>
    </bk>
    <bk>
      <extLst>
        <ext uri="{3e2802c4-a4d2-4d8b-9148-e3be6c30e623}">
          <xlrd:rvb i="8219"/>
        </ext>
      </extLst>
    </bk>
    <bk>
      <extLst>
        <ext uri="{3e2802c4-a4d2-4d8b-9148-e3be6c30e623}">
          <xlrd:rvb i="8220"/>
        </ext>
      </extLst>
    </bk>
    <bk>
      <extLst>
        <ext uri="{3e2802c4-a4d2-4d8b-9148-e3be6c30e623}">
          <xlrd:rvb i="8221"/>
        </ext>
      </extLst>
    </bk>
    <bk>
      <extLst>
        <ext uri="{3e2802c4-a4d2-4d8b-9148-e3be6c30e623}">
          <xlrd:rvb i="8222"/>
        </ext>
      </extLst>
    </bk>
    <bk>
      <extLst>
        <ext uri="{3e2802c4-a4d2-4d8b-9148-e3be6c30e623}">
          <xlrd:rvb i="8223"/>
        </ext>
      </extLst>
    </bk>
    <bk>
      <extLst>
        <ext uri="{3e2802c4-a4d2-4d8b-9148-e3be6c30e623}">
          <xlrd:rvb i="8224"/>
        </ext>
      </extLst>
    </bk>
    <bk>
      <extLst>
        <ext uri="{3e2802c4-a4d2-4d8b-9148-e3be6c30e623}">
          <xlrd:rvb i="8225"/>
        </ext>
      </extLst>
    </bk>
    <bk>
      <extLst>
        <ext uri="{3e2802c4-a4d2-4d8b-9148-e3be6c30e623}">
          <xlrd:rvb i="8226"/>
        </ext>
      </extLst>
    </bk>
    <bk>
      <extLst>
        <ext uri="{3e2802c4-a4d2-4d8b-9148-e3be6c30e623}">
          <xlrd:rvb i="8227"/>
        </ext>
      </extLst>
    </bk>
    <bk>
      <extLst>
        <ext uri="{3e2802c4-a4d2-4d8b-9148-e3be6c30e623}">
          <xlrd:rvb i="8228"/>
        </ext>
      </extLst>
    </bk>
    <bk>
      <extLst>
        <ext uri="{3e2802c4-a4d2-4d8b-9148-e3be6c30e623}">
          <xlrd:rvb i="8229"/>
        </ext>
      </extLst>
    </bk>
    <bk>
      <extLst>
        <ext uri="{3e2802c4-a4d2-4d8b-9148-e3be6c30e623}">
          <xlrd:rvb i="8230"/>
        </ext>
      </extLst>
    </bk>
    <bk>
      <extLst>
        <ext uri="{3e2802c4-a4d2-4d8b-9148-e3be6c30e623}">
          <xlrd:rvb i="8231"/>
        </ext>
      </extLst>
    </bk>
    <bk>
      <extLst>
        <ext uri="{3e2802c4-a4d2-4d8b-9148-e3be6c30e623}">
          <xlrd:rvb i="8232"/>
        </ext>
      </extLst>
    </bk>
    <bk>
      <extLst>
        <ext uri="{3e2802c4-a4d2-4d8b-9148-e3be6c30e623}">
          <xlrd:rvb i="8233"/>
        </ext>
      </extLst>
    </bk>
    <bk>
      <extLst>
        <ext uri="{3e2802c4-a4d2-4d8b-9148-e3be6c30e623}">
          <xlrd:rvb i="8234"/>
        </ext>
      </extLst>
    </bk>
    <bk>
      <extLst>
        <ext uri="{3e2802c4-a4d2-4d8b-9148-e3be6c30e623}">
          <xlrd:rvb i="8235"/>
        </ext>
      </extLst>
    </bk>
    <bk>
      <extLst>
        <ext uri="{3e2802c4-a4d2-4d8b-9148-e3be6c30e623}">
          <xlrd:rvb i="8236"/>
        </ext>
      </extLst>
    </bk>
    <bk>
      <extLst>
        <ext uri="{3e2802c4-a4d2-4d8b-9148-e3be6c30e623}">
          <xlrd:rvb i="8237"/>
        </ext>
      </extLst>
    </bk>
    <bk>
      <extLst>
        <ext uri="{3e2802c4-a4d2-4d8b-9148-e3be6c30e623}">
          <xlrd:rvb i="8238"/>
        </ext>
      </extLst>
    </bk>
    <bk>
      <extLst>
        <ext uri="{3e2802c4-a4d2-4d8b-9148-e3be6c30e623}">
          <xlrd:rvb i="8239"/>
        </ext>
      </extLst>
    </bk>
    <bk>
      <extLst>
        <ext uri="{3e2802c4-a4d2-4d8b-9148-e3be6c30e623}">
          <xlrd:rvb i="8240"/>
        </ext>
      </extLst>
    </bk>
    <bk>
      <extLst>
        <ext uri="{3e2802c4-a4d2-4d8b-9148-e3be6c30e623}">
          <xlrd:rvb i="8241"/>
        </ext>
      </extLst>
    </bk>
    <bk>
      <extLst>
        <ext uri="{3e2802c4-a4d2-4d8b-9148-e3be6c30e623}">
          <xlrd:rvb i="8242"/>
        </ext>
      </extLst>
    </bk>
    <bk>
      <extLst>
        <ext uri="{3e2802c4-a4d2-4d8b-9148-e3be6c30e623}">
          <xlrd:rvb i="8243"/>
        </ext>
      </extLst>
    </bk>
    <bk>
      <extLst>
        <ext uri="{3e2802c4-a4d2-4d8b-9148-e3be6c30e623}">
          <xlrd:rvb i="8244"/>
        </ext>
      </extLst>
    </bk>
    <bk>
      <extLst>
        <ext uri="{3e2802c4-a4d2-4d8b-9148-e3be6c30e623}">
          <xlrd:rvb i="8245"/>
        </ext>
      </extLst>
    </bk>
    <bk>
      <extLst>
        <ext uri="{3e2802c4-a4d2-4d8b-9148-e3be6c30e623}">
          <xlrd:rvb i="8246"/>
        </ext>
      </extLst>
    </bk>
    <bk>
      <extLst>
        <ext uri="{3e2802c4-a4d2-4d8b-9148-e3be6c30e623}">
          <xlrd:rvb i="8247"/>
        </ext>
      </extLst>
    </bk>
    <bk>
      <extLst>
        <ext uri="{3e2802c4-a4d2-4d8b-9148-e3be6c30e623}">
          <xlrd:rvb i="8248"/>
        </ext>
      </extLst>
    </bk>
    <bk>
      <extLst>
        <ext uri="{3e2802c4-a4d2-4d8b-9148-e3be6c30e623}">
          <xlrd:rvb i="8249"/>
        </ext>
      </extLst>
    </bk>
    <bk>
      <extLst>
        <ext uri="{3e2802c4-a4d2-4d8b-9148-e3be6c30e623}">
          <xlrd:rvb i="8250"/>
        </ext>
      </extLst>
    </bk>
    <bk>
      <extLst>
        <ext uri="{3e2802c4-a4d2-4d8b-9148-e3be6c30e623}">
          <xlrd:rvb i="8251"/>
        </ext>
      </extLst>
    </bk>
    <bk>
      <extLst>
        <ext uri="{3e2802c4-a4d2-4d8b-9148-e3be6c30e623}">
          <xlrd:rvb i="8252"/>
        </ext>
      </extLst>
    </bk>
    <bk>
      <extLst>
        <ext uri="{3e2802c4-a4d2-4d8b-9148-e3be6c30e623}">
          <xlrd:rvb i="8253"/>
        </ext>
      </extLst>
    </bk>
    <bk>
      <extLst>
        <ext uri="{3e2802c4-a4d2-4d8b-9148-e3be6c30e623}">
          <xlrd:rvb i="8254"/>
        </ext>
      </extLst>
    </bk>
    <bk>
      <extLst>
        <ext uri="{3e2802c4-a4d2-4d8b-9148-e3be6c30e623}">
          <xlrd:rvb i="8255"/>
        </ext>
      </extLst>
    </bk>
    <bk>
      <extLst>
        <ext uri="{3e2802c4-a4d2-4d8b-9148-e3be6c30e623}">
          <xlrd:rvb i="8256"/>
        </ext>
      </extLst>
    </bk>
    <bk>
      <extLst>
        <ext uri="{3e2802c4-a4d2-4d8b-9148-e3be6c30e623}">
          <xlrd:rvb i="8257"/>
        </ext>
      </extLst>
    </bk>
    <bk>
      <extLst>
        <ext uri="{3e2802c4-a4d2-4d8b-9148-e3be6c30e623}">
          <xlrd:rvb i="8258"/>
        </ext>
      </extLst>
    </bk>
    <bk>
      <extLst>
        <ext uri="{3e2802c4-a4d2-4d8b-9148-e3be6c30e623}">
          <xlrd:rvb i="8259"/>
        </ext>
      </extLst>
    </bk>
    <bk>
      <extLst>
        <ext uri="{3e2802c4-a4d2-4d8b-9148-e3be6c30e623}">
          <xlrd:rvb i="8260"/>
        </ext>
      </extLst>
    </bk>
    <bk>
      <extLst>
        <ext uri="{3e2802c4-a4d2-4d8b-9148-e3be6c30e623}">
          <xlrd:rvb i="8261"/>
        </ext>
      </extLst>
    </bk>
    <bk>
      <extLst>
        <ext uri="{3e2802c4-a4d2-4d8b-9148-e3be6c30e623}">
          <xlrd:rvb i="8262"/>
        </ext>
      </extLst>
    </bk>
    <bk>
      <extLst>
        <ext uri="{3e2802c4-a4d2-4d8b-9148-e3be6c30e623}">
          <xlrd:rvb i="8263"/>
        </ext>
      </extLst>
    </bk>
    <bk>
      <extLst>
        <ext uri="{3e2802c4-a4d2-4d8b-9148-e3be6c30e623}">
          <xlrd:rvb i="8264"/>
        </ext>
      </extLst>
    </bk>
    <bk>
      <extLst>
        <ext uri="{3e2802c4-a4d2-4d8b-9148-e3be6c30e623}">
          <xlrd:rvb i="8265"/>
        </ext>
      </extLst>
    </bk>
    <bk>
      <extLst>
        <ext uri="{3e2802c4-a4d2-4d8b-9148-e3be6c30e623}">
          <xlrd:rvb i="8266"/>
        </ext>
      </extLst>
    </bk>
    <bk>
      <extLst>
        <ext uri="{3e2802c4-a4d2-4d8b-9148-e3be6c30e623}">
          <xlrd:rvb i="8267"/>
        </ext>
      </extLst>
    </bk>
    <bk>
      <extLst>
        <ext uri="{3e2802c4-a4d2-4d8b-9148-e3be6c30e623}">
          <xlrd:rvb i="8268"/>
        </ext>
      </extLst>
    </bk>
    <bk>
      <extLst>
        <ext uri="{3e2802c4-a4d2-4d8b-9148-e3be6c30e623}">
          <xlrd:rvb i="8269"/>
        </ext>
      </extLst>
    </bk>
    <bk>
      <extLst>
        <ext uri="{3e2802c4-a4d2-4d8b-9148-e3be6c30e623}">
          <xlrd:rvb i="8270"/>
        </ext>
      </extLst>
    </bk>
    <bk>
      <extLst>
        <ext uri="{3e2802c4-a4d2-4d8b-9148-e3be6c30e623}">
          <xlrd:rvb i="8271"/>
        </ext>
      </extLst>
    </bk>
    <bk>
      <extLst>
        <ext uri="{3e2802c4-a4d2-4d8b-9148-e3be6c30e623}">
          <xlrd:rvb i="8272"/>
        </ext>
      </extLst>
    </bk>
    <bk>
      <extLst>
        <ext uri="{3e2802c4-a4d2-4d8b-9148-e3be6c30e623}">
          <xlrd:rvb i="8273"/>
        </ext>
      </extLst>
    </bk>
    <bk>
      <extLst>
        <ext uri="{3e2802c4-a4d2-4d8b-9148-e3be6c30e623}">
          <xlrd:rvb i="8274"/>
        </ext>
      </extLst>
    </bk>
    <bk>
      <extLst>
        <ext uri="{3e2802c4-a4d2-4d8b-9148-e3be6c30e623}">
          <xlrd:rvb i="8275"/>
        </ext>
      </extLst>
    </bk>
    <bk>
      <extLst>
        <ext uri="{3e2802c4-a4d2-4d8b-9148-e3be6c30e623}">
          <xlrd:rvb i="8276"/>
        </ext>
      </extLst>
    </bk>
    <bk>
      <extLst>
        <ext uri="{3e2802c4-a4d2-4d8b-9148-e3be6c30e623}">
          <xlrd:rvb i="8277"/>
        </ext>
      </extLst>
    </bk>
    <bk>
      <extLst>
        <ext uri="{3e2802c4-a4d2-4d8b-9148-e3be6c30e623}">
          <xlrd:rvb i="8278"/>
        </ext>
      </extLst>
    </bk>
    <bk>
      <extLst>
        <ext uri="{3e2802c4-a4d2-4d8b-9148-e3be6c30e623}">
          <xlrd:rvb i="8279"/>
        </ext>
      </extLst>
    </bk>
    <bk>
      <extLst>
        <ext uri="{3e2802c4-a4d2-4d8b-9148-e3be6c30e623}">
          <xlrd:rvb i="8280"/>
        </ext>
      </extLst>
    </bk>
    <bk>
      <extLst>
        <ext uri="{3e2802c4-a4d2-4d8b-9148-e3be6c30e623}">
          <xlrd:rvb i="8281"/>
        </ext>
      </extLst>
    </bk>
    <bk>
      <extLst>
        <ext uri="{3e2802c4-a4d2-4d8b-9148-e3be6c30e623}">
          <xlrd:rvb i="8282"/>
        </ext>
      </extLst>
    </bk>
    <bk>
      <extLst>
        <ext uri="{3e2802c4-a4d2-4d8b-9148-e3be6c30e623}">
          <xlrd:rvb i="8283"/>
        </ext>
      </extLst>
    </bk>
    <bk>
      <extLst>
        <ext uri="{3e2802c4-a4d2-4d8b-9148-e3be6c30e623}">
          <xlrd:rvb i="8284"/>
        </ext>
      </extLst>
    </bk>
    <bk>
      <extLst>
        <ext uri="{3e2802c4-a4d2-4d8b-9148-e3be6c30e623}">
          <xlrd:rvb i="8285"/>
        </ext>
      </extLst>
    </bk>
    <bk>
      <extLst>
        <ext uri="{3e2802c4-a4d2-4d8b-9148-e3be6c30e623}">
          <xlrd:rvb i="8286"/>
        </ext>
      </extLst>
    </bk>
    <bk>
      <extLst>
        <ext uri="{3e2802c4-a4d2-4d8b-9148-e3be6c30e623}">
          <xlrd:rvb i="8287"/>
        </ext>
      </extLst>
    </bk>
    <bk>
      <extLst>
        <ext uri="{3e2802c4-a4d2-4d8b-9148-e3be6c30e623}">
          <xlrd:rvb i="8288"/>
        </ext>
      </extLst>
    </bk>
    <bk>
      <extLst>
        <ext uri="{3e2802c4-a4d2-4d8b-9148-e3be6c30e623}">
          <xlrd:rvb i="8289"/>
        </ext>
      </extLst>
    </bk>
    <bk>
      <extLst>
        <ext uri="{3e2802c4-a4d2-4d8b-9148-e3be6c30e623}">
          <xlrd:rvb i="8290"/>
        </ext>
      </extLst>
    </bk>
    <bk>
      <extLst>
        <ext uri="{3e2802c4-a4d2-4d8b-9148-e3be6c30e623}">
          <xlrd:rvb i="8291"/>
        </ext>
      </extLst>
    </bk>
    <bk>
      <extLst>
        <ext uri="{3e2802c4-a4d2-4d8b-9148-e3be6c30e623}">
          <xlrd:rvb i="8292"/>
        </ext>
      </extLst>
    </bk>
    <bk>
      <extLst>
        <ext uri="{3e2802c4-a4d2-4d8b-9148-e3be6c30e623}">
          <xlrd:rvb i="8293"/>
        </ext>
      </extLst>
    </bk>
    <bk>
      <extLst>
        <ext uri="{3e2802c4-a4d2-4d8b-9148-e3be6c30e623}">
          <xlrd:rvb i="8294"/>
        </ext>
      </extLst>
    </bk>
    <bk>
      <extLst>
        <ext uri="{3e2802c4-a4d2-4d8b-9148-e3be6c30e623}">
          <xlrd:rvb i="8295"/>
        </ext>
      </extLst>
    </bk>
    <bk>
      <extLst>
        <ext uri="{3e2802c4-a4d2-4d8b-9148-e3be6c30e623}">
          <xlrd:rvb i="8296"/>
        </ext>
      </extLst>
    </bk>
    <bk>
      <extLst>
        <ext uri="{3e2802c4-a4d2-4d8b-9148-e3be6c30e623}">
          <xlrd:rvb i="8297"/>
        </ext>
      </extLst>
    </bk>
    <bk>
      <extLst>
        <ext uri="{3e2802c4-a4d2-4d8b-9148-e3be6c30e623}">
          <xlrd:rvb i="8298"/>
        </ext>
      </extLst>
    </bk>
    <bk>
      <extLst>
        <ext uri="{3e2802c4-a4d2-4d8b-9148-e3be6c30e623}">
          <xlrd:rvb i="8299"/>
        </ext>
      </extLst>
    </bk>
    <bk>
      <extLst>
        <ext uri="{3e2802c4-a4d2-4d8b-9148-e3be6c30e623}">
          <xlrd:rvb i="8300"/>
        </ext>
      </extLst>
    </bk>
    <bk>
      <extLst>
        <ext uri="{3e2802c4-a4d2-4d8b-9148-e3be6c30e623}">
          <xlrd:rvb i="8301"/>
        </ext>
      </extLst>
    </bk>
    <bk>
      <extLst>
        <ext uri="{3e2802c4-a4d2-4d8b-9148-e3be6c30e623}">
          <xlrd:rvb i="8302"/>
        </ext>
      </extLst>
    </bk>
    <bk>
      <extLst>
        <ext uri="{3e2802c4-a4d2-4d8b-9148-e3be6c30e623}">
          <xlrd:rvb i="8303"/>
        </ext>
      </extLst>
    </bk>
    <bk>
      <extLst>
        <ext uri="{3e2802c4-a4d2-4d8b-9148-e3be6c30e623}">
          <xlrd:rvb i="8304"/>
        </ext>
      </extLst>
    </bk>
    <bk>
      <extLst>
        <ext uri="{3e2802c4-a4d2-4d8b-9148-e3be6c30e623}">
          <xlrd:rvb i="8305"/>
        </ext>
      </extLst>
    </bk>
    <bk>
      <extLst>
        <ext uri="{3e2802c4-a4d2-4d8b-9148-e3be6c30e623}">
          <xlrd:rvb i="8306"/>
        </ext>
      </extLst>
    </bk>
    <bk>
      <extLst>
        <ext uri="{3e2802c4-a4d2-4d8b-9148-e3be6c30e623}">
          <xlrd:rvb i="8307"/>
        </ext>
      </extLst>
    </bk>
    <bk>
      <extLst>
        <ext uri="{3e2802c4-a4d2-4d8b-9148-e3be6c30e623}">
          <xlrd:rvb i="8308"/>
        </ext>
      </extLst>
    </bk>
    <bk>
      <extLst>
        <ext uri="{3e2802c4-a4d2-4d8b-9148-e3be6c30e623}">
          <xlrd:rvb i="8309"/>
        </ext>
      </extLst>
    </bk>
    <bk>
      <extLst>
        <ext uri="{3e2802c4-a4d2-4d8b-9148-e3be6c30e623}">
          <xlrd:rvb i="8310"/>
        </ext>
      </extLst>
    </bk>
    <bk>
      <extLst>
        <ext uri="{3e2802c4-a4d2-4d8b-9148-e3be6c30e623}">
          <xlrd:rvb i="8311"/>
        </ext>
      </extLst>
    </bk>
    <bk>
      <extLst>
        <ext uri="{3e2802c4-a4d2-4d8b-9148-e3be6c30e623}">
          <xlrd:rvb i="8312"/>
        </ext>
      </extLst>
    </bk>
    <bk>
      <extLst>
        <ext uri="{3e2802c4-a4d2-4d8b-9148-e3be6c30e623}">
          <xlrd:rvb i="8313"/>
        </ext>
      </extLst>
    </bk>
    <bk>
      <extLst>
        <ext uri="{3e2802c4-a4d2-4d8b-9148-e3be6c30e623}">
          <xlrd:rvb i="8314"/>
        </ext>
      </extLst>
    </bk>
    <bk>
      <extLst>
        <ext uri="{3e2802c4-a4d2-4d8b-9148-e3be6c30e623}">
          <xlrd:rvb i="8315"/>
        </ext>
      </extLst>
    </bk>
    <bk>
      <extLst>
        <ext uri="{3e2802c4-a4d2-4d8b-9148-e3be6c30e623}">
          <xlrd:rvb i="8316"/>
        </ext>
      </extLst>
    </bk>
    <bk>
      <extLst>
        <ext uri="{3e2802c4-a4d2-4d8b-9148-e3be6c30e623}">
          <xlrd:rvb i="8317"/>
        </ext>
      </extLst>
    </bk>
    <bk>
      <extLst>
        <ext uri="{3e2802c4-a4d2-4d8b-9148-e3be6c30e623}">
          <xlrd:rvb i="8318"/>
        </ext>
      </extLst>
    </bk>
    <bk>
      <extLst>
        <ext uri="{3e2802c4-a4d2-4d8b-9148-e3be6c30e623}">
          <xlrd:rvb i="8319"/>
        </ext>
      </extLst>
    </bk>
    <bk>
      <extLst>
        <ext uri="{3e2802c4-a4d2-4d8b-9148-e3be6c30e623}">
          <xlrd:rvb i="8320"/>
        </ext>
      </extLst>
    </bk>
    <bk>
      <extLst>
        <ext uri="{3e2802c4-a4d2-4d8b-9148-e3be6c30e623}">
          <xlrd:rvb i="8321"/>
        </ext>
      </extLst>
    </bk>
    <bk>
      <extLst>
        <ext uri="{3e2802c4-a4d2-4d8b-9148-e3be6c30e623}">
          <xlrd:rvb i="8322"/>
        </ext>
      </extLst>
    </bk>
    <bk>
      <extLst>
        <ext uri="{3e2802c4-a4d2-4d8b-9148-e3be6c30e623}">
          <xlrd:rvb i="8323"/>
        </ext>
      </extLst>
    </bk>
    <bk>
      <extLst>
        <ext uri="{3e2802c4-a4d2-4d8b-9148-e3be6c30e623}">
          <xlrd:rvb i="8324"/>
        </ext>
      </extLst>
    </bk>
    <bk>
      <extLst>
        <ext uri="{3e2802c4-a4d2-4d8b-9148-e3be6c30e623}">
          <xlrd:rvb i="8325"/>
        </ext>
      </extLst>
    </bk>
    <bk>
      <extLst>
        <ext uri="{3e2802c4-a4d2-4d8b-9148-e3be6c30e623}">
          <xlrd:rvb i="8326"/>
        </ext>
      </extLst>
    </bk>
    <bk>
      <extLst>
        <ext uri="{3e2802c4-a4d2-4d8b-9148-e3be6c30e623}">
          <xlrd:rvb i="8327"/>
        </ext>
      </extLst>
    </bk>
    <bk>
      <extLst>
        <ext uri="{3e2802c4-a4d2-4d8b-9148-e3be6c30e623}">
          <xlrd:rvb i="8328"/>
        </ext>
      </extLst>
    </bk>
    <bk>
      <extLst>
        <ext uri="{3e2802c4-a4d2-4d8b-9148-e3be6c30e623}">
          <xlrd:rvb i="8329"/>
        </ext>
      </extLst>
    </bk>
    <bk>
      <extLst>
        <ext uri="{3e2802c4-a4d2-4d8b-9148-e3be6c30e623}">
          <xlrd:rvb i="8330"/>
        </ext>
      </extLst>
    </bk>
    <bk>
      <extLst>
        <ext uri="{3e2802c4-a4d2-4d8b-9148-e3be6c30e623}">
          <xlrd:rvb i="8331"/>
        </ext>
      </extLst>
    </bk>
    <bk>
      <extLst>
        <ext uri="{3e2802c4-a4d2-4d8b-9148-e3be6c30e623}">
          <xlrd:rvb i="8332"/>
        </ext>
      </extLst>
    </bk>
    <bk>
      <extLst>
        <ext uri="{3e2802c4-a4d2-4d8b-9148-e3be6c30e623}">
          <xlrd:rvb i="8333"/>
        </ext>
      </extLst>
    </bk>
    <bk>
      <extLst>
        <ext uri="{3e2802c4-a4d2-4d8b-9148-e3be6c30e623}">
          <xlrd:rvb i="8334"/>
        </ext>
      </extLst>
    </bk>
    <bk>
      <extLst>
        <ext uri="{3e2802c4-a4d2-4d8b-9148-e3be6c30e623}">
          <xlrd:rvb i="8335"/>
        </ext>
      </extLst>
    </bk>
    <bk>
      <extLst>
        <ext uri="{3e2802c4-a4d2-4d8b-9148-e3be6c30e623}">
          <xlrd:rvb i="8336"/>
        </ext>
      </extLst>
    </bk>
    <bk>
      <extLst>
        <ext uri="{3e2802c4-a4d2-4d8b-9148-e3be6c30e623}">
          <xlrd:rvb i="8337"/>
        </ext>
      </extLst>
    </bk>
    <bk>
      <extLst>
        <ext uri="{3e2802c4-a4d2-4d8b-9148-e3be6c30e623}">
          <xlrd:rvb i="8338"/>
        </ext>
      </extLst>
    </bk>
    <bk>
      <extLst>
        <ext uri="{3e2802c4-a4d2-4d8b-9148-e3be6c30e623}">
          <xlrd:rvb i="8339"/>
        </ext>
      </extLst>
    </bk>
    <bk>
      <extLst>
        <ext uri="{3e2802c4-a4d2-4d8b-9148-e3be6c30e623}">
          <xlrd:rvb i="8340"/>
        </ext>
      </extLst>
    </bk>
    <bk>
      <extLst>
        <ext uri="{3e2802c4-a4d2-4d8b-9148-e3be6c30e623}">
          <xlrd:rvb i="8341"/>
        </ext>
      </extLst>
    </bk>
    <bk>
      <extLst>
        <ext uri="{3e2802c4-a4d2-4d8b-9148-e3be6c30e623}">
          <xlrd:rvb i="8342"/>
        </ext>
      </extLst>
    </bk>
    <bk>
      <extLst>
        <ext uri="{3e2802c4-a4d2-4d8b-9148-e3be6c30e623}">
          <xlrd:rvb i="8343"/>
        </ext>
      </extLst>
    </bk>
    <bk>
      <extLst>
        <ext uri="{3e2802c4-a4d2-4d8b-9148-e3be6c30e623}">
          <xlrd:rvb i="8344"/>
        </ext>
      </extLst>
    </bk>
    <bk>
      <extLst>
        <ext uri="{3e2802c4-a4d2-4d8b-9148-e3be6c30e623}">
          <xlrd:rvb i="8345"/>
        </ext>
      </extLst>
    </bk>
    <bk>
      <extLst>
        <ext uri="{3e2802c4-a4d2-4d8b-9148-e3be6c30e623}">
          <xlrd:rvb i="8346"/>
        </ext>
      </extLst>
    </bk>
    <bk>
      <extLst>
        <ext uri="{3e2802c4-a4d2-4d8b-9148-e3be6c30e623}">
          <xlrd:rvb i="8347"/>
        </ext>
      </extLst>
    </bk>
    <bk>
      <extLst>
        <ext uri="{3e2802c4-a4d2-4d8b-9148-e3be6c30e623}">
          <xlrd:rvb i="8348"/>
        </ext>
      </extLst>
    </bk>
    <bk>
      <extLst>
        <ext uri="{3e2802c4-a4d2-4d8b-9148-e3be6c30e623}">
          <xlrd:rvb i="8349"/>
        </ext>
      </extLst>
    </bk>
    <bk>
      <extLst>
        <ext uri="{3e2802c4-a4d2-4d8b-9148-e3be6c30e623}">
          <xlrd:rvb i="8350"/>
        </ext>
      </extLst>
    </bk>
    <bk>
      <extLst>
        <ext uri="{3e2802c4-a4d2-4d8b-9148-e3be6c30e623}">
          <xlrd:rvb i="8351"/>
        </ext>
      </extLst>
    </bk>
    <bk>
      <extLst>
        <ext uri="{3e2802c4-a4d2-4d8b-9148-e3be6c30e623}">
          <xlrd:rvb i="8352"/>
        </ext>
      </extLst>
    </bk>
    <bk>
      <extLst>
        <ext uri="{3e2802c4-a4d2-4d8b-9148-e3be6c30e623}">
          <xlrd:rvb i="8353"/>
        </ext>
      </extLst>
    </bk>
    <bk>
      <extLst>
        <ext uri="{3e2802c4-a4d2-4d8b-9148-e3be6c30e623}">
          <xlrd:rvb i="8354"/>
        </ext>
      </extLst>
    </bk>
    <bk>
      <extLst>
        <ext uri="{3e2802c4-a4d2-4d8b-9148-e3be6c30e623}">
          <xlrd:rvb i="8355"/>
        </ext>
      </extLst>
    </bk>
    <bk>
      <extLst>
        <ext uri="{3e2802c4-a4d2-4d8b-9148-e3be6c30e623}">
          <xlrd:rvb i="8356"/>
        </ext>
      </extLst>
    </bk>
    <bk>
      <extLst>
        <ext uri="{3e2802c4-a4d2-4d8b-9148-e3be6c30e623}">
          <xlrd:rvb i="8357"/>
        </ext>
      </extLst>
    </bk>
    <bk>
      <extLst>
        <ext uri="{3e2802c4-a4d2-4d8b-9148-e3be6c30e623}">
          <xlrd:rvb i="8358"/>
        </ext>
      </extLst>
    </bk>
    <bk>
      <extLst>
        <ext uri="{3e2802c4-a4d2-4d8b-9148-e3be6c30e623}">
          <xlrd:rvb i="8359"/>
        </ext>
      </extLst>
    </bk>
    <bk>
      <extLst>
        <ext uri="{3e2802c4-a4d2-4d8b-9148-e3be6c30e623}">
          <xlrd:rvb i="8360"/>
        </ext>
      </extLst>
    </bk>
    <bk>
      <extLst>
        <ext uri="{3e2802c4-a4d2-4d8b-9148-e3be6c30e623}">
          <xlrd:rvb i="8361"/>
        </ext>
      </extLst>
    </bk>
    <bk>
      <extLst>
        <ext uri="{3e2802c4-a4d2-4d8b-9148-e3be6c30e623}">
          <xlrd:rvb i="8362"/>
        </ext>
      </extLst>
    </bk>
    <bk>
      <extLst>
        <ext uri="{3e2802c4-a4d2-4d8b-9148-e3be6c30e623}">
          <xlrd:rvb i="8363"/>
        </ext>
      </extLst>
    </bk>
    <bk>
      <extLst>
        <ext uri="{3e2802c4-a4d2-4d8b-9148-e3be6c30e623}">
          <xlrd:rvb i="8364"/>
        </ext>
      </extLst>
    </bk>
    <bk>
      <extLst>
        <ext uri="{3e2802c4-a4d2-4d8b-9148-e3be6c30e623}">
          <xlrd:rvb i="8365"/>
        </ext>
      </extLst>
    </bk>
    <bk>
      <extLst>
        <ext uri="{3e2802c4-a4d2-4d8b-9148-e3be6c30e623}">
          <xlrd:rvb i="8366"/>
        </ext>
      </extLst>
    </bk>
    <bk>
      <extLst>
        <ext uri="{3e2802c4-a4d2-4d8b-9148-e3be6c30e623}">
          <xlrd:rvb i="8367"/>
        </ext>
      </extLst>
    </bk>
    <bk>
      <extLst>
        <ext uri="{3e2802c4-a4d2-4d8b-9148-e3be6c30e623}">
          <xlrd:rvb i="8368"/>
        </ext>
      </extLst>
    </bk>
    <bk>
      <extLst>
        <ext uri="{3e2802c4-a4d2-4d8b-9148-e3be6c30e623}">
          <xlrd:rvb i="8369"/>
        </ext>
      </extLst>
    </bk>
    <bk>
      <extLst>
        <ext uri="{3e2802c4-a4d2-4d8b-9148-e3be6c30e623}">
          <xlrd:rvb i="8370"/>
        </ext>
      </extLst>
    </bk>
    <bk>
      <extLst>
        <ext uri="{3e2802c4-a4d2-4d8b-9148-e3be6c30e623}">
          <xlrd:rvb i="8371"/>
        </ext>
      </extLst>
    </bk>
    <bk>
      <extLst>
        <ext uri="{3e2802c4-a4d2-4d8b-9148-e3be6c30e623}">
          <xlrd:rvb i="8372"/>
        </ext>
      </extLst>
    </bk>
    <bk>
      <extLst>
        <ext uri="{3e2802c4-a4d2-4d8b-9148-e3be6c30e623}">
          <xlrd:rvb i="8373"/>
        </ext>
      </extLst>
    </bk>
    <bk>
      <extLst>
        <ext uri="{3e2802c4-a4d2-4d8b-9148-e3be6c30e623}">
          <xlrd:rvb i="8374"/>
        </ext>
      </extLst>
    </bk>
    <bk>
      <extLst>
        <ext uri="{3e2802c4-a4d2-4d8b-9148-e3be6c30e623}">
          <xlrd:rvb i="8375"/>
        </ext>
      </extLst>
    </bk>
    <bk>
      <extLst>
        <ext uri="{3e2802c4-a4d2-4d8b-9148-e3be6c30e623}">
          <xlrd:rvb i="8376"/>
        </ext>
      </extLst>
    </bk>
    <bk>
      <extLst>
        <ext uri="{3e2802c4-a4d2-4d8b-9148-e3be6c30e623}">
          <xlrd:rvb i="8377"/>
        </ext>
      </extLst>
    </bk>
    <bk>
      <extLst>
        <ext uri="{3e2802c4-a4d2-4d8b-9148-e3be6c30e623}">
          <xlrd:rvb i="8378"/>
        </ext>
      </extLst>
    </bk>
    <bk>
      <extLst>
        <ext uri="{3e2802c4-a4d2-4d8b-9148-e3be6c30e623}">
          <xlrd:rvb i="8379"/>
        </ext>
      </extLst>
    </bk>
    <bk>
      <extLst>
        <ext uri="{3e2802c4-a4d2-4d8b-9148-e3be6c30e623}">
          <xlrd:rvb i="8380"/>
        </ext>
      </extLst>
    </bk>
    <bk>
      <extLst>
        <ext uri="{3e2802c4-a4d2-4d8b-9148-e3be6c30e623}">
          <xlrd:rvb i="8381"/>
        </ext>
      </extLst>
    </bk>
    <bk>
      <extLst>
        <ext uri="{3e2802c4-a4d2-4d8b-9148-e3be6c30e623}">
          <xlrd:rvb i="8382"/>
        </ext>
      </extLst>
    </bk>
    <bk>
      <extLst>
        <ext uri="{3e2802c4-a4d2-4d8b-9148-e3be6c30e623}">
          <xlrd:rvb i="8383"/>
        </ext>
      </extLst>
    </bk>
    <bk>
      <extLst>
        <ext uri="{3e2802c4-a4d2-4d8b-9148-e3be6c30e623}">
          <xlrd:rvb i="8384"/>
        </ext>
      </extLst>
    </bk>
    <bk>
      <extLst>
        <ext uri="{3e2802c4-a4d2-4d8b-9148-e3be6c30e623}">
          <xlrd:rvb i="8385"/>
        </ext>
      </extLst>
    </bk>
    <bk>
      <extLst>
        <ext uri="{3e2802c4-a4d2-4d8b-9148-e3be6c30e623}">
          <xlrd:rvb i="8386"/>
        </ext>
      </extLst>
    </bk>
    <bk>
      <extLst>
        <ext uri="{3e2802c4-a4d2-4d8b-9148-e3be6c30e623}">
          <xlrd:rvb i="8387"/>
        </ext>
      </extLst>
    </bk>
    <bk>
      <extLst>
        <ext uri="{3e2802c4-a4d2-4d8b-9148-e3be6c30e623}">
          <xlrd:rvb i="8388"/>
        </ext>
      </extLst>
    </bk>
    <bk>
      <extLst>
        <ext uri="{3e2802c4-a4d2-4d8b-9148-e3be6c30e623}">
          <xlrd:rvb i="8389"/>
        </ext>
      </extLst>
    </bk>
    <bk>
      <extLst>
        <ext uri="{3e2802c4-a4d2-4d8b-9148-e3be6c30e623}">
          <xlrd:rvb i="8390"/>
        </ext>
      </extLst>
    </bk>
    <bk>
      <extLst>
        <ext uri="{3e2802c4-a4d2-4d8b-9148-e3be6c30e623}">
          <xlrd:rvb i="8391"/>
        </ext>
      </extLst>
    </bk>
    <bk>
      <extLst>
        <ext uri="{3e2802c4-a4d2-4d8b-9148-e3be6c30e623}">
          <xlrd:rvb i="8392"/>
        </ext>
      </extLst>
    </bk>
    <bk>
      <extLst>
        <ext uri="{3e2802c4-a4d2-4d8b-9148-e3be6c30e623}">
          <xlrd:rvb i="8393"/>
        </ext>
      </extLst>
    </bk>
    <bk>
      <extLst>
        <ext uri="{3e2802c4-a4d2-4d8b-9148-e3be6c30e623}">
          <xlrd:rvb i="8394"/>
        </ext>
      </extLst>
    </bk>
    <bk>
      <extLst>
        <ext uri="{3e2802c4-a4d2-4d8b-9148-e3be6c30e623}">
          <xlrd:rvb i="8395"/>
        </ext>
      </extLst>
    </bk>
    <bk>
      <extLst>
        <ext uri="{3e2802c4-a4d2-4d8b-9148-e3be6c30e623}">
          <xlrd:rvb i="8396"/>
        </ext>
      </extLst>
    </bk>
    <bk>
      <extLst>
        <ext uri="{3e2802c4-a4d2-4d8b-9148-e3be6c30e623}">
          <xlrd:rvb i="8397"/>
        </ext>
      </extLst>
    </bk>
    <bk>
      <extLst>
        <ext uri="{3e2802c4-a4d2-4d8b-9148-e3be6c30e623}">
          <xlrd:rvb i="8398"/>
        </ext>
      </extLst>
    </bk>
    <bk>
      <extLst>
        <ext uri="{3e2802c4-a4d2-4d8b-9148-e3be6c30e623}">
          <xlrd:rvb i="8399"/>
        </ext>
      </extLst>
    </bk>
    <bk>
      <extLst>
        <ext uri="{3e2802c4-a4d2-4d8b-9148-e3be6c30e623}">
          <xlrd:rvb i="8400"/>
        </ext>
      </extLst>
    </bk>
    <bk>
      <extLst>
        <ext uri="{3e2802c4-a4d2-4d8b-9148-e3be6c30e623}">
          <xlrd:rvb i="8401"/>
        </ext>
      </extLst>
    </bk>
    <bk>
      <extLst>
        <ext uri="{3e2802c4-a4d2-4d8b-9148-e3be6c30e623}">
          <xlrd:rvb i="8402"/>
        </ext>
      </extLst>
    </bk>
    <bk>
      <extLst>
        <ext uri="{3e2802c4-a4d2-4d8b-9148-e3be6c30e623}">
          <xlrd:rvb i="8403"/>
        </ext>
      </extLst>
    </bk>
    <bk>
      <extLst>
        <ext uri="{3e2802c4-a4d2-4d8b-9148-e3be6c30e623}">
          <xlrd:rvb i="8404"/>
        </ext>
      </extLst>
    </bk>
    <bk>
      <extLst>
        <ext uri="{3e2802c4-a4d2-4d8b-9148-e3be6c30e623}">
          <xlrd:rvb i="8405"/>
        </ext>
      </extLst>
    </bk>
    <bk>
      <extLst>
        <ext uri="{3e2802c4-a4d2-4d8b-9148-e3be6c30e623}">
          <xlrd:rvb i="8406"/>
        </ext>
      </extLst>
    </bk>
    <bk>
      <extLst>
        <ext uri="{3e2802c4-a4d2-4d8b-9148-e3be6c30e623}">
          <xlrd:rvb i="8407"/>
        </ext>
      </extLst>
    </bk>
    <bk>
      <extLst>
        <ext uri="{3e2802c4-a4d2-4d8b-9148-e3be6c30e623}">
          <xlrd:rvb i="8408"/>
        </ext>
      </extLst>
    </bk>
    <bk>
      <extLst>
        <ext uri="{3e2802c4-a4d2-4d8b-9148-e3be6c30e623}">
          <xlrd:rvb i="8409"/>
        </ext>
      </extLst>
    </bk>
    <bk>
      <extLst>
        <ext uri="{3e2802c4-a4d2-4d8b-9148-e3be6c30e623}">
          <xlrd:rvb i="8410"/>
        </ext>
      </extLst>
    </bk>
    <bk>
      <extLst>
        <ext uri="{3e2802c4-a4d2-4d8b-9148-e3be6c30e623}">
          <xlrd:rvb i="8411"/>
        </ext>
      </extLst>
    </bk>
    <bk>
      <extLst>
        <ext uri="{3e2802c4-a4d2-4d8b-9148-e3be6c30e623}">
          <xlrd:rvb i="8412"/>
        </ext>
      </extLst>
    </bk>
    <bk>
      <extLst>
        <ext uri="{3e2802c4-a4d2-4d8b-9148-e3be6c30e623}">
          <xlrd:rvb i="8413"/>
        </ext>
      </extLst>
    </bk>
    <bk>
      <extLst>
        <ext uri="{3e2802c4-a4d2-4d8b-9148-e3be6c30e623}">
          <xlrd:rvb i="8414"/>
        </ext>
      </extLst>
    </bk>
    <bk>
      <extLst>
        <ext uri="{3e2802c4-a4d2-4d8b-9148-e3be6c30e623}">
          <xlrd:rvb i="8415"/>
        </ext>
      </extLst>
    </bk>
    <bk>
      <extLst>
        <ext uri="{3e2802c4-a4d2-4d8b-9148-e3be6c30e623}">
          <xlrd:rvb i="8416"/>
        </ext>
      </extLst>
    </bk>
    <bk>
      <extLst>
        <ext uri="{3e2802c4-a4d2-4d8b-9148-e3be6c30e623}">
          <xlrd:rvb i="8417"/>
        </ext>
      </extLst>
    </bk>
    <bk>
      <extLst>
        <ext uri="{3e2802c4-a4d2-4d8b-9148-e3be6c30e623}">
          <xlrd:rvb i="8418"/>
        </ext>
      </extLst>
    </bk>
    <bk>
      <extLst>
        <ext uri="{3e2802c4-a4d2-4d8b-9148-e3be6c30e623}">
          <xlrd:rvb i="8419"/>
        </ext>
      </extLst>
    </bk>
    <bk>
      <extLst>
        <ext uri="{3e2802c4-a4d2-4d8b-9148-e3be6c30e623}">
          <xlrd:rvb i="8420"/>
        </ext>
      </extLst>
    </bk>
    <bk>
      <extLst>
        <ext uri="{3e2802c4-a4d2-4d8b-9148-e3be6c30e623}">
          <xlrd:rvb i="8421"/>
        </ext>
      </extLst>
    </bk>
    <bk>
      <extLst>
        <ext uri="{3e2802c4-a4d2-4d8b-9148-e3be6c30e623}">
          <xlrd:rvb i="8422"/>
        </ext>
      </extLst>
    </bk>
    <bk>
      <extLst>
        <ext uri="{3e2802c4-a4d2-4d8b-9148-e3be6c30e623}">
          <xlrd:rvb i="8423"/>
        </ext>
      </extLst>
    </bk>
    <bk>
      <extLst>
        <ext uri="{3e2802c4-a4d2-4d8b-9148-e3be6c30e623}">
          <xlrd:rvb i="8424"/>
        </ext>
      </extLst>
    </bk>
    <bk>
      <extLst>
        <ext uri="{3e2802c4-a4d2-4d8b-9148-e3be6c30e623}">
          <xlrd:rvb i="8425"/>
        </ext>
      </extLst>
    </bk>
    <bk>
      <extLst>
        <ext uri="{3e2802c4-a4d2-4d8b-9148-e3be6c30e623}">
          <xlrd:rvb i="8426"/>
        </ext>
      </extLst>
    </bk>
    <bk>
      <extLst>
        <ext uri="{3e2802c4-a4d2-4d8b-9148-e3be6c30e623}">
          <xlrd:rvb i="8427"/>
        </ext>
      </extLst>
    </bk>
    <bk>
      <extLst>
        <ext uri="{3e2802c4-a4d2-4d8b-9148-e3be6c30e623}">
          <xlrd:rvb i="8428"/>
        </ext>
      </extLst>
    </bk>
    <bk>
      <extLst>
        <ext uri="{3e2802c4-a4d2-4d8b-9148-e3be6c30e623}">
          <xlrd:rvb i="8429"/>
        </ext>
      </extLst>
    </bk>
    <bk>
      <extLst>
        <ext uri="{3e2802c4-a4d2-4d8b-9148-e3be6c30e623}">
          <xlrd:rvb i="8430"/>
        </ext>
      </extLst>
    </bk>
    <bk>
      <extLst>
        <ext uri="{3e2802c4-a4d2-4d8b-9148-e3be6c30e623}">
          <xlrd:rvb i="8431"/>
        </ext>
      </extLst>
    </bk>
    <bk>
      <extLst>
        <ext uri="{3e2802c4-a4d2-4d8b-9148-e3be6c30e623}">
          <xlrd:rvb i="8432"/>
        </ext>
      </extLst>
    </bk>
    <bk>
      <extLst>
        <ext uri="{3e2802c4-a4d2-4d8b-9148-e3be6c30e623}">
          <xlrd:rvb i="8433"/>
        </ext>
      </extLst>
    </bk>
    <bk>
      <extLst>
        <ext uri="{3e2802c4-a4d2-4d8b-9148-e3be6c30e623}">
          <xlrd:rvb i="8434"/>
        </ext>
      </extLst>
    </bk>
    <bk>
      <extLst>
        <ext uri="{3e2802c4-a4d2-4d8b-9148-e3be6c30e623}">
          <xlrd:rvb i="8435"/>
        </ext>
      </extLst>
    </bk>
    <bk>
      <extLst>
        <ext uri="{3e2802c4-a4d2-4d8b-9148-e3be6c30e623}">
          <xlrd:rvb i="8436"/>
        </ext>
      </extLst>
    </bk>
    <bk>
      <extLst>
        <ext uri="{3e2802c4-a4d2-4d8b-9148-e3be6c30e623}">
          <xlrd:rvb i="8437"/>
        </ext>
      </extLst>
    </bk>
    <bk>
      <extLst>
        <ext uri="{3e2802c4-a4d2-4d8b-9148-e3be6c30e623}">
          <xlrd:rvb i="8438"/>
        </ext>
      </extLst>
    </bk>
    <bk>
      <extLst>
        <ext uri="{3e2802c4-a4d2-4d8b-9148-e3be6c30e623}">
          <xlrd:rvb i="8439"/>
        </ext>
      </extLst>
    </bk>
    <bk>
      <extLst>
        <ext uri="{3e2802c4-a4d2-4d8b-9148-e3be6c30e623}">
          <xlrd:rvb i="8440"/>
        </ext>
      </extLst>
    </bk>
    <bk>
      <extLst>
        <ext uri="{3e2802c4-a4d2-4d8b-9148-e3be6c30e623}">
          <xlrd:rvb i="8441"/>
        </ext>
      </extLst>
    </bk>
    <bk>
      <extLst>
        <ext uri="{3e2802c4-a4d2-4d8b-9148-e3be6c30e623}">
          <xlrd:rvb i="8442"/>
        </ext>
      </extLst>
    </bk>
    <bk>
      <extLst>
        <ext uri="{3e2802c4-a4d2-4d8b-9148-e3be6c30e623}">
          <xlrd:rvb i="8443"/>
        </ext>
      </extLst>
    </bk>
    <bk>
      <extLst>
        <ext uri="{3e2802c4-a4d2-4d8b-9148-e3be6c30e623}">
          <xlrd:rvb i="8444"/>
        </ext>
      </extLst>
    </bk>
    <bk>
      <extLst>
        <ext uri="{3e2802c4-a4d2-4d8b-9148-e3be6c30e623}">
          <xlrd:rvb i="8445"/>
        </ext>
      </extLst>
    </bk>
    <bk>
      <extLst>
        <ext uri="{3e2802c4-a4d2-4d8b-9148-e3be6c30e623}">
          <xlrd:rvb i="8446"/>
        </ext>
      </extLst>
    </bk>
    <bk>
      <extLst>
        <ext uri="{3e2802c4-a4d2-4d8b-9148-e3be6c30e623}">
          <xlrd:rvb i="8447"/>
        </ext>
      </extLst>
    </bk>
    <bk>
      <extLst>
        <ext uri="{3e2802c4-a4d2-4d8b-9148-e3be6c30e623}">
          <xlrd:rvb i="8448"/>
        </ext>
      </extLst>
    </bk>
    <bk>
      <extLst>
        <ext uri="{3e2802c4-a4d2-4d8b-9148-e3be6c30e623}">
          <xlrd:rvb i="8449"/>
        </ext>
      </extLst>
    </bk>
    <bk>
      <extLst>
        <ext uri="{3e2802c4-a4d2-4d8b-9148-e3be6c30e623}">
          <xlrd:rvb i="8450"/>
        </ext>
      </extLst>
    </bk>
    <bk>
      <extLst>
        <ext uri="{3e2802c4-a4d2-4d8b-9148-e3be6c30e623}">
          <xlrd:rvb i="8451"/>
        </ext>
      </extLst>
    </bk>
    <bk>
      <extLst>
        <ext uri="{3e2802c4-a4d2-4d8b-9148-e3be6c30e623}">
          <xlrd:rvb i="8452"/>
        </ext>
      </extLst>
    </bk>
    <bk>
      <extLst>
        <ext uri="{3e2802c4-a4d2-4d8b-9148-e3be6c30e623}">
          <xlrd:rvb i="8453"/>
        </ext>
      </extLst>
    </bk>
    <bk>
      <extLst>
        <ext uri="{3e2802c4-a4d2-4d8b-9148-e3be6c30e623}">
          <xlrd:rvb i="8454"/>
        </ext>
      </extLst>
    </bk>
    <bk>
      <extLst>
        <ext uri="{3e2802c4-a4d2-4d8b-9148-e3be6c30e623}">
          <xlrd:rvb i="8455"/>
        </ext>
      </extLst>
    </bk>
    <bk>
      <extLst>
        <ext uri="{3e2802c4-a4d2-4d8b-9148-e3be6c30e623}">
          <xlrd:rvb i="8456"/>
        </ext>
      </extLst>
    </bk>
    <bk>
      <extLst>
        <ext uri="{3e2802c4-a4d2-4d8b-9148-e3be6c30e623}">
          <xlrd:rvb i="8457"/>
        </ext>
      </extLst>
    </bk>
    <bk>
      <extLst>
        <ext uri="{3e2802c4-a4d2-4d8b-9148-e3be6c30e623}">
          <xlrd:rvb i="8458"/>
        </ext>
      </extLst>
    </bk>
    <bk>
      <extLst>
        <ext uri="{3e2802c4-a4d2-4d8b-9148-e3be6c30e623}">
          <xlrd:rvb i="8459"/>
        </ext>
      </extLst>
    </bk>
    <bk>
      <extLst>
        <ext uri="{3e2802c4-a4d2-4d8b-9148-e3be6c30e623}">
          <xlrd:rvb i="8460"/>
        </ext>
      </extLst>
    </bk>
    <bk>
      <extLst>
        <ext uri="{3e2802c4-a4d2-4d8b-9148-e3be6c30e623}">
          <xlrd:rvb i="8461"/>
        </ext>
      </extLst>
    </bk>
    <bk>
      <extLst>
        <ext uri="{3e2802c4-a4d2-4d8b-9148-e3be6c30e623}">
          <xlrd:rvb i="8462"/>
        </ext>
      </extLst>
    </bk>
    <bk>
      <extLst>
        <ext uri="{3e2802c4-a4d2-4d8b-9148-e3be6c30e623}">
          <xlrd:rvb i="8463"/>
        </ext>
      </extLst>
    </bk>
    <bk>
      <extLst>
        <ext uri="{3e2802c4-a4d2-4d8b-9148-e3be6c30e623}">
          <xlrd:rvb i="8464"/>
        </ext>
      </extLst>
    </bk>
    <bk>
      <extLst>
        <ext uri="{3e2802c4-a4d2-4d8b-9148-e3be6c30e623}">
          <xlrd:rvb i="8465"/>
        </ext>
      </extLst>
    </bk>
    <bk>
      <extLst>
        <ext uri="{3e2802c4-a4d2-4d8b-9148-e3be6c30e623}">
          <xlrd:rvb i="8466"/>
        </ext>
      </extLst>
    </bk>
    <bk>
      <extLst>
        <ext uri="{3e2802c4-a4d2-4d8b-9148-e3be6c30e623}">
          <xlrd:rvb i="8467"/>
        </ext>
      </extLst>
    </bk>
    <bk>
      <extLst>
        <ext uri="{3e2802c4-a4d2-4d8b-9148-e3be6c30e623}">
          <xlrd:rvb i="8468"/>
        </ext>
      </extLst>
    </bk>
    <bk>
      <extLst>
        <ext uri="{3e2802c4-a4d2-4d8b-9148-e3be6c30e623}">
          <xlrd:rvb i="8469"/>
        </ext>
      </extLst>
    </bk>
    <bk>
      <extLst>
        <ext uri="{3e2802c4-a4d2-4d8b-9148-e3be6c30e623}">
          <xlrd:rvb i="8470"/>
        </ext>
      </extLst>
    </bk>
    <bk>
      <extLst>
        <ext uri="{3e2802c4-a4d2-4d8b-9148-e3be6c30e623}">
          <xlrd:rvb i="8471"/>
        </ext>
      </extLst>
    </bk>
    <bk>
      <extLst>
        <ext uri="{3e2802c4-a4d2-4d8b-9148-e3be6c30e623}">
          <xlrd:rvb i="8472"/>
        </ext>
      </extLst>
    </bk>
    <bk>
      <extLst>
        <ext uri="{3e2802c4-a4d2-4d8b-9148-e3be6c30e623}">
          <xlrd:rvb i="8473"/>
        </ext>
      </extLst>
    </bk>
    <bk>
      <extLst>
        <ext uri="{3e2802c4-a4d2-4d8b-9148-e3be6c30e623}">
          <xlrd:rvb i="8474"/>
        </ext>
      </extLst>
    </bk>
    <bk>
      <extLst>
        <ext uri="{3e2802c4-a4d2-4d8b-9148-e3be6c30e623}">
          <xlrd:rvb i="8475"/>
        </ext>
      </extLst>
    </bk>
    <bk>
      <extLst>
        <ext uri="{3e2802c4-a4d2-4d8b-9148-e3be6c30e623}">
          <xlrd:rvb i="8476"/>
        </ext>
      </extLst>
    </bk>
    <bk>
      <extLst>
        <ext uri="{3e2802c4-a4d2-4d8b-9148-e3be6c30e623}">
          <xlrd:rvb i="8477"/>
        </ext>
      </extLst>
    </bk>
    <bk>
      <extLst>
        <ext uri="{3e2802c4-a4d2-4d8b-9148-e3be6c30e623}">
          <xlrd:rvb i="8478"/>
        </ext>
      </extLst>
    </bk>
    <bk>
      <extLst>
        <ext uri="{3e2802c4-a4d2-4d8b-9148-e3be6c30e623}">
          <xlrd:rvb i="8479"/>
        </ext>
      </extLst>
    </bk>
    <bk>
      <extLst>
        <ext uri="{3e2802c4-a4d2-4d8b-9148-e3be6c30e623}">
          <xlrd:rvb i="8480"/>
        </ext>
      </extLst>
    </bk>
    <bk>
      <extLst>
        <ext uri="{3e2802c4-a4d2-4d8b-9148-e3be6c30e623}">
          <xlrd:rvb i="8481"/>
        </ext>
      </extLst>
    </bk>
    <bk>
      <extLst>
        <ext uri="{3e2802c4-a4d2-4d8b-9148-e3be6c30e623}">
          <xlrd:rvb i="8482"/>
        </ext>
      </extLst>
    </bk>
    <bk>
      <extLst>
        <ext uri="{3e2802c4-a4d2-4d8b-9148-e3be6c30e623}">
          <xlrd:rvb i="8483"/>
        </ext>
      </extLst>
    </bk>
    <bk>
      <extLst>
        <ext uri="{3e2802c4-a4d2-4d8b-9148-e3be6c30e623}">
          <xlrd:rvb i="8484"/>
        </ext>
      </extLst>
    </bk>
    <bk>
      <extLst>
        <ext uri="{3e2802c4-a4d2-4d8b-9148-e3be6c30e623}">
          <xlrd:rvb i="8485"/>
        </ext>
      </extLst>
    </bk>
    <bk>
      <extLst>
        <ext uri="{3e2802c4-a4d2-4d8b-9148-e3be6c30e623}">
          <xlrd:rvb i="8486"/>
        </ext>
      </extLst>
    </bk>
    <bk>
      <extLst>
        <ext uri="{3e2802c4-a4d2-4d8b-9148-e3be6c30e623}">
          <xlrd:rvb i="8487"/>
        </ext>
      </extLst>
    </bk>
    <bk>
      <extLst>
        <ext uri="{3e2802c4-a4d2-4d8b-9148-e3be6c30e623}">
          <xlrd:rvb i="8488"/>
        </ext>
      </extLst>
    </bk>
    <bk>
      <extLst>
        <ext uri="{3e2802c4-a4d2-4d8b-9148-e3be6c30e623}">
          <xlrd:rvb i="8489"/>
        </ext>
      </extLst>
    </bk>
    <bk>
      <extLst>
        <ext uri="{3e2802c4-a4d2-4d8b-9148-e3be6c30e623}">
          <xlrd:rvb i="8490"/>
        </ext>
      </extLst>
    </bk>
    <bk>
      <extLst>
        <ext uri="{3e2802c4-a4d2-4d8b-9148-e3be6c30e623}">
          <xlrd:rvb i="8491"/>
        </ext>
      </extLst>
    </bk>
    <bk>
      <extLst>
        <ext uri="{3e2802c4-a4d2-4d8b-9148-e3be6c30e623}">
          <xlrd:rvb i="8492"/>
        </ext>
      </extLst>
    </bk>
    <bk>
      <extLst>
        <ext uri="{3e2802c4-a4d2-4d8b-9148-e3be6c30e623}">
          <xlrd:rvb i="8493"/>
        </ext>
      </extLst>
    </bk>
    <bk>
      <extLst>
        <ext uri="{3e2802c4-a4d2-4d8b-9148-e3be6c30e623}">
          <xlrd:rvb i="8494"/>
        </ext>
      </extLst>
    </bk>
    <bk>
      <extLst>
        <ext uri="{3e2802c4-a4d2-4d8b-9148-e3be6c30e623}">
          <xlrd:rvb i="8495"/>
        </ext>
      </extLst>
    </bk>
    <bk>
      <extLst>
        <ext uri="{3e2802c4-a4d2-4d8b-9148-e3be6c30e623}">
          <xlrd:rvb i="8496"/>
        </ext>
      </extLst>
    </bk>
    <bk>
      <extLst>
        <ext uri="{3e2802c4-a4d2-4d8b-9148-e3be6c30e623}">
          <xlrd:rvb i="8497"/>
        </ext>
      </extLst>
    </bk>
    <bk>
      <extLst>
        <ext uri="{3e2802c4-a4d2-4d8b-9148-e3be6c30e623}">
          <xlrd:rvb i="8498"/>
        </ext>
      </extLst>
    </bk>
    <bk>
      <extLst>
        <ext uri="{3e2802c4-a4d2-4d8b-9148-e3be6c30e623}">
          <xlrd:rvb i="8499"/>
        </ext>
      </extLst>
    </bk>
    <bk>
      <extLst>
        <ext uri="{3e2802c4-a4d2-4d8b-9148-e3be6c30e623}">
          <xlrd:rvb i="8500"/>
        </ext>
      </extLst>
    </bk>
    <bk>
      <extLst>
        <ext uri="{3e2802c4-a4d2-4d8b-9148-e3be6c30e623}">
          <xlrd:rvb i="8501"/>
        </ext>
      </extLst>
    </bk>
    <bk>
      <extLst>
        <ext uri="{3e2802c4-a4d2-4d8b-9148-e3be6c30e623}">
          <xlrd:rvb i="8502"/>
        </ext>
      </extLst>
    </bk>
    <bk>
      <extLst>
        <ext uri="{3e2802c4-a4d2-4d8b-9148-e3be6c30e623}">
          <xlrd:rvb i="8503"/>
        </ext>
      </extLst>
    </bk>
    <bk>
      <extLst>
        <ext uri="{3e2802c4-a4d2-4d8b-9148-e3be6c30e623}">
          <xlrd:rvb i="8504"/>
        </ext>
      </extLst>
    </bk>
    <bk>
      <extLst>
        <ext uri="{3e2802c4-a4d2-4d8b-9148-e3be6c30e623}">
          <xlrd:rvb i="8505"/>
        </ext>
      </extLst>
    </bk>
    <bk>
      <extLst>
        <ext uri="{3e2802c4-a4d2-4d8b-9148-e3be6c30e623}">
          <xlrd:rvb i="8506"/>
        </ext>
      </extLst>
    </bk>
    <bk>
      <extLst>
        <ext uri="{3e2802c4-a4d2-4d8b-9148-e3be6c30e623}">
          <xlrd:rvb i="8507"/>
        </ext>
      </extLst>
    </bk>
    <bk>
      <extLst>
        <ext uri="{3e2802c4-a4d2-4d8b-9148-e3be6c30e623}">
          <xlrd:rvb i="8508"/>
        </ext>
      </extLst>
    </bk>
    <bk>
      <extLst>
        <ext uri="{3e2802c4-a4d2-4d8b-9148-e3be6c30e623}">
          <xlrd:rvb i="8509"/>
        </ext>
      </extLst>
    </bk>
    <bk>
      <extLst>
        <ext uri="{3e2802c4-a4d2-4d8b-9148-e3be6c30e623}">
          <xlrd:rvb i="8510"/>
        </ext>
      </extLst>
    </bk>
    <bk>
      <extLst>
        <ext uri="{3e2802c4-a4d2-4d8b-9148-e3be6c30e623}">
          <xlrd:rvb i="8511"/>
        </ext>
      </extLst>
    </bk>
    <bk>
      <extLst>
        <ext uri="{3e2802c4-a4d2-4d8b-9148-e3be6c30e623}">
          <xlrd:rvb i="8512"/>
        </ext>
      </extLst>
    </bk>
    <bk>
      <extLst>
        <ext uri="{3e2802c4-a4d2-4d8b-9148-e3be6c30e623}">
          <xlrd:rvb i="8513"/>
        </ext>
      </extLst>
    </bk>
    <bk>
      <extLst>
        <ext uri="{3e2802c4-a4d2-4d8b-9148-e3be6c30e623}">
          <xlrd:rvb i="8514"/>
        </ext>
      </extLst>
    </bk>
    <bk>
      <extLst>
        <ext uri="{3e2802c4-a4d2-4d8b-9148-e3be6c30e623}">
          <xlrd:rvb i="8515"/>
        </ext>
      </extLst>
    </bk>
    <bk>
      <extLst>
        <ext uri="{3e2802c4-a4d2-4d8b-9148-e3be6c30e623}">
          <xlrd:rvb i="8516"/>
        </ext>
      </extLst>
    </bk>
    <bk>
      <extLst>
        <ext uri="{3e2802c4-a4d2-4d8b-9148-e3be6c30e623}">
          <xlrd:rvb i="8517"/>
        </ext>
      </extLst>
    </bk>
    <bk>
      <extLst>
        <ext uri="{3e2802c4-a4d2-4d8b-9148-e3be6c30e623}">
          <xlrd:rvb i="8518"/>
        </ext>
      </extLst>
    </bk>
    <bk>
      <extLst>
        <ext uri="{3e2802c4-a4d2-4d8b-9148-e3be6c30e623}">
          <xlrd:rvb i="8519"/>
        </ext>
      </extLst>
    </bk>
    <bk>
      <extLst>
        <ext uri="{3e2802c4-a4d2-4d8b-9148-e3be6c30e623}">
          <xlrd:rvb i="8520"/>
        </ext>
      </extLst>
    </bk>
    <bk>
      <extLst>
        <ext uri="{3e2802c4-a4d2-4d8b-9148-e3be6c30e623}">
          <xlrd:rvb i="8521"/>
        </ext>
      </extLst>
    </bk>
    <bk>
      <extLst>
        <ext uri="{3e2802c4-a4d2-4d8b-9148-e3be6c30e623}">
          <xlrd:rvb i="8522"/>
        </ext>
      </extLst>
    </bk>
    <bk>
      <extLst>
        <ext uri="{3e2802c4-a4d2-4d8b-9148-e3be6c30e623}">
          <xlrd:rvb i="8523"/>
        </ext>
      </extLst>
    </bk>
    <bk>
      <extLst>
        <ext uri="{3e2802c4-a4d2-4d8b-9148-e3be6c30e623}">
          <xlrd:rvb i="8524"/>
        </ext>
      </extLst>
    </bk>
    <bk>
      <extLst>
        <ext uri="{3e2802c4-a4d2-4d8b-9148-e3be6c30e623}">
          <xlrd:rvb i="8525"/>
        </ext>
      </extLst>
    </bk>
    <bk>
      <extLst>
        <ext uri="{3e2802c4-a4d2-4d8b-9148-e3be6c30e623}">
          <xlrd:rvb i="8526"/>
        </ext>
      </extLst>
    </bk>
    <bk>
      <extLst>
        <ext uri="{3e2802c4-a4d2-4d8b-9148-e3be6c30e623}">
          <xlrd:rvb i="8527"/>
        </ext>
      </extLst>
    </bk>
    <bk>
      <extLst>
        <ext uri="{3e2802c4-a4d2-4d8b-9148-e3be6c30e623}">
          <xlrd:rvb i="8528"/>
        </ext>
      </extLst>
    </bk>
    <bk>
      <extLst>
        <ext uri="{3e2802c4-a4d2-4d8b-9148-e3be6c30e623}">
          <xlrd:rvb i="8529"/>
        </ext>
      </extLst>
    </bk>
    <bk>
      <extLst>
        <ext uri="{3e2802c4-a4d2-4d8b-9148-e3be6c30e623}">
          <xlrd:rvb i="8530"/>
        </ext>
      </extLst>
    </bk>
    <bk>
      <extLst>
        <ext uri="{3e2802c4-a4d2-4d8b-9148-e3be6c30e623}">
          <xlrd:rvb i="8531"/>
        </ext>
      </extLst>
    </bk>
    <bk>
      <extLst>
        <ext uri="{3e2802c4-a4d2-4d8b-9148-e3be6c30e623}">
          <xlrd:rvb i="8532"/>
        </ext>
      </extLst>
    </bk>
    <bk>
      <extLst>
        <ext uri="{3e2802c4-a4d2-4d8b-9148-e3be6c30e623}">
          <xlrd:rvb i="8533"/>
        </ext>
      </extLst>
    </bk>
    <bk>
      <extLst>
        <ext uri="{3e2802c4-a4d2-4d8b-9148-e3be6c30e623}">
          <xlrd:rvb i="8534"/>
        </ext>
      </extLst>
    </bk>
    <bk>
      <extLst>
        <ext uri="{3e2802c4-a4d2-4d8b-9148-e3be6c30e623}">
          <xlrd:rvb i="8535"/>
        </ext>
      </extLst>
    </bk>
    <bk>
      <extLst>
        <ext uri="{3e2802c4-a4d2-4d8b-9148-e3be6c30e623}">
          <xlrd:rvb i="8536"/>
        </ext>
      </extLst>
    </bk>
    <bk>
      <extLst>
        <ext uri="{3e2802c4-a4d2-4d8b-9148-e3be6c30e623}">
          <xlrd:rvb i="8537"/>
        </ext>
      </extLst>
    </bk>
    <bk>
      <extLst>
        <ext uri="{3e2802c4-a4d2-4d8b-9148-e3be6c30e623}">
          <xlrd:rvb i="8538"/>
        </ext>
      </extLst>
    </bk>
    <bk>
      <extLst>
        <ext uri="{3e2802c4-a4d2-4d8b-9148-e3be6c30e623}">
          <xlrd:rvb i="8539"/>
        </ext>
      </extLst>
    </bk>
    <bk>
      <extLst>
        <ext uri="{3e2802c4-a4d2-4d8b-9148-e3be6c30e623}">
          <xlrd:rvb i="8540"/>
        </ext>
      </extLst>
    </bk>
    <bk>
      <extLst>
        <ext uri="{3e2802c4-a4d2-4d8b-9148-e3be6c30e623}">
          <xlrd:rvb i="8541"/>
        </ext>
      </extLst>
    </bk>
    <bk>
      <extLst>
        <ext uri="{3e2802c4-a4d2-4d8b-9148-e3be6c30e623}">
          <xlrd:rvb i="8542"/>
        </ext>
      </extLst>
    </bk>
    <bk>
      <extLst>
        <ext uri="{3e2802c4-a4d2-4d8b-9148-e3be6c30e623}">
          <xlrd:rvb i="8543"/>
        </ext>
      </extLst>
    </bk>
    <bk>
      <extLst>
        <ext uri="{3e2802c4-a4d2-4d8b-9148-e3be6c30e623}">
          <xlrd:rvb i="8544"/>
        </ext>
      </extLst>
    </bk>
    <bk>
      <extLst>
        <ext uri="{3e2802c4-a4d2-4d8b-9148-e3be6c30e623}">
          <xlrd:rvb i="8545"/>
        </ext>
      </extLst>
    </bk>
    <bk>
      <extLst>
        <ext uri="{3e2802c4-a4d2-4d8b-9148-e3be6c30e623}">
          <xlrd:rvb i="8546"/>
        </ext>
      </extLst>
    </bk>
    <bk>
      <extLst>
        <ext uri="{3e2802c4-a4d2-4d8b-9148-e3be6c30e623}">
          <xlrd:rvb i="8547"/>
        </ext>
      </extLst>
    </bk>
    <bk>
      <extLst>
        <ext uri="{3e2802c4-a4d2-4d8b-9148-e3be6c30e623}">
          <xlrd:rvb i="8548"/>
        </ext>
      </extLst>
    </bk>
    <bk>
      <extLst>
        <ext uri="{3e2802c4-a4d2-4d8b-9148-e3be6c30e623}">
          <xlrd:rvb i="8549"/>
        </ext>
      </extLst>
    </bk>
    <bk>
      <extLst>
        <ext uri="{3e2802c4-a4d2-4d8b-9148-e3be6c30e623}">
          <xlrd:rvb i="8550"/>
        </ext>
      </extLst>
    </bk>
    <bk>
      <extLst>
        <ext uri="{3e2802c4-a4d2-4d8b-9148-e3be6c30e623}">
          <xlrd:rvb i="8551"/>
        </ext>
      </extLst>
    </bk>
    <bk>
      <extLst>
        <ext uri="{3e2802c4-a4d2-4d8b-9148-e3be6c30e623}">
          <xlrd:rvb i="8552"/>
        </ext>
      </extLst>
    </bk>
    <bk>
      <extLst>
        <ext uri="{3e2802c4-a4d2-4d8b-9148-e3be6c30e623}">
          <xlrd:rvb i="8553"/>
        </ext>
      </extLst>
    </bk>
    <bk>
      <extLst>
        <ext uri="{3e2802c4-a4d2-4d8b-9148-e3be6c30e623}">
          <xlrd:rvb i="8554"/>
        </ext>
      </extLst>
    </bk>
    <bk>
      <extLst>
        <ext uri="{3e2802c4-a4d2-4d8b-9148-e3be6c30e623}">
          <xlrd:rvb i="8555"/>
        </ext>
      </extLst>
    </bk>
    <bk>
      <extLst>
        <ext uri="{3e2802c4-a4d2-4d8b-9148-e3be6c30e623}">
          <xlrd:rvb i="8556"/>
        </ext>
      </extLst>
    </bk>
    <bk>
      <extLst>
        <ext uri="{3e2802c4-a4d2-4d8b-9148-e3be6c30e623}">
          <xlrd:rvb i="8557"/>
        </ext>
      </extLst>
    </bk>
    <bk>
      <extLst>
        <ext uri="{3e2802c4-a4d2-4d8b-9148-e3be6c30e623}">
          <xlrd:rvb i="8558"/>
        </ext>
      </extLst>
    </bk>
    <bk>
      <extLst>
        <ext uri="{3e2802c4-a4d2-4d8b-9148-e3be6c30e623}">
          <xlrd:rvb i="8559"/>
        </ext>
      </extLst>
    </bk>
    <bk>
      <extLst>
        <ext uri="{3e2802c4-a4d2-4d8b-9148-e3be6c30e623}">
          <xlrd:rvb i="8560"/>
        </ext>
      </extLst>
    </bk>
    <bk>
      <extLst>
        <ext uri="{3e2802c4-a4d2-4d8b-9148-e3be6c30e623}">
          <xlrd:rvb i="8561"/>
        </ext>
      </extLst>
    </bk>
    <bk>
      <extLst>
        <ext uri="{3e2802c4-a4d2-4d8b-9148-e3be6c30e623}">
          <xlrd:rvb i="8562"/>
        </ext>
      </extLst>
    </bk>
    <bk>
      <extLst>
        <ext uri="{3e2802c4-a4d2-4d8b-9148-e3be6c30e623}">
          <xlrd:rvb i="8563"/>
        </ext>
      </extLst>
    </bk>
    <bk>
      <extLst>
        <ext uri="{3e2802c4-a4d2-4d8b-9148-e3be6c30e623}">
          <xlrd:rvb i="8564"/>
        </ext>
      </extLst>
    </bk>
    <bk>
      <extLst>
        <ext uri="{3e2802c4-a4d2-4d8b-9148-e3be6c30e623}">
          <xlrd:rvb i="8565"/>
        </ext>
      </extLst>
    </bk>
    <bk>
      <extLst>
        <ext uri="{3e2802c4-a4d2-4d8b-9148-e3be6c30e623}">
          <xlrd:rvb i="8566"/>
        </ext>
      </extLst>
    </bk>
    <bk>
      <extLst>
        <ext uri="{3e2802c4-a4d2-4d8b-9148-e3be6c30e623}">
          <xlrd:rvb i="8567"/>
        </ext>
      </extLst>
    </bk>
    <bk>
      <extLst>
        <ext uri="{3e2802c4-a4d2-4d8b-9148-e3be6c30e623}">
          <xlrd:rvb i="8568"/>
        </ext>
      </extLst>
    </bk>
    <bk>
      <extLst>
        <ext uri="{3e2802c4-a4d2-4d8b-9148-e3be6c30e623}">
          <xlrd:rvb i="8569"/>
        </ext>
      </extLst>
    </bk>
    <bk>
      <extLst>
        <ext uri="{3e2802c4-a4d2-4d8b-9148-e3be6c30e623}">
          <xlrd:rvb i="8570"/>
        </ext>
      </extLst>
    </bk>
    <bk>
      <extLst>
        <ext uri="{3e2802c4-a4d2-4d8b-9148-e3be6c30e623}">
          <xlrd:rvb i="8571"/>
        </ext>
      </extLst>
    </bk>
    <bk>
      <extLst>
        <ext uri="{3e2802c4-a4d2-4d8b-9148-e3be6c30e623}">
          <xlrd:rvb i="8572"/>
        </ext>
      </extLst>
    </bk>
    <bk>
      <extLst>
        <ext uri="{3e2802c4-a4d2-4d8b-9148-e3be6c30e623}">
          <xlrd:rvb i="8573"/>
        </ext>
      </extLst>
    </bk>
    <bk>
      <extLst>
        <ext uri="{3e2802c4-a4d2-4d8b-9148-e3be6c30e623}">
          <xlrd:rvb i="8574"/>
        </ext>
      </extLst>
    </bk>
    <bk>
      <extLst>
        <ext uri="{3e2802c4-a4d2-4d8b-9148-e3be6c30e623}">
          <xlrd:rvb i="8575"/>
        </ext>
      </extLst>
    </bk>
    <bk>
      <extLst>
        <ext uri="{3e2802c4-a4d2-4d8b-9148-e3be6c30e623}">
          <xlrd:rvb i="8576"/>
        </ext>
      </extLst>
    </bk>
    <bk>
      <extLst>
        <ext uri="{3e2802c4-a4d2-4d8b-9148-e3be6c30e623}">
          <xlrd:rvb i="8577"/>
        </ext>
      </extLst>
    </bk>
    <bk>
      <extLst>
        <ext uri="{3e2802c4-a4d2-4d8b-9148-e3be6c30e623}">
          <xlrd:rvb i="8578"/>
        </ext>
      </extLst>
    </bk>
    <bk>
      <extLst>
        <ext uri="{3e2802c4-a4d2-4d8b-9148-e3be6c30e623}">
          <xlrd:rvb i="8579"/>
        </ext>
      </extLst>
    </bk>
    <bk>
      <extLst>
        <ext uri="{3e2802c4-a4d2-4d8b-9148-e3be6c30e623}">
          <xlrd:rvb i="8580"/>
        </ext>
      </extLst>
    </bk>
    <bk>
      <extLst>
        <ext uri="{3e2802c4-a4d2-4d8b-9148-e3be6c30e623}">
          <xlrd:rvb i="8581"/>
        </ext>
      </extLst>
    </bk>
    <bk>
      <extLst>
        <ext uri="{3e2802c4-a4d2-4d8b-9148-e3be6c30e623}">
          <xlrd:rvb i="8582"/>
        </ext>
      </extLst>
    </bk>
    <bk>
      <extLst>
        <ext uri="{3e2802c4-a4d2-4d8b-9148-e3be6c30e623}">
          <xlrd:rvb i="8583"/>
        </ext>
      </extLst>
    </bk>
    <bk>
      <extLst>
        <ext uri="{3e2802c4-a4d2-4d8b-9148-e3be6c30e623}">
          <xlrd:rvb i="8584"/>
        </ext>
      </extLst>
    </bk>
    <bk>
      <extLst>
        <ext uri="{3e2802c4-a4d2-4d8b-9148-e3be6c30e623}">
          <xlrd:rvb i="8585"/>
        </ext>
      </extLst>
    </bk>
    <bk>
      <extLst>
        <ext uri="{3e2802c4-a4d2-4d8b-9148-e3be6c30e623}">
          <xlrd:rvb i="8586"/>
        </ext>
      </extLst>
    </bk>
    <bk>
      <extLst>
        <ext uri="{3e2802c4-a4d2-4d8b-9148-e3be6c30e623}">
          <xlrd:rvb i="8587"/>
        </ext>
      </extLst>
    </bk>
    <bk>
      <extLst>
        <ext uri="{3e2802c4-a4d2-4d8b-9148-e3be6c30e623}">
          <xlrd:rvb i="8588"/>
        </ext>
      </extLst>
    </bk>
    <bk>
      <extLst>
        <ext uri="{3e2802c4-a4d2-4d8b-9148-e3be6c30e623}">
          <xlrd:rvb i="8589"/>
        </ext>
      </extLst>
    </bk>
    <bk>
      <extLst>
        <ext uri="{3e2802c4-a4d2-4d8b-9148-e3be6c30e623}">
          <xlrd:rvb i="8590"/>
        </ext>
      </extLst>
    </bk>
    <bk>
      <extLst>
        <ext uri="{3e2802c4-a4d2-4d8b-9148-e3be6c30e623}">
          <xlrd:rvb i="8591"/>
        </ext>
      </extLst>
    </bk>
    <bk>
      <extLst>
        <ext uri="{3e2802c4-a4d2-4d8b-9148-e3be6c30e623}">
          <xlrd:rvb i="8592"/>
        </ext>
      </extLst>
    </bk>
    <bk>
      <extLst>
        <ext uri="{3e2802c4-a4d2-4d8b-9148-e3be6c30e623}">
          <xlrd:rvb i="8593"/>
        </ext>
      </extLst>
    </bk>
    <bk>
      <extLst>
        <ext uri="{3e2802c4-a4d2-4d8b-9148-e3be6c30e623}">
          <xlrd:rvb i="8594"/>
        </ext>
      </extLst>
    </bk>
    <bk>
      <extLst>
        <ext uri="{3e2802c4-a4d2-4d8b-9148-e3be6c30e623}">
          <xlrd:rvb i="8595"/>
        </ext>
      </extLst>
    </bk>
    <bk>
      <extLst>
        <ext uri="{3e2802c4-a4d2-4d8b-9148-e3be6c30e623}">
          <xlrd:rvb i="8596"/>
        </ext>
      </extLst>
    </bk>
    <bk>
      <extLst>
        <ext uri="{3e2802c4-a4d2-4d8b-9148-e3be6c30e623}">
          <xlrd:rvb i="8597"/>
        </ext>
      </extLst>
    </bk>
    <bk>
      <extLst>
        <ext uri="{3e2802c4-a4d2-4d8b-9148-e3be6c30e623}">
          <xlrd:rvb i="8598"/>
        </ext>
      </extLst>
    </bk>
    <bk>
      <extLst>
        <ext uri="{3e2802c4-a4d2-4d8b-9148-e3be6c30e623}">
          <xlrd:rvb i="8599"/>
        </ext>
      </extLst>
    </bk>
    <bk>
      <extLst>
        <ext uri="{3e2802c4-a4d2-4d8b-9148-e3be6c30e623}">
          <xlrd:rvb i="8600"/>
        </ext>
      </extLst>
    </bk>
    <bk>
      <extLst>
        <ext uri="{3e2802c4-a4d2-4d8b-9148-e3be6c30e623}">
          <xlrd:rvb i="8601"/>
        </ext>
      </extLst>
    </bk>
    <bk>
      <extLst>
        <ext uri="{3e2802c4-a4d2-4d8b-9148-e3be6c30e623}">
          <xlrd:rvb i="8602"/>
        </ext>
      </extLst>
    </bk>
    <bk>
      <extLst>
        <ext uri="{3e2802c4-a4d2-4d8b-9148-e3be6c30e623}">
          <xlrd:rvb i="8603"/>
        </ext>
      </extLst>
    </bk>
    <bk>
      <extLst>
        <ext uri="{3e2802c4-a4d2-4d8b-9148-e3be6c30e623}">
          <xlrd:rvb i="8604"/>
        </ext>
      </extLst>
    </bk>
    <bk>
      <extLst>
        <ext uri="{3e2802c4-a4d2-4d8b-9148-e3be6c30e623}">
          <xlrd:rvb i="8605"/>
        </ext>
      </extLst>
    </bk>
    <bk>
      <extLst>
        <ext uri="{3e2802c4-a4d2-4d8b-9148-e3be6c30e623}">
          <xlrd:rvb i="8606"/>
        </ext>
      </extLst>
    </bk>
    <bk>
      <extLst>
        <ext uri="{3e2802c4-a4d2-4d8b-9148-e3be6c30e623}">
          <xlrd:rvb i="8607"/>
        </ext>
      </extLst>
    </bk>
    <bk>
      <extLst>
        <ext uri="{3e2802c4-a4d2-4d8b-9148-e3be6c30e623}">
          <xlrd:rvb i="8608"/>
        </ext>
      </extLst>
    </bk>
    <bk>
      <extLst>
        <ext uri="{3e2802c4-a4d2-4d8b-9148-e3be6c30e623}">
          <xlrd:rvb i="8609"/>
        </ext>
      </extLst>
    </bk>
    <bk>
      <extLst>
        <ext uri="{3e2802c4-a4d2-4d8b-9148-e3be6c30e623}">
          <xlrd:rvb i="8610"/>
        </ext>
      </extLst>
    </bk>
    <bk>
      <extLst>
        <ext uri="{3e2802c4-a4d2-4d8b-9148-e3be6c30e623}">
          <xlrd:rvb i="8611"/>
        </ext>
      </extLst>
    </bk>
    <bk>
      <extLst>
        <ext uri="{3e2802c4-a4d2-4d8b-9148-e3be6c30e623}">
          <xlrd:rvb i="8612"/>
        </ext>
      </extLst>
    </bk>
    <bk>
      <extLst>
        <ext uri="{3e2802c4-a4d2-4d8b-9148-e3be6c30e623}">
          <xlrd:rvb i="8613"/>
        </ext>
      </extLst>
    </bk>
    <bk>
      <extLst>
        <ext uri="{3e2802c4-a4d2-4d8b-9148-e3be6c30e623}">
          <xlrd:rvb i="8614"/>
        </ext>
      </extLst>
    </bk>
    <bk>
      <extLst>
        <ext uri="{3e2802c4-a4d2-4d8b-9148-e3be6c30e623}">
          <xlrd:rvb i="8615"/>
        </ext>
      </extLst>
    </bk>
    <bk>
      <extLst>
        <ext uri="{3e2802c4-a4d2-4d8b-9148-e3be6c30e623}">
          <xlrd:rvb i="8616"/>
        </ext>
      </extLst>
    </bk>
    <bk>
      <extLst>
        <ext uri="{3e2802c4-a4d2-4d8b-9148-e3be6c30e623}">
          <xlrd:rvb i="8617"/>
        </ext>
      </extLst>
    </bk>
    <bk>
      <extLst>
        <ext uri="{3e2802c4-a4d2-4d8b-9148-e3be6c30e623}">
          <xlrd:rvb i="8618"/>
        </ext>
      </extLst>
    </bk>
    <bk>
      <extLst>
        <ext uri="{3e2802c4-a4d2-4d8b-9148-e3be6c30e623}">
          <xlrd:rvb i="8619"/>
        </ext>
      </extLst>
    </bk>
    <bk>
      <extLst>
        <ext uri="{3e2802c4-a4d2-4d8b-9148-e3be6c30e623}">
          <xlrd:rvb i="8620"/>
        </ext>
      </extLst>
    </bk>
    <bk>
      <extLst>
        <ext uri="{3e2802c4-a4d2-4d8b-9148-e3be6c30e623}">
          <xlrd:rvb i="8621"/>
        </ext>
      </extLst>
    </bk>
    <bk>
      <extLst>
        <ext uri="{3e2802c4-a4d2-4d8b-9148-e3be6c30e623}">
          <xlrd:rvb i="8622"/>
        </ext>
      </extLst>
    </bk>
    <bk>
      <extLst>
        <ext uri="{3e2802c4-a4d2-4d8b-9148-e3be6c30e623}">
          <xlrd:rvb i="8623"/>
        </ext>
      </extLst>
    </bk>
    <bk>
      <extLst>
        <ext uri="{3e2802c4-a4d2-4d8b-9148-e3be6c30e623}">
          <xlrd:rvb i="8624"/>
        </ext>
      </extLst>
    </bk>
    <bk>
      <extLst>
        <ext uri="{3e2802c4-a4d2-4d8b-9148-e3be6c30e623}">
          <xlrd:rvb i="8625"/>
        </ext>
      </extLst>
    </bk>
    <bk>
      <extLst>
        <ext uri="{3e2802c4-a4d2-4d8b-9148-e3be6c30e623}">
          <xlrd:rvb i="8626"/>
        </ext>
      </extLst>
    </bk>
    <bk>
      <extLst>
        <ext uri="{3e2802c4-a4d2-4d8b-9148-e3be6c30e623}">
          <xlrd:rvb i="8627"/>
        </ext>
      </extLst>
    </bk>
    <bk>
      <extLst>
        <ext uri="{3e2802c4-a4d2-4d8b-9148-e3be6c30e623}">
          <xlrd:rvb i="8628"/>
        </ext>
      </extLst>
    </bk>
    <bk>
      <extLst>
        <ext uri="{3e2802c4-a4d2-4d8b-9148-e3be6c30e623}">
          <xlrd:rvb i="8629"/>
        </ext>
      </extLst>
    </bk>
    <bk>
      <extLst>
        <ext uri="{3e2802c4-a4d2-4d8b-9148-e3be6c30e623}">
          <xlrd:rvb i="8630"/>
        </ext>
      </extLst>
    </bk>
    <bk>
      <extLst>
        <ext uri="{3e2802c4-a4d2-4d8b-9148-e3be6c30e623}">
          <xlrd:rvb i="8631"/>
        </ext>
      </extLst>
    </bk>
    <bk>
      <extLst>
        <ext uri="{3e2802c4-a4d2-4d8b-9148-e3be6c30e623}">
          <xlrd:rvb i="8632"/>
        </ext>
      </extLst>
    </bk>
    <bk>
      <extLst>
        <ext uri="{3e2802c4-a4d2-4d8b-9148-e3be6c30e623}">
          <xlrd:rvb i="8633"/>
        </ext>
      </extLst>
    </bk>
    <bk>
      <extLst>
        <ext uri="{3e2802c4-a4d2-4d8b-9148-e3be6c30e623}">
          <xlrd:rvb i="8634"/>
        </ext>
      </extLst>
    </bk>
    <bk>
      <extLst>
        <ext uri="{3e2802c4-a4d2-4d8b-9148-e3be6c30e623}">
          <xlrd:rvb i="8635"/>
        </ext>
      </extLst>
    </bk>
    <bk>
      <extLst>
        <ext uri="{3e2802c4-a4d2-4d8b-9148-e3be6c30e623}">
          <xlrd:rvb i="8636"/>
        </ext>
      </extLst>
    </bk>
    <bk>
      <extLst>
        <ext uri="{3e2802c4-a4d2-4d8b-9148-e3be6c30e623}">
          <xlrd:rvb i="8637"/>
        </ext>
      </extLst>
    </bk>
    <bk>
      <extLst>
        <ext uri="{3e2802c4-a4d2-4d8b-9148-e3be6c30e623}">
          <xlrd:rvb i="8638"/>
        </ext>
      </extLst>
    </bk>
    <bk>
      <extLst>
        <ext uri="{3e2802c4-a4d2-4d8b-9148-e3be6c30e623}">
          <xlrd:rvb i="8639"/>
        </ext>
      </extLst>
    </bk>
    <bk>
      <extLst>
        <ext uri="{3e2802c4-a4d2-4d8b-9148-e3be6c30e623}">
          <xlrd:rvb i="8640"/>
        </ext>
      </extLst>
    </bk>
    <bk>
      <extLst>
        <ext uri="{3e2802c4-a4d2-4d8b-9148-e3be6c30e623}">
          <xlrd:rvb i="8641"/>
        </ext>
      </extLst>
    </bk>
    <bk>
      <extLst>
        <ext uri="{3e2802c4-a4d2-4d8b-9148-e3be6c30e623}">
          <xlrd:rvb i="8642"/>
        </ext>
      </extLst>
    </bk>
    <bk>
      <extLst>
        <ext uri="{3e2802c4-a4d2-4d8b-9148-e3be6c30e623}">
          <xlrd:rvb i="8643"/>
        </ext>
      </extLst>
    </bk>
    <bk>
      <extLst>
        <ext uri="{3e2802c4-a4d2-4d8b-9148-e3be6c30e623}">
          <xlrd:rvb i="8644"/>
        </ext>
      </extLst>
    </bk>
    <bk>
      <extLst>
        <ext uri="{3e2802c4-a4d2-4d8b-9148-e3be6c30e623}">
          <xlrd:rvb i="8645"/>
        </ext>
      </extLst>
    </bk>
    <bk>
      <extLst>
        <ext uri="{3e2802c4-a4d2-4d8b-9148-e3be6c30e623}">
          <xlrd:rvb i="8646"/>
        </ext>
      </extLst>
    </bk>
    <bk>
      <extLst>
        <ext uri="{3e2802c4-a4d2-4d8b-9148-e3be6c30e623}">
          <xlrd:rvb i="8647"/>
        </ext>
      </extLst>
    </bk>
    <bk>
      <extLst>
        <ext uri="{3e2802c4-a4d2-4d8b-9148-e3be6c30e623}">
          <xlrd:rvb i="8648"/>
        </ext>
      </extLst>
    </bk>
    <bk>
      <extLst>
        <ext uri="{3e2802c4-a4d2-4d8b-9148-e3be6c30e623}">
          <xlrd:rvb i="8649"/>
        </ext>
      </extLst>
    </bk>
    <bk>
      <extLst>
        <ext uri="{3e2802c4-a4d2-4d8b-9148-e3be6c30e623}">
          <xlrd:rvb i="8650"/>
        </ext>
      </extLst>
    </bk>
    <bk>
      <extLst>
        <ext uri="{3e2802c4-a4d2-4d8b-9148-e3be6c30e623}">
          <xlrd:rvb i="8651"/>
        </ext>
      </extLst>
    </bk>
    <bk>
      <extLst>
        <ext uri="{3e2802c4-a4d2-4d8b-9148-e3be6c30e623}">
          <xlrd:rvb i="8652"/>
        </ext>
      </extLst>
    </bk>
    <bk>
      <extLst>
        <ext uri="{3e2802c4-a4d2-4d8b-9148-e3be6c30e623}">
          <xlrd:rvb i="8653"/>
        </ext>
      </extLst>
    </bk>
    <bk>
      <extLst>
        <ext uri="{3e2802c4-a4d2-4d8b-9148-e3be6c30e623}">
          <xlrd:rvb i="8654"/>
        </ext>
      </extLst>
    </bk>
    <bk>
      <extLst>
        <ext uri="{3e2802c4-a4d2-4d8b-9148-e3be6c30e623}">
          <xlrd:rvb i="8655"/>
        </ext>
      </extLst>
    </bk>
    <bk>
      <extLst>
        <ext uri="{3e2802c4-a4d2-4d8b-9148-e3be6c30e623}">
          <xlrd:rvb i="8656"/>
        </ext>
      </extLst>
    </bk>
    <bk>
      <extLst>
        <ext uri="{3e2802c4-a4d2-4d8b-9148-e3be6c30e623}">
          <xlrd:rvb i="8657"/>
        </ext>
      </extLst>
    </bk>
    <bk>
      <extLst>
        <ext uri="{3e2802c4-a4d2-4d8b-9148-e3be6c30e623}">
          <xlrd:rvb i="8658"/>
        </ext>
      </extLst>
    </bk>
    <bk>
      <extLst>
        <ext uri="{3e2802c4-a4d2-4d8b-9148-e3be6c30e623}">
          <xlrd:rvb i="8659"/>
        </ext>
      </extLst>
    </bk>
    <bk>
      <extLst>
        <ext uri="{3e2802c4-a4d2-4d8b-9148-e3be6c30e623}">
          <xlrd:rvb i="8660"/>
        </ext>
      </extLst>
    </bk>
    <bk>
      <extLst>
        <ext uri="{3e2802c4-a4d2-4d8b-9148-e3be6c30e623}">
          <xlrd:rvb i="8661"/>
        </ext>
      </extLst>
    </bk>
    <bk>
      <extLst>
        <ext uri="{3e2802c4-a4d2-4d8b-9148-e3be6c30e623}">
          <xlrd:rvb i="8662"/>
        </ext>
      </extLst>
    </bk>
    <bk>
      <extLst>
        <ext uri="{3e2802c4-a4d2-4d8b-9148-e3be6c30e623}">
          <xlrd:rvb i="8663"/>
        </ext>
      </extLst>
    </bk>
    <bk>
      <extLst>
        <ext uri="{3e2802c4-a4d2-4d8b-9148-e3be6c30e623}">
          <xlrd:rvb i="8664"/>
        </ext>
      </extLst>
    </bk>
    <bk>
      <extLst>
        <ext uri="{3e2802c4-a4d2-4d8b-9148-e3be6c30e623}">
          <xlrd:rvb i="8665"/>
        </ext>
      </extLst>
    </bk>
    <bk>
      <extLst>
        <ext uri="{3e2802c4-a4d2-4d8b-9148-e3be6c30e623}">
          <xlrd:rvb i="8666"/>
        </ext>
      </extLst>
    </bk>
    <bk>
      <extLst>
        <ext uri="{3e2802c4-a4d2-4d8b-9148-e3be6c30e623}">
          <xlrd:rvb i="8667"/>
        </ext>
      </extLst>
    </bk>
    <bk>
      <extLst>
        <ext uri="{3e2802c4-a4d2-4d8b-9148-e3be6c30e623}">
          <xlrd:rvb i="8668"/>
        </ext>
      </extLst>
    </bk>
    <bk>
      <extLst>
        <ext uri="{3e2802c4-a4d2-4d8b-9148-e3be6c30e623}">
          <xlrd:rvb i="8669"/>
        </ext>
      </extLst>
    </bk>
    <bk>
      <extLst>
        <ext uri="{3e2802c4-a4d2-4d8b-9148-e3be6c30e623}">
          <xlrd:rvb i="8670"/>
        </ext>
      </extLst>
    </bk>
    <bk>
      <extLst>
        <ext uri="{3e2802c4-a4d2-4d8b-9148-e3be6c30e623}">
          <xlrd:rvb i="8671"/>
        </ext>
      </extLst>
    </bk>
    <bk>
      <extLst>
        <ext uri="{3e2802c4-a4d2-4d8b-9148-e3be6c30e623}">
          <xlrd:rvb i="8672"/>
        </ext>
      </extLst>
    </bk>
    <bk>
      <extLst>
        <ext uri="{3e2802c4-a4d2-4d8b-9148-e3be6c30e623}">
          <xlrd:rvb i="8673"/>
        </ext>
      </extLst>
    </bk>
    <bk>
      <extLst>
        <ext uri="{3e2802c4-a4d2-4d8b-9148-e3be6c30e623}">
          <xlrd:rvb i="8674"/>
        </ext>
      </extLst>
    </bk>
    <bk>
      <extLst>
        <ext uri="{3e2802c4-a4d2-4d8b-9148-e3be6c30e623}">
          <xlrd:rvb i="8675"/>
        </ext>
      </extLst>
    </bk>
    <bk>
      <extLst>
        <ext uri="{3e2802c4-a4d2-4d8b-9148-e3be6c30e623}">
          <xlrd:rvb i="8676"/>
        </ext>
      </extLst>
    </bk>
    <bk>
      <extLst>
        <ext uri="{3e2802c4-a4d2-4d8b-9148-e3be6c30e623}">
          <xlrd:rvb i="8677"/>
        </ext>
      </extLst>
    </bk>
    <bk>
      <extLst>
        <ext uri="{3e2802c4-a4d2-4d8b-9148-e3be6c30e623}">
          <xlrd:rvb i="8678"/>
        </ext>
      </extLst>
    </bk>
    <bk>
      <extLst>
        <ext uri="{3e2802c4-a4d2-4d8b-9148-e3be6c30e623}">
          <xlrd:rvb i="8679"/>
        </ext>
      </extLst>
    </bk>
    <bk>
      <extLst>
        <ext uri="{3e2802c4-a4d2-4d8b-9148-e3be6c30e623}">
          <xlrd:rvb i="8680"/>
        </ext>
      </extLst>
    </bk>
    <bk>
      <extLst>
        <ext uri="{3e2802c4-a4d2-4d8b-9148-e3be6c30e623}">
          <xlrd:rvb i="8681"/>
        </ext>
      </extLst>
    </bk>
    <bk>
      <extLst>
        <ext uri="{3e2802c4-a4d2-4d8b-9148-e3be6c30e623}">
          <xlrd:rvb i="8682"/>
        </ext>
      </extLst>
    </bk>
    <bk>
      <extLst>
        <ext uri="{3e2802c4-a4d2-4d8b-9148-e3be6c30e623}">
          <xlrd:rvb i="8683"/>
        </ext>
      </extLst>
    </bk>
    <bk>
      <extLst>
        <ext uri="{3e2802c4-a4d2-4d8b-9148-e3be6c30e623}">
          <xlrd:rvb i="8684"/>
        </ext>
      </extLst>
    </bk>
    <bk>
      <extLst>
        <ext uri="{3e2802c4-a4d2-4d8b-9148-e3be6c30e623}">
          <xlrd:rvb i="8685"/>
        </ext>
      </extLst>
    </bk>
    <bk>
      <extLst>
        <ext uri="{3e2802c4-a4d2-4d8b-9148-e3be6c30e623}">
          <xlrd:rvb i="8686"/>
        </ext>
      </extLst>
    </bk>
    <bk>
      <extLst>
        <ext uri="{3e2802c4-a4d2-4d8b-9148-e3be6c30e623}">
          <xlrd:rvb i="8687"/>
        </ext>
      </extLst>
    </bk>
    <bk>
      <extLst>
        <ext uri="{3e2802c4-a4d2-4d8b-9148-e3be6c30e623}">
          <xlrd:rvb i="8688"/>
        </ext>
      </extLst>
    </bk>
    <bk>
      <extLst>
        <ext uri="{3e2802c4-a4d2-4d8b-9148-e3be6c30e623}">
          <xlrd:rvb i="8689"/>
        </ext>
      </extLst>
    </bk>
    <bk>
      <extLst>
        <ext uri="{3e2802c4-a4d2-4d8b-9148-e3be6c30e623}">
          <xlrd:rvb i="8690"/>
        </ext>
      </extLst>
    </bk>
    <bk>
      <extLst>
        <ext uri="{3e2802c4-a4d2-4d8b-9148-e3be6c30e623}">
          <xlrd:rvb i="8691"/>
        </ext>
      </extLst>
    </bk>
    <bk>
      <extLst>
        <ext uri="{3e2802c4-a4d2-4d8b-9148-e3be6c30e623}">
          <xlrd:rvb i="8692"/>
        </ext>
      </extLst>
    </bk>
    <bk>
      <extLst>
        <ext uri="{3e2802c4-a4d2-4d8b-9148-e3be6c30e623}">
          <xlrd:rvb i="8693"/>
        </ext>
      </extLst>
    </bk>
    <bk>
      <extLst>
        <ext uri="{3e2802c4-a4d2-4d8b-9148-e3be6c30e623}">
          <xlrd:rvb i="8694"/>
        </ext>
      </extLst>
    </bk>
    <bk>
      <extLst>
        <ext uri="{3e2802c4-a4d2-4d8b-9148-e3be6c30e623}">
          <xlrd:rvb i="8695"/>
        </ext>
      </extLst>
    </bk>
    <bk>
      <extLst>
        <ext uri="{3e2802c4-a4d2-4d8b-9148-e3be6c30e623}">
          <xlrd:rvb i="8696"/>
        </ext>
      </extLst>
    </bk>
    <bk>
      <extLst>
        <ext uri="{3e2802c4-a4d2-4d8b-9148-e3be6c30e623}">
          <xlrd:rvb i="8697"/>
        </ext>
      </extLst>
    </bk>
    <bk>
      <extLst>
        <ext uri="{3e2802c4-a4d2-4d8b-9148-e3be6c30e623}">
          <xlrd:rvb i="8698"/>
        </ext>
      </extLst>
    </bk>
    <bk>
      <extLst>
        <ext uri="{3e2802c4-a4d2-4d8b-9148-e3be6c30e623}">
          <xlrd:rvb i="8699"/>
        </ext>
      </extLst>
    </bk>
    <bk>
      <extLst>
        <ext uri="{3e2802c4-a4d2-4d8b-9148-e3be6c30e623}">
          <xlrd:rvb i="8700"/>
        </ext>
      </extLst>
    </bk>
    <bk>
      <extLst>
        <ext uri="{3e2802c4-a4d2-4d8b-9148-e3be6c30e623}">
          <xlrd:rvb i="8701"/>
        </ext>
      </extLst>
    </bk>
    <bk>
      <extLst>
        <ext uri="{3e2802c4-a4d2-4d8b-9148-e3be6c30e623}">
          <xlrd:rvb i="8702"/>
        </ext>
      </extLst>
    </bk>
    <bk>
      <extLst>
        <ext uri="{3e2802c4-a4d2-4d8b-9148-e3be6c30e623}">
          <xlrd:rvb i="8703"/>
        </ext>
      </extLst>
    </bk>
    <bk>
      <extLst>
        <ext uri="{3e2802c4-a4d2-4d8b-9148-e3be6c30e623}">
          <xlrd:rvb i="8704"/>
        </ext>
      </extLst>
    </bk>
    <bk>
      <extLst>
        <ext uri="{3e2802c4-a4d2-4d8b-9148-e3be6c30e623}">
          <xlrd:rvb i="8705"/>
        </ext>
      </extLst>
    </bk>
    <bk>
      <extLst>
        <ext uri="{3e2802c4-a4d2-4d8b-9148-e3be6c30e623}">
          <xlrd:rvb i="8706"/>
        </ext>
      </extLst>
    </bk>
    <bk>
      <extLst>
        <ext uri="{3e2802c4-a4d2-4d8b-9148-e3be6c30e623}">
          <xlrd:rvb i="8707"/>
        </ext>
      </extLst>
    </bk>
    <bk>
      <extLst>
        <ext uri="{3e2802c4-a4d2-4d8b-9148-e3be6c30e623}">
          <xlrd:rvb i="8708"/>
        </ext>
      </extLst>
    </bk>
    <bk>
      <extLst>
        <ext uri="{3e2802c4-a4d2-4d8b-9148-e3be6c30e623}">
          <xlrd:rvb i="8709"/>
        </ext>
      </extLst>
    </bk>
    <bk>
      <extLst>
        <ext uri="{3e2802c4-a4d2-4d8b-9148-e3be6c30e623}">
          <xlrd:rvb i="8710"/>
        </ext>
      </extLst>
    </bk>
    <bk>
      <extLst>
        <ext uri="{3e2802c4-a4d2-4d8b-9148-e3be6c30e623}">
          <xlrd:rvb i="8711"/>
        </ext>
      </extLst>
    </bk>
    <bk>
      <extLst>
        <ext uri="{3e2802c4-a4d2-4d8b-9148-e3be6c30e623}">
          <xlrd:rvb i="8712"/>
        </ext>
      </extLst>
    </bk>
    <bk>
      <extLst>
        <ext uri="{3e2802c4-a4d2-4d8b-9148-e3be6c30e623}">
          <xlrd:rvb i="8713"/>
        </ext>
      </extLst>
    </bk>
    <bk>
      <extLst>
        <ext uri="{3e2802c4-a4d2-4d8b-9148-e3be6c30e623}">
          <xlrd:rvb i="8714"/>
        </ext>
      </extLst>
    </bk>
    <bk>
      <extLst>
        <ext uri="{3e2802c4-a4d2-4d8b-9148-e3be6c30e623}">
          <xlrd:rvb i="8715"/>
        </ext>
      </extLst>
    </bk>
    <bk>
      <extLst>
        <ext uri="{3e2802c4-a4d2-4d8b-9148-e3be6c30e623}">
          <xlrd:rvb i="8716"/>
        </ext>
      </extLst>
    </bk>
    <bk>
      <extLst>
        <ext uri="{3e2802c4-a4d2-4d8b-9148-e3be6c30e623}">
          <xlrd:rvb i="8717"/>
        </ext>
      </extLst>
    </bk>
    <bk>
      <extLst>
        <ext uri="{3e2802c4-a4d2-4d8b-9148-e3be6c30e623}">
          <xlrd:rvb i="8718"/>
        </ext>
      </extLst>
    </bk>
    <bk>
      <extLst>
        <ext uri="{3e2802c4-a4d2-4d8b-9148-e3be6c30e623}">
          <xlrd:rvb i="8719"/>
        </ext>
      </extLst>
    </bk>
    <bk>
      <extLst>
        <ext uri="{3e2802c4-a4d2-4d8b-9148-e3be6c30e623}">
          <xlrd:rvb i="8720"/>
        </ext>
      </extLst>
    </bk>
    <bk>
      <extLst>
        <ext uri="{3e2802c4-a4d2-4d8b-9148-e3be6c30e623}">
          <xlrd:rvb i="8721"/>
        </ext>
      </extLst>
    </bk>
    <bk>
      <extLst>
        <ext uri="{3e2802c4-a4d2-4d8b-9148-e3be6c30e623}">
          <xlrd:rvb i="8722"/>
        </ext>
      </extLst>
    </bk>
    <bk>
      <extLst>
        <ext uri="{3e2802c4-a4d2-4d8b-9148-e3be6c30e623}">
          <xlrd:rvb i="8723"/>
        </ext>
      </extLst>
    </bk>
    <bk>
      <extLst>
        <ext uri="{3e2802c4-a4d2-4d8b-9148-e3be6c30e623}">
          <xlrd:rvb i="8724"/>
        </ext>
      </extLst>
    </bk>
    <bk>
      <extLst>
        <ext uri="{3e2802c4-a4d2-4d8b-9148-e3be6c30e623}">
          <xlrd:rvb i="8725"/>
        </ext>
      </extLst>
    </bk>
    <bk>
      <extLst>
        <ext uri="{3e2802c4-a4d2-4d8b-9148-e3be6c30e623}">
          <xlrd:rvb i="8726"/>
        </ext>
      </extLst>
    </bk>
    <bk>
      <extLst>
        <ext uri="{3e2802c4-a4d2-4d8b-9148-e3be6c30e623}">
          <xlrd:rvb i="8727"/>
        </ext>
      </extLst>
    </bk>
    <bk>
      <extLst>
        <ext uri="{3e2802c4-a4d2-4d8b-9148-e3be6c30e623}">
          <xlrd:rvb i="8728"/>
        </ext>
      </extLst>
    </bk>
    <bk>
      <extLst>
        <ext uri="{3e2802c4-a4d2-4d8b-9148-e3be6c30e623}">
          <xlrd:rvb i="8729"/>
        </ext>
      </extLst>
    </bk>
    <bk>
      <extLst>
        <ext uri="{3e2802c4-a4d2-4d8b-9148-e3be6c30e623}">
          <xlrd:rvb i="8730"/>
        </ext>
      </extLst>
    </bk>
    <bk>
      <extLst>
        <ext uri="{3e2802c4-a4d2-4d8b-9148-e3be6c30e623}">
          <xlrd:rvb i="8731"/>
        </ext>
      </extLst>
    </bk>
    <bk>
      <extLst>
        <ext uri="{3e2802c4-a4d2-4d8b-9148-e3be6c30e623}">
          <xlrd:rvb i="8732"/>
        </ext>
      </extLst>
    </bk>
    <bk>
      <extLst>
        <ext uri="{3e2802c4-a4d2-4d8b-9148-e3be6c30e623}">
          <xlrd:rvb i="8733"/>
        </ext>
      </extLst>
    </bk>
    <bk>
      <extLst>
        <ext uri="{3e2802c4-a4d2-4d8b-9148-e3be6c30e623}">
          <xlrd:rvb i="8734"/>
        </ext>
      </extLst>
    </bk>
    <bk>
      <extLst>
        <ext uri="{3e2802c4-a4d2-4d8b-9148-e3be6c30e623}">
          <xlrd:rvb i="8735"/>
        </ext>
      </extLst>
    </bk>
    <bk>
      <extLst>
        <ext uri="{3e2802c4-a4d2-4d8b-9148-e3be6c30e623}">
          <xlrd:rvb i="8736"/>
        </ext>
      </extLst>
    </bk>
    <bk>
      <extLst>
        <ext uri="{3e2802c4-a4d2-4d8b-9148-e3be6c30e623}">
          <xlrd:rvb i="8737"/>
        </ext>
      </extLst>
    </bk>
    <bk>
      <extLst>
        <ext uri="{3e2802c4-a4d2-4d8b-9148-e3be6c30e623}">
          <xlrd:rvb i="8738"/>
        </ext>
      </extLst>
    </bk>
    <bk>
      <extLst>
        <ext uri="{3e2802c4-a4d2-4d8b-9148-e3be6c30e623}">
          <xlrd:rvb i="8739"/>
        </ext>
      </extLst>
    </bk>
    <bk>
      <extLst>
        <ext uri="{3e2802c4-a4d2-4d8b-9148-e3be6c30e623}">
          <xlrd:rvb i="8740"/>
        </ext>
      </extLst>
    </bk>
    <bk>
      <extLst>
        <ext uri="{3e2802c4-a4d2-4d8b-9148-e3be6c30e623}">
          <xlrd:rvb i="8741"/>
        </ext>
      </extLst>
    </bk>
    <bk>
      <extLst>
        <ext uri="{3e2802c4-a4d2-4d8b-9148-e3be6c30e623}">
          <xlrd:rvb i="8742"/>
        </ext>
      </extLst>
    </bk>
    <bk>
      <extLst>
        <ext uri="{3e2802c4-a4d2-4d8b-9148-e3be6c30e623}">
          <xlrd:rvb i="8743"/>
        </ext>
      </extLst>
    </bk>
    <bk>
      <extLst>
        <ext uri="{3e2802c4-a4d2-4d8b-9148-e3be6c30e623}">
          <xlrd:rvb i="8744"/>
        </ext>
      </extLst>
    </bk>
    <bk>
      <extLst>
        <ext uri="{3e2802c4-a4d2-4d8b-9148-e3be6c30e623}">
          <xlrd:rvb i="8745"/>
        </ext>
      </extLst>
    </bk>
    <bk>
      <extLst>
        <ext uri="{3e2802c4-a4d2-4d8b-9148-e3be6c30e623}">
          <xlrd:rvb i="8746"/>
        </ext>
      </extLst>
    </bk>
    <bk>
      <extLst>
        <ext uri="{3e2802c4-a4d2-4d8b-9148-e3be6c30e623}">
          <xlrd:rvb i="8747"/>
        </ext>
      </extLst>
    </bk>
    <bk>
      <extLst>
        <ext uri="{3e2802c4-a4d2-4d8b-9148-e3be6c30e623}">
          <xlrd:rvb i="8748"/>
        </ext>
      </extLst>
    </bk>
    <bk>
      <extLst>
        <ext uri="{3e2802c4-a4d2-4d8b-9148-e3be6c30e623}">
          <xlrd:rvb i="8749"/>
        </ext>
      </extLst>
    </bk>
    <bk>
      <extLst>
        <ext uri="{3e2802c4-a4d2-4d8b-9148-e3be6c30e623}">
          <xlrd:rvb i="8750"/>
        </ext>
      </extLst>
    </bk>
    <bk>
      <extLst>
        <ext uri="{3e2802c4-a4d2-4d8b-9148-e3be6c30e623}">
          <xlrd:rvb i="8751"/>
        </ext>
      </extLst>
    </bk>
    <bk>
      <extLst>
        <ext uri="{3e2802c4-a4d2-4d8b-9148-e3be6c30e623}">
          <xlrd:rvb i="8752"/>
        </ext>
      </extLst>
    </bk>
    <bk>
      <extLst>
        <ext uri="{3e2802c4-a4d2-4d8b-9148-e3be6c30e623}">
          <xlrd:rvb i="8753"/>
        </ext>
      </extLst>
    </bk>
    <bk>
      <extLst>
        <ext uri="{3e2802c4-a4d2-4d8b-9148-e3be6c30e623}">
          <xlrd:rvb i="8754"/>
        </ext>
      </extLst>
    </bk>
    <bk>
      <extLst>
        <ext uri="{3e2802c4-a4d2-4d8b-9148-e3be6c30e623}">
          <xlrd:rvb i="8755"/>
        </ext>
      </extLst>
    </bk>
    <bk>
      <extLst>
        <ext uri="{3e2802c4-a4d2-4d8b-9148-e3be6c30e623}">
          <xlrd:rvb i="8756"/>
        </ext>
      </extLst>
    </bk>
    <bk>
      <extLst>
        <ext uri="{3e2802c4-a4d2-4d8b-9148-e3be6c30e623}">
          <xlrd:rvb i="8757"/>
        </ext>
      </extLst>
    </bk>
    <bk>
      <extLst>
        <ext uri="{3e2802c4-a4d2-4d8b-9148-e3be6c30e623}">
          <xlrd:rvb i="8758"/>
        </ext>
      </extLst>
    </bk>
    <bk>
      <extLst>
        <ext uri="{3e2802c4-a4d2-4d8b-9148-e3be6c30e623}">
          <xlrd:rvb i="8759"/>
        </ext>
      </extLst>
    </bk>
    <bk>
      <extLst>
        <ext uri="{3e2802c4-a4d2-4d8b-9148-e3be6c30e623}">
          <xlrd:rvb i="8760"/>
        </ext>
      </extLst>
    </bk>
    <bk>
      <extLst>
        <ext uri="{3e2802c4-a4d2-4d8b-9148-e3be6c30e623}">
          <xlrd:rvb i="8761"/>
        </ext>
      </extLst>
    </bk>
    <bk>
      <extLst>
        <ext uri="{3e2802c4-a4d2-4d8b-9148-e3be6c30e623}">
          <xlrd:rvb i="8762"/>
        </ext>
      </extLst>
    </bk>
    <bk>
      <extLst>
        <ext uri="{3e2802c4-a4d2-4d8b-9148-e3be6c30e623}">
          <xlrd:rvb i="8763"/>
        </ext>
      </extLst>
    </bk>
    <bk>
      <extLst>
        <ext uri="{3e2802c4-a4d2-4d8b-9148-e3be6c30e623}">
          <xlrd:rvb i="8764"/>
        </ext>
      </extLst>
    </bk>
    <bk>
      <extLst>
        <ext uri="{3e2802c4-a4d2-4d8b-9148-e3be6c30e623}">
          <xlrd:rvb i="8765"/>
        </ext>
      </extLst>
    </bk>
    <bk>
      <extLst>
        <ext uri="{3e2802c4-a4d2-4d8b-9148-e3be6c30e623}">
          <xlrd:rvb i="8766"/>
        </ext>
      </extLst>
    </bk>
    <bk>
      <extLst>
        <ext uri="{3e2802c4-a4d2-4d8b-9148-e3be6c30e623}">
          <xlrd:rvb i="8767"/>
        </ext>
      </extLst>
    </bk>
    <bk>
      <extLst>
        <ext uri="{3e2802c4-a4d2-4d8b-9148-e3be6c30e623}">
          <xlrd:rvb i="8768"/>
        </ext>
      </extLst>
    </bk>
    <bk>
      <extLst>
        <ext uri="{3e2802c4-a4d2-4d8b-9148-e3be6c30e623}">
          <xlrd:rvb i="8769"/>
        </ext>
      </extLst>
    </bk>
    <bk>
      <extLst>
        <ext uri="{3e2802c4-a4d2-4d8b-9148-e3be6c30e623}">
          <xlrd:rvb i="8770"/>
        </ext>
      </extLst>
    </bk>
    <bk>
      <extLst>
        <ext uri="{3e2802c4-a4d2-4d8b-9148-e3be6c30e623}">
          <xlrd:rvb i="8771"/>
        </ext>
      </extLst>
    </bk>
    <bk>
      <extLst>
        <ext uri="{3e2802c4-a4d2-4d8b-9148-e3be6c30e623}">
          <xlrd:rvb i="8772"/>
        </ext>
      </extLst>
    </bk>
    <bk>
      <extLst>
        <ext uri="{3e2802c4-a4d2-4d8b-9148-e3be6c30e623}">
          <xlrd:rvb i="8773"/>
        </ext>
      </extLst>
    </bk>
    <bk>
      <extLst>
        <ext uri="{3e2802c4-a4d2-4d8b-9148-e3be6c30e623}">
          <xlrd:rvb i="8774"/>
        </ext>
      </extLst>
    </bk>
    <bk>
      <extLst>
        <ext uri="{3e2802c4-a4d2-4d8b-9148-e3be6c30e623}">
          <xlrd:rvb i="8775"/>
        </ext>
      </extLst>
    </bk>
    <bk>
      <extLst>
        <ext uri="{3e2802c4-a4d2-4d8b-9148-e3be6c30e623}">
          <xlrd:rvb i="8776"/>
        </ext>
      </extLst>
    </bk>
    <bk>
      <extLst>
        <ext uri="{3e2802c4-a4d2-4d8b-9148-e3be6c30e623}">
          <xlrd:rvb i="8777"/>
        </ext>
      </extLst>
    </bk>
    <bk>
      <extLst>
        <ext uri="{3e2802c4-a4d2-4d8b-9148-e3be6c30e623}">
          <xlrd:rvb i="8778"/>
        </ext>
      </extLst>
    </bk>
    <bk>
      <extLst>
        <ext uri="{3e2802c4-a4d2-4d8b-9148-e3be6c30e623}">
          <xlrd:rvb i="8779"/>
        </ext>
      </extLst>
    </bk>
    <bk>
      <extLst>
        <ext uri="{3e2802c4-a4d2-4d8b-9148-e3be6c30e623}">
          <xlrd:rvb i="8780"/>
        </ext>
      </extLst>
    </bk>
    <bk>
      <extLst>
        <ext uri="{3e2802c4-a4d2-4d8b-9148-e3be6c30e623}">
          <xlrd:rvb i="8781"/>
        </ext>
      </extLst>
    </bk>
    <bk>
      <extLst>
        <ext uri="{3e2802c4-a4d2-4d8b-9148-e3be6c30e623}">
          <xlrd:rvb i="8782"/>
        </ext>
      </extLst>
    </bk>
    <bk>
      <extLst>
        <ext uri="{3e2802c4-a4d2-4d8b-9148-e3be6c30e623}">
          <xlrd:rvb i="8783"/>
        </ext>
      </extLst>
    </bk>
    <bk>
      <extLst>
        <ext uri="{3e2802c4-a4d2-4d8b-9148-e3be6c30e623}">
          <xlrd:rvb i="8784"/>
        </ext>
      </extLst>
    </bk>
    <bk>
      <extLst>
        <ext uri="{3e2802c4-a4d2-4d8b-9148-e3be6c30e623}">
          <xlrd:rvb i="8785"/>
        </ext>
      </extLst>
    </bk>
    <bk>
      <extLst>
        <ext uri="{3e2802c4-a4d2-4d8b-9148-e3be6c30e623}">
          <xlrd:rvb i="8786"/>
        </ext>
      </extLst>
    </bk>
    <bk>
      <extLst>
        <ext uri="{3e2802c4-a4d2-4d8b-9148-e3be6c30e623}">
          <xlrd:rvb i="8787"/>
        </ext>
      </extLst>
    </bk>
    <bk>
      <extLst>
        <ext uri="{3e2802c4-a4d2-4d8b-9148-e3be6c30e623}">
          <xlrd:rvb i="8788"/>
        </ext>
      </extLst>
    </bk>
    <bk>
      <extLst>
        <ext uri="{3e2802c4-a4d2-4d8b-9148-e3be6c30e623}">
          <xlrd:rvb i="8789"/>
        </ext>
      </extLst>
    </bk>
    <bk>
      <extLst>
        <ext uri="{3e2802c4-a4d2-4d8b-9148-e3be6c30e623}">
          <xlrd:rvb i="8790"/>
        </ext>
      </extLst>
    </bk>
    <bk>
      <extLst>
        <ext uri="{3e2802c4-a4d2-4d8b-9148-e3be6c30e623}">
          <xlrd:rvb i="8791"/>
        </ext>
      </extLst>
    </bk>
    <bk>
      <extLst>
        <ext uri="{3e2802c4-a4d2-4d8b-9148-e3be6c30e623}">
          <xlrd:rvb i="8792"/>
        </ext>
      </extLst>
    </bk>
    <bk>
      <extLst>
        <ext uri="{3e2802c4-a4d2-4d8b-9148-e3be6c30e623}">
          <xlrd:rvb i="8793"/>
        </ext>
      </extLst>
    </bk>
    <bk>
      <extLst>
        <ext uri="{3e2802c4-a4d2-4d8b-9148-e3be6c30e623}">
          <xlrd:rvb i="8794"/>
        </ext>
      </extLst>
    </bk>
    <bk>
      <extLst>
        <ext uri="{3e2802c4-a4d2-4d8b-9148-e3be6c30e623}">
          <xlrd:rvb i="8795"/>
        </ext>
      </extLst>
    </bk>
    <bk>
      <extLst>
        <ext uri="{3e2802c4-a4d2-4d8b-9148-e3be6c30e623}">
          <xlrd:rvb i="8796"/>
        </ext>
      </extLst>
    </bk>
    <bk>
      <extLst>
        <ext uri="{3e2802c4-a4d2-4d8b-9148-e3be6c30e623}">
          <xlrd:rvb i="8797"/>
        </ext>
      </extLst>
    </bk>
    <bk>
      <extLst>
        <ext uri="{3e2802c4-a4d2-4d8b-9148-e3be6c30e623}">
          <xlrd:rvb i="8798"/>
        </ext>
      </extLst>
    </bk>
    <bk>
      <extLst>
        <ext uri="{3e2802c4-a4d2-4d8b-9148-e3be6c30e623}">
          <xlrd:rvb i="8799"/>
        </ext>
      </extLst>
    </bk>
    <bk>
      <extLst>
        <ext uri="{3e2802c4-a4d2-4d8b-9148-e3be6c30e623}">
          <xlrd:rvb i="8800"/>
        </ext>
      </extLst>
    </bk>
    <bk>
      <extLst>
        <ext uri="{3e2802c4-a4d2-4d8b-9148-e3be6c30e623}">
          <xlrd:rvb i="8801"/>
        </ext>
      </extLst>
    </bk>
    <bk>
      <extLst>
        <ext uri="{3e2802c4-a4d2-4d8b-9148-e3be6c30e623}">
          <xlrd:rvb i="8802"/>
        </ext>
      </extLst>
    </bk>
    <bk>
      <extLst>
        <ext uri="{3e2802c4-a4d2-4d8b-9148-e3be6c30e623}">
          <xlrd:rvb i="8803"/>
        </ext>
      </extLst>
    </bk>
    <bk>
      <extLst>
        <ext uri="{3e2802c4-a4d2-4d8b-9148-e3be6c30e623}">
          <xlrd:rvb i="8804"/>
        </ext>
      </extLst>
    </bk>
    <bk>
      <extLst>
        <ext uri="{3e2802c4-a4d2-4d8b-9148-e3be6c30e623}">
          <xlrd:rvb i="8805"/>
        </ext>
      </extLst>
    </bk>
    <bk>
      <extLst>
        <ext uri="{3e2802c4-a4d2-4d8b-9148-e3be6c30e623}">
          <xlrd:rvb i="8806"/>
        </ext>
      </extLst>
    </bk>
    <bk>
      <extLst>
        <ext uri="{3e2802c4-a4d2-4d8b-9148-e3be6c30e623}">
          <xlrd:rvb i="8807"/>
        </ext>
      </extLst>
    </bk>
    <bk>
      <extLst>
        <ext uri="{3e2802c4-a4d2-4d8b-9148-e3be6c30e623}">
          <xlrd:rvb i="8808"/>
        </ext>
      </extLst>
    </bk>
    <bk>
      <extLst>
        <ext uri="{3e2802c4-a4d2-4d8b-9148-e3be6c30e623}">
          <xlrd:rvb i="8809"/>
        </ext>
      </extLst>
    </bk>
    <bk>
      <extLst>
        <ext uri="{3e2802c4-a4d2-4d8b-9148-e3be6c30e623}">
          <xlrd:rvb i="8810"/>
        </ext>
      </extLst>
    </bk>
    <bk>
      <extLst>
        <ext uri="{3e2802c4-a4d2-4d8b-9148-e3be6c30e623}">
          <xlrd:rvb i="8811"/>
        </ext>
      </extLst>
    </bk>
    <bk>
      <extLst>
        <ext uri="{3e2802c4-a4d2-4d8b-9148-e3be6c30e623}">
          <xlrd:rvb i="8812"/>
        </ext>
      </extLst>
    </bk>
    <bk>
      <extLst>
        <ext uri="{3e2802c4-a4d2-4d8b-9148-e3be6c30e623}">
          <xlrd:rvb i="8813"/>
        </ext>
      </extLst>
    </bk>
    <bk>
      <extLst>
        <ext uri="{3e2802c4-a4d2-4d8b-9148-e3be6c30e623}">
          <xlrd:rvb i="8814"/>
        </ext>
      </extLst>
    </bk>
    <bk>
      <extLst>
        <ext uri="{3e2802c4-a4d2-4d8b-9148-e3be6c30e623}">
          <xlrd:rvb i="8815"/>
        </ext>
      </extLst>
    </bk>
    <bk>
      <extLst>
        <ext uri="{3e2802c4-a4d2-4d8b-9148-e3be6c30e623}">
          <xlrd:rvb i="8816"/>
        </ext>
      </extLst>
    </bk>
    <bk>
      <extLst>
        <ext uri="{3e2802c4-a4d2-4d8b-9148-e3be6c30e623}">
          <xlrd:rvb i="8817"/>
        </ext>
      </extLst>
    </bk>
    <bk>
      <extLst>
        <ext uri="{3e2802c4-a4d2-4d8b-9148-e3be6c30e623}">
          <xlrd:rvb i="8818"/>
        </ext>
      </extLst>
    </bk>
    <bk>
      <extLst>
        <ext uri="{3e2802c4-a4d2-4d8b-9148-e3be6c30e623}">
          <xlrd:rvb i="8819"/>
        </ext>
      </extLst>
    </bk>
    <bk>
      <extLst>
        <ext uri="{3e2802c4-a4d2-4d8b-9148-e3be6c30e623}">
          <xlrd:rvb i="8820"/>
        </ext>
      </extLst>
    </bk>
    <bk>
      <extLst>
        <ext uri="{3e2802c4-a4d2-4d8b-9148-e3be6c30e623}">
          <xlrd:rvb i="8821"/>
        </ext>
      </extLst>
    </bk>
    <bk>
      <extLst>
        <ext uri="{3e2802c4-a4d2-4d8b-9148-e3be6c30e623}">
          <xlrd:rvb i="8822"/>
        </ext>
      </extLst>
    </bk>
    <bk>
      <extLst>
        <ext uri="{3e2802c4-a4d2-4d8b-9148-e3be6c30e623}">
          <xlrd:rvb i="8823"/>
        </ext>
      </extLst>
    </bk>
    <bk>
      <extLst>
        <ext uri="{3e2802c4-a4d2-4d8b-9148-e3be6c30e623}">
          <xlrd:rvb i="8824"/>
        </ext>
      </extLst>
    </bk>
    <bk>
      <extLst>
        <ext uri="{3e2802c4-a4d2-4d8b-9148-e3be6c30e623}">
          <xlrd:rvb i="8825"/>
        </ext>
      </extLst>
    </bk>
    <bk>
      <extLst>
        <ext uri="{3e2802c4-a4d2-4d8b-9148-e3be6c30e623}">
          <xlrd:rvb i="8826"/>
        </ext>
      </extLst>
    </bk>
    <bk>
      <extLst>
        <ext uri="{3e2802c4-a4d2-4d8b-9148-e3be6c30e623}">
          <xlrd:rvb i="8827"/>
        </ext>
      </extLst>
    </bk>
    <bk>
      <extLst>
        <ext uri="{3e2802c4-a4d2-4d8b-9148-e3be6c30e623}">
          <xlrd:rvb i="8828"/>
        </ext>
      </extLst>
    </bk>
    <bk>
      <extLst>
        <ext uri="{3e2802c4-a4d2-4d8b-9148-e3be6c30e623}">
          <xlrd:rvb i="8829"/>
        </ext>
      </extLst>
    </bk>
    <bk>
      <extLst>
        <ext uri="{3e2802c4-a4d2-4d8b-9148-e3be6c30e623}">
          <xlrd:rvb i="8830"/>
        </ext>
      </extLst>
    </bk>
    <bk>
      <extLst>
        <ext uri="{3e2802c4-a4d2-4d8b-9148-e3be6c30e623}">
          <xlrd:rvb i="8831"/>
        </ext>
      </extLst>
    </bk>
    <bk>
      <extLst>
        <ext uri="{3e2802c4-a4d2-4d8b-9148-e3be6c30e623}">
          <xlrd:rvb i="8832"/>
        </ext>
      </extLst>
    </bk>
    <bk>
      <extLst>
        <ext uri="{3e2802c4-a4d2-4d8b-9148-e3be6c30e623}">
          <xlrd:rvb i="8833"/>
        </ext>
      </extLst>
    </bk>
    <bk>
      <extLst>
        <ext uri="{3e2802c4-a4d2-4d8b-9148-e3be6c30e623}">
          <xlrd:rvb i="8834"/>
        </ext>
      </extLst>
    </bk>
    <bk>
      <extLst>
        <ext uri="{3e2802c4-a4d2-4d8b-9148-e3be6c30e623}">
          <xlrd:rvb i="8835"/>
        </ext>
      </extLst>
    </bk>
    <bk>
      <extLst>
        <ext uri="{3e2802c4-a4d2-4d8b-9148-e3be6c30e623}">
          <xlrd:rvb i="8836"/>
        </ext>
      </extLst>
    </bk>
    <bk>
      <extLst>
        <ext uri="{3e2802c4-a4d2-4d8b-9148-e3be6c30e623}">
          <xlrd:rvb i="8837"/>
        </ext>
      </extLst>
    </bk>
    <bk>
      <extLst>
        <ext uri="{3e2802c4-a4d2-4d8b-9148-e3be6c30e623}">
          <xlrd:rvb i="8838"/>
        </ext>
      </extLst>
    </bk>
    <bk>
      <extLst>
        <ext uri="{3e2802c4-a4d2-4d8b-9148-e3be6c30e623}">
          <xlrd:rvb i="8839"/>
        </ext>
      </extLst>
    </bk>
    <bk>
      <extLst>
        <ext uri="{3e2802c4-a4d2-4d8b-9148-e3be6c30e623}">
          <xlrd:rvb i="8840"/>
        </ext>
      </extLst>
    </bk>
    <bk>
      <extLst>
        <ext uri="{3e2802c4-a4d2-4d8b-9148-e3be6c30e623}">
          <xlrd:rvb i="8841"/>
        </ext>
      </extLst>
    </bk>
    <bk>
      <extLst>
        <ext uri="{3e2802c4-a4d2-4d8b-9148-e3be6c30e623}">
          <xlrd:rvb i="8842"/>
        </ext>
      </extLst>
    </bk>
    <bk>
      <extLst>
        <ext uri="{3e2802c4-a4d2-4d8b-9148-e3be6c30e623}">
          <xlrd:rvb i="8843"/>
        </ext>
      </extLst>
    </bk>
    <bk>
      <extLst>
        <ext uri="{3e2802c4-a4d2-4d8b-9148-e3be6c30e623}">
          <xlrd:rvb i="8844"/>
        </ext>
      </extLst>
    </bk>
    <bk>
      <extLst>
        <ext uri="{3e2802c4-a4d2-4d8b-9148-e3be6c30e623}">
          <xlrd:rvb i="8845"/>
        </ext>
      </extLst>
    </bk>
    <bk>
      <extLst>
        <ext uri="{3e2802c4-a4d2-4d8b-9148-e3be6c30e623}">
          <xlrd:rvb i="8846"/>
        </ext>
      </extLst>
    </bk>
    <bk>
      <extLst>
        <ext uri="{3e2802c4-a4d2-4d8b-9148-e3be6c30e623}">
          <xlrd:rvb i="8847"/>
        </ext>
      </extLst>
    </bk>
    <bk>
      <extLst>
        <ext uri="{3e2802c4-a4d2-4d8b-9148-e3be6c30e623}">
          <xlrd:rvb i="8848"/>
        </ext>
      </extLst>
    </bk>
    <bk>
      <extLst>
        <ext uri="{3e2802c4-a4d2-4d8b-9148-e3be6c30e623}">
          <xlrd:rvb i="8849"/>
        </ext>
      </extLst>
    </bk>
    <bk>
      <extLst>
        <ext uri="{3e2802c4-a4d2-4d8b-9148-e3be6c30e623}">
          <xlrd:rvb i="8850"/>
        </ext>
      </extLst>
    </bk>
    <bk>
      <extLst>
        <ext uri="{3e2802c4-a4d2-4d8b-9148-e3be6c30e623}">
          <xlrd:rvb i="8851"/>
        </ext>
      </extLst>
    </bk>
    <bk>
      <extLst>
        <ext uri="{3e2802c4-a4d2-4d8b-9148-e3be6c30e623}">
          <xlrd:rvb i="8852"/>
        </ext>
      </extLst>
    </bk>
    <bk>
      <extLst>
        <ext uri="{3e2802c4-a4d2-4d8b-9148-e3be6c30e623}">
          <xlrd:rvb i="8853"/>
        </ext>
      </extLst>
    </bk>
    <bk>
      <extLst>
        <ext uri="{3e2802c4-a4d2-4d8b-9148-e3be6c30e623}">
          <xlrd:rvb i="8854"/>
        </ext>
      </extLst>
    </bk>
    <bk>
      <extLst>
        <ext uri="{3e2802c4-a4d2-4d8b-9148-e3be6c30e623}">
          <xlrd:rvb i="8855"/>
        </ext>
      </extLst>
    </bk>
    <bk>
      <extLst>
        <ext uri="{3e2802c4-a4d2-4d8b-9148-e3be6c30e623}">
          <xlrd:rvb i="8856"/>
        </ext>
      </extLst>
    </bk>
    <bk>
      <extLst>
        <ext uri="{3e2802c4-a4d2-4d8b-9148-e3be6c30e623}">
          <xlrd:rvb i="8857"/>
        </ext>
      </extLst>
    </bk>
    <bk>
      <extLst>
        <ext uri="{3e2802c4-a4d2-4d8b-9148-e3be6c30e623}">
          <xlrd:rvb i="8858"/>
        </ext>
      </extLst>
    </bk>
    <bk>
      <extLst>
        <ext uri="{3e2802c4-a4d2-4d8b-9148-e3be6c30e623}">
          <xlrd:rvb i="8859"/>
        </ext>
      </extLst>
    </bk>
    <bk>
      <extLst>
        <ext uri="{3e2802c4-a4d2-4d8b-9148-e3be6c30e623}">
          <xlrd:rvb i="8860"/>
        </ext>
      </extLst>
    </bk>
    <bk>
      <extLst>
        <ext uri="{3e2802c4-a4d2-4d8b-9148-e3be6c30e623}">
          <xlrd:rvb i="8861"/>
        </ext>
      </extLst>
    </bk>
    <bk>
      <extLst>
        <ext uri="{3e2802c4-a4d2-4d8b-9148-e3be6c30e623}">
          <xlrd:rvb i="8862"/>
        </ext>
      </extLst>
    </bk>
    <bk>
      <extLst>
        <ext uri="{3e2802c4-a4d2-4d8b-9148-e3be6c30e623}">
          <xlrd:rvb i="8863"/>
        </ext>
      </extLst>
    </bk>
    <bk>
      <extLst>
        <ext uri="{3e2802c4-a4d2-4d8b-9148-e3be6c30e623}">
          <xlrd:rvb i="8864"/>
        </ext>
      </extLst>
    </bk>
    <bk>
      <extLst>
        <ext uri="{3e2802c4-a4d2-4d8b-9148-e3be6c30e623}">
          <xlrd:rvb i="8865"/>
        </ext>
      </extLst>
    </bk>
    <bk>
      <extLst>
        <ext uri="{3e2802c4-a4d2-4d8b-9148-e3be6c30e623}">
          <xlrd:rvb i="8866"/>
        </ext>
      </extLst>
    </bk>
    <bk>
      <extLst>
        <ext uri="{3e2802c4-a4d2-4d8b-9148-e3be6c30e623}">
          <xlrd:rvb i="8867"/>
        </ext>
      </extLst>
    </bk>
    <bk>
      <extLst>
        <ext uri="{3e2802c4-a4d2-4d8b-9148-e3be6c30e623}">
          <xlrd:rvb i="8868"/>
        </ext>
      </extLst>
    </bk>
    <bk>
      <extLst>
        <ext uri="{3e2802c4-a4d2-4d8b-9148-e3be6c30e623}">
          <xlrd:rvb i="8869"/>
        </ext>
      </extLst>
    </bk>
    <bk>
      <extLst>
        <ext uri="{3e2802c4-a4d2-4d8b-9148-e3be6c30e623}">
          <xlrd:rvb i="8870"/>
        </ext>
      </extLst>
    </bk>
    <bk>
      <extLst>
        <ext uri="{3e2802c4-a4d2-4d8b-9148-e3be6c30e623}">
          <xlrd:rvb i="8871"/>
        </ext>
      </extLst>
    </bk>
    <bk>
      <extLst>
        <ext uri="{3e2802c4-a4d2-4d8b-9148-e3be6c30e623}">
          <xlrd:rvb i="8872"/>
        </ext>
      </extLst>
    </bk>
    <bk>
      <extLst>
        <ext uri="{3e2802c4-a4d2-4d8b-9148-e3be6c30e623}">
          <xlrd:rvb i="8873"/>
        </ext>
      </extLst>
    </bk>
    <bk>
      <extLst>
        <ext uri="{3e2802c4-a4d2-4d8b-9148-e3be6c30e623}">
          <xlrd:rvb i="8874"/>
        </ext>
      </extLst>
    </bk>
    <bk>
      <extLst>
        <ext uri="{3e2802c4-a4d2-4d8b-9148-e3be6c30e623}">
          <xlrd:rvb i="8875"/>
        </ext>
      </extLst>
    </bk>
    <bk>
      <extLst>
        <ext uri="{3e2802c4-a4d2-4d8b-9148-e3be6c30e623}">
          <xlrd:rvb i="8876"/>
        </ext>
      </extLst>
    </bk>
    <bk>
      <extLst>
        <ext uri="{3e2802c4-a4d2-4d8b-9148-e3be6c30e623}">
          <xlrd:rvb i="8877"/>
        </ext>
      </extLst>
    </bk>
    <bk>
      <extLst>
        <ext uri="{3e2802c4-a4d2-4d8b-9148-e3be6c30e623}">
          <xlrd:rvb i="8878"/>
        </ext>
      </extLst>
    </bk>
    <bk>
      <extLst>
        <ext uri="{3e2802c4-a4d2-4d8b-9148-e3be6c30e623}">
          <xlrd:rvb i="8879"/>
        </ext>
      </extLst>
    </bk>
    <bk>
      <extLst>
        <ext uri="{3e2802c4-a4d2-4d8b-9148-e3be6c30e623}">
          <xlrd:rvb i="8880"/>
        </ext>
      </extLst>
    </bk>
    <bk>
      <extLst>
        <ext uri="{3e2802c4-a4d2-4d8b-9148-e3be6c30e623}">
          <xlrd:rvb i="8881"/>
        </ext>
      </extLst>
    </bk>
    <bk>
      <extLst>
        <ext uri="{3e2802c4-a4d2-4d8b-9148-e3be6c30e623}">
          <xlrd:rvb i="8882"/>
        </ext>
      </extLst>
    </bk>
    <bk>
      <extLst>
        <ext uri="{3e2802c4-a4d2-4d8b-9148-e3be6c30e623}">
          <xlrd:rvb i="8883"/>
        </ext>
      </extLst>
    </bk>
    <bk>
      <extLst>
        <ext uri="{3e2802c4-a4d2-4d8b-9148-e3be6c30e623}">
          <xlrd:rvb i="8884"/>
        </ext>
      </extLst>
    </bk>
    <bk>
      <extLst>
        <ext uri="{3e2802c4-a4d2-4d8b-9148-e3be6c30e623}">
          <xlrd:rvb i="8885"/>
        </ext>
      </extLst>
    </bk>
    <bk>
      <extLst>
        <ext uri="{3e2802c4-a4d2-4d8b-9148-e3be6c30e623}">
          <xlrd:rvb i="8886"/>
        </ext>
      </extLst>
    </bk>
    <bk>
      <extLst>
        <ext uri="{3e2802c4-a4d2-4d8b-9148-e3be6c30e623}">
          <xlrd:rvb i="8887"/>
        </ext>
      </extLst>
    </bk>
    <bk>
      <extLst>
        <ext uri="{3e2802c4-a4d2-4d8b-9148-e3be6c30e623}">
          <xlrd:rvb i="8888"/>
        </ext>
      </extLst>
    </bk>
    <bk>
      <extLst>
        <ext uri="{3e2802c4-a4d2-4d8b-9148-e3be6c30e623}">
          <xlrd:rvb i="8889"/>
        </ext>
      </extLst>
    </bk>
    <bk>
      <extLst>
        <ext uri="{3e2802c4-a4d2-4d8b-9148-e3be6c30e623}">
          <xlrd:rvb i="8890"/>
        </ext>
      </extLst>
    </bk>
    <bk>
      <extLst>
        <ext uri="{3e2802c4-a4d2-4d8b-9148-e3be6c30e623}">
          <xlrd:rvb i="8891"/>
        </ext>
      </extLst>
    </bk>
    <bk>
      <extLst>
        <ext uri="{3e2802c4-a4d2-4d8b-9148-e3be6c30e623}">
          <xlrd:rvb i="8892"/>
        </ext>
      </extLst>
    </bk>
    <bk>
      <extLst>
        <ext uri="{3e2802c4-a4d2-4d8b-9148-e3be6c30e623}">
          <xlrd:rvb i="8893"/>
        </ext>
      </extLst>
    </bk>
    <bk>
      <extLst>
        <ext uri="{3e2802c4-a4d2-4d8b-9148-e3be6c30e623}">
          <xlrd:rvb i="8894"/>
        </ext>
      </extLst>
    </bk>
    <bk>
      <extLst>
        <ext uri="{3e2802c4-a4d2-4d8b-9148-e3be6c30e623}">
          <xlrd:rvb i="8895"/>
        </ext>
      </extLst>
    </bk>
    <bk>
      <extLst>
        <ext uri="{3e2802c4-a4d2-4d8b-9148-e3be6c30e623}">
          <xlrd:rvb i="8896"/>
        </ext>
      </extLst>
    </bk>
    <bk>
      <extLst>
        <ext uri="{3e2802c4-a4d2-4d8b-9148-e3be6c30e623}">
          <xlrd:rvb i="8897"/>
        </ext>
      </extLst>
    </bk>
    <bk>
      <extLst>
        <ext uri="{3e2802c4-a4d2-4d8b-9148-e3be6c30e623}">
          <xlrd:rvb i="8898"/>
        </ext>
      </extLst>
    </bk>
    <bk>
      <extLst>
        <ext uri="{3e2802c4-a4d2-4d8b-9148-e3be6c30e623}">
          <xlrd:rvb i="8899"/>
        </ext>
      </extLst>
    </bk>
    <bk>
      <extLst>
        <ext uri="{3e2802c4-a4d2-4d8b-9148-e3be6c30e623}">
          <xlrd:rvb i="8900"/>
        </ext>
      </extLst>
    </bk>
    <bk>
      <extLst>
        <ext uri="{3e2802c4-a4d2-4d8b-9148-e3be6c30e623}">
          <xlrd:rvb i="8901"/>
        </ext>
      </extLst>
    </bk>
    <bk>
      <extLst>
        <ext uri="{3e2802c4-a4d2-4d8b-9148-e3be6c30e623}">
          <xlrd:rvb i="8902"/>
        </ext>
      </extLst>
    </bk>
    <bk>
      <extLst>
        <ext uri="{3e2802c4-a4d2-4d8b-9148-e3be6c30e623}">
          <xlrd:rvb i="8903"/>
        </ext>
      </extLst>
    </bk>
    <bk>
      <extLst>
        <ext uri="{3e2802c4-a4d2-4d8b-9148-e3be6c30e623}">
          <xlrd:rvb i="8904"/>
        </ext>
      </extLst>
    </bk>
    <bk>
      <extLst>
        <ext uri="{3e2802c4-a4d2-4d8b-9148-e3be6c30e623}">
          <xlrd:rvb i="8905"/>
        </ext>
      </extLst>
    </bk>
    <bk>
      <extLst>
        <ext uri="{3e2802c4-a4d2-4d8b-9148-e3be6c30e623}">
          <xlrd:rvb i="8906"/>
        </ext>
      </extLst>
    </bk>
    <bk>
      <extLst>
        <ext uri="{3e2802c4-a4d2-4d8b-9148-e3be6c30e623}">
          <xlrd:rvb i="8907"/>
        </ext>
      </extLst>
    </bk>
    <bk>
      <extLst>
        <ext uri="{3e2802c4-a4d2-4d8b-9148-e3be6c30e623}">
          <xlrd:rvb i="8908"/>
        </ext>
      </extLst>
    </bk>
    <bk>
      <extLst>
        <ext uri="{3e2802c4-a4d2-4d8b-9148-e3be6c30e623}">
          <xlrd:rvb i="8909"/>
        </ext>
      </extLst>
    </bk>
    <bk>
      <extLst>
        <ext uri="{3e2802c4-a4d2-4d8b-9148-e3be6c30e623}">
          <xlrd:rvb i="8910"/>
        </ext>
      </extLst>
    </bk>
    <bk>
      <extLst>
        <ext uri="{3e2802c4-a4d2-4d8b-9148-e3be6c30e623}">
          <xlrd:rvb i="8911"/>
        </ext>
      </extLst>
    </bk>
    <bk>
      <extLst>
        <ext uri="{3e2802c4-a4d2-4d8b-9148-e3be6c30e623}">
          <xlrd:rvb i="8912"/>
        </ext>
      </extLst>
    </bk>
    <bk>
      <extLst>
        <ext uri="{3e2802c4-a4d2-4d8b-9148-e3be6c30e623}">
          <xlrd:rvb i="8913"/>
        </ext>
      </extLst>
    </bk>
    <bk>
      <extLst>
        <ext uri="{3e2802c4-a4d2-4d8b-9148-e3be6c30e623}">
          <xlrd:rvb i="8914"/>
        </ext>
      </extLst>
    </bk>
    <bk>
      <extLst>
        <ext uri="{3e2802c4-a4d2-4d8b-9148-e3be6c30e623}">
          <xlrd:rvb i="8915"/>
        </ext>
      </extLst>
    </bk>
    <bk>
      <extLst>
        <ext uri="{3e2802c4-a4d2-4d8b-9148-e3be6c30e623}">
          <xlrd:rvb i="8916"/>
        </ext>
      </extLst>
    </bk>
    <bk>
      <extLst>
        <ext uri="{3e2802c4-a4d2-4d8b-9148-e3be6c30e623}">
          <xlrd:rvb i="8917"/>
        </ext>
      </extLst>
    </bk>
    <bk>
      <extLst>
        <ext uri="{3e2802c4-a4d2-4d8b-9148-e3be6c30e623}">
          <xlrd:rvb i="8918"/>
        </ext>
      </extLst>
    </bk>
    <bk>
      <extLst>
        <ext uri="{3e2802c4-a4d2-4d8b-9148-e3be6c30e623}">
          <xlrd:rvb i="8919"/>
        </ext>
      </extLst>
    </bk>
    <bk>
      <extLst>
        <ext uri="{3e2802c4-a4d2-4d8b-9148-e3be6c30e623}">
          <xlrd:rvb i="8920"/>
        </ext>
      </extLst>
    </bk>
    <bk>
      <extLst>
        <ext uri="{3e2802c4-a4d2-4d8b-9148-e3be6c30e623}">
          <xlrd:rvb i="8921"/>
        </ext>
      </extLst>
    </bk>
    <bk>
      <extLst>
        <ext uri="{3e2802c4-a4d2-4d8b-9148-e3be6c30e623}">
          <xlrd:rvb i="8922"/>
        </ext>
      </extLst>
    </bk>
    <bk>
      <extLst>
        <ext uri="{3e2802c4-a4d2-4d8b-9148-e3be6c30e623}">
          <xlrd:rvb i="8923"/>
        </ext>
      </extLst>
    </bk>
    <bk>
      <extLst>
        <ext uri="{3e2802c4-a4d2-4d8b-9148-e3be6c30e623}">
          <xlrd:rvb i="8924"/>
        </ext>
      </extLst>
    </bk>
    <bk>
      <extLst>
        <ext uri="{3e2802c4-a4d2-4d8b-9148-e3be6c30e623}">
          <xlrd:rvb i="8925"/>
        </ext>
      </extLst>
    </bk>
    <bk>
      <extLst>
        <ext uri="{3e2802c4-a4d2-4d8b-9148-e3be6c30e623}">
          <xlrd:rvb i="8926"/>
        </ext>
      </extLst>
    </bk>
    <bk>
      <extLst>
        <ext uri="{3e2802c4-a4d2-4d8b-9148-e3be6c30e623}">
          <xlrd:rvb i="8927"/>
        </ext>
      </extLst>
    </bk>
    <bk>
      <extLst>
        <ext uri="{3e2802c4-a4d2-4d8b-9148-e3be6c30e623}">
          <xlrd:rvb i="8928"/>
        </ext>
      </extLst>
    </bk>
    <bk>
      <extLst>
        <ext uri="{3e2802c4-a4d2-4d8b-9148-e3be6c30e623}">
          <xlrd:rvb i="8929"/>
        </ext>
      </extLst>
    </bk>
    <bk>
      <extLst>
        <ext uri="{3e2802c4-a4d2-4d8b-9148-e3be6c30e623}">
          <xlrd:rvb i="8930"/>
        </ext>
      </extLst>
    </bk>
    <bk>
      <extLst>
        <ext uri="{3e2802c4-a4d2-4d8b-9148-e3be6c30e623}">
          <xlrd:rvb i="8931"/>
        </ext>
      </extLst>
    </bk>
    <bk>
      <extLst>
        <ext uri="{3e2802c4-a4d2-4d8b-9148-e3be6c30e623}">
          <xlrd:rvb i="8932"/>
        </ext>
      </extLst>
    </bk>
    <bk>
      <extLst>
        <ext uri="{3e2802c4-a4d2-4d8b-9148-e3be6c30e623}">
          <xlrd:rvb i="8933"/>
        </ext>
      </extLst>
    </bk>
    <bk>
      <extLst>
        <ext uri="{3e2802c4-a4d2-4d8b-9148-e3be6c30e623}">
          <xlrd:rvb i="8934"/>
        </ext>
      </extLst>
    </bk>
    <bk>
      <extLst>
        <ext uri="{3e2802c4-a4d2-4d8b-9148-e3be6c30e623}">
          <xlrd:rvb i="8935"/>
        </ext>
      </extLst>
    </bk>
    <bk>
      <extLst>
        <ext uri="{3e2802c4-a4d2-4d8b-9148-e3be6c30e623}">
          <xlrd:rvb i="8936"/>
        </ext>
      </extLst>
    </bk>
    <bk>
      <extLst>
        <ext uri="{3e2802c4-a4d2-4d8b-9148-e3be6c30e623}">
          <xlrd:rvb i="8937"/>
        </ext>
      </extLst>
    </bk>
    <bk>
      <extLst>
        <ext uri="{3e2802c4-a4d2-4d8b-9148-e3be6c30e623}">
          <xlrd:rvb i="8938"/>
        </ext>
      </extLst>
    </bk>
    <bk>
      <extLst>
        <ext uri="{3e2802c4-a4d2-4d8b-9148-e3be6c30e623}">
          <xlrd:rvb i="8939"/>
        </ext>
      </extLst>
    </bk>
    <bk>
      <extLst>
        <ext uri="{3e2802c4-a4d2-4d8b-9148-e3be6c30e623}">
          <xlrd:rvb i="8940"/>
        </ext>
      </extLst>
    </bk>
    <bk>
      <extLst>
        <ext uri="{3e2802c4-a4d2-4d8b-9148-e3be6c30e623}">
          <xlrd:rvb i="8941"/>
        </ext>
      </extLst>
    </bk>
    <bk>
      <extLst>
        <ext uri="{3e2802c4-a4d2-4d8b-9148-e3be6c30e623}">
          <xlrd:rvb i="8942"/>
        </ext>
      </extLst>
    </bk>
    <bk>
      <extLst>
        <ext uri="{3e2802c4-a4d2-4d8b-9148-e3be6c30e623}">
          <xlrd:rvb i="8943"/>
        </ext>
      </extLst>
    </bk>
    <bk>
      <extLst>
        <ext uri="{3e2802c4-a4d2-4d8b-9148-e3be6c30e623}">
          <xlrd:rvb i="8944"/>
        </ext>
      </extLst>
    </bk>
    <bk>
      <extLst>
        <ext uri="{3e2802c4-a4d2-4d8b-9148-e3be6c30e623}">
          <xlrd:rvb i="8945"/>
        </ext>
      </extLst>
    </bk>
    <bk>
      <extLst>
        <ext uri="{3e2802c4-a4d2-4d8b-9148-e3be6c30e623}">
          <xlrd:rvb i="8946"/>
        </ext>
      </extLst>
    </bk>
    <bk>
      <extLst>
        <ext uri="{3e2802c4-a4d2-4d8b-9148-e3be6c30e623}">
          <xlrd:rvb i="8947"/>
        </ext>
      </extLst>
    </bk>
    <bk>
      <extLst>
        <ext uri="{3e2802c4-a4d2-4d8b-9148-e3be6c30e623}">
          <xlrd:rvb i="8948"/>
        </ext>
      </extLst>
    </bk>
    <bk>
      <extLst>
        <ext uri="{3e2802c4-a4d2-4d8b-9148-e3be6c30e623}">
          <xlrd:rvb i="8949"/>
        </ext>
      </extLst>
    </bk>
    <bk>
      <extLst>
        <ext uri="{3e2802c4-a4d2-4d8b-9148-e3be6c30e623}">
          <xlrd:rvb i="8950"/>
        </ext>
      </extLst>
    </bk>
    <bk>
      <extLst>
        <ext uri="{3e2802c4-a4d2-4d8b-9148-e3be6c30e623}">
          <xlrd:rvb i="8951"/>
        </ext>
      </extLst>
    </bk>
    <bk>
      <extLst>
        <ext uri="{3e2802c4-a4d2-4d8b-9148-e3be6c30e623}">
          <xlrd:rvb i="8952"/>
        </ext>
      </extLst>
    </bk>
    <bk>
      <extLst>
        <ext uri="{3e2802c4-a4d2-4d8b-9148-e3be6c30e623}">
          <xlrd:rvb i="8953"/>
        </ext>
      </extLst>
    </bk>
    <bk>
      <extLst>
        <ext uri="{3e2802c4-a4d2-4d8b-9148-e3be6c30e623}">
          <xlrd:rvb i="8954"/>
        </ext>
      </extLst>
    </bk>
    <bk>
      <extLst>
        <ext uri="{3e2802c4-a4d2-4d8b-9148-e3be6c30e623}">
          <xlrd:rvb i="8955"/>
        </ext>
      </extLst>
    </bk>
    <bk>
      <extLst>
        <ext uri="{3e2802c4-a4d2-4d8b-9148-e3be6c30e623}">
          <xlrd:rvb i="8956"/>
        </ext>
      </extLst>
    </bk>
    <bk>
      <extLst>
        <ext uri="{3e2802c4-a4d2-4d8b-9148-e3be6c30e623}">
          <xlrd:rvb i="8957"/>
        </ext>
      </extLst>
    </bk>
    <bk>
      <extLst>
        <ext uri="{3e2802c4-a4d2-4d8b-9148-e3be6c30e623}">
          <xlrd:rvb i="8958"/>
        </ext>
      </extLst>
    </bk>
    <bk>
      <extLst>
        <ext uri="{3e2802c4-a4d2-4d8b-9148-e3be6c30e623}">
          <xlrd:rvb i="8959"/>
        </ext>
      </extLst>
    </bk>
    <bk>
      <extLst>
        <ext uri="{3e2802c4-a4d2-4d8b-9148-e3be6c30e623}">
          <xlrd:rvb i="8960"/>
        </ext>
      </extLst>
    </bk>
    <bk>
      <extLst>
        <ext uri="{3e2802c4-a4d2-4d8b-9148-e3be6c30e623}">
          <xlrd:rvb i="8961"/>
        </ext>
      </extLst>
    </bk>
    <bk>
      <extLst>
        <ext uri="{3e2802c4-a4d2-4d8b-9148-e3be6c30e623}">
          <xlrd:rvb i="8962"/>
        </ext>
      </extLst>
    </bk>
    <bk>
      <extLst>
        <ext uri="{3e2802c4-a4d2-4d8b-9148-e3be6c30e623}">
          <xlrd:rvb i="8963"/>
        </ext>
      </extLst>
    </bk>
    <bk>
      <extLst>
        <ext uri="{3e2802c4-a4d2-4d8b-9148-e3be6c30e623}">
          <xlrd:rvb i="8964"/>
        </ext>
      </extLst>
    </bk>
    <bk>
      <extLst>
        <ext uri="{3e2802c4-a4d2-4d8b-9148-e3be6c30e623}">
          <xlrd:rvb i="8965"/>
        </ext>
      </extLst>
    </bk>
    <bk>
      <extLst>
        <ext uri="{3e2802c4-a4d2-4d8b-9148-e3be6c30e623}">
          <xlrd:rvb i="8966"/>
        </ext>
      </extLst>
    </bk>
    <bk>
      <extLst>
        <ext uri="{3e2802c4-a4d2-4d8b-9148-e3be6c30e623}">
          <xlrd:rvb i="8967"/>
        </ext>
      </extLst>
    </bk>
    <bk>
      <extLst>
        <ext uri="{3e2802c4-a4d2-4d8b-9148-e3be6c30e623}">
          <xlrd:rvb i="8968"/>
        </ext>
      </extLst>
    </bk>
    <bk>
      <extLst>
        <ext uri="{3e2802c4-a4d2-4d8b-9148-e3be6c30e623}">
          <xlrd:rvb i="8969"/>
        </ext>
      </extLst>
    </bk>
    <bk>
      <extLst>
        <ext uri="{3e2802c4-a4d2-4d8b-9148-e3be6c30e623}">
          <xlrd:rvb i="8970"/>
        </ext>
      </extLst>
    </bk>
    <bk>
      <extLst>
        <ext uri="{3e2802c4-a4d2-4d8b-9148-e3be6c30e623}">
          <xlrd:rvb i="8971"/>
        </ext>
      </extLst>
    </bk>
    <bk>
      <extLst>
        <ext uri="{3e2802c4-a4d2-4d8b-9148-e3be6c30e623}">
          <xlrd:rvb i="8972"/>
        </ext>
      </extLst>
    </bk>
    <bk>
      <extLst>
        <ext uri="{3e2802c4-a4d2-4d8b-9148-e3be6c30e623}">
          <xlrd:rvb i="8973"/>
        </ext>
      </extLst>
    </bk>
    <bk>
      <extLst>
        <ext uri="{3e2802c4-a4d2-4d8b-9148-e3be6c30e623}">
          <xlrd:rvb i="8974"/>
        </ext>
      </extLst>
    </bk>
    <bk>
      <extLst>
        <ext uri="{3e2802c4-a4d2-4d8b-9148-e3be6c30e623}">
          <xlrd:rvb i="8975"/>
        </ext>
      </extLst>
    </bk>
    <bk>
      <extLst>
        <ext uri="{3e2802c4-a4d2-4d8b-9148-e3be6c30e623}">
          <xlrd:rvb i="8976"/>
        </ext>
      </extLst>
    </bk>
    <bk>
      <extLst>
        <ext uri="{3e2802c4-a4d2-4d8b-9148-e3be6c30e623}">
          <xlrd:rvb i="8977"/>
        </ext>
      </extLst>
    </bk>
    <bk>
      <extLst>
        <ext uri="{3e2802c4-a4d2-4d8b-9148-e3be6c30e623}">
          <xlrd:rvb i="8978"/>
        </ext>
      </extLst>
    </bk>
    <bk>
      <extLst>
        <ext uri="{3e2802c4-a4d2-4d8b-9148-e3be6c30e623}">
          <xlrd:rvb i="8979"/>
        </ext>
      </extLst>
    </bk>
    <bk>
      <extLst>
        <ext uri="{3e2802c4-a4d2-4d8b-9148-e3be6c30e623}">
          <xlrd:rvb i="8980"/>
        </ext>
      </extLst>
    </bk>
    <bk>
      <extLst>
        <ext uri="{3e2802c4-a4d2-4d8b-9148-e3be6c30e623}">
          <xlrd:rvb i="8981"/>
        </ext>
      </extLst>
    </bk>
    <bk>
      <extLst>
        <ext uri="{3e2802c4-a4d2-4d8b-9148-e3be6c30e623}">
          <xlrd:rvb i="8982"/>
        </ext>
      </extLst>
    </bk>
    <bk>
      <extLst>
        <ext uri="{3e2802c4-a4d2-4d8b-9148-e3be6c30e623}">
          <xlrd:rvb i="8983"/>
        </ext>
      </extLst>
    </bk>
    <bk>
      <extLst>
        <ext uri="{3e2802c4-a4d2-4d8b-9148-e3be6c30e623}">
          <xlrd:rvb i="8984"/>
        </ext>
      </extLst>
    </bk>
    <bk>
      <extLst>
        <ext uri="{3e2802c4-a4d2-4d8b-9148-e3be6c30e623}">
          <xlrd:rvb i="8985"/>
        </ext>
      </extLst>
    </bk>
    <bk>
      <extLst>
        <ext uri="{3e2802c4-a4d2-4d8b-9148-e3be6c30e623}">
          <xlrd:rvb i="8986"/>
        </ext>
      </extLst>
    </bk>
    <bk>
      <extLst>
        <ext uri="{3e2802c4-a4d2-4d8b-9148-e3be6c30e623}">
          <xlrd:rvb i="8987"/>
        </ext>
      </extLst>
    </bk>
    <bk>
      <extLst>
        <ext uri="{3e2802c4-a4d2-4d8b-9148-e3be6c30e623}">
          <xlrd:rvb i="8988"/>
        </ext>
      </extLst>
    </bk>
    <bk>
      <extLst>
        <ext uri="{3e2802c4-a4d2-4d8b-9148-e3be6c30e623}">
          <xlrd:rvb i="8989"/>
        </ext>
      </extLst>
    </bk>
    <bk>
      <extLst>
        <ext uri="{3e2802c4-a4d2-4d8b-9148-e3be6c30e623}">
          <xlrd:rvb i="8990"/>
        </ext>
      </extLst>
    </bk>
    <bk>
      <extLst>
        <ext uri="{3e2802c4-a4d2-4d8b-9148-e3be6c30e623}">
          <xlrd:rvb i="8991"/>
        </ext>
      </extLst>
    </bk>
    <bk>
      <extLst>
        <ext uri="{3e2802c4-a4d2-4d8b-9148-e3be6c30e623}">
          <xlrd:rvb i="8992"/>
        </ext>
      </extLst>
    </bk>
    <bk>
      <extLst>
        <ext uri="{3e2802c4-a4d2-4d8b-9148-e3be6c30e623}">
          <xlrd:rvb i="8993"/>
        </ext>
      </extLst>
    </bk>
    <bk>
      <extLst>
        <ext uri="{3e2802c4-a4d2-4d8b-9148-e3be6c30e623}">
          <xlrd:rvb i="8994"/>
        </ext>
      </extLst>
    </bk>
    <bk>
      <extLst>
        <ext uri="{3e2802c4-a4d2-4d8b-9148-e3be6c30e623}">
          <xlrd:rvb i="8995"/>
        </ext>
      </extLst>
    </bk>
    <bk>
      <extLst>
        <ext uri="{3e2802c4-a4d2-4d8b-9148-e3be6c30e623}">
          <xlrd:rvb i="8996"/>
        </ext>
      </extLst>
    </bk>
    <bk>
      <extLst>
        <ext uri="{3e2802c4-a4d2-4d8b-9148-e3be6c30e623}">
          <xlrd:rvb i="8997"/>
        </ext>
      </extLst>
    </bk>
    <bk>
      <extLst>
        <ext uri="{3e2802c4-a4d2-4d8b-9148-e3be6c30e623}">
          <xlrd:rvb i="8998"/>
        </ext>
      </extLst>
    </bk>
    <bk>
      <extLst>
        <ext uri="{3e2802c4-a4d2-4d8b-9148-e3be6c30e623}">
          <xlrd:rvb i="8999"/>
        </ext>
      </extLst>
    </bk>
    <bk>
      <extLst>
        <ext uri="{3e2802c4-a4d2-4d8b-9148-e3be6c30e623}">
          <xlrd:rvb i="9000"/>
        </ext>
      </extLst>
    </bk>
    <bk>
      <extLst>
        <ext uri="{3e2802c4-a4d2-4d8b-9148-e3be6c30e623}">
          <xlrd:rvb i="9001"/>
        </ext>
      </extLst>
    </bk>
    <bk>
      <extLst>
        <ext uri="{3e2802c4-a4d2-4d8b-9148-e3be6c30e623}">
          <xlrd:rvb i="9002"/>
        </ext>
      </extLst>
    </bk>
    <bk>
      <extLst>
        <ext uri="{3e2802c4-a4d2-4d8b-9148-e3be6c30e623}">
          <xlrd:rvb i="9003"/>
        </ext>
      </extLst>
    </bk>
    <bk>
      <extLst>
        <ext uri="{3e2802c4-a4d2-4d8b-9148-e3be6c30e623}">
          <xlrd:rvb i="9004"/>
        </ext>
      </extLst>
    </bk>
    <bk>
      <extLst>
        <ext uri="{3e2802c4-a4d2-4d8b-9148-e3be6c30e623}">
          <xlrd:rvb i="9005"/>
        </ext>
      </extLst>
    </bk>
    <bk>
      <extLst>
        <ext uri="{3e2802c4-a4d2-4d8b-9148-e3be6c30e623}">
          <xlrd:rvb i="9006"/>
        </ext>
      </extLst>
    </bk>
    <bk>
      <extLst>
        <ext uri="{3e2802c4-a4d2-4d8b-9148-e3be6c30e623}">
          <xlrd:rvb i="9007"/>
        </ext>
      </extLst>
    </bk>
    <bk>
      <extLst>
        <ext uri="{3e2802c4-a4d2-4d8b-9148-e3be6c30e623}">
          <xlrd:rvb i="9008"/>
        </ext>
      </extLst>
    </bk>
    <bk>
      <extLst>
        <ext uri="{3e2802c4-a4d2-4d8b-9148-e3be6c30e623}">
          <xlrd:rvb i="9009"/>
        </ext>
      </extLst>
    </bk>
    <bk>
      <extLst>
        <ext uri="{3e2802c4-a4d2-4d8b-9148-e3be6c30e623}">
          <xlrd:rvb i="9010"/>
        </ext>
      </extLst>
    </bk>
    <bk>
      <extLst>
        <ext uri="{3e2802c4-a4d2-4d8b-9148-e3be6c30e623}">
          <xlrd:rvb i="9011"/>
        </ext>
      </extLst>
    </bk>
    <bk>
      <extLst>
        <ext uri="{3e2802c4-a4d2-4d8b-9148-e3be6c30e623}">
          <xlrd:rvb i="9012"/>
        </ext>
      </extLst>
    </bk>
    <bk>
      <extLst>
        <ext uri="{3e2802c4-a4d2-4d8b-9148-e3be6c30e623}">
          <xlrd:rvb i="9013"/>
        </ext>
      </extLst>
    </bk>
    <bk>
      <extLst>
        <ext uri="{3e2802c4-a4d2-4d8b-9148-e3be6c30e623}">
          <xlrd:rvb i="9014"/>
        </ext>
      </extLst>
    </bk>
    <bk>
      <extLst>
        <ext uri="{3e2802c4-a4d2-4d8b-9148-e3be6c30e623}">
          <xlrd:rvb i="9015"/>
        </ext>
      </extLst>
    </bk>
    <bk>
      <extLst>
        <ext uri="{3e2802c4-a4d2-4d8b-9148-e3be6c30e623}">
          <xlrd:rvb i="9016"/>
        </ext>
      </extLst>
    </bk>
    <bk>
      <extLst>
        <ext uri="{3e2802c4-a4d2-4d8b-9148-e3be6c30e623}">
          <xlrd:rvb i="9017"/>
        </ext>
      </extLst>
    </bk>
    <bk>
      <extLst>
        <ext uri="{3e2802c4-a4d2-4d8b-9148-e3be6c30e623}">
          <xlrd:rvb i="9018"/>
        </ext>
      </extLst>
    </bk>
    <bk>
      <extLst>
        <ext uri="{3e2802c4-a4d2-4d8b-9148-e3be6c30e623}">
          <xlrd:rvb i="9019"/>
        </ext>
      </extLst>
    </bk>
    <bk>
      <extLst>
        <ext uri="{3e2802c4-a4d2-4d8b-9148-e3be6c30e623}">
          <xlrd:rvb i="9020"/>
        </ext>
      </extLst>
    </bk>
    <bk>
      <extLst>
        <ext uri="{3e2802c4-a4d2-4d8b-9148-e3be6c30e623}">
          <xlrd:rvb i="9021"/>
        </ext>
      </extLst>
    </bk>
    <bk>
      <extLst>
        <ext uri="{3e2802c4-a4d2-4d8b-9148-e3be6c30e623}">
          <xlrd:rvb i="9022"/>
        </ext>
      </extLst>
    </bk>
    <bk>
      <extLst>
        <ext uri="{3e2802c4-a4d2-4d8b-9148-e3be6c30e623}">
          <xlrd:rvb i="9023"/>
        </ext>
      </extLst>
    </bk>
    <bk>
      <extLst>
        <ext uri="{3e2802c4-a4d2-4d8b-9148-e3be6c30e623}">
          <xlrd:rvb i="9024"/>
        </ext>
      </extLst>
    </bk>
    <bk>
      <extLst>
        <ext uri="{3e2802c4-a4d2-4d8b-9148-e3be6c30e623}">
          <xlrd:rvb i="9025"/>
        </ext>
      </extLst>
    </bk>
    <bk>
      <extLst>
        <ext uri="{3e2802c4-a4d2-4d8b-9148-e3be6c30e623}">
          <xlrd:rvb i="9026"/>
        </ext>
      </extLst>
    </bk>
    <bk>
      <extLst>
        <ext uri="{3e2802c4-a4d2-4d8b-9148-e3be6c30e623}">
          <xlrd:rvb i="9027"/>
        </ext>
      </extLst>
    </bk>
    <bk>
      <extLst>
        <ext uri="{3e2802c4-a4d2-4d8b-9148-e3be6c30e623}">
          <xlrd:rvb i="9028"/>
        </ext>
      </extLst>
    </bk>
    <bk>
      <extLst>
        <ext uri="{3e2802c4-a4d2-4d8b-9148-e3be6c30e623}">
          <xlrd:rvb i="9029"/>
        </ext>
      </extLst>
    </bk>
    <bk>
      <extLst>
        <ext uri="{3e2802c4-a4d2-4d8b-9148-e3be6c30e623}">
          <xlrd:rvb i="9030"/>
        </ext>
      </extLst>
    </bk>
    <bk>
      <extLst>
        <ext uri="{3e2802c4-a4d2-4d8b-9148-e3be6c30e623}">
          <xlrd:rvb i="9031"/>
        </ext>
      </extLst>
    </bk>
    <bk>
      <extLst>
        <ext uri="{3e2802c4-a4d2-4d8b-9148-e3be6c30e623}">
          <xlrd:rvb i="9032"/>
        </ext>
      </extLst>
    </bk>
    <bk>
      <extLst>
        <ext uri="{3e2802c4-a4d2-4d8b-9148-e3be6c30e623}">
          <xlrd:rvb i="9033"/>
        </ext>
      </extLst>
    </bk>
    <bk>
      <extLst>
        <ext uri="{3e2802c4-a4d2-4d8b-9148-e3be6c30e623}">
          <xlrd:rvb i="9034"/>
        </ext>
      </extLst>
    </bk>
    <bk>
      <extLst>
        <ext uri="{3e2802c4-a4d2-4d8b-9148-e3be6c30e623}">
          <xlrd:rvb i="9035"/>
        </ext>
      </extLst>
    </bk>
    <bk>
      <extLst>
        <ext uri="{3e2802c4-a4d2-4d8b-9148-e3be6c30e623}">
          <xlrd:rvb i="9036"/>
        </ext>
      </extLst>
    </bk>
    <bk>
      <extLst>
        <ext uri="{3e2802c4-a4d2-4d8b-9148-e3be6c30e623}">
          <xlrd:rvb i="9037"/>
        </ext>
      </extLst>
    </bk>
    <bk>
      <extLst>
        <ext uri="{3e2802c4-a4d2-4d8b-9148-e3be6c30e623}">
          <xlrd:rvb i="9038"/>
        </ext>
      </extLst>
    </bk>
    <bk>
      <extLst>
        <ext uri="{3e2802c4-a4d2-4d8b-9148-e3be6c30e623}">
          <xlrd:rvb i="9039"/>
        </ext>
      </extLst>
    </bk>
    <bk>
      <extLst>
        <ext uri="{3e2802c4-a4d2-4d8b-9148-e3be6c30e623}">
          <xlrd:rvb i="9040"/>
        </ext>
      </extLst>
    </bk>
    <bk>
      <extLst>
        <ext uri="{3e2802c4-a4d2-4d8b-9148-e3be6c30e623}">
          <xlrd:rvb i="9041"/>
        </ext>
      </extLst>
    </bk>
    <bk>
      <extLst>
        <ext uri="{3e2802c4-a4d2-4d8b-9148-e3be6c30e623}">
          <xlrd:rvb i="9042"/>
        </ext>
      </extLst>
    </bk>
    <bk>
      <extLst>
        <ext uri="{3e2802c4-a4d2-4d8b-9148-e3be6c30e623}">
          <xlrd:rvb i="9043"/>
        </ext>
      </extLst>
    </bk>
    <bk>
      <extLst>
        <ext uri="{3e2802c4-a4d2-4d8b-9148-e3be6c30e623}">
          <xlrd:rvb i="9044"/>
        </ext>
      </extLst>
    </bk>
    <bk>
      <extLst>
        <ext uri="{3e2802c4-a4d2-4d8b-9148-e3be6c30e623}">
          <xlrd:rvb i="9045"/>
        </ext>
      </extLst>
    </bk>
    <bk>
      <extLst>
        <ext uri="{3e2802c4-a4d2-4d8b-9148-e3be6c30e623}">
          <xlrd:rvb i="9046"/>
        </ext>
      </extLst>
    </bk>
    <bk>
      <extLst>
        <ext uri="{3e2802c4-a4d2-4d8b-9148-e3be6c30e623}">
          <xlrd:rvb i="9047"/>
        </ext>
      </extLst>
    </bk>
    <bk>
      <extLst>
        <ext uri="{3e2802c4-a4d2-4d8b-9148-e3be6c30e623}">
          <xlrd:rvb i="9048"/>
        </ext>
      </extLst>
    </bk>
    <bk>
      <extLst>
        <ext uri="{3e2802c4-a4d2-4d8b-9148-e3be6c30e623}">
          <xlrd:rvb i="9049"/>
        </ext>
      </extLst>
    </bk>
    <bk>
      <extLst>
        <ext uri="{3e2802c4-a4d2-4d8b-9148-e3be6c30e623}">
          <xlrd:rvb i="9050"/>
        </ext>
      </extLst>
    </bk>
    <bk>
      <extLst>
        <ext uri="{3e2802c4-a4d2-4d8b-9148-e3be6c30e623}">
          <xlrd:rvb i="9051"/>
        </ext>
      </extLst>
    </bk>
    <bk>
      <extLst>
        <ext uri="{3e2802c4-a4d2-4d8b-9148-e3be6c30e623}">
          <xlrd:rvb i="9052"/>
        </ext>
      </extLst>
    </bk>
    <bk>
      <extLst>
        <ext uri="{3e2802c4-a4d2-4d8b-9148-e3be6c30e623}">
          <xlrd:rvb i="9053"/>
        </ext>
      </extLst>
    </bk>
    <bk>
      <extLst>
        <ext uri="{3e2802c4-a4d2-4d8b-9148-e3be6c30e623}">
          <xlrd:rvb i="9054"/>
        </ext>
      </extLst>
    </bk>
    <bk>
      <extLst>
        <ext uri="{3e2802c4-a4d2-4d8b-9148-e3be6c30e623}">
          <xlrd:rvb i="9055"/>
        </ext>
      </extLst>
    </bk>
    <bk>
      <extLst>
        <ext uri="{3e2802c4-a4d2-4d8b-9148-e3be6c30e623}">
          <xlrd:rvb i="9056"/>
        </ext>
      </extLst>
    </bk>
    <bk>
      <extLst>
        <ext uri="{3e2802c4-a4d2-4d8b-9148-e3be6c30e623}">
          <xlrd:rvb i="9057"/>
        </ext>
      </extLst>
    </bk>
    <bk>
      <extLst>
        <ext uri="{3e2802c4-a4d2-4d8b-9148-e3be6c30e623}">
          <xlrd:rvb i="9058"/>
        </ext>
      </extLst>
    </bk>
    <bk>
      <extLst>
        <ext uri="{3e2802c4-a4d2-4d8b-9148-e3be6c30e623}">
          <xlrd:rvb i="9059"/>
        </ext>
      </extLst>
    </bk>
    <bk>
      <extLst>
        <ext uri="{3e2802c4-a4d2-4d8b-9148-e3be6c30e623}">
          <xlrd:rvb i="9060"/>
        </ext>
      </extLst>
    </bk>
    <bk>
      <extLst>
        <ext uri="{3e2802c4-a4d2-4d8b-9148-e3be6c30e623}">
          <xlrd:rvb i="9061"/>
        </ext>
      </extLst>
    </bk>
    <bk>
      <extLst>
        <ext uri="{3e2802c4-a4d2-4d8b-9148-e3be6c30e623}">
          <xlrd:rvb i="9062"/>
        </ext>
      </extLst>
    </bk>
    <bk>
      <extLst>
        <ext uri="{3e2802c4-a4d2-4d8b-9148-e3be6c30e623}">
          <xlrd:rvb i="9063"/>
        </ext>
      </extLst>
    </bk>
    <bk>
      <extLst>
        <ext uri="{3e2802c4-a4d2-4d8b-9148-e3be6c30e623}">
          <xlrd:rvb i="9064"/>
        </ext>
      </extLst>
    </bk>
    <bk>
      <extLst>
        <ext uri="{3e2802c4-a4d2-4d8b-9148-e3be6c30e623}">
          <xlrd:rvb i="9065"/>
        </ext>
      </extLst>
    </bk>
    <bk>
      <extLst>
        <ext uri="{3e2802c4-a4d2-4d8b-9148-e3be6c30e623}">
          <xlrd:rvb i="9066"/>
        </ext>
      </extLst>
    </bk>
    <bk>
      <extLst>
        <ext uri="{3e2802c4-a4d2-4d8b-9148-e3be6c30e623}">
          <xlrd:rvb i="9067"/>
        </ext>
      </extLst>
    </bk>
    <bk>
      <extLst>
        <ext uri="{3e2802c4-a4d2-4d8b-9148-e3be6c30e623}">
          <xlrd:rvb i="9068"/>
        </ext>
      </extLst>
    </bk>
    <bk>
      <extLst>
        <ext uri="{3e2802c4-a4d2-4d8b-9148-e3be6c30e623}">
          <xlrd:rvb i="9069"/>
        </ext>
      </extLst>
    </bk>
    <bk>
      <extLst>
        <ext uri="{3e2802c4-a4d2-4d8b-9148-e3be6c30e623}">
          <xlrd:rvb i="9070"/>
        </ext>
      </extLst>
    </bk>
    <bk>
      <extLst>
        <ext uri="{3e2802c4-a4d2-4d8b-9148-e3be6c30e623}">
          <xlrd:rvb i="9071"/>
        </ext>
      </extLst>
    </bk>
    <bk>
      <extLst>
        <ext uri="{3e2802c4-a4d2-4d8b-9148-e3be6c30e623}">
          <xlrd:rvb i="9072"/>
        </ext>
      </extLst>
    </bk>
    <bk>
      <extLst>
        <ext uri="{3e2802c4-a4d2-4d8b-9148-e3be6c30e623}">
          <xlrd:rvb i="9073"/>
        </ext>
      </extLst>
    </bk>
    <bk>
      <extLst>
        <ext uri="{3e2802c4-a4d2-4d8b-9148-e3be6c30e623}">
          <xlrd:rvb i="9074"/>
        </ext>
      </extLst>
    </bk>
    <bk>
      <extLst>
        <ext uri="{3e2802c4-a4d2-4d8b-9148-e3be6c30e623}">
          <xlrd:rvb i="9075"/>
        </ext>
      </extLst>
    </bk>
    <bk>
      <extLst>
        <ext uri="{3e2802c4-a4d2-4d8b-9148-e3be6c30e623}">
          <xlrd:rvb i="9076"/>
        </ext>
      </extLst>
    </bk>
    <bk>
      <extLst>
        <ext uri="{3e2802c4-a4d2-4d8b-9148-e3be6c30e623}">
          <xlrd:rvb i="9077"/>
        </ext>
      </extLst>
    </bk>
    <bk>
      <extLst>
        <ext uri="{3e2802c4-a4d2-4d8b-9148-e3be6c30e623}">
          <xlrd:rvb i="9078"/>
        </ext>
      </extLst>
    </bk>
    <bk>
      <extLst>
        <ext uri="{3e2802c4-a4d2-4d8b-9148-e3be6c30e623}">
          <xlrd:rvb i="9079"/>
        </ext>
      </extLst>
    </bk>
    <bk>
      <extLst>
        <ext uri="{3e2802c4-a4d2-4d8b-9148-e3be6c30e623}">
          <xlrd:rvb i="9080"/>
        </ext>
      </extLst>
    </bk>
    <bk>
      <extLst>
        <ext uri="{3e2802c4-a4d2-4d8b-9148-e3be6c30e623}">
          <xlrd:rvb i="9081"/>
        </ext>
      </extLst>
    </bk>
    <bk>
      <extLst>
        <ext uri="{3e2802c4-a4d2-4d8b-9148-e3be6c30e623}">
          <xlrd:rvb i="9082"/>
        </ext>
      </extLst>
    </bk>
    <bk>
      <extLst>
        <ext uri="{3e2802c4-a4d2-4d8b-9148-e3be6c30e623}">
          <xlrd:rvb i="9083"/>
        </ext>
      </extLst>
    </bk>
    <bk>
      <extLst>
        <ext uri="{3e2802c4-a4d2-4d8b-9148-e3be6c30e623}">
          <xlrd:rvb i="9084"/>
        </ext>
      </extLst>
    </bk>
    <bk>
      <extLst>
        <ext uri="{3e2802c4-a4d2-4d8b-9148-e3be6c30e623}">
          <xlrd:rvb i="9085"/>
        </ext>
      </extLst>
    </bk>
    <bk>
      <extLst>
        <ext uri="{3e2802c4-a4d2-4d8b-9148-e3be6c30e623}">
          <xlrd:rvb i="9086"/>
        </ext>
      </extLst>
    </bk>
    <bk>
      <extLst>
        <ext uri="{3e2802c4-a4d2-4d8b-9148-e3be6c30e623}">
          <xlrd:rvb i="9087"/>
        </ext>
      </extLst>
    </bk>
    <bk>
      <extLst>
        <ext uri="{3e2802c4-a4d2-4d8b-9148-e3be6c30e623}">
          <xlrd:rvb i="9088"/>
        </ext>
      </extLst>
    </bk>
    <bk>
      <extLst>
        <ext uri="{3e2802c4-a4d2-4d8b-9148-e3be6c30e623}">
          <xlrd:rvb i="9089"/>
        </ext>
      </extLst>
    </bk>
    <bk>
      <extLst>
        <ext uri="{3e2802c4-a4d2-4d8b-9148-e3be6c30e623}">
          <xlrd:rvb i="9090"/>
        </ext>
      </extLst>
    </bk>
    <bk>
      <extLst>
        <ext uri="{3e2802c4-a4d2-4d8b-9148-e3be6c30e623}">
          <xlrd:rvb i="9091"/>
        </ext>
      </extLst>
    </bk>
    <bk>
      <extLst>
        <ext uri="{3e2802c4-a4d2-4d8b-9148-e3be6c30e623}">
          <xlrd:rvb i="9092"/>
        </ext>
      </extLst>
    </bk>
    <bk>
      <extLst>
        <ext uri="{3e2802c4-a4d2-4d8b-9148-e3be6c30e623}">
          <xlrd:rvb i="9093"/>
        </ext>
      </extLst>
    </bk>
    <bk>
      <extLst>
        <ext uri="{3e2802c4-a4d2-4d8b-9148-e3be6c30e623}">
          <xlrd:rvb i="9094"/>
        </ext>
      </extLst>
    </bk>
    <bk>
      <extLst>
        <ext uri="{3e2802c4-a4d2-4d8b-9148-e3be6c30e623}">
          <xlrd:rvb i="9095"/>
        </ext>
      </extLst>
    </bk>
    <bk>
      <extLst>
        <ext uri="{3e2802c4-a4d2-4d8b-9148-e3be6c30e623}">
          <xlrd:rvb i="9096"/>
        </ext>
      </extLst>
    </bk>
    <bk>
      <extLst>
        <ext uri="{3e2802c4-a4d2-4d8b-9148-e3be6c30e623}">
          <xlrd:rvb i="9097"/>
        </ext>
      </extLst>
    </bk>
    <bk>
      <extLst>
        <ext uri="{3e2802c4-a4d2-4d8b-9148-e3be6c30e623}">
          <xlrd:rvb i="9098"/>
        </ext>
      </extLst>
    </bk>
    <bk>
      <extLst>
        <ext uri="{3e2802c4-a4d2-4d8b-9148-e3be6c30e623}">
          <xlrd:rvb i="9099"/>
        </ext>
      </extLst>
    </bk>
    <bk>
      <extLst>
        <ext uri="{3e2802c4-a4d2-4d8b-9148-e3be6c30e623}">
          <xlrd:rvb i="9100"/>
        </ext>
      </extLst>
    </bk>
    <bk>
      <extLst>
        <ext uri="{3e2802c4-a4d2-4d8b-9148-e3be6c30e623}">
          <xlrd:rvb i="9101"/>
        </ext>
      </extLst>
    </bk>
    <bk>
      <extLst>
        <ext uri="{3e2802c4-a4d2-4d8b-9148-e3be6c30e623}">
          <xlrd:rvb i="9102"/>
        </ext>
      </extLst>
    </bk>
    <bk>
      <extLst>
        <ext uri="{3e2802c4-a4d2-4d8b-9148-e3be6c30e623}">
          <xlrd:rvb i="9103"/>
        </ext>
      </extLst>
    </bk>
    <bk>
      <extLst>
        <ext uri="{3e2802c4-a4d2-4d8b-9148-e3be6c30e623}">
          <xlrd:rvb i="9104"/>
        </ext>
      </extLst>
    </bk>
    <bk>
      <extLst>
        <ext uri="{3e2802c4-a4d2-4d8b-9148-e3be6c30e623}">
          <xlrd:rvb i="9105"/>
        </ext>
      </extLst>
    </bk>
    <bk>
      <extLst>
        <ext uri="{3e2802c4-a4d2-4d8b-9148-e3be6c30e623}">
          <xlrd:rvb i="9106"/>
        </ext>
      </extLst>
    </bk>
    <bk>
      <extLst>
        <ext uri="{3e2802c4-a4d2-4d8b-9148-e3be6c30e623}">
          <xlrd:rvb i="9107"/>
        </ext>
      </extLst>
    </bk>
    <bk>
      <extLst>
        <ext uri="{3e2802c4-a4d2-4d8b-9148-e3be6c30e623}">
          <xlrd:rvb i="9108"/>
        </ext>
      </extLst>
    </bk>
    <bk>
      <extLst>
        <ext uri="{3e2802c4-a4d2-4d8b-9148-e3be6c30e623}">
          <xlrd:rvb i="9109"/>
        </ext>
      </extLst>
    </bk>
    <bk>
      <extLst>
        <ext uri="{3e2802c4-a4d2-4d8b-9148-e3be6c30e623}">
          <xlrd:rvb i="9110"/>
        </ext>
      </extLst>
    </bk>
    <bk>
      <extLst>
        <ext uri="{3e2802c4-a4d2-4d8b-9148-e3be6c30e623}">
          <xlrd:rvb i="9111"/>
        </ext>
      </extLst>
    </bk>
    <bk>
      <extLst>
        <ext uri="{3e2802c4-a4d2-4d8b-9148-e3be6c30e623}">
          <xlrd:rvb i="9112"/>
        </ext>
      </extLst>
    </bk>
    <bk>
      <extLst>
        <ext uri="{3e2802c4-a4d2-4d8b-9148-e3be6c30e623}">
          <xlrd:rvb i="9113"/>
        </ext>
      </extLst>
    </bk>
    <bk>
      <extLst>
        <ext uri="{3e2802c4-a4d2-4d8b-9148-e3be6c30e623}">
          <xlrd:rvb i="9114"/>
        </ext>
      </extLst>
    </bk>
    <bk>
      <extLst>
        <ext uri="{3e2802c4-a4d2-4d8b-9148-e3be6c30e623}">
          <xlrd:rvb i="9115"/>
        </ext>
      </extLst>
    </bk>
    <bk>
      <extLst>
        <ext uri="{3e2802c4-a4d2-4d8b-9148-e3be6c30e623}">
          <xlrd:rvb i="9116"/>
        </ext>
      </extLst>
    </bk>
    <bk>
      <extLst>
        <ext uri="{3e2802c4-a4d2-4d8b-9148-e3be6c30e623}">
          <xlrd:rvb i="9117"/>
        </ext>
      </extLst>
    </bk>
    <bk>
      <extLst>
        <ext uri="{3e2802c4-a4d2-4d8b-9148-e3be6c30e623}">
          <xlrd:rvb i="9118"/>
        </ext>
      </extLst>
    </bk>
    <bk>
      <extLst>
        <ext uri="{3e2802c4-a4d2-4d8b-9148-e3be6c30e623}">
          <xlrd:rvb i="9119"/>
        </ext>
      </extLst>
    </bk>
    <bk>
      <extLst>
        <ext uri="{3e2802c4-a4d2-4d8b-9148-e3be6c30e623}">
          <xlrd:rvb i="9120"/>
        </ext>
      </extLst>
    </bk>
    <bk>
      <extLst>
        <ext uri="{3e2802c4-a4d2-4d8b-9148-e3be6c30e623}">
          <xlrd:rvb i="9121"/>
        </ext>
      </extLst>
    </bk>
    <bk>
      <extLst>
        <ext uri="{3e2802c4-a4d2-4d8b-9148-e3be6c30e623}">
          <xlrd:rvb i="9122"/>
        </ext>
      </extLst>
    </bk>
    <bk>
      <extLst>
        <ext uri="{3e2802c4-a4d2-4d8b-9148-e3be6c30e623}">
          <xlrd:rvb i="9123"/>
        </ext>
      </extLst>
    </bk>
    <bk>
      <extLst>
        <ext uri="{3e2802c4-a4d2-4d8b-9148-e3be6c30e623}">
          <xlrd:rvb i="9124"/>
        </ext>
      </extLst>
    </bk>
    <bk>
      <extLst>
        <ext uri="{3e2802c4-a4d2-4d8b-9148-e3be6c30e623}">
          <xlrd:rvb i="9125"/>
        </ext>
      </extLst>
    </bk>
    <bk>
      <extLst>
        <ext uri="{3e2802c4-a4d2-4d8b-9148-e3be6c30e623}">
          <xlrd:rvb i="9126"/>
        </ext>
      </extLst>
    </bk>
    <bk>
      <extLst>
        <ext uri="{3e2802c4-a4d2-4d8b-9148-e3be6c30e623}">
          <xlrd:rvb i="9127"/>
        </ext>
      </extLst>
    </bk>
    <bk>
      <extLst>
        <ext uri="{3e2802c4-a4d2-4d8b-9148-e3be6c30e623}">
          <xlrd:rvb i="9128"/>
        </ext>
      </extLst>
    </bk>
    <bk>
      <extLst>
        <ext uri="{3e2802c4-a4d2-4d8b-9148-e3be6c30e623}">
          <xlrd:rvb i="9129"/>
        </ext>
      </extLst>
    </bk>
    <bk>
      <extLst>
        <ext uri="{3e2802c4-a4d2-4d8b-9148-e3be6c30e623}">
          <xlrd:rvb i="9130"/>
        </ext>
      </extLst>
    </bk>
    <bk>
      <extLst>
        <ext uri="{3e2802c4-a4d2-4d8b-9148-e3be6c30e623}">
          <xlrd:rvb i="9131"/>
        </ext>
      </extLst>
    </bk>
    <bk>
      <extLst>
        <ext uri="{3e2802c4-a4d2-4d8b-9148-e3be6c30e623}">
          <xlrd:rvb i="9132"/>
        </ext>
      </extLst>
    </bk>
    <bk>
      <extLst>
        <ext uri="{3e2802c4-a4d2-4d8b-9148-e3be6c30e623}">
          <xlrd:rvb i="9133"/>
        </ext>
      </extLst>
    </bk>
    <bk>
      <extLst>
        <ext uri="{3e2802c4-a4d2-4d8b-9148-e3be6c30e623}">
          <xlrd:rvb i="9134"/>
        </ext>
      </extLst>
    </bk>
    <bk>
      <extLst>
        <ext uri="{3e2802c4-a4d2-4d8b-9148-e3be6c30e623}">
          <xlrd:rvb i="9135"/>
        </ext>
      </extLst>
    </bk>
    <bk>
      <extLst>
        <ext uri="{3e2802c4-a4d2-4d8b-9148-e3be6c30e623}">
          <xlrd:rvb i="9136"/>
        </ext>
      </extLst>
    </bk>
    <bk>
      <extLst>
        <ext uri="{3e2802c4-a4d2-4d8b-9148-e3be6c30e623}">
          <xlrd:rvb i="9137"/>
        </ext>
      </extLst>
    </bk>
    <bk>
      <extLst>
        <ext uri="{3e2802c4-a4d2-4d8b-9148-e3be6c30e623}">
          <xlrd:rvb i="9138"/>
        </ext>
      </extLst>
    </bk>
    <bk>
      <extLst>
        <ext uri="{3e2802c4-a4d2-4d8b-9148-e3be6c30e623}">
          <xlrd:rvb i="9139"/>
        </ext>
      </extLst>
    </bk>
    <bk>
      <extLst>
        <ext uri="{3e2802c4-a4d2-4d8b-9148-e3be6c30e623}">
          <xlrd:rvb i="9140"/>
        </ext>
      </extLst>
    </bk>
    <bk>
      <extLst>
        <ext uri="{3e2802c4-a4d2-4d8b-9148-e3be6c30e623}">
          <xlrd:rvb i="9141"/>
        </ext>
      </extLst>
    </bk>
    <bk>
      <extLst>
        <ext uri="{3e2802c4-a4d2-4d8b-9148-e3be6c30e623}">
          <xlrd:rvb i="9142"/>
        </ext>
      </extLst>
    </bk>
    <bk>
      <extLst>
        <ext uri="{3e2802c4-a4d2-4d8b-9148-e3be6c30e623}">
          <xlrd:rvb i="9143"/>
        </ext>
      </extLst>
    </bk>
    <bk>
      <extLst>
        <ext uri="{3e2802c4-a4d2-4d8b-9148-e3be6c30e623}">
          <xlrd:rvb i="9144"/>
        </ext>
      </extLst>
    </bk>
    <bk>
      <extLst>
        <ext uri="{3e2802c4-a4d2-4d8b-9148-e3be6c30e623}">
          <xlrd:rvb i="9145"/>
        </ext>
      </extLst>
    </bk>
    <bk>
      <extLst>
        <ext uri="{3e2802c4-a4d2-4d8b-9148-e3be6c30e623}">
          <xlrd:rvb i="9146"/>
        </ext>
      </extLst>
    </bk>
    <bk>
      <extLst>
        <ext uri="{3e2802c4-a4d2-4d8b-9148-e3be6c30e623}">
          <xlrd:rvb i="9147"/>
        </ext>
      </extLst>
    </bk>
    <bk>
      <extLst>
        <ext uri="{3e2802c4-a4d2-4d8b-9148-e3be6c30e623}">
          <xlrd:rvb i="9148"/>
        </ext>
      </extLst>
    </bk>
    <bk>
      <extLst>
        <ext uri="{3e2802c4-a4d2-4d8b-9148-e3be6c30e623}">
          <xlrd:rvb i="9149"/>
        </ext>
      </extLst>
    </bk>
    <bk>
      <extLst>
        <ext uri="{3e2802c4-a4d2-4d8b-9148-e3be6c30e623}">
          <xlrd:rvb i="9150"/>
        </ext>
      </extLst>
    </bk>
    <bk>
      <extLst>
        <ext uri="{3e2802c4-a4d2-4d8b-9148-e3be6c30e623}">
          <xlrd:rvb i="9151"/>
        </ext>
      </extLst>
    </bk>
    <bk>
      <extLst>
        <ext uri="{3e2802c4-a4d2-4d8b-9148-e3be6c30e623}">
          <xlrd:rvb i="9152"/>
        </ext>
      </extLst>
    </bk>
    <bk>
      <extLst>
        <ext uri="{3e2802c4-a4d2-4d8b-9148-e3be6c30e623}">
          <xlrd:rvb i="9153"/>
        </ext>
      </extLst>
    </bk>
    <bk>
      <extLst>
        <ext uri="{3e2802c4-a4d2-4d8b-9148-e3be6c30e623}">
          <xlrd:rvb i="9154"/>
        </ext>
      </extLst>
    </bk>
    <bk>
      <extLst>
        <ext uri="{3e2802c4-a4d2-4d8b-9148-e3be6c30e623}">
          <xlrd:rvb i="9155"/>
        </ext>
      </extLst>
    </bk>
    <bk>
      <extLst>
        <ext uri="{3e2802c4-a4d2-4d8b-9148-e3be6c30e623}">
          <xlrd:rvb i="9156"/>
        </ext>
      </extLst>
    </bk>
    <bk>
      <extLst>
        <ext uri="{3e2802c4-a4d2-4d8b-9148-e3be6c30e623}">
          <xlrd:rvb i="9157"/>
        </ext>
      </extLst>
    </bk>
    <bk>
      <extLst>
        <ext uri="{3e2802c4-a4d2-4d8b-9148-e3be6c30e623}">
          <xlrd:rvb i="9158"/>
        </ext>
      </extLst>
    </bk>
    <bk>
      <extLst>
        <ext uri="{3e2802c4-a4d2-4d8b-9148-e3be6c30e623}">
          <xlrd:rvb i="9159"/>
        </ext>
      </extLst>
    </bk>
    <bk>
      <extLst>
        <ext uri="{3e2802c4-a4d2-4d8b-9148-e3be6c30e623}">
          <xlrd:rvb i="9160"/>
        </ext>
      </extLst>
    </bk>
    <bk>
      <extLst>
        <ext uri="{3e2802c4-a4d2-4d8b-9148-e3be6c30e623}">
          <xlrd:rvb i="9161"/>
        </ext>
      </extLst>
    </bk>
    <bk>
      <extLst>
        <ext uri="{3e2802c4-a4d2-4d8b-9148-e3be6c30e623}">
          <xlrd:rvb i="9162"/>
        </ext>
      </extLst>
    </bk>
    <bk>
      <extLst>
        <ext uri="{3e2802c4-a4d2-4d8b-9148-e3be6c30e623}">
          <xlrd:rvb i="9163"/>
        </ext>
      </extLst>
    </bk>
    <bk>
      <extLst>
        <ext uri="{3e2802c4-a4d2-4d8b-9148-e3be6c30e623}">
          <xlrd:rvb i="9164"/>
        </ext>
      </extLst>
    </bk>
    <bk>
      <extLst>
        <ext uri="{3e2802c4-a4d2-4d8b-9148-e3be6c30e623}">
          <xlrd:rvb i="9165"/>
        </ext>
      </extLst>
    </bk>
    <bk>
      <extLst>
        <ext uri="{3e2802c4-a4d2-4d8b-9148-e3be6c30e623}">
          <xlrd:rvb i="9166"/>
        </ext>
      </extLst>
    </bk>
    <bk>
      <extLst>
        <ext uri="{3e2802c4-a4d2-4d8b-9148-e3be6c30e623}">
          <xlrd:rvb i="9167"/>
        </ext>
      </extLst>
    </bk>
    <bk>
      <extLst>
        <ext uri="{3e2802c4-a4d2-4d8b-9148-e3be6c30e623}">
          <xlrd:rvb i="9168"/>
        </ext>
      </extLst>
    </bk>
    <bk>
      <extLst>
        <ext uri="{3e2802c4-a4d2-4d8b-9148-e3be6c30e623}">
          <xlrd:rvb i="9169"/>
        </ext>
      </extLst>
    </bk>
    <bk>
      <extLst>
        <ext uri="{3e2802c4-a4d2-4d8b-9148-e3be6c30e623}">
          <xlrd:rvb i="9170"/>
        </ext>
      </extLst>
    </bk>
    <bk>
      <extLst>
        <ext uri="{3e2802c4-a4d2-4d8b-9148-e3be6c30e623}">
          <xlrd:rvb i="9171"/>
        </ext>
      </extLst>
    </bk>
    <bk>
      <extLst>
        <ext uri="{3e2802c4-a4d2-4d8b-9148-e3be6c30e623}">
          <xlrd:rvb i="9172"/>
        </ext>
      </extLst>
    </bk>
    <bk>
      <extLst>
        <ext uri="{3e2802c4-a4d2-4d8b-9148-e3be6c30e623}">
          <xlrd:rvb i="9173"/>
        </ext>
      </extLst>
    </bk>
    <bk>
      <extLst>
        <ext uri="{3e2802c4-a4d2-4d8b-9148-e3be6c30e623}">
          <xlrd:rvb i="9174"/>
        </ext>
      </extLst>
    </bk>
    <bk>
      <extLst>
        <ext uri="{3e2802c4-a4d2-4d8b-9148-e3be6c30e623}">
          <xlrd:rvb i="9175"/>
        </ext>
      </extLst>
    </bk>
    <bk>
      <extLst>
        <ext uri="{3e2802c4-a4d2-4d8b-9148-e3be6c30e623}">
          <xlrd:rvb i="9176"/>
        </ext>
      </extLst>
    </bk>
    <bk>
      <extLst>
        <ext uri="{3e2802c4-a4d2-4d8b-9148-e3be6c30e623}">
          <xlrd:rvb i="9177"/>
        </ext>
      </extLst>
    </bk>
    <bk>
      <extLst>
        <ext uri="{3e2802c4-a4d2-4d8b-9148-e3be6c30e623}">
          <xlrd:rvb i="9178"/>
        </ext>
      </extLst>
    </bk>
    <bk>
      <extLst>
        <ext uri="{3e2802c4-a4d2-4d8b-9148-e3be6c30e623}">
          <xlrd:rvb i="9179"/>
        </ext>
      </extLst>
    </bk>
    <bk>
      <extLst>
        <ext uri="{3e2802c4-a4d2-4d8b-9148-e3be6c30e623}">
          <xlrd:rvb i="9180"/>
        </ext>
      </extLst>
    </bk>
    <bk>
      <extLst>
        <ext uri="{3e2802c4-a4d2-4d8b-9148-e3be6c30e623}">
          <xlrd:rvb i="9181"/>
        </ext>
      </extLst>
    </bk>
    <bk>
      <extLst>
        <ext uri="{3e2802c4-a4d2-4d8b-9148-e3be6c30e623}">
          <xlrd:rvb i="9182"/>
        </ext>
      </extLst>
    </bk>
    <bk>
      <extLst>
        <ext uri="{3e2802c4-a4d2-4d8b-9148-e3be6c30e623}">
          <xlrd:rvb i="9183"/>
        </ext>
      </extLst>
    </bk>
    <bk>
      <extLst>
        <ext uri="{3e2802c4-a4d2-4d8b-9148-e3be6c30e623}">
          <xlrd:rvb i="9184"/>
        </ext>
      </extLst>
    </bk>
    <bk>
      <extLst>
        <ext uri="{3e2802c4-a4d2-4d8b-9148-e3be6c30e623}">
          <xlrd:rvb i="9185"/>
        </ext>
      </extLst>
    </bk>
    <bk>
      <extLst>
        <ext uri="{3e2802c4-a4d2-4d8b-9148-e3be6c30e623}">
          <xlrd:rvb i="9186"/>
        </ext>
      </extLst>
    </bk>
    <bk>
      <extLst>
        <ext uri="{3e2802c4-a4d2-4d8b-9148-e3be6c30e623}">
          <xlrd:rvb i="9187"/>
        </ext>
      </extLst>
    </bk>
    <bk>
      <extLst>
        <ext uri="{3e2802c4-a4d2-4d8b-9148-e3be6c30e623}">
          <xlrd:rvb i="9188"/>
        </ext>
      </extLst>
    </bk>
    <bk>
      <extLst>
        <ext uri="{3e2802c4-a4d2-4d8b-9148-e3be6c30e623}">
          <xlrd:rvb i="9189"/>
        </ext>
      </extLst>
    </bk>
    <bk>
      <extLst>
        <ext uri="{3e2802c4-a4d2-4d8b-9148-e3be6c30e623}">
          <xlrd:rvb i="9190"/>
        </ext>
      </extLst>
    </bk>
    <bk>
      <extLst>
        <ext uri="{3e2802c4-a4d2-4d8b-9148-e3be6c30e623}">
          <xlrd:rvb i="9191"/>
        </ext>
      </extLst>
    </bk>
    <bk>
      <extLst>
        <ext uri="{3e2802c4-a4d2-4d8b-9148-e3be6c30e623}">
          <xlrd:rvb i="9192"/>
        </ext>
      </extLst>
    </bk>
    <bk>
      <extLst>
        <ext uri="{3e2802c4-a4d2-4d8b-9148-e3be6c30e623}">
          <xlrd:rvb i="9193"/>
        </ext>
      </extLst>
    </bk>
    <bk>
      <extLst>
        <ext uri="{3e2802c4-a4d2-4d8b-9148-e3be6c30e623}">
          <xlrd:rvb i="9194"/>
        </ext>
      </extLst>
    </bk>
    <bk>
      <extLst>
        <ext uri="{3e2802c4-a4d2-4d8b-9148-e3be6c30e623}">
          <xlrd:rvb i="9195"/>
        </ext>
      </extLst>
    </bk>
    <bk>
      <extLst>
        <ext uri="{3e2802c4-a4d2-4d8b-9148-e3be6c30e623}">
          <xlrd:rvb i="9196"/>
        </ext>
      </extLst>
    </bk>
    <bk>
      <extLst>
        <ext uri="{3e2802c4-a4d2-4d8b-9148-e3be6c30e623}">
          <xlrd:rvb i="9197"/>
        </ext>
      </extLst>
    </bk>
    <bk>
      <extLst>
        <ext uri="{3e2802c4-a4d2-4d8b-9148-e3be6c30e623}">
          <xlrd:rvb i="9198"/>
        </ext>
      </extLst>
    </bk>
    <bk>
      <extLst>
        <ext uri="{3e2802c4-a4d2-4d8b-9148-e3be6c30e623}">
          <xlrd:rvb i="9199"/>
        </ext>
      </extLst>
    </bk>
    <bk>
      <extLst>
        <ext uri="{3e2802c4-a4d2-4d8b-9148-e3be6c30e623}">
          <xlrd:rvb i="9200"/>
        </ext>
      </extLst>
    </bk>
    <bk>
      <extLst>
        <ext uri="{3e2802c4-a4d2-4d8b-9148-e3be6c30e623}">
          <xlrd:rvb i="9201"/>
        </ext>
      </extLst>
    </bk>
    <bk>
      <extLst>
        <ext uri="{3e2802c4-a4d2-4d8b-9148-e3be6c30e623}">
          <xlrd:rvb i="9202"/>
        </ext>
      </extLst>
    </bk>
    <bk>
      <extLst>
        <ext uri="{3e2802c4-a4d2-4d8b-9148-e3be6c30e623}">
          <xlrd:rvb i="9203"/>
        </ext>
      </extLst>
    </bk>
    <bk>
      <extLst>
        <ext uri="{3e2802c4-a4d2-4d8b-9148-e3be6c30e623}">
          <xlrd:rvb i="9204"/>
        </ext>
      </extLst>
    </bk>
    <bk>
      <extLst>
        <ext uri="{3e2802c4-a4d2-4d8b-9148-e3be6c30e623}">
          <xlrd:rvb i="9205"/>
        </ext>
      </extLst>
    </bk>
    <bk>
      <extLst>
        <ext uri="{3e2802c4-a4d2-4d8b-9148-e3be6c30e623}">
          <xlrd:rvb i="9206"/>
        </ext>
      </extLst>
    </bk>
    <bk>
      <extLst>
        <ext uri="{3e2802c4-a4d2-4d8b-9148-e3be6c30e623}">
          <xlrd:rvb i="9207"/>
        </ext>
      </extLst>
    </bk>
    <bk>
      <extLst>
        <ext uri="{3e2802c4-a4d2-4d8b-9148-e3be6c30e623}">
          <xlrd:rvb i="9208"/>
        </ext>
      </extLst>
    </bk>
    <bk>
      <extLst>
        <ext uri="{3e2802c4-a4d2-4d8b-9148-e3be6c30e623}">
          <xlrd:rvb i="9209"/>
        </ext>
      </extLst>
    </bk>
    <bk>
      <extLst>
        <ext uri="{3e2802c4-a4d2-4d8b-9148-e3be6c30e623}">
          <xlrd:rvb i="9210"/>
        </ext>
      </extLst>
    </bk>
    <bk>
      <extLst>
        <ext uri="{3e2802c4-a4d2-4d8b-9148-e3be6c30e623}">
          <xlrd:rvb i="9211"/>
        </ext>
      </extLst>
    </bk>
    <bk>
      <extLst>
        <ext uri="{3e2802c4-a4d2-4d8b-9148-e3be6c30e623}">
          <xlrd:rvb i="9212"/>
        </ext>
      </extLst>
    </bk>
    <bk>
      <extLst>
        <ext uri="{3e2802c4-a4d2-4d8b-9148-e3be6c30e623}">
          <xlrd:rvb i="9213"/>
        </ext>
      </extLst>
    </bk>
    <bk>
      <extLst>
        <ext uri="{3e2802c4-a4d2-4d8b-9148-e3be6c30e623}">
          <xlrd:rvb i="9214"/>
        </ext>
      </extLst>
    </bk>
    <bk>
      <extLst>
        <ext uri="{3e2802c4-a4d2-4d8b-9148-e3be6c30e623}">
          <xlrd:rvb i="9215"/>
        </ext>
      </extLst>
    </bk>
    <bk>
      <extLst>
        <ext uri="{3e2802c4-a4d2-4d8b-9148-e3be6c30e623}">
          <xlrd:rvb i="9216"/>
        </ext>
      </extLst>
    </bk>
    <bk>
      <extLst>
        <ext uri="{3e2802c4-a4d2-4d8b-9148-e3be6c30e623}">
          <xlrd:rvb i="9217"/>
        </ext>
      </extLst>
    </bk>
    <bk>
      <extLst>
        <ext uri="{3e2802c4-a4d2-4d8b-9148-e3be6c30e623}">
          <xlrd:rvb i="9218"/>
        </ext>
      </extLst>
    </bk>
    <bk>
      <extLst>
        <ext uri="{3e2802c4-a4d2-4d8b-9148-e3be6c30e623}">
          <xlrd:rvb i="9219"/>
        </ext>
      </extLst>
    </bk>
    <bk>
      <extLst>
        <ext uri="{3e2802c4-a4d2-4d8b-9148-e3be6c30e623}">
          <xlrd:rvb i="9220"/>
        </ext>
      </extLst>
    </bk>
    <bk>
      <extLst>
        <ext uri="{3e2802c4-a4d2-4d8b-9148-e3be6c30e623}">
          <xlrd:rvb i="9221"/>
        </ext>
      </extLst>
    </bk>
    <bk>
      <extLst>
        <ext uri="{3e2802c4-a4d2-4d8b-9148-e3be6c30e623}">
          <xlrd:rvb i="9222"/>
        </ext>
      </extLst>
    </bk>
    <bk>
      <extLst>
        <ext uri="{3e2802c4-a4d2-4d8b-9148-e3be6c30e623}">
          <xlrd:rvb i="9223"/>
        </ext>
      </extLst>
    </bk>
    <bk>
      <extLst>
        <ext uri="{3e2802c4-a4d2-4d8b-9148-e3be6c30e623}">
          <xlrd:rvb i="9224"/>
        </ext>
      </extLst>
    </bk>
    <bk>
      <extLst>
        <ext uri="{3e2802c4-a4d2-4d8b-9148-e3be6c30e623}">
          <xlrd:rvb i="9225"/>
        </ext>
      </extLst>
    </bk>
    <bk>
      <extLst>
        <ext uri="{3e2802c4-a4d2-4d8b-9148-e3be6c30e623}">
          <xlrd:rvb i="9226"/>
        </ext>
      </extLst>
    </bk>
    <bk>
      <extLst>
        <ext uri="{3e2802c4-a4d2-4d8b-9148-e3be6c30e623}">
          <xlrd:rvb i="9227"/>
        </ext>
      </extLst>
    </bk>
    <bk>
      <extLst>
        <ext uri="{3e2802c4-a4d2-4d8b-9148-e3be6c30e623}">
          <xlrd:rvb i="9228"/>
        </ext>
      </extLst>
    </bk>
    <bk>
      <extLst>
        <ext uri="{3e2802c4-a4d2-4d8b-9148-e3be6c30e623}">
          <xlrd:rvb i="9229"/>
        </ext>
      </extLst>
    </bk>
    <bk>
      <extLst>
        <ext uri="{3e2802c4-a4d2-4d8b-9148-e3be6c30e623}">
          <xlrd:rvb i="9230"/>
        </ext>
      </extLst>
    </bk>
    <bk>
      <extLst>
        <ext uri="{3e2802c4-a4d2-4d8b-9148-e3be6c30e623}">
          <xlrd:rvb i="9231"/>
        </ext>
      </extLst>
    </bk>
    <bk>
      <extLst>
        <ext uri="{3e2802c4-a4d2-4d8b-9148-e3be6c30e623}">
          <xlrd:rvb i="9232"/>
        </ext>
      </extLst>
    </bk>
    <bk>
      <extLst>
        <ext uri="{3e2802c4-a4d2-4d8b-9148-e3be6c30e623}">
          <xlrd:rvb i="9233"/>
        </ext>
      </extLst>
    </bk>
    <bk>
      <extLst>
        <ext uri="{3e2802c4-a4d2-4d8b-9148-e3be6c30e623}">
          <xlrd:rvb i="9234"/>
        </ext>
      </extLst>
    </bk>
    <bk>
      <extLst>
        <ext uri="{3e2802c4-a4d2-4d8b-9148-e3be6c30e623}">
          <xlrd:rvb i="9235"/>
        </ext>
      </extLst>
    </bk>
    <bk>
      <extLst>
        <ext uri="{3e2802c4-a4d2-4d8b-9148-e3be6c30e623}">
          <xlrd:rvb i="9236"/>
        </ext>
      </extLst>
    </bk>
    <bk>
      <extLst>
        <ext uri="{3e2802c4-a4d2-4d8b-9148-e3be6c30e623}">
          <xlrd:rvb i="9237"/>
        </ext>
      </extLst>
    </bk>
    <bk>
      <extLst>
        <ext uri="{3e2802c4-a4d2-4d8b-9148-e3be6c30e623}">
          <xlrd:rvb i="9238"/>
        </ext>
      </extLst>
    </bk>
    <bk>
      <extLst>
        <ext uri="{3e2802c4-a4d2-4d8b-9148-e3be6c30e623}">
          <xlrd:rvb i="9239"/>
        </ext>
      </extLst>
    </bk>
    <bk>
      <extLst>
        <ext uri="{3e2802c4-a4d2-4d8b-9148-e3be6c30e623}">
          <xlrd:rvb i="9240"/>
        </ext>
      </extLst>
    </bk>
    <bk>
      <extLst>
        <ext uri="{3e2802c4-a4d2-4d8b-9148-e3be6c30e623}">
          <xlrd:rvb i="9241"/>
        </ext>
      </extLst>
    </bk>
    <bk>
      <extLst>
        <ext uri="{3e2802c4-a4d2-4d8b-9148-e3be6c30e623}">
          <xlrd:rvb i="9242"/>
        </ext>
      </extLst>
    </bk>
    <bk>
      <extLst>
        <ext uri="{3e2802c4-a4d2-4d8b-9148-e3be6c30e623}">
          <xlrd:rvb i="9243"/>
        </ext>
      </extLst>
    </bk>
    <bk>
      <extLst>
        <ext uri="{3e2802c4-a4d2-4d8b-9148-e3be6c30e623}">
          <xlrd:rvb i="9244"/>
        </ext>
      </extLst>
    </bk>
    <bk>
      <extLst>
        <ext uri="{3e2802c4-a4d2-4d8b-9148-e3be6c30e623}">
          <xlrd:rvb i="9245"/>
        </ext>
      </extLst>
    </bk>
    <bk>
      <extLst>
        <ext uri="{3e2802c4-a4d2-4d8b-9148-e3be6c30e623}">
          <xlrd:rvb i="9246"/>
        </ext>
      </extLst>
    </bk>
    <bk>
      <extLst>
        <ext uri="{3e2802c4-a4d2-4d8b-9148-e3be6c30e623}">
          <xlrd:rvb i="9247"/>
        </ext>
      </extLst>
    </bk>
    <bk>
      <extLst>
        <ext uri="{3e2802c4-a4d2-4d8b-9148-e3be6c30e623}">
          <xlrd:rvb i="9248"/>
        </ext>
      </extLst>
    </bk>
    <bk>
      <extLst>
        <ext uri="{3e2802c4-a4d2-4d8b-9148-e3be6c30e623}">
          <xlrd:rvb i="9249"/>
        </ext>
      </extLst>
    </bk>
    <bk>
      <extLst>
        <ext uri="{3e2802c4-a4d2-4d8b-9148-e3be6c30e623}">
          <xlrd:rvb i="9250"/>
        </ext>
      </extLst>
    </bk>
    <bk>
      <extLst>
        <ext uri="{3e2802c4-a4d2-4d8b-9148-e3be6c30e623}">
          <xlrd:rvb i="9251"/>
        </ext>
      </extLst>
    </bk>
    <bk>
      <extLst>
        <ext uri="{3e2802c4-a4d2-4d8b-9148-e3be6c30e623}">
          <xlrd:rvb i="9252"/>
        </ext>
      </extLst>
    </bk>
    <bk>
      <extLst>
        <ext uri="{3e2802c4-a4d2-4d8b-9148-e3be6c30e623}">
          <xlrd:rvb i="9253"/>
        </ext>
      </extLst>
    </bk>
    <bk>
      <extLst>
        <ext uri="{3e2802c4-a4d2-4d8b-9148-e3be6c30e623}">
          <xlrd:rvb i="9254"/>
        </ext>
      </extLst>
    </bk>
    <bk>
      <extLst>
        <ext uri="{3e2802c4-a4d2-4d8b-9148-e3be6c30e623}">
          <xlrd:rvb i="9255"/>
        </ext>
      </extLst>
    </bk>
    <bk>
      <extLst>
        <ext uri="{3e2802c4-a4d2-4d8b-9148-e3be6c30e623}">
          <xlrd:rvb i="9256"/>
        </ext>
      </extLst>
    </bk>
    <bk>
      <extLst>
        <ext uri="{3e2802c4-a4d2-4d8b-9148-e3be6c30e623}">
          <xlrd:rvb i="9257"/>
        </ext>
      </extLst>
    </bk>
    <bk>
      <extLst>
        <ext uri="{3e2802c4-a4d2-4d8b-9148-e3be6c30e623}">
          <xlrd:rvb i="9258"/>
        </ext>
      </extLst>
    </bk>
    <bk>
      <extLst>
        <ext uri="{3e2802c4-a4d2-4d8b-9148-e3be6c30e623}">
          <xlrd:rvb i="9259"/>
        </ext>
      </extLst>
    </bk>
    <bk>
      <extLst>
        <ext uri="{3e2802c4-a4d2-4d8b-9148-e3be6c30e623}">
          <xlrd:rvb i="9260"/>
        </ext>
      </extLst>
    </bk>
    <bk>
      <extLst>
        <ext uri="{3e2802c4-a4d2-4d8b-9148-e3be6c30e623}">
          <xlrd:rvb i="9261"/>
        </ext>
      </extLst>
    </bk>
    <bk>
      <extLst>
        <ext uri="{3e2802c4-a4d2-4d8b-9148-e3be6c30e623}">
          <xlrd:rvb i="9262"/>
        </ext>
      </extLst>
    </bk>
    <bk>
      <extLst>
        <ext uri="{3e2802c4-a4d2-4d8b-9148-e3be6c30e623}">
          <xlrd:rvb i="9263"/>
        </ext>
      </extLst>
    </bk>
    <bk>
      <extLst>
        <ext uri="{3e2802c4-a4d2-4d8b-9148-e3be6c30e623}">
          <xlrd:rvb i="9264"/>
        </ext>
      </extLst>
    </bk>
    <bk>
      <extLst>
        <ext uri="{3e2802c4-a4d2-4d8b-9148-e3be6c30e623}">
          <xlrd:rvb i="9265"/>
        </ext>
      </extLst>
    </bk>
    <bk>
      <extLst>
        <ext uri="{3e2802c4-a4d2-4d8b-9148-e3be6c30e623}">
          <xlrd:rvb i="9266"/>
        </ext>
      </extLst>
    </bk>
    <bk>
      <extLst>
        <ext uri="{3e2802c4-a4d2-4d8b-9148-e3be6c30e623}">
          <xlrd:rvb i="9267"/>
        </ext>
      </extLst>
    </bk>
    <bk>
      <extLst>
        <ext uri="{3e2802c4-a4d2-4d8b-9148-e3be6c30e623}">
          <xlrd:rvb i="9268"/>
        </ext>
      </extLst>
    </bk>
    <bk>
      <extLst>
        <ext uri="{3e2802c4-a4d2-4d8b-9148-e3be6c30e623}">
          <xlrd:rvb i="9269"/>
        </ext>
      </extLst>
    </bk>
    <bk>
      <extLst>
        <ext uri="{3e2802c4-a4d2-4d8b-9148-e3be6c30e623}">
          <xlrd:rvb i="9270"/>
        </ext>
      </extLst>
    </bk>
    <bk>
      <extLst>
        <ext uri="{3e2802c4-a4d2-4d8b-9148-e3be6c30e623}">
          <xlrd:rvb i="9271"/>
        </ext>
      </extLst>
    </bk>
    <bk>
      <extLst>
        <ext uri="{3e2802c4-a4d2-4d8b-9148-e3be6c30e623}">
          <xlrd:rvb i="9272"/>
        </ext>
      </extLst>
    </bk>
    <bk>
      <extLst>
        <ext uri="{3e2802c4-a4d2-4d8b-9148-e3be6c30e623}">
          <xlrd:rvb i="9273"/>
        </ext>
      </extLst>
    </bk>
    <bk>
      <extLst>
        <ext uri="{3e2802c4-a4d2-4d8b-9148-e3be6c30e623}">
          <xlrd:rvb i="9274"/>
        </ext>
      </extLst>
    </bk>
    <bk>
      <extLst>
        <ext uri="{3e2802c4-a4d2-4d8b-9148-e3be6c30e623}">
          <xlrd:rvb i="9275"/>
        </ext>
      </extLst>
    </bk>
    <bk>
      <extLst>
        <ext uri="{3e2802c4-a4d2-4d8b-9148-e3be6c30e623}">
          <xlrd:rvb i="9276"/>
        </ext>
      </extLst>
    </bk>
    <bk>
      <extLst>
        <ext uri="{3e2802c4-a4d2-4d8b-9148-e3be6c30e623}">
          <xlrd:rvb i="9277"/>
        </ext>
      </extLst>
    </bk>
    <bk>
      <extLst>
        <ext uri="{3e2802c4-a4d2-4d8b-9148-e3be6c30e623}">
          <xlrd:rvb i="9278"/>
        </ext>
      </extLst>
    </bk>
    <bk>
      <extLst>
        <ext uri="{3e2802c4-a4d2-4d8b-9148-e3be6c30e623}">
          <xlrd:rvb i="9279"/>
        </ext>
      </extLst>
    </bk>
    <bk>
      <extLst>
        <ext uri="{3e2802c4-a4d2-4d8b-9148-e3be6c30e623}">
          <xlrd:rvb i="9280"/>
        </ext>
      </extLst>
    </bk>
    <bk>
      <extLst>
        <ext uri="{3e2802c4-a4d2-4d8b-9148-e3be6c30e623}">
          <xlrd:rvb i="9281"/>
        </ext>
      </extLst>
    </bk>
    <bk>
      <extLst>
        <ext uri="{3e2802c4-a4d2-4d8b-9148-e3be6c30e623}">
          <xlrd:rvb i="9282"/>
        </ext>
      </extLst>
    </bk>
    <bk>
      <extLst>
        <ext uri="{3e2802c4-a4d2-4d8b-9148-e3be6c30e623}">
          <xlrd:rvb i="9283"/>
        </ext>
      </extLst>
    </bk>
    <bk>
      <extLst>
        <ext uri="{3e2802c4-a4d2-4d8b-9148-e3be6c30e623}">
          <xlrd:rvb i="9284"/>
        </ext>
      </extLst>
    </bk>
    <bk>
      <extLst>
        <ext uri="{3e2802c4-a4d2-4d8b-9148-e3be6c30e623}">
          <xlrd:rvb i="9285"/>
        </ext>
      </extLst>
    </bk>
    <bk>
      <extLst>
        <ext uri="{3e2802c4-a4d2-4d8b-9148-e3be6c30e623}">
          <xlrd:rvb i="9286"/>
        </ext>
      </extLst>
    </bk>
    <bk>
      <extLst>
        <ext uri="{3e2802c4-a4d2-4d8b-9148-e3be6c30e623}">
          <xlrd:rvb i="9287"/>
        </ext>
      </extLst>
    </bk>
    <bk>
      <extLst>
        <ext uri="{3e2802c4-a4d2-4d8b-9148-e3be6c30e623}">
          <xlrd:rvb i="9288"/>
        </ext>
      </extLst>
    </bk>
    <bk>
      <extLst>
        <ext uri="{3e2802c4-a4d2-4d8b-9148-e3be6c30e623}">
          <xlrd:rvb i="9289"/>
        </ext>
      </extLst>
    </bk>
    <bk>
      <extLst>
        <ext uri="{3e2802c4-a4d2-4d8b-9148-e3be6c30e623}">
          <xlrd:rvb i="9290"/>
        </ext>
      </extLst>
    </bk>
    <bk>
      <extLst>
        <ext uri="{3e2802c4-a4d2-4d8b-9148-e3be6c30e623}">
          <xlrd:rvb i="9291"/>
        </ext>
      </extLst>
    </bk>
    <bk>
      <extLst>
        <ext uri="{3e2802c4-a4d2-4d8b-9148-e3be6c30e623}">
          <xlrd:rvb i="9292"/>
        </ext>
      </extLst>
    </bk>
    <bk>
      <extLst>
        <ext uri="{3e2802c4-a4d2-4d8b-9148-e3be6c30e623}">
          <xlrd:rvb i="9293"/>
        </ext>
      </extLst>
    </bk>
    <bk>
      <extLst>
        <ext uri="{3e2802c4-a4d2-4d8b-9148-e3be6c30e623}">
          <xlrd:rvb i="9294"/>
        </ext>
      </extLst>
    </bk>
    <bk>
      <extLst>
        <ext uri="{3e2802c4-a4d2-4d8b-9148-e3be6c30e623}">
          <xlrd:rvb i="9295"/>
        </ext>
      </extLst>
    </bk>
    <bk>
      <extLst>
        <ext uri="{3e2802c4-a4d2-4d8b-9148-e3be6c30e623}">
          <xlrd:rvb i="9296"/>
        </ext>
      </extLst>
    </bk>
    <bk>
      <extLst>
        <ext uri="{3e2802c4-a4d2-4d8b-9148-e3be6c30e623}">
          <xlrd:rvb i="9297"/>
        </ext>
      </extLst>
    </bk>
    <bk>
      <extLst>
        <ext uri="{3e2802c4-a4d2-4d8b-9148-e3be6c30e623}">
          <xlrd:rvb i="9298"/>
        </ext>
      </extLst>
    </bk>
    <bk>
      <extLst>
        <ext uri="{3e2802c4-a4d2-4d8b-9148-e3be6c30e623}">
          <xlrd:rvb i="9299"/>
        </ext>
      </extLst>
    </bk>
    <bk>
      <extLst>
        <ext uri="{3e2802c4-a4d2-4d8b-9148-e3be6c30e623}">
          <xlrd:rvb i="9300"/>
        </ext>
      </extLst>
    </bk>
    <bk>
      <extLst>
        <ext uri="{3e2802c4-a4d2-4d8b-9148-e3be6c30e623}">
          <xlrd:rvb i="9301"/>
        </ext>
      </extLst>
    </bk>
    <bk>
      <extLst>
        <ext uri="{3e2802c4-a4d2-4d8b-9148-e3be6c30e623}">
          <xlrd:rvb i="9302"/>
        </ext>
      </extLst>
    </bk>
    <bk>
      <extLst>
        <ext uri="{3e2802c4-a4d2-4d8b-9148-e3be6c30e623}">
          <xlrd:rvb i="9303"/>
        </ext>
      </extLst>
    </bk>
    <bk>
      <extLst>
        <ext uri="{3e2802c4-a4d2-4d8b-9148-e3be6c30e623}">
          <xlrd:rvb i="9304"/>
        </ext>
      </extLst>
    </bk>
    <bk>
      <extLst>
        <ext uri="{3e2802c4-a4d2-4d8b-9148-e3be6c30e623}">
          <xlrd:rvb i="9305"/>
        </ext>
      </extLst>
    </bk>
    <bk>
      <extLst>
        <ext uri="{3e2802c4-a4d2-4d8b-9148-e3be6c30e623}">
          <xlrd:rvb i="9306"/>
        </ext>
      </extLst>
    </bk>
    <bk>
      <extLst>
        <ext uri="{3e2802c4-a4d2-4d8b-9148-e3be6c30e623}">
          <xlrd:rvb i="9307"/>
        </ext>
      </extLst>
    </bk>
    <bk>
      <extLst>
        <ext uri="{3e2802c4-a4d2-4d8b-9148-e3be6c30e623}">
          <xlrd:rvb i="9308"/>
        </ext>
      </extLst>
    </bk>
    <bk>
      <extLst>
        <ext uri="{3e2802c4-a4d2-4d8b-9148-e3be6c30e623}">
          <xlrd:rvb i="9309"/>
        </ext>
      </extLst>
    </bk>
    <bk>
      <extLst>
        <ext uri="{3e2802c4-a4d2-4d8b-9148-e3be6c30e623}">
          <xlrd:rvb i="9310"/>
        </ext>
      </extLst>
    </bk>
    <bk>
      <extLst>
        <ext uri="{3e2802c4-a4d2-4d8b-9148-e3be6c30e623}">
          <xlrd:rvb i="9311"/>
        </ext>
      </extLst>
    </bk>
    <bk>
      <extLst>
        <ext uri="{3e2802c4-a4d2-4d8b-9148-e3be6c30e623}">
          <xlrd:rvb i="9312"/>
        </ext>
      </extLst>
    </bk>
    <bk>
      <extLst>
        <ext uri="{3e2802c4-a4d2-4d8b-9148-e3be6c30e623}">
          <xlrd:rvb i="9313"/>
        </ext>
      </extLst>
    </bk>
    <bk>
      <extLst>
        <ext uri="{3e2802c4-a4d2-4d8b-9148-e3be6c30e623}">
          <xlrd:rvb i="9314"/>
        </ext>
      </extLst>
    </bk>
    <bk>
      <extLst>
        <ext uri="{3e2802c4-a4d2-4d8b-9148-e3be6c30e623}">
          <xlrd:rvb i="9315"/>
        </ext>
      </extLst>
    </bk>
    <bk>
      <extLst>
        <ext uri="{3e2802c4-a4d2-4d8b-9148-e3be6c30e623}">
          <xlrd:rvb i="9316"/>
        </ext>
      </extLst>
    </bk>
    <bk>
      <extLst>
        <ext uri="{3e2802c4-a4d2-4d8b-9148-e3be6c30e623}">
          <xlrd:rvb i="9317"/>
        </ext>
      </extLst>
    </bk>
    <bk>
      <extLst>
        <ext uri="{3e2802c4-a4d2-4d8b-9148-e3be6c30e623}">
          <xlrd:rvb i="9318"/>
        </ext>
      </extLst>
    </bk>
    <bk>
      <extLst>
        <ext uri="{3e2802c4-a4d2-4d8b-9148-e3be6c30e623}">
          <xlrd:rvb i="9319"/>
        </ext>
      </extLst>
    </bk>
    <bk>
      <extLst>
        <ext uri="{3e2802c4-a4d2-4d8b-9148-e3be6c30e623}">
          <xlrd:rvb i="9320"/>
        </ext>
      </extLst>
    </bk>
    <bk>
      <extLst>
        <ext uri="{3e2802c4-a4d2-4d8b-9148-e3be6c30e623}">
          <xlrd:rvb i="9321"/>
        </ext>
      </extLst>
    </bk>
    <bk>
      <extLst>
        <ext uri="{3e2802c4-a4d2-4d8b-9148-e3be6c30e623}">
          <xlrd:rvb i="9322"/>
        </ext>
      </extLst>
    </bk>
    <bk>
      <extLst>
        <ext uri="{3e2802c4-a4d2-4d8b-9148-e3be6c30e623}">
          <xlrd:rvb i="9323"/>
        </ext>
      </extLst>
    </bk>
    <bk>
      <extLst>
        <ext uri="{3e2802c4-a4d2-4d8b-9148-e3be6c30e623}">
          <xlrd:rvb i="9324"/>
        </ext>
      </extLst>
    </bk>
    <bk>
      <extLst>
        <ext uri="{3e2802c4-a4d2-4d8b-9148-e3be6c30e623}">
          <xlrd:rvb i="9325"/>
        </ext>
      </extLst>
    </bk>
    <bk>
      <extLst>
        <ext uri="{3e2802c4-a4d2-4d8b-9148-e3be6c30e623}">
          <xlrd:rvb i="9326"/>
        </ext>
      </extLst>
    </bk>
    <bk>
      <extLst>
        <ext uri="{3e2802c4-a4d2-4d8b-9148-e3be6c30e623}">
          <xlrd:rvb i="9327"/>
        </ext>
      </extLst>
    </bk>
    <bk>
      <extLst>
        <ext uri="{3e2802c4-a4d2-4d8b-9148-e3be6c30e623}">
          <xlrd:rvb i="9328"/>
        </ext>
      </extLst>
    </bk>
    <bk>
      <extLst>
        <ext uri="{3e2802c4-a4d2-4d8b-9148-e3be6c30e623}">
          <xlrd:rvb i="9329"/>
        </ext>
      </extLst>
    </bk>
    <bk>
      <extLst>
        <ext uri="{3e2802c4-a4d2-4d8b-9148-e3be6c30e623}">
          <xlrd:rvb i="9330"/>
        </ext>
      </extLst>
    </bk>
    <bk>
      <extLst>
        <ext uri="{3e2802c4-a4d2-4d8b-9148-e3be6c30e623}">
          <xlrd:rvb i="9331"/>
        </ext>
      </extLst>
    </bk>
    <bk>
      <extLst>
        <ext uri="{3e2802c4-a4d2-4d8b-9148-e3be6c30e623}">
          <xlrd:rvb i="9332"/>
        </ext>
      </extLst>
    </bk>
    <bk>
      <extLst>
        <ext uri="{3e2802c4-a4d2-4d8b-9148-e3be6c30e623}">
          <xlrd:rvb i="9333"/>
        </ext>
      </extLst>
    </bk>
    <bk>
      <extLst>
        <ext uri="{3e2802c4-a4d2-4d8b-9148-e3be6c30e623}">
          <xlrd:rvb i="9334"/>
        </ext>
      </extLst>
    </bk>
    <bk>
      <extLst>
        <ext uri="{3e2802c4-a4d2-4d8b-9148-e3be6c30e623}">
          <xlrd:rvb i="9335"/>
        </ext>
      </extLst>
    </bk>
    <bk>
      <extLst>
        <ext uri="{3e2802c4-a4d2-4d8b-9148-e3be6c30e623}">
          <xlrd:rvb i="9336"/>
        </ext>
      </extLst>
    </bk>
    <bk>
      <extLst>
        <ext uri="{3e2802c4-a4d2-4d8b-9148-e3be6c30e623}">
          <xlrd:rvb i="9337"/>
        </ext>
      </extLst>
    </bk>
    <bk>
      <extLst>
        <ext uri="{3e2802c4-a4d2-4d8b-9148-e3be6c30e623}">
          <xlrd:rvb i="9338"/>
        </ext>
      </extLst>
    </bk>
    <bk>
      <extLst>
        <ext uri="{3e2802c4-a4d2-4d8b-9148-e3be6c30e623}">
          <xlrd:rvb i="9339"/>
        </ext>
      </extLst>
    </bk>
    <bk>
      <extLst>
        <ext uri="{3e2802c4-a4d2-4d8b-9148-e3be6c30e623}">
          <xlrd:rvb i="9340"/>
        </ext>
      </extLst>
    </bk>
    <bk>
      <extLst>
        <ext uri="{3e2802c4-a4d2-4d8b-9148-e3be6c30e623}">
          <xlrd:rvb i="9341"/>
        </ext>
      </extLst>
    </bk>
    <bk>
      <extLst>
        <ext uri="{3e2802c4-a4d2-4d8b-9148-e3be6c30e623}">
          <xlrd:rvb i="9342"/>
        </ext>
      </extLst>
    </bk>
    <bk>
      <extLst>
        <ext uri="{3e2802c4-a4d2-4d8b-9148-e3be6c30e623}">
          <xlrd:rvb i="9343"/>
        </ext>
      </extLst>
    </bk>
    <bk>
      <extLst>
        <ext uri="{3e2802c4-a4d2-4d8b-9148-e3be6c30e623}">
          <xlrd:rvb i="9344"/>
        </ext>
      </extLst>
    </bk>
    <bk>
      <extLst>
        <ext uri="{3e2802c4-a4d2-4d8b-9148-e3be6c30e623}">
          <xlrd:rvb i="9345"/>
        </ext>
      </extLst>
    </bk>
    <bk>
      <extLst>
        <ext uri="{3e2802c4-a4d2-4d8b-9148-e3be6c30e623}">
          <xlrd:rvb i="9346"/>
        </ext>
      </extLst>
    </bk>
    <bk>
      <extLst>
        <ext uri="{3e2802c4-a4d2-4d8b-9148-e3be6c30e623}">
          <xlrd:rvb i="9347"/>
        </ext>
      </extLst>
    </bk>
    <bk>
      <extLst>
        <ext uri="{3e2802c4-a4d2-4d8b-9148-e3be6c30e623}">
          <xlrd:rvb i="9348"/>
        </ext>
      </extLst>
    </bk>
    <bk>
      <extLst>
        <ext uri="{3e2802c4-a4d2-4d8b-9148-e3be6c30e623}">
          <xlrd:rvb i="9349"/>
        </ext>
      </extLst>
    </bk>
    <bk>
      <extLst>
        <ext uri="{3e2802c4-a4d2-4d8b-9148-e3be6c30e623}">
          <xlrd:rvb i="9350"/>
        </ext>
      </extLst>
    </bk>
    <bk>
      <extLst>
        <ext uri="{3e2802c4-a4d2-4d8b-9148-e3be6c30e623}">
          <xlrd:rvb i="9351"/>
        </ext>
      </extLst>
    </bk>
    <bk>
      <extLst>
        <ext uri="{3e2802c4-a4d2-4d8b-9148-e3be6c30e623}">
          <xlrd:rvb i="9352"/>
        </ext>
      </extLst>
    </bk>
    <bk>
      <extLst>
        <ext uri="{3e2802c4-a4d2-4d8b-9148-e3be6c30e623}">
          <xlrd:rvb i="9353"/>
        </ext>
      </extLst>
    </bk>
    <bk>
      <extLst>
        <ext uri="{3e2802c4-a4d2-4d8b-9148-e3be6c30e623}">
          <xlrd:rvb i="9354"/>
        </ext>
      </extLst>
    </bk>
    <bk>
      <extLst>
        <ext uri="{3e2802c4-a4d2-4d8b-9148-e3be6c30e623}">
          <xlrd:rvb i="9355"/>
        </ext>
      </extLst>
    </bk>
    <bk>
      <extLst>
        <ext uri="{3e2802c4-a4d2-4d8b-9148-e3be6c30e623}">
          <xlrd:rvb i="9356"/>
        </ext>
      </extLst>
    </bk>
    <bk>
      <extLst>
        <ext uri="{3e2802c4-a4d2-4d8b-9148-e3be6c30e623}">
          <xlrd:rvb i="9357"/>
        </ext>
      </extLst>
    </bk>
    <bk>
      <extLst>
        <ext uri="{3e2802c4-a4d2-4d8b-9148-e3be6c30e623}">
          <xlrd:rvb i="9358"/>
        </ext>
      </extLst>
    </bk>
    <bk>
      <extLst>
        <ext uri="{3e2802c4-a4d2-4d8b-9148-e3be6c30e623}">
          <xlrd:rvb i="9359"/>
        </ext>
      </extLst>
    </bk>
    <bk>
      <extLst>
        <ext uri="{3e2802c4-a4d2-4d8b-9148-e3be6c30e623}">
          <xlrd:rvb i="9360"/>
        </ext>
      </extLst>
    </bk>
    <bk>
      <extLst>
        <ext uri="{3e2802c4-a4d2-4d8b-9148-e3be6c30e623}">
          <xlrd:rvb i="9361"/>
        </ext>
      </extLst>
    </bk>
    <bk>
      <extLst>
        <ext uri="{3e2802c4-a4d2-4d8b-9148-e3be6c30e623}">
          <xlrd:rvb i="9362"/>
        </ext>
      </extLst>
    </bk>
    <bk>
      <extLst>
        <ext uri="{3e2802c4-a4d2-4d8b-9148-e3be6c30e623}">
          <xlrd:rvb i="9363"/>
        </ext>
      </extLst>
    </bk>
    <bk>
      <extLst>
        <ext uri="{3e2802c4-a4d2-4d8b-9148-e3be6c30e623}">
          <xlrd:rvb i="9364"/>
        </ext>
      </extLst>
    </bk>
    <bk>
      <extLst>
        <ext uri="{3e2802c4-a4d2-4d8b-9148-e3be6c30e623}">
          <xlrd:rvb i="9365"/>
        </ext>
      </extLst>
    </bk>
    <bk>
      <extLst>
        <ext uri="{3e2802c4-a4d2-4d8b-9148-e3be6c30e623}">
          <xlrd:rvb i="9366"/>
        </ext>
      </extLst>
    </bk>
    <bk>
      <extLst>
        <ext uri="{3e2802c4-a4d2-4d8b-9148-e3be6c30e623}">
          <xlrd:rvb i="9367"/>
        </ext>
      </extLst>
    </bk>
    <bk>
      <extLst>
        <ext uri="{3e2802c4-a4d2-4d8b-9148-e3be6c30e623}">
          <xlrd:rvb i="9368"/>
        </ext>
      </extLst>
    </bk>
    <bk>
      <extLst>
        <ext uri="{3e2802c4-a4d2-4d8b-9148-e3be6c30e623}">
          <xlrd:rvb i="9369"/>
        </ext>
      </extLst>
    </bk>
    <bk>
      <extLst>
        <ext uri="{3e2802c4-a4d2-4d8b-9148-e3be6c30e623}">
          <xlrd:rvb i="9370"/>
        </ext>
      </extLst>
    </bk>
    <bk>
      <extLst>
        <ext uri="{3e2802c4-a4d2-4d8b-9148-e3be6c30e623}">
          <xlrd:rvb i="9371"/>
        </ext>
      </extLst>
    </bk>
    <bk>
      <extLst>
        <ext uri="{3e2802c4-a4d2-4d8b-9148-e3be6c30e623}">
          <xlrd:rvb i="9372"/>
        </ext>
      </extLst>
    </bk>
    <bk>
      <extLst>
        <ext uri="{3e2802c4-a4d2-4d8b-9148-e3be6c30e623}">
          <xlrd:rvb i="9373"/>
        </ext>
      </extLst>
    </bk>
    <bk>
      <extLst>
        <ext uri="{3e2802c4-a4d2-4d8b-9148-e3be6c30e623}">
          <xlrd:rvb i="9374"/>
        </ext>
      </extLst>
    </bk>
    <bk>
      <extLst>
        <ext uri="{3e2802c4-a4d2-4d8b-9148-e3be6c30e623}">
          <xlrd:rvb i="9375"/>
        </ext>
      </extLst>
    </bk>
    <bk>
      <extLst>
        <ext uri="{3e2802c4-a4d2-4d8b-9148-e3be6c30e623}">
          <xlrd:rvb i="9376"/>
        </ext>
      </extLst>
    </bk>
    <bk>
      <extLst>
        <ext uri="{3e2802c4-a4d2-4d8b-9148-e3be6c30e623}">
          <xlrd:rvb i="9377"/>
        </ext>
      </extLst>
    </bk>
    <bk>
      <extLst>
        <ext uri="{3e2802c4-a4d2-4d8b-9148-e3be6c30e623}">
          <xlrd:rvb i="9378"/>
        </ext>
      </extLst>
    </bk>
    <bk>
      <extLst>
        <ext uri="{3e2802c4-a4d2-4d8b-9148-e3be6c30e623}">
          <xlrd:rvb i="9379"/>
        </ext>
      </extLst>
    </bk>
    <bk>
      <extLst>
        <ext uri="{3e2802c4-a4d2-4d8b-9148-e3be6c30e623}">
          <xlrd:rvb i="9380"/>
        </ext>
      </extLst>
    </bk>
    <bk>
      <extLst>
        <ext uri="{3e2802c4-a4d2-4d8b-9148-e3be6c30e623}">
          <xlrd:rvb i="9381"/>
        </ext>
      </extLst>
    </bk>
    <bk>
      <extLst>
        <ext uri="{3e2802c4-a4d2-4d8b-9148-e3be6c30e623}">
          <xlrd:rvb i="9382"/>
        </ext>
      </extLst>
    </bk>
    <bk>
      <extLst>
        <ext uri="{3e2802c4-a4d2-4d8b-9148-e3be6c30e623}">
          <xlrd:rvb i="9383"/>
        </ext>
      </extLst>
    </bk>
    <bk>
      <extLst>
        <ext uri="{3e2802c4-a4d2-4d8b-9148-e3be6c30e623}">
          <xlrd:rvb i="9384"/>
        </ext>
      </extLst>
    </bk>
    <bk>
      <extLst>
        <ext uri="{3e2802c4-a4d2-4d8b-9148-e3be6c30e623}">
          <xlrd:rvb i="9385"/>
        </ext>
      </extLst>
    </bk>
    <bk>
      <extLst>
        <ext uri="{3e2802c4-a4d2-4d8b-9148-e3be6c30e623}">
          <xlrd:rvb i="9386"/>
        </ext>
      </extLst>
    </bk>
    <bk>
      <extLst>
        <ext uri="{3e2802c4-a4d2-4d8b-9148-e3be6c30e623}">
          <xlrd:rvb i="9387"/>
        </ext>
      </extLst>
    </bk>
    <bk>
      <extLst>
        <ext uri="{3e2802c4-a4d2-4d8b-9148-e3be6c30e623}">
          <xlrd:rvb i="9388"/>
        </ext>
      </extLst>
    </bk>
    <bk>
      <extLst>
        <ext uri="{3e2802c4-a4d2-4d8b-9148-e3be6c30e623}">
          <xlrd:rvb i="9389"/>
        </ext>
      </extLst>
    </bk>
    <bk>
      <extLst>
        <ext uri="{3e2802c4-a4d2-4d8b-9148-e3be6c30e623}">
          <xlrd:rvb i="9390"/>
        </ext>
      </extLst>
    </bk>
    <bk>
      <extLst>
        <ext uri="{3e2802c4-a4d2-4d8b-9148-e3be6c30e623}">
          <xlrd:rvb i="9391"/>
        </ext>
      </extLst>
    </bk>
    <bk>
      <extLst>
        <ext uri="{3e2802c4-a4d2-4d8b-9148-e3be6c30e623}">
          <xlrd:rvb i="9392"/>
        </ext>
      </extLst>
    </bk>
    <bk>
      <extLst>
        <ext uri="{3e2802c4-a4d2-4d8b-9148-e3be6c30e623}">
          <xlrd:rvb i="9393"/>
        </ext>
      </extLst>
    </bk>
    <bk>
      <extLst>
        <ext uri="{3e2802c4-a4d2-4d8b-9148-e3be6c30e623}">
          <xlrd:rvb i="9394"/>
        </ext>
      </extLst>
    </bk>
    <bk>
      <extLst>
        <ext uri="{3e2802c4-a4d2-4d8b-9148-e3be6c30e623}">
          <xlrd:rvb i="9395"/>
        </ext>
      </extLst>
    </bk>
    <bk>
      <extLst>
        <ext uri="{3e2802c4-a4d2-4d8b-9148-e3be6c30e623}">
          <xlrd:rvb i="9396"/>
        </ext>
      </extLst>
    </bk>
    <bk>
      <extLst>
        <ext uri="{3e2802c4-a4d2-4d8b-9148-e3be6c30e623}">
          <xlrd:rvb i="9397"/>
        </ext>
      </extLst>
    </bk>
    <bk>
      <extLst>
        <ext uri="{3e2802c4-a4d2-4d8b-9148-e3be6c30e623}">
          <xlrd:rvb i="9398"/>
        </ext>
      </extLst>
    </bk>
    <bk>
      <extLst>
        <ext uri="{3e2802c4-a4d2-4d8b-9148-e3be6c30e623}">
          <xlrd:rvb i="9399"/>
        </ext>
      </extLst>
    </bk>
    <bk>
      <extLst>
        <ext uri="{3e2802c4-a4d2-4d8b-9148-e3be6c30e623}">
          <xlrd:rvb i="9400"/>
        </ext>
      </extLst>
    </bk>
    <bk>
      <extLst>
        <ext uri="{3e2802c4-a4d2-4d8b-9148-e3be6c30e623}">
          <xlrd:rvb i="9401"/>
        </ext>
      </extLst>
    </bk>
    <bk>
      <extLst>
        <ext uri="{3e2802c4-a4d2-4d8b-9148-e3be6c30e623}">
          <xlrd:rvb i="9402"/>
        </ext>
      </extLst>
    </bk>
    <bk>
      <extLst>
        <ext uri="{3e2802c4-a4d2-4d8b-9148-e3be6c30e623}">
          <xlrd:rvb i="9403"/>
        </ext>
      </extLst>
    </bk>
    <bk>
      <extLst>
        <ext uri="{3e2802c4-a4d2-4d8b-9148-e3be6c30e623}">
          <xlrd:rvb i="9404"/>
        </ext>
      </extLst>
    </bk>
    <bk>
      <extLst>
        <ext uri="{3e2802c4-a4d2-4d8b-9148-e3be6c30e623}">
          <xlrd:rvb i="9405"/>
        </ext>
      </extLst>
    </bk>
    <bk>
      <extLst>
        <ext uri="{3e2802c4-a4d2-4d8b-9148-e3be6c30e623}">
          <xlrd:rvb i="9406"/>
        </ext>
      </extLst>
    </bk>
    <bk>
      <extLst>
        <ext uri="{3e2802c4-a4d2-4d8b-9148-e3be6c30e623}">
          <xlrd:rvb i="9407"/>
        </ext>
      </extLst>
    </bk>
    <bk>
      <extLst>
        <ext uri="{3e2802c4-a4d2-4d8b-9148-e3be6c30e623}">
          <xlrd:rvb i="9408"/>
        </ext>
      </extLst>
    </bk>
    <bk>
      <extLst>
        <ext uri="{3e2802c4-a4d2-4d8b-9148-e3be6c30e623}">
          <xlrd:rvb i="9409"/>
        </ext>
      </extLst>
    </bk>
    <bk>
      <extLst>
        <ext uri="{3e2802c4-a4d2-4d8b-9148-e3be6c30e623}">
          <xlrd:rvb i="9410"/>
        </ext>
      </extLst>
    </bk>
    <bk>
      <extLst>
        <ext uri="{3e2802c4-a4d2-4d8b-9148-e3be6c30e623}">
          <xlrd:rvb i="9411"/>
        </ext>
      </extLst>
    </bk>
    <bk>
      <extLst>
        <ext uri="{3e2802c4-a4d2-4d8b-9148-e3be6c30e623}">
          <xlrd:rvb i="9412"/>
        </ext>
      </extLst>
    </bk>
    <bk>
      <extLst>
        <ext uri="{3e2802c4-a4d2-4d8b-9148-e3be6c30e623}">
          <xlrd:rvb i="9413"/>
        </ext>
      </extLst>
    </bk>
    <bk>
      <extLst>
        <ext uri="{3e2802c4-a4d2-4d8b-9148-e3be6c30e623}">
          <xlrd:rvb i="9414"/>
        </ext>
      </extLst>
    </bk>
    <bk>
      <extLst>
        <ext uri="{3e2802c4-a4d2-4d8b-9148-e3be6c30e623}">
          <xlrd:rvb i="9415"/>
        </ext>
      </extLst>
    </bk>
    <bk>
      <extLst>
        <ext uri="{3e2802c4-a4d2-4d8b-9148-e3be6c30e623}">
          <xlrd:rvb i="9416"/>
        </ext>
      </extLst>
    </bk>
    <bk>
      <extLst>
        <ext uri="{3e2802c4-a4d2-4d8b-9148-e3be6c30e623}">
          <xlrd:rvb i="9417"/>
        </ext>
      </extLst>
    </bk>
    <bk>
      <extLst>
        <ext uri="{3e2802c4-a4d2-4d8b-9148-e3be6c30e623}">
          <xlrd:rvb i="9418"/>
        </ext>
      </extLst>
    </bk>
    <bk>
      <extLst>
        <ext uri="{3e2802c4-a4d2-4d8b-9148-e3be6c30e623}">
          <xlrd:rvb i="9419"/>
        </ext>
      </extLst>
    </bk>
    <bk>
      <extLst>
        <ext uri="{3e2802c4-a4d2-4d8b-9148-e3be6c30e623}">
          <xlrd:rvb i="9420"/>
        </ext>
      </extLst>
    </bk>
    <bk>
      <extLst>
        <ext uri="{3e2802c4-a4d2-4d8b-9148-e3be6c30e623}">
          <xlrd:rvb i="9421"/>
        </ext>
      </extLst>
    </bk>
    <bk>
      <extLst>
        <ext uri="{3e2802c4-a4d2-4d8b-9148-e3be6c30e623}">
          <xlrd:rvb i="9422"/>
        </ext>
      </extLst>
    </bk>
    <bk>
      <extLst>
        <ext uri="{3e2802c4-a4d2-4d8b-9148-e3be6c30e623}">
          <xlrd:rvb i="9423"/>
        </ext>
      </extLst>
    </bk>
    <bk>
      <extLst>
        <ext uri="{3e2802c4-a4d2-4d8b-9148-e3be6c30e623}">
          <xlrd:rvb i="9424"/>
        </ext>
      </extLst>
    </bk>
    <bk>
      <extLst>
        <ext uri="{3e2802c4-a4d2-4d8b-9148-e3be6c30e623}">
          <xlrd:rvb i="9425"/>
        </ext>
      </extLst>
    </bk>
    <bk>
      <extLst>
        <ext uri="{3e2802c4-a4d2-4d8b-9148-e3be6c30e623}">
          <xlrd:rvb i="9426"/>
        </ext>
      </extLst>
    </bk>
    <bk>
      <extLst>
        <ext uri="{3e2802c4-a4d2-4d8b-9148-e3be6c30e623}">
          <xlrd:rvb i="9427"/>
        </ext>
      </extLst>
    </bk>
    <bk>
      <extLst>
        <ext uri="{3e2802c4-a4d2-4d8b-9148-e3be6c30e623}">
          <xlrd:rvb i="9428"/>
        </ext>
      </extLst>
    </bk>
    <bk>
      <extLst>
        <ext uri="{3e2802c4-a4d2-4d8b-9148-e3be6c30e623}">
          <xlrd:rvb i="9429"/>
        </ext>
      </extLst>
    </bk>
    <bk>
      <extLst>
        <ext uri="{3e2802c4-a4d2-4d8b-9148-e3be6c30e623}">
          <xlrd:rvb i="9430"/>
        </ext>
      </extLst>
    </bk>
    <bk>
      <extLst>
        <ext uri="{3e2802c4-a4d2-4d8b-9148-e3be6c30e623}">
          <xlrd:rvb i="9431"/>
        </ext>
      </extLst>
    </bk>
    <bk>
      <extLst>
        <ext uri="{3e2802c4-a4d2-4d8b-9148-e3be6c30e623}">
          <xlrd:rvb i="9432"/>
        </ext>
      </extLst>
    </bk>
    <bk>
      <extLst>
        <ext uri="{3e2802c4-a4d2-4d8b-9148-e3be6c30e623}">
          <xlrd:rvb i="9433"/>
        </ext>
      </extLst>
    </bk>
    <bk>
      <extLst>
        <ext uri="{3e2802c4-a4d2-4d8b-9148-e3be6c30e623}">
          <xlrd:rvb i="9434"/>
        </ext>
      </extLst>
    </bk>
    <bk>
      <extLst>
        <ext uri="{3e2802c4-a4d2-4d8b-9148-e3be6c30e623}">
          <xlrd:rvb i="9435"/>
        </ext>
      </extLst>
    </bk>
    <bk>
      <extLst>
        <ext uri="{3e2802c4-a4d2-4d8b-9148-e3be6c30e623}">
          <xlrd:rvb i="9436"/>
        </ext>
      </extLst>
    </bk>
    <bk>
      <extLst>
        <ext uri="{3e2802c4-a4d2-4d8b-9148-e3be6c30e623}">
          <xlrd:rvb i="9437"/>
        </ext>
      </extLst>
    </bk>
    <bk>
      <extLst>
        <ext uri="{3e2802c4-a4d2-4d8b-9148-e3be6c30e623}">
          <xlrd:rvb i="9438"/>
        </ext>
      </extLst>
    </bk>
    <bk>
      <extLst>
        <ext uri="{3e2802c4-a4d2-4d8b-9148-e3be6c30e623}">
          <xlrd:rvb i="9439"/>
        </ext>
      </extLst>
    </bk>
    <bk>
      <extLst>
        <ext uri="{3e2802c4-a4d2-4d8b-9148-e3be6c30e623}">
          <xlrd:rvb i="9440"/>
        </ext>
      </extLst>
    </bk>
    <bk>
      <extLst>
        <ext uri="{3e2802c4-a4d2-4d8b-9148-e3be6c30e623}">
          <xlrd:rvb i="9441"/>
        </ext>
      </extLst>
    </bk>
    <bk>
      <extLst>
        <ext uri="{3e2802c4-a4d2-4d8b-9148-e3be6c30e623}">
          <xlrd:rvb i="9442"/>
        </ext>
      </extLst>
    </bk>
    <bk>
      <extLst>
        <ext uri="{3e2802c4-a4d2-4d8b-9148-e3be6c30e623}">
          <xlrd:rvb i="9443"/>
        </ext>
      </extLst>
    </bk>
    <bk>
      <extLst>
        <ext uri="{3e2802c4-a4d2-4d8b-9148-e3be6c30e623}">
          <xlrd:rvb i="9444"/>
        </ext>
      </extLst>
    </bk>
    <bk>
      <extLst>
        <ext uri="{3e2802c4-a4d2-4d8b-9148-e3be6c30e623}">
          <xlrd:rvb i="9445"/>
        </ext>
      </extLst>
    </bk>
    <bk>
      <extLst>
        <ext uri="{3e2802c4-a4d2-4d8b-9148-e3be6c30e623}">
          <xlrd:rvb i="9446"/>
        </ext>
      </extLst>
    </bk>
    <bk>
      <extLst>
        <ext uri="{3e2802c4-a4d2-4d8b-9148-e3be6c30e623}">
          <xlrd:rvb i="9447"/>
        </ext>
      </extLst>
    </bk>
    <bk>
      <extLst>
        <ext uri="{3e2802c4-a4d2-4d8b-9148-e3be6c30e623}">
          <xlrd:rvb i="9448"/>
        </ext>
      </extLst>
    </bk>
    <bk>
      <extLst>
        <ext uri="{3e2802c4-a4d2-4d8b-9148-e3be6c30e623}">
          <xlrd:rvb i="9449"/>
        </ext>
      </extLst>
    </bk>
    <bk>
      <extLst>
        <ext uri="{3e2802c4-a4d2-4d8b-9148-e3be6c30e623}">
          <xlrd:rvb i="9450"/>
        </ext>
      </extLst>
    </bk>
    <bk>
      <extLst>
        <ext uri="{3e2802c4-a4d2-4d8b-9148-e3be6c30e623}">
          <xlrd:rvb i="9451"/>
        </ext>
      </extLst>
    </bk>
    <bk>
      <extLst>
        <ext uri="{3e2802c4-a4d2-4d8b-9148-e3be6c30e623}">
          <xlrd:rvb i="9452"/>
        </ext>
      </extLst>
    </bk>
    <bk>
      <extLst>
        <ext uri="{3e2802c4-a4d2-4d8b-9148-e3be6c30e623}">
          <xlrd:rvb i="9453"/>
        </ext>
      </extLst>
    </bk>
    <bk>
      <extLst>
        <ext uri="{3e2802c4-a4d2-4d8b-9148-e3be6c30e623}">
          <xlrd:rvb i="9454"/>
        </ext>
      </extLst>
    </bk>
    <bk>
      <extLst>
        <ext uri="{3e2802c4-a4d2-4d8b-9148-e3be6c30e623}">
          <xlrd:rvb i="9455"/>
        </ext>
      </extLst>
    </bk>
    <bk>
      <extLst>
        <ext uri="{3e2802c4-a4d2-4d8b-9148-e3be6c30e623}">
          <xlrd:rvb i="9456"/>
        </ext>
      </extLst>
    </bk>
    <bk>
      <extLst>
        <ext uri="{3e2802c4-a4d2-4d8b-9148-e3be6c30e623}">
          <xlrd:rvb i="9457"/>
        </ext>
      </extLst>
    </bk>
    <bk>
      <extLst>
        <ext uri="{3e2802c4-a4d2-4d8b-9148-e3be6c30e623}">
          <xlrd:rvb i="9458"/>
        </ext>
      </extLst>
    </bk>
    <bk>
      <extLst>
        <ext uri="{3e2802c4-a4d2-4d8b-9148-e3be6c30e623}">
          <xlrd:rvb i="9459"/>
        </ext>
      </extLst>
    </bk>
    <bk>
      <extLst>
        <ext uri="{3e2802c4-a4d2-4d8b-9148-e3be6c30e623}">
          <xlrd:rvb i="9460"/>
        </ext>
      </extLst>
    </bk>
    <bk>
      <extLst>
        <ext uri="{3e2802c4-a4d2-4d8b-9148-e3be6c30e623}">
          <xlrd:rvb i="9461"/>
        </ext>
      </extLst>
    </bk>
    <bk>
      <extLst>
        <ext uri="{3e2802c4-a4d2-4d8b-9148-e3be6c30e623}">
          <xlrd:rvb i="9462"/>
        </ext>
      </extLst>
    </bk>
    <bk>
      <extLst>
        <ext uri="{3e2802c4-a4d2-4d8b-9148-e3be6c30e623}">
          <xlrd:rvb i="9463"/>
        </ext>
      </extLst>
    </bk>
    <bk>
      <extLst>
        <ext uri="{3e2802c4-a4d2-4d8b-9148-e3be6c30e623}">
          <xlrd:rvb i="9464"/>
        </ext>
      </extLst>
    </bk>
    <bk>
      <extLst>
        <ext uri="{3e2802c4-a4d2-4d8b-9148-e3be6c30e623}">
          <xlrd:rvb i="9465"/>
        </ext>
      </extLst>
    </bk>
    <bk>
      <extLst>
        <ext uri="{3e2802c4-a4d2-4d8b-9148-e3be6c30e623}">
          <xlrd:rvb i="9466"/>
        </ext>
      </extLst>
    </bk>
    <bk>
      <extLst>
        <ext uri="{3e2802c4-a4d2-4d8b-9148-e3be6c30e623}">
          <xlrd:rvb i="9467"/>
        </ext>
      </extLst>
    </bk>
    <bk>
      <extLst>
        <ext uri="{3e2802c4-a4d2-4d8b-9148-e3be6c30e623}">
          <xlrd:rvb i="9468"/>
        </ext>
      </extLst>
    </bk>
    <bk>
      <extLst>
        <ext uri="{3e2802c4-a4d2-4d8b-9148-e3be6c30e623}">
          <xlrd:rvb i="9469"/>
        </ext>
      </extLst>
    </bk>
    <bk>
      <extLst>
        <ext uri="{3e2802c4-a4d2-4d8b-9148-e3be6c30e623}">
          <xlrd:rvb i="9470"/>
        </ext>
      </extLst>
    </bk>
    <bk>
      <extLst>
        <ext uri="{3e2802c4-a4d2-4d8b-9148-e3be6c30e623}">
          <xlrd:rvb i="9471"/>
        </ext>
      </extLst>
    </bk>
    <bk>
      <extLst>
        <ext uri="{3e2802c4-a4d2-4d8b-9148-e3be6c30e623}">
          <xlrd:rvb i="9472"/>
        </ext>
      </extLst>
    </bk>
    <bk>
      <extLst>
        <ext uri="{3e2802c4-a4d2-4d8b-9148-e3be6c30e623}">
          <xlrd:rvb i="9473"/>
        </ext>
      </extLst>
    </bk>
    <bk>
      <extLst>
        <ext uri="{3e2802c4-a4d2-4d8b-9148-e3be6c30e623}">
          <xlrd:rvb i="9474"/>
        </ext>
      </extLst>
    </bk>
    <bk>
      <extLst>
        <ext uri="{3e2802c4-a4d2-4d8b-9148-e3be6c30e623}">
          <xlrd:rvb i="9475"/>
        </ext>
      </extLst>
    </bk>
    <bk>
      <extLst>
        <ext uri="{3e2802c4-a4d2-4d8b-9148-e3be6c30e623}">
          <xlrd:rvb i="9476"/>
        </ext>
      </extLst>
    </bk>
    <bk>
      <extLst>
        <ext uri="{3e2802c4-a4d2-4d8b-9148-e3be6c30e623}">
          <xlrd:rvb i="9477"/>
        </ext>
      </extLst>
    </bk>
    <bk>
      <extLst>
        <ext uri="{3e2802c4-a4d2-4d8b-9148-e3be6c30e623}">
          <xlrd:rvb i="9478"/>
        </ext>
      </extLst>
    </bk>
    <bk>
      <extLst>
        <ext uri="{3e2802c4-a4d2-4d8b-9148-e3be6c30e623}">
          <xlrd:rvb i="9479"/>
        </ext>
      </extLst>
    </bk>
    <bk>
      <extLst>
        <ext uri="{3e2802c4-a4d2-4d8b-9148-e3be6c30e623}">
          <xlrd:rvb i="9480"/>
        </ext>
      </extLst>
    </bk>
    <bk>
      <extLst>
        <ext uri="{3e2802c4-a4d2-4d8b-9148-e3be6c30e623}">
          <xlrd:rvb i="9481"/>
        </ext>
      </extLst>
    </bk>
    <bk>
      <extLst>
        <ext uri="{3e2802c4-a4d2-4d8b-9148-e3be6c30e623}">
          <xlrd:rvb i="9482"/>
        </ext>
      </extLst>
    </bk>
    <bk>
      <extLst>
        <ext uri="{3e2802c4-a4d2-4d8b-9148-e3be6c30e623}">
          <xlrd:rvb i="9483"/>
        </ext>
      </extLst>
    </bk>
    <bk>
      <extLst>
        <ext uri="{3e2802c4-a4d2-4d8b-9148-e3be6c30e623}">
          <xlrd:rvb i="9484"/>
        </ext>
      </extLst>
    </bk>
    <bk>
      <extLst>
        <ext uri="{3e2802c4-a4d2-4d8b-9148-e3be6c30e623}">
          <xlrd:rvb i="9485"/>
        </ext>
      </extLst>
    </bk>
    <bk>
      <extLst>
        <ext uri="{3e2802c4-a4d2-4d8b-9148-e3be6c30e623}">
          <xlrd:rvb i="9486"/>
        </ext>
      </extLst>
    </bk>
    <bk>
      <extLst>
        <ext uri="{3e2802c4-a4d2-4d8b-9148-e3be6c30e623}">
          <xlrd:rvb i="9487"/>
        </ext>
      </extLst>
    </bk>
    <bk>
      <extLst>
        <ext uri="{3e2802c4-a4d2-4d8b-9148-e3be6c30e623}">
          <xlrd:rvb i="9488"/>
        </ext>
      </extLst>
    </bk>
    <bk>
      <extLst>
        <ext uri="{3e2802c4-a4d2-4d8b-9148-e3be6c30e623}">
          <xlrd:rvb i="9489"/>
        </ext>
      </extLst>
    </bk>
    <bk>
      <extLst>
        <ext uri="{3e2802c4-a4d2-4d8b-9148-e3be6c30e623}">
          <xlrd:rvb i="9490"/>
        </ext>
      </extLst>
    </bk>
    <bk>
      <extLst>
        <ext uri="{3e2802c4-a4d2-4d8b-9148-e3be6c30e623}">
          <xlrd:rvb i="9491"/>
        </ext>
      </extLst>
    </bk>
    <bk>
      <extLst>
        <ext uri="{3e2802c4-a4d2-4d8b-9148-e3be6c30e623}">
          <xlrd:rvb i="9492"/>
        </ext>
      </extLst>
    </bk>
    <bk>
      <extLst>
        <ext uri="{3e2802c4-a4d2-4d8b-9148-e3be6c30e623}">
          <xlrd:rvb i="9493"/>
        </ext>
      </extLst>
    </bk>
    <bk>
      <extLst>
        <ext uri="{3e2802c4-a4d2-4d8b-9148-e3be6c30e623}">
          <xlrd:rvb i="9494"/>
        </ext>
      </extLst>
    </bk>
    <bk>
      <extLst>
        <ext uri="{3e2802c4-a4d2-4d8b-9148-e3be6c30e623}">
          <xlrd:rvb i="9495"/>
        </ext>
      </extLst>
    </bk>
    <bk>
      <extLst>
        <ext uri="{3e2802c4-a4d2-4d8b-9148-e3be6c30e623}">
          <xlrd:rvb i="9496"/>
        </ext>
      </extLst>
    </bk>
    <bk>
      <extLst>
        <ext uri="{3e2802c4-a4d2-4d8b-9148-e3be6c30e623}">
          <xlrd:rvb i="9497"/>
        </ext>
      </extLst>
    </bk>
    <bk>
      <extLst>
        <ext uri="{3e2802c4-a4d2-4d8b-9148-e3be6c30e623}">
          <xlrd:rvb i="9498"/>
        </ext>
      </extLst>
    </bk>
    <bk>
      <extLst>
        <ext uri="{3e2802c4-a4d2-4d8b-9148-e3be6c30e623}">
          <xlrd:rvb i="9499"/>
        </ext>
      </extLst>
    </bk>
    <bk>
      <extLst>
        <ext uri="{3e2802c4-a4d2-4d8b-9148-e3be6c30e623}">
          <xlrd:rvb i="9500"/>
        </ext>
      </extLst>
    </bk>
    <bk>
      <extLst>
        <ext uri="{3e2802c4-a4d2-4d8b-9148-e3be6c30e623}">
          <xlrd:rvb i="9501"/>
        </ext>
      </extLst>
    </bk>
    <bk>
      <extLst>
        <ext uri="{3e2802c4-a4d2-4d8b-9148-e3be6c30e623}">
          <xlrd:rvb i="9502"/>
        </ext>
      </extLst>
    </bk>
    <bk>
      <extLst>
        <ext uri="{3e2802c4-a4d2-4d8b-9148-e3be6c30e623}">
          <xlrd:rvb i="9503"/>
        </ext>
      </extLst>
    </bk>
    <bk>
      <extLst>
        <ext uri="{3e2802c4-a4d2-4d8b-9148-e3be6c30e623}">
          <xlrd:rvb i="9504"/>
        </ext>
      </extLst>
    </bk>
    <bk>
      <extLst>
        <ext uri="{3e2802c4-a4d2-4d8b-9148-e3be6c30e623}">
          <xlrd:rvb i="9505"/>
        </ext>
      </extLst>
    </bk>
    <bk>
      <extLst>
        <ext uri="{3e2802c4-a4d2-4d8b-9148-e3be6c30e623}">
          <xlrd:rvb i="9506"/>
        </ext>
      </extLst>
    </bk>
    <bk>
      <extLst>
        <ext uri="{3e2802c4-a4d2-4d8b-9148-e3be6c30e623}">
          <xlrd:rvb i="9507"/>
        </ext>
      </extLst>
    </bk>
    <bk>
      <extLst>
        <ext uri="{3e2802c4-a4d2-4d8b-9148-e3be6c30e623}">
          <xlrd:rvb i="9508"/>
        </ext>
      </extLst>
    </bk>
    <bk>
      <extLst>
        <ext uri="{3e2802c4-a4d2-4d8b-9148-e3be6c30e623}">
          <xlrd:rvb i="9509"/>
        </ext>
      </extLst>
    </bk>
    <bk>
      <extLst>
        <ext uri="{3e2802c4-a4d2-4d8b-9148-e3be6c30e623}">
          <xlrd:rvb i="9510"/>
        </ext>
      </extLst>
    </bk>
    <bk>
      <extLst>
        <ext uri="{3e2802c4-a4d2-4d8b-9148-e3be6c30e623}">
          <xlrd:rvb i="9511"/>
        </ext>
      </extLst>
    </bk>
    <bk>
      <extLst>
        <ext uri="{3e2802c4-a4d2-4d8b-9148-e3be6c30e623}">
          <xlrd:rvb i="9512"/>
        </ext>
      </extLst>
    </bk>
    <bk>
      <extLst>
        <ext uri="{3e2802c4-a4d2-4d8b-9148-e3be6c30e623}">
          <xlrd:rvb i="9513"/>
        </ext>
      </extLst>
    </bk>
    <bk>
      <extLst>
        <ext uri="{3e2802c4-a4d2-4d8b-9148-e3be6c30e623}">
          <xlrd:rvb i="9514"/>
        </ext>
      </extLst>
    </bk>
    <bk>
      <extLst>
        <ext uri="{3e2802c4-a4d2-4d8b-9148-e3be6c30e623}">
          <xlrd:rvb i="9515"/>
        </ext>
      </extLst>
    </bk>
    <bk>
      <extLst>
        <ext uri="{3e2802c4-a4d2-4d8b-9148-e3be6c30e623}">
          <xlrd:rvb i="9516"/>
        </ext>
      </extLst>
    </bk>
    <bk>
      <extLst>
        <ext uri="{3e2802c4-a4d2-4d8b-9148-e3be6c30e623}">
          <xlrd:rvb i="9517"/>
        </ext>
      </extLst>
    </bk>
    <bk>
      <extLst>
        <ext uri="{3e2802c4-a4d2-4d8b-9148-e3be6c30e623}">
          <xlrd:rvb i="9518"/>
        </ext>
      </extLst>
    </bk>
    <bk>
      <extLst>
        <ext uri="{3e2802c4-a4d2-4d8b-9148-e3be6c30e623}">
          <xlrd:rvb i="9519"/>
        </ext>
      </extLst>
    </bk>
    <bk>
      <extLst>
        <ext uri="{3e2802c4-a4d2-4d8b-9148-e3be6c30e623}">
          <xlrd:rvb i="9520"/>
        </ext>
      </extLst>
    </bk>
    <bk>
      <extLst>
        <ext uri="{3e2802c4-a4d2-4d8b-9148-e3be6c30e623}">
          <xlrd:rvb i="9521"/>
        </ext>
      </extLst>
    </bk>
    <bk>
      <extLst>
        <ext uri="{3e2802c4-a4d2-4d8b-9148-e3be6c30e623}">
          <xlrd:rvb i="9522"/>
        </ext>
      </extLst>
    </bk>
    <bk>
      <extLst>
        <ext uri="{3e2802c4-a4d2-4d8b-9148-e3be6c30e623}">
          <xlrd:rvb i="9523"/>
        </ext>
      </extLst>
    </bk>
    <bk>
      <extLst>
        <ext uri="{3e2802c4-a4d2-4d8b-9148-e3be6c30e623}">
          <xlrd:rvb i="9524"/>
        </ext>
      </extLst>
    </bk>
    <bk>
      <extLst>
        <ext uri="{3e2802c4-a4d2-4d8b-9148-e3be6c30e623}">
          <xlrd:rvb i="9525"/>
        </ext>
      </extLst>
    </bk>
    <bk>
      <extLst>
        <ext uri="{3e2802c4-a4d2-4d8b-9148-e3be6c30e623}">
          <xlrd:rvb i="9526"/>
        </ext>
      </extLst>
    </bk>
    <bk>
      <extLst>
        <ext uri="{3e2802c4-a4d2-4d8b-9148-e3be6c30e623}">
          <xlrd:rvb i="9527"/>
        </ext>
      </extLst>
    </bk>
    <bk>
      <extLst>
        <ext uri="{3e2802c4-a4d2-4d8b-9148-e3be6c30e623}">
          <xlrd:rvb i="9528"/>
        </ext>
      </extLst>
    </bk>
    <bk>
      <extLst>
        <ext uri="{3e2802c4-a4d2-4d8b-9148-e3be6c30e623}">
          <xlrd:rvb i="9529"/>
        </ext>
      </extLst>
    </bk>
    <bk>
      <extLst>
        <ext uri="{3e2802c4-a4d2-4d8b-9148-e3be6c30e623}">
          <xlrd:rvb i="9530"/>
        </ext>
      </extLst>
    </bk>
    <bk>
      <extLst>
        <ext uri="{3e2802c4-a4d2-4d8b-9148-e3be6c30e623}">
          <xlrd:rvb i="9531"/>
        </ext>
      </extLst>
    </bk>
    <bk>
      <extLst>
        <ext uri="{3e2802c4-a4d2-4d8b-9148-e3be6c30e623}">
          <xlrd:rvb i="9532"/>
        </ext>
      </extLst>
    </bk>
    <bk>
      <extLst>
        <ext uri="{3e2802c4-a4d2-4d8b-9148-e3be6c30e623}">
          <xlrd:rvb i="9533"/>
        </ext>
      </extLst>
    </bk>
    <bk>
      <extLst>
        <ext uri="{3e2802c4-a4d2-4d8b-9148-e3be6c30e623}">
          <xlrd:rvb i="9534"/>
        </ext>
      </extLst>
    </bk>
    <bk>
      <extLst>
        <ext uri="{3e2802c4-a4d2-4d8b-9148-e3be6c30e623}">
          <xlrd:rvb i="9535"/>
        </ext>
      </extLst>
    </bk>
    <bk>
      <extLst>
        <ext uri="{3e2802c4-a4d2-4d8b-9148-e3be6c30e623}">
          <xlrd:rvb i="9536"/>
        </ext>
      </extLst>
    </bk>
    <bk>
      <extLst>
        <ext uri="{3e2802c4-a4d2-4d8b-9148-e3be6c30e623}">
          <xlrd:rvb i="9537"/>
        </ext>
      </extLst>
    </bk>
    <bk>
      <extLst>
        <ext uri="{3e2802c4-a4d2-4d8b-9148-e3be6c30e623}">
          <xlrd:rvb i="9538"/>
        </ext>
      </extLst>
    </bk>
    <bk>
      <extLst>
        <ext uri="{3e2802c4-a4d2-4d8b-9148-e3be6c30e623}">
          <xlrd:rvb i="9539"/>
        </ext>
      </extLst>
    </bk>
    <bk>
      <extLst>
        <ext uri="{3e2802c4-a4d2-4d8b-9148-e3be6c30e623}">
          <xlrd:rvb i="9540"/>
        </ext>
      </extLst>
    </bk>
    <bk>
      <extLst>
        <ext uri="{3e2802c4-a4d2-4d8b-9148-e3be6c30e623}">
          <xlrd:rvb i="9541"/>
        </ext>
      </extLst>
    </bk>
    <bk>
      <extLst>
        <ext uri="{3e2802c4-a4d2-4d8b-9148-e3be6c30e623}">
          <xlrd:rvb i="9542"/>
        </ext>
      </extLst>
    </bk>
    <bk>
      <extLst>
        <ext uri="{3e2802c4-a4d2-4d8b-9148-e3be6c30e623}">
          <xlrd:rvb i="9543"/>
        </ext>
      </extLst>
    </bk>
    <bk>
      <extLst>
        <ext uri="{3e2802c4-a4d2-4d8b-9148-e3be6c30e623}">
          <xlrd:rvb i="9544"/>
        </ext>
      </extLst>
    </bk>
    <bk>
      <extLst>
        <ext uri="{3e2802c4-a4d2-4d8b-9148-e3be6c30e623}">
          <xlrd:rvb i="9545"/>
        </ext>
      </extLst>
    </bk>
    <bk>
      <extLst>
        <ext uri="{3e2802c4-a4d2-4d8b-9148-e3be6c30e623}">
          <xlrd:rvb i="9546"/>
        </ext>
      </extLst>
    </bk>
    <bk>
      <extLst>
        <ext uri="{3e2802c4-a4d2-4d8b-9148-e3be6c30e623}">
          <xlrd:rvb i="9547"/>
        </ext>
      </extLst>
    </bk>
    <bk>
      <extLst>
        <ext uri="{3e2802c4-a4d2-4d8b-9148-e3be6c30e623}">
          <xlrd:rvb i="9548"/>
        </ext>
      </extLst>
    </bk>
    <bk>
      <extLst>
        <ext uri="{3e2802c4-a4d2-4d8b-9148-e3be6c30e623}">
          <xlrd:rvb i="9549"/>
        </ext>
      </extLst>
    </bk>
    <bk>
      <extLst>
        <ext uri="{3e2802c4-a4d2-4d8b-9148-e3be6c30e623}">
          <xlrd:rvb i="9550"/>
        </ext>
      </extLst>
    </bk>
    <bk>
      <extLst>
        <ext uri="{3e2802c4-a4d2-4d8b-9148-e3be6c30e623}">
          <xlrd:rvb i="9551"/>
        </ext>
      </extLst>
    </bk>
    <bk>
      <extLst>
        <ext uri="{3e2802c4-a4d2-4d8b-9148-e3be6c30e623}">
          <xlrd:rvb i="9552"/>
        </ext>
      </extLst>
    </bk>
    <bk>
      <extLst>
        <ext uri="{3e2802c4-a4d2-4d8b-9148-e3be6c30e623}">
          <xlrd:rvb i="9553"/>
        </ext>
      </extLst>
    </bk>
    <bk>
      <extLst>
        <ext uri="{3e2802c4-a4d2-4d8b-9148-e3be6c30e623}">
          <xlrd:rvb i="9554"/>
        </ext>
      </extLst>
    </bk>
    <bk>
      <extLst>
        <ext uri="{3e2802c4-a4d2-4d8b-9148-e3be6c30e623}">
          <xlrd:rvb i="9555"/>
        </ext>
      </extLst>
    </bk>
    <bk>
      <extLst>
        <ext uri="{3e2802c4-a4d2-4d8b-9148-e3be6c30e623}">
          <xlrd:rvb i="9556"/>
        </ext>
      </extLst>
    </bk>
    <bk>
      <extLst>
        <ext uri="{3e2802c4-a4d2-4d8b-9148-e3be6c30e623}">
          <xlrd:rvb i="9557"/>
        </ext>
      </extLst>
    </bk>
    <bk>
      <extLst>
        <ext uri="{3e2802c4-a4d2-4d8b-9148-e3be6c30e623}">
          <xlrd:rvb i="9558"/>
        </ext>
      </extLst>
    </bk>
    <bk>
      <extLst>
        <ext uri="{3e2802c4-a4d2-4d8b-9148-e3be6c30e623}">
          <xlrd:rvb i="9559"/>
        </ext>
      </extLst>
    </bk>
    <bk>
      <extLst>
        <ext uri="{3e2802c4-a4d2-4d8b-9148-e3be6c30e623}">
          <xlrd:rvb i="9560"/>
        </ext>
      </extLst>
    </bk>
    <bk>
      <extLst>
        <ext uri="{3e2802c4-a4d2-4d8b-9148-e3be6c30e623}">
          <xlrd:rvb i="9561"/>
        </ext>
      </extLst>
    </bk>
    <bk>
      <extLst>
        <ext uri="{3e2802c4-a4d2-4d8b-9148-e3be6c30e623}">
          <xlrd:rvb i="9562"/>
        </ext>
      </extLst>
    </bk>
    <bk>
      <extLst>
        <ext uri="{3e2802c4-a4d2-4d8b-9148-e3be6c30e623}">
          <xlrd:rvb i="9563"/>
        </ext>
      </extLst>
    </bk>
    <bk>
      <extLst>
        <ext uri="{3e2802c4-a4d2-4d8b-9148-e3be6c30e623}">
          <xlrd:rvb i="9564"/>
        </ext>
      </extLst>
    </bk>
    <bk>
      <extLst>
        <ext uri="{3e2802c4-a4d2-4d8b-9148-e3be6c30e623}">
          <xlrd:rvb i="9565"/>
        </ext>
      </extLst>
    </bk>
    <bk>
      <extLst>
        <ext uri="{3e2802c4-a4d2-4d8b-9148-e3be6c30e623}">
          <xlrd:rvb i="9566"/>
        </ext>
      </extLst>
    </bk>
    <bk>
      <extLst>
        <ext uri="{3e2802c4-a4d2-4d8b-9148-e3be6c30e623}">
          <xlrd:rvb i="9567"/>
        </ext>
      </extLst>
    </bk>
    <bk>
      <extLst>
        <ext uri="{3e2802c4-a4d2-4d8b-9148-e3be6c30e623}">
          <xlrd:rvb i="9568"/>
        </ext>
      </extLst>
    </bk>
    <bk>
      <extLst>
        <ext uri="{3e2802c4-a4d2-4d8b-9148-e3be6c30e623}">
          <xlrd:rvb i="9569"/>
        </ext>
      </extLst>
    </bk>
    <bk>
      <extLst>
        <ext uri="{3e2802c4-a4d2-4d8b-9148-e3be6c30e623}">
          <xlrd:rvb i="9570"/>
        </ext>
      </extLst>
    </bk>
    <bk>
      <extLst>
        <ext uri="{3e2802c4-a4d2-4d8b-9148-e3be6c30e623}">
          <xlrd:rvb i="9571"/>
        </ext>
      </extLst>
    </bk>
    <bk>
      <extLst>
        <ext uri="{3e2802c4-a4d2-4d8b-9148-e3be6c30e623}">
          <xlrd:rvb i="9572"/>
        </ext>
      </extLst>
    </bk>
    <bk>
      <extLst>
        <ext uri="{3e2802c4-a4d2-4d8b-9148-e3be6c30e623}">
          <xlrd:rvb i="9573"/>
        </ext>
      </extLst>
    </bk>
    <bk>
      <extLst>
        <ext uri="{3e2802c4-a4d2-4d8b-9148-e3be6c30e623}">
          <xlrd:rvb i="9574"/>
        </ext>
      </extLst>
    </bk>
    <bk>
      <extLst>
        <ext uri="{3e2802c4-a4d2-4d8b-9148-e3be6c30e623}">
          <xlrd:rvb i="9575"/>
        </ext>
      </extLst>
    </bk>
    <bk>
      <extLst>
        <ext uri="{3e2802c4-a4d2-4d8b-9148-e3be6c30e623}">
          <xlrd:rvb i="9576"/>
        </ext>
      </extLst>
    </bk>
    <bk>
      <extLst>
        <ext uri="{3e2802c4-a4d2-4d8b-9148-e3be6c30e623}">
          <xlrd:rvb i="9577"/>
        </ext>
      </extLst>
    </bk>
    <bk>
      <extLst>
        <ext uri="{3e2802c4-a4d2-4d8b-9148-e3be6c30e623}">
          <xlrd:rvb i="9578"/>
        </ext>
      </extLst>
    </bk>
    <bk>
      <extLst>
        <ext uri="{3e2802c4-a4d2-4d8b-9148-e3be6c30e623}">
          <xlrd:rvb i="9579"/>
        </ext>
      </extLst>
    </bk>
    <bk>
      <extLst>
        <ext uri="{3e2802c4-a4d2-4d8b-9148-e3be6c30e623}">
          <xlrd:rvb i="9580"/>
        </ext>
      </extLst>
    </bk>
    <bk>
      <extLst>
        <ext uri="{3e2802c4-a4d2-4d8b-9148-e3be6c30e623}">
          <xlrd:rvb i="9581"/>
        </ext>
      </extLst>
    </bk>
    <bk>
      <extLst>
        <ext uri="{3e2802c4-a4d2-4d8b-9148-e3be6c30e623}">
          <xlrd:rvb i="9582"/>
        </ext>
      </extLst>
    </bk>
    <bk>
      <extLst>
        <ext uri="{3e2802c4-a4d2-4d8b-9148-e3be6c30e623}">
          <xlrd:rvb i="9583"/>
        </ext>
      </extLst>
    </bk>
    <bk>
      <extLst>
        <ext uri="{3e2802c4-a4d2-4d8b-9148-e3be6c30e623}">
          <xlrd:rvb i="9584"/>
        </ext>
      </extLst>
    </bk>
    <bk>
      <extLst>
        <ext uri="{3e2802c4-a4d2-4d8b-9148-e3be6c30e623}">
          <xlrd:rvb i="9585"/>
        </ext>
      </extLst>
    </bk>
    <bk>
      <extLst>
        <ext uri="{3e2802c4-a4d2-4d8b-9148-e3be6c30e623}">
          <xlrd:rvb i="9586"/>
        </ext>
      </extLst>
    </bk>
    <bk>
      <extLst>
        <ext uri="{3e2802c4-a4d2-4d8b-9148-e3be6c30e623}">
          <xlrd:rvb i="9587"/>
        </ext>
      </extLst>
    </bk>
    <bk>
      <extLst>
        <ext uri="{3e2802c4-a4d2-4d8b-9148-e3be6c30e623}">
          <xlrd:rvb i="9588"/>
        </ext>
      </extLst>
    </bk>
    <bk>
      <extLst>
        <ext uri="{3e2802c4-a4d2-4d8b-9148-e3be6c30e623}">
          <xlrd:rvb i="9589"/>
        </ext>
      </extLst>
    </bk>
    <bk>
      <extLst>
        <ext uri="{3e2802c4-a4d2-4d8b-9148-e3be6c30e623}">
          <xlrd:rvb i="9590"/>
        </ext>
      </extLst>
    </bk>
    <bk>
      <extLst>
        <ext uri="{3e2802c4-a4d2-4d8b-9148-e3be6c30e623}">
          <xlrd:rvb i="9591"/>
        </ext>
      </extLst>
    </bk>
    <bk>
      <extLst>
        <ext uri="{3e2802c4-a4d2-4d8b-9148-e3be6c30e623}">
          <xlrd:rvb i="9592"/>
        </ext>
      </extLst>
    </bk>
    <bk>
      <extLst>
        <ext uri="{3e2802c4-a4d2-4d8b-9148-e3be6c30e623}">
          <xlrd:rvb i="9593"/>
        </ext>
      </extLst>
    </bk>
    <bk>
      <extLst>
        <ext uri="{3e2802c4-a4d2-4d8b-9148-e3be6c30e623}">
          <xlrd:rvb i="9594"/>
        </ext>
      </extLst>
    </bk>
    <bk>
      <extLst>
        <ext uri="{3e2802c4-a4d2-4d8b-9148-e3be6c30e623}">
          <xlrd:rvb i="9595"/>
        </ext>
      </extLst>
    </bk>
    <bk>
      <extLst>
        <ext uri="{3e2802c4-a4d2-4d8b-9148-e3be6c30e623}">
          <xlrd:rvb i="9596"/>
        </ext>
      </extLst>
    </bk>
    <bk>
      <extLst>
        <ext uri="{3e2802c4-a4d2-4d8b-9148-e3be6c30e623}">
          <xlrd:rvb i="9597"/>
        </ext>
      </extLst>
    </bk>
    <bk>
      <extLst>
        <ext uri="{3e2802c4-a4d2-4d8b-9148-e3be6c30e623}">
          <xlrd:rvb i="9598"/>
        </ext>
      </extLst>
    </bk>
    <bk>
      <extLst>
        <ext uri="{3e2802c4-a4d2-4d8b-9148-e3be6c30e623}">
          <xlrd:rvb i="9599"/>
        </ext>
      </extLst>
    </bk>
    <bk>
      <extLst>
        <ext uri="{3e2802c4-a4d2-4d8b-9148-e3be6c30e623}">
          <xlrd:rvb i="9600"/>
        </ext>
      </extLst>
    </bk>
    <bk>
      <extLst>
        <ext uri="{3e2802c4-a4d2-4d8b-9148-e3be6c30e623}">
          <xlrd:rvb i="9601"/>
        </ext>
      </extLst>
    </bk>
    <bk>
      <extLst>
        <ext uri="{3e2802c4-a4d2-4d8b-9148-e3be6c30e623}">
          <xlrd:rvb i="9602"/>
        </ext>
      </extLst>
    </bk>
    <bk>
      <extLst>
        <ext uri="{3e2802c4-a4d2-4d8b-9148-e3be6c30e623}">
          <xlrd:rvb i="9603"/>
        </ext>
      </extLst>
    </bk>
    <bk>
      <extLst>
        <ext uri="{3e2802c4-a4d2-4d8b-9148-e3be6c30e623}">
          <xlrd:rvb i="9604"/>
        </ext>
      </extLst>
    </bk>
    <bk>
      <extLst>
        <ext uri="{3e2802c4-a4d2-4d8b-9148-e3be6c30e623}">
          <xlrd:rvb i="9605"/>
        </ext>
      </extLst>
    </bk>
    <bk>
      <extLst>
        <ext uri="{3e2802c4-a4d2-4d8b-9148-e3be6c30e623}">
          <xlrd:rvb i="9606"/>
        </ext>
      </extLst>
    </bk>
    <bk>
      <extLst>
        <ext uri="{3e2802c4-a4d2-4d8b-9148-e3be6c30e623}">
          <xlrd:rvb i="9607"/>
        </ext>
      </extLst>
    </bk>
    <bk>
      <extLst>
        <ext uri="{3e2802c4-a4d2-4d8b-9148-e3be6c30e623}">
          <xlrd:rvb i="9608"/>
        </ext>
      </extLst>
    </bk>
    <bk>
      <extLst>
        <ext uri="{3e2802c4-a4d2-4d8b-9148-e3be6c30e623}">
          <xlrd:rvb i="9609"/>
        </ext>
      </extLst>
    </bk>
    <bk>
      <extLst>
        <ext uri="{3e2802c4-a4d2-4d8b-9148-e3be6c30e623}">
          <xlrd:rvb i="9610"/>
        </ext>
      </extLst>
    </bk>
    <bk>
      <extLst>
        <ext uri="{3e2802c4-a4d2-4d8b-9148-e3be6c30e623}">
          <xlrd:rvb i="9611"/>
        </ext>
      </extLst>
    </bk>
    <bk>
      <extLst>
        <ext uri="{3e2802c4-a4d2-4d8b-9148-e3be6c30e623}">
          <xlrd:rvb i="9612"/>
        </ext>
      </extLst>
    </bk>
    <bk>
      <extLst>
        <ext uri="{3e2802c4-a4d2-4d8b-9148-e3be6c30e623}">
          <xlrd:rvb i="9613"/>
        </ext>
      </extLst>
    </bk>
    <bk>
      <extLst>
        <ext uri="{3e2802c4-a4d2-4d8b-9148-e3be6c30e623}">
          <xlrd:rvb i="9614"/>
        </ext>
      </extLst>
    </bk>
    <bk>
      <extLst>
        <ext uri="{3e2802c4-a4d2-4d8b-9148-e3be6c30e623}">
          <xlrd:rvb i="9615"/>
        </ext>
      </extLst>
    </bk>
    <bk>
      <extLst>
        <ext uri="{3e2802c4-a4d2-4d8b-9148-e3be6c30e623}">
          <xlrd:rvb i="9616"/>
        </ext>
      </extLst>
    </bk>
    <bk>
      <extLst>
        <ext uri="{3e2802c4-a4d2-4d8b-9148-e3be6c30e623}">
          <xlrd:rvb i="9617"/>
        </ext>
      </extLst>
    </bk>
    <bk>
      <extLst>
        <ext uri="{3e2802c4-a4d2-4d8b-9148-e3be6c30e623}">
          <xlrd:rvb i="9618"/>
        </ext>
      </extLst>
    </bk>
    <bk>
      <extLst>
        <ext uri="{3e2802c4-a4d2-4d8b-9148-e3be6c30e623}">
          <xlrd:rvb i="9619"/>
        </ext>
      </extLst>
    </bk>
    <bk>
      <extLst>
        <ext uri="{3e2802c4-a4d2-4d8b-9148-e3be6c30e623}">
          <xlrd:rvb i="9620"/>
        </ext>
      </extLst>
    </bk>
    <bk>
      <extLst>
        <ext uri="{3e2802c4-a4d2-4d8b-9148-e3be6c30e623}">
          <xlrd:rvb i="9621"/>
        </ext>
      </extLst>
    </bk>
    <bk>
      <extLst>
        <ext uri="{3e2802c4-a4d2-4d8b-9148-e3be6c30e623}">
          <xlrd:rvb i="9622"/>
        </ext>
      </extLst>
    </bk>
    <bk>
      <extLst>
        <ext uri="{3e2802c4-a4d2-4d8b-9148-e3be6c30e623}">
          <xlrd:rvb i="9623"/>
        </ext>
      </extLst>
    </bk>
    <bk>
      <extLst>
        <ext uri="{3e2802c4-a4d2-4d8b-9148-e3be6c30e623}">
          <xlrd:rvb i="9624"/>
        </ext>
      </extLst>
    </bk>
    <bk>
      <extLst>
        <ext uri="{3e2802c4-a4d2-4d8b-9148-e3be6c30e623}">
          <xlrd:rvb i="9625"/>
        </ext>
      </extLst>
    </bk>
    <bk>
      <extLst>
        <ext uri="{3e2802c4-a4d2-4d8b-9148-e3be6c30e623}">
          <xlrd:rvb i="9626"/>
        </ext>
      </extLst>
    </bk>
    <bk>
      <extLst>
        <ext uri="{3e2802c4-a4d2-4d8b-9148-e3be6c30e623}">
          <xlrd:rvb i="9627"/>
        </ext>
      </extLst>
    </bk>
    <bk>
      <extLst>
        <ext uri="{3e2802c4-a4d2-4d8b-9148-e3be6c30e623}">
          <xlrd:rvb i="9628"/>
        </ext>
      </extLst>
    </bk>
    <bk>
      <extLst>
        <ext uri="{3e2802c4-a4d2-4d8b-9148-e3be6c30e623}">
          <xlrd:rvb i="9629"/>
        </ext>
      </extLst>
    </bk>
    <bk>
      <extLst>
        <ext uri="{3e2802c4-a4d2-4d8b-9148-e3be6c30e623}">
          <xlrd:rvb i="9630"/>
        </ext>
      </extLst>
    </bk>
    <bk>
      <extLst>
        <ext uri="{3e2802c4-a4d2-4d8b-9148-e3be6c30e623}">
          <xlrd:rvb i="9631"/>
        </ext>
      </extLst>
    </bk>
    <bk>
      <extLst>
        <ext uri="{3e2802c4-a4d2-4d8b-9148-e3be6c30e623}">
          <xlrd:rvb i="9632"/>
        </ext>
      </extLst>
    </bk>
    <bk>
      <extLst>
        <ext uri="{3e2802c4-a4d2-4d8b-9148-e3be6c30e623}">
          <xlrd:rvb i="9633"/>
        </ext>
      </extLst>
    </bk>
    <bk>
      <extLst>
        <ext uri="{3e2802c4-a4d2-4d8b-9148-e3be6c30e623}">
          <xlrd:rvb i="9634"/>
        </ext>
      </extLst>
    </bk>
    <bk>
      <extLst>
        <ext uri="{3e2802c4-a4d2-4d8b-9148-e3be6c30e623}">
          <xlrd:rvb i="9635"/>
        </ext>
      </extLst>
    </bk>
    <bk>
      <extLst>
        <ext uri="{3e2802c4-a4d2-4d8b-9148-e3be6c30e623}">
          <xlrd:rvb i="9636"/>
        </ext>
      </extLst>
    </bk>
    <bk>
      <extLst>
        <ext uri="{3e2802c4-a4d2-4d8b-9148-e3be6c30e623}">
          <xlrd:rvb i="9637"/>
        </ext>
      </extLst>
    </bk>
    <bk>
      <extLst>
        <ext uri="{3e2802c4-a4d2-4d8b-9148-e3be6c30e623}">
          <xlrd:rvb i="9638"/>
        </ext>
      </extLst>
    </bk>
    <bk>
      <extLst>
        <ext uri="{3e2802c4-a4d2-4d8b-9148-e3be6c30e623}">
          <xlrd:rvb i="9639"/>
        </ext>
      </extLst>
    </bk>
    <bk>
      <extLst>
        <ext uri="{3e2802c4-a4d2-4d8b-9148-e3be6c30e623}">
          <xlrd:rvb i="9640"/>
        </ext>
      </extLst>
    </bk>
    <bk>
      <extLst>
        <ext uri="{3e2802c4-a4d2-4d8b-9148-e3be6c30e623}">
          <xlrd:rvb i="9641"/>
        </ext>
      </extLst>
    </bk>
    <bk>
      <extLst>
        <ext uri="{3e2802c4-a4d2-4d8b-9148-e3be6c30e623}">
          <xlrd:rvb i="9642"/>
        </ext>
      </extLst>
    </bk>
    <bk>
      <extLst>
        <ext uri="{3e2802c4-a4d2-4d8b-9148-e3be6c30e623}">
          <xlrd:rvb i="9643"/>
        </ext>
      </extLst>
    </bk>
    <bk>
      <extLst>
        <ext uri="{3e2802c4-a4d2-4d8b-9148-e3be6c30e623}">
          <xlrd:rvb i="9644"/>
        </ext>
      </extLst>
    </bk>
    <bk>
      <extLst>
        <ext uri="{3e2802c4-a4d2-4d8b-9148-e3be6c30e623}">
          <xlrd:rvb i="9645"/>
        </ext>
      </extLst>
    </bk>
    <bk>
      <extLst>
        <ext uri="{3e2802c4-a4d2-4d8b-9148-e3be6c30e623}">
          <xlrd:rvb i="9646"/>
        </ext>
      </extLst>
    </bk>
    <bk>
      <extLst>
        <ext uri="{3e2802c4-a4d2-4d8b-9148-e3be6c30e623}">
          <xlrd:rvb i="9647"/>
        </ext>
      </extLst>
    </bk>
    <bk>
      <extLst>
        <ext uri="{3e2802c4-a4d2-4d8b-9148-e3be6c30e623}">
          <xlrd:rvb i="9648"/>
        </ext>
      </extLst>
    </bk>
    <bk>
      <extLst>
        <ext uri="{3e2802c4-a4d2-4d8b-9148-e3be6c30e623}">
          <xlrd:rvb i="9649"/>
        </ext>
      </extLst>
    </bk>
    <bk>
      <extLst>
        <ext uri="{3e2802c4-a4d2-4d8b-9148-e3be6c30e623}">
          <xlrd:rvb i="9650"/>
        </ext>
      </extLst>
    </bk>
    <bk>
      <extLst>
        <ext uri="{3e2802c4-a4d2-4d8b-9148-e3be6c30e623}">
          <xlrd:rvb i="9651"/>
        </ext>
      </extLst>
    </bk>
    <bk>
      <extLst>
        <ext uri="{3e2802c4-a4d2-4d8b-9148-e3be6c30e623}">
          <xlrd:rvb i="9652"/>
        </ext>
      </extLst>
    </bk>
    <bk>
      <extLst>
        <ext uri="{3e2802c4-a4d2-4d8b-9148-e3be6c30e623}">
          <xlrd:rvb i="9653"/>
        </ext>
      </extLst>
    </bk>
    <bk>
      <extLst>
        <ext uri="{3e2802c4-a4d2-4d8b-9148-e3be6c30e623}">
          <xlrd:rvb i="9654"/>
        </ext>
      </extLst>
    </bk>
    <bk>
      <extLst>
        <ext uri="{3e2802c4-a4d2-4d8b-9148-e3be6c30e623}">
          <xlrd:rvb i="9655"/>
        </ext>
      </extLst>
    </bk>
    <bk>
      <extLst>
        <ext uri="{3e2802c4-a4d2-4d8b-9148-e3be6c30e623}">
          <xlrd:rvb i="9656"/>
        </ext>
      </extLst>
    </bk>
    <bk>
      <extLst>
        <ext uri="{3e2802c4-a4d2-4d8b-9148-e3be6c30e623}">
          <xlrd:rvb i="9657"/>
        </ext>
      </extLst>
    </bk>
    <bk>
      <extLst>
        <ext uri="{3e2802c4-a4d2-4d8b-9148-e3be6c30e623}">
          <xlrd:rvb i="9658"/>
        </ext>
      </extLst>
    </bk>
    <bk>
      <extLst>
        <ext uri="{3e2802c4-a4d2-4d8b-9148-e3be6c30e623}">
          <xlrd:rvb i="9659"/>
        </ext>
      </extLst>
    </bk>
    <bk>
      <extLst>
        <ext uri="{3e2802c4-a4d2-4d8b-9148-e3be6c30e623}">
          <xlrd:rvb i="9660"/>
        </ext>
      </extLst>
    </bk>
    <bk>
      <extLst>
        <ext uri="{3e2802c4-a4d2-4d8b-9148-e3be6c30e623}">
          <xlrd:rvb i="9661"/>
        </ext>
      </extLst>
    </bk>
    <bk>
      <extLst>
        <ext uri="{3e2802c4-a4d2-4d8b-9148-e3be6c30e623}">
          <xlrd:rvb i="9662"/>
        </ext>
      </extLst>
    </bk>
    <bk>
      <extLst>
        <ext uri="{3e2802c4-a4d2-4d8b-9148-e3be6c30e623}">
          <xlrd:rvb i="9663"/>
        </ext>
      </extLst>
    </bk>
    <bk>
      <extLst>
        <ext uri="{3e2802c4-a4d2-4d8b-9148-e3be6c30e623}">
          <xlrd:rvb i="9664"/>
        </ext>
      </extLst>
    </bk>
    <bk>
      <extLst>
        <ext uri="{3e2802c4-a4d2-4d8b-9148-e3be6c30e623}">
          <xlrd:rvb i="9665"/>
        </ext>
      </extLst>
    </bk>
    <bk>
      <extLst>
        <ext uri="{3e2802c4-a4d2-4d8b-9148-e3be6c30e623}">
          <xlrd:rvb i="9666"/>
        </ext>
      </extLst>
    </bk>
    <bk>
      <extLst>
        <ext uri="{3e2802c4-a4d2-4d8b-9148-e3be6c30e623}">
          <xlrd:rvb i="9667"/>
        </ext>
      </extLst>
    </bk>
    <bk>
      <extLst>
        <ext uri="{3e2802c4-a4d2-4d8b-9148-e3be6c30e623}">
          <xlrd:rvb i="9668"/>
        </ext>
      </extLst>
    </bk>
    <bk>
      <extLst>
        <ext uri="{3e2802c4-a4d2-4d8b-9148-e3be6c30e623}">
          <xlrd:rvb i="9669"/>
        </ext>
      </extLst>
    </bk>
    <bk>
      <extLst>
        <ext uri="{3e2802c4-a4d2-4d8b-9148-e3be6c30e623}">
          <xlrd:rvb i="9670"/>
        </ext>
      </extLst>
    </bk>
    <bk>
      <extLst>
        <ext uri="{3e2802c4-a4d2-4d8b-9148-e3be6c30e623}">
          <xlrd:rvb i="9671"/>
        </ext>
      </extLst>
    </bk>
    <bk>
      <extLst>
        <ext uri="{3e2802c4-a4d2-4d8b-9148-e3be6c30e623}">
          <xlrd:rvb i="9672"/>
        </ext>
      </extLst>
    </bk>
    <bk>
      <extLst>
        <ext uri="{3e2802c4-a4d2-4d8b-9148-e3be6c30e623}">
          <xlrd:rvb i="9673"/>
        </ext>
      </extLst>
    </bk>
    <bk>
      <extLst>
        <ext uri="{3e2802c4-a4d2-4d8b-9148-e3be6c30e623}">
          <xlrd:rvb i="9674"/>
        </ext>
      </extLst>
    </bk>
    <bk>
      <extLst>
        <ext uri="{3e2802c4-a4d2-4d8b-9148-e3be6c30e623}">
          <xlrd:rvb i="9675"/>
        </ext>
      </extLst>
    </bk>
    <bk>
      <extLst>
        <ext uri="{3e2802c4-a4d2-4d8b-9148-e3be6c30e623}">
          <xlrd:rvb i="9676"/>
        </ext>
      </extLst>
    </bk>
    <bk>
      <extLst>
        <ext uri="{3e2802c4-a4d2-4d8b-9148-e3be6c30e623}">
          <xlrd:rvb i="9677"/>
        </ext>
      </extLst>
    </bk>
    <bk>
      <extLst>
        <ext uri="{3e2802c4-a4d2-4d8b-9148-e3be6c30e623}">
          <xlrd:rvb i="9678"/>
        </ext>
      </extLst>
    </bk>
    <bk>
      <extLst>
        <ext uri="{3e2802c4-a4d2-4d8b-9148-e3be6c30e623}">
          <xlrd:rvb i="9679"/>
        </ext>
      </extLst>
    </bk>
    <bk>
      <extLst>
        <ext uri="{3e2802c4-a4d2-4d8b-9148-e3be6c30e623}">
          <xlrd:rvb i="9680"/>
        </ext>
      </extLst>
    </bk>
    <bk>
      <extLst>
        <ext uri="{3e2802c4-a4d2-4d8b-9148-e3be6c30e623}">
          <xlrd:rvb i="9681"/>
        </ext>
      </extLst>
    </bk>
    <bk>
      <extLst>
        <ext uri="{3e2802c4-a4d2-4d8b-9148-e3be6c30e623}">
          <xlrd:rvb i="9682"/>
        </ext>
      </extLst>
    </bk>
    <bk>
      <extLst>
        <ext uri="{3e2802c4-a4d2-4d8b-9148-e3be6c30e623}">
          <xlrd:rvb i="9683"/>
        </ext>
      </extLst>
    </bk>
    <bk>
      <extLst>
        <ext uri="{3e2802c4-a4d2-4d8b-9148-e3be6c30e623}">
          <xlrd:rvb i="9684"/>
        </ext>
      </extLst>
    </bk>
    <bk>
      <extLst>
        <ext uri="{3e2802c4-a4d2-4d8b-9148-e3be6c30e623}">
          <xlrd:rvb i="9685"/>
        </ext>
      </extLst>
    </bk>
    <bk>
      <extLst>
        <ext uri="{3e2802c4-a4d2-4d8b-9148-e3be6c30e623}">
          <xlrd:rvb i="9686"/>
        </ext>
      </extLst>
    </bk>
    <bk>
      <extLst>
        <ext uri="{3e2802c4-a4d2-4d8b-9148-e3be6c30e623}">
          <xlrd:rvb i="9687"/>
        </ext>
      </extLst>
    </bk>
    <bk>
      <extLst>
        <ext uri="{3e2802c4-a4d2-4d8b-9148-e3be6c30e623}">
          <xlrd:rvb i="9688"/>
        </ext>
      </extLst>
    </bk>
    <bk>
      <extLst>
        <ext uri="{3e2802c4-a4d2-4d8b-9148-e3be6c30e623}">
          <xlrd:rvb i="9689"/>
        </ext>
      </extLst>
    </bk>
    <bk>
      <extLst>
        <ext uri="{3e2802c4-a4d2-4d8b-9148-e3be6c30e623}">
          <xlrd:rvb i="9690"/>
        </ext>
      </extLst>
    </bk>
    <bk>
      <extLst>
        <ext uri="{3e2802c4-a4d2-4d8b-9148-e3be6c30e623}">
          <xlrd:rvb i="9691"/>
        </ext>
      </extLst>
    </bk>
    <bk>
      <extLst>
        <ext uri="{3e2802c4-a4d2-4d8b-9148-e3be6c30e623}">
          <xlrd:rvb i="9692"/>
        </ext>
      </extLst>
    </bk>
    <bk>
      <extLst>
        <ext uri="{3e2802c4-a4d2-4d8b-9148-e3be6c30e623}">
          <xlrd:rvb i="9693"/>
        </ext>
      </extLst>
    </bk>
    <bk>
      <extLst>
        <ext uri="{3e2802c4-a4d2-4d8b-9148-e3be6c30e623}">
          <xlrd:rvb i="9694"/>
        </ext>
      </extLst>
    </bk>
    <bk>
      <extLst>
        <ext uri="{3e2802c4-a4d2-4d8b-9148-e3be6c30e623}">
          <xlrd:rvb i="9695"/>
        </ext>
      </extLst>
    </bk>
    <bk>
      <extLst>
        <ext uri="{3e2802c4-a4d2-4d8b-9148-e3be6c30e623}">
          <xlrd:rvb i="9696"/>
        </ext>
      </extLst>
    </bk>
    <bk>
      <extLst>
        <ext uri="{3e2802c4-a4d2-4d8b-9148-e3be6c30e623}">
          <xlrd:rvb i="9697"/>
        </ext>
      </extLst>
    </bk>
    <bk>
      <extLst>
        <ext uri="{3e2802c4-a4d2-4d8b-9148-e3be6c30e623}">
          <xlrd:rvb i="9698"/>
        </ext>
      </extLst>
    </bk>
    <bk>
      <extLst>
        <ext uri="{3e2802c4-a4d2-4d8b-9148-e3be6c30e623}">
          <xlrd:rvb i="9699"/>
        </ext>
      </extLst>
    </bk>
    <bk>
      <extLst>
        <ext uri="{3e2802c4-a4d2-4d8b-9148-e3be6c30e623}">
          <xlrd:rvb i="9700"/>
        </ext>
      </extLst>
    </bk>
    <bk>
      <extLst>
        <ext uri="{3e2802c4-a4d2-4d8b-9148-e3be6c30e623}">
          <xlrd:rvb i="9701"/>
        </ext>
      </extLst>
    </bk>
    <bk>
      <extLst>
        <ext uri="{3e2802c4-a4d2-4d8b-9148-e3be6c30e623}">
          <xlrd:rvb i="9702"/>
        </ext>
      </extLst>
    </bk>
    <bk>
      <extLst>
        <ext uri="{3e2802c4-a4d2-4d8b-9148-e3be6c30e623}">
          <xlrd:rvb i="9703"/>
        </ext>
      </extLst>
    </bk>
    <bk>
      <extLst>
        <ext uri="{3e2802c4-a4d2-4d8b-9148-e3be6c30e623}">
          <xlrd:rvb i="9704"/>
        </ext>
      </extLst>
    </bk>
    <bk>
      <extLst>
        <ext uri="{3e2802c4-a4d2-4d8b-9148-e3be6c30e623}">
          <xlrd:rvb i="9705"/>
        </ext>
      </extLst>
    </bk>
    <bk>
      <extLst>
        <ext uri="{3e2802c4-a4d2-4d8b-9148-e3be6c30e623}">
          <xlrd:rvb i="9706"/>
        </ext>
      </extLst>
    </bk>
    <bk>
      <extLst>
        <ext uri="{3e2802c4-a4d2-4d8b-9148-e3be6c30e623}">
          <xlrd:rvb i="9707"/>
        </ext>
      </extLst>
    </bk>
    <bk>
      <extLst>
        <ext uri="{3e2802c4-a4d2-4d8b-9148-e3be6c30e623}">
          <xlrd:rvb i="9708"/>
        </ext>
      </extLst>
    </bk>
    <bk>
      <extLst>
        <ext uri="{3e2802c4-a4d2-4d8b-9148-e3be6c30e623}">
          <xlrd:rvb i="9709"/>
        </ext>
      </extLst>
    </bk>
    <bk>
      <extLst>
        <ext uri="{3e2802c4-a4d2-4d8b-9148-e3be6c30e623}">
          <xlrd:rvb i="9710"/>
        </ext>
      </extLst>
    </bk>
    <bk>
      <extLst>
        <ext uri="{3e2802c4-a4d2-4d8b-9148-e3be6c30e623}">
          <xlrd:rvb i="9711"/>
        </ext>
      </extLst>
    </bk>
    <bk>
      <extLst>
        <ext uri="{3e2802c4-a4d2-4d8b-9148-e3be6c30e623}">
          <xlrd:rvb i="9712"/>
        </ext>
      </extLst>
    </bk>
    <bk>
      <extLst>
        <ext uri="{3e2802c4-a4d2-4d8b-9148-e3be6c30e623}">
          <xlrd:rvb i="9713"/>
        </ext>
      </extLst>
    </bk>
    <bk>
      <extLst>
        <ext uri="{3e2802c4-a4d2-4d8b-9148-e3be6c30e623}">
          <xlrd:rvb i="9714"/>
        </ext>
      </extLst>
    </bk>
    <bk>
      <extLst>
        <ext uri="{3e2802c4-a4d2-4d8b-9148-e3be6c30e623}">
          <xlrd:rvb i="9715"/>
        </ext>
      </extLst>
    </bk>
    <bk>
      <extLst>
        <ext uri="{3e2802c4-a4d2-4d8b-9148-e3be6c30e623}">
          <xlrd:rvb i="9716"/>
        </ext>
      </extLst>
    </bk>
    <bk>
      <extLst>
        <ext uri="{3e2802c4-a4d2-4d8b-9148-e3be6c30e623}">
          <xlrd:rvb i="9717"/>
        </ext>
      </extLst>
    </bk>
    <bk>
      <extLst>
        <ext uri="{3e2802c4-a4d2-4d8b-9148-e3be6c30e623}">
          <xlrd:rvb i="9718"/>
        </ext>
      </extLst>
    </bk>
    <bk>
      <extLst>
        <ext uri="{3e2802c4-a4d2-4d8b-9148-e3be6c30e623}">
          <xlrd:rvb i="9719"/>
        </ext>
      </extLst>
    </bk>
    <bk>
      <extLst>
        <ext uri="{3e2802c4-a4d2-4d8b-9148-e3be6c30e623}">
          <xlrd:rvb i="9720"/>
        </ext>
      </extLst>
    </bk>
    <bk>
      <extLst>
        <ext uri="{3e2802c4-a4d2-4d8b-9148-e3be6c30e623}">
          <xlrd:rvb i="9721"/>
        </ext>
      </extLst>
    </bk>
    <bk>
      <extLst>
        <ext uri="{3e2802c4-a4d2-4d8b-9148-e3be6c30e623}">
          <xlrd:rvb i="9722"/>
        </ext>
      </extLst>
    </bk>
    <bk>
      <extLst>
        <ext uri="{3e2802c4-a4d2-4d8b-9148-e3be6c30e623}">
          <xlrd:rvb i="9723"/>
        </ext>
      </extLst>
    </bk>
    <bk>
      <extLst>
        <ext uri="{3e2802c4-a4d2-4d8b-9148-e3be6c30e623}">
          <xlrd:rvb i="9724"/>
        </ext>
      </extLst>
    </bk>
    <bk>
      <extLst>
        <ext uri="{3e2802c4-a4d2-4d8b-9148-e3be6c30e623}">
          <xlrd:rvb i="9725"/>
        </ext>
      </extLst>
    </bk>
    <bk>
      <extLst>
        <ext uri="{3e2802c4-a4d2-4d8b-9148-e3be6c30e623}">
          <xlrd:rvb i="9726"/>
        </ext>
      </extLst>
    </bk>
    <bk>
      <extLst>
        <ext uri="{3e2802c4-a4d2-4d8b-9148-e3be6c30e623}">
          <xlrd:rvb i="9727"/>
        </ext>
      </extLst>
    </bk>
    <bk>
      <extLst>
        <ext uri="{3e2802c4-a4d2-4d8b-9148-e3be6c30e623}">
          <xlrd:rvb i="9728"/>
        </ext>
      </extLst>
    </bk>
    <bk>
      <extLst>
        <ext uri="{3e2802c4-a4d2-4d8b-9148-e3be6c30e623}">
          <xlrd:rvb i="9729"/>
        </ext>
      </extLst>
    </bk>
    <bk>
      <extLst>
        <ext uri="{3e2802c4-a4d2-4d8b-9148-e3be6c30e623}">
          <xlrd:rvb i="9730"/>
        </ext>
      </extLst>
    </bk>
    <bk>
      <extLst>
        <ext uri="{3e2802c4-a4d2-4d8b-9148-e3be6c30e623}">
          <xlrd:rvb i="9731"/>
        </ext>
      </extLst>
    </bk>
    <bk>
      <extLst>
        <ext uri="{3e2802c4-a4d2-4d8b-9148-e3be6c30e623}">
          <xlrd:rvb i="9732"/>
        </ext>
      </extLst>
    </bk>
    <bk>
      <extLst>
        <ext uri="{3e2802c4-a4d2-4d8b-9148-e3be6c30e623}">
          <xlrd:rvb i="9733"/>
        </ext>
      </extLst>
    </bk>
    <bk>
      <extLst>
        <ext uri="{3e2802c4-a4d2-4d8b-9148-e3be6c30e623}">
          <xlrd:rvb i="9734"/>
        </ext>
      </extLst>
    </bk>
    <bk>
      <extLst>
        <ext uri="{3e2802c4-a4d2-4d8b-9148-e3be6c30e623}">
          <xlrd:rvb i="9735"/>
        </ext>
      </extLst>
    </bk>
    <bk>
      <extLst>
        <ext uri="{3e2802c4-a4d2-4d8b-9148-e3be6c30e623}">
          <xlrd:rvb i="9736"/>
        </ext>
      </extLst>
    </bk>
    <bk>
      <extLst>
        <ext uri="{3e2802c4-a4d2-4d8b-9148-e3be6c30e623}">
          <xlrd:rvb i="9737"/>
        </ext>
      </extLst>
    </bk>
    <bk>
      <extLst>
        <ext uri="{3e2802c4-a4d2-4d8b-9148-e3be6c30e623}">
          <xlrd:rvb i="9738"/>
        </ext>
      </extLst>
    </bk>
    <bk>
      <extLst>
        <ext uri="{3e2802c4-a4d2-4d8b-9148-e3be6c30e623}">
          <xlrd:rvb i="9739"/>
        </ext>
      </extLst>
    </bk>
    <bk>
      <extLst>
        <ext uri="{3e2802c4-a4d2-4d8b-9148-e3be6c30e623}">
          <xlrd:rvb i="9740"/>
        </ext>
      </extLst>
    </bk>
    <bk>
      <extLst>
        <ext uri="{3e2802c4-a4d2-4d8b-9148-e3be6c30e623}">
          <xlrd:rvb i="9741"/>
        </ext>
      </extLst>
    </bk>
    <bk>
      <extLst>
        <ext uri="{3e2802c4-a4d2-4d8b-9148-e3be6c30e623}">
          <xlrd:rvb i="9742"/>
        </ext>
      </extLst>
    </bk>
    <bk>
      <extLst>
        <ext uri="{3e2802c4-a4d2-4d8b-9148-e3be6c30e623}">
          <xlrd:rvb i="9743"/>
        </ext>
      </extLst>
    </bk>
    <bk>
      <extLst>
        <ext uri="{3e2802c4-a4d2-4d8b-9148-e3be6c30e623}">
          <xlrd:rvb i="9744"/>
        </ext>
      </extLst>
    </bk>
    <bk>
      <extLst>
        <ext uri="{3e2802c4-a4d2-4d8b-9148-e3be6c30e623}">
          <xlrd:rvb i="9745"/>
        </ext>
      </extLst>
    </bk>
    <bk>
      <extLst>
        <ext uri="{3e2802c4-a4d2-4d8b-9148-e3be6c30e623}">
          <xlrd:rvb i="9746"/>
        </ext>
      </extLst>
    </bk>
    <bk>
      <extLst>
        <ext uri="{3e2802c4-a4d2-4d8b-9148-e3be6c30e623}">
          <xlrd:rvb i="9747"/>
        </ext>
      </extLst>
    </bk>
    <bk>
      <extLst>
        <ext uri="{3e2802c4-a4d2-4d8b-9148-e3be6c30e623}">
          <xlrd:rvb i="9748"/>
        </ext>
      </extLst>
    </bk>
    <bk>
      <extLst>
        <ext uri="{3e2802c4-a4d2-4d8b-9148-e3be6c30e623}">
          <xlrd:rvb i="9749"/>
        </ext>
      </extLst>
    </bk>
    <bk>
      <extLst>
        <ext uri="{3e2802c4-a4d2-4d8b-9148-e3be6c30e623}">
          <xlrd:rvb i="9750"/>
        </ext>
      </extLst>
    </bk>
    <bk>
      <extLst>
        <ext uri="{3e2802c4-a4d2-4d8b-9148-e3be6c30e623}">
          <xlrd:rvb i="9751"/>
        </ext>
      </extLst>
    </bk>
    <bk>
      <extLst>
        <ext uri="{3e2802c4-a4d2-4d8b-9148-e3be6c30e623}">
          <xlrd:rvb i="9752"/>
        </ext>
      </extLst>
    </bk>
    <bk>
      <extLst>
        <ext uri="{3e2802c4-a4d2-4d8b-9148-e3be6c30e623}">
          <xlrd:rvb i="9753"/>
        </ext>
      </extLst>
    </bk>
    <bk>
      <extLst>
        <ext uri="{3e2802c4-a4d2-4d8b-9148-e3be6c30e623}">
          <xlrd:rvb i="9754"/>
        </ext>
      </extLst>
    </bk>
    <bk>
      <extLst>
        <ext uri="{3e2802c4-a4d2-4d8b-9148-e3be6c30e623}">
          <xlrd:rvb i="9755"/>
        </ext>
      </extLst>
    </bk>
    <bk>
      <extLst>
        <ext uri="{3e2802c4-a4d2-4d8b-9148-e3be6c30e623}">
          <xlrd:rvb i="9756"/>
        </ext>
      </extLst>
    </bk>
    <bk>
      <extLst>
        <ext uri="{3e2802c4-a4d2-4d8b-9148-e3be6c30e623}">
          <xlrd:rvb i="9757"/>
        </ext>
      </extLst>
    </bk>
    <bk>
      <extLst>
        <ext uri="{3e2802c4-a4d2-4d8b-9148-e3be6c30e623}">
          <xlrd:rvb i="9758"/>
        </ext>
      </extLst>
    </bk>
    <bk>
      <extLst>
        <ext uri="{3e2802c4-a4d2-4d8b-9148-e3be6c30e623}">
          <xlrd:rvb i="9759"/>
        </ext>
      </extLst>
    </bk>
    <bk>
      <extLst>
        <ext uri="{3e2802c4-a4d2-4d8b-9148-e3be6c30e623}">
          <xlrd:rvb i="9760"/>
        </ext>
      </extLst>
    </bk>
    <bk>
      <extLst>
        <ext uri="{3e2802c4-a4d2-4d8b-9148-e3be6c30e623}">
          <xlrd:rvb i="9761"/>
        </ext>
      </extLst>
    </bk>
    <bk>
      <extLst>
        <ext uri="{3e2802c4-a4d2-4d8b-9148-e3be6c30e623}">
          <xlrd:rvb i="9762"/>
        </ext>
      </extLst>
    </bk>
    <bk>
      <extLst>
        <ext uri="{3e2802c4-a4d2-4d8b-9148-e3be6c30e623}">
          <xlrd:rvb i="9763"/>
        </ext>
      </extLst>
    </bk>
    <bk>
      <extLst>
        <ext uri="{3e2802c4-a4d2-4d8b-9148-e3be6c30e623}">
          <xlrd:rvb i="9764"/>
        </ext>
      </extLst>
    </bk>
    <bk>
      <extLst>
        <ext uri="{3e2802c4-a4d2-4d8b-9148-e3be6c30e623}">
          <xlrd:rvb i="9765"/>
        </ext>
      </extLst>
    </bk>
    <bk>
      <extLst>
        <ext uri="{3e2802c4-a4d2-4d8b-9148-e3be6c30e623}">
          <xlrd:rvb i="9766"/>
        </ext>
      </extLst>
    </bk>
    <bk>
      <extLst>
        <ext uri="{3e2802c4-a4d2-4d8b-9148-e3be6c30e623}">
          <xlrd:rvb i="9767"/>
        </ext>
      </extLst>
    </bk>
    <bk>
      <extLst>
        <ext uri="{3e2802c4-a4d2-4d8b-9148-e3be6c30e623}">
          <xlrd:rvb i="9768"/>
        </ext>
      </extLst>
    </bk>
    <bk>
      <extLst>
        <ext uri="{3e2802c4-a4d2-4d8b-9148-e3be6c30e623}">
          <xlrd:rvb i="9769"/>
        </ext>
      </extLst>
    </bk>
    <bk>
      <extLst>
        <ext uri="{3e2802c4-a4d2-4d8b-9148-e3be6c30e623}">
          <xlrd:rvb i="9770"/>
        </ext>
      </extLst>
    </bk>
    <bk>
      <extLst>
        <ext uri="{3e2802c4-a4d2-4d8b-9148-e3be6c30e623}">
          <xlrd:rvb i="9771"/>
        </ext>
      </extLst>
    </bk>
    <bk>
      <extLst>
        <ext uri="{3e2802c4-a4d2-4d8b-9148-e3be6c30e623}">
          <xlrd:rvb i="9772"/>
        </ext>
      </extLst>
    </bk>
    <bk>
      <extLst>
        <ext uri="{3e2802c4-a4d2-4d8b-9148-e3be6c30e623}">
          <xlrd:rvb i="9773"/>
        </ext>
      </extLst>
    </bk>
    <bk>
      <extLst>
        <ext uri="{3e2802c4-a4d2-4d8b-9148-e3be6c30e623}">
          <xlrd:rvb i="9774"/>
        </ext>
      </extLst>
    </bk>
    <bk>
      <extLst>
        <ext uri="{3e2802c4-a4d2-4d8b-9148-e3be6c30e623}">
          <xlrd:rvb i="9775"/>
        </ext>
      </extLst>
    </bk>
    <bk>
      <extLst>
        <ext uri="{3e2802c4-a4d2-4d8b-9148-e3be6c30e623}">
          <xlrd:rvb i="9776"/>
        </ext>
      </extLst>
    </bk>
    <bk>
      <extLst>
        <ext uri="{3e2802c4-a4d2-4d8b-9148-e3be6c30e623}">
          <xlrd:rvb i="9777"/>
        </ext>
      </extLst>
    </bk>
    <bk>
      <extLst>
        <ext uri="{3e2802c4-a4d2-4d8b-9148-e3be6c30e623}">
          <xlrd:rvb i="9778"/>
        </ext>
      </extLst>
    </bk>
    <bk>
      <extLst>
        <ext uri="{3e2802c4-a4d2-4d8b-9148-e3be6c30e623}">
          <xlrd:rvb i="9779"/>
        </ext>
      </extLst>
    </bk>
    <bk>
      <extLst>
        <ext uri="{3e2802c4-a4d2-4d8b-9148-e3be6c30e623}">
          <xlrd:rvb i="9780"/>
        </ext>
      </extLst>
    </bk>
    <bk>
      <extLst>
        <ext uri="{3e2802c4-a4d2-4d8b-9148-e3be6c30e623}">
          <xlrd:rvb i="9781"/>
        </ext>
      </extLst>
    </bk>
    <bk>
      <extLst>
        <ext uri="{3e2802c4-a4d2-4d8b-9148-e3be6c30e623}">
          <xlrd:rvb i="9782"/>
        </ext>
      </extLst>
    </bk>
    <bk>
      <extLst>
        <ext uri="{3e2802c4-a4d2-4d8b-9148-e3be6c30e623}">
          <xlrd:rvb i="9783"/>
        </ext>
      </extLst>
    </bk>
    <bk>
      <extLst>
        <ext uri="{3e2802c4-a4d2-4d8b-9148-e3be6c30e623}">
          <xlrd:rvb i="9784"/>
        </ext>
      </extLst>
    </bk>
    <bk>
      <extLst>
        <ext uri="{3e2802c4-a4d2-4d8b-9148-e3be6c30e623}">
          <xlrd:rvb i="9785"/>
        </ext>
      </extLst>
    </bk>
    <bk>
      <extLst>
        <ext uri="{3e2802c4-a4d2-4d8b-9148-e3be6c30e623}">
          <xlrd:rvb i="9786"/>
        </ext>
      </extLst>
    </bk>
    <bk>
      <extLst>
        <ext uri="{3e2802c4-a4d2-4d8b-9148-e3be6c30e623}">
          <xlrd:rvb i="9787"/>
        </ext>
      </extLst>
    </bk>
    <bk>
      <extLst>
        <ext uri="{3e2802c4-a4d2-4d8b-9148-e3be6c30e623}">
          <xlrd:rvb i="9788"/>
        </ext>
      </extLst>
    </bk>
    <bk>
      <extLst>
        <ext uri="{3e2802c4-a4d2-4d8b-9148-e3be6c30e623}">
          <xlrd:rvb i="9789"/>
        </ext>
      </extLst>
    </bk>
    <bk>
      <extLst>
        <ext uri="{3e2802c4-a4d2-4d8b-9148-e3be6c30e623}">
          <xlrd:rvb i="9790"/>
        </ext>
      </extLst>
    </bk>
    <bk>
      <extLst>
        <ext uri="{3e2802c4-a4d2-4d8b-9148-e3be6c30e623}">
          <xlrd:rvb i="9791"/>
        </ext>
      </extLst>
    </bk>
    <bk>
      <extLst>
        <ext uri="{3e2802c4-a4d2-4d8b-9148-e3be6c30e623}">
          <xlrd:rvb i="9792"/>
        </ext>
      </extLst>
    </bk>
    <bk>
      <extLst>
        <ext uri="{3e2802c4-a4d2-4d8b-9148-e3be6c30e623}">
          <xlrd:rvb i="9793"/>
        </ext>
      </extLst>
    </bk>
    <bk>
      <extLst>
        <ext uri="{3e2802c4-a4d2-4d8b-9148-e3be6c30e623}">
          <xlrd:rvb i="9794"/>
        </ext>
      </extLst>
    </bk>
    <bk>
      <extLst>
        <ext uri="{3e2802c4-a4d2-4d8b-9148-e3be6c30e623}">
          <xlrd:rvb i="9795"/>
        </ext>
      </extLst>
    </bk>
    <bk>
      <extLst>
        <ext uri="{3e2802c4-a4d2-4d8b-9148-e3be6c30e623}">
          <xlrd:rvb i="9796"/>
        </ext>
      </extLst>
    </bk>
    <bk>
      <extLst>
        <ext uri="{3e2802c4-a4d2-4d8b-9148-e3be6c30e623}">
          <xlrd:rvb i="9797"/>
        </ext>
      </extLst>
    </bk>
    <bk>
      <extLst>
        <ext uri="{3e2802c4-a4d2-4d8b-9148-e3be6c30e623}">
          <xlrd:rvb i="9798"/>
        </ext>
      </extLst>
    </bk>
    <bk>
      <extLst>
        <ext uri="{3e2802c4-a4d2-4d8b-9148-e3be6c30e623}">
          <xlrd:rvb i="9799"/>
        </ext>
      </extLst>
    </bk>
    <bk>
      <extLst>
        <ext uri="{3e2802c4-a4d2-4d8b-9148-e3be6c30e623}">
          <xlrd:rvb i="9800"/>
        </ext>
      </extLst>
    </bk>
    <bk>
      <extLst>
        <ext uri="{3e2802c4-a4d2-4d8b-9148-e3be6c30e623}">
          <xlrd:rvb i="9801"/>
        </ext>
      </extLst>
    </bk>
    <bk>
      <extLst>
        <ext uri="{3e2802c4-a4d2-4d8b-9148-e3be6c30e623}">
          <xlrd:rvb i="9802"/>
        </ext>
      </extLst>
    </bk>
    <bk>
      <extLst>
        <ext uri="{3e2802c4-a4d2-4d8b-9148-e3be6c30e623}">
          <xlrd:rvb i="9803"/>
        </ext>
      </extLst>
    </bk>
    <bk>
      <extLst>
        <ext uri="{3e2802c4-a4d2-4d8b-9148-e3be6c30e623}">
          <xlrd:rvb i="9804"/>
        </ext>
      </extLst>
    </bk>
    <bk>
      <extLst>
        <ext uri="{3e2802c4-a4d2-4d8b-9148-e3be6c30e623}">
          <xlrd:rvb i="9805"/>
        </ext>
      </extLst>
    </bk>
    <bk>
      <extLst>
        <ext uri="{3e2802c4-a4d2-4d8b-9148-e3be6c30e623}">
          <xlrd:rvb i="9806"/>
        </ext>
      </extLst>
    </bk>
    <bk>
      <extLst>
        <ext uri="{3e2802c4-a4d2-4d8b-9148-e3be6c30e623}">
          <xlrd:rvb i="9807"/>
        </ext>
      </extLst>
    </bk>
    <bk>
      <extLst>
        <ext uri="{3e2802c4-a4d2-4d8b-9148-e3be6c30e623}">
          <xlrd:rvb i="9808"/>
        </ext>
      </extLst>
    </bk>
    <bk>
      <extLst>
        <ext uri="{3e2802c4-a4d2-4d8b-9148-e3be6c30e623}">
          <xlrd:rvb i="9809"/>
        </ext>
      </extLst>
    </bk>
    <bk>
      <extLst>
        <ext uri="{3e2802c4-a4d2-4d8b-9148-e3be6c30e623}">
          <xlrd:rvb i="9810"/>
        </ext>
      </extLst>
    </bk>
    <bk>
      <extLst>
        <ext uri="{3e2802c4-a4d2-4d8b-9148-e3be6c30e623}">
          <xlrd:rvb i="9811"/>
        </ext>
      </extLst>
    </bk>
    <bk>
      <extLst>
        <ext uri="{3e2802c4-a4d2-4d8b-9148-e3be6c30e623}">
          <xlrd:rvb i="9812"/>
        </ext>
      </extLst>
    </bk>
    <bk>
      <extLst>
        <ext uri="{3e2802c4-a4d2-4d8b-9148-e3be6c30e623}">
          <xlrd:rvb i="9813"/>
        </ext>
      </extLst>
    </bk>
    <bk>
      <extLst>
        <ext uri="{3e2802c4-a4d2-4d8b-9148-e3be6c30e623}">
          <xlrd:rvb i="9814"/>
        </ext>
      </extLst>
    </bk>
    <bk>
      <extLst>
        <ext uri="{3e2802c4-a4d2-4d8b-9148-e3be6c30e623}">
          <xlrd:rvb i="9815"/>
        </ext>
      </extLst>
    </bk>
    <bk>
      <extLst>
        <ext uri="{3e2802c4-a4d2-4d8b-9148-e3be6c30e623}">
          <xlrd:rvb i="9816"/>
        </ext>
      </extLst>
    </bk>
    <bk>
      <extLst>
        <ext uri="{3e2802c4-a4d2-4d8b-9148-e3be6c30e623}">
          <xlrd:rvb i="9817"/>
        </ext>
      </extLst>
    </bk>
    <bk>
      <extLst>
        <ext uri="{3e2802c4-a4d2-4d8b-9148-e3be6c30e623}">
          <xlrd:rvb i="9818"/>
        </ext>
      </extLst>
    </bk>
    <bk>
      <extLst>
        <ext uri="{3e2802c4-a4d2-4d8b-9148-e3be6c30e623}">
          <xlrd:rvb i="9819"/>
        </ext>
      </extLst>
    </bk>
    <bk>
      <extLst>
        <ext uri="{3e2802c4-a4d2-4d8b-9148-e3be6c30e623}">
          <xlrd:rvb i="9820"/>
        </ext>
      </extLst>
    </bk>
    <bk>
      <extLst>
        <ext uri="{3e2802c4-a4d2-4d8b-9148-e3be6c30e623}">
          <xlrd:rvb i="9821"/>
        </ext>
      </extLst>
    </bk>
    <bk>
      <extLst>
        <ext uri="{3e2802c4-a4d2-4d8b-9148-e3be6c30e623}">
          <xlrd:rvb i="9822"/>
        </ext>
      </extLst>
    </bk>
    <bk>
      <extLst>
        <ext uri="{3e2802c4-a4d2-4d8b-9148-e3be6c30e623}">
          <xlrd:rvb i="9823"/>
        </ext>
      </extLst>
    </bk>
    <bk>
      <extLst>
        <ext uri="{3e2802c4-a4d2-4d8b-9148-e3be6c30e623}">
          <xlrd:rvb i="9824"/>
        </ext>
      </extLst>
    </bk>
    <bk>
      <extLst>
        <ext uri="{3e2802c4-a4d2-4d8b-9148-e3be6c30e623}">
          <xlrd:rvb i="9825"/>
        </ext>
      </extLst>
    </bk>
    <bk>
      <extLst>
        <ext uri="{3e2802c4-a4d2-4d8b-9148-e3be6c30e623}">
          <xlrd:rvb i="9826"/>
        </ext>
      </extLst>
    </bk>
    <bk>
      <extLst>
        <ext uri="{3e2802c4-a4d2-4d8b-9148-e3be6c30e623}">
          <xlrd:rvb i="9827"/>
        </ext>
      </extLst>
    </bk>
    <bk>
      <extLst>
        <ext uri="{3e2802c4-a4d2-4d8b-9148-e3be6c30e623}">
          <xlrd:rvb i="9828"/>
        </ext>
      </extLst>
    </bk>
    <bk>
      <extLst>
        <ext uri="{3e2802c4-a4d2-4d8b-9148-e3be6c30e623}">
          <xlrd:rvb i="9829"/>
        </ext>
      </extLst>
    </bk>
    <bk>
      <extLst>
        <ext uri="{3e2802c4-a4d2-4d8b-9148-e3be6c30e623}">
          <xlrd:rvb i="9830"/>
        </ext>
      </extLst>
    </bk>
    <bk>
      <extLst>
        <ext uri="{3e2802c4-a4d2-4d8b-9148-e3be6c30e623}">
          <xlrd:rvb i="9831"/>
        </ext>
      </extLst>
    </bk>
    <bk>
      <extLst>
        <ext uri="{3e2802c4-a4d2-4d8b-9148-e3be6c30e623}">
          <xlrd:rvb i="9832"/>
        </ext>
      </extLst>
    </bk>
    <bk>
      <extLst>
        <ext uri="{3e2802c4-a4d2-4d8b-9148-e3be6c30e623}">
          <xlrd:rvb i="9833"/>
        </ext>
      </extLst>
    </bk>
    <bk>
      <extLst>
        <ext uri="{3e2802c4-a4d2-4d8b-9148-e3be6c30e623}">
          <xlrd:rvb i="9834"/>
        </ext>
      </extLst>
    </bk>
    <bk>
      <extLst>
        <ext uri="{3e2802c4-a4d2-4d8b-9148-e3be6c30e623}">
          <xlrd:rvb i="9835"/>
        </ext>
      </extLst>
    </bk>
    <bk>
      <extLst>
        <ext uri="{3e2802c4-a4d2-4d8b-9148-e3be6c30e623}">
          <xlrd:rvb i="9836"/>
        </ext>
      </extLst>
    </bk>
    <bk>
      <extLst>
        <ext uri="{3e2802c4-a4d2-4d8b-9148-e3be6c30e623}">
          <xlrd:rvb i="9837"/>
        </ext>
      </extLst>
    </bk>
    <bk>
      <extLst>
        <ext uri="{3e2802c4-a4d2-4d8b-9148-e3be6c30e623}">
          <xlrd:rvb i="9838"/>
        </ext>
      </extLst>
    </bk>
    <bk>
      <extLst>
        <ext uri="{3e2802c4-a4d2-4d8b-9148-e3be6c30e623}">
          <xlrd:rvb i="9839"/>
        </ext>
      </extLst>
    </bk>
    <bk>
      <extLst>
        <ext uri="{3e2802c4-a4d2-4d8b-9148-e3be6c30e623}">
          <xlrd:rvb i="9840"/>
        </ext>
      </extLst>
    </bk>
    <bk>
      <extLst>
        <ext uri="{3e2802c4-a4d2-4d8b-9148-e3be6c30e623}">
          <xlrd:rvb i="9841"/>
        </ext>
      </extLst>
    </bk>
    <bk>
      <extLst>
        <ext uri="{3e2802c4-a4d2-4d8b-9148-e3be6c30e623}">
          <xlrd:rvb i="9842"/>
        </ext>
      </extLst>
    </bk>
    <bk>
      <extLst>
        <ext uri="{3e2802c4-a4d2-4d8b-9148-e3be6c30e623}">
          <xlrd:rvb i="9843"/>
        </ext>
      </extLst>
    </bk>
    <bk>
      <extLst>
        <ext uri="{3e2802c4-a4d2-4d8b-9148-e3be6c30e623}">
          <xlrd:rvb i="9844"/>
        </ext>
      </extLst>
    </bk>
    <bk>
      <extLst>
        <ext uri="{3e2802c4-a4d2-4d8b-9148-e3be6c30e623}">
          <xlrd:rvb i="9845"/>
        </ext>
      </extLst>
    </bk>
    <bk>
      <extLst>
        <ext uri="{3e2802c4-a4d2-4d8b-9148-e3be6c30e623}">
          <xlrd:rvb i="9846"/>
        </ext>
      </extLst>
    </bk>
    <bk>
      <extLst>
        <ext uri="{3e2802c4-a4d2-4d8b-9148-e3be6c30e623}">
          <xlrd:rvb i="9847"/>
        </ext>
      </extLst>
    </bk>
    <bk>
      <extLst>
        <ext uri="{3e2802c4-a4d2-4d8b-9148-e3be6c30e623}">
          <xlrd:rvb i="9848"/>
        </ext>
      </extLst>
    </bk>
    <bk>
      <extLst>
        <ext uri="{3e2802c4-a4d2-4d8b-9148-e3be6c30e623}">
          <xlrd:rvb i="9849"/>
        </ext>
      </extLst>
    </bk>
    <bk>
      <extLst>
        <ext uri="{3e2802c4-a4d2-4d8b-9148-e3be6c30e623}">
          <xlrd:rvb i="9850"/>
        </ext>
      </extLst>
    </bk>
    <bk>
      <extLst>
        <ext uri="{3e2802c4-a4d2-4d8b-9148-e3be6c30e623}">
          <xlrd:rvb i="9851"/>
        </ext>
      </extLst>
    </bk>
    <bk>
      <extLst>
        <ext uri="{3e2802c4-a4d2-4d8b-9148-e3be6c30e623}">
          <xlrd:rvb i="9852"/>
        </ext>
      </extLst>
    </bk>
    <bk>
      <extLst>
        <ext uri="{3e2802c4-a4d2-4d8b-9148-e3be6c30e623}">
          <xlrd:rvb i="9853"/>
        </ext>
      </extLst>
    </bk>
    <bk>
      <extLst>
        <ext uri="{3e2802c4-a4d2-4d8b-9148-e3be6c30e623}">
          <xlrd:rvb i="9854"/>
        </ext>
      </extLst>
    </bk>
    <bk>
      <extLst>
        <ext uri="{3e2802c4-a4d2-4d8b-9148-e3be6c30e623}">
          <xlrd:rvb i="9855"/>
        </ext>
      </extLst>
    </bk>
    <bk>
      <extLst>
        <ext uri="{3e2802c4-a4d2-4d8b-9148-e3be6c30e623}">
          <xlrd:rvb i="9856"/>
        </ext>
      </extLst>
    </bk>
    <bk>
      <extLst>
        <ext uri="{3e2802c4-a4d2-4d8b-9148-e3be6c30e623}">
          <xlrd:rvb i="9857"/>
        </ext>
      </extLst>
    </bk>
    <bk>
      <extLst>
        <ext uri="{3e2802c4-a4d2-4d8b-9148-e3be6c30e623}">
          <xlrd:rvb i="9858"/>
        </ext>
      </extLst>
    </bk>
    <bk>
      <extLst>
        <ext uri="{3e2802c4-a4d2-4d8b-9148-e3be6c30e623}">
          <xlrd:rvb i="9859"/>
        </ext>
      </extLst>
    </bk>
    <bk>
      <extLst>
        <ext uri="{3e2802c4-a4d2-4d8b-9148-e3be6c30e623}">
          <xlrd:rvb i="9860"/>
        </ext>
      </extLst>
    </bk>
    <bk>
      <extLst>
        <ext uri="{3e2802c4-a4d2-4d8b-9148-e3be6c30e623}">
          <xlrd:rvb i="9861"/>
        </ext>
      </extLst>
    </bk>
    <bk>
      <extLst>
        <ext uri="{3e2802c4-a4d2-4d8b-9148-e3be6c30e623}">
          <xlrd:rvb i="9862"/>
        </ext>
      </extLst>
    </bk>
    <bk>
      <extLst>
        <ext uri="{3e2802c4-a4d2-4d8b-9148-e3be6c30e623}">
          <xlrd:rvb i="9863"/>
        </ext>
      </extLst>
    </bk>
    <bk>
      <extLst>
        <ext uri="{3e2802c4-a4d2-4d8b-9148-e3be6c30e623}">
          <xlrd:rvb i="9864"/>
        </ext>
      </extLst>
    </bk>
    <bk>
      <extLst>
        <ext uri="{3e2802c4-a4d2-4d8b-9148-e3be6c30e623}">
          <xlrd:rvb i="9865"/>
        </ext>
      </extLst>
    </bk>
    <bk>
      <extLst>
        <ext uri="{3e2802c4-a4d2-4d8b-9148-e3be6c30e623}">
          <xlrd:rvb i="9866"/>
        </ext>
      </extLst>
    </bk>
    <bk>
      <extLst>
        <ext uri="{3e2802c4-a4d2-4d8b-9148-e3be6c30e623}">
          <xlrd:rvb i="9867"/>
        </ext>
      </extLst>
    </bk>
    <bk>
      <extLst>
        <ext uri="{3e2802c4-a4d2-4d8b-9148-e3be6c30e623}">
          <xlrd:rvb i="9868"/>
        </ext>
      </extLst>
    </bk>
    <bk>
      <extLst>
        <ext uri="{3e2802c4-a4d2-4d8b-9148-e3be6c30e623}">
          <xlrd:rvb i="9869"/>
        </ext>
      </extLst>
    </bk>
    <bk>
      <extLst>
        <ext uri="{3e2802c4-a4d2-4d8b-9148-e3be6c30e623}">
          <xlrd:rvb i="9870"/>
        </ext>
      </extLst>
    </bk>
    <bk>
      <extLst>
        <ext uri="{3e2802c4-a4d2-4d8b-9148-e3be6c30e623}">
          <xlrd:rvb i="9871"/>
        </ext>
      </extLst>
    </bk>
    <bk>
      <extLst>
        <ext uri="{3e2802c4-a4d2-4d8b-9148-e3be6c30e623}">
          <xlrd:rvb i="9872"/>
        </ext>
      </extLst>
    </bk>
    <bk>
      <extLst>
        <ext uri="{3e2802c4-a4d2-4d8b-9148-e3be6c30e623}">
          <xlrd:rvb i="9873"/>
        </ext>
      </extLst>
    </bk>
    <bk>
      <extLst>
        <ext uri="{3e2802c4-a4d2-4d8b-9148-e3be6c30e623}">
          <xlrd:rvb i="9874"/>
        </ext>
      </extLst>
    </bk>
    <bk>
      <extLst>
        <ext uri="{3e2802c4-a4d2-4d8b-9148-e3be6c30e623}">
          <xlrd:rvb i="9875"/>
        </ext>
      </extLst>
    </bk>
    <bk>
      <extLst>
        <ext uri="{3e2802c4-a4d2-4d8b-9148-e3be6c30e623}">
          <xlrd:rvb i="9876"/>
        </ext>
      </extLst>
    </bk>
    <bk>
      <extLst>
        <ext uri="{3e2802c4-a4d2-4d8b-9148-e3be6c30e623}">
          <xlrd:rvb i="9877"/>
        </ext>
      </extLst>
    </bk>
    <bk>
      <extLst>
        <ext uri="{3e2802c4-a4d2-4d8b-9148-e3be6c30e623}">
          <xlrd:rvb i="9878"/>
        </ext>
      </extLst>
    </bk>
    <bk>
      <extLst>
        <ext uri="{3e2802c4-a4d2-4d8b-9148-e3be6c30e623}">
          <xlrd:rvb i="9879"/>
        </ext>
      </extLst>
    </bk>
    <bk>
      <extLst>
        <ext uri="{3e2802c4-a4d2-4d8b-9148-e3be6c30e623}">
          <xlrd:rvb i="9880"/>
        </ext>
      </extLst>
    </bk>
    <bk>
      <extLst>
        <ext uri="{3e2802c4-a4d2-4d8b-9148-e3be6c30e623}">
          <xlrd:rvb i="9881"/>
        </ext>
      </extLst>
    </bk>
    <bk>
      <extLst>
        <ext uri="{3e2802c4-a4d2-4d8b-9148-e3be6c30e623}">
          <xlrd:rvb i="9882"/>
        </ext>
      </extLst>
    </bk>
    <bk>
      <extLst>
        <ext uri="{3e2802c4-a4d2-4d8b-9148-e3be6c30e623}">
          <xlrd:rvb i="9883"/>
        </ext>
      </extLst>
    </bk>
    <bk>
      <extLst>
        <ext uri="{3e2802c4-a4d2-4d8b-9148-e3be6c30e623}">
          <xlrd:rvb i="9884"/>
        </ext>
      </extLst>
    </bk>
    <bk>
      <extLst>
        <ext uri="{3e2802c4-a4d2-4d8b-9148-e3be6c30e623}">
          <xlrd:rvb i="9885"/>
        </ext>
      </extLst>
    </bk>
    <bk>
      <extLst>
        <ext uri="{3e2802c4-a4d2-4d8b-9148-e3be6c30e623}">
          <xlrd:rvb i="9886"/>
        </ext>
      </extLst>
    </bk>
    <bk>
      <extLst>
        <ext uri="{3e2802c4-a4d2-4d8b-9148-e3be6c30e623}">
          <xlrd:rvb i="9887"/>
        </ext>
      </extLst>
    </bk>
    <bk>
      <extLst>
        <ext uri="{3e2802c4-a4d2-4d8b-9148-e3be6c30e623}">
          <xlrd:rvb i="9888"/>
        </ext>
      </extLst>
    </bk>
    <bk>
      <extLst>
        <ext uri="{3e2802c4-a4d2-4d8b-9148-e3be6c30e623}">
          <xlrd:rvb i="9889"/>
        </ext>
      </extLst>
    </bk>
    <bk>
      <extLst>
        <ext uri="{3e2802c4-a4d2-4d8b-9148-e3be6c30e623}">
          <xlrd:rvb i="9890"/>
        </ext>
      </extLst>
    </bk>
    <bk>
      <extLst>
        <ext uri="{3e2802c4-a4d2-4d8b-9148-e3be6c30e623}">
          <xlrd:rvb i="9891"/>
        </ext>
      </extLst>
    </bk>
    <bk>
      <extLst>
        <ext uri="{3e2802c4-a4d2-4d8b-9148-e3be6c30e623}">
          <xlrd:rvb i="9892"/>
        </ext>
      </extLst>
    </bk>
    <bk>
      <extLst>
        <ext uri="{3e2802c4-a4d2-4d8b-9148-e3be6c30e623}">
          <xlrd:rvb i="9893"/>
        </ext>
      </extLst>
    </bk>
    <bk>
      <extLst>
        <ext uri="{3e2802c4-a4d2-4d8b-9148-e3be6c30e623}">
          <xlrd:rvb i="9894"/>
        </ext>
      </extLst>
    </bk>
    <bk>
      <extLst>
        <ext uri="{3e2802c4-a4d2-4d8b-9148-e3be6c30e623}">
          <xlrd:rvb i="9895"/>
        </ext>
      </extLst>
    </bk>
    <bk>
      <extLst>
        <ext uri="{3e2802c4-a4d2-4d8b-9148-e3be6c30e623}">
          <xlrd:rvb i="9896"/>
        </ext>
      </extLst>
    </bk>
    <bk>
      <extLst>
        <ext uri="{3e2802c4-a4d2-4d8b-9148-e3be6c30e623}">
          <xlrd:rvb i="9897"/>
        </ext>
      </extLst>
    </bk>
    <bk>
      <extLst>
        <ext uri="{3e2802c4-a4d2-4d8b-9148-e3be6c30e623}">
          <xlrd:rvb i="9898"/>
        </ext>
      </extLst>
    </bk>
    <bk>
      <extLst>
        <ext uri="{3e2802c4-a4d2-4d8b-9148-e3be6c30e623}">
          <xlrd:rvb i="9899"/>
        </ext>
      </extLst>
    </bk>
    <bk>
      <extLst>
        <ext uri="{3e2802c4-a4d2-4d8b-9148-e3be6c30e623}">
          <xlrd:rvb i="9900"/>
        </ext>
      </extLst>
    </bk>
    <bk>
      <extLst>
        <ext uri="{3e2802c4-a4d2-4d8b-9148-e3be6c30e623}">
          <xlrd:rvb i="9901"/>
        </ext>
      </extLst>
    </bk>
    <bk>
      <extLst>
        <ext uri="{3e2802c4-a4d2-4d8b-9148-e3be6c30e623}">
          <xlrd:rvb i="9902"/>
        </ext>
      </extLst>
    </bk>
    <bk>
      <extLst>
        <ext uri="{3e2802c4-a4d2-4d8b-9148-e3be6c30e623}">
          <xlrd:rvb i="9903"/>
        </ext>
      </extLst>
    </bk>
    <bk>
      <extLst>
        <ext uri="{3e2802c4-a4d2-4d8b-9148-e3be6c30e623}">
          <xlrd:rvb i="9904"/>
        </ext>
      </extLst>
    </bk>
    <bk>
      <extLst>
        <ext uri="{3e2802c4-a4d2-4d8b-9148-e3be6c30e623}">
          <xlrd:rvb i="9905"/>
        </ext>
      </extLst>
    </bk>
    <bk>
      <extLst>
        <ext uri="{3e2802c4-a4d2-4d8b-9148-e3be6c30e623}">
          <xlrd:rvb i="9906"/>
        </ext>
      </extLst>
    </bk>
    <bk>
      <extLst>
        <ext uri="{3e2802c4-a4d2-4d8b-9148-e3be6c30e623}">
          <xlrd:rvb i="9907"/>
        </ext>
      </extLst>
    </bk>
    <bk>
      <extLst>
        <ext uri="{3e2802c4-a4d2-4d8b-9148-e3be6c30e623}">
          <xlrd:rvb i="9908"/>
        </ext>
      </extLst>
    </bk>
    <bk>
      <extLst>
        <ext uri="{3e2802c4-a4d2-4d8b-9148-e3be6c30e623}">
          <xlrd:rvb i="9909"/>
        </ext>
      </extLst>
    </bk>
    <bk>
      <extLst>
        <ext uri="{3e2802c4-a4d2-4d8b-9148-e3be6c30e623}">
          <xlrd:rvb i="9910"/>
        </ext>
      </extLst>
    </bk>
    <bk>
      <extLst>
        <ext uri="{3e2802c4-a4d2-4d8b-9148-e3be6c30e623}">
          <xlrd:rvb i="9911"/>
        </ext>
      </extLst>
    </bk>
    <bk>
      <extLst>
        <ext uri="{3e2802c4-a4d2-4d8b-9148-e3be6c30e623}">
          <xlrd:rvb i="9912"/>
        </ext>
      </extLst>
    </bk>
    <bk>
      <extLst>
        <ext uri="{3e2802c4-a4d2-4d8b-9148-e3be6c30e623}">
          <xlrd:rvb i="9913"/>
        </ext>
      </extLst>
    </bk>
    <bk>
      <extLst>
        <ext uri="{3e2802c4-a4d2-4d8b-9148-e3be6c30e623}">
          <xlrd:rvb i="9914"/>
        </ext>
      </extLst>
    </bk>
    <bk>
      <extLst>
        <ext uri="{3e2802c4-a4d2-4d8b-9148-e3be6c30e623}">
          <xlrd:rvb i="9915"/>
        </ext>
      </extLst>
    </bk>
    <bk>
      <extLst>
        <ext uri="{3e2802c4-a4d2-4d8b-9148-e3be6c30e623}">
          <xlrd:rvb i="9916"/>
        </ext>
      </extLst>
    </bk>
    <bk>
      <extLst>
        <ext uri="{3e2802c4-a4d2-4d8b-9148-e3be6c30e623}">
          <xlrd:rvb i="9917"/>
        </ext>
      </extLst>
    </bk>
    <bk>
      <extLst>
        <ext uri="{3e2802c4-a4d2-4d8b-9148-e3be6c30e623}">
          <xlrd:rvb i="9918"/>
        </ext>
      </extLst>
    </bk>
    <bk>
      <extLst>
        <ext uri="{3e2802c4-a4d2-4d8b-9148-e3be6c30e623}">
          <xlrd:rvb i="9919"/>
        </ext>
      </extLst>
    </bk>
    <bk>
      <extLst>
        <ext uri="{3e2802c4-a4d2-4d8b-9148-e3be6c30e623}">
          <xlrd:rvb i="9920"/>
        </ext>
      </extLst>
    </bk>
    <bk>
      <extLst>
        <ext uri="{3e2802c4-a4d2-4d8b-9148-e3be6c30e623}">
          <xlrd:rvb i="9921"/>
        </ext>
      </extLst>
    </bk>
    <bk>
      <extLst>
        <ext uri="{3e2802c4-a4d2-4d8b-9148-e3be6c30e623}">
          <xlrd:rvb i="9922"/>
        </ext>
      </extLst>
    </bk>
    <bk>
      <extLst>
        <ext uri="{3e2802c4-a4d2-4d8b-9148-e3be6c30e623}">
          <xlrd:rvb i="9923"/>
        </ext>
      </extLst>
    </bk>
    <bk>
      <extLst>
        <ext uri="{3e2802c4-a4d2-4d8b-9148-e3be6c30e623}">
          <xlrd:rvb i="9924"/>
        </ext>
      </extLst>
    </bk>
    <bk>
      <extLst>
        <ext uri="{3e2802c4-a4d2-4d8b-9148-e3be6c30e623}">
          <xlrd:rvb i="9925"/>
        </ext>
      </extLst>
    </bk>
    <bk>
      <extLst>
        <ext uri="{3e2802c4-a4d2-4d8b-9148-e3be6c30e623}">
          <xlrd:rvb i="9926"/>
        </ext>
      </extLst>
    </bk>
    <bk>
      <extLst>
        <ext uri="{3e2802c4-a4d2-4d8b-9148-e3be6c30e623}">
          <xlrd:rvb i="9927"/>
        </ext>
      </extLst>
    </bk>
    <bk>
      <extLst>
        <ext uri="{3e2802c4-a4d2-4d8b-9148-e3be6c30e623}">
          <xlrd:rvb i="9928"/>
        </ext>
      </extLst>
    </bk>
    <bk>
      <extLst>
        <ext uri="{3e2802c4-a4d2-4d8b-9148-e3be6c30e623}">
          <xlrd:rvb i="9929"/>
        </ext>
      </extLst>
    </bk>
    <bk>
      <extLst>
        <ext uri="{3e2802c4-a4d2-4d8b-9148-e3be6c30e623}">
          <xlrd:rvb i="9930"/>
        </ext>
      </extLst>
    </bk>
    <bk>
      <extLst>
        <ext uri="{3e2802c4-a4d2-4d8b-9148-e3be6c30e623}">
          <xlrd:rvb i="9931"/>
        </ext>
      </extLst>
    </bk>
    <bk>
      <extLst>
        <ext uri="{3e2802c4-a4d2-4d8b-9148-e3be6c30e623}">
          <xlrd:rvb i="9932"/>
        </ext>
      </extLst>
    </bk>
    <bk>
      <extLst>
        <ext uri="{3e2802c4-a4d2-4d8b-9148-e3be6c30e623}">
          <xlrd:rvb i="9933"/>
        </ext>
      </extLst>
    </bk>
    <bk>
      <extLst>
        <ext uri="{3e2802c4-a4d2-4d8b-9148-e3be6c30e623}">
          <xlrd:rvb i="9934"/>
        </ext>
      </extLst>
    </bk>
    <bk>
      <extLst>
        <ext uri="{3e2802c4-a4d2-4d8b-9148-e3be6c30e623}">
          <xlrd:rvb i="9935"/>
        </ext>
      </extLst>
    </bk>
    <bk>
      <extLst>
        <ext uri="{3e2802c4-a4d2-4d8b-9148-e3be6c30e623}">
          <xlrd:rvb i="9936"/>
        </ext>
      </extLst>
    </bk>
    <bk>
      <extLst>
        <ext uri="{3e2802c4-a4d2-4d8b-9148-e3be6c30e623}">
          <xlrd:rvb i="9937"/>
        </ext>
      </extLst>
    </bk>
    <bk>
      <extLst>
        <ext uri="{3e2802c4-a4d2-4d8b-9148-e3be6c30e623}">
          <xlrd:rvb i="9938"/>
        </ext>
      </extLst>
    </bk>
    <bk>
      <extLst>
        <ext uri="{3e2802c4-a4d2-4d8b-9148-e3be6c30e623}">
          <xlrd:rvb i="9939"/>
        </ext>
      </extLst>
    </bk>
    <bk>
      <extLst>
        <ext uri="{3e2802c4-a4d2-4d8b-9148-e3be6c30e623}">
          <xlrd:rvb i="9940"/>
        </ext>
      </extLst>
    </bk>
    <bk>
      <extLst>
        <ext uri="{3e2802c4-a4d2-4d8b-9148-e3be6c30e623}">
          <xlrd:rvb i="9941"/>
        </ext>
      </extLst>
    </bk>
    <bk>
      <extLst>
        <ext uri="{3e2802c4-a4d2-4d8b-9148-e3be6c30e623}">
          <xlrd:rvb i="9942"/>
        </ext>
      </extLst>
    </bk>
    <bk>
      <extLst>
        <ext uri="{3e2802c4-a4d2-4d8b-9148-e3be6c30e623}">
          <xlrd:rvb i="9943"/>
        </ext>
      </extLst>
    </bk>
    <bk>
      <extLst>
        <ext uri="{3e2802c4-a4d2-4d8b-9148-e3be6c30e623}">
          <xlrd:rvb i="9944"/>
        </ext>
      </extLst>
    </bk>
    <bk>
      <extLst>
        <ext uri="{3e2802c4-a4d2-4d8b-9148-e3be6c30e623}">
          <xlrd:rvb i="9945"/>
        </ext>
      </extLst>
    </bk>
    <bk>
      <extLst>
        <ext uri="{3e2802c4-a4d2-4d8b-9148-e3be6c30e623}">
          <xlrd:rvb i="9946"/>
        </ext>
      </extLst>
    </bk>
    <bk>
      <extLst>
        <ext uri="{3e2802c4-a4d2-4d8b-9148-e3be6c30e623}">
          <xlrd:rvb i="9947"/>
        </ext>
      </extLst>
    </bk>
    <bk>
      <extLst>
        <ext uri="{3e2802c4-a4d2-4d8b-9148-e3be6c30e623}">
          <xlrd:rvb i="9948"/>
        </ext>
      </extLst>
    </bk>
    <bk>
      <extLst>
        <ext uri="{3e2802c4-a4d2-4d8b-9148-e3be6c30e623}">
          <xlrd:rvb i="9949"/>
        </ext>
      </extLst>
    </bk>
    <bk>
      <extLst>
        <ext uri="{3e2802c4-a4d2-4d8b-9148-e3be6c30e623}">
          <xlrd:rvb i="9950"/>
        </ext>
      </extLst>
    </bk>
    <bk>
      <extLst>
        <ext uri="{3e2802c4-a4d2-4d8b-9148-e3be6c30e623}">
          <xlrd:rvb i="9951"/>
        </ext>
      </extLst>
    </bk>
    <bk>
      <extLst>
        <ext uri="{3e2802c4-a4d2-4d8b-9148-e3be6c30e623}">
          <xlrd:rvb i="9952"/>
        </ext>
      </extLst>
    </bk>
    <bk>
      <extLst>
        <ext uri="{3e2802c4-a4d2-4d8b-9148-e3be6c30e623}">
          <xlrd:rvb i="9953"/>
        </ext>
      </extLst>
    </bk>
    <bk>
      <extLst>
        <ext uri="{3e2802c4-a4d2-4d8b-9148-e3be6c30e623}">
          <xlrd:rvb i="9954"/>
        </ext>
      </extLst>
    </bk>
    <bk>
      <extLst>
        <ext uri="{3e2802c4-a4d2-4d8b-9148-e3be6c30e623}">
          <xlrd:rvb i="9955"/>
        </ext>
      </extLst>
    </bk>
    <bk>
      <extLst>
        <ext uri="{3e2802c4-a4d2-4d8b-9148-e3be6c30e623}">
          <xlrd:rvb i="9956"/>
        </ext>
      </extLst>
    </bk>
    <bk>
      <extLst>
        <ext uri="{3e2802c4-a4d2-4d8b-9148-e3be6c30e623}">
          <xlrd:rvb i="9957"/>
        </ext>
      </extLst>
    </bk>
    <bk>
      <extLst>
        <ext uri="{3e2802c4-a4d2-4d8b-9148-e3be6c30e623}">
          <xlrd:rvb i="9958"/>
        </ext>
      </extLst>
    </bk>
    <bk>
      <extLst>
        <ext uri="{3e2802c4-a4d2-4d8b-9148-e3be6c30e623}">
          <xlrd:rvb i="9959"/>
        </ext>
      </extLst>
    </bk>
    <bk>
      <extLst>
        <ext uri="{3e2802c4-a4d2-4d8b-9148-e3be6c30e623}">
          <xlrd:rvb i="9960"/>
        </ext>
      </extLst>
    </bk>
    <bk>
      <extLst>
        <ext uri="{3e2802c4-a4d2-4d8b-9148-e3be6c30e623}">
          <xlrd:rvb i="9961"/>
        </ext>
      </extLst>
    </bk>
    <bk>
      <extLst>
        <ext uri="{3e2802c4-a4d2-4d8b-9148-e3be6c30e623}">
          <xlrd:rvb i="9962"/>
        </ext>
      </extLst>
    </bk>
    <bk>
      <extLst>
        <ext uri="{3e2802c4-a4d2-4d8b-9148-e3be6c30e623}">
          <xlrd:rvb i="9963"/>
        </ext>
      </extLst>
    </bk>
    <bk>
      <extLst>
        <ext uri="{3e2802c4-a4d2-4d8b-9148-e3be6c30e623}">
          <xlrd:rvb i="9964"/>
        </ext>
      </extLst>
    </bk>
    <bk>
      <extLst>
        <ext uri="{3e2802c4-a4d2-4d8b-9148-e3be6c30e623}">
          <xlrd:rvb i="9965"/>
        </ext>
      </extLst>
    </bk>
    <bk>
      <extLst>
        <ext uri="{3e2802c4-a4d2-4d8b-9148-e3be6c30e623}">
          <xlrd:rvb i="9966"/>
        </ext>
      </extLst>
    </bk>
    <bk>
      <extLst>
        <ext uri="{3e2802c4-a4d2-4d8b-9148-e3be6c30e623}">
          <xlrd:rvb i="9967"/>
        </ext>
      </extLst>
    </bk>
    <bk>
      <extLst>
        <ext uri="{3e2802c4-a4d2-4d8b-9148-e3be6c30e623}">
          <xlrd:rvb i="9968"/>
        </ext>
      </extLst>
    </bk>
    <bk>
      <extLst>
        <ext uri="{3e2802c4-a4d2-4d8b-9148-e3be6c30e623}">
          <xlrd:rvb i="9969"/>
        </ext>
      </extLst>
    </bk>
    <bk>
      <extLst>
        <ext uri="{3e2802c4-a4d2-4d8b-9148-e3be6c30e623}">
          <xlrd:rvb i="9970"/>
        </ext>
      </extLst>
    </bk>
    <bk>
      <extLst>
        <ext uri="{3e2802c4-a4d2-4d8b-9148-e3be6c30e623}">
          <xlrd:rvb i="9971"/>
        </ext>
      </extLst>
    </bk>
    <bk>
      <extLst>
        <ext uri="{3e2802c4-a4d2-4d8b-9148-e3be6c30e623}">
          <xlrd:rvb i="9972"/>
        </ext>
      </extLst>
    </bk>
    <bk>
      <extLst>
        <ext uri="{3e2802c4-a4d2-4d8b-9148-e3be6c30e623}">
          <xlrd:rvb i="9973"/>
        </ext>
      </extLst>
    </bk>
    <bk>
      <extLst>
        <ext uri="{3e2802c4-a4d2-4d8b-9148-e3be6c30e623}">
          <xlrd:rvb i="9974"/>
        </ext>
      </extLst>
    </bk>
    <bk>
      <extLst>
        <ext uri="{3e2802c4-a4d2-4d8b-9148-e3be6c30e623}">
          <xlrd:rvb i="9975"/>
        </ext>
      </extLst>
    </bk>
    <bk>
      <extLst>
        <ext uri="{3e2802c4-a4d2-4d8b-9148-e3be6c30e623}">
          <xlrd:rvb i="9976"/>
        </ext>
      </extLst>
    </bk>
    <bk>
      <extLst>
        <ext uri="{3e2802c4-a4d2-4d8b-9148-e3be6c30e623}">
          <xlrd:rvb i="9977"/>
        </ext>
      </extLst>
    </bk>
    <bk>
      <extLst>
        <ext uri="{3e2802c4-a4d2-4d8b-9148-e3be6c30e623}">
          <xlrd:rvb i="9978"/>
        </ext>
      </extLst>
    </bk>
    <bk>
      <extLst>
        <ext uri="{3e2802c4-a4d2-4d8b-9148-e3be6c30e623}">
          <xlrd:rvb i="9979"/>
        </ext>
      </extLst>
    </bk>
    <bk>
      <extLst>
        <ext uri="{3e2802c4-a4d2-4d8b-9148-e3be6c30e623}">
          <xlrd:rvb i="9980"/>
        </ext>
      </extLst>
    </bk>
    <bk>
      <extLst>
        <ext uri="{3e2802c4-a4d2-4d8b-9148-e3be6c30e623}">
          <xlrd:rvb i="9981"/>
        </ext>
      </extLst>
    </bk>
    <bk>
      <extLst>
        <ext uri="{3e2802c4-a4d2-4d8b-9148-e3be6c30e623}">
          <xlrd:rvb i="9982"/>
        </ext>
      </extLst>
    </bk>
    <bk>
      <extLst>
        <ext uri="{3e2802c4-a4d2-4d8b-9148-e3be6c30e623}">
          <xlrd:rvb i="9983"/>
        </ext>
      </extLst>
    </bk>
    <bk>
      <extLst>
        <ext uri="{3e2802c4-a4d2-4d8b-9148-e3be6c30e623}">
          <xlrd:rvb i="9984"/>
        </ext>
      </extLst>
    </bk>
    <bk>
      <extLst>
        <ext uri="{3e2802c4-a4d2-4d8b-9148-e3be6c30e623}">
          <xlrd:rvb i="9985"/>
        </ext>
      </extLst>
    </bk>
    <bk>
      <extLst>
        <ext uri="{3e2802c4-a4d2-4d8b-9148-e3be6c30e623}">
          <xlrd:rvb i="9986"/>
        </ext>
      </extLst>
    </bk>
    <bk>
      <extLst>
        <ext uri="{3e2802c4-a4d2-4d8b-9148-e3be6c30e623}">
          <xlrd:rvb i="9987"/>
        </ext>
      </extLst>
    </bk>
    <bk>
      <extLst>
        <ext uri="{3e2802c4-a4d2-4d8b-9148-e3be6c30e623}">
          <xlrd:rvb i="9988"/>
        </ext>
      </extLst>
    </bk>
    <bk>
      <extLst>
        <ext uri="{3e2802c4-a4d2-4d8b-9148-e3be6c30e623}">
          <xlrd:rvb i="9989"/>
        </ext>
      </extLst>
    </bk>
    <bk>
      <extLst>
        <ext uri="{3e2802c4-a4d2-4d8b-9148-e3be6c30e623}">
          <xlrd:rvb i="9990"/>
        </ext>
      </extLst>
    </bk>
    <bk>
      <extLst>
        <ext uri="{3e2802c4-a4d2-4d8b-9148-e3be6c30e623}">
          <xlrd:rvb i="9991"/>
        </ext>
      </extLst>
    </bk>
    <bk>
      <extLst>
        <ext uri="{3e2802c4-a4d2-4d8b-9148-e3be6c30e623}">
          <xlrd:rvb i="9992"/>
        </ext>
      </extLst>
    </bk>
    <bk>
      <extLst>
        <ext uri="{3e2802c4-a4d2-4d8b-9148-e3be6c30e623}">
          <xlrd:rvb i="9993"/>
        </ext>
      </extLst>
    </bk>
    <bk>
      <extLst>
        <ext uri="{3e2802c4-a4d2-4d8b-9148-e3be6c30e623}">
          <xlrd:rvb i="9994"/>
        </ext>
      </extLst>
    </bk>
    <bk>
      <extLst>
        <ext uri="{3e2802c4-a4d2-4d8b-9148-e3be6c30e623}">
          <xlrd:rvb i="9995"/>
        </ext>
      </extLst>
    </bk>
    <bk>
      <extLst>
        <ext uri="{3e2802c4-a4d2-4d8b-9148-e3be6c30e623}">
          <xlrd:rvb i="9996"/>
        </ext>
      </extLst>
    </bk>
    <bk>
      <extLst>
        <ext uri="{3e2802c4-a4d2-4d8b-9148-e3be6c30e623}">
          <xlrd:rvb i="9997"/>
        </ext>
      </extLst>
    </bk>
    <bk>
      <extLst>
        <ext uri="{3e2802c4-a4d2-4d8b-9148-e3be6c30e623}">
          <xlrd:rvb i="9998"/>
        </ext>
      </extLst>
    </bk>
    <bk>
      <extLst>
        <ext uri="{3e2802c4-a4d2-4d8b-9148-e3be6c30e623}">
          <xlrd:rvb i="9999"/>
        </ext>
      </extLst>
    </bk>
    <bk>
      <extLst>
        <ext uri="{3e2802c4-a4d2-4d8b-9148-e3be6c30e623}">
          <xlrd:rvb i="10000"/>
        </ext>
      </extLst>
    </bk>
    <bk>
      <extLst>
        <ext uri="{3e2802c4-a4d2-4d8b-9148-e3be6c30e623}">
          <xlrd:rvb i="10001"/>
        </ext>
      </extLst>
    </bk>
    <bk>
      <extLst>
        <ext uri="{3e2802c4-a4d2-4d8b-9148-e3be6c30e623}">
          <xlrd:rvb i="10002"/>
        </ext>
      </extLst>
    </bk>
    <bk>
      <extLst>
        <ext uri="{3e2802c4-a4d2-4d8b-9148-e3be6c30e623}">
          <xlrd:rvb i="10003"/>
        </ext>
      </extLst>
    </bk>
    <bk>
      <extLst>
        <ext uri="{3e2802c4-a4d2-4d8b-9148-e3be6c30e623}">
          <xlrd:rvb i="10004"/>
        </ext>
      </extLst>
    </bk>
    <bk>
      <extLst>
        <ext uri="{3e2802c4-a4d2-4d8b-9148-e3be6c30e623}">
          <xlrd:rvb i="10005"/>
        </ext>
      </extLst>
    </bk>
    <bk>
      <extLst>
        <ext uri="{3e2802c4-a4d2-4d8b-9148-e3be6c30e623}">
          <xlrd:rvb i="10006"/>
        </ext>
      </extLst>
    </bk>
    <bk>
      <extLst>
        <ext uri="{3e2802c4-a4d2-4d8b-9148-e3be6c30e623}">
          <xlrd:rvb i="10007"/>
        </ext>
      </extLst>
    </bk>
    <bk>
      <extLst>
        <ext uri="{3e2802c4-a4d2-4d8b-9148-e3be6c30e623}">
          <xlrd:rvb i="10008"/>
        </ext>
      </extLst>
    </bk>
    <bk>
      <extLst>
        <ext uri="{3e2802c4-a4d2-4d8b-9148-e3be6c30e623}">
          <xlrd:rvb i="10009"/>
        </ext>
      </extLst>
    </bk>
    <bk>
      <extLst>
        <ext uri="{3e2802c4-a4d2-4d8b-9148-e3be6c30e623}">
          <xlrd:rvb i="10010"/>
        </ext>
      </extLst>
    </bk>
    <bk>
      <extLst>
        <ext uri="{3e2802c4-a4d2-4d8b-9148-e3be6c30e623}">
          <xlrd:rvb i="10011"/>
        </ext>
      </extLst>
    </bk>
    <bk>
      <extLst>
        <ext uri="{3e2802c4-a4d2-4d8b-9148-e3be6c30e623}">
          <xlrd:rvb i="10012"/>
        </ext>
      </extLst>
    </bk>
    <bk>
      <extLst>
        <ext uri="{3e2802c4-a4d2-4d8b-9148-e3be6c30e623}">
          <xlrd:rvb i="10013"/>
        </ext>
      </extLst>
    </bk>
    <bk>
      <extLst>
        <ext uri="{3e2802c4-a4d2-4d8b-9148-e3be6c30e623}">
          <xlrd:rvb i="10014"/>
        </ext>
      </extLst>
    </bk>
    <bk>
      <extLst>
        <ext uri="{3e2802c4-a4d2-4d8b-9148-e3be6c30e623}">
          <xlrd:rvb i="10015"/>
        </ext>
      </extLst>
    </bk>
    <bk>
      <extLst>
        <ext uri="{3e2802c4-a4d2-4d8b-9148-e3be6c30e623}">
          <xlrd:rvb i="10016"/>
        </ext>
      </extLst>
    </bk>
    <bk>
      <extLst>
        <ext uri="{3e2802c4-a4d2-4d8b-9148-e3be6c30e623}">
          <xlrd:rvb i="10017"/>
        </ext>
      </extLst>
    </bk>
    <bk>
      <extLst>
        <ext uri="{3e2802c4-a4d2-4d8b-9148-e3be6c30e623}">
          <xlrd:rvb i="10018"/>
        </ext>
      </extLst>
    </bk>
    <bk>
      <extLst>
        <ext uri="{3e2802c4-a4d2-4d8b-9148-e3be6c30e623}">
          <xlrd:rvb i="10019"/>
        </ext>
      </extLst>
    </bk>
    <bk>
      <extLst>
        <ext uri="{3e2802c4-a4d2-4d8b-9148-e3be6c30e623}">
          <xlrd:rvb i="10020"/>
        </ext>
      </extLst>
    </bk>
    <bk>
      <extLst>
        <ext uri="{3e2802c4-a4d2-4d8b-9148-e3be6c30e623}">
          <xlrd:rvb i="10021"/>
        </ext>
      </extLst>
    </bk>
    <bk>
      <extLst>
        <ext uri="{3e2802c4-a4d2-4d8b-9148-e3be6c30e623}">
          <xlrd:rvb i="10022"/>
        </ext>
      </extLst>
    </bk>
    <bk>
      <extLst>
        <ext uri="{3e2802c4-a4d2-4d8b-9148-e3be6c30e623}">
          <xlrd:rvb i="10023"/>
        </ext>
      </extLst>
    </bk>
    <bk>
      <extLst>
        <ext uri="{3e2802c4-a4d2-4d8b-9148-e3be6c30e623}">
          <xlrd:rvb i="10024"/>
        </ext>
      </extLst>
    </bk>
    <bk>
      <extLst>
        <ext uri="{3e2802c4-a4d2-4d8b-9148-e3be6c30e623}">
          <xlrd:rvb i="10025"/>
        </ext>
      </extLst>
    </bk>
    <bk>
      <extLst>
        <ext uri="{3e2802c4-a4d2-4d8b-9148-e3be6c30e623}">
          <xlrd:rvb i="10026"/>
        </ext>
      </extLst>
    </bk>
    <bk>
      <extLst>
        <ext uri="{3e2802c4-a4d2-4d8b-9148-e3be6c30e623}">
          <xlrd:rvb i="10027"/>
        </ext>
      </extLst>
    </bk>
    <bk>
      <extLst>
        <ext uri="{3e2802c4-a4d2-4d8b-9148-e3be6c30e623}">
          <xlrd:rvb i="10028"/>
        </ext>
      </extLst>
    </bk>
    <bk>
      <extLst>
        <ext uri="{3e2802c4-a4d2-4d8b-9148-e3be6c30e623}">
          <xlrd:rvb i="10029"/>
        </ext>
      </extLst>
    </bk>
    <bk>
      <extLst>
        <ext uri="{3e2802c4-a4d2-4d8b-9148-e3be6c30e623}">
          <xlrd:rvb i="10030"/>
        </ext>
      </extLst>
    </bk>
    <bk>
      <extLst>
        <ext uri="{3e2802c4-a4d2-4d8b-9148-e3be6c30e623}">
          <xlrd:rvb i="10031"/>
        </ext>
      </extLst>
    </bk>
    <bk>
      <extLst>
        <ext uri="{3e2802c4-a4d2-4d8b-9148-e3be6c30e623}">
          <xlrd:rvb i="10032"/>
        </ext>
      </extLst>
    </bk>
    <bk>
      <extLst>
        <ext uri="{3e2802c4-a4d2-4d8b-9148-e3be6c30e623}">
          <xlrd:rvb i="10033"/>
        </ext>
      </extLst>
    </bk>
    <bk>
      <extLst>
        <ext uri="{3e2802c4-a4d2-4d8b-9148-e3be6c30e623}">
          <xlrd:rvb i="10034"/>
        </ext>
      </extLst>
    </bk>
    <bk>
      <extLst>
        <ext uri="{3e2802c4-a4d2-4d8b-9148-e3be6c30e623}">
          <xlrd:rvb i="10035"/>
        </ext>
      </extLst>
    </bk>
    <bk>
      <extLst>
        <ext uri="{3e2802c4-a4d2-4d8b-9148-e3be6c30e623}">
          <xlrd:rvb i="10036"/>
        </ext>
      </extLst>
    </bk>
    <bk>
      <extLst>
        <ext uri="{3e2802c4-a4d2-4d8b-9148-e3be6c30e623}">
          <xlrd:rvb i="10037"/>
        </ext>
      </extLst>
    </bk>
    <bk>
      <extLst>
        <ext uri="{3e2802c4-a4d2-4d8b-9148-e3be6c30e623}">
          <xlrd:rvb i="10038"/>
        </ext>
      </extLst>
    </bk>
    <bk>
      <extLst>
        <ext uri="{3e2802c4-a4d2-4d8b-9148-e3be6c30e623}">
          <xlrd:rvb i="10039"/>
        </ext>
      </extLst>
    </bk>
    <bk>
      <extLst>
        <ext uri="{3e2802c4-a4d2-4d8b-9148-e3be6c30e623}">
          <xlrd:rvb i="10040"/>
        </ext>
      </extLst>
    </bk>
    <bk>
      <extLst>
        <ext uri="{3e2802c4-a4d2-4d8b-9148-e3be6c30e623}">
          <xlrd:rvb i="10041"/>
        </ext>
      </extLst>
    </bk>
    <bk>
      <extLst>
        <ext uri="{3e2802c4-a4d2-4d8b-9148-e3be6c30e623}">
          <xlrd:rvb i="10042"/>
        </ext>
      </extLst>
    </bk>
    <bk>
      <extLst>
        <ext uri="{3e2802c4-a4d2-4d8b-9148-e3be6c30e623}">
          <xlrd:rvb i="10043"/>
        </ext>
      </extLst>
    </bk>
    <bk>
      <extLst>
        <ext uri="{3e2802c4-a4d2-4d8b-9148-e3be6c30e623}">
          <xlrd:rvb i="10044"/>
        </ext>
      </extLst>
    </bk>
    <bk>
      <extLst>
        <ext uri="{3e2802c4-a4d2-4d8b-9148-e3be6c30e623}">
          <xlrd:rvb i="10045"/>
        </ext>
      </extLst>
    </bk>
    <bk>
      <extLst>
        <ext uri="{3e2802c4-a4d2-4d8b-9148-e3be6c30e623}">
          <xlrd:rvb i="10046"/>
        </ext>
      </extLst>
    </bk>
    <bk>
      <extLst>
        <ext uri="{3e2802c4-a4d2-4d8b-9148-e3be6c30e623}">
          <xlrd:rvb i="10047"/>
        </ext>
      </extLst>
    </bk>
    <bk>
      <extLst>
        <ext uri="{3e2802c4-a4d2-4d8b-9148-e3be6c30e623}">
          <xlrd:rvb i="10048"/>
        </ext>
      </extLst>
    </bk>
    <bk>
      <extLst>
        <ext uri="{3e2802c4-a4d2-4d8b-9148-e3be6c30e623}">
          <xlrd:rvb i="10049"/>
        </ext>
      </extLst>
    </bk>
    <bk>
      <extLst>
        <ext uri="{3e2802c4-a4d2-4d8b-9148-e3be6c30e623}">
          <xlrd:rvb i="10050"/>
        </ext>
      </extLst>
    </bk>
    <bk>
      <extLst>
        <ext uri="{3e2802c4-a4d2-4d8b-9148-e3be6c30e623}">
          <xlrd:rvb i="10051"/>
        </ext>
      </extLst>
    </bk>
    <bk>
      <extLst>
        <ext uri="{3e2802c4-a4d2-4d8b-9148-e3be6c30e623}">
          <xlrd:rvb i="10052"/>
        </ext>
      </extLst>
    </bk>
    <bk>
      <extLst>
        <ext uri="{3e2802c4-a4d2-4d8b-9148-e3be6c30e623}">
          <xlrd:rvb i="10053"/>
        </ext>
      </extLst>
    </bk>
    <bk>
      <extLst>
        <ext uri="{3e2802c4-a4d2-4d8b-9148-e3be6c30e623}">
          <xlrd:rvb i="10054"/>
        </ext>
      </extLst>
    </bk>
    <bk>
      <extLst>
        <ext uri="{3e2802c4-a4d2-4d8b-9148-e3be6c30e623}">
          <xlrd:rvb i="10055"/>
        </ext>
      </extLst>
    </bk>
    <bk>
      <extLst>
        <ext uri="{3e2802c4-a4d2-4d8b-9148-e3be6c30e623}">
          <xlrd:rvb i="10056"/>
        </ext>
      </extLst>
    </bk>
    <bk>
      <extLst>
        <ext uri="{3e2802c4-a4d2-4d8b-9148-e3be6c30e623}">
          <xlrd:rvb i="10057"/>
        </ext>
      </extLst>
    </bk>
    <bk>
      <extLst>
        <ext uri="{3e2802c4-a4d2-4d8b-9148-e3be6c30e623}">
          <xlrd:rvb i="10058"/>
        </ext>
      </extLst>
    </bk>
    <bk>
      <extLst>
        <ext uri="{3e2802c4-a4d2-4d8b-9148-e3be6c30e623}">
          <xlrd:rvb i="10059"/>
        </ext>
      </extLst>
    </bk>
    <bk>
      <extLst>
        <ext uri="{3e2802c4-a4d2-4d8b-9148-e3be6c30e623}">
          <xlrd:rvb i="10060"/>
        </ext>
      </extLst>
    </bk>
    <bk>
      <extLst>
        <ext uri="{3e2802c4-a4d2-4d8b-9148-e3be6c30e623}">
          <xlrd:rvb i="10061"/>
        </ext>
      </extLst>
    </bk>
    <bk>
      <extLst>
        <ext uri="{3e2802c4-a4d2-4d8b-9148-e3be6c30e623}">
          <xlrd:rvb i="10062"/>
        </ext>
      </extLst>
    </bk>
    <bk>
      <extLst>
        <ext uri="{3e2802c4-a4d2-4d8b-9148-e3be6c30e623}">
          <xlrd:rvb i="10063"/>
        </ext>
      </extLst>
    </bk>
    <bk>
      <extLst>
        <ext uri="{3e2802c4-a4d2-4d8b-9148-e3be6c30e623}">
          <xlrd:rvb i="10064"/>
        </ext>
      </extLst>
    </bk>
    <bk>
      <extLst>
        <ext uri="{3e2802c4-a4d2-4d8b-9148-e3be6c30e623}">
          <xlrd:rvb i="10065"/>
        </ext>
      </extLst>
    </bk>
    <bk>
      <extLst>
        <ext uri="{3e2802c4-a4d2-4d8b-9148-e3be6c30e623}">
          <xlrd:rvb i="10066"/>
        </ext>
      </extLst>
    </bk>
    <bk>
      <extLst>
        <ext uri="{3e2802c4-a4d2-4d8b-9148-e3be6c30e623}">
          <xlrd:rvb i="10067"/>
        </ext>
      </extLst>
    </bk>
    <bk>
      <extLst>
        <ext uri="{3e2802c4-a4d2-4d8b-9148-e3be6c30e623}">
          <xlrd:rvb i="10068"/>
        </ext>
      </extLst>
    </bk>
    <bk>
      <extLst>
        <ext uri="{3e2802c4-a4d2-4d8b-9148-e3be6c30e623}">
          <xlrd:rvb i="10069"/>
        </ext>
      </extLst>
    </bk>
    <bk>
      <extLst>
        <ext uri="{3e2802c4-a4d2-4d8b-9148-e3be6c30e623}">
          <xlrd:rvb i="10070"/>
        </ext>
      </extLst>
    </bk>
    <bk>
      <extLst>
        <ext uri="{3e2802c4-a4d2-4d8b-9148-e3be6c30e623}">
          <xlrd:rvb i="10071"/>
        </ext>
      </extLst>
    </bk>
    <bk>
      <extLst>
        <ext uri="{3e2802c4-a4d2-4d8b-9148-e3be6c30e623}">
          <xlrd:rvb i="10072"/>
        </ext>
      </extLst>
    </bk>
    <bk>
      <extLst>
        <ext uri="{3e2802c4-a4d2-4d8b-9148-e3be6c30e623}">
          <xlrd:rvb i="10073"/>
        </ext>
      </extLst>
    </bk>
    <bk>
      <extLst>
        <ext uri="{3e2802c4-a4d2-4d8b-9148-e3be6c30e623}">
          <xlrd:rvb i="10074"/>
        </ext>
      </extLst>
    </bk>
    <bk>
      <extLst>
        <ext uri="{3e2802c4-a4d2-4d8b-9148-e3be6c30e623}">
          <xlrd:rvb i="10075"/>
        </ext>
      </extLst>
    </bk>
    <bk>
      <extLst>
        <ext uri="{3e2802c4-a4d2-4d8b-9148-e3be6c30e623}">
          <xlrd:rvb i="10076"/>
        </ext>
      </extLst>
    </bk>
    <bk>
      <extLst>
        <ext uri="{3e2802c4-a4d2-4d8b-9148-e3be6c30e623}">
          <xlrd:rvb i="10077"/>
        </ext>
      </extLst>
    </bk>
    <bk>
      <extLst>
        <ext uri="{3e2802c4-a4d2-4d8b-9148-e3be6c30e623}">
          <xlrd:rvb i="10078"/>
        </ext>
      </extLst>
    </bk>
    <bk>
      <extLst>
        <ext uri="{3e2802c4-a4d2-4d8b-9148-e3be6c30e623}">
          <xlrd:rvb i="10079"/>
        </ext>
      </extLst>
    </bk>
    <bk>
      <extLst>
        <ext uri="{3e2802c4-a4d2-4d8b-9148-e3be6c30e623}">
          <xlrd:rvb i="10080"/>
        </ext>
      </extLst>
    </bk>
    <bk>
      <extLst>
        <ext uri="{3e2802c4-a4d2-4d8b-9148-e3be6c30e623}">
          <xlrd:rvb i="10081"/>
        </ext>
      </extLst>
    </bk>
    <bk>
      <extLst>
        <ext uri="{3e2802c4-a4d2-4d8b-9148-e3be6c30e623}">
          <xlrd:rvb i="10082"/>
        </ext>
      </extLst>
    </bk>
    <bk>
      <extLst>
        <ext uri="{3e2802c4-a4d2-4d8b-9148-e3be6c30e623}">
          <xlrd:rvb i="10083"/>
        </ext>
      </extLst>
    </bk>
    <bk>
      <extLst>
        <ext uri="{3e2802c4-a4d2-4d8b-9148-e3be6c30e623}">
          <xlrd:rvb i="10084"/>
        </ext>
      </extLst>
    </bk>
    <bk>
      <extLst>
        <ext uri="{3e2802c4-a4d2-4d8b-9148-e3be6c30e623}">
          <xlrd:rvb i="10085"/>
        </ext>
      </extLst>
    </bk>
    <bk>
      <extLst>
        <ext uri="{3e2802c4-a4d2-4d8b-9148-e3be6c30e623}">
          <xlrd:rvb i="10086"/>
        </ext>
      </extLst>
    </bk>
    <bk>
      <extLst>
        <ext uri="{3e2802c4-a4d2-4d8b-9148-e3be6c30e623}">
          <xlrd:rvb i="10087"/>
        </ext>
      </extLst>
    </bk>
    <bk>
      <extLst>
        <ext uri="{3e2802c4-a4d2-4d8b-9148-e3be6c30e623}">
          <xlrd:rvb i="10088"/>
        </ext>
      </extLst>
    </bk>
    <bk>
      <extLst>
        <ext uri="{3e2802c4-a4d2-4d8b-9148-e3be6c30e623}">
          <xlrd:rvb i="10089"/>
        </ext>
      </extLst>
    </bk>
    <bk>
      <extLst>
        <ext uri="{3e2802c4-a4d2-4d8b-9148-e3be6c30e623}">
          <xlrd:rvb i="10090"/>
        </ext>
      </extLst>
    </bk>
    <bk>
      <extLst>
        <ext uri="{3e2802c4-a4d2-4d8b-9148-e3be6c30e623}">
          <xlrd:rvb i="10091"/>
        </ext>
      </extLst>
    </bk>
    <bk>
      <extLst>
        <ext uri="{3e2802c4-a4d2-4d8b-9148-e3be6c30e623}">
          <xlrd:rvb i="10092"/>
        </ext>
      </extLst>
    </bk>
    <bk>
      <extLst>
        <ext uri="{3e2802c4-a4d2-4d8b-9148-e3be6c30e623}">
          <xlrd:rvb i="10093"/>
        </ext>
      </extLst>
    </bk>
    <bk>
      <extLst>
        <ext uri="{3e2802c4-a4d2-4d8b-9148-e3be6c30e623}">
          <xlrd:rvb i="10094"/>
        </ext>
      </extLst>
    </bk>
    <bk>
      <extLst>
        <ext uri="{3e2802c4-a4d2-4d8b-9148-e3be6c30e623}">
          <xlrd:rvb i="10095"/>
        </ext>
      </extLst>
    </bk>
    <bk>
      <extLst>
        <ext uri="{3e2802c4-a4d2-4d8b-9148-e3be6c30e623}">
          <xlrd:rvb i="10096"/>
        </ext>
      </extLst>
    </bk>
    <bk>
      <extLst>
        <ext uri="{3e2802c4-a4d2-4d8b-9148-e3be6c30e623}">
          <xlrd:rvb i="10097"/>
        </ext>
      </extLst>
    </bk>
    <bk>
      <extLst>
        <ext uri="{3e2802c4-a4d2-4d8b-9148-e3be6c30e623}">
          <xlrd:rvb i="10098"/>
        </ext>
      </extLst>
    </bk>
    <bk>
      <extLst>
        <ext uri="{3e2802c4-a4d2-4d8b-9148-e3be6c30e623}">
          <xlrd:rvb i="10099"/>
        </ext>
      </extLst>
    </bk>
    <bk>
      <extLst>
        <ext uri="{3e2802c4-a4d2-4d8b-9148-e3be6c30e623}">
          <xlrd:rvb i="10100"/>
        </ext>
      </extLst>
    </bk>
    <bk>
      <extLst>
        <ext uri="{3e2802c4-a4d2-4d8b-9148-e3be6c30e623}">
          <xlrd:rvb i="10101"/>
        </ext>
      </extLst>
    </bk>
    <bk>
      <extLst>
        <ext uri="{3e2802c4-a4d2-4d8b-9148-e3be6c30e623}">
          <xlrd:rvb i="10102"/>
        </ext>
      </extLst>
    </bk>
    <bk>
      <extLst>
        <ext uri="{3e2802c4-a4d2-4d8b-9148-e3be6c30e623}">
          <xlrd:rvb i="10103"/>
        </ext>
      </extLst>
    </bk>
    <bk>
      <extLst>
        <ext uri="{3e2802c4-a4d2-4d8b-9148-e3be6c30e623}">
          <xlrd:rvb i="10104"/>
        </ext>
      </extLst>
    </bk>
    <bk>
      <extLst>
        <ext uri="{3e2802c4-a4d2-4d8b-9148-e3be6c30e623}">
          <xlrd:rvb i="10105"/>
        </ext>
      </extLst>
    </bk>
    <bk>
      <extLst>
        <ext uri="{3e2802c4-a4d2-4d8b-9148-e3be6c30e623}">
          <xlrd:rvb i="10106"/>
        </ext>
      </extLst>
    </bk>
    <bk>
      <extLst>
        <ext uri="{3e2802c4-a4d2-4d8b-9148-e3be6c30e623}">
          <xlrd:rvb i="10107"/>
        </ext>
      </extLst>
    </bk>
    <bk>
      <extLst>
        <ext uri="{3e2802c4-a4d2-4d8b-9148-e3be6c30e623}">
          <xlrd:rvb i="10108"/>
        </ext>
      </extLst>
    </bk>
    <bk>
      <extLst>
        <ext uri="{3e2802c4-a4d2-4d8b-9148-e3be6c30e623}">
          <xlrd:rvb i="10109"/>
        </ext>
      </extLst>
    </bk>
    <bk>
      <extLst>
        <ext uri="{3e2802c4-a4d2-4d8b-9148-e3be6c30e623}">
          <xlrd:rvb i="10110"/>
        </ext>
      </extLst>
    </bk>
    <bk>
      <extLst>
        <ext uri="{3e2802c4-a4d2-4d8b-9148-e3be6c30e623}">
          <xlrd:rvb i="10111"/>
        </ext>
      </extLst>
    </bk>
    <bk>
      <extLst>
        <ext uri="{3e2802c4-a4d2-4d8b-9148-e3be6c30e623}">
          <xlrd:rvb i="10112"/>
        </ext>
      </extLst>
    </bk>
    <bk>
      <extLst>
        <ext uri="{3e2802c4-a4d2-4d8b-9148-e3be6c30e623}">
          <xlrd:rvb i="10113"/>
        </ext>
      </extLst>
    </bk>
    <bk>
      <extLst>
        <ext uri="{3e2802c4-a4d2-4d8b-9148-e3be6c30e623}">
          <xlrd:rvb i="10114"/>
        </ext>
      </extLst>
    </bk>
    <bk>
      <extLst>
        <ext uri="{3e2802c4-a4d2-4d8b-9148-e3be6c30e623}">
          <xlrd:rvb i="10115"/>
        </ext>
      </extLst>
    </bk>
    <bk>
      <extLst>
        <ext uri="{3e2802c4-a4d2-4d8b-9148-e3be6c30e623}">
          <xlrd:rvb i="10116"/>
        </ext>
      </extLst>
    </bk>
    <bk>
      <extLst>
        <ext uri="{3e2802c4-a4d2-4d8b-9148-e3be6c30e623}">
          <xlrd:rvb i="10117"/>
        </ext>
      </extLst>
    </bk>
    <bk>
      <extLst>
        <ext uri="{3e2802c4-a4d2-4d8b-9148-e3be6c30e623}">
          <xlrd:rvb i="10118"/>
        </ext>
      </extLst>
    </bk>
    <bk>
      <extLst>
        <ext uri="{3e2802c4-a4d2-4d8b-9148-e3be6c30e623}">
          <xlrd:rvb i="10119"/>
        </ext>
      </extLst>
    </bk>
    <bk>
      <extLst>
        <ext uri="{3e2802c4-a4d2-4d8b-9148-e3be6c30e623}">
          <xlrd:rvb i="10120"/>
        </ext>
      </extLst>
    </bk>
    <bk>
      <extLst>
        <ext uri="{3e2802c4-a4d2-4d8b-9148-e3be6c30e623}">
          <xlrd:rvb i="10121"/>
        </ext>
      </extLst>
    </bk>
    <bk>
      <extLst>
        <ext uri="{3e2802c4-a4d2-4d8b-9148-e3be6c30e623}">
          <xlrd:rvb i="10122"/>
        </ext>
      </extLst>
    </bk>
    <bk>
      <extLst>
        <ext uri="{3e2802c4-a4d2-4d8b-9148-e3be6c30e623}">
          <xlrd:rvb i="10123"/>
        </ext>
      </extLst>
    </bk>
    <bk>
      <extLst>
        <ext uri="{3e2802c4-a4d2-4d8b-9148-e3be6c30e623}">
          <xlrd:rvb i="10124"/>
        </ext>
      </extLst>
    </bk>
    <bk>
      <extLst>
        <ext uri="{3e2802c4-a4d2-4d8b-9148-e3be6c30e623}">
          <xlrd:rvb i="10125"/>
        </ext>
      </extLst>
    </bk>
    <bk>
      <extLst>
        <ext uri="{3e2802c4-a4d2-4d8b-9148-e3be6c30e623}">
          <xlrd:rvb i="10126"/>
        </ext>
      </extLst>
    </bk>
    <bk>
      <extLst>
        <ext uri="{3e2802c4-a4d2-4d8b-9148-e3be6c30e623}">
          <xlrd:rvb i="10127"/>
        </ext>
      </extLst>
    </bk>
    <bk>
      <extLst>
        <ext uri="{3e2802c4-a4d2-4d8b-9148-e3be6c30e623}">
          <xlrd:rvb i="10128"/>
        </ext>
      </extLst>
    </bk>
    <bk>
      <extLst>
        <ext uri="{3e2802c4-a4d2-4d8b-9148-e3be6c30e623}">
          <xlrd:rvb i="10129"/>
        </ext>
      </extLst>
    </bk>
    <bk>
      <extLst>
        <ext uri="{3e2802c4-a4d2-4d8b-9148-e3be6c30e623}">
          <xlrd:rvb i="10130"/>
        </ext>
      </extLst>
    </bk>
    <bk>
      <extLst>
        <ext uri="{3e2802c4-a4d2-4d8b-9148-e3be6c30e623}">
          <xlrd:rvb i="10131"/>
        </ext>
      </extLst>
    </bk>
    <bk>
      <extLst>
        <ext uri="{3e2802c4-a4d2-4d8b-9148-e3be6c30e623}">
          <xlrd:rvb i="10132"/>
        </ext>
      </extLst>
    </bk>
    <bk>
      <extLst>
        <ext uri="{3e2802c4-a4d2-4d8b-9148-e3be6c30e623}">
          <xlrd:rvb i="10133"/>
        </ext>
      </extLst>
    </bk>
    <bk>
      <extLst>
        <ext uri="{3e2802c4-a4d2-4d8b-9148-e3be6c30e623}">
          <xlrd:rvb i="10134"/>
        </ext>
      </extLst>
    </bk>
    <bk>
      <extLst>
        <ext uri="{3e2802c4-a4d2-4d8b-9148-e3be6c30e623}">
          <xlrd:rvb i="10135"/>
        </ext>
      </extLst>
    </bk>
    <bk>
      <extLst>
        <ext uri="{3e2802c4-a4d2-4d8b-9148-e3be6c30e623}">
          <xlrd:rvb i="10136"/>
        </ext>
      </extLst>
    </bk>
    <bk>
      <extLst>
        <ext uri="{3e2802c4-a4d2-4d8b-9148-e3be6c30e623}">
          <xlrd:rvb i="10137"/>
        </ext>
      </extLst>
    </bk>
    <bk>
      <extLst>
        <ext uri="{3e2802c4-a4d2-4d8b-9148-e3be6c30e623}">
          <xlrd:rvb i="10138"/>
        </ext>
      </extLst>
    </bk>
    <bk>
      <extLst>
        <ext uri="{3e2802c4-a4d2-4d8b-9148-e3be6c30e623}">
          <xlrd:rvb i="10139"/>
        </ext>
      </extLst>
    </bk>
    <bk>
      <extLst>
        <ext uri="{3e2802c4-a4d2-4d8b-9148-e3be6c30e623}">
          <xlrd:rvb i="10140"/>
        </ext>
      </extLst>
    </bk>
    <bk>
      <extLst>
        <ext uri="{3e2802c4-a4d2-4d8b-9148-e3be6c30e623}">
          <xlrd:rvb i="10141"/>
        </ext>
      </extLst>
    </bk>
    <bk>
      <extLst>
        <ext uri="{3e2802c4-a4d2-4d8b-9148-e3be6c30e623}">
          <xlrd:rvb i="10142"/>
        </ext>
      </extLst>
    </bk>
    <bk>
      <extLst>
        <ext uri="{3e2802c4-a4d2-4d8b-9148-e3be6c30e623}">
          <xlrd:rvb i="10143"/>
        </ext>
      </extLst>
    </bk>
    <bk>
      <extLst>
        <ext uri="{3e2802c4-a4d2-4d8b-9148-e3be6c30e623}">
          <xlrd:rvb i="10144"/>
        </ext>
      </extLst>
    </bk>
    <bk>
      <extLst>
        <ext uri="{3e2802c4-a4d2-4d8b-9148-e3be6c30e623}">
          <xlrd:rvb i="10145"/>
        </ext>
      </extLst>
    </bk>
    <bk>
      <extLst>
        <ext uri="{3e2802c4-a4d2-4d8b-9148-e3be6c30e623}">
          <xlrd:rvb i="10146"/>
        </ext>
      </extLst>
    </bk>
    <bk>
      <extLst>
        <ext uri="{3e2802c4-a4d2-4d8b-9148-e3be6c30e623}">
          <xlrd:rvb i="10147"/>
        </ext>
      </extLst>
    </bk>
    <bk>
      <extLst>
        <ext uri="{3e2802c4-a4d2-4d8b-9148-e3be6c30e623}">
          <xlrd:rvb i="10148"/>
        </ext>
      </extLst>
    </bk>
    <bk>
      <extLst>
        <ext uri="{3e2802c4-a4d2-4d8b-9148-e3be6c30e623}">
          <xlrd:rvb i="10149"/>
        </ext>
      </extLst>
    </bk>
    <bk>
      <extLst>
        <ext uri="{3e2802c4-a4d2-4d8b-9148-e3be6c30e623}">
          <xlrd:rvb i="10150"/>
        </ext>
      </extLst>
    </bk>
    <bk>
      <extLst>
        <ext uri="{3e2802c4-a4d2-4d8b-9148-e3be6c30e623}">
          <xlrd:rvb i="10151"/>
        </ext>
      </extLst>
    </bk>
    <bk>
      <extLst>
        <ext uri="{3e2802c4-a4d2-4d8b-9148-e3be6c30e623}">
          <xlrd:rvb i="10152"/>
        </ext>
      </extLst>
    </bk>
    <bk>
      <extLst>
        <ext uri="{3e2802c4-a4d2-4d8b-9148-e3be6c30e623}">
          <xlrd:rvb i="10153"/>
        </ext>
      </extLst>
    </bk>
    <bk>
      <extLst>
        <ext uri="{3e2802c4-a4d2-4d8b-9148-e3be6c30e623}">
          <xlrd:rvb i="10154"/>
        </ext>
      </extLst>
    </bk>
    <bk>
      <extLst>
        <ext uri="{3e2802c4-a4d2-4d8b-9148-e3be6c30e623}">
          <xlrd:rvb i="10155"/>
        </ext>
      </extLst>
    </bk>
    <bk>
      <extLst>
        <ext uri="{3e2802c4-a4d2-4d8b-9148-e3be6c30e623}">
          <xlrd:rvb i="10156"/>
        </ext>
      </extLst>
    </bk>
    <bk>
      <extLst>
        <ext uri="{3e2802c4-a4d2-4d8b-9148-e3be6c30e623}">
          <xlrd:rvb i="10157"/>
        </ext>
      </extLst>
    </bk>
    <bk>
      <extLst>
        <ext uri="{3e2802c4-a4d2-4d8b-9148-e3be6c30e623}">
          <xlrd:rvb i="10158"/>
        </ext>
      </extLst>
    </bk>
    <bk>
      <extLst>
        <ext uri="{3e2802c4-a4d2-4d8b-9148-e3be6c30e623}">
          <xlrd:rvb i="10159"/>
        </ext>
      </extLst>
    </bk>
    <bk>
      <extLst>
        <ext uri="{3e2802c4-a4d2-4d8b-9148-e3be6c30e623}">
          <xlrd:rvb i="10160"/>
        </ext>
      </extLst>
    </bk>
    <bk>
      <extLst>
        <ext uri="{3e2802c4-a4d2-4d8b-9148-e3be6c30e623}">
          <xlrd:rvb i="10161"/>
        </ext>
      </extLst>
    </bk>
    <bk>
      <extLst>
        <ext uri="{3e2802c4-a4d2-4d8b-9148-e3be6c30e623}">
          <xlrd:rvb i="10162"/>
        </ext>
      </extLst>
    </bk>
    <bk>
      <extLst>
        <ext uri="{3e2802c4-a4d2-4d8b-9148-e3be6c30e623}">
          <xlrd:rvb i="10163"/>
        </ext>
      </extLst>
    </bk>
    <bk>
      <extLst>
        <ext uri="{3e2802c4-a4d2-4d8b-9148-e3be6c30e623}">
          <xlrd:rvb i="10164"/>
        </ext>
      </extLst>
    </bk>
    <bk>
      <extLst>
        <ext uri="{3e2802c4-a4d2-4d8b-9148-e3be6c30e623}">
          <xlrd:rvb i="10165"/>
        </ext>
      </extLst>
    </bk>
    <bk>
      <extLst>
        <ext uri="{3e2802c4-a4d2-4d8b-9148-e3be6c30e623}">
          <xlrd:rvb i="10166"/>
        </ext>
      </extLst>
    </bk>
    <bk>
      <extLst>
        <ext uri="{3e2802c4-a4d2-4d8b-9148-e3be6c30e623}">
          <xlrd:rvb i="10167"/>
        </ext>
      </extLst>
    </bk>
    <bk>
      <extLst>
        <ext uri="{3e2802c4-a4d2-4d8b-9148-e3be6c30e623}">
          <xlrd:rvb i="10168"/>
        </ext>
      </extLst>
    </bk>
    <bk>
      <extLst>
        <ext uri="{3e2802c4-a4d2-4d8b-9148-e3be6c30e623}">
          <xlrd:rvb i="10169"/>
        </ext>
      </extLst>
    </bk>
    <bk>
      <extLst>
        <ext uri="{3e2802c4-a4d2-4d8b-9148-e3be6c30e623}">
          <xlrd:rvb i="10170"/>
        </ext>
      </extLst>
    </bk>
    <bk>
      <extLst>
        <ext uri="{3e2802c4-a4d2-4d8b-9148-e3be6c30e623}">
          <xlrd:rvb i="10171"/>
        </ext>
      </extLst>
    </bk>
    <bk>
      <extLst>
        <ext uri="{3e2802c4-a4d2-4d8b-9148-e3be6c30e623}">
          <xlrd:rvb i="10172"/>
        </ext>
      </extLst>
    </bk>
    <bk>
      <extLst>
        <ext uri="{3e2802c4-a4d2-4d8b-9148-e3be6c30e623}">
          <xlrd:rvb i="10173"/>
        </ext>
      </extLst>
    </bk>
    <bk>
      <extLst>
        <ext uri="{3e2802c4-a4d2-4d8b-9148-e3be6c30e623}">
          <xlrd:rvb i="10174"/>
        </ext>
      </extLst>
    </bk>
    <bk>
      <extLst>
        <ext uri="{3e2802c4-a4d2-4d8b-9148-e3be6c30e623}">
          <xlrd:rvb i="10175"/>
        </ext>
      </extLst>
    </bk>
    <bk>
      <extLst>
        <ext uri="{3e2802c4-a4d2-4d8b-9148-e3be6c30e623}">
          <xlrd:rvb i="10176"/>
        </ext>
      </extLst>
    </bk>
    <bk>
      <extLst>
        <ext uri="{3e2802c4-a4d2-4d8b-9148-e3be6c30e623}">
          <xlrd:rvb i="10177"/>
        </ext>
      </extLst>
    </bk>
    <bk>
      <extLst>
        <ext uri="{3e2802c4-a4d2-4d8b-9148-e3be6c30e623}">
          <xlrd:rvb i="10178"/>
        </ext>
      </extLst>
    </bk>
    <bk>
      <extLst>
        <ext uri="{3e2802c4-a4d2-4d8b-9148-e3be6c30e623}">
          <xlrd:rvb i="10179"/>
        </ext>
      </extLst>
    </bk>
    <bk>
      <extLst>
        <ext uri="{3e2802c4-a4d2-4d8b-9148-e3be6c30e623}">
          <xlrd:rvb i="10180"/>
        </ext>
      </extLst>
    </bk>
    <bk>
      <extLst>
        <ext uri="{3e2802c4-a4d2-4d8b-9148-e3be6c30e623}">
          <xlrd:rvb i="10181"/>
        </ext>
      </extLst>
    </bk>
    <bk>
      <extLst>
        <ext uri="{3e2802c4-a4d2-4d8b-9148-e3be6c30e623}">
          <xlrd:rvb i="10182"/>
        </ext>
      </extLst>
    </bk>
    <bk>
      <extLst>
        <ext uri="{3e2802c4-a4d2-4d8b-9148-e3be6c30e623}">
          <xlrd:rvb i="10183"/>
        </ext>
      </extLst>
    </bk>
    <bk>
      <extLst>
        <ext uri="{3e2802c4-a4d2-4d8b-9148-e3be6c30e623}">
          <xlrd:rvb i="10184"/>
        </ext>
      </extLst>
    </bk>
    <bk>
      <extLst>
        <ext uri="{3e2802c4-a4d2-4d8b-9148-e3be6c30e623}">
          <xlrd:rvb i="10185"/>
        </ext>
      </extLst>
    </bk>
    <bk>
      <extLst>
        <ext uri="{3e2802c4-a4d2-4d8b-9148-e3be6c30e623}">
          <xlrd:rvb i="10186"/>
        </ext>
      </extLst>
    </bk>
    <bk>
      <extLst>
        <ext uri="{3e2802c4-a4d2-4d8b-9148-e3be6c30e623}">
          <xlrd:rvb i="10187"/>
        </ext>
      </extLst>
    </bk>
    <bk>
      <extLst>
        <ext uri="{3e2802c4-a4d2-4d8b-9148-e3be6c30e623}">
          <xlrd:rvb i="10188"/>
        </ext>
      </extLst>
    </bk>
    <bk>
      <extLst>
        <ext uri="{3e2802c4-a4d2-4d8b-9148-e3be6c30e623}">
          <xlrd:rvb i="10189"/>
        </ext>
      </extLst>
    </bk>
    <bk>
      <extLst>
        <ext uri="{3e2802c4-a4d2-4d8b-9148-e3be6c30e623}">
          <xlrd:rvb i="10190"/>
        </ext>
      </extLst>
    </bk>
    <bk>
      <extLst>
        <ext uri="{3e2802c4-a4d2-4d8b-9148-e3be6c30e623}">
          <xlrd:rvb i="10191"/>
        </ext>
      </extLst>
    </bk>
    <bk>
      <extLst>
        <ext uri="{3e2802c4-a4d2-4d8b-9148-e3be6c30e623}">
          <xlrd:rvb i="10192"/>
        </ext>
      </extLst>
    </bk>
    <bk>
      <extLst>
        <ext uri="{3e2802c4-a4d2-4d8b-9148-e3be6c30e623}">
          <xlrd:rvb i="10193"/>
        </ext>
      </extLst>
    </bk>
    <bk>
      <extLst>
        <ext uri="{3e2802c4-a4d2-4d8b-9148-e3be6c30e623}">
          <xlrd:rvb i="10194"/>
        </ext>
      </extLst>
    </bk>
    <bk>
      <extLst>
        <ext uri="{3e2802c4-a4d2-4d8b-9148-e3be6c30e623}">
          <xlrd:rvb i="10195"/>
        </ext>
      </extLst>
    </bk>
    <bk>
      <extLst>
        <ext uri="{3e2802c4-a4d2-4d8b-9148-e3be6c30e623}">
          <xlrd:rvb i="10196"/>
        </ext>
      </extLst>
    </bk>
    <bk>
      <extLst>
        <ext uri="{3e2802c4-a4d2-4d8b-9148-e3be6c30e623}">
          <xlrd:rvb i="10197"/>
        </ext>
      </extLst>
    </bk>
    <bk>
      <extLst>
        <ext uri="{3e2802c4-a4d2-4d8b-9148-e3be6c30e623}">
          <xlrd:rvb i="10198"/>
        </ext>
      </extLst>
    </bk>
    <bk>
      <extLst>
        <ext uri="{3e2802c4-a4d2-4d8b-9148-e3be6c30e623}">
          <xlrd:rvb i="10199"/>
        </ext>
      </extLst>
    </bk>
    <bk>
      <extLst>
        <ext uri="{3e2802c4-a4d2-4d8b-9148-e3be6c30e623}">
          <xlrd:rvb i="10200"/>
        </ext>
      </extLst>
    </bk>
    <bk>
      <extLst>
        <ext uri="{3e2802c4-a4d2-4d8b-9148-e3be6c30e623}">
          <xlrd:rvb i="10201"/>
        </ext>
      </extLst>
    </bk>
    <bk>
      <extLst>
        <ext uri="{3e2802c4-a4d2-4d8b-9148-e3be6c30e623}">
          <xlrd:rvb i="10202"/>
        </ext>
      </extLst>
    </bk>
    <bk>
      <extLst>
        <ext uri="{3e2802c4-a4d2-4d8b-9148-e3be6c30e623}">
          <xlrd:rvb i="10203"/>
        </ext>
      </extLst>
    </bk>
    <bk>
      <extLst>
        <ext uri="{3e2802c4-a4d2-4d8b-9148-e3be6c30e623}">
          <xlrd:rvb i="10204"/>
        </ext>
      </extLst>
    </bk>
    <bk>
      <extLst>
        <ext uri="{3e2802c4-a4d2-4d8b-9148-e3be6c30e623}">
          <xlrd:rvb i="10205"/>
        </ext>
      </extLst>
    </bk>
    <bk>
      <extLst>
        <ext uri="{3e2802c4-a4d2-4d8b-9148-e3be6c30e623}">
          <xlrd:rvb i="10206"/>
        </ext>
      </extLst>
    </bk>
    <bk>
      <extLst>
        <ext uri="{3e2802c4-a4d2-4d8b-9148-e3be6c30e623}">
          <xlrd:rvb i="10207"/>
        </ext>
      </extLst>
    </bk>
    <bk>
      <extLst>
        <ext uri="{3e2802c4-a4d2-4d8b-9148-e3be6c30e623}">
          <xlrd:rvb i="10208"/>
        </ext>
      </extLst>
    </bk>
    <bk>
      <extLst>
        <ext uri="{3e2802c4-a4d2-4d8b-9148-e3be6c30e623}">
          <xlrd:rvb i="10209"/>
        </ext>
      </extLst>
    </bk>
    <bk>
      <extLst>
        <ext uri="{3e2802c4-a4d2-4d8b-9148-e3be6c30e623}">
          <xlrd:rvb i="10210"/>
        </ext>
      </extLst>
    </bk>
    <bk>
      <extLst>
        <ext uri="{3e2802c4-a4d2-4d8b-9148-e3be6c30e623}">
          <xlrd:rvb i="10211"/>
        </ext>
      </extLst>
    </bk>
    <bk>
      <extLst>
        <ext uri="{3e2802c4-a4d2-4d8b-9148-e3be6c30e623}">
          <xlrd:rvb i="10212"/>
        </ext>
      </extLst>
    </bk>
    <bk>
      <extLst>
        <ext uri="{3e2802c4-a4d2-4d8b-9148-e3be6c30e623}">
          <xlrd:rvb i="10213"/>
        </ext>
      </extLst>
    </bk>
    <bk>
      <extLst>
        <ext uri="{3e2802c4-a4d2-4d8b-9148-e3be6c30e623}">
          <xlrd:rvb i="10214"/>
        </ext>
      </extLst>
    </bk>
    <bk>
      <extLst>
        <ext uri="{3e2802c4-a4d2-4d8b-9148-e3be6c30e623}">
          <xlrd:rvb i="10215"/>
        </ext>
      </extLst>
    </bk>
    <bk>
      <extLst>
        <ext uri="{3e2802c4-a4d2-4d8b-9148-e3be6c30e623}">
          <xlrd:rvb i="10216"/>
        </ext>
      </extLst>
    </bk>
    <bk>
      <extLst>
        <ext uri="{3e2802c4-a4d2-4d8b-9148-e3be6c30e623}">
          <xlrd:rvb i="10217"/>
        </ext>
      </extLst>
    </bk>
    <bk>
      <extLst>
        <ext uri="{3e2802c4-a4d2-4d8b-9148-e3be6c30e623}">
          <xlrd:rvb i="10218"/>
        </ext>
      </extLst>
    </bk>
    <bk>
      <extLst>
        <ext uri="{3e2802c4-a4d2-4d8b-9148-e3be6c30e623}">
          <xlrd:rvb i="10219"/>
        </ext>
      </extLst>
    </bk>
    <bk>
      <extLst>
        <ext uri="{3e2802c4-a4d2-4d8b-9148-e3be6c30e623}">
          <xlrd:rvb i="10220"/>
        </ext>
      </extLst>
    </bk>
    <bk>
      <extLst>
        <ext uri="{3e2802c4-a4d2-4d8b-9148-e3be6c30e623}">
          <xlrd:rvb i="10221"/>
        </ext>
      </extLst>
    </bk>
    <bk>
      <extLst>
        <ext uri="{3e2802c4-a4d2-4d8b-9148-e3be6c30e623}">
          <xlrd:rvb i="10222"/>
        </ext>
      </extLst>
    </bk>
    <bk>
      <extLst>
        <ext uri="{3e2802c4-a4d2-4d8b-9148-e3be6c30e623}">
          <xlrd:rvb i="10223"/>
        </ext>
      </extLst>
    </bk>
    <bk>
      <extLst>
        <ext uri="{3e2802c4-a4d2-4d8b-9148-e3be6c30e623}">
          <xlrd:rvb i="10224"/>
        </ext>
      </extLst>
    </bk>
    <bk>
      <extLst>
        <ext uri="{3e2802c4-a4d2-4d8b-9148-e3be6c30e623}">
          <xlrd:rvb i="10225"/>
        </ext>
      </extLst>
    </bk>
    <bk>
      <extLst>
        <ext uri="{3e2802c4-a4d2-4d8b-9148-e3be6c30e623}">
          <xlrd:rvb i="10226"/>
        </ext>
      </extLst>
    </bk>
    <bk>
      <extLst>
        <ext uri="{3e2802c4-a4d2-4d8b-9148-e3be6c30e623}">
          <xlrd:rvb i="10227"/>
        </ext>
      </extLst>
    </bk>
    <bk>
      <extLst>
        <ext uri="{3e2802c4-a4d2-4d8b-9148-e3be6c30e623}">
          <xlrd:rvb i="10228"/>
        </ext>
      </extLst>
    </bk>
    <bk>
      <extLst>
        <ext uri="{3e2802c4-a4d2-4d8b-9148-e3be6c30e623}">
          <xlrd:rvb i="10229"/>
        </ext>
      </extLst>
    </bk>
    <bk>
      <extLst>
        <ext uri="{3e2802c4-a4d2-4d8b-9148-e3be6c30e623}">
          <xlrd:rvb i="10230"/>
        </ext>
      </extLst>
    </bk>
    <bk>
      <extLst>
        <ext uri="{3e2802c4-a4d2-4d8b-9148-e3be6c30e623}">
          <xlrd:rvb i="10231"/>
        </ext>
      </extLst>
    </bk>
    <bk>
      <extLst>
        <ext uri="{3e2802c4-a4d2-4d8b-9148-e3be6c30e623}">
          <xlrd:rvb i="10232"/>
        </ext>
      </extLst>
    </bk>
    <bk>
      <extLst>
        <ext uri="{3e2802c4-a4d2-4d8b-9148-e3be6c30e623}">
          <xlrd:rvb i="10233"/>
        </ext>
      </extLst>
    </bk>
    <bk>
      <extLst>
        <ext uri="{3e2802c4-a4d2-4d8b-9148-e3be6c30e623}">
          <xlrd:rvb i="10234"/>
        </ext>
      </extLst>
    </bk>
    <bk>
      <extLst>
        <ext uri="{3e2802c4-a4d2-4d8b-9148-e3be6c30e623}">
          <xlrd:rvb i="10235"/>
        </ext>
      </extLst>
    </bk>
    <bk>
      <extLst>
        <ext uri="{3e2802c4-a4d2-4d8b-9148-e3be6c30e623}">
          <xlrd:rvb i="10236"/>
        </ext>
      </extLst>
    </bk>
    <bk>
      <extLst>
        <ext uri="{3e2802c4-a4d2-4d8b-9148-e3be6c30e623}">
          <xlrd:rvb i="10237"/>
        </ext>
      </extLst>
    </bk>
    <bk>
      <extLst>
        <ext uri="{3e2802c4-a4d2-4d8b-9148-e3be6c30e623}">
          <xlrd:rvb i="10238"/>
        </ext>
      </extLst>
    </bk>
    <bk>
      <extLst>
        <ext uri="{3e2802c4-a4d2-4d8b-9148-e3be6c30e623}">
          <xlrd:rvb i="10239"/>
        </ext>
      </extLst>
    </bk>
    <bk>
      <extLst>
        <ext uri="{3e2802c4-a4d2-4d8b-9148-e3be6c30e623}">
          <xlrd:rvb i="10240"/>
        </ext>
      </extLst>
    </bk>
    <bk>
      <extLst>
        <ext uri="{3e2802c4-a4d2-4d8b-9148-e3be6c30e623}">
          <xlrd:rvb i="10241"/>
        </ext>
      </extLst>
    </bk>
    <bk>
      <extLst>
        <ext uri="{3e2802c4-a4d2-4d8b-9148-e3be6c30e623}">
          <xlrd:rvb i="10242"/>
        </ext>
      </extLst>
    </bk>
    <bk>
      <extLst>
        <ext uri="{3e2802c4-a4d2-4d8b-9148-e3be6c30e623}">
          <xlrd:rvb i="10243"/>
        </ext>
      </extLst>
    </bk>
    <bk>
      <extLst>
        <ext uri="{3e2802c4-a4d2-4d8b-9148-e3be6c30e623}">
          <xlrd:rvb i="10244"/>
        </ext>
      </extLst>
    </bk>
    <bk>
      <extLst>
        <ext uri="{3e2802c4-a4d2-4d8b-9148-e3be6c30e623}">
          <xlrd:rvb i="10245"/>
        </ext>
      </extLst>
    </bk>
    <bk>
      <extLst>
        <ext uri="{3e2802c4-a4d2-4d8b-9148-e3be6c30e623}">
          <xlrd:rvb i="10246"/>
        </ext>
      </extLst>
    </bk>
    <bk>
      <extLst>
        <ext uri="{3e2802c4-a4d2-4d8b-9148-e3be6c30e623}">
          <xlrd:rvb i="10247"/>
        </ext>
      </extLst>
    </bk>
    <bk>
      <extLst>
        <ext uri="{3e2802c4-a4d2-4d8b-9148-e3be6c30e623}">
          <xlrd:rvb i="10248"/>
        </ext>
      </extLst>
    </bk>
    <bk>
      <extLst>
        <ext uri="{3e2802c4-a4d2-4d8b-9148-e3be6c30e623}">
          <xlrd:rvb i="10249"/>
        </ext>
      </extLst>
    </bk>
    <bk>
      <extLst>
        <ext uri="{3e2802c4-a4d2-4d8b-9148-e3be6c30e623}">
          <xlrd:rvb i="10250"/>
        </ext>
      </extLst>
    </bk>
    <bk>
      <extLst>
        <ext uri="{3e2802c4-a4d2-4d8b-9148-e3be6c30e623}">
          <xlrd:rvb i="10251"/>
        </ext>
      </extLst>
    </bk>
    <bk>
      <extLst>
        <ext uri="{3e2802c4-a4d2-4d8b-9148-e3be6c30e623}">
          <xlrd:rvb i="10252"/>
        </ext>
      </extLst>
    </bk>
    <bk>
      <extLst>
        <ext uri="{3e2802c4-a4d2-4d8b-9148-e3be6c30e623}">
          <xlrd:rvb i="10253"/>
        </ext>
      </extLst>
    </bk>
    <bk>
      <extLst>
        <ext uri="{3e2802c4-a4d2-4d8b-9148-e3be6c30e623}">
          <xlrd:rvb i="10254"/>
        </ext>
      </extLst>
    </bk>
    <bk>
      <extLst>
        <ext uri="{3e2802c4-a4d2-4d8b-9148-e3be6c30e623}">
          <xlrd:rvb i="10255"/>
        </ext>
      </extLst>
    </bk>
    <bk>
      <extLst>
        <ext uri="{3e2802c4-a4d2-4d8b-9148-e3be6c30e623}">
          <xlrd:rvb i="10256"/>
        </ext>
      </extLst>
    </bk>
    <bk>
      <extLst>
        <ext uri="{3e2802c4-a4d2-4d8b-9148-e3be6c30e623}">
          <xlrd:rvb i="10257"/>
        </ext>
      </extLst>
    </bk>
    <bk>
      <extLst>
        <ext uri="{3e2802c4-a4d2-4d8b-9148-e3be6c30e623}">
          <xlrd:rvb i="10258"/>
        </ext>
      </extLst>
    </bk>
    <bk>
      <extLst>
        <ext uri="{3e2802c4-a4d2-4d8b-9148-e3be6c30e623}">
          <xlrd:rvb i="10259"/>
        </ext>
      </extLst>
    </bk>
    <bk>
      <extLst>
        <ext uri="{3e2802c4-a4d2-4d8b-9148-e3be6c30e623}">
          <xlrd:rvb i="10260"/>
        </ext>
      </extLst>
    </bk>
    <bk>
      <extLst>
        <ext uri="{3e2802c4-a4d2-4d8b-9148-e3be6c30e623}">
          <xlrd:rvb i="10261"/>
        </ext>
      </extLst>
    </bk>
    <bk>
      <extLst>
        <ext uri="{3e2802c4-a4d2-4d8b-9148-e3be6c30e623}">
          <xlrd:rvb i="10262"/>
        </ext>
      </extLst>
    </bk>
    <bk>
      <extLst>
        <ext uri="{3e2802c4-a4d2-4d8b-9148-e3be6c30e623}">
          <xlrd:rvb i="10263"/>
        </ext>
      </extLst>
    </bk>
    <bk>
      <extLst>
        <ext uri="{3e2802c4-a4d2-4d8b-9148-e3be6c30e623}">
          <xlrd:rvb i="10264"/>
        </ext>
      </extLst>
    </bk>
    <bk>
      <extLst>
        <ext uri="{3e2802c4-a4d2-4d8b-9148-e3be6c30e623}">
          <xlrd:rvb i="10265"/>
        </ext>
      </extLst>
    </bk>
    <bk>
      <extLst>
        <ext uri="{3e2802c4-a4d2-4d8b-9148-e3be6c30e623}">
          <xlrd:rvb i="10266"/>
        </ext>
      </extLst>
    </bk>
    <bk>
      <extLst>
        <ext uri="{3e2802c4-a4d2-4d8b-9148-e3be6c30e623}">
          <xlrd:rvb i="10267"/>
        </ext>
      </extLst>
    </bk>
    <bk>
      <extLst>
        <ext uri="{3e2802c4-a4d2-4d8b-9148-e3be6c30e623}">
          <xlrd:rvb i="10268"/>
        </ext>
      </extLst>
    </bk>
    <bk>
      <extLst>
        <ext uri="{3e2802c4-a4d2-4d8b-9148-e3be6c30e623}">
          <xlrd:rvb i="10269"/>
        </ext>
      </extLst>
    </bk>
    <bk>
      <extLst>
        <ext uri="{3e2802c4-a4d2-4d8b-9148-e3be6c30e623}">
          <xlrd:rvb i="10270"/>
        </ext>
      </extLst>
    </bk>
    <bk>
      <extLst>
        <ext uri="{3e2802c4-a4d2-4d8b-9148-e3be6c30e623}">
          <xlrd:rvb i="10271"/>
        </ext>
      </extLst>
    </bk>
    <bk>
      <extLst>
        <ext uri="{3e2802c4-a4d2-4d8b-9148-e3be6c30e623}">
          <xlrd:rvb i="10272"/>
        </ext>
      </extLst>
    </bk>
    <bk>
      <extLst>
        <ext uri="{3e2802c4-a4d2-4d8b-9148-e3be6c30e623}">
          <xlrd:rvb i="10273"/>
        </ext>
      </extLst>
    </bk>
    <bk>
      <extLst>
        <ext uri="{3e2802c4-a4d2-4d8b-9148-e3be6c30e623}">
          <xlrd:rvb i="10274"/>
        </ext>
      </extLst>
    </bk>
    <bk>
      <extLst>
        <ext uri="{3e2802c4-a4d2-4d8b-9148-e3be6c30e623}">
          <xlrd:rvb i="10275"/>
        </ext>
      </extLst>
    </bk>
    <bk>
      <extLst>
        <ext uri="{3e2802c4-a4d2-4d8b-9148-e3be6c30e623}">
          <xlrd:rvb i="10276"/>
        </ext>
      </extLst>
    </bk>
    <bk>
      <extLst>
        <ext uri="{3e2802c4-a4d2-4d8b-9148-e3be6c30e623}">
          <xlrd:rvb i="10277"/>
        </ext>
      </extLst>
    </bk>
    <bk>
      <extLst>
        <ext uri="{3e2802c4-a4d2-4d8b-9148-e3be6c30e623}">
          <xlrd:rvb i="10278"/>
        </ext>
      </extLst>
    </bk>
    <bk>
      <extLst>
        <ext uri="{3e2802c4-a4d2-4d8b-9148-e3be6c30e623}">
          <xlrd:rvb i="10279"/>
        </ext>
      </extLst>
    </bk>
    <bk>
      <extLst>
        <ext uri="{3e2802c4-a4d2-4d8b-9148-e3be6c30e623}">
          <xlrd:rvb i="10280"/>
        </ext>
      </extLst>
    </bk>
    <bk>
      <extLst>
        <ext uri="{3e2802c4-a4d2-4d8b-9148-e3be6c30e623}">
          <xlrd:rvb i="10281"/>
        </ext>
      </extLst>
    </bk>
    <bk>
      <extLst>
        <ext uri="{3e2802c4-a4d2-4d8b-9148-e3be6c30e623}">
          <xlrd:rvb i="10282"/>
        </ext>
      </extLst>
    </bk>
    <bk>
      <extLst>
        <ext uri="{3e2802c4-a4d2-4d8b-9148-e3be6c30e623}">
          <xlrd:rvb i="10283"/>
        </ext>
      </extLst>
    </bk>
    <bk>
      <extLst>
        <ext uri="{3e2802c4-a4d2-4d8b-9148-e3be6c30e623}">
          <xlrd:rvb i="10284"/>
        </ext>
      </extLst>
    </bk>
    <bk>
      <extLst>
        <ext uri="{3e2802c4-a4d2-4d8b-9148-e3be6c30e623}">
          <xlrd:rvb i="10285"/>
        </ext>
      </extLst>
    </bk>
    <bk>
      <extLst>
        <ext uri="{3e2802c4-a4d2-4d8b-9148-e3be6c30e623}">
          <xlrd:rvb i="10286"/>
        </ext>
      </extLst>
    </bk>
    <bk>
      <extLst>
        <ext uri="{3e2802c4-a4d2-4d8b-9148-e3be6c30e623}">
          <xlrd:rvb i="10287"/>
        </ext>
      </extLst>
    </bk>
    <bk>
      <extLst>
        <ext uri="{3e2802c4-a4d2-4d8b-9148-e3be6c30e623}">
          <xlrd:rvb i="10288"/>
        </ext>
      </extLst>
    </bk>
    <bk>
      <extLst>
        <ext uri="{3e2802c4-a4d2-4d8b-9148-e3be6c30e623}">
          <xlrd:rvb i="10289"/>
        </ext>
      </extLst>
    </bk>
    <bk>
      <extLst>
        <ext uri="{3e2802c4-a4d2-4d8b-9148-e3be6c30e623}">
          <xlrd:rvb i="10290"/>
        </ext>
      </extLst>
    </bk>
    <bk>
      <extLst>
        <ext uri="{3e2802c4-a4d2-4d8b-9148-e3be6c30e623}">
          <xlrd:rvb i="10291"/>
        </ext>
      </extLst>
    </bk>
    <bk>
      <extLst>
        <ext uri="{3e2802c4-a4d2-4d8b-9148-e3be6c30e623}">
          <xlrd:rvb i="10292"/>
        </ext>
      </extLst>
    </bk>
    <bk>
      <extLst>
        <ext uri="{3e2802c4-a4d2-4d8b-9148-e3be6c30e623}">
          <xlrd:rvb i="10293"/>
        </ext>
      </extLst>
    </bk>
    <bk>
      <extLst>
        <ext uri="{3e2802c4-a4d2-4d8b-9148-e3be6c30e623}">
          <xlrd:rvb i="10294"/>
        </ext>
      </extLst>
    </bk>
    <bk>
      <extLst>
        <ext uri="{3e2802c4-a4d2-4d8b-9148-e3be6c30e623}">
          <xlrd:rvb i="10295"/>
        </ext>
      </extLst>
    </bk>
    <bk>
      <extLst>
        <ext uri="{3e2802c4-a4d2-4d8b-9148-e3be6c30e623}">
          <xlrd:rvb i="10296"/>
        </ext>
      </extLst>
    </bk>
    <bk>
      <extLst>
        <ext uri="{3e2802c4-a4d2-4d8b-9148-e3be6c30e623}">
          <xlrd:rvb i="10297"/>
        </ext>
      </extLst>
    </bk>
    <bk>
      <extLst>
        <ext uri="{3e2802c4-a4d2-4d8b-9148-e3be6c30e623}">
          <xlrd:rvb i="10298"/>
        </ext>
      </extLst>
    </bk>
    <bk>
      <extLst>
        <ext uri="{3e2802c4-a4d2-4d8b-9148-e3be6c30e623}">
          <xlrd:rvb i="10299"/>
        </ext>
      </extLst>
    </bk>
    <bk>
      <extLst>
        <ext uri="{3e2802c4-a4d2-4d8b-9148-e3be6c30e623}">
          <xlrd:rvb i="10300"/>
        </ext>
      </extLst>
    </bk>
    <bk>
      <extLst>
        <ext uri="{3e2802c4-a4d2-4d8b-9148-e3be6c30e623}">
          <xlrd:rvb i="10301"/>
        </ext>
      </extLst>
    </bk>
    <bk>
      <extLst>
        <ext uri="{3e2802c4-a4d2-4d8b-9148-e3be6c30e623}">
          <xlrd:rvb i="10302"/>
        </ext>
      </extLst>
    </bk>
    <bk>
      <extLst>
        <ext uri="{3e2802c4-a4d2-4d8b-9148-e3be6c30e623}">
          <xlrd:rvb i="10303"/>
        </ext>
      </extLst>
    </bk>
    <bk>
      <extLst>
        <ext uri="{3e2802c4-a4d2-4d8b-9148-e3be6c30e623}">
          <xlrd:rvb i="10304"/>
        </ext>
      </extLst>
    </bk>
    <bk>
      <extLst>
        <ext uri="{3e2802c4-a4d2-4d8b-9148-e3be6c30e623}">
          <xlrd:rvb i="10305"/>
        </ext>
      </extLst>
    </bk>
    <bk>
      <extLst>
        <ext uri="{3e2802c4-a4d2-4d8b-9148-e3be6c30e623}">
          <xlrd:rvb i="10306"/>
        </ext>
      </extLst>
    </bk>
    <bk>
      <extLst>
        <ext uri="{3e2802c4-a4d2-4d8b-9148-e3be6c30e623}">
          <xlrd:rvb i="10307"/>
        </ext>
      </extLst>
    </bk>
    <bk>
      <extLst>
        <ext uri="{3e2802c4-a4d2-4d8b-9148-e3be6c30e623}">
          <xlrd:rvb i="10308"/>
        </ext>
      </extLst>
    </bk>
    <bk>
      <extLst>
        <ext uri="{3e2802c4-a4d2-4d8b-9148-e3be6c30e623}">
          <xlrd:rvb i="10309"/>
        </ext>
      </extLst>
    </bk>
    <bk>
      <extLst>
        <ext uri="{3e2802c4-a4d2-4d8b-9148-e3be6c30e623}">
          <xlrd:rvb i="10310"/>
        </ext>
      </extLst>
    </bk>
    <bk>
      <extLst>
        <ext uri="{3e2802c4-a4d2-4d8b-9148-e3be6c30e623}">
          <xlrd:rvb i="10311"/>
        </ext>
      </extLst>
    </bk>
    <bk>
      <extLst>
        <ext uri="{3e2802c4-a4d2-4d8b-9148-e3be6c30e623}">
          <xlrd:rvb i="10312"/>
        </ext>
      </extLst>
    </bk>
    <bk>
      <extLst>
        <ext uri="{3e2802c4-a4d2-4d8b-9148-e3be6c30e623}">
          <xlrd:rvb i="10313"/>
        </ext>
      </extLst>
    </bk>
    <bk>
      <extLst>
        <ext uri="{3e2802c4-a4d2-4d8b-9148-e3be6c30e623}">
          <xlrd:rvb i="10314"/>
        </ext>
      </extLst>
    </bk>
    <bk>
      <extLst>
        <ext uri="{3e2802c4-a4d2-4d8b-9148-e3be6c30e623}">
          <xlrd:rvb i="10315"/>
        </ext>
      </extLst>
    </bk>
    <bk>
      <extLst>
        <ext uri="{3e2802c4-a4d2-4d8b-9148-e3be6c30e623}">
          <xlrd:rvb i="10316"/>
        </ext>
      </extLst>
    </bk>
    <bk>
      <extLst>
        <ext uri="{3e2802c4-a4d2-4d8b-9148-e3be6c30e623}">
          <xlrd:rvb i="10317"/>
        </ext>
      </extLst>
    </bk>
    <bk>
      <extLst>
        <ext uri="{3e2802c4-a4d2-4d8b-9148-e3be6c30e623}">
          <xlrd:rvb i="10318"/>
        </ext>
      </extLst>
    </bk>
    <bk>
      <extLst>
        <ext uri="{3e2802c4-a4d2-4d8b-9148-e3be6c30e623}">
          <xlrd:rvb i="10319"/>
        </ext>
      </extLst>
    </bk>
    <bk>
      <extLst>
        <ext uri="{3e2802c4-a4d2-4d8b-9148-e3be6c30e623}">
          <xlrd:rvb i="10320"/>
        </ext>
      </extLst>
    </bk>
    <bk>
      <extLst>
        <ext uri="{3e2802c4-a4d2-4d8b-9148-e3be6c30e623}">
          <xlrd:rvb i="10321"/>
        </ext>
      </extLst>
    </bk>
    <bk>
      <extLst>
        <ext uri="{3e2802c4-a4d2-4d8b-9148-e3be6c30e623}">
          <xlrd:rvb i="10322"/>
        </ext>
      </extLst>
    </bk>
    <bk>
      <extLst>
        <ext uri="{3e2802c4-a4d2-4d8b-9148-e3be6c30e623}">
          <xlrd:rvb i="10323"/>
        </ext>
      </extLst>
    </bk>
    <bk>
      <extLst>
        <ext uri="{3e2802c4-a4d2-4d8b-9148-e3be6c30e623}">
          <xlrd:rvb i="10324"/>
        </ext>
      </extLst>
    </bk>
    <bk>
      <extLst>
        <ext uri="{3e2802c4-a4d2-4d8b-9148-e3be6c30e623}">
          <xlrd:rvb i="10325"/>
        </ext>
      </extLst>
    </bk>
    <bk>
      <extLst>
        <ext uri="{3e2802c4-a4d2-4d8b-9148-e3be6c30e623}">
          <xlrd:rvb i="10326"/>
        </ext>
      </extLst>
    </bk>
    <bk>
      <extLst>
        <ext uri="{3e2802c4-a4d2-4d8b-9148-e3be6c30e623}">
          <xlrd:rvb i="10327"/>
        </ext>
      </extLst>
    </bk>
    <bk>
      <extLst>
        <ext uri="{3e2802c4-a4d2-4d8b-9148-e3be6c30e623}">
          <xlrd:rvb i="10328"/>
        </ext>
      </extLst>
    </bk>
    <bk>
      <extLst>
        <ext uri="{3e2802c4-a4d2-4d8b-9148-e3be6c30e623}">
          <xlrd:rvb i="10329"/>
        </ext>
      </extLst>
    </bk>
    <bk>
      <extLst>
        <ext uri="{3e2802c4-a4d2-4d8b-9148-e3be6c30e623}">
          <xlrd:rvb i="10330"/>
        </ext>
      </extLst>
    </bk>
    <bk>
      <extLst>
        <ext uri="{3e2802c4-a4d2-4d8b-9148-e3be6c30e623}">
          <xlrd:rvb i="10331"/>
        </ext>
      </extLst>
    </bk>
    <bk>
      <extLst>
        <ext uri="{3e2802c4-a4d2-4d8b-9148-e3be6c30e623}">
          <xlrd:rvb i="10332"/>
        </ext>
      </extLst>
    </bk>
    <bk>
      <extLst>
        <ext uri="{3e2802c4-a4d2-4d8b-9148-e3be6c30e623}">
          <xlrd:rvb i="10333"/>
        </ext>
      </extLst>
    </bk>
    <bk>
      <extLst>
        <ext uri="{3e2802c4-a4d2-4d8b-9148-e3be6c30e623}">
          <xlrd:rvb i="10334"/>
        </ext>
      </extLst>
    </bk>
    <bk>
      <extLst>
        <ext uri="{3e2802c4-a4d2-4d8b-9148-e3be6c30e623}">
          <xlrd:rvb i="10335"/>
        </ext>
      </extLst>
    </bk>
    <bk>
      <extLst>
        <ext uri="{3e2802c4-a4d2-4d8b-9148-e3be6c30e623}">
          <xlrd:rvb i="10336"/>
        </ext>
      </extLst>
    </bk>
    <bk>
      <extLst>
        <ext uri="{3e2802c4-a4d2-4d8b-9148-e3be6c30e623}">
          <xlrd:rvb i="10337"/>
        </ext>
      </extLst>
    </bk>
    <bk>
      <extLst>
        <ext uri="{3e2802c4-a4d2-4d8b-9148-e3be6c30e623}">
          <xlrd:rvb i="10338"/>
        </ext>
      </extLst>
    </bk>
    <bk>
      <extLst>
        <ext uri="{3e2802c4-a4d2-4d8b-9148-e3be6c30e623}">
          <xlrd:rvb i="10339"/>
        </ext>
      </extLst>
    </bk>
    <bk>
      <extLst>
        <ext uri="{3e2802c4-a4d2-4d8b-9148-e3be6c30e623}">
          <xlrd:rvb i="10340"/>
        </ext>
      </extLst>
    </bk>
    <bk>
      <extLst>
        <ext uri="{3e2802c4-a4d2-4d8b-9148-e3be6c30e623}">
          <xlrd:rvb i="10341"/>
        </ext>
      </extLst>
    </bk>
    <bk>
      <extLst>
        <ext uri="{3e2802c4-a4d2-4d8b-9148-e3be6c30e623}">
          <xlrd:rvb i="10342"/>
        </ext>
      </extLst>
    </bk>
    <bk>
      <extLst>
        <ext uri="{3e2802c4-a4d2-4d8b-9148-e3be6c30e623}">
          <xlrd:rvb i="10343"/>
        </ext>
      </extLst>
    </bk>
    <bk>
      <extLst>
        <ext uri="{3e2802c4-a4d2-4d8b-9148-e3be6c30e623}">
          <xlrd:rvb i="10344"/>
        </ext>
      </extLst>
    </bk>
    <bk>
      <extLst>
        <ext uri="{3e2802c4-a4d2-4d8b-9148-e3be6c30e623}">
          <xlrd:rvb i="10345"/>
        </ext>
      </extLst>
    </bk>
    <bk>
      <extLst>
        <ext uri="{3e2802c4-a4d2-4d8b-9148-e3be6c30e623}">
          <xlrd:rvb i="10346"/>
        </ext>
      </extLst>
    </bk>
    <bk>
      <extLst>
        <ext uri="{3e2802c4-a4d2-4d8b-9148-e3be6c30e623}">
          <xlrd:rvb i="10347"/>
        </ext>
      </extLst>
    </bk>
    <bk>
      <extLst>
        <ext uri="{3e2802c4-a4d2-4d8b-9148-e3be6c30e623}">
          <xlrd:rvb i="10348"/>
        </ext>
      </extLst>
    </bk>
    <bk>
      <extLst>
        <ext uri="{3e2802c4-a4d2-4d8b-9148-e3be6c30e623}">
          <xlrd:rvb i="10349"/>
        </ext>
      </extLst>
    </bk>
    <bk>
      <extLst>
        <ext uri="{3e2802c4-a4d2-4d8b-9148-e3be6c30e623}">
          <xlrd:rvb i="10350"/>
        </ext>
      </extLst>
    </bk>
    <bk>
      <extLst>
        <ext uri="{3e2802c4-a4d2-4d8b-9148-e3be6c30e623}">
          <xlrd:rvb i="10351"/>
        </ext>
      </extLst>
    </bk>
    <bk>
      <extLst>
        <ext uri="{3e2802c4-a4d2-4d8b-9148-e3be6c30e623}">
          <xlrd:rvb i="10352"/>
        </ext>
      </extLst>
    </bk>
    <bk>
      <extLst>
        <ext uri="{3e2802c4-a4d2-4d8b-9148-e3be6c30e623}">
          <xlrd:rvb i="10353"/>
        </ext>
      </extLst>
    </bk>
    <bk>
      <extLst>
        <ext uri="{3e2802c4-a4d2-4d8b-9148-e3be6c30e623}">
          <xlrd:rvb i="10354"/>
        </ext>
      </extLst>
    </bk>
    <bk>
      <extLst>
        <ext uri="{3e2802c4-a4d2-4d8b-9148-e3be6c30e623}">
          <xlrd:rvb i="10355"/>
        </ext>
      </extLst>
    </bk>
    <bk>
      <extLst>
        <ext uri="{3e2802c4-a4d2-4d8b-9148-e3be6c30e623}">
          <xlrd:rvb i="10356"/>
        </ext>
      </extLst>
    </bk>
    <bk>
      <extLst>
        <ext uri="{3e2802c4-a4d2-4d8b-9148-e3be6c30e623}">
          <xlrd:rvb i="10357"/>
        </ext>
      </extLst>
    </bk>
    <bk>
      <extLst>
        <ext uri="{3e2802c4-a4d2-4d8b-9148-e3be6c30e623}">
          <xlrd:rvb i="10358"/>
        </ext>
      </extLst>
    </bk>
    <bk>
      <extLst>
        <ext uri="{3e2802c4-a4d2-4d8b-9148-e3be6c30e623}">
          <xlrd:rvb i="10359"/>
        </ext>
      </extLst>
    </bk>
    <bk>
      <extLst>
        <ext uri="{3e2802c4-a4d2-4d8b-9148-e3be6c30e623}">
          <xlrd:rvb i="10360"/>
        </ext>
      </extLst>
    </bk>
    <bk>
      <extLst>
        <ext uri="{3e2802c4-a4d2-4d8b-9148-e3be6c30e623}">
          <xlrd:rvb i="10361"/>
        </ext>
      </extLst>
    </bk>
    <bk>
      <extLst>
        <ext uri="{3e2802c4-a4d2-4d8b-9148-e3be6c30e623}">
          <xlrd:rvb i="10362"/>
        </ext>
      </extLst>
    </bk>
    <bk>
      <extLst>
        <ext uri="{3e2802c4-a4d2-4d8b-9148-e3be6c30e623}">
          <xlrd:rvb i="10363"/>
        </ext>
      </extLst>
    </bk>
    <bk>
      <extLst>
        <ext uri="{3e2802c4-a4d2-4d8b-9148-e3be6c30e623}">
          <xlrd:rvb i="10364"/>
        </ext>
      </extLst>
    </bk>
    <bk>
      <extLst>
        <ext uri="{3e2802c4-a4d2-4d8b-9148-e3be6c30e623}">
          <xlrd:rvb i="10365"/>
        </ext>
      </extLst>
    </bk>
    <bk>
      <extLst>
        <ext uri="{3e2802c4-a4d2-4d8b-9148-e3be6c30e623}">
          <xlrd:rvb i="10366"/>
        </ext>
      </extLst>
    </bk>
    <bk>
      <extLst>
        <ext uri="{3e2802c4-a4d2-4d8b-9148-e3be6c30e623}">
          <xlrd:rvb i="10367"/>
        </ext>
      </extLst>
    </bk>
    <bk>
      <extLst>
        <ext uri="{3e2802c4-a4d2-4d8b-9148-e3be6c30e623}">
          <xlrd:rvb i="10368"/>
        </ext>
      </extLst>
    </bk>
    <bk>
      <extLst>
        <ext uri="{3e2802c4-a4d2-4d8b-9148-e3be6c30e623}">
          <xlrd:rvb i="10369"/>
        </ext>
      </extLst>
    </bk>
    <bk>
      <extLst>
        <ext uri="{3e2802c4-a4d2-4d8b-9148-e3be6c30e623}">
          <xlrd:rvb i="10370"/>
        </ext>
      </extLst>
    </bk>
    <bk>
      <extLst>
        <ext uri="{3e2802c4-a4d2-4d8b-9148-e3be6c30e623}">
          <xlrd:rvb i="10371"/>
        </ext>
      </extLst>
    </bk>
    <bk>
      <extLst>
        <ext uri="{3e2802c4-a4d2-4d8b-9148-e3be6c30e623}">
          <xlrd:rvb i="10372"/>
        </ext>
      </extLst>
    </bk>
    <bk>
      <extLst>
        <ext uri="{3e2802c4-a4d2-4d8b-9148-e3be6c30e623}">
          <xlrd:rvb i="10373"/>
        </ext>
      </extLst>
    </bk>
    <bk>
      <extLst>
        <ext uri="{3e2802c4-a4d2-4d8b-9148-e3be6c30e623}">
          <xlrd:rvb i="10374"/>
        </ext>
      </extLst>
    </bk>
    <bk>
      <extLst>
        <ext uri="{3e2802c4-a4d2-4d8b-9148-e3be6c30e623}">
          <xlrd:rvb i="10375"/>
        </ext>
      </extLst>
    </bk>
    <bk>
      <extLst>
        <ext uri="{3e2802c4-a4d2-4d8b-9148-e3be6c30e623}">
          <xlrd:rvb i="10376"/>
        </ext>
      </extLst>
    </bk>
    <bk>
      <extLst>
        <ext uri="{3e2802c4-a4d2-4d8b-9148-e3be6c30e623}">
          <xlrd:rvb i="10377"/>
        </ext>
      </extLst>
    </bk>
    <bk>
      <extLst>
        <ext uri="{3e2802c4-a4d2-4d8b-9148-e3be6c30e623}">
          <xlrd:rvb i="10378"/>
        </ext>
      </extLst>
    </bk>
    <bk>
      <extLst>
        <ext uri="{3e2802c4-a4d2-4d8b-9148-e3be6c30e623}">
          <xlrd:rvb i="10379"/>
        </ext>
      </extLst>
    </bk>
    <bk>
      <extLst>
        <ext uri="{3e2802c4-a4d2-4d8b-9148-e3be6c30e623}">
          <xlrd:rvb i="10380"/>
        </ext>
      </extLst>
    </bk>
    <bk>
      <extLst>
        <ext uri="{3e2802c4-a4d2-4d8b-9148-e3be6c30e623}">
          <xlrd:rvb i="10381"/>
        </ext>
      </extLst>
    </bk>
    <bk>
      <extLst>
        <ext uri="{3e2802c4-a4d2-4d8b-9148-e3be6c30e623}">
          <xlrd:rvb i="10382"/>
        </ext>
      </extLst>
    </bk>
    <bk>
      <extLst>
        <ext uri="{3e2802c4-a4d2-4d8b-9148-e3be6c30e623}">
          <xlrd:rvb i="10383"/>
        </ext>
      </extLst>
    </bk>
    <bk>
      <extLst>
        <ext uri="{3e2802c4-a4d2-4d8b-9148-e3be6c30e623}">
          <xlrd:rvb i="10384"/>
        </ext>
      </extLst>
    </bk>
    <bk>
      <extLst>
        <ext uri="{3e2802c4-a4d2-4d8b-9148-e3be6c30e623}">
          <xlrd:rvb i="10385"/>
        </ext>
      </extLst>
    </bk>
    <bk>
      <extLst>
        <ext uri="{3e2802c4-a4d2-4d8b-9148-e3be6c30e623}">
          <xlrd:rvb i="10386"/>
        </ext>
      </extLst>
    </bk>
    <bk>
      <extLst>
        <ext uri="{3e2802c4-a4d2-4d8b-9148-e3be6c30e623}">
          <xlrd:rvb i="10387"/>
        </ext>
      </extLst>
    </bk>
    <bk>
      <extLst>
        <ext uri="{3e2802c4-a4d2-4d8b-9148-e3be6c30e623}">
          <xlrd:rvb i="10388"/>
        </ext>
      </extLst>
    </bk>
    <bk>
      <extLst>
        <ext uri="{3e2802c4-a4d2-4d8b-9148-e3be6c30e623}">
          <xlrd:rvb i="10389"/>
        </ext>
      </extLst>
    </bk>
    <bk>
      <extLst>
        <ext uri="{3e2802c4-a4d2-4d8b-9148-e3be6c30e623}">
          <xlrd:rvb i="10390"/>
        </ext>
      </extLst>
    </bk>
    <bk>
      <extLst>
        <ext uri="{3e2802c4-a4d2-4d8b-9148-e3be6c30e623}">
          <xlrd:rvb i="10391"/>
        </ext>
      </extLst>
    </bk>
    <bk>
      <extLst>
        <ext uri="{3e2802c4-a4d2-4d8b-9148-e3be6c30e623}">
          <xlrd:rvb i="10392"/>
        </ext>
      </extLst>
    </bk>
    <bk>
      <extLst>
        <ext uri="{3e2802c4-a4d2-4d8b-9148-e3be6c30e623}">
          <xlrd:rvb i="10393"/>
        </ext>
      </extLst>
    </bk>
    <bk>
      <extLst>
        <ext uri="{3e2802c4-a4d2-4d8b-9148-e3be6c30e623}">
          <xlrd:rvb i="10394"/>
        </ext>
      </extLst>
    </bk>
    <bk>
      <extLst>
        <ext uri="{3e2802c4-a4d2-4d8b-9148-e3be6c30e623}">
          <xlrd:rvb i="10395"/>
        </ext>
      </extLst>
    </bk>
    <bk>
      <extLst>
        <ext uri="{3e2802c4-a4d2-4d8b-9148-e3be6c30e623}">
          <xlrd:rvb i="10396"/>
        </ext>
      </extLst>
    </bk>
    <bk>
      <extLst>
        <ext uri="{3e2802c4-a4d2-4d8b-9148-e3be6c30e623}">
          <xlrd:rvb i="10397"/>
        </ext>
      </extLst>
    </bk>
    <bk>
      <extLst>
        <ext uri="{3e2802c4-a4d2-4d8b-9148-e3be6c30e623}">
          <xlrd:rvb i="10398"/>
        </ext>
      </extLst>
    </bk>
    <bk>
      <extLst>
        <ext uri="{3e2802c4-a4d2-4d8b-9148-e3be6c30e623}">
          <xlrd:rvb i="10399"/>
        </ext>
      </extLst>
    </bk>
    <bk>
      <extLst>
        <ext uri="{3e2802c4-a4d2-4d8b-9148-e3be6c30e623}">
          <xlrd:rvb i="10400"/>
        </ext>
      </extLst>
    </bk>
    <bk>
      <extLst>
        <ext uri="{3e2802c4-a4d2-4d8b-9148-e3be6c30e623}">
          <xlrd:rvb i="10401"/>
        </ext>
      </extLst>
    </bk>
    <bk>
      <extLst>
        <ext uri="{3e2802c4-a4d2-4d8b-9148-e3be6c30e623}">
          <xlrd:rvb i="10402"/>
        </ext>
      </extLst>
    </bk>
    <bk>
      <extLst>
        <ext uri="{3e2802c4-a4d2-4d8b-9148-e3be6c30e623}">
          <xlrd:rvb i="10403"/>
        </ext>
      </extLst>
    </bk>
    <bk>
      <extLst>
        <ext uri="{3e2802c4-a4d2-4d8b-9148-e3be6c30e623}">
          <xlrd:rvb i="10404"/>
        </ext>
      </extLst>
    </bk>
    <bk>
      <extLst>
        <ext uri="{3e2802c4-a4d2-4d8b-9148-e3be6c30e623}">
          <xlrd:rvb i="10405"/>
        </ext>
      </extLst>
    </bk>
    <bk>
      <extLst>
        <ext uri="{3e2802c4-a4d2-4d8b-9148-e3be6c30e623}">
          <xlrd:rvb i="10406"/>
        </ext>
      </extLst>
    </bk>
    <bk>
      <extLst>
        <ext uri="{3e2802c4-a4d2-4d8b-9148-e3be6c30e623}">
          <xlrd:rvb i="10407"/>
        </ext>
      </extLst>
    </bk>
    <bk>
      <extLst>
        <ext uri="{3e2802c4-a4d2-4d8b-9148-e3be6c30e623}">
          <xlrd:rvb i="10408"/>
        </ext>
      </extLst>
    </bk>
    <bk>
      <extLst>
        <ext uri="{3e2802c4-a4d2-4d8b-9148-e3be6c30e623}">
          <xlrd:rvb i="10409"/>
        </ext>
      </extLst>
    </bk>
    <bk>
      <extLst>
        <ext uri="{3e2802c4-a4d2-4d8b-9148-e3be6c30e623}">
          <xlrd:rvb i="10410"/>
        </ext>
      </extLst>
    </bk>
    <bk>
      <extLst>
        <ext uri="{3e2802c4-a4d2-4d8b-9148-e3be6c30e623}">
          <xlrd:rvb i="10411"/>
        </ext>
      </extLst>
    </bk>
    <bk>
      <extLst>
        <ext uri="{3e2802c4-a4d2-4d8b-9148-e3be6c30e623}">
          <xlrd:rvb i="10412"/>
        </ext>
      </extLst>
    </bk>
    <bk>
      <extLst>
        <ext uri="{3e2802c4-a4d2-4d8b-9148-e3be6c30e623}">
          <xlrd:rvb i="10413"/>
        </ext>
      </extLst>
    </bk>
    <bk>
      <extLst>
        <ext uri="{3e2802c4-a4d2-4d8b-9148-e3be6c30e623}">
          <xlrd:rvb i="10414"/>
        </ext>
      </extLst>
    </bk>
    <bk>
      <extLst>
        <ext uri="{3e2802c4-a4d2-4d8b-9148-e3be6c30e623}">
          <xlrd:rvb i="10415"/>
        </ext>
      </extLst>
    </bk>
    <bk>
      <extLst>
        <ext uri="{3e2802c4-a4d2-4d8b-9148-e3be6c30e623}">
          <xlrd:rvb i="10416"/>
        </ext>
      </extLst>
    </bk>
    <bk>
      <extLst>
        <ext uri="{3e2802c4-a4d2-4d8b-9148-e3be6c30e623}">
          <xlrd:rvb i="10417"/>
        </ext>
      </extLst>
    </bk>
    <bk>
      <extLst>
        <ext uri="{3e2802c4-a4d2-4d8b-9148-e3be6c30e623}">
          <xlrd:rvb i="10418"/>
        </ext>
      </extLst>
    </bk>
    <bk>
      <extLst>
        <ext uri="{3e2802c4-a4d2-4d8b-9148-e3be6c30e623}">
          <xlrd:rvb i="10419"/>
        </ext>
      </extLst>
    </bk>
    <bk>
      <extLst>
        <ext uri="{3e2802c4-a4d2-4d8b-9148-e3be6c30e623}">
          <xlrd:rvb i="10420"/>
        </ext>
      </extLst>
    </bk>
    <bk>
      <extLst>
        <ext uri="{3e2802c4-a4d2-4d8b-9148-e3be6c30e623}">
          <xlrd:rvb i="10421"/>
        </ext>
      </extLst>
    </bk>
    <bk>
      <extLst>
        <ext uri="{3e2802c4-a4d2-4d8b-9148-e3be6c30e623}">
          <xlrd:rvb i="10422"/>
        </ext>
      </extLst>
    </bk>
    <bk>
      <extLst>
        <ext uri="{3e2802c4-a4d2-4d8b-9148-e3be6c30e623}">
          <xlrd:rvb i="10423"/>
        </ext>
      </extLst>
    </bk>
    <bk>
      <extLst>
        <ext uri="{3e2802c4-a4d2-4d8b-9148-e3be6c30e623}">
          <xlrd:rvb i="10424"/>
        </ext>
      </extLst>
    </bk>
    <bk>
      <extLst>
        <ext uri="{3e2802c4-a4d2-4d8b-9148-e3be6c30e623}">
          <xlrd:rvb i="10425"/>
        </ext>
      </extLst>
    </bk>
    <bk>
      <extLst>
        <ext uri="{3e2802c4-a4d2-4d8b-9148-e3be6c30e623}">
          <xlrd:rvb i="10426"/>
        </ext>
      </extLst>
    </bk>
    <bk>
      <extLst>
        <ext uri="{3e2802c4-a4d2-4d8b-9148-e3be6c30e623}">
          <xlrd:rvb i="10427"/>
        </ext>
      </extLst>
    </bk>
    <bk>
      <extLst>
        <ext uri="{3e2802c4-a4d2-4d8b-9148-e3be6c30e623}">
          <xlrd:rvb i="10428"/>
        </ext>
      </extLst>
    </bk>
    <bk>
      <extLst>
        <ext uri="{3e2802c4-a4d2-4d8b-9148-e3be6c30e623}">
          <xlrd:rvb i="10429"/>
        </ext>
      </extLst>
    </bk>
    <bk>
      <extLst>
        <ext uri="{3e2802c4-a4d2-4d8b-9148-e3be6c30e623}">
          <xlrd:rvb i="10430"/>
        </ext>
      </extLst>
    </bk>
    <bk>
      <extLst>
        <ext uri="{3e2802c4-a4d2-4d8b-9148-e3be6c30e623}">
          <xlrd:rvb i="10431"/>
        </ext>
      </extLst>
    </bk>
    <bk>
      <extLst>
        <ext uri="{3e2802c4-a4d2-4d8b-9148-e3be6c30e623}">
          <xlrd:rvb i="10432"/>
        </ext>
      </extLst>
    </bk>
    <bk>
      <extLst>
        <ext uri="{3e2802c4-a4d2-4d8b-9148-e3be6c30e623}">
          <xlrd:rvb i="10433"/>
        </ext>
      </extLst>
    </bk>
    <bk>
      <extLst>
        <ext uri="{3e2802c4-a4d2-4d8b-9148-e3be6c30e623}">
          <xlrd:rvb i="10434"/>
        </ext>
      </extLst>
    </bk>
    <bk>
      <extLst>
        <ext uri="{3e2802c4-a4d2-4d8b-9148-e3be6c30e623}">
          <xlrd:rvb i="10435"/>
        </ext>
      </extLst>
    </bk>
    <bk>
      <extLst>
        <ext uri="{3e2802c4-a4d2-4d8b-9148-e3be6c30e623}">
          <xlrd:rvb i="10436"/>
        </ext>
      </extLst>
    </bk>
    <bk>
      <extLst>
        <ext uri="{3e2802c4-a4d2-4d8b-9148-e3be6c30e623}">
          <xlrd:rvb i="10437"/>
        </ext>
      </extLst>
    </bk>
    <bk>
      <extLst>
        <ext uri="{3e2802c4-a4d2-4d8b-9148-e3be6c30e623}">
          <xlrd:rvb i="10438"/>
        </ext>
      </extLst>
    </bk>
    <bk>
      <extLst>
        <ext uri="{3e2802c4-a4d2-4d8b-9148-e3be6c30e623}">
          <xlrd:rvb i="10439"/>
        </ext>
      </extLst>
    </bk>
    <bk>
      <extLst>
        <ext uri="{3e2802c4-a4d2-4d8b-9148-e3be6c30e623}">
          <xlrd:rvb i="10440"/>
        </ext>
      </extLst>
    </bk>
    <bk>
      <extLst>
        <ext uri="{3e2802c4-a4d2-4d8b-9148-e3be6c30e623}">
          <xlrd:rvb i="10441"/>
        </ext>
      </extLst>
    </bk>
    <bk>
      <extLst>
        <ext uri="{3e2802c4-a4d2-4d8b-9148-e3be6c30e623}">
          <xlrd:rvb i="10442"/>
        </ext>
      </extLst>
    </bk>
    <bk>
      <extLst>
        <ext uri="{3e2802c4-a4d2-4d8b-9148-e3be6c30e623}">
          <xlrd:rvb i="10443"/>
        </ext>
      </extLst>
    </bk>
    <bk>
      <extLst>
        <ext uri="{3e2802c4-a4d2-4d8b-9148-e3be6c30e623}">
          <xlrd:rvb i="10444"/>
        </ext>
      </extLst>
    </bk>
    <bk>
      <extLst>
        <ext uri="{3e2802c4-a4d2-4d8b-9148-e3be6c30e623}">
          <xlrd:rvb i="10445"/>
        </ext>
      </extLst>
    </bk>
    <bk>
      <extLst>
        <ext uri="{3e2802c4-a4d2-4d8b-9148-e3be6c30e623}">
          <xlrd:rvb i="10446"/>
        </ext>
      </extLst>
    </bk>
    <bk>
      <extLst>
        <ext uri="{3e2802c4-a4d2-4d8b-9148-e3be6c30e623}">
          <xlrd:rvb i="10447"/>
        </ext>
      </extLst>
    </bk>
    <bk>
      <extLst>
        <ext uri="{3e2802c4-a4d2-4d8b-9148-e3be6c30e623}">
          <xlrd:rvb i="10448"/>
        </ext>
      </extLst>
    </bk>
    <bk>
      <extLst>
        <ext uri="{3e2802c4-a4d2-4d8b-9148-e3be6c30e623}">
          <xlrd:rvb i="10449"/>
        </ext>
      </extLst>
    </bk>
    <bk>
      <extLst>
        <ext uri="{3e2802c4-a4d2-4d8b-9148-e3be6c30e623}">
          <xlrd:rvb i="10450"/>
        </ext>
      </extLst>
    </bk>
    <bk>
      <extLst>
        <ext uri="{3e2802c4-a4d2-4d8b-9148-e3be6c30e623}">
          <xlrd:rvb i="10451"/>
        </ext>
      </extLst>
    </bk>
    <bk>
      <extLst>
        <ext uri="{3e2802c4-a4d2-4d8b-9148-e3be6c30e623}">
          <xlrd:rvb i="10452"/>
        </ext>
      </extLst>
    </bk>
    <bk>
      <extLst>
        <ext uri="{3e2802c4-a4d2-4d8b-9148-e3be6c30e623}">
          <xlrd:rvb i="10453"/>
        </ext>
      </extLst>
    </bk>
    <bk>
      <extLst>
        <ext uri="{3e2802c4-a4d2-4d8b-9148-e3be6c30e623}">
          <xlrd:rvb i="10454"/>
        </ext>
      </extLst>
    </bk>
    <bk>
      <extLst>
        <ext uri="{3e2802c4-a4d2-4d8b-9148-e3be6c30e623}">
          <xlrd:rvb i="10455"/>
        </ext>
      </extLst>
    </bk>
    <bk>
      <extLst>
        <ext uri="{3e2802c4-a4d2-4d8b-9148-e3be6c30e623}">
          <xlrd:rvb i="10456"/>
        </ext>
      </extLst>
    </bk>
    <bk>
      <extLst>
        <ext uri="{3e2802c4-a4d2-4d8b-9148-e3be6c30e623}">
          <xlrd:rvb i="10457"/>
        </ext>
      </extLst>
    </bk>
    <bk>
      <extLst>
        <ext uri="{3e2802c4-a4d2-4d8b-9148-e3be6c30e623}">
          <xlrd:rvb i="10458"/>
        </ext>
      </extLst>
    </bk>
    <bk>
      <extLst>
        <ext uri="{3e2802c4-a4d2-4d8b-9148-e3be6c30e623}">
          <xlrd:rvb i="10459"/>
        </ext>
      </extLst>
    </bk>
    <bk>
      <extLst>
        <ext uri="{3e2802c4-a4d2-4d8b-9148-e3be6c30e623}">
          <xlrd:rvb i="10460"/>
        </ext>
      </extLst>
    </bk>
    <bk>
      <extLst>
        <ext uri="{3e2802c4-a4d2-4d8b-9148-e3be6c30e623}">
          <xlrd:rvb i="10461"/>
        </ext>
      </extLst>
    </bk>
    <bk>
      <extLst>
        <ext uri="{3e2802c4-a4d2-4d8b-9148-e3be6c30e623}">
          <xlrd:rvb i="10462"/>
        </ext>
      </extLst>
    </bk>
    <bk>
      <extLst>
        <ext uri="{3e2802c4-a4d2-4d8b-9148-e3be6c30e623}">
          <xlrd:rvb i="10463"/>
        </ext>
      </extLst>
    </bk>
    <bk>
      <extLst>
        <ext uri="{3e2802c4-a4d2-4d8b-9148-e3be6c30e623}">
          <xlrd:rvb i="10464"/>
        </ext>
      </extLst>
    </bk>
    <bk>
      <extLst>
        <ext uri="{3e2802c4-a4d2-4d8b-9148-e3be6c30e623}">
          <xlrd:rvb i="10465"/>
        </ext>
      </extLst>
    </bk>
    <bk>
      <extLst>
        <ext uri="{3e2802c4-a4d2-4d8b-9148-e3be6c30e623}">
          <xlrd:rvb i="10466"/>
        </ext>
      </extLst>
    </bk>
    <bk>
      <extLst>
        <ext uri="{3e2802c4-a4d2-4d8b-9148-e3be6c30e623}">
          <xlrd:rvb i="10467"/>
        </ext>
      </extLst>
    </bk>
    <bk>
      <extLst>
        <ext uri="{3e2802c4-a4d2-4d8b-9148-e3be6c30e623}">
          <xlrd:rvb i="10468"/>
        </ext>
      </extLst>
    </bk>
    <bk>
      <extLst>
        <ext uri="{3e2802c4-a4d2-4d8b-9148-e3be6c30e623}">
          <xlrd:rvb i="10469"/>
        </ext>
      </extLst>
    </bk>
    <bk>
      <extLst>
        <ext uri="{3e2802c4-a4d2-4d8b-9148-e3be6c30e623}">
          <xlrd:rvb i="10470"/>
        </ext>
      </extLst>
    </bk>
    <bk>
      <extLst>
        <ext uri="{3e2802c4-a4d2-4d8b-9148-e3be6c30e623}">
          <xlrd:rvb i="10471"/>
        </ext>
      </extLst>
    </bk>
    <bk>
      <extLst>
        <ext uri="{3e2802c4-a4d2-4d8b-9148-e3be6c30e623}">
          <xlrd:rvb i="10472"/>
        </ext>
      </extLst>
    </bk>
    <bk>
      <extLst>
        <ext uri="{3e2802c4-a4d2-4d8b-9148-e3be6c30e623}">
          <xlrd:rvb i="10473"/>
        </ext>
      </extLst>
    </bk>
    <bk>
      <extLst>
        <ext uri="{3e2802c4-a4d2-4d8b-9148-e3be6c30e623}">
          <xlrd:rvb i="10474"/>
        </ext>
      </extLst>
    </bk>
    <bk>
      <extLst>
        <ext uri="{3e2802c4-a4d2-4d8b-9148-e3be6c30e623}">
          <xlrd:rvb i="10475"/>
        </ext>
      </extLst>
    </bk>
    <bk>
      <extLst>
        <ext uri="{3e2802c4-a4d2-4d8b-9148-e3be6c30e623}">
          <xlrd:rvb i="10476"/>
        </ext>
      </extLst>
    </bk>
    <bk>
      <extLst>
        <ext uri="{3e2802c4-a4d2-4d8b-9148-e3be6c30e623}">
          <xlrd:rvb i="10477"/>
        </ext>
      </extLst>
    </bk>
    <bk>
      <extLst>
        <ext uri="{3e2802c4-a4d2-4d8b-9148-e3be6c30e623}">
          <xlrd:rvb i="10478"/>
        </ext>
      </extLst>
    </bk>
    <bk>
      <extLst>
        <ext uri="{3e2802c4-a4d2-4d8b-9148-e3be6c30e623}">
          <xlrd:rvb i="10479"/>
        </ext>
      </extLst>
    </bk>
    <bk>
      <extLst>
        <ext uri="{3e2802c4-a4d2-4d8b-9148-e3be6c30e623}">
          <xlrd:rvb i="10480"/>
        </ext>
      </extLst>
    </bk>
    <bk>
      <extLst>
        <ext uri="{3e2802c4-a4d2-4d8b-9148-e3be6c30e623}">
          <xlrd:rvb i="10481"/>
        </ext>
      </extLst>
    </bk>
    <bk>
      <extLst>
        <ext uri="{3e2802c4-a4d2-4d8b-9148-e3be6c30e623}">
          <xlrd:rvb i="10482"/>
        </ext>
      </extLst>
    </bk>
    <bk>
      <extLst>
        <ext uri="{3e2802c4-a4d2-4d8b-9148-e3be6c30e623}">
          <xlrd:rvb i="10483"/>
        </ext>
      </extLst>
    </bk>
    <bk>
      <extLst>
        <ext uri="{3e2802c4-a4d2-4d8b-9148-e3be6c30e623}">
          <xlrd:rvb i="10484"/>
        </ext>
      </extLst>
    </bk>
    <bk>
      <extLst>
        <ext uri="{3e2802c4-a4d2-4d8b-9148-e3be6c30e623}">
          <xlrd:rvb i="10485"/>
        </ext>
      </extLst>
    </bk>
    <bk>
      <extLst>
        <ext uri="{3e2802c4-a4d2-4d8b-9148-e3be6c30e623}">
          <xlrd:rvb i="10486"/>
        </ext>
      </extLst>
    </bk>
    <bk>
      <extLst>
        <ext uri="{3e2802c4-a4d2-4d8b-9148-e3be6c30e623}">
          <xlrd:rvb i="10487"/>
        </ext>
      </extLst>
    </bk>
    <bk>
      <extLst>
        <ext uri="{3e2802c4-a4d2-4d8b-9148-e3be6c30e623}">
          <xlrd:rvb i="10488"/>
        </ext>
      </extLst>
    </bk>
    <bk>
      <extLst>
        <ext uri="{3e2802c4-a4d2-4d8b-9148-e3be6c30e623}">
          <xlrd:rvb i="10489"/>
        </ext>
      </extLst>
    </bk>
    <bk>
      <extLst>
        <ext uri="{3e2802c4-a4d2-4d8b-9148-e3be6c30e623}">
          <xlrd:rvb i="10490"/>
        </ext>
      </extLst>
    </bk>
    <bk>
      <extLst>
        <ext uri="{3e2802c4-a4d2-4d8b-9148-e3be6c30e623}">
          <xlrd:rvb i="10491"/>
        </ext>
      </extLst>
    </bk>
    <bk>
      <extLst>
        <ext uri="{3e2802c4-a4d2-4d8b-9148-e3be6c30e623}">
          <xlrd:rvb i="10492"/>
        </ext>
      </extLst>
    </bk>
    <bk>
      <extLst>
        <ext uri="{3e2802c4-a4d2-4d8b-9148-e3be6c30e623}">
          <xlrd:rvb i="10493"/>
        </ext>
      </extLst>
    </bk>
    <bk>
      <extLst>
        <ext uri="{3e2802c4-a4d2-4d8b-9148-e3be6c30e623}">
          <xlrd:rvb i="10494"/>
        </ext>
      </extLst>
    </bk>
    <bk>
      <extLst>
        <ext uri="{3e2802c4-a4d2-4d8b-9148-e3be6c30e623}">
          <xlrd:rvb i="10495"/>
        </ext>
      </extLst>
    </bk>
    <bk>
      <extLst>
        <ext uri="{3e2802c4-a4d2-4d8b-9148-e3be6c30e623}">
          <xlrd:rvb i="10496"/>
        </ext>
      </extLst>
    </bk>
    <bk>
      <extLst>
        <ext uri="{3e2802c4-a4d2-4d8b-9148-e3be6c30e623}">
          <xlrd:rvb i="10497"/>
        </ext>
      </extLst>
    </bk>
    <bk>
      <extLst>
        <ext uri="{3e2802c4-a4d2-4d8b-9148-e3be6c30e623}">
          <xlrd:rvb i="10498"/>
        </ext>
      </extLst>
    </bk>
    <bk>
      <extLst>
        <ext uri="{3e2802c4-a4d2-4d8b-9148-e3be6c30e623}">
          <xlrd:rvb i="10499"/>
        </ext>
      </extLst>
    </bk>
    <bk>
      <extLst>
        <ext uri="{3e2802c4-a4d2-4d8b-9148-e3be6c30e623}">
          <xlrd:rvb i="10500"/>
        </ext>
      </extLst>
    </bk>
    <bk>
      <extLst>
        <ext uri="{3e2802c4-a4d2-4d8b-9148-e3be6c30e623}">
          <xlrd:rvb i="10501"/>
        </ext>
      </extLst>
    </bk>
    <bk>
      <extLst>
        <ext uri="{3e2802c4-a4d2-4d8b-9148-e3be6c30e623}">
          <xlrd:rvb i="10502"/>
        </ext>
      </extLst>
    </bk>
    <bk>
      <extLst>
        <ext uri="{3e2802c4-a4d2-4d8b-9148-e3be6c30e623}">
          <xlrd:rvb i="10503"/>
        </ext>
      </extLst>
    </bk>
    <bk>
      <extLst>
        <ext uri="{3e2802c4-a4d2-4d8b-9148-e3be6c30e623}">
          <xlrd:rvb i="10504"/>
        </ext>
      </extLst>
    </bk>
    <bk>
      <extLst>
        <ext uri="{3e2802c4-a4d2-4d8b-9148-e3be6c30e623}">
          <xlrd:rvb i="10505"/>
        </ext>
      </extLst>
    </bk>
    <bk>
      <extLst>
        <ext uri="{3e2802c4-a4d2-4d8b-9148-e3be6c30e623}">
          <xlrd:rvb i="10506"/>
        </ext>
      </extLst>
    </bk>
    <bk>
      <extLst>
        <ext uri="{3e2802c4-a4d2-4d8b-9148-e3be6c30e623}">
          <xlrd:rvb i="10507"/>
        </ext>
      </extLst>
    </bk>
    <bk>
      <extLst>
        <ext uri="{3e2802c4-a4d2-4d8b-9148-e3be6c30e623}">
          <xlrd:rvb i="10508"/>
        </ext>
      </extLst>
    </bk>
    <bk>
      <extLst>
        <ext uri="{3e2802c4-a4d2-4d8b-9148-e3be6c30e623}">
          <xlrd:rvb i="10509"/>
        </ext>
      </extLst>
    </bk>
    <bk>
      <extLst>
        <ext uri="{3e2802c4-a4d2-4d8b-9148-e3be6c30e623}">
          <xlrd:rvb i="10510"/>
        </ext>
      </extLst>
    </bk>
    <bk>
      <extLst>
        <ext uri="{3e2802c4-a4d2-4d8b-9148-e3be6c30e623}">
          <xlrd:rvb i="10511"/>
        </ext>
      </extLst>
    </bk>
    <bk>
      <extLst>
        <ext uri="{3e2802c4-a4d2-4d8b-9148-e3be6c30e623}">
          <xlrd:rvb i="10512"/>
        </ext>
      </extLst>
    </bk>
    <bk>
      <extLst>
        <ext uri="{3e2802c4-a4d2-4d8b-9148-e3be6c30e623}">
          <xlrd:rvb i="10513"/>
        </ext>
      </extLst>
    </bk>
    <bk>
      <extLst>
        <ext uri="{3e2802c4-a4d2-4d8b-9148-e3be6c30e623}">
          <xlrd:rvb i="10514"/>
        </ext>
      </extLst>
    </bk>
    <bk>
      <extLst>
        <ext uri="{3e2802c4-a4d2-4d8b-9148-e3be6c30e623}">
          <xlrd:rvb i="10515"/>
        </ext>
      </extLst>
    </bk>
    <bk>
      <extLst>
        <ext uri="{3e2802c4-a4d2-4d8b-9148-e3be6c30e623}">
          <xlrd:rvb i="10516"/>
        </ext>
      </extLst>
    </bk>
    <bk>
      <extLst>
        <ext uri="{3e2802c4-a4d2-4d8b-9148-e3be6c30e623}">
          <xlrd:rvb i="10517"/>
        </ext>
      </extLst>
    </bk>
    <bk>
      <extLst>
        <ext uri="{3e2802c4-a4d2-4d8b-9148-e3be6c30e623}">
          <xlrd:rvb i="10518"/>
        </ext>
      </extLst>
    </bk>
    <bk>
      <extLst>
        <ext uri="{3e2802c4-a4d2-4d8b-9148-e3be6c30e623}">
          <xlrd:rvb i="10519"/>
        </ext>
      </extLst>
    </bk>
    <bk>
      <extLst>
        <ext uri="{3e2802c4-a4d2-4d8b-9148-e3be6c30e623}">
          <xlrd:rvb i="10520"/>
        </ext>
      </extLst>
    </bk>
    <bk>
      <extLst>
        <ext uri="{3e2802c4-a4d2-4d8b-9148-e3be6c30e623}">
          <xlrd:rvb i="10521"/>
        </ext>
      </extLst>
    </bk>
    <bk>
      <extLst>
        <ext uri="{3e2802c4-a4d2-4d8b-9148-e3be6c30e623}">
          <xlrd:rvb i="10522"/>
        </ext>
      </extLst>
    </bk>
    <bk>
      <extLst>
        <ext uri="{3e2802c4-a4d2-4d8b-9148-e3be6c30e623}">
          <xlrd:rvb i="10523"/>
        </ext>
      </extLst>
    </bk>
    <bk>
      <extLst>
        <ext uri="{3e2802c4-a4d2-4d8b-9148-e3be6c30e623}">
          <xlrd:rvb i="10524"/>
        </ext>
      </extLst>
    </bk>
    <bk>
      <extLst>
        <ext uri="{3e2802c4-a4d2-4d8b-9148-e3be6c30e623}">
          <xlrd:rvb i="10525"/>
        </ext>
      </extLst>
    </bk>
    <bk>
      <extLst>
        <ext uri="{3e2802c4-a4d2-4d8b-9148-e3be6c30e623}">
          <xlrd:rvb i="10526"/>
        </ext>
      </extLst>
    </bk>
    <bk>
      <extLst>
        <ext uri="{3e2802c4-a4d2-4d8b-9148-e3be6c30e623}">
          <xlrd:rvb i="10527"/>
        </ext>
      </extLst>
    </bk>
    <bk>
      <extLst>
        <ext uri="{3e2802c4-a4d2-4d8b-9148-e3be6c30e623}">
          <xlrd:rvb i="10528"/>
        </ext>
      </extLst>
    </bk>
    <bk>
      <extLst>
        <ext uri="{3e2802c4-a4d2-4d8b-9148-e3be6c30e623}">
          <xlrd:rvb i="10529"/>
        </ext>
      </extLst>
    </bk>
    <bk>
      <extLst>
        <ext uri="{3e2802c4-a4d2-4d8b-9148-e3be6c30e623}">
          <xlrd:rvb i="10530"/>
        </ext>
      </extLst>
    </bk>
    <bk>
      <extLst>
        <ext uri="{3e2802c4-a4d2-4d8b-9148-e3be6c30e623}">
          <xlrd:rvb i="10531"/>
        </ext>
      </extLst>
    </bk>
    <bk>
      <extLst>
        <ext uri="{3e2802c4-a4d2-4d8b-9148-e3be6c30e623}">
          <xlrd:rvb i="10532"/>
        </ext>
      </extLst>
    </bk>
    <bk>
      <extLst>
        <ext uri="{3e2802c4-a4d2-4d8b-9148-e3be6c30e623}">
          <xlrd:rvb i="10533"/>
        </ext>
      </extLst>
    </bk>
    <bk>
      <extLst>
        <ext uri="{3e2802c4-a4d2-4d8b-9148-e3be6c30e623}">
          <xlrd:rvb i="10534"/>
        </ext>
      </extLst>
    </bk>
    <bk>
      <extLst>
        <ext uri="{3e2802c4-a4d2-4d8b-9148-e3be6c30e623}">
          <xlrd:rvb i="10535"/>
        </ext>
      </extLst>
    </bk>
    <bk>
      <extLst>
        <ext uri="{3e2802c4-a4d2-4d8b-9148-e3be6c30e623}">
          <xlrd:rvb i="10536"/>
        </ext>
      </extLst>
    </bk>
    <bk>
      <extLst>
        <ext uri="{3e2802c4-a4d2-4d8b-9148-e3be6c30e623}">
          <xlrd:rvb i="10537"/>
        </ext>
      </extLst>
    </bk>
    <bk>
      <extLst>
        <ext uri="{3e2802c4-a4d2-4d8b-9148-e3be6c30e623}">
          <xlrd:rvb i="10538"/>
        </ext>
      </extLst>
    </bk>
    <bk>
      <extLst>
        <ext uri="{3e2802c4-a4d2-4d8b-9148-e3be6c30e623}">
          <xlrd:rvb i="10539"/>
        </ext>
      </extLst>
    </bk>
    <bk>
      <extLst>
        <ext uri="{3e2802c4-a4d2-4d8b-9148-e3be6c30e623}">
          <xlrd:rvb i="10540"/>
        </ext>
      </extLst>
    </bk>
    <bk>
      <extLst>
        <ext uri="{3e2802c4-a4d2-4d8b-9148-e3be6c30e623}">
          <xlrd:rvb i="10541"/>
        </ext>
      </extLst>
    </bk>
    <bk>
      <extLst>
        <ext uri="{3e2802c4-a4d2-4d8b-9148-e3be6c30e623}">
          <xlrd:rvb i="10542"/>
        </ext>
      </extLst>
    </bk>
    <bk>
      <extLst>
        <ext uri="{3e2802c4-a4d2-4d8b-9148-e3be6c30e623}">
          <xlrd:rvb i="10543"/>
        </ext>
      </extLst>
    </bk>
    <bk>
      <extLst>
        <ext uri="{3e2802c4-a4d2-4d8b-9148-e3be6c30e623}">
          <xlrd:rvb i="10544"/>
        </ext>
      </extLst>
    </bk>
    <bk>
      <extLst>
        <ext uri="{3e2802c4-a4d2-4d8b-9148-e3be6c30e623}">
          <xlrd:rvb i="10545"/>
        </ext>
      </extLst>
    </bk>
    <bk>
      <extLst>
        <ext uri="{3e2802c4-a4d2-4d8b-9148-e3be6c30e623}">
          <xlrd:rvb i="10546"/>
        </ext>
      </extLst>
    </bk>
    <bk>
      <extLst>
        <ext uri="{3e2802c4-a4d2-4d8b-9148-e3be6c30e623}">
          <xlrd:rvb i="10547"/>
        </ext>
      </extLst>
    </bk>
    <bk>
      <extLst>
        <ext uri="{3e2802c4-a4d2-4d8b-9148-e3be6c30e623}">
          <xlrd:rvb i="10548"/>
        </ext>
      </extLst>
    </bk>
    <bk>
      <extLst>
        <ext uri="{3e2802c4-a4d2-4d8b-9148-e3be6c30e623}">
          <xlrd:rvb i="10549"/>
        </ext>
      </extLst>
    </bk>
    <bk>
      <extLst>
        <ext uri="{3e2802c4-a4d2-4d8b-9148-e3be6c30e623}">
          <xlrd:rvb i="10550"/>
        </ext>
      </extLst>
    </bk>
    <bk>
      <extLst>
        <ext uri="{3e2802c4-a4d2-4d8b-9148-e3be6c30e623}">
          <xlrd:rvb i="10551"/>
        </ext>
      </extLst>
    </bk>
    <bk>
      <extLst>
        <ext uri="{3e2802c4-a4d2-4d8b-9148-e3be6c30e623}">
          <xlrd:rvb i="10552"/>
        </ext>
      </extLst>
    </bk>
    <bk>
      <extLst>
        <ext uri="{3e2802c4-a4d2-4d8b-9148-e3be6c30e623}">
          <xlrd:rvb i="10553"/>
        </ext>
      </extLst>
    </bk>
    <bk>
      <extLst>
        <ext uri="{3e2802c4-a4d2-4d8b-9148-e3be6c30e623}">
          <xlrd:rvb i="10554"/>
        </ext>
      </extLst>
    </bk>
    <bk>
      <extLst>
        <ext uri="{3e2802c4-a4d2-4d8b-9148-e3be6c30e623}">
          <xlrd:rvb i="10555"/>
        </ext>
      </extLst>
    </bk>
    <bk>
      <extLst>
        <ext uri="{3e2802c4-a4d2-4d8b-9148-e3be6c30e623}">
          <xlrd:rvb i="10556"/>
        </ext>
      </extLst>
    </bk>
    <bk>
      <extLst>
        <ext uri="{3e2802c4-a4d2-4d8b-9148-e3be6c30e623}">
          <xlrd:rvb i="10557"/>
        </ext>
      </extLst>
    </bk>
    <bk>
      <extLst>
        <ext uri="{3e2802c4-a4d2-4d8b-9148-e3be6c30e623}">
          <xlrd:rvb i="10558"/>
        </ext>
      </extLst>
    </bk>
    <bk>
      <extLst>
        <ext uri="{3e2802c4-a4d2-4d8b-9148-e3be6c30e623}">
          <xlrd:rvb i="10559"/>
        </ext>
      </extLst>
    </bk>
    <bk>
      <extLst>
        <ext uri="{3e2802c4-a4d2-4d8b-9148-e3be6c30e623}">
          <xlrd:rvb i="10560"/>
        </ext>
      </extLst>
    </bk>
    <bk>
      <extLst>
        <ext uri="{3e2802c4-a4d2-4d8b-9148-e3be6c30e623}">
          <xlrd:rvb i="10561"/>
        </ext>
      </extLst>
    </bk>
    <bk>
      <extLst>
        <ext uri="{3e2802c4-a4d2-4d8b-9148-e3be6c30e623}">
          <xlrd:rvb i="10562"/>
        </ext>
      </extLst>
    </bk>
    <bk>
      <extLst>
        <ext uri="{3e2802c4-a4d2-4d8b-9148-e3be6c30e623}">
          <xlrd:rvb i="10563"/>
        </ext>
      </extLst>
    </bk>
    <bk>
      <extLst>
        <ext uri="{3e2802c4-a4d2-4d8b-9148-e3be6c30e623}">
          <xlrd:rvb i="10564"/>
        </ext>
      </extLst>
    </bk>
    <bk>
      <extLst>
        <ext uri="{3e2802c4-a4d2-4d8b-9148-e3be6c30e623}">
          <xlrd:rvb i="10565"/>
        </ext>
      </extLst>
    </bk>
    <bk>
      <extLst>
        <ext uri="{3e2802c4-a4d2-4d8b-9148-e3be6c30e623}">
          <xlrd:rvb i="10566"/>
        </ext>
      </extLst>
    </bk>
    <bk>
      <extLst>
        <ext uri="{3e2802c4-a4d2-4d8b-9148-e3be6c30e623}">
          <xlrd:rvb i="10567"/>
        </ext>
      </extLst>
    </bk>
    <bk>
      <extLst>
        <ext uri="{3e2802c4-a4d2-4d8b-9148-e3be6c30e623}">
          <xlrd:rvb i="10568"/>
        </ext>
      </extLst>
    </bk>
    <bk>
      <extLst>
        <ext uri="{3e2802c4-a4d2-4d8b-9148-e3be6c30e623}">
          <xlrd:rvb i="10569"/>
        </ext>
      </extLst>
    </bk>
    <bk>
      <extLst>
        <ext uri="{3e2802c4-a4d2-4d8b-9148-e3be6c30e623}">
          <xlrd:rvb i="10570"/>
        </ext>
      </extLst>
    </bk>
    <bk>
      <extLst>
        <ext uri="{3e2802c4-a4d2-4d8b-9148-e3be6c30e623}">
          <xlrd:rvb i="10571"/>
        </ext>
      </extLst>
    </bk>
    <bk>
      <extLst>
        <ext uri="{3e2802c4-a4d2-4d8b-9148-e3be6c30e623}">
          <xlrd:rvb i="10572"/>
        </ext>
      </extLst>
    </bk>
    <bk>
      <extLst>
        <ext uri="{3e2802c4-a4d2-4d8b-9148-e3be6c30e623}">
          <xlrd:rvb i="10573"/>
        </ext>
      </extLst>
    </bk>
    <bk>
      <extLst>
        <ext uri="{3e2802c4-a4d2-4d8b-9148-e3be6c30e623}">
          <xlrd:rvb i="10574"/>
        </ext>
      </extLst>
    </bk>
    <bk>
      <extLst>
        <ext uri="{3e2802c4-a4d2-4d8b-9148-e3be6c30e623}">
          <xlrd:rvb i="10575"/>
        </ext>
      </extLst>
    </bk>
    <bk>
      <extLst>
        <ext uri="{3e2802c4-a4d2-4d8b-9148-e3be6c30e623}">
          <xlrd:rvb i="10576"/>
        </ext>
      </extLst>
    </bk>
    <bk>
      <extLst>
        <ext uri="{3e2802c4-a4d2-4d8b-9148-e3be6c30e623}">
          <xlrd:rvb i="10577"/>
        </ext>
      </extLst>
    </bk>
    <bk>
      <extLst>
        <ext uri="{3e2802c4-a4d2-4d8b-9148-e3be6c30e623}">
          <xlrd:rvb i="10578"/>
        </ext>
      </extLst>
    </bk>
    <bk>
      <extLst>
        <ext uri="{3e2802c4-a4d2-4d8b-9148-e3be6c30e623}">
          <xlrd:rvb i="10579"/>
        </ext>
      </extLst>
    </bk>
    <bk>
      <extLst>
        <ext uri="{3e2802c4-a4d2-4d8b-9148-e3be6c30e623}">
          <xlrd:rvb i="10580"/>
        </ext>
      </extLst>
    </bk>
    <bk>
      <extLst>
        <ext uri="{3e2802c4-a4d2-4d8b-9148-e3be6c30e623}">
          <xlrd:rvb i="10581"/>
        </ext>
      </extLst>
    </bk>
    <bk>
      <extLst>
        <ext uri="{3e2802c4-a4d2-4d8b-9148-e3be6c30e623}">
          <xlrd:rvb i="10582"/>
        </ext>
      </extLst>
    </bk>
    <bk>
      <extLst>
        <ext uri="{3e2802c4-a4d2-4d8b-9148-e3be6c30e623}">
          <xlrd:rvb i="10583"/>
        </ext>
      </extLst>
    </bk>
    <bk>
      <extLst>
        <ext uri="{3e2802c4-a4d2-4d8b-9148-e3be6c30e623}">
          <xlrd:rvb i="10584"/>
        </ext>
      </extLst>
    </bk>
    <bk>
      <extLst>
        <ext uri="{3e2802c4-a4d2-4d8b-9148-e3be6c30e623}">
          <xlrd:rvb i="10585"/>
        </ext>
      </extLst>
    </bk>
    <bk>
      <extLst>
        <ext uri="{3e2802c4-a4d2-4d8b-9148-e3be6c30e623}">
          <xlrd:rvb i="10586"/>
        </ext>
      </extLst>
    </bk>
    <bk>
      <extLst>
        <ext uri="{3e2802c4-a4d2-4d8b-9148-e3be6c30e623}">
          <xlrd:rvb i="10587"/>
        </ext>
      </extLst>
    </bk>
    <bk>
      <extLst>
        <ext uri="{3e2802c4-a4d2-4d8b-9148-e3be6c30e623}">
          <xlrd:rvb i="10588"/>
        </ext>
      </extLst>
    </bk>
    <bk>
      <extLst>
        <ext uri="{3e2802c4-a4d2-4d8b-9148-e3be6c30e623}">
          <xlrd:rvb i="10589"/>
        </ext>
      </extLst>
    </bk>
    <bk>
      <extLst>
        <ext uri="{3e2802c4-a4d2-4d8b-9148-e3be6c30e623}">
          <xlrd:rvb i="10590"/>
        </ext>
      </extLst>
    </bk>
    <bk>
      <extLst>
        <ext uri="{3e2802c4-a4d2-4d8b-9148-e3be6c30e623}">
          <xlrd:rvb i="10591"/>
        </ext>
      </extLst>
    </bk>
    <bk>
      <extLst>
        <ext uri="{3e2802c4-a4d2-4d8b-9148-e3be6c30e623}">
          <xlrd:rvb i="10592"/>
        </ext>
      </extLst>
    </bk>
    <bk>
      <extLst>
        <ext uri="{3e2802c4-a4d2-4d8b-9148-e3be6c30e623}">
          <xlrd:rvb i="10593"/>
        </ext>
      </extLst>
    </bk>
    <bk>
      <extLst>
        <ext uri="{3e2802c4-a4d2-4d8b-9148-e3be6c30e623}">
          <xlrd:rvb i="10594"/>
        </ext>
      </extLst>
    </bk>
    <bk>
      <extLst>
        <ext uri="{3e2802c4-a4d2-4d8b-9148-e3be6c30e623}">
          <xlrd:rvb i="10595"/>
        </ext>
      </extLst>
    </bk>
    <bk>
      <extLst>
        <ext uri="{3e2802c4-a4d2-4d8b-9148-e3be6c30e623}">
          <xlrd:rvb i="10596"/>
        </ext>
      </extLst>
    </bk>
    <bk>
      <extLst>
        <ext uri="{3e2802c4-a4d2-4d8b-9148-e3be6c30e623}">
          <xlrd:rvb i="10597"/>
        </ext>
      </extLst>
    </bk>
    <bk>
      <extLst>
        <ext uri="{3e2802c4-a4d2-4d8b-9148-e3be6c30e623}">
          <xlrd:rvb i="10598"/>
        </ext>
      </extLst>
    </bk>
    <bk>
      <extLst>
        <ext uri="{3e2802c4-a4d2-4d8b-9148-e3be6c30e623}">
          <xlrd:rvb i="10599"/>
        </ext>
      </extLst>
    </bk>
    <bk>
      <extLst>
        <ext uri="{3e2802c4-a4d2-4d8b-9148-e3be6c30e623}">
          <xlrd:rvb i="10600"/>
        </ext>
      </extLst>
    </bk>
    <bk>
      <extLst>
        <ext uri="{3e2802c4-a4d2-4d8b-9148-e3be6c30e623}">
          <xlrd:rvb i="10601"/>
        </ext>
      </extLst>
    </bk>
    <bk>
      <extLst>
        <ext uri="{3e2802c4-a4d2-4d8b-9148-e3be6c30e623}">
          <xlrd:rvb i="10602"/>
        </ext>
      </extLst>
    </bk>
    <bk>
      <extLst>
        <ext uri="{3e2802c4-a4d2-4d8b-9148-e3be6c30e623}">
          <xlrd:rvb i="10603"/>
        </ext>
      </extLst>
    </bk>
    <bk>
      <extLst>
        <ext uri="{3e2802c4-a4d2-4d8b-9148-e3be6c30e623}">
          <xlrd:rvb i="10604"/>
        </ext>
      </extLst>
    </bk>
    <bk>
      <extLst>
        <ext uri="{3e2802c4-a4d2-4d8b-9148-e3be6c30e623}">
          <xlrd:rvb i="10605"/>
        </ext>
      </extLst>
    </bk>
    <bk>
      <extLst>
        <ext uri="{3e2802c4-a4d2-4d8b-9148-e3be6c30e623}">
          <xlrd:rvb i="10606"/>
        </ext>
      </extLst>
    </bk>
    <bk>
      <extLst>
        <ext uri="{3e2802c4-a4d2-4d8b-9148-e3be6c30e623}">
          <xlrd:rvb i="10607"/>
        </ext>
      </extLst>
    </bk>
    <bk>
      <extLst>
        <ext uri="{3e2802c4-a4d2-4d8b-9148-e3be6c30e623}">
          <xlrd:rvb i="10608"/>
        </ext>
      </extLst>
    </bk>
    <bk>
      <extLst>
        <ext uri="{3e2802c4-a4d2-4d8b-9148-e3be6c30e623}">
          <xlrd:rvb i="10609"/>
        </ext>
      </extLst>
    </bk>
    <bk>
      <extLst>
        <ext uri="{3e2802c4-a4d2-4d8b-9148-e3be6c30e623}">
          <xlrd:rvb i="10610"/>
        </ext>
      </extLst>
    </bk>
    <bk>
      <extLst>
        <ext uri="{3e2802c4-a4d2-4d8b-9148-e3be6c30e623}">
          <xlrd:rvb i="10611"/>
        </ext>
      </extLst>
    </bk>
    <bk>
      <extLst>
        <ext uri="{3e2802c4-a4d2-4d8b-9148-e3be6c30e623}">
          <xlrd:rvb i="10612"/>
        </ext>
      </extLst>
    </bk>
    <bk>
      <extLst>
        <ext uri="{3e2802c4-a4d2-4d8b-9148-e3be6c30e623}">
          <xlrd:rvb i="10613"/>
        </ext>
      </extLst>
    </bk>
    <bk>
      <extLst>
        <ext uri="{3e2802c4-a4d2-4d8b-9148-e3be6c30e623}">
          <xlrd:rvb i="10614"/>
        </ext>
      </extLst>
    </bk>
    <bk>
      <extLst>
        <ext uri="{3e2802c4-a4d2-4d8b-9148-e3be6c30e623}">
          <xlrd:rvb i="10615"/>
        </ext>
      </extLst>
    </bk>
    <bk>
      <extLst>
        <ext uri="{3e2802c4-a4d2-4d8b-9148-e3be6c30e623}">
          <xlrd:rvb i="10616"/>
        </ext>
      </extLst>
    </bk>
    <bk>
      <extLst>
        <ext uri="{3e2802c4-a4d2-4d8b-9148-e3be6c30e623}">
          <xlrd:rvb i="10617"/>
        </ext>
      </extLst>
    </bk>
    <bk>
      <extLst>
        <ext uri="{3e2802c4-a4d2-4d8b-9148-e3be6c30e623}">
          <xlrd:rvb i="10618"/>
        </ext>
      </extLst>
    </bk>
    <bk>
      <extLst>
        <ext uri="{3e2802c4-a4d2-4d8b-9148-e3be6c30e623}">
          <xlrd:rvb i="10619"/>
        </ext>
      </extLst>
    </bk>
    <bk>
      <extLst>
        <ext uri="{3e2802c4-a4d2-4d8b-9148-e3be6c30e623}">
          <xlrd:rvb i="10620"/>
        </ext>
      </extLst>
    </bk>
    <bk>
      <extLst>
        <ext uri="{3e2802c4-a4d2-4d8b-9148-e3be6c30e623}">
          <xlrd:rvb i="10621"/>
        </ext>
      </extLst>
    </bk>
    <bk>
      <extLst>
        <ext uri="{3e2802c4-a4d2-4d8b-9148-e3be6c30e623}">
          <xlrd:rvb i="10622"/>
        </ext>
      </extLst>
    </bk>
    <bk>
      <extLst>
        <ext uri="{3e2802c4-a4d2-4d8b-9148-e3be6c30e623}">
          <xlrd:rvb i="10623"/>
        </ext>
      </extLst>
    </bk>
    <bk>
      <extLst>
        <ext uri="{3e2802c4-a4d2-4d8b-9148-e3be6c30e623}">
          <xlrd:rvb i="10624"/>
        </ext>
      </extLst>
    </bk>
    <bk>
      <extLst>
        <ext uri="{3e2802c4-a4d2-4d8b-9148-e3be6c30e623}">
          <xlrd:rvb i="10625"/>
        </ext>
      </extLst>
    </bk>
    <bk>
      <extLst>
        <ext uri="{3e2802c4-a4d2-4d8b-9148-e3be6c30e623}">
          <xlrd:rvb i="10626"/>
        </ext>
      </extLst>
    </bk>
    <bk>
      <extLst>
        <ext uri="{3e2802c4-a4d2-4d8b-9148-e3be6c30e623}">
          <xlrd:rvb i="10627"/>
        </ext>
      </extLst>
    </bk>
    <bk>
      <extLst>
        <ext uri="{3e2802c4-a4d2-4d8b-9148-e3be6c30e623}">
          <xlrd:rvb i="10628"/>
        </ext>
      </extLst>
    </bk>
    <bk>
      <extLst>
        <ext uri="{3e2802c4-a4d2-4d8b-9148-e3be6c30e623}">
          <xlrd:rvb i="10629"/>
        </ext>
      </extLst>
    </bk>
    <bk>
      <extLst>
        <ext uri="{3e2802c4-a4d2-4d8b-9148-e3be6c30e623}">
          <xlrd:rvb i="10630"/>
        </ext>
      </extLst>
    </bk>
    <bk>
      <extLst>
        <ext uri="{3e2802c4-a4d2-4d8b-9148-e3be6c30e623}">
          <xlrd:rvb i="10631"/>
        </ext>
      </extLst>
    </bk>
    <bk>
      <extLst>
        <ext uri="{3e2802c4-a4d2-4d8b-9148-e3be6c30e623}">
          <xlrd:rvb i="10632"/>
        </ext>
      </extLst>
    </bk>
    <bk>
      <extLst>
        <ext uri="{3e2802c4-a4d2-4d8b-9148-e3be6c30e623}">
          <xlrd:rvb i="10633"/>
        </ext>
      </extLst>
    </bk>
    <bk>
      <extLst>
        <ext uri="{3e2802c4-a4d2-4d8b-9148-e3be6c30e623}">
          <xlrd:rvb i="10634"/>
        </ext>
      </extLst>
    </bk>
    <bk>
      <extLst>
        <ext uri="{3e2802c4-a4d2-4d8b-9148-e3be6c30e623}">
          <xlrd:rvb i="10635"/>
        </ext>
      </extLst>
    </bk>
    <bk>
      <extLst>
        <ext uri="{3e2802c4-a4d2-4d8b-9148-e3be6c30e623}">
          <xlrd:rvb i="10636"/>
        </ext>
      </extLst>
    </bk>
    <bk>
      <extLst>
        <ext uri="{3e2802c4-a4d2-4d8b-9148-e3be6c30e623}">
          <xlrd:rvb i="10637"/>
        </ext>
      </extLst>
    </bk>
    <bk>
      <extLst>
        <ext uri="{3e2802c4-a4d2-4d8b-9148-e3be6c30e623}">
          <xlrd:rvb i="10638"/>
        </ext>
      </extLst>
    </bk>
    <bk>
      <extLst>
        <ext uri="{3e2802c4-a4d2-4d8b-9148-e3be6c30e623}">
          <xlrd:rvb i="10639"/>
        </ext>
      </extLst>
    </bk>
    <bk>
      <extLst>
        <ext uri="{3e2802c4-a4d2-4d8b-9148-e3be6c30e623}">
          <xlrd:rvb i="10640"/>
        </ext>
      </extLst>
    </bk>
    <bk>
      <extLst>
        <ext uri="{3e2802c4-a4d2-4d8b-9148-e3be6c30e623}">
          <xlrd:rvb i="10641"/>
        </ext>
      </extLst>
    </bk>
    <bk>
      <extLst>
        <ext uri="{3e2802c4-a4d2-4d8b-9148-e3be6c30e623}">
          <xlrd:rvb i="10642"/>
        </ext>
      </extLst>
    </bk>
    <bk>
      <extLst>
        <ext uri="{3e2802c4-a4d2-4d8b-9148-e3be6c30e623}">
          <xlrd:rvb i="10643"/>
        </ext>
      </extLst>
    </bk>
    <bk>
      <extLst>
        <ext uri="{3e2802c4-a4d2-4d8b-9148-e3be6c30e623}">
          <xlrd:rvb i="10644"/>
        </ext>
      </extLst>
    </bk>
    <bk>
      <extLst>
        <ext uri="{3e2802c4-a4d2-4d8b-9148-e3be6c30e623}">
          <xlrd:rvb i="10645"/>
        </ext>
      </extLst>
    </bk>
    <bk>
      <extLst>
        <ext uri="{3e2802c4-a4d2-4d8b-9148-e3be6c30e623}">
          <xlrd:rvb i="10646"/>
        </ext>
      </extLst>
    </bk>
    <bk>
      <extLst>
        <ext uri="{3e2802c4-a4d2-4d8b-9148-e3be6c30e623}">
          <xlrd:rvb i="10647"/>
        </ext>
      </extLst>
    </bk>
    <bk>
      <extLst>
        <ext uri="{3e2802c4-a4d2-4d8b-9148-e3be6c30e623}">
          <xlrd:rvb i="10648"/>
        </ext>
      </extLst>
    </bk>
    <bk>
      <extLst>
        <ext uri="{3e2802c4-a4d2-4d8b-9148-e3be6c30e623}">
          <xlrd:rvb i="10649"/>
        </ext>
      </extLst>
    </bk>
    <bk>
      <extLst>
        <ext uri="{3e2802c4-a4d2-4d8b-9148-e3be6c30e623}">
          <xlrd:rvb i="10650"/>
        </ext>
      </extLst>
    </bk>
    <bk>
      <extLst>
        <ext uri="{3e2802c4-a4d2-4d8b-9148-e3be6c30e623}">
          <xlrd:rvb i="10651"/>
        </ext>
      </extLst>
    </bk>
    <bk>
      <extLst>
        <ext uri="{3e2802c4-a4d2-4d8b-9148-e3be6c30e623}">
          <xlrd:rvb i="10652"/>
        </ext>
      </extLst>
    </bk>
    <bk>
      <extLst>
        <ext uri="{3e2802c4-a4d2-4d8b-9148-e3be6c30e623}">
          <xlrd:rvb i="10653"/>
        </ext>
      </extLst>
    </bk>
    <bk>
      <extLst>
        <ext uri="{3e2802c4-a4d2-4d8b-9148-e3be6c30e623}">
          <xlrd:rvb i="10654"/>
        </ext>
      </extLst>
    </bk>
    <bk>
      <extLst>
        <ext uri="{3e2802c4-a4d2-4d8b-9148-e3be6c30e623}">
          <xlrd:rvb i="10655"/>
        </ext>
      </extLst>
    </bk>
    <bk>
      <extLst>
        <ext uri="{3e2802c4-a4d2-4d8b-9148-e3be6c30e623}">
          <xlrd:rvb i="10656"/>
        </ext>
      </extLst>
    </bk>
    <bk>
      <extLst>
        <ext uri="{3e2802c4-a4d2-4d8b-9148-e3be6c30e623}">
          <xlrd:rvb i="10657"/>
        </ext>
      </extLst>
    </bk>
    <bk>
      <extLst>
        <ext uri="{3e2802c4-a4d2-4d8b-9148-e3be6c30e623}">
          <xlrd:rvb i="10658"/>
        </ext>
      </extLst>
    </bk>
    <bk>
      <extLst>
        <ext uri="{3e2802c4-a4d2-4d8b-9148-e3be6c30e623}">
          <xlrd:rvb i="10659"/>
        </ext>
      </extLst>
    </bk>
    <bk>
      <extLst>
        <ext uri="{3e2802c4-a4d2-4d8b-9148-e3be6c30e623}">
          <xlrd:rvb i="10660"/>
        </ext>
      </extLst>
    </bk>
    <bk>
      <extLst>
        <ext uri="{3e2802c4-a4d2-4d8b-9148-e3be6c30e623}">
          <xlrd:rvb i="10661"/>
        </ext>
      </extLst>
    </bk>
    <bk>
      <extLst>
        <ext uri="{3e2802c4-a4d2-4d8b-9148-e3be6c30e623}">
          <xlrd:rvb i="10662"/>
        </ext>
      </extLst>
    </bk>
    <bk>
      <extLst>
        <ext uri="{3e2802c4-a4d2-4d8b-9148-e3be6c30e623}">
          <xlrd:rvb i="10663"/>
        </ext>
      </extLst>
    </bk>
    <bk>
      <extLst>
        <ext uri="{3e2802c4-a4d2-4d8b-9148-e3be6c30e623}">
          <xlrd:rvb i="10664"/>
        </ext>
      </extLst>
    </bk>
    <bk>
      <extLst>
        <ext uri="{3e2802c4-a4d2-4d8b-9148-e3be6c30e623}">
          <xlrd:rvb i="10665"/>
        </ext>
      </extLst>
    </bk>
    <bk>
      <extLst>
        <ext uri="{3e2802c4-a4d2-4d8b-9148-e3be6c30e623}">
          <xlrd:rvb i="10666"/>
        </ext>
      </extLst>
    </bk>
    <bk>
      <extLst>
        <ext uri="{3e2802c4-a4d2-4d8b-9148-e3be6c30e623}">
          <xlrd:rvb i="10667"/>
        </ext>
      </extLst>
    </bk>
    <bk>
      <extLst>
        <ext uri="{3e2802c4-a4d2-4d8b-9148-e3be6c30e623}">
          <xlrd:rvb i="10668"/>
        </ext>
      </extLst>
    </bk>
    <bk>
      <extLst>
        <ext uri="{3e2802c4-a4d2-4d8b-9148-e3be6c30e623}">
          <xlrd:rvb i="10669"/>
        </ext>
      </extLst>
    </bk>
    <bk>
      <extLst>
        <ext uri="{3e2802c4-a4d2-4d8b-9148-e3be6c30e623}">
          <xlrd:rvb i="10670"/>
        </ext>
      </extLst>
    </bk>
    <bk>
      <extLst>
        <ext uri="{3e2802c4-a4d2-4d8b-9148-e3be6c30e623}">
          <xlrd:rvb i="10671"/>
        </ext>
      </extLst>
    </bk>
    <bk>
      <extLst>
        <ext uri="{3e2802c4-a4d2-4d8b-9148-e3be6c30e623}">
          <xlrd:rvb i="10672"/>
        </ext>
      </extLst>
    </bk>
    <bk>
      <extLst>
        <ext uri="{3e2802c4-a4d2-4d8b-9148-e3be6c30e623}">
          <xlrd:rvb i="10673"/>
        </ext>
      </extLst>
    </bk>
    <bk>
      <extLst>
        <ext uri="{3e2802c4-a4d2-4d8b-9148-e3be6c30e623}">
          <xlrd:rvb i="10674"/>
        </ext>
      </extLst>
    </bk>
    <bk>
      <extLst>
        <ext uri="{3e2802c4-a4d2-4d8b-9148-e3be6c30e623}">
          <xlrd:rvb i="10675"/>
        </ext>
      </extLst>
    </bk>
    <bk>
      <extLst>
        <ext uri="{3e2802c4-a4d2-4d8b-9148-e3be6c30e623}">
          <xlrd:rvb i="10676"/>
        </ext>
      </extLst>
    </bk>
    <bk>
      <extLst>
        <ext uri="{3e2802c4-a4d2-4d8b-9148-e3be6c30e623}">
          <xlrd:rvb i="10677"/>
        </ext>
      </extLst>
    </bk>
    <bk>
      <extLst>
        <ext uri="{3e2802c4-a4d2-4d8b-9148-e3be6c30e623}">
          <xlrd:rvb i="10678"/>
        </ext>
      </extLst>
    </bk>
    <bk>
      <extLst>
        <ext uri="{3e2802c4-a4d2-4d8b-9148-e3be6c30e623}">
          <xlrd:rvb i="10679"/>
        </ext>
      </extLst>
    </bk>
    <bk>
      <extLst>
        <ext uri="{3e2802c4-a4d2-4d8b-9148-e3be6c30e623}">
          <xlrd:rvb i="10680"/>
        </ext>
      </extLst>
    </bk>
    <bk>
      <extLst>
        <ext uri="{3e2802c4-a4d2-4d8b-9148-e3be6c30e623}">
          <xlrd:rvb i="10681"/>
        </ext>
      </extLst>
    </bk>
    <bk>
      <extLst>
        <ext uri="{3e2802c4-a4d2-4d8b-9148-e3be6c30e623}">
          <xlrd:rvb i="10682"/>
        </ext>
      </extLst>
    </bk>
    <bk>
      <extLst>
        <ext uri="{3e2802c4-a4d2-4d8b-9148-e3be6c30e623}">
          <xlrd:rvb i="10683"/>
        </ext>
      </extLst>
    </bk>
    <bk>
      <extLst>
        <ext uri="{3e2802c4-a4d2-4d8b-9148-e3be6c30e623}">
          <xlrd:rvb i="10684"/>
        </ext>
      </extLst>
    </bk>
    <bk>
      <extLst>
        <ext uri="{3e2802c4-a4d2-4d8b-9148-e3be6c30e623}">
          <xlrd:rvb i="10685"/>
        </ext>
      </extLst>
    </bk>
    <bk>
      <extLst>
        <ext uri="{3e2802c4-a4d2-4d8b-9148-e3be6c30e623}">
          <xlrd:rvb i="10686"/>
        </ext>
      </extLst>
    </bk>
    <bk>
      <extLst>
        <ext uri="{3e2802c4-a4d2-4d8b-9148-e3be6c30e623}">
          <xlrd:rvb i="10687"/>
        </ext>
      </extLst>
    </bk>
    <bk>
      <extLst>
        <ext uri="{3e2802c4-a4d2-4d8b-9148-e3be6c30e623}">
          <xlrd:rvb i="10688"/>
        </ext>
      </extLst>
    </bk>
    <bk>
      <extLst>
        <ext uri="{3e2802c4-a4d2-4d8b-9148-e3be6c30e623}">
          <xlrd:rvb i="10689"/>
        </ext>
      </extLst>
    </bk>
    <bk>
      <extLst>
        <ext uri="{3e2802c4-a4d2-4d8b-9148-e3be6c30e623}">
          <xlrd:rvb i="10690"/>
        </ext>
      </extLst>
    </bk>
    <bk>
      <extLst>
        <ext uri="{3e2802c4-a4d2-4d8b-9148-e3be6c30e623}">
          <xlrd:rvb i="10691"/>
        </ext>
      </extLst>
    </bk>
    <bk>
      <extLst>
        <ext uri="{3e2802c4-a4d2-4d8b-9148-e3be6c30e623}">
          <xlrd:rvb i="10692"/>
        </ext>
      </extLst>
    </bk>
    <bk>
      <extLst>
        <ext uri="{3e2802c4-a4d2-4d8b-9148-e3be6c30e623}">
          <xlrd:rvb i="10693"/>
        </ext>
      </extLst>
    </bk>
    <bk>
      <extLst>
        <ext uri="{3e2802c4-a4d2-4d8b-9148-e3be6c30e623}">
          <xlrd:rvb i="10694"/>
        </ext>
      </extLst>
    </bk>
    <bk>
      <extLst>
        <ext uri="{3e2802c4-a4d2-4d8b-9148-e3be6c30e623}">
          <xlrd:rvb i="10695"/>
        </ext>
      </extLst>
    </bk>
    <bk>
      <extLst>
        <ext uri="{3e2802c4-a4d2-4d8b-9148-e3be6c30e623}">
          <xlrd:rvb i="10696"/>
        </ext>
      </extLst>
    </bk>
    <bk>
      <extLst>
        <ext uri="{3e2802c4-a4d2-4d8b-9148-e3be6c30e623}">
          <xlrd:rvb i="10697"/>
        </ext>
      </extLst>
    </bk>
    <bk>
      <extLst>
        <ext uri="{3e2802c4-a4d2-4d8b-9148-e3be6c30e623}">
          <xlrd:rvb i="10698"/>
        </ext>
      </extLst>
    </bk>
    <bk>
      <extLst>
        <ext uri="{3e2802c4-a4d2-4d8b-9148-e3be6c30e623}">
          <xlrd:rvb i="10699"/>
        </ext>
      </extLst>
    </bk>
    <bk>
      <extLst>
        <ext uri="{3e2802c4-a4d2-4d8b-9148-e3be6c30e623}">
          <xlrd:rvb i="10700"/>
        </ext>
      </extLst>
    </bk>
    <bk>
      <extLst>
        <ext uri="{3e2802c4-a4d2-4d8b-9148-e3be6c30e623}">
          <xlrd:rvb i="10701"/>
        </ext>
      </extLst>
    </bk>
    <bk>
      <extLst>
        <ext uri="{3e2802c4-a4d2-4d8b-9148-e3be6c30e623}">
          <xlrd:rvb i="10702"/>
        </ext>
      </extLst>
    </bk>
    <bk>
      <extLst>
        <ext uri="{3e2802c4-a4d2-4d8b-9148-e3be6c30e623}">
          <xlrd:rvb i="10703"/>
        </ext>
      </extLst>
    </bk>
    <bk>
      <extLst>
        <ext uri="{3e2802c4-a4d2-4d8b-9148-e3be6c30e623}">
          <xlrd:rvb i="10704"/>
        </ext>
      </extLst>
    </bk>
    <bk>
      <extLst>
        <ext uri="{3e2802c4-a4d2-4d8b-9148-e3be6c30e623}">
          <xlrd:rvb i="10705"/>
        </ext>
      </extLst>
    </bk>
    <bk>
      <extLst>
        <ext uri="{3e2802c4-a4d2-4d8b-9148-e3be6c30e623}">
          <xlrd:rvb i="10706"/>
        </ext>
      </extLst>
    </bk>
    <bk>
      <extLst>
        <ext uri="{3e2802c4-a4d2-4d8b-9148-e3be6c30e623}">
          <xlrd:rvb i="10707"/>
        </ext>
      </extLst>
    </bk>
    <bk>
      <extLst>
        <ext uri="{3e2802c4-a4d2-4d8b-9148-e3be6c30e623}">
          <xlrd:rvb i="10708"/>
        </ext>
      </extLst>
    </bk>
    <bk>
      <extLst>
        <ext uri="{3e2802c4-a4d2-4d8b-9148-e3be6c30e623}">
          <xlrd:rvb i="10709"/>
        </ext>
      </extLst>
    </bk>
    <bk>
      <extLst>
        <ext uri="{3e2802c4-a4d2-4d8b-9148-e3be6c30e623}">
          <xlrd:rvb i="10710"/>
        </ext>
      </extLst>
    </bk>
    <bk>
      <extLst>
        <ext uri="{3e2802c4-a4d2-4d8b-9148-e3be6c30e623}">
          <xlrd:rvb i="10711"/>
        </ext>
      </extLst>
    </bk>
    <bk>
      <extLst>
        <ext uri="{3e2802c4-a4d2-4d8b-9148-e3be6c30e623}">
          <xlrd:rvb i="10712"/>
        </ext>
      </extLst>
    </bk>
    <bk>
      <extLst>
        <ext uri="{3e2802c4-a4d2-4d8b-9148-e3be6c30e623}">
          <xlrd:rvb i="10713"/>
        </ext>
      </extLst>
    </bk>
    <bk>
      <extLst>
        <ext uri="{3e2802c4-a4d2-4d8b-9148-e3be6c30e623}">
          <xlrd:rvb i="10714"/>
        </ext>
      </extLst>
    </bk>
    <bk>
      <extLst>
        <ext uri="{3e2802c4-a4d2-4d8b-9148-e3be6c30e623}">
          <xlrd:rvb i="10715"/>
        </ext>
      </extLst>
    </bk>
    <bk>
      <extLst>
        <ext uri="{3e2802c4-a4d2-4d8b-9148-e3be6c30e623}">
          <xlrd:rvb i="10716"/>
        </ext>
      </extLst>
    </bk>
    <bk>
      <extLst>
        <ext uri="{3e2802c4-a4d2-4d8b-9148-e3be6c30e623}">
          <xlrd:rvb i="10717"/>
        </ext>
      </extLst>
    </bk>
    <bk>
      <extLst>
        <ext uri="{3e2802c4-a4d2-4d8b-9148-e3be6c30e623}">
          <xlrd:rvb i="10718"/>
        </ext>
      </extLst>
    </bk>
    <bk>
      <extLst>
        <ext uri="{3e2802c4-a4d2-4d8b-9148-e3be6c30e623}">
          <xlrd:rvb i="10719"/>
        </ext>
      </extLst>
    </bk>
    <bk>
      <extLst>
        <ext uri="{3e2802c4-a4d2-4d8b-9148-e3be6c30e623}">
          <xlrd:rvb i="10720"/>
        </ext>
      </extLst>
    </bk>
    <bk>
      <extLst>
        <ext uri="{3e2802c4-a4d2-4d8b-9148-e3be6c30e623}">
          <xlrd:rvb i="10721"/>
        </ext>
      </extLst>
    </bk>
    <bk>
      <extLst>
        <ext uri="{3e2802c4-a4d2-4d8b-9148-e3be6c30e623}">
          <xlrd:rvb i="10722"/>
        </ext>
      </extLst>
    </bk>
    <bk>
      <extLst>
        <ext uri="{3e2802c4-a4d2-4d8b-9148-e3be6c30e623}">
          <xlrd:rvb i="10723"/>
        </ext>
      </extLst>
    </bk>
    <bk>
      <extLst>
        <ext uri="{3e2802c4-a4d2-4d8b-9148-e3be6c30e623}">
          <xlrd:rvb i="10724"/>
        </ext>
      </extLst>
    </bk>
    <bk>
      <extLst>
        <ext uri="{3e2802c4-a4d2-4d8b-9148-e3be6c30e623}">
          <xlrd:rvb i="10725"/>
        </ext>
      </extLst>
    </bk>
    <bk>
      <extLst>
        <ext uri="{3e2802c4-a4d2-4d8b-9148-e3be6c30e623}">
          <xlrd:rvb i="10726"/>
        </ext>
      </extLst>
    </bk>
    <bk>
      <extLst>
        <ext uri="{3e2802c4-a4d2-4d8b-9148-e3be6c30e623}">
          <xlrd:rvb i="10727"/>
        </ext>
      </extLst>
    </bk>
    <bk>
      <extLst>
        <ext uri="{3e2802c4-a4d2-4d8b-9148-e3be6c30e623}">
          <xlrd:rvb i="10728"/>
        </ext>
      </extLst>
    </bk>
    <bk>
      <extLst>
        <ext uri="{3e2802c4-a4d2-4d8b-9148-e3be6c30e623}">
          <xlrd:rvb i="10729"/>
        </ext>
      </extLst>
    </bk>
    <bk>
      <extLst>
        <ext uri="{3e2802c4-a4d2-4d8b-9148-e3be6c30e623}">
          <xlrd:rvb i="10730"/>
        </ext>
      </extLst>
    </bk>
    <bk>
      <extLst>
        <ext uri="{3e2802c4-a4d2-4d8b-9148-e3be6c30e623}">
          <xlrd:rvb i="10731"/>
        </ext>
      </extLst>
    </bk>
    <bk>
      <extLst>
        <ext uri="{3e2802c4-a4d2-4d8b-9148-e3be6c30e623}">
          <xlrd:rvb i="10732"/>
        </ext>
      </extLst>
    </bk>
    <bk>
      <extLst>
        <ext uri="{3e2802c4-a4d2-4d8b-9148-e3be6c30e623}">
          <xlrd:rvb i="10733"/>
        </ext>
      </extLst>
    </bk>
    <bk>
      <extLst>
        <ext uri="{3e2802c4-a4d2-4d8b-9148-e3be6c30e623}">
          <xlrd:rvb i="10734"/>
        </ext>
      </extLst>
    </bk>
    <bk>
      <extLst>
        <ext uri="{3e2802c4-a4d2-4d8b-9148-e3be6c30e623}">
          <xlrd:rvb i="10735"/>
        </ext>
      </extLst>
    </bk>
    <bk>
      <extLst>
        <ext uri="{3e2802c4-a4d2-4d8b-9148-e3be6c30e623}">
          <xlrd:rvb i="10736"/>
        </ext>
      </extLst>
    </bk>
    <bk>
      <extLst>
        <ext uri="{3e2802c4-a4d2-4d8b-9148-e3be6c30e623}">
          <xlrd:rvb i="10737"/>
        </ext>
      </extLst>
    </bk>
    <bk>
      <extLst>
        <ext uri="{3e2802c4-a4d2-4d8b-9148-e3be6c30e623}">
          <xlrd:rvb i="10738"/>
        </ext>
      </extLst>
    </bk>
    <bk>
      <extLst>
        <ext uri="{3e2802c4-a4d2-4d8b-9148-e3be6c30e623}">
          <xlrd:rvb i="10741"/>
        </ext>
      </extLst>
    </bk>
    <bk>
      <extLst>
        <ext uri="{3e2802c4-a4d2-4d8b-9148-e3be6c30e623}">
          <xlrd:rvb i="10742"/>
        </ext>
      </extLst>
    </bk>
    <bk>
      <extLst>
        <ext uri="{3e2802c4-a4d2-4d8b-9148-e3be6c30e623}">
          <xlrd:rvb i="10743"/>
        </ext>
      </extLst>
    </bk>
    <bk>
      <extLst>
        <ext uri="{3e2802c4-a4d2-4d8b-9148-e3be6c30e623}">
          <xlrd:rvb i="10744"/>
        </ext>
      </extLst>
    </bk>
    <bk>
      <extLst>
        <ext uri="{3e2802c4-a4d2-4d8b-9148-e3be6c30e623}">
          <xlrd:rvb i="10745"/>
        </ext>
      </extLst>
    </bk>
    <bk>
      <extLst>
        <ext uri="{3e2802c4-a4d2-4d8b-9148-e3be6c30e623}">
          <xlrd:rvb i="10746"/>
        </ext>
      </extLst>
    </bk>
    <bk>
      <extLst>
        <ext uri="{3e2802c4-a4d2-4d8b-9148-e3be6c30e623}">
          <xlrd:rvb i="10747"/>
        </ext>
      </extLst>
    </bk>
    <bk>
      <extLst>
        <ext uri="{3e2802c4-a4d2-4d8b-9148-e3be6c30e623}">
          <xlrd:rvb i="10748"/>
        </ext>
      </extLst>
    </bk>
    <bk>
      <extLst>
        <ext uri="{3e2802c4-a4d2-4d8b-9148-e3be6c30e623}">
          <xlrd:rvb i="10749"/>
        </ext>
      </extLst>
    </bk>
    <bk>
      <extLst>
        <ext uri="{3e2802c4-a4d2-4d8b-9148-e3be6c30e623}">
          <xlrd:rvb i="10750"/>
        </ext>
      </extLst>
    </bk>
    <bk>
      <extLst>
        <ext uri="{3e2802c4-a4d2-4d8b-9148-e3be6c30e623}">
          <xlrd:rvb i="10751"/>
        </ext>
      </extLst>
    </bk>
    <bk>
      <extLst>
        <ext uri="{3e2802c4-a4d2-4d8b-9148-e3be6c30e623}">
          <xlrd:rvb i="10752"/>
        </ext>
      </extLst>
    </bk>
    <bk>
      <extLst>
        <ext uri="{3e2802c4-a4d2-4d8b-9148-e3be6c30e623}">
          <xlrd:rvb i="10753"/>
        </ext>
      </extLst>
    </bk>
    <bk>
      <extLst>
        <ext uri="{3e2802c4-a4d2-4d8b-9148-e3be6c30e623}">
          <xlrd:rvb i="10754"/>
        </ext>
      </extLst>
    </bk>
    <bk>
      <extLst>
        <ext uri="{3e2802c4-a4d2-4d8b-9148-e3be6c30e623}">
          <xlrd:rvb i="10755"/>
        </ext>
      </extLst>
    </bk>
    <bk>
      <extLst>
        <ext uri="{3e2802c4-a4d2-4d8b-9148-e3be6c30e623}">
          <xlrd:rvb i="10756"/>
        </ext>
      </extLst>
    </bk>
    <bk>
      <extLst>
        <ext uri="{3e2802c4-a4d2-4d8b-9148-e3be6c30e623}">
          <xlrd:rvb i="10757"/>
        </ext>
      </extLst>
    </bk>
    <bk>
      <extLst>
        <ext uri="{3e2802c4-a4d2-4d8b-9148-e3be6c30e623}">
          <xlrd:rvb i="10758"/>
        </ext>
      </extLst>
    </bk>
    <bk>
      <extLst>
        <ext uri="{3e2802c4-a4d2-4d8b-9148-e3be6c30e623}">
          <xlrd:rvb i="10759"/>
        </ext>
      </extLst>
    </bk>
    <bk>
      <extLst>
        <ext uri="{3e2802c4-a4d2-4d8b-9148-e3be6c30e623}">
          <xlrd:rvb i="10760"/>
        </ext>
      </extLst>
    </bk>
    <bk>
      <extLst>
        <ext uri="{3e2802c4-a4d2-4d8b-9148-e3be6c30e623}">
          <xlrd:rvb i="10761"/>
        </ext>
      </extLst>
    </bk>
    <bk>
      <extLst>
        <ext uri="{3e2802c4-a4d2-4d8b-9148-e3be6c30e623}">
          <xlrd:rvb i="10762"/>
        </ext>
      </extLst>
    </bk>
    <bk>
      <extLst>
        <ext uri="{3e2802c4-a4d2-4d8b-9148-e3be6c30e623}">
          <xlrd:rvb i="10763"/>
        </ext>
      </extLst>
    </bk>
    <bk>
      <extLst>
        <ext uri="{3e2802c4-a4d2-4d8b-9148-e3be6c30e623}">
          <xlrd:rvb i="10764"/>
        </ext>
      </extLst>
    </bk>
    <bk>
      <extLst>
        <ext uri="{3e2802c4-a4d2-4d8b-9148-e3be6c30e623}">
          <xlrd:rvb i="10765"/>
        </ext>
      </extLst>
    </bk>
    <bk>
      <extLst>
        <ext uri="{3e2802c4-a4d2-4d8b-9148-e3be6c30e623}">
          <xlrd:rvb i="10766"/>
        </ext>
      </extLst>
    </bk>
    <bk>
      <extLst>
        <ext uri="{3e2802c4-a4d2-4d8b-9148-e3be6c30e623}">
          <xlrd:rvb i="10767"/>
        </ext>
      </extLst>
    </bk>
    <bk>
      <extLst>
        <ext uri="{3e2802c4-a4d2-4d8b-9148-e3be6c30e623}">
          <xlrd:rvb i="10768"/>
        </ext>
      </extLst>
    </bk>
    <bk>
      <extLst>
        <ext uri="{3e2802c4-a4d2-4d8b-9148-e3be6c30e623}">
          <xlrd:rvb i="10769"/>
        </ext>
      </extLst>
    </bk>
    <bk>
      <extLst>
        <ext uri="{3e2802c4-a4d2-4d8b-9148-e3be6c30e623}">
          <xlrd:rvb i="10770"/>
        </ext>
      </extLst>
    </bk>
    <bk>
      <extLst>
        <ext uri="{3e2802c4-a4d2-4d8b-9148-e3be6c30e623}">
          <xlrd:rvb i="10771"/>
        </ext>
      </extLst>
    </bk>
    <bk>
      <extLst>
        <ext uri="{3e2802c4-a4d2-4d8b-9148-e3be6c30e623}">
          <xlrd:rvb i="10772"/>
        </ext>
      </extLst>
    </bk>
    <bk>
      <extLst>
        <ext uri="{3e2802c4-a4d2-4d8b-9148-e3be6c30e623}">
          <xlrd:rvb i="10773"/>
        </ext>
      </extLst>
    </bk>
    <bk>
      <extLst>
        <ext uri="{3e2802c4-a4d2-4d8b-9148-e3be6c30e623}">
          <xlrd:rvb i="10774"/>
        </ext>
      </extLst>
    </bk>
    <bk>
      <extLst>
        <ext uri="{3e2802c4-a4d2-4d8b-9148-e3be6c30e623}">
          <xlrd:rvb i="10775"/>
        </ext>
      </extLst>
    </bk>
    <bk>
      <extLst>
        <ext uri="{3e2802c4-a4d2-4d8b-9148-e3be6c30e623}">
          <xlrd:rvb i="10776"/>
        </ext>
      </extLst>
    </bk>
    <bk>
      <extLst>
        <ext uri="{3e2802c4-a4d2-4d8b-9148-e3be6c30e623}">
          <xlrd:rvb i="10777"/>
        </ext>
      </extLst>
    </bk>
    <bk>
      <extLst>
        <ext uri="{3e2802c4-a4d2-4d8b-9148-e3be6c30e623}">
          <xlrd:rvb i="10778"/>
        </ext>
      </extLst>
    </bk>
    <bk>
      <extLst>
        <ext uri="{3e2802c4-a4d2-4d8b-9148-e3be6c30e623}">
          <xlrd:rvb i="10779"/>
        </ext>
      </extLst>
    </bk>
    <bk>
      <extLst>
        <ext uri="{3e2802c4-a4d2-4d8b-9148-e3be6c30e623}">
          <xlrd:rvb i="10780"/>
        </ext>
      </extLst>
    </bk>
    <bk>
      <extLst>
        <ext uri="{3e2802c4-a4d2-4d8b-9148-e3be6c30e623}">
          <xlrd:rvb i="10781"/>
        </ext>
      </extLst>
    </bk>
    <bk>
      <extLst>
        <ext uri="{3e2802c4-a4d2-4d8b-9148-e3be6c30e623}">
          <xlrd:rvb i="10782"/>
        </ext>
      </extLst>
    </bk>
    <bk>
      <extLst>
        <ext uri="{3e2802c4-a4d2-4d8b-9148-e3be6c30e623}">
          <xlrd:rvb i="10783"/>
        </ext>
      </extLst>
    </bk>
    <bk>
      <extLst>
        <ext uri="{3e2802c4-a4d2-4d8b-9148-e3be6c30e623}">
          <xlrd:rvb i="10784"/>
        </ext>
      </extLst>
    </bk>
    <bk>
      <extLst>
        <ext uri="{3e2802c4-a4d2-4d8b-9148-e3be6c30e623}">
          <xlrd:rvb i="10785"/>
        </ext>
      </extLst>
    </bk>
    <bk>
      <extLst>
        <ext uri="{3e2802c4-a4d2-4d8b-9148-e3be6c30e623}">
          <xlrd:rvb i="10786"/>
        </ext>
      </extLst>
    </bk>
    <bk>
      <extLst>
        <ext uri="{3e2802c4-a4d2-4d8b-9148-e3be6c30e623}">
          <xlrd:rvb i="10787"/>
        </ext>
      </extLst>
    </bk>
    <bk>
      <extLst>
        <ext uri="{3e2802c4-a4d2-4d8b-9148-e3be6c30e623}">
          <xlrd:rvb i="10788"/>
        </ext>
      </extLst>
    </bk>
    <bk>
      <extLst>
        <ext uri="{3e2802c4-a4d2-4d8b-9148-e3be6c30e623}">
          <xlrd:rvb i="10789"/>
        </ext>
      </extLst>
    </bk>
    <bk>
      <extLst>
        <ext uri="{3e2802c4-a4d2-4d8b-9148-e3be6c30e623}">
          <xlrd:rvb i="10790"/>
        </ext>
      </extLst>
    </bk>
    <bk>
      <extLst>
        <ext uri="{3e2802c4-a4d2-4d8b-9148-e3be6c30e623}">
          <xlrd:rvb i="10791"/>
        </ext>
      </extLst>
    </bk>
    <bk>
      <extLst>
        <ext uri="{3e2802c4-a4d2-4d8b-9148-e3be6c30e623}">
          <xlrd:rvb i="10792"/>
        </ext>
      </extLst>
    </bk>
    <bk>
      <extLst>
        <ext uri="{3e2802c4-a4d2-4d8b-9148-e3be6c30e623}">
          <xlrd:rvb i="10793"/>
        </ext>
      </extLst>
    </bk>
    <bk>
      <extLst>
        <ext uri="{3e2802c4-a4d2-4d8b-9148-e3be6c30e623}">
          <xlrd:rvb i="10794"/>
        </ext>
      </extLst>
    </bk>
    <bk>
      <extLst>
        <ext uri="{3e2802c4-a4d2-4d8b-9148-e3be6c30e623}">
          <xlrd:rvb i="10795"/>
        </ext>
      </extLst>
    </bk>
    <bk>
      <extLst>
        <ext uri="{3e2802c4-a4d2-4d8b-9148-e3be6c30e623}">
          <xlrd:rvb i="10796"/>
        </ext>
      </extLst>
    </bk>
    <bk>
      <extLst>
        <ext uri="{3e2802c4-a4d2-4d8b-9148-e3be6c30e623}">
          <xlrd:rvb i="10797"/>
        </ext>
      </extLst>
    </bk>
    <bk>
      <extLst>
        <ext uri="{3e2802c4-a4d2-4d8b-9148-e3be6c30e623}">
          <xlrd:rvb i="10798"/>
        </ext>
      </extLst>
    </bk>
    <bk>
      <extLst>
        <ext uri="{3e2802c4-a4d2-4d8b-9148-e3be6c30e623}">
          <xlrd:rvb i="10799"/>
        </ext>
      </extLst>
    </bk>
    <bk>
      <extLst>
        <ext uri="{3e2802c4-a4d2-4d8b-9148-e3be6c30e623}">
          <xlrd:rvb i="10800"/>
        </ext>
      </extLst>
    </bk>
    <bk>
      <extLst>
        <ext uri="{3e2802c4-a4d2-4d8b-9148-e3be6c30e623}">
          <xlrd:rvb i="10801"/>
        </ext>
      </extLst>
    </bk>
    <bk>
      <extLst>
        <ext uri="{3e2802c4-a4d2-4d8b-9148-e3be6c30e623}">
          <xlrd:rvb i="10802"/>
        </ext>
      </extLst>
    </bk>
    <bk>
      <extLst>
        <ext uri="{3e2802c4-a4d2-4d8b-9148-e3be6c30e623}">
          <xlrd:rvb i="10803"/>
        </ext>
      </extLst>
    </bk>
    <bk>
      <extLst>
        <ext uri="{3e2802c4-a4d2-4d8b-9148-e3be6c30e623}">
          <xlrd:rvb i="10804"/>
        </ext>
      </extLst>
    </bk>
    <bk>
      <extLst>
        <ext uri="{3e2802c4-a4d2-4d8b-9148-e3be6c30e623}">
          <xlrd:rvb i="10805"/>
        </ext>
      </extLst>
    </bk>
    <bk>
      <extLst>
        <ext uri="{3e2802c4-a4d2-4d8b-9148-e3be6c30e623}">
          <xlrd:rvb i="10806"/>
        </ext>
      </extLst>
    </bk>
    <bk>
      <extLst>
        <ext uri="{3e2802c4-a4d2-4d8b-9148-e3be6c30e623}">
          <xlrd:rvb i="10807"/>
        </ext>
      </extLst>
    </bk>
    <bk>
      <extLst>
        <ext uri="{3e2802c4-a4d2-4d8b-9148-e3be6c30e623}">
          <xlrd:rvb i="10808"/>
        </ext>
      </extLst>
    </bk>
    <bk>
      <extLst>
        <ext uri="{3e2802c4-a4d2-4d8b-9148-e3be6c30e623}">
          <xlrd:rvb i="10809"/>
        </ext>
      </extLst>
    </bk>
    <bk>
      <extLst>
        <ext uri="{3e2802c4-a4d2-4d8b-9148-e3be6c30e623}">
          <xlrd:rvb i="10810"/>
        </ext>
      </extLst>
    </bk>
    <bk>
      <extLst>
        <ext uri="{3e2802c4-a4d2-4d8b-9148-e3be6c30e623}">
          <xlrd:rvb i="10811"/>
        </ext>
      </extLst>
    </bk>
    <bk>
      <extLst>
        <ext uri="{3e2802c4-a4d2-4d8b-9148-e3be6c30e623}">
          <xlrd:rvb i="10812"/>
        </ext>
      </extLst>
    </bk>
    <bk>
      <extLst>
        <ext uri="{3e2802c4-a4d2-4d8b-9148-e3be6c30e623}">
          <xlrd:rvb i="10813"/>
        </ext>
      </extLst>
    </bk>
    <bk>
      <extLst>
        <ext uri="{3e2802c4-a4d2-4d8b-9148-e3be6c30e623}">
          <xlrd:rvb i="10814"/>
        </ext>
      </extLst>
    </bk>
    <bk>
      <extLst>
        <ext uri="{3e2802c4-a4d2-4d8b-9148-e3be6c30e623}">
          <xlrd:rvb i="10815"/>
        </ext>
      </extLst>
    </bk>
    <bk>
      <extLst>
        <ext uri="{3e2802c4-a4d2-4d8b-9148-e3be6c30e623}">
          <xlrd:rvb i="10816"/>
        </ext>
      </extLst>
    </bk>
    <bk>
      <extLst>
        <ext uri="{3e2802c4-a4d2-4d8b-9148-e3be6c30e623}">
          <xlrd:rvb i="10817"/>
        </ext>
      </extLst>
    </bk>
    <bk>
      <extLst>
        <ext uri="{3e2802c4-a4d2-4d8b-9148-e3be6c30e623}">
          <xlrd:rvb i="10818"/>
        </ext>
      </extLst>
    </bk>
    <bk>
      <extLst>
        <ext uri="{3e2802c4-a4d2-4d8b-9148-e3be6c30e623}">
          <xlrd:rvb i="10819"/>
        </ext>
      </extLst>
    </bk>
    <bk>
      <extLst>
        <ext uri="{3e2802c4-a4d2-4d8b-9148-e3be6c30e623}">
          <xlrd:rvb i="10820"/>
        </ext>
      </extLst>
    </bk>
    <bk>
      <extLst>
        <ext uri="{3e2802c4-a4d2-4d8b-9148-e3be6c30e623}">
          <xlrd:rvb i="10821"/>
        </ext>
      </extLst>
    </bk>
    <bk>
      <extLst>
        <ext uri="{3e2802c4-a4d2-4d8b-9148-e3be6c30e623}">
          <xlrd:rvb i="10822"/>
        </ext>
      </extLst>
    </bk>
    <bk>
      <extLst>
        <ext uri="{3e2802c4-a4d2-4d8b-9148-e3be6c30e623}">
          <xlrd:rvb i="10823"/>
        </ext>
      </extLst>
    </bk>
    <bk>
      <extLst>
        <ext uri="{3e2802c4-a4d2-4d8b-9148-e3be6c30e623}">
          <xlrd:rvb i="10824"/>
        </ext>
      </extLst>
    </bk>
    <bk>
      <extLst>
        <ext uri="{3e2802c4-a4d2-4d8b-9148-e3be6c30e623}">
          <xlrd:rvb i="10825"/>
        </ext>
      </extLst>
    </bk>
    <bk>
      <extLst>
        <ext uri="{3e2802c4-a4d2-4d8b-9148-e3be6c30e623}">
          <xlrd:rvb i="10826"/>
        </ext>
      </extLst>
    </bk>
    <bk>
      <extLst>
        <ext uri="{3e2802c4-a4d2-4d8b-9148-e3be6c30e623}">
          <xlrd:rvb i="10827"/>
        </ext>
      </extLst>
    </bk>
    <bk>
      <extLst>
        <ext uri="{3e2802c4-a4d2-4d8b-9148-e3be6c30e623}">
          <xlrd:rvb i="10828"/>
        </ext>
      </extLst>
    </bk>
    <bk>
      <extLst>
        <ext uri="{3e2802c4-a4d2-4d8b-9148-e3be6c30e623}">
          <xlrd:rvb i="10829"/>
        </ext>
      </extLst>
    </bk>
    <bk>
      <extLst>
        <ext uri="{3e2802c4-a4d2-4d8b-9148-e3be6c30e623}">
          <xlrd:rvb i="10830"/>
        </ext>
      </extLst>
    </bk>
    <bk>
      <extLst>
        <ext uri="{3e2802c4-a4d2-4d8b-9148-e3be6c30e623}">
          <xlrd:rvb i="10831"/>
        </ext>
      </extLst>
    </bk>
    <bk>
      <extLst>
        <ext uri="{3e2802c4-a4d2-4d8b-9148-e3be6c30e623}">
          <xlrd:rvb i="10832"/>
        </ext>
      </extLst>
    </bk>
    <bk>
      <extLst>
        <ext uri="{3e2802c4-a4d2-4d8b-9148-e3be6c30e623}">
          <xlrd:rvb i="10833"/>
        </ext>
      </extLst>
    </bk>
    <bk>
      <extLst>
        <ext uri="{3e2802c4-a4d2-4d8b-9148-e3be6c30e623}">
          <xlrd:rvb i="10834"/>
        </ext>
      </extLst>
    </bk>
    <bk>
      <extLst>
        <ext uri="{3e2802c4-a4d2-4d8b-9148-e3be6c30e623}">
          <xlrd:rvb i="10835"/>
        </ext>
      </extLst>
    </bk>
    <bk>
      <extLst>
        <ext uri="{3e2802c4-a4d2-4d8b-9148-e3be6c30e623}">
          <xlrd:rvb i="10836"/>
        </ext>
      </extLst>
    </bk>
    <bk>
      <extLst>
        <ext uri="{3e2802c4-a4d2-4d8b-9148-e3be6c30e623}">
          <xlrd:rvb i="10837"/>
        </ext>
      </extLst>
    </bk>
    <bk>
      <extLst>
        <ext uri="{3e2802c4-a4d2-4d8b-9148-e3be6c30e623}">
          <xlrd:rvb i="10838"/>
        </ext>
      </extLst>
    </bk>
    <bk>
      <extLst>
        <ext uri="{3e2802c4-a4d2-4d8b-9148-e3be6c30e623}">
          <xlrd:rvb i="10839"/>
        </ext>
      </extLst>
    </bk>
    <bk>
      <extLst>
        <ext uri="{3e2802c4-a4d2-4d8b-9148-e3be6c30e623}">
          <xlrd:rvb i="10840"/>
        </ext>
      </extLst>
    </bk>
    <bk>
      <extLst>
        <ext uri="{3e2802c4-a4d2-4d8b-9148-e3be6c30e623}">
          <xlrd:rvb i="10841"/>
        </ext>
      </extLst>
    </bk>
    <bk>
      <extLst>
        <ext uri="{3e2802c4-a4d2-4d8b-9148-e3be6c30e623}">
          <xlrd:rvb i="10842"/>
        </ext>
      </extLst>
    </bk>
    <bk>
      <extLst>
        <ext uri="{3e2802c4-a4d2-4d8b-9148-e3be6c30e623}">
          <xlrd:rvb i="10843"/>
        </ext>
      </extLst>
    </bk>
    <bk>
      <extLst>
        <ext uri="{3e2802c4-a4d2-4d8b-9148-e3be6c30e623}">
          <xlrd:rvb i="10844"/>
        </ext>
      </extLst>
    </bk>
    <bk>
      <extLst>
        <ext uri="{3e2802c4-a4d2-4d8b-9148-e3be6c30e623}">
          <xlrd:rvb i="10845"/>
        </ext>
      </extLst>
    </bk>
    <bk>
      <extLst>
        <ext uri="{3e2802c4-a4d2-4d8b-9148-e3be6c30e623}">
          <xlrd:rvb i="10846"/>
        </ext>
      </extLst>
    </bk>
    <bk>
      <extLst>
        <ext uri="{3e2802c4-a4d2-4d8b-9148-e3be6c30e623}">
          <xlrd:rvb i="10847"/>
        </ext>
      </extLst>
    </bk>
    <bk>
      <extLst>
        <ext uri="{3e2802c4-a4d2-4d8b-9148-e3be6c30e623}">
          <xlrd:rvb i="10848"/>
        </ext>
      </extLst>
    </bk>
    <bk>
      <extLst>
        <ext uri="{3e2802c4-a4d2-4d8b-9148-e3be6c30e623}">
          <xlrd:rvb i="10849"/>
        </ext>
      </extLst>
    </bk>
    <bk>
      <extLst>
        <ext uri="{3e2802c4-a4d2-4d8b-9148-e3be6c30e623}">
          <xlrd:rvb i="10850"/>
        </ext>
      </extLst>
    </bk>
    <bk>
      <extLst>
        <ext uri="{3e2802c4-a4d2-4d8b-9148-e3be6c30e623}">
          <xlrd:rvb i="10851"/>
        </ext>
      </extLst>
    </bk>
    <bk>
      <extLst>
        <ext uri="{3e2802c4-a4d2-4d8b-9148-e3be6c30e623}">
          <xlrd:rvb i="10852"/>
        </ext>
      </extLst>
    </bk>
    <bk>
      <extLst>
        <ext uri="{3e2802c4-a4d2-4d8b-9148-e3be6c30e623}">
          <xlrd:rvb i="10853"/>
        </ext>
      </extLst>
    </bk>
    <bk>
      <extLst>
        <ext uri="{3e2802c4-a4d2-4d8b-9148-e3be6c30e623}">
          <xlrd:rvb i="10854"/>
        </ext>
      </extLst>
    </bk>
    <bk>
      <extLst>
        <ext uri="{3e2802c4-a4d2-4d8b-9148-e3be6c30e623}">
          <xlrd:rvb i="10855"/>
        </ext>
      </extLst>
    </bk>
    <bk>
      <extLst>
        <ext uri="{3e2802c4-a4d2-4d8b-9148-e3be6c30e623}">
          <xlrd:rvb i="10856"/>
        </ext>
      </extLst>
    </bk>
    <bk>
      <extLst>
        <ext uri="{3e2802c4-a4d2-4d8b-9148-e3be6c30e623}">
          <xlrd:rvb i="10857"/>
        </ext>
      </extLst>
    </bk>
    <bk>
      <extLst>
        <ext uri="{3e2802c4-a4d2-4d8b-9148-e3be6c30e623}">
          <xlrd:rvb i="10858"/>
        </ext>
      </extLst>
    </bk>
    <bk>
      <extLst>
        <ext uri="{3e2802c4-a4d2-4d8b-9148-e3be6c30e623}">
          <xlrd:rvb i="10859"/>
        </ext>
      </extLst>
    </bk>
    <bk>
      <extLst>
        <ext uri="{3e2802c4-a4d2-4d8b-9148-e3be6c30e623}">
          <xlrd:rvb i="10860"/>
        </ext>
      </extLst>
    </bk>
    <bk>
      <extLst>
        <ext uri="{3e2802c4-a4d2-4d8b-9148-e3be6c30e623}">
          <xlrd:rvb i="10861"/>
        </ext>
      </extLst>
    </bk>
    <bk>
      <extLst>
        <ext uri="{3e2802c4-a4d2-4d8b-9148-e3be6c30e623}">
          <xlrd:rvb i="10862"/>
        </ext>
      </extLst>
    </bk>
    <bk>
      <extLst>
        <ext uri="{3e2802c4-a4d2-4d8b-9148-e3be6c30e623}">
          <xlrd:rvb i="10863"/>
        </ext>
      </extLst>
    </bk>
    <bk>
      <extLst>
        <ext uri="{3e2802c4-a4d2-4d8b-9148-e3be6c30e623}">
          <xlrd:rvb i="10864"/>
        </ext>
      </extLst>
    </bk>
    <bk>
      <extLst>
        <ext uri="{3e2802c4-a4d2-4d8b-9148-e3be6c30e623}">
          <xlrd:rvb i="10865"/>
        </ext>
      </extLst>
    </bk>
    <bk>
      <extLst>
        <ext uri="{3e2802c4-a4d2-4d8b-9148-e3be6c30e623}">
          <xlrd:rvb i="10866"/>
        </ext>
      </extLst>
    </bk>
    <bk>
      <extLst>
        <ext uri="{3e2802c4-a4d2-4d8b-9148-e3be6c30e623}">
          <xlrd:rvb i="10867"/>
        </ext>
      </extLst>
    </bk>
    <bk>
      <extLst>
        <ext uri="{3e2802c4-a4d2-4d8b-9148-e3be6c30e623}">
          <xlrd:rvb i="10868"/>
        </ext>
      </extLst>
    </bk>
    <bk>
      <extLst>
        <ext uri="{3e2802c4-a4d2-4d8b-9148-e3be6c30e623}">
          <xlrd:rvb i="10869"/>
        </ext>
      </extLst>
    </bk>
    <bk>
      <extLst>
        <ext uri="{3e2802c4-a4d2-4d8b-9148-e3be6c30e623}">
          <xlrd:rvb i="10870"/>
        </ext>
      </extLst>
    </bk>
    <bk>
      <extLst>
        <ext uri="{3e2802c4-a4d2-4d8b-9148-e3be6c30e623}">
          <xlrd:rvb i="10871"/>
        </ext>
      </extLst>
    </bk>
    <bk>
      <extLst>
        <ext uri="{3e2802c4-a4d2-4d8b-9148-e3be6c30e623}">
          <xlrd:rvb i="10872"/>
        </ext>
      </extLst>
    </bk>
    <bk>
      <extLst>
        <ext uri="{3e2802c4-a4d2-4d8b-9148-e3be6c30e623}">
          <xlrd:rvb i="10873"/>
        </ext>
      </extLst>
    </bk>
    <bk>
      <extLst>
        <ext uri="{3e2802c4-a4d2-4d8b-9148-e3be6c30e623}">
          <xlrd:rvb i="10874"/>
        </ext>
      </extLst>
    </bk>
    <bk>
      <extLst>
        <ext uri="{3e2802c4-a4d2-4d8b-9148-e3be6c30e623}">
          <xlrd:rvb i="10875"/>
        </ext>
      </extLst>
    </bk>
    <bk>
      <extLst>
        <ext uri="{3e2802c4-a4d2-4d8b-9148-e3be6c30e623}">
          <xlrd:rvb i="10876"/>
        </ext>
      </extLst>
    </bk>
    <bk>
      <extLst>
        <ext uri="{3e2802c4-a4d2-4d8b-9148-e3be6c30e623}">
          <xlrd:rvb i="10877"/>
        </ext>
      </extLst>
    </bk>
    <bk>
      <extLst>
        <ext uri="{3e2802c4-a4d2-4d8b-9148-e3be6c30e623}">
          <xlrd:rvb i="10878"/>
        </ext>
      </extLst>
    </bk>
    <bk>
      <extLst>
        <ext uri="{3e2802c4-a4d2-4d8b-9148-e3be6c30e623}">
          <xlrd:rvb i="10879"/>
        </ext>
      </extLst>
    </bk>
    <bk>
      <extLst>
        <ext uri="{3e2802c4-a4d2-4d8b-9148-e3be6c30e623}">
          <xlrd:rvb i="10880"/>
        </ext>
      </extLst>
    </bk>
    <bk>
      <extLst>
        <ext uri="{3e2802c4-a4d2-4d8b-9148-e3be6c30e623}">
          <xlrd:rvb i="10881"/>
        </ext>
      </extLst>
    </bk>
    <bk>
      <extLst>
        <ext uri="{3e2802c4-a4d2-4d8b-9148-e3be6c30e623}">
          <xlrd:rvb i="10882"/>
        </ext>
      </extLst>
    </bk>
    <bk>
      <extLst>
        <ext uri="{3e2802c4-a4d2-4d8b-9148-e3be6c30e623}">
          <xlrd:rvb i="10883"/>
        </ext>
      </extLst>
    </bk>
    <bk>
      <extLst>
        <ext uri="{3e2802c4-a4d2-4d8b-9148-e3be6c30e623}">
          <xlrd:rvb i="10884"/>
        </ext>
      </extLst>
    </bk>
    <bk>
      <extLst>
        <ext uri="{3e2802c4-a4d2-4d8b-9148-e3be6c30e623}">
          <xlrd:rvb i="10885"/>
        </ext>
      </extLst>
    </bk>
    <bk>
      <extLst>
        <ext uri="{3e2802c4-a4d2-4d8b-9148-e3be6c30e623}">
          <xlrd:rvb i="10886"/>
        </ext>
      </extLst>
    </bk>
    <bk>
      <extLst>
        <ext uri="{3e2802c4-a4d2-4d8b-9148-e3be6c30e623}">
          <xlrd:rvb i="10887"/>
        </ext>
      </extLst>
    </bk>
    <bk>
      <extLst>
        <ext uri="{3e2802c4-a4d2-4d8b-9148-e3be6c30e623}">
          <xlrd:rvb i="10888"/>
        </ext>
      </extLst>
    </bk>
    <bk>
      <extLst>
        <ext uri="{3e2802c4-a4d2-4d8b-9148-e3be6c30e623}">
          <xlrd:rvb i="10889"/>
        </ext>
      </extLst>
    </bk>
    <bk>
      <extLst>
        <ext uri="{3e2802c4-a4d2-4d8b-9148-e3be6c30e623}">
          <xlrd:rvb i="10890"/>
        </ext>
      </extLst>
    </bk>
    <bk>
      <extLst>
        <ext uri="{3e2802c4-a4d2-4d8b-9148-e3be6c30e623}">
          <xlrd:rvb i="10891"/>
        </ext>
      </extLst>
    </bk>
    <bk>
      <extLst>
        <ext uri="{3e2802c4-a4d2-4d8b-9148-e3be6c30e623}">
          <xlrd:rvb i="10892"/>
        </ext>
      </extLst>
    </bk>
    <bk>
      <extLst>
        <ext uri="{3e2802c4-a4d2-4d8b-9148-e3be6c30e623}">
          <xlrd:rvb i="10893"/>
        </ext>
      </extLst>
    </bk>
    <bk>
      <extLst>
        <ext uri="{3e2802c4-a4d2-4d8b-9148-e3be6c30e623}">
          <xlrd:rvb i="10894"/>
        </ext>
      </extLst>
    </bk>
    <bk>
      <extLst>
        <ext uri="{3e2802c4-a4d2-4d8b-9148-e3be6c30e623}">
          <xlrd:rvb i="10895"/>
        </ext>
      </extLst>
    </bk>
    <bk>
      <extLst>
        <ext uri="{3e2802c4-a4d2-4d8b-9148-e3be6c30e623}">
          <xlrd:rvb i="10896"/>
        </ext>
      </extLst>
    </bk>
    <bk>
      <extLst>
        <ext uri="{3e2802c4-a4d2-4d8b-9148-e3be6c30e623}">
          <xlrd:rvb i="10897"/>
        </ext>
      </extLst>
    </bk>
    <bk>
      <extLst>
        <ext uri="{3e2802c4-a4d2-4d8b-9148-e3be6c30e623}">
          <xlrd:rvb i="10898"/>
        </ext>
      </extLst>
    </bk>
    <bk>
      <extLst>
        <ext uri="{3e2802c4-a4d2-4d8b-9148-e3be6c30e623}">
          <xlrd:rvb i="10899"/>
        </ext>
      </extLst>
    </bk>
    <bk>
      <extLst>
        <ext uri="{3e2802c4-a4d2-4d8b-9148-e3be6c30e623}">
          <xlrd:rvb i="10900"/>
        </ext>
      </extLst>
    </bk>
    <bk>
      <extLst>
        <ext uri="{3e2802c4-a4d2-4d8b-9148-e3be6c30e623}">
          <xlrd:rvb i="10901"/>
        </ext>
      </extLst>
    </bk>
    <bk>
      <extLst>
        <ext uri="{3e2802c4-a4d2-4d8b-9148-e3be6c30e623}">
          <xlrd:rvb i="10902"/>
        </ext>
      </extLst>
    </bk>
    <bk>
      <extLst>
        <ext uri="{3e2802c4-a4d2-4d8b-9148-e3be6c30e623}">
          <xlrd:rvb i="10903"/>
        </ext>
      </extLst>
    </bk>
    <bk>
      <extLst>
        <ext uri="{3e2802c4-a4d2-4d8b-9148-e3be6c30e623}">
          <xlrd:rvb i="10904"/>
        </ext>
      </extLst>
    </bk>
    <bk>
      <extLst>
        <ext uri="{3e2802c4-a4d2-4d8b-9148-e3be6c30e623}">
          <xlrd:rvb i="10905"/>
        </ext>
      </extLst>
    </bk>
    <bk>
      <extLst>
        <ext uri="{3e2802c4-a4d2-4d8b-9148-e3be6c30e623}">
          <xlrd:rvb i="10906"/>
        </ext>
      </extLst>
    </bk>
    <bk>
      <extLst>
        <ext uri="{3e2802c4-a4d2-4d8b-9148-e3be6c30e623}">
          <xlrd:rvb i="10907"/>
        </ext>
      </extLst>
    </bk>
    <bk>
      <extLst>
        <ext uri="{3e2802c4-a4d2-4d8b-9148-e3be6c30e623}">
          <xlrd:rvb i="10908"/>
        </ext>
      </extLst>
    </bk>
    <bk>
      <extLst>
        <ext uri="{3e2802c4-a4d2-4d8b-9148-e3be6c30e623}">
          <xlrd:rvb i="10909"/>
        </ext>
      </extLst>
    </bk>
    <bk>
      <extLst>
        <ext uri="{3e2802c4-a4d2-4d8b-9148-e3be6c30e623}">
          <xlrd:rvb i="10910"/>
        </ext>
      </extLst>
    </bk>
    <bk>
      <extLst>
        <ext uri="{3e2802c4-a4d2-4d8b-9148-e3be6c30e623}">
          <xlrd:rvb i="10911"/>
        </ext>
      </extLst>
    </bk>
    <bk>
      <extLst>
        <ext uri="{3e2802c4-a4d2-4d8b-9148-e3be6c30e623}">
          <xlrd:rvb i="10912"/>
        </ext>
      </extLst>
    </bk>
    <bk>
      <extLst>
        <ext uri="{3e2802c4-a4d2-4d8b-9148-e3be6c30e623}">
          <xlrd:rvb i="10913"/>
        </ext>
      </extLst>
    </bk>
    <bk>
      <extLst>
        <ext uri="{3e2802c4-a4d2-4d8b-9148-e3be6c30e623}">
          <xlrd:rvb i="10914"/>
        </ext>
      </extLst>
    </bk>
    <bk>
      <extLst>
        <ext uri="{3e2802c4-a4d2-4d8b-9148-e3be6c30e623}">
          <xlrd:rvb i="10915"/>
        </ext>
      </extLst>
    </bk>
    <bk>
      <extLst>
        <ext uri="{3e2802c4-a4d2-4d8b-9148-e3be6c30e623}">
          <xlrd:rvb i="10916"/>
        </ext>
      </extLst>
    </bk>
    <bk>
      <extLst>
        <ext uri="{3e2802c4-a4d2-4d8b-9148-e3be6c30e623}">
          <xlrd:rvb i="10917"/>
        </ext>
      </extLst>
    </bk>
    <bk>
      <extLst>
        <ext uri="{3e2802c4-a4d2-4d8b-9148-e3be6c30e623}">
          <xlrd:rvb i="10918"/>
        </ext>
      </extLst>
    </bk>
    <bk>
      <extLst>
        <ext uri="{3e2802c4-a4d2-4d8b-9148-e3be6c30e623}">
          <xlrd:rvb i="10919"/>
        </ext>
      </extLst>
    </bk>
    <bk>
      <extLst>
        <ext uri="{3e2802c4-a4d2-4d8b-9148-e3be6c30e623}">
          <xlrd:rvb i="10920"/>
        </ext>
      </extLst>
    </bk>
    <bk>
      <extLst>
        <ext uri="{3e2802c4-a4d2-4d8b-9148-e3be6c30e623}">
          <xlrd:rvb i="10921"/>
        </ext>
      </extLst>
    </bk>
    <bk>
      <extLst>
        <ext uri="{3e2802c4-a4d2-4d8b-9148-e3be6c30e623}">
          <xlrd:rvb i="10922"/>
        </ext>
      </extLst>
    </bk>
    <bk>
      <extLst>
        <ext uri="{3e2802c4-a4d2-4d8b-9148-e3be6c30e623}">
          <xlrd:rvb i="10923"/>
        </ext>
      </extLst>
    </bk>
    <bk>
      <extLst>
        <ext uri="{3e2802c4-a4d2-4d8b-9148-e3be6c30e623}">
          <xlrd:rvb i="10924"/>
        </ext>
      </extLst>
    </bk>
    <bk>
      <extLst>
        <ext uri="{3e2802c4-a4d2-4d8b-9148-e3be6c30e623}">
          <xlrd:rvb i="10925"/>
        </ext>
      </extLst>
    </bk>
    <bk>
      <extLst>
        <ext uri="{3e2802c4-a4d2-4d8b-9148-e3be6c30e623}">
          <xlrd:rvb i="10926"/>
        </ext>
      </extLst>
    </bk>
    <bk>
      <extLst>
        <ext uri="{3e2802c4-a4d2-4d8b-9148-e3be6c30e623}">
          <xlrd:rvb i="10927"/>
        </ext>
      </extLst>
    </bk>
    <bk>
      <extLst>
        <ext uri="{3e2802c4-a4d2-4d8b-9148-e3be6c30e623}">
          <xlrd:rvb i="10928"/>
        </ext>
      </extLst>
    </bk>
    <bk>
      <extLst>
        <ext uri="{3e2802c4-a4d2-4d8b-9148-e3be6c30e623}">
          <xlrd:rvb i="10929"/>
        </ext>
      </extLst>
    </bk>
    <bk>
      <extLst>
        <ext uri="{3e2802c4-a4d2-4d8b-9148-e3be6c30e623}">
          <xlrd:rvb i="10930"/>
        </ext>
      </extLst>
    </bk>
    <bk>
      <extLst>
        <ext uri="{3e2802c4-a4d2-4d8b-9148-e3be6c30e623}">
          <xlrd:rvb i="10931"/>
        </ext>
      </extLst>
    </bk>
    <bk>
      <extLst>
        <ext uri="{3e2802c4-a4d2-4d8b-9148-e3be6c30e623}">
          <xlrd:rvb i="10932"/>
        </ext>
      </extLst>
    </bk>
    <bk>
      <extLst>
        <ext uri="{3e2802c4-a4d2-4d8b-9148-e3be6c30e623}">
          <xlrd:rvb i="10933"/>
        </ext>
      </extLst>
    </bk>
    <bk>
      <extLst>
        <ext uri="{3e2802c4-a4d2-4d8b-9148-e3be6c30e623}">
          <xlrd:rvb i="10934"/>
        </ext>
      </extLst>
    </bk>
    <bk>
      <extLst>
        <ext uri="{3e2802c4-a4d2-4d8b-9148-e3be6c30e623}">
          <xlrd:rvb i="10935"/>
        </ext>
      </extLst>
    </bk>
    <bk>
      <extLst>
        <ext uri="{3e2802c4-a4d2-4d8b-9148-e3be6c30e623}">
          <xlrd:rvb i="10936"/>
        </ext>
      </extLst>
    </bk>
    <bk>
      <extLst>
        <ext uri="{3e2802c4-a4d2-4d8b-9148-e3be6c30e623}">
          <xlrd:rvb i="10937"/>
        </ext>
      </extLst>
    </bk>
    <bk>
      <extLst>
        <ext uri="{3e2802c4-a4d2-4d8b-9148-e3be6c30e623}">
          <xlrd:rvb i="10938"/>
        </ext>
      </extLst>
    </bk>
    <bk>
      <extLst>
        <ext uri="{3e2802c4-a4d2-4d8b-9148-e3be6c30e623}">
          <xlrd:rvb i="10939"/>
        </ext>
      </extLst>
    </bk>
    <bk>
      <extLst>
        <ext uri="{3e2802c4-a4d2-4d8b-9148-e3be6c30e623}">
          <xlrd:rvb i="10940"/>
        </ext>
      </extLst>
    </bk>
    <bk>
      <extLst>
        <ext uri="{3e2802c4-a4d2-4d8b-9148-e3be6c30e623}">
          <xlrd:rvb i="10941"/>
        </ext>
      </extLst>
    </bk>
    <bk>
      <extLst>
        <ext uri="{3e2802c4-a4d2-4d8b-9148-e3be6c30e623}">
          <xlrd:rvb i="10942"/>
        </ext>
      </extLst>
    </bk>
    <bk>
      <extLst>
        <ext uri="{3e2802c4-a4d2-4d8b-9148-e3be6c30e623}">
          <xlrd:rvb i="10943"/>
        </ext>
      </extLst>
    </bk>
    <bk>
      <extLst>
        <ext uri="{3e2802c4-a4d2-4d8b-9148-e3be6c30e623}">
          <xlrd:rvb i="10944"/>
        </ext>
      </extLst>
    </bk>
    <bk>
      <extLst>
        <ext uri="{3e2802c4-a4d2-4d8b-9148-e3be6c30e623}">
          <xlrd:rvb i="10945"/>
        </ext>
      </extLst>
    </bk>
    <bk>
      <extLst>
        <ext uri="{3e2802c4-a4d2-4d8b-9148-e3be6c30e623}">
          <xlrd:rvb i="10946"/>
        </ext>
      </extLst>
    </bk>
    <bk>
      <extLst>
        <ext uri="{3e2802c4-a4d2-4d8b-9148-e3be6c30e623}">
          <xlrd:rvb i="10947"/>
        </ext>
      </extLst>
    </bk>
    <bk>
      <extLst>
        <ext uri="{3e2802c4-a4d2-4d8b-9148-e3be6c30e623}">
          <xlrd:rvb i="10948"/>
        </ext>
      </extLst>
    </bk>
    <bk>
      <extLst>
        <ext uri="{3e2802c4-a4d2-4d8b-9148-e3be6c30e623}">
          <xlrd:rvb i="10949"/>
        </ext>
      </extLst>
    </bk>
    <bk>
      <extLst>
        <ext uri="{3e2802c4-a4d2-4d8b-9148-e3be6c30e623}">
          <xlrd:rvb i="10950"/>
        </ext>
      </extLst>
    </bk>
    <bk>
      <extLst>
        <ext uri="{3e2802c4-a4d2-4d8b-9148-e3be6c30e623}">
          <xlrd:rvb i="10951"/>
        </ext>
      </extLst>
    </bk>
    <bk>
      <extLst>
        <ext uri="{3e2802c4-a4d2-4d8b-9148-e3be6c30e623}">
          <xlrd:rvb i="10952"/>
        </ext>
      </extLst>
    </bk>
    <bk>
      <extLst>
        <ext uri="{3e2802c4-a4d2-4d8b-9148-e3be6c30e623}">
          <xlrd:rvb i="10953"/>
        </ext>
      </extLst>
    </bk>
    <bk>
      <extLst>
        <ext uri="{3e2802c4-a4d2-4d8b-9148-e3be6c30e623}">
          <xlrd:rvb i="10954"/>
        </ext>
      </extLst>
    </bk>
    <bk>
      <extLst>
        <ext uri="{3e2802c4-a4d2-4d8b-9148-e3be6c30e623}">
          <xlrd:rvb i="10955"/>
        </ext>
      </extLst>
    </bk>
    <bk>
      <extLst>
        <ext uri="{3e2802c4-a4d2-4d8b-9148-e3be6c30e623}">
          <xlrd:rvb i="10956"/>
        </ext>
      </extLst>
    </bk>
    <bk>
      <extLst>
        <ext uri="{3e2802c4-a4d2-4d8b-9148-e3be6c30e623}">
          <xlrd:rvb i="10957"/>
        </ext>
      </extLst>
    </bk>
    <bk>
      <extLst>
        <ext uri="{3e2802c4-a4d2-4d8b-9148-e3be6c30e623}">
          <xlrd:rvb i="10958"/>
        </ext>
      </extLst>
    </bk>
    <bk>
      <extLst>
        <ext uri="{3e2802c4-a4d2-4d8b-9148-e3be6c30e623}">
          <xlrd:rvb i="10959"/>
        </ext>
      </extLst>
    </bk>
    <bk>
      <extLst>
        <ext uri="{3e2802c4-a4d2-4d8b-9148-e3be6c30e623}">
          <xlrd:rvb i="10960"/>
        </ext>
      </extLst>
    </bk>
    <bk>
      <extLst>
        <ext uri="{3e2802c4-a4d2-4d8b-9148-e3be6c30e623}">
          <xlrd:rvb i="10961"/>
        </ext>
      </extLst>
    </bk>
    <bk>
      <extLst>
        <ext uri="{3e2802c4-a4d2-4d8b-9148-e3be6c30e623}">
          <xlrd:rvb i="10962"/>
        </ext>
      </extLst>
    </bk>
    <bk>
      <extLst>
        <ext uri="{3e2802c4-a4d2-4d8b-9148-e3be6c30e623}">
          <xlrd:rvb i="10963"/>
        </ext>
      </extLst>
    </bk>
    <bk>
      <extLst>
        <ext uri="{3e2802c4-a4d2-4d8b-9148-e3be6c30e623}">
          <xlrd:rvb i="10964"/>
        </ext>
      </extLst>
    </bk>
    <bk>
      <extLst>
        <ext uri="{3e2802c4-a4d2-4d8b-9148-e3be6c30e623}">
          <xlrd:rvb i="10965"/>
        </ext>
      </extLst>
    </bk>
    <bk>
      <extLst>
        <ext uri="{3e2802c4-a4d2-4d8b-9148-e3be6c30e623}">
          <xlrd:rvb i="10966"/>
        </ext>
      </extLst>
    </bk>
    <bk>
      <extLst>
        <ext uri="{3e2802c4-a4d2-4d8b-9148-e3be6c30e623}">
          <xlrd:rvb i="10967"/>
        </ext>
      </extLst>
    </bk>
    <bk>
      <extLst>
        <ext uri="{3e2802c4-a4d2-4d8b-9148-e3be6c30e623}">
          <xlrd:rvb i="10968"/>
        </ext>
      </extLst>
    </bk>
    <bk>
      <extLst>
        <ext uri="{3e2802c4-a4d2-4d8b-9148-e3be6c30e623}">
          <xlrd:rvb i="10969"/>
        </ext>
      </extLst>
    </bk>
    <bk>
      <extLst>
        <ext uri="{3e2802c4-a4d2-4d8b-9148-e3be6c30e623}">
          <xlrd:rvb i="10970"/>
        </ext>
      </extLst>
    </bk>
    <bk>
      <extLst>
        <ext uri="{3e2802c4-a4d2-4d8b-9148-e3be6c30e623}">
          <xlrd:rvb i="10971"/>
        </ext>
      </extLst>
    </bk>
    <bk>
      <extLst>
        <ext uri="{3e2802c4-a4d2-4d8b-9148-e3be6c30e623}">
          <xlrd:rvb i="10972"/>
        </ext>
      </extLst>
    </bk>
    <bk>
      <extLst>
        <ext uri="{3e2802c4-a4d2-4d8b-9148-e3be6c30e623}">
          <xlrd:rvb i="10973"/>
        </ext>
      </extLst>
    </bk>
    <bk>
      <extLst>
        <ext uri="{3e2802c4-a4d2-4d8b-9148-e3be6c30e623}">
          <xlrd:rvb i="10974"/>
        </ext>
      </extLst>
    </bk>
    <bk>
      <extLst>
        <ext uri="{3e2802c4-a4d2-4d8b-9148-e3be6c30e623}">
          <xlrd:rvb i="10975"/>
        </ext>
      </extLst>
    </bk>
    <bk>
      <extLst>
        <ext uri="{3e2802c4-a4d2-4d8b-9148-e3be6c30e623}">
          <xlrd:rvb i="10976"/>
        </ext>
      </extLst>
    </bk>
    <bk>
      <extLst>
        <ext uri="{3e2802c4-a4d2-4d8b-9148-e3be6c30e623}">
          <xlrd:rvb i="10977"/>
        </ext>
      </extLst>
    </bk>
    <bk>
      <extLst>
        <ext uri="{3e2802c4-a4d2-4d8b-9148-e3be6c30e623}">
          <xlrd:rvb i="10978"/>
        </ext>
      </extLst>
    </bk>
    <bk>
      <extLst>
        <ext uri="{3e2802c4-a4d2-4d8b-9148-e3be6c30e623}">
          <xlrd:rvb i="10979"/>
        </ext>
      </extLst>
    </bk>
    <bk>
      <extLst>
        <ext uri="{3e2802c4-a4d2-4d8b-9148-e3be6c30e623}">
          <xlrd:rvb i="10980"/>
        </ext>
      </extLst>
    </bk>
    <bk>
      <extLst>
        <ext uri="{3e2802c4-a4d2-4d8b-9148-e3be6c30e623}">
          <xlrd:rvb i="10981"/>
        </ext>
      </extLst>
    </bk>
    <bk>
      <extLst>
        <ext uri="{3e2802c4-a4d2-4d8b-9148-e3be6c30e623}">
          <xlrd:rvb i="10982"/>
        </ext>
      </extLst>
    </bk>
    <bk>
      <extLst>
        <ext uri="{3e2802c4-a4d2-4d8b-9148-e3be6c30e623}">
          <xlrd:rvb i="10983"/>
        </ext>
      </extLst>
    </bk>
    <bk>
      <extLst>
        <ext uri="{3e2802c4-a4d2-4d8b-9148-e3be6c30e623}">
          <xlrd:rvb i="10984"/>
        </ext>
      </extLst>
    </bk>
    <bk>
      <extLst>
        <ext uri="{3e2802c4-a4d2-4d8b-9148-e3be6c30e623}">
          <xlrd:rvb i="10985"/>
        </ext>
      </extLst>
    </bk>
    <bk>
      <extLst>
        <ext uri="{3e2802c4-a4d2-4d8b-9148-e3be6c30e623}">
          <xlrd:rvb i="10986"/>
        </ext>
      </extLst>
    </bk>
    <bk>
      <extLst>
        <ext uri="{3e2802c4-a4d2-4d8b-9148-e3be6c30e623}">
          <xlrd:rvb i="10987"/>
        </ext>
      </extLst>
    </bk>
    <bk>
      <extLst>
        <ext uri="{3e2802c4-a4d2-4d8b-9148-e3be6c30e623}">
          <xlrd:rvb i="10988"/>
        </ext>
      </extLst>
    </bk>
    <bk>
      <extLst>
        <ext uri="{3e2802c4-a4d2-4d8b-9148-e3be6c30e623}">
          <xlrd:rvb i="10989"/>
        </ext>
      </extLst>
    </bk>
    <bk>
      <extLst>
        <ext uri="{3e2802c4-a4d2-4d8b-9148-e3be6c30e623}">
          <xlrd:rvb i="10990"/>
        </ext>
      </extLst>
    </bk>
    <bk>
      <extLst>
        <ext uri="{3e2802c4-a4d2-4d8b-9148-e3be6c30e623}">
          <xlrd:rvb i="10991"/>
        </ext>
      </extLst>
    </bk>
    <bk>
      <extLst>
        <ext uri="{3e2802c4-a4d2-4d8b-9148-e3be6c30e623}">
          <xlrd:rvb i="10992"/>
        </ext>
      </extLst>
    </bk>
    <bk>
      <extLst>
        <ext uri="{3e2802c4-a4d2-4d8b-9148-e3be6c30e623}">
          <xlrd:rvb i="10993"/>
        </ext>
      </extLst>
    </bk>
    <bk>
      <extLst>
        <ext uri="{3e2802c4-a4d2-4d8b-9148-e3be6c30e623}">
          <xlrd:rvb i="10994"/>
        </ext>
      </extLst>
    </bk>
    <bk>
      <extLst>
        <ext uri="{3e2802c4-a4d2-4d8b-9148-e3be6c30e623}">
          <xlrd:rvb i="10995"/>
        </ext>
      </extLst>
    </bk>
    <bk>
      <extLst>
        <ext uri="{3e2802c4-a4d2-4d8b-9148-e3be6c30e623}">
          <xlrd:rvb i="10996"/>
        </ext>
      </extLst>
    </bk>
    <bk>
      <extLst>
        <ext uri="{3e2802c4-a4d2-4d8b-9148-e3be6c30e623}">
          <xlrd:rvb i="10997"/>
        </ext>
      </extLst>
    </bk>
    <bk>
      <extLst>
        <ext uri="{3e2802c4-a4d2-4d8b-9148-e3be6c30e623}">
          <xlrd:rvb i="10998"/>
        </ext>
      </extLst>
    </bk>
    <bk>
      <extLst>
        <ext uri="{3e2802c4-a4d2-4d8b-9148-e3be6c30e623}">
          <xlrd:rvb i="10999"/>
        </ext>
      </extLst>
    </bk>
    <bk>
      <extLst>
        <ext uri="{3e2802c4-a4d2-4d8b-9148-e3be6c30e623}">
          <xlrd:rvb i="11000"/>
        </ext>
      </extLst>
    </bk>
    <bk>
      <extLst>
        <ext uri="{3e2802c4-a4d2-4d8b-9148-e3be6c30e623}">
          <xlrd:rvb i="11001"/>
        </ext>
      </extLst>
    </bk>
    <bk>
      <extLst>
        <ext uri="{3e2802c4-a4d2-4d8b-9148-e3be6c30e623}">
          <xlrd:rvb i="11002"/>
        </ext>
      </extLst>
    </bk>
    <bk>
      <extLst>
        <ext uri="{3e2802c4-a4d2-4d8b-9148-e3be6c30e623}">
          <xlrd:rvb i="11003"/>
        </ext>
      </extLst>
    </bk>
    <bk>
      <extLst>
        <ext uri="{3e2802c4-a4d2-4d8b-9148-e3be6c30e623}">
          <xlrd:rvb i="11004"/>
        </ext>
      </extLst>
    </bk>
    <bk>
      <extLst>
        <ext uri="{3e2802c4-a4d2-4d8b-9148-e3be6c30e623}">
          <xlrd:rvb i="11005"/>
        </ext>
      </extLst>
    </bk>
    <bk>
      <extLst>
        <ext uri="{3e2802c4-a4d2-4d8b-9148-e3be6c30e623}">
          <xlrd:rvb i="11006"/>
        </ext>
      </extLst>
    </bk>
    <bk>
      <extLst>
        <ext uri="{3e2802c4-a4d2-4d8b-9148-e3be6c30e623}">
          <xlrd:rvb i="11007"/>
        </ext>
      </extLst>
    </bk>
    <bk>
      <extLst>
        <ext uri="{3e2802c4-a4d2-4d8b-9148-e3be6c30e623}">
          <xlrd:rvb i="11008"/>
        </ext>
      </extLst>
    </bk>
    <bk>
      <extLst>
        <ext uri="{3e2802c4-a4d2-4d8b-9148-e3be6c30e623}">
          <xlrd:rvb i="11009"/>
        </ext>
      </extLst>
    </bk>
    <bk>
      <extLst>
        <ext uri="{3e2802c4-a4d2-4d8b-9148-e3be6c30e623}">
          <xlrd:rvb i="11010"/>
        </ext>
      </extLst>
    </bk>
    <bk>
      <extLst>
        <ext uri="{3e2802c4-a4d2-4d8b-9148-e3be6c30e623}">
          <xlrd:rvb i="11011"/>
        </ext>
      </extLst>
    </bk>
    <bk>
      <extLst>
        <ext uri="{3e2802c4-a4d2-4d8b-9148-e3be6c30e623}">
          <xlrd:rvb i="11012"/>
        </ext>
      </extLst>
    </bk>
    <bk>
      <extLst>
        <ext uri="{3e2802c4-a4d2-4d8b-9148-e3be6c30e623}">
          <xlrd:rvb i="11013"/>
        </ext>
      </extLst>
    </bk>
    <bk>
      <extLst>
        <ext uri="{3e2802c4-a4d2-4d8b-9148-e3be6c30e623}">
          <xlrd:rvb i="11014"/>
        </ext>
      </extLst>
    </bk>
    <bk>
      <extLst>
        <ext uri="{3e2802c4-a4d2-4d8b-9148-e3be6c30e623}">
          <xlrd:rvb i="11015"/>
        </ext>
      </extLst>
    </bk>
    <bk>
      <extLst>
        <ext uri="{3e2802c4-a4d2-4d8b-9148-e3be6c30e623}">
          <xlrd:rvb i="11016"/>
        </ext>
      </extLst>
    </bk>
    <bk>
      <extLst>
        <ext uri="{3e2802c4-a4d2-4d8b-9148-e3be6c30e623}">
          <xlrd:rvb i="11017"/>
        </ext>
      </extLst>
    </bk>
    <bk>
      <extLst>
        <ext uri="{3e2802c4-a4d2-4d8b-9148-e3be6c30e623}">
          <xlrd:rvb i="11018"/>
        </ext>
      </extLst>
    </bk>
    <bk>
      <extLst>
        <ext uri="{3e2802c4-a4d2-4d8b-9148-e3be6c30e623}">
          <xlrd:rvb i="11019"/>
        </ext>
      </extLst>
    </bk>
    <bk>
      <extLst>
        <ext uri="{3e2802c4-a4d2-4d8b-9148-e3be6c30e623}">
          <xlrd:rvb i="11020"/>
        </ext>
      </extLst>
    </bk>
    <bk>
      <extLst>
        <ext uri="{3e2802c4-a4d2-4d8b-9148-e3be6c30e623}">
          <xlrd:rvb i="11021"/>
        </ext>
      </extLst>
    </bk>
    <bk>
      <extLst>
        <ext uri="{3e2802c4-a4d2-4d8b-9148-e3be6c30e623}">
          <xlrd:rvb i="11022"/>
        </ext>
      </extLst>
    </bk>
    <bk>
      <extLst>
        <ext uri="{3e2802c4-a4d2-4d8b-9148-e3be6c30e623}">
          <xlrd:rvb i="11023"/>
        </ext>
      </extLst>
    </bk>
    <bk>
      <extLst>
        <ext uri="{3e2802c4-a4d2-4d8b-9148-e3be6c30e623}">
          <xlrd:rvb i="11024"/>
        </ext>
      </extLst>
    </bk>
    <bk>
      <extLst>
        <ext uri="{3e2802c4-a4d2-4d8b-9148-e3be6c30e623}">
          <xlrd:rvb i="11025"/>
        </ext>
      </extLst>
    </bk>
    <bk>
      <extLst>
        <ext uri="{3e2802c4-a4d2-4d8b-9148-e3be6c30e623}">
          <xlrd:rvb i="11026"/>
        </ext>
      </extLst>
    </bk>
    <bk>
      <extLst>
        <ext uri="{3e2802c4-a4d2-4d8b-9148-e3be6c30e623}">
          <xlrd:rvb i="11027"/>
        </ext>
      </extLst>
    </bk>
    <bk>
      <extLst>
        <ext uri="{3e2802c4-a4d2-4d8b-9148-e3be6c30e623}">
          <xlrd:rvb i="11028"/>
        </ext>
      </extLst>
    </bk>
    <bk>
      <extLst>
        <ext uri="{3e2802c4-a4d2-4d8b-9148-e3be6c30e623}">
          <xlrd:rvb i="11029"/>
        </ext>
      </extLst>
    </bk>
    <bk>
      <extLst>
        <ext uri="{3e2802c4-a4d2-4d8b-9148-e3be6c30e623}">
          <xlrd:rvb i="11030"/>
        </ext>
      </extLst>
    </bk>
    <bk>
      <extLst>
        <ext uri="{3e2802c4-a4d2-4d8b-9148-e3be6c30e623}">
          <xlrd:rvb i="11031"/>
        </ext>
      </extLst>
    </bk>
    <bk>
      <extLst>
        <ext uri="{3e2802c4-a4d2-4d8b-9148-e3be6c30e623}">
          <xlrd:rvb i="11032"/>
        </ext>
      </extLst>
    </bk>
    <bk>
      <extLst>
        <ext uri="{3e2802c4-a4d2-4d8b-9148-e3be6c30e623}">
          <xlrd:rvb i="11033"/>
        </ext>
      </extLst>
    </bk>
    <bk>
      <extLst>
        <ext uri="{3e2802c4-a4d2-4d8b-9148-e3be6c30e623}">
          <xlrd:rvb i="11034"/>
        </ext>
      </extLst>
    </bk>
    <bk>
      <extLst>
        <ext uri="{3e2802c4-a4d2-4d8b-9148-e3be6c30e623}">
          <xlrd:rvb i="11035"/>
        </ext>
      </extLst>
    </bk>
    <bk>
      <extLst>
        <ext uri="{3e2802c4-a4d2-4d8b-9148-e3be6c30e623}">
          <xlrd:rvb i="11036"/>
        </ext>
      </extLst>
    </bk>
    <bk>
      <extLst>
        <ext uri="{3e2802c4-a4d2-4d8b-9148-e3be6c30e623}">
          <xlrd:rvb i="11037"/>
        </ext>
      </extLst>
    </bk>
    <bk>
      <extLst>
        <ext uri="{3e2802c4-a4d2-4d8b-9148-e3be6c30e623}">
          <xlrd:rvb i="11038"/>
        </ext>
      </extLst>
    </bk>
    <bk>
      <extLst>
        <ext uri="{3e2802c4-a4d2-4d8b-9148-e3be6c30e623}">
          <xlrd:rvb i="11039"/>
        </ext>
      </extLst>
    </bk>
    <bk>
      <extLst>
        <ext uri="{3e2802c4-a4d2-4d8b-9148-e3be6c30e623}">
          <xlrd:rvb i="11040"/>
        </ext>
      </extLst>
    </bk>
    <bk>
      <extLst>
        <ext uri="{3e2802c4-a4d2-4d8b-9148-e3be6c30e623}">
          <xlrd:rvb i="11041"/>
        </ext>
      </extLst>
    </bk>
    <bk>
      <extLst>
        <ext uri="{3e2802c4-a4d2-4d8b-9148-e3be6c30e623}">
          <xlrd:rvb i="11042"/>
        </ext>
      </extLst>
    </bk>
    <bk>
      <extLst>
        <ext uri="{3e2802c4-a4d2-4d8b-9148-e3be6c30e623}">
          <xlrd:rvb i="11043"/>
        </ext>
      </extLst>
    </bk>
    <bk>
      <extLst>
        <ext uri="{3e2802c4-a4d2-4d8b-9148-e3be6c30e623}">
          <xlrd:rvb i="11044"/>
        </ext>
      </extLst>
    </bk>
    <bk>
      <extLst>
        <ext uri="{3e2802c4-a4d2-4d8b-9148-e3be6c30e623}">
          <xlrd:rvb i="11045"/>
        </ext>
      </extLst>
    </bk>
    <bk>
      <extLst>
        <ext uri="{3e2802c4-a4d2-4d8b-9148-e3be6c30e623}">
          <xlrd:rvb i="11046"/>
        </ext>
      </extLst>
    </bk>
    <bk>
      <extLst>
        <ext uri="{3e2802c4-a4d2-4d8b-9148-e3be6c30e623}">
          <xlrd:rvb i="11047"/>
        </ext>
      </extLst>
    </bk>
    <bk>
      <extLst>
        <ext uri="{3e2802c4-a4d2-4d8b-9148-e3be6c30e623}">
          <xlrd:rvb i="11048"/>
        </ext>
      </extLst>
    </bk>
    <bk>
      <extLst>
        <ext uri="{3e2802c4-a4d2-4d8b-9148-e3be6c30e623}">
          <xlrd:rvb i="11049"/>
        </ext>
      </extLst>
    </bk>
    <bk>
      <extLst>
        <ext uri="{3e2802c4-a4d2-4d8b-9148-e3be6c30e623}">
          <xlrd:rvb i="11050"/>
        </ext>
      </extLst>
    </bk>
    <bk>
      <extLst>
        <ext uri="{3e2802c4-a4d2-4d8b-9148-e3be6c30e623}">
          <xlrd:rvb i="11051"/>
        </ext>
      </extLst>
    </bk>
    <bk>
      <extLst>
        <ext uri="{3e2802c4-a4d2-4d8b-9148-e3be6c30e623}">
          <xlrd:rvb i="11052"/>
        </ext>
      </extLst>
    </bk>
    <bk>
      <extLst>
        <ext uri="{3e2802c4-a4d2-4d8b-9148-e3be6c30e623}">
          <xlrd:rvb i="11053"/>
        </ext>
      </extLst>
    </bk>
    <bk>
      <extLst>
        <ext uri="{3e2802c4-a4d2-4d8b-9148-e3be6c30e623}">
          <xlrd:rvb i="11054"/>
        </ext>
      </extLst>
    </bk>
    <bk>
      <extLst>
        <ext uri="{3e2802c4-a4d2-4d8b-9148-e3be6c30e623}">
          <xlrd:rvb i="11055"/>
        </ext>
      </extLst>
    </bk>
    <bk>
      <extLst>
        <ext uri="{3e2802c4-a4d2-4d8b-9148-e3be6c30e623}">
          <xlrd:rvb i="11056"/>
        </ext>
      </extLst>
    </bk>
    <bk>
      <extLst>
        <ext uri="{3e2802c4-a4d2-4d8b-9148-e3be6c30e623}">
          <xlrd:rvb i="11057"/>
        </ext>
      </extLst>
    </bk>
    <bk>
      <extLst>
        <ext uri="{3e2802c4-a4d2-4d8b-9148-e3be6c30e623}">
          <xlrd:rvb i="11058"/>
        </ext>
      </extLst>
    </bk>
    <bk>
      <extLst>
        <ext uri="{3e2802c4-a4d2-4d8b-9148-e3be6c30e623}">
          <xlrd:rvb i="11059"/>
        </ext>
      </extLst>
    </bk>
    <bk>
      <extLst>
        <ext uri="{3e2802c4-a4d2-4d8b-9148-e3be6c30e623}">
          <xlrd:rvb i="11060"/>
        </ext>
      </extLst>
    </bk>
    <bk>
      <extLst>
        <ext uri="{3e2802c4-a4d2-4d8b-9148-e3be6c30e623}">
          <xlrd:rvb i="11061"/>
        </ext>
      </extLst>
    </bk>
    <bk>
      <extLst>
        <ext uri="{3e2802c4-a4d2-4d8b-9148-e3be6c30e623}">
          <xlrd:rvb i="11062"/>
        </ext>
      </extLst>
    </bk>
    <bk>
      <extLst>
        <ext uri="{3e2802c4-a4d2-4d8b-9148-e3be6c30e623}">
          <xlrd:rvb i="11063"/>
        </ext>
      </extLst>
    </bk>
    <bk>
      <extLst>
        <ext uri="{3e2802c4-a4d2-4d8b-9148-e3be6c30e623}">
          <xlrd:rvb i="11064"/>
        </ext>
      </extLst>
    </bk>
    <bk>
      <extLst>
        <ext uri="{3e2802c4-a4d2-4d8b-9148-e3be6c30e623}">
          <xlrd:rvb i="11065"/>
        </ext>
      </extLst>
    </bk>
    <bk>
      <extLst>
        <ext uri="{3e2802c4-a4d2-4d8b-9148-e3be6c30e623}">
          <xlrd:rvb i="11066"/>
        </ext>
      </extLst>
    </bk>
    <bk>
      <extLst>
        <ext uri="{3e2802c4-a4d2-4d8b-9148-e3be6c30e623}">
          <xlrd:rvb i="11067"/>
        </ext>
      </extLst>
    </bk>
    <bk>
      <extLst>
        <ext uri="{3e2802c4-a4d2-4d8b-9148-e3be6c30e623}">
          <xlrd:rvb i="11068"/>
        </ext>
      </extLst>
    </bk>
    <bk>
      <extLst>
        <ext uri="{3e2802c4-a4d2-4d8b-9148-e3be6c30e623}">
          <xlrd:rvb i="11069"/>
        </ext>
      </extLst>
    </bk>
    <bk>
      <extLst>
        <ext uri="{3e2802c4-a4d2-4d8b-9148-e3be6c30e623}">
          <xlrd:rvb i="11070"/>
        </ext>
      </extLst>
    </bk>
    <bk>
      <extLst>
        <ext uri="{3e2802c4-a4d2-4d8b-9148-e3be6c30e623}">
          <xlrd:rvb i="11071"/>
        </ext>
      </extLst>
    </bk>
    <bk>
      <extLst>
        <ext uri="{3e2802c4-a4d2-4d8b-9148-e3be6c30e623}">
          <xlrd:rvb i="11072"/>
        </ext>
      </extLst>
    </bk>
    <bk>
      <extLst>
        <ext uri="{3e2802c4-a4d2-4d8b-9148-e3be6c30e623}">
          <xlrd:rvb i="11073"/>
        </ext>
      </extLst>
    </bk>
    <bk>
      <extLst>
        <ext uri="{3e2802c4-a4d2-4d8b-9148-e3be6c30e623}">
          <xlrd:rvb i="11074"/>
        </ext>
      </extLst>
    </bk>
    <bk>
      <extLst>
        <ext uri="{3e2802c4-a4d2-4d8b-9148-e3be6c30e623}">
          <xlrd:rvb i="11075"/>
        </ext>
      </extLst>
    </bk>
    <bk>
      <extLst>
        <ext uri="{3e2802c4-a4d2-4d8b-9148-e3be6c30e623}">
          <xlrd:rvb i="11076"/>
        </ext>
      </extLst>
    </bk>
    <bk>
      <extLst>
        <ext uri="{3e2802c4-a4d2-4d8b-9148-e3be6c30e623}">
          <xlrd:rvb i="11077"/>
        </ext>
      </extLst>
    </bk>
    <bk>
      <extLst>
        <ext uri="{3e2802c4-a4d2-4d8b-9148-e3be6c30e623}">
          <xlrd:rvb i="11078"/>
        </ext>
      </extLst>
    </bk>
    <bk>
      <extLst>
        <ext uri="{3e2802c4-a4d2-4d8b-9148-e3be6c30e623}">
          <xlrd:rvb i="11079"/>
        </ext>
      </extLst>
    </bk>
    <bk>
      <extLst>
        <ext uri="{3e2802c4-a4d2-4d8b-9148-e3be6c30e623}">
          <xlrd:rvb i="11080"/>
        </ext>
      </extLst>
    </bk>
    <bk>
      <extLst>
        <ext uri="{3e2802c4-a4d2-4d8b-9148-e3be6c30e623}">
          <xlrd:rvb i="11081"/>
        </ext>
      </extLst>
    </bk>
    <bk>
      <extLst>
        <ext uri="{3e2802c4-a4d2-4d8b-9148-e3be6c30e623}">
          <xlrd:rvb i="11082"/>
        </ext>
      </extLst>
    </bk>
    <bk>
      <extLst>
        <ext uri="{3e2802c4-a4d2-4d8b-9148-e3be6c30e623}">
          <xlrd:rvb i="11083"/>
        </ext>
      </extLst>
    </bk>
    <bk>
      <extLst>
        <ext uri="{3e2802c4-a4d2-4d8b-9148-e3be6c30e623}">
          <xlrd:rvb i="11084"/>
        </ext>
      </extLst>
    </bk>
    <bk>
      <extLst>
        <ext uri="{3e2802c4-a4d2-4d8b-9148-e3be6c30e623}">
          <xlrd:rvb i="11085"/>
        </ext>
      </extLst>
    </bk>
    <bk>
      <extLst>
        <ext uri="{3e2802c4-a4d2-4d8b-9148-e3be6c30e623}">
          <xlrd:rvb i="11086"/>
        </ext>
      </extLst>
    </bk>
    <bk>
      <extLst>
        <ext uri="{3e2802c4-a4d2-4d8b-9148-e3be6c30e623}">
          <xlrd:rvb i="11087"/>
        </ext>
      </extLst>
    </bk>
    <bk>
      <extLst>
        <ext uri="{3e2802c4-a4d2-4d8b-9148-e3be6c30e623}">
          <xlrd:rvb i="11088"/>
        </ext>
      </extLst>
    </bk>
    <bk>
      <extLst>
        <ext uri="{3e2802c4-a4d2-4d8b-9148-e3be6c30e623}">
          <xlrd:rvb i="11089"/>
        </ext>
      </extLst>
    </bk>
    <bk>
      <extLst>
        <ext uri="{3e2802c4-a4d2-4d8b-9148-e3be6c30e623}">
          <xlrd:rvb i="11090"/>
        </ext>
      </extLst>
    </bk>
    <bk>
      <extLst>
        <ext uri="{3e2802c4-a4d2-4d8b-9148-e3be6c30e623}">
          <xlrd:rvb i="11091"/>
        </ext>
      </extLst>
    </bk>
    <bk>
      <extLst>
        <ext uri="{3e2802c4-a4d2-4d8b-9148-e3be6c30e623}">
          <xlrd:rvb i="11092"/>
        </ext>
      </extLst>
    </bk>
    <bk>
      <extLst>
        <ext uri="{3e2802c4-a4d2-4d8b-9148-e3be6c30e623}">
          <xlrd:rvb i="11093"/>
        </ext>
      </extLst>
    </bk>
    <bk>
      <extLst>
        <ext uri="{3e2802c4-a4d2-4d8b-9148-e3be6c30e623}">
          <xlrd:rvb i="11094"/>
        </ext>
      </extLst>
    </bk>
    <bk>
      <extLst>
        <ext uri="{3e2802c4-a4d2-4d8b-9148-e3be6c30e623}">
          <xlrd:rvb i="11095"/>
        </ext>
      </extLst>
    </bk>
    <bk>
      <extLst>
        <ext uri="{3e2802c4-a4d2-4d8b-9148-e3be6c30e623}">
          <xlrd:rvb i="11096"/>
        </ext>
      </extLst>
    </bk>
    <bk>
      <extLst>
        <ext uri="{3e2802c4-a4d2-4d8b-9148-e3be6c30e623}">
          <xlrd:rvb i="11097"/>
        </ext>
      </extLst>
    </bk>
    <bk>
      <extLst>
        <ext uri="{3e2802c4-a4d2-4d8b-9148-e3be6c30e623}">
          <xlrd:rvb i="11098"/>
        </ext>
      </extLst>
    </bk>
    <bk>
      <extLst>
        <ext uri="{3e2802c4-a4d2-4d8b-9148-e3be6c30e623}">
          <xlrd:rvb i="11099"/>
        </ext>
      </extLst>
    </bk>
    <bk>
      <extLst>
        <ext uri="{3e2802c4-a4d2-4d8b-9148-e3be6c30e623}">
          <xlrd:rvb i="11100"/>
        </ext>
      </extLst>
    </bk>
    <bk>
      <extLst>
        <ext uri="{3e2802c4-a4d2-4d8b-9148-e3be6c30e623}">
          <xlrd:rvb i="11101"/>
        </ext>
      </extLst>
    </bk>
    <bk>
      <extLst>
        <ext uri="{3e2802c4-a4d2-4d8b-9148-e3be6c30e623}">
          <xlrd:rvb i="11102"/>
        </ext>
      </extLst>
    </bk>
    <bk>
      <extLst>
        <ext uri="{3e2802c4-a4d2-4d8b-9148-e3be6c30e623}">
          <xlrd:rvb i="11103"/>
        </ext>
      </extLst>
    </bk>
    <bk>
      <extLst>
        <ext uri="{3e2802c4-a4d2-4d8b-9148-e3be6c30e623}">
          <xlrd:rvb i="11104"/>
        </ext>
      </extLst>
    </bk>
    <bk>
      <extLst>
        <ext uri="{3e2802c4-a4d2-4d8b-9148-e3be6c30e623}">
          <xlrd:rvb i="11105"/>
        </ext>
      </extLst>
    </bk>
    <bk>
      <extLst>
        <ext uri="{3e2802c4-a4d2-4d8b-9148-e3be6c30e623}">
          <xlrd:rvb i="11106"/>
        </ext>
      </extLst>
    </bk>
    <bk>
      <extLst>
        <ext uri="{3e2802c4-a4d2-4d8b-9148-e3be6c30e623}">
          <xlrd:rvb i="11107"/>
        </ext>
      </extLst>
    </bk>
    <bk>
      <extLst>
        <ext uri="{3e2802c4-a4d2-4d8b-9148-e3be6c30e623}">
          <xlrd:rvb i="11108"/>
        </ext>
      </extLst>
    </bk>
    <bk>
      <extLst>
        <ext uri="{3e2802c4-a4d2-4d8b-9148-e3be6c30e623}">
          <xlrd:rvb i="11109"/>
        </ext>
      </extLst>
    </bk>
    <bk>
      <extLst>
        <ext uri="{3e2802c4-a4d2-4d8b-9148-e3be6c30e623}">
          <xlrd:rvb i="11110"/>
        </ext>
      </extLst>
    </bk>
    <bk>
      <extLst>
        <ext uri="{3e2802c4-a4d2-4d8b-9148-e3be6c30e623}">
          <xlrd:rvb i="11111"/>
        </ext>
      </extLst>
    </bk>
    <bk>
      <extLst>
        <ext uri="{3e2802c4-a4d2-4d8b-9148-e3be6c30e623}">
          <xlrd:rvb i="11112"/>
        </ext>
      </extLst>
    </bk>
    <bk>
      <extLst>
        <ext uri="{3e2802c4-a4d2-4d8b-9148-e3be6c30e623}">
          <xlrd:rvb i="11113"/>
        </ext>
      </extLst>
    </bk>
    <bk>
      <extLst>
        <ext uri="{3e2802c4-a4d2-4d8b-9148-e3be6c30e623}">
          <xlrd:rvb i="11114"/>
        </ext>
      </extLst>
    </bk>
    <bk>
      <extLst>
        <ext uri="{3e2802c4-a4d2-4d8b-9148-e3be6c30e623}">
          <xlrd:rvb i="11115"/>
        </ext>
      </extLst>
    </bk>
    <bk>
      <extLst>
        <ext uri="{3e2802c4-a4d2-4d8b-9148-e3be6c30e623}">
          <xlrd:rvb i="11116"/>
        </ext>
      </extLst>
    </bk>
    <bk>
      <extLst>
        <ext uri="{3e2802c4-a4d2-4d8b-9148-e3be6c30e623}">
          <xlrd:rvb i="11117"/>
        </ext>
      </extLst>
    </bk>
    <bk>
      <extLst>
        <ext uri="{3e2802c4-a4d2-4d8b-9148-e3be6c30e623}">
          <xlrd:rvb i="11118"/>
        </ext>
      </extLst>
    </bk>
    <bk>
      <extLst>
        <ext uri="{3e2802c4-a4d2-4d8b-9148-e3be6c30e623}">
          <xlrd:rvb i="11119"/>
        </ext>
      </extLst>
    </bk>
    <bk>
      <extLst>
        <ext uri="{3e2802c4-a4d2-4d8b-9148-e3be6c30e623}">
          <xlrd:rvb i="11120"/>
        </ext>
      </extLst>
    </bk>
    <bk>
      <extLst>
        <ext uri="{3e2802c4-a4d2-4d8b-9148-e3be6c30e623}">
          <xlrd:rvb i="11121"/>
        </ext>
      </extLst>
    </bk>
    <bk>
      <extLst>
        <ext uri="{3e2802c4-a4d2-4d8b-9148-e3be6c30e623}">
          <xlrd:rvb i="11122"/>
        </ext>
      </extLst>
    </bk>
    <bk>
      <extLst>
        <ext uri="{3e2802c4-a4d2-4d8b-9148-e3be6c30e623}">
          <xlrd:rvb i="11123"/>
        </ext>
      </extLst>
    </bk>
    <bk>
      <extLst>
        <ext uri="{3e2802c4-a4d2-4d8b-9148-e3be6c30e623}">
          <xlrd:rvb i="11124"/>
        </ext>
      </extLst>
    </bk>
    <bk>
      <extLst>
        <ext uri="{3e2802c4-a4d2-4d8b-9148-e3be6c30e623}">
          <xlrd:rvb i="11125"/>
        </ext>
      </extLst>
    </bk>
    <bk>
      <extLst>
        <ext uri="{3e2802c4-a4d2-4d8b-9148-e3be6c30e623}">
          <xlrd:rvb i="11126"/>
        </ext>
      </extLst>
    </bk>
    <bk>
      <extLst>
        <ext uri="{3e2802c4-a4d2-4d8b-9148-e3be6c30e623}">
          <xlrd:rvb i="11127"/>
        </ext>
      </extLst>
    </bk>
    <bk>
      <extLst>
        <ext uri="{3e2802c4-a4d2-4d8b-9148-e3be6c30e623}">
          <xlrd:rvb i="11128"/>
        </ext>
      </extLst>
    </bk>
    <bk>
      <extLst>
        <ext uri="{3e2802c4-a4d2-4d8b-9148-e3be6c30e623}">
          <xlrd:rvb i="11129"/>
        </ext>
      </extLst>
    </bk>
    <bk>
      <extLst>
        <ext uri="{3e2802c4-a4d2-4d8b-9148-e3be6c30e623}">
          <xlrd:rvb i="11130"/>
        </ext>
      </extLst>
    </bk>
    <bk>
      <extLst>
        <ext uri="{3e2802c4-a4d2-4d8b-9148-e3be6c30e623}">
          <xlrd:rvb i="11131"/>
        </ext>
      </extLst>
    </bk>
    <bk>
      <extLst>
        <ext uri="{3e2802c4-a4d2-4d8b-9148-e3be6c30e623}">
          <xlrd:rvb i="11132"/>
        </ext>
      </extLst>
    </bk>
    <bk>
      <extLst>
        <ext uri="{3e2802c4-a4d2-4d8b-9148-e3be6c30e623}">
          <xlrd:rvb i="11133"/>
        </ext>
      </extLst>
    </bk>
    <bk>
      <extLst>
        <ext uri="{3e2802c4-a4d2-4d8b-9148-e3be6c30e623}">
          <xlrd:rvb i="11134"/>
        </ext>
      </extLst>
    </bk>
    <bk>
      <extLst>
        <ext uri="{3e2802c4-a4d2-4d8b-9148-e3be6c30e623}">
          <xlrd:rvb i="11135"/>
        </ext>
      </extLst>
    </bk>
    <bk>
      <extLst>
        <ext uri="{3e2802c4-a4d2-4d8b-9148-e3be6c30e623}">
          <xlrd:rvb i="11136"/>
        </ext>
      </extLst>
    </bk>
    <bk>
      <extLst>
        <ext uri="{3e2802c4-a4d2-4d8b-9148-e3be6c30e623}">
          <xlrd:rvb i="11137"/>
        </ext>
      </extLst>
    </bk>
    <bk>
      <extLst>
        <ext uri="{3e2802c4-a4d2-4d8b-9148-e3be6c30e623}">
          <xlrd:rvb i="11138"/>
        </ext>
      </extLst>
    </bk>
    <bk>
      <extLst>
        <ext uri="{3e2802c4-a4d2-4d8b-9148-e3be6c30e623}">
          <xlrd:rvb i="11139"/>
        </ext>
      </extLst>
    </bk>
    <bk>
      <extLst>
        <ext uri="{3e2802c4-a4d2-4d8b-9148-e3be6c30e623}">
          <xlrd:rvb i="11140"/>
        </ext>
      </extLst>
    </bk>
    <bk>
      <extLst>
        <ext uri="{3e2802c4-a4d2-4d8b-9148-e3be6c30e623}">
          <xlrd:rvb i="11141"/>
        </ext>
      </extLst>
    </bk>
    <bk>
      <extLst>
        <ext uri="{3e2802c4-a4d2-4d8b-9148-e3be6c30e623}">
          <xlrd:rvb i="11142"/>
        </ext>
      </extLst>
    </bk>
    <bk>
      <extLst>
        <ext uri="{3e2802c4-a4d2-4d8b-9148-e3be6c30e623}">
          <xlrd:rvb i="11143"/>
        </ext>
      </extLst>
    </bk>
    <bk>
      <extLst>
        <ext uri="{3e2802c4-a4d2-4d8b-9148-e3be6c30e623}">
          <xlrd:rvb i="11144"/>
        </ext>
      </extLst>
    </bk>
    <bk>
      <extLst>
        <ext uri="{3e2802c4-a4d2-4d8b-9148-e3be6c30e623}">
          <xlrd:rvb i="11145"/>
        </ext>
      </extLst>
    </bk>
    <bk>
      <extLst>
        <ext uri="{3e2802c4-a4d2-4d8b-9148-e3be6c30e623}">
          <xlrd:rvb i="11146"/>
        </ext>
      </extLst>
    </bk>
    <bk>
      <extLst>
        <ext uri="{3e2802c4-a4d2-4d8b-9148-e3be6c30e623}">
          <xlrd:rvb i="11147"/>
        </ext>
      </extLst>
    </bk>
    <bk>
      <extLst>
        <ext uri="{3e2802c4-a4d2-4d8b-9148-e3be6c30e623}">
          <xlrd:rvb i="11148"/>
        </ext>
      </extLst>
    </bk>
    <bk>
      <extLst>
        <ext uri="{3e2802c4-a4d2-4d8b-9148-e3be6c30e623}">
          <xlrd:rvb i="11149"/>
        </ext>
      </extLst>
    </bk>
    <bk>
      <extLst>
        <ext uri="{3e2802c4-a4d2-4d8b-9148-e3be6c30e623}">
          <xlrd:rvb i="11150"/>
        </ext>
      </extLst>
    </bk>
    <bk>
      <extLst>
        <ext uri="{3e2802c4-a4d2-4d8b-9148-e3be6c30e623}">
          <xlrd:rvb i="11151"/>
        </ext>
      </extLst>
    </bk>
    <bk>
      <extLst>
        <ext uri="{3e2802c4-a4d2-4d8b-9148-e3be6c30e623}">
          <xlrd:rvb i="11152"/>
        </ext>
      </extLst>
    </bk>
    <bk>
      <extLst>
        <ext uri="{3e2802c4-a4d2-4d8b-9148-e3be6c30e623}">
          <xlrd:rvb i="11153"/>
        </ext>
      </extLst>
    </bk>
    <bk>
      <extLst>
        <ext uri="{3e2802c4-a4d2-4d8b-9148-e3be6c30e623}">
          <xlrd:rvb i="11154"/>
        </ext>
      </extLst>
    </bk>
    <bk>
      <extLst>
        <ext uri="{3e2802c4-a4d2-4d8b-9148-e3be6c30e623}">
          <xlrd:rvb i="11155"/>
        </ext>
      </extLst>
    </bk>
    <bk>
      <extLst>
        <ext uri="{3e2802c4-a4d2-4d8b-9148-e3be6c30e623}">
          <xlrd:rvb i="11156"/>
        </ext>
      </extLst>
    </bk>
    <bk>
      <extLst>
        <ext uri="{3e2802c4-a4d2-4d8b-9148-e3be6c30e623}">
          <xlrd:rvb i="11157"/>
        </ext>
      </extLst>
    </bk>
    <bk>
      <extLst>
        <ext uri="{3e2802c4-a4d2-4d8b-9148-e3be6c30e623}">
          <xlrd:rvb i="11158"/>
        </ext>
      </extLst>
    </bk>
    <bk>
      <extLst>
        <ext uri="{3e2802c4-a4d2-4d8b-9148-e3be6c30e623}">
          <xlrd:rvb i="11159"/>
        </ext>
      </extLst>
    </bk>
    <bk>
      <extLst>
        <ext uri="{3e2802c4-a4d2-4d8b-9148-e3be6c30e623}">
          <xlrd:rvb i="11160"/>
        </ext>
      </extLst>
    </bk>
    <bk>
      <extLst>
        <ext uri="{3e2802c4-a4d2-4d8b-9148-e3be6c30e623}">
          <xlrd:rvb i="11161"/>
        </ext>
      </extLst>
    </bk>
    <bk>
      <extLst>
        <ext uri="{3e2802c4-a4d2-4d8b-9148-e3be6c30e623}">
          <xlrd:rvb i="11162"/>
        </ext>
      </extLst>
    </bk>
    <bk>
      <extLst>
        <ext uri="{3e2802c4-a4d2-4d8b-9148-e3be6c30e623}">
          <xlrd:rvb i="11163"/>
        </ext>
      </extLst>
    </bk>
    <bk>
      <extLst>
        <ext uri="{3e2802c4-a4d2-4d8b-9148-e3be6c30e623}">
          <xlrd:rvb i="11164"/>
        </ext>
      </extLst>
    </bk>
    <bk>
      <extLst>
        <ext uri="{3e2802c4-a4d2-4d8b-9148-e3be6c30e623}">
          <xlrd:rvb i="11165"/>
        </ext>
      </extLst>
    </bk>
    <bk>
      <extLst>
        <ext uri="{3e2802c4-a4d2-4d8b-9148-e3be6c30e623}">
          <xlrd:rvb i="11166"/>
        </ext>
      </extLst>
    </bk>
    <bk>
      <extLst>
        <ext uri="{3e2802c4-a4d2-4d8b-9148-e3be6c30e623}">
          <xlrd:rvb i="11167"/>
        </ext>
      </extLst>
    </bk>
    <bk>
      <extLst>
        <ext uri="{3e2802c4-a4d2-4d8b-9148-e3be6c30e623}">
          <xlrd:rvb i="11168"/>
        </ext>
      </extLst>
    </bk>
    <bk>
      <extLst>
        <ext uri="{3e2802c4-a4d2-4d8b-9148-e3be6c30e623}">
          <xlrd:rvb i="11169"/>
        </ext>
      </extLst>
    </bk>
    <bk>
      <extLst>
        <ext uri="{3e2802c4-a4d2-4d8b-9148-e3be6c30e623}">
          <xlrd:rvb i="11170"/>
        </ext>
      </extLst>
    </bk>
    <bk>
      <extLst>
        <ext uri="{3e2802c4-a4d2-4d8b-9148-e3be6c30e623}">
          <xlrd:rvb i="11171"/>
        </ext>
      </extLst>
    </bk>
    <bk>
      <extLst>
        <ext uri="{3e2802c4-a4d2-4d8b-9148-e3be6c30e623}">
          <xlrd:rvb i="11172"/>
        </ext>
      </extLst>
    </bk>
    <bk>
      <extLst>
        <ext uri="{3e2802c4-a4d2-4d8b-9148-e3be6c30e623}">
          <xlrd:rvb i="11173"/>
        </ext>
      </extLst>
    </bk>
    <bk>
      <extLst>
        <ext uri="{3e2802c4-a4d2-4d8b-9148-e3be6c30e623}">
          <xlrd:rvb i="11174"/>
        </ext>
      </extLst>
    </bk>
    <bk>
      <extLst>
        <ext uri="{3e2802c4-a4d2-4d8b-9148-e3be6c30e623}">
          <xlrd:rvb i="11175"/>
        </ext>
      </extLst>
    </bk>
    <bk>
      <extLst>
        <ext uri="{3e2802c4-a4d2-4d8b-9148-e3be6c30e623}">
          <xlrd:rvb i="11176"/>
        </ext>
      </extLst>
    </bk>
    <bk>
      <extLst>
        <ext uri="{3e2802c4-a4d2-4d8b-9148-e3be6c30e623}">
          <xlrd:rvb i="11177"/>
        </ext>
      </extLst>
    </bk>
    <bk>
      <extLst>
        <ext uri="{3e2802c4-a4d2-4d8b-9148-e3be6c30e623}">
          <xlrd:rvb i="11178"/>
        </ext>
      </extLst>
    </bk>
    <bk>
      <extLst>
        <ext uri="{3e2802c4-a4d2-4d8b-9148-e3be6c30e623}">
          <xlrd:rvb i="11179"/>
        </ext>
      </extLst>
    </bk>
    <bk>
      <extLst>
        <ext uri="{3e2802c4-a4d2-4d8b-9148-e3be6c30e623}">
          <xlrd:rvb i="11180"/>
        </ext>
      </extLst>
    </bk>
    <bk>
      <extLst>
        <ext uri="{3e2802c4-a4d2-4d8b-9148-e3be6c30e623}">
          <xlrd:rvb i="11181"/>
        </ext>
      </extLst>
    </bk>
    <bk>
      <extLst>
        <ext uri="{3e2802c4-a4d2-4d8b-9148-e3be6c30e623}">
          <xlrd:rvb i="11182"/>
        </ext>
      </extLst>
    </bk>
    <bk>
      <extLst>
        <ext uri="{3e2802c4-a4d2-4d8b-9148-e3be6c30e623}">
          <xlrd:rvb i="11183"/>
        </ext>
      </extLst>
    </bk>
    <bk>
      <extLst>
        <ext uri="{3e2802c4-a4d2-4d8b-9148-e3be6c30e623}">
          <xlrd:rvb i="11184"/>
        </ext>
      </extLst>
    </bk>
    <bk>
      <extLst>
        <ext uri="{3e2802c4-a4d2-4d8b-9148-e3be6c30e623}">
          <xlrd:rvb i="11185"/>
        </ext>
      </extLst>
    </bk>
    <bk>
      <extLst>
        <ext uri="{3e2802c4-a4d2-4d8b-9148-e3be6c30e623}">
          <xlrd:rvb i="11186"/>
        </ext>
      </extLst>
    </bk>
    <bk>
      <extLst>
        <ext uri="{3e2802c4-a4d2-4d8b-9148-e3be6c30e623}">
          <xlrd:rvb i="11187"/>
        </ext>
      </extLst>
    </bk>
    <bk>
      <extLst>
        <ext uri="{3e2802c4-a4d2-4d8b-9148-e3be6c30e623}">
          <xlrd:rvb i="11188"/>
        </ext>
      </extLst>
    </bk>
    <bk>
      <extLst>
        <ext uri="{3e2802c4-a4d2-4d8b-9148-e3be6c30e623}">
          <xlrd:rvb i="11189"/>
        </ext>
      </extLst>
    </bk>
    <bk>
      <extLst>
        <ext uri="{3e2802c4-a4d2-4d8b-9148-e3be6c30e623}">
          <xlrd:rvb i="11190"/>
        </ext>
      </extLst>
    </bk>
    <bk>
      <extLst>
        <ext uri="{3e2802c4-a4d2-4d8b-9148-e3be6c30e623}">
          <xlrd:rvb i="11191"/>
        </ext>
      </extLst>
    </bk>
    <bk>
      <extLst>
        <ext uri="{3e2802c4-a4d2-4d8b-9148-e3be6c30e623}">
          <xlrd:rvb i="11192"/>
        </ext>
      </extLst>
    </bk>
    <bk>
      <extLst>
        <ext uri="{3e2802c4-a4d2-4d8b-9148-e3be6c30e623}">
          <xlrd:rvb i="11193"/>
        </ext>
      </extLst>
    </bk>
    <bk>
      <extLst>
        <ext uri="{3e2802c4-a4d2-4d8b-9148-e3be6c30e623}">
          <xlrd:rvb i="11194"/>
        </ext>
      </extLst>
    </bk>
    <bk>
      <extLst>
        <ext uri="{3e2802c4-a4d2-4d8b-9148-e3be6c30e623}">
          <xlrd:rvb i="11195"/>
        </ext>
      </extLst>
    </bk>
    <bk>
      <extLst>
        <ext uri="{3e2802c4-a4d2-4d8b-9148-e3be6c30e623}">
          <xlrd:rvb i="11196"/>
        </ext>
      </extLst>
    </bk>
    <bk>
      <extLst>
        <ext uri="{3e2802c4-a4d2-4d8b-9148-e3be6c30e623}">
          <xlrd:rvb i="11197"/>
        </ext>
      </extLst>
    </bk>
    <bk>
      <extLst>
        <ext uri="{3e2802c4-a4d2-4d8b-9148-e3be6c30e623}">
          <xlrd:rvb i="11198"/>
        </ext>
      </extLst>
    </bk>
    <bk>
      <extLst>
        <ext uri="{3e2802c4-a4d2-4d8b-9148-e3be6c30e623}">
          <xlrd:rvb i="11199"/>
        </ext>
      </extLst>
    </bk>
    <bk>
      <extLst>
        <ext uri="{3e2802c4-a4d2-4d8b-9148-e3be6c30e623}">
          <xlrd:rvb i="11200"/>
        </ext>
      </extLst>
    </bk>
    <bk>
      <extLst>
        <ext uri="{3e2802c4-a4d2-4d8b-9148-e3be6c30e623}">
          <xlrd:rvb i="11201"/>
        </ext>
      </extLst>
    </bk>
    <bk>
      <extLst>
        <ext uri="{3e2802c4-a4d2-4d8b-9148-e3be6c30e623}">
          <xlrd:rvb i="11202"/>
        </ext>
      </extLst>
    </bk>
    <bk>
      <extLst>
        <ext uri="{3e2802c4-a4d2-4d8b-9148-e3be6c30e623}">
          <xlrd:rvb i="11203"/>
        </ext>
      </extLst>
    </bk>
    <bk>
      <extLst>
        <ext uri="{3e2802c4-a4d2-4d8b-9148-e3be6c30e623}">
          <xlrd:rvb i="11204"/>
        </ext>
      </extLst>
    </bk>
    <bk>
      <extLst>
        <ext uri="{3e2802c4-a4d2-4d8b-9148-e3be6c30e623}">
          <xlrd:rvb i="11205"/>
        </ext>
      </extLst>
    </bk>
    <bk>
      <extLst>
        <ext uri="{3e2802c4-a4d2-4d8b-9148-e3be6c30e623}">
          <xlrd:rvb i="11206"/>
        </ext>
      </extLst>
    </bk>
    <bk>
      <extLst>
        <ext uri="{3e2802c4-a4d2-4d8b-9148-e3be6c30e623}">
          <xlrd:rvb i="11207"/>
        </ext>
      </extLst>
    </bk>
    <bk>
      <extLst>
        <ext uri="{3e2802c4-a4d2-4d8b-9148-e3be6c30e623}">
          <xlrd:rvb i="11208"/>
        </ext>
      </extLst>
    </bk>
    <bk>
      <extLst>
        <ext uri="{3e2802c4-a4d2-4d8b-9148-e3be6c30e623}">
          <xlrd:rvb i="11209"/>
        </ext>
      </extLst>
    </bk>
    <bk>
      <extLst>
        <ext uri="{3e2802c4-a4d2-4d8b-9148-e3be6c30e623}">
          <xlrd:rvb i="11210"/>
        </ext>
      </extLst>
    </bk>
    <bk>
      <extLst>
        <ext uri="{3e2802c4-a4d2-4d8b-9148-e3be6c30e623}">
          <xlrd:rvb i="11211"/>
        </ext>
      </extLst>
    </bk>
    <bk>
      <extLst>
        <ext uri="{3e2802c4-a4d2-4d8b-9148-e3be6c30e623}">
          <xlrd:rvb i="11212"/>
        </ext>
      </extLst>
    </bk>
    <bk>
      <extLst>
        <ext uri="{3e2802c4-a4d2-4d8b-9148-e3be6c30e623}">
          <xlrd:rvb i="11213"/>
        </ext>
      </extLst>
    </bk>
    <bk>
      <extLst>
        <ext uri="{3e2802c4-a4d2-4d8b-9148-e3be6c30e623}">
          <xlrd:rvb i="11214"/>
        </ext>
      </extLst>
    </bk>
    <bk>
      <extLst>
        <ext uri="{3e2802c4-a4d2-4d8b-9148-e3be6c30e623}">
          <xlrd:rvb i="11215"/>
        </ext>
      </extLst>
    </bk>
    <bk>
      <extLst>
        <ext uri="{3e2802c4-a4d2-4d8b-9148-e3be6c30e623}">
          <xlrd:rvb i="11216"/>
        </ext>
      </extLst>
    </bk>
    <bk>
      <extLst>
        <ext uri="{3e2802c4-a4d2-4d8b-9148-e3be6c30e623}">
          <xlrd:rvb i="11217"/>
        </ext>
      </extLst>
    </bk>
    <bk>
      <extLst>
        <ext uri="{3e2802c4-a4d2-4d8b-9148-e3be6c30e623}">
          <xlrd:rvb i="11218"/>
        </ext>
      </extLst>
    </bk>
    <bk>
      <extLst>
        <ext uri="{3e2802c4-a4d2-4d8b-9148-e3be6c30e623}">
          <xlrd:rvb i="11219"/>
        </ext>
      </extLst>
    </bk>
    <bk>
      <extLst>
        <ext uri="{3e2802c4-a4d2-4d8b-9148-e3be6c30e623}">
          <xlrd:rvb i="11220"/>
        </ext>
      </extLst>
    </bk>
    <bk>
      <extLst>
        <ext uri="{3e2802c4-a4d2-4d8b-9148-e3be6c30e623}">
          <xlrd:rvb i="11221"/>
        </ext>
      </extLst>
    </bk>
    <bk>
      <extLst>
        <ext uri="{3e2802c4-a4d2-4d8b-9148-e3be6c30e623}">
          <xlrd:rvb i="11222"/>
        </ext>
      </extLst>
    </bk>
    <bk>
      <extLst>
        <ext uri="{3e2802c4-a4d2-4d8b-9148-e3be6c30e623}">
          <xlrd:rvb i="11223"/>
        </ext>
      </extLst>
    </bk>
    <bk>
      <extLst>
        <ext uri="{3e2802c4-a4d2-4d8b-9148-e3be6c30e623}">
          <xlrd:rvb i="11224"/>
        </ext>
      </extLst>
    </bk>
    <bk>
      <extLst>
        <ext uri="{3e2802c4-a4d2-4d8b-9148-e3be6c30e623}">
          <xlrd:rvb i="11225"/>
        </ext>
      </extLst>
    </bk>
    <bk>
      <extLst>
        <ext uri="{3e2802c4-a4d2-4d8b-9148-e3be6c30e623}">
          <xlrd:rvb i="11226"/>
        </ext>
      </extLst>
    </bk>
    <bk>
      <extLst>
        <ext uri="{3e2802c4-a4d2-4d8b-9148-e3be6c30e623}">
          <xlrd:rvb i="11227"/>
        </ext>
      </extLst>
    </bk>
    <bk>
      <extLst>
        <ext uri="{3e2802c4-a4d2-4d8b-9148-e3be6c30e623}">
          <xlrd:rvb i="11228"/>
        </ext>
      </extLst>
    </bk>
    <bk>
      <extLst>
        <ext uri="{3e2802c4-a4d2-4d8b-9148-e3be6c30e623}">
          <xlrd:rvb i="11229"/>
        </ext>
      </extLst>
    </bk>
    <bk>
      <extLst>
        <ext uri="{3e2802c4-a4d2-4d8b-9148-e3be6c30e623}">
          <xlrd:rvb i="11230"/>
        </ext>
      </extLst>
    </bk>
    <bk>
      <extLst>
        <ext uri="{3e2802c4-a4d2-4d8b-9148-e3be6c30e623}">
          <xlrd:rvb i="11231"/>
        </ext>
      </extLst>
    </bk>
    <bk>
      <extLst>
        <ext uri="{3e2802c4-a4d2-4d8b-9148-e3be6c30e623}">
          <xlrd:rvb i="11232"/>
        </ext>
      </extLst>
    </bk>
    <bk>
      <extLst>
        <ext uri="{3e2802c4-a4d2-4d8b-9148-e3be6c30e623}">
          <xlrd:rvb i="11233"/>
        </ext>
      </extLst>
    </bk>
    <bk>
      <extLst>
        <ext uri="{3e2802c4-a4d2-4d8b-9148-e3be6c30e623}">
          <xlrd:rvb i="11234"/>
        </ext>
      </extLst>
    </bk>
    <bk>
      <extLst>
        <ext uri="{3e2802c4-a4d2-4d8b-9148-e3be6c30e623}">
          <xlrd:rvb i="11235"/>
        </ext>
      </extLst>
    </bk>
    <bk>
      <extLst>
        <ext uri="{3e2802c4-a4d2-4d8b-9148-e3be6c30e623}">
          <xlrd:rvb i="11236"/>
        </ext>
      </extLst>
    </bk>
    <bk>
      <extLst>
        <ext uri="{3e2802c4-a4d2-4d8b-9148-e3be6c30e623}">
          <xlrd:rvb i="11237"/>
        </ext>
      </extLst>
    </bk>
    <bk>
      <extLst>
        <ext uri="{3e2802c4-a4d2-4d8b-9148-e3be6c30e623}">
          <xlrd:rvb i="11238"/>
        </ext>
      </extLst>
    </bk>
    <bk>
      <extLst>
        <ext uri="{3e2802c4-a4d2-4d8b-9148-e3be6c30e623}">
          <xlrd:rvb i="11239"/>
        </ext>
      </extLst>
    </bk>
    <bk>
      <extLst>
        <ext uri="{3e2802c4-a4d2-4d8b-9148-e3be6c30e623}">
          <xlrd:rvb i="11240"/>
        </ext>
      </extLst>
    </bk>
    <bk>
      <extLst>
        <ext uri="{3e2802c4-a4d2-4d8b-9148-e3be6c30e623}">
          <xlrd:rvb i="11241"/>
        </ext>
      </extLst>
    </bk>
    <bk>
      <extLst>
        <ext uri="{3e2802c4-a4d2-4d8b-9148-e3be6c30e623}">
          <xlrd:rvb i="11242"/>
        </ext>
      </extLst>
    </bk>
    <bk>
      <extLst>
        <ext uri="{3e2802c4-a4d2-4d8b-9148-e3be6c30e623}">
          <xlrd:rvb i="11243"/>
        </ext>
      </extLst>
    </bk>
    <bk>
      <extLst>
        <ext uri="{3e2802c4-a4d2-4d8b-9148-e3be6c30e623}">
          <xlrd:rvb i="11244"/>
        </ext>
      </extLst>
    </bk>
    <bk>
      <extLst>
        <ext uri="{3e2802c4-a4d2-4d8b-9148-e3be6c30e623}">
          <xlrd:rvb i="11245"/>
        </ext>
      </extLst>
    </bk>
    <bk>
      <extLst>
        <ext uri="{3e2802c4-a4d2-4d8b-9148-e3be6c30e623}">
          <xlrd:rvb i="11246"/>
        </ext>
      </extLst>
    </bk>
    <bk>
      <extLst>
        <ext uri="{3e2802c4-a4d2-4d8b-9148-e3be6c30e623}">
          <xlrd:rvb i="11247"/>
        </ext>
      </extLst>
    </bk>
    <bk>
      <extLst>
        <ext uri="{3e2802c4-a4d2-4d8b-9148-e3be6c30e623}">
          <xlrd:rvb i="11248"/>
        </ext>
      </extLst>
    </bk>
    <bk>
      <extLst>
        <ext uri="{3e2802c4-a4d2-4d8b-9148-e3be6c30e623}">
          <xlrd:rvb i="11249"/>
        </ext>
      </extLst>
    </bk>
    <bk>
      <extLst>
        <ext uri="{3e2802c4-a4d2-4d8b-9148-e3be6c30e623}">
          <xlrd:rvb i="11250"/>
        </ext>
      </extLst>
    </bk>
    <bk>
      <extLst>
        <ext uri="{3e2802c4-a4d2-4d8b-9148-e3be6c30e623}">
          <xlrd:rvb i="11251"/>
        </ext>
      </extLst>
    </bk>
    <bk>
      <extLst>
        <ext uri="{3e2802c4-a4d2-4d8b-9148-e3be6c30e623}">
          <xlrd:rvb i="11252"/>
        </ext>
      </extLst>
    </bk>
    <bk>
      <extLst>
        <ext uri="{3e2802c4-a4d2-4d8b-9148-e3be6c30e623}">
          <xlrd:rvb i="11253"/>
        </ext>
      </extLst>
    </bk>
    <bk>
      <extLst>
        <ext uri="{3e2802c4-a4d2-4d8b-9148-e3be6c30e623}">
          <xlrd:rvb i="11254"/>
        </ext>
      </extLst>
    </bk>
    <bk>
      <extLst>
        <ext uri="{3e2802c4-a4d2-4d8b-9148-e3be6c30e623}">
          <xlrd:rvb i="11255"/>
        </ext>
      </extLst>
    </bk>
    <bk>
      <extLst>
        <ext uri="{3e2802c4-a4d2-4d8b-9148-e3be6c30e623}">
          <xlrd:rvb i="11256"/>
        </ext>
      </extLst>
    </bk>
    <bk>
      <extLst>
        <ext uri="{3e2802c4-a4d2-4d8b-9148-e3be6c30e623}">
          <xlrd:rvb i="11257"/>
        </ext>
      </extLst>
    </bk>
    <bk>
      <extLst>
        <ext uri="{3e2802c4-a4d2-4d8b-9148-e3be6c30e623}">
          <xlrd:rvb i="11258"/>
        </ext>
      </extLst>
    </bk>
    <bk>
      <extLst>
        <ext uri="{3e2802c4-a4d2-4d8b-9148-e3be6c30e623}">
          <xlrd:rvb i="11259"/>
        </ext>
      </extLst>
    </bk>
    <bk>
      <extLst>
        <ext uri="{3e2802c4-a4d2-4d8b-9148-e3be6c30e623}">
          <xlrd:rvb i="11260"/>
        </ext>
      </extLst>
    </bk>
    <bk>
      <extLst>
        <ext uri="{3e2802c4-a4d2-4d8b-9148-e3be6c30e623}">
          <xlrd:rvb i="11261"/>
        </ext>
      </extLst>
    </bk>
    <bk>
      <extLst>
        <ext uri="{3e2802c4-a4d2-4d8b-9148-e3be6c30e623}">
          <xlrd:rvb i="11262"/>
        </ext>
      </extLst>
    </bk>
    <bk>
      <extLst>
        <ext uri="{3e2802c4-a4d2-4d8b-9148-e3be6c30e623}">
          <xlrd:rvb i="11263"/>
        </ext>
      </extLst>
    </bk>
    <bk>
      <extLst>
        <ext uri="{3e2802c4-a4d2-4d8b-9148-e3be6c30e623}">
          <xlrd:rvb i="11264"/>
        </ext>
      </extLst>
    </bk>
    <bk>
      <extLst>
        <ext uri="{3e2802c4-a4d2-4d8b-9148-e3be6c30e623}">
          <xlrd:rvb i="11265"/>
        </ext>
      </extLst>
    </bk>
    <bk>
      <extLst>
        <ext uri="{3e2802c4-a4d2-4d8b-9148-e3be6c30e623}">
          <xlrd:rvb i="11266"/>
        </ext>
      </extLst>
    </bk>
    <bk>
      <extLst>
        <ext uri="{3e2802c4-a4d2-4d8b-9148-e3be6c30e623}">
          <xlrd:rvb i="11267"/>
        </ext>
      </extLst>
    </bk>
    <bk>
      <extLst>
        <ext uri="{3e2802c4-a4d2-4d8b-9148-e3be6c30e623}">
          <xlrd:rvb i="11268"/>
        </ext>
      </extLst>
    </bk>
    <bk>
      <extLst>
        <ext uri="{3e2802c4-a4d2-4d8b-9148-e3be6c30e623}">
          <xlrd:rvb i="11269"/>
        </ext>
      </extLst>
    </bk>
    <bk>
      <extLst>
        <ext uri="{3e2802c4-a4d2-4d8b-9148-e3be6c30e623}">
          <xlrd:rvb i="11270"/>
        </ext>
      </extLst>
    </bk>
    <bk>
      <extLst>
        <ext uri="{3e2802c4-a4d2-4d8b-9148-e3be6c30e623}">
          <xlrd:rvb i="11271"/>
        </ext>
      </extLst>
    </bk>
    <bk>
      <extLst>
        <ext uri="{3e2802c4-a4d2-4d8b-9148-e3be6c30e623}">
          <xlrd:rvb i="11272"/>
        </ext>
      </extLst>
    </bk>
    <bk>
      <extLst>
        <ext uri="{3e2802c4-a4d2-4d8b-9148-e3be6c30e623}">
          <xlrd:rvb i="11273"/>
        </ext>
      </extLst>
    </bk>
    <bk>
      <extLst>
        <ext uri="{3e2802c4-a4d2-4d8b-9148-e3be6c30e623}">
          <xlrd:rvb i="11274"/>
        </ext>
      </extLst>
    </bk>
    <bk>
      <extLst>
        <ext uri="{3e2802c4-a4d2-4d8b-9148-e3be6c30e623}">
          <xlrd:rvb i="11275"/>
        </ext>
      </extLst>
    </bk>
    <bk>
      <extLst>
        <ext uri="{3e2802c4-a4d2-4d8b-9148-e3be6c30e623}">
          <xlrd:rvb i="11276"/>
        </ext>
      </extLst>
    </bk>
    <bk>
      <extLst>
        <ext uri="{3e2802c4-a4d2-4d8b-9148-e3be6c30e623}">
          <xlrd:rvb i="11277"/>
        </ext>
      </extLst>
    </bk>
    <bk>
      <extLst>
        <ext uri="{3e2802c4-a4d2-4d8b-9148-e3be6c30e623}">
          <xlrd:rvb i="11278"/>
        </ext>
      </extLst>
    </bk>
    <bk>
      <extLst>
        <ext uri="{3e2802c4-a4d2-4d8b-9148-e3be6c30e623}">
          <xlrd:rvb i="11279"/>
        </ext>
      </extLst>
    </bk>
    <bk>
      <extLst>
        <ext uri="{3e2802c4-a4d2-4d8b-9148-e3be6c30e623}">
          <xlrd:rvb i="11280"/>
        </ext>
      </extLst>
    </bk>
    <bk>
      <extLst>
        <ext uri="{3e2802c4-a4d2-4d8b-9148-e3be6c30e623}">
          <xlrd:rvb i="11281"/>
        </ext>
      </extLst>
    </bk>
    <bk>
      <extLst>
        <ext uri="{3e2802c4-a4d2-4d8b-9148-e3be6c30e623}">
          <xlrd:rvb i="11282"/>
        </ext>
      </extLst>
    </bk>
    <bk>
      <extLst>
        <ext uri="{3e2802c4-a4d2-4d8b-9148-e3be6c30e623}">
          <xlrd:rvb i="11283"/>
        </ext>
      </extLst>
    </bk>
    <bk>
      <extLst>
        <ext uri="{3e2802c4-a4d2-4d8b-9148-e3be6c30e623}">
          <xlrd:rvb i="11284"/>
        </ext>
      </extLst>
    </bk>
    <bk>
      <extLst>
        <ext uri="{3e2802c4-a4d2-4d8b-9148-e3be6c30e623}">
          <xlrd:rvb i="11285"/>
        </ext>
      </extLst>
    </bk>
    <bk>
      <extLst>
        <ext uri="{3e2802c4-a4d2-4d8b-9148-e3be6c30e623}">
          <xlrd:rvb i="11286"/>
        </ext>
      </extLst>
    </bk>
    <bk>
      <extLst>
        <ext uri="{3e2802c4-a4d2-4d8b-9148-e3be6c30e623}">
          <xlrd:rvb i="11287"/>
        </ext>
      </extLst>
    </bk>
    <bk>
      <extLst>
        <ext uri="{3e2802c4-a4d2-4d8b-9148-e3be6c30e623}">
          <xlrd:rvb i="11288"/>
        </ext>
      </extLst>
    </bk>
    <bk>
      <extLst>
        <ext uri="{3e2802c4-a4d2-4d8b-9148-e3be6c30e623}">
          <xlrd:rvb i="11289"/>
        </ext>
      </extLst>
    </bk>
    <bk>
      <extLst>
        <ext uri="{3e2802c4-a4d2-4d8b-9148-e3be6c30e623}">
          <xlrd:rvb i="11290"/>
        </ext>
      </extLst>
    </bk>
    <bk>
      <extLst>
        <ext uri="{3e2802c4-a4d2-4d8b-9148-e3be6c30e623}">
          <xlrd:rvb i="11291"/>
        </ext>
      </extLst>
    </bk>
    <bk>
      <extLst>
        <ext uri="{3e2802c4-a4d2-4d8b-9148-e3be6c30e623}">
          <xlrd:rvb i="11292"/>
        </ext>
      </extLst>
    </bk>
    <bk>
      <extLst>
        <ext uri="{3e2802c4-a4d2-4d8b-9148-e3be6c30e623}">
          <xlrd:rvb i="11293"/>
        </ext>
      </extLst>
    </bk>
    <bk>
      <extLst>
        <ext uri="{3e2802c4-a4d2-4d8b-9148-e3be6c30e623}">
          <xlrd:rvb i="11294"/>
        </ext>
      </extLst>
    </bk>
    <bk>
      <extLst>
        <ext uri="{3e2802c4-a4d2-4d8b-9148-e3be6c30e623}">
          <xlrd:rvb i="11295"/>
        </ext>
      </extLst>
    </bk>
    <bk>
      <extLst>
        <ext uri="{3e2802c4-a4d2-4d8b-9148-e3be6c30e623}">
          <xlrd:rvb i="11296"/>
        </ext>
      </extLst>
    </bk>
    <bk>
      <extLst>
        <ext uri="{3e2802c4-a4d2-4d8b-9148-e3be6c30e623}">
          <xlrd:rvb i="11297"/>
        </ext>
      </extLst>
    </bk>
    <bk>
      <extLst>
        <ext uri="{3e2802c4-a4d2-4d8b-9148-e3be6c30e623}">
          <xlrd:rvb i="11298"/>
        </ext>
      </extLst>
    </bk>
    <bk>
      <extLst>
        <ext uri="{3e2802c4-a4d2-4d8b-9148-e3be6c30e623}">
          <xlrd:rvb i="11299"/>
        </ext>
      </extLst>
    </bk>
    <bk>
      <extLst>
        <ext uri="{3e2802c4-a4d2-4d8b-9148-e3be6c30e623}">
          <xlrd:rvb i="11300"/>
        </ext>
      </extLst>
    </bk>
    <bk>
      <extLst>
        <ext uri="{3e2802c4-a4d2-4d8b-9148-e3be6c30e623}">
          <xlrd:rvb i="11301"/>
        </ext>
      </extLst>
    </bk>
    <bk>
      <extLst>
        <ext uri="{3e2802c4-a4d2-4d8b-9148-e3be6c30e623}">
          <xlrd:rvb i="11302"/>
        </ext>
      </extLst>
    </bk>
    <bk>
      <extLst>
        <ext uri="{3e2802c4-a4d2-4d8b-9148-e3be6c30e623}">
          <xlrd:rvb i="11303"/>
        </ext>
      </extLst>
    </bk>
    <bk>
      <extLst>
        <ext uri="{3e2802c4-a4d2-4d8b-9148-e3be6c30e623}">
          <xlrd:rvb i="11304"/>
        </ext>
      </extLst>
    </bk>
    <bk>
      <extLst>
        <ext uri="{3e2802c4-a4d2-4d8b-9148-e3be6c30e623}">
          <xlrd:rvb i="11305"/>
        </ext>
      </extLst>
    </bk>
    <bk>
      <extLst>
        <ext uri="{3e2802c4-a4d2-4d8b-9148-e3be6c30e623}">
          <xlrd:rvb i="11306"/>
        </ext>
      </extLst>
    </bk>
    <bk>
      <extLst>
        <ext uri="{3e2802c4-a4d2-4d8b-9148-e3be6c30e623}">
          <xlrd:rvb i="11307"/>
        </ext>
      </extLst>
    </bk>
    <bk>
      <extLst>
        <ext uri="{3e2802c4-a4d2-4d8b-9148-e3be6c30e623}">
          <xlrd:rvb i="11308"/>
        </ext>
      </extLst>
    </bk>
    <bk>
      <extLst>
        <ext uri="{3e2802c4-a4d2-4d8b-9148-e3be6c30e623}">
          <xlrd:rvb i="11309"/>
        </ext>
      </extLst>
    </bk>
    <bk>
      <extLst>
        <ext uri="{3e2802c4-a4d2-4d8b-9148-e3be6c30e623}">
          <xlrd:rvb i="11310"/>
        </ext>
      </extLst>
    </bk>
    <bk>
      <extLst>
        <ext uri="{3e2802c4-a4d2-4d8b-9148-e3be6c30e623}">
          <xlrd:rvb i="11311"/>
        </ext>
      </extLst>
    </bk>
    <bk>
      <extLst>
        <ext uri="{3e2802c4-a4d2-4d8b-9148-e3be6c30e623}">
          <xlrd:rvb i="11312"/>
        </ext>
      </extLst>
    </bk>
    <bk>
      <extLst>
        <ext uri="{3e2802c4-a4d2-4d8b-9148-e3be6c30e623}">
          <xlrd:rvb i="11313"/>
        </ext>
      </extLst>
    </bk>
    <bk>
      <extLst>
        <ext uri="{3e2802c4-a4d2-4d8b-9148-e3be6c30e623}">
          <xlrd:rvb i="11314"/>
        </ext>
      </extLst>
    </bk>
    <bk>
      <extLst>
        <ext uri="{3e2802c4-a4d2-4d8b-9148-e3be6c30e623}">
          <xlrd:rvb i="11315"/>
        </ext>
      </extLst>
    </bk>
    <bk>
      <extLst>
        <ext uri="{3e2802c4-a4d2-4d8b-9148-e3be6c30e623}">
          <xlrd:rvb i="11316"/>
        </ext>
      </extLst>
    </bk>
    <bk>
      <extLst>
        <ext uri="{3e2802c4-a4d2-4d8b-9148-e3be6c30e623}">
          <xlrd:rvb i="11317"/>
        </ext>
      </extLst>
    </bk>
    <bk>
      <extLst>
        <ext uri="{3e2802c4-a4d2-4d8b-9148-e3be6c30e623}">
          <xlrd:rvb i="11318"/>
        </ext>
      </extLst>
    </bk>
    <bk>
      <extLst>
        <ext uri="{3e2802c4-a4d2-4d8b-9148-e3be6c30e623}">
          <xlrd:rvb i="11319"/>
        </ext>
      </extLst>
    </bk>
    <bk>
      <extLst>
        <ext uri="{3e2802c4-a4d2-4d8b-9148-e3be6c30e623}">
          <xlrd:rvb i="11320"/>
        </ext>
      </extLst>
    </bk>
    <bk>
      <extLst>
        <ext uri="{3e2802c4-a4d2-4d8b-9148-e3be6c30e623}">
          <xlrd:rvb i="11321"/>
        </ext>
      </extLst>
    </bk>
    <bk>
      <extLst>
        <ext uri="{3e2802c4-a4d2-4d8b-9148-e3be6c30e623}">
          <xlrd:rvb i="11322"/>
        </ext>
      </extLst>
    </bk>
    <bk>
      <extLst>
        <ext uri="{3e2802c4-a4d2-4d8b-9148-e3be6c30e623}">
          <xlrd:rvb i="11323"/>
        </ext>
      </extLst>
    </bk>
    <bk>
      <extLst>
        <ext uri="{3e2802c4-a4d2-4d8b-9148-e3be6c30e623}">
          <xlrd:rvb i="11324"/>
        </ext>
      </extLst>
    </bk>
    <bk>
      <extLst>
        <ext uri="{3e2802c4-a4d2-4d8b-9148-e3be6c30e623}">
          <xlrd:rvb i="11325"/>
        </ext>
      </extLst>
    </bk>
    <bk>
      <extLst>
        <ext uri="{3e2802c4-a4d2-4d8b-9148-e3be6c30e623}">
          <xlrd:rvb i="11326"/>
        </ext>
      </extLst>
    </bk>
    <bk>
      <extLst>
        <ext uri="{3e2802c4-a4d2-4d8b-9148-e3be6c30e623}">
          <xlrd:rvb i="11327"/>
        </ext>
      </extLst>
    </bk>
    <bk>
      <extLst>
        <ext uri="{3e2802c4-a4d2-4d8b-9148-e3be6c30e623}">
          <xlrd:rvb i="11328"/>
        </ext>
      </extLst>
    </bk>
    <bk>
      <extLst>
        <ext uri="{3e2802c4-a4d2-4d8b-9148-e3be6c30e623}">
          <xlrd:rvb i="11329"/>
        </ext>
      </extLst>
    </bk>
    <bk>
      <extLst>
        <ext uri="{3e2802c4-a4d2-4d8b-9148-e3be6c30e623}">
          <xlrd:rvb i="11330"/>
        </ext>
      </extLst>
    </bk>
    <bk>
      <extLst>
        <ext uri="{3e2802c4-a4d2-4d8b-9148-e3be6c30e623}">
          <xlrd:rvb i="11331"/>
        </ext>
      </extLst>
    </bk>
    <bk>
      <extLst>
        <ext uri="{3e2802c4-a4d2-4d8b-9148-e3be6c30e623}">
          <xlrd:rvb i="11332"/>
        </ext>
      </extLst>
    </bk>
    <bk>
      <extLst>
        <ext uri="{3e2802c4-a4d2-4d8b-9148-e3be6c30e623}">
          <xlrd:rvb i="11333"/>
        </ext>
      </extLst>
    </bk>
    <bk>
      <extLst>
        <ext uri="{3e2802c4-a4d2-4d8b-9148-e3be6c30e623}">
          <xlrd:rvb i="11334"/>
        </ext>
      </extLst>
    </bk>
    <bk>
      <extLst>
        <ext uri="{3e2802c4-a4d2-4d8b-9148-e3be6c30e623}">
          <xlrd:rvb i="11335"/>
        </ext>
      </extLst>
    </bk>
    <bk>
      <extLst>
        <ext uri="{3e2802c4-a4d2-4d8b-9148-e3be6c30e623}">
          <xlrd:rvb i="11336"/>
        </ext>
      </extLst>
    </bk>
    <bk>
      <extLst>
        <ext uri="{3e2802c4-a4d2-4d8b-9148-e3be6c30e623}">
          <xlrd:rvb i="11337"/>
        </ext>
      </extLst>
    </bk>
    <bk>
      <extLst>
        <ext uri="{3e2802c4-a4d2-4d8b-9148-e3be6c30e623}">
          <xlrd:rvb i="11338"/>
        </ext>
      </extLst>
    </bk>
    <bk>
      <extLst>
        <ext uri="{3e2802c4-a4d2-4d8b-9148-e3be6c30e623}">
          <xlrd:rvb i="11339"/>
        </ext>
      </extLst>
    </bk>
    <bk>
      <extLst>
        <ext uri="{3e2802c4-a4d2-4d8b-9148-e3be6c30e623}">
          <xlrd:rvb i="11340"/>
        </ext>
      </extLst>
    </bk>
    <bk>
      <extLst>
        <ext uri="{3e2802c4-a4d2-4d8b-9148-e3be6c30e623}">
          <xlrd:rvb i="11341"/>
        </ext>
      </extLst>
    </bk>
    <bk>
      <extLst>
        <ext uri="{3e2802c4-a4d2-4d8b-9148-e3be6c30e623}">
          <xlrd:rvb i="11342"/>
        </ext>
      </extLst>
    </bk>
    <bk>
      <extLst>
        <ext uri="{3e2802c4-a4d2-4d8b-9148-e3be6c30e623}">
          <xlrd:rvb i="11343"/>
        </ext>
      </extLst>
    </bk>
    <bk>
      <extLst>
        <ext uri="{3e2802c4-a4d2-4d8b-9148-e3be6c30e623}">
          <xlrd:rvb i="11344"/>
        </ext>
      </extLst>
    </bk>
    <bk>
      <extLst>
        <ext uri="{3e2802c4-a4d2-4d8b-9148-e3be6c30e623}">
          <xlrd:rvb i="11345"/>
        </ext>
      </extLst>
    </bk>
    <bk>
      <extLst>
        <ext uri="{3e2802c4-a4d2-4d8b-9148-e3be6c30e623}">
          <xlrd:rvb i="11346"/>
        </ext>
      </extLst>
    </bk>
    <bk>
      <extLst>
        <ext uri="{3e2802c4-a4d2-4d8b-9148-e3be6c30e623}">
          <xlrd:rvb i="11347"/>
        </ext>
      </extLst>
    </bk>
    <bk>
      <extLst>
        <ext uri="{3e2802c4-a4d2-4d8b-9148-e3be6c30e623}">
          <xlrd:rvb i="11348"/>
        </ext>
      </extLst>
    </bk>
    <bk>
      <extLst>
        <ext uri="{3e2802c4-a4d2-4d8b-9148-e3be6c30e623}">
          <xlrd:rvb i="11349"/>
        </ext>
      </extLst>
    </bk>
    <bk>
      <extLst>
        <ext uri="{3e2802c4-a4d2-4d8b-9148-e3be6c30e623}">
          <xlrd:rvb i="11350"/>
        </ext>
      </extLst>
    </bk>
    <bk>
      <extLst>
        <ext uri="{3e2802c4-a4d2-4d8b-9148-e3be6c30e623}">
          <xlrd:rvb i="11351"/>
        </ext>
      </extLst>
    </bk>
    <bk>
      <extLst>
        <ext uri="{3e2802c4-a4d2-4d8b-9148-e3be6c30e623}">
          <xlrd:rvb i="11352"/>
        </ext>
      </extLst>
    </bk>
    <bk>
      <extLst>
        <ext uri="{3e2802c4-a4d2-4d8b-9148-e3be6c30e623}">
          <xlrd:rvb i="11353"/>
        </ext>
      </extLst>
    </bk>
    <bk>
      <extLst>
        <ext uri="{3e2802c4-a4d2-4d8b-9148-e3be6c30e623}">
          <xlrd:rvb i="11354"/>
        </ext>
      </extLst>
    </bk>
    <bk>
      <extLst>
        <ext uri="{3e2802c4-a4d2-4d8b-9148-e3be6c30e623}">
          <xlrd:rvb i="11355"/>
        </ext>
      </extLst>
    </bk>
    <bk>
      <extLst>
        <ext uri="{3e2802c4-a4d2-4d8b-9148-e3be6c30e623}">
          <xlrd:rvb i="11356"/>
        </ext>
      </extLst>
    </bk>
    <bk>
      <extLst>
        <ext uri="{3e2802c4-a4d2-4d8b-9148-e3be6c30e623}">
          <xlrd:rvb i="11357"/>
        </ext>
      </extLst>
    </bk>
    <bk>
      <extLst>
        <ext uri="{3e2802c4-a4d2-4d8b-9148-e3be6c30e623}">
          <xlrd:rvb i="11358"/>
        </ext>
      </extLst>
    </bk>
    <bk>
      <extLst>
        <ext uri="{3e2802c4-a4d2-4d8b-9148-e3be6c30e623}">
          <xlrd:rvb i="11359"/>
        </ext>
      </extLst>
    </bk>
    <bk>
      <extLst>
        <ext uri="{3e2802c4-a4d2-4d8b-9148-e3be6c30e623}">
          <xlrd:rvb i="11360"/>
        </ext>
      </extLst>
    </bk>
    <bk>
      <extLst>
        <ext uri="{3e2802c4-a4d2-4d8b-9148-e3be6c30e623}">
          <xlrd:rvb i="11361"/>
        </ext>
      </extLst>
    </bk>
    <bk>
      <extLst>
        <ext uri="{3e2802c4-a4d2-4d8b-9148-e3be6c30e623}">
          <xlrd:rvb i="11362"/>
        </ext>
      </extLst>
    </bk>
    <bk>
      <extLst>
        <ext uri="{3e2802c4-a4d2-4d8b-9148-e3be6c30e623}">
          <xlrd:rvb i="11363"/>
        </ext>
      </extLst>
    </bk>
    <bk>
      <extLst>
        <ext uri="{3e2802c4-a4d2-4d8b-9148-e3be6c30e623}">
          <xlrd:rvb i="11364"/>
        </ext>
      </extLst>
    </bk>
    <bk>
      <extLst>
        <ext uri="{3e2802c4-a4d2-4d8b-9148-e3be6c30e623}">
          <xlrd:rvb i="11365"/>
        </ext>
      </extLst>
    </bk>
    <bk>
      <extLst>
        <ext uri="{3e2802c4-a4d2-4d8b-9148-e3be6c30e623}">
          <xlrd:rvb i="11366"/>
        </ext>
      </extLst>
    </bk>
    <bk>
      <extLst>
        <ext uri="{3e2802c4-a4d2-4d8b-9148-e3be6c30e623}">
          <xlrd:rvb i="11367"/>
        </ext>
      </extLst>
    </bk>
    <bk>
      <extLst>
        <ext uri="{3e2802c4-a4d2-4d8b-9148-e3be6c30e623}">
          <xlrd:rvb i="11368"/>
        </ext>
      </extLst>
    </bk>
    <bk>
      <extLst>
        <ext uri="{3e2802c4-a4d2-4d8b-9148-e3be6c30e623}">
          <xlrd:rvb i="11369"/>
        </ext>
      </extLst>
    </bk>
    <bk>
      <extLst>
        <ext uri="{3e2802c4-a4d2-4d8b-9148-e3be6c30e623}">
          <xlrd:rvb i="11370"/>
        </ext>
      </extLst>
    </bk>
    <bk>
      <extLst>
        <ext uri="{3e2802c4-a4d2-4d8b-9148-e3be6c30e623}">
          <xlrd:rvb i="11371"/>
        </ext>
      </extLst>
    </bk>
    <bk>
      <extLst>
        <ext uri="{3e2802c4-a4d2-4d8b-9148-e3be6c30e623}">
          <xlrd:rvb i="11372"/>
        </ext>
      </extLst>
    </bk>
    <bk>
      <extLst>
        <ext uri="{3e2802c4-a4d2-4d8b-9148-e3be6c30e623}">
          <xlrd:rvb i="11373"/>
        </ext>
      </extLst>
    </bk>
    <bk>
      <extLst>
        <ext uri="{3e2802c4-a4d2-4d8b-9148-e3be6c30e623}">
          <xlrd:rvb i="11374"/>
        </ext>
      </extLst>
    </bk>
    <bk>
      <extLst>
        <ext uri="{3e2802c4-a4d2-4d8b-9148-e3be6c30e623}">
          <xlrd:rvb i="11375"/>
        </ext>
      </extLst>
    </bk>
    <bk>
      <extLst>
        <ext uri="{3e2802c4-a4d2-4d8b-9148-e3be6c30e623}">
          <xlrd:rvb i="11376"/>
        </ext>
      </extLst>
    </bk>
    <bk>
      <extLst>
        <ext uri="{3e2802c4-a4d2-4d8b-9148-e3be6c30e623}">
          <xlrd:rvb i="11377"/>
        </ext>
      </extLst>
    </bk>
    <bk>
      <extLst>
        <ext uri="{3e2802c4-a4d2-4d8b-9148-e3be6c30e623}">
          <xlrd:rvb i="11378"/>
        </ext>
      </extLst>
    </bk>
    <bk>
      <extLst>
        <ext uri="{3e2802c4-a4d2-4d8b-9148-e3be6c30e623}">
          <xlrd:rvb i="11379"/>
        </ext>
      </extLst>
    </bk>
    <bk>
      <extLst>
        <ext uri="{3e2802c4-a4d2-4d8b-9148-e3be6c30e623}">
          <xlrd:rvb i="11380"/>
        </ext>
      </extLst>
    </bk>
    <bk>
      <extLst>
        <ext uri="{3e2802c4-a4d2-4d8b-9148-e3be6c30e623}">
          <xlrd:rvb i="11381"/>
        </ext>
      </extLst>
    </bk>
    <bk>
      <extLst>
        <ext uri="{3e2802c4-a4d2-4d8b-9148-e3be6c30e623}">
          <xlrd:rvb i="11382"/>
        </ext>
      </extLst>
    </bk>
    <bk>
      <extLst>
        <ext uri="{3e2802c4-a4d2-4d8b-9148-e3be6c30e623}">
          <xlrd:rvb i="11383"/>
        </ext>
      </extLst>
    </bk>
    <bk>
      <extLst>
        <ext uri="{3e2802c4-a4d2-4d8b-9148-e3be6c30e623}">
          <xlrd:rvb i="11384"/>
        </ext>
      </extLst>
    </bk>
    <bk>
      <extLst>
        <ext uri="{3e2802c4-a4d2-4d8b-9148-e3be6c30e623}">
          <xlrd:rvb i="11385"/>
        </ext>
      </extLst>
    </bk>
    <bk>
      <extLst>
        <ext uri="{3e2802c4-a4d2-4d8b-9148-e3be6c30e623}">
          <xlrd:rvb i="11386"/>
        </ext>
      </extLst>
    </bk>
    <bk>
      <extLst>
        <ext uri="{3e2802c4-a4d2-4d8b-9148-e3be6c30e623}">
          <xlrd:rvb i="11387"/>
        </ext>
      </extLst>
    </bk>
    <bk>
      <extLst>
        <ext uri="{3e2802c4-a4d2-4d8b-9148-e3be6c30e623}">
          <xlrd:rvb i="11388"/>
        </ext>
      </extLst>
    </bk>
    <bk>
      <extLst>
        <ext uri="{3e2802c4-a4d2-4d8b-9148-e3be6c30e623}">
          <xlrd:rvb i="11389"/>
        </ext>
      </extLst>
    </bk>
    <bk>
      <extLst>
        <ext uri="{3e2802c4-a4d2-4d8b-9148-e3be6c30e623}">
          <xlrd:rvb i="11390"/>
        </ext>
      </extLst>
    </bk>
    <bk>
      <extLst>
        <ext uri="{3e2802c4-a4d2-4d8b-9148-e3be6c30e623}">
          <xlrd:rvb i="11391"/>
        </ext>
      </extLst>
    </bk>
    <bk>
      <extLst>
        <ext uri="{3e2802c4-a4d2-4d8b-9148-e3be6c30e623}">
          <xlrd:rvb i="11392"/>
        </ext>
      </extLst>
    </bk>
    <bk>
      <extLst>
        <ext uri="{3e2802c4-a4d2-4d8b-9148-e3be6c30e623}">
          <xlrd:rvb i="11393"/>
        </ext>
      </extLst>
    </bk>
    <bk>
      <extLst>
        <ext uri="{3e2802c4-a4d2-4d8b-9148-e3be6c30e623}">
          <xlrd:rvb i="11394"/>
        </ext>
      </extLst>
    </bk>
    <bk>
      <extLst>
        <ext uri="{3e2802c4-a4d2-4d8b-9148-e3be6c30e623}">
          <xlrd:rvb i="11395"/>
        </ext>
      </extLst>
    </bk>
    <bk>
      <extLst>
        <ext uri="{3e2802c4-a4d2-4d8b-9148-e3be6c30e623}">
          <xlrd:rvb i="11396"/>
        </ext>
      </extLst>
    </bk>
    <bk>
      <extLst>
        <ext uri="{3e2802c4-a4d2-4d8b-9148-e3be6c30e623}">
          <xlrd:rvb i="11397"/>
        </ext>
      </extLst>
    </bk>
    <bk>
      <extLst>
        <ext uri="{3e2802c4-a4d2-4d8b-9148-e3be6c30e623}">
          <xlrd:rvb i="11398"/>
        </ext>
      </extLst>
    </bk>
    <bk>
      <extLst>
        <ext uri="{3e2802c4-a4d2-4d8b-9148-e3be6c30e623}">
          <xlrd:rvb i="11399"/>
        </ext>
      </extLst>
    </bk>
    <bk>
      <extLst>
        <ext uri="{3e2802c4-a4d2-4d8b-9148-e3be6c30e623}">
          <xlrd:rvb i="11400"/>
        </ext>
      </extLst>
    </bk>
    <bk>
      <extLst>
        <ext uri="{3e2802c4-a4d2-4d8b-9148-e3be6c30e623}">
          <xlrd:rvb i="11401"/>
        </ext>
      </extLst>
    </bk>
    <bk>
      <extLst>
        <ext uri="{3e2802c4-a4d2-4d8b-9148-e3be6c30e623}">
          <xlrd:rvb i="11402"/>
        </ext>
      </extLst>
    </bk>
    <bk>
      <extLst>
        <ext uri="{3e2802c4-a4d2-4d8b-9148-e3be6c30e623}">
          <xlrd:rvb i="11403"/>
        </ext>
      </extLst>
    </bk>
    <bk>
      <extLst>
        <ext uri="{3e2802c4-a4d2-4d8b-9148-e3be6c30e623}">
          <xlrd:rvb i="11404"/>
        </ext>
      </extLst>
    </bk>
    <bk>
      <extLst>
        <ext uri="{3e2802c4-a4d2-4d8b-9148-e3be6c30e623}">
          <xlrd:rvb i="11405"/>
        </ext>
      </extLst>
    </bk>
    <bk>
      <extLst>
        <ext uri="{3e2802c4-a4d2-4d8b-9148-e3be6c30e623}">
          <xlrd:rvb i="11406"/>
        </ext>
      </extLst>
    </bk>
    <bk>
      <extLst>
        <ext uri="{3e2802c4-a4d2-4d8b-9148-e3be6c30e623}">
          <xlrd:rvb i="11407"/>
        </ext>
      </extLst>
    </bk>
    <bk>
      <extLst>
        <ext uri="{3e2802c4-a4d2-4d8b-9148-e3be6c30e623}">
          <xlrd:rvb i="11408"/>
        </ext>
      </extLst>
    </bk>
    <bk>
      <extLst>
        <ext uri="{3e2802c4-a4d2-4d8b-9148-e3be6c30e623}">
          <xlrd:rvb i="11409"/>
        </ext>
      </extLst>
    </bk>
    <bk>
      <extLst>
        <ext uri="{3e2802c4-a4d2-4d8b-9148-e3be6c30e623}">
          <xlrd:rvb i="11410"/>
        </ext>
      </extLst>
    </bk>
    <bk>
      <extLst>
        <ext uri="{3e2802c4-a4d2-4d8b-9148-e3be6c30e623}">
          <xlrd:rvb i="11411"/>
        </ext>
      </extLst>
    </bk>
    <bk>
      <extLst>
        <ext uri="{3e2802c4-a4d2-4d8b-9148-e3be6c30e623}">
          <xlrd:rvb i="11412"/>
        </ext>
      </extLst>
    </bk>
    <bk>
      <extLst>
        <ext uri="{3e2802c4-a4d2-4d8b-9148-e3be6c30e623}">
          <xlrd:rvb i="11413"/>
        </ext>
      </extLst>
    </bk>
    <bk>
      <extLst>
        <ext uri="{3e2802c4-a4d2-4d8b-9148-e3be6c30e623}">
          <xlrd:rvb i="11414"/>
        </ext>
      </extLst>
    </bk>
    <bk>
      <extLst>
        <ext uri="{3e2802c4-a4d2-4d8b-9148-e3be6c30e623}">
          <xlrd:rvb i="11415"/>
        </ext>
      </extLst>
    </bk>
    <bk>
      <extLst>
        <ext uri="{3e2802c4-a4d2-4d8b-9148-e3be6c30e623}">
          <xlrd:rvb i="11416"/>
        </ext>
      </extLst>
    </bk>
    <bk>
      <extLst>
        <ext uri="{3e2802c4-a4d2-4d8b-9148-e3be6c30e623}">
          <xlrd:rvb i="11417"/>
        </ext>
      </extLst>
    </bk>
    <bk>
      <extLst>
        <ext uri="{3e2802c4-a4d2-4d8b-9148-e3be6c30e623}">
          <xlrd:rvb i="11418"/>
        </ext>
      </extLst>
    </bk>
    <bk>
      <extLst>
        <ext uri="{3e2802c4-a4d2-4d8b-9148-e3be6c30e623}">
          <xlrd:rvb i="11419"/>
        </ext>
      </extLst>
    </bk>
    <bk>
      <extLst>
        <ext uri="{3e2802c4-a4d2-4d8b-9148-e3be6c30e623}">
          <xlrd:rvb i="11420"/>
        </ext>
      </extLst>
    </bk>
    <bk>
      <extLst>
        <ext uri="{3e2802c4-a4d2-4d8b-9148-e3be6c30e623}">
          <xlrd:rvb i="11421"/>
        </ext>
      </extLst>
    </bk>
    <bk>
      <extLst>
        <ext uri="{3e2802c4-a4d2-4d8b-9148-e3be6c30e623}">
          <xlrd:rvb i="11422"/>
        </ext>
      </extLst>
    </bk>
    <bk>
      <extLst>
        <ext uri="{3e2802c4-a4d2-4d8b-9148-e3be6c30e623}">
          <xlrd:rvb i="11423"/>
        </ext>
      </extLst>
    </bk>
    <bk>
      <extLst>
        <ext uri="{3e2802c4-a4d2-4d8b-9148-e3be6c30e623}">
          <xlrd:rvb i="11424"/>
        </ext>
      </extLst>
    </bk>
    <bk>
      <extLst>
        <ext uri="{3e2802c4-a4d2-4d8b-9148-e3be6c30e623}">
          <xlrd:rvb i="11425"/>
        </ext>
      </extLst>
    </bk>
    <bk>
      <extLst>
        <ext uri="{3e2802c4-a4d2-4d8b-9148-e3be6c30e623}">
          <xlrd:rvb i="11426"/>
        </ext>
      </extLst>
    </bk>
    <bk>
      <extLst>
        <ext uri="{3e2802c4-a4d2-4d8b-9148-e3be6c30e623}">
          <xlrd:rvb i="11427"/>
        </ext>
      </extLst>
    </bk>
    <bk>
      <extLst>
        <ext uri="{3e2802c4-a4d2-4d8b-9148-e3be6c30e623}">
          <xlrd:rvb i="11428"/>
        </ext>
      </extLst>
    </bk>
    <bk>
      <extLst>
        <ext uri="{3e2802c4-a4d2-4d8b-9148-e3be6c30e623}">
          <xlrd:rvb i="11429"/>
        </ext>
      </extLst>
    </bk>
    <bk>
      <extLst>
        <ext uri="{3e2802c4-a4d2-4d8b-9148-e3be6c30e623}">
          <xlrd:rvb i="11430"/>
        </ext>
      </extLst>
    </bk>
    <bk>
      <extLst>
        <ext uri="{3e2802c4-a4d2-4d8b-9148-e3be6c30e623}">
          <xlrd:rvb i="11431"/>
        </ext>
      </extLst>
    </bk>
    <bk>
      <extLst>
        <ext uri="{3e2802c4-a4d2-4d8b-9148-e3be6c30e623}">
          <xlrd:rvb i="11432"/>
        </ext>
      </extLst>
    </bk>
    <bk>
      <extLst>
        <ext uri="{3e2802c4-a4d2-4d8b-9148-e3be6c30e623}">
          <xlrd:rvb i="11433"/>
        </ext>
      </extLst>
    </bk>
    <bk>
      <extLst>
        <ext uri="{3e2802c4-a4d2-4d8b-9148-e3be6c30e623}">
          <xlrd:rvb i="11434"/>
        </ext>
      </extLst>
    </bk>
    <bk>
      <extLst>
        <ext uri="{3e2802c4-a4d2-4d8b-9148-e3be6c30e623}">
          <xlrd:rvb i="11435"/>
        </ext>
      </extLst>
    </bk>
    <bk>
      <extLst>
        <ext uri="{3e2802c4-a4d2-4d8b-9148-e3be6c30e623}">
          <xlrd:rvb i="11436"/>
        </ext>
      </extLst>
    </bk>
    <bk>
      <extLst>
        <ext uri="{3e2802c4-a4d2-4d8b-9148-e3be6c30e623}">
          <xlrd:rvb i="11437"/>
        </ext>
      </extLst>
    </bk>
    <bk>
      <extLst>
        <ext uri="{3e2802c4-a4d2-4d8b-9148-e3be6c30e623}">
          <xlrd:rvb i="11438"/>
        </ext>
      </extLst>
    </bk>
    <bk>
      <extLst>
        <ext uri="{3e2802c4-a4d2-4d8b-9148-e3be6c30e623}">
          <xlrd:rvb i="11439"/>
        </ext>
      </extLst>
    </bk>
    <bk>
      <extLst>
        <ext uri="{3e2802c4-a4d2-4d8b-9148-e3be6c30e623}">
          <xlrd:rvb i="11440"/>
        </ext>
      </extLst>
    </bk>
    <bk>
      <extLst>
        <ext uri="{3e2802c4-a4d2-4d8b-9148-e3be6c30e623}">
          <xlrd:rvb i="11441"/>
        </ext>
      </extLst>
    </bk>
    <bk>
      <extLst>
        <ext uri="{3e2802c4-a4d2-4d8b-9148-e3be6c30e623}">
          <xlrd:rvb i="11442"/>
        </ext>
      </extLst>
    </bk>
    <bk>
      <extLst>
        <ext uri="{3e2802c4-a4d2-4d8b-9148-e3be6c30e623}">
          <xlrd:rvb i="11443"/>
        </ext>
      </extLst>
    </bk>
    <bk>
      <extLst>
        <ext uri="{3e2802c4-a4d2-4d8b-9148-e3be6c30e623}">
          <xlrd:rvb i="11444"/>
        </ext>
      </extLst>
    </bk>
    <bk>
      <extLst>
        <ext uri="{3e2802c4-a4d2-4d8b-9148-e3be6c30e623}">
          <xlrd:rvb i="11445"/>
        </ext>
      </extLst>
    </bk>
    <bk>
      <extLst>
        <ext uri="{3e2802c4-a4d2-4d8b-9148-e3be6c30e623}">
          <xlrd:rvb i="11446"/>
        </ext>
      </extLst>
    </bk>
    <bk>
      <extLst>
        <ext uri="{3e2802c4-a4d2-4d8b-9148-e3be6c30e623}">
          <xlrd:rvb i="11447"/>
        </ext>
      </extLst>
    </bk>
    <bk>
      <extLst>
        <ext uri="{3e2802c4-a4d2-4d8b-9148-e3be6c30e623}">
          <xlrd:rvb i="11448"/>
        </ext>
      </extLst>
    </bk>
    <bk>
      <extLst>
        <ext uri="{3e2802c4-a4d2-4d8b-9148-e3be6c30e623}">
          <xlrd:rvb i="11449"/>
        </ext>
      </extLst>
    </bk>
    <bk>
      <extLst>
        <ext uri="{3e2802c4-a4d2-4d8b-9148-e3be6c30e623}">
          <xlrd:rvb i="11450"/>
        </ext>
      </extLst>
    </bk>
    <bk>
      <extLst>
        <ext uri="{3e2802c4-a4d2-4d8b-9148-e3be6c30e623}">
          <xlrd:rvb i="11451"/>
        </ext>
      </extLst>
    </bk>
    <bk>
      <extLst>
        <ext uri="{3e2802c4-a4d2-4d8b-9148-e3be6c30e623}">
          <xlrd:rvb i="11452"/>
        </ext>
      </extLst>
    </bk>
    <bk>
      <extLst>
        <ext uri="{3e2802c4-a4d2-4d8b-9148-e3be6c30e623}">
          <xlrd:rvb i="11453"/>
        </ext>
      </extLst>
    </bk>
    <bk>
      <extLst>
        <ext uri="{3e2802c4-a4d2-4d8b-9148-e3be6c30e623}">
          <xlrd:rvb i="11454"/>
        </ext>
      </extLst>
    </bk>
    <bk>
      <extLst>
        <ext uri="{3e2802c4-a4d2-4d8b-9148-e3be6c30e623}">
          <xlrd:rvb i="11455"/>
        </ext>
      </extLst>
    </bk>
    <bk>
      <extLst>
        <ext uri="{3e2802c4-a4d2-4d8b-9148-e3be6c30e623}">
          <xlrd:rvb i="11456"/>
        </ext>
      </extLst>
    </bk>
    <bk>
      <extLst>
        <ext uri="{3e2802c4-a4d2-4d8b-9148-e3be6c30e623}">
          <xlrd:rvb i="11457"/>
        </ext>
      </extLst>
    </bk>
    <bk>
      <extLst>
        <ext uri="{3e2802c4-a4d2-4d8b-9148-e3be6c30e623}">
          <xlrd:rvb i="11458"/>
        </ext>
      </extLst>
    </bk>
    <bk>
      <extLst>
        <ext uri="{3e2802c4-a4d2-4d8b-9148-e3be6c30e623}">
          <xlrd:rvb i="11459"/>
        </ext>
      </extLst>
    </bk>
    <bk>
      <extLst>
        <ext uri="{3e2802c4-a4d2-4d8b-9148-e3be6c30e623}">
          <xlrd:rvb i="11460"/>
        </ext>
      </extLst>
    </bk>
    <bk>
      <extLst>
        <ext uri="{3e2802c4-a4d2-4d8b-9148-e3be6c30e623}">
          <xlrd:rvb i="11461"/>
        </ext>
      </extLst>
    </bk>
    <bk>
      <extLst>
        <ext uri="{3e2802c4-a4d2-4d8b-9148-e3be6c30e623}">
          <xlrd:rvb i="11462"/>
        </ext>
      </extLst>
    </bk>
    <bk>
      <extLst>
        <ext uri="{3e2802c4-a4d2-4d8b-9148-e3be6c30e623}">
          <xlrd:rvb i="11463"/>
        </ext>
      </extLst>
    </bk>
    <bk>
      <extLst>
        <ext uri="{3e2802c4-a4d2-4d8b-9148-e3be6c30e623}">
          <xlrd:rvb i="11464"/>
        </ext>
      </extLst>
    </bk>
    <bk>
      <extLst>
        <ext uri="{3e2802c4-a4d2-4d8b-9148-e3be6c30e623}">
          <xlrd:rvb i="11465"/>
        </ext>
      </extLst>
    </bk>
    <bk>
      <extLst>
        <ext uri="{3e2802c4-a4d2-4d8b-9148-e3be6c30e623}">
          <xlrd:rvb i="11466"/>
        </ext>
      </extLst>
    </bk>
    <bk>
      <extLst>
        <ext uri="{3e2802c4-a4d2-4d8b-9148-e3be6c30e623}">
          <xlrd:rvb i="11467"/>
        </ext>
      </extLst>
    </bk>
    <bk>
      <extLst>
        <ext uri="{3e2802c4-a4d2-4d8b-9148-e3be6c30e623}">
          <xlrd:rvb i="11468"/>
        </ext>
      </extLst>
    </bk>
    <bk>
      <extLst>
        <ext uri="{3e2802c4-a4d2-4d8b-9148-e3be6c30e623}">
          <xlrd:rvb i="11469"/>
        </ext>
      </extLst>
    </bk>
    <bk>
      <extLst>
        <ext uri="{3e2802c4-a4d2-4d8b-9148-e3be6c30e623}">
          <xlrd:rvb i="11470"/>
        </ext>
      </extLst>
    </bk>
    <bk>
      <extLst>
        <ext uri="{3e2802c4-a4d2-4d8b-9148-e3be6c30e623}">
          <xlrd:rvb i="11471"/>
        </ext>
      </extLst>
    </bk>
    <bk>
      <extLst>
        <ext uri="{3e2802c4-a4d2-4d8b-9148-e3be6c30e623}">
          <xlrd:rvb i="11472"/>
        </ext>
      </extLst>
    </bk>
    <bk>
      <extLst>
        <ext uri="{3e2802c4-a4d2-4d8b-9148-e3be6c30e623}">
          <xlrd:rvb i="11473"/>
        </ext>
      </extLst>
    </bk>
    <bk>
      <extLst>
        <ext uri="{3e2802c4-a4d2-4d8b-9148-e3be6c30e623}">
          <xlrd:rvb i="11474"/>
        </ext>
      </extLst>
    </bk>
    <bk>
      <extLst>
        <ext uri="{3e2802c4-a4d2-4d8b-9148-e3be6c30e623}">
          <xlrd:rvb i="11475"/>
        </ext>
      </extLst>
    </bk>
    <bk>
      <extLst>
        <ext uri="{3e2802c4-a4d2-4d8b-9148-e3be6c30e623}">
          <xlrd:rvb i="11476"/>
        </ext>
      </extLst>
    </bk>
    <bk>
      <extLst>
        <ext uri="{3e2802c4-a4d2-4d8b-9148-e3be6c30e623}">
          <xlrd:rvb i="11477"/>
        </ext>
      </extLst>
    </bk>
    <bk>
      <extLst>
        <ext uri="{3e2802c4-a4d2-4d8b-9148-e3be6c30e623}">
          <xlrd:rvb i="11478"/>
        </ext>
      </extLst>
    </bk>
    <bk>
      <extLst>
        <ext uri="{3e2802c4-a4d2-4d8b-9148-e3be6c30e623}">
          <xlrd:rvb i="11479"/>
        </ext>
      </extLst>
    </bk>
    <bk>
      <extLst>
        <ext uri="{3e2802c4-a4d2-4d8b-9148-e3be6c30e623}">
          <xlrd:rvb i="11480"/>
        </ext>
      </extLst>
    </bk>
    <bk>
      <extLst>
        <ext uri="{3e2802c4-a4d2-4d8b-9148-e3be6c30e623}">
          <xlrd:rvb i="11481"/>
        </ext>
      </extLst>
    </bk>
    <bk>
      <extLst>
        <ext uri="{3e2802c4-a4d2-4d8b-9148-e3be6c30e623}">
          <xlrd:rvb i="11482"/>
        </ext>
      </extLst>
    </bk>
    <bk>
      <extLst>
        <ext uri="{3e2802c4-a4d2-4d8b-9148-e3be6c30e623}">
          <xlrd:rvb i="11483"/>
        </ext>
      </extLst>
    </bk>
    <bk>
      <extLst>
        <ext uri="{3e2802c4-a4d2-4d8b-9148-e3be6c30e623}">
          <xlrd:rvb i="11484"/>
        </ext>
      </extLst>
    </bk>
    <bk>
      <extLst>
        <ext uri="{3e2802c4-a4d2-4d8b-9148-e3be6c30e623}">
          <xlrd:rvb i="11485"/>
        </ext>
      </extLst>
    </bk>
    <bk>
      <extLst>
        <ext uri="{3e2802c4-a4d2-4d8b-9148-e3be6c30e623}">
          <xlrd:rvb i="11486"/>
        </ext>
      </extLst>
    </bk>
    <bk>
      <extLst>
        <ext uri="{3e2802c4-a4d2-4d8b-9148-e3be6c30e623}">
          <xlrd:rvb i="11487"/>
        </ext>
      </extLst>
    </bk>
    <bk>
      <extLst>
        <ext uri="{3e2802c4-a4d2-4d8b-9148-e3be6c30e623}">
          <xlrd:rvb i="11488"/>
        </ext>
      </extLst>
    </bk>
    <bk>
      <extLst>
        <ext uri="{3e2802c4-a4d2-4d8b-9148-e3be6c30e623}">
          <xlrd:rvb i="11489"/>
        </ext>
      </extLst>
    </bk>
    <bk>
      <extLst>
        <ext uri="{3e2802c4-a4d2-4d8b-9148-e3be6c30e623}">
          <xlrd:rvb i="11490"/>
        </ext>
      </extLst>
    </bk>
    <bk>
      <extLst>
        <ext uri="{3e2802c4-a4d2-4d8b-9148-e3be6c30e623}">
          <xlrd:rvb i="11491"/>
        </ext>
      </extLst>
    </bk>
    <bk>
      <extLst>
        <ext uri="{3e2802c4-a4d2-4d8b-9148-e3be6c30e623}">
          <xlrd:rvb i="11492"/>
        </ext>
      </extLst>
    </bk>
    <bk>
      <extLst>
        <ext uri="{3e2802c4-a4d2-4d8b-9148-e3be6c30e623}">
          <xlrd:rvb i="11493"/>
        </ext>
      </extLst>
    </bk>
    <bk>
      <extLst>
        <ext uri="{3e2802c4-a4d2-4d8b-9148-e3be6c30e623}">
          <xlrd:rvb i="11494"/>
        </ext>
      </extLst>
    </bk>
    <bk>
      <extLst>
        <ext uri="{3e2802c4-a4d2-4d8b-9148-e3be6c30e623}">
          <xlrd:rvb i="11495"/>
        </ext>
      </extLst>
    </bk>
    <bk>
      <extLst>
        <ext uri="{3e2802c4-a4d2-4d8b-9148-e3be6c30e623}">
          <xlrd:rvb i="11496"/>
        </ext>
      </extLst>
    </bk>
    <bk>
      <extLst>
        <ext uri="{3e2802c4-a4d2-4d8b-9148-e3be6c30e623}">
          <xlrd:rvb i="11497"/>
        </ext>
      </extLst>
    </bk>
    <bk>
      <extLst>
        <ext uri="{3e2802c4-a4d2-4d8b-9148-e3be6c30e623}">
          <xlrd:rvb i="11498"/>
        </ext>
      </extLst>
    </bk>
    <bk>
      <extLst>
        <ext uri="{3e2802c4-a4d2-4d8b-9148-e3be6c30e623}">
          <xlrd:rvb i="11499"/>
        </ext>
      </extLst>
    </bk>
    <bk>
      <extLst>
        <ext uri="{3e2802c4-a4d2-4d8b-9148-e3be6c30e623}">
          <xlrd:rvb i="11500"/>
        </ext>
      </extLst>
    </bk>
    <bk>
      <extLst>
        <ext uri="{3e2802c4-a4d2-4d8b-9148-e3be6c30e623}">
          <xlrd:rvb i="11501"/>
        </ext>
      </extLst>
    </bk>
    <bk>
      <extLst>
        <ext uri="{3e2802c4-a4d2-4d8b-9148-e3be6c30e623}">
          <xlrd:rvb i="11502"/>
        </ext>
      </extLst>
    </bk>
    <bk>
      <extLst>
        <ext uri="{3e2802c4-a4d2-4d8b-9148-e3be6c30e623}">
          <xlrd:rvb i="11503"/>
        </ext>
      </extLst>
    </bk>
    <bk>
      <extLst>
        <ext uri="{3e2802c4-a4d2-4d8b-9148-e3be6c30e623}">
          <xlrd:rvb i="11504"/>
        </ext>
      </extLst>
    </bk>
    <bk>
      <extLst>
        <ext uri="{3e2802c4-a4d2-4d8b-9148-e3be6c30e623}">
          <xlrd:rvb i="11505"/>
        </ext>
      </extLst>
    </bk>
    <bk>
      <extLst>
        <ext uri="{3e2802c4-a4d2-4d8b-9148-e3be6c30e623}">
          <xlrd:rvb i="11506"/>
        </ext>
      </extLst>
    </bk>
    <bk>
      <extLst>
        <ext uri="{3e2802c4-a4d2-4d8b-9148-e3be6c30e623}">
          <xlrd:rvb i="11507"/>
        </ext>
      </extLst>
    </bk>
    <bk>
      <extLst>
        <ext uri="{3e2802c4-a4d2-4d8b-9148-e3be6c30e623}">
          <xlrd:rvb i="11508"/>
        </ext>
      </extLst>
    </bk>
    <bk>
      <extLst>
        <ext uri="{3e2802c4-a4d2-4d8b-9148-e3be6c30e623}">
          <xlrd:rvb i="11509"/>
        </ext>
      </extLst>
    </bk>
    <bk>
      <extLst>
        <ext uri="{3e2802c4-a4d2-4d8b-9148-e3be6c30e623}">
          <xlrd:rvb i="11510"/>
        </ext>
      </extLst>
    </bk>
    <bk>
      <extLst>
        <ext uri="{3e2802c4-a4d2-4d8b-9148-e3be6c30e623}">
          <xlrd:rvb i="11511"/>
        </ext>
      </extLst>
    </bk>
    <bk>
      <extLst>
        <ext uri="{3e2802c4-a4d2-4d8b-9148-e3be6c30e623}">
          <xlrd:rvb i="11512"/>
        </ext>
      </extLst>
    </bk>
    <bk>
      <extLst>
        <ext uri="{3e2802c4-a4d2-4d8b-9148-e3be6c30e623}">
          <xlrd:rvb i="11513"/>
        </ext>
      </extLst>
    </bk>
    <bk>
      <extLst>
        <ext uri="{3e2802c4-a4d2-4d8b-9148-e3be6c30e623}">
          <xlrd:rvb i="11514"/>
        </ext>
      </extLst>
    </bk>
    <bk>
      <extLst>
        <ext uri="{3e2802c4-a4d2-4d8b-9148-e3be6c30e623}">
          <xlrd:rvb i="11515"/>
        </ext>
      </extLst>
    </bk>
    <bk>
      <extLst>
        <ext uri="{3e2802c4-a4d2-4d8b-9148-e3be6c30e623}">
          <xlrd:rvb i="11516"/>
        </ext>
      </extLst>
    </bk>
    <bk>
      <extLst>
        <ext uri="{3e2802c4-a4d2-4d8b-9148-e3be6c30e623}">
          <xlrd:rvb i="11517"/>
        </ext>
      </extLst>
    </bk>
    <bk>
      <extLst>
        <ext uri="{3e2802c4-a4d2-4d8b-9148-e3be6c30e623}">
          <xlrd:rvb i="11518"/>
        </ext>
      </extLst>
    </bk>
    <bk>
      <extLst>
        <ext uri="{3e2802c4-a4d2-4d8b-9148-e3be6c30e623}">
          <xlrd:rvb i="11519"/>
        </ext>
      </extLst>
    </bk>
    <bk>
      <extLst>
        <ext uri="{3e2802c4-a4d2-4d8b-9148-e3be6c30e623}">
          <xlrd:rvb i="11520"/>
        </ext>
      </extLst>
    </bk>
    <bk>
      <extLst>
        <ext uri="{3e2802c4-a4d2-4d8b-9148-e3be6c30e623}">
          <xlrd:rvb i="11521"/>
        </ext>
      </extLst>
    </bk>
    <bk>
      <extLst>
        <ext uri="{3e2802c4-a4d2-4d8b-9148-e3be6c30e623}">
          <xlrd:rvb i="11522"/>
        </ext>
      </extLst>
    </bk>
    <bk>
      <extLst>
        <ext uri="{3e2802c4-a4d2-4d8b-9148-e3be6c30e623}">
          <xlrd:rvb i="11523"/>
        </ext>
      </extLst>
    </bk>
    <bk>
      <extLst>
        <ext uri="{3e2802c4-a4d2-4d8b-9148-e3be6c30e623}">
          <xlrd:rvb i="11524"/>
        </ext>
      </extLst>
    </bk>
    <bk>
      <extLst>
        <ext uri="{3e2802c4-a4d2-4d8b-9148-e3be6c30e623}">
          <xlrd:rvb i="11525"/>
        </ext>
      </extLst>
    </bk>
    <bk>
      <extLst>
        <ext uri="{3e2802c4-a4d2-4d8b-9148-e3be6c30e623}">
          <xlrd:rvb i="11526"/>
        </ext>
      </extLst>
    </bk>
    <bk>
      <extLst>
        <ext uri="{3e2802c4-a4d2-4d8b-9148-e3be6c30e623}">
          <xlrd:rvb i="11527"/>
        </ext>
      </extLst>
    </bk>
    <bk>
      <extLst>
        <ext uri="{3e2802c4-a4d2-4d8b-9148-e3be6c30e623}">
          <xlrd:rvb i="11528"/>
        </ext>
      </extLst>
    </bk>
    <bk>
      <extLst>
        <ext uri="{3e2802c4-a4d2-4d8b-9148-e3be6c30e623}">
          <xlrd:rvb i="11529"/>
        </ext>
      </extLst>
    </bk>
    <bk>
      <extLst>
        <ext uri="{3e2802c4-a4d2-4d8b-9148-e3be6c30e623}">
          <xlrd:rvb i="11530"/>
        </ext>
      </extLst>
    </bk>
    <bk>
      <extLst>
        <ext uri="{3e2802c4-a4d2-4d8b-9148-e3be6c30e623}">
          <xlrd:rvb i="11531"/>
        </ext>
      </extLst>
    </bk>
    <bk>
      <extLst>
        <ext uri="{3e2802c4-a4d2-4d8b-9148-e3be6c30e623}">
          <xlrd:rvb i="11532"/>
        </ext>
      </extLst>
    </bk>
    <bk>
      <extLst>
        <ext uri="{3e2802c4-a4d2-4d8b-9148-e3be6c30e623}">
          <xlrd:rvb i="11533"/>
        </ext>
      </extLst>
    </bk>
    <bk>
      <extLst>
        <ext uri="{3e2802c4-a4d2-4d8b-9148-e3be6c30e623}">
          <xlrd:rvb i="11534"/>
        </ext>
      </extLst>
    </bk>
    <bk>
      <extLst>
        <ext uri="{3e2802c4-a4d2-4d8b-9148-e3be6c30e623}">
          <xlrd:rvb i="11535"/>
        </ext>
      </extLst>
    </bk>
    <bk>
      <extLst>
        <ext uri="{3e2802c4-a4d2-4d8b-9148-e3be6c30e623}">
          <xlrd:rvb i="11536"/>
        </ext>
      </extLst>
    </bk>
    <bk>
      <extLst>
        <ext uri="{3e2802c4-a4d2-4d8b-9148-e3be6c30e623}">
          <xlrd:rvb i="11537"/>
        </ext>
      </extLst>
    </bk>
    <bk>
      <extLst>
        <ext uri="{3e2802c4-a4d2-4d8b-9148-e3be6c30e623}">
          <xlrd:rvb i="11538"/>
        </ext>
      </extLst>
    </bk>
    <bk>
      <extLst>
        <ext uri="{3e2802c4-a4d2-4d8b-9148-e3be6c30e623}">
          <xlrd:rvb i="11539"/>
        </ext>
      </extLst>
    </bk>
    <bk>
      <extLst>
        <ext uri="{3e2802c4-a4d2-4d8b-9148-e3be6c30e623}">
          <xlrd:rvb i="11540"/>
        </ext>
      </extLst>
    </bk>
    <bk>
      <extLst>
        <ext uri="{3e2802c4-a4d2-4d8b-9148-e3be6c30e623}">
          <xlrd:rvb i="11541"/>
        </ext>
      </extLst>
    </bk>
    <bk>
      <extLst>
        <ext uri="{3e2802c4-a4d2-4d8b-9148-e3be6c30e623}">
          <xlrd:rvb i="11542"/>
        </ext>
      </extLst>
    </bk>
    <bk>
      <extLst>
        <ext uri="{3e2802c4-a4d2-4d8b-9148-e3be6c30e623}">
          <xlrd:rvb i="11543"/>
        </ext>
      </extLst>
    </bk>
    <bk>
      <extLst>
        <ext uri="{3e2802c4-a4d2-4d8b-9148-e3be6c30e623}">
          <xlrd:rvb i="11544"/>
        </ext>
      </extLst>
    </bk>
    <bk>
      <extLst>
        <ext uri="{3e2802c4-a4d2-4d8b-9148-e3be6c30e623}">
          <xlrd:rvb i="11545"/>
        </ext>
      </extLst>
    </bk>
    <bk>
      <extLst>
        <ext uri="{3e2802c4-a4d2-4d8b-9148-e3be6c30e623}">
          <xlrd:rvb i="11546"/>
        </ext>
      </extLst>
    </bk>
    <bk>
      <extLst>
        <ext uri="{3e2802c4-a4d2-4d8b-9148-e3be6c30e623}">
          <xlrd:rvb i="11547"/>
        </ext>
      </extLst>
    </bk>
    <bk>
      <extLst>
        <ext uri="{3e2802c4-a4d2-4d8b-9148-e3be6c30e623}">
          <xlrd:rvb i="11548"/>
        </ext>
      </extLst>
    </bk>
    <bk>
      <extLst>
        <ext uri="{3e2802c4-a4d2-4d8b-9148-e3be6c30e623}">
          <xlrd:rvb i="11549"/>
        </ext>
      </extLst>
    </bk>
    <bk>
      <extLst>
        <ext uri="{3e2802c4-a4d2-4d8b-9148-e3be6c30e623}">
          <xlrd:rvb i="11550"/>
        </ext>
      </extLst>
    </bk>
    <bk>
      <extLst>
        <ext uri="{3e2802c4-a4d2-4d8b-9148-e3be6c30e623}">
          <xlrd:rvb i="11551"/>
        </ext>
      </extLst>
    </bk>
    <bk>
      <extLst>
        <ext uri="{3e2802c4-a4d2-4d8b-9148-e3be6c30e623}">
          <xlrd:rvb i="11552"/>
        </ext>
      </extLst>
    </bk>
    <bk>
      <extLst>
        <ext uri="{3e2802c4-a4d2-4d8b-9148-e3be6c30e623}">
          <xlrd:rvb i="11553"/>
        </ext>
      </extLst>
    </bk>
    <bk>
      <extLst>
        <ext uri="{3e2802c4-a4d2-4d8b-9148-e3be6c30e623}">
          <xlrd:rvb i="11554"/>
        </ext>
      </extLst>
    </bk>
    <bk>
      <extLst>
        <ext uri="{3e2802c4-a4d2-4d8b-9148-e3be6c30e623}">
          <xlrd:rvb i="11555"/>
        </ext>
      </extLst>
    </bk>
    <bk>
      <extLst>
        <ext uri="{3e2802c4-a4d2-4d8b-9148-e3be6c30e623}">
          <xlrd:rvb i="11556"/>
        </ext>
      </extLst>
    </bk>
    <bk>
      <extLst>
        <ext uri="{3e2802c4-a4d2-4d8b-9148-e3be6c30e623}">
          <xlrd:rvb i="11557"/>
        </ext>
      </extLst>
    </bk>
    <bk>
      <extLst>
        <ext uri="{3e2802c4-a4d2-4d8b-9148-e3be6c30e623}">
          <xlrd:rvb i="11558"/>
        </ext>
      </extLst>
    </bk>
    <bk>
      <extLst>
        <ext uri="{3e2802c4-a4d2-4d8b-9148-e3be6c30e623}">
          <xlrd:rvb i="11559"/>
        </ext>
      </extLst>
    </bk>
    <bk>
      <extLst>
        <ext uri="{3e2802c4-a4d2-4d8b-9148-e3be6c30e623}">
          <xlrd:rvb i="11560"/>
        </ext>
      </extLst>
    </bk>
    <bk>
      <extLst>
        <ext uri="{3e2802c4-a4d2-4d8b-9148-e3be6c30e623}">
          <xlrd:rvb i="11561"/>
        </ext>
      </extLst>
    </bk>
    <bk>
      <extLst>
        <ext uri="{3e2802c4-a4d2-4d8b-9148-e3be6c30e623}">
          <xlrd:rvb i="11562"/>
        </ext>
      </extLst>
    </bk>
    <bk>
      <extLst>
        <ext uri="{3e2802c4-a4d2-4d8b-9148-e3be6c30e623}">
          <xlrd:rvb i="11563"/>
        </ext>
      </extLst>
    </bk>
    <bk>
      <extLst>
        <ext uri="{3e2802c4-a4d2-4d8b-9148-e3be6c30e623}">
          <xlrd:rvb i="11564"/>
        </ext>
      </extLst>
    </bk>
    <bk>
      <extLst>
        <ext uri="{3e2802c4-a4d2-4d8b-9148-e3be6c30e623}">
          <xlrd:rvb i="11565"/>
        </ext>
      </extLst>
    </bk>
    <bk>
      <extLst>
        <ext uri="{3e2802c4-a4d2-4d8b-9148-e3be6c30e623}">
          <xlrd:rvb i="11566"/>
        </ext>
      </extLst>
    </bk>
    <bk>
      <extLst>
        <ext uri="{3e2802c4-a4d2-4d8b-9148-e3be6c30e623}">
          <xlrd:rvb i="11567"/>
        </ext>
      </extLst>
    </bk>
    <bk>
      <extLst>
        <ext uri="{3e2802c4-a4d2-4d8b-9148-e3be6c30e623}">
          <xlrd:rvb i="11568"/>
        </ext>
      </extLst>
    </bk>
    <bk>
      <extLst>
        <ext uri="{3e2802c4-a4d2-4d8b-9148-e3be6c30e623}">
          <xlrd:rvb i="11569"/>
        </ext>
      </extLst>
    </bk>
    <bk>
      <extLst>
        <ext uri="{3e2802c4-a4d2-4d8b-9148-e3be6c30e623}">
          <xlrd:rvb i="11570"/>
        </ext>
      </extLst>
    </bk>
    <bk>
      <extLst>
        <ext uri="{3e2802c4-a4d2-4d8b-9148-e3be6c30e623}">
          <xlrd:rvb i="11571"/>
        </ext>
      </extLst>
    </bk>
    <bk>
      <extLst>
        <ext uri="{3e2802c4-a4d2-4d8b-9148-e3be6c30e623}">
          <xlrd:rvb i="11572"/>
        </ext>
      </extLst>
    </bk>
    <bk>
      <extLst>
        <ext uri="{3e2802c4-a4d2-4d8b-9148-e3be6c30e623}">
          <xlrd:rvb i="11573"/>
        </ext>
      </extLst>
    </bk>
    <bk>
      <extLst>
        <ext uri="{3e2802c4-a4d2-4d8b-9148-e3be6c30e623}">
          <xlrd:rvb i="11574"/>
        </ext>
      </extLst>
    </bk>
    <bk>
      <extLst>
        <ext uri="{3e2802c4-a4d2-4d8b-9148-e3be6c30e623}">
          <xlrd:rvb i="11575"/>
        </ext>
      </extLst>
    </bk>
    <bk>
      <extLst>
        <ext uri="{3e2802c4-a4d2-4d8b-9148-e3be6c30e623}">
          <xlrd:rvb i="11576"/>
        </ext>
      </extLst>
    </bk>
    <bk>
      <extLst>
        <ext uri="{3e2802c4-a4d2-4d8b-9148-e3be6c30e623}">
          <xlrd:rvb i="11577"/>
        </ext>
      </extLst>
    </bk>
    <bk>
      <extLst>
        <ext uri="{3e2802c4-a4d2-4d8b-9148-e3be6c30e623}">
          <xlrd:rvb i="11578"/>
        </ext>
      </extLst>
    </bk>
    <bk>
      <extLst>
        <ext uri="{3e2802c4-a4d2-4d8b-9148-e3be6c30e623}">
          <xlrd:rvb i="11579"/>
        </ext>
      </extLst>
    </bk>
    <bk>
      <extLst>
        <ext uri="{3e2802c4-a4d2-4d8b-9148-e3be6c30e623}">
          <xlrd:rvb i="11580"/>
        </ext>
      </extLst>
    </bk>
    <bk>
      <extLst>
        <ext uri="{3e2802c4-a4d2-4d8b-9148-e3be6c30e623}">
          <xlrd:rvb i="11581"/>
        </ext>
      </extLst>
    </bk>
    <bk>
      <extLst>
        <ext uri="{3e2802c4-a4d2-4d8b-9148-e3be6c30e623}">
          <xlrd:rvb i="11582"/>
        </ext>
      </extLst>
    </bk>
    <bk>
      <extLst>
        <ext uri="{3e2802c4-a4d2-4d8b-9148-e3be6c30e623}">
          <xlrd:rvb i="11583"/>
        </ext>
      </extLst>
    </bk>
    <bk>
      <extLst>
        <ext uri="{3e2802c4-a4d2-4d8b-9148-e3be6c30e623}">
          <xlrd:rvb i="11584"/>
        </ext>
      </extLst>
    </bk>
    <bk>
      <extLst>
        <ext uri="{3e2802c4-a4d2-4d8b-9148-e3be6c30e623}">
          <xlrd:rvb i="11585"/>
        </ext>
      </extLst>
    </bk>
    <bk>
      <extLst>
        <ext uri="{3e2802c4-a4d2-4d8b-9148-e3be6c30e623}">
          <xlrd:rvb i="11586"/>
        </ext>
      </extLst>
    </bk>
    <bk>
      <extLst>
        <ext uri="{3e2802c4-a4d2-4d8b-9148-e3be6c30e623}">
          <xlrd:rvb i="11587"/>
        </ext>
      </extLst>
    </bk>
    <bk>
      <extLst>
        <ext uri="{3e2802c4-a4d2-4d8b-9148-e3be6c30e623}">
          <xlrd:rvb i="11588"/>
        </ext>
      </extLst>
    </bk>
    <bk>
      <extLst>
        <ext uri="{3e2802c4-a4d2-4d8b-9148-e3be6c30e623}">
          <xlrd:rvb i="11589"/>
        </ext>
      </extLst>
    </bk>
    <bk>
      <extLst>
        <ext uri="{3e2802c4-a4d2-4d8b-9148-e3be6c30e623}">
          <xlrd:rvb i="11590"/>
        </ext>
      </extLst>
    </bk>
    <bk>
      <extLst>
        <ext uri="{3e2802c4-a4d2-4d8b-9148-e3be6c30e623}">
          <xlrd:rvb i="11591"/>
        </ext>
      </extLst>
    </bk>
    <bk>
      <extLst>
        <ext uri="{3e2802c4-a4d2-4d8b-9148-e3be6c30e623}">
          <xlrd:rvb i="11592"/>
        </ext>
      </extLst>
    </bk>
    <bk>
      <extLst>
        <ext uri="{3e2802c4-a4d2-4d8b-9148-e3be6c30e623}">
          <xlrd:rvb i="11593"/>
        </ext>
      </extLst>
    </bk>
    <bk>
      <extLst>
        <ext uri="{3e2802c4-a4d2-4d8b-9148-e3be6c30e623}">
          <xlrd:rvb i="11594"/>
        </ext>
      </extLst>
    </bk>
    <bk>
      <extLst>
        <ext uri="{3e2802c4-a4d2-4d8b-9148-e3be6c30e623}">
          <xlrd:rvb i="11595"/>
        </ext>
      </extLst>
    </bk>
    <bk>
      <extLst>
        <ext uri="{3e2802c4-a4d2-4d8b-9148-e3be6c30e623}">
          <xlrd:rvb i="11596"/>
        </ext>
      </extLst>
    </bk>
    <bk>
      <extLst>
        <ext uri="{3e2802c4-a4d2-4d8b-9148-e3be6c30e623}">
          <xlrd:rvb i="11597"/>
        </ext>
      </extLst>
    </bk>
    <bk>
      <extLst>
        <ext uri="{3e2802c4-a4d2-4d8b-9148-e3be6c30e623}">
          <xlrd:rvb i="11598"/>
        </ext>
      </extLst>
    </bk>
    <bk>
      <extLst>
        <ext uri="{3e2802c4-a4d2-4d8b-9148-e3be6c30e623}">
          <xlrd:rvb i="11599"/>
        </ext>
      </extLst>
    </bk>
    <bk>
      <extLst>
        <ext uri="{3e2802c4-a4d2-4d8b-9148-e3be6c30e623}">
          <xlrd:rvb i="11600"/>
        </ext>
      </extLst>
    </bk>
    <bk>
      <extLst>
        <ext uri="{3e2802c4-a4d2-4d8b-9148-e3be6c30e623}">
          <xlrd:rvb i="11601"/>
        </ext>
      </extLst>
    </bk>
    <bk>
      <extLst>
        <ext uri="{3e2802c4-a4d2-4d8b-9148-e3be6c30e623}">
          <xlrd:rvb i="11602"/>
        </ext>
      </extLst>
    </bk>
    <bk>
      <extLst>
        <ext uri="{3e2802c4-a4d2-4d8b-9148-e3be6c30e623}">
          <xlrd:rvb i="11603"/>
        </ext>
      </extLst>
    </bk>
    <bk>
      <extLst>
        <ext uri="{3e2802c4-a4d2-4d8b-9148-e3be6c30e623}">
          <xlrd:rvb i="11604"/>
        </ext>
      </extLst>
    </bk>
    <bk>
      <extLst>
        <ext uri="{3e2802c4-a4d2-4d8b-9148-e3be6c30e623}">
          <xlrd:rvb i="11605"/>
        </ext>
      </extLst>
    </bk>
    <bk>
      <extLst>
        <ext uri="{3e2802c4-a4d2-4d8b-9148-e3be6c30e623}">
          <xlrd:rvb i="11606"/>
        </ext>
      </extLst>
    </bk>
    <bk>
      <extLst>
        <ext uri="{3e2802c4-a4d2-4d8b-9148-e3be6c30e623}">
          <xlrd:rvb i="11607"/>
        </ext>
      </extLst>
    </bk>
    <bk>
      <extLst>
        <ext uri="{3e2802c4-a4d2-4d8b-9148-e3be6c30e623}">
          <xlrd:rvb i="11608"/>
        </ext>
      </extLst>
    </bk>
    <bk>
      <extLst>
        <ext uri="{3e2802c4-a4d2-4d8b-9148-e3be6c30e623}">
          <xlrd:rvb i="11609"/>
        </ext>
      </extLst>
    </bk>
    <bk>
      <extLst>
        <ext uri="{3e2802c4-a4d2-4d8b-9148-e3be6c30e623}">
          <xlrd:rvb i="11610"/>
        </ext>
      </extLst>
    </bk>
    <bk>
      <extLst>
        <ext uri="{3e2802c4-a4d2-4d8b-9148-e3be6c30e623}">
          <xlrd:rvb i="11611"/>
        </ext>
      </extLst>
    </bk>
    <bk>
      <extLst>
        <ext uri="{3e2802c4-a4d2-4d8b-9148-e3be6c30e623}">
          <xlrd:rvb i="11612"/>
        </ext>
      </extLst>
    </bk>
    <bk>
      <extLst>
        <ext uri="{3e2802c4-a4d2-4d8b-9148-e3be6c30e623}">
          <xlrd:rvb i="11613"/>
        </ext>
      </extLst>
    </bk>
    <bk>
      <extLst>
        <ext uri="{3e2802c4-a4d2-4d8b-9148-e3be6c30e623}">
          <xlrd:rvb i="11614"/>
        </ext>
      </extLst>
    </bk>
    <bk>
      <extLst>
        <ext uri="{3e2802c4-a4d2-4d8b-9148-e3be6c30e623}">
          <xlrd:rvb i="11615"/>
        </ext>
      </extLst>
    </bk>
    <bk>
      <extLst>
        <ext uri="{3e2802c4-a4d2-4d8b-9148-e3be6c30e623}">
          <xlrd:rvb i="11616"/>
        </ext>
      </extLst>
    </bk>
    <bk>
      <extLst>
        <ext uri="{3e2802c4-a4d2-4d8b-9148-e3be6c30e623}">
          <xlrd:rvb i="11617"/>
        </ext>
      </extLst>
    </bk>
    <bk>
      <extLst>
        <ext uri="{3e2802c4-a4d2-4d8b-9148-e3be6c30e623}">
          <xlrd:rvb i="11618"/>
        </ext>
      </extLst>
    </bk>
    <bk>
      <extLst>
        <ext uri="{3e2802c4-a4d2-4d8b-9148-e3be6c30e623}">
          <xlrd:rvb i="11619"/>
        </ext>
      </extLst>
    </bk>
    <bk>
      <extLst>
        <ext uri="{3e2802c4-a4d2-4d8b-9148-e3be6c30e623}">
          <xlrd:rvb i="11620"/>
        </ext>
      </extLst>
    </bk>
    <bk>
      <extLst>
        <ext uri="{3e2802c4-a4d2-4d8b-9148-e3be6c30e623}">
          <xlrd:rvb i="11621"/>
        </ext>
      </extLst>
    </bk>
    <bk>
      <extLst>
        <ext uri="{3e2802c4-a4d2-4d8b-9148-e3be6c30e623}">
          <xlrd:rvb i="11622"/>
        </ext>
      </extLst>
    </bk>
    <bk>
      <extLst>
        <ext uri="{3e2802c4-a4d2-4d8b-9148-e3be6c30e623}">
          <xlrd:rvb i="11623"/>
        </ext>
      </extLst>
    </bk>
    <bk>
      <extLst>
        <ext uri="{3e2802c4-a4d2-4d8b-9148-e3be6c30e623}">
          <xlrd:rvb i="11624"/>
        </ext>
      </extLst>
    </bk>
    <bk>
      <extLst>
        <ext uri="{3e2802c4-a4d2-4d8b-9148-e3be6c30e623}">
          <xlrd:rvb i="11625"/>
        </ext>
      </extLst>
    </bk>
    <bk>
      <extLst>
        <ext uri="{3e2802c4-a4d2-4d8b-9148-e3be6c30e623}">
          <xlrd:rvb i="11626"/>
        </ext>
      </extLst>
    </bk>
    <bk>
      <extLst>
        <ext uri="{3e2802c4-a4d2-4d8b-9148-e3be6c30e623}">
          <xlrd:rvb i="11627"/>
        </ext>
      </extLst>
    </bk>
    <bk>
      <extLst>
        <ext uri="{3e2802c4-a4d2-4d8b-9148-e3be6c30e623}">
          <xlrd:rvb i="11628"/>
        </ext>
      </extLst>
    </bk>
    <bk>
      <extLst>
        <ext uri="{3e2802c4-a4d2-4d8b-9148-e3be6c30e623}">
          <xlrd:rvb i="11629"/>
        </ext>
      </extLst>
    </bk>
    <bk>
      <extLst>
        <ext uri="{3e2802c4-a4d2-4d8b-9148-e3be6c30e623}">
          <xlrd:rvb i="11630"/>
        </ext>
      </extLst>
    </bk>
    <bk>
      <extLst>
        <ext uri="{3e2802c4-a4d2-4d8b-9148-e3be6c30e623}">
          <xlrd:rvb i="11631"/>
        </ext>
      </extLst>
    </bk>
    <bk>
      <extLst>
        <ext uri="{3e2802c4-a4d2-4d8b-9148-e3be6c30e623}">
          <xlrd:rvb i="11632"/>
        </ext>
      </extLst>
    </bk>
    <bk>
      <extLst>
        <ext uri="{3e2802c4-a4d2-4d8b-9148-e3be6c30e623}">
          <xlrd:rvb i="11633"/>
        </ext>
      </extLst>
    </bk>
    <bk>
      <extLst>
        <ext uri="{3e2802c4-a4d2-4d8b-9148-e3be6c30e623}">
          <xlrd:rvb i="11634"/>
        </ext>
      </extLst>
    </bk>
    <bk>
      <extLst>
        <ext uri="{3e2802c4-a4d2-4d8b-9148-e3be6c30e623}">
          <xlrd:rvb i="11635"/>
        </ext>
      </extLst>
    </bk>
    <bk>
      <extLst>
        <ext uri="{3e2802c4-a4d2-4d8b-9148-e3be6c30e623}">
          <xlrd:rvb i="11636"/>
        </ext>
      </extLst>
    </bk>
    <bk>
      <extLst>
        <ext uri="{3e2802c4-a4d2-4d8b-9148-e3be6c30e623}">
          <xlrd:rvb i="11637"/>
        </ext>
      </extLst>
    </bk>
    <bk>
      <extLst>
        <ext uri="{3e2802c4-a4d2-4d8b-9148-e3be6c30e623}">
          <xlrd:rvb i="11638"/>
        </ext>
      </extLst>
    </bk>
    <bk>
      <extLst>
        <ext uri="{3e2802c4-a4d2-4d8b-9148-e3be6c30e623}">
          <xlrd:rvb i="11639"/>
        </ext>
      </extLst>
    </bk>
    <bk>
      <extLst>
        <ext uri="{3e2802c4-a4d2-4d8b-9148-e3be6c30e623}">
          <xlrd:rvb i="11640"/>
        </ext>
      </extLst>
    </bk>
    <bk>
      <extLst>
        <ext uri="{3e2802c4-a4d2-4d8b-9148-e3be6c30e623}">
          <xlrd:rvb i="11641"/>
        </ext>
      </extLst>
    </bk>
    <bk>
      <extLst>
        <ext uri="{3e2802c4-a4d2-4d8b-9148-e3be6c30e623}">
          <xlrd:rvb i="11642"/>
        </ext>
      </extLst>
    </bk>
    <bk>
      <extLst>
        <ext uri="{3e2802c4-a4d2-4d8b-9148-e3be6c30e623}">
          <xlrd:rvb i="11643"/>
        </ext>
      </extLst>
    </bk>
    <bk>
      <extLst>
        <ext uri="{3e2802c4-a4d2-4d8b-9148-e3be6c30e623}">
          <xlrd:rvb i="11644"/>
        </ext>
      </extLst>
    </bk>
    <bk>
      <extLst>
        <ext uri="{3e2802c4-a4d2-4d8b-9148-e3be6c30e623}">
          <xlrd:rvb i="11645"/>
        </ext>
      </extLst>
    </bk>
    <bk>
      <extLst>
        <ext uri="{3e2802c4-a4d2-4d8b-9148-e3be6c30e623}">
          <xlrd:rvb i="11646"/>
        </ext>
      </extLst>
    </bk>
    <bk>
      <extLst>
        <ext uri="{3e2802c4-a4d2-4d8b-9148-e3be6c30e623}">
          <xlrd:rvb i="11647"/>
        </ext>
      </extLst>
    </bk>
    <bk>
      <extLst>
        <ext uri="{3e2802c4-a4d2-4d8b-9148-e3be6c30e623}">
          <xlrd:rvb i="11648"/>
        </ext>
      </extLst>
    </bk>
    <bk>
      <extLst>
        <ext uri="{3e2802c4-a4d2-4d8b-9148-e3be6c30e623}">
          <xlrd:rvb i="11649"/>
        </ext>
      </extLst>
    </bk>
    <bk>
      <extLst>
        <ext uri="{3e2802c4-a4d2-4d8b-9148-e3be6c30e623}">
          <xlrd:rvb i="11650"/>
        </ext>
      </extLst>
    </bk>
    <bk>
      <extLst>
        <ext uri="{3e2802c4-a4d2-4d8b-9148-e3be6c30e623}">
          <xlrd:rvb i="11651"/>
        </ext>
      </extLst>
    </bk>
    <bk>
      <extLst>
        <ext uri="{3e2802c4-a4d2-4d8b-9148-e3be6c30e623}">
          <xlrd:rvb i="11652"/>
        </ext>
      </extLst>
    </bk>
    <bk>
      <extLst>
        <ext uri="{3e2802c4-a4d2-4d8b-9148-e3be6c30e623}">
          <xlrd:rvb i="11653"/>
        </ext>
      </extLst>
    </bk>
    <bk>
      <extLst>
        <ext uri="{3e2802c4-a4d2-4d8b-9148-e3be6c30e623}">
          <xlrd:rvb i="11654"/>
        </ext>
      </extLst>
    </bk>
    <bk>
      <extLst>
        <ext uri="{3e2802c4-a4d2-4d8b-9148-e3be6c30e623}">
          <xlrd:rvb i="11655"/>
        </ext>
      </extLst>
    </bk>
    <bk>
      <extLst>
        <ext uri="{3e2802c4-a4d2-4d8b-9148-e3be6c30e623}">
          <xlrd:rvb i="11656"/>
        </ext>
      </extLst>
    </bk>
    <bk>
      <extLst>
        <ext uri="{3e2802c4-a4d2-4d8b-9148-e3be6c30e623}">
          <xlrd:rvb i="11657"/>
        </ext>
      </extLst>
    </bk>
    <bk>
      <extLst>
        <ext uri="{3e2802c4-a4d2-4d8b-9148-e3be6c30e623}">
          <xlrd:rvb i="11658"/>
        </ext>
      </extLst>
    </bk>
    <bk>
      <extLst>
        <ext uri="{3e2802c4-a4d2-4d8b-9148-e3be6c30e623}">
          <xlrd:rvb i="11659"/>
        </ext>
      </extLst>
    </bk>
    <bk>
      <extLst>
        <ext uri="{3e2802c4-a4d2-4d8b-9148-e3be6c30e623}">
          <xlrd:rvb i="11660"/>
        </ext>
      </extLst>
    </bk>
    <bk>
      <extLst>
        <ext uri="{3e2802c4-a4d2-4d8b-9148-e3be6c30e623}">
          <xlrd:rvb i="11661"/>
        </ext>
      </extLst>
    </bk>
    <bk>
      <extLst>
        <ext uri="{3e2802c4-a4d2-4d8b-9148-e3be6c30e623}">
          <xlrd:rvb i="11662"/>
        </ext>
      </extLst>
    </bk>
    <bk>
      <extLst>
        <ext uri="{3e2802c4-a4d2-4d8b-9148-e3be6c30e623}">
          <xlrd:rvb i="11663"/>
        </ext>
      </extLst>
    </bk>
    <bk>
      <extLst>
        <ext uri="{3e2802c4-a4d2-4d8b-9148-e3be6c30e623}">
          <xlrd:rvb i="11664"/>
        </ext>
      </extLst>
    </bk>
    <bk>
      <extLst>
        <ext uri="{3e2802c4-a4d2-4d8b-9148-e3be6c30e623}">
          <xlrd:rvb i="11665"/>
        </ext>
      </extLst>
    </bk>
    <bk>
      <extLst>
        <ext uri="{3e2802c4-a4d2-4d8b-9148-e3be6c30e623}">
          <xlrd:rvb i="11666"/>
        </ext>
      </extLst>
    </bk>
    <bk>
      <extLst>
        <ext uri="{3e2802c4-a4d2-4d8b-9148-e3be6c30e623}">
          <xlrd:rvb i="11667"/>
        </ext>
      </extLst>
    </bk>
    <bk>
      <extLst>
        <ext uri="{3e2802c4-a4d2-4d8b-9148-e3be6c30e623}">
          <xlrd:rvb i="11668"/>
        </ext>
      </extLst>
    </bk>
    <bk>
      <extLst>
        <ext uri="{3e2802c4-a4d2-4d8b-9148-e3be6c30e623}">
          <xlrd:rvb i="11669"/>
        </ext>
      </extLst>
    </bk>
    <bk>
      <extLst>
        <ext uri="{3e2802c4-a4d2-4d8b-9148-e3be6c30e623}">
          <xlrd:rvb i="11670"/>
        </ext>
      </extLst>
    </bk>
    <bk>
      <extLst>
        <ext uri="{3e2802c4-a4d2-4d8b-9148-e3be6c30e623}">
          <xlrd:rvb i="11671"/>
        </ext>
      </extLst>
    </bk>
    <bk>
      <extLst>
        <ext uri="{3e2802c4-a4d2-4d8b-9148-e3be6c30e623}">
          <xlrd:rvb i="11672"/>
        </ext>
      </extLst>
    </bk>
    <bk>
      <extLst>
        <ext uri="{3e2802c4-a4d2-4d8b-9148-e3be6c30e623}">
          <xlrd:rvb i="11673"/>
        </ext>
      </extLst>
    </bk>
    <bk>
      <extLst>
        <ext uri="{3e2802c4-a4d2-4d8b-9148-e3be6c30e623}">
          <xlrd:rvb i="11674"/>
        </ext>
      </extLst>
    </bk>
    <bk>
      <extLst>
        <ext uri="{3e2802c4-a4d2-4d8b-9148-e3be6c30e623}">
          <xlrd:rvb i="11675"/>
        </ext>
      </extLst>
    </bk>
    <bk>
      <extLst>
        <ext uri="{3e2802c4-a4d2-4d8b-9148-e3be6c30e623}">
          <xlrd:rvb i="11676"/>
        </ext>
      </extLst>
    </bk>
    <bk>
      <extLst>
        <ext uri="{3e2802c4-a4d2-4d8b-9148-e3be6c30e623}">
          <xlrd:rvb i="11677"/>
        </ext>
      </extLst>
    </bk>
    <bk>
      <extLst>
        <ext uri="{3e2802c4-a4d2-4d8b-9148-e3be6c30e623}">
          <xlrd:rvb i="11678"/>
        </ext>
      </extLst>
    </bk>
    <bk>
      <extLst>
        <ext uri="{3e2802c4-a4d2-4d8b-9148-e3be6c30e623}">
          <xlrd:rvb i="11679"/>
        </ext>
      </extLst>
    </bk>
    <bk>
      <extLst>
        <ext uri="{3e2802c4-a4d2-4d8b-9148-e3be6c30e623}">
          <xlrd:rvb i="11680"/>
        </ext>
      </extLst>
    </bk>
    <bk>
      <extLst>
        <ext uri="{3e2802c4-a4d2-4d8b-9148-e3be6c30e623}">
          <xlrd:rvb i="11681"/>
        </ext>
      </extLst>
    </bk>
    <bk>
      <extLst>
        <ext uri="{3e2802c4-a4d2-4d8b-9148-e3be6c30e623}">
          <xlrd:rvb i="11682"/>
        </ext>
      </extLst>
    </bk>
    <bk>
      <extLst>
        <ext uri="{3e2802c4-a4d2-4d8b-9148-e3be6c30e623}">
          <xlrd:rvb i="11683"/>
        </ext>
      </extLst>
    </bk>
    <bk>
      <extLst>
        <ext uri="{3e2802c4-a4d2-4d8b-9148-e3be6c30e623}">
          <xlrd:rvb i="11684"/>
        </ext>
      </extLst>
    </bk>
    <bk>
      <extLst>
        <ext uri="{3e2802c4-a4d2-4d8b-9148-e3be6c30e623}">
          <xlrd:rvb i="11685"/>
        </ext>
      </extLst>
    </bk>
    <bk>
      <extLst>
        <ext uri="{3e2802c4-a4d2-4d8b-9148-e3be6c30e623}">
          <xlrd:rvb i="11686"/>
        </ext>
      </extLst>
    </bk>
    <bk>
      <extLst>
        <ext uri="{3e2802c4-a4d2-4d8b-9148-e3be6c30e623}">
          <xlrd:rvb i="11687"/>
        </ext>
      </extLst>
    </bk>
    <bk>
      <extLst>
        <ext uri="{3e2802c4-a4d2-4d8b-9148-e3be6c30e623}">
          <xlrd:rvb i="11688"/>
        </ext>
      </extLst>
    </bk>
    <bk>
      <extLst>
        <ext uri="{3e2802c4-a4d2-4d8b-9148-e3be6c30e623}">
          <xlrd:rvb i="11689"/>
        </ext>
      </extLst>
    </bk>
    <bk>
      <extLst>
        <ext uri="{3e2802c4-a4d2-4d8b-9148-e3be6c30e623}">
          <xlrd:rvb i="11690"/>
        </ext>
      </extLst>
    </bk>
    <bk>
      <extLst>
        <ext uri="{3e2802c4-a4d2-4d8b-9148-e3be6c30e623}">
          <xlrd:rvb i="11691"/>
        </ext>
      </extLst>
    </bk>
    <bk>
      <extLst>
        <ext uri="{3e2802c4-a4d2-4d8b-9148-e3be6c30e623}">
          <xlrd:rvb i="11692"/>
        </ext>
      </extLst>
    </bk>
    <bk>
      <extLst>
        <ext uri="{3e2802c4-a4d2-4d8b-9148-e3be6c30e623}">
          <xlrd:rvb i="11693"/>
        </ext>
      </extLst>
    </bk>
    <bk>
      <extLst>
        <ext uri="{3e2802c4-a4d2-4d8b-9148-e3be6c30e623}">
          <xlrd:rvb i="11694"/>
        </ext>
      </extLst>
    </bk>
    <bk>
      <extLst>
        <ext uri="{3e2802c4-a4d2-4d8b-9148-e3be6c30e623}">
          <xlrd:rvb i="11695"/>
        </ext>
      </extLst>
    </bk>
    <bk>
      <extLst>
        <ext uri="{3e2802c4-a4d2-4d8b-9148-e3be6c30e623}">
          <xlrd:rvb i="11696"/>
        </ext>
      </extLst>
    </bk>
    <bk>
      <extLst>
        <ext uri="{3e2802c4-a4d2-4d8b-9148-e3be6c30e623}">
          <xlrd:rvb i="11697"/>
        </ext>
      </extLst>
    </bk>
    <bk>
      <extLst>
        <ext uri="{3e2802c4-a4d2-4d8b-9148-e3be6c30e623}">
          <xlrd:rvb i="11698"/>
        </ext>
      </extLst>
    </bk>
    <bk>
      <extLst>
        <ext uri="{3e2802c4-a4d2-4d8b-9148-e3be6c30e623}">
          <xlrd:rvb i="11699"/>
        </ext>
      </extLst>
    </bk>
    <bk>
      <extLst>
        <ext uri="{3e2802c4-a4d2-4d8b-9148-e3be6c30e623}">
          <xlrd:rvb i="11700"/>
        </ext>
      </extLst>
    </bk>
    <bk>
      <extLst>
        <ext uri="{3e2802c4-a4d2-4d8b-9148-e3be6c30e623}">
          <xlrd:rvb i="11701"/>
        </ext>
      </extLst>
    </bk>
    <bk>
      <extLst>
        <ext uri="{3e2802c4-a4d2-4d8b-9148-e3be6c30e623}">
          <xlrd:rvb i="11702"/>
        </ext>
      </extLst>
    </bk>
    <bk>
      <extLst>
        <ext uri="{3e2802c4-a4d2-4d8b-9148-e3be6c30e623}">
          <xlrd:rvb i="11703"/>
        </ext>
      </extLst>
    </bk>
    <bk>
      <extLst>
        <ext uri="{3e2802c4-a4d2-4d8b-9148-e3be6c30e623}">
          <xlrd:rvb i="11704"/>
        </ext>
      </extLst>
    </bk>
    <bk>
      <extLst>
        <ext uri="{3e2802c4-a4d2-4d8b-9148-e3be6c30e623}">
          <xlrd:rvb i="11705"/>
        </ext>
      </extLst>
    </bk>
    <bk>
      <extLst>
        <ext uri="{3e2802c4-a4d2-4d8b-9148-e3be6c30e623}">
          <xlrd:rvb i="11706"/>
        </ext>
      </extLst>
    </bk>
    <bk>
      <extLst>
        <ext uri="{3e2802c4-a4d2-4d8b-9148-e3be6c30e623}">
          <xlrd:rvb i="11707"/>
        </ext>
      </extLst>
    </bk>
    <bk>
      <extLst>
        <ext uri="{3e2802c4-a4d2-4d8b-9148-e3be6c30e623}">
          <xlrd:rvb i="11708"/>
        </ext>
      </extLst>
    </bk>
    <bk>
      <extLst>
        <ext uri="{3e2802c4-a4d2-4d8b-9148-e3be6c30e623}">
          <xlrd:rvb i="11709"/>
        </ext>
      </extLst>
    </bk>
    <bk>
      <extLst>
        <ext uri="{3e2802c4-a4d2-4d8b-9148-e3be6c30e623}">
          <xlrd:rvb i="11710"/>
        </ext>
      </extLst>
    </bk>
    <bk>
      <extLst>
        <ext uri="{3e2802c4-a4d2-4d8b-9148-e3be6c30e623}">
          <xlrd:rvb i="11711"/>
        </ext>
      </extLst>
    </bk>
    <bk>
      <extLst>
        <ext uri="{3e2802c4-a4d2-4d8b-9148-e3be6c30e623}">
          <xlrd:rvb i="11712"/>
        </ext>
      </extLst>
    </bk>
    <bk>
      <extLst>
        <ext uri="{3e2802c4-a4d2-4d8b-9148-e3be6c30e623}">
          <xlrd:rvb i="11713"/>
        </ext>
      </extLst>
    </bk>
    <bk>
      <extLst>
        <ext uri="{3e2802c4-a4d2-4d8b-9148-e3be6c30e623}">
          <xlrd:rvb i="11714"/>
        </ext>
      </extLst>
    </bk>
    <bk>
      <extLst>
        <ext uri="{3e2802c4-a4d2-4d8b-9148-e3be6c30e623}">
          <xlrd:rvb i="11715"/>
        </ext>
      </extLst>
    </bk>
    <bk>
      <extLst>
        <ext uri="{3e2802c4-a4d2-4d8b-9148-e3be6c30e623}">
          <xlrd:rvb i="11716"/>
        </ext>
      </extLst>
    </bk>
    <bk>
      <extLst>
        <ext uri="{3e2802c4-a4d2-4d8b-9148-e3be6c30e623}">
          <xlrd:rvb i="11717"/>
        </ext>
      </extLst>
    </bk>
    <bk>
      <extLst>
        <ext uri="{3e2802c4-a4d2-4d8b-9148-e3be6c30e623}">
          <xlrd:rvb i="11718"/>
        </ext>
      </extLst>
    </bk>
    <bk>
      <extLst>
        <ext uri="{3e2802c4-a4d2-4d8b-9148-e3be6c30e623}">
          <xlrd:rvb i="11719"/>
        </ext>
      </extLst>
    </bk>
    <bk>
      <extLst>
        <ext uri="{3e2802c4-a4d2-4d8b-9148-e3be6c30e623}">
          <xlrd:rvb i="11720"/>
        </ext>
      </extLst>
    </bk>
    <bk>
      <extLst>
        <ext uri="{3e2802c4-a4d2-4d8b-9148-e3be6c30e623}">
          <xlrd:rvb i="11721"/>
        </ext>
      </extLst>
    </bk>
    <bk>
      <extLst>
        <ext uri="{3e2802c4-a4d2-4d8b-9148-e3be6c30e623}">
          <xlrd:rvb i="11722"/>
        </ext>
      </extLst>
    </bk>
    <bk>
      <extLst>
        <ext uri="{3e2802c4-a4d2-4d8b-9148-e3be6c30e623}">
          <xlrd:rvb i="11723"/>
        </ext>
      </extLst>
    </bk>
    <bk>
      <extLst>
        <ext uri="{3e2802c4-a4d2-4d8b-9148-e3be6c30e623}">
          <xlrd:rvb i="11724"/>
        </ext>
      </extLst>
    </bk>
    <bk>
      <extLst>
        <ext uri="{3e2802c4-a4d2-4d8b-9148-e3be6c30e623}">
          <xlrd:rvb i="11725"/>
        </ext>
      </extLst>
    </bk>
    <bk>
      <extLst>
        <ext uri="{3e2802c4-a4d2-4d8b-9148-e3be6c30e623}">
          <xlrd:rvb i="11726"/>
        </ext>
      </extLst>
    </bk>
    <bk>
      <extLst>
        <ext uri="{3e2802c4-a4d2-4d8b-9148-e3be6c30e623}">
          <xlrd:rvb i="11727"/>
        </ext>
      </extLst>
    </bk>
    <bk>
      <extLst>
        <ext uri="{3e2802c4-a4d2-4d8b-9148-e3be6c30e623}">
          <xlrd:rvb i="11728"/>
        </ext>
      </extLst>
    </bk>
    <bk>
      <extLst>
        <ext uri="{3e2802c4-a4d2-4d8b-9148-e3be6c30e623}">
          <xlrd:rvb i="11729"/>
        </ext>
      </extLst>
    </bk>
    <bk>
      <extLst>
        <ext uri="{3e2802c4-a4d2-4d8b-9148-e3be6c30e623}">
          <xlrd:rvb i="11730"/>
        </ext>
      </extLst>
    </bk>
    <bk>
      <extLst>
        <ext uri="{3e2802c4-a4d2-4d8b-9148-e3be6c30e623}">
          <xlrd:rvb i="11731"/>
        </ext>
      </extLst>
    </bk>
    <bk>
      <extLst>
        <ext uri="{3e2802c4-a4d2-4d8b-9148-e3be6c30e623}">
          <xlrd:rvb i="11732"/>
        </ext>
      </extLst>
    </bk>
    <bk>
      <extLst>
        <ext uri="{3e2802c4-a4d2-4d8b-9148-e3be6c30e623}">
          <xlrd:rvb i="11733"/>
        </ext>
      </extLst>
    </bk>
    <bk>
      <extLst>
        <ext uri="{3e2802c4-a4d2-4d8b-9148-e3be6c30e623}">
          <xlrd:rvb i="11734"/>
        </ext>
      </extLst>
    </bk>
    <bk>
      <extLst>
        <ext uri="{3e2802c4-a4d2-4d8b-9148-e3be6c30e623}">
          <xlrd:rvb i="11735"/>
        </ext>
      </extLst>
    </bk>
    <bk>
      <extLst>
        <ext uri="{3e2802c4-a4d2-4d8b-9148-e3be6c30e623}">
          <xlrd:rvb i="11736"/>
        </ext>
      </extLst>
    </bk>
    <bk>
      <extLst>
        <ext uri="{3e2802c4-a4d2-4d8b-9148-e3be6c30e623}">
          <xlrd:rvb i="11737"/>
        </ext>
      </extLst>
    </bk>
    <bk>
      <extLst>
        <ext uri="{3e2802c4-a4d2-4d8b-9148-e3be6c30e623}">
          <xlrd:rvb i="11738"/>
        </ext>
      </extLst>
    </bk>
    <bk>
      <extLst>
        <ext uri="{3e2802c4-a4d2-4d8b-9148-e3be6c30e623}">
          <xlrd:rvb i="11739"/>
        </ext>
      </extLst>
    </bk>
    <bk>
      <extLst>
        <ext uri="{3e2802c4-a4d2-4d8b-9148-e3be6c30e623}">
          <xlrd:rvb i="11740"/>
        </ext>
      </extLst>
    </bk>
    <bk>
      <extLst>
        <ext uri="{3e2802c4-a4d2-4d8b-9148-e3be6c30e623}">
          <xlrd:rvb i="11741"/>
        </ext>
      </extLst>
    </bk>
    <bk>
      <extLst>
        <ext uri="{3e2802c4-a4d2-4d8b-9148-e3be6c30e623}">
          <xlrd:rvb i="11742"/>
        </ext>
      </extLst>
    </bk>
    <bk>
      <extLst>
        <ext uri="{3e2802c4-a4d2-4d8b-9148-e3be6c30e623}">
          <xlrd:rvb i="11743"/>
        </ext>
      </extLst>
    </bk>
    <bk>
      <extLst>
        <ext uri="{3e2802c4-a4d2-4d8b-9148-e3be6c30e623}">
          <xlrd:rvb i="11744"/>
        </ext>
      </extLst>
    </bk>
    <bk>
      <extLst>
        <ext uri="{3e2802c4-a4d2-4d8b-9148-e3be6c30e623}">
          <xlrd:rvb i="11745"/>
        </ext>
      </extLst>
    </bk>
    <bk>
      <extLst>
        <ext uri="{3e2802c4-a4d2-4d8b-9148-e3be6c30e623}">
          <xlrd:rvb i="11746"/>
        </ext>
      </extLst>
    </bk>
    <bk>
      <extLst>
        <ext uri="{3e2802c4-a4d2-4d8b-9148-e3be6c30e623}">
          <xlrd:rvb i="11747"/>
        </ext>
      </extLst>
    </bk>
    <bk>
      <extLst>
        <ext uri="{3e2802c4-a4d2-4d8b-9148-e3be6c30e623}">
          <xlrd:rvb i="11748"/>
        </ext>
      </extLst>
    </bk>
    <bk>
      <extLst>
        <ext uri="{3e2802c4-a4d2-4d8b-9148-e3be6c30e623}">
          <xlrd:rvb i="11749"/>
        </ext>
      </extLst>
    </bk>
    <bk>
      <extLst>
        <ext uri="{3e2802c4-a4d2-4d8b-9148-e3be6c30e623}">
          <xlrd:rvb i="11750"/>
        </ext>
      </extLst>
    </bk>
    <bk>
      <extLst>
        <ext uri="{3e2802c4-a4d2-4d8b-9148-e3be6c30e623}">
          <xlrd:rvb i="11751"/>
        </ext>
      </extLst>
    </bk>
    <bk>
      <extLst>
        <ext uri="{3e2802c4-a4d2-4d8b-9148-e3be6c30e623}">
          <xlrd:rvb i="11752"/>
        </ext>
      </extLst>
    </bk>
    <bk>
      <extLst>
        <ext uri="{3e2802c4-a4d2-4d8b-9148-e3be6c30e623}">
          <xlrd:rvb i="11753"/>
        </ext>
      </extLst>
    </bk>
    <bk>
      <extLst>
        <ext uri="{3e2802c4-a4d2-4d8b-9148-e3be6c30e623}">
          <xlrd:rvb i="11754"/>
        </ext>
      </extLst>
    </bk>
    <bk>
      <extLst>
        <ext uri="{3e2802c4-a4d2-4d8b-9148-e3be6c30e623}">
          <xlrd:rvb i="11755"/>
        </ext>
      </extLst>
    </bk>
    <bk>
      <extLst>
        <ext uri="{3e2802c4-a4d2-4d8b-9148-e3be6c30e623}">
          <xlrd:rvb i="11756"/>
        </ext>
      </extLst>
    </bk>
    <bk>
      <extLst>
        <ext uri="{3e2802c4-a4d2-4d8b-9148-e3be6c30e623}">
          <xlrd:rvb i="11757"/>
        </ext>
      </extLst>
    </bk>
    <bk>
      <extLst>
        <ext uri="{3e2802c4-a4d2-4d8b-9148-e3be6c30e623}">
          <xlrd:rvb i="11758"/>
        </ext>
      </extLst>
    </bk>
    <bk>
      <extLst>
        <ext uri="{3e2802c4-a4d2-4d8b-9148-e3be6c30e623}">
          <xlrd:rvb i="11759"/>
        </ext>
      </extLst>
    </bk>
    <bk>
      <extLst>
        <ext uri="{3e2802c4-a4d2-4d8b-9148-e3be6c30e623}">
          <xlrd:rvb i="11760"/>
        </ext>
      </extLst>
    </bk>
    <bk>
      <extLst>
        <ext uri="{3e2802c4-a4d2-4d8b-9148-e3be6c30e623}">
          <xlrd:rvb i="11761"/>
        </ext>
      </extLst>
    </bk>
    <bk>
      <extLst>
        <ext uri="{3e2802c4-a4d2-4d8b-9148-e3be6c30e623}">
          <xlrd:rvb i="11762"/>
        </ext>
      </extLst>
    </bk>
    <bk>
      <extLst>
        <ext uri="{3e2802c4-a4d2-4d8b-9148-e3be6c30e623}">
          <xlrd:rvb i="11763"/>
        </ext>
      </extLst>
    </bk>
    <bk>
      <extLst>
        <ext uri="{3e2802c4-a4d2-4d8b-9148-e3be6c30e623}">
          <xlrd:rvb i="11764"/>
        </ext>
      </extLst>
    </bk>
    <bk>
      <extLst>
        <ext uri="{3e2802c4-a4d2-4d8b-9148-e3be6c30e623}">
          <xlrd:rvb i="11765"/>
        </ext>
      </extLst>
    </bk>
    <bk>
      <extLst>
        <ext uri="{3e2802c4-a4d2-4d8b-9148-e3be6c30e623}">
          <xlrd:rvb i="11766"/>
        </ext>
      </extLst>
    </bk>
    <bk>
      <extLst>
        <ext uri="{3e2802c4-a4d2-4d8b-9148-e3be6c30e623}">
          <xlrd:rvb i="11767"/>
        </ext>
      </extLst>
    </bk>
    <bk>
      <extLst>
        <ext uri="{3e2802c4-a4d2-4d8b-9148-e3be6c30e623}">
          <xlrd:rvb i="11768"/>
        </ext>
      </extLst>
    </bk>
    <bk>
      <extLst>
        <ext uri="{3e2802c4-a4d2-4d8b-9148-e3be6c30e623}">
          <xlrd:rvb i="11769"/>
        </ext>
      </extLst>
    </bk>
    <bk>
      <extLst>
        <ext uri="{3e2802c4-a4d2-4d8b-9148-e3be6c30e623}">
          <xlrd:rvb i="11770"/>
        </ext>
      </extLst>
    </bk>
    <bk>
      <extLst>
        <ext uri="{3e2802c4-a4d2-4d8b-9148-e3be6c30e623}">
          <xlrd:rvb i="11771"/>
        </ext>
      </extLst>
    </bk>
    <bk>
      <extLst>
        <ext uri="{3e2802c4-a4d2-4d8b-9148-e3be6c30e623}">
          <xlrd:rvb i="11772"/>
        </ext>
      </extLst>
    </bk>
    <bk>
      <extLst>
        <ext uri="{3e2802c4-a4d2-4d8b-9148-e3be6c30e623}">
          <xlrd:rvb i="11773"/>
        </ext>
      </extLst>
    </bk>
    <bk>
      <extLst>
        <ext uri="{3e2802c4-a4d2-4d8b-9148-e3be6c30e623}">
          <xlrd:rvb i="11774"/>
        </ext>
      </extLst>
    </bk>
    <bk>
      <extLst>
        <ext uri="{3e2802c4-a4d2-4d8b-9148-e3be6c30e623}">
          <xlrd:rvb i="11775"/>
        </ext>
      </extLst>
    </bk>
    <bk>
      <extLst>
        <ext uri="{3e2802c4-a4d2-4d8b-9148-e3be6c30e623}">
          <xlrd:rvb i="11776"/>
        </ext>
      </extLst>
    </bk>
    <bk>
      <extLst>
        <ext uri="{3e2802c4-a4d2-4d8b-9148-e3be6c30e623}">
          <xlrd:rvb i="11777"/>
        </ext>
      </extLst>
    </bk>
    <bk>
      <extLst>
        <ext uri="{3e2802c4-a4d2-4d8b-9148-e3be6c30e623}">
          <xlrd:rvb i="11778"/>
        </ext>
      </extLst>
    </bk>
    <bk>
      <extLst>
        <ext uri="{3e2802c4-a4d2-4d8b-9148-e3be6c30e623}">
          <xlrd:rvb i="11779"/>
        </ext>
      </extLst>
    </bk>
    <bk>
      <extLst>
        <ext uri="{3e2802c4-a4d2-4d8b-9148-e3be6c30e623}">
          <xlrd:rvb i="11780"/>
        </ext>
      </extLst>
    </bk>
    <bk>
      <extLst>
        <ext uri="{3e2802c4-a4d2-4d8b-9148-e3be6c30e623}">
          <xlrd:rvb i="11781"/>
        </ext>
      </extLst>
    </bk>
    <bk>
      <extLst>
        <ext uri="{3e2802c4-a4d2-4d8b-9148-e3be6c30e623}">
          <xlrd:rvb i="11782"/>
        </ext>
      </extLst>
    </bk>
    <bk>
      <extLst>
        <ext uri="{3e2802c4-a4d2-4d8b-9148-e3be6c30e623}">
          <xlrd:rvb i="11783"/>
        </ext>
      </extLst>
    </bk>
    <bk>
      <extLst>
        <ext uri="{3e2802c4-a4d2-4d8b-9148-e3be6c30e623}">
          <xlrd:rvb i="11784"/>
        </ext>
      </extLst>
    </bk>
    <bk>
      <extLst>
        <ext uri="{3e2802c4-a4d2-4d8b-9148-e3be6c30e623}">
          <xlrd:rvb i="11785"/>
        </ext>
      </extLst>
    </bk>
    <bk>
      <extLst>
        <ext uri="{3e2802c4-a4d2-4d8b-9148-e3be6c30e623}">
          <xlrd:rvb i="11786"/>
        </ext>
      </extLst>
    </bk>
    <bk>
      <extLst>
        <ext uri="{3e2802c4-a4d2-4d8b-9148-e3be6c30e623}">
          <xlrd:rvb i="11787"/>
        </ext>
      </extLst>
    </bk>
    <bk>
      <extLst>
        <ext uri="{3e2802c4-a4d2-4d8b-9148-e3be6c30e623}">
          <xlrd:rvb i="11788"/>
        </ext>
      </extLst>
    </bk>
    <bk>
      <extLst>
        <ext uri="{3e2802c4-a4d2-4d8b-9148-e3be6c30e623}">
          <xlrd:rvb i="11789"/>
        </ext>
      </extLst>
    </bk>
    <bk>
      <extLst>
        <ext uri="{3e2802c4-a4d2-4d8b-9148-e3be6c30e623}">
          <xlrd:rvb i="11790"/>
        </ext>
      </extLst>
    </bk>
    <bk>
      <extLst>
        <ext uri="{3e2802c4-a4d2-4d8b-9148-e3be6c30e623}">
          <xlrd:rvb i="11791"/>
        </ext>
      </extLst>
    </bk>
    <bk>
      <extLst>
        <ext uri="{3e2802c4-a4d2-4d8b-9148-e3be6c30e623}">
          <xlrd:rvb i="11792"/>
        </ext>
      </extLst>
    </bk>
    <bk>
      <extLst>
        <ext uri="{3e2802c4-a4d2-4d8b-9148-e3be6c30e623}">
          <xlrd:rvb i="11793"/>
        </ext>
      </extLst>
    </bk>
    <bk>
      <extLst>
        <ext uri="{3e2802c4-a4d2-4d8b-9148-e3be6c30e623}">
          <xlrd:rvb i="11794"/>
        </ext>
      </extLst>
    </bk>
    <bk>
      <extLst>
        <ext uri="{3e2802c4-a4d2-4d8b-9148-e3be6c30e623}">
          <xlrd:rvb i="11795"/>
        </ext>
      </extLst>
    </bk>
    <bk>
      <extLst>
        <ext uri="{3e2802c4-a4d2-4d8b-9148-e3be6c30e623}">
          <xlrd:rvb i="11796"/>
        </ext>
      </extLst>
    </bk>
    <bk>
      <extLst>
        <ext uri="{3e2802c4-a4d2-4d8b-9148-e3be6c30e623}">
          <xlrd:rvb i="11797"/>
        </ext>
      </extLst>
    </bk>
    <bk>
      <extLst>
        <ext uri="{3e2802c4-a4d2-4d8b-9148-e3be6c30e623}">
          <xlrd:rvb i="11798"/>
        </ext>
      </extLst>
    </bk>
    <bk>
      <extLst>
        <ext uri="{3e2802c4-a4d2-4d8b-9148-e3be6c30e623}">
          <xlrd:rvb i="11799"/>
        </ext>
      </extLst>
    </bk>
    <bk>
      <extLst>
        <ext uri="{3e2802c4-a4d2-4d8b-9148-e3be6c30e623}">
          <xlrd:rvb i="11800"/>
        </ext>
      </extLst>
    </bk>
    <bk>
      <extLst>
        <ext uri="{3e2802c4-a4d2-4d8b-9148-e3be6c30e623}">
          <xlrd:rvb i="11801"/>
        </ext>
      </extLst>
    </bk>
    <bk>
      <extLst>
        <ext uri="{3e2802c4-a4d2-4d8b-9148-e3be6c30e623}">
          <xlrd:rvb i="11802"/>
        </ext>
      </extLst>
    </bk>
    <bk>
      <extLst>
        <ext uri="{3e2802c4-a4d2-4d8b-9148-e3be6c30e623}">
          <xlrd:rvb i="11803"/>
        </ext>
      </extLst>
    </bk>
    <bk>
      <extLst>
        <ext uri="{3e2802c4-a4d2-4d8b-9148-e3be6c30e623}">
          <xlrd:rvb i="11804"/>
        </ext>
      </extLst>
    </bk>
    <bk>
      <extLst>
        <ext uri="{3e2802c4-a4d2-4d8b-9148-e3be6c30e623}">
          <xlrd:rvb i="11805"/>
        </ext>
      </extLst>
    </bk>
    <bk>
      <extLst>
        <ext uri="{3e2802c4-a4d2-4d8b-9148-e3be6c30e623}">
          <xlrd:rvb i="11806"/>
        </ext>
      </extLst>
    </bk>
    <bk>
      <extLst>
        <ext uri="{3e2802c4-a4d2-4d8b-9148-e3be6c30e623}">
          <xlrd:rvb i="11807"/>
        </ext>
      </extLst>
    </bk>
    <bk>
      <extLst>
        <ext uri="{3e2802c4-a4d2-4d8b-9148-e3be6c30e623}">
          <xlrd:rvb i="11808"/>
        </ext>
      </extLst>
    </bk>
    <bk>
      <extLst>
        <ext uri="{3e2802c4-a4d2-4d8b-9148-e3be6c30e623}">
          <xlrd:rvb i="11809"/>
        </ext>
      </extLst>
    </bk>
    <bk>
      <extLst>
        <ext uri="{3e2802c4-a4d2-4d8b-9148-e3be6c30e623}">
          <xlrd:rvb i="11810"/>
        </ext>
      </extLst>
    </bk>
    <bk>
      <extLst>
        <ext uri="{3e2802c4-a4d2-4d8b-9148-e3be6c30e623}">
          <xlrd:rvb i="11811"/>
        </ext>
      </extLst>
    </bk>
    <bk>
      <extLst>
        <ext uri="{3e2802c4-a4d2-4d8b-9148-e3be6c30e623}">
          <xlrd:rvb i="11812"/>
        </ext>
      </extLst>
    </bk>
    <bk>
      <extLst>
        <ext uri="{3e2802c4-a4d2-4d8b-9148-e3be6c30e623}">
          <xlrd:rvb i="11813"/>
        </ext>
      </extLst>
    </bk>
    <bk>
      <extLst>
        <ext uri="{3e2802c4-a4d2-4d8b-9148-e3be6c30e623}">
          <xlrd:rvb i="11814"/>
        </ext>
      </extLst>
    </bk>
    <bk>
      <extLst>
        <ext uri="{3e2802c4-a4d2-4d8b-9148-e3be6c30e623}">
          <xlrd:rvb i="11815"/>
        </ext>
      </extLst>
    </bk>
    <bk>
      <extLst>
        <ext uri="{3e2802c4-a4d2-4d8b-9148-e3be6c30e623}">
          <xlrd:rvb i="11816"/>
        </ext>
      </extLst>
    </bk>
    <bk>
      <extLst>
        <ext uri="{3e2802c4-a4d2-4d8b-9148-e3be6c30e623}">
          <xlrd:rvb i="11817"/>
        </ext>
      </extLst>
    </bk>
    <bk>
      <extLst>
        <ext uri="{3e2802c4-a4d2-4d8b-9148-e3be6c30e623}">
          <xlrd:rvb i="11818"/>
        </ext>
      </extLst>
    </bk>
    <bk>
      <extLst>
        <ext uri="{3e2802c4-a4d2-4d8b-9148-e3be6c30e623}">
          <xlrd:rvb i="11819"/>
        </ext>
      </extLst>
    </bk>
    <bk>
      <extLst>
        <ext uri="{3e2802c4-a4d2-4d8b-9148-e3be6c30e623}">
          <xlrd:rvb i="11820"/>
        </ext>
      </extLst>
    </bk>
    <bk>
      <extLst>
        <ext uri="{3e2802c4-a4d2-4d8b-9148-e3be6c30e623}">
          <xlrd:rvb i="11821"/>
        </ext>
      </extLst>
    </bk>
    <bk>
      <extLst>
        <ext uri="{3e2802c4-a4d2-4d8b-9148-e3be6c30e623}">
          <xlrd:rvb i="11822"/>
        </ext>
      </extLst>
    </bk>
    <bk>
      <extLst>
        <ext uri="{3e2802c4-a4d2-4d8b-9148-e3be6c30e623}">
          <xlrd:rvb i="11823"/>
        </ext>
      </extLst>
    </bk>
    <bk>
      <extLst>
        <ext uri="{3e2802c4-a4d2-4d8b-9148-e3be6c30e623}">
          <xlrd:rvb i="11824"/>
        </ext>
      </extLst>
    </bk>
    <bk>
      <extLst>
        <ext uri="{3e2802c4-a4d2-4d8b-9148-e3be6c30e623}">
          <xlrd:rvb i="11825"/>
        </ext>
      </extLst>
    </bk>
    <bk>
      <extLst>
        <ext uri="{3e2802c4-a4d2-4d8b-9148-e3be6c30e623}">
          <xlrd:rvb i="11826"/>
        </ext>
      </extLst>
    </bk>
    <bk>
      <extLst>
        <ext uri="{3e2802c4-a4d2-4d8b-9148-e3be6c30e623}">
          <xlrd:rvb i="11827"/>
        </ext>
      </extLst>
    </bk>
    <bk>
      <extLst>
        <ext uri="{3e2802c4-a4d2-4d8b-9148-e3be6c30e623}">
          <xlrd:rvb i="11828"/>
        </ext>
      </extLst>
    </bk>
    <bk>
      <extLst>
        <ext uri="{3e2802c4-a4d2-4d8b-9148-e3be6c30e623}">
          <xlrd:rvb i="11829"/>
        </ext>
      </extLst>
    </bk>
    <bk>
      <extLst>
        <ext uri="{3e2802c4-a4d2-4d8b-9148-e3be6c30e623}">
          <xlrd:rvb i="11830"/>
        </ext>
      </extLst>
    </bk>
    <bk>
      <extLst>
        <ext uri="{3e2802c4-a4d2-4d8b-9148-e3be6c30e623}">
          <xlrd:rvb i="11831"/>
        </ext>
      </extLst>
    </bk>
    <bk>
      <extLst>
        <ext uri="{3e2802c4-a4d2-4d8b-9148-e3be6c30e623}">
          <xlrd:rvb i="11832"/>
        </ext>
      </extLst>
    </bk>
    <bk>
      <extLst>
        <ext uri="{3e2802c4-a4d2-4d8b-9148-e3be6c30e623}">
          <xlrd:rvb i="11833"/>
        </ext>
      </extLst>
    </bk>
    <bk>
      <extLst>
        <ext uri="{3e2802c4-a4d2-4d8b-9148-e3be6c30e623}">
          <xlrd:rvb i="11834"/>
        </ext>
      </extLst>
    </bk>
    <bk>
      <extLst>
        <ext uri="{3e2802c4-a4d2-4d8b-9148-e3be6c30e623}">
          <xlrd:rvb i="11835"/>
        </ext>
      </extLst>
    </bk>
    <bk>
      <extLst>
        <ext uri="{3e2802c4-a4d2-4d8b-9148-e3be6c30e623}">
          <xlrd:rvb i="11836"/>
        </ext>
      </extLst>
    </bk>
    <bk>
      <extLst>
        <ext uri="{3e2802c4-a4d2-4d8b-9148-e3be6c30e623}">
          <xlrd:rvb i="11837"/>
        </ext>
      </extLst>
    </bk>
    <bk>
      <extLst>
        <ext uri="{3e2802c4-a4d2-4d8b-9148-e3be6c30e623}">
          <xlrd:rvb i="11838"/>
        </ext>
      </extLst>
    </bk>
    <bk>
      <extLst>
        <ext uri="{3e2802c4-a4d2-4d8b-9148-e3be6c30e623}">
          <xlrd:rvb i="11839"/>
        </ext>
      </extLst>
    </bk>
    <bk>
      <extLst>
        <ext uri="{3e2802c4-a4d2-4d8b-9148-e3be6c30e623}">
          <xlrd:rvb i="11840"/>
        </ext>
      </extLst>
    </bk>
    <bk>
      <extLst>
        <ext uri="{3e2802c4-a4d2-4d8b-9148-e3be6c30e623}">
          <xlrd:rvb i="11841"/>
        </ext>
      </extLst>
    </bk>
    <bk>
      <extLst>
        <ext uri="{3e2802c4-a4d2-4d8b-9148-e3be6c30e623}">
          <xlrd:rvb i="11842"/>
        </ext>
      </extLst>
    </bk>
    <bk>
      <extLst>
        <ext uri="{3e2802c4-a4d2-4d8b-9148-e3be6c30e623}">
          <xlrd:rvb i="11843"/>
        </ext>
      </extLst>
    </bk>
    <bk>
      <extLst>
        <ext uri="{3e2802c4-a4d2-4d8b-9148-e3be6c30e623}">
          <xlrd:rvb i="11844"/>
        </ext>
      </extLst>
    </bk>
    <bk>
      <extLst>
        <ext uri="{3e2802c4-a4d2-4d8b-9148-e3be6c30e623}">
          <xlrd:rvb i="11845"/>
        </ext>
      </extLst>
    </bk>
    <bk>
      <extLst>
        <ext uri="{3e2802c4-a4d2-4d8b-9148-e3be6c30e623}">
          <xlrd:rvb i="11846"/>
        </ext>
      </extLst>
    </bk>
    <bk>
      <extLst>
        <ext uri="{3e2802c4-a4d2-4d8b-9148-e3be6c30e623}">
          <xlrd:rvb i="11847"/>
        </ext>
      </extLst>
    </bk>
    <bk>
      <extLst>
        <ext uri="{3e2802c4-a4d2-4d8b-9148-e3be6c30e623}">
          <xlrd:rvb i="11848"/>
        </ext>
      </extLst>
    </bk>
    <bk>
      <extLst>
        <ext uri="{3e2802c4-a4d2-4d8b-9148-e3be6c30e623}">
          <xlrd:rvb i="11849"/>
        </ext>
      </extLst>
    </bk>
    <bk>
      <extLst>
        <ext uri="{3e2802c4-a4d2-4d8b-9148-e3be6c30e623}">
          <xlrd:rvb i="11850"/>
        </ext>
      </extLst>
    </bk>
    <bk>
      <extLst>
        <ext uri="{3e2802c4-a4d2-4d8b-9148-e3be6c30e623}">
          <xlrd:rvb i="11851"/>
        </ext>
      </extLst>
    </bk>
    <bk>
      <extLst>
        <ext uri="{3e2802c4-a4d2-4d8b-9148-e3be6c30e623}">
          <xlrd:rvb i="11852"/>
        </ext>
      </extLst>
    </bk>
    <bk>
      <extLst>
        <ext uri="{3e2802c4-a4d2-4d8b-9148-e3be6c30e623}">
          <xlrd:rvb i="11853"/>
        </ext>
      </extLst>
    </bk>
    <bk>
      <extLst>
        <ext uri="{3e2802c4-a4d2-4d8b-9148-e3be6c30e623}">
          <xlrd:rvb i="11854"/>
        </ext>
      </extLst>
    </bk>
    <bk>
      <extLst>
        <ext uri="{3e2802c4-a4d2-4d8b-9148-e3be6c30e623}">
          <xlrd:rvb i="11855"/>
        </ext>
      </extLst>
    </bk>
    <bk>
      <extLst>
        <ext uri="{3e2802c4-a4d2-4d8b-9148-e3be6c30e623}">
          <xlrd:rvb i="11856"/>
        </ext>
      </extLst>
    </bk>
    <bk>
      <extLst>
        <ext uri="{3e2802c4-a4d2-4d8b-9148-e3be6c30e623}">
          <xlrd:rvb i="11857"/>
        </ext>
      </extLst>
    </bk>
    <bk>
      <extLst>
        <ext uri="{3e2802c4-a4d2-4d8b-9148-e3be6c30e623}">
          <xlrd:rvb i="11858"/>
        </ext>
      </extLst>
    </bk>
    <bk>
      <extLst>
        <ext uri="{3e2802c4-a4d2-4d8b-9148-e3be6c30e623}">
          <xlrd:rvb i="11859"/>
        </ext>
      </extLst>
    </bk>
    <bk>
      <extLst>
        <ext uri="{3e2802c4-a4d2-4d8b-9148-e3be6c30e623}">
          <xlrd:rvb i="11860"/>
        </ext>
      </extLst>
    </bk>
    <bk>
      <extLst>
        <ext uri="{3e2802c4-a4d2-4d8b-9148-e3be6c30e623}">
          <xlrd:rvb i="11861"/>
        </ext>
      </extLst>
    </bk>
    <bk>
      <extLst>
        <ext uri="{3e2802c4-a4d2-4d8b-9148-e3be6c30e623}">
          <xlrd:rvb i="11862"/>
        </ext>
      </extLst>
    </bk>
    <bk>
      <extLst>
        <ext uri="{3e2802c4-a4d2-4d8b-9148-e3be6c30e623}">
          <xlrd:rvb i="11863"/>
        </ext>
      </extLst>
    </bk>
    <bk>
      <extLst>
        <ext uri="{3e2802c4-a4d2-4d8b-9148-e3be6c30e623}">
          <xlrd:rvb i="11864"/>
        </ext>
      </extLst>
    </bk>
    <bk>
      <extLst>
        <ext uri="{3e2802c4-a4d2-4d8b-9148-e3be6c30e623}">
          <xlrd:rvb i="11865"/>
        </ext>
      </extLst>
    </bk>
    <bk>
      <extLst>
        <ext uri="{3e2802c4-a4d2-4d8b-9148-e3be6c30e623}">
          <xlrd:rvb i="11866"/>
        </ext>
      </extLst>
    </bk>
    <bk>
      <extLst>
        <ext uri="{3e2802c4-a4d2-4d8b-9148-e3be6c30e623}">
          <xlrd:rvb i="11867"/>
        </ext>
      </extLst>
    </bk>
    <bk>
      <extLst>
        <ext uri="{3e2802c4-a4d2-4d8b-9148-e3be6c30e623}">
          <xlrd:rvb i="11868"/>
        </ext>
      </extLst>
    </bk>
    <bk>
      <extLst>
        <ext uri="{3e2802c4-a4d2-4d8b-9148-e3be6c30e623}">
          <xlrd:rvb i="11869"/>
        </ext>
      </extLst>
    </bk>
    <bk>
      <extLst>
        <ext uri="{3e2802c4-a4d2-4d8b-9148-e3be6c30e623}">
          <xlrd:rvb i="11870"/>
        </ext>
      </extLst>
    </bk>
    <bk>
      <extLst>
        <ext uri="{3e2802c4-a4d2-4d8b-9148-e3be6c30e623}">
          <xlrd:rvb i="11871"/>
        </ext>
      </extLst>
    </bk>
    <bk>
      <extLst>
        <ext uri="{3e2802c4-a4d2-4d8b-9148-e3be6c30e623}">
          <xlrd:rvb i="11872"/>
        </ext>
      </extLst>
    </bk>
    <bk>
      <extLst>
        <ext uri="{3e2802c4-a4d2-4d8b-9148-e3be6c30e623}">
          <xlrd:rvb i="11873"/>
        </ext>
      </extLst>
    </bk>
    <bk>
      <extLst>
        <ext uri="{3e2802c4-a4d2-4d8b-9148-e3be6c30e623}">
          <xlrd:rvb i="11874"/>
        </ext>
      </extLst>
    </bk>
    <bk>
      <extLst>
        <ext uri="{3e2802c4-a4d2-4d8b-9148-e3be6c30e623}">
          <xlrd:rvb i="11875"/>
        </ext>
      </extLst>
    </bk>
    <bk>
      <extLst>
        <ext uri="{3e2802c4-a4d2-4d8b-9148-e3be6c30e623}">
          <xlrd:rvb i="11876"/>
        </ext>
      </extLst>
    </bk>
    <bk>
      <extLst>
        <ext uri="{3e2802c4-a4d2-4d8b-9148-e3be6c30e623}">
          <xlrd:rvb i="11877"/>
        </ext>
      </extLst>
    </bk>
    <bk>
      <extLst>
        <ext uri="{3e2802c4-a4d2-4d8b-9148-e3be6c30e623}">
          <xlrd:rvb i="11878"/>
        </ext>
      </extLst>
    </bk>
    <bk>
      <extLst>
        <ext uri="{3e2802c4-a4d2-4d8b-9148-e3be6c30e623}">
          <xlrd:rvb i="11879"/>
        </ext>
      </extLst>
    </bk>
    <bk>
      <extLst>
        <ext uri="{3e2802c4-a4d2-4d8b-9148-e3be6c30e623}">
          <xlrd:rvb i="11880"/>
        </ext>
      </extLst>
    </bk>
    <bk>
      <extLst>
        <ext uri="{3e2802c4-a4d2-4d8b-9148-e3be6c30e623}">
          <xlrd:rvb i="11881"/>
        </ext>
      </extLst>
    </bk>
    <bk>
      <extLst>
        <ext uri="{3e2802c4-a4d2-4d8b-9148-e3be6c30e623}">
          <xlrd:rvb i="11882"/>
        </ext>
      </extLst>
    </bk>
    <bk>
      <extLst>
        <ext uri="{3e2802c4-a4d2-4d8b-9148-e3be6c30e623}">
          <xlrd:rvb i="11883"/>
        </ext>
      </extLst>
    </bk>
    <bk>
      <extLst>
        <ext uri="{3e2802c4-a4d2-4d8b-9148-e3be6c30e623}">
          <xlrd:rvb i="11884"/>
        </ext>
      </extLst>
    </bk>
    <bk>
      <extLst>
        <ext uri="{3e2802c4-a4d2-4d8b-9148-e3be6c30e623}">
          <xlrd:rvb i="11885"/>
        </ext>
      </extLst>
    </bk>
    <bk>
      <extLst>
        <ext uri="{3e2802c4-a4d2-4d8b-9148-e3be6c30e623}">
          <xlrd:rvb i="11886"/>
        </ext>
      </extLst>
    </bk>
    <bk>
      <extLst>
        <ext uri="{3e2802c4-a4d2-4d8b-9148-e3be6c30e623}">
          <xlrd:rvb i="11887"/>
        </ext>
      </extLst>
    </bk>
    <bk>
      <extLst>
        <ext uri="{3e2802c4-a4d2-4d8b-9148-e3be6c30e623}">
          <xlrd:rvb i="11888"/>
        </ext>
      </extLst>
    </bk>
    <bk>
      <extLst>
        <ext uri="{3e2802c4-a4d2-4d8b-9148-e3be6c30e623}">
          <xlrd:rvb i="11889"/>
        </ext>
      </extLst>
    </bk>
    <bk>
      <extLst>
        <ext uri="{3e2802c4-a4d2-4d8b-9148-e3be6c30e623}">
          <xlrd:rvb i="11890"/>
        </ext>
      </extLst>
    </bk>
    <bk>
      <extLst>
        <ext uri="{3e2802c4-a4d2-4d8b-9148-e3be6c30e623}">
          <xlrd:rvb i="11891"/>
        </ext>
      </extLst>
    </bk>
    <bk>
      <extLst>
        <ext uri="{3e2802c4-a4d2-4d8b-9148-e3be6c30e623}">
          <xlrd:rvb i="11892"/>
        </ext>
      </extLst>
    </bk>
    <bk>
      <extLst>
        <ext uri="{3e2802c4-a4d2-4d8b-9148-e3be6c30e623}">
          <xlrd:rvb i="11893"/>
        </ext>
      </extLst>
    </bk>
    <bk>
      <extLst>
        <ext uri="{3e2802c4-a4d2-4d8b-9148-e3be6c30e623}">
          <xlrd:rvb i="11894"/>
        </ext>
      </extLst>
    </bk>
    <bk>
      <extLst>
        <ext uri="{3e2802c4-a4d2-4d8b-9148-e3be6c30e623}">
          <xlrd:rvb i="11895"/>
        </ext>
      </extLst>
    </bk>
    <bk>
      <extLst>
        <ext uri="{3e2802c4-a4d2-4d8b-9148-e3be6c30e623}">
          <xlrd:rvb i="11896"/>
        </ext>
      </extLst>
    </bk>
    <bk>
      <extLst>
        <ext uri="{3e2802c4-a4d2-4d8b-9148-e3be6c30e623}">
          <xlrd:rvb i="11897"/>
        </ext>
      </extLst>
    </bk>
    <bk>
      <extLst>
        <ext uri="{3e2802c4-a4d2-4d8b-9148-e3be6c30e623}">
          <xlrd:rvb i="11898"/>
        </ext>
      </extLst>
    </bk>
    <bk>
      <extLst>
        <ext uri="{3e2802c4-a4d2-4d8b-9148-e3be6c30e623}">
          <xlrd:rvb i="11899"/>
        </ext>
      </extLst>
    </bk>
    <bk>
      <extLst>
        <ext uri="{3e2802c4-a4d2-4d8b-9148-e3be6c30e623}">
          <xlrd:rvb i="11900"/>
        </ext>
      </extLst>
    </bk>
    <bk>
      <extLst>
        <ext uri="{3e2802c4-a4d2-4d8b-9148-e3be6c30e623}">
          <xlrd:rvb i="11901"/>
        </ext>
      </extLst>
    </bk>
    <bk>
      <extLst>
        <ext uri="{3e2802c4-a4d2-4d8b-9148-e3be6c30e623}">
          <xlrd:rvb i="11902"/>
        </ext>
      </extLst>
    </bk>
    <bk>
      <extLst>
        <ext uri="{3e2802c4-a4d2-4d8b-9148-e3be6c30e623}">
          <xlrd:rvb i="11903"/>
        </ext>
      </extLst>
    </bk>
    <bk>
      <extLst>
        <ext uri="{3e2802c4-a4d2-4d8b-9148-e3be6c30e623}">
          <xlrd:rvb i="11904"/>
        </ext>
      </extLst>
    </bk>
    <bk>
      <extLst>
        <ext uri="{3e2802c4-a4d2-4d8b-9148-e3be6c30e623}">
          <xlrd:rvb i="11905"/>
        </ext>
      </extLst>
    </bk>
    <bk>
      <extLst>
        <ext uri="{3e2802c4-a4d2-4d8b-9148-e3be6c30e623}">
          <xlrd:rvb i="11906"/>
        </ext>
      </extLst>
    </bk>
    <bk>
      <extLst>
        <ext uri="{3e2802c4-a4d2-4d8b-9148-e3be6c30e623}">
          <xlrd:rvb i="11907"/>
        </ext>
      </extLst>
    </bk>
    <bk>
      <extLst>
        <ext uri="{3e2802c4-a4d2-4d8b-9148-e3be6c30e623}">
          <xlrd:rvb i="11908"/>
        </ext>
      </extLst>
    </bk>
    <bk>
      <extLst>
        <ext uri="{3e2802c4-a4d2-4d8b-9148-e3be6c30e623}">
          <xlrd:rvb i="11909"/>
        </ext>
      </extLst>
    </bk>
    <bk>
      <extLst>
        <ext uri="{3e2802c4-a4d2-4d8b-9148-e3be6c30e623}">
          <xlrd:rvb i="11910"/>
        </ext>
      </extLst>
    </bk>
    <bk>
      <extLst>
        <ext uri="{3e2802c4-a4d2-4d8b-9148-e3be6c30e623}">
          <xlrd:rvb i="11911"/>
        </ext>
      </extLst>
    </bk>
    <bk>
      <extLst>
        <ext uri="{3e2802c4-a4d2-4d8b-9148-e3be6c30e623}">
          <xlrd:rvb i="11912"/>
        </ext>
      </extLst>
    </bk>
    <bk>
      <extLst>
        <ext uri="{3e2802c4-a4d2-4d8b-9148-e3be6c30e623}">
          <xlrd:rvb i="11913"/>
        </ext>
      </extLst>
    </bk>
    <bk>
      <extLst>
        <ext uri="{3e2802c4-a4d2-4d8b-9148-e3be6c30e623}">
          <xlrd:rvb i="11914"/>
        </ext>
      </extLst>
    </bk>
    <bk>
      <extLst>
        <ext uri="{3e2802c4-a4d2-4d8b-9148-e3be6c30e623}">
          <xlrd:rvb i="11915"/>
        </ext>
      </extLst>
    </bk>
    <bk>
      <extLst>
        <ext uri="{3e2802c4-a4d2-4d8b-9148-e3be6c30e623}">
          <xlrd:rvb i="11916"/>
        </ext>
      </extLst>
    </bk>
    <bk>
      <extLst>
        <ext uri="{3e2802c4-a4d2-4d8b-9148-e3be6c30e623}">
          <xlrd:rvb i="11917"/>
        </ext>
      </extLst>
    </bk>
    <bk>
      <extLst>
        <ext uri="{3e2802c4-a4d2-4d8b-9148-e3be6c30e623}">
          <xlrd:rvb i="11918"/>
        </ext>
      </extLst>
    </bk>
    <bk>
      <extLst>
        <ext uri="{3e2802c4-a4d2-4d8b-9148-e3be6c30e623}">
          <xlrd:rvb i="11919"/>
        </ext>
      </extLst>
    </bk>
    <bk>
      <extLst>
        <ext uri="{3e2802c4-a4d2-4d8b-9148-e3be6c30e623}">
          <xlrd:rvb i="11920"/>
        </ext>
      </extLst>
    </bk>
    <bk>
      <extLst>
        <ext uri="{3e2802c4-a4d2-4d8b-9148-e3be6c30e623}">
          <xlrd:rvb i="11921"/>
        </ext>
      </extLst>
    </bk>
    <bk>
      <extLst>
        <ext uri="{3e2802c4-a4d2-4d8b-9148-e3be6c30e623}">
          <xlrd:rvb i="11922"/>
        </ext>
      </extLst>
    </bk>
    <bk>
      <extLst>
        <ext uri="{3e2802c4-a4d2-4d8b-9148-e3be6c30e623}">
          <xlrd:rvb i="11923"/>
        </ext>
      </extLst>
    </bk>
    <bk>
      <extLst>
        <ext uri="{3e2802c4-a4d2-4d8b-9148-e3be6c30e623}">
          <xlrd:rvb i="11924"/>
        </ext>
      </extLst>
    </bk>
    <bk>
      <extLst>
        <ext uri="{3e2802c4-a4d2-4d8b-9148-e3be6c30e623}">
          <xlrd:rvb i="11925"/>
        </ext>
      </extLst>
    </bk>
    <bk>
      <extLst>
        <ext uri="{3e2802c4-a4d2-4d8b-9148-e3be6c30e623}">
          <xlrd:rvb i="11926"/>
        </ext>
      </extLst>
    </bk>
    <bk>
      <extLst>
        <ext uri="{3e2802c4-a4d2-4d8b-9148-e3be6c30e623}">
          <xlrd:rvb i="11927"/>
        </ext>
      </extLst>
    </bk>
    <bk>
      <extLst>
        <ext uri="{3e2802c4-a4d2-4d8b-9148-e3be6c30e623}">
          <xlrd:rvb i="11928"/>
        </ext>
      </extLst>
    </bk>
    <bk>
      <extLst>
        <ext uri="{3e2802c4-a4d2-4d8b-9148-e3be6c30e623}">
          <xlrd:rvb i="11929"/>
        </ext>
      </extLst>
    </bk>
    <bk>
      <extLst>
        <ext uri="{3e2802c4-a4d2-4d8b-9148-e3be6c30e623}">
          <xlrd:rvb i="11930"/>
        </ext>
      </extLst>
    </bk>
    <bk>
      <extLst>
        <ext uri="{3e2802c4-a4d2-4d8b-9148-e3be6c30e623}">
          <xlrd:rvb i="11931"/>
        </ext>
      </extLst>
    </bk>
    <bk>
      <extLst>
        <ext uri="{3e2802c4-a4d2-4d8b-9148-e3be6c30e623}">
          <xlrd:rvb i="11932"/>
        </ext>
      </extLst>
    </bk>
    <bk>
      <extLst>
        <ext uri="{3e2802c4-a4d2-4d8b-9148-e3be6c30e623}">
          <xlrd:rvb i="11933"/>
        </ext>
      </extLst>
    </bk>
    <bk>
      <extLst>
        <ext uri="{3e2802c4-a4d2-4d8b-9148-e3be6c30e623}">
          <xlrd:rvb i="11934"/>
        </ext>
      </extLst>
    </bk>
    <bk>
      <extLst>
        <ext uri="{3e2802c4-a4d2-4d8b-9148-e3be6c30e623}">
          <xlrd:rvb i="11935"/>
        </ext>
      </extLst>
    </bk>
    <bk>
      <extLst>
        <ext uri="{3e2802c4-a4d2-4d8b-9148-e3be6c30e623}">
          <xlrd:rvb i="11936"/>
        </ext>
      </extLst>
    </bk>
    <bk>
      <extLst>
        <ext uri="{3e2802c4-a4d2-4d8b-9148-e3be6c30e623}">
          <xlrd:rvb i="11937"/>
        </ext>
      </extLst>
    </bk>
    <bk>
      <extLst>
        <ext uri="{3e2802c4-a4d2-4d8b-9148-e3be6c30e623}">
          <xlrd:rvb i="11938"/>
        </ext>
      </extLst>
    </bk>
    <bk>
      <extLst>
        <ext uri="{3e2802c4-a4d2-4d8b-9148-e3be6c30e623}">
          <xlrd:rvb i="11939"/>
        </ext>
      </extLst>
    </bk>
    <bk>
      <extLst>
        <ext uri="{3e2802c4-a4d2-4d8b-9148-e3be6c30e623}">
          <xlrd:rvb i="11940"/>
        </ext>
      </extLst>
    </bk>
    <bk>
      <extLst>
        <ext uri="{3e2802c4-a4d2-4d8b-9148-e3be6c30e623}">
          <xlrd:rvb i="11941"/>
        </ext>
      </extLst>
    </bk>
    <bk>
      <extLst>
        <ext uri="{3e2802c4-a4d2-4d8b-9148-e3be6c30e623}">
          <xlrd:rvb i="11942"/>
        </ext>
      </extLst>
    </bk>
    <bk>
      <extLst>
        <ext uri="{3e2802c4-a4d2-4d8b-9148-e3be6c30e623}">
          <xlrd:rvb i="11943"/>
        </ext>
      </extLst>
    </bk>
    <bk>
      <extLst>
        <ext uri="{3e2802c4-a4d2-4d8b-9148-e3be6c30e623}">
          <xlrd:rvb i="11944"/>
        </ext>
      </extLst>
    </bk>
    <bk>
      <extLst>
        <ext uri="{3e2802c4-a4d2-4d8b-9148-e3be6c30e623}">
          <xlrd:rvb i="11945"/>
        </ext>
      </extLst>
    </bk>
    <bk>
      <extLst>
        <ext uri="{3e2802c4-a4d2-4d8b-9148-e3be6c30e623}">
          <xlrd:rvb i="11946"/>
        </ext>
      </extLst>
    </bk>
    <bk>
      <extLst>
        <ext uri="{3e2802c4-a4d2-4d8b-9148-e3be6c30e623}">
          <xlrd:rvb i="11947"/>
        </ext>
      </extLst>
    </bk>
    <bk>
      <extLst>
        <ext uri="{3e2802c4-a4d2-4d8b-9148-e3be6c30e623}">
          <xlrd:rvb i="11948"/>
        </ext>
      </extLst>
    </bk>
    <bk>
      <extLst>
        <ext uri="{3e2802c4-a4d2-4d8b-9148-e3be6c30e623}">
          <xlrd:rvb i="11949"/>
        </ext>
      </extLst>
    </bk>
    <bk>
      <extLst>
        <ext uri="{3e2802c4-a4d2-4d8b-9148-e3be6c30e623}">
          <xlrd:rvb i="11950"/>
        </ext>
      </extLst>
    </bk>
    <bk>
      <extLst>
        <ext uri="{3e2802c4-a4d2-4d8b-9148-e3be6c30e623}">
          <xlrd:rvb i="11951"/>
        </ext>
      </extLst>
    </bk>
    <bk>
      <extLst>
        <ext uri="{3e2802c4-a4d2-4d8b-9148-e3be6c30e623}">
          <xlrd:rvb i="11952"/>
        </ext>
      </extLst>
    </bk>
    <bk>
      <extLst>
        <ext uri="{3e2802c4-a4d2-4d8b-9148-e3be6c30e623}">
          <xlrd:rvb i="11953"/>
        </ext>
      </extLst>
    </bk>
    <bk>
      <extLst>
        <ext uri="{3e2802c4-a4d2-4d8b-9148-e3be6c30e623}">
          <xlrd:rvb i="11954"/>
        </ext>
      </extLst>
    </bk>
    <bk>
      <extLst>
        <ext uri="{3e2802c4-a4d2-4d8b-9148-e3be6c30e623}">
          <xlrd:rvb i="11955"/>
        </ext>
      </extLst>
    </bk>
    <bk>
      <extLst>
        <ext uri="{3e2802c4-a4d2-4d8b-9148-e3be6c30e623}">
          <xlrd:rvb i="11956"/>
        </ext>
      </extLst>
    </bk>
    <bk>
      <extLst>
        <ext uri="{3e2802c4-a4d2-4d8b-9148-e3be6c30e623}">
          <xlrd:rvb i="11957"/>
        </ext>
      </extLst>
    </bk>
    <bk>
      <extLst>
        <ext uri="{3e2802c4-a4d2-4d8b-9148-e3be6c30e623}">
          <xlrd:rvb i="11958"/>
        </ext>
      </extLst>
    </bk>
    <bk>
      <extLst>
        <ext uri="{3e2802c4-a4d2-4d8b-9148-e3be6c30e623}">
          <xlrd:rvb i="11959"/>
        </ext>
      </extLst>
    </bk>
    <bk>
      <extLst>
        <ext uri="{3e2802c4-a4d2-4d8b-9148-e3be6c30e623}">
          <xlrd:rvb i="11960"/>
        </ext>
      </extLst>
    </bk>
    <bk>
      <extLst>
        <ext uri="{3e2802c4-a4d2-4d8b-9148-e3be6c30e623}">
          <xlrd:rvb i="11961"/>
        </ext>
      </extLst>
    </bk>
    <bk>
      <extLst>
        <ext uri="{3e2802c4-a4d2-4d8b-9148-e3be6c30e623}">
          <xlrd:rvb i="11962"/>
        </ext>
      </extLst>
    </bk>
    <bk>
      <extLst>
        <ext uri="{3e2802c4-a4d2-4d8b-9148-e3be6c30e623}">
          <xlrd:rvb i="11963"/>
        </ext>
      </extLst>
    </bk>
    <bk>
      <extLst>
        <ext uri="{3e2802c4-a4d2-4d8b-9148-e3be6c30e623}">
          <xlrd:rvb i="11964"/>
        </ext>
      </extLst>
    </bk>
    <bk>
      <extLst>
        <ext uri="{3e2802c4-a4d2-4d8b-9148-e3be6c30e623}">
          <xlrd:rvb i="11965"/>
        </ext>
      </extLst>
    </bk>
    <bk>
      <extLst>
        <ext uri="{3e2802c4-a4d2-4d8b-9148-e3be6c30e623}">
          <xlrd:rvb i="11966"/>
        </ext>
      </extLst>
    </bk>
    <bk>
      <extLst>
        <ext uri="{3e2802c4-a4d2-4d8b-9148-e3be6c30e623}">
          <xlrd:rvb i="11967"/>
        </ext>
      </extLst>
    </bk>
    <bk>
      <extLst>
        <ext uri="{3e2802c4-a4d2-4d8b-9148-e3be6c30e623}">
          <xlrd:rvb i="11968"/>
        </ext>
      </extLst>
    </bk>
    <bk>
      <extLst>
        <ext uri="{3e2802c4-a4d2-4d8b-9148-e3be6c30e623}">
          <xlrd:rvb i="11969"/>
        </ext>
      </extLst>
    </bk>
    <bk>
      <extLst>
        <ext uri="{3e2802c4-a4d2-4d8b-9148-e3be6c30e623}">
          <xlrd:rvb i="11970"/>
        </ext>
      </extLst>
    </bk>
    <bk>
      <extLst>
        <ext uri="{3e2802c4-a4d2-4d8b-9148-e3be6c30e623}">
          <xlrd:rvb i="11971"/>
        </ext>
      </extLst>
    </bk>
    <bk>
      <extLst>
        <ext uri="{3e2802c4-a4d2-4d8b-9148-e3be6c30e623}">
          <xlrd:rvb i="11972"/>
        </ext>
      </extLst>
    </bk>
    <bk>
      <extLst>
        <ext uri="{3e2802c4-a4d2-4d8b-9148-e3be6c30e623}">
          <xlrd:rvb i="11973"/>
        </ext>
      </extLst>
    </bk>
    <bk>
      <extLst>
        <ext uri="{3e2802c4-a4d2-4d8b-9148-e3be6c30e623}">
          <xlrd:rvb i="11974"/>
        </ext>
      </extLst>
    </bk>
    <bk>
      <extLst>
        <ext uri="{3e2802c4-a4d2-4d8b-9148-e3be6c30e623}">
          <xlrd:rvb i="11975"/>
        </ext>
      </extLst>
    </bk>
    <bk>
      <extLst>
        <ext uri="{3e2802c4-a4d2-4d8b-9148-e3be6c30e623}">
          <xlrd:rvb i="11976"/>
        </ext>
      </extLst>
    </bk>
    <bk>
      <extLst>
        <ext uri="{3e2802c4-a4d2-4d8b-9148-e3be6c30e623}">
          <xlrd:rvb i="11977"/>
        </ext>
      </extLst>
    </bk>
    <bk>
      <extLst>
        <ext uri="{3e2802c4-a4d2-4d8b-9148-e3be6c30e623}">
          <xlrd:rvb i="11978"/>
        </ext>
      </extLst>
    </bk>
    <bk>
      <extLst>
        <ext uri="{3e2802c4-a4d2-4d8b-9148-e3be6c30e623}">
          <xlrd:rvb i="11979"/>
        </ext>
      </extLst>
    </bk>
    <bk>
      <extLst>
        <ext uri="{3e2802c4-a4d2-4d8b-9148-e3be6c30e623}">
          <xlrd:rvb i="11980"/>
        </ext>
      </extLst>
    </bk>
    <bk>
      <extLst>
        <ext uri="{3e2802c4-a4d2-4d8b-9148-e3be6c30e623}">
          <xlrd:rvb i="11981"/>
        </ext>
      </extLst>
    </bk>
    <bk>
      <extLst>
        <ext uri="{3e2802c4-a4d2-4d8b-9148-e3be6c30e623}">
          <xlrd:rvb i="11982"/>
        </ext>
      </extLst>
    </bk>
    <bk>
      <extLst>
        <ext uri="{3e2802c4-a4d2-4d8b-9148-e3be6c30e623}">
          <xlrd:rvb i="11983"/>
        </ext>
      </extLst>
    </bk>
    <bk>
      <extLst>
        <ext uri="{3e2802c4-a4d2-4d8b-9148-e3be6c30e623}">
          <xlrd:rvb i="11984"/>
        </ext>
      </extLst>
    </bk>
    <bk>
      <extLst>
        <ext uri="{3e2802c4-a4d2-4d8b-9148-e3be6c30e623}">
          <xlrd:rvb i="11985"/>
        </ext>
      </extLst>
    </bk>
    <bk>
      <extLst>
        <ext uri="{3e2802c4-a4d2-4d8b-9148-e3be6c30e623}">
          <xlrd:rvb i="11986"/>
        </ext>
      </extLst>
    </bk>
    <bk>
      <extLst>
        <ext uri="{3e2802c4-a4d2-4d8b-9148-e3be6c30e623}">
          <xlrd:rvb i="11987"/>
        </ext>
      </extLst>
    </bk>
    <bk>
      <extLst>
        <ext uri="{3e2802c4-a4d2-4d8b-9148-e3be6c30e623}">
          <xlrd:rvb i="11988"/>
        </ext>
      </extLst>
    </bk>
    <bk>
      <extLst>
        <ext uri="{3e2802c4-a4d2-4d8b-9148-e3be6c30e623}">
          <xlrd:rvb i="11989"/>
        </ext>
      </extLst>
    </bk>
    <bk>
      <extLst>
        <ext uri="{3e2802c4-a4d2-4d8b-9148-e3be6c30e623}">
          <xlrd:rvb i="11990"/>
        </ext>
      </extLst>
    </bk>
    <bk>
      <extLst>
        <ext uri="{3e2802c4-a4d2-4d8b-9148-e3be6c30e623}">
          <xlrd:rvb i="11991"/>
        </ext>
      </extLst>
    </bk>
    <bk>
      <extLst>
        <ext uri="{3e2802c4-a4d2-4d8b-9148-e3be6c30e623}">
          <xlrd:rvb i="11992"/>
        </ext>
      </extLst>
    </bk>
    <bk>
      <extLst>
        <ext uri="{3e2802c4-a4d2-4d8b-9148-e3be6c30e623}">
          <xlrd:rvb i="11993"/>
        </ext>
      </extLst>
    </bk>
    <bk>
      <extLst>
        <ext uri="{3e2802c4-a4d2-4d8b-9148-e3be6c30e623}">
          <xlrd:rvb i="11994"/>
        </ext>
      </extLst>
    </bk>
    <bk>
      <extLst>
        <ext uri="{3e2802c4-a4d2-4d8b-9148-e3be6c30e623}">
          <xlrd:rvb i="11995"/>
        </ext>
      </extLst>
    </bk>
    <bk>
      <extLst>
        <ext uri="{3e2802c4-a4d2-4d8b-9148-e3be6c30e623}">
          <xlrd:rvb i="11996"/>
        </ext>
      </extLst>
    </bk>
    <bk>
      <extLst>
        <ext uri="{3e2802c4-a4d2-4d8b-9148-e3be6c30e623}">
          <xlrd:rvb i="11997"/>
        </ext>
      </extLst>
    </bk>
    <bk>
      <extLst>
        <ext uri="{3e2802c4-a4d2-4d8b-9148-e3be6c30e623}">
          <xlrd:rvb i="11998"/>
        </ext>
      </extLst>
    </bk>
    <bk>
      <extLst>
        <ext uri="{3e2802c4-a4d2-4d8b-9148-e3be6c30e623}">
          <xlrd:rvb i="11999"/>
        </ext>
      </extLst>
    </bk>
    <bk>
      <extLst>
        <ext uri="{3e2802c4-a4d2-4d8b-9148-e3be6c30e623}">
          <xlrd:rvb i="12000"/>
        </ext>
      </extLst>
    </bk>
    <bk>
      <extLst>
        <ext uri="{3e2802c4-a4d2-4d8b-9148-e3be6c30e623}">
          <xlrd:rvb i="12001"/>
        </ext>
      </extLst>
    </bk>
    <bk>
      <extLst>
        <ext uri="{3e2802c4-a4d2-4d8b-9148-e3be6c30e623}">
          <xlrd:rvb i="12002"/>
        </ext>
      </extLst>
    </bk>
    <bk>
      <extLst>
        <ext uri="{3e2802c4-a4d2-4d8b-9148-e3be6c30e623}">
          <xlrd:rvb i="12003"/>
        </ext>
      </extLst>
    </bk>
    <bk>
      <extLst>
        <ext uri="{3e2802c4-a4d2-4d8b-9148-e3be6c30e623}">
          <xlrd:rvb i="12004"/>
        </ext>
      </extLst>
    </bk>
    <bk>
      <extLst>
        <ext uri="{3e2802c4-a4d2-4d8b-9148-e3be6c30e623}">
          <xlrd:rvb i="12005"/>
        </ext>
      </extLst>
    </bk>
    <bk>
      <extLst>
        <ext uri="{3e2802c4-a4d2-4d8b-9148-e3be6c30e623}">
          <xlrd:rvb i="12006"/>
        </ext>
      </extLst>
    </bk>
    <bk>
      <extLst>
        <ext uri="{3e2802c4-a4d2-4d8b-9148-e3be6c30e623}">
          <xlrd:rvb i="12007"/>
        </ext>
      </extLst>
    </bk>
    <bk>
      <extLst>
        <ext uri="{3e2802c4-a4d2-4d8b-9148-e3be6c30e623}">
          <xlrd:rvb i="12008"/>
        </ext>
      </extLst>
    </bk>
    <bk>
      <extLst>
        <ext uri="{3e2802c4-a4d2-4d8b-9148-e3be6c30e623}">
          <xlrd:rvb i="12009"/>
        </ext>
      </extLst>
    </bk>
    <bk>
      <extLst>
        <ext uri="{3e2802c4-a4d2-4d8b-9148-e3be6c30e623}">
          <xlrd:rvb i="12010"/>
        </ext>
      </extLst>
    </bk>
    <bk>
      <extLst>
        <ext uri="{3e2802c4-a4d2-4d8b-9148-e3be6c30e623}">
          <xlrd:rvb i="12011"/>
        </ext>
      </extLst>
    </bk>
    <bk>
      <extLst>
        <ext uri="{3e2802c4-a4d2-4d8b-9148-e3be6c30e623}">
          <xlrd:rvb i="12012"/>
        </ext>
      </extLst>
    </bk>
    <bk>
      <extLst>
        <ext uri="{3e2802c4-a4d2-4d8b-9148-e3be6c30e623}">
          <xlrd:rvb i="12013"/>
        </ext>
      </extLst>
    </bk>
    <bk>
      <extLst>
        <ext uri="{3e2802c4-a4d2-4d8b-9148-e3be6c30e623}">
          <xlrd:rvb i="12014"/>
        </ext>
      </extLst>
    </bk>
    <bk>
      <extLst>
        <ext uri="{3e2802c4-a4d2-4d8b-9148-e3be6c30e623}">
          <xlrd:rvb i="12015"/>
        </ext>
      </extLst>
    </bk>
    <bk>
      <extLst>
        <ext uri="{3e2802c4-a4d2-4d8b-9148-e3be6c30e623}">
          <xlrd:rvb i="12016"/>
        </ext>
      </extLst>
    </bk>
    <bk>
      <extLst>
        <ext uri="{3e2802c4-a4d2-4d8b-9148-e3be6c30e623}">
          <xlrd:rvb i="12017"/>
        </ext>
      </extLst>
    </bk>
    <bk>
      <extLst>
        <ext uri="{3e2802c4-a4d2-4d8b-9148-e3be6c30e623}">
          <xlrd:rvb i="12018"/>
        </ext>
      </extLst>
    </bk>
    <bk>
      <extLst>
        <ext uri="{3e2802c4-a4d2-4d8b-9148-e3be6c30e623}">
          <xlrd:rvb i="12019"/>
        </ext>
      </extLst>
    </bk>
    <bk>
      <extLst>
        <ext uri="{3e2802c4-a4d2-4d8b-9148-e3be6c30e623}">
          <xlrd:rvb i="12020"/>
        </ext>
      </extLst>
    </bk>
    <bk>
      <extLst>
        <ext uri="{3e2802c4-a4d2-4d8b-9148-e3be6c30e623}">
          <xlrd:rvb i="12021"/>
        </ext>
      </extLst>
    </bk>
    <bk>
      <extLst>
        <ext uri="{3e2802c4-a4d2-4d8b-9148-e3be6c30e623}">
          <xlrd:rvb i="12022"/>
        </ext>
      </extLst>
    </bk>
    <bk>
      <extLst>
        <ext uri="{3e2802c4-a4d2-4d8b-9148-e3be6c30e623}">
          <xlrd:rvb i="12023"/>
        </ext>
      </extLst>
    </bk>
    <bk>
      <extLst>
        <ext uri="{3e2802c4-a4d2-4d8b-9148-e3be6c30e623}">
          <xlrd:rvb i="12024"/>
        </ext>
      </extLst>
    </bk>
    <bk>
      <extLst>
        <ext uri="{3e2802c4-a4d2-4d8b-9148-e3be6c30e623}">
          <xlrd:rvb i="12025"/>
        </ext>
      </extLst>
    </bk>
    <bk>
      <extLst>
        <ext uri="{3e2802c4-a4d2-4d8b-9148-e3be6c30e623}">
          <xlrd:rvb i="12026"/>
        </ext>
      </extLst>
    </bk>
    <bk>
      <extLst>
        <ext uri="{3e2802c4-a4d2-4d8b-9148-e3be6c30e623}">
          <xlrd:rvb i="12027"/>
        </ext>
      </extLst>
    </bk>
    <bk>
      <extLst>
        <ext uri="{3e2802c4-a4d2-4d8b-9148-e3be6c30e623}">
          <xlrd:rvb i="12028"/>
        </ext>
      </extLst>
    </bk>
    <bk>
      <extLst>
        <ext uri="{3e2802c4-a4d2-4d8b-9148-e3be6c30e623}">
          <xlrd:rvb i="12029"/>
        </ext>
      </extLst>
    </bk>
    <bk>
      <extLst>
        <ext uri="{3e2802c4-a4d2-4d8b-9148-e3be6c30e623}">
          <xlrd:rvb i="12030"/>
        </ext>
      </extLst>
    </bk>
    <bk>
      <extLst>
        <ext uri="{3e2802c4-a4d2-4d8b-9148-e3be6c30e623}">
          <xlrd:rvb i="12031"/>
        </ext>
      </extLst>
    </bk>
    <bk>
      <extLst>
        <ext uri="{3e2802c4-a4d2-4d8b-9148-e3be6c30e623}">
          <xlrd:rvb i="12032"/>
        </ext>
      </extLst>
    </bk>
    <bk>
      <extLst>
        <ext uri="{3e2802c4-a4d2-4d8b-9148-e3be6c30e623}">
          <xlrd:rvb i="12033"/>
        </ext>
      </extLst>
    </bk>
    <bk>
      <extLst>
        <ext uri="{3e2802c4-a4d2-4d8b-9148-e3be6c30e623}">
          <xlrd:rvb i="12034"/>
        </ext>
      </extLst>
    </bk>
    <bk>
      <extLst>
        <ext uri="{3e2802c4-a4d2-4d8b-9148-e3be6c30e623}">
          <xlrd:rvb i="12035"/>
        </ext>
      </extLst>
    </bk>
    <bk>
      <extLst>
        <ext uri="{3e2802c4-a4d2-4d8b-9148-e3be6c30e623}">
          <xlrd:rvb i="12036"/>
        </ext>
      </extLst>
    </bk>
    <bk>
      <extLst>
        <ext uri="{3e2802c4-a4d2-4d8b-9148-e3be6c30e623}">
          <xlrd:rvb i="12037"/>
        </ext>
      </extLst>
    </bk>
    <bk>
      <extLst>
        <ext uri="{3e2802c4-a4d2-4d8b-9148-e3be6c30e623}">
          <xlrd:rvb i="12038"/>
        </ext>
      </extLst>
    </bk>
    <bk>
      <extLst>
        <ext uri="{3e2802c4-a4d2-4d8b-9148-e3be6c30e623}">
          <xlrd:rvb i="12039"/>
        </ext>
      </extLst>
    </bk>
    <bk>
      <extLst>
        <ext uri="{3e2802c4-a4d2-4d8b-9148-e3be6c30e623}">
          <xlrd:rvb i="12040"/>
        </ext>
      </extLst>
    </bk>
    <bk>
      <extLst>
        <ext uri="{3e2802c4-a4d2-4d8b-9148-e3be6c30e623}">
          <xlrd:rvb i="12041"/>
        </ext>
      </extLst>
    </bk>
    <bk>
      <extLst>
        <ext uri="{3e2802c4-a4d2-4d8b-9148-e3be6c30e623}">
          <xlrd:rvb i="12042"/>
        </ext>
      </extLst>
    </bk>
    <bk>
      <extLst>
        <ext uri="{3e2802c4-a4d2-4d8b-9148-e3be6c30e623}">
          <xlrd:rvb i="12043"/>
        </ext>
      </extLst>
    </bk>
    <bk>
      <extLst>
        <ext uri="{3e2802c4-a4d2-4d8b-9148-e3be6c30e623}">
          <xlrd:rvb i="12044"/>
        </ext>
      </extLst>
    </bk>
    <bk>
      <extLst>
        <ext uri="{3e2802c4-a4d2-4d8b-9148-e3be6c30e623}">
          <xlrd:rvb i="12045"/>
        </ext>
      </extLst>
    </bk>
    <bk>
      <extLst>
        <ext uri="{3e2802c4-a4d2-4d8b-9148-e3be6c30e623}">
          <xlrd:rvb i="12046"/>
        </ext>
      </extLst>
    </bk>
    <bk>
      <extLst>
        <ext uri="{3e2802c4-a4d2-4d8b-9148-e3be6c30e623}">
          <xlrd:rvb i="12047"/>
        </ext>
      </extLst>
    </bk>
    <bk>
      <extLst>
        <ext uri="{3e2802c4-a4d2-4d8b-9148-e3be6c30e623}">
          <xlrd:rvb i="12048"/>
        </ext>
      </extLst>
    </bk>
    <bk>
      <extLst>
        <ext uri="{3e2802c4-a4d2-4d8b-9148-e3be6c30e623}">
          <xlrd:rvb i="12049"/>
        </ext>
      </extLst>
    </bk>
    <bk>
      <extLst>
        <ext uri="{3e2802c4-a4d2-4d8b-9148-e3be6c30e623}">
          <xlrd:rvb i="12050"/>
        </ext>
      </extLst>
    </bk>
    <bk>
      <extLst>
        <ext uri="{3e2802c4-a4d2-4d8b-9148-e3be6c30e623}">
          <xlrd:rvb i="12051"/>
        </ext>
      </extLst>
    </bk>
    <bk>
      <extLst>
        <ext uri="{3e2802c4-a4d2-4d8b-9148-e3be6c30e623}">
          <xlrd:rvb i="12052"/>
        </ext>
      </extLst>
    </bk>
    <bk>
      <extLst>
        <ext uri="{3e2802c4-a4d2-4d8b-9148-e3be6c30e623}">
          <xlrd:rvb i="12053"/>
        </ext>
      </extLst>
    </bk>
    <bk>
      <extLst>
        <ext uri="{3e2802c4-a4d2-4d8b-9148-e3be6c30e623}">
          <xlrd:rvb i="12054"/>
        </ext>
      </extLst>
    </bk>
    <bk>
      <extLst>
        <ext uri="{3e2802c4-a4d2-4d8b-9148-e3be6c30e623}">
          <xlrd:rvb i="12055"/>
        </ext>
      </extLst>
    </bk>
    <bk>
      <extLst>
        <ext uri="{3e2802c4-a4d2-4d8b-9148-e3be6c30e623}">
          <xlrd:rvb i="12056"/>
        </ext>
      </extLst>
    </bk>
    <bk>
      <extLst>
        <ext uri="{3e2802c4-a4d2-4d8b-9148-e3be6c30e623}">
          <xlrd:rvb i="12057"/>
        </ext>
      </extLst>
    </bk>
    <bk>
      <extLst>
        <ext uri="{3e2802c4-a4d2-4d8b-9148-e3be6c30e623}">
          <xlrd:rvb i="12058"/>
        </ext>
      </extLst>
    </bk>
    <bk>
      <extLst>
        <ext uri="{3e2802c4-a4d2-4d8b-9148-e3be6c30e623}">
          <xlrd:rvb i="12059"/>
        </ext>
      </extLst>
    </bk>
    <bk>
      <extLst>
        <ext uri="{3e2802c4-a4d2-4d8b-9148-e3be6c30e623}">
          <xlrd:rvb i="12060"/>
        </ext>
      </extLst>
    </bk>
    <bk>
      <extLst>
        <ext uri="{3e2802c4-a4d2-4d8b-9148-e3be6c30e623}">
          <xlrd:rvb i="12061"/>
        </ext>
      </extLst>
    </bk>
    <bk>
      <extLst>
        <ext uri="{3e2802c4-a4d2-4d8b-9148-e3be6c30e623}">
          <xlrd:rvb i="12062"/>
        </ext>
      </extLst>
    </bk>
    <bk>
      <extLst>
        <ext uri="{3e2802c4-a4d2-4d8b-9148-e3be6c30e623}">
          <xlrd:rvb i="12063"/>
        </ext>
      </extLst>
    </bk>
    <bk>
      <extLst>
        <ext uri="{3e2802c4-a4d2-4d8b-9148-e3be6c30e623}">
          <xlrd:rvb i="12064"/>
        </ext>
      </extLst>
    </bk>
    <bk>
      <extLst>
        <ext uri="{3e2802c4-a4d2-4d8b-9148-e3be6c30e623}">
          <xlrd:rvb i="12065"/>
        </ext>
      </extLst>
    </bk>
    <bk>
      <extLst>
        <ext uri="{3e2802c4-a4d2-4d8b-9148-e3be6c30e623}">
          <xlrd:rvb i="12066"/>
        </ext>
      </extLst>
    </bk>
    <bk>
      <extLst>
        <ext uri="{3e2802c4-a4d2-4d8b-9148-e3be6c30e623}">
          <xlrd:rvb i="12067"/>
        </ext>
      </extLst>
    </bk>
    <bk>
      <extLst>
        <ext uri="{3e2802c4-a4d2-4d8b-9148-e3be6c30e623}">
          <xlrd:rvb i="12068"/>
        </ext>
      </extLst>
    </bk>
    <bk>
      <extLst>
        <ext uri="{3e2802c4-a4d2-4d8b-9148-e3be6c30e623}">
          <xlrd:rvb i="12069"/>
        </ext>
      </extLst>
    </bk>
    <bk>
      <extLst>
        <ext uri="{3e2802c4-a4d2-4d8b-9148-e3be6c30e623}">
          <xlrd:rvb i="12070"/>
        </ext>
      </extLst>
    </bk>
    <bk>
      <extLst>
        <ext uri="{3e2802c4-a4d2-4d8b-9148-e3be6c30e623}">
          <xlrd:rvb i="12071"/>
        </ext>
      </extLst>
    </bk>
    <bk>
      <extLst>
        <ext uri="{3e2802c4-a4d2-4d8b-9148-e3be6c30e623}">
          <xlrd:rvb i="12072"/>
        </ext>
      </extLst>
    </bk>
    <bk>
      <extLst>
        <ext uri="{3e2802c4-a4d2-4d8b-9148-e3be6c30e623}">
          <xlrd:rvb i="12073"/>
        </ext>
      </extLst>
    </bk>
    <bk>
      <extLst>
        <ext uri="{3e2802c4-a4d2-4d8b-9148-e3be6c30e623}">
          <xlrd:rvb i="12074"/>
        </ext>
      </extLst>
    </bk>
    <bk>
      <extLst>
        <ext uri="{3e2802c4-a4d2-4d8b-9148-e3be6c30e623}">
          <xlrd:rvb i="12075"/>
        </ext>
      </extLst>
    </bk>
    <bk>
      <extLst>
        <ext uri="{3e2802c4-a4d2-4d8b-9148-e3be6c30e623}">
          <xlrd:rvb i="12076"/>
        </ext>
      </extLst>
    </bk>
    <bk>
      <extLst>
        <ext uri="{3e2802c4-a4d2-4d8b-9148-e3be6c30e623}">
          <xlrd:rvb i="12077"/>
        </ext>
      </extLst>
    </bk>
    <bk>
      <extLst>
        <ext uri="{3e2802c4-a4d2-4d8b-9148-e3be6c30e623}">
          <xlrd:rvb i="12078"/>
        </ext>
      </extLst>
    </bk>
    <bk>
      <extLst>
        <ext uri="{3e2802c4-a4d2-4d8b-9148-e3be6c30e623}">
          <xlrd:rvb i="12079"/>
        </ext>
      </extLst>
    </bk>
    <bk>
      <extLst>
        <ext uri="{3e2802c4-a4d2-4d8b-9148-e3be6c30e623}">
          <xlrd:rvb i="12080"/>
        </ext>
      </extLst>
    </bk>
    <bk>
      <extLst>
        <ext uri="{3e2802c4-a4d2-4d8b-9148-e3be6c30e623}">
          <xlrd:rvb i="12081"/>
        </ext>
      </extLst>
    </bk>
    <bk>
      <extLst>
        <ext uri="{3e2802c4-a4d2-4d8b-9148-e3be6c30e623}">
          <xlrd:rvb i="12082"/>
        </ext>
      </extLst>
    </bk>
    <bk>
      <extLst>
        <ext uri="{3e2802c4-a4d2-4d8b-9148-e3be6c30e623}">
          <xlrd:rvb i="12083"/>
        </ext>
      </extLst>
    </bk>
    <bk>
      <extLst>
        <ext uri="{3e2802c4-a4d2-4d8b-9148-e3be6c30e623}">
          <xlrd:rvb i="12084"/>
        </ext>
      </extLst>
    </bk>
    <bk>
      <extLst>
        <ext uri="{3e2802c4-a4d2-4d8b-9148-e3be6c30e623}">
          <xlrd:rvb i="12085"/>
        </ext>
      </extLst>
    </bk>
    <bk>
      <extLst>
        <ext uri="{3e2802c4-a4d2-4d8b-9148-e3be6c30e623}">
          <xlrd:rvb i="12086"/>
        </ext>
      </extLst>
    </bk>
    <bk>
      <extLst>
        <ext uri="{3e2802c4-a4d2-4d8b-9148-e3be6c30e623}">
          <xlrd:rvb i="12087"/>
        </ext>
      </extLst>
    </bk>
    <bk>
      <extLst>
        <ext uri="{3e2802c4-a4d2-4d8b-9148-e3be6c30e623}">
          <xlrd:rvb i="12088"/>
        </ext>
      </extLst>
    </bk>
    <bk>
      <extLst>
        <ext uri="{3e2802c4-a4d2-4d8b-9148-e3be6c30e623}">
          <xlrd:rvb i="12089"/>
        </ext>
      </extLst>
    </bk>
    <bk>
      <extLst>
        <ext uri="{3e2802c4-a4d2-4d8b-9148-e3be6c30e623}">
          <xlrd:rvb i="12090"/>
        </ext>
      </extLst>
    </bk>
    <bk>
      <extLst>
        <ext uri="{3e2802c4-a4d2-4d8b-9148-e3be6c30e623}">
          <xlrd:rvb i="12091"/>
        </ext>
      </extLst>
    </bk>
    <bk>
      <extLst>
        <ext uri="{3e2802c4-a4d2-4d8b-9148-e3be6c30e623}">
          <xlrd:rvb i="12092"/>
        </ext>
      </extLst>
    </bk>
    <bk>
      <extLst>
        <ext uri="{3e2802c4-a4d2-4d8b-9148-e3be6c30e623}">
          <xlrd:rvb i="12093"/>
        </ext>
      </extLst>
    </bk>
    <bk>
      <extLst>
        <ext uri="{3e2802c4-a4d2-4d8b-9148-e3be6c30e623}">
          <xlrd:rvb i="12094"/>
        </ext>
      </extLst>
    </bk>
    <bk>
      <extLst>
        <ext uri="{3e2802c4-a4d2-4d8b-9148-e3be6c30e623}">
          <xlrd:rvb i="12095"/>
        </ext>
      </extLst>
    </bk>
    <bk>
      <extLst>
        <ext uri="{3e2802c4-a4d2-4d8b-9148-e3be6c30e623}">
          <xlrd:rvb i="12096"/>
        </ext>
      </extLst>
    </bk>
    <bk>
      <extLst>
        <ext uri="{3e2802c4-a4d2-4d8b-9148-e3be6c30e623}">
          <xlrd:rvb i="12097"/>
        </ext>
      </extLst>
    </bk>
    <bk>
      <extLst>
        <ext uri="{3e2802c4-a4d2-4d8b-9148-e3be6c30e623}">
          <xlrd:rvb i="12098"/>
        </ext>
      </extLst>
    </bk>
    <bk>
      <extLst>
        <ext uri="{3e2802c4-a4d2-4d8b-9148-e3be6c30e623}">
          <xlrd:rvb i="12099"/>
        </ext>
      </extLst>
    </bk>
    <bk>
      <extLst>
        <ext uri="{3e2802c4-a4d2-4d8b-9148-e3be6c30e623}">
          <xlrd:rvb i="12100"/>
        </ext>
      </extLst>
    </bk>
    <bk>
      <extLst>
        <ext uri="{3e2802c4-a4d2-4d8b-9148-e3be6c30e623}">
          <xlrd:rvb i="12101"/>
        </ext>
      </extLst>
    </bk>
    <bk>
      <extLst>
        <ext uri="{3e2802c4-a4d2-4d8b-9148-e3be6c30e623}">
          <xlrd:rvb i="12102"/>
        </ext>
      </extLst>
    </bk>
    <bk>
      <extLst>
        <ext uri="{3e2802c4-a4d2-4d8b-9148-e3be6c30e623}">
          <xlrd:rvb i="12103"/>
        </ext>
      </extLst>
    </bk>
    <bk>
      <extLst>
        <ext uri="{3e2802c4-a4d2-4d8b-9148-e3be6c30e623}">
          <xlrd:rvb i="12104"/>
        </ext>
      </extLst>
    </bk>
    <bk>
      <extLst>
        <ext uri="{3e2802c4-a4d2-4d8b-9148-e3be6c30e623}">
          <xlrd:rvb i="12105"/>
        </ext>
      </extLst>
    </bk>
    <bk>
      <extLst>
        <ext uri="{3e2802c4-a4d2-4d8b-9148-e3be6c30e623}">
          <xlrd:rvb i="12106"/>
        </ext>
      </extLst>
    </bk>
    <bk>
      <extLst>
        <ext uri="{3e2802c4-a4d2-4d8b-9148-e3be6c30e623}">
          <xlrd:rvb i="12107"/>
        </ext>
      </extLst>
    </bk>
    <bk>
      <extLst>
        <ext uri="{3e2802c4-a4d2-4d8b-9148-e3be6c30e623}">
          <xlrd:rvb i="12108"/>
        </ext>
      </extLst>
    </bk>
    <bk>
      <extLst>
        <ext uri="{3e2802c4-a4d2-4d8b-9148-e3be6c30e623}">
          <xlrd:rvb i="12109"/>
        </ext>
      </extLst>
    </bk>
    <bk>
      <extLst>
        <ext uri="{3e2802c4-a4d2-4d8b-9148-e3be6c30e623}">
          <xlrd:rvb i="12110"/>
        </ext>
      </extLst>
    </bk>
    <bk>
      <extLst>
        <ext uri="{3e2802c4-a4d2-4d8b-9148-e3be6c30e623}">
          <xlrd:rvb i="12111"/>
        </ext>
      </extLst>
    </bk>
    <bk>
      <extLst>
        <ext uri="{3e2802c4-a4d2-4d8b-9148-e3be6c30e623}">
          <xlrd:rvb i="12112"/>
        </ext>
      </extLst>
    </bk>
    <bk>
      <extLst>
        <ext uri="{3e2802c4-a4d2-4d8b-9148-e3be6c30e623}">
          <xlrd:rvb i="12113"/>
        </ext>
      </extLst>
    </bk>
    <bk>
      <extLst>
        <ext uri="{3e2802c4-a4d2-4d8b-9148-e3be6c30e623}">
          <xlrd:rvb i="12114"/>
        </ext>
      </extLst>
    </bk>
    <bk>
      <extLst>
        <ext uri="{3e2802c4-a4d2-4d8b-9148-e3be6c30e623}">
          <xlrd:rvb i="12115"/>
        </ext>
      </extLst>
    </bk>
    <bk>
      <extLst>
        <ext uri="{3e2802c4-a4d2-4d8b-9148-e3be6c30e623}">
          <xlrd:rvb i="12116"/>
        </ext>
      </extLst>
    </bk>
    <bk>
      <extLst>
        <ext uri="{3e2802c4-a4d2-4d8b-9148-e3be6c30e623}">
          <xlrd:rvb i="12117"/>
        </ext>
      </extLst>
    </bk>
    <bk>
      <extLst>
        <ext uri="{3e2802c4-a4d2-4d8b-9148-e3be6c30e623}">
          <xlrd:rvb i="12118"/>
        </ext>
      </extLst>
    </bk>
    <bk>
      <extLst>
        <ext uri="{3e2802c4-a4d2-4d8b-9148-e3be6c30e623}">
          <xlrd:rvb i="12119"/>
        </ext>
      </extLst>
    </bk>
    <bk>
      <extLst>
        <ext uri="{3e2802c4-a4d2-4d8b-9148-e3be6c30e623}">
          <xlrd:rvb i="12120"/>
        </ext>
      </extLst>
    </bk>
    <bk>
      <extLst>
        <ext uri="{3e2802c4-a4d2-4d8b-9148-e3be6c30e623}">
          <xlrd:rvb i="12121"/>
        </ext>
      </extLst>
    </bk>
    <bk>
      <extLst>
        <ext uri="{3e2802c4-a4d2-4d8b-9148-e3be6c30e623}">
          <xlrd:rvb i="12122"/>
        </ext>
      </extLst>
    </bk>
    <bk>
      <extLst>
        <ext uri="{3e2802c4-a4d2-4d8b-9148-e3be6c30e623}">
          <xlrd:rvb i="12123"/>
        </ext>
      </extLst>
    </bk>
    <bk>
      <extLst>
        <ext uri="{3e2802c4-a4d2-4d8b-9148-e3be6c30e623}">
          <xlrd:rvb i="12124"/>
        </ext>
      </extLst>
    </bk>
    <bk>
      <extLst>
        <ext uri="{3e2802c4-a4d2-4d8b-9148-e3be6c30e623}">
          <xlrd:rvb i="12125"/>
        </ext>
      </extLst>
    </bk>
    <bk>
      <extLst>
        <ext uri="{3e2802c4-a4d2-4d8b-9148-e3be6c30e623}">
          <xlrd:rvb i="12126"/>
        </ext>
      </extLst>
    </bk>
    <bk>
      <extLst>
        <ext uri="{3e2802c4-a4d2-4d8b-9148-e3be6c30e623}">
          <xlrd:rvb i="12127"/>
        </ext>
      </extLst>
    </bk>
    <bk>
      <extLst>
        <ext uri="{3e2802c4-a4d2-4d8b-9148-e3be6c30e623}">
          <xlrd:rvb i="12128"/>
        </ext>
      </extLst>
    </bk>
    <bk>
      <extLst>
        <ext uri="{3e2802c4-a4d2-4d8b-9148-e3be6c30e623}">
          <xlrd:rvb i="12129"/>
        </ext>
      </extLst>
    </bk>
    <bk>
      <extLst>
        <ext uri="{3e2802c4-a4d2-4d8b-9148-e3be6c30e623}">
          <xlrd:rvb i="12130"/>
        </ext>
      </extLst>
    </bk>
    <bk>
      <extLst>
        <ext uri="{3e2802c4-a4d2-4d8b-9148-e3be6c30e623}">
          <xlrd:rvb i="12131"/>
        </ext>
      </extLst>
    </bk>
    <bk>
      <extLst>
        <ext uri="{3e2802c4-a4d2-4d8b-9148-e3be6c30e623}">
          <xlrd:rvb i="12132"/>
        </ext>
      </extLst>
    </bk>
    <bk>
      <extLst>
        <ext uri="{3e2802c4-a4d2-4d8b-9148-e3be6c30e623}">
          <xlrd:rvb i="12133"/>
        </ext>
      </extLst>
    </bk>
    <bk>
      <extLst>
        <ext uri="{3e2802c4-a4d2-4d8b-9148-e3be6c30e623}">
          <xlrd:rvb i="12134"/>
        </ext>
      </extLst>
    </bk>
    <bk>
      <extLst>
        <ext uri="{3e2802c4-a4d2-4d8b-9148-e3be6c30e623}">
          <xlrd:rvb i="12135"/>
        </ext>
      </extLst>
    </bk>
    <bk>
      <extLst>
        <ext uri="{3e2802c4-a4d2-4d8b-9148-e3be6c30e623}">
          <xlrd:rvb i="12136"/>
        </ext>
      </extLst>
    </bk>
    <bk>
      <extLst>
        <ext uri="{3e2802c4-a4d2-4d8b-9148-e3be6c30e623}">
          <xlrd:rvb i="12137"/>
        </ext>
      </extLst>
    </bk>
    <bk>
      <extLst>
        <ext uri="{3e2802c4-a4d2-4d8b-9148-e3be6c30e623}">
          <xlrd:rvb i="12138"/>
        </ext>
      </extLst>
    </bk>
    <bk>
      <extLst>
        <ext uri="{3e2802c4-a4d2-4d8b-9148-e3be6c30e623}">
          <xlrd:rvb i="12139"/>
        </ext>
      </extLst>
    </bk>
    <bk>
      <extLst>
        <ext uri="{3e2802c4-a4d2-4d8b-9148-e3be6c30e623}">
          <xlrd:rvb i="12140"/>
        </ext>
      </extLst>
    </bk>
    <bk>
      <extLst>
        <ext uri="{3e2802c4-a4d2-4d8b-9148-e3be6c30e623}">
          <xlrd:rvb i="12141"/>
        </ext>
      </extLst>
    </bk>
    <bk>
      <extLst>
        <ext uri="{3e2802c4-a4d2-4d8b-9148-e3be6c30e623}">
          <xlrd:rvb i="12142"/>
        </ext>
      </extLst>
    </bk>
    <bk>
      <extLst>
        <ext uri="{3e2802c4-a4d2-4d8b-9148-e3be6c30e623}">
          <xlrd:rvb i="12143"/>
        </ext>
      </extLst>
    </bk>
    <bk>
      <extLst>
        <ext uri="{3e2802c4-a4d2-4d8b-9148-e3be6c30e623}">
          <xlrd:rvb i="12144"/>
        </ext>
      </extLst>
    </bk>
    <bk>
      <extLst>
        <ext uri="{3e2802c4-a4d2-4d8b-9148-e3be6c30e623}">
          <xlrd:rvb i="12145"/>
        </ext>
      </extLst>
    </bk>
    <bk>
      <extLst>
        <ext uri="{3e2802c4-a4d2-4d8b-9148-e3be6c30e623}">
          <xlrd:rvb i="12146"/>
        </ext>
      </extLst>
    </bk>
    <bk>
      <extLst>
        <ext uri="{3e2802c4-a4d2-4d8b-9148-e3be6c30e623}">
          <xlrd:rvb i="12147"/>
        </ext>
      </extLst>
    </bk>
    <bk>
      <extLst>
        <ext uri="{3e2802c4-a4d2-4d8b-9148-e3be6c30e623}">
          <xlrd:rvb i="12148"/>
        </ext>
      </extLst>
    </bk>
    <bk>
      <extLst>
        <ext uri="{3e2802c4-a4d2-4d8b-9148-e3be6c30e623}">
          <xlrd:rvb i="12149"/>
        </ext>
      </extLst>
    </bk>
    <bk>
      <extLst>
        <ext uri="{3e2802c4-a4d2-4d8b-9148-e3be6c30e623}">
          <xlrd:rvb i="12150"/>
        </ext>
      </extLst>
    </bk>
    <bk>
      <extLst>
        <ext uri="{3e2802c4-a4d2-4d8b-9148-e3be6c30e623}">
          <xlrd:rvb i="12151"/>
        </ext>
      </extLst>
    </bk>
    <bk>
      <extLst>
        <ext uri="{3e2802c4-a4d2-4d8b-9148-e3be6c30e623}">
          <xlrd:rvb i="12152"/>
        </ext>
      </extLst>
    </bk>
    <bk>
      <extLst>
        <ext uri="{3e2802c4-a4d2-4d8b-9148-e3be6c30e623}">
          <xlrd:rvb i="12153"/>
        </ext>
      </extLst>
    </bk>
    <bk>
      <extLst>
        <ext uri="{3e2802c4-a4d2-4d8b-9148-e3be6c30e623}">
          <xlrd:rvb i="12154"/>
        </ext>
      </extLst>
    </bk>
    <bk>
      <extLst>
        <ext uri="{3e2802c4-a4d2-4d8b-9148-e3be6c30e623}">
          <xlrd:rvb i="12155"/>
        </ext>
      </extLst>
    </bk>
    <bk>
      <extLst>
        <ext uri="{3e2802c4-a4d2-4d8b-9148-e3be6c30e623}">
          <xlrd:rvb i="12156"/>
        </ext>
      </extLst>
    </bk>
    <bk>
      <extLst>
        <ext uri="{3e2802c4-a4d2-4d8b-9148-e3be6c30e623}">
          <xlrd:rvb i="12157"/>
        </ext>
      </extLst>
    </bk>
    <bk>
      <extLst>
        <ext uri="{3e2802c4-a4d2-4d8b-9148-e3be6c30e623}">
          <xlrd:rvb i="12158"/>
        </ext>
      </extLst>
    </bk>
    <bk>
      <extLst>
        <ext uri="{3e2802c4-a4d2-4d8b-9148-e3be6c30e623}">
          <xlrd:rvb i="12159"/>
        </ext>
      </extLst>
    </bk>
    <bk>
      <extLst>
        <ext uri="{3e2802c4-a4d2-4d8b-9148-e3be6c30e623}">
          <xlrd:rvb i="12160"/>
        </ext>
      </extLst>
    </bk>
    <bk>
      <extLst>
        <ext uri="{3e2802c4-a4d2-4d8b-9148-e3be6c30e623}">
          <xlrd:rvb i="12161"/>
        </ext>
      </extLst>
    </bk>
    <bk>
      <extLst>
        <ext uri="{3e2802c4-a4d2-4d8b-9148-e3be6c30e623}">
          <xlrd:rvb i="12162"/>
        </ext>
      </extLst>
    </bk>
    <bk>
      <extLst>
        <ext uri="{3e2802c4-a4d2-4d8b-9148-e3be6c30e623}">
          <xlrd:rvb i="12163"/>
        </ext>
      </extLst>
    </bk>
    <bk>
      <extLst>
        <ext uri="{3e2802c4-a4d2-4d8b-9148-e3be6c30e623}">
          <xlrd:rvb i="12164"/>
        </ext>
      </extLst>
    </bk>
    <bk>
      <extLst>
        <ext uri="{3e2802c4-a4d2-4d8b-9148-e3be6c30e623}">
          <xlrd:rvb i="12165"/>
        </ext>
      </extLst>
    </bk>
    <bk>
      <extLst>
        <ext uri="{3e2802c4-a4d2-4d8b-9148-e3be6c30e623}">
          <xlrd:rvb i="12166"/>
        </ext>
      </extLst>
    </bk>
    <bk>
      <extLst>
        <ext uri="{3e2802c4-a4d2-4d8b-9148-e3be6c30e623}">
          <xlrd:rvb i="12167"/>
        </ext>
      </extLst>
    </bk>
    <bk>
      <extLst>
        <ext uri="{3e2802c4-a4d2-4d8b-9148-e3be6c30e623}">
          <xlrd:rvb i="12168"/>
        </ext>
      </extLst>
    </bk>
    <bk>
      <extLst>
        <ext uri="{3e2802c4-a4d2-4d8b-9148-e3be6c30e623}">
          <xlrd:rvb i="12169"/>
        </ext>
      </extLst>
    </bk>
    <bk>
      <extLst>
        <ext uri="{3e2802c4-a4d2-4d8b-9148-e3be6c30e623}">
          <xlrd:rvb i="12170"/>
        </ext>
      </extLst>
    </bk>
    <bk>
      <extLst>
        <ext uri="{3e2802c4-a4d2-4d8b-9148-e3be6c30e623}">
          <xlrd:rvb i="12171"/>
        </ext>
      </extLst>
    </bk>
    <bk>
      <extLst>
        <ext uri="{3e2802c4-a4d2-4d8b-9148-e3be6c30e623}">
          <xlrd:rvb i="12172"/>
        </ext>
      </extLst>
    </bk>
    <bk>
      <extLst>
        <ext uri="{3e2802c4-a4d2-4d8b-9148-e3be6c30e623}">
          <xlrd:rvb i="12173"/>
        </ext>
      </extLst>
    </bk>
    <bk>
      <extLst>
        <ext uri="{3e2802c4-a4d2-4d8b-9148-e3be6c30e623}">
          <xlrd:rvb i="12174"/>
        </ext>
      </extLst>
    </bk>
    <bk>
      <extLst>
        <ext uri="{3e2802c4-a4d2-4d8b-9148-e3be6c30e623}">
          <xlrd:rvb i="12175"/>
        </ext>
      </extLst>
    </bk>
    <bk>
      <extLst>
        <ext uri="{3e2802c4-a4d2-4d8b-9148-e3be6c30e623}">
          <xlrd:rvb i="12176"/>
        </ext>
      </extLst>
    </bk>
    <bk>
      <extLst>
        <ext uri="{3e2802c4-a4d2-4d8b-9148-e3be6c30e623}">
          <xlrd:rvb i="12177"/>
        </ext>
      </extLst>
    </bk>
    <bk>
      <extLst>
        <ext uri="{3e2802c4-a4d2-4d8b-9148-e3be6c30e623}">
          <xlrd:rvb i="12178"/>
        </ext>
      </extLst>
    </bk>
    <bk>
      <extLst>
        <ext uri="{3e2802c4-a4d2-4d8b-9148-e3be6c30e623}">
          <xlrd:rvb i="12179"/>
        </ext>
      </extLst>
    </bk>
    <bk>
      <extLst>
        <ext uri="{3e2802c4-a4d2-4d8b-9148-e3be6c30e623}">
          <xlrd:rvb i="12180"/>
        </ext>
      </extLst>
    </bk>
    <bk>
      <extLst>
        <ext uri="{3e2802c4-a4d2-4d8b-9148-e3be6c30e623}">
          <xlrd:rvb i="12181"/>
        </ext>
      </extLst>
    </bk>
    <bk>
      <extLst>
        <ext uri="{3e2802c4-a4d2-4d8b-9148-e3be6c30e623}">
          <xlrd:rvb i="12182"/>
        </ext>
      </extLst>
    </bk>
    <bk>
      <extLst>
        <ext uri="{3e2802c4-a4d2-4d8b-9148-e3be6c30e623}">
          <xlrd:rvb i="12183"/>
        </ext>
      </extLst>
    </bk>
    <bk>
      <extLst>
        <ext uri="{3e2802c4-a4d2-4d8b-9148-e3be6c30e623}">
          <xlrd:rvb i="12184"/>
        </ext>
      </extLst>
    </bk>
    <bk>
      <extLst>
        <ext uri="{3e2802c4-a4d2-4d8b-9148-e3be6c30e623}">
          <xlrd:rvb i="12185"/>
        </ext>
      </extLst>
    </bk>
    <bk>
      <extLst>
        <ext uri="{3e2802c4-a4d2-4d8b-9148-e3be6c30e623}">
          <xlrd:rvb i="12186"/>
        </ext>
      </extLst>
    </bk>
    <bk>
      <extLst>
        <ext uri="{3e2802c4-a4d2-4d8b-9148-e3be6c30e623}">
          <xlrd:rvb i="12187"/>
        </ext>
      </extLst>
    </bk>
    <bk>
      <extLst>
        <ext uri="{3e2802c4-a4d2-4d8b-9148-e3be6c30e623}">
          <xlrd:rvb i="12188"/>
        </ext>
      </extLst>
    </bk>
    <bk>
      <extLst>
        <ext uri="{3e2802c4-a4d2-4d8b-9148-e3be6c30e623}">
          <xlrd:rvb i="12189"/>
        </ext>
      </extLst>
    </bk>
    <bk>
      <extLst>
        <ext uri="{3e2802c4-a4d2-4d8b-9148-e3be6c30e623}">
          <xlrd:rvb i="12190"/>
        </ext>
      </extLst>
    </bk>
    <bk>
      <extLst>
        <ext uri="{3e2802c4-a4d2-4d8b-9148-e3be6c30e623}">
          <xlrd:rvb i="12191"/>
        </ext>
      </extLst>
    </bk>
    <bk>
      <extLst>
        <ext uri="{3e2802c4-a4d2-4d8b-9148-e3be6c30e623}">
          <xlrd:rvb i="12192"/>
        </ext>
      </extLst>
    </bk>
    <bk>
      <extLst>
        <ext uri="{3e2802c4-a4d2-4d8b-9148-e3be6c30e623}">
          <xlrd:rvb i="12193"/>
        </ext>
      </extLst>
    </bk>
    <bk>
      <extLst>
        <ext uri="{3e2802c4-a4d2-4d8b-9148-e3be6c30e623}">
          <xlrd:rvb i="12194"/>
        </ext>
      </extLst>
    </bk>
    <bk>
      <extLst>
        <ext uri="{3e2802c4-a4d2-4d8b-9148-e3be6c30e623}">
          <xlrd:rvb i="12195"/>
        </ext>
      </extLst>
    </bk>
    <bk>
      <extLst>
        <ext uri="{3e2802c4-a4d2-4d8b-9148-e3be6c30e623}">
          <xlrd:rvb i="12196"/>
        </ext>
      </extLst>
    </bk>
    <bk>
      <extLst>
        <ext uri="{3e2802c4-a4d2-4d8b-9148-e3be6c30e623}">
          <xlrd:rvb i="12197"/>
        </ext>
      </extLst>
    </bk>
    <bk>
      <extLst>
        <ext uri="{3e2802c4-a4d2-4d8b-9148-e3be6c30e623}">
          <xlrd:rvb i="12198"/>
        </ext>
      </extLst>
    </bk>
    <bk>
      <extLst>
        <ext uri="{3e2802c4-a4d2-4d8b-9148-e3be6c30e623}">
          <xlrd:rvb i="12199"/>
        </ext>
      </extLst>
    </bk>
    <bk>
      <extLst>
        <ext uri="{3e2802c4-a4d2-4d8b-9148-e3be6c30e623}">
          <xlrd:rvb i="12200"/>
        </ext>
      </extLst>
    </bk>
    <bk>
      <extLst>
        <ext uri="{3e2802c4-a4d2-4d8b-9148-e3be6c30e623}">
          <xlrd:rvb i="12201"/>
        </ext>
      </extLst>
    </bk>
    <bk>
      <extLst>
        <ext uri="{3e2802c4-a4d2-4d8b-9148-e3be6c30e623}">
          <xlrd:rvb i="12202"/>
        </ext>
      </extLst>
    </bk>
    <bk>
      <extLst>
        <ext uri="{3e2802c4-a4d2-4d8b-9148-e3be6c30e623}">
          <xlrd:rvb i="12203"/>
        </ext>
      </extLst>
    </bk>
    <bk>
      <extLst>
        <ext uri="{3e2802c4-a4d2-4d8b-9148-e3be6c30e623}">
          <xlrd:rvb i="12204"/>
        </ext>
      </extLst>
    </bk>
    <bk>
      <extLst>
        <ext uri="{3e2802c4-a4d2-4d8b-9148-e3be6c30e623}">
          <xlrd:rvb i="12205"/>
        </ext>
      </extLst>
    </bk>
    <bk>
      <extLst>
        <ext uri="{3e2802c4-a4d2-4d8b-9148-e3be6c30e623}">
          <xlrd:rvb i="12206"/>
        </ext>
      </extLst>
    </bk>
    <bk>
      <extLst>
        <ext uri="{3e2802c4-a4d2-4d8b-9148-e3be6c30e623}">
          <xlrd:rvb i="12207"/>
        </ext>
      </extLst>
    </bk>
    <bk>
      <extLst>
        <ext uri="{3e2802c4-a4d2-4d8b-9148-e3be6c30e623}">
          <xlrd:rvb i="12208"/>
        </ext>
      </extLst>
    </bk>
    <bk>
      <extLst>
        <ext uri="{3e2802c4-a4d2-4d8b-9148-e3be6c30e623}">
          <xlrd:rvb i="12209"/>
        </ext>
      </extLst>
    </bk>
    <bk>
      <extLst>
        <ext uri="{3e2802c4-a4d2-4d8b-9148-e3be6c30e623}">
          <xlrd:rvb i="12210"/>
        </ext>
      </extLst>
    </bk>
    <bk>
      <extLst>
        <ext uri="{3e2802c4-a4d2-4d8b-9148-e3be6c30e623}">
          <xlrd:rvb i="12211"/>
        </ext>
      </extLst>
    </bk>
    <bk>
      <extLst>
        <ext uri="{3e2802c4-a4d2-4d8b-9148-e3be6c30e623}">
          <xlrd:rvb i="12212"/>
        </ext>
      </extLst>
    </bk>
    <bk>
      <extLst>
        <ext uri="{3e2802c4-a4d2-4d8b-9148-e3be6c30e623}">
          <xlrd:rvb i="12213"/>
        </ext>
      </extLst>
    </bk>
    <bk>
      <extLst>
        <ext uri="{3e2802c4-a4d2-4d8b-9148-e3be6c30e623}">
          <xlrd:rvb i="12214"/>
        </ext>
      </extLst>
    </bk>
    <bk>
      <extLst>
        <ext uri="{3e2802c4-a4d2-4d8b-9148-e3be6c30e623}">
          <xlrd:rvb i="12215"/>
        </ext>
      </extLst>
    </bk>
    <bk>
      <extLst>
        <ext uri="{3e2802c4-a4d2-4d8b-9148-e3be6c30e623}">
          <xlrd:rvb i="12216"/>
        </ext>
      </extLst>
    </bk>
    <bk>
      <extLst>
        <ext uri="{3e2802c4-a4d2-4d8b-9148-e3be6c30e623}">
          <xlrd:rvb i="12217"/>
        </ext>
      </extLst>
    </bk>
    <bk>
      <extLst>
        <ext uri="{3e2802c4-a4d2-4d8b-9148-e3be6c30e623}">
          <xlrd:rvb i="12218"/>
        </ext>
      </extLst>
    </bk>
    <bk>
      <extLst>
        <ext uri="{3e2802c4-a4d2-4d8b-9148-e3be6c30e623}">
          <xlrd:rvb i="12219"/>
        </ext>
      </extLst>
    </bk>
    <bk>
      <extLst>
        <ext uri="{3e2802c4-a4d2-4d8b-9148-e3be6c30e623}">
          <xlrd:rvb i="12220"/>
        </ext>
      </extLst>
    </bk>
    <bk>
      <extLst>
        <ext uri="{3e2802c4-a4d2-4d8b-9148-e3be6c30e623}">
          <xlrd:rvb i="12221"/>
        </ext>
      </extLst>
    </bk>
    <bk>
      <extLst>
        <ext uri="{3e2802c4-a4d2-4d8b-9148-e3be6c30e623}">
          <xlrd:rvb i="12222"/>
        </ext>
      </extLst>
    </bk>
    <bk>
      <extLst>
        <ext uri="{3e2802c4-a4d2-4d8b-9148-e3be6c30e623}">
          <xlrd:rvb i="12223"/>
        </ext>
      </extLst>
    </bk>
    <bk>
      <extLst>
        <ext uri="{3e2802c4-a4d2-4d8b-9148-e3be6c30e623}">
          <xlrd:rvb i="12224"/>
        </ext>
      </extLst>
    </bk>
    <bk>
      <extLst>
        <ext uri="{3e2802c4-a4d2-4d8b-9148-e3be6c30e623}">
          <xlrd:rvb i="12225"/>
        </ext>
      </extLst>
    </bk>
    <bk>
      <extLst>
        <ext uri="{3e2802c4-a4d2-4d8b-9148-e3be6c30e623}">
          <xlrd:rvb i="12226"/>
        </ext>
      </extLst>
    </bk>
    <bk>
      <extLst>
        <ext uri="{3e2802c4-a4d2-4d8b-9148-e3be6c30e623}">
          <xlrd:rvb i="12227"/>
        </ext>
      </extLst>
    </bk>
    <bk>
      <extLst>
        <ext uri="{3e2802c4-a4d2-4d8b-9148-e3be6c30e623}">
          <xlrd:rvb i="12228"/>
        </ext>
      </extLst>
    </bk>
    <bk>
      <extLst>
        <ext uri="{3e2802c4-a4d2-4d8b-9148-e3be6c30e623}">
          <xlrd:rvb i="12229"/>
        </ext>
      </extLst>
    </bk>
    <bk>
      <extLst>
        <ext uri="{3e2802c4-a4d2-4d8b-9148-e3be6c30e623}">
          <xlrd:rvb i="12230"/>
        </ext>
      </extLst>
    </bk>
    <bk>
      <extLst>
        <ext uri="{3e2802c4-a4d2-4d8b-9148-e3be6c30e623}">
          <xlrd:rvb i="12231"/>
        </ext>
      </extLst>
    </bk>
    <bk>
      <extLst>
        <ext uri="{3e2802c4-a4d2-4d8b-9148-e3be6c30e623}">
          <xlrd:rvb i="12232"/>
        </ext>
      </extLst>
    </bk>
    <bk>
      <extLst>
        <ext uri="{3e2802c4-a4d2-4d8b-9148-e3be6c30e623}">
          <xlrd:rvb i="12233"/>
        </ext>
      </extLst>
    </bk>
    <bk>
      <extLst>
        <ext uri="{3e2802c4-a4d2-4d8b-9148-e3be6c30e623}">
          <xlrd:rvb i="12234"/>
        </ext>
      </extLst>
    </bk>
    <bk>
      <extLst>
        <ext uri="{3e2802c4-a4d2-4d8b-9148-e3be6c30e623}">
          <xlrd:rvb i="12235"/>
        </ext>
      </extLst>
    </bk>
    <bk>
      <extLst>
        <ext uri="{3e2802c4-a4d2-4d8b-9148-e3be6c30e623}">
          <xlrd:rvb i="12236"/>
        </ext>
      </extLst>
    </bk>
    <bk>
      <extLst>
        <ext uri="{3e2802c4-a4d2-4d8b-9148-e3be6c30e623}">
          <xlrd:rvb i="12237"/>
        </ext>
      </extLst>
    </bk>
    <bk>
      <extLst>
        <ext uri="{3e2802c4-a4d2-4d8b-9148-e3be6c30e623}">
          <xlrd:rvb i="12238"/>
        </ext>
      </extLst>
    </bk>
    <bk>
      <extLst>
        <ext uri="{3e2802c4-a4d2-4d8b-9148-e3be6c30e623}">
          <xlrd:rvb i="12239"/>
        </ext>
      </extLst>
    </bk>
    <bk>
      <extLst>
        <ext uri="{3e2802c4-a4d2-4d8b-9148-e3be6c30e623}">
          <xlrd:rvb i="12240"/>
        </ext>
      </extLst>
    </bk>
    <bk>
      <extLst>
        <ext uri="{3e2802c4-a4d2-4d8b-9148-e3be6c30e623}">
          <xlrd:rvb i="12241"/>
        </ext>
      </extLst>
    </bk>
    <bk>
      <extLst>
        <ext uri="{3e2802c4-a4d2-4d8b-9148-e3be6c30e623}">
          <xlrd:rvb i="12242"/>
        </ext>
      </extLst>
    </bk>
    <bk>
      <extLst>
        <ext uri="{3e2802c4-a4d2-4d8b-9148-e3be6c30e623}">
          <xlrd:rvb i="12243"/>
        </ext>
      </extLst>
    </bk>
    <bk>
      <extLst>
        <ext uri="{3e2802c4-a4d2-4d8b-9148-e3be6c30e623}">
          <xlrd:rvb i="12244"/>
        </ext>
      </extLst>
    </bk>
    <bk>
      <extLst>
        <ext uri="{3e2802c4-a4d2-4d8b-9148-e3be6c30e623}">
          <xlrd:rvb i="12245"/>
        </ext>
      </extLst>
    </bk>
    <bk>
      <extLst>
        <ext uri="{3e2802c4-a4d2-4d8b-9148-e3be6c30e623}">
          <xlrd:rvb i="12246"/>
        </ext>
      </extLst>
    </bk>
    <bk>
      <extLst>
        <ext uri="{3e2802c4-a4d2-4d8b-9148-e3be6c30e623}">
          <xlrd:rvb i="12247"/>
        </ext>
      </extLst>
    </bk>
    <bk>
      <extLst>
        <ext uri="{3e2802c4-a4d2-4d8b-9148-e3be6c30e623}">
          <xlrd:rvb i="12248"/>
        </ext>
      </extLst>
    </bk>
    <bk>
      <extLst>
        <ext uri="{3e2802c4-a4d2-4d8b-9148-e3be6c30e623}">
          <xlrd:rvb i="12249"/>
        </ext>
      </extLst>
    </bk>
    <bk>
      <extLst>
        <ext uri="{3e2802c4-a4d2-4d8b-9148-e3be6c30e623}">
          <xlrd:rvb i="12250"/>
        </ext>
      </extLst>
    </bk>
    <bk>
      <extLst>
        <ext uri="{3e2802c4-a4d2-4d8b-9148-e3be6c30e623}">
          <xlrd:rvb i="12251"/>
        </ext>
      </extLst>
    </bk>
    <bk>
      <extLst>
        <ext uri="{3e2802c4-a4d2-4d8b-9148-e3be6c30e623}">
          <xlrd:rvb i="12252"/>
        </ext>
      </extLst>
    </bk>
    <bk>
      <extLst>
        <ext uri="{3e2802c4-a4d2-4d8b-9148-e3be6c30e623}">
          <xlrd:rvb i="12253"/>
        </ext>
      </extLst>
    </bk>
    <bk>
      <extLst>
        <ext uri="{3e2802c4-a4d2-4d8b-9148-e3be6c30e623}">
          <xlrd:rvb i="12254"/>
        </ext>
      </extLst>
    </bk>
    <bk>
      <extLst>
        <ext uri="{3e2802c4-a4d2-4d8b-9148-e3be6c30e623}">
          <xlrd:rvb i="12255"/>
        </ext>
      </extLst>
    </bk>
    <bk>
      <extLst>
        <ext uri="{3e2802c4-a4d2-4d8b-9148-e3be6c30e623}">
          <xlrd:rvb i="12256"/>
        </ext>
      </extLst>
    </bk>
    <bk>
      <extLst>
        <ext uri="{3e2802c4-a4d2-4d8b-9148-e3be6c30e623}">
          <xlrd:rvb i="12257"/>
        </ext>
      </extLst>
    </bk>
    <bk>
      <extLst>
        <ext uri="{3e2802c4-a4d2-4d8b-9148-e3be6c30e623}">
          <xlrd:rvb i="12258"/>
        </ext>
      </extLst>
    </bk>
    <bk>
      <extLst>
        <ext uri="{3e2802c4-a4d2-4d8b-9148-e3be6c30e623}">
          <xlrd:rvb i="12259"/>
        </ext>
      </extLst>
    </bk>
    <bk>
      <extLst>
        <ext uri="{3e2802c4-a4d2-4d8b-9148-e3be6c30e623}">
          <xlrd:rvb i="12260"/>
        </ext>
      </extLst>
    </bk>
    <bk>
      <extLst>
        <ext uri="{3e2802c4-a4d2-4d8b-9148-e3be6c30e623}">
          <xlrd:rvb i="12261"/>
        </ext>
      </extLst>
    </bk>
    <bk>
      <extLst>
        <ext uri="{3e2802c4-a4d2-4d8b-9148-e3be6c30e623}">
          <xlrd:rvb i="12262"/>
        </ext>
      </extLst>
    </bk>
    <bk>
      <extLst>
        <ext uri="{3e2802c4-a4d2-4d8b-9148-e3be6c30e623}">
          <xlrd:rvb i="12263"/>
        </ext>
      </extLst>
    </bk>
    <bk>
      <extLst>
        <ext uri="{3e2802c4-a4d2-4d8b-9148-e3be6c30e623}">
          <xlrd:rvb i="12264"/>
        </ext>
      </extLst>
    </bk>
    <bk>
      <extLst>
        <ext uri="{3e2802c4-a4d2-4d8b-9148-e3be6c30e623}">
          <xlrd:rvb i="12265"/>
        </ext>
      </extLst>
    </bk>
    <bk>
      <extLst>
        <ext uri="{3e2802c4-a4d2-4d8b-9148-e3be6c30e623}">
          <xlrd:rvb i="12266"/>
        </ext>
      </extLst>
    </bk>
    <bk>
      <extLst>
        <ext uri="{3e2802c4-a4d2-4d8b-9148-e3be6c30e623}">
          <xlrd:rvb i="12267"/>
        </ext>
      </extLst>
    </bk>
    <bk>
      <extLst>
        <ext uri="{3e2802c4-a4d2-4d8b-9148-e3be6c30e623}">
          <xlrd:rvb i="12268"/>
        </ext>
      </extLst>
    </bk>
    <bk>
      <extLst>
        <ext uri="{3e2802c4-a4d2-4d8b-9148-e3be6c30e623}">
          <xlrd:rvb i="12269"/>
        </ext>
      </extLst>
    </bk>
    <bk>
      <extLst>
        <ext uri="{3e2802c4-a4d2-4d8b-9148-e3be6c30e623}">
          <xlrd:rvb i="12270"/>
        </ext>
      </extLst>
    </bk>
    <bk>
      <extLst>
        <ext uri="{3e2802c4-a4d2-4d8b-9148-e3be6c30e623}">
          <xlrd:rvb i="12271"/>
        </ext>
      </extLst>
    </bk>
    <bk>
      <extLst>
        <ext uri="{3e2802c4-a4d2-4d8b-9148-e3be6c30e623}">
          <xlrd:rvb i="12272"/>
        </ext>
      </extLst>
    </bk>
    <bk>
      <extLst>
        <ext uri="{3e2802c4-a4d2-4d8b-9148-e3be6c30e623}">
          <xlrd:rvb i="12273"/>
        </ext>
      </extLst>
    </bk>
    <bk>
      <extLst>
        <ext uri="{3e2802c4-a4d2-4d8b-9148-e3be6c30e623}">
          <xlrd:rvb i="12274"/>
        </ext>
      </extLst>
    </bk>
    <bk>
      <extLst>
        <ext uri="{3e2802c4-a4d2-4d8b-9148-e3be6c30e623}">
          <xlrd:rvb i="12275"/>
        </ext>
      </extLst>
    </bk>
    <bk>
      <extLst>
        <ext uri="{3e2802c4-a4d2-4d8b-9148-e3be6c30e623}">
          <xlrd:rvb i="12276"/>
        </ext>
      </extLst>
    </bk>
    <bk>
      <extLst>
        <ext uri="{3e2802c4-a4d2-4d8b-9148-e3be6c30e623}">
          <xlrd:rvb i="12277"/>
        </ext>
      </extLst>
    </bk>
    <bk>
      <extLst>
        <ext uri="{3e2802c4-a4d2-4d8b-9148-e3be6c30e623}">
          <xlrd:rvb i="12278"/>
        </ext>
      </extLst>
    </bk>
    <bk>
      <extLst>
        <ext uri="{3e2802c4-a4d2-4d8b-9148-e3be6c30e623}">
          <xlrd:rvb i="12279"/>
        </ext>
      </extLst>
    </bk>
    <bk>
      <extLst>
        <ext uri="{3e2802c4-a4d2-4d8b-9148-e3be6c30e623}">
          <xlrd:rvb i="12280"/>
        </ext>
      </extLst>
    </bk>
    <bk>
      <extLst>
        <ext uri="{3e2802c4-a4d2-4d8b-9148-e3be6c30e623}">
          <xlrd:rvb i="12281"/>
        </ext>
      </extLst>
    </bk>
    <bk>
      <extLst>
        <ext uri="{3e2802c4-a4d2-4d8b-9148-e3be6c30e623}">
          <xlrd:rvb i="12282"/>
        </ext>
      </extLst>
    </bk>
    <bk>
      <extLst>
        <ext uri="{3e2802c4-a4d2-4d8b-9148-e3be6c30e623}">
          <xlrd:rvb i="12283"/>
        </ext>
      </extLst>
    </bk>
    <bk>
      <extLst>
        <ext uri="{3e2802c4-a4d2-4d8b-9148-e3be6c30e623}">
          <xlrd:rvb i="12284"/>
        </ext>
      </extLst>
    </bk>
    <bk>
      <extLst>
        <ext uri="{3e2802c4-a4d2-4d8b-9148-e3be6c30e623}">
          <xlrd:rvb i="12285"/>
        </ext>
      </extLst>
    </bk>
    <bk>
      <extLst>
        <ext uri="{3e2802c4-a4d2-4d8b-9148-e3be6c30e623}">
          <xlrd:rvb i="12286"/>
        </ext>
      </extLst>
    </bk>
    <bk>
      <extLst>
        <ext uri="{3e2802c4-a4d2-4d8b-9148-e3be6c30e623}">
          <xlrd:rvb i="12287"/>
        </ext>
      </extLst>
    </bk>
    <bk>
      <extLst>
        <ext uri="{3e2802c4-a4d2-4d8b-9148-e3be6c30e623}">
          <xlrd:rvb i="12288"/>
        </ext>
      </extLst>
    </bk>
    <bk>
      <extLst>
        <ext uri="{3e2802c4-a4d2-4d8b-9148-e3be6c30e623}">
          <xlrd:rvb i="12289"/>
        </ext>
      </extLst>
    </bk>
    <bk>
      <extLst>
        <ext uri="{3e2802c4-a4d2-4d8b-9148-e3be6c30e623}">
          <xlrd:rvb i="12290"/>
        </ext>
      </extLst>
    </bk>
    <bk>
      <extLst>
        <ext uri="{3e2802c4-a4d2-4d8b-9148-e3be6c30e623}">
          <xlrd:rvb i="12291"/>
        </ext>
      </extLst>
    </bk>
    <bk>
      <extLst>
        <ext uri="{3e2802c4-a4d2-4d8b-9148-e3be6c30e623}">
          <xlrd:rvb i="12292"/>
        </ext>
      </extLst>
    </bk>
    <bk>
      <extLst>
        <ext uri="{3e2802c4-a4d2-4d8b-9148-e3be6c30e623}">
          <xlrd:rvb i="12293"/>
        </ext>
      </extLst>
    </bk>
    <bk>
      <extLst>
        <ext uri="{3e2802c4-a4d2-4d8b-9148-e3be6c30e623}">
          <xlrd:rvb i="12294"/>
        </ext>
      </extLst>
    </bk>
    <bk>
      <extLst>
        <ext uri="{3e2802c4-a4d2-4d8b-9148-e3be6c30e623}">
          <xlrd:rvb i="12295"/>
        </ext>
      </extLst>
    </bk>
    <bk>
      <extLst>
        <ext uri="{3e2802c4-a4d2-4d8b-9148-e3be6c30e623}">
          <xlrd:rvb i="12296"/>
        </ext>
      </extLst>
    </bk>
    <bk>
      <extLst>
        <ext uri="{3e2802c4-a4d2-4d8b-9148-e3be6c30e623}">
          <xlrd:rvb i="12297"/>
        </ext>
      </extLst>
    </bk>
    <bk>
      <extLst>
        <ext uri="{3e2802c4-a4d2-4d8b-9148-e3be6c30e623}">
          <xlrd:rvb i="12298"/>
        </ext>
      </extLst>
    </bk>
    <bk>
      <extLst>
        <ext uri="{3e2802c4-a4d2-4d8b-9148-e3be6c30e623}">
          <xlrd:rvb i="12299"/>
        </ext>
      </extLst>
    </bk>
    <bk>
      <extLst>
        <ext uri="{3e2802c4-a4d2-4d8b-9148-e3be6c30e623}">
          <xlrd:rvb i="12300"/>
        </ext>
      </extLst>
    </bk>
    <bk>
      <extLst>
        <ext uri="{3e2802c4-a4d2-4d8b-9148-e3be6c30e623}">
          <xlrd:rvb i="12301"/>
        </ext>
      </extLst>
    </bk>
    <bk>
      <extLst>
        <ext uri="{3e2802c4-a4d2-4d8b-9148-e3be6c30e623}">
          <xlrd:rvb i="12302"/>
        </ext>
      </extLst>
    </bk>
    <bk>
      <extLst>
        <ext uri="{3e2802c4-a4d2-4d8b-9148-e3be6c30e623}">
          <xlrd:rvb i="12303"/>
        </ext>
      </extLst>
    </bk>
    <bk>
      <extLst>
        <ext uri="{3e2802c4-a4d2-4d8b-9148-e3be6c30e623}">
          <xlrd:rvb i="12304"/>
        </ext>
      </extLst>
    </bk>
    <bk>
      <extLst>
        <ext uri="{3e2802c4-a4d2-4d8b-9148-e3be6c30e623}">
          <xlrd:rvb i="12305"/>
        </ext>
      </extLst>
    </bk>
    <bk>
      <extLst>
        <ext uri="{3e2802c4-a4d2-4d8b-9148-e3be6c30e623}">
          <xlrd:rvb i="12306"/>
        </ext>
      </extLst>
    </bk>
    <bk>
      <extLst>
        <ext uri="{3e2802c4-a4d2-4d8b-9148-e3be6c30e623}">
          <xlrd:rvb i="12307"/>
        </ext>
      </extLst>
    </bk>
    <bk>
      <extLst>
        <ext uri="{3e2802c4-a4d2-4d8b-9148-e3be6c30e623}">
          <xlrd:rvb i="12308"/>
        </ext>
      </extLst>
    </bk>
    <bk>
      <extLst>
        <ext uri="{3e2802c4-a4d2-4d8b-9148-e3be6c30e623}">
          <xlrd:rvb i="12309"/>
        </ext>
      </extLst>
    </bk>
    <bk>
      <extLst>
        <ext uri="{3e2802c4-a4d2-4d8b-9148-e3be6c30e623}">
          <xlrd:rvb i="12310"/>
        </ext>
      </extLst>
    </bk>
    <bk>
      <extLst>
        <ext uri="{3e2802c4-a4d2-4d8b-9148-e3be6c30e623}">
          <xlrd:rvb i="12311"/>
        </ext>
      </extLst>
    </bk>
    <bk>
      <extLst>
        <ext uri="{3e2802c4-a4d2-4d8b-9148-e3be6c30e623}">
          <xlrd:rvb i="12312"/>
        </ext>
      </extLst>
    </bk>
    <bk>
      <extLst>
        <ext uri="{3e2802c4-a4d2-4d8b-9148-e3be6c30e623}">
          <xlrd:rvb i="12313"/>
        </ext>
      </extLst>
    </bk>
    <bk>
      <extLst>
        <ext uri="{3e2802c4-a4d2-4d8b-9148-e3be6c30e623}">
          <xlrd:rvb i="12314"/>
        </ext>
      </extLst>
    </bk>
    <bk>
      <extLst>
        <ext uri="{3e2802c4-a4d2-4d8b-9148-e3be6c30e623}">
          <xlrd:rvb i="12315"/>
        </ext>
      </extLst>
    </bk>
    <bk>
      <extLst>
        <ext uri="{3e2802c4-a4d2-4d8b-9148-e3be6c30e623}">
          <xlrd:rvb i="12316"/>
        </ext>
      </extLst>
    </bk>
    <bk>
      <extLst>
        <ext uri="{3e2802c4-a4d2-4d8b-9148-e3be6c30e623}">
          <xlrd:rvb i="12317"/>
        </ext>
      </extLst>
    </bk>
    <bk>
      <extLst>
        <ext uri="{3e2802c4-a4d2-4d8b-9148-e3be6c30e623}">
          <xlrd:rvb i="12318"/>
        </ext>
      </extLst>
    </bk>
    <bk>
      <extLst>
        <ext uri="{3e2802c4-a4d2-4d8b-9148-e3be6c30e623}">
          <xlrd:rvb i="12319"/>
        </ext>
      </extLst>
    </bk>
    <bk>
      <extLst>
        <ext uri="{3e2802c4-a4d2-4d8b-9148-e3be6c30e623}">
          <xlrd:rvb i="12320"/>
        </ext>
      </extLst>
    </bk>
    <bk>
      <extLst>
        <ext uri="{3e2802c4-a4d2-4d8b-9148-e3be6c30e623}">
          <xlrd:rvb i="12321"/>
        </ext>
      </extLst>
    </bk>
    <bk>
      <extLst>
        <ext uri="{3e2802c4-a4d2-4d8b-9148-e3be6c30e623}">
          <xlrd:rvb i="12322"/>
        </ext>
      </extLst>
    </bk>
    <bk>
      <extLst>
        <ext uri="{3e2802c4-a4d2-4d8b-9148-e3be6c30e623}">
          <xlrd:rvb i="12323"/>
        </ext>
      </extLst>
    </bk>
    <bk>
      <extLst>
        <ext uri="{3e2802c4-a4d2-4d8b-9148-e3be6c30e623}">
          <xlrd:rvb i="12324"/>
        </ext>
      </extLst>
    </bk>
    <bk>
      <extLst>
        <ext uri="{3e2802c4-a4d2-4d8b-9148-e3be6c30e623}">
          <xlrd:rvb i="12325"/>
        </ext>
      </extLst>
    </bk>
    <bk>
      <extLst>
        <ext uri="{3e2802c4-a4d2-4d8b-9148-e3be6c30e623}">
          <xlrd:rvb i="12326"/>
        </ext>
      </extLst>
    </bk>
    <bk>
      <extLst>
        <ext uri="{3e2802c4-a4d2-4d8b-9148-e3be6c30e623}">
          <xlrd:rvb i="12327"/>
        </ext>
      </extLst>
    </bk>
    <bk>
      <extLst>
        <ext uri="{3e2802c4-a4d2-4d8b-9148-e3be6c30e623}">
          <xlrd:rvb i="12328"/>
        </ext>
      </extLst>
    </bk>
    <bk>
      <extLst>
        <ext uri="{3e2802c4-a4d2-4d8b-9148-e3be6c30e623}">
          <xlrd:rvb i="12329"/>
        </ext>
      </extLst>
    </bk>
    <bk>
      <extLst>
        <ext uri="{3e2802c4-a4d2-4d8b-9148-e3be6c30e623}">
          <xlrd:rvb i="12330"/>
        </ext>
      </extLst>
    </bk>
    <bk>
      <extLst>
        <ext uri="{3e2802c4-a4d2-4d8b-9148-e3be6c30e623}">
          <xlrd:rvb i="12331"/>
        </ext>
      </extLst>
    </bk>
    <bk>
      <extLst>
        <ext uri="{3e2802c4-a4d2-4d8b-9148-e3be6c30e623}">
          <xlrd:rvb i="12332"/>
        </ext>
      </extLst>
    </bk>
    <bk>
      <extLst>
        <ext uri="{3e2802c4-a4d2-4d8b-9148-e3be6c30e623}">
          <xlrd:rvb i="12333"/>
        </ext>
      </extLst>
    </bk>
    <bk>
      <extLst>
        <ext uri="{3e2802c4-a4d2-4d8b-9148-e3be6c30e623}">
          <xlrd:rvb i="12334"/>
        </ext>
      </extLst>
    </bk>
    <bk>
      <extLst>
        <ext uri="{3e2802c4-a4d2-4d8b-9148-e3be6c30e623}">
          <xlrd:rvb i="12335"/>
        </ext>
      </extLst>
    </bk>
    <bk>
      <extLst>
        <ext uri="{3e2802c4-a4d2-4d8b-9148-e3be6c30e623}">
          <xlrd:rvb i="12336"/>
        </ext>
      </extLst>
    </bk>
    <bk>
      <extLst>
        <ext uri="{3e2802c4-a4d2-4d8b-9148-e3be6c30e623}">
          <xlrd:rvb i="12337"/>
        </ext>
      </extLst>
    </bk>
    <bk>
      <extLst>
        <ext uri="{3e2802c4-a4d2-4d8b-9148-e3be6c30e623}">
          <xlrd:rvb i="12338"/>
        </ext>
      </extLst>
    </bk>
    <bk>
      <extLst>
        <ext uri="{3e2802c4-a4d2-4d8b-9148-e3be6c30e623}">
          <xlrd:rvb i="12339"/>
        </ext>
      </extLst>
    </bk>
    <bk>
      <extLst>
        <ext uri="{3e2802c4-a4d2-4d8b-9148-e3be6c30e623}">
          <xlrd:rvb i="12340"/>
        </ext>
      </extLst>
    </bk>
    <bk>
      <extLst>
        <ext uri="{3e2802c4-a4d2-4d8b-9148-e3be6c30e623}">
          <xlrd:rvb i="12341"/>
        </ext>
      </extLst>
    </bk>
    <bk>
      <extLst>
        <ext uri="{3e2802c4-a4d2-4d8b-9148-e3be6c30e623}">
          <xlrd:rvb i="12342"/>
        </ext>
      </extLst>
    </bk>
    <bk>
      <extLst>
        <ext uri="{3e2802c4-a4d2-4d8b-9148-e3be6c30e623}">
          <xlrd:rvb i="12343"/>
        </ext>
      </extLst>
    </bk>
    <bk>
      <extLst>
        <ext uri="{3e2802c4-a4d2-4d8b-9148-e3be6c30e623}">
          <xlrd:rvb i="12344"/>
        </ext>
      </extLst>
    </bk>
    <bk>
      <extLst>
        <ext uri="{3e2802c4-a4d2-4d8b-9148-e3be6c30e623}">
          <xlrd:rvb i="12345"/>
        </ext>
      </extLst>
    </bk>
    <bk>
      <extLst>
        <ext uri="{3e2802c4-a4d2-4d8b-9148-e3be6c30e623}">
          <xlrd:rvb i="12346"/>
        </ext>
      </extLst>
    </bk>
    <bk>
      <extLst>
        <ext uri="{3e2802c4-a4d2-4d8b-9148-e3be6c30e623}">
          <xlrd:rvb i="12347"/>
        </ext>
      </extLst>
    </bk>
    <bk>
      <extLst>
        <ext uri="{3e2802c4-a4d2-4d8b-9148-e3be6c30e623}">
          <xlrd:rvb i="12348"/>
        </ext>
      </extLst>
    </bk>
    <bk>
      <extLst>
        <ext uri="{3e2802c4-a4d2-4d8b-9148-e3be6c30e623}">
          <xlrd:rvb i="12349"/>
        </ext>
      </extLst>
    </bk>
    <bk>
      <extLst>
        <ext uri="{3e2802c4-a4d2-4d8b-9148-e3be6c30e623}">
          <xlrd:rvb i="12350"/>
        </ext>
      </extLst>
    </bk>
    <bk>
      <extLst>
        <ext uri="{3e2802c4-a4d2-4d8b-9148-e3be6c30e623}">
          <xlrd:rvb i="12351"/>
        </ext>
      </extLst>
    </bk>
    <bk>
      <extLst>
        <ext uri="{3e2802c4-a4d2-4d8b-9148-e3be6c30e623}">
          <xlrd:rvb i="12352"/>
        </ext>
      </extLst>
    </bk>
    <bk>
      <extLst>
        <ext uri="{3e2802c4-a4d2-4d8b-9148-e3be6c30e623}">
          <xlrd:rvb i="12353"/>
        </ext>
      </extLst>
    </bk>
    <bk>
      <extLst>
        <ext uri="{3e2802c4-a4d2-4d8b-9148-e3be6c30e623}">
          <xlrd:rvb i="12354"/>
        </ext>
      </extLst>
    </bk>
    <bk>
      <extLst>
        <ext uri="{3e2802c4-a4d2-4d8b-9148-e3be6c30e623}">
          <xlrd:rvb i="12355"/>
        </ext>
      </extLst>
    </bk>
    <bk>
      <extLst>
        <ext uri="{3e2802c4-a4d2-4d8b-9148-e3be6c30e623}">
          <xlrd:rvb i="12356"/>
        </ext>
      </extLst>
    </bk>
    <bk>
      <extLst>
        <ext uri="{3e2802c4-a4d2-4d8b-9148-e3be6c30e623}">
          <xlrd:rvb i="12357"/>
        </ext>
      </extLst>
    </bk>
    <bk>
      <extLst>
        <ext uri="{3e2802c4-a4d2-4d8b-9148-e3be6c30e623}">
          <xlrd:rvb i="12358"/>
        </ext>
      </extLst>
    </bk>
    <bk>
      <extLst>
        <ext uri="{3e2802c4-a4d2-4d8b-9148-e3be6c30e623}">
          <xlrd:rvb i="12359"/>
        </ext>
      </extLst>
    </bk>
    <bk>
      <extLst>
        <ext uri="{3e2802c4-a4d2-4d8b-9148-e3be6c30e623}">
          <xlrd:rvb i="12360"/>
        </ext>
      </extLst>
    </bk>
    <bk>
      <extLst>
        <ext uri="{3e2802c4-a4d2-4d8b-9148-e3be6c30e623}">
          <xlrd:rvb i="12361"/>
        </ext>
      </extLst>
    </bk>
    <bk>
      <extLst>
        <ext uri="{3e2802c4-a4d2-4d8b-9148-e3be6c30e623}">
          <xlrd:rvb i="12362"/>
        </ext>
      </extLst>
    </bk>
    <bk>
      <extLst>
        <ext uri="{3e2802c4-a4d2-4d8b-9148-e3be6c30e623}">
          <xlrd:rvb i="12363"/>
        </ext>
      </extLst>
    </bk>
    <bk>
      <extLst>
        <ext uri="{3e2802c4-a4d2-4d8b-9148-e3be6c30e623}">
          <xlrd:rvb i="12364"/>
        </ext>
      </extLst>
    </bk>
    <bk>
      <extLst>
        <ext uri="{3e2802c4-a4d2-4d8b-9148-e3be6c30e623}">
          <xlrd:rvb i="12365"/>
        </ext>
      </extLst>
    </bk>
    <bk>
      <extLst>
        <ext uri="{3e2802c4-a4d2-4d8b-9148-e3be6c30e623}">
          <xlrd:rvb i="12366"/>
        </ext>
      </extLst>
    </bk>
    <bk>
      <extLst>
        <ext uri="{3e2802c4-a4d2-4d8b-9148-e3be6c30e623}">
          <xlrd:rvb i="12367"/>
        </ext>
      </extLst>
    </bk>
    <bk>
      <extLst>
        <ext uri="{3e2802c4-a4d2-4d8b-9148-e3be6c30e623}">
          <xlrd:rvb i="12368"/>
        </ext>
      </extLst>
    </bk>
    <bk>
      <extLst>
        <ext uri="{3e2802c4-a4d2-4d8b-9148-e3be6c30e623}">
          <xlrd:rvb i="12369"/>
        </ext>
      </extLst>
    </bk>
    <bk>
      <extLst>
        <ext uri="{3e2802c4-a4d2-4d8b-9148-e3be6c30e623}">
          <xlrd:rvb i="12370"/>
        </ext>
      </extLst>
    </bk>
    <bk>
      <extLst>
        <ext uri="{3e2802c4-a4d2-4d8b-9148-e3be6c30e623}">
          <xlrd:rvb i="12371"/>
        </ext>
      </extLst>
    </bk>
    <bk>
      <extLst>
        <ext uri="{3e2802c4-a4d2-4d8b-9148-e3be6c30e623}">
          <xlrd:rvb i="12372"/>
        </ext>
      </extLst>
    </bk>
    <bk>
      <extLst>
        <ext uri="{3e2802c4-a4d2-4d8b-9148-e3be6c30e623}">
          <xlrd:rvb i="12373"/>
        </ext>
      </extLst>
    </bk>
    <bk>
      <extLst>
        <ext uri="{3e2802c4-a4d2-4d8b-9148-e3be6c30e623}">
          <xlrd:rvb i="12374"/>
        </ext>
      </extLst>
    </bk>
    <bk>
      <extLst>
        <ext uri="{3e2802c4-a4d2-4d8b-9148-e3be6c30e623}">
          <xlrd:rvb i="12375"/>
        </ext>
      </extLst>
    </bk>
    <bk>
      <extLst>
        <ext uri="{3e2802c4-a4d2-4d8b-9148-e3be6c30e623}">
          <xlrd:rvb i="12376"/>
        </ext>
      </extLst>
    </bk>
    <bk>
      <extLst>
        <ext uri="{3e2802c4-a4d2-4d8b-9148-e3be6c30e623}">
          <xlrd:rvb i="12377"/>
        </ext>
      </extLst>
    </bk>
    <bk>
      <extLst>
        <ext uri="{3e2802c4-a4d2-4d8b-9148-e3be6c30e623}">
          <xlrd:rvb i="12378"/>
        </ext>
      </extLst>
    </bk>
    <bk>
      <extLst>
        <ext uri="{3e2802c4-a4d2-4d8b-9148-e3be6c30e623}">
          <xlrd:rvb i="12379"/>
        </ext>
      </extLst>
    </bk>
    <bk>
      <extLst>
        <ext uri="{3e2802c4-a4d2-4d8b-9148-e3be6c30e623}">
          <xlrd:rvb i="12380"/>
        </ext>
      </extLst>
    </bk>
    <bk>
      <extLst>
        <ext uri="{3e2802c4-a4d2-4d8b-9148-e3be6c30e623}">
          <xlrd:rvb i="12381"/>
        </ext>
      </extLst>
    </bk>
    <bk>
      <extLst>
        <ext uri="{3e2802c4-a4d2-4d8b-9148-e3be6c30e623}">
          <xlrd:rvb i="12382"/>
        </ext>
      </extLst>
    </bk>
    <bk>
      <extLst>
        <ext uri="{3e2802c4-a4d2-4d8b-9148-e3be6c30e623}">
          <xlrd:rvb i="12383"/>
        </ext>
      </extLst>
    </bk>
    <bk>
      <extLst>
        <ext uri="{3e2802c4-a4d2-4d8b-9148-e3be6c30e623}">
          <xlrd:rvb i="12384"/>
        </ext>
      </extLst>
    </bk>
    <bk>
      <extLst>
        <ext uri="{3e2802c4-a4d2-4d8b-9148-e3be6c30e623}">
          <xlrd:rvb i="12385"/>
        </ext>
      </extLst>
    </bk>
    <bk>
      <extLst>
        <ext uri="{3e2802c4-a4d2-4d8b-9148-e3be6c30e623}">
          <xlrd:rvb i="12386"/>
        </ext>
      </extLst>
    </bk>
    <bk>
      <extLst>
        <ext uri="{3e2802c4-a4d2-4d8b-9148-e3be6c30e623}">
          <xlrd:rvb i="12387"/>
        </ext>
      </extLst>
    </bk>
    <bk>
      <extLst>
        <ext uri="{3e2802c4-a4d2-4d8b-9148-e3be6c30e623}">
          <xlrd:rvb i="12388"/>
        </ext>
      </extLst>
    </bk>
    <bk>
      <extLst>
        <ext uri="{3e2802c4-a4d2-4d8b-9148-e3be6c30e623}">
          <xlrd:rvb i="12389"/>
        </ext>
      </extLst>
    </bk>
    <bk>
      <extLst>
        <ext uri="{3e2802c4-a4d2-4d8b-9148-e3be6c30e623}">
          <xlrd:rvb i="12390"/>
        </ext>
      </extLst>
    </bk>
    <bk>
      <extLst>
        <ext uri="{3e2802c4-a4d2-4d8b-9148-e3be6c30e623}">
          <xlrd:rvb i="12391"/>
        </ext>
      </extLst>
    </bk>
    <bk>
      <extLst>
        <ext uri="{3e2802c4-a4d2-4d8b-9148-e3be6c30e623}">
          <xlrd:rvb i="12392"/>
        </ext>
      </extLst>
    </bk>
    <bk>
      <extLst>
        <ext uri="{3e2802c4-a4d2-4d8b-9148-e3be6c30e623}">
          <xlrd:rvb i="12393"/>
        </ext>
      </extLst>
    </bk>
    <bk>
      <extLst>
        <ext uri="{3e2802c4-a4d2-4d8b-9148-e3be6c30e623}">
          <xlrd:rvb i="12394"/>
        </ext>
      </extLst>
    </bk>
    <bk>
      <extLst>
        <ext uri="{3e2802c4-a4d2-4d8b-9148-e3be6c30e623}">
          <xlrd:rvb i="12395"/>
        </ext>
      </extLst>
    </bk>
    <bk>
      <extLst>
        <ext uri="{3e2802c4-a4d2-4d8b-9148-e3be6c30e623}">
          <xlrd:rvb i="12396"/>
        </ext>
      </extLst>
    </bk>
    <bk>
      <extLst>
        <ext uri="{3e2802c4-a4d2-4d8b-9148-e3be6c30e623}">
          <xlrd:rvb i="12397"/>
        </ext>
      </extLst>
    </bk>
    <bk>
      <extLst>
        <ext uri="{3e2802c4-a4d2-4d8b-9148-e3be6c30e623}">
          <xlrd:rvb i="12398"/>
        </ext>
      </extLst>
    </bk>
    <bk>
      <extLst>
        <ext uri="{3e2802c4-a4d2-4d8b-9148-e3be6c30e623}">
          <xlrd:rvb i="12399"/>
        </ext>
      </extLst>
    </bk>
    <bk>
      <extLst>
        <ext uri="{3e2802c4-a4d2-4d8b-9148-e3be6c30e623}">
          <xlrd:rvb i="12400"/>
        </ext>
      </extLst>
    </bk>
    <bk>
      <extLst>
        <ext uri="{3e2802c4-a4d2-4d8b-9148-e3be6c30e623}">
          <xlrd:rvb i="12401"/>
        </ext>
      </extLst>
    </bk>
    <bk>
      <extLst>
        <ext uri="{3e2802c4-a4d2-4d8b-9148-e3be6c30e623}">
          <xlrd:rvb i="12402"/>
        </ext>
      </extLst>
    </bk>
    <bk>
      <extLst>
        <ext uri="{3e2802c4-a4d2-4d8b-9148-e3be6c30e623}">
          <xlrd:rvb i="12403"/>
        </ext>
      </extLst>
    </bk>
    <bk>
      <extLst>
        <ext uri="{3e2802c4-a4d2-4d8b-9148-e3be6c30e623}">
          <xlrd:rvb i="12404"/>
        </ext>
      </extLst>
    </bk>
    <bk>
      <extLst>
        <ext uri="{3e2802c4-a4d2-4d8b-9148-e3be6c30e623}">
          <xlrd:rvb i="12405"/>
        </ext>
      </extLst>
    </bk>
    <bk>
      <extLst>
        <ext uri="{3e2802c4-a4d2-4d8b-9148-e3be6c30e623}">
          <xlrd:rvb i="12406"/>
        </ext>
      </extLst>
    </bk>
    <bk>
      <extLst>
        <ext uri="{3e2802c4-a4d2-4d8b-9148-e3be6c30e623}">
          <xlrd:rvb i="12407"/>
        </ext>
      </extLst>
    </bk>
    <bk>
      <extLst>
        <ext uri="{3e2802c4-a4d2-4d8b-9148-e3be6c30e623}">
          <xlrd:rvb i="12408"/>
        </ext>
      </extLst>
    </bk>
    <bk>
      <extLst>
        <ext uri="{3e2802c4-a4d2-4d8b-9148-e3be6c30e623}">
          <xlrd:rvb i="12409"/>
        </ext>
      </extLst>
    </bk>
    <bk>
      <extLst>
        <ext uri="{3e2802c4-a4d2-4d8b-9148-e3be6c30e623}">
          <xlrd:rvb i="12410"/>
        </ext>
      </extLst>
    </bk>
    <bk>
      <extLst>
        <ext uri="{3e2802c4-a4d2-4d8b-9148-e3be6c30e623}">
          <xlrd:rvb i="12411"/>
        </ext>
      </extLst>
    </bk>
    <bk>
      <extLst>
        <ext uri="{3e2802c4-a4d2-4d8b-9148-e3be6c30e623}">
          <xlrd:rvb i="12412"/>
        </ext>
      </extLst>
    </bk>
    <bk>
      <extLst>
        <ext uri="{3e2802c4-a4d2-4d8b-9148-e3be6c30e623}">
          <xlrd:rvb i="12413"/>
        </ext>
      </extLst>
    </bk>
    <bk>
      <extLst>
        <ext uri="{3e2802c4-a4d2-4d8b-9148-e3be6c30e623}">
          <xlrd:rvb i="12414"/>
        </ext>
      </extLst>
    </bk>
    <bk>
      <extLst>
        <ext uri="{3e2802c4-a4d2-4d8b-9148-e3be6c30e623}">
          <xlrd:rvb i="12415"/>
        </ext>
      </extLst>
    </bk>
    <bk>
      <extLst>
        <ext uri="{3e2802c4-a4d2-4d8b-9148-e3be6c30e623}">
          <xlrd:rvb i="12416"/>
        </ext>
      </extLst>
    </bk>
    <bk>
      <extLst>
        <ext uri="{3e2802c4-a4d2-4d8b-9148-e3be6c30e623}">
          <xlrd:rvb i="12417"/>
        </ext>
      </extLst>
    </bk>
    <bk>
      <extLst>
        <ext uri="{3e2802c4-a4d2-4d8b-9148-e3be6c30e623}">
          <xlrd:rvb i="12418"/>
        </ext>
      </extLst>
    </bk>
    <bk>
      <extLst>
        <ext uri="{3e2802c4-a4d2-4d8b-9148-e3be6c30e623}">
          <xlrd:rvb i="12419"/>
        </ext>
      </extLst>
    </bk>
    <bk>
      <extLst>
        <ext uri="{3e2802c4-a4d2-4d8b-9148-e3be6c30e623}">
          <xlrd:rvb i="12420"/>
        </ext>
      </extLst>
    </bk>
    <bk>
      <extLst>
        <ext uri="{3e2802c4-a4d2-4d8b-9148-e3be6c30e623}">
          <xlrd:rvb i="12421"/>
        </ext>
      </extLst>
    </bk>
    <bk>
      <extLst>
        <ext uri="{3e2802c4-a4d2-4d8b-9148-e3be6c30e623}">
          <xlrd:rvb i="12422"/>
        </ext>
      </extLst>
    </bk>
    <bk>
      <extLst>
        <ext uri="{3e2802c4-a4d2-4d8b-9148-e3be6c30e623}">
          <xlrd:rvb i="12423"/>
        </ext>
      </extLst>
    </bk>
    <bk>
      <extLst>
        <ext uri="{3e2802c4-a4d2-4d8b-9148-e3be6c30e623}">
          <xlrd:rvb i="12424"/>
        </ext>
      </extLst>
    </bk>
    <bk>
      <extLst>
        <ext uri="{3e2802c4-a4d2-4d8b-9148-e3be6c30e623}">
          <xlrd:rvb i="12425"/>
        </ext>
      </extLst>
    </bk>
    <bk>
      <extLst>
        <ext uri="{3e2802c4-a4d2-4d8b-9148-e3be6c30e623}">
          <xlrd:rvb i="12426"/>
        </ext>
      </extLst>
    </bk>
    <bk>
      <extLst>
        <ext uri="{3e2802c4-a4d2-4d8b-9148-e3be6c30e623}">
          <xlrd:rvb i="12427"/>
        </ext>
      </extLst>
    </bk>
    <bk>
      <extLst>
        <ext uri="{3e2802c4-a4d2-4d8b-9148-e3be6c30e623}">
          <xlrd:rvb i="12428"/>
        </ext>
      </extLst>
    </bk>
    <bk>
      <extLst>
        <ext uri="{3e2802c4-a4d2-4d8b-9148-e3be6c30e623}">
          <xlrd:rvb i="12429"/>
        </ext>
      </extLst>
    </bk>
    <bk>
      <extLst>
        <ext uri="{3e2802c4-a4d2-4d8b-9148-e3be6c30e623}">
          <xlrd:rvb i="12430"/>
        </ext>
      </extLst>
    </bk>
    <bk>
      <extLst>
        <ext uri="{3e2802c4-a4d2-4d8b-9148-e3be6c30e623}">
          <xlrd:rvb i="12431"/>
        </ext>
      </extLst>
    </bk>
    <bk>
      <extLst>
        <ext uri="{3e2802c4-a4d2-4d8b-9148-e3be6c30e623}">
          <xlrd:rvb i="12432"/>
        </ext>
      </extLst>
    </bk>
    <bk>
      <extLst>
        <ext uri="{3e2802c4-a4d2-4d8b-9148-e3be6c30e623}">
          <xlrd:rvb i="12433"/>
        </ext>
      </extLst>
    </bk>
    <bk>
      <extLst>
        <ext uri="{3e2802c4-a4d2-4d8b-9148-e3be6c30e623}">
          <xlrd:rvb i="12434"/>
        </ext>
      </extLst>
    </bk>
    <bk>
      <extLst>
        <ext uri="{3e2802c4-a4d2-4d8b-9148-e3be6c30e623}">
          <xlrd:rvb i="12435"/>
        </ext>
      </extLst>
    </bk>
    <bk>
      <extLst>
        <ext uri="{3e2802c4-a4d2-4d8b-9148-e3be6c30e623}">
          <xlrd:rvb i="12436"/>
        </ext>
      </extLst>
    </bk>
    <bk>
      <extLst>
        <ext uri="{3e2802c4-a4d2-4d8b-9148-e3be6c30e623}">
          <xlrd:rvb i="12437"/>
        </ext>
      </extLst>
    </bk>
    <bk>
      <extLst>
        <ext uri="{3e2802c4-a4d2-4d8b-9148-e3be6c30e623}">
          <xlrd:rvb i="12438"/>
        </ext>
      </extLst>
    </bk>
    <bk>
      <extLst>
        <ext uri="{3e2802c4-a4d2-4d8b-9148-e3be6c30e623}">
          <xlrd:rvb i="12439"/>
        </ext>
      </extLst>
    </bk>
    <bk>
      <extLst>
        <ext uri="{3e2802c4-a4d2-4d8b-9148-e3be6c30e623}">
          <xlrd:rvb i="12440"/>
        </ext>
      </extLst>
    </bk>
    <bk>
      <extLst>
        <ext uri="{3e2802c4-a4d2-4d8b-9148-e3be6c30e623}">
          <xlrd:rvb i="12441"/>
        </ext>
      </extLst>
    </bk>
    <bk>
      <extLst>
        <ext uri="{3e2802c4-a4d2-4d8b-9148-e3be6c30e623}">
          <xlrd:rvb i="12442"/>
        </ext>
      </extLst>
    </bk>
    <bk>
      <extLst>
        <ext uri="{3e2802c4-a4d2-4d8b-9148-e3be6c30e623}">
          <xlrd:rvb i="12443"/>
        </ext>
      </extLst>
    </bk>
    <bk>
      <extLst>
        <ext uri="{3e2802c4-a4d2-4d8b-9148-e3be6c30e623}">
          <xlrd:rvb i="12444"/>
        </ext>
      </extLst>
    </bk>
    <bk>
      <extLst>
        <ext uri="{3e2802c4-a4d2-4d8b-9148-e3be6c30e623}">
          <xlrd:rvb i="12445"/>
        </ext>
      </extLst>
    </bk>
    <bk>
      <extLst>
        <ext uri="{3e2802c4-a4d2-4d8b-9148-e3be6c30e623}">
          <xlrd:rvb i="12446"/>
        </ext>
      </extLst>
    </bk>
    <bk>
      <extLst>
        <ext uri="{3e2802c4-a4d2-4d8b-9148-e3be6c30e623}">
          <xlrd:rvb i="12447"/>
        </ext>
      </extLst>
    </bk>
    <bk>
      <extLst>
        <ext uri="{3e2802c4-a4d2-4d8b-9148-e3be6c30e623}">
          <xlrd:rvb i="12448"/>
        </ext>
      </extLst>
    </bk>
    <bk>
      <extLst>
        <ext uri="{3e2802c4-a4d2-4d8b-9148-e3be6c30e623}">
          <xlrd:rvb i="12449"/>
        </ext>
      </extLst>
    </bk>
    <bk>
      <extLst>
        <ext uri="{3e2802c4-a4d2-4d8b-9148-e3be6c30e623}">
          <xlrd:rvb i="12450"/>
        </ext>
      </extLst>
    </bk>
    <bk>
      <extLst>
        <ext uri="{3e2802c4-a4d2-4d8b-9148-e3be6c30e623}">
          <xlrd:rvb i="12451"/>
        </ext>
      </extLst>
    </bk>
    <bk>
      <extLst>
        <ext uri="{3e2802c4-a4d2-4d8b-9148-e3be6c30e623}">
          <xlrd:rvb i="12452"/>
        </ext>
      </extLst>
    </bk>
    <bk>
      <extLst>
        <ext uri="{3e2802c4-a4d2-4d8b-9148-e3be6c30e623}">
          <xlrd:rvb i="12453"/>
        </ext>
      </extLst>
    </bk>
    <bk>
      <extLst>
        <ext uri="{3e2802c4-a4d2-4d8b-9148-e3be6c30e623}">
          <xlrd:rvb i="12454"/>
        </ext>
      </extLst>
    </bk>
    <bk>
      <extLst>
        <ext uri="{3e2802c4-a4d2-4d8b-9148-e3be6c30e623}">
          <xlrd:rvb i="12455"/>
        </ext>
      </extLst>
    </bk>
    <bk>
      <extLst>
        <ext uri="{3e2802c4-a4d2-4d8b-9148-e3be6c30e623}">
          <xlrd:rvb i="12456"/>
        </ext>
      </extLst>
    </bk>
    <bk>
      <extLst>
        <ext uri="{3e2802c4-a4d2-4d8b-9148-e3be6c30e623}">
          <xlrd:rvb i="12457"/>
        </ext>
      </extLst>
    </bk>
    <bk>
      <extLst>
        <ext uri="{3e2802c4-a4d2-4d8b-9148-e3be6c30e623}">
          <xlrd:rvb i="12458"/>
        </ext>
      </extLst>
    </bk>
    <bk>
      <extLst>
        <ext uri="{3e2802c4-a4d2-4d8b-9148-e3be6c30e623}">
          <xlrd:rvb i="12459"/>
        </ext>
      </extLst>
    </bk>
    <bk>
      <extLst>
        <ext uri="{3e2802c4-a4d2-4d8b-9148-e3be6c30e623}">
          <xlrd:rvb i="12460"/>
        </ext>
      </extLst>
    </bk>
    <bk>
      <extLst>
        <ext uri="{3e2802c4-a4d2-4d8b-9148-e3be6c30e623}">
          <xlrd:rvb i="12461"/>
        </ext>
      </extLst>
    </bk>
    <bk>
      <extLst>
        <ext uri="{3e2802c4-a4d2-4d8b-9148-e3be6c30e623}">
          <xlrd:rvb i="12462"/>
        </ext>
      </extLst>
    </bk>
    <bk>
      <extLst>
        <ext uri="{3e2802c4-a4d2-4d8b-9148-e3be6c30e623}">
          <xlrd:rvb i="12463"/>
        </ext>
      </extLst>
    </bk>
    <bk>
      <extLst>
        <ext uri="{3e2802c4-a4d2-4d8b-9148-e3be6c30e623}">
          <xlrd:rvb i="12464"/>
        </ext>
      </extLst>
    </bk>
    <bk>
      <extLst>
        <ext uri="{3e2802c4-a4d2-4d8b-9148-e3be6c30e623}">
          <xlrd:rvb i="12465"/>
        </ext>
      </extLst>
    </bk>
    <bk>
      <extLst>
        <ext uri="{3e2802c4-a4d2-4d8b-9148-e3be6c30e623}">
          <xlrd:rvb i="12466"/>
        </ext>
      </extLst>
    </bk>
    <bk>
      <extLst>
        <ext uri="{3e2802c4-a4d2-4d8b-9148-e3be6c30e623}">
          <xlrd:rvb i="12467"/>
        </ext>
      </extLst>
    </bk>
    <bk>
      <extLst>
        <ext uri="{3e2802c4-a4d2-4d8b-9148-e3be6c30e623}">
          <xlrd:rvb i="12468"/>
        </ext>
      </extLst>
    </bk>
    <bk>
      <extLst>
        <ext uri="{3e2802c4-a4d2-4d8b-9148-e3be6c30e623}">
          <xlrd:rvb i="12469"/>
        </ext>
      </extLst>
    </bk>
    <bk>
      <extLst>
        <ext uri="{3e2802c4-a4d2-4d8b-9148-e3be6c30e623}">
          <xlrd:rvb i="12470"/>
        </ext>
      </extLst>
    </bk>
    <bk>
      <extLst>
        <ext uri="{3e2802c4-a4d2-4d8b-9148-e3be6c30e623}">
          <xlrd:rvb i="12471"/>
        </ext>
      </extLst>
    </bk>
    <bk>
      <extLst>
        <ext uri="{3e2802c4-a4d2-4d8b-9148-e3be6c30e623}">
          <xlrd:rvb i="12472"/>
        </ext>
      </extLst>
    </bk>
    <bk>
      <extLst>
        <ext uri="{3e2802c4-a4d2-4d8b-9148-e3be6c30e623}">
          <xlrd:rvb i="12473"/>
        </ext>
      </extLst>
    </bk>
    <bk>
      <extLst>
        <ext uri="{3e2802c4-a4d2-4d8b-9148-e3be6c30e623}">
          <xlrd:rvb i="12474"/>
        </ext>
      </extLst>
    </bk>
    <bk>
      <extLst>
        <ext uri="{3e2802c4-a4d2-4d8b-9148-e3be6c30e623}">
          <xlrd:rvb i="12475"/>
        </ext>
      </extLst>
    </bk>
    <bk>
      <extLst>
        <ext uri="{3e2802c4-a4d2-4d8b-9148-e3be6c30e623}">
          <xlrd:rvb i="12476"/>
        </ext>
      </extLst>
    </bk>
    <bk>
      <extLst>
        <ext uri="{3e2802c4-a4d2-4d8b-9148-e3be6c30e623}">
          <xlrd:rvb i="12477"/>
        </ext>
      </extLst>
    </bk>
    <bk>
      <extLst>
        <ext uri="{3e2802c4-a4d2-4d8b-9148-e3be6c30e623}">
          <xlrd:rvb i="12478"/>
        </ext>
      </extLst>
    </bk>
    <bk>
      <extLst>
        <ext uri="{3e2802c4-a4d2-4d8b-9148-e3be6c30e623}">
          <xlrd:rvb i="12479"/>
        </ext>
      </extLst>
    </bk>
    <bk>
      <extLst>
        <ext uri="{3e2802c4-a4d2-4d8b-9148-e3be6c30e623}">
          <xlrd:rvb i="12480"/>
        </ext>
      </extLst>
    </bk>
    <bk>
      <extLst>
        <ext uri="{3e2802c4-a4d2-4d8b-9148-e3be6c30e623}">
          <xlrd:rvb i="12481"/>
        </ext>
      </extLst>
    </bk>
    <bk>
      <extLst>
        <ext uri="{3e2802c4-a4d2-4d8b-9148-e3be6c30e623}">
          <xlrd:rvb i="12482"/>
        </ext>
      </extLst>
    </bk>
    <bk>
      <extLst>
        <ext uri="{3e2802c4-a4d2-4d8b-9148-e3be6c30e623}">
          <xlrd:rvb i="12483"/>
        </ext>
      </extLst>
    </bk>
    <bk>
      <extLst>
        <ext uri="{3e2802c4-a4d2-4d8b-9148-e3be6c30e623}">
          <xlrd:rvb i="12484"/>
        </ext>
      </extLst>
    </bk>
    <bk>
      <extLst>
        <ext uri="{3e2802c4-a4d2-4d8b-9148-e3be6c30e623}">
          <xlrd:rvb i="12485"/>
        </ext>
      </extLst>
    </bk>
    <bk>
      <extLst>
        <ext uri="{3e2802c4-a4d2-4d8b-9148-e3be6c30e623}">
          <xlrd:rvb i="12486"/>
        </ext>
      </extLst>
    </bk>
    <bk>
      <extLst>
        <ext uri="{3e2802c4-a4d2-4d8b-9148-e3be6c30e623}">
          <xlrd:rvb i="12487"/>
        </ext>
      </extLst>
    </bk>
    <bk>
      <extLst>
        <ext uri="{3e2802c4-a4d2-4d8b-9148-e3be6c30e623}">
          <xlrd:rvb i="12488"/>
        </ext>
      </extLst>
    </bk>
    <bk>
      <extLst>
        <ext uri="{3e2802c4-a4d2-4d8b-9148-e3be6c30e623}">
          <xlrd:rvb i="12489"/>
        </ext>
      </extLst>
    </bk>
    <bk>
      <extLst>
        <ext uri="{3e2802c4-a4d2-4d8b-9148-e3be6c30e623}">
          <xlrd:rvb i="12490"/>
        </ext>
      </extLst>
    </bk>
    <bk>
      <extLst>
        <ext uri="{3e2802c4-a4d2-4d8b-9148-e3be6c30e623}">
          <xlrd:rvb i="12491"/>
        </ext>
      </extLst>
    </bk>
    <bk>
      <extLst>
        <ext uri="{3e2802c4-a4d2-4d8b-9148-e3be6c30e623}">
          <xlrd:rvb i="12492"/>
        </ext>
      </extLst>
    </bk>
    <bk>
      <extLst>
        <ext uri="{3e2802c4-a4d2-4d8b-9148-e3be6c30e623}">
          <xlrd:rvb i="12493"/>
        </ext>
      </extLst>
    </bk>
    <bk>
      <extLst>
        <ext uri="{3e2802c4-a4d2-4d8b-9148-e3be6c30e623}">
          <xlrd:rvb i="12494"/>
        </ext>
      </extLst>
    </bk>
    <bk>
      <extLst>
        <ext uri="{3e2802c4-a4d2-4d8b-9148-e3be6c30e623}">
          <xlrd:rvb i="12495"/>
        </ext>
      </extLst>
    </bk>
    <bk>
      <extLst>
        <ext uri="{3e2802c4-a4d2-4d8b-9148-e3be6c30e623}">
          <xlrd:rvb i="12496"/>
        </ext>
      </extLst>
    </bk>
    <bk>
      <extLst>
        <ext uri="{3e2802c4-a4d2-4d8b-9148-e3be6c30e623}">
          <xlrd:rvb i="12497"/>
        </ext>
      </extLst>
    </bk>
    <bk>
      <extLst>
        <ext uri="{3e2802c4-a4d2-4d8b-9148-e3be6c30e623}">
          <xlrd:rvb i="12498"/>
        </ext>
      </extLst>
    </bk>
    <bk>
      <extLst>
        <ext uri="{3e2802c4-a4d2-4d8b-9148-e3be6c30e623}">
          <xlrd:rvb i="12499"/>
        </ext>
      </extLst>
    </bk>
    <bk>
      <extLst>
        <ext uri="{3e2802c4-a4d2-4d8b-9148-e3be6c30e623}">
          <xlrd:rvb i="12500"/>
        </ext>
      </extLst>
    </bk>
    <bk>
      <extLst>
        <ext uri="{3e2802c4-a4d2-4d8b-9148-e3be6c30e623}">
          <xlrd:rvb i="12501"/>
        </ext>
      </extLst>
    </bk>
    <bk>
      <extLst>
        <ext uri="{3e2802c4-a4d2-4d8b-9148-e3be6c30e623}">
          <xlrd:rvb i="12502"/>
        </ext>
      </extLst>
    </bk>
    <bk>
      <extLst>
        <ext uri="{3e2802c4-a4d2-4d8b-9148-e3be6c30e623}">
          <xlrd:rvb i="12503"/>
        </ext>
      </extLst>
    </bk>
    <bk>
      <extLst>
        <ext uri="{3e2802c4-a4d2-4d8b-9148-e3be6c30e623}">
          <xlrd:rvb i="12504"/>
        </ext>
      </extLst>
    </bk>
    <bk>
      <extLst>
        <ext uri="{3e2802c4-a4d2-4d8b-9148-e3be6c30e623}">
          <xlrd:rvb i="12505"/>
        </ext>
      </extLst>
    </bk>
    <bk>
      <extLst>
        <ext uri="{3e2802c4-a4d2-4d8b-9148-e3be6c30e623}">
          <xlrd:rvb i="12506"/>
        </ext>
      </extLst>
    </bk>
    <bk>
      <extLst>
        <ext uri="{3e2802c4-a4d2-4d8b-9148-e3be6c30e623}">
          <xlrd:rvb i="12507"/>
        </ext>
      </extLst>
    </bk>
    <bk>
      <extLst>
        <ext uri="{3e2802c4-a4d2-4d8b-9148-e3be6c30e623}">
          <xlrd:rvb i="12508"/>
        </ext>
      </extLst>
    </bk>
    <bk>
      <extLst>
        <ext uri="{3e2802c4-a4d2-4d8b-9148-e3be6c30e623}">
          <xlrd:rvb i="12509"/>
        </ext>
      </extLst>
    </bk>
    <bk>
      <extLst>
        <ext uri="{3e2802c4-a4d2-4d8b-9148-e3be6c30e623}">
          <xlrd:rvb i="12510"/>
        </ext>
      </extLst>
    </bk>
    <bk>
      <extLst>
        <ext uri="{3e2802c4-a4d2-4d8b-9148-e3be6c30e623}">
          <xlrd:rvb i="12511"/>
        </ext>
      </extLst>
    </bk>
    <bk>
      <extLst>
        <ext uri="{3e2802c4-a4d2-4d8b-9148-e3be6c30e623}">
          <xlrd:rvb i="12512"/>
        </ext>
      </extLst>
    </bk>
    <bk>
      <extLst>
        <ext uri="{3e2802c4-a4d2-4d8b-9148-e3be6c30e623}">
          <xlrd:rvb i="12513"/>
        </ext>
      </extLst>
    </bk>
    <bk>
      <extLst>
        <ext uri="{3e2802c4-a4d2-4d8b-9148-e3be6c30e623}">
          <xlrd:rvb i="12514"/>
        </ext>
      </extLst>
    </bk>
    <bk>
      <extLst>
        <ext uri="{3e2802c4-a4d2-4d8b-9148-e3be6c30e623}">
          <xlrd:rvb i="12515"/>
        </ext>
      </extLst>
    </bk>
    <bk>
      <extLst>
        <ext uri="{3e2802c4-a4d2-4d8b-9148-e3be6c30e623}">
          <xlrd:rvb i="12516"/>
        </ext>
      </extLst>
    </bk>
    <bk>
      <extLst>
        <ext uri="{3e2802c4-a4d2-4d8b-9148-e3be6c30e623}">
          <xlrd:rvb i="12517"/>
        </ext>
      </extLst>
    </bk>
    <bk>
      <extLst>
        <ext uri="{3e2802c4-a4d2-4d8b-9148-e3be6c30e623}">
          <xlrd:rvb i="12518"/>
        </ext>
      </extLst>
    </bk>
    <bk>
      <extLst>
        <ext uri="{3e2802c4-a4d2-4d8b-9148-e3be6c30e623}">
          <xlrd:rvb i="12519"/>
        </ext>
      </extLst>
    </bk>
    <bk>
      <extLst>
        <ext uri="{3e2802c4-a4d2-4d8b-9148-e3be6c30e623}">
          <xlrd:rvb i="12520"/>
        </ext>
      </extLst>
    </bk>
    <bk>
      <extLst>
        <ext uri="{3e2802c4-a4d2-4d8b-9148-e3be6c30e623}">
          <xlrd:rvb i="12521"/>
        </ext>
      </extLst>
    </bk>
    <bk>
      <extLst>
        <ext uri="{3e2802c4-a4d2-4d8b-9148-e3be6c30e623}">
          <xlrd:rvb i="12522"/>
        </ext>
      </extLst>
    </bk>
    <bk>
      <extLst>
        <ext uri="{3e2802c4-a4d2-4d8b-9148-e3be6c30e623}">
          <xlrd:rvb i="12523"/>
        </ext>
      </extLst>
    </bk>
    <bk>
      <extLst>
        <ext uri="{3e2802c4-a4d2-4d8b-9148-e3be6c30e623}">
          <xlrd:rvb i="12524"/>
        </ext>
      </extLst>
    </bk>
    <bk>
      <extLst>
        <ext uri="{3e2802c4-a4d2-4d8b-9148-e3be6c30e623}">
          <xlrd:rvb i="12525"/>
        </ext>
      </extLst>
    </bk>
    <bk>
      <extLst>
        <ext uri="{3e2802c4-a4d2-4d8b-9148-e3be6c30e623}">
          <xlrd:rvb i="12526"/>
        </ext>
      </extLst>
    </bk>
    <bk>
      <extLst>
        <ext uri="{3e2802c4-a4d2-4d8b-9148-e3be6c30e623}">
          <xlrd:rvb i="12527"/>
        </ext>
      </extLst>
    </bk>
    <bk>
      <extLst>
        <ext uri="{3e2802c4-a4d2-4d8b-9148-e3be6c30e623}">
          <xlrd:rvb i="12528"/>
        </ext>
      </extLst>
    </bk>
    <bk>
      <extLst>
        <ext uri="{3e2802c4-a4d2-4d8b-9148-e3be6c30e623}">
          <xlrd:rvb i="12529"/>
        </ext>
      </extLst>
    </bk>
    <bk>
      <extLst>
        <ext uri="{3e2802c4-a4d2-4d8b-9148-e3be6c30e623}">
          <xlrd:rvb i="12530"/>
        </ext>
      </extLst>
    </bk>
    <bk>
      <extLst>
        <ext uri="{3e2802c4-a4d2-4d8b-9148-e3be6c30e623}">
          <xlrd:rvb i="12531"/>
        </ext>
      </extLst>
    </bk>
    <bk>
      <extLst>
        <ext uri="{3e2802c4-a4d2-4d8b-9148-e3be6c30e623}">
          <xlrd:rvb i="12532"/>
        </ext>
      </extLst>
    </bk>
    <bk>
      <extLst>
        <ext uri="{3e2802c4-a4d2-4d8b-9148-e3be6c30e623}">
          <xlrd:rvb i="12533"/>
        </ext>
      </extLst>
    </bk>
    <bk>
      <extLst>
        <ext uri="{3e2802c4-a4d2-4d8b-9148-e3be6c30e623}">
          <xlrd:rvb i="12534"/>
        </ext>
      </extLst>
    </bk>
    <bk>
      <extLst>
        <ext uri="{3e2802c4-a4d2-4d8b-9148-e3be6c30e623}">
          <xlrd:rvb i="12535"/>
        </ext>
      </extLst>
    </bk>
    <bk>
      <extLst>
        <ext uri="{3e2802c4-a4d2-4d8b-9148-e3be6c30e623}">
          <xlrd:rvb i="12536"/>
        </ext>
      </extLst>
    </bk>
    <bk>
      <extLst>
        <ext uri="{3e2802c4-a4d2-4d8b-9148-e3be6c30e623}">
          <xlrd:rvb i="12537"/>
        </ext>
      </extLst>
    </bk>
    <bk>
      <extLst>
        <ext uri="{3e2802c4-a4d2-4d8b-9148-e3be6c30e623}">
          <xlrd:rvb i="12538"/>
        </ext>
      </extLst>
    </bk>
    <bk>
      <extLst>
        <ext uri="{3e2802c4-a4d2-4d8b-9148-e3be6c30e623}">
          <xlrd:rvb i="12539"/>
        </ext>
      </extLst>
    </bk>
    <bk>
      <extLst>
        <ext uri="{3e2802c4-a4d2-4d8b-9148-e3be6c30e623}">
          <xlrd:rvb i="12540"/>
        </ext>
      </extLst>
    </bk>
    <bk>
      <extLst>
        <ext uri="{3e2802c4-a4d2-4d8b-9148-e3be6c30e623}">
          <xlrd:rvb i="12541"/>
        </ext>
      </extLst>
    </bk>
    <bk>
      <extLst>
        <ext uri="{3e2802c4-a4d2-4d8b-9148-e3be6c30e623}">
          <xlrd:rvb i="12542"/>
        </ext>
      </extLst>
    </bk>
    <bk>
      <extLst>
        <ext uri="{3e2802c4-a4d2-4d8b-9148-e3be6c30e623}">
          <xlrd:rvb i="12543"/>
        </ext>
      </extLst>
    </bk>
    <bk>
      <extLst>
        <ext uri="{3e2802c4-a4d2-4d8b-9148-e3be6c30e623}">
          <xlrd:rvb i="12544"/>
        </ext>
      </extLst>
    </bk>
    <bk>
      <extLst>
        <ext uri="{3e2802c4-a4d2-4d8b-9148-e3be6c30e623}">
          <xlrd:rvb i="12545"/>
        </ext>
      </extLst>
    </bk>
    <bk>
      <extLst>
        <ext uri="{3e2802c4-a4d2-4d8b-9148-e3be6c30e623}">
          <xlrd:rvb i="12546"/>
        </ext>
      </extLst>
    </bk>
    <bk>
      <extLst>
        <ext uri="{3e2802c4-a4d2-4d8b-9148-e3be6c30e623}">
          <xlrd:rvb i="12547"/>
        </ext>
      </extLst>
    </bk>
    <bk>
      <extLst>
        <ext uri="{3e2802c4-a4d2-4d8b-9148-e3be6c30e623}">
          <xlrd:rvb i="12548"/>
        </ext>
      </extLst>
    </bk>
    <bk>
      <extLst>
        <ext uri="{3e2802c4-a4d2-4d8b-9148-e3be6c30e623}">
          <xlrd:rvb i="12549"/>
        </ext>
      </extLst>
    </bk>
    <bk>
      <extLst>
        <ext uri="{3e2802c4-a4d2-4d8b-9148-e3be6c30e623}">
          <xlrd:rvb i="12550"/>
        </ext>
      </extLst>
    </bk>
    <bk>
      <extLst>
        <ext uri="{3e2802c4-a4d2-4d8b-9148-e3be6c30e623}">
          <xlrd:rvb i="12551"/>
        </ext>
      </extLst>
    </bk>
    <bk>
      <extLst>
        <ext uri="{3e2802c4-a4d2-4d8b-9148-e3be6c30e623}">
          <xlrd:rvb i="12552"/>
        </ext>
      </extLst>
    </bk>
    <bk>
      <extLst>
        <ext uri="{3e2802c4-a4d2-4d8b-9148-e3be6c30e623}">
          <xlrd:rvb i="12553"/>
        </ext>
      </extLst>
    </bk>
    <bk>
      <extLst>
        <ext uri="{3e2802c4-a4d2-4d8b-9148-e3be6c30e623}">
          <xlrd:rvb i="12554"/>
        </ext>
      </extLst>
    </bk>
    <bk>
      <extLst>
        <ext uri="{3e2802c4-a4d2-4d8b-9148-e3be6c30e623}">
          <xlrd:rvb i="12555"/>
        </ext>
      </extLst>
    </bk>
    <bk>
      <extLst>
        <ext uri="{3e2802c4-a4d2-4d8b-9148-e3be6c30e623}">
          <xlrd:rvb i="12556"/>
        </ext>
      </extLst>
    </bk>
    <bk>
      <extLst>
        <ext uri="{3e2802c4-a4d2-4d8b-9148-e3be6c30e623}">
          <xlrd:rvb i="12557"/>
        </ext>
      </extLst>
    </bk>
    <bk>
      <extLst>
        <ext uri="{3e2802c4-a4d2-4d8b-9148-e3be6c30e623}">
          <xlrd:rvb i="12558"/>
        </ext>
      </extLst>
    </bk>
    <bk>
      <extLst>
        <ext uri="{3e2802c4-a4d2-4d8b-9148-e3be6c30e623}">
          <xlrd:rvb i="12559"/>
        </ext>
      </extLst>
    </bk>
    <bk>
      <extLst>
        <ext uri="{3e2802c4-a4d2-4d8b-9148-e3be6c30e623}">
          <xlrd:rvb i="12560"/>
        </ext>
      </extLst>
    </bk>
    <bk>
      <extLst>
        <ext uri="{3e2802c4-a4d2-4d8b-9148-e3be6c30e623}">
          <xlrd:rvb i="12561"/>
        </ext>
      </extLst>
    </bk>
    <bk>
      <extLst>
        <ext uri="{3e2802c4-a4d2-4d8b-9148-e3be6c30e623}">
          <xlrd:rvb i="12562"/>
        </ext>
      </extLst>
    </bk>
    <bk>
      <extLst>
        <ext uri="{3e2802c4-a4d2-4d8b-9148-e3be6c30e623}">
          <xlrd:rvb i="12563"/>
        </ext>
      </extLst>
    </bk>
    <bk>
      <extLst>
        <ext uri="{3e2802c4-a4d2-4d8b-9148-e3be6c30e623}">
          <xlrd:rvb i="12564"/>
        </ext>
      </extLst>
    </bk>
    <bk>
      <extLst>
        <ext uri="{3e2802c4-a4d2-4d8b-9148-e3be6c30e623}">
          <xlrd:rvb i="12565"/>
        </ext>
      </extLst>
    </bk>
    <bk>
      <extLst>
        <ext uri="{3e2802c4-a4d2-4d8b-9148-e3be6c30e623}">
          <xlrd:rvb i="12566"/>
        </ext>
      </extLst>
    </bk>
    <bk>
      <extLst>
        <ext uri="{3e2802c4-a4d2-4d8b-9148-e3be6c30e623}">
          <xlrd:rvb i="12567"/>
        </ext>
      </extLst>
    </bk>
    <bk>
      <extLst>
        <ext uri="{3e2802c4-a4d2-4d8b-9148-e3be6c30e623}">
          <xlrd:rvb i="12568"/>
        </ext>
      </extLst>
    </bk>
    <bk>
      <extLst>
        <ext uri="{3e2802c4-a4d2-4d8b-9148-e3be6c30e623}">
          <xlrd:rvb i="12569"/>
        </ext>
      </extLst>
    </bk>
    <bk>
      <extLst>
        <ext uri="{3e2802c4-a4d2-4d8b-9148-e3be6c30e623}">
          <xlrd:rvb i="12570"/>
        </ext>
      </extLst>
    </bk>
    <bk>
      <extLst>
        <ext uri="{3e2802c4-a4d2-4d8b-9148-e3be6c30e623}">
          <xlrd:rvb i="12571"/>
        </ext>
      </extLst>
    </bk>
    <bk>
      <extLst>
        <ext uri="{3e2802c4-a4d2-4d8b-9148-e3be6c30e623}">
          <xlrd:rvb i="12572"/>
        </ext>
      </extLst>
    </bk>
    <bk>
      <extLst>
        <ext uri="{3e2802c4-a4d2-4d8b-9148-e3be6c30e623}">
          <xlrd:rvb i="12573"/>
        </ext>
      </extLst>
    </bk>
    <bk>
      <extLst>
        <ext uri="{3e2802c4-a4d2-4d8b-9148-e3be6c30e623}">
          <xlrd:rvb i="12574"/>
        </ext>
      </extLst>
    </bk>
    <bk>
      <extLst>
        <ext uri="{3e2802c4-a4d2-4d8b-9148-e3be6c30e623}">
          <xlrd:rvb i="12575"/>
        </ext>
      </extLst>
    </bk>
    <bk>
      <extLst>
        <ext uri="{3e2802c4-a4d2-4d8b-9148-e3be6c30e623}">
          <xlrd:rvb i="12576"/>
        </ext>
      </extLst>
    </bk>
    <bk>
      <extLst>
        <ext uri="{3e2802c4-a4d2-4d8b-9148-e3be6c30e623}">
          <xlrd:rvb i="12577"/>
        </ext>
      </extLst>
    </bk>
    <bk>
      <extLst>
        <ext uri="{3e2802c4-a4d2-4d8b-9148-e3be6c30e623}">
          <xlrd:rvb i="12578"/>
        </ext>
      </extLst>
    </bk>
    <bk>
      <extLst>
        <ext uri="{3e2802c4-a4d2-4d8b-9148-e3be6c30e623}">
          <xlrd:rvb i="12579"/>
        </ext>
      </extLst>
    </bk>
    <bk>
      <extLst>
        <ext uri="{3e2802c4-a4d2-4d8b-9148-e3be6c30e623}">
          <xlrd:rvb i="12580"/>
        </ext>
      </extLst>
    </bk>
    <bk>
      <extLst>
        <ext uri="{3e2802c4-a4d2-4d8b-9148-e3be6c30e623}">
          <xlrd:rvb i="12581"/>
        </ext>
      </extLst>
    </bk>
    <bk>
      <extLst>
        <ext uri="{3e2802c4-a4d2-4d8b-9148-e3be6c30e623}">
          <xlrd:rvb i="12582"/>
        </ext>
      </extLst>
    </bk>
    <bk>
      <extLst>
        <ext uri="{3e2802c4-a4d2-4d8b-9148-e3be6c30e623}">
          <xlrd:rvb i="12583"/>
        </ext>
      </extLst>
    </bk>
    <bk>
      <extLst>
        <ext uri="{3e2802c4-a4d2-4d8b-9148-e3be6c30e623}">
          <xlrd:rvb i="12584"/>
        </ext>
      </extLst>
    </bk>
    <bk>
      <extLst>
        <ext uri="{3e2802c4-a4d2-4d8b-9148-e3be6c30e623}">
          <xlrd:rvb i="12585"/>
        </ext>
      </extLst>
    </bk>
    <bk>
      <extLst>
        <ext uri="{3e2802c4-a4d2-4d8b-9148-e3be6c30e623}">
          <xlrd:rvb i="12586"/>
        </ext>
      </extLst>
    </bk>
    <bk>
      <extLst>
        <ext uri="{3e2802c4-a4d2-4d8b-9148-e3be6c30e623}">
          <xlrd:rvb i="12587"/>
        </ext>
      </extLst>
    </bk>
    <bk>
      <extLst>
        <ext uri="{3e2802c4-a4d2-4d8b-9148-e3be6c30e623}">
          <xlrd:rvb i="12588"/>
        </ext>
      </extLst>
    </bk>
    <bk>
      <extLst>
        <ext uri="{3e2802c4-a4d2-4d8b-9148-e3be6c30e623}">
          <xlrd:rvb i="12589"/>
        </ext>
      </extLst>
    </bk>
    <bk>
      <extLst>
        <ext uri="{3e2802c4-a4d2-4d8b-9148-e3be6c30e623}">
          <xlrd:rvb i="12590"/>
        </ext>
      </extLst>
    </bk>
    <bk>
      <extLst>
        <ext uri="{3e2802c4-a4d2-4d8b-9148-e3be6c30e623}">
          <xlrd:rvb i="12591"/>
        </ext>
      </extLst>
    </bk>
    <bk>
      <extLst>
        <ext uri="{3e2802c4-a4d2-4d8b-9148-e3be6c30e623}">
          <xlrd:rvb i="12592"/>
        </ext>
      </extLst>
    </bk>
    <bk>
      <extLst>
        <ext uri="{3e2802c4-a4d2-4d8b-9148-e3be6c30e623}">
          <xlrd:rvb i="12593"/>
        </ext>
      </extLst>
    </bk>
    <bk>
      <extLst>
        <ext uri="{3e2802c4-a4d2-4d8b-9148-e3be6c30e623}">
          <xlrd:rvb i="12594"/>
        </ext>
      </extLst>
    </bk>
    <bk>
      <extLst>
        <ext uri="{3e2802c4-a4d2-4d8b-9148-e3be6c30e623}">
          <xlrd:rvb i="12595"/>
        </ext>
      </extLst>
    </bk>
    <bk>
      <extLst>
        <ext uri="{3e2802c4-a4d2-4d8b-9148-e3be6c30e623}">
          <xlrd:rvb i="12596"/>
        </ext>
      </extLst>
    </bk>
    <bk>
      <extLst>
        <ext uri="{3e2802c4-a4d2-4d8b-9148-e3be6c30e623}">
          <xlrd:rvb i="12597"/>
        </ext>
      </extLst>
    </bk>
    <bk>
      <extLst>
        <ext uri="{3e2802c4-a4d2-4d8b-9148-e3be6c30e623}">
          <xlrd:rvb i="12598"/>
        </ext>
      </extLst>
    </bk>
    <bk>
      <extLst>
        <ext uri="{3e2802c4-a4d2-4d8b-9148-e3be6c30e623}">
          <xlrd:rvb i="12599"/>
        </ext>
      </extLst>
    </bk>
    <bk>
      <extLst>
        <ext uri="{3e2802c4-a4d2-4d8b-9148-e3be6c30e623}">
          <xlrd:rvb i="12600"/>
        </ext>
      </extLst>
    </bk>
    <bk>
      <extLst>
        <ext uri="{3e2802c4-a4d2-4d8b-9148-e3be6c30e623}">
          <xlrd:rvb i="12601"/>
        </ext>
      </extLst>
    </bk>
    <bk>
      <extLst>
        <ext uri="{3e2802c4-a4d2-4d8b-9148-e3be6c30e623}">
          <xlrd:rvb i="12602"/>
        </ext>
      </extLst>
    </bk>
    <bk>
      <extLst>
        <ext uri="{3e2802c4-a4d2-4d8b-9148-e3be6c30e623}">
          <xlrd:rvb i="12603"/>
        </ext>
      </extLst>
    </bk>
    <bk>
      <extLst>
        <ext uri="{3e2802c4-a4d2-4d8b-9148-e3be6c30e623}">
          <xlrd:rvb i="12604"/>
        </ext>
      </extLst>
    </bk>
    <bk>
      <extLst>
        <ext uri="{3e2802c4-a4d2-4d8b-9148-e3be6c30e623}">
          <xlrd:rvb i="12605"/>
        </ext>
      </extLst>
    </bk>
    <bk>
      <extLst>
        <ext uri="{3e2802c4-a4d2-4d8b-9148-e3be6c30e623}">
          <xlrd:rvb i="12606"/>
        </ext>
      </extLst>
    </bk>
    <bk>
      <extLst>
        <ext uri="{3e2802c4-a4d2-4d8b-9148-e3be6c30e623}">
          <xlrd:rvb i="12607"/>
        </ext>
      </extLst>
    </bk>
    <bk>
      <extLst>
        <ext uri="{3e2802c4-a4d2-4d8b-9148-e3be6c30e623}">
          <xlrd:rvb i="12608"/>
        </ext>
      </extLst>
    </bk>
    <bk>
      <extLst>
        <ext uri="{3e2802c4-a4d2-4d8b-9148-e3be6c30e623}">
          <xlrd:rvb i="12609"/>
        </ext>
      </extLst>
    </bk>
    <bk>
      <extLst>
        <ext uri="{3e2802c4-a4d2-4d8b-9148-e3be6c30e623}">
          <xlrd:rvb i="12610"/>
        </ext>
      </extLst>
    </bk>
    <bk>
      <extLst>
        <ext uri="{3e2802c4-a4d2-4d8b-9148-e3be6c30e623}">
          <xlrd:rvb i="12611"/>
        </ext>
      </extLst>
    </bk>
    <bk>
      <extLst>
        <ext uri="{3e2802c4-a4d2-4d8b-9148-e3be6c30e623}">
          <xlrd:rvb i="12612"/>
        </ext>
      </extLst>
    </bk>
    <bk>
      <extLst>
        <ext uri="{3e2802c4-a4d2-4d8b-9148-e3be6c30e623}">
          <xlrd:rvb i="12613"/>
        </ext>
      </extLst>
    </bk>
    <bk>
      <extLst>
        <ext uri="{3e2802c4-a4d2-4d8b-9148-e3be6c30e623}">
          <xlrd:rvb i="12614"/>
        </ext>
      </extLst>
    </bk>
    <bk>
      <extLst>
        <ext uri="{3e2802c4-a4d2-4d8b-9148-e3be6c30e623}">
          <xlrd:rvb i="12615"/>
        </ext>
      </extLst>
    </bk>
    <bk>
      <extLst>
        <ext uri="{3e2802c4-a4d2-4d8b-9148-e3be6c30e623}">
          <xlrd:rvb i="12616"/>
        </ext>
      </extLst>
    </bk>
    <bk>
      <extLst>
        <ext uri="{3e2802c4-a4d2-4d8b-9148-e3be6c30e623}">
          <xlrd:rvb i="12617"/>
        </ext>
      </extLst>
    </bk>
    <bk>
      <extLst>
        <ext uri="{3e2802c4-a4d2-4d8b-9148-e3be6c30e623}">
          <xlrd:rvb i="12618"/>
        </ext>
      </extLst>
    </bk>
    <bk>
      <extLst>
        <ext uri="{3e2802c4-a4d2-4d8b-9148-e3be6c30e623}">
          <xlrd:rvb i="12619"/>
        </ext>
      </extLst>
    </bk>
    <bk>
      <extLst>
        <ext uri="{3e2802c4-a4d2-4d8b-9148-e3be6c30e623}">
          <xlrd:rvb i="12620"/>
        </ext>
      </extLst>
    </bk>
    <bk>
      <extLst>
        <ext uri="{3e2802c4-a4d2-4d8b-9148-e3be6c30e623}">
          <xlrd:rvb i="12621"/>
        </ext>
      </extLst>
    </bk>
    <bk>
      <extLst>
        <ext uri="{3e2802c4-a4d2-4d8b-9148-e3be6c30e623}">
          <xlrd:rvb i="12622"/>
        </ext>
      </extLst>
    </bk>
    <bk>
      <extLst>
        <ext uri="{3e2802c4-a4d2-4d8b-9148-e3be6c30e623}">
          <xlrd:rvb i="12623"/>
        </ext>
      </extLst>
    </bk>
    <bk>
      <extLst>
        <ext uri="{3e2802c4-a4d2-4d8b-9148-e3be6c30e623}">
          <xlrd:rvb i="12624"/>
        </ext>
      </extLst>
    </bk>
    <bk>
      <extLst>
        <ext uri="{3e2802c4-a4d2-4d8b-9148-e3be6c30e623}">
          <xlrd:rvb i="12625"/>
        </ext>
      </extLst>
    </bk>
    <bk>
      <extLst>
        <ext uri="{3e2802c4-a4d2-4d8b-9148-e3be6c30e623}">
          <xlrd:rvb i="12626"/>
        </ext>
      </extLst>
    </bk>
    <bk>
      <extLst>
        <ext uri="{3e2802c4-a4d2-4d8b-9148-e3be6c30e623}">
          <xlrd:rvb i="12627"/>
        </ext>
      </extLst>
    </bk>
    <bk>
      <extLst>
        <ext uri="{3e2802c4-a4d2-4d8b-9148-e3be6c30e623}">
          <xlrd:rvb i="12628"/>
        </ext>
      </extLst>
    </bk>
    <bk>
      <extLst>
        <ext uri="{3e2802c4-a4d2-4d8b-9148-e3be6c30e623}">
          <xlrd:rvb i="12629"/>
        </ext>
      </extLst>
    </bk>
    <bk>
      <extLst>
        <ext uri="{3e2802c4-a4d2-4d8b-9148-e3be6c30e623}">
          <xlrd:rvb i="12630"/>
        </ext>
      </extLst>
    </bk>
    <bk>
      <extLst>
        <ext uri="{3e2802c4-a4d2-4d8b-9148-e3be6c30e623}">
          <xlrd:rvb i="12631"/>
        </ext>
      </extLst>
    </bk>
    <bk>
      <extLst>
        <ext uri="{3e2802c4-a4d2-4d8b-9148-e3be6c30e623}">
          <xlrd:rvb i="12632"/>
        </ext>
      </extLst>
    </bk>
    <bk>
      <extLst>
        <ext uri="{3e2802c4-a4d2-4d8b-9148-e3be6c30e623}">
          <xlrd:rvb i="12633"/>
        </ext>
      </extLst>
    </bk>
    <bk>
      <extLst>
        <ext uri="{3e2802c4-a4d2-4d8b-9148-e3be6c30e623}">
          <xlrd:rvb i="12634"/>
        </ext>
      </extLst>
    </bk>
    <bk>
      <extLst>
        <ext uri="{3e2802c4-a4d2-4d8b-9148-e3be6c30e623}">
          <xlrd:rvb i="12635"/>
        </ext>
      </extLst>
    </bk>
    <bk>
      <extLst>
        <ext uri="{3e2802c4-a4d2-4d8b-9148-e3be6c30e623}">
          <xlrd:rvb i="12636"/>
        </ext>
      </extLst>
    </bk>
    <bk>
      <extLst>
        <ext uri="{3e2802c4-a4d2-4d8b-9148-e3be6c30e623}">
          <xlrd:rvb i="12637"/>
        </ext>
      </extLst>
    </bk>
    <bk>
      <extLst>
        <ext uri="{3e2802c4-a4d2-4d8b-9148-e3be6c30e623}">
          <xlrd:rvb i="12638"/>
        </ext>
      </extLst>
    </bk>
    <bk>
      <extLst>
        <ext uri="{3e2802c4-a4d2-4d8b-9148-e3be6c30e623}">
          <xlrd:rvb i="12639"/>
        </ext>
      </extLst>
    </bk>
    <bk>
      <extLst>
        <ext uri="{3e2802c4-a4d2-4d8b-9148-e3be6c30e623}">
          <xlrd:rvb i="12640"/>
        </ext>
      </extLst>
    </bk>
    <bk>
      <extLst>
        <ext uri="{3e2802c4-a4d2-4d8b-9148-e3be6c30e623}">
          <xlrd:rvb i="12641"/>
        </ext>
      </extLst>
    </bk>
    <bk>
      <extLst>
        <ext uri="{3e2802c4-a4d2-4d8b-9148-e3be6c30e623}">
          <xlrd:rvb i="12642"/>
        </ext>
      </extLst>
    </bk>
    <bk>
      <extLst>
        <ext uri="{3e2802c4-a4d2-4d8b-9148-e3be6c30e623}">
          <xlrd:rvb i="12643"/>
        </ext>
      </extLst>
    </bk>
    <bk>
      <extLst>
        <ext uri="{3e2802c4-a4d2-4d8b-9148-e3be6c30e623}">
          <xlrd:rvb i="12644"/>
        </ext>
      </extLst>
    </bk>
    <bk>
      <extLst>
        <ext uri="{3e2802c4-a4d2-4d8b-9148-e3be6c30e623}">
          <xlrd:rvb i="12645"/>
        </ext>
      </extLst>
    </bk>
    <bk>
      <extLst>
        <ext uri="{3e2802c4-a4d2-4d8b-9148-e3be6c30e623}">
          <xlrd:rvb i="12646"/>
        </ext>
      </extLst>
    </bk>
    <bk>
      <extLst>
        <ext uri="{3e2802c4-a4d2-4d8b-9148-e3be6c30e623}">
          <xlrd:rvb i="12647"/>
        </ext>
      </extLst>
    </bk>
    <bk>
      <extLst>
        <ext uri="{3e2802c4-a4d2-4d8b-9148-e3be6c30e623}">
          <xlrd:rvb i="12648"/>
        </ext>
      </extLst>
    </bk>
    <bk>
      <extLst>
        <ext uri="{3e2802c4-a4d2-4d8b-9148-e3be6c30e623}">
          <xlrd:rvb i="12649"/>
        </ext>
      </extLst>
    </bk>
    <bk>
      <extLst>
        <ext uri="{3e2802c4-a4d2-4d8b-9148-e3be6c30e623}">
          <xlrd:rvb i="12650"/>
        </ext>
      </extLst>
    </bk>
    <bk>
      <extLst>
        <ext uri="{3e2802c4-a4d2-4d8b-9148-e3be6c30e623}">
          <xlrd:rvb i="12651"/>
        </ext>
      </extLst>
    </bk>
    <bk>
      <extLst>
        <ext uri="{3e2802c4-a4d2-4d8b-9148-e3be6c30e623}">
          <xlrd:rvb i="12652"/>
        </ext>
      </extLst>
    </bk>
    <bk>
      <extLst>
        <ext uri="{3e2802c4-a4d2-4d8b-9148-e3be6c30e623}">
          <xlrd:rvb i="12653"/>
        </ext>
      </extLst>
    </bk>
    <bk>
      <extLst>
        <ext uri="{3e2802c4-a4d2-4d8b-9148-e3be6c30e623}">
          <xlrd:rvb i="12654"/>
        </ext>
      </extLst>
    </bk>
    <bk>
      <extLst>
        <ext uri="{3e2802c4-a4d2-4d8b-9148-e3be6c30e623}">
          <xlrd:rvb i="12655"/>
        </ext>
      </extLst>
    </bk>
    <bk>
      <extLst>
        <ext uri="{3e2802c4-a4d2-4d8b-9148-e3be6c30e623}">
          <xlrd:rvb i="12656"/>
        </ext>
      </extLst>
    </bk>
    <bk>
      <extLst>
        <ext uri="{3e2802c4-a4d2-4d8b-9148-e3be6c30e623}">
          <xlrd:rvb i="12657"/>
        </ext>
      </extLst>
    </bk>
    <bk>
      <extLst>
        <ext uri="{3e2802c4-a4d2-4d8b-9148-e3be6c30e623}">
          <xlrd:rvb i="12658"/>
        </ext>
      </extLst>
    </bk>
    <bk>
      <extLst>
        <ext uri="{3e2802c4-a4d2-4d8b-9148-e3be6c30e623}">
          <xlrd:rvb i="12659"/>
        </ext>
      </extLst>
    </bk>
    <bk>
      <extLst>
        <ext uri="{3e2802c4-a4d2-4d8b-9148-e3be6c30e623}">
          <xlrd:rvb i="12660"/>
        </ext>
      </extLst>
    </bk>
    <bk>
      <extLst>
        <ext uri="{3e2802c4-a4d2-4d8b-9148-e3be6c30e623}">
          <xlrd:rvb i="12661"/>
        </ext>
      </extLst>
    </bk>
    <bk>
      <extLst>
        <ext uri="{3e2802c4-a4d2-4d8b-9148-e3be6c30e623}">
          <xlrd:rvb i="12662"/>
        </ext>
      </extLst>
    </bk>
    <bk>
      <extLst>
        <ext uri="{3e2802c4-a4d2-4d8b-9148-e3be6c30e623}">
          <xlrd:rvb i="12663"/>
        </ext>
      </extLst>
    </bk>
    <bk>
      <extLst>
        <ext uri="{3e2802c4-a4d2-4d8b-9148-e3be6c30e623}">
          <xlrd:rvb i="12664"/>
        </ext>
      </extLst>
    </bk>
    <bk>
      <extLst>
        <ext uri="{3e2802c4-a4d2-4d8b-9148-e3be6c30e623}">
          <xlrd:rvb i="12665"/>
        </ext>
      </extLst>
    </bk>
    <bk>
      <extLst>
        <ext uri="{3e2802c4-a4d2-4d8b-9148-e3be6c30e623}">
          <xlrd:rvb i="12666"/>
        </ext>
      </extLst>
    </bk>
    <bk>
      <extLst>
        <ext uri="{3e2802c4-a4d2-4d8b-9148-e3be6c30e623}">
          <xlrd:rvb i="12667"/>
        </ext>
      </extLst>
    </bk>
    <bk>
      <extLst>
        <ext uri="{3e2802c4-a4d2-4d8b-9148-e3be6c30e623}">
          <xlrd:rvb i="12668"/>
        </ext>
      </extLst>
    </bk>
    <bk>
      <extLst>
        <ext uri="{3e2802c4-a4d2-4d8b-9148-e3be6c30e623}">
          <xlrd:rvb i="12669"/>
        </ext>
      </extLst>
    </bk>
    <bk>
      <extLst>
        <ext uri="{3e2802c4-a4d2-4d8b-9148-e3be6c30e623}">
          <xlrd:rvb i="12670"/>
        </ext>
      </extLst>
    </bk>
    <bk>
      <extLst>
        <ext uri="{3e2802c4-a4d2-4d8b-9148-e3be6c30e623}">
          <xlrd:rvb i="12671"/>
        </ext>
      </extLst>
    </bk>
    <bk>
      <extLst>
        <ext uri="{3e2802c4-a4d2-4d8b-9148-e3be6c30e623}">
          <xlrd:rvb i="12672"/>
        </ext>
      </extLst>
    </bk>
    <bk>
      <extLst>
        <ext uri="{3e2802c4-a4d2-4d8b-9148-e3be6c30e623}">
          <xlrd:rvb i="12673"/>
        </ext>
      </extLst>
    </bk>
    <bk>
      <extLst>
        <ext uri="{3e2802c4-a4d2-4d8b-9148-e3be6c30e623}">
          <xlrd:rvb i="12674"/>
        </ext>
      </extLst>
    </bk>
    <bk>
      <extLst>
        <ext uri="{3e2802c4-a4d2-4d8b-9148-e3be6c30e623}">
          <xlrd:rvb i="12675"/>
        </ext>
      </extLst>
    </bk>
    <bk>
      <extLst>
        <ext uri="{3e2802c4-a4d2-4d8b-9148-e3be6c30e623}">
          <xlrd:rvb i="12676"/>
        </ext>
      </extLst>
    </bk>
    <bk>
      <extLst>
        <ext uri="{3e2802c4-a4d2-4d8b-9148-e3be6c30e623}">
          <xlrd:rvb i="12677"/>
        </ext>
      </extLst>
    </bk>
    <bk>
      <extLst>
        <ext uri="{3e2802c4-a4d2-4d8b-9148-e3be6c30e623}">
          <xlrd:rvb i="12678"/>
        </ext>
      </extLst>
    </bk>
    <bk>
      <extLst>
        <ext uri="{3e2802c4-a4d2-4d8b-9148-e3be6c30e623}">
          <xlrd:rvb i="12679"/>
        </ext>
      </extLst>
    </bk>
    <bk>
      <extLst>
        <ext uri="{3e2802c4-a4d2-4d8b-9148-e3be6c30e623}">
          <xlrd:rvb i="12680"/>
        </ext>
      </extLst>
    </bk>
    <bk>
      <extLst>
        <ext uri="{3e2802c4-a4d2-4d8b-9148-e3be6c30e623}">
          <xlrd:rvb i="12681"/>
        </ext>
      </extLst>
    </bk>
    <bk>
      <extLst>
        <ext uri="{3e2802c4-a4d2-4d8b-9148-e3be6c30e623}">
          <xlrd:rvb i="12682"/>
        </ext>
      </extLst>
    </bk>
    <bk>
      <extLst>
        <ext uri="{3e2802c4-a4d2-4d8b-9148-e3be6c30e623}">
          <xlrd:rvb i="12683"/>
        </ext>
      </extLst>
    </bk>
    <bk>
      <extLst>
        <ext uri="{3e2802c4-a4d2-4d8b-9148-e3be6c30e623}">
          <xlrd:rvb i="12684"/>
        </ext>
      </extLst>
    </bk>
    <bk>
      <extLst>
        <ext uri="{3e2802c4-a4d2-4d8b-9148-e3be6c30e623}">
          <xlrd:rvb i="12685"/>
        </ext>
      </extLst>
    </bk>
    <bk>
      <extLst>
        <ext uri="{3e2802c4-a4d2-4d8b-9148-e3be6c30e623}">
          <xlrd:rvb i="12686"/>
        </ext>
      </extLst>
    </bk>
    <bk>
      <extLst>
        <ext uri="{3e2802c4-a4d2-4d8b-9148-e3be6c30e623}">
          <xlrd:rvb i="12687"/>
        </ext>
      </extLst>
    </bk>
    <bk>
      <extLst>
        <ext uri="{3e2802c4-a4d2-4d8b-9148-e3be6c30e623}">
          <xlrd:rvb i="12688"/>
        </ext>
      </extLst>
    </bk>
    <bk>
      <extLst>
        <ext uri="{3e2802c4-a4d2-4d8b-9148-e3be6c30e623}">
          <xlrd:rvb i="12689"/>
        </ext>
      </extLst>
    </bk>
    <bk>
      <extLst>
        <ext uri="{3e2802c4-a4d2-4d8b-9148-e3be6c30e623}">
          <xlrd:rvb i="12690"/>
        </ext>
      </extLst>
    </bk>
    <bk>
      <extLst>
        <ext uri="{3e2802c4-a4d2-4d8b-9148-e3be6c30e623}">
          <xlrd:rvb i="12691"/>
        </ext>
      </extLst>
    </bk>
    <bk>
      <extLst>
        <ext uri="{3e2802c4-a4d2-4d8b-9148-e3be6c30e623}">
          <xlrd:rvb i="12692"/>
        </ext>
      </extLst>
    </bk>
    <bk>
      <extLst>
        <ext uri="{3e2802c4-a4d2-4d8b-9148-e3be6c30e623}">
          <xlrd:rvb i="12693"/>
        </ext>
      </extLst>
    </bk>
    <bk>
      <extLst>
        <ext uri="{3e2802c4-a4d2-4d8b-9148-e3be6c30e623}">
          <xlrd:rvb i="12694"/>
        </ext>
      </extLst>
    </bk>
    <bk>
      <extLst>
        <ext uri="{3e2802c4-a4d2-4d8b-9148-e3be6c30e623}">
          <xlrd:rvb i="12695"/>
        </ext>
      </extLst>
    </bk>
    <bk>
      <extLst>
        <ext uri="{3e2802c4-a4d2-4d8b-9148-e3be6c30e623}">
          <xlrd:rvb i="12696"/>
        </ext>
      </extLst>
    </bk>
    <bk>
      <extLst>
        <ext uri="{3e2802c4-a4d2-4d8b-9148-e3be6c30e623}">
          <xlrd:rvb i="12697"/>
        </ext>
      </extLst>
    </bk>
    <bk>
      <extLst>
        <ext uri="{3e2802c4-a4d2-4d8b-9148-e3be6c30e623}">
          <xlrd:rvb i="12698"/>
        </ext>
      </extLst>
    </bk>
    <bk>
      <extLst>
        <ext uri="{3e2802c4-a4d2-4d8b-9148-e3be6c30e623}">
          <xlrd:rvb i="12699"/>
        </ext>
      </extLst>
    </bk>
    <bk>
      <extLst>
        <ext uri="{3e2802c4-a4d2-4d8b-9148-e3be6c30e623}">
          <xlrd:rvb i="12700"/>
        </ext>
      </extLst>
    </bk>
    <bk>
      <extLst>
        <ext uri="{3e2802c4-a4d2-4d8b-9148-e3be6c30e623}">
          <xlrd:rvb i="12701"/>
        </ext>
      </extLst>
    </bk>
    <bk>
      <extLst>
        <ext uri="{3e2802c4-a4d2-4d8b-9148-e3be6c30e623}">
          <xlrd:rvb i="12702"/>
        </ext>
      </extLst>
    </bk>
    <bk>
      <extLst>
        <ext uri="{3e2802c4-a4d2-4d8b-9148-e3be6c30e623}">
          <xlrd:rvb i="12703"/>
        </ext>
      </extLst>
    </bk>
    <bk>
      <extLst>
        <ext uri="{3e2802c4-a4d2-4d8b-9148-e3be6c30e623}">
          <xlrd:rvb i="12704"/>
        </ext>
      </extLst>
    </bk>
    <bk>
      <extLst>
        <ext uri="{3e2802c4-a4d2-4d8b-9148-e3be6c30e623}">
          <xlrd:rvb i="12705"/>
        </ext>
      </extLst>
    </bk>
    <bk>
      <extLst>
        <ext uri="{3e2802c4-a4d2-4d8b-9148-e3be6c30e623}">
          <xlrd:rvb i="12706"/>
        </ext>
      </extLst>
    </bk>
    <bk>
      <extLst>
        <ext uri="{3e2802c4-a4d2-4d8b-9148-e3be6c30e623}">
          <xlrd:rvb i="12707"/>
        </ext>
      </extLst>
    </bk>
    <bk>
      <extLst>
        <ext uri="{3e2802c4-a4d2-4d8b-9148-e3be6c30e623}">
          <xlrd:rvb i="12708"/>
        </ext>
      </extLst>
    </bk>
    <bk>
      <extLst>
        <ext uri="{3e2802c4-a4d2-4d8b-9148-e3be6c30e623}">
          <xlrd:rvb i="12709"/>
        </ext>
      </extLst>
    </bk>
    <bk>
      <extLst>
        <ext uri="{3e2802c4-a4d2-4d8b-9148-e3be6c30e623}">
          <xlrd:rvb i="12710"/>
        </ext>
      </extLst>
    </bk>
    <bk>
      <extLst>
        <ext uri="{3e2802c4-a4d2-4d8b-9148-e3be6c30e623}">
          <xlrd:rvb i="12711"/>
        </ext>
      </extLst>
    </bk>
    <bk>
      <extLst>
        <ext uri="{3e2802c4-a4d2-4d8b-9148-e3be6c30e623}">
          <xlrd:rvb i="12712"/>
        </ext>
      </extLst>
    </bk>
    <bk>
      <extLst>
        <ext uri="{3e2802c4-a4d2-4d8b-9148-e3be6c30e623}">
          <xlrd:rvb i="12713"/>
        </ext>
      </extLst>
    </bk>
    <bk>
      <extLst>
        <ext uri="{3e2802c4-a4d2-4d8b-9148-e3be6c30e623}">
          <xlrd:rvb i="12714"/>
        </ext>
      </extLst>
    </bk>
    <bk>
      <extLst>
        <ext uri="{3e2802c4-a4d2-4d8b-9148-e3be6c30e623}">
          <xlrd:rvb i="12715"/>
        </ext>
      </extLst>
    </bk>
    <bk>
      <extLst>
        <ext uri="{3e2802c4-a4d2-4d8b-9148-e3be6c30e623}">
          <xlrd:rvb i="12716"/>
        </ext>
      </extLst>
    </bk>
    <bk>
      <extLst>
        <ext uri="{3e2802c4-a4d2-4d8b-9148-e3be6c30e623}">
          <xlrd:rvb i="12717"/>
        </ext>
      </extLst>
    </bk>
    <bk>
      <extLst>
        <ext uri="{3e2802c4-a4d2-4d8b-9148-e3be6c30e623}">
          <xlrd:rvb i="12718"/>
        </ext>
      </extLst>
    </bk>
    <bk>
      <extLst>
        <ext uri="{3e2802c4-a4d2-4d8b-9148-e3be6c30e623}">
          <xlrd:rvb i="12719"/>
        </ext>
      </extLst>
    </bk>
    <bk>
      <extLst>
        <ext uri="{3e2802c4-a4d2-4d8b-9148-e3be6c30e623}">
          <xlrd:rvb i="12720"/>
        </ext>
      </extLst>
    </bk>
    <bk>
      <extLst>
        <ext uri="{3e2802c4-a4d2-4d8b-9148-e3be6c30e623}">
          <xlrd:rvb i="12721"/>
        </ext>
      </extLst>
    </bk>
    <bk>
      <extLst>
        <ext uri="{3e2802c4-a4d2-4d8b-9148-e3be6c30e623}">
          <xlrd:rvb i="12722"/>
        </ext>
      </extLst>
    </bk>
    <bk>
      <extLst>
        <ext uri="{3e2802c4-a4d2-4d8b-9148-e3be6c30e623}">
          <xlrd:rvb i="12723"/>
        </ext>
      </extLst>
    </bk>
    <bk>
      <extLst>
        <ext uri="{3e2802c4-a4d2-4d8b-9148-e3be6c30e623}">
          <xlrd:rvb i="12724"/>
        </ext>
      </extLst>
    </bk>
    <bk>
      <extLst>
        <ext uri="{3e2802c4-a4d2-4d8b-9148-e3be6c30e623}">
          <xlrd:rvb i="12725"/>
        </ext>
      </extLst>
    </bk>
    <bk>
      <extLst>
        <ext uri="{3e2802c4-a4d2-4d8b-9148-e3be6c30e623}">
          <xlrd:rvb i="12726"/>
        </ext>
      </extLst>
    </bk>
    <bk>
      <extLst>
        <ext uri="{3e2802c4-a4d2-4d8b-9148-e3be6c30e623}">
          <xlrd:rvb i="12727"/>
        </ext>
      </extLst>
    </bk>
    <bk>
      <extLst>
        <ext uri="{3e2802c4-a4d2-4d8b-9148-e3be6c30e623}">
          <xlrd:rvb i="12728"/>
        </ext>
      </extLst>
    </bk>
    <bk>
      <extLst>
        <ext uri="{3e2802c4-a4d2-4d8b-9148-e3be6c30e623}">
          <xlrd:rvb i="12729"/>
        </ext>
      </extLst>
    </bk>
    <bk>
      <extLst>
        <ext uri="{3e2802c4-a4d2-4d8b-9148-e3be6c30e623}">
          <xlrd:rvb i="12730"/>
        </ext>
      </extLst>
    </bk>
    <bk>
      <extLst>
        <ext uri="{3e2802c4-a4d2-4d8b-9148-e3be6c30e623}">
          <xlrd:rvb i="12731"/>
        </ext>
      </extLst>
    </bk>
    <bk>
      <extLst>
        <ext uri="{3e2802c4-a4d2-4d8b-9148-e3be6c30e623}">
          <xlrd:rvb i="12732"/>
        </ext>
      </extLst>
    </bk>
    <bk>
      <extLst>
        <ext uri="{3e2802c4-a4d2-4d8b-9148-e3be6c30e623}">
          <xlrd:rvb i="12733"/>
        </ext>
      </extLst>
    </bk>
    <bk>
      <extLst>
        <ext uri="{3e2802c4-a4d2-4d8b-9148-e3be6c30e623}">
          <xlrd:rvb i="12734"/>
        </ext>
      </extLst>
    </bk>
    <bk>
      <extLst>
        <ext uri="{3e2802c4-a4d2-4d8b-9148-e3be6c30e623}">
          <xlrd:rvb i="12735"/>
        </ext>
      </extLst>
    </bk>
    <bk>
      <extLst>
        <ext uri="{3e2802c4-a4d2-4d8b-9148-e3be6c30e623}">
          <xlrd:rvb i="12736"/>
        </ext>
      </extLst>
    </bk>
    <bk>
      <extLst>
        <ext uri="{3e2802c4-a4d2-4d8b-9148-e3be6c30e623}">
          <xlrd:rvb i="12737"/>
        </ext>
      </extLst>
    </bk>
    <bk>
      <extLst>
        <ext uri="{3e2802c4-a4d2-4d8b-9148-e3be6c30e623}">
          <xlrd:rvb i="12738"/>
        </ext>
      </extLst>
    </bk>
    <bk>
      <extLst>
        <ext uri="{3e2802c4-a4d2-4d8b-9148-e3be6c30e623}">
          <xlrd:rvb i="12739"/>
        </ext>
      </extLst>
    </bk>
    <bk>
      <extLst>
        <ext uri="{3e2802c4-a4d2-4d8b-9148-e3be6c30e623}">
          <xlrd:rvb i="12740"/>
        </ext>
      </extLst>
    </bk>
    <bk>
      <extLst>
        <ext uri="{3e2802c4-a4d2-4d8b-9148-e3be6c30e623}">
          <xlrd:rvb i="12741"/>
        </ext>
      </extLst>
    </bk>
    <bk>
      <extLst>
        <ext uri="{3e2802c4-a4d2-4d8b-9148-e3be6c30e623}">
          <xlrd:rvb i="12742"/>
        </ext>
      </extLst>
    </bk>
    <bk>
      <extLst>
        <ext uri="{3e2802c4-a4d2-4d8b-9148-e3be6c30e623}">
          <xlrd:rvb i="12743"/>
        </ext>
      </extLst>
    </bk>
    <bk>
      <extLst>
        <ext uri="{3e2802c4-a4d2-4d8b-9148-e3be6c30e623}">
          <xlrd:rvb i="12744"/>
        </ext>
      </extLst>
    </bk>
    <bk>
      <extLst>
        <ext uri="{3e2802c4-a4d2-4d8b-9148-e3be6c30e623}">
          <xlrd:rvb i="12745"/>
        </ext>
      </extLst>
    </bk>
    <bk>
      <extLst>
        <ext uri="{3e2802c4-a4d2-4d8b-9148-e3be6c30e623}">
          <xlrd:rvb i="12746"/>
        </ext>
      </extLst>
    </bk>
    <bk>
      <extLst>
        <ext uri="{3e2802c4-a4d2-4d8b-9148-e3be6c30e623}">
          <xlrd:rvb i="12747"/>
        </ext>
      </extLst>
    </bk>
    <bk>
      <extLst>
        <ext uri="{3e2802c4-a4d2-4d8b-9148-e3be6c30e623}">
          <xlrd:rvb i="12748"/>
        </ext>
      </extLst>
    </bk>
    <bk>
      <extLst>
        <ext uri="{3e2802c4-a4d2-4d8b-9148-e3be6c30e623}">
          <xlrd:rvb i="12749"/>
        </ext>
      </extLst>
    </bk>
    <bk>
      <extLst>
        <ext uri="{3e2802c4-a4d2-4d8b-9148-e3be6c30e623}">
          <xlrd:rvb i="12750"/>
        </ext>
      </extLst>
    </bk>
    <bk>
      <extLst>
        <ext uri="{3e2802c4-a4d2-4d8b-9148-e3be6c30e623}">
          <xlrd:rvb i="12751"/>
        </ext>
      </extLst>
    </bk>
    <bk>
      <extLst>
        <ext uri="{3e2802c4-a4d2-4d8b-9148-e3be6c30e623}">
          <xlrd:rvb i="12752"/>
        </ext>
      </extLst>
    </bk>
    <bk>
      <extLst>
        <ext uri="{3e2802c4-a4d2-4d8b-9148-e3be6c30e623}">
          <xlrd:rvb i="12753"/>
        </ext>
      </extLst>
    </bk>
    <bk>
      <extLst>
        <ext uri="{3e2802c4-a4d2-4d8b-9148-e3be6c30e623}">
          <xlrd:rvb i="12754"/>
        </ext>
      </extLst>
    </bk>
    <bk>
      <extLst>
        <ext uri="{3e2802c4-a4d2-4d8b-9148-e3be6c30e623}">
          <xlrd:rvb i="12755"/>
        </ext>
      </extLst>
    </bk>
    <bk>
      <extLst>
        <ext uri="{3e2802c4-a4d2-4d8b-9148-e3be6c30e623}">
          <xlrd:rvb i="12756"/>
        </ext>
      </extLst>
    </bk>
    <bk>
      <extLst>
        <ext uri="{3e2802c4-a4d2-4d8b-9148-e3be6c30e623}">
          <xlrd:rvb i="12757"/>
        </ext>
      </extLst>
    </bk>
    <bk>
      <extLst>
        <ext uri="{3e2802c4-a4d2-4d8b-9148-e3be6c30e623}">
          <xlrd:rvb i="12758"/>
        </ext>
      </extLst>
    </bk>
    <bk>
      <extLst>
        <ext uri="{3e2802c4-a4d2-4d8b-9148-e3be6c30e623}">
          <xlrd:rvb i="12759"/>
        </ext>
      </extLst>
    </bk>
    <bk>
      <extLst>
        <ext uri="{3e2802c4-a4d2-4d8b-9148-e3be6c30e623}">
          <xlrd:rvb i="12760"/>
        </ext>
      </extLst>
    </bk>
    <bk>
      <extLst>
        <ext uri="{3e2802c4-a4d2-4d8b-9148-e3be6c30e623}">
          <xlrd:rvb i="12761"/>
        </ext>
      </extLst>
    </bk>
    <bk>
      <extLst>
        <ext uri="{3e2802c4-a4d2-4d8b-9148-e3be6c30e623}">
          <xlrd:rvb i="12762"/>
        </ext>
      </extLst>
    </bk>
    <bk>
      <extLst>
        <ext uri="{3e2802c4-a4d2-4d8b-9148-e3be6c30e623}">
          <xlrd:rvb i="12763"/>
        </ext>
      </extLst>
    </bk>
    <bk>
      <extLst>
        <ext uri="{3e2802c4-a4d2-4d8b-9148-e3be6c30e623}">
          <xlrd:rvb i="12764"/>
        </ext>
      </extLst>
    </bk>
    <bk>
      <extLst>
        <ext uri="{3e2802c4-a4d2-4d8b-9148-e3be6c30e623}">
          <xlrd:rvb i="12765"/>
        </ext>
      </extLst>
    </bk>
    <bk>
      <extLst>
        <ext uri="{3e2802c4-a4d2-4d8b-9148-e3be6c30e623}">
          <xlrd:rvb i="12766"/>
        </ext>
      </extLst>
    </bk>
    <bk>
      <extLst>
        <ext uri="{3e2802c4-a4d2-4d8b-9148-e3be6c30e623}">
          <xlrd:rvb i="12767"/>
        </ext>
      </extLst>
    </bk>
    <bk>
      <extLst>
        <ext uri="{3e2802c4-a4d2-4d8b-9148-e3be6c30e623}">
          <xlrd:rvb i="12768"/>
        </ext>
      </extLst>
    </bk>
    <bk>
      <extLst>
        <ext uri="{3e2802c4-a4d2-4d8b-9148-e3be6c30e623}">
          <xlrd:rvb i="12769"/>
        </ext>
      </extLst>
    </bk>
    <bk>
      <extLst>
        <ext uri="{3e2802c4-a4d2-4d8b-9148-e3be6c30e623}">
          <xlrd:rvb i="12770"/>
        </ext>
      </extLst>
    </bk>
    <bk>
      <extLst>
        <ext uri="{3e2802c4-a4d2-4d8b-9148-e3be6c30e623}">
          <xlrd:rvb i="12771"/>
        </ext>
      </extLst>
    </bk>
    <bk>
      <extLst>
        <ext uri="{3e2802c4-a4d2-4d8b-9148-e3be6c30e623}">
          <xlrd:rvb i="12772"/>
        </ext>
      </extLst>
    </bk>
    <bk>
      <extLst>
        <ext uri="{3e2802c4-a4d2-4d8b-9148-e3be6c30e623}">
          <xlrd:rvb i="12773"/>
        </ext>
      </extLst>
    </bk>
    <bk>
      <extLst>
        <ext uri="{3e2802c4-a4d2-4d8b-9148-e3be6c30e623}">
          <xlrd:rvb i="12774"/>
        </ext>
      </extLst>
    </bk>
    <bk>
      <extLst>
        <ext uri="{3e2802c4-a4d2-4d8b-9148-e3be6c30e623}">
          <xlrd:rvb i="12775"/>
        </ext>
      </extLst>
    </bk>
    <bk>
      <extLst>
        <ext uri="{3e2802c4-a4d2-4d8b-9148-e3be6c30e623}">
          <xlrd:rvb i="12776"/>
        </ext>
      </extLst>
    </bk>
    <bk>
      <extLst>
        <ext uri="{3e2802c4-a4d2-4d8b-9148-e3be6c30e623}">
          <xlrd:rvb i="12777"/>
        </ext>
      </extLst>
    </bk>
    <bk>
      <extLst>
        <ext uri="{3e2802c4-a4d2-4d8b-9148-e3be6c30e623}">
          <xlrd:rvb i="12778"/>
        </ext>
      </extLst>
    </bk>
    <bk>
      <extLst>
        <ext uri="{3e2802c4-a4d2-4d8b-9148-e3be6c30e623}">
          <xlrd:rvb i="12779"/>
        </ext>
      </extLst>
    </bk>
    <bk>
      <extLst>
        <ext uri="{3e2802c4-a4d2-4d8b-9148-e3be6c30e623}">
          <xlrd:rvb i="12780"/>
        </ext>
      </extLst>
    </bk>
    <bk>
      <extLst>
        <ext uri="{3e2802c4-a4d2-4d8b-9148-e3be6c30e623}">
          <xlrd:rvb i="12781"/>
        </ext>
      </extLst>
    </bk>
    <bk>
      <extLst>
        <ext uri="{3e2802c4-a4d2-4d8b-9148-e3be6c30e623}">
          <xlrd:rvb i="12782"/>
        </ext>
      </extLst>
    </bk>
    <bk>
      <extLst>
        <ext uri="{3e2802c4-a4d2-4d8b-9148-e3be6c30e623}">
          <xlrd:rvb i="12783"/>
        </ext>
      </extLst>
    </bk>
    <bk>
      <extLst>
        <ext uri="{3e2802c4-a4d2-4d8b-9148-e3be6c30e623}">
          <xlrd:rvb i="12784"/>
        </ext>
      </extLst>
    </bk>
    <bk>
      <extLst>
        <ext uri="{3e2802c4-a4d2-4d8b-9148-e3be6c30e623}">
          <xlrd:rvb i="12785"/>
        </ext>
      </extLst>
    </bk>
    <bk>
      <extLst>
        <ext uri="{3e2802c4-a4d2-4d8b-9148-e3be6c30e623}">
          <xlrd:rvb i="12786"/>
        </ext>
      </extLst>
    </bk>
    <bk>
      <extLst>
        <ext uri="{3e2802c4-a4d2-4d8b-9148-e3be6c30e623}">
          <xlrd:rvb i="12787"/>
        </ext>
      </extLst>
    </bk>
    <bk>
      <extLst>
        <ext uri="{3e2802c4-a4d2-4d8b-9148-e3be6c30e623}">
          <xlrd:rvb i="12788"/>
        </ext>
      </extLst>
    </bk>
    <bk>
      <extLst>
        <ext uri="{3e2802c4-a4d2-4d8b-9148-e3be6c30e623}">
          <xlrd:rvb i="12789"/>
        </ext>
      </extLst>
    </bk>
    <bk>
      <extLst>
        <ext uri="{3e2802c4-a4d2-4d8b-9148-e3be6c30e623}">
          <xlrd:rvb i="12790"/>
        </ext>
      </extLst>
    </bk>
    <bk>
      <extLst>
        <ext uri="{3e2802c4-a4d2-4d8b-9148-e3be6c30e623}">
          <xlrd:rvb i="12791"/>
        </ext>
      </extLst>
    </bk>
    <bk>
      <extLst>
        <ext uri="{3e2802c4-a4d2-4d8b-9148-e3be6c30e623}">
          <xlrd:rvb i="12792"/>
        </ext>
      </extLst>
    </bk>
    <bk>
      <extLst>
        <ext uri="{3e2802c4-a4d2-4d8b-9148-e3be6c30e623}">
          <xlrd:rvb i="12793"/>
        </ext>
      </extLst>
    </bk>
    <bk>
      <extLst>
        <ext uri="{3e2802c4-a4d2-4d8b-9148-e3be6c30e623}">
          <xlrd:rvb i="12794"/>
        </ext>
      </extLst>
    </bk>
    <bk>
      <extLst>
        <ext uri="{3e2802c4-a4d2-4d8b-9148-e3be6c30e623}">
          <xlrd:rvb i="12795"/>
        </ext>
      </extLst>
    </bk>
    <bk>
      <extLst>
        <ext uri="{3e2802c4-a4d2-4d8b-9148-e3be6c30e623}">
          <xlrd:rvb i="12796"/>
        </ext>
      </extLst>
    </bk>
    <bk>
      <extLst>
        <ext uri="{3e2802c4-a4d2-4d8b-9148-e3be6c30e623}">
          <xlrd:rvb i="12797"/>
        </ext>
      </extLst>
    </bk>
    <bk>
      <extLst>
        <ext uri="{3e2802c4-a4d2-4d8b-9148-e3be6c30e623}">
          <xlrd:rvb i="12798"/>
        </ext>
      </extLst>
    </bk>
    <bk>
      <extLst>
        <ext uri="{3e2802c4-a4d2-4d8b-9148-e3be6c30e623}">
          <xlrd:rvb i="12799"/>
        </ext>
      </extLst>
    </bk>
    <bk>
      <extLst>
        <ext uri="{3e2802c4-a4d2-4d8b-9148-e3be6c30e623}">
          <xlrd:rvb i="12800"/>
        </ext>
      </extLst>
    </bk>
    <bk>
      <extLst>
        <ext uri="{3e2802c4-a4d2-4d8b-9148-e3be6c30e623}">
          <xlrd:rvb i="12801"/>
        </ext>
      </extLst>
    </bk>
    <bk>
      <extLst>
        <ext uri="{3e2802c4-a4d2-4d8b-9148-e3be6c30e623}">
          <xlrd:rvb i="12802"/>
        </ext>
      </extLst>
    </bk>
    <bk>
      <extLst>
        <ext uri="{3e2802c4-a4d2-4d8b-9148-e3be6c30e623}">
          <xlrd:rvb i="12803"/>
        </ext>
      </extLst>
    </bk>
    <bk>
      <extLst>
        <ext uri="{3e2802c4-a4d2-4d8b-9148-e3be6c30e623}">
          <xlrd:rvb i="12804"/>
        </ext>
      </extLst>
    </bk>
    <bk>
      <extLst>
        <ext uri="{3e2802c4-a4d2-4d8b-9148-e3be6c30e623}">
          <xlrd:rvb i="12805"/>
        </ext>
      </extLst>
    </bk>
    <bk>
      <extLst>
        <ext uri="{3e2802c4-a4d2-4d8b-9148-e3be6c30e623}">
          <xlrd:rvb i="12806"/>
        </ext>
      </extLst>
    </bk>
    <bk>
      <extLst>
        <ext uri="{3e2802c4-a4d2-4d8b-9148-e3be6c30e623}">
          <xlrd:rvb i="12807"/>
        </ext>
      </extLst>
    </bk>
    <bk>
      <extLst>
        <ext uri="{3e2802c4-a4d2-4d8b-9148-e3be6c30e623}">
          <xlrd:rvb i="12808"/>
        </ext>
      </extLst>
    </bk>
    <bk>
      <extLst>
        <ext uri="{3e2802c4-a4d2-4d8b-9148-e3be6c30e623}">
          <xlrd:rvb i="12809"/>
        </ext>
      </extLst>
    </bk>
    <bk>
      <extLst>
        <ext uri="{3e2802c4-a4d2-4d8b-9148-e3be6c30e623}">
          <xlrd:rvb i="12810"/>
        </ext>
      </extLst>
    </bk>
    <bk>
      <extLst>
        <ext uri="{3e2802c4-a4d2-4d8b-9148-e3be6c30e623}">
          <xlrd:rvb i="12811"/>
        </ext>
      </extLst>
    </bk>
    <bk>
      <extLst>
        <ext uri="{3e2802c4-a4d2-4d8b-9148-e3be6c30e623}">
          <xlrd:rvb i="12812"/>
        </ext>
      </extLst>
    </bk>
    <bk>
      <extLst>
        <ext uri="{3e2802c4-a4d2-4d8b-9148-e3be6c30e623}">
          <xlrd:rvb i="12813"/>
        </ext>
      </extLst>
    </bk>
    <bk>
      <extLst>
        <ext uri="{3e2802c4-a4d2-4d8b-9148-e3be6c30e623}">
          <xlrd:rvb i="12814"/>
        </ext>
      </extLst>
    </bk>
    <bk>
      <extLst>
        <ext uri="{3e2802c4-a4d2-4d8b-9148-e3be6c30e623}">
          <xlrd:rvb i="12815"/>
        </ext>
      </extLst>
    </bk>
    <bk>
      <extLst>
        <ext uri="{3e2802c4-a4d2-4d8b-9148-e3be6c30e623}">
          <xlrd:rvb i="12816"/>
        </ext>
      </extLst>
    </bk>
    <bk>
      <extLst>
        <ext uri="{3e2802c4-a4d2-4d8b-9148-e3be6c30e623}">
          <xlrd:rvb i="12817"/>
        </ext>
      </extLst>
    </bk>
    <bk>
      <extLst>
        <ext uri="{3e2802c4-a4d2-4d8b-9148-e3be6c30e623}">
          <xlrd:rvb i="12818"/>
        </ext>
      </extLst>
    </bk>
    <bk>
      <extLst>
        <ext uri="{3e2802c4-a4d2-4d8b-9148-e3be6c30e623}">
          <xlrd:rvb i="12819"/>
        </ext>
      </extLst>
    </bk>
    <bk>
      <extLst>
        <ext uri="{3e2802c4-a4d2-4d8b-9148-e3be6c30e623}">
          <xlrd:rvb i="12820"/>
        </ext>
      </extLst>
    </bk>
    <bk>
      <extLst>
        <ext uri="{3e2802c4-a4d2-4d8b-9148-e3be6c30e623}">
          <xlrd:rvb i="12821"/>
        </ext>
      </extLst>
    </bk>
    <bk>
      <extLst>
        <ext uri="{3e2802c4-a4d2-4d8b-9148-e3be6c30e623}">
          <xlrd:rvb i="12822"/>
        </ext>
      </extLst>
    </bk>
    <bk>
      <extLst>
        <ext uri="{3e2802c4-a4d2-4d8b-9148-e3be6c30e623}">
          <xlrd:rvb i="12823"/>
        </ext>
      </extLst>
    </bk>
    <bk>
      <extLst>
        <ext uri="{3e2802c4-a4d2-4d8b-9148-e3be6c30e623}">
          <xlrd:rvb i="12824"/>
        </ext>
      </extLst>
    </bk>
    <bk>
      <extLst>
        <ext uri="{3e2802c4-a4d2-4d8b-9148-e3be6c30e623}">
          <xlrd:rvb i="12825"/>
        </ext>
      </extLst>
    </bk>
    <bk>
      <extLst>
        <ext uri="{3e2802c4-a4d2-4d8b-9148-e3be6c30e623}">
          <xlrd:rvb i="12826"/>
        </ext>
      </extLst>
    </bk>
    <bk>
      <extLst>
        <ext uri="{3e2802c4-a4d2-4d8b-9148-e3be6c30e623}">
          <xlrd:rvb i="12827"/>
        </ext>
      </extLst>
    </bk>
    <bk>
      <extLst>
        <ext uri="{3e2802c4-a4d2-4d8b-9148-e3be6c30e623}">
          <xlrd:rvb i="12828"/>
        </ext>
      </extLst>
    </bk>
    <bk>
      <extLst>
        <ext uri="{3e2802c4-a4d2-4d8b-9148-e3be6c30e623}">
          <xlrd:rvb i="12829"/>
        </ext>
      </extLst>
    </bk>
    <bk>
      <extLst>
        <ext uri="{3e2802c4-a4d2-4d8b-9148-e3be6c30e623}">
          <xlrd:rvb i="12830"/>
        </ext>
      </extLst>
    </bk>
    <bk>
      <extLst>
        <ext uri="{3e2802c4-a4d2-4d8b-9148-e3be6c30e623}">
          <xlrd:rvb i="12831"/>
        </ext>
      </extLst>
    </bk>
    <bk>
      <extLst>
        <ext uri="{3e2802c4-a4d2-4d8b-9148-e3be6c30e623}">
          <xlrd:rvb i="12832"/>
        </ext>
      </extLst>
    </bk>
    <bk>
      <extLst>
        <ext uri="{3e2802c4-a4d2-4d8b-9148-e3be6c30e623}">
          <xlrd:rvb i="12833"/>
        </ext>
      </extLst>
    </bk>
    <bk>
      <extLst>
        <ext uri="{3e2802c4-a4d2-4d8b-9148-e3be6c30e623}">
          <xlrd:rvb i="12834"/>
        </ext>
      </extLst>
    </bk>
    <bk>
      <extLst>
        <ext uri="{3e2802c4-a4d2-4d8b-9148-e3be6c30e623}">
          <xlrd:rvb i="12835"/>
        </ext>
      </extLst>
    </bk>
    <bk>
      <extLst>
        <ext uri="{3e2802c4-a4d2-4d8b-9148-e3be6c30e623}">
          <xlrd:rvb i="12836"/>
        </ext>
      </extLst>
    </bk>
    <bk>
      <extLst>
        <ext uri="{3e2802c4-a4d2-4d8b-9148-e3be6c30e623}">
          <xlrd:rvb i="12837"/>
        </ext>
      </extLst>
    </bk>
    <bk>
      <extLst>
        <ext uri="{3e2802c4-a4d2-4d8b-9148-e3be6c30e623}">
          <xlrd:rvb i="12838"/>
        </ext>
      </extLst>
    </bk>
    <bk>
      <extLst>
        <ext uri="{3e2802c4-a4d2-4d8b-9148-e3be6c30e623}">
          <xlrd:rvb i="12839"/>
        </ext>
      </extLst>
    </bk>
    <bk>
      <extLst>
        <ext uri="{3e2802c4-a4d2-4d8b-9148-e3be6c30e623}">
          <xlrd:rvb i="12840"/>
        </ext>
      </extLst>
    </bk>
    <bk>
      <extLst>
        <ext uri="{3e2802c4-a4d2-4d8b-9148-e3be6c30e623}">
          <xlrd:rvb i="12841"/>
        </ext>
      </extLst>
    </bk>
    <bk>
      <extLst>
        <ext uri="{3e2802c4-a4d2-4d8b-9148-e3be6c30e623}">
          <xlrd:rvb i="12842"/>
        </ext>
      </extLst>
    </bk>
    <bk>
      <extLst>
        <ext uri="{3e2802c4-a4d2-4d8b-9148-e3be6c30e623}">
          <xlrd:rvb i="12843"/>
        </ext>
      </extLst>
    </bk>
    <bk>
      <extLst>
        <ext uri="{3e2802c4-a4d2-4d8b-9148-e3be6c30e623}">
          <xlrd:rvb i="12844"/>
        </ext>
      </extLst>
    </bk>
    <bk>
      <extLst>
        <ext uri="{3e2802c4-a4d2-4d8b-9148-e3be6c30e623}">
          <xlrd:rvb i="12845"/>
        </ext>
      </extLst>
    </bk>
    <bk>
      <extLst>
        <ext uri="{3e2802c4-a4d2-4d8b-9148-e3be6c30e623}">
          <xlrd:rvb i="12846"/>
        </ext>
      </extLst>
    </bk>
    <bk>
      <extLst>
        <ext uri="{3e2802c4-a4d2-4d8b-9148-e3be6c30e623}">
          <xlrd:rvb i="12847"/>
        </ext>
      </extLst>
    </bk>
    <bk>
      <extLst>
        <ext uri="{3e2802c4-a4d2-4d8b-9148-e3be6c30e623}">
          <xlrd:rvb i="12848"/>
        </ext>
      </extLst>
    </bk>
    <bk>
      <extLst>
        <ext uri="{3e2802c4-a4d2-4d8b-9148-e3be6c30e623}">
          <xlrd:rvb i="12849"/>
        </ext>
      </extLst>
    </bk>
    <bk>
      <extLst>
        <ext uri="{3e2802c4-a4d2-4d8b-9148-e3be6c30e623}">
          <xlrd:rvb i="12850"/>
        </ext>
      </extLst>
    </bk>
    <bk>
      <extLst>
        <ext uri="{3e2802c4-a4d2-4d8b-9148-e3be6c30e623}">
          <xlrd:rvb i="12851"/>
        </ext>
      </extLst>
    </bk>
    <bk>
      <extLst>
        <ext uri="{3e2802c4-a4d2-4d8b-9148-e3be6c30e623}">
          <xlrd:rvb i="12852"/>
        </ext>
      </extLst>
    </bk>
    <bk>
      <extLst>
        <ext uri="{3e2802c4-a4d2-4d8b-9148-e3be6c30e623}">
          <xlrd:rvb i="12853"/>
        </ext>
      </extLst>
    </bk>
    <bk>
      <extLst>
        <ext uri="{3e2802c4-a4d2-4d8b-9148-e3be6c30e623}">
          <xlrd:rvb i="12854"/>
        </ext>
      </extLst>
    </bk>
    <bk>
      <extLst>
        <ext uri="{3e2802c4-a4d2-4d8b-9148-e3be6c30e623}">
          <xlrd:rvb i="12855"/>
        </ext>
      </extLst>
    </bk>
    <bk>
      <extLst>
        <ext uri="{3e2802c4-a4d2-4d8b-9148-e3be6c30e623}">
          <xlrd:rvb i="12856"/>
        </ext>
      </extLst>
    </bk>
    <bk>
      <extLst>
        <ext uri="{3e2802c4-a4d2-4d8b-9148-e3be6c30e623}">
          <xlrd:rvb i="12857"/>
        </ext>
      </extLst>
    </bk>
    <bk>
      <extLst>
        <ext uri="{3e2802c4-a4d2-4d8b-9148-e3be6c30e623}">
          <xlrd:rvb i="12858"/>
        </ext>
      </extLst>
    </bk>
    <bk>
      <extLst>
        <ext uri="{3e2802c4-a4d2-4d8b-9148-e3be6c30e623}">
          <xlrd:rvb i="12859"/>
        </ext>
      </extLst>
    </bk>
    <bk>
      <extLst>
        <ext uri="{3e2802c4-a4d2-4d8b-9148-e3be6c30e623}">
          <xlrd:rvb i="12860"/>
        </ext>
      </extLst>
    </bk>
    <bk>
      <extLst>
        <ext uri="{3e2802c4-a4d2-4d8b-9148-e3be6c30e623}">
          <xlrd:rvb i="12861"/>
        </ext>
      </extLst>
    </bk>
    <bk>
      <extLst>
        <ext uri="{3e2802c4-a4d2-4d8b-9148-e3be6c30e623}">
          <xlrd:rvb i="12862"/>
        </ext>
      </extLst>
    </bk>
    <bk>
      <extLst>
        <ext uri="{3e2802c4-a4d2-4d8b-9148-e3be6c30e623}">
          <xlrd:rvb i="12863"/>
        </ext>
      </extLst>
    </bk>
    <bk>
      <extLst>
        <ext uri="{3e2802c4-a4d2-4d8b-9148-e3be6c30e623}">
          <xlrd:rvb i="12864"/>
        </ext>
      </extLst>
    </bk>
    <bk>
      <extLst>
        <ext uri="{3e2802c4-a4d2-4d8b-9148-e3be6c30e623}">
          <xlrd:rvb i="12865"/>
        </ext>
      </extLst>
    </bk>
    <bk>
      <extLst>
        <ext uri="{3e2802c4-a4d2-4d8b-9148-e3be6c30e623}">
          <xlrd:rvb i="12866"/>
        </ext>
      </extLst>
    </bk>
    <bk>
      <extLst>
        <ext uri="{3e2802c4-a4d2-4d8b-9148-e3be6c30e623}">
          <xlrd:rvb i="12867"/>
        </ext>
      </extLst>
    </bk>
    <bk>
      <extLst>
        <ext uri="{3e2802c4-a4d2-4d8b-9148-e3be6c30e623}">
          <xlrd:rvb i="12868"/>
        </ext>
      </extLst>
    </bk>
    <bk>
      <extLst>
        <ext uri="{3e2802c4-a4d2-4d8b-9148-e3be6c30e623}">
          <xlrd:rvb i="12869"/>
        </ext>
      </extLst>
    </bk>
    <bk>
      <extLst>
        <ext uri="{3e2802c4-a4d2-4d8b-9148-e3be6c30e623}">
          <xlrd:rvb i="12870"/>
        </ext>
      </extLst>
    </bk>
    <bk>
      <extLst>
        <ext uri="{3e2802c4-a4d2-4d8b-9148-e3be6c30e623}">
          <xlrd:rvb i="12871"/>
        </ext>
      </extLst>
    </bk>
    <bk>
      <extLst>
        <ext uri="{3e2802c4-a4d2-4d8b-9148-e3be6c30e623}">
          <xlrd:rvb i="12872"/>
        </ext>
      </extLst>
    </bk>
    <bk>
      <extLst>
        <ext uri="{3e2802c4-a4d2-4d8b-9148-e3be6c30e623}">
          <xlrd:rvb i="12873"/>
        </ext>
      </extLst>
    </bk>
    <bk>
      <extLst>
        <ext uri="{3e2802c4-a4d2-4d8b-9148-e3be6c30e623}">
          <xlrd:rvb i="12874"/>
        </ext>
      </extLst>
    </bk>
    <bk>
      <extLst>
        <ext uri="{3e2802c4-a4d2-4d8b-9148-e3be6c30e623}">
          <xlrd:rvb i="12875"/>
        </ext>
      </extLst>
    </bk>
    <bk>
      <extLst>
        <ext uri="{3e2802c4-a4d2-4d8b-9148-e3be6c30e623}">
          <xlrd:rvb i="12876"/>
        </ext>
      </extLst>
    </bk>
    <bk>
      <extLst>
        <ext uri="{3e2802c4-a4d2-4d8b-9148-e3be6c30e623}">
          <xlrd:rvb i="12877"/>
        </ext>
      </extLst>
    </bk>
    <bk>
      <extLst>
        <ext uri="{3e2802c4-a4d2-4d8b-9148-e3be6c30e623}">
          <xlrd:rvb i="12878"/>
        </ext>
      </extLst>
    </bk>
    <bk>
      <extLst>
        <ext uri="{3e2802c4-a4d2-4d8b-9148-e3be6c30e623}">
          <xlrd:rvb i="12879"/>
        </ext>
      </extLst>
    </bk>
    <bk>
      <extLst>
        <ext uri="{3e2802c4-a4d2-4d8b-9148-e3be6c30e623}">
          <xlrd:rvb i="12880"/>
        </ext>
      </extLst>
    </bk>
    <bk>
      <extLst>
        <ext uri="{3e2802c4-a4d2-4d8b-9148-e3be6c30e623}">
          <xlrd:rvb i="12881"/>
        </ext>
      </extLst>
    </bk>
    <bk>
      <extLst>
        <ext uri="{3e2802c4-a4d2-4d8b-9148-e3be6c30e623}">
          <xlrd:rvb i="12882"/>
        </ext>
      </extLst>
    </bk>
    <bk>
      <extLst>
        <ext uri="{3e2802c4-a4d2-4d8b-9148-e3be6c30e623}">
          <xlrd:rvb i="12883"/>
        </ext>
      </extLst>
    </bk>
    <bk>
      <extLst>
        <ext uri="{3e2802c4-a4d2-4d8b-9148-e3be6c30e623}">
          <xlrd:rvb i="12884"/>
        </ext>
      </extLst>
    </bk>
    <bk>
      <extLst>
        <ext uri="{3e2802c4-a4d2-4d8b-9148-e3be6c30e623}">
          <xlrd:rvb i="12885"/>
        </ext>
      </extLst>
    </bk>
    <bk>
      <extLst>
        <ext uri="{3e2802c4-a4d2-4d8b-9148-e3be6c30e623}">
          <xlrd:rvb i="12886"/>
        </ext>
      </extLst>
    </bk>
    <bk>
      <extLst>
        <ext uri="{3e2802c4-a4d2-4d8b-9148-e3be6c30e623}">
          <xlrd:rvb i="12887"/>
        </ext>
      </extLst>
    </bk>
    <bk>
      <extLst>
        <ext uri="{3e2802c4-a4d2-4d8b-9148-e3be6c30e623}">
          <xlrd:rvb i="12888"/>
        </ext>
      </extLst>
    </bk>
    <bk>
      <extLst>
        <ext uri="{3e2802c4-a4d2-4d8b-9148-e3be6c30e623}">
          <xlrd:rvb i="12889"/>
        </ext>
      </extLst>
    </bk>
    <bk>
      <extLst>
        <ext uri="{3e2802c4-a4d2-4d8b-9148-e3be6c30e623}">
          <xlrd:rvb i="12890"/>
        </ext>
      </extLst>
    </bk>
    <bk>
      <extLst>
        <ext uri="{3e2802c4-a4d2-4d8b-9148-e3be6c30e623}">
          <xlrd:rvb i="12891"/>
        </ext>
      </extLst>
    </bk>
    <bk>
      <extLst>
        <ext uri="{3e2802c4-a4d2-4d8b-9148-e3be6c30e623}">
          <xlrd:rvb i="12892"/>
        </ext>
      </extLst>
    </bk>
    <bk>
      <extLst>
        <ext uri="{3e2802c4-a4d2-4d8b-9148-e3be6c30e623}">
          <xlrd:rvb i="12893"/>
        </ext>
      </extLst>
    </bk>
    <bk>
      <extLst>
        <ext uri="{3e2802c4-a4d2-4d8b-9148-e3be6c30e623}">
          <xlrd:rvb i="12894"/>
        </ext>
      </extLst>
    </bk>
    <bk>
      <extLst>
        <ext uri="{3e2802c4-a4d2-4d8b-9148-e3be6c30e623}">
          <xlrd:rvb i="12895"/>
        </ext>
      </extLst>
    </bk>
    <bk>
      <extLst>
        <ext uri="{3e2802c4-a4d2-4d8b-9148-e3be6c30e623}">
          <xlrd:rvb i="12896"/>
        </ext>
      </extLst>
    </bk>
    <bk>
      <extLst>
        <ext uri="{3e2802c4-a4d2-4d8b-9148-e3be6c30e623}">
          <xlrd:rvb i="12897"/>
        </ext>
      </extLst>
    </bk>
    <bk>
      <extLst>
        <ext uri="{3e2802c4-a4d2-4d8b-9148-e3be6c30e623}">
          <xlrd:rvb i="12898"/>
        </ext>
      </extLst>
    </bk>
    <bk>
      <extLst>
        <ext uri="{3e2802c4-a4d2-4d8b-9148-e3be6c30e623}">
          <xlrd:rvb i="12899"/>
        </ext>
      </extLst>
    </bk>
    <bk>
      <extLst>
        <ext uri="{3e2802c4-a4d2-4d8b-9148-e3be6c30e623}">
          <xlrd:rvb i="12900"/>
        </ext>
      </extLst>
    </bk>
    <bk>
      <extLst>
        <ext uri="{3e2802c4-a4d2-4d8b-9148-e3be6c30e623}">
          <xlrd:rvb i="12901"/>
        </ext>
      </extLst>
    </bk>
    <bk>
      <extLst>
        <ext uri="{3e2802c4-a4d2-4d8b-9148-e3be6c30e623}">
          <xlrd:rvb i="12902"/>
        </ext>
      </extLst>
    </bk>
    <bk>
      <extLst>
        <ext uri="{3e2802c4-a4d2-4d8b-9148-e3be6c30e623}">
          <xlrd:rvb i="12903"/>
        </ext>
      </extLst>
    </bk>
    <bk>
      <extLst>
        <ext uri="{3e2802c4-a4d2-4d8b-9148-e3be6c30e623}">
          <xlrd:rvb i="12904"/>
        </ext>
      </extLst>
    </bk>
    <bk>
      <extLst>
        <ext uri="{3e2802c4-a4d2-4d8b-9148-e3be6c30e623}">
          <xlrd:rvb i="12905"/>
        </ext>
      </extLst>
    </bk>
    <bk>
      <extLst>
        <ext uri="{3e2802c4-a4d2-4d8b-9148-e3be6c30e623}">
          <xlrd:rvb i="12906"/>
        </ext>
      </extLst>
    </bk>
    <bk>
      <extLst>
        <ext uri="{3e2802c4-a4d2-4d8b-9148-e3be6c30e623}">
          <xlrd:rvb i="12907"/>
        </ext>
      </extLst>
    </bk>
    <bk>
      <extLst>
        <ext uri="{3e2802c4-a4d2-4d8b-9148-e3be6c30e623}">
          <xlrd:rvb i="12908"/>
        </ext>
      </extLst>
    </bk>
    <bk>
      <extLst>
        <ext uri="{3e2802c4-a4d2-4d8b-9148-e3be6c30e623}">
          <xlrd:rvb i="12909"/>
        </ext>
      </extLst>
    </bk>
    <bk>
      <extLst>
        <ext uri="{3e2802c4-a4d2-4d8b-9148-e3be6c30e623}">
          <xlrd:rvb i="12910"/>
        </ext>
      </extLst>
    </bk>
    <bk>
      <extLst>
        <ext uri="{3e2802c4-a4d2-4d8b-9148-e3be6c30e623}">
          <xlrd:rvb i="12911"/>
        </ext>
      </extLst>
    </bk>
    <bk>
      <extLst>
        <ext uri="{3e2802c4-a4d2-4d8b-9148-e3be6c30e623}">
          <xlrd:rvb i="12912"/>
        </ext>
      </extLst>
    </bk>
    <bk>
      <extLst>
        <ext uri="{3e2802c4-a4d2-4d8b-9148-e3be6c30e623}">
          <xlrd:rvb i="12913"/>
        </ext>
      </extLst>
    </bk>
    <bk>
      <extLst>
        <ext uri="{3e2802c4-a4d2-4d8b-9148-e3be6c30e623}">
          <xlrd:rvb i="12914"/>
        </ext>
      </extLst>
    </bk>
    <bk>
      <extLst>
        <ext uri="{3e2802c4-a4d2-4d8b-9148-e3be6c30e623}">
          <xlrd:rvb i="12915"/>
        </ext>
      </extLst>
    </bk>
    <bk>
      <extLst>
        <ext uri="{3e2802c4-a4d2-4d8b-9148-e3be6c30e623}">
          <xlrd:rvb i="12916"/>
        </ext>
      </extLst>
    </bk>
    <bk>
      <extLst>
        <ext uri="{3e2802c4-a4d2-4d8b-9148-e3be6c30e623}">
          <xlrd:rvb i="12917"/>
        </ext>
      </extLst>
    </bk>
    <bk>
      <extLst>
        <ext uri="{3e2802c4-a4d2-4d8b-9148-e3be6c30e623}">
          <xlrd:rvb i="12918"/>
        </ext>
      </extLst>
    </bk>
    <bk>
      <extLst>
        <ext uri="{3e2802c4-a4d2-4d8b-9148-e3be6c30e623}">
          <xlrd:rvb i="12919"/>
        </ext>
      </extLst>
    </bk>
    <bk>
      <extLst>
        <ext uri="{3e2802c4-a4d2-4d8b-9148-e3be6c30e623}">
          <xlrd:rvb i="12920"/>
        </ext>
      </extLst>
    </bk>
    <bk>
      <extLst>
        <ext uri="{3e2802c4-a4d2-4d8b-9148-e3be6c30e623}">
          <xlrd:rvb i="12921"/>
        </ext>
      </extLst>
    </bk>
    <bk>
      <extLst>
        <ext uri="{3e2802c4-a4d2-4d8b-9148-e3be6c30e623}">
          <xlrd:rvb i="12922"/>
        </ext>
      </extLst>
    </bk>
    <bk>
      <extLst>
        <ext uri="{3e2802c4-a4d2-4d8b-9148-e3be6c30e623}">
          <xlrd:rvb i="12923"/>
        </ext>
      </extLst>
    </bk>
    <bk>
      <extLst>
        <ext uri="{3e2802c4-a4d2-4d8b-9148-e3be6c30e623}">
          <xlrd:rvb i="12924"/>
        </ext>
      </extLst>
    </bk>
    <bk>
      <extLst>
        <ext uri="{3e2802c4-a4d2-4d8b-9148-e3be6c30e623}">
          <xlrd:rvb i="12925"/>
        </ext>
      </extLst>
    </bk>
    <bk>
      <extLst>
        <ext uri="{3e2802c4-a4d2-4d8b-9148-e3be6c30e623}">
          <xlrd:rvb i="12926"/>
        </ext>
      </extLst>
    </bk>
    <bk>
      <extLst>
        <ext uri="{3e2802c4-a4d2-4d8b-9148-e3be6c30e623}">
          <xlrd:rvb i="12927"/>
        </ext>
      </extLst>
    </bk>
    <bk>
      <extLst>
        <ext uri="{3e2802c4-a4d2-4d8b-9148-e3be6c30e623}">
          <xlrd:rvb i="12928"/>
        </ext>
      </extLst>
    </bk>
    <bk>
      <extLst>
        <ext uri="{3e2802c4-a4d2-4d8b-9148-e3be6c30e623}">
          <xlrd:rvb i="12929"/>
        </ext>
      </extLst>
    </bk>
    <bk>
      <extLst>
        <ext uri="{3e2802c4-a4d2-4d8b-9148-e3be6c30e623}">
          <xlrd:rvb i="12930"/>
        </ext>
      </extLst>
    </bk>
    <bk>
      <extLst>
        <ext uri="{3e2802c4-a4d2-4d8b-9148-e3be6c30e623}">
          <xlrd:rvb i="12931"/>
        </ext>
      </extLst>
    </bk>
    <bk>
      <extLst>
        <ext uri="{3e2802c4-a4d2-4d8b-9148-e3be6c30e623}">
          <xlrd:rvb i="12932"/>
        </ext>
      </extLst>
    </bk>
    <bk>
      <extLst>
        <ext uri="{3e2802c4-a4d2-4d8b-9148-e3be6c30e623}">
          <xlrd:rvb i="12933"/>
        </ext>
      </extLst>
    </bk>
    <bk>
      <extLst>
        <ext uri="{3e2802c4-a4d2-4d8b-9148-e3be6c30e623}">
          <xlrd:rvb i="12934"/>
        </ext>
      </extLst>
    </bk>
    <bk>
      <extLst>
        <ext uri="{3e2802c4-a4d2-4d8b-9148-e3be6c30e623}">
          <xlrd:rvb i="12935"/>
        </ext>
      </extLst>
    </bk>
    <bk>
      <extLst>
        <ext uri="{3e2802c4-a4d2-4d8b-9148-e3be6c30e623}">
          <xlrd:rvb i="12936"/>
        </ext>
      </extLst>
    </bk>
    <bk>
      <extLst>
        <ext uri="{3e2802c4-a4d2-4d8b-9148-e3be6c30e623}">
          <xlrd:rvb i="12937"/>
        </ext>
      </extLst>
    </bk>
    <bk>
      <extLst>
        <ext uri="{3e2802c4-a4d2-4d8b-9148-e3be6c30e623}">
          <xlrd:rvb i="12938"/>
        </ext>
      </extLst>
    </bk>
    <bk>
      <extLst>
        <ext uri="{3e2802c4-a4d2-4d8b-9148-e3be6c30e623}">
          <xlrd:rvb i="12939"/>
        </ext>
      </extLst>
    </bk>
    <bk>
      <extLst>
        <ext uri="{3e2802c4-a4d2-4d8b-9148-e3be6c30e623}">
          <xlrd:rvb i="12940"/>
        </ext>
      </extLst>
    </bk>
    <bk>
      <extLst>
        <ext uri="{3e2802c4-a4d2-4d8b-9148-e3be6c30e623}">
          <xlrd:rvb i="12941"/>
        </ext>
      </extLst>
    </bk>
    <bk>
      <extLst>
        <ext uri="{3e2802c4-a4d2-4d8b-9148-e3be6c30e623}">
          <xlrd:rvb i="12942"/>
        </ext>
      </extLst>
    </bk>
    <bk>
      <extLst>
        <ext uri="{3e2802c4-a4d2-4d8b-9148-e3be6c30e623}">
          <xlrd:rvb i="12943"/>
        </ext>
      </extLst>
    </bk>
    <bk>
      <extLst>
        <ext uri="{3e2802c4-a4d2-4d8b-9148-e3be6c30e623}">
          <xlrd:rvb i="12944"/>
        </ext>
      </extLst>
    </bk>
    <bk>
      <extLst>
        <ext uri="{3e2802c4-a4d2-4d8b-9148-e3be6c30e623}">
          <xlrd:rvb i="12945"/>
        </ext>
      </extLst>
    </bk>
    <bk>
      <extLst>
        <ext uri="{3e2802c4-a4d2-4d8b-9148-e3be6c30e623}">
          <xlrd:rvb i="12946"/>
        </ext>
      </extLst>
    </bk>
    <bk>
      <extLst>
        <ext uri="{3e2802c4-a4d2-4d8b-9148-e3be6c30e623}">
          <xlrd:rvb i="12947"/>
        </ext>
      </extLst>
    </bk>
    <bk>
      <extLst>
        <ext uri="{3e2802c4-a4d2-4d8b-9148-e3be6c30e623}">
          <xlrd:rvb i="12948"/>
        </ext>
      </extLst>
    </bk>
    <bk>
      <extLst>
        <ext uri="{3e2802c4-a4d2-4d8b-9148-e3be6c30e623}">
          <xlrd:rvb i="12949"/>
        </ext>
      </extLst>
    </bk>
    <bk>
      <extLst>
        <ext uri="{3e2802c4-a4d2-4d8b-9148-e3be6c30e623}">
          <xlrd:rvb i="12950"/>
        </ext>
      </extLst>
    </bk>
    <bk>
      <extLst>
        <ext uri="{3e2802c4-a4d2-4d8b-9148-e3be6c30e623}">
          <xlrd:rvb i="12951"/>
        </ext>
      </extLst>
    </bk>
    <bk>
      <extLst>
        <ext uri="{3e2802c4-a4d2-4d8b-9148-e3be6c30e623}">
          <xlrd:rvb i="12952"/>
        </ext>
      </extLst>
    </bk>
    <bk>
      <extLst>
        <ext uri="{3e2802c4-a4d2-4d8b-9148-e3be6c30e623}">
          <xlrd:rvb i="12953"/>
        </ext>
      </extLst>
    </bk>
    <bk>
      <extLst>
        <ext uri="{3e2802c4-a4d2-4d8b-9148-e3be6c30e623}">
          <xlrd:rvb i="12954"/>
        </ext>
      </extLst>
    </bk>
    <bk>
      <extLst>
        <ext uri="{3e2802c4-a4d2-4d8b-9148-e3be6c30e623}">
          <xlrd:rvb i="12955"/>
        </ext>
      </extLst>
    </bk>
    <bk>
      <extLst>
        <ext uri="{3e2802c4-a4d2-4d8b-9148-e3be6c30e623}">
          <xlrd:rvb i="12956"/>
        </ext>
      </extLst>
    </bk>
    <bk>
      <extLst>
        <ext uri="{3e2802c4-a4d2-4d8b-9148-e3be6c30e623}">
          <xlrd:rvb i="12957"/>
        </ext>
      </extLst>
    </bk>
    <bk>
      <extLst>
        <ext uri="{3e2802c4-a4d2-4d8b-9148-e3be6c30e623}">
          <xlrd:rvb i="12958"/>
        </ext>
      </extLst>
    </bk>
    <bk>
      <extLst>
        <ext uri="{3e2802c4-a4d2-4d8b-9148-e3be6c30e623}">
          <xlrd:rvb i="12959"/>
        </ext>
      </extLst>
    </bk>
    <bk>
      <extLst>
        <ext uri="{3e2802c4-a4d2-4d8b-9148-e3be6c30e623}">
          <xlrd:rvb i="12960"/>
        </ext>
      </extLst>
    </bk>
    <bk>
      <extLst>
        <ext uri="{3e2802c4-a4d2-4d8b-9148-e3be6c30e623}">
          <xlrd:rvb i="12961"/>
        </ext>
      </extLst>
    </bk>
    <bk>
      <extLst>
        <ext uri="{3e2802c4-a4d2-4d8b-9148-e3be6c30e623}">
          <xlrd:rvb i="12962"/>
        </ext>
      </extLst>
    </bk>
    <bk>
      <extLst>
        <ext uri="{3e2802c4-a4d2-4d8b-9148-e3be6c30e623}">
          <xlrd:rvb i="12963"/>
        </ext>
      </extLst>
    </bk>
    <bk>
      <extLst>
        <ext uri="{3e2802c4-a4d2-4d8b-9148-e3be6c30e623}">
          <xlrd:rvb i="12964"/>
        </ext>
      </extLst>
    </bk>
    <bk>
      <extLst>
        <ext uri="{3e2802c4-a4d2-4d8b-9148-e3be6c30e623}">
          <xlrd:rvb i="12965"/>
        </ext>
      </extLst>
    </bk>
    <bk>
      <extLst>
        <ext uri="{3e2802c4-a4d2-4d8b-9148-e3be6c30e623}">
          <xlrd:rvb i="12966"/>
        </ext>
      </extLst>
    </bk>
    <bk>
      <extLst>
        <ext uri="{3e2802c4-a4d2-4d8b-9148-e3be6c30e623}">
          <xlrd:rvb i="12967"/>
        </ext>
      </extLst>
    </bk>
    <bk>
      <extLst>
        <ext uri="{3e2802c4-a4d2-4d8b-9148-e3be6c30e623}">
          <xlrd:rvb i="12968"/>
        </ext>
      </extLst>
    </bk>
    <bk>
      <extLst>
        <ext uri="{3e2802c4-a4d2-4d8b-9148-e3be6c30e623}">
          <xlrd:rvb i="12969"/>
        </ext>
      </extLst>
    </bk>
    <bk>
      <extLst>
        <ext uri="{3e2802c4-a4d2-4d8b-9148-e3be6c30e623}">
          <xlrd:rvb i="12970"/>
        </ext>
      </extLst>
    </bk>
    <bk>
      <extLst>
        <ext uri="{3e2802c4-a4d2-4d8b-9148-e3be6c30e623}">
          <xlrd:rvb i="12971"/>
        </ext>
      </extLst>
    </bk>
    <bk>
      <extLst>
        <ext uri="{3e2802c4-a4d2-4d8b-9148-e3be6c30e623}">
          <xlrd:rvb i="12972"/>
        </ext>
      </extLst>
    </bk>
    <bk>
      <extLst>
        <ext uri="{3e2802c4-a4d2-4d8b-9148-e3be6c30e623}">
          <xlrd:rvb i="12973"/>
        </ext>
      </extLst>
    </bk>
    <bk>
      <extLst>
        <ext uri="{3e2802c4-a4d2-4d8b-9148-e3be6c30e623}">
          <xlrd:rvb i="12974"/>
        </ext>
      </extLst>
    </bk>
    <bk>
      <extLst>
        <ext uri="{3e2802c4-a4d2-4d8b-9148-e3be6c30e623}">
          <xlrd:rvb i="12975"/>
        </ext>
      </extLst>
    </bk>
    <bk>
      <extLst>
        <ext uri="{3e2802c4-a4d2-4d8b-9148-e3be6c30e623}">
          <xlrd:rvb i="12976"/>
        </ext>
      </extLst>
    </bk>
    <bk>
      <extLst>
        <ext uri="{3e2802c4-a4d2-4d8b-9148-e3be6c30e623}">
          <xlrd:rvb i="12977"/>
        </ext>
      </extLst>
    </bk>
    <bk>
      <extLst>
        <ext uri="{3e2802c4-a4d2-4d8b-9148-e3be6c30e623}">
          <xlrd:rvb i="12978"/>
        </ext>
      </extLst>
    </bk>
    <bk>
      <extLst>
        <ext uri="{3e2802c4-a4d2-4d8b-9148-e3be6c30e623}">
          <xlrd:rvb i="12979"/>
        </ext>
      </extLst>
    </bk>
    <bk>
      <extLst>
        <ext uri="{3e2802c4-a4d2-4d8b-9148-e3be6c30e623}">
          <xlrd:rvb i="12980"/>
        </ext>
      </extLst>
    </bk>
    <bk>
      <extLst>
        <ext uri="{3e2802c4-a4d2-4d8b-9148-e3be6c30e623}">
          <xlrd:rvb i="12981"/>
        </ext>
      </extLst>
    </bk>
    <bk>
      <extLst>
        <ext uri="{3e2802c4-a4d2-4d8b-9148-e3be6c30e623}">
          <xlrd:rvb i="12982"/>
        </ext>
      </extLst>
    </bk>
    <bk>
      <extLst>
        <ext uri="{3e2802c4-a4d2-4d8b-9148-e3be6c30e623}">
          <xlrd:rvb i="12983"/>
        </ext>
      </extLst>
    </bk>
    <bk>
      <extLst>
        <ext uri="{3e2802c4-a4d2-4d8b-9148-e3be6c30e623}">
          <xlrd:rvb i="12984"/>
        </ext>
      </extLst>
    </bk>
    <bk>
      <extLst>
        <ext uri="{3e2802c4-a4d2-4d8b-9148-e3be6c30e623}">
          <xlrd:rvb i="12985"/>
        </ext>
      </extLst>
    </bk>
    <bk>
      <extLst>
        <ext uri="{3e2802c4-a4d2-4d8b-9148-e3be6c30e623}">
          <xlrd:rvb i="12986"/>
        </ext>
      </extLst>
    </bk>
    <bk>
      <extLst>
        <ext uri="{3e2802c4-a4d2-4d8b-9148-e3be6c30e623}">
          <xlrd:rvb i="12987"/>
        </ext>
      </extLst>
    </bk>
    <bk>
      <extLst>
        <ext uri="{3e2802c4-a4d2-4d8b-9148-e3be6c30e623}">
          <xlrd:rvb i="12988"/>
        </ext>
      </extLst>
    </bk>
    <bk>
      <extLst>
        <ext uri="{3e2802c4-a4d2-4d8b-9148-e3be6c30e623}">
          <xlrd:rvb i="12989"/>
        </ext>
      </extLst>
    </bk>
    <bk>
      <extLst>
        <ext uri="{3e2802c4-a4d2-4d8b-9148-e3be6c30e623}">
          <xlrd:rvb i="12990"/>
        </ext>
      </extLst>
    </bk>
    <bk>
      <extLst>
        <ext uri="{3e2802c4-a4d2-4d8b-9148-e3be6c30e623}">
          <xlrd:rvb i="12991"/>
        </ext>
      </extLst>
    </bk>
    <bk>
      <extLst>
        <ext uri="{3e2802c4-a4d2-4d8b-9148-e3be6c30e623}">
          <xlrd:rvb i="12992"/>
        </ext>
      </extLst>
    </bk>
    <bk>
      <extLst>
        <ext uri="{3e2802c4-a4d2-4d8b-9148-e3be6c30e623}">
          <xlrd:rvb i="12993"/>
        </ext>
      </extLst>
    </bk>
    <bk>
      <extLst>
        <ext uri="{3e2802c4-a4d2-4d8b-9148-e3be6c30e623}">
          <xlrd:rvb i="12994"/>
        </ext>
      </extLst>
    </bk>
    <bk>
      <extLst>
        <ext uri="{3e2802c4-a4d2-4d8b-9148-e3be6c30e623}">
          <xlrd:rvb i="12995"/>
        </ext>
      </extLst>
    </bk>
    <bk>
      <extLst>
        <ext uri="{3e2802c4-a4d2-4d8b-9148-e3be6c30e623}">
          <xlrd:rvb i="12996"/>
        </ext>
      </extLst>
    </bk>
    <bk>
      <extLst>
        <ext uri="{3e2802c4-a4d2-4d8b-9148-e3be6c30e623}">
          <xlrd:rvb i="12997"/>
        </ext>
      </extLst>
    </bk>
    <bk>
      <extLst>
        <ext uri="{3e2802c4-a4d2-4d8b-9148-e3be6c30e623}">
          <xlrd:rvb i="12998"/>
        </ext>
      </extLst>
    </bk>
    <bk>
      <extLst>
        <ext uri="{3e2802c4-a4d2-4d8b-9148-e3be6c30e623}">
          <xlrd:rvb i="12999"/>
        </ext>
      </extLst>
    </bk>
    <bk>
      <extLst>
        <ext uri="{3e2802c4-a4d2-4d8b-9148-e3be6c30e623}">
          <xlrd:rvb i="13000"/>
        </ext>
      </extLst>
    </bk>
    <bk>
      <extLst>
        <ext uri="{3e2802c4-a4d2-4d8b-9148-e3be6c30e623}">
          <xlrd:rvb i="13001"/>
        </ext>
      </extLst>
    </bk>
    <bk>
      <extLst>
        <ext uri="{3e2802c4-a4d2-4d8b-9148-e3be6c30e623}">
          <xlrd:rvb i="13002"/>
        </ext>
      </extLst>
    </bk>
    <bk>
      <extLst>
        <ext uri="{3e2802c4-a4d2-4d8b-9148-e3be6c30e623}">
          <xlrd:rvb i="13003"/>
        </ext>
      </extLst>
    </bk>
    <bk>
      <extLst>
        <ext uri="{3e2802c4-a4d2-4d8b-9148-e3be6c30e623}">
          <xlrd:rvb i="13004"/>
        </ext>
      </extLst>
    </bk>
    <bk>
      <extLst>
        <ext uri="{3e2802c4-a4d2-4d8b-9148-e3be6c30e623}">
          <xlrd:rvb i="13005"/>
        </ext>
      </extLst>
    </bk>
    <bk>
      <extLst>
        <ext uri="{3e2802c4-a4d2-4d8b-9148-e3be6c30e623}">
          <xlrd:rvb i="13006"/>
        </ext>
      </extLst>
    </bk>
    <bk>
      <extLst>
        <ext uri="{3e2802c4-a4d2-4d8b-9148-e3be6c30e623}">
          <xlrd:rvb i="13007"/>
        </ext>
      </extLst>
    </bk>
    <bk>
      <extLst>
        <ext uri="{3e2802c4-a4d2-4d8b-9148-e3be6c30e623}">
          <xlrd:rvb i="13008"/>
        </ext>
      </extLst>
    </bk>
    <bk>
      <extLst>
        <ext uri="{3e2802c4-a4d2-4d8b-9148-e3be6c30e623}">
          <xlrd:rvb i="13009"/>
        </ext>
      </extLst>
    </bk>
    <bk>
      <extLst>
        <ext uri="{3e2802c4-a4d2-4d8b-9148-e3be6c30e623}">
          <xlrd:rvb i="13010"/>
        </ext>
      </extLst>
    </bk>
    <bk>
      <extLst>
        <ext uri="{3e2802c4-a4d2-4d8b-9148-e3be6c30e623}">
          <xlrd:rvb i="13011"/>
        </ext>
      </extLst>
    </bk>
    <bk>
      <extLst>
        <ext uri="{3e2802c4-a4d2-4d8b-9148-e3be6c30e623}">
          <xlrd:rvb i="13012"/>
        </ext>
      </extLst>
    </bk>
    <bk>
      <extLst>
        <ext uri="{3e2802c4-a4d2-4d8b-9148-e3be6c30e623}">
          <xlrd:rvb i="13013"/>
        </ext>
      </extLst>
    </bk>
    <bk>
      <extLst>
        <ext uri="{3e2802c4-a4d2-4d8b-9148-e3be6c30e623}">
          <xlrd:rvb i="13014"/>
        </ext>
      </extLst>
    </bk>
    <bk>
      <extLst>
        <ext uri="{3e2802c4-a4d2-4d8b-9148-e3be6c30e623}">
          <xlrd:rvb i="13015"/>
        </ext>
      </extLst>
    </bk>
    <bk>
      <extLst>
        <ext uri="{3e2802c4-a4d2-4d8b-9148-e3be6c30e623}">
          <xlrd:rvb i="13016"/>
        </ext>
      </extLst>
    </bk>
    <bk>
      <extLst>
        <ext uri="{3e2802c4-a4d2-4d8b-9148-e3be6c30e623}">
          <xlrd:rvb i="13017"/>
        </ext>
      </extLst>
    </bk>
    <bk>
      <extLst>
        <ext uri="{3e2802c4-a4d2-4d8b-9148-e3be6c30e623}">
          <xlrd:rvb i="13018"/>
        </ext>
      </extLst>
    </bk>
    <bk>
      <extLst>
        <ext uri="{3e2802c4-a4d2-4d8b-9148-e3be6c30e623}">
          <xlrd:rvb i="13019"/>
        </ext>
      </extLst>
    </bk>
    <bk>
      <extLst>
        <ext uri="{3e2802c4-a4d2-4d8b-9148-e3be6c30e623}">
          <xlrd:rvb i="13020"/>
        </ext>
      </extLst>
    </bk>
    <bk>
      <extLst>
        <ext uri="{3e2802c4-a4d2-4d8b-9148-e3be6c30e623}">
          <xlrd:rvb i="13021"/>
        </ext>
      </extLst>
    </bk>
    <bk>
      <extLst>
        <ext uri="{3e2802c4-a4d2-4d8b-9148-e3be6c30e623}">
          <xlrd:rvb i="13022"/>
        </ext>
      </extLst>
    </bk>
    <bk>
      <extLst>
        <ext uri="{3e2802c4-a4d2-4d8b-9148-e3be6c30e623}">
          <xlrd:rvb i="13023"/>
        </ext>
      </extLst>
    </bk>
    <bk>
      <extLst>
        <ext uri="{3e2802c4-a4d2-4d8b-9148-e3be6c30e623}">
          <xlrd:rvb i="13024"/>
        </ext>
      </extLst>
    </bk>
    <bk>
      <extLst>
        <ext uri="{3e2802c4-a4d2-4d8b-9148-e3be6c30e623}">
          <xlrd:rvb i="13025"/>
        </ext>
      </extLst>
    </bk>
    <bk>
      <extLst>
        <ext uri="{3e2802c4-a4d2-4d8b-9148-e3be6c30e623}">
          <xlrd:rvb i="13026"/>
        </ext>
      </extLst>
    </bk>
    <bk>
      <extLst>
        <ext uri="{3e2802c4-a4d2-4d8b-9148-e3be6c30e623}">
          <xlrd:rvb i="13027"/>
        </ext>
      </extLst>
    </bk>
    <bk>
      <extLst>
        <ext uri="{3e2802c4-a4d2-4d8b-9148-e3be6c30e623}">
          <xlrd:rvb i="13028"/>
        </ext>
      </extLst>
    </bk>
    <bk>
      <extLst>
        <ext uri="{3e2802c4-a4d2-4d8b-9148-e3be6c30e623}">
          <xlrd:rvb i="13029"/>
        </ext>
      </extLst>
    </bk>
    <bk>
      <extLst>
        <ext uri="{3e2802c4-a4d2-4d8b-9148-e3be6c30e623}">
          <xlrd:rvb i="13030"/>
        </ext>
      </extLst>
    </bk>
    <bk>
      <extLst>
        <ext uri="{3e2802c4-a4d2-4d8b-9148-e3be6c30e623}">
          <xlrd:rvb i="13031"/>
        </ext>
      </extLst>
    </bk>
    <bk>
      <extLst>
        <ext uri="{3e2802c4-a4d2-4d8b-9148-e3be6c30e623}">
          <xlrd:rvb i="13032"/>
        </ext>
      </extLst>
    </bk>
    <bk>
      <extLst>
        <ext uri="{3e2802c4-a4d2-4d8b-9148-e3be6c30e623}">
          <xlrd:rvb i="13033"/>
        </ext>
      </extLst>
    </bk>
    <bk>
      <extLst>
        <ext uri="{3e2802c4-a4d2-4d8b-9148-e3be6c30e623}">
          <xlrd:rvb i="13034"/>
        </ext>
      </extLst>
    </bk>
    <bk>
      <extLst>
        <ext uri="{3e2802c4-a4d2-4d8b-9148-e3be6c30e623}">
          <xlrd:rvb i="13035"/>
        </ext>
      </extLst>
    </bk>
    <bk>
      <extLst>
        <ext uri="{3e2802c4-a4d2-4d8b-9148-e3be6c30e623}">
          <xlrd:rvb i="13036"/>
        </ext>
      </extLst>
    </bk>
    <bk>
      <extLst>
        <ext uri="{3e2802c4-a4d2-4d8b-9148-e3be6c30e623}">
          <xlrd:rvb i="13037"/>
        </ext>
      </extLst>
    </bk>
    <bk>
      <extLst>
        <ext uri="{3e2802c4-a4d2-4d8b-9148-e3be6c30e623}">
          <xlrd:rvb i="13038"/>
        </ext>
      </extLst>
    </bk>
    <bk>
      <extLst>
        <ext uri="{3e2802c4-a4d2-4d8b-9148-e3be6c30e623}">
          <xlrd:rvb i="13039"/>
        </ext>
      </extLst>
    </bk>
    <bk>
      <extLst>
        <ext uri="{3e2802c4-a4d2-4d8b-9148-e3be6c30e623}">
          <xlrd:rvb i="13040"/>
        </ext>
      </extLst>
    </bk>
    <bk>
      <extLst>
        <ext uri="{3e2802c4-a4d2-4d8b-9148-e3be6c30e623}">
          <xlrd:rvb i="13041"/>
        </ext>
      </extLst>
    </bk>
    <bk>
      <extLst>
        <ext uri="{3e2802c4-a4d2-4d8b-9148-e3be6c30e623}">
          <xlrd:rvb i="13042"/>
        </ext>
      </extLst>
    </bk>
    <bk>
      <extLst>
        <ext uri="{3e2802c4-a4d2-4d8b-9148-e3be6c30e623}">
          <xlrd:rvb i="13043"/>
        </ext>
      </extLst>
    </bk>
    <bk>
      <extLst>
        <ext uri="{3e2802c4-a4d2-4d8b-9148-e3be6c30e623}">
          <xlrd:rvb i="13044"/>
        </ext>
      </extLst>
    </bk>
    <bk>
      <extLst>
        <ext uri="{3e2802c4-a4d2-4d8b-9148-e3be6c30e623}">
          <xlrd:rvb i="13045"/>
        </ext>
      </extLst>
    </bk>
    <bk>
      <extLst>
        <ext uri="{3e2802c4-a4d2-4d8b-9148-e3be6c30e623}">
          <xlrd:rvb i="13046"/>
        </ext>
      </extLst>
    </bk>
    <bk>
      <extLst>
        <ext uri="{3e2802c4-a4d2-4d8b-9148-e3be6c30e623}">
          <xlrd:rvb i="13047"/>
        </ext>
      </extLst>
    </bk>
    <bk>
      <extLst>
        <ext uri="{3e2802c4-a4d2-4d8b-9148-e3be6c30e623}">
          <xlrd:rvb i="13048"/>
        </ext>
      </extLst>
    </bk>
    <bk>
      <extLst>
        <ext uri="{3e2802c4-a4d2-4d8b-9148-e3be6c30e623}">
          <xlrd:rvb i="13049"/>
        </ext>
      </extLst>
    </bk>
    <bk>
      <extLst>
        <ext uri="{3e2802c4-a4d2-4d8b-9148-e3be6c30e623}">
          <xlrd:rvb i="13050"/>
        </ext>
      </extLst>
    </bk>
    <bk>
      <extLst>
        <ext uri="{3e2802c4-a4d2-4d8b-9148-e3be6c30e623}">
          <xlrd:rvb i="13051"/>
        </ext>
      </extLst>
    </bk>
    <bk>
      <extLst>
        <ext uri="{3e2802c4-a4d2-4d8b-9148-e3be6c30e623}">
          <xlrd:rvb i="13052"/>
        </ext>
      </extLst>
    </bk>
    <bk>
      <extLst>
        <ext uri="{3e2802c4-a4d2-4d8b-9148-e3be6c30e623}">
          <xlrd:rvb i="13053"/>
        </ext>
      </extLst>
    </bk>
    <bk>
      <extLst>
        <ext uri="{3e2802c4-a4d2-4d8b-9148-e3be6c30e623}">
          <xlrd:rvb i="13054"/>
        </ext>
      </extLst>
    </bk>
    <bk>
      <extLst>
        <ext uri="{3e2802c4-a4d2-4d8b-9148-e3be6c30e623}">
          <xlrd:rvb i="13055"/>
        </ext>
      </extLst>
    </bk>
    <bk>
      <extLst>
        <ext uri="{3e2802c4-a4d2-4d8b-9148-e3be6c30e623}">
          <xlrd:rvb i="13056"/>
        </ext>
      </extLst>
    </bk>
    <bk>
      <extLst>
        <ext uri="{3e2802c4-a4d2-4d8b-9148-e3be6c30e623}">
          <xlrd:rvb i="13057"/>
        </ext>
      </extLst>
    </bk>
    <bk>
      <extLst>
        <ext uri="{3e2802c4-a4d2-4d8b-9148-e3be6c30e623}">
          <xlrd:rvb i="13058"/>
        </ext>
      </extLst>
    </bk>
    <bk>
      <extLst>
        <ext uri="{3e2802c4-a4d2-4d8b-9148-e3be6c30e623}">
          <xlrd:rvb i="13059"/>
        </ext>
      </extLst>
    </bk>
    <bk>
      <extLst>
        <ext uri="{3e2802c4-a4d2-4d8b-9148-e3be6c30e623}">
          <xlrd:rvb i="13060"/>
        </ext>
      </extLst>
    </bk>
    <bk>
      <extLst>
        <ext uri="{3e2802c4-a4d2-4d8b-9148-e3be6c30e623}">
          <xlrd:rvb i="13061"/>
        </ext>
      </extLst>
    </bk>
    <bk>
      <extLst>
        <ext uri="{3e2802c4-a4d2-4d8b-9148-e3be6c30e623}">
          <xlrd:rvb i="13062"/>
        </ext>
      </extLst>
    </bk>
    <bk>
      <extLst>
        <ext uri="{3e2802c4-a4d2-4d8b-9148-e3be6c30e623}">
          <xlrd:rvb i="13063"/>
        </ext>
      </extLst>
    </bk>
    <bk>
      <extLst>
        <ext uri="{3e2802c4-a4d2-4d8b-9148-e3be6c30e623}">
          <xlrd:rvb i="13064"/>
        </ext>
      </extLst>
    </bk>
    <bk>
      <extLst>
        <ext uri="{3e2802c4-a4d2-4d8b-9148-e3be6c30e623}">
          <xlrd:rvb i="13065"/>
        </ext>
      </extLst>
    </bk>
    <bk>
      <extLst>
        <ext uri="{3e2802c4-a4d2-4d8b-9148-e3be6c30e623}">
          <xlrd:rvb i="13066"/>
        </ext>
      </extLst>
    </bk>
    <bk>
      <extLst>
        <ext uri="{3e2802c4-a4d2-4d8b-9148-e3be6c30e623}">
          <xlrd:rvb i="13067"/>
        </ext>
      </extLst>
    </bk>
    <bk>
      <extLst>
        <ext uri="{3e2802c4-a4d2-4d8b-9148-e3be6c30e623}">
          <xlrd:rvb i="13068"/>
        </ext>
      </extLst>
    </bk>
    <bk>
      <extLst>
        <ext uri="{3e2802c4-a4d2-4d8b-9148-e3be6c30e623}">
          <xlrd:rvb i="13069"/>
        </ext>
      </extLst>
    </bk>
    <bk>
      <extLst>
        <ext uri="{3e2802c4-a4d2-4d8b-9148-e3be6c30e623}">
          <xlrd:rvb i="13070"/>
        </ext>
      </extLst>
    </bk>
    <bk>
      <extLst>
        <ext uri="{3e2802c4-a4d2-4d8b-9148-e3be6c30e623}">
          <xlrd:rvb i="13071"/>
        </ext>
      </extLst>
    </bk>
    <bk>
      <extLst>
        <ext uri="{3e2802c4-a4d2-4d8b-9148-e3be6c30e623}">
          <xlrd:rvb i="13072"/>
        </ext>
      </extLst>
    </bk>
    <bk>
      <extLst>
        <ext uri="{3e2802c4-a4d2-4d8b-9148-e3be6c30e623}">
          <xlrd:rvb i="13073"/>
        </ext>
      </extLst>
    </bk>
    <bk>
      <extLst>
        <ext uri="{3e2802c4-a4d2-4d8b-9148-e3be6c30e623}">
          <xlrd:rvb i="13074"/>
        </ext>
      </extLst>
    </bk>
    <bk>
      <extLst>
        <ext uri="{3e2802c4-a4d2-4d8b-9148-e3be6c30e623}">
          <xlrd:rvb i="13075"/>
        </ext>
      </extLst>
    </bk>
    <bk>
      <extLst>
        <ext uri="{3e2802c4-a4d2-4d8b-9148-e3be6c30e623}">
          <xlrd:rvb i="13076"/>
        </ext>
      </extLst>
    </bk>
    <bk>
      <extLst>
        <ext uri="{3e2802c4-a4d2-4d8b-9148-e3be6c30e623}">
          <xlrd:rvb i="13077"/>
        </ext>
      </extLst>
    </bk>
    <bk>
      <extLst>
        <ext uri="{3e2802c4-a4d2-4d8b-9148-e3be6c30e623}">
          <xlrd:rvb i="13078"/>
        </ext>
      </extLst>
    </bk>
    <bk>
      <extLst>
        <ext uri="{3e2802c4-a4d2-4d8b-9148-e3be6c30e623}">
          <xlrd:rvb i="13079"/>
        </ext>
      </extLst>
    </bk>
    <bk>
      <extLst>
        <ext uri="{3e2802c4-a4d2-4d8b-9148-e3be6c30e623}">
          <xlrd:rvb i="13080"/>
        </ext>
      </extLst>
    </bk>
    <bk>
      <extLst>
        <ext uri="{3e2802c4-a4d2-4d8b-9148-e3be6c30e623}">
          <xlrd:rvb i="13081"/>
        </ext>
      </extLst>
    </bk>
    <bk>
      <extLst>
        <ext uri="{3e2802c4-a4d2-4d8b-9148-e3be6c30e623}">
          <xlrd:rvb i="13082"/>
        </ext>
      </extLst>
    </bk>
    <bk>
      <extLst>
        <ext uri="{3e2802c4-a4d2-4d8b-9148-e3be6c30e623}">
          <xlrd:rvb i="13083"/>
        </ext>
      </extLst>
    </bk>
    <bk>
      <extLst>
        <ext uri="{3e2802c4-a4d2-4d8b-9148-e3be6c30e623}">
          <xlrd:rvb i="13084"/>
        </ext>
      </extLst>
    </bk>
    <bk>
      <extLst>
        <ext uri="{3e2802c4-a4d2-4d8b-9148-e3be6c30e623}">
          <xlrd:rvb i="13085"/>
        </ext>
      </extLst>
    </bk>
    <bk>
      <extLst>
        <ext uri="{3e2802c4-a4d2-4d8b-9148-e3be6c30e623}">
          <xlrd:rvb i="13086"/>
        </ext>
      </extLst>
    </bk>
    <bk>
      <extLst>
        <ext uri="{3e2802c4-a4d2-4d8b-9148-e3be6c30e623}">
          <xlrd:rvb i="13087"/>
        </ext>
      </extLst>
    </bk>
    <bk>
      <extLst>
        <ext uri="{3e2802c4-a4d2-4d8b-9148-e3be6c30e623}">
          <xlrd:rvb i="13088"/>
        </ext>
      </extLst>
    </bk>
    <bk>
      <extLst>
        <ext uri="{3e2802c4-a4d2-4d8b-9148-e3be6c30e623}">
          <xlrd:rvb i="13089"/>
        </ext>
      </extLst>
    </bk>
    <bk>
      <extLst>
        <ext uri="{3e2802c4-a4d2-4d8b-9148-e3be6c30e623}">
          <xlrd:rvb i="13090"/>
        </ext>
      </extLst>
    </bk>
    <bk>
      <extLst>
        <ext uri="{3e2802c4-a4d2-4d8b-9148-e3be6c30e623}">
          <xlrd:rvb i="13091"/>
        </ext>
      </extLst>
    </bk>
    <bk>
      <extLst>
        <ext uri="{3e2802c4-a4d2-4d8b-9148-e3be6c30e623}">
          <xlrd:rvb i="13092"/>
        </ext>
      </extLst>
    </bk>
    <bk>
      <extLst>
        <ext uri="{3e2802c4-a4d2-4d8b-9148-e3be6c30e623}">
          <xlrd:rvb i="13093"/>
        </ext>
      </extLst>
    </bk>
    <bk>
      <extLst>
        <ext uri="{3e2802c4-a4d2-4d8b-9148-e3be6c30e623}">
          <xlrd:rvb i="13094"/>
        </ext>
      </extLst>
    </bk>
    <bk>
      <extLst>
        <ext uri="{3e2802c4-a4d2-4d8b-9148-e3be6c30e623}">
          <xlrd:rvb i="13095"/>
        </ext>
      </extLst>
    </bk>
    <bk>
      <extLst>
        <ext uri="{3e2802c4-a4d2-4d8b-9148-e3be6c30e623}">
          <xlrd:rvb i="13096"/>
        </ext>
      </extLst>
    </bk>
    <bk>
      <extLst>
        <ext uri="{3e2802c4-a4d2-4d8b-9148-e3be6c30e623}">
          <xlrd:rvb i="13097"/>
        </ext>
      </extLst>
    </bk>
    <bk>
      <extLst>
        <ext uri="{3e2802c4-a4d2-4d8b-9148-e3be6c30e623}">
          <xlrd:rvb i="13098"/>
        </ext>
      </extLst>
    </bk>
    <bk>
      <extLst>
        <ext uri="{3e2802c4-a4d2-4d8b-9148-e3be6c30e623}">
          <xlrd:rvb i="13099"/>
        </ext>
      </extLst>
    </bk>
    <bk>
      <extLst>
        <ext uri="{3e2802c4-a4d2-4d8b-9148-e3be6c30e623}">
          <xlrd:rvb i="13100"/>
        </ext>
      </extLst>
    </bk>
    <bk>
      <extLst>
        <ext uri="{3e2802c4-a4d2-4d8b-9148-e3be6c30e623}">
          <xlrd:rvb i="13101"/>
        </ext>
      </extLst>
    </bk>
    <bk>
      <extLst>
        <ext uri="{3e2802c4-a4d2-4d8b-9148-e3be6c30e623}">
          <xlrd:rvb i="13102"/>
        </ext>
      </extLst>
    </bk>
    <bk>
      <extLst>
        <ext uri="{3e2802c4-a4d2-4d8b-9148-e3be6c30e623}">
          <xlrd:rvb i="13103"/>
        </ext>
      </extLst>
    </bk>
    <bk>
      <extLst>
        <ext uri="{3e2802c4-a4d2-4d8b-9148-e3be6c30e623}">
          <xlrd:rvb i="13104"/>
        </ext>
      </extLst>
    </bk>
    <bk>
      <extLst>
        <ext uri="{3e2802c4-a4d2-4d8b-9148-e3be6c30e623}">
          <xlrd:rvb i="13105"/>
        </ext>
      </extLst>
    </bk>
    <bk>
      <extLst>
        <ext uri="{3e2802c4-a4d2-4d8b-9148-e3be6c30e623}">
          <xlrd:rvb i="13106"/>
        </ext>
      </extLst>
    </bk>
    <bk>
      <extLst>
        <ext uri="{3e2802c4-a4d2-4d8b-9148-e3be6c30e623}">
          <xlrd:rvb i="13107"/>
        </ext>
      </extLst>
    </bk>
    <bk>
      <extLst>
        <ext uri="{3e2802c4-a4d2-4d8b-9148-e3be6c30e623}">
          <xlrd:rvb i="13108"/>
        </ext>
      </extLst>
    </bk>
    <bk>
      <extLst>
        <ext uri="{3e2802c4-a4d2-4d8b-9148-e3be6c30e623}">
          <xlrd:rvb i="13109"/>
        </ext>
      </extLst>
    </bk>
    <bk>
      <extLst>
        <ext uri="{3e2802c4-a4d2-4d8b-9148-e3be6c30e623}">
          <xlrd:rvb i="13110"/>
        </ext>
      </extLst>
    </bk>
    <bk>
      <extLst>
        <ext uri="{3e2802c4-a4d2-4d8b-9148-e3be6c30e623}">
          <xlrd:rvb i="13111"/>
        </ext>
      </extLst>
    </bk>
    <bk>
      <extLst>
        <ext uri="{3e2802c4-a4d2-4d8b-9148-e3be6c30e623}">
          <xlrd:rvb i="13112"/>
        </ext>
      </extLst>
    </bk>
    <bk>
      <extLst>
        <ext uri="{3e2802c4-a4d2-4d8b-9148-e3be6c30e623}">
          <xlrd:rvb i="13113"/>
        </ext>
      </extLst>
    </bk>
    <bk>
      <extLst>
        <ext uri="{3e2802c4-a4d2-4d8b-9148-e3be6c30e623}">
          <xlrd:rvb i="13114"/>
        </ext>
      </extLst>
    </bk>
    <bk>
      <extLst>
        <ext uri="{3e2802c4-a4d2-4d8b-9148-e3be6c30e623}">
          <xlrd:rvb i="13115"/>
        </ext>
      </extLst>
    </bk>
    <bk>
      <extLst>
        <ext uri="{3e2802c4-a4d2-4d8b-9148-e3be6c30e623}">
          <xlrd:rvb i="13116"/>
        </ext>
      </extLst>
    </bk>
    <bk>
      <extLst>
        <ext uri="{3e2802c4-a4d2-4d8b-9148-e3be6c30e623}">
          <xlrd:rvb i="13117"/>
        </ext>
      </extLst>
    </bk>
    <bk>
      <extLst>
        <ext uri="{3e2802c4-a4d2-4d8b-9148-e3be6c30e623}">
          <xlrd:rvb i="13118"/>
        </ext>
      </extLst>
    </bk>
    <bk>
      <extLst>
        <ext uri="{3e2802c4-a4d2-4d8b-9148-e3be6c30e623}">
          <xlrd:rvb i="13119"/>
        </ext>
      </extLst>
    </bk>
    <bk>
      <extLst>
        <ext uri="{3e2802c4-a4d2-4d8b-9148-e3be6c30e623}">
          <xlrd:rvb i="13120"/>
        </ext>
      </extLst>
    </bk>
    <bk>
      <extLst>
        <ext uri="{3e2802c4-a4d2-4d8b-9148-e3be6c30e623}">
          <xlrd:rvb i="13121"/>
        </ext>
      </extLst>
    </bk>
    <bk>
      <extLst>
        <ext uri="{3e2802c4-a4d2-4d8b-9148-e3be6c30e623}">
          <xlrd:rvb i="13122"/>
        </ext>
      </extLst>
    </bk>
    <bk>
      <extLst>
        <ext uri="{3e2802c4-a4d2-4d8b-9148-e3be6c30e623}">
          <xlrd:rvb i="13123"/>
        </ext>
      </extLst>
    </bk>
    <bk>
      <extLst>
        <ext uri="{3e2802c4-a4d2-4d8b-9148-e3be6c30e623}">
          <xlrd:rvb i="13124"/>
        </ext>
      </extLst>
    </bk>
    <bk>
      <extLst>
        <ext uri="{3e2802c4-a4d2-4d8b-9148-e3be6c30e623}">
          <xlrd:rvb i="13125"/>
        </ext>
      </extLst>
    </bk>
    <bk>
      <extLst>
        <ext uri="{3e2802c4-a4d2-4d8b-9148-e3be6c30e623}">
          <xlrd:rvb i="13126"/>
        </ext>
      </extLst>
    </bk>
    <bk>
      <extLst>
        <ext uri="{3e2802c4-a4d2-4d8b-9148-e3be6c30e623}">
          <xlrd:rvb i="13127"/>
        </ext>
      </extLst>
    </bk>
    <bk>
      <extLst>
        <ext uri="{3e2802c4-a4d2-4d8b-9148-e3be6c30e623}">
          <xlrd:rvb i="13128"/>
        </ext>
      </extLst>
    </bk>
    <bk>
      <extLst>
        <ext uri="{3e2802c4-a4d2-4d8b-9148-e3be6c30e623}">
          <xlrd:rvb i="13129"/>
        </ext>
      </extLst>
    </bk>
    <bk>
      <extLst>
        <ext uri="{3e2802c4-a4d2-4d8b-9148-e3be6c30e623}">
          <xlrd:rvb i="13130"/>
        </ext>
      </extLst>
    </bk>
    <bk>
      <extLst>
        <ext uri="{3e2802c4-a4d2-4d8b-9148-e3be6c30e623}">
          <xlrd:rvb i="13131"/>
        </ext>
      </extLst>
    </bk>
    <bk>
      <extLst>
        <ext uri="{3e2802c4-a4d2-4d8b-9148-e3be6c30e623}">
          <xlrd:rvb i="13132"/>
        </ext>
      </extLst>
    </bk>
    <bk>
      <extLst>
        <ext uri="{3e2802c4-a4d2-4d8b-9148-e3be6c30e623}">
          <xlrd:rvb i="13133"/>
        </ext>
      </extLst>
    </bk>
    <bk>
      <extLst>
        <ext uri="{3e2802c4-a4d2-4d8b-9148-e3be6c30e623}">
          <xlrd:rvb i="13134"/>
        </ext>
      </extLst>
    </bk>
    <bk>
      <extLst>
        <ext uri="{3e2802c4-a4d2-4d8b-9148-e3be6c30e623}">
          <xlrd:rvb i="13135"/>
        </ext>
      </extLst>
    </bk>
    <bk>
      <extLst>
        <ext uri="{3e2802c4-a4d2-4d8b-9148-e3be6c30e623}">
          <xlrd:rvb i="13136"/>
        </ext>
      </extLst>
    </bk>
    <bk>
      <extLst>
        <ext uri="{3e2802c4-a4d2-4d8b-9148-e3be6c30e623}">
          <xlrd:rvb i="13137"/>
        </ext>
      </extLst>
    </bk>
    <bk>
      <extLst>
        <ext uri="{3e2802c4-a4d2-4d8b-9148-e3be6c30e623}">
          <xlrd:rvb i="13138"/>
        </ext>
      </extLst>
    </bk>
    <bk>
      <extLst>
        <ext uri="{3e2802c4-a4d2-4d8b-9148-e3be6c30e623}">
          <xlrd:rvb i="13139"/>
        </ext>
      </extLst>
    </bk>
    <bk>
      <extLst>
        <ext uri="{3e2802c4-a4d2-4d8b-9148-e3be6c30e623}">
          <xlrd:rvb i="13140"/>
        </ext>
      </extLst>
    </bk>
    <bk>
      <extLst>
        <ext uri="{3e2802c4-a4d2-4d8b-9148-e3be6c30e623}">
          <xlrd:rvb i="13141"/>
        </ext>
      </extLst>
    </bk>
    <bk>
      <extLst>
        <ext uri="{3e2802c4-a4d2-4d8b-9148-e3be6c30e623}">
          <xlrd:rvb i="13142"/>
        </ext>
      </extLst>
    </bk>
    <bk>
      <extLst>
        <ext uri="{3e2802c4-a4d2-4d8b-9148-e3be6c30e623}">
          <xlrd:rvb i="13143"/>
        </ext>
      </extLst>
    </bk>
    <bk>
      <extLst>
        <ext uri="{3e2802c4-a4d2-4d8b-9148-e3be6c30e623}">
          <xlrd:rvb i="13144"/>
        </ext>
      </extLst>
    </bk>
    <bk>
      <extLst>
        <ext uri="{3e2802c4-a4d2-4d8b-9148-e3be6c30e623}">
          <xlrd:rvb i="13145"/>
        </ext>
      </extLst>
    </bk>
    <bk>
      <extLst>
        <ext uri="{3e2802c4-a4d2-4d8b-9148-e3be6c30e623}">
          <xlrd:rvb i="13146"/>
        </ext>
      </extLst>
    </bk>
    <bk>
      <extLst>
        <ext uri="{3e2802c4-a4d2-4d8b-9148-e3be6c30e623}">
          <xlrd:rvb i="13147"/>
        </ext>
      </extLst>
    </bk>
    <bk>
      <extLst>
        <ext uri="{3e2802c4-a4d2-4d8b-9148-e3be6c30e623}">
          <xlrd:rvb i="13148"/>
        </ext>
      </extLst>
    </bk>
    <bk>
      <extLst>
        <ext uri="{3e2802c4-a4d2-4d8b-9148-e3be6c30e623}">
          <xlrd:rvb i="13149"/>
        </ext>
      </extLst>
    </bk>
    <bk>
      <extLst>
        <ext uri="{3e2802c4-a4d2-4d8b-9148-e3be6c30e623}">
          <xlrd:rvb i="13150"/>
        </ext>
      </extLst>
    </bk>
    <bk>
      <extLst>
        <ext uri="{3e2802c4-a4d2-4d8b-9148-e3be6c30e623}">
          <xlrd:rvb i="13151"/>
        </ext>
      </extLst>
    </bk>
    <bk>
      <extLst>
        <ext uri="{3e2802c4-a4d2-4d8b-9148-e3be6c30e623}">
          <xlrd:rvb i="13152"/>
        </ext>
      </extLst>
    </bk>
    <bk>
      <extLst>
        <ext uri="{3e2802c4-a4d2-4d8b-9148-e3be6c30e623}">
          <xlrd:rvb i="13153"/>
        </ext>
      </extLst>
    </bk>
    <bk>
      <extLst>
        <ext uri="{3e2802c4-a4d2-4d8b-9148-e3be6c30e623}">
          <xlrd:rvb i="13154"/>
        </ext>
      </extLst>
    </bk>
    <bk>
      <extLst>
        <ext uri="{3e2802c4-a4d2-4d8b-9148-e3be6c30e623}">
          <xlrd:rvb i="13155"/>
        </ext>
      </extLst>
    </bk>
    <bk>
      <extLst>
        <ext uri="{3e2802c4-a4d2-4d8b-9148-e3be6c30e623}">
          <xlrd:rvb i="13156"/>
        </ext>
      </extLst>
    </bk>
    <bk>
      <extLst>
        <ext uri="{3e2802c4-a4d2-4d8b-9148-e3be6c30e623}">
          <xlrd:rvb i="13157"/>
        </ext>
      </extLst>
    </bk>
    <bk>
      <extLst>
        <ext uri="{3e2802c4-a4d2-4d8b-9148-e3be6c30e623}">
          <xlrd:rvb i="13158"/>
        </ext>
      </extLst>
    </bk>
    <bk>
      <extLst>
        <ext uri="{3e2802c4-a4d2-4d8b-9148-e3be6c30e623}">
          <xlrd:rvb i="13159"/>
        </ext>
      </extLst>
    </bk>
    <bk>
      <extLst>
        <ext uri="{3e2802c4-a4d2-4d8b-9148-e3be6c30e623}">
          <xlrd:rvb i="13160"/>
        </ext>
      </extLst>
    </bk>
    <bk>
      <extLst>
        <ext uri="{3e2802c4-a4d2-4d8b-9148-e3be6c30e623}">
          <xlrd:rvb i="13161"/>
        </ext>
      </extLst>
    </bk>
    <bk>
      <extLst>
        <ext uri="{3e2802c4-a4d2-4d8b-9148-e3be6c30e623}">
          <xlrd:rvb i="13162"/>
        </ext>
      </extLst>
    </bk>
    <bk>
      <extLst>
        <ext uri="{3e2802c4-a4d2-4d8b-9148-e3be6c30e623}">
          <xlrd:rvb i="13163"/>
        </ext>
      </extLst>
    </bk>
    <bk>
      <extLst>
        <ext uri="{3e2802c4-a4d2-4d8b-9148-e3be6c30e623}">
          <xlrd:rvb i="13164"/>
        </ext>
      </extLst>
    </bk>
    <bk>
      <extLst>
        <ext uri="{3e2802c4-a4d2-4d8b-9148-e3be6c30e623}">
          <xlrd:rvb i="13165"/>
        </ext>
      </extLst>
    </bk>
    <bk>
      <extLst>
        <ext uri="{3e2802c4-a4d2-4d8b-9148-e3be6c30e623}">
          <xlrd:rvb i="13166"/>
        </ext>
      </extLst>
    </bk>
    <bk>
      <extLst>
        <ext uri="{3e2802c4-a4d2-4d8b-9148-e3be6c30e623}">
          <xlrd:rvb i="13167"/>
        </ext>
      </extLst>
    </bk>
    <bk>
      <extLst>
        <ext uri="{3e2802c4-a4d2-4d8b-9148-e3be6c30e623}">
          <xlrd:rvb i="13168"/>
        </ext>
      </extLst>
    </bk>
    <bk>
      <extLst>
        <ext uri="{3e2802c4-a4d2-4d8b-9148-e3be6c30e623}">
          <xlrd:rvb i="13169"/>
        </ext>
      </extLst>
    </bk>
    <bk>
      <extLst>
        <ext uri="{3e2802c4-a4d2-4d8b-9148-e3be6c30e623}">
          <xlrd:rvb i="13170"/>
        </ext>
      </extLst>
    </bk>
    <bk>
      <extLst>
        <ext uri="{3e2802c4-a4d2-4d8b-9148-e3be6c30e623}">
          <xlrd:rvb i="13171"/>
        </ext>
      </extLst>
    </bk>
    <bk>
      <extLst>
        <ext uri="{3e2802c4-a4d2-4d8b-9148-e3be6c30e623}">
          <xlrd:rvb i="13172"/>
        </ext>
      </extLst>
    </bk>
    <bk>
      <extLst>
        <ext uri="{3e2802c4-a4d2-4d8b-9148-e3be6c30e623}">
          <xlrd:rvb i="13173"/>
        </ext>
      </extLst>
    </bk>
    <bk>
      <extLst>
        <ext uri="{3e2802c4-a4d2-4d8b-9148-e3be6c30e623}">
          <xlrd:rvb i="13174"/>
        </ext>
      </extLst>
    </bk>
    <bk>
      <extLst>
        <ext uri="{3e2802c4-a4d2-4d8b-9148-e3be6c30e623}">
          <xlrd:rvb i="13175"/>
        </ext>
      </extLst>
    </bk>
    <bk>
      <extLst>
        <ext uri="{3e2802c4-a4d2-4d8b-9148-e3be6c30e623}">
          <xlrd:rvb i="13176"/>
        </ext>
      </extLst>
    </bk>
    <bk>
      <extLst>
        <ext uri="{3e2802c4-a4d2-4d8b-9148-e3be6c30e623}">
          <xlrd:rvb i="13177"/>
        </ext>
      </extLst>
    </bk>
    <bk>
      <extLst>
        <ext uri="{3e2802c4-a4d2-4d8b-9148-e3be6c30e623}">
          <xlrd:rvb i="13178"/>
        </ext>
      </extLst>
    </bk>
    <bk>
      <extLst>
        <ext uri="{3e2802c4-a4d2-4d8b-9148-e3be6c30e623}">
          <xlrd:rvb i="13179"/>
        </ext>
      </extLst>
    </bk>
    <bk>
      <extLst>
        <ext uri="{3e2802c4-a4d2-4d8b-9148-e3be6c30e623}">
          <xlrd:rvb i="13180"/>
        </ext>
      </extLst>
    </bk>
    <bk>
      <extLst>
        <ext uri="{3e2802c4-a4d2-4d8b-9148-e3be6c30e623}">
          <xlrd:rvb i="13181"/>
        </ext>
      </extLst>
    </bk>
    <bk>
      <extLst>
        <ext uri="{3e2802c4-a4d2-4d8b-9148-e3be6c30e623}">
          <xlrd:rvb i="13182"/>
        </ext>
      </extLst>
    </bk>
    <bk>
      <extLst>
        <ext uri="{3e2802c4-a4d2-4d8b-9148-e3be6c30e623}">
          <xlrd:rvb i="13183"/>
        </ext>
      </extLst>
    </bk>
    <bk>
      <extLst>
        <ext uri="{3e2802c4-a4d2-4d8b-9148-e3be6c30e623}">
          <xlrd:rvb i="13184"/>
        </ext>
      </extLst>
    </bk>
    <bk>
      <extLst>
        <ext uri="{3e2802c4-a4d2-4d8b-9148-e3be6c30e623}">
          <xlrd:rvb i="13185"/>
        </ext>
      </extLst>
    </bk>
    <bk>
      <extLst>
        <ext uri="{3e2802c4-a4d2-4d8b-9148-e3be6c30e623}">
          <xlrd:rvb i="13186"/>
        </ext>
      </extLst>
    </bk>
    <bk>
      <extLst>
        <ext uri="{3e2802c4-a4d2-4d8b-9148-e3be6c30e623}">
          <xlrd:rvb i="13187"/>
        </ext>
      </extLst>
    </bk>
    <bk>
      <extLst>
        <ext uri="{3e2802c4-a4d2-4d8b-9148-e3be6c30e623}">
          <xlrd:rvb i="13188"/>
        </ext>
      </extLst>
    </bk>
    <bk>
      <extLst>
        <ext uri="{3e2802c4-a4d2-4d8b-9148-e3be6c30e623}">
          <xlrd:rvb i="13189"/>
        </ext>
      </extLst>
    </bk>
    <bk>
      <extLst>
        <ext uri="{3e2802c4-a4d2-4d8b-9148-e3be6c30e623}">
          <xlrd:rvb i="13190"/>
        </ext>
      </extLst>
    </bk>
    <bk>
      <extLst>
        <ext uri="{3e2802c4-a4d2-4d8b-9148-e3be6c30e623}">
          <xlrd:rvb i="13191"/>
        </ext>
      </extLst>
    </bk>
    <bk>
      <extLst>
        <ext uri="{3e2802c4-a4d2-4d8b-9148-e3be6c30e623}">
          <xlrd:rvb i="13192"/>
        </ext>
      </extLst>
    </bk>
    <bk>
      <extLst>
        <ext uri="{3e2802c4-a4d2-4d8b-9148-e3be6c30e623}">
          <xlrd:rvb i="13193"/>
        </ext>
      </extLst>
    </bk>
    <bk>
      <extLst>
        <ext uri="{3e2802c4-a4d2-4d8b-9148-e3be6c30e623}">
          <xlrd:rvb i="13194"/>
        </ext>
      </extLst>
    </bk>
    <bk>
      <extLst>
        <ext uri="{3e2802c4-a4d2-4d8b-9148-e3be6c30e623}">
          <xlrd:rvb i="13195"/>
        </ext>
      </extLst>
    </bk>
    <bk>
      <extLst>
        <ext uri="{3e2802c4-a4d2-4d8b-9148-e3be6c30e623}">
          <xlrd:rvb i="13196"/>
        </ext>
      </extLst>
    </bk>
    <bk>
      <extLst>
        <ext uri="{3e2802c4-a4d2-4d8b-9148-e3be6c30e623}">
          <xlrd:rvb i="13197"/>
        </ext>
      </extLst>
    </bk>
    <bk>
      <extLst>
        <ext uri="{3e2802c4-a4d2-4d8b-9148-e3be6c30e623}">
          <xlrd:rvb i="13198"/>
        </ext>
      </extLst>
    </bk>
    <bk>
      <extLst>
        <ext uri="{3e2802c4-a4d2-4d8b-9148-e3be6c30e623}">
          <xlrd:rvb i="13199"/>
        </ext>
      </extLst>
    </bk>
    <bk>
      <extLst>
        <ext uri="{3e2802c4-a4d2-4d8b-9148-e3be6c30e623}">
          <xlrd:rvb i="13200"/>
        </ext>
      </extLst>
    </bk>
    <bk>
      <extLst>
        <ext uri="{3e2802c4-a4d2-4d8b-9148-e3be6c30e623}">
          <xlrd:rvb i="13201"/>
        </ext>
      </extLst>
    </bk>
    <bk>
      <extLst>
        <ext uri="{3e2802c4-a4d2-4d8b-9148-e3be6c30e623}">
          <xlrd:rvb i="13202"/>
        </ext>
      </extLst>
    </bk>
    <bk>
      <extLst>
        <ext uri="{3e2802c4-a4d2-4d8b-9148-e3be6c30e623}">
          <xlrd:rvb i="13203"/>
        </ext>
      </extLst>
    </bk>
    <bk>
      <extLst>
        <ext uri="{3e2802c4-a4d2-4d8b-9148-e3be6c30e623}">
          <xlrd:rvb i="13204"/>
        </ext>
      </extLst>
    </bk>
    <bk>
      <extLst>
        <ext uri="{3e2802c4-a4d2-4d8b-9148-e3be6c30e623}">
          <xlrd:rvb i="13205"/>
        </ext>
      </extLst>
    </bk>
    <bk>
      <extLst>
        <ext uri="{3e2802c4-a4d2-4d8b-9148-e3be6c30e623}">
          <xlrd:rvb i="13206"/>
        </ext>
      </extLst>
    </bk>
    <bk>
      <extLst>
        <ext uri="{3e2802c4-a4d2-4d8b-9148-e3be6c30e623}">
          <xlrd:rvb i="13207"/>
        </ext>
      </extLst>
    </bk>
    <bk>
      <extLst>
        <ext uri="{3e2802c4-a4d2-4d8b-9148-e3be6c30e623}">
          <xlrd:rvb i="13208"/>
        </ext>
      </extLst>
    </bk>
    <bk>
      <extLst>
        <ext uri="{3e2802c4-a4d2-4d8b-9148-e3be6c30e623}">
          <xlrd:rvb i="13209"/>
        </ext>
      </extLst>
    </bk>
    <bk>
      <extLst>
        <ext uri="{3e2802c4-a4d2-4d8b-9148-e3be6c30e623}">
          <xlrd:rvb i="13210"/>
        </ext>
      </extLst>
    </bk>
    <bk>
      <extLst>
        <ext uri="{3e2802c4-a4d2-4d8b-9148-e3be6c30e623}">
          <xlrd:rvb i="13211"/>
        </ext>
      </extLst>
    </bk>
    <bk>
      <extLst>
        <ext uri="{3e2802c4-a4d2-4d8b-9148-e3be6c30e623}">
          <xlrd:rvb i="13212"/>
        </ext>
      </extLst>
    </bk>
    <bk>
      <extLst>
        <ext uri="{3e2802c4-a4d2-4d8b-9148-e3be6c30e623}">
          <xlrd:rvb i="13213"/>
        </ext>
      </extLst>
    </bk>
    <bk>
      <extLst>
        <ext uri="{3e2802c4-a4d2-4d8b-9148-e3be6c30e623}">
          <xlrd:rvb i="13214"/>
        </ext>
      </extLst>
    </bk>
    <bk>
      <extLst>
        <ext uri="{3e2802c4-a4d2-4d8b-9148-e3be6c30e623}">
          <xlrd:rvb i="13215"/>
        </ext>
      </extLst>
    </bk>
    <bk>
      <extLst>
        <ext uri="{3e2802c4-a4d2-4d8b-9148-e3be6c30e623}">
          <xlrd:rvb i="13216"/>
        </ext>
      </extLst>
    </bk>
    <bk>
      <extLst>
        <ext uri="{3e2802c4-a4d2-4d8b-9148-e3be6c30e623}">
          <xlrd:rvb i="13217"/>
        </ext>
      </extLst>
    </bk>
    <bk>
      <extLst>
        <ext uri="{3e2802c4-a4d2-4d8b-9148-e3be6c30e623}">
          <xlrd:rvb i="13218"/>
        </ext>
      </extLst>
    </bk>
    <bk>
      <extLst>
        <ext uri="{3e2802c4-a4d2-4d8b-9148-e3be6c30e623}">
          <xlrd:rvb i="13219"/>
        </ext>
      </extLst>
    </bk>
    <bk>
      <extLst>
        <ext uri="{3e2802c4-a4d2-4d8b-9148-e3be6c30e623}">
          <xlrd:rvb i="13220"/>
        </ext>
      </extLst>
    </bk>
    <bk>
      <extLst>
        <ext uri="{3e2802c4-a4d2-4d8b-9148-e3be6c30e623}">
          <xlrd:rvb i="13221"/>
        </ext>
      </extLst>
    </bk>
    <bk>
      <extLst>
        <ext uri="{3e2802c4-a4d2-4d8b-9148-e3be6c30e623}">
          <xlrd:rvb i="13222"/>
        </ext>
      </extLst>
    </bk>
    <bk>
      <extLst>
        <ext uri="{3e2802c4-a4d2-4d8b-9148-e3be6c30e623}">
          <xlrd:rvb i="13223"/>
        </ext>
      </extLst>
    </bk>
    <bk>
      <extLst>
        <ext uri="{3e2802c4-a4d2-4d8b-9148-e3be6c30e623}">
          <xlrd:rvb i="13224"/>
        </ext>
      </extLst>
    </bk>
    <bk>
      <extLst>
        <ext uri="{3e2802c4-a4d2-4d8b-9148-e3be6c30e623}">
          <xlrd:rvb i="13225"/>
        </ext>
      </extLst>
    </bk>
    <bk>
      <extLst>
        <ext uri="{3e2802c4-a4d2-4d8b-9148-e3be6c30e623}">
          <xlrd:rvb i="13226"/>
        </ext>
      </extLst>
    </bk>
    <bk>
      <extLst>
        <ext uri="{3e2802c4-a4d2-4d8b-9148-e3be6c30e623}">
          <xlrd:rvb i="13227"/>
        </ext>
      </extLst>
    </bk>
    <bk>
      <extLst>
        <ext uri="{3e2802c4-a4d2-4d8b-9148-e3be6c30e623}">
          <xlrd:rvb i="13228"/>
        </ext>
      </extLst>
    </bk>
    <bk>
      <extLst>
        <ext uri="{3e2802c4-a4d2-4d8b-9148-e3be6c30e623}">
          <xlrd:rvb i="13229"/>
        </ext>
      </extLst>
    </bk>
    <bk>
      <extLst>
        <ext uri="{3e2802c4-a4d2-4d8b-9148-e3be6c30e623}">
          <xlrd:rvb i="13230"/>
        </ext>
      </extLst>
    </bk>
    <bk>
      <extLst>
        <ext uri="{3e2802c4-a4d2-4d8b-9148-e3be6c30e623}">
          <xlrd:rvb i="13231"/>
        </ext>
      </extLst>
    </bk>
    <bk>
      <extLst>
        <ext uri="{3e2802c4-a4d2-4d8b-9148-e3be6c30e623}">
          <xlrd:rvb i="13232"/>
        </ext>
      </extLst>
    </bk>
    <bk>
      <extLst>
        <ext uri="{3e2802c4-a4d2-4d8b-9148-e3be6c30e623}">
          <xlrd:rvb i="13233"/>
        </ext>
      </extLst>
    </bk>
    <bk>
      <extLst>
        <ext uri="{3e2802c4-a4d2-4d8b-9148-e3be6c30e623}">
          <xlrd:rvb i="13234"/>
        </ext>
      </extLst>
    </bk>
    <bk>
      <extLst>
        <ext uri="{3e2802c4-a4d2-4d8b-9148-e3be6c30e623}">
          <xlrd:rvb i="13235"/>
        </ext>
      </extLst>
    </bk>
    <bk>
      <extLst>
        <ext uri="{3e2802c4-a4d2-4d8b-9148-e3be6c30e623}">
          <xlrd:rvb i="13236"/>
        </ext>
      </extLst>
    </bk>
    <bk>
      <extLst>
        <ext uri="{3e2802c4-a4d2-4d8b-9148-e3be6c30e623}">
          <xlrd:rvb i="13237"/>
        </ext>
      </extLst>
    </bk>
    <bk>
      <extLst>
        <ext uri="{3e2802c4-a4d2-4d8b-9148-e3be6c30e623}">
          <xlrd:rvb i="13238"/>
        </ext>
      </extLst>
    </bk>
    <bk>
      <extLst>
        <ext uri="{3e2802c4-a4d2-4d8b-9148-e3be6c30e623}">
          <xlrd:rvb i="13239"/>
        </ext>
      </extLst>
    </bk>
    <bk>
      <extLst>
        <ext uri="{3e2802c4-a4d2-4d8b-9148-e3be6c30e623}">
          <xlrd:rvb i="13240"/>
        </ext>
      </extLst>
    </bk>
    <bk>
      <extLst>
        <ext uri="{3e2802c4-a4d2-4d8b-9148-e3be6c30e623}">
          <xlrd:rvb i="13241"/>
        </ext>
      </extLst>
    </bk>
    <bk>
      <extLst>
        <ext uri="{3e2802c4-a4d2-4d8b-9148-e3be6c30e623}">
          <xlrd:rvb i="13242"/>
        </ext>
      </extLst>
    </bk>
    <bk>
      <extLst>
        <ext uri="{3e2802c4-a4d2-4d8b-9148-e3be6c30e623}">
          <xlrd:rvb i="13243"/>
        </ext>
      </extLst>
    </bk>
    <bk>
      <extLst>
        <ext uri="{3e2802c4-a4d2-4d8b-9148-e3be6c30e623}">
          <xlrd:rvb i="13244"/>
        </ext>
      </extLst>
    </bk>
    <bk>
      <extLst>
        <ext uri="{3e2802c4-a4d2-4d8b-9148-e3be6c30e623}">
          <xlrd:rvb i="13245"/>
        </ext>
      </extLst>
    </bk>
    <bk>
      <extLst>
        <ext uri="{3e2802c4-a4d2-4d8b-9148-e3be6c30e623}">
          <xlrd:rvb i="13246"/>
        </ext>
      </extLst>
    </bk>
    <bk>
      <extLst>
        <ext uri="{3e2802c4-a4d2-4d8b-9148-e3be6c30e623}">
          <xlrd:rvb i="13247"/>
        </ext>
      </extLst>
    </bk>
    <bk>
      <extLst>
        <ext uri="{3e2802c4-a4d2-4d8b-9148-e3be6c30e623}">
          <xlrd:rvb i="13248"/>
        </ext>
      </extLst>
    </bk>
    <bk>
      <extLst>
        <ext uri="{3e2802c4-a4d2-4d8b-9148-e3be6c30e623}">
          <xlrd:rvb i="13249"/>
        </ext>
      </extLst>
    </bk>
    <bk>
      <extLst>
        <ext uri="{3e2802c4-a4d2-4d8b-9148-e3be6c30e623}">
          <xlrd:rvb i="13250"/>
        </ext>
      </extLst>
    </bk>
    <bk>
      <extLst>
        <ext uri="{3e2802c4-a4d2-4d8b-9148-e3be6c30e623}">
          <xlrd:rvb i="13251"/>
        </ext>
      </extLst>
    </bk>
    <bk>
      <extLst>
        <ext uri="{3e2802c4-a4d2-4d8b-9148-e3be6c30e623}">
          <xlrd:rvb i="13252"/>
        </ext>
      </extLst>
    </bk>
    <bk>
      <extLst>
        <ext uri="{3e2802c4-a4d2-4d8b-9148-e3be6c30e623}">
          <xlrd:rvb i="13253"/>
        </ext>
      </extLst>
    </bk>
    <bk>
      <extLst>
        <ext uri="{3e2802c4-a4d2-4d8b-9148-e3be6c30e623}">
          <xlrd:rvb i="13254"/>
        </ext>
      </extLst>
    </bk>
    <bk>
      <extLst>
        <ext uri="{3e2802c4-a4d2-4d8b-9148-e3be6c30e623}">
          <xlrd:rvb i="13255"/>
        </ext>
      </extLst>
    </bk>
    <bk>
      <extLst>
        <ext uri="{3e2802c4-a4d2-4d8b-9148-e3be6c30e623}">
          <xlrd:rvb i="13256"/>
        </ext>
      </extLst>
    </bk>
    <bk>
      <extLst>
        <ext uri="{3e2802c4-a4d2-4d8b-9148-e3be6c30e623}">
          <xlrd:rvb i="13257"/>
        </ext>
      </extLst>
    </bk>
    <bk>
      <extLst>
        <ext uri="{3e2802c4-a4d2-4d8b-9148-e3be6c30e623}">
          <xlrd:rvb i="13258"/>
        </ext>
      </extLst>
    </bk>
    <bk>
      <extLst>
        <ext uri="{3e2802c4-a4d2-4d8b-9148-e3be6c30e623}">
          <xlrd:rvb i="13259"/>
        </ext>
      </extLst>
    </bk>
    <bk>
      <extLst>
        <ext uri="{3e2802c4-a4d2-4d8b-9148-e3be6c30e623}">
          <xlrd:rvb i="13260"/>
        </ext>
      </extLst>
    </bk>
    <bk>
      <extLst>
        <ext uri="{3e2802c4-a4d2-4d8b-9148-e3be6c30e623}">
          <xlrd:rvb i="13261"/>
        </ext>
      </extLst>
    </bk>
    <bk>
      <extLst>
        <ext uri="{3e2802c4-a4d2-4d8b-9148-e3be6c30e623}">
          <xlrd:rvb i="13262"/>
        </ext>
      </extLst>
    </bk>
    <bk>
      <extLst>
        <ext uri="{3e2802c4-a4d2-4d8b-9148-e3be6c30e623}">
          <xlrd:rvb i="13263"/>
        </ext>
      </extLst>
    </bk>
    <bk>
      <extLst>
        <ext uri="{3e2802c4-a4d2-4d8b-9148-e3be6c30e623}">
          <xlrd:rvb i="13264"/>
        </ext>
      </extLst>
    </bk>
    <bk>
      <extLst>
        <ext uri="{3e2802c4-a4d2-4d8b-9148-e3be6c30e623}">
          <xlrd:rvb i="13265"/>
        </ext>
      </extLst>
    </bk>
    <bk>
      <extLst>
        <ext uri="{3e2802c4-a4d2-4d8b-9148-e3be6c30e623}">
          <xlrd:rvb i="13266"/>
        </ext>
      </extLst>
    </bk>
    <bk>
      <extLst>
        <ext uri="{3e2802c4-a4d2-4d8b-9148-e3be6c30e623}">
          <xlrd:rvb i="13267"/>
        </ext>
      </extLst>
    </bk>
    <bk>
      <extLst>
        <ext uri="{3e2802c4-a4d2-4d8b-9148-e3be6c30e623}">
          <xlrd:rvb i="13268"/>
        </ext>
      </extLst>
    </bk>
    <bk>
      <extLst>
        <ext uri="{3e2802c4-a4d2-4d8b-9148-e3be6c30e623}">
          <xlrd:rvb i="13269"/>
        </ext>
      </extLst>
    </bk>
    <bk>
      <extLst>
        <ext uri="{3e2802c4-a4d2-4d8b-9148-e3be6c30e623}">
          <xlrd:rvb i="13270"/>
        </ext>
      </extLst>
    </bk>
    <bk>
      <extLst>
        <ext uri="{3e2802c4-a4d2-4d8b-9148-e3be6c30e623}">
          <xlrd:rvb i="13271"/>
        </ext>
      </extLst>
    </bk>
    <bk>
      <extLst>
        <ext uri="{3e2802c4-a4d2-4d8b-9148-e3be6c30e623}">
          <xlrd:rvb i="13272"/>
        </ext>
      </extLst>
    </bk>
    <bk>
      <extLst>
        <ext uri="{3e2802c4-a4d2-4d8b-9148-e3be6c30e623}">
          <xlrd:rvb i="13273"/>
        </ext>
      </extLst>
    </bk>
    <bk>
      <extLst>
        <ext uri="{3e2802c4-a4d2-4d8b-9148-e3be6c30e623}">
          <xlrd:rvb i="13274"/>
        </ext>
      </extLst>
    </bk>
    <bk>
      <extLst>
        <ext uri="{3e2802c4-a4d2-4d8b-9148-e3be6c30e623}">
          <xlrd:rvb i="13275"/>
        </ext>
      </extLst>
    </bk>
    <bk>
      <extLst>
        <ext uri="{3e2802c4-a4d2-4d8b-9148-e3be6c30e623}">
          <xlrd:rvb i="13276"/>
        </ext>
      </extLst>
    </bk>
    <bk>
      <extLst>
        <ext uri="{3e2802c4-a4d2-4d8b-9148-e3be6c30e623}">
          <xlrd:rvb i="13277"/>
        </ext>
      </extLst>
    </bk>
    <bk>
      <extLst>
        <ext uri="{3e2802c4-a4d2-4d8b-9148-e3be6c30e623}">
          <xlrd:rvb i="13278"/>
        </ext>
      </extLst>
    </bk>
    <bk>
      <extLst>
        <ext uri="{3e2802c4-a4d2-4d8b-9148-e3be6c30e623}">
          <xlrd:rvb i="13279"/>
        </ext>
      </extLst>
    </bk>
    <bk>
      <extLst>
        <ext uri="{3e2802c4-a4d2-4d8b-9148-e3be6c30e623}">
          <xlrd:rvb i="13280"/>
        </ext>
      </extLst>
    </bk>
    <bk>
      <extLst>
        <ext uri="{3e2802c4-a4d2-4d8b-9148-e3be6c30e623}">
          <xlrd:rvb i="13281"/>
        </ext>
      </extLst>
    </bk>
    <bk>
      <extLst>
        <ext uri="{3e2802c4-a4d2-4d8b-9148-e3be6c30e623}">
          <xlrd:rvb i="13282"/>
        </ext>
      </extLst>
    </bk>
    <bk>
      <extLst>
        <ext uri="{3e2802c4-a4d2-4d8b-9148-e3be6c30e623}">
          <xlrd:rvb i="13283"/>
        </ext>
      </extLst>
    </bk>
    <bk>
      <extLst>
        <ext uri="{3e2802c4-a4d2-4d8b-9148-e3be6c30e623}">
          <xlrd:rvb i="13284"/>
        </ext>
      </extLst>
    </bk>
    <bk>
      <extLst>
        <ext uri="{3e2802c4-a4d2-4d8b-9148-e3be6c30e623}">
          <xlrd:rvb i="13285"/>
        </ext>
      </extLst>
    </bk>
    <bk>
      <extLst>
        <ext uri="{3e2802c4-a4d2-4d8b-9148-e3be6c30e623}">
          <xlrd:rvb i="13286"/>
        </ext>
      </extLst>
    </bk>
    <bk>
      <extLst>
        <ext uri="{3e2802c4-a4d2-4d8b-9148-e3be6c30e623}">
          <xlrd:rvb i="13287"/>
        </ext>
      </extLst>
    </bk>
    <bk>
      <extLst>
        <ext uri="{3e2802c4-a4d2-4d8b-9148-e3be6c30e623}">
          <xlrd:rvb i="13288"/>
        </ext>
      </extLst>
    </bk>
    <bk>
      <extLst>
        <ext uri="{3e2802c4-a4d2-4d8b-9148-e3be6c30e623}">
          <xlrd:rvb i="13289"/>
        </ext>
      </extLst>
    </bk>
    <bk>
      <extLst>
        <ext uri="{3e2802c4-a4d2-4d8b-9148-e3be6c30e623}">
          <xlrd:rvb i="13290"/>
        </ext>
      </extLst>
    </bk>
    <bk>
      <extLst>
        <ext uri="{3e2802c4-a4d2-4d8b-9148-e3be6c30e623}">
          <xlrd:rvb i="13291"/>
        </ext>
      </extLst>
    </bk>
    <bk>
      <extLst>
        <ext uri="{3e2802c4-a4d2-4d8b-9148-e3be6c30e623}">
          <xlrd:rvb i="13292"/>
        </ext>
      </extLst>
    </bk>
    <bk>
      <extLst>
        <ext uri="{3e2802c4-a4d2-4d8b-9148-e3be6c30e623}">
          <xlrd:rvb i="13293"/>
        </ext>
      </extLst>
    </bk>
    <bk>
      <extLst>
        <ext uri="{3e2802c4-a4d2-4d8b-9148-e3be6c30e623}">
          <xlrd:rvb i="13294"/>
        </ext>
      </extLst>
    </bk>
    <bk>
      <extLst>
        <ext uri="{3e2802c4-a4d2-4d8b-9148-e3be6c30e623}">
          <xlrd:rvb i="13295"/>
        </ext>
      </extLst>
    </bk>
    <bk>
      <extLst>
        <ext uri="{3e2802c4-a4d2-4d8b-9148-e3be6c30e623}">
          <xlrd:rvb i="13296"/>
        </ext>
      </extLst>
    </bk>
    <bk>
      <extLst>
        <ext uri="{3e2802c4-a4d2-4d8b-9148-e3be6c30e623}">
          <xlrd:rvb i="13297"/>
        </ext>
      </extLst>
    </bk>
    <bk>
      <extLst>
        <ext uri="{3e2802c4-a4d2-4d8b-9148-e3be6c30e623}">
          <xlrd:rvb i="13298"/>
        </ext>
      </extLst>
    </bk>
    <bk>
      <extLst>
        <ext uri="{3e2802c4-a4d2-4d8b-9148-e3be6c30e623}">
          <xlrd:rvb i="13299"/>
        </ext>
      </extLst>
    </bk>
    <bk>
      <extLst>
        <ext uri="{3e2802c4-a4d2-4d8b-9148-e3be6c30e623}">
          <xlrd:rvb i="13300"/>
        </ext>
      </extLst>
    </bk>
    <bk>
      <extLst>
        <ext uri="{3e2802c4-a4d2-4d8b-9148-e3be6c30e623}">
          <xlrd:rvb i="13301"/>
        </ext>
      </extLst>
    </bk>
    <bk>
      <extLst>
        <ext uri="{3e2802c4-a4d2-4d8b-9148-e3be6c30e623}">
          <xlrd:rvb i="13302"/>
        </ext>
      </extLst>
    </bk>
    <bk>
      <extLst>
        <ext uri="{3e2802c4-a4d2-4d8b-9148-e3be6c30e623}">
          <xlrd:rvb i="13303"/>
        </ext>
      </extLst>
    </bk>
    <bk>
      <extLst>
        <ext uri="{3e2802c4-a4d2-4d8b-9148-e3be6c30e623}">
          <xlrd:rvb i="13304"/>
        </ext>
      </extLst>
    </bk>
    <bk>
      <extLst>
        <ext uri="{3e2802c4-a4d2-4d8b-9148-e3be6c30e623}">
          <xlrd:rvb i="13305"/>
        </ext>
      </extLst>
    </bk>
    <bk>
      <extLst>
        <ext uri="{3e2802c4-a4d2-4d8b-9148-e3be6c30e623}">
          <xlrd:rvb i="13306"/>
        </ext>
      </extLst>
    </bk>
    <bk>
      <extLst>
        <ext uri="{3e2802c4-a4d2-4d8b-9148-e3be6c30e623}">
          <xlrd:rvb i="13307"/>
        </ext>
      </extLst>
    </bk>
    <bk>
      <extLst>
        <ext uri="{3e2802c4-a4d2-4d8b-9148-e3be6c30e623}">
          <xlrd:rvb i="13308"/>
        </ext>
      </extLst>
    </bk>
    <bk>
      <extLst>
        <ext uri="{3e2802c4-a4d2-4d8b-9148-e3be6c30e623}">
          <xlrd:rvb i="13309"/>
        </ext>
      </extLst>
    </bk>
    <bk>
      <extLst>
        <ext uri="{3e2802c4-a4d2-4d8b-9148-e3be6c30e623}">
          <xlrd:rvb i="13310"/>
        </ext>
      </extLst>
    </bk>
    <bk>
      <extLst>
        <ext uri="{3e2802c4-a4d2-4d8b-9148-e3be6c30e623}">
          <xlrd:rvb i="13311"/>
        </ext>
      </extLst>
    </bk>
    <bk>
      <extLst>
        <ext uri="{3e2802c4-a4d2-4d8b-9148-e3be6c30e623}">
          <xlrd:rvb i="13312"/>
        </ext>
      </extLst>
    </bk>
    <bk>
      <extLst>
        <ext uri="{3e2802c4-a4d2-4d8b-9148-e3be6c30e623}">
          <xlrd:rvb i="13313"/>
        </ext>
      </extLst>
    </bk>
    <bk>
      <extLst>
        <ext uri="{3e2802c4-a4d2-4d8b-9148-e3be6c30e623}">
          <xlrd:rvb i="13314"/>
        </ext>
      </extLst>
    </bk>
    <bk>
      <extLst>
        <ext uri="{3e2802c4-a4d2-4d8b-9148-e3be6c30e623}">
          <xlrd:rvb i="13315"/>
        </ext>
      </extLst>
    </bk>
    <bk>
      <extLst>
        <ext uri="{3e2802c4-a4d2-4d8b-9148-e3be6c30e623}">
          <xlrd:rvb i="13316"/>
        </ext>
      </extLst>
    </bk>
    <bk>
      <extLst>
        <ext uri="{3e2802c4-a4d2-4d8b-9148-e3be6c30e623}">
          <xlrd:rvb i="13317"/>
        </ext>
      </extLst>
    </bk>
    <bk>
      <extLst>
        <ext uri="{3e2802c4-a4d2-4d8b-9148-e3be6c30e623}">
          <xlrd:rvb i="13318"/>
        </ext>
      </extLst>
    </bk>
    <bk>
      <extLst>
        <ext uri="{3e2802c4-a4d2-4d8b-9148-e3be6c30e623}">
          <xlrd:rvb i="13319"/>
        </ext>
      </extLst>
    </bk>
    <bk>
      <extLst>
        <ext uri="{3e2802c4-a4d2-4d8b-9148-e3be6c30e623}">
          <xlrd:rvb i="13320"/>
        </ext>
      </extLst>
    </bk>
    <bk>
      <extLst>
        <ext uri="{3e2802c4-a4d2-4d8b-9148-e3be6c30e623}">
          <xlrd:rvb i="13321"/>
        </ext>
      </extLst>
    </bk>
    <bk>
      <extLst>
        <ext uri="{3e2802c4-a4d2-4d8b-9148-e3be6c30e623}">
          <xlrd:rvb i="13322"/>
        </ext>
      </extLst>
    </bk>
    <bk>
      <extLst>
        <ext uri="{3e2802c4-a4d2-4d8b-9148-e3be6c30e623}">
          <xlrd:rvb i="13323"/>
        </ext>
      </extLst>
    </bk>
    <bk>
      <extLst>
        <ext uri="{3e2802c4-a4d2-4d8b-9148-e3be6c30e623}">
          <xlrd:rvb i="13324"/>
        </ext>
      </extLst>
    </bk>
    <bk>
      <extLst>
        <ext uri="{3e2802c4-a4d2-4d8b-9148-e3be6c30e623}">
          <xlrd:rvb i="13325"/>
        </ext>
      </extLst>
    </bk>
    <bk>
      <extLst>
        <ext uri="{3e2802c4-a4d2-4d8b-9148-e3be6c30e623}">
          <xlrd:rvb i="13326"/>
        </ext>
      </extLst>
    </bk>
    <bk>
      <extLst>
        <ext uri="{3e2802c4-a4d2-4d8b-9148-e3be6c30e623}">
          <xlrd:rvb i="13327"/>
        </ext>
      </extLst>
    </bk>
    <bk>
      <extLst>
        <ext uri="{3e2802c4-a4d2-4d8b-9148-e3be6c30e623}">
          <xlrd:rvb i="13328"/>
        </ext>
      </extLst>
    </bk>
    <bk>
      <extLst>
        <ext uri="{3e2802c4-a4d2-4d8b-9148-e3be6c30e623}">
          <xlrd:rvb i="13329"/>
        </ext>
      </extLst>
    </bk>
    <bk>
      <extLst>
        <ext uri="{3e2802c4-a4d2-4d8b-9148-e3be6c30e623}">
          <xlrd:rvb i="13330"/>
        </ext>
      </extLst>
    </bk>
    <bk>
      <extLst>
        <ext uri="{3e2802c4-a4d2-4d8b-9148-e3be6c30e623}">
          <xlrd:rvb i="13331"/>
        </ext>
      </extLst>
    </bk>
    <bk>
      <extLst>
        <ext uri="{3e2802c4-a4d2-4d8b-9148-e3be6c30e623}">
          <xlrd:rvb i="13332"/>
        </ext>
      </extLst>
    </bk>
    <bk>
      <extLst>
        <ext uri="{3e2802c4-a4d2-4d8b-9148-e3be6c30e623}">
          <xlrd:rvb i="13333"/>
        </ext>
      </extLst>
    </bk>
    <bk>
      <extLst>
        <ext uri="{3e2802c4-a4d2-4d8b-9148-e3be6c30e623}">
          <xlrd:rvb i="13334"/>
        </ext>
      </extLst>
    </bk>
    <bk>
      <extLst>
        <ext uri="{3e2802c4-a4d2-4d8b-9148-e3be6c30e623}">
          <xlrd:rvb i="13335"/>
        </ext>
      </extLst>
    </bk>
    <bk>
      <extLst>
        <ext uri="{3e2802c4-a4d2-4d8b-9148-e3be6c30e623}">
          <xlrd:rvb i="13336"/>
        </ext>
      </extLst>
    </bk>
    <bk>
      <extLst>
        <ext uri="{3e2802c4-a4d2-4d8b-9148-e3be6c30e623}">
          <xlrd:rvb i="13337"/>
        </ext>
      </extLst>
    </bk>
    <bk>
      <extLst>
        <ext uri="{3e2802c4-a4d2-4d8b-9148-e3be6c30e623}">
          <xlrd:rvb i="13338"/>
        </ext>
      </extLst>
    </bk>
    <bk>
      <extLst>
        <ext uri="{3e2802c4-a4d2-4d8b-9148-e3be6c30e623}">
          <xlrd:rvb i="13339"/>
        </ext>
      </extLst>
    </bk>
    <bk>
      <extLst>
        <ext uri="{3e2802c4-a4d2-4d8b-9148-e3be6c30e623}">
          <xlrd:rvb i="13340"/>
        </ext>
      </extLst>
    </bk>
    <bk>
      <extLst>
        <ext uri="{3e2802c4-a4d2-4d8b-9148-e3be6c30e623}">
          <xlrd:rvb i="13341"/>
        </ext>
      </extLst>
    </bk>
    <bk>
      <extLst>
        <ext uri="{3e2802c4-a4d2-4d8b-9148-e3be6c30e623}">
          <xlrd:rvb i="13342"/>
        </ext>
      </extLst>
    </bk>
    <bk>
      <extLst>
        <ext uri="{3e2802c4-a4d2-4d8b-9148-e3be6c30e623}">
          <xlrd:rvb i="13343"/>
        </ext>
      </extLst>
    </bk>
    <bk>
      <extLst>
        <ext uri="{3e2802c4-a4d2-4d8b-9148-e3be6c30e623}">
          <xlrd:rvb i="13344"/>
        </ext>
      </extLst>
    </bk>
    <bk>
      <extLst>
        <ext uri="{3e2802c4-a4d2-4d8b-9148-e3be6c30e623}">
          <xlrd:rvb i="13345"/>
        </ext>
      </extLst>
    </bk>
    <bk>
      <extLst>
        <ext uri="{3e2802c4-a4d2-4d8b-9148-e3be6c30e623}">
          <xlrd:rvb i="13346"/>
        </ext>
      </extLst>
    </bk>
    <bk>
      <extLst>
        <ext uri="{3e2802c4-a4d2-4d8b-9148-e3be6c30e623}">
          <xlrd:rvb i="13347"/>
        </ext>
      </extLst>
    </bk>
    <bk>
      <extLst>
        <ext uri="{3e2802c4-a4d2-4d8b-9148-e3be6c30e623}">
          <xlrd:rvb i="13348"/>
        </ext>
      </extLst>
    </bk>
    <bk>
      <extLst>
        <ext uri="{3e2802c4-a4d2-4d8b-9148-e3be6c30e623}">
          <xlrd:rvb i="13349"/>
        </ext>
      </extLst>
    </bk>
    <bk>
      <extLst>
        <ext uri="{3e2802c4-a4d2-4d8b-9148-e3be6c30e623}">
          <xlrd:rvb i="13350"/>
        </ext>
      </extLst>
    </bk>
    <bk>
      <extLst>
        <ext uri="{3e2802c4-a4d2-4d8b-9148-e3be6c30e623}">
          <xlrd:rvb i="13351"/>
        </ext>
      </extLst>
    </bk>
    <bk>
      <extLst>
        <ext uri="{3e2802c4-a4d2-4d8b-9148-e3be6c30e623}">
          <xlrd:rvb i="13352"/>
        </ext>
      </extLst>
    </bk>
    <bk>
      <extLst>
        <ext uri="{3e2802c4-a4d2-4d8b-9148-e3be6c30e623}">
          <xlrd:rvb i="13353"/>
        </ext>
      </extLst>
    </bk>
    <bk>
      <extLst>
        <ext uri="{3e2802c4-a4d2-4d8b-9148-e3be6c30e623}">
          <xlrd:rvb i="13354"/>
        </ext>
      </extLst>
    </bk>
    <bk>
      <extLst>
        <ext uri="{3e2802c4-a4d2-4d8b-9148-e3be6c30e623}">
          <xlrd:rvb i="13355"/>
        </ext>
      </extLst>
    </bk>
    <bk>
      <extLst>
        <ext uri="{3e2802c4-a4d2-4d8b-9148-e3be6c30e623}">
          <xlrd:rvb i="13356"/>
        </ext>
      </extLst>
    </bk>
    <bk>
      <extLst>
        <ext uri="{3e2802c4-a4d2-4d8b-9148-e3be6c30e623}">
          <xlrd:rvb i="13357"/>
        </ext>
      </extLst>
    </bk>
    <bk>
      <extLst>
        <ext uri="{3e2802c4-a4d2-4d8b-9148-e3be6c30e623}">
          <xlrd:rvb i="13358"/>
        </ext>
      </extLst>
    </bk>
    <bk>
      <extLst>
        <ext uri="{3e2802c4-a4d2-4d8b-9148-e3be6c30e623}">
          <xlrd:rvb i="13359"/>
        </ext>
      </extLst>
    </bk>
    <bk>
      <extLst>
        <ext uri="{3e2802c4-a4d2-4d8b-9148-e3be6c30e623}">
          <xlrd:rvb i="13360"/>
        </ext>
      </extLst>
    </bk>
    <bk>
      <extLst>
        <ext uri="{3e2802c4-a4d2-4d8b-9148-e3be6c30e623}">
          <xlrd:rvb i="13361"/>
        </ext>
      </extLst>
    </bk>
    <bk>
      <extLst>
        <ext uri="{3e2802c4-a4d2-4d8b-9148-e3be6c30e623}">
          <xlrd:rvb i="13362"/>
        </ext>
      </extLst>
    </bk>
    <bk>
      <extLst>
        <ext uri="{3e2802c4-a4d2-4d8b-9148-e3be6c30e623}">
          <xlrd:rvb i="13363"/>
        </ext>
      </extLst>
    </bk>
    <bk>
      <extLst>
        <ext uri="{3e2802c4-a4d2-4d8b-9148-e3be6c30e623}">
          <xlrd:rvb i="13364"/>
        </ext>
      </extLst>
    </bk>
    <bk>
      <extLst>
        <ext uri="{3e2802c4-a4d2-4d8b-9148-e3be6c30e623}">
          <xlrd:rvb i="13365"/>
        </ext>
      </extLst>
    </bk>
    <bk>
      <extLst>
        <ext uri="{3e2802c4-a4d2-4d8b-9148-e3be6c30e623}">
          <xlrd:rvb i="13366"/>
        </ext>
      </extLst>
    </bk>
    <bk>
      <extLst>
        <ext uri="{3e2802c4-a4d2-4d8b-9148-e3be6c30e623}">
          <xlrd:rvb i="13367"/>
        </ext>
      </extLst>
    </bk>
    <bk>
      <extLst>
        <ext uri="{3e2802c4-a4d2-4d8b-9148-e3be6c30e623}">
          <xlrd:rvb i="13368"/>
        </ext>
      </extLst>
    </bk>
    <bk>
      <extLst>
        <ext uri="{3e2802c4-a4d2-4d8b-9148-e3be6c30e623}">
          <xlrd:rvb i="13369"/>
        </ext>
      </extLst>
    </bk>
    <bk>
      <extLst>
        <ext uri="{3e2802c4-a4d2-4d8b-9148-e3be6c30e623}">
          <xlrd:rvb i="13370"/>
        </ext>
      </extLst>
    </bk>
    <bk>
      <extLst>
        <ext uri="{3e2802c4-a4d2-4d8b-9148-e3be6c30e623}">
          <xlrd:rvb i="13371"/>
        </ext>
      </extLst>
    </bk>
    <bk>
      <extLst>
        <ext uri="{3e2802c4-a4d2-4d8b-9148-e3be6c30e623}">
          <xlrd:rvb i="13372"/>
        </ext>
      </extLst>
    </bk>
    <bk>
      <extLst>
        <ext uri="{3e2802c4-a4d2-4d8b-9148-e3be6c30e623}">
          <xlrd:rvb i="13373"/>
        </ext>
      </extLst>
    </bk>
    <bk>
      <extLst>
        <ext uri="{3e2802c4-a4d2-4d8b-9148-e3be6c30e623}">
          <xlrd:rvb i="13374"/>
        </ext>
      </extLst>
    </bk>
    <bk>
      <extLst>
        <ext uri="{3e2802c4-a4d2-4d8b-9148-e3be6c30e623}">
          <xlrd:rvb i="13375"/>
        </ext>
      </extLst>
    </bk>
    <bk>
      <extLst>
        <ext uri="{3e2802c4-a4d2-4d8b-9148-e3be6c30e623}">
          <xlrd:rvb i="13376"/>
        </ext>
      </extLst>
    </bk>
    <bk>
      <extLst>
        <ext uri="{3e2802c4-a4d2-4d8b-9148-e3be6c30e623}">
          <xlrd:rvb i="13377"/>
        </ext>
      </extLst>
    </bk>
    <bk>
      <extLst>
        <ext uri="{3e2802c4-a4d2-4d8b-9148-e3be6c30e623}">
          <xlrd:rvb i="13378"/>
        </ext>
      </extLst>
    </bk>
    <bk>
      <extLst>
        <ext uri="{3e2802c4-a4d2-4d8b-9148-e3be6c30e623}">
          <xlrd:rvb i="13379"/>
        </ext>
      </extLst>
    </bk>
    <bk>
      <extLst>
        <ext uri="{3e2802c4-a4d2-4d8b-9148-e3be6c30e623}">
          <xlrd:rvb i="13380"/>
        </ext>
      </extLst>
    </bk>
    <bk>
      <extLst>
        <ext uri="{3e2802c4-a4d2-4d8b-9148-e3be6c30e623}">
          <xlrd:rvb i="13381"/>
        </ext>
      </extLst>
    </bk>
    <bk>
      <extLst>
        <ext uri="{3e2802c4-a4d2-4d8b-9148-e3be6c30e623}">
          <xlrd:rvb i="13382"/>
        </ext>
      </extLst>
    </bk>
    <bk>
      <extLst>
        <ext uri="{3e2802c4-a4d2-4d8b-9148-e3be6c30e623}">
          <xlrd:rvb i="13383"/>
        </ext>
      </extLst>
    </bk>
    <bk>
      <extLst>
        <ext uri="{3e2802c4-a4d2-4d8b-9148-e3be6c30e623}">
          <xlrd:rvb i="13384"/>
        </ext>
      </extLst>
    </bk>
    <bk>
      <extLst>
        <ext uri="{3e2802c4-a4d2-4d8b-9148-e3be6c30e623}">
          <xlrd:rvb i="13385"/>
        </ext>
      </extLst>
    </bk>
    <bk>
      <extLst>
        <ext uri="{3e2802c4-a4d2-4d8b-9148-e3be6c30e623}">
          <xlrd:rvb i="13386"/>
        </ext>
      </extLst>
    </bk>
    <bk>
      <extLst>
        <ext uri="{3e2802c4-a4d2-4d8b-9148-e3be6c30e623}">
          <xlrd:rvb i="13387"/>
        </ext>
      </extLst>
    </bk>
    <bk>
      <extLst>
        <ext uri="{3e2802c4-a4d2-4d8b-9148-e3be6c30e623}">
          <xlrd:rvb i="13388"/>
        </ext>
      </extLst>
    </bk>
    <bk>
      <extLst>
        <ext uri="{3e2802c4-a4d2-4d8b-9148-e3be6c30e623}">
          <xlrd:rvb i="13389"/>
        </ext>
      </extLst>
    </bk>
    <bk>
      <extLst>
        <ext uri="{3e2802c4-a4d2-4d8b-9148-e3be6c30e623}">
          <xlrd:rvb i="13390"/>
        </ext>
      </extLst>
    </bk>
    <bk>
      <extLst>
        <ext uri="{3e2802c4-a4d2-4d8b-9148-e3be6c30e623}">
          <xlrd:rvb i="13391"/>
        </ext>
      </extLst>
    </bk>
    <bk>
      <extLst>
        <ext uri="{3e2802c4-a4d2-4d8b-9148-e3be6c30e623}">
          <xlrd:rvb i="13392"/>
        </ext>
      </extLst>
    </bk>
    <bk>
      <extLst>
        <ext uri="{3e2802c4-a4d2-4d8b-9148-e3be6c30e623}">
          <xlrd:rvb i="13393"/>
        </ext>
      </extLst>
    </bk>
    <bk>
      <extLst>
        <ext uri="{3e2802c4-a4d2-4d8b-9148-e3be6c30e623}">
          <xlrd:rvb i="13394"/>
        </ext>
      </extLst>
    </bk>
    <bk>
      <extLst>
        <ext uri="{3e2802c4-a4d2-4d8b-9148-e3be6c30e623}">
          <xlrd:rvb i="13395"/>
        </ext>
      </extLst>
    </bk>
    <bk>
      <extLst>
        <ext uri="{3e2802c4-a4d2-4d8b-9148-e3be6c30e623}">
          <xlrd:rvb i="13396"/>
        </ext>
      </extLst>
    </bk>
    <bk>
      <extLst>
        <ext uri="{3e2802c4-a4d2-4d8b-9148-e3be6c30e623}">
          <xlrd:rvb i="13397"/>
        </ext>
      </extLst>
    </bk>
    <bk>
      <extLst>
        <ext uri="{3e2802c4-a4d2-4d8b-9148-e3be6c30e623}">
          <xlrd:rvb i="13398"/>
        </ext>
      </extLst>
    </bk>
    <bk>
      <extLst>
        <ext uri="{3e2802c4-a4d2-4d8b-9148-e3be6c30e623}">
          <xlrd:rvb i="13399"/>
        </ext>
      </extLst>
    </bk>
    <bk>
      <extLst>
        <ext uri="{3e2802c4-a4d2-4d8b-9148-e3be6c30e623}">
          <xlrd:rvb i="13400"/>
        </ext>
      </extLst>
    </bk>
    <bk>
      <extLst>
        <ext uri="{3e2802c4-a4d2-4d8b-9148-e3be6c30e623}">
          <xlrd:rvb i="13401"/>
        </ext>
      </extLst>
    </bk>
    <bk>
      <extLst>
        <ext uri="{3e2802c4-a4d2-4d8b-9148-e3be6c30e623}">
          <xlrd:rvb i="13402"/>
        </ext>
      </extLst>
    </bk>
    <bk>
      <extLst>
        <ext uri="{3e2802c4-a4d2-4d8b-9148-e3be6c30e623}">
          <xlrd:rvb i="13403"/>
        </ext>
      </extLst>
    </bk>
    <bk>
      <extLst>
        <ext uri="{3e2802c4-a4d2-4d8b-9148-e3be6c30e623}">
          <xlrd:rvb i="13404"/>
        </ext>
      </extLst>
    </bk>
    <bk>
      <extLst>
        <ext uri="{3e2802c4-a4d2-4d8b-9148-e3be6c30e623}">
          <xlrd:rvb i="13405"/>
        </ext>
      </extLst>
    </bk>
    <bk>
      <extLst>
        <ext uri="{3e2802c4-a4d2-4d8b-9148-e3be6c30e623}">
          <xlrd:rvb i="13406"/>
        </ext>
      </extLst>
    </bk>
    <bk>
      <extLst>
        <ext uri="{3e2802c4-a4d2-4d8b-9148-e3be6c30e623}">
          <xlrd:rvb i="13407"/>
        </ext>
      </extLst>
    </bk>
    <bk>
      <extLst>
        <ext uri="{3e2802c4-a4d2-4d8b-9148-e3be6c30e623}">
          <xlrd:rvb i="13408"/>
        </ext>
      </extLst>
    </bk>
    <bk>
      <extLst>
        <ext uri="{3e2802c4-a4d2-4d8b-9148-e3be6c30e623}">
          <xlrd:rvb i="13409"/>
        </ext>
      </extLst>
    </bk>
    <bk>
      <extLst>
        <ext uri="{3e2802c4-a4d2-4d8b-9148-e3be6c30e623}">
          <xlrd:rvb i="13410"/>
        </ext>
      </extLst>
    </bk>
    <bk>
      <extLst>
        <ext uri="{3e2802c4-a4d2-4d8b-9148-e3be6c30e623}">
          <xlrd:rvb i="13411"/>
        </ext>
      </extLst>
    </bk>
    <bk>
      <extLst>
        <ext uri="{3e2802c4-a4d2-4d8b-9148-e3be6c30e623}">
          <xlrd:rvb i="13412"/>
        </ext>
      </extLst>
    </bk>
    <bk>
      <extLst>
        <ext uri="{3e2802c4-a4d2-4d8b-9148-e3be6c30e623}">
          <xlrd:rvb i="13413"/>
        </ext>
      </extLst>
    </bk>
    <bk>
      <extLst>
        <ext uri="{3e2802c4-a4d2-4d8b-9148-e3be6c30e623}">
          <xlrd:rvb i="13414"/>
        </ext>
      </extLst>
    </bk>
    <bk>
      <extLst>
        <ext uri="{3e2802c4-a4d2-4d8b-9148-e3be6c30e623}">
          <xlrd:rvb i="13415"/>
        </ext>
      </extLst>
    </bk>
    <bk>
      <extLst>
        <ext uri="{3e2802c4-a4d2-4d8b-9148-e3be6c30e623}">
          <xlrd:rvb i="13416"/>
        </ext>
      </extLst>
    </bk>
    <bk>
      <extLst>
        <ext uri="{3e2802c4-a4d2-4d8b-9148-e3be6c30e623}">
          <xlrd:rvb i="13417"/>
        </ext>
      </extLst>
    </bk>
    <bk>
      <extLst>
        <ext uri="{3e2802c4-a4d2-4d8b-9148-e3be6c30e623}">
          <xlrd:rvb i="13418"/>
        </ext>
      </extLst>
    </bk>
    <bk>
      <extLst>
        <ext uri="{3e2802c4-a4d2-4d8b-9148-e3be6c30e623}">
          <xlrd:rvb i="13419"/>
        </ext>
      </extLst>
    </bk>
    <bk>
      <extLst>
        <ext uri="{3e2802c4-a4d2-4d8b-9148-e3be6c30e623}">
          <xlrd:rvb i="13420"/>
        </ext>
      </extLst>
    </bk>
    <bk>
      <extLst>
        <ext uri="{3e2802c4-a4d2-4d8b-9148-e3be6c30e623}">
          <xlrd:rvb i="13421"/>
        </ext>
      </extLst>
    </bk>
    <bk>
      <extLst>
        <ext uri="{3e2802c4-a4d2-4d8b-9148-e3be6c30e623}">
          <xlrd:rvb i="13422"/>
        </ext>
      </extLst>
    </bk>
    <bk>
      <extLst>
        <ext uri="{3e2802c4-a4d2-4d8b-9148-e3be6c30e623}">
          <xlrd:rvb i="13423"/>
        </ext>
      </extLst>
    </bk>
    <bk>
      <extLst>
        <ext uri="{3e2802c4-a4d2-4d8b-9148-e3be6c30e623}">
          <xlrd:rvb i="13424"/>
        </ext>
      </extLst>
    </bk>
    <bk>
      <extLst>
        <ext uri="{3e2802c4-a4d2-4d8b-9148-e3be6c30e623}">
          <xlrd:rvb i="13425"/>
        </ext>
      </extLst>
    </bk>
    <bk>
      <extLst>
        <ext uri="{3e2802c4-a4d2-4d8b-9148-e3be6c30e623}">
          <xlrd:rvb i="13426"/>
        </ext>
      </extLst>
    </bk>
    <bk>
      <extLst>
        <ext uri="{3e2802c4-a4d2-4d8b-9148-e3be6c30e623}">
          <xlrd:rvb i="13427"/>
        </ext>
      </extLst>
    </bk>
    <bk>
      <extLst>
        <ext uri="{3e2802c4-a4d2-4d8b-9148-e3be6c30e623}">
          <xlrd:rvb i="13428"/>
        </ext>
      </extLst>
    </bk>
    <bk>
      <extLst>
        <ext uri="{3e2802c4-a4d2-4d8b-9148-e3be6c30e623}">
          <xlrd:rvb i="13429"/>
        </ext>
      </extLst>
    </bk>
    <bk>
      <extLst>
        <ext uri="{3e2802c4-a4d2-4d8b-9148-e3be6c30e623}">
          <xlrd:rvb i="13430"/>
        </ext>
      </extLst>
    </bk>
    <bk>
      <extLst>
        <ext uri="{3e2802c4-a4d2-4d8b-9148-e3be6c30e623}">
          <xlrd:rvb i="13431"/>
        </ext>
      </extLst>
    </bk>
    <bk>
      <extLst>
        <ext uri="{3e2802c4-a4d2-4d8b-9148-e3be6c30e623}">
          <xlrd:rvb i="13432"/>
        </ext>
      </extLst>
    </bk>
    <bk>
      <extLst>
        <ext uri="{3e2802c4-a4d2-4d8b-9148-e3be6c30e623}">
          <xlrd:rvb i="13433"/>
        </ext>
      </extLst>
    </bk>
    <bk>
      <extLst>
        <ext uri="{3e2802c4-a4d2-4d8b-9148-e3be6c30e623}">
          <xlrd:rvb i="13434"/>
        </ext>
      </extLst>
    </bk>
    <bk>
      <extLst>
        <ext uri="{3e2802c4-a4d2-4d8b-9148-e3be6c30e623}">
          <xlrd:rvb i="13435"/>
        </ext>
      </extLst>
    </bk>
    <bk>
      <extLst>
        <ext uri="{3e2802c4-a4d2-4d8b-9148-e3be6c30e623}">
          <xlrd:rvb i="13436"/>
        </ext>
      </extLst>
    </bk>
    <bk>
      <extLst>
        <ext uri="{3e2802c4-a4d2-4d8b-9148-e3be6c30e623}">
          <xlrd:rvb i="13437"/>
        </ext>
      </extLst>
    </bk>
    <bk>
      <extLst>
        <ext uri="{3e2802c4-a4d2-4d8b-9148-e3be6c30e623}">
          <xlrd:rvb i="13438"/>
        </ext>
      </extLst>
    </bk>
    <bk>
      <extLst>
        <ext uri="{3e2802c4-a4d2-4d8b-9148-e3be6c30e623}">
          <xlrd:rvb i="13439"/>
        </ext>
      </extLst>
    </bk>
    <bk>
      <extLst>
        <ext uri="{3e2802c4-a4d2-4d8b-9148-e3be6c30e623}">
          <xlrd:rvb i="13440"/>
        </ext>
      </extLst>
    </bk>
    <bk>
      <extLst>
        <ext uri="{3e2802c4-a4d2-4d8b-9148-e3be6c30e623}">
          <xlrd:rvb i="13441"/>
        </ext>
      </extLst>
    </bk>
    <bk>
      <extLst>
        <ext uri="{3e2802c4-a4d2-4d8b-9148-e3be6c30e623}">
          <xlrd:rvb i="13442"/>
        </ext>
      </extLst>
    </bk>
    <bk>
      <extLst>
        <ext uri="{3e2802c4-a4d2-4d8b-9148-e3be6c30e623}">
          <xlrd:rvb i="13443"/>
        </ext>
      </extLst>
    </bk>
    <bk>
      <extLst>
        <ext uri="{3e2802c4-a4d2-4d8b-9148-e3be6c30e623}">
          <xlrd:rvb i="13444"/>
        </ext>
      </extLst>
    </bk>
    <bk>
      <extLst>
        <ext uri="{3e2802c4-a4d2-4d8b-9148-e3be6c30e623}">
          <xlrd:rvb i="13445"/>
        </ext>
      </extLst>
    </bk>
    <bk>
      <extLst>
        <ext uri="{3e2802c4-a4d2-4d8b-9148-e3be6c30e623}">
          <xlrd:rvb i="13446"/>
        </ext>
      </extLst>
    </bk>
    <bk>
      <extLst>
        <ext uri="{3e2802c4-a4d2-4d8b-9148-e3be6c30e623}">
          <xlrd:rvb i="13447"/>
        </ext>
      </extLst>
    </bk>
    <bk>
      <extLst>
        <ext uri="{3e2802c4-a4d2-4d8b-9148-e3be6c30e623}">
          <xlrd:rvb i="13448"/>
        </ext>
      </extLst>
    </bk>
    <bk>
      <extLst>
        <ext uri="{3e2802c4-a4d2-4d8b-9148-e3be6c30e623}">
          <xlrd:rvb i="13449"/>
        </ext>
      </extLst>
    </bk>
    <bk>
      <extLst>
        <ext uri="{3e2802c4-a4d2-4d8b-9148-e3be6c30e623}">
          <xlrd:rvb i="13450"/>
        </ext>
      </extLst>
    </bk>
    <bk>
      <extLst>
        <ext uri="{3e2802c4-a4d2-4d8b-9148-e3be6c30e623}">
          <xlrd:rvb i="13451"/>
        </ext>
      </extLst>
    </bk>
    <bk>
      <extLst>
        <ext uri="{3e2802c4-a4d2-4d8b-9148-e3be6c30e623}">
          <xlrd:rvb i="13452"/>
        </ext>
      </extLst>
    </bk>
    <bk>
      <extLst>
        <ext uri="{3e2802c4-a4d2-4d8b-9148-e3be6c30e623}">
          <xlrd:rvb i="13453"/>
        </ext>
      </extLst>
    </bk>
    <bk>
      <extLst>
        <ext uri="{3e2802c4-a4d2-4d8b-9148-e3be6c30e623}">
          <xlrd:rvb i="13454"/>
        </ext>
      </extLst>
    </bk>
    <bk>
      <extLst>
        <ext uri="{3e2802c4-a4d2-4d8b-9148-e3be6c30e623}">
          <xlrd:rvb i="13455"/>
        </ext>
      </extLst>
    </bk>
    <bk>
      <extLst>
        <ext uri="{3e2802c4-a4d2-4d8b-9148-e3be6c30e623}">
          <xlrd:rvb i="13456"/>
        </ext>
      </extLst>
    </bk>
    <bk>
      <extLst>
        <ext uri="{3e2802c4-a4d2-4d8b-9148-e3be6c30e623}">
          <xlrd:rvb i="13457"/>
        </ext>
      </extLst>
    </bk>
    <bk>
      <extLst>
        <ext uri="{3e2802c4-a4d2-4d8b-9148-e3be6c30e623}">
          <xlrd:rvb i="13458"/>
        </ext>
      </extLst>
    </bk>
    <bk>
      <extLst>
        <ext uri="{3e2802c4-a4d2-4d8b-9148-e3be6c30e623}">
          <xlrd:rvb i="13459"/>
        </ext>
      </extLst>
    </bk>
    <bk>
      <extLst>
        <ext uri="{3e2802c4-a4d2-4d8b-9148-e3be6c30e623}">
          <xlrd:rvb i="13460"/>
        </ext>
      </extLst>
    </bk>
    <bk>
      <extLst>
        <ext uri="{3e2802c4-a4d2-4d8b-9148-e3be6c30e623}">
          <xlrd:rvb i="13461"/>
        </ext>
      </extLst>
    </bk>
    <bk>
      <extLst>
        <ext uri="{3e2802c4-a4d2-4d8b-9148-e3be6c30e623}">
          <xlrd:rvb i="13462"/>
        </ext>
      </extLst>
    </bk>
    <bk>
      <extLst>
        <ext uri="{3e2802c4-a4d2-4d8b-9148-e3be6c30e623}">
          <xlrd:rvb i="13463"/>
        </ext>
      </extLst>
    </bk>
    <bk>
      <extLst>
        <ext uri="{3e2802c4-a4d2-4d8b-9148-e3be6c30e623}">
          <xlrd:rvb i="13464"/>
        </ext>
      </extLst>
    </bk>
    <bk>
      <extLst>
        <ext uri="{3e2802c4-a4d2-4d8b-9148-e3be6c30e623}">
          <xlrd:rvb i="13465"/>
        </ext>
      </extLst>
    </bk>
    <bk>
      <extLst>
        <ext uri="{3e2802c4-a4d2-4d8b-9148-e3be6c30e623}">
          <xlrd:rvb i="13466"/>
        </ext>
      </extLst>
    </bk>
    <bk>
      <extLst>
        <ext uri="{3e2802c4-a4d2-4d8b-9148-e3be6c30e623}">
          <xlrd:rvb i="13467"/>
        </ext>
      </extLst>
    </bk>
    <bk>
      <extLst>
        <ext uri="{3e2802c4-a4d2-4d8b-9148-e3be6c30e623}">
          <xlrd:rvb i="13468"/>
        </ext>
      </extLst>
    </bk>
    <bk>
      <extLst>
        <ext uri="{3e2802c4-a4d2-4d8b-9148-e3be6c30e623}">
          <xlrd:rvb i="13469"/>
        </ext>
      </extLst>
    </bk>
    <bk>
      <extLst>
        <ext uri="{3e2802c4-a4d2-4d8b-9148-e3be6c30e623}">
          <xlrd:rvb i="13470"/>
        </ext>
      </extLst>
    </bk>
    <bk>
      <extLst>
        <ext uri="{3e2802c4-a4d2-4d8b-9148-e3be6c30e623}">
          <xlrd:rvb i="13471"/>
        </ext>
      </extLst>
    </bk>
    <bk>
      <extLst>
        <ext uri="{3e2802c4-a4d2-4d8b-9148-e3be6c30e623}">
          <xlrd:rvb i="13472"/>
        </ext>
      </extLst>
    </bk>
    <bk>
      <extLst>
        <ext uri="{3e2802c4-a4d2-4d8b-9148-e3be6c30e623}">
          <xlrd:rvb i="13473"/>
        </ext>
      </extLst>
    </bk>
    <bk>
      <extLst>
        <ext uri="{3e2802c4-a4d2-4d8b-9148-e3be6c30e623}">
          <xlrd:rvb i="13474"/>
        </ext>
      </extLst>
    </bk>
    <bk>
      <extLst>
        <ext uri="{3e2802c4-a4d2-4d8b-9148-e3be6c30e623}">
          <xlrd:rvb i="13475"/>
        </ext>
      </extLst>
    </bk>
    <bk>
      <extLst>
        <ext uri="{3e2802c4-a4d2-4d8b-9148-e3be6c30e623}">
          <xlrd:rvb i="13476"/>
        </ext>
      </extLst>
    </bk>
    <bk>
      <extLst>
        <ext uri="{3e2802c4-a4d2-4d8b-9148-e3be6c30e623}">
          <xlrd:rvb i="13477"/>
        </ext>
      </extLst>
    </bk>
    <bk>
      <extLst>
        <ext uri="{3e2802c4-a4d2-4d8b-9148-e3be6c30e623}">
          <xlrd:rvb i="13478"/>
        </ext>
      </extLst>
    </bk>
    <bk>
      <extLst>
        <ext uri="{3e2802c4-a4d2-4d8b-9148-e3be6c30e623}">
          <xlrd:rvb i="13479"/>
        </ext>
      </extLst>
    </bk>
    <bk>
      <extLst>
        <ext uri="{3e2802c4-a4d2-4d8b-9148-e3be6c30e623}">
          <xlrd:rvb i="13480"/>
        </ext>
      </extLst>
    </bk>
    <bk>
      <extLst>
        <ext uri="{3e2802c4-a4d2-4d8b-9148-e3be6c30e623}">
          <xlrd:rvb i="13481"/>
        </ext>
      </extLst>
    </bk>
    <bk>
      <extLst>
        <ext uri="{3e2802c4-a4d2-4d8b-9148-e3be6c30e623}">
          <xlrd:rvb i="13482"/>
        </ext>
      </extLst>
    </bk>
    <bk>
      <extLst>
        <ext uri="{3e2802c4-a4d2-4d8b-9148-e3be6c30e623}">
          <xlrd:rvb i="13483"/>
        </ext>
      </extLst>
    </bk>
    <bk>
      <extLst>
        <ext uri="{3e2802c4-a4d2-4d8b-9148-e3be6c30e623}">
          <xlrd:rvb i="13484"/>
        </ext>
      </extLst>
    </bk>
    <bk>
      <extLst>
        <ext uri="{3e2802c4-a4d2-4d8b-9148-e3be6c30e623}">
          <xlrd:rvb i="13485"/>
        </ext>
      </extLst>
    </bk>
    <bk>
      <extLst>
        <ext uri="{3e2802c4-a4d2-4d8b-9148-e3be6c30e623}">
          <xlrd:rvb i="13486"/>
        </ext>
      </extLst>
    </bk>
    <bk>
      <extLst>
        <ext uri="{3e2802c4-a4d2-4d8b-9148-e3be6c30e623}">
          <xlrd:rvb i="13487"/>
        </ext>
      </extLst>
    </bk>
    <bk>
      <extLst>
        <ext uri="{3e2802c4-a4d2-4d8b-9148-e3be6c30e623}">
          <xlrd:rvb i="13488"/>
        </ext>
      </extLst>
    </bk>
    <bk>
      <extLst>
        <ext uri="{3e2802c4-a4d2-4d8b-9148-e3be6c30e623}">
          <xlrd:rvb i="13489"/>
        </ext>
      </extLst>
    </bk>
    <bk>
      <extLst>
        <ext uri="{3e2802c4-a4d2-4d8b-9148-e3be6c30e623}">
          <xlrd:rvb i="13490"/>
        </ext>
      </extLst>
    </bk>
    <bk>
      <extLst>
        <ext uri="{3e2802c4-a4d2-4d8b-9148-e3be6c30e623}">
          <xlrd:rvb i="13491"/>
        </ext>
      </extLst>
    </bk>
    <bk>
      <extLst>
        <ext uri="{3e2802c4-a4d2-4d8b-9148-e3be6c30e623}">
          <xlrd:rvb i="13492"/>
        </ext>
      </extLst>
    </bk>
    <bk>
      <extLst>
        <ext uri="{3e2802c4-a4d2-4d8b-9148-e3be6c30e623}">
          <xlrd:rvb i="13493"/>
        </ext>
      </extLst>
    </bk>
    <bk>
      <extLst>
        <ext uri="{3e2802c4-a4d2-4d8b-9148-e3be6c30e623}">
          <xlrd:rvb i="13494"/>
        </ext>
      </extLst>
    </bk>
    <bk>
      <extLst>
        <ext uri="{3e2802c4-a4d2-4d8b-9148-e3be6c30e623}">
          <xlrd:rvb i="13495"/>
        </ext>
      </extLst>
    </bk>
    <bk>
      <extLst>
        <ext uri="{3e2802c4-a4d2-4d8b-9148-e3be6c30e623}">
          <xlrd:rvb i="13496"/>
        </ext>
      </extLst>
    </bk>
    <bk>
      <extLst>
        <ext uri="{3e2802c4-a4d2-4d8b-9148-e3be6c30e623}">
          <xlrd:rvb i="13497"/>
        </ext>
      </extLst>
    </bk>
    <bk>
      <extLst>
        <ext uri="{3e2802c4-a4d2-4d8b-9148-e3be6c30e623}">
          <xlrd:rvb i="13498"/>
        </ext>
      </extLst>
    </bk>
    <bk>
      <extLst>
        <ext uri="{3e2802c4-a4d2-4d8b-9148-e3be6c30e623}">
          <xlrd:rvb i="13499"/>
        </ext>
      </extLst>
    </bk>
    <bk>
      <extLst>
        <ext uri="{3e2802c4-a4d2-4d8b-9148-e3be6c30e623}">
          <xlrd:rvb i="13500"/>
        </ext>
      </extLst>
    </bk>
    <bk>
      <extLst>
        <ext uri="{3e2802c4-a4d2-4d8b-9148-e3be6c30e623}">
          <xlrd:rvb i="13501"/>
        </ext>
      </extLst>
    </bk>
    <bk>
      <extLst>
        <ext uri="{3e2802c4-a4d2-4d8b-9148-e3be6c30e623}">
          <xlrd:rvb i="13502"/>
        </ext>
      </extLst>
    </bk>
    <bk>
      <extLst>
        <ext uri="{3e2802c4-a4d2-4d8b-9148-e3be6c30e623}">
          <xlrd:rvb i="13503"/>
        </ext>
      </extLst>
    </bk>
    <bk>
      <extLst>
        <ext uri="{3e2802c4-a4d2-4d8b-9148-e3be6c30e623}">
          <xlrd:rvb i="13504"/>
        </ext>
      </extLst>
    </bk>
    <bk>
      <extLst>
        <ext uri="{3e2802c4-a4d2-4d8b-9148-e3be6c30e623}">
          <xlrd:rvb i="13505"/>
        </ext>
      </extLst>
    </bk>
    <bk>
      <extLst>
        <ext uri="{3e2802c4-a4d2-4d8b-9148-e3be6c30e623}">
          <xlrd:rvb i="13506"/>
        </ext>
      </extLst>
    </bk>
    <bk>
      <extLst>
        <ext uri="{3e2802c4-a4d2-4d8b-9148-e3be6c30e623}">
          <xlrd:rvb i="13507"/>
        </ext>
      </extLst>
    </bk>
    <bk>
      <extLst>
        <ext uri="{3e2802c4-a4d2-4d8b-9148-e3be6c30e623}">
          <xlrd:rvb i="13508"/>
        </ext>
      </extLst>
    </bk>
    <bk>
      <extLst>
        <ext uri="{3e2802c4-a4d2-4d8b-9148-e3be6c30e623}">
          <xlrd:rvb i="13509"/>
        </ext>
      </extLst>
    </bk>
    <bk>
      <extLst>
        <ext uri="{3e2802c4-a4d2-4d8b-9148-e3be6c30e623}">
          <xlrd:rvb i="13510"/>
        </ext>
      </extLst>
    </bk>
    <bk>
      <extLst>
        <ext uri="{3e2802c4-a4d2-4d8b-9148-e3be6c30e623}">
          <xlrd:rvb i="13511"/>
        </ext>
      </extLst>
    </bk>
    <bk>
      <extLst>
        <ext uri="{3e2802c4-a4d2-4d8b-9148-e3be6c30e623}">
          <xlrd:rvb i="13512"/>
        </ext>
      </extLst>
    </bk>
    <bk>
      <extLst>
        <ext uri="{3e2802c4-a4d2-4d8b-9148-e3be6c30e623}">
          <xlrd:rvb i="13513"/>
        </ext>
      </extLst>
    </bk>
    <bk>
      <extLst>
        <ext uri="{3e2802c4-a4d2-4d8b-9148-e3be6c30e623}">
          <xlrd:rvb i="13514"/>
        </ext>
      </extLst>
    </bk>
    <bk>
      <extLst>
        <ext uri="{3e2802c4-a4d2-4d8b-9148-e3be6c30e623}">
          <xlrd:rvb i="13515"/>
        </ext>
      </extLst>
    </bk>
    <bk>
      <extLst>
        <ext uri="{3e2802c4-a4d2-4d8b-9148-e3be6c30e623}">
          <xlrd:rvb i="13516"/>
        </ext>
      </extLst>
    </bk>
    <bk>
      <extLst>
        <ext uri="{3e2802c4-a4d2-4d8b-9148-e3be6c30e623}">
          <xlrd:rvb i="13517"/>
        </ext>
      </extLst>
    </bk>
    <bk>
      <extLst>
        <ext uri="{3e2802c4-a4d2-4d8b-9148-e3be6c30e623}">
          <xlrd:rvb i="13518"/>
        </ext>
      </extLst>
    </bk>
    <bk>
      <extLst>
        <ext uri="{3e2802c4-a4d2-4d8b-9148-e3be6c30e623}">
          <xlrd:rvb i="13519"/>
        </ext>
      </extLst>
    </bk>
    <bk>
      <extLst>
        <ext uri="{3e2802c4-a4d2-4d8b-9148-e3be6c30e623}">
          <xlrd:rvb i="13520"/>
        </ext>
      </extLst>
    </bk>
    <bk>
      <extLst>
        <ext uri="{3e2802c4-a4d2-4d8b-9148-e3be6c30e623}">
          <xlrd:rvb i="13521"/>
        </ext>
      </extLst>
    </bk>
    <bk>
      <extLst>
        <ext uri="{3e2802c4-a4d2-4d8b-9148-e3be6c30e623}">
          <xlrd:rvb i="13522"/>
        </ext>
      </extLst>
    </bk>
    <bk>
      <extLst>
        <ext uri="{3e2802c4-a4d2-4d8b-9148-e3be6c30e623}">
          <xlrd:rvb i="13523"/>
        </ext>
      </extLst>
    </bk>
    <bk>
      <extLst>
        <ext uri="{3e2802c4-a4d2-4d8b-9148-e3be6c30e623}">
          <xlrd:rvb i="13524"/>
        </ext>
      </extLst>
    </bk>
    <bk>
      <extLst>
        <ext uri="{3e2802c4-a4d2-4d8b-9148-e3be6c30e623}">
          <xlrd:rvb i="13525"/>
        </ext>
      </extLst>
    </bk>
    <bk>
      <extLst>
        <ext uri="{3e2802c4-a4d2-4d8b-9148-e3be6c30e623}">
          <xlrd:rvb i="13526"/>
        </ext>
      </extLst>
    </bk>
    <bk>
      <extLst>
        <ext uri="{3e2802c4-a4d2-4d8b-9148-e3be6c30e623}">
          <xlrd:rvb i="13527"/>
        </ext>
      </extLst>
    </bk>
    <bk>
      <extLst>
        <ext uri="{3e2802c4-a4d2-4d8b-9148-e3be6c30e623}">
          <xlrd:rvb i="13528"/>
        </ext>
      </extLst>
    </bk>
    <bk>
      <extLst>
        <ext uri="{3e2802c4-a4d2-4d8b-9148-e3be6c30e623}">
          <xlrd:rvb i="13529"/>
        </ext>
      </extLst>
    </bk>
    <bk>
      <extLst>
        <ext uri="{3e2802c4-a4d2-4d8b-9148-e3be6c30e623}">
          <xlrd:rvb i="13530"/>
        </ext>
      </extLst>
    </bk>
    <bk>
      <extLst>
        <ext uri="{3e2802c4-a4d2-4d8b-9148-e3be6c30e623}">
          <xlrd:rvb i="13531"/>
        </ext>
      </extLst>
    </bk>
    <bk>
      <extLst>
        <ext uri="{3e2802c4-a4d2-4d8b-9148-e3be6c30e623}">
          <xlrd:rvb i="13532"/>
        </ext>
      </extLst>
    </bk>
    <bk>
      <extLst>
        <ext uri="{3e2802c4-a4d2-4d8b-9148-e3be6c30e623}">
          <xlrd:rvb i="13533"/>
        </ext>
      </extLst>
    </bk>
    <bk>
      <extLst>
        <ext uri="{3e2802c4-a4d2-4d8b-9148-e3be6c30e623}">
          <xlrd:rvb i="13534"/>
        </ext>
      </extLst>
    </bk>
    <bk>
      <extLst>
        <ext uri="{3e2802c4-a4d2-4d8b-9148-e3be6c30e623}">
          <xlrd:rvb i="13535"/>
        </ext>
      </extLst>
    </bk>
    <bk>
      <extLst>
        <ext uri="{3e2802c4-a4d2-4d8b-9148-e3be6c30e623}">
          <xlrd:rvb i="13536"/>
        </ext>
      </extLst>
    </bk>
    <bk>
      <extLst>
        <ext uri="{3e2802c4-a4d2-4d8b-9148-e3be6c30e623}">
          <xlrd:rvb i="13537"/>
        </ext>
      </extLst>
    </bk>
    <bk>
      <extLst>
        <ext uri="{3e2802c4-a4d2-4d8b-9148-e3be6c30e623}">
          <xlrd:rvb i="13538"/>
        </ext>
      </extLst>
    </bk>
    <bk>
      <extLst>
        <ext uri="{3e2802c4-a4d2-4d8b-9148-e3be6c30e623}">
          <xlrd:rvb i="13539"/>
        </ext>
      </extLst>
    </bk>
    <bk>
      <extLst>
        <ext uri="{3e2802c4-a4d2-4d8b-9148-e3be6c30e623}">
          <xlrd:rvb i="13540"/>
        </ext>
      </extLst>
    </bk>
    <bk>
      <extLst>
        <ext uri="{3e2802c4-a4d2-4d8b-9148-e3be6c30e623}">
          <xlrd:rvb i="13541"/>
        </ext>
      </extLst>
    </bk>
    <bk>
      <extLst>
        <ext uri="{3e2802c4-a4d2-4d8b-9148-e3be6c30e623}">
          <xlrd:rvb i="13542"/>
        </ext>
      </extLst>
    </bk>
    <bk>
      <extLst>
        <ext uri="{3e2802c4-a4d2-4d8b-9148-e3be6c30e623}">
          <xlrd:rvb i="13543"/>
        </ext>
      </extLst>
    </bk>
    <bk>
      <extLst>
        <ext uri="{3e2802c4-a4d2-4d8b-9148-e3be6c30e623}">
          <xlrd:rvb i="13544"/>
        </ext>
      </extLst>
    </bk>
    <bk>
      <extLst>
        <ext uri="{3e2802c4-a4d2-4d8b-9148-e3be6c30e623}">
          <xlrd:rvb i="13545"/>
        </ext>
      </extLst>
    </bk>
    <bk>
      <extLst>
        <ext uri="{3e2802c4-a4d2-4d8b-9148-e3be6c30e623}">
          <xlrd:rvb i="13546"/>
        </ext>
      </extLst>
    </bk>
    <bk>
      <extLst>
        <ext uri="{3e2802c4-a4d2-4d8b-9148-e3be6c30e623}">
          <xlrd:rvb i="13547"/>
        </ext>
      </extLst>
    </bk>
    <bk>
      <extLst>
        <ext uri="{3e2802c4-a4d2-4d8b-9148-e3be6c30e623}">
          <xlrd:rvb i="13548"/>
        </ext>
      </extLst>
    </bk>
    <bk>
      <extLst>
        <ext uri="{3e2802c4-a4d2-4d8b-9148-e3be6c30e623}">
          <xlrd:rvb i="13549"/>
        </ext>
      </extLst>
    </bk>
    <bk>
      <extLst>
        <ext uri="{3e2802c4-a4d2-4d8b-9148-e3be6c30e623}">
          <xlrd:rvb i="13550"/>
        </ext>
      </extLst>
    </bk>
    <bk>
      <extLst>
        <ext uri="{3e2802c4-a4d2-4d8b-9148-e3be6c30e623}">
          <xlrd:rvb i="13551"/>
        </ext>
      </extLst>
    </bk>
    <bk>
      <extLst>
        <ext uri="{3e2802c4-a4d2-4d8b-9148-e3be6c30e623}">
          <xlrd:rvb i="13552"/>
        </ext>
      </extLst>
    </bk>
    <bk>
      <extLst>
        <ext uri="{3e2802c4-a4d2-4d8b-9148-e3be6c30e623}">
          <xlrd:rvb i="13553"/>
        </ext>
      </extLst>
    </bk>
    <bk>
      <extLst>
        <ext uri="{3e2802c4-a4d2-4d8b-9148-e3be6c30e623}">
          <xlrd:rvb i="13554"/>
        </ext>
      </extLst>
    </bk>
    <bk>
      <extLst>
        <ext uri="{3e2802c4-a4d2-4d8b-9148-e3be6c30e623}">
          <xlrd:rvb i="13555"/>
        </ext>
      </extLst>
    </bk>
    <bk>
      <extLst>
        <ext uri="{3e2802c4-a4d2-4d8b-9148-e3be6c30e623}">
          <xlrd:rvb i="13556"/>
        </ext>
      </extLst>
    </bk>
    <bk>
      <extLst>
        <ext uri="{3e2802c4-a4d2-4d8b-9148-e3be6c30e623}">
          <xlrd:rvb i="13557"/>
        </ext>
      </extLst>
    </bk>
    <bk>
      <extLst>
        <ext uri="{3e2802c4-a4d2-4d8b-9148-e3be6c30e623}">
          <xlrd:rvb i="13558"/>
        </ext>
      </extLst>
    </bk>
    <bk>
      <extLst>
        <ext uri="{3e2802c4-a4d2-4d8b-9148-e3be6c30e623}">
          <xlrd:rvb i="13559"/>
        </ext>
      </extLst>
    </bk>
    <bk>
      <extLst>
        <ext uri="{3e2802c4-a4d2-4d8b-9148-e3be6c30e623}">
          <xlrd:rvb i="13560"/>
        </ext>
      </extLst>
    </bk>
    <bk>
      <extLst>
        <ext uri="{3e2802c4-a4d2-4d8b-9148-e3be6c30e623}">
          <xlrd:rvb i="13561"/>
        </ext>
      </extLst>
    </bk>
    <bk>
      <extLst>
        <ext uri="{3e2802c4-a4d2-4d8b-9148-e3be6c30e623}">
          <xlrd:rvb i="13562"/>
        </ext>
      </extLst>
    </bk>
    <bk>
      <extLst>
        <ext uri="{3e2802c4-a4d2-4d8b-9148-e3be6c30e623}">
          <xlrd:rvb i="13563"/>
        </ext>
      </extLst>
    </bk>
    <bk>
      <extLst>
        <ext uri="{3e2802c4-a4d2-4d8b-9148-e3be6c30e623}">
          <xlrd:rvb i="13564"/>
        </ext>
      </extLst>
    </bk>
    <bk>
      <extLst>
        <ext uri="{3e2802c4-a4d2-4d8b-9148-e3be6c30e623}">
          <xlrd:rvb i="13565"/>
        </ext>
      </extLst>
    </bk>
    <bk>
      <extLst>
        <ext uri="{3e2802c4-a4d2-4d8b-9148-e3be6c30e623}">
          <xlrd:rvb i="13566"/>
        </ext>
      </extLst>
    </bk>
    <bk>
      <extLst>
        <ext uri="{3e2802c4-a4d2-4d8b-9148-e3be6c30e623}">
          <xlrd:rvb i="13567"/>
        </ext>
      </extLst>
    </bk>
    <bk>
      <extLst>
        <ext uri="{3e2802c4-a4d2-4d8b-9148-e3be6c30e623}">
          <xlrd:rvb i="13568"/>
        </ext>
      </extLst>
    </bk>
    <bk>
      <extLst>
        <ext uri="{3e2802c4-a4d2-4d8b-9148-e3be6c30e623}">
          <xlrd:rvb i="13569"/>
        </ext>
      </extLst>
    </bk>
    <bk>
      <extLst>
        <ext uri="{3e2802c4-a4d2-4d8b-9148-e3be6c30e623}">
          <xlrd:rvb i="13570"/>
        </ext>
      </extLst>
    </bk>
    <bk>
      <extLst>
        <ext uri="{3e2802c4-a4d2-4d8b-9148-e3be6c30e623}">
          <xlrd:rvb i="13571"/>
        </ext>
      </extLst>
    </bk>
    <bk>
      <extLst>
        <ext uri="{3e2802c4-a4d2-4d8b-9148-e3be6c30e623}">
          <xlrd:rvb i="13572"/>
        </ext>
      </extLst>
    </bk>
    <bk>
      <extLst>
        <ext uri="{3e2802c4-a4d2-4d8b-9148-e3be6c30e623}">
          <xlrd:rvb i="13573"/>
        </ext>
      </extLst>
    </bk>
    <bk>
      <extLst>
        <ext uri="{3e2802c4-a4d2-4d8b-9148-e3be6c30e623}">
          <xlrd:rvb i="13574"/>
        </ext>
      </extLst>
    </bk>
    <bk>
      <extLst>
        <ext uri="{3e2802c4-a4d2-4d8b-9148-e3be6c30e623}">
          <xlrd:rvb i="13575"/>
        </ext>
      </extLst>
    </bk>
    <bk>
      <extLst>
        <ext uri="{3e2802c4-a4d2-4d8b-9148-e3be6c30e623}">
          <xlrd:rvb i="13576"/>
        </ext>
      </extLst>
    </bk>
    <bk>
      <extLst>
        <ext uri="{3e2802c4-a4d2-4d8b-9148-e3be6c30e623}">
          <xlrd:rvb i="13577"/>
        </ext>
      </extLst>
    </bk>
    <bk>
      <extLst>
        <ext uri="{3e2802c4-a4d2-4d8b-9148-e3be6c30e623}">
          <xlrd:rvb i="13578"/>
        </ext>
      </extLst>
    </bk>
    <bk>
      <extLst>
        <ext uri="{3e2802c4-a4d2-4d8b-9148-e3be6c30e623}">
          <xlrd:rvb i="13579"/>
        </ext>
      </extLst>
    </bk>
    <bk>
      <extLst>
        <ext uri="{3e2802c4-a4d2-4d8b-9148-e3be6c30e623}">
          <xlrd:rvb i="13580"/>
        </ext>
      </extLst>
    </bk>
    <bk>
      <extLst>
        <ext uri="{3e2802c4-a4d2-4d8b-9148-e3be6c30e623}">
          <xlrd:rvb i="13581"/>
        </ext>
      </extLst>
    </bk>
    <bk>
      <extLst>
        <ext uri="{3e2802c4-a4d2-4d8b-9148-e3be6c30e623}">
          <xlrd:rvb i="13582"/>
        </ext>
      </extLst>
    </bk>
    <bk>
      <extLst>
        <ext uri="{3e2802c4-a4d2-4d8b-9148-e3be6c30e623}">
          <xlrd:rvb i="13583"/>
        </ext>
      </extLst>
    </bk>
    <bk>
      <extLst>
        <ext uri="{3e2802c4-a4d2-4d8b-9148-e3be6c30e623}">
          <xlrd:rvb i="13584"/>
        </ext>
      </extLst>
    </bk>
    <bk>
      <extLst>
        <ext uri="{3e2802c4-a4d2-4d8b-9148-e3be6c30e623}">
          <xlrd:rvb i="13585"/>
        </ext>
      </extLst>
    </bk>
    <bk>
      <extLst>
        <ext uri="{3e2802c4-a4d2-4d8b-9148-e3be6c30e623}">
          <xlrd:rvb i="13586"/>
        </ext>
      </extLst>
    </bk>
    <bk>
      <extLst>
        <ext uri="{3e2802c4-a4d2-4d8b-9148-e3be6c30e623}">
          <xlrd:rvb i="13587"/>
        </ext>
      </extLst>
    </bk>
    <bk>
      <extLst>
        <ext uri="{3e2802c4-a4d2-4d8b-9148-e3be6c30e623}">
          <xlrd:rvb i="13588"/>
        </ext>
      </extLst>
    </bk>
    <bk>
      <extLst>
        <ext uri="{3e2802c4-a4d2-4d8b-9148-e3be6c30e623}">
          <xlrd:rvb i="13589"/>
        </ext>
      </extLst>
    </bk>
    <bk>
      <extLst>
        <ext uri="{3e2802c4-a4d2-4d8b-9148-e3be6c30e623}">
          <xlrd:rvb i="13590"/>
        </ext>
      </extLst>
    </bk>
    <bk>
      <extLst>
        <ext uri="{3e2802c4-a4d2-4d8b-9148-e3be6c30e623}">
          <xlrd:rvb i="13591"/>
        </ext>
      </extLst>
    </bk>
    <bk>
      <extLst>
        <ext uri="{3e2802c4-a4d2-4d8b-9148-e3be6c30e623}">
          <xlrd:rvb i="13592"/>
        </ext>
      </extLst>
    </bk>
    <bk>
      <extLst>
        <ext uri="{3e2802c4-a4d2-4d8b-9148-e3be6c30e623}">
          <xlrd:rvb i="13593"/>
        </ext>
      </extLst>
    </bk>
    <bk>
      <extLst>
        <ext uri="{3e2802c4-a4d2-4d8b-9148-e3be6c30e623}">
          <xlrd:rvb i="13594"/>
        </ext>
      </extLst>
    </bk>
    <bk>
      <extLst>
        <ext uri="{3e2802c4-a4d2-4d8b-9148-e3be6c30e623}">
          <xlrd:rvb i="13595"/>
        </ext>
      </extLst>
    </bk>
    <bk>
      <extLst>
        <ext uri="{3e2802c4-a4d2-4d8b-9148-e3be6c30e623}">
          <xlrd:rvb i="13596"/>
        </ext>
      </extLst>
    </bk>
    <bk>
      <extLst>
        <ext uri="{3e2802c4-a4d2-4d8b-9148-e3be6c30e623}">
          <xlrd:rvb i="13597"/>
        </ext>
      </extLst>
    </bk>
    <bk>
      <extLst>
        <ext uri="{3e2802c4-a4d2-4d8b-9148-e3be6c30e623}">
          <xlrd:rvb i="13598"/>
        </ext>
      </extLst>
    </bk>
    <bk>
      <extLst>
        <ext uri="{3e2802c4-a4d2-4d8b-9148-e3be6c30e623}">
          <xlrd:rvb i="13599"/>
        </ext>
      </extLst>
    </bk>
    <bk>
      <extLst>
        <ext uri="{3e2802c4-a4d2-4d8b-9148-e3be6c30e623}">
          <xlrd:rvb i="13600"/>
        </ext>
      </extLst>
    </bk>
    <bk>
      <extLst>
        <ext uri="{3e2802c4-a4d2-4d8b-9148-e3be6c30e623}">
          <xlrd:rvb i="13601"/>
        </ext>
      </extLst>
    </bk>
    <bk>
      <extLst>
        <ext uri="{3e2802c4-a4d2-4d8b-9148-e3be6c30e623}">
          <xlrd:rvb i="13602"/>
        </ext>
      </extLst>
    </bk>
    <bk>
      <extLst>
        <ext uri="{3e2802c4-a4d2-4d8b-9148-e3be6c30e623}">
          <xlrd:rvb i="13603"/>
        </ext>
      </extLst>
    </bk>
    <bk>
      <extLst>
        <ext uri="{3e2802c4-a4d2-4d8b-9148-e3be6c30e623}">
          <xlrd:rvb i="13604"/>
        </ext>
      </extLst>
    </bk>
    <bk>
      <extLst>
        <ext uri="{3e2802c4-a4d2-4d8b-9148-e3be6c30e623}">
          <xlrd:rvb i="13605"/>
        </ext>
      </extLst>
    </bk>
    <bk>
      <extLst>
        <ext uri="{3e2802c4-a4d2-4d8b-9148-e3be6c30e623}">
          <xlrd:rvb i="13606"/>
        </ext>
      </extLst>
    </bk>
    <bk>
      <extLst>
        <ext uri="{3e2802c4-a4d2-4d8b-9148-e3be6c30e623}">
          <xlrd:rvb i="13607"/>
        </ext>
      </extLst>
    </bk>
    <bk>
      <extLst>
        <ext uri="{3e2802c4-a4d2-4d8b-9148-e3be6c30e623}">
          <xlrd:rvb i="13608"/>
        </ext>
      </extLst>
    </bk>
    <bk>
      <extLst>
        <ext uri="{3e2802c4-a4d2-4d8b-9148-e3be6c30e623}">
          <xlrd:rvb i="13609"/>
        </ext>
      </extLst>
    </bk>
    <bk>
      <extLst>
        <ext uri="{3e2802c4-a4d2-4d8b-9148-e3be6c30e623}">
          <xlrd:rvb i="13610"/>
        </ext>
      </extLst>
    </bk>
    <bk>
      <extLst>
        <ext uri="{3e2802c4-a4d2-4d8b-9148-e3be6c30e623}">
          <xlrd:rvb i="13611"/>
        </ext>
      </extLst>
    </bk>
    <bk>
      <extLst>
        <ext uri="{3e2802c4-a4d2-4d8b-9148-e3be6c30e623}">
          <xlrd:rvb i="13612"/>
        </ext>
      </extLst>
    </bk>
    <bk>
      <extLst>
        <ext uri="{3e2802c4-a4d2-4d8b-9148-e3be6c30e623}">
          <xlrd:rvb i="13613"/>
        </ext>
      </extLst>
    </bk>
    <bk>
      <extLst>
        <ext uri="{3e2802c4-a4d2-4d8b-9148-e3be6c30e623}">
          <xlrd:rvb i="13614"/>
        </ext>
      </extLst>
    </bk>
    <bk>
      <extLst>
        <ext uri="{3e2802c4-a4d2-4d8b-9148-e3be6c30e623}">
          <xlrd:rvb i="13615"/>
        </ext>
      </extLst>
    </bk>
    <bk>
      <extLst>
        <ext uri="{3e2802c4-a4d2-4d8b-9148-e3be6c30e623}">
          <xlrd:rvb i="13616"/>
        </ext>
      </extLst>
    </bk>
    <bk>
      <extLst>
        <ext uri="{3e2802c4-a4d2-4d8b-9148-e3be6c30e623}">
          <xlrd:rvb i="13617"/>
        </ext>
      </extLst>
    </bk>
    <bk>
      <extLst>
        <ext uri="{3e2802c4-a4d2-4d8b-9148-e3be6c30e623}">
          <xlrd:rvb i="13618"/>
        </ext>
      </extLst>
    </bk>
    <bk>
      <extLst>
        <ext uri="{3e2802c4-a4d2-4d8b-9148-e3be6c30e623}">
          <xlrd:rvb i="13619"/>
        </ext>
      </extLst>
    </bk>
    <bk>
      <extLst>
        <ext uri="{3e2802c4-a4d2-4d8b-9148-e3be6c30e623}">
          <xlrd:rvb i="13620"/>
        </ext>
      </extLst>
    </bk>
    <bk>
      <extLst>
        <ext uri="{3e2802c4-a4d2-4d8b-9148-e3be6c30e623}">
          <xlrd:rvb i="13621"/>
        </ext>
      </extLst>
    </bk>
    <bk>
      <extLst>
        <ext uri="{3e2802c4-a4d2-4d8b-9148-e3be6c30e623}">
          <xlrd:rvb i="13622"/>
        </ext>
      </extLst>
    </bk>
    <bk>
      <extLst>
        <ext uri="{3e2802c4-a4d2-4d8b-9148-e3be6c30e623}">
          <xlrd:rvb i="13623"/>
        </ext>
      </extLst>
    </bk>
    <bk>
      <extLst>
        <ext uri="{3e2802c4-a4d2-4d8b-9148-e3be6c30e623}">
          <xlrd:rvb i="13624"/>
        </ext>
      </extLst>
    </bk>
    <bk>
      <extLst>
        <ext uri="{3e2802c4-a4d2-4d8b-9148-e3be6c30e623}">
          <xlrd:rvb i="13625"/>
        </ext>
      </extLst>
    </bk>
    <bk>
      <extLst>
        <ext uri="{3e2802c4-a4d2-4d8b-9148-e3be6c30e623}">
          <xlrd:rvb i="13626"/>
        </ext>
      </extLst>
    </bk>
    <bk>
      <extLst>
        <ext uri="{3e2802c4-a4d2-4d8b-9148-e3be6c30e623}">
          <xlrd:rvb i="13627"/>
        </ext>
      </extLst>
    </bk>
    <bk>
      <extLst>
        <ext uri="{3e2802c4-a4d2-4d8b-9148-e3be6c30e623}">
          <xlrd:rvb i="13628"/>
        </ext>
      </extLst>
    </bk>
    <bk>
      <extLst>
        <ext uri="{3e2802c4-a4d2-4d8b-9148-e3be6c30e623}">
          <xlrd:rvb i="13629"/>
        </ext>
      </extLst>
    </bk>
    <bk>
      <extLst>
        <ext uri="{3e2802c4-a4d2-4d8b-9148-e3be6c30e623}">
          <xlrd:rvb i="13630"/>
        </ext>
      </extLst>
    </bk>
    <bk>
      <extLst>
        <ext uri="{3e2802c4-a4d2-4d8b-9148-e3be6c30e623}">
          <xlrd:rvb i="13631"/>
        </ext>
      </extLst>
    </bk>
    <bk>
      <extLst>
        <ext uri="{3e2802c4-a4d2-4d8b-9148-e3be6c30e623}">
          <xlrd:rvb i="13632"/>
        </ext>
      </extLst>
    </bk>
    <bk>
      <extLst>
        <ext uri="{3e2802c4-a4d2-4d8b-9148-e3be6c30e623}">
          <xlrd:rvb i="13633"/>
        </ext>
      </extLst>
    </bk>
    <bk>
      <extLst>
        <ext uri="{3e2802c4-a4d2-4d8b-9148-e3be6c30e623}">
          <xlrd:rvb i="13634"/>
        </ext>
      </extLst>
    </bk>
    <bk>
      <extLst>
        <ext uri="{3e2802c4-a4d2-4d8b-9148-e3be6c30e623}">
          <xlrd:rvb i="13635"/>
        </ext>
      </extLst>
    </bk>
    <bk>
      <extLst>
        <ext uri="{3e2802c4-a4d2-4d8b-9148-e3be6c30e623}">
          <xlrd:rvb i="13636"/>
        </ext>
      </extLst>
    </bk>
    <bk>
      <extLst>
        <ext uri="{3e2802c4-a4d2-4d8b-9148-e3be6c30e623}">
          <xlrd:rvb i="13637"/>
        </ext>
      </extLst>
    </bk>
    <bk>
      <extLst>
        <ext uri="{3e2802c4-a4d2-4d8b-9148-e3be6c30e623}">
          <xlrd:rvb i="13638"/>
        </ext>
      </extLst>
    </bk>
    <bk>
      <extLst>
        <ext uri="{3e2802c4-a4d2-4d8b-9148-e3be6c30e623}">
          <xlrd:rvb i="13639"/>
        </ext>
      </extLst>
    </bk>
    <bk>
      <extLst>
        <ext uri="{3e2802c4-a4d2-4d8b-9148-e3be6c30e623}">
          <xlrd:rvb i="13640"/>
        </ext>
      </extLst>
    </bk>
    <bk>
      <extLst>
        <ext uri="{3e2802c4-a4d2-4d8b-9148-e3be6c30e623}">
          <xlrd:rvb i="13641"/>
        </ext>
      </extLst>
    </bk>
    <bk>
      <extLst>
        <ext uri="{3e2802c4-a4d2-4d8b-9148-e3be6c30e623}">
          <xlrd:rvb i="13642"/>
        </ext>
      </extLst>
    </bk>
    <bk>
      <extLst>
        <ext uri="{3e2802c4-a4d2-4d8b-9148-e3be6c30e623}">
          <xlrd:rvb i="13643"/>
        </ext>
      </extLst>
    </bk>
    <bk>
      <extLst>
        <ext uri="{3e2802c4-a4d2-4d8b-9148-e3be6c30e623}">
          <xlrd:rvb i="13644"/>
        </ext>
      </extLst>
    </bk>
    <bk>
      <extLst>
        <ext uri="{3e2802c4-a4d2-4d8b-9148-e3be6c30e623}">
          <xlrd:rvb i="13645"/>
        </ext>
      </extLst>
    </bk>
    <bk>
      <extLst>
        <ext uri="{3e2802c4-a4d2-4d8b-9148-e3be6c30e623}">
          <xlrd:rvb i="13646"/>
        </ext>
      </extLst>
    </bk>
    <bk>
      <extLst>
        <ext uri="{3e2802c4-a4d2-4d8b-9148-e3be6c30e623}">
          <xlrd:rvb i="13647"/>
        </ext>
      </extLst>
    </bk>
    <bk>
      <extLst>
        <ext uri="{3e2802c4-a4d2-4d8b-9148-e3be6c30e623}">
          <xlrd:rvb i="13648"/>
        </ext>
      </extLst>
    </bk>
    <bk>
      <extLst>
        <ext uri="{3e2802c4-a4d2-4d8b-9148-e3be6c30e623}">
          <xlrd:rvb i="13649"/>
        </ext>
      </extLst>
    </bk>
    <bk>
      <extLst>
        <ext uri="{3e2802c4-a4d2-4d8b-9148-e3be6c30e623}">
          <xlrd:rvb i="13650"/>
        </ext>
      </extLst>
    </bk>
    <bk>
      <extLst>
        <ext uri="{3e2802c4-a4d2-4d8b-9148-e3be6c30e623}">
          <xlrd:rvb i="13651"/>
        </ext>
      </extLst>
    </bk>
    <bk>
      <extLst>
        <ext uri="{3e2802c4-a4d2-4d8b-9148-e3be6c30e623}">
          <xlrd:rvb i="13652"/>
        </ext>
      </extLst>
    </bk>
    <bk>
      <extLst>
        <ext uri="{3e2802c4-a4d2-4d8b-9148-e3be6c30e623}">
          <xlrd:rvb i="13653"/>
        </ext>
      </extLst>
    </bk>
    <bk>
      <extLst>
        <ext uri="{3e2802c4-a4d2-4d8b-9148-e3be6c30e623}">
          <xlrd:rvb i="13654"/>
        </ext>
      </extLst>
    </bk>
    <bk>
      <extLst>
        <ext uri="{3e2802c4-a4d2-4d8b-9148-e3be6c30e623}">
          <xlrd:rvb i="13655"/>
        </ext>
      </extLst>
    </bk>
    <bk>
      <extLst>
        <ext uri="{3e2802c4-a4d2-4d8b-9148-e3be6c30e623}">
          <xlrd:rvb i="13656"/>
        </ext>
      </extLst>
    </bk>
    <bk>
      <extLst>
        <ext uri="{3e2802c4-a4d2-4d8b-9148-e3be6c30e623}">
          <xlrd:rvb i="13657"/>
        </ext>
      </extLst>
    </bk>
    <bk>
      <extLst>
        <ext uri="{3e2802c4-a4d2-4d8b-9148-e3be6c30e623}">
          <xlrd:rvb i="13658"/>
        </ext>
      </extLst>
    </bk>
    <bk>
      <extLst>
        <ext uri="{3e2802c4-a4d2-4d8b-9148-e3be6c30e623}">
          <xlrd:rvb i="13659"/>
        </ext>
      </extLst>
    </bk>
    <bk>
      <extLst>
        <ext uri="{3e2802c4-a4d2-4d8b-9148-e3be6c30e623}">
          <xlrd:rvb i="13660"/>
        </ext>
      </extLst>
    </bk>
    <bk>
      <extLst>
        <ext uri="{3e2802c4-a4d2-4d8b-9148-e3be6c30e623}">
          <xlrd:rvb i="13661"/>
        </ext>
      </extLst>
    </bk>
    <bk>
      <extLst>
        <ext uri="{3e2802c4-a4d2-4d8b-9148-e3be6c30e623}">
          <xlrd:rvb i="13662"/>
        </ext>
      </extLst>
    </bk>
    <bk>
      <extLst>
        <ext uri="{3e2802c4-a4d2-4d8b-9148-e3be6c30e623}">
          <xlrd:rvb i="13663"/>
        </ext>
      </extLst>
    </bk>
    <bk>
      <extLst>
        <ext uri="{3e2802c4-a4d2-4d8b-9148-e3be6c30e623}">
          <xlrd:rvb i="13664"/>
        </ext>
      </extLst>
    </bk>
    <bk>
      <extLst>
        <ext uri="{3e2802c4-a4d2-4d8b-9148-e3be6c30e623}">
          <xlrd:rvb i="13665"/>
        </ext>
      </extLst>
    </bk>
    <bk>
      <extLst>
        <ext uri="{3e2802c4-a4d2-4d8b-9148-e3be6c30e623}">
          <xlrd:rvb i="13666"/>
        </ext>
      </extLst>
    </bk>
    <bk>
      <extLst>
        <ext uri="{3e2802c4-a4d2-4d8b-9148-e3be6c30e623}">
          <xlrd:rvb i="13667"/>
        </ext>
      </extLst>
    </bk>
    <bk>
      <extLst>
        <ext uri="{3e2802c4-a4d2-4d8b-9148-e3be6c30e623}">
          <xlrd:rvb i="13668"/>
        </ext>
      </extLst>
    </bk>
    <bk>
      <extLst>
        <ext uri="{3e2802c4-a4d2-4d8b-9148-e3be6c30e623}">
          <xlrd:rvb i="13669"/>
        </ext>
      </extLst>
    </bk>
    <bk>
      <extLst>
        <ext uri="{3e2802c4-a4d2-4d8b-9148-e3be6c30e623}">
          <xlrd:rvb i="13670"/>
        </ext>
      </extLst>
    </bk>
    <bk>
      <extLst>
        <ext uri="{3e2802c4-a4d2-4d8b-9148-e3be6c30e623}">
          <xlrd:rvb i="13671"/>
        </ext>
      </extLst>
    </bk>
    <bk>
      <extLst>
        <ext uri="{3e2802c4-a4d2-4d8b-9148-e3be6c30e623}">
          <xlrd:rvb i="13672"/>
        </ext>
      </extLst>
    </bk>
    <bk>
      <extLst>
        <ext uri="{3e2802c4-a4d2-4d8b-9148-e3be6c30e623}">
          <xlrd:rvb i="13673"/>
        </ext>
      </extLst>
    </bk>
    <bk>
      <extLst>
        <ext uri="{3e2802c4-a4d2-4d8b-9148-e3be6c30e623}">
          <xlrd:rvb i="13674"/>
        </ext>
      </extLst>
    </bk>
    <bk>
      <extLst>
        <ext uri="{3e2802c4-a4d2-4d8b-9148-e3be6c30e623}">
          <xlrd:rvb i="13675"/>
        </ext>
      </extLst>
    </bk>
    <bk>
      <extLst>
        <ext uri="{3e2802c4-a4d2-4d8b-9148-e3be6c30e623}">
          <xlrd:rvb i="13676"/>
        </ext>
      </extLst>
    </bk>
    <bk>
      <extLst>
        <ext uri="{3e2802c4-a4d2-4d8b-9148-e3be6c30e623}">
          <xlrd:rvb i="13677"/>
        </ext>
      </extLst>
    </bk>
    <bk>
      <extLst>
        <ext uri="{3e2802c4-a4d2-4d8b-9148-e3be6c30e623}">
          <xlrd:rvb i="13678"/>
        </ext>
      </extLst>
    </bk>
    <bk>
      <extLst>
        <ext uri="{3e2802c4-a4d2-4d8b-9148-e3be6c30e623}">
          <xlrd:rvb i="13679"/>
        </ext>
      </extLst>
    </bk>
    <bk>
      <extLst>
        <ext uri="{3e2802c4-a4d2-4d8b-9148-e3be6c30e623}">
          <xlrd:rvb i="13680"/>
        </ext>
      </extLst>
    </bk>
    <bk>
      <extLst>
        <ext uri="{3e2802c4-a4d2-4d8b-9148-e3be6c30e623}">
          <xlrd:rvb i="13681"/>
        </ext>
      </extLst>
    </bk>
    <bk>
      <extLst>
        <ext uri="{3e2802c4-a4d2-4d8b-9148-e3be6c30e623}">
          <xlrd:rvb i="13682"/>
        </ext>
      </extLst>
    </bk>
    <bk>
      <extLst>
        <ext uri="{3e2802c4-a4d2-4d8b-9148-e3be6c30e623}">
          <xlrd:rvb i="13683"/>
        </ext>
      </extLst>
    </bk>
    <bk>
      <extLst>
        <ext uri="{3e2802c4-a4d2-4d8b-9148-e3be6c30e623}">
          <xlrd:rvb i="13684"/>
        </ext>
      </extLst>
    </bk>
    <bk>
      <extLst>
        <ext uri="{3e2802c4-a4d2-4d8b-9148-e3be6c30e623}">
          <xlrd:rvb i="13685"/>
        </ext>
      </extLst>
    </bk>
    <bk>
      <extLst>
        <ext uri="{3e2802c4-a4d2-4d8b-9148-e3be6c30e623}">
          <xlrd:rvb i="13686"/>
        </ext>
      </extLst>
    </bk>
    <bk>
      <extLst>
        <ext uri="{3e2802c4-a4d2-4d8b-9148-e3be6c30e623}">
          <xlrd:rvb i="13687"/>
        </ext>
      </extLst>
    </bk>
    <bk>
      <extLst>
        <ext uri="{3e2802c4-a4d2-4d8b-9148-e3be6c30e623}">
          <xlrd:rvb i="13688"/>
        </ext>
      </extLst>
    </bk>
    <bk>
      <extLst>
        <ext uri="{3e2802c4-a4d2-4d8b-9148-e3be6c30e623}">
          <xlrd:rvb i="13689"/>
        </ext>
      </extLst>
    </bk>
    <bk>
      <extLst>
        <ext uri="{3e2802c4-a4d2-4d8b-9148-e3be6c30e623}">
          <xlrd:rvb i="13690"/>
        </ext>
      </extLst>
    </bk>
    <bk>
      <extLst>
        <ext uri="{3e2802c4-a4d2-4d8b-9148-e3be6c30e623}">
          <xlrd:rvb i="13691"/>
        </ext>
      </extLst>
    </bk>
    <bk>
      <extLst>
        <ext uri="{3e2802c4-a4d2-4d8b-9148-e3be6c30e623}">
          <xlrd:rvb i="13692"/>
        </ext>
      </extLst>
    </bk>
    <bk>
      <extLst>
        <ext uri="{3e2802c4-a4d2-4d8b-9148-e3be6c30e623}">
          <xlrd:rvb i="13693"/>
        </ext>
      </extLst>
    </bk>
    <bk>
      <extLst>
        <ext uri="{3e2802c4-a4d2-4d8b-9148-e3be6c30e623}">
          <xlrd:rvb i="13694"/>
        </ext>
      </extLst>
    </bk>
    <bk>
      <extLst>
        <ext uri="{3e2802c4-a4d2-4d8b-9148-e3be6c30e623}">
          <xlrd:rvb i="13695"/>
        </ext>
      </extLst>
    </bk>
    <bk>
      <extLst>
        <ext uri="{3e2802c4-a4d2-4d8b-9148-e3be6c30e623}">
          <xlrd:rvb i="13696"/>
        </ext>
      </extLst>
    </bk>
    <bk>
      <extLst>
        <ext uri="{3e2802c4-a4d2-4d8b-9148-e3be6c30e623}">
          <xlrd:rvb i="13697"/>
        </ext>
      </extLst>
    </bk>
    <bk>
      <extLst>
        <ext uri="{3e2802c4-a4d2-4d8b-9148-e3be6c30e623}">
          <xlrd:rvb i="13698"/>
        </ext>
      </extLst>
    </bk>
    <bk>
      <extLst>
        <ext uri="{3e2802c4-a4d2-4d8b-9148-e3be6c30e623}">
          <xlrd:rvb i="13699"/>
        </ext>
      </extLst>
    </bk>
    <bk>
      <extLst>
        <ext uri="{3e2802c4-a4d2-4d8b-9148-e3be6c30e623}">
          <xlrd:rvb i="13700"/>
        </ext>
      </extLst>
    </bk>
    <bk>
      <extLst>
        <ext uri="{3e2802c4-a4d2-4d8b-9148-e3be6c30e623}">
          <xlrd:rvb i="13701"/>
        </ext>
      </extLst>
    </bk>
    <bk>
      <extLst>
        <ext uri="{3e2802c4-a4d2-4d8b-9148-e3be6c30e623}">
          <xlrd:rvb i="13702"/>
        </ext>
      </extLst>
    </bk>
    <bk>
      <extLst>
        <ext uri="{3e2802c4-a4d2-4d8b-9148-e3be6c30e623}">
          <xlrd:rvb i="13703"/>
        </ext>
      </extLst>
    </bk>
    <bk>
      <extLst>
        <ext uri="{3e2802c4-a4d2-4d8b-9148-e3be6c30e623}">
          <xlrd:rvb i="13704"/>
        </ext>
      </extLst>
    </bk>
    <bk>
      <extLst>
        <ext uri="{3e2802c4-a4d2-4d8b-9148-e3be6c30e623}">
          <xlrd:rvb i="13705"/>
        </ext>
      </extLst>
    </bk>
    <bk>
      <extLst>
        <ext uri="{3e2802c4-a4d2-4d8b-9148-e3be6c30e623}">
          <xlrd:rvb i="13706"/>
        </ext>
      </extLst>
    </bk>
    <bk>
      <extLst>
        <ext uri="{3e2802c4-a4d2-4d8b-9148-e3be6c30e623}">
          <xlrd:rvb i="13707"/>
        </ext>
      </extLst>
    </bk>
    <bk>
      <extLst>
        <ext uri="{3e2802c4-a4d2-4d8b-9148-e3be6c30e623}">
          <xlrd:rvb i="13708"/>
        </ext>
      </extLst>
    </bk>
    <bk>
      <extLst>
        <ext uri="{3e2802c4-a4d2-4d8b-9148-e3be6c30e623}">
          <xlrd:rvb i="13709"/>
        </ext>
      </extLst>
    </bk>
    <bk>
      <extLst>
        <ext uri="{3e2802c4-a4d2-4d8b-9148-e3be6c30e623}">
          <xlrd:rvb i="13710"/>
        </ext>
      </extLst>
    </bk>
    <bk>
      <extLst>
        <ext uri="{3e2802c4-a4d2-4d8b-9148-e3be6c30e623}">
          <xlrd:rvb i="13711"/>
        </ext>
      </extLst>
    </bk>
    <bk>
      <extLst>
        <ext uri="{3e2802c4-a4d2-4d8b-9148-e3be6c30e623}">
          <xlrd:rvb i="13712"/>
        </ext>
      </extLst>
    </bk>
    <bk>
      <extLst>
        <ext uri="{3e2802c4-a4d2-4d8b-9148-e3be6c30e623}">
          <xlrd:rvb i="13713"/>
        </ext>
      </extLst>
    </bk>
    <bk>
      <extLst>
        <ext uri="{3e2802c4-a4d2-4d8b-9148-e3be6c30e623}">
          <xlrd:rvb i="13714"/>
        </ext>
      </extLst>
    </bk>
    <bk>
      <extLst>
        <ext uri="{3e2802c4-a4d2-4d8b-9148-e3be6c30e623}">
          <xlrd:rvb i="13715"/>
        </ext>
      </extLst>
    </bk>
    <bk>
      <extLst>
        <ext uri="{3e2802c4-a4d2-4d8b-9148-e3be6c30e623}">
          <xlrd:rvb i="13716"/>
        </ext>
      </extLst>
    </bk>
    <bk>
      <extLst>
        <ext uri="{3e2802c4-a4d2-4d8b-9148-e3be6c30e623}">
          <xlrd:rvb i="13717"/>
        </ext>
      </extLst>
    </bk>
    <bk>
      <extLst>
        <ext uri="{3e2802c4-a4d2-4d8b-9148-e3be6c30e623}">
          <xlrd:rvb i="13718"/>
        </ext>
      </extLst>
    </bk>
    <bk>
      <extLst>
        <ext uri="{3e2802c4-a4d2-4d8b-9148-e3be6c30e623}">
          <xlrd:rvb i="13719"/>
        </ext>
      </extLst>
    </bk>
    <bk>
      <extLst>
        <ext uri="{3e2802c4-a4d2-4d8b-9148-e3be6c30e623}">
          <xlrd:rvb i="13720"/>
        </ext>
      </extLst>
    </bk>
    <bk>
      <extLst>
        <ext uri="{3e2802c4-a4d2-4d8b-9148-e3be6c30e623}">
          <xlrd:rvb i="13721"/>
        </ext>
      </extLst>
    </bk>
    <bk>
      <extLst>
        <ext uri="{3e2802c4-a4d2-4d8b-9148-e3be6c30e623}">
          <xlrd:rvb i="13722"/>
        </ext>
      </extLst>
    </bk>
    <bk>
      <extLst>
        <ext uri="{3e2802c4-a4d2-4d8b-9148-e3be6c30e623}">
          <xlrd:rvb i="13723"/>
        </ext>
      </extLst>
    </bk>
    <bk>
      <extLst>
        <ext uri="{3e2802c4-a4d2-4d8b-9148-e3be6c30e623}">
          <xlrd:rvb i="13724"/>
        </ext>
      </extLst>
    </bk>
    <bk>
      <extLst>
        <ext uri="{3e2802c4-a4d2-4d8b-9148-e3be6c30e623}">
          <xlrd:rvb i="13725"/>
        </ext>
      </extLst>
    </bk>
    <bk>
      <extLst>
        <ext uri="{3e2802c4-a4d2-4d8b-9148-e3be6c30e623}">
          <xlrd:rvb i="13726"/>
        </ext>
      </extLst>
    </bk>
    <bk>
      <extLst>
        <ext uri="{3e2802c4-a4d2-4d8b-9148-e3be6c30e623}">
          <xlrd:rvb i="13727"/>
        </ext>
      </extLst>
    </bk>
    <bk>
      <extLst>
        <ext uri="{3e2802c4-a4d2-4d8b-9148-e3be6c30e623}">
          <xlrd:rvb i="13728"/>
        </ext>
      </extLst>
    </bk>
    <bk>
      <extLst>
        <ext uri="{3e2802c4-a4d2-4d8b-9148-e3be6c30e623}">
          <xlrd:rvb i="13729"/>
        </ext>
      </extLst>
    </bk>
    <bk>
      <extLst>
        <ext uri="{3e2802c4-a4d2-4d8b-9148-e3be6c30e623}">
          <xlrd:rvb i="13730"/>
        </ext>
      </extLst>
    </bk>
    <bk>
      <extLst>
        <ext uri="{3e2802c4-a4d2-4d8b-9148-e3be6c30e623}">
          <xlrd:rvb i="13731"/>
        </ext>
      </extLst>
    </bk>
    <bk>
      <extLst>
        <ext uri="{3e2802c4-a4d2-4d8b-9148-e3be6c30e623}">
          <xlrd:rvb i="13732"/>
        </ext>
      </extLst>
    </bk>
    <bk>
      <extLst>
        <ext uri="{3e2802c4-a4d2-4d8b-9148-e3be6c30e623}">
          <xlrd:rvb i="13733"/>
        </ext>
      </extLst>
    </bk>
    <bk>
      <extLst>
        <ext uri="{3e2802c4-a4d2-4d8b-9148-e3be6c30e623}">
          <xlrd:rvb i="13734"/>
        </ext>
      </extLst>
    </bk>
    <bk>
      <extLst>
        <ext uri="{3e2802c4-a4d2-4d8b-9148-e3be6c30e623}">
          <xlrd:rvb i="13735"/>
        </ext>
      </extLst>
    </bk>
    <bk>
      <extLst>
        <ext uri="{3e2802c4-a4d2-4d8b-9148-e3be6c30e623}">
          <xlrd:rvb i="13736"/>
        </ext>
      </extLst>
    </bk>
    <bk>
      <extLst>
        <ext uri="{3e2802c4-a4d2-4d8b-9148-e3be6c30e623}">
          <xlrd:rvb i="13737"/>
        </ext>
      </extLst>
    </bk>
    <bk>
      <extLst>
        <ext uri="{3e2802c4-a4d2-4d8b-9148-e3be6c30e623}">
          <xlrd:rvb i="13738"/>
        </ext>
      </extLst>
    </bk>
    <bk>
      <extLst>
        <ext uri="{3e2802c4-a4d2-4d8b-9148-e3be6c30e623}">
          <xlrd:rvb i="13739"/>
        </ext>
      </extLst>
    </bk>
    <bk>
      <extLst>
        <ext uri="{3e2802c4-a4d2-4d8b-9148-e3be6c30e623}">
          <xlrd:rvb i="13740"/>
        </ext>
      </extLst>
    </bk>
    <bk>
      <extLst>
        <ext uri="{3e2802c4-a4d2-4d8b-9148-e3be6c30e623}">
          <xlrd:rvb i="13741"/>
        </ext>
      </extLst>
    </bk>
    <bk>
      <extLst>
        <ext uri="{3e2802c4-a4d2-4d8b-9148-e3be6c30e623}">
          <xlrd:rvb i="13742"/>
        </ext>
      </extLst>
    </bk>
    <bk>
      <extLst>
        <ext uri="{3e2802c4-a4d2-4d8b-9148-e3be6c30e623}">
          <xlrd:rvb i="13743"/>
        </ext>
      </extLst>
    </bk>
    <bk>
      <extLst>
        <ext uri="{3e2802c4-a4d2-4d8b-9148-e3be6c30e623}">
          <xlrd:rvb i="13744"/>
        </ext>
      </extLst>
    </bk>
    <bk>
      <extLst>
        <ext uri="{3e2802c4-a4d2-4d8b-9148-e3be6c30e623}">
          <xlrd:rvb i="13745"/>
        </ext>
      </extLst>
    </bk>
    <bk>
      <extLst>
        <ext uri="{3e2802c4-a4d2-4d8b-9148-e3be6c30e623}">
          <xlrd:rvb i="13746"/>
        </ext>
      </extLst>
    </bk>
    <bk>
      <extLst>
        <ext uri="{3e2802c4-a4d2-4d8b-9148-e3be6c30e623}">
          <xlrd:rvb i="13747"/>
        </ext>
      </extLst>
    </bk>
    <bk>
      <extLst>
        <ext uri="{3e2802c4-a4d2-4d8b-9148-e3be6c30e623}">
          <xlrd:rvb i="13748"/>
        </ext>
      </extLst>
    </bk>
    <bk>
      <extLst>
        <ext uri="{3e2802c4-a4d2-4d8b-9148-e3be6c30e623}">
          <xlrd:rvb i="13749"/>
        </ext>
      </extLst>
    </bk>
    <bk>
      <extLst>
        <ext uri="{3e2802c4-a4d2-4d8b-9148-e3be6c30e623}">
          <xlrd:rvb i="13750"/>
        </ext>
      </extLst>
    </bk>
    <bk>
      <extLst>
        <ext uri="{3e2802c4-a4d2-4d8b-9148-e3be6c30e623}">
          <xlrd:rvb i="13751"/>
        </ext>
      </extLst>
    </bk>
    <bk>
      <extLst>
        <ext uri="{3e2802c4-a4d2-4d8b-9148-e3be6c30e623}">
          <xlrd:rvb i="13752"/>
        </ext>
      </extLst>
    </bk>
    <bk>
      <extLst>
        <ext uri="{3e2802c4-a4d2-4d8b-9148-e3be6c30e623}">
          <xlrd:rvb i="13753"/>
        </ext>
      </extLst>
    </bk>
    <bk>
      <extLst>
        <ext uri="{3e2802c4-a4d2-4d8b-9148-e3be6c30e623}">
          <xlrd:rvb i="13754"/>
        </ext>
      </extLst>
    </bk>
    <bk>
      <extLst>
        <ext uri="{3e2802c4-a4d2-4d8b-9148-e3be6c30e623}">
          <xlrd:rvb i="13755"/>
        </ext>
      </extLst>
    </bk>
    <bk>
      <extLst>
        <ext uri="{3e2802c4-a4d2-4d8b-9148-e3be6c30e623}">
          <xlrd:rvb i="13756"/>
        </ext>
      </extLst>
    </bk>
    <bk>
      <extLst>
        <ext uri="{3e2802c4-a4d2-4d8b-9148-e3be6c30e623}">
          <xlrd:rvb i="13757"/>
        </ext>
      </extLst>
    </bk>
    <bk>
      <extLst>
        <ext uri="{3e2802c4-a4d2-4d8b-9148-e3be6c30e623}">
          <xlrd:rvb i="13758"/>
        </ext>
      </extLst>
    </bk>
    <bk>
      <extLst>
        <ext uri="{3e2802c4-a4d2-4d8b-9148-e3be6c30e623}">
          <xlrd:rvb i="13759"/>
        </ext>
      </extLst>
    </bk>
    <bk>
      <extLst>
        <ext uri="{3e2802c4-a4d2-4d8b-9148-e3be6c30e623}">
          <xlrd:rvb i="13760"/>
        </ext>
      </extLst>
    </bk>
    <bk>
      <extLst>
        <ext uri="{3e2802c4-a4d2-4d8b-9148-e3be6c30e623}">
          <xlrd:rvb i="13761"/>
        </ext>
      </extLst>
    </bk>
    <bk>
      <extLst>
        <ext uri="{3e2802c4-a4d2-4d8b-9148-e3be6c30e623}">
          <xlrd:rvb i="13762"/>
        </ext>
      </extLst>
    </bk>
    <bk>
      <extLst>
        <ext uri="{3e2802c4-a4d2-4d8b-9148-e3be6c30e623}">
          <xlrd:rvb i="13763"/>
        </ext>
      </extLst>
    </bk>
    <bk>
      <extLst>
        <ext uri="{3e2802c4-a4d2-4d8b-9148-e3be6c30e623}">
          <xlrd:rvb i="13764"/>
        </ext>
      </extLst>
    </bk>
    <bk>
      <extLst>
        <ext uri="{3e2802c4-a4d2-4d8b-9148-e3be6c30e623}">
          <xlrd:rvb i="13765"/>
        </ext>
      </extLst>
    </bk>
    <bk>
      <extLst>
        <ext uri="{3e2802c4-a4d2-4d8b-9148-e3be6c30e623}">
          <xlrd:rvb i="13766"/>
        </ext>
      </extLst>
    </bk>
    <bk>
      <extLst>
        <ext uri="{3e2802c4-a4d2-4d8b-9148-e3be6c30e623}">
          <xlrd:rvb i="13767"/>
        </ext>
      </extLst>
    </bk>
    <bk>
      <extLst>
        <ext uri="{3e2802c4-a4d2-4d8b-9148-e3be6c30e623}">
          <xlrd:rvb i="13768"/>
        </ext>
      </extLst>
    </bk>
    <bk>
      <extLst>
        <ext uri="{3e2802c4-a4d2-4d8b-9148-e3be6c30e623}">
          <xlrd:rvb i="13769"/>
        </ext>
      </extLst>
    </bk>
    <bk>
      <extLst>
        <ext uri="{3e2802c4-a4d2-4d8b-9148-e3be6c30e623}">
          <xlrd:rvb i="13770"/>
        </ext>
      </extLst>
    </bk>
    <bk>
      <extLst>
        <ext uri="{3e2802c4-a4d2-4d8b-9148-e3be6c30e623}">
          <xlrd:rvb i="13771"/>
        </ext>
      </extLst>
    </bk>
    <bk>
      <extLst>
        <ext uri="{3e2802c4-a4d2-4d8b-9148-e3be6c30e623}">
          <xlrd:rvb i="13772"/>
        </ext>
      </extLst>
    </bk>
    <bk>
      <extLst>
        <ext uri="{3e2802c4-a4d2-4d8b-9148-e3be6c30e623}">
          <xlrd:rvb i="13773"/>
        </ext>
      </extLst>
    </bk>
    <bk>
      <extLst>
        <ext uri="{3e2802c4-a4d2-4d8b-9148-e3be6c30e623}">
          <xlrd:rvb i="13774"/>
        </ext>
      </extLst>
    </bk>
    <bk>
      <extLst>
        <ext uri="{3e2802c4-a4d2-4d8b-9148-e3be6c30e623}">
          <xlrd:rvb i="13775"/>
        </ext>
      </extLst>
    </bk>
    <bk>
      <extLst>
        <ext uri="{3e2802c4-a4d2-4d8b-9148-e3be6c30e623}">
          <xlrd:rvb i="13776"/>
        </ext>
      </extLst>
    </bk>
    <bk>
      <extLst>
        <ext uri="{3e2802c4-a4d2-4d8b-9148-e3be6c30e623}">
          <xlrd:rvb i="13777"/>
        </ext>
      </extLst>
    </bk>
    <bk>
      <extLst>
        <ext uri="{3e2802c4-a4d2-4d8b-9148-e3be6c30e623}">
          <xlrd:rvb i="13778"/>
        </ext>
      </extLst>
    </bk>
    <bk>
      <extLst>
        <ext uri="{3e2802c4-a4d2-4d8b-9148-e3be6c30e623}">
          <xlrd:rvb i="13779"/>
        </ext>
      </extLst>
    </bk>
    <bk>
      <extLst>
        <ext uri="{3e2802c4-a4d2-4d8b-9148-e3be6c30e623}">
          <xlrd:rvb i="13780"/>
        </ext>
      </extLst>
    </bk>
    <bk>
      <extLst>
        <ext uri="{3e2802c4-a4d2-4d8b-9148-e3be6c30e623}">
          <xlrd:rvb i="13781"/>
        </ext>
      </extLst>
    </bk>
    <bk>
      <extLst>
        <ext uri="{3e2802c4-a4d2-4d8b-9148-e3be6c30e623}">
          <xlrd:rvb i="13782"/>
        </ext>
      </extLst>
    </bk>
    <bk>
      <extLst>
        <ext uri="{3e2802c4-a4d2-4d8b-9148-e3be6c30e623}">
          <xlrd:rvb i="13783"/>
        </ext>
      </extLst>
    </bk>
    <bk>
      <extLst>
        <ext uri="{3e2802c4-a4d2-4d8b-9148-e3be6c30e623}">
          <xlrd:rvb i="13784"/>
        </ext>
      </extLst>
    </bk>
    <bk>
      <extLst>
        <ext uri="{3e2802c4-a4d2-4d8b-9148-e3be6c30e623}">
          <xlrd:rvb i="13785"/>
        </ext>
      </extLst>
    </bk>
    <bk>
      <extLst>
        <ext uri="{3e2802c4-a4d2-4d8b-9148-e3be6c30e623}">
          <xlrd:rvb i="13786"/>
        </ext>
      </extLst>
    </bk>
    <bk>
      <extLst>
        <ext uri="{3e2802c4-a4d2-4d8b-9148-e3be6c30e623}">
          <xlrd:rvb i="13787"/>
        </ext>
      </extLst>
    </bk>
    <bk>
      <extLst>
        <ext uri="{3e2802c4-a4d2-4d8b-9148-e3be6c30e623}">
          <xlrd:rvb i="13788"/>
        </ext>
      </extLst>
    </bk>
    <bk>
      <extLst>
        <ext uri="{3e2802c4-a4d2-4d8b-9148-e3be6c30e623}">
          <xlrd:rvb i="13789"/>
        </ext>
      </extLst>
    </bk>
    <bk>
      <extLst>
        <ext uri="{3e2802c4-a4d2-4d8b-9148-e3be6c30e623}">
          <xlrd:rvb i="13790"/>
        </ext>
      </extLst>
    </bk>
    <bk>
      <extLst>
        <ext uri="{3e2802c4-a4d2-4d8b-9148-e3be6c30e623}">
          <xlrd:rvb i="13791"/>
        </ext>
      </extLst>
    </bk>
    <bk>
      <extLst>
        <ext uri="{3e2802c4-a4d2-4d8b-9148-e3be6c30e623}">
          <xlrd:rvb i="13792"/>
        </ext>
      </extLst>
    </bk>
    <bk>
      <extLst>
        <ext uri="{3e2802c4-a4d2-4d8b-9148-e3be6c30e623}">
          <xlrd:rvb i="13793"/>
        </ext>
      </extLst>
    </bk>
    <bk>
      <extLst>
        <ext uri="{3e2802c4-a4d2-4d8b-9148-e3be6c30e623}">
          <xlrd:rvb i="13794"/>
        </ext>
      </extLst>
    </bk>
    <bk>
      <extLst>
        <ext uri="{3e2802c4-a4d2-4d8b-9148-e3be6c30e623}">
          <xlrd:rvb i="13795"/>
        </ext>
      </extLst>
    </bk>
    <bk>
      <extLst>
        <ext uri="{3e2802c4-a4d2-4d8b-9148-e3be6c30e623}">
          <xlrd:rvb i="13796"/>
        </ext>
      </extLst>
    </bk>
    <bk>
      <extLst>
        <ext uri="{3e2802c4-a4d2-4d8b-9148-e3be6c30e623}">
          <xlrd:rvb i="13797"/>
        </ext>
      </extLst>
    </bk>
    <bk>
      <extLst>
        <ext uri="{3e2802c4-a4d2-4d8b-9148-e3be6c30e623}">
          <xlrd:rvb i="13798"/>
        </ext>
      </extLst>
    </bk>
    <bk>
      <extLst>
        <ext uri="{3e2802c4-a4d2-4d8b-9148-e3be6c30e623}">
          <xlrd:rvb i="13799"/>
        </ext>
      </extLst>
    </bk>
    <bk>
      <extLst>
        <ext uri="{3e2802c4-a4d2-4d8b-9148-e3be6c30e623}">
          <xlrd:rvb i="13800"/>
        </ext>
      </extLst>
    </bk>
    <bk>
      <extLst>
        <ext uri="{3e2802c4-a4d2-4d8b-9148-e3be6c30e623}">
          <xlrd:rvb i="13801"/>
        </ext>
      </extLst>
    </bk>
    <bk>
      <extLst>
        <ext uri="{3e2802c4-a4d2-4d8b-9148-e3be6c30e623}">
          <xlrd:rvb i="13802"/>
        </ext>
      </extLst>
    </bk>
    <bk>
      <extLst>
        <ext uri="{3e2802c4-a4d2-4d8b-9148-e3be6c30e623}">
          <xlrd:rvb i="13803"/>
        </ext>
      </extLst>
    </bk>
    <bk>
      <extLst>
        <ext uri="{3e2802c4-a4d2-4d8b-9148-e3be6c30e623}">
          <xlrd:rvb i="13804"/>
        </ext>
      </extLst>
    </bk>
    <bk>
      <extLst>
        <ext uri="{3e2802c4-a4d2-4d8b-9148-e3be6c30e623}">
          <xlrd:rvb i="13805"/>
        </ext>
      </extLst>
    </bk>
    <bk>
      <extLst>
        <ext uri="{3e2802c4-a4d2-4d8b-9148-e3be6c30e623}">
          <xlrd:rvb i="13806"/>
        </ext>
      </extLst>
    </bk>
    <bk>
      <extLst>
        <ext uri="{3e2802c4-a4d2-4d8b-9148-e3be6c30e623}">
          <xlrd:rvb i="13807"/>
        </ext>
      </extLst>
    </bk>
    <bk>
      <extLst>
        <ext uri="{3e2802c4-a4d2-4d8b-9148-e3be6c30e623}">
          <xlrd:rvb i="13808"/>
        </ext>
      </extLst>
    </bk>
    <bk>
      <extLst>
        <ext uri="{3e2802c4-a4d2-4d8b-9148-e3be6c30e623}">
          <xlrd:rvb i="13809"/>
        </ext>
      </extLst>
    </bk>
    <bk>
      <extLst>
        <ext uri="{3e2802c4-a4d2-4d8b-9148-e3be6c30e623}">
          <xlrd:rvb i="13810"/>
        </ext>
      </extLst>
    </bk>
    <bk>
      <extLst>
        <ext uri="{3e2802c4-a4d2-4d8b-9148-e3be6c30e623}">
          <xlrd:rvb i="13811"/>
        </ext>
      </extLst>
    </bk>
    <bk>
      <extLst>
        <ext uri="{3e2802c4-a4d2-4d8b-9148-e3be6c30e623}">
          <xlrd:rvb i="13812"/>
        </ext>
      </extLst>
    </bk>
    <bk>
      <extLst>
        <ext uri="{3e2802c4-a4d2-4d8b-9148-e3be6c30e623}">
          <xlrd:rvb i="13813"/>
        </ext>
      </extLst>
    </bk>
    <bk>
      <extLst>
        <ext uri="{3e2802c4-a4d2-4d8b-9148-e3be6c30e623}">
          <xlrd:rvb i="13814"/>
        </ext>
      </extLst>
    </bk>
    <bk>
      <extLst>
        <ext uri="{3e2802c4-a4d2-4d8b-9148-e3be6c30e623}">
          <xlrd:rvb i="13815"/>
        </ext>
      </extLst>
    </bk>
    <bk>
      <extLst>
        <ext uri="{3e2802c4-a4d2-4d8b-9148-e3be6c30e623}">
          <xlrd:rvb i="13816"/>
        </ext>
      </extLst>
    </bk>
    <bk>
      <extLst>
        <ext uri="{3e2802c4-a4d2-4d8b-9148-e3be6c30e623}">
          <xlrd:rvb i="13817"/>
        </ext>
      </extLst>
    </bk>
    <bk>
      <extLst>
        <ext uri="{3e2802c4-a4d2-4d8b-9148-e3be6c30e623}">
          <xlrd:rvb i="13818"/>
        </ext>
      </extLst>
    </bk>
    <bk>
      <extLst>
        <ext uri="{3e2802c4-a4d2-4d8b-9148-e3be6c30e623}">
          <xlrd:rvb i="13819"/>
        </ext>
      </extLst>
    </bk>
    <bk>
      <extLst>
        <ext uri="{3e2802c4-a4d2-4d8b-9148-e3be6c30e623}">
          <xlrd:rvb i="13820"/>
        </ext>
      </extLst>
    </bk>
    <bk>
      <extLst>
        <ext uri="{3e2802c4-a4d2-4d8b-9148-e3be6c30e623}">
          <xlrd:rvb i="13821"/>
        </ext>
      </extLst>
    </bk>
    <bk>
      <extLst>
        <ext uri="{3e2802c4-a4d2-4d8b-9148-e3be6c30e623}">
          <xlrd:rvb i="13822"/>
        </ext>
      </extLst>
    </bk>
    <bk>
      <extLst>
        <ext uri="{3e2802c4-a4d2-4d8b-9148-e3be6c30e623}">
          <xlrd:rvb i="13823"/>
        </ext>
      </extLst>
    </bk>
    <bk>
      <extLst>
        <ext uri="{3e2802c4-a4d2-4d8b-9148-e3be6c30e623}">
          <xlrd:rvb i="13824"/>
        </ext>
      </extLst>
    </bk>
    <bk>
      <extLst>
        <ext uri="{3e2802c4-a4d2-4d8b-9148-e3be6c30e623}">
          <xlrd:rvb i="13825"/>
        </ext>
      </extLst>
    </bk>
    <bk>
      <extLst>
        <ext uri="{3e2802c4-a4d2-4d8b-9148-e3be6c30e623}">
          <xlrd:rvb i="13826"/>
        </ext>
      </extLst>
    </bk>
    <bk>
      <extLst>
        <ext uri="{3e2802c4-a4d2-4d8b-9148-e3be6c30e623}">
          <xlrd:rvb i="13827"/>
        </ext>
      </extLst>
    </bk>
    <bk>
      <extLst>
        <ext uri="{3e2802c4-a4d2-4d8b-9148-e3be6c30e623}">
          <xlrd:rvb i="13828"/>
        </ext>
      </extLst>
    </bk>
    <bk>
      <extLst>
        <ext uri="{3e2802c4-a4d2-4d8b-9148-e3be6c30e623}">
          <xlrd:rvb i="13829"/>
        </ext>
      </extLst>
    </bk>
    <bk>
      <extLst>
        <ext uri="{3e2802c4-a4d2-4d8b-9148-e3be6c30e623}">
          <xlrd:rvb i="13830"/>
        </ext>
      </extLst>
    </bk>
    <bk>
      <extLst>
        <ext uri="{3e2802c4-a4d2-4d8b-9148-e3be6c30e623}">
          <xlrd:rvb i="13831"/>
        </ext>
      </extLst>
    </bk>
    <bk>
      <extLst>
        <ext uri="{3e2802c4-a4d2-4d8b-9148-e3be6c30e623}">
          <xlrd:rvb i="13832"/>
        </ext>
      </extLst>
    </bk>
    <bk>
      <extLst>
        <ext uri="{3e2802c4-a4d2-4d8b-9148-e3be6c30e623}">
          <xlrd:rvb i="13833"/>
        </ext>
      </extLst>
    </bk>
    <bk>
      <extLst>
        <ext uri="{3e2802c4-a4d2-4d8b-9148-e3be6c30e623}">
          <xlrd:rvb i="13834"/>
        </ext>
      </extLst>
    </bk>
    <bk>
      <extLst>
        <ext uri="{3e2802c4-a4d2-4d8b-9148-e3be6c30e623}">
          <xlrd:rvb i="13835"/>
        </ext>
      </extLst>
    </bk>
    <bk>
      <extLst>
        <ext uri="{3e2802c4-a4d2-4d8b-9148-e3be6c30e623}">
          <xlrd:rvb i="13836"/>
        </ext>
      </extLst>
    </bk>
    <bk>
      <extLst>
        <ext uri="{3e2802c4-a4d2-4d8b-9148-e3be6c30e623}">
          <xlrd:rvb i="13837"/>
        </ext>
      </extLst>
    </bk>
    <bk>
      <extLst>
        <ext uri="{3e2802c4-a4d2-4d8b-9148-e3be6c30e623}">
          <xlrd:rvb i="13838"/>
        </ext>
      </extLst>
    </bk>
    <bk>
      <extLst>
        <ext uri="{3e2802c4-a4d2-4d8b-9148-e3be6c30e623}">
          <xlrd:rvb i="13839"/>
        </ext>
      </extLst>
    </bk>
    <bk>
      <extLst>
        <ext uri="{3e2802c4-a4d2-4d8b-9148-e3be6c30e623}">
          <xlrd:rvb i="13840"/>
        </ext>
      </extLst>
    </bk>
    <bk>
      <extLst>
        <ext uri="{3e2802c4-a4d2-4d8b-9148-e3be6c30e623}">
          <xlrd:rvb i="13841"/>
        </ext>
      </extLst>
    </bk>
    <bk>
      <extLst>
        <ext uri="{3e2802c4-a4d2-4d8b-9148-e3be6c30e623}">
          <xlrd:rvb i="13842"/>
        </ext>
      </extLst>
    </bk>
    <bk>
      <extLst>
        <ext uri="{3e2802c4-a4d2-4d8b-9148-e3be6c30e623}">
          <xlrd:rvb i="13843"/>
        </ext>
      </extLst>
    </bk>
    <bk>
      <extLst>
        <ext uri="{3e2802c4-a4d2-4d8b-9148-e3be6c30e623}">
          <xlrd:rvb i="13844"/>
        </ext>
      </extLst>
    </bk>
    <bk>
      <extLst>
        <ext uri="{3e2802c4-a4d2-4d8b-9148-e3be6c30e623}">
          <xlrd:rvb i="13845"/>
        </ext>
      </extLst>
    </bk>
    <bk>
      <extLst>
        <ext uri="{3e2802c4-a4d2-4d8b-9148-e3be6c30e623}">
          <xlrd:rvb i="13846"/>
        </ext>
      </extLst>
    </bk>
    <bk>
      <extLst>
        <ext uri="{3e2802c4-a4d2-4d8b-9148-e3be6c30e623}">
          <xlrd:rvb i="13847"/>
        </ext>
      </extLst>
    </bk>
    <bk>
      <extLst>
        <ext uri="{3e2802c4-a4d2-4d8b-9148-e3be6c30e623}">
          <xlrd:rvb i="13848"/>
        </ext>
      </extLst>
    </bk>
    <bk>
      <extLst>
        <ext uri="{3e2802c4-a4d2-4d8b-9148-e3be6c30e623}">
          <xlrd:rvb i="13849"/>
        </ext>
      </extLst>
    </bk>
    <bk>
      <extLst>
        <ext uri="{3e2802c4-a4d2-4d8b-9148-e3be6c30e623}">
          <xlrd:rvb i="13850"/>
        </ext>
      </extLst>
    </bk>
    <bk>
      <extLst>
        <ext uri="{3e2802c4-a4d2-4d8b-9148-e3be6c30e623}">
          <xlrd:rvb i="13851"/>
        </ext>
      </extLst>
    </bk>
    <bk>
      <extLst>
        <ext uri="{3e2802c4-a4d2-4d8b-9148-e3be6c30e623}">
          <xlrd:rvb i="13852"/>
        </ext>
      </extLst>
    </bk>
    <bk>
      <extLst>
        <ext uri="{3e2802c4-a4d2-4d8b-9148-e3be6c30e623}">
          <xlrd:rvb i="13853"/>
        </ext>
      </extLst>
    </bk>
    <bk>
      <extLst>
        <ext uri="{3e2802c4-a4d2-4d8b-9148-e3be6c30e623}">
          <xlrd:rvb i="13854"/>
        </ext>
      </extLst>
    </bk>
    <bk>
      <extLst>
        <ext uri="{3e2802c4-a4d2-4d8b-9148-e3be6c30e623}">
          <xlrd:rvb i="13855"/>
        </ext>
      </extLst>
    </bk>
    <bk>
      <extLst>
        <ext uri="{3e2802c4-a4d2-4d8b-9148-e3be6c30e623}">
          <xlrd:rvb i="13856"/>
        </ext>
      </extLst>
    </bk>
    <bk>
      <extLst>
        <ext uri="{3e2802c4-a4d2-4d8b-9148-e3be6c30e623}">
          <xlrd:rvb i="13857"/>
        </ext>
      </extLst>
    </bk>
    <bk>
      <extLst>
        <ext uri="{3e2802c4-a4d2-4d8b-9148-e3be6c30e623}">
          <xlrd:rvb i="13858"/>
        </ext>
      </extLst>
    </bk>
    <bk>
      <extLst>
        <ext uri="{3e2802c4-a4d2-4d8b-9148-e3be6c30e623}">
          <xlrd:rvb i="13859"/>
        </ext>
      </extLst>
    </bk>
    <bk>
      <extLst>
        <ext uri="{3e2802c4-a4d2-4d8b-9148-e3be6c30e623}">
          <xlrd:rvb i="13860"/>
        </ext>
      </extLst>
    </bk>
    <bk>
      <extLst>
        <ext uri="{3e2802c4-a4d2-4d8b-9148-e3be6c30e623}">
          <xlrd:rvb i="13861"/>
        </ext>
      </extLst>
    </bk>
    <bk>
      <extLst>
        <ext uri="{3e2802c4-a4d2-4d8b-9148-e3be6c30e623}">
          <xlrd:rvb i="13862"/>
        </ext>
      </extLst>
    </bk>
    <bk>
      <extLst>
        <ext uri="{3e2802c4-a4d2-4d8b-9148-e3be6c30e623}">
          <xlrd:rvb i="13863"/>
        </ext>
      </extLst>
    </bk>
    <bk>
      <extLst>
        <ext uri="{3e2802c4-a4d2-4d8b-9148-e3be6c30e623}">
          <xlrd:rvb i="13864"/>
        </ext>
      </extLst>
    </bk>
    <bk>
      <extLst>
        <ext uri="{3e2802c4-a4d2-4d8b-9148-e3be6c30e623}">
          <xlrd:rvb i="13865"/>
        </ext>
      </extLst>
    </bk>
    <bk>
      <extLst>
        <ext uri="{3e2802c4-a4d2-4d8b-9148-e3be6c30e623}">
          <xlrd:rvb i="13866"/>
        </ext>
      </extLst>
    </bk>
    <bk>
      <extLst>
        <ext uri="{3e2802c4-a4d2-4d8b-9148-e3be6c30e623}">
          <xlrd:rvb i="13867"/>
        </ext>
      </extLst>
    </bk>
    <bk>
      <extLst>
        <ext uri="{3e2802c4-a4d2-4d8b-9148-e3be6c30e623}">
          <xlrd:rvb i="13868"/>
        </ext>
      </extLst>
    </bk>
    <bk>
      <extLst>
        <ext uri="{3e2802c4-a4d2-4d8b-9148-e3be6c30e623}">
          <xlrd:rvb i="13869"/>
        </ext>
      </extLst>
    </bk>
    <bk>
      <extLst>
        <ext uri="{3e2802c4-a4d2-4d8b-9148-e3be6c30e623}">
          <xlrd:rvb i="13870"/>
        </ext>
      </extLst>
    </bk>
    <bk>
      <extLst>
        <ext uri="{3e2802c4-a4d2-4d8b-9148-e3be6c30e623}">
          <xlrd:rvb i="13871"/>
        </ext>
      </extLst>
    </bk>
    <bk>
      <extLst>
        <ext uri="{3e2802c4-a4d2-4d8b-9148-e3be6c30e623}">
          <xlrd:rvb i="13872"/>
        </ext>
      </extLst>
    </bk>
    <bk>
      <extLst>
        <ext uri="{3e2802c4-a4d2-4d8b-9148-e3be6c30e623}">
          <xlrd:rvb i="13873"/>
        </ext>
      </extLst>
    </bk>
    <bk>
      <extLst>
        <ext uri="{3e2802c4-a4d2-4d8b-9148-e3be6c30e623}">
          <xlrd:rvb i="13874"/>
        </ext>
      </extLst>
    </bk>
    <bk>
      <extLst>
        <ext uri="{3e2802c4-a4d2-4d8b-9148-e3be6c30e623}">
          <xlrd:rvb i="13875"/>
        </ext>
      </extLst>
    </bk>
    <bk>
      <extLst>
        <ext uri="{3e2802c4-a4d2-4d8b-9148-e3be6c30e623}">
          <xlrd:rvb i="13876"/>
        </ext>
      </extLst>
    </bk>
    <bk>
      <extLst>
        <ext uri="{3e2802c4-a4d2-4d8b-9148-e3be6c30e623}">
          <xlrd:rvb i="13877"/>
        </ext>
      </extLst>
    </bk>
    <bk>
      <extLst>
        <ext uri="{3e2802c4-a4d2-4d8b-9148-e3be6c30e623}">
          <xlrd:rvb i="13878"/>
        </ext>
      </extLst>
    </bk>
    <bk>
      <extLst>
        <ext uri="{3e2802c4-a4d2-4d8b-9148-e3be6c30e623}">
          <xlrd:rvb i="13879"/>
        </ext>
      </extLst>
    </bk>
    <bk>
      <extLst>
        <ext uri="{3e2802c4-a4d2-4d8b-9148-e3be6c30e623}">
          <xlrd:rvb i="13880"/>
        </ext>
      </extLst>
    </bk>
    <bk>
      <extLst>
        <ext uri="{3e2802c4-a4d2-4d8b-9148-e3be6c30e623}">
          <xlrd:rvb i="13881"/>
        </ext>
      </extLst>
    </bk>
    <bk>
      <extLst>
        <ext uri="{3e2802c4-a4d2-4d8b-9148-e3be6c30e623}">
          <xlrd:rvb i="13882"/>
        </ext>
      </extLst>
    </bk>
    <bk>
      <extLst>
        <ext uri="{3e2802c4-a4d2-4d8b-9148-e3be6c30e623}">
          <xlrd:rvb i="13883"/>
        </ext>
      </extLst>
    </bk>
    <bk>
      <extLst>
        <ext uri="{3e2802c4-a4d2-4d8b-9148-e3be6c30e623}">
          <xlrd:rvb i="13884"/>
        </ext>
      </extLst>
    </bk>
    <bk>
      <extLst>
        <ext uri="{3e2802c4-a4d2-4d8b-9148-e3be6c30e623}">
          <xlrd:rvb i="13885"/>
        </ext>
      </extLst>
    </bk>
    <bk>
      <extLst>
        <ext uri="{3e2802c4-a4d2-4d8b-9148-e3be6c30e623}">
          <xlrd:rvb i="13886"/>
        </ext>
      </extLst>
    </bk>
    <bk>
      <extLst>
        <ext uri="{3e2802c4-a4d2-4d8b-9148-e3be6c30e623}">
          <xlrd:rvb i="13887"/>
        </ext>
      </extLst>
    </bk>
    <bk>
      <extLst>
        <ext uri="{3e2802c4-a4d2-4d8b-9148-e3be6c30e623}">
          <xlrd:rvb i="13888"/>
        </ext>
      </extLst>
    </bk>
    <bk>
      <extLst>
        <ext uri="{3e2802c4-a4d2-4d8b-9148-e3be6c30e623}">
          <xlrd:rvb i="13889"/>
        </ext>
      </extLst>
    </bk>
    <bk>
      <extLst>
        <ext uri="{3e2802c4-a4d2-4d8b-9148-e3be6c30e623}">
          <xlrd:rvb i="13890"/>
        </ext>
      </extLst>
    </bk>
    <bk>
      <extLst>
        <ext uri="{3e2802c4-a4d2-4d8b-9148-e3be6c30e623}">
          <xlrd:rvb i="13891"/>
        </ext>
      </extLst>
    </bk>
    <bk>
      <extLst>
        <ext uri="{3e2802c4-a4d2-4d8b-9148-e3be6c30e623}">
          <xlrd:rvb i="13892"/>
        </ext>
      </extLst>
    </bk>
    <bk>
      <extLst>
        <ext uri="{3e2802c4-a4d2-4d8b-9148-e3be6c30e623}">
          <xlrd:rvb i="13893"/>
        </ext>
      </extLst>
    </bk>
    <bk>
      <extLst>
        <ext uri="{3e2802c4-a4d2-4d8b-9148-e3be6c30e623}">
          <xlrd:rvb i="13894"/>
        </ext>
      </extLst>
    </bk>
    <bk>
      <extLst>
        <ext uri="{3e2802c4-a4d2-4d8b-9148-e3be6c30e623}">
          <xlrd:rvb i="13895"/>
        </ext>
      </extLst>
    </bk>
    <bk>
      <extLst>
        <ext uri="{3e2802c4-a4d2-4d8b-9148-e3be6c30e623}">
          <xlrd:rvb i="13896"/>
        </ext>
      </extLst>
    </bk>
    <bk>
      <extLst>
        <ext uri="{3e2802c4-a4d2-4d8b-9148-e3be6c30e623}">
          <xlrd:rvb i="13897"/>
        </ext>
      </extLst>
    </bk>
    <bk>
      <extLst>
        <ext uri="{3e2802c4-a4d2-4d8b-9148-e3be6c30e623}">
          <xlrd:rvb i="13898"/>
        </ext>
      </extLst>
    </bk>
    <bk>
      <extLst>
        <ext uri="{3e2802c4-a4d2-4d8b-9148-e3be6c30e623}">
          <xlrd:rvb i="13899"/>
        </ext>
      </extLst>
    </bk>
    <bk>
      <extLst>
        <ext uri="{3e2802c4-a4d2-4d8b-9148-e3be6c30e623}">
          <xlrd:rvb i="13900"/>
        </ext>
      </extLst>
    </bk>
    <bk>
      <extLst>
        <ext uri="{3e2802c4-a4d2-4d8b-9148-e3be6c30e623}">
          <xlrd:rvb i="13901"/>
        </ext>
      </extLst>
    </bk>
    <bk>
      <extLst>
        <ext uri="{3e2802c4-a4d2-4d8b-9148-e3be6c30e623}">
          <xlrd:rvb i="13902"/>
        </ext>
      </extLst>
    </bk>
    <bk>
      <extLst>
        <ext uri="{3e2802c4-a4d2-4d8b-9148-e3be6c30e623}">
          <xlrd:rvb i="13903"/>
        </ext>
      </extLst>
    </bk>
    <bk>
      <extLst>
        <ext uri="{3e2802c4-a4d2-4d8b-9148-e3be6c30e623}">
          <xlrd:rvb i="13904"/>
        </ext>
      </extLst>
    </bk>
    <bk>
      <extLst>
        <ext uri="{3e2802c4-a4d2-4d8b-9148-e3be6c30e623}">
          <xlrd:rvb i="13905"/>
        </ext>
      </extLst>
    </bk>
    <bk>
      <extLst>
        <ext uri="{3e2802c4-a4d2-4d8b-9148-e3be6c30e623}">
          <xlrd:rvb i="13906"/>
        </ext>
      </extLst>
    </bk>
    <bk>
      <extLst>
        <ext uri="{3e2802c4-a4d2-4d8b-9148-e3be6c30e623}">
          <xlrd:rvb i="13907"/>
        </ext>
      </extLst>
    </bk>
    <bk>
      <extLst>
        <ext uri="{3e2802c4-a4d2-4d8b-9148-e3be6c30e623}">
          <xlrd:rvb i="13908"/>
        </ext>
      </extLst>
    </bk>
    <bk>
      <extLst>
        <ext uri="{3e2802c4-a4d2-4d8b-9148-e3be6c30e623}">
          <xlrd:rvb i="13909"/>
        </ext>
      </extLst>
    </bk>
    <bk>
      <extLst>
        <ext uri="{3e2802c4-a4d2-4d8b-9148-e3be6c30e623}">
          <xlrd:rvb i="13910"/>
        </ext>
      </extLst>
    </bk>
    <bk>
      <extLst>
        <ext uri="{3e2802c4-a4d2-4d8b-9148-e3be6c30e623}">
          <xlrd:rvb i="13911"/>
        </ext>
      </extLst>
    </bk>
    <bk>
      <extLst>
        <ext uri="{3e2802c4-a4d2-4d8b-9148-e3be6c30e623}">
          <xlrd:rvb i="13912"/>
        </ext>
      </extLst>
    </bk>
    <bk>
      <extLst>
        <ext uri="{3e2802c4-a4d2-4d8b-9148-e3be6c30e623}">
          <xlrd:rvb i="13913"/>
        </ext>
      </extLst>
    </bk>
    <bk>
      <extLst>
        <ext uri="{3e2802c4-a4d2-4d8b-9148-e3be6c30e623}">
          <xlrd:rvb i="13914"/>
        </ext>
      </extLst>
    </bk>
    <bk>
      <extLst>
        <ext uri="{3e2802c4-a4d2-4d8b-9148-e3be6c30e623}">
          <xlrd:rvb i="13915"/>
        </ext>
      </extLst>
    </bk>
    <bk>
      <extLst>
        <ext uri="{3e2802c4-a4d2-4d8b-9148-e3be6c30e623}">
          <xlrd:rvb i="13916"/>
        </ext>
      </extLst>
    </bk>
    <bk>
      <extLst>
        <ext uri="{3e2802c4-a4d2-4d8b-9148-e3be6c30e623}">
          <xlrd:rvb i="13917"/>
        </ext>
      </extLst>
    </bk>
    <bk>
      <extLst>
        <ext uri="{3e2802c4-a4d2-4d8b-9148-e3be6c30e623}">
          <xlrd:rvb i="13918"/>
        </ext>
      </extLst>
    </bk>
    <bk>
      <extLst>
        <ext uri="{3e2802c4-a4d2-4d8b-9148-e3be6c30e623}">
          <xlrd:rvb i="13919"/>
        </ext>
      </extLst>
    </bk>
    <bk>
      <extLst>
        <ext uri="{3e2802c4-a4d2-4d8b-9148-e3be6c30e623}">
          <xlrd:rvb i="13920"/>
        </ext>
      </extLst>
    </bk>
    <bk>
      <extLst>
        <ext uri="{3e2802c4-a4d2-4d8b-9148-e3be6c30e623}">
          <xlrd:rvb i="13921"/>
        </ext>
      </extLst>
    </bk>
    <bk>
      <extLst>
        <ext uri="{3e2802c4-a4d2-4d8b-9148-e3be6c30e623}">
          <xlrd:rvb i="13922"/>
        </ext>
      </extLst>
    </bk>
    <bk>
      <extLst>
        <ext uri="{3e2802c4-a4d2-4d8b-9148-e3be6c30e623}">
          <xlrd:rvb i="13923"/>
        </ext>
      </extLst>
    </bk>
    <bk>
      <extLst>
        <ext uri="{3e2802c4-a4d2-4d8b-9148-e3be6c30e623}">
          <xlrd:rvb i="13924"/>
        </ext>
      </extLst>
    </bk>
    <bk>
      <extLst>
        <ext uri="{3e2802c4-a4d2-4d8b-9148-e3be6c30e623}">
          <xlrd:rvb i="13925"/>
        </ext>
      </extLst>
    </bk>
    <bk>
      <extLst>
        <ext uri="{3e2802c4-a4d2-4d8b-9148-e3be6c30e623}">
          <xlrd:rvb i="13926"/>
        </ext>
      </extLst>
    </bk>
    <bk>
      <extLst>
        <ext uri="{3e2802c4-a4d2-4d8b-9148-e3be6c30e623}">
          <xlrd:rvb i="13927"/>
        </ext>
      </extLst>
    </bk>
    <bk>
      <extLst>
        <ext uri="{3e2802c4-a4d2-4d8b-9148-e3be6c30e623}">
          <xlrd:rvb i="13928"/>
        </ext>
      </extLst>
    </bk>
    <bk>
      <extLst>
        <ext uri="{3e2802c4-a4d2-4d8b-9148-e3be6c30e623}">
          <xlrd:rvb i="13929"/>
        </ext>
      </extLst>
    </bk>
    <bk>
      <extLst>
        <ext uri="{3e2802c4-a4d2-4d8b-9148-e3be6c30e623}">
          <xlrd:rvb i="13930"/>
        </ext>
      </extLst>
    </bk>
    <bk>
      <extLst>
        <ext uri="{3e2802c4-a4d2-4d8b-9148-e3be6c30e623}">
          <xlrd:rvb i="13931"/>
        </ext>
      </extLst>
    </bk>
    <bk>
      <extLst>
        <ext uri="{3e2802c4-a4d2-4d8b-9148-e3be6c30e623}">
          <xlrd:rvb i="13932"/>
        </ext>
      </extLst>
    </bk>
    <bk>
      <extLst>
        <ext uri="{3e2802c4-a4d2-4d8b-9148-e3be6c30e623}">
          <xlrd:rvb i="13933"/>
        </ext>
      </extLst>
    </bk>
    <bk>
      <extLst>
        <ext uri="{3e2802c4-a4d2-4d8b-9148-e3be6c30e623}">
          <xlrd:rvb i="13934"/>
        </ext>
      </extLst>
    </bk>
    <bk>
      <extLst>
        <ext uri="{3e2802c4-a4d2-4d8b-9148-e3be6c30e623}">
          <xlrd:rvb i="13935"/>
        </ext>
      </extLst>
    </bk>
    <bk>
      <extLst>
        <ext uri="{3e2802c4-a4d2-4d8b-9148-e3be6c30e623}">
          <xlrd:rvb i="13936"/>
        </ext>
      </extLst>
    </bk>
    <bk>
      <extLst>
        <ext uri="{3e2802c4-a4d2-4d8b-9148-e3be6c30e623}">
          <xlrd:rvb i="13937"/>
        </ext>
      </extLst>
    </bk>
    <bk>
      <extLst>
        <ext uri="{3e2802c4-a4d2-4d8b-9148-e3be6c30e623}">
          <xlrd:rvb i="13938"/>
        </ext>
      </extLst>
    </bk>
    <bk>
      <extLst>
        <ext uri="{3e2802c4-a4d2-4d8b-9148-e3be6c30e623}">
          <xlrd:rvb i="13939"/>
        </ext>
      </extLst>
    </bk>
    <bk>
      <extLst>
        <ext uri="{3e2802c4-a4d2-4d8b-9148-e3be6c30e623}">
          <xlrd:rvb i="13940"/>
        </ext>
      </extLst>
    </bk>
    <bk>
      <extLst>
        <ext uri="{3e2802c4-a4d2-4d8b-9148-e3be6c30e623}">
          <xlrd:rvb i="13941"/>
        </ext>
      </extLst>
    </bk>
    <bk>
      <extLst>
        <ext uri="{3e2802c4-a4d2-4d8b-9148-e3be6c30e623}">
          <xlrd:rvb i="13942"/>
        </ext>
      </extLst>
    </bk>
    <bk>
      <extLst>
        <ext uri="{3e2802c4-a4d2-4d8b-9148-e3be6c30e623}">
          <xlrd:rvb i="13943"/>
        </ext>
      </extLst>
    </bk>
    <bk>
      <extLst>
        <ext uri="{3e2802c4-a4d2-4d8b-9148-e3be6c30e623}">
          <xlrd:rvb i="13944"/>
        </ext>
      </extLst>
    </bk>
    <bk>
      <extLst>
        <ext uri="{3e2802c4-a4d2-4d8b-9148-e3be6c30e623}">
          <xlrd:rvb i="13945"/>
        </ext>
      </extLst>
    </bk>
    <bk>
      <extLst>
        <ext uri="{3e2802c4-a4d2-4d8b-9148-e3be6c30e623}">
          <xlrd:rvb i="13946"/>
        </ext>
      </extLst>
    </bk>
    <bk>
      <extLst>
        <ext uri="{3e2802c4-a4d2-4d8b-9148-e3be6c30e623}">
          <xlrd:rvb i="13947"/>
        </ext>
      </extLst>
    </bk>
    <bk>
      <extLst>
        <ext uri="{3e2802c4-a4d2-4d8b-9148-e3be6c30e623}">
          <xlrd:rvb i="13948"/>
        </ext>
      </extLst>
    </bk>
    <bk>
      <extLst>
        <ext uri="{3e2802c4-a4d2-4d8b-9148-e3be6c30e623}">
          <xlrd:rvb i="13949"/>
        </ext>
      </extLst>
    </bk>
    <bk>
      <extLst>
        <ext uri="{3e2802c4-a4d2-4d8b-9148-e3be6c30e623}">
          <xlrd:rvb i="13950"/>
        </ext>
      </extLst>
    </bk>
    <bk>
      <extLst>
        <ext uri="{3e2802c4-a4d2-4d8b-9148-e3be6c30e623}">
          <xlrd:rvb i="13951"/>
        </ext>
      </extLst>
    </bk>
    <bk>
      <extLst>
        <ext uri="{3e2802c4-a4d2-4d8b-9148-e3be6c30e623}">
          <xlrd:rvb i="13952"/>
        </ext>
      </extLst>
    </bk>
    <bk>
      <extLst>
        <ext uri="{3e2802c4-a4d2-4d8b-9148-e3be6c30e623}">
          <xlrd:rvb i="13953"/>
        </ext>
      </extLst>
    </bk>
    <bk>
      <extLst>
        <ext uri="{3e2802c4-a4d2-4d8b-9148-e3be6c30e623}">
          <xlrd:rvb i="13954"/>
        </ext>
      </extLst>
    </bk>
    <bk>
      <extLst>
        <ext uri="{3e2802c4-a4d2-4d8b-9148-e3be6c30e623}">
          <xlrd:rvb i="13955"/>
        </ext>
      </extLst>
    </bk>
    <bk>
      <extLst>
        <ext uri="{3e2802c4-a4d2-4d8b-9148-e3be6c30e623}">
          <xlrd:rvb i="13956"/>
        </ext>
      </extLst>
    </bk>
    <bk>
      <extLst>
        <ext uri="{3e2802c4-a4d2-4d8b-9148-e3be6c30e623}">
          <xlrd:rvb i="13957"/>
        </ext>
      </extLst>
    </bk>
    <bk>
      <extLst>
        <ext uri="{3e2802c4-a4d2-4d8b-9148-e3be6c30e623}">
          <xlrd:rvb i="13958"/>
        </ext>
      </extLst>
    </bk>
    <bk>
      <extLst>
        <ext uri="{3e2802c4-a4d2-4d8b-9148-e3be6c30e623}">
          <xlrd:rvb i="13959"/>
        </ext>
      </extLst>
    </bk>
    <bk>
      <extLst>
        <ext uri="{3e2802c4-a4d2-4d8b-9148-e3be6c30e623}">
          <xlrd:rvb i="13960"/>
        </ext>
      </extLst>
    </bk>
    <bk>
      <extLst>
        <ext uri="{3e2802c4-a4d2-4d8b-9148-e3be6c30e623}">
          <xlrd:rvb i="13961"/>
        </ext>
      </extLst>
    </bk>
    <bk>
      <extLst>
        <ext uri="{3e2802c4-a4d2-4d8b-9148-e3be6c30e623}">
          <xlrd:rvb i="13962"/>
        </ext>
      </extLst>
    </bk>
    <bk>
      <extLst>
        <ext uri="{3e2802c4-a4d2-4d8b-9148-e3be6c30e623}">
          <xlrd:rvb i="13963"/>
        </ext>
      </extLst>
    </bk>
    <bk>
      <extLst>
        <ext uri="{3e2802c4-a4d2-4d8b-9148-e3be6c30e623}">
          <xlrd:rvb i="13964"/>
        </ext>
      </extLst>
    </bk>
    <bk>
      <extLst>
        <ext uri="{3e2802c4-a4d2-4d8b-9148-e3be6c30e623}">
          <xlrd:rvb i="13965"/>
        </ext>
      </extLst>
    </bk>
    <bk>
      <extLst>
        <ext uri="{3e2802c4-a4d2-4d8b-9148-e3be6c30e623}">
          <xlrd:rvb i="13966"/>
        </ext>
      </extLst>
    </bk>
    <bk>
      <extLst>
        <ext uri="{3e2802c4-a4d2-4d8b-9148-e3be6c30e623}">
          <xlrd:rvb i="13967"/>
        </ext>
      </extLst>
    </bk>
    <bk>
      <extLst>
        <ext uri="{3e2802c4-a4d2-4d8b-9148-e3be6c30e623}">
          <xlrd:rvb i="13968"/>
        </ext>
      </extLst>
    </bk>
    <bk>
      <extLst>
        <ext uri="{3e2802c4-a4d2-4d8b-9148-e3be6c30e623}">
          <xlrd:rvb i="13969"/>
        </ext>
      </extLst>
    </bk>
    <bk>
      <extLst>
        <ext uri="{3e2802c4-a4d2-4d8b-9148-e3be6c30e623}">
          <xlrd:rvb i="13970"/>
        </ext>
      </extLst>
    </bk>
    <bk>
      <extLst>
        <ext uri="{3e2802c4-a4d2-4d8b-9148-e3be6c30e623}">
          <xlrd:rvb i="13971"/>
        </ext>
      </extLst>
    </bk>
    <bk>
      <extLst>
        <ext uri="{3e2802c4-a4d2-4d8b-9148-e3be6c30e623}">
          <xlrd:rvb i="13972"/>
        </ext>
      </extLst>
    </bk>
    <bk>
      <extLst>
        <ext uri="{3e2802c4-a4d2-4d8b-9148-e3be6c30e623}">
          <xlrd:rvb i="13973"/>
        </ext>
      </extLst>
    </bk>
    <bk>
      <extLst>
        <ext uri="{3e2802c4-a4d2-4d8b-9148-e3be6c30e623}">
          <xlrd:rvb i="13974"/>
        </ext>
      </extLst>
    </bk>
    <bk>
      <extLst>
        <ext uri="{3e2802c4-a4d2-4d8b-9148-e3be6c30e623}">
          <xlrd:rvb i="13975"/>
        </ext>
      </extLst>
    </bk>
    <bk>
      <extLst>
        <ext uri="{3e2802c4-a4d2-4d8b-9148-e3be6c30e623}">
          <xlrd:rvb i="13976"/>
        </ext>
      </extLst>
    </bk>
    <bk>
      <extLst>
        <ext uri="{3e2802c4-a4d2-4d8b-9148-e3be6c30e623}">
          <xlrd:rvb i="13977"/>
        </ext>
      </extLst>
    </bk>
    <bk>
      <extLst>
        <ext uri="{3e2802c4-a4d2-4d8b-9148-e3be6c30e623}">
          <xlrd:rvb i="13978"/>
        </ext>
      </extLst>
    </bk>
    <bk>
      <extLst>
        <ext uri="{3e2802c4-a4d2-4d8b-9148-e3be6c30e623}">
          <xlrd:rvb i="13979"/>
        </ext>
      </extLst>
    </bk>
    <bk>
      <extLst>
        <ext uri="{3e2802c4-a4d2-4d8b-9148-e3be6c30e623}">
          <xlrd:rvb i="13980"/>
        </ext>
      </extLst>
    </bk>
    <bk>
      <extLst>
        <ext uri="{3e2802c4-a4d2-4d8b-9148-e3be6c30e623}">
          <xlrd:rvb i="13981"/>
        </ext>
      </extLst>
    </bk>
    <bk>
      <extLst>
        <ext uri="{3e2802c4-a4d2-4d8b-9148-e3be6c30e623}">
          <xlrd:rvb i="13982"/>
        </ext>
      </extLst>
    </bk>
    <bk>
      <extLst>
        <ext uri="{3e2802c4-a4d2-4d8b-9148-e3be6c30e623}">
          <xlrd:rvb i="13983"/>
        </ext>
      </extLst>
    </bk>
    <bk>
      <extLst>
        <ext uri="{3e2802c4-a4d2-4d8b-9148-e3be6c30e623}">
          <xlrd:rvb i="13984"/>
        </ext>
      </extLst>
    </bk>
    <bk>
      <extLst>
        <ext uri="{3e2802c4-a4d2-4d8b-9148-e3be6c30e623}">
          <xlrd:rvb i="13985"/>
        </ext>
      </extLst>
    </bk>
    <bk>
      <extLst>
        <ext uri="{3e2802c4-a4d2-4d8b-9148-e3be6c30e623}">
          <xlrd:rvb i="13986"/>
        </ext>
      </extLst>
    </bk>
    <bk>
      <extLst>
        <ext uri="{3e2802c4-a4d2-4d8b-9148-e3be6c30e623}">
          <xlrd:rvb i="13987"/>
        </ext>
      </extLst>
    </bk>
    <bk>
      <extLst>
        <ext uri="{3e2802c4-a4d2-4d8b-9148-e3be6c30e623}">
          <xlrd:rvb i="13988"/>
        </ext>
      </extLst>
    </bk>
    <bk>
      <extLst>
        <ext uri="{3e2802c4-a4d2-4d8b-9148-e3be6c30e623}">
          <xlrd:rvb i="13989"/>
        </ext>
      </extLst>
    </bk>
    <bk>
      <extLst>
        <ext uri="{3e2802c4-a4d2-4d8b-9148-e3be6c30e623}">
          <xlrd:rvb i="13990"/>
        </ext>
      </extLst>
    </bk>
    <bk>
      <extLst>
        <ext uri="{3e2802c4-a4d2-4d8b-9148-e3be6c30e623}">
          <xlrd:rvb i="13991"/>
        </ext>
      </extLst>
    </bk>
    <bk>
      <extLst>
        <ext uri="{3e2802c4-a4d2-4d8b-9148-e3be6c30e623}">
          <xlrd:rvb i="13992"/>
        </ext>
      </extLst>
    </bk>
    <bk>
      <extLst>
        <ext uri="{3e2802c4-a4d2-4d8b-9148-e3be6c30e623}">
          <xlrd:rvb i="13993"/>
        </ext>
      </extLst>
    </bk>
    <bk>
      <extLst>
        <ext uri="{3e2802c4-a4d2-4d8b-9148-e3be6c30e623}">
          <xlrd:rvb i="13994"/>
        </ext>
      </extLst>
    </bk>
    <bk>
      <extLst>
        <ext uri="{3e2802c4-a4d2-4d8b-9148-e3be6c30e623}">
          <xlrd:rvb i="13995"/>
        </ext>
      </extLst>
    </bk>
    <bk>
      <extLst>
        <ext uri="{3e2802c4-a4d2-4d8b-9148-e3be6c30e623}">
          <xlrd:rvb i="13996"/>
        </ext>
      </extLst>
    </bk>
    <bk>
      <extLst>
        <ext uri="{3e2802c4-a4d2-4d8b-9148-e3be6c30e623}">
          <xlrd:rvb i="13997"/>
        </ext>
      </extLst>
    </bk>
    <bk>
      <extLst>
        <ext uri="{3e2802c4-a4d2-4d8b-9148-e3be6c30e623}">
          <xlrd:rvb i="13998"/>
        </ext>
      </extLst>
    </bk>
    <bk>
      <extLst>
        <ext uri="{3e2802c4-a4d2-4d8b-9148-e3be6c30e623}">
          <xlrd:rvb i="13999"/>
        </ext>
      </extLst>
    </bk>
    <bk>
      <extLst>
        <ext uri="{3e2802c4-a4d2-4d8b-9148-e3be6c30e623}">
          <xlrd:rvb i="14000"/>
        </ext>
      </extLst>
    </bk>
    <bk>
      <extLst>
        <ext uri="{3e2802c4-a4d2-4d8b-9148-e3be6c30e623}">
          <xlrd:rvb i="14001"/>
        </ext>
      </extLst>
    </bk>
    <bk>
      <extLst>
        <ext uri="{3e2802c4-a4d2-4d8b-9148-e3be6c30e623}">
          <xlrd:rvb i="14002"/>
        </ext>
      </extLst>
    </bk>
    <bk>
      <extLst>
        <ext uri="{3e2802c4-a4d2-4d8b-9148-e3be6c30e623}">
          <xlrd:rvb i="14003"/>
        </ext>
      </extLst>
    </bk>
    <bk>
      <extLst>
        <ext uri="{3e2802c4-a4d2-4d8b-9148-e3be6c30e623}">
          <xlrd:rvb i="14004"/>
        </ext>
      </extLst>
    </bk>
    <bk>
      <extLst>
        <ext uri="{3e2802c4-a4d2-4d8b-9148-e3be6c30e623}">
          <xlrd:rvb i="14005"/>
        </ext>
      </extLst>
    </bk>
    <bk>
      <extLst>
        <ext uri="{3e2802c4-a4d2-4d8b-9148-e3be6c30e623}">
          <xlrd:rvb i="14006"/>
        </ext>
      </extLst>
    </bk>
    <bk>
      <extLst>
        <ext uri="{3e2802c4-a4d2-4d8b-9148-e3be6c30e623}">
          <xlrd:rvb i="14007"/>
        </ext>
      </extLst>
    </bk>
    <bk>
      <extLst>
        <ext uri="{3e2802c4-a4d2-4d8b-9148-e3be6c30e623}">
          <xlrd:rvb i="14008"/>
        </ext>
      </extLst>
    </bk>
    <bk>
      <extLst>
        <ext uri="{3e2802c4-a4d2-4d8b-9148-e3be6c30e623}">
          <xlrd:rvb i="14009"/>
        </ext>
      </extLst>
    </bk>
    <bk>
      <extLst>
        <ext uri="{3e2802c4-a4d2-4d8b-9148-e3be6c30e623}">
          <xlrd:rvb i="14010"/>
        </ext>
      </extLst>
    </bk>
    <bk>
      <extLst>
        <ext uri="{3e2802c4-a4d2-4d8b-9148-e3be6c30e623}">
          <xlrd:rvb i="14011"/>
        </ext>
      </extLst>
    </bk>
    <bk>
      <extLst>
        <ext uri="{3e2802c4-a4d2-4d8b-9148-e3be6c30e623}">
          <xlrd:rvb i="14012"/>
        </ext>
      </extLst>
    </bk>
    <bk>
      <extLst>
        <ext uri="{3e2802c4-a4d2-4d8b-9148-e3be6c30e623}">
          <xlrd:rvb i="14013"/>
        </ext>
      </extLst>
    </bk>
    <bk>
      <extLst>
        <ext uri="{3e2802c4-a4d2-4d8b-9148-e3be6c30e623}">
          <xlrd:rvb i="14014"/>
        </ext>
      </extLst>
    </bk>
    <bk>
      <extLst>
        <ext uri="{3e2802c4-a4d2-4d8b-9148-e3be6c30e623}">
          <xlrd:rvb i="14015"/>
        </ext>
      </extLst>
    </bk>
    <bk>
      <extLst>
        <ext uri="{3e2802c4-a4d2-4d8b-9148-e3be6c30e623}">
          <xlrd:rvb i="14016"/>
        </ext>
      </extLst>
    </bk>
    <bk>
      <extLst>
        <ext uri="{3e2802c4-a4d2-4d8b-9148-e3be6c30e623}">
          <xlrd:rvb i="14017"/>
        </ext>
      </extLst>
    </bk>
    <bk>
      <extLst>
        <ext uri="{3e2802c4-a4d2-4d8b-9148-e3be6c30e623}">
          <xlrd:rvb i="14018"/>
        </ext>
      </extLst>
    </bk>
    <bk>
      <extLst>
        <ext uri="{3e2802c4-a4d2-4d8b-9148-e3be6c30e623}">
          <xlrd:rvb i="14019"/>
        </ext>
      </extLst>
    </bk>
    <bk>
      <extLst>
        <ext uri="{3e2802c4-a4d2-4d8b-9148-e3be6c30e623}">
          <xlrd:rvb i="14020"/>
        </ext>
      </extLst>
    </bk>
    <bk>
      <extLst>
        <ext uri="{3e2802c4-a4d2-4d8b-9148-e3be6c30e623}">
          <xlrd:rvb i="14021"/>
        </ext>
      </extLst>
    </bk>
    <bk>
      <extLst>
        <ext uri="{3e2802c4-a4d2-4d8b-9148-e3be6c30e623}">
          <xlrd:rvb i="14022"/>
        </ext>
      </extLst>
    </bk>
    <bk>
      <extLst>
        <ext uri="{3e2802c4-a4d2-4d8b-9148-e3be6c30e623}">
          <xlrd:rvb i="14023"/>
        </ext>
      </extLst>
    </bk>
    <bk>
      <extLst>
        <ext uri="{3e2802c4-a4d2-4d8b-9148-e3be6c30e623}">
          <xlrd:rvb i="14024"/>
        </ext>
      </extLst>
    </bk>
    <bk>
      <extLst>
        <ext uri="{3e2802c4-a4d2-4d8b-9148-e3be6c30e623}">
          <xlrd:rvb i="14025"/>
        </ext>
      </extLst>
    </bk>
    <bk>
      <extLst>
        <ext uri="{3e2802c4-a4d2-4d8b-9148-e3be6c30e623}">
          <xlrd:rvb i="14026"/>
        </ext>
      </extLst>
    </bk>
    <bk>
      <extLst>
        <ext uri="{3e2802c4-a4d2-4d8b-9148-e3be6c30e623}">
          <xlrd:rvb i="14027"/>
        </ext>
      </extLst>
    </bk>
    <bk>
      <extLst>
        <ext uri="{3e2802c4-a4d2-4d8b-9148-e3be6c30e623}">
          <xlrd:rvb i="14028"/>
        </ext>
      </extLst>
    </bk>
    <bk>
      <extLst>
        <ext uri="{3e2802c4-a4d2-4d8b-9148-e3be6c30e623}">
          <xlrd:rvb i="14029"/>
        </ext>
      </extLst>
    </bk>
    <bk>
      <extLst>
        <ext uri="{3e2802c4-a4d2-4d8b-9148-e3be6c30e623}">
          <xlrd:rvb i="14030"/>
        </ext>
      </extLst>
    </bk>
    <bk>
      <extLst>
        <ext uri="{3e2802c4-a4d2-4d8b-9148-e3be6c30e623}">
          <xlrd:rvb i="14031"/>
        </ext>
      </extLst>
    </bk>
    <bk>
      <extLst>
        <ext uri="{3e2802c4-a4d2-4d8b-9148-e3be6c30e623}">
          <xlrd:rvb i="14032"/>
        </ext>
      </extLst>
    </bk>
    <bk>
      <extLst>
        <ext uri="{3e2802c4-a4d2-4d8b-9148-e3be6c30e623}">
          <xlrd:rvb i="14033"/>
        </ext>
      </extLst>
    </bk>
    <bk>
      <extLst>
        <ext uri="{3e2802c4-a4d2-4d8b-9148-e3be6c30e623}">
          <xlrd:rvb i="14034"/>
        </ext>
      </extLst>
    </bk>
    <bk>
      <extLst>
        <ext uri="{3e2802c4-a4d2-4d8b-9148-e3be6c30e623}">
          <xlrd:rvb i="14035"/>
        </ext>
      </extLst>
    </bk>
    <bk>
      <extLst>
        <ext uri="{3e2802c4-a4d2-4d8b-9148-e3be6c30e623}">
          <xlrd:rvb i="14036"/>
        </ext>
      </extLst>
    </bk>
    <bk>
      <extLst>
        <ext uri="{3e2802c4-a4d2-4d8b-9148-e3be6c30e623}">
          <xlrd:rvb i="14037"/>
        </ext>
      </extLst>
    </bk>
    <bk>
      <extLst>
        <ext uri="{3e2802c4-a4d2-4d8b-9148-e3be6c30e623}">
          <xlrd:rvb i="14038"/>
        </ext>
      </extLst>
    </bk>
    <bk>
      <extLst>
        <ext uri="{3e2802c4-a4d2-4d8b-9148-e3be6c30e623}">
          <xlrd:rvb i="14039"/>
        </ext>
      </extLst>
    </bk>
    <bk>
      <extLst>
        <ext uri="{3e2802c4-a4d2-4d8b-9148-e3be6c30e623}">
          <xlrd:rvb i="14040"/>
        </ext>
      </extLst>
    </bk>
    <bk>
      <extLst>
        <ext uri="{3e2802c4-a4d2-4d8b-9148-e3be6c30e623}">
          <xlrd:rvb i="14041"/>
        </ext>
      </extLst>
    </bk>
    <bk>
      <extLst>
        <ext uri="{3e2802c4-a4d2-4d8b-9148-e3be6c30e623}">
          <xlrd:rvb i="14042"/>
        </ext>
      </extLst>
    </bk>
    <bk>
      <extLst>
        <ext uri="{3e2802c4-a4d2-4d8b-9148-e3be6c30e623}">
          <xlrd:rvb i="14043"/>
        </ext>
      </extLst>
    </bk>
    <bk>
      <extLst>
        <ext uri="{3e2802c4-a4d2-4d8b-9148-e3be6c30e623}">
          <xlrd:rvb i="14044"/>
        </ext>
      </extLst>
    </bk>
    <bk>
      <extLst>
        <ext uri="{3e2802c4-a4d2-4d8b-9148-e3be6c30e623}">
          <xlrd:rvb i="14045"/>
        </ext>
      </extLst>
    </bk>
    <bk>
      <extLst>
        <ext uri="{3e2802c4-a4d2-4d8b-9148-e3be6c30e623}">
          <xlrd:rvb i="14046"/>
        </ext>
      </extLst>
    </bk>
    <bk>
      <extLst>
        <ext uri="{3e2802c4-a4d2-4d8b-9148-e3be6c30e623}">
          <xlrd:rvb i="14047"/>
        </ext>
      </extLst>
    </bk>
    <bk>
      <extLst>
        <ext uri="{3e2802c4-a4d2-4d8b-9148-e3be6c30e623}">
          <xlrd:rvb i="14048"/>
        </ext>
      </extLst>
    </bk>
    <bk>
      <extLst>
        <ext uri="{3e2802c4-a4d2-4d8b-9148-e3be6c30e623}">
          <xlrd:rvb i="14049"/>
        </ext>
      </extLst>
    </bk>
    <bk>
      <extLst>
        <ext uri="{3e2802c4-a4d2-4d8b-9148-e3be6c30e623}">
          <xlrd:rvb i="14050"/>
        </ext>
      </extLst>
    </bk>
    <bk>
      <extLst>
        <ext uri="{3e2802c4-a4d2-4d8b-9148-e3be6c30e623}">
          <xlrd:rvb i="14051"/>
        </ext>
      </extLst>
    </bk>
    <bk>
      <extLst>
        <ext uri="{3e2802c4-a4d2-4d8b-9148-e3be6c30e623}">
          <xlrd:rvb i="14052"/>
        </ext>
      </extLst>
    </bk>
    <bk>
      <extLst>
        <ext uri="{3e2802c4-a4d2-4d8b-9148-e3be6c30e623}">
          <xlrd:rvb i="14053"/>
        </ext>
      </extLst>
    </bk>
    <bk>
      <extLst>
        <ext uri="{3e2802c4-a4d2-4d8b-9148-e3be6c30e623}">
          <xlrd:rvb i="14054"/>
        </ext>
      </extLst>
    </bk>
    <bk>
      <extLst>
        <ext uri="{3e2802c4-a4d2-4d8b-9148-e3be6c30e623}">
          <xlrd:rvb i="14055"/>
        </ext>
      </extLst>
    </bk>
    <bk>
      <extLst>
        <ext uri="{3e2802c4-a4d2-4d8b-9148-e3be6c30e623}">
          <xlrd:rvb i="14056"/>
        </ext>
      </extLst>
    </bk>
    <bk>
      <extLst>
        <ext uri="{3e2802c4-a4d2-4d8b-9148-e3be6c30e623}">
          <xlrd:rvb i="14057"/>
        </ext>
      </extLst>
    </bk>
    <bk>
      <extLst>
        <ext uri="{3e2802c4-a4d2-4d8b-9148-e3be6c30e623}">
          <xlrd:rvb i="14058"/>
        </ext>
      </extLst>
    </bk>
    <bk>
      <extLst>
        <ext uri="{3e2802c4-a4d2-4d8b-9148-e3be6c30e623}">
          <xlrd:rvb i="14059"/>
        </ext>
      </extLst>
    </bk>
    <bk>
      <extLst>
        <ext uri="{3e2802c4-a4d2-4d8b-9148-e3be6c30e623}">
          <xlrd:rvb i="14060"/>
        </ext>
      </extLst>
    </bk>
    <bk>
      <extLst>
        <ext uri="{3e2802c4-a4d2-4d8b-9148-e3be6c30e623}">
          <xlrd:rvb i="14061"/>
        </ext>
      </extLst>
    </bk>
    <bk>
      <extLst>
        <ext uri="{3e2802c4-a4d2-4d8b-9148-e3be6c30e623}">
          <xlrd:rvb i="14062"/>
        </ext>
      </extLst>
    </bk>
    <bk>
      <extLst>
        <ext uri="{3e2802c4-a4d2-4d8b-9148-e3be6c30e623}">
          <xlrd:rvb i="14063"/>
        </ext>
      </extLst>
    </bk>
    <bk>
      <extLst>
        <ext uri="{3e2802c4-a4d2-4d8b-9148-e3be6c30e623}">
          <xlrd:rvb i="14064"/>
        </ext>
      </extLst>
    </bk>
    <bk>
      <extLst>
        <ext uri="{3e2802c4-a4d2-4d8b-9148-e3be6c30e623}">
          <xlrd:rvb i="14065"/>
        </ext>
      </extLst>
    </bk>
    <bk>
      <extLst>
        <ext uri="{3e2802c4-a4d2-4d8b-9148-e3be6c30e623}">
          <xlrd:rvb i="14066"/>
        </ext>
      </extLst>
    </bk>
    <bk>
      <extLst>
        <ext uri="{3e2802c4-a4d2-4d8b-9148-e3be6c30e623}">
          <xlrd:rvb i="14067"/>
        </ext>
      </extLst>
    </bk>
    <bk>
      <extLst>
        <ext uri="{3e2802c4-a4d2-4d8b-9148-e3be6c30e623}">
          <xlrd:rvb i="14068"/>
        </ext>
      </extLst>
    </bk>
    <bk>
      <extLst>
        <ext uri="{3e2802c4-a4d2-4d8b-9148-e3be6c30e623}">
          <xlrd:rvb i="14069"/>
        </ext>
      </extLst>
    </bk>
    <bk>
      <extLst>
        <ext uri="{3e2802c4-a4d2-4d8b-9148-e3be6c30e623}">
          <xlrd:rvb i="14070"/>
        </ext>
      </extLst>
    </bk>
    <bk>
      <extLst>
        <ext uri="{3e2802c4-a4d2-4d8b-9148-e3be6c30e623}">
          <xlrd:rvb i="14071"/>
        </ext>
      </extLst>
    </bk>
    <bk>
      <extLst>
        <ext uri="{3e2802c4-a4d2-4d8b-9148-e3be6c30e623}">
          <xlrd:rvb i="14072"/>
        </ext>
      </extLst>
    </bk>
    <bk>
      <extLst>
        <ext uri="{3e2802c4-a4d2-4d8b-9148-e3be6c30e623}">
          <xlrd:rvb i="14073"/>
        </ext>
      </extLst>
    </bk>
    <bk>
      <extLst>
        <ext uri="{3e2802c4-a4d2-4d8b-9148-e3be6c30e623}">
          <xlrd:rvb i="14074"/>
        </ext>
      </extLst>
    </bk>
    <bk>
      <extLst>
        <ext uri="{3e2802c4-a4d2-4d8b-9148-e3be6c30e623}">
          <xlrd:rvb i="14075"/>
        </ext>
      </extLst>
    </bk>
    <bk>
      <extLst>
        <ext uri="{3e2802c4-a4d2-4d8b-9148-e3be6c30e623}">
          <xlrd:rvb i="14076"/>
        </ext>
      </extLst>
    </bk>
    <bk>
      <extLst>
        <ext uri="{3e2802c4-a4d2-4d8b-9148-e3be6c30e623}">
          <xlrd:rvb i="14077"/>
        </ext>
      </extLst>
    </bk>
    <bk>
      <extLst>
        <ext uri="{3e2802c4-a4d2-4d8b-9148-e3be6c30e623}">
          <xlrd:rvb i="14078"/>
        </ext>
      </extLst>
    </bk>
    <bk>
      <extLst>
        <ext uri="{3e2802c4-a4d2-4d8b-9148-e3be6c30e623}">
          <xlrd:rvb i="14079"/>
        </ext>
      </extLst>
    </bk>
    <bk>
      <extLst>
        <ext uri="{3e2802c4-a4d2-4d8b-9148-e3be6c30e623}">
          <xlrd:rvb i="14080"/>
        </ext>
      </extLst>
    </bk>
    <bk>
      <extLst>
        <ext uri="{3e2802c4-a4d2-4d8b-9148-e3be6c30e623}">
          <xlrd:rvb i="14081"/>
        </ext>
      </extLst>
    </bk>
    <bk>
      <extLst>
        <ext uri="{3e2802c4-a4d2-4d8b-9148-e3be6c30e623}">
          <xlrd:rvb i="14082"/>
        </ext>
      </extLst>
    </bk>
    <bk>
      <extLst>
        <ext uri="{3e2802c4-a4d2-4d8b-9148-e3be6c30e623}">
          <xlrd:rvb i="14083"/>
        </ext>
      </extLst>
    </bk>
    <bk>
      <extLst>
        <ext uri="{3e2802c4-a4d2-4d8b-9148-e3be6c30e623}">
          <xlrd:rvb i="14084"/>
        </ext>
      </extLst>
    </bk>
    <bk>
      <extLst>
        <ext uri="{3e2802c4-a4d2-4d8b-9148-e3be6c30e623}">
          <xlrd:rvb i="14085"/>
        </ext>
      </extLst>
    </bk>
    <bk>
      <extLst>
        <ext uri="{3e2802c4-a4d2-4d8b-9148-e3be6c30e623}">
          <xlrd:rvb i="14086"/>
        </ext>
      </extLst>
    </bk>
    <bk>
      <extLst>
        <ext uri="{3e2802c4-a4d2-4d8b-9148-e3be6c30e623}">
          <xlrd:rvb i="14087"/>
        </ext>
      </extLst>
    </bk>
    <bk>
      <extLst>
        <ext uri="{3e2802c4-a4d2-4d8b-9148-e3be6c30e623}">
          <xlrd:rvb i="14088"/>
        </ext>
      </extLst>
    </bk>
    <bk>
      <extLst>
        <ext uri="{3e2802c4-a4d2-4d8b-9148-e3be6c30e623}">
          <xlrd:rvb i="14089"/>
        </ext>
      </extLst>
    </bk>
    <bk>
      <extLst>
        <ext uri="{3e2802c4-a4d2-4d8b-9148-e3be6c30e623}">
          <xlrd:rvb i="14090"/>
        </ext>
      </extLst>
    </bk>
    <bk>
      <extLst>
        <ext uri="{3e2802c4-a4d2-4d8b-9148-e3be6c30e623}">
          <xlrd:rvb i="14091"/>
        </ext>
      </extLst>
    </bk>
    <bk>
      <extLst>
        <ext uri="{3e2802c4-a4d2-4d8b-9148-e3be6c30e623}">
          <xlrd:rvb i="14092"/>
        </ext>
      </extLst>
    </bk>
    <bk>
      <extLst>
        <ext uri="{3e2802c4-a4d2-4d8b-9148-e3be6c30e623}">
          <xlrd:rvb i="14093"/>
        </ext>
      </extLst>
    </bk>
    <bk>
      <extLst>
        <ext uri="{3e2802c4-a4d2-4d8b-9148-e3be6c30e623}">
          <xlrd:rvb i="14094"/>
        </ext>
      </extLst>
    </bk>
    <bk>
      <extLst>
        <ext uri="{3e2802c4-a4d2-4d8b-9148-e3be6c30e623}">
          <xlrd:rvb i="14095"/>
        </ext>
      </extLst>
    </bk>
    <bk>
      <extLst>
        <ext uri="{3e2802c4-a4d2-4d8b-9148-e3be6c30e623}">
          <xlrd:rvb i="14096"/>
        </ext>
      </extLst>
    </bk>
    <bk>
      <extLst>
        <ext uri="{3e2802c4-a4d2-4d8b-9148-e3be6c30e623}">
          <xlrd:rvb i="14097"/>
        </ext>
      </extLst>
    </bk>
    <bk>
      <extLst>
        <ext uri="{3e2802c4-a4d2-4d8b-9148-e3be6c30e623}">
          <xlrd:rvb i="14098"/>
        </ext>
      </extLst>
    </bk>
    <bk>
      <extLst>
        <ext uri="{3e2802c4-a4d2-4d8b-9148-e3be6c30e623}">
          <xlrd:rvb i="14099"/>
        </ext>
      </extLst>
    </bk>
    <bk>
      <extLst>
        <ext uri="{3e2802c4-a4d2-4d8b-9148-e3be6c30e623}">
          <xlrd:rvb i="14100"/>
        </ext>
      </extLst>
    </bk>
    <bk>
      <extLst>
        <ext uri="{3e2802c4-a4d2-4d8b-9148-e3be6c30e623}">
          <xlrd:rvb i="14101"/>
        </ext>
      </extLst>
    </bk>
    <bk>
      <extLst>
        <ext uri="{3e2802c4-a4d2-4d8b-9148-e3be6c30e623}">
          <xlrd:rvb i="14102"/>
        </ext>
      </extLst>
    </bk>
    <bk>
      <extLst>
        <ext uri="{3e2802c4-a4d2-4d8b-9148-e3be6c30e623}">
          <xlrd:rvb i="14103"/>
        </ext>
      </extLst>
    </bk>
    <bk>
      <extLst>
        <ext uri="{3e2802c4-a4d2-4d8b-9148-e3be6c30e623}">
          <xlrd:rvb i="14104"/>
        </ext>
      </extLst>
    </bk>
    <bk>
      <extLst>
        <ext uri="{3e2802c4-a4d2-4d8b-9148-e3be6c30e623}">
          <xlrd:rvb i="14105"/>
        </ext>
      </extLst>
    </bk>
    <bk>
      <extLst>
        <ext uri="{3e2802c4-a4d2-4d8b-9148-e3be6c30e623}">
          <xlrd:rvb i="14106"/>
        </ext>
      </extLst>
    </bk>
    <bk>
      <extLst>
        <ext uri="{3e2802c4-a4d2-4d8b-9148-e3be6c30e623}">
          <xlrd:rvb i="14107"/>
        </ext>
      </extLst>
    </bk>
    <bk>
      <extLst>
        <ext uri="{3e2802c4-a4d2-4d8b-9148-e3be6c30e623}">
          <xlrd:rvb i="14108"/>
        </ext>
      </extLst>
    </bk>
    <bk>
      <extLst>
        <ext uri="{3e2802c4-a4d2-4d8b-9148-e3be6c30e623}">
          <xlrd:rvb i="14109"/>
        </ext>
      </extLst>
    </bk>
    <bk>
      <extLst>
        <ext uri="{3e2802c4-a4d2-4d8b-9148-e3be6c30e623}">
          <xlrd:rvb i="14110"/>
        </ext>
      </extLst>
    </bk>
    <bk>
      <extLst>
        <ext uri="{3e2802c4-a4d2-4d8b-9148-e3be6c30e623}">
          <xlrd:rvb i="14111"/>
        </ext>
      </extLst>
    </bk>
    <bk>
      <extLst>
        <ext uri="{3e2802c4-a4d2-4d8b-9148-e3be6c30e623}">
          <xlrd:rvb i="14112"/>
        </ext>
      </extLst>
    </bk>
    <bk>
      <extLst>
        <ext uri="{3e2802c4-a4d2-4d8b-9148-e3be6c30e623}">
          <xlrd:rvb i="14113"/>
        </ext>
      </extLst>
    </bk>
    <bk>
      <extLst>
        <ext uri="{3e2802c4-a4d2-4d8b-9148-e3be6c30e623}">
          <xlrd:rvb i="14114"/>
        </ext>
      </extLst>
    </bk>
    <bk>
      <extLst>
        <ext uri="{3e2802c4-a4d2-4d8b-9148-e3be6c30e623}">
          <xlrd:rvb i="14115"/>
        </ext>
      </extLst>
    </bk>
    <bk>
      <extLst>
        <ext uri="{3e2802c4-a4d2-4d8b-9148-e3be6c30e623}">
          <xlrd:rvb i="14116"/>
        </ext>
      </extLst>
    </bk>
    <bk>
      <extLst>
        <ext uri="{3e2802c4-a4d2-4d8b-9148-e3be6c30e623}">
          <xlrd:rvb i="14117"/>
        </ext>
      </extLst>
    </bk>
    <bk>
      <extLst>
        <ext uri="{3e2802c4-a4d2-4d8b-9148-e3be6c30e623}">
          <xlrd:rvb i="14118"/>
        </ext>
      </extLst>
    </bk>
    <bk>
      <extLst>
        <ext uri="{3e2802c4-a4d2-4d8b-9148-e3be6c30e623}">
          <xlrd:rvb i="14119"/>
        </ext>
      </extLst>
    </bk>
    <bk>
      <extLst>
        <ext uri="{3e2802c4-a4d2-4d8b-9148-e3be6c30e623}">
          <xlrd:rvb i="14120"/>
        </ext>
      </extLst>
    </bk>
    <bk>
      <extLst>
        <ext uri="{3e2802c4-a4d2-4d8b-9148-e3be6c30e623}">
          <xlrd:rvb i="14121"/>
        </ext>
      </extLst>
    </bk>
    <bk>
      <extLst>
        <ext uri="{3e2802c4-a4d2-4d8b-9148-e3be6c30e623}">
          <xlrd:rvb i="14122"/>
        </ext>
      </extLst>
    </bk>
    <bk>
      <extLst>
        <ext uri="{3e2802c4-a4d2-4d8b-9148-e3be6c30e623}">
          <xlrd:rvb i="14123"/>
        </ext>
      </extLst>
    </bk>
    <bk>
      <extLst>
        <ext uri="{3e2802c4-a4d2-4d8b-9148-e3be6c30e623}">
          <xlrd:rvb i="14124"/>
        </ext>
      </extLst>
    </bk>
    <bk>
      <extLst>
        <ext uri="{3e2802c4-a4d2-4d8b-9148-e3be6c30e623}">
          <xlrd:rvb i="14125"/>
        </ext>
      </extLst>
    </bk>
    <bk>
      <extLst>
        <ext uri="{3e2802c4-a4d2-4d8b-9148-e3be6c30e623}">
          <xlrd:rvb i="14126"/>
        </ext>
      </extLst>
    </bk>
    <bk>
      <extLst>
        <ext uri="{3e2802c4-a4d2-4d8b-9148-e3be6c30e623}">
          <xlrd:rvb i="14127"/>
        </ext>
      </extLst>
    </bk>
    <bk>
      <extLst>
        <ext uri="{3e2802c4-a4d2-4d8b-9148-e3be6c30e623}">
          <xlrd:rvb i="14128"/>
        </ext>
      </extLst>
    </bk>
    <bk>
      <extLst>
        <ext uri="{3e2802c4-a4d2-4d8b-9148-e3be6c30e623}">
          <xlrd:rvb i="14129"/>
        </ext>
      </extLst>
    </bk>
    <bk>
      <extLst>
        <ext uri="{3e2802c4-a4d2-4d8b-9148-e3be6c30e623}">
          <xlrd:rvb i="14130"/>
        </ext>
      </extLst>
    </bk>
    <bk>
      <extLst>
        <ext uri="{3e2802c4-a4d2-4d8b-9148-e3be6c30e623}">
          <xlrd:rvb i="14131"/>
        </ext>
      </extLst>
    </bk>
    <bk>
      <extLst>
        <ext uri="{3e2802c4-a4d2-4d8b-9148-e3be6c30e623}">
          <xlrd:rvb i="14132"/>
        </ext>
      </extLst>
    </bk>
    <bk>
      <extLst>
        <ext uri="{3e2802c4-a4d2-4d8b-9148-e3be6c30e623}">
          <xlrd:rvb i="14133"/>
        </ext>
      </extLst>
    </bk>
    <bk>
      <extLst>
        <ext uri="{3e2802c4-a4d2-4d8b-9148-e3be6c30e623}">
          <xlrd:rvb i="14134"/>
        </ext>
      </extLst>
    </bk>
    <bk>
      <extLst>
        <ext uri="{3e2802c4-a4d2-4d8b-9148-e3be6c30e623}">
          <xlrd:rvb i="14135"/>
        </ext>
      </extLst>
    </bk>
    <bk>
      <extLst>
        <ext uri="{3e2802c4-a4d2-4d8b-9148-e3be6c30e623}">
          <xlrd:rvb i="14136"/>
        </ext>
      </extLst>
    </bk>
    <bk>
      <extLst>
        <ext uri="{3e2802c4-a4d2-4d8b-9148-e3be6c30e623}">
          <xlrd:rvb i="14137"/>
        </ext>
      </extLst>
    </bk>
    <bk>
      <extLst>
        <ext uri="{3e2802c4-a4d2-4d8b-9148-e3be6c30e623}">
          <xlrd:rvb i="14138"/>
        </ext>
      </extLst>
    </bk>
    <bk>
      <extLst>
        <ext uri="{3e2802c4-a4d2-4d8b-9148-e3be6c30e623}">
          <xlrd:rvb i="14139"/>
        </ext>
      </extLst>
    </bk>
    <bk>
      <extLst>
        <ext uri="{3e2802c4-a4d2-4d8b-9148-e3be6c30e623}">
          <xlrd:rvb i="14140"/>
        </ext>
      </extLst>
    </bk>
    <bk>
      <extLst>
        <ext uri="{3e2802c4-a4d2-4d8b-9148-e3be6c30e623}">
          <xlrd:rvb i="14141"/>
        </ext>
      </extLst>
    </bk>
    <bk>
      <extLst>
        <ext uri="{3e2802c4-a4d2-4d8b-9148-e3be6c30e623}">
          <xlrd:rvb i="14142"/>
        </ext>
      </extLst>
    </bk>
    <bk>
      <extLst>
        <ext uri="{3e2802c4-a4d2-4d8b-9148-e3be6c30e623}">
          <xlrd:rvb i="14143"/>
        </ext>
      </extLst>
    </bk>
    <bk>
      <extLst>
        <ext uri="{3e2802c4-a4d2-4d8b-9148-e3be6c30e623}">
          <xlrd:rvb i="14144"/>
        </ext>
      </extLst>
    </bk>
    <bk>
      <extLst>
        <ext uri="{3e2802c4-a4d2-4d8b-9148-e3be6c30e623}">
          <xlrd:rvb i="14145"/>
        </ext>
      </extLst>
    </bk>
    <bk>
      <extLst>
        <ext uri="{3e2802c4-a4d2-4d8b-9148-e3be6c30e623}">
          <xlrd:rvb i="14146"/>
        </ext>
      </extLst>
    </bk>
    <bk>
      <extLst>
        <ext uri="{3e2802c4-a4d2-4d8b-9148-e3be6c30e623}">
          <xlrd:rvb i="14147"/>
        </ext>
      </extLst>
    </bk>
    <bk>
      <extLst>
        <ext uri="{3e2802c4-a4d2-4d8b-9148-e3be6c30e623}">
          <xlrd:rvb i="14148"/>
        </ext>
      </extLst>
    </bk>
    <bk>
      <extLst>
        <ext uri="{3e2802c4-a4d2-4d8b-9148-e3be6c30e623}">
          <xlrd:rvb i="14149"/>
        </ext>
      </extLst>
    </bk>
    <bk>
      <extLst>
        <ext uri="{3e2802c4-a4d2-4d8b-9148-e3be6c30e623}">
          <xlrd:rvb i="14150"/>
        </ext>
      </extLst>
    </bk>
    <bk>
      <extLst>
        <ext uri="{3e2802c4-a4d2-4d8b-9148-e3be6c30e623}">
          <xlrd:rvb i="14151"/>
        </ext>
      </extLst>
    </bk>
    <bk>
      <extLst>
        <ext uri="{3e2802c4-a4d2-4d8b-9148-e3be6c30e623}">
          <xlrd:rvb i="14152"/>
        </ext>
      </extLst>
    </bk>
    <bk>
      <extLst>
        <ext uri="{3e2802c4-a4d2-4d8b-9148-e3be6c30e623}">
          <xlrd:rvb i="14153"/>
        </ext>
      </extLst>
    </bk>
    <bk>
      <extLst>
        <ext uri="{3e2802c4-a4d2-4d8b-9148-e3be6c30e623}">
          <xlrd:rvb i="14154"/>
        </ext>
      </extLst>
    </bk>
    <bk>
      <extLst>
        <ext uri="{3e2802c4-a4d2-4d8b-9148-e3be6c30e623}">
          <xlrd:rvb i="14155"/>
        </ext>
      </extLst>
    </bk>
    <bk>
      <extLst>
        <ext uri="{3e2802c4-a4d2-4d8b-9148-e3be6c30e623}">
          <xlrd:rvb i="14156"/>
        </ext>
      </extLst>
    </bk>
    <bk>
      <extLst>
        <ext uri="{3e2802c4-a4d2-4d8b-9148-e3be6c30e623}">
          <xlrd:rvb i="14157"/>
        </ext>
      </extLst>
    </bk>
    <bk>
      <extLst>
        <ext uri="{3e2802c4-a4d2-4d8b-9148-e3be6c30e623}">
          <xlrd:rvb i="14158"/>
        </ext>
      </extLst>
    </bk>
    <bk>
      <extLst>
        <ext uri="{3e2802c4-a4d2-4d8b-9148-e3be6c30e623}">
          <xlrd:rvb i="14159"/>
        </ext>
      </extLst>
    </bk>
    <bk>
      <extLst>
        <ext uri="{3e2802c4-a4d2-4d8b-9148-e3be6c30e623}">
          <xlrd:rvb i="14160"/>
        </ext>
      </extLst>
    </bk>
    <bk>
      <extLst>
        <ext uri="{3e2802c4-a4d2-4d8b-9148-e3be6c30e623}">
          <xlrd:rvb i="14161"/>
        </ext>
      </extLst>
    </bk>
    <bk>
      <extLst>
        <ext uri="{3e2802c4-a4d2-4d8b-9148-e3be6c30e623}">
          <xlrd:rvb i="14162"/>
        </ext>
      </extLst>
    </bk>
    <bk>
      <extLst>
        <ext uri="{3e2802c4-a4d2-4d8b-9148-e3be6c30e623}">
          <xlrd:rvb i="14163"/>
        </ext>
      </extLst>
    </bk>
    <bk>
      <extLst>
        <ext uri="{3e2802c4-a4d2-4d8b-9148-e3be6c30e623}">
          <xlrd:rvb i="14164"/>
        </ext>
      </extLst>
    </bk>
    <bk>
      <extLst>
        <ext uri="{3e2802c4-a4d2-4d8b-9148-e3be6c30e623}">
          <xlrd:rvb i="14165"/>
        </ext>
      </extLst>
    </bk>
    <bk>
      <extLst>
        <ext uri="{3e2802c4-a4d2-4d8b-9148-e3be6c30e623}">
          <xlrd:rvb i="14166"/>
        </ext>
      </extLst>
    </bk>
    <bk>
      <extLst>
        <ext uri="{3e2802c4-a4d2-4d8b-9148-e3be6c30e623}">
          <xlrd:rvb i="14167"/>
        </ext>
      </extLst>
    </bk>
    <bk>
      <extLst>
        <ext uri="{3e2802c4-a4d2-4d8b-9148-e3be6c30e623}">
          <xlrd:rvb i="14168"/>
        </ext>
      </extLst>
    </bk>
    <bk>
      <extLst>
        <ext uri="{3e2802c4-a4d2-4d8b-9148-e3be6c30e623}">
          <xlrd:rvb i="14169"/>
        </ext>
      </extLst>
    </bk>
    <bk>
      <extLst>
        <ext uri="{3e2802c4-a4d2-4d8b-9148-e3be6c30e623}">
          <xlrd:rvb i="14170"/>
        </ext>
      </extLst>
    </bk>
    <bk>
      <extLst>
        <ext uri="{3e2802c4-a4d2-4d8b-9148-e3be6c30e623}">
          <xlrd:rvb i="14171"/>
        </ext>
      </extLst>
    </bk>
    <bk>
      <extLst>
        <ext uri="{3e2802c4-a4d2-4d8b-9148-e3be6c30e623}">
          <xlrd:rvb i="14172"/>
        </ext>
      </extLst>
    </bk>
    <bk>
      <extLst>
        <ext uri="{3e2802c4-a4d2-4d8b-9148-e3be6c30e623}">
          <xlrd:rvb i="14173"/>
        </ext>
      </extLst>
    </bk>
    <bk>
      <extLst>
        <ext uri="{3e2802c4-a4d2-4d8b-9148-e3be6c30e623}">
          <xlrd:rvb i="14174"/>
        </ext>
      </extLst>
    </bk>
    <bk>
      <extLst>
        <ext uri="{3e2802c4-a4d2-4d8b-9148-e3be6c30e623}">
          <xlrd:rvb i="14175"/>
        </ext>
      </extLst>
    </bk>
    <bk>
      <extLst>
        <ext uri="{3e2802c4-a4d2-4d8b-9148-e3be6c30e623}">
          <xlrd:rvb i="14176"/>
        </ext>
      </extLst>
    </bk>
    <bk>
      <extLst>
        <ext uri="{3e2802c4-a4d2-4d8b-9148-e3be6c30e623}">
          <xlrd:rvb i="14177"/>
        </ext>
      </extLst>
    </bk>
    <bk>
      <extLst>
        <ext uri="{3e2802c4-a4d2-4d8b-9148-e3be6c30e623}">
          <xlrd:rvb i="14178"/>
        </ext>
      </extLst>
    </bk>
    <bk>
      <extLst>
        <ext uri="{3e2802c4-a4d2-4d8b-9148-e3be6c30e623}">
          <xlrd:rvb i="14179"/>
        </ext>
      </extLst>
    </bk>
    <bk>
      <extLst>
        <ext uri="{3e2802c4-a4d2-4d8b-9148-e3be6c30e623}">
          <xlrd:rvb i="14180"/>
        </ext>
      </extLst>
    </bk>
    <bk>
      <extLst>
        <ext uri="{3e2802c4-a4d2-4d8b-9148-e3be6c30e623}">
          <xlrd:rvb i="14181"/>
        </ext>
      </extLst>
    </bk>
    <bk>
      <extLst>
        <ext uri="{3e2802c4-a4d2-4d8b-9148-e3be6c30e623}">
          <xlrd:rvb i="14182"/>
        </ext>
      </extLst>
    </bk>
    <bk>
      <extLst>
        <ext uri="{3e2802c4-a4d2-4d8b-9148-e3be6c30e623}">
          <xlrd:rvb i="14183"/>
        </ext>
      </extLst>
    </bk>
    <bk>
      <extLst>
        <ext uri="{3e2802c4-a4d2-4d8b-9148-e3be6c30e623}">
          <xlrd:rvb i="14184"/>
        </ext>
      </extLst>
    </bk>
    <bk>
      <extLst>
        <ext uri="{3e2802c4-a4d2-4d8b-9148-e3be6c30e623}">
          <xlrd:rvb i="14185"/>
        </ext>
      </extLst>
    </bk>
    <bk>
      <extLst>
        <ext uri="{3e2802c4-a4d2-4d8b-9148-e3be6c30e623}">
          <xlrd:rvb i="14186"/>
        </ext>
      </extLst>
    </bk>
    <bk>
      <extLst>
        <ext uri="{3e2802c4-a4d2-4d8b-9148-e3be6c30e623}">
          <xlrd:rvb i="14187"/>
        </ext>
      </extLst>
    </bk>
    <bk>
      <extLst>
        <ext uri="{3e2802c4-a4d2-4d8b-9148-e3be6c30e623}">
          <xlrd:rvb i="14188"/>
        </ext>
      </extLst>
    </bk>
    <bk>
      <extLst>
        <ext uri="{3e2802c4-a4d2-4d8b-9148-e3be6c30e623}">
          <xlrd:rvb i="14189"/>
        </ext>
      </extLst>
    </bk>
    <bk>
      <extLst>
        <ext uri="{3e2802c4-a4d2-4d8b-9148-e3be6c30e623}">
          <xlrd:rvb i="14190"/>
        </ext>
      </extLst>
    </bk>
    <bk>
      <extLst>
        <ext uri="{3e2802c4-a4d2-4d8b-9148-e3be6c30e623}">
          <xlrd:rvb i="14191"/>
        </ext>
      </extLst>
    </bk>
    <bk>
      <extLst>
        <ext uri="{3e2802c4-a4d2-4d8b-9148-e3be6c30e623}">
          <xlrd:rvb i="14192"/>
        </ext>
      </extLst>
    </bk>
    <bk>
      <extLst>
        <ext uri="{3e2802c4-a4d2-4d8b-9148-e3be6c30e623}">
          <xlrd:rvb i="14193"/>
        </ext>
      </extLst>
    </bk>
    <bk>
      <extLst>
        <ext uri="{3e2802c4-a4d2-4d8b-9148-e3be6c30e623}">
          <xlrd:rvb i="14194"/>
        </ext>
      </extLst>
    </bk>
    <bk>
      <extLst>
        <ext uri="{3e2802c4-a4d2-4d8b-9148-e3be6c30e623}">
          <xlrd:rvb i="14195"/>
        </ext>
      </extLst>
    </bk>
    <bk>
      <extLst>
        <ext uri="{3e2802c4-a4d2-4d8b-9148-e3be6c30e623}">
          <xlrd:rvb i="14196"/>
        </ext>
      </extLst>
    </bk>
    <bk>
      <extLst>
        <ext uri="{3e2802c4-a4d2-4d8b-9148-e3be6c30e623}">
          <xlrd:rvb i="14197"/>
        </ext>
      </extLst>
    </bk>
    <bk>
      <extLst>
        <ext uri="{3e2802c4-a4d2-4d8b-9148-e3be6c30e623}">
          <xlrd:rvb i="14198"/>
        </ext>
      </extLst>
    </bk>
    <bk>
      <extLst>
        <ext uri="{3e2802c4-a4d2-4d8b-9148-e3be6c30e623}">
          <xlrd:rvb i="14199"/>
        </ext>
      </extLst>
    </bk>
    <bk>
      <extLst>
        <ext uri="{3e2802c4-a4d2-4d8b-9148-e3be6c30e623}">
          <xlrd:rvb i="14200"/>
        </ext>
      </extLst>
    </bk>
    <bk>
      <extLst>
        <ext uri="{3e2802c4-a4d2-4d8b-9148-e3be6c30e623}">
          <xlrd:rvb i="14201"/>
        </ext>
      </extLst>
    </bk>
    <bk>
      <extLst>
        <ext uri="{3e2802c4-a4d2-4d8b-9148-e3be6c30e623}">
          <xlrd:rvb i="14202"/>
        </ext>
      </extLst>
    </bk>
    <bk>
      <extLst>
        <ext uri="{3e2802c4-a4d2-4d8b-9148-e3be6c30e623}">
          <xlrd:rvb i="14203"/>
        </ext>
      </extLst>
    </bk>
    <bk>
      <extLst>
        <ext uri="{3e2802c4-a4d2-4d8b-9148-e3be6c30e623}">
          <xlrd:rvb i="14204"/>
        </ext>
      </extLst>
    </bk>
    <bk>
      <extLst>
        <ext uri="{3e2802c4-a4d2-4d8b-9148-e3be6c30e623}">
          <xlrd:rvb i="14205"/>
        </ext>
      </extLst>
    </bk>
    <bk>
      <extLst>
        <ext uri="{3e2802c4-a4d2-4d8b-9148-e3be6c30e623}">
          <xlrd:rvb i="14206"/>
        </ext>
      </extLst>
    </bk>
    <bk>
      <extLst>
        <ext uri="{3e2802c4-a4d2-4d8b-9148-e3be6c30e623}">
          <xlrd:rvb i="14207"/>
        </ext>
      </extLst>
    </bk>
    <bk>
      <extLst>
        <ext uri="{3e2802c4-a4d2-4d8b-9148-e3be6c30e623}">
          <xlrd:rvb i="14208"/>
        </ext>
      </extLst>
    </bk>
    <bk>
      <extLst>
        <ext uri="{3e2802c4-a4d2-4d8b-9148-e3be6c30e623}">
          <xlrd:rvb i="14209"/>
        </ext>
      </extLst>
    </bk>
    <bk>
      <extLst>
        <ext uri="{3e2802c4-a4d2-4d8b-9148-e3be6c30e623}">
          <xlrd:rvb i="14210"/>
        </ext>
      </extLst>
    </bk>
    <bk>
      <extLst>
        <ext uri="{3e2802c4-a4d2-4d8b-9148-e3be6c30e623}">
          <xlrd:rvb i="14211"/>
        </ext>
      </extLst>
    </bk>
    <bk>
      <extLst>
        <ext uri="{3e2802c4-a4d2-4d8b-9148-e3be6c30e623}">
          <xlrd:rvb i="14212"/>
        </ext>
      </extLst>
    </bk>
    <bk>
      <extLst>
        <ext uri="{3e2802c4-a4d2-4d8b-9148-e3be6c30e623}">
          <xlrd:rvb i="14213"/>
        </ext>
      </extLst>
    </bk>
    <bk>
      <extLst>
        <ext uri="{3e2802c4-a4d2-4d8b-9148-e3be6c30e623}">
          <xlrd:rvb i="14214"/>
        </ext>
      </extLst>
    </bk>
    <bk>
      <extLst>
        <ext uri="{3e2802c4-a4d2-4d8b-9148-e3be6c30e623}">
          <xlrd:rvb i="14215"/>
        </ext>
      </extLst>
    </bk>
    <bk>
      <extLst>
        <ext uri="{3e2802c4-a4d2-4d8b-9148-e3be6c30e623}">
          <xlrd:rvb i="14216"/>
        </ext>
      </extLst>
    </bk>
    <bk>
      <extLst>
        <ext uri="{3e2802c4-a4d2-4d8b-9148-e3be6c30e623}">
          <xlrd:rvb i="14217"/>
        </ext>
      </extLst>
    </bk>
    <bk>
      <extLst>
        <ext uri="{3e2802c4-a4d2-4d8b-9148-e3be6c30e623}">
          <xlrd:rvb i="14218"/>
        </ext>
      </extLst>
    </bk>
    <bk>
      <extLst>
        <ext uri="{3e2802c4-a4d2-4d8b-9148-e3be6c30e623}">
          <xlrd:rvb i="14219"/>
        </ext>
      </extLst>
    </bk>
    <bk>
      <extLst>
        <ext uri="{3e2802c4-a4d2-4d8b-9148-e3be6c30e623}">
          <xlrd:rvb i="14220"/>
        </ext>
      </extLst>
    </bk>
    <bk>
      <extLst>
        <ext uri="{3e2802c4-a4d2-4d8b-9148-e3be6c30e623}">
          <xlrd:rvb i="14221"/>
        </ext>
      </extLst>
    </bk>
    <bk>
      <extLst>
        <ext uri="{3e2802c4-a4d2-4d8b-9148-e3be6c30e623}">
          <xlrd:rvb i="14222"/>
        </ext>
      </extLst>
    </bk>
    <bk>
      <extLst>
        <ext uri="{3e2802c4-a4d2-4d8b-9148-e3be6c30e623}">
          <xlrd:rvb i="14223"/>
        </ext>
      </extLst>
    </bk>
    <bk>
      <extLst>
        <ext uri="{3e2802c4-a4d2-4d8b-9148-e3be6c30e623}">
          <xlrd:rvb i="14224"/>
        </ext>
      </extLst>
    </bk>
    <bk>
      <extLst>
        <ext uri="{3e2802c4-a4d2-4d8b-9148-e3be6c30e623}">
          <xlrd:rvb i="14225"/>
        </ext>
      </extLst>
    </bk>
    <bk>
      <extLst>
        <ext uri="{3e2802c4-a4d2-4d8b-9148-e3be6c30e623}">
          <xlrd:rvb i="14226"/>
        </ext>
      </extLst>
    </bk>
    <bk>
      <extLst>
        <ext uri="{3e2802c4-a4d2-4d8b-9148-e3be6c30e623}">
          <xlrd:rvb i="14227"/>
        </ext>
      </extLst>
    </bk>
    <bk>
      <extLst>
        <ext uri="{3e2802c4-a4d2-4d8b-9148-e3be6c30e623}">
          <xlrd:rvb i="14228"/>
        </ext>
      </extLst>
    </bk>
    <bk>
      <extLst>
        <ext uri="{3e2802c4-a4d2-4d8b-9148-e3be6c30e623}">
          <xlrd:rvb i="14229"/>
        </ext>
      </extLst>
    </bk>
    <bk>
      <extLst>
        <ext uri="{3e2802c4-a4d2-4d8b-9148-e3be6c30e623}">
          <xlrd:rvb i="14230"/>
        </ext>
      </extLst>
    </bk>
    <bk>
      <extLst>
        <ext uri="{3e2802c4-a4d2-4d8b-9148-e3be6c30e623}">
          <xlrd:rvb i="14231"/>
        </ext>
      </extLst>
    </bk>
    <bk>
      <extLst>
        <ext uri="{3e2802c4-a4d2-4d8b-9148-e3be6c30e623}">
          <xlrd:rvb i="14232"/>
        </ext>
      </extLst>
    </bk>
    <bk>
      <extLst>
        <ext uri="{3e2802c4-a4d2-4d8b-9148-e3be6c30e623}">
          <xlrd:rvb i="14233"/>
        </ext>
      </extLst>
    </bk>
    <bk>
      <extLst>
        <ext uri="{3e2802c4-a4d2-4d8b-9148-e3be6c30e623}">
          <xlrd:rvb i="14234"/>
        </ext>
      </extLst>
    </bk>
    <bk>
      <extLst>
        <ext uri="{3e2802c4-a4d2-4d8b-9148-e3be6c30e623}">
          <xlrd:rvb i="14235"/>
        </ext>
      </extLst>
    </bk>
    <bk>
      <extLst>
        <ext uri="{3e2802c4-a4d2-4d8b-9148-e3be6c30e623}">
          <xlrd:rvb i="14236"/>
        </ext>
      </extLst>
    </bk>
    <bk>
      <extLst>
        <ext uri="{3e2802c4-a4d2-4d8b-9148-e3be6c30e623}">
          <xlrd:rvb i="14237"/>
        </ext>
      </extLst>
    </bk>
    <bk>
      <extLst>
        <ext uri="{3e2802c4-a4d2-4d8b-9148-e3be6c30e623}">
          <xlrd:rvb i="14238"/>
        </ext>
      </extLst>
    </bk>
    <bk>
      <extLst>
        <ext uri="{3e2802c4-a4d2-4d8b-9148-e3be6c30e623}">
          <xlrd:rvb i="14239"/>
        </ext>
      </extLst>
    </bk>
    <bk>
      <extLst>
        <ext uri="{3e2802c4-a4d2-4d8b-9148-e3be6c30e623}">
          <xlrd:rvb i="14240"/>
        </ext>
      </extLst>
    </bk>
    <bk>
      <extLst>
        <ext uri="{3e2802c4-a4d2-4d8b-9148-e3be6c30e623}">
          <xlrd:rvb i="14241"/>
        </ext>
      </extLst>
    </bk>
    <bk>
      <extLst>
        <ext uri="{3e2802c4-a4d2-4d8b-9148-e3be6c30e623}">
          <xlrd:rvb i="14242"/>
        </ext>
      </extLst>
    </bk>
    <bk>
      <extLst>
        <ext uri="{3e2802c4-a4d2-4d8b-9148-e3be6c30e623}">
          <xlrd:rvb i="14243"/>
        </ext>
      </extLst>
    </bk>
    <bk>
      <extLst>
        <ext uri="{3e2802c4-a4d2-4d8b-9148-e3be6c30e623}">
          <xlrd:rvb i="14244"/>
        </ext>
      </extLst>
    </bk>
    <bk>
      <extLst>
        <ext uri="{3e2802c4-a4d2-4d8b-9148-e3be6c30e623}">
          <xlrd:rvb i="14245"/>
        </ext>
      </extLst>
    </bk>
    <bk>
      <extLst>
        <ext uri="{3e2802c4-a4d2-4d8b-9148-e3be6c30e623}">
          <xlrd:rvb i="14246"/>
        </ext>
      </extLst>
    </bk>
    <bk>
      <extLst>
        <ext uri="{3e2802c4-a4d2-4d8b-9148-e3be6c30e623}">
          <xlrd:rvb i="14247"/>
        </ext>
      </extLst>
    </bk>
    <bk>
      <extLst>
        <ext uri="{3e2802c4-a4d2-4d8b-9148-e3be6c30e623}">
          <xlrd:rvb i="14248"/>
        </ext>
      </extLst>
    </bk>
    <bk>
      <extLst>
        <ext uri="{3e2802c4-a4d2-4d8b-9148-e3be6c30e623}">
          <xlrd:rvb i="14249"/>
        </ext>
      </extLst>
    </bk>
    <bk>
      <extLst>
        <ext uri="{3e2802c4-a4d2-4d8b-9148-e3be6c30e623}">
          <xlrd:rvb i="14250"/>
        </ext>
      </extLst>
    </bk>
    <bk>
      <extLst>
        <ext uri="{3e2802c4-a4d2-4d8b-9148-e3be6c30e623}">
          <xlrd:rvb i="14251"/>
        </ext>
      </extLst>
    </bk>
    <bk>
      <extLst>
        <ext uri="{3e2802c4-a4d2-4d8b-9148-e3be6c30e623}">
          <xlrd:rvb i="14252"/>
        </ext>
      </extLst>
    </bk>
    <bk>
      <extLst>
        <ext uri="{3e2802c4-a4d2-4d8b-9148-e3be6c30e623}">
          <xlrd:rvb i="14253"/>
        </ext>
      </extLst>
    </bk>
    <bk>
      <extLst>
        <ext uri="{3e2802c4-a4d2-4d8b-9148-e3be6c30e623}">
          <xlrd:rvb i="14254"/>
        </ext>
      </extLst>
    </bk>
    <bk>
      <extLst>
        <ext uri="{3e2802c4-a4d2-4d8b-9148-e3be6c30e623}">
          <xlrd:rvb i="14255"/>
        </ext>
      </extLst>
    </bk>
    <bk>
      <extLst>
        <ext uri="{3e2802c4-a4d2-4d8b-9148-e3be6c30e623}">
          <xlrd:rvb i="14256"/>
        </ext>
      </extLst>
    </bk>
    <bk>
      <extLst>
        <ext uri="{3e2802c4-a4d2-4d8b-9148-e3be6c30e623}">
          <xlrd:rvb i="14257"/>
        </ext>
      </extLst>
    </bk>
    <bk>
      <extLst>
        <ext uri="{3e2802c4-a4d2-4d8b-9148-e3be6c30e623}">
          <xlrd:rvb i="14258"/>
        </ext>
      </extLst>
    </bk>
    <bk>
      <extLst>
        <ext uri="{3e2802c4-a4d2-4d8b-9148-e3be6c30e623}">
          <xlrd:rvb i="14259"/>
        </ext>
      </extLst>
    </bk>
    <bk>
      <extLst>
        <ext uri="{3e2802c4-a4d2-4d8b-9148-e3be6c30e623}">
          <xlrd:rvb i="14260"/>
        </ext>
      </extLst>
    </bk>
    <bk>
      <extLst>
        <ext uri="{3e2802c4-a4d2-4d8b-9148-e3be6c30e623}">
          <xlrd:rvb i="14261"/>
        </ext>
      </extLst>
    </bk>
    <bk>
      <extLst>
        <ext uri="{3e2802c4-a4d2-4d8b-9148-e3be6c30e623}">
          <xlrd:rvb i="14262"/>
        </ext>
      </extLst>
    </bk>
    <bk>
      <extLst>
        <ext uri="{3e2802c4-a4d2-4d8b-9148-e3be6c30e623}">
          <xlrd:rvb i="14263"/>
        </ext>
      </extLst>
    </bk>
    <bk>
      <extLst>
        <ext uri="{3e2802c4-a4d2-4d8b-9148-e3be6c30e623}">
          <xlrd:rvb i="14264"/>
        </ext>
      </extLst>
    </bk>
    <bk>
      <extLst>
        <ext uri="{3e2802c4-a4d2-4d8b-9148-e3be6c30e623}">
          <xlrd:rvb i="14265"/>
        </ext>
      </extLst>
    </bk>
    <bk>
      <extLst>
        <ext uri="{3e2802c4-a4d2-4d8b-9148-e3be6c30e623}">
          <xlrd:rvb i="14266"/>
        </ext>
      </extLst>
    </bk>
    <bk>
      <extLst>
        <ext uri="{3e2802c4-a4d2-4d8b-9148-e3be6c30e623}">
          <xlrd:rvb i="14267"/>
        </ext>
      </extLst>
    </bk>
    <bk>
      <extLst>
        <ext uri="{3e2802c4-a4d2-4d8b-9148-e3be6c30e623}">
          <xlrd:rvb i="14268"/>
        </ext>
      </extLst>
    </bk>
    <bk>
      <extLst>
        <ext uri="{3e2802c4-a4d2-4d8b-9148-e3be6c30e623}">
          <xlrd:rvb i="14269"/>
        </ext>
      </extLst>
    </bk>
    <bk>
      <extLst>
        <ext uri="{3e2802c4-a4d2-4d8b-9148-e3be6c30e623}">
          <xlrd:rvb i="14270"/>
        </ext>
      </extLst>
    </bk>
    <bk>
      <extLst>
        <ext uri="{3e2802c4-a4d2-4d8b-9148-e3be6c30e623}">
          <xlrd:rvb i="14271"/>
        </ext>
      </extLst>
    </bk>
    <bk>
      <extLst>
        <ext uri="{3e2802c4-a4d2-4d8b-9148-e3be6c30e623}">
          <xlrd:rvb i="14272"/>
        </ext>
      </extLst>
    </bk>
    <bk>
      <extLst>
        <ext uri="{3e2802c4-a4d2-4d8b-9148-e3be6c30e623}">
          <xlrd:rvb i="14273"/>
        </ext>
      </extLst>
    </bk>
    <bk>
      <extLst>
        <ext uri="{3e2802c4-a4d2-4d8b-9148-e3be6c30e623}">
          <xlrd:rvb i="14274"/>
        </ext>
      </extLst>
    </bk>
    <bk>
      <extLst>
        <ext uri="{3e2802c4-a4d2-4d8b-9148-e3be6c30e623}">
          <xlrd:rvb i="14275"/>
        </ext>
      </extLst>
    </bk>
    <bk>
      <extLst>
        <ext uri="{3e2802c4-a4d2-4d8b-9148-e3be6c30e623}">
          <xlrd:rvb i="14276"/>
        </ext>
      </extLst>
    </bk>
    <bk>
      <extLst>
        <ext uri="{3e2802c4-a4d2-4d8b-9148-e3be6c30e623}">
          <xlrd:rvb i="14277"/>
        </ext>
      </extLst>
    </bk>
    <bk>
      <extLst>
        <ext uri="{3e2802c4-a4d2-4d8b-9148-e3be6c30e623}">
          <xlrd:rvb i="14278"/>
        </ext>
      </extLst>
    </bk>
    <bk>
      <extLst>
        <ext uri="{3e2802c4-a4d2-4d8b-9148-e3be6c30e623}">
          <xlrd:rvb i="14279"/>
        </ext>
      </extLst>
    </bk>
    <bk>
      <extLst>
        <ext uri="{3e2802c4-a4d2-4d8b-9148-e3be6c30e623}">
          <xlrd:rvb i="14280"/>
        </ext>
      </extLst>
    </bk>
    <bk>
      <extLst>
        <ext uri="{3e2802c4-a4d2-4d8b-9148-e3be6c30e623}">
          <xlrd:rvb i="14281"/>
        </ext>
      </extLst>
    </bk>
    <bk>
      <extLst>
        <ext uri="{3e2802c4-a4d2-4d8b-9148-e3be6c30e623}">
          <xlrd:rvb i="14282"/>
        </ext>
      </extLst>
    </bk>
    <bk>
      <extLst>
        <ext uri="{3e2802c4-a4d2-4d8b-9148-e3be6c30e623}">
          <xlrd:rvb i="14283"/>
        </ext>
      </extLst>
    </bk>
    <bk>
      <extLst>
        <ext uri="{3e2802c4-a4d2-4d8b-9148-e3be6c30e623}">
          <xlrd:rvb i="14284"/>
        </ext>
      </extLst>
    </bk>
    <bk>
      <extLst>
        <ext uri="{3e2802c4-a4d2-4d8b-9148-e3be6c30e623}">
          <xlrd:rvb i="14285"/>
        </ext>
      </extLst>
    </bk>
    <bk>
      <extLst>
        <ext uri="{3e2802c4-a4d2-4d8b-9148-e3be6c30e623}">
          <xlrd:rvb i="14286"/>
        </ext>
      </extLst>
    </bk>
    <bk>
      <extLst>
        <ext uri="{3e2802c4-a4d2-4d8b-9148-e3be6c30e623}">
          <xlrd:rvb i="14287"/>
        </ext>
      </extLst>
    </bk>
    <bk>
      <extLst>
        <ext uri="{3e2802c4-a4d2-4d8b-9148-e3be6c30e623}">
          <xlrd:rvb i="14288"/>
        </ext>
      </extLst>
    </bk>
    <bk>
      <extLst>
        <ext uri="{3e2802c4-a4d2-4d8b-9148-e3be6c30e623}">
          <xlrd:rvb i="14289"/>
        </ext>
      </extLst>
    </bk>
    <bk>
      <extLst>
        <ext uri="{3e2802c4-a4d2-4d8b-9148-e3be6c30e623}">
          <xlrd:rvb i="14290"/>
        </ext>
      </extLst>
    </bk>
    <bk>
      <extLst>
        <ext uri="{3e2802c4-a4d2-4d8b-9148-e3be6c30e623}">
          <xlrd:rvb i="14291"/>
        </ext>
      </extLst>
    </bk>
    <bk>
      <extLst>
        <ext uri="{3e2802c4-a4d2-4d8b-9148-e3be6c30e623}">
          <xlrd:rvb i="14292"/>
        </ext>
      </extLst>
    </bk>
    <bk>
      <extLst>
        <ext uri="{3e2802c4-a4d2-4d8b-9148-e3be6c30e623}">
          <xlrd:rvb i="14293"/>
        </ext>
      </extLst>
    </bk>
    <bk>
      <extLst>
        <ext uri="{3e2802c4-a4d2-4d8b-9148-e3be6c30e623}">
          <xlrd:rvb i="14294"/>
        </ext>
      </extLst>
    </bk>
    <bk>
      <extLst>
        <ext uri="{3e2802c4-a4d2-4d8b-9148-e3be6c30e623}">
          <xlrd:rvb i="14295"/>
        </ext>
      </extLst>
    </bk>
    <bk>
      <extLst>
        <ext uri="{3e2802c4-a4d2-4d8b-9148-e3be6c30e623}">
          <xlrd:rvb i="14296"/>
        </ext>
      </extLst>
    </bk>
    <bk>
      <extLst>
        <ext uri="{3e2802c4-a4d2-4d8b-9148-e3be6c30e623}">
          <xlrd:rvb i="14297"/>
        </ext>
      </extLst>
    </bk>
    <bk>
      <extLst>
        <ext uri="{3e2802c4-a4d2-4d8b-9148-e3be6c30e623}">
          <xlrd:rvb i="14298"/>
        </ext>
      </extLst>
    </bk>
    <bk>
      <extLst>
        <ext uri="{3e2802c4-a4d2-4d8b-9148-e3be6c30e623}">
          <xlrd:rvb i="14299"/>
        </ext>
      </extLst>
    </bk>
    <bk>
      <extLst>
        <ext uri="{3e2802c4-a4d2-4d8b-9148-e3be6c30e623}">
          <xlrd:rvb i="14300"/>
        </ext>
      </extLst>
    </bk>
    <bk>
      <extLst>
        <ext uri="{3e2802c4-a4d2-4d8b-9148-e3be6c30e623}">
          <xlrd:rvb i="14301"/>
        </ext>
      </extLst>
    </bk>
    <bk>
      <extLst>
        <ext uri="{3e2802c4-a4d2-4d8b-9148-e3be6c30e623}">
          <xlrd:rvb i="14302"/>
        </ext>
      </extLst>
    </bk>
    <bk>
      <extLst>
        <ext uri="{3e2802c4-a4d2-4d8b-9148-e3be6c30e623}">
          <xlrd:rvb i="14303"/>
        </ext>
      </extLst>
    </bk>
    <bk>
      <extLst>
        <ext uri="{3e2802c4-a4d2-4d8b-9148-e3be6c30e623}">
          <xlrd:rvb i="14304"/>
        </ext>
      </extLst>
    </bk>
    <bk>
      <extLst>
        <ext uri="{3e2802c4-a4d2-4d8b-9148-e3be6c30e623}">
          <xlrd:rvb i="14305"/>
        </ext>
      </extLst>
    </bk>
    <bk>
      <extLst>
        <ext uri="{3e2802c4-a4d2-4d8b-9148-e3be6c30e623}">
          <xlrd:rvb i="14306"/>
        </ext>
      </extLst>
    </bk>
    <bk>
      <extLst>
        <ext uri="{3e2802c4-a4d2-4d8b-9148-e3be6c30e623}">
          <xlrd:rvb i="14307"/>
        </ext>
      </extLst>
    </bk>
    <bk>
      <extLst>
        <ext uri="{3e2802c4-a4d2-4d8b-9148-e3be6c30e623}">
          <xlrd:rvb i="14308"/>
        </ext>
      </extLst>
    </bk>
    <bk>
      <extLst>
        <ext uri="{3e2802c4-a4d2-4d8b-9148-e3be6c30e623}">
          <xlrd:rvb i="14309"/>
        </ext>
      </extLst>
    </bk>
    <bk>
      <extLst>
        <ext uri="{3e2802c4-a4d2-4d8b-9148-e3be6c30e623}">
          <xlrd:rvb i="14310"/>
        </ext>
      </extLst>
    </bk>
    <bk>
      <extLst>
        <ext uri="{3e2802c4-a4d2-4d8b-9148-e3be6c30e623}">
          <xlrd:rvb i="14311"/>
        </ext>
      </extLst>
    </bk>
    <bk>
      <extLst>
        <ext uri="{3e2802c4-a4d2-4d8b-9148-e3be6c30e623}">
          <xlrd:rvb i="14312"/>
        </ext>
      </extLst>
    </bk>
    <bk>
      <extLst>
        <ext uri="{3e2802c4-a4d2-4d8b-9148-e3be6c30e623}">
          <xlrd:rvb i="14313"/>
        </ext>
      </extLst>
    </bk>
    <bk>
      <extLst>
        <ext uri="{3e2802c4-a4d2-4d8b-9148-e3be6c30e623}">
          <xlrd:rvb i="14314"/>
        </ext>
      </extLst>
    </bk>
    <bk>
      <extLst>
        <ext uri="{3e2802c4-a4d2-4d8b-9148-e3be6c30e623}">
          <xlrd:rvb i="14315"/>
        </ext>
      </extLst>
    </bk>
    <bk>
      <extLst>
        <ext uri="{3e2802c4-a4d2-4d8b-9148-e3be6c30e623}">
          <xlrd:rvb i="14316"/>
        </ext>
      </extLst>
    </bk>
    <bk>
      <extLst>
        <ext uri="{3e2802c4-a4d2-4d8b-9148-e3be6c30e623}">
          <xlrd:rvb i="14317"/>
        </ext>
      </extLst>
    </bk>
    <bk>
      <extLst>
        <ext uri="{3e2802c4-a4d2-4d8b-9148-e3be6c30e623}">
          <xlrd:rvb i="14318"/>
        </ext>
      </extLst>
    </bk>
    <bk>
      <extLst>
        <ext uri="{3e2802c4-a4d2-4d8b-9148-e3be6c30e623}">
          <xlrd:rvb i="14319"/>
        </ext>
      </extLst>
    </bk>
    <bk>
      <extLst>
        <ext uri="{3e2802c4-a4d2-4d8b-9148-e3be6c30e623}">
          <xlrd:rvb i="14320"/>
        </ext>
      </extLst>
    </bk>
    <bk>
      <extLst>
        <ext uri="{3e2802c4-a4d2-4d8b-9148-e3be6c30e623}">
          <xlrd:rvb i="14321"/>
        </ext>
      </extLst>
    </bk>
    <bk>
      <extLst>
        <ext uri="{3e2802c4-a4d2-4d8b-9148-e3be6c30e623}">
          <xlrd:rvb i="14322"/>
        </ext>
      </extLst>
    </bk>
    <bk>
      <extLst>
        <ext uri="{3e2802c4-a4d2-4d8b-9148-e3be6c30e623}">
          <xlrd:rvb i="14323"/>
        </ext>
      </extLst>
    </bk>
    <bk>
      <extLst>
        <ext uri="{3e2802c4-a4d2-4d8b-9148-e3be6c30e623}">
          <xlrd:rvb i="14324"/>
        </ext>
      </extLst>
    </bk>
    <bk>
      <extLst>
        <ext uri="{3e2802c4-a4d2-4d8b-9148-e3be6c30e623}">
          <xlrd:rvb i="14325"/>
        </ext>
      </extLst>
    </bk>
    <bk>
      <extLst>
        <ext uri="{3e2802c4-a4d2-4d8b-9148-e3be6c30e623}">
          <xlrd:rvb i="14326"/>
        </ext>
      </extLst>
    </bk>
    <bk>
      <extLst>
        <ext uri="{3e2802c4-a4d2-4d8b-9148-e3be6c30e623}">
          <xlrd:rvb i="14327"/>
        </ext>
      </extLst>
    </bk>
    <bk>
      <extLst>
        <ext uri="{3e2802c4-a4d2-4d8b-9148-e3be6c30e623}">
          <xlrd:rvb i="14328"/>
        </ext>
      </extLst>
    </bk>
    <bk>
      <extLst>
        <ext uri="{3e2802c4-a4d2-4d8b-9148-e3be6c30e623}">
          <xlrd:rvb i="14329"/>
        </ext>
      </extLst>
    </bk>
    <bk>
      <extLst>
        <ext uri="{3e2802c4-a4d2-4d8b-9148-e3be6c30e623}">
          <xlrd:rvb i="14330"/>
        </ext>
      </extLst>
    </bk>
    <bk>
      <extLst>
        <ext uri="{3e2802c4-a4d2-4d8b-9148-e3be6c30e623}">
          <xlrd:rvb i="14331"/>
        </ext>
      </extLst>
    </bk>
    <bk>
      <extLst>
        <ext uri="{3e2802c4-a4d2-4d8b-9148-e3be6c30e623}">
          <xlrd:rvb i="14332"/>
        </ext>
      </extLst>
    </bk>
    <bk>
      <extLst>
        <ext uri="{3e2802c4-a4d2-4d8b-9148-e3be6c30e623}">
          <xlrd:rvb i="14333"/>
        </ext>
      </extLst>
    </bk>
    <bk>
      <extLst>
        <ext uri="{3e2802c4-a4d2-4d8b-9148-e3be6c30e623}">
          <xlrd:rvb i="14334"/>
        </ext>
      </extLst>
    </bk>
    <bk>
      <extLst>
        <ext uri="{3e2802c4-a4d2-4d8b-9148-e3be6c30e623}">
          <xlrd:rvb i="14335"/>
        </ext>
      </extLst>
    </bk>
    <bk>
      <extLst>
        <ext uri="{3e2802c4-a4d2-4d8b-9148-e3be6c30e623}">
          <xlrd:rvb i="14336"/>
        </ext>
      </extLst>
    </bk>
    <bk>
      <extLst>
        <ext uri="{3e2802c4-a4d2-4d8b-9148-e3be6c30e623}">
          <xlrd:rvb i="14337"/>
        </ext>
      </extLst>
    </bk>
    <bk>
      <extLst>
        <ext uri="{3e2802c4-a4d2-4d8b-9148-e3be6c30e623}">
          <xlrd:rvb i="14338"/>
        </ext>
      </extLst>
    </bk>
    <bk>
      <extLst>
        <ext uri="{3e2802c4-a4d2-4d8b-9148-e3be6c30e623}">
          <xlrd:rvb i="14339"/>
        </ext>
      </extLst>
    </bk>
    <bk>
      <extLst>
        <ext uri="{3e2802c4-a4d2-4d8b-9148-e3be6c30e623}">
          <xlrd:rvb i="14340"/>
        </ext>
      </extLst>
    </bk>
    <bk>
      <extLst>
        <ext uri="{3e2802c4-a4d2-4d8b-9148-e3be6c30e623}">
          <xlrd:rvb i="14341"/>
        </ext>
      </extLst>
    </bk>
    <bk>
      <extLst>
        <ext uri="{3e2802c4-a4d2-4d8b-9148-e3be6c30e623}">
          <xlrd:rvb i="14342"/>
        </ext>
      </extLst>
    </bk>
    <bk>
      <extLst>
        <ext uri="{3e2802c4-a4d2-4d8b-9148-e3be6c30e623}">
          <xlrd:rvb i="14343"/>
        </ext>
      </extLst>
    </bk>
    <bk>
      <extLst>
        <ext uri="{3e2802c4-a4d2-4d8b-9148-e3be6c30e623}">
          <xlrd:rvb i="14344"/>
        </ext>
      </extLst>
    </bk>
    <bk>
      <extLst>
        <ext uri="{3e2802c4-a4d2-4d8b-9148-e3be6c30e623}">
          <xlrd:rvb i="14345"/>
        </ext>
      </extLst>
    </bk>
    <bk>
      <extLst>
        <ext uri="{3e2802c4-a4d2-4d8b-9148-e3be6c30e623}">
          <xlrd:rvb i="14346"/>
        </ext>
      </extLst>
    </bk>
    <bk>
      <extLst>
        <ext uri="{3e2802c4-a4d2-4d8b-9148-e3be6c30e623}">
          <xlrd:rvb i="14347"/>
        </ext>
      </extLst>
    </bk>
    <bk>
      <extLst>
        <ext uri="{3e2802c4-a4d2-4d8b-9148-e3be6c30e623}">
          <xlrd:rvb i="14348"/>
        </ext>
      </extLst>
    </bk>
    <bk>
      <extLst>
        <ext uri="{3e2802c4-a4d2-4d8b-9148-e3be6c30e623}">
          <xlrd:rvb i="14349"/>
        </ext>
      </extLst>
    </bk>
    <bk>
      <extLst>
        <ext uri="{3e2802c4-a4d2-4d8b-9148-e3be6c30e623}">
          <xlrd:rvb i="14350"/>
        </ext>
      </extLst>
    </bk>
    <bk>
      <extLst>
        <ext uri="{3e2802c4-a4d2-4d8b-9148-e3be6c30e623}">
          <xlrd:rvb i="14351"/>
        </ext>
      </extLst>
    </bk>
    <bk>
      <extLst>
        <ext uri="{3e2802c4-a4d2-4d8b-9148-e3be6c30e623}">
          <xlrd:rvb i="14352"/>
        </ext>
      </extLst>
    </bk>
    <bk>
      <extLst>
        <ext uri="{3e2802c4-a4d2-4d8b-9148-e3be6c30e623}">
          <xlrd:rvb i="14353"/>
        </ext>
      </extLst>
    </bk>
    <bk>
      <extLst>
        <ext uri="{3e2802c4-a4d2-4d8b-9148-e3be6c30e623}">
          <xlrd:rvb i="14354"/>
        </ext>
      </extLst>
    </bk>
    <bk>
      <extLst>
        <ext uri="{3e2802c4-a4d2-4d8b-9148-e3be6c30e623}">
          <xlrd:rvb i="14355"/>
        </ext>
      </extLst>
    </bk>
    <bk>
      <extLst>
        <ext uri="{3e2802c4-a4d2-4d8b-9148-e3be6c30e623}">
          <xlrd:rvb i="14356"/>
        </ext>
      </extLst>
    </bk>
    <bk>
      <extLst>
        <ext uri="{3e2802c4-a4d2-4d8b-9148-e3be6c30e623}">
          <xlrd:rvb i="14357"/>
        </ext>
      </extLst>
    </bk>
    <bk>
      <extLst>
        <ext uri="{3e2802c4-a4d2-4d8b-9148-e3be6c30e623}">
          <xlrd:rvb i="14358"/>
        </ext>
      </extLst>
    </bk>
    <bk>
      <extLst>
        <ext uri="{3e2802c4-a4d2-4d8b-9148-e3be6c30e623}">
          <xlrd:rvb i="14359"/>
        </ext>
      </extLst>
    </bk>
    <bk>
      <extLst>
        <ext uri="{3e2802c4-a4d2-4d8b-9148-e3be6c30e623}">
          <xlrd:rvb i="14360"/>
        </ext>
      </extLst>
    </bk>
    <bk>
      <extLst>
        <ext uri="{3e2802c4-a4d2-4d8b-9148-e3be6c30e623}">
          <xlrd:rvb i="14361"/>
        </ext>
      </extLst>
    </bk>
    <bk>
      <extLst>
        <ext uri="{3e2802c4-a4d2-4d8b-9148-e3be6c30e623}">
          <xlrd:rvb i="14362"/>
        </ext>
      </extLst>
    </bk>
    <bk>
      <extLst>
        <ext uri="{3e2802c4-a4d2-4d8b-9148-e3be6c30e623}">
          <xlrd:rvb i="14363"/>
        </ext>
      </extLst>
    </bk>
    <bk>
      <extLst>
        <ext uri="{3e2802c4-a4d2-4d8b-9148-e3be6c30e623}">
          <xlrd:rvb i="14364"/>
        </ext>
      </extLst>
    </bk>
    <bk>
      <extLst>
        <ext uri="{3e2802c4-a4d2-4d8b-9148-e3be6c30e623}">
          <xlrd:rvb i="14365"/>
        </ext>
      </extLst>
    </bk>
    <bk>
      <extLst>
        <ext uri="{3e2802c4-a4d2-4d8b-9148-e3be6c30e623}">
          <xlrd:rvb i="14366"/>
        </ext>
      </extLst>
    </bk>
    <bk>
      <extLst>
        <ext uri="{3e2802c4-a4d2-4d8b-9148-e3be6c30e623}">
          <xlrd:rvb i="14367"/>
        </ext>
      </extLst>
    </bk>
    <bk>
      <extLst>
        <ext uri="{3e2802c4-a4d2-4d8b-9148-e3be6c30e623}">
          <xlrd:rvb i="14368"/>
        </ext>
      </extLst>
    </bk>
    <bk>
      <extLst>
        <ext uri="{3e2802c4-a4d2-4d8b-9148-e3be6c30e623}">
          <xlrd:rvb i="14369"/>
        </ext>
      </extLst>
    </bk>
    <bk>
      <extLst>
        <ext uri="{3e2802c4-a4d2-4d8b-9148-e3be6c30e623}">
          <xlrd:rvb i="14370"/>
        </ext>
      </extLst>
    </bk>
    <bk>
      <extLst>
        <ext uri="{3e2802c4-a4d2-4d8b-9148-e3be6c30e623}">
          <xlrd:rvb i="14371"/>
        </ext>
      </extLst>
    </bk>
    <bk>
      <extLst>
        <ext uri="{3e2802c4-a4d2-4d8b-9148-e3be6c30e623}">
          <xlrd:rvb i="14372"/>
        </ext>
      </extLst>
    </bk>
    <bk>
      <extLst>
        <ext uri="{3e2802c4-a4d2-4d8b-9148-e3be6c30e623}">
          <xlrd:rvb i="14373"/>
        </ext>
      </extLst>
    </bk>
    <bk>
      <extLst>
        <ext uri="{3e2802c4-a4d2-4d8b-9148-e3be6c30e623}">
          <xlrd:rvb i="14374"/>
        </ext>
      </extLst>
    </bk>
    <bk>
      <extLst>
        <ext uri="{3e2802c4-a4d2-4d8b-9148-e3be6c30e623}">
          <xlrd:rvb i="14375"/>
        </ext>
      </extLst>
    </bk>
    <bk>
      <extLst>
        <ext uri="{3e2802c4-a4d2-4d8b-9148-e3be6c30e623}">
          <xlrd:rvb i="14376"/>
        </ext>
      </extLst>
    </bk>
    <bk>
      <extLst>
        <ext uri="{3e2802c4-a4d2-4d8b-9148-e3be6c30e623}">
          <xlrd:rvb i="14377"/>
        </ext>
      </extLst>
    </bk>
    <bk>
      <extLst>
        <ext uri="{3e2802c4-a4d2-4d8b-9148-e3be6c30e623}">
          <xlrd:rvb i="14378"/>
        </ext>
      </extLst>
    </bk>
    <bk>
      <extLst>
        <ext uri="{3e2802c4-a4d2-4d8b-9148-e3be6c30e623}">
          <xlrd:rvb i="14379"/>
        </ext>
      </extLst>
    </bk>
    <bk>
      <extLst>
        <ext uri="{3e2802c4-a4d2-4d8b-9148-e3be6c30e623}">
          <xlrd:rvb i="14380"/>
        </ext>
      </extLst>
    </bk>
    <bk>
      <extLst>
        <ext uri="{3e2802c4-a4d2-4d8b-9148-e3be6c30e623}">
          <xlrd:rvb i="14381"/>
        </ext>
      </extLst>
    </bk>
    <bk>
      <extLst>
        <ext uri="{3e2802c4-a4d2-4d8b-9148-e3be6c30e623}">
          <xlrd:rvb i="14382"/>
        </ext>
      </extLst>
    </bk>
    <bk>
      <extLst>
        <ext uri="{3e2802c4-a4d2-4d8b-9148-e3be6c30e623}">
          <xlrd:rvb i="14383"/>
        </ext>
      </extLst>
    </bk>
    <bk>
      <extLst>
        <ext uri="{3e2802c4-a4d2-4d8b-9148-e3be6c30e623}">
          <xlrd:rvb i="14384"/>
        </ext>
      </extLst>
    </bk>
    <bk>
      <extLst>
        <ext uri="{3e2802c4-a4d2-4d8b-9148-e3be6c30e623}">
          <xlrd:rvb i="14385"/>
        </ext>
      </extLst>
    </bk>
    <bk>
      <extLst>
        <ext uri="{3e2802c4-a4d2-4d8b-9148-e3be6c30e623}">
          <xlrd:rvb i="14386"/>
        </ext>
      </extLst>
    </bk>
    <bk>
      <extLst>
        <ext uri="{3e2802c4-a4d2-4d8b-9148-e3be6c30e623}">
          <xlrd:rvb i="14387"/>
        </ext>
      </extLst>
    </bk>
    <bk>
      <extLst>
        <ext uri="{3e2802c4-a4d2-4d8b-9148-e3be6c30e623}">
          <xlrd:rvb i="14388"/>
        </ext>
      </extLst>
    </bk>
    <bk>
      <extLst>
        <ext uri="{3e2802c4-a4d2-4d8b-9148-e3be6c30e623}">
          <xlrd:rvb i="14389"/>
        </ext>
      </extLst>
    </bk>
    <bk>
      <extLst>
        <ext uri="{3e2802c4-a4d2-4d8b-9148-e3be6c30e623}">
          <xlrd:rvb i="14390"/>
        </ext>
      </extLst>
    </bk>
    <bk>
      <extLst>
        <ext uri="{3e2802c4-a4d2-4d8b-9148-e3be6c30e623}">
          <xlrd:rvb i="14391"/>
        </ext>
      </extLst>
    </bk>
    <bk>
      <extLst>
        <ext uri="{3e2802c4-a4d2-4d8b-9148-e3be6c30e623}">
          <xlrd:rvb i="14392"/>
        </ext>
      </extLst>
    </bk>
    <bk>
      <extLst>
        <ext uri="{3e2802c4-a4d2-4d8b-9148-e3be6c30e623}">
          <xlrd:rvb i="14393"/>
        </ext>
      </extLst>
    </bk>
    <bk>
      <extLst>
        <ext uri="{3e2802c4-a4d2-4d8b-9148-e3be6c30e623}">
          <xlrd:rvb i="14394"/>
        </ext>
      </extLst>
    </bk>
    <bk>
      <extLst>
        <ext uri="{3e2802c4-a4d2-4d8b-9148-e3be6c30e623}">
          <xlrd:rvb i="14395"/>
        </ext>
      </extLst>
    </bk>
    <bk>
      <extLst>
        <ext uri="{3e2802c4-a4d2-4d8b-9148-e3be6c30e623}">
          <xlrd:rvb i="14396"/>
        </ext>
      </extLst>
    </bk>
    <bk>
      <extLst>
        <ext uri="{3e2802c4-a4d2-4d8b-9148-e3be6c30e623}">
          <xlrd:rvb i="14397"/>
        </ext>
      </extLst>
    </bk>
    <bk>
      <extLst>
        <ext uri="{3e2802c4-a4d2-4d8b-9148-e3be6c30e623}">
          <xlrd:rvb i="14398"/>
        </ext>
      </extLst>
    </bk>
    <bk>
      <extLst>
        <ext uri="{3e2802c4-a4d2-4d8b-9148-e3be6c30e623}">
          <xlrd:rvb i="14399"/>
        </ext>
      </extLst>
    </bk>
    <bk>
      <extLst>
        <ext uri="{3e2802c4-a4d2-4d8b-9148-e3be6c30e623}">
          <xlrd:rvb i="14400"/>
        </ext>
      </extLst>
    </bk>
    <bk>
      <extLst>
        <ext uri="{3e2802c4-a4d2-4d8b-9148-e3be6c30e623}">
          <xlrd:rvb i="14401"/>
        </ext>
      </extLst>
    </bk>
    <bk>
      <extLst>
        <ext uri="{3e2802c4-a4d2-4d8b-9148-e3be6c30e623}">
          <xlrd:rvb i="14402"/>
        </ext>
      </extLst>
    </bk>
    <bk>
      <extLst>
        <ext uri="{3e2802c4-a4d2-4d8b-9148-e3be6c30e623}">
          <xlrd:rvb i="14403"/>
        </ext>
      </extLst>
    </bk>
    <bk>
      <extLst>
        <ext uri="{3e2802c4-a4d2-4d8b-9148-e3be6c30e623}">
          <xlrd:rvb i="14404"/>
        </ext>
      </extLst>
    </bk>
    <bk>
      <extLst>
        <ext uri="{3e2802c4-a4d2-4d8b-9148-e3be6c30e623}">
          <xlrd:rvb i="14405"/>
        </ext>
      </extLst>
    </bk>
    <bk>
      <extLst>
        <ext uri="{3e2802c4-a4d2-4d8b-9148-e3be6c30e623}">
          <xlrd:rvb i="14406"/>
        </ext>
      </extLst>
    </bk>
    <bk>
      <extLst>
        <ext uri="{3e2802c4-a4d2-4d8b-9148-e3be6c30e623}">
          <xlrd:rvb i="14407"/>
        </ext>
      </extLst>
    </bk>
    <bk>
      <extLst>
        <ext uri="{3e2802c4-a4d2-4d8b-9148-e3be6c30e623}">
          <xlrd:rvb i="14408"/>
        </ext>
      </extLst>
    </bk>
    <bk>
      <extLst>
        <ext uri="{3e2802c4-a4d2-4d8b-9148-e3be6c30e623}">
          <xlrd:rvb i="14409"/>
        </ext>
      </extLst>
    </bk>
    <bk>
      <extLst>
        <ext uri="{3e2802c4-a4d2-4d8b-9148-e3be6c30e623}">
          <xlrd:rvb i="14410"/>
        </ext>
      </extLst>
    </bk>
    <bk>
      <extLst>
        <ext uri="{3e2802c4-a4d2-4d8b-9148-e3be6c30e623}">
          <xlrd:rvb i="14411"/>
        </ext>
      </extLst>
    </bk>
    <bk>
      <extLst>
        <ext uri="{3e2802c4-a4d2-4d8b-9148-e3be6c30e623}">
          <xlrd:rvb i="14412"/>
        </ext>
      </extLst>
    </bk>
    <bk>
      <extLst>
        <ext uri="{3e2802c4-a4d2-4d8b-9148-e3be6c30e623}">
          <xlrd:rvb i="14413"/>
        </ext>
      </extLst>
    </bk>
    <bk>
      <extLst>
        <ext uri="{3e2802c4-a4d2-4d8b-9148-e3be6c30e623}">
          <xlrd:rvb i="14414"/>
        </ext>
      </extLst>
    </bk>
    <bk>
      <extLst>
        <ext uri="{3e2802c4-a4d2-4d8b-9148-e3be6c30e623}">
          <xlrd:rvb i="14415"/>
        </ext>
      </extLst>
    </bk>
    <bk>
      <extLst>
        <ext uri="{3e2802c4-a4d2-4d8b-9148-e3be6c30e623}">
          <xlrd:rvb i="14416"/>
        </ext>
      </extLst>
    </bk>
    <bk>
      <extLst>
        <ext uri="{3e2802c4-a4d2-4d8b-9148-e3be6c30e623}">
          <xlrd:rvb i="14417"/>
        </ext>
      </extLst>
    </bk>
    <bk>
      <extLst>
        <ext uri="{3e2802c4-a4d2-4d8b-9148-e3be6c30e623}">
          <xlrd:rvb i="14418"/>
        </ext>
      </extLst>
    </bk>
    <bk>
      <extLst>
        <ext uri="{3e2802c4-a4d2-4d8b-9148-e3be6c30e623}">
          <xlrd:rvb i="14419"/>
        </ext>
      </extLst>
    </bk>
    <bk>
      <extLst>
        <ext uri="{3e2802c4-a4d2-4d8b-9148-e3be6c30e623}">
          <xlrd:rvb i="14420"/>
        </ext>
      </extLst>
    </bk>
    <bk>
      <extLst>
        <ext uri="{3e2802c4-a4d2-4d8b-9148-e3be6c30e623}">
          <xlrd:rvb i="14421"/>
        </ext>
      </extLst>
    </bk>
    <bk>
      <extLst>
        <ext uri="{3e2802c4-a4d2-4d8b-9148-e3be6c30e623}">
          <xlrd:rvb i="14422"/>
        </ext>
      </extLst>
    </bk>
    <bk>
      <extLst>
        <ext uri="{3e2802c4-a4d2-4d8b-9148-e3be6c30e623}">
          <xlrd:rvb i="14423"/>
        </ext>
      </extLst>
    </bk>
    <bk>
      <extLst>
        <ext uri="{3e2802c4-a4d2-4d8b-9148-e3be6c30e623}">
          <xlrd:rvb i="14424"/>
        </ext>
      </extLst>
    </bk>
    <bk>
      <extLst>
        <ext uri="{3e2802c4-a4d2-4d8b-9148-e3be6c30e623}">
          <xlrd:rvb i="14425"/>
        </ext>
      </extLst>
    </bk>
    <bk>
      <extLst>
        <ext uri="{3e2802c4-a4d2-4d8b-9148-e3be6c30e623}">
          <xlrd:rvb i="14426"/>
        </ext>
      </extLst>
    </bk>
    <bk>
      <extLst>
        <ext uri="{3e2802c4-a4d2-4d8b-9148-e3be6c30e623}">
          <xlrd:rvb i="14427"/>
        </ext>
      </extLst>
    </bk>
    <bk>
      <extLst>
        <ext uri="{3e2802c4-a4d2-4d8b-9148-e3be6c30e623}">
          <xlrd:rvb i="14428"/>
        </ext>
      </extLst>
    </bk>
    <bk>
      <extLst>
        <ext uri="{3e2802c4-a4d2-4d8b-9148-e3be6c30e623}">
          <xlrd:rvb i="14429"/>
        </ext>
      </extLst>
    </bk>
    <bk>
      <extLst>
        <ext uri="{3e2802c4-a4d2-4d8b-9148-e3be6c30e623}">
          <xlrd:rvb i="14430"/>
        </ext>
      </extLst>
    </bk>
    <bk>
      <extLst>
        <ext uri="{3e2802c4-a4d2-4d8b-9148-e3be6c30e623}">
          <xlrd:rvb i="14431"/>
        </ext>
      </extLst>
    </bk>
    <bk>
      <extLst>
        <ext uri="{3e2802c4-a4d2-4d8b-9148-e3be6c30e623}">
          <xlrd:rvb i="14432"/>
        </ext>
      </extLst>
    </bk>
    <bk>
      <extLst>
        <ext uri="{3e2802c4-a4d2-4d8b-9148-e3be6c30e623}">
          <xlrd:rvb i="14433"/>
        </ext>
      </extLst>
    </bk>
    <bk>
      <extLst>
        <ext uri="{3e2802c4-a4d2-4d8b-9148-e3be6c30e623}">
          <xlrd:rvb i="14434"/>
        </ext>
      </extLst>
    </bk>
    <bk>
      <extLst>
        <ext uri="{3e2802c4-a4d2-4d8b-9148-e3be6c30e623}">
          <xlrd:rvb i="14435"/>
        </ext>
      </extLst>
    </bk>
    <bk>
      <extLst>
        <ext uri="{3e2802c4-a4d2-4d8b-9148-e3be6c30e623}">
          <xlrd:rvb i="14436"/>
        </ext>
      </extLst>
    </bk>
    <bk>
      <extLst>
        <ext uri="{3e2802c4-a4d2-4d8b-9148-e3be6c30e623}">
          <xlrd:rvb i="14437"/>
        </ext>
      </extLst>
    </bk>
    <bk>
      <extLst>
        <ext uri="{3e2802c4-a4d2-4d8b-9148-e3be6c30e623}">
          <xlrd:rvb i="14438"/>
        </ext>
      </extLst>
    </bk>
    <bk>
      <extLst>
        <ext uri="{3e2802c4-a4d2-4d8b-9148-e3be6c30e623}">
          <xlrd:rvb i="14439"/>
        </ext>
      </extLst>
    </bk>
    <bk>
      <extLst>
        <ext uri="{3e2802c4-a4d2-4d8b-9148-e3be6c30e623}">
          <xlrd:rvb i="14440"/>
        </ext>
      </extLst>
    </bk>
    <bk>
      <extLst>
        <ext uri="{3e2802c4-a4d2-4d8b-9148-e3be6c30e623}">
          <xlrd:rvb i="14441"/>
        </ext>
      </extLst>
    </bk>
    <bk>
      <extLst>
        <ext uri="{3e2802c4-a4d2-4d8b-9148-e3be6c30e623}">
          <xlrd:rvb i="14442"/>
        </ext>
      </extLst>
    </bk>
    <bk>
      <extLst>
        <ext uri="{3e2802c4-a4d2-4d8b-9148-e3be6c30e623}">
          <xlrd:rvb i="14443"/>
        </ext>
      </extLst>
    </bk>
    <bk>
      <extLst>
        <ext uri="{3e2802c4-a4d2-4d8b-9148-e3be6c30e623}">
          <xlrd:rvb i="14444"/>
        </ext>
      </extLst>
    </bk>
    <bk>
      <extLst>
        <ext uri="{3e2802c4-a4d2-4d8b-9148-e3be6c30e623}">
          <xlrd:rvb i="14445"/>
        </ext>
      </extLst>
    </bk>
    <bk>
      <extLst>
        <ext uri="{3e2802c4-a4d2-4d8b-9148-e3be6c30e623}">
          <xlrd:rvb i="14446"/>
        </ext>
      </extLst>
    </bk>
    <bk>
      <extLst>
        <ext uri="{3e2802c4-a4d2-4d8b-9148-e3be6c30e623}">
          <xlrd:rvb i="14447"/>
        </ext>
      </extLst>
    </bk>
    <bk>
      <extLst>
        <ext uri="{3e2802c4-a4d2-4d8b-9148-e3be6c30e623}">
          <xlrd:rvb i="14448"/>
        </ext>
      </extLst>
    </bk>
    <bk>
      <extLst>
        <ext uri="{3e2802c4-a4d2-4d8b-9148-e3be6c30e623}">
          <xlrd:rvb i="14449"/>
        </ext>
      </extLst>
    </bk>
    <bk>
      <extLst>
        <ext uri="{3e2802c4-a4d2-4d8b-9148-e3be6c30e623}">
          <xlrd:rvb i="14450"/>
        </ext>
      </extLst>
    </bk>
    <bk>
      <extLst>
        <ext uri="{3e2802c4-a4d2-4d8b-9148-e3be6c30e623}">
          <xlrd:rvb i="14451"/>
        </ext>
      </extLst>
    </bk>
    <bk>
      <extLst>
        <ext uri="{3e2802c4-a4d2-4d8b-9148-e3be6c30e623}">
          <xlrd:rvb i="14452"/>
        </ext>
      </extLst>
    </bk>
    <bk>
      <extLst>
        <ext uri="{3e2802c4-a4d2-4d8b-9148-e3be6c30e623}">
          <xlrd:rvb i="14453"/>
        </ext>
      </extLst>
    </bk>
    <bk>
      <extLst>
        <ext uri="{3e2802c4-a4d2-4d8b-9148-e3be6c30e623}">
          <xlrd:rvb i="14454"/>
        </ext>
      </extLst>
    </bk>
    <bk>
      <extLst>
        <ext uri="{3e2802c4-a4d2-4d8b-9148-e3be6c30e623}">
          <xlrd:rvb i="14455"/>
        </ext>
      </extLst>
    </bk>
    <bk>
      <extLst>
        <ext uri="{3e2802c4-a4d2-4d8b-9148-e3be6c30e623}">
          <xlrd:rvb i="14456"/>
        </ext>
      </extLst>
    </bk>
    <bk>
      <extLst>
        <ext uri="{3e2802c4-a4d2-4d8b-9148-e3be6c30e623}">
          <xlrd:rvb i="14457"/>
        </ext>
      </extLst>
    </bk>
    <bk>
      <extLst>
        <ext uri="{3e2802c4-a4d2-4d8b-9148-e3be6c30e623}">
          <xlrd:rvb i="14458"/>
        </ext>
      </extLst>
    </bk>
    <bk>
      <extLst>
        <ext uri="{3e2802c4-a4d2-4d8b-9148-e3be6c30e623}">
          <xlrd:rvb i="14459"/>
        </ext>
      </extLst>
    </bk>
    <bk>
      <extLst>
        <ext uri="{3e2802c4-a4d2-4d8b-9148-e3be6c30e623}">
          <xlrd:rvb i="14460"/>
        </ext>
      </extLst>
    </bk>
    <bk>
      <extLst>
        <ext uri="{3e2802c4-a4d2-4d8b-9148-e3be6c30e623}">
          <xlrd:rvb i="14461"/>
        </ext>
      </extLst>
    </bk>
    <bk>
      <extLst>
        <ext uri="{3e2802c4-a4d2-4d8b-9148-e3be6c30e623}">
          <xlrd:rvb i="14462"/>
        </ext>
      </extLst>
    </bk>
    <bk>
      <extLst>
        <ext uri="{3e2802c4-a4d2-4d8b-9148-e3be6c30e623}">
          <xlrd:rvb i="14463"/>
        </ext>
      </extLst>
    </bk>
    <bk>
      <extLst>
        <ext uri="{3e2802c4-a4d2-4d8b-9148-e3be6c30e623}">
          <xlrd:rvb i="14464"/>
        </ext>
      </extLst>
    </bk>
    <bk>
      <extLst>
        <ext uri="{3e2802c4-a4d2-4d8b-9148-e3be6c30e623}">
          <xlrd:rvb i="14465"/>
        </ext>
      </extLst>
    </bk>
    <bk>
      <extLst>
        <ext uri="{3e2802c4-a4d2-4d8b-9148-e3be6c30e623}">
          <xlrd:rvb i="14466"/>
        </ext>
      </extLst>
    </bk>
    <bk>
      <extLst>
        <ext uri="{3e2802c4-a4d2-4d8b-9148-e3be6c30e623}">
          <xlrd:rvb i="14467"/>
        </ext>
      </extLst>
    </bk>
    <bk>
      <extLst>
        <ext uri="{3e2802c4-a4d2-4d8b-9148-e3be6c30e623}">
          <xlrd:rvb i="14468"/>
        </ext>
      </extLst>
    </bk>
    <bk>
      <extLst>
        <ext uri="{3e2802c4-a4d2-4d8b-9148-e3be6c30e623}">
          <xlrd:rvb i="14469"/>
        </ext>
      </extLst>
    </bk>
    <bk>
      <extLst>
        <ext uri="{3e2802c4-a4d2-4d8b-9148-e3be6c30e623}">
          <xlrd:rvb i="14470"/>
        </ext>
      </extLst>
    </bk>
    <bk>
      <extLst>
        <ext uri="{3e2802c4-a4d2-4d8b-9148-e3be6c30e623}">
          <xlrd:rvb i="14471"/>
        </ext>
      </extLst>
    </bk>
    <bk>
      <extLst>
        <ext uri="{3e2802c4-a4d2-4d8b-9148-e3be6c30e623}">
          <xlrd:rvb i="14472"/>
        </ext>
      </extLst>
    </bk>
    <bk>
      <extLst>
        <ext uri="{3e2802c4-a4d2-4d8b-9148-e3be6c30e623}">
          <xlrd:rvb i="14473"/>
        </ext>
      </extLst>
    </bk>
    <bk>
      <extLst>
        <ext uri="{3e2802c4-a4d2-4d8b-9148-e3be6c30e623}">
          <xlrd:rvb i="14474"/>
        </ext>
      </extLst>
    </bk>
    <bk>
      <extLst>
        <ext uri="{3e2802c4-a4d2-4d8b-9148-e3be6c30e623}">
          <xlrd:rvb i="14475"/>
        </ext>
      </extLst>
    </bk>
    <bk>
      <extLst>
        <ext uri="{3e2802c4-a4d2-4d8b-9148-e3be6c30e623}">
          <xlrd:rvb i="14476"/>
        </ext>
      </extLst>
    </bk>
    <bk>
      <extLst>
        <ext uri="{3e2802c4-a4d2-4d8b-9148-e3be6c30e623}">
          <xlrd:rvb i="14477"/>
        </ext>
      </extLst>
    </bk>
    <bk>
      <extLst>
        <ext uri="{3e2802c4-a4d2-4d8b-9148-e3be6c30e623}">
          <xlrd:rvb i="14478"/>
        </ext>
      </extLst>
    </bk>
    <bk>
      <extLst>
        <ext uri="{3e2802c4-a4d2-4d8b-9148-e3be6c30e623}">
          <xlrd:rvb i="14479"/>
        </ext>
      </extLst>
    </bk>
    <bk>
      <extLst>
        <ext uri="{3e2802c4-a4d2-4d8b-9148-e3be6c30e623}">
          <xlrd:rvb i="14480"/>
        </ext>
      </extLst>
    </bk>
    <bk>
      <extLst>
        <ext uri="{3e2802c4-a4d2-4d8b-9148-e3be6c30e623}">
          <xlrd:rvb i="14481"/>
        </ext>
      </extLst>
    </bk>
    <bk>
      <extLst>
        <ext uri="{3e2802c4-a4d2-4d8b-9148-e3be6c30e623}">
          <xlrd:rvb i="14482"/>
        </ext>
      </extLst>
    </bk>
    <bk>
      <extLst>
        <ext uri="{3e2802c4-a4d2-4d8b-9148-e3be6c30e623}">
          <xlrd:rvb i="14483"/>
        </ext>
      </extLst>
    </bk>
    <bk>
      <extLst>
        <ext uri="{3e2802c4-a4d2-4d8b-9148-e3be6c30e623}">
          <xlrd:rvb i="14484"/>
        </ext>
      </extLst>
    </bk>
    <bk>
      <extLst>
        <ext uri="{3e2802c4-a4d2-4d8b-9148-e3be6c30e623}">
          <xlrd:rvb i="14485"/>
        </ext>
      </extLst>
    </bk>
    <bk>
      <extLst>
        <ext uri="{3e2802c4-a4d2-4d8b-9148-e3be6c30e623}">
          <xlrd:rvb i="14486"/>
        </ext>
      </extLst>
    </bk>
    <bk>
      <extLst>
        <ext uri="{3e2802c4-a4d2-4d8b-9148-e3be6c30e623}">
          <xlrd:rvb i="14487"/>
        </ext>
      </extLst>
    </bk>
    <bk>
      <extLst>
        <ext uri="{3e2802c4-a4d2-4d8b-9148-e3be6c30e623}">
          <xlrd:rvb i="14488"/>
        </ext>
      </extLst>
    </bk>
    <bk>
      <extLst>
        <ext uri="{3e2802c4-a4d2-4d8b-9148-e3be6c30e623}">
          <xlrd:rvb i="14489"/>
        </ext>
      </extLst>
    </bk>
    <bk>
      <extLst>
        <ext uri="{3e2802c4-a4d2-4d8b-9148-e3be6c30e623}">
          <xlrd:rvb i="14490"/>
        </ext>
      </extLst>
    </bk>
    <bk>
      <extLst>
        <ext uri="{3e2802c4-a4d2-4d8b-9148-e3be6c30e623}">
          <xlrd:rvb i="14491"/>
        </ext>
      </extLst>
    </bk>
    <bk>
      <extLst>
        <ext uri="{3e2802c4-a4d2-4d8b-9148-e3be6c30e623}">
          <xlrd:rvb i="14492"/>
        </ext>
      </extLst>
    </bk>
    <bk>
      <extLst>
        <ext uri="{3e2802c4-a4d2-4d8b-9148-e3be6c30e623}">
          <xlrd:rvb i="14493"/>
        </ext>
      </extLst>
    </bk>
    <bk>
      <extLst>
        <ext uri="{3e2802c4-a4d2-4d8b-9148-e3be6c30e623}">
          <xlrd:rvb i="14494"/>
        </ext>
      </extLst>
    </bk>
    <bk>
      <extLst>
        <ext uri="{3e2802c4-a4d2-4d8b-9148-e3be6c30e623}">
          <xlrd:rvb i="14495"/>
        </ext>
      </extLst>
    </bk>
    <bk>
      <extLst>
        <ext uri="{3e2802c4-a4d2-4d8b-9148-e3be6c30e623}">
          <xlrd:rvb i="14496"/>
        </ext>
      </extLst>
    </bk>
    <bk>
      <extLst>
        <ext uri="{3e2802c4-a4d2-4d8b-9148-e3be6c30e623}">
          <xlrd:rvb i="14497"/>
        </ext>
      </extLst>
    </bk>
    <bk>
      <extLst>
        <ext uri="{3e2802c4-a4d2-4d8b-9148-e3be6c30e623}">
          <xlrd:rvb i="14498"/>
        </ext>
      </extLst>
    </bk>
    <bk>
      <extLst>
        <ext uri="{3e2802c4-a4d2-4d8b-9148-e3be6c30e623}">
          <xlrd:rvb i="14499"/>
        </ext>
      </extLst>
    </bk>
    <bk>
      <extLst>
        <ext uri="{3e2802c4-a4d2-4d8b-9148-e3be6c30e623}">
          <xlrd:rvb i="14500"/>
        </ext>
      </extLst>
    </bk>
    <bk>
      <extLst>
        <ext uri="{3e2802c4-a4d2-4d8b-9148-e3be6c30e623}">
          <xlrd:rvb i="14501"/>
        </ext>
      </extLst>
    </bk>
    <bk>
      <extLst>
        <ext uri="{3e2802c4-a4d2-4d8b-9148-e3be6c30e623}">
          <xlrd:rvb i="14502"/>
        </ext>
      </extLst>
    </bk>
    <bk>
      <extLst>
        <ext uri="{3e2802c4-a4d2-4d8b-9148-e3be6c30e623}">
          <xlrd:rvb i="14503"/>
        </ext>
      </extLst>
    </bk>
    <bk>
      <extLst>
        <ext uri="{3e2802c4-a4d2-4d8b-9148-e3be6c30e623}">
          <xlrd:rvb i="14504"/>
        </ext>
      </extLst>
    </bk>
    <bk>
      <extLst>
        <ext uri="{3e2802c4-a4d2-4d8b-9148-e3be6c30e623}">
          <xlrd:rvb i="14505"/>
        </ext>
      </extLst>
    </bk>
    <bk>
      <extLst>
        <ext uri="{3e2802c4-a4d2-4d8b-9148-e3be6c30e623}">
          <xlrd:rvb i="14506"/>
        </ext>
      </extLst>
    </bk>
    <bk>
      <extLst>
        <ext uri="{3e2802c4-a4d2-4d8b-9148-e3be6c30e623}">
          <xlrd:rvb i="14507"/>
        </ext>
      </extLst>
    </bk>
    <bk>
      <extLst>
        <ext uri="{3e2802c4-a4d2-4d8b-9148-e3be6c30e623}">
          <xlrd:rvb i="14508"/>
        </ext>
      </extLst>
    </bk>
    <bk>
      <extLst>
        <ext uri="{3e2802c4-a4d2-4d8b-9148-e3be6c30e623}">
          <xlrd:rvb i="14509"/>
        </ext>
      </extLst>
    </bk>
    <bk>
      <extLst>
        <ext uri="{3e2802c4-a4d2-4d8b-9148-e3be6c30e623}">
          <xlrd:rvb i="14510"/>
        </ext>
      </extLst>
    </bk>
    <bk>
      <extLst>
        <ext uri="{3e2802c4-a4d2-4d8b-9148-e3be6c30e623}">
          <xlrd:rvb i="14511"/>
        </ext>
      </extLst>
    </bk>
    <bk>
      <extLst>
        <ext uri="{3e2802c4-a4d2-4d8b-9148-e3be6c30e623}">
          <xlrd:rvb i="14512"/>
        </ext>
      </extLst>
    </bk>
    <bk>
      <extLst>
        <ext uri="{3e2802c4-a4d2-4d8b-9148-e3be6c30e623}">
          <xlrd:rvb i="14513"/>
        </ext>
      </extLst>
    </bk>
    <bk>
      <extLst>
        <ext uri="{3e2802c4-a4d2-4d8b-9148-e3be6c30e623}">
          <xlrd:rvb i="14514"/>
        </ext>
      </extLst>
    </bk>
    <bk>
      <extLst>
        <ext uri="{3e2802c4-a4d2-4d8b-9148-e3be6c30e623}">
          <xlrd:rvb i="14515"/>
        </ext>
      </extLst>
    </bk>
    <bk>
      <extLst>
        <ext uri="{3e2802c4-a4d2-4d8b-9148-e3be6c30e623}">
          <xlrd:rvb i="14516"/>
        </ext>
      </extLst>
    </bk>
    <bk>
      <extLst>
        <ext uri="{3e2802c4-a4d2-4d8b-9148-e3be6c30e623}">
          <xlrd:rvb i="14517"/>
        </ext>
      </extLst>
    </bk>
    <bk>
      <extLst>
        <ext uri="{3e2802c4-a4d2-4d8b-9148-e3be6c30e623}">
          <xlrd:rvb i="14518"/>
        </ext>
      </extLst>
    </bk>
    <bk>
      <extLst>
        <ext uri="{3e2802c4-a4d2-4d8b-9148-e3be6c30e623}">
          <xlrd:rvb i="14519"/>
        </ext>
      </extLst>
    </bk>
    <bk>
      <extLst>
        <ext uri="{3e2802c4-a4d2-4d8b-9148-e3be6c30e623}">
          <xlrd:rvb i="14520"/>
        </ext>
      </extLst>
    </bk>
    <bk>
      <extLst>
        <ext uri="{3e2802c4-a4d2-4d8b-9148-e3be6c30e623}">
          <xlrd:rvb i="14521"/>
        </ext>
      </extLst>
    </bk>
    <bk>
      <extLst>
        <ext uri="{3e2802c4-a4d2-4d8b-9148-e3be6c30e623}">
          <xlrd:rvb i="14522"/>
        </ext>
      </extLst>
    </bk>
    <bk>
      <extLst>
        <ext uri="{3e2802c4-a4d2-4d8b-9148-e3be6c30e623}">
          <xlrd:rvb i="14523"/>
        </ext>
      </extLst>
    </bk>
    <bk>
      <extLst>
        <ext uri="{3e2802c4-a4d2-4d8b-9148-e3be6c30e623}">
          <xlrd:rvb i="14524"/>
        </ext>
      </extLst>
    </bk>
    <bk>
      <extLst>
        <ext uri="{3e2802c4-a4d2-4d8b-9148-e3be6c30e623}">
          <xlrd:rvb i="14525"/>
        </ext>
      </extLst>
    </bk>
    <bk>
      <extLst>
        <ext uri="{3e2802c4-a4d2-4d8b-9148-e3be6c30e623}">
          <xlrd:rvb i="14526"/>
        </ext>
      </extLst>
    </bk>
    <bk>
      <extLst>
        <ext uri="{3e2802c4-a4d2-4d8b-9148-e3be6c30e623}">
          <xlrd:rvb i="14527"/>
        </ext>
      </extLst>
    </bk>
    <bk>
      <extLst>
        <ext uri="{3e2802c4-a4d2-4d8b-9148-e3be6c30e623}">
          <xlrd:rvb i="14528"/>
        </ext>
      </extLst>
    </bk>
    <bk>
      <extLst>
        <ext uri="{3e2802c4-a4d2-4d8b-9148-e3be6c30e623}">
          <xlrd:rvb i="14529"/>
        </ext>
      </extLst>
    </bk>
    <bk>
      <extLst>
        <ext uri="{3e2802c4-a4d2-4d8b-9148-e3be6c30e623}">
          <xlrd:rvb i="14530"/>
        </ext>
      </extLst>
    </bk>
    <bk>
      <extLst>
        <ext uri="{3e2802c4-a4d2-4d8b-9148-e3be6c30e623}">
          <xlrd:rvb i="14531"/>
        </ext>
      </extLst>
    </bk>
    <bk>
      <extLst>
        <ext uri="{3e2802c4-a4d2-4d8b-9148-e3be6c30e623}">
          <xlrd:rvb i="14532"/>
        </ext>
      </extLst>
    </bk>
    <bk>
      <extLst>
        <ext uri="{3e2802c4-a4d2-4d8b-9148-e3be6c30e623}">
          <xlrd:rvb i="14533"/>
        </ext>
      </extLst>
    </bk>
    <bk>
      <extLst>
        <ext uri="{3e2802c4-a4d2-4d8b-9148-e3be6c30e623}">
          <xlrd:rvb i="14534"/>
        </ext>
      </extLst>
    </bk>
    <bk>
      <extLst>
        <ext uri="{3e2802c4-a4d2-4d8b-9148-e3be6c30e623}">
          <xlrd:rvb i="14535"/>
        </ext>
      </extLst>
    </bk>
    <bk>
      <extLst>
        <ext uri="{3e2802c4-a4d2-4d8b-9148-e3be6c30e623}">
          <xlrd:rvb i="14536"/>
        </ext>
      </extLst>
    </bk>
    <bk>
      <extLst>
        <ext uri="{3e2802c4-a4d2-4d8b-9148-e3be6c30e623}">
          <xlrd:rvb i="14537"/>
        </ext>
      </extLst>
    </bk>
    <bk>
      <extLst>
        <ext uri="{3e2802c4-a4d2-4d8b-9148-e3be6c30e623}">
          <xlrd:rvb i="14538"/>
        </ext>
      </extLst>
    </bk>
    <bk>
      <extLst>
        <ext uri="{3e2802c4-a4d2-4d8b-9148-e3be6c30e623}">
          <xlrd:rvb i="14539"/>
        </ext>
      </extLst>
    </bk>
    <bk>
      <extLst>
        <ext uri="{3e2802c4-a4d2-4d8b-9148-e3be6c30e623}">
          <xlrd:rvb i="14540"/>
        </ext>
      </extLst>
    </bk>
    <bk>
      <extLst>
        <ext uri="{3e2802c4-a4d2-4d8b-9148-e3be6c30e623}">
          <xlrd:rvb i="14541"/>
        </ext>
      </extLst>
    </bk>
    <bk>
      <extLst>
        <ext uri="{3e2802c4-a4d2-4d8b-9148-e3be6c30e623}">
          <xlrd:rvb i="14542"/>
        </ext>
      </extLst>
    </bk>
    <bk>
      <extLst>
        <ext uri="{3e2802c4-a4d2-4d8b-9148-e3be6c30e623}">
          <xlrd:rvb i="14543"/>
        </ext>
      </extLst>
    </bk>
    <bk>
      <extLst>
        <ext uri="{3e2802c4-a4d2-4d8b-9148-e3be6c30e623}">
          <xlrd:rvb i="14544"/>
        </ext>
      </extLst>
    </bk>
    <bk>
      <extLst>
        <ext uri="{3e2802c4-a4d2-4d8b-9148-e3be6c30e623}">
          <xlrd:rvb i="14545"/>
        </ext>
      </extLst>
    </bk>
    <bk>
      <extLst>
        <ext uri="{3e2802c4-a4d2-4d8b-9148-e3be6c30e623}">
          <xlrd:rvb i="14546"/>
        </ext>
      </extLst>
    </bk>
    <bk>
      <extLst>
        <ext uri="{3e2802c4-a4d2-4d8b-9148-e3be6c30e623}">
          <xlrd:rvb i="14547"/>
        </ext>
      </extLst>
    </bk>
    <bk>
      <extLst>
        <ext uri="{3e2802c4-a4d2-4d8b-9148-e3be6c30e623}">
          <xlrd:rvb i="14548"/>
        </ext>
      </extLst>
    </bk>
    <bk>
      <extLst>
        <ext uri="{3e2802c4-a4d2-4d8b-9148-e3be6c30e623}">
          <xlrd:rvb i="14549"/>
        </ext>
      </extLst>
    </bk>
    <bk>
      <extLst>
        <ext uri="{3e2802c4-a4d2-4d8b-9148-e3be6c30e623}">
          <xlrd:rvb i="14550"/>
        </ext>
      </extLst>
    </bk>
    <bk>
      <extLst>
        <ext uri="{3e2802c4-a4d2-4d8b-9148-e3be6c30e623}">
          <xlrd:rvb i="14551"/>
        </ext>
      </extLst>
    </bk>
    <bk>
      <extLst>
        <ext uri="{3e2802c4-a4d2-4d8b-9148-e3be6c30e623}">
          <xlrd:rvb i="14552"/>
        </ext>
      </extLst>
    </bk>
    <bk>
      <extLst>
        <ext uri="{3e2802c4-a4d2-4d8b-9148-e3be6c30e623}">
          <xlrd:rvb i="14553"/>
        </ext>
      </extLst>
    </bk>
    <bk>
      <extLst>
        <ext uri="{3e2802c4-a4d2-4d8b-9148-e3be6c30e623}">
          <xlrd:rvb i="14554"/>
        </ext>
      </extLst>
    </bk>
    <bk>
      <extLst>
        <ext uri="{3e2802c4-a4d2-4d8b-9148-e3be6c30e623}">
          <xlrd:rvb i="14555"/>
        </ext>
      </extLst>
    </bk>
    <bk>
      <extLst>
        <ext uri="{3e2802c4-a4d2-4d8b-9148-e3be6c30e623}">
          <xlrd:rvb i="14556"/>
        </ext>
      </extLst>
    </bk>
    <bk>
      <extLst>
        <ext uri="{3e2802c4-a4d2-4d8b-9148-e3be6c30e623}">
          <xlrd:rvb i="14557"/>
        </ext>
      </extLst>
    </bk>
    <bk>
      <extLst>
        <ext uri="{3e2802c4-a4d2-4d8b-9148-e3be6c30e623}">
          <xlrd:rvb i="14558"/>
        </ext>
      </extLst>
    </bk>
    <bk>
      <extLst>
        <ext uri="{3e2802c4-a4d2-4d8b-9148-e3be6c30e623}">
          <xlrd:rvb i="14559"/>
        </ext>
      </extLst>
    </bk>
    <bk>
      <extLst>
        <ext uri="{3e2802c4-a4d2-4d8b-9148-e3be6c30e623}">
          <xlrd:rvb i="14560"/>
        </ext>
      </extLst>
    </bk>
    <bk>
      <extLst>
        <ext uri="{3e2802c4-a4d2-4d8b-9148-e3be6c30e623}">
          <xlrd:rvb i="14561"/>
        </ext>
      </extLst>
    </bk>
    <bk>
      <extLst>
        <ext uri="{3e2802c4-a4d2-4d8b-9148-e3be6c30e623}">
          <xlrd:rvb i="14562"/>
        </ext>
      </extLst>
    </bk>
    <bk>
      <extLst>
        <ext uri="{3e2802c4-a4d2-4d8b-9148-e3be6c30e623}">
          <xlrd:rvb i="14563"/>
        </ext>
      </extLst>
    </bk>
    <bk>
      <extLst>
        <ext uri="{3e2802c4-a4d2-4d8b-9148-e3be6c30e623}">
          <xlrd:rvb i="14564"/>
        </ext>
      </extLst>
    </bk>
    <bk>
      <extLst>
        <ext uri="{3e2802c4-a4d2-4d8b-9148-e3be6c30e623}">
          <xlrd:rvb i="14565"/>
        </ext>
      </extLst>
    </bk>
    <bk>
      <extLst>
        <ext uri="{3e2802c4-a4d2-4d8b-9148-e3be6c30e623}">
          <xlrd:rvb i="14566"/>
        </ext>
      </extLst>
    </bk>
    <bk>
      <extLst>
        <ext uri="{3e2802c4-a4d2-4d8b-9148-e3be6c30e623}">
          <xlrd:rvb i="14567"/>
        </ext>
      </extLst>
    </bk>
    <bk>
      <extLst>
        <ext uri="{3e2802c4-a4d2-4d8b-9148-e3be6c30e623}">
          <xlrd:rvb i="14568"/>
        </ext>
      </extLst>
    </bk>
    <bk>
      <extLst>
        <ext uri="{3e2802c4-a4d2-4d8b-9148-e3be6c30e623}">
          <xlrd:rvb i="14569"/>
        </ext>
      </extLst>
    </bk>
    <bk>
      <extLst>
        <ext uri="{3e2802c4-a4d2-4d8b-9148-e3be6c30e623}">
          <xlrd:rvb i="14570"/>
        </ext>
      </extLst>
    </bk>
    <bk>
      <extLst>
        <ext uri="{3e2802c4-a4d2-4d8b-9148-e3be6c30e623}">
          <xlrd:rvb i="14571"/>
        </ext>
      </extLst>
    </bk>
    <bk>
      <extLst>
        <ext uri="{3e2802c4-a4d2-4d8b-9148-e3be6c30e623}">
          <xlrd:rvb i="14572"/>
        </ext>
      </extLst>
    </bk>
    <bk>
      <extLst>
        <ext uri="{3e2802c4-a4d2-4d8b-9148-e3be6c30e623}">
          <xlrd:rvb i="14573"/>
        </ext>
      </extLst>
    </bk>
    <bk>
      <extLst>
        <ext uri="{3e2802c4-a4d2-4d8b-9148-e3be6c30e623}">
          <xlrd:rvb i="14574"/>
        </ext>
      </extLst>
    </bk>
    <bk>
      <extLst>
        <ext uri="{3e2802c4-a4d2-4d8b-9148-e3be6c30e623}">
          <xlrd:rvb i="14575"/>
        </ext>
      </extLst>
    </bk>
    <bk>
      <extLst>
        <ext uri="{3e2802c4-a4d2-4d8b-9148-e3be6c30e623}">
          <xlrd:rvb i="14576"/>
        </ext>
      </extLst>
    </bk>
    <bk>
      <extLst>
        <ext uri="{3e2802c4-a4d2-4d8b-9148-e3be6c30e623}">
          <xlrd:rvb i="14577"/>
        </ext>
      </extLst>
    </bk>
    <bk>
      <extLst>
        <ext uri="{3e2802c4-a4d2-4d8b-9148-e3be6c30e623}">
          <xlrd:rvb i="14578"/>
        </ext>
      </extLst>
    </bk>
    <bk>
      <extLst>
        <ext uri="{3e2802c4-a4d2-4d8b-9148-e3be6c30e623}">
          <xlrd:rvb i="14579"/>
        </ext>
      </extLst>
    </bk>
    <bk>
      <extLst>
        <ext uri="{3e2802c4-a4d2-4d8b-9148-e3be6c30e623}">
          <xlrd:rvb i="14580"/>
        </ext>
      </extLst>
    </bk>
    <bk>
      <extLst>
        <ext uri="{3e2802c4-a4d2-4d8b-9148-e3be6c30e623}">
          <xlrd:rvb i="14581"/>
        </ext>
      </extLst>
    </bk>
    <bk>
      <extLst>
        <ext uri="{3e2802c4-a4d2-4d8b-9148-e3be6c30e623}">
          <xlrd:rvb i="14582"/>
        </ext>
      </extLst>
    </bk>
    <bk>
      <extLst>
        <ext uri="{3e2802c4-a4d2-4d8b-9148-e3be6c30e623}">
          <xlrd:rvb i="14583"/>
        </ext>
      </extLst>
    </bk>
    <bk>
      <extLst>
        <ext uri="{3e2802c4-a4d2-4d8b-9148-e3be6c30e623}">
          <xlrd:rvb i="14584"/>
        </ext>
      </extLst>
    </bk>
    <bk>
      <extLst>
        <ext uri="{3e2802c4-a4d2-4d8b-9148-e3be6c30e623}">
          <xlrd:rvb i="14585"/>
        </ext>
      </extLst>
    </bk>
    <bk>
      <extLst>
        <ext uri="{3e2802c4-a4d2-4d8b-9148-e3be6c30e623}">
          <xlrd:rvb i="14586"/>
        </ext>
      </extLst>
    </bk>
    <bk>
      <extLst>
        <ext uri="{3e2802c4-a4d2-4d8b-9148-e3be6c30e623}">
          <xlrd:rvb i="14587"/>
        </ext>
      </extLst>
    </bk>
    <bk>
      <extLst>
        <ext uri="{3e2802c4-a4d2-4d8b-9148-e3be6c30e623}">
          <xlrd:rvb i="14588"/>
        </ext>
      </extLst>
    </bk>
    <bk>
      <extLst>
        <ext uri="{3e2802c4-a4d2-4d8b-9148-e3be6c30e623}">
          <xlrd:rvb i="14589"/>
        </ext>
      </extLst>
    </bk>
    <bk>
      <extLst>
        <ext uri="{3e2802c4-a4d2-4d8b-9148-e3be6c30e623}">
          <xlrd:rvb i="14590"/>
        </ext>
      </extLst>
    </bk>
    <bk>
      <extLst>
        <ext uri="{3e2802c4-a4d2-4d8b-9148-e3be6c30e623}">
          <xlrd:rvb i="14591"/>
        </ext>
      </extLst>
    </bk>
    <bk>
      <extLst>
        <ext uri="{3e2802c4-a4d2-4d8b-9148-e3be6c30e623}">
          <xlrd:rvb i="14592"/>
        </ext>
      </extLst>
    </bk>
    <bk>
      <extLst>
        <ext uri="{3e2802c4-a4d2-4d8b-9148-e3be6c30e623}">
          <xlrd:rvb i="14593"/>
        </ext>
      </extLst>
    </bk>
    <bk>
      <extLst>
        <ext uri="{3e2802c4-a4d2-4d8b-9148-e3be6c30e623}">
          <xlrd:rvb i="14594"/>
        </ext>
      </extLst>
    </bk>
    <bk>
      <extLst>
        <ext uri="{3e2802c4-a4d2-4d8b-9148-e3be6c30e623}">
          <xlrd:rvb i="14595"/>
        </ext>
      </extLst>
    </bk>
    <bk>
      <extLst>
        <ext uri="{3e2802c4-a4d2-4d8b-9148-e3be6c30e623}">
          <xlrd:rvb i="14596"/>
        </ext>
      </extLst>
    </bk>
    <bk>
      <extLst>
        <ext uri="{3e2802c4-a4d2-4d8b-9148-e3be6c30e623}">
          <xlrd:rvb i="14597"/>
        </ext>
      </extLst>
    </bk>
    <bk>
      <extLst>
        <ext uri="{3e2802c4-a4d2-4d8b-9148-e3be6c30e623}">
          <xlrd:rvb i="14598"/>
        </ext>
      </extLst>
    </bk>
    <bk>
      <extLst>
        <ext uri="{3e2802c4-a4d2-4d8b-9148-e3be6c30e623}">
          <xlrd:rvb i="14599"/>
        </ext>
      </extLst>
    </bk>
    <bk>
      <extLst>
        <ext uri="{3e2802c4-a4d2-4d8b-9148-e3be6c30e623}">
          <xlrd:rvb i="14600"/>
        </ext>
      </extLst>
    </bk>
    <bk>
      <extLst>
        <ext uri="{3e2802c4-a4d2-4d8b-9148-e3be6c30e623}">
          <xlrd:rvb i="14601"/>
        </ext>
      </extLst>
    </bk>
    <bk>
      <extLst>
        <ext uri="{3e2802c4-a4d2-4d8b-9148-e3be6c30e623}">
          <xlrd:rvb i="14602"/>
        </ext>
      </extLst>
    </bk>
    <bk>
      <extLst>
        <ext uri="{3e2802c4-a4d2-4d8b-9148-e3be6c30e623}">
          <xlrd:rvb i="14603"/>
        </ext>
      </extLst>
    </bk>
    <bk>
      <extLst>
        <ext uri="{3e2802c4-a4d2-4d8b-9148-e3be6c30e623}">
          <xlrd:rvb i="14604"/>
        </ext>
      </extLst>
    </bk>
    <bk>
      <extLst>
        <ext uri="{3e2802c4-a4d2-4d8b-9148-e3be6c30e623}">
          <xlrd:rvb i="14605"/>
        </ext>
      </extLst>
    </bk>
    <bk>
      <extLst>
        <ext uri="{3e2802c4-a4d2-4d8b-9148-e3be6c30e623}">
          <xlrd:rvb i="14606"/>
        </ext>
      </extLst>
    </bk>
    <bk>
      <extLst>
        <ext uri="{3e2802c4-a4d2-4d8b-9148-e3be6c30e623}">
          <xlrd:rvb i="14607"/>
        </ext>
      </extLst>
    </bk>
    <bk>
      <extLst>
        <ext uri="{3e2802c4-a4d2-4d8b-9148-e3be6c30e623}">
          <xlrd:rvb i="14608"/>
        </ext>
      </extLst>
    </bk>
    <bk>
      <extLst>
        <ext uri="{3e2802c4-a4d2-4d8b-9148-e3be6c30e623}">
          <xlrd:rvb i="14609"/>
        </ext>
      </extLst>
    </bk>
    <bk>
      <extLst>
        <ext uri="{3e2802c4-a4d2-4d8b-9148-e3be6c30e623}">
          <xlrd:rvb i="14610"/>
        </ext>
      </extLst>
    </bk>
    <bk>
      <extLst>
        <ext uri="{3e2802c4-a4d2-4d8b-9148-e3be6c30e623}">
          <xlrd:rvb i="14611"/>
        </ext>
      </extLst>
    </bk>
    <bk>
      <extLst>
        <ext uri="{3e2802c4-a4d2-4d8b-9148-e3be6c30e623}">
          <xlrd:rvb i="14612"/>
        </ext>
      </extLst>
    </bk>
    <bk>
      <extLst>
        <ext uri="{3e2802c4-a4d2-4d8b-9148-e3be6c30e623}">
          <xlrd:rvb i="14613"/>
        </ext>
      </extLst>
    </bk>
    <bk>
      <extLst>
        <ext uri="{3e2802c4-a4d2-4d8b-9148-e3be6c30e623}">
          <xlrd:rvb i="14614"/>
        </ext>
      </extLst>
    </bk>
    <bk>
      <extLst>
        <ext uri="{3e2802c4-a4d2-4d8b-9148-e3be6c30e623}">
          <xlrd:rvb i="14615"/>
        </ext>
      </extLst>
    </bk>
    <bk>
      <extLst>
        <ext uri="{3e2802c4-a4d2-4d8b-9148-e3be6c30e623}">
          <xlrd:rvb i="14616"/>
        </ext>
      </extLst>
    </bk>
    <bk>
      <extLst>
        <ext uri="{3e2802c4-a4d2-4d8b-9148-e3be6c30e623}">
          <xlrd:rvb i="14617"/>
        </ext>
      </extLst>
    </bk>
    <bk>
      <extLst>
        <ext uri="{3e2802c4-a4d2-4d8b-9148-e3be6c30e623}">
          <xlrd:rvb i="14618"/>
        </ext>
      </extLst>
    </bk>
    <bk>
      <extLst>
        <ext uri="{3e2802c4-a4d2-4d8b-9148-e3be6c30e623}">
          <xlrd:rvb i="14619"/>
        </ext>
      </extLst>
    </bk>
    <bk>
      <extLst>
        <ext uri="{3e2802c4-a4d2-4d8b-9148-e3be6c30e623}">
          <xlrd:rvb i="14620"/>
        </ext>
      </extLst>
    </bk>
    <bk>
      <extLst>
        <ext uri="{3e2802c4-a4d2-4d8b-9148-e3be6c30e623}">
          <xlrd:rvb i="14621"/>
        </ext>
      </extLst>
    </bk>
    <bk>
      <extLst>
        <ext uri="{3e2802c4-a4d2-4d8b-9148-e3be6c30e623}">
          <xlrd:rvb i="14622"/>
        </ext>
      </extLst>
    </bk>
    <bk>
      <extLst>
        <ext uri="{3e2802c4-a4d2-4d8b-9148-e3be6c30e623}">
          <xlrd:rvb i="14623"/>
        </ext>
      </extLst>
    </bk>
    <bk>
      <extLst>
        <ext uri="{3e2802c4-a4d2-4d8b-9148-e3be6c30e623}">
          <xlrd:rvb i="14624"/>
        </ext>
      </extLst>
    </bk>
    <bk>
      <extLst>
        <ext uri="{3e2802c4-a4d2-4d8b-9148-e3be6c30e623}">
          <xlrd:rvb i="14625"/>
        </ext>
      </extLst>
    </bk>
    <bk>
      <extLst>
        <ext uri="{3e2802c4-a4d2-4d8b-9148-e3be6c30e623}">
          <xlrd:rvb i="14626"/>
        </ext>
      </extLst>
    </bk>
    <bk>
      <extLst>
        <ext uri="{3e2802c4-a4d2-4d8b-9148-e3be6c30e623}">
          <xlrd:rvb i="14627"/>
        </ext>
      </extLst>
    </bk>
    <bk>
      <extLst>
        <ext uri="{3e2802c4-a4d2-4d8b-9148-e3be6c30e623}">
          <xlrd:rvb i="14628"/>
        </ext>
      </extLst>
    </bk>
    <bk>
      <extLst>
        <ext uri="{3e2802c4-a4d2-4d8b-9148-e3be6c30e623}">
          <xlrd:rvb i="14629"/>
        </ext>
      </extLst>
    </bk>
    <bk>
      <extLst>
        <ext uri="{3e2802c4-a4d2-4d8b-9148-e3be6c30e623}">
          <xlrd:rvb i="14630"/>
        </ext>
      </extLst>
    </bk>
    <bk>
      <extLst>
        <ext uri="{3e2802c4-a4d2-4d8b-9148-e3be6c30e623}">
          <xlrd:rvb i="14631"/>
        </ext>
      </extLst>
    </bk>
    <bk>
      <extLst>
        <ext uri="{3e2802c4-a4d2-4d8b-9148-e3be6c30e623}">
          <xlrd:rvb i="14632"/>
        </ext>
      </extLst>
    </bk>
    <bk>
      <extLst>
        <ext uri="{3e2802c4-a4d2-4d8b-9148-e3be6c30e623}">
          <xlrd:rvb i="14633"/>
        </ext>
      </extLst>
    </bk>
    <bk>
      <extLst>
        <ext uri="{3e2802c4-a4d2-4d8b-9148-e3be6c30e623}">
          <xlrd:rvb i="14634"/>
        </ext>
      </extLst>
    </bk>
    <bk>
      <extLst>
        <ext uri="{3e2802c4-a4d2-4d8b-9148-e3be6c30e623}">
          <xlrd:rvb i="14635"/>
        </ext>
      </extLst>
    </bk>
    <bk>
      <extLst>
        <ext uri="{3e2802c4-a4d2-4d8b-9148-e3be6c30e623}">
          <xlrd:rvb i="14636"/>
        </ext>
      </extLst>
    </bk>
    <bk>
      <extLst>
        <ext uri="{3e2802c4-a4d2-4d8b-9148-e3be6c30e623}">
          <xlrd:rvb i="14637"/>
        </ext>
      </extLst>
    </bk>
    <bk>
      <extLst>
        <ext uri="{3e2802c4-a4d2-4d8b-9148-e3be6c30e623}">
          <xlrd:rvb i="14638"/>
        </ext>
      </extLst>
    </bk>
    <bk>
      <extLst>
        <ext uri="{3e2802c4-a4d2-4d8b-9148-e3be6c30e623}">
          <xlrd:rvb i="14639"/>
        </ext>
      </extLst>
    </bk>
    <bk>
      <extLst>
        <ext uri="{3e2802c4-a4d2-4d8b-9148-e3be6c30e623}">
          <xlrd:rvb i="14640"/>
        </ext>
      </extLst>
    </bk>
    <bk>
      <extLst>
        <ext uri="{3e2802c4-a4d2-4d8b-9148-e3be6c30e623}">
          <xlrd:rvb i="14641"/>
        </ext>
      </extLst>
    </bk>
    <bk>
      <extLst>
        <ext uri="{3e2802c4-a4d2-4d8b-9148-e3be6c30e623}">
          <xlrd:rvb i="14642"/>
        </ext>
      </extLst>
    </bk>
    <bk>
      <extLst>
        <ext uri="{3e2802c4-a4d2-4d8b-9148-e3be6c30e623}">
          <xlrd:rvb i="14643"/>
        </ext>
      </extLst>
    </bk>
    <bk>
      <extLst>
        <ext uri="{3e2802c4-a4d2-4d8b-9148-e3be6c30e623}">
          <xlrd:rvb i="14644"/>
        </ext>
      </extLst>
    </bk>
    <bk>
      <extLst>
        <ext uri="{3e2802c4-a4d2-4d8b-9148-e3be6c30e623}">
          <xlrd:rvb i="14645"/>
        </ext>
      </extLst>
    </bk>
    <bk>
      <extLst>
        <ext uri="{3e2802c4-a4d2-4d8b-9148-e3be6c30e623}">
          <xlrd:rvb i="14646"/>
        </ext>
      </extLst>
    </bk>
    <bk>
      <extLst>
        <ext uri="{3e2802c4-a4d2-4d8b-9148-e3be6c30e623}">
          <xlrd:rvb i="14647"/>
        </ext>
      </extLst>
    </bk>
    <bk>
      <extLst>
        <ext uri="{3e2802c4-a4d2-4d8b-9148-e3be6c30e623}">
          <xlrd:rvb i="14648"/>
        </ext>
      </extLst>
    </bk>
    <bk>
      <extLst>
        <ext uri="{3e2802c4-a4d2-4d8b-9148-e3be6c30e623}">
          <xlrd:rvb i="14649"/>
        </ext>
      </extLst>
    </bk>
    <bk>
      <extLst>
        <ext uri="{3e2802c4-a4d2-4d8b-9148-e3be6c30e623}">
          <xlrd:rvb i="14650"/>
        </ext>
      </extLst>
    </bk>
    <bk>
      <extLst>
        <ext uri="{3e2802c4-a4d2-4d8b-9148-e3be6c30e623}">
          <xlrd:rvb i="14651"/>
        </ext>
      </extLst>
    </bk>
    <bk>
      <extLst>
        <ext uri="{3e2802c4-a4d2-4d8b-9148-e3be6c30e623}">
          <xlrd:rvb i="14652"/>
        </ext>
      </extLst>
    </bk>
    <bk>
      <extLst>
        <ext uri="{3e2802c4-a4d2-4d8b-9148-e3be6c30e623}">
          <xlrd:rvb i="14653"/>
        </ext>
      </extLst>
    </bk>
    <bk>
      <extLst>
        <ext uri="{3e2802c4-a4d2-4d8b-9148-e3be6c30e623}">
          <xlrd:rvb i="14654"/>
        </ext>
      </extLst>
    </bk>
    <bk>
      <extLst>
        <ext uri="{3e2802c4-a4d2-4d8b-9148-e3be6c30e623}">
          <xlrd:rvb i="14655"/>
        </ext>
      </extLst>
    </bk>
    <bk>
      <extLst>
        <ext uri="{3e2802c4-a4d2-4d8b-9148-e3be6c30e623}">
          <xlrd:rvb i="14656"/>
        </ext>
      </extLst>
    </bk>
    <bk>
      <extLst>
        <ext uri="{3e2802c4-a4d2-4d8b-9148-e3be6c30e623}">
          <xlrd:rvb i="14657"/>
        </ext>
      </extLst>
    </bk>
    <bk>
      <extLst>
        <ext uri="{3e2802c4-a4d2-4d8b-9148-e3be6c30e623}">
          <xlrd:rvb i="14658"/>
        </ext>
      </extLst>
    </bk>
    <bk>
      <extLst>
        <ext uri="{3e2802c4-a4d2-4d8b-9148-e3be6c30e623}">
          <xlrd:rvb i="14659"/>
        </ext>
      </extLst>
    </bk>
    <bk>
      <extLst>
        <ext uri="{3e2802c4-a4d2-4d8b-9148-e3be6c30e623}">
          <xlrd:rvb i="14660"/>
        </ext>
      </extLst>
    </bk>
    <bk>
      <extLst>
        <ext uri="{3e2802c4-a4d2-4d8b-9148-e3be6c30e623}">
          <xlrd:rvb i="14661"/>
        </ext>
      </extLst>
    </bk>
    <bk>
      <extLst>
        <ext uri="{3e2802c4-a4d2-4d8b-9148-e3be6c30e623}">
          <xlrd:rvb i="14662"/>
        </ext>
      </extLst>
    </bk>
    <bk>
      <extLst>
        <ext uri="{3e2802c4-a4d2-4d8b-9148-e3be6c30e623}">
          <xlrd:rvb i="14663"/>
        </ext>
      </extLst>
    </bk>
    <bk>
      <extLst>
        <ext uri="{3e2802c4-a4d2-4d8b-9148-e3be6c30e623}">
          <xlrd:rvb i="14664"/>
        </ext>
      </extLst>
    </bk>
    <bk>
      <extLst>
        <ext uri="{3e2802c4-a4d2-4d8b-9148-e3be6c30e623}">
          <xlrd:rvb i="14665"/>
        </ext>
      </extLst>
    </bk>
    <bk>
      <extLst>
        <ext uri="{3e2802c4-a4d2-4d8b-9148-e3be6c30e623}">
          <xlrd:rvb i="14666"/>
        </ext>
      </extLst>
    </bk>
    <bk>
      <extLst>
        <ext uri="{3e2802c4-a4d2-4d8b-9148-e3be6c30e623}">
          <xlrd:rvb i="14667"/>
        </ext>
      </extLst>
    </bk>
    <bk>
      <extLst>
        <ext uri="{3e2802c4-a4d2-4d8b-9148-e3be6c30e623}">
          <xlrd:rvb i="14668"/>
        </ext>
      </extLst>
    </bk>
    <bk>
      <extLst>
        <ext uri="{3e2802c4-a4d2-4d8b-9148-e3be6c30e623}">
          <xlrd:rvb i="14669"/>
        </ext>
      </extLst>
    </bk>
    <bk>
      <extLst>
        <ext uri="{3e2802c4-a4d2-4d8b-9148-e3be6c30e623}">
          <xlrd:rvb i="14670"/>
        </ext>
      </extLst>
    </bk>
    <bk>
      <extLst>
        <ext uri="{3e2802c4-a4d2-4d8b-9148-e3be6c30e623}">
          <xlrd:rvb i="14671"/>
        </ext>
      </extLst>
    </bk>
    <bk>
      <extLst>
        <ext uri="{3e2802c4-a4d2-4d8b-9148-e3be6c30e623}">
          <xlrd:rvb i="14672"/>
        </ext>
      </extLst>
    </bk>
    <bk>
      <extLst>
        <ext uri="{3e2802c4-a4d2-4d8b-9148-e3be6c30e623}">
          <xlrd:rvb i="14673"/>
        </ext>
      </extLst>
    </bk>
    <bk>
      <extLst>
        <ext uri="{3e2802c4-a4d2-4d8b-9148-e3be6c30e623}">
          <xlrd:rvb i="14674"/>
        </ext>
      </extLst>
    </bk>
    <bk>
      <extLst>
        <ext uri="{3e2802c4-a4d2-4d8b-9148-e3be6c30e623}">
          <xlrd:rvb i="14675"/>
        </ext>
      </extLst>
    </bk>
    <bk>
      <extLst>
        <ext uri="{3e2802c4-a4d2-4d8b-9148-e3be6c30e623}">
          <xlrd:rvb i="14676"/>
        </ext>
      </extLst>
    </bk>
    <bk>
      <extLst>
        <ext uri="{3e2802c4-a4d2-4d8b-9148-e3be6c30e623}">
          <xlrd:rvb i="14677"/>
        </ext>
      </extLst>
    </bk>
    <bk>
      <extLst>
        <ext uri="{3e2802c4-a4d2-4d8b-9148-e3be6c30e623}">
          <xlrd:rvb i="14678"/>
        </ext>
      </extLst>
    </bk>
    <bk>
      <extLst>
        <ext uri="{3e2802c4-a4d2-4d8b-9148-e3be6c30e623}">
          <xlrd:rvb i="14679"/>
        </ext>
      </extLst>
    </bk>
    <bk>
      <extLst>
        <ext uri="{3e2802c4-a4d2-4d8b-9148-e3be6c30e623}">
          <xlrd:rvb i="14680"/>
        </ext>
      </extLst>
    </bk>
    <bk>
      <extLst>
        <ext uri="{3e2802c4-a4d2-4d8b-9148-e3be6c30e623}">
          <xlrd:rvb i="14681"/>
        </ext>
      </extLst>
    </bk>
    <bk>
      <extLst>
        <ext uri="{3e2802c4-a4d2-4d8b-9148-e3be6c30e623}">
          <xlrd:rvb i="14682"/>
        </ext>
      </extLst>
    </bk>
    <bk>
      <extLst>
        <ext uri="{3e2802c4-a4d2-4d8b-9148-e3be6c30e623}">
          <xlrd:rvb i="14683"/>
        </ext>
      </extLst>
    </bk>
    <bk>
      <extLst>
        <ext uri="{3e2802c4-a4d2-4d8b-9148-e3be6c30e623}">
          <xlrd:rvb i="14684"/>
        </ext>
      </extLst>
    </bk>
    <bk>
      <extLst>
        <ext uri="{3e2802c4-a4d2-4d8b-9148-e3be6c30e623}">
          <xlrd:rvb i="14685"/>
        </ext>
      </extLst>
    </bk>
    <bk>
      <extLst>
        <ext uri="{3e2802c4-a4d2-4d8b-9148-e3be6c30e623}">
          <xlrd:rvb i="14686"/>
        </ext>
      </extLst>
    </bk>
    <bk>
      <extLst>
        <ext uri="{3e2802c4-a4d2-4d8b-9148-e3be6c30e623}">
          <xlrd:rvb i="14687"/>
        </ext>
      </extLst>
    </bk>
    <bk>
      <extLst>
        <ext uri="{3e2802c4-a4d2-4d8b-9148-e3be6c30e623}">
          <xlrd:rvb i="14688"/>
        </ext>
      </extLst>
    </bk>
    <bk>
      <extLst>
        <ext uri="{3e2802c4-a4d2-4d8b-9148-e3be6c30e623}">
          <xlrd:rvb i="14689"/>
        </ext>
      </extLst>
    </bk>
    <bk>
      <extLst>
        <ext uri="{3e2802c4-a4d2-4d8b-9148-e3be6c30e623}">
          <xlrd:rvb i="14690"/>
        </ext>
      </extLst>
    </bk>
    <bk>
      <extLst>
        <ext uri="{3e2802c4-a4d2-4d8b-9148-e3be6c30e623}">
          <xlrd:rvb i="14691"/>
        </ext>
      </extLst>
    </bk>
    <bk>
      <extLst>
        <ext uri="{3e2802c4-a4d2-4d8b-9148-e3be6c30e623}">
          <xlrd:rvb i="14692"/>
        </ext>
      </extLst>
    </bk>
    <bk>
      <extLst>
        <ext uri="{3e2802c4-a4d2-4d8b-9148-e3be6c30e623}">
          <xlrd:rvb i="14693"/>
        </ext>
      </extLst>
    </bk>
    <bk>
      <extLst>
        <ext uri="{3e2802c4-a4d2-4d8b-9148-e3be6c30e623}">
          <xlrd:rvb i="14694"/>
        </ext>
      </extLst>
    </bk>
    <bk>
      <extLst>
        <ext uri="{3e2802c4-a4d2-4d8b-9148-e3be6c30e623}">
          <xlrd:rvb i="14695"/>
        </ext>
      </extLst>
    </bk>
    <bk>
      <extLst>
        <ext uri="{3e2802c4-a4d2-4d8b-9148-e3be6c30e623}">
          <xlrd:rvb i="14696"/>
        </ext>
      </extLst>
    </bk>
    <bk>
      <extLst>
        <ext uri="{3e2802c4-a4d2-4d8b-9148-e3be6c30e623}">
          <xlrd:rvb i="14697"/>
        </ext>
      </extLst>
    </bk>
    <bk>
      <extLst>
        <ext uri="{3e2802c4-a4d2-4d8b-9148-e3be6c30e623}">
          <xlrd:rvb i="14698"/>
        </ext>
      </extLst>
    </bk>
    <bk>
      <extLst>
        <ext uri="{3e2802c4-a4d2-4d8b-9148-e3be6c30e623}">
          <xlrd:rvb i="14699"/>
        </ext>
      </extLst>
    </bk>
    <bk>
      <extLst>
        <ext uri="{3e2802c4-a4d2-4d8b-9148-e3be6c30e623}">
          <xlrd:rvb i="14700"/>
        </ext>
      </extLst>
    </bk>
    <bk>
      <extLst>
        <ext uri="{3e2802c4-a4d2-4d8b-9148-e3be6c30e623}">
          <xlrd:rvb i="14701"/>
        </ext>
      </extLst>
    </bk>
    <bk>
      <extLst>
        <ext uri="{3e2802c4-a4d2-4d8b-9148-e3be6c30e623}">
          <xlrd:rvb i="14702"/>
        </ext>
      </extLst>
    </bk>
    <bk>
      <extLst>
        <ext uri="{3e2802c4-a4d2-4d8b-9148-e3be6c30e623}">
          <xlrd:rvb i="14703"/>
        </ext>
      </extLst>
    </bk>
    <bk>
      <extLst>
        <ext uri="{3e2802c4-a4d2-4d8b-9148-e3be6c30e623}">
          <xlrd:rvb i="14704"/>
        </ext>
      </extLst>
    </bk>
    <bk>
      <extLst>
        <ext uri="{3e2802c4-a4d2-4d8b-9148-e3be6c30e623}">
          <xlrd:rvb i="14705"/>
        </ext>
      </extLst>
    </bk>
    <bk>
      <extLst>
        <ext uri="{3e2802c4-a4d2-4d8b-9148-e3be6c30e623}">
          <xlrd:rvb i="14706"/>
        </ext>
      </extLst>
    </bk>
    <bk>
      <extLst>
        <ext uri="{3e2802c4-a4d2-4d8b-9148-e3be6c30e623}">
          <xlrd:rvb i="14707"/>
        </ext>
      </extLst>
    </bk>
    <bk>
      <extLst>
        <ext uri="{3e2802c4-a4d2-4d8b-9148-e3be6c30e623}">
          <xlrd:rvb i="14708"/>
        </ext>
      </extLst>
    </bk>
    <bk>
      <extLst>
        <ext uri="{3e2802c4-a4d2-4d8b-9148-e3be6c30e623}">
          <xlrd:rvb i="14709"/>
        </ext>
      </extLst>
    </bk>
    <bk>
      <extLst>
        <ext uri="{3e2802c4-a4d2-4d8b-9148-e3be6c30e623}">
          <xlrd:rvb i="14710"/>
        </ext>
      </extLst>
    </bk>
    <bk>
      <extLst>
        <ext uri="{3e2802c4-a4d2-4d8b-9148-e3be6c30e623}">
          <xlrd:rvb i="14711"/>
        </ext>
      </extLst>
    </bk>
    <bk>
      <extLst>
        <ext uri="{3e2802c4-a4d2-4d8b-9148-e3be6c30e623}">
          <xlrd:rvb i="14712"/>
        </ext>
      </extLst>
    </bk>
    <bk>
      <extLst>
        <ext uri="{3e2802c4-a4d2-4d8b-9148-e3be6c30e623}">
          <xlrd:rvb i="14713"/>
        </ext>
      </extLst>
    </bk>
    <bk>
      <extLst>
        <ext uri="{3e2802c4-a4d2-4d8b-9148-e3be6c30e623}">
          <xlrd:rvb i="14714"/>
        </ext>
      </extLst>
    </bk>
    <bk>
      <extLst>
        <ext uri="{3e2802c4-a4d2-4d8b-9148-e3be6c30e623}">
          <xlrd:rvb i="14715"/>
        </ext>
      </extLst>
    </bk>
    <bk>
      <extLst>
        <ext uri="{3e2802c4-a4d2-4d8b-9148-e3be6c30e623}">
          <xlrd:rvb i="14716"/>
        </ext>
      </extLst>
    </bk>
    <bk>
      <extLst>
        <ext uri="{3e2802c4-a4d2-4d8b-9148-e3be6c30e623}">
          <xlrd:rvb i="14717"/>
        </ext>
      </extLst>
    </bk>
    <bk>
      <extLst>
        <ext uri="{3e2802c4-a4d2-4d8b-9148-e3be6c30e623}">
          <xlrd:rvb i="14718"/>
        </ext>
      </extLst>
    </bk>
    <bk>
      <extLst>
        <ext uri="{3e2802c4-a4d2-4d8b-9148-e3be6c30e623}">
          <xlrd:rvb i="14719"/>
        </ext>
      </extLst>
    </bk>
    <bk>
      <extLst>
        <ext uri="{3e2802c4-a4d2-4d8b-9148-e3be6c30e623}">
          <xlrd:rvb i="14720"/>
        </ext>
      </extLst>
    </bk>
    <bk>
      <extLst>
        <ext uri="{3e2802c4-a4d2-4d8b-9148-e3be6c30e623}">
          <xlrd:rvb i="14721"/>
        </ext>
      </extLst>
    </bk>
    <bk>
      <extLst>
        <ext uri="{3e2802c4-a4d2-4d8b-9148-e3be6c30e623}">
          <xlrd:rvb i="14722"/>
        </ext>
      </extLst>
    </bk>
    <bk>
      <extLst>
        <ext uri="{3e2802c4-a4d2-4d8b-9148-e3be6c30e623}">
          <xlrd:rvb i="14723"/>
        </ext>
      </extLst>
    </bk>
    <bk>
      <extLst>
        <ext uri="{3e2802c4-a4d2-4d8b-9148-e3be6c30e623}">
          <xlrd:rvb i="14724"/>
        </ext>
      </extLst>
    </bk>
    <bk>
      <extLst>
        <ext uri="{3e2802c4-a4d2-4d8b-9148-e3be6c30e623}">
          <xlrd:rvb i="14725"/>
        </ext>
      </extLst>
    </bk>
    <bk>
      <extLst>
        <ext uri="{3e2802c4-a4d2-4d8b-9148-e3be6c30e623}">
          <xlrd:rvb i="14726"/>
        </ext>
      </extLst>
    </bk>
    <bk>
      <extLst>
        <ext uri="{3e2802c4-a4d2-4d8b-9148-e3be6c30e623}">
          <xlrd:rvb i="14727"/>
        </ext>
      </extLst>
    </bk>
    <bk>
      <extLst>
        <ext uri="{3e2802c4-a4d2-4d8b-9148-e3be6c30e623}">
          <xlrd:rvb i="14728"/>
        </ext>
      </extLst>
    </bk>
    <bk>
      <extLst>
        <ext uri="{3e2802c4-a4d2-4d8b-9148-e3be6c30e623}">
          <xlrd:rvb i="14729"/>
        </ext>
      </extLst>
    </bk>
    <bk>
      <extLst>
        <ext uri="{3e2802c4-a4d2-4d8b-9148-e3be6c30e623}">
          <xlrd:rvb i="14730"/>
        </ext>
      </extLst>
    </bk>
    <bk>
      <extLst>
        <ext uri="{3e2802c4-a4d2-4d8b-9148-e3be6c30e623}">
          <xlrd:rvb i="14731"/>
        </ext>
      </extLst>
    </bk>
    <bk>
      <extLst>
        <ext uri="{3e2802c4-a4d2-4d8b-9148-e3be6c30e623}">
          <xlrd:rvb i="14732"/>
        </ext>
      </extLst>
    </bk>
    <bk>
      <extLst>
        <ext uri="{3e2802c4-a4d2-4d8b-9148-e3be6c30e623}">
          <xlrd:rvb i="14733"/>
        </ext>
      </extLst>
    </bk>
    <bk>
      <extLst>
        <ext uri="{3e2802c4-a4d2-4d8b-9148-e3be6c30e623}">
          <xlrd:rvb i="14734"/>
        </ext>
      </extLst>
    </bk>
    <bk>
      <extLst>
        <ext uri="{3e2802c4-a4d2-4d8b-9148-e3be6c30e623}">
          <xlrd:rvb i="14735"/>
        </ext>
      </extLst>
    </bk>
    <bk>
      <extLst>
        <ext uri="{3e2802c4-a4d2-4d8b-9148-e3be6c30e623}">
          <xlrd:rvb i="14736"/>
        </ext>
      </extLst>
    </bk>
    <bk>
      <extLst>
        <ext uri="{3e2802c4-a4d2-4d8b-9148-e3be6c30e623}">
          <xlrd:rvb i="14737"/>
        </ext>
      </extLst>
    </bk>
    <bk>
      <extLst>
        <ext uri="{3e2802c4-a4d2-4d8b-9148-e3be6c30e623}">
          <xlrd:rvb i="14738"/>
        </ext>
      </extLst>
    </bk>
    <bk>
      <extLst>
        <ext uri="{3e2802c4-a4d2-4d8b-9148-e3be6c30e623}">
          <xlrd:rvb i="14739"/>
        </ext>
      </extLst>
    </bk>
    <bk>
      <extLst>
        <ext uri="{3e2802c4-a4d2-4d8b-9148-e3be6c30e623}">
          <xlrd:rvb i="14740"/>
        </ext>
      </extLst>
    </bk>
    <bk>
      <extLst>
        <ext uri="{3e2802c4-a4d2-4d8b-9148-e3be6c30e623}">
          <xlrd:rvb i="14741"/>
        </ext>
      </extLst>
    </bk>
    <bk>
      <extLst>
        <ext uri="{3e2802c4-a4d2-4d8b-9148-e3be6c30e623}">
          <xlrd:rvb i="14742"/>
        </ext>
      </extLst>
    </bk>
    <bk>
      <extLst>
        <ext uri="{3e2802c4-a4d2-4d8b-9148-e3be6c30e623}">
          <xlrd:rvb i="14743"/>
        </ext>
      </extLst>
    </bk>
    <bk>
      <extLst>
        <ext uri="{3e2802c4-a4d2-4d8b-9148-e3be6c30e623}">
          <xlrd:rvb i="14744"/>
        </ext>
      </extLst>
    </bk>
    <bk>
      <extLst>
        <ext uri="{3e2802c4-a4d2-4d8b-9148-e3be6c30e623}">
          <xlrd:rvb i="14745"/>
        </ext>
      </extLst>
    </bk>
    <bk>
      <extLst>
        <ext uri="{3e2802c4-a4d2-4d8b-9148-e3be6c30e623}">
          <xlrd:rvb i="14746"/>
        </ext>
      </extLst>
    </bk>
    <bk>
      <extLst>
        <ext uri="{3e2802c4-a4d2-4d8b-9148-e3be6c30e623}">
          <xlrd:rvb i="14747"/>
        </ext>
      </extLst>
    </bk>
    <bk>
      <extLst>
        <ext uri="{3e2802c4-a4d2-4d8b-9148-e3be6c30e623}">
          <xlrd:rvb i="14748"/>
        </ext>
      </extLst>
    </bk>
    <bk>
      <extLst>
        <ext uri="{3e2802c4-a4d2-4d8b-9148-e3be6c30e623}">
          <xlrd:rvb i="14749"/>
        </ext>
      </extLst>
    </bk>
    <bk>
      <extLst>
        <ext uri="{3e2802c4-a4d2-4d8b-9148-e3be6c30e623}">
          <xlrd:rvb i="14750"/>
        </ext>
      </extLst>
    </bk>
    <bk>
      <extLst>
        <ext uri="{3e2802c4-a4d2-4d8b-9148-e3be6c30e623}">
          <xlrd:rvb i="14751"/>
        </ext>
      </extLst>
    </bk>
    <bk>
      <extLst>
        <ext uri="{3e2802c4-a4d2-4d8b-9148-e3be6c30e623}">
          <xlrd:rvb i="14752"/>
        </ext>
      </extLst>
    </bk>
    <bk>
      <extLst>
        <ext uri="{3e2802c4-a4d2-4d8b-9148-e3be6c30e623}">
          <xlrd:rvb i="14753"/>
        </ext>
      </extLst>
    </bk>
    <bk>
      <extLst>
        <ext uri="{3e2802c4-a4d2-4d8b-9148-e3be6c30e623}">
          <xlrd:rvb i="14754"/>
        </ext>
      </extLst>
    </bk>
    <bk>
      <extLst>
        <ext uri="{3e2802c4-a4d2-4d8b-9148-e3be6c30e623}">
          <xlrd:rvb i="14755"/>
        </ext>
      </extLst>
    </bk>
    <bk>
      <extLst>
        <ext uri="{3e2802c4-a4d2-4d8b-9148-e3be6c30e623}">
          <xlrd:rvb i="14756"/>
        </ext>
      </extLst>
    </bk>
    <bk>
      <extLst>
        <ext uri="{3e2802c4-a4d2-4d8b-9148-e3be6c30e623}">
          <xlrd:rvb i="14757"/>
        </ext>
      </extLst>
    </bk>
    <bk>
      <extLst>
        <ext uri="{3e2802c4-a4d2-4d8b-9148-e3be6c30e623}">
          <xlrd:rvb i="14758"/>
        </ext>
      </extLst>
    </bk>
    <bk>
      <extLst>
        <ext uri="{3e2802c4-a4d2-4d8b-9148-e3be6c30e623}">
          <xlrd:rvb i="14759"/>
        </ext>
      </extLst>
    </bk>
    <bk>
      <extLst>
        <ext uri="{3e2802c4-a4d2-4d8b-9148-e3be6c30e623}">
          <xlrd:rvb i="14760"/>
        </ext>
      </extLst>
    </bk>
    <bk>
      <extLst>
        <ext uri="{3e2802c4-a4d2-4d8b-9148-e3be6c30e623}">
          <xlrd:rvb i="14761"/>
        </ext>
      </extLst>
    </bk>
    <bk>
      <extLst>
        <ext uri="{3e2802c4-a4d2-4d8b-9148-e3be6c30e623}">
          <xlrd:rvb i="14762"/>
        </ext>
      </extLst>
    </bk>
    <bk>
      <extLst>
        <ext uri="{3e2802c4-a4d2-4d8b-9148-e3be6c30e623}">
          <xlrd:rvb i="14763"/>
        </ext>
      </extLst>
    </bk>
    <bk>
      <extLst>
        <ext uri="{3e2802c4-a4d2-4d8b-9148-e3be6c30e623}">
          <xlrd:rvb i="14764"/>
        </ext>
      </extLst>
    </bk>
    <bk>
      <extLst>
        <ext uri="{3e2802c4-a4d2-4d8b-9148-e3be6c30e623}">
          <xlrd:rvb i="14765"/>
        </ext>
      </extLst>
    </bk>
    <bk>
      <extLst>
        <ext uri="{3e2802c4-a4d2-4d8b-9148-e3be6c30e623}">
          <xlrd:rvb i="14766"/>
        </ext>
      </extLst>
    </bk>
    <bk>
      <extLst>
        <ext uri="{3e2802c4-a4d2-4d8b-9148-e3be6c30e623}">
          <xlrd:rvb i="14767"/>
        </ext>
      </extLst>
    </bk>
    <bk>
      <extLst>
        <ext uri="{3e2802c4-a4d2-4d8b-9148-e3be6c30e623}">
          <xlrd:rvb i="14768"/>
        </ext>
      </extLst>
    </bk>
    <bk>
      <extLst>
        <ext uri="{3e2802c4-a4d2-4d8b-9148-e3be6c30e623}">
          <xlrd:rvb i="14769"/>
        </ext>
      </extLst>
    </bk>
    <bk>
      <extLst>
        <ext uri="{3e2802c4-a4d2-4d8b-9148-e3be6c30e623}">
          <xlrd:rvb i="14770"/>
        </ext>
      </extLst>
    </bk>
    <bk>
      <extLst>
        <ext uri="{3e2802c4-a4d2-4d8b-9148-e3be6c30e623}">
          <xlrd:rvb i="14771"/>
        </ext>
      </extLst>
    </bk>
    <bk>
      <extLst>
        <ext uri="{3e2802c4-a4d2-4d8b-9148-e3be6c30e623}">
          <xlrd:rvb i="14772"/>
        </ext>
      </extLst>
    </bk>
    <bk>
      <extLst>
        <ext uri="{3e2802c4-a4d2-4d8b-9148-e3be6c30e623}">
          <xlrd:rvb i="14773"/>
        </ext>
      </extLst>
    </bk>
    <bk>
      <extLst>
        <ext uri="{3e2802c4-a4d2-4d8b-9148-e3be6c30e623}">
          <xlrd:rvb i="14774"/>
        </ext>
      </extLst>
    </bk>
    <bk>
      <extLst>
        <ext uri="{3e2802c4-a4d2-4d8b-9148-e3be6c30e623}">
          <xlrd:rvb i="14775"/>
        </ext>
      </extLst>
    </bk>
    <bk>
      <extLst>
        <ext uri="{3e2802c4-a4d2-4d8b-9148-e3be6c30e623}">
          <xlrd:rvb i="14776"/>
        </ext>
      </extLst>
    </bk>
    <bk>
      <extLst>
        <ext uri="{3e2802c4-a4d2-4d8b-9148-e3be6c30e623}">
          <xlrd:rvb i="14777"/>
        </ext>
      </extLst>
    </bk>
    <bk>
      <extLst>
        <ext uri="{3e2802c4-a4d2-4d8b-9148-e3be6c30e623}">
          <xlrd:rvb i="14778"/>
        </ext>
      </extLst>
    </bk>
    <bk>
      <extLst>
        <ext uri="{3e2802c4-a4d2-4d8b-9148-e3be6c30e623}">
          <xlrd:rvb i="14779"/>
        </ext>
      </extLst>
    </bk>
    <bk>
      <extLst>
        <ext uri="{3e2802c4-a4d2-4d8b-9148-e3be6c30e623}">
          <xlrd:rvb i="14780"/>
        </ext>
      </extLst>
    </bk>
    <bk>
      <extLst>
        <ext uri="{3e2802c4-a4d2-4d8b-9148-e3be6c30e623}">
          <xlrd:rvb i="14781"/>
        </ext>
      </extLst>
    </bk>
    <bk>
      <extLst>
        <ext uri="{3e2802c4-a4d2-4d8b-9148-e3be6c30e623}">
          <xlrd:rvb i="14782"/>
        </ext>
      </extLst>
    </bk>
    <bk>
      <extLst>
        <ext uri="{3e2802c4-a4d2-4d8b-9148-e3be6c30e623}">
          <xlrd:rvb i="14783"/>
        </ext>
      </extLst>
    </bk>
    <bk>
      <extLst>
        <ext uri="{3e2802c4-a4d2-4d8b-9148-e3be6c30e623}">
          <xlrd:rvb i="14784"/>
        </ext>
      </extLst>
    </bk>
    <bk>
      <extLst>
        <ext uri="{3e2802c4-a4d2-4d8b-9148-e3be6c30e623}">
          <xlrd:rvb i="14785"/>
        </ext>
      </extLst>
    </bk>
    <bk>
      <extLst>
        <ext uri="{3e2802c4-a4d2-4d8b-9148-e3be6c30e623}">
          <xlrd:rvb i="14786"/>
        </ext>
      </extLst>
    </bk>
    <bk>
      <extLst>
        <ext uri="{3e2802c4-a4d2-4d8b-9148-e3be6c30e623}">
          <xlrd:rvb i="14787"/>
        </ext>
      </extLst>
    </bk>
    <bk>
      <extLst>
        <ext uri="{3e2802c4-a4d2-4d8b-9148-e3be6c30e623}">
          <xlrd:rvb i="14788"/>
        </ext>
      </extLst>
    </bk>
    <bk>
      <extLst>
        <ext uri="{3e2802c4-a4d2-4d8b-9148-e3be6c30e623}">
          <xlrd:rvb i="14789"/>
        </ext>
      </extLst>
    </bk>
    <bk>
      <extLst>
        <ext uri="{3e2802c4-a4d2-4d8b-9148-e3be6c30e623}">
          <xlrd:rvb i="14790"/>
        </ext>
      </extLst>
    </bk>
    <bk>
      <extLst>
        <ext uri="{3e2802c4-a4d2-4d8b-9148-e3be6c30e623}">
          <xlrd:rvb i="14791"/>
        </ext>
      </extLst>
    </bk>
    <bk>
      <extLst>
        <ext uri="{3e2802c4-a4d2-4d8b-9148-e3be6c30e623}">
          <xlrd:rvb i="14792"/>
        </ext>
      </extLst>
    </bk>
    <bk>
      <extLst>
        <ext uri="{3e2802c4-a4d2-4d8b-9148-e3be6c30e623}">
          <xlrd:rvb i="14793"/>
        </ext>
      </extLst>
    </bk>
    <bk>
      <extLst>
        <ext uri="{3e2802c4-a4d2-4d8b-9148-e3be6c30e623}">
          <xlrd:rvb i="14794"/>
        </ext>
      </extLst>
    </bk>
    <bk>
      <extLst>
        <ext uri="{3e2802c4-a4d2-4d8b-9148-e3be6c30e623}">
          <xlrd:rvb i="14795"/>
        </ext>
      </extLst>
    </bk>
    <bk>
      <extLst>
        <ext uri="{3e2802c4-a4d2-4d8b-9148-e3be6c30e623}">
          <xlrd:rvb i="14796"/>
        </ext>
      </extLst>
    </bk>
    <bk>
      <extLst>
        <ext uri="{3e2802c4-a4d2-4d8b-9148-e3be6c30e623}">
          <xlrd:rvb i="14797"/>
        </ext>
      </extLst>
    </bk>
    <bk>
      <extLst>
        <ext uri="{3e2802c4-a4d2-4d8b-9148-e3be6c30e623}">
          <xlrd:rvb i="14798"/>
        </ext>
      </extLst>
    </bk>
    <bk>
      <extLst>
        <ext uri="{3e2802c4-a4d2-4d8b-9148-e3be6c30e623}">
          <xlrd:rvb i="14799"/>
        </ext>
      </extLst>
    </bk>
    <bk>
      <extLst>
        <ext uri="{3e2802c4-a4d2-4d8b-9148-e3be6c30e623}">
          <xlrd:rvb i="14800"/>
        </ext>
      </extLst>
    </bk>
    <bk>
      <extLst>
        <ext uri="{3e2802c4-a4d2-4d8b-9148-e3be6c30e623}">
          <xlrd:rvb i="14801"/>
        </ext>
      </extLst>
    </bk>
    <bk>
      <extLst>
        <ext uri="{3e2802c4-a4d2-4d8b-9148-e3be6c30e623}">
          <xlrd:rvb i="14802"/>
        </ext>
      </extLst>
    </bk>
    <bk>
      <extLst>
        <ext uri="{3e2802c4-a4d2-4d8b-9148-e3be6c30e623}">
          <xlrd:rvb i="14803"/>
        </ext>
      </extLst>
    </bk>
    <bk>
      <extLst>
        <ext uri="{3e2802c4-a4d2-4d8b-9148-e3be6c30e623}">
          <xlrd:rvb i="14804"/>
        </ext>
      </extLst>
    </bk>
    <bk>
      <extLst>
        <ext uri="{3e2802c4-a4d2-4d8b-9148-e3be6c30e623}">
          <xlrd:rvb i="14805"/>
        </ext>
      </extLst>
    </bk>
    <bk>
      <extLst>
        <ext uri="{3e2802c4-a4d2-4d8b-9148-e3be6c30e623}">
          <xlrd:rvb i="14806"/>
        </ext>
      </extLst>
    </bk>
    <bk>
      <extLst>
        <ext uri="{3e2802c4-a4d2-4d8b-9148-e3be6c30e623}">
          <xlrd:rvb i="14807"/>
        </ext>
      </extLst>
    </bk>
    <bk>
      <extLst>
        <ext uri="{3e2802c4-a4d2-4d8b-9148-e3be6c30e623}">
          <xlrd:rvb i="14808"/>
        </ext>
      </extLst>
    </bk>
    <bk>
      <extLst>
        <ext uri="{3e2802c4-a4d2-4d8b-9148-e3be6c30e623}">
          <xlrd:rvb i="14809"/>
        </ext>
      </extLst>
    </bk>
    <bk>
      <extLst>
        <ext uri="{3e2802c4-a4d2-4d8b-9148-e3be6c30e623}">
          <xlrd:rvb i="14810"/>
        </ext>
      </extLst>
    </bk>
    <bk>
      <extLst>
        <ext uri="{3e2802c4-a4d2-4d8b-9148-e3be6c30e623}">
          <xlrd:rvb i="14811"/>
        </ext>
      </extLst>
    </bk>
    <bk>
      <extLst>
        <ext uri="{3e2802c4-a4d2-4d8b-9148-e3be6c30e623}">
          <xlrd:rvb i="14812"/>
        </ext>
      </extLst>
    </bk>
    <bk>
      <extLst>
        <ext uri="{3e2802c4-a4d2-4d8b-9148-e3be6c30e623}">
          <xlrd:rvb i="14813"/>
        </ext>
      </extLst>
    </bk>
    <bk>
      <extLst>
        <ext uri="{3e2802c4-a4d2-4d8b-9148-e3be6c30e623}">
          <xlrd:rvb i="14814"/>
        </ext>
      </extLst>
    </bk>
    <bk>
      <extLst>
        <ext uri="{3e2802c4-a4d2-4d8b-9148-e3be6c30e623}">
          <xlrd:rvb i="14815"/>
        </ext>
      </extLst>
    </bk>
    <bk>
      <extLst>
        <ext uri="{3e2802c4-a4d2-4d8b-9148-e3be6c30e623}">
          <xlrd:rvb i="14816"/>
        </ext>
      </extLst>
    </bk>
    <bk>
      <extLst>
        <ext uri="{3e2802c4-a4d2-4d8b-9148-e3be6c30e623}">
          <xlrd:rvb i="14817"/>
        </ext>
      </extLst>
    </bk>
    <bk>
      <extLst>
        <ext uri="{3e2802c4-a4d2-4d8b-9148-e3be6c30e623}">
          <xlrd:rvb i="14818"/>
        </ext>
      </extLst>
    </bk>
    <bk>
      <extLst>
        <ext uri="{3e2802c4-a4d2-4d8b-9148-e3be6c30e623}">
          <xlrd:rvb i="14819"/>
        </ext>
      </extLst>
    </bk>
    <bk>
      <extLst>
        <ext uri="{3e2802c4-a4d2-4d8b-9148-e3be6c30e623}">
          <xlrd:rvb i="14820"/>
        </ext>
      </extLst>
    </bk>
    <bk>
      <extLst>
        <ext uri="{3e2802c4-a4d2-4d8b-9148-e3be6c30e623}">
          <xlrd:rvb i="14821"/>
        </ext>
      </extLst>
    </bk>
    <bk>
      <extLst>
        <ext uri="{3e2802c4-a4d2-4d8b-9148-e3be6c30e623}">
          <xlrd:rvb i="14822"/>
        </ext>
      </extLst>
    </bk>
    <bk>
      <extLst>
        <ext uri="{3e2802c4-a4d2-4d8b-9148-e3be6c30e623}">
          <xlrd:rvb i="14823"/>
        </ext>
      </extLst>
    </bk>
    <bk>
      <extLst>
        <ext uri="{3e2802c4-a4d2-4d8b-9148-e3be6c30e623}">
          <xlrd:rvb i="14824"/>
        </ext>
      </extLst>
    </bk>
    <bk>
      <extLst>
        <ext uri="{3e2802c4-a4d2-4d8b-9148-e3be6c30e623}">
          <xlrd:rvb i="14825"/>
        </ext>
      </extLst>
    </bk>
    <bk>
      <extLst>
        <ext uri="{3e2802c4-a4d2-4d8b-9148-e3be6c30e623}">
          <xlrd:rvb i="14826"/>
        </ext>
      </extLst>
    </bk>
    <bk>
      <extLst>
        <ext uri="{3e2802c4-a4d2-4d8b-9148-e3be6c30e623}">
          <xlrd:rvb i="14827"/>
        </ext>
      </extLst>
    </bk>
    <bk>
      <extLst>
        <ext uri="{3e2802c4-a4d2-4d8b-9148-e3be6c30e623}">
          <xlrd:rvb i="14828"/>
        </ext>
      </extLst>
    </bk>
    <bk>
      <extLst>
        <ext uri="{3e2802c4-a4d2-4d8b-9148-e3be6c30e623}">
          <xlrd:rvb i="14829"/>
        </ext>
      </extLst>
    </bk>
    <bk>
      <extLst>
        <ext uri="{3e2802c4-a4d2-4d8b-9148-e3be6c30e623}">
          <xlrd:rvb i="14830"/>
        </ext>
      </extLst>
    </bk>
    <bk>
      <extLst>
        <ext uri="{3e2802c4-a4d2-4d8b-9148-e3be6c30e623}">
          <xlrd:rvb i="14831"/>
        </ext>
      </extLst>
    </bk>
    <bk>
      <extLst>
        <ext uri="{3e2802c4-a4d2-4d8b-9148-e3be6c30e623}">
          <xlrd:rvb i="14832"/>
        </ext>
      </extLst>
    </bk>
    <bk>
      <extLst>
        <ext uri="{3e2802c4-a4d2-4d8b-9148-e3be6c30e623}">
          <xlrd:rvb i="14833"/>
        </ext>
      </extLst>
    </bk>
    <bk>
      <extLst>
        <ext uri="{3e2802c4-a4d2-4d8b-9148-e3be6c30e623}">
          <xlrd:rvb i="14834"/>
        </ext>
      </extLst>
    </bk>
    <bk>
      <extLst>
        <ext uri="{3e2802c4-a4d2-4d8b-9148-e3be6c30e623}">
          <xlrd:rvb i="14835"/>
        </ext>
      </extLst>
    </bk>
    <bk>
      <extLst>
        <ext uri="{3e2802c4-a4d2-4d8b-9148-e3be6c30e623}">
          <xlrd:rvb i="14836"/>
        </ext>
      </extLst>
    </bk>
    <bk>
      <extLst>
        <ext uri="{3e2802c4-a4d2-4d8b-9148-e3be6c30e623}">
          <xlrd:rvb i="14837"/>
        </ext>
      </extLst>
    </bk>
    <bk>
      <extLst>
        <ext uri="{3e2802c4-a4d2-4d8b-9148-e3be6c30e623}">
          <xlrd:rvb i="14838"/>
        </ext>
      </extLst>
    </bk>
    <bk>
      <extLst>
        <ext uri="{3e2802c4-a4d2-4d8b-9148-e3be6c30e623}">
          <xlrd:rvb i="14839"/>
        </ext>
      </extLst>
    </bk>
    <bk>
      <extLst>
        <ext uri="{3e2802c4-a4d2-4d8b-9148-e3be6c30e623}">
          <xlrd:rvb i="14840"/>
        </ext>
      </extLst>
    </bk>
    <bk>
      <extLst>
        <ext uri="{3e2802c4-a4d2-4d8b-9148-e3be6c30e623}">
          <xlrd:rvb i="14841"/>
        </ext>
      </extLst>
    </bk>
    <bk>
      <extLst>
        <ext uri="{3e2802c4-a4d2-4d8b-9148-e3be6c30e623}">
          <xlrd:rvb i="14842"/>
        </ext>
      </extLst>
    </bk>
    <bk>
      <extLst>
        <ext uri="{3e2802c4-a4d2-4d8b-9148-e3be6c30e623}">
          <xlrd:rvb i="14843"/>
        </ext>
      </extLst>
    </bk>
    <bk>
      <extLst>
        <ext uri="{3e2802c4-a4d2-4d8b-9148-e3be6c30e623}">
          <xlrd:rvb i="14844"/>
        </ext>
      </extLst>
    </bk>
    <bk>
      <extLst>
        <ext uri="{3e2802c4-a4d2-4d8b-9148-e3be6c30e623}">
          <xlrd:rvb i="14845"/>
        </ext>
      </extLst>
    </bk>
    <bk>
      <extLst>
        <ext uri="{3e2802c4-a4d2-4d8b-9148-e3be6c30e623}">
          <xlrd:rvb i="14846"/>
        </ext>
      </extLst>
    </bk>
    <bk>
      <extLst>
        <ext uri="{3e2802c4-a4d2-4d8b-9148-e3be6c30e623}">
          <xlrd:rvb i="14847"/>
        </ext>
      </extLst>
    </bk>
    <bk>
      <extLst>
        <ext uri="{3e2802c4-a4d2-4d8b-9148-e3be6c30e623}">
          <xlrd:rvb i="14848"/>
        </ext>
      </extLst>
    </bk>
    <bk>
      <extLst>
        <ext uri="{3e2802c4-a4d2-4d8b-9148-e3be6c30e623}">
          <xlrd:rvb i="14849"/>
        </ext>
      </extLst>
    </bk>
    <bk>
      <extLst>
        <ext uri="{3e2802c4-a4d2-4d8b-9148-e3be6c30e623}">
          <xlrd:rvb i="14850"/>
        </ext>
      </extLst>
    </bk>
    <bk>
      <extLst>
        <ext uri="{3e2802c4-a4d2-4d8b-9148-e3be6c30e623}">
          <xlrd:rvb i="14851"/>
        </ext>
      </extLst>
    </bk>
    <bk>
      <extLst>
        <ext uri="{3e2802c4-a4d2-4d8b-9148-e3be6c30e623}">
          <xlrd:rvb i="14852"/>
        </ext>
      </extLst>
    </bk>
    <bk>
      <extLst>
        <ext uri="{3e2802c4-a4d2-4d8b-9148-e3be6c30e623}">
          <xlrd:rvb i="14853"/>
        </ext>
      </extLst>
    </bk>
    <bk>
      <extLst>
        <ext uri="{3e2802c4-a4d2-4d8b-9148-e3be6c30e623}">
          <xlrd:rvb i="14854"/>
        </ext>
      </extLst>
    </bk>
    <bk>
      <extLst>
        <ext uri="{3e2802c4-a4d2-4d8b-9148-e3be6c30e623}">
          <xlrd:rvb i="14855"/>
        </ext>
      </extLst>
    </bk>
    <bk>
      <extLst>
        <ext uri="{3e2802c4-a4d2-4d8b-9148-e3be6c30e623}">
          <xlrd:rvb i="14856"/>
        </ext>
      </extLst>
    </bk>
    <bk>
      <extLst>
        <ext uri="{3e2802c4-a4d2-4d8b-9148-e3be6c30e623}">
          <xlrd:rvb i="14857"/>
        </ext>
      </extLst>
    </bk>
    <bk>
      <extLst>
        <ext uri="{3e2802c4-a4d2-4d8b-9148-e3be6c30e623}">
          <xlrd:rvb i="14858"/>
        </ext>
      </extLst>
    </bk>
    <bk>
      <extLst>
        <ext uri="{3e2802c4-a4d2-4d8b-9148-e3be6c30e623}">
          <xlrd:rvb i="14859"/>
        </ext>
      </extLst>
    </bk>
    <bk>
      <extLst>
        <ext uri="{3e2802c4-a4d2-4d8b-9148-e3be6c30e623}">
          <xlrd:rvb i="14860"/>
        </ext>
      </extLst>
    </bk>
    <bk>
      <extLst>
        <ext uri="{3e2802c4-a4d2-4d8b-9148-e3be6c30e623}">
          <xlrd:rvb i="14861"/>
        </ext>
      </extLst>
    </bk>
    <bk>
      <extLst>
        <ext uri="{3e2802c4-a4d2-4d8b-9148-e3be6c30e623}">
          <xlrd:rvb i="14862"/>
        </ext>
      </extLst>
    </bk>
    <bk>
      <extLst>
        <ext uri="{3e2802c4-a4d2-4d8b-9148-e3be6c30e623}">
          <xlrd:rvb i="14863"/>
        </ext>
      </extLst>
    </bk>
    <bk>
      <extLst>
        <ext uri="{3e2802c4-a4d2-4d8b-9148-e3be6c30e623}">
          <xlrd:rvb i="14864"/>
        </ext>
      </extLst>
    </bk>
    <bk>
      <extLst>
        <ext uri="{3e2802c4-a4d2-4d8b-9148-e3be6c30e623}">
          <xlrd:rvb i="14865"/>
        </ext>
      </extLst>
    </bk>
    <bk>
      <extLst>
        <ext uri="{3e2802c4-a4d2-4d8b-9148-e3be6c30e623}">
          <xlrd:rvb i="14866"/>
        </ext>
      </extLst>
    </bk>
    <bk>
      <extLst>
        <ext uri="{3e2802c4-a4d2-4d8b-9148-e3be6c30e623}">
          <xlrd:rvb i="14867"/>
        </ext>
      </extLst>
    </bk>
    <bk>
      <extLst>
        <ext uri="{3e2802c4-a4d2-4d8b-9148-e3be6c30e623}">
          <xlrd:rvb i="14868"/>
        </ext>
      </extLst>
    </bk>
    <bk>
      <extLst>
        <ext uri="{3e2802c4-a4d2-4d8b-9148-e3be6c30e623}">
          <xlrd:rvb i="14869"/>
        </ext>
      </extLst>
    </bk>
    <bk>
      <extLst>
        <ext uri="{3e2802c4-a4d2-4d8b-9148-e3be6c30e623}">
          <xlrd:rvb i="14870"/>
        </ext>
      </extLst>
    </bk>
    <bk>
      <extLst>
        <ext uri="{3e2802c4-a4d2-4d8b-9148-e3be6c30e623}">
          <xlrd:rvb i="14871"/>
        </ext>
      </extLst>
    </bk>
    <bk>
      <extLst>
        <ext uri="{3e2802c4-a4d2-4d8b-9148-e3be6c30e623}">
          <xlrd:rvb i="14872"/>
        </ext>
      </extLst>
    </bk>
    <bk>
      <extLst>
        <ext uri="{3e2802c4-a4d2-4d8b-9148-e3be6c30e623}">
          <xlrd:rvb i="14873"/>
        </ext>
      </extLst>
    </bk>
    <bk>
      <extLst>
        <ext uri="{3e2802c4-a4d2-4d8b-9148-e3be6c30e623}">
          <xlrd:rvb i="14874"/>
        </ext>
      </extLst>
    </bk>
    <bk>
      <extLst>
        <ext uri="{3e2802c4-a4d2-4d8b-9148-e3be6c30e623}">
          <xlrd:rvb i="14875"/>
        </ext>
      </extLst>
    </bk>
    <bk>
      <extLst>
        <ext uri="{3e2802c4-a4d2-4d8b-9148-e3be6c30e623}">
          <xlrd:rvb i="14876"/>
        </ext>
      </extLst>
    </bk>
    <bk>
      <extLst>
        <ext uri="{3e2802c4-a4d2-4d8b-9148-e3be6c30e623}">
          <xlrd:rvb i="14877"/>
        </ext>
      </extLst>
    </bk>
    <bk>
      <extLst>
        <ext uri="{3e2802c4-a4d2-4d8b-9148-e3be6c30e623}">
          <xlrd:rvb i="14878"/>
        </ext>
      </extLst>
    </bk>
    <bk>
      <extLst>
        <ext uri="{3e2802c4-a4d2-4d8b-9148-e3be6c30e623}">
          <xlrd:rvb i="14879"/>
        </ext>
      </extLst>
    </bk>
    <bk>
      <extLst>
        <ext uri="{3e2802c4-a4d2-4d8b-9148-e3be6c30e623}">
          <xlrd:rvb i="14880"/>
        </ext>
      </extLst>
    </bk>
    <bk>
      <extLst>
        <ext uri="{3e2802c4-a4d2-4d8b-9148-e3be6c30e623}">
          <xlrd:rvb i="14881"/>
        </ext>
      </extLst>
    </bk>
    <bk>
      <extLst>
        <ext uri="{3e2802c4-a4d2-4d8b-9148-e3be6c30e623}">
          <xlrd:rvb i="14882"/>
        </ext>
      </extLst>
    </bk>
    <bk>
      <extLst>
        <ext uri="{3e2802c4-a4d2-4d8b-9148-e3be6c30e623}">
          <xlrd:rvb i="14883"/>
        </ext>
      </extLst>
    </bk>
    <bk>
      <extLst>
        <ext uri="{3e2802c4-a4d2-4d8b-9148-e3be6c30e623}">
          <xlrd:rvb i="14884"/>
        </ext>
      </extLst>
    </bk>
    <bk>
      <extLst>
        <ext uri="{3e2802c4-a4d2-4d8b-9148-e3be6c30e623}">
          <xlrd:rvb i="14885"/>
        </ext>
      </extLst>
    </bk>
    <bk>
      <extLst>
        <ext uri="{3e2802c4-a4d2-4d8b-9148-e3be6c30e623}">
          <xlrd:rvb i="14886"/>
        </ext>
      </extLst>
    </bk>
    <bk>
      <extLst>
        <ext uri="{3e2802c4-a4d2-4d8b-9148-e3be6c30e623}">
          <xlrd:rvb i="14887"/>
        </ext>
      </extLst>
    </bk>
    <bk>
      <extLst>
        <ext uri="{3e2802c4-a4d2-4d8b-9148-e3be6c30e623}">
          <xlrd:rvb i="14888"/>
        </ext>
      </extLst>
    </bk>
    <bk>
      <extLst>
        <ext uri="{3e2802c4-a4d2-4d8b-9148-e3be6c30e623}">
          <xlrd:rvb i="14889"/>
        </ext>
      </extLst>
    </bk>
    <bk>
      <extLst>
        <ext uri="{3e2802c4-a4d2-4d8b-9148-e3be6c30e623}">
          <xlrd:rvb i="14890"/>
        </ext>
      </extLst>
    </bk>
    <bk>
      <extLst>
        <ext uri="{3e2802c4-a4d2-4d8b-9148-e3be6c30e623}">
          <xlrd:rvb i="14891"/>
        </ext>
      </extLst>
    </bk>
    <bk>
      <extLst>
        <ext uri="{3e2802c4-a4d2-4d8b-9148-e3be6c30e623}">
          <xlrd:rvb i="14892"/>
        </ext>
      </extLst>
    </bk>
    <bk>
      <extLst>
        <ext uri="{3e2802c4-a4d2-4d8b-9148-e3be6c30e623}">
          <xlrd:rvb i="14893"/>
        </ext>
      </extLst>
    </bk>
    <bk>
      <extLst>
        <ext uri="{3e2802c4-a4d2-4d8b-9148-e3be6c30e623}">
          <xlrd:rvb i="14894"/>
        </ext>
      </extLst>
    </bk>
    <bk>
      <extLst>
        <ext uri="{3e2802c4-a4d2-4d8b-9148-e3be6c30e623}">
          <xlrd:rvb i="14895"/>
        </ext>
      </extLst>
    </bk>
    <bk>
      <extLst>
        <ext uri="{3e2802c4-a4d2-4d8b-9148-e3be6c30e623}">
          <xlrd:rvb i="14896"/>
        </ext>
      </extLst>
    </bk>
    <bk>
      <extLst>
        <ext uri="{3e2802c4-a4d2-4d8b-9148-e3be6c30e623}">
          <xlrd:rvb i="14897"/>
        </ext>
      </extLst>
    </bk>
    <bk>
      <extLst>
        <ext uri="{3e2802c4-a4d2-4d8b-9148-e3be6c30e623}">
          <xlrd:rvb i="14898"/>
        </ext>
      </extLst>
    </bk>
    <bk>
      <extLst>
        <ext uri="{3e2802c4-a4d2-4d8b-9148-e3be6c30e623}">
          <xlrd:rvb i="14899"/>
        </ext>
      </extLst>
    </bk>
    <bk>
      <extLst>
        <ext uri="{3e2802c4-a4d2-4d8b-9148-e3be6c30e623}">
          <xlrd:rvb i="14900"/>
        </ext>
      </extLst>
    </bk>
    <bk>
      <extLst>
        <ext uri="{3e2802c4-a4d2-4d8b-9148-e3be6c30e623}">
          <xlrd:rvb i="14901"/>
        </ext>
      </extLst>
    </bk>
    <bk>
      <extLst>
        <ext uri="{3e2802c4-a4d2-4d8b-9148-e3be6c30e623}">
          <xlrd:rvb i="14902"/>
        </ext>
      </extLst>
    </bk>
    <bk>
      <extLst>
        <ext uri="{3e2802c4-a4d2-4d8b-9148-e3be6c30e623}">
          <xlrd:rvb i="14903"/>
        </ext>
      </extLst>
    </bk>
    <bk>
      <extLst>
        <ext uri="{3e2802c4-a4d2-4d8b-9148-e3be6c30e623}">
          <xlrd:rvb i="14904"/>
        </ext>
      </extLst>
    </bk>
    <bk>
      <extLst>
        <ext uri="{3e2802c4-a4d2-4d8b-9148-e3be6c30e623}">
          <xlrd:rvb i="14905"/>
        </ext>
      </extLst>
    </bk>
    <bk>
      <extLst>
        <ext uri="{3e2802c4-a4d2-4d8b-9148-e3be6c30e623}">
          <xlrd:rvb i="14906"/>
        </ext>
      </extLst>
    </bk>
    <bk>
      <extLst>
        <ext uri="{3e2802c4-a4d2-4d8b-9148-e3be6c30e623}">
          <xlrd:rvb i="14907"/>
        </ext>
      </extLst>
    </bk>
    <bk>
      <extLst>
        <ext uri="{3e2802c4-a4d2-4d8b-9148-e3be6c30e623}">
          <xlrd:rvb i="14908"/>
        </ext>
      </extLst>
    </bk>
    <bk>
      <extLst>
        <ext uri="{3e2802c4-a4d2-4d8b-9148-e3be6c30e623}">
          <xlrd:rvb i="14909"/>
        </ext>
      </extLst>
    </bk>
    <bk>
      <extLst>
        <ext uri="{3e2802c4-a4d2-4d8b-9148-e3be6c30e623}">
          <xlrd:rvb i="14910"/>
        </ext>
      </extLst>
    </bk>
    <bk>
      <extLst>
        <ext uri="{3e2802c4-a4d2-4d8b-9148-e3be6c30e623}">
          <xlrd:rvb i="14911"/>
        </ext>
      </extLst>
    </bk>
    <bk>
      <extLst>
        <ext uri="{3e2802c4-a4d2-4d8b-9148-e3be6c30e623}">
          <xlrd:rvb i="14912"/>
        </ext>
      </extLst>
    </bk>
    <bk>
      <extLst>
        <ext uri="{3e2802c4-a4d2-4d8b-9148-e3be6c30e623}">
          <xlrd:rvb i="14913"/>
        </ext>
      </extLst>
    </bk>
    <bk>
      <extLst>
        <ext uri="{3e2802c4-a4d2-4d8b-9148-e3be6c30e623}">
          <xlrd:rvb i="14914"/>
        </ext>
      </extLst>
    </bk>
    <bk>
      <extLst>
        <ext uri="{3e2802c4-a4d2-4d8b-9148-e3be6c30e623}">
          <xlrd:rvb i="14915"/>
        </ext>
      </extLst>
    </bk>
    <bk>
      <extLst>
        <ext uri="{3e2802c4-a4d2-4d8b-9148-e3be6c30e623}">
          <xlrd:rvb i="14916"/>
        </ext>
      </extLst>
    </bk>
    <bk>
      <extLst>
        <ext uri="{3e2802c4-a4d2-4d8b-9148-e3be6c30e623}">
          <xlrd:rvb i="14917"/>
        </ext>
      </extLst>
    </bk>
    <bk>
      <extLst>
        <ext uri="{3e2802c4-a4d2-4d8b-9148-e3be6c30e623}">
          <xlrd:rvb i="14918"/>
        </ext>
      </extLst>
    </bk>
    <bk>
      <extLst>
        <ext uri="{3e2802c4-a4d2-4d8b-9148-e3be6c30e623}">
          <xlrd:rvb i="14919"/>
        </ext>
      </extLst>
    </bk>
    <bk>
      <extLst>
        <ext uri="{3e2802c4-a4d2-4d8b-9148-e3be6c30e623}">
          <xlrd:rvb i="14920"/>
        </ext>
      </extLst>
    </bk>
    <bk>
      <extLst>
        <ext uri="{3e2802c4-a4d2-4d8b-9148-e3be6c30e623}">
          <xlrd:rvb i="14921"/>
        </ext>
      </extLst>
    </bk>
    <bk>
      <extLst>
        <ext uri="{3e2802c4-a4d2-4d8b-9148-e3be6c30e623}">
          <xlrd:rvb i="14922"/>
        </ext>
      </extLst>
    </bk>
    <bk>
      <extLst>
        <ext uri="{3e2802c4-a4d2-4d8b-9148-e3be6c30e623}">
          <xlrd:rvb i="14923"/>
        </ext>
      </extLst>
    </bk>
    <bk>
      <extLst>
        <ext uri="{3e2802c4-a4d2-4d8b-9148-e3be6c30e623}">
          <xlrd:rvb i="14924"/>
        </ext>
      </extLst>
    </bk>
    <bk>
      <extLst>
        <ext uri="{3e2802c4-a4d2-4d8b-9148-e3be6c30e623}">
          <xlrd:rvb i="14925"/>
        </ext>
      </extLst>
    </bk>
    <bk>
      <extLst>
        <ext uri="{3e2802c4-a4d2-4d8b-9148-e3be6c30e623}">
          <xlrd:rvb i="14926"/>
        </ext>
      </extLst>
    </bk>
    <bk>
      <extLst>
        <ext uri="{3e2802c4-a4d2-4d8b-9148-e3be6c30e623}">
          <xlrd:rvb i="14927"/>
        </ext>
      </extLst>
    </bk>
    <bk>
      <extLst>
        <ext uri="{3e2802c4-a4d2-4d8b-9148-e3be6c30e623}">
          <xlrd:rvb i="14928"/>
        </ext>
      </extLst>
    </bk>
    <bk>
      <extLst>
        <ext uri="{3e2802c4-a4d2-4d8b-9148-e3be6c30e623}">
          <xlrd:rvb i="14929"/>
        </ext>
      </extLst>
    </bk>
    <bk>
      <extLst>
        <ext uri="{3e2802c4-a4d2-4d8b-9148-e3be6c30e623}">
          <xlrd:rvb i="14930"/>
        </ext>
      </extLst>
    </bk>
    <bk>
      <extLst>
        <ext uri="{3e2802c4-a4d2-4d8b-9148-e3be6c30e623}">
          <xlrd:rvb i="14931"/>
        </ext>
      </extLst>
    </bk>
    <bk>
      <extLst>
        <ext uri="{3e2802c4-a4d2-4d8b-9148-e3be6c30e623}">
          <xlrd:rvb i="14932"/>
        </ext>
      </extLst>
    </bk>
    <bk>
      <extLst>
        <ext uri="{3e2802c4-a4d2-4d8b-9148-e3be6c30e623}">
          <xlrd:rvb i="14933"/>
        </ext>
      </extLst>
    </bk>
    <bk>
      <extLst>
        <ext uri="{3e2802c4-a4d2-4d8b-9148-e3be6c30e623}">
          <xlrd:rvb i="14934"/>
        </ext>
      </extLst>
    </bk>
    <bk>
      <extLst>
        <ext uri="{3e2802c4-a4d2-4d8b-9148-e3be6c30e623}">
          <xlrd:rvb i="14935"/>
        </ext>
      </extLst>
    </bk>
    <bk>
      <extLst>
        <ext uri="{3e2802c4-a4d2-4d8b-9148-e3be6c30e623}">
          <xlrd:rvb i="14936"/>
        </ext>
      </extLst>
    </bk>
    <bk>
      <extLst>
        <ext uri="{3e2802c4-a4d2-4d8b-9148-e3be6c30e623}">
          <xlrd:rvb i="14937"/>
        </ext>
      </extLst>
    </bk>
    <bk>
      <extLst>
        <ext uri="{3e2802c4-a4d2-4d8b-9148-e3be6c30e623}">
          <xlrd:rvb i="14938"/>
        </ext>
      </extLst>
    </bk>
    <bk>
      <extLst>
        <ext uri="{3e2802c4-a4d2-4d8b-9148-e3be6c30e623}">
          <xlrd:rvb i="14939"/>
        </ext>
      </extLst>
    </bk>
    <bk>
      <extLst>
        <ext uri="{3e2802c4-a4d2-4d8b-9148-e3be6c30e623}">
          <xlrd:rvb i="14940"/>
        </ext>
      </extLst>
    </bk>
    <bk>
      <extLst>
        <ext uri="{3e2802c4-a4d2-4d8b-9148-e3be6c30e623}">
          <xlrd:rvb i="14941"/>
        </ext>
      </extLst>
    </bk>
    <bk>
      <extLst>
        <ext uri="{3e2802c4-a4d2-4d8b-9148-e3be6c30e623}">
          <xlrd:rvb i="14942"/>
        </ext>
      </extLst>
    </bk>
    <bk>
      <extLst>
        <ext uri="{3e2802c4-a4d2-4d8b-9148-e3be6c30e623}">
          <xlrd:rvb i="14943"/>
        </ext>
      </extLst>
    </bk>
    <bk>
      <extLst>
        <ext uri="{3e2802c4-a4d2-4d8b-9148-e3be6c30e623}">
          <xlrd:rvb i="14944"/>
        </ext>
      </extLst>
    </bk>
    <bk>
      <extLst>
        <ext uri="{3e2802c4-a4d2-4d8b-9148-e3be6c30e623}">
          <xlrd:rvb i="14945"/>
        </ext>
      </extLst>
    </bk>
    <bk>
      <extLst>
        <ext uri="{3e2802c4-a4d2-4d8b-9148-e3be6c30e623}">
          <xlrd:rvb i="14946"/>
        </ext>
      </extLst>
    </bk>
    <bk>
      <extLst>
        <ext uri="{3e2802c4-a4d2-4d8b-9148-e3be6c30e623}">
          <xlrd:rvb i="14947"/>
        </ext>
      </extLst>
    </bk>
    <bk>
      <extLst>
        <ext uri="{3e2802c4-a4d2-4d8b-9148-e3be6c30e623}">
          <xlrd:rvb i="14948"/>
        </ext>
      </extLst>
    </bk>
    <bk>
      <extLst>
        <ext uri="{3e2802c4-a4d2-4d8b-9148-e3be6c30e623}">
          <xlrd:rvb i="14949"/>
        </ext>
      </extLst>
    </bk>
    <bk>
      <extLst>
        <ext uri="{3e2802c4-a4d2-4d8b-9148-e3be6c30e623}">
          <xlrd:rvb i="14950"/>
        </ext>
      </extLst>
    </bk>
    <bk>
      <extLst>
        <ext uri="{3e2802c4-a4d2-4d8b-9148-e3be6c30e623}">
          <xlrd:rvb i="14951"/>
        </ext>
      </extLst>
    </bk>
    <bk>
      <extLst>
        <ext uri="{3e2802c4-a4d2-4d8b-9148-e3be6c30e623}">
          <xlrd:rvb i="14952"/>
        </ext>
      </extLst>
    </bk>
    <bk>
      <extLst>
        <ext uri="{3e2802c4-a4d2-4d8b-9148-e3be6c30e623}">
          <xlrd:rvb i="14953"/>
        </ext>
      </extLst>
    </bk>
    <bk>
      <extLst>
        <ext uri="{3e2802c4-a4d2-4d8b-9148-e3be6c30e623}">
          <xlrd:rvb i="14954"/>
        </ext>
      </extLst>
    </bk>
    <bk>
      <extLst>
        <ext uri="{3e2802c4-a4d2-4d8b-9148-e3be6c30e623}">
          <xlrd:rvb i="14955"/>
        </ext>
      </extLst>
    </bk>
    <bk>
      <extLst>
        <ext uri="{3e2802c4-a4d2-4d8b-9148-e3be6c30e623}">
          <xlrd:rvb i="14956"/>
        </ext>
      </extLst>
    </bk>
    <bk>
      <extLst>
        <ext uri="{3e2802c4-a4d2-4d8b-9148-e3be6c30e623}">
          <xlrd:rvb i="14957"/>
        </ext>
      </extLst>
    </bk>
    <bk>
      <extLst>
        <ext uri="{3e2802c4-a4d2-4d8b-9148-e3be6c30e623}">
          <xlrd:rvb i="14958"/>
        </ext>
      </extLst>
    </bk>
    <bk>
      <extLst>
        <ext uri="{3e2802c4-a4d2-4d8b-9148-e3be6c30e623}">
          <xlrd:rvb i="14959"/>
        </ext>
      </extLst>
    </bk>
    <bk>
      <extLst>
        <ext uri="{3e2802c4-a4d2-4d8b-9148-e3be6c30e623}">
          <xlrd:rvb i="14960"/>
        </ext>
      </extLst>
    </bk>
    <bk>
      <extLst>
        <ext uri="{3e2802c4-a4d2-4d8b-9148-e3be6c30e623}">
          <xlrd:rvb i="14961"/>
        </ext>
      </extLst>
    </bk>
    <bk>
      <extLst>
        <ext uri="{3e2802c4-a4d2-4d8b-9148-e3be6c30e623}">
          <xlrd:rvb i="14962"/>
        </ext>
      </extLst>
    </bk>
    <bk>
      <extLst>
        <ext uri="{3e2802c4-a4d2-4d8b-9148-e3be6c30e623}">
          <xlrd:rvb i="14963"/>
        </ext>
      </extLst>
    </bk>
    <bk>
      <extLst>
        <ext uri="{3e2802c4-a4d2-4d8b-9148-e3be6c30e623}">
          <xlrd:rvb i="14964"/>
        </ext>
      </extLst>
    </bk>
    <bk>
      <extLst>
        <ext uri="{3e2802c4-a4d2-4d8b-9148-e3be6c30e623}">
          <xlrd:rvb i="14965"/>
        </ext>
      </extLst>
    </bk>
    <bk>
      <extLst>
        <ext uri="{3e2802c4-a4d2-4d8b-9148-e3be6c30e623}">
          <xlrd:rvb i="14966"/>
        </ext>
      </extLst>
    </bk>
    <bk>
      <extLst>
        <ext uri="{3e2802c4-a4d2-4d8b-9148-e3be6c30e623}">
          <xlrd:rvb i="14967"/>
        </ext>
      </extLst>
    </bk>
    <bk>
      <extLst>
        <ext uri="{3e2802c4-a4d2-4d8b-9148-e3be6c30e623}">
          <xlrd:rvb i="14968"/>
        </ext>
      </extLst>
    </bk>
    <bk>
      <extLst>
        <ext uri="{3e2802c4-a4d2-4d8b-9148-e3be6c30e623}">
          <xlrd:rvb i="14969"/>
        </ext>
      </extLst>
    </bk>
    <bk>
      <extLst>
        <ext uri="{3e2802c4-a4d2-4d8b-9148-e3be6c30e623}">
          <xlrd:rvb i="14970"/>
        </ext>
      </extLst>
    </bk>
    <bk>
      <extLst>
        <ext uri="{3e2802c4-a4d2-4d8b-9148-e3be6c30e623}">
          <xlrd:rvb i="14971"/>
        </ext>
      </extLst>
    </bk>
    <bk>
      <extLst>
        <ext uri="{3e2802c4-a4d2-4d8b-9148-e3be6c30e623}">
          <xlrd:rvb i="14972"/>
        </ext>
      </extLst>
    </bk>
    <bk>
      <extLst>
        <ext uri="{3e2802c4-a4d2-4d8b-9148-e3be6c30e623}">
          <xlrd:rvb i="14973"/>
        </ext>
      </extLst>
    </bk>
    <bk>
      <extLst>
        <ext uri="{3e2802c4-a4d2-4d8b-9148-e3be6c30e623}">
          <xlrd:rvb i="14974"/>
        </ext>
      </extLst>
    </bk>
    <bk>
      <extLst>
        <ext uri="{3e2802c4-a4d2-4d8b-9148-e3be6c30e623}">
          <xlrd:rvb i="14975"/>
        </ext>
      </extLst>
    </bk>
    <bk>
      <extLst>
        <ext uri="{3e2802c4-a4d2-4d8b-9148-e3be6c30e623}">
          <xlrd:rvb i="14976"/>
        </ext>
      </extLst>
    </bk>
    <bk>
      <extLst>
        <ext uri="{3e2802c4-a4d2-4d8b-9148-e3be6c30e623}">
          <xlrd:rvb i="14977"/>
        </ext>
      </extLst>
    </bk>
    <bk>
      <extLst>
        <ext uri="{3e2802c4-a4d2-4d8b-9148-e3be6c30e623}">
          <xlrd:rvb i="14978"/>
        </ext>
      </extLst>
    </bk>
    <bk>
      <extLst>
        <ext uri="{3e2802c4-a4d2-4d8b-9148-e3be6c30e623}">
          <xlrd:rvb i="14979"/>
        </ext>
      </extLst>
    </bk>
    <bk>
      <extLst>
        <ext uri="{3e2802c4-a4d2-4d8b-9148-e3be6c30e623}">
          <xlrd:rvb i="14980"/>
        </ext>
      </extLst>
    </bk>
    <bk>
      <extLst>
        <ext uri="{3e2802c4-a4d2-4d8b-9148-e3be6c30e623}">
          <xlrd:rvb i="14981"/>
        </ext>
      </extLst>
    </bk>
    <bk>
      <extLst>
        <ext uri="{3e2802c4-a4d2-4d8b-9148-e3be6c30e623}">
          <xlrd:rvb i="14982"/>
        </ext>
      </extLst>
    </bk>
    <bk>
      <extLst>
        <ext uri="{3e2802c4-a4d2-4d8b-9148-e3be6c30e623}">
          <xlrd:rvb i="14983"/>
        </ext>
      </extLst>
    </bk>
    <bk>
      <extLst>
        <ext uri="{3e2802c4-a4d2-4d8b-9148-e3be6c30e623}">
          <xlrd:rvb i="14984"/>
        </ext>
      </extLst>
    </bk>
    <bk>
      <extLst>
        <ext uri="{3e2802c4-a4d2-4d8b-9148-e3be6c30e623}">
          <xlrd:rvb i="14985"/>
        </ext>
      </extLst>
    </bk>
    <bk>
      <extLst>
        <ext uri="{3e2802c4-a4d2-4d8b-9148-e3be6c30e623}">
          <xlrd:rvb i="14986"/>
        </ext>
      </extLst>
    </bk>
    <bk>
      <extLst>
        <ext uri="{3e2802c4-a4d2-4d8b-9148-e3be6c30e623}">
          <xlrd:rvb i="14987"/>
        </ext>
      </extLst>
    </bk>
    <bk>
      <extLst>
        <ext uri="{3e2802c4-a4d2-4d8b-9148-e3be6c30e623}">
          <xlrd:rvb i="14988"/>
        </ext>
      </extLst>
    </bk>
    <bk>
      <extLst>
        <ext uri="{3e2802c4-a4d2-4d8b-9148-e3be6c30e623}">
          <xlrd:rvb i="14989"/>
        </ext>
      </extLst>
    </bk>
    <bk>
      <extLst>
        <ext uri="{3e2802c4-a4d2-4d8b-9148-e3be6c30e623}">
          <xlrd:rvb i="14990"/>
        </ext>
      </extLst>
    </bk>
    <bk>
      <extLst>
        <ext uri="{3e2802c4-a4d2-4d8b-9148-e3be6c30e623}">
          <xlrd:rvb i="14991"/>
        </ext>
      </extLst>
    </bk>
    <bk>
      <extLst>
        <ext uri="{3e2802c4-a4d2-4d8b-9148-e3be6c30e623}">
          <xlrd:rvb i="14992"/>
        </ext>
      </extLst>
    </bk>
    <bk>
      <extLst>
        <ext uri="{3e2802c4-a4d2-4d8b-9148-e3be6c30e623}">
          <xlrd:rvb i="14993"/>
        </ext>
      </extLst>
    </bk>
    <bk>
      <extLst>
        <ext uri="{3e2802c4-a4d2-4d8b-9148-e3be6c30e623}">
          <xlrd:rvb i="14994"/>
        </ext>
      </extLst>
    </bk>
    <bk>
      <extLst>
        <ext uri="{3e2802c4-a4d2-4d8b-9148-e3be6c30e623}">
          <xlrd:rvb i="14995"/>
        </ext>
      </extLst>
    </bk>
    <bk>
      <extLst>
        <ext uri="{3e2802c4-a4d2-4d8b-9148-e3be6c30e623}">
          <xlrd:rvb i="14996"/>
        </ext>
      </extLst>
    </bk>
    <bk>
      <extLst>
        <ext uri="{3e2802c4-a4d2-4d8b-9148-e3be6c30e623}">
          <xlrd:rvb i="14997"/>
        </ext>
      </extLst>
    </bk>
    <bk>
      <extLst>
        <ext uri="{3e2802c4-a4d2-4d8b-9148-e3be6c30e623}">
          <xlrd:rvb i="14998"/>
        </ext>
      </extLst>
    </bk>
    <bk>
      <extLst>
        <ext uri="{3e2802c4-a4d2-4d8b-9148-e3be6c30e623}">
          <xlrd:rvb i="14999"/>
        </ext>
      </extLst>
    </bk>
    <bk>
      <extLst>
        <ext uri="{3e2802c4-a4d2-4d8b-9148-e3be6c30e623}">
          <xlrd:rvb i="15000"/>
        </ext>
      </extLst>
    </bk>
    <bk>
      <extLst>
        <ext uri="{3e2802c4-a4d2-4d8b-9148-e3be6c30e623}">
          <xlrd:rvb i="15001"/>
        </ext>
      </extLst>
    </bk>
    <bk>
      <extLst>
        <ext uri="{3e2802c4-a4d2-4d8b-9148-e3be6c30e623}">
          <xlrd:rvb i="15002"/>
        </ext>
      </extLst>
    </bk>
    <bk>
      <extLst>
        <ext uri="{3e2802c4-a4d2-4d8b-9148-e3be6c30e623}">
          <xlrd:rvb i="15003"/>
        </ext>
      </extLst>
    </bk>
    <bk>
      <extLst>
        <ext uri="{3e2802c4-a4d2-4d8b-9148-e3be6c30e623}">
          <xlrd:rvb i="15004"/>
        </ext>
      </extLst>
    </bk>
    <bk>
      <extLst>
        <ext uri="{3e2802c4-a4d2-4d8b-9148-e3be6c30e623}">
          <xlrd:rvb i="15005"/>
        </ext>
      </extLst>
    </bk>
    <bk>
      <extLst>
        <ext uri="{3e2802c4-a4d2-4d8b-9148-e3be6c30e623}">
          <xlrd:rvb i="15006"/>
        </ext>
      </extLst>
    </bk>
    <bk>
      <extLst>
        <ext uri="{3e2802c4-a4d2-4d8b-9148-e3be6c30e623}">
          <xlrd:rvb i="15007"/>
        </ext>
      </extLst>
    </bk>
    <bk>
      <extLst>
        <ext uri="{3e2802c4-a4d2-4d8b-9148-e3be6c30e623}">
          <xlrd:rvb i="15008"/>
        </ext>
      </extLst>
    </bk>
    <bk>
      <extLst>
        <ext uri="{3e2802c4-a4d2-4d8b-9148-e3be6c30e623}">
          <xlrd:rvb i="15009"/>
        </ext>
      </extLst>
    </bk>
    <bk>
      <extLst>
        <ext uri="{3e2802c4-a4d2-4d8b-9148-e3be6c30e623}">
          <xlrd:rvb i="15010"/>
        </ext>
      </extLst>
    </bk>
    <bk>
      <extLst>
        <ext uri="{3e2802c4-a4d2-4d8b-9148-e3be6c30e623}">
          <xlrd:rvb i="15011"/>
        </ext>
      </extLst>
    </bk>
    <bk>
      <extLst>
        <ext uri="{3e2802c4-a4d2-4d8b-9148-e3be6c30e623}">
          <xlrd:rvb i="15012"/>
        </ext>
      </extLst>
    </bk>
    <bk>
      <extLst>
        <ext uri="{3e2802c4-a4d2-4d8b-9148-e3be6c30e623}">
          <xlrd:rvb i="15013"/>
        </ext>
      </extLst>
    </bk>
    <bk>
      <extLst>
        <ext uri="{3e2802c4-a4d2-4d8b-9148-e3be6c30e623}">
          <xlrd:rvb i="15014"/>
        </ext>
      </extLst>
    </bk>
    <bk>
      <extLst>
        <ext uri="{3e2802c4-a4d2-4d8b-9148-e3be6c30e623}">
          <xlrd:rvb i="15015"/>
        </ext>
      </extLst>
    </bk>
    <bk>
      <extLst>
        <ext uri="{3e2802c4-a4d2-4d8b-9148-e3be6c30e623}">
          <xlrd:rvb i="15016"/>
        </ext>
      </extLst>
    </bk>
    <bk>
      <extLst>
        <ext uri="{3e2802c4-a4d2-4d8b-9148-e3be6c30e623}">
          <xlrd:rvb i="15017"/>
        </ext>
      </extLst>
    </bk>
    <bk>
      <extLst>
        <ext uri="{3e2802c4-a4d2-4d8b-9148-e3be6c30e623}">
          <xlrd:rvb i="15018"/>
        </ext>
      </extLst>
    </bk>
    <bk>
      <extLst>
        <ext uri="{3e2802c4-a4d2-4d8b-9148-e3be6c30e623}">
          <xlrd:rvb i="15019"/>
        </ext>
      </extLst>
    </bk>
    <bk>
      <extLst>
        <ext uri="{3e2802c4-a4d2-4d8b-9148-e3be6c30e623}">
          <xlrd:rvb i="15020"/>
        </ext>
      </extLst>
    </bk>
    <bk>
      <extLst>
        <ext uri="{3e2802c4-a4d2-4d8b-9148-e3be6c30e623}">
          <xlrd:rvb i="15021"/>
        </ext>
      </extLst>
    </bk>
    <bk>
      <extLst>
        <ext uri="{3e2802c4-a4d2-4d8b-9148-e3be6c30e623}">
          <xlrd:rvb i="15022"/>
        </ext>
      </extLst>
    </bk>
    <bk>
      <extLst>
        <ext uri="{3e2802c4-a4d2-4d8b-9148-e3be6c30e623}">
          <xlrd:rvb i="15023"/>
        </ext>
      </extLst>
    </bk>
    <bk>
      <extLst>
        <ext uri="{3e2802c4-a4d2-4d8b-9148-e3be6c30e623}">
          <xlrd:rvb i="15024"/>
        </ext>
      </extLst>
    </bk>
    <bk>
      <extLst>
        <ext uri="{3e2802c4-a4d2-4d8b-9148-e3be6c30e623}">
          <xlrd:rvb i="15025"/>
        </ext>
      </extLst>
    </bk>
    <bk>
      <extLst>
        <ext uri="{3e2802c4-a4d2-4d8b-9148-e3be6c30e623}">
          <xlrd:rvb i="15026"/>
        </ext>
      </extLst>
    </bk>
    <bk>
      <extLst>
        <ext uri="{3e2802c4-a4d2-4d8b-9148-e3be6c30e623}">
          <xlrd:rvb i="15027"/>
        </ext>
      </extLst>
    </bk>
    <bk>
      <extLst>
        <ext uri="{3e2802c4-a4d2-4d8b-9148-e3be6c30e623}">
          <xlrd:rvb i="15028"/>
        </ext>
      </extLst>
    </bk>
    <bk>
      <extLst>
        <ext uri="{3e2802c4-a4d2-4d8b-9148-e3be6c30e623}">
          <xlrd:rvb i="15029"/>
        </ext>
      </extLst>
    </bk>
    <bk>
      <extLst>
        <ext uri="{3e2802c4-a4d2-4d8b-9148-e3be6c30e623}">
          <xlrd:rvb i="15030"/>
        </ext>
      </extLst>
    </bk>
    <bk>
      <extLst>
        <ext uri="{3e2802c4-a4d2-4d8b-9148-e3be6c30e623}">
          <xlrd:rvb i="15031"/>
        </ext>
      </extLst>
    </bk>
    <bk>
      <extLst>
        <ext uri="{3e2802c4-a4d2-4d8b-9148-e3be6c30e623}">
          <xlrd:rvb i="15032"/>
        </ext>
      </extLst>
    </bk>
    <bk>
      <extLst>
        <ext uri="{3e2802c4-a4d2-4d8b-9148-e3be6c30e623}">
          <xlrd:rvb i="15033"/>
        </ext>
      </extLst>
    </bk>
    <bk>
      <extLst>
        <ext uri="{3e2802c4-a4d2-4d8b-9148-e3be6c30e623}">
          <xlrd:rvb i="15034"/>
        </ext>
      </extLst>
    </bk>
    <bk>
      <extLst>
        <ext uri="{3e2802c4-a4d2-4d8b-9148-e3be6c30e623}">
          <xlrd:rvb i="15035"/>
        </ext>
      </extLst>
    </bk>
    <bk>
      <extLst>
        <ext uri="{3e2802c4-a4d2-4d8b-9148-e3be6c30e623}">
          <xlrd:rvb i="15036"/>
        </ext>
      </extLst>
    </bk>
    <bk>
      <extLst>
        <ext uri="{3e2802c4-a4d2-4d8b-9148-e3be6c30e623}">
          <xlrd:rvb i="15037"/>
        </ext>
      </extLst>
    </bk>
    <bk>
      <extLst>
        <ext uri="{3e2802c4-a4d2-4d8b-9148-e3be6c30e623}">
          <xlrd:rvb i="15038"/>
        </ext>
      </extLst>
    </bk>
    <bk>
      <extLst>
        <ext uri="{3e2802c4-a4d2-4d8b-9148-e3be6c30e623}">
          <xlrd:rvb i="15039"/>
        </ext>
      </extLst>
    </bk>
    <bk>
      <extLst>
        <ext uri="{3e2802c4-a4d2-4d8b-9148-e3be6c30e623}">
          <xlrd:rvb i="15040"/>
        </ext>
      </extLst>
    </bk>
    <bk>
      <extLst>
        <ext uri="{3e2802c4-a4d2-4d8b-9148-e3be6c30e623}">
          <xlrd:rvb i="15041"/>
        </ext>
      </extLst>
    </bk>
    <bk>
      <extLst>
        <ext uri="{3e2802c4-a4d2-4d8b-9148-e3be6c30e623}">
          <xlrd:rvb i="15042"/>
        </ext>
      </extLst>
    </bk>
    <bk>
      <extLst>
        <ext uri="{3e2802c4-a4d2-4d8b-9148-e3be6c30e623}">
          <xlrd:rvb i="15043"/>
        </ext>
      </extLst>
    </bk>
    <bk>
      <extLst>
        <ext uri="{3e2802c4-a4d2-4d8b-9148-e3be6c30e623}">
          <xlrd:rvb i="15044"/>
        </ext>
      </extLst>
    </bk>
    <bk>
      <extLst>
        <ext uri="{3e2802c4-a4d2-4d8b-9148-e3be6c30e623}">
          <xlrd:rvb i="15045"/>
        </ext>
      </extLst>
    </bk>
    <bk>
      <extLst>
        <ext uri="{3e2802c4-a4d2-4d8b-9148-e3be6c30e623}">
          <xlrd:rvb i="15046"/>
        </ext>
      </extLst>
    </bk>
    <bk>
      <extLst>
        <ext uri="{3e2802c4-a4d2-4d8b-9148-e3be6c30e623}">
          <xlrd:rvb i="15047"/>
        </ext>
      </extLst>
    </bk>
    <bk>
      <extLst>
        <ext uri="{3e2802c4-a4d2-4d8b-9148-e3be6c30e623}">
          <xlrd:rvb i="15048"/>
        </ext>
      </extLst>
    </bk>
    <bk>
      <extLst>
        <ext uri="{3e2802c4-a4d2-4d8b-9148-e3be6c30e623}">
          <xlrd:rvb i="15049"/>
        </ext>
      </extLst>
    </bk>
    <bk>
      <extLst>
        <ext uri="{3e2802c4-a4d2-4d8b-9148-e3be6c30e623}">
          <xlrd:rvb i="15050"/>
        </ext>
      </extLst>
    </bk>
    <bk>
      <extLst>
        <ext uri="{3e2802c4-a4d2-4d8b-9148-e3be6c30e623}">
          <xlrd:rvb i="15051"/>
        </ext>
      </extLst>
    </bk>
    <bk>
      <extLst>
        <ext uri="{3e2802c4-a4d2-4d8b-9148-e3be6c30e623}">
          <xlrd:rvb i="15052"/>
        </ext>
      </extLst>
    </bk>
    <bk>
      <extLst>
        <ext uri="{3e2802c4-a4d2-4d8b-9148-e3be6c30e623}">
          <xlrd:rvb i="15053"/>
        </ext>
      </extLst>
    </bk>
    <bk>
      <extLst>
        <ext uri="{3e2802c4-a4d2-4d8b-9148-e3be6c30e623}">
          <xlrd:rvb i="15054"/>
        </ext>
      </extLst>
    </bk>
    <bk>
      <extLst>
        <ext uri="{3e2802c4-a4d2-4d8b-9148-e3be6c30e623}">
          <xlrd:rvb i="15055"/>
        </ext>
      </extLst>
    </bk>
    <bk>
      <extLst>
        <ext uri="{3e2802c4-a4d2-4d8b-9148-e3be6c30e623}">
          <xlrd:rvb i="15056"/>
        </ext>
      </extLst>
    </bk>
    <bk>
      <extLst>
        <ext uri="{3e2802c4-a4d2-4d8b-9148-e3be6c30e623}">
          <xlrd:rvb i="15057"/>
        </ext>
      </extLst>
    </bk>
    <bk>
      <extLst>
        <ext uri="{3e2802c4-a4d2-4d8b-9148-e3be6c30e623}">
          <xlrd:rvb i="15058"/>
        </ext>
      </extLst>
    </bk>
    <bk>
      <extLst>
        <ext uri="{3e2802c4-a4d2-4d8b-9148-e3be6c30e623}">
          <xlrd:rvb i="15059"/>
        </ext>
      </extLst>
    </bk>
    <bk>
      <extLst>
        <ext uri="{3e2802c4-a4d2-4d8b-9148-e3be6c30e623}">
          <xlrd:rvb i="15060"/>
        </ext>
      </extLst>
    </bk>
    <bk>
      <extLst>
        <ext uri="{3e2802c4-a4d2-4d8b-9148-e3be6c30e623}">
          <xlrd:rvb i="15061"/>
        </ext>
      </extLst>
    </bk>
    <bk>
      <extLst>
        <ext uri="{3e2802c4-a4d2-4d8b-9148-e3be6c30e623}">
          <xlrd:rvb i="15062"/>
        </ext>
      </extLst>
    </bk>
    <bk>
      <extLst>
        <ext uri="{3e2802c4-a4d2-4d8b-9148-e3be6c30e623}">
          <xlrd:rvb i="15063"/>
        </ext>
      </extLst>
    </bk>
    <bk>
      <extLst>
        <ext uri="{3e2802c4-a4d2-4d8b-9148-e3be6c30e623}">
          <xlrd:rvb i="15064"/>
        </ext>
      </extLst>
    </bk>
    <bk>
      <extLst>
        <ext uri="{3e2802c4-a4d2-4d8b-9148-e3be6c30e623}">
          <xlrd:rvb i="15065"/>
        </ext>
      </extLst>
    </bk>
    <bk>
      <extLst>
        <ext uri="{3e2802c4-a4d2-4d8b-9148-e3be6c30e623}">
          <xlrd:rvb i="15066"/>
        </ext>
      </extLst>
    </bk>
    <bk>
      <extLst>
        <ext uri="{3e2802c4-a4d2-4d8b-9148-e3be6c30e623}">
          <xlrd:rvb i="15067"/>
        </ext>
      </extLst>
    </bk>
    <bk>
      <extLst>
        <ext uri="{3e2802c4-a4d2-4d8b-9148-e3be6c30e623}">
          <xlrd:rvb i="15068"/>
        </ext>
      </extLst>
    </bk>
    <bk>
      <extLst>
        <ext uri="{3e2802c4-a4d2-4d8b-9148-e3be6c30e623}">
          <xlrd:rvb i="15069"/>
        </ext>
      </extLst>
    </bk>
    <bk>
      <extLst>
        <ext uri="{3e2802c4-a4d2-4d8b-9148-e3be6c30e623}">
          <xlrd:rvb i="15070"/>
        </ext>
      </extLst>
    </bk>
    <bk>
      <extLst>
        <ext uri="{3e2802c4-a4d2-4d8b-9148-e3be6c30e623}">
          <xlrd:rvb i="15071"/>
        </ext>
      </extLst>
    </bk>
    <bk>
      <extLst>
        <ext uri="{3e2802c4-a4d2-4d8b-9148-e3be6c30e623}">
          <xlrd:rvb i="15072"/>
        </ext>
      </extLst>
    </bk>
    <bk>
      <extLst>
        <ext uri="{3e2802c4-a4d2-4d8b-9148-e3be6c30e623}">
          <xlrd:rvb i="15073"/>
        </ext>
      </extLst>
    </bk>
    <bk>
      <extLst>
        <ext uri="{3e2802c4-a4d2-4d8b-9148-e3be6c30e623}">
          <xlrd:rvb i="15074"/>
        </ext>
      </extLst>
    </bk>
    <bk>
      <extLst>
        <ext uri="{3e2802c4-a4d2-4d8b-9148-e3be6c30e623}">
          <xlrd:rvb i="15075"/>
        </ext>
      </extLst>
    </bk>
    <bk>
      <extLst>
        <ext uri="{3e2802c4-a4d2-4d8b-9148-e3be6c30e623}">
          <xlrd:rvb i="15076"/>
        </ext>
      </extLst>
    </bk>
    <bk>
      <extLst>
        <ext uri="{3e2802c4-a4d2-4d8b-9148-e3be6c30e623}">
          <xlrd:rvb i="15077"/>
        </ext>
      </extLst>
    </bk>
    <bk>
      <extLst>
        <ext uri="{3e2802c4-a4d2-4d8b-9148-e3be6c30e623}">
          <xlrd:rvb i="15078"/>
        </ext>
      </extLst>
    </bk>
    <bk>
      <extLst>
        <ext uri="{3e2802c4-a4d2-4d8b-9148-e3be6c30e623}">
          <xlrd:rvb i="15079"/>
        </ext>
      </extLst>
    </bk>
    <bk>
      <extLst>
        <ext uri="{3e2802c4-a4d2-4d8b-9148-e3be6c30e623}">
          <xlrd:rvb i="15080"/>
        </ext>
      </extLst>
    </bk>
    <bk>
      <extLst>
        <ext uri="{3e2802c4-a4d2-4d8b-9148-e3be6c30e623}">
          <xlrd:rvb i="15081"/>
        </ext>
      </extLst>
    </bk>
    <bk>
      <extLst>
        <ext uri="{3e2802c4-a4d2-4d8b-9148-e3be6c30e623}">
          <xlrd:rvb i="15082"/>
        </ext>
      </extLst>
    </bk>
    <bk>
      <extLst>
        <ext uri="{3e2802c4-a4d2-4d8b-9148-e3be6c30e623}">
          <xlrd:rvb i="15083"/>
        </ext>
      </extLst>
    </bk>
    <bk>
      <extLst>
        <ext uri="{3e2802c4-a4d2-4d8b-9148-e3be6c30e623}">
          <xlrd:rvb i="15084"/>
        </ext>
      </extLst>
    </bk>
    <bk>
      <extLst>
        <ext uri="{3e2802c4-a4d2-4d8b-9148-e3be6c30e623}">
          <xlrd:rvb i="15085"/>
        </ext>
      </extLst>
    </bk>
    <bk>
      <extLst>
        <ext uri="{3e2802c4-a4d2-4d8b-9148-e3be6c30e623}">
          <xlrd:rvb i="15086"/>
        </ext>
      </extLst>
    </bk>
    <bk>
      <extLst>
        <ext uri="{3e2802c4-a4d2-4d8b-9148-e3be6c30e623}">
          <xlrd:rvb i="15087"/>
        </ext>
      </extLst>
    </bk>
    <bk>
      <extLst>
        <ext uri="{3e2802c4-a4d2-4d8b-9148-e3be6c30e623}">
          <xlrd:rvb i="15088"/>
        </ext>
      </extLst>
    </bk>
    <bk>
      <extLst>
        <ext uri="{3e2802c4-a4d2-4d8b-9148-e3be6c30e623}">
          <xlrd:rvb i="15089"/>
        </ext>
      </extLst>
    </bk>
    <bk>
      <extLst>
        <ext uri="{3e2802c4-a4d2-4d8b-9148-e3be6c30e623}">
          <xlrd:rvb i="15090"/>
        </ext>
      </extLst>
    </bk>
    <bk>
      <extLst>
        <ext uri="{3e2802c4-a4d2-4d8b-9148-e3be6c30e623}">
          <xlrd:rvb i="15091"/>
        </ext>
      </extLst>
    </bk>
    <bk>
      <extLst>
        <ext uri="{3e2802c4-a4d2-4d8b-9148-e3be6c30e623}">
          <xlrd:rvb i="15092"/>
        </ext>
      </extLst>
    </bk>
    <bk>
      <extLst>
        <ext uri="{3e2802c4-a4d2-4d8b-9148-e3be6c30e623}">
          <xlrd:rvb i="15093"/>
        </ext>
      </extLst>
    </bk>
    <bk>
      <extLst>
        <ext uri="{3e2802c4-a4d2-4d8b-9148-e3be6c30e623}">
          <xlrd:rvb i="15094"/>
        </ext>
      </extLst>
    </bk>
    <bk>
      <extLst>
        <ext uri="{3e2802c4-a4d2-4d8b-9148-e3be6c30e623}">
          <xlrd:rvb i="15095"/>
        </ext>
      </extLst>
    </bk>
    <bk>
      <extLst>
        <ext uri="{3e2802c4-a4d2-4d8b-9148-e3be6c30e623}">
          <xlrd:rvb i="15096"/>
        </ext>
      </extLst>
    </bk>
    <bk>
      <extLst>
        <ext uri="{3e2802c4-a4d2-4d8b-9148-e3be6c30e623}">
          <xlrd:rvb i="15097"/>
        </ext>
      </extLst>
    </bk>
    <bk>
      <extLst>
        <ext uri="{3e2802c4-a4d2-4d8b-9148-e3be6c30e623}">
          <xlrd:rvb i="15098"/>
        </ext>
      </extLst>
    </bk>
    <bk>
      <extLst>
        <ext uri="{3e2802c4-a4d2-4d8b-9148-e3be6c30e623}">
          <xlrd:rvb i="15099"/>
        </ext>
      </extLst>
    </bk>
    <bk>
      <extLst>
        <ext uri="{3e2802c4-a4d2-4d8b-9148-e3be6c30e623}">
          <xlrd:rvb i="15100"/>
        </ext>
      </extLst>
    </bk>
    <bk>
      <extLst>
        <ext uri="{3e2802c4-a4d2-4d8b-9148-e3be6c30e623}">
          <xlrd:rvb i="15101"/>
        </ext>
      </extLst>
    </bk>
    <bk>
      <extLst>
        <ext uri="{3e2802c4-a4d2-4d8b-9148-e3be6c30e623}">
          <xlrd:rvb i="15102"/>
        </ext>
      </extLst>
    </bk>
    <bk>
      <extLst>
        <ext uri="{3e2802c4-a4d2-4d8b-9148-e3be6c30e623}">
          <xlrd:rvb i="15103"/>
        </ext>
      </extLst>
    </bk>
    <bk>
      <extLst>
        <ext uri="{3e2802c4-a4d2-4d8b-9148-e3be6c30e623}">
          <xlrd:rvb i="15104"/>
        </ext>
      </extLst>
    </bk>
    <bk>
      <extLst>
        <ext uri="{3e2802c4-a4d2-4d8b-9148-e3be6c30e623}">
          <xlrd:rvb i="15105"/>
        </ext>
      </extLst>
    </bk>
    <bk>
      <extLst>
        <ext uri="{3e2802c4-a4d2-4d8b-9148-e3be6c30e623}">
          <xlrd:rvb i="15106"/>
        </ext>
      </extLst>
    </bk>
    <bk>
      <extLst>
        <ext uri="{3e2802c4-a4d2-4d8b-9148-e3be6c30e623}">
          <xlrd:rvb i="15107"/>
        </ext>
      </extLst>
    </bk>
    <bk>
      <extLst>
        <ext uri="{3e2802c4-a4d2-4d8b-9148-e3be6c30e623}">
          <xlrd:rvb i="15108"/>
        </ext>
      </extLst>
    </bk>
    <bk>
      <extLst>
        <ext uri="{3e2802c4-a4d2-4d8b-9148-e3be6c30e623}">
          <xlrd:rvb i="15109"/>
        </ext>
      </extLst>
    </bk>
    <bk>
      <extLst>
        <ext uri="{3e2802c4-a4d2-4d8b-9148-e3be6c30e623}">
          <xlrd:rvb i="15110"/>
        </ext>
      </extLst>
    </bk>
    <bk>
      <extLst>
        <ext uri="{3e2802c4-a4d2-4d8b-9148-e3be6c30e623}">
          <xlrd:rvb i="15111"/>
        </ext>
      </extLst>
    </bk>
    <bk>
      <extLst>
        <ext uri="{3e2802c4-a4d2-4d8b-9148-e3be6c30e623}">
          <xlrd:rvb i="15112"/>
        </ext>
      </extLst>
    </bk>
    <bk>
      <extLst>
        <ext uri="{3e2802c4-a4d2-4d8b-9148-e3be6c30e623}">
          <xlrd:rvb i="15113"/>
        </ext>
      </extLst>
    </bk>
    <bk>
      <extLst>
        <ext uri="{3e2802c4-a4d2-4d8b-9148-e3be6c30e623}">
          <xlrd:rvb i="15114"/>
        </ext>
      </extLst>
    </bk>
    <bk>
      <extLst>
        <ext uri="{3e2802c4-a4d2-4d8b-9148-e3be6c30e623}">
          <xlrd:rvb i="15115"/>
        </ext>
      </extLst>
    </bk>
    <bk>
      <extLst>
        <ext uri="{3e2802c4-a4d2-4d8b-9148-e3be6c30e623}">
          <xlrd:rvb i="15116"/>
        </ext>
      </extLst>
    </bk>
    <bk>
      <extLst>
        <ext uri="{3e2802c4-a4d2-4d8b-9148-e3be6c30e623}">
          <xlrd:rvb i="15117"/>
        </ext>
      </extLst>
    </bk>
    <bk>
      <extLst>
        <ext uri="{3e2802c4-a4d2-4d8b-9148-e3be6c30e623}">
          <xlrd:rvb i="15118"/>
        </ext>
      </extLst>
    </bk>
    <bk>
      <extLst>
        <ext uri="{3e2802c4-a4d2-4d8b-9148-e3be6c30e623}">
          <xlrd:rvb i="15119"/>
        </ext>
      </extLst>
    </bk>
    <bk>
      <extLst>
        <ext uri="{3e2802c4-a4d2-4d8b-9148-e3be6c30e623}">
          <xlrd:rvb i="15120"/>
        </ext>
      </extLst>
    </bk>
    <bk>
      <extLst>
        <ext uri="{3e2802c4-a4d2-4d8b-9148-e3be6c30e623}">
          <xlrd:rvb i="15121"/>
        </ext>
      </extLst>
    </bk>
    <bk>
      <extLst>
        <ext uri="{3e2802c4-a4d2-4d8b-9148-e3be6c30e623}">
          <xlrd:rvb i="15122"/>
        </ext>
      </extLst>
    </bk>
    <bk>
      <extLst>
        <ext uri="{3e2802c4-a4d2-4d8b-9148-e3be6c30e623}">
          <xlrd:rvb i="15123"/>
        </ext>
      </extLst>
    </bk>
    <bk>
      <extLst>
        <ext uri="{3e2802c4-a4d2-4d8b-9148-e3be6c30e623}">
          <xlrd:rvb i="15124"/>
        </ext>
      </extLst>
    </bk>
    <bk>
      <extLst>
        <ext uri="{3e2802c4-a4d2-4d8b-9148-e3be6c30e623}">
          <xlrd:rvb i="15125"/>
        </ext>
      </extLst>
    </bk>
    <bk>
      <extLst>
        <ext uri="{3e2802c4-a4d2-4d8b-9148-e3be6c30e623}">
          <xlrd:rvb i="15126"/>
        </ext>
      </extLst>
    </bk>
    <bk>
      <extLst>
        <ext uri="{3e2802c4-a4d2-4d8b-9148-e3be6c30e623}">
          <xlrd:rvb i="15127"/>
        </ext>
      </extLst>
    </bk>
    <bk>
      <extLst>
        <ext uri="{3e2802c4-a4d2-4d8b-9148-e3be6c30e623}">
          <xlrd:rvb i="15128"/>
        </ext>
      </extLst>
    </bk>
    <bk>
      <extLst>
        <ext uri="{3e2802c4-a4d2-4d8b-9148-e3be6c30e623}">
          <xlrd:rvb i="15129"/>
        </ext>
      </extLst>
    </bk>
    <bk>
      <extLst>
        <ext uri="{3e2802c4-a4d2-4d8b-9148-e3be6c30e623}">
          <xlrd:rvb i="15130"/>
        </ext>
      </extLst>
    </bk>
    <bk>
      <extLst>
        <ext uri="{3e2802c4-a4d2-4d8b-9148-e3be6c30e623}">
          <xlrd:rvb i="15131"/>
        </ext>
      </extLst>
    </bk>
    <bk>
      <extLst>
        <ext uri="{3e2802c4-a4d2-4d8b-9148-e3be6c30e623}">
          <xlrd:rvb i="15132"/>
        </ext>
      </extLst>
    </bk>
    <bk>
      <extLst>
        <ext uri="{3e2802c4-a4d2-4d8b-9148-e3be6c30e623}">
          <xlrd:rvb i="15133"/>
        </ext>
      </extLst>
    </bk>
    <bk>
      <extLst>
        <ext uri="{3e2802c4-a4d2-4d8b-9148-e3be6c30e623}">
          <xlrd:rvb i="15134"/>
        </ext>
      </extLst>
    </bk>
    <bk>
      <extLst>
        <ext uri="{3e2802c4-a4d2-4d8b-9148-e3be6c30e623}">
          <xlrd:rvb i="15135"/>
        </ext>
      </extLst>
    </bk>
    <bk>
      <extLst>
        <ext uri="{3e2802c4-a4d2-4d8b-9148-e3be6c30e623}">
          <xlrd:rvb i="15136"/>
        </ext>
      </extLst>
    </bk>
    <bk>
      <extLst>
        <ext uri="{3e2802c4-a4d2-4d8b-9148-e3be6c30e623}">
          <xlrd:rvb i="15137"/>
        </ext>
      </extLst>
    </bk>
    <bk>
      <extLst>
        <ext uri="{3e2802c4-a4d2-4d8b-9148-e3be6c30e623}">
          <xlrd:rvb i="15138"/>
        </ext>
      </extLst>
    </bk>
    <bk>
      <extLst>
        <ext uri="{3e2802c4-a4d2-4d8b-9148-e3be6c30e623}">
          <xlrd:rvb i="15139"/>
        </ext>
      </extLst>
    </bk>
    <bk>
      <extLst>
        <ext uri="{3e2802c4-a4d2-4d8b-9148-e3be6c30e623}">
          <xlrd:rvb i="15140"/>
        </ext>
      </extLst>
    </bk>
    <bk>
      <extLst>
        <ext uri="{3e2802c4-a4d2-4d8b-9148-e3be6c30e623}">
          <xlrd:rvb i="15141"/>
        </ext>
      </extLst>
    </bk>
    <bk>
      <extLst>
        <ext uri="{3e2802c4-a4d2-4d8b-9148-e3be6c30e623}">
          <xlrd:rvb i="15142"/>
        </ext>
      </extLst>
    </bk>
    <bk>
      <extLst>
        <ext uri="{3e2802c4-a4d2-4d8b-9148-e3be6c30e623}">
          <xlrd:rvb i="15143"/>
        </ext>
      </extLst>
    </bk>
    <bk>
      <extLst>
        <ext uri="{3e2802c4-a4d2-4d8b-9148-e3be6c30e623}">
          <xlrd:rvb i="15144"/>
        </ext>
      </extLst>
    </bk>
    <bk>
      <extLst>
        <ext uri="{3e2802c4-a4d2-4d8b-9148-e3be6c30e623}">
          <xlrd:rvb i="15145"/>
        </ext>
      </extLst>
    </bk>
    <bk>
      <extLst>
        <ext uri="{3e2802c4-a4d2-4d8b-9148-e3be6c30e623}">
          <xlrd:rvb i="15146"/>
        </ext>
      </extLst>
    </bk>
    <bk>
      <extLst>
        <ext uri="{3e2802c4-a4d2-4d8b-9148-e3be6c30e623}">
          <xlrd:rvb i="15147"/>
        </ext>
      </extLst>
    </bk>
    <bk>
      <extLst>
        <ext uri="{3e2802c4-a4d2-4d8b-9148-e3be6c30e623}">
          <xlrd:rvb i="15148"/>
        </ext>
      </extLst>
    </bk>
    <bk>
      <extLst>
        <ext uri="{3e2802c4-a4d2-4d8b-9148-e3be6c30e623}">
          <xlrd:rvb i="15149"/>
        </ext>
      </extLst>
    </bk>
    <bk>
      <extLst>
        <ext uri="{3e2802c4-a4d2-4d8b-9148-e3be6c30e623}">
          <xlrd:rvb i="15150"/>
        </ext>
      </extLst>
    </bk>
    <bk>
      <extLst>
        <ext uri="{3e2802c4-a4d2-4d8b-9148-e3be6c30e623}">
          <xlrd:rvb i="15151"/>
        </ext>
      </extLst>
    </bk>
    <bk>
      <extLst>
        <ext uri="{3e2802c4-a4d2-4d8b-9148-e3be6c30e623}">
          <xlrd:rvb i="15152"/>
        </ext>
      </extLst>
    </bk>
    <bk>
      <extLst>
        <ext uri="{3e2802c4-a4d2-4d8b-9148-e3be6c30e623}">
          <xlrd:rvb i="15153"/>
        </ext>
      </extLst>
    </bk>
    <bk>
      <extLst>
        <ext uri="{3e2802c4-a4d2-4d8b-9148-e3be6c30e623}">
          <xlrd:rvb i="15154"/>
        </ext>
      </extLst>
    </bk>
    <bk>
      <extLst>
        <ext uri="{3e2802c4-a4d2-4d8b-9148-e3be6c30e623}">
          <xlrd:rvb i="15155"/>
        </ext>
      </extLst>
    </bk>
    <bk>
      <extLst>
        <ext uri="{3e2802c4-a4d2-4d8b-9148-e3be6c30e623}">
          <xlrd:rvb i="15156"/>
        </ext>
      </extLst>
    </bk>
    <bk>
      <extLst>
        <ext uri="{3e2802c4-a4d2-4d8b-9148-e3be6c30e623}">
          <xlrd:rvb i="15157"/>
        </ext>
      </extLst>
    </bk>
    <bk>
      <extLst>
        <ext uri="{3e2802c4-a4d2-4d8b-9148-e3be6c30e623}">
          <xlrd:rvb i="15158"/>
        </ext>
      </extLst>
    </bk>
    <bk>
      <extLst>
        <ext uri="{3e2802c4-a4d2-4d8b-9148-e3be6c30e623}">
          <xlrd:rvb i="15159"/>
        </ext>
      </extLst>
    </bk>
    <bk>
      <extLst>
        <ext uri="{3e2802c4-a4d2-4d8b-9148-e3be6c30e623}">
          <xlrd:rvb i="15160"/>
        </ext>
      </extLst>
    </bk>
    <bk>
      <extLst>
        <ext uri="{3e2802c4-a4d2-4d8b-9148-e3be6c30e623}">
          <xlrd:rvb i="15161"/>
        </ext>
      </extLst>
    </bk>
    <bk>
      <extLst>
        <ext uri="{3e2802c4-a4d2-4d8b-9148-e3be6c30e623}">
          <xlrd:rvb i="15162"/>
        </ext>
      </extLst>
    </bk>
    <bk>
      <extLst>
        <ext uri="{3e2802c4-a4d2-4d8b-9148-e3be6c30e623}">
          <xlrd:rvb i="15163"/>
        </ext>
      </extLst>
    </bk>
    <bk>
      <extLst>
        <ext uri="{3e2802c4-a4d2-4d8b-9148-e3be6c30e623}">
          <xlrd:rvb i="15164"/>
        </ext>
      </extLst>
    </bk>
    <bk>
      <extLst>
        <ext uri="{3e2802c4-a4d2-4d8b-9148-e3be6c30e623}">
          <xlrd:rvb i="15165"/>
        </ext>
      </extLst>
    </bk>
    <bk>
      <extLst>
        <ext uri="{3e2802c4-a4d2-4d8b-9148-e3be6c30e623}">
          <xlrd:rvb i="15166"/>
        </ext>
      </extLst>
    </bk>
    <bk>
      <extLst>
        <ext uri="{3e2802c4-a4d2-4d8b-9148-e3be6c30e623}">
          <xlrd:rvb i="15167"/>
        </ext>
      </extLst>
    </bk>
    <bk>
      <extLst>
        <ext uri="{3e2802c4-a4d2-4d8b-9148-e3be6c30e623}">
          <xlrd:rvb i="15168"/>
        </ext>
      </extLst>
    </bk>
    <bk>
      <extLst>
        <ext uri="{3e2802c4-a4d2-4d8b-9148-e3be6c30e623}">
          <xlrd:rvb i="15169"/>
        </ext>
      </extLst>
    </bk>
    <bk>
      <extLst>
        <ext uri="{3e2802c4-a4d2-4d8b-9148-e3be6c30e623}">
          <xlrd:rvb i="15170"/>
        </ext>
      </extLst>
    </bk>
    <bk>
      <extLst>
        <ext uri="{3e2802c4-a4d2-4d8b-9148-e3be6c30e623}">
          <xlrd:rvb i="15171"/>
        </ext>
      </extLst>
    </bk>
    <bk>
      <extLst>
        <ext uri="{3e2802c4-a4d2-4d8b-9148-e3be6c30e623}">
          <xlrd:rvb i="15172"/>
        </ext>
      </extLst>
    </bk>
    <bk>
      <extLst>
        <ext uri="{3e2802c4-a4d2-4d8b-9148-e3be6c30e623}">
          <xlrd:rvb i="15173"/>
        </ext>
      </extLst>
    </bk>
    <bk>
      <extLst>
        <ext uri="{3e2802c4-a4d2-4d8b-9148-e3be6c30e623}">
          <xlrd:rvb i="15174"/>
        </ext>
      </extLst>
    </bk>
    <bk>
      <extLst>
        <ext uri="{3e2802c4-a4d2-4d8b-9148-e3be6c30e623}">
          <xlrd:rvb i="15175"/>
        </ext>
      </extLst>
    </bk>
    <bk>
      <extLst>
        <ext uri="{3e2802c4-a4d2-4d8b-9148-e3be6c30e623}">
          <xlrd:rvb i="15176"/>
        </ext>
      </extLst>
    </bk>
    <bk>
      <extLst>
        <ext uri="{3e2802c4-a4d2-4d8b-9148-e3be6c30e623}">
          <xlrd:rvb i="15177"/>
        </ext>
      </extLst>
    </bk>
    <bk>
      <extLst>
        <ext uri="{3e2802c4-a4d2-4d8b-9148-e3be6c30e623}">
          <xlrd:rvb i="15178"/>
        </ext>
      </extLst>
    </bk>
    <bk>
      <extLst>
        <ext uri="{3e2802c4-a4d2-4d8b-9148-e3be6c30e623}">
          <xlrd:rvb i="15179"/>
        </ext>
      </extLst>
    </bk>
    <bk>
      <extLst>
        <ext uri="{3e2802c4-a4d2-4d8b-9148-e3be6c30e623}">
          <xlrd:rvb i="15180"/>
        </ext>
      </extLst>
    </bk>
    <bk>
      <extLst>
        <ext uri="{3e2802c4-a4d2-4d8b-9148-e3be6c30e623}">
          <xlrd:rvb i="15181"/>
        </ext>
      </extLst>
    </bk>
    <bk>
      <extLst>
        <ext uri="{3e2802c4-a4d2-4d8b-9148-e3be6c30e623}">
          <xlrd:rvb i="15182"/>
        </ext>
      </extLst>
    </bk>
    <bk>
      <extLst>
        <ext uri="{3e2802c4-a4d2-4d8b-9148-e3be6c30e623}">
          <xlrd:rvb i="15183"/>
        </ext>
      </extLst>
    </bk>
    <bk>
      <extLst>
        <ext uri="{3e2802c4-a4d2-4d8b-9148-e3be6c30e623}">
          <xlrd:rvb i="15184"/>
        </ext>
      </extLst>
    </bk>
    <bk>
      <extLst>
        <ext uri="{3e2802c4-a4d2-4d8b-9148-e3be6c30e623}">
          <xlrd:rvb i="15185"/>
        </ext>
      </extLst>
    </bk>
    <bk>
      <extLst>
        <ext uri="{3e2802c4-a4d2-4d8b-9148-e3be6c30e623}">
          <xlrd:rvb i="15186"/>
        </ext>
      </extLst>
    </bk>
    <bk>
      <extLst>
        <ext uri="{3e2802c4-a4d2-4d8b-9148-e3be6c30e623}">
          <xlrd:rvb i="15187"/>
        </ext>
      </extLst>
    </bk>
    <bk>
      <extLst>
        <ext uri="{3e2802c4-a4d2-4d8b-9148-e3be6c30e623}">
          <xlrd:rvb i="15188"/>
        </ext>
      </extLst>
    </bk>
    <bk>
      <extLst>
        <ext uri="{3e2802c4-a4d2-4d8b-9148-e3be6c30e623}">
          <xlrd:rvb i="15189"/>
        </ext>
      </extLst>
    </bk>
    <bk>
      <extLst>
        <ext uri="{3e2802c4-a4d2-4d8b-9148-e3be6c30e623}">
          <xlrd:rvb i="15190"/>
        </ext>
      </extLst>
    </bk>
    <bk>
      <extLst>
        <ext uri="{3e2802c4-a4d2-4d8b-9148-e3be6c30e623}">
          <xlrd:rvb i="15191"/>
        </ext>
      </extLst>
    </bk>
    <bk>
      <extLst>
        <ext uri="{3e2802c4-a4d2-4d8b-9148-e3be6c30e623}">
          <xlrd:rvb i="15192"/>
        </ext>
      </extLst>
    </bk>
    <bk>
      <extLst>
        <ext uri="{3e2802c4-a4d2-4d8b-9148-e3be6c30e623}">
          <xlrd:rvb i="15193"/>
        </ext>
      </extLst>
    </bk>
    <bk>
      <extLst>
        <ext uri="{3e2802c4-a4d2-4d8b-9148-e3be6c30e623}">
          <xlrd:rvb i="15194"/>
        </ext>
      </extLst>
    </bk>
    <bk>
      <extLst>
        <ext uri="{3e2802c4-a4d2-4d8b-9148-e3be6c30e623}">
          <xlrd:rvb i="15195"/>
        </ext>
      </extLst>
    </bk>
    <bk>
      <extLst>
        <ext uri="{3e2802c4-a4d2-4d8b-9148-e3be6c30e623}">
          <xlrd:rvb i="15196"/>
        </ext>
      </extLst>
    </bk>
    <bk>
      <extLst>
        <ext uri="{3e2802c4-a4d2-4d8b-9148-e3be6c30e623}">
          <xlrd:rvb i="15197"/>
        </ext>
      </extLst>
    </bk>
    <bk>
      <extLst>
        <ext uri="{3e2802c4-a4d2-4d8b-9148-e3be6c30e623}">
          <xlrd:rvb i="15198"/>
        </ext>
      </extLst>
    </bk>
    <bk>
      <extLst>
        <ext uri="{3e2802c4-a4d2-4d8b-9148-e3be6c30e623}">
          <xlrd:rvb i="15199"/>
        </ext>
      </extLst>
    </bk>
    <bk>
      <extLst>
        <ext uri="{3e2802c4-a4d2-4d8b-9148-e3be6c30e623}">
          <xlrd:rvb i="15200"/>
        </ext>
      </extLst>
    </bk>
    <bk>
      <extLst>
        <ext uri="{3e2802c4-a4d2-4d8b-9148-e3be6c30e623}">
          <xlrd:rvb i="15201"/>
        </ext>
      </extLst>
    </bk>
    <bk>
      <extLst>
        <ext uri="{3e2802c4-a4d2-4d8b-9148-e3be6c30e623}">
          <xlrd:rvb i="15202"/>
        </ext>
      </extLst>
    </bk>
    <bk>
      <extLst>
        <ext uri="{3e2802c4-a4d2-4d8b-9148-e3be6c30e623}">
          <xlrd:rvb i="15203"/>
        </ext>
      </extLst>
    </bk>
    <bk>
      <extLst>
        <ext uri="{3e2802c4-a4d2-4d8b-9148-e3be6c30e623}">
          <xlrd:rvb i="15204"/>
        </ext>
      </extLst>
    </bk>
    <bk>
      <extLst>
        <ext uri="{3e2802c4-a4d2-4d8b-9148-e3be6c30e623}">
          <xlrd:rvb i="15205"/>
        </ext>
      </extLst>
    </bk>
    <bk>
      <extLst>
        <ext uri="{3e2802c4-a4d2-4d8b-9148-e3be6c30e623}">
          <xlrd:rvb i="15206"/>
        </ext>
      </extLst>
    </bk>
    <bk>
      <extLst>
        <ext uri="{3e2802c4-a4d2-4d8b-9148-e3be6c30e623}">
          <xlrd:rvb i="15207"/>
        </ext>
      </extLst>
    </bk>
    <bk>
      <extLst>
        <ext uri="{3e2802c4-a4d2-4d8b-9148-e3be6c30e623}">
          <xlrd:rvb i="15208"/>
        </ext>
      </extLst>
    </bk>
    <bk>
      <extLst>
        <ext uri="{3e2802c4-a4d2-4d8b-9148-e3be6c30e623}">
          <xlrd:rvb i="15209"/>
        </ext>
      </extLst>
    </bk>
    <bk>
      <extLst>
        <ext uri="{3e2802c4-a4d2-4d8b-9148-e3be6c30e623}">
          <xlrd:rvb i="15210"/>
        </ext>
      </extLst>
    </bk>
    <bk>
      <extLst>
        <ext uri="{3e2802c4-a4d2-4d8b-9148-e3be6c30e623}">
          <xlrd:rvb i="15211"/>
        </ext>
      </extLst>
    </bk>
    <bk>
      <extLst>
        <ext uri="{3e2802c4-a4d2-4d8b-9148-e3be6c30e623}">
          <xlrd:rvb i="15212"/>
        </ext>
      </extLst>
    </bk>
    <bk>
      <extLst>
        <ext uri="{3e2802c4-a4d2-4d8b-9148-e3be6c30e623}">
          <xlrd:rvb i="15213"/>
        </ext>
      </extLst>
    </bk>
    <bk>
      <extLst>
        <ext uri="{3e2802c4-a4d2-4d8b-9148-e3be6c30e623}">
          <xlrd:rvb i="15214"/>
        </ext>
      </extLst>
    </bk>
    <bk>
      <extLst>
        <ext uri="{3e2802c4-a4d2-4d8b-9148-e3be6c30e623}">
          <xlrd:rvb i="15215"/>
        </ext>
      </extLst>
    </bk>
    <bk>
      <extLst>
        <ext uri="{3e2802c4-a4d2-4d8b-9148-e3be6c30e623}">
          <xlrd:rvb i="15216"/>
        </ext>
      </extLst>
    </bk>
    <bk>
      <extLst>
        <ext uri="{3e2802c4-a4d2-4d8b-9148-e3be6c30e623}">
          <xlrd:rvb i="15217"/>
        </ext>
      </extLst>
    </bk>
    <bk>
      <extLst>
        <ext uri="{3e2802c4-a4d2-4d8b-9148-e3be6c30e623}">
          <xlrd:rvb i="15218"/>
        </ext>
      </extLst>
    </bk>
    <bk>
      <extLst>
        <ext uri="{3e2802c4-a4d2-4d8b-9148-e3be6c30e623}">
          <xlrd:rvb i="15219"/>
        </ext>
      </extLst>
    </bk>
    <bk>
      <extLst>
        <ext uri="{3e2802c4-a4d2-4d8b-9148-e3be6c30e623}">
          <xlrd:rvb i="15220"/>
        </ext>
      </extLst>
    </bk>
    <bk>
      <extLst>
        <ext uri="{3e2802c4-a4d2-4d8b-9148-e3be6c30e623}">
          <xlrd:rvb i="15221"/>
        </ext>
      </extLst>
    </bk>
    <bk>
      <extLst>
        <ext uri="{3e2802c4-a4d2-4d8b-9148-e3be6c30e623}">
          <xlrd:rvb i="15222"/>
        </ext>
      </extLst>
    </bk>
    <bk>
      <extLst>
        <ext uri="{3e2802c4-a4d2-4d8b-9148-e3be6c30e623}">
          <xlrd:rvb i="15223"/>
        </ext>
      </extLst>
    </bk>
    <bk>
      <extLst>
        <ext uri="{3e2802c4-a4d2-4d8b-9148-e3be6c30e623}">
          <xlrd:rvb i="15224"/>
        </ext>
      </extLst>
    </bk>
    <bk>
      <extLst>
        <ext uri="{3e2802c4-a4d2-4d8b-9148-e3be6c30e623}">
          <xlrd:rvb i="15225"/>
        </ext>
      </extLst>
    </bk>
    <bk>
      <extLst>
        <ext uri="{3e2802c4-a4d2-4d8b-9148-e3be6c30e623}">
          <xlrd:rvb i="15226"/>
        </ext>
      </extLst>
    </bk>
    <bk>
      <extLst>
        <ext uri="{3e2802c4-a4d2-4d8b-9148-e3be6c30e623}">
          <xlrd:rvb i="15227"/>
        </ext>
      </extLst>
    </bk>
    <bk>
      <extLst>
        <ext uri="{3e2802c4-a4d2-4d8b-9148-e3be6c30e623}">
          <xlrd:rvb i="15228"/>
        </ext>
      </extLst>
    </bk>
    <bk>
      <extLst>
        <ext uri="{3e2802c4-a4d2-4d8b-9148-e3be6c30e623}">
          <xlrd:rvb i="15229"/>
        </ext>
      </extLst>
    </bk>
    <bk>
      <extLst>
        <ext uri="{3e2802c4-a4d2-4d8b-9148-e3be6c30e623}">
          <xlrd:rvb i="15230"/>
        </ext>
      </extLst>
    </bk>
    <bk>
      <extLst>
        <ext uri="{3e2802c4-a4d2-4d8b-9148-e3be6c30e623}">
          <xlrd:rvb i="15231"/>
        </ext>
      </extLst>
    </bk>
    <bk>
      <extLst>
        <ext uri="{3e2802c4-a4d2-4d8b-9148-e3be6c30e623}">
          <xlrd:rvb i="15232"/>
        </ext>
      </extLst>
    </bk>
    <bk>
      <extLst>
        <ext uri="{3e2802c4-a4d2-4d8b-9148-e3be6c30e623}">
          <xlrd:rvb i="15233"/>
        </ext>
      </extLst>
    </bk>
    <bk>
      <extLst>
        <ext uri="{3e2802c4-a4d2-4d8b-9148-e3be6c30e623}">
          <xlrd:rvb i="15234"/>
        </ext>
      </extLst>
    </bk>
    <bk>
      <extLst>
        <ext uri="{3e2802c4-a4d2-4d8b-9148-e3be6c30e623}">
          <xlrd:rvb i="15235"/>
        </ext>
      </extLst>
    </bk>
    <bk>
      <extLst>
        <ext uri="{3e2802c4-a4d2-4d8b-9148-e3be6c30e623}">
          <xlrd:rvb i="15236"/>
        </ext>
      </extLst>
    </bk>
    <bk>
      <extLst>
        <ext uri="{3e2802c4-a4d2-4d8b-9148-e3be6c30e623}">
          <xlrd:rvb i="15237"/>
        </ext>
      </extLst>
    </bk>
    <bk>
      <extLst>
        <ext uri="{3e2802c4-a4d2-4d8b-9148-e3be6c30e623}">
          <xlrd:rvb i="15238"/>
        </ext>
      </extLst>
    </bk>
    <bk>
      <extLst>
        <ext uri="{3e2802c4-a4d2-4d8b-9148-e3be6c30e623}">
          <xlrd:rvb i="15239"/>
        </ext>
      </extLst>
    </bk>
    <bk>
      <extLst>
        <ext uri="{3e2802c4-a4d2-4d8b-9148-e3be6c30e623}">
          <xlrd:rvb i="15240"/>
        </ext>
      </extLst>
    </bk>
    <bk>
      <extLst>
        <ext uri="{3e2802c4-a4d2-4d8b-9148-e3be6c30e623}">
          <xlrd:rvb i="15241"/>
        </ext>
      </extLst>
    </bk>
    <bk>
      <extLst>
        <ext uri="{3e2802c4-a4d2-4d8b-9148-e3be6c30e623}">
          <xlrd:rvb i="15242"/>
        </ext>
      </extLst>
    </bk>
    <bk>
      <extLst>
        <ext uri="{3e2802c4-a4d2-4d8b-9148-e3be6c30e623}">
          <xlrd:rvb i="15243"/>
        </ext>
      </extLst>
    </bk>
    <bk>
      <extLst>
        <ext uri="{3e2802c4-a4d2-4d8b-9148-e3be6c30e623}">
          <xlrd:rvb i="15244"/>
        </ext>
      </extLst>
    </bk>
    <bk>
      <extLst>
        <ext uri="{3e2802c4-a4d2-4d8b-9148-e3be6c30e623}">
          <xlrd:rvb i="15245"/>
        </ext>
      </extLst>
    </bk>
    <bk>
      <extLst>
        <ext uri="{3e2802c4-a4d2-4d8b-9148-e3be6c30e623}">
          <xlrd:rvb i="15246"/>
        </ext>
      </extLst>
    </bk>
    <bk>
      <extLst>
        <ext uri="{3e2802c4-a4d2-4d8b-9148-e3be6c30e623}">
          <xlrd:rvb i="15247"/>
        </ext>
      </extLst>
    </bk>
    <bk>
      <extLst>
        <ext uri="{3e2802c4-a4d2-4d8b-9148-e3be6c30e623}">
          <xlrd:rvb i="15248"/>
        </ext>
      </extLst>
    </bk>
    <bk>
      <extLst>
        <ext uri="{3e2802c4-a4d2-4d8b-9148-e3be6c30e623}">
          <xlrd:rvb i="15249"/>
        </ext>
      </extLst>
    </bk>
    <bk>
      <extLst>
        <ext uri="{3e2802c4-a4d2-4d8b-9148-e3be6c30e623}">
          <xlrd:rvb i="15250"/>
        </ext>
      </extLst>
    </bk>
    <bk>
      <extLst>
        <ext uri="{3e2802c4-a4d2-4d8b-9148-e3be6c30e623}">
          <xlrd:rvb i="15251"/>
        </ext>
      </extLst>
    </bk>
    <bk>
      <extLst>
        <ext uri="{3e2802c4-a4d2-4d8b-9148-e3be6c30e623}">
          <xlrd:rvb i="15252"/>
        </ext>
      </extLst>
    </bk>
    <bk>
      <extLst>
        <ext uri="{3e2802c4-a4d2-4d8b-9148-e3be6c30e623}">
          <xlrd:rvb i="15253"/>
        </ext>
      </extLst>
    </bk>
    <bk>
      <extLst>
        <ext uri="{3e2802c4-a4d2-4d8b-9148-e3be6c30e623}">
          <xlrd:rvb i="15254"/>
        </ext>
      </extLst>
    </bk>
    <bk>
      <extLst>
        <ext uri="{3e2802c4-a4d2-4d8b-9148-e3be6c30e623}">
          <xlrd:rvb i="15255"/>
        </ext>
      </extLst>
    </bk>
    <bk>
      <extLst>
        <ext uri="{3e2802c4-a4d2-4d8b-9148-e3be6c30e623}">
          <xlrd:rvb i="15256"/>
        </ext>
      </extLst>
    </bk>
    <bk>
      <extLst>
        <ext uri="{3e2802c4-a4d2-4d8b-9148-e3be6c30e623}">
          <xlrd:rvb i="15257"/>
        </ext>
      </extLst>
    </bk>
    <bk>
      <extLst>
        <ext uri="{3e2802c4-a4d2-4d8b-9148-e3be6c30e623}">
          <xlrd:rvb i="15258"/>
        </ext>
      </extLst>
    </bk>
    <bk>
      <extLst>
        <ext uri="{3e2802c4-a4d2-4d8b-9148-e3be6c30e623}">
          <xlrd:rvb i="15259"/>
        </ext>
      </extLst>
    </bk>
    <bk>
      <extLst>
        <ext uri="{3e2802c4-a4d2-4d8b-9148-e3be6c30e623}">
          <xlrd:rvb i="15260"/>
        </ext>
      </extLst>
    </bk>
    <bk>
      <extLst>
        <ext uri="{3e2802c4-a4d2-4d8b-9148-e3be6c30e623}">
          <xlrd:rvb i="15261"/>
        </ext>
      </extLst>
    </bk>
    <bk>
      <extLst>
        <ext uri="{3e2802c4-a4d2-4d8b-9148-e3be6c30e623}">
          <xlrd:rvb i="15262"/>
        </ext>
      </extLst>
    </bk>
    <bk>
      <extLst>
        <ext uri="{3e2802c4-a4d2-4d8b-9148-e3be6c30e623}">
          <xlrd:rvb i="15263"/>
        </ext>
      </extLst>
    </bk>
    <bk>
      <extLst>
        <ext uri="{3e2802c4-a4d2-4d8b-9148-e3be6c30e623}">
          <xlrd:rvb i="15264"/>
        </ext>
      </extLst>
    </bk>
    <bk>
      <extLst>
        <ext uri="{3e2802c4-a4d2-4d8b-9148-e3be6c30e623}">
          <xlrd:rvb i="15265"/>
        </ext>
      </extLst>
    </bk>
    <bk>
      <extLst>
        <ext uri="{3e2802c4-a4d2-4d8b-9148-e3be6c30e623}">
          <xlrd:rvb i="15266"/>
        </ext>
      </extLst>
    </bk>
    <bk>
      <extLst>
        <ext uri="{3e2802c4-a4d2-4d8b-9148-e3be6c30e623}">
          <xlrd:rvb i="15267"/>
        </ext>
      </extLst>
    </bk>
    <bk>
      <extLst>
        <ext uri="{3e2802c4-a4d2-4d8b-9148-e3be6c30e623}">
          <xlrd:rvb i="15268"/>
        </ext>
      </extLst>
    </bk>
    <bk>
      <extLst>
        <ext uri="{3e2802c4-a4d2-4d8b-9148-e3be6c30e623}">
          <xlrd:rvb i="15269"/>
        </ext>
      </extLst>
    </bk>
    <bk>
      <extLst>
        <ext uri="{3e2802c4-a4d2-4d8b-9148-e3be6c30e623}">
          <xlrd:rvb i="15270"/>
        </ext>
      </extLst>
    </bk>
    <bk>
      <extLst>
        <ext uri="{3e2802c4-a4d2-4d8b-9148-e3be6c30e623}">
          <xlrd:rvb i="15271"/>
        </ext>
      </extLst>
    </bk>
    <bk>
      <extLst>
        <ext uri="{3e2802c4-a4d2-4d8b-9148-e3be6c30e623}">
          <xlrd:rvb i="15272"/>
        </ext>
      </extLst>
    </bk>
    <bk>
      <extLst>
        <ext uri="{3e2802c4-a4d2-4d8b-9148-e3be6c30e623}">
          <xlrd:rvb i="15273"/>
        </ext>
      </extLst>
    </bk>
    <bk>
      <extLst>
        <ext uri="{3e2802c4-a4d2-4d8b-9148-e3be6c30e623}">
          <xlrd:rvb i="15274"/>
        </ext>
      </extLst>
    </bk>
    <bk>
      <extLst>
        <ext uri="{3e2802c4-a4d2-4d8b-9148-e3be6c30e623}">
          <xlrd:rvb i="15275"/>
        </ext>
      </extLst>
    </bk>
    <bk>
      <extLst>
        <ext uri="{3e2802c4-a4d2-4d8b-9148-e3be6c30e623}">
          <xlrd:rvb i="15276"/>
        </ext>
      </extLst>
    </bk>
    <bk>
      <extLst>
        <ext uri="{3e2802c4-a4d2-4d8b-9148-e3be6c30e623}">
          <xlrd:rvb i="15277"/>
        </ext>
      </extLst>
    </bk>
    <bk>
      <extLst>
        <ext uri="{3e2802c4-a4d2-4d8b-9148-e3be6c30e623}">
          <xlrd:rvb i="15278"/>
        </ext>
      </extLst>
    </bk>
    <bk>
      <extLst>
        <ext uri="{3e2802c4-a4d2-4d8b-9148-e3be6c30e623}">
          <xlrd:rvb i="15279"/>
        </ext>
      </extLst>
    </bk>
    <bk>
      <extLst>
        <ext uri="{3e2802c4-a4d2-4d8b-9148-e3be6c30e623}">
          <xlrd:rvb i="15280"/>
        </ext>
      </extLst>
    </bk>
    <bk>
      <extLst>
        <ext uri="{3e2802c4-a4d2-4d8b-9148-e3be6c30e623}">
          <xlrd:rvb i="15281"/>
        </ext>
      </extLst>
    </bk>
    <bk>
      <extLst>
        <ext uri="{3e2802c4-a4d2-4d8b-9148-e3be6c30e623}">
          <xlrd:rvb i="15282"/>
        </ext>
      </extLst>
    </bk>
    <bk>
      <extLst>
        <ext uri="{3e2802c4-a4d2-4d8b-9148-e3be6c30e623}">
          <xlrd:rvb i="15283"/>
        </ext>
      </extLst>
    </bk>
    <bk>
      <extLst>
        <ext uri="{3e2802c4-a4d2-4d8b-9148-e3be6c30e623}">
          <xlrd:rvb i="15284"/>
        </ext>
      </extLst>
    </bk>
    <bk>
      <extLst>
        <ext uri="{3e2802c4-a4d2-4d8b-9148-e3be6c30e623}">
          <xlrd:rvb i="15285"/>
        </ext>
      </extLst>
    </bk>
    <bk>
      <extLst>
        <ext uri="{3e2802c4-a4d2-4d8b-9148-e3be6c30e623}">
          <xlrd:rvb i="15286"/>
        </ext>
      </extLst>
    </bk>
    <bk>
      <extLst>
        <ext uri="{3e2802c4-a4d2-4d8b-9148-e3be6c30e623}">
          <xlrd:rvb i="15287"/>
        </ext>
      </extLst>
    </bk>
    <bk>
      <extLst>
        <ext uri="{3e2802c4-a4d2-4d8b-9148-e3be6c30e623}">
          <xlrd:rvb i="15288"/>
        </ext>
      </extLst>
    </bk>
    <bk>
      <extLst>
        <ext uri="{3e2802c4-a4d2-4d8b-9148-e3be6c30e623}">
          <xlrd:rvb i="15289"/>
        </ext>
      </extLst>
    </bk>
    <bk>
      <extLst>
        <ext uri="{3e2802c4-a4d2-4d8b-9148-e3be6c30e623}">
          <xlrd:rvb i="15290"/>
        </ext>
      </extLst>
    </bk>
    <bk>
      <extLst>
        <ext uri="{3e2802c4-a4d2-4d8b-9148-e3be6c30e623}">
          <xlrd:rvb i="15291"/>
        </ext>
      </extLst>
    </bk>
    <bk>
      <extLst>
        <ext uri="{3e2802c4-a4d2-4d8b-9148-e3be6c30e623}">
          <xlrd:rvb i="15292"/>
        </ext>
      </extLst>
    </bk>
    <bk>
      <extLst>
        <ext uri="{3e2802c4-a4d2-4d8b-9148-e3be6c30e623}">
          <xlrd:rvb i="15293"/>
        </ext>
      </extLst>
    </bk>
    <bk>
      <extLst>
        <ext uri="{3e2802c4-a4d2-4d8b-9148-e3be6c30e623}">
          <xlrd:rvb i="15294"/>
        </ext>
      </extLst>
    </bk>
    <bk>
      <extLst>
        <ext uri="{3e2802c4-a4d2-4d8b-9148-e3be6c30e623}">
          <xlrd:rvb i="15295"/>
        </ext>
      </extLst>
    </bk>
    <bk>
      <extLst>
        <ext uri="{3e2802c4-a4d2-4d8b-9148-e3be6c30e623}">
          <xlrd:rvb i="15296"/>
        </ext>
      </extLst>
    </bk>
    <bk>
      <extLst>
        <ext uri="{3e2802c4-a4d2-4d8b-9148-e3be6c30e623}">
          <xlrd:rvb i="15297"/>
        </ext>
      </extLst>
    </bk>
    <bk>
      <extLst>
        <ext uri="{3e2802c4-a4d2-4d8b-9148-e3be6c30e623}">
          <xlrd:rvb i="15298"/>
        </ext>
      </extLst>
    </bk>
    <bk>
      <extLst>
        <ext uri="{3e2802c4-a4d2-4d8b-9148-e3be6c30e623}">
          <xlrd:rvb i="15299"/>
        </ext>
      </extLst>
    </bk>
    <bk>
      <extLst>
        <ext uri="{3e2802c4-a4d2-4d8b-9148-e3be6c30e623}">
          <xlrd:rvb i="15300"/>
        </ext>
      </extLst>
    </bk>
    <bk>
      <extLst>
        <ext uri="{3e2802c4-a4d2-4d8b-9148-e3be6c30e623}">
          <xlrd:rvb i="15301"/>
        </ext>
      </extLst>
    </bk>
    <bk>
      <extLst>
        <ext uri="{3e2802c4-a4d2-4d8b-9148-e3be6c30e623}">
          <xlrd:rvb i="15302"/>
        </ext>
      </extLst>
    </bk>
    <bk>
      <extLst>
        <ext uri="{3e2802c4-a4d2-4d8b-9148-e3be6c30e623}">
          <xlrd:rvb i="15303"/>
        </ext>
      </extLst>
    </bk>
    <bk>
      <extLst>
        <ext uri="{3e2802c4-a4d2-4d8b-9148-e3be6c30e623}">
          <xlrd:rvb i="15304"/>
        </ext>
      </extLst>
    </bk>
    <bk>
      <extLst>
        <ext uri="{3e2802c4-a4d2-4d8b-9148-e3be6c30e623}">
          <xlrd:rvb i="15305"/>
        </ext>
      </extLst>
    </bk>
    <bk>
      <extLst>
        <ext uri="{3e2802c4-a4d2-4d8b-9148-e3be6c30e623}">
          <xlrd:rvb i="15306"/>
        </ext>
      </extLst>
    </bk>
    <bk>
      <extLst>
        <ext uri="{3e2802c4-a4d2-4d8b-9148-e3be6c30e623}">
          <xlrd:rvb i="15307"/>
        </ext>
      </extLst>
    </bk>
    <bk>
      <extLst>
        <ext uri="{3e2802c4-a4d2-4d8b-9148-e3be6c30e623}">
          <xlrd:rvb i="15308"/>
        </ext>
      </extLst>
    </bk>
    <bk>
      <extLst>
        <ext uri="{3e2802c4-a4d2-4d8b-9148-e3be6c30e623}">
          <xlrd:rvb i="15309"/>
        </ext>
      </extLst>
    </bk>
    <bk>
      <extLst>
        <ext uri="{3e2802c4-a4d2-4d8b-9148-e3be6c30e623}">
          <xlrd:rvb i="15310"/>
        </ext>
      </extLst>
    </bk>
    <bk>
      <extLst>
        <ext uri="{3e2802c4-a4d2-4d8b-9148-e3be6c30e623}">
          <xlrd:rvb i="15311"/>
        </ext>
      </extLst>
    </bk>
    <bk>
      <extLst>
        <ext uri="{3e2802c4-a4d2-4d8b-9148-e3be6c30e623}">
          <xlrd:rvb i="15312"/>
        </ext>
      </extLst>
    </bk>
    <bk>
      <extLst>
        <ext uri="{3e2802c4-a4d2-4d8b-9148-e3be6c30e623}">
          <xlrd:rvb i="15313"/>
        </ext>
      </extLst>
    </bk>
    <bk>
      <extLst>
        <ext uri="{3e2802c4-a4d2-4d8b-9148-e3be6c30e623}">
          <xlrd:rvb i="15314"/>
        </ext>
      </extLst>
    </bk>
    <bk>
      <extLst>
        <ext uri="{3e2802c4-a4d2-4d8b-9148-e3be6c30e623}">
          <xlrd:rvb i="15315"/>
        </ext>
      </extLst>
    </bk>
    <bk>
      <extLst>
        <ext uri="{3e2802c4-a4d2-4d8b-9148-e3be6c30e623}">
          <xlrd:rvb i="15316"/>
        </ext>
      </extLst>
    </bk>
    <bk>
      <extLst>
        <ext uri="{3e2802c4-a4d2-4d8b-9148-e3be6c30e623}">
          <xlrd:rvb i="15317"/>
        </ext>
      </extLst>
    </bk>
    <bk>
      <extLst>
        <ext uri="{3e2802c4-a4d2-4d8b-9148-e3be6c30e623}">
          <xlrd:rvb i="15318"/>
        </ext>
      </extLst>
    </bk>
    <bk>
      <extLst>
        <ext uri="{3e2802c4-a4d2-4d8b-9148-e3be6c30e623}">
          <xlrd:rvb i="15319"/>
        </ext>
      </extLst>
    </bk>
    <bk>
      <extLst>
        <ext uri="{3e2802c4-a4d2-4d8b-9148-e3be6c30e623}">
          <xlrd:rvb i="15320"/>
        </ext>
      </extLst>
    </bk>
    <bk>
      <extLst>
        <ext uri="{3e2802c4-a4d2-4d8b-9148-e3be6c30e623}">
          <xlrd:rvb i="15321"/>
        </ext>
      </extLst>
    </bk>
    <bk>
      <extLst>
        <ext uri="{3e2802c4-a4d2-4d8b-9148-e3be6c30e623}">
          <xlrd:rvb i="15322"/>
        </ext>
      </extLst>
    </bk>
    <bk>
      <extLst>
        <ext uri="{3e2802c4-a4d2-4d8b-9148-e3be6c30e623}">
          <xlrd:rvb i="15323"/>
        </ext>
      </extLst>
    </bk>
    <bk>
      <extLst>
        <ext uri="{3e2802c4-a4d2-4d8b-9148-e3be6c30e623}">
          <xlrd:rvb i="15324"/>
        </ext>
      </extLst>
    </bk>
    <bk>
      <extLst>
        <ext uri="{3e2802c4-a4d2-4d8b-9148-e3be6c30e623}">
          <xlrd:rvb i="15325"/>
        </ext>
      </extLst>
    </bk>
    <bk>
      <extLst>
        <ext uri="{3e2802c4-a4d2-4d8b-9148-e3be6c30e623}">
          <xlrd:rvb i="15326"/>
        </ext>
      </extLst>
    </bk>
    <bk>
      <extLst>
        <ext uri="{3e2802c4-a4d2-4d8b-9148-e3be6c30e623}">
          <xlrd:rvb i="15327"/>
        </ext>
      </extLst>
    </bk>
    <bk>
      <extLst>
        <ext uri="{3e2802c4-a4d2-4d8b-9148-e3be6c30e623}">
          <xlrd:rvb i="15328"/>
        </ext>
      </extLst>
    </bk>
    <bk>
      <extLst>
        <ext uri="{3e2802c4-a4d2-4d8b-9148-e3be6c30e623}">
          <xlrd:rvb i="15329"/>
        </ext>
      </extLst>
    </bk>
    <bk>
      <extLst>
        <ext uri="{3e2802c4-a4d2-4d8b-9148-e3be6c30e623}">
          <xlrd:rvb i="15330"/>
        </ext>
      </extLst>
    </bk>
    <bk>
      <extLst>
        <ext uri="{3e2802c4-a4d2-4d8b-9148-e3be6c30e623}">
          <xlrd:rvb i="15331"/>
        </ext>
      </extLst>
    </bk>
    <bk>
      <extLst>
        <ext uri="{3e2802c4-a4d2-4d8b-9148-e3be6c30e623}">
          <xlrd:rvb i="15332"/>
        </ext>
      </extLst>
    </bk>
    <bk>
      <extLst>
        <ext uri="{3e2802c4-a4d2-4d8b-9148-e3be6c30e623}">
          <xlrd:rvb i="15333"/>
        </ext>
      </extLst>
    </bk>
    <bk>
      <extLst>
        <ext uri="{3e2802c4-a4d2-4d8b-9148-e3be6c30e623}">
          <xlrd:rvb i="15334"/>
        </ext>
      </extLst>
    </bk>
    <bk>
      <extLst>
        <ext uri="{3e2802c4-a4d2-4d8b-9148-e3be6c30e623}">
          <xlrd:rvb i="15335"/>
        </ext>
      </extLst>
    </bk>
    <bk>
      <extLst>
        <ext uri="{3e2802c4-a4d2-4d8b-9148-e3be6c30e623}">
          <xlrd:rvb i="15336"/>
        </ext>
      </extLst>
    </bk>
    <bk>
      <extLst>
        <ext uri="{3e2802c4-a4d2-4d8b-9148-e3be6c30e623}">
          <xlrd:rvb i="15337"/>
        </ext>
      </extLst>
    </bk>
    <bk>
      <extLst>
        <ext uri="{3e2802c4-a4d2-4d8b-9148-e3be6c30e623}">
          <xlrd:rvb i="15338"/>
        </ext>
      </extLst>
    </bk>
    <bk>
      <extLst>
        <ext uri="{3e2802c4-a4d2-4d8b-9148-e3be6c30e623}">
          <xlrd:rvb i="15339"/>
        </ext>
      </extLst>
    </bk>
    <bk>
      <extLst>
        <ext uri="{3e2802c4-a4d2-4d8b-9148-e3be6c30e623}">
          <xlrd:rvb i="15340"/>
        </ext>
      </extLst>
    </bk>
    <bk>
      <extLst>
        <ext uri="{3e2802c4-a4d2-4d8b-9148-e3be6c30e623}">
          <xlrd:rvb i="15341"/>
        </ext>
      </extLst>
    </bk>
    <bk>
      <extLst>
        <ext uri="{3e2802c4-a4d2-4d8b-9148-e3be6c30e623}">
          <xlrd:rvb i="15342"/>
        </ext>
      </extLst>
    </bk>
    <bk>
      <extLst>
        <ext uri="{3e2802c4-a4d2-4d8b-9148-e3be6c30e623}">
          <xlrd:rvb i="15343"/>
        </ext>
      </extLst>
    </bk>
    <bk>
      <extLst>
        <ext uri="{3e2802c4-a4d2-4d8b-9148-e3be6c30e623}">
          <xlrd:rvb i="15344"/>
        </ext>
      </extLst>
    </bk>
    <bk>
      <extLst>
        <ext uri="{3e2802c4-a4d2-4d8b-9148-e3be6c30e623}">
          <xlrd:rvb i="15345"/>
        </ext>
      </extLst>
    </bk>
    <bk>
      <extLst>
        <ext uri="{3e2802c4-a4d2-4d8b-9148-e3be6c30e623}">
          <xlrd:rvb i="15346"/>
        </ext>
      </extLst>
    </bk>
    <bk>
      <extLst>
        <ext uri="{3e2802c4-a4d2-4d8b-9148-e3be6c30e623}">
          <xlrd:rvb i="15347"/>
        </ext>
      </extLst>
    </bk>
    <bk>
      <extLst>
        <ext uri="{3e2802c4-a4d2-4d8b-9148-e3be6c30e623}">
          <xlrd:rvb i="15348"/>
        </ext>
      </extLst>
    </bk>
    <bk>
      <extLst>
        <ext uri="{3e2802c4-a4d2-4d8b-9148-e3be6c30e623}">
          <xlrd:rvb i="15349"/>
        </ext>
      </extLst>
    </bk>
    <bk>
      <extLst>
        <ext uri="{3e2802c4-a4d2-4d8b-9148-e3be6c30e623}">
          <xlrd:rvb i="15350"/>
        </ext>
      </extLst>
    </bk>
    <bk>
      <extLst>
        <ext uri="{3e2802c4-a4d2-4d8b-9148-e3be6c30e623}">
          <xlrd:rvb i="15351"/>
        </ext>
      </extLst>
    </bk>
    <bk>
      <extLst>
        <ext uri="{3e2802c4-a4d2-4d8b-9148-e3be6c30e623}">
          <xlrd:rvb i="15352"/>
        </ext>
      </extLst>
    </bk>
    <bk>
      <extLst>
        <ext uri="{3e2802c4-a4d2-4d8b-9148-e3be6c30e623}">
          <xlrd:rvb i="15353"/>
        </ext>
      </extLst>
    </bk>
    <bk>
      <extLst>
        <ext uri="{3e2802c4-a4d2-4d8b-9148-e3be6c30e623}">
          <xlrd:rvb i="15354"/>
        </ext>
      </extLst>
    </bk>
    <bk>
      <extLst>
        <ext uri="{3e2802c4-a4d2-4d8b-9148-e3be6c30e623}">
          <xlrd:rvb i="15355"/>
        </ext>
      </extLst>
    </bk>
    <bk>
      <extLst>
        <ext uri="{3e2802c4-a4d2-4d8b-9148-e3be6c30e623}">
          <xlrd:rvb i="15356"/>
        </ext>
      </extLst>
    </bk>
    <bk>
      <extLst>
        <ext uri="{3e2802c4-a4d2-4d8b-9148-e3be6c30e623}">
          <xlrd:rvb i="15357"/>
        </ext>
      </extLst>
    </bk>
    <bk>
      <extLst>
        <ext uri="{3e2802c4-a4d2-4d8b-9148-e3be6c30e623}">
          <xlrd:rvb i="15358"/>
        </ext>
      </extLst>
    </bk>
    <bk>
      <extLst>
        <ext uri="{3e2802c4-a4d2-4d8b-9148-e3be6c30e623}">
          <xlrd:rvb i="15359"/>
        </ext>
      </extLst>
    </bk>
    <bk>
      <extLst>
        <ext uri="{3e2802c4-a4d2-4d8b-9148-e3be6c30e623}">
          <xlrd:rvb i="15360"/>
        </ext>
      </extLst>
    </bk>
    <bk>
      <extLst>
        <ext uri="{3e2802c4-a4d2-4d8b-9148-e3be6c30e623}">
          <xlrd:rvb i="15361"/>
        </ext>
      </extLst>
    </bk>
    <bk>
      <extLst>
        <ext uri="{3e2802c4-a4d2-4d8b-9148-e3be6c30e623}">
          <xlrd:rvb i="15362"/>
        </ext>
      </extLst>
    </bk>
    <bk>
      <extLst>
        <ext uri="{3e2802c4-a4d2-4d8b-9148-e3be6c30e623}">
          <xlrd:rvb i="15363"/>
        </ext>
      </extLst>
    </bk>
    <bk>
      <extLst>
        <ext uri="{3e2802c4-a4d2-4d8b-9148-e3be6c30e623}">
          <xlrd:rvb i="15364"/>
        </ext>
      </extLst>
    </bk>
    <bk>
      <extLst>
        <ext uri="{3e2802c4-a4d2-4d8b-9148-e3be6c30e623}">
          <xlrd:rvb i="15365"/>
        </ext>
      </extLst>
    </bk>
    <bk>
      <extLst>
        <ext uri="{3e2802c4-a4d2-4d8b-9148-e3be6c30e623}">
          <xlrd:rvb i="15366"/>
        </ext>
      </extLst>
    </bk>
    <bk>
      <extLst>
        <ext uri="{3e2802c4-a4d2-4d8b-9148-e3be6c30e623}">
          <xlrd:rvb i="15367"/>
        </ext>
      </extLst>
    </bk>
    <bk>
      <extLst>
        <ext uri="{3e2802c4-a4d2-4d8b-9148-e3be6c30e623}">
          <xlrd:rvb i="15368"/>
        </ext>
      </extLst>
    </bk>
    <bk>
      <extLst>
        <ext uri="{3e2802c4-a4d2-4d8b-9148-e3be6c30e623}">
          <xlrd:rvb i="15369"/>
        </ext>
      </extLst>
    </bk>
    <bk>
      <extLst>
        <ext uri="{3e2802c4-a4d2-4d8b-9148-e3be6c30e623}">
          <xlrd:rvb i="15370"/>
        </ext>
      </extLst>
    </bk>
    <bk>
      <extLst>
        <ext uri="{3e2802c4-a4d2-4d8b-9148-e3be6c30e623}">
          <xlrd:rvb i="15371"/>
        </ext>
      </extLst>
    </bk>
    <bk>
      <extLst>
        <ext uri="{3e2802c4-a4d2-4d8b-9148-e3be6c30e623}">
          <xlrd:rvb i="15372"/>
        </ext>
      </extLst>
    </bk>
    <bk>
      <extLst>
        <ext uri="{3e2802c4-a4d2-4d8b-9148-e3be6c30e623}">
          <xlrd:rvb i="15373"/>
        </ext>
      </extLst>
    </bk>
    <bk>
      <extLst>
        <ext uri="{3e2802c4-a4d2-4d8b-9148-e3be6c30e623}">
          <xlrd:rvb i="15374"/>
        </ext>
      </extLst>
    </bk>
    <bk>
      <extLst>
        <ext uri="{3e2802c4-a4d2-4d8b-9148-e3be6c30e623}">
          <xlrd:rvb i="15375"/>
        </ext>
      </extLst>
    </bk>
    <bk>
      <extLst>
        <ext uri="{3e2802c4-a4d2-4d8b-9148-e3be6c30e623}">
          <xlrd:rvb i="15376"/>
        </ext>
      </extLst>
    </bk>
    <bk>
      <extLst>
        <ext uri="{3e2802c4-a4d2-4d8b-9148-e3be6c30e623}">
          <xlrd:rvb i="15377"/>
        </ext>
      </extLst>
    </bk>
    <bk>
      <extLst>
        <ext uri="{3e2802c4-a4d2-4d8b-9148-e3be6c30e623}">
          <xlrd:rvb i="15378"/>
        </ext>
      </extLst>
    </bk>
    <bk>
      <extLst>
        <ext uri="{3e2802c4-a4d2-4d8b-9148-e3be6c30e623}">
          <xlrd:rvb i="15379"/>
        </ext>
      </extLst>
    </bk>
    <bk>
      <extLst>
        <ext uri="{3e2802c4-a4d2-4d8b-9148-e3be6c30e623}">
          <xlrd:rvb i="15380"/>
        </ext>
      </extLst>
    </bk>
    <bk>
      <extLst>
        <ext uri="{3e2802c4-a4d2-4d8b-9148-e3be6c30e623}">
          <xlrd:rvb i="15381"/>
        </ext>
      </extLst>
    </bk>
    <bk>
      <extLst>
        <ext uri="{3e2802c4-a4d2-4d8b-9148-e3be6c30e623}">
          <xlrd:rvb i="15382"/>
        </ext>
      </extLst>
    </bk>
    <bk>
      <extLst>
        <ext uri="{3e2802c4-a4d2-4d8b-9148-e3be6c30e623}">
          <xlrd:rvb i="15383"/>
        </ext>
      </extLst>
    </bk>
    <bk>
      <extLst>
        <ext uri="{3e2802c4-a4d2-4d8b-9148-e3be6c30e623}">
          <xlrd:rvb i="15384"/>
        </ext>
      </extLst>
    </bk>
    <bk>
      <extLst>
        <ext uri="{3e2802c4-a4d2-4d8b-9148-e3be6c30e623}">
          <xlrd:rvb i="15385"/>
        </ext>
      </extLst>
    </bk>
    <bk>
      <extLst>
        <ext uri="{3e2802c4-a4d2-4d8b-9148-e3be6c30e623}">
          <xlrd:rvb i="15386"/>
        </ext>
      </extLst>
    </bk>
    <bk>
      <extLst>
        <ext uri="{3e2802c4-a4d2-4d8b-9148-e3be6c30e623}">
          <xlrd:rvb i="15387"/>
        </ext>
      </extLst>
    </bk>
    <bk>
      <extLst>
        <ext uri="{3e2802c4-a4d2-4d8b-9148-e3be6c30e623}">
          <xlrd:rvb i="15388"/>
        </ext>
      </extLst>
    </bk>
    <bk>
      <extLst>
        <ext uri="{3e2802c4-a4d2-4d8b-9148-e3be6c30e623}">
          <xlrd:rvb i="15389"/>
        </ext>
      </extLst>
    </bk>
    <bk>
      <extLst>
        <ext uri="{3e2802c4-a4d2-4d8b-9148-e3be6c30e623}">
          <xlrd:rvb i="15390"/>
        </ext>
      </extLst>
    </bk>
    <bk>
      <extLst>
        <ext uri="{3e2802c4-a4d2-4d8b-9148-e3be6c30e623}">
          <xlrd:rvb i="15391"/>
        </ext>
      </extLst>
    </bk>
    <bk>
      <extLst>
        <ext uri="{3e2802c4-a4d2-4d8b-9148-e3be6c30e623}">
          <xlrd:rvb i="15392"/>
        </ext>
      </extLst>
    </bk>
    <bk>
      <extLst>
        <ext uri="{3e2802c4-a4d2-4d8b-9148-e3be6c30e623}">
          <xlrd:rvb i="15393"/>
        </ext>
      </extLst>
    </bk>
    <bk>
      <extLst>
        <ext uri="{3e2802c4-a4d2-4d8b-9148-e3be6c30e623}">
          <xlrd:rvb i="15394"/>
        </ext>
      </extLst>
    </bk>
    <bk>
      <extLst>
        <ext uri="{3e2802c4-a4d2-4d8b-9148-e3be6c30e623}">
          <xlrd:rvb i="15395"/>
        </ext>
      </extLst>
    </bk>
    <bk>
      <extLst>
        <ext uri="{3e2802c4-a4d2-4d8b-9148-e3be6c30e623}">
          <xlrd:rvb i="15396"/>
        </ext>
      </extLst>
    </bk>
    <bk>
      <extLst>
        <ext uri="{3e2802c4-a4d2-4d8b-9148-e3be6c30e623}">
          <xlrd:rvb i="15397"/>
        </ext>
      </extLst>
    </bk>
    <bk>
      <extLst>
        <ext uri="{3e2802c4-a4d2-4d8b-9148-e3be6c30e623}">
          <xlrd:rvb i="15398"/>
        </ext>
      </extLst>
    </bk>
    <bk>
      <extLst>
        <ext uri="{3e2802c4-a4d2-4d8b-9148-e3be6c30e623}">
          <xlrd:rvb i="15399"/>
        </ext>
      </extLst>
    </bk>
    <bk>
      <extLst>
        <ext uri="{3e2802c4-a4d2-4d8b-9148-e3be6c30e623}">
          <xlrd:rvb i="15400"/>
        </ext>
      </extLst>
    </bk>
    <bk>
      <extLst>
        <ext uri="{3e2802c4-a4d2-4d8b-9148-e3be6c30e623}">
          <xlrd:rvb i="15401"/>
        </ext>
      </extLst>
    </bk>
    <bk>
      <extLst>
        <ext uri="{3e2802c4-a4d2-4d8b-9148-e3be6c30e623}">
          <xlrd:rvb i="15402"/>
        </ext>
      </extLst>
    </bk>
    <bk>
      <extLst>
        <ext uri="{3e2802c4-a4d2-4d8b-9148-e3be6c30e623}">
          <xlrd:rvb i="15403"/>
        </ext>
      </extLst>
    </bk>
    <bk>
      <extLst>
        <ext uri="{3e2802c4-a4d2-4d8b-9148-e3be6c30e623}">
          <xlrd:rvb i="15404"/>
        </ext>
      </extLst>
    </bk>
    <bk>
      <extLst>
        <ext uri="{3e2802c4-a4d2-4d8b-9148-e3be6c30e623}">
          <xlrd:rvb i="15405"/>
        </ext>
      </extLst>
    </bk>
    <bk>
      <extLst>
        <ext uri="{3e2802c4-a4d2-4d8b-9148-e3be6c30e623}">
          <xlrd:rvb i="15406"/>
        </ext>
      </extLst>
    </bk>
    <bk>
      <extLst>
        <ext uri="{3e2802c4-a4d2-4d8b-9148-e3be6c30e623}">
          <xlrd:rvb i="15407"/>
        </ext>
      </extLst>
    </bk>
    <bk>
      <extLst>
        <ext uri="{3e2802c4-a4d2-4d8b-9148-e3be6c30e623}">
          <xlrd:rvb i="15408"/>
        </ext>
      </extLst>
    </bk>
    <bk>
      <extLst>
        <ext uri="{3e2802c4-a4d2-4d8b-9148-e3be6c30e623}">
          <xlrd:rvb i="15409"/>
        </ext>
      </extLst>
    </bk>
    <bk>
      <extLst>
        <ext uri="{3e2802c4-a4d2-4d8b-9148-e3be6c30e623}">
          <xlrd:rvb i="15410"/>
        </ext>
      </extLst>
    </bk>
    <bk>
      <extLst>
        <ext uri="{3e2802c4-a4d2-4d8b-9148-e3be6c30e623}">
          <xlrd:rvb i="15411"/>
        </ext>
      </extLst>
    </bk>
    <bk>
      <extLst>
        <ext uri="{3e2802c4-a4d2-4d8b-9148-e3be6c30e623}">
          <xlrd:rvb i="15412"/>
        </ext>
      </extLst>
    </bk>
    <bk>
      <extLst>
        <ext uri="{3e2802c4-a4d2-4d8b-9148-e3be6c30e623}">
          <xlrd:rvb i="15413"/>
        </ext>
      </extLst>
    </bk>
    <bk>
      <extLst>
        <ext uri="{3e2802c4-a4d2-4d8b-9148-e3be6c30e623}">
          <xlrd:rvb i="15414"/>
        </ext>
      </extLst>
    </bk>
    <bk>
      <extLst>
        <ext uri="{3e2802c4-a4d2-4d8b-9148-e3be6c30e623}">
          <xlrd:rvb i="15415"/>
        </ext>
      </extLst>
    </bk>
    <bk>
      <extLst>
        <ext uri="{3e2802c4-a4d2-4d8b-9148-e3be6c30e623}">
          <xlrd:rvb i="15416"/>
        </ext>
      </extLst>
    </bk>
    <bk>
      <extLst>
        <ext uri="{3e2802c4-a4d2-4d8b-9148-e3be6c30e623}">
          <xlrd:rvb i="15417"/>
        </ext>
      </extLst>
    </bk>
    <bk>
      <extLst>
        <ext uri="{3e2802c4-a4d2-4d8b-9148-e3be6c30e623}">
          <xlrd:rvb i="15418"/>
        </ext>
      </extLst>
    </bk>
    <bk>
      <extLst>
        <ext uri="{3e2802c4-a4d2-4d8b-9148-e3be6c30e623}">
          <xlrd:rvb i="15419"/>
        </ext>
      </extLst>
    </bk>
    <bk>
      <extLst>
        <ext uri="{3e2802c4-a4d2-4d8b-9148-e3be6c30e623}">
          <xlrd:rvb i="15420"/>
        </ext>
      </extLst>
    </bk>
    <bk>
      <extLst>
        <ext uri="{3e2802c4-a4d2-4d8b-9148-e3be6c30e623}">
          <xlrd:rvb i="15421"/>
        </ext>
      </extLst>
    </bk>
    <bk>
      <extLst>
        <ext uri="{3e2802c4-a4d2-4d8b-9148-e3be6c30e623}">
          <xlrd:rvb i="15422"/>
        </ext>
      </extLst>
    </bk>
    <bk>
      <extLst>
        <ext uri="{3e2802c4-a4d2-4d8b-9148-e3be6c30e623}">
          <xlrd:rvb i="15423"/>
        </ext>
      </extLst>
    </bk>
    <bk>
      <extLst>
        <ext uri="{3e2802c4-a4d2-4d8b-9148-e3be6c30e623}">
          <xlrd:rvb i="15424"/>
        </ext>
      </extLst>
    </bk>
    <bk>
      <extLst>
        <ext uri="{3e2802c4-a4d2-4d8b-9148-e3be6c30e623}">
          <xlrd:rvb i="15425"/>
        </ext>
      </extLst>
    </bk>
    <bk>
      <extLst>
        <ext uri="{3e2802c4-a4d2-4d8b-9148-e3be6c30e623}">
          <xlrd:rvb i="15426"/>
        </ext>
      </extLst>
    </bk>
    <bk>
      <extLst>
        <ext uri="{3e2802c4-a4d2-4d8b-9148-e3be6c30e623}">
          <xlrd:rvb i="15427"/>
        </ext>
      </extLst>
    </bk>
    <bk>
      <extLst>
        <ext uri="{3e2802c4-a4d2-4d8b-9148-e3be6c30e623}">
          <xlrd:rvb i="15428"/>
        </ext>
      </extLst>
    </bk>
    <bk>
      <extLst>
        <ext uri="{3e2802c4-a4d2-4d8b-9148-e3be6c30e623}">
          <xlrd:rvb i="15429"/>
        </ext>
      </extLst>
    </bk>
    <bk>
      <extLst>
        <ext uri="{3e2802c4-a4d2-4d8b-9148-e3be6c30e623}">
          <xlrd:rvb i="15430"/>
        </ext>
      </extLst>
    </bk>
    <bk>
      <extLst>
        <ext uri="{3e2802c4-a4d2-4d8b-9148-e3be6c30e623}">
          <xlrd:rvb i="15431"/>
        </ext>
      </extLst>
    </bk>
    <bk>
      <extLst>
        <ext uri="{3e2802c4-a4d2-4d8b-9148-e3be6c30e623}">
          <xlrd:rvb i="15432"/>
        </ext>
      </extLst>
    </bk>
    <bk>
      <extLst>
        <ext uri="{3e2802c4-a4d2-4d8b-9148-e3be6c30e623}">
          <xlrd:rvb i="15433"/>
        </ext>
      </extLst>
    </bk>
    <bk>
      <extLst>
        <ext uri="{3e2802c4-a4d2-4d8b-9148-e3be6c30e623}">
          <xlrd:rvb i="15434"/>
        </ext>
      </extLst>
    </bk>
    <bk>
      <extLst>
        <ext uri="{3e2802c4-a4d2-4d8b-9148-e3be6c30e623}">
          <xlrd:rvb i="15435"/>
        </ext>
      </extLst>
    </bk>
    <bk>
      <extLst>
        <ext uri="{3e2802c4-a4d2-4d8b-9148-e3be6c30e623}">
          <xlrd:rvb i="15436"/>
        </ext>
      </extLst>
    </bk>
    <bk>
      <extLst>
        <ext uri="{3e2802c4-a4d2-4d8b-9148-e3be6c30e623}">
          <xlrd:rvb i="15437"/>
        </ext>
      </extLst>
    </bk>
    <bk>
      <extLst>
        <ext uri="{3e2802c4-a4d2-4d8b-9148-e3be6c30e623}">
          <xlrd:rvb i="15438"/>
        </ext>
      </extLst>
    </bk>
    <bk>
      <extLst>
        <ext uri="{3e2802c4-a4d2-4d8b-9148-e3be6c30e623}">
          <xlrd:rvb i="15439"/>
        </ext>
      </extLst>
    </bk>
    <bk>
      <extLst>
        <ext uri="{3e2802c4-a4d2-4d8b-9148-e3be6c30e623}">
          <xlrd:rvb i="15440"/>
        </ext>
      </extLst>
    </bk>
    <bk>
      <extLst>
        <ext uri="{3e2802c4-a4d2-4d8b-9148-e3be6c30e623}">
          <xlrd:rvb i="15441"/>
        </ext>
      </extLst>
    </bk>
    <bk>
      <extLst>
        <ext uri="{3e2802c4-a4d2-4d8b-9148-e3be6c30e623}">
          <xlrd:rvb i="15442"/>
        </ext>
      </extLst>
    </bk>
    <bk>
      <extLst>
        <ext uri="{3e2802c4-a4d2-4d8b-9148-e3be6c30e623}">
          <xlrd:rvb i="15443"/>
        </ext>
      </extLst>
    </bk>
    <bk>
      <extLst>
        <ext uri="{3e2802c4-a4d2-4d8b-9148-e3be6c30e623}">
          <xlrd:rvb i="15444"/>
        </ext>
      </extLst>
    </bk>
    <bk>
      <extLst>
        <ext uri="{3e2802c4-a4d2-4d8b-9148-e3be6c30e623}">
          <xlrd:rvb i="15445"/>
        </ext>
      </extLst>
    </bk>
    <bk>
      <extLst>
        <ext uri="{3e2802c4-a4d2-4d8b-9148-e3be6c30e623}">
          <xlrd:rvb i="15446"/>
        </ext>
      </extLst>
    </bk>
    <bk>
      <extLst>
        <ext uri="{3e2802c4-a4d2-4d8b-9148-e3be6c30e623}">
          <xlrd:rvb i="15447"/>
        </ext>
      </extLst>
    </bk>
    <bk>
      <extLst>
        <ext uri="{3e2802c4-a4d2-4d8b-9148-e3be6c30e623}">
          <xlrd:rvb i="15448"/>
        </ext>
      </extLst>
    </bk>
    <bk>
      <extLst>
        <ext uri="{3e2802c4-a4d2-4d8b-9148-e3be6c30e623}">
          <xlrd:rvb i="15449"/>
        </ext>
      </extLst>
    </bk>
    <bk>
      <extLst>
        <ext uri="{3e2802c4-a4d2-4d8b-9148-e3be6c30e623}">
          <xlrd:rvb i="15450"/>
        </ext>
      </extLst>
    </bk>
    <bk>
      <extLst>
        <ext uri="{3e2802c4-a4d2-4d8b-9148-e3be6c30e623}">
          <xlrd:rvb i="15451"/>
        </ext>
      </extLst>
    </bk>
    <bk>
      <extLst>
        <ext uri="{3e2802c4-a4d2-4d8b-9148-e3be6c30e623}">
          <xlrd:rvb i="15452"/>
        </ext>
      </extLst>
    </bk>
    <bk>
      <extLst>
        <ext uri="{3e2802c4-a4d2-4d8b-9148-e3be6c30e623}">
          <xlrd:rvb i="15453"/>
        </ext>
      </extLst>
    </bk>
    <bk>
      <extLst>
        <ext uri="{3e2802c4-a4d2-4d8b-9148-e3be6c30e623}">
          <xlrd:rvb i="15454"/>
        </ext>
      </extLst>
    </bk>
    <bk>
      <extLst>
        <ext uri="{3e2802c4-a4d2-4d8b-9148-e3be6c30e623}">
          <xlrd:rvb i="15455"/>
        </ext>
      </extLst>
    </bk>
    <bk>
      <extLst>
        <ext uri="{3e2802c4-a4d2-4d8b-9148-e3be6c30e623}">
          <xlrd:rvb i="15456"/>
        </ext>
      </extLst>
    </bk>
    <bk>
      <extLst>
        <ext uri="{3e2802c4-a4d2-4d8b-9148-e3be6c30e623}">
          <xlrd:rvb i="15457"/>
        </ext>
      </extLst>
    </bk>
    <bk>
      <extLst>
        <ext uri="{3e2802c4-a4d2-4d8b-9148-e3be6c30e623}">
          <xlrd:rvb i="15458"/>
        </ext>
      </extLst>
    </bk>
    <bk>
      <extLst>
        <ext uri="{3e2802c4-a4d2-4d8b-9148-e3be6c30e623}">
          <xlrd:rvb i="15459"/>
        </ext>
      </extLst>
    </bk>
    <bk>
      <extLst>
        <ext uri="{3e2802c4-a4d2-4d8b-9148-e3be6c30e623}">
          <xlrd:rvb i="15460"/>
        </ext>
      </extLst>
    </bk>
    <bk>
      <extLst>
        <ext uri="{3e2802c4-a4d2-4d8b-9148-e3be6c30e623}">
          <xlrd:rvb i="15461"/>
        </ext>
      </extLst>
    </bk>
    <bk>
      <extLst>
        <ext uri="{3e2802c4-a4d2-4d8b-9148-e3be6c30e623}">
          <xlrd:rvb i="15462"/>
        </ext>
      </extLst>
    </bk>
    <bk>
      <extLst>
        <ext uri="{3e2802c4-a4d2-4d8b-9148-e3be6c30e623}">
          <xlrd:rvb i="15463"/>
        </ext>
      </extLst>
    </bk>
    <bk>
      <extLst>
        <ext uri="{3e2802c4-a4d2-4d8b-9148-e3be6c30e623}">
          <xlrd:rvb i="15464"/>
        </ext>
      </extLst>
    </bk>
    <bk>
      <extLst>
        <ext uri="{3e2802c4-a4d2-4d8b-9148-e3be6c30e623}">
          <xlrd:rvb i="15465"/>
        </ext>
      </extLst>
    </bk>
    <bk>
      <extLst>
        <ext uri="{3e2802c4-a4d2-4d8b-9148-e3be6c30e623}">
          <xlrd:rvb i="15466"/>
        </ext>
      </extLst>
    </bk>
    <bk>
      <extLst>
        <ext uri="{3e2802c4-a4d2-4d8b-9148-e3be6c30e623}">
          <xlrd:rvb i="15467"/>
        </ext>
      </extLst>
    </bk>
    <bk>
      <extLst>
        <ext uri="{3e2802c4-a4d2-4d8b-9148-e3be6c30e623}">
          <xlrd:rvb i="15468"/>
        </ext>
      </extLst>
    </bk>
    <bk>
      <extLst>
        <ext uri="{3e2802c4-a4d2-4d8b-9148-e3be6c30e623}">
          <xlrd:rvb i="15469"/>
        </ext>
      </extLst>
    </bk>
    <bk>
      <extLst>
        <ext uri="{3e2802c4-a4d2-4d8b-9148-e3be6c30e623}">
          <xlrd:rvb i="15470"/>
        </ext>
      </extLst>
    </bk>
    <bk>
      <extLst>
        <ext uri="{3e2802c4-a4d2-4d8b-9148-e3be6c30e623}">
          <xlrd:rvb i="15471"/>
        </ext>
      </extLst>
    </bk>
    <bk>
      <extLst>
        <ext uri="{3e2802c4-a4d2-4d8b-9148-e3be6c30e623}">
          <xlrd:rvb i="15472"/>
        </ext>
      </extLst>
    </bk>
    <bk>
      <extLst>
        <ext uri="{3e2802c4-a4d2-4d8b-9148-e3be6c30e623}">
          <xlrd:rvb i="15473"/>
        </ext>
      </extLst>
    </bk>
    <bk>
      <extLst>
        <ext uri="{3e2802c4-a4d2-4d8b-9148-e3be6c30e623}">
          <xlrd:rvb i="15474"/>
        </ext>
      </extLst>
    </bk>
    <bk>
      <extLst>
        <ext uri="{3e2802c4-a4d2-4d8b-9148-e3be6c30e623}">
          <xlrd:rvb i="15475"/>
        </ext>
      </extLst>
    </bk>
    <bk>
      <extLst>
        <ext uri="{3e2802c4-a4d2-4d8b-9148-e3be6c30e623}">
          <xlrd:rvb i="15476"/>
        </ext>
      </extLst>
    </bk>
    <bk>
      <extLst>
        <ext uri="{3e2802c4-a4d2-4d8b-9148-e3be6c30e623}">
          <xlrd:rvb i="15477"/>
        </ext>
      </extLst>
    </bk>
    <bk>
      <extLst>
        <ext uri="{3e2802c4-a4d2-4d8b-9148-e3be6c30e623}">
          <xlrd:rvb i="15478"/>
        </ext>
      </extLst>
    </bk>
    <bk>
      <extLst>
        <ext uri="{3e2802c4-a4d2-4d8b-9148-e3be6c30e623}">
          <xlrd:rvb i="15479"/>
        </ext>
      </extLst>
    </bk>
    <bk>
      <extLst>
        <ext uri="{3e2802c4-a4d2-4d8b-9148-e3be6c30e623}">
          <xlrd:rvb i="15480"/>
        </ext>
      </extLst>
    </bk>
    <bk>
      <extLst>
        <ext uri="{3e2802c4-a4d2-4d8b-9148-e3be6c30e623}">
          <xlrd:rvb i="15481"/>
        </ext>
      </extLst>
    </bk>
    <bk>
      <extLst>
        <ext uri="{3e2802c4-a4d2-4d8b-9148-e3be6c30e623}">
          <xlrd:rvb i="15482"/>
        </ext>
      </extLst>
    </bk>
    <bk>
      <extLst>
        <ext uri="{3e2802c4-a4d2-4d8b-9148-e3be6c30e623}">
          <xlrd:rvb i="15483"/>
        </ext>
      </extLst>
    </bk>
    <bk>
      <extLst>
        <ext uri="{3e2802c4-a4d2-4d8b-9148-e3be6c30e623}">
          <xlrd:rvb i="15484"/>
        </ext>
      </extLst>
    </bk>
    <bk>
      <extLst>
        <ext uri="{3e2802c4-a4d2-4d8b-9148-e3be6c30e623}">
          <xlrd:rvb i="15485"/>
        </ext>
      </extLst>
    </bk>
    <bk>
      <extLst>
        <ext uri="{3e2802c4-a4d2-4d8b-9148-e3be6c30e623}">
          <xlrd:rvb i="15486"/>
        </ext>
      </extLst>
    </bk>
    <bk>
      <extLst>
        <ext uri="{3e2802c4-a4d2-4d8b-9148-e3be6c30e623}">
          <xlrd:rvb i="15487"/>
        </ext>
      </extLst>
    </bk>
    <bk>
      <extLst>
        <ext uri="{3e2802c4-a4d2-4d8b-9148-e3be6c30e623}">
          <xlrd:rvb i="15488"/>
        </ext>
      </extLst>
    </bk>
    <bk>
      <extLst>
        <ext uri="{3e2802c4-a4d2-4d8b-9148-e3be6c30e623}">
          <xlrd:rvb i="15489"/>
        </ext>
      </extLst>
    </bk>
    <bk>
      <extLst>
        <ext uri="{3e2802c4-a4d2-4d8b-9148-e3be6c30e623}">
          <xlrd:rvb i="15490"/>
        </ext>
      </extLst>
    </bk>
    <bk>
      <extLst>
        <ext uri="{3e2802c4-a4d2-4d8b-9148-e3be6c30e623}">
          <xlrd:rvb i="15491"/>
        </ext>
      </extLst>
    </bk>
    <bk>
      <extLst>
        <ext uri="{3e2802c4-a4d2-4d8b-9148-e3be6c30e623}">
          <xlrd:rvb i="15492"/>
        </ext>
      </extLst>
    </bk>
    <bk>
      <extLst>
        <ext uri="{3e2802c4-a4d2-4d8b-9148-e3be6c30e623}">
          <xlrd:rvb i="15493"/>
        </ext>
      </extLst>
    </bk>
    <bk>
      <extLst>
        <ext uri="{3e2802c4-a4d2-4d8b-9148-e3be6c30e623}">
          <xlrd:rvb i="15494"/>
        </ext>
      </extLst>
    </bk>
    <bk>
      <extLst>
        <ext uri="{3e2802c4-a4d2-4d8b-9148-e3be6c30e623}">
          <xlrd:rvb i="15495"/>
        </ext>
      </extLst>
    </bk>
    <bk>
      <extLst>
        <ext uri="{3e2802c4-a4d2-4d8b-9148-e3be6c30e623}">
          <xlrd:rvb i="15496"/>
        </ext>
      </extLst>
    </bk>
    <bk>
      <extLst>
        <ext uri="{3e2802c4-a4d2-4d8b-9148-e3be6c30e623}">
          <xlrd:rvb i="15497"/>
        </ext>
      </extLst>
    </bk>
    <bk>
      <extLst>
        <ext uri="{3e2802c4-a4d2-4d8b-9148-e3be6c30e623}">
          <xlrd:rvb i="15498"/>
        </ext>
      </extLst>
    </bk>
    <bk>
      <extLst>
        <ext uri="{3e2802c4-a4d2-4d8b-9148-e3be6c30e623}">
          <xlrd:rvb i="15499"/>
        </ext>
      </extLst>
    </bk>
    <bk>
      <extLst>
        <ext uri="{3e2802c4-a4d2-4d8b-9148-e3be6c30e623}">
          <xlrd:rvb i="15500"/>
        </ext>
      </extLst>
    </bk>
    <bk>
      <extLst>
        <ext uri="{3e2802c4-a4d2-4d8b-9148-e3be6c30e623}">
          <xlrd:rvb i="15501"/>
        </ext>
      </extLst>
    </bk>
    <bk>
      <extLst>
        <ext uri="{3e2802c4-a4d2-4d8b-9148-e3be6c30e623}">
          <xlrd:rvb i="15502"/>
        </ext>
      </extLst>
    </bk>
    <bk>
      <extLst>
        <ext uri="{3e2802c4-a4d2-4d8b-9148-e3be6c30e623}">
          <xlrd:rvb i="15503"/>
        </ext>
      </extLst>
    </bk>
    <bk>
      <extLst>
        <ext uri="{3e2802c4-a4d2-4d8b-9148-e3be6c30e623}">
          <xlrd:rvb i="15504"/>
        </ext>
      </extLst>
    </bk>
    <bk>
      <extLst>
        <ext uri="{3e2802c4-a4d2-4d8b-9148-e3be6c30e623}">
          <xlrd:rvb i="15505"/>
        </ext>
      </extLst>
    </bk>
    <bk>
      <extLst>
        <ext uri="{3e2802c4-a4d2-4d8b-9148-e3be6c30e623}">
          <xlrd:rvb i="15506"/>
        </ext>
      </extLst>
    </bk>
    <bk>
      <extLst>
        <ext uri="{3e2802c4-a4d2-4d8b-9148-e3be6c30e623}">
          <xlrd:rvb i="15507"/>
        </ext>
      </extLst>
    </bk>
    <bk>
      <extLst>
        <ext uri="{3e2802c4-a4d2-4d8b-9148-e3be6c30e623}">
          <xlrd:rvb i="15508"/>
        </ext>
      </extLst>
    </bk>
    <bk>
      <extLst>
        <ext uri="{3e2802c4-a4d2-4d8b-9148-e3be6c30e623}">
          <xlrd:rvb i="15509"/>
        </ext>
      </extLst>
    </bk>
    <bk>
      <extLst>
        <ext uri="{3e2802c4-a4d2-4d8b-9148-e3be6c30e623}">
          <xlrd:rvb i="15510"/>
        </ext>
      </extLst>
    </bk>
    <bk>
      <extLst>
        <ext uri="{3e2802c4-a4d2-4d8b-9148-e3be6c30e623}">
          <xlrd:rvb i="15511"/>
        </ext>
      </extLst>
    </bk>
    <bk>
      <extLst>
        <ext uri="{3e2802c4-a4d2-4d8b-9148-e3be6c30e623}">
          <xlrd:rvb i="15512"/>
        </ext>
      </extLst>
    </bk>
    <bk>
      <extLst>
        <ext uri="{3e2802c4-a4d2-4d8b-9148-e3be6c30e623}">
          <xlrd:rvb i="15513"/>
        </ext>
      </extLst>
    </bk>
    <bk>
      <extLst>
        <ext uri="{3e2802c4-a4d2-4d8b-9148-e3be6c30e623}">
          <xlrd:rvb i="15514"/>
        </ext>
      </extLst>
    </bk>
    <bk>
      <extLst>
        <ext uri="{3e2802c4-a4d2-4d8b-9148-e3be6c30e623}">
          <xlrd:rvb i="15515"/>
        </ext>
      </extLst>
    </bk>
    <bk>
      <extLst>
        <ext uri="{3e2802c4-a4d2-4d8b-9148-e3be6c30e623}">
          <xlrd:rvb i="15516"/>
        </ext>
      </extLst>
    </bk>
    <bk>
      <extLst>
        <ext uri="{3e2802c4-a4d2-4d8b-9148-e3be6c30e623}">
          <xlrd:rvb i="15517"/>
        </ext>
      </extLst>
    </bk>
    <bk>
      <extLst>
        <ext uri="{3e2802c4-a4d2-4d8b-9148-e3be6c30e623}">
          <xlrd:rvb i="15518"/>
        </ext>
      </extLst>
    </bk>
    <bk>
      <extLst>
        <ext uri="{3e2802c4-a4d2-4d8b-9148-e3be6c30e623}">
          <xlrd:rvb i="15519"/>
        </ext>
      </extLst>
    </bk>
    <bk>
      <extLst>
        <ext uri="{3e2802c4-a4d2-4d8b-9148-e3be6c30e623}">
          <xlrd:rvb i="15520"/>
        </ext>
      </extLst>
    </bk>
    <bk>
      <extLst>
        <ext uri="{3e2802c4-a4d2-4d8b-9148-e3be6c30e623}">
          <xlrd:rvb i="15521"/>
        </ext>
      </extLst>
    </bk>
    <bk>
      <extLst>
        <ext uri="{3e2802c4-a4d2-4d8b-9148-e3be6c30e623}">
          <xlrd:rvb i="15522"/>
        </ext>
      </extLst>
    </bk>
    <bk>
      <extLst>
        <ext uri="{3e2802c4-a4d2-4d8b-9148-e3be6c30e623}">
          <xlrd:rvb i="15523"/>
        </ext>
      </extLst>
    </bk>
    <bk>
      <extLst>
        <ext uri="{3e2802c4-a4d2-4d8b-9148-e3be6c30e623}">
          <xlrd:rvb i="15524"/>
        </ext>
      </extLst>
    </bk>
    <bk>
      <extLst>
        <ext uri="{3e2802c4-a4d2-4d8b-9148-e3be6c30e623}">
          <xlrd:rvb i="15525"/>
        </ext>
      </extLst>
    </bk>
    <bk>
      <extLst>
        <ext uri="{3e2802c4-a4d2-4d8b-9148-e3be6c30e623}">
          <xlrd:rvb i="15526"/>
        </ext>
      </extLst>
    </bk>
    <bk>
      <extLst>
        <ext uri="{3e2802c4-a4d2-4d8b-9148-e3be6c30e623}">
          <xlrd:rvb i="15527"/>
        </ext>
      </extLst>
    </bk>
    <bk>
      <extLst>
        <ext uri="{3e2802c4-a4d2-4d8b-9148-e3be6c30e623}">
          <xlrd:rvb i="15528"/>
        </ext>
      </extLst>
    </bk>
    <bk>
      <extLst>
        <ext uri="{3e2802c4-a4d2-4d8b-9148-e3be6c30e623}">
          <xlrd:rvb i="15529"/>
        </ext>
      </extLst>
    </bk>
    <bk>
      <extLst>
        <ext uri="{3e2802c4-a4d2-4d8b-9148-e3be6c30e623}">
          <xlrd:rvb i="15530"/>
        </ext>
      </extLst>
    </bk>
    <bk>
      <extLst>
        <ext uri="{3e2802c4-a4d2-4d8b-9148-e3be6c30e623}">
          <xlrd:rvb i="15531"/>
        </ext>
      </extLst>
    </bk>
    <bk>
      <extLst>
        <ext uri="{3e2802c4-a4d2-4d8b-9148-e3be6c30e623}">
          <xlrd:rvb i="15532"/>
        </ext>
      </extLst>
    </bk>
    <bk>
      <extLst>
        <ext uri="{3e2802c4-a4d2-4d8b-9148-e3be6c30e623}">
          <xlrd:rvb i="15533"/>
        </ext>
      </extLst>
    </bk>
    <bk>
      <extLst>
        <ext uri="{3e2802c4-a4d2-4d8b-9148-e3be6c30e623}">
          <xlrd:rvb i="15534"/>
        </ext>
      </extLst>
    </bk>
    <bk>
      <extLst>
        <ext uri="{3e2802c4-a4d2-4d8b-9148-e3be6c30e623}">
          <xlrd:rvb i="15535"/>
        </ext>
      </extLst>
    </bk>
    <bk>
      <extLst>
        <ext uri="{3e2802c4-a4d2-4d8b-9148-e3be6c30e623}">
          <xlrd:rvb i="15536"/>
        </ext>
      </extLst>
    </bk>
    <bk>
      <extLst>
        <ext uri="{3e2802c4-a4d2-4d8b-9148-e3be6c30e623}">
          <xlrd:rvb i="15537"/>
        </ext>
      </extLst>
    </bk>
    <bk>
      <extLst>
        <ext uri="{3e2802c4-a4d2-4d8b-9148-e3be6c30e623}">
          <xlrd:rvb i="15538"/>
        </ext>
      </extLst>
    </bk>
    <bk>
      <extLst>
        <ext uri="{3e2802c4-a4d2-4d8b-9148-e3be6c30e623}">
          <xlrd:rvb i="15539"/>
        </ext>
      </extLst>
    </bk>
    <bk>
      <extLst>
        <ext uri="{3e2802c4-a4d2-4d8b-9148-e3be6c30e623}">
          <xlrd:rvb i="15540"/>
        </ext>
      </extLst>
    </bk>
    <bk>
      <extLst>
        <ext uri="{3e2802c4-a4d2-4d8b-9148-e3be6c30e623}">
          <xlrd:rvb i="15541"/>
        </ext>
      </extLst>
    </bk>
    <bk>
      <extLst>
        <ext uri="{3e2802c4-a4d2-4d8b-9148-e3be6c30e623}">
          <xlrd:rvb i="15542"/>
        </ext>
      </extLst>
    </bk>
    <bk>
      <extLst>
        <ext uri="{3e2802c4-a4d2-4d8b-9148-e3be6c30e623}">
          <xlrd:rvb i="15543"/>
        </ext>
      </extLst>
    </bk>
    <bk>
      <extLst>
        <ext uri="{3e2802c4-a4d2-4d8b-9148-e3be6c30e623}">
          <xlrd:rvb i="15544"/>
        </ext>
      </extLst>
    </bk>
    <bk>
      <extLst>
        <ext uri="{3e2802c4-a4d2-4d8b-9148-e3be6c30e623}">
          <xlrd:rvb i="15545"/>
        </ext>
      </extLst>
    </bk>
    <bk>
      <extLst>
        <ext uri="{3e2802c4-a4d2-4d8b-9148-e3be6c30e623}">
          <xlrd:rvb i="15546"/>
        </ext>
      </extLst>
    </bk>
    <bk>
      <extLst>
        <ext uri="{3e2802c4-a4d2-4d8b-9148-e3be6c30e623}">
          <xlrd:rvb i="15547"/>
        </ext>
      </extLst>
    </bk>
    <bk>
      <extLst>
        <ext uri="{3e2802c4-a4d2-4d8b-9148-e3be6c30e623}">
          <xlrd:rvb i="15548"/>
        </ext>
      </extLst>
    </bk>
    <bk>
      <extLst>
        <ext uri="{3e2802c4-a4d2-4d8b-9148-e3be6c30e623}">
          <xlrd:rvb i="15549"/>
        </ext>
      </extLst>
    </bk>
    <bk>
      <extLst>
        <ext uri="{3e2802c4-a4d2-4d8b-9148-e3be6c30e623}">
          <xlrd:rvb i="15550"/>
        </ext>
      </extLst>
    </bk>
    <bk>
      <extLst>
        <ext uri="{3e2802c4-a4d2-4d8b-9148-e3be6c30e623}">
          <xlrd:rvb i="15551"/>
        </ext>
      </extLst>
    </bk>
    <bk>
      <extLst>
        <ext uri="{3e2802c4-a4d2-4d8b-9148-e3be6c30e623}">
          <xlrd:rvb i="15552"/>
        </ext>
      </extLst>
    </bk>
    <bk>
      <extLst>
        <ext uri="{3e2802c4-a4d2-4d8b-9148-e3be6c30e623}">
          <xlrd:rvb i="15553"/>
        </ext>
      </extLst>
    </bk>
    <bk>
      <extLst>
        <ext uri="{3e2802c4-a4d2-4d8b-9148-e3be6c30e623}">
          <xlrd:rvb i="15554"/>
        </ext>
      </extLst>
    </bk>
    <bk>
      <extLst>
        <ext uri="{3e2802c4-a4d2-4d8b-9148-e3be6c30e623}">
          <xlrd:rvb i="15555"/>
        </ext>
      </extLst>
    </bk>
    <bk>
      <extLst>
        <ext uri="{3e2802c4-a4d2-4d8b-9148-e3be6c30e623}">
          <xlrd:rvb i="15556"/>
        </ext>
      </extLst>
    </bk>
    <bk>
      <extLst>
        <ext uri="{3e2802c4-a4d2-4d8b-9148-e3be6c30e623}">
          <xlrd:rvb i="15557"/>
        </ext>
      </extLst>
    </bk>
    <bk>
      <extLst>
        <ext uri="{3e2802c4-a4d2-4d8b-9148-e3be6c30e623}">
          <xlrd:rvb i="15558"/>
        </ext>
      </extLst>
    </bk>
    <bk>
      <extLst>
        <ext uri="{3e2802c4-a4d2-4d8b-9148-e3be6c30e623}">
          <xlrd:rvb i="15559"/>
        </ext>
      </extLst>
    </bk>
    <bk>
      <extLst>
        <ext uri="{3e2802c4-a4d2-4d8b-9148-e3be6c30e623}">
          <xlrd:rvb i="15560"/>
        </ext>
      </extLst>
    </bk>
    <bk>
      <extLst>
        <ext uri="{3e2802c4-a4d2-4d8b-9148-e3be6c30e623}">
          <xlrd:rvb i="15561"/>
        </ext>
      </extLst>
    </bk>
    <bk>
      <extLst>
        <ext uri="{3e2802c4-a4d2-4d8b-9148-e3be6c30e623}">
          <xlrd:rvb i="15562"/>
        </ext>
      </extLst>
    </bk>
    <bk>
      <extLst>
        <ext uri="{3e2802c4-a4d2-4d8b-9148-e3be6c30e623}">
          <xlrd:rvb i="15563"/>
        </ext>
      </extLst>
    </bk>
    <bk>
      <extLst>
        <ext uri="{3e2802c4-a4d2-4d8b-9148-e3be6c30e623}">
          <xlrd:rvb i="15564"/>
        </ext>
      </extLst>
    </bk>
    <bk>
      <extLst>
        <ext uri="{3e2802c4-a4d2-4d8b-9148-e3be6c30e623}">
          <xlrd:rvb i="15565"/>
        </ext>
      </extLst>
    </bk>
    <bk>
      <extLst>
        <ext uri="{3e2802c4-a4d2-4d8b-9148-e3be6c30e623}">
          <xlrd:rvb i="15566"/>
        </ext>
      </extLst>
    </bk>
    <bk>
      <extLst>
        <ext uri="{3e2802c4-a4d2-4d8b-9148-e3be6c30e623}">
          <xlrd:rvb i="15567"/>
        </ext>
      </extLst>
    </bk>
    <bk>
      <extLst>
        <ext uri="{3e2802c4-a4d2-4d8b-9148-e3be6c30e623}">
          <xlrd:rvb i="15568"/>
        </ext>
      </extLst>
    </bk>
    <bk>
      <extLst>
        <ext uri="{3e2802c4-a4d2-4d8b-9148-e3be6c30e623}">
          <xlrd:rvb i="15569"/>
        </ext>
      </extLst>
    </bk>
    <bk>
      <extLst>
        <ext uri="{3e2802c4-a4d2-4d8b-9148-e3be6c30e623}">
          <xlrd:rvb i="15570"/>
        </ext>
      </extLst>
    </bk>
    <bk>
      <extLst>
        <ext uri="{3e2802c4-a4d2-4d8b-9148-e3be6c30e623}">
          <xlrd:rvb i="15571"/>
        </ext>
      </extLst>
    </bk>
    <bk>
      <extLst>
        <ext uri="{3e2802c4-a4d2-4d8b-9148-e3be6c30e623}">
          <xlrd:rvb i="15572"/>
        </ext>
      </extLst>
    </bk>
    <bk>
      <extLst>
        <ext uri="{3e2802c4-a4d2-4d8b-9148-e3be6c30e623}">
          <xlrd:rvb i="15573"/>
        </ext>
      </extLst>
    </bk>
    <bk>
      <extLst>
        <ext uri="{3e2802c4-a4d2-4d8b-9148-e3be6c30e623}">
          <xlrd:rvb i="15574"/>
        </ext>
      </extLst>
    </bk>
    <bk>
      <extLst>
        <ext uri="{3e2802c4-a4d2-4d8b-9148-e3be6c30e623}">
          <xlrd:rvb i="15575"/>
        </ext>
      </extLst>
    </bk>
    <bk>
      <extLst>
        <ext uri="{3e2802c4-a4d2-4d8b-9148-e3be6c30e623}">
          <xlrd:rvb i="15576"/>
        </ext>
      </extLst>
    </bk>
    <bk>
      <extLst>
        <ext uri="{3e2802c4-a4d2-4d8b-9148-e3be6c30e623}">
          <xlrd:rvb i="15577"/>
        </ext>
      </extLst>
    </bk>
    <bk>
      <extLst>
        <ext uri="{3e2802c4-a4d2-4d8b-9148-e3be6c30e623}">
          <xlrd:rvb i="15578"/>
        </ext>
      </extLst>
    </bk>
    <bk>
      <extLst>
        <ext uri="{3e2802c4-a4d2-4d8b-9148-e3be6c30e623}">
          <xlrd:rvb i="15579"/>
        </ext>
      </extLst>
    </bk>
    <bk>
      <extLst>
        <ext uri="{3e2802c4-a4d2-4d8b-9148-e3be6c30e623}">
          <xlrd:rvb i="15580"/>
        </ext>
      </extLst>
    </bk>
    <bk>
      <extLst>
        <ext uri="{3e2802c4-a4d2-4d8b-9148-e3be6c30e623}">
          <xlrd:rvb i="15581"/>
        </ext>
      </extLst>
    </bk>
    <bk>
      <extLst>
        <ext uri="{3e2802c4-a4d2-4d8b-9148-e3be6c30e623}">
          <xlrd:rvb i="15582"/>
        </ext>
      </extLst>
    </bk>
    <bk>
      <extLst>
        <ext uri="{3e2802c4-a4d2-4d8b-9148-e3be6c30e623}">
          <xlrd:rvb i="15583"/>
        </ext>
      </extLst>
    </bk>
    <bk>
      <extLst>
        <ext uri="{3e2802c4-a4d2-4d8b-9148-e3be6c30e623}">
          <xlrd:rvb i="15584"/>
        </ext>
      </extLst>
    </bk>
    <bk>
      <extLst>
        <ext uri="{3e2802c4-a4d2-4d8b-9148-e3be6c30e623}">
          <xlrd:rvb i="15585"/>
        </ext>
      </extLst>
    </bk>
    <bk>
      <extLst>
        <ext uri="{3e2802c4-a4d2-4d8b-9148-e3be6c30e623}">
          <xlrd:rvb i="15586"/>
        </ext>
      </extLst>
    </bk>
    <bk>
      <extLst>
        <ext uri="{3e2802c4-a4d2-4d8b-9148-e3be6c30e623}">
          <xlrd:rvb i="15587"/>
        </ext>
      </extLst>
    </bk>
    <bk>
      <extLst>
        <ext uri="{3e2802c4-a4d2-4d8b-9148-e3be6c30e623}">
          <xlrd:rvb i="15588"/>
        </ext>
      </extLst>
    </bk>
    <bk>
      <extLst>
        <ext uri="{3e2802c4-a4d2-4d8b-9148-e3be6c30e623}">
          <xlrd:rvb i="15589"/>
        </ext>
      </extLst>
    </bk>
    <bk>
      <extLst>
        <ext uri="{3e2802c4-a4d2-4d8b-9148-e3be6c30e623}">
          <xlrd:rvb i="15590"/>
        </ext>
      </extLst>
    </bk>
    <bk>
      <extLst>
        <ext uri="{3e2802c4-a4d2-4d8b-9148-e3be6c30e623}">
          <xlrd:rvb i="15591"/>
        </ext>
      </extLst>
    </bk>
    <bk>
      <extLst>
        <ext uri="{3e2802c4-a4d2-4d8b-9148-e3be6c30e623}">
          <xlrd:rvb i="15592"/>
        </ext>
      </extLst>
    </bk>
    <bk>
      <extLst>
        <ext uri="{3e2802c4-a4d2-4d8b-9148-e3be6c30e623}">
          <xlrd:rvb i="15593"/>
        </ext>
      </extLst>
    </bk>
    <bk>
      <extLst>
        <ext uri="{3e2802c4-a4d2-4d8b-9148-e3be6c30e623}">
          <xlrd:rvb i="15594"/>
        </ext>
      </extLst>
    </bk>
    <bk>
      <extLst>
        <ext uri="{3e2802c4-a4d2-4d8b-9148-e3be6c30e623}">
          <xlrd:rvb i="15595"/>
        </ext>
      </extLst>
    </bk>
    <bk>
      <extLst>
        <ext uri="{3e2802c4-a4d2-4d8b-9148-e3be6c30e623}">
          <xlrd:rvb i="15596"/>
        </ext>
      </extLst>
    </bk>
    <bk>
      <extLst>
        <ext uri="{3e2802c4-a4d2-4d8b-9148-e3be6c30e623}">
          <xlrd:rvb i="15597"/>
        </ext>
      </extLst>
    </bk>
    <bk>
      <extLst>
        <ext uri="{3e2802c4-a4d2-4d8b-9148-e3be6c30e623}">
          <xlrd:rvb i="15598"/>
        </ext>
      </extLst>
    </bk>
    <bk>
      <extLst>
        <ext uri="{3e2802c4-a4d2-4d8b-9148-e3be6c30e623}">
          <xlrd:rvb i="15599"/>
        </ext>
      </extLst>
    </bk>
    <bk>
      <extLst>
        <ext uri="{3e2802c4-a4d2-4d8b-9148-e3be6c30e623}">
          <xlrd:rvb i="15600"/>
        </ext>
      </extLst>
    </bk>
    <bk>
      <extLst>
        <ext uri="{3e2802c4-a4d2-4d8b-9148-e3be6c30e623}">
          <xlrd:rvb i="15601"/>
        </ext>
      </extLst>
    </bk>
    <bk>
      <extLst>
        <ext uri="{3e2802c4-a4d2-4d8b-9148-e3be6c30e623}">
          <xlrd:rvb i="15602"/>
        </ext>
      </extLst>
    </bk>
    <bk>
      <extLst>
        <ext uri="{3e2802c4-a4d2-4d8b-9148-e3be6c30e623}">
          <xlrd:rvb i="15603"/>
        </ext>
      </extLst>
    </bk>
    <bk>
      <extLst>
        <ext uri="{3e2802c4-a4d2-4d8b-9148-e3be6c30e623}">
          <xlrd:rvb i="15604"/>
        </ext>
      </extLst>
    </bk>
    <bk>
      <extLst>
        <ext uri="{3e2802c4-a4d2-4d8b-9148-e3be6c30e623}">
          <xlrd:rvb i="15605"/>
        </ext>
      </extLst>
    </bk>
    <bk>
      <extLst>
        <ext uri="{3e2802c4-a4d2-4d8b-9148-e3be6c30e623}">
          <xlrd:rvb i="15606"/>
        </ext>
      </extLst>
    </bk>
    <bk>
      <extLst>
        <ext uri="{3e2802c4-a4d2-4d8b-9148-e3be6c30e623}">
          <xlrd:rvb i="15607"/>
        </ext>
      </extLst>
    </bk>
    <bk>
      <extLst>
        <ext uri="{3e2802c4-a4d2-4d8b-9148-e3be6c30e623}">
          <xlrd:rvb i="15608"/>
        </ext>
      </extLst>
    </bk>
    <bk>
      <extLst>
        <ext uri="{3e2802c4-a4d2-4d8b-9148-e3be6c30e623}">
          <xlrd:rvb i="15609"/>
        </ext>
      </extLst>
    </bk>
    <bk>
      <extLst>
        <ext uri="{3e2802c4-a4d2-4d8b-9148-e3be6c30e623}">
          <xlrd:rvb i="15610"/>
        </ext>
      </extLst>
    </bk>
    <bk>
      <extLst>
        <ext uri="{3e2802c4-a4d2-4d8b-9148-e3be6c30e623}">
          <xlrd:rvb i="15611"/>
        </ext>
      </extLst>
    </bk>
    <bk>
      <extLst>
        <ext uri="{3e2802c4-a4d2-4d8b-9148-e3be6c30e623}">
          <xlrd:rvb i="15612"/>
        </ext>
      </extLst>
    </bk>
    <bk>
      <extLst>
        <ext uri="{3e2802c4-a4d2-4d8b-9148-e3be6c30e623}">
          <xlrd:rvb i="15613"/>
        </ext>
      </extLst>
    </bk>
    <bk>
      <extLst>
        <ext uri="{3e2802c4-a4d2-4d8b-9148-e3be6c30e623}">
          <xlrd:rvb i="15614"/>
        </ext>
      </extLst>
    </bk>
    <bk>
      <extLst>
        <ext uri="{3e2802c4-a4d2-4d8b-9148-e3be6c30e623}">
          <xlrd:rvb i="15615"/>
        </ext>
      </extLst>
    </bk>
    <bk>
      <extLst>
        <ext uri="{3e2802c4-a4d2-4d8b-9148-e3be6c30e623}">
          <xlrd:rvb i="15616"/>
        </ext>
      </extLst>
    </bk>
    <bk>
      <extLst>
        <ext uri="{3e2802c4-a4d2-4d8b-9148-e3be6c30e623}">
          <xlrd:rvb i="15617"/>
        </ext>
      </extLst>
    </bk>
    <bk>
      <extLst>
        <ext uri="{3e2802c4-a4d2-4d8b-9148-e3be6c30e623}">
          <xlrd:rvb i="15618"/>
        </ext>
      </extLst>
    </bk>
    <bk>
      <extLst>
        <ext uri="{3e2802c4-a4d2-4d8b-9148-e3be6c30e623}">
          <xlrd:rvb i="15619"/>
        </ext>
      </extLst>
    </bk>
    <bk>
      <extLst>
        <ext uri="{3e2802c4-a4d2-4d8b-9148-e3be6c30e623}">
          <xlrd:rvb i="15620"/>
        </ext>
      </extLst>
    </bk>
    <bk>
      <extLst>
        <ext uri="{3e2802c4-a4d2-4d8b-9148-e3be6c30e623}">
          <xlrd:rvb i="15621"/>
        </ext>
      </extLst>
    </bk>
    <bk>
      <extLst>
        <ext uri="{3e2802c4-a4d2-4d8b-9148-e3be6c30e623}">
          <xlrd:rvb i="15622"/>
        </ext>
      </extLst>
    </bk>
    <bk>
      <extLst>
        <ext uri="{3e2802c4-a4d2-4d8b-9148-e3be6c30e623}">
          <xlrd:rvb i="15623"/>
        </ext>
      </extLst>
    </bk>
    <bk>
      <extLst>
        <ext uri="{3e2802c4-a4d2-4d8b-9148-e3be6c30e623}">
          <xlrd:rvb i="15624"/>
        </ext>
      </extLst>
    </bk>
    <bk>
      <extLst>
        <ext uri="{3e2802c4-a4d2-4d8b-9148-e3be6c30e623}">
          <xlrd:rvb i="15625"/>
        </ext>
      </extLst>
    </bk>
    <bk>
      <extLst>
        <ext uri="{3e2802c4-a4d2-4d8b-9148-e3be6c30e623}">
          <xlrd:rvb i="15626"/>
        </ext>
      </extLst>
    </bk>
    <bk>
      <extLst>
        <ext uri="{3e2802c4-a4d2-4d8b-9148-e3be6c30e623}">
          <xlrd:rvb i="15627"/>
        </ext>
      </extLst>
    </bk>
    <bk>
      <extLst>
        <ext uri="{3e2802c4-a4d2-4d8b-9148-e3be6c30e623}">
          <xlrd:rvb i="15628"/>
        </ext>
      </extLst>
    </bk>
    <bk>
      <extLst>
        <ext uri="{3e2802c4-a4d2-4d8b-9148-e3be6c30e623}">
          <xlrd:rvb i="15629"/>
        </ext>
      </extLst>
    </bk>
    <bk>
      <extLst>
        <ext uri="{3e2802c4-a4d2-4d8b-9148-e3be6c30e623}">
          <xlrd:rvb i="15630"/>
        </ext>
      </extLst>
    </bk>
    <bk>
      <extLst>
        <ext uri="{3e2802c4-a4d2-4d8b-9148-e3be6c30e623}">
          <xlrd:rvb i="15631"/>
        </ext>
      </extLst>
    </bk>
    <bk>
      <extLst>
        <ext uri="{3e2802c4-a4d2-4d8b-9148-e3be6c30e623}">
          <xlrd:rvb i="15632"/>
        </ext>
      </extLst>
    </bk>
    <bk>
      <extLst>
        <ext uri="{3e2802c4-a4d2-4d8b-9148-e3be6c30e623}">
          <xlrd:rvb i="15633"/>
        </ext>
      </extLst>
    </bk>
    <bk>
      <extLst>
        <ext uri="{3e2802c4-a4d2-4d8b-9148-e3be6c30e623}">
          <xlrd:rvb i="15634"/>
        </ext>
      </extLst>
    </bk>
    <bk>
      <extLst>
        <ext uri="{3e2802c4-a4d2-4d8b-9148-e3be6c30e623}">
          <xlrd:rvb i="15635"/>
        </ext>
      </extLst>
    </bk>
    <bk>
      <extLst>
        <ext uri="{3e2802c4-a4d2-4d8b-9148-e3be6c30e623}">
          <xlrd:rvb i="15636"/>
        </ext>
      </extLst>
    </bk>
    <bk>
      <extLst>
        <ext uri="{3e2802c4-a4d2-4d8b-9148-e3be6c30e623}">
          <xlrd:rvb i="15637"/>
        </ext>
      </extLst>
    </bk>
    <bk>
      <extLst>
        <ext uri="{3e2802c4-a4d2-4d8b-9148-e3be6c30e623}">
          <xlrd:rvb i="15638"/>
        </ext>
      </extLst>
    </bk>
    <bk>
      <extLst>
        <ext uri="{3e2802c4-a4d2-4d8b-9148-e3be6c30e623}">
          <xlrd:rvb i="15639"/>
        </ext>
      </extLst>
    </bk>
    <bk>
      <extLst>
        <ext uri="{3e2802c4-a4d2-4d8b-9148-e3be6c30e623}">
          <xlrd:rvb i="15640"/>
        </ext>
      </extLst>
    </bk>
    <bk>
      <extLst>
        <ext uri="{3e2802c4-a4d2-4d8b-9148-e3be6c30e623}">
          <xlrd:rvb i="15641"/>
        </ext>
      </extLst>
    </bk>
    <bk>
      <extLst>
        <ext uri="{3e2802c4-a4d2-4d8b-9148-e3be6c30e623}">
          <xlrd:rvb i="15642"/>
        </ext>
      </extLst>
    </bk>
    <bk>
      <extLst>
        <ext uri="{3e2802c4-a4d2-4d8b-9148-e3be6c30e623}">
          <xlrd:rvb i="15643"/>
        </ext>
      </extLst>
    </bk>
    <bk>
      <extLst>
        <ext uri="{3e2802c4-a4d2-4d8b-9148-e3be6c30e623}">
          <xlrd:rvb i="15644"/>
        </ext>
      </extLst>
    </bk>
    <bk>
      <extLst>
        <ext uri="{3e2802c4-a4d2-4d8b-9148-e3be6c30e623}">
          <xlrd:rvb i="15645"/>
        </ext>
      </extLst>
    </bk>
    <bk>
      <extLst>
        <ext uri="{3e2802c4-a4d2-4d8b-9148-e3be6c30e623}">
          <xlrd:rvb i="15646"/>
        </ext>
      </extLst>
    </bk>
    <bk>
      <extLst>
        <ext uri="{3e2802c4-a4d2-4d8b-9148-e3be6c30e623}">
          <xlrd:rvb i="15647"/>
        </ext>
      </extLst>
    </bk>
    <bk>
      <extLst>
        <ext uri="{3e2802c4-a4d2-4d8b-9148-e3be6c30e623}">
          <xlrd:rvb i="15648"/>
        </ext>
      </extLst>
    </bk>
    <bk>
      <extLst>
        <ext uri="{3e2802c4-a4d2-4d8b-9148-e3be6c30e623}">
          <xlrd:rvb i="15649"/>
        </ext>
      </extLst>
    </bk>
    <bk>
      <extLst>
        <ext uri="{3e2802c4-a4d2-4d8b-9148-e3be6c30e623}">
          <xlrd:rvb i="15650"/>
        </ext>
      </extLst>
    </bk>
    <bk>
      <extLst>
        <ext uri="{3e2802c4-a4d2-4d8b-9148-e3be6c30e623}">
          <xlrd:rvb i="15651"/>
        </ext>
      </extLst>
    </bk>
    <bk>
      <extLst>
        <ext uri="{3e2802c4-a4d2-4d8b-9148-e3be6c30e623}">
          <xlrd:rvb i="15652"/>
        </ext>
      </extLst>
    </bk>
    <bk>
      <extLst>
        <ext uri="{3e2802c4-a4d2-4d8b-9148-e3be6c30e623}">
          <xlrd:rvb i="15653"/>
        </ext>
      </extLst>
    </bk>
    <bk>
      <extLst>
        <ext uri="{3e2802c4-a4d2-4d8b-9148-e3be6c30e623}">
          <xlrd:rvb i="15654"/>
        </ext>
      </extLst>
    </bk>
    <bk>
      <extLst>
        <ext uri="{3e2802c4-a4d2-4d8b-9148-e3be6c30e623}">
          <xlrd:rvb i="15655"/>
        </ext>
      </extLst>
    </bk>
    <bk>
      <extLst>
        <ext uri="{3e2802c4-a4d2-4d8b-9148-e3be6c30e623}">
          <xlrd:rvb i="15656"/>
        </ext>
      </extLst>
    </bk>
    <bk>
      <extLst>
        <ext uri="{3e2802c4-a4d2-4d8b-9148-e3be6c30e623}">
          <xlrd:rvb i="15657"/>
        </ext>
      </extLst>
    </bk>
    <bk>
      <extLst>
        <ext uri="{3e2802c4-a4d2-4d8b-9148-e3be6c30e623}">
          <xlrd:rvb i="15658"/>
        </ext>
      </extLst>
    </bk>
    <bk>
      <extLst>
        <ext uri="{3e2802c4-a4d2-4d8b-9148-e3be6c30e623}">
          <xlrd:rvb i="15659"/>
        </ext>
      </extLst>
    </bk>
    <bk>
      <extLst>
        <ext uri="{3e2802c4-a4d2-4d8b-9148-e3be6c30e623}">
          <xlrd:rvb i="15660"/>
        </ext>
      </extLst>
    </bk>
    <bk>
      <extLst>
        <ext uri="{3e2802c4-a4d2-4d8b-9148-e3be6c30e623}">
          <xlrd:rvb i="15661"/>
        </ext>
      </extLst>
    </bk>
    <bk>
      <extLst>
        <ext uri="{3e2802c4-a4d2-4d8b-9148-e3be6c30e623}">
          <xlrd:rvb i="15662"/>
        </ext>
      </extLst>
    </bk>
    <bk>
      <extLst>
        <ext uri="{3e2802c4-a4d2-4d8b-9148-e3be6c30e623}">
          <xlrd:rvb i="15663"/>
        </ext>
      </extLst>
    </bk>
    <bk>
      <extLst>
        <ext uri="{3e2802c4-a4d2-4d8b-9148-e3be6c30e623}">
          <xlrd:rvb i="15664"/>
        </ext>
      </extLst>
    </bk>
    <bk>
      <extLst>
        <ext uri="{3e2802c4-a4d2-4d8b-9148-e3be6c30e623}">
          <xlrd:rvb i="15665"/>
        </ext>
      </extLst>
    </bk>
    <bk>
      <extLst>
        <ext uri="{3e2802c4-a4d2-4d8b-9148-e3be6c30e623}">
          <xlrd:rvb i="15666"/>
        </ext>
      </extLst>
    </bk>
    <bk>
      <extLst>
        <ext uri="{3e2802c4-a4d2-4d8b-9148-e3be6c30e623}">
          <xlrd:rvb i="15667"/>
        </ext>
      </extLst>
    </bk>
    <bk>
      <extLst>
        <ext uri="{3e2802c4-a4d2-4d8b-9148-e3be6c30e623}">
          <xlrd:rvb i="15668"/>
        </ext>
      </extLst>
    </bk>
    <bk>
      <extLst>
        <ext uri="{3e2802c4-a4d2-4d8b-9148-e3be6c30e623}">
          <xlrd:rvb i="15669"/>
        </ext>
      </extLst>
    </bk>
    <bk>
      <extLst>
        <ext uri="{3e2802c4-a4d2-4d8b-9148-e3be6c30e623}">
          <xlrd:rvb i="15670"/>
        </ext>
      </extLst>
    </bk>
    <bk>
      <extLst>
        <ext uri="{3e2802c4-a4d2-4d8b-9148-e3be6c30e623}">
          <xlrd:rvb i="15671"/>
        </ext>
      </extLst>
    </bk>
    <bk>
      <extLst>
        <ext uri="{3e2802c4-a4d2-4d8b-9148-e3be6c30e623}">
          <xlrd:rvb i="15672"/>
        </ext>
      </extLst>
    </bk>
    <bk>
      <extLst>
        <ext uri="{3e2802c4-a4d2-4d8b-9148-e3be6c30e623}">
          <xlrd:rvb i="15673"/>
        </ext>
      </extLst>
    </bk>
    <bk>
      <extLst>
        <ext uri="{3e2802c4-a4d2-4d8b-9148-e3be6c30e623}">
          <xlrd:rvb i="15674"/>
        </ext>
      </extLst>
    </bk>
    <bk>
      <extLst>
        <ext uri="{3e2802c4-a4d2-4d8b-9148-e3be6c30e623}">
          <xlrd:rvb i="15675"/>
        </ext>
      </extLst>
    </bk>
    <bk>
      <extLst>
        <ext uri="{3e2802c4-a4d2-4d8b-9148-e3be6c30e623}">
          <xlrd:rvb i="15676"/>
        </ext>
      </extLst>
    </bk>
    <bk>
      <extLst>
        <ext uri="{3e2802c4-a4d2-4d8b-9148-e3be6c30e623}">
          <xlrd:rvb i="15677"/>
        </ext>
      </extLst>
    </bk>
    <bk>
      <extLst>
        <ext uri="{3e2802c4-a4d2-4d8b-9148-e3be6c30e623}">
          <xlrd:rvb i="15678"/>
        </ext>
      </extLst>
    </bk>
    <bk>
      <extLst>
        <ext uri="{3e2802c4-a4d2-4d8b-9148-e3be6c30e623}">
          <xlrd:rvb i="15679"/>
        </ext>
      </extLst>
    </bk>
    <bk>
      <extLst>
        <ext uri="{3e2802c4-a4d2-4d8b-9148-e3be6c30e623}">
          <xlrd:rvb i="15680"/>
        </ext>
      </extLst>
    </bk>
    <bk>
      <extLst>
        <ext uri="{3e2802c4-a4d2-4d8b-9148-e3be6c30e623}">
          <xlrd:rvb i="15681"/>
        </ext>
      </extLst>
    </bk>
    <bk>
      <extLst>
        <ext uri="{3e2802c4-a4d2-4d8b-9148-e3be6c30e623}">
          <xlrd:rvb i="15682"/>
        </ext>
      </extLst>
    </bk>
    <bk>
      <extLst>
        <ext uri="{3e2802c4-a4d2-4d8b-9148-e3be6c30e623}">
          <xlrd:rvb i="15683"/>
        </ext>
      </extLst>
    </bk>
    <bk>
      <extLst>
        <ext uri="{3e2802c4-a4d2-4d8b-9148-e3be6c30e623}">
          <xlrd:rvb i="15684"/>
        </ext>
      </extLst>
    </bk>
    <bk>
      <extLst>
        <ext uri="{3e2802c4-a4d2-4d8b-9148-e3be6c30e623}">
          <xlrd:rvb i="15685"/>
        </ext>
      </extLst>
    </bk>
    <bk>
      <extLst>
        <ext uri="{3e2802c4-a4d2-4d8b-9148-e3be6c30e623}">
          <xlrd:rvb i="15686"/>
        </ext>
      </extLst>
    </bk>
    <bk>
      <extLst>
        <ext uri="{3e2802c4-a4d2-4d8b-9148-e3be6c30e623}">
          <xlrd:rvb i="15687"/>
        </ext>
      </extLst>
    </bk>
    <bk>
      <extLst>
        <ext uri="{3e2802c4-a4d2-4d8b-9148-e3be6c30e623}">
          <xlrd:rvb i="15688"/>
        </ext>
      </extLst>
    </bk>
    <bk>
      <extLst>
        <ext uri="{3e2802c4-a4d2-4d8b-9148-e3be6c30e623}">
          <xlrd:rvb i="15689"/>
        </ext>
      </extLst>
    </bk>
    <bk>
      <extLst>
        <ext uri="{3e2802c4-a4d2-4d8b-9148-e3be6c30e623}">
          <xlrd:rvb i="15690"/>
        </ext>
      </extLst>
    </bk>
    <bk>
      <extLst>
        <ext uri="{3e2802c4-a4d2-4d8b-9148-e3be6c30e623}">
          <xlrd:rvb i="15691"/>
        </ext>
      </extLst>
    </bk>
    <bk>
      <extLst>
        <ext uri="{3e2802c4-a4d2-4d8b-9148-e3be6c30e623}">
          <xlrd:rvb i="15692"/>
        </ext>
      </extLst>
    </bk>
    <bk>
      <extLst>
        <ext uri="{3e2802c4-a4d2-4d8b-9148-e3be6c30e623}">
          <xlrd:rvb i="15693"/>
        </ext>
      </extLst>
    </bk>
    <bk>
      <extLst>
        <ext uri="{3e2802c4-a4d2-4d8b-9148-e3be6c30e623}">
          <xlrd:rvb i="15694"/>
        </ext>
      </extLst>
    </bk>
    <bk>
      <extLst>
        <ext uri="{3e2802c4-a4d2-4d8b-9148-e3be6c30e623}">
          <xlrd:rvb i="15695"/>
        </ext>
      </extLst>
    </bk>
    <bk>
      <extLst>
        <ext uri="{3e2802c4-a4d2-4d8b-9148-e3be6c30e623}">
          <xlrd:rvb i="15696"/>
        </ext>
      </extLst>
    </bk>
    <bk>
      <extLst>
        <ext uri="{3e2802c4-a4d2-4d8b-9148-e3be6c30e623}">
          <xlrd:rvb i="15697"/>
        </ext>
      </extLst>
    </bk>
    <bk>
      <extLst>
        <ext uri="{3e2802c4-a4d2-4d8b-9148-e3be6c30e623}">
          <xlrd:rvb i="15698"/>
        </ext>
      </extLst>
    </bk>
    <bk>
      <extLst>
        <ext uri="{3e2802c4-a4d2-4d8b-9148-e3be6c30e623}">
          <xlrd:rvb i="15699"/>
        </ext>
      </extLst>
    </bk>
    <bk>
      <extLst>
        <ext uri="{3e2802c4-a4d2-4d8b-9148-e3be6c30e623}">
          <xlrd:rvb i="15700"/>
        </ext>
      </extLst>
    </bk>
    <bk>
      <extLst>
        <ext uri="{3e2802c4-a4d2-4d8b-9148-e3be6c30e623}">
          <xlrd:rvb i="15701"/>
        </ext>
      </extLst>
    </bk>
    <bk>
      <extLst>
        <ext uri="{3e2802c4-a4d2-4d8b-9148-e3be6c30e623}">
          <xlrd:rvb i="15702"/>
        </ext>
      </extLst>
    </bk>
    <bk>
      <extLst>
        <ext uri="{3e2802c4-a4d2-4d8b-9148-e3be6c30e623}">
          <xlrd:rvb i="15703"/>
        </ext>
      </extLst>
    </bk>
    <bk>
      <extLst>
        <ext uri="{3e2802c4-a4d2-4d8b-9148-e3be6c30e623}">
          <xlrd:rvb i="15704"/>
        </ext>
      </extLst>
    </bk>
    <bk>
      <extLst>
        <ext uri="{3e2802c4-a4d2-4d8b-9148-e3be6c30e623}">
          <xlrd:rvb i="15705"/>
        </ext>
      </extLst>
    </bk>
    <bk>
      <extLst>
        <ext uri="{3e2802c4-a4d2-4d8b-9148-e3be6c30e623}">
          <xlrd:rvb i="15706"/>
        </ext>
      </extLst>
    </bk>
    <bk>
      <extLst>
        <ext uri="{3e2802c4-a4d2-4d8b-9148-e3be6c30e623}">
          <xlrd:rvb i="15707"/>
        </ext>
      </extLst>
    </bk>
    <bk>
      <extLst>
        <ext uri="{3e2802c4-a4d2-4d8b-9148-e3be6c30e623}">
          <xlrd:rvb i="15708"/>
        </ext>
      </extLst>
    </bk>
    <bk>
      <extLst>
        <ext uri="{3e2802c4-a4d2-4d8b-9148-e3be6c30e623}">
          <xlrd:rvb i="15709"/>
        </ext>
      </extLst>
    </bk>
    <bk>
      <extLst>
        <ext uri="{3e2802c4-a4d2-4d8b-9148-e3be6c30e623}">
          <xlrd:rvb i="15710"/>
        </ext>
      </extLst>
    </bk>
    <bk>
      <extLst>
        <ext uri="{3e2802c4-a4d2-4d8b-9148-e3be6c30e623}">
          <xlrd:rvb i="15711"/>
        </ext>
      </extLst>
    </bk>
    <bk>
      <extLst>
        <ext uri="{3e2802c4-a4d2-4d8b-9148-e3be6c30e623}">
          <xlrd:rvb i="15712"/>
        </ext>
      </extLst>
    </bk>
    <bk>
      <extLst>
        <ext uri="{3e2802c4-a4d2-4d8b-9148-e3be6c30e623}">
          <xlrd:rvb i="15713"/>
        </ext>
      </extLst>
    </bk>
    <bk>
      <extLst>
        <ext uri="{3e2802c4-a4d2-4d8b-9148-e3be6c30e623}">
          <xlrd:rvb i="15714"/>
        </ext>
      </extLst>
    </bk>
    <bk>
      <extLst>
        <ext uri="{3e2802c4-a4d2-4d8b-9148-e3be6c30e623}">
          <xlrd:rvb i="15715"/>
        </ext>
      </extLst>
    </bk>
    <bk>
      <extLst>
        <ext uri="{3e2802c4-a4d2-4d8b-9148-e3be6c30e623}">
          <xlrd:rvb i="15716"/>
        </ext>
      </extLst>
    </bk>
    <bk>
      <extLst>
        <ext uri="{3e2802c4-a4d2-4d8b-9148-e3be6c30e623}">
          <xlrd:rvb i="15717"/>
        </ext>
      </extLst>
    </bk>
    <bk>
      <extLst>
        <ext uri="{3e2802c4-a4d2-4d8b-9148-e3be6c30e623}">
          <xlrd:rvb i="15718"/>
        </ext>
      </extLst>
    </bk>
    <bk>
      <extLst>
        <ext uri="{3e2802c4-a4d2-4d8b-9148-e3be6c30e623}">
          <xlrd:rvb i="15719"/>
        </ext>
      </extLst>
    </bk>
    <bk>
      <extLst>
        <ext uri="{3e2802c4-a4d2-4d8b-9148-e3be6c30e623}">
          <xlrd:rvb i="15720"/>
        </ext>
      </extLst>
    </bk>
    <bk>
      <extLst>
        <ext uri="{3e2802c4-a4d2-4d8b-9148-e3be6c30e623}">
          <xlrd:rvb i="15721"/>
        </ext>
      </extLst>
    </bk>
    <bk>
      <extLst>
        <ext uri="{3e2802c4-a4d2-4d8b-9148-e3be6c30e623}">
          <xlrd:rvb i="15722"/>
        </ext>
      </extLst>
    </bk>
    <bk>
      <extLst>
        <ext uri="{3e2802c4-a4d2-4d8b-9148-e3be6c30e623}">
          <xlrd:rvb i="15723"/>
        </ext>
      </extLst>
    </bk>
    <bk>
      <extLst>
        <ext uri="{3e2802c4-a4d2-4d8b-9148-e3be6c30e623}">
          <xlrd:rvb i="15724"/>
        </ext>
      </extLst>
    </bk>
    <bk>
      <extLst>
        <ext uri="{3e2802c4-a4d2-4d8b-9148-e3be6c30e623}">
          <xlrd:rvb i="15725"/>
        </ext>
      </extLst>
    </bk>
    <bk>
      <extLst>
        <ext uri="{3e2802c4-a4d2-4d8b-9148-e3be6c30e623}">
          <xlrd:rvb i="15726"/>
        </ext>
      </extLst>
    </bk>
    <bk>
      <extLst>
        <ext uri="{3e2802c4-a4d2-4d8b-9148-e3be6c30e623}">
          <xlrd:rvb i="15727"/>
        </ext>
      </extLst>
    </bk>
    <bk>
      <extLst>
        <ext uri="{3e2802c4-a4d2-4d8b-9148-e3be6c30e623}">
          <xlrd:rvb i="15728"/>
        </ext>
      </extLst>
    </bk>
    <bk>
      <extLst>
        <ext uri="{3e2802c4-a4d2-4d8b-9148-e3be6c30e623}">
          <xlrd:rvb i="15729"/>
        </ext>
      </extLst>
    </bk>
    <bk>
      <extLst>
        <ext uri="{3e2802c4-a4d2-4d8b-9148-e3be6c30e623}">
          <xlrd:rvb i="15730"/>
        </ext>
      </extLst>
    </bk>
    <bk>
      <extLst>
        <ext uri="{3e2802c4-a4d2-4d8b-9148-e3be6c30e623}">
          <xlrd:rvb i="15731"/>
        </ext>
      </extLst>
    </bk>
    <bk>
      <extLst>
        <ext uri="{3e2802c4-a4d2-4d8b-9148-e3be6c30e623}">
          <xlrd:rvb i="15732"/>
        </ext>
      </extLst>
    </bk>
    <bk>
      <extLst>
        <ext uri="{3e2802c4-a4d2-4d8b-9148-e3be6c30e623}">
          <xlrd:rvb i="15733"/>
        </ext>
      </extLst>
    </bk>
    <bk>
      <extLst>
        <ext uri="{3e2802c4-a4d2-4d8b-9148-e3be6c30e623}">
          <xlrd:rvb i="15734"/>
        </ext>
      </extLst>
    </bk>
    <bk>
      <extLst>
        <ext uri="{3e2802c4-a4d2-4d8b-9148-e3be6c30e623}">
          <xlrd:rvb i="15735"/>
        </ext>
      </extLst>
    </bk>
    <bk>
      <extLst>
        <ext uri="{3e2802c4-a4d2-4d8b-9148-e3be6c30e623}">
          <xlrd:rvb i="15736"/>
        </ext>
      </extLst>
    </bk>
    <bk>
      <extLst>
        <ext uri="{3e2802c4-a4d2-4d8b-9148-e3be6c30e623}">
          <xlrd:rvb i="15737"/>
        </ext>
      </extLst>
    </bk>
    <bk>
      <extLst>
        <ext uri="{3e2802c4-a4d2-4d8b-9148-e3be6c30e623}">
          <xlrd:rvb i="15738"/>
        </ext>
      </extLst>
    </bk>
    <bk>
      <extLst>
        <ext uri="{3e2802c4-a4d2-4d8b-9148-e3be6c30e623}">
          <xlrd:rvb i="15739"/>
        </ext>
      </extLst>
    </bk>
    <bk>
      <extLst>
        <ext uri="{3e2802c4-a4d2-4d8b-9148-e3be6c30e623}">
          <xlrd:rvb i="15740"/>
        </ext>
      </extLst>
    </bk>
    <bk>
      <extLst>
        <ext uri="{3e2802c4-a4d2-4d8b-9148-e3be6c30e623}">
          <xlrd:rvb i="15741"/>
        </ext>
      </extLst>
    </bk>
    <bk>
      <extLst>
        <ext uri="{3e2802c4-a4d2-4d8b-9148-e3be6c30e623}">
          <xlrd:rvb i="15742"/>
        </ext>
      </extLst>
    </bk>
    <bk>
      <extLst>
        <ext uri="{3e2802c4-a4d2-4d8b-9148-e3be6c30e623}">
          <xlrd:rvb i="15743"/>
        </ext>
      </extLst>
    </bk>
    <bk>
      <extLst>
        <ext uri="{3e2802c4-a4d2-4d8b-9148-e3be6c30e623}">
          <xlrd:rvb i="15744"/>
        </ext>
      </extLst>
    </bk>
    <bk>
      <extLst>
        <ext uri="{3e2802c4-a4d2-4d8b-9148-e3be6c30e623}">
          <xlrd:rvb i="15745"/>
        </ext>
      </extLst>
    </bk>
    <bk>
      <extLst>
        <ext uri="{3e2802c4-a4d2-4d8b-9148-e3be6c30e623}">
          <xlrd:rvb i="15746"/>
        </ext>
      </extLst>
    </bk>
    <bk>
      <extLst>
        <ext uri="{3e2802c4-a4d2-4d8b-9148-e3be6c30e623}">
          <xlrd:rvb i="15747"/>
        </ext>
      </extLst>
    </bk>
    <bk>
      <extLst>
        <ext uri="{3e2802c4-a4d2-4d8b-9148-e3be6c30e623}">
          <xlrd:rvb i="15748"/>
        </ext>
      </extLst>
    </bk>
    <bk>
      <extLst>
        <ext uri="{3e2802c4-a4d2-4d8b-9148-e3be6c30e623}">
          <xlrd:rvb i="15749"/>
        </ext>
      </extLst>
    </bk>
    <bk>
      <extLst>
        <ext uri="{3e2802c4-a4d2-4d8b-9148-e3be6c30e623}">
          <xlrd:rvb i="15750"/>
        </ext>
      </extLst>
    </bk>
    <bk>
      <extLst>
        <ext uri="{3e2802c4-a4d2-4d8b-9148-e3be6c30e623}">
          <xlrd:rvb i="15751"/>
        </ext>
      </extLst>
    </bk>
    <bk>
      <extLst>
        <ext uri="{3e2802c4-a4d2-4d8b-9148-e3be6c30e623}">
          <xlrd:rvb i="15752"/>
        </ext>
      </extLst>
    </bk>
    <bk>
      <extLst>
        <ext uri="{3e2802c4-a4d2-4d8b-9148-e3be6c30e623}">
          <xlrd:rvb i="15753"/>
        </ext>
      </extLst>
    </bk>
    <bk>
      <extLst>
        <ext uri="{3e2802c4-a4d2-4d8b-9148-e3be6c30e623}">
          <xlrd:rvb i="15754"/>
        </ext>
      </extLst>
    </bk>
    <bk>
      <extLst>
        <ext uri="{3e2802c4-a4d2-4d8b-9148-e3be6c30e623}">
          <xlrd:rvb i="15755"/>
        </ext>
      </extLst>
    </bk>
    <bk>
      <extLst>
        <ext uri="{3e2802c4-a4d2-4d8b-9148-e3be6c30e623}">
          <xlrd:rvb i="15756"/>
        </ext>
      </extLst>
    </bk>
    <bk>
      <extLst>
        <ext uri="{3e2802c4-a4d2-4d8b-9148-e3be6c30e623}">
          <xlrd:rvb i="15757"/>
        </ext>
      </extLst>
    </bk>
    <bk>
      <extLst>
        <ext uri="{3e2802c4-a4d2-4d8b-9148-e3be6c30e623}">
          <xlrd:rvb i="15758"/>
        </ext>
      </extLst>
    </bk>
    <bk>
      <extLst>
        <ext uri="{3e2802c4-a4d2-4d8b-9148-e3be6c30e623}">
          <xlrd:rvb i="15759"/>
        </ext>
      </extLst>
    </bk>
    <bk>
      <extLst>
        <ext uri="{3e2802c4-a4d2-4d8b-9148-e3be6c30e623}">
          <xlrd:rvb i="15760"/>
        </ext>
      </extLst>
    </bk>
    <bk>
      <extLst>
        <ext uri="{3e2802c4-a4d2-4d8b-9148-e3be6c30e623}">
          <xlrd:rvb i="15761"/>
        </ext>
      </extLst>
    </bk>
    <bk>
      <extLst>
        <ext uri="{3e2802c4-a4d2-4d8b-9148-e3be6c30e623}">
          <xlrd:rvb i="15762"/>
        </ext>
      </extLst>
    </bk>
    <bk>
      <extLst>
        <ext uri="{3e2802c4-a4d2-4d8b-9148-e3be6c30e623}">
          <xlrd:rvb i="15763"/>
        </ext>
      </extLst>
    </bk>
    <bk>
      <extLst>
        <ext uri="{3e2802c4-a4d2-4d8b-9148-e3be6c30e623}">
          <xlrd:rvb i="15764"/>
        </ext>
      </extLst>
    </bk>
    <bk>
      <extLst>
        <ext uri="{3e2802c4-a4d2-4d8b-9148-e3be6c30e623}">
          <xlrd:rvb i="15765"/>
        </ext>
      </extLst>
    </bk>
    <bk>
      <extLst>
        <ext uri="{3e2802c4-a4d2-4d8b-9148-e3be6c30e623}">
          <xlrd:rvb i="15766"/>
        </ext>
      </extLst>
    </bk>
    <bk>
      <extLst>
        <ext uri="{3e2802c4-a4d2-4d8b-9148-e3be6c30e623}">
          <xlrd:rvb i="15767"/>
        </ext>
      </extLst>
    </bk>
    <bk>
      <extLst>
        <ext uri="{3e2802c4-a4d2-4d8b-9148-e3be6c30e623}">
          <xlrd:rvb i="15768"/>
        </ext>
      </extLst>
    </bk>
    <bk>
      <extLst>
        <ext uri="{3e2802c4-a4d2-4d8b-9148-e3be6c30e623}">
          <xlrd:rvb i="15769"/>
        </ext>
      </extLst>
    </bk>
    <bk>
      <extLst>
        <ext uri="{3e2802c4-a4d2-4d8b-9148-e3be6c30e623}">
          <xlrd:rvb i="15770"/>
        </ext>
      </extLst>
    </bk>
    <bk>
      <extLst>
        <ext uri="{3e2802c4-a4d2-4d8b-9148-e3be6c30e623}">
          <xlrd:rvb i="15771"/>
        </ext>
      </extLst>
    </bk>
    <bk>
      <extLst>
        <ext uri="{3e2802c4-a4d2-4d8b-9148-e3be6c30e623}">
          <xlrd:rvb i="15772"/>
        </ext>
      </extLst>
    </bk>
    <bk>
      <extLst>
        <ext uri="{3e2802c4-a4d2-4d8b-9148-e3be6c30e623}">
          <xlrd:rvb i="15773"/>
        </ext>
      </extLst>
    </bk>
    <bk>
      <extLst>
        <ext uri="{3e2802c4-a4d2-4d8b-9148-e3be6c30e623}">
          <xlrd:rvb i="15774"/>
        </ext>
      </extLst>
    </bk>
    <bk>
      <extLst>
        <ext uri="{3e2802c4-a4d2-4d8b-9148-e3be6c30e623}">
          <xlrd:rvb i="15775"/>
        </ext>
      </extLst>
    </bk>
    <bk>
      <extLst>
        <ext uri="{3e2802c4-a4d2-4d8b-9148-e3be6c30e623}">
          <xlrd:rvb i="15776"/>
        </ext>
      </extLst>
    </bk>
    <bk>
      <extLst>
        <ext uri="{3e2802c4-a4d2-4d8b-9148-e3be6c30e623}">
          <xlrd:rvb i="15777"/>
        </ext>
      </extLst>
    </bk>
    <bk>
      <extLst>
        <ext uri="{3e2802c4-a4d2-4d8b-9148-e3be6c30e623}">
          <xlrd:rvb i="15778"/>
        </ext>
      </extLst>
    </bk>
    <bk>
      <extLst>
        <ext uri="{3e2802c4-a4d2-4d8b-9148-e3be6c30e623}">
          <xlrd:rvb i="15779"/>
        </ext>
      </extLst>
    </bk>
    <bk>
      <extLst>
        <ext uri="{3e2802c4-a4d2-4d8b-9148-e3be6c30e623}">
          <xlrd:rvb i="15780"/>
        </ext>
      </extLst>
    </bk>
    <bk>
      <extLst>
        <ext uri="{3e2802c4-a4d2-4d8b-9148-e3be6c30e623}">
          <xlrd:rvb i="15781"/>
        </ext>
      </extLst>
    </bk>
    <bk>
      <extLst>
        <ext uri="{3e2802c4-a4d2-4d8b-9148-e3be6c30e623}">
          <xlrd:rvb i="15782"/>
        </ext>
      </extLst>
    </bk>
    <bk>
      <extLst>
        <ext uri="{3e2802c4-a4d2-4d8b-9148-e3be6c30e623}">
          <xlrd:rvb i="15783"/>
        </ext>
      </extLst>
    </bk>
    <bk>
      <extLst>
        <ext uri="{3e2802c4-a4d2-4d8b-9148-e3be6c30e623}">
          <xlrd:rvb i="15784"/>
        </ext>
      </extLst>
    </bk>
    <bk>
      <extLst>
        <ext uri="{3e2802c4-a4d2-4d8b-9148-e3be6c30e623}">
          <xlrd:rvb i="15785"/>
        </ext>
      </extLst>
    </bk>
    <bk>
      <extLst>
        <ext uri="{3e2802c4-a4d2-4d8b-9148-e3be6c30e623}">
          <xlrd:rvb i="15786"/>
        </ext>
      </extLst>
    </bk>
    <bk>
      <extLst>
        <ext uri="{3e2802c4-a4d2-4d8b-9148-e3be6c30e623}">
          <xlrd:rvb i="15787"/>
        </ext>
      </extLst>
    </bk>
    <bk>
      <extLst>
        <ext uri="{3e2802c4-a4d2-4d8b-9148-e3be6c30e623}">
          <xlrd:rvb i="15788"/>
        </ext>
      </extLst>
    </bk>
    <bk>
      <extLst>
        <ext uri="{3e2802c4-a4d2-4d8b-9148-e3be6c30e623}">
          <xlrd:rvb i="15789"/>
        </ext>
      </extLst>
    </bk>
    <bk>
      <extLst>
        <ext uri="{3e2802c4-a4d2-4d8b-9148-e3be6c30e623}">
          <xlrd:rvb i="15790"/>
        </ext>
      </extLst>
    </bk>
    <bk>
      <extLst>
        <ext uri="{3e2802c4-a4d2-4d8b-9148-e3be6c30e623}">
          <xlrd:rvb i="15791"/>
        </ext>
      </extLst>
    </bk>
    <bk>
      <extLst>
        <ext uri="{3e2802c4-a4d2-4d8b-9148-e3be6c30e623}">
          <xlrd:rvb i="15792"/>
        </ext>
      </extLst>
    </bk>
    <bk>
      <extLst>
        <ext uri="{3e2802c4-a4d2-4d8b-9148-e3be6c30e623}">
          <xlrd:rvb i="15793"/>
        </ext>
      </extLst>
    </bk>
    <bk>
      <extLst>
        <ext uri="{3e2802c4-a4d2-4d8b-9148-e3be6c30e623}">
          <xlrd:rvb i="15794"/>
        </ext>
      </extLst>
    </bk>
    <bk>
      <extLst>
        <ext uri="{3e2802c4-a4d2-4d8b-9148-e3be6c30e623}">
          <xlrd:rvb i="15795"/>
        </ext>
      </extLst>
    </bk>
    <bk>
      <extLst>
        <ext uri="{3e2802c4-a4d2-4d8b-9148-e3be6c30e623}">
          <xlrd:rvb i="15796"/>
        </ext>
      </extLst>
    </bk>
    <bk>
      <extLst>
        <ext uri="{3e2802c4-a4d2-4d8b-9148-e3be6c30e623}">
          <xlrd:rvb i="15797"/>
        </ext>
      </extLst>
    </bk>
    <bk>
      <extLst>
        <ext uri="{3e2802c4-a4d2-4d8b-9148-e3be6c30e623}">
          <xlrd:rvb i="15798"/>
        </ext>
      </extLst>
    </bk>
    <bk>
      <extLst>
        <ext uri="{3e2802c4-a4d2-4d8b-9148-e3be6c30e623}">
          <xlrd:rvb i="15799"/>
        </ext>
      </extLst>
    </bk>
    <bk>
      <extLst>
        <ext uri="{3e2802c4-a4d2-4d8b-9148-e3be6c30e623}">
          <xlrd:rvb i="15800"/>
        </ext>
      </extLst>
    </bk>
    <bk>
      <extLst>
        <ext uri="{3e2802c4-a4d2-4d8b-9148-e3be6c30e623}">
          <xlrd:rvb i="15801"/>
        </ext>
      </extLst>
    </bk>
    <bk>
      <extLst>
        <ext uri="{3e2802c4-a4d2-4d8b-9148-e3be6c30e623}">
          <xlrd:rvb i="15802"/>
        </ext>
      </extLst>
    </bk>
    <bk>
      <extLst>
        <ext uri="{3e2802c4-a4d2-4d8b-9148-e3be6c30e623}">
          <xlrd:rvb i="15803"/>
        </ext>
      </extLst>
    </bk>
    <bk>
      <extLst>
        <ext uri="{3e2802c4-a4d2-4d8b-9148-e3be6c30e623}">
          <xlrd:rvb i="15804"/>
        </ext>
      </extLst>
    </bk>
    <bk>
      <extLst>
        <ext uri="{3e2802c4-a4d2-4d8b-9148-e3be6c30e623}">
          <xlrd:rvb i="15805"/>
        </ext>
      </extLst>
    </bk>
    <bk>
      <extLst>
        <ext uri="{3e2802c4-a4d2-4d8b-9148-e3be6c30e623}">
          <xlrd:rvb i="15806"/>
        </ext>
      </extLst>
    </bk>
    <bk>
      <extLst>
        <ext uri="{3e2802c4-a4d2-4d8b-9148-e3be6c30e623}">
          <xlrd:rvb i="15807"/>
        </ext>
      </extLst>
    </bk>
    <bk>
      <extLst>
        <ext uri="{3e2802c4-a4d2-4d8b-9148-e3be6c30e623}">
          <xlrd:rvb i="15808"/>
        </ext>
      </extLst>
    </bk>
    <bk>
      <extLst>
        <ext uri="{3e2802c4-a4d2-4d8b-9148-e3be6c30e623}">
          <xlrd:rvb i="15809"/>
        </ext>
      </extLst>
    </bk>
    <bk>
      <extLst>
        <ext uri="{3e2802c4-a4d2-4d8b-9148-e3be6c30e623}">
          <xlrd:rvb i="15810"/>
        </ext>
      </extLst>
    </bk>
    <bk>
      <extLst>
        <ext uri="{3e2802c4-a4d2-4d8b-9148-e3be6c30e623}">
          <xlrd:rvb i="15811"/>
        </ext>
      </extLst>
    </bk>
    <bk>
      <extLst>
        <ext uri="{3e2802c4-a4d2-4d8b-9148-e3be6c30e623}">
          <xlrd:rvb i="15812"/>
        </ext>
      </extLst>
    </bk>
    <bk>
      <extLst>
        <ext uri="{3e2802c4-a4d2-4d8b-9148-e3be6c30e623}">
          <xlrd:rvb i="15813"/>
        </ext>
      </extLst>
    </bk>
    <bk>
      <extLst>
        <ext uri="{3e2802c4-a4d2-4d8b-9148-e3be6c30e623}">
          <xlrd:rvb i="15814"/>
        </ext>
      </extLst>
    </bk>
    <bk>
      <extLst>
        <ext uri="{3e2802c4-a4d2-4d8b-9148-e3be6c30e623}">
          <xlrd:rvb i="15815"/>
        </ext>
      </extLst>
    </bk>
    <bk>
      <extLst>
        <ext uri="{3e2802c4-a4d2-4d8b-9148-e3be6c30e623}">
          <xlrd:rvb i="15816"/>
        </ext>
      </extLst>
    </bk>
    <bk>
      <extLst>
        <ext uri="{3e2802c4-a4d2-4d8b-9148-e3be6c30e623}">
          <xlrd:rvb i="15817"/>
        </ext>
      </extLst>
    </bk>
    <bk>
      <extLst>
        <ext uri="{3e2802c4-a4d2-4d8b-9148-e3be6c30e623}">
          <xlrd:rvb i="15818"/>
        </ext>
      </extLst>
    </bk>
    <bk>
      <extLst>
        <ext uri="{3e2802c4-a4d2-4d8b-9148-e3be6c30e623}">
          <xlrd:rvb i="15819"/>
        </ext>
      </extLst>
    </bk>
    <bk>
      <extLst>
        <ext uri="{3e2802c4-a4d2-4d8b-9148-e3be6c30e623}">
          <xlrd:rvb i="15820"/>
        </ext>
      </extLst>
    </bk>
    <bk>
      <extLst>
        <ext uri="{3e2802c4-a4d2-4d8b-9148-e3be6c30e623}">
          <xlrd:rvb i="15821"/>
        </ext>
      </extLst>
    </bk>
    <bk>
      <extLst>
        <ext uri="{3e2802c4-a4d2-4d8b-9148-e3be6c30e623}">
          <xlrd:rvb i="15822"/>
        </ext>
      </extLst>
    </bk>
    <bk>
      <extLst>
        <ext uri="{3e2802c4-a4d2-4d8b-9148-e3be6c30e623}">
          <xlrd:rvb i="15823"/>
        </ext>
      </extLst>
    </bk>
    <bk>
      <extLst>
        <ext uri="{3e2802c4-a4d2-4d8b-9148-e3be6c30e623}">
          <xlrd:rvb i="15824"/>
        </ext>
      </extLst>
    </bk>
    <bk>
      <extLst>
        <ext uri="{3e2802c4-a4d2-4d8b-9148-e3be6c30e623}">
          <xlrd:rvb i="15825"/>
        </ext>
      </extLst>
    </bk>
    <bk>
      <extLst>
        <ext uri="{3e2802c4-a4d2-4d8b-9148-e3be6c30e623}">
          <xlrd:rvb i="15826"/>
        </ext>
      </extLst>
    </bk>
    <bk>
      <extLst>
        <ext uri="{3e2802c4-a4d2-4d8b-9148-e3be6c30e623}">
          <xlrd:rvb i="15827"/>
        </ext>
      </extLst>
    </bk>
    <bk>
      <extLst>
        <ext uri="{3e2802c4-a4d2-4d8b-9148-e3be6c30e623}">
          <xlrd:rvb i="15828"/>
        </ext>
      </extLst>
    </bk>
    <bk>
      <extLst>
        <ext uri="{3e2802c4-a4d2-4d8b-9148-e3be6c30e623}">
          <xlrd:rvb i="15829"/>
        </ext>
      </extLst>
    </bk>
    <bk>
      <extLst>
        <ext uri="{3e2802c4-a4d2-4d8b-9148-e3be6c30e623}">
          <xlrd:rvb i="15830"/>
        </ext>
      </extLst>
    </bk>
    <bk>
      <extLst>
        <ext uri="{3e2802c4-a4d2-4d8b-9148-e3be6c30e623}">
          <xlrd:rvb i="15831"/>
        </ext>
      </extLst>
    </bk>
    <bk>
      <extLst>
        <ext uri="{3e2802c4-a4d2-4d8b-9148-e3be6c30e623}">
          <xlrd:rvb i="15832"/>
        </ext>
      </extLst>
    </bk>
    <bk>
      <extLst>
        <ext uri="{3e2802c4-a4d2-4d8b-9148-e3be6c30e623}">
          <xlrd:rvb i="15833"/>
        </ext>
      </extLst>
    </bk>
    <bk>
      <extLst>
        <ext uri="{3e2802c4-a4d2-4d8b-9148-e3be6c30e623}">
          <xlrd:rvb i="15834"/>
        </ext>
      </extLst>
    </bk>
    <bk>
      <extLst>
        <ext uri="{3e2802c4-a4d2-4d8b-9148-e3be6c30e623}">
          <xlrd:rvb i="15835"/>
        </ext>
      </extLst>
    </bk>
    <bk>
      <extLst>
        <ext uri="{3e2802c4-a4d2-4d8b-9148-e3be6c30e623}">
          <xlrd:rvb i="15836"/>
        </ext>
      </extLst>
    </bk>
    <bk>
      <extLst>
        <ext uri="{3e2802c4-a4d2-4d8b-9148-e3be6c30e623}">
          <xlrd:rvb i="15837"/>
        </ext>
      </extLst>
    </bk>
    <bk>
      <extLst>
        <ext uri="{3e2802c4-a4d2-4d8b-9148-e3be6c30e623}">
          <xlrd:rvb i="15838"/>
        </ext>
      </extLst>
    </bk>
    <bk>
      <extLst>
        <ext uri="{3e2802c4-a4d2-4d8b-9148-e3be6c30e623}">
          <xlrd:rvb i="15839"/>
        </ext>
      </extLst>
    </bk>
    <bk>
      <extLst>
        <ext uri="{3e2802c4-a4d2-4d8b-9148-e3be6c30e623}">
          <xlrd:rvb i="15840"/>
        </ext>
      </extLst>
    </bk>
    <bk>
      <extLst>
        <ext uri="{3e2802c4-a4d2-4d8b-9148-e3be6c30e623}">
          <xlrd:rvb i="15841"/>
        </ext>
      </extLst>
    </bk>
    <bk>
      <extLst>
        <ext uri="{3e2802c4-a4d2-4d8b-9148-e3be6c30e623}">
          <xlrd:rvb i="15842"/>
        </ext>
      </extLst>
    </bk>
    <bk>
      <extLst>
        <ext uri="{3e2802c4-a4d2-4d8b-9148-e3be6c30e623}">
          <xlrd:rvb i="15843"/>
        </ext>
      </extLst>
    </bk>
    <bk>
      <extLst>
        <ext uri="{3e2802c4-a4d2-4d8b-9148-e3be6c30e623}">
          <xlrd:rvb i="15844"/>
        </ext>
      </extLst>
    </bk>
    <bk>
      <extLst>
        <ext uri="{3e2802c4-a4d2-4d8b-9148-e3be6c30e623}">
          <xlrd:rvb i="15845"/>
        </ext>
      </extLst>
    </bk>
    <bk>
      <extLst>
        <ext uri="{3e2802c4-a4d2-4d8b-9148-e3be6c30e623}">
          <xlrd:rvb i="15846"/>
        </ext>
      </extLst>
    </bk>
    <bk>
      <extLst>
        <ext uri="{3e2802c4-a4d2-4d8b-9148-e3be6c30e623}">
          <xlrd:rvb i="15847"/>
        </ext>
      </extLst>
    </bk>
    <bk>
      <extLst>
        <ext uri="{3e2802c4-a4d2-4d8b-9148-e3be6c30e623}">
          <xlrd:rvb i="15848"/>
        </ext>
      </extLst>
    </bk>
    <bk>
      <extLst>
        <ext uri="{3e2802c4-a4d2-4d8b-9148-e3be6c30e623}">
          <xlrd:rvb i="15849"/>
        </ext>
      </extLst>
    </bk>
    <bk>
      <extLst>
        <ext uri="{3e2802c4-a4d2-4d8b-9148-e3be6c30e623}">
          <xlrd:rvb i="15850"/>
        </ext>
      </extLst>
    </bk>
    <bk>
      <extLst>
        <ext uri="{3e2802c4-a4d2-4d8b-9148-e3be6c30e623}">
          <xlrd:rvb i="15851"/>
        </ext>
      </extLst>
    </bk>
    <bk>
      <extLst>
        <ext uri="{3e2802c4-a4d2-4d8b-9148-e3be6c30e623}">
          <xlrd:rvb i="15852"/>
        </ext>
      </extLst>
    </bk>
    <bk>
      <extLst>
        <ext uri="{3e2802c4-a4d2-4d8b-9148-e3be6c30e623}">
          <xlrd:rvb i="15853"/>
        </ext>
      </extLst>
    </bk>
    <bk>
      <extLst>
        <ext uri="{3e2802c4-a4d2-4d8b-9148-e3be6c30e623}">
          <xlrd:rvb i="15854"/>
        </ext>
      </extLst>
    </bk>
    <bk>
      <extLst>
        <ext uri="{3e2802c4-a4d2-4d8b-9148-e3be6c30e623}">
          <xlrd:rvb i="15855"/>
        </ext>
      </extLst>
    </bk>
    <bk>
      <extLst>
        <ext uri="{3e2802c4-a4d2-4d8b-9148-e3be6c30e623}">
          <xlrd:rvb i="15856"/>
        </ext>
      </extLst>
    </bk>
    <bk>
      <extLst>
        <ext uri="{3e2802c4-a4d2-4d8b-9148-e3be6c30e623}">
          <xlrd:rvb i="15857"/>
        </ext>
      </extLst>
    </bk>
    <bk>
      <extLst>
        <ext uri="{3e2802c4-a4d2-4d8b-9148-e3be6c30e623}">
          <xlrd:rvb i="15858"/>
        </ext>
      </extLst>
    </bk>
    <bk>
      <extLst>
        <ext uri="{3e2802c4-a4d2-4d8b-9148-e3be6c30e623}">
          <xlrd:rvb i="15859"/>
        </ext>
      </extLst>
    </bk>
    <bk>
      <extLst>
        <ext uri="{3e2802c4-a4d2-4d8b-9148-e3be6c30e623}">
          <xlrd:rvb i="15860"/>
        </ext>
      </extLst>
    </bk>
    <bk>
      <extLst>
        <ext uri="{3e2802c4-a4d2-4d8b-9148-e3be6c30e623}">
          <xlrd:rvb i="15861"/>
        </ext>
      </extLst>
    </bk>
    <bk>
      <extLst>
        <ext uri="{3e2802c4-a4d2-4d8b-9148-e3be6c30e623}">
          <xlrd:rvb i="15862"/>
        </ext>
      </extLst>
    </bk>
    <bk>
      <extLst>
        <ext uri="{3e2802c4-a4d2-4d8b-9148-e3be6c30e623}">
          <xlrd:rvb i="15863"/>
        </ext>
      </extLst>
    </bk>
    <bk>
      <extLst>
        <ext uri="{3e2802c4-a4d2-4d8b-9148-e3be6c30e623}">
          <xlrd:rvb i="15864"/>
        </ext>
      </extLst>
    </bk>
    <bk>
      <extLst>
        <ext uri="{3e2802c4-a4d2-4d8b-9148-e3be6c30e623}">
          <xlrd:rvb i="15865"/>
        </ext>
      </extLst>
    </bk>
    <bk>
      <extLst>
        <ext uri="{3e2802c4-a4d2-4d8b-9148-e3be6c30e623}">
          <xlrd:rvb i="15866"/>
        </ext>
      </extLst>
    </bk>
    <bk>
      <extLst>
        <ext uri="{3e2802c4-a4d2-4d8b-9148-e3be6c30e623}">
          <xlrd:rvb i="15867"/>
        </ext>
      </extLst>
    </bk>
    <bk>
      <extLst>
        <ext uri="{3e2802c4-a4d2-4d8b-9148-e3be6c30e623}">
          <xlrd:rvb i="15868"/>
        </ext>
      </extLst>
    </bk>
    <bk>
      <extLst>
        <ext uri="{3e2802c4-a4d2-4d8b-9148-e3be6c30e623}">
          <xlrd:rvb i="15869"/>
        </ext>
      </extLst>
    </bk>
    <bk>
      <extLst>
        <ext uri="{3e2802c4-a4d2-4d8b-9148-e3be6c30e623}">
          <xlrd:rvb i="15870"/>
        </ext>
      </extLst>
    </bk>
    <bk>
      <extLst>
        <ext uri="{3e2802c4-a4d2-4d8b-9148-e3be6c30e623}">
          <xlrd:rvb i="15871"/>
        </ext>
      </extLst>
    </bk>
    <bk>
      <extLst>
        <ext uri="{3e2802c4-a4d2-4d8b-9148-e3be6c30e623}">
          <xlrd:rvb i="15872"/>
        </ext>
      </extLst>
    </bk>
    <bk>
      <extLst>
        <ext uri="{3e2802c4-a4d2-4d8b-9148-e3be6c30e623}">
          <xlrd:rvb i="15873"/>
        </ext>
      </extLst>
    </bk>
    <bk>
      <extLst>
        <ext uri="{3e2802c4-a4d2-4d8b-9148-e3be6c30e623}">
          <xlrd:rvb i="15874"/>
        </ext>
      </extLst>
    </bk>
    <bk>
      <extLst>
        <ext uri="{3e2802c4-a4d2-4d8b-9148-e3be6c30e623}">
          <xlrd:rvb i="15875"/>
        </ext>
      </extLst>
    </bk>
    <bk>
      <extLst>
        <ext uri="{3e2802c4-a4d2-4d8b-9148-e3be6c30e623}">
          <xlrd:rvb i="15876"/>
        </ext>
      </extLst>
    </bk>
    <bk>
      <extLst>
        <ext uri="{3e2802c4-a4d2-4d8b-9148-e3be6c30e623}">
          <xlrd:rvb i="15877"/>
        </ext>
      </extLst>
    </bk>
    <bk>
      <extLst>
        <ext uri="{3e2802c4-a4d2-4d8b-9148-e3be6c30e623}">
          <xlrd:rvb i="15878"/>
        </ext>
      </extLst>
    </bk>
    <bk>
      <extLst>
        <ext uri="{3e2802c4-a4d2-4d8b-9148-e3be6c30e623}">
          <xlrd:rvb i="15879"/>
        </ext>
      </extLst>
    </bk>
    <bk>
      <extLst>
        <ext uri="{3e2802c4-a4d2-4d8b-9148-e3be6c30e623}">
          <xlrd:rvb i="15880"/>
        </ext>
      </extLst>
    </bk>
    <bk>
      <extLst>
        <ext uri="{3e2802c4-a4d2-4d8b-9148-e3be6c30e623}">
          <xlrd:rvb i="15881"/>
        </ext>
      </extLst>
    </bk>
    <bk>
      <extLst>
        <ext uri="{3e2802c4-a4d2-4d8b-9148-e3be6c30e623}">
          <xlrd:rvb i="15882"/>
        </ext>
      </extLst>
    </bk>
    <bk>
      <extLst>
        <ext uri="{3e2802c4-a4d2-4d8b-9148-e3be6c30e623}">
          <xlrd:rvb i="15883"/>
        </ext>
      </extLst>
    </bk>
    <bk>
      <extLst>
        <ext uri="{3e2802c4-a4d2-4d8b-9148-e3be6c30e623}">
          <xlrd:rvb i="15884"/>
        </ext>
      </extLst>
    </bk>
    <bk>
      <extLst>
        <ext uri="{3e2802c4-a4d2-4d8b-9148-e3be6c30e623}">
          <xlrd:rvb i="15885"/>
        </ext>
      </extLst>
    </bk>
    <bk>
      <extLst>
        <ext uri="{3e2802c4-a4d2-4d8b-9148-e3be6c30e623}">
          <xlrd:rvb i="15886"/>
        </ext>
      </extLst>
    </bk>
    <bk>
      <extLst>
        <ext uri="{3e2802c4-a4d2-4d8b-9148-e3be6c30e623}">
          <xlrd:rvb i="15887"/>
        </ext>
      </extLst>
    </bk>
    <bk>
      <extLst>
        <ext uri="{3e2802c4-a4d2-4d8b-9148-e3be6c30e623}">
          <xlrd:rvb i="15888"/>
        </ext>
      </extLst>
    </bk>
    <bk>
      <extLst>
        <ext uri="{3e2802c4-a4d2-4d8b-9148-e3be6c30e623}">
          <xlrd:rvb i="15889"/>
        </ext>
      </extLst>
    </bk>
    <bk>
      <extLst>
        <ext uri="{3e2802c4-a4d2-4d8b-9148-e3be6c30e623}">
          <xlrd:rvb i="15890"/>
        </ext>
      </extLst>
    </bk>
    <bk>
      <extLst>
        <ext uri="{3e2802c4-a4d2-4d8b-9148-e3be6c30e623}">
          <xlrd:rvb i="15891"/>
        </ext>
      </extLst>
    </bk>
    <bk>
      <extLst>
        <ext uri="{3e2802c4-a4d2-4d8b-9148-e3be6c30e623}">
          <xlrd:rvb i="15892"/>
        </ext>
      </extLst>
    </bk>
    <bk>
      <extLst>
        <ext uri="{3e2802c4-a4d2-4d8b-9148-e3be6c30e623}">
          <xlrd:rvb i="15893"/>
        </ext>
      </extLst>
    </bk>
    <bk>
      <extLst>
        <ext uri="{3e2802c4-a4d2-4d8b-9148-e3be6c30e623}">
          <xlrd:rvb i="15894"/>
        </ext>
      </extLst>
    </bk>
    <bk>
      <extLst>
        <ext uri="{3e2802c4-a4d2-4d8b-9148-e3be6c30e623}">
          <xlrd:rvb i="15895"/>
        </ext>
      </extLst>
    </bk>
    <bk>
      <extLst>
        <ext uri="{3e2802c4-a4d2-4d8b-9148-e3be6c30e623}">
          <xlrd:rvb i="15896"/>
        </ext>
      </extLst>
    </bk>
    <bk>
      <extLst>
        <ext uri="{3e2802c4-a4d2-4d8b-9148-e3be6c30e623}">
          <xlrd:rvb i="15897"/>
        </ext>
      </extLst>
    </bk>
    <bk>
      <extLst>
        <ext uri="{3e2802c4-a4d2-4d8b-9148-e3be6c30e623}">
          <xlrd:rvb i="15898"/>
        </ext>
      </extLst>
    </bk>
    <bk>
      <extLst>
        <ext uri="{3e2802c4-a4d2-4d8b-9148-e3be6c30e623}">
          <xlrd:rvb i="15899"/>
        </ext>
      </extLst>
    </bk>
    <bk>
      <extLst>
        <ext uri="{3e2802c4-a4d2-4d8b-9148-e3be6c30e623}">
          <xlrd:rvb i="15900"/>
        </ext>
      </extLst>
    </bk>
    <bk>
      <extLst>
        <ext uri="{3e2802c4-a4d2-4d8b-9148-e3be6c30e623}">
          <xlrd:rvb i="15901"/>
        </ext>
      </extLst>
    </bk>
    <bk>
      <extLst>
        <ext uri="{3e2802c4-a4d2-4d8b-9148-e3be6c30e623}">
          <xlrd:rvb i="15902"/>
        </ext>
      </extLst>
    </bk>
    <bk>
      <extLst>
        <ext uri="{3e2802c4-a4d2-4d8b-9148-e3be6c30e623}">
          <xlrd:rvb i="15903"/>
        </ext>
      </extLst>
    </bk>
    <bk>
      <extLst>
        <ext uri="{3e2802c4-a4d2-4d8b-9148-e3be6c30e623}">
          <xlrd:rvb i="15904"/>
        </ext>
      </extLst>
    </bk>
    <bk>
      <extLst>
        <ext uri="{3e2802c4-a4d2-4d8b-9148-e3be6c30e623}">
          <xlrd:rvb i="15905"/>
        </ext>
      </extLst>
    </bk>
    <bk>
      <extLst>
        <ext uri="{3e2802c4-a4d2-4d8b-9148-e3be6c30e623}">
          <xlrd:rvb i="15906"/>
        </ext>
      </extLst>
    </bk>
    <bk>
      <extLst>
        <ext uri="{3e2802c4-a4d2-4d8b-9148-e3be6c30e623}">
          <xlrd:rvb i="15907"/>
        </ext>
      </extLst>
    </bk>
    <bk>
      <extLst>
        <ext uri="{3e2802c4-a4d2-4d8b-9148-e3be6c30e623}">
          <xlrd:rvb i="15908"/>
        </ext>
      </extLst>
    </bk>
    <bk>
      <extLst>
        <ext uri="{3e2802c4-a4d2-4d8b-9148-e3be6c30e623}">
          <xlrd:rvb i="15909"/>
        </ext>
      </extLst>
    </bk>
    <bk>
      <extLst>
        <ext uri="{3e2802c4-a4d2-4d8b-9148-e3be6c30e623}">
          <xlrd:rvb i="15910"/>
        </ext>
      </extLst>
    </bk>
    <bk>
      <extLst>
        <ext uri="{3e2802c4-a4d2-4d8b-9148-e3be6c30e623}">
          <xlrd:rvb i="15911"/>
        </ext>
      </extLst>
    </bk>
    <bk>
      <extLst>
        <ext uri="{3e2802c4-a4d2-4d8b-9148-e3be6c30e623}">
          <xlrd:rvb i="15912"/>
        </ext>
      </extLst>
    </bk>
    <bk>
      <extLst>
        <ext uri="{3e2802c4-a4d2-4d8b-9148-e3be6c30e623}">
          <xlrd:rvb i="15913"/>
        </ext>
      </extLst>
    </bk>
    <bk>
      <extLst>
        <ext uri="{3e2802c4-a4d2-4d8b-9148-e3be6c30e623}">
          <xlrd:rvb i="15914"/>
        </ext>
      </extLst>
    </bk>
    <bk>
      <extLst>
        <ext uri="{3e2802c4-a4d2-4d8b-9148-e3be6c30e623}">
          <xlrd:rvb i="15915"/>
        </ext>
      </extLst>
    </bk>
    <bk>
      <extLst>
        <ext uri="{3e2802c4-a4d2-4d8b-9148-e3be6c30e623}">
          <xlrd:rvb i="15916"/>
        </ext>
      </extLst>
    </bk>
    <bk>
      <extLst>
        <ext uri="{3e2802c4-a4d2-4d8b-9148-e3be6c30e623}">
          <xlrd:rvb i="15917"/>
        </ext>
      </extLst>
    </bk>
    <bk>
      <extLst>
        <ext uri="{3e2802c4-a4d2-4d8b-9148-e3be6c30e623}">
          <xlrd:rvb i="15918"/>
        </ext>
      </extLst>
    </bk>
    <bk>
      <extLst>
        <ext uri="{3e2802c4-a4d2-4d8b-9148-e3be6c30e623}">
          <xlrd:rvb i="15919"/>
        </ext>
      </extLst>
    </bk>
    <bk>
      <extLst>
        <ext uri="{3e2802c4-a4d2-4d8b-9148-e3be6c30e623}">
          <xlrd:rvb i="15920"/>
        </ext>
      </extLst>
    </bk>
    <bk>
      <extLst>
        <ext uri="{3e2802c4-a4d2-4d8b-9148-e3be6c30e623}">
          <xlrd:rvb i="15921"/>
        </ext>
      </extLst>
    </bk>
    <bk>
      <extLst>
        <ext uri="{3e2802c4-a4d2-4d8b-9148-e3be6c30e623}">
          <xlrd:rvb i="15922"/>
        </ext>
      </extLst>
    </bk>
    <bk>
      <extLst>
        <ext uri="{3e2802c4-a4d2-4d8b-9148-e3be6c30e623}">
          <xlrd:rvb i="15923"/>
        </ext>
      </extLst>
    </bk>
    <bk>
      <extLst>
        <ext uri="{3e2802c4-a4d2-4d8b-9148-e3be6c30e623}">
          <xlrd:rvb i="15924"/>
        </ext>
      </extLst>
    </bk>
    <bk>
      <extLst>
        <ext uri="{3e2802c4-a4d2-4d8b-9148-e3be6c30e623}">
          <xlrd:rvb i="15925"/>
        </ext>
      </extLst>
    </bk>
    <bk>
      <extLst>
        <ext uri="{3e2802c4-a4d2-4d8b-9148-e3be6c30e623}">
          <xlrd:rvb i="15926"/>
        </ext>
      </extLst>
    </bk>
    <bk>
      <extLst>
        <ext uri="{3e2802c4-a4d2-4d8b-9148-e3be6c30e623}">
          <xlrd:rvb i="15927"/>
        </ext>
      </extLst>
    </bk>
    <bk>
      <extLst>
        <ext uri="{3e2802c4-a4d2-4d8b-9148-e3be6c30e623}">
          <xlrd:rvb i="15928"/>
        </ext>
      </extLst>
    </bk>
    <bk>
      <extLst>
        <ext uri="{3e2802c4-a4d2-4d8b-9148-e3be6c30e623}">
          <xlrd:rvb i="15929"/>
        </ext>
      </extLst>
    </bk>
    <bk>
      <extLst>
        <ext uri="{3e2802c4-a4d2-4d8b-9148-e3be6c30e623}">
          <xlrd:rvb i="15930"/>
        </ext>
      </extLst>
    </bk>
    <bk>
      <extLst>
        <ext uri="{3e2802c4-a4d2-4d8b-9148-e3be6c30e623}">
          <xlrd:rvb i="15931"/>
        </ext>
      </extLst>
    </bk>
    <bk>
      <extLst>
        <ext uri="{3e2802c4-a4d2-4d8b-9148-e3be6c30e623}">
          <xlrd:rvb i="15932"/>
        </ext>
      </extLst>
    </bk>
    <bk>
      <extLst>
        <ext uri="{3e2802c4-a4d2-4d8b-9148-e3be6c30e623}">
          <xlrd:rvb i="15933"/>
        </ext>
      </extLst>
    </bk>
    <bk>
      <extLst>
        <ext uri="{3e2802c4-a4d2-4d8b-9148-e3be6c30e623}">
          <xlrd:rvb i="15934"/>
        </ext>
      </extLst>
    </bk>
    <bk>
      <extLst>
        <ext uri="{3e2802c4-a4d2-4d8b-9148-e3be6c30e623}">
          <xlrd:rvb i="15935"/>
        </ext>
      </extLst>
    </bk>
    <bk>
      <extLst>
        <ext uri="{3e2802c4-a4d2-4d8b-9148-e3be6c30e623}">
          <xlrd:rvb i="15936"/>
        </ext>
      </extLst>
    </bk>
    <bk>
      <extLst>
        <ext uri="{3e2802c4-a4d2-4d8b-9148-e3be6c30e623}">
          <xlrd:rvb i="15937"/>
        </ext>
      </extLst>
    </bk>
    <bk>
      <extLst>
        <ext uri="{3e2802c4-a4d2-4d8b-9148-e3be6c30e623}">
          <xlrd:rvb i="15938"/>
        </ext>
      </extLst>
    </bk>
    <bk>
      <extLst>
        <ext uri="{3e2802c4-a4d2-4d8b-9148-e3be6c30e623}">
          <xlrd:rvb i="15939"/>
        </ext>
      </extLst>
    </bk>
    <bk>
      <extLst>
        <ext uri="{3e2802c4-a4d2-4d8b-9148-e3be6c30e623}">
          <xlrd:rvb i="15940"/>
        </ext>
      </extLst>
    </bk>
    <bk>
      <extLst>
        <ext uri="{3e2802c4-a4d2-4d8b-9148-e3be6c30e623}">
          <xlrd:rvb i="15941"/>
        </ext>
      </extLst>
    </bk>
    <bk>
      <extLst>
        <ext uri="{3e2802c4-a4d2-4d8b-9148-e3be6c30e623}">
          <xlrd:rvb i="15942"/>
        </ext>
      </extLst>
    </bk>
    <bk>
      <extLst>
        <ext uri="{3e2802c4-a4d2-4d8b-9148-e3be6c30e623}">
          <xlrd:rvb i="15943"/>
        </ext>
      </extLst>
    </bk>
    <bk>
      <extLst>
        <ext uri="{3e2802c4-a4d2-4d8b-9148-e3be6c30e623}">
          <xlrd:rvb i="15944"/>
        </ext>
      </extLst>
    </bk>
    <bk>
      <extLst>
        <ext uri="{3e2802c4-a4d2-4d8b-9148-e3be6c30e623}">
          <xlrd:rvb i="15945"/>
        </ext>
      </extLst>
    </bk>
    <bk>
      <extLst>
        <ext uri="{3e2802c4-a4d2-4d8b-9148-e3be6c30e623}">
          <xlrd:rvb i="15946"/>
        </ext>
      </extLst>
    </bk>
    <bk>
      <extLst>
        <ext uri="{3e2802c4-a4d2-4d8b-9148-e3be6c30e623}">
          <xlrd:rvb i="15947"/>
        </ext>
      </extLst>
    </bk>
    <bk>
      <extLst>
        <ext uri="{3e2802c4-a4d2-4d8b-9148-e3be6c30e623}">
          <xlrd:rvb i="15948"/>
        </ext>
      </extLst>
    </bk>
    <bk>
      <extLst>
        <ext uri="{3e2802c4-a4d2-4d8b-9148-e3be6c30e623}">
          <xlrd:rvb i="15949"/>
        </ext>
      </extLst>
    </bk>
    <bk>
      <extLst>
        <ext uri="{3e2802c4-a4d2-4d8b-9148-e3be6c30e623}">
          <xlrd:rvb i="15950"/>
        </ext>
      </extLst>
    </bk>
    <bk>
      <extLst>
        <ext uri="{3e2802c4-a4d2-4d8b-9148-e3be6c30e623}">
          <xlrd:rvb i="15951"/>
        </ext>
      </extLst>
    </bk>
    <bk>
      <extLst>
        <ext uri="{3e2802c4-a4d2-4d8b-9148-e3be6c30e623}">
          <xlrd:rvb i="15952"/>
        </ext>
      </extLst>
    </bk>
    <bk>
      <extLst>
        <ext uri="{3e2802c4-a4d2-4d8b-9148-e3be6c30e623}">
          <xlrd:rvb i="15953"/>
        </ext>
      </extLst>
    </bk>
    <bk>
      <extLst>
        <ext uri="{3e2802c4-a4d2-4d8b-9148-e3be6c30e623}">
          <xlrd:rvb i="15954"/>
        </ext>
      </extLst>
    </bk>
    <bk>
      <extLst>
        <ext uri="{3e2802c4-a4d2-4d8b-9148-e3be6c30e623}">
          <xlrd:rvb i="15955"/>
        </ext>
      </extLst>
    </bk>
    <bk>
      <extLst>
        <ext uri="{3e2802c4-a4d2-4d8b-9148-e3be6c30e623}">
          <xlrd:rvb i="15956"/>
        </ext>
      </extLst>
    </bk>
    <bk>
      <extLst>
        <ext uri="{3e2802c4-a4d2-4d8b-9148-e3be6c30e623}">
          <xlrd:rvb i="15957"/>
        </ext>
      </extLst>
    </bk>
    <bk>
      <extLst>
        <ext uri="{3e2802c4-a4d2-4d8b-9148-e3be6c30e623}">
          <xlrd:rvb i="15958"/>
        </ext>
      </extLst>
    </bk>
    <bk>
      <extLst>
        <ext uri="{3e2802c4-a4d2-4d8b-9148-e3be6c30e623}">
          <xlrd:rvb i="15959"/>
        </ext>
      </extLst>
    </bk>
    <bk>
      <extLst>
        <ext uri="{3e2802c4-a4d2-4d8b-9148-e3be6c30e623}">
          <xlrd:rvb i="15960"/>
        </ext>
      </extLst>
    </bk>
    <bk>
      <extLst>
        <ext uri="{3e2802c4-a4d2-4d8b-9148-e3be6c30e623}">
          <xlrd:rvb i="15961"/>
        </ext>
      </extLst>
    </bk>
    <bk>
      <extLst>
        <ext uri="{3e2802c4-a4d2-4d8b-9148-e3be6c30e623}">
          <xlrd:rvb i="15962"/>
        </ext>
      </extLst>
    </bk>
    <bk>
      <extLst>
        <ext uri="{3e2802c4-a4d2-4d8b-9148-e3be6c30e623}">
          <xlrd:rvb i="15963"/>
        </ext>
      </extLst>
    </bk>
    <bk>
      <extLst>
        <ext uri="{3e2802c4-a4d2-4d8b-9148-e3be6c30e623}">
          <xlrd:rvb i="15964"/>
        </ext>
      </extLst>
    </bk>
    <bk>
      <extLst>
        <ext uri="{3e2802c4-a4d2-4d8b-9148-e3be6c30e623}">
          <xlrd:rvb i="15965"/>
        </ext>
      </extLst>
    </bk>
    <bk>
      <extLst>
        <ext uri="{3e2802c4-a4d2-4d8b-9148-e3be6c30e623}">
          <xlrd:rvb i="15966"/>
        </ext>
      </extLst>
    </bk>
    <bk>
      <extLst>
        <ext uri="{3e2802c4-a4d2-4d8b-9148-e3be6c30e623}">
          <xlrd:rvb i="15967"/>
        </ext>
      </extLst>
    </bk>
    <bk>
      <extLst>
        <ext uri="{3e2802c4-a4d2-4d8b-9148-e3be6c30e623}">
          <xlrd:rvb i="15968"/>
        </ext>
      </extLst>
    </bk>
    <bk>
      <extLst>
        <ext uri="{3e2802c4-a4d2-4d8b-9148-e3be6c30e623}">
          <xlrd:rvb i="15969"/>
        </ext>
      </extLst>
    </bk>
    <bk>
      <extLst>
        <ext uri="{3e2802c4-a4d2-4d8b-9148-e3be6c30e623}">
          <xlrd:rvb i="15970"/>
        </ext>
      </extLst>
    </bk>
    <bk>
      <extLst>
        <ext uri="{3e2802c4-a4d2-4d8b-9148-e3be6c30e623}">
          <xlrd:rvb i="15971"/>
        </ext>
      </extLst>
    </bk>
    <bk>
      <extLst>
        <ext uri="{3e2802c4-a4d2-4d8b-9148-e3be6c30e623}">
          <xlrd:rvb i="15972"/>
        </ext>
      </extLst>
    </bk>
    <bk>
      <extLst>
        <ext uri="{3e2802c4-a4d2-4d8b-9148-e3be6c30e623}">
          <xlrd:rvb i="15973"/>
        </ext>
      </extLst>
    </bk>
    <bk>
      <extLst>
        <ext uri="{3e2802c4-a4d2-4d8b-9148-e3be6c30e623}">
          <xlrd:rvb i="15974"/>
        </ext>
      </extLst>
    </bk>
    <bk>
      <extLst>
        <ext uri="{3e2802c4-a4d2-4d8b-9148-e3be6c30e623}">
          <xlrd:rvb i="15975"/>
        </ext>
      </extLst>
    </bk>
    <bk>
      <extLst>
        <ext uri="{3e2802c4-a4d2-4d8b-9148-e3be6c30e623}">
          <xlrd:rvb i="15976"/>
        </ext>
      </extLst>
    </bk>
    <bk>
      <extLst>
        <ext uri="{3e2802c4-a4d2-4d8b-9148-e3be6c30e623}">
          <xlrd:rvb i="15977"/>
        </ext>
      </extLst>
    </bk>
    <bk>
      <extLst>
        <ext uri="{3e2802c4-a4d2-4d8b-9148-e3be6c30e623}">
          <xlrd:rvb i="15978"/>
        </ext>
      </extLst>
    </bk>
    <bk>
      <extLst>
        <ext uri="{3e2802c4-a4d2-4d8b-9148-e3be6c30e623}">
          <xlrd:rvb i="15979"/>
        </ext>
      </extLst>
    </bk>
    <bk>
      <extLst>
        <ext uri="{3e2802c4-a4d2-4d8b-9148-e3be6c30e623}">
          <xlrd:rvb i="15980"/>
        </ext>
      </extLst>
    </bk>
    <bk>
      <extLst>
        <ext uri="{3e2802c4-a4d2-4d8b-9148-e3be6c30e623}">
          <xlrd:rvb i="15981"/>
        </ext>
      </extLst>
    </bk>
    <bk>
      <extLst>
        <ext uri="{3e2802c4-a4d2-4d8b-9148-e3be6c30e623}">
          <xlrd:rvb i="15982"/>
        </ext>
      </extLst>
    </bk>
    <bk>
      <extLst>
        <ext uri="{3e2802c4-a4d2-4d8b-9148-e3be6c30e623}">
          <xlrd:rvb i="15983"/>
        </ext>
      </extLst>
    </bk>
    <bk>
      <extLst>
        <ext uri="{3e2802c4-a4d2-4d8b-9148-e3be6c30e623}">
          <xlrd:rvb i="15984"/>
        </ext>
      </extLst>
    </bk>
    <bk>
      <extLst>
        <ext uri="{3e2802c4-a4d2-4d8b-9148-e3be6c30e623}">
          <xlrd:rvb i="15985"/>
        </ext>
      </extLst>
    </bk>
    <bk>
      <extLst>
        <ext uri="{3e2802c4-a4d2-4d8b-9148-e3be6c30e623}">
          <xlrd:rvb i="15986"/>
        </ext>
      </extLst>
    </bk>
    <bk>
      <extLst>
        <ext uri="{3e2802c4-a4d2-4d8b-9148-e3be6c30e623}">
          <xlrd:rvb i="15987"/>
        </ext>
      </extLst>
    </bk>
    <bk>
      <extLst>
        <ext uri="{3e2802c4-a4d2-4d8b-9148-e3be6c30e623}">
          <xlrd:rvb i="15988"/>
        </ext>
      </extLst>
    </bk>
    <bk>
      <extLst>
        <ext uri="{3e2802c4-a4d2-4d8b-9148-e3be6c30e623}">
          <xlrd:rvb i="15989"/>
        </ext>
      </extLst>
    </bk>
    <bk>
      <extLst>
        <ext uri="{3e2802c4-a4d2-4d8b-9148-e3be6c30e623}">
          <xlrd:rvb i="15990"/>
        </ext>
      </extLst>
    </bk>
    <bk>
      <extLst>
        <ext uri="{3e2802c4-a4d2-4d8b-9148-e3be6c30e623}">
          <xlrd:rvb i="15991"/>
        </ext>
      </extLst>
    </bk>
    <bk>
      <extLst>
        <ext uri="{3e2802c4-a4d2-4d8b-9148-e3be6c30e623}">
          <xlrd:rvb i="15992"/>
        </ext>
      </extLst>
    </bk>
    <bk>
      <extLst>
        <ext uri="{3e2802c4-a4d2-4d8b-9148-e3be6c30e623}">
          <xlrd:rvb i="15993"/>
        </ext>
      </extLst>
    </bk>
    <bk>
      <extLst>
        <ext uri="{3e2802c4-a4d2-4d8b-9148-e3be6c30e623}">
          <xlrd:rvb i="15994"/>
        </ext>
      </extLst>
    </bk>
    <bk>
      <extLst>
        <ext uri="{3e2802c4-a4d2-4d8b-9148-e3be6c30e623}">
          <xlrd:rvb i="15995"/>
        </ext>
      </extLst>
    </bk>
    <bk>
      <extLst>
        <ext uri="{3e2802c4-a4d2-4d8b-9148-e3be6c30e623}">
          <xlrd:rvb i="15996"/>
        </ext>
      </extLst>
    </bk>
    <bk>
      <extLst>
        <ext uri="{3e2802c4-a4d2-4d8b-9148-e3be6c30e623}">
          <xlrd:rvb i="15997"/>
        </ext>
      </extLst>
    </bk>
    <bk>
      <extLst>
        <ext uri="{3e2802c4-a4d2-4d8b-9148-e3be6c30e623}">
          <xlrd:rvb i="15998"/>
        </ext>
      </extLst>
    </bk>
    <bk>
      <extLst>
        <ext uri="{3e2802c4-a4d2-4d8b-9148-e3be6c30e623}">
          <xlrd:rvb i="15999"/>
        </ext>
      </extLst>
    </bk>
    <bk>
      <extLst>
        <ext uri="{3e2802c4-a4d2-4d8b-9148-e3be6c30e623}">
          <xlrd:rvb i="16000"/>
        </ext>
      </extLst>
    </bk>
    <bk>
      <extLst>
        <ext uri="{3e2802c4-a4d2-4d8b-9148-e3be6c30e623}">
          <xlrd:rvb i="16001"/>
        </ext>
      </extLst>
    </bk>
    <bk>
      <extLst>
        <ext uri="{3e2802c4-a4d2-4d8b-9148-e3be6c30e623}">
          <xlrd:rvb i="16002"/>
        </ext>
      </extLst>
    </bk>
    <bk>
      <extLst>
        <ext uri="{3e2802c4-a4d2-4d8b-9148-e3be6c30e623}">
          <xlrd:rvb i="16003"/>
        </ext>
      </extLst>
    </bk>
    <bk>
      <extLst>
        <ext uri="{3e2802c4-a4d2-4d8b-9148-e3be6c30e623}">
          <xlrd:rvb i="16004"/>
        </ext>
      </extLst>
    </bk>
    <bk>
      <extLst>
        <ext uri="{3e2802c4-a4d2-4d8b-9148-e3be6c30e623}">
          <xlrd:rvb i="16005"/>
        </ext>
      </extLst>
    </bk>
    <bk>
      <extLst>
        <ext uri="{3e2802c4-a4d2-4d8b-9148-e3be6c30e623}">
          <xlrd:rvb i="16006"/>
        </ext>
      </extLst>
    </bk>
    <bk>
      <extLst>
        <ext uri="{3e2802c4-a4d2-4d8b-9148-e3be6c30e623}">
          <xlrd:rvb i="16007"/>
        </ext>
      </extLst>
    </bk>
    <bk>
      <extLst>
        <ext uri="{3e2802c4-a4d2-4d8b-9148-e3be6c30e623}">
          <xlrd:rvb i="16008"/>
        </ext>
      </extLst>
    </bk>
    <bk>
      <extLst>
        <ext uri="{3e2802c4-a4d2-4d8b-9148-e3be6c30e623}">
          <xlrd:rvb i="16009"/>
        </ext>
      </extLst>
    </bk>
    <bk>
      <extLst>
        <ext uri="{3e2802c4-a4d2-4d8b-9148-e3be6c30e623}">
          <xlrd:rvb i="16010"/>
        </ext>
      </extLst>
    </bk>
    <bk>
      <extLst>
        <ext uri="{3e2802c4-a4d2-4d8b-9148-e3be6c30e623}">
          <xlrd:rvb i="16011"/>
        </ext>
      </extLst>
    </bk>
    <bk>
      <extLst>
        <ext uri="{3e2802c4-a4d2-4d8b-9148-e3be6c30e623}">
          <xlrd:rvb i="16012"/>
        </ext>
      </extLst>
    </bk>
    <bk>
      <extLst>
        <ext uri="{3e2802c4-a4d2-4d8b-9148-e3be6c30e623}">
          <xlrd:rvb i="16013"/>
        </ext>
      </extLst>
    </bk>
    <bk>
      <extLst>
        <ext uri="{3e2802c4-a4d2-4d8b-9148-e3be6c30e623}">
          <xlrd:rvb i="16014"/>
        </ext>
      </extLst>
    </bk>
    <bk>
      <extLst>
        <ext uri="{3e2802c4-a4d2-4d8b-9148-e3be6c30e623}">
          <xlrd:rvb i="16015"/>
        </ext>
      </extLst>
    </bk>
    <bk>
      <extLst>
        <ext uri="{3e2802c4-a4d2-4d8b-9148-e3be6c30e623}">
          <xlrd:rvb i="16016"/>
        </ext>
      </extLst>
    </bk>
    <bk>
      <extLst>
        <ext uri="{3e2802c4-a4d2-4d8b-9148-e3be6c30e623}">
          <xlrd:rvb i="16017"/>
        </ext>
      </extLst>
    </bk>
    <bk>
      <extLst>
        <ext uri="{3e2802c4-a4d2-4d8b-9148-e3be6c30e623}">
          <xlrd:rvb i="16018"/>
        </ext>
      </extLst>
    </bk>
    <bk>
      <extLst>
        <ext uri="{3e2802c4-a4d2-4d8b-9148-e3be6c30e623}">
          <xlrd:rvb i="16019"/>
        </ext>
      </extLst>
    </bk>
    <bk>
      <extLst>
        <ext uri="{3e2802c4-a4d2-4d8b-9148-e3be6c30e623}">
          <xlrd:rvb i="16020"/>
        </ext>
      </extLst>
    </bk>
    <bk>
      <extLst>
        <ext uri="{3e2802c4-a4d2-4d8b-9148-e3be6c30e623}">
          <xlrd:rvb i="16021"/>
        </ext>
      </extLst>
    </bk>
    <bk>
      <extLst>
        <ext uri="{3e2802c4-a4d2-4d8b-9148-e3be6c30e623}">
          <xlrd:rvb i="16022"/>
        </ext>
      </extLst>
    </bk>
    <bk>
      <extLst>
        <ext uri="{3e2802c4-a4d2-4d8b-9148-e3be6c30e623}">
          <xlrd:rvb i="16023"/>
        </ext>
      </extLst>
    </bk>
    <bk>
      <extLst>
        <ext uri="{3e2802c4-a4d2-4d8b-9148-e3be6c30e623}">
          <xlrd:rvb i="16024"/>
        </ext>
      </extLst>
    </bk>
    <bk>
      <extLst>
        <ext uri="{3e2802c4-a4d2-4d8b-9148-e3be6c30e623}">
          <xlrd:rvb i="16025"/>
        </ext>
      </extLst>
    </bk>
    <bk>
      <extLst>
        <ext uri="{3e2802c4-a4d2-4d8b-9148-e3be6c30e623}">
          <xlrd:rvb i="16026"/>
        </ext>
      </extLst>
    </bk>
    <bk>
      <extLst>
        <ext uri="{3e2802c4-a4d2-4d8b-9148-e3be6c30e623}">
          <xlrd:rvb i="16027"/>
        </ext>
      </extLst>
    </bk>
    <bk>
      <extLst>
        <ext uri="{3e2802c4-a4d2-4d8b-9148-e3be6c30e623}">
          <xlrd:rvb i="16028"/>
        </ext>
      </extLst>
    </bk>
    <bk>
      <extLst>
        <ext uri="{3e2802c4-a4d2-4d8b-9148-e3be6c30e623}">
          <xlrd:rvb i="16029"/>
        </ext>
      </extLst>
    </bk>
    <bk>
      <extLst>
        <ext uri="{3e2802c4-a4d2-4d8b-9148-e3be6c30e623}">
          <xlrd:rvb i="16030"/>
        </ext>
      </extLst>
    </bk>
    <bk>
      <extLst>
        <ext uri="{3e2802c4-a4d2-4d8b-9148-e3be6c30e623}">
          <xlrd:rvb i="16031"/>
        </ext>
      </extLst>
    </bk>
    <bk>
      <extLst>
        <ext uri="{3e2802c4-a4d2-4d8b-9148-e3be6c30e623}">
          <xlrd:rvb i="16032"/>
        </ext>
      </extLst>
    </bk>
    <bk>
      <extLst>
        <ext uri="{3e2802c4-a4d2-4d8b-9148-e3be6c30e623}">
          <xlrd:rvb i="16033"/>
        </ext>
      </extLst>
    </bk>
    <bk>
      <extLst>
        <ext uri="{3e2802c4-a4d2-4d8b-9148-e3be6c30e623}">
          <xlrd:rvb i="16034"/>
        </ext>
      </extLst>
    </bk>
    <bk>
      <extLst>
        <ext uri="{3e2802c4-a4d2-4d8b-9148-e3be6c30e623}">
          <xlrd:rvb i="16035"/>
        </ext>
      </extLst>
    </bk>
    <bk>
      <extLst>
        <ext uri="{3e2802c4-a4d2-4d8b-9148-e3be6c30e623}">
          <xlrd:rvb i="16036"/>
        </ext>
      </extLst>
    </bk>
    <bk>
      <extLst>
        <ext uri="{3e2802c4-a4d2-4d8b-9148-e3be6c30e623}">
          <xlrd:rvb i="16037"/>
        </ext>
      </extLst>
    </bk>
    <bk>
      <extLst>
        <ext uri="{3e2802c4-a4d2-4d8b-9148-e3be6c30e623}">
          <xlrd:rvb i="16038"/>
        </ext>
      </extLst>
    </bk>
    <bk>
      <extLst>
        <ext uri="{3e2802c4-a4d2-4d8b-9148-e3be6c30e623}">
          <xlrd:rvb i="16039"/>
        </ext>
      </extLst>
    </bk>
    <bk>
      <extLst>
        <ext uri="{3e2802c4-a4d2-4d8b-9148-e3be6c30e623}">
          <xlrd:rvb i="16040"/>
        </ext>
      </extLst>
    </bk>
    <bk>
      <extLst>
        <ext uri="{3e2802c4-a4d2-4d8b-9148-e3be6c30e623}">
          <xlrd:rvb i="16041"/>
        </ext>
      </extLst>
    </bk>
    <bk>
      <extLst>
        <ext uri="{3e2802c4-a4d2-4d8b-9148-e3be6c30e623}">
          <xlrd:rvb i="16042"/>
        </ext>
      </extLst>
    </bk>
    <bk>
      <extLst>
        <ext uri="{3e2802c4-a4d2-4d8b-9148-e3be6c30e623}">
          <xlrd:rvb i="16043"/>
        </ext>
      </extLst>
    </bk>
    <bk>
      <extLst>
        <ext uri="{3e2802c4-a4d2-4d8b-9148-e3be6c30e623}">
          <xlrd:rvb i="16044"/>
        </ext>
      </extLst>
    </bk>
    <bk>
      <extLst>
        <ext uri="{3e2802c4-a4d2-4d8b-9148-e3be6c30e623}">
          <xlrd:rvb i="16045"/>
        </ext>
      </extLst>
    </bk>
    <bk>
      <extLst>
        <ext uri="{3e2802c4-a4d2-4d8b-9148-e3be6c30e623}">
          <xlrd:rvb i="16046"/>
        </ext>
      </extLst>
    </bk>
    <bk>
      <extLst>
        <ext uri="{3e2802c4-a4d2-4d8b-9148-e3be6c30e623}">
          <xlrd:rvb i="16047"/>
        </ext>
      </extLst>
    </bk>
    <bk>
      <extLst>
        <ext uri="{3e2802c4-a4d2-4d8b-9148-e3be6c30e623}">
          <xlrd:rvb i="16048"/>
        </ext>
      </extLst>
    </bk>
    <bk>
      <extLst>
        <ext uri="{3e2802c4-a4d2-4d8b-9148-e3be6c30e623}">
          <xlrd:rvb i="16049"/>
        </ext>
      </extLst>
    </bk>
    <bk>
      <extLst>
        <ext uri="{3e2802c4-a4d2-4d8b-9148-e3be6c30e623}">
          <xlrd:rvb i="16050"/>
        </ext>
      </extLst>
    </bk>
    <bk>
      <extLst>
        <ext uri="{3e2802c4-a4d2-4d8b-9148-e3be6c30e623}">
          <xlrd:rvb i="16051"/>
        </ext>
      </extLst>
    </bk>
    <bk>
      <extLst>
        <ext uri="{3e2802c4-a4d2-4d8b-9148-e3be6c30e623}">
          <xlrd:rvb i="16052"/>
        </ext>
      </extLst>
    </bk>
    <bk>
      <extLst>
        <ext uri="{3e2802c4-a4d2-4d8b-9148-e3be6c30e623}">
          <xlrd:rvb i="16053"/>
        </ext>
      </extLst>
    </bk>
    <bk>
      <extLst>
        <ext uri="{3e2802c4-a4d2-4d8b-9148-e3be6c30e623}">
          <xlrd:rvb i="16054"/>
        </ext>
      </extLst>
    </bk>
    <bk>
      <extLst>
        <ext uri="{3e2802c4-a4d2-4d8b-9148-e3be6c30e623}">
          <xlrd:rvb i="16055"/>
        </ext>
      </extLst>
    </bk>
    <bk>
      <extLst>
        <ext uri="{3e2802c4-a4d2-4d8b-9148-e3be6c30e623}">
          <xlrd:rvb i="16056"/>
        </ext>
      </extLst>
    </bk>
    <bk>
      <extLst>
        <ext uri="{3e2802c4-a4d2-4d8b-9148-e3be6c30e623}">
          <xlrd:rvb i="16057"/>
        </ext>
      </extLst>
    </bk>
    <bk>
      <extLst>
        <ext uri="{3e2802c4-a4d2-4d8b-9148-e3be6c30e623}">
          <xlrd:rvb i="16058"/>
        </ext>
      </extLst>
    </bk>
    <bk>
      <extLst>
        <ext uri="{3e2802c4-a4d2-4d8b-9148-e3be6c30e623}">
          <xlrd:rvb i="16059"/>
        </ext>
      </extLst>
    </bk>
    <bk>
      <extLst>
        <ext uri="{3e2802c4-a4d2-4d8b-9148-e3be6c30e623}">
          <xlrd:rvb i="16060"/>
        </ext>
      </extLst>
    </bk>
    <bk>
      <extLst>
        <ext uri="{3e2802c4-a4d2-4d8b-9148-e3be6c30e623}">
          <xlrd:rvb i="16061"/>
        </ext>
      </extLst>
    </bk>
    <bk>
      <extLst>
        <ext uri="{3e2802c4-a4d2-4d8b-9148-e3be6c30e623}">
          <xlrd:rvb i="16062"/>
        </ext>
      </extLst>
    </bk>
    <bk>
      <extLst>
        <ext uri="{3e2802c4-a4d2-4d8b-9148-e3be6c30e623}">
          <xlrd:rvb i="16063"/>
        </ext>
      </extLst>
    </bk>
    <bk>
      <extLst>
        <ext uri="{3e2802c4-a4d2-4d8b-9148-e3be6c30e623}">
          <xlrd:rvb i="16064"/>
        </ext>
      </extLst>
    </bk>
    <bk>
      <extLst>
        <ext uri="{3e2802c4-a4d2-4d8b-9148-e3be6c30e623}">
          <xlrd:rvb i="16065"/>
        </ext>
      </extLst>
    </bk>
    <bk>
      <extLst>
        <ext uri="{3e2802c4-a4d2-4d8b-9148-e3be6c30e623}">
          <xlrd:rvb i="16066"/>
        </ext>
      </extLst>
    </bk>
    <bk>
      <extLst>
        <ext uri="{3e2802c4-a4d2-4d8b-9148-e3be6c30e623}">
          <xlrd:rvb i="16067"/>
        </ext>
      </extLst>
    </bk>
    <bk>
      <extLst>
        <ext uri="{3e2802c4-a4d2-4d8b-9148-e3be6c30e623}">
          <xlrd:rvb i="16068"/>
        </ext>
      </extLst>
    </bk>
    <bk>
      <extLst>
        <ext uri="{3e2802c4-a4d2-4d8b-9148-e3be6c30e623}">
          <xlrd:rvb i="16069"/>
        </ext>
      </extLst>
    </bk>
    <bk>
      <extLst>
        <ext uri="{3e2802c4-a4d2-4d8b-9148-e3be6c30e623}">
          <xlrd:rvb i="16070"/>
        </ext>
      </extLst>
    </bk>
    <bk>
      <extLst>
        <ext uri="{3e2802c4-a4d2-4d8b-9148-e3be6c30e623}">
          <xlrd:rvb i="16071"/>
        </ext>
      </extLst>
    </bk>
    <bk>
      <extLst>
        <ext uri="{3e2802c4-a4d2-4d8b-9148-e3be6c30e623}">
          <xlrd:rvb i="16072"/>
        </ext>
      </extLst>
    </bk>
    <bk>
      <extLst>
        <ext uri="{3e2802c4-a4d2-4d8b-9148-e3be6c30e623}">
          <xlrd:rvb i="16073"/>
        </ext>
      </extLst>
    </bk>
    <bk>
      <extLst>
        <ext uri="{3e2802c4-a4d2-4d8b-9148-e3be6c30e623}">
          <xlrd:rvb i="16074"/>
        </ext>
      </extLst>
    </bk>
    <bk>
      <extLst>
        <ext uri="{3e2802c4-a4d2-4d8b-9148-e3be6c30e623}">
          <xlrd:rvb i="16075"/>
        </ext>
      </extLst>
    </bk>
    <bk>
      <extLst>
        <ext uri="{3e2802c4-a4d2-4d8b-9148-e3be6c30e623}">
          <xlrd:rvb i="16076"/>
        </ext>
      </extLst>
    </bk>
    <bk>
      <extLst>
        <ext uri="{3e2802c4-a4d2-4d8b-9148-e3be6c30e623}">
          <xlrd:rvb i="16077"/>
        </ext>
      </extLst>
    </bk>
    <bk>
      <extLst>
        <ext uri="{3e2802c4-a4d2-4d8b-9148-e3be6c30e623}">
          <xlrd:rvb i="16078"/>
        </ext>
      </extLst>
    </bk>
    <bk>
      <extLst>
        <ext uri="{3e2802c4-a4d2-4d8b-9148-e3be6c30e623}">
          <xlrd:rvb i="16079"/>
        </ext>
      </extLst>
    </bk>
    <bk>
      <extLst>
        <ext uri="{3e2802c4-a4d2-4d8b-9148-e3be6c30e623}">
          <xlrd:rvb i="16080"/>
        </ext>
      </extLst>
    </bk>
    <bk>
      <extLst>
        <ext uri="{3e2802c4-a4d2-4d8b-9148-e3be6c30e623}">
          <xlrd:rvb i="16081"/>
        </ext>
      </extLst>
    </bk>
    <bk>
      <extLst>
        <ext uri="{3e2802c4-a4d2-4d8b-9148-e3be6c30e623}">
          <xlrd:rvb i="16082"/>
        </ext>
      </extLst>
    </bk>
    <bk>
      <extLst>
        <ext uri="{3e2802c4-a4d2-4d8b-9148-e3be6c30e623}">
          <xlrd:rvb i="16083"/>
        </ext>
      </extLst>
    </bk>
    <bk>
      <extLst>
        <ext uri="{3e2802c4-a4d2-4d8b-9148-e3be6c30e623}">
          <xlrd:rvb i="16084"/>
        </ext>
      </extLst>
    </bk>
    <bk>
      <extLst>
        <ext uri="{3e2802c4-a4d2-4d8b-9148-e3be6c30e623}">
          <xlrd:rvb i="16085"/>
        </ext>
      </extLst>
    </bk>
    <bk>
      <extLst>
        <ext uri="{3e2802c4-a4d2-4d8b-9148-e3be6c30e623}">
          <xlrd:rvb i="16086"/>
        </ext>
      </extLst>
    </bk>
    <bk>
      <extLst>
        <ext uri="{3e2802c4-a4d2-4d8b-9148-e3be6c30e623}">
          <xlrd:rvb i="16087"/>
        </ext>
      </extLst>
    </bk>
    <bk>
      <extLst>
        <ext uri="{3e2802c4-a4d2-4d8b-9148-e3be6c30e623}">
          <xlrd:rvb i="16088"/>
        </ext>
      </extLst>
    </bk>
    <bk>
      <extLst>
        <ext uri="{3e2802c4-a4d2-4d8b-9148-e3be6c30e623}">
          <xlrd:rvb i="16089"/>
        </ext>
      </extLst>
    </bk>
    <bk>
      <extLst>
        <ext uri="{3e2802c4-a4d2-4d8b-9148-e3be6c30e623}">
          <xlrd:rvb i="16090"/>
        </ext>
      </extLst>
    </bk>
    <bk>
      <extLst>
        <ext uri="{3e2802c4-a4d2-4d8b-9148-e3be6c30e623}">
          <xlrd:rvb i="16091"/>
        </ext>
      </extLst>
    </bk>
    <bk>
      <extLst>
        <ext uri="{3e2802c4-a4d2-4d8b-9148-e3be6c30e623}">
          <xlrd:rvb i="16092"/>
        </ext>
      </extLst>
    </bk>
    <bk>
      <extLst>
        <ext uri="{3e2802c4-a4d2-4d8b-9148-e3be6c30e623}">
          <xlrd:rvb i="16093"/>
        </ext>
      </extLst>
    </bk>
    <bk>
      <extLst>
        <ext uri="{3e2802c4-a4d2-4d8b-9148-e3be6c30e623}">
          <xlrd:rvb i="16094"/>
        </ext>
      </extLst>
    </bk>
    <bk>
      <extLst>
        <ext uri="{3e2802c4-a4d2-4d8b-9148-e3be6c30e623}">
          <xlrd:rvb i="16095"/>
        </ext>
      </extLst>
    </bk>
    <bk>
      <extLst>
        <ext uri="{3e2802c4-a4d2-4d8b-9148-e3be6c30e623}">
          <xlrd:rvb i="16096"/>
        </ext>
      </extLst>
    </bk>
    <bk>
      <extLst>
        <ext uri="{3e2802c4-a4d2-4d8b-9148-e3be6c30e623}">
          <xlrd:rvb i="16097"/>
        </ext>
      </extLst>
    </bk>
    <bk>
      <extLst>
        <ext uri="{3e2802c4-a4d2-4d8b-9148-e3be6c30e623}">
          <xlrd:rvb i="16098"/>
        </ext>
      </extLst>
    </bk>
    <bk>
      <extLst>
        <ext uri="{3e2802c4-a4d2-4d8b-9148-e3be6c30e623}">
          <xlrd:rvb i="16099"/>
        </ext>
      </extLst>
    </bk>
    <bk>
      <extLst>
        <ext uri="{3e2802c4-a4d2-4d8b-9148-e3be6c30e623}">
          <xlrd:rvb i="16100"/>
        </ext>
      </extLst>
    </bk>
    <bk>
      <extLst>
        <ext uri="{3e2802c4-a4d2-4d8b-9148-e3be6c30e623}">
          <xlrd:rvb i="16101"/>
        </ext>
      </extLst>
    </bk>
    <bk>
      <extLst>
        <ext uri="{3e2802c4-a4d2-4d8b-9148-e3be6c30e623}">
          <xlrd:rvb i="16102"/>
        </ext>
      </extLst>
    </bk>
    <bk>
      <extLst>
        <ext uri="{3e2802c4-a4d2-4d8b-9148-e3be6c30e623}">
          <xlrd:rvb i="16103"/>
        </ext>
      </extLst>
    </bk>
    <bk>
      <extLst>
        <ext uri="{3e2802c4-a4d2-4d8b-9148-e3be6c30e623}">
          <xlrd:rvb i="16104"/>
        </ext>
      </extLst>
    </bk>
    <bk>
      <extLst>
        <ext uri="{3e2802c4-a4d2-4d8b-9148-e3be6c30e623}">
          <xlrd:rvb i="16105"/>
        </ext>
      </extLst>
    </bk>
    <bk>
      <extLst>
        <ext uri="{3e2802c4-a4d2-4d8b-9148-e3be6c30e623}">
          <xlrd:rvb i="16106"/>
        </ext>
      </extLst>
    </bk>
    <bk>
      <extLst>
        <ext uri="{3e2802c4-a4d2-4d8b-9148-e3be6c30e623}">
          <xlrd:rvb i="16107"/>
        </ext>
      </extLst>
    </bk>
    <bk>
      <extLst>
        <ext uri="{3e2802c4-a4d2-4d8b-9148-e3be6c30e623}">
          <xlrd:rvb i="16108"/>
        </ext>
      </extLst>
    </bk>
    <bk>
      <extLst>
        <ext uri="{3e2802c4-a4d2-4d8b-9148-e3be6c30e623}">
          <xlrd:rvb i="16109"/>
        </ext>
      </extLst>
    </bk>
    <bk>
      <extLst>
        <ext uri="{3e2802c4-a4d2-4d8b-9148-e3be6c30e623}">
          <xlrd:rvb i="16110"/>
        </ext>
      </extLst>
    </bk>
    <bk>
      <extLst>
        <ext uri="{3e2802c4-a4d2-4d8b-9148-e3be6c30e623}">
          <xlrd:rvb i="16111"/>
        </ext>
      </extLst>
    </bk>
    <bk>
      <extLst>
        <ext uri="{3e2802c4-a4d2-4d8b-9148-e3be6c30e623}">
          <xlrd:rvb i="16112"/>
        </ext>
      </extLst>
    </bk>
    <bk>
      <extLst>
        <ext uri="{3e2802c4-a4d2-4d8b-9148-e3be6c30e623}">
          <xlrd:rvb i="16113"/>
        </ext>
      </extLst>
    </bk>
    <bk>
      <extLst>
        <ext uri="{3e2802c4-a4d2-4d8b-9148-e3be6c30e623}">
          <xlrd:rvb i="16114"/>
        </ext>
      </extLst>
    </bk>
    <bk>
      <extLst>
        <ext uri="{3e2802c4-a4d2-4d8b-9148-e3be6c30e623}">
          <xlrd:rvb i="16115"/>
        </ext>
      </extLst>
    </bk>
    <bk>
      <extLst>
        <ext uri="{3e2802c4-a4d2-4d8b-9148-e3be6c30e623}">
          <xlrd:rvb i="16116"/>
        </ext>
      </extLst>
    </bk>
    <bk>
      <extLst>
        <ext uri="{3e2802c4-a4d2-4d8b-9148-e3be6c30e623}">
          <xlrd:rvb i="16117"/>
        </ext>
      </extLst>
    </bk>
    <bk>
      <extLst>
        <ext uri="{3e2802c4-a4d2-4d8b-9148-e3be6c30e623}">
          <xlrd:rvb i="16118"/>
        </ext>
      </extLst>
    </bk>
    <bk>
      <extLst>
        <ext uri="{3e2802c4-a4d2-4d8b-9148-e3be6c30e623}">
          <xlrd:rvb i="16119"/>
        </ext>
      </extLst>
    </bk>
    <bk>
      <extLst>
        <ext uri="{3e2802c4-a4d2-4d8b-9148-e3be6c30e623}">
          <xlrd:rvb i="16120"/>
        </ext>
      </extLst>
    </bk>
    <bk>
      <extLst>
        <ext uri="{3e2802c4-a4d2-4d8b-9148-e3be6c30e623}">
          <xlrd:rvb i="16121"/>
        </ext>
      </extLst>
    </bk>
    <bk>
      <extLst>
        <ext uri="{3e2802c4-a4d2-4d8b-9148-e3be6c30e623}">
          <xlrd:rvb i="16122"/>
        </ext>
      </extLst>
    </bk>
    <bk>
      <extLst>
        <ext uri="{3e2802c4-a4d2-4d8b-9148-e3be6c30e623}">
          <xlrd:rvb i="16123"/>
        </ext>
      </extLst>
    </bk>
    <bk>
      <extLst>
        <ext uri="{3e2802c4-a4d2-4d8b-9148-e3be6c30e623}">
          <xlrd:rvb i="16124"/>
        </ext>
      </extLst>
    </bk>
    <bk>
      <extLst>
        <ext uri="{3e2802c4-a4d2-4d8b-9148-e3be6c30e623}">
          <xlrd:rvb i="16125"/>
        </ext>
      </extLst>
    </bk>
    <bk>
      <extLst>
        <ext uri="{3e2802c4-a4d2-4d8b-9148-e3be6c30e623}">
          <xlrd:rvb i="16126"/>
        </ext>
      </extLst>
    </bk>
    <bk>
      <extLst>
        <ext uri="{3e2802c4-a4d2-4d8b-9148-e3be6c30e623}">
          <xlrd:rvb i="16127"/>
        </ext>
      </extLst>
    </bk>
    <bk>
      <extLst>
        <ext uri="{3e2802c4-a4d2-4d8b-9148-e3be6c30e623}">
          <xlrd:rvb i="16128"/>
        </ext>
      </extLst>
    </bk>
    <bk>
      <extLst>
        <ext uri="{3e2802c4-a4d2-4d8b-9148-e3be6c30e623}">
          <xlrd:rvb i="16129"/>
        </ext>
      </extLst>
    </bk>
    <bk>
      <extLst>
        <ext uri="{3e2802c4-a4d2-4d8b-9148-e3be6c30e623}">
          <xlrd:rvb i="16130"/>
        </ext>
      </extLst>
    </bk>
    <bk>
      <extLst>
        <ext uri="{3e2802c4-a4d2-4d8b-9148-e3be6c30e623}">
          <xlrd:rvb i="16131"/>
        </ext>
      </extLst>
    </bk>
    <bk>
      <extLst>
        <ext uri="{3e2802c4-a4d2-4d8b-9148-e3be6c30e623}">
          <xlrd:rvb i="16132"/>
        </ext>
      </extLst>
    </bk>
    <bk>
      <extLst>
        <ext uri="{3e2802c4-a4d2-4d8b-9148-e3be6c30e623}">
          <xlrd:rvb i="16133"/>
        </ext>
      </extLst>
    </bk>
    <bk>
      <extLst>
        <ext uri="{3e2802c4-a4d2-4d8b-9148-e3be6c30e623}">
          <xlrd:rvb i="16134"/>
        </ext>
      </extLst>
    </bk>
    <bk>
      <extLst>
        <ext uri="{3e2802c4-a4d2-4d8b-9148-e3be6c30e623}">
          <xlrd:rvb i="16135"/>
        </ext>
      </extLst>
    </bk>
    <bk>
      <extLst>
        <ext uri="{3e2802c4-a4d2-4d8b-9148-e3be6c30e623}">
          <xlrd:rvb i="16136"/>
        </ext>
      </extLst>
    </bk>
    <bk>
      <extLst>
        <ext uri="{3e2802c4-a4d2-4d8b-9148-e3be6c30e623}">
          <xlrd:rvb i="16137"/>
        </ext>
      </extLst>
    </bk>
    <bk>
      <extLst>
        <ext uri="{3e2802c4-a4d2-4d8b-9148-e3be6c30e623}">
          <xlrd:rvb i="16138"/>
        </ext>
      </extLst>
    </bk>
    <bk>
      <extLst>
        <ext uri="{3e2802c4-a4d2-4d8b-9148-e3be6c30e623}">
          <xlrd:rvb i="16139"/>
        </ext>
      </extLst>
    </bk>
    <bk>
      <extLst>
        <ext uri="{3e2802c4-a4d2-4d8b-9148-e3be6c30e623}">
          <xlrd:rvb i="16140"/>
        </ext>
      </extLst>
    </bk>
    <bk>
      <extLst>
        <ext uri="{3e2802c4-a4d2-4d8b-9148-e3be6c30e623}">
          <xlrd:rvb i="16141"/>
        </ext>
      </extLst>
    </bk>
    <bk>
      <extLst>
        <ext uri="{3e2802c4-a4d2-4d8b-9148-e3be6c30e623}">
          <xlrd:rvb i="16142"/>
        </ext>
      </extLst>
    </bk>
    <bk>
      <extLst>
        <ext uri="{3e2802c4-a4d2-4d8b-9148-e3be6c30e623}">
          <xlrd:rvb i="16143"/>
        </ext>
      </extLst>
    </bk>
    <bk>
      <extLst>
        <ext uri="{3e2802c4-a4d2-4d8b-9148-e3be6c30e623}">
          <xlrd:rvb i="16144"/>
        </ext>
      </extLst>
    </bk>
    <bk>
      <extLst>
        <ext uri="{3e2802c4-a4d2-4d8b-9148-e3be6c30e623}">
          <xlrd:rvb i="16145"/>
        </ext>
      </extLst>
    </bk>
    <bk>
      <extLst>
        <ext uri="{3e2802c4-a4d2-4d8b-9148-e3be6c30e623}">
          <xlrd:rvb i="16146"/>
        </ext>
      </extLst>
    </bk>
    <bk>
      <extLst>
        <ext uri="{3e2802c4-a4d2-4d8b-9148-e3be6c30e623}">
          <xlrd:rvb i="16147"/>
        </ext>
      </extLst>
    </bk>
    <bk>
      <extLst>
        <ext uri="{3e2802c4-a4d2-4d8b-9148-e3be6c30e623}">
          <xlrd:rvb i="16148"/>
        </ext>
      </extLst>
    </bk>
    <bk>
      <extLst>
        <ext uri="{3e2802c4-a4d2-4d8b-9148-e3be6c30e623}">
          <xlrd:rvb i="16149"/>
        </ext>
      </extLst>
    </bk>
    <bk>
      <extLst>
        <ext uri="{3e2802c4-a4d2-4d8b-9148-e3be6c30e623}">
          <xlrd:rvb i="16150"/>
        </ext>
      </extLst>
    </bk>
    <bk>
      <extLst>
        <ext uri="{3e2802c4-a4d2-4d8b-9148-e3be6c30e623}">
          <xlrd:rvb i="16151"/>
        </ext>
      </extLst>
    </bk>
    <bk>
      <extLst>
        <ext uri="{3e2802c4-a4d2-4d8b-9148-e3be6c30e623}">
          <xlrd:rvb i="16152"/>
        </ext>
      </extLst>
    </bk>
    <bk>
      <extLst>
        <ext uri="{3e2802c4-a4d2-4d8b-9148-e3be6c30e623}">
          <xlrd:rvb i="16153"/>
        </ext>
      </extLst>
    </bk>
    <bk>
      <extLst>
        <ext uri="{3e2802c4-a4d2-4d8b-9148-e3be6c30e623}">
          <xlrd:rvb i="16154"/>
        </ext>
      </extLst>
    </bk>
    <bk>
      <extLst>
        <ext uri="{3e2802c4-a4d2-4d8b-9148-e3be6c30e623}">
          <xlrd:rvb i="16155"/>
        </ext>
      </extLst>
    </bk>
    <bk>
      <extLst>
        <ext uri="{3e2802c4-a4d2-4d8b-9148-e3be6c30e623}">
          <xlrd:rvb i="16156"/>
        </ext>
      </extLst>
    </bk>
    <bk>
      <extLst>
        <ext uri="{3e2802c4-a4d2-4d8b-9148-e3be6c30e623}">
          <xlrd:rvb i="16157"/>
        </ext>
      </extLst>
    </bk>
    <bk>
      <extLst>
        <ext uri="{3e2802c4-a4d2-4d8b-9148-e3be6c30e623}">
          <xlrd:rvb i="16158"/>
        </ext>
      </extLst>
    </bk>
    <bk>
      <extLst>
        <ext uri="{3e2802c4-a4d2-4d8b-9148-e3be6c30e623}">
          <xlrd:rvb i="16159"/>
        </ext>
      </extLst>
    </bk>
    <bk>
      <extLst>
        <ext uri="{3e2802c4-a4d2-4d8b-9148-e3be6c30e623}">
          <xlrd:rvb i="16160"/>
        </ext>
      </extLst>
    </bk>
    <bk>
      <extLst>
        <ext uri="{3e2802c4-a4d2-4d8b-9148-e3be6c30e623}">
          <xlrd:rvb i="16161"/>
        </ext>
      </extLst>
    </bk>
    <bk>
      <extLst>
        <ext uri="{3e2802c4-a4d2-4d8b-9148-e3be6c30e623}">
          <xlrd:rvb i="16162"/>
        </ext>
      </extLst>
    </bk>
    <bk>
      <extLst>
        <ext uri="{3e2802c4-a4d2-4d8b-9148-e3be6c30e623}">
          <xlrd:rvb i="16163"/>
        </ext>
      </extLst>
    </bk>
    <bk>
      <extLst>
        <ext uri="{3e2802c4-a4d2-4d8b-9148-e3be6c30e623}">
          <xlrd:rvb i="16164"/>
        </ext>
      </extLst>
    </bk>
    <bk>
      <extLst>
        <ext uri="{3e2802c4-a4d2-4d8b-9148-e3be6c30e623}">
          <xlrd:rvb i="16165"/>
        </ext>
      </extLst>
    </bk>
    <bk>
      <extLst>
        <ext uri="{3e2802c4-a4d2-4d8b-9148-e3be6c30e623}">
          <xlrd:rvb i="16166"/>
        </ext>
      </extLst>
    </bk>
    <bk>
      <extLst>
        <ext uri="{3e2802c4-a4d2-4d8b-9148-e3be6c30e623}">
          <xlrd:rvb i="16167"/>
        </ext>
      </extLst>
    </bk>
    <bk>
      <extLst>
        <ext uri="{3e2802c4-a4d2-4d8b-9148-e3be6c30e623}">
          <xlrd:rvb i="16168"/>
        </ext>
      </extLst>
    </bk>
    <bk>
      <extLst>
        <ext uri="{3e2802c4-a4d2-4d8b-9148-e3be6c30e623}">
          <xlrd:rvb i="16169"/>
        </ext>
      </extLst>
    </bk>
    <bk>
      <extLst>
        <ext uri="{3e2802c4-a4d2-4d8b-9148-e3be6c30e623}">
          <xlrd:rvb i="16170"/>
        </ext>
      </extLst>
    </bk>
    <bk>
      <extLst>
        <ext uri="{3e2802c4-a4d2-4d8b-9148-e3be6c30e623}">
          <xlrd:rvb i="16171"/>
        </ext>
      </extLst>
    </bk>
    <bk>
      <extLst>
        <ext uri="{3e2802c4-a4d2-4d8b-9148-e3be6c30e623}">
          <xlrd:rvb i="16172"/>
        </ext>
      </extLst>
    </bk>
    <bk>
      <extLst>
        <ext uri="{3e2802c4-a4d2-4d8b-9148-e3be6c30e623}">
          <xlrd:rvb i="16173"/>
        </ext>
      </extLst>
    </bk>
    <bk>
      <extLst>
        <ext uri="{3e2802c4-a4d2-4d8b-9148-e3be6c30e623}">
          <xlrd:rvb i="16174"/>
        </ext>
      </extLst>
    </bk>
    <bk>
      <extLst>
        <ext uri="{3e2802c4-a4d2-4d8b-9148-e3be6c30e623}">
          <xlrd:rvb i="16175"/>
        </ext>
      </extLst>
    </bk>
    <bk>
      <extLst>
        <ext uri="{3e2802c4-a4d2-4d8b-9148-e3be6c30e623}">
          <xlrd:rvb i="16176"/>
        </ext>
      </extLst>
    </bk>
    <bk>
      <extLst>
        <ext uri="{3e2802c4-a4d2-4d8b-9148-e3be6c30e623}">
          <xlrd:rvb i="16177"/>
        </ext>
      </extLst>
    </bk>
    <bk>
      <extLst>
        <ext uri="{3e2802c4-a4d2-4d8b-9148-e3be6c30e623}">
          <xlrd:rvb i="16178"/>
        </ext>
      </extLst>
    </bk>
    <bk>
      <extLst>
        <ext uri="{3e2802c4-a4d2-4d8b-9148-e3be6c30e623}">
          <xlrd:rvb i="16179"/>
        </ext>
      </extLst>
    </bk>
    <bk>
      <extLst>
        <ext uri="{3e2802c4-a4d2-4d8b-9148-e3be6c30e623}">
          <xlrd:rvb i="16180"/>
        </ext>
      </extLst>
    </bk>
    <bk>
      <extLst>
        <ext uri="{3e2802c4-a4d2-4d8b-9148-e3be6c30e623}">
          <xlrd:rvb i="16181"/>
        </ext>
      </extLst>
    </bk>
    <bk>
      <extLst>
        <ext uri="{3e2802c4-a4d2-4d8b-9148-e3be6c30e623}">
          <xlrd:rvb i="16182"/>
        </ext>
      </extLst>
    </bk>
    <bk>
      <extLst>
        <ext uri="{3e2802c4-a4d2-4d8b-9148-e3be6c30e623}">
          <xlrd:rvb i="16183"/>
        </ext>
      </extLst>
    </bk>
    <bk>
      <extLst>
        <ext uri="{3e2802c4-a4d2-4d8b-9148-e3be6c30e623}">
          <xlrd:rvb i="16184"/>
        </ext>
      </extLst>
    </bk>
    <bk>
      <extLst>
        <ext uri="{3e2802c4-a4d2-4d8b-9148-e3be6c30e623}">
          <xlrd:rvb i="16185"/>
        </ext>
      </extLst>
    </bk>
    <bk>
      <extLst>
        <ext uri="{3e2802c4-a4d2-4d8b-9148-e3be6c30e623}">
          <xlrd:rvb i="16186"/>
        </ext>
      </extLst>
    </bk>
    <bk>
      <extLst>
        <ext uri="{3e2802c4-a4d2-4d8b-9148-e3be6c30e623}">
          <xlrd:rvb i="16187"/>
        </ext>
      </extLst>
    </bk>
    <bk>
      <extLst>
        <ext uri="{3e2802c4-a4d2-4d8b-9148-e3be6c30e623}">
          <xlrd:rvb i="16188"/>
        </ext>
      </extLst>
    </bk>
    <bk>
      <extLst>
        <ext uri="{3e2802c4-a4d2-4d8b-9148-e3be6c30e623}">
          <xlrd:rvb i="16189"/>
        </ext>
      </extLst>
    </bk>
    <bk>
      <extLst>
        <ext uri="{3e2802c4-a4d2-4d8b-9148-e3be6c30e623}">
          <xlrd:rvb i="16190"/>
        </ext>
      </extLst>
    </bk>
    <bk>
      <extLst>
        <ext uri="{3e2802c4-a4d2-4d8b-9148-e3be6c30e623}">
          <xlrd:rvb i="16191"/>
        </ext>
      </extLst>
    </bk>
    <bk>
      <extLst>
        <ext uri="{3e2802c4-a4d2-4d8b-9148-e3be6c30e623}">
          <xlrd:rvb i="16192"/>
        </ext>
      </extLst>
    </bk>
    <bk>
      <extLst>
        <ext uri="{3e2802c4-a4d2-4d8b-9148-e3be6c30e623}">
          <xlrd:rvb i="16193"/>
        </ext>
      </extLst>
    </bk>
    <bk>
      <extLst>
        <ext uri="{3e2802c4-a4d2-4d8b-9148-e3be6c30e623}">
          <xlrd:rvb i="16194"/>
        </ext>
      </extLst>
    </bk>
    <bk>
      <extLst>
        <ext uri="{3e2802c4-a4d2-4d8b-9148-e3be6c30e623}">
          <xlrd:rvb i="16195"/>
        </ext>
      </extLst>
    </bk>
    <bk>
      <extLst>
        <ext uri="{3e2802c4-a4d2-4d8b-9148-e3be6c30e623}">
          <xlrd:rvb i="16196"/>
        </ext>
      </extLst>
    </bk>
    <bk>
      <extLst>
        <ext uri="{3e2802c4-a4d2-4d8b-9148-e3be6c30e623}">
          <xlrd:rvb i="16197"/>
        </ext>
      </extLst>
    </bk>
    <bk>
      <extLst>
        <ext uri="{3e2802c4-a4d2-4d8b-9148-e3be6c30e623}">
          <xlrd:rvb i="16198"/>
        </ext>
      </extLst>
    </bk>
    <bk>
      <extLst>
        <ext uri="{3e2802c4-a4d2-4d8b-9148-e3be6c30e623}">
          <xlrd:rvb i="16199"/>
        </ext>
      </extLst>
    </bk>
    <bk>
      <extLst>
        <ext uri="{3e2802c4-a4d2-4d8b-9148-e3be6c30e623}">
          <xlrd:rvb i="16200"/>
        </ext>
      </extLst>
    </bk>
    <bk>
      <extLst>
        <ext uri="{3e2802c4-a4d2-4d8b-9148-e3be6c30e623}">
          <xlrd:rvb i="16201"/>
        </ext>
      </extLst>
    </bk>
    <bk>
      <extLst>
        <ext uri="{3e2802c4-a4d2-4d8b-9148-e3be6c30e623}">
          <xlrd:rvb i="16202"/>
        </ext>
      </extLst>
    </bk>
    <bk>
      <extLst>
        <ext uri="{3e2802c4-a4d2-4d8b-9148-e3be6c30e623}">
          <xlrd:rvb i="16203"/>
        </ext>
      </extLst>
    </bk>
    <bk>
      <extLst>
        <ext uri="{3e2802c4-a4d2-4d8b-9148-e3be6c30e623}">
          <xlrd:rvb i="16204"/>
        </ext>
      </extLst>
    </bk>
    <bk>
      <extLst>
        <ext uri="{3e2802c4-a4d2-4d8b-9148-e3be6c30e623}">
          <xlrd:rvb i="16205"/>
        </ext>
      </extLst>
    </bk>
    <bk>
      <extLst>
        <ext uri="{3e2802c4-a4d2-4d8b-9148-e3be6c30e623}">
          <xlrd:rvb i="16206"/>
        </ext>
      </extLst>
    </bk>
    <bk>
      <extLst>
        <ext uri="{3e2802c4-a4d2-4d8b-9148-e3be6c30e623}">
          <xlrd:rvb i="16207"/>
        </ext>
      </extLst>
    </bk>
    <bk>
      <extLst>
        <ext uri="{3e2802c4-a4d2-4d8b-9148-e3be6c30e623}">
          <xlrd:rvb i="16208"/>
        </ext>
      </extLst>
    </bk>
    <bk>
      <extLst>
        <ext uri="{3e2802c4-a4d2-4d8b-9148-e3be6c30e623}">
          <xlrd:rvb i="16209"/>
        </ext>
      </extLst>
    </bk>
    <bk>
      <extLst>
        <ext uri="{3e2802c4-a4d2-4d8b-9148-e3be6c30e623}">
          <xlrd:rvb i="16210"/>
        </ext>
      </extLst>
    </bk>
    <bk>
      <extLst>
        <ext uri="{3e2802c4-a4d2-4d8b-9148-e3be6c30e623}">
          <xlrd:rvb i="16211"/>
        </ext>
      </extLst>
    </bk>
    <bk>
      <extLst>
        <ext uri="{3e2802c4-a4d2-4d8b-9148-e3be6c30e623}">
          <xlrd:rvb i="16212"/>
        </ext>
      </extLst>
    </bk>
    <bk>
      <extLst>
        <ext uri="{3e2802c4-a4d2-4d8b-9148-e3be6c30e623}">
          <xlrd:rvb i="16213"/>
        </ext>
      </extLst>
    </bk>
    <bk>
      <extLst>
        <ext uri="{3e2802c4-a4d2-4d8b-9148-e3be6c30e623}">
          <xlrd:rvb i="16214"/>
        </ext>
      </extLst>
    </bk>
    <bk>
      <extLst>
        <ext uri="{3e2802c4-a4d2-4d8b-9148-e3be6c30e623}">
          <xlrd:rvb i="16215"/>
        </ext>
      </extLst>
    </bk>
    <bk>
      <extLst>
        <ext uri="{3e2802c4-a4d2-4d8b-9148-e3be6c30e623}">
          <xlrd:rvb i="16216"/>
        </ext>
      </extLst>
    </bk>
    <bk>
      <extLst>
        <ext uri="{3e2802c4-a4d2-4d8b-9148-e3be6c30e623}">
          <xlrd:rvb i="16217"/>
        </ext>
      </extLst>
    </bk>
    <bk>
      <extLst>
        <ext uri="{3e2802c4-a4d2-4d8b-9148-e3be6c30e623}">
          <xlrd:rvb i="16218"/>
        </ext>
      </extLst>
    </bk>
    <bk>
      <extLst>
        <ext uri="{3e2802c4-a4d2-4d8b-9148-e3be6c30e623}">
          <xlrd:rvb i="16219"/>
        </ext>
      </extLst>
    </bk>
    <bk>
      <extLst>
        <ext uri="{3e2802c4-a4d2-4d8b-9148-e3be6c30e623}">
          <xlrd:rvb i="16220"/>
        </ext>
      </extLst>
    </bk>
    <bk>
      <extLst>
        <ext uri="{3e2802c4-a4d2-4d8b-9148-e3be6c30e623}">
          <xlrd:rvb i="16221"/>
        </ext>
      </extLst>
    </bk>
    <bk>
      <extLst>
        <ext uri="{3e2802c4-a4d2-4d8b-9148-e3be6c30e623}">
          <xlrd:rvb i="16222"/>
        </ext>
      </extLst>
    </bk>
    <bk>
      <extLst>
        <ext uri="{3e2802c4-a4d2-4d8b-9148-e3be6c30e623}">
          <xlrd:rvb i="16223"/>
        </ext>
      </extLst>
    </bk>
    <bk>
      <extLst>
        <ext uri="{3e2802c4-a4d2-4d8b-9148-e3be6c30e623}">
          <xlrd:rvb i="16224"/>
        </ext>
      </extLst>
    </bk>
    <bk>
      <extLst>
        <ext uri="{3e2802c4-a4d2-4d8b-9148-e3be6c30e623}">
          <xlrd:rvb i="16225"/>
        </ext>
      </extLst>
    </bk>
    <bk>
      <extLst>
        <ext uri="{3e2802c4-a4d2-4d8b-9148-e3be6c30e623}">
          <xlrd:rvb i="16226"/>
        </ext>
      </extLst>
    </bk>
    <bk>
      <extLst>
        <ext uri="{3e2802c4-a4d2-4d8b-9148-e3be6c30e623}">
          <xlrd:rvb i="16227"/>
        </ext>
      </extLst>
    </bk>
    <bk>
      <extLst>
        <ext uri="{3e2802c4-a4d2-4d8b-9148-e3be6c30e623}">
          <xlrd:rvb i="16228"/>
        </ext>
      </extLst>
    </bk>
    <bk>
      <extLst>
        <ext uri="{3e2802c4-a4d2-4d8b-9148-e3be6c30e623}">
          <xlrd:rvb i="16229"/>
        </ext>
      </extLst>
    </bk>
    <bk>
      <extLst>
        <ext uri="{3e2802c4-a4d2-4d8b-9148-e3be6c30e623}">
          <xlrd:rvb i="16230"/>
        </ext>
      </extLst>
    </bk>
    <bk>
      <extLst>
        <ext uri="{3e2802c4-a4d2-4d8b-9148-e3be6c30e623}">
          <xlrd:rvb i="16231"/>
        </ext>
      </extLst>
    </bk>
    <bk>
      <extLst>
        <ext uri="{3e2802c4-a4d2-4d8b-9148-e3be6c30e623}">
          <xlrd:rvb i="16232"/>
        </ext>
      </extLst>
    </bk>
    <bk>
      <extLst>
        <ext uri="{3e2802c4-a4d2-4d8b-9148-e3be6c30e623}">
          <xlrd:rvb i="16233"/>
        </ext>
      </extLst>
    </bk>
    <bk>
      <extLst>
        <ext uri="{3e2802c4-a4d2-4d8b-9148-e3be6c30e623}">
          <xlrd:rvb i="16234"/>
        </ext>
      </extLst>
    </bk>
    <bk>
      <extLst>
        <ext uri="{3e2802c4-a4d2-4d8b-9148-e3be6c30e623}">
          <xlrd:rvb i="16235"/>
        </ext>
      </extLst>
    </bk>
    <bk>
      <extLst>
        <ext uri="{3e2802c4-a4d2-4d8b-9148-e3be6c30e623}">
          <xlrd:rvb i="16236"/>
        </ext>
      </extLst>
    </bk>
    <bk>
      <extLst>
        <ext uri="{3e2802c4-a4d2-4d8b-9148-e3be6c30e623}">
          <xlrd:rvb i="16237"/>
        </ext>
      </extLst>
    </bk>
    <bk>
      <extLst>
        <ext uri="{3e2802c4-a4d2-4d8b-9148-e3be6c30e623}">
          <xlrd:rvb i="16238"/>
        </ext>
      </extLst>
    </bk>
    <bk>
      <extLst>
        <ext uri="{3e2802c4-a4d2-4d8b-9148-e3be6c30e623}">
          <xlrd:rvb i="16239"/>
        </ext>
      </extLst>
    </bk>
    <bk>
      <extLst>
        <ext uri="{3e2802c4-a4d2-4d8b-9148-e3be6c30e623}">
          <xlrd:rvb i="16240"/>
        </ext>
      </extLst>
    </bk>
    <bk>
      <extLst>
        <ext uri="{3e2802c4-a4d2-4d8b-9148-e3be6c30e623}">
          <xlrd:rvb i="16241"/>
        </ext>
      </extLst>
    </bk>
    <bk>
      <extLst>
        <ext uri="{3e2802c4-a4d2-4d8b-9148-e3be6c30e623}">
          <xlrd:rvb i="16242"/>
        </ext>
      </extLst>
    </bk>
    <bk>
      <extLst>
        <ext uri="{3e2802c4-a4d2-4d8b-9148-e3be6c30e623}">
          <xlrd:rvb i="16243"/>
        </ext>
      </extLst>
    </bk>
    <bk>
      <extLst>
        <ext uri="{3e2802c4-a4d2-4d8b-9148-e3be6c30e623}">
          <xlrd:rvb i="16244"/>
        </ext>
      </extLst>
    </bk>
    <bk>
      <extLst>
        <ext uri="{3e2802c4-a4d2-4d8b-9148-e3be6c30e623}">
          <xlrd:rvb i="16245"/>
        </ext>
      </extLst>
    </bk>
    <bk>
      <extLst>
        <ext uri="{3e2802c4-a4d2-4d8b-9148-e3be6c30e623}">
          <xlrd:rvb i="16246"/>
        </ext>
      </extLst>
    </bk>
    <bk>
      <extLst>
        <ext uri="{3e2802c4-a4d2-4d8b-9148-e3be6c30e623}">
          <xlrd:rvb i="16247"/>
        </ext>
      </extLst>
    </bk>
    <bk>
      <extLst>
        <ext uri="{3e2802c4-a4d2-4d8b-9148-e3be6c30e623}">
          <xlrd:rvb i="16248"/>
        </ext>
      </extLst>
    </bk>
    <bk>
      <extLst>
        <ext uri="{3e2802c4-a4d2-4d8b-9148-e3be6c30e623}">
          <xlrd:rvb i="16249"/>
        </ext>
      </extLst>
    </bk>
    <bk>
      <extLst>
        <ext uri="{3e2802c4-a4d2-4d8b-9148-e3be6c30e623}">
          <xlrd:rvb i="16250"/>
        </ext>
      </extLst>
    </bk>
    <bk>
      <extLst>
        <ext uri="{3e2802c4-a4d2-4d8b-9148-e3be6c30e623}">
          <xlrd:rvb i="16251"/>
        </ext>
      </extLst>
    </bk>
    <bk>
      <extLst>
        <ext uri="{3e2802c4-a4d2-4d8b-9148-e3be6c30e623}">
          <xlrd:rvb i="16252"/>
        </ext>
      </extLst>
    </bk>
    <bk>
      <extLst>
        <ext uri="{3e2802c4-a4d2-4d8b-9148-e3be6c30e623}">
          <xlrd:rvb i="16253"/>
        </ext>
      </extLst>
    </bk>
    <bk>
      <extLst>
        <ext uri="{3e2802c4-a4d2-4d8b-9148-e3be6c30e623}">
          <xlrd:rvb i="16254"/>
        </ext>
      </extLst>
    </bk>
    <bk>
      <extLst>
        <ext uri="{3e2802c4-a4d2-4d8b-9148-e3be6c30e623}">
          <xlrd:rvb i="16255"/>
        </ext>
      </extLst>
    </bk>
    <bk>
      <extLst>
        <ext uri="{3e2802c4-a4d2-4d8b-9148-e3be6c30e623}">
          <xlrd:rvb i="16256"/>
        </ext>
      </extLst>
    </bk>
    <bk>
      <extLst>
        <ext uri="{3e2802c4-a4d2-4d8b-9148-e3be6c30e623}">
          <xlrd:rvb i="16257"/>
        </ext>
      </extLst>
    </bk>
    <bk>
      <extLst>
        <ext uri="{3e2802c4-a4d2-4d8b-9148-e3be6c30e623}">
          <xlrd:rvb i="16258"/>
        </ext>
      </extLst>
    </bk>
    <bk>
      <extLst>
        <ext uri="{3e2802c4-a4d2-4d8b-9148-e3be6c30e623}">
          <xlrd:rvb i="16259"/>
        </ext>
      </extLst>
    </bk>
    <bk>
      <extLst>
        <ext uri="{3e2802c4-a4d2-4d8b-9148-e3be6c30e623}">
          <xlrd:rvb i="16260"/>
        </ext>
      </extLst>
    </bk>
    <bk>
      <extLst>
        <ext uri="{3e2802c4-a4d2-4d8b-9148-e3be6c30e623}">
          <xlrd:rvb i="16261"/>
        </ext>
      </extLst>
    </bk>
    <bk>
      <extLst>
        <ext uri="{3e2802c4-a4d2-4d8b-9148-e3be6c30e623}">
          <xlrd:rvb i="16262"/>
        </ext>
      </extLst>
    </bk>
    <bk>
      <extLst>
        <ext uri="{3e2802c4-a4d2-4d8b-9148-e3be6c30e623}">
          <xlrd:rvb i="16263"/>
        </ext>
      </extLst>
    </bk>
    <bk>
      <extLst>
        <ext uri="{3e2802c4-a4d2-4d8b-9148-e3be6c30e623}">
          <xlrd:rvb i="16264"/>
        </ext>
      </extLst>
    </bk>
    <bk>
      <extLst>
        <ext uri="{3e2802c4-a4d2-4d8b-9148-e3be6c30e623}">
          <xlrd:rvb i="16265"/>
        </ext>
      </extLst>
    </bk>
    <bk>
      <extLst>
        <ext uri="{3e2802c4-a4d2-4d8b-9148-e3be6c30e623}">
          <xlrd:rvb i="16266"/>
        </ext>
      </extLst>
    </bk>
    <bk>
      <extLst>
        <ext uri="{3e2802c4-a4d2-4d8b-9148-e3be6c30e623}">
          <xlrd:rvb i="16267"/>
        </ext>
      </extLst>
    </bk>
    <bk>
      <extLst>
        <ext uri="{3e2802c4-a4d2-4d8b-9148-e3be6c30e623}">
          <xlrd:rvb i="16268"/>
        </ext>
      </extLst>
    </bk>
    <bk>
      <extLst>
        <ext uri="{3e2802c4-a4d2-4d8b-9148-e3be6c30e623}">
          <xlrd:rvb i="16269"/>
        </ext>
      </extLst>
    </bk>
    <bk>
      <extLst>
        <ext uri="{3e2802c4-a4d2-4d8b-9148-e3be6c30e623}">
          <xlrd:rvb i="16270"/>
        </ext>
      </extLst>
    </bk>
    <bk>
      <extLst>
        <ext uri="{3e2802c4-a4d2-4d8b-9148-e3be6c30e623}">
          <xlrd:rvb i="16271"/>
        </ext>
      </extLst>
    </bk>
    <bk>
      <extLst>
        <ext uri="{3e2802c4-a4d2-4d8b-9148-e3be6c30e623}">
          <xlrd:rvb i="16272"/>
        </ext>
      </extLst>
    </bk>
    <bk>
      <extLst>
        <ext uri="{3e2802c4-a4d2-4d8b-9148-e3be6c30e623}">
          <xlrd:rvb i="16273"/>
        </ext>
      </extLst>
    </bk>
    <bk>
      <extLst>
        <ext uri="{3e2802c4-a4d2-4d8b-9148-e3be6c30e623}">
          <xlrd:rvb i="16274"/>
        </ext>
      </extLst>
    </bk>
    <bk>
      <extLst>
        <ext uri="{3e2802c4-a4d2-4d8b-9148-e3be6c30e623}">
          <xlrd:rvb i="16275"/>
        </ext>
      </extLst>
    </bk>
    <bk>
      <extLst>
        <ext uri="{3e2802c4-a4d2-4d8b-9148-e3be6c30e623}">
          <xlrd:rvb i="16276"/>
        </ext>
      </extLst>
    </bk>
    <bk>
      <extLst>
        <ext uri="{3e2802c4-a4d2-4d8b-9148-e3be6c30e623}">
          <xlrd:rvb i="16277"/>
        </ext>
      </extLst>
    </bk>
    <bk>
      <extLst>
        <ext uri="{3e2802c4-a4d2-4d8b-9148-e3be6c30e623}">
          <xlrd:rvb i="16278"/>
        </ext>
      </extLst>
    </bk>
    <bk>
      <extLst>
        <ext uri="{3e2802c4-a4d2-4d8b-9148-e3be6c30e623}">
          <xlrd:rvb i="16279"/>
        </ext>
      </extLst>
    </bk>
    <bk>
      <extLst>
        <ext uri="{3e2802c4-a4d2-4d8b-9148-e3be6c30e623}">
          <xlrd:rvb i="16280"/>
        </ext>
      </extLst>
    </bk>
    <bk>
      <extLst>
        <ext uri="{3e2802c4-a4d2-4d8b-9148-e3be6c30e623}">
          <xlrd:rvb i="16281"/>
        </ext>
      </extLst>
    </bk>
    <bk>
      <extLst>
        <ext uri="{3e2802c4-a4d2-4d8b-9148-e3be6c30e623}">
          <xlrd:rvb i="16282"/>
        </ext>
      </extLst>
    </bk>
    <bk>
      <extLst>
        <ext uri="{3e2802c4-a4d2-4d8b-9148-e3be6c30e623}">
          <xlrd:rvb i="16283"/>
        </ext>
      </extLst>
    </bk>
    <bk>
      <extLst>
        <ext uri="{3e2802c4-a4d2-4d8b-9148-e3be6c30e623}">
          <xlrd:rvb i="16284"/>
        </ext>
      </extLst>
    </bk>
    <bk>
      <extLst>
        <ext uri="{3e2802c4-a4d2-4d8b-9148-e3be6c30e623}">
          <xlrd:rvb i="16285"/>
        </ext>
      </extLst>
    </bk>
    <bk>
      <extLst>
        <ext uri="{3e2802c4-a4d2-4d8b-9148-e3be6c30e623}">
          <xlrd:rvb i="16286"/>
        </ext>
      </extLst>
    </bk>
    <bk>
      <extLst>
        <ext uri="{3e2802c4-a4d2-4d8b-9148-e3be6c30e623}">
          <xlrd:rvb i="16287"/>
        </ext>
      </extLst>
    </bk>
    <bk>
      <extLst>
        <ext uri="{3e2802c4-a4d2-4d8b-9148-e3be6c30e623}">
          <xlrd:rvb i="16288"/>
        </ext>
      </extLst>
    </bk>
    <bk>
      <extLst>
        <ext uri="{3e2802c4-a4d2-4d8b-9148-e3be6c30e623}">
          <xlrd:rvb i="16289"/>
        </ext>
      </extLst>
    </bk>
    <bk>
      <extLst>
        <ext uri="{3e2802c4-a4d2-4d8b-9148-e3be6c30e623}">
          <xlrd:rvb i="16290"/>
        </ext>
      </extLst>
    </bk>
    <bk>
      <extLst>
        <ext uri="{3e2802c4-a4d2-4d8b-9148-e3be6c30e623}">
          <xlrd:rvb i="16291"/>
        </ext>
      </extLst>
    </bk>
    <bk>
      <extLst>
        <ext uri="{3e2802c4-a4d2-4d8b-9148-e3be6c30e623}">
          <xlrd:rvb i="16292"/>
        </ext>
      </extLst>
    </bk>
    <bk>
      <extLst>
        <ext uri="{3e2802c4-a4d2-4d8b-9148-e3be6c30e623}">
          <xlrd:rvb i="16293"/>
        </ext>
      </extLst>
    </bk>
    <bk>
      <extLst>
        <ext uri="{3e2802c4-a4d2-4d8b-9148-e3be6c30e623}">
          <xlrd:rvb i="16294"/>
        </ext>
      </extLst>
    </bk>
    <bk>
      <extLst>
        <ext uri="{3e2802c4-a4d2-4d8b-9148-e3be6c30e623}">
          <xlrd:rvb i="16295"/>
        </ext>
      </extLst>
    </bk>
    <bk>
      <extLst>
        <ext uri="{3e2802c4-a4d2-4d8b-9148-e3be6c30e623}">
          <xlrd:rvb i="16296"/>
        </ext>
      </extLst>
    </bk>
    <bk>
      <extLst>
        <ext uri="{3e2802c4-a4d2-4d8b-9148-e3be6c30e623}">
          <xlrd:rvb i="16297"/>
        </ext>
      </extLst>
    </bk>
    <bk>
      <extLst>
        <ext uri="{3e2802c4-a4d2-4d8b-9148-e3be6c30e623}">
          <xlrd:rvb i="16298"/>
        </ext>
      </extLst>
    </bk>
    <bk>
      <extLst>
        <ext uri="{3e2802c4-a4d2-4d8b-9148-e3be6c30e623}">
          <xlrd:rvb i="16299"/>
        </ext>
      </extLst>
    </bk>
    <bk>
      <extLst>
        <ext uri="{3e2802c4-a4d2-4d8b-9148-e3be6c30e623}">
          <xlrd:rvb i="16300"/>
        </ext>
      </extLst>
    </bk>
    <bk>
      <extLst>
        <ext uri="{3e2802c4-a4d2-4d8b-9148-e3be6c30e623}">
          <xlrd:rvb i="16301"/>
        </ext>
      </extLst>
    </bk>
    <bk>
      <extLst>
        <ext uri="{3e2802c4-a4d2-4d8b-9148-e3be6c30e623}">
          <xlrd:rvb i="16302"/>
        </ext>
      </extLst>
    </bk>
    <bk>
      <extLst>
        <ext uri="{3e2802c4-a4d2-4d8b-9148-e3be6c30e623}">
          <xlrd:rvb i="16303"/>
        </ext>
      </extLst>
    </bk>
    <bk>
      <extLst>
        <ext uri="{3e2802c4-a4d2-4d8b-9148-e3be6c30e623}">
          <xlrd:rvb i="16304"/>
        </ext>
      </extLst>
    </bk>
    <bk>
      <extLst>
        <ext uri="{3e2802c4-a4d2-4d8b-9148-e3be6c30e623}">
          <xlrd:rvb i="16305"/>
        </ext>
      </extLst>
    </bk>
    <bk>
      <extLst>
        <ext uri="{3e2802c4-a4d2-4d8b-9148-e3be6c30e623}">
          <xlrd:rvb i="16306"/>
        </ext>
      </extLst>
    </bk>
    <bk>
      <extLst>
        <ext uri="{3e2802c4-a4d2-4d8b-9148-e3be6c30e623}">
          <xlrd:rvb i="16307"/>
        </ext>
      </extLst>
    </bk>
    <bk>
      <extLst>
        <ext uri="{3e2802c4-a4d2-4d8b-9148-e3be6c30e623}">
          <xlrd:rvb i="16308"/>
        </ext>
      </extLst>
    </bk>
    <bk>
      <extLst>
        <ext uri="{3e2802c4-a4d2-4d8b-9148-e3be6c30e623}">
          <xlrd:rvb i="16309"/>
        </ext>
      </extLst>
    </bk>
    <bk>
      <extLst>
        <ext uri="{3e2802c4-a4d2-4d8b-9148-e3be6c30e623}">
          <xlrd:rvb i="16310"/>
        </ext>
      </extLst>
    </bk>
    <bk>
      <extLst>
        <ext uri="{3e2802c4-a4d2-4d8b-9148-e3be6c30e623}">
          <xlrd:rvb i="16311"/>
        </ext>
      </extLst>
    </bk>
    <bk>
      <extLst>
        <ext uri="{3e2802c4-a4d2-4d8b-9148-e3be6c30e623}">
          <xlrd:rvb i="16312"/>
        </ext>
      </extLst>
    </bk>
    <bk>
      <extLst>
        <ext uri="{3e2802c4-a4d2-4d8b-9148-e3be6c30e623}">
          <xlrd:rvb i="16313"/>
        </ext>
      </extLst>
    </bk>
    <bk>
      <extLst>
        <ext uri="{3e2802c4-a4d2-4d8b-9148-e3be6c30e623}">
          <xlrd:rvb i="16314"/>
        </ext>
      </extLst>
    </bk>
    <bk>
      <extLst>
        <ext uri="{3e2802c4-a4d2-4d8b-9148-e3be6c30e623}">
          <xlrd:rvb i="16315"/>
        </ext>
      </extLst>
    </bk>
    <bk>
      <extLst>
        <ext uri="{3e2802c4-a4d2-4d8b-9148-e3be6c30e623}">
          <xlrd:rvb i="16316"/>
        </ext>
      </extLst>
    </bk>
    <bk>
      <extLst>
        <ext uri="{3e2802c4-a4d2-4d8b-9148-e3be6c30e623}">
          <xlrd:rvb i="16317"/>
        </ext>
      </extLst>
    </bk>
    <bk>
      <extLst>
        <ext uri="{3e2802c4-a4d2-4d8b-9148-e3be6c30e623}">
          <xlrd:rvb i="16318"/>
        </ext>
      </extLst>
    </bk>
    <bk>
      <extLst>
        <ext uri="{3e2802c4-a4d2-4d8b-9148-e3be6c30e623}">
          <xlrd:rvb i="16319"/>
        </ext>
      </extLst>
    </bk>
    <bk>
      <extLst>
        <ext uri="{3e2802c4-a4d2-4d8b-9148-e3be6c30e623}">
          <xlrd:rvb i="16320"/>
        </ext>
      </extLst>
    </bk>
    <bk>
      <extLst>
        <ext uri="{3e2802c4-a4d2-4d8b-9148-e3be6c30e623}">
          <xlrd:rvb i="16321"/>
        </ext>
      </extLst>
    </bk>
    <bk>
      <extLst>
        <ext uri="{3e2802c4-a4d2-4d8b-9148-e3be6c30e623}">
          <xlrd:rvb i="16322"/>
        </ext>
      </extLst>
    </bk>
    <bk>
      <extLst>
        <ext uri="{3e2802c4-a4d2-4d8b-9148-e3be6c30e623}">
          <xlrd:rvb i="16323"/>
        </ext>
      </extLst>
    </bk>
    <bk>
      <extLst>
        <ext uri="{3e2802c4-a4d2-4d8b-9148-e3be6c30e623}">
          <xlrd:rvb i="16324"/>
        </ext>
      </extLst>
    </bk>
    <bk>
      <extLst>
        <ext uri="{3e2802c4-a4d2-4d8b-9148-e3be6c30e623}">
          <xlrd:rvb i="16325"/>
        </ext>
      </extLst>
    </bk>
    <bk>
      <extLst>
        <ext uri="{3e2802c4-a4d2-4d8b-9148-e3be6c30e623}">
          <xlrd:rvb i="16326"/>
        </ext>
      </extLst>
    </bk>
    <bk>
      <extLst>
        <ext uri="{3e2802c4-a4d2-4d8b-9148-e3be6c30e623}">
          <xlrd:rvb i="16327"/>
        </ext>
      </extLst>
    </bk>
    <bk>
      <extLst>
        <ext uri="{3e2802c4-a4d2-4d8b-9148-e3be6c30e623}">
          <xlrd:rvb i="16328"/>
        </ext>
      </extLst>
    </bk>
    <bk>
      <extLst>
        <ext uri="{3e2802c4-a4d2-4d8b-9148-e3be6c30e623}">
          <xlrd:rvb i="16329"/>
        </ext>
      </extLst>
    </bk>
    <bk>
      <extLst>
        <ext uri="{3e2802c4-a4d2-4d8b-9148-e3be6c30e623}">
          <xlrd:rvb i="16330"/>
        </ext>
      </extLst>
    </bk>
    <bk>
      <extLst>
        <ext uri="{3e2802c4-a4d2-4d8b-9148-e3be6c30e623}">
          <xlrd:rvb i="16331"/>
        </ext>
      </extLst>
    </bk>
    <bk>
      <extLst>
        <ext uri="{3e2802c4-a4d2-4d8b-9148-e3be6c30e623}">
          <xlrd:rvb i="16332"/>
        </ext>
      </extLst>
    </bk>
    <bk>
      <extLst>
        <ext uri="{3e2802c4-a4d2-4d8b-9148-e3be6c30e623}">
          <xlrd:rvb i="16333"/>
        </ext>
      </extLst>
    </bk>
    <bk>
      <extLst>
        <ext uri="{3e2802c4-a4d2-4d8b-9148-e3be6c30e623}">
          <xlrd:rvb i="16334"/>
        </ext>
      </extLst>
    </bk>
    <bk>
      <extLst>
        <ext uri="{3e2802c4-a4d2-4d8b-9148-e3be6c30e623}">
          <xlrd:rvb i="16335"/>
        </ext>
      </extLst>
    </bk>
    <bk>
      <extLst>
        <ext uri="{3e2802c4-a4d2-4d8b-9148-e3be6c30e623}">
          <xlrd:rvb i="16336"/>
        </ext>
      </extLst>
    </bk>
    <bk>
      <extLst>
        <ext uri="{3e2802c4-a4d2-4d8b-9148-e3be6c30e623}">
          <xlrd:rvb i="16337"/>
        </ext>
      </extLst>
    </bk>
    <bk>
      <extLst>
        <ext uri="{3e2802c4-a4d2-4d8b-9148-e3be6c30e623}">
          <xlrd:rvb i="16338"/>
        </ext>
      </extLst>
    </bk>
    <bk>
      <extLst>
        <ext uri="{3e2802c4-a4d2-4d8b-9148-e3be6c30e623}">
          <xlrd:rvb i="16339"/>
        </ext>
      </extLst>
    </bk>
    <bk>
      <extLst>
        <ext uri="{3e2802c4-a4d2-4d8b-9148-e3be6c30e623}">
          <xlrd:rvb i="16340"/>
        </ext>
      </extLst>
    </bk>
    <bk>
      <extLst>
        <ext uri="{3e2802c4-a4d2-4d8b-9148-e3be6c30e623}">
          <xlrd:rvb i="16341"/>
        </ext>
      </extLst>
    </bk>
    <bk>
      <extLst>
        <ext uri="{3e2802c4-a4d2-4d8b-9148-e3be6c30e623}">
          <xlrd:rvb i="16342"/>
        </ext>
      </extLst>
    </bk>
    <bk>
      <extLst>
        <ext uri="{3e2802c4-a4d2-4d8b-9148-e3be6c30e623}">
          <xlrd:rvb i="16343"/>
        </ext>
      </extLst>
    </bk>
    <bk>
      <extLst>
        <ext uri="{3e2802c4-a4d2-4d8b-9148-e3be6c30e623}">
          <xlrd:rvb i="16344"/>
        </ext>
      </extLst>
    </bk>
    <bk>
      <extLst>
        <ext uri="{3e2802c4-a4d2-4d8b-9148-e3be6c30e623}">
          <xlrd:rvb i="16345"/>
        </ext>
      </extLst>
    </bk>
    <bk>
      <extLst>
        <ext uri="{3e2802c4-a4d2-4d8b-9148-e3be6c30e623}">
          <xlrd:rvb i="16346"/>
        </ext>
      </extLst>
    </bk>
    <bk>
      <extLst>
        <ext uri="{3e2802c4-a4d2-4d8b-9148-e3be6c30e623}">
          <xlrd:rvb i="16347"/>
        </ext>
      </extLst>
    </bk>
    <bk>
      <extLst>
        <ext uri="{3e2802c4-a4d2-4d8b-9148-e3be6c30e623}">
          <xlrd:rvb i="16348"/>
        </ext>
      </extLst>
    </bk>
    <bk>
      <extLst>
        <ext uri="{3e2802c4-a4d2-4d8b-9148-e3be6c30e623}">
          <xlrd:rvb i="16349"/>
        </ext>
      </extLst>
    </bk>
    <bk>
      <extLst>
        <ext uri="{3e2802c4-a4d2-4d8b-9148-e3be6c30e623}">
          <xlrd:rvb i="16350"/>
        </ext>
      </extLst>
    </bk>
    <bk>
      <extLst>
        <ext uri="{3e2802c4-a4d2-4d8b-9148-e3be6c30e623}">
          <xlrd:rvb i="16351"/>
        </ext>
      </extLst>
    </bk>
    <bk>
      <extLst>
        <ext uri="{3e2802c4-a4d2-4d8b-9148-e3be6c30e623}">
          <xlrd:rvb i="16352"/>
        </ext>
      </extLst>
    </bk>
    <bk>
      <extLst>
        <ext uri="{3e2802c4-a4d2-4d8b-9148-e3be6c30e623}">
          <xlrd:rvb i="16353"/>
        </ext>
      </extLst>
    </bk>
    <bk>
      <extLst>
        <ext uri="{3e2802c4-a4d2-4d8b-9148-e3be6c30e623}">
          <xlrd:rvb i="16354"/>
        </ext>
      </extLst>
    </bk>
    <bk>
      <extLst>
        <ext uri="{3e2802c4-a4d2-4d8b-9148-e3be6c30e623}">
          <xlrd:rvb i="16355"/>
        </ext>
      </extLst>
    </bk>
    <bk>
      <extLst>
        <ext uri="{3e2802c4-a4d2-4d8b-9148-e3be6c30e623}">
          <xlrd:rvb i="16356"/>
        </ext>
      </extLst>
    </bk>
    <bk>
      <extLst>
        <ext uri="{3e2802c4-a4d2-4d8b-9148-e3be6c30e623}">
          <xlrd:rvb i="16357"/>
        </ext>
      </extLst>
    </bk>
    <bk>
      <extLst>
        <ext uri="{3e2802c4-a4d2-4d8b-9148-e3be6c30e623}">
          <xlrd:rvb i="16358"/>
        </ext>
      </extLst>
    </bk>
    <bk>
      <extLst>
        <ext uri="{3e2802c4-a4d2-4d8b-9148-e3be6c30e623}">
          <xlrd:rvb i="16359"/>
        </ext>
      </extLst>
    </bk>
    <bk>
      <extLst>
        <ext uri="{3e2802c4-a4d2-4d8b-9148-e3be6c30e623}">
          <xlrd:rvb i="16360"/>
        </ext>
      </extLst>
    </bk>
    <bk>
      <extLst>
        <ext uri="{3e2802c4-a4d2-4d8b-9148-e3be6c30e623}">
          <xlrd:rvb i="16361"/>
        </ext>
      </extLst>
    </bk>
    <bk>
      <extLst>
        <ext uri="{3e2802c4-a4d2-4d8b-9148-e3be6c30e623}">
          <xlrd:rvb i="16362"/>
        </ext>
      </extLst>
    </bk>
    <bk>
      <extLst>
        <ext uri="{3e2802c4-a4d2-4d8b-9148-e3be6c30e623}">
          <xlrd:rvb i="16363"/>
        </ext>
      </extLst>
    </bk>
    <bk>
      <extLst>
        <ext uri="{3e2802c4-a4d2-4d8b-9148-e3be6c30e623}">
          <xlrd:rvb i="16364"/>
        </ext>
      </extLst>
    </bk>
    <bk>
      <extLst>
        <ext uri="{3e2802c4-a4d2-4d8b-9148-e3be6c30e623}">
          <xlrd:rvb i="16365"/>
        </ext>
      </extLst>
    </bk>
    <bk>
      <extLst>
        <ext uri="{3e2802c4-a4d2-4d8b-9148-e3be6c30e623}">
          <xlrd:rvb i="16366"/>
        </ext>
      </extLst>
    </bk>
    <bk>
      <extLst>
        <ext uri="{3e2802c4-a4d2-4d8b-9148-e3be6c30e623}">
          <xlrd:rvb i="16367"/>
        </ext>
      </extLst>
    </bk>
    <bk>
      <extLst>
        <ext uri="{3e2802c4-a4d2-4d8b-9148-e3be6c30e623}">
          <xlrd:rvb i="16368"/>
        </ext>
      </extLst>
    </bk>
    <bk>
      <extLst>
        <ext uri="{3e2802c4-a4d2-4d8b-9148-e3be6c30e623}">
          <xlrd:rvb i="16369"/>
        </ext>
      </extLst>
    </bk>
    <bk>
      <extLst>
        <ext uri="{3e2802c4-a4d2-4d8b-9148-e3be6c30e623}">
          <xlrd:rvb i="16370"/>
        </ext>
      </extLst>
    </bk>
    <bk>
      <extLst>
        <ext uri="{3e2802c4-a4d2-4d8b-9148-e3be6c30e623}">
          <xlrd:rvb i="16371"/>
        </ext>
      </extLst>
    </bk>
    <bk>
      <extLst>
        <ext uri="{3e2802c4-a4d2-4d8b-9148-e3be6c30e623}">
          <xlrd:rvb i="16372"/>
        </ext>
      </extLst>
    </bk>
    <bk>
      <extLst>
        <ext uri="{3e2802c4-a4d2-4d8b-9148-e3be6c30e623}">
          <xlrd:rvb i="16373"/>
        </ext>
      </extLst>
    </bk>
    <bk>
      <extLst>
        <ext uri="{3e2802c4-a4d2-4d8b-9148-e3be6c30e623}">
          <xlrd:rvb i="16374"/>
        </ext>
      </extLst>
    </bk>
    <bk>
      <extLst>
        <ext uri="{3e2802c4-a4d2-4d8b-9148-e3be6c30e623}">
          <xlrd:rvb i="16375"/>
        </ext>
      </extLst>
    </bk>
    <bk>
      <extLst>
        <ext uri="{3e2802c4-a4d2-4d8b-9148-e3be6c30e623}">
          <xlrd:rvb i="16376"/>
        </ext>
      </extLst>
    </bk>
    <bk>
      <extLst>
        <ext uri="{3e2802c4-a4d2-4d8b-9148-e3be6c30e623}">
          <xlrd:rvb i="16377"/>
        </ext>
      </extLst>
    </bk>
    <bk>
      <extLst>
        <ext uri="{3e2802c4-a4d2-4d8b-9148-e3be6c30e623}">
          <xlrd:rvb i="16378"/>
        </ext>
      </extLst>
    </bk>
    <bk>
      <extLst>
        <ext uri="{3e2802c4-a4d2-4d8b-9148-e3be6c30e623}">
          <xlrd:rvb i="16379"/>
        </ext>
      </extLst>
    </bk>
    <bk>
      <extLst>
        <ext uri="{3e2802c4-a4d2-4d8b-9148-e3be6c30e623}">
          <xlrd:rvb i="16380"/>
        </ext>
      </extLst>
    </bk>
    <bk>
      <extLst>
        <ext uri="{3e2802c4-a4d2-4d8b-9148-e3be6c30e623}">
          <xlrd:rvb i="16381"/>
        </ext>
      </extLst>
    </bk>
    <bk>
      <extLst>
        <ext uri="{3e2802c4-a4d2-4d8b-9148-e3be6c30e623}">
          <xlrd:rvb i="16382"/>
        </ext>
      </extLst>
    </bk>
    <bk>
      <extLst>
        <ext uri="{3e2802c4-a4d2-4d8b-9148-e3be6c30e623}">
          <xlrd:rvb i="16383"/>
        </ext>
      </extLst>
    </bk>
    <bk>
      <extLst>
        <ext uri="{3e2802c4-a4d2-4d8b-9148-e3be6c30e623}">
          <xlrd:rvb i="16384"/>
        </ext>
      </extLst>
    </bk>
    <bk>
      <extLst>
        <ext uri="{3e2802c4-a4d2-4d8b-9148-e3be6c30e623}">
          <xlrd:rvb i="16385"/>
        </ext>
      </extLst>
    </bk>
    <bk>
      <extLst>
        <ext uri="{3e2802c4-a4d2-4d8b-9148-e3be6c30e623}">
          <xlrd:rvb i="16386"/>
        </ext>
      </extLst>
    </bk>
    <bk>
      <extLst>
        <ext uri="{3e2802c4-a4d2-4d8b-9148-e3be6c30e623}">
          <xlrd:rvb i="16387"/>
        </ext>
      </extLst>
    </bk>
    <bk>
      <extLst>
        <ext uri="{3e2802c4-a4d2-4d8b-9148-e3be6c30e623}">
          <xlrd:rvb i="16388"/>
        </ext>
      </extLst>
    </bk>
    <bk>
      <extLst>
        <ext uri="{3e2802c4-a4d2-4d8b-9148-e3be6c30e623}">
          <xlrd:rvb i="16389"/>
        </ext>
      </extLst>
    </bk>
    <bk>
      <extLst>
        <ext uri="{3e2802c4-a4d2-4d8b-9148-e3be6c30e623}">
          <xlrd:rvb i="16390"/>
        </ext>
      </extLst>
    </bk>
    <bk>
      <extLst>
        <ext uri="{3e2802c4-a4d2-4d8b-9148-e3be6c30e623}">
          <xlrd:rvb i="16391"/>
        </ext>
      </extLst>
    </bk>
    <bk>
      <extLst>
        <ext uri="{3e2802c4-a4d2-4d8b-9148-e3be6c30e623}">
          <xlrd:rvb i="16392"/>
        </ext>
      </extLst>
    </bk>
    <bk>
      <extLst>
        <ext uri="{3e2802c4-a4d2-4d8b-9148-e3be6c30e623}">
          <xlrd:rvb i="16393"/>
        </ext>
      </extLst>
    </bk>
    <bk>
      <extLst>
        <ext uri="{3e2802c4-a4d2-4d8b-9148-e3be6c30e623}">
          <xlrd:rvb i="16394"/>
        </ext>
      </extLst>
    </bk>
    <bk>
      <extLst>
        <ext uri="{3e2802c4-a4d2-4d8b-9148-e3be6c30e623}">
          <xlrd:rvb i="16395"/>
        </ext>
      </extLst>
    </bk>
    <bk>
      <extLst>
        <ext uri="{3e2802c4-a4d2-4d8b-9148-e3be6c30e623}">
          <xlrd:rvb i="16396"/>
        </ext>
      </extLst>
    </bk>
    <bk>
      <extLst>
        <ext uri="{3e2802c4-a4d2-4d8b-9148-e3be6c30e623}">
          <xlrd:rvb i="16397"/>
        </ext>
      </extLst>
    </bk>
    <bk>
      <extLst>
        <ext uri="{3e2802c4-a4d2-4d8b-9148-e3be6c30e623}">
          <xlrd:rvb i="16398"/>
        </ext>
      </extLst>
    </bk>
    <bk>
      <extLst>
        <ext uri="{3e2802c4-a4d2-4d8b-9148-e3be6c30e623}">
          <xlrd:rvb i="16399"/>
        </ext>
      </extLst>
    </bk>
    <bk>
      <extLst>
        <ext uri="{3e2802c4-a4d2-4d8b-9148-e3be6c30e623}">
          <xlrd:rvb i="16400"/>
        </ext>
      </extLst>
    </bk>
    <bk>
      <extLst>
        <ext uri="{3e2802c4-a4d2-4d8b-9148-e3be6c30e623}">
          <xlrd:rvb i="16401"/>
        </ext>
      </extLst>
    </bk>
    <bk>
      <extLst>
        <ext uri="{3e2802c4-a4d2-4d8b-9148-e3be6c30e623}">
          <xlrd:rvb i="16402"/>
        </ext>
      </extLst>
    </bk>
    <bk>
      <extLst>
        <ext uri="{3e2802c4-a4d2-4d8b-9148-e3be6c30e623}">
          <xlrd:rvb i="16403"/>
        </ext>
      </extLst>
    </bk>
    <bk>
      <extLst>
        <ext uri="{3e2802c4-a4d2-4d8b-9148-e3be6c30e623}">
          <xlrd:rvb i="16404"/>
        </ext>
      </extLst>
    </bk>
    <bk>
      <extLst>
        <ext uri="{3e2802c4-a4d2-4d8b-9148-e3be6c30e623}">
          <xlrd:rvb i="16405"/>
        </ext>
      </extLst>
    </bk>
    <bk>
      <extLst>
        <ext uri="{3e2802c4-a4d2-4d8b-9148-e3be6c30e623}">
          <xlrd:rvb i="16406"/>
        </ext>
      </extLst>
    </bk>
    <bk>
      <extLst>
        <ext uri="{3e2802c4-a4d2-4d8b-9148-e3be6c30e623}">
          <xlrd:rvb i="16407"/>
        </ext>
      </extLst>
    </bk>
    <bk>
      <extLst>
        <ext uri="{3e2802c4-a4d2-4d8b-9148-e3be6c30e623}">
          <xlrd:rvb i="16408"/>
        </ext>
      </extLst>
    </bk>
    <bk>
      <extLst>
        <ext uri="{3e2802c4-a4d2-4d8b-9148-e3be6c30e623}">
          <xlrd:rvb i="16409"/>
        </ext>
      </extLst>
    </bk>
    <bk>
      <extLst>
        <ext uri="{3e2802c4-a4d2-4d8b-9148-e3be6c30e623}">
          <xlrd:rvb i="16410"/>
        </ext>
      </extLst>
    </bk>
    <bk>
      <extLst>
        <ext uri="{3e2802c4-a4d2-4d8b-9148-e3be6c30e623}">
          <xlrd:rvb i="16411"/>
        </ext>
      </extLst>
    </bk>
    <bk>
      <extLst>
        <ext uri="{3e2802c4-a4d2-4d8b-9148-e3be6c30e623}">
          <xlrd:rvb i="16412"/>
        </ext>
      </extLst>
    </bk>
    <bk>
      <extLst>
        <ext uri="{3e2802c4-a4d2-4d8b-9148-e3be6c30e623}">
          <xlrd:rvb i="16413"/>
        </ext>
      </extLst>
    </bk>
    <bk>
      <extLst>
        <ext uri="{3e2802c4-a4d2-4d8b-9148-e3be6c30e623}">
          <xlrd:rvb i="16414"/>
        </ext>
      </extLst>
    </bk>
    <bk>
      <extLst>
        <ext uri="{3e2802c4-a4d2-4d8b-9148-e3be6c30e623}">
          <xlrd:rvb i="16415"/>
        </ext>
      </extLst>
    </bk>
    <bk>
      <extLst>
        <ext uri="{3e2802c4-a4d2-4d8b-9148-e3be6c30e623}">
          <xlrd:rvb i="16416"/>
        </ext>
      </extLst>
    </bk>
    <bk>
      <extLst>
        <ext uri="{3e2802c4-a4d2-4d8b-9148-e3be6c30e623}">
          <xlrd:rvb i="16417"/>
        </ext>
      </extLst>
    </bk>
    <bk>
      <extLst>
        <ext uri="{3e2802c4-a4d2-4d8b-9148-e3be6c30e623}">
          <xlrd:rvb i="16418"/>
        </ext>
      </extLst>
    </bk>
    <bk>
      <extLst>
        <ext uri="{3e2802c4-a4d2-4d8b-9148-e3be6c30e623}">
          <xlrd:rvb i="16419"/>
        </ext>
      </extLst>
    </bk>
    <bk>
      <extLst>
        <ext uri="{3e2802c4-a4d2-4d8b-9148-e3be6c30e623}">
          <xlrd:rvb i="16420"/>
        </ext>
      </extLst>
    </bk>
    <bk>
      <extLst>
        <ext uri="{3e2802c4-a4d2-4d8b-9148-e3be6c30e623}">
          <xlrd:rvb i="16421"/>
        </ext>
      </extLst>
    </bk>
    <bk>
      <extLst>
        <ext uri="{3e2802c4-a4d2-4d8b-9148-e3be6c30e623}">
          <xlrd:rvb i="16422"/>
        </ext>
      </extLst>
    </bk>
    <bk>
      <extLst>
        <ext uri="{3e2802c4-a4d2-4d8b-9148-e3be6c30e623}">
          <xlrd:rvb i="16423"/>
        </ext>
      </extLst>
    </bk>
    <bk>
      <extLst>
        <ext uri="{3e2802c4-a4d2-4d8b-9148-e3be6c30e623}">
          <xlrd:rvb i="16424"/>
        </ext>
      </extLst>
    </bk>
    <bk>
      <extLst>
        <ext uri="{3e2802c4-a4d2-4d8b-9148-e3be6c30e623}">
          <xlrd:rvb i="16425"/>
        </ext>
      </extLst>
    </bk>
    <bk>
      <extLst>
        <ext uri="{3e2802c4-a4d2-4d8b-9148-e3be6c30e623}">
          <xlrd:rvb i="16426"/>
        </ext>
      </extLst>
    </bk>
    <bk>
      <extLst>
        <ext uri="{3e2802c4-a4d2-4d8b-9148-e3be6c30e623}">
          <xlrd:rvb i="16427"/>
        </ext>
      </extLst>
    </bk>
    <bk>
      <extLst>
        <ext uri="{3e2802c4-a4d2-4d8b-9148-e3be6c30e623}">
          <xlrd:rvb i="16428"/>
        </ext>
      </extLst>
    </bk>
    <bk>
      <extLst>
        <ext uri="{3e2802c4-a4d2-4d8b-9148-e3be6c30e623}">
          <xlrd:rvb i="16429"/>
        </ext>
      </extLst>
    </bk>
    <bk>
      <extLst>
        <ext uri="{3e2802c4-a4d2-4d8b-9148-e3be6c30e623}">
          <xlrd:rvb i="16430"/>
        </ext>
      </extLst>
    </bk>
    <bk>
      <extLst>
        <ext uri="{3e2802c4-a4d2-4d8b-9148-e3be6c30e623}">
          <xlrd:rvb i="16431"/>
        </ext>
      </extLst>
    </bk>
    <bk>
      <extLst>
        <ext uri="{3e2802c4-a4d2-4d8b-9148-e3be6c30e623}">
          <xlrd:rvb i="16432"/>
        </ext>
      </extLst>
    </bk>
    <bk>
      <extLst>
        <ext uri="{3e2802c4-a4d2-4d8b-9148-e3be6c30e623}">
          <xlrd:rvb i="16433"/>
        </ext>
      </extLst>
    </bk>
    <bk>
      <extLst>
        <ext uri="{3e2802c4-a4d2-4d8b-9148-e3be6c30e623}">
          <xlrd:rvb i="16434"/>
        </ext>
      </extLst>
    </bk>
    <bk>
      <extLst>
        <ext uri="{3e2802c4-a4d2-4d8b-9148-e3be6c30e623}">
          <xlrd:rvb i="16435"/>
        </ext>
      </extLst>
    </bk>
    <bk>
      <extLst>
        <ext uri="{3e2802c4-a4d2-4d8b-9148-e3be6c30e623}">
          <xlrd:rvb i="16436"/>
        </ext>
      </extLst>
    </bk>
    <bk>
      <extLst>
        <ext uri="{3e2802c4-a4d2-4d8b-9148-e3be6c30e623}">
          <xlrd:rvb i="16437"/>
        </ext>
      </extLst>
    </bk>
    <bk>
      <extLst>
        <ext uri="{3e2802c4-a4d2-4d8b-9148-e3be6c30e623}">
          <xlrd:rvb i="16438"/>
        </ext>
      </extLst>
    </bk>
    <bk>
      <extLst>
        <ext uri="{3e2802c4-a4d2-4d8b-9148-e3be6c30e623}">
          <xlrd:rvb i="16439"/>
        </ext>
      </extLst>
    </bk>
    <bk>
      <extLst>
        <ext uri="{3e2802c4-a4d2-4d8b-9148-e3be6c30e623}">
          <xlrd:rvb i="16440"/>
        </ext>
      </extLst>
    </bk>
    <bk>
      <extLst>
        <ext uri="{3e2802c4-a4d2-4d8b-9148-e3be6c30e623}">
          <xlrd:rvb i="16441"/>
        </ext>
      </extLst>
    </bk>
    <bk>
      <extLst>
        <ext uri="{3e2802c4-a4d2-4d8b-9148-e3be6c30e623}">
          <xlrd:rvb i="16442"/>
        </ext>
      </extLst>
    </bk>
    <bk>
      <extLst>
        <ext uri="{3e2802c4-a4d2-4d8b-9148-e3be6c30e623}">
          <xlrd:rvb i="16443"/>
        </ext>
      </extLst>
    </bk>
    <bk>
      <extLst>
        <ext uri="{3e2802c4-a4d2-4d8b-9148-e3be6c30e623}">
          <xlrd:rvb i="16444"/>
        </ext>
      </extLst>
    </bk>
    <bk>
      <extLst>
        <ext uri="{3e2802c4-a4d2-4d8b-9148-e3be6c30e623}">
          <xlrd:rvb i="16445"/>
        </ext>
      </extLst>
    </bk>
    <bk>
      <extLst>
        <ext uri="{3e2802c4-a4d2-4d8b-9148-e3be6c30e623}">
          <xlrd:rvb i="16446"/>
        </ext>
      </extLst>
    </bk>
    <bk>
      <extLst>
        <ext uri="{3e2802c4-a4d2-4d8b-9148-e3be6c30e623}">
          <xlrd:rvb i="16447"/>
        </ext>
      </extLst>
    </bk>
    <bk>
      <extLst>
        <ext uri="{3e2802c4-a4d2-4d8b-9148-e3be6c30e623}">
          <xlrd:rvb i="16448"/>
        </ext>
      </extLst>
    </bk>
    <bk>
      <extLst>
        <ext uri="{3e2802c4-a4d2-4d8b-9148-e3be6c30e623}">
          <xlrd:rvb i="16449"/>
        </ext>
      </extLst>
    </bk>
    <bk>
      <extLst>
        <ext uri="{3e2802c4-a4d2-4d8b-9148-e3be6c30e623}">
          <xlrd:rvb i="16450"/>
        </ext>
      </extLst>
    </bk>
    <bk>
      <extLst>
        <ext uri="{3e2802c4-a4d2-4d8b-9148-e3be6c30e623}">
          <xlrd:rvb i="16451"/>
        </ext>
      </extLst>
    </bk>
    <bk>
      <extLst>
        <ext uri="{3e2802c4-a4d2-4d8b-9148-e3be6c30e623}">
          <xlrd:rvb i="16452"/>
        </ext>
      </extLst>
    </bk>
    <bk>
      <extLst>
        <ext uri="{3e2802c4-a4d2-4d8b-9148-e3be6c30e623}">
          <xlrd:rvb i="16453"/>
        </ext>
      </extLst>
    </bk>
    <bk>
      <extLst>
        <ext uri="{3e2802c4-a4d2-4d8b-9148-e3be6c30e623}">
          <xlrd:rvb i="16454"/>
        </ext>
      </extLst>
    </bk>
    <bk>
      <extLst>
        <ext uri="{3e2802c4-a4d2-4d8b-9148-e3be6c30e623}">
          <xlrd:rvb i="16455"/>
        </ext>
      </extLst>
    </bk>
    <bk>
      <extLst>
        <ext uri="{3e2802c4-a4d2-4d8b-9148-e3be6c30e623}">
          <xlrd:rvb i="16456"/>
        </ext>
      </extLst>
    </bk>
    <bk>
      <extLst>
        <ext uri="{3e2802c4-a4d2-4d8b-9148-e3be6c30e623}">
          <xlrd:rvb i="16457"/>
        </ext>
      </extLst>
    </bk>
    <bk>
      <extLst>
        <ext uri="{3e2802c4-a4d2-4d8b-9148-e3be6c30e623}">
          <xlrd:rvb i="16458"/>
        </ext>
      </extLst>
    </bk>
    <bk>
      <extLst>
        <ext uri="{3e2802c4-a4d2-4d8b-9148-e3be6c30e623}">
          <xlrd:rvb i="16459"/>
        </ext>
      </extLst>
    </bk>
    <bk>
      <extLst>
        <ext uri="{3e2802c4-a4d2-4d8b-9148-e3be6c30e623}">
          <xlrd:rvb i="16460"/>
        </ext>
      </extLst>
    </bk>
    <bk>
      <extLst>
        <ext uri="{3e2802c4-a4d2-4d8b-9148-e3be6c30e623}">
          <xlrd:rvb i="16461"/>
        </ext>
      </extLst>
    </bk>
    <bk>
      <extLst>
        <ext uri="{3e2802c4-a4d2-4d8b-9148-e3be6c30e623}">
          <xlrd:rvb i="16462"/>
        </ext>
      </extLst>
    </bk>
    <bk>
      <extLst>
        <ext uri="{3e2802c4-a4d2-4d8b-9148-e3be6c30e623}">
          <xlrd:rvb i="16463"/>
        </ext>
      </extLst>
    </bk>
    <bk>
      <extLst>
        <ext uri="{3e2802c4-a4d2-4d8b-9148-e3be6c30e623}">
          <xlrd:rvb i="16464"/>
        </ext>
      </extLst>
    </bk>
    <bk>
      <extLst>
        <ext uri="{3e2802c4-a4d2-4d8b-9148-e3be6c30e623}">
          <xlrd:rvb i="16465"/>
        </ext>
      </extLst>
    </bk>
    <bk>
      <extLst>
        <ext uri="{3e2802c4-a4d2-4d8b-9148-e3be6c30e623}">
          <xlrd:rvb i="16466"/>
        </ext>
      </extLst>
    </bk>
    <bk>
      <extLst>
        <ext uri="{3e2802c4-a4d2-4d8b-9148-e3be6c30e623}">
          <xlrd:rvb i="16467"/>
        </ext>
      </extLst>
    </bk>
    <bk>
      <extLst>
        <ext uri="{3e2802c4-a4d2-4d8b-9148-e3be6c30e623}">
          <xlrd:rvb i="16468"/>
        </ext>
      </extLst>
    </bk>
    <bk>
      <extLst>
        <ext uri="{3e2802c4-a4d2-4d8b-9148-e3be6c30e623}">
          <xlrd:rvb i="16469"/>
        </ext>
      </extLst>
    </bk>
    <bk>
      <extLst>
        <ext uri="{3e2802c4-a4d2-4d8b-9148-e3be6c30e623}">
          <xlrd:rvb i="16470"/>
        </ext>
      </extLst>
    </bk>
    <bk>
      <extLst>
        <ext uri="{3e2802c4-a4d2-4d8b-9148-e3be6c30e623}">
          <xlrd:rvb i="16471"/>
        </ext>
      </extLst>
    </bk>
    <bk>
      <extLst>
        <ext uri="{3e2802c4-a4d2-4d8b-9148-e3be6c30e623}">
          <xlrd:rvb i="16472"/>
        </ext>
      </extLst>
    </bk>
    <bk>
      <extLst>
        <ext uri="{3e2802c4-a4d2-4d8b-9148-e3be6c30e623}">
          <xlrd:rvb i="16473"/>
        </ext>
      </extLst>
    </bk>
    <bk>
      <extLst>
        <ext uri="{3e2802c4-a4d2-4d8b-9148-e3be6c30e623}">
          <xlrd:rvb i="16474"/>
        </ext>
      </extLst>
    </bk>
    <bk>
      <extLst>
        <ext uri="{3e2802c4-a4d2-4d8b-9148-e3be6c30e623}">
          <xlrd:rvb i="16475"/>
        </ext>
      </extLst>
    </bk>
    <bk>
      <extLst>
        <ext uri="{3e2802c4-a4d2-4d8b-9148-e3be6c30e623}">
          <xlrd:rvb i="16476"/>
        </ext>
      </extLst>
    </bk>
    <bk>
      <extLst>
        <ext uri="{3e2802c4-a4d2-4d8b-9148-e3be6c30e623}">
          <xlrd:rvb i="16477"/>
        </ext>
      </extLst>
    </bk>
    <bk>
      <extLst>
        <ext uri="{3e2802c4-a4d2-4d8b-9148-e3be6c30e623}">
          <xlrd:rvb i="16478"/>
        </ext>
      </extLst>
    </bk>
    <bk>
      <extLst>
        <ext uri="{3e2802c4-a4d2-4d8b-9148-e3be6c30e623}">
          <xlrd:rvb i="16479"/>
        </ext>
      </extLst>
    </bk>
    <bk>
      <extLst>
        <ext uri="{3e2802c4-a4d2-4d8b-9148-e3be6c30e623}">
          <xlrd:rvb i="16480"/>
        </ext>
      </extLst>
    </bk>
    <bk>
      <extLst>
        <ext uri="{3e2802c4-a4d2-4d8b-9148-e3be6c30e623}">
          <xlrd:rvb i="16481"/>
        </ext>
      </extLst>
    </bk>
    <bk>
      <extLst>
        <ext uri="{3e2802c4-a4d2-4d8b-9148-e3be6c30e623}">
          <xlrd:rvb i="16482"/>
        </ext>
      </extLst>
    </bk>
    <bk>
      <extLst>
        <ext uri="{3e2802c4-a4d2-4d8b-9148-e3be6c30e623}">
          <xlrd:rvb i="16483"/>
        </ext>
      </extLst>
    </bk>
    <bk>
      <extLst>
        <ext uri="{3e2802c4-a4d2-4d8b-9148-e3be6c30e623}">
          <xlrd:rvb i="16484"/>
        </ext>
      </extLst>
    </bk>
    <bk>
      <extLst>
        <ext uri="{3e2802c4-a4d2-4d8b-9148-e3be6c30e623}">
          <xlrd:rvb i="16485"/>
        </ext>
      </extLst>
    </bk>
    <bk>
      <extLst>
        <ext uri="{3e2802c4-a4d2-4d8b-9148-e3be6c30e623}">
          <xlrd:rvb i="16486"/>
        </ext>
      </extLst>
    </bk>
    <bk>
      <extLst>
        <ext uri="{3e2802c4-a4d2-4d8b-9148-e3be6c30e623}">
          <xlrd:rvb i="16487"/>
        </ext>
      </extLst>
    </bk>
    <bk>
      <extLst>
        <ext uri="{3e2802c4-a4d2-4d8b-9148-e3be6c30e623}">
          <xlrd:rvb i="16488"/>
        </ext>
      </extLst>
    </bk>
    <bk>
      <extLst>
        <ext uri="{3e2802c4-a4d2-4d8b-9148-e3be6c30e623}">
          <xlrd:rvb i="16489"/>
        </ext>
      </extLst>
    </bk>
    <bk>
      <extLst>
        <ext uri="{3e2802c4-a4d2-4d8b-9148-e3be6c30e623}">
          <xlrd:rvb i="16490"/>
        </ext>
      </extLst>
    </bk>
    <bk>
      <extLst>
        <ext uri="{3e2802c4-a4d2-4d8b-9148-e3be6c30e623}">
          <xlrd:rvb i="16491"/>
        </ext>
      </extLst>
    </bk>
    <bk>
      <extLst>
        <ext uri="{3e2802c4-a4d2-4d8b-9148-e3be6c30e623}">
          <xlrd:rvb i="16492"/>
        </ext>
      </extLst>
    </bk>
    <bk>
      <extLst>
        <ext uri="{3e2802c4-a4d2-4d8b-9148-e3be6c30e623}">
          <xlrd:rvb i="16493"/>
        </ext>
      </extLst>
    </bk>
    <bk>
      <extLst>
        <ext uri="{3e2802c4-a4d2-4d8b-9148-e3be6c30e623}">
          <xlrd:rvb i="16494"/>
        </ext>
      </extLst>
    </bk>
    <bk>
      <extLst>
        <ext uri="{3e2802c4-a4d2-4d8b-9148-e3be6c30e623}">
          <xlrd:rvb i="16495"/>
        </ext>
      </extLst>
    </bk>
    <bk>
      <extLst>
        <ext uri="{3e2802c4-a4d2-4d8b-9148-e3be6c30e623}">
          <xlrd:rvb i="16496"/>
        </ext>
      </extLst>
    </bk>
    <bk>
      <extLst>
        <ext uri="{3e2802c4-a4d2-4d8b-9148-e3be6c30e623}">
          <xlrd:rvb i="16497"/>
        </ext>
      </extLst>
    </bk>
    <bk>
      <extLst>
        <ext uri="{3e2802c4-a4d2-4d8b-9148-e3be6c30e623}">
          <xlrd:rvb i="16498"/>
        </ext>
      </extLst>
    </bk>
    <bk>
      <extLst>
        <ext uri="{3e2802c4-a4d2-4d8b-9148-e3be6c30e623}">
          <xlrd:rvb i="16499"/>
        </ext>
      </extLst>
    </bk>
    <bk>
      <extLst>
        <ext uri="{3e2802c4-a4d2-4d8b-9148-e3be6c30e623}">
          <xlrd:rvb i="16500"/>
        </ext>
      </extLst>
    </bk>
    <bk>
      <extLst>
        <ext uri="{3e2802c4-a4d2-4d8b-9148-e3be6c30e623}">
          <xlrd:rvb i="16501"/>
        </ext>
      </extLst>
    </bk>
    <bk>
      <extLst>
        <ext uri="{3e2802c4-a4d2-4d8b-9148-e3be6c30e623}">
          <xlrd:rvb i="16502"/>
        </ext>
      </extLst>
    </bk>
    <bk>
      <extLst>
        <ext uri="{3e2802c4-a4d2-4d8b-9148-e3be6c30e623}">
          <xlrd:rvb i="16503"/>
        </ext>
      </extLst>
    </bk>
    <bk>
      <extLst>
        <ext uri="{3e2802c4-a4d2-4d8b-9148-e3be6c30e623}">
          <xlrd:rvb i="16504"/>
        </ext>
      </extLst>
    </bk>
    <bk>
      <extLst>
        <ext uri="{3e2802c4-a4d2-4d8b-9148-e3be6c30e623}">
          <xlrd:rvb i="16505"/>
        </ext>
      </extLst>
    </bk>
    <bk>
      <extLst>
        <ext uri="{3e2802c4-a4d2-4d8b-9148-e3be6c30e623}">
          <xlrd:rvb i="16506"/>
        </ext>
      </extLst>
    </bk>
    <bk>
      <extLst>
        <ext uri="{3e2802c4-a4d2-4d8b-9148-e3be6c30e623}">
          <xlrd:rvb i="16507"/>
        </ext>
      </extLst>
    </bk>
    <bk>
      <extLst>
        <ext uri="{3e2802c4-a4d2-4d8b-9148-e3be6c30e623}">
          <xlrd:rvb i="16508"/>
        </ext>
      </extLst>
    </bk>
    <bk>
      <extLst>
        <ext uri="{3e2802c4-a4d2-4d8b-9148-e3be6c30e623}">
          <xlrd:rvb i="16509"/>
        </ext>
      </extLst>
    </bk>
    <bk>
      <extLst>
        <ext uri="{3e2802c4-a4d2-4d8b-9148-e3be6c30e623}">
          <xlrd:rvb i="16510"/>
        </ext>
      </extLst>
    </bk>
    <bk>
      <extLst>
        <ext uri="{3e2802c4-a4d2-4d8b-9148-e3be6c30e623}">
          <xlrd:rvb i="16511"/>
        </ext>
      </extLst>
    </bk>
    <bk>
      <extLst>
        <ext uri="{3e2802c4-a4d2-4d8b-9148-e3be6c30e623}">
          <xlrd:rvb i="16512"/>
        </ext>
      </extLst>
    </bk>
    <bk>
      <extLst>
        <ext uri="{3e2802c4-a4d2-4d8b-9148-e3be6c30e623}">
          <xlrd:rvb i="16513"/>
        </ext>
      </extLst>
    </bk>
    <bk>
      <extLst>
        <ext uri="{3e2802c4-a4d2-4d8b-9148-e3be6c30e623}">
          <xlrd:rvb i="16514"/>
        </ext>
      </extLst>
    </bk>
    <bk>
      <extLst>
        <ext uri="{3e2802c4-a4d2-4d8b-9148-e3be6c30e623}">
          <xlrd:rvb i="16515"/>
        </ext>
      </extLst>
    </bk>
    <bk>
      <extLst>
        <ext uri="{3e2802c4-a4d2-4d8b-9148-e3be6c30e623}">
          <xlrd:rvb i="16516"/>
        </ext>
      </extLst>
    </bk>
    <bk>
      <extLst>
        <ext uri="{3e2802c4-a4d2-4d8b-9148-e3be6c30e623}">
          <xlrd:rvb i="16517"/>
        </ext>
      </extLst>
    </bk>
    <bk>
      <extLst>
        <ext uri="{3e2802c4-a4d2-4d8b-9148-e3be6c30e623}">
          <xlrd:rvb i="16518"/>
        </ext>
      </extLst>
    </bk>
    <bk>
      <extLst>
        <ext uri="{3e2802c4-a4d2-4d8b-9148-e3be6c30e623}">
          <xlrd:rvb i="16519"/>
        </ext>
      </extLst>
    </bk>
    <bk>
      <extLst>
        <ext uri="{3e2802c4-a4d2-4d8b-9148-e3be6c30e623}">
          <xlrd:rvb i="16520"/>
        </ext>
      </extLst>
    </bk>
    <bk>
      <extLst>
        <ext uri="{3e2802c4-a4d2-4d8b-9148-e3be6c30e623}">
          <xlrd:rvb i="16521"/>
        </ext>
      </extLst>
    </bk>
    <bk>
      <extLst>
        <ext uri="{3e2802c4-a4d2-4d8b-9148-e3be6c30e623}">
          <xlrd:rvb i="16522"/>
        </ext>
      </extLst>
    </bk>
    <bk>
      <extLst>
        <ext uri="{3e2802c4-a4d2-4d8b-9148-e3be6c30e623}">
          <xlrd:rvb i="16523"/>
        </ext>
      </extLst>
    </bk>
    <bk>
      <extLst>
        <ext uri="{3e2802c4-a4d2-4d8b-9148-e3be6c30e623}">
          <xlrd:rvb i="16524"/>
        </ext>
      </extLst>
    </bk>
    <bk>
      <extLst>
        <ext uri="{3e2802c4-a4d2-4d8b-9148-e3be6c30e623}">
          <xlrd:rvb i="16525"/>
        </ext>
      </extLst>
    </bk>
    <bk>
      <extLst>
        <ext uri="{3e2802c4-a4d2-4d8b-9148-e3be6c30e623}">
          <xlrd:rvb i="16526"/>
        </ext>
      </extLst>
    </bk>
    <bk>
      <extLst>
        <ext uri="{3e2802c4-a4d2-4d8b-9148-e3be6c30e623}">
          <xlrd:rvb i="16527"/>
        </ext>
      </extLst>
    </bk>
    <bk>
      <extLst>
        <ext uri="{3e2802c4-a4d2-4d8b-9148-e3be6c30e623}">
          <xlrd:rvb i="16528"/>
        </ext>
      </extLst>
    </bk>
    <bk>
      <extLst>
        <ext uri="{3e2802c4-a4d2-4d8b-9148-e3be6c30e623}">
          <xlrd:rvb i="16529"/>
        </ext>
      </extLst>
    </bk>
    <bk>
      <extLst>
        <ext uri="{3e2802c4-a4d2-4d8b-9148-e3be6c30e623}">
          <xlrd:rvb i="16530"/>
        </ext>
      </extLst>
    </bk>
    <bk>
      <extLst>
        <ext uri="{3e2802c4-a4d2-4d8b-9148-e3be6c30e623}">
          <xlrd:rvb i="16531"/>
        </ext>
      </extLst>
    </bk>
    <bk>
      <extLst>
        <ext uri="{3e2802c4-a4d2-4d8b-9148-e3be6c30e623}">
          <xlrd:rvb i="16532"/>
        </ext>
      </extLst>
    </bk>
    <bk>
      <extLst>
        <ext uri="{3e2802c4-a4d2-4d8b-9148-e3be6c30e623}">
          <xlrd:rvb i="16533"/>
        </ext>
      </extLst>
    </bk>
    <bk>
      <extLst>
        <ext uri="{3e2802c4-a4d2-4d8b-9148-e3be6c30e623}">
          <xlrd:rvb i="16534"/>
        </ext>
      </extLst>
    </bk>
    <bk>
      <extLst>
        <ext uri="{3e2802c4-a4d2-4d8b-9148-e3be6c30e623}">
          <xlrd:rvb i="16535"/>
        </ext>
      </extLst>
    </bk>
    <bk>
      <extLst>
        <ext uri="{3e2802c4-a4d2-4d8b-9148-e3be6c30e623}">
          <xlrd:rvb i="16536"/>
        </ext>
      </extLst>
    </bk>
    <bk>
      <extLst>
        <ext uri="{3e2802c4-a4d2-4d8b-9148-e3be6c30e623}">
          <xlrd:rvb i="16537"/>
        </ext>
      </extLst>
    </bk>
    <bk>
      <extLst>
        <ext uri="{3e2802c4-a4d2-4d8b-9148-e3be6c30e623}">
          <xlrd:rvb i="16538"/>
        </ext>
      </extLst>
    </bk>
    <bk>
      <extLst>
        <ext uri="{3e2802c4-a4d2-4d8b-9148-e3be6c30e623}">
          <xlrd:rvb i="16539"/>
        </ext>
      </extLst>
    </bk>
    <bk>
      <extLst>
        <ext uri="{3e2802c4-a4d2-4d8b-9148-e3be6c30e623}">
          <xlrd:rvb i="16540"/>
        </ext>
      </extLst>
    </bk>
    <bk>
      <extLst>
        <ext uri="{3e2802c4-a4d2-4d8b-9148-e3be6c30e623}">
          <xlrd:rvb i="16541"/>
        </ext>
      </extLst>
    </bk>
    <bk>
      <extLst>
        <ext uri="{3e2802c4-a4d2-4d8b-9148-e3be6c30e623}">
          <xlrd:rvb i="16542"/>
        </ext>
      </extLst>
    </bk>
    <bk>
      <extLst>
        <ext uri="{3e2802c4-a4d2-4d8b-9148-e3be6c30e623}">
          <xlrd:rvb i="16543"/>
        </ext>
      </extLst>
    </bk>
    <bk>
      <extLst>
        <ext uri="{3e2802c4-a4d2-4d8b-9148-e3be6c30e623}">
          <xlrd:rvb i="16544"/>
        </ext>
      </extLst>
    </bk>
    <bk>
      <extLst>
        <ext uri="{3e2802c4-a4d2-4d8b-9148-e3be6c30e623}">
          <xlrd:rvb i="16545"/>
        </ext>
      </extLst>
    </bk>
    <bk>
      <extLst>
        <ext uri="{3e2802c4-a4d2-4d8b-9148-e3be6c30e623}">
          <xlrd:rvb i="16546"/>
        </ext>
      </extLst>
    </bk>
    <bk>
      <extLst>
        <ext uri="{3e2802c4-a4d2-4d8b-9148-e3be6c30e623}">
          <xlrd:rvb i="16547"/>
        </ext>
      </extLst>
    </bk>
    <bk>
      <extLst>
        <ext uri="{3e2802c4-a4d2-4d8b-9148-e3be6c30e623}">
          <xlrd:rvb i="16548"/>
        </ext>
      </extLst>
    </bk>
    <bk>
      <extLst>
        <ext uri="{3e2802c4-a4d2-4d8b-9148-e3be6c30e623}">
          <xlrd:rvb i="16549"/>
        </ext>
      </extLst>
    </bk>
    <bk>
      <extLst>
        <ext uri="{3e2802c4-a4d2-4d8b-9148-e3be6c30e623}">
          <xlrd:rvb i="16550"/>
        </ext>
      </extLst>
    </bk>
    <bk>
      <extLst>
        <ext uri="{3e2802c4-a4d2-4d8b-9148-e3be6c30e623}">
          <xlrd:rvb i="16551"/>
        </ext>
      </extLst>
    </bk>
    <bk>
      <extLst>
        <ext uri="{3e2802c4-a4d2-4d8b-9148-e3be6c30e623}">
          <xlrd:rvb i="16552"/>
        </ext>
      </extLst>
    </bk>
    <bk>
      <extLst>
        <ext uri="{3e2802c4-a4d2-4d8b-9148-e3be6c30e623}">
          <xlrd:rvb i="16553"/>
        </ext>
      </extLst>
    </bk>
    <bk>
      <extLst>
        <ext uri="{3e2802c4-a4d2-4d8b-9148-e3be6c30e623}">
          <xlrd:rvb i="16554"/>
        </ext>
      </extLst>
    </bk>
    <bk>
      <extLst>
        <ext uri="{3e2802c4-a4d2-4d8b-9148-e3be6c30e623}">
          <xlrd:rvb i="16555"/>
        </ext>
      </extLst>
    </bk>
    <bk>
      <extLst>
        <ext uri="{3e2802c4-a4d2-4d8b-9148-e3be6c30e623}">
          <xlrd:rvb i="16556"/>
        </ext>
      </extLst>
    </bk>
    <bk>
      <extLst>
        <ext uri="{3e2802c4-a4d2-4d8b-9148-e3be6c30e623}">
          <xlrd:rvb i="16557"/>
        </ext>
      </extLst>
    </bk>
    <bk>
      <extLst>
        <ext uri="{3e2802c4-a4d2-4d8b-9148-e3be6c30e623}">
          <xlrd:rvb i="16558"/>
        </ext>
      </extLst>
    </bk>
    <bk>
      <extLst>
        <ext uri="{3e2802c4-a4d2-4d8b-9148-e3be6c30e623}">
          <xlrd:rvb i="16559"/>
        </ext>
      </extLst>
    </bk>
    <bk>
      <extLst>
        <ext uri="{3e2802c4-a4d2-4d8b-9148-e3be6c30e623}">
          <xlrd:rvb i="16560"/>
        </ext>
      </extLst>
    </bk>
    <bk>
      <extLst>
        <ext uri="{3e2802c4-a4d2-4d8b-9148-e3be6c30e623}">
          <xlrd:rvb i="16561"/>
        </ext>
      </extLst>
    </bk>
    <bk>
      <extLst>
        <ext uri="{3e2802c4-a4d2-4d8b-9148-e3be6c30e623}">
          <xlrd:rvb i="16562"/>
        </ext>
      </extLst>
    </bk>
    <bk>
      <extLst>
        <ext uri="{3e2802c4-a4d2-4d8b-9148-e3be6c30e623}">
          <xlrd:rvb i="16563"/>
        </ext>
      </extLst>
    </bk>
    <bk>
      <extLst>
        <ext uri="{3e2802c4-a4d2-4d8b-9148-e3be6c30e623}">
          <xlrd:rvb i="16564"/>
        </ext>
      </extLst>
    </bk>
    <bk>
      <extLst>
        <ext uri="{3e2802c4-a4d2-4d8b-9148-e3be6c30e623}">
          <xlrd:rvb i="16565"/>
        </ext>
      </extLst>
    </bk>
    <bk>
      <extLst>
        <ext uri="{3e2802c4-a4d2-4d8b-9148-e3be6c30e623}">
          <xlrd:rvb i="16566"/>
        </ext>
      </extLst>
    </bk>
    <bk>
      <extLst>
        <ext uri="{3e2802c4-a4d2-4d8b-9148-e3be6c30e623}">
          <xlrd:rvb i="16567"/>
        </ext>
      </extLst>
    </bk>
    <bk>
      <extLst>
        <ext uri="{3e2802c4-a4d2-4d8b-9148-e3be6c30e623}">
          <xlrd:rvb i="16568"/>
        </ext>
      </extLst>
    </bk>
    <bk>
      <extLst>
        <ext uri="{3e2802c4-a4d2-4d8b-9148-e3be6c30e623}">
          <xlrd:rvb i="16569"/>
        </ext>
      </extLst>
    </bk>
    <bk>
      <extLst>
        <ext uri="{3e2802c4-a4d2-4d8b-9148-e3be6c30e623}">
          <xlrd:rvb i="16570"/>
        </ext>
      </extLst>
    </bk>
    <bk>
      <extLst>
        <ext uri="{3e2802c4-a4d2-4d8b-9148-e3be6c30e623}">
          <xlrd:rvb i="16571"/>
        </ext>
      </extLst>
    </bk>
    <bk>
      <extLst>
        <ext uri="{3e2802c4-a4d2-4d8b-9148-e3be6c30e623}">
          <xlrd:rvb i="16572"/>
        </ext>
      </extLst>
    </bk>
    <bk>
      <extLst>
        <ext uri="{3e2802c4-a4d2-4d8b-9148-e3be6c30e623}">
          <xlrd:rvb i="16573"/>
        </ext>
      </extLst>
    </bk>
    <bk>
      <extLst>
        <ext uri="{3e2802c4-a4d2-4d8b-9148-e3be6c30e623}">
          <xlrd:rvb i="16574"/>
        </ext>
      </extLst>
    </bk>
    <bk>
      <extLst>
        <ext uri="{3e2802c4-a4d2-4d8b-9148-e3be6c30e623}">
          <xlrd:rvb i="16575"/>
        </ext>
      </extLst>
    </bk>
    <bk>
      <extLst>
        <ext uri="{3e2802c4-a4d2-4d8b-9148-e3be6c30e623}">
          <xlrd:rvb i="16576"/>
        </ext>
      </extLst>
    </bk>
    <bk>
      <extLst>
        <ext uri="{3e2802c4-a4d2-4d8b-9148-e3be6c30e623}">
          <xlrd:rvb i="16577"/>
        </ext>
      </extLst>
    </bk>
    <bk>
      <extLst>
        <ext uri="{3e2802c4-a4d2-4d8b-9148-e3be6c30e623}">
          <xlrd:rvb i="16578"/>
        </ext>
      </extLst>
    </bk>
    <bk>
      <extLst>
        <ext uri="{3e2802c4-a4d2-4d8b-9148-e3be6c30e623}">
          <xlrd:rvb i="16579"/>
        </ext>
      </extLst>
    </bk>
    <bk>
      <extLst>
        <ext uri="{3e2802c4-a4d2-4d8b-9148-e3be6c30e623}">
          <xlrd:rvb i="16580"/>
        </ext>
      </extLst>
    </bk>
    <bk>
      <extLst>
        <ext uri="{3e2802c4-a4d2-4d8b-9148-e3be6c30e623}">
          <xlrd:rvb i="16581"/>
        </ext>
      </extLst>
    </bk>
    <bk>
      <extLst>
        <ext uri="{3e2802c4-a4d2-4d8b-9148-e3be6c30e623}">
          <xlrd:rvb i="16582"/>
        </ext>
      </extLst>
    </bk>
    <bk>
      <extLst>
        <ext uri="{3e2802c4-a4d2-4d8b-9148-e3be6c30e623}">
          <xlrd:rvb i="16583"/>
        </ext>
      </extLst>
    </bk>
    <bk>
      <extLst>
        <ext uri="{3e2802c4-a4d2-4d8b-9148-e3be6c30e623}">
          <xlrd:rvb i="16584"/>
        </ext>
      </extLst>
    </bk>
    <bk>
      <extLst>
        <ext uri="{3e2802c4-a4d2-4d8b-9148-e3be6c30e623}">
          <xlrd:rvb i="16585"/>
        </ext>
      </extLst>
    </bk>
    <bk>
      <extLst>
        <ext uri="{3e2802c4-a4d2-4d8b-9148-e3be6c30e623}">
          <xlrd:rvb i="16586"/>
        </ext>
      </extLst>
    </bk>
    <bk>
      <extLst>
        <ext uri="{3e2802c4-a4d2-4d8b-9148-e3be6c30e623}">
          <xlrd:rvb i="16587"/>
        </ext>
      </extLst>
    </bk>
    <bk>
      <extLst>
        <ext uri="{3e2802c4-a4d2-4d8b-9148-e3be6c30e623}">
          <xlrd:rvb i="16588"/>
        </ext>
      </extLst>
    </bk>
    <bk>
      <extLst>
        <ext uri="{3e2802c4-a4d2-4d8b-9148-e3be6c30e623}">
          <xlrd:rvb i="16589"/>
        </ext>
      </extLst>
    </bk>
    <bk>
      <extLst>
        <ext uri="{3e2802c4-a4d2-4d8b-9148-e3be6c30e623}">
          <xlrd:rvb i="16590"/>
        </ext>
      </extLst>
    </bk>
    <bk>
      <extLst>
        <ext uri="{3e2802c4-a4d2-4d8b-9148-e3be6c30e623}">
          <xlrd:rvb i="16591"/>
        </ext>
      </extLst>
    </bk>
    <bk>
      <extLst>
        <ext uri="{3e2802c4-a4d2-4d8b-9148-e3be6c30e623}">
          <xlrd:rvb i="16592"/>
        </ext>
      </extLst>
    </bk>
    <bk>
      <extLst>
        <ext uri="{3e2802c4-a4d2-4d8b-9148-e3be6c30e623}">
          <xlrd:rvb i="16593"/>
        </ext>
      </extLst>
    </bk>
    <bk>
      <extLst>
        <ext uri="{3e2802c4-a4d2-4d8b-9148-e3be6c30e623}">
          <xlrd:rvb i="16594"/>
        </ext>
      </extLst>
    </bk>
    <bk>
      <extLst>
        <ext uri="{3e2802c4-a4d2-4d8b-9148-e3be6c30e623}">
          <xlrd:rvb i="16595"/>
        </ext>
      </extLst>
    </bk>
    <bk>
      <extLst>
        <ext uri="{3e2802c4-a4d2-4d8b-9148-e3be6c30e623}">
          <xlrd:rvb i="16596"/>
        </ext>
      </extLst>
    </bk>
    <bk>
      <extLst>
        <ext uri="{3e2802c4-a4d2-4d8b-9148-e3be6c30e623}">
          <xlrd:rvb i="16597"/>
        </ext>
      </extLst>
    </bk>
    <bk>
      <extLst>
        <ext uri="{3e2802c4-a4d2-4d8b-9148-e3be6c30e623}">
          <xlrd:rvb i="16598"/>
        </ext>
      </extLst>
    </bk>
    <bk>
      <extLst>
        <ext uri="{3e2802c4-a4d2-4d8b-9148-e3be6c30e623}">
          <xlrd:rvb i="16599"/>
        </ext>
      </extLst>
    </bk>
    <bk>
      <extLst>
        <ext uri="{3e2802c4-a4d2-4d8b-9148-e3be6c30e623}">
          <xlrd:rvb i="16600"/>
        </ext>
      </extLst>
    </bk>
    <bk>
      <extLst>
        <ext uri="{3e2802c4-a4d2-4d8b-9148-e3be6c30e623}">
          <xlrd:rvb i="16601"/>
        </ext>
      </extLst>
    </bk>
    <bk>
      <extLst>
        <ext uri="{3e2802c4-a4d2-4d8b-9148-e3be6c30e623}">
          <xlrd:rvb i="16602"/>
        </ext>
      </extLst>
    </bk>
    <bk>
      <extLst>
        <ext uri="{3e2802c4-a4d2-4d8b-9148-e3be6c30e623}">
          <xlrd:rvb i="16603"/>
        </ext>
      </extLst>
    </bk>
    <bk>
      <extLst>
        <ext uri="{3e2802c4-a4d2-4d8b-9148-e3be6c30e623}">
          <xlrd:rvb i="16604"/>
        </ext>
      </extLst>
    </bk>
    <bk>
      <extLst>
        <ext uri="{3e2802c4-a4d2-4d8b-9148-e3be6c30e623}">
          <xlrd:rvb i="16605"/>
        </ext>
      </extLst>
    </bk>
    <bk>
      <extLst>
        <ext uri="{3e2802c4-a4d2-4d8b-9148-e3be6c30e623}">
          <xlrd:rvb i="16606"/>
        </ext>
      </extLst>
    </bk>
    <bk>
      <extLst>
        <ext uri="{3e2802c4-a4d2-4d8b-9148-e3be6c30e623}">
          <xlrd:rvb i="16607"/>
        </ext>
      </extLst>
    </bk>
    <bk>
      <extLst>
        <ext uri="{3e2802c4-a4d2-4d8b-9148-e3be6c30e623}">
          <xlrd:rvb i="16608"/>
        </ext>
      </extLst>
    </bk>
    <bk>
      <extLst>
        <ext uri="{3e2802c4-a4d2-4d8b-9148-e3be6c30e623}">
          <xlrd:rvb i="16609"/>
        </ext>
      </extLst>
    </bk>
    <bk>
      <extLst>
        <ext uri="{3e2802c4-a4d2-4d8b-9148-e3be6c30e623}">
          <xlrd:rvb i="16610"/>
        </ext>
      </extLst>
    </bk>
    <bk>
      <extLst>
        <ext uri="{3e2802c4-a4d2-4d8b-9148-e3be6c30e623}">
          <xlrd:rvb i="16611"/>
        </ext>
      </extLst>
    </bk>
    <bk>
      <extLst>
        <ext uri="{3e2802c4-a4d2-4d8b-9148-e3be6c30e623}">
          <xlrd:rvb i="16612"/>
        </ext>
      </extLst>
    </bk>
    <bk>
      <extLst>
        <ext uri="{3e2802c4-a4d2-4d8b-9148-e3be6c30e623}">
          <xlrd:rvb i="16613"/>
        </ext>
      </extLst>
    </bk>
    <bk>
      <extLst>
        <ext uri="{3e2802c4-a4d2-4d8b-9148-e3be6c30e623}">
          <xlrd:rvb i="16614"/>
        </ext>
      </extLst>
    </bk>
    <bk>
      <extLst>
        <ext uri="{3e2802c4-a4d2-4d8b-9148-e3be6c30e623}">
          <xlrd:rvb i="16615"/>
        </ext>
      </extLst>
    </bk>
    <bk>
      <extLst>
        <ext uri="{3e2802c4-a4d2-4d8b-9148-e3be6c30e623}">
          <xlrd:rvb i="16616"/>
        </ext>
      </extLst>
    </bk>
    <bk>
      <extLst>
        <ext uri="{3e2802c4-a4d2-4d8b-9148-e3be6c30e623}">
          <xlrd:rvb i="16617"/>
        </ext>
      </extLst>
    </bk>
    <bk>
      <extLst>
        <ext uri="{3e2802c4-a4d2-4d8b-9148-e3be6c30e623}">
          <xlrd:rvb i="16618"/>
        </ext>
      </extLst>
    </bk>
    <bk>
      <extLst>
        <ext uri="{3e2802c4-a4d2-4d8b-9148-e3be6c30e623}">
          <xlrd:rvb i="16619"/>
        </ext>
      </extLst>
    </bk>
    <bk>
      <extLst>
        <ext uri="{3e2802c4-a4d2-4d8b-9148-e3be6c30e623}">
          <xlrd:rvb i="16620"/>
        </ext>
      </extLst>
    </bk>
    <bk>
      <extLst>
        <ext uri="{3e2802c4-a4d2-4d8b-9148-e3be6c30e623}">
          <xlrd:rvb i="16621"/>
        </ext>
      </extLst>
    </bk>
    <bk>
      <extLst>
        <ext uri="{3e2802c4-a4d2-4d8b-9148-e3be6c30e623}">
          <xlrd:rvb i="16622"/>
        </ext>
      </extLst>
    </bk>
    <bk>
      <extLst>
        <ext uri="{3e2802c4-a4d2-4d8b-9148-e3be6c30e623}">
          <xlrd:rvb i="16623"/>
        </ext>
      </extLst>
    </bk>
    <bk>
      <extLst>
        <ext uri="{3e2802c4-a4d2-4d8b-9148-e3be6c30e623}">
          <xlrd:rvb i="16624"/>
        </ext>
      </extLst>
    </bk>
    <bk>
      <extLst>
        <ext uri="{3e2802c4-a4d2-4d8b-9148-e3be6c30e623}">
          <xlrd:rvb i="16625"/>
        </ext>
      </extLst>
    </bk>
    <bk>
      <extLst>
        <ext uri="{3e2802c4-a4d2-4d8b-9148-e3be6c30e623}">
          <xlrd:rvb i="16626"/>
        </ext>
      </extLst>
    </bk>
    <bk>
      <extLst>
        <ext uri="{3e2802c4-a4d2-4d8b-9148-e3be6c30e623}">
          <xlrd:rvb i="16627"/>
        </ext>
      </extLst>
    </bk>
    <bk>
      <extLst>
        <ext uri="{3e2802c4-a4d2-4d8b-9148-e3be6c30e623}">
          <xlrd:rvb i="16628"/>
        </ext>
      </extLst>
    </bk>
    <bk>
      <extLst>
        <ext uri="{3e2802c4-a4d2-4d8b-9148-e3be6c30e623}">
          <xlrd:rvb i="16629"/>
        </ext>
      </extLst>
    </bk>
    <bk>
      <extLst>
        <ext uri="{3e2802c4-a4d2-4d8b-9148-e3be6c30e623}">
          <xlrd:rvb i="16630"/>
        </ext>
      </extLst>
    </bk>
    <bk>
      <extLst>
        <ext uri="{3e2802c4-a4d2-4d8b-9148-e3be6c30e623}">
          <xlrd:rvb i="16631"/>
        </ext>
      </extLst>
    </bk>
    <bk>
      <extLst>
        <ext uri="{3e2802c4-a4d2-4d8b-9148-e3be6c30e623}">
          <xlrd:rvb i="16632"/>
        </ext>
      </extLst>
    </bk>
    <bk>
      <extLst>
        <ext uri="{3e2802c4-a4d2-4d8b-9148-e3be6c30e623}">
          <xlrd:rvb i="16633"/>
        </ext>
      </extLst>
    </bk>
    <bk>
      <extLst>
        <ext uri="{3e2802c4-a4d2-4d8b-9148-e3be6c30e623}">
          <xlrd:rvb i="16634"/>
        </ext>
      </extLst>
    </bk>
    <bk>
      <extLst>
        <ext uri="{3e2802c4-a4d2-4d8b-9148-e3be6c30e623}">
          <xlrd:rvb i="16635"/>
        </ext>
      </extLst>
    </bk>
    <bk>
      <extLst>
        <ext uri="{3e2802c4-a4d2-4d8b-9148-e3be6c30e623}">
          <xlrd:rvb i="16636"/>
        </ext>
      </extLst>
    </bk>
    <bk>
      <extLst>
        <ext uri="{3e2802c4-a4d2-4d8b-9148-e3be6c30e623}">
          <xlrd:rvb i="16637"/>
        </ext>
      </extLst>
    </bk>
    <bk>
      <extLst>
        <ext uri="{3e2802c4-a4d2-4d8b-9148-e3be6c30e623}">
          <xlrd:rvb i="16638"/>
        </ext>
      </extLst>
    </bk>
    <bk>
      <extLst>
        <ext uri="{3e2802c4-a4d2-4d8b-9148-e3be6c30e623}">
          <xlrd:rvb i="16639"/>
        </ext>
      </extLst>
    </bk>
    <bk>
      <extLst>
        <ext uri="{3e2802c4-a4d2-4d8b-9148-e3be6c30e623}">
          <xlrd:rvb i="16640"/>
        </ext>
      </extLst>
    </bk>
    <bk>
      <extLst>
        <ext uri="{3e2802c4-a4d2-4d8b-9148-e3be6c30e623}">
          <xlrd:rvb i="16641"/>
        </ext>
      </extLst>
    </bk>
    <bk>
      <extLst>
        <ext uri="{3e2802c4-a4d2-4d8b-9148-e3be6c30e623}">
          <xlrd:rvb i="16642"/>
        </ext>
      </extLst>
    </bk>
    <bk>
      <extLst>
        <ext uri="{3e2802c4-a4d2-4d8b-9148-e3be6c30e623}">
          <xlrd:rvb i="16643"/>
        </ext>
      </extLst>
    </bk>
    <bk>
      <extLst>
        <ext uri="{3e2802c4-a4d2-4d8b-9148-e3be6c30e623}">
          <xlrd:rvb i="16644"/>
        </ext>
      </extLst>
    </bk>
    <bk>
      <extLst>
        <ext uri="{3e2802c4-a4d2-4d8b-9148-e3be6c30e623}">
          <xlrd:rvb i="16645"/>
        </ext>
      </extLst>
    </bk>
    <bk>
      <extLst>
        <ext uri="{3e2802c4-a4d2-4d8b-9148-e3be6c30e623}">
          <xlrd:rvb i="16646"/>
        </ext>
      </extLst>
    </bk>
    <bk>
      <extLst>
        <ext uri="{3e2802c4-a4d2-4d8b-9148-e3be6c30e623}">
          <xlrd:rvb i="16647"/>
        </ext>
      </extLst>
    </bk>
    <bk>
      <extLst>
        <ext uri="{3e2802c4-a4d2-4d8b-9148-e3be6c30e623}">
          <xlrd:rvb i="16648"/>
        </ext>
      </extLst>
    </bk>
    <bk>
      <extLst>
        <ext uri="{3e2802c4-a4d2-4d8b-9148-e3be6c30e623}">
          <xlrd:rvb i="16649"/>
        </ext>
      </extLst>
    </bk>
    <bk>
      <extLst>
        <ext uri="{3e2802c4-a4d2-4d8b-9148-e3be6c30e623}">
          <xlrd:rvb i="16650"/>
        </ext>
      </extLst>
    </bk>
    <bk>
      <extLst>
        <ext uri="{3e2802c4-a4d2-4d8b-9148-e3be6c30e623}">
          <xlrd:rvb i="16651"/>
        </ext>
      </extLst>
    </bk>
    <bk>
      <extLst>
        <ext uri="{3e2802c4-a4d2-4d8b-9148-e3be6c30e623}">
          <xlrd:rvb i="16652"/>
        </ext>
      </extLst>
    </bk>
    <bk>
      <extLst>
        <ext uri="{3e2802c4-a4d2-4d8b-9148-e3be6c30e623}">
          <xlrd:rvb i="16653"/>
        </ext>
      </extLst>
    </bk>
    <bk>
      <extLst>
        <ext uri="{3e2802c4-a4d2-4d8b-9148-e3be6c30e623}">
          <xlrd:rvb i="16654"/>
        </ext>
      </extLst>
    </bk>
    <bk>
      <extLst>
        <ext uri="{3e2802c4-a4d2-4d8b-9148-e3be6c30e623}">
          <xlrd:rvb i="16655"/>
        </ext>
      </extLst>
    </bk>
    <bk>
      <extLst>
        <ext uri="{3e2802c4-a4d2-4d8b-9148-e3be6c30e623}">
          <xlrd:rvb i="16656"/>
        </ext>
      </extLst>
    </bk>
    <bk>
      <extLst>
        <ext uri="{3e2802c4-a4d2-4d8b-9148-e3be6c30e623}">
          <xlrd:rvb i="16657"/>
        </ext>
      </extLst>
    </bk>
    <bk>
      <extLst>
        <ext uri="{3e2802c4-a4d2-4d8b-9148-e3be6c30e623}">
          <xlrd:rvb i="16658"/>
        </ext>
      </extLst>
    </bk>
    <bk>
      <extLst>
        <ext uri="{3e2802c4-a4d2-4d8b-9148-e3be6c30e623}">
          <xlrd:rvb i="16659"/>
        </ext>
      </extLst>
    </bk>
    <bk>
      <extLst>
        <ext uri="{3e2802c4-a4d2-4d8b-9148-e3be6c30e623}">
          <xlrd:rvb i="16660"/>
        </ext>
      </extLst>
    </bk>
    <bk>
      <extLst>
        <ext uri="{3e2802c4-a4d2-4d8b-9148-e3be6c30e623}">
          <xlrd:rvb i="16661"/>
        </ext>
      </extLst>
    </bk>
    <bk>
      <extLst>
        <ext uri="{3e2802c4-a4d2-4d8b-9148-e3be6c30e623}">
          <xlrd:rvb i="16662"/>
        </ext>
      </extLst>
    </bk>
    <bk>
      <extLst>
        <ext uri="{3e2802c4-a4d2-4d8b-9148-e3be6c30e623}">
          <xlrd:rvb i="16663"/>
        </ext>
      </extLst>
    </bk>
    <bk>
      <extLst>
        <ext uri="{3e2802c4-a4d2-4d8b-9148-e3be6c30e623}">
          <xlrd:rvb i="16664"/>
        </ext>
      </extLst>
    </bk>
    <bk>
      <extLst>
        <ext uri="{3e2802c4-a4d2-4d8b-9148-e3be6c30e623}">
          <xlrd:rvb i="16665"/>
        </ext>
      </extLst>
    </bk>
    <bk>
      <extLst>
        <ext uri="{3e2802c4-a4d2-4d8b-9148-e3be6c30e623}">
          <xlrd:rvb i="16666"/>
        </ext>
      </extLst>
    </bk>
    <bk>
      <extLst>
        <ext uri="{3e2802c4-a4d2-4d8b-9148-e3be6c30e623}">
          <xlrd:rvb i="16667"/>
        </ext>
      </extLst>
    </bk>
    <bk>
      <extLst>
        <ext uri="{3e2802c4-a4d2-4d8b-9148-e3be6c30e623}">
          <xlrd:rvb i="16668"/>
        </ext>
      </extLst>
    </bk>
    <bk>
      <extLst>
        <ext uri="{3e2802c4-a4d2-4d8b-9148-e3be6c30e623}">
          <xlrd:rvb i="16669"/>
        </ext>
      </extLst>
    </bk>
    <bk>
      <extLst>
        <ext uri="{3e2802c4-a4d2-4d8b-9148-e3be6c30e623}">
          <xlrd:rvb i="16670"/>
        </ext>
      </extLst>
    </bk>
    <bk>
      <extLst>
        <ext uri="{3e2802c4-a4d2-4d8b-9148-e3be6c30e623}">
          <xlrd:rvb i="16671"/>
        </ext>
      </extLst>
    </bk>
    <bk>
      <extLst>
        <ext uri="{3e2802c4-a4d2-4d8b-9148-e3be6c30e623}">
          <xlrd:rvb i="16672"/>
        </ext>
      </extLst>
    </bk>
    <bk>
      <extLst>
        <ext uri="{3e2802c4-a4d2-4d8b-9148-e3be6c30e623}">
          <xlrd:rvb i="16673"/>
        </ext>
      </extLst>
    </bk>
    <bk>
      <extLst>
        <ext uri="{3e2802c4-a4d2-4d8b-9148-e3be6c30e623}">
          <xlrd:rvb i="16674"/>
        </ext>
      </extLst>
    </bk>
    <bk>
      <extLst>
        <ext uri="{3e2802c4-a4d2-4d8b-9148-e3be6c30e623}">
          <xlrd:rvb i="16675"/>
        </ext>
      </extLst>
    </bk>
    <bk>
      <extLst>
        <ext uri="{3e2802c4-a4d2-4d8b-9148-e3be6c30e623}">
          <xlrd:rvb i="16676"/>
        </ext>
      </extLst>
    </bk>
    <bk>
      <extLst>
        <ext uri="{3e2802c4-a4d2-4d8b-9148-e3be6c30e623}">
          <xlrd:rvb i="16677"/>
        </ext>
      </extLst>
    </bk>
    <bk>
      <extLst>
        <ext uri="{3e2802c4-a4d2-4d8b-9148-e3be6c30e623}">
          <xlrd:rvb i="16678"/>
        </ext>
      </extLst>
    </bk>
    <bk>
      <extLst>
        <ext uri="{3e2802c4-a4d2-4d8b-9148-e3be6c30e623}">
          <xlrd:rvb i="16679"/>
        </ext>
      </extLst>
    </bk>
    <bk>
      <extLst>
        <ext uri="{3e2802c4-a4d2-4d8b-9148-e3be6c30e623}">
          <xlrd:rvb i="16680"/>
        </ext>
      </extLst>
    </bk>
    <bk>
      <extLst>
        <ext uri="{3e2802c4-a4d2-4d8b-9148-e3be6c30e623}">
          <xlrd:rvb i="16681"/>
        </ext>
      </extLst>
    </bk>
    <bk>
      <extLst>
        <ext uri="{3e2802c4-a4d2-4d8b-9148-e3be6c30e623}">
          <xlrd:rvb i="16682"/>
        </ext>
      </extLst>
    </bk>
    <bk>
      <extLst>
        <ext uri="{3e2802c4-a4d2-4d8b-9148-e3be6c30e623}">
          <xlrd:rvb i="16683"/>
        </ext>
      </extLst>
    </bk>
    <bk>
      <extLst>
        <ext uri="{3e2802c4-a4d2-4d8b-9148-e3be6c30e623}">
          <xlrd:rvb i="16684"/>
        </ext>
      </extLst>
    </bk>
    <bk>
      <extLst>
        <ext uri="{3e2802c4-a4d2-4d8b-9148-e3be6c30e623}">
          <xlrd:rvb i="16685"/>
        </ext>
      </extLst>
    </bk>
    <bk>
      <extLst>
        <ext uri="{3e2802c4-a4d2-4d8b-9148-e3be6c30e623}">
          <xlrd:rvb i="16686"/>
        </ext>
      </extLst>
    </bk>
    <bk>
      <extLst>
        <ext uri="{3e2802c4-a4d2-4d8b-9148-e3be6c30e623}">
          <xlrd:rvb i="16687"/>
        </ext>
      </extLst>
    </bk>
    <bk>
      <extLst>
        <ext uri="{3e2802c4-a4d2-4d8b-9148-e3be6c30e623}">
          <xlrd:rvb i="16688"/>
        </ext>
      </extLst>
    </bk>
    <bk>
      <extLst>
        <ext uri="{3e2802c4-a4d2-4d8b-9148-e3be6c30e623}">
          <xlrd:rvb i="16689"/>
        </ext>
      </extLst>
    </bk>
    <bk>
      <extLst>
        <ext uri="{3e2802c4-a4d2-4d8b-9148-e3be6c30e623}">
          <xlrd:rvb i="16690"/>
        </ext>
      </extLst>
    </bk>
    <bk>
      <extLst>
        <ext uri="{3e2802c4-a4d2-4d8b-9148-e3be6c30e623}">
          <xlrd:rvb i="16691"/>
        </ext>
      </extLst>
    </bk>
    <bk>
      <extLst>
        <ext uri="{3e2802c4-a4d2-4d8b-9148-e3be6c30e623}">
          <xlrd:rvb i="16692"/>
        </ext>
      </extLst>
    </bk>
    <bk>
      <extLst>
        <ext uri="{3e2802c4-a4d2-4d8b-9148-e3be6c30e623}">
          <xlrd:rvb i="16693"/>
        </ext>
      </extLst>
    </bk>
    <bk>
      <extLst>
        <ext uri="{3e2802c4-a4d2-4d8b-9148-e3be6c30e623}">
          <xlrd:rvb i="16694"/>
        </ext>
      </extLst>
    </bk>
    <bk>
      <extLst>
        <ext uri="{3e2802c4-a4d2-4d8b-9148-e3be6c30e623}">
          <xlrd:rvb i="16695"/>
        </ext>
      </extLst>
    </bk>
    <bk>
      <extLst>
        <ext uri="{3e2802c4-a4d2-4d8b-9148-e3be6c30e623}">
          <xlrd:rvb i="16696"/>
        </ext>
      </extLst>
    </bk>
    <bk>
      <extLst>
        <ext uri="{3e2802c4-a4d2-4d8b-9148-e3be6c30e623}">
          <xlrd:rvb i="16697"/>
        </ext>
      </extLst>
    </bk>
    <bk>
      <extLst>
        <ext uri="{3e2802c4-a4d2-4d8b-9148-e3be6c30e623}">
          <xlrd:rvb i="16698"/>
        </ext>
      </extLst>
    </bk>
    <bk>
      <extLst>
        <ext uri="{3e2802c4-a4d2-4d8b-9148-e3be6c30e623}">
          <xlrd:rvb i="16699"/>
        </ext>
      </extLst>
    </bk>
    <bk>
      <extLst>
        <ext uri="{3e2802c4-a4d2-4d8b-9148-e3be6c30e623}">
          <xlrd:rvb i="16700"/>
        </ext>
      </extLst>
    </bk>
    <bk>
      <extLst>
        <ext uri="{3e2802c4-a4d2-4d8b-9148-e3be6c30e623}">
          <xlrd:rvb i="16701"/>
        </ext>
      </extLst>
    </bk>
    <bk>
      <extLst>
        <ext uri="{3e2802c4-a4d2-4d8b-9148-e3be6c30e623}">
          <xlrd:rvb i="16702"/>
        </ext>
      </extLst>
    </bk>
    <bk>
      <extLst>
        <ext uri="{3e2802c4-a4d2-4d8b-9148-e3be6c30e623}">
          <xlrd:rvb i="16703"/>
        </ext>
      </extLst>
    </bk>
    <bk>
      <extLst>
        <ext uri="{3e2802c4-a4d2-4d8b-9148-e3be6c30e623}">
          <xlrd:rvb i="16704"/>
        </ext>
      </extLst>
    </bk>
    <bk>
      <extLst>
        <ext uri="{3e2802c4-a4d2-4d8b-9148-e3be6c30e623}">
          <xlrd:rvb i="16705"/>
        </ext>
      </extLst>
    </bk>
    <bk>
      <extLst>
        <ext uri="{3e2802c4-a4d2-4d8b-9148-e3be6c30e623}">
          <xlrd:rvb i="16706"/>
        </ext>
      </extLst>
    </bk>
    <bk>
      <extLst>
        <ext uri="{3e2802c4-a4d2-4d8b-9148-e3be6c30e623}">
          <xlrd:rvb i="16707"/>
        </ext>
      </extLst>
    </bk>
    <bk>
      <extLst>
        <ext uri="{3e2802c4-a4d2-4d8b-9148-e3be6c30e623}">
          <xlrd:rvb i="16708"/>
        </ext>
      </extLst>
    </bk>
    <bk>
      <extLst>
        <ext uri="{3e2802c4-a4d2-4d8b-9148-e3be6c30e623}">
          <xlrd:rvb i="16709"/>
        </ext>
      </extLst>
    </bk>
    <bk>
      <extLst>
        <ext uri="{3e2802c4-a4d2-4d8b-9148-e3be6c30e623}">
          <xlrd:rvb i="16710"/>
        </ext>
      </extLst>
    </bk>
    <bk>
      <extLst>
        <ext uri="{3e2802c4-a4d2-4d8b-9148-e3be6c30e623}">
          <xlrd:rvb i="16711"/>
        </ext>
      </extLst>
    </bk>
    <bk>
      <extLst>
        <ext uri="{3e2802c4-a4d2-4d8b-9148-e3be6c30e623}">
          <xlrd:rvb i="16712"/>
        </ext>
      </extLst>
    </bk>
    <bk>
      <extLst>
        <ext uri="{3e2802c4-a4d2-4d8b-9148-e3be6c30e623}">
          <xlrd:rvb i="16713"/>
        </ext>
      </extLst>
    </bk>
    <bk>
      <extLst>
        <ext uri="{3e2802c4-a4d2-4d8b-9148-e3be6c30e623}">
          <xlrd:rvb i="16714"/>
        </ext>
      </extLst>
    </bk>
    <bk>
      <extLst>
        <ext uri="{3e2802c4-a4d2-4d8b-9148-e3be6c30e623}">
          <xlrd:rvb i="16715"/>
        </ext>
      </extLst>
    </bk>
    <bk>
      <extLst>
        <ext uri="{3e2802c4-a4d2-4d8b-9148-e3be6c30e623}">
          <xlrd:rvb i="16716"/>
        </ext>
      </extLst>
    </bk>
    <bk>
      <extLst>
        <ext uri="{3e2802c4-a4d2-4d8b-9148-e3be6c30e623}">
          <xlrd:rvb i="16717"/>
        </ext>
      </extLst>
    </bk>
    <bk>
      <extLst>
        <ext uri="{3e2802c4-a4d2-4d8b-9148-e3be6c30e623}">
          <xlrd:rvb i="16718"/>
        </ext>
      </extLst>
    </bk>
    <bk>
      <extLst>
        <ext uri="{3e2802c4-a4d2-4d8b-9148-e3be6c30e623}">
          <xlrd:rvb i="16719"/>
        </ext>
      </extLst>
    </bk>
    <bk>
      <extLst>
        <ext uri="{3e2802c4-a4d2-4d8b-9148-e3be6c30e623}">
          <xlrd:rvb i="16720"/>
        </ext>
      </extLst>
    </bk>
    <bk>
      <extLst>
        <ext uri="{3e2802c4-a4d2-4d8b-9148-e3be6c30e623}">
          <xlrd:rvb i="16721"/>
        </ext>
      </extLst>
    </bk>
    <bk>
      <extLst>
        <ext uri="{3e2802c4-a4d2-4d8b-9148-e3be6c30e623}">
          <xlrd:rvb i="16722"/>
        </ext>
      </extLst>
    </bk>
    <bk>
      <extLst>
        <ext uri="{3e2802c4-a4d2-4d8b-9148-e3be6c30e623}">
          <xlrd:rvb i="16723"/>
        </ext>
      </extLst>
    </bk>
    <bk>
      <extLst>
        <ext uri="{3e2802c4-a4d2-4d8b-9148-e3be6c30e623}">
          <xlrd:rvb i="16724"/>
        </ext>
      </extLst>
    </bk>
    <bk>
      <extLst>
        <ext uri="{3e2802c4-a4d2-4d8b-9148-e3be6c30e623}">
          <xlrd:rvb i="16725"/>
        </ext>
      </extLst>
    </bk>
    <bk>
      <extLst>
        <ext uri="{3e2802c4-a4d2-4d8b-9148-e3be6c30e623}">
          <xlrd:rvb i="16726"/>
        </ext>
      </extLst>
    </bk>
    <bk>
      <extLst>
        <ext uri="{3e2802c4-a4d2-4d8b-9148-e3be6c30e623}">
          <xlrd:rvb i="16727"/>
        </ext>
      </extLst>
    </bk>
    <bk>
      <extLst>
        <ext uri="{3e2802c4-a4d2-4d8b-9148-e3be6c30e623}">
          <xlrd:rvb i="16728"/>
        </ext>
      </extLst>
    </bk>
    <bk>
      <extLst>
        <ext uri="{3e2802c4-a4d2-4d8b-9148-e3be6c30e623}">
          <xlrd:rvb i="16729"/>
        </ext>
      </extLst>
    </bk>
    <bk>
      <extLst>
        <ext uri="{3e2802c4-a4d2-4d8b-9148-e3be6c30e623}">
          <xlrd:rvb i="16730"/>
        </ext>
      </extLst>
    </bk>
    <bk>
      <extLst>
        <ext uri="{3e2802c4-a4d2-4d8b-9148-e3be6c30e623}">
          <xlrd:rvb i="16731"/>
        </ext>
      </extLst>
    </bk>
    <bk>
      <extLst>
        <ext uri="{3e2802c4-a4d2-4d8b-9148-e3be6c30e623}">
          <xlrd:rvb i="16732"/>
        </ext>
      </extLst>
    </bk>
    <bk>
      <extLst>
        <ext uri="{3e2802c4-a4d2-4d8b-9148-e3be6c30e623}">
          <xlrd:rvb i="16733"/>
        </ext>
      </extLst>
    </bk>
    <bk>
      <extLst>
        <ext uri="{3e2802c4-a4d2-4d8b-9148-e3be6c30e623}">
          <xlrd:rvb i="16734"/>
        </ext>
      </extLst>
    </bk>
    <bk>
      <extLst>
        <ext uri="{3e2802c4-a4d2-4d8b-9148-e3be6c30e623}">
          <xlrd:rvb i="16735"/>
        </ext>
      </extLst>
    </bk>
    <bk>
      <extLst>
        <ext uri="{3e2802c4-a4d2-4d8b-9148-e3be6c30e623}">
          <xlrd:rvb i="16736"/>
        </ext>
      </extLst>
    </bk>
    <bk>
      <extLst>
        <ext uri="{3e2802c4-a4d2-4d8b-9148-e3be6c30e623}">
          <xlrd:rvb i="16737"/>
        </ext>
      </extLst>
    </bk>
    <bk>
      <extLst>
        <ext uri="{3e2802c4-a4d2-4d8b-9148-e3be6c30e623}">
          <xlrd:rvb i="16738"/>
        </ext>
      </extLst>
    </bk>
    <bk>
      <extLst>
        <ext uri="{3e2802c4-a4d2-4d8b-9148-e3be6c30e623}">
          <xlrd:rvb i="16739"/>
        </ext>
      </extLst>
    </bk>
    <bk>
      <extLst>
        <ext uri="{3e2802c4-a4d2-4d8b-9148-e3be6c30e623}">
          <xlrd:rvb i="16740"/>
        </ext>
      </extLst>
    </bk>
    <bk>
      <extLst>
        <ext uri="{3e2802c4-a4d2-4d8b-9148-e3be6c30e623}">
          <xlrd:rvb i="16741"/>
        </ext>
      </extLst>
    </bk>
    <bk>
      <extLst>
        <ext uri="{3e2802c4-a4d2-4d8b-9148-e3be6c30e623}">
          <xlrd:rvb i="16742"/>
        </ext>
      </extLst>
    </bk>
    <bk>
      <extLst>
        <ext uri="{3e2802c4-a4d2-4d8b-9148-e3be6c30e623}">
          <xlrd:rvb i="16743"/>
        </ext>
      </extLst>
    </bk>
    <bk>
      <extLst>
        <ext uri="{3e2802c4-a4d2-4d8b-9148-e3be6c30e623}">
          <xlrd:rvb i="16744"/>
        </ext>
      </extLst>
    </bk>
    <bk>
      <extLst>
        <ext uri="{3e2802c4-a4d2-4d8b-9148-e3be6c30e623}">
          <xlrd:rvb i="16745"/>
        </ext>
      </extLst>
    </bk>
    <bk>
      <extLst>
        <ext uri="{3e2802c4-a4d2-4d8b-9148-e3be6c30e623}">
          <xlrd:rvb i="16746"/>
        </ext>
      </extLst>
    </bk>
    <bk>
      <extLst>
        <ext uri="{3e2802c4-a4d2-4d8b-9148-e3be6c30e623}">
          <xlrd:rvb i="16747"/>
        </ext>
      </extLst>
    </bk>
    <bk>
      <extLst>
        <ext uri="{3e2802c4-a4d2-4d8b-9148-e3be6c30e623}">
          <xlrd:rvb i="16748"/>
        </ext>
      </extLst>
    </bk>
    <bk>
      <extLst>
        <ext uri="{3e2802c4-a4d2-4d8b-9148-e3be6c30e623}">
          <xlrd:rvb i="16749"/>
        </ext>
      </extLst>
    </bk>
    <bk>
      <extLst>
        <ext uri="{3e2802c4-a4d2-4d8b-9148-e3be6c30e623}">
          <xlrd:rvb i="16750"/>
        </ext>
      </extLst>
    </bk>
    <bk>
      <extLst>
        <ext uri="{3e2802c4-a4d2-4d8b-9148-e3be6c30e623}">
          <xlrd:rvb i="16751"/>
        </ext>
      </extLst>
    </bk>
    <bk>
      <extLst>
        <ext uri="{3e2802c4-a4d2-4d8b-9148-e3be6c30e623}">
          <xlrd:rvb i="16752"/>
        </ext>
      </extLst>
    </bk>
    <bk>
      <extLst>
        <ext uri="{3e2802c4-a4d2-4d8b-9148-e3be6c30e623}">
          <xlrd:rvb i="16753"/>
        </ext>
      </extLst>
    </bk>
    <bk>
      <extLst>
        <ext uri="{3e2802c4-a4d2-4d8b-9148-e3be6c30e623}">
          <xlrd:rvb i="16754"/>
        </ext>
      </extLst>
    </bk>
    <bk>
      <extLst>
        <ext uri="{3e2802c4-a4d2-4d8b-9148-e3be6c30e623}">
          <xlrd:rvb i="16755"/>
        </ext>
      </extLst>
    </bk>
    <bk>
      <extLst>
        <ext uri="{3e2802c4-a4d2-4d8b-9148-e3be6c30e623}">
          <xlrd:rvb i="16756"/>
        </ext>
      </extLst>
    </bk>
    <bk>
      <extLst>
        <ext uri="{3e2802c4-a4d2-4d8b-9148-e3be6c30e623}">
          <xlrd:rvb i="16757"/>
        </ext>
      </extLst>
    </bk>
    <bk>
      <extLst>
        <ext uri="{3e2802c4-a4d2-4d8b-9148-e3be6c30e623}">
          <xlrd:rvb i="16758"/>
        </ext>
      </extLst>
    </bk>
    <bk>
      <extLst>
        <ext uri="{3e2802c4-a4d2-4d8b-9148-e3be6c30e623}">
          <xlrd:rvb i="16759"/>
        </ext>
      </extLst>
    </bk>
    <bk>
      <extLst>
        <ext uri="{3e2802c4-a4d2-4d8b-9148-e3be6c30e623}">
          <xlrd:rvb i="16760"/>
        </ext>
      </extLst>
    </bk>
    <bk>
      <extLst>
        <ext uri="{3e2802c4-a4d2-4d8b-9148-e3be6c30e623}">
          <xlrd:rvb i="16761"/>
        </ext>
      </extLst>
    </bk>
    <bk>
      <extLst>
        <ext uri="{3e2802c4-a4d2-4d8b-9148-e3be6c30e623}">
          <xlrd:rvb i="16762"/>
        </ext>
      </extLst>
    </bk>
    <bk>
      <extLst>
        <ext uri="{3e2802c4-a4d2-4d8b-9148-e3be6c30e623}">
          <xlrd:rvb i="16763"/>
        </ext>
      </extLst>
    </bk>
    <bk>
      <extLst>
        <ext uri="{3e2802c4-a4d2-4d8b-9148-e3be6c30e623}">
          <xlrd:rvb i="16764"/>
        </ext>
      </extLst>
    </bk>
    <bk>
      <extLst>
        <ext uri="{3e2802c4-a4d2-4d8b-9148-e3be6c30e623}">
          <xlrd:rvb i="16765"/>
        </ext>
      </extLst>
    </bk>
    <bk>
      <extLst>
        <ext uri="{3e2802c4-a4d2-4d8b-9148-e3be6c30e623}">
          <xlrd:rvb i="16766"/>
        </ext>
      </extLst>
    </bk>
    <bk>
      <extLst>
        <ext uri="{3e2802c4-a4d2-4d8b-9148-e3be6c30e623}">
          <xlrd:rvb i="16767"/>
        </ext>
      </extLst>
    </bk>
    <bk>
      <extLst>
        <ext uri="{3e2802c4-a4d2-4d8b-9148-e3be6c30e623}">
          <xlrd:rvb i="16768"/>
        </ext>
      </extLst>
    </bk>
    <bk>
      <extLst>
        <ext uri="{3e2802c4-a4d2-4d8b-9148-e3be6c30e623}">
          <xlrd:rvb i="16769"/>
        </ext>
      </extLst>
    </bk>
    <bk>
      <extLst>
        <ext uri="{3e2802c4-a4d2-4d8b-9148-e3be6c30e623}">
          <xlrd:rvb i="16770"/>
        </ext>
      </extLst>
    </bk>
    <bk>
      <extLst>
        <ext uri="{3e2802c4-a4d2-4d8b-9148-e3be6c30e623}">
          <xlrd:rvb i="16771"/>
        </ext>
      </extLst>
    </bk>
    <bk>
      <extLst>
        <ext uri="{3e2802c4-a4d2-4d8b-9148-e3be6c30e623}">
          <xlrd:rvb i="16772"/>
        </ext>
      </extLst>
    </bk>
    <bk>
      <extLst>
        <ext uri="{3e2802c4-a4d2-4d8b-9148-e3be6c30e623}">
          <xlrd:rvb i="16773"/>
        </ext>
      </extLst>
    </bk>
    <bk>
      <extLst>
        <ext uri="{3e2802c4-a4d2-4d8b-9148-e3be6c30e623}">
          <xlrd:rvb i="16774"/>
        </ext>
      </extLst>
    </bk>
    <bk>
      <extLst>
        <ext uri="{3e2802c4-a4d2-4d8b-9148-e3be6c30e623}">
          <xlrd:rvb i="16775"/>
        </ext>
      </extLst>
    </bk>
    <bk>
      <extLst>
        <ext uri="{3e2802c4-a4d2-4d8b-9148-e3be6c30e623}">
          <xlrd:rvb i="16776"/>
        </ext>
      </extLst>
    </bk>
    <bk>
      <extLst>
        <ext uri="{3e2802c4-a4d2-4d8b-9148-e3be6c30e623}">
          <xlrd:rvb i="16777"/>
        </ext>
      </extLst>
    </bk>
    <bk>
      <extLst>
        <ext uri="{3e2802c4-a4d2-4d8b-9148-e3be6c30e623}">
          <xlrd:rvb i="16778"/>
        </ext>
      </extLst>
    </bk>
    <bk>
      <extLst>
        <ext uri="{3e2802c4-a4d2-4d8b-9148-e3be6c30e623}">
          <xlrd:rvb i="16779"/>
        </ext>
      </extLst>
    </bk>
    <bk>
      <extLst>
        <ext uri="{3e2802c4-a4d2-4d8b-9148-e3be6c30e623}">
          <xlrd:rvb i="16780"/>
        </ext>
      </extLst>
    </bk>
    <bk>
      <extLst>
        <ext uri="{3e2802c4-a4d2-4d8b-9148-e3be6c30e623}">
          <xlrd:rvb i="16781"/>
        </ext>
      </extLst>
    </bk>
    <bk>
      <extLst>
        <ext uri="{3e2802c4-a4d2-4d8b-9148-e3be6c30e623}">
          <xlrd:rvb i="16782"/>
        </ext>
      </extLst>
    </bk>
    <bk>
      <extLst>
        <ext uri="{3e2802c4-a4d2-4d8b-9148-e3be6c30e623}">
          <xlrd:rvb i="16783"/>
        </ext>
      </extLst>
    </bk>
    <bk>
      <extLst>
        <ext uri="{3e2802c4-a4d2-4d8b-9148-e3be6c30e623}">
          <xlrd:rvb i="16784"/>
        </ext>
      </extLst>
    </bk>
    <bk>
      <extLst>
        <ext uri="{3e2802c4-a4d2-4d8b-9148-e3be6c30e623}">
          <xlrd:rvb i="16785"/>
        </ext>
      </extLst>
    </bk>
    <bk>
      <extLst>
        <ext uri="{3e2802c4-a4d2-4d8b-9148-e3be6c30e623}">
          <xlrd:rvb i="16786"/>
        </ext>
      </extLst>
    </bk>
    <bk>
      <extLst>
        <ext uri="{3e2802c4-a4d2-4d8b-9148-e3be6c30e623}">
          <xlrd:rvb i="16787"/>
        </ext>
      </extLst>
    </bk>
    <bk>
      <extLst>
        <ext uri="{3e2802c4-a4d2-4d8b-9148-e3be6c30e623}">
          <xlrd:rvb i="16788"/>
        </ext>
      </extLst>
    </bk>
    <bk>
      <extLst>
        <ext uri="{3e2802c4-a4d2-4d8b-9148-e3be6c30e623}">
          <xlrd:rvb i="16789"/>
        </ext>
      </extLst>
    </bk>
    <bk>
      <extLst>
        <ext uri="{3e2802c4-a4d2-4d8b-9148-e3be6c30e623}">
          <xlrd:rvb i="16790"/>
        </ext>
      </extLst>
    </bk>
    <bk>
      <extLst>
        <ext uri="{3e2802c4-a4d2-4d8b-9148-e3be6c30e623}">
          <xlrd:rvb i="16791"/>
        </ext>
      </extLst>
    </bk>
    <bk>
      <extLst>
        <ext uri="{3e2802c4-a4d2-4d8b-9148-e3be6c30e623}">
          <xlrd:rvb i="16792"/>
        </ext>
      </extLst>
    </bk>
    <bk>
      <extLst>
        <ext uri="{3e2802c4-a4d2-4d8b-9148-e3be6c30e623}">
          <xlrd:rvb i="16793"/>
        </ext>
      </extLst>
    </bk>
    <bk>
      <extLst>
        <ext uri="{3e2802c4-a4d2-4d8b-9148-e3be6c30e623}">
          <xlrd:rvb i="16794"/>
        </ext>
      </extLst>
    </bk>
    <bk>
      <extLst>
        <ext uri="{3e2802c4-a4d2-4d8b-9148-e3be6c30e623}">
          <xlrd:rvb i="16795"/>
        </ext>
      </extLst>
    </bk>
    <bk>
      <extLst>
        <ext uri="{3e2802c4-a4d2-4d8b-9148-e3be6c30e623}">
          <xlrd:rvb i="16796"/>
        </ext>
      </extLst>
    </bk>
    <bk>
      <extLst>
        <ext uri="{3e2802c4-a4d2-4d8b-9148-e3be6c30e623}">
          <xlrd:rvb i="16797"/>
        </ext>
      </extLst>
    </bk>
    <bk>
      <extLst>
        <ext uri="{3e2802c4-a4d2-4d8b-9148-e3be6c30e623}">
          <xlrd:rvb i="16798"/>
        </ext>
      </extLst>
    </bk>
    <bk>
      <extLst>
        <ext uri="{3e2802c4-a4d2-4d8b-9148-e3be6c30e623}">
          <xlrd:rvb i="16799"/>
        </ext>
      </extLst>
    </bk>
    <bk>
      <extLst>
        <ext uri="{3e2802c4-a4d2-4d8b-9148-e3be6c30e623}">
          <xlrd:rvb i="16800"/>
        </ext>
      </extLst>
    </bk>
    <bk>
      <extLst>
        <ext uri="{3e2802c4-a4d2-4d8b-9148-e3be6c30e623}">
          <xlrd:rvb i="16801"/>
        </ext>
      </extLst>
    </bk>
    <bk>
      <extLst>
        <ext uri="{3e2802c4-a4d2-4d8b-9148-e3be6c30e623}">
          <xlrd:rvb i="16802"/>
        </ext>
      </extLst>
    </bk>
    <bk>
      <extLst>
        <ext uri="{3e2802c4-a4d2-4d8b-9148-e3be6c30e623}">
          <xlrd:rvb i="16803"/>
        </ext>
      </extLst>
    </bk>
    <bk>
      <extLst>
        <ext uri="{3e2802c4-a4d2-4d8b-9148-e3be6c30e623}">
          <xlrd:rvb i="16804"/>
        </ext>
      </extLst>
    </bk>
    <bk>
      <extLst>
        <ext uri="{3e2802c4-a4d2-4d8b-9148-e3be6c30e623}">
          <xlrd:rvb i="16805"/>
        </ext>
      </extLst>
    </bk>
    <bk>
      <extLst>
        <ext uri="{3e2802c4-a4d2-4d8b-9148-e3be6c30e623}">
          <xlrd:rvb i="16806"/>
        </ext>
      </extLst>
    </bk>
    <bk>
      <extLst>
        <ext uri="{3e2802c4-a4d2-4d8b-9148-e3be6c30e623}">
          <xlrd:rvb i="16807"/>
        </ext>
      </extLst>
    </bk>
    <bk>
      <extLst>
        <ext uri="{3e2802c4-a4d2-4d8b-9148-e3be6c30e623}">
          <xlrd:rvb i="16808"/>
        </ext>
      </extLst>
    </bk>
    <bk>
      <extLst>
        <ext uri="{3e2802c4-a4d2-4d8b-9148-e3be6c30e623}">
          <xlrd:rvb i="16809"/>
        </ext>
      </extLst>
    </bk>
    <bk>
      <extLst>
        <ext uri="{3e2802c4-a4d2-4d8b-9148-e3be6c30e623}">
          <xlrd:rvb i="16810"/>
        </ext>
      </extLst>
    </bk>
    <bk>
      <extLst>
        <ext uri="{3e2802c4-a4d2-4d8b-9148-e3be6c30e623}">
          <xlrd:rvb i="16811"/>
        </ext>
      </extLst>
    </bk>
    <bk>
      <extLst>
        <ext uri="{3e2802c4-a4d2-4d8b-9148-e3be6c30e623}">
          <xlrd:rvb i="16812"/>
        </ext>
      </extLst>
    </bk>
    <bk>
      <extLst>
        <ext uri="{3e2802c4-a4d2-4d8b-9148-e3be6c30e623}">
          <xlrd:rvb i="16813"/>
        </ext>
      </extLst>
    </bk>
    <bk>
      <extLst>
        <ext uri="{3e2802c4-a4d2-4d8b-9148-e3be6c30e623}">
          <xlrd:rvb i="16814"/>
        </ext>
      </extLst>
    </bk>
    <bk>
      <extLst>
        <ext uri="{3e2802c4-a4d2-4d8b-9148-e3be6c30e623}">
          <xlrd:rvb i="16815"/>
        </ext>
      </extLst>
    </bk>
    <bk>
      <extLst>
        <ext uri="{3e2802c4-a4d2-4d8b-9148-e3be6c30e623}">
          <xlrd:rvb i="16816"/>
        </ext>
      </extLst>
    </bk>
    <bk>
      <extLst>
        <ext uri="{3e2802c4-a4d2-4d8b-9148-e3be6c30e623}">
          <xlrd:rvb i="16817"/>
        </ext>
      </extLst>
    </bk>
    <bk>
      <extLst>
        <ext uri="{3e2802c4-a4d2-4d8b-9148-e3be6c30e623}">
          <xlrd:rvb i="16818"/>
        </ext>
      </extLst>
    </bk>
    <bk>
      <extLst>
        <ext uri="{3e2802c4-a4d2-4d8b-9148-e3be6c30e623}">
          <xlrd:rvb i="16819"/>
        </ext>
      </extLst>
    </bk>
    <bk>
      <extLst>
        <ext uri="{3e2802c4-a4d2-4d8b-9148-e3be6c30e623}">
          <xlrd:rvb i="16820"/>
        </ext>
      </extLst>
    </bk>
    <bk>
      <extLst>
        <ext uri="{3e2802c4-a4d2-4d8b-9148-e3be6c30e623}">
          <xlrd:rvb i="16821"/>
        </ext>
      </extLst>
    </bk>
    <bk>
      <extLst>
        <ext uri="{3e2802c4-a4d2-4d8b-9148-e3be6c30e623}">
          <xlrd:rvb i="16822"/>
        </ext>
      </extLst>
    </bk>
    <bk>
      <extLst>
        <ext uri="{3e2802c4-a4d2-4d8b-9148-e3be6c30e623}">
          <xlrd:rvb i="16823"/>
        </ext>
      </extLst>
    </bk>
    <bk>
      <extLst>
        <ext uri="{3e2802c4-a4d2-4d8b-9148-e3be6c30e623}">
          <xlrd:rvb i="16824"/>
        </ext>
      </extLst>
    </bk>
    <bk>
      <extLst>
        <ext uri="{3e2802c4-a4d2-4d8b-9148-e3be6c30e623}">
          <xlrd:rvb i="16825"/>
        </ext>
      </extLst>
    </bk>
    <bk>
      <extLst>
        <ext uri="{3e2802c4-a4d2-4d8b-9148-e3be6c30e623}">
          <xlrd:rvb i="16826"/>
        </ext>
      </extLst>
    </bk>
    <bk>
      <extLst>
        <ext uri="{3e2802c4-a4d2-4d8b-9148-e3be6c30e623}">
          <xlrd:rvb i="16827"/>
        </ext>
      </extLst>
    </bk>
    <bk>
      <extLst>
        <ext uri="{3e2802c4-a4d2-4d8b-9148-e3be6c30e623}">
          <xlrd:rvb i="16828"/>
        </ext>
      </extLst>
    </bk>
    <bk>
      <extLst>
        <ext uri="{3e2802c4-a4d2-4d8b-9148-e3be6c30e623}">
          <xlrd:rvb i="16829"/>
        </ext>
      </extLst>
    </bk>
    <bk>
      <extLst>
        <ext uri="{3e2802c4-a4d2-4d8b-9148-e3be6c30e623}">
          <xlrd:rvb i="16830"/>
        </ext>
      </extLst>
    </bk>
    <bk>
      <extLst>
        <ext uri="{3e2802c4-a4d2-4d8b-9148-e3be6c30e623}">
          <xlrd:rvb i="16831"/>
        </ext>
      </extLst>
    </bk>
    <bk>
      <extLst>
        <ext uri="{3e2802c4-a4d2-4d8b-9148-e3be6c30e623}">
          <xlrd:rvb i="16832"/>
        </ext>
      </extLst>
    </bk>
    <bk>
      <extLst>
        <ext uri="{3e2802c4-a4d2-4d8b-9148-e3be6c30e623}">
          <xlrd:rvb i="16833"/>
        </ext>
      </extLst>
    </bk>
    <bk>
      <extLst>
        <ext uri="{3e2802c4-a4d2-4d8b-9148-e3be6c30e623}">
          <xlrd:rvb i="16834"/>
        </ext>
      </extLst>
    </bk>
    <bk>
      <extLst>
        <ext uri="{3e2802c4-a4d2-4d8b-9148-e3be6c30e623}">
          <xlrd:rvb i="16835"/>
        </ext>
      </extLst>
    </bk>
    <bk>
      <extLst>
        <ext uri="{3e2802c4-a4d2-4d8b-9148-e3be6c30e623}">
          <xlrd:rvb i="16836"/>
        </ext>
      </extLst>
    </bk>
    <bk>
      <extLst>
        <ext uri="{3e2802c4-a4d2-4d8b-9148-e3be6c30e623}">
          <xlrd:rvb i="16837"/>
        </ext>
      </extLst>
    </bk>
    <bk>
      <extLst>
        <ext uri="{3e2802c4-a4d2-4d8b-9148-e3be6c30e623}">
          <xlrd:rvb i="16838"/>
        </ext>
      </extLst>
    </bk>
    <bk>
      <extLst>
        <ext uri="{3e2802c4-a4d2-4d8b-9148-e3be6c30e623}">
          <xlrd:rvb i="16839"/>
        </ext>
      </extLst>
    </bk>
    <bk>
      <extLst>
        <ext uri="{3e2802c4-a4d2-4d8b-9148-e3be6c30e623}">
          <xlrd:rvb i="16840"/>
        </ext>
      </extLst>
    </bk>
    <bk>
      <extLst>
        <ext uri="{3e2802c4-a4d2-4d8b-9148-e3be6c30e623}">
          <xlrd:rvb i="16841"/>
        </ext>
      </extLst>
    </bk>
    <bk>
      <extLst>
        <ext uri="{3e2802c4-a4d2-4d8b-9148-e3be6c30e623}">
          <xlrd:rvb i="16842"/>
        </ext>
      </extLst>
    </bk>
    <bk>
      <extLst>
        <ext uri="{3e2802c4-a4d2-4d8b-9148-e3be6c30e623}">
          <xlrd:rvb i="16843"/>
        </ext>
      </extLst>
    </bk>
    <bk>
      <extLst>
        <ext uri="{3e2802c4-a4d2-4d8b-9148-e3be6c30e623}">
          <xlrd:rvb i="16844"/>
        </ext>
      </extLst>
    </bk>
    <bk>
      <extLst>
        <ext uri="{3e2802c4-a4d2-4d8b-9148-e3be6c30e623}">
          <xlrd:rvb i="16845"/>
        </ext>
      </extLst>
    </bk>
    <bk>
      <extLst>
        <ext uri="{3e2802c4-a4d2-4d8b-9148-e3be6c30e623}">
          <xlrd:rvb i="16846"/>
        </ext>
      </extLst>
    </bk>
    <bk>
      <extLst>
        <ext uri="{3e2802c4-a4d2-4d8b-9148-e3be6c30e623}">
          <xlrd:rvb i="16847"/>
        </ext>
      </extLst>
    </bk>
    <bk>
      <extLst>
        <ext uri="{3e2802c4-a4d2-4d8b-9148-e3be6c30e623}">
          <xlrd:rvb i="16848"/>
        </ext>
      </extLst>
    </bk>
    <bk>
      <extLst>
        <ext uri="{3e2802c4-a4d2-4d8b-9148-e3be6c30e623}">
          <xlrd:rvb i="16849"/>
        </ext>
      </extLst>
    </bk>
    <bk>
      <extLst>
        <ext uri="{3e2802c4-a4d2-4d8b-9148-e3be6c30e623}">
          <xlrd:rvb i="16850"/>
        </ext>
      </extLst>
    </bk>
    <bk>
      <extLst>
        <ext uri="{3e2802c4-a4d2-4d8b-9148-e3be6c30e623}">
          <xlrd:rvb i="16851"/>
        </ext>
      </extLst>
    </bk>
    <bk>
      <extLst>
        <ext uri="{3e2802c4-a4d2-4d8b-9148-e3be6c30e623}">
          <xlrd:rvb i="16852"/>
        </ext>
      </extLst>
    </bk>
    <bk>
      <extLst>
        <ext uri="{3e2802c4-a4d2-4d8b-9148-e3be6c30e623}">
          <xlrd:rvb i="16853"/>
        </ext>
      </extLst>
    </bk>
    <bk>
      <extLst>
        <ext uri="{3e2802c4-a4d2-4d8b-9148-e3be6c30e623}">
          <xlrd:rvb i="16854"/>
        </ext>
      </extLst>
    </bk>
    <bk>
      <extLst>
        <ext uri="{3e2802c4-a4d2-4d8b-9148-e3be6c30e623}">
          <xlrd:rvb i="16855"/>
        </ext>
      </extLst>
    </bk>
    <bk>
      <extLst>
        <ext uri="{3e2802c4-a4d2-4d8b-9148-e3be6c30e623}">
          <xlrd:rvb i="16856"/>
        </ext>
      </extLst>
    </bk>
    <bk>
      <extLst>
        <ext uri="{3e2802c4-a4d2-4d8b-9148-e3be6c30e623}">
          <xlrd:rvb i="16857"/>
        </ext>
      </extLst>
    </bk>
    <bk>
      <extLst>
        <ext uri="{3e2802c4-a4d2-4d8b-9148-e3be6c30e623}">
          <xlrd:rvb i="16858"/>
        </ext>
      </extLst>
    </bk>
    <bk>
      <extLst>
        <ext uri="{3e2802c4-a4d2-4d8b-9148-e3be6c30e623}">
          <xlrd:rvb i="16859"/>
        </ext>
      </extLst>
    </bk>
    <bk>
      <extLst>
        <ext uri="{3e2802c4-a4d2-4d8b-9148-e3be6c30e623}">
          <xlrd:rvb i="16860"/>
        </ext>
      </extLst>
    </bk>
    <bk>
      <extLst>
        <ext uri="{3e2802c4-a4d2-4d8b-9148-e3be6c30e623}">
          <xlrd:rvb i="16861"/>
        </ext>
      </extLst>
    </bk>
    <bk>
      <extLst>
        <ext uri="{3e2802c4-a4d2-4d8b-9148-e3be6c30e623}">
          <xlrd:rvb i="16862"/>
        </ext>
      </extLst>
    </bk>
    <bk>
      <extLst>
        <ext uri="{3e2802c4-a4d2-4d8b-9148-e3be6c30e623}">
          <xlrd:rvb i="16863"/>
        </ext>
      </extLst>
    </bk>
    <bk>
      <extLst>
        <ext uri="{3e2802c4-a4d2-4d8b-9148-e3be6c30e623}">
          <xlrd:rvb i="16864"/>
        </ext>
      </extLst>
    </bk>
    <bk>
      <extLst>
        <ext uri="{3e2802c4-a4d2-4d8b-9148-e3be6c30e623}">
          <xlrd:rvb i="16865"/>
        </ext>
      </extLst>
    </bk>
    <bk>
      <extLst>
        <ext uri="{3e2802c4-a4d2-4d8b-9148-e3be6c30e623}">
          <xlrd:rvb i="16866"/>
        </ext>
      </extLst>
    </bk>
    <bk>
      <extLst>
        <ext uri="{3e2802c4-a4d2-4d8b-9148-e3be6c30e623}">
          <xlrd:rvb i="16867"/>
        </ext>
      </extLst>
    </bk>
    <bk>
      <extLst>
        <ext uri="{3e2802c4-a4d2-4d8b-9148-e3be6c30e623}">
          <xlrd:rvb i="16868"/>
        </ext>
      </extLst>
    </bk>
    <bk>
      <extLst>
        <ext uri="{3e2802c4-a4d2-4d8b-9148-e3be6c30e623}">
          <xlrd:rvb i="16869"/>
        </ext>
      </extLst>
    </bk>
    <bk>
      <extLst>
        <ext uri="{3e2802c4-a4d2-4d8b-9148-e3be6c30e623}">
          <xlrd:rvb i="16870"/>
        </ext>
      </extLst>
    </bk>
    <bk>
      <extLst>
        <ext uri="{3e2802c4-a4d2-4d8b-9148-e3be6c30e623}">
          <xlrd:rvb i="16871"/>
        </ext>
      </extLst>
    </bk>
    <bk>
      <extLst>
        <ext uri="{3e2802c4-a4d2-4d8b-9148-e3be6c30e623}">
          <xlrd:rvb i="16872"/>
        </ext>
      </extLst>
    </bk>
    <bk>
      <extLst>
        <ext uri="{3e2802c4-a4d2-4d8b-9148-e3be6c30e623}">
          <xlrd:rvb i="16873"/>
        </ext>
      </extLst>
    </bk>
    <bk>
      <extLst>
        <ext uri="{3e2802c4-a4d2-4d8b-9148-e3be6c30e623}">
          <xlrd:rvb i="16874"/>
        </ext>
      </extLst>
    </bk>
    <bk>
      <extLst>
        <ext uri="{3e2802c4-a4d2-4d8b-9148-e3be6c30e623}">
          <xlrd:rvb i="16875"/>
        </ext>
      </extLst>
    </bk>
    <bk>
      <extLst>
        <ext uri="{3e2802c4-a4d2-4d8b-9148-e3be6c30e623}">
          <xlrd:rvb i="16876"/>
        </ext>
      </extLst>
    </bk>
    <bk>
      <extLst>
        <ext uri="{3e2802c4-a4d2-4d8b-9148-e3be6c30e623}">
          <xlrd:rvb i="16877"/>
        </ext>
      </extLst>
    </bk>
    <bk>
      <extLst>
        <ext uri="{3e2802c4-a4d2-4d8b-9148-e3be6c30e623}">
          <xlrd:rvb i="16878"/>
        </ext>
      </extLst>
    </bk>
    <bk>
      <extLst>
        <ext uri="{3e2802c4-a4d2-4d8b-9148-e3be6c30e623}">
          <xlrd:rvb i="16879"/>
        </ext>
      </extLst>
    </bk>
    <bk>
      <extLst>
        <ext uri="{3e2802c4-a4d2-4d8b-9148-e3be6c30e623}">
          <xlrd:rvb i="16880"/>
        </ext>
      </extLst>
    </bk>
    <bk>
      <extLst>
        <ext uri="{3e2802c4-a4d2-4d8b-9148-e3be6c30e623}">
          <xlrd:rvb i="16881"/>
        </ext>
      </extLst>
    </bk>
    <bk>
      <extLst>
        <ext uri="{3e2802c4-a4d2-4d8b-9148-e3be6c30e623}">
          <xlrd:rvb i="16882"/>
        </ext>
      </extLst>
    </bk>
    <bk>
      <extLst>
        <ext uri="{3e2802c4-a4d2-4d8b-9148-e3be6c30e623}">
          <xlrd:rvb i="16883"/>
        </ext>
      </extLst>
    </bk>
    <bk>
      <extLst>
        <ext uri="{3e2802c4-a4d2-4d8b-9148-e3be6c30e623}">
          <xlrd:rvb i="16884"/>
        </ext>
      </extLst>
    </bk>
    <bk>
      <extLst>
        <ext uri="{3e2802c4-a4d2-4d8b-9148-e3be6c30e623}">
          <xlrd:rvb i="16885"/>
        </ext>
      </extLst>
    </bk>
    <bk>
      <extLst>
        <ext uri="{3e2802c4-a4d2-4d8b-9148-e3be6c30e623}">
          <xlrd:rvb i="16886"/>
        </ext>
      </extLst>
    </bk>
    <bk>
      <extLst>
        <ext uri="{3e2802c4-a4d2-4d8b-9148-e3be6c30e623}">
          <xlrd:rvb i="16887"/>
        </ext>
      </extLst>
    </bk>
    <bk>
      <extLst>
        <ext uri="{3e2802c4-a4d2-4d8b-9148-e3be6c30e623}">
          <xlrd:rvb i="16888"/>
        </ext>
      </extLst>
    </bk>
    <bk>
      <extLst>
        <ext uri="{3e2802c4-a4d2-4d8b-9148-e3be6c30e623}">
          <xlrd:rvb i="16889"/>
        </ext>
      </extLst>
    </bk>
    <bk>
      <extLst>
        <ext uri="{3e2802c4-a4d2-4d8b-9148-e3be6c30e623}">
          <xlrd:rvb i="16890"/>
        </ext>
      </extLst>
    </bk>
    <bk>
      <extLst>
        <ext uri="{3e2802c4-a4d2-4d8b-9148-e3be6c30e623}">
          <xlrd:rvb i="16891"/>
        </ext>
      </extLst>
    </bk>
    <bk>
      <extLst>
        <ext uri="{3e2802c4-a4d2-4d8b-9148-e3be6c30e623}">
          <xlrd:rvb i="16892"/>
        </ext>
      </extLst>
    </bk>
    <bk>
      <extLst>
        <ext uri="{3e2802c4-a4d2-4d8b-9148-e3be6c30e623}">
          <xlrd:rvb i="16893"/>
        </ext>
      </extLst>
    </bk>
    <bk>
      <extLst>
        <ext uri="{3e2802c4-a4d2-4d8b-9148-e3be6c30e623}">
          <xlrd:rvb i="16894"/>
        </ext>
      </extLst>
    </bk>
    <bk>
      <extLst>
        <ext uri="{3e2802c4-a4d2-4d8b-9148-e3be6c30e623}">
          <xlrd:rvb i="16895"/>
        </ext>
      </extLst>
    </bk>
    <bk>
      <extLst>
        <ext uri="{3e2802c4-a4d2-4d8b-9148-e3be6c30e623}">
          <xlrd:rvb i="16896"/>
        </ext>
      </extLst>
    </bk>
    <bk>
      <extLst>
        <ext uri="{3e2802c4-a4d2-4d8b-9148-e3be6c30e623}">
          <xlrd:rvb i="16897"/>
        </ext>
      </extLst>
    </bk>
    <bk>
      <extLst>
        <ext uri="{3e2802c4-a4d2-4d8b-9148-e3be6c30e623}">
          <xlrd:rvb i="16898"/>
        </ext>
      </extLst>
    </bk>
    <bk>
      <extLst>
        <ext uri="{3e2802c4-a4d2-4d8b-9148-e3be6c30e623}">
          <xlrd:rvb i="16899"/>
        </ext>
      </extLst>
    </bk>
    <bk>
      <extLst>
        <ext uri="{3e2802c4-a4d2-4d8b-9148-e3be6c30e623}">
          <xlrd:rvb i="16900"/>
        </ext>
      </extLst>
    </bk>
    <bk>
      <extLst>
        <ext uri="{3e2802c4-a4d2-4d8b-9148-e3be6c30e623}">
          <xlrd:rvb i="16901"/>
        </ext>
      </extLst>
    </bk>
    <bk>
      <extLst>
        <ext uri="{3e2802c4-a4d2-4d8b-9148-e3be6c30e623}">
          <xlrd:rvb i="16902"/>
        </ext>
      </extLst>
    </bk>
    <bk>
      <extLst>
        <ext uri="{3e2802c4-a4d2-4d8b-9148-e3be6c30e623}">
          <xlrd:rvb i="16903"/>
        </ext>
      </extLst>
    </bk>
    <bk>
      <extLst>
        <ext uri="{3e2802c4-a4d2-4d8b-9148-e3be6c30e623}">
          <xlrd:rvb i="16904"/>
        </ext>
      </extLst>
    </bk>
    <bk>
      <extLst>
        <ext uri="{3e2802c4-a4d2-4d8b-9148-e3be6c30e623}">
          <xlrd:rvb i="16905"/>
        </ext>
      </extLst>
    </bk>
    <bk>
      <extLst>
        <ext uri="{3e2802c4-a4d2-4d8b-9148-e3be6c30e623}">
          <xlrd:rvb i="16906"/>
        </ext>
      </extLst>
    </bk>
    <bk>
      <extLst>
        <ext uri="{3e2802c4-a4d2-4d8b-9148-e3be6c30e623}">
          <xlrd:rvb i="16907"/>
        </ext>
      </extLst>
    </bk>
    <bk>
      <extLst>
        <ext uri="{3e2802c4-a4d2-4d8b-9148-e3be6c30e623}">
          <xlrd:rvb i="16908"/>
        </ext>
      </extLst>
    </bk>
    <bk>
      <extLst>
        <ext uri="{3e2802c4-a4d2-4d8b-9148-e3be6c30e623}">
          <xlrd:rvb i="16909"/>
        </ext>
      </extLst>
    </bk>
    <bk>
      <extLst>
        <ext uri="{3e2802c4-a4d2-4d8b-9148-e3be6c30e623}">
          <xlrd:rvb i="16910"/>
        </ext>
      </extLst>
    </bk>
    <bk>
      <extLst>
        <ext uri="{3e2802c4-a4d2-4d8b-9148-e3be6c30e623}">
          <xlrd:rvb i="16911"/>
        </ext>
      </extLst>
    </bk>
    <bk>
      <extLst>
        <ext uri="{3e2802c4-a4d2-4d8b-9148-e3be6c30e623}">
          <xlrd:rvb i="16912"/>
        </ext>
      </extLst>
    </bk>
    <bk>
      <extLst>
        <ext uri="{3e2802c4-a4d2-4d8b-9148-e3be6c30e623}">
          <xlrd:rvb i="16913"/>
        </ext>
      </extLst>
    </bk>
    <bk>
      <extLst>
        <ext uri="{3e2802c4-a4d2-4d8b-9148-e3be6c30e623}">
          <xlrd:rvb i="16914"/>
        </ext>
      </extLst>
    </bk>
    <bk>
      <extLst>
        <ext uri="{3e2802c4-a4d2-4d8b-9148-e3be6c30e623}">
          <xlrd:rvb i="16915"/>
        </ext>
      </extLst>
    </bk>
    <bk>
      <extLst>
        <ext uri="{3e2802c4-a4d2-4d8b-9148-e3be6c30e623}">
          <xlrd:rvb i="16916"/>
        </ext>
      </extLst>
    </bk>
    <bk>
      <extLst>
        <ext uri="{3e2802c4-a4d2-4d8b-9148-e3be6c30e623}">
          <xlrd:rvb i="16917"/>
        </ext>
      </extLst>
    </bk>
    <bk>
      <extLst>
        <ext uri="{3e2802c4-a4d2-4d8b-9148-e3be6c30e623}">
          <xlrd:rvb i="16918"/>
        </ext>
      </extLst>
    </bk>
    <bk>
      <extLst>
        <ext uri="{3e2802c4-a4d2-4d8b-9148-e3be6c30e623}">
          <xlrd:rvb i="16919"/>
        </ext>
      </extLst>
    </bk>
    <bk>
      <extLst>
        <ext uri="{3e2802c4-a4d2-4d8b-9148-e3be6c30e623}">
          <xlrd:rvb i="16920"/>
        </ext>
      </extLst>
    </bk>
    <bk>
      <extLst>
        <ext uri="{3e2802c4-a4d2-4d8b-9148-e3be6c30e623}">
          <xlrd:rvb i="16921"/>
        </ext>
      </extLst>
    </bk>
    <bk>
      <extLst>
        <ext uri="{3e2802c4-a4d2-4d8b-9148-e3be6c30e623}">
          <xlrd:rvb i="16922"/>
        </ext>
      </extLst>
    </bk>
    <bk>
      <extLst>
        <ext uri="{3e2802c4-a4d2-4d8b-9148-e3be6c30e623}">
          <xlrd:rvb i="16923"/>
        </ext>
      </extLst>
    </bk>
    <bk>
      <extLst>
        <ext uri="{3e2802c4-a4d2-4d8b-9148-e3be6c30e623}">
          <xlrd:rvb i="16924"/>
        </ext>
      </extLst>
    </bk>
    <bk>
      <extLst>
        <ext uri="{3e2802c4-a4d2-4d8b-9148-e3be6c30e623}">
          <xlrd:rvb i="16925"/>
        </ext>
      </extLst>
    </bk>
    <bk>
      <extLst>
        <ext uri="{3e2802c4-a4d2-4d8b-9148-e3be6c30e623}">
          <xlrd:rvb i="16926"/>
        </ext>
      </extLst>
    </bk>
    <bk>
      <extLst>
        <ext uri="{3e2802c4-a4d2-4d8b-9148-e3be6c30e623}">
          <xlrd:rvb i="16927"/>
        </ext>
      </extLst>
    </bk>
    <bk>
      <extLst>
        <ext uri="{3e2802c4-a4d2-4d8b-9148-e3be6c30e623}">
          <xlrd:rvb i="16928"/>
        </ext>
      </extLst>
    </bk>
    <bk>
      <extLst>
        <ext uri="{3e2802c4-a4d2-4d8b-9148-e3be6c30e623}">
          <xlrd:rvb i="16929"/>
        </ext>
      </extLst>
    </bk>
    <bk>
      <extLst>
        <ext uri="{3e2802c4-a4d2-4d8b-9148-e3be6c30e623}">
          <xlrd:rvb i="16930"/>
        </ext>
      </extLst>
    </bk>
    <bk>
      <extLst>
        <ext uri="{3e2802c4-a4d2-4d8b-9148-e3be6c30e623}">
          <xlrd:rvb i="16931"/>
        </ext>
      </extLst>
    </bk>
    <bk>
      <extLst>
        <ext uri="{3e2802c4-a4d2-4d8b-9148-e3be6c30e623}">
          <xlrd:rvb i="16932"/>
        </ext>
      </extLst>
    </bk>
    <bk>
      <extLst>
        <ext uri="{3e2802c4-a4d2-4d8b-9148-e3be6c30e623}">
          <xlrd:rvb i="16933"/>
        </ext>
      </extLst>
    </bk>
    <bk>
      <extLst>
        <ext uri="{3e2802c4-a4d2-4d8b-9148-e3be6c30e623}">
          <xlrd:rvb i="16934"/>
        </ext>
      </extLst>
    </bk>
    <bk>
      <extLst>
        <ext uri="{3e2802c4-a4d2-4d8b-9148-e3be6c30e623}">
          <xlrd:rvb i="16935"/>
        </ext>
      </extLst>
    </bk>
    <bk>
      <extLst>
        <ext uri="{3e2802c4-a4d2-4d8b-9148-e3be6c30e623}">
          <xlrd:rvb i="16936"/>
        </ext>
      </extLst>
    </bk>
    <bk>
      <extLst>
        <ext uri="{3e2802c4-a4d2-4d8b-9148-e3be6c30e623}">
          <xlrd:rvb i="16937"/>
        </ext>
      </extLst>
    </bk>
    <bk>
      <extLst>
        <ext uri="{3e2802c4-a4d2-4d8b-9148-e3be6c30e623}">
          <xlrd:rvb i="16938"/>
        </ext>
      </extLst>
    </bk>
    <bk>
      <extLst>
        <ext uri="{3e2802c4-a4d2-4d8b-9148-e3be6c30e623}">
          <xlrd:rvb i="16939"/>
        </ext>
      </extLst>
    </bk>
    <bk>
      <extLst>
        <ext uri="{3e2802c4-a4d2-4d8b-9148-e3be6c30e623}">
          <xlrd:rvb i="16940"/>
        </ext>
      </extLst>
    </bk>
    <bk>
      <extLst>
        <ext uri="{3e2802c4-a4d2-4d8b-9148-e3be6c30e623}">
          <xlrd:rvb i="16941"/>
        </ext>
      </extLst>
    </bk>
    <bk>
      <extLst>
        <ext uri="{3e2802c4-a4d2-4d8b-9148-e3be6c30e623}">
          <xlrd:rvb i="16942"/>
        </ext>
      </extLst>
    </bk>
    <bk>
      <extLst>
        <ext uri="{3e2802c4-a4d2-4d8b-9148-e3be6c30e623}">
          <xlrd:rvb i="16943"/>
        </ext>
      </extLst>
    </bk>
    <bk>
      <extLst>
        <ext uri="{3e2802c4-a4d2-4d8b-9148-e3be6c30e623}">
          <xlrd:rvb i="16944"/>
        </ext>
      </extLst>
    </bk>
    <bk>
      <extLst>
        <ext uri="{3e2802c4-a4d2-4d8b-9148-e3be6c30e623}">
          <xlrd:rvb i="16945"/>
        </ext>
      </extLst>
    </bk>
    <bk>
      <extLst>
        <ext uri="{3e2802c4-a4d2-4d8b-9148-e3be6c30e623}">
          <xlrd:rvb i="16946"/>
        </ext>
      </extLst>
    </bk>
    <bk>
      <extLst>
        <ext uri="{3e2802c4-a4d2-4d8b-9148-e3be6c30e623}">
          <xlrd:rvb i="16947"/>
        </ext>
      </extLst>
    </bk>
    <bk>
      <extLst>
        <ext uri="{3e2802c4-a4d2-4d8b-9148-e3be6c30e623}">
          <xlrd:rvb i="16948"/>
        </ext>
      </extLst>
    </bk>
    <bk>
      <extLst>
        <ext uri="{3e2802c4-a4d2-4d8b-9148-e3be6c30e623}">
          <xlrd:rvb i="16949"/>
        </ext>
      </extLst>
    </bk>
    <bk>
      <extLst>
        <ext uri="{3e2802c4-a4d2-4d8b-9148-e3be6c30e623}">
          <xlrd:rvb i="16950"/>
        </ext>
      </extLst>
    </bk>
    <bk>
      <extLst>
        <ext uri="{3e2802c4-a4d2-4d8b-9148-e3be6c30e623}">
          <xlrd:rvb i="16951"/>
        </ext>
      </extLst>
    </bk>
    <bk>
      <extLst>
        <ext uri="{3e2802c4-a4d2-4d8b-9148-e3be6c30e623}">
          <xlrd:rvb i="16952"/>
        </ext>
      </extLst>
    </bk>
    <bk>
      <extLst>
        <ext uri="{3e2802c4-a4d2-4d8b-9148-e3be6c30e623}">
          <xlrd:rvb i="16953"/>
        </ext>
      </extLst>
    </bk>
    <bk>
      <extLst>
        <ext uri="{3e2802c4-a4d2-4d8b-9148-e3be6c30e623}">
          <xlrd:rvb i="16954"/>
        </ext>
      </extLst>
    </bk>
    <bk>
      <extLst>
        <ext uri="{3e2802c4-a4d2-4d8b-9148-e3be6c30e623}">
          <xlrd:rvb i="16955"/>
        </ext>
      </extLst>
    </bk>
    <bk>
      <extLst>
        <ext uri="{3e2802c4-a4d2-4d8b-9148-e3be6c30e623}">
          <xlrd:rvb i="16956"/>
        </ext>
      </extLst>
    </bk>
    <bk>
      <extLst>
        <ext uri="{3e2802c4-a4d2-4d8b-9148-e3be6c30e623}">
          <xlrd:rvb i="16957"/>
        </ext>
      </extLst>
    </bk>
    <bk>
      <extLst>
        <ext uri="{3e2802c4-a4d2-4d8b-9148-e3be6c30e623}">
          <xlrd:rvb i="16958"/>
        </ext>
      </extLst>
    </bk>
    <bk>
      <extLst>
        <ext uri="{3e2802c4-a4d2-4d8b-9148-e3be6c30e623}">
          <xlrd:rvb i="16959"/>
        </ext>
      </extLst>
    </bk>
    <bk>
      <extLst>
        <ext uri="{3e2802c4-a4d2-4d8b-9148-e3be6c30e623}">
          <xlrd:rvb i="16960"/>
        </ext>
      </extLst>
    </bk>
    <bk>
      <extLst>
        <ext uri="{3e2802c4-a4d2-4d8b-9148-e3be6c30e623}">
          <xlrd:rvb i="16961"/>
        </ext>
      </extLst>
    </bk>
    <bk>
      <extLst>
        <ext uri="{3e2802c4-a4d2-4d8b-9148-e3be6c30e623}">
          <xlrd:rvb i="16962"/>
        </ext>
      </extLst>
    </bk>
    <bk>
      <extLst>
        <ext uri="{3e2802c4-a4d2-4d8b-9148-e3be6c30e623}">
          <xlrd:rvb i="16963"/>
        </ext>
      </extLst>
    </bk>
    <bk>
      <extLst>
        <ext uri="{3e2802c4-a4d2-4d8b-9148-e3be6c30e623}">
          <xlrd:rvb i="16964"/>
        </ext>
      </extLst>
    </bk>
    <bk>
      <extLst>
        <ext uri="{3e2802c4-a4d2-4d8b-9148-e3be6c30e623}">
          <xlrd:rvb i="16965"/>
        </ext>
      </extLst>
    </bk>
    <bk>
      <extLst>
        <ext uri="{3e2802c4-a4d2-4d8b-9148-e3be6c30e623}">
          <xlrd:rvb i="16966"/>
        </ext>
      </extLst>
    </bk>
    <bk>
      <extLst>
        <ext uri="{3e2802c4-a4d2-4d8b-9148-e3be6c30e623}">
          <xlrd:rvb i="16967"/>
        </ext>
      </extLst>
    </bk>
    <bk>
      <extLst>
        <ext uri="{3e2802c4-a4d2-4d8b-9148-e3be6c30e623}">
          <xlrd:rvb i="16968"/>
        </ext>
      </extLst>
    </bk>
    <bk>
      <extLst>
        <ext uri="{3e2802c4-a4d2-4d8b-9148-e3be6c30e623}">
          <xlrd:rvb i="16969"/>
        </ext>
      </extLst>
    </bk>
    <bk>
      <extLst>
        <ext uri="{3e2802c4-a4d2-4d8b-9148-e3be6c30e623}">
          <xlrd:rvb i="16970"/>
        </ext>
      </extLst>
    </bk>
    <bk>
      <extLst>
        <ext uri="{3e2802c4-a4d2-4d8b-9148-e3be6c30e623}">
          <xlrd:rvb i="16971"/>
        </ext>
      </extLst>
    </bk>
    <bk>
      <extLst>
        <ext uri="{3e2802c4-a4d2-4d8b-9148-e3be6c30e623}">
          <xlrd:rvb i="16972"/>
        </ext>
      </extLst>
    </bk>
    <bk>
      <extLst>
        <ext uri="{3e2802c4-a4d2-4d8b-9148-e3be6c30e623}">
          <xlrd:rvb i="16973"/>
        </ext>
      </extLst>
    </bk>
    <bk>
      <extLst>
        <ext uri="{3e2802c4-a4d2-4d8b-9148-e3be6c30e623}">
          <xlrd:rvb i="16974"/>
        </ext>
      </extLst>
    </bk>
    <bk>
      <extLst>
        <ext uri="{3e2802c4-a4d2-4d8b-9148-e3be6c30e623}">
          <xlrd:rvb i="16975"/>
        </ext>
      </extLst>
    </bk>
    <bk>
      <extLst>
        <ext uri="{3e2802c4-a4d2-4d8b-9148-e3be6c30e623}">
          <xlrd:rvb i="16976"/>
        </ext>
      </extLst>
    </bk>
    <bk>
      <extLst>
        <ext uri="{3e2802c4-a4d2-4d8b-9148-e3be6c30e623}">
          <xlrd:rvb i="16977"/>
        </ext>
      </extLst>
    </bk>
    <bk>
      <extLst>
        <ext uri="{3e2802c4-a4d2-4d8b-9148-e3be6c30e623}">
          <xlrd:rvb i="16978"/>
        </ext>
      </extLst>
    </bk>
    <bk>
      <extLst>
        <ext uri="{3e2802c4-a4d2-4d8b-9148-e3be6c30e623}">
          <xlrd:rvb i="16979"/>
        </ext>
      </extLst>
    </bk>
    <bk>
      <extLst>
        <ext uri="{3e2802c4-a4d2-4d8b-9148-e3be6c30e623}">
          <xlrd:rvb i="16980"/>
        </ext>
      </extLst>
    </bk>
    <bk>
      <extLst>
        <ext uri="{3e2802c4-a4d2-4d8b-9148-e3be6c30e623}">
          <xlrd:rvb i="16981"/>
        </ext>
      </extLst>
    </bk>
    <bk>
      <extLst>
        <ext uri="{3e2802c4-a4d2-4d8b-9148-e3be6c30e623}">
          <xlrd:rvb i="16982"/>
        </ext>
      </extLst>
    </bk>
    <bk>
      <extLst>
        <ext uri="{3e2802c4-a4d2-4d8b-9148-e3be6c30e623}">
          <xlrd:rvb i="16983"/>
        </ext>
      </extLst>
    </bk>
    <bk>
      <extLst>
        <ext uri="{3e2802c4-a4d2-4d8b-9148-e3be6c30e623}">
          <xlrd:rvb i="16984"/>
        </ext>
      </extLst>
    </bk>
    <bk>
      <extLst>
        <ext uri="{3e2802c4-a4d2-4d8b-9148-e3be6c30e623}">
          <xlrd:rvb i="16985"/>
        </ext>
      </extLst>
    </bk>
    <bk>
      <extLst>
        <ext uri="{3e2802c4-a4d2-4d8b-9148-e3be6c30e623}">
          <xlrd:rvb i="16986"/>
        </ext>
      </extLst>
    </bk>
    <bk>
      <extLst>
        <ext uri="{3e2802c4-a4d2-4d8b-9148-e3be6c30e623}">
          <xlrd:rvb i="16987"/>
        </ext>
      </extLst>
    </bk>
    <bk>
      <extLst>
        <ext uri="{3e2802c4-a4d2-4d8b-9148-e3be6c30e623}">
          <xlrd:rvb i="16988"/>
        </ext>
      </extLst>
    </bk>
    <bk>
      <extLst>
        <ext uri="{3e2802c4-a4d2-4d8b-9148-e3be6c30e623}">
          <xlrd:rvb i="16989"/>
        </ext>
      </extLst>
    </bk>
    <bk>
      <extLst>
        <ext uri="{3e2802c4-a4d2-4d8b-9148-e3be6c30e623}">
          <xlrd:rvb i="16990"/>
        </ext>
      </extLst>
    </bk>
    <bk>
      <extLst>
        <ext uri="{3e2802c4-a4d2-4d8b-9148-e3be6c30e623}">
          <xlrd:rvb i="16991"/>
        </ext>
      </extLst>
    </bk>
    <bk>
      <extLst>
        <ext uri="{3e2802c4-a4d2-4d8b-9148-e3be6c30e623}">
          <xlrd:rvb i="16992"/>
        </ext>
      </extLst>
    </bk>
    <bk>
      <extLst>
        <ext uri="{3e2802c4-a4d2-4d8b-9148-e3be6c30e623}">
          <xlrd:rvb i="16993"/>
        </ext>
      </extLst>
    </bk>
    <bk>
      <extLst>
        <ext uri="{3e2802c4-a4d2-4d8b-9148-e3be6c30e623}">
          <xlrd:rvb i="16994"/>
        </ext>
      </extLst>
    </bk>
    <bk>
      <extLst>
        <ext uri="{3e2802c4-a4d2-4d8b-9148-e3be6c30e623}">
          <xlrd:rvb i="16995"/>
        </ext>
      </extLst>
    </bk>
    <bk>
      <extLst>
        <ext uri="{3e2802c4-a4d2-4d8b-9148-e3be6c30e623}">
          <xlrd:rvb i="16996"/>
        </ext>
      </extLst>
    </bk>
    <bk>
      <extLst>
        <ext uri="{3e2802c4-a4d2-4d8b-9148-e3be6c30e623}">
          <xlrd:rvb i="16997"/>
        </ext>
      </extLst>
    </bk>
    <bk>
      <extLst>
        <ext uri="{3e2802c4-a4d2-4d8b-9148-e3be6c30e623}">
          <xlrd:rvb i="16998"/>
        </ext>
      </extLst>
    </bk>
    <bk>
      <extLst>
        <ext uri="{3e2802c4-a4d2-4d8b-9148-e3be6c30e623}">
          <xlrd:rvb i="16999"/>
        </ext>
      </extLst>
    </bk>
    <bk>
      <extLst>
        <ext uri="{3e2802c4-a4d2-4d8b-9148-e3be6c30e623}">
          <xlrd:rvb i="17000"/>
        </ext>
      </extLst>
    </bk>
    <bk>
      <extLst>
        <ext uri="{3e2802c4-a4d2-4d8b-9148-e3be6c30e623}">
          <xlrd:rvb i="17001"/>
        </ext>
      </extLst>
    </bk>
    <bk>
      <extLst>
        <ext uri="{3e2802c4-a4d2-4d8b-9148-e3be6c30e623}">
          <xlrd:rvb i="17002"/>
        </ext>
      </extLst>
    </bk>
    <bk>
      <extLst>
        <ext uri="{3e2802c4-a4d2-4d8b-9148-e3be6c30e623}">
          <xlrd:rvb i="17003"/>
        </ext>
      </extLst>
    </bk>
    <bk>
      <extLst>
        <ext uri="{3e2802c4-a4d2-4d8b-9148-e3be6c30e623}">
          <xlrd:rvb i="17004"/>
        </ext>
      </extLst>
    </bk>
    <bk>
      <extLst>
        <ext uri="{3e2802c4-a4d2-4d8b-9148-e3be6c30e623}">
          <xlrd:rvb i="17005"/>
        </ext>
      </extLst>
    </bk>
    <bk>
      <extLst>
        <ext uri="{3e2802c4-a4d2-4d8b-9148-e3be6c30e623}">
          <xlrd:rvb i="17006"/>
        </ext>
      </extLst>
    </bk>
    <bk>
      <extLst>
        <ext uri="{3e2802c4-a4d2-4d8b-9148-e3be6c30e623}">
          <xlrd:rvb i="17007"/>
        </ext>
      </extLst>
    </bk>
    <bk>
      <extLst>
        <ext uri="{3e2802c4-a4d2-4d8b-9148-e3be6c30e623}">
          <xlrd:rvb i="17008"/>
        </ext>
      </extLst>
    </bk>
    <bk>
      <extLst>
        <ext uri="{3e2802c4-a4d2-4d8b-9148-e3be6c30e623}">
          <xlrd:rvb i="17009"/>
        </ext>
      </extLst>
    </bk>
    <bk>
      <extLst>
        <ext uri="{3e2802c4-a4d2-4d8b-9148-e3be6c30e623}">
          <xlrd:rvb i="17010"/>
        </ext>
      </extLst>
    </bk>
    <bk>
      <extLst>
        <ext uri="{3e2802c4-a4d2-4d8b-9148-e3be6c30e623}">
          <xlrd:rvb i="17011"/>
        </ext>
      </extLst>
    </bk>
    <bk>
      <extLst>
        <ext uri="{3e2802c4-a4d2-4d8b-9148-e3be6c30e623}">
          <xlrd:rvb i="17012"/>
        </ext>
      </extLst>
    </bk>
    <bk>
      <extLst>
        <ext uri="{3e2802c4-a4d2-4d8b-9148-e3be6c30e623}">
          <xlrd:rvb i="17013"/>
        </ext>
      </extLst>
    </bk>
    <bk>
      <extLst>
        <ext uri="{3e2802c4-a4d2-4d8b-9148-e3be6c30e623}">
          <xlrd:rvb i="17014"/>
        </ext>
      </extLst>
    </bk>
    <bk>
      <extLst>
        <ext uri="{3e2802c4-a4d2-4d8b-9148-e3be6c30e623}">
          <xlrd:rvb i="17015"/>
        </ext>
      </extLst>
    </bk>
    <bk>
      <extLst>
        <ext uri="{3e2802c4-a4d2-4d8b-9148-e3be6c30e623}">
          <xlrd:rvb i="17016"/>
        </ext>
      </extLst>
    </bk>
    <bk>
      <extLst>
        <ext uri="{3e2802c4-a4d2-4d8b-9148-e3be6c30e623}">
          <xlrd:rvb i="17017"/>
        </ext>
      </extLst>
    </bk>
    <bk>
      <extLst>
        <ext uri="{3e2802c4-a4d2-4d8b-9148-e3be6c30e623}">
          <xlrd:rvb i="17018"/>
        </ext>
      </extLst>
    </bk>
    <bk>
      <extLst>
        <ext uri="{3e2802c4-a4d2-4d8b-9148-e3be6c30e623}">
          <xlrd:rvb i="17019"/>
        </ext>
      </extLst>
    </bk>
    <bk>
      <extLst>
        <ext uri="{3e2802c4-a4d2-4d8b-9148-e3be6c30e623}">
          <xlrd:rvb i="17020"/>
        </ext>
      </extLst>
    </bk>
    <bk>
      <extLst>
        <ext uri="{3e2802c4-a4d2-4d8b-9148-e3be6c30e623}">
          <xlrd:rvb i="17021"/>
        </ext>
      </extLst>
    </bk>
    <bk>
      <extLst>
        <ext uri="{3e2802c4-a4d2-4d8b-9148-e3be6c30e623}">
          <xlrd:rvb i="17022"/>
        </ext>
      </extLst>
    </bk>
    <bk>
      <extLst>
        <ext uri="{3e2802c4-a4d2-4d8b-9148-e3be6c30e623}">
          <xlrd:rvb i="17023"/>
        </ext>
      </extLst>
    </bk>
    <bk>
      <extLst>
        <ext uri="{3e2802c4-a4d2-4d8b-9148-e3be6c30e623}">
          <xlrd:rvb i="17024"/>
        </ext>
      </extLst>
    </bk>
    <bk>
      <extLst>
        <ext uri="{3e2802c4-a4d2-4d8b-9148-e3be6c30e623}">
          <xlrd:rvb i="17025"/>
        </ext>
      </extLst>
    </bk>
    <bk>
      <extLst>
        <ext uri="{3e2802c4-a4d2-4d8b-9148-e3be6c30e623}">
          <xlrd:rvb i="17026"/>
        </ext>
      </extLst>
    </bk>
    <bk>
      <extLst>
        <ext uri="{3e2802c4-a4d2-4d8b-9148-e3be6c30e623}">
          <xlrd:rvb i="17027"/>
        </ext>
      </extLst>
    </bk>
    <bk>
      <extLst>
        <ext uri="{3e2802c4-a4d2-4d8b-9148-e3be6c30e623}">
          <xlrd:rvb i="17028"/>
        </ext>
      </extLst>
    </bk>
    <bk>
      <extLst>
        <ext uri="{3e2802c4-a4d2-4d8b-9148-e3be6c30e623}">
          <xlrd:rvb i="17029"/>
        </ext>
      </extLst>
    </bk>
    <bk>
      <extLst>
        <ext uri="{3e2802c4-a4d2-4d8b-9148-e3be6c30e623}">
          <xlrd:rvb i="17030"/>
        </ext>
      </extLst>
    </bk>
    <bk>
      <extLst>
        <ext uri="{3e2802c4-a4d2-4d8b-9148-e3be6c30e623}">
          <xlrd:rvb i="17031"/>
        </ext>
      </extLst>
    </bk>
    <bk>
      <extLst>
        <ext uri="{3e2802c4-a4d2-4d8b-9148-e3be6c30e623}">
          <xlrd:rvb i="17032"/>
        </ext>
      </extLst>
    </bk>
    <bk>
      <extLst>
        <ext uri="{3e2802c4-a4d2-4d8b-9148-e3be6c30e623}">
          <xlrd:rvb i="17033"/>
        </ext>
      </extLst>
    </bk>
    <bk>
      <extLst>
        <ext uri="{3e2802c4-a4d2-4d8b-9148-e3be6c30e623}">
          <xlrd:rvb i="17034"/>
        </ext>
      </extLst>
    </bk>
    <bk>
      <extLst>
        <ext uri="{3e2802c4-a4d2-4d8b-9148-e3be6c30e623}">
          <xlrd:rvb i="17035"/>
        </ext>
      </extLst>
    </bk>
    <bk>
      <extLst>
        <ext uri="{3e2802c4-a4d2-4d8b-9148-e3be6c30e623}">
          <xlrd:rvb i="17036"/>
        </ext>
      </extLst>
    </bk>
    <bk>
      <extLst>
        <ext uri="{3e2802c4-a4d2-4d8b-9148-e3be6c30e623}">
          <xlrd:rvb i="17037"/>
        </ext>
      </extLst>
    </bk>
    <bk>
      <extLst>
        <ext uri="{3e2802c4-a4d2-4d8b-9148-e3be6c30e623}">
          <xlrd:rvb i="17038"/>
        </ext>
      </extLst>
    </bk>
    <bk>
      <extLst>
        <ext uri="{3e2802c4-a4d2-4d8b-9148-e3be6c30e623}">
          <xlrd:rvb i="17039"/>
        </ext>
      </extLst>
    </bk>
    <bk>
      <extLst>
        <ext uri="{3e2802c4-a4d2-4d8b-9148-e3be6c30e623}">
          <xlrd:rvb i="17040"/>
        </ext>
      </extLst>
    </bk>
    <bk>
      <extLst>
        <ext uri="{3e2802c4-a4d2-4d8b-9148-e3be6c30e623}">
          <xlrd:rvb i="17041"/>
        </ext>
      </extLst>
    </bk>
    <bk>
      <extLst>
        <ext uri="{3e2802c4-a4d2-4d8b-9148-e3be6c30e623}">
          <xlrd:rvb i="17042"/>
        </ext>
      </extLst>
    </bk>
    <bk>
      <extLst>
        <ext uri="{3e2802c4-a4d2-4d8b-9148-e3be6c30e623}">
          <xlrd:rvb i="17043"/>
        </ext>
      </extLst>
    </bk>
    <bk>
      <extLst>
        <ext uri="{3e2802c4-a4d2-4d8b-9148-e3be6c30e623}">
          <xlrd:rvb i="17044"/>
        </ext>
      </extLst>
    </bk>
    <bk>
      <extLst>
        <ext uri="{3e2802c4-a4d2-4d8b-9148-e3be6c30e623}">
          <xlrd:rvb i="17045"/>
        </ext>
      </extLst>
    </bk>
    <bk>
      <extLst>
        <ext uri="{3e2802c4-a4d2-4d8b-9148-e3be6c30e623}">
          <xlrd:rvb i="17046"/>
        </ext>
      </extLst>
    </bk>
    <bk>
      <extLst>
        <ext uri="{3e2802c4-a4d2-4d8b-9148-e3be6c30e623}">
          <xlrd:rvb i="17047"/>
        </ext>
      </extLst>
    </bk>
    <bk>
      <extLst>
        <ext uri="{3e2802c4-a4d2-4d8b-9148-e3be6c30e623}">
          <xlrd:rvb i="17048"/>
        </ext>
      </extLst>
    </bk>
    <bk>
      <extLst>
        <ext uri="{3e2802c4-a4d2-4d8b-9148-e3be6c30e623}">
          <xlrd:rvb i="17049"/>
        </ext>
      </extLst>
    </bk>
    <bk>
      <extLst>
        <ext uri="{3e2802c4-a4d2-4d8b-9148-e3be6c30e623}">
          <xlrd:rvb i="17050"/>
        </ext>
      </extLst>
    </bk>
    <bk>
      <extLst>
        <ext uri="{3e2802c4-a4d2-4d8b-9148-e3be6c30e623}">
          <xlrd:rvb i="17051"/>
        </ext>
      </extLst>
    </bk>
    <bk>
      <extLst>
        <ext uri="{3e2802c4-a4d2-4d8b-9148-e3be6c30e623}">
          <xlrd:rvb i="17052"/>
        </ext>
      </extLst>
    </bk>
    <bk>
      <extLst>
        <ext uri="{3e2802c4-a4d2-4d8b-9148-e3be6c30e623}">
          <xlrd:rvb i="17053"/>
        </ext>
      </extLst>
    </bk>
    <bk>
      <extLst>
        <ext uri="{3e2802c4-a4d2-4d8b-9148-e3be6c30e623}">
          <xlrd:rvb i="17054"/>
        </ext>
      </extLst>
    </bk>
    <bk>
      <extLst>
        <ext uri="{3e2802c4-a4d2-4d8b-9148-e3be6c30e623}">
          <xlrd:rvb i="17055"/>
        </ext>
      </extLst>
    </bk>
    <bk>
      <extLst>
        <ext uri="{3e2802c4-a4d2-4d8b-9148-e3be6c30e623}">
          <xlrd:rvb i="17056"/>
        </ext>
      </extLst>
    </bk>
    <bk>
      <extLst>
        <ext uri="{3e2802c4-a4d2-4d8b-9148-e3be6c30e623}">
          <xlrd:rvb i="17057"/>
        </ext>
      </extLst>
    </bk>
    <bk>
      <extLst>
        <ext uri="{3e2802c4-a4d2-4d8b-9148-e3be6c30e623}">
          <xlrd:rvb i="17058"/>
        </ext>
      </extLst>
    </bk>
    <bk>
      <extLst>
        <ext uri="{3e2802c4-a4d2-4d8b-9148-e3be6c30e623}">
          <xlrd:rvb i="17059"/>
        </ext>
      </extLst>
    </bk>
    <bk>
      <extLst>
        <ext uri="{3e2802c4-a4d2-4d8b-9148-e3be6c30e623}">
          <xlrd:rvb i="17060"/>
        </ext>
      </extLst>
    </bk>
    <bk>
      <extLst>
        <ext uri="{3e2802c4-a4d2-4d8b-9148-e3be6c30e623}">
          <xlrd:rvb i="17061"/>
        </ext>
      </extLst>
    </bk>
    <bk>
      <extLst>
        <ext uri="{3e2802c4-a4d2-4d8b-9148-e3be6c30e623}">
          <xlrd:rvb i="17062"/>
        </ext>
      </extLst>
    </bk>
    <bk>
      <extLst>
        <ext uri="{3e2802c4-a4d2-4d8b-9148-e3be6c30e623}">
          <xlrd:rvb i="17063"/>
        </ext>
      </extLst>
    </bk>
    <bk>
      <extLst>
        <ext uri="{3e2802c4-a4d2-4d8b-9148-e3be6c30e623}">
          <xlrd:rvb i="17064"/>
        </ext>
      </extLst>
    </bk>
    <bk>
      <extLst>
        <ext uri="{3e2802c4-a4d2-4d8b-9148-e3be6c30e623}">
          <xlrd:rvb i="17065"/>
        </ext>
      </extLst>
    </bk>
    <bk>
      <extLst>
        <ext uri="{3e2802c4-a4d2-4d8b-9148-e3be6c30e623}">
          <xlrd:rvb i="17066"/>
        </ext>
      </extLst>
    </bk>
    <bk>
      <extLst>
        <ext uri="{3e2802c4-a4d2-4d8b-9148-e3be6c30e623}">
          <xlrd:rvb i="17067"/>
        </ext>
      </extLst>
    </bk>
    <bk>
      <extLst>
        <ext uri="{3e2802c4-a4d2-4d8b-9148-e3be6c30e623}">
          <xlrd:rvb i="17068"/>
        </ext>
      </extLst>
    </bk>
    <bk>
      <extLst>
        <ext uri="{3e2802c4-a4d2-4d8b-9148-e3be6c30e623}">
          <xlrd:rvb i="17069"/>
        </ext>
      </extLst>
    </bk>
    <bk>
      <extLst>
        <ext uri="{3e2802c4-a4d2-4d8b-9148-e3be6c30e623}">
          <xlrd:rvb i="17070"/>
        </ext>
      </extLst>
    </bk>
    <bk>
      <extLst>
        <ext uri="{3e2802c4-a4d2-4d8b-9148-e3be6c30e623}">
          <xlrd:rvb i="17071"/>
        </ext>
      </extLst>
    </bk>
    <bk>
      <extLst>
        <ext uri="{3e2802c4-a4d2-4d8b-9148-e3be6c30e623}">
          <xlrd:rvb i="17072"/>
        </ext>
      </extLst>
    </bk>
    <bk>
      <extLst>
        <ext uri="{3e2802c4-a4d2-4d8b-9148-e3be6c30e623}">
          <xlrd:rvb i="17073"/>
        </ext>
      </extLst>
    </bk>
    <bk>
      <extLst>
        <ext uri="{3e2802c4-a4d2-4d8b-9148-e3be6c30e623}">
          <xlrd:rvb i="17074"/>
        </ext>
      </extLst>
    </bk>
    <bk>
      <extLst>
        <ext uri="{3e2802c4-a4d2-4d8b-9148-e3be6c30e623}">
          <xlrd:rvb i="17075"/>
        </ext>
      </extLst>
    </bk>
    <bk>
      <extLst>
        <ext uri="{3e2802c4-a4d2-4d8b-9148-e3be6c30e623}">
          <xlrd:rvb i="17076"/>
        </ext>
      </extLst>
    </bk>
    <bk>
      <extLst>
        <ext uri="{3e2802c4-a4d2-4d8b-9148-e3be6c30e623}">
          <xlrd:rvb i="17077"/>
        </ext>
      </extLst>
    </bk>
    <bk>
      <extLst>
        <ext uri="{3e2802c4-a4d2-4d8b-9148-e3be6c30e623}">
          <xlrd:rvb i="17078"/>
        </ext>
      </extLst>
    </bk>
    <bk>
      <extLst>
        <ext uri="{3e2802c4-a4d2-4d8b-9148-e3be6c30e623}">
          <xlrd:rvb i="17079"/>
        </ext>
      </extLst>
    </bk>
    <bk>
      <extLst>
        <ext uri="{3e2802c4-a4d2-4d8b-9148-e3be6c30e623}">
          <xlrd:rvb i="17080"/>
        </ext>
      </extLst>
    </bk>
    <bk>
      <extLst>
        <ext uri="{3e2802c4-a4d2-4d8b-9148-e3be6c30e623}">
          <xlrd:rvb i="17081"/>
        </ext>
      </extLst>
    </bk>
    <bk>
      <extLst>
        <ext uri="{3e2802c4-a4d2-4d8b-9148-e3be6c30e623}">
          <xlrd:rvb i="17082"/>
        </ext>
      </extLst>
    </bk>
    <bk>
      <extLst>
        <ext uri="{3e2802c4-a4d2-4d8b-9148-e3be6c30e623}">
          <xlrd:rvb i="17083"/>
        </ext>
      </extLst>
    </bk>
    <bk>
      <extLst>
        <ext uri="{3e2802c4-a4d2-4d8b-9148-e3be6c30e623}">
          <xlrd:rvb i="17084"/>
        </ext>
      </extLst>
    </bk>
    <bk>
      <extLst>
        <ext uri="{3e2802c4-a4d2-4d8b-9148-e3be6c30e623}">
          <xlrd:rvb i="17085"/>
        </ext>
      </extLst>
    </bk>
    <bk>
      <extLst>
        <ext uri="{3e2802c4-a4d2-4d8b-9148-e3be6c30e623}">
          <xlrd:rvb i="17086"/>
        </ext>
      </extLst>
    </bk>
    <bk>
      <extLst>
        <ext uri="{3e2802c4-a4d2-4d8b-9148-e3be6c30e623}">
          <xlrd:rvb i="17087"/>
        </ext>
      </extLst>
    </bk>
    <bk>
      <extLst>
        <ext uri="{3e2802c4-a4d2-4d8b-9148-e3be6c30e623}">
          <xlrd:rvb i="17088"/>
        </ext>
      </extLst>
    </bk>
    <bk>
      <extLst>
        <ext uri="{3e2802c4-a4d2-4d8b-9148-e3be6c30e623}">
          <xlrd:rvb i="17089"/>
        </ext>
      </extLst>
    </bk>
    <bk>
      <extLst>
        <ext uri="{3e2802c4-a4d2-4d8b-9148-e3be6c30e623}">
          <xlrd:rvb i="17090"/>
        </ext>
      </extLst>
    </bk>
    <bk>
      <extLst>
        <ext uri="{3e2802c4-a4d2-4d8b-9148-e3be6c30e623}">
          <xlrd:rvb i="17091"/>
        </ext>
      </extLst>
    </bk>
    <bk>
      <extLst>
        <ext uri="{3e2802c4-a4d2-4d8b-9148-e3be6c30e623}">
          <xlrd:rvb i="17092"/>
        </ext>
      </extLst>
    </bk>
    <bk>
      <extLst>
        <ext uri="{3e2802c4-a4d2-4d8b-9148-e3be6c30e623}">
          <xlrd:rvb i="17093"/>
        </ext>
      </extLst>
    </bk>
    <bk>
      <extLst>
        <ext uri="{3e2802c4-a4d2-4d8b-9148-e3be6c30e623}">
          <xlrd:rvb i="17094"/>
        </ext>
      </extLst>
    </bk>
    <bk>
      <extLst>
        <ext uri="{3e2802c4-a4d2-4d8b-9148-e3be6c30e623}">
          <xlrd:rvb i="17095"/>
        </ext>
      </extLst>
    </bk>
    <bk>
      <extLst>
        <ext uri="{3e2802c4-a4d2-4d8b-9148-e3be6c30e623}">
          <xlrd:rvb i="17096"/>
        </ext>
      </extLst>
    </bk>
    <bk>
      <extLst>
        <ext uri="{3e2802c4-a4d2-4d8b-9148-e3be6c30e623}">
          <xlrd:rvb i="17097"/>
        </ext>
      </extLst>
    </bk>
    <bk>
      <extLst>
        <ext uri="{3e2802c4-a4d2-4d8b-9148-e3be6c30e623}">
          <xlrd:rvb i="17098"/>
        </ext>
      </extLst>
    </bk>
    <bk>
      <extLst>
        <ext uri="{3e2802c4-a4d2-4d8b-9148-e3be6c30e623}">
          <xlrd:rvb i="17099"/>
        </ext>
      </extLst>
    </bk>
    <bk>
      <extLst>
        <ext uri="{3e2802c4-a4d2-4d8b-9148-e3be6c30e623}">
          <xlrd:rvb i="17100"/>
        </ext>
      </extLst>
    </bk>
    <bk>
      <extLst>
        <ext uri="{3e2802c4-a4d2-4d8b-9148-e3be6c30e623}">
          <xlrd:rvb i="17101"/>
        </ext>
      </extLst>
    </bk>
    <bk>
      <extLst>
        <ext uri="{3e2802c4-a4d2-4d8b-9148-e3be6c30e623}">
          <xlrd:rvb i="17102"/>
        </ext>
      </extLst>
    </bk>
    <bk>
      <extLst>
        <ext uri="{3e2802c4-a4d2-4d8b-9148-e3be6c30e623}">
          <xlrd:rvb i="17103"/>
        </ext>
      </extLst>
    </bk>
    <bk>
      <extLst>
        <ext uri="{3e2802c4-a4d2-4d8b-9148-e3be6c30e623}">
          <xlrd:rvb i="17104"/>
        </ext>
      </extLst>
    </bk>
    <bk>
      <extLst>
        <ext uri="{3e2802c4-a4d2-4d8b-9148-e3be6c30e623}">
          <xlrd:rvb i="17105"/>
        </ext>
      </extLst>
    </bk>
    <bk>
      <extLst>
        <ext uri="{3e2802c4-a4d2-4d8b-9148-e3be6c30e623}">
          <xlrd:rvb i="17106"/>
        </ext>
      </extLst>
    </bk>
    <bk>
      <extLst>
        <ext uri="{3e2802c4-a4d2-4d8b-9148-e3be6c30e623}">
          <xlrd:rvb i="17107"/>
        </ext>
      </extLst>
    </bk>
    <bk>
      <extLst>
        <ext uri="{3e2802c4-a4d2-4d8b-9148-e3be6c30e623}">
          <xlrd:rvb i="17108"/>
        </ext>
      </extLst>
    </bk>
    <bk>
      <extLst>
        <ext uri="{3e2802c4-a4d2-4d8b-9148-e3be6c30e623}">
          <xlrd:rvb i="17109"/>
        </ext>
      </extLst>
    </bk>
    <bk>
      <extLst>
        <ext uri="{3e2802c4-a4d2-4d8b-9148-e3be6c30e623}">
          <xlrd:rvb i="17110"/>
        </ext>
      </extLst>
    </bk>
    <bk>
      <extLst>
        <ext uri="{3e2802c4-a4d2-4d8b-9148-e3be6c30e623}">
          <xlrd:rvb i="17111"/>
        </ext>
      </extLst>
    </bk>
    <bk>
      <extLst>
        <ext uri="{3e2802c4-a4d2-4d8b-9148-e3be6c30e623}">
          <xlrd:rvb i="17112"/>
        </ext>
      </extLst>
    </bk>
    <bk>
      <extLst>
        <ext uri="{3e2802c4-a4d2-4d8b-9148-e3be6c30e623}">
          <xlrd:rvb i="17113"/>
        </ext>
      </extLst>
    </bk>
    <bk>
      <extLst>
        <ext uri="{3e2802c4-a4d2-4d8b-9148-e3be6c30e623}">
          <xlrd:rvb i="17114"/>
        </ext>
      </extLst>
    </bk>
    <bk>
      <extLst>
        <ext uri="{3e2802c4-a4d2-4d8b-9148-e3be6c30e623}">
          <xlrd:rvb i="17115"/>
        </ext>
      </extLst>
    </bk>
    <bk>
      <extLst>
        <ext uri="{3e2802c4-a4d2-4d8b-9148-e3be6c30e623}">
          <xlrd:rvb i="17116"/>
        </ext>
      </extLst>
    </bk>
    <bk>
      <extLst>
        <ext uri="{3e2802c4-a4d2-4d8b-9148-e3be6c30e623}">
          <xlrd:rvb i="17117"/>
        </ext>
      </extLst>
    </bk>
    <bk>
      <extLst>
        <ext uri="{3e2802c4-a4d2-4d8b-9148-e3be6c30e623}">
          <xlrd:rvb i="17118"/>
        </ext>
      </extLst>
    </bk>
    <bk>
      <extLst>
        <ext uri="{3e2802c4-a4d2-4d8b-9148-e3be6c30e623}">
          <xlrd:rvb i="17119"/>
        </ext>
      </extLst>
    </bk>
    <bk>
      <extLst>
        <ext uri="{3e2802c4-a4d2-4d8b-9148-e3be6c30e623}">
          <xlrd:rvb i="17120"/>
        </ext>
      </extLst>
    </bk>
    <bk>
      <extLst>
        <ext uri="{3e2802c4-a4d2-4d8b-9148-e3be6c30e623}">
          <xlrd:rvb i="17121"/>
        </ext>
      </extLst>
    </bk>
    <bk>
      <extLst>
        <ext uri="{3e2802c4-a4d2-4d8b-9148-e3be6c30e623}">
          <xlrd:rvb i="17122"/>
        </ext>
      </extLst>
    </bk>
    <bk>
      <extLst>
        <ext uri="{3e2802c4-a4d2-4d8b-9148-e3be6c30e623}">
          <xlrd:rvb i="17123"/>
        </ext>
      </extLst>
    </bk>
    <bk>
      <extLst>
        <ext uri="{3e2802c4-a4d2-4d8b-9148-e3be6c30e623}">
          <xlrd:rvb i="17124"/>
        </ext>
      </extLst>
    </bk>
    <bk>
      <extLst>
        <ext uri="{3e2802c4-a4d2-4d8b-9148-e3be6c30e623}">
          <xlrd:rvb i="17125"/>
        </ext>
      </extLst>
    </bk>
    <bk>
      <extLst>
        <ext uri="{3e2802c4-a4d2-4d8b-9148-e3be6c30e623}">
          <xlrd:rvb i="17126"/>
        </ext>
      </extLst>
    </bk>
    <bk>
      <extLst>
        <ext uri="{3e2802c4-a4d2-4d8b-9148-e3be6c30e623}">
          <xlrd:rvb i="17127"/>
        </ext>
      </extLst>
    </bk>
    <bk>
      <extLst>
        <ext uri="{3e2802c4-a4d2-4d8b-9148-e3be6c30e623}">
          <xlrd:rvb i="17128"/>
        </ext>
      </extLst>
    </bk>
    <bk>
      <extLst>
        <ext uri="{3e2802c4-a4d2-4d8b-9148-e3be6c30e623}">
          <xlrd:rvb i="17129"/>
        </ext>
      </extLst>
    </bk>
    <bk>
      <extLst>
        <ext uri="{3e2802c4-a4d2-4d8b-9148-e3be6c30e623}">
          <xlrd:rvb i="17130"/>
        </ext>
      </extLst>
    </bk>
    <bk>
      <extLst>
        <ext uri="{3e2802c4-a4d2-4d8b-9148-e3be6c30e623}">
          <xlrd:rvb i="17131"/>
        </ext>
      </extLst>
    </bk>
    <bk>
      <extLst>
        <ext uri="{3e2802c4-a4d2-4d8b-9148-e3be6c30e623}">
          <xlrd:rvb i="17132"/>
        </ext>
      </extLst>
    </bk>
    <bk>
      <extLst>
        <ext uri="{3e2802c4-a4d2-4d8b-9148-e3be6c30e623}">
          <xlrd:rvb i="17133"/>
        </ext>
      </extLst>
    </bk>
    <bk>
      <extLst>
        <ext uri="{3e2802c4-a4d2-4d8b-9148-e3be6c30e623}">
          <xlrd:rvb i="17134"/>
        </ext>
      </extLst>
    </bk>
    <bk>
      <extLst>
        <ext uri="{3e2802c4-a4d2-4d8b-9148-e3be6c30e623}">
          <xlrd:rvb i="17135"/>
        </ext>
      </extLst>
    </bk>
    <bk>
      <extLst>
        <ext uri="{3e2802c4-a4d2-4d8b-9148-e3be6c30e623}">
          <xlrd:rvb i="17136"/>
        </ext>
      </extLst>
    </bk>
    <bk>
      <extLst>
        <ext uri="{3e2802c4-a4d2-4d8b-9148-e3be6c30e623}">
          <xlrd:rvb i="17137"/>
        </ext>
      </extLst>
    </bk>
    <bk>
      <extLst>
        <ext uri="{3e2802c4-a4d2-4d8b-9148-e3be6c30e623}">
          <xlrd:rvb i="17138"/>
        </ext>
      </extLst>
    </bk>
    <bk>
      <extLst>
        <ext uri="{3e2802c4-a4d2-4d8b-9148-e3be6c30e623}">
          <xlrd:rvb i="17139"/>
        </ext>
      </extLst>
    </bk>
    <bk>
      <extLst>
        <ext uri="{3e2802c4-a4d2-4d8b-9148-e3be6c30e623}">
          <xlrd:rvb i="17140"/>
        </ext>
      </extLst>
    </bk>
    <bk>
      <extLst>
        <ext uri="{3e2802c4-a4d2-4d8b-9148-e3be6c30e623}">
          <xlrd:rvb i="17141"/>
        </ext>
      </extLst>
    </bk>
    <bk>
      <extLst>
        <ext uri="{3e2802c4-a4d2-4d8b-9148-e3be6c30e623}">
          <xlrd:rvb i="17142"/>
        </ext>
      </extLst>
    </bk>
    <bk>
      <extLst>
        <ext uri="{3e2802c4-a4d2-4d8b-9148-e3be6c30e623}">
          <xlrd:rvb i="17143"/>
        </ext>
      </extLst>
    </bk>
    <bk>
      <extLst>
        <ext uri="{3e2802c4-a4d2-4d8b-9148-e3be6c30e623}">
          <xlrd:rvb i="17144"/>
        </ext>
      </extLst>
    </bk>
    <bk>
      <extLst>
        <ext uri="{3e2802c4-a4d2-4d8b-9148-e3be6c30e623}">
          <xlrd:rvb i="17145"/>
        </ext>
      </extLst>
    </bk>
    <bk>
      <extLst>
        <ext uri="{3e2802c4-a4d2-4d8b-9148-e3be6c30e623}">
          <xlrd:rvb i="17146"/>
        </ext>
      </extLst>
    </bk>
    <bk>
      <extLst>
        <ext uri="{3e2802c4-a4d2-4d8b-9148-e3be6c30e623}">
          <xlrd:rvb i="17147"/>
        </ext>
      </extLst>
    </bk>
    <bk>
      <extLst>
        <ext uri="{3e2802c4-a4d2-4d8b-9148-e3be6c30e623}">
          <xlrd:rvb i="17148"/>
        </ext>
      </extLst>
    </bk>
    <bk>
      <extLst>
        <ext uri="{3e2802c4-a4d2-4d8b-9148-e3be6c30e623}">
          <xlrd:rvb i="17149"/>
        </ext>
      </extLst>
    </bk>
    <bk>
      <extLst>
        <ext uri="{3e2802c4-a4d2-4d8b-9148-e3be6c30e623}">
          <xlrd:rvb i="17150"/>
        </ext>
      </extLst>
    </bk>
    <bk>
      <extLst>
        <ext uri="{3e2802c4-a4d2-4d8b-9148-e3be6c30e623}">
          <xlrd:rvb i="17151"/>
        </ext>
      </extLst>
    </bk>
    <bk>
      <extLst>
        <ext uri="{3e2802c4-a4d2-4d8b-9148-e3be6c30e623}">
          <xlrd:rvb i="17152"/>
        </ext>
      </extLst>
    </bk>
    <bk>
      <extLst>
        <ext uri="{3e2802c4-a4d2-4d8b-9148-e3be6c30e623}">
          <xlrd:rvb i="17153"/>
        </ext>
      </extLst>
    </bk>
    <bk>
      <extLst>
        <ext uri="{3e2802c4-a4d2-4d8b-9148-e3be6c30e623}">
          <xlrd:rvb i="17154"/>
        </ext>
      </extLst>
    </bk>
    <bk>
      <extLst>
        <ext uri="{3e2802c4-a4d2-4d8b-9148-e3be6c30e623}">
          <xlrd:rvb i="17155"/>
        </ext>
      </extLst>
    </bk>
    <bk>
      <extLst>
        <ext uri="{3e2802c4-a4d2-4d8b-9148-e3be6c30e623}">
          <xlrd:rvb i="17156"/>
        </ext>
      </extLst>
    </bk>
    <bk>
      <extLst>
        <ext uri="{3e2802c4-a4d2-4d8b-9148-e3be6c30e623}">
          <xlrd:rvb i="17157"/>
        </ext>
      </extLst>
    </bk>
    <bk>
      <extLst>
        <ext uri="{3e2802c4-a4d2-4d8b-9148-e3be6c30e623}">
          <xlrd:rvb i="17158"/>
        </ext>
      </extLst>
    </bk>
    <bk>
      <extLst>
        <ext uri="{3e2802c4-a4d2-4d8b-9148-e3be6c30e623}">
          <xlrd:rvb i="17159"/>
        </ext>
      </extLst>
    </bk>
    <bk>
      <extLst>
        <ext uri="{3e2802c4-a4d2-4d8b-9148-e3be6c30e623}">
          <xlrd:rvb i="17160"/>
        </ext>
      </extLst>
    </bk>
    <bk>
      <extLst>
        <ext uri="{3e2802c4-a4d2-4d8b-9148-e3be6c30e623}">
          <xlrd:rvb i="17161"/>
        </ext>
      </extLst>
    </bk>
    <bk>
      <extLst>
        <ext uri="{3e2802c4-a4d2-4d8b-9148-e3be6c30e623}">
          <xlrd:rvb i="17162"/>
        </ext>
      </extLst>
    </bk>
    <bk>
      <extLst>
        <ext uri="{3e2802c4-a4d2-4d8b-9148-e3be6c30e623}">
          <xlrd:rvb i="17163"/>
        </ext>
      </extLst>
    </bk>
    <bk>
      <extLst>
        <ext uri="{3e2802c4-a4d2-4d8b-9148-e3be6c30e623}">
          <xlrd:rvb i="17164"/>
        </ext>
      </extLst>
    </bk>
    <bk>
      <extLst>
        <ext uri="{3e2802c4-a4d2-4d8b-9148-e3be6c30e623}">
          <xlrd:rvb i="17165"/>
        </ext>
      </extLst>
    </bk>
    <bk>
      <extLst>
        <ext uri="{3e2802c4-a4d2-4d8b-9148-e3be6c30e623}">
          <xlrd:rvb i="17166"/>
        </ext>
      </extLst>
    </bk>
    <bk>
      <extLst>
        <ext uri="{3e2802c4-a4d2-4d8b-9148-e3be6c30e623}">
          <xlrd:rvb i="17167"/>
        </ext>
      </extLst>
    </bk>
    <bk>
      <extLst>
        <ext uri="{3e2802c4-a4d2-4d8b-9148-e3be6c30e623}">
          <xlrd:rvb i="17168"/>
        </ext>
      </extLst>
    </bk>
    <bk>
      <extLst>
        <ext uri="{3e2802c4-a4d2-4d8b-9148-e3be6c30e623}">
          <xlrd:rvb i="17169"/>
        </ext>
      </extLst>
    </bk>
    <bk>
      <extLst>
        <ext uri="{3e2802c4-a4d2-4d8b-9148-e3be6c30e623}">
          <xlrd:rvb i="17170"/>
        </ext>
      </extLst>
    </bk>
    <bk>
      <extLst>
        <ext uri="{3e2802c4-a4d2-4d8b-9148-e3be6c30e623}">
          <xlrd:rvb i="17171"/>
        </ext>
      </extLst>
    </bk>
    <bk>
      <extLst>
        <ext uri="{3e2802c4-a4d2-4d8b-9148-e3be6c30e623}">
          <xlrd:rvb i="17172"/>
        </ext>
      </extLst>
    </bk>
    <bk>
      <extLst>
        <ext uri="{3e2802c4-a4d2-4d8b-9148-e3be6c30e623}">
          <xlrd:rvb i="17173"/>
        </ext>
      </extLst>
    </bk>
    <bk>
      <extLst>
        <ext uri="{3e2802c4-a4d2-4d8b-9148-e3be6c30e623}">
          <xlrd:rvb i="17174"/>
        </ext>
      </extLst>
    </bk>
    <bk>
      <extLst>
        <ext uri="{3e2802c4-a4d2-4d8b-9148-e3be6c30e623}">
          <xlrd:rvb i="17175"/>
        </ext>
      </extLst>
    </bk>
    <bk>
      <extLst>
        <ext uri="{3e2802c4-a4d2-4d8b-9148-e3be6c30e623}">
          <xlrd:rvb i="17176"/>
        </ext>
      </extLst>
    </bk>
    <bk>
      <extLst>
        <ext uri="{3e2802c4-a4d2-4d8b-9148-e3be6c30e623}">
          <xlrd:rvb i="17177"/>
        </ext>
      </extLst>
    </bk>
    <bk>
      <extLst>
        <ext uri="{3e2802c4-a4d2-4d8b-9148-e3be6c30e623}">
          <xlrd:rvb i="17178"/>
        </ext>
      </extLst>
    </bk>
    <bk>
      <extLst>
        <ext uri="{3e2802c4-a4d2-4d8b-9148-e3be6c30e623}">
          <xlrd:rvb i="17179"/>
        </ext>
      </extLst>
    </bk>
    <bk>
      <extLst>
        <ext uri="{3e2802c4-a4d2-4d8b-9148-e3be6c30e623}">
          <xlrd:rvb i="17180"/>
        </ext>
      </extLst>
    </bk>
    <bk>
      <extLst>
        <ext uri="{3e2802c4-a4d2-4d8b-9148-e3be6c30e623}">
          <xlrd:rvb i="17181"/>
        </ext>
      </extLst>
    </bk>
    <bk>
      <extLst>
        <ext uri="{3e2802c4-a4d2-4d8b-9148-e3be6c30e623}">
          <xlrd:rvb i="17182"/>
        </ext>
      </extLst>
    </bk>
    <bk>
      <extLst>
        <ext uri="{3e2802c4-a4d2-4d8b-9148-e3be6c30e623}">
          <xlrd:rvb i="17183"/>
        </ext>
      </extLst>
    </bk>
    <bk>
      <extLst>
        <ext uri="{3e2802c4-a4d2-4d8b-9148-e3be6c30e623}">
          <xlrd:rvb i="17184"/>
        </ext>
      </extLst>
    </bk>
    <bk>
      <extLst>
        <ext uri="{3e2802c4-a4d2-4d8b-9148-e3be6c30e623}">
          <xlrd:rvb i="17185"/>
        </ext>
      </extLst>
    </bk>
    <bk>
      <extLst>
        <ext uri="{3e2802c4-a4d2-4d8b-9148-e3be6c30e623}">
          <xlrd:rvb i="17186"/>
        </ext>
      </extLst>
    </bk>
    <bk>
      <extLst>
        <ext uri="{3e2802c4-a4d2-4d8b-9148-e3be6c30e623}">
          <xlrd:rvb i="17187"/>
        </ext>
      </extLst>
    </bk>
    <bk>
      <extLst>
        <ext uri="{3e2802c4-a4d2-4d8b-9148-e3be6c30e623}">
          <xlrd:rvb i="17188"/>
        </ext>
      </extLst>
    </bk>
    <bk>
      <extLst>
        <ext uri="{3e2802c4-a4d2-4d8b-9148-e3be6c30e623}">
          <xlrd:rvb i="17189"/>
        </ext>
      </extLst>
    </bk>
    <bk>
      <extLst>
        <ext uri="{3e2802c4-a4d2-4d8b-9148-e3be6c30e623}">
          <xlrd:rvb i="17190"/>
        </ext>
      </extLst>
    </bk>
    <bk>
      <extLst>
        <ext uri="{3e2802c4-a4d2-4d8b-9148-e3be6c30e623}">
          <xlrd:rvb i="17191"/>
        </ext>
      </extLst>
    </bk>
    <bk>
      <extLst>
        <ext uri="{3e2802c4-a4d2-4d8b-9148-e3be6c30e623}">
          <xlrd:rvb i="17192"/>
        </ext>
      </extLst>
    </bk>
    <bk>
      <extLst>
        <ext uri="{3e2802c4-a4d2-4d8b-9148-e3be6c30e623}">
          <xlrd:rvb i="17193"/>
        </ext>
      </extLst>
    </bk>
    <bk>
      <extLst>
        <ext uri="{3e2802c4-a4d2-4d8b-9148-e3be6c30e623}">
          <xlrd:rvb i="17194"/>
        </ext>
      </extLst>
    </bk>
    <bk>
      <extLst>
        <ext uri="{3e2802c4-a4d2-4d8b-9148-e3be6c30e623}">
          <xlrd:rvb i="17195"/>
        </ext>
      </extLst>
    </bk>
    <bk>
      <extLst>
        <ext uri="{3e2802c4-a4d2-4d8b-9148-e3be6c30e623}">
          <xlrd:rvb i="17196"/>
        </ext>
      </extLst>
    </bk>
    <bk>
      <extLst>
        <ext uri="{3e2802c4-a4d2-4d8b-9148-e3be6c30e623}">
          <xlrd:rvb i="17197"/>
        </ext>
      </extLst>
    </bk>
    <bk>
      <extLst>
        <ext uri="{3e2802c4-a4d2-4d8b-9148-e3be6c30e623}">
          <xlrd:rvb i="17198"/>
        </ext>
      </extLst>
    </bk>
    <bk>
      <extLst>
        <ext uri="{3e2802c4-a4d2-4d8b-9148-e3be6c30e623}">
          <xlrd:rvb i="17199"/>
        </ext>
      </extLst>
    </bk>
    <bk>
      <extLst>
        <ext uri="{3e2802c4-a4d2-4d8b-9148-e3be6c30e623}">
          <xlrd:rvb i="17200"/>
        </ext>
      </extLst>
    </bk>
    <bk>
      <extLst>
        <ext uri="{3e2802c4-a4d2-4d8b-9148-e3be6c30e623}">
          <xlrd:rvb i="17201"/>
        </ext>
      </extLst>
    </bk>
    <bk>
      <extLst>
        <ext uri="{3e2802c4-a4d2-4d8b-9148-e3be6c30e623}">
          <xlrd:rvb i="17202"/>
        </ext>
      </extLst>
    </bk>
    <bk>
      <extLst>
        <ext uri="{3e2802c4-a4d2-4d8b-9148-e3be6c30e623}">
          <xlrd:rvb i="17203"/>
        </ext>
      </extLst>
    </bk>
    <bk>
      <extLst>
        <ext uri="{3e2802c4-a4d2-4d8b-9148-e3be6c30e623}">
          <xlrd:rvb i="17204"/>
        </ext>
      </extLst>
    </bk>
    <bk>
      <extLst>
        <ext uri="{3e2802c4-a4d2-4d8b-9148-e3be6c30e623}">
          <xlrd:rvb i="17205"/>
        </ext>
      </extLst>
    </bk>
    <bk>
      <extLst>
        <ext uri="{3e2802c4-a4d2-4d8b-9148-e3be6c30e623}">
          <xlrd:rvb i="17206"/>
        </ext>
      </extLst>
    </bk>
    <bk>
      <extLst>
        <ext uri="{3e2802c4-a4d2-4d8b-9148-e3be6c30e623}">
          <xlrd:rvb i="17207"/>
        </ext>
      </extLst>
    </bk>
    <bk>
      <extLst>
        <ext uri="{3e2802c4-a4d2-4d8b-9148-e3be6c30e623}">
          <xlrd:rvb i="17208"/>
        </ext>
      </extLst>
    </bk>
    <bk>
      <extLst>
        <ext uri="{3e2802c4-a4d2-4d8b-9148-e3be6c30e623}">
          <xlrd:rvb i="17209"/>
        </ext>
      </extLst>
    </bk>
    <bk>
      <extLst>
        <ext uri="{3e2802c4-a4d2-4d8b-9148-e3be6c30e623}">
          <xlrd:rvb i="17210"/>
        </ext>
      </extLst>
    </bk>
    <bk>
      <extLst>
        <ext uri="{3e2802c4-a4d2-4d8b-9148-e3be6c30e623}">
          <xlrd:rvb i="17211"/>
        </ext>
      </extLst>
    </bk>
    <bk>
      <extLst>
        <ext uri="{3e2802c4-a4d2-4d8b-9148-e3be6c30e623}">
          <xlrd:rvb i="17212"/>
        </ext>
      </extLst>
    </bk>
    <bk>
      <extLst>
        <ext uri="{3e2802c4-a4d2-4d8b-9148-e3be6c30e623}">
          <xlrd:rvb i="17213"/>
        </ext>
      </extLst>
    </bk>
    <bk>
      <extLst>
        <ext uri="{3e2802c4-a4d2-4d8b-9148-e3be6c30e623}">
          <xlrd:rvb i="17214"/>
        </ext>
      </extLst>
    </bk>
    <bk>
      <extLst>
        <ext uri="{3e2802c4-a4d2-4d8b-9148-e3be6c30e623}">
          <xlrd:rvb i="17215"/>
        </ext>
      </extLst>
    </bk>
    <bk>
      <extLst>
        <ext uri="{3e2802c4-a4d2-4d8b-9148-e3be6c30e623}">
          <xlrd:rvb i="17216"/>
        </ext>
      </extLst>
    </bk>
    <bk>
      <extLst>
        <ext uri="{3e2802c4-a4d2-4d8b-9148-e3be6c30e623}">
          <xlrd:rvb i="17217"/>
        </ext>
      </extLst>
    </bk>
    <bk>
      <extLst>
        <ext uri="{3e2802c4-a4d2-4d8b-9148-e3be6c30e623}">
          <xlrd:rvb i="17218"/>
        </ext>
      </extLst>
    </bk>
    <bk>
      <extLst>
        <ext uri="{3e2802c4-a4d2-4d8b-9148-e3be6c30e623}">
          <xlrd:rvb i="17219"/>
        </ext>
      </extLst>
    </bk>
    <bk>
      <extLst>
        <ext uri="{3e2802c4-a4d2-4d8b-9148-e3be6c30e623}">
          <xlrd:rvb i="17220"/>
        </ext>
      </extLst>
    </bk>
    <bk>
      <extLst>
        <ext uri="{3e2802c4-a4d2-4d8b-9148-e3be6c30e623}">
          <xlrd:rvb i="17221"/>
        </ext>
      </extLst>
    </bk>
    <bk>
      <extLst>
        <ext uri="{3e2802c4-a4d2-4d8b-9148-e3be6c30e623}">
          <xlrd:rvb i="17222"/>
        </ext>
      </extLst>
    </bk>
    <bk>
      <extLst>
        <ext uri="{3e2802c4-a4d2-4d8b-9148-e3be6c30e623}">
          <xlrd:rvb i="17223"/>
        </ext>
      </extLst>
    </bk>
    <bk>
      <extLst>
        <ext uri="{3e2802c4-a4d2-4d8b-9148-e3be6c30e623}">
          <xlrd:rvb i="17224"/>
        </ext>
      </extLst>
    </bk>
    <bk>
      <extLst>
        <ext uri="{3e2802c4-a4d2-4d8b-9148-e3be6c30e623}">
          <xlrd:rvb i="17225"/>
        </ext>
      </extLst>
    </bk>
    <bk>
      <extLst>
        <ext uri="{3e2802c4-a4d2-4d8b-9148-e3be6c30e623}">
          <xlrd:rvb i="17226"/>
        </ext>
      </extLst>
    </bk>
    <bk>
      <extLst>
        <ext uri="{3e2802c4-a4d2-4d8b-9148-e3be6c30e623}">
          <xlrd:rvb i="17227"/>
        </ext>
      </extLst>
    </bk>
    <bk>
      <extLst>
        <ext uri="{3e2802c4-a4d2-4d8b-9148-e3be6c30e623}">
          <xlrd:rvb i="17228"/>
        </ext>
      </extLst>
    </bk>
    <bk>
      <extLst>
        <ext uri="{3e2802c4-a4d2-4d8b-9148-e3be6c30e623}">
          <xlrd:rvb i="17229"/>
        </ext>
      </extLst>
    </bk>
    <bk>
      <extLst>
        <ext uri="{3e2802c4-a4d2-4d8b-9148-e3be6c30e623}">
          <xlrd:rvb i="17230"/>
        </ext>
      </extLst>
    </bk>
    <bk>
      <extLst>
        <ext uri="{3e2802c4-a4d2-4d8b-9148-e3be6c30e623}">
          <xlrd:rvb i="17231"/>
        </ext>
      </extLst>
    </bk>
    <bk>
      <extLst>
        <ext uri="{3e2802c4-a4d2-4d8b-9148-e3be6c30e623}">
          <xlrd:rvb i="17232"/>
        </ext>
      </extLst>
    </bk>
    <bk>
      <extLst>
        <ext uri="{3e2802c4-a4d2-4d8b-9148-e3be6c30e623}">
          <xlrd:rvb i="17233"/>
        </ext>
      </extLst>
    </bk>
    <bk>
      <extLst>
        <ext uri="{3e2802c4-a4d2-4d8b-9148-e3be6c30e623}">
          <xlrd:rvb i="17234"/>
        </ext>
      </extLst>
    </bk>
    <bk>
      <extLst>
        <ext uri="{3e2802c4-a4d2-4d8b-9148-e3be6c30e623}">
          <xlrd:rvb i="17235"/>
        </ext>
      </extLst>
    </bk>
    <bk>
      <extLst>
        <ext uri="{3e2802c4-a4d2-4d8b-9148-e3be6c30e623}">
          <xlrd:rvb i="17236"/>
        </ext>
      </extLst>
    </bk>
    <bk>
      <extLst>
        <ext uri="{3e2802c4-a4d2-4d8b-9148-e3be6c30e623}">
          <xlrd:rvb i="17237"/>
        </ext>
      </extLst>
    </bk>
    <bk>
      <extLst>
        <ext uri="{3e2802c4-a4d2-4d8b-9148-e3be6c30e623}">
          <xlrd:rvb i="17238"/>
        </ext>
      </extLst>
    </bk>
    <bk>
      <extLst>
        <ext uri="{3e2802c4-a4d2-4d8b-9148-e3be6c30e623}">
          <xlrd:rvb i="17239"/>
        </ext>
      </extLst>
    </bk>
    <bk>
      <extLst>
        <ext uri="{3e2802c4-a4d2-4d8b-9148-e3be6c30e623}">
          <xlrd:rvb i="17240"/>
        </ext>
      </extLst>
    </bk>
    <bk>
      <extLst>
        <ext uri="{3e2802c4-a4d2-4d8b-9148-e3be6c30e623}">
          <xlrd:rvb i="17241"/>
        </ext>
      </extLst>
    </bk>
    <bk>
      <extLst>
        <ext uri="{3e2802c4-a4d2-4d8b-9148-e3be6c30e623}">
          <xlrd:rvb i="17242"/>
        </ext>
      </extLst>
    </bk>
    <bk>
      <extLst>
        <ext uri="{3e2802c4-a4d2-4d8b-9148-e3be6c30e623}">
          <xlrd:rvb i="17243"/>
        </ext>
      </extLst>
    </bk>
    <bk>
      <extLst>
        <ext uri="{3e2802c4-a4d2-4d8b-9148-e3be6c30e623}">
          <xlrd:rvb i="17244"/>
        </ext>
      </extLst>
    </bk>
    <bk>
      <extLst>
        <ext uri="{3e2802c4-a4d2-4d8b-9148-e3be6c30e623}">
          <xlrd:rvb i="17245"/>
        </ext>
      </extLst>
    </bk>
    <bk>
      <extLst>
        <ext uri="{3e2802c4-a4d2-4d8b-9148-e3be6c30e623}">
          <xlrd:rvb i="17246"/>
        </ext>
      </extLst>
    </bk>
    <bk>
      <extLst>
        <ext uri="{3e2802c4-a4d2-4d8b-9148-e3be6c30e623}">
          <xlrd:rvb i="17247"/>
        </ext>
      </extLst>
    </bk>
    <bk>
      <extLst>
        <ext uri="{3e2802c4-a4d2-4d8b-9148-e3be6c30e623}">
          <xlrd:rvb i="17248"/>
        </ext>
      </extLst>
    </bk>
    <bk>
      <extLst>
        <ext uri="{3e2802c4-a4d2-4d8b-9148-e3be6c30e623}">
          <xlrd:rvb i="17249"/>
        </ext>
      </extLst>
    </bk>
    <bk>
      <extLst>
        <ext uri="{3e2802c4-a4d2-4d8b-9148-e3be6c30e623}">
          <xlrd:rvb i="17250"/>
        </ext>
      </extLst>
    </bk>
    <bk>
      <extLst>
        <ext uri="{3e2802c4-a4d2-4d8b-9148-e3be6c30e623}">
          <xlrd:rvb i="17251"/>
        </ext>
      </extLst>
    </bk>
    <bk>
      <extLst>
        <ext uri="{3e2802c4-a4d2-4d8b-9148-e3be6c30e623}">
          <xlrd:rvb i="17252"/>
        </ext>
      </extLst>
    </bk>
    <bk>
      <extLst>
        <ext uri="{3e2802c4-a4d2-4d8b-9148-e3be6c30e623}">
          <xlrd:rvb i="17253"/>
        </ext>
      </extLst>
    </bk>
    <bk>
      <extLst>
        <ext uri="{3e2802c4-a4d2-4d8b-9148-e3be6c30e623}">
          <xlrd:rvb i="17254"/>
        </ext>
      </extLst>
    </bk>
    <bk>
      <extLst>
        <ext uri="{3e2802c4-a4d2-4d8b-9148-e3be6c30e623}">
          <xlrd:rvb i="17255"/>
        </ext>
      </extLst>
    </bk>
    <bk>
      <extLst>
        <ext uri="{3e2802c4-a4d2-4d8b-9148-e3be6c30e623}">
          <xlrd:rvb i="17256"/>
        </ext>
      </extLst>
    </bk>
    <bk>
      <extLst>
        <ext uri="{3e2802c4-a4d2-4d8b-9148-e3be6c30e623}">
          <xlrd:rvb i="17257"/>
        </ext>
      </extLst>
    </bk>
    <bk>
      <extLst>
        <ext uri="{3e2802c4-a4d2-4d8b-9148-e3be6c30e623}">
          <xlrd:rvb i="17258"/>
        </ext>
      </extLst>
    </bk>
    <bk>
      <extLst>
        <ext uri="{3e2802c4-a4d2-4d8b-9148-e3be6c30e623}">
          <xlrd:rvb i="17259"/>
        </ext>
      </extLst>
    </bk>
    <bk>
      <extLst>
        <ext uri="{3e2802c4-a4d2-4d8b-9148-e3be6c30e623}">
          <xlrd:rvb i="17260"/>
        </ext>
      </extLst>
    </bk>
    <bk>
      <extLst>
        <ext uri="{3e2802c4-a4d2-4d8b-9148-e3be6c30e623}">
          <xlrd:rvb i="17261"/>
        </ext>
      </extLst>
    </bk>
    <bk>
      <extLst>
        <ext uri="{3e2802c4-a4d2-4d8b-9148-e3be6c30e623}">
          <xlrd:rvb i="17262"/>
        </ext>
      </extLst>
    </bk>
    <bk>
      <extLst>
        <ext uri="{3e2802c4-a4d2-4d8b-9148-e3be6c30e623}">
          <xlrd:rvb i="17263"/>
        </ext>
      </extLst>
    </bk>
    <bk>
      <extLst>
        <ext uri="{3e2802c4-a4d2-4d8b-9148-e3be6c30e623}">
          <xlrd:rvb i="17264"/>
        </ext>
      </extLst>
    </bk>
    <bk>
      <extLst>
        <ext uri="{3e2802c4-a4d2-4d8b-9148-e3be6c30e623}">
          <xlrd:rvb i="17265"/>
        </ext>
      </extLst>
    </bk>
    <bk>
      <extLst>
        <ext uri="{3e2802c4-a4d2-4d8b-9148-e3be6c30e623}">
          <xlrd:rvb i="17266"/>
        </ext>
      </extLst>
    </bk>
    <bk>
      <extLst>
        <ext uri="{3e2802c4-a4d2-4d8b-9148-e3be6c30e623}">
          <xlrd:rvb i="17267"/>
        </ext>
      </extLst>
    </bk>
    <bk>
      <extLst>
        <ext uri="{3e2802c4-a4d2-4d8b-9148-e3be6c30e623}">
          <xlrd:rvb i="17268"/>
        </ext>
      </extLst>
    </bk>
    <bk>
      <extLst>
        <ext uri="{3e2802c4-a4d2-4d8b-9148-e3be6c30e623}">
          <xlrd:rvb i="17269"/>
        </ext>
      </extLst>
    </bk>
    <bk>
      <extLst>
        <ext uri="{3e2802c4-a4d2-4d8b-9148-e3be6c30e623}">
          <xlrd:rvb i="17270"/>
        </ext>
      </extLst>
    </bk>
    <bk>
      <extLst>
        <ext uri="{3e2802c4-a4d2-4d8b-9148-e3be6c30e623}">
          <xlrd:rvb i="17271"/>
        </ext>
      </extLst>
    </bk>
    <bk>
      <extLst>
        <ext uri="{3e2802c4-a4d2-4d8b-9148-e3be6c30e623}">
          <xlrd:rvb i="17272"/>
        </ext>
      </extLst>
    </bk>
    <bk>
      <extLst>
        <ext uri="{3e2802c4-a4d2-4d8b-9148-e3be6c30e623}">
          <xlrd:rvb i="17273"/>
        </ext>
      </extLst>
    </bk>
    <bk>
      <extLst>
        <ext uri="{3e2802c4-a4d2-4d8b-9148-e3be6c30e623}">
          <xlrd:rvb i="17274"/>
        </ext>
      </extLst>
    </bk>
    <bk>
      <extLst>
        <ext uri="{3e2802c4-a4d2-4d8b-9148-e3be6c30e623}">
          <xlrd:rvb i="17275"/>
        </ext>
      </extLst>
    </bk>
    <bk>
      <extLst>
        <ext uri="{3e2802c4-a4d2-4d8b-9148-e3be6c30e623}">
          <xlrd:rvb i="17276"/>
        </ext>
      </extLst>
    </bk>
    <bk>
      <extLst>
        <ext uri="{3e2802c4-a4d2-4d8b-9148-e3be6c30e623}">
          <xlrd:rvb i="17277"/>
        </ext>
      </extLst>
    </bk>
    <bk>
      <extLst>
        <ext uri="{3e2802c4-a4d2-4d8b-9148-e3be6c30e623}">
          <xlrd:rvb i="17278"/>
        </ext>
      </extLst>
    </bk>
    <bk>
      <extLst>
        <ext uri="{3e2802c4-a4d2-4d8b-9148-e3be6c30e623}">
          <xlrd:rvb i="17279"/>
        </ext>
      </extLst>
    </bk>
    <bk>
      <extLst>
        <ext uri="{3e2802c4-a4d2-4d8b-9148-e3be6c30e623}">
          <xlrd:rvb i="17280"/>
        </ext>
      </extLst>
    </bk>
    <bk>
      <extLst>
        <ext uri="{3e2802c4-a4d2-4d8b-9148-e3be6c30e623}">
          <xlrd:rvb i="17281"/>
        </ext>
      </extLst>
    </bk>
    <bk>
      <extLst>
        <ext uri="{3e2802c4-a4d2-4d8b-9148-e3be6c30e623}">
          <xlrd:rvb i="17282"/>
        </ext>
      </extLst>
    </bk>
    <bk>
      <extLst>
        <ext uri="{3e2802c4-a4d2-4d8b-9148-e3be6c30e623}">
          <xlrd:rvb i="17283"/>
        </ext>
      </extLst>
    </bk>
    <bk>
      <extLst>
        <ext uri="{3e2802c4-a4d2-4d8b-9148-e3be6c30e623}">
          <xlrd:rvb i="17284"/>
        </ext>
      </extLst>
    </bk>
    <bk>
      <extLst>
        <ext uri="{3e2802c4-a4d2-4d8b-9148-e3be6c30e623}">
          <xlrd:rvb i="17285"/>
        </ext>
      </extLst>
    </bk>
    <bk>
      <extLst>
        <ext uri="{3e2802c4-a4d2-4d8b-9148-e3be6c30e623}">
          <xlrd:rvb i="17286"/>
        </ext>
      </extLst>
    </bk>
    <bk>
      <extLst>
        <ext uri="{3e2802c4-a4d2-4d8b-9148-e3be6c30e623}">
          <xlrd:rvb i="17287"/>
        </ext>
      </extLst>
    </bk>
    <bk>
      <extLst>
        <ext uri="{3e2802c4-a4d2-4d8b-9148-e3be6c30e623}">
          <xlrd:rvb i="17288"/>
        </ext>
      </extLst>
    </bk>
    <bk>
      <extLst>
        <ext uri="{3e2802c4-a4d2-4d8b-9148-e3be6c30e623}">
          <xlrd:rvb i="17289"/>
        </ext>
      </extLst>
    </bk>
    <bk>
      <extLst>
        <ext uri="{3e2802c4-a4d2-4d8b-9148-e3be6c30e623}">
          <xlrd:rvb i="17290"/>
        </ext>
      </extLst>
    </bk>
    <bk>
      <extLst>
        <ext uri="{3e2802c4-a4d2-4d8b-9148-e3be6c30e623}">
          <xlrd:rvb i="17291"/>
        </ext>
      </extLst>
    </bk>
    <bk>
      <extLst>
        <ext uri="{3e2802c4-a4d2-4d8b-9148-e3be6c30e623}">
          <xlrd:rvb i="17292"/>
        </ext>
      </extLst>
    </bk>
    <bk>
      <extLst>
        <ext uri="{3e2802c4-a4d2-4d8b-9148-e3be6c30e623}">
          <xlrd:rvb i="17293"/>
        </ext>
      </extLst>
    </bk>
    <bk>
      <extLst>
        <ext uri="{3e2802c4-a4d2-4d8b-9148-e3be6c30e623}">
          <xlrd:rvb i="17294"/>
        </ext>
      </extLst>
    </bk>
    <bk>
      <extLst>
        <ext uri="{3e2802c4-a4d2-4d8b-9148-e3be6c30e623}">
          <xlrd:rvb i="17295"/>
        </ext>
      </extLst>
    </bk>
    <bk>
      <extLst>
        <ext uri="{3e2802c4-a4d2-4d8b-9148-e3be6c30e623}">
          <xlrd:rvb i="17296"/>
        </ext>
      </extLst>
    </bk>
    <bk>
      <extLst>
        <ext uri="{3e2802c4-a4d2-4d8b-9148-e3be6c30e623}">
          <xlrd:rvb i="17297"/>
        </ext>
      </extLst>
    </bk>
    <bk>
      <extLst>
        <ext uri="{3e2802c4-a4d2-4d8b-9148-e3be6c30e623}">
          <xlrd:rvb i="17298"/>
        </ext>
      </extLst>
    </bk>
    <bk>
      <extLst>
        <ext uri="{3e2802c4-a4d2-4d8b-9148-e3be6c30e623}">
          <xlrd:rvb i="17299"/>
        </ext>
      </extLst>
    </bk>
    <bk>
      <extLst>
        <ext uri="{3e2802c4-a4d2-4d8b-9148-e3be6c30e623}">
          <xlrd:rvb i="17300"/>
        </ext>
      </extLst>
    </bk>
    <bk>
      <extLst>
        <ext uri="{3e2802c4-a4d2-4d8b-9148-e3be6c30e623}">
          <xlrd:rvb i="17301"/>
        </ext>
      </extLst>
    </bk>
    <bk>
      <extLst>
        <ext uri="{3e2802c4-a4d2-4d8b-9148-e3be6c30e623}">
          <xlrd:rvb i="17302"/>
        </ext>
      </extLst>
    </bk>
    <bk>
      <extLst>
        <ext uri="{3e2802c4-a4d2-4d8b-9148-e3be6c30e623}">
          <xlrd:rvb i="17303"/>
        </ext>
      </extLst>
    </bk>
    <bk>
      <extLst>
        <ext uri="{3e2802c4-a4d2-4d8b-9148-e3be6c30e623}">
          <xlrd:rvb i="17304"/>
        </ext>
      </extLst>
    </bk>
    <bk>
      <extLst>
        <ext uri="{3e2802c4-a4d2-4d8b-9148-e3be6c30e623}">
          <xlrd:rvb i="17305"/>
        </ext>
      </extLst>
    </bk>
    <bk>
      <extLst>
        <ext uri="{3e2802c4-a4d2-4d8b-9148-e3be6c30e623}">
          <xlrd:rvb i="17306"/>
        </ext>
      </extLst>
    </bk>
    <bk>
      <extLst>
        <ext uri="{3e2802c4-a4d2-4d8b-9148-e3be6c30e623}">
          <xlrd:rvb i="17307"/>
        </ext>
      </extLst>
    </bk>
    <bk>
      <extLst>
        <ext uri="{3e2802c4-a4d2-4d8b-9148-e3be6c30e623}">
          <xlrd:rvb i="17308"/>
        </ext>
      </extLst>
    </bk>
    <bk>
      <extLst>
        <ext uri="{3e2802c4-a4d2-4d8b-9148-e3be6c30e623}">
          <xlrd:rvb i="17309"/>
        </ext>
      </extLst>
    </bk>
    <bk>
      <extLst>
        <ext uri="{3e2802c4-a4d2-4d8b-9148-e3be6c30e623}">
          <xlrd:rvb i="17310"/>
        </ext>
      </extLst>
    </bk>
    <bk>
      <extLst>
        <ext uri="{3e2802c4-a4d2-4d8b-9148-e3be6c30e623}">
          <xlrd:rvb i="17311"/>
        </ext>
      </extLst>
    </bk>
    <bk>
      <extLst>
        <ext uri="{3e2802c4-a4d2-4d8b-9148-e3be6c30e623}">
          <xlrd:rvb i="17312"/>
        </ext>
      </extLst>
    </bk>
    <bk>
      <extLst>
        <ext uri="{3e2802c4-a4d2-4d8b-9148-e3be6c30e623}">
          <xlrd:rvb i="17313"/>
        </ext>
      </extLst>
    </bk>
    <bk>
      <extLst>
        <ext uri="{3e2802c4-a4d2-4d8b-9148-e3be6c30e623}">
          <xlrd:rvb i="17314"/>
        </ext>
      </extLst>
    </bk>
    <bk>
      <extLst>
        <ext uri="{3e2802c4-a4d2-4d8b-9148-e3be6c30e623}">
          <xlrd:rvb i="17315"/>
        </ext>
      </extLst>
    </bk>
    <bk>
      <extLst>
        <ext uri="{3e2802c4-a4d2-4d8b-9148-e3be6c30e623}">
          <xlrd:rvb i="17316"/>
        </ext>
      </extLst>
    </bk>
    <bk>
      <extLst>
        <ext uri="{3e2802c4-a4d2-4d8b-9148-e3be6c30e623}">
          <xlrd:rvb i="17317"/>
        </ext>
      </extLst>
    </bk>
    <bk>
      <extLst>
        <ext uri="{3e2802c4-a4d2-4d8b-9148-e3be6c30e623}">
          <xlrd:rvb i="17318"/>
        </ext>
      </extLst>
    </bk>
    <bk>
      <extLst>
        <ext uri="{3e2802c4-a4d2-4d8b-9148-e3be6c30e623}">
          <xlrd:rvb i="17319"/>
        </ext>
      </extLst>
    </bk>
    <bk>
      <extLst>
        <ext uri="{3e2802c4-a4d2-4d8b-9148-e3be6c30e623}">
          <xlrd:rvb i="17320"/>
        </ext>
      </extLst>
    </bk>
    <bk>
      <extLst>
        <ext uri="{3e2802c4-a4d2-4d8b-9148-e3be6c30e623}">
          <xlrd:rvb i="17321"/>
        </ext>
      </extLst>
    </bk>
    <bk>
      <extLst>
        <ext uri="{3e2802c4-a4d2-4d8b-9148-e3be6c30e623}">
          <xlrd:rvb i="17322"/>
        </ext>
      </extLst>
    </bk>
    <bk>
      <extLst>
        <ext uri="{3e2802c4-a4d2-4d8b-9148-e3be6c30e623}">
          <xlrd:rvb i="17323"/>
        </ext>
      </extLst>
    </bk>
    <bk>
      <extLst>
        <ext uri="{3e2802c4-a4d2-4d8b-9148-e3be6c30e623}">
          <xlrd:rvb i="17324"/>
        </ext>
      </extLst>
    </bk>
    <bk>
      <extLst>
        <ext uri="{3e2802c4-a4d2-4d8b-9148-e3be6c30e623}">
          <xlrd:rvb i="17325"/>
        </ext>
      </extLst>
    </bk>
    <bk>
      <extLst>
        <ext uri="{3e2802c4-a4d2-4d8b-9148-e3be6c30e623}">
          <xlrd:rvb i="17326"/>
        </ext>
      </extLst>
    </bk>
    <bk>
      <extLst>
        <ext uri="{3e2802c4-a4d2-4d8b-9148-e3be6c30e623}">
          <xlrd:rvb i="17327"/>
        </ext>
      </extLst>
    </bk>
    <bk>
      <extLst>
        <ext uri="{3e2802c4-a4d2-4d8b-9148-e3be6c30e623}">
          <xlrd:rvb i="17328"/>
        </ext>
      </extLst>
    </bk>
    <bk>
      <extLst>
        <ext uri="{3e2802c4-a4d2-4d8b-9148-e3be6c30e623}">
          <xlrd:rvb i="17329"/>
        </ext>
      </extLst>
    </bk>
    <bk>
      <extLst>
        <ext uri="{3e2802c4-a4d2-4d8b-9148-e3be6c30e623}">
          <xlrd:rvb i="17330"/>
        </ext>
      </extLst>
    </bk>
    <bk>
      <extLst>
        <ext uri="{3e2802c4-a4d2-4d8b-9148-e3be6c30e623}">
          <xlrd:rvb i="17331"/>
        </ext>
      </extLst>
    </bk>
    <bk>
      <extLst>
        <ext uri="{3e2802c4-a4d2-4d8b-9148-e3be6c30e623}">
          <xlrd:rvb i="17332"/>
        </ext>
      </extLst>
    </bk>
    <bk>
      <extLst>
        <ext uri="{3e2802c4-a4d2-4d8b-9148-e3be6c30e623}">
          <xlrd:rvb i="17333"/>
        </ext>
      </extLst>
    </bk>
    <bk>
      <extLst>
        <ext uri="{3e2802c4-a4d2-4d8b-9148-e3be6c30e623}">
          <xlrd:rvb i="17334"/>
        </ext>
      </extLst>
    </bk>
    <bk>
      <extLst>
        <ext uri="{3e2802c4-a4d2-4d8b-9148-e3be6c30e623}">
          <xlrd:rvb i="17335"/>
        </ext>
      </extLst>
    </bk>
    <bk>
      <extLst>
        <ext uri="{3e2802c4-a4d2-4d8b-9148-e3be6c30e623}">
          <xlrd:rvb i="17336"/>
        </ext>
      </extLst>
    </bk>
    <bk>
      <extLst>
        <ext uri="{3e2802c4-a4d2-4d8b-9148-e3be6c30e623}">
          <xlrd:rvb i="17337"/>
        </ext>
      </extLst>
    </bk>
    <bk>
      <extLst>
        <ext uri="{3e2802c4-a4d2-4d8b-9148-e3be6c30e623}">
          <xlrd:rvb i="17338"/>
        </ext>
      </extLst>
    </bk>
    <bk>
      <extLst>
        <ext uri="{3e2802c4-a4d2-4d8b-9148-e3be6c30e623}">
          <xlrd:rvb i="17339"/>
        </ext>
      </extLst>
    </bk>
    <bk>
      <extLst>
        <ext uri="{3e2802c4-a4d2-4d8b-9148-e3be6c30e623}">
          <xlrd:rvb i="17340"/>
        </ext>
      </extLst>
    </bk>
    <bk>
      <extLst>
        <ext uri="{3e2802c4-a4d2-4d8b-9148-e3be6c30e623}">
          <xlrd:rvb i="17341"/>
        </ext>
      </extLst>
    </bk>
    <bk>
      <extLst>
        <ext uri="{3e2802c4-a4d2-4d8b-9148-e3be6c30e623}">
          <xlrd:rvb i="17342"/>
        </ext>
      </extLst>
    </bk>
    <bk>
      <extLst>
        <ext uri="{3e2802c4-a4d2-4d8b-9148-e3be6c30e623}">
          <xlrd:rvb i="17343"/>
        </ext>
      </extLst>
    </bk>
    <bk>
      <extLst>
        <ext uri="{3e2802c4-a4d2-4d8b-9148-e3be6c30e623}">
          <xlrd:rvb i="17344"/>
        </ext>
      </extLst>
    </bk>
    <bk>
      <extLst>
        <ext uri="{3e2802c4-a4d2-4d8b-9148-e3be6c30e623}">
          <xlrd:rvb i="17345"/>
        </ext>
      </extLst>
    </bk>
    <bk>
      <extLst>
        <ext uri="{3e2802c4-a4d2-4d8b-9148-e3be6c30e623}">
          <xlrd:rvb i="17346"/>
        </ext>
      </extLst>
    </bk>
    <bk>
      <extLst>
        <ext uri="{3e2802c4-a4d2-4d8b-9148-e3be6c30e623}">
          <xlrd:rvb i="17347"/>
        </ext>
      </extLst>
    </bk>
    <bk>
      <extLst>
        <ext uri="{3e2802c4-a4d2-4d8b-9148-e3be6c30e623}">
          <xlrd:rvb i="17348"/>
        </ext>
      </extLst>
    </bk>
    <bk>
      <extLst>
        <ext uri="{3e2802c4-a4d2-4d8b-9148-e3be6c30e623}">
          <xlrd:rvb i="17349"/>
        </ext>
      </extLst>
    </bk>
    <bk>
      <extLst>
        <ext uri="{3e2802c4-a4d2-4d8b-9148-e3be6c30e623}">
          <xlrd:rvb i="17350"/>
        </ext>
      </extLst>
    </bk>
    <bk>
      <extLst>
        <ext uri="{3e2802c4-a4d2-4d8b-9148-e3be6c30e623}">
          <xlrd:rvb i="17351"/>
        </ext>
      </extLst>
    </bk>
    <bk>
      <extLst>
        <ext uri="{3e2802c4-a4d2-4d8b-9148-e3be6c30e623}">
          <xlrd:rvb i="17352"/>
        </ext>
      </extLst>
    </bk>
    <bk>
      <extLst>
        <ext uri="{3e2802c4-a4d2-4d8b-9148-e3be6c30e623}">
          <xlrd:rvb i="17353"/>
        </ext>
      </extLst>
    </bk>
    <bk>
      <extLst>
        <ext uri="{3e2802c4-a4d2-4d8b-9148-e3be6c30e623}">
          <xlrd:rvb i="17354"/>
        </ext>
      </extLst>
    </bk>
    <bk>
      <extLst>
        <ext uri="{3e2802c4-a4d2-4d8b-9148-e3be6c30e623}">
          <xlrd:rvb i="17355"/>
        </ext>
      </extLst>
    </bk>
    <bk>
      <extLst>
        <ext uri="{3e2802c4-a4d2-4d8b-9148-e3be6c30e623}">
          <xlrd:rvb i="17356"/>
        </ext>
      </extLst>
    </bk>
    <bk>
      <extLst>
        <ext uri="{3e2802c4-a4d2-4d8b-9148-e3be6c30e623}">
          <xlrd:rvb i="17357"/>
        </ext>
      </extLst>
    </bk>
    <bk>
      <extLst>
        <ext uri="{3e2802c4-a4d2-4d8b-9148-e3be6c30e623}">
          <xlrd:rvb i="17358"/>
        </ext>
      </extLst>
    </bk>
    <bk>
      <extLst>
        <ext uri="{3e2802c4-a4d2-4d8b-9148-e3be6c30e623}">
          <xlrd:rvb i="17359"/>
        </ext>
      </extLst>
    </bk>
    <bk>
      <extLst>
        <ext uri="{3e2802c4-a4d2-4d8b-9148-e3be6c30e623}">
          <xlrd:rvb i="17360"/>
        </ext>
      </extLst>
    </bk>
    <bk>
      <extLst>
        <ext uri="{3e2802c4-a4d2-4d8b-9148-e3be6c30e623}">
          <xlrd:rvb i="17361"/>
        </ext>
      </extLst>
    </bk>
    <bk>
      <extLst>
        <ext uri="{3e2802c4-a4d2-4d8b-9148-e3be6c30e623}">
          <xlrd:rvb i="17362"/>
        </ext>
      </extLst>
    </bk>
    <bk>
      <extLst>
        <ext uri="{3e2802c4-a4d2-4d8b-9148-e3be6c30e623}">
          <xlrd:rvb i="17363"/>
        </ext>
      </extLst>
    </bk>
    <bk>
      <extLst>
        <ext uri="{3e2802c4-a4d2-4d8b-9148-e3be6c30e623}">
          <xlrd:rvb i="17364"/>
        </ext>
      </extLst>
    </bk>
    <bk>
      <extLst>
        <ext uri="{3e2802c4-a4d2-4d8b-9148-e3be6c30e623}">
          <xlrd:rvb i="17365"/>
        </ext>
      </extLst>
    </bk>
    <bk>
      <extLst>
        <ext uri="{3e2802c4-a4d2-4d8b-9148-e3be6c30e623}">
          <xlrd:rvb i="17366"/>
        </ext>
      </extLst>
    </bk>
    <bk>
      <extLst>
        <ext uri="{3e2802c4-a4d2-4d8b-9148-e3be6c30e623}">
          <xlrd:rvb i="17367"/>
        </ext>
      </extLst>
    </bk>
    <bk>
      <extLst>
        <ext uri="{3e2802c4-a4d2-4d8b-9148-e3be6c30e623}">
          <xlrd:rvb i="17368"/>
        </ext>
      </extLst>
    </bk>
    <bk>
      <extLst>
        <ext uri="{3e2802c4-a4d2-4d8b-9148-e3be6c30e623}">
          <xlrd:rvb i="17369"/>
        </ext>
      </extLst>
    </bk>
    <bk>
      <extLst>
        <ext uri="{3e2802c4-a4d2-4d8b-9148-e3be6c30e623}">
          <xlrd:rvb i="17370"/>
        </ext>
      </extLst>
    </bk>
    <bk>
      <extLst>
        <ext uri="{3e2802c4-a4d2-4d8b-9148-e3be6c30e623}">
          <xlrd:rvb i="17371"/>
        </ext>
      </extLst>
    </bk>
    <bk>
      <extLst>
        <ext uri="{3e2802c4-a4d2-4d8b-9148-e3be6c30e623}">
          <xlrd:rvb i="17372"/>
        </ext>
      </extLst>
    </bk>
    <bk>
      <extLst>
        <ext uri="{3e2802c4-a4d2-4d8b-9148-e3be6c30e623}">
          <xlrd:rvb i="17373"/>
        </ext>
      </extLst>
    </bk>
    <bk>
      <extLst>
        <ext uri="{3e2802c4-a4d2-4d8b-9148-e3be6c30e623}">
          <xlrd:rvb i="17374"/>
        </ext>
      </extLst>
    </bk>
    <bk>
      <extLst>
        <ext uri="{3e2802c4-a4d2-4d8b-9148-e3be6c30e623}">
          <xlrd:rvb i="17375"/>
        </ext>
      </extLst>
    </bk>
    <bk>
      <extLst>
        <ext uri="{3e2802c4-a4d2-4d8b-9148-e3be6c30e623}">
          <xlrd:rvb i="17376"/>
        </ext>
      </extLst>
    </bk>
    <bk>
      <extLst>
        <ext uri="{3e2802c4-a4d2-4d8b-9148-e3be6c30e623}">
          <xlrd:rvb i="17377"/>
        </ext>
      </extLst>
    </bk>
    <bk>
      <extLst>
        <ext uri="{3e2802c4-a4d2-4d8b-9148-e3be6c30e623}">
          <xlrd:rvb i="17378"/>
        </ext>
      </extLst>
    </bk>
    <bk>
      <extLst>
        <ext uri="{3e2802c4-a4d2-4d8b-9148-e3be6c30e623}">
          <xlrd:rvb i="17379"/>
        </ext>
      </extLst>
    </bk>
    <bk>
      <extLst>
        <ext uri="{3e2802c4-a4d2-4d8b-9148-e3be6c30e623}">
          <xlrd:rvb i="17380"/>
        </ext>
      </extLst>
    </bk>
    <bk>
      <extLst>
        <ext uri="{3e2802c4-a4d2-4d8b-9148-e3be6c30e623}">
          <xlrd:rvb i="17381"/>
        </ext>
      </extLst>
    </bk>
    <bk>
      <extLst>
        <ext uri="{3e2802c4-a4d2-4d8b-9148-e3be6c30e623}">
          <xlrd:rvb i="17382"/>
        </ext>
      </extLst>
    </bk>
    <bk>
      <extLst>
        <ext uri="{3e2802c4-a4d2-4d8b-9148-e3be6c30e623}">
          <xlrd:rvb i="17383"/>
        </ext>
      </extLst>
    </bk>
    <bk>
      <extLst>
        <ext uri="{3e2802c4-a4d2-4d8b-9148-e3be6c30e623}">
          <xlrd:rvb i="17384"/>
        </ext>
      </extLst>
    </bk>
    <bk>
      <extLst>
        <ext uri="{3e2802c4-a4d2-4d8b-9148-e3be6c30e623}">
          <xlrd:rvb i="17385"/>
        </ext>
      </extLst>
    </bk>
    <bk>
      <extLst>
        <ext uri="{3e2802c4-a4d2-4d8b-9148-e3be6c30e623}">
          <xlrd:rvb i="17386"/>
        </ext>
      </extLst>
    </bk>
    <bk>
      <extLst>
        <ext uri="{3e2802c4-a4d2-4d8b-9148-e3be6c30e623}">
          <xlrd:rvb i="17387"/>
        </ext>
      </extLst>
    </bk>
    <bk>
      <extLst>
        <ext uri="{3e2802c4-a4d2-4d8b-9148-e3be6c30e623}">
          <xlrd:rvb i="17388"/>
        </ext>
      </extLst>
    </bk>
    <bk>
      <extLst>
        <ext uri="{3e2802c4-a4d2-4d8b-9148-e3be6c30e623}">
          <xlrd:rvb i="17389"/>
        </ext>
      </extLst>
    </bk>
    <bk>
      <extLst>
        <ext uri="{3e2802c4-a4d2-4d8b-9148-e3be6c30e623}">
          <xlrd:rvb i="17390"/>
        </ext>
      </extLst>
    </bk>
    <bk>
      <extLst>
        <ext uri="{3e2802c4-a4d2-4d8b-9148-e3be6c30e623}">
          <xlrd:rvb i="17391"/>
        </ext>
      </extLst>
    </bk>
    <bk>
      <extLst>
        <ext uri="{3e2802c4-a4d2-4d8b-9148-e3be6c30e623}">
          <xlrd:rvb i="17392"/>
        </ext>
      </extLst>
    </bk>
    <bk>
      <extLst>
        <ext uri="{3e2802c4-a4d2-4d8b-9148-e3be6c30e623}">
          <xlrd:rvb i="17393"/>
        </ext>
      </extLst>
    </bk>
    <bk>
      <extLst>
        <ext uri="{3e2802c4-a4d2-4d8b-9148-e3be6c30e623}">
          <xlrd:rvb i="17394"/>
        </ext>
      </extLst>
    </bk>
    <bk>
      <extLst>
        <ext uri="{3e2802c4-a4d2-4d8b-9148-e3be6c30e623}">
          <xlrd:rvb i="17395"/>
        </ext>
      </extLst>
    </bk>
    <bk>
      <extLst>
        <ext uri="{3e2802c4-a4d2-4d8b-9148-e3be6c30e623}">
          <xlrd:rvb i="17396"/>
        </ext>
      </extLst>
    </bk>
    <bk>
      <extLst>
        <ext uri="{3e2802c4-a4d2-4d8b-9148-e3be6c30e623}">
          <xlrd:rvb i="17397"/>
        </ext>
      </extLst>
    </bk>
    <bk>
      <extLst>
        <ext uri="{3e2802c4-a4d2-4d8b-9148-e3be6c30e623}">
          <xlrd:rvb i="17398"/>
        </ext>
      </extLst>
    </bk>
    <bk>
      <extLst>
        <ext uri="{3e2802c4-a4d2-4d8b-9148-e3be6c30e623}">
          <xlrd:rvb i="17399"/>
        </ext>
      </extLst>
    </bk>
    <bk>
      <extLst>
        <ext uri="{3e2802c4-a4d2-4d8b-9148-e3be6c30e623}">
          <xlrd:rvb i="17400"/>
        </ext>
      </extLst>
    </bk>
    <bk>
      <extLst>
        <ext uri="{3e2802c4-a4d2-4d8b-9148-e3be6c30e623}">
          <xlrd:rvb i="17401"/>
        </ext>
      </extLst>
    </bk>
    <bk>
      <extLst>
        <ext uri="{3e2802c4-a4d2-4d8b-9148-e3be6c30e623}">
          <xlrd:rvb i="17402"/>
        </ext>
      </extLst>
    </bk>
    <bk>
      <extLst>
        <ext uri="{3e2802c4-a4d2-4d8b-9148-e3be6c30e623}">
          <xlrd:rvb i="17403"/>
        </ext>
      </extLst>
    </bk>
    <bk>
      <extLst>
        <ext uri="{3e2802c4-a4d2-4d8b-9148-e3be6c30e623}">
          <xlrd:rvb i="17404"/>
        </ext>
      </extLst>
    </bk>
    <bk>
      <extLst>
        <ext uri="{3e2802c4-a4d2-4d8b-9148-e3be6c30e623}">
          <xlrd:rvb i="17405"/>
        </ext>
      </extLst>
    </bk>
    <bk>
      <extLst>
        <ext uri="{3e2802c4-a4d2-4d8b-9148-e3be6c30e623}">
          <xlrd:rvb i="17406"/>
        </ext>
      </extLst>
    </bk>
    <bk>
      <extLst>
        <ext uri="{3e2802c4-a4d2-4d8b-9148-e3be6c30e623}">
          <xlrd:rvb i="17407"/>
        </ext>
      </extLst>
    </bk>
    <bk>
      <extLst>
        <ext uri="{3e2802c4-a4d2-4d8b-9148-e3be6c30e623}">
          <xlrd:rvb i="17408"/>
        </ext>
      </extLst>
    </bk>
    <bk>
      <extLst>
        <ext uri="{3e2802c4-a4d2-4d8b-9148-e3be6c30e623}">
          <xlrd:rvb i="17409"/>
        </ext>
      </extLst>
    </bk>
    <bk>
      <extLst>
        <ext uri="{3e2802c4-a4d2-4d8b-9148-e3be6c30e623}">
          <xlrd:rvb i="17410"/>
        </ext>
      </extLst>
    </bk>
    <bk>
      <extLst>
        <ext uri="{3e2802c4-a4d2-4d8b-9148-e3be6c30e623}">
          <xlrd:rvb i="17411"/>
        </ext>
      </extLst>
    </bk>
    <bk>
      <extLst>
        <ext uri="{3e2802c4-a4d2-4d8b-9148-e3be6c30e623}">
          <xlrd:rvb i="17412"/>
        </ext>
      </extLst>
    </bk>
    <bk>
      <extLst>
        <ext uri="{3e2802c4-a4d2-4d8b-9148-e3be6c30e623}">
          <xlrd:rvb i="17413"/>
        </ext>
      </extLst>
    </bk>
    <bk>
      <extLst>
        <ext uri="{3e2802c4-a4d2-4d8b-9148-e3be6c30e623}">
          <xlrd:rvb i="17414"/>
        </ext>
      </extLst>
    </bk>
    <bk>
      <extLst>
        <ext uri="{3e2802c4-a4d2-4d8b-9148-e3be6c30e623}">
          <xlrd:rvb i="17415"/>
        </ext>
      </extLst>
    </bk>
    <bk>
      <extLst>
        <ext uri="{3e2802c4-a4d2-4d8b-9148-e3be6c30e623}">
          <xlrd:rvb i="17416"/>
        </ext>
      </extLst>
    </bk>
    <bk>
      <extLst>
        <ext uri="{3e2802c4-a4d2-4d8b-9148-e3be6c30e623}">
          <xlrd:rvb i="17417"/>
        </ext>
      </extLst>
    </bk>
    <bk>
      <extLst>
        <ext uri="{3e2802c4-a4d2-4d8b-9148-e3be6c30e623}">
          <xlrd:rvb i="17418"/>
        </ext>
      </extLst>
    </bk>
    <bk>
      <extLst>
        <ext uri="{3e2802c4-a4d2-4d8b-9148-e3be6c30e623}">
          <xlrd:rvb i="17419"/>
        </ext>
      </extLst>
    </bk>
    <bk>
      <extLst>
        <ext uri="{3e2802c4-a4d2-4d8b-9148-e3be6c30e623}">
          <xlrd:rvb i="17420"/>
        </ext>
      </extLst>
    </bk>
    <bk>
      <extLst>
        <ext uri="{3e2802c4-a4d2-4d8b-9148-e3be6c30e623}">
          <xlrd:rvb i="17421"/>
        </ext>
      </extLst>
    </bk>
    <bk>
      <extLst>
        <ext uri="{3e2802c4-a4d2-4d8b-9148-e3be6c30e623}">
          <xlrd:rvb i="17422"/>
        </ext>
      </extLst>
    </bk>
    <bk>
      <extLst>
        <ext uri="{3e2802c4-a4d2-4d8b-9148-e3be6c30e623}">
          <xlrd:rvb i="17423"/>
        </ext>
      </extLst>
    </bk>
    <bk>
      <extLst>
        <ext uri="{3e2802c4-a4d2-4d8b-9148-e3be6c30e623}">
          <xlrd:rvb i="17424"/>
        </ext>
      </extLst>
    </bk>
    <bk>
      <extLst>
        <ext uri="{3e2802c4-a4d2-4d8b-9148-e3be6c30e623}">
          <xlrd:rvb i="17425"/>
        </ext>
      </extLst>
    </bk>
    <bk>
      <extLst>
        <ext uri="{3e2802c4-a4d2-4d8b-9148-e3be6c30e623}">
          <xlrd:rvb i="17426"/>
        </ext>
      </extLst>
    </bk>
    <bk>
      <extLst>
        <ext uri="{3e2802c4-a4d2-4d8b-9148-e3be6c30e623}">
          <xlrd:rvb i="17427"/>
        </ext>
      </extLst>
    </bk>
    <bk>
      <extLst>
        <ext uri="{3e2802c4-a4d2-4d8b-9148-e3be6c30e623}">
          <xlrd:rvb i="17428"/>
        </ext>
      </extLst>
    </bk>
    <bk>
      <extLst>
        <ext uri="{3e2802c4-a4d2-4d8b-9148-e3be6c30e623}">
          <xlrd:rvb i="17429"/>
        </ext>
      </extLst>
    </bk>
    <bk>
      <extLst>
        <ext uri="{3e2802c4-a4d2-4d8b-9148-e3be6c30e623}">
          <xlrd:rvb i="17430"/>
        </ext>
      </extLst>
    </bk>
    <bk>
      <extLst>
        <ext uri="{3e2802c4-a4d2-4d8b-9148-e3be6c30e623}">
          <xlrd:rvb i="17431"/>
        </ext>
      </extLst>
    </bk>
    <bk>
      <extLst>
        <ext uri="{3e2802c4-a4d2-4d8b-9148-e3be6c30e623}">
          <xlrd:rvb i="17432"/>
        </ext>
      </extLst>
    </bk>
    <bk>
      <extLst>
        <ext uri="{3e2802c4-a4d2-4d8b-9148-e3be6c30e623}">
          <xlrd:rvb i="17433"/>
        </ext>
      </extLst>
    </bk>
    <bk>
      <extLst>
        <ext uri="{3e2802c4-a4d2-4d8b-9148-e3be6c30e623}">
          <xlrd:rvb i="17434"/>
        </ext>
      </extLst>
    </bk>
    <bk>
      <extLst>
        <ext uri="{3e2802c4-a4d2-4d8b-9148-e3be6c30e623}">
          <xlrd:rvb i="17435"/>
        </ext>
      </extLst>
    </bk>
    <bk>
      <extLst>
        <ext uri="{3e2802c4-a4d2-4d8b-9148-e3be6c30e623}">
          <xlrd:rvb i="17436"/>
        </ext>
      </extLst>
    </bk>
    <bk>
      <extLst>
        <ext uri="{3e2802c4-a4d2-4d8b-9148-e3be6c30e623}">
          <xlrd:rvb i="17437"/>
        </ext>
      </extLst>
    </bk>
    <bk>
      <extLst>
        <ext uri="{3e2802c4-a4d2-4d8b-9148-e3be6c30e623}">
          <xlrd:rvb i="17438"/>
        </ext>
      </extLst>
    </bk>
    <bk>
      <extLst>
        <ext uri="{3e2802c4-a4d2-4d8b-9148-e3be6c30e623}">
          <xlrd:rvb i="17439"/>
        </ext>
      </extLst>
    </bk>
    <bk>
      <extLst>
        <ext uri="{3e2802c4-a4d2-4d8b-9148-e3be6c30e623}">
          <xlrd:rvb i="17440"/>
        </ext>
      </extLst>
    </bk>
    <bk>
      <extLst>
        <ext uri="{3e2802c4-a4d2-4d8b-9148-e3be6c30e623}">
          <xlrd:rvb i="17441"/>
        </ext>
      </extLst>
    </bk>
    <bk>
      <extLst>
        <ext uri="{3e2802c4-a4d2-4d8b-9148-e3be6c30e623}">
          <xlrd:rvb i="17442"/>
        </ext>
      </extLst>
    </bk>
    <bk>
      <extLst>
        <ext uri="{3e2802c4-a4d2-4d8b-9148-e3be6c30e623}">
          <xlrd:rvb i="17443"/>
        </ext>
      </extLst>
    </bk>
    <bk>
      <extLst>
        <ext uri="{3e2802c4-a4d2-4d8b-9148-e3be6c30e623}">
          <xlrd:rvb i="17444"/>
        </ext>
      </extLst>
    </bk>
    <bk>
      <extLst>
        <ext uri="{3e2802c4-a4d2-4d8b-9148-e3be6c30e623}">
          <xlrd:rvb i="17445"/>
        </ext>
      </extLst>
    </bk>
    <bk>
      <extLst>
        <ext uri="{3e2802c4-a4d2-4d8b-9148-e3be6c30e623}">
          <xlrd:rvb i="17446"/>
        </ext>
      </extLst>
    </bk>
    <bk>
      <extLst>
        <ext uri="{3e2802c4-a4d2-4d8b-9148-e3be6c30e623}">
          <xlrd:rvb i="17447"/>
        </ext>
      </extLst>
    </bk>
    <bk>
      <extLst>
        <ext uri="{3e2802c4-a4d2-4d8b-9148-e3be6c30e623}">
          <xlrd:rvb i="17448"/>
        </ext>
      </extLst>
    </bk>
    <bk>
      <extLst>
        <ext uri="{3e2802c4-a4d2-4d8b-9148-e3be6c30e623}">
          <xlrd:rvb i="17449"/>
        </ext>
      </extLst>
    </bk>
    <bk>
      <extLst>
        <ext uri="{3e2802c4-a4d2-4d8b-9148-e3be6c30e623}">
          <xlrd:rvb i="17450"/>
        </ext>
      </extLst>
    </bk>
    <bk>
      <extLst>
        <ext uri="{3e2802c4-a4d2-4d8b-9148-e3be6c30e623}">
          <xlrd:rvb i="17451"/>
        </ext>
      </extLst>
    </bk>
    <bk>
      <extLst>
        <ext uri="{3e2802c4-a4d2-4d8b-9148-e3be6c30e623}">
          <xlrd:rvb i="17452"/>
        </ext>
      </extLst>
    </bk>
    <bk>
      <extLst>
        <ext uri="{3e2802c4-a4d2-4d8b-9148-e3be6c30e623}">
          <xlrd:rvb i="17453"/>
        </ext>
      </extLst>
    </bk>
    <bk>
      <extLst>
        <ext uri="{3e2802c4-a4d2-4d8b-9148-e3be6c30e623}">
          <xlrd:rvb i="17454"/>
        </ext>
      </extLst>
    </bk>
    <bk>
      <extLst>
        <ext uri="{3e2802c4-a4d2-4d8b-9148-e3be6c30e623}">
          <xlrd:rvb i="17455"/>
        </ext>
      </extLst>
    </bk>
    <bk>
      <extLst>
        <ext uri="{3e2802c4-a4d2-4d8b-9148-e3be6c30e623}">
          <xlrd:rvb i="17456"/>
        </ext>
      </extLst>
    </bk>
    <bk>
      <extLst>
        <ext uri="{3e2802c4-a4d2-4d8b-9148-e3be6c30e623}">
          <xlrd:rvb i="17457"/>
        </ext>
      </extLst>
    </bk>
    <bk>
      <extLst>
        <ext uri="{3e2802c4-a4d2-4d8b-9148-e3be6c30e623}">
          <xlrd:rvb i="17458"/>
        </ext>
      </extLst>
    </bk>
    <bk>
      <extLst>
        <ext uri="{3e2802c4-a4d2-4d8b-9148-e3be6c30e623}">
          <xlrd:rvb i="17459"/>
        </ext>
      </extLst>
    </bk>
    <bk>
      <extLst>
        <ext uri="{3e2802c4-a4d2-4d8b-9148-e3be6c30e623}">
          <xlrd:rvb i="17460"/>
        </ext>
      </extLst>
    </bk>
    <bk>
      <extLst>
        <ext uri="{3e2802c4-a4d2-4d8b-9148-e3be6c30e623}">
          <xlrd:rvb i="17461"/>
        </ext>
      </extLst>
    </bk>
    <bk>
      <extLst>
        <ext uri="{3e2802c4-a4d2-4d8b-9148-e3be6c30e623}">
          <xlrd:rvb i="17462"/>
        </ext>
      </extLst>
    </bk>
    <bk>
      <extLst>
        <ext uri="{3e2802c4-a4d2-4d8b-9148-e3be6c30e623}">
          <xlrd:rvb i="17463"/>
        </ext>
      </extLst>
    </bk>
    <bk>
      <extLst>
        <ext uri="{3e2802c4-a4d2-4d8b-9148-e3be6c30e623}">
          <xlrd:rvb i="17464"/>
        </ext>
      </extLst>
    </bk>
    <bk>
      <extLst>
        <ext uri="{3e2802c4-a4d2-4d8b-9148-e3be6c30e623}">
          <xlrd:rvb i="17465"/>
        </ext>
      </extLst>
    </bk>
    <bk>
      <extLst>
        <ext uri="{3e2802c4-a4d2-4d8b-9148-e3be6c30e623}">
          <xlrd:rvb i="17466"/>
        </ext>
      </extLst>
    </bk>
    <bk>
      <extLst>
        <ext uri="{3e2802c4-a4d2-4d8b-9148-e3be6c30e623}">
          <xlrd:rvb i="17467"/>
        </ext>
      </extLst>
    </bk>
    <bk>
      <extLst>
        <ext uri="{3e2802c4-a4d2-4d8b-9148-e3be6c30e623}">
          <xlrd:rvb i="17468"/>
        </ext>
      </extLst>
    </bk>
    <bk>
      <extLst>
        <ext uri="{3e2802c4-a4d2-4d8b-9148-e3be6c30e623}">
          <xlrd:rvb i="17469"/>
        </ext>
      </extLst>
    </bk>
    <bk>
      <extLst>
        <ext uri="{3e2802c4-a4d2-4d8b-9148-e3be6c30e623}">
          <xlrd:rvb i="17470"/>
        </ext>
      </extLst>
    </bk>
    <bk>
      <extLst>
        <ext uri="{3e2802c4-a4d2-4d8b-9148-e3be6c30e623}">
          <xlrd:rvb i="17471"/>
        </ext>
      </extLst>
    </bk>
    <bk>
      <extLst>
        <ext uri="{3e2802c4-a4d2-4d8b-9148-e3be6c30e623}">
          <xlrd:rvb i="17472"/>
        </ext>
      </extLst>
    </bk>
    <bk>
      <extLst>
        <ext uri="{3e2802c4-a4d2-4d8b-9148-e3be6c30e623}">
          <xlrd:rvb i="17473"/>
        </ext>
      </extLst>
    </bk>
    <bk>
      <extLst>
        <ext uri="{3e2802c4-a4d2-4d8b-9148-e3be6c30e623}">
          <xlrd:rvb i="17474"/>
        </ext>
      </extLst>
    </bk>
    <bk>
      <extLst>
        <ext uri="{3e2802c4-a4d2-4d8b-9148-e3be6c30e623}">
          <xlrd:rvb i="17475"/>
        </ext>
      </extLst>
    </bk>
    <bk>
      <extLst>
        <ext uri="{3e2802c4-a4d2-4d8b-9148-e3be6c30e623}">
          <xlrd:rvb i="17476"/>
        </ext>
      </extLst>
    </bk>
    <bk>
      <extLst>
        <ext uri="{3e2802c4-a4d2-4d8b-9148-e3be6c30e623}">
          <xlrd:rvb i="17477"/>
        </ext>
      </extLst>
    </bk>
    <bk>
      <extLst>
        <ext uri="{3e2802c4-a4d2-4d8b-9148-e3be6c30e623}">
          <xlrd:rvb i="17478"/>
        </ext>
      </extLst>
    </bk>
    <bk>
      <extLst>
        <ext uri="{3e2802c4-a4d2-4d8b-9148-e3be6c30e623}">
          <xlrd:rvb i="17479"/>
        </ext>
      </extLst>
    </bk>
    <bk>
      <extLst>
        <ext uri="{3e2802c4-a4d2-4d8b-9148-e3be6c30e623}">
          <xlrd:rvb i="17480"/>
        </ext>
      </extLst>
    </bk>
    <bk>
      <extLst>
        <ext uri="{3e2802c4-a4d2-4d8b-9148-e3be6c30e623}">
          <xlrd:rvb i="17481"/>
        </ext>
      </extLst>
    </bk>
    <bk>
      <extLst>
        <ext uri="{3e2802c4-a4d2-4d8b-9148-e3be6c30e623}">
          <xlrd:rvb i="17482"/>
        </ext>
      </extLst>
    </bk>
    <bk>
      <extLst>
        <ext uri="{3e2802c4-a4d2-4d8b-9148-e3be6c30e623}">
          <xlrd:rvb i="17483"/>
        </ext>
      </extLst>
    </bk>
    <bk>
      <extLst>
        <ext uri="{3e2802c4-a4d2-4d8b-9148-e3be6c30e623}">
          <xlrd:rvb i="17484"/>
        </ext>
      </extLst>
    </bk>
    <bk>
      <extLst>
        <ext uri="{3e2802c4-a4d2-4d8b-9148-e3be6c30e623}">
          <xlrd:rvb i="17485"/>
        </ext>
      </extLst>
    </bk>
    <bk>
      <extLst>
        <ext uri="{3e2802c4-a4d2-4d8b-9148-e3be6c30e623}">
          <xlrd:rvb i="17486"/>
        </ext>
      </extLst>
    </bk>
    <bk>
      <extLst>
        <ext uri="{3e2802c4-a4d2-4d8b-9148-e3be6c30e623}">
          <xlrd:rvb i="17487"/>
        </ext>
      </extLst>
    </bk>
    <bk>
      <extLst>
        <ext uri="{3e2802c4-a4d2-4d8b-9148-e3be6c30e623}">
          <xlrd:rvb i="17488"/>
        </ext>
      </extLst>
    </bk>
    <bk>
      <extLst>
        <ext uri="{3e2802c4-a4d2-4d8b-9148-e3be6c30e623}">
          <xlrd:rvb i="17489"/>
        </ext>
      </extLst>
    </bk>
    <bk>
      <extLst>
        <ext uri="{3e2802c4-a4d2-4d8b-9148-e3be6c30e623}">
          <xlrd:rvb i="17490"/>
        </ext>
      </extLst>
    </bk>
    <bk>
      <extLst>
        <ext uri="{3e2802c4-a4d2-4d8b-9148-e3be6c30e623}">
          <xlrd:rvb i="17491"/>
        </ext>
      </extLst>
    </bk>
    <bk>
      <extLst>
        <ext uri="{3e2802c4-a4d2-4d8b-9148-e3be6c30e623}">
          <xlrd:rvb i="17492"/>
        </ext>
      </extLst>
    </bk>
    <bk>
      <extLst>
        <ext uri="{3e2802c4-a4d2-4d8b-9148-e3be6c30e623}">
          <xlrd:rvb i="17493"/>
        </ext>
      </extLst>
    </bk>
    <bk>
      <extLst>
        <ext uri="{3e2802c4-a4d2-4d8b-9148-e3be6c30e623}">
          <xlrd:rvb i="17494"/>
        </ext>
      </extLst>
    </bk>
    <bk>
      <extLst>
        <ext uri="{3e2802c4-a4d2-4d8b-9148-e3be6c30e623}">
          <xlrd:rvb i="17495"/>
        </ext>
      </extLst>
    </bk>
    <bk>
      <extLst>
        <ext uri="{3e2802c4-a4d2-4d8b-9148-e3be6c30e623}">
          <xlrd:rvb i="17496"/>
        </ext>
      </extLst>
    </bk>
    <bk>
      <extLst>
        <ext uri="{3e2802c4-a4d2-4d8b-9148-e3be6c30e623}">
          <xlrd:rvb i="17497"/>
        </ext>
      </extLst>
    </bk>
    <bk>
      <extLst>
        <ext uri="{3e2802c4-a4d2-4d8b-9148-e3be6c30e623}">
          <xlrd:rvb i="17498"/>
        </ext>
      </extLst>
    </bk>
    <bk>
      <extLst>
        <ext uri="{3e2802c4-a4d2-4d8b-9148-e3be6c30e623}">
          <xlrd:rvb i="17499"/>
        </ext>
      </extLst>
    </bk>
    <bk>
      <extLst>
        <ext uri="{3e2802c4-a4d2-4d8b-9148-e3be6c30e623}">
          <xlrd:rvb i="17500"/>
        </ext>
      </extLst>
    </bk>
    <bk>
      <extLst>
        <ext uri="{3e2802c4-a4d2-4d8b-9148-e3be6c30e623}">
          <xlrd:rvb i="17501"/>
        </ext>
      </extLst>
    </bk>
    <bk>
      <extLst>
        <ext uri="{3e2802c4-a4d2-4d8b-9148-e3be6c30e623}">
          <xlrd:rvb i="17502"/>
        </ext>
      </extLst>
    </bk>
    <bk>
      <extLst>
        <ext uri="{3e2802c4-a4d2-4d8b-9148-e3be6c30e623}">
          <xlrd:rvb i="17503"/>
        </ext>
      </extLst>
    </bk>
    <bk>
      <extLst>
        <ext uri="{3e2802c4-a4d2-4d8b-9148-e3be6c30e623}">
          <xlrd:rvb i="17504"/>
        </ext>
      </extLst>
    </bk>
    <bk>
      <extLst>
        <ext uri="{3e2802c4-a4d2-4d8b-9148-e3be6c30e623}">
          <xlrd:rvb i="17505"/>
        </ext>
      </extLst>
    </bk>
    <bk>
      <extLst>
        <ext uri="{3e2802c4-a4d2-4d8b-9148-e3be6c30e623}">
          <xlrd:rvb i="17506"/>
        </ext>
      </extLst>
    </bk>
    <bk>
      <extLst>
        <ext uri="{3e2802c4-a4d2-4d8b-9148-e3be6c30e623}">
          <xlrd:rvb i="17507"/>
        </ext>
      </extLst>
    </bk>
    <bk>
      <extLst>
        <ext uri="{3e2802c4-a4d2-4d8b-9148-e3be6c30e623}">
          <xlrd:rvb i="17508"/>
        </ext>
      </extLst>
    </bk>
    <bk>
      <extLst>
        <ext uri="{3e2802c4-a4d2-4d8b-9148-e3be6c30e623}">
          <xlrd:rvb i="17509"/>
        </ext>
      </extLst>
    </bk>
    <bk>
      <extLst>
        <ext uri="{3e2802c4-a4d2-4d8b-9148-e3be6c30e623}">
          <xlrd:rvb i="17510"/>
        </ext>
      </extLst>
    </bk>
    <bk>
      <extLst>
        <ext uri="{3e2802c4-a4d2-4d8b-9148-e3be6c30e623}">
          <xlrd:rvb i="17511"/>
        </ext>
      </extLst>
    </bk>
    <bk>
      <extLst>
        <ext uri="{3e2802c4-a4d2-4d8b-9148-e3be6c30e623}">
          <xlrd:rvb i="17512"/>
        </ext>
      </extLst>
    </bk>
    <bk>
      <extLst>
        <ext uri="{3e2802c4-a4d2-4d8b-9148-e3be6c30e623}">
          <xlrd:rvb i="17513"/>
        </ext>
      </extLst>
    </bk>
    <bk>
      <extLst>
        <ext uri="{3e2802c4-a4d2-4d8b-9148-e3be6c30e623}">
          <xlrd:rvb i="17514"/>
        </ext>
      </extLst>
    </bk>
    <bk>
      <extLst>
        <ext uri="{3e2802c4-a4d2-4d8b-9148-e3be6c30e623}">
          <xlrd:rvb i="17515"/>
        </ext>
      </extLst>
    </bk>
    <bk>
      <extLst>
        <ext uri="{3e2802c4-a4d2-4d8b-9148-e3be6c30e623}">
          <xlrd:rvb i="17516"/>
        </ext>
      </extLst>
    </bk>
    <bk>
      <extLst>
        <ext uri="{3e2802c4-a4d2-4d8b-9148-e3be6c30e623}">
          <xlrd:rvb i="17517"/>
        </ext>
      </extLst>
    </bk>
    <bk>
      <extLst>
        <ext uri="{3e2802c4-a4d2-4d8b-9148-e3be6c30e623}">
          <xlrd:rvb i="17518"/>
        </ext>
      </extLst>
    </bk>
    <bk>
      <extLst>
        <ext uri="{3e2802c4-a4d2-4d8b-9148-e3be6c30e623}">
          <xlrd:rvb i="17519"/>
        </ext>
      </extLst>
    </bk>
    <bk>
      <extLst>
        <ext uri="{3e2802c4-a4d2-4d8b-9148-e3be6c30e623}">
          <xlrd:rvb i="17520"/>
        </ext>
      </extLst>
    </bk>
    <bk>
      <extLst>
        <ext uri="{3e2802c4-a4d2-4d8b-9148-e3be6c30e623}">
          <xlrd:rvb i="17521"/>
        </ext>
      </extLst>
    </bk>
    <bk>
      <extLst>
        <ext uri="{3e2802c4-a4d2-4d8b-9148-e3be6c30e623}">
          <xlrd:rvb i="17522"/>
        </ext>
      </extLst>
    </bk>
    <bk>
      <extLst>
        <ext uri="{3e2802c4-a4d2-4d8b-9148-e3be6c30e623}">
          <xlrd:rvb i="17523"/>
        </ext>
      </extLst>
    </bk>
    <bk>
      <extLst>
        <ext uri="{3e2802c4-a4d2-4d8b-9148-e3be6c30e623}">
          <xlrd:rvb i="17524"/>
        </ext>
      </extLst>
    </bk>
    <bk>
      <extLst>
        <ext uri="{3e2802c4-a4d2-4d8b-9148-e3be6c30e623}">
          <xlrd:rvb i="17525"/>
        </ext>
      </extLst>
    </bk>
    <bk>
      <extLst>
        <ext uri="{3e2802c4-a4d2-4d8b-9148-e3be6c30e623}">
          <xlrd:rvb i="17526"/>
        </ext>
      </extLst>
    </bk>
    <bk>
      <extLst>
        <ext uri="{3e2802c4-a4d2-4d8b-9148-e3be6c30e623}">
          <xlrd:rvb i="17527"/>
        </ext>
      </extLst>
    </bk>
    <bk>
      <extLst>
        <ext uri="{3e2802c4-a4d2-4d8b-9148-e3be6c30e623}">
          <xlrd:rvb i="17528"/>
        </ext>
      </extLst>
    </bk>
    <bk>
      <extLst>
        <ext uri="{3e2802c4-a4d2-4d8b-9148-e3be6c30e623}">
          <xlrd:rvb i="17529"/>
        </ext>
      </extLst>
    </bk>
    <bk>
      <extLst>
        <ext uri="{3e2802c4-a4d2-4d8b-9148-e3be6c30e623}">
          <xlrd:rvb i="17530"/>
        </ext>
      </extLst>
    </bk>
    <bk>
      <extLst>
        <ext uri="{3e2802c4-a4d2-4d8b-9148-e3be6c30e623}">
          <xlrd:rvb i="17531"/>
        </ext>
      </extLst>
    </bk>
    <bk>
      <extLst>
        <ext uri="{3e2802c4-a4d2-4d8b-9148-e3be6c30e623}">
          <xlrd:rvb i="17532"/>
        </ext>
      </extLst>
    </bk>
    <bk>
      <extLst>
        <ext uri="{3e2802c4-a4d2-4d8b-9148-e3be6c30e623}">
          <xlrd:rvb i="17533"/>
        </ext>
      </extLst>
    </bk>
    <bk>
      <extLst>
        <ext uri="{3e2802c4-a4d2-4d8b-9148-e3be6c30e623}">
          <xlrd:rvb i="17534"/>
        </ext>
      </extLst>
    </bk>
    <bk>
      <extLst>
        <ext uri="{3e2802c4-a4d2-4d8b-9148-e3be6c30e623}">
          <xlrd:rvb i="17535"/>
        </ext>
      </extLst>
    </bk>
    <bk>
      <extLst>
        <ext uri="{3e2802c4-a4d2-4d8b-9148-e3be6c30e623}">
          <xlrd:rvb i="17536"/>
        </ext>
      </extLst>
    </bk>
    <bk>
      <extLst>
        <ext uri="{3e2802c4-a4d2-4d8b-9148-e3be6c30e623}">
          <xlrd:rvb i="17537"/>
        </ext>
      </extLst>
    </bk>
    <bk>
      <extLst>
        <ext uri="{3e2802c4-a4d2-4d8b-9148-e3be6c30e623}">
          <xlrd:rvb i="17538"/>
        </ext>
      </extLst>
    </bk>
    <bk>
      <extLst>
        <ext uri="{3e2802c4-a4d2-4d8b-9148-e3be6c30e623}">
          <xlrd:rvb i="17539"/>
        </ext>
      </extLst>
    </bk>
    <bk>
      <extLst>
        <ext uri="{3e2802c4-a4d2-4d8b-9148-e3be6c30e623}">
          <xlrd:rvb i="17540"/>
        </ext>
      </extLst>
    </bk>
    <bk>
      <extLst>
        <ext uri="{3e2802c4-a4d2-4d8b-9148-e3be6c30e623}">
          <xlrd:rvb i="17541"/>
        </ext>
      </extLst>
    </bk>
    <bk>
      <extLst>
        <ext uri="{3e2802c4-a4d2-4d8b-9148-e3be6c30e623}">
          <xlrd:rvb i="17542"/>
        </ext>
      </extLst>
    </bk>
    <bk>
      <extLst>
        <ext uri="{3e2802c4-a4d2-4d8b-9148-e3be6c30e623}">
          <xlrd:rvb i="17543"/>
        </ext>
      </extLst>
    </bk>
    <bk>
      <extLst>
        <ext uri="{3e2802c4-a4d2-4d8b-9148-e3be6c30e623}">
          <xlrd:rvb i="17544"/>
        </ext>
      </extLst>
    </bk>
    <bk>
      <extLst>
        <ext uri="{3e2802c4-a4d2-4d8b-9148-e3be6c30e623}">
          <xlrd:rvb i="17545"/>
        </ext>
      </extLst>
    </bk>
    <bk>
      <extLst>
        <ext uri="{3e2802c4-a4d2-4d8b-9148-e3be6c30e623}">
          <xlrd:rvb i="17546"/>
        </ext>
      </extLst>
    </bk>
    <bk>
      <extLst>
        <ext uri="{3e2802c4-a4d2-4d8b-9148-e3be6c30e623}">
          <xlrd:rvb i="17547"/>
        </ext>
      </extLst>
    </bk>
    <bk>
      <extLst>
        <ext uri="{3e2802c4-a4d2-4d8b-9148-e3be6c30e623}">
          <xlrd:rvb i="17548"/>
        </ext>
      </extLst>
    </bk>
    <bk>
      <extLst>
        <ext uri="{3e2802c4-a4d2-4d8b-9148-e3be6c30e623}">
          <xlrd:rvb i="17549"/>
        </ext>
      </extLst>
    </bk>
    <bk>
      <extLst>
        <ext uri="{3e2802c4-a4d2-4d8b-9148-e3be6c30e623}">
          <xlrd:rvb i="17550"/>
        </ext>
      </extLst>
    </bk>
    <bk>
      <extLst>
        <ext uri="{3e2802c4-a4d2-4d8b-9148-e3be6c30e623}">
          <xlrd:rvb i="17551"/>
        </ext>
      </extLst>
    </bk>
    <bk>
      <extLst>
        <ext uri="{3e2802c4-a4d2-4d8b-9148-e3be6c30e623}">
          <xlrd:rvb i="17552"/>
        </ext>
      </extLst>
    </bk>
    <bk>
      <extLst>
        <ext uri="{3e2802c4-a4d2-4d8b-9148-e3be6c30e623}">
          <xlrd:rvb i="17553"/>
        </ext>
      </extLst>
    </bk>
    <bk>
      <extLst>
        <ext uri="{3e2802c4-a4d2-4d8b-9148-e3be6c30e623}">
          <xlrd:rvb i="17554"/>
        </ext>
      </extLst>
    </bk>
    <bk>
      <extLst>
        <ext uri="{3e2802c4-a4d2-4d8b-9148-e3be6c30e623}">
          <xlrd:rvb i="17555"/>
        </ext>
      </extLst>
    </bk>
    <bk>
      <extLst>
        <ext uri="{3e2802c4-a4d2-4d8b-9148-e3be6c30e623}">
          <xlrd:rvb i="17556"/>
        </ext>
      </extLst>
    </bk>
    <bk>
      <extLst>
        <ext uri="{3e2802c4-a4d2-4d8b-9148-e3be6c30e623}">
          <xlrd:rvb i="17557"/>
        </ext>
      </extLst>
    </bk>
    <bk>
      <extLst>
        <ext uri="{3e2802c4-a4d2-4d8b-9148-e3be6c30e623}">
          <xlrd:rvb i="17558"/>
        </ext>
      </extLst>
    </bk>
    <bk>
      <extLst>
        <ext uri="{3e2802c4-a4d2-4d8b-9148-e3be6c30e623}">
          <xlrd:rvb i="17559"/>
        </ext>
      </extLst>
    </bk>
    <bk>
      <extLst>
        <ext uri="{3e2802c4-a4d2-4d8b-9148-e3be6c30e623}">
          <xlrd:rvb i="17560"/>
        </ext>
      </extLst>
    </bk>
    <bk>
      <extLst>
        <ext uri="{3e2802c4-a4d2-4d8b-9148-e3be6c30e623}">
          <xlrd:rvb i="17561"/>
        </ext>
      </extLst>
    </bk>
    <bk>
      <extLst>
        <ext uri="{3e2802c4-a4d2-4d8b-9148-e3be6c30e623}">
          <xlrd:rvb i="17562"/>
        </ext>
      </extLst>
    </bk>
    <bk>
      <extLst>
        <ext uri="{3e2802c4-a4d2-4d8b-9148-e3be6c30e623}">
          <xlrd:rvb i="17563"/>
        </ext>
      </extLst>
    </bk>
    <bk>
      <extLst>
        <ext uri="{3e2802c4-a4d2-4d8b-9148-e3be6c30e623}">
          <xlrd:rvb i="17564"/>
        </ext>
      </extLst>
    </bk>
    <bk>
      <extLst>
        <ext uri="{3e2802c4-a4d2-4d8b-9148-e3be6c30e623}">
          <xlrd:rvb i="17565"/>
        </ext>
      </extLst>
    </bk>
    <bk>
      <extLst>
        <ext uri="{3e2802c4-a4d2-4d8b-9148-e3be6c30e623}">
          <xlrd:rvb i="17566"/>
        </ext>
      </extLst>
    </bk>
    <bk>
      <extLst>
        <ext uri="{3e2802c4-a4d2-4d8b-9148-e3be6c30e623}">
          <xlrd:rvb i="17567"/>
        </ext>
      </extLst>
    </bk>
    <bk>
      <extLst>
        <ext uri="{3e2802c4-a4d2-4d8b-9148-e3be6c30e623}">
          <xlrd:rvb i="17568"/>
        </ext>
      </extLst>
    </bk>
    <bk>
      <extLst>
        <ext uri="{3e2802c4-a4d2-4d8b-9148-e3be6c30e623}">
          <xlrd:rvb i="17569"/>
        </ext>
      </extLst>
    </bk>
    <bk>
      <extLst>
        <ext uri="{3e2802c4-a4d2-4d8b-9148-e3be6c30e623}">
          <xlrd:rvb i="17570"/>
        </ext>
      </extLst>
    </bk>
    <bk>
      <extLst>
        <ext uri="{3e2802c4-a4d2-4d8b-9148-e3be6c30e623}">
          <xlrd:rvb i="17571"/>
        </ext>
      </extLst>
    </bk>
    <bk>
      <extLst>
        <ext uri="{3e2802c4-a4d2-4d8b-9148-e3be6c30e623}">
          <xlrd:rvb i="17572"/>
        </ext>
      </extLst>
    </bk>
    <bk>
      <extLst>
        <ext uri="{3e2802c4-a4d2-4d8b-9148-e3be6c30e623}">
          <xlrd:rvb i="17573"/>
        </ext>
      </extLst>
    </bk>
    <bk>
      <extLst>
        <ext uri="{3e2802c4-a4d2-4d8b-9148-e3be6c30e623}">
          <xlrd:rvb i="17574"/>
        </ext>
      </extLst>
    </bk>
    <bk>
      <extLst>
        <ext uri="{3e2802c4-a4d2-4d8b-9148-e3be6c30e623}">
          <xlrd:rvb i="17575"/>
        </ext>
      </extLst>
    </bk>
    <bk>
      <extLst>
        <ext uri="{3e2802c4-a4d2-4d8b-9148-e3be6c30e623}">
          <xlrd:rvb i="17576"/>
        </ext>
      </extLst>
    </bk>
    <bk>
      <extLst>
        <ext uri="{3e2802c4-a4d2-4d8b-9148-e3be6c30e623}">
          <xlrd:rvb i="17577"/>
        </ext>
      </extLst>
    </bk>
    <bk>
      <extLst>
        <ext uri="{3e2802c4-a4d2-4d8b-9148-e3be6c30e623}">
          <xlrd:rvb i="17578"/>
        </ext>
      </extLst>
    </bk>
    <bk>
      <extLst>
        <ext uri="{3e2802c4-a4d2-4d8b-9148-e3be6c30e623}">
          <xlrd:rvb i="17579"/>
        </ext>
      </extLst>
    </bk>
    <bk>
      <extLst>
        <ext uri="{3e2802c4-a4d2-4d8b-9148-e3be6c30e623}">
          <xlrd:rvb i="17580"/>
        </ext>
      </extLst>
    </bk>
    <bk>
      <extLst>
        <ext uri="{3e2802c4-a4d2-4d8b-9148-e3be6c30e623}">
          <xlrd:rvb i="17581"/>
        </ext>
      </extLst>
    </bk>
    <bk>
      <extLst>
        <ext uri="{3e2802c4-a4d2-4d8b-9148-e3be6c30e623}">
          <xlrd:rvb i="17582"/>
        </ext>
      </extLst>
    </bk>
    <bk>
      <extLst>
        <ext uri="{3e2802c4-a4d2-4d8b-9148-e3be6c30e623}">
          <xlrd:rvb i="17583"/>
        </ext>
      </extLst>
    </bk>
    <bk>
      <extLst>
        <ext uri="{3e2802c4-a4d2-4d8b-9148-e3be6c30e623}">
          <xlrd:rvb i="17584"/>
        </ext>
      </extLst>
    </bk>
    <bk>
      <extLst>
        <ext uri="{3e2802c4-a4d2-4d8b-9148-e3be6c30e623}">
          <xlrd:rvb i="17585"/>
        </ext>
      </extLst>
    </bk>
    <bk>
      <extLst>
        <ext uri="{3e2802c4-a4d2-4d8b-9148-e3be6c30e623}">
          <xlrd:rvb i="17586"/>
        </ext>
      </extLst>
    </bk>
    <bk>
      <extLst>
        <ext uri="{3e2802c4-a4d2-4d8b-9148-e3be6c30e623}">
          <xlrd:rvb i="17587"/>
        </ext>
      </extLst>
    </bk>
    <bk>
      <extLst>
        <ext uri="{3e2802c4-a4d2-4d8b-9148-e3be6c30e623}">
          <xlrd:rvb i="17588"/>
        </ext>
      </extLst>
    </bk>
    <bk>
      <extLst>
        <ext uri="{3e2802c4-a4d2-4d8b-9148-e3be6c30e623}">
          <xlrd:rvb i="17589"/>
        </ext>
      </extLst>
    </bk>
    <bk>
      <extLst>
        <ext uri="{3e2802c4-a4d2-4d8b-9148-e3be6c30e623}">
          <xlrd:rvb i="17590"/>
        </ext>
      </extLst>
    </bk>
    <bk>
      <extLst>
        <ext uri="{3e2802c4-a4d2-4d8b-9148-e3be6c30e623}">
          <xlrd:rvb i="17591"/>
        </ext>
      </extLst>
    </bk>
    <bk>
      <extLst>
        <ext uri="{3e2802c4-a4d2-4d8b-9148-e3be6c30e623}">
          <xlrd:rvb i="17592"/>
        </ext>
      </extLst>
    </bk>
    <bk>
      <extLst>
        <ext uri="{3e2802c4-a4d2-4d8b-9148-e3be6c30e623}">
          <xlrd:rvb i="17593"/>
        </ext>
      </extLst>
    </bk>
    <bk>
      <extLst>
        <ext uri="{3e2802c4-a4d2-4d8b-9148-e3be6c30e623}">
          <xlrd:rvb i="17594"/>
        </ext>
      </extLst>
    </bk>
    <bk>
      <extLst>
        <ext uri="{3e2802c4-a4d2-4d8b-9148-e3be6c30e623}">
          <xlrd:rvb i="17595"/>
        </ext>
      </extLst>
    </bk>
    <bk>
      <extLst>
        <ext uri="{3e2802c4-a4d2-4d8b-9148-e3be6c30e623}">
          <xlrd:rvb i="17596"/>
        </ext>
      </extLst>
    </bk>
    <bk>
      <extLst>
        <ext uri="{3e2802c4-a4d2-4d8b-9148-e3be6c30e623}">
          <xlrd:rvb i="17597"/>
        </ext>
      </extLst>
    </bk>
    <bk>
      <extLst>
        <ext uri="{3e2802c4-a4d2-4d8b-9148-e3be6c30e623}">
          <xlrd:rvb i="17598"/>
        </ext>
      </extLst>
    </bk>
    <bk>
      <extLst>
        <ext uri="{3e2802c4-a4d2-4d8b-9148-e3be6c30e623}">
          <xlrd:rvb i="17599"/>
        </ext>
      </extLst>
    </bk>
    <bk>
      <extLst>
        <ext uri="{3e2802c4-a4d2-4d8b-9148-e3be6c30e623}">
          <xlrd:rvb i="17600"/>
        </ext>
      </extLst>
    </bk>
    <bk>
      <extLst>
        <ext uri="{3e2802c4-a4d2-4d8b-9148-e3be6c30e623}">
          <xlrd:rvb i="17601"/>
        </ext>
      </extLst>
    </bk>
    <bk>
      <extLst>
        <ext uri="{3e2802c4-a4d2-4d8b-9148-e3be6c30e623}">
          <xlrd:rvb i="17602"/>
        </ext>
      </extLst>
    </bk>
    <bk>
      <extLst>
        <ext uri="{3e2802c4-a4d2-4d8b-9148-e3be6c30e623}">
          <xlrd:rvb i="17603"/>
        </ext>
      </extLst>
    </bk>
    <bk>
      <extLst>
        <ext uri="{3e2802c4-a4d2-4d8b-9148-e3be6c30e623}">
          <xlrd:rvb i="17604"/>
        </ext>
      </extLst>
    </bk>
    <bk>
      <extLst>
        <ext uri="{3e2802c4-a4d2-4d8b-9148-e3be6c30e623}">
          <xlrd:rvb i="17605"/>
        </ext>
      </extLst>
    </bk>
    <bk>
      <extLst>
        <ext uri="{3e2802c4-a4d2-4d8b-9148-e3be6c30e623}">
          <xlrd:rvb i="17606"/>
        </ext>
      </extLst>
    </bk>
    <bk>
      <extLst>
        <ext uri="{3e2802c4-a4d2-4d8b-9148-e3be6c30e623}">
          <xlrd:rvb i="17607"/>
        </ext>
      </extLst>
    </bk>
    <bk>
      <extLst>
        <ext uri="{3e2802c4-a4d2-4d8b-9148-e3be6c30e623}">
          <xlrd:rvb i="17608"/>
        </ext>
      </extLst>
    </bk>
    <bk>
      <extLst>
        <ext uri="{3e2802c4-a4d2-4d8b-9148-e3be6c30e623}">
          <xlrd:rvb i="17609"/>
        </ext>
      </extLst>
    </bk>
    <bk>
      <extLst>
        <ext uri="{3e2802c4-a4d2-4d8b-9148-e3be6c30e623}">
          <xlrd:rvb i="17610"/>
        </ext>
      </extLst>
    </bk>
    <bk>
      <extLst>
        <ext uri="{3e2802c4-a4d2-4d8b-9148-e3be6c30e623}">
          <xlrd:rvb i="17611"/>
        </ext>
      </extLst>
    </bk>
    <bk>
      <extLst>
        <ext uri="{3e2802c4-a4d2-4d8b-9148-e3be6c30e623}">
          <xlrd:rvb i="17612"/>
        </ext>
      </extLst>
    </bk>
    <bk>
      <extLst>
        <ext uri="{3e2802c4-a4d2-4d8b-9148-e3be6c30e623}">
          <xlrd:rvb i="17613"/>
        </ext>
      </extLst>
    </bk>
    <bk>
      <extLst>
        <ext uri="{3e2802c4-a4d2-4d8b-9148-e3be6c30e623}">
          <xlrd:rvb i="17614"/>
        </ext>
      </extLst>
    </bk>
    <bk>
      <extLst>
        <ext uri="{3e2802c4-a4d2-4d8b-9148-e3be6c30e623}">
          <xlrd:rvb i="17615"/>
        </ext>
      </extLst>
    </bk>
    <bk>
      <extLst>
        <ext uri="{3e2802c4-a4d2-4d8b-9148-e3be6c30e623}">
          <xlrd:rvb i="17616"/>
        </ext>
      </extLst>
    </bk>
    <bk>
      <extLst>
        <ext uri="{3e2802c4-a4d2-4d8b-9148-e3be6c30e623}">
          <xlrd:rvb i="17617"/>
        </ext>
      </extLst>
    </bk>
    <bk>
      <extLst>
        <ext uri="{3e2802c4-a4d2-4d8b-9148-e3be6c30e623}">
          <xlrd:rvb i="17618"/>
        </ext>
      </extLst>
    </bk>
    <bk>
      <extLst>
        <ext uri="{3e2802c4-a4d2-4d8b-9148-e3be6c30e623}">
          <xlrd:rvb i="17619"/>
        </ext>
      </extLst>
    </bk>
    <bk>
      <extLst>
        <ext uri="{3e2802c4-a4d2-4d8b-9148-e3be6c30e623}">
          <xlrd:rvb i="17620"/>
        </ext>
      </extLst>
    </bk>
    <bk>
      <extLst>
        <ext uri="{3e2802c4-a4d2-4d8b-9148-e3be6c30e623}">
          <xlrd:rvb i="17621"/>
        </ext>
      </extLst>
    </bk>
    <bk>
      <extLst>
        <ext uri="{3e2802c4-a4d2-4d8b-9148-e3be6c30e623}">
          <xlrd:rvb i="17622"/>
        </ext>
      </extLst>
    </bk>
    <bk>
      <extLst>
        <ext uri="{3e2802c4-a4d2-4d8b-9148-e3be6c30e623}">
          <xlrd:rvb i="17623"/>
        </ext>
      </extLst>
    </bk>
    <bk>
      <extLst>
        <ext uri="{3e2802c4-a4d2-4d8b-9148-e3be6c30e623}">
          <xlrd:rvb i="17624"/>
        </ext>
      </extLst>
    </bk>
    <bk>
      <extLst>
        <ext uri="{3e2802c4-a4d2-4d8b-9148-e3be6c30e623}">
          <xlrd:rvb i="17625"/>
        </ext>
      </extLst>
    </bk>
    <bk>
      <extLst>
        <ext uri="{3e2802c4-a4d2-4d8b-9148-e3be6c30e623}">
          <xlrd:rvb i="17626"/>
        </ext>
      </extLst>
    </bk>
    <bk>
      <extLst>
        <ext uri="{3e2802c4-a4d2-4d8b-9148-e3be6c30e623}">
          <xlrd:rvb i="17627"/>
        </ext>
      </extLst>
    </bk>
    <bk>
      <extLst>
        <ext uri="{3e2802c4-a4d2-4d8b-9148-e3be6c30e623}">
          <xlrd:rvb i="17628"/>
        </ext>
      </extLst>
    </bk>
    <bk>
      <extLst>
        <ext uri="{3e2802c4-a4d2-4d8b-9148-e3be6c30e623}">
          <xlrd:rvb i="17629"/>
        </ext>
      </extLst>
    </bk>
    <bk>
      <extLst>
        <ext uri="{3e2802c4-a4d2-4d8b-9148-e3be6c30e623}">
          <xlrd:rvb i="17630"/>
        </ext>
      </extLst>
    </bk>
    <bk>
      <extLst>
        <ext uri="{3e2802c4-a4d2-4d8b-9148-e3be6c30e623}">
          <xlrd:rvb i="17631"/>
        </ext>
      </extLst>
    </bk>
    <bk>
      <extLst>
        <ext uri="{3e2802c4-a4d2-4d8b-9148-e3be6c30e623}">
          <xlrd:rvb i="17632"/>
        </ext>
      </extLst>
    </bk>
    <bk>
      <extLst>
        <ext uri="{3e2802c4-a4d2-4d8b-9148-e3be6c30e623}">
          <xlrd:rvb i="17633"/>
        </ext>
      </extLst>
    </bk>
    <bk>
      <extLst>
        <ext uri="{3e2802c4-a4d2-4d8b-9148-e3be6c30e623}">
          <xlrd:rvb i="17634"/>
        </ext>
      </extLst>
    </bk>
    <bk>
      <extLst>
        <ext uri="{3e2802c4-a4d2-4d8b-9148-e3be6c30e623}">
          <xlrd:rvb i="17635"/>
        </ext>
      </extLst>
    </bk>
    <bk>
      <extLst>
        <ext uri="{3e2802c4-a4d2-4d8b-9148-e3be6c30e623}">
          <xlrd:rvb i="17636"/>
        </ext>
      </extLst>
    </bk>
    <bk>
      <extLst>
        <ext uri="{3e2802c4-a4d2-4d8b-9148-e3be6c30e623}">
          <xlrd:rvb i="17637"/>
        </ext>
      </extLst>
    </bk>
    <bk>
      <extLst>
        <ext uri="{3e2802c4-a4d2-4d8b-9148-e3be6c30e623}">
          <xlrd:rvb i="17638"/>
        </ext>
      </extLst>
    </bk>
    <bk>
      <extLst>
        <ext uri="{3e2802c4-a4d2-4d8b-9148-e3be6c30e623}">
          <xlrd:rvb i="17639"/>
        </ext>
      </extLst>
    </bk>
    <bk>
      <extLst>
        <ext uri="{3e2802c4-a4d2-4d8b-9148-e3be6c30e623}">
          <xlrd:rvb i="17640"/>
        </ext>
      </extLst>
    </bk>
    <bk>
      <extLst>
        <ext uri="{3e2802c4-a4d2-4d8b-9148-e3be6c30e623}">
          <xlrd:rvb i="17641"/>
        </ext>
      </extLst>
    </bk>
    <bk>
      <extLst>
        <ext uri="{3e2802c4-a4d2-4d8b-9148-e3be6c30e623}">
          <xlrd:rvb i="17642"/>
        </ext>
      </extLst>
    </bk>
    <bk>
      <extLst>
        <ext uri="{3e2802c4-a4d2-4d8b-9148-e3be6c30e623}">
          <xlrd:rvb i="17643"/>
        </ext>
      </extLst>
    </bk>
    <bk>
      <extLst>
        <ext uri="{3e2802c4-a4d2-4d8b-9148-e3be6c30e623}">
          <xlrd:rvb i="17644"/>
        </ext>
      </extLst>
    </bk>
    <bk>
      <extLst>
        <ext uri="{3e2802c4-a4d2-4d8b-9148-e3be6c30e623}">
          <xlrd:rvb i="17645"/>
        </ext>
      </extLst>
    </bk>
    <bk>
      <extLst>
        <ext uri="{3e2802c4-a4d2-4d8b-9148-e3be6c30e623}">
          <xlrd:rvb i="17646"/>
        </ext>
      </extLst>
    </bk>
    <bk>
      <extLst>
        <ext uri="{3e2802c4-a4d2-4d8b-9148-e3be6c30e623}">
          <xlrd:rvb i="17647"/>
        </ext>
      </extLst>
    </bk>
    <bk>
      <extLst>
        <ext uri="{3e2802c4-a4d2-4d8b-9148-e3be6c30e623}">
          <xlrd:rvb i="17648"/>
        </ext>
      </extLst>
    </bk>
    <bk>
      <extLst>
        <ext uri="{3e2802c4-a4d2-4d8b-9148-e3be6c30e623}">
          <xlrd:rvb i="17649"/>
        </ext>
      </extLst>
    </bk>
    <bk>
      <extLst>
        <ext uri="{3e2802c4-a4d2-4d8b-9148-e3be6c30e623}">
          <xlrd:rvb i="17650"/>
        </ext>
      </extLst>
    </bk>
    <bk>
      <extLst>
        <ext uri="{3e2802c4-a4d2-4d8b-9148-e3be6c30e623}">
          <xlrd:rvb i="17651"/>
        </ext>
      </extLst>
    </bk>
    <bk>
      <extLst>
        <ext uri="{3e2802c4-a4d2-4d8b-9148-e3be6c30e623}">
          <xlrd:rvb i="17652"/>
        </ext>
      </extLst>
    </bk>
    <bk>
      <extLst>
        <ext uri="{3e2802c4-a4d2-4d8b-9148-e3be6c30e623}">
          <xlrd:rvb i="17653"/>
        </ext>
      </extLst>
    </bk>
    <bk>
      <extLst>
        <ext uri="{3e2802c4-a4d2-4d8b-9148-e3be6c30e623}">
          <xlrd:rvb i="17654"/>
        </ext>
      </extLst>
    </bk>
    <bk>
      <extLst>
        <ext uri="{3e2802c4-a4d2-4d8b-9148-e3be6c30e623}">
          <xlrd:rvb i="17655"/>
        </ext>
      </extLst>
    </bk>
    <bk>
      <extLst>
        <ext uri="{3e2802c4-a4d2-4d8b-9148-e3be6c30e623}">
          <xlrd:rvb i="17656"/>
        </ext>
      </extLst>
    </bk>
    <bk>
      <extLst>
        <ext uri="{3e2802c4-a4d2-4d8b-9148-e3be6c30e623}">
          <xlrd:rvb i="17657"/>
        </ext>
      </extLst>
    </bk>
    <bk>
      <extLst>
        <ext uri="{3e2802c4-a4d2-4d8b-9148-e3be6c30e623}">
          <xlrd:rvb i="17658"/>
        </ext>
      </extLst>
    </bk>
    <bk>
      <extLst>
        <ext uri="{3e2802c4-a4d2-4d8b-9148-e3be6c30e623}">
          <xlrd:rvb i="17659"/>
        </ext>
      </extLst>
    </bk>
    <bk>
      <extLst>
        <ext uri="{3e2802c4-a4d2-4d8b-9148-e3be6c30e623}">
          <xlrd:rvb i="17660"/>
        </ext>
      </extLst>
    </bk>
    <bk>
      <extLst>
        <ext uri="{3e2802c4-a4d2-4d8b-9148-e3be6c30e623}">
          <xlrd:rvb i="17661"/>
        </ext>
      </extLst>
    </bk>
    <bk>
      <extLst>
        <ext uri="{3e2802c4-a4d2-4d8b-9148-e3be6c30e623}">
          <xlrd:rvb i="17662"/>
        </ext>
      </extLst>
    </bk>
    <bk>
      <extLst>
        <ext uri="{3e2802c4-a4d2-4d8b-9148-e3be6c30e623}">
          <xlrd:rvb i="17663"/>
        </ext>
      </extLst>
    </bk>
    <bk>
      <extLst>
        <ext uri="{3e2802c4-a4d2-4d8b-9148-e3be6c30e623}">
          <xlrd:rvb i="17664"/>
        </ext>
      </extLst>
    </bk>
    <bk>
      <extLst>
        <ext uri="{3e2802c4-a4d2-4d8b-9148-e3be6c30e623}">
          <xlrd:rvb i="17665"/>
        </ext>
      </extLst>
    </bk>
    <bk>
      <extLst>
        <ext uri="{3e2802c4-a4d2-4d8b-9148-e3be6c30e623}">
          <xlrd:rvb i="17666"/>
        </ext>
      </extLst>
    </bk>
    <bk>
      <extLst>
        <ext uri="{3e2802c4-a4d2-4d8b-9148-e3be6c30e623}">
          <xlrd:rvb i="17667"/>
        </ext>
      </extLst>
    </bk>
    <bk>
      <extLst>
        <ext uri="{3e2802c4-a4d2-4d8b-9148-e3be6c30e623}">
          <xlrd:rvb i="17668"/>
        </ext>
      </extLst>
    </bk>
    <bk>
      <extLst>
        <ext uri="{3e2802c4-a4d2-4d8b-9148-e3be6c30e623}">
          <xlrd:rvb i="17669"/>
        </ext>
      </extLst>
    </bk>
    <bk>
      <extLst>
        <ext uri="{3e2802c4-a4d2-4d8b-9148-e3be6c30e623}">
          <xlrd:rvb i="17670"/>
        </ext>
      </extLst>
    </bk>
    <bk>
      <extLst>
        <ext uri="{3e2802c4-a4d2-4d8b-9148-e3be6c30e623}">
          <xlrd:rvb i="17671"/>
        </ext>
      </extLst>
    </bk>
    <bk>
      <extLst>
        <ext uri="{3e2802c4-a4d2-4d8b-9148-e3be6c30e623}">
          <xlrd:rvb i="17672"/>
        </ext>
      </extLst>
    </bk>
    <bk>
      <extLst>
        <ext uri="{3e2802c4-a4d2-4d8b-9148-e3be6c30e623}">
          <xlrd:rvb i="17673"/>
        </ext>
      </extLst>
    </bk>
    <bk>
      <extLst>
        <ext uri="{3e2802c4-a4d2-4d8b-9148-e3be6c30e623}">
          <xlrd:rvb i="17674"/>
        </ext>
      </extLst>
    </bk>
    <bk>
      <extLst>
        <ext uri="{3e2802c4-a4d2-4d8b-9148-e3be6c30e623}">
          <xlrd:rvb i="17675"/>
        </ext>
      </extLst>
    </bk>
    <bk>
      <extLst>
        <ext uri="{3e2802c4-a4d2-4d8b-9148-e3be6c30e623}">
          <xlrd:rvb i="17676"/>
        </ext>
      </extLst>
    </bk>
    <bk>
      <extLst>
        <ext uri="{3e2802c4-a4d2-4d8b-9148-e3be6c30e623}">
          <xlrd:rvb i="17677"/>
        </ext>
      </extLst>
    </bk>
    <bk>
      <extLst>
        <ext uri="{3e2802c4-a4d2-4d8b-9148-e3be6c30e623}">
          <xlrd:rvb i="17678"/>
        </ext>
      </extLst>
    </bk>
    <bk>
      <extLst>
        <ext uri="{3e2802c4-a4d2-4d8b-9148-e3be6c30e623}">
          <xlrd:rvb i="17679"/>
        </ext>
      </extLst>
    </bk>
    <bk>
      <extLst>
        <ext uri="{3e2802c4-a4d2-4d8b-9148-e3be6c30e623}">
          <xlrd:rvb i="17680"/>
        </ext>
      </extLst>
    </bk>
    <bk>
      <extLst>
        <ext uri="{3e2802c4-a4d2-4d8b-9148-e3be6c30e623}">
          <xlrd:rvb i="17681"/>
        </ext>
      </extLst>
    </bk>
    <bk>
      <extLst>
        <ext uri="{3e2802c4-a4d2-4d8b-9148-e3be6c30e623}">
          <xlrd:rvb i="17682"/>
        </ext>
      </extLst>
    </bk>
    <bk>
      <extLst>
        <ext uri="{3e2802c4-a4d2-4d8b-9148-e3be6c30e623}">
          <xlrd:rvb i="17683"/>
        </ext>
      </extLst>
    </bk>
    <bk>
      <extLst>
        <ext uri="{3e2802c4-a4d2-4d8b-9148-e3be6c30e623}">
          <xlrd:rvb i="17684"/>
        </ext>
      </extLst>
    </bk>
    <bk>
      <extLst>
        <ext uri="{3e2802c4-a4d2-4d8b-9148-e3be6c30e623}">
          <xlrd:rvb i="17685"/>
        </ext>
      </extLst>
    </bk>
    <bk>
      <extLst>
        <ext uri="{3e2802c4-a4d2-4d8b-9148-e3be6c30e623}">
          <xlrd:rvb i="17686"/>
        </ext>
      </extLst>
    </bk>
    <bk>
      <extLst>
        <ext uri="{3e2802c4-a4d2-4d8b-9148-e3be6c30e623}">
          <xlrd:rvb i="17687"/>
        </ext>
      </extLst>
    </bk>
    <bk>
      <extLst>
        <ext uri="{3e2802c4-a4d2-4d8b-9148-e3be6c30e623}">
          <xlrd:rvb i="17688"/>
        </ext>
      </extLst>
    </bk>
    <bk>
      <extLst>
        <ext uri="{3e2802c4-a4d2-4d8b-9148-e3be6c30e623}">
          <xlrd:rvb i="17689"/>
        </ext>
      </extLst>
    </bk>
    <bk>
      <extLst>
        <ext uri="{3e2802c4-a4d2-4d8b-9148-e3be6c30e623}">
          <xlrd:rvb i="17690"/>
        </ext>
      </extLst>
    </bk>
    <bk>
      <extLst>
        <ext uri="{3e2802c4-a4d2-4d8b-9148-e3be6c30e623}">
          <xlrd:rvb i="17691"/>
        </ext>
      </extLst>
    </bk>
    <bk>
      <extLst>
        <ext uri="{3e2802c4-a4d2-4d8b-9148-e3be6c30e623}">
          <xlrd:rvb i="17692"/>
        </ext>
      </extLst>
    </bk>
    <bk>
      <extLst>
        <ext uri="{3e2802c4-a4d2-4d8b-9148-e3be6c30e623}">
          <xlrd:rvb i="17693"/>
        </ext>
      </extLst>
    </bk>
    <bk>
      <extLst>
        <ext uri="{3e2802c4-a4d2-4d8b-9148-e3be6c30e623}">
          <xlrd:rvb i="17694"/>
        </ext>
      </extLst>
    </bk>
    <bk>
      <extLst>
        <ext uri="{3e2802c4-a4d2-4d8b-9148-e3be6c30e623}">
          <xlrd:rvb i="17695"/>
        </ext>
      </extLst>
    </bk>
    <bk>
      <extLst>
        <ext uri="{3e2802c4-a4d2-4d8b-9148-e3be6c30e623}">
          <xlrd:rvb i="17696"/>
        </ext>
      </extLst>
    </bk>
    <bk>
      <extLst>
        <ext uri="{3e2802c4-a4d2-4d8b-9148-e3be6c30e623}">
          <xlrd:rvb i="17697"/>
        </ext>
      </extLst>
    </bk>
    <bk>
      <extLst>
        <ext uri="{3e2802c4-a4d2-4d8b-9148-e3be6c30e623}">
          <xlrd:rvb i="17698"/>
        </ext>
      </extLst>
    </bk>
    <bk>
      <extLst>
        <ext uri="{3e2802c4-a4d2-4d8b-9148-e3be6c30e623}">
          <xlrd:rvb i="17699"/>
        </ext>
      </extLst>
    </bk>
    <bk>
      <extLst>
        <ext uri="{3e2802c4-a4d2-4d8b-9148-e3be6c30e623}">
          <xlrd:rvb i="17700"/>
        </ext>
      </extLst>
    </bk>
    <bk>
      <extLst>
        <ext uri="{3e2802c4-a4d2-4d8b-9148-e3be6c30e623}">
          <xlrd:rvb i="17701"/>
        </ext>
      </extLst>
    </bk>
    <bk>
      <extLst>
        <ext uri="{3e2802c4-a4d2-4d8b-9148-e3be6c30e623}">
          <xlrd:rvb i="17702"/>
        </ext>
      </extLst>
    </bk>
    <bk>
      <extLst>
        <ext uri="{3e2802c4-a4d2-4d8b-9148-e3be6c30e623}">
          <xlrd:rvb i="17703"/>
        </ext>
      </extLst>
    </bk>
    <bk>
      <extLst>
        <ext uri="{3e2802c4-a4d2-4d8b-9148-e3be6c30e623}">
          <xlrd:rvb i="17704"/>
        </ext>
      </extLst>
    </bk>
    <bk>
      <extLst>
        <ext uri="{3e2802c4-a4d2-4d8b-9148-e3be6c30e623}">
          <xlrd:rvb i="17705"/>
        </ext>
      </extLst>
    </bk>
    <bk>
      <extLst>
        <ext uri="{3e2802c4-a4d2-4d8b-9148-e3be6c30e623}">
          <xlrd:rvb i="17706"/>
        </ext>
      </extLst>
    </bk>
    <bk>
      <extLst>
        <ext uri="{3e2802c4-a4d2-4d8b-9148-e3be6c30e623}">
          <xlrd:rvb i="17707"/>
        </ext>
      </extLst>
    </bk>
    <bk>
      <extLst>
        <ext uri="{3e2802c4-a4d2-4d8b-9148-e3be6c30e623}">
          <xlrd:rvb i="17708"/>
        </ext>
      </extLst>
    </bk>
    <bk>
      <extLst>
        <ext uri="{3e2802c4-a4d2-4d8b-9148-e3be6c30e623}">
          <xlrd:rvb i="17709"/>
        </ext>
      </extLst>
    </bk>
    <bk>
      <extLst>
        <ext uri="{3e2802c4-a4d2-4d8b-9148-e3be6c30e623}">
          <xlrd:rvb i="17710"/>
        </ext>
      </extLst>
    </bk>
    <bk>
      <extLst>
        <ext uri="{3e2802c4-a4d2-4d8b-9148-e3be6c30e623}">
          <xlrd:rvb i="17711"/>
        </ext>
      </extLst>
    </bk>
    <bk>
      <extLst>
        <ext uri="{3e2802c4-a4d2-4d8b-9148-e3be6c30e623}">
          <xlrd:rvb i="17712"/>
        </ext>
      </extLst>
    </bk>
    <bk>
      <extLst>
        <ext uri="{3e2802c4-a4d2-4d8b-9148-e3be6c30e623}">
          <xlrd:rvb i="17713"/>
        </ext>
      </extLst>
    </bk>
    <bk>
      <extLst>
        <ext uri="{3e2802c4-a4d2-4d8b-9148-e3be6c30e623}">
          <xlrd:rvb i="17714"/>
        </ext>
      </extLst>
    </bk>
    <bk>
      <extLst>
        <ext uri="{3e2802c4-a4d2-4d8b-9148-e3be6c30e623}">
          <xlrd:rvb i="17715"/>
        </ext>
      </extLst>
    </bk>
    <bk>
      <extLst>
        <ext uri="{3e2802c4-a4d2-4d8b-9148-e3be6c30e623}">
          <xlrd:rvb i="17716"/>
        </ext>
      </extLst>
    </bk>
    <bk>
      <extLst>
        <ext uri="{3e2802c4-a4d2-4d8b-9148-e3be6c30e623}">
          <xlrd:rvb i="17717"/>
        </ext>
      </extLst>
    </bk>
    <bk>
      <extLst>
        <ext uri="{3e2802c4-a4d2-4d8b-9148-e3be6c30e623}">
          <xlrd:rvb i="17718"/>
        </ext>
      </extLst>
    </bk>
    <bk>
      <extLst>
        <ext uri="{3e2802c4-a4d2-4d8b-9148-e3be6c30e623}">
          <xlrd:rvb i="17719"/>
        </ext>
      </extLst>
    </bk>
    <bk>
      <extLst>
        <ext uri="{3e2802c4-a4d2-4d8b-9148-e3be6c30e623}">
          <xlrd:rvb i="17720"/>
        </ext>
      </extLst>
    </bk>
    <bk>
      <extLst>
        <ext uri="{3e2802c4-a4d2-4d8b-9148-e3be6c30e623}">
          <xlrd:rvb i="17721"/>
        </ext>
      </extLst>
    </bk>
    <bk>
      <extLst>
        <ext uri="{3e2802c4-a4d2-4d8b-9148-e3be6c30e623}">
          <xlrd:rvb i="17722"/>
        </ext>
      </extLst>
    </bk>
    <bk>
      <extLst>
        <ext uri="{3e2802c4-a4d2-4d8b-9148-e3be6c30e623}">
          <xlrd:rvb i="17723"/>
        </ext>
      </extLst>
    </bk>
    <bk>
      <extLst>
        <ext uri="{3e2802c4-a4d2-4d8b-9148-e3be6c30e623}">
          <xlrd:rvb i="17724"/>
        </ext>
      </extLst>
    </bk>
    <bk>
      <extLst>
        <ext uri="{3e2802c4-a4d2-4d8b-9148-e3be6c30e623}">
          <xlrd:rvb i="17725"/>
        </ext>
      </extLst>
    </bk>
    <bk>
      <extLst>
        <ext uri="{3e2802c4-a4d2-4d8b-9148-e3be6c30e623}">
          <xlrd:rvb i="17726"/>
        </ext>
      </extLst>
    </bk>
    <bk>
      <extLst>
        <ext uri="{3e2802c4-a4d2-4d8b-9148-e3be6c30e623}">
          <xlrd:rvb i="17727"/>
        </ext>
      </extLst>
    </bk>
    <bk>
      <extLst>
        <ext uri="{3e2802c4-a4d2-4d8b-9148-e3be6c30e623}">
          <xlrd:rvb i="17728"/>
        </ext>
      </extLst>
    </bk>
    <bk>
      <extLst>
        <ext uri="{3e2802c4-a4d2-4d8b-9148-e3be6c30e623}">
          <xlrd:rvb i="17729"/>
        </ext>
      </extLst>
    </bk>
    <bk>
      <extLst>
        <ext uri="{3e2802c4-a4d2-4d8b-9148-e3be6c30e623}">
          <xlrd:rvb i="17730"/>
        </ext>
      </extLst>
    </bk>
    <bk>
      <extLst>
        <ext uri="{3e2802c4-a4d2-4d8b-9148-e3be6c30e623}">
          <xlrd:rvb i="17731"/>
        </ext>
      </extLst>
    </bk>
    <bk>
      <extLst>
        <ext uri="{3e2802c4-a4d2-4d8b-9148-e3be6c30e623}">
          <xlrd:rvb i="17732"/>
        </ext>
      </extLst>
    </bk>
    <bk>
      <extLst>
        <ext uri="{3e2802c4-a4d2-4d8b-9148-e3be6c30e623}">
          <xlrd:rvb i="17733"/>
        </ext>
      </extLst>
    </bk>
    <bk>
      <extLst>
        <ext uri="{3e2802c4-a4d2-4d8b-9148-e3be6c30e623}">
          <xlrd:rvb i="17734"/>
        </ext>
      </extLst>
    </bk>
    <bk>
      <extLst>
        <ext uri="{3e2802c4-a4d2-4d8b-9148-e3be6c30e623}">
          <xlrd:rvb i="17735"/>
        </ext>
      </extLst>
    </bk>
    <bk>
      <extLst>
        <ext uri="{3e2802c4-a4d2-4d8b-9148-e3be6c30e623}">
          <xlrd:rvb i="17736"/>
        </ext>
      </extLst>
    </bk>
    <bk>
      <extLst>
        <ext uri="{3e2802c4-a4d2-4d8b-9148-e3be6c30e623}">
          <xlrd:rvb i="17737"/>
        </ext>
      </extLst>
    </bk>
    <bk>
      <extLst>
        <ext uri="{3e2802c4-a4d2-4d8b-9148-e3be6c30e623}">
          <xlrd:rvb i="17738"/>
        </ext>
      </extLst>
    </bk>
    <bk>
      <extLst>
        <ext uri="{3e2802c4-a4d2-4d8b-9148-e3be6c30e623}">
          <xlrd:rvb i="17739"/>
        </ext>
      </extLst>
    </bk>
    <bk>
      <extLst>
        <ext uri="{3e2802c4-a4d2-4d8b-9148-e3be6c30e623}">
          <xlrd:rvb i="17740"/>
        </ext>
      </extLst>
    </bk>
    <bk>
      <extLst>
        <ext uri="{3e2802c4-a4d2-4d8b-9148-e3be6c30e623}">
          <xlrd:rvb i="17741"/>
        </ext>
      </extLst>
    </bk>
    <bk>
      <extLst>
        <ext uri="{3e2802c4-a4d2-4d8b-9148-e3be6c30e623}">
          <xlrd:rvb i="17742"/>
        </ext>
      </extLst>
    </bk>
    <bk>
      <extLst>
        <ext uri="{3e2802c4-a4d2-4d8b-9148-e3be6c30e623}">
          <xlrd:rvb i="17743"/>
        </ext>
      </extLst>
    </bk>
    <bk>
      <extLst>
        <ext uri="{3e2802c4-a4d2-4d8b-9148-e3be6c30e623}">
          <xlrd:rvb i="17744"/>
        </ext>
      </extLst>
    </bk>
    <bk>
      <extLst>
        <ext uri="{3e2802c4-a4d2-4d8b-9148-e3be6c30e623}">
          <xlrd:rvb i="17745"/>
        </ext>
      </extLst>
    </bk>
    <bk>
      <extLst>
        <ext uri="{3e2802c4-a4d2-4d8b-9148-e3be6c30e623}">
          <xlrd:rvb i="17746"/>
        </ext>
      </extLst>
    </bk>
    <bk>
      <extLst>
        <ext uri="{3e2802c4-a4d2-4d8b-9148-e3be6c30e623}">
          <xlrd:rvb i="17747"/>
        </ext>
      </extLst>
    </bk>
    <bk>
      <extLst>
        <ext uri="{3e2802c4-a4d2-4d8b-9148-e3be6c30e623}">
          <xlrd:rvb i="17748"/>
        </ext>
      </extLst>
    </bk>
    <bk>
      <extLst>
        <ext uri="{3e2802c4-a4d2-4d8b-9148-e3be6c30e623}">
          <xlrd:rvb i="17749"/>
        </ext>
      </extLst>
    </bk>
    <bk>
      <extLst>
        <ext uri="{3e2802c4-a4d2-4d8b-9148-e3be6c30e623}">
          <xlrd:rvb i="17750"/>
        </ext>
      </extLst>
    </bk>
    <bk>
      <extLst>
        <ext uri="{3e2802c4-a4d2-4d8b-9148-e3be6c30e623}">
          <xlrd:rvb i="17751"/>
        </ext>
      </extLst>
    </bk>
    <bk>
      <extLst>
        <ext uri="{3e2802c4-a4d2-4d8b-9148-e3be6c30e623}">
          <xlrd:rvb i="17752"/>
        </ext>
      </extLst>
    </bk>
    <bk>
      <extLst>
        <ext uri="{3e2802c4-a4d2-4d8b-9148-e3be6c30e623}">
          <xlrd:rvb i="17753"/>
        </ext>
      </extLst>
    </bk>
    <bk>
      <extLst>
        <ext uri="{3e2802c4-a4d2-4d8b-9148-e3be6c30e623}">
          <xlrd:rvb i="17754"/>
        </ext>
      </extLst>
    </bk>
    <bk>
      <extLst>
        <ext uri="{3e2802c4-a4d2-4d8b-9148-e3be6c30e623}">
          <xlrd:rvb i="17755"/>
        </ext>
      </extLst>
    </bk>
    <bk>
      <extLst>
        <ext uri="{3e2802c4-a4d2-4d8b-9148-e3be6c30e623}">
          <xlrd:rvb i="17756"/>
        </ext>
      </extLst>
    </bk>
    <bk>
      <extLst>
        <ext uri="{3e2802c4-a4d2-4d8b-9148-e3be6c30e623}">
          <xlrd:rvb i="17757"/>
        </ext>
      </extLst>
    </bk>
    <bk>
      <extLst>
        <ext uri="{3e2802c4-a4d2-4d8b-9148-e3be6c30e623}">
          <xlrd:rvb i="17758"/>
        </ext>
      </extLst>
    </bk>
    <bk>
      <extLst>
        <ext uri="{3e2802c4-a4d2-4d8b-9148-e3be6c30e623}">
          <xlrd:rvb i="17759"/>
        </ext>
      </extLst>
    </bk>
    <bk>
      <extLst>
        <ext uri="{3e2802c4-a4d2-4d8b-9148-e3be6c30e623}">
          <xlrd:rvb i="17760"/>
        </ext>
      </extLst>
    </bk>
    <bk>
      <extLst>
        <ext uri="{3e2802c4-a4d2-4d8b-9148-e3be6c30e623}">
          <xlrd:rvb i="17761"/>
        </ext>
      </extLst>
    </bk>
    <bk>
      <extLst>
        <ext uri="{3e2802c4-a4d2-4d8b-9148-e3be6c30e623}">
          <xlrd:rvb i="17762"/>
        </ext>
      </extLst>
    </bk>
    <bk>
      <extLst>
        <ext uri="{3e2802c4-a4d2-4d8b-9148-e3be6c30e623}">
          <xlrd:rvb i="17763"/>
        </ext>
      </extLst>
    </bk>
    <bk>
      <extLst>
        <ext uri="{3e2802c4-a4d2-4d8b-9148-e3be6c30e623}">
          <xlrd:rvb i="17764"/>
        </ext>
      </extLst>
    </bk>
    <bk>
      <extLst>
        <ext uri="{3e2802c4-a4d2-4d8b-9148-e3be6c30e623}">
          <xlrd:rvb i="17765"/>
        </ext>
      </extLst>
    </bk>
    <bk>
      <extLst>
        <ext uri="{3e2802c4-a4d2-4d8b-9148-e3be6c30e623}">
          <xlrd:rvb i="17766"/>
        </ext>
      </extLst>
    </bk>
    <bk>
      <extLst>
        <ext uri="{3e2802c4-a4d2-4d8b-9148-e3be6c30e623}">
          <xlrd:rvb i="17767"/>
        </ext>
      </extLst>
    </bk>
    <bk>
      <extLst>
        <ext uri="{3e2802c4-a4d2-4d8b-9148-e3be6c30e623}">
          <xlrd:rvb i="17768"/>
        </ext>
      </extLst>
    </bk>
    <bk>
      <extLst>
        <ext uri="{3e2802c4-a4d2-4d8b-9148-e3be6c30e623}">
          <xlrd:rvb i="17769"/>
        </ext>
      </extLst>
    </bk>
    <bk>
      <extLst>
        <ext uri="{3e2802c4-a4d2-4d8b-9148-e3be6c30e623}">
          <xlrd:rvb i="17770"/>
        </ext>
      </extLst>
    </bk>
    <bk>
      <extLst>
        <ext uri="{3e2802c4-a4d2-4d8b-9148-e3be6c30e623}">
          <xlrd:rvb i="17771"/>
        </ext>
      </extLst>
    </bk>
    <bk>
      <extLst>
        <ext uri="{3e2802c4-a4d2-4d8b-9148-e3be6c30e623}">
          <xlrd:rvb i="17772"/>
        </ext>
      </extLst>
    </bk>
    <bk>
      <extLst>
        <ext uri="{3e2802c4-a4d2-4d8b-9148-e3be6c30e623}">
          <xlrd:rvb i="17773"/>
        </ext>
      </extLst>
    </bk>
    <bk>
      <extLst>
        <ext uri="{3e2802c4-a4d2-4d8b-9148-e3be6c30e623}">
          <xlrd:rvb i="17774"/>
        </ext>
      </extLst>
    </bk>
    <bk>
      <extLst>
        <ext uri="{3e2802c4-a4d2-4d8b-9148-e3be6c30e623}">
          <xlrd:rvb i="17775"/>
        </ext>
      </extLst>
    </bk>
    <bk>
      <extLst>
        <ext uri="{3e2802c4-a4d2-4d8b-9148-e3be6c30e623}">
          <xlrd:rvb i="17776"/>
        </ext>
      </extLst>
    </bk>
    <bk>
      <extLst>
        <ext uri="{3e2802c4-a4d2-4d8b-9148-e3be6c30e623}">
          <xlrd:rvb i="17777"/>
        </ext>
      </extLst>
    </bk>
    <bk>
      <extLst>
        <ext uri="{3e2802c4-a4d2-4d8b-9148-e3be6c30e623}">
          <xlrd:rvb i="17778"/>
        </ext>
      </extLst>
    </bk>
    <bk>
      <extLst>
        <ext uri="{3e2802c4-a4d2-4d8b-9148-e3be6c30e623}">
          <xlrd:rvb i="17779"/>
        </ext>
      </extLst>
    </bk>
    <bk>
      <extLst>
        <ext uri="{3e2802c4-a4d2-4d8b-9148-e3be6c30e623}">
          <xlrd:rvb i="17780"/>
        </ext>
      </extLst>
    </bk>
    <bk>
      <extLst>
        <ext uri="{3e2802c4-a4d2-4d8b-9148-e3be6c30e623}">
          <xlrd:rvb i="17781"/>
        </ext>
      </extLst>
    </bk>
    <bk>
      <extLst>
        <ext uri="{3e2802c4-a4d2-4d8b-9148-e3be6c30e623}">
          <xlrd:rvb i="17782"/>
        </ext>
      </extLst>
    </bk>
    <bk>
      <extLst>
        <ext uri="{3e2802c4-a4d2-4d8b-9148-e3be6c30e623}">
          <xlrd:rvb i="17783"/>
        </ext>
      </extLst>
    </bk>
    <bk>
      <extLst>
        <ext uri="{3e2802c4-a4d2-4d8b-9148-e3be6c30e623}">
          <xlrd:rvb i="17784"/>
        </ext>
      </extLst>
    </bk>
    <bk>
      <extLst>
        <ext uri="{3e2802c4-a4d2-4d8b-9148-e3be6c30e623}">
          <xlrd:rvb i="17785"/>
        </ext>
      </extLst>
    </bk>
    <bk>
      <extLst>
        <ext uri="{3e2802c4-a4d2-4d8b-9148-e3be6c30e623}">
          <xlrd:rvb i="17786"/>
        </ext>
      </extLst>
    </bk>
    <bk>
      <extLst>
        <ext uri="{3e2802c4-a4d2-4d8b-9148-e3be6c30e623}">
          <xlrd:rvb i="17787"/>
        </ext>
      </extLst>
    </bk>
    <bk>
      <extLst>
        <ext uri="{3e2802c4-a4d2-4d8b-9148-e3be6c30e623}">
          <xlrd:rvb i="17788"/>
        </ext>
      </extLst>
    </bk>
    <bk>
      <extLst>
        <ext uri="{3e2802c4-a4d2-4d8b-9148-e3be6c30e623}">
          <xlrd:rvb i="17789"/>
        </ext>
      </extLst>
    </bk>
    <bk>
      <extLst>
        <ext uri="{3e2802c4-a4d2-4d8b-9148-e3be6c30e623}">
          <xlrd:rvb i="17790"/>
        </ext>
      </extLst>
    </bk>
    <bk>
      <extLst>
        <ext uri="{3e2802c4-a4d2-4d8b-9148-e3be6c30e623}">
          <xlrd:rvb i="17791"/>
        </ext>
      </extLst>
    </bk>
    <bk>
      <extLst>
        <ext uri="{3e2802c4-a4d2-4d8b-9148-e3be6c30e623}">
          <xlrd:rvb i="17792"/>
        </ext>
      </extLst>
    </bk>
    <bk>
      <extLst>
        <ext uri="{3e2802c4-a4d2-4d8b-9148-e3be6c30e623}">
          <xlrd:rvb i="17793"/>
        </ext>
      </extLst>
    </bk>
    <bk>
      <extLst>
        <ext uri="{3e2802c4-a4d2-4d8b-9148-e3be6c30e623}">
          <xlrd:rvb i="17794"/>
        </ext>
      </extLst>
    </bk>
    <bk>
      <extLst>
        <ext uri="{3e2802c4-a4d2-4d8b-9148-e3be6c30e623}">
          <xlrd:rvb i="17795"/>
        </ext>
      </extLst>
    </bk>
    <bk>
      <extLst>
        <ext uri="{3e2802c4-a4d2-4d8b-9148-e3be6c30e623}">
          <xlrd:rvb i="17796"/>
        </ext>
      </extLst>
    </bk>
    <bk>
      <extLst>
        <ext uri="{3e2802c4-a4d2-4d8b-9148-e3be6c30e623}">
          <xlrd:rvb i="17797"/>
        </ext>
      </extLst>
    </bk>
    <bk>
      <extLst>
        <ext uri="{3e2802c4-a4d2-4d8b-9148-e3be6c30e623}">
          <xlrd:rvb i="17798"/>
        </ext>
      </extLst>
    </bk>
    <bk>
      <extLst>
        <ext uri="{3e2802c4-a4d2-4d8b-9148-e3be6c30e623}">
          <xlrd:rvb i="17799"/>
        </ext>
      </extLst>
    </bk>
    <bk>
      <extLst>
        <ext uri="{3e2802c4-a4d2-4d8b-9148-e3be6c30e623}">
          <xlrd:rvb i="17800"/>
        </ext>
      </extLst>
    </bk>
    <bk>
      <extLst>
        <ext uri="{3e2802c4-a4d2-4d8b-9148-e3be6c30e623}">
          <xlrd:rvb i="17801"/>
        </ext>
      </extLst>
    </bk>
    <bk>
      <extLst>
        <ext uri="{3e2802c4-a4d2-4d8b-9148-e3be6c30e623}">
          <xlrd:rvb i="17802"/>
        </ext>
      </extLst>
    </bk>
    <bk>
      <extLst>
        <ext uri="{3e2802c4-a4d2-4d8b-9148-e3be6c30e623}">
          <xlrd:rvb i="17803"/>
        </ext>
      </extLst>
    </bk>
    <bk>
      <extLst>
        <ext uri="{3e2802c4-a4d2-4d8b-9148-e3be6c30e623}">
          <xlrd:rvb i="17804"/>
        </ext>
      </extLst>
    </bk>
    <bk>
      <extLst>
        <ext uri="{3e2802c4-a4d2-4d8b-9148-e3be6c30e623}">
          <xlrd:rvb i="17805"/>
        </ext>
      </extLst>
    </bk>
    <bk>
      <extLst>
        <ext uri="{3e2802c4-a4d2-4d8b-9148-e3be6c30e623}">
          <xlrd:rvb i="17806"/>
        </ext>
      </extLst>
    </bk>
    <bk>
      <extLst>
        <ext uri="{3e2802c4-a4d2-4d8b-9148-e3be6c30e623}">
          <xlrd:rvb i="17807"/>
        </ext>
      </extLst>
    </bk>
    <bk>
      <extLst>
        <ext uri="{3e2802c4-a4d2-4d8b-9148-e3be6c30e623}">
          <xlrd:rvb i="17808"/>
        </ext>
      </extLst>
    </bk>
    <bk>
      <extLst>
        <ext uri="{3e2802c4-a4d2-4d8b-9148-e3be6c30e623}">
          <xlrd:rvb i="17809"/>
        </ext>
      </extLst>
    </bk>
    <bk>
      <extLst>
        <ext uri="{3e2802c4-a4d2-4d8b-9148-e3be6c30e623}">
          <xlrd:rvb i="17810"/>
        </ext>
      </extLst>
    </bk>
    <bk>
      <extLst>
        <ext uri="{3e2802c4-a4d2-4d8b-9148-e3be6c30e623}">
          <xlrd:rvb i="17811"/>
        </ext>
      </extLst>
    </bk>
    <bk>
      <extLst>
        <ext uri="{3e2802c4-a4d2-4d8b-9148-e3be6c30e623}">
          <xlrd:rvb i="17812"/>
        </ext>
      </extLst>
    </bk>
    <bk>
      <extLst>
        <ext uri="{3e2802c4-a4d2-4d8b-9148-e3be6c30e623}">
          <xlrd:rvb i="17813"/>
        </ext>
      </extLst>
    </bk>
    <bk>
      <extLst>
        <ext uri="{3e2802c4-a4d2-4d8b-9148-e3be6c30e623}">
          <xlrd:rvb i="17814"/>
        </ext>
      </extLst>
    </bk>
    <bk>
      <extLst>
        <ext uri="{3e2802c4-a4d2-4d8b-9148-e3be6c30e623}">
          <xlrd:rvb i="17815"/>
        </ext>
      </extLst>
    </bk>
    <bk>
      <extLst>
        <ext uri="{3e2802c4-a4d2-4d8b-9148-e3be6c30e623}">
          <xlrd:rvb i="17816"/>
        </ext>
      </extLst>
    </bk>
    <bk>
      <extLst>
        <ext uri="{3e2802c4-a4d2-4d8b-9148-e3be6c30e623}">
          <xlrd:rvb i="17817"/>
        </ext>
      </extLst>
    </bk>
    <bk>
      <extLst>
        <ext uri="{3e2802c4-a4d2-4d8b-9148-e3be6c30e623}">
          <xlrd:rvb i="17818"/>
        </ext>
      </extLst>
    </bk>
    <bk>
      <extLst>
        <ext uri="{3e2802c4-a4d2-4d8b-9148-e3be6c30e623}">
          <xlrd:rvb i="17819"/>
        </ext>
      </extLst>
    </bk>
    <bk>
      <extLst>
        <ext uri="{3e2802c4-a4d2-4d8b-9148-e3be6c30e623}">
          <xlrd:rvb i="17820"/>
        </ext>
      </extLst>
    </bk>
    <bk>
      <extLst>
        <ext uri="{3e2802c4-a4d2-4d8b-9148-e3be6c30e623}">
          <xlrd:rvb i="17821"/>
        </ext>
      </extLst>
    </bk>
    <bk>
      <extLst>
        <ext uri="{3e2802c4-a4d2-4d8b-9148-e3be6c30e623}">
          <xlrd:rvb i="17822"/>
        </ext>
      </extLst>
    </bk>
    <bk>
      <extLst>
        <ext uri="{3e2802c4-a4d2-4d8b-9148-e3be6c30e623}">
          <xlrd:rvb i="17823"/>
        </ext>
      </extLst>
    </bk>
    <bk>
      <extLst>
        <ext uri="{3e2802c4-a4d2-4d8b-9148-e3be6c30e623}">
          <xlrd:rvb i="17824"/>
        </ext>
      </extLst>
    </bk>
    <bk>
      <extLst>
        <ext uri="{3e2802c4-a4d2-4d8b-9148-e3be6c30e623}">
          <xlrd:rvb i="17825"/>
        </ext>
      </extLst>
    </bk>
    <bk>
      <extLst>
        <ext uri="{3e2802c4-a4d2-4d8b-9148-e3be6c30e623}">
          <xlrd:rvb i="17826"/>
        </ext>
      </extLst>
    </bk>
    <bk>
      <extLst>
        <ext uri="{3e2802c4-a4d2-4d8b-9148-e3be6c30e623}">
          <xlrd:rvb i="17827"/>
        </ext>
      </extLst>
    </bk>
    <bk>
      <extLst>
        <ext uri="{3e2802c4-a4d2-4d8b-9148-e3be6c30e623}">
          <xlrd:rvb i="17828"/>
        </ext>
      </extLst>
    </bk>
    <bk>
      <extLst>
        <ext uri="{3e2802c4-a4d2-4d8b-9148-e3be6c30e623}">
          <xlrd:rvb i="17829"/>
        </ext>
      </extLst>
    </bk>
    <bk>
      <extLst>
        <ext uri="{3e2802c4-a4d2-4d8b-9148-e3be6c30e623}">
          <xlrd:rvb i="17830"/>
        </ext>
      </extLst>
    </bk>
    <bk>
      <extLst>
        <ext uri="{3e2802c4-a4d2-4d8b-9148-e3be6c30e623}">
          <xlrd:rvb i="17831"/>
        </ext>
      </extLst>
    </bk>
    <bk>
      <extLst>
        <ext uri="{3e2802c4-a4d2-4d8b-9148-e3be6c30e623}">
          <xlrd:rvb i="17832"/>
        </ext>
      </extLst>
    </bk>
    <bk>
      <extLst>
        <ext uri="{3e2802c4-a4d2-4d8b-9148-e3be6c30e623}">
          <xlrd:rvb i="17833"/>
        </ext>
      </extLst>
    </bk>
    <bk>
      <extLst>
        <ext uri="{3e2802c4-a4d2-4d8b-9148-e3be6c30e623}">
          <xlrd:rvb i="17834"/>
        </ext>
      </extLst>
    </bk>
    <bk>
      <extLst>
        <ext uri="{3e2802c4-a4d2-4d8b-9148-e3be6c30e623}">
          <xlrd:rvb i="17835"/>
        </ext>
      </extLst>
    </bk>
    <bk>
      <extLst>
        <ext uri="{3e2802c4-a4d2-4d8b-9148-e3be6c30e623}">
          <xlrd:rvb i="17836"/>
        </ext>
      </extLst>
    </bk>
    <bk>
      <extLst>
        <ext uri="{3e2802c4-a4d2-4d8b-9148-e3be6c30e623}">
          <xlrd:rvb i="17837"/>
        </ext>
      </extLst>
    </bk>
    <bk>
      <extLst>
        <ext uri="{3e2802c4-a4d2-4d8b-9148-e3be6c30e623}">
          <xlrd:rvb i="17838"/>
        </ext>
      </extLst>
    </bk>
    <bk>
      <extLst>
        <ext uri="{3e2802c4-a4d2-4d8b-9148-e3be6c30e623}">
          <xlrd:rvb i="17839"/>
        </ext>
      </extLst>
    </bk>
    <bk>
      <extLst>
        <ext uri="{3e2802c4-a4d2-4d8b-9148-e3be6c30e623}">
          <xlrd:rvb i="17840"/>
        </ext>
      </extLst>
    </bk>
    <bk>
      <extLst>
        <ext uri="{3e2802c4-a4d2-4d8b-9148-e3be6c30e623}">
          <xlrd:rvb i="17841"/>
        </ext>
      </extLst>
    </bk>
    <bk>
      <extLst>
        <ext uri="{3e2802c4-a4d2-4d8b-9148-e3be6c30e623}">
          <xlrd:rvb i="17842"/>
        </ext>
      </extLst>
    </bk>
    <bk>
      <extLst>
        <ext uri="{3e2802c4-a4d2-4d8b-9148-e3be6c30e623}">
          <xlrd:rvb i="17843"/>
        </ext>
      </extLst>
    </bk>
    <bk>
      <extLst>
        <ext uri="{3e2802c4-a4d2-4d8b-9148-e3be6c30e623}">
          <xlrd:rvb i="17844"/>
        </ext>
      </extLst>
    </bk>
    <bk>
      <extLst>
        <ext uri="{3e2802c4-a4d2-4d8b-9148-e3be6c30e623}">
          <xlrd:rvb i="17845"/>
        </ext>
      </extLst>
    </bk>
    <bk>
      <extLst>
        <ext uri="{3e2802c4-a4d2-4d8b-9148-e3be6c30e623}">
          <xlrd:rvb i="17846"/>
        </ext>
      </extLst>
    </bk>
    <bk>
      <extLst>
        <ext uri="{3e2802c4-a4d2-4d8b-9148-e3be6c30e623}">
          <xlrd:rvb i="17847"/>
        </ext>
      </extLst>
    </bk>
    <bk>
      <extLst>
        <ext uri="{3e2802c4-a4d2-4d8b-9148-e3be6c30e623}">
          <xlrd:rvb i="17848"/>
        </ext>
      </extLst>
    </bk>
    <bk>
      <extLst>
        <ext uri="{3e2802c4-a4d2-4d8b-9148-e3be6c30e623}">
          <xlrd:rvb i="17849"/>
        </ext>
      </extLst>
    </bk>
    <bk>
      <extLst>
        <ext uri="{3e2802c4-a4d2-4d8b-9148-e3be6c30e623}">
          <xlrd:rvb i="17850"/>
        </ext>
      </extLst>
    </bk>
    <bk>
      <extLst>
        <ext uri="{3e2802c4-a4d2-4d8b-9148-e3be6c30e623}">
          <xlrd:rvb i="17851"/>
        </ext>
      </extLst>
    </bk>
    <bk>
      <extLst>
        <ext uri="{3e2802c4-a4d2-4d8b-9148-e3be6c30e623}">
          <xlrd:rvb i="17852"/>
        </ext>
      </extLst>
    </bk>
    <bk>
      <extLst>
        <ext uri="{3e2802c4-a4d2-4d8b-9148-e3be6c30e623}">
          <xlrd:rvb i="17853"/>
        </ext>
      </extLst>
    </bk>
    <bk>
      <extLst>
        <ext uri="{3e2802c4-a4d2-4d8b-9148-e3be6c30e623}">
          <xlrd:rvb i="17854"/>
        </ext>
      </extLst>
    </bk>
    <bk>
      <extLst>
        <ext uri="{3e2802c4-a4d2-4d8b-9148-e3be6c30e623}">
          <xlrd:rvb i="17855"/>
        </ext>
      </extLst>
    </bk>
    <bk>
      <extLst>
        <ext uri="{3e2802c4-a4d2-4d8b-9148-e3be6c30e623}">
          <xlrd:rvb i="17856"/>
        </ext>
      </extLst>
    </bk>
    <bk>
      <extLst>
        <ext uri="{3e2802c4-a4d2-4d8b-9148-e3be6c30e623}">
          <xlrd:rvb i="17857"/>
        </ext>
      </extLst>
    </bk>
    <bk>
      <extLst>
        <ext uri="{3e2802c4-a4d2-4d8b-9148-e3be6c30e623}">
          <xlrd:rvb i="17858"/>
        </ext>
      </extLst>
    </bk>
    <bk>
      <extLst>
        <ext uri="{3e2802c4-a4d2-4d8b-9148-e3be6c30e623}">
          <xlrd:rvb i="17859"/>
        </ext>
      </extLst>
    </bk>
    <bk>
      <extLst>
        <ext uri="{3e2802c4-a4d2-4d8b-9148-e3be6c30e623}">
          <xlrd:rvb i="17860"/>
        </ext>
      </extLst>
    </bk>
    <bk>
      <extLst>
        <ext uri="{3e2802c4-a4d2-4d8b-9148-e3be6c30e623}">
          <xlrd:rvb i="17861"/>
        </ext>
      </extLst>
    </bk>
    <bk>
      <extLst>
        <ext uri="{3e2802c4-a4d2-4d8b-9148-e3be6c30e623}">
          <xlrd:rvb i="17862"/>
        </ext>
      </extLst>
    </bk>
    <bk>
      <extLst>
        <ext uri="{3e2802c4-a4d2-4d8b-9148-e3be6c30e623}">
          <xlrd:rvb i="17863"/>
        </ext>
      </extLst>
    </bk>
    <bk>
      <extLst>
        <ext uri="{3e2802c4-a4d2-4d8b-9148-e3be6c30e623}">
          <xlrd:rvb i="17864"/>
        </ext>
      </extLst>
    </bk>
    <bk>
      <extLst>
        <ext uri="{3e2802c4-a4d2-4d8b-9148-e3be6c30e623}">
          <xlrd:rvb i="17865"/>
        </ext>
      </extLst>
    </bk>
    <bk>
      <extLst>
        <ext uri="{3e2802c4-a4d2-4d8b-9148-e3be6c30e623}">
          <xlrd:rvb i="17866"/>
        </ext>
      </extLst>
    </bk>
    <bk>
      <extLst>
        <ext uri="{3e2802c4-a4d2-4d8b-9148-e3be6c30e623}">
          <xlrd:rvb i="17867"/>
        </ext>
      </extLst>
    </bk>
    <bk>
      <extLst>
        <ext uri="{3e2802c4-a4d2-4d8b-9148-e3be6c30e623}">
          <xlrd:rvb i="17868"/>
        </ext>
      </extLst>
    </bk>
    <bk>
      <extLst>
        <ext uri="{3e2802c4-a4d2-4d8b-9148-e3be6c30e623}">
          <xlrd:rvb i="17869"/>
        </ext>
      </extLst>
    </bk>
    <bk>
      <extLst>
        <ext uri="{3e2802c4-a4d2-4d8b-9148-e3be6c30e623}">
          <xlrd:rvb i="17870"/>
        </ext>
      </extLst>
    </bk>
    <bk>
      <extLst>
        <ext uri="{3e2802c4-a4d2-4d8b-9148-e3be6c30e623}">
          <xlrd:rvb i="17871"/>
        </ext>
      </extLst>
    </bk>
    <bk>
      <extLst>
        <ext uri="{3e2802c4-a4d2-4d8b-9148-e3be6c30e623}">
          <xlrd:rvb i="17872"/>
        </ext>
      </extLst>
    </bk>
    <bk>
      <extLst>
        <ext uri="{3e2802c4-a4d2-4d8b-9148-e3be6c30e623}">
          <xlrd:rvb i="17873"/>
        </ext>
      </extLst>
    </bk>
    <bk>
      <extLst>
        <ext uri="{3e2802c4-a4d2-4d8b-9148-e3be6c30e623}">
          <xlrd:rvb i="17874"/>
        </ext>
      </extLst>
    </bk>
    <bk>
      <extLst>
        <ext uri="{3e2802c4-a4d2-4d8b-9148-e3be6c30e623}">
          <xlrd:rvb i="17875"/>
        </ext>
      </extLst>
    </bk>
    <bk>
      <extLst>
        <ext uri="{3e2802c4-a4d2-4d8b-9148-e3be6c30e623}">
          <xlrd:rvb i="17876"/>
        </ext>
      </extLst>
    </bk>
    <bk>
      <extLst>
        <ext uri="{3e2802c4-a4d2-4d8b-9148-e3be6c30e623}">
          <xlrd:rvb i="17877"/>
        </ext>
      </extLst>
    </bk>
    <bk>
      <extLst>
        <ext uri="{3e2802c4-a4d2-4d8b-9148-e3be6c30e623}">
          <xlrd:rvb i="17878"/>
        </ext>
      </extLst>
    </bk>
    <bk>
      <extLst>
        <ext uri="{3e2802c4-a4d2-4d8b-9148-e3be6c30e623}">
          <xlrd:rvb i="17879"/>
        </ext>
      </extLst>
    </bk>
    <bk>
      <extLst>
        <ext uri="{3e2802c4-a4d2-4d8b-9148-e3be6c30e623}">
          <xlrd:rvb i="17880"/>
        </ext>
      </extLst>
    </bk>
    <bk>
      <extLst>
        <ext uri="{3e2802c4-a4d2-4d8b-9148-e3be6c30e623}">
          <xlrd:rvb i="17881"/>
        </ext>
      </extLst>
    </bk>
    <bk>
      <extLst>
        <ext uri="{3e2802c4-a4d2-4d8b-9148-e3be6c30e623}">
          <xlrd:rvb i="17882"/>
        </ext>
      </extLst>
    </bk>
    <bk>
      <extLst>
        <ext uri="{3e2802c4-a4d2-4d8b-9148-e3be6c30e623}">
          <xlrd:rvb i="17883"/>
        </ext>
      </extLst>
    </bk>
    <bk>
      <extLst>
        <ext uri="{3e2802c4-a4d2-4d8b-9148-e3be6c30e623}">
          <xlrd:rvb i="17884"/>
        </ext>
      </extLst>
    </bk>
    <bk>
      <extLst>
        <ext uri="{3e2802c4-a4d2-4d8b-9148-e3be6c30e623}">
          <xlrd:rvb i="17885"/>
        </ext>
      </extLst>
    </bk>
    <bk>
      <extLst>
        <ext uri="{3e2802c4-a4d2-4d8b-9148-e3be6c30e623}">
          <xlrd:rvb i="17886"/>
        </ext>
      </extLst>
    </bk>
    <bk>
      <extLst>
        <ext uri="{3e2802c4-a4d2-4d8b-9148-e3be6c30e623}">
          <xlrd:rvb i="17887"/>
        </ext>
      </extLst>
    </bk>
    <bk>
      <extLst>
        <ext uri="{3e2802c4-a4d2-4d8b-9148-e3be6c30e623}">
          <xlrd:rvb i="17888"/>
        </ext>
      </extLst>
    </bk>
    <bk>
      <extLst>
        <ext uri="{3e2802c4-a4d2-4d8b-9148-e3be6c30e623}">
          <xlrd:rvb i="17889"/>
        </ext>
      </extLst>
    </bk>
    <bk>
      <extLst>
        <ext uri="{3e2802c4-a4d2-4d8b-9148-e3be6c30e623}">
          <xlrd:rvb i="17890"/>
        </ext>
      </extLst>
    </bk>
    <bk>
      <extLst>
        <ext uri="{3e2802c4-a4d2-4d8b-9148-e3be6c30e623}">
          <xlrd:rvb i="17891"/>
        </ext>
      </extLst>
    </bk>
    <bk>
      <extLst>
        <ext uri="{3e2802c4-a4d2-4d8b-9148-e3be6c30e623}">
          <xlrd:rvb i="17892"/>
        </ext>
      </extLst>
    </bk>
    <bk>
      <extLst>
        <ext uri="{3e2802c4-a4d2-4d8b-9148-e3be6c30e623}">
          <xlrd:rvb i="17893"/>
        </ext>
      </extLst>
    </bk>
    <bk>
      <extLst>
        <ext uri="{3e2802c4-a4d2-4d8b-9148-e3be6c30e623}">
          <xlrd:rvb i="17894"/>
        </ext>
      </extLst>
    </bk>
    <bk>
      <extLst>
        <ext uri="{3e2802c4-a4d2-4d8b-9148-e3be6c30e623}">
          <xlrd:rvb i="17895"/>
        </ext>
      </extLst>
    </bk>
    <bk>
      <extLst>
        <ext uri="{3e2802c4-a4d2-4d8b-9148-e3be6c30e623}">
          <xlrd:rvb i="17896"/>
        </ext>
      </extLst>
    </bk>
    <bk>
      <extLst>
        <ext uri="{3e2802c4-a4d2-4d8b-9148-e3be6c30e623}">
          <xlrd:rvb i="17897"/>
        </ext>
      </extLst>
    </bk>
    <bk>
      <extLst>
        <ext uri="{3e2802c4-a4d2-4d8b-9148-e3be6c30e623}">
          <xlrd:rvb i="17898"/>
        </ext>
      </extLst>
    </bk>
    <bk>
      <extLst>
        <ext uri="{3e2802c4-a4d2-4d8b-9148-e3be6c30e623}">
          <xlrd:rvb i="17899"/>
        </ext>
      </extLst>
    </bk>
    <bk>
      <extLst>
        <ext uri="{3e2802c4-a4d2-4d8b-9148-e3be6c30e623}">
          <xlrd:rvb i="17900"/>
        </ext>
      </extLst>
    </bk>
    <bk>
      <extLst>
        <ext uri="{3e2802c4-a4d2-4d8b-9148-e3be6c30e623}">
          <xlrd:rvb i="17901"/>
        </ext>
      </extLst>
    </bk>
    <bk>
      <extLst>
        <ext uri="{3e2802c4-a4d2-4d8b-9148-e3be6c30e623}">
          <xlrd:rvb i="17902"/>
        </ext>
      </extLst>
    </bk>
    <bk>
      <extLst>
        <ext uri="{3e2802c4-a4d2-4d8b-9148-e3be6c30e623}">
          <xlrd:rvb i="17903"/>
        </ext>
      </extLst>
    </bk>
    <bk>
      <extLst>
        <ext uri="{3e2802c4-a4d2-4d8b-9148-e3be6c30e623}">
          <xlrd:rvb i="17904"/>
        </ext>
      </extLst>
    </bk>
    <bk>
      <extLst>
        <ext uri="{3e2802c4-a4d2-4d8b-9148-e3be6c30e623}">
          <xlrd:rvb i="17905"/>
        </ext>
      </extLst>
    </bk>
    <bk>
      <extLst>
        <ext uri="{3e2802c4-a4d2-4d8b-9148-e3be6c30e623}">
          <xlrd:rvb i="17906"/>
        </ext>
      </extLst>
    </bk>
    <bk>
      <extLst>
        <ext uri="{3e2802c4-a4d2-4d8b-9148-e3be6c30e623}">
          <xlrd:rvb i="17907"/>
        </ext>
      </extLst>
    </bk>
    <bk>
      <extLst>
        <ext uri="{3e2802c4-a4d2-4d8b-9148-e3be6c30e623}">
          <xlrd:rvb i="17908"/>
        </ext>
      </extLst>
    </bk>
    <bk>
      <extLst>
        <ext uri="{3e2802c4-a4d2-4d8b-9148-e3be6c30e623}">
          <xlrd:rvb i="17909"/>
        </ext>
      </extLst>
    </bk>
    <bk>
      <extLst>
        <ext uri="{3e2802c4-a4d2-4d8b-9148-e3be6c30e623}">
          <xlrd:rvb i="17910"/>
        </ext>
      </extLst>
    </bk>
    <bk>
      <extLst>
        <ext uri="{3e2802c4-a4d2-4d8b-9148-e3be6c30e623}">
          <xlrd:rvb i="17911"/>
        </ext>
      </extLst>
    </bk>
    <bk>
      <extLst>
        <ext uri="{3e2802c4-a4d2-4d8b-9148-e3be6c30e623}">
          <xlrd:rvb i="17912"/>
        </ext>
      </extLst>
    </bk>
    <bk>
      <extLst>
        <ext uri="{3e2802c4-a4d2-4d8b-9148-e3be6c30e623}">
          <xlrd:rvb i="17913"/>
        </ext>
      </extLst>
    </bk>
    <bk>
      <extLst>
        <ext uri="{3e2802c4-a4d2-4d8b-9148-e3be6c30e623}">
          <xlrd:rvb i="17914"/>
        </ext>
      </extLst>
    </bk>
    <bk>
      <extLst>
        <ext uri="{3e2802c4-a4d2-4d8b-9148-e3be6c30e623}">
          <xlrd:rvb i="17915"/>
        </ext>
      </extLst>
    </bk>
    <bk>
      <extLst>
        <ext uri="{3e2802c4-a4d2-4d8b-9148-e3be6c30e623}">
          <xlrd:rvb i="17916"/>
        </ext>
      </extLst>
    </bk>
    <bk>
      <extLst>
        <ext uri="{3e2802c4-a4d2-4d8b-9148-e3be6c30e623}">
          <xlrd:rvb i="17917"/>
        </ext>
      </extLst>
    </bk>
    <bk>
      <extLst>
        <ext uri="{3e2802c4-a4d2-4d8b-9148-e3be6c30e623}">
          <xlrd:rvb i="17918"/>
        </ext>
      </extLst>
    </bk>
    <bk>
      <extLst>
        <ext uri="{3e2802c4-a4d2-4d8b-9148-e3be6c30e623}">
          <xlrd:rvb i="17919"/>
        </ext>
      </extLst>
    </bk>
    <bk>
      <extLst>
        <ext uri="{3e2802c4-a4d2-4d8b-9148-e3be6c30e623}">
          <xlrd:rvb i="17920"/>
        </ext>
      </extLst>
    </bk>
    <bk>
      <extLst>
        <ext uri="{3e2802c4-a4d2-4d8b-9148-e3be6c30e623}">
          <xlrd:rvb i="17921"/>
        </ext>
      </extLst>
    </bk>
    <bk>
      <extLst>
        <ext uri="{3e2802c4-a4d2-4d8b-9148-e3be6c30e623}">
          <xlrd:rvb i="17922"/>
        </ext>
      </extLst>
    </bk>
    <bk>
      <extLst>
        <ext uri="{3e2802c4-a4d2-4d8b-9148-e3be6c30e623}">
          <xlrd:rvb i="17923"/>
        </ext>
      </extLst>
    </bk>
    <bk>
      <extLst>
        <ext uri="{3e2802c4-a4d2-4d8b-9148-e3be6c30e623}">
          <xlrd:rvb i="17924"/>
        </ext>
      </extLst>
    </bk>
    <bk>
      <extLst>
        <ext uri="{3e2802c4-a4d2-4d8b-9148-e3be6c30e623}">
          <xlrd:rvb i="17925"/>
        </ext>
      </extLst>
    </bk>
    <bk>
      <extLst>
        <ext uri="{3e2802c4-a4d2-4d8b-9148-e3be6c30e623}">
          <xlrd:rvb i="17926"/>
        </ext>
      </extLst>
    </bk>
    <bk>
      <extLst>
        <ext uri="{3e2802c4-a4d2-4d8b-9148-e3be6c30e623}">
          <xlrd:rvb i="17927"/>
        </ext>
      </extLst>
    </bk>
    <bk>
      <extLst>
        <ext uri="{3e2802c4-a4d2-4d8b-9148-e3be6c30e623}">
          <xlrd:rvb i="17928"/>
        </ext>
      </extLst>
    </bk>
    <bk>
      <extLst>
        <ext uri="{3e2802c4-a4d2-4d8b-9148-e3be6c30e623}">
          <xlrd:rvb i="17929"/>
        </ext>
      </extLst>
    </bk>
    <bk>
      <extLst>
        <ext uri="{3e2802c4-a4d2-4d8b-9148-e3be6c30e623}">
          <xlrd:rvb i="17930"/>
        </ext>
      </extLst>
    </bk>
    <bk>
      <extLst>
        <ext uri="{3e2802c4-a4d2-4d8b-9148-e3be6c30e623}">
          <xlrd:rvb i="17931"/>
        </ext>
      </extLst>
    </bk>
    <bk>
      <extLst>
        <ext uri="{3e2802c4-a4d2-4d8b-9148-e3be6c30e623}">
          <xlrd:rvb i="17932"/>
        </ext>
      </extLst>
    </bk>
    <bk>
      <extLst>
        <ext uri="{3e2802c4-a4d2-4d8b-9148-e3be6c30e623}">
          <xlrd:rvb i="17933"/>
        </ext>
      </extLst>
    </bk>
    <bk>
      <extLst>
        <ext uri="{3e2802c4-a4d2-4d8b-9148-e3be6c30e623}">
          <xlrd:rvb i="17934"/>
        </ext>
      </extLst>
    </bk>
    <bk>
      <extLst>
        <ext uri="{3e2802c4-a4d2-4d8b-9148-e3be6c30e623}">
          <xlrd:rvb i="17935"/>
        </ext>
      </extLst>
    </bk>
    <bk>
      <extLst>
        <ext uri="{3e2802c4-a4d2-4d8b-9148-e3be6c30e623}">
          <xlrd:rvb i="17936"/>
        </ext>
      </extLst>
    </bk>
    <bk>
      <extLst>
        <ext uri="{3e2802c4-a4d2-4d8b-9148-e3be6c30e623}">
          <xlrd:rvb i="17937"/>
        </ext>
      </extLst>
    </bk>
    <bk>
      <extLst>
        <ext uri="{3e2802c4-a4d2-4d8b-9148-e3be6c30e623}">
          <xlrd:rvb i="17938"/>
        </ext>
      </extLst>
    </bk>
    <bk>
      <extLst>
        <ext uri="{3e2802c4-a4d2-4d8b-9148-e3be6c30e623}">
          <xlrd:rvb i="17939"/>
        </ext>
      </extLst>
    </bk>
    <bk>
      <extLst>
        <ext uri="{3e2802c4-a4d2-4d8b-9148-e3be6c30e623}">
          <xlrd:rvb i="17940"/>
        </ext>
      </extLst>
    </bk>
    <bk>
      <extLst>
        <ext uri="{3e2802c4-a4d2-4d8b-9148-e3be6c30e623}">
          <xlrd:rvb i="17941"/>
        </ext>
      </extLst>
    </bk>
    <bk>
      <extLst>
        <ext uri="{3e2802c4-a4d2-4d8b-9148-e3be6c30e623}">
          <xlrd:rvb i="17942"/>
        </ext>
      </extLst>
    </bk>
    <bk>
      <extLst>
        <ext uri="{3e2802c4-a4d2-4d8b-9148-e3be6c30e623}">
          <xlrd:rvb i="17943"/>
        </ext>
      </extLst>
    </bk>
    <bk>
      <extLst>
        <ext uri="{3e2802c4-a4d2-4d8b-9148-e3be6c30e623}">
          <xlrd:rvb i="17944"/>
        </ext>
      </extLst>
    </bk>
    <bk>
      <extLst>
        <ext uri="{3e2802c4-a4d2-4d8b-9148-e3be6c30e623}">
          <xlrd:rvb i="17945"/>
        </ext>
      </extLst>
    </bk>
    <bk>
      <extLst>
        <ext uri="{3e2802c4-a4d2-4d8b-9148-e3be6c30e623}">
          <xlrd:rvb i="17946"/>
        </ext>
      </extLst>
    </bk>
    <bk>
      <extLst>
        <ext uri="{3e2802c4-a4d2-4d8b-9148-e3be6c30e623}">
          <xlrd:rvb i="17947"/>
        </ext>
      </extLst>
    </bk>
    <bk>
      <extLst>
        <ext uri="{3e2802c4-a4d2-4d8b-9148-e3be6c30e623}">
          <xlrd:rvb i="17948"/>
        </ext>
      </extLst>
    </bk>
    <bk>
      <extLst>
        <ext uri="{3e2802c4-a4d2-4d8b-9148-e3be6c30e623}">
          <xlrd:rvb i="17949"/>
        </ext>
      </extLst>
    </bk>
    <bk>
      <extLst>
        <ext uri="{3e2802c4-a4d2-4d8b-9148-e3be6c30e623}">
          <xlrd:rvb i="17950"/>
        </ext>
      </extLst>
    </bk>
    <bk>
      <extLst>
        <ext uri="{3e2802c4-a4d2-4d8b-9148-e3be6c30e623}">
          <xlrd:rvb i="17951"/>
        </ext>
      </extLst>
    </bk>
    <bk>
      <extLst>
        <ext uri="{3e2802c4-a4d2-4d8b-9148-e3be6c30e623}">
          <xlrd:rvb i="17952"/>
        </ext>
      </extLst>
    </bk>
    <bk>
      <extLst>
        <ext uri="{3e2802c4-a4d2-4d8b-9148-e3be6c30e623}">
          <xlrd:rvb i="17953"/>
        </ext>
      </extLst>
    </bk>
    <bk>
      <extLst>
        <ext uri="{3e2802c4-a4d2-4d8b-9148-e3be6c30e623}">
          <xlrd:rvb i="17954"/>
        </ext>
      </extLst>
    </bk>
    <bk>
      <extLst>
        <ext uri="{3e2802c4-a4d2-4d8b-9148-e3be6c30e623}">
          <xlrd:rvb i="17955"/>
        </ext>
      </extLst>
    </bk>
    <bk>
      <extLst>
        <ext uri="{3e2802c4-a4d2-4d8b-9148-e3be6c30e623}">
          <xlrd:rvb i="17956"/>
        </ext>
      </extLst>
    </bk>
    <bk>
      <extLst>
        <ext uri="{3e2802c4-a4d2-4d8b-9148-e3be6c30e623}">
          <xlrd:rvb i="17957"/>
        </ext>
      </extLst>
    </bk>
    <bk>
      <extLst>
        <ext uri="{3e2802c4-a4d2-4d8b-9148-e3be6c30e623}">
          <xlrd:rvb i="17958"/>
        </ext>
      </extLst>
    </bk>
    <bk>
      <extLst>
        <ext uri="{3e2802c4-a4d2-4d8b-9148-e3be6c30e623}">
          <xlrd:rvb i="17959"/>
        </ext>
      </extLst>
    </bk>
    <bk>
      <extLst>
        <ext uri="{3e2802c4-a4d2-4d8b-9148-e3be6c30e623}">
          <xlrd:rvb i="17960"/>
        </ext>
      </extLst>
    </bk>
    <bk>
      <extLst>
        <ext uri="{3e2802c4-a4d2-4d8b-9148-e3be6c30e623}">
          <xlrd:rvb i="17961"/>
        </ext>
      </extLst>
    </bk>
    <bk>
      <extLst>
        <ext uri="{3e2802c4-a4d2-4d8b-9148-e3be6c30e623}">
          <xlrd:rvb i="17962"/>
        </ext>
      </extLst>
    </bk>
    <bk>
      <extLst>
        <ext uri="{3e2802c4-a4d2-4d8b-9148-e3be6c30e623}">
          <xlrd:rvb i="17963"/>
        </ext>
      </extLst>
    </bk>
    <bk>
      <extLst>
        <ext uri="{3e2802c4-a4d2-4d8b-9148-e3be6c30e623}">
          <xlrd:rvb i="17964"/>
        </ext>
      </extLst>
    </bk>
    <bk>
      <extLst>
        <ext uri="{3e2802c4-a4d2-4d8b-9148-e3be6c30e623}">
          <xlrd:rvb i="17965"/>
        </ext>
      </extLst>
    </bk>
    <bk>
      <extLst>
        <ext uri="{3e2802c4-a4d2-4d8b-9148-e3be6c30e623}">
          <xlrd:rvb i="17966"/>
        </ext>
      </extLst>
    </bk>
    <bk>
      <extLst>
        <ext uri="{3e2802c4-a4d2-4d8b-9148-e3be6c30e623}">
          <xlrd:rvb i="17967"/>
        </ext>
      </extLst>
    </bk>
    <bk>
      <extLst>
        <ext uri="{3e2802c4-a4d2-4d8b-9148-e3be6c30e623}">
          <xlrd:rvb i="17968"/>
        </ext>
      </extLst>
    </bk>
    <bk>
      <extLst>
        <ext uri="{3e2802c4-a4d2-4d8b-9148-e3be6c30e623}">
          <xlrd:rvb i="17969"/>
        </ext>
      </extLst>
    </bk>
    <bk>
      <extLst>
        <ext uri="{3e2802c4-a4d2-4d8b-9148-e3be6c30e623}">
          <xlrd:rvb i="17970"/>
        </ext>
      </extLst>
    </bk>
    <bk>
      <extLst>
        <ext uri="{3e2802c4-a4d2-4d8b-9148-e3be6c30e623}">
          <xlrd:rvb i="17971"/>
        </ext>
      </extLst>
    </bk>
    <bk>
      <extLst>
        <ext uri="{3e2802c4-a4d2-4d8b-9148-e3be6c30e623}">
          <xlrd:rvb i="17972"/>
        </ext>
      </extLst>
    </bk>
    <bk>
      <extLst>
        <ext uri="{3e2802c4-a4d2-4d8b-9148-e3be6c30e623}">
          <xlrd:rvb i="17973"/>
        </ext>
      </extLst>
    </bk>
    <bk>
      <extLst>
        <ext uri="{3e2802c4-a4d2-4d8b-9148-e3be6c30e623}">
          <xlrd:rvb i="17974"/>
        </ext>
      </extLst>
    </bk>
    <bk>
      <extLst>
        <ext uri="{3e2802c4-a4d2-4d8b-9148-e3be6c30e623}">
          <xlrd:rvb i="17975"/>
        </ext>
      </extLst>
    </bk>
    <bk>
      <extLst>
        <ext uri="{3e2802c4-a4d2-4d8b-9148-e3be6c30e623}">
          <xlrd:rvb i="17976"/>
        </ext>
      </extLst>
    </bk>
    <bk>
      <extLst>
        <ext uri="{3e2802c4-a4d2-4d8b-9148-e3be6c30e623}">
          <xlrd:rvb i="17977"/>
        </ext>
      </extLst>
    </bk>
    <bk>
      <extLst>
        <ext uri="{3e2802c4-a4d2-4d8b-9148-e3be6c30e623}">
          <xlrd:rvb i="17978"/>
        </ext>
      </extLst>
    </bk>
    <bk>
      <extLst>
        <ext uri="{3e2802c4-a4d2-4d8b-9148-e3be6c30e623}">
          <xlrd:rvb i="17979"/>
        </ext>
      </extLst>
    </bk>
    <bk>
      <extLst>
        <ext uri="{3e2802c4-a4d2-4d8b-9148-e3be6c30e623}">
          <xlrd:rvb i="17980"/>
        </ext>
      </extLst>
    </bk>
    <bk>
      <extLst>
        <ext uri="{3e2802c4-a4d2-4d8b-9148-e3be6c30e623}">
          <xlrd:rvb i="17981"/>
        </ext>
      </extLst>
    </bk>
    <bk>
      <extLst>
        <ext uri="{3e2802c4-a4d2-4d8b-9148-e3be6c30e623}">
          <xlrd:rvb i="17982"/>
        </ext>
      </extLst>
    </bk>
    <bk>
      <extLst>
        <ext uri="{3e2802c4-a4d2-4d8b-9148-e3be6c30e623}">
          <xlrd:rvb i="17983"/>
        </ext>
      </extLst>
    </bk>
    <bk>
      <extLst>
        <ext uri="{3e2802c4-a4d2-4d8b-9148-e3be6c30e623}">
          <xlrd:rvb i="17984"/>
        </ext>
      </extLst>
    </bk>
    <bk>
      <extLst>
        <ext uri="{3e2802c4-a4d2-4d8b-9148-e3be6c30e623}">
          <xlrd:rvb i="17985"/>
        </ext>
      </extLst>
    </bk>
    <bk>
      <extLst>
        <ext uri="{3e2802c4-a4d2-4d8b-9148-e3be6c30e623}">
          <xlrd:rvb i="17986"/>
        </ext>
      </extLst>
    </bk>
    <bk>
      <extLst>
        <ext uri="{3e2802c4-a4d2-4d8b-9148-e3be6c30e623}">
          <xlrd:rvb i="17987"/>
        </ext>
      </extLst>
    </bk>
    <bk>
      <extLst>
        <ext uri="{3e2802c4-a4d2-4d8b-9148-e3be6c30e623}">
          <xlrd:rvb i="17988"/>
        </ext>
      </extLst>
    </bk>
    <bk>
      <extLst>
        <ext uri="{3e2802c4-a4d2-4d8b-9148-e3be6c30e623}">
          <xlrd:rvb i="17989"/>
        </ext>
      </extLst>
    </bk>
    <bk>
      <extLst>
        <ext uri="{3e2802c4-a4d2-4d8b-9148-e3be6c30e623}">
          <xlrd:rvb i="17990"/>
        </ext>
      </extLst>
    </bk>
    <bk>
      <extLst>
        <ext uri="{3e2802c4-a4d2-4d8b-9148-e3be6c30e623}">
          <xlrd:rvb i="17991"/>
        </ext>
      </extLst>
    </bk>
    <bk>
      <extLst>
        <ext uri="{3e2802c4-a4d2-4d8b-9148-e3be6c30e623}">
          <xlrd:rvb i="17992"/>
        </ext>
      </extLst>
    </bk>
    <bk>
      <extLst>
        <ext uri="{3e2802c4-a4d2-4d8b-9148-e3be6c30e623}">
          <xlrd:rvb i="17993"/>
        </ext>
      </extLst>
    </bk>
    <bk>
      <extLst>
        <ext uri="{3e2802c4-a4d2-4d8b-9148-e3be6c30e623}">
          <xlrd:rvb i="17994"/>
        </ext>
      </extLst>
    </bk>
    <bk>
      <extLst>
        <ext uri="{3e2802c4-a4d2-4d8b-9148-e3be6c30e623}">
          <xlrd:rvb i="17995"/>
        </ext>
      </extLst>
    </bk>
    <bk>
      <extLst>
        <ext uri="{3e2802c4-a4d2-4d8b-9148-e3be6c30e623}">
          <xlrd:rvb i="17996"/>
        </ext>
      </extLst>
    </bk>
    <bk>
      <extLst>
        <ext uri="{3e2802c4-a4d2-4d8b-9148-e3be6c30e623}">
          <xlrd:rvb i="17997"/>
        </ext>
      </extLst>
    </bk>
    <bk>
      <extLst>
        <ext uri="{3e2802c4-a4d2-4d8b-9148-e3be6c30e623}">
          <xlrd:rvb i="17998"/>
        </ext>
      </extLst>
    </bk>
    <bk>
      <extLst>
        <ext uri="{3e2802c4-a4d2-4d8b-9148-e3be6c30e623}">
          <xlrd:rvb i="17999"/>
        </ext>
      </extLst>
    </bk>
    <bk>
      <extLst>
        <ext uri="{3e2802c4-a4d2-4d8b-9148-e3be6c30e623}">
          <xlrd:rvb i="18000"/>
        </ext>
      </extLst>
    </bk>
    <bk>
      <extLst>
        <ext uri="{3e2802c4-a4d2-4d8b-9148-e3be6c30e623}">
          <xlrd:rvb i="18001"/>
        </ext>
      </extLst>
    </bk>
    <bk>
      <extLst>
        <ext uri="{3e2802c4-a4d2-4d8b-9148-e3be6c30e623}">
          <xlrd:rvb i="18002"/>
        </ext>
      </extLst>
    </bk>
    <bk>
      <extLst>
        <ext uri="{3e2802c4-a4d2-4d8b-9148-e3be6c30e623}">
          <xlrd:rvb i="18003"/>
        </ext>
      </extLst>
    </bk>
    <bk>
      <extLst>
        <ext uri="{3e2802c4-a4d2-4d8b-9148-e3be6c30e623}">
          <xlrd:rvb i="18004"/>
        </ext>
      </extLst>
    </bk>
    <bk>
      <extLst>
        <ext uri="{3e2802c4-a4d2-4d8b-9148-e3be6c30e623}">
          <xlrd:rvb i="18005"/>
        </ext>
      </extLst>
    </bk>
    <bk>
      <extLst>
        <ext uri="{3e2802c4-a4d2-4d8b-9148-e3be6c30e623}">
          <xlrd:rvb i="18006"/>
        </ext>
      </extLst>
    </bk>
    <bk>
      <extLst>
        <ext uri="{3e2802c4-a4d2-4d8b-9148-e3be6c30e623}">
          <xlrd:rvb i="18007"/>
        </ext>
      </extLst>
    </bk>
    <bk>
      <extLst>
        <ext uri="{3e2802c4-a4d2-4d8b-9148-e3be6c30e623}">
          <xlrd:rvb i="18008"/>
        </ext>
      </extLst>
    </bk>
    <bk>
      <extLst>
        <ext uri="{3e2802c4-a4d2-4d8b-9148-e3be6c30e623}">
          <xlrd:rvb i="18009"/>
        </ext>
      </extLst>
    </bk>
    <bk>
      <extLst>
        <ext uri="{3e2802c4-a4d2-4d8b-9148-e3be6c30e623}">
          <xlrd:rvb i="18010"/>
        </ext>
      </extLst>
    </bk>
    <bk>
      <extLst>
        <ext uri="{3e2802c4-a4d2-4d8b-9148-e3be6c30e623}">
          <xlrd:rvb i="18011"/>
        </ext>
      </extLst>
    </bk>
    <bk>
      <extLst>
        <ext uri="{3e2802c4-a4d2-4d8b-9148-e3be6c30e623}">
          <xlrd:rvb i="18012"/>
        </ext>
      </extLst>
    </bk>
    <bk>
      <extLst>
        <ext uri="{3e2802c4-a4d2-4d8b-9148-e3be6c30e623}">
          <xlrd:rvb i="18013"/>
        </ext>
      </extLst>
    </bk>
    <bk>
      <extLst>
        <ext uri="{3e2802c4-a4d2-4d8b-9148-e3be6c30e623}">
          <xlrd:rvb i="18014"/>
        </ext>
      </extLst>
    </bk>
    <bk>
      <extLst>
        <ext uri="{3e2802c4-a4d2-4d8b-9148-e3be6c30e623}">
          <xlrd:rvb i="18015"/>
        </ext>
      </extLst>
    </bk>
    <bk>
      <extLst>
        <ext uri="{3e2802c4-a4d2-4d8b-9148-e3be6c30e623}">
          <xlrd:rvb i="18016"/>
        </ext>
      </extLst>
    </bk>
    <bk>
      <extLst>
        <ext uri="{3e2802c4-a4d2-4d8b-9148-e3be6c30e623}">
          <xlrd:rvb i="18017"/>
        </ext>
      </extLst>
    </bk>
    <bk>
      <extLst>
        <ext uri="{3e2802c4-a4d2-4d8b-9148-e3be6c30e623}">
          <xlrd:rvb i="18018"/>
        </ext>
      </extLst>
    </bk>
    <bk>
      <extLst>
        <ext uri="{3e2802c4-a4d2-4d8b-9148-e3be6c30e623}">
          <xlrd:rvb i="18019"/>
        </ext>
      </extLst>
    </bk>
    <bk>
      <extLst>
        <ext uri="{3e2802c4-a4d2-4d8b-9148-e3be6c30e623}">
          <xlrd:rvb i="18020"/>
        </ext>
      </extLst>
    </bk>
    <bk>
      <extLst>
        <ext uri="{3e2802c4-a4d2-4d8b-9148-e3be6c30e623}">
          <xlrd:rvb i="18021"/>
        </ext>
      </extLst>
    </bk>
    <bk>
      <extLst>
        <ext uri="{3e2802c4-a4d2-4d8b-9148-e3be6c30e623}">
          <xlrd:rvb i="18022"/>
        </ext>
      </extLst>
    </bk>
    <bk>
      <extLst>
        <ext uri="{3e2802c4-a4d2-4d8b-9148-e3be6c30e623}">
          <xlrd:rvb i="18023"/>
        </ext>
      </extLst>
    </bk>
    <bk>
      <extLst>
        <ext uri="{3e2802c4-a4d2-4d8b-9148-e3be6c30e623}">
          <xlrd:rvb i="18024"/>
        </ext>
      </extLst>
    </bk>
    <bk>
      <extLst>
        <ext uri="{3e2802c4-a4d2-4d8b-9148-e3be6c30e623}">
          <xlrd:rvb i="18025"/>
        </ext>
      </extLst>
    </bk>
    <bk>
      <extLst>
        <ext uri="{3e2802c4-a4d2-4d8b-9148-e3be6c30e623}">
          <xlrd:rvb i="18026"/>
        </ext>
      </extLst>
    </bk>
    <bk>
      <extLst>
        <ext uri="{3e2802c4-a4d2-4d8b-9148-e3be6c30e623}">
          <xlrd:rvb i="18027"/>
        </ext>
      </extLst>
    </bk>
    <bk>
      <extLst>
        <ext uri="{3e2802c4-a4d2-4d8b-9148-e3be6c30e623}">
          <xlrd:rvb i="18028"/>
        </ext>
      </extLst>
    </bk>
    <bk>
      <extLst>
        <ext uri="{3e2802c4-a4d2-4d8b-9148-e3be6c30e623}">
          <xlrd:rvb i="18029"/>
        </ext>
      </extLst>
    </bk>
    <bk>
      <extLst>
        <ext uri="{3e2802c4-a4d2-4d8b-9148-e3be6c30e623}">
          <xlrd:rvb i="18030"/>
        </ext>
      </extLst>
    </bk>
    <bk>
      <extLst>
        <ext uri="{3e2802c4-a4d2-4d8b-9148-e3be6c30e623}">
          <xlrd:rvb i="18031"/>
        </ext>
      </extLst>
    </bk>
    <bk>
      <extLst>
        <ext uri="{3e2802c4-a4d2-4d8b-9148-e3be6c30e623}">
          <xlrd:rvb i="18032"/>
        </ext>
      </extLst>
    </bk>
    <bk>
      <extLst>
        <ext uri="{3e2802c4-a4d2-4d8b-9148-e3be6c30e623}">
          <xlrd:rvb i="18033"/>
        </ext>
      </extLst>
    </bk>
    <bk>
      <extLst>
        <ext uri="{3e2802c4-a4d2-4d8b-9148-e3be6c30e623}">
          <xlrd:rvb i="18034"/>
        </ext>
      </extLst>
    </bk>
    <bk>
      <extLst>
        <ext uri="{3e2802c4-a4d2-4d8b-9148-e3be6c30e623}">
          <xlrd:rvb i="18035"/>
        </ext>
      </extLst>
    </bk>
    <bk>
      <extLst>
        <ext uri="{3e2802c4-a4d2-4d8b-9148-e3be6c30e623}">
          <xlrd:rvb i="18036"/>
        </ext>
      </extLst>
    </bk>
    <bk>
      <extLst>
        <ext uri="{3e2802c4-a4d2-4d8b-9148-e3be6c30e623}">
          <xlrd:rvb i="18037"/>
        </ext>
      </extLst>
    </bk>
    <bk>
      <extLst>
        <ext uri="{3e2802c4-a4d2-4d8b-9148-e3be6c30e623}">
          <xlrd:rvb i="18038"/>
        </ext>
      </extLst>
    </bk>
    <bk>
      <extLst>
        <ext uri="{3e2802c4-a4d2-4d8b-9148-e3be6c30e623}">
          <xlrd:rvb i="18039"/>
        </ext>
      </extLst>
    </bk>
    <bk>
      <extLst>
        <ext uri="{3e2802c4-a4d2-4d8b-9148-e3be6c30e623}">
          <xlrd:rvb i="18040"/>
        </ext>
      </extLst>
    </bk>
    <bk>
      <extLst>
        <ext uri="{3e2802c4-a4d2-4d8b-9148-e3be6c30e623}">
          <xlrd:rvb i="18041"/>
        </ext>
      </extLst>
    </bk>
    <bk>
      <extLst>
        <ext uri="{3e2802c4-a4d2-4d8b-9148-e3be6c30e623}">
          <xlrd:rvb i="18042"/>
        </ext>
      </extLst>
    </bk>
    <bk>
      <extLst>
        <ext uri="{3e2802c4-a4d2-4d8b-9148-e3be6c30e623}">
          <xlrd:rvb i="18043"/>
        </ext>
      </extLst>
    </bk>
    <bk>
      <extLst>
        <ext uri="{3e2802c4-a4d2-4d8b-9148-e3be6c30e623}">
          <xlrd:rvb i="18044"/>
        </ext>
      </extLst>
    </bk>
    <bk>
      <extLst>
        <ext uri="{3e2802c4-a4d2-4d8b-9148-e3be6c30e623}">
          <xlrd:rvb i="18045"/>
        </ext>
      </extLst>
    </bk>
    <bk>
      <extLst>
        <ext uri="{3e2802c4-a4d2-4d8b-9148-e3be6c30e623}">
          <xlrd:rvb i="18046"/>
        </ext>
      </extLst>
    </bk>
    <bk>
      <extLst>
        <ext uri="{3e2802c4-a4d2-4d8b-9148-e3be6c30e623}">
          <xlrd:rvb i="18047"/>
        </ext>
      </extLst>
    </bk>
    <bk>
      <extLst>
        <ext uri="{3e2802c4-a4d2-4d8b-9148-e3be6c30e623}">
          <xlrd:rvb i="18048"/>
        </ext>
      </extLst>
    </bk>
    <bk>
      <extLst>
        <ext uri="{3e2802c4-a4d2-4d8b-9148-e3be6c30e623}">
          <xlrd:rvb i="18049"/>
        </ext>
      </extLst>
    </bk>
    <bk>
      <extLst>
        <ext uri="{3e2802c4-a4d2-4d8b-9148-e3be6c30e623}">
          <xlrd:rvb i="18050"/>
        </ext>
      </extLst>
    </bk>
    <bk>
      <extLst>
        <ext uri="{3e2802c4-a4d2-4d8b-9148-e3be6c30e623}">
          <xlrd:rvb i="18051"/>
        </ext>
      </extLst>
    </bk>
    <bk>
      <extLst>
        <ext uri="{3e2802c4-a4d2-4d8b-9148-e3be6c30e623}">
          <xlrd:rvb i="18052"/>
        </ext>
      </extLst>
    </bk>
    <bk>
      <extLst>
        <ext uri="{3e2802c4-a4d2-4d8b-9148-e3be6c30e623}">
          <xlrd:rvb i="18053"/>
        </ext>
      </extLst>
    </bk>
    <bk>
      <extLst>
        <ext uri="{3e2802c4-a4d2-4d8b-9148-e3be6c30e623}">
          <xlrd:rvb i="18054"/>
        </ext>
      </extLst>
    </bk>
    <bk>
      <extLst>
        <ext uri="{3e2802c4-a4d2-4d8b-9148-e3be6c30e623}">
          <xlrd:rvb i="18055"/>
        </ext>
      </extLst>
    </bk>
    <bk>
      <extLst>
        <ext uri="{3e2802c4-a4d2-4d8b-9148-e3be6c30e623}">
          <xlrd:rvb i="18056"/>
        </ext>
      </extLst>
    </bk>
    <bk>
      <extLst>
        <ext uri="{3e2802c4-a4d2-4d8b-9148-e3be6c30e623}">
          <xlrd:rvb i="18057"/>
        </ext>
      </extLst>
    </bk>
    <bk>
      <extLst>
        <ext uri="{3e2802c4-a4d2-4d8b-9148-e3be6c30e623}">
          <xlrd:rvb i="18058"/>
        </ext>
      </extLst>
    </bk>
    <bk>
      <extLst>
        <ext uri="{3e2802c4-a4d2-4d8b-9148-e3be6c30e623}">
          <xlrd:rvb i="18059"/>
        </ext>
      </extLst>
    </bk>
    <bk>
      <extLst>
        <ext uri="{3e2802c4-a4d2-4d8b-9148-e3be6c30e623}">
          <xlrd:rvb i="18060"/>
        </ext>
      </extLst>
    </bk>
    <bk>
      <extLst>
        <ext uri="{3e2802c4-a4d2-4d8b-9148-e3be6c30e623}">
          <xlrd:rvb i="18061"/>
        </ext>
      </extLst>
    </bk>
    <bk>
      <extLst>
        <ext uri="{3e2802c4-a4d2-4d8b-9148-e3be6c30e623}">
          <xlrd:rvb i="18062"/>
        </ext>
      </extLst>
    </bk>
    <bk>
      <extLst>
        <ext uri="{3e2802c4-a4d2-4d8b-9148-e3be6c30e623}">
          <xlrd:rvb i="18063"/>
        </ext>
      </extLst>
    </bk>
    <bk>
      <extLst>
        <ext uri="{3e2802c4-a4d2-4d8b-9148-e3be6c30e623}">
          <xlrd:rvb i="18064"/>
        </ext>
      </extLst>
    </bk>
    <bk>
      <extLst>
        <ext uri="{3e2802c4-a4d2-4d8b-9148-e3be6c30e623}">
          <xlrd:rvb i="18065"/>
        </ext>
      </extLst>
    </bk>
    <bk>
      <extLst>
        <ext uri="{3e2802c4-a4d2-4d8b-9148-e3be6c30e623}">
          <xlrd:rvb i="18066"/>
        </ext>
      </extLst>
    </bk>
    <bk>
      <extLst>
        <ext uri="{3e2802c4-a4d2-4d8b-9148-e3be6c30e623}">
          <xlrd:rvb i="18067"/>
        </ext>
      </extLst>
    </bk>
    <bk>
      <extLst>
        <ext uri="{3e2802c4-a4d2-4d8b-9148-e3be6c30e623}">
          <xlrd:rvb i="18068"/>
        </ext>
      </extLst>
    </bk>
    <bk>
      <extLst>
        <ext uri="{3e2802c4-a4d2-4d8b-9148-e3be6c30e623}">
          <xlrd:rvb i="18069"/>
        </ext>
      </extLst>
    </bk>
    <bk>
      <extLst>
        <ext uri="{3e2802c4-a4d2-4d8b-9148-e3be6c30e623}">
          <xlrd:rvb i="18070"/>
        </ext>
      </extLst>
    </bk>
    <bk>
      <extLst>
        <ext uri="{3e2802c4-a4d2-4d8b-9148-e3be6c30e623}">
          <xlrd:rvb i="18071"/>
        </ext>
      </extLst>
    </bk>
    <bk>
      <extLst>
        <ext uri="{3e2802c4-a4d2-4d8b-9148-e3be6c30e623}">
          <xlrd:rvb i="18072"/>
        </ext>
      </extLst>
    </bk>
    <bk>
      <extLst>
        <ext uri="{3e2802c4-a4d2-4d8b-9148-e3be6c30e623}">
          <xlrd:rvb i="18073"/>
        </ext>
      </extLst>
    </bk>
    <bk>
      <extLst>
        <ext uri="{3e2802c4-a4d2-4d8b-9148-e3be6c30e623}">
          <xlrd:rvb i="18074"/>
        </ext>
      </extLst>
    </bk>
    <bk>
      <extLst>
        <ext uri="{3e2802c4-a4d2-4d8b-9148-e3be6c30e623}">
          <xlrd:rvb i="18075"/>
        </ext>
      </extLst>
    </bk>
    <bk>
      <extLst>
        <ext uri="{3e2802c4-a4d2-4d8b-9148-e3be6c30e623}">
          <xlrd:rvb i="18076"/>
        </ext>
      </extLst>
    </bk>
    <bk>
      <extLst>
        <ext uri="{3e2802c4-a4d2-4d8b-9148-e3be6c30e623}">
          <xlrd:rvb i="18077"/>
        </ext>
      </extLst>
    </bk>
    <bk>
      <extLst>
        <ext uri="{3e2802c4-a4d2-4d8b-9148-e3be6c30e623}">
          <xlrd:rvb i="18078"/>
        </ext>
      </extLst>
    </bk>
    <bk>
      <extLst>
        <ext uri="{3e2802c4-a4d2-4d8b-9148-e3be6c30e623}">
          <xlrd:rvb i="18079"/>
        </ext>
      </extLst>
    </bk>
    <bk>
      <extLst>
        <ext uri="{3e2802c4-a4d2-4d8b-9148-e3be6c30e623}">
          <xlrd:rvb i="18080"/>
        </ext>
      </extLst>
    </bk>
    <bk>
      <extLst>
        <ext uri="{3e2802c4-a4d2-4d8b-9148-e3be6c30e623}">
          <xlrd:rvb i="18081"/>
        </ext>
      </extLst>
    </bk>
    <bk>
      <extLst>
        <ext uri="{3e2802c4-a4d2-4d8b-9148-e3be6c30e623}">
          <xlrd:rvb i="18082"/>
        </ext>
      </extLst>
    </bk>
    <bk>
      <extLst>
        <ext uri="{3e2802c4-a4d2-4d8b-9148-e3be6c30e623}">
          <xlrd:rvb i="18083"/>
        </ext>
      </extLst>
    </bk>
    <bk>
      <extLst>
        <ext uri="{3e2802c4-a4d2-4d8b-9148-e3be6c30e623}">
          <xlrd:rvb i="18084"/>
        </ext>
      </extLst>
    </bk>
    <bk>
      <extLst>
        <ext uri="{3e2802c4-a4d2-4d8b-9148-e3be6c30e623}">
          <xlrd:rvb i="18085"/>
        </ext>
      </extLst>
    </bk>
    <bk>
      <extLst>
        <ext uri="{3e2802c4-a4d2-4d8b-9148-e3be6c30e623}">
          <xlrd:rvb i="18086"/>
        </ext>
      </extLst>
    </bk>
    <bk>
      <extLst>
        <ext uri="{3e2802c4-a4d2-4d8b-9148-e3be6c30e623}">
          <xlrd:rvb i="18087"/>
        </ext>
      </extLst>
    </bk>
    <bk>
      <extLst>
        <ext uri="{3e2802c4-a4d2-4d8b-9148-e3be6c30e623}">
          <xlrd:rvb i="18088"/>
        </ext>
      </extLst>
    </bk>
    <bk>
      <extLst>
        <ext uri="{3e2802c4-a4d2-4d8b-9148-e3be6c30e623}">
          <xlrd:rvb i="18089"/>
        </ext>
      </extLst>
    </bk>
    <bk>
      <extLst>
        <ext uri="{3e2802c4-a4d2-4d8b-9148-e3be6c30e623}">
          <xlrd:rvb i="18090"/>
        </ext>
      </extLst>
    </bk>
    <bk>
      <extLst>
        <ext uri="{3e2802c4-a4d2-4d8b-9148-e3be6c30e623}">
          <xlrd:rvb i="18091"/>
        </ext>
      </extLst>
    </bk>
    <bk>
      <extLst>
        <ext uri="{3e2802c4-a4d2-4d8b-9148-e3be6c30e623}">
          <xlrd:rvb i="18092"/>
        </ext>
      </extLst>
    </bk>
    <bk>
      <extLst>
        <ext uri="{3e2802c4-a4d2-4d8b-9148-e3be6c30e623}">
          <xlrd:rvb i="18093"/>
        </ext>
      </extLst>
    </bk>
    <bk>
      <extLst>
        <ext uri="{3e2802c4-a4d2-4d8b-9148-e3be6c30e623}">
          <xlrd:rvb i="18094"/>
        </ext>
      </extLst>
    </bk>
    <bk>
      <extLst>
        <ext uri="{3e2802c4-a4d2-4d8b-9148-e3be6c30e623}">
          <xlrd:rvb i="18095"/>
        </ext>
      </extLst>
    </bk>
    <bk>
      <extLst>
        <ext uri="{3e2802c4-a4d2-4d8b-9148-e3be6c30e623}">
          <xlrd:rvb i="18096"/>
        </ext>
      </extLst>
    </bk>
    <bk>
      <extLst>
        <ext uri="{3e2802c4-a4d2-4d8b-9148-e3be6c30e623}">
          <xlrd:rvb i="18097"/>
        </ext>
      </extLst>
    </bk>
    <bk>
      <extLst>
        <ext uri="{3e2802c4-a4d2-4d8b-9148-e3be6c30e623}">
          <xlrd:rvb i="18098"/>
        </ext>
      </extLst>
    </bk>
    <bk>
      <extLst>
        <ext uri="{3e2802c4-a4d2-4d8b-9148-e3be6c30e623}">
          <xlrd:rvb i="18099"/>
        </ext>
      </extLst>
    </bk>
    <bk>
      <extLst>
        <ext uri="{3e2802c4-a4d2-4d8b-9148-e3be6c30e623}">
          <xlrd:rvb i="18100"/>
        </ext>
      </extLst>
    </bk>
    <bk>
      <extLst>
        <ext uri="{3e2802c4-a4d2-4d8b-9148-e3be6c30e623}">
          <xlrd:rvb i="18101"/>
        </ext>
      </extLst>
    </bk>
    <bk>
      <extLst>
        <ext uri="{3e2802c4-a4d2-4d8b-9148-e3be6c30e623}">
          <xlrd:rvb i="18102"/>
        </ext>
      </extLst>
    </bk>
    <bk>
      <extLst>
        <ext uri="{3e2802c4-a4d2-4d8b-9148-e3be6c30e623}">
          <xlrd:rvb i="18103"/>
        </ext>
      </extLst>
    </bk>
    <bk>
      <extLst>
        <ext uri="{3e2802c4-a4d2-4d8b-9148-e3be6c30e623}">
          <xlrd:rvb i="18104"/>
        </ext>
      </extLst>
    </bk>
    <bk>
      <extLst>
        <ext uri="{3e2802c4-a4d2-4d8b-9148-e3be6c30e623}">
          <xlrd:rvb i="18105"/>
        </ext>
      </extLst>
    </bk>
    <bk>
      <extLst>
        <ext uri="{3e2802c4-a4d2-4d8b-9148-e3be6c30e623}">
          <xlrd:rvb i="18106"/>
        </ext>
      </extLst>
    </bk>
    <bk>
      <extLst>
        <ext uri="{3e2802c4-a4d2-4d8b-9148-e3be6c30e623}">
          <xlrd:rvb i="18107"/>
        </ext>
      </extLst>
    </bk>
    <bk>
      <extLst>
        <ext uri="{3e2802c4-a4d2-4d8b-9148-e3be6c30e623}">
          <xlrd:rvb i="18108"/>
        </ext>
      </extLst>
    </bk>
    <bk>
      <extLst>
        <ext uri="{3e2802c4-a4d2-4d8b-9148-e3be6c30e623}">
          <xlrd:rvb i="18109"/>
        </ext>
      </extLst>
    </bk>
    <bk>
      <extLst>
        <ext uri="{3e2802c4-a4d2-4d8b-9148-e3be6c30e623}">
          <xlrd:rvb i="18110"/>
        </ext>
      </extLst>
    </bk>
    <bk>
      <extLst>
        <ext uri="{3e2802c4-a4d2-4d8b-9148-e3be6c30e623}">
          <xlrd:rvb i="18111"/>
        </ext>
      </extLst>
    </bk>
    <bk>
      <extLst>
        <ext uri="{3e2802c4-a4d2-4d8b-9148-e3be6c30e623}">
          <xlrd:rvb i="18112"/>
        </ext>
      </extLst>
    </bk>
    <bk>
      <extLst>
        <ext uri="{3e2802c4-a4d2-4d8b-9148-e3be6c30e623}">
          <xlrd:rvb i="18113"/>
        </ext>
      </extLst>
    </bk>
    <bk>
      <extLst>
        <ext uri="{3e2802c4-a4d2-4d8b-9148-e3be6c30e623}">
          <xlrd:rvb i="18114"/>
        </ext>
      </extLst>
    </bk>
    <bk>
      <extLst>
        <ext uri="{3e2802c4-a4d2-4d8b-9148-e3be6c30e623}">
          <xlrd:rvb i="18115"/>
        </ext>
      </extLst>
    </bk>
    <bk>
      <extLst>
        <ext uri="{3e2802c4-a4d2-4d8b-9148-e3be6c30e623}">
          <xlrd:rvb i="18116"/>
        </ext>
      </extLst>
    </bk>
    <bk>
      <extLst>
        <ext uri="{3e2802c4-a4d2-4d8b-9148-e3be6c30e623}">
          <xlrd:rvb i="18117"/>
        </ext>
      </extLst>
    </bk>
    <bk>
      <extLst>
        <ext uri="{3e2802c4-a4d2-4d8b-9148-e3be6c30e623}">
          <xlrd:rvb i="18118"/>
        </ext>
      </extLst>
    </bk>
    <bk>
      <extLst>
        <ext uri="{3e2802c4-a4d2-4d8b-9148-e3be6c30e623}">
          <xlrd:rvb i="18119"/>
        </ext>
      </extLst>
    </bk>
    <bk>
      <extLst>
        <ext uri="{3e2802c4-a4d2-4d8b-9148-e3be6c30e623}">
          <xlrd:rvb i="18120"/>
        </ext>
      </extLst>
    </bk>
    <bk>
      <extLst>
        <ext uri="{3e2802c4-a4d2-4d8b-9148-e3be6c30e623}">
          <xlrd:rvb i="18121"/>
        </ext>
      </extLst>
    </bk>
    <bk>
      <extLst>
        <ext uri="{3e2802c4-a4d2-4d8b-9148-e3be6c30e623}">
          <xlrd:rvb i="18122"/>
        </ext>
      </extLst>
    </bk>
    <bk>
      <extLst>
        <ext uri="{3e2802c4-a4d2-4d8b-9148-e3be6c30e623}">
          <xlrd:rvb i="18123"/>
        </ext>
      </extLst>
    </bk>
    <bk>
      <extLst>
        <ext uri="{3e2802c4-a4d2-4d8b-9148-e3be6c30e623}">
          <xlrd:rvb i="18124"/>
        </ext>
      </extLst>
    </bk>
    <bk>
      <extLst>
        <ext uri="{3e2802c4-a4d2-4d8b-9148-e3be6c30e623}">
          <xlrd:rvb i="18125"/>
        </ext>
      </extLst>
    </bk>
    <bk>
      <extLst>
        <ext uri="{3e2802c4-a4d2-4d8b-9148-e3be6c30e623}">
          <xlrd:rvb i="18126"/>
        </ext>
      </extLst>
    </bk>
    <bk>
      <extLst>
        <ext uri="{3e2802c4-a4d2-4d8b-9148-e3be6c30e623}">
          <xlrd:rvb i="18127"/>
        </ext>
      </extLst>
    </bk>
    <bk>
      <extLst>
        <ext uri="{3e2802c4-a4d2-4d8b-9148-e3be6c30e623}">
          <xlrd:rvb i="18128"/>
        </ext>
      </extLst>
    </bk>
    <bk>
      <extLst>
        <ext uri="{3e2802c4-a4d2-4d8b-9148-e3be6c30e623}">
          <xlrd:rvb i="18129"/>
        </ext>
      </extLst>
    </bk>
    <bk>
      <extLst>
        <ext uri="{3e2802c4-a4d2-4d8b-9148-e3be6c30e623}">
          <xlrd:rvb i="18130"/>
        </ext>
      </extLst>
    </bk>
    <bk>
      <extLst>
        <ext uri="{3e2802c4-a4d2-4d8b-9148-e3be6c30e623}">
          <xlrd:rvb i="18131"/>
        </ext>
      </extLst>
    </bk>
    <bk>
      <extLst>
        <ext uri="{3e2802c4-a4d2-4d8b-9148-e3be6c30e623}">
          <xlrd:rvb i="18132"/>
        </ext>
      </extLst>
    </bk>
    <bk>
      <extLst>
        <ext uri="{3e2802c4-a4d2-4d8b-9148-e3be6c30e623}">
          <xlrd:rvb i="18133"/>
        </ext>
      </extLst>
    </bk>
    <bk>
      <extLst>
        <ext uri="{3e2802c4-a4d2-4d8b-9148-e3be6c30e623}">
          <xlrd:rvb i="18134"/>
        </ext>
      </extLst>
    </bk>
    <bk>
      <extLst>
        <ext uri="{3e2802c4-a4d2-4d8b-9148-e3be6c30e623}">
          <xlrd:rvb i="18135"/>
        </ext>
      </extLst>
    </bk>
    <bk>
      <extLst>
        <ext uri="{3e2802c4-a4d2-4d8b-9148-e3be6c30e623}">
          <xlrd:rvb i="18136"/>
        </ext>
      </extLst>
    </bk>
    <bk>
      <extLst>
        <ext uri="{3e2802c4-a4d2-4d8b-9148-e3be6c30e623}">
          <xlrd:rvb i="18137"/>
        </ext>
      </extLst>
    </bk>
    <bk>
      <extLst>
        <ext uri="{3e2802c4-a4d2-4d8b-9148-e3be6c30e623}">
          <xlrd:rvb i="18138"/>
        </ext>
      </extLst>
    </bk>
    <bk>
      <extLst>
        <ext uri="{3e2802c4-a4d2-4d8b-9148-e3be6c30e623}">
          <xlrd:rvb i="18139"/>
        </ext>
      </extLst>
    </bk>
    <bk>
      <extLst>
        <ext uri="{3e2802c4-a4d2-4d8b-9148-e3be6c30e623}">
          <xlrd:rvb i="18140"/>
        </ext>
      </extLst>
    </bk>
    <bk>
      <extLst>
        <ext uri="{3e2802c4-a4d2-4d8b-9148-e3be6c30e623}">
          <xlrd:rvb i="18141"/>
        </ext>
      </extLst>
    </bk>
    <bk>
      <extLst>
        <ext uri="{3e2802c4-a4d2-4d8b-9148-e3be6c30e623}">
          <xlrd:rvb i="18142"/>
        </ext>
      </extLst>
    </bk>
    <bk>
      <extLst>
        <ext uri="{3e2802c4-a4d2-4d8b-9148-e3be6c30e623}">
          <xlrd:rvb i="18143"/>
        </ext>
      </extLst>
    </bk>
    <bk>
      <extLst>
        <ext uri="{3e2802c4-a4d2-4d8b-9148-e3be6c30e623}">
          <xlrd:rvb i="18144"/>
        </ext>
      </extLst>
    </bk>
    <bk>
      <extLst>
        <ext uri="{3e2802c4-a4d2-4d8b-9148-e3be6c30e623}">
          <xlrd:rvb i="18145"/>
        </ext>
      </extLst>
    </bk>
    <bk>
      <extLst>
        <ext uri="{3e2802c4-a4d2-4d8b-9148-e3be6c30e623}">
          <xlrd:rvb i="18146"/>
        </ext>
      </extLst>
    </bk>
    <bk>
      <extLst>
        <ext uri="{3e2802c4-a4d2-4d8b-9148-e3be6c30e623}">
          <xlrd:rvb i="18147"/>
        </ext>
      </extLst>
    </bk>
    <bk>
      <extLst>
        <ext uri="{3e2802c4-a4d2-4d8b-9148-e3be6c30e623}">
          <xlrd:rvb i="18148"/>
        </ext>
      </extLst>
    </bk>
    <bk>
      <extLst>
        <ext uri="{3e2802c4-a4d2-4d8b-9148-e3be6c30e623}">
          <xlrd:rvb i="18149"/>
        </ext>
      </extLst>
    </bk>
    <bk>
      <extLst>
        <ext uri="{3e2802c4-a4d2-4d8b-9148-e3be6c30e623}">
          <xlrd:rvb i="18150"/>
        </ext>
      </extLst>
    </bk>
    <bk>
      <extLst>
        <ext uri="{3e2802c4-a4d2-4d8b-9148-e3be6c30e623}">
          <xlrd:rvb i="18151"/>
        </ext>
      </extLst>
    </bk>
    <bk>
      <extLst>
        <ext uri="{3e2802c4-a4d2-4d8b-9148-e3be6c30e623}">
          <xlrd:rvb i="18152"/>
        </ext>
      </extLst>
    </bk>
    <bk>
      <extLst>
        <ext uri="{3e2802c4-a4d2-4d8b-9148-e3be6c30e623}">
          <xlrd:rvb i="18153"/>
        </ext>
      </extLst>
    </bk>
    <bk>
      <extLst>
        <ext uri="{3e2802c4-a4d2-4d8b-9148-e3be6c30e623}">
          <xlrd:rvb i="18154"/>
        </ext>
      </extLst>
    </bk>
    <bk>
      <extLst>
        <ext uri="{3e2802c4-a4d2-4d8b-9148-e3be6c30e623}">
          <xlrd:rvb i="18155"/>
        </ext>
      </extLst>
    </bk>
    <bk>
      <extLst>
        <ext uri="{3e2802c4-a4d2-4d8b-9148-e3be6c30e623}">
          <xlrd:rvb i="18156"/>
        </ext>
      </extLst>
    </bk>
    <bk>
      <extLst>
        <ext uri="{3e2802c4-a4d2-4d8b-9148-e3be6c30e623}">
          <xlrd:rvb i="18157"/>
        </ext>
      </extLst>
    </bk>
    <bk>
      <extLst>
        <ext uri="{3e2802c4-a4d2-4d8b-9148-e3be6c30e623}">
          <xlrd:rvb i="18158"/>
        </ext>
      </extLst>
    </bk>
    <bk>
      <extLst>
        <ext uri="{3e2802c4-a4d2-4d8b-9148-e3be6c30e623}">
          <xlrd:rvb i="18159"/>
        </ext>
      </extLst>
    </bk>
    <bk>
      <extLst>
        <ext uri="{3e2802c4-a4d2-4d8b-9148-e3be6c30e623}">
          <xlrd:rvb i="18160"/>
        </ext>
      </extLst>
    </bk>
    <bk>
      <extLst>
        <ext uri="{3e2802c4-a4d2-4d8b-9148-e3be6c30e623}">
          <xlrd:rvb i="18161"/>
        </ext>
      </extLst>
    </bk>
    <bk>
      <extLst>
        <ext uri="{3e2802c4-a4d2-4d8b-9148-e3be6c30e623}">
          <xlrd:rvb i="18162"/>
        </ext>
      </extLst>
    </bk>
    <bk>
      <extLst>
        <ext uri="{3e2802c4-a4d2-4d8b-9148-e3be6c30e623}">
          <xlrd:rvb i="18163"/>
        </ext>
      </extLst>
    </bk>
    <bk>
      <extLst>
        <ext uri="{3e2802c4-a4d2-4d8b-9148-e3be6c30e623}">
          <xlrd:rvb i="18164"/>
        </ext>
      </extLst>
    </bk>
    <bk>
      <extLst>
        <ext uri="{3e2802c4-a4d2-4d8b-9148-e3be6c30e623}">
          <xlrd:rvb i="18165"/>
        </ext>
      </extLst>
    </bk>
    <bk>
      <extLst>
        <ext uri="{3e2802c4-a4d2-4d8b-9148-e3be6c30e623}">
          <xlrd:rvb i="18166"/>
        </ext>
      </extLst>
    </bk>
    <bk>
      <extLst>
        <ext uri="{3e2802c4-a4d2-4d8b-9148-e3be6c30e623}">
          <xlrd:rvb i="18167"/>
        </ext>
      </extLst>
    </bk>
    <bk>
      <extLst>
        <ext uri="{3e2802c4-a4d2-4d8b-9148-e3be6c30e623}">
          <xlrd:rvb i="18168"/>
        </ext>
      </extLst>
    </bk>
    <bk>
      <extLst>
        <ext uri="{3e2802c4-a4d2-4d8b-9148-e3be6c30e623}">
          <xlrd:rvb i="18169"/>
        </ext>
      </extLst>
    </bk>
    <bk>
      <extLst>
        <ext uri="{3e2802c4-a4d2-4d8b-9148-e3be6c30e623}">
          <xlrd:rvb i="18170"/>
        </ext>
      </extLst>
    </bk>
    <bk>
      <extLst>
        <ext uri="{3e2802c4-a4d2-4d8b-9148-e3be6c30e623}">
          <xlrd:rvb i="18171"/>
        </ext>
      </extLst>
    </bk>
    <bk>
      <extLst>
        <ext uri="{3e2802c4-a4d2-4d8b-9148-e3be6c30e623}">
          <xlrd:rvb i="18172"/>
        </ext>
      </extLst>
    </bk>
    <bk>
      <extLst>
        <ext uri="{3e2802c4-a4d2-4d8b-9148-e3be6c30e623}">
          <xlrd:rvb i="18173"/>
        </ext>
      </extLst>
    </bk>
    <bk>
      <extLst>
        <ext uri="{3e2802c4-a4d2-4d8b-9148-e3be6c30e623}">
          <xlrd:rvb i="18174"/>
        </ext>
      </extLst>
    </bk>
    <bk>
      <extLst>
        <ext uri="{3e2802c4-a4d2-4d8b-9148-e3be6c30e623}">
          <xlrd:rvb i="18175"/>
        </ext>
      </extLst>
    </bk>
    <bk>
      <extLst>
        <ext uri="{3e2802c4-a4d2-4d8b-9148-e3be6c30e623}">
          <xlrd:rvb i="18176"/>
        </ext>
      </extLst>
    </bk>
    <bk>
      <extLst>
        <ext uri="{3e2802c4-a4d2-4d8b-9148-e3be6c30e623}">
          <xlrd:rvb i="18177"/>
        </ext>
      </extLst>
    </bk>
    <bk>
      <extLst>
        <ext uri="{3e2802c4-a4d2-4d8b-9148-e3be6c30e623}">
          <xlrd:rvb i="18178"/>
        </ext>
      </extLst>
    </bk>
    <bk>
      <extLst>
        <ext uri="{3e2802c4-a4d2-4d8b-9148-e3be6c30e623}">
          <xlrd:rvb i="18179"/>
        </ext>
      </extLst>
    </bk>
    <bk>
      <extLst>
        <ext uri="{3e2802c4-a4d2-4d8b-9148-e3be6c30e623}">
          <xlrd:rvb i="18180"/>
        </ext>
      </extLst>
    </bk>
    <bk>
      <extLst>
        <ext uri="{3e2802c4-a4d2-4d8b-9148-e3be6c30e623}">
          <xlrd:rvb i="18181"/>
        </ext>
      </extLst>
    </bk>
    <bk>
      <extLst>
        <ext uri="{3e2802c4-a4d2-4d8b-9148-e3be6c30e623}">
          <xlrd:rvb i="18182"/>
        </ext>
      </extLst>
    </bk>
    <bk>
      <extLst>
        <ext uri="{3e2802c4-a4d2-4d8b-9148-e3be6c30e623}">
          <xlrd:rvb i="18183"/>
        </ext>
      </extLst>
    </bk>
    <bk>
      <extLst>
        <ext uri="{3e2802c4-a4d2-4d8b-9148-e3be6c30e623}">
          <xlrd:rvb i="18184"/>
        </ext>
      </extLst>
    </bk>
    <bk>
      <extLst>
        <ext uri="{3e2802c4-a4d2-4d8b-9148-e3be6c30e623}">
          <xlrd:rvb i="18185"/>
        </ext>
      </extLst>
    </bk>
    <bk>
      <extLst>
        <ext uri="{3e2802c4-a4d2-4d8b-9148-e3be6c30e623}">
          <xlrd:rvb i="18186"/>
        </ext>
      </extLst>
    </bk>
    <bk>
      <extLst>
        <ext uri="{3e2802c4-a4d2-4d8b-9148-e3be6c30e623}">
          <xlrd:rvb i="18187"/>
        </ext>
      </extLst>
    </bk>
    <bk>
      <extLst>
        <ext uri="{3e2802c4-a4d2-4d8b-9148-e3be6c30e623}">
          <xlrd:rvb i="18188"/>
        </ext>
      </extLst>
    </bk>
    <bk>
      <extLst>
        <ext uri="{3e2802c4-a4d2-4d8b-9148-e3be6c30e623}">
          <xlrd:rvb i="18189"/>
        </ext>
      </extLst>
    </bk>
    <bk>
      <extLst>
        <ext uri="{3e2802c4-a4d2-4d8b-9148-e3be6c30e623}">
          <xlrd:rvb i="18190"/>
        </ext>
      </extLst>
    </bk>
    <bk>
      <extLst>
        <ext uri="{3e2802c4-a4d2-4d8b-9148-e3be6c30e623}">
          <xlrd:rvb i="18191"/>
        </ext>
      </extLst>
    </bk>
    <bk>
      <extLst>
        <ext uri="{3e2802c4-a4d2-4d8b-9148-e3be6c30e623}">
          <xlrd:rvb i="18192"/>
        </ext>
      </extLst>
    </bk>
    <bk>
      <extLst>
        <ext uri="{3e2802c4-a4d2-4d8b-9148-e3be6c30e623}">
          <xlrd:rvb i="18193"/>
        </ext>
      </extLst>
    </bk>
    <bk>
      <extLst>
        <ext uri="{3e2802c4-a4d2-4d8b-9148-e3be6c30e623}">
          <xlrd:rvb i="18194"/>
        </ext>
      </extLst>
    </bk>
    <bk>
      <extLst>
        <ext uri="{3e2802c4-a4d2-4d8b-9148-e3be6c30e623}">
          <xlrd:rvb i="18195"/>
        </ext>
      </extLst>
    </bk>
    <bk>
      <extLst>
        <ext uri="{3e2802c4-a4d2-4d8b-9148-e3be6c30e623}">
          <xlrd:rvb i="18196"/>
        </ext>
      </extLst>
    </bk>
    <bk>
      <extLst>
        <ext uri="{3e2802c4-a4d2-4d8b-9148-e3be6c30e623}">
          <xlrd:rvb i="18197"/>
        </ext>
      </extLst>
    </bk>
    <bk>
      <extLst>
        <ext uri="{3e2802c4-a4d2-4d8b-9148-e3be6c30e623}">
          <xlrd:rvb i="18198"/>
        </ext>
      </extLst>
    </bk>
    <bk>
      <extLst>
        <ext uri="{3e2802c4-a4d2-4d8b-9148-e3be6c30e623}">
          <xlrd:rvb i="18199"/>
        </ext>
      </extLst>
    </bk>
    <bk>
      <extLst>
        <ext uri="{3e2802c4-a4d2-4d8b-9148-e3be6c30e623}">
          <xlrd:rvb i="18200"/>
        </ext>
      </extLst>
    </bk>
    <bk>
      <extLst>
        <ext uri="{3e2802c4-a4d2-4d8b-9148-e3be6c30e623}">
          <xlrd:rvb i="18201"/>
        </ext>
      </extLst>
    </bk>
    <bk>
      <extLst>
        <ext uri="{3e2802c4-a4d2-4d8b-9148-e3be6c30e623}">
          <xlrd:rvb i="18202"/>
        </ext>
      </extLst>
    </bk>
    <bk>
      <extLst>
        <ext uri="{3e2802c4-a4d2-4d8b-9148-e3be6c30e623}">
          <xlrd:rvb i="18203"/>
        </ext>
      </extLst>
    </bk>
    <bk>
      <extLst>
        <ext uri="{3e2802c4-a4d2-4d8b-9148-e3be6c30e623}">
          <xlrd:rvb i="18204"/>
        </ext>
      </extLst>
    </bk>
    <bk>
      <extLst>
        <ext uri="{3e2802c4-a4d2-4d8b-9148-e3be6c30e623}">
          <xlrd:rvb i="18205"/>
        </ext>
      </extLst>
    </bk>
    <bk>
      <extLst>
        <ext uri="{3e2802c4-a4d2-4d8b-9148-e3be6c30e623}">
          <xlrd:rvb i="18206"/>
        </ext>
      </extLst>
    </bk>
    <bk>
      <extLst>
        <ext uri="{3e2802c4-a4d2-4d8b-9148-e3be6c30e623}">
          <xlrd:rvb i="18207"/>
        </ext>
      </extLst>
    </bk>
    <bk>
      <extLst>
        <ext uri="{3e2802c4-a4d2-4d8b-9148-e3be6c30e623}">
          <xlrd:rvb i="18208"/>
        </ext>
      </extLst>
    </bk>
    <bk>
      <extLst>
        <ext uri="{3e2802c4-a4d2-4d8b-9148-e3be6c30e623}">
          <xlrd:rvb i="18209"/>
        </ext>
      </extLst>
    </bk>
    <bk>
      <extLst>
        <ext uri="{3e2802c4-a4d2-4d8b-9148-e3be6c30e623}">
          <xlrd:rvb i="18210"/>
        </ext>
      </extLst>
    </bk>
    <bk>
      <extLst>
        <ext uri="{3e2802c4-a4d2-4d8b-9148-e3be6c30e623}">
          <xlrd:rvb i="18211"/>
        </ext>
      </extLst>
    </bk>
    <bk>
      <extLst>
        <ext uri="{3e2802c4-a4d2-4d8b-9148-e3be6c30e623}">
          <xlrd:rvb i="18212"/>
        </ext>
      </extLst>
    </bk>
    <bk>
      <extLst>
        <ext uri="{3e2802c4-a4d2-4d8b-9148-e3be6c30e623}">
          <xlrd:rvb i="18213"/>
        </ext>
      </extLst>
    </bk>
    <bk>
      <extLst>
        <ext uri="{3e2802c4-a4d2-4d8b-9148-e3be6c30e623}">
          <xlrd:rvb i="18214"/>
        </ext>
      </extLst>
    </bk>
    <bk>
      <extLst>
        <ext uri="{3e2802c4-a4d2-4d8b-9148-e3be6c30e623}">
          <xlrd:rvb i="18215"/>
        </ext>
      </extLst>
    </bk>
    <bk>
      <extLst>
        <ext uri="{3e2802c4-a4d2-4d8b-9148-e3be6c30e623}">
          <xlrd:rvb i="18216"/>
        </ext>
      </extLst>
    </bk>
    <bk>
      <extLst>
        <ext uri="{3e2802c4-a4d2-4d8b-9148-e3be6c30e623}">
          <xlrd:rvb i="18217"/>
        </ext>
      </extLst>
    </bk>
    <bk>
      <extLst>
        <ext uri="{3e2802c4-a4d2-4d8b-9148-e3be6c30e623}">
          <xlrd:rvb i="18218"/>
        </ext>
      </extLst>
    </bk>
    <bk>
      <extLst>
        <ext uri="{3e2802c4-a4d2-4d8b-9148-e3be6c30e623}">
          <xlrd:rvb i="18219"/>
        </ext>
      </extLst>
    </bk>
    <bk>
      <extLst>
        <ext uri="{3e2802c4-a4d2-4d8b-9148-e3be6c30e623}">
          <xlrd:rvb i="18220"/>
        </ext>
      </extLst>
    </bk>
    <bk>
      <extLst>
        <ext uri="{3e2802c4-a4d2-4d8b-9148-e3be6c30e623}">
          <xlrd:rvb i="18221"/>
        </ext>
      </extLst>
    </bk>
    <bk>
      <extLst>
        <ext uri="{3e2802c4-a4d2-4d8b-9148-e3be6c30e623}">
          <xlrd:rvb i="18222"/>
        </ext>
      </extLst>
    </bk>
    <bk>
      <extLst>
        <ext uri="{3e2802c4-a4d2-4d8b-9148-e3be6c30e623}">
          <xlrd:rvb i="18223"/>
        </ext>
      </extLst>
    </bk>
    <bk>
      <extLst>
        <ext uri="{3e2802c4-a4d2-4d8b-9148-e3be6c30e623}">
          <xlrd:rvb i="18224"/>
        </ext>
      </extLst>
    </bk>
    <bk>
      <extLst>
        <ext uri="{3e2802c4-a4d2-4d8b-9148-e3be6c30e623}">
          <xlrd:rvb i="18225"/>
        </ext>
      </extLst>
    </bk>
    <bk>
      <extLst>
        <ext uri="{3e2802c4-a4d2-4d8b-9148-e3be6c30e623}">
          <xlrd:rvb i="18226"/>
        </ext>
      </extLst>
    </bk>
    <bk>
      <extLst>
        <ext uri="{3e2802c4-a4d2-4d8b-9148-e3be6c30e623}">
          <xlrd:rvb i="18227"/>
        </ext>
      </extLst>
    </bk>
    <bk>
      <extLst>
        <ext uri="{3e2802c4-a4d2-4d8b-9148-e3be6c30e623}">
          <xlrd:rvb i="18228"/>
        </ext>
      </extLst>
    </bk>
    <bk>
      <extLst>
        <ext uri="{3e2802c4-a4d2-4d8b-9148-e3be6c30e623}">
          <xlrd:rvb i="18229"/>
        </ext>
      </extLst>
    </bk>
    <bk>
      <extLst>
        <ext uri="{3e2802c4-a4d2-4d8b-9148-e3be6c30e623}">
          <xlrd:rvb i="18230"/>
        </ext>
      </extLst>
    </bk>
    <bk>
      <extLst>
        <ext uri="{3e2802c4-a4d2-4d8b-9148-e3be6c30e623}">
          <xlrd:rvb i="18231"/>
        </ext>
      </extLst>
    </bk>
    <bk>
      <extLst>
        <ext uri="{3e2802c4-a4d2-4d8b-9148-e3be6c30e623}">
          <xlrd:rvb i="18232"/>
        </ext>
      </extLst>
    </bk>
    <bk>
      <extLst>
        <ext uri="{3e2802c4-a4d2-4d8b-9148-e3be6c30e623}">
          <xlrd:rvb i="18233"/>
        </ext>
      </extLst>
    </bk>
    <bk>
      <extLst>
        <ext uri="{3e2802c4-a4d2-4d8b-9148-e3be6c30e623}">
          <xlrd:rvb i="18234"/>
        </ext>
      </extLst>
    </bk>
    <bk>
      <extLst>
        <ext uri="{3e2802c4-a4d2-4d8b-9148-e3be6c30e623}">
          <xlrd:rvb i="18235"/>
        </ext>
      </extLst>
    </bk>
    <bk>
      <extLst>
        <ext uri="{3e2802c4-a4d2-4d8b-9148-e3be6c30e623}">
          <xlrd:rvb i="18236"/>
        </ext>
      </extLst>
    </bk>
    <bk>
      <extLst>
        <ext uri="{3e2802c4-a4d2-4d8b-9148-e3be6c30e623}">
          <xlrd:rvb i="18237"/>
        </ext>
      </extLst>
    </bk>
    <bk>
      <extLst>
        <ext uri="{3e2802c4-a4d2-4d8b-9148-e3be6c30e623}">
          <xlrd:rvb i="18238"/>
        </ext>
      </extLst>
    </bk>
    <bk>
      <extLst>
        <ext uri="{3e2802c4-a4d2-4d8b-9148-e3be6c30e623}">
          <xlrd:rvb i="18239"/>
        </ext>
      </extLst>
    </bk>
    <bk>
      <extLst>
        <ext uri="{3e2802c4-a4d2-4d8b-9148-e3be6c30e623}">
          <xlrd:rvb i="18240"/>
        </ext>
      </extLst>
    </bk>
    <bk>
      <extLst>
        <ext uri="{3e2802c4-a4d2-4d8b-9148-e3be6c30e623}">
          <xlrd:rvb i="18241"/>
        </ext>
      </extLst>
    </bk>
    <bk>
      <extLst>
        <ext uri="{3e2802c4-a4d2-4d8b-9148-e3be6c30e623}">
          <xlrd:rvb i="18242"/>
        </ext>
      </extLst>
    </bk>
    <bk>
      <extLst>
        <ext uri="{3e2802c4-a4d2-4d8b-9148-e3be6c30e623}">
          <xlrd:rvb i="18243"/>
        </ext>
      </extLst>
    </bk>
    <bk>
      <extLst>
        <ext uri="{3e2802c4-a4d2-4d8b-9148-e3be6c30e623}">
          <xlrd:rvb i="18244"/>
        </ext>
      </extLst>
    </bk>
    <bk>
      <extLst>
        <ext uri="{3e2802c4-a4d2-4d8b-9148-e3be6c30e623}">
          <xlrd:rvb i="18245"/>
        </ext>
      </extLst>
    </bk>
    <bk>
      <extLst>
        <ext uri="{3e2802c4-a4d2-4d8b-9148-e3be6c30e623}">
          <xlrd:rvb i="18246"/>
        </ext>
      </extLst>
    </bk>
    <bk>
      <extLst>
        <ext uri="{3e2802c4-a4d2-4d8b-9148-e3be6c30e623}">
          <xlrd:rvb i="18247"/>
        </ext>
      </extLst>
    </bk>
    <bk>
      <extLst>
        <ext uri="{3e2802c4-a4d2-4d8b-9148-e3be6c30e623}">
          <xlrd:rvb i="18248"/>
        </ext>
      </extLst>
    </bk>
    <bk>
      <extLst>
        <ext uri="{3e2802c4-a4d2-4d8b-9148-e3be6c30e623}">
          <xlrd:rvb i="18249"/>
        </ext>
      </extLst>
    </bk>
    <bk>
      <extLst>
        <ext uri="{3e2802c4-a4d2-4d8b-9148-e3be6c30e623}">
          <xlrd:rvb i="18250"/>
        </ext>
      </extLst>
    </bk>
    <bk>
      <extLst>
        <ext uri="{3e2802c4-a4d2-4d8b-9148-e3be6c30e623}">
          <xlrd:rvb i="18251"/>
        </ext>
      </extLst>
    </bk>
    <bk>
      <extLst>
        <ext uri="{3e2802c4-a4d2-4d8b-9148-e3be6c30e623}">
          <xlrd:rvb i="18252"/>
        </ext>
      </extLst>
    </bk>
    <bk>
      <extLst>
        <ext uri="{3e2802c4-a4d2-4d8b-9148-e3be6c30e623}">
          <xlrd:rvb i="18253"/>
        </ext>
      </extLst>
    </bk>
    <bk>
      <extLst>
        <ext uri="{3e2802c4-a4d2-4d8b-9148-e3be6c30e623}">
          <xlrd:rvb i="18254"/>
        </ext>
      </extLst>
    </bk>
    <bk>
      <extLst>
        <ext uri="{3e2802c4-a4d2-4d8b-9148-e3be6c30e623}">
          <xlrd:rvb i="18255"/>
        </ext>
      </extLst>
    </bk>
    <bk>
      <extLst>
        <ext uri="{3e2802c4-a4d2-4d8b-9148-e3be6c30e623}">
          <xlrd:rvb i="18256"/>
        </ext>
      </extLst>
    </bk>
    <bk>
      <extLst>
        <ext uri="{3e2802c4-a4d2-4d8b-9148-e3be6c30e623}">
          <xlrd:rvb i="18257"/>
        </ext>
      </extLst>
    </bk>
    <bk>
      <extLst>
        <ext uri="{3e2802c4-a4d2-4d8b-9148-e3be6c30e623}">
          <xlrd:rvb i="18258"/>
        </ext>
      </extLst>
    </bk>
    <bk>
      <extLst>
        <ext uri="{3e2802c4-a4d2-4d8b-9148-e3be6c30e623}">
          <xlrd:rvb i="18259"/>
        </ext>
      </extLst>
    </bk>
    <bk>
      <extLst>
        <ext uri="{3e2802c4-a4d2-4d8b-9148-e3be6c30e623}">
          <xlrd:rvb i="18260"/>
        </ext>
      </extLst>
    </bk>
    <bk>
      <extLst>
        <ext uri="{3e2802c4-a4d2-4d8b-9148-e3be6c30e623}">
          <xlrd:rvb i="18261"/>
        </ext>
      </extLst>
    </bk>
    <bk>
      <extLst>
        <ext uri="{3e2802c4-a4d2-4d8b-9148-e3be6c30e623}">
          <xlrd:rvb i="18262"/>
        </ext>
      </extLst>
    </bk>
    <bk>
      <extLst>
        <ext uri="{3e2802c4-a4d2-4d8b-9148-e3be6c30e623}">
          <xlrd:rvb i="18263"/>
        </ext>
      </extLst>
    </bk>
    <bk>
      <extLst>
        <ext uri="{3e2802c4-a4d2-4d8b-9148-e3be6c30e623}">
          <xlrd:rvb i="18264"/>
        </ext>
      </extLst>
    </bk>
    <bk>
      <extLst>
        <ext uri="{3e2802c4-a4d2-4d8b-9148-e3be6c30e623}">
          <xlrd:rvb i="18265"/>
        </ext>
      </extLst>
    </bk>
    <bk>
      <extLst>
        <ext uri="{3e2802c4-a4d2-4d8b-9148-e3be6c30e623}">
          <xlrd:rvb i="18266"/>
        </ext>
      </extLst>
    </bk>
    <bk>
      <extLst>
        <ext uri="{3e2802c4-a4d2-4d8b-9148-e3be6c30e623}">
          <xlrd:rvb i="18267"/>
        </ext>
      </extLst>
    </bk>
    <bk>
      <extLst>
        <ext uri="{3e2802c4-a4d2-4d8b-9148-e3be6c30e623}">
          <xlrd:rvb i="18268"/>
        </ext>
      </extLst>
    </bk>
    <bk>
      <extLst>
        <ext uri="{3e2802c4-a4d2-4d8b-9148-e3be6c30e623}">
          <xlrd:rvb i="18269"/>
        </ext>
      </extLst>
    </bk>
    <bk>
      <extLst>
        <ext uri="{3e2802c4-a4d2-4d8b-9148-e3be6c30e623}">
          <xlrd:rvb i="18270"/>
        </ext>
      </extLst>
    </bk>
    <bk>
      <extLst>
        <ext uri="{3e2802c4-a4d2-4d8b-9148-e3be6c30e623}">
          <xlrd:rvb i="18271"/>
        </ext>
      </extLst>
    </bk>
    <bk>
      <extLst>
        <ext uri="{3e2802c4-a4d2-4d8b-9148-e3be6c30e623}">
          <xlrd:rvb i="18272"/>
        </ext>
      </extLst>
    </bk>
    <bk>
      <extLst>
        <ext uri="{3e2802c4-a4d2-4d8b-9148-e3be6c30e623}">
          <xlrd:rvb i="18273"/>
        </ext>
      </extLst>
    </bk>
    <bk>
      <extLst>
        <ext uri="{3e2802c4-a4d2-4d8b-9148-e3be6c30e623}">
          <xlrd:rvb i="18274"/>
        </ext>
      </extLst>
    </bk>
    <bk>
      <extLst>
        <ext uri="{3e2802c4-a4d2-4d8b-9148-e3be6c30e623}">
          <xlrd:rvb i="18275"/>
        </ext>
      </extLst>
    </bk>
    <bk>
      <extLst>
        <ext uri="{3e2802c4-a4d2-4d8b-9148-e3be6c30e623}">
          <xlrd:rvb i="18276"/>
        </ext>
      </extLst>
    </bk>
    <bk>
      <extLst>
        <ext uri="{3e2802c4-a4d2-4d8b-9148-e3be6c30e623}">
          <xlrd:rvb i="18277"/>
        </ext>
      </extLst>
    </bk>
    <bk>
      <extLst>
        <ext uri="{3e2802c4-a4d2-4d8b-9148-e3be6c30e623}">
          <xlrd:rvb i="18278"/>
        </ext>
      </extLst>
    </bk>
    <bk>
      <extLst>
        <ext uri="{3e2802c4-a4d2-4d8b-9148-e3be6c30e623}">
          <xlrd:rvb i="18279"/>
        </ext>
      </extLst>
    </bk>
    <bk>
      <extLst>
        <ext uri="{3e2802c4-a4d2-4d8b-9148-e3be6c30e623}">
          <xlrd:rvb i="18280"/>
        </ext>
      </extLst>
    </bk>
    <bk>
      <extLst>
        <ext uri="{3e2802c4-a4d2-4d8b-9148-e3be6c30e623}">
          <xlrd:rvb i="18281"/>
        </ext>
      </extLst>
    </bk>
    <bk>
      <extLst>
        <ext uri="{3e2802c4-a4d2-4d8b-9148-e3be6c30e623}">
          <xlrd:rvb i="18282"/>
        </ext>
      </extLst>
    </bk>
    <bk>
      <extLst>
        <ext uri="{3e2802c4-a4d2-4d8b-9148-e3be6c30e623}">
          <xlrd:rvb i="18283"/>
        </ext>
      </extLst>
    </bk>
    <bk>
      <extLst>
        <ext uri="{3e2802c4-a4d2-4d8b-9148-e3be6c30e623}">
          <xlrd:rvb i="18284"/>
        </ext>
      </extLst>
    </bk>
    <bk>
      <extLst>
        <ext uri="{3e2802c4-a4d2-4d8b-9148-e3be6c30e623}">
          <xlrd:rvb i="18285"/>
        </ext>
      </extLst>
    </bk>
    <bk>
      <extLst>
        <ext uri="{3e2802c4-a4d2-4d8b-9148-e3be6c30e623}">
          <xlrd:rvb i="18286"/>
        </ext>
      </extLst>
    </bk>
    <bk>
      <extLst>
        <ext uri="{3e2802c4-a4d2-4d8b-9148-e3be6c30e623}">
          <xlrd:rvb i="18287"/>
        </ext>
      </extLst>
    </bk>
    <bk>
      <extLst>
        <ext uri="{3e2802c4-a4d2-4d8b-9148-e3be6c30e623}">
          <xlrd:rvb i="18288"/>
        </ext>
      </extLst>
    </bk>
    <bk>
      <extLst>
        <ext uri="{3e2802c4-a4d2-4d8b-9148-e3be6c30e623}">
          <xlrd:rvb i="18289"/>
        </ext>
      </extLst>
    </bk>
    <bk>
      <extLst>
        <ext uri="{3e2802c4-a4d2-4d8b-9148-e3be6c30e623}">
          <xlrd:rvb i="18290"/>
        </ext>
      </extLst>
    </bk>
    <bk>
      <extLst>
        <ext uri="{3e2802c4-a4d2-4d8b-9148-e3be6c30e623}">
          <xlrd:rvb i="18291"/>
        </ext>
      </extLst>
    </bk>
    <bk>
      <extLst>
        <ext uri="{3e2802c4-a4d2-4d8b-9148-e3be6c30e623}">
          <xlrd:rvb i="18292"/>
        </ext>
      </extLst>
    </bk>
    <bk>
      <extLst>
        <ext uri="{3e2802c4-a4d2-4d8b-9148-e3be6c30e623}">
          <xlrd:rvb i="18293"/>
        </ext>
      </extLst>
    </bk>
    <bk>
      <extLst>
        <ext uri="{3e2802c4-a4d2-4d8b-9148-e3be6c30e623}">
          <xlrd:rvb i="18294"/>
        </ext>
      </extLst>
    </bk>
    <bk>
      <extLst>
        <ext uri="{3e2802c4-a4d2-4d8b-9148-e3be6c30e623}">
          <xlrd:rvb i="18295"/>
        </ext>
      </extLst>
    </bk>
    <bk>
      <extLst>
        <ext uri="{3e2802c4-a4d2-4d8b-9148-e3be6c30e623}">
          <xlrd:rvb i="18296"/>
        </ext>
      </extLst>
    </bk>
    <bk>
      <extLst>
        <ext uri="{3e2802c4-a4d2-4d8b-9148-e3be6c30e623}">
          <xlrd:rvb i="18297"/>
        </ext>
      </extLst>
    </bk>
    <bk>
      <extLst>
        <ext uri="{3e2802c4-a4d2-4d8b-9148-e3be6c30e623}">
          <xlrd:rvb i="18298"/>
        </ext>
      </extLst>
    </bk>
    <bk>
      <extLst>
        <ext uri="{3e2802c4-a4d2-4d8b-9148-e3be6c30e623}">
          <xlrd:rvb i="18299"/>
        </ext>
      </extLst>
    </bk>
    <bk>
      <extLst>
        <ext uri="{3e2802c4-a4d2-4d8b-9148-e3be6c30e623}">
          <xlrd:rvb i="18300"/>
        </ext>
      </extLst>
    </bk>
    <bk>
      <extLst>
        <ext uri="{3e2802c4-a4d2-4d8b-9148-e3be6c30e623}">
          <xlrd:rvb i="18301"/>
        </ext>
      </extLst>
    </bk>
    <bk>
      <extLst>
        <ext uri="{3e2802c4-a4d2-4d8b-9148-e3be6c30e623}">
          <xlrd:rvb i="18302"/>
        </ext>
      </extLst>
    </bk>
    <bk>
      <extLst>
        <ext uri="{3e2802c4-a4d2-4d8b-9148-e3be6c30e623}">
          <xlrd:rvb i="18303"/>
        </ext>
      </extLst>
    </bk>
    <bk>
      <extLst>
        <ext uri="{3e2802c4-a4d2-4d8b-9148-e3be6c30e623}">
          <xlrd:rvb i="18304"/>
        </ext>
      </extLst>
    </bk>
    <bk>
      <extLst>
        <ext uri="{3e2802c4-a4d2-4d8b-9148-e3be6c30e623}">
          <xlrd:rvb i="18305"/>
        </ext>
      </extLst>
    </bk>
    <bk>
      <extLst>
        <ext uri="{3e2802c4-a4d2-4d8b-9148-e3be6c30e623}">
          <xlrd:rvb i="18306"/>
        </ext>
      </extLst>
    </bk>
    <bk>
      <extLst>
        <ext uri="{3e2802c4-a4d2-4d8b-9148-e3be6c30e623}">
          <xlrd:rvb i="18307"/>
        </ext>
      </extLst>
    </bk>
    <bk>
      <extLst>
        <ext uri="{3e2802c4-a4d2-4d8b-9148-e3be6c30e623}">
          <xlrd:rvb i="18308"/>
        </ext>
      </extLst>
    </bk>
    <bk>
      <extLst>
        <ext uri="{3e2802c4-a4d2-4d8b-9148-e3be6c30e623}">
          <xlrd:rvb i="18309"/>
        </ext>
      </extLst>
    </bk>
    <bk>
      <extLst>
        <ext uri="{3e2802c4-a4d2-4d8b-9148-e3be6c30e623}">
          <xlrd:rvb i="18310"/>
        </ext>
      </extLst>
    </bk>
    <bk>
      <extLst>
        <ext uri="{3e2802c4-a4d2-4d8b-9148-e3be6c30e623}">
          <xlrd:rvb i="18311"/>
        </ext>
      </extLst>
    </bk>
    <bk>
      <extLst>
        <ext uri="{3e2802c4-a4d2-4d8b-9148-e3be6c30e623}">
          <xlrd:rvb i="18312"/>
        </ext>
      </extLst>
    </bk>
    <bk>
      <extLst>
        <ext uri="{3e2802c4-a4d2-4d8b-9148-e3be6c30e623}">
          <xlrd:rvb i="18313"/>
        </ext>
      </extLst>
    </bk>
    <bk>
      <extLst>
        <ext uri="{3e2802c4-a4d2-4d8b-9148-e3be6c30e623}">
          <xlrd:rvb i="18314"/>
        </ext>
      </extLst>
    </bk>
    <bk>
      <extLst>
        <ext uri="{3e2802c4-a4d2-4d8b-9148-e3be6c30e623}">
          <xlrd:rvb i="18315"/>
        </ext>
      </extLst>
    </bk>
    <bk>
      <extLst>
        <ext uri="{3e2802c4-a4d2-4d8b-9148-e3be6c30e623}">
          <xlrd:rvb i="18316"/>
        </ext>
      </extLst>
    </bk>
    <bk>
      <extLst>
        <ext uri="{3e2802c4-a4d2-4d8b-9148-e3be6c30e623}">
          <xlrd:rvb i="18317"/>
        </ext>
      </extLst>
    </bk>
    <bk>
      <extLst>
        <ext uri="{3e2802c4-a4d2-4d8b-9148-e3be6c30e623}">
          <xlrd:rvb i="18318"/>
        </ext>
      </extLst>
    </bk>
    <bk>
      <extLst>
        <ext uri="{3e2802c4-a4d2-4d8b-9148-e3be6c30e623}">
          <xlrd:rvb i="18319"/>
        </ext>
      </extLst>
    </bk>
    <bk>
      <extLst>
        <ext uri="{3e2802c4-a4d2-4d8b-9148-e3be6c30e623}">
          <xlrd:rvb i="18320"/>
        </ext>
      </extLst>
    </bk>
    <bk>
      <extLst>
        <ext uri="{3e2802c4-a4d2-4d8b-9148-e3be6c30e623}">
          <xlrd:rvb i="18321"/>
        </ext>
      </extLst>
    </bk>
    <bk>
      <extLst>
        <ext uri="{3e2802c4-a4d2-4d8b-9148-e3be6c30e623}">
          <xlrd:rvb i="18322"/>
        </ext>
      </extLst>
    </bk>
    <bk>
      <extLst>
        <ext uri="{3e2802c4-a4d2-4d8b-9148-e3be6c30e623}">
          <xlrd:rvb i="18323"/>
        </ext>
      </extLst>
    </bk>
    <bk>
      <extLst>
        <ext uri="{3e2802c4-a4d2-4d8b-9148-e3be6c30e623}">
          <xlrd:rvb i="18324"/>
        </ext>
      </extLst>
    </bk>
    <bk>
      <extLst>
        <ext uri="{3e2802c4-a4d2-4d8b-9148-e3be6c30e623}">
          <xlrd:rvb i="18325"/>
        </ext>
      </extLst>
    </bk>
    <bk>
      <extLst>
        <ext uri="{3e2802c4-a4d2-4d8b-9148-e3be6c30e623}">
          <xlrd:rvb i="18326"/>
        </ext>
      </extLst>
    </bk>
    <bk>
      <extLst>
        <ext uri="{3e2802c4-a4d2-4d8b-9148-e3be6c30e623}">
          <xlrd:rvb i="18327"/>
        </ext>
      </extLst>
    </bk>
    <bk>
      <extLst>
        <ext uri="{3e2802c4-a4d2-4d8b-9148-e3be6c30e623}">
          <xlrd:rvb i="18328"/>
        </ext>
      </extLst>
    </bk>
    <bk>
      <extLst>
        <ext uri="{3e2802c4-a4d2-4d8b-9148-e3be6c30e623}">
          <xlrd:rvb i="18329"/>
        </ext>
      </extLst>
    </bk>
    <bk>
      <extLst>
        <ext uri="{3e2802c4-a4d2-4d8b-9148-e3be6c30e623}">
          <xlrd:rvb i="18330"/>
        </ext>
      </extLst>
    </bk>
    <bk>
      <extLst>
        <ext uri="{3e2802c4-a4d2-4d8b-9148-e3be6c30e623}">
          <xlrd:rvb i="18331"/>
        </ext>
      </extLst>
    </bk>
    <bk>
      <extLst>
        <ext uri="{3e2802c4-a4d2-4d8b-9148-e3be6c30e623}">
          <xlrd:rvb i="18332"/>
        </ext>
      </extLst>
    </bk>
    <bk>
      <extLst>
        <ext uri="{3e2802c4-a4d2-4d8b-9148-e3be6c30e623}">
          <xlrd:rvb i="18333"/>
        </ext>
      </extLst>
    </bk>
    <bk>
      <extLst>
        <ext uri="{3e2802c4-a4d2-4d8b-9148-e3be6c30e623}">
          <xlrd:rvb i="18334"/>
        </ext>
      </extLst>
    </bk>
    <bk>
      <extLst>
        <ext uri="{3e2802c4-a4d2-4d8b-9148-e3be6c30e623}">
          <xlrd:rvb i="18335"/>
        </ext>
      </extLst>
    </bk>
    <bk>
      <extLst>
        <ext uri="{3e2802c4-a4d2-4d8b-9148-e3be6c30e623}">
          <xlrd:rvb i="18336"/>
        </ext>
      </extLst>
    </bk>
    <bk>
      <extLst>
        <ext uri="{3e2802c4-a4d2-4d8b-9148-e3be6c30e623}">
          <xlrd:rvb i="18337"/>
        </ext>
      </extLst>
    </bk>
    <bk>
      <extLst>
        <ext uri="{3e2802c4-a4d2-4d8b-9148-e3be6c30e623}">
          <xlrd:rvb i="18338"/>
        </ext>
      </extLst>
    </bk>
    <bk>
      <extLst>
        <ext uri="{3e2802c4-a4d2-4d8b-9148-e3be6c30e623}">
          <xlrd:rvb i="18339"/>
        </ext>
      </extLst>
    </bk>
    <bk>
      <extLst>
        <ext uri="{3e2802c4-a4d2-4d8b-9148-e3be6c30e623}">
          <xlrd:rvb i="18340"/>
        </ext>
      </extLst>
    </bk>
    <bk>
      <extLst>
        <ext uri="{3e2802c4-a4d2-4d8b-9148-e3be6c30e623}">
          <xlrd:rvb i="18341"/>
        </ext>
      </extLst>
    </bk>
    <bk>
      <extLst>
        <ext uri="{3e2802c4-a4d2-4d8b-9148-e3be6c30e623}">
          <xlrd:rvb i="18342"/>
        </ext>
      </extLst>
    </bk>
    <bk>
      <extLst>
        <ext uri="{3e2802c4-a4d2-4d8b-9148-e3be6c30e623}">
          <xlrd:rvb i="18343"/>
        </ext>
      </extLst>
    </bk>
    <bk>
      <extLst>
        <ext uri="{3e2802c4-a4d2-4d8b-9148-e3be6c30e623}">
          <xlrd:rvb i="18344"/>
        </ext>
      </extLst>
    </bk>
    <bk>
      <extLst>
        <ext uri="{3e2802c4-a4d2-4d8b-9148-e3be6c30e623}">
          <xlrd:rvb i="18345"/>
        </ext>
      </extLst>
    </bk>
    <bk>
      <extLst>
        <ext uri="{3e2802c4-a4d2-4d8b-9148-e3be6c30e623}">
          <xlrd:rvb i="18346"/>
        </ext>
      </extLst>
    </bk>
    <bk>
      <extLst>
        <ext uri="{3e2802c4-a4d2-4d8b-9148-e3be6c30e623}">
          <xlrd:rvb i="18347"/>
        </ext>
      </extLst>
    </bk>
    <bk>
      <extLst>
        <ext uri="{3e2802c4-a4d2-4d8b-9148-e3be6c30e623}">
          <xlrd:rvb i="18348"/>
        </ext>
      </extLst>
    </bk>
    <bk>
      <extLst>
        <ext uri="{3e2802c4-a4d2-4d8b-9148-e3be6c30e623}">
          <xlrd:rvb i="18349"/>
        </ext>
      </extLst>
    </bk>
    <bk>
      <extLst>
        <ext uri="{3e2802c4-a4d2-4d8b-9148-e3be6c30e623}">
          <xlrd:rvb i="18350"/>
        </ext>
      </extLst>
    </bk>
    <bk>
      <extLst>
        <ext uri="{3e2802c4-a4d2-4d8b-9148-e3be6c30e623}">
          <xlrd:rvb i="18351"/>
        </ext>
      </extLst>
    </bk>
    <bk>
      <extLst>
        <ext uri="{3e2802c4-a4d2-4d8b-9148-e3be6c30e623}">
          <xlrd:rvb i="18352"/>
        </ext>
      </extLst>
    </bk>
    <bk>
      <extLst>
        <ext uri="{3e2802c4-a4d2-4d8b-9148-e3be6c30e623}">
          <xlrd:rvb i="18353"/>
        </ext>
      </extLst>
    </bk>
    <bk>
      <extLst>
        <ext uri="{3e2802c4-a4d2-4d8b-9148-e3be6c30e623}">
          <xlrd:rvb i="18354"/>
        </ext>
      </extLst>
    </bk>
    <bk>
      <extLst>
        <ext uri="{3e2802c4-a4d2-4d8b-9148-e3be6c30e623}">
          <xlrd:rvb i="18355"/>
        </ext>
      </extLst>
    </bk>
    <bk>
      <extLst>
        <ext uri="{3e2802c4-a4d2-4d8b-9148-e3be6c30e623}">
          <xlrd:rvb i="18356"/>
        </ext>
      </extLst>
    </bk>
    <bk>
      <extLst>
        <ext uri="{3e2802c4-a4d2-4d8b-9148-e3be6c30e623}">
          <xlrd:rvb i="18357"/>
        </ext>
      </extLst>
    </bk>
    <bk>
      <extLst>
        <ext uri="{3e2802c4-a4d2-4d8b-9148-e3be6c30e623}">
          <xlrd:rvb i="18358"/>
        </ext>
      </extLst>
    </bk>
    <bk>
      <extLst>
        <ext uri="{3e2802c4-a4d2-4d8b-9148-e3be6c30e623}">
          <xlrd:rvb i="18359"/>
        </ext>
      </extLst>
    </bk>
    <bk>
      <extLst>
        <ext uri="{3e2802c4-a4d2-4d8b-9148-e3be6c30e623}">
          <xlrd:rvb i="18360"/>
        </ext>
      </extLst>
    </bk>
    <bk>
      <extLst>
        <ext uri="{3e2802c4-a4d2-4d8b-9148-e3be6c30e623}">
          <xlrd:rvb i="18361"/>
        </ext>
      </extLst>
    </bk>
    <bk>
      <extLst>
        <ext uri="{3e2802c4-a4d2-4d8b-9148-e3be6c30e623}">
          <xlrd:rvb i="18362"/>
        </ext>
      </extLst>
    </bk>
    <bk>
      <extLst>
        <ext uri="{3e2802c4-a4d2-4d8b-9148-e3be6c30e623}">
          <xlrd:rvb i="18363"/>
        </ext>
      </extLst>
    </bk>
    <bk>
      <extLst>
        <ext uri="{3e2802c4-a4d2-4d8b-9148-e3be6c30e623}">
          <xlrd:rvb i="18364"/>
        </ext>
      </extLst>
    </bk>
    <bk>
      <extLst>
        <ext uri="{3e2802c4-a4d2-4d8b-9148-e3be6c30e623}">
          <xlrd:rvb i="18365"/>
        </ext>
      </extLst>
    </bk>
    <bk>
      <extLst>
        <ext uri="{3e2802c4-a4d2-4d8b-9148-e3be6c30e623}">
          <xlrd:rvb i="18366"/>
        </ext>
      </extLst>
    </bk>
    <bk>
      <extLst>
        <ext uri="{3e2802c4-a4d2-4d8b-9148-e3be6c30e623}">
          <xlrd:rvb i="18367"/>
        </ext>
      </extLst>
    </bk>
    <bk>
      <extLst>
        <ext uri="{3e2802c4-a4d2-4d8b-9148-e3be6c30e623}">
          <xlrd:rvb i="18368"/>
        </ext>
      </extLst>
    </bk>
    <bk>
      <extLst>
        <ext uri="{3e2802c4-a4d2-4d8b-9148-e3be6c30e623}">
          <xlrd:rvb i="18369"/>
        </ext>
      </extLst>
    </bk>
    <bk>
      <extLst>
        <ext uri="{3e2802c4-a4d2-4d8b-9148-e3be6c30e623}">
          <xlrd:rvb i="18370"/>
        </ext>
      </extLst>
    </bk>
    <bk>
      <extLst>
        <ext uri="{3e2802c4-a4d2-4d8b-9148-e3be6c30e623}">
          <xlrd:rvb i="18371"/>
        </ext>
      </extLst>
    </bk>
    <bk>
      <extLst>
        <ext uri="{3e2802c4-a4d2-4d8b-9148-e3be6c30e623}">
          <xlrd:rvb i="18372"/>
        </ext>
      </extLst>
    </bk>
    <bk>
      <extLst>
        <ext uri="{3e2802c4-a4d2-4d8b-9148-e3be6c30e623}">
          <xlrd:rvb i="18373"/>
        </ext>
      </extLst>
    </bk>
    <bk>
      <extLst>
        <ext uri="{3e2802c4-a4d2-4d8b-9148-e3be6c30e623}">
          <xlrd:rvb i="18374"/>
        </ext>
      </extLst>
    </bk>
    <bk>
      <extLst>
        <ext uri="{3e2802c4-a4d2-4d8b-9148-e3be6c30e623}">
          <xlrd:rvb i="18375"/>
        </ext>
      </extLst>
    </bk>
    <bk>
      <extLst>
        <ext uri="{3e2802c4-a4d2-4d8b-9148-e3be6c30e623}">
          <xlrd:rvb i="18376"/>
        </ext>
      </extLst>
    </bk>
    <bk>
      <extLst>
        <ext uri="{3e2802c4-a4d2-4d8b-9148-e3be6c30e623}">
          <xlrd:rvb i="18377"/>
        </ext>
      </extLst>
    </bk>
    <bk>
      <extLst>
        <ext uri="{3e2802c4-a4d2-4d8b-9148-e3be6c30e623}">
          <xlrd:rvb i="18378"/>
        </ext>
      </extLst>
    </bk>
    <bk>
      <extLst>
        <ext uri="{3e2802c4-a4d2-4d8b-9148-e3be6c30e623}">
          <xlrd:rvb i="18379"/>
        </ext>
      </extLst>
    </bk>
    <bk>
      <extLst>
        <ext uri="{3e2802c4-a4d2-4d8b-9148-e3be6c30e623}">
          <xlrd:rvb i="18380"/>
        </ext>
      </extLst>
    </bk>
    <bk>
      <extLst>
        <ext uri="{3e2802c4-a4d2-4d8b-9148-e3be6c30e623}">
          <xlrd:rvb i="18381"/>
        </ext>
      </extLst>
    </bk>
    <bk>
      <extLst>
        <ext uri="{3e2802c4-a4d2-4d8b-9148-e3be6c30e623}">
          <xlrd:rvb i="18382"/>
        </ext>
      </extLst>
    </bk>
    <bk>
      <extLst>
        <ext uri="{3e2802c4-a4d2-4d8b-9148-e3be6c30e623}">
          <xlrd:rvb i="18383"/>
        </ext>
      </extLst>
    </bk>
    <bk>
      <extLst>
        <ext uri="{3e2802c4-a4d2-4d8b-9148-e3be6c30e623}">
          <xlrd:rvb i="18384"/>
        </ext>
      </extLst>
    </bk>
    <bk>
      <extLst>
        <ext uri="{3e2802c4-a4d2-4d8b-9148-e3be6c30e623}">
          <xlrd:rvb i="18385"/>
        </ext>
      </extLst>
    </bk>
    <bk>
      <extLst>
        <ext uri="{3e2802c4-a4d2-4d8b-9148-e3be6c30e623}">
          <xlrd:rvb i="18386"/>
        </ext>
      </extLst>
    </bk>
    <bk>
      <extLst>
        <ext uri="{3e2802c4-a4d2-4d8b-9148-e3be6c30e623}">
          <xlrd:rvb i="18387"/>
        </ext>
      </extLst>
    </bk>
    <bk>
      <extLst>
        <ext uri="{3e2802c4-a4d2-4d8b-9148-e3be6c30e623}">
          <xlrd:rvb i="18388"/>
        </ext>
      </extLst>
    </bk>
    <bk>
      <extLst>
        <ext uri="{3e2802c4-a4d2-4d8b-9148-e3be6c30e623}">
          <xlrd:rvb i="18389"/>
        </ext>
      </extLst>
    </bk>
    <bk>
      <extLst>
        <ext uri="{3e2802c4-a4d2-4d8b-9148-e3be6c30e623}">
          <xlrd:rvb i="18390"/>
        </ext>
      </extLst>
    </bk>
    <bk>
      <extLst>
        <ext uri="{3e2802c4-a4d2-4d8b-9148-e3be6c30e623}">
          <xlrd:rvb i="18391"/>
        </ext>
      </extLst>
    </bk>
    <bk>
      <extLst>
        <ext uri="{3e2802c4-a4d2-4d8b-9148-e3be6c30e623}">
          <xlrd:rvb i="18392"/>
        </ext>
      </extLst>
    </bk>
    <bk>
      <extLst>
        <ext uri="{3e2802c4-a4d2-4d8b-9148-e3be6c30e623}">
          <xlrd:rvb i="18393"/>
        </ext>
      </extLst>
    </bk>
    <bk>
      <extLst>
        <ext uri="{3e2802c4-a4d2-4d8b-9148-e3be6c30e623}">
          <xlrd:rvb i="18394"/>
        </ext>
      </extLst>
    </bk>
    <bk>
      <extLst>
        <ext uri="{3e2802c4-a4d2-4d8b-9148-e3be6c30e623}">
          <xlrd:rvb i="18395"/>
        </ext>
      </extLst>
    </bk>
    <bk>
      <extLst>
        <ext uri="{3e2802c4-a4d2-4d8b-9148-e3be6c30e623}">
          <xlrd:rvb i="18396"/>
        </ext>
      </extLst>
    </bk>
    <bk>
      <extLst>
        <ext uri="{3e2802c4-a4d2-4d8b-9148-e3be6c30e623}">
          <xlrd:rvb i="18397"/>
        </ext>
      </extLst>
    </bk>
    <bk>
      <extLst>
        <ext uri="{3e2802c4-a4d2-4d8b-9148-e3be6c30e623}">
          <xlrd:rvb i="18398"/>
        </ext>
      </extLst>
    </bk>
    <bk>
      <extLst>
        <ext uri="{3e2802c4-a4d2-4d8b-9148-e3be6c30e623}">
          <xlrd:rvb i="18399"/>
        </ext>
      </extLst>
    </bk>
    <bk>
      <extLst>
        <ext uri="{3e2802c4-a4d2-4d8b-9148-e3be6c30e623}">
          <xlrd:rvb i="18400"/>
        </ext>
      </extLst>
    </bk>
    <bk>
      <extLst>
        <ext uri="{3e2802c4-a4d2-4d8b-9148-e3be6c30e623}">
          <xlrd:rvb i="18401"/>
        </ext>
      </extLst>
    </bk>
    <bk>
      <extLst>
        <ext uri="{3e2802c4-a4d2-4d8b-9148-e3be6c30e623}">
          <xlrd:rvb i="18402"/>
        </ext>
      </extLst>
    </bk>
    <bk>
      <extLst>
        <ext uri="{3e2802c4-a4d2-4d8b-9148-e3be6c30e623}">
          <xlrd:rvb i="18403"/>
        </ext>
      </extLst>
    </bk>
    <bk>
      <extLst>
        <ext uri="{3e2802c4-a4d2-4d8b-9148-e3be6c30e623}">
          <xlrd:rvb i="18404"/>
        </ext>
      </extLst>
    </bk>
    <bk>
      <extLst>
        <ext uri="{3e2802c4-a4d2-4d8b-9148-e3be6c30e623}">
          <xlrd:rvb i="18405"/>
        </ext>
      </extLst>
    </bk>
    <bk>
      <extLst>
        <ext uri="{3e2802c4-a4d2-4d8b-9148-e3be6c30e623}">
          <xlrd:rvb i="18406"/>
        </ext>
      </extLst>
    </bk>
    <bk>
      <extLst>
        <ext uri="{3e2802c4-a4d2-4d8b-9148-e3be6c30e623}">
          <xlrd:rvb i="18407"/>
        </ext>
      </extLst>
    </bk>
    <bk>
      <extLst>
        <ext uri="{3e2802c4-a4d2-4d8b-9148-e3be6c30e623}">
          <xlrd:rvb i="18408"/>
        </ext>
      </extLst>
    </bk>
    <bk>
      <extLst>
        <ext uri="{3e2802c4-a4d2-4d8b-9148-e3be6c30e623}">
          <xlrd:rvb i="18409"/>
        </ext>
      </extLst>
    </bk>
    <bk>
      <extLst>
        <ext uri="{3e2802c4-a4d2-4d8b-9148-e3be6c30e623}">
          <xlrd:rvb i="18410"/>
        </ext>
      </extLst>
    </bk>
    <bk>
      <extLst>
        <ext uri="{3e2802c4-a4d2-4d8b-9148-e3be6c30e623}">
          <xlrd:rvb i="18411"/>
        </ext>
      </extLst>
    </bk>
    <bk>
      <extLst>
        <ext uri="{3e2802c4-a4d2-4d8b-9148-e3be6c30e623}">
          <xlrd:rvb i="18412"/>
        </ext>
      </extLst>
    </bk>
    <bk>
      <extLst>
        <ext uri="{3e2802c4-a4d2-4d8b-9148-e3be6c30e623}">
          <xlrd:rvb i="18413"/>
        </ext>
      </extLst>
    </bk>
    <bk>
      <extLst>
        <ext uri="{3e2802c4-a4d2-4d8b-9148-e3be6c30e623}">
          <xlrd:rvb i="18414"/>
        </ext>
      </extLst>
    </bk>
    <bk>
      <extLst>
        <ext uri="{3e2802c4-a4d2-4d8b-9148-e3be6c30e623}">
          <xlrd:rvb i="18415"/>
        </ext>
      </extLst>
    </bk>
    <bk>
      <extLst>
        <ext uri="{3e2802c4-a4d2-4d8b-9148-e3be6c30e623}">
          <xlrd:rvb i="18416"/>
        </ext>
      </extLst>
    </bk>
    <bk>
      <extLst>
        <ext uri="{3e2802c4-a4d2-4d8b-9148-e3be6c30e623}">
          <xlrd:rvb i="18417"/>
        </ext>
      </extLst>
    </bk>
    <bk>
      <extLst>
        <ext uri="{3e2802c4-a4d2-4d8b-9148-e3be6c30e623}">
          <xlrd:rvb i="18418"/>
        </ext>
      </extLst>
    </bk>
    <bk>
      <extLst>
        <ext uri="{3e2802c4-a4d2-4d8b-9148-e3be6c30e623}">
          <xlrd:rvb i="18419"/>
        </ext>
      </extLst>
    </bk>
    <bk>
      <extLst>
        <ext uri="{3e2802c4-a4d2-4d8b-9148-e3be6c30e623}">
          <xlrd:rvb i="18420"/>
        </ext>
      </extLst>
    </bk>
    <bk>
      <extLst>
        <ext uri="{3e2802c4-a4d2-4d8b-9148-e3be6c30e623}">
          <xlrd:rvb i="18421"/>
        </ext>
      </extLst>
    </bk>
    <bk>
      <extLst>
        <ext uri="{3e2802c4-a4d2-4d8b-9148-e3be6c30e623}">
          <xlrd:rvb i="18422"/>
        </ext>
      </extLst>
    </bk>
    <bk>
      <extLst>
        <ext uri="{3e2802c4-a4d2-4d8b-9148-e3be6c30e623}">
          <xlrd:rvb i="18423"/>
        </ext>
      </extLst>
    </bk>
    <bk>
      <extLst>
        <ext uri="{3e2802c4-a4d2-4d8b-9148-e3be6c30e623}">
          <xlrd:rvb i="18424"/>
        </ext>
      </extLst>
    </bk>
    <bk>
      <extLst>
        <ext uri="{3e2802c4-a4d2-4d8b-9148-e3be6c30e623}">
          <xlrd:rvb i="18425"/>
        </ext>
      </extLst>
    </bk>
    <bk>
      <extLst>
        <ext uri="{3e2802c4-a4d2-4d8b-9148-e3be6c30e623}">
          <xlrd:rvb i="18426"/>
        </ext>
      </extLst>
    </bk>
    <bk>
      <extLst>
        <ext uri="{3e2802c4-a4d2-4d8b-9148-e3be6c30e623}">
          <xlrd:rvb i="18427"/>
        </ext>
      </extLst>
    </bk>
    <bk>
      <extLst>
        <ext uri="{3e2802c4-a4d2-4d8b-9148-e3be6c30e623}">
          <xlrd:rvb i="18428"/>
        </ext>
      </extLst>
    </bk>
    <bk>
      <extLst>
        <ext uri="{3e2802c4-a4d2-4d8b-9148-e3be6c30e623}">
          <xlrd:rvb i="18429"/>
        </ext>
      </extLst>
    </bk>
    <bk>
      <extLst>
        <ext uri="{3e2802c4-a4d2-4d8b-9148-e3be6c30e623}">
          <xlrd:rvb i="18430"/>
        </ext>
      </extLst>
    </bk>
    <bk>
      <extLst>
        <ext uri="{3e2802c4-a4d2-4d8b-9148-e3be6c30e623}">
          <xlrd:rvb i="18431"/>
        </ext>
      </extLst>
    </bk>
    <bk>
      <extLst>
        <ext uri="{3e2802c4-a4d2-4d8b-9148-e3be6c30e623}">
          <xlrd:rvb i="18432"/>
        </ext>
      </extLst>
    </bk>
    <bk>
      <extLst>
        <ext uri="{3e2802c4-a4d2-4d8b-9148-e3be6c30e623}">
          <xlrd:rvb i="18433"/>
        </ext>
      </extLst>
    </bk>
    <bk>
      <extLst>
        <ext uri="{3e2802c4-a4d2-4d8b-9148-e3be6c30e623}">
          <xlrd:rvb i="18434"/>
        </ext>
      </extLst>
    </bk>
    <bk>
      <extLst>
        <ext uri="{3e2802c4-a4d2-4d8b-9148-e3be6c30e623}">
          <xlrd:rvb i="18435"/>
        </ext>
      </extLst>
    </bk>
    <bk>
      <extLst>
        <ext uri="{3e2802c4-a4d2-4d8b-9148-e3be6c30e623}">
          <xlrd:rvb i="18436"/>
        </ext>
      </extLst>
    </bk>
    <bk>
      <extLst>
        <ext uri="{3e2802c4-a4d2-4d8b-9148-e3be6c30e623}">
          <xlrd:rvb i="18437"/>
        </ext>
      </extLst>
    </bk>
    <bk>
      <extLst>
        <ext uri="{3e2802c4-a4d2-4d8b-9148-e3be6c30e623}">
          <xlrd:rvb i="18438"/>
        </ext>
      </extLst>
    </bk>
    <bk>
      <extLst>
        <ext uri="{3e2802c4-a4d2-4d8b-9148-e3be6c30e623}">
          <xlrd:rvb i="18439"/>
        </ext>
      </extLst>
    </bk>
    <bk>
      <extLst>
        <ext uri="{3e2802c4-a4d2-4d8b-9148-e3be6c30e623}">
          <xlrd:rvb i="18440"/>
        </ext>
      </extLst>
    </bk>
    <bk>
      <extLst>
        <ext uri="{3e2802c4-a4d2-4d8b-9148-e3be6c30e623}">
          <xlrd:rvb i="18441"/>
        </ext>
      </extLst>
    </bk>
    <bk>
      <extLst>
        <ext uri="{3e2802c4-a4d2-4d8b-9148-e3be6c30e623}">
          <xlrd:rvb i="18442"/>
        </ext>
      </extLst>
    </bk>
    <bk>
      <extLst>
        <ext uri="{3e2802c4-a4d2-4d8b-9148-e3be6c30e623}">
          <xlrd:rvb i="18443"/>
        </ext>
      </extLst>
    </bk>
    <bk>
      <extLst>
        <ext uri="{3e2802c4-a4d2-4d8b-9148-e3be6c30e623}">
          <xlrd:rvb i="18444"/>
        </ext>
      </extLst>
    </bk>
    <bk>
      <extLst>
        <ext uri="{3e2802c4-a4d2-4d8b-9148-e3be6c30e623}">
          <xlrd:rvb i="18445"/>
        </ext>
      </extLst>
    </bk>
    <bk>
      <extLst>
        <ext uri="{3e2802c4-a4d2-4d8b-9148-e3be6c30e623}">
          <xlrd:rvb i="18446"/>
        </ext>
      </extLst>
    </bk>
    <bk>
      <extLst>
        <ext uri="{3e2802c4-a4d2-4d8b-9148-e3be6c30e623}">
          <xlrd:rvb i="18447"/>
        </ext>
      </extLst>
    </bk>
    <bk>
      <extLst>
        <ext uri="{3e2802c4-a4d2-4d8b-9148-e3be6c30e623}">
          <xlrd:rvb i="18448"/>
        </ext>
      </extLst>
    </bk>
    <bk>
      <extLst>
        <ext uri="{3e2802c4-a4d2-4d8b-9148-e3be6c30e623}">
          <xlrd:rvb i="18449"/>
        </ext>
      </extLst>
    </bk>
    <bk>
      <extLst>
        <ext uri="{3e2802c4-a4d2-4d8b-9148-e3be6c30e623}">
          <xlrd:rvb i="18450"/>
        </ext>
      </extLst>
    </bk>
    <bk>
      <extLst>
        <ext uri="{3e2802c4-a4d2-4d8b-9148-e3be6c30e623}">
          <xlrd:rvb i="18451"/>
        </ext>
      </extLst>
    </bk>
    <bk>
      <extLst>
        <ext uri="{3e2802c4-a4d2-4d8b-9148-e3be6c30e623}">
          <xlrd:rvb i="18452"/>
        </ext>
      </extLst>
    </bk>
    <bk>
      <extLst>
        <ext uri="{3e2802c4-a4d2-4d8b-9148-e3be6c30e623}">
          <xlrd:rvb i="18453"/>
        </ext>
      </extLst>
    </bk>
    <bk>
      <extLst>
        <ext uri="{3e2802c4-a4d2-4d8b-9148-e3be6c30e623}">
          <xlrd:rvb i="18454"/>
        </ext>
      </extLst>
    </bk>
    <bk>
      <extLst>
        <ext uri="{3e2802c4-a4d2-4d8b-9148-e3be6c30e623}">
          <xlrd:rvb i="18455"/>
        </ext>
      </extLst>
    </bk>
    <bk>
      <extLst>
        <ext uri="{3e2802c4-a4d2-4d8b-9148-e3be6c30e623}">
          <xlrd:rvb i="18456"/>
        </ext>
      </extLst>
    </bk>
    <bk>
      <extLst>
        <ext uri="{3e2802c4-a4d2-4d8b-9148-e3be6c30e623}">
          <xlrd:rvb i="18457"/>
        </ext>
      </extLst>
    </bk>
    <bk>
      <extLst>
        <ext uri="{3e2802c4-a4d2-4d8b-9148-e3be6c30e623}">
          <xlrd:rvb i="18458"/>
        </ext>
      </extLst>
    </bk>
    <bk>
      <extLst>
        <ext uri="{3e2802c4-a4d2-4d8b-9148-e3be6c30e623}">
          <xlrd:rvb i="18459"/>
        </ext>
      </extLst>
    </bk>
    <bk>
      <extLst>
        <ext uri="{3e2802c4-a4d2-4d8b-9148-e3be6c30e623}">
          <xlrd:rvb i="18460"/>
        </ext>
      </extLst>
    </bk>
    <bk>
      <extLst>
        <ext uri="{3e2802c4-a4d2-4d8b-9148-e3be6c30e623}">
          <xlrd:rvb i="18461"/>
        </ext>
      </extLst>
    </bk>
    <bk>
      <extLst>
        <ext uri="{3e2802c4-a4d2-4d8b-9148-e3be6c30e623}">
          <xlrd:rvb i="18462"/>
        </ext>
      </extLst>
    </bk>
    <bk>
      <extLst>
        <ext uri="{3e2802c4-a4d2-4d8b-9148-e3be6c30e623}">
          <xlrd:rvb i="18463"/>
        </ext>
      </extLst>
    </bk>
    <bk>
      <extLst>
        <ext uri="{3e2802c4-a4d2-4d8b-9148-e3be6c30e623}">
          <xlrd:rvb i="18464"/>
        </ext>
      </extLst>
    </bk>
    <bk>
      <extLst>
        <ext uri="{3e2802c4-a4d2-4d8b-9148-e3be6c30e623}">
          <xlrd:rvb i="18465"/>
        </ext>
      </extLst>
    </bk>
    <bk>
      <extLst>
        <ext uri="{3e2802c4-a4d2-4d8b-9148-e3be6c30e623}">
          <xlrd:rvb i="18466"/>
        </ext>
      </extLst>
    </bk>
    <bk>
      <extLst>
        <ext uri="{3e2802c4-a4d2-4d8b-9148-e3be6c30e623}">
          <xlrd:rvb i="18467"/>
        </ext>
      </extLst>
    </bk>
    <bk>
      <extLst>
        <ext uri="{3e2802c4-a4d2-4d8b-9148-e3be6c30e623}">
          <xlrd:rvb i="18468"/>
        </ext>
      </extLst>
    </bk>
    <bk>
      <extLst>
        <ext uri="{3e2802c4-a4d2-4d8b-9148-e3be6c30e623}">
          <xlrd:rvb i="18469"/>
        </ext>
      </extLst>
    </bk>
    <bk>
      <extLst>
        <ext uri="{3e2802c4-a4d2-4d8b-9148-e3be6c30e623}">
          <xlrd:rvb i="18470"/>
        </ext>
      </extLst>
    </bk>
    <bk>
      <extLst>
        <ext uri="{3e2802c4-a4d2-4d8b-9148-e3be6c30e623}">
          <xlrd:rvb i="18471"/>
        </ext>
      </extLst>
    </bk>
    <bk>
      <extLst>
        <ext uri="{3e2802c4-a4d2-4d8b-9148-e3be6c30e623}">
          <xlrd:rvb i="18472"/>
        </ext>
      </extLst>
    </bk>
    <bk>
      <extLst>
        <ext uri="{3e2802c4-a4d2-4d8b-9148-e3be6c30e623}">
          <xlrd:rvb i="18473"/>
        </ext>
      </extLst>
    </bk>
    <bk>
      <extLst>
        <ext uri="{3e2802c4-a4d2-4d8b-9148-e3be6c30e623}">
          <xlrd:rvb i="18474"/>
        </ext>
      </extLst>
    </bk>
    <bk>
      <extLst>
        <ext uri="{3e2802c4-a4d2-4d8b-9148-e3be6c30e623}">
          <xlrd:rvb i="18475"/>
        </ext>
      </extLst>
    </bk>
    <bk>
      <extLst>
        <ext uri="{3e2802c4-a4d2-4d8b-9148-e3be6c30e623}">
          <xlrd:rvb i="18476"/>
        </ext>
      </extLst>
    </bk>
    <bk>
      <extLst>
        <ext uri="{3e2802c4-a4d2-4d8b-9148-e3be6c30e623}">
          <xlrd:rvb i="18477"/>
        </ext>
      </extLst>
    </bk>
    <bk>
      <extLst>
        <ext uri="{3e2802c4-a4d2-4d8b-9148-e3be6c30e623}">
          <xlrd:rvb i="18478"/>
        </ext>
      </extLst>
    </bk>
    <bk>
      <extLst>
        <ext uri="{3e2802c4-a4d2-4d8b-9148-e3be6c30e623}">
          <xlrd:rvb i="18479"/>
        </ext>
      </extLst>
    </bk>
    <bk>
      <extLst>
        <ext uri="{3e2802c4-a4d2-4d8b-9148-e3be6c30e623}">
          <xlrd:rvb i="18480"/>
        </ext>
      </extLst>
    </bk>
    <bk>
      <extLst>
        <ext uri="{3e2802c4-a4d2-4d8b-9148-e3be6c30e623}">
          <xlrd:rvb i="18481"/>
        </ext>
      </extLst>
    </bk>
    <bk>
      <extLst>
        <ext uri="{3e2802c4-a4d2-4d8b-9148-e3be6c30e623}">
          <xlrd:rvb i="18482"/>
        </ext>
      </extLst>
    </bk>
    <bk>
      <extLst>
        <ext uri="{3e2802c4-a4d2-4d8b-9148-e3be6c30e623}">
          <xlrd:rvb i="18483"/>
        </ext>
      </extLst>
    </bk>
    <bk>
      <extLst>
        <ext uri="{3e2802c4-a4d2-4d8b-9148-e3be6c30e623}">
          <xlrd:rvb i="18484"/>
        </ext>
      </extLst>
    </bk>
    <bk>
      <extLst>
        <ext uri="{3e2802c4-a4d2-4d8b-9148-e3be6c30e623}">
          <xlrd:rvb i="18485"/>
        </ext>
      </extLst>
    </bk>
    <bk>
      <extLst>
        <ext uri="{3e2802c4-a4d2-4d8b-9148-e3be6c30e623}">
          <xlrd:rvb i="18486"/>
        </ext>
      </extLst>
    </bk>
    <bk>
      <extLst>
        <ext uri="{3e2802c4-a4d2-4d8b-9148-e3be6c30e623}">
          <xlrd:rvb i="18487"/>
        </ext>
      </extLst>
    </bk>
    <bk>
      <extLst>
        <ext uri="{3e2802c4-a4d2-4d8b-9148-e3be6c30e623}">
          <xlrd:rvb i="18488"/>
        </ext>
      </extLst>
    </bk>
    <bk>
      <extLst>
        <ext uri="{3e2802c4-a4d2-4d8b-9148-e3be6c30e623}">
          <xlrd:rvb i="18489"/>
        </ext>
      </extLst>
    </bk>
    <bk>
      <extLst>
        <ext uri="{3e2802c4-a4d2-4d8b-9148-e3be6c30e623}">
          <xlrd:rvb i="18490"/>
        </ext>
      </extLst>
    </bk>
    <bk>
      <extLst>
        <ext uri="{3e2802c4-a4d2-4d8b-9148-e3be6c30e623}">
          <xlrd:rvb i="18491"/>
        </ext>
      </extLst>
    </bk>
    <bk>
      <extLst>
        <ext uri="{3e2802c4-a4d2-4d8b-9148-e3be6c30e623}">
          <xlrd:rvb i="18492"/>
        </ext>
      </extLst>
    </bk>
    <bk>
      <extLst>
        <ext uri="{3e2802c4-a4d2-4d8b-9148-e3be6c30e623}">
          <xlrd:rvb i="18493"/>
        </ext>
      </extLst>
    </bk>
    <bk>
      <extLst>
        <ext uri="{3e2802c4-a4d2-4d8b-9148-e3be6c30e623}">
          <xlrd:rvb i="18494"/>
        </ext>
      </extLst>
    </bk>
    <bk>
      <extLst>
        <ext uri="{3e2802c4-a4d2-4d8b-9148-e3be6c30e623}">
          <xlrd:rvb i="18495"/>
        </ext>
      </extLst>
    </bk>
    <bk>
      <extLst>
        <ext uri="{3e2802c4-a4d2-4d8b-9148-e3be6c30e623}">
          <xlrd:rvb i="18496"/>
        </ext>
      </extLst>
    </bk>
    <bk>
      <extLst>
        <ext uri="{3e2802c4-a4d2-4d8b-9148-e3be6c30e623}">
          <xlrd:rvb i="18497"/>
        </ext>
      </extLst>
    </bk>
    <bk>
      <extLst>
        <ext uri="{3e2802c4-a4d2-4d8b-9148-e3be6c30e623}">
          <xlrd:rvb i="18498"/>
        </ext>
      </extLst>
    </bk>
    <bk>
      <extLst>
        <ext uri="{3e2802c4-a4d2-4d8b-9148-e3be6c30e623}">
          <xlrd:rvb i="18499"/>
        </ext>
      </extLst>
    </bk>
    <bk>
      <extLst>
        <ext uri="{3e2802c4-a4d2-4d8b-9148-e3be6c30e623}">
          <xlrd:rvb i="18500"/>
        </ext>
      </extLst>
    </bk>
    <bk>
      <extLst>
        <ext uri="{3e2802c4-a4d2-4d8b-9148-e3be6c30e623}">
          <xlrd:rvb i="18501"/>
        </ext>
      </extLst>
    </bk>
    <bk>
      <extLst>
        <ext uri="{3e2802c4-a4d2-4d8b-9148-e3be6c30e623}">
          <xlrd:rvb i="18502"/>
        </ext>
      </extLst>
    </bk>
    <bk>
      <extLst>
        <ext uri="{3e2802c4-a4d2-4d8b-9148-e3be6c30e623}">
          <xlrd:rvb i="18503"/>
        </ext>
      </extLst>
    </bk>
    <bk>
      <extLst>
        <ext uri="{3e2802c4-a4d2-4d8b-9148-e3be6c30e623}">
          <xlrd:rvb i="18504"/>
        </ext>
      </extLst>
    </bk>
    <bk>
      <extLst>
        <ext uri="{3e2802c4-a4d2-4d8b-9148-e3be6c30e623}">
          <xlrd:rvb i="18505"/>
        </ext>
      </extLst>
    </bk>
    <bk>
      <extLst>
        <ext uri="{3e2802c4-a4d2-4d8b-9148-e3be6c30e623}">
          <xlrd:rvb i="18506"/>
        </ext>
      </extLst>
    </bk>
    <bk>
      <extLst>
        <ext uri="{3e2802c4-a4d2-4d8b-9148-e3be6c30e623}">
          <xlrd:rvb i="18507"/>
        </ext>
      </extLst>
    </bk>
    <bk>
      <extLst>
        <ext uri="{3e2802c4-a4d2-4d8b-9148-e3be6c30e623}">
          <xlrd:rvb i="18508"/>
        </ext>
      </extLst>
    </bk>
    <bk>
      <extLst>
        <ext uri="{3e2802c4-a4d2-4d8b-9148-e3be6c30e623}">
          <xlrd:rvb i="18509"/>
        </ext>
      </extLst>
    </bk>
    <bk>
      <extLst>
        <ext uri="{3e2802c4-a4d2-4d8b-9148-e3be6c30e623}">
          <xlrd:rvb i="18510"/>
        </ext>
      </extLst>
    </bk>
    <bk>
      <extLst>
        <ext uri="{3e2802c4-a4d2-4d8b-9148-e3be6c30e623}">
          <xlrd:rvb i="18511"/>
        </ext>
      </extLst>
    </bk>
    <bk>
      <extLst>
        <ext uri="{3e2802c4-a4d2-4d8b-9148-e3be6c30e623}">
          <xlrd:rvb i="18512"/>
        </ext>
      </extLst>
    </bk>
    <bk>
      <extLst>
        <ext uri="{3e2802c4-a4d2-4d8b-9148-e3be6c30e623}">
          <xlrd:rvb i="18513"/>
        </ext>
      </extLst>
    </bk>
    <bk>
      <extLst>
        <ext uri="{3e2802c4-a4d2-4d8b-9148-e3be6c30e623}">
          <xlrd:rvb i="18514"/>
        </ext>
      </extLst>
    </bk>
    <bk>
      <extLst>
        <ext uri="{3e2802c4-a4d2-4d8b-9148-e3be6c30e623}">
          <xlrd:rvb i="18515"/>
        </ext>
      </extLst>
    </bk>
    <bk>
      <extLst>
        <ext uri="{3e2802c4-a4d2-4d8b-9148-e3be6c30e623}">
          <xlrd:rvb i="18516"/>
        </ext>
      </extLst>
    </bk>
    <bk>
      <extLst>
        <ext uri="{3e2802c4-a4d2-4d8b-9148-e3be6c30e623}">
          <xlrd:rvb i="18517"/>
        </ext>
      </extLst>
    </bk>
    <bk>
      <extLst>
        <ext uri="{3e2802c4-a4d2-4d8b-9148-e3be6c30e623}">
          <xlrd:rvb i="18518"/>
        </ext>
      </extLst>
    </bk>
    <bk>
      <extLst>
        <ext uri="{3e2802c4-a4d2-4d8b-9148-e3be6c30e623}">
          <xlrd:rvb i="18519"/>
        </ext>
      </extLst>
    </bk>
    <bk>
      <extLst>
        <ext uri="{3e2802c4-a4d2-4d8b-9148-e3be6c30e623}">
          <xlrd:rvb i="18520"/>
        </ext>
      </extLst>
    </bk>
    <bk>
      <extLst>
        <ext uri="{3e2802c4-a4d2-4d8b-9148-e3be6c30e623}">
          <xlrd:rvb i="18521"/>
        </ext>
      </extLst>
    </bk>
    <bk>
      <extLst>
        <ext uri="{3e2802c4-a4d2-4d8b-9148-e3be6c30e623}">
          <xlrd:rvb i="18522"/>
        </ext>
      </extLst>
    </bk>
    <bk>
      <extLst>
        <ext uri="{3e2802c4-a4d2-4d8b-9148-e3be6c30e623}">
          <xlrd:rvb i="18523"/>
        </ext>
      </extLst>
    </bk>
    <bk>
      <extLst>
        <ext uri="{3e2802c4-a4d2-4d8b-9148-e3be6c30e623}">
          <xlrd:rvb i="18524"/>
        </ext>
      </extLst>
    </bk>
    <bk>
      <extLst>
        <ext uri="{3e2802c4-a4d2-4d8b-9148-e3be6c30e623}">
          <xlrd:rvb i="18525"/>
        </ext>
      </extLst>
    </bk>
    <bk>
      <extLst>
        <ext uri="{3e2802c4-a4d2-4d8b-9148-e3be6c30e623}">
          <xlrd:rvb i="18526"/>
        </ext>
      </extLst>
    </bk>
    <bk>
      <extLst>
        <ext uri="{3e2802c4-a4d2-4d8b-9148-e3be6c30e623}">
          <xlrd:rvb i="18527"/>
        </ext>
      </extLst>
    </bk>
    <bk>
      <extLst>
        <ext uri="{3e2802c4-a4d2-4d8b-9148-e3be6c30e623}">
          <xlrd:rvb i="18528"/>
        </ext>
      </extLst>
    </bk>
    <bk>
      <extLst>
        <ext uri="{3e2802c4-a4d2-4d8b-9148-e3be6c30e623}">
          <xlrd:rvb i="18529"/>
        </ext>
      </extLst>
    </bk>
    <bk>
      <extLst>
        <ext uri="{3e2802c4-a4d2-4d8b-9148-e3be6c30e623}">
          <xlrd:rvb i="18530"/>
        </ext>
      </extLst>
    </bk>
    <bk>
      <extLst>
        <ext uri="{3e2802c4-a4d2-4d8b-9148-e3be6c30e623}">
          <xlrd:rvb i="18531"/>
        </ext>
      </extLst>
    </bk>
    <bk>
      <extLst>
        <ext uri="{3e2802c4-a4d2-4d8b-9148-e3be6c30e623}">
          <xlrd:rvb i="18532"/>
        </ext>
      </extLst>
    </bk>
    <bk>
      <extLst>
        <ext uri="{3e2802c4-a4d2-4d8b-9148-e3be6c30e623}">
          <xlrd:rvb i="18533"/>
        </ext>
      </extLst>
    </bk>
    <bk>
      <extLst>
        <ext uri="{3e2802c4-a4d2-4d8b-9148-e3be6c30e623}">
          <xlrd:rvb i="18534"/>
        </ext>
      </extLst>
    </bk>
    <bk>
      <extLst>
        <ext uri="{3e2802c4-a4d2-4d8b-9148-e3be6c30e623}">
          <xlrd:rvb i="18535"/>
        </ext>
      </extLst>
    </bk>
    <bk>
      <extLst>
        <ext uri="{3e2802c4-a4d2-4d8b-9148-e3be6c30e623}">
          <xlrd:rvb i="18536"/>
        </ext>
      </extLst>
    </bk>
    <bk>
      <extLst>
        <ext uri="{3e2802c4-a4d2-4d8b-9148-e3be6c30e623}">
          <xlrd:rvb i="18537"/>
        </ext>
      </extLst>
    </bk>
    <bk>
      <extLst>
        <ext uri="{3e2802c4-a4d2-4d8b-9148-e3be6c30e623}">
          <xlrd:rvb i="18538"/>
        </ext>
      </extLst>
    </bk>
    <bk>
      <extLst>
        <ext uri="{3e2802c4-a4d2-4d8b-9148-e3be6c30e623}">
          <xlrd:rvb i="18539"/>
        </ext>
      </extLst>
    </bk>
    <bk>
      <extLst>
        <ext uri="{3e2802c4-a4d2-4d8b-9148-e3be6c30e623}">
          <xlrd:rvb i="18540"/>
        </ext>
      </extLst>
    </bk>
    <bk>
      <extLst>
        <ext uri="{3e2802c4-a4d2-4d8b-9148-e3be6c30e623}">
          <xlrd:rvb i="18541"/>
        </ext>
      </extLst>
    </bk>
    <bk>
      <extLst>
        <ext uri="{3e2802c4-a4d2-4d8b-9148-e3be6c30e623}">
          <xlrd:rvb i="18542"/>
        </ext>
      </extLst>
    </bk>
    <bk>
      <extLst>
        <ext uri="{3e2802c4-a4d2-4d8b-9148-e3be6c30e623}">
          <xlrd:rvb i="18543"/>
        </ext>
      </extLst>
    </bk>
    <bk>
      <extLst>
        <ext uri="{3e2802c4-a4d2-4d8b-9148-e3be6c30e623}">
          <xlrd:rvb i="18544"/>
        </ext>
      </extLst>
    </bk>
    <bk>
      <extLst>
        <ext uri="{3e2802c4-a4d2-4d8b-9148-e3be6c30e623}">
          <xlrd:rvb i="18545"/>
        </ext>
      </extLst>
    </bk>
    <bk>
      <extLst>
        <ext uri="{3e2802c4-a4d2-4d8b-9148-e3be6c30e623}">
          <xlrd:rvb i="18546"/>
        </ext>
      </extLst>
    </bk>
    <bk>
      <extLst>
        <ext uri="{3e2802c4-a4d2-4d8b-9148-e3be6c30e623}">
          <xlrd:rvb i="18547"/>
        </ext>
      </extLst>
    </bk>
    <bk>
      <extLst>
        <ext uri="{3e2802c4-a4d2-4d8b-9148-e3be6c30e623}">
          <xlrd:rvb i="18548"/>
        </ext>
      </extLst>
    </bk>
    <bk>
      <extLst>
        <ext uri="{3e2802c4-a4d2-4d8b-9148-e3be6c30e623}">
          <xlrd:rvb i="18549"/>
        </ext>
      </extLst>
    </bk>
    <bk>
      <extLst>
        <ext uri="{3e2802c4-a4d2-4d8b-9148-e3be6c30e623}">
          <xlrd:rvb i="18550"/>
        </ext>
      </extLst>
    </bk>
    <bk>
      <extLst>
        <ext uri="{3e2802c4-a4d2-4d8b-9148-e3be6c30e623}">
          <xlrd:rvb i="18551"/>
        </ext>
      </extLst>
    </bk>
    <bk>
      <extLst>
        <ext uri="{3e2802c4-a4d2-4d8b-9148-e3be6c30e623}">
          <xlrd:rvb i="18552"/>
        </ext>
      </extLst>
    </bk>
    <bk>
      <extLst>
        <ext uri="{3e2802c4-a4d2-4d8b-9148-e3be6c30e623}">
          <xlrd:rvb i="18553"/>
        </ext>
      </extLst>
    </bk>
    <bk>
      <extLst>
        <ext uri="{3e2802c4-a4d2-4d8b-9148-e3be6c30e623}">
          <xlrd:rvb i="18554"/>
        </ext>
      </extLst>
    </bk>
    <bk>
      <extLst>
        <ext uri="{3e2802c4-a4d2-4d8b-9148-e3be6c30e623}">
          <xlrd:rvb i="18555"/>
        </ext>
      </extLst>
    </bk>
    <bk>
      <extLst>
        <ext uri="{3e2802c4-a4d2-4d8b-9148-e3be6c30e623}">
          <xlrd:rvb i="18556"/>
        </ext>
      </extLst>
    </bk>
    <bk>
      <extLst>
        <ext uri="{3e2802c4-a4d2-4d8b-9148-e3be6c30e623}">
          <xlrd:rvb i="18557"/>
        </ext>
      </extLst>
    </bk>
    <bk>
      <extLst>
        <ext uri="{3e2802c4-a4d2-4d8b-9148-e3be6c30e623}">
          <xlrd:rvb i="18558"/>
        </ext>
      </extLst>
    </bk>
    <bk>
      <extLst>
        <ext uri="{3e2802c4-a4d2-4d8b-9148-e3be6c30e623}">
          <xlrd:rvb i="18559"/>
        </ext>
      </extLst>
    </bk>
    <bk>
      <extLst>
        <ext uri="{3e2802c4-a4d2-4d8b-9148-e3be6c30e623}">
          <xlrd:rvb i="18560"/>
        </ext>
      </extLst>
    </bk>
    <bk>
      <extLst>
        <ext uri="{3e2802c4-a4d2-4d8b-9148-e3be6c30e623}">
          <xlrd:rvb i="18561"/>
        </ext>
      </extLst>
    </bk>
    <bk>
      <extLst>
        <ext uri="{3e2802c4-a4d2-4d8b-9148-e3be6c30e623}">
          <xlrd:rvb i="18562"/>
        </ext>
      </extLst>
    </bk>
    <bk>
      <extLst>
        <ext uri="{3e2802c4-a4d2-4d8b-9148-e3be6c30e623}">
          <xlrd:rvb i="18563"/>
        </ext>
      </extLst>
    </bk>
    <bk>
      <extLst>
        <ext uri="{3e2802c4-a4d2-4d8b-9148-e3be6c30e623}">
          <xlrd:rvb i="18564"/>
        </ext>
      </extLst>
    </bk>
    <bk>
      <extLst>
        <ext uri="{3e2802c4-a4d2-4d8b-9148-e3be6c30e623}">
          <xlrd:rvb i="18565"/>
        </ext>
      </extLst>
    </bk>
    <bk>
      <extLst>
        <ext uri="{3e2802c4-a4d2-4d8b-9148-e3be6c30e623}">
          <xlrd:rvb i="18566"/>
        </ext>
      </extLst>
    </bk>
    <bk>
      <extLst>
        <ext uri="{3e2802c4-a4d2-4d8b-9148-e3be6c30e623}">
          <xlrd:rvb i="18567"/>
        </ext>
      </extLst>
    </bk>
    <bk>
      <extLst>
        <ext uri="{3e2802c4-a4d2-4d8b-9148-e3be6c30e623}">
          <xlrd:rvb i="18568"/>
        </ext>
      </extLst>
    </bk>
    <bk>
      <extLst>
        <ext uri="{3e2802c4-a4d2-4d8b-9148-e3be6c30e623}">
          <xlrd:rvb i="18569"/>
        </ext>
      </extLst>
    </bk>
    <bk>
      <extLst>
        <ext uri="{3e2802c4-a4d2-4d8b-9148-e3be6c30e623}">
          <xlrd:rvb i="18570"/>
        </ext>
      </extLst>
    </bk>
    <bk>
      <extLst>
        <ext uri="{3e2802c4-a4d2-4d8b-9148-e3be6c30e623}">
          <xlrd:rvb i="18571"/>
        </ext>
      </extLst>
    </bk>
    <bk>
      <extLst>
        <ext uri="{3e2802c4-a4d2-4d8b-9148-e3be6c30e623}">
          <xlrd:rvb i="18572"/>
        </ext>
      </extLst>
    </bk>
    <bk>
      <extLst>
        <ext uri="{3e2802c4-a4d2-4d8b-9148-e3be6c30e623}">
          <xlrd:rvb i="18573"/>
        </ext>
      </extLst>
    </bk>
    <bk>
      <extLst>
        <ext uri="{3e2802c4-a4d2-4d8b-9148-e3be6c30e623}">
          <xlrd:rvb i="18574"/>
        </ext>
      </extLst>
    </bk>
    <bk>
      <extLst>
        <ext uri="{3e2802c4-a4d2-4d8b-9148-e3be6c30e623}">
          <xlrd:rvb i="18575"/>
        </ext>
      </extLst>
    </bk>
    <bk>
      <extLst>
        <ext uri="{3e2802c4-a4d2-4d8b-9148-e3be6c30e623}">
          <xlrd:rvb i="18576"/>
        </ext>
      </extLst>
    </bk>
    <bk>
      <extLst>
        <ext uri="{3e2802c4-a4d2-4d8b-9148-e3be6c30e623}">
          <xlrd:rvb i="18577"/>
        </ext>
      </extLst>
    </bk>
    <bk>
      <extLst>
        <ext uri="{3e2802c4-a4d2-4d8b-9148-e3be6c30e623}">
          <xlrd:rvb i="18578"/>
        </ext>
      </extLst>
    </bk>
    <bk>
      <extLst>
        <ext uri="{3e2802c4-a4d2-4d8b-9148-e3be6c30e623}">
          <xlrd:rvb i="18579"/>
        </ext>
      </extLst>
    </bk>
    <bk>
      <extLst>
        <ext uri="{3e2802c4-a4d2-4d8b-9148-e3be6c30e623}">
          <xlrd:rvb i="18580"/>
        </ext>
      </extLst>
    </bk>
    <bk>
      <extLst>
        <ext uri="{3e2802c4-a4d2-4d8b-9148-e3be6c30e623}">
          <xlrd:rvb i="18581"/>
        </ext>
      </extLst>
    </bk>
    <bk>
      <extLst>
        <ext uri="{3e2802c4-a4d2-4d8b-9148-e3be6c30e623}">
          <xlrd:rvb i="18582"/>
        </ext>
      </extLst>
    </bk>
    <bk>
      <extLst>
        <ext uri="{3e2802c4-a4d2-4d8b-9148-e3be6c30e623}">
          <xlrd:rvb i="18583"/>
        </ext>
      </extLst>
    </bk>
    <bk>
      <extLst>
        <ext uri="{3e2802c4-a4d2-4d8b-9148-e3be6c30e623}">
          <xlrd:rvb i="18584"/>
        </ext>
      </extLst>
    </bk>
    <bk>
      <extLst>
        <ext uri="{3e2802c4-a4d2-4d8b-9148-e3be6c30e623}">
          <xlrd:rvb i="18585"/>
        </ext>
      </extLst>
    </bk>
    <bk>
      <extLst>
        <ext uri="{3e2802c4-a4d2-4d8b-9148-e3be6c30e623}">
          <xlrd:rvb i="18586"/>
        </ext>
      </extLst>
    </bk>
    <bk>
      <extLst>
        <ext uri="{3e2802c4-a4d2-4d8b-9148-e3be6c30e623}">
          <xlrd:rvb i="18587"/>
        </ext>
      </extLst>
    </bk>
    <bk>
      <extLst>
        <ext uri="{3e2802c4-a4d2-4d8b-9148-e3be6c30e623}">
          <xlrd:rvb i="18588"/>
        </ext>
      </extLst>
    </bk>
    <bk>
      <extLst>
        <ext uri="{3e2802c4-a4d2-4d8b-9148-e3be6c30e623}">
          <xlrd:rvb i="18589"/>
        </ext>
      </extLst>
    </bk>
    <bk>
      <extLst>
        <ext uri="{3e2802c4-a4d2-4d8b-9148-e3be6c30e623}">
          <xlrd:rvb i="18590"/>
        </ext>
      </extLst>
    </bk>
    <bk>
      <extLst>
        <ext uri="{3e2802c4-a4d2-4d8b-9148-e3be6c30e623}">
          <xlrd:rvb i="18591"/>
        </ext>
      </extLst>
    </bk>
    <bk>
      <extLst>
        <ext uri="{3e2802c4-a4d2-4d8b-9148-e3be6c30e623}">
          <xlrd:rvb i="18592"/>
        </ext>
      </extLst>
    </bk>
    <bk>
      <extLst>
        <ext uri="{3e2802c4-a4d2-4d8b-9148-e3be6c30e623}">
          <xlrd:rvb i="18593"/>
        </ext>
      </extLst>
    </bk>
    <bk>
      <extLst>
        <ext uri="{3e2802c4-a4d2-4d8b-9148-e3be6c30e623}">
          <xlrd:rvb i="18594"/>
        </ext>
      </extLst>
    </bk>
    <bk>
      <extLst>
        <ext uri="{3e2802c4-a4d2-4d8b-9148-e3be6c30e623}">
          <xlrd:rvb i="18595"/>
        </ext>
      </extLst>
    </bk>
    <bk>
      <extLst>
        <ext uri="{3e2802c4-a4d2-4d8b-9148-e3be6c30e623}">
          <xlrd:rvb i="18596"/>
        </ext>
      </extLst>
    </bk>
    <bk>
      <extLst>
        <ext uri="{3e2802c4-a4d2-4d8b-9148-e3be6c30e623}">
          <xlrd:rvb i="18597"/>
        </ext>
      </extLst>
    </bk>
    <bk>
      <extLst>
        <ext uri="{3e2802c4-a4d2-4d8b-9148-e3be6c30e623}">
          <xlrd:rvb i="18598"/>
        </ext>
      </extLst>
    </bk>
    <bk>
      <extLst>
        <ext uri="{3e2802c4-a4d2-4d8b-9148-e3be6c30e623}">
          <xlrd:rvb i="18599"/>
        </ext>
      </extLst>
    </bk>
    <bk>
      <extLst>
        <ext uri="{3e2802c4-a4d2-4d8b-9148-e3be6c30e623}">
          <xlrd:rvb i="18600"/>
        </ext>
      </extLst>
    </bk>
    <bk>
      <extLst>
        <ext uri="{3e2802c4-a4d2-4d8b-9148-e3be6c30e623}">
          <xlrd:rvb i="18601"/>
        </ext>
      </extLst>
    </bk>
    <bk>
      <extLst>
        <ext uri="{3e2802c4-a4d2-4d8b-9148-e3be6c30e623}">
          <xlrd:rvb i="18602"/>
        </ext>
      </extLst>
    </bk>
    <bk>
      <extLst>
        <ext uri="{3e2802c4-a4d2-4d8b-9148-e3be6c30e623}">
          <xlrd:rvb i="18603"/>
        </ext>
      </extLst>
    </bk>
    <bk>
      <extLst>
        <ext uri="{3e2802c4-a4d2-4d8b-9148-e3be6c30e623}">
          <xlrd:rvb i="18604"/>
        </ext>
      </extLst>
    </bk>
    <bk>
      <extLst>
        <ext uri="{3e2802c4-a4d2-4d8b-9148-e3be6c30e623}">
          <xlrd:rvb i="18605"/>
        </ext>
      </extLst>
    </bk>
    <bk>
      <extLst>
        <ext uri="{3e2802c4-a4d2-4d8b-9148-e3be6c30e623}">
          <xlrd:rvb i="18606"/>
        </ext>
      </extLst>
    </bk>
    <bk>
      <extLst>
        <ext uri="{3e2802c4-a4d2-4d8b-9148-e3be6c30e623}">
          <xlrd:rvb i="18607"/>
        </ext>
      </extLst>
    </bk>
    <bk>
      <extLst>
        <ext uri="{3e2802c4-a4d2-4d8b-9148-e3be6c30e623}">
          <xlrd:rvb i="18608"/>
        </ext>
      </extLst>
    </bk>
    <bk>
      <extLst>
        <ext uri="{3e2802c4-a4d2-4d8b-9148-e3be6c30e623}">
          <xlrd:rvb i="18609"/>
        </ext>
      </extLst>
    </bk>
    <bk>
      <extLst>
        <ext uri="{3e2802c4-a4d2-4d8b-9148-e3be6c30e623}">
          <xlrd:rvb i="18610"/>
        </ext>
      </extLst>
    </bk>
    <bk>
      <extLst>
        <ext uri="{3e2802c4-a4d2-4d8b-9148-e3be6c30e623}">
          <xlrd:rvb i="18611"/>
        </ext>
      </extLst>
    </bk>
    <bk>
      <extLst>
        <ext uri="{3e2802c4-a4d2-4d8b-9148-e3be6c30e623}">
          <xlrd:rvb i="18612"/>
        </ext>
      </extLst>
    </bk>
    <bk>
      <extLst>
        <ext uri="{3e2802c4-a4d2-4d8b-9148-e3be6c30e623}">
          <xlrd:rvb i="18613"/>
        </ext>
      </extLst>
    </bk>
    <bk>
      <extLst>
        <ext uri="{3e2802c4-a4d2-4d8b-9148-e3be6c30e623}">
          <xlrd:rvb i="18614"/>
        </ext>
      </extLst>
    </bk>
    <bk>
      <extLst>
        <ext uri="{3e2802c4-a4d2-4d8b-9148-e3be6c30e623}">
          <xlrd:rvb i="18615"/>
        </ext>
      </extLst>
    </bk>
    <bk>
      <extLst>
        <ext uri="{3e2802c4-a4d2-4d8b-9148-e3be6c30e623}">
          <xlrd:rvb i="18616"/>
        </ext>
      </extLst>
    </bk>
    <bk>
      <extLst>
        <ext uri="{3e2802c4-a4d2-4d8b-9148-e3be6c30e623}">
          <xlrd:rvb i="18617"/>
        </ext>
      </extLst>
    </bk>
    <bk>
      <extLst>
        <ext uri="{3e2802c4-a4d2-4d8b-9148-e3be6c30e623}">
          <xlrd:rvb i="18618"/>
        </ext>
      </extLst>
    </bk>
    <bk>
      <extLst>
        <ext uri="{3e2802c4-a4d2-4d8b-9148-e3be6c30e623}">
          <xlrd:rvb i="18619"/>
        </ext>
      </extLst>
    </bk>
    <bk>
      <extLst>
        <ext uri="{3e2802c4-a4d2-4d8b-9148-e3be6c30e623}">
          <xlrd:rvb i="18620"/>
        </ext>
      </extLst>
    </bk>
    <bk>
      <extLst>
        <ext uri="{3e2802c4-a4d2-4d8b-9148-e3be6c30e623}">
          <xlrd:rvb i="18621"/>
        </ext>
      </extLst>
    </bk>
    <bk>
      <extLst>
        <ext uri="{3e2802c4-a4d2-4d8b-9148-e3be6c30e623}">
          <xlrd:rvb i="18622"/>
        </ext>
      </extLst>
    </bk>
    <bk>
      <extLst>
        <ext uri="{3e2802c4-a4d2-4d8b-9148-e3be6c30e623}">
          <xlrd:rvb i="18623"/>
        </ext>
      </extLst>
    </bk>
    <bk>
      <extLst>
        <ext uri="{3e2802c4-a4d2-4d8b-9148-e3be6c30e623}">
          <xlrd:rvb i="18624"/>
        </ext>
      </extLst>
    </bk>
    <bk>
      <extLst>
        <ext uri="{3e2802c4-a4d2-4d8b-9148-e3be6c30e623}">
          <xlrd:rvb i="18625"/>
        </ext>
      </extLst>
    </bk>
    <bk>
      <extLst>
        <ext uri="{3e2802c4-a4d2-4d8b-9148-e3be6c30e623}">
          <xlrd:rvb i="18626"/>
        </ext>
      </extLst>
    </bk>
    <bk>
      <extLst>
        <ext uri="{3e2802c4-a4d2-4d8b-9148-e3be6c30e623}">
          <xlrd:rvb i="18627"/>
        </ext>
      </extLst>
    </bk>
    <bk>
      <extLst>
        <ext uri="{3e2802c4-a4d2-4d8b-9148-e3be6c30e623}">
          <xlrd:rvb i="18628"/>
        </ext>
      </extLst>
    </bk>
    <bk>
      <extLst>
        <ext uri="{3e2802c4-a4d2-4d8b-9148-e3be6c30e623}">
          <xlrd:rvb i="18629"/>
        </ext>
      </extLst>
    </bk>
    <bk>
      <extLst>
        <ext uri="{3e2802c4-a4d2-4d8b-9148-e3be6c30e623}">
          <xlrd:rvb i="18630"/>
        </ext>
      </extLst>
    </bk>
    <bk>
      <extLst>
        <ext uri="{3e2802c4-a4d2-4d8b-9148-e3be6c30e623}">
          <xlrd:rvb i="18631"/>
        </ext>
      </extLst>
    </bk>
    <bk>
      <extLst>
        <ext uri="{3e2802c4-a4d2-4d8b-9148-e3be6c30e623}">
          <xlrd:rvb i="18632"/>
        </ext>
      </extLst>
    </bk>
    <bk>
      <extLst>
        <ext uri="{3e2802c4-a4d2-4d8b-9148-e3be6c30e623}">
          <xlrd:rvb i="18633"/>
        </ext>
      </extLst>
    </bk>
    <bk>
      <extLst>
        <ext uri="{3e2802c4-a4d2-4d8b-9148-e3be6c30e623}">
          <xlrd:rvb i="18634"/>
        </ext>
      </extLst>
    </bk>
    <bk>
      <extLst>
        <ext uri="{3e2802c4-a4d2-4d8b-9148-e3be6c30e623}">
          <xlrd:rvb i="18635"/>
        </ext>
      </extLst>
    </bk>
    <bk>
      <extLst>
        <ext uri="{3e2802c4-a4d2-4d8b-9148-e3be6c30e623}">
          <xlrd:rvb i="18636"/>
        </ext>
      </extLst>
    </bk>
    <bk>
      <extLst>
        <ext uri="{3e2802c4-a4d2-4d8b-9148-e3be6c30e623}">
          <xlrd:rvb i="18637"/>
        </ext>
      </extLst>
    </bk>
    <bk>
      <extLst>
        <ext uri="{3e2802c4-a4d2-4d8b-9148-e3be6c30e623}">
          <xlrd:rvb i="18638"/>
        </ext>
      </extLst>
    </bk>
    <bk>
      <extLst>
        <ext uri="{3e2802c4-a4d2-4d8b-9148-e3be6c30e623}">
          <xlrd:rvb i="18639"/>
        </ext>
      </extLst>
    </bk>
    <bk>
      <extLst>
        <ext uri="{3e2802c4-a4d2-4d8b-9148-e3be6c30e623}">
          <xlrd:rvb i="18640"/>
        </ext>
      </extLst>
    </bk>
    <bk>
      <extLst>
        <ext uri="{3e2802c4-a4d2-4d8b-9148-e3be6c30e623}">
          <xlrd:rvb i="18641"/>
        </ext>
      </extLst>
    </bk>
    <bk>
      <extLst>
        <ext uri="{3e2802c4-a4d2-4d8b-9148-e3be6c30e623}">
          <xlrd:rvb i="18642"/>
        </ext>
      </extLst>
    </bk>
    <bk>
      <extLst>
        <ext uri="{3e2802c4-a4d2-4d8b-9148-e3be6c30e623}">
          <xlrd:rvb i="18643"/>
        </ext>
      </extLst>
    </bk>
    <bk>
      <extLst>
        <ext uri="{3e2802c4-a4d2-4d8b-9148-e3be6c30e623}">
          <xlrd:rvb i="18644"/>
        </ext>
      </extLst>
    </bk>
    <bk>
      <extLst>
        <ext uri="{3e2802c4-a4d2-4d8b-9148-e3be6c30e623}">
          <xlrd:rvb i="18645"/>
        </ext>
      </extLst>
    </bk>
    <bk>
      <extLst>
        <ext uri="{3e2802c4-a4d2-4d8b-9148-e3be6c30e623}">
          <xlrd:rvb i="18646"/>
        </ext>
      </extLst>
    </bk>
    <bk>
      <extLst>
        <ext uri="{3e2802c4-a4d2-4d8b-9148-e3be6c30e623}">
          <xlrd:rvb i="18647"/>
        </ext>
      </extLst>
    </bk>
    <bk>
      <extLst>
        <ext uri="{3e2802c4-a4d2-4d8b-9148-e3be6c30e623}">
          <xlrd:rvb i="18648"/>
        </ext>
      </extLst>
    </bk>
    <bk>
      <extLst>
        <ext uri="{3e2802c4-a4d2-4d8b-9148-e3be6c30e623}">
          <xlrd:rvb i="18649"/>
        </ext>
      </extLst>
    </bk>
    <bk>
      <extLst>
        <ext uri="{3e2802c4-a4d2-4d8b-9148-e3be6c30e623}">
          <xlrd:rvb i="18650"/>
        </ext>
      </extLst>
    </bk>
    <bk>
      <extLst>
        <ext uri="{3e2802c4-a4d2-4d8b-9148-e3be6c30e623}">
          <xlrd:rvb i="18651"/>
        </ext>
      </extLst>
    </bk>
    <bk>
      <extLst>
        <ext uri="{3e2802c4-a4d2-4d8b-9148-e3be6c30e623}">
          <xlrd:rvb i="18652"/>
        </ext>
      </extLst>
    </bk>
    <bk>
      <extLst>
        <ext uri="{3e2802c4-a4d2-4d8b-9148-e3be6c30e623}">
          <xlrd:rvb i="18653"/>
        </ext>
      </extLst>
    </bk>
    <bk>
      <extLst>
        <ext uri="{3e2802c4-a4d2-4d8b-9148-e3be6c30e623}">
          <xlrd:rvb i="18654"/>
        </ext>
      </extLst>
    </bk>
    <bk>
      <extLst>
        <ext uri="{3e2802c4-a4d2-4d8b-9148-e3be6c30e623}">
          <xlrd:rvb i="18655"/>
        </ext>
      </extLst>
    </bk>
    <bk>
      <extLst>
        <ext uri="{3e2802c4-a4d2-4d8b-9148-e3be6c30e623}">
          <xlrd:rvb i="18656"/>
        </ext>
      </extLst>
    </bk>
    <bk>
      <extLst>
        <ext uri="{3e2802c4-a4d2-4d8b-9148-e3be6c30e623}">
          <xlrd:rvb i="18657"/>
        </ext>
      </extLst>
    </bk>
    <bk>
      <extLst>
        <ext uri="{3e2802c4-a4d2-4d8b-9148-e3be6c30e623}">
          <xlrd:rvb i="18658"/>
        </ext>
      </extLst>
    </bk>
    <bk>
      <extLst>
        <ext uri="{3e2802c4-a4d2-4d8b-9148-e3be6c30e623}">
          <xlrd:rvb i="18659"/>
        </ext>
      </extLst>
    </bk>
    <bk>
      <extLst>
        <ext uri="{3e2802c4-a4d2-4d8b-9148-e3be6c30e623}">
          <xlrd:rvb i="18660"/>
        </ext>
      </extLst>
    </bk>
    <bk>
      <extLst>
        <ext uri="{3e2802c4-a4d2-4d8b-9148-e3be6c30e623}">
          <xlrd:rvb i="18661"/>
        </ext>
      </extLst>
    </bk>
    <bk>
      <extLst>
        <ext uri="{3e2802c4-a4d2-4d8b-9148-e3be6c30e623}">
          <xlrd:rvb i="18662"/>
        </ext>
      </extLst>
    </bk>
    <bk>
      <extLst>
        <ext uri="{3e2802c4-a4d2-4d8b-9148-e3be6c30e623}">
          <xlrd:rvb i="18663"/>
        </ext>
      </extLst>
    </bk>
    <bk>
      <extLst>
        <ext uri="{3e2802c4-a4d2-4d8b-9148-e3be6c30e623}">
          <xlrd:rvb i="18664"/>
        </ext>
      </extLst>
    </bk>
    <bk>
      <extLst>
        <ext uri="{3e2802c4-a4d2-4d8b-9148-e3be6c30e623}">
          <xlrd:rvb i="18665"/>
        </ext>
      </extLst>
    </bk>
    <bk>
      <extLst>
        <ext uri="{3e2802c4-a4d2-4d8b-9148-e3be6c30e623}">
          <xlrd:rvb i="18666"/>
        </ext>
      </extLst>
    </bk>
    <bk>
      <extLst>
        <ext uri="{3e2802c4-a4d2-4d8b-9148-e3be6c30e623}">
          <xlrd:rvb i="18667"/>
        </ext>
      </extLst>
    </bk>
    <bk>
      <extLst>
        <ext uri="{3e2802c4-a4d2-4d8b-9148-e3be6c30e623}">
          <xlrd:rvb i="18668"/>
        </ext>
      </extLst>
    </bk>
    <bk>
      <extLst>
        <ext uri="{3e2802c4-a4d2-4d8b-9148-e3be6c30e623}">
          <xlrd:rvb i="18669"/>
        </ext>
      </extLst>
    </bk>
    <bk>
      <extLst>
        <ext uri="{3e2802c4-a4d2-4d8b-9148-e3be6c30e623}">
          <xlrd:rvb i="18670"/>
        </ext>
      </extLst>
    </bk>
    <bk>
      <extLst>
        <ext uri="{3e2802c4-a4d2-4d8b-9148-e3be6c30e623}">
          <xlrd:rvb i="18671"/>
        </ext>
      </extLst>
    </bk>
    <bk>
      <extLst>
        <ext uri="{3e2802c4-a4d2-4d8b-9148-e3be6c30e623}">
          <xlrd:rvb i="18672"/>
        </ext>
      </extLst>
    </bk>
    <bk>
      <extLst>
        <ext uri="{3e2802c4-a4d2-4d8b-9148-e3be6c30e623}">
          <xlrd:rvb i="18673"/>
        </ext>
      </extLst>
    </bk>
    <bk>
      <extLst>
        <ext uri="{3e2802c4-a4d2-4d8b-9148-e3be6c30e623}">
          <xlrd:rvb i="18674"/>
        </ext>
      </extLst>
    </bk>
    <bk>
      <extLst>
        <ext uri="{3e2802c4-a4d2-4d8b-9148-e3be6c30e623}">
          <xlrd:rvb i="18675"/>
        </ext>
      </extLst>
    </bk>
    <bk>
      <extLst>
        <ext uri="{3e2802c4-a4d2-4d8b-9148-e3be6c30e623}">
          <xlrd:rvb i="18676"/>
        </ext>
      </extLst>
    </bk>
    <bk>
      <extLst>
        <ext uri="{3e2802c4-a4d2-4d8b-9148-e3be6c30e623}">
          <xlrd:rvb i="18677"/>
        </ext>
      </extLst>
    </bk>
    <bk>
      <extLst>
        <ext uri="{3e2802c4-a4d2-4d8b-9148-e3be6c30e623}">
          <xlrd:rvb i="18678"/>
        </ext>
      </extLst>
    </bk>
    <bk>
      <extLst>
        <ext uri="{3e2802c4-a4d2-4d8b-9148-e3be6c30e623}">
          <xlrd:rvb i="18679"/>
        </ext>
      </extLst>
    </bk>
    <bk>
      <extLst>
        <ext uri="{3e2802c4-a4d2-4d8b-9148-e3be6c30e623}">
          <xlrd:rvb i="18680"/>
        </ext>
      </extLst>
    </bk>
    <bk>
      <extLst>
        <ext uri="{3e2802c4-a4d2-4d8b-9148-e3be6c30e623}">
          <xlrd:rvb i="18681"/>
        </ext>
      </extLst>
    </bk>
    <bk>
      <extLst>
        <ext uri="{3e2802c4-a4d2-4d8b-9148-e3be6c30e623}">
          <xlrd:rvb i="18682"/>
        </ext>
      </extLst>
    </bk>
    <bk>
      <extLst>
        <ext uri="{3e2802c4-a4d2-4d8b-9148-e3be6c30e623}">
          <xlrd:rvb i="18683"/>
        </ext>
      </extLst>
    </bk>
    <bk>
      <extLst>
        <ext uri="{3e2802c4-a4d2-4d8b-9148-e3be6c30e623}">
          <xlrd:rvb i="18684"/>
        </ext>
      </extLst>
    </bk>
    <bk>
      <extLst>
        <ext uri="{3e2802c4-a4d2-4d8b-9148-e3be6c30e623}">
          <xlrd:rvb i="18685"/>
        </ext>
      </extLst>
    </bk>
    <bk>
      <extLst>
        <ext uri="{3e2802c4-a4d2-4d8b-9148-e3be6c30e623}">
          <xlrd:rvb i="18686"/>
        </ext>
      </extLst>
    </bk>
    <bk>
      <extLst>
        <ext uri="{3e2802c4-a4d2-4d8b-9148-e3be6c30e623}">
          <xlrd:rvb i="18687"/>
        </ext>
      </extLst>
    </bk>
    <bk>
      <extLst>
        <ext uri="{3e2802c4-a4d2-4d8b-9148-e3be6c30e623}">
          <xlrd:rvb i="18688"/>
        </ext>
      </extLst>
    </bk>
    <bk>
      <extLst>
        <ext uri="{3e2802c4-a4d2-4d8b-9148-e3be6c30e623}">
          <xlrd:rvb i="18689"/>
        </ext>
      </extLst>
    </bk>
    <bk>
      <extLst>
        <ext uri="{3e2802c4-a4d2-4d8b-9148-e3be6c30e623}">
          <xlrd:rvb i="18690"/>
        </ext>
      </extLst>
    </bk>
    <bk>
      <extLst>
        <ext uri="{3e2802c4-a4d2-4d8b-9148-e3be6c30e623}">
          <xlrd:rvb i="18691"/>
        </ext>
      </extLst>
    </bk>
    <bk>
      <extLst>
        <ext uri="{3e2802c4-a4d2-4d8b-9148-e3be6c30e623}">
          <xlrd:rvb i="18692"/>
        </ext>
      </extLst>
    </bk>
    <bk>
      <extLst>
        <ext uri="{3e2802c4-a4d2-4d8b-9148-e3be6c30e623}">
          <xlrd:rvb i="18693"/>
        </ext>
      </extLst>
    </bk>
    <bk>
      <extLst>
        <ext uri="{3e2802c4-a4d2-4d8b-9148-e3be6c30e623}">
          <xlrd:rvb i="18694"/>
        </ext>
      </extLst>
    </bk>
    <bk>
      <extLst>
        <ext uri="{3e2802c4-a4d2-4d8b-9148-e3be6c30e623}">
          <xlrd:rvb i="18695"/>
        </ext>
      </extLst>
    </bk>
    <bk>
      <extLst>
        <ext uri="{3e2802c4-a4d2-4d8b-9148-e3be6c30e623}">
          <xlrd:rvb i="18696"/>
        </ext>
      </extLst>
    </bk>
    <bk>
      <extLst>
        <ext uri="{3e2802c4-a4d2-4d8b-9148-e3be6c30e623}">
          <xlrd:rvb i="18697"/>
        </ext>
      </extLst>
    </bk>
    <bk>
      <extLst>
        <ext uri="{3e2802c4-a4d2-4d8b-9148-e3be6c30e623}">
          <xlrd:rvb i="18698"/>
        </ext>
      </extLst>
    </bk>
    <bk>
      <extLst>
        <ext uri="{3e2802c4-a4d2-4d8b-9148-e3be6c30e623}">
          <xlrd:rvb i="18699"/>
        </ext>
      </extLst>
    </bk>
    <bk>
      <extLst>
        <ext uri="{3e2802c4-a4d2-4d8b-9148-e3be6c30e623}">
          <xlrd:rvb i="18700"/>
        </ext>
      </extLst>
    </bk>
    <bk>
      <extLst>
        <ext uri="{3e2802c4-a4d2-4d8b-9148-e3be6c30e623}">
          <xlrd:rvb i="18701"/>
        </ext>
      </extLst>
    </bk>
    <bk>
      <extLst>
        <ext uri="{3e2802c4-a4d2-4d8b-9148-e3be6c30e623}">
          <xlrd:rvb i="18702"/>
        </ext>
      </extLst>
    </bk>
    <bk>
      <extLst>
        <ext uri="{3e2802c4-a4d2-4d8b-9148-e3be6c30e623}">
          <xlrd:rvb i="18703"/>
        </ext>
      </extLst>
    </bk>
    <bk>
      <extLst>
        <ext uri="{3e2802c4-a4d2-4d8b-9148-e3be6c30e623}">
          <xlrd:rvb i="18704"/>
        </ext>
      </extLst>
    </bk>
    <bk>
      <extLst>
        <ext uri="{3e2802c4-a4d2-4d8b-9148-e3be6c30e623}">
          <xlrd:rvb i="18705"/>
        </ext>
      </extLst>
    </bk>
    <bk>
      <extLst>
        <ext uri="{3e2802c4-a4d2-4d8b-9148-e3be6c30e623}">
          <xlrd:rvb i="18706"/>
        </ext>
      </extLst>
    </bk>
    <bk>
      <extLst>
        <ext uri="{3e2802c4-a4d2-4d8b-9148-e3be6c30e623}">
          <xlrd:rvb i="18707"/>
        </ext>
      </extLst>
    </bk>
    <bk>
      <extLst>
        <ext uri="{3e2802c4-a4d2-4d8b-9148-e3be6c30e623}">
          <xlrd:rvb i="18708"/>
        </ext>
      </extLst>
    </bk>
    <bk>
      <extLst>
        <ext uri="{3e2802c4-a4d2-4d8b-9148-e3be6c30e623}">
          <xlrd:rvb i="18709"/>
        </ext>
      </extLst>
    </bk>
    <bk>
      <extLst>
        <ext uri="{3e2802c4-a4d2-4d8b-9148-e3be6c30e623}">
          <xlrd:rvb i="18710"/>
        </ext>
      </extLst>
    </bk>
    <bk>
      <extLst>
        <ext uri="{3e2802c4-a4d2-4d8b-9148-e3be6c30e623}">
          <xlrd:rvb i="18711"/>
        </ext>
      </extLst>
    </bk>
    <bk>
      <extLst>
        <ext uri="{3e2802c4-a4d2-4d8b-9148-e3be6c30e623}">
          <xlrd:rvb i="18712"/>
        </ext>
      </extLst>
    </bk>
    <bk>
      <extLst>
        <ext uri="{3e2802c4-a4d2-4d8b-9148-e3be6c30e623}">
          <xlrd:rvb i="18713"/>
        </ext>
      </extLst>
    </bk>
    <bk>
      <extLst>
        <ext uri="{3e2802c4-a4d2-4d8b-9148-e3be6c30e623}">
          <xlrd:rvb i="18714"/>
        </ext>
      </extLst>
    </bk>
    <bk>
      <extLst>
        <ext uri="{3e2802c4-a4d2-4d8b-9148-e3be6c30e623}">
          <xlrd:rvb i="18715"/>
        </ext>
      </extLst>
    </bk>
    <bk>
      <extLst>
        <ext uri="{3e2802c4-a4d2-4d8b-9148-e3be6c30e623}">
          <xlrd:rvb i="18716"/>
        </ext>
      </extLst>
    </bk>
    <bk>
      <extLst>
        <ext uri="{3e2802c4-a4d2-4d8b-9148-e3be6c30e623}">
          <xlrd:rvb i="18717"/>
        </ext>
      </extLst>
    </bk>
    <bk>
      <extLst>
        <ext uri="{3e2802c4-a4d2-4d8b-9148-e3be6c30e623}">
          <xlrd:rvb i="18718"/>
        </ext>
      </extLst>
    </bk>
    <bk>
      <extLst>
        <ext uri="{3e2802c4-a4d2-4d8b-9148-e3be6c30e623}">
          <xlrd:rvb i="18719"/>
        </ext>
      </extLst>
    </bk>
    <bk>
      <extLst>
        <ext uri="{3e2802c4-a4d2-4d8b-9148-e3be6c30e623}">
          <xlrd:rvb i="18720"/>
        </ext>
      </extLst>
    </bk>
    <bk>
      <extLst>
        <ext uri="{3e2802c4-a4d2-4d8b-9148-e3be6c30e623}">
          <xlrd:rvb i="18721"/>
        </ext>
      </extLst>
    </bk>
    <bk>
      <extLst>
        <ext uri="{3e2802c4-a4d2-4d8b-9148-e3be6c30e623}">
          <xlrd:rvb i="18722"/>
        </ext>
      </extLst>
    </bk>
    <bk>
      <extLst>
        <ext uri="{3e2802c4-a4d2-4d8b-9148-e3be6c30e623}">
          <xlrd:rvb i="18723"/>
        </ext>
      </extLst>
    </bk>
    <bk>
      <extLst>
        <ext uri="{3e2802c4-a4d2-4d8b-9148-e3be6c30e623}">
          <xlrd:rvb i="18724"/>
        </ext>
      </extLst>
    </bk>
    <bk>
      <extLst>
        <ext uri="{3e2802c4-a4d2-4d8b-9148-e3be6c30e623}">
          <xlrd:rvb i="18725"/>
        </ext>
      </extLst>
    </bk>
    <bk>
      <extLst>
        <ext uri="{3e2802c4-a4d2-4d8b-9148-e3be6c30e623}">
          <xlrd:rvb i="18726"/>
        </ext>
      </extLst>
    </bk>
    <bk>
      <extLst>
        <ext uri="{3e2802c4-a4d2-4d8b-9148-e3be6c30e623}">
          <xlrd:rvb i="18727"/>
        </ext>
      </extLst>
    </bk>
    <bk>
      <extLst>
        <ext uri="{3e2802c4-a4d2-4d8b-9148-e3be6c30e623}">
          <xlrd:rvb i="18728"/>
        </ext>
      </extLst>
    </bk>
    <bk>
      <extLst>
        <ext uri="{3e2802c4-a4d2-4d8b-9148-e3be6c30e623}">
          <xlrd:rvb i="18729"/>
        </ext>
      </extLst>
    </bk>
    <bk>
      <extLst>
        <ext uri="{3e2802c4-a4d2-4d8b-9148-e3be6c30e623}">
          <xlrd:rvb i="18730"/>
        </ext>
      </extLst>
    </bk>
    <bk>
      <extLst>
        <ext uri="{3e2802c4-a4d2-4d8b-9148-e3be6c30e623}">
          <xlrd:rvb i="18731"/>
        </ext>
      </extLst>
    </bk>
    <bk>
      <extLst>
        <ext uri="{3e2802c4-a4d2-4d8b-9148-e3be6c30e623}">
          <xlrd:rvb i="18732"/>
        </ext>
      </extLst>
    </bk>
    <bk>
      <extLst>
        <ext uri="{3e2802c4-a4d2-4d8b-9148-e3be6c30e623}">
          <xlrd:rvb i="18733"/>
        </ext>
      </extLst>
    </bk>
    <bk>
      <extLst>
        <ext uri="{3e2802c4-a4d2-4d8b-9148-e3be6c30e623}">
          <xlrd:rvb i="18734"/>
        </ext>
      </extLst>
    </bk>
    <bk>
      <extLst>
        <ext uri="{3e2802c4-a4d2-4d8b-9148-e3be6c30e623}">
          <xlrd:rvb i="18735"/>
        </ext>
      </extLst>
    </bk>
    <bk>
      <extLst>
        <ext uri="{3e2802c4-a4d2-4d8b-9148-e3be6c30e623}">
          <xlrd:rvb i="18736"/>
        </ext>
      </extLst>
    </bk>
    <bk>
      <extLst>
        <ext uri="{3e2802c4-a4d2-4d8b-9148-e3be6c30e623}">
          <xlrd:rvb i="18737"/>
        </ext>
      </extLst>
    </bk>
    <bk>
      <extLst>
        <ext uri="{3e2802c4-a4d2-4d8b-9148-e3be6c30e623}">
          <xlrd:rvb i="18738"/>
        </ext>
      </extLst>
    </bk>
    <bk>
      <extLst>
        <ext uri="{3e2802c4-a4d2-4d8b-9148-e3be6c30e623}">
          <xlrd:rvb i="18739"/>
        </ext>
      </extLst>
    </bk>
    <bk>
      <extLst>
        <ext uri="{3e2802c4-a4d2-4d8b-9148-e3be6c30e623}">
          <xlrd:rvb i="18740"/>
        </ext>
      </extLst>
    </bk>
    <bk>
      <extLst>
        <ext uri="{3e2802c4-a4d2-4d8b-9148-e3be6c30e623}">
          <xlrd:rvb i="18741"/>
        </ext>
      </extLst>
    </bk>
    <bk>
      <extLst>
        <ext uri="{3e2802c4-a4d2-4d8b-9148-e3be6c30e623}">
          <xlrd:rvb i="18742"/>
        </ext>
      </extLst>
    </bk>
    <bk>
      <extLst>
        <ext uri="{3e2802c4-a4d2-4d8b-9148-e3be6c30e623}">
          <xlrd:rvb i="18743"/>
        </ext>
      </extLst>
    </bk>
    <bk>
      <extLst>
        <ext uri="{3e2802c4-a4d2-4d8b-9148-e3be6c30e623}">
          <xlrd:rvb i="18744"/>
        </ext>
      </extLst>
    </bk>
    <bk>
      <extLst>
        <ext uri="{3e2802c4-a4d2-4d8b-9148-e3be6c30e623}">
          <xlrd:rvb i="18745"/>
        </ext>
      </extLst>
    </bk>
    <bk>
      <extLst>
        <ext uri="{3e2802c4-a4d2-4d8b-9148-e3be6c30e623}">
          <xlrd:rvb i="18746"/>
        </ext>
      </extLst>
    </bk>
    <bk>
      <extLst>
        <ext uri="{3e2802c4-a4d2-4d8b-9148-e3be6c30e623}">
          <xlrd:rvb i="18747"/>
        </ext>
      </extLst>
    </bk>
    <bk>
      <extLst>
        <ext uri="{3e2802c4-a4d2-4d8b-9148-e3be6c30e623}">
          <xlrd:rvb i="18748"/>
        </ext>
      </extLst>
    </bk>
    <bk>
      <extLst>
        <ext uri="{3e2802c4-a4d2-4d8b-9148-e3be6c30e623}">
          <xlrd:rvb i="18749"/>
        </ext>
      </extLst>
    </bk>
    <bk>
      <extLst>
        <ext uri="{3e2802c4-a4d2-4d8b-9148-e3be6c30e623}">
          <xlrd:rvb i="18750"/>
        </ext>
      </extLst>
    </bk>
    <bk>
      <extLst>
        <ext uri="{3e2802c4-a4d2-4d8b-9148-e3be6c30e623}">
          <xlrd:rvb i="18751"/>
        </ext>
      </extLst>
    </bk>
    <bk>
      <extLst>
        <ext uri="{3e2802c4-a4d2-4d8b-9148-e3be6c30e623}">
          <xlrd:rvb i="18752"/>
        </ext>
      </extLst>
    </bk>
    <bk>
      <extLst>
        <ext uri="{3e2802c4-a4d2-4d8b-9148-e3be6c30e623}">
          <xlrd:rvb i="18753"/>
        </ext>
      </extLst>
    </bk>
    <bk>
      <extLst>
        <ext uri="{3e2802c4-a4d2-4d8b-9148-e3be6c30e623}">
          <xlrd:rvb i="18754"/>
        </ext>
      </extLst>
    </bk>
    <bk>
      <extLst>
        <ext uri="{3e2802c4-a4d2-4d8b-9148-e3be6c30e623}">
          <xlrd:rvb i="18755"/>
        </ext>
      </extLst>
    </bk>
    <bk>
      <extLst>
        <ext uri="{3e2802c4-a4d2-4d8b-9148-e3be6c30e623}">
          <xlrd:rvb i="18756"/>
        </ext>
      </extLst>
    </bk>
    <bk>
      <extLst>
        <ext uri="{3e2802c4-a4d2-4d8b-9148-e3be6c30e623}">
          <xlrd:rvb i="18757"/>
        </ext>
      </extLst>
    </bk>
    <bk>
      <extLst>
        <ext uri="{3e2802c4-a4d2-4d8b-9148-e3be6c30e623}">
          <xlrd:rvb i="18758"/>
        </ext>
      </extLst>
    </bk>
    <bk>
      <extLst>
        <ext uri="{3e2802c4-a4d2-4d8b-9148-e3be6c30e623}">
          <xlrd:rvb i="18759"/>
        </ext>
      </extLst>
    </bk>
    <bk>
      <extLst>
        <ext uri="{3e2802c4-a4d2-4d8b-9148-e3be6c30e623}">
          <xlrd:rvb i="18760"/>
        </ext>
      </extLst>
    </bk>
    <bk>
      <extLst>
        <ext uri="{3e2802c4-a4d2-4d8b-9148-e3be6c30e623}">
          <xlrd:rvb i="18761"/>
        </ext>
      </extLst>
    </bk>
    <bk>
      <extLst>
        <ext uri="{3e2802c4-a4d2-4d8b-9148-e3be6c30e623}">
          <xlrd:rvb i="18762"/>
        </ext>
      </extLst>
    </bk>
    <bk>
      <extLst>
        <ext uri="{3e2802c4-a4d2-4d8b-9148-e3be6c30e623}">
          <xlrd:rvb i="18763"/>
        </ext>
      </extLst>
    </bk>
    <bk>
      <extLst>
        <ext uri="{3e2802c4-a4d2-4d8b-9148-e3be6c30e623}">
          <xlrd:rvb i="18764"/>
        </ext>
      </extLst>
    </bk>
    <bk>
      <extLst>
        <ext uri="{3e2802c4-a4d2-4d8b-9148-e3be6c30e623}">
          <xlrd:rvb i="18765"/>
        </ext>
      </extLst>
    </bk>
    <bk>
      <extLst>
        <ext uri="{3e2802c4-a4d2-4d8b-9148-e3be6c30e623}">
          <xlrd:rvb i="18766"/>
        </ext>
      </extLst>
    </bk>
    <bk>
      <extLst>
        <ext uri="{3e2802c4-a4d2-4d8b-9148-e3be6c30e623}">
          <xlrd:rvb i="18767"/>
        </ext>
      </extLst>
    </bk>
    <bk>
      <extLst>
        <ext uri="{3e2802c4-a4d2-4d8b-9148-e3be6c30e623}">
          <xlrd:rvb i="18768"/>
        </ext>
      </extLst>
    </bk>
    <bk>
      <extLst>
        <ext uri="{3e2802c4-a4d2-4d8b-9148-e3be6c30e623}">
          <xlrd:rvb i="18769"/>
        </ext>
      </extLst>
    </bk>
    <bk>
      <extLst>
        <ext uri="{3e2802c4-a4d2-4d8b-9148-e3be6c30e623}">
          <xlrd:rvb i="18770"/>
        </ext>
      </extLst>
    </bk>
    <bk>
      <extLst>
        <ext uri="{3e2802c4-a4d2-4d8b-9148-e3be6c30e623}">
          <xlrd:rvb i="18771"/>
        </ext>
      </extLst>
    </bk>
    <bk>
      <extLst>
        <ext uri="{3e2802c4-a4d2-4d8b-9148-e3be6c30e623}">
          <xlrd:rvb i="18772"/>
        </ext>
      </extLst>
    </bk>
    <bk>
      <extLst>
        <ext uri="{3e2802c4-a4d2-4d8b-9148-e3be6c30e623}">
          <xlrd:rvb i="18773"/>
        </ext>
      </extLst>
    </bk>
    <bk>
      <extLst>
        <ext uri="{3e2802c4-a4d2-4d8b-9148-e3be6c30e623}">
          <xlrd:rvb i="18774"/>
        </ext>
      </extLst>
    </bk>
    <bk>
      <extLst>
        <ext uri="{3e2802c4-a4d2-4d8b-9148-e3be6c30e623}">
          <xlrd:rvb i="18775"/>
        </ext>
      </extLst>
    </bk>
    <bk>
      <extLst>
        <ext uri="{3e2802c4-a4d2-4d8b-9148-e3be6c30e623}">
          <xlrd:rvb i="18776"/>
        </ext>
      </extLst>
    </bk>
    <bk>
      <extLst>
        <ext uri="{3e2802c4-a4d2-4d8b-9148-e3be6c30e623}">
          <xlrd:rvb i="18777"/>
        </ext>
      </extLst>
    </bk>
    <bk>
      <extLst>
        <ext uri="{3e2802c4-a4d2-4d8b-9148-e3be6c30e623}">
          <xlrd:rvb i="18778"/>
        </ext>
      </extLst>
    </bk>
    <bk>
      <extLst>
        <ext uri="{3e2802c4-a4d2-4d8b-9148-e3be6c30e623}">
          <xlrd:rvb i="18779"/>
        </ext>
      </extLst>
    </bk>
    <bk>
      <extLst>
        <ext uri="{3e2802c4-a4d2-4d8b-9148-e3be6c30e623}">
          <xlrd:rvb i="18780"/>
        </ext>
      </extLst>
    </bk>
    <bk>
      <extLst>
        <ext uri="{3e2802c4-a4d2-4d8b-9148-e3be6c30e623}">
          <xlrd:rvb i="18781"/>
        </ext>
      </extLst>
    </bk>
    <bk>
      <extLst>
        <ext uri="{3e2802c4-a4d2-4d8b-9148-e3be6c30e623}">
          <xlrd:rvb i="18782"/>
        </ext>
      </extLst>
    </bk>
    <bk>
      <extLst>
        <ext uri="{3e2802c4-a4d2-4d8b-9148-e3be6c30e623}">
          <xlrd:rvb i="18783"/>
        </ext>
      </extLst>
    </bk>
    <bk>
      <extLst>
        <ext uri="{3e2802c4-a4d2-4d8b-9148-e3be6c30e623}">
          <xlrd:rvb i="18784"/>
        </ext>
      </extLst>
    </bk>
    <bk>
      <extLst>
        <ext uri="{3e2802c4-a4d2-4d8b-9148-e3be6c30e623}">
          <xlrd:rvb i="18785"/>
        </ext>
      </extLst>
    </bk>
    <bk>
      <extLst>
        <ext uri="{3e2802c4-a4d2-4d8b-9148-e3be6c30e623}">
          <xlrd:rvb i="18786"/>
        </ext>
      </extLst>
    </bk>
    <bk>
      <extLst>
        <ext uri="{3e2802c4-a4d2-4d8b-9148-e3be6c30e623}">
          <xlrd:rvb i="18787"/>
        </ext>
      </extLst>
    </bk>
    <bk>
      <extLst>
        <ext uri="{3e2802c4-a4d2-4d8b-9148-e3be6c30e623}">
          <xlrd:rvb i="18788"/>
        </ext>
      </extLst>
    </bk>
    <bk>
      <extLst>
        <ext uri="{3e2802c4-a4d2-4d8b-9148-e3be6c30e623}">
          <xlrd:rvb i="18789"/>
        </ext>
      </extLst>
    </bk>
    <bk>
      <extLst>
        <ext uri="{3e2802c4-a4d2-4d8b-9148-e3be6c30e623}">
          <xlrd:rvb i="18790"/>
        </ext>
      </extLst>
    </bk>
    <bk>
      <extLst>
        <ext uri="{3e2802c4-a4d2-4d8b-9148-e3be6c30e623}">
          <xlrd:rvb i="18791"/>
        </ext>
      </extLst>
    </bk>
    <bk>
      <extLst>
        <ext uri="{3e2802c4-a4d2-4d8b-9148-e3be6c30e623}">
          <xlrd:rvb i="18792"/>
        </ext>
      </extLst>
    </bk>
    <bk>
      <extLst>
        <ext uri="{3e2802c4-a4d2-4d8b-9148-e3be6c30e623}">
          <xlrd:rvb i="18793"/>
        </ext>
      </extLst>
    </bk>
    <bk>
      <extLst>
        <ext uri="{3e2802c4-a4d2-4d8b-9148-e3be6c30e623}">
          <xlrd:rvb i="18794"/>
        </ext>
      </extLst>
    </bk>
    <bk>
      <extLst>
        <ext uri="{3e2802c4-a4d2-4d8b-9148-e3be6c30e623}">
          <xlrd:rvb i="18795"/>
        </ext>
      </extLst>
    </bk>
    <bk>
      <extLst>
        <ext uri="{3e2802c4-a4d2-4d8b-9148-e3be6c30e623}">
          <xlrd:rvb i="18796"/>
        </ext>
      </extLst>
    </bk>
    <bk>
      <extLst>
        <ext uri="{3e2802c4-a4d2-4d8b-9148-e3be6c30e623}">
          <xlrd:rvb i="18797"/>
        </ext>
      </extLst>
    </bk>
    <bk>
      <extLst>
        <ext uri="{3e2802c4-a4d2-4d8b-9148-e3be6c30e623}">
          <xlrd:rvb i="18798"/>
        </ext>
      </extLst>
    </bk>
    <bk>
      <extLst>
        <ext uri="{3e2802c4-a4d2-4d8b-9148-e3be6c30e623}">
          <xlrd:rvb i="18799"/>
        </ext>
      </extLst>
    </bk>
    <bk>
      <extLst>
        <ext uri="{3e2802c4-a4d2-4d8b-9148-e3be6c30e623}">
          <xlrd:rvb i="18800"/>
        </ext>
      </extLst>
    </bk>
    <bk>
      <extLst>
        <ext uri="{3e2802c4-a4d2-4d8b-9148-e3be6c30e623}">
          <xlrd:rvb i="18801"/>
        </ext>
      </extLst>
    </bk>
    <bk>
      <extLst>
        <ext uri="{3e2802c4-a4d2-4d8b-9148-e3be6c30e623}">
          <xlrd:rvb i="18802"/>
        </ext>
      </extLst>
    </bk>
    <bk>
      <extLst>
        <ext uri="{3e2802c4-a4d2-4d8b-9148-e3be6c30e623}">
          <xlrd:rvb i="18803"/>
        </ext>
      </extLst>
    </bk>
    <bk>
      <extLst>
        <ext uri="{3e2802c4-a4d2-4d8b-9148-e3be6c30e623}">
          <xlrd:rvb i="18804"/>
        </ext>
      </extLst>
    </bk>
    <bk>
      <extLst>
        <ext uri="{3e2802c4-a4d2-4d8b-9148-e3be6c30e623}">
          <xlrd:rvb i="18805"/>
        </ext>
      </extLst>
    </bk>
    <bk>
      <extLst>
        <ext uri="{3e2802c4-a4d2-4d8b-9148-e3be6c30e623}">
          <xlrd:rvb i="18806"/>
        </ext>
      </extLst>
    </bk>
    <bk>
      <extLst>
        <ext uri="{3e2802c4-a4d2-4d8b-9148-e3be6c30e623}">
          <xlrd:rvb i="18807"/>
        </ext>
      </extLst>
    </bk>
    <bk>
      <extLst>
        <ext uri="{3e2802c4-a4d2-4d8b-9148-e3be6c30e623}">
          <xlrd:rvb i="18808"/>
        </ext>
      </extLst>
    </bk>
    <bk>
      <extLst>
        <ext uri="{3e2802c4-a4d2-4d8b-9148-e3be6c30e623}">
          <xlrd:rvb i="18809"/>
        </ext>
      </extLst>
    </bk>
    <bk>
      <extLst>
        <ext uri="{3e2802c4-a4d2-4d8b-9148-e3be6c30e623}">
          <xlrd:rvb i="18810"/>
        </ext>
      </extLst>
    </bk>
    <bk>
      <extLst>
        <ext uri="{3e2802c4-a4d2-4d8b-9148-e3be6c30e623}">
          <xlrd:rvb i="18811"/>
        </ext>
      </extLst>
    </bk>
    <bk>
      <extLst>
        <ext uri="{3e2802c4-a4d2-4d8b-9148-e3be6c30e623}">
          <xlrd:rvb i="18812"/>
        </ext>
      </extLst>
    </bk>
    <bk>
      <extLst>
        <ext uri="{3e2802c4-a4d2-4d8b-9148-e3be6c30e623}">
          <xlrd:rvb i="18813"/>
        </ext>
      </extLst>
    </bk>
    <bk>
      <extLst>
        <ext uri="{3e2802c4-a4d2-4d8b-9148-e3be6c30e623}">
          <xlrd:rvb i="18814"/>
        </ext>
      </extLst>
    </bk>
    <bk>
      <extLst>
        <ext uri="{3e2802c4-a4d2-4d8b-9148-e3be6c30e623}">
          <xlrd:rvb i="18815"/>
        </ext>
      </extLst>
    </bk>
    <bk>
      <extLst>
        <ext uri="{3e2802c4-a4d2-4d8b-9148-e3be6c30e623}">
          <xlrd:rvb i="18816"/>
        </ext>
      </extLst>
    </bk>
    <bk>
      <extLst>
        <ext uri="{3e2802c4-a4d2-4d8b-9148-e3be6c30e623}">
          <xlrd:rvb i="18817"/>
        </ext>
      </extLst>
    </bk>
    <bk>
      <extLst>
        <ext uri="{3e2802c4-a4d2-4d8b-9148-e3be6c30e623}">
          <xlrd:rvb i="18818"/>
        </ext>
      </extLst>
    </bk>
    <bk>
      <extLst>
        <ext uri="{3e2802c4-a4d2-4d8b-9148-e3be6c30e623}">
          <xlrd:rvb i="18819"/>
        </ext>
      </extLst>
    </bk>
    <bk>
      <extLst>
        <ext uri="{3e2802c4-a4d2-4d8b-9148-e3be6c30e623}">
          <xlrd:rvb i="18820"/>
        </ext>
      </extLst>
    </bk>
    <bk>
      <extLst>
        <ext uri="{3e2802c4-a4d2-4d8b-9148-e3be6c30e623}">
          <xlrd:rvb i="18821"/>
        </ext>
      </extLst>
    </bk>
    <bk>
      <extLst>
        <ext uri="{3e2802c4-a4d2-4d8b-9148-e3be6c30e623}">
          <xlrd:rvb i="18822"/>
        </ext>
      </extLst>
    </bk>
    <bk>
      <extLst>
        <ext uri="{3e2802c4-a4d2-4d8b-9148-e3be6c30e623}">
          <xlrd:rvb i="18823"/>
        </ext>
      </extLst>
    </bk>
    <bk>
      <extLst>
        <ext uri="{3e2802c4-a4d2-4d8b-9148-e3be6c30e623}">
          <xlrd:rvb i="18824"/>
        </ext>
      </extLst>
    </bk>
    <bk>
      <extLst>
        <ext uri="{3e2802c4-a4d2-4d8b-9148-e3be6c30e623}">
          <xlrd:rvb i="18825"/>
        </ext>
      </extLst>
    </bk>
    <bk>
      <extLst>
        <ext uri="{3e2802c4-a4d2-4d8b-9148-e3be6c30e623}">
          <xlrd:rvb i="18826"/>
        </ext>
      </extLst>
    </bk>
    <bk>
      <extLst>
        <ext uri="{3e2802c4-a4d2-4d8b-9148-e3be6c30e623}">
          <xlrd:rvb i="18827"/>
        </ext>
      </extLst>
    </bk>
    <bk>
      <extLst>
        <ext uri="{3e2802c4-a4d2-4d8b-9148-e3be6c30e623}">
          <xlrd:rvb i="18828"/>
        </ext>
      </extLst>
    </bk>
    <bk>
      <extLst>
        <ext uri="{3e2802c4-a4d2-4d8b-9148-e3be6c30e623}">
          <xlrd:rvb i="18829"/>
        </ext>
      </extLst>
    </bk>
    <bk>
      <extLst>
        <ext uri="{3e2802c4-a4d2-4d8b-9148-e3be6c30e623}">
          <xlrd:rvb i="18830"/>
        </ext>
      </extLst>
    </bk>
    <bk>
      <extLst>
        <ext uri="{3e2802c4-a4d2-4d8b-9148-e3be6c30e623}">
          <xlrd:rvb i="18831"/>
        </ext>
      </extLst>
    </bk>
    <bk>
      <extLst>
        <ext uri="{3e2802c4-a4d2-4d8b-9148-e3be6c30e623}">
          <xlrd:rvb i="18832"/>
        </ext>
      </extLst>
    </bk>
    <bk>
      <extLst>
        <ext uri="{3e2802c4-a4d2-4d8b-9148-e3be6c30e623}">
          <xlrd:rvb i="18833"/>
        </ext>
      </extLst>
    </bk>
    <bk>
      <extLst>
        <ext uri="{3e2802c4-a4d2-4d8b-9148-e3be6c30e623}">
          <xlrd:rvb i="18834"/>
        </ext>
      </extLst>
    </bk>
    <bk>
      <extLst>
        <ext uri="{3e2802c4-a4d2-4d8b-9148-e3be6c30e623}">
          <xlrd:rvb i="18835"/>
        </ext>
      </extLst>
    </bk>
    <bk>
      <extLst>
        <ext uri="{3e2802c4-a4d2-4d8b-9148-e3be6c30e623}">
          <xlrd:rvb i="18836"/>
        </ext>
      </extLst>
    </bk>
    <bk>
      <extLst>
        <ext uri="{3e2802c4-a4d2-4d8b-9148-e3be6c30e623}">
          <xlrd:rvb i="18837"/>
        </ext>
      </extLst>
    </bk>
    <bk>
      <extLst>
        <ext uri="{3e2802c4-a4d2-4d8b-9148-e3be6c30e623}">
          <xlrd:rvb i="18838"/>
        </ext>
      </extLst>
    </bk>
    <bk>
      <extLst>
        <ext uri="{3e2802c4-a4d2-4d8b-9148-e3be6c30e623}">
          <xlrd:rvb i="18839"/>
        </ext>
      </extLst>
    </bk>
    <bk>
      <extLst>
        <ext uri="{3e2802c4-a4d2-4d8b-9148-e3be6c30e623}">
          <xlrd:rvb i="18840"/>
        </ext>
      </extLst>
    </bk>
    <bk>
      <extLst>
        <ext uri="{3e2802c4-a4d2-4d8b-9148-e3be6c30e623}">
          <xlrd:rvb i="18841"/>
        </ext>
      </extLst>
    </bk>
    <bk>
      <extLst>
        <ext uri="{3e2802c4-a4d2-4d8b-9148-e3be6c30e623}">
          <xlrd:rvb i="18842"/>
        </ext>
      </extLst>
    </bk>
    <bk>
      <extLst>
        <ext uri="{3e2802c4-a4d2-4d8b-9148-e3be6c30e623}">
          <xlrd:rvb i="18843"/>
        </ext>
      </extLst>
    </bk>
    <bk>
      <extLst>
        <ext uri="{3e2802c4-a4d2-4d8b-9148-e3be6c30e623}">
          <xlrd:rvb i="18844"/>
        </ext>
      </extLst>
    </bk>
    <bk>
      <extLst>
        <ext uri="{3e2802c4-a4d2-4d8b-9148-e3be6c30e623}">
          <xlrd:rvb i="18845"/>
        </ext>
      </extLst>
    </bk>
    <bk>
      <extLst>
        <ext uri="{3e2802c4-a4d2-4d8b-9148-e3be6c30e623}">
          <xlrd:rvb i="18846"/>
        </ext>
      </extLst>
    </bk>
    <bk>
      <extLst>
        <ext uri="{3e2802c4-a4d2-4d8b-9148-e3be6c30e623}">
          <xlrd:rvb i="18847"/>
        </ext>
      </extLst>
    </bk>
    <bk>
      <extLst>
        <ext uri="{3e2802c4-a4d2-4d8b-9148-e3be6c30e623}">
          <xlrd:rvb i="18848"/>
        </ext>
      </extLst>
    </bk>
    <bk>
      <extLst>
        <ext uri="{3e2802c4-a4d2-4d8b-9148-e3be6c30e623}">
          <xlrd:rvb i="18849"/>
        </ext>
      </extLst>
    </bk>
    <bk>
      <extLst>
        <ext uri="{3e2802c4-a4d2-4d8b-9148-e3be6c30e623}">
          <xlrd:rvb i="18850"/>
        </ext>
      </extLst>
    </bk>
    <bk>
      <extLst>
        <ext uri="{3e2802c4-a4d2-4d8b-9148-e3be6c30e623}">
          <xlrd:rvb i="18851"/>
        </ext>
      </extLst>
    </bk>
    <bk>
      <extLst>
        <ext uri="{3e2802c4-a4d2-4d8b-9148-e3be6c30e623}">
          <xlrd:rvb i="18852"/>
        </ext>
      </extLst>
    </bk>
    <bk>
      <extLst>
        <ext uri="{3e2802c4-a4d2-4d8b-9148-e3be6c30e623}">
          <xlrd:rvb i="18853"/>
        </ext>
      </extLst>
    </bk>
    <bk>
      <extLst>
        <ext uri="{3e2802c4-a4d2-4d8b-9148-e3be6c30e623}">
          <xlrd:rvb i="18854"/>
        </ext>
      </extLst>
    </bk>
    <bk>
      <extLst>
        <ext uri="{3e2802c4-a4d2-4d8b-9148-e3be6c30e623}">
          <xlrd:rvb i="18855"/>
        </ext>
      </extLst>
    </bk>
    <bk>
      <extLst>
        <ext uri="{3e2802c4-a4d2-4d8b-9148-e3be6c30e623}">
          <xlrd:rvb i="18856"/>
        </ext>
      </extLst>
    </bk>
    <bk>
      <extLst>
        <ext uri="{3e2802c4-a4d2-4d8b-9148-e3be6c30e623}">
          <xlrd:rvb i="18857"/>
        </ext>
      </extLst>
    </bk>
    <bk>
      <extLst>
        <ext uri="{3e2802c4-a4d2-4d8b-9148-e3be6c30e623}">
          <xlrd:rvb i="18858"/>
        </ext>
      </extLst>
    </bk>
    <bk>
      <extLst>
        <ext uri="{3e2802c4-a4d2-4d8b-9148-e3be6c30e623}">
          <xlrd:rvb i="18859"/>
        </ext>
      </extLst>
    </bk>
    <bk>
      <extLst>
        <ext uri="{3e2802c4-a4d2-4d8b-9148-e3be6c30e623}">
          <xlrd:rvb i="18860"/>
        </ext>
      </extLst>
    </bk>
    <bk>
      <extLst>
        <ext uri="{3e2802c4-a4d2-4d8b-9148-e3be6c30e623}">
          <xlrd:rvb i="18861"/>
        </ext>
      </extLst>
    </bk>
    <bk>
      <extLst>
        <ext uri="{3e2802c4-a4d2-4d8b-9148-e3be6c30e623}">
          <xlrd:rvb i="18862"/>
        </ext>
      </extLst>
    </bk>
    <bk>
      <extLst>
        <ext uri="{3e2802c4-a4d2-4d8b-9148-e3be6c30e623}">
          <xlrd:rvb i="18863"/>
        </ext>
      </extLst>
    </bk>
    <bk>
      <extLst>
        <ext uri="{3e2802c4-a4d2-4d8b-9148-e3be6c30e623}">
          <xlrd:rvb i="18864"/>
        </ext>
      </extLst>
    </bk>
    <bk>
      <extLst>
        <ext uri="{3e2802c4-a4d2-4d8b-9148-e3be6c30e623}">
          <xlrd:rvb i="18865"/>
        </ext>
      </extLst>
    </bk>
    <bk>
      <extLst>
        <ext uri="{3e2802c4-a4d2-4d8b-9148-e3be6c30e623}">
          <xlrd:rvb i="18866"/>
        </ext>
      </extLst>
    </bk>
    <bk>
      <extLst>
        <ext uri="{3e2802c4-a4d2-4d8b-9148-e3be6c30e623}">
          <xlrd:rvb i="18867"/>
        </ext>
      </extLst>
    </bk>
    <bk>
      <extLst>
        <ext uri="{3e2802c4-a4d2-4d8b-9148-e3be6c30e623}">
          <xlrd:rvb i="18868"/>
        </ext>
      </extLst>
    </bk>
    <bk>
      <extLst>
        <ext uri="{3e2802c4-a4d2-4d8b-9148-e3be6c30e623}">
          <xlrd:rvb i="18869"/>
        </ext>
      </extLst>
    </bk>
    <bk>
      <extLst>
        <ext uri="{3e2802c4-a4d2-4d8b-9148-e3be6c30e623}">
          <xlrd:rvb i="18870"/>
        </ext>
      </extLst>
    </bk>
    <bk>
      <extLst>
        <ext uri="{3e2802c4-a4d2-4d8b-9148-e3be6c30e623}">
          <xlrd:rvb i="18871"/>
        </ext>
      </extLst>
    </bk>
    <bk>
      <extLst>
        <ext uri="{3e2802c4-a4d2-4d8b-9148-e3be6c30e623}">
          <xlrd:rvb i="18872"/>
        </ext>
      </extLst>
    </bk>
    <bk>
      <extLst>
        <ext uri="{3e2802c4-a4d2-4d8b-9148-e3be6c30e623}">
          <xlrd:rvb i="18873"/>
        </ext>
      </extLst>
    </bk>
    <bk>
      <extLst>
        <ext uri="{3e2802c4-a4d2-4d8b-9148-e3be6c30e623}">
          <xlrd:rvb i="18874"/>
        </ext>
      </extLst>
    </bk>
    <bk>
      <extLst>
        <ext uri="{3e2802c4-a4d2-4d8b-9148-e3be6c30e623}">
          <xlrd:rvb i="18875"/>
        </ext>
      </extLst>
    </bk>
    <bk>
      <extLst>
        <ext uri="{3e2802c4-a4d2-4d8b-9148-e3be6c30e623}">
          <xlrd:rvb i="18876"/>
        </ext>
      </extLst>
    </bk>
    <bk>
      <extLst>
        <ext uri="{3e2802c4-a4d2-4d8b-9148-e3be6c30e623}">
          <xlrd:rvb i="18877"/>
        </ext>
      </extLst>
    </bk>
    <bk>
      <extLst>
        <ext uri="{3e2802c4-a4d2-4d8b-9148-e3be6c30e623}">
          <xlrd:rvb i="18878"/>
        </ext>
      </extLst>
    </bk>
    <bk>
      <extLst>
        <ext uri="{3e2802c4-a4d2-4d8b-9148-e3be6c30e623}">
          <xlrd:rvb i="18879"/>
        </ext>
      </extLst>
    </bk>
    <bk>
      <extLst>
        <ext uri="{3e2802c4-a4d2-4d8b-9148-e3be6c30e623}">
          <xlrd:rvb i="18880"/>
        </ext>
      </extLst>
    </bk>
    <bk>
      <extLst>
        <ext uri="{3e2802c4-a4d2-4d8b-9148-e3be6c30e623}">
          <xlrd:rvb i="18881"/>
        </ext>
      </extLst>
    </bk>
    <bk>
      <extLst>
        <ext uri="{3e2802c4-a4d2-4d8b-9148-e3be6c30e623}">
          <xlrd:rvb i="18882"/>
        </ext>
      </extLst>
    </bk>
    <bk>
      <extLst>
        <ext uri="{3e2802c4-a4d2-4d8b-9148-e3be6c30e623}">
          <xlrd:rvb i="18883"/>
        </ext>
      </extLst>
    </bk>
    <bk>
      <extLst>
        <ext uri="{3e2802c4-a4d2-4d8b-9148-e3be6c30e623}">
          <xlrd:rvb i="18884"/>
        </ext>
      </extLst>
    </bk>
    <bk>
      <extLst>
        <ext uri="{3e2802c4-a4d2-4d8b-9148-e3be6c30e623}">
          <xlrd:rvb i="18885"/>
        </ext>
      </extLst>
    </bk>
    <bk>
      <extLst>
        <ext uri="{3e2802c4-a4d2-4d8b-9148-e3be6c30e623}">
          <xlrd:rvb i="18886"/>
        </ext>
      </extLst>
    </bk>
    <bk>
      <extLst>
        <ext uri="{3e2802c4-a4d2-4d8b-9148-e3be6c30e623}">
          <xlrd:rvb i="18887"/>
        </ext>
      </extLst>
    </bk>
    <bk>
      <extLst>
        <ext uri="{3e2802c4-a4d2-4d8b-9148-e3be6c30e623}">
          <xlrd:rvb i="18888"/>
        </ext>
      </extLst>
    </bk>
    <bk>
      <extLst>
        <ext uri="{3e2802c4-a4d2-4d8b-9148-e3be6c30e623}">
          <xlrd:rvb i="18889"/>
        </ext>
      </extLst>
    </bk>
    <bk>
      <extLst>
        <ext uri="{3e2802c4-a4d2-4d8b-9148-e3be6c30e623}">
          <xlrd:rvb i="18890"/>
        </ext>
      </extLst>
    </bk>
    <bk>
      <extLst>
        <ext uri="{3e2802c4-a4d2-4d8b-9148-e3be6c30e623}">
          <xlrd:rvb i="18891"/>
        </ext>
      </extLst>
    </bk>
    <bk>
      <extLst>
        <ext uri="{3e2802c4-a4d2-4d8b-9148-e3be6c30e623}">
          <xlrd:rvb i="18892"/>
        </ext>
      </extLst>
    </bk>
    <bk>
      <extLst>
        <ext uri="{3e2802c4-a4d2-4d8b-9148-e3be6c30e623}">
          <xlrd:rvb i="18893"/>
        </ext>
      </extLst>
    </bk>
    <bk>
      <extLst>
        <ext uri="{3e2802c4-a4d2-4d8b-9148-e3be6c30e623}">
          <xlrd:rvb i="18894"/>
        </ext>
      </extLst>
    </bk>
    <bk>
      <extLst>
        <ext uri="{3e2802c4-a4d2-4d8b-9148-e3be6c30e623}">
          <xlrd:rvb i="18895"/>
        </ext>
      </extLst>
    </bk>
    <bk>
      <extLst>
        <ext uri="{3e2802c4-a4d2-4d8b-9148-e3be6c30e623}">
          <xlrd:rvb i="18896"/>
        </ext>
      </extLst>
    </bk>
    <bk>
      <extLst>
        <ext uri="{3e2802c4-a4d2-4d8b-9148-e3be6c30e623}">
          <xlrd:rvb i="18897"/>
        </ext>
      </extLst>
    </bk>
    <bk>
      <extLst>
        <ext uri="{3e2802c4-a4d2-4d8b-9148-e3be6c30e623}">
          <xlrd:rvb i="18898"/>
        </ext>
      </extLst>
    </bk>
    <bk>
      <extLst>
        <ext uri="{3e2802c4-a4d2-4d8b-9148-e3be6c30e623}">
          <xlrd:rvb i="18899"/>
        </ext>
      </extLst>
    </bk>
    <bk>
      <extLst>
        <ext uri="{3e2802c4-a4d2-4d8b-9148-e3be6c30e623}">
          <xlrd:rvb i="18900"/>
        </ext>
      </extLst>
    </bk>
    <bk>
      <extLst>
        <ext uri="{3e2802c4-a4d2-4d8b-9148-e3be6c30e623}">
          <xlrd:rvb i="18901"/>
        </ext>
      </extLst>
    </bk>
    <bk>
      <extLst>
        <ext uri="{3e2802c4-a4d2-4d8b-9148-e3be6c30e623}">
          <xlrd:rvb i="18902"/>
        </ext>
      </extLst>
    </bk>
    <bk>
      <extLst>
        <ext uri="{3e2802c4-a4d2-4d8b-9148-e3be6c30e623}">
          <xlrd:rvb i="18903"/>
        </ext>
      </extLst>
    </bk>
    <bk>
      <extLst>
        <ext uri="{3e2802c4-a4d2-4d8b-9148-e3be6c30e623}">
          <xlrd:rvb i="18904"/>
        </ext>
      </extLst>
    </bk>
    <bk>
      <extLst>
        <ext uri="{3e2802c4-a4d2-4d8b-9148-e3be6c30e623}">
          <xlrd:rvb i="18905"/>
        </ext>
      </extLst>
    </bk>
    <bk>
      <extLst>
        <ext uri="{3e2802c4-a4d2-4d8b-9148-e3be6c30e623}">
          <xlrd:rvb i="18906"/>
        </ext>
      </extLst>
    </bk>
    <bk>
      <extLst>
        <ext uri="{3e2802c4-a4d2-4d8b-9148-e3be6c30e623}">
          <xlrd:rvb i="18907"/>
        </ext>
      </extLst>
    </bk>
    <bk>
      <extLst>
        <ext uri="{3e2802c4-a4d2-4d8b-9148-e3be6c30e623}">
          <xlrd:rvb i="18908"/>
        </ext>
      </extLst>
    </bk>
    <bk>
      <extLst>
        <ext uri="{3e2802c4-a4d2-4d8b-9148-e3be6c30e623}">
          <xlrd:rvb i="18909"/>
        </ext>
      </extLst>
    </bk>
    <bk>
      <extLst>
        <ext uri="{3e2802c4-a4d2-4d8b-9148-e3be6c30e623}">
          <xlrd:rvb i="18910"/>
        </ext>
      </extLst>
    </bk>
    <bk>
      <extLst>
        <ext uri="{3e2802c4-a4d2-4d8b-9148-e3be6c30e623}">
          <xlrd:rvb i="18911"/>
        </ext>
      </extLst>
    </bk>
    <bk>
      <extLst>
        <ext uri="{3e2802c4-a4d2-4d8b-9148-e3be6c30e623}">
          <xlrd:rvb i="18912"/>
        </ext>
      </extLst>
    </bk>
    <bk>
      <extLst>
        <ext uri="{3e2802c4-a4d2-4d8b-9148-e3be6c30e623}">
          <xlrd:rvb i="18913"/>
        </ext>
      </extLst>
    </bk>
    <bk>
      <extLst>
        <ext uri="{3e2802c4-a4d2-4d8b-9148-e3be6c30e623}">
          <xlrd:rvb i="18914"/>
        </ext>
      </extLst>
    </bk>
    <bk>
      <extLst>
        <ext uri="{3e2802c4-a4d2-4d8b-9148-e3be6c30e623}">
          <xlrd:rvb i="18915"/>
        </ext>
      </extLst>
    </bk>
    <bk>
      <extLst>
        <ext uri="{3e2802c4-a4d2-4d8b-9148-e3be6c30e623}">
          <xlrd:rvb i="18916"/>
        </ext>
      </extLst>
    </bk>
    <bk>
      <extLst>
        <ext uri="{3e2802c4-a4d2-4d8b-9148-e3be6c30e623}">
          <xlrd:rvb i="18917"/>
        </ext>
      </extLst>
    </bk>
    <bk>
      <extLst>
        <ext uri="{3e2802c4-a4d2-4d8b-9148-e3be6c30e623}">
          <xlrd:rvb i="18918"/>
        </ext>
      </extLst>
    </bk>
    <bk>
      <extLst>
        <ext uri="{3e2802c4-a4d2-4d8b-9148-e3be6c30e623}">
          <xlrd:rvb i="18919"/>
        </ext>
      </extLst>
    </bk>
    <bk>
      <extLst>
        <ext uri="{3e2802c4-a4d2-4d8b-9148-e3be6c30e623}">
          <xlrd:rvb i="18920"/>
        </ext>
      </extLst>
    </bk>
    <bk>
      <extLst>
        <ext uri="{3e2802c4-a4d2-4d8b-9148-e3be6c30e623}">
          <xlrd:rvb i="18921"/>
        </ext>
      </extLst>
    </bk>
    <bk>
      <extLst>
        <ext uri="{3e2802c4-a4d2-4d8b-9148-e3be6c30e623}">
          <xlrd:rvb i="18922"/>
        </ext>
      </extLst>
    </bk>
    <bk>
      <extLst>
        <ext uri="{3e2802c4-a4d2-4d8b-9148-e3be6c30e623}">
          <xlrd:rvb i="18923"/>
        </ext>
      </extLst>
    </bk>
    <bk>
      <extLst>
        <ext uri="{3e2802c4-a4d2-4d8b-9148-e3be6c30e623}">
          <xlrd:rvb i="18924"/>
        </ext>
      </extLst>
    </bk>
    <bk>
      <extLst>
        <ext uri="{3e2802c4-a4d2-4d8b-9148-e3be6c30e623}">
          <xlrd:rvb i="18925"/>
        </ext>
      </extLst>
    </bk>
    <bk>
      <extLst>
        <ext uri="{3e2802c4-a4d2-4d8b-9148-e3be6c30e623}">
          <xlrd:rvb i="18926"/>
        </ext>
      </extLst>
    </bk>
    <bk>
      <extLst>
        <ext uri="{3e2802c4-a4d2-4d8b-9148-e3be6c30e623}">
          <xlrd:rvb i="18927"/>
        </ext>
      </extLst>
    </bk>
    <bk>
      <extLst>
        <ext uri="{3e2802c4-a4d2-4d8b-9148-e3be6c30e623}">
          <xlrd:rvb i="18928"/>
        </ext>
      </extLst>
    </bk>
    <bk>
      <extLst>
        <ext uri="{3e2802c4-a4d2-4d8b-9148-e3be6c30e623}">
          <xlrd:rvb i="18929"/>
        </ext>
      </extLst>
    </bk>
    <bk>
      <extLst>
        <ext uri="{3e2802c4-a4d2-4d8b-9148-e3be6c30e623}">
          <xlrd:rvb i="18930"/>
        </ext>
      </extLst>
    </bk>
    <bk>
      <extLst>
        <ext uri="{3e2802c4-a4d2-4d8b-9148-e3be6c30e623}">
          <xlrd:rvb i="18931"/>
        </ext>
      </extLst>
    </bk>
    <bk>
      <extLst>
        <ext uri="{3e2802c4-a4d2-4d8b-9148-e3be6c30e623}">
          <xlrd:rvb i="18932"/>
        </ext>
      </extLst>
    </bk>
    <bk>
      <extLst>
        <ext uri="{3e2802c4-a4d2-4d8b-9148-e3be6c30e623}">
          <xlrd:rvb i="18933"/>
        </ext>
      </extLst>
    </bk>
    <bk>
      <extLst>
        <ext uri="{3e2802c4-a4d2-4d8b-9148-e3be6c30e623}">
          <xlrd:rvb i="18934"/>
        </ext>
      </extLst>
    </bk>
    <bk>
      <extLst>
        <ext uri="{3e2802c4-a4d2-4d8b-9148-e3be6c30e623}">
          <xlrd:rvb i="18935"/>
        </ext>
      </extLst>
    </bk>
    <bk>
      <extLst>
        <ext uri="{3e2802c4-a4d2-4d8b-9148-e3be6c30e623}">
          <xlrd:rvb i="18936"/>
        </ext>
      </extLst>
    </bk>
    <bk>
      <extLst>
        <ext uri="{3e2802c4-a4d2-4d8b-9148-e3be6c30e623}">
          <xlrd:rvb i="18937"/>
        </ext>
      </extLst>
    </bk>
    <bk>
      <extLst>
        <ext uri="{3e2802c4-a4d2-4d8b-9148-e3be6c30e623}">
          <xlrd:rvb i="18938"/>
        </ext>
      </extLst>
    </bk>
    <bk>
      <extLst>
        <ext uri="{3e2802c4-a4d2-4d8b-9148-e3be6c30e623}">
          <xlrd:rvb i="18939"/>
        </ext>
      </extLst>
    </bk>
    <bk>
      <extLst>
        <ext uri="{3e2802c4-a4d2-4d8b-9148-e3be6c30e623}">
          <xlrd:rvb i="18940"/>
        </ext>
      </extLst>
    </bk>
    <bk>
      <extLst>
        <ext uri="{3e2802c4-a4d2-4d8b-9148-e3be6c30e623}">
          <xlrd:rvb i="18941"/>
        </ext>
      </extLst>
    </bk>
    <bk>
      <extLst>
        <ext uri="{3e2802c4-a4d2-4d8b-9148-e3be6c30e623}">
          <xlrd:rvb i="18942"/>
        </ext>
      </extLst>
    </bk>
    <bk>
      <extLst>
        <ext uri="{3e2802c4-a4d2-4d8b-9148-e3be6c30e623}">
          <xlrd:rvb i="18943"/>
        </ext>
      </extLst>
    </bk>
    <bk>
      <extLst>
        <ext uri="{3e2802c4-a4d2-4d8b-9148-e3be6c30e623}">
          <xlrd:rvb i="18944"/>
        </ext>
      </extLst>
    </bk>
    <bk>
      <extLst>
        <ext uri="{3e2802c4-a4d2-4d8b-9148-e3be6c30e623}">
          <xlrd:rvb i="18945"/>
        </ext>
      </extLst>
    </bk>
    <bk>
      <extLst>
        <ext uri="{3e2802c4-a4d2-4d8b-9148-e3be6c30e623}">
          <xlrd:rvb i="18946"/>
        </ext>
      </extLst>
    </bk>
    <bk>
      <extLst>
        <ext uri="{3e2802c4-a4d2-4d8b-9148-e3be6c30e623}">
          <xlrd:rvb i="18947"/>
        </ext>
      </extLst>
    </bk>
    <bk>
      <extLst>
        <ext uri="{3e2802c4-a4d2-4d8b-9148-e3be6c30e623}">
          <xlrd:rvb i="18948"/>
        </ext>
      </extLst>
    </bk>
    <bk>
      <extLst>
        <ext uri="{3e2802c4-a4d2-4d8b-9148-e3be6c30e623}">
          <xlrd:rvb i="18949"/>
        </ext>
      </extLst>
    </bk>
    <bk>
      <extLst>
        <ext uri="{3e2802c4-a4d2-4d8b-9148-e3be6c30e623}">
          <xlrd:rvb i="18950"/>
        </ext>
      </extLst>
    </bk>
    <bk>
      <extLst>
        <ext uri="{3e2802c4-a4d2-4d8b-9148-e3be6c30e623}">
          <xlrd:rvb i="18951"/>
        </ext>
      </extLst>
    </bk>
    <bk>
      <extLst>
        <ext uri="{3e2802c4-a4d2-4d8b-9148-e3be6c30e623}">
          <xlrd:rvb i="18952"/>
        </ext>
      </extLst>
    </bk>
    <bk>
      <extLst>
        <ext uri="{3e2802c4-a4d2-4d8b-9148-e3be6c30e623}">
          <xlrd:rvb i="18953"/>
        </ext>
      </extLst>
    </bk>
    <bk>
      <extLst>
        <ext uri="{3e2802c4-a4d2-4d8b-9148-e3be6c30e623}">
          <xlrd:rvb i="18954"/>
        </ext>
      </extLst>
    </bk>
    <bk>
      <extLst>
        <ext uri="{3e2802c4-a4d2-4d8b-9148-e3be6c30e623}">
          <xlrd:rvb i="18955"/>
        </ext>
      </extLst>
    </bk>
    <bk>
      <extLst>
        <ext uri="{3e2802c4-a4d2-4d8b-9148-e3be6c30e623}">
          <xlrd:rvb i="18956"/>
        </ext>
      </extLst>
    </bk>
    <bk>
      <extLst>
        <ext uri="{3e2802c4-a4d2-4d8b-9148-e3be6c30e623}">
          <xlrd:rvb i="18957"/>
        </ext>
      </extLst>
    </bk>
    <bk>
      <extLst>
        <ext uri="{3e2802c4-a4d2-4d8b-9148-e3be6c30e623}">
          <xlrd:rvb i="18958"/>
        </ext>
      </extLst>
    </bk>
    <bk>
      <extLst>
        <ext uri="{3e2802c4-a4d2-4d8b-9148-e3be6c30e623}">
          <xlrd:rvb i="18959"/>
        </ext>
      </extLst>
    </bk>
    <bk>
      <extLst>
        <ext uri="{3e2802c4-a4d2-4d8b-9148-e3be6c30e623}">
          <xlrd:rvb i="18960"/>
        </ext>
      </extLst>
    </bk>
    <bk>
      <extLst>
        <ext uri="{3e2802c4-a4d2-4d8b-9148-e3be6c30e623}">
          <xlrd:rvb i="18961"/>
        </ext>
      </extLst>
    </bk>
    <bk>
      <extLst>
        <ext uri="{3e2802c4-a4d2-4d8b-9148-e3be6c30e623}">
          <xlrd:rvb i="18962"/>
        </ext>
      </extLst>
    </bk>
    <bk>
      <extLst>
        <ext uri="{3e2802c4-a4d2-4d8b-9148-e3be6c30e623}">
          <xlrd:rvb i="18963"/>
        </ext>
      </extLst>
    </bk>
    <bk>
      <extLst>
        <ext uri="{3e2802c4-a4d2-4d8b-9148-e3be6c30e623}">
          <xlrd:rvb i="18964"/>
        </ext>
      </extLst>
    </bk>
    <bk>
      <extLst>
        <ext uri="{3e2802c4-a4d2-4d8b-9148-e3be6c30e623}">
          <xlrd:rvb i="18965"/>
        </ext>
      </extLst>
    </bk>
    <bk>
      <extLst>
        <ext uri="{3e2802c4-a4d2-4d8b-9148-e3be6c30e623}">
          <xlrd:rvb i="18966"/>
        </ext>
      </extLst>
    </bk>
    <bk>
      <extLst>
        <ext uri="{3e2802c4-a4d2-4d8b-9148-e3be6c30e623}">
          <xlrd:rvb i="18967"/>
        </ext>
      </extLst>
    </bk>
    <bk>
      <extLst>
        <ext uri="{3e2802c4-a4d2-4d8b-9148-e3be6c30e623}">
          <xlrd:rvb i="18968"/>
        </ext>
      </extLst>
    </bk>
    <bk>
      <extLst>
        <ext uri="{3e2802c4-a4d2-4d8b-9148-e3be6c30e623}">
          <xlrd:rvb i="18969"/>
        </ext>
      </extLst>
    </bk>
    <bk>
      <extLst>
        <ext uri="{3e2802c4-a4d2-4d8b-9148-e3be6c30e623}">
          <xlrd:rvb i="18970"/>
        </ext>
      </extLst>
    </bk>
    <bk>
      <extLst>
        <ext uri="{3e2802c4-a4d2-4d8b-9148-e3be6c30e623}">
          <xlrd:rvb i="18971"/>
        </ext>
      </extLst>
    </bk>
    <bk>
      <extLst>
        <ext uri="{3e2802c4-a4d2-4d8b-9148-e3be6c30e623}">
          <xlrd:rvb i="18972"/>
        </ext>
      </extLst>
    </bk>
    <bk>
      <extLst>
        <ext uri="{3e2802c4-a4d2-4d8b-9148-e3be6c30e623}">
          <xlrd:rvb i="18973"/>
        </ext>
      </extLst>
    </bk>
    <bk>
      <extLst>
        <ext uri="{3e2802c4-a4d2-4d8b-9148-e3be6c30e623}">
          <xlrd:rvb i="18974"/>
        </ext>
      </extLst>
    </bk>
    <bk>
      <extLst>
        <ext uri="{3e2802c4-a4d2-4d8b-9148-e3be6c30e623}">
          <xlrd:rvb i="18975"/>
        </ext>
      </extLst>
    </bk>
    <bk>
      <extLst>
        <ext uri="{3e2802c4-a4d2-4d8b-9148-e3be6c30e623}">
          <xlrd:rvb i="18976"/>
        </ext>
      </extLst>
    </bk>
    <bk>
      <extLst>
        <ext uri="{3e2802c4-a4d2-4d8b-9148-e3be6c30e623}">
          <xlrd:rvb i="18977"/>
        </ext>
      </extLst>
    </bk>
    <bk>
      <extLst>
        <ext uri="{3e2802c4-a4d2-4d8b-9148-e3be6c30e623}">
          <xlrd:rvb i="18978"/>
        </ext>
      </extLst>
    </bk>
    <bk>
      <extLst>
        <ext uri="{3e2802c4-a4d2-4d8b-9148-e3be6c30e623}">
          <xlrd:rvb i="18979"/>
        </ext>
      </extLst>
    </bk>
    <bk>
      <extLst>
        <ext uri="{3e2802c4-a4d2-4d8b-9148-e3be6c30e623}">
          <xlrd:rvb i="18980"/>
        </ext>
      </extLst>
    </bk>
    <bk>
      <extLst>
        <ext uri="{3e2802c4-a4d2-4d8b-9148-e3be6c30e623}">
          <xlrd:rvb i="18981"/>
        </ext>
      </extLst>
    </bk>
    <bk>
      <extLst>
        <ext uri="{3e2802c4-a4d2-4d8b-9148-e3be6c30e623}">
          <xlrd:rvb i="18982"/>
        </ext>
      </extLst>
    </bk>
    <bk>
      <extLst>
        <ext uri="{3e2802c4-a4d2-4d8b-9148-e3be6c30e623}">
          <xlrd:rvb i="18983"/>
        </ext>
      </extLst>
    </bk>
    <bk>
      <extLst>
        <ext uri="{3e2802c4-a4d2-4d8b-9148-e3be6c30e623}">
          <xlrd:rvb i="18984"/>
        </ext>
      </extLst>
    </bk>
    <bk>
      <extLst>
        <ext uri="{3e2802c4-a4d2-4d8b-9148-e3be6c30e623}">
          <xlrd:rvb i="18985"/>
        </ext>
      </extLst>
    </bk>
    <bk>
      <extLst>
        <ext uri="{3e2802c4-a4d2-4d8b-9148-e3be6c30e623}">
          <xlrd:rvb i="18986"/>
        </ext>
      </extLst>
    </bk>
    <bk>
      <extLst>
        <ext uri="{3e2802c4-a4d2-4d8b-9148-e3be6c30e623}">
          <xlrd:rvb i="18987"/>
        </ext>
      </extLst>
    </bk>
    <bk>
      <extLst>
        <ext uri="{3e2802c4-a4d2-4d8b-9148-e3be6c30e623}">
          <xlrd:rvb i="18988"/>
        </ext>
      </extLst>
    </bk>
    <bk>
      <extLst>
        <ext uri="{3e2802c4-a4d2-4d8b-9148-e3be6c30e623}">
          <xlrd:rvb i="18989"/>
        </ext>
      </extLst>
    </bk>
    <bk>
      <extLst>
        <ext uri="{3e2802c4-a4d2-4d8b-9148-e3be6c30e623}">
          <xlrd:rvb i="18990"/>
        </ext>
      </extLst>
    </bk>
    <bk>
      <extLst>
        <ext uri="{3e2802c4-a4d2-4d8b-9148-e3be6c30e623}">
          <xlrd:rvb i="18991"/>
        </ext>
      </extLst>
    </bk>
    <bk>
      <extLst>
        <ext uri="{3e2802c4-a4d2-4d8b-9148-e3be6c30e623}">
          <xlrd:rvb i="18992"/>
        </ext>
      </extLst>
    </bk>
    <bk>
      <extLst>
        <ext uri="{3e2802c4-a4d2-4d8b-9148-e3be6c30e623}">
          <xlrd:rvb i="18993"/>
        </ext>
      </extLst>
    </bk>
    <bk>
      <extLst>
        <ext uri="{3e2802c4-a4d2-4d8b-9148-e3be6c30e623}">
          <xlrd:rvb i="18994"/>
        </ext>
      </extLst>
    </bk>
    <bk>
      <extLst>
        <ext uri="{3e2802c4-a4d2-4d8b-9148-e3be6c30e623}">
          <xlrd:rvb i="18995"/>
        </ext>
      </extLst>
    </bk>
    <bk>
      <extLst>
        <ext uri="{3e2802c4-a4d2-4d8b-9148-e3be6c30e623}">
          <xlrd:rvb i="18996"/>
        </ext>
      </extLst>
    </bk>
    <bk>
      <extLst>
        <ext uri="{3e2802c4-a4d2-4d8b-9148-e3be6c30e623}">
          <xlrd:rvb i="18997"/>
        </ext>
      </extLst>
    </bk>
    <bk>
      <extLst>
        <ext uri="{3e2802c4-a4d2-4d8b-9148-e3be6c30e623}">
          <xlrd:rvb i="18998"/>
        </ext>
      </extLst>
    </bk>
    <bk>
      <extLst>
        <ext uri="{3e2802c4-a4d2-4d8b-9148-e3be6c30e623}">
          <xlrd:rvb i="18999"/>
        </ext>
      </extLst>
    </bk>
    <bk>
      <extLst>
        <ext uri="{3e2802c4-a4d2-4d8b-9148-e3be6c30e623}">
          <xlrd:rvb i="19000"/>
        </ext>
      </extLst>
    </bk>
    <bk>
      <extLst>
        <ext uri="{3e2802c4-a4d2-4d8b-9148-e3be6c30e623}">
          <xlrd:rvb i="19001"/>
        </ext>
      </extLst>
    </bk>
    <bk>
      <extLst>
        <ext uri="{3e2802c4-a4d2-4d8b-9148-e3be6c30e623}">
          <xlrd:rvb i="19002"/>
        </ext>
      </extLst>
    </bk>
    <bk>
      <extLst>
        <ext uri="{3e2802c4-a4d2-4d8b-9148-e3be6c30e623}">
          <xlrd:rvb i="19003"/>
        </ext>
      </extLst>
    </bk>
    <bk>
      <extLst>
        <ext uri="{3e2802c4-a4d2-4d8b-9148-e3be6c30e623}">
          <xlrd:rvb i="19004"/>
        </ext>
      </extLst>
    </bk>
    <bk>
      <extLst>
        <ext uri="{3e2802c4-a4d2-4d8b-9148-e3be6c30e623}">
          <xlrd:rvb i="19005"/>
        </ext>
      </extLst>
    </bk>
    <bk>
      <extLst>
        <ext uri="{3e2802c4-a4d2-4d8b-9148-e3be6c30e623}">
          <xlrd:rvb i="19006"/>
        </ext>
      </extLst>
    </bk>
    <bk>
      <extLst>
        <ext uri="{3e2802c4-a4d2-4d8b-9148-e3be6c30e623}">
          <xlrd:rvb i="19007"/>
        </ext>
      </extLst>
    </bk>
    <bk>
      <extLst>
        <ext uri="{3e2802c4-a4d2-4d8b-9148-e3be6c30e623}">
          <xlrd:rvb i="19008"/>
        </ext>
      </extLst>
    </bk>
    <bk>
      <extLst>
        <ext uri="{3e2802c4-a4d2-4d8b-9148-e3be6c30e623}">
          <xlrd:rvb i="19009"/>
        </ext>
      </extLst>
    </bk>
    <bk>
      <extLst>
        <ext uri="{3e2802c4-a4d2-4d8b-9148-e3be6c30e623}">
          <xlrd:rvb i="19010"/>
        </ext>
      </extLst>
    </bk>
    <bk>
      <extLst>
        <ext uri="{3e2802c4-a4d2-4d8b-9148-e3be6c30e623}">
          <xlrd:rvb i="19011"/>
        </ext>
      </extLst>
    </bk>
    <bk>
      <extLst>
        <ext uri="{3e2802c4-a4d2-4d8b-9148-e3be6c30e623}">
          <xlrd:rvb i="19012"/>
        </ext>
      </extLst>
    </bk>
    <bk>
      <extLst>
        <ext uri="{3e2802c4-a4d2-4d8b-9148-e3be6c30e623}">
          <xlrd:rvb i="19013"/>
        </ext>
      </extLst>
    </bk>
    <bk>
      <extLst>
        <ext uri="{3e2802c4-a4d2-4d8b-9148-e3be6c30e623}">
          <xlrd:rvb i="19014"/>
        </ext>
      </extLst>
    </bk>
    <bk>
      <extLst>
        <ext uri="{3e2802c4-a4d2-4d8b-9148-e3be6c30e623}">
          <xlrd:rvb i="19015"/>
        </ext>
      </extLst>
    </bk>
    <bk>
      <extLst>
        <ext uri="{3e2802c4-a4d2-4d8b-9148-e3be6c30e623}">
          <xlrd:rvb i="19016"/>
        </ext>
      </extLst>
    </bk>
    <bk>
      <extLst>
        <ext uri="{3e2802c4-a4d2-4d8b-9148-e3be6c30e623}">
          <xlrd:rvb i="19017"/>
        </ext>
      </extLst>
    </bk>
    <bk>
      <extLst>
        <ext uri="{3e2802c4-a4d2-4d8b-9148-e3be6c30e623}">
          <xlrd:rvb i="19018"/>
        </ext>
      </extLst>
    </bk>
    <bk>
      <extLst>
        <ext uri="{3e2802c4-a4d2-4d8b-9148-e3be6c30e623}">
          <xlrd:rvb i="19019"/>
        </ext>
      </extLst>
    </bk>
    <bk>
      <extLst>
        <ext uri="{3e2802c4-a4d2-4d8b-9148-e3be6c30e623}">
          <xlrd:rvb i="19020"/>
        </ext>
      </extLst>
    </bk>
    <bk>
      <extLst>
        <ext uri="{3e2802c4-a4d2-4d8b-9148-e3be6c30e623}">
          <xlrd:rvb i="19021"/>
        </ext>
      </extLst>
    </bk>
    <bk>
      <extLst>
        <ext uri="{3e2802c4-a4d2-4d8b-9148-e3be6c30e623}">
          <xlrd:rvb i="19022"/>
        </ext>
      </extLst>
    </bk>
    <bk>
      <extLst>
        <ext uri="{3e2802c4-a4d2-4d8b-9148-e3be6c30e623}">
          <xlrd:rvb i="19023"/>
        </ext>
      </extLst>
    </bk>
    <bk>
      <extLst>
        <ext uri="{3e2802c4-a4d2-4d8b-9148-e3be6c30e623}">
          <xlrd:rvb i="19024"/>
        </ext>
      </extLst>
    </bk>
    <bk>
      <extLst>
        <ext uri="{3e2802c4-a4d2-4d8b-9148-e3be6c30e623}">
          <xlrd:rvb i="19025"/>
        </ext>
      </extLst>
    </bk>
    <bk>
      <extLst>
        <ext uri="{3e2802c4-a4d2-4d8b-9148-e3be6c30e623}">
          <xlrd:rvb i="19026"/>
        </ext>
      </extLst>
    </bk>
    <bk>
      <extLst>
        <ext uri="{3e2802c4-a4d2-4d8b-9148-e3be6c30e623}">
          <xlrd:rvb i="19027"/>
        </ext>
      </extLst>
    </bk>
    <bk>
      <extLst>
        <ext uri="{3e2802c4-a4d2-4d8b-9148-e3be6c30e623}">
          <xlrd:rvb i="19028"/>
        </ext>
      </extLst>
    </bk>
    <bk>
      <extLst>
        <ext uri="{3e2802c4-a4d2-4d8b-9148-e3be6c30e623}">
          <xlrd:rvb i="19029"/>
        </ext>
      </extLst>
    </bk>
    <bk>
      <extLst>
        <ext uri="{3e2802c4-a4d2-4d8b-9148-e3be6c30e623}">
          <xlrd:rvb i="19030"/>
        </ext>
      </extLst>
    </bk>
    <bk>
      <extLst>
        <ext uri="{3e2802c4-a4d2-4d8b-9148-e3be6c30e623}">
          <xlrd:rvb i="19031"/>
        </ext>
      </extLst>
    </bk>
    <bk>
      <extLst>
        <ext uri="{3e2802c4-a4d2-4d8b-9148-e3be6c30e623}">
          <xlrd:rvb i="19032"/>
        </ext>
      </extLst>
    </bk>
    <bk>
      <extLst>
        <ext uri="{3e2802c4-a4d2-4d8b-9148-e3be6c30e623}">
          <xlrd:rvb i="19033"/>
        </ext>
      </extLst>
    </bk>
    <bk>
      <extLst>
        <ext uri="{3e2802c4-a4d2-4d8b-9148-e3be6c30e623}">
          <xlrd:rvb i="19034"/>
        </ext>
      </extLst>
    </bk>
    <bk>
      <extLst>
        <ext uri="{3e2802c4-a4d2-4d8b-9148-e3be6c30e623}">
          <xlrd:rvb i="19035"/>
        </ext>
      </extLst>
    </bk>
    <bk>
      <extLst>
        <ext uri="{3e2802c4-a4d2-4d8b-9148-e3be6c30e623}">
          <xlrd:rvb i="19036"/>
        </ext>
      </extLst>
    </bk>
    <bk>
      <extLst>
        <ext uri="{3e2802c4-a4d2-4d8b-9148-e3be6c30e623}">
          <xlrd:rvb i="19037"/>
        </ext>
      </extLst>
    </bk>
    <bk>
      <extLst>
        <ext uri="{3e2802c4-a4d2-4d8b-9148-e3be6c30e623}">
          <xlrd:rvb i="19038"/>
        </ext>
      </extLst>
    </bk>
    <bk>
      <extLst>
        <ext uri="{3e2802c4-a4d2-4d8b-9148-e3be6c30e623}">
          <xlrd:rvb i="19039"/>
        </ext>
      </extLst>
    </bk>
    <bk>
      <extLst>
        <ext uri="{3e2802c4-a4d2-4d8b-9148-e3be6c30e623}">
          <xlrd:rvb i="19040"/>
        </ext>
      </extLst>
    </bk>
    <bk>
      <extLst>
        <ext uri="{3e2802c4-a4d2-4d8b-9148-e3be6c30e623}">
          <xlrd:rvb i="19041"/>
        </ext>
      </extLst>
    </bk>
    <bk>
      <extLst>
        <ext uri="{3e2802c4-a4d2-4d8b-9148-e3be6c30e623}">
          <xlrd:rvb i="19042"/>
        </ext>
      </extLst>
    </bk>
    <bk>
      <extLst>
        <ext uri="{3e2802c4-a4d2-4d8b-9148-e3be6c30e623}">
          <xlrd:rvb i="19043"/>
        </ext>
      </extLst>
    </bk>
    <bk>
      <extLst>
        <ext uri="{3e2802c4-a4d2-4d8b-9148-e3be6c30e623}">
          <xlrd:rvb i="19044"/>
        </ext>
      </extLst>
    </bk>
    <bk>
      <extLst>
        <ext uri="{3e2802c4-a4d2-4d8b-9148-e3be6c30e623}">
          <xlrd:rvb i="19045"/>
        </ext>
      </extLst>
    </bk>
    <bk>
      <extLst>
        <ext uri="{3e2802c4-a4d2-4d8b-9148-e3be6c30e623}">
          <xlrd:rvb i="19046"/>
        </ext>
      </extLst>
    </bk>
    <bk>
      <extLst>
        <ext uri="{3e2802c4-a4d2-4d8b-9148-e3be6c30e623}">
          <xlrd:rvb i="19047"/>
        </ext>
      </extLst>
    </bk>
    <bk>
      <extLst>
        <ext uri="{3e2802c4-a4d2-4d8b-9148-e3be6c30e623}">
          <xlrd:rvb i="19048"/>
        </ext>
      </extLst>
    </bk>
    <bk>
      <extLst>
        <ext uri="{3e2802c4-a4d2-4d8b-9148-e3be6c30e623}">
          <xlrd:rvb i="19049"/>
        </ext>
      </extLst>
    </bk>
    <bk>
      <extLst>
        <ext uri="{3e2802c4-a4d2-4d8b-9148-e3be6c30e623}">
          <xlrd:rvb i="19050"/>
        </ext>
      </extLst>
    </bk>
    <bk>
      <extLst>
        <ext uri="{3e2802c4-a4d2-4d8b-9148-e3be6c30e623}">
          <xlrd:rvb i="19051"/>
        </ext>
      </extLst>
    </bk>
    <bk>
      <extLst>
        <ext uri="{3e2802c4-a4d2-4d8b-9148-e3be6c30e623}">
          <xlrd:rvb i="19052"/>
        </ext>
      </extLst>
    </bk>
    <bk>
      <extLst>
        <ext uri="{3e2802c4-a4d2-4d8b-9148-e3be6c30e623}">
          <xlrd:rvb i="19053"/>
        </ext>
      </extLst>
    </bk>
    <bk>
      <extLst>
        <ext uri="{3e2802c4-a4d2-4d8b-9148-e3be6c30e623}">
          <xlrd:rvb i="19054"/>
        </ext>
      </extLst>
    </bk>
    <bk>
      <extLst>
        <ext uri="{3e2802c4-a4d2-4d8b-9148-e3be6c30e623}">
          <xlrd:rvb i="19055"/>
        </ext>
      </extLst>
    </bk>
    <bk>
      <extLst>
        <ext uri="{3e2802c4-a4d2-4d8b-9148-e3be6c30e623}">
          <xlrd:rvb i="19056"/>
        </ext>
      </extLst>
    </bk>
    <bk>
      <extLst>
        <ext uri="{3e2802c4-a4d2-4d8b-9148-e3be6c30e623}">
          <xlrd:rvb i="19057"/>
        </ext>
      </extLst>
    </bk>
    <bk>
      <extLst>
        <ext uri="{3e2802c4-a4d2-4d8b-9148-e3be6c30e623}">
          <xlrd:rvb i="19058"/>
        </ext>
      </extLst>
    </bk>
    <bk>
      <extLst>
        <ext uri="{3e2802c4-a4d2-4d8b-9148-e3be6c30e623}">
          <xlrd:rvb i="19059"/>
        </ext>
      </extLst>
    </bk>
    <bk>
      <extLst>
        <ext uri="{3e2802c4-a4d2-4d8b-9148-e3be6c30e623}">
          <xlrd:rvb i="19060"/>
        </ext>
      </extLst>
    </bk>
    <bk>
      <extLst>
        <ext uri="{3e2802c4-a4d2-4d8b-9148-e3be6c30e623}">
          <xlrd:rvb i="19061"/>
        </ext>
      </extLst>
    </bk>
    <bk>
      <extLst>
        <ext uri="{3e2802c4-a4d2-4d8b-9148-e3be6c30e623}">
          <xlrd:rvb i="19062"/>
        </ext>
      </extLst>
    </bk>
    <bk>
      <extLst>
        <ext uri="{3e2802c4-a4d2-4d8b-9148-e3be6c30e623}">
          <xlrd:rvb i="19063"/>
        </ext>
      </extLst>
    </bk>
    <bk>
      <extLst>
        <ext uri="{3e2802c4-a4d2-4d8b-9148-e3be6c30e623}">
          <xlrd:rvb i="19064"/>
        </ext>
      </extLst>
    </bk>
    <bk>
      <extLst>
        <ext uri="{3e2802c4-a4d2-4d8b-9148-e3be6c30e623}">
          <xlrd:rvb i="19065"/>
        </ext>
      </extLst>
    </bk>
    <bk>
      <extLst>
        <ext uri="{3e2802c4-a4d2-4d8b-9148-e3be6c30e623}">
          <xlrd:rvb i="19066"/>
        </ext>
      </extLst>
    </bk>
    <bk>
      <extLst>
        <ext uri="{3e2802c4-a4d2-4d8b-9148-e3be6c30e623}">
          <xlrd:rvb i="19067"/>
        </ext>
      </extLst>
    </bk>
    <bk>
      <extLst>
        <ext uri="{3e2802c4-a4d2-4d8b-9148-e3be6c30e623}">
          <xlrd:rvb i="19068"/>
        </ext>
      </extLst>
    </bk>
    <bk>
      <extLst>
        <ext uri="{3e2802c4-a4d2-4d8b-9148-e3be6c30e623}">
          <xlrd:rvb i="19069"/>
        </ext>
      </extLst>
    </bk>
    <bk>
      <extLst>
        <ext uri="{3e2802c4-a4d2-4d8b-9148-e3be6c30e623}">
          <xlrd:rvb i="19070"/>
        </ext>
      </extLst>
    </bk>
    <bk>
      <extLst>
        <ext uri="{3e2802c4-a4d2-4d8b-9148-e3be6c30e623}">
          <xlrd:rvb i="19071"/>
        </ext>
      </extLst>
    </bk>
    <bk>
      <extLst>
        <ext uri="{3e2802c4-a4d2-4d8b-9148-e3be6c30e623}">
          <xlrd:rvb i="19072"/>
        </ext>
      </extLst>
    </bk>
    <bk>
      <extLst>
        <ext uri="{3e2802c4-a4d2-4d8b-9148-e3be6c30e623}">
          <xlrd:rvb i="19073"/>
        </ext>
      </extLst>
    </bk>
    <bk>
      <extLst>
        <ext uri="{3e2802c4-a4d2-4d8b-9148-e3be6c30e623}">
          <xlrd:rvb i="19074"/>
        </ext>
      </extLst>
    </bk>
    <bk>
      <extLst>
        <ext uri="{3e2802c4-a4d2-4d8b-9148-e3be6c30e623}">
          <xlrd:rvb i="19075"/>
        </ext>
      </extLst>
    </bk>
    <bk>
      <extLst>
        <ext uri="{3e2802c4-a4d2-4d8b-9148-e3be6c30e623}">
          <xlrd:rvb i="19076"/>
        </ext>
      </extLst>
    </bk>
    <bk>
      <extLst>
        <ext uri="{3e2802c4-a4d2-4d8b-9148-e3be6c30e623}">
          <xlrd:rvb i="19077"/>
        </ext>
      </extLst>
    </bk>
    <bk>
      <extLst>
        <ext uri="{3e2802c4-a4d2-4d8b-9148-e3be6c30e623}">
          <xlrd:rvb i="19078"/>
        </ext>
      </extLst>
    </bk>
    <bk>
      <extLst>
        <ext uri="{3e2802c4-a4d2-4d8b-9148-e3be6c30e623}">
          <xlrd:rvb i="19079"/>
        </ext>
      </extLst>
    </bk>
    <bk>
      <extLst>
        <ext uri="{3e2802c4-a4d2-4d8b-9148-e3be6c30e623}">
          <xlrd:rvb i="19080"/>
        </ext>
      </extLst>
    </bk>
    <bk>
      <extLst>
        <ext uri="{3e2802c4-a4d2-4d8b-9148-e3be6c30e623}">
          <xlrd:rvb i="19081"/>
        </ext>
      </extLst>
    </bk>
    <bk>
      <extLst>
        <ext uri="{3e2802c4-a4d2-4d8b-9148-e3be6c30e623}">
          <xlrd:rvb i="19082"/>
        </ext>
      </extLst>
    </bk>
    <bk>
      <extLst>
        <ext uri="{3e2802c4-a4d2-4d8b-9148-e3be6c30e623}">
          <xlrd:rvb i="19083"/>
        </ext>
      </extLst>
    </bk>
    <bk>
      <extLst>
        <ext uri="{3e2802c4-a4d2-4d8b-9148-e3be6c30e623}">
          <xlrd:rvb i="19084"/>
        </ext>
      </extLst>
    </bk>
    <bk>
      <extLst>
        <ext uri="{3e2802c4-a4d2-4d8b-9148-e3be6c30e623}">
          <xlrd:rvb i="19085"/>
        </ext>
      </extLst>
    </bk>
    <bk>
      <extLst>
        <ext uri="{3e2802c4-a4d2-4d8b-9148-e3be6c30e623}">
          <xlrd:rvb i="19086"/>
        </ext>
      </extLst>
    </bk>
    <bk>
      <extLst>
        <ext uri="{3e2802c4-a4d2-4d8b-9148-e3be6c30e623}">
          <xlrd:rvb i="19087"/>
        </ext>
      </extLst>
    </bk>
    <bk>
      <extLst>
        <ext uri="{3e2802c4-a4d2-4d8b-9148-e3be6c30e623}">
          <xlrd:rvb i="19088"/>
        </ext>
      </extLst>
    </bk>
    <bk>
      <extLst>
        <ext uri="{3e2802c4-a4d2-4d8b-9148-e3be6c30e623}">
          <xlrd:rvb i="19089"/>
        </ext>
      </extLst>
    </bk>
    <bk>
      <extLst>
        <ext uri="{3e2802c4-a4d2-4d8b-9148-e3be6c30e623}">
          <xlrd:rvb i="19090"/>
        </ext>
      </extLst>
    </bk>
    <bk>
      <extLst>
        <ext uri="{3e2802c4-a4d2-4d8b-9148-e3be6c30e623}">
          <xlrd:rvb i="19091"/>
        </ext>
      </extLst>
    </bk>
    <bk>
      <extLst>
        <ext uri="{3e2802c4-a4d2-4d8b-9148-e3be6c30e623}">
          <xlrd:rvb i="19092"/>
        </ext>
      </extLst>
    </bk>
    <bk>
      <extLst>
        <ext uri="{3e2802c4-a4d2-4d8b-9148-e3be6c30e623}">
          <xlrd:rvb i="19093"/>
        </ext>
      </extLst>
    </bk>
    <bk>
      <extLst>
        <ext uri="{3e2802c4-a4d2-4d8b-9148-e3be6c30e623}">
          <xlrd:rvb i="19094"/>
        </ext>
      </extLst>
    </bk>
    <bk>
      <extLst>
        <ext uri="{3e2802c4-a4d2-4d8b-9148-e3be6c30e623}">
          <xlrd:rvb i="19095"/>
        </ext>
      </extLst>
    </bk>
    <bk>
      <extLst>
        <ext uri="{3e2802c4-a4d2-4d8b-9148-e3be6c30e623}">
          <xlrd:rvb i="19096"/>
        </ext>
      </extLst>
    </bk>
    <bk>
      <extLst>
        <ext uri="{3e2802c4-a4d2-4d8b-9148-e3be6c30e623}">
          <xlrd:rvb i="19097"/>
        </ext>
      </extLst>
    </bk>
    <bk>
      <extLst>
        <ext uri="{3e2802c4-a4d2-4d8b-9148-e3be6c30e623}">
          <xlrd:rvb i="19098"/>
        </ext>
      </extLst>
    </bk>
    <bk>
      <extLst>
        <ext uri="{3e2802c4-a4d2-4d8b-9148-e3be6c30e623}">
          <xlrd:rvb i="19099"/>
        </ext>
      </extLst>
    </bk>
    <bk>
      <extLst>
        <ext uri="{3e2802c4-a4d2-4d8b-9148-e3be6c30e623}">
          <xlrd:rvb i="19100"/>
        </ext>
      </extLst>
    </bk>
    <bk>
      <extLst>
        <ext uri="{3e2802c4-a4d2-4d8b-9148-e3be6c30e623}">
          <xlrd:rvb i="19101"/>
        </ext>
      </extLst>
    </bk>
    <bk>
      <extLst>
        <ext uri="{3e2802c4-a4d2-4d8b-9148-e3be6c30e623}">
          <xlrd:rvb i="19102"/>
        </ext>
      </extLst>
    </bk>
    <bk>
      <extLst>
        <ext uri="{3e2802c4-a4d2-4d8b-9148-e3be6c30e623}">
          <xlrd:rvb i="19103"/>
        </ext>
      </extLst>
    </bk>
    <bk>
      <extLst>
        <ext uri="{3e2802c4-a4d2-4d8b-9148-e3be6c30e623}">
          <xlrd:rvb i="19104"/>
        </ext>
      </extLst>
    </bk>
    <bk>
      <extLst>
        <ext uri="{3e2802c4-a4d2-4d8b-9148-e3be6c30e623}">
          <xlrd:rvb i="19105"/>
        </ext>
      </extLst>
    </bk>
    <bk>
      <extLst>
        <ext uri="{3e2802c4-a4d2-4d8b-9148-e3be6c30e623}">
          <xlrd:rvb i="19106"/>
        </ext>
      </extLst>
    </bk>
    <bk>
      <extLst>
        <ext uri="{3e2802c4-a4d2-4d8b-9148-e3be6c30e623}">
          <xlrd:rvb i="19107"/>
        </ext>
      </extLst>
    </bk>
    <bk>
      <extLst>
        <ext uri="{3e2802c4-a4d2-4d8b-9148-e3be6c30e623}">
          <xlrd:rvb i="19108"/>
        </ext>
      </extLst>
    </bk>
    <bk>
      <extLst>
        <ext uri="{3e2802c4-a4d2-4d8b-9148-e3be6c30e623}">
          <xlrd:rvb i="19109"/>
        </ext>
      </extLst>
    </bk>
    <bk>
      <extLst>
        <ext uri="{3e2802c4-a4d2-4d8b-9148-e3be6c30e623}">
          <xlrd:rvb i="19110"/>
        </ext>
      </extLst>
    </bk>
    <bk>
      <extLst>
        <ext uri="{3e2802c4-a4d2-4d8b-9148-e3be6c30e623}">
          <xlrd:rvb i="19111"/>
        </ext>
      </extLst>
    </bk>
    <bk>
      <extLst>
        <ext uri="{3e2802c4-a4d2-4d8b-9148-e3be6c30e623}">
          <xlrd:rvb i="19112"/>
        </ext>
      </extLst>
    </bk>
    <bk>
      <extLst>
        <ext uri="{3e2802c4-a4d2-4d8b-9148-e3be6c30e623}">
          <xlrd:rvb i="19113"/>
        </ext>
      </extLst>
    </bk>
    <bk>
      <extLst>
        <ext uri="{3e2802c4-a4d2-4d8b-9148-e3be6c30e623}">
          <xlrd:rvb i="19114"/>
        </ext>
      </extLst>
    </bk>
    <bk>
      <extLst>
        <ext uri="{3e2802c4-a4d2-4d8b-9148-e3be6c30e623}">
          <xlrd:rvb i="19115"/>
        </ext>
      </extLst>
    </bk>
    <bk>
      <extLst>
        <ext uri="{3e2802c4-a4d2-4d8b-9148-e3be6c30e623}">
          <xlrd:rvb i="19116"/>
        </ext>
      </extLst>
    </bk>
    <bk>
      <extLst>
        <ext uri="{3e2802c4-a4d2-4d8b-9148-e3be6c30e623}">
          <xlrd:rvb i="19117"/>
        </ext>
      </extLst>
    </bk>
    <bk>
      <extLst>
        <ext uri="{3e2802c4-a4d2-4d8b-9148-e3be6c30e623}">
          <xlrd:rvb i="19118"/>
        </ext>
      </extLst>
    </bk>
    <bk>
      <extLst>
        <ext uri="{3e2802c4-a4d2-4d8b-9148-e3be6c30e623}">
          <xlrd:rvb i="19119"/>
        </ext>
      </extLst>
    </bk>
    <bk>
      <extLst>
        <ext uri="{3e2802c4-a4d2-4d8b-9148-e3be6c30e623}">
          <xlrd:rvb i="19120"/>
        </ext>
      </extLst>
    </bk>
    <bk>
      <extLst>
        <ext uri="{3e2802c4-a4d2-4d8b-9148-e3be6c30e623}">
          <xlrd:rvb i="19121"/>
        </ext>
      </extLst>
    </bk>
    <bk>
      <extLst>
        <ext uri="{3e2802c4-a4d2-4d8b-9148-e3be6c30e623}">
          <xlrd:rvb i="19122"/>
        </ext>
      </extLst>
    </bk>
    <bk>
      <extLst>
        <ext uri="{3e2802c4-a4d2-4d8b-9148-e3be6c30e623}">
          <xlrd:rvb i="19123"/>
        </ext>
      </extLst>
    </bk>
    <bk>
      <extLst>
        <ext uri="{3e2802c4-a4d2-4d8b-9148-e3be6c30e623}">
          <xlrd:rvb i="19124"/>
        </ext>
      </extLst>
    </bk>
    <bk>
      <extLst>
        <ext uri="{3e2802c4-a4d2-4d8b-9148-e3be6c30e623}">
          <xlrd:rvb i="19125"/>
        </ext>
      </extLst>
    </bk>
    <bk>
      <extLst>
        <ext uri="{3e2802c4-a4d2-4d8b-9148-e3be6c30e623}">
          <xlrd:rvb i="19126"/>
        </ext>
      </extLst>
    </bk>
    <bk>
      <extLst>
        <ext uri="{3e2802c4-a4d2-4d8b-9148-e3be6c30e623}">
          <xlrd:rvb i="19127"/>
        </ext>
      </extLst>
    </bk>
    <bk>
      <extLst>
        <ext uri="{3e2802c4-a4d2-4d8b-9148-e3be6c30e623}">
          <xlrd:rvb i="19128"/>
        </ext>
      </extLst>
    </bk>
    <bk>
      <extLst>
        <ext uri="{3e2802c4-a4d2-4d8b-9148-e3be6c30e623}">
          <xlrd:rvb i="19129"/>
        </ext>
      </extLst>
    </bk>
    <bk>
      <extLst>
        <ext uri="{3e2802c4-a4d2-4d8b-9148-e3be6c30e623}">
          <xlrd:rvb i="19130"/>
        </ext>
      </extLst>
    </bk>
    <bk>
      <extLst>
        <ext uri="{3e2802c4-a4d2-4d8b-9148-e3be6c30e623}">
          <xlrd:rvb i="19131"/>
        </ext>
      </extLst>
    </bk>
    <bk>
      <extLst>
        <ext uri="{3e2802c4-a4d2-4d8b-9148-e3be6c30e623}">
          <xlrd:rvb i="19132"/>
        </ext>
      </extLst>
    </bk>
    <bk>
      <extLst>
        <ext uri="{3e2802c4-a4d2-4d8b-9148-e3be6c30e623}">
          <xlrd:rvb i="19133"/>
        </ext>
      </extLst>
    </bk>
    <bk>
      <extLst>
        <ext uri="{3e2802c4-a4d2-4d8b-9148-e3be6c30e623}">
          <xlrd:rvb i="19134"/>
        </ext>
      </extLst>
    </bk>
    <bk>
      <extLst>
        <ext uri="{3e2802c4-a4d2-4d8b-9148-e3be6c30e623}">
          <xlrd:rvb i="19135"/>
        </ext>
      </extLst>
    </bk>
    <bk>
      <extLst>
        <ext uri="{3e2802c4-a4d2-4d8b-9148-e3be6c30e623}">
          <xlrd:rvb i="19136"/>
        </ext>
      </extLst>
    </bk>
    <bk>
      <extLst>
        <ext uri="{3e2802c4-a4d2-4d8b-9148-e3be6c30e623}">
          <xlrd:rvb i="19137"/>
        </ext>
      </extLst>
    </bk>
    <bk>
      <extLst>
        <ext uri="{3e2802c4-a4d2-4d8b-9148-e3be6c30e623}">
          <xlrd:rvb i="19138"/>
        </ext>
      </extLst>
    </bk>
    <bk>
      <extLst>
        <ext uri="{3e2802c4-a4d2-4d8b-9148-e3be6c30e623}">
          <xlrd:rvb i="19139"/>
        </ext>
      </extLst>
    </bk>
    <bk>
      <extLst>
        <ext uri="{3e2802c4-a4d2-4d8b-9148-e3be6c30e623}">
          <xlrd:rvb i="19140"/>
        </ext>
      </extLst>
    </bk>
    <bk>
      <extLst>
        <ext uri="{3e2802c4-a4d2-4d8b-9148-e3be6c30e623}">
          <xlrd:rvb i="19141"/>
        </ext>
      </extLst>
    </bk>
    <bk>
      <extLst>
        <ext uri="{3e2802c4-a4d2-4d8b-9148-e3be6c30e623}">
          <xlrd:rvb i="19142"/>
        </ext>
      </extLst>
    </bk>
    <bk>
      <extLst>
        <ext uri="{3e2802c4-a4d2-4d8b-9148-e3be6c30e623}">
          <xlrd:rvb i="19143"/>
        </ext>
      </extLst>
    </bk>
    <bk>
      <extLst>
        <ext uri="{3e2802c4-a4d2-4d8b-9148-e3be6c30e623}">
          <xlrd:rvb i="19144"/>
        </ext>
      </extLst>
    </bk>
    <bk>
      <extLst>
        <ext uri="{3e2802c4-a4d2-4d8b-9148-e3be6c30e623}">
          <xlrd:rvb i="19145"/>
        </ext>
      </extLst>
    </bk>
    <bk>
      <extLst>
        <ext uri="{3e2802c4-a4d2-4d8b-9148-e3be6c30e623}">
          <xlrd:rvb i="19146"/>
        </ext>
      </extLst>
    </bk>
    <bk>
      <extLst>
        <ext uri="{3e2802c4-a4d2-4d8b-9148-e3be6c30e623}">
          <xlrd:rvb i="19147"/>
        </ext>
      </extLst>
    </bk>
    <bk>
      <extLst>
        <ext uri="{3e2802c4-a4d2-4d8b-9148-e3be6c30e623}">
          <xlrd:rvb i="19148"/>
        </ext>
      </extLst>
    </bk>
    <bk>
      <extLst>
        <ext uri="{3e2802c4-a4d2-4d8b-9148-e3be6c30e623}">
          <xlrd:rvb i="19149"/>
        </ext>
      </extLst>
    </bk>
    <bk>
      <extLst>
        <ext uri="{3e2802c4-a4d2-4d8b-9148-e3be6c30e623}">
          <xlrd:rvb i="19150"/>
        </ext>
      </extLst>
    </bk>
    <bk>
      <extLst>
        <ext uri="{3e2802c4-a4d2-4d8b-9148-e3be6c30e623}">
          <xlrd:rvb i="19151"/>
        </ext>
      </extLst>
    </bk>
    <bk>
      <extLst>
        <ext uri="{3e2802c4-a4d2-4d8b-9148-e3be6c30e623}">
          <xlrd:rvb i="19152"/>
        </ext>
      </extLst>
    </bk>
    <bk>
      <extLst>
        <ext uri="{3e2802c4-a4d2-4d8b-9148-e3be6c30e623}">
          <xlrd:rvb i="19153"/>
        </ext>
      </extLst>
    </bk>
    <bk>
      <extLst>
        <ext uri="{3e2802c4-a4d2-4d8b-9148-e3be6c30e623}">
          <xlrd:rvb i="19154"/>
        </ext>
      </extLst>
    </bk>
    <bk>
      <extLst>
        <ext uri="{3e2802c4-a4d2-4d8b-9148-e3be6c30e623}">
          <xlrd:rvb i="19155"/>
        </ext>
      </extLst>
    </bk>
    <bk>
      <extLst>
        <ext uri="{3e2802c4-a4d2-4d8b-9148-e3be6c30e623}">
          <xlrd:rvb i="19156"/>
        </ext>
      </extLst>
    </bk>
    <bk>
      <extLst>
        <ext uri="{3e2802c4-a4d2-4d8b-9148-e3be6c30e623}">
          <xlrd:rvb i="19157"/>
        </ext>
      </extLst>
    </bk>
    <bk>
      <extLst>
        <ext uri="{3e2802c4-a4d2-4d8b-9148-e3be6c30e623}">
          <xlrd:rvb i="19158"/>
        </ext>
      </extLst>
    </bk>
    <bk>
      <extLst>
        <ext uri="{3e2802c4-a4d2-4d8b-9148-e3be6c30e623}">
          <xlrd:rvb i="19159"/>
        </ext>
      </extLst>
    </bk>
    <bk>
      <extLst>
        <ext uri="{3e2802c4-a4d2-4d8b-9148-e3be6c30e623}">
          <xlrd:rvb i="19160"/>
        </ext>
      </extLst>
    </bk>
    <bk>
      <extLst>
        <ext uri="{3e2802c4-a4d2-4d8b-9148-e3be6c30e623}">
          <xlrd:rvb i="19161"/>
        </ext>
      </extLst>
    </bk>
    <bk>
      <extLst>
        <ext uri="{3e2802c4-a4d2-4d8b-9148-e3be6c30e623}">
          <xlrd:rvb i="19162"/>
        </ext>
      </extLst>
    </bk>
    <bk>
      <extLst>
        <ext uri="{3e2802c4-a4d2-4d8b-9148-e3be6c30e623}">
          <xlrd:rvb i="19163"/>
        </ext>
      </extLst>
    </bk>
    <bk>
      <extLst>
        <ext uri="{3e2802c4-a4d2-4d8b-9148-e3be6c30e623}">
          <xlrd:rvb i="19164"/>
        </ext>
      </extLst>
    </bk>
    <bk>
      <extLst>
        <ext uri="{3e2802c4-a4d2-4d8b-9148-e3be6c30e623}">
          <xlrd:rvb i="19165"/>
        </ext>
      </extLst>
    </bk>
    <bk>
      <extLst>
        <ext uri="{3e2802c4-a4d2-4d8b-9148-e3be6c30e623}">
          <xlrd:rvb i="19166"/>
        </ext>
      </extLst>
    </bk>
    <bk>
      <extLst>
        <ext uri="{3e2802c4-a4d2-4d8b-9148-e3be6c30e623}">
          <xlrd:rvb i="19167"/>
        </ext>
      </extLst>
    </bk>
    <bk>
      <extLst>
        <ext uri="{3e2802c4-a4d2-4d8b-9148-e3be6c30e623}">
          <xlrd:rvb i="19168"/>
        </ext>
      </extLst>
    </bk>
    <bk>
      <extLst>
        <ext uri="{3e2802c4-a4d2-4d8b-9148-e3be6c30e623}">
          <xlrd:rvb i="19169"/>
        </ext>
      </extLst>
    </bk>
    <bk>
      <extLst>
        <ext uri="{3e2802c4-a4d2-4d8b-9148-e3be6c30e623}">
          <xlrd:rvb i="19170"/>
        </ext>
      </extLst>
    </bk>
    <bk>
      <extLst>
        <ext uri="{3e2802c4-a4d2-4d8b-9148-e3be6c30e623}">
          <xlrd:rvb i="19171"/>
        </ext>
      </extLst>
    </bk>
    <bk>
      <extLst>
        <ext uri="{3e2802c4-a4d2-4d8b-9148-e3be6c30e623}">
          <xlrd:rvb i="19172"/>
        </ext>
      </extLst>
    </bk>
    <bk>
      <extLst>
        <ext uri="{3e2802c4-a4d2-4d8b-9148-e3be6c30e623}">
          <xlrd:rvb i="19173"/>
        </ext>
      </extLst>
    </bk>
    <bk>
      <extLst>
        <ext uri="{3e2802c4-a4d2-4d8b-9148-e3be6c30e623}">
          <xlrd:rvb i="19174"/>
        </ext>
      </extLst>
    </bk>
    <bk>
      <extLst>
        <ext uri="{3e2802c4-a4d2-4d8b-9148-e3be6c30e623}">
          <xlrd:rvb i="19175"/>
        </ext>
      </extLst>
    </bk>
    <bk>
      <extLst>
        <ext uri="{3e2802c4-a4d2-4d8b-9148-e3be6c30e623}">
          <xlrd:rvb i="19176"/>
        </ext>
      </extLst>
    </bk>
    <bk>
      <extLst>
        <ext uri="{3e2802c4-a4d2-4d8b-9148-e3be6c30e623}">
          <xlrd:rvb i="19177"/>
        </ext>
      </extLst>
    </bk>
    <bk>
      <extLst>
        <ext uri="{3e2802c4-a4d2-4d8b-9148-e3be6c30e623}">
          <xlrd:rvb i="19178"/>
        </ext>
      </extLst>
    </bk>
    <bk>
      <extLst>
        <ext uri="{3e2802c4-a4d2-4d8b-9148-e3be6c30e623}">
          <xlrd:rvb i="19179"/>
        </ext>
      </extLst>
    </bk>
    <bk>
      <extLst>
        <ext uri="{3e2802c4-a4d2-4d8b-9148-e3be6c30e623}">
          <xlrd:rvb i="19180"/>
        </ext>
      </extLst>
    </bk>
    <bk>
      <extLst>
        <ext uri="{3e2802c4-a4d2-4d8b-9148-e3be6c30e623}">
          <xlrd:rvb i="19181"/>
        </ext>
      </extLst>
    </bk>
    <bk>
      <extLst>
        <ext uri="{3e2802c4-a4d2-4d8b-9148-e3be6c30e623}">
          <xlrd:rvb i="19182"/>
        </ext>
      </extLst>
    </bk>
    <bk>
      <extLst>
        <ext uri="{3e2802c4-a4d2-4d8b-9148-e3be6c30e623}">
          <xlrd:rvb i="19183"/>
        </ext>
      </extLst>
    </bk>
    <bk>
      <extLst>
        <ext uri="{3e2802c4-a4d2-4d8b-9148-e3be6c30e623}">
          <xlrd:rvb i="19184"/>
        </ext>
      </extLst>
    </bk>
    <bk>
      <extLst>
        <ext uri="{3e2802c4-a4d2-4d8b-9148-e3be6c30e623}">
          <xlrd:rvb i="19185"/>
        </ext>
      </extLst>
    </bk>
    <bk>
      <extLst>
        <ext uri="{3e2802c4-a4d2-4d8b-9148-e3be6c30e623}">
          <xlrd:rvb i="19186"/>
        </ext>
      </extLst>
    </bk>
    <bk>
      <extLst>
        <ext uri="{3e2802c4-a4d2-4d8b-9148-e3be6c30e623}">
          <xlrd:rvb i="19187"/>
        </ext>
      </extLst>
    </bk>
    <bk>
      <extLst>
        <ext uri="{3e2802c4-a4d2-4d8b-9148-e3be6c30e623}">
          <xlrd:rvb i="19188"/>
        </ext>
      </extLst>
    </bk>
    <bk>
      <extLst>
        <ext uri="{3e2802c4-a4d2-4d8b-9148-e3be6c30e623}">
          <xlrd:rvb i="19189"/>
        </ext>
      </extLst>
    </bk>
    <bk>
      <extLst>
        <ext uri="{3e2802c4-a4d2-4d8b-9148-e3be6c30e623}">
          <xlrd:rvb i="19190"/>
        </ext>
      </extLst>
    </bk>
    <bk>
      <extLst>
        <ext uri="{3e2802c4-a4d2-4d8b-9148-e3be6c30e623}">
          <xlrd:rvb i="19191"/>
        </ext>
      </extLst>
    </bk>
    <bk>
      <extLst>
        <ext uri="{3e2802c4-a4d2-4d8b-9148-e3be6c30e623}">
          <xlrd:rvb i="19192"/>
        </ext>
      </extLst>
    </bk>
    <bk>
      <extLst>
        <ext uri="{3e2802c4-a4d2-4d8b-9148-e3be6c30e623}">
          <xlrd:rvb i="19193"/>
        </ext>
      </extLst>
    </bk>
    <bk>
      <extLst>
        <ext uri="{3e2802c4-a4d2-4d8b-9148-e3be6c30e623}">
          <xlrd:rvb i="19194"/>
        </ext>
      </extLst>
    </bk>
    <bk>
      <extLst>
        <ext uri="{3e2802c4-a4d2-4d8b-9148-e3be6c30e623}">
          <xlrd:rvb i="19195"/>
        </ext>
      </extLst>
    </bk>
    <bk>
      <extLst>
        <ext uri="{3e2802c4-a4d2-4d8b-9148-e3be6c30e623}">
          <xlrd:rvb i="19196"/>
        </ext>
      </extLst>
    </bk>
    <bk>
      <extLst>
        <ext uri="{3e2802c4-a4d2-4d8b-9148-e3be6c30e623}">
          <xlrd:rvb i="19197"/>
        </ext>
      </extLst>
    </bk>
    <bk>
      <extLst>
        <ext uri="{3e2802c4-a4d2-4d8b-9148-e3be6c30e623}">
          <xlrd:rvb i="19198"/>
        </ext>
      </extLst>
    </bk>
    <bk>
      <extLst>
        <ext uri="{3e2802c4-a4d2-4d8b-9148-e3be6c30e623}">
          <xlrd:rvb i="19199"/>
        </ext>
      </extLst>
    </bk>
    <bk>
      <extLst>
        <ext uri="{3e2802c4-a4d2-4d8b-9148-e3be6c30e623}">
          <xlrd:rvb i="19200"/>
        </ext>
      </extLst>
    </bk>
    <bk>
      <extLst>
        <ext uri="{3e2802c4-a4d2-4d8b-9148-e3be6c30e623}">
          <xlrd:rvb i="19201"/>
        </ext>
      </extLst>
    </bk>
    <bk>
      <extLst>
        <ext uri="{3e2802c4-a4d2-4d8b-9148-e3be6c30e623}">
          <xlrd:rvb i="19202"/>
        </ext>
      </extLst>
    </bk>
    <bk>
      <extLst>
        <ext uri="{3e2802c4-a4d2-4d8b-9148-e3be6c30e623}">
          <xlrd:rvb i="19203"/>
        </ext>
      </extLst>
    </bk>
    <bk>
      <extLst>
        <ext uri="{3e2802c4-a4d2-4d8b-9148-e3be6c30e623}">
          <xlrd:rvb i="19204"/>
        </ext>
      </extLst>
    </bk>
    <bk>
      <extLst>
        <ext uri="{3e2802c4-a4d2-4d8b-9148-e3be6c30e623}">
          <xlrd:rvb i="19205"/>
        </ext>
      </extLst>
    </bk>
    <bk>
      <extLst>
        <ext uri="{3e2802c4-a4d2-4d8b-9148-e3be6c30e623}">
          <xlrd:rvb i="19206"/>
        </ext>
      </extLst>
    </bk>
    <bk>
      <extLst>
        <ext uri="{3e2802c4-a4d2-4d8b-9148-e3be6c30e623}">
          <xlrd:rvb i="19207"/>
        </ext>
      </extLst>
    </bk>
    <bk>
      <extLst>
        <ext uri="{3e2802c4-a4d2-4d8b-9148-e3be6c30e623}">
          <xlrd:rvb i="19208"/>
        </ext>
      </extLst>
    </bk>
    <bk>
      <extLst>
        <ext uri="{3e2802c4-a4d2-4d8b-9148-e3be6c30e623}">
          <xlrd:rvb i="19209"/>
        </ext>
      </extLst>
    </bk>
    <bk>
      <extLst>
        <ext uri="{3e2802c4-a4d2-4d8b-9148-e3be6c30e623}">
          <xlrd:rvb i="19210"/>
        </ext>
      </extLst>
    </bk>
    <bk>
      <extLst>
        <ext uri="{3e2802c4-a4d2-4d8b-9148-e3be6c30e623}">
          <xlrd:rvb i="19211"/>
        </ext>
      </extLst>
    </bk>
    <bk>
      <extLst>
        <ext uri="{3e2802c4-a4d2-4d8b-9148-e3be6c30e623}">
          <xlrd:rvb i="19212"/>
        </ext>
      </extLst>
    </bk>
    <bk>
      <extLst>
        <ext uri="{3e2802c4-a4d2-4d8b-9148-e3be6c30e623}">
          <xlrd:rvb i="19213"/>
        </ext>
      </extLst>
    </bk>
    <bk>
      <extLst>
        <ext uri="{3e2802c4-a4d2-4d8b-9148-e3be6c30e623}">
          <xlrd:rvb i="19214"/>
        </ext>
      </extLst>
    </bk>
    <bk>
      <extLst>
        <ext uri="{3e2802c4-a4d2-4d8b-9148-e3be6c30e623}">
          <xlrd:rvb i="19215"/>
        </ext>
      </extLst>
    </bk>
    <bk>
      <extLst>
        <ext uri="{3e2802c4-a4d2-4d8b-9148-e3be6c30e623}">
          <xlrd:rvb i="19216"/>
        </ext>
      </extLst>
    </bk>
    <bk>
      <extLst>
        <ext uri="{3e2802c4-a4d2-4d8b-9148-e3be6c30e623}">
          <xlrd:rvb i="19217"/>
        </ext>
      </extLst>
    </bk>
    <bk>
      <extLst>
        <ext uri="{3e2802c4-a4d2-4d8b-9148-e3be6c30e623}">
          <xlrd:rvb i="19218"/>
        </ext>
      </extLst>
    </bk>
    <bk>
      <extLst>
        <ext uri="{3e2802c4-a4d2-4d8b-9148-e3be6c30e623}">
          <xlrd:rvb i="19219"/>
        </ext>
      </extLst>
    </bk>
    <bk>
      <extLst>
        <ext uri="{3e2802c4-a4d2-4d8b-9148-e3be6c30e623}">
          <xlrd:rvb i="19220"/>
        </ext>
      </extLst>
    </bk>
    <bk>
      <extLst>
        <ext uri="{3e2802c4-a4d2-4d8b-9148-e3be6c30e623}">
          <xlrd:rvb i="19221"/>
        </ext>
      </extLst>
    </bk>
    <bk>
      <extLst>
        <ext uri="{3e2802c4-a4d2-4d8b-9148-e3be6c30e623}">
          <xlrd:rvb i="19222"/>
        </ext>
      </extLst>
    </bk>
    <bk>
      <extLst>
        <ext uri="{3e2802c4-a4d2-4d8b-9148-e3be6c30e623}">
          <xlrd:rvb i="19223"/>
        </ext>
      </extLst>
    </bk>
    <bk>
      <extLst>
        <ext uri="{3e2802c4-a4d2-4d8b-9148-e3be6c30e623}">
          <xlrd:rvb i="19224"/>
        </ext>
      </extLst>
    </bk>
    <bk>
      <extLst>
        <ext uri="{3e2802c4-a4d2-4d8b-9148-e3be6c30e623}">
          <xlrd:rvb i="19225"/>
        </ext>
      </extLst>
    </bk>
    <bk>
      <extLst>
        <ext uri="{3e2802c4-a4d2-4d8b-9148-e3be6c30e623}">
          <xlrd:rvb i="19226"/>
        </ext>
      </extLst>
    </bk>
    <bk>
      <extLst>
        <ext uri="{3e2802c4-a4d2-4d8b-9148-e3be6c30e623}">
          <xlrd:rvb i="19227"/>
        </ext>
      </extLst>
    </bk>
    <bk>
      <extLst>
        <ext uri="{3e2802c4-a4d2-4d8b-9148-e3be6c30e623}">
          <xlrd:rvb i="19228"/>
        </ext>
      </extLst>
    </bk>
    <bk>
      <extLst>
        <ext uri="{3e2802c4-a4d2-4d8b-9148-e3be6c30e623}">
          <xlrd:rvb i="19229"/>
        </ext>
      </extLst>
    </bk>
    <bk>
      <extLst>
        <ext uri="{3e2802c4-a4d2-4d8b-9148-e3be6c30e623}">
          <xlrd:rvb i="19230"/>
        </ext>
      </extLst>
    </bk>
    <bk>
      <extLst>
        <ext uri="{3e2802c4-a4d2-4d8b-9148-e3be6c30e623}">
          <xlrd:rvb i="19231"/>
        </ext>
      </extLst>
    </bk>
    <bk>
      <extLst>
        <ext uri="{3e2802c4-a4d2-4d8b-9148-e3be6c30e623}">
          <xlrd:rvb i="19232"/>
        </ext>
      </extLst>
    </bk>
    <bk>
      <extLst>
        <ext uri="{3e2802c4-a4d2-4d8b-9148-e3be6c30e623}">
          <xlrd:rvb i="19233"/>
        </ext>
      </extLst>
    </bk>
    <bk>
      <extLst>
        <ext uri="{3e2802c4-a4d2-4d8b-9148-e3be6c30e623}">
          <xlrd:rvb i="19234"/>
        </ext>
      </extLst>
    </bk>
    <bk>
      <extLst>
        <ext uri="{3e2802c4-a4d2-4d8b-9148-e3be6c30e623}">
          <xlrd:rvb i="19235"/>
        </ext>
      </extLst>
    </bk>
    <bk>
      <extLst>
        <ext uri="{3e2802c4-a4d2-4d8b-9148-e3be6c30e623}">
          <xlrd:rvb i="19236"/>
        </ext>
      </extLst>
    </bk>
    <bk>
      <extLst>
        <ext uri="{3e2802c4-a4d2-4d8b-9148-e3be6c30e623}">
          <xlrd:rvb i="19237"/>
        </ext>
      </extLst>
    </bk>
    <bk>
      <extLst>
        <ext uri="{3e2802c4-a4d2-4d8b-9148-e3be6c30e623}">
          <xlrd:rvb i="19238"/>
        </ext>
      </extLst>
    </bk>
    <bk>
      <extLst>
        <ext uri="{3e2802c4-a4d2-4d8b-9148-e3be6c30e623}">
          <xlrd:rvb i="19239"/>
        </ext>
      </extLst>
    </bk>
    <bk>
      <extLst>
        <ext uri="{3e2802c4-a4d2-4d8b-9148-e3be6c30e623}">
          <xlrd:rvb i="19240"/>
        </ext>
      </extLst>
    </bk>
    <bk>
      <extLst>
        <ext uri="{3e2802c4-a4d2-4d8b-9148-e3be6c30e623}">
          <xlrd:rvb i="19241"/>
        </ext>
      </extLst>
    </bk>
    <bk>
      <extLst>
        <ext uri="{3e2802c4-a4d2-4d8b-9148-e3be6c30e623}">
          <xlrd:rvb i="19242"/>
        </ext>
      </extLst>
    </bk>
    <bk>
      <extLst>
        <ext uri="{3e2802c4-a4d2-4d8b-9148-e3be6c30e623}">
          <xlrd:rvb i="19243"/>
        </ext>
      </extLst>
    </bk>
    <bk>
      <extLst>
        <ext uri="{3e2802c4-a4d2-4d8b-9148-e3be6c30e623}">
          <xlrd:rvb i="19244"/>
        </ext>
      </extLst>
    </bk>
    <bk>
      <extLst>
        <ext uri="{3e2802c4-a4d2-4d8b-9148-e3be6c30e623}">
          <xlrd:rvb i="19245"/>
        </ext>
      </extLst>
    </bk>
    <bk>
      <extLst>
        <ext uri="{3e2802c4-a4d2-4d8b-9148-e3be6c30e623}">
          <xlrd:rvb i="19246"/>
        </ext>
      </extLst>
    </bk>
    <bk>
      <extLst>
        <ext uri="{3e2802c4-a4d2-4d8b-9148-e3be6c30e623}">
          <xlrd:rvb i="19247"/>
        </ext>
      </extLst>
    </bk>
    <bk>
      <extLst>
        <ext uri="{3e2802c4-a4d2-4d8b-9148-e3be6c30e623}">
          <xlrd:rvb i="19248"/>
        </ext>
      </extLst>
    </bk>
    <bk>
      <extLst>
        <ext uri="{3e2802c4-a4d2-4d8b-9148-e3be6c30e623}">
          <xlrd:rvb i="19249"/>
        </ext>
      </extLst>
    </bk>
    <bk>
      <extLst>
        <ext uri="{3e2802c4-a4d2-4d8b-9148-e3be6c30e623}">
          <xlrd:rvb i="19250"/>
        </ext>
      </extLst>
    </bk>
    <bk>
      <extLst>
        <ext uri="{3e2802c4-a4d2-4d8b-9148-e3be6c30e623}">
          <xlrd:rvb i="19251"/>
        </ext>
      </extLst>
    </bk>
    <bk>
      <extLst>
        <ext uri="{3e2802c4-a4d2-4d8b-9148-e3be6c30e623}">
          <xlrd:rvb i="19252"/>
        </ext>
      </extLst>
    </bk>
    <bk>
      <extLst>
        <ext uri="{3e2802c4-a4d2-4d8b-9148-e3be6c30e623}">
          <xlrd:rvb i="19253"/>
        </ext>
      </extLst>
    </bk>
    <bk>
      <extLst>
        <ext uri="{3e2802c4-a4d2-4d8b-9148-e3be6c30e623}">
          <xlrd:rvb i="19254"/>
        </ext>
      </extLst>
    </bk>
    <bk>
      <extLst>
        <ext uri="{3e2802c4-a4d2-4d8b-9148-e3be6c30e623}">
          <xlrd:rvb i="19255"/>
        </ext>
      </extLst>
    </bk>
    <bk>
      <extLst>
        <ext uri="{3e2802c4-a4d2-4d8b-9148-e3be6c30e623}">
          <xlrd:rvb i="19256"/>
        </ext>
      </extLst>
    </bk>
    <bk>
      <extLst>
        <ext uri="{3e2802c4-a4d2-4d8b-9148-e3be6c30e623}">
          <xlrd:rvb i="19257"/>
        </ext>
      </extLst>
    </bk>
    <bk>
      <extLst>
        <ext uri="{3e2802c4-a4d2-4d8b-9148-e3be6c30e623}">
          <xlrd:rvb i="19258"/>
        </ext>
      </extLst>
    </bk>
    <bk>
      <extLst>
        <ext uri="{3e2802c4-a4d2-4d8b-9148-e3be6c30e623}">
          <xlrd:rvb i="19259"/>
        </ext>
      </extLst>
    </bk>
    <bk>
      <extLst>
        <ext uri="{3e2802c4-a4d2-4d8b-9148-e3be6c30e623}">
          <xlrd:rvb i="19260"/>
        </ext>
      </extLst>
    </bk>
    <bk>
      <extLst>
        <ext uri="{3e2802c4-a4d2-4d8b-9148-e3be6c30e623}">
          <xlrd:rvb i="19261"/>
        </ext>
      </extLst>
    </bk>
    <bk>
      <extLst>
        <ext uri="{3e2802c4-a4d2-4d8b-9148-e3be6c30e623}">
          <xlrd:rvb i="19262"/>
        </ext>
      </extLst>
    </bk>
    <bk>
      <extLst>
        <ext uri="{3e2802c4-a4d2-4d8b-9148-e3be6c30e623}">
          <xlrd:rvb i="19263"/>
        </ext>
      </extLst>
    </bk>
    <bk>
      <extLst>
        <ext uri="{3e2802c4-a4d2-4d8b-9148-e3be6c30e623}">
          <xlrd:rvb i="19264"/>
        </ext>
      </extLst>
    </bk>
    <bk>
      <extLst>
        <ext uri="{3e2802c4-a4d2-4d8b-9148-e3be6c30e623}">
          <xlrd:rvb i="19265"/>
        </ext>
      </extLst>
    </bk>
    <bk>
      <extLst>
        <ext uri="{3e2802c4-a4d2-4d8b-9148-e3be6c30e623}">
          <xlrd:rvb i="19266"/>
        </ext>
      </extLst>
    </bk>
    <bk>
      <extLst>
        <ext uri="{3e2802c4-a4d2-4d8b-9148-e3be6c30e623}">
          <xlrd:rvb i="19267"/>
        </ext>
      </extLst>
    </bk>
    <bk>
      <extLst>
        <ext uri="{3e2802c4-a4d2-4d8b-9148-e3be6c30e623}">
          <xlrd:rvb i="19268"/>
        </ext>
      </extLst>
    </bk>
    <bk>
      <extLst>
        <ext uri="{3e2802c4-a4d2-4d8b-9148-e3be6c30e623}">
          <xlrd:rvb i="19269"/>
        </ext>
      </extLst>
    </bk>
    <bk>
      <extLst>
        <ext uri="{3e2802c4-a4d2-4d8b-9148-e3be6c30e623}">
          <xlrd:rvb i="19270"/>
        </ext>
      </extLst>
    </bk>
    <bk>
      <extLst>
        <ext uri="{3e2802c4-a4d2-4d8b-9148-e3be6c30e623}">
          <xlrd:rvb i="19271"/>
        </ext>
      </extLst>
    </bk>
    <bk>
      <extLst>
        <ext uri="{3e2802c4-a4d2-4d8b-9148-e3be6c30e623}">
          <xlrd:rvb i="19272"/>
        </ext>
      </extLst>
    </bk>
    <bk>
      <extLst>
        <ext uri="{3e2802c4-a4d2-4d8b-9148-e3be6c30e623}">
          <xlrd:rvb i="19273"/>
        </ext>
      </extLst>
    </bk>
    <bk>
      <extLst>
        <ext uri="{3e2802c4-a4d2-4d8b-9148-e3be6c30e623}">
          <xlrd:rvb i="19274"/>
        </ext>
      </extLst>
    </bk>
    <bk>
      <extLst>
        <ext uri="{3e2802c4-a4d2-4d8b-9148-e3be6c30e623}">
          <xlrd:rvb i="19275"/>
        </ext>
      </extLst>
    </bk>
    <bk>
      <extLst>
        <ext uri="{3e2802c4-a4d2-4d8b-9148-e3be6c30e623}">
          <xlrd:rvb i="19276"/>
        </ext>
      </extLst>
    </bk>
    <bk>
      <extLst>
        <ext uri="{3e2802c4-a4d2-4d8b-9148-e3be6c30e623}">
          <xlrd:rvb i="19277"/>
        </ext>
      </extLst>
    </bk>
    <bk>
      <extLst>
        <ext uri="{3e2802c4-a4d2-4d8b-9148-e3be6c30e623}">
          <xlrd:rvb i="19278"/>
        </ext>
      </extLst>
    </bk>
    <bk>
      <extLst>
        <ext uri="{3e2802c4-a4d2-4d8b-9148-e3be6c30e623}">
          <xlrd:rvb i="19279"/>
        </ext>
      </extLst>
    </bk>
    <bk>
      <extLst>
        <ext uri="{3e2802c4-a4d2-4d8b-9148-e3be6c30e623}">
          <xlrd:rvb i="19280"/>
        </ext>
      </extLst>
    </bk>
    <bk>
      <extLst>
        <ext uri="{3e2802c4-a4d2-4d8b-9148-e3be6c30e623}">
          <xlrd:rvb i="19281"/>
        </ext>
      </extLst>
    </bk>
    <bk>
      <extLst>
        <ext uri="{3e2802c4-a4d2-4d8b-9148-e3be6c30e623}">
          <xlrd:rvb i="19282"/>
        </ext>
      </extLst>
    </bk>
    <bk>
      <extLst>
        <ext uri="{3e2802c4-a4d2-4d8b-9148-e3be6c30e623}">
          <xlrd:rvb i="19283"/>
        </ext>
      </extLst>
    </bk>
    <bk>
      <extLst>
        <ext uri="{3e2802c4-a4d2-4d8b-9148-e3be6c30e623}">
          <xlrd:rvb i="19284"/>
        </ext>
      </extLst>
    </bk>
    <bk>
      <extLst>
        <ext uri="{3e2802c4-a4d2-4d8b-9148-e3be6c30e623}">
          <xlrd:rvb i="19285"/>
        </ext>
      </extLst>
    </bk>
    <bk>
      <extLst>
        <ext uri="{3e2802c4-a4d2-4d8b-9148-e3be6c30e623}">
          <xlrd:rvb i="19286"/>
        </ext>
      </extLst>
    </bk>
    <bk>
      <extLst>
        <ext uri="{3e2802c4-a4d2-4d8b-9148-e3be6c30e623}">
          <xlrd:rvb i="19287"/>
        </ext>
      </extLst>
    </bk>
    <bk>
      <extLst>
        <ext uri="{3e2802c4-a4d2-4d8b-9148-e3be6c30e623}">
          <xlrd:rvb i="19288"/>
        </ext>
      </extLst>
    </bk>
    <bk>
      <extLst>
        <ext uri="{3e2802c4-a4d2-4d8b-9148-e3be6c30e623}">
          <xlrd:rvb i="19289"/>
        </ext>
      </extLst>
    </bk>
    <bk>
      <extLst>
        <ext uri="{3e2802c4-a4d2-4d8b-9148-e3be6c30e623}">
          <xlrd:rvb i="19290"/>
        </ext>
      </extLst>
    </bk>
    <bk>
      <extLst>
        <ext uri="{3e2802c4-a4d2-4d8b-9148-e3be6c30e623}">
          <xlrd:rvb i="19291"/>
        </ext>
      </extLst>
    </bk>
    <bk>
      <extLst>
        <ext uri="{3e2802c4-a4d2-4d8b-9148-e3be6c30e623}">
          <xlrd:rvb i="19292"/>
        </ext>
      </extLst>
    </bk>
    <bk>
      <extLst>
        <ext uri="{3e2802c4-a4d2-4d8b-9148-e3be6c30e623}">
          <xlrd:rvb i="19293"/>
        </ext>
      </extLst>
    </bk>
    <bk>
      <extLst>
        <ext uri="{3e2802c4-a4d2-4d8b-9148-e3be6c30e623}">
          <xlrd:rvb i="19294"/>
        </ext>
      </extLst>
    </bk>
    <bk>
      <extLst>
        <ext uri="{3e2802c4-a4d2-4d8b-9148-e3be6c30e623}">
          <xlrd:rvb i="19295"/>
        </ext>
      </extLst>
    </bk>
    <bk>
      <extLst>
        <ext uri="{3e2802c4-a4d2-4d8b-9148-e3be6c30e623}">
          <xlrd:rvb i="19296"/>
        </ext>
      </extLst>
    </bk>
    <bk>
      <extLst>
        <ext uri="{3e2802c4-a4d2-4d8b-9148-e3be6c30e623}">
          <xlrd:rvb i="19297"/>
        </ext>
      </extLst>
    </bk>
    <bk>
      <extLst>
        <ext uri="{3e2802c4-a4d2-4d8b-9148-e3be6c30e623}">
          <xlrd:rvb i="19298"/>
        </ext>
      </extLst>
    </bk>
    <bk>
      <extLst>
        <ext uri="{3e2802c4-a4d2-4d8b-9148-e3be6c30e623}">
          <xlrd:rvb i="19299"/>
        </ext>
      </extLst>
    </bk>
    <bk>
      <extLst>
        <ext uri="{3e2802c4-a4d2-4d8b-9148-e3be6c30e623}">
          <xlrd:rvb i="19300"/>
        </ext>
      </extLst>
    </bk>
    <bk>
      <extLst>
        <ext uri="{3e2802c4-a4d2-4d8b-9148-e3be6c30e623}">
          <xlrd:rvb i="19301"/>
        </ext>
      </extLst>
    </bk>
    <bk>
      <extLst>
        <ext uri="{3e2802c4-a4d2-4d8b-9148-e3be6c30e623}">
          <xlrd:rvb i="19302"/>
        </ext>
      </extLst>
    </bk>
    <bk>
      <extLst>
        <ext uri="{3e2802c4-a4d2-4d8b-9148-e3be6c30e623}">
          <xlrd:rvb i="19303"/>
        </ext>
      </extLst>
    </bk>
    <bk>
      <extLst>
        <ext uri="{3e2802c4-a4d2-4d8b-9148-e3be6c30e623}">
          <xlrd:rvb i="19304"/>
        </ext>
      </extLst>
    </bk>
    <bk>
      <extLst>
        <ext uri="{3e2802c4-a4d2-4d8b-9148-e3be6c30e623}">
          <xlrd:rvb i="19305"/>
        </ext>
      </extLst>
    </bk>
    <bk>
      <extLst>
        <ext uri="{3e2802c4-a4d2-4d8b-9148-e3be6c30e623}">
          <xlrd:rvb i="19306"/>
        </ext>
      </extLst>
    </bk>
    <bk>
      <extLst>
        <ext uri="{3e2802c4-a4d2-4d8b-9148-e3be6c30e623}">
          <xlrd:rvb i="19307"/>
        </ext>
      </extLst>
    </bk>
    <bk>
      <extLst>
        <ext uri="{3e2802c4-a4d2-4d8b-9148-e3be6c30e623}">
          <xlrd:rvb i="19308"/>
        </ext>
      </extLst>
    </bk>
    <bk>
      <extLst>
        <ext uri="{3e2802c4-a4d2-4d8b-9148-e3be6c30e623}">
          <xlrd:rvb i="19309"/>
        </ext>
      </extLst>
    </bk>
    <bk>
      <extLst>
        <ext uri="{3e2802c4-a4d2-4d8b-9148-e3be6c30e623}">
          <xlrd:rvb i="19310"/>
        </ext>
      </extLst>
    </bk>
    <bk>
      <extLst>
        <ext uri="{3e2802c4-a4d2-4d8b-9148-e3be6c30e623}">
          <xlrd:rvb i="19311"/>
        </ext>
      </extLst>
    </bk>
    <bk>
      <extLst>
        <ext uri="{3e2802c4-a4d2-4d8b-9148-e3be6c30e623}">
          <xlrd:rvb i="19312"/>
        </ext>
      </extLst>
    </bk>
    <bk>
      <extLst>
        <ext uri="{3e2802c4-a4d2-4d8b-9148-e3be6c30e623}">
          <xlrd:rvb i="19313"/>
        </ext>
      </extLst>
    </bk>
    <bk>
      <extLst>
        <ext uri="{3e2802c4-a4d2-4d8b-9148-e3be6c30e623}">
          <xlrd:rvb i="19314"/>
        </ext>
      </extLst>
    </bk>
    <bk>
      <extLst>
        <ext uri="{3e2802c4-a4d2-4d8b-9148-e3be6c30e623}">
          <xlrd:rvb i="19315"/>
        </ext>
      </extLst>
    </bk>
    <bk>
      <extLst>
        <ext uri="{3e2802c4-a4d2-4d8b-9148-e3be6c30e623}">
          <xlrd:rvb i="19316"/>
        </ext>
      </extLst>
    </bk>
    <bk>
      <extLst>
        <ext uri="{3e2802c4-a4d2-4d8b-9148-e3be6c30e623}">
          <xlrd:rvb i="19317"/>
        </ext>
      </extLst>
    </bk>
    <bk>
      <extLst>
        <ext uri="{3e2802c4-a4d2-4d8b-9148-e3be6c30e623}">
          <xlrd:rvb i="19318"/>
        </ext>
      </extLst>
    </bk>
    <bk>
      <extLst>
        <ext uri="{3e2802c4-a4d2-4d8b-9148-e3be6c30e623}">
          <xlrd:rvb i="19319"/>
        </ext>
      </extLst>
    </bk>
    <bk>
      <extLst>
        <ext uri="{3e2802c4-a4d2-4d8b-9148-e3be6c30e623}">
          <xlrd:rvb i="19320"/>
        </ext>
      </extLst>
    </bk>
    <bk>
      <extLst>
        <ext uri="{3e2802c4-a4d2-4d8b-9148-e3be6c30e623}">
          <xlrd:rvb i="19321"/>
        </ext>
      </extLst>
    </bk>
    <bk>
      <extLst>
        <ext uri="{3e2802c4-a4d2-4d8b-9148-e3be6c30e623}">
          <xlrd:rvb i="19322"/>
        </ext>
      </extLst>
    </bk>
    <bk>
      <extLst>
        <ext uri="{3e2802c4-a4d2-4d8b-9148-e3be6c30e623}">
          <xlrd:rvb i="19323"/>
        </ext>
      </extLst>
    </bk>
    <bk>
      <extLst>
        <ext uri="{3e2802c4-a4d2-4d8b-9148-e3be6c30e623}">
          <xlrd:rvb i="19324"/>
        </ext>
      </extLst>
    </bk>
    <bk>
      <extLst>
        <ext uri="{3e2802c4-a4d2-4d8b-9148-e3be6c30e623}">
          <xlrd:rvb i="19325"/>
        </ext>
      </extLst>
    </bk>
    <bk>
      <extLst>
        <ext uri="{3e2802c4-a4d2-4d8b-9148-e3be6c30e623}">
          <xlrd:rvb i="19326"/>
        </ext>
      </extLst>
    </bk>
    <bk>
      <extLst>
        <ext uri="{3e2802c4-a4d2-4d8b-9148-e3be6c30e623}">
          <xlrd:rvb i="19327"/>
        </ext>
      </extLst>
    </bk>
    <bk>
      <extLst>
        <ext uri="{3e2802c4-a4d2-4d8b-9148-e3be6c30e623}">
          <xlrd:rvb i="19328"/>
        </ext>
      </extLst>
    </bk>
    <bk>
      <extLst>
        <ext uri="{3e2802c4-a4d2-4d8b-9148-e3be6c30e623}">
          <xlrd:rvb i="19329"/>
        </ext>
      </extLst>
    </bk>
    <bk>
      <extLst>
        <ext uri="{3e2802c4-a4d2-4d8b-9148-e3be6c30e623}">
          <xlrd:rvb i="19330"/>
        </ext>
      </extLst>
    </bk>
    <bk>
      <extLst>
        <ext uri="{3e2802c4-a4d2-4d8b-9148-e3be6c30e623}">
          <xlrd:rvb i="19331"/>
        </ext>
      </extLst>
    </bk>
    <bk>
      <extLst>
        <ext uri="{3e2802c4-a4d2-4d8b-9148-e3be6c30e623}">
          <xlrd:rvb i="19332"/>
        </ext>
      </extLst>
    </bk>
    <bk>
      <extLst>
        <ext uri="{3e2802c4-a4d2-4d8b-9148-e3be6c30e623}">
          <xlrd:rvb i="19333"/>
        </ext>
      </extLst>
    </bk>
    <bk>
      <extLst>
        <ext uri="{3e2802c4-a4d2-4d8b-9148-e3be6c30e623}">
          <xlrd:rvb i="19334"/>
        </ext>
      </extLst>
    </bk>
    <bk>
      <extLst>
        <ext uri="{3e2802c4-a4d2-4d8b-9148-e3be6c30e623}">
          <xlrd:rvb i="19335"/>
        </ext>
      </extLst>
    </bk>
    <bk>
      <extLst>
        <ext uri="{3e2802c4-a4d2-4d8b-9148-e3be6c30e623}">
          <xlrd:rvb i="19336"/>
        </ext>
      </extLst>
    </bk>
    <bk>
      <extLst>
        <ext uri="{3e2802c4-a4d2-4d8b-9148-e3be6c30e623}">
          <xlrd:rvb i="19337"/>
        </ext>
      </extLst>
    </bk>
    <bk>
      <extLst>
        <ext uri="{3e2802c4-a4d2-4d8b-9148-e3be6c30e623}">
          <xlrd:rvb i="19338"/>
        </ext>
      </extLst>
    </bk>
    <bk>
      <extLst>
        <ext uri="{3e2802c4-a4d2-4d8b-9148-e3be6c30e623}">
          <xlrd:rvb i="19339"/>
        </ext>
      </extLst>
    </bk>
    <bk>
      <extLst>
        <ext uri="{3e2802c4-a4d2-4d8b-9148-e3be6c30e623}">
          <xlrd:rvb i="19340"/>
        </ext>
      </extLst>
    </bk>
    <bk>
      <extLst>
        <ext uri="{3e2802c4-a4d2-4d8b-9148-e3be6c30e623}">
          <xlrd:rvb i="19341"/>
        </ext>
      </extLst>
    </bk>
    <bk>
      <extLst>
        <ext uri="{3e2802c4-a4d2-4d8b-9148-e3be6c30e623}">
          <xlrd:rvb i="19342"/>
        </ext>
      </extLst>
    </bk>
    <bk>
      <extLst>
        <ext uri="{3e2802c4-a4d2-4d8b-9148-e3be6c30e623}">
          <xlrd:rvb i="19343"/>
        </ext>
      </extLst>
    </bk>
    <bk>
      <extLst>
        <ext uri="{3e2802c4-a4d2-4d8b-9148-e3be6c30e623}">
          <xlrd:rvb i="19344"/>
        </ext>
      </extLst>
    </bk>
    <bk>
      <extLst>
        <ext uri="{3e2802c4-a4d2-4d8b-9148-e3be6c30e623}">
          <xlrd:rvb i="19345"/>
        </ext>
      </extLst>
    </bk>
    <bk>
      <extLst>
        <ext uri="{3e2802c4-a4d2-4d8b-9148-e3be6c30e623}">
          <xlrd:rvb i="19346"/>
        </ext>
      </extLst>
    </bk>
    <bk>
      <extLst>
        <ext uri="{3e2802c4-a4d2-4d8b-9148-e3be6c30e623}">
          <xlrd:rvb i="19347"/>
        </ext>
      </extLst>
    </bk>
    <bk>
      <extLst>
        <ext uri="{3e2802c4-a4d2-4d8b-9148-e3be6c30e623}">
          <xlrd:rvb i="19348"/>
        </ext>
      </extLst>
    </bk>
    <bk>
      <extLst>
        <ext uri="{3e2802c4-a4d2-4d8b-9148-e3be6c30e623}">
          <xlrd:rvb i="19349"/>
        </ext>
      </extLst>
    </bk>
    <bk>
      <extLst>
        <ext uri="{3e2802c4-a4d2-4d8b-9148-e3be6c30e623}">
          <xlrd:rvb i="19350"/>
        </ext>
      </extLst>
    </bk>
    <bk>
      <extLst>
        <ext uri="{3e2802c4-a4d2-4d8b-9148-e3be6c30e623}">
          <xlrd:rvb i="19351"/>
        </ext>
      </extLst>
    </bk>
    <bk>
      <extLst>
        <ext uri="{3e2802c4-a4d2-4d8b-9148-e3be6c30e623}">
          <xlrd:rvb i="19352"/>
        </ext>
      </extLst>
    </bk>
    <bk>
      <extLst>
        <ext uri="{3e2802c4-a4d2-4d8b-9148-e3be6c30e623}">
          <xlrd:rvb i="19353"/>
        </ext>
      </extLst>
    </bk>
    <bk>
      <extLst>
        <ext uri="{3e2802c4-a4d2-4d8b-9148-e3be6c30e623}">
          <xlrd:rvb i="19354"/>
        </ext>
      </extLst>
    </bk>
    <bk>
      <extLst>
        <ext uri="{3e2802c4-a4d2-4d8b-9148-e3be6c30e623}">
          <xlrd:rvb i="19355"/>
        </ext>
      </extLst>
    </bk>
    <bk>
      <extLst>
        <ext uri="{3e2802c4-a4d2-4d8b-9148-e3be6c30e623}">
          <xlrd:rvb i="19356"/>
        </ext>
      </extLst>
    </bk>
    <bk>
      <extLst>
        <ext uri="{3e2802c4-a4d2-4d8b-9148-e3be6c30e623}">
          <xlrd:rvb i="19357"/>
        </ext>
      </extLst>
    </bk>
    <bk>
      <extLst>
        <ext uri="{3e2802c4-a4d2-4d8b-9148-e3be6c30e623}">
          <xlrd:rvb i="19358"/>
        </ext>
      </extLst>
    </bk>
    <bk>
      <extLst>
        <ext uri="{3e2802c4-a4d2-4d8b-9148-e3be6c30e623}">
          <xlrd:rvb i="19359"/>
        </ext>
      </extLst>
    </bk>
    <bk>
      <extLst>
        <ext uri="{3e2802c4-a4d2-4d8b-9148-e3be6c30e623}">
          <xlrd:rvb i="19360"/>
        </ext>
      </extLst>
    </bk>
    <bk>
      <extLst>
        <ext uri="{3e2802c4-a4d2-4d8b-9148-e3be6c30e623}">
          <xlrd:rvb i="19361"/>
        </ext>
      </extLst>
    </bk>
    <bk>
      <extLst>
        <ext uri="{3e2802c4-a4d2-4d8b-9148-e3be6c30e623}">
          <xlrd:rvb i="19362"/>
        </ext>
      </extLst>
    </bk>
    <bk>
      <extLst>
        <ext uri="{3e2802c4-a4d2-4d8b-9148-e3be6c30e623}">
          <xlrd:rvb i="19363"/>
        </ext>
      </extLst>
    </bk>
    <bk>
      <extLst>
        <ext uri="{3e2802c4-a4d2-4d8b-9148-e3be6c30e623}">
          <xlrd:rvb i="19364"/>
        </ext>
      </extLst>
    </bk>
    <bk>
      <extLst>
        <ext uri="{3e2802c4-a4d2-4d8b-9148-e3be6c30e623}">
          <xlrd:rvb i="19365"/>
        </ext>
      </extLst>
    </bk>
    <bk>
      <extLst>
        <ext uri="{3e2802c4-a4d2-4d8b-9148-e3be6c30e623}">
          <xlrd:rvb i="19366"/>
        </ext>
      </extLst>
    </bk>
    <bk>
      <extLst>
        <ext uri="{3e2802c4-a4d2-4d8b-9148-e3be6c30e623}">
          <xlrd:rvb i="19367"/>
        </ext>
      </extLst>
    </bk>
    <bk>
      <extLst>
        <ext uri="{3e2802c4-a4d2-4d8b-9148-e3be6c30e623}">
          <xlrd:rvb i="19368"/>
        </ext>
      </extLst>
    </bk>
    <bk>
      <extLst>
        <ext uri="{3e2802c4-a4d2-4d8b-9148-e3be6c30e623}">
          <xlrd:rvb i="19369"/>
        </ext>
      </extLst>
    </bk>
    <bk>
      <extLst>
        <ext uri="{3e2802c4-a4d2-4d8b-9148-e3be6c30e623}">
          <xlrd:rvb i="19370"/>
        </ext>
      </extLst>
    </bk>
    <bk>
      <extLst>
        <ext uri="{3e2802c4-a4d2-4d8b-9148-e3be6c30e623}">
          <xlrd:rvb i="19371"/>
        </ext>
      </extLst>
    </bk>
    <bk>
      <extLst>
        <ext uri="{3e2802c4-a4d2-4d8b-9148-e3be6c30e623}">
          <xlrd:rvb i="19372"/>
        </ext>
      </extLst>
    </bk>
    <bk>
      <extLst>
        <ext uri="{3e2802c4-a4d2-4d8b-9148-e3be6c30e623}">
          <xlrd:rvb i="19373"/>
        </ext>
      </extLst>
    </bk>
    <bk>
      <extLst>
        <ext uri="{3e2802c4-a4d2-4d8b-9148-e3be6c30e623}">
          <xlrd:rvb i="19374"/>
        </ext>
      </extLst>
    </bk>
    <bk>
      <extLst>
        <ext uri="{3e2802c4-a4d2-4d8b-9148-e3be6c30e623}">
          <xlrd:rvb i="19375"/>
        </ext>
      </extLst>
    </bk>
    <bk>
      <extLst>
        <ext uri="{3e2802c4-a4d2-4d8b-9148-e3be6c30e623}">
          <xlrd:rvb i="19376"/>
        </ext>
      </extLst>
    </bk>
    <bk>
      <extLst>
        <ext uri="{3e2802c4-a4d2-4d8b-9148-e3be6c30e623}">
          <xlrd:rvb i="19377"/>
        </ext>
      </extLst>
    </bk>
    <bk>
      <extLst>
        <ext uri="{3e2802c4-a4d2-4d8b-9148-e3be6c30e623}">
          <xlrd:rvb i="19378"/>
        </ext>
      </extLst>
    </bk>
    <bk>
      <extLst>
        <ext uri="{3e2802c4-a4d2-4d8b-9148-e3be6c30e623}">
          <xlrd:rvb i="19379"/>
        </ext>
      </extLst>
    </bk>
    <bk>
      <extLst>
        <ext uri="{3e2802c4-a4d2-4d8b-9148-e3be6c30e623}">
          <xlrd:rvb i="19380"/>
        </ext>
      </extLst>
    </bk>
    <bk>
      <extLst>
        <ext uri="{3e2802c4-a4d2-4d8b-9148-e3be6c30e623}">
          <xlrd:rvb i="19381"/>
        </ext>
      </extLst>
    </bk>
    <bk>
      <extLst>
        <ext uri="{3e2802c4-a4d2-4d8b-9148-e3be6c30e623}">
          <xlrd:rvb i="19382"/>
        </ext>
      </extLst>
    </bk>
    <bk>
      <extLst>
        <ext uri="{3e2802c4-a4d2-4d8b-9148-e3be6c30e623}">
          <xlrd:rvb i="19383"/>
        </ext>
      </extLst>
    </bk>
    <bk>
      <extLst>
        <ext uri="{3e2802c4-a4d2-4d8b-9148-e3be6c30e623}">
          <xlrd:rvb i="19384"/>
        </ext>
      </extLst>
    </bk>
    <bk>
      <extLst>
        <ext uri="{3e2802c4-a4d2-4d8b-9148-e3be6c30e623}">
          <xlrd:rvb i="19385"/>
        </ext>
      </extLst>
    </bk>
    <bk>
      <extLst>
        <ext uri="{3e2802c4-a4d2-4d8b-9148-e3be6c30e623}">
          <xlrd:rvb i="19386"/>
        </ext>
      </extLst>
    </bk>
    <bk>
      <extLst>
        <ext uri="{3e2802c4-a4d2-4d8b-9148-e3be6c30e623}">
          <xlrd:rvb i="19387"/>
        </ext>
      </extLst>
    </bk>
    <bk>
      <extLst>
        <ext uri="{3e2802c4-a4d2-4d8b-9148-e3be6c30e623}">
          <xlrd:rvb i="19388"/>
        </ext>
      </extLst>
    </bk>
    <bk>
      <extLst>
        <ext uri="{3e2802c4-a4d2-4d8b-9148-e3be6c30e623}">
          <xlrd:rvb i="19389"/>
        </ext>
      </extLst>
    </bk>
    <bk>
      <extLst>
        <ext uri="{3e2802c4-a4d2-4d8b-9148-e3be6c30e623}">
          <xlrd:rvb i="19390"/>
        </ext>
      </extLst>
    </bk>
    <bk>
      <extLst>
        <ext uri="{3e2802c4-a4d2-4d8b-9148-e3be6c30e623}">
          <xlrd:rvb i="19391"/>
        </ext>
      </extLst>
    </bk>
    <bk>
      <extLst>
        <ext uri="{3e2802c4-a4d2-4d8b-9148-e3be6c30e623}">
          <xlrd:rvb i="19392"/>
        </ext>
      </extLst>
    </bk>
    <bk>
      <extLst>
        <ext uri="{3e2802c4-a4d2-4d8b-9148-e3be6c30e623}">
          <xlrd:rvb i="19393"/>
        </ext>
      </extLst>
    </bk>
    <bk>
      <extLst>
        <ext uri="{3e2802c4-a4d2-4d8b-9148-e3be6c30e623}">
          <xlrd:rvb i="19394"/>
        </ext>
      </extLst>
    </bk>
    <bk>
      <extLst>
        <ext uri="{3e2802c4-a4d2-4d8b-9148-e3be6c30e623}">
          <xlrd:rvb i="19395"/>
        </ext>
      </extLst>
    </bk>
    <bk>
      <extLst>
        <ext uri="{3e2802c4-a4d2-4d8b-9148-e3be6c30e623}">
          <xlrd:rvb i="19396"/>
        </ext>
      </extLst>
    </bk>
    <bk>
      <extLst>
        <ext uri="{3e2802c4-a4d2-4d8b-9148-e3be6c30e623}">
          <xlrd:rvb i="19397"/>
        </ext>
      </extLst>
    </bk>
    <bk>
      <extLst>
        <ext uri="{3e2802c4-a4d2-4d8b-9148-e3be6c30e623}">
          <xlrd:rvb i="19398"/>
        </ext>
      </extLst>
    </bk>
    <bk>
      <extLst>
        <ext uri="{3e2802c4-a4d2-4d8b-9148-e3be6c30e623}">
          <xlrd:rvb i="19399"/>
        </ext>
      </extLst>
    </bk>
    <bk>
      <extLst>
        <ext uri="{3e2802c4-a4d2-4d8b-9148-e3be6c30e623}">
          <xlrd:rvb i="19400"/>
        </ext>
      </extLst>
    </bk>
    <bk>
      <extLst>
        <ext uri="{3e2802c4-a4d2-4d8b-9148-e3be6c30e623}">
          <xlrd:rvb i="19401"/>
        </ext>
      </extLst>
    </bk>
    <bk>
      <extLst>
        <ext uri="{3e2802c4-a4d2-4d8b-9148-e3be6c30e623}">
          <xlrd:rvb i="19402"/>
        </ext>
      </extLst>
    </bk>
    <bk>
      <extLst>
        <ext uri="{3e2802c4-a4d2-4d8b-9148-e3be6c30e623}">
          <xlrd:rvb i="19403"/>
        </ext>
      </extLst>
    </bk>
    <bk>
      <extLst>
        <ext uri="{3e2802c4-a4d2-4d8b-9148-e3be6c30e623}">
          <xlrd:rvb i="19404"/>
        </ext>
      </extLst>
    </bk>
    <bk>
      <extLst>
        <ext uri="{3e2802c4-a4d2-4d8b-9148-e3be6c30e623}">
          <xlrd:rvb i="19405"/>
        </ext>
      </extLst>
    </bk>
    <bk>
      <extLst>
        <ext uri="{3e2802c4-a4d2-4d8b-9148-e3be6c30e623}">
          <xlrd:rvb i="19406"/>
        </ext>
      </extLst>
    </bk>
    <bk>
      <extLst>
        <ext uri="{3e2802c4-a4d2-4d8b-9148-e3be6c30e623}">
          <xlrd:rvb i="19407"/>
        </ext>
      </extLst>
    </bk>
    <bk>
      <extLst>
        <ext uri="{3e2802c4-a4d2-4d8b-9148-e3be6c30e623}">
          <xlrd:rvb i="19408"/>
        </ext>
      </extLst>
    </bk>
    <bk>
      <extLst>
        <ext uri="{3e2802c4-a4d2-4d8b-9148-e3be6c30e623}">
          <xlrd:rvb i="19409"/>
        </ext>
      </extLst>
    </bk>
    <bk>
      <extLst>
        <ext uri="{3e2802c4-a4d2-4d8b-9148-e3be6c30e623}">
          <xlrd:rvb i="19410"/>
        </ext>
      </extLst>
    </bk>
    <bk>
      <extLst>
        <ext uri="{3e2802c4-a4d2-4d8b-9148-e3be6c30e623}">
          <xlrd:rvb i="19411"/>
        </ext>
      </extLst>
    </bk>
    <bk>
      <extLst>
        <ext uri="{3e2802c4-a4d2-4d8b-9148-e3be6c30e623}">
          <xlrd:rvb i="19412"/>
        </ext>
      </extLst>
    </bk>
    <bk>
      <extLst>
        <ext uri="{3e2802c4-a4d2-4d8b-9148-e3be6c30e623}">
          <xlrd:rvb i="19413"/>
        </ext>
      </extLst>
    </bk>
    <bk>
      <extLst>
        <ext uri="{3e2802c4-a4d2-4d8b-9148-e3be6c30e623}">
          <xlrd:rvb i="19414"/>
        </ext>
      </extLst>
    </bk>
    <bk>
      <extLst>
        <ext uri="{3e2802c4-a4d2-4d8b-9148-e3be6c30e623}">
          <xlrd:rvb i="19415"/>
        </ext>
      </extLst>
    </bk>
    <bk>
      <extLst>
        <ext uri="{3e2802c4-a4d2-4d8b-9148-e3be6c30e623}">
          <xlrd:rvb i="19416"/>
        </ext>
      </extLst>
    </bk>
    <bk>
      <extLst>
        <ext uri="{3e2802c4-a4d2-4d8b-9148-e3be6c30e623}">
          <xlrd:rvb i="19417"/>
        </ext>
      </extLst>
    </bk>
    <bk>
      <extLst>
        <ext uri="{3e2802c4-a4d2-4d8b-9148-e3be6c30e623}">
          <xlrd:rvb i="19418"/>
        </ext>
      </extLst>
    </bk>
    <bk>
      <extLst>
        <ext uri="{3e2802c4-a4d2-4d8b-9148-e3be6c30e623}">
          <xlrd:rvb i="19419"/>
        </ext>
      </extLst>
    </bk>
    <bk>
      <extLst>
        <ext uri="{3e2802c4-a4d2-4d8b-9148-e3be6c30e623}">
          <xlrd:rvb i="19420"/>
        </ext>
      </extLst>
    </bk>
    <bk>
      <extLst>
        <ext uri="{3e2802c4-a4d2-4d8b-9148-e3be6c30e623}">
          <xlrd:rvb i="19421"/>
        </ext>
      </extLst>
    </bk>
    <bk>
      <extLst>
        <ext uri="{3e2802c4-a4d2-4d8b-9148-e3be6c30e623}">
          <xlrd:rvb i="19422"/>
        </ext>
      </extLst>
    </bk>
    <bk>
      <extLst>
        <ext uri="{3e2802c4-a4d2-4d8b-9148-e3be6c30e623}">
          <xlrd:rvb i="19423"/>
        </ext>
      </extLst>
    </bk>
    <bk>
      <extLst>
        <ext uri="{3e2802c4-a4d2-4d8b-9148-e3be6c30e623}">
          <xlrd:rvb i="19424"/>
        </ext>
      </extLst>
    </bk>
    <bk>
      <extLst>
        <ext uri="{3e2802c4-a4d2-4d8b-9148-e3be6c30e623}">
          <xlrd:rvb i="19425"/>
        </ext>
      </extLst>
    </bk>
    <bk>
      <extLst>
        <ext uri="{3e2802c4-a4d2-4d8b-9148-e3be6c30e623}">
          <xlrd:rvb i="19426"/>
        </ext>
      </extLst>
    </bk>
    <bk>
      <extLst>
        <ext uri="{3e2802c4-a4d2-4d8b-9148-e3be6c30e623}">
          <xlrd:rvb i="19427"/>
        </ext>
      </extLst>
    </bk>
    <bk>
      <extLst>
        <ext uri="{3e2802c4-a4d2-4d8b-9148-e3be6c30e623}">
          <xlrd:rvb i="19428"/>
        </ext>
      </extLst>
    </bk>
    <bk>
      <extLst>
        <ext uri="{3e2802c4-a4d2-4d8b-9148-e3be6c30e623}">
          <xlrd:rvb i="19429"/>
        </ext>
      </extLst>
    </bk>
    <bk>
      <extLst>
        <ext uri="{3e2802c4-a4d2-4d8b-9148-e3be6c30e623}">
          <xlrd:rvb i="19430"/>
        </ext>
      </extLst>
    </bk>
    <bk>
      <extLst>
        <ext uri="{3e2802c4-a4d2-4d8b-9148-e3be6c30e623}">
          <xlrd:rvb i="19431"/>
        </ext>
      </extLst>
    </bk>
    <bk>
      <extLst>
        <ext uri="{3e2802c4-a4d2-4d8b-9148-e3be6c30e623}">
          <xlrd:rvb i="19432"/>
        </ext>
      </extLst>
    </bk>
    <bk>
      <extLst>
        <ext uri="{3e2802c4-a4d2-4d8b-9148-e3be6c30e623}">
          <xlrd:rvb i="19433"/>
        </ext>
      </extLst>
    </bk>
    <bk>
      <extLst>
        <ext uri="{3e2802c4-a4d2-4d8b-9148-e3be6c30e623}">
          <xlrd:rvb i="19434"/>
        </ext>
      </extLst>
    </bk>
    <bk>
      <extLst>
        <ext uri="{3e2802c4-a4d2-4d8b-9148-e3be6c30e623}">
          <xlrd:rvb i="19435"/>
        </ext>
      </extLst>
    </bk>
    <bk>
      <extLst>
        <ext uri="{3e2802c4-a4d2-4d8b-9148-e3be6c30e623}">
          <xlrd:rvb i="19436"/>
        </ext>
      </extLst>
    </bk>
    <bk>
      <extLst>
        <ext uri="{3e2802c4-a4d2-4d8b-9148-e3be6c30e623}">
          <xlrd:rvb i="19437"/>
        </ext>
      </extLst>
    </bk>
    <bk>
      <extLst>
        <ext uri="{3e2802c4-a4d2-4d8b-9148-e3be6c30e623}">
          <xlrd:rvb i="19438"/>
        </ext>
      </extLst>
    </bk>
    <bk>
      <extLst>
        <ext uri="{3e2802c4-a4d2-4d8b-9148-e3be6c30e623}">
          <xlrd:rvb i="19439"/>
        </ext>
      </extLst>
    </bk>
    <bk>
      <extLst>
        <ext uri="{3e2802c4-a4d2-4d8b-9148-e3be6c30e623}">
          <xlrd:rvb i="19440"/>
        </ext>
      </extLst>
    </bk>
    <bk>
      <extLst>
        <ext uri="{3e2802c4-a4d2-4d8b-9148-e3be6c30e623}">
          <xlrd:rvb i="19441"/>
        </ext>
      </extLst>
    </bk>
    <bk>
      <extLst>
        <ext uri="{3e2802c4-a4d2-4d8b-9148-e3be6c30e623}">
          <xlrd:rvb i="19442"/>
        </ext>
      </extLst>
    </bk>
    <bk>
      <extLst>
        <ext uri="{3e2802c4-a4d2-4d8b-9148-e3be6c30e623}">
          <xlrd:rvb i="19443"/>
        </ext>
      </extLst>
    </bk>
    <bk>
      <extLst>
        <ext uri="{3e2802c4-a4d2-4d8b-9148-e3be6c30e623}">
          <xlrd:rvb i="19444"/>
        </ext>
      </extLst>
    </bk>
    <bk>
      <extLst>
        <ext uri="{3e2802c4-a4d2-4d8b-9148-e3be6c30e623}">
          <xlrd:rvb i="19445"/>
        </ext>
      </extLst>
    </bk>
    <bk>
      <extLst>
        <ext uri="{3e2802c4-a4d2-4d8b-9148-e3be6c30e623}">
          <xlrd:rvb i="19446"/>
        </ext>
      </extLst>
    </bk>
    <bk>
      <extLst>
        <ext uri="{3e2802c4-a4d2-4d8b-9148-e3be6c30e623}">
          <xlrd:rvb i="19447"/>
        </ext>
      </extLst>
    </bk>
    <bk>
      <extLst>
        <ext uri="{3e2802c4-a4d2-4d8b-9148-e3be6c30e623}">
          <xlrd:rvb i="19448"/>
        </ext>
      </extLst>
    </bk>
    <bk>
      <extLst>
        <ext uri="{3e2802c4-a4d2-4d8b-9148-e3be6c30e623}">
          <xlrd:rvb i="19449"/>
        </ext>
      </extLst>
    </bk>
    <bk>
      <extLst>
        <ext uri="{3e2802c4-a4d2-4d8b-9148-e3be6c30e623}">
          <xlrd:rvb i="19450"/>
        </ext>
      </extLst>
    </bk>
    <bk>
      <extLst>
        <ext uri="{3e2802c4-a4d2-4d8b-9148-e3be6c30e623}">
          <xlrd:rvb i="19451"/>
        </ext>
      </extLst>
    </bk>
    <bk>
      <extLst>
        <ext uri="{3e2802c4-a4d2-4d8b-9148-e3be6c30e623}">
          <xlrd:rvb i="19452"/>
        </ext>
      </extLst>
    </bk>
    <bk>
      <extLst>
        <ext uri="{3e2802c4-a4d2-4d8b-9148-e3be6c30e623}">
          <xlrd:rvb i="19453"/>
        </ext>
      </extLst>
    </bk>
    <bk>
      <extLst>
        <ext uri="{3e2802c4-a4d2-4d8b-9148-e3be6c30e623}">
          <xlrd:rvb i="19454"/>
        </ext>
      </extLst>
    </bk>
    <bk>
      <extLst>
        <ext uri="{3e2802c4-a4d2-4d8b-9148-e3be6c30e623}">
          <xlrd:rvb i="19455"/>
        </ext>
      </extLst>
    </bk>
    <bk>
      <extLst>
        <ext uri="{3e2802c4-a4d2-4d8b-9148-e3be6c30e623}">
          <xlrd:rvb i="19456"/>
        </ext>
      </extLst>
    </bk>
    <bk>
      <extLst>
        <ext uri="{3e2802c4-a4d2-4d8b-9148-e3be6c30e623}">
          <xlrd:rvb i="19457"/>
        </ext>
      </extLst>
    </bk>
    <bk>
      <extLst>
        <ext uri="{3e2802c4-a4d2-4d8b-9148-e3be6c30e623}">
          <xlrd:rvb i="19458"/>
        </ext>
      </extLst>
    </bk>
    <bk>
      <extLst>
        <ext uri="{3e2802c4-a4d2-4d8b-9148-e3be6c30e623}">
          <xlrd:rvb i="19459"/>
        </ext>
      </extLst>
    </bk>
    <bk>
      <extLst>
        <ext uri="{3e2802c4-a4d2-4d8b-9148-e3be6c30e623}">
          <xlrd:rvb i="19460"/>
        </ext>
      </extLst>
    </bk>
    <bk>
      <extLst>
        <ext uri="{3e2802c4-a4d2-4d8b-9148-e3be6c30e623}">
          <xlrd:rvb i="19461"/>
        </ext>
      </extLst>
    </bk>
    <bk>
      <extLst>
        <ext uri="{3e2802c4-a4d2-4d8b-9148-e3be6c30e623}">
          <xlrd:rvb i="19462"/>
        </ext>
      </extLst>
    </bk>
    <bk>
      <extLst>
        <ext uri="{3e2802c4-a4d2-4d8b-9148-e3be6c30e623}">
          <xlrd:rvb i="19463"/>
        </ext>
      </extLst>
    </bk>
    <bk>
      <extLst>
        <ext uri="{3e2802c4-a4d2-4d8b-9148-e3be6c30e623}">
          <xlrd:rvb i="19464"/>
        </ext>
      </extLst>
    </bk>
    <bk>
      <extLst>
        <ext uri="{3e2802c4-a4d2-4d8b-9148-e3be6c30e623}">
          <xlrd:rvb i="19465"/>
        </ext>
      </extLst>
    </bk>
    <bk>
      <extLst>
        <ext uri="{3e2802c4-a4d2-4d8b-9148-e3be6c30e623}">
          <xlrd:rvb i="19466"/>
        </ext>
      </extLst>
    </bk>
    <bk>
      <extLst>
        <ext uri="{3e2802c4-a4d2-4d8b-9148-e3be6c30e623}">
          <xlrd:rvb i="19467"/>
        </ext>
      </extLst>
    </bk>
    <bk>
      <extLst>
        <ext uri="{3e2802c4-a4d2-4d8b-9148-e3be6c30e623}">
          <xlrd:rvb i="19468"/>
        </ext>
      </extLst>
    </bk>
    <bk>
      <extLst>
        <ext uri="{3e2802c4-a4d2-4d8b-9148-e3be6c30e623}">
          <xlrd:rvb i="19469"/>
        </ext>
      </extLst>
    </bk>
    <bk>
      <extLst>
        <ext uri="{3e2802c4-a4d2-4d8b-9148-e3be6c30e623}">
          <xlrd:rvb i="19470"/>
        </ext>
      </extLst>
    </bk>
    <bk>
      <extLst>
        <ext uri="{3e2802c4-a4d2-4d8b-9148-e3be6c30e623}">
          <xlrd:rvb i="19471"/>
        </ext>
      </extLst>
    </bk>
    <bk>
      <extLst>
        <ext uri="{3e2802c4-a4d2-4d8b-9148-e3be6c30e623}">
          <xlrd:rvb i="19472"/>
        </ext>
      </extLst>
    </bk>
    <bk>
      <extLst>
        <ext uri="{3e2802c4-a4d2-4d8b-9148-e3be6c30e623}">
          <xlrd:rvb i="19473"/>
        </ext>
      </extLst>
    </bk>
    <bk>
      <extLst>
        <ext uri="{3e2802c4-a4d2-4d8b-9148-e3be6c30e623}">
          <xlrd:rvb i="19474"/>
        </ext>
      </extLst>
    </bk>
    <bk>
      <extLst>
        <ext uri="{3e2802c4-a4d2-4d8b-9148-e3be6c30e623}">
          <xlrd:rvb i="19475"/>
        </ext>
      </extLst>
    </bk>
    <bk>
      <extLst>
        <ext uri="{3e2802c4-a4d2-4d8b-9148-e3be6c30e623}">
          <xlrd:rvb i="19476"/>
        </ext>
      </extLst>
    </bk>
    <bk>
      <extLst>
        <ext uri="{3e2802c4-a4d2-4d8b-9148-e3be6c30e623}">
          <xlrd:rvb i="19477"/>
        </ext>
      </extLst>
    </bk>
    <bk>
      <extLst>
        <ext uri="{3e2802c4-a4d2-4d8b-9148-e3be6c30e623}">
          <xlrd:rvb i="19478"/>
        </ext>
      </extLst>
    </bk>
    <bk>
      <extLst>
        <ext uri="{3e2802c4-a4d2-4d8b-9148-e3be6c30e623}">
          <xlrd:rvb i="19479"/>
        </ext>
      </extLst>
    </bk>
    <bk>
      <extLst>
        <ext uri="{3e2802c4-a4d2-4d8b-9148-e3be6c30e623}">
          <xlrd:rvb i="19480"/>
        </ext>
      </extLst>
    </bk>
    <bk>
      <extLst>
        <ext uri="{3e2802c4-a4d2-4d8b-9148-e3be6c30e623}">
          <xlrd:rvb i="19481"/>
        </ext>
      </extLst>
    </bk>
    <bk>
      <extLst>
        <ext uri="{3e2802c4-a4d2-4d8b-9148-e3be6c30e623}">
          <xlrd:rvb i="19482"/>
        </ext>
      </extLst>
    </bk>
    <bk>
      <extLst>
        <ext uri="{3e2802c4-a4d2-4d8b-9148-e3be6c30e623}">
          <xlrd:rvb i="19483"/>
        </ext>
      </extLst>
    </bk>
    <bk>
      <extLst>
        <ext uri="{3e2802c4-a4d2-4d8b-9148-e3be6c30e623}">
          <xlrd:rvb i="19484"/>
        </ext>
      </extLst>
    </bk>
    <bk>
      <extLst>
        <ext uri="{3e2802c4-a4d2-4d8b-9148-e3be6c30e623}">
          <xlrd:rvb i="19485"/>
        </ext>
      </extLst>
    </bk>
    <bk>
      <extLst>
        <ext uri="{3e2802c4-a4d2-4d8b-9148-e3be6c30e623}">
          <xlrd:rvb i="19486"/>
        </ext>
      </extLst>
    </bk>
    <bk>
      <extLst>
        <ext uri="{3e2802c4-a4d2-4d8b-9148-e3be6c30e623}">
          <xlrd:rvb i="19487"/>
        </ext>
      </extLst>
    </bk>
    <bk>
      <extLst>
        <ext uri="{3e2802c4-a4d2-4d8b-9148-e3be6c30e623}">
          <xlrd:rvb i="19488"/>
        </ext>
      </extLst>
    </bk>
    <bk>
      <extLst>
        <ext uri="{3e2802c4-a4d2-4d8b-9148-e3be6c30e623}">
          <xlrd:rvb i="19489"/>
        </ext>
      </extLst>
    </bk>
    <bk>
      <extLst>
        <ext uri="{3e2802c4-a4d2-4d8b-9148-e3be6c30e623}">
          <xlrd:rvb i="19490"/>
        </ext>
      </extLst>
    </bk>
    <bk>
      <extLst>
        <ext uri="{3e2802c4-a4d2-4d8b-9148-e3be6c30e623}">
          <xlrd:rvb i="19491"/>
        </ext>
      </extLst>
    </bk>
    <bk>
      <extLst>
        <ext uri="{3e2802c4-a4d2-4d8b-9148-e3be6c30e623}">
          <xlrd:rvb i="19492"/>
        </ext>
      </extLst>
    </bk>
    <bk>
      <extLst>
        <ext uri="{3e2802c4-a4d2-4d8b-9148-e3be6c30e623}">
          <xlrd:rvb i="19493"/>
        </ext>
      </extLst>
    </bk>
    <bk>
      <extLst>
        <ext uri="{3e2802c4-a4d2-4d8b-9148-e3be6c30e623}">
          <xlrd:rvb i="19494"/>
        </ext>
      </extLst>
    </bk>
    <bk>
      <extLst>
        <ext uri="{3e2802c4-a4d2-4d8b-9148-e3be6c30e623}">
          <xlrd:rvb i="19495"/>
        </ext>
      </extLst>
    </bk>
    <bk>
      <extLst>
        <ext uri="{3e2802c4-a4d2-4d8b-9148-e3be6c30e623}">
          <xlrd:rvb i="19496"/>
        </ext>
      </extLst>
    </bk>
    <bk>
      <extLst>
        <ext uri="{3e2802c4-a4d2-4d8b-9148-e3be6c30e623}">
          <xlrd:rvb i="19497"/>
        </ext>
      </extLst>
    </bk>
    <bk>
      <extLst>
        <ext uri="{3e2802c4-a4d2-4d8b-9148-e3be6c30e623}">
          <xlrd:rvb i="19498"/>
        </ext>
      </extLst>
    </bk>
    <bk>
      <extLst>
        <ext uri="{3e2802c4-a4d2-4d8b-9148-e3be6c30e623}">
          <xlrd:rvb i="19499"/>
        </ext>
      </extLst>
    </bk>
    <bk>
      <extLst>
        <ext uri="{3e2802c4-a4d2-4d8b-9148-e3be6c30e623}">
          <xlrd:rvb i="19500"/>
        </ext>
      </extLst>
    </bk>
    <bk>
      <extLst>
        <ext uri="{3e2802c4-a4d2-4d8b-9148-e3be6c30e623}">
          <xlrd:rvb i="19501"/>
        </ext>
      </extLst>
    </bk>
    <bk>
      <extLst>
        <ext uri="{3e2802c4-a4d2-4d8b-9148-e3be6c30e623}">
          <xlrd:rvb i="19502"/>
        </ext>
      </extLst>
    </bk>
    <bk>
      <extLst>
        <ext uri="{3e2802c4-a4d2-4d8b-9148-e3be6c30e623}">
          <xlrd:rvb i="19503"/>
        </ext>
      </extLst>
    </bk>
    <bk>
      <extLst>
        <ext uri="{3e2802c4-a4d2-4d8b-9148-e3be6c30e623}">
          <xlrd:rvb i="19504"/>
        </ext>
      </extLst>
    </bk>
    <bk>
      <extLst>
        <ext uri="{3e2802c4-a4d2-4d8b-9148-e3be6c30e623}">
          <xlrd:rvb i="19505"/>
        </ext>
      </extLst>
    </bk>
    <bk>
      <extLst>
        <ext uri="{3e2802c4-a4d2-4d8b-9148-e3be6c30e623}">
          <xlrd:rvb i="19506"/>
        </ext>
      </extLst>
    </bk>
    <bk>
      <extLst>
        <ext uri="{3e2802c4-a4d2-4d8b-9148-e3be6c30e623}">
          <xlrd:rvb i="19507"/>
        </ext>
      </extLst>
    </bk>
    <bk>
      <extLst>
        <ext uri="{3e2802c4-a4d2-4d8b-9148-e3be6c30e623}">
          <xlrd:rvb i="19508"/>
        </ext>
      </extLst>
    </bk>
    <bk>
      <extLst>
        <ext uri="{3e2802c4-a4d2-4d8b-9148-e3be6c30e623}">
          <xlrd:rvb i="19509"/>
        </ext>
      </extLst>
    </bk>
    <bk>
      <extLst>
        <ext uri="{3e2802c4-a4d2-4d8b-9148-e3be6c30e623}">
          <xlrd:rvb i="19510"/>
        </ext>
      </extLst>
    </bk>
    <bk>
      <extLst>
        <ext uri="{3e2802c4-a4d2-4d8b-9148-e3be6c30e623}">
          <xlrd:rvb i="19511"/>
        </ext>
      </extLst>
    </bk>
    <bk>
      <extLst>
        <ext uri="{3e2802c4-a4d2-4d8b-9148-e3be6c30e623}">
          <xlrd:rvb i="19512"/>
        </ext>
      </extLst>
    </bk>
    <bk>
      <extLst>
        <ext uri="{3e2802c4-a4d2-4d8b-9148-e3be6c30e623}">
          <xlrd:rvb i="19513"/>
        </ext>
      </extLst>
    </bk>
    <bk>
      <extLst>
        <ext uri="{3e2802c4-a4d2-4d8b-9148-e3be6c30e623}">
          <xlrd:rvb i="19514"/>
        </ext>
      </extLst>
    </bk>
    <bk>
      <extLst>
        <ext uri="{3e2802c4-a4d2-4d8b-9148-e3be6c30e623}">
          <xlrd:rvb i="19515"/>
        </ext>
      </extLst>
    </bk>
    <bk>
      <extLst>
        <ext uri="{3e2802c4-a4d2-4d8b-9148-e3be6c30e623}">
          <xlrd:rvb i="19516"/>
        </ext>
      </extLst>
    </bk>
    <bk>
      <extLst>
        <ext uri="{3e2802c4-a4d2-4d8b-9148-e3be6c30e623}">
          <xlrd:rvb i="19517"/>
        </ext>
      </extLst>
    </bk>
    <bk>
      <extLst>
        <ext uri="{3e2802c4-a4d2-4d8b-9148-e3be6c30e623}">
          <xlrd:rvb i="19518"/>
        </ext>
      </extLst>
    </bk>
    <bk>
      <extLst>
        <ext uri="{3e2802c4-a4d2-4d8b-9148-e3be6c30e623}">
          <xlrd:rvb i="19519"/>
        </ext>
      </extLst>
    </bk>
    <bk>
      <extLst>
        <ext uri="{3e2802c4-a4d2-4d8b-9148-e3be6c30e623}">
          <xlrd:rvb i="19520"/>
        </ext>
      </extLst>
    </bk>
    <bk>
      <extLst>
        <ext uri="{3e2802c4-a4d2-4d8b-9148-e3be6c30e623}">
          <xlrd:rvb i="19521"/>
        </ext>
      </extLst>
    </bk>
    <bk>
      <extLst>
        <ext uri="{3e2802c4-a4d2-4d8b-9148-e3be6c30e623}">
          <xlrd:rvb i="19522"/>
        </ext>
      </extLst>
    </bk>
    <bk>
      <extLst>
        <ext uri="{3e2802c4-a4d2-4d8b-9148-e3be6c30e623}">
          <xlrd:rvb i="19523"/>
        </ext>
      </extLst>
    </bk>
    <bk>
      <extLst>
        <ext uri="{3e2802c4-a4d2-4d8b-9148-e3be6c30e623}">
          <xlrd:rvb i="19524"/>
        </ext>
      </extLst>
    </bk>
    <bk>
      <extLst>
        <ext uri="{3e2802c4-a4d2-4d8b-9148-e3be6c30e623}">
          <xlrd:rvb i="19525"/>
        </ext>
      </extLst>
    </bk>
    <bk>
      <extLst>
        <ext uri="{3e2802c4-a4d2-4d8b-9148-e3be6c30e623}">
          <xlrd:rvb i="19526"/>
        </ext>
      </extLst>
    </bk>
    <bk>
      <extLst>
        <ext uri="{3e2802c4-a4d2-4d8b-9148-e3be6c30e623}">
          <xlrd:rvb i="19527"/>
        </ext>
      </extLst>
    </bk>
    <bk>
      <extLst>
        <ext uri="{3e2802c4-a4d2-4d8b-9148-e3be6c30e623}">
          <xlrd:rvb i="19528"/>
        </ext>
      </extLst>
    </bk>
    <bk>
      <extLst>
        <ext uri="{3e2802c4-a4d2-4d8b-9148-e3be6c30e623}">
          <xlrd:rvb i="19529"/>
        </ext>
      </extLst>
    </bk>
    <bk>
      <extLst>
        <ext uri="{3e2802c4-a4d2-4d8b-9148-e3be6c30e623}">
          <xlrd:rvb i="19530"/>
        </ext>
      </extLst>
    </bk>
    <bk>
      <extLst>
        <ext uri="{3e2802c4-a4d2-4d8b-9148-e3be6c30e623}">
          <xlrd:rvb i="19531"/>
        </ext>
      </extLst>
    </bk>
    <bk>
      <extLst>
        <ext uri="{3e2802c4-a4d2-4d8b-9148-e3be6c30e623}">
          <xlrd:rvb i="19532"/>
        </ext>
      </extLst>
    </bk>
    <bk>
      <extLst>
        <ext uri="{3e2802c4-a4d2-4d8b-9148-e3be6c30e623}">
          <xlrd:rvb i="19533"/>
        </ext>
      </extLst>
    </bk>
    <bk>
      <extLst>
        <ext uri="{3e2802c4-a4d2-4d8b-9148-e3be6c30e623}">
          <xlrd:rvb i="19534"/>
        </ext>
      </extLst>
    </bk>
    <bk>
      <extLst>
        <ext uri="{3e2802c4-a4d2-4d8b-9148-e3be6c30e623}">
          <xlrd:rvb i="19535"/>
        </ext>
      </extLst>
    </bk>
    <bk>
      <extLst>
        <ext uri="{3e2802c4-a4d2-4d8b-9148-e3be6c30e623}">
          <xlrd:rvb i="19536"/>
        </ext>
      </extLst>
    </bk>
    <bk>
      <extLst>
        <ext uri="{3e2802c4-a4d2-4d8b-9148-e3be6c30e623}">
          <xlrd:rvb i="19537"/>
        </ext>
      </extLst>
    </bk>
    <bk>
      <extLst>
        <ext uri="{3e2802c4-a4d2-4d8b-9148-e3be6c30e623}">
          <xlrd:rvb i="19538"/>
        </ext>
      </extLst>
    </bk>
    <bk>
      <extLst>
        <ext uri="{3e2802c4-a4d2-4d8b-9148-e3be6c30e623}">
          <xlrd:rvb i="19539"/>
        </ext>
      </extLst>
    </bk>
    <bk>
      <extLst>
        <ext uri="{3e2802c4-a4d2-4d8b-9148-e3be6c30e623}">
          <xlrd:rvb i="19540"/>
        </ext>
      </extLst>
    </bk>
    <bk>
      <extLst>
        <ext uri="{3e2802c4-a4d2-4d8b-9148-e3be6c30e623}">
          <xlrd:rvb i="19541"/>
        </ext>
      </extLst>
    </bk>
    <bk>
      <extLst>
        <ext uri="{3e2802c4-a4d2-4d8b-9148-e3be6c30e623}">
          <xlrd:rvb i="19542"/>
        </ext>
      </extLst>
    </bk>
    <bk>
      <extLst>
        <ext uri="{3e2802c4-a4d2-4d8b-9148-e3be6c30e623}">
          <xlrd:rvb i="19543"/>
        </ext>
      </extLst>
    </bk>
    <bk>
      <extLst>
        <ext uri="{3e2802c4-a4d2-4d8b-9148-e3be6c30e623}">
          <xlrd:rvb i="19544"/>
        </ext>
      </extLst>
    </bk>
    <bk>
      <extLst>
        <ext uri="{3e2802c4-a4d2-4d8b-9148-e3be6c30e623}">
          <xlrd:rvb i="19545"/>
        </ext>
      </extLst>
    </bk>
    <bk>
      <extLst>
        <ext uri="{3e2802c4-a4d2-4d8b-9148-e3be6c30e623}">
          <xlrd:rvb i="19546"/>
        </ext>
      </extLst>
    </bk>
    <bk>
      <extLst>
        <ext uri="{3e2802c4-a4d2-4d8b-9148-e3be6c30e623}">
          <xlrd:rvb i="19547"/>
        </ext>
      </extLst>
    </bk>
    <bk>
      <extLst>
        <ext uri="{3e2802c4-a4d2-4d8b-9148-e3be6c30e623}">
          <xlrd:rvb i="19548"/>
        </ext>
      </extLst>
    </bk>
    <bk>
      <extLst>
        <ext uri="{3e2802c4-a4d2-4d8b-9148-e3be6c30e623}">
          <xlrd:rvb i="19549"/>
        </ext>
      </extLst>
    </bk>
    <bk>
      <extLst>
        <ext uri="{3e2802c4-a4d2-4d8b-9148-e3be6c30e623}">
          <xlrd:rvb i="19550"/>
        </ext>
      </extLst>
    </bk>
    <bk>
      <extLst>
        <ext uri="{3e2802c4-a4d2-4d8b-9148-e3be6c30e623}">
          <xlrd:rvb i="19551"/>
        </ext>
      </extLst>
    </bk>
    <bk>
      <extLst>
        <ext uri="{3e2802c4-a4d2-4d8b-9148-e3be6c30e623}">
          <xlrd:rvb i="19552"/>
        </ext>
      </extLst>
    </bk>
    <bk>
      <extLst>
        <ext uri="{3e2802c4-a4d2-4d8b-9148-e3be6c30e623}">
          <xlrd:rvb i="19553"/>
        </ext>
      </extLst>
    </bk>
    <bk>
      <extLst>
        <ext uri="{3e2802c4-a4d2-4d8b-9148-e3be6c30e623}">
          <xlrd:rvb i="19554"/>
        </ext>
      </extLst>
    </bk>
    <bk>
      <extLst>
        <ext uri="{3e2802c4-a4d2-4d8b-9148-e3be6c30e623}">
          <xlrd:rvb i="19555"/>
        </ext>
      </extLst>
    </bk>
    <bk>
      <extLst>
        <ext uri="{3e2802c4-a4d2-4d8b-9148-e3be6c30e623}">
          <xlrd:rvb i="19556"/>
        </ext>
      </extLst>
    </bk>
    <bk>
      <extLst>
        <ext uri="{3e2802c4-a4d2-4d8b-9148-e3be6c30e623}">
          <xlrd:rvb i="19557"/>
        </ext>
      </extLst>
    </bk>
    <bk>
      <extLst>
        <ext uri="{3e2802c4-a4d2-4d8b-9148-e3be6c30e623}">
          <xlrd:rvb i="19558"/>
        </ext>
      </extLst>
    </bk>
    <bk>
      <extLst>
        <ext uri="{3e2802c4-a4d2-4d8b-9148-e3be6c30e623}">
          <xlrd:rvb i="19559"/>
        </ext>
      </extLst>
    </bk>
    <bk>
      <extLst>
        <ext uri="{3e2802c4-a4d2-4d8b-9148-e3be6c30e623}">
          <xlrd:rvb i="19560"/>
        </ext>
      </extLst>
    </bk>
    <bk>
      <extLst>
        <ext uri="{3e2802c4-a4d2-4d8b-9148-e3be6c30e623}">
          <xlrd:rvb i="19561"/>
        </ext>
      </extLst>
    </bk>
    <bk>
      <extLst>
        <ext uri="{3e2802c4-a4d2-4d8b-9148-e3be6c30e623}">
          <xlrd:rvb i="19562"/>
        </ext>
      </extLst>
    </bk>
    <bk>
      <extLst>
        <ext uri="{3e2802c4-a4d2-4d8b-9148-e3be6c30e623}">
          <xlrd:rvb i="19563"/>
        </ext>
      </extLst>
    </bk>
    <bk>
      <extLst>
        <ext uri="{3e2802c4-a4d2-4d8b-9148-e3be6c30e623}">
          <xlrd:rvb i="19564"/>
        </ext>
      </extLst>
    </bk>
    <bk>
      <extLst>
        <ext uri="{3e2802c4-a4d2-4d8b-9148-e3be6c30e623}">
          <xlrd:rvb i="19565"/>
        </ext>
      </extLst>
    </bk>
    <bk>
      <extLst>
        <ext uri="{3e2802c4-a4d2-4d8b-9148-e3be6c30e623}">
          <xlrd:rvb i="19566"/>
        </ext>
      </extLst>
    </bk>
    <bk>
      <extLst>
        <ext uri="{3e2802c4-a4d2-4d8b-9148-e3be6c30e623}">
          <xlrd:rvb i="19567"/>
        </ext>
      </extLst>
    </bk>
    <bk>
      <extLst>
        <ext uri="{3e2802c4-a4d2-4d8b-9148-e3be6c30e623}">
          <xlrd:rvb i="19568"/>
        </ext>
      </extLst>
    </bk>
    <bk>
      <extLst>
        <ext uri="{3e2802c4-a4d2-4d8b-9148-e3be6c30e623}">
          <xlrd:rvb i="19569"/>
        </ext>
      </extLst>
    </bk>
    <bk>
      <extLst>
        <ext uri="{3e2802c4-a4d2-4d8b-9148-e3be6c30e623}">
          <xlrd:rvb i="19570"/>
        </ext>
      </extLst>
    </bk>
    <bk>
      <extLst>
        <ext uri="{3e2802c4-a4d2-4d8b-9148-e3be6c30e623}">
          <xlrd:rvb i="19571"/>
        </ext>
      </extLst>
    </bk>
    <bk>
      <extLst>
        <ext uri="{3e2802c4-a4d2-4d8b-9148-e3be6c30e623}">
          <xlrd:rvb i="19572"/>
        </ext>
      </extLst>
    </bk>
    <bk>
      <extLst>
        <ext uri="{3e2802c4-a4d2-4d8b-9148-e3be6c30e623}">
          <xlrd:rvb i="19573"/>
        </ext>
      </extLst>
    </bk>
    <bk>
      <extLst>
        <ext uri="{3e2802c4-a4d2-4d8b-9148-e3be6c30e623}">
          <xlrd:rvb i="19574"/>
        </ext>
      </extLst>
    </bk>
    <bk>
      <extLst>
        <ext uri="{3e2802c4-a4d2-4d8b-9148-e3be6c30e623}">
          <xlrd:rvb i="19575"/>
        </ext>
      </extLst>
    </bk>
    <bk>
      <extLst>
        <ext uri="{3e2802c4-a4d2-4d8b-9148-e3be6c30e623}">
          <xlrd:rvb i="19576"/>
        </ext>
      </extLst>
    </bk>
    <bk>
      <extLst>
        <ext uri="{3e2802c4-a4d2-4d8b-9148-e3be6c30e623}">
          <xlrd:rvb i="19577"/>
        </ext>
      </extLst>
    </bk>
    <bk>
      <extLst>
        <ext uri="{3e2802c4-a4d2-4d8b-9148-e3be6c30e623}">
          <xlrd:rvb i="19578"/>
        </ext>
      </extLst>
    </bk>
    <bk>
      <extLst>
        <ext uri="{3e2802c4-a4d2-4d8b-9148-e3be6c30e623}">
          <xlrd:rvb i="19579"/>
        </ext>
      </extLst>
    </bk>
    <bk>
      <extLst>
        <ext uri="{3e2802c4-a4d2-4d8b-9148-e3be6c30e623}">
          <xlrd:rvb i="19580"/>
        </ext>
      </extLst>
    </bk>
    <bk>
      <extLst>
        <ext uri="{3e2802c4-a4d2-4d8b-9148-e3be6c30e623}">
          <xlrd:rvb i="19581"/>
        </ext>
      </extLst>
    </bk>
    <bk>
      <extLst>
        <ext uri="{3e2802c4-a4d2-4d8b-9148-e3be6c30e623}">
          <xlrd:rvb i="19582"/>
        </ext>
      </extLst>
    </bk>
    <bk>
      <extLst>
        <ext uri="{3e2802c4-a4d2-4d8b-9148-e3be6c30e623}">
          <xlrd:rvb i="19583"/>
        </ext>
      </extLst>
    </bk>
    <bk>
      <extLst>
        <ext uri="{3e2802c4-a4d2-4d8b-9148-e3be6c30e623}">
          <xlrd:rvb i="19584"/>
        </ext>
      </extLst>
    </bk>
    <bk>
      <extLst>
        <ext uri="{3e2802c4-a4d2-4d8b-9148-e3be6c30e623}">
          <xlrd:rvb i="19585"/>
        </ext>
      </extLst>
    </bk>
    <bk>
      <extLst>
        <ext uri="{3e2802c4-a4d2-4d8b-9148-e3be6c30e623}">
          <xlrd:rvb i="19586"/>
        </ext>
      </extLst>
    </bk>
    <bk>
      <extLst>
        <ext uri="{3e2802c4-a4d2-4d8b-9148-e3be6c30e623}">
          <xlrd:rvb i="19587"/>
        </ext>
      </extLst>
    </bk>
    <bk>
      <extLst>
        <ext uri="{3e2802c4-a4d2-4d8b-9148-e3be6c30e623}">
          <xlrd:rvb i="19588"/>
        </ext>
      </extLst>
    </bk>
    <bk>
      <extLst>
        <ext uri="{3e2802c4-a4d2-4d8b-9148-e3be6c30e623}">
          <xlrd:rvb i="19589"/>
        </ext>
      </extLst>
    </bk>
    <bk>
      <extLst>
        <ext uri="{3e2802c4-a4d2-4d8b-9148-e3be6c30e623}">
          <xlrd:rvb i="19590"/>
        </ext>
      </extLst>
    </bk>
    <bk>
      <extLst>
        <ext uri="{3e2802c4-a4d2-4d8b-9148-e3be6c30e623}">
          <xlrd:rvb i="19591"/>
        </ext>
      </extLst>
    </bk>
    <bk>
      <extLst>
        <ext uri="{3e2802c4-a4d2-4d8b-9148-e3be6c30e623}">
          <xlrd:rvb i="19592"/>
        </ext>
      </extLst>
    </bk>
    <bk>
      <extLst>
        <ext uri="{3e2802c4-a4d2-4d8b-9148-e3be6c30e623}">
          <xlrd:rvb i="19593"/>
        </ext>
      </extLst>
    </bk>
    <bk>
      <extLst>
        <ext uri="{3e2802c4-a4d2-4d8b-9148-e3be6c30e623}">
          <xlrd:rvb i="19594"/>
        </ext>
      </extLst>
    </bk>
    <bk>
      <extLst>
        <ext uri="{3e2802c4-a4d2-4d8b-9148-e3be6c30e623}">
          <xlrd:rvb i="19595"/>
        </ext>
      </extLst>
    </bk>
    <bk>
      <extLst>
        <ext uri="{3e2802c4-a4d2-4d8b-9148-e3be6c30e623}">
          <xlrd:rvb i="19596"/>
        </ext>
      </extLst>
    </bk>
    <bk>
      <extLst>
        <ext uri="{3e2802c4-a4d2-4d8b-9148-e3be6c30e623}">
          <xlrd:rvb i="19597"/>
        </ext>
      </extLst>
    </bk>
    <bk>
      <extLst>
        <ext uri="{3e2802c4-a4d2-4d8b-9148-e3be6c30e623}">
          <xlrd:rvb i="19598"/>
        </ext>
      </extLst>
    </bk>
    <bk>
      <extLst>
        <ext uri="{3e2802c4-a4d2-4d8b-9148-e3be6c30e623}">
          <xlrd:rvb i="19599"/>
        </ext>
      </extLst>
    </bk>
    <bk>
      <extLst>
        <ext uri="{3e2802c4-a4d2-4d8b-9148-e3be6c30e623}">
          <xlrd:rvb i="19600"/>
        </ext>
      </extLst>
    </bk>
    <bk>
      <extLst>
        <ext uri="{3e2802c4-a4d2-4d8b-9148-e3be6c30e623}">
          <xlrd:rvb i="19601"/>
        </ext>
      </extLst>
    </bk>
    <bk>
      <extLst>
        <ext uri="{3e2802c4-a4d2-4d8b-9148-e3be6c30e623}">
          <xlrd:rvb i="19602"/>
        </ext>
      </extLst>
    </bk>
    <bk>
      <extLst>
        <ext uri="{3e2802c4-a4d2-4d8b-9148-e3be6c30e623}">
          <xlrd:rvb i="19603"/>
        </ext>
      </extLst>
    </bk>
    <bk>
      <extLst>
        <ext uri="{3e2802c4-a4d2-4d8b-9148-e3be6c30e623}">
          <xlrd:rvb i="19604"/>
        </ext>
      </extLst>
    </bk>
    <bk>
      <extLst>
        <ext uri="{3e2802c4-a4d2-4d8b-9148-e3be6c30e623}">
          <xlrd:rvb i="19605"/>
        </ext>
      </extLst>
    </bk>
    <bk>
      <extLst>
        <ext uri="{3e2802c4-a4d2-4d8b-9148-e3be6c30e623}">
          <xlrd:rvb i="19606"/>
        </ext>
      </extLst>
    </bk>
    <bk>
      <extLst>
        <ext uri="{3e2802c4-a4d2-4d8b-9148-e3be6c30e623}">
          <xlrd:rvb i="19607"/>
        </ext>
      </extLst>
    </bk>
    <bk>
      <extLst>
        <ext uri="{3e2802c4-a4d2-4d8b-9148-e3be6c30e623}">
          <xlrd:rvb i="19608"/>
        </ext>
      </extLst>
    </bk>
    <bk>
      <extLst>
        <ext uri="{3e2802c4-a4d2-4d8b-9148-e3be6c30e623}">
          <xlrd:rvb i="19609"/>
        </ext>
      </extLst>
    </bk>
    <bk>
      <extLst>
        <ext uri="{3e2802c4-a4d2-4d8b-9148-e3be6c30e623}">
          <xlrd:rvb i="19610"/>
        </ext>
      </extLst>
    </bk>
    <bk>
      <extLst>
        <ext uri="{3e2802c4-a4d2-4d8b-9148-e3be6c30e623}">
          <xlrd:rvb i="19611"/>
        </ext>
      </extLst>
    </bk>
    <bk>
      <extLst>
        <ext uri="{3e2802c4-a4d2-4d8b-9148-e3be6c30e623}">
          <xlrd:rvb i="19612"/>
        </ext>
      </extLst>
    </bk>
    <bk>
      <extLst>
        <ext uri="{3e2802c4-a4d2-4d8b-9148-e3be6c30e623}">
          <xlrd:rvb i="19613"/>
        </ext>
      </extLst>
    </bk>
    <bk>
      <extLst>
        <ext uri="{3e2802c4-a4d2-4d8b-9148-e3be6c30e623}">
          <xlrd:rvb i="19614"/>
        </ext>
      </extLst>
    </bk>
    <bk>
      <extLst>
        <ext uri="{3e2802c4-a4d2-4d8b-9148-e3be6c30e623}">
          <xlrd:rvb i="19615"/>
        </ext>
      </extLst>
    </bk>
    <bk>
      <extLst>
        <ext uri="{3e2802c4-a4d2-4d8b-9148-e3be6c30e623}">
          <xlrd:rvb i="19616"/>
        </ext>
      </extLst>
    </bk>
    <bk>
      <extLst>
        <ext uri="{3e2802c4-a4d2-4d8b-9148-e3be6c30e623}">
          <xlrd:rvb i="19617"/>
        </ext>
      </extLst>
    </bk>
    <bk>
      <extLst>
        <ext uri="{3e2802c4-a4d2-4d8b-9148-e3be6c30e623}">
          <xlrd:rvb i="19618"/>
        </ext>
      </extLst>
    </bk>
    <bk>
      <extLst>
        <ext uri="{3e2802c4-a4d2-4d8b-9148-e3be6c30e623}">
          <xlrd:rvb i="19619"/>
        </ext>
      </extLst>
    </bk>
    <bk>
      <extLst>
        <ext uri="{3e2802c4-a4d2-4d8b-9148-e3be6c30e623}">
          <xlrd:rvb i="19620"/>
        </ext>
      </extLst>
    </bk>
    <bk>
      <extLst>
        <ext uri="{3e2802c4-a4d2-4d8b-9148-e3be6c30e623}">
          <xlrd:rvb i="19621"/>
        </ext>
      </extLst>
    </bk>
    <bk>
      <extLst>
        <ext uri="{3e2802c4-a4d2-4d8b-9148-e3be6c30e623}">
          <xlrd:rvb i="19622"/>
        </ext>
      </extLst>
    </bk>
    <bk>
      <extLst>
        <ext uri="{3e2802c4-a4d2-4d8b-9148-e3be6c30e623}">
          <xlrd:rvb i="19623"/>
        </ext>
      </extLst>
    </bk>
    <bk>
      <extLst>
        <ext uri="{3e2802c4-a4d2-4d8b-9148-e3be6c30e623}">
          <xlrd:rvb i="19624"/>
        </ext>
      </extLst>
    </bk>
    <bk>
      <extLst>
        <ext uri="{3e2802c4-a4d2-4d8b-9148-e3be6c30e623}">
          <xlrd:rvb i="19625"/>
        </ext>
      </extLst>
    </bk>
    <bk>
      <extLst>
        <ext uri="{3e2802c4-a4d2-4d8b-9148-e3be6c30e623}">
          <xlrd:rvb i="19626"/>
        </ext>
      </extLst>
    </bk>
    <bk>
      <extLst>
        <ext uri="{3e2802c4-a4d2-4d8b-9148-e3be6c30e623}">
          <xlrd:rvb i="19627"/>
        </ext>
      </extLst>
    </bk>
    <bk>
      <extLst>
        <ext uri="{3e2802c4-a4d2-4d8b-9148-e3be6c30e623}">
          <xlrd:rvb i="19628"/>
        </ext>
      </extLst>
    </bk>
    <bk>
      <extLst>
        <ext uri="{3e2802c4-a4d2-4d8b-9148-e3be6c30e623}">
          <xlrd:rvb i="19629"/>
        </ext>
      </extLst>
    </bk>
    <bk>
      <extLst>
        <ext uri="{3e2802c4-a4d2-4d8b-9148-e3be6c30e623}">
          <xlrd:rvb i="19630"/>
        </ext>
      </extLst>
    </bk>
    <bk>
      <extLst>
        <ext uri="{3e2802c4-a4d2-4d8b-9148-e3be6c30e623}">
          <xlrd:rvb i="19631"/>
        </ext>
      </extLst>
    </bk>
    <bk>
      <extLst>
        <ext uri="{3e2802c4-a4d2-4d8b-9148-e3be6c30e623}">
          <xlrd:rvb i="19632"/>
        </ext>
      </extLst>
    </bk>
    <bk>
      <extLst>
        <ext uri="{3e2802c4-a4d2-4d8b-9148-e3be6c30e623}">
          <xlrd:rvb i="19633"/>
        </ext>
      </extLst>
    </bk>
    <bk>
      <extLst>
        <ext uri="{3e2802c4-a4d2-4d8b-9148-e3be6c30e623}">
          <xlrd:rvb i="19634"/>
        </ext>
      </extLst>
    </bk>
    <bk>
      <extLst>
        <ext uri="{3e2802c4-a4d2-4d8b-9148-e3be6c30e623}">
          <xlrd:rvb i="19635"/>
        </ext>
      </extLst>
    </bk>
    <bk>
      <extLst>
        <ext uri="{3e2802c4-a4d2-4d8b-9148-e3be6c30e623}">
          <xlrd:rvb i="19636"/>
        </ext>
      </extLst>
    </bk>
    <bk>
      <extLst>
        <ext uri="{3e2802c4-a4d2-4d8b-9148-e3be6c30e623}">
          <xlrd:rvb i="19637"/>
        </ext>
      </extLst>
    </bk>
    <bk>
      <extLst>
        <ext uri="{3e2802c4-a4d2-4d8b-9148-e3be6c30e623}">
          <xlrd:rvb i="19638"/>
        </ext>
      </extLst>
    </bk>
    <bk>
      <extLst>
        <ext uri="{3e2802c4-a4d2-4d8b-9148-e3be6c30e623}">
          <xlrd:rvb i="19639"/>
        </ext>
      </extLst>
    </bk>
    <bk>
      <extLst>
        <ext uri="{3e2802c4-a4d2-4d8b-9148-e3be6c30e623}">
          <xlrd:rvb i="19640"/>
        </ext>
      </extLst>
    </bk>
    <bk>
      <extLst>
        <ext uri="{3e2802c4-a4d2-4d8b-9148-e3be6c30e623}">
          <xlrd:rvb i="19641"/>
        </ext>
      </extLst>
    </bk>
    <bk>
      <extLst>
        <ext uri="{3e2802c4-a4d2-4d8b-9148-e3be6c30e623}">
          <xlrd:rvb i="19642"/>
        </ext>
      </extLst>
    </bk>
    <bk>
      <extLst>
        <ext uri="{3e2802c4-a4d2-4d8b-9148-e3be6c30e623}">
          <xlrd:rvb i="19643"/>
        </ext>
      </extLst>
    </bk>
    <bk>
      <extLst>
        <ext uri="{3e2802c4-a4d2-4d8b-9148-e3be6c30e623}">
          <xlrd:rvb i="19644"/>
        </ext>
      </extLst>
    </bk>
    <bk>
      <extLst>
        <ext uri="{3e2802c4-a4d2-4d8b-9148-e3be6c30e623}">
          <xlrd:rvb i="19645"/>
        </ext>
      </extLst>
    </bk>
    <bk>
      <extLst>
        <ext uri="{3e2802c4-a4d2-4d8b-9148-e3be6c30e623}">
          <xlrd:rvb i="19646"/>
        </ext>
      </extLst>
    </bk>
    <bk>
      <extLst>
        <ext uri="{3e2802c4-a4d2-4d8b-9148-e3be6c30e623}">
          <xlrd:rvb i="19647"/>
        </ext>
      </extLst>
    </bk>
    <bk>
      <extLst>
        <ext uri="{3e2802c4-a4d2-4d8b-9148-e3be6c30e623}">
          <xlrd:rvb i="19648"/>
        </ext>
      </extLst>
    </bk>
    <bk>
      <extLst>
        <ext uri="{3e2802c4-a4d2-4d8b-9148-e3be6c30e623}">
          <xlrd:rvb i="19649"/>
        </ext>
      </extLst>
    </bk>
    <bk>
      <extLst>
        <ext uri="{3e2802c4-a4d2-4d8b-9148-e3be6c30e623}">
          <xlrd:rvb i="19650"/>
        </ext>
      </extLst>
    </bk>
    <bk>
      <extLst>
        <ext uri="{3e2802c4-a4d2-4d8b-9148-e3be6c30e623}">
          <xlrd:rvb i="19651"/>
        </ext>
      </extLst>
    </bk>
    <bk>
      <extLst>
        <ext uri="{3e2802c4-a4d2-4d8b-9148-e3be6c30e623}">
          <xlrd:rvb i="19652"/>
        </ext>
      </extLst>
    </bk>
    <bk>
      <extLst>
        <ext uri="{3e2802c4-a4d2-4d8b-9148-e3be6c30e623}">
          <xlrd:rvb i="19653"/>
        </ext>
      </extLst>
    </bk>
    <bk>
      <extLst>
        <ext uri="{3e2802c4-a4d2-4d8b-9148-e3be6c30e623}">
          <xlrd:rvb i="19654"/>
        </ext>
      </extLst>
    </bk>
    <bk>
      <extLst>
        <ext uri="{3e2802c4-a4d2-4d8b-9148-e3be6c30e623}">
          <xlrd:rvb i="19655"/>
        </ext>
      </extLst>
    </bk>
    <bk>
      <extLst>
        <ext uri="{3e2802c4-a4d2-4d8b-9148-e3be6c30e623}">
          <xlrd:rvb i="19656"/>
        </ext>
      </extLst>
    </bk>
    <bk>
      <extLst>
        <ext uri="{3e2802c4-a4d2-4d8b-9148-e3be6c30e623}">
          <xlrd:rvb i="19657"/>
        </ext>
      </extLst>
    </bk>
    <bk>
      <extLst>
        <ext uri="{3e2802c4-a4d2-4d8b-9148-e3be6c30e623}">
          <xlrd:rvb i="19658"/>
        </ext>
      </extLst>
    </bk>
    <bk>
      <extLst>
        <ext uri="{3e2802c4-a4d2-4d8b-9148-e3be6c30e623}">
          <xlrd:rvb i="19659"/>
        </ext>
      </extLst>
    </bk>
    <bk>
      <extLst>
        <ext uri="{3e2802c4-a4d2-4d8b-9148-e3be6c30e623}">
          <xlrd:rvb i="19660"/>
        </ext>
      </extLst>
    </bk>
    <bk>
      <extLst>
        <ext uri="{3e2802c4-a4d2-4d8b-9148-e3be6c30e623}">
          <xlrd:rvb i="19661"/>
        </ext>
      </extLst>
    </bk>
    <bk>
      <extLst>
        <ext uri="{3e2802c4-a4d2-4d8b-9148-e3be6c30e623}">
          <xlrd:rvb i="19662"/>
        </ext>
      </extLst>
    </bk>
    <bk>
      <extLst>
        <ext uri="{3e2802c4-a4d2-4d8b-9148-e3be6c30e623}">
          <xlrd:rvb i="19663"/>
        </ext>
      </extLst>
    </bk>
    <bk>
      <extLst>
        <ext uri="{3e2802c4-a4d2-4d8b-9148-e3be6c30e623}">
          <xlrd:rvb i="19664"/>
        </ext>
      </extLst>
    </bk>
    <bk>
      <extLst>
        <ext uri="{3e2802c4-a4d2-4d8b-9148-e3be6c30e623}">
          <xlrd:rvb i="19665"/>
        </ext>
      </extLst>
    </bk>
    <bk>
      <extLst>
        <ext uri="{3e2802c4-a4d2-4d8b-9148-e3be6c30e623}">
          <xlrd:rvb i="19666"/>
        </ext>
      </extLst>
    </bk>
    <bk>
      <extLst>
        <ext uri="{3e2802c4-a4d2-4d8b-9148-e3be6c30e623}">
          <xlrd:rvb i="19667"/>
        </ext>
      </extLst>
    </bk>
    <bk>
      <extLst>
        <ext uri="{3e2802c4-a4d2-4d8b-9148-e3be6c30e623}">
          <xlrd:rvb i="19668"/>
        </ext>
      </extLst>
    </bk>
    <bk>
      <extLst>
        <ext uri="{3e2802c4-a4d2-4d8b-9148-e3be6c30e623}">
          <xlrd:rvb i="19669"/>
        </ext>
      </extLst>
    </bk>
    <bk>
      <extLst>
        <ext uri="{3e2802c4-a4d2-4d8b-9148-e3be6c30e623}">
          <xlrd:rvb i="19670"/>
        </ext>
      </extLst>
    </bk>
    <bk>
      <extLst>
        <ext uri="{3e2802c4-a4d2-4d8b-9148-e3be6c30e623}">
          <xlrd:rvb i="19671"/>
        </ext>
      </extLst>
    </bk>
    <bk>
      <extLst>
        <ext uri="{3e2802c4-a4d2-4d8b-9148-e3be6c30e623}">
          <xlrd:rvb i="19672"/>
        </ext>
      </extLst>
    </bk>
    <bk>
      <extLst>
        <ext uri="{3e2802c4-a4d2-4d8b-9148-e3be6c30e623}">
          <xlrd:rvb i="19673"/>
        </ext>
      </extLst>
    </bk>
    <bk>
      <extLst>
        <ext uri="{3e2802c4-a4d2-4d8b-9148-e3be6c30e623}">
          <xlrd:rvb i="19674"/>
        </ext>
      </extLst>
    </bk>
    <bk>
      <extLst>
        <ext uri="{3e2802c4-a4d2-4d8b-9148-e3be6c30e623}">
          <xlrd:rvb i="19675"/>
        </ext>
      </extLst>
    </bk>
    <bk>
      <extLst>
        <ext uri="{3e2802c4-a4d2-4d8b-9148-e3be6c30e623}">
          <xlrd:rvb i="19676"/>
        </ext>
      </extLst>
    </bk>
    <bk>
      <extLst>
        <ext uri="{3e2802c4-a4d2-4d8b-9148-e3be6c30e623}">
          <xlrd:rvb i="19677"/>
        </ext>
      </extLst>
    </bk>
    <bk>
      <extLst>
        <ext uri="{3e2802c4-a4d2-4d8b-9148-e3be6c30e623}">
          <xlrd:rvb i="19678"/>
        </ext>
      </extLst>
    </bk>
    <bk>
      <extLst>
        <ext uri="{3e2802c4-a4d2-4d8b-9148-e3be6c30e623}">
          <xlrd:rvb i="19679"/>
        </ext>
      </extLst>
    </bk>
    <bk>
      <extLst>
        <ext uri="{3e2802c4-a4d2-4d8b-9148-e3be6c30e623}">
          <xlrd:rvb i="19680"/>
        </ext>
      </extLst>
    </bk>
    <bk>
      <extLst>
        <ext uri="{3e2802c4-a4d2-4d8b-9148-e3be6c30e623}">
          <xlrd:rvb i="19681"/>
        </ext>
      </extLst>
    </bk>
    <bk>
      <extLst>
        <ext uri="{3e2802c4-a4d2-4d8b-9148-e3be6c30e623}">
          <xlrd:rvb i="19682"/>
        </ext>
      </extLst>
    </bk>
    <bk>
      <extLst>
        <ext uri="{3e2802c4-a4d2-4d8b-9148-e3be6c30e623}">
          <xlrd:rvb i="19683"/>
        </ext>
      </extLst>
    </bk>
    <bk>
      <extLst>
        <ext uri="{3e2802c4-a4d2-4d8b-9148-e3be6c30e623}">
          <xlrd:rvb i="19684"/>
        </ext>
      </extLst>
    </bk>
    <bk>
      <extLst>
        <ext uri="{3e2802c4-a4d2-4d8b-9148-e3be6c30e623}">
          <xlrd:rvb i="19685"/>
        </ext>
      </extLst>
    </bk>
    <bk>
      <extLst>
        <ext uri="{3e2802c4-a4d2-4d8b-9148-e3be6c30e623}">
          <xlrd:rvb i="19686"/>
        </ext>
      </extLst>
    </bk>
    <bk>
      <extLst>
        <ext uri="{3e2802c4-a4d2-4d8b-9148-e3be6c30e623}">
          <xlrd:rvb i="19687"/>
        </ext>
      </extLst>
    </bk>
    <bk>
      <extLst>
        <ext uri="{3e2802c4-a4d2-4d8b-9148-e3be6c30e623}">
          <xlrd:rvb i="19688"/>
        </ext>
      </extLst>
    </bk>
    <bk>
      <extLst>
        <ext uri="{3e2802c4-a4d2-4d8b-9148-e3be6c30e623}">
          <xlrd:rvb i="19689"/>
        </ext>
      </extLst>
    </bk>
    <bk>
      <extLst>
        <ext uri="{3e2802c4-a4d2-4d8b-9148-e3be6c30e623}">
          <xlrd:rvb i="19690"/>
        </ext>
      </extLst>
    </bk>
    <bk>
      <extLst>
        <ext uri="{3e2802c4-a4d2-4d8b-9148-e3be6c30e623}">
          <xlrd:rvb i="19691"/>
        </ext>
      </extLst>
    </bk>
    <bk>
      <extLst>
        <ext uri="{3e2802c4-a4d2-4d8b-9148-e3be6c30e623}">
          <xlrd:rvb i="19692"/>
        </ext>
      </extLst>
    </bk>
    <bk>
      <extLst>
        <ext uri="{3e2802c4-a4d2-4d8b-9148-e3be6c30e623}">
          <xlrd:rvb i="19693"/>
        </ext>
      </extLst>
    </bk>
    <bk>
      <extLst>
        <ext uri="{3e2802c4-a4d2-4d8b-9148-e3be6c30e623}">
          <xlrd:rvb i="19694"/>
        </ext>
      </extLst>
    </bk>
    <bk>
      <extLst>
        <ext uri="{3e2802c4-a4d2-4d8b-9148-e3be6c30e623}">
          <xlrd:rvb i="19695"/>
        </ext>
      </extLst>
    </bk>
    <bk>
      <extLst>
        <ext uri="{3e2802c4-a4d2-4d8b-9148-e3be6c30e623}">
          <xlrd:rvb i="19696"/>
        </ext>
      </extLst>
    </bk>
    <bk>
      <extLst>
        <ext uri="{3e2802c4-a4d2-4d8b-9148-e3be6c30e623}">
          <xlrd:rvb i="19697"/>
        </ext>
      </extLst>
    </bk>
    <bk>
      <extLst>
        <ext uri="{3e2802c4-a4d2-4d8b-9148-e3be6c30e623}">
          <xlrd:rvb i="19698"/>
        </ext>
      </extLst>
    </bk>
    <bk>
      <extLst>
        <ext uri="{3e2802c4-a4d2-4d8b-9148-e3be6c30e623}">
          <xlrd:rvb i="19699"/>
        </ext>
      </extLst>
    </bk>
    <bk>
      <extLst>
        <ext uri="{3e2802c4-a4d2-4d8b-9148-e3be6c30e623}">
          <xlrd:rvb i="19700"/>
        </ext>
      </extLst>
    </bk>
    <bk>
      <extLst>
        <ext uri="{3e2802c4-a4d2-4d8b-9148-e3be6c30e623}">
          <xlrd:rvb i="19701"/>
        </ext>
      </extLst>
    </bk>
    <bk>
      <extLst>
        <ext uri="{3e2802c4-a4d2-4d8b-9148-e3be6c30e623}">
          <xlrd:rvb i="19702"/>
        </ext>
      </extLst>
    </bk>
    <bk>
      <extLst>
        <ext uri="{3e2802c4-a4d2-4d8b-9148-e3be6c30e623}">
          <xlrd:rvb i="19703"/>
        </ext>
      </extLst>
    </bk>
    <bk>
      <extLst>
        <ext uri="{3e2802c4-a4d2-4d8b-9148-e3be6c30e623}">
          <xlrd:rvb i="19704"/>
        </ext>
      </extLst>
    </bk>
    <bk>
      <extLst>
        <ext uri="{3e2802c4-a4d2-4d8b-9148-e3be6c30e623}">
          <xlrd:rvb i="19705"/>
        </ext>
      </extLst>
    </bk>
    <bk>
      <extLst>
        <ext uri="{3e2802c4-a4d2-4d8b-9148-e3be6c30e623}">
          <xlrd:rvb i="19706"/>
        </ext>
      </extLst>
    </bk>
    <bk>
      <extLst>
        <ext uri="{3e2802c4-a4d2-4d8b-9148-e3be6c30e623}">
          <xlrd:rvb i="19707"/>
        </ext>
      </extLst>
    </bk>
    <bk>
      <extLst>
        <ext uri="{3e2802c4-a4d2-4d8b-9148-e3be6c30e623}">
          <xlrd:rvb i="19708"/>
        </ext>
      </extLst>
    </bk>
    <bk>
      <extLst>
        <ext uri="{3e2802c4-a4d2-4d8b-9148-e3be6c30e623}">
          <xlrd:rvb i="19709"/>
        </ext>
      </extLst>
    </bk>
    <bk>
      <extLst>
        <ext uri="{3e2802c4-a4d2-4d8b-9148-e3be6c30e623}">
          <xlrd:rvb i="19710"/>
        </ext>
      </extLst>
    </bk>
    <bk>
      <extLst>
        <ext uri="{3e2802c4-a4d2-4d8b-9148-e3be6c30e623}">
          <xlrd:rvb i="19711"/>
        </ext>
      </extLst>
    </bk>
    <bk>
      <extLst>
        <ext uri="{3e2802c4-a4d2-4d8b-9148-e3be6c30e623}">
          <xlrd:rvb i="19712"/>
        </ext>
      </extLst>
    </bk>
    <bk>
      <extLst>
        <ext uri="{3e2802c4-a4d2-4d8b-9148-e3be6c30e623}">
          <xlrd:rvb i="19713"/>
        </ext>
      </extLst>
    </bk>
    <bk>
      <extLst>
        <ext uri="{3e2802c4-a4d2-4d8b-9148-e3be6c30e623}">
          <xlrd:rvb i="19714"/>
        </ext>
      </extLst>
    </bk>
    <bk>
      <extLst>
        <ext uri="{3e2802c4-a4d2-4d8b-9148-e3be6c30e623}">
          <xlrd:rvb i="19715"/>
        </ext>
      </extLst>
    </bk>
    <bk>
      <extLst>
        <ext uri="{3e2802c4-a4d2-4d8b-9148-e3be6c30e623}">
          <xlrd:rvb i="19716"/>
        </ext>
      </extLst>
    </bk>
    <bk>
      <extLst>
        <ext uri="{3e2802c4-a4d2-4d8b-9148-e3be6c30e623}">
          <xlrd:rvb i="19717"/>
        </ext>
      </extLst>
    </bk>
    <bk>
      <extLst>
        <ext uri="{3e2802c4-a4d2-4d8b-9148-e3be6c30e623}">
          <xlrd:rvb i="19718"/>
        </ext>
      </extLst>
    </bk>
    <bk>
      <extLst>
        <ext uri="{3e2802c4-a4d2-4d8b-9148-e3be6c30e623}">
          <xlrd:rvb i="19719"/>
        </ext>
      </extLst>
    </bk>
    <bk>
      <extLst>
        <ext uri="{3e2802c4-a4d2-4d8b-9148-e3be6c30e623}">
          <xlrd:rvb i="19720"/>
        </ext>
      </extLst>
    </bk>
    <bk>
      <extLst>
        <ext uri="{3e2802c4-a4d2-4d8b-9148-e3be6c30e623}">
          <xlrd:rvb i="19721"/>
        </ext>
      </extLst>
    </bk>
    <bk>
      <extLst>
        <ext uri="{3e2802c4-a4d2-4d8b-9148-e3be6c30e623}">
          <xlrd:rvb i="19722"/>
        </ext>
      </extLst>
    </bk>
    <bk>
      <extLst>
        <ext uri="{3e2802c4-a4d2-4d8b-9148-e3be6c30e623}">
          <xlrd:rvb i="19723"/>
        </ext>
      </extLst>
    </bk>
    <bk>
      <extLst>
        <ext uri="{3e2802c4-a4d2-4d8b-9148-e3be6c30e623}">
          <xlrd:rvb i="19724"/>
        </ext>
      </extLst>
    </bk>
    <bk>
      <extLst>
        <ext uri="{3e2802c4-a4d2-4d8b-9148-e3be6c30e623}">
          <xlrd:rvb i="19725"/>
        </ext>
      </extLst>
    </bk>
    <bk>
      <extLst>
        <ext uri="{3e2802c4-a4d2-4d8b-9148-e3be6c30e623}">
          <xlrd:rvb i="19726"/>
        </ext>
      </extLst>
    </bk>
    <bk>
      <extLst>
        <ext uri="{3e2802c4-a4d2-4d8b-9148-e3be6c30e623}">
          <xlrd:rvb i="19727"/>
        </ext>
      </extLst>
    </bk>
    <bk>
      <extLst>
        <ext uri="{3e2802c4-a4d2-4d8b-9148-e3be6c30e623}">
          <xlrd:rvb i="19728"/>
        </ext>
      </extLst>
    </bk>
    <bk>
      <extLst>
        <ext uri="{3e2802c4-a4d2-4d8b-9148-e3be6c30e623}">
          <xlrd:rvb i="19729"/>
        </ext>
      </extLst>
    </bk>
    <bk>
      <extLst>
        <ext uri="{3e2802c4-a4d2-4d8b-9148-e3be6c30e623}">
          <xlrd:rvb i="19730"/>
        </ext>
      </extLst>
    </bk>
    <bk>
      <extLst>
        <ext uri="{3e2802c4-a4d2-4d8b-9148-e3be6c30e623}">
          <xlrd:rvb i="19731"/>
        </ext>
      </extLst>
    </bk>
    <bk>
      <extLst>
        <ext uri="{3e2802c4-a4d2-4d8b-9148-e3be6c30e623}">
          <xlrd:rvb i="19732"/>
        </ext>
      </extLst>
    </bk>
    <bk>
      <extLst>
        <ext uri="{3e2802c4-a4d2-4d8b-9148-e3be6c30e623}">
          <xlrd:rvb i="19733"/>
        </ext>
      </extLst>
    </bk>
    <bk>
      <extLst>
        <ext uri="{3e2802c4-a4d2-4d8b-9148-e3be6c30e623}">
          <xlrd:rvb i="19734"/>
        </ext>
      </extLst>
    </bk>
    <bk>
      <extLst>
        <ext uri="{3e2802c4-a4d2-4d8b-9148-e3be6c30e623}">
          <xlrd:rvb i="19735"/>
        </ext>
      </extLst>
    </bk>
    <bk>
      <extLst>
        <ext uri="{3e2802c4-a4d2-4d8b-9148-e3be6c30e623}">
          <xlrd:rvb i="19736"/>
        </ext>
      </extLst>
    </bk>
    <bk>
      <extLst>
        <ext uri="{3e2802c4-a4d2-4d8b-9148-e3be6c30e623}">
          <xlrd:rvb i="19737"/>
        </ext>
      </extLst>
    </bk>
    <bk>
      <extLst>
        <ext uri="{3e2802c4-a4d2-4d8b-9148-e3be6c30e623}">
          <xlrd:rvb i="19738"/>
        </ext>
      </extLst>
    </bk>
    <bk>
      <extLst>
        <ext uri="{3e2802c4-a4d2-4d8b-9148-e3be6c30e623}">
          <xlrd:rvb i="19739"/>
        </ext>
      </extLst>
    </bk>
    <bk>
      <extLst>
        <ext uri="{3e2802c4-a4d2-4d8b-9148-e3be6c30e623}">
          <xlrd:rvb i="19740"/>
        </ext>
      </extLst>
    </bk>
    <bk>
      <extLst>
        <ext uri="{3e2802c4-a4d2-4d8b-9148-e3be6c30e623}">
          <xlrd:rvb i="19741"/>
        </ext>
      </extLst>
    </bk>
    <bk>
      <extLst>
        <ext uri="{3e2802c4-a4d2-4d8b-9148-e3be6c30e623}">
          <xlrd:rvb i="19742"/>
        </ext>
      </extLst>
    </bk>
    <bk>
      <extLst>
        <ext uri="{3e2802c4-a4d2-4d8b-9148-e3be6c30e623}">
          <xlrd:rvb i="19743"/>
        </ext>
      </extLst>
    </bk>
    <bk>
      <extLst>
        <ext uri="{3e2802c4-a4d2-4d8b-9148-e3be6c30e623}">
          <xlrd:rvb i="19744"/>
        </ext>
      </extLst>
    </bk>
    <bk>
      <extLst>
        <ext uri="{3e2802c4-a4d2-4d8b-9148-e3be6c30e623}">
          <xlrd:rvb i="19745"/>
        </ext>
      </extLst>
    </bk>
    <bk>
      <extLst>
        <ext uri="{3e2802c4-a4d2-4d8b-9148-e3be6c30e623}">
          <xlrd:rvb i="19746"/>
        </ext>
      </extLst>
    </bk>
    <bk>
      <extLst>
        <ext uri="{3e2802c4-a4d2-4d8b-9148-e3be6c30e623}">
          <xlrd:rvb i="19747"/>
        </ext>
      </extLst>
    </bk>
    <bk>
      <extLst>
        <ext uri="{3e2802c4-a4d2-4d8b-9148-e3be6c30e623}">
          <xlrd:rvb i="19748"/>
        </ext>
      </extLst>
    </bk>
    <bk>
      <extLst>
        <ext uri="{3e2802c4-a4d2-4d8b-9148-e3be6c30e623}">
          <xlrd:rvb i="19749"/>
        </ext>
      </extLst>
    </bk>
    <bk>
      <extLst>
        <ext uri="{3e2802c4-a4d2-4d8b-9148-e3be6c30e623}">
          <xlrd:rvb i="19750"/>
        </ext>
      </extLst>
    </bk>
    <bk>
      <extLst>
        <ext uri="{3e2802c4-a4d2-4d8b-9148-e3be6c30e623}">
          <xlrd:rvb i="19751"/>
        </ext>
      </extLst>
    </bk>
    <bk>
      <extLst>
        <ext uri="{3e2802c4-a4d2-4d8b-9148-e3be6c30e623}">
          <xlrd:rvb i="19752"/>
        </ext>
      </extLst>
    </bk>
    <bk>
      <extLst>
        <ext uri="{3e2802c4-a4d2-4d8b-9148-e3be6c30e623}">
          <xlrd:rvb i="19753"/>
        </ext>
      </extLst>
    </bk>
    <bk>
      <extLst>
        <ext uri="{3e2802c4-a4d2-4d8b-9148-e3be6c30e623}">
          <xlrd:rvb i="19754"/>
        </ext>
      </extLst>
    </bk>
    <bk>
      <extLst>
        <ext uri="{3e2802c4-a4d2-4d8b-9148-e3be6c30e623}">
          <xlrd:rvb i="19755"/>
        </ext>
      </extLst>
    </bk>
    <bk>
      <extLst>
        <ext uri="{3e2802c4-a4d2-4d8b-9148-e3be6c30e623}">
          <xlrd:rvb i="19756"/>
        </ext>
      </extLst>
    </bk>
    <bk>
      <extLst>
        <ext uri="{3e2802c4-a4d2-4d8b-9148-e3be6c30e623}">
          <xlrd:rvb i="19757"/>
        </ext>
      </extLst>
    </bk>
    <bk>
      <extLst>
        <ext uri="{3e2802c4-a4d2-4d8b-9148-e3be6c30e623}">
          <xlrd:rvb i="19758"/>
        </ext>
      </extLst>
    </bk>
    <bk>
      <extLst>
        <ext uri="{3e2802c4-a4d2-4d8b-9148-e3be6c30e623}">
          <xlrd:rvb i="19759"/>
        </ext>
      </extLst>
    </bk>
    <bk>
      <extLst>
        <ext uri="{3e2802c4-a4d2-4d8b-9148-e3be6c30e623}">
          <xlrd:rvb i="19760"/>
        </ext>
      </extLst>
    </bk>
    <bk>
      <extLst>
        <ext uri="{3e2802c4-a4d2-4d8b-9148-e3be6c30e623}">
          <xlrd:rvb i="19761"/>
        </ext>
      </extLst>
    </bk>
    <bk>
      <extLst>
        <ext uri="{3e2802c4-a4d2-4d8b-9148-e3be6c30e623}">
          <xlrd:rvb i="19762"/>
        </ext>
      </extLst>
    </bk>
    <bk>
      <extLst>
        <ext uri="{3e2802c4-a4d2-4d8b-9148-e3be6c30e623}">
          <xlrd:rvb i="19763"/>
        </ext>
      </extLst>
    </bk>
    <bk>
      <extLst>
        <ext uri="{3e2802c4-a4d2-4d8b-9148-e3be6c30e623}">
          <xlrd:rvb i="19764"/>
        </ext>
      </extLst>
    </bk>
    <bk>
      <extLst>
        <ext uri="{3e2802c4-a4d2-4d8b-9148-e3be6c30e623}">
          <xlrd:rvb i="19765"/>
        </ext>
      </extLst>
    </bk>
    <bk>
      <extLst>
        <ext uri="{3e2802c4-a4d2-4d8b-9148-e3be6c30e623}">
          <xlrd:rvb i="19766"/>
        </ext>
      </extLst>
    </bk>
    <bk>
      <extLst>
        <ext uri="{3e2802c4-a4d2-4d8b-9148-e3be6c30e623}">
          <xlrd:rvb i="19767"/>
        </ext>
      </extLst>
    </bk>
    <bk>
      <extLst>
        <ext uri="{3e2802c4-a4d2-4d8b-9148-e3be6c30e623}">
          <xlrd:rvb i="19768"/>
        </ext>
      </extLst>
    </bk>
    <bk>
      <extLst>
        <ext uri="{3e2802c4-a4d2-4d8b-9148-e3be6c30e623}">
          <xlrd:rvb i="19769"/>
        </ext>
      </extLst>
    </bk>
    <bk>
      <extLst>
        <ext uri="{3e2802c4-a4d2-4d8b-9148-e3be6c30e623}">
          <xlrd:rvb i="19770"/>
        </ext>
      </extLst>
    </bk>
    <bk>
      <extLst>
        <ext uri="{3e2802c4-a4d2-4d8b-9148-e3be6c30e623}">
          <xlrd:rvb i="19771"/>
        </ext>
      </extLst>
    </bk>
    <bk>
      <extLst>
        <ext uri="{3e2802c4-a4d2-4d8b-9148-e3be6c30e623}">
          <xlrd:rvb i="19772"/>
        </ext>
      </extLst>
    </bk>
    <bk>
      <extLst>
        <ext uri="{3e2802c4-a4d2-4d8b-9148-e3be6c30e623}">
          <xlrd:rvb i="19773"/>
        </ext>
      </extLst>
    </bk>
    <bk>
      <extLst>
        <ext uri="{3e2802c4-a4d2-4d8b-9148-e3be6c30e623}">
          <xlrd:rvb i="19774"/>
        </ext>
      </extLst>
    </bk>
    <bk>
      <extLst>
        <ext uri="{3e2802c4-a4d2-4d8b-9148-e3be6c30e623}">
          <xlrd:rvb i="19775"/>
        </ext>
      </extLst>
    </bk>
    <bk>
      <extLst>
        <ext uri="{3e2802c4-a4d2-4d8b-9148-e3be6c30e623}">
          <xlrd:rvb i="19776"/>
        </ext>
      </extLst>
    </bk>
    <bk>
      <extLst>
        <ext uri="{3e2802c4-a4d2-4d8b-9148-e3be6c30e623}">
          <xlrd:rvb i="19777"/>
        </ext>
      </extLst>
    </bk>
    <bk>
      <extLst>
        <ext uri="{3e2802c4-a4d2-4d8b-9148-e3be6c30e623}">
          <xlrd:rvb i="19778"/>
        </ext>
      </extLst>
    </bk>
    <bk>
      <extLst>
        <ext uri="{3e2802c4-a4d2-4d8b-9148-e3be6c30e623}">
          <xlrd:rvb i="19779"/>
        </ext>
      </extLst>
    </bk>
    <bk>
      <extLst>
        <ext uri="{3e2802c4-a4d2-4d8b-9148-e3be6c30e623}">
          <xlrd:rvb i="19780"/>
        </ext>
      </extLst>
    </bk>
    <bk>
      <extLst>
        <ext uri="{3e2802c4-a4d2-4d8b-9148-e3be6c30e623}">
          <xlrd:rvb i="19781"/>
        </ext>
      </extLst>
    </bk>
    <bk>
      <extLst>
        <ext uri="{3e2802c4-a4d2-4d8b-9148-e3be6c30e623}">
          <xlrd:rvb i="19782"/>
        </ext>
      </extLst>
    </bk>
    <bk>
      <extLst>
        <ext uri="{3e2802c4-a4d2-4d8b-9148-e3be6c30e623}">
          <xlrd:rvb i="19783"/>
        </ext>
      </extLst>
    </bk>
    <bk>
      <extLst>
        <ext uri="{3e2802c4-a4d2-4d8b-9148-e3be6c30e623}">
          <xlrd:rvb i="19784"/>
        </ext>
      </extLst>
    </bk>
    <bk>
      <extLst>
        <ext uri="{3e2802c4-a4d2-4d8b-9148-e3be6c30e623}">
          <xlrd:rvb i="19785"/>
        </ext>
      </extLst>
    </bk>
    <bk>
      <extLst>
        <ext uri="{3e2802c4-a4d2-4d8b-9148-e3be6c30e623}">
          <xlrd:rvb i="19786"/>
        </ext>
      </extLst>
    </bk>
    <bk>
      <extLst>
        <ext uri="{3e2802c4-a4d2-4d8b-9148-e3be6c30e623}">
          <xlrd:rvb i="19787"/>
        </ext>
      </extLst>
    </bk>
    <bk>
      <extLst>
        <ext uri="{3e2802c4-a4d2-4d8b-9148-e3be6c30e623}">
          <xlrd:rvb i="19788"/>
        </ext>
      </extLst>
    </bk>
    <bk>
      <extLst>
        <ext uri="{3e2802c4-a4d2-4d8b-9148-e3be6c30e623}">
          <xlrd:rvb i="19789"/>
        </ext>
      </extLst>
    </bk>
    <bk>
      <extLst>
        <ext uri="{3e2802c4-a4d2-4d8b-9148-e3be6c30e623}">
          <xlrd:rvb i="19790"/>
        </ext>
      </extLst>
    </bk>
    <bk>
      <extLst>
        <ext uri="{3e2802c4-a4d2-4d8b-9148-e3be6c30e623}">
          <xlrd:rvb i="19791"/>
        </ext>
      </extLst>
    </bk>
    <bk>
      <extLst>
        <ext uri="{3e2802c4-a4d2-4d8b-9148-e3be6c30e623}">
          <xlrd:rvb i="19792"/>
        </ext>
      </extLst>
    </bk>
    <bk>
      <extLst>
        <ext uri="{3e2802c4-a4d2-4d8b-9148-e3be6c30e623}">
          <xlrd:rvb i="19793"/>
        </ext>
      </extLst>
    </bk>
    <bk>
      <extLst>
        <ext uri="{3e2802c4-a4d2-4d8b-9148-e3be6c30e623}">
          <xlrd:rvb i="19794"/>
        </ext>
      </extLst>
    </bk>
    <bk>
      <extLst>
        <ext uri="{3e2802c4-a4d2-4d8b-9148-e3be6c30e623}">
          <xlrd:rvb i="19795"/>
        </ext>
      </extLst>
    </bk>
    <bk>
      <extLst>
        <ext uri="{3e2802c4-a4d2-4d8b-9148-e3be6c30e623}">
          <xlrd:rvb i="19796"/>
        </ext>
      </extLst>
    </bk>
    <bk>
      <extLst>
        <ext uri="{3e2802c4-a4d2-4d8b-9148-e3be6c30e623}">
          <xlrd:rvb i="19797"/>
        </ext>
      </extLst>
    </bk>
    <bk>
      <extLst>
        <ext uri="{3e2802c4-a4d2-4d8b-9148-e3be6c30e623}">
          <xlrd:rvb i="19798"/>
        </ext>
      </extLst>
    </bk>
    <bk>
      <extLst>
        <ext uri="{3e2802c4-a4d2-4d8b-9148-e3be6c30e623}">
          <xlrd:rvb i="19799"/>
        </ext>
      </extLst>
    </bk>
    <bk>
      <extLst>
        <ext uri="{3e2802c4-a4d2-4d8b-9148-e3be6c30e623}">
          <xlrd:rvb i="19800"/>
        </ext>
      </extLst>
    </bk>
    <bk>
      <extLst>
        <ext uri="{3e2802c4-a4d2-4d8b-9148-e3be6c30e623}">
          <xlrd:rvb i="19801"/>
        </ext>
      </extLst>
    </bk>
    <bk>
      <extLst>
        <ext uri="{3e2802c4-a4d2-4d8b-9148-e3be6c30e623}">
          <xlrd:rvb i="19802"/>
        </ext>
      </extLst>
    </bk>
    <bk>
      <extLst>
        <ext uri="{3e2802c4-a4d2-4d8b-9148-e3be6c30e623}">
          <xlrd:rvb i="19803"/>
        </ext>
      </extLst>
    </bk>
    <bk>
      <extLst>
        <ext uri="{3e2802c4-a4d2-4d8b-9148-e3be6c30e623}">
          <xlrd:rvb i="19804"/>
        </ext>
      </extLst>
    </bk>
    <bk>
      <extLst>
        <ext uri="{3e2802c4-a4d2-4d8b-9148-e3be6c30e623}">
          <xlrd:rvb i="19805"/>
        </ext>
      </extLst>
    </bk>
    <bk>
      <extLst>
        <ext uri="{3e2802c4-a4d2-4d8b-9148-e3be6c30e623}">
          <xlrd:rvb i="19806"/>
        </ext>
      </extLst>
    </bk>
    <bk>
      <extLst>
        <ext uri="{3e2802c4-a4d2-4d8b-9148-e3be6c30e623}">
          <xlrd:rvb i="19807"/>
        </ext>
      </extLst>
    </bk>
    <bk>
      <extLst>
        <ext uri="{3e2802c4-a4d2-4d8b-9148-e3be6c30e623}">
          <xlrd:rvb i="19808"/>
        </ext>
      </extLst>
    </bk>
    <bk>
      <extLst>
        <ext uri="{3e2802c4-a4d2-4d8b-9148-e3be6c30e623}">
          <xlrd:rvb i="19809"/>
        </ext>
      </extLst>
    </bk>
    <bk>
      <extLst>
        <ext uri="{3e2802c4-a4d2-4d8b-9148-e3be6c30e623}">
          <xlrd:rvb i="19810"/>
        </ext>
      </extLst>
    </bk>
    <bk>
      <extLst>
        <ext uri="{3e2802c4-a4d2-4d8b-9148-e3be6c30e623}">
          <xlrd:rvb i="19811"/>
        </ext>
      </extLst>
    </bk>
    <bk>
      <extLst>
        <ext uri="{3e2802c4-a4d2-4d8b-9148-e3be6c30e623}">
          <xlrd:rvb i="19812"/>
        </ext>
      </extLst>
    </bk>
    <bk>
      <extLst>
        <ext uri="{3e2802c4-a4d2-4d8b-9148-e3be6c30e623}">
          <xlrd:rvb i="19813"/>
        </ext>
      </extLst>
    </bk>
    <bk>
      <extLst>
        <ext uri="{3e2802c4-a4d2-4d8b-9148-e3be6c30e623}">
          <xlrd:rvb i="19814"/>
        </ext>
      </extLst>
    </bk>
    <bk>
      <extLst>
        <ext uri="{3e2802c4-a4d2-4d8b-9148-e3be6c30e623}">
          <xlrd:rvb i="19815"/>
        </ext>
      </extLst>
    </bk>
    <bk>
      <extLst>
        <ext uri="{3e2802c4-a4d2-4d8b-9148-e3be6c30e623}">
          <xlrd:rvb i="19816"/>
        </ext>
      </extLst>
    </bk>
    <bk>
      <extLst>
        <ext uri="{3e2802c4-a4d2-4d8b-9148-e3be6c30e623}">
          <xlrd:rvb i="19817"/>
        </ext>
      </extLst>
    </bk>
    <bk>
      <extLst>
        <ext uri="{3e2802c4-a4d2-4d8b-9148-e3be6c30e623}">
          <xlrd:rvb i="19818"/>
        </ext>
      </extLst>
    </bk>
    <bk>
      <extLst>
        <ext uri="{3e2802c4-a4d2-4d8b-9148-e3be6c30e623}">
          <xlrd:rvb i="19819"/>
        </ext>
      </extLst>
    </bk>
    <bk>
      <extLst>
        <ext uri="{3e2802c4-a4d2-4d8b-9148-e3be6c30e623}">
          <xlrd:rvb i="19820"/>
        </ext>
      </extLst>
    </bk>
    <bk>
      <extLst>
        <ext uri="{3e2802c4-a4d2-4d8b-9148-e3be6c30e623}">
          <xlrd:rvb i="19821"/>
        </ext>
      </extLst>
    </bk>
    <bk>
      <extLst>
        <ext uri="{3e2802c4-a4d2-4d8b-9148-e3be6c30e623}">
          <xlrd:rvb i="19822"/>
        </ext>
      </extLst>
    </bk>
    <bk>
      <extLst>
        <ext uri="{3e2802c4-a4d2-4d8b-9148-e3be6c30e623}">
          <xlrd:rvb i="19823"/>
        </ext>
      </extLst>
    </bk>
    <bk>
      <extLst>
        <ext uri="{3e2802c4-a4d2-4d8b-9148-e3be6c30e623}">
          <xlrd:rvb i="19824"/>
        </ext>
      </extLst>
    </bk>
    <bk>
      <extLst>
        <ext uri="{3e2802c4-a4d2-4d8b-9148-e3be6c30e623}">
          <xlrd:rvb i="19825"/>
        </ext>
      </extLst>
    </bk>
    <bk>
      <extLst>
        <ext uri="{3e2802c4-a4d2-4d8b-9148-e3be6c30e623}">
          <xlrd:rvb i="19826"/>
        </ext>
      </extLst>
    </bk>
    <bk>
      <extLst>
        <ext uri="{3e2802c4-a4d2-4d8b-9148-e3be6c30e623}">
          <xlrd:rvb i="19827"/>
        </ext>
      </extLst>
    </bk>
    <bk>
      <extLst>
        <ext uri="{3e2802c4-a4d2-4d8b-9148-e3be6c30e623}">
          <xlrd:rvb i="19828"/>
        </ext>
      </extLst>
    </bk>
    <bk>
      <extLst>
        <ext uri="{3e2802c4-a4d2-4d8b-9148-e3be6c30e623}">
          <xlrd:rvb i="19829"/>
        </ext>
      </extLst>
    </bk>
    <bk>
      <extLst>
        <ext uri="{3e2802c4-a4d2-4d8b-9148-e3be6c30e623}">
          <xlrd:rvb i="19830"/>
        </ext>
      </extLst>
    </bk>
    <bk>
      <extLst>
        <ext uri="{3e2802c4-a4d2-4d8b-9148-e3be6c30e623}">
          <xlrd:rvb i="19831"/>
        </ext>
      </extLst>
    </bk>
    <bk>
      <extLst>
        <ext uri="{3e2802c4-a4d2-4d8b-9148-e3be6c30e623}">
          <xlrd:rvb i="19832"/>
        </ext>
      </extLst>
    </bk>
    <bk>
      <extLst>
        <ext uri="{3e2802c4-a4d2-4d8b-9148-e3be6c30e623}">
          <xlrd:rvb i="19833"/>
        </ext>
      </extLst>
    </bk>
    <bk>
      <extLst>
        <ext uri="{3e2802c4-a4d2-4d8b-9148-e3be6c30e623}">
          <xlrd:rvb i="19834"/>
        </ext>
      </extLst>
    </bk>
    <bk>
      <extLst>
        <ext uri="{3e2802c4-a4d2-4d8b-9148-e3be6c30e623}">
          <xlrd:rvb i="19835"/>
        </ext>
      </extLst>
    </bk>
    <bk>
      <extLst>
        <ext uri="{3e2802c4-a4d2-4d8b-9148-e3be6c30e623}">
          <xlrd:rvb i="19836"/>
        </ext>
      </extLst>
    </bk>
    <bk>
      <extLst>
        <ext uri="{3e2802c4-a4d2-4d8b-9148-e3be6c30e623}">
          <xlrd:rvb i="19837"/>
        </ext>
      </extLst>
    </bk>
    <bk>
      <extLst>
        <ext uri="{3e2802c4-a4d2-4d8b-9148-e3be6c30e623}">
          <xlrd:rvb i="19838"/>
        </ext>
      </extLst>
    </bk>
    <bk>
      <extLst>
        <ext uri="{3e2802c4-a4d2-4d8b-9148-e3be6c30e623}">
          <xlrd:rvb i="19839"/>
        </ext>
      </extLst>
    </bk>
    <bk>
      <extLst>
        <ext uri="{3e2802c4-a4d2-4d8b-9148-e3be6c30e623}">
          <xlrd:rvb i="19840"/>
        </ext>
      </extLst>
    </bk>
    <bk>
      <extLst>
        <ext uri="{3e2802c4-a4d2-4d8b-9148-e3be6c30e623}">
          <xlrd:rvb i="19841"/>
        </ext>
      </extLst>
    </bk>
    <bk>
      <extLst>
        <ext uri="{3e2802c4-a4d2-4d8b-9148-e3be6c30e623}">
          <xlrd:rvb i="19842"/>
        </ext>
      </extLst>
    </bk>
    <bk>
      <extLst>
        <ext uri="{3e2802c4-a4d2-4d8b-9148-e3be6c30e623}">
          <xlrd:rvb i="19843"/>
        </ext>
      </extLst>
    </bk>
    <bk>
      <extLst>
        <ext uri="{3e2802c4-a4d2-4d8b-9148-e3be6c30e623}">
          <xlrd:rvb i="19844"/>
        </ext>
      </extLst>
    </bk>
    <bk>
      <extLst>
        <ext uri="{3e2802c4-a4d2-4d8b-9148-e3be6c30e623}">
          <xlrd:rvb i="19845"/>
        </ext>
      </extLst>
    </bk>
    <bk>
      <extLst>
        <ext uri="{3e2802c4-a4d2-4d8b-9148-e3be6c30e623}">
          <xlrd:rvb i="19846"/>
        </ext>
      </extLst>
    </bk>
    <bk>
      <extLst>
        <ext uri="{3e2802c4-a4d2-4d8b-9148-e3be6c30e623}">
          <xlrd:rvb i="19847"/>
        </ext>
      </extLst>
    </bk>
    <bk>
      <extLst>
        <ext uri="{3e2802c4-a4d2-4d8b-9148-e3be6c30e623}">
          <xlrd:rvb i="19848"/>
        </ext>
      </extLst>
    </bk>
    <bk>
      <extLst>
        <ext uri="{3e2802c4-a4d2-4d8b-9148-e3be6c30e623}">
          <xlrd:rvb i="19849"/>
        </ext>
      </extLst>
    </bk>
    <bk>
      <extLst>
        <ext uri="{3e2802c4-a4d2-4d8b-9148-e3be6c30e623}">
          <xlrd:rvb i="19850"/>
        </ext>
      </extLst>
    </bk>
    <bk>
      <extLst>
        <ext uri="{3e2802c4-a4d2-4d8b-9148-e3be6c30e623}">
          <xlrd:rvb i="19851"/>
        </ext>
      </extLst>
    </bk>
    <bk>
      <extLst>
        <ext uri="{3e2802c4-a4d2-4d8b-9148-e3be6c30e623}">
          <xlrd:rvb i="19852"/>
        </ext>
      </extLst>
    </bk>
    <bk>
      <extLst>
        <ext uri="{3e2802c4-a4d2-4d8b-9148-e3be6c30e623}">
          <xlrd:rvb i="19853"/>
        </ext>
      </extLst>
    </bk>
    <bk>
      <extLst>
        <ext uri="{3e2802c4-a4d2-4d8b-9148-e3be6c30e623}">
          <xlrd:rvb i="19854"/>
        </ext>
      </extLst>
    </bk>
    <bk>
      <extLst>
        <ext uri="{3e2802c4-a4d2-4d8b-9148-e3be6c30e623}">
          <xlrd:rvb i="19855"/>
        </ext>
      </extLst>
    </bk>
    <bk>
      <extLst>
        <ext uri="{3e2802c4-a4d2-4d8b-9148-e3be6c30e623}">
          <xlrd:rvb i="19856"/>
        </ext>
      </extLst>
    </bk>
    <bk>
      <extLst>
        <ext uri="{3e2802c4-a4d2-4d8b-9148-e3be6c30e623}">
          <xlrd:rvb i="19857"/>
        </ext>
      </extLst>
    </bk>
    <bk>
      <extLst>
        <ext uri="{3e2802c4-a4d2-4d8b-9148-e3be6c30e623}">
          <xlrd:rvb i="19858"/>
        </ext>
      </extLst>
    </bk>
    <bk>
      <extLst>
        <ext uri="{3e2802c4-a4d2-4d8b-9148-e3be6c30e623}">
          <xlrd:rvb i="19859"/>
        </ext>
      </extLst>
    </bk>
    <bk>
      <extLst>
        <ext uri="{3e2802c4-a4d2-4d8b-9148-e3be6c30e623}">
          <xlrd:rvb i="19860"/>
        </ext>
      </extLst>
    </bk>
    <bk>
      <extLst>
        <ext uri="{3e2802c4-a4d2-4d8b-9148-e3be6c30e623}">
          <xlrd:rvb i="19861"/>
        </ext>
      </extLst>
    </bk>
    <bk>
      <extLst>
        <ext uri="{3e2802c4-a4d2-4d8b-9148-e3be6c30e623}">
          <xlrd:rvb i="19862"/>
        </ext>
      </extLst>
    </bk>
    <bk>
      <extLst>
        <ext uri="{3e2802c4-a4d2-4d8b-9148-e3be6c30e623}">
          <xlrd:rvb i="19863"/>
        </ext>
      </extLst>
    </bk>
    <bk>
      <extLst>
        <ext uri="{3e2802c4-a4d2-4d8b-9148-e3be6c30e623}">
          <xlrd:rvb i="19864"/>
        </ext>
      </extLst>
    </bk>
    <bk>
      <extLst>
        <ext uri="{3e2802c4-a4d2-4d8b-9148-e3be6c30e623}">
          <xlrd:rvb i="19865"/>
        </ext>
      </extLst>
    </bk>
    <bk>
      <extLst>
        <ext uri="{3e2802c4-a4d2-4d8b-9148-e3be6c30e623}">
          <xlrd:rvb i="19866"/>
        </ext>
      </extLst>
    </bk>
    <bk>
      <extLst>
        <ext uri="{3e2802c4-a4d2-4d8b-9148-e3be6c30e623}">
          <xlrd:rvb i="19867"/>
        </ext>
      </extLst>
    </bk>
    <bk>
      <extLst>
        <ext uri="{3e2802c4-a4d2-4d8b-9148-e3be6c30e623}">
          <xlrd:rvb i="19868"/>
        </ext>
      </extLst>
    </bk>
    <bk>
      <extLst>
        <ext uri="{3e2802c4-a4d2-4d8b-9148-e3be6c30e623}">
          <xlrd:rvb i="19869"/>
        </ext>
      </extLst>
    </bk>
    <bk>
      <extLst>
        <ext uri="{3e2802c4-a4d2-4d8b-9148-e3be6c30e623}">
          <xlrd:rvb i="19870"/>
        </ext>
      </extLst>
    </bk>
    <bk>
      <extLst>
        <ext uri="{3e2802c4-a4d2-4d8b-9148-e3be6c30e623}">
          <xlrd:rvb i="19871"/>
        </ext>
      </extLst>
    </bk>
    <bk>
      <extLst>
        <ext uri="{3e2802c4-a4d2-4d8b-9148-e3be6c30e623}">
          <xlrd:rvb i="19872"/>
        </ext>
      </extLst>
    </bk>
    <bk>
      <extLst>
        <ext uri="{3e2802c4-a4d2-4d8b-9148-e3be6c30e623}">
          <xlrd:rvb i="19873"/>
        </ext>
      </extLst>
    </bk>
    <bk>
      <extLst>
        <ext uri="{3e2802c4-a4d2-4d8b-9148-e3be6c30e623}">
          <xlrd:rvb i="19874"/>
        </ext>
      </extLst>
    </bk>
    <bk>
      <extLst>
        <ext uri="{3e2802c4-a4d2-4d8b-9148-e3be6c30e623}">
          <xlrd:rvb i="19875"/>
        </ext>
      </extLst>
    </bk>
    <bk>
      <extLst>
        <ext uri="{3e2802c4-a4d2-4d8b-9148-e3be6c30e623}">
          <xlrd:rvb i="19876"/>
        </ext>
      </extLst>
    </bk>
    <bk>
      <extLst>
        <ext uri="{3e2802c4-a4d2-4d8b-9148-e3be6c30e623}">
          <xlrd:rvb i="19877"/>
        </ext>
      </extLst>
    </bk>
    <bk>
      <extLst>
        <ext uri="{3e2802c4-a4d2-4d8b-9148-e3be6c30e623}">
          <xlrd:rvb i="19878"/>
        </ext>
      </extLst>
    </bk>
    <bk>
      <extLst>
        <ext uri="{3e2802c4-a4d2-4d8b-9148-e3be6c30e623}">
          <xlrd:rvb i="19879"/>
        </ext>
      </extLst>
    </bk>
    <bk>
      <extLst>
        <ext uri="{3e2802c4-a4d2-4d8b-9148-e3be6c30e623}">
          <xlrd:rvb i="19880"/>
        </ext>
      </extLst>
    </bk>
    <bk>
      <extLst>
        <ext uri="{3e2802c4-a4d2-4d8b-9148-e3be6c30e623}">
          <xlrd:rvb i="19881"/>
        </ext>
      </extLst>
    </bk>
    <bk>
      <extLst>
        <ext uri="{3e2802c4-a4d2-4d8b-9148-e3be6c30e623}">
          <xlrd:rvb i="19882"/>
        </ext>
      </extLst>
    </bk>
    <bk>
      <extLst>
        <ext uri="{3e2802c4-a4d2-4d8b-9148-e3be6c30e623}">
          <xlrd:rvb i="19883"/>
        </ext>
      </extLst>
    </bk>
    <bk>
      <extLst>
        <ext uri="{3e2802c4-a4d2-4d8b-9148-e3be6c30e623}">
          <xlrd:rvb i="19884"/>
        </ext>
      </extLst>
    </bk>
    <bk>
      <extLst>
        <ext uri="{3e2802c4-a4d2-4d8b-9148-e3be6c30e623}">
          <xlrd:rvb i="19885"/>
        </ext>
      </extLst>
    </bk>
    <bk>
      <extLst>
        <ext uri="{3e2802c4-a4d2-4d8b-9148-e3be6c30e623}">
          <xlrd:rvb i="19886"/>
        </ext>
      </extLst>
    </bk>
    <bk>
      <extLst>
        <ext uri="{3e2802c4-a4d2-4d8b-9148-e3be6c30e623}">
          <xlrd:rvb i="19887"/>
        </ext>
      </extLst>
    </bk>
    <bk>
      <extLst>
        <ext uri="{3e2802c4-a4d2-4d8b-9148-e3be6c30e623}">
          <xlrd:rvb i="19888"/>
        </ext>
      </extLst>
    </bk>
    <bk>
      <extLst>
        <ext uri="{3e2802c4-a4d2-4d8b-9148-e3be6c30e623}">
          <xlrd:rvb i="19889"/>
        </ext>
      </extLst>
    </bk>
    <bk>
      <extLst>
        <ext uri="{3e2802c4-a4d2-4d8b-9148-e3be6c30e623}">
          <xlrd:rvb i="19890"/>
        </ext>
      </extLst>
    </bk>
    <bk>
      <extLst>
        <ext uri="{3e2802c4-a4d2-4d8b-9148-e3be6c30e623}">
          <xlrd:rvb i="19891"/>
        </ext>
      </extLst>
    </bk>
    <bk>
      <extLst>
        <ext uri="{3e2802c4-a4d2-4d8b-9148-e3be6c30e623}">
          <xlrd:rvb i="19892"/>
        </ext>
      </extLst>
    </bk>
    <bk>
      <extLst>
        <ext uri="{3e2802c4-a4d2-4d8b-9148-e3be6c30e623}">
          <xlrd:rvb i="19893"/>
        </ext>
      </extLst>
    </bk>
    <bk>
      <extLst>
        <ext uri="{3e2802c4-a4d2-4d8b-9148-e3be6c30e623}">
          <xlrd:rvb i="19894"/>
        </ext>
      </extLst>
    </bk>
    <bk>
      <extLst>
        <ext uri="{3e2802c4-a4d2-4d8b-9148-e3be6c30e623}">
          <xlrd:rvb i="19895"/>
        </ext>
      </extLst>
    </bk>
    <bk>
      <extLst>
        <ext uri="{3e2802c4-a4d2-4d8b-9148-e3be6c30e623}">
          <xlrd:rvb i="19896"/>
        </ext>
      </extLst>
    </bk>
    <bk>
      <extLst>
        <ext uri="{3e2802c4-a4d2-4d8b-9148-e3be6c30e623}">
          <xlrd:rvb i="19897"/>
        </ext>
      </extLst>
    </bk>
    <bk>
      <extLst>
        <ext uri="{3e2802c4-a4d2-4d8b-9148-e3be6c30e623}">
          <xlrd:rvb i="19898"/>
        </ext>
      </extLst>
    </bk>
    <bk>
      <extLst>
        <ext uri="{3e2802c4-a4d2-4d8b-9148-e3be6c30e623}">
          <xlrd:rvb i="19899"/>
        </ext>
      </extLst>
    </bk>
    <bk>
      <extLst>
        <ext uri="{3e2802c4-a4d2-4d8b-9148-e3be6c30e623}">
          <xlrd:rvb i="19900"/>
        </ext>
      </extLst>
    </bk>
    <bk>
      <extLst>
        <ext uri="{3e2802c4-a4d2-4d8b-9148-e3be6c30e623}">
          <xlrd:rvb i="19901"/>
        </ext>
      </extLst>
    </bk>
    <bk>
      <extLst>
        <ext uri="{3e2802c4-a4d2-4d8b-9148-e3be6c30e623}">
          <xlrd:rvb i="19902"/>
        </ext>
      </extLst>
    </bk>
    <bk>
      <extLst>
        <ext uri="{3e2802c4-a4d2-4d8b-9148-e3be6c30e623}">
          <xlrd:rvb i="19903"/>
        </ext>
      </extLst>
    </bk>
    <bk>
      <extLst>
        <ext uri="{3e2802c4-a4d2-4d8b-9148-e3be6c30e623}">
          <xlrd:rvb i="19904"/>
        </ext>
      </extLst>
    </bk>
    <bk>
      <extLst>
        <ext uri="{3e2802c4-a4d2-4d8b-9148-e3be6c30e623}">
          <xlrd:rvb i="19905"/>
        </ext>
      </extLst>
    </bk>
    <bk>
      <extLst>
        <ext uri="{3e2802c4-a4d2-4d8b-9148-e3be6c30e623}">
          <xlrd:rvb i="19906"/>
        </ext>
      </extLst>
    </bk>
    <bk>
      <extLst>
        <ext uri="{3e2802c4-a4d2-4d8b-9148-e3be6c30e623}">
          <xlrd:rvb i="19907"/>
        </ext>
      </extLst>
    </bk>
    <bk>
      <extLst>
        <ext uri="{3e2802c4-a4d2-4d8b-9148-e3be6c30e623}">
          <xlrd:rvb i="19908"/>
        </ext>
      </extLst>
    </bk>
    <bk>
      <extLst>
        <ext uri="{3e2802c4-a4d2-4d8b-9148-e3be6c30e623}">
          <xlrd:rvb i="19909"/>
        </ext>
      </extLst>
    </bk>
    <bk>
      <extLst>
        <ext uri="{3e2802c4-a4d2-4d8b-9148-e3be6c30e623}">
          <xlrd:rvb i="19910"/>
        </ext>
      </extLst>
    </bk>
    <bk>
      <extLst>
        <ext uri="{3e2802c4-a4d2-4d8b-9148-e3be6c30e623}">
          <xlrd:rvb i="19911"/>
        </ext>
      </extLst>
    </bk>
    <bk>
      <extLst>
        <ext uri="{3e2802c4-a4d2-4d8b-9148-e3be6c30e623}">
          <xlrd:rvb i="19912"/>
        </ext>
      </extLst>
    </bk>
    <bk>
      <extLst>
        <ext uri="{3e2802c4-a4d2-4d8b-9148-e3be6c30e623}">
          <xlrd:rvb i="19913"/>
        </ext>
      </extLst>
    </bk>
    <bk>
      <extLst>
        <ext uri="{3e2802c4-a4d2-4d8b-9148-e3be6c30e623}">
          <xlrd:rvb i="19914"/>
        </ext>
      </extLst>
    </bk>
    <bk>
      <extLst>
        <ext uri="{3e2802c4-a4d2-4d8b-9148-e3be6c30e623}">
          <xlrd:rvb i="19915"/>
        </ext>
      </extLst>
    </bk>
    <bk>
      <extLst>
        <ext uri="{3e2802c4-a4d2-4d8b-9148-e3be6c30e623}">
          <xlrd:rvb i="19916"/>
        </ext>
      </extLst>
    </bk>
    <bk>
      <extLst>
        <ext uri="{3e2802c4-a4d2-4d8b-9148-e3be6c30e623}">
          <xlrd:rvb i="19917"/>
        </ext>
      </extLst>
    </bk>
    <bk>
      <extLst>
        <ext uri="{3e2802c4-a4d2-4d8b-9148-e3be6c30e623}">
          <xlrd:rvb i="19918"/>
        </ext>
      </extLst>
    </bk>
    <bk>
      <extLst>
        <ext uri="{3e2802c4-a4d2-4d8b-9148-e3be6c30e623}">
          <xlrd:rvb i="19919"/>
        </ext>
      </extLst>
    </bk>
    <bk>
      <extLst>
        <ext uri="{3e2802c4-a4d2-4d8b-9148-e3be6c30e623}">
          <xlrd:rvb i="19920"/>
        </ext>
      </extLst>
    </bk>
    <bk>
      <extLst>
        <ext uri="{3e2802c4-a4d2-4d8b-9148-e3be6c30e623}">
          <xlrd:rvb i="19921"/>
        </ext>
      </extLst>
    </bk>
    <bk>
      <extLst>
        <ext uri="{3e2802c4-a4d2-4d8b-9148-e3be6c30e623}">
          <xlrd:rvb i="19922"/>
        </ext>
      </extLst>
    </bk>
    <bk>
      <extLst>
        <ext uri="{3e2802c4-a4d2-4d8b-9148-e3be6c30e623}">
          <xlrd:rvb i="19923"/>
        </ext>
      </extLst>
    </bk>
    <bk>
      <extLst>
        <ext uri="{3e2802c4-a4d2-4d8b-9148-e3be6c30e623}">
          <xlrd:rvb i="19924"/>
        </ext>
      </extLst>
    </bk>
    <bk>
      <extLst>
        <ext uri="{3e2802c4-a4d2-4d8b-9148-e3be6c30e623}">
          <xlrd:rvb i="19925"/>
        </ext>
      </extLst>
    </bk>
    <bk>
      <extLst>
        <ext uri="{3e2802c4-a4d2-4d8b-9148-e3be6c30e623}">
          <xlrd:rvb i="19926"/>
        </ext>
      </extLst>
    </bk>
    <bk>
      <extLst>
        <ext uri="{3e2802c4-a4d2-4d8b-9148-e3be6c30e623}">
          <xlrd:rvb i="19927"/>
        </ext>
      </extLst>
    </bk>
    <bk>
      <extLst>
        <ext uri="{3e2802c4-a4d2-4d8b-9148-e3be6c30e623}">
          <xlrd:rvb i="19928"/>
        </ext>
      </extLst>
    </bk>
    <bk>
      <extLst>
        <ext uri="{3e2802c4-a4d2-4d8b-9148-e3be6c30e623}">
          <xlrd:rvb i="19929"/>
        </ext>
      </extLst>
    </bk>
    <bk>
      <extLst>
        <ext uri="{3e2802c4-a4d2-4d8b-9148-e3be6c30e623}">
          <xlrd:rvb i="19930"/>
        </ext>
      </extLst>
    </bk>
    <bk>
      <extLst>
        <ext uri="{3e2802c4-a4d2-4d8b-9148-e3be6c30e623}">
          <xlrd:rvb i="19931"/>
        </ext>
      </extLst>
    </bk>
    <bk>
      <extLst>
        <ext uri="{3e2802c4-a4d2-4d8b-9148-e3be6c30e623}">
          <xlrd:rvb i="19932"/>
        </ext>
      </extLst>
    </bk>
    <bk>
      <extLst>
        <ext uri="{3e2802c4-a4d2-4d8b-9148-e3be6c30e623}">
          <xlrd:rvb i="19933"/>
        </ext>
      </extLst>
    </bk>
    <bk>
      <extLst>
        <ext uri="{3e2802c4-a4d2-4d8b-9148-e3be6c30e623}">
          <xlrd:rvb i="19934"/>
        </ext>
      </extLst>
    </bk>
    <bk>
      <extLst>
        <ext uri="{3e2802c4-a4d2-4d8b-9148-e3be6c30e623}">
          <xlrd:rvb i="19935"/>
        </ext>
      </extLst>
    </bk>
    <bk>
      <extLst>
        <ext uri="{3e2802c4-a4d2-4d8b-9148-e3be6c30e623}">
          <xlrd:rvb i="19936"/>
        </ext>
      </extLst>
    </bk>
    <bk>
      <extLst>
        <ext uri="{3e2802c4-a4d2-4d8b-9148-e3be6c30e623}">
          <xlrd:rvb i="19937"/>
        </ext>
      </extLst>
    </bk>
    <bk>
      <extLst>
        <ext uri="{3e2802c4-a4d2-4d8b-9148-e3be6c30e623}">
          <xlrd:rvb i="19938"/>
        </ext>
      </extLst>
    </bk>
    <bk>
      <extLst>
        <ext uri="{3e2802c4-a4d2-4d8b-9148-e3be6c30e623}">
          <xlrd:rvb i="19939"/>
        </ext>
      </extLst>
    </bk>
    <bk>
      <extLst>
        <ext uri="{3e2802c4-a4d2-4d8b-9148-e3be6c30e623}">
          <xlrd:rvb i="19940"/>
        </ext>
      </extLst>
    </bk>
    <bk>
      <extLst>
        <ext uri="{3e2802c4-a4d2-4d8b-9148-e3be6c30e623}">
          <xlrd:rvb i="19941"/>
        </ext>
      </extLst>
    </bk>
    <bk>
      <extLst>
        <ext uri="{3e2802c4-a4d2-4d8b-9148-e3be6c30e623}">
          <xlrd:rvb i="19942"/>
        </ext>
      </extLst>
    </bk>
    <bk>
      <extLst>
        <ext uri="{3e2802c4-a4d2-4d8b-9148-e3be6c30e623}">
          <xlrd:rvb i="19943"/>
        </ext>
      </extLst>
    </bk>
    <bk>
      <extLst>
        <ext uri="{3e2802c4-a4d2-4d8b-9148-e3be6c30e623}">
          <xlrd:rvb i="19944"/>
        </ext>
      </extLst>
    </bk>
    <bk>
      <extLst>
        <ext uri="{3e2802c4-a4d2-4d8b-9148-e3be6c30e623}">
          <xlrd:rvb i="19945"/>
        </ext>
      </extLst>
    </bk>
    <bk>
      <extLst>
        <ext uri="{3e2802c4-a4d2-4d8b-9148-e3be6c30e623}">
          <xlrd:rvb i="19946"/>
        </ext>
      </extLst>
    </bk>
    <bk>
      <extLst>
        <ext uri="{3e2802c4-a4d2-4d8b-9148-e3be6c30e623}">
          <xlrd:rvb i="19947"/>
        </ext>
      </extLst>
    </bk>
    <bk>
      <extLst>
        <ext uri="{3e2802c4-a4d2-4d8b-9148-e3be6c30e623}">
          <xlrd:rvb i="19948"/>
        </ext>
      </extLst>
    </bk>
    <bk>
      <extLst>
        <ext uri="{3e2802c4-a4d2-4d8b-9148-e3be6c30e623}">
          <xlrd:rvb i="19949"/>
        </ext>
      </extLst>
    </bk>
    <bk>
      <extLst>
        <ext uri="{3e2802c4-a4d2-4d8b-9148-e3be6c30e623}">
          <xlrd:rvb i="19950"/>
        </ext>
      </extLst>
    </bk>
    <bk>
      <extLst>
        <ext uri="{3e2802c4-a4d2-4d8b-9148-e3be6c30e623}">
          <xlrd:rvb i="19951"/>
        </ext>
      </extLst>
    </bk>
    <bk>
      <extLst>
        <ext uri="{3e2802c4-a4d2-4d8b-9148-e3be6c30e623}">
          <xlrd:rvb i="19952"/>
        </ext>
      </extLst>
    </bk>
    <bk>
      <extLst>
        <ext uri="{3e2802c4-a4d2-4d8b-9148-e3be6c30e623}">
          <xlrd:rvb i="19953"/>
        </ext>
      </extLst>
    </bk>
    <bk>
      <extLst>
        <ext uri="{3e2802c4-a4d2-4d8b-9148-e3be6c30e623}">
          <xlrd:rvb i="19954"/>
        </ext>
      </extLst>
    </bk>
    <bk>
      <extLst>
        <ext uri="{3e2802c4-a4d2-4d8b-9148-e3be6c30e623}">
          <xlrd:rvb i="19955"/>
        </ext>
      </extLst>
    </bk>
    <bk>
      <extLst>
        <ext uri="{3e2802c4-a4d2-4d8b-9148-e3be6c30e623}">
          <xlrd:rvb i="19956"/>
        </ext>
      </extLst>
    </bk>
    <bk>
      <extLst>
        <ext uri="{3e2802c4-a4d2-4d8b-9148-e3be6c30e623}">
          <xlrd:rvb i="19957"/>
        </ext>
      </extLst>
    </bk>
    <bk>
      <extLst>
        <ext uri="{3e2802c4-a4d2-4d8b-9148-e3be6c30e623}">
          <xlrd:rvb i="19958"/>
        </ext>
      </extLst>
    </bk>
    <bk>
      <extLst>
        <ext uri="{3e2802c4-a4d2-4d8b-9148-e3be6c30e623}">
          <xlrd:rvb i="19959"/>
        </ext>
      </extLst>
    </bk>
    <bk>
      <extLst>
        <ext uri="{3e2802c4-a4d2-4d8b-9148-e3be6c30e623}">
          <xlrd:rvb i="19960"/>
        </ext>
      </extLst>
    </bk>
    <bk>
      <extLst>
        <ext uri="{3e2802c4-a4d2-4d8b-9148-e3be6c30e623}">
          <xlrd:rvb i="19961"/>
        </ext>
      </extLst>
    </bk>
    <bk>
      <extLst>
        <ext uri="{3e2802c4-a4d2-4d8b-9148-e3be6c30e623}">
          <xlrd:rvb i="19962"/>
        </ext>
      </extLst>
    </bk>
    <bk>
      <extLst>
        <ext uri="{3e2802c4-a4d2-4d8b-9148-e3be6c30e623}">
          <xlrd:rvb i="19963"/>
        </ext>
      </extLst>
    </bk>
    <bk>
      <extLst>
        <ext uri="{3e2802c4-a4d2-4d8b-9148-e3be6c30e623}">
          <xlrd:rvb i="19964"/>
        </ext>
      </extLst>
    </bk>
    <bk>
      <extLst>
        <ext uri="{3e2802c4-a4d2-4d8b-9148-e3be6c30e623}">
          <xlrd:rvb i="19965"/>
        </ext>
      </extLst>
    </bk>
    <bk>
      <extLst>
        <ext uri="{3e2802c4-a4d2-4d8b-9148-e3be6c30e623}">
          <xlrd:rvb i="19966"/>
        </ext>
      </extLst>
    </bk>
    <bk>
      <extLst>
        <ext uri="{3e2802c4-a4d2-4d8b-9148-e3be6c30e623}">
          <xlrd:rvb i="19967"/>
        </ext>
      </extLst>
    </bk>
    <bk>
      <extLst>
        <ext uri="{3e2802c4-a4d2-4d8b-9148-e3be6c30e623}">
          <xlrd:rvb i="19968"/>
        </ext>
      </extLst>
    </bk>
    <bk>
      <extLst>
        <ext uri="{3e2802c4-a4d2-4d8b-9148-e3be6c30e623}">
          <xlrd:rvb i="19969"/>
        </ext>
      </extLst>
    </bk>
    <bk>
      <extLst>
        <ext uri="{3e2802c4-a4d2-4d8b-9148-e3be6c30e623}">
          <xlrd:rvb i="19970"/>
        </ext>
      </extLst>
    </bk>
    <bk>
      <extLst>
        <ext uri="{3e2802c4-a4d2-4d8b-9148-e3be6c30e623}">
          <xlrd:rvb i="19971"/>
        </ext>
      </extLst>
    </bk>
    <bk>
      <extLst>
        <ext uri="{3e2802c4-a4d2-4d8b-9148-e3be6c30e623}">
          <xlrd:rvb i="19972"/>
        </ext>
      </extLst>
    </bk>
    <bk>
      <extLst>
        <ext uri="{3e2802c4-a4d2-4d8b-9148-e3be6c30e623}">
          <xlrd:rvb i="19973"/>
        </ext>
      </extLst>
    </bk>
    <bk>
      <extLst>
        <ext uri="{3e2802c4-a4d2-4d8b-9148-e3be6c30e623}">
          <xlrd:rvb i="19974"/>
        </ext>
      </extLst>
    </bk>
    <bk>
      <extLst>
        <ext uri="{3e2802c4-a4d2-4d8b-9148-e3be6c30e623}">
          <xlrd:rvb i="19975"/>
        </ext>
      </extLst>
    </bk>
    <bk>
      <extLst>
        <ext uri="{3e2802c4-a4d2-4d8b-9148-e3be6c30e623}">
          <xlrd:rvb i="19976"/>
        </ext>
      </extLst>
    </bk>
    <bk>
      <extLst>
        <ext uri="{3e2802c4-a4d2-4d8b-9148-e3be6c30e623}">
          <xlrd:rvb i="19977"/>
        </ext>
      </extLst>
    </bk>
    <bk>
      <extLst>
        <ext uri="{3e2802c4-a4d2-4d8b-9148-e3be6c30e623}">
          <xlrd:rvb i="19978"/>
        </ext>
      </extLst>
    </bk>
    <bk>
      <extLst>
        <ext uri="{3e2802c4-a4d2-4d8b-9148-e3be6c30e623}">
          <xlrd:rvb i="19979"/>
        </ext>
      </extLst>
    </bk>
    <bk>
      <extLst>
        <ext uri="{3e2802c4-a4d2-4d8b-9148-e3be6c30e623}">
          <xlrd:rvb i="19980"/>
        </ext>
      </extLst>
    </bk>
    <bk>
      <extLst>
        <ext uri="{3e2802c4-a4d2-4d8b-9148-e3be6c30e623}">
          <xlrd:rvb i="19981"/>
        </ext>
      </extLst>
    </bk>
    <bk>
      <extLst>
        <ext uri="{3e2802c4-a4d2-4d8b-9148-e3be6c30e623}">
          <xlrd:rvb i="19982"/>
        </ext>
      </extLst>
    </bk>
    <bk>
      <extLst>
        <ext uri="{3e2802c4-a4d2-4d8b-9148-e3be6c30e623}">
          <xlrd:rvb i="19983"/>
        </ext>
      </extLst>
    </bk>
    <bk>
      <extLst>
        <ext uri="{3e2802c4-a4d2-4d8b-9148-e3be6c30e623}">
          <xlrd:rvb i="19984"/>
        </ext>
      </extLst>
    </bk>
    <bk>
      <extLst>
        <ext uri="{3e2802c4-a4d2-4d8b-9148-e3be6c30e623}">
          <xlrd:rvb i="19985"/>
        </ext>
      </extLst>
    </bk>
    <bk>
      <extLst>
        <ext uri="{3e2802c4-a4d2-4d8b-9148-e3be6c30e623}">
          <xlrd:rvb i="19986"/>
        </ext>
      </extLst>
    </bk>
    <bk>
      <extLst>
        <ext uri="{3e2802c4-a4d2-4d8b-9148-e3be6c30e623}">
          <xlrd:rvb i="19987"/>
        </ext>
      </extLst>
    </bk>
    <bk>
      <extLst>
        <ext uri="{3e2802c4-a4d2-4d8b-9148-e3be6c30e623}">
          <xlrd:rvb i="19988"/>
        </ext>
      </extLst>
    </bk>
    <bk>
      <extLst>
        <ext uri="{3e2802c4-a4d2-4d8b-9148-e3be6c30e623}">
          <xlrd:rvb i="19989"/>
        </ext>
      </extLst>
    </bk>
    <bk>
      <extLst>
        <ext uri="{3e2802c4-a4d2-4d8b-9148-e3be6c30e623}">
          <xlrd:rvb i="19990"/>
        </ext>
      </extLst>
    </bk>
    <bk>
      <extLst>
        <ext uri="{3e2802c4-a4d2-4d8b-9148-e3be6c30e623}">
          <xlrd:rvb i="19991"/>
        </ext>
      </extLst>
    </bk>
    <bk>
      <extLst>
        <ext uri="{3e2802c4-a4d2-4d8b-9148-e3be6c30e623}">
          <xlrd:rvb i="19992"/>
        </ext>
      </extLst>
    </bk>
    <bk>
      <extLst>
        <ext uri="{3e2802c4-a4d2-4d8b-9148-e3be6c30e623}">
          <xlrd:rvb i="19993"/>
        </ext>
      </extLst>
    </bk>
    <bk>
      <extLst>
        <ext uri="{3e2802c4-a4d2-4d8b-9148-e3be6c30e623}">
          <xlrd:rvb i="19994"/>
        </ext>
      </extLst>
    </bk>
    <bk>
      <extLst>
        <ext uri="{3e2802c4-a4d2-4d8b-9148-e3be6c30e623}">
          <xlrd:rvb i="19995"/>
        </ext>
      </extLst>
    </bk>
    <bk>
      <extLst>
        <ext uri="{3e2802c4-a4d2-4d8b-9148-e3be6c30e623}">
          <xlrd:rvb i="19996"/>
        </ext>
      </extLst>
    </bk>
    <bk>
      <extLst>
        <ext uri="{3e2802c4-a4d2-4d8b-9148-e3be6c30e623}">
          <xlrd:rvb i="19997"/>
        </ext>
      </extLst>
    </bk>
    <bk>
      <extLst>
        <ext uri="{3e2802c4-a4d2-4d8b-9148-e3be6c30e623}">
          <xlrd:rvb i="19998"/>
        </ext>
      </extLst>
    </bk>
    <bk>
      <extLst>
        <ext uri="{3e2802c4-a4d2-4d8b-9148-e3be6c30e623}">
          <xlrd:rvb i="19999"/>
        </ext>
      </extLst>
    </bk>
    <bk>
      <extLst>
        <ext uri="{3e2802c4-a4d2-4d8b-9148-e3be6c30e623}">
          <xlrd:rvb i="20000"/>
        </ext>
      </extLst>
    </bk>
    <bk>
      <extLst>
        <ext uri="{3e2802c4-a4d2-4d8b-9148-e3be6c30e623}">
          <xlrd:rvb i="20001"/>
        </ext>
      </extLst>
    </bk>
    <bk>
      <extLst>
        <ext uri="{3e2802c4-a4d2-4d8b-9148-e3be6c30e623}">
          <xlrd:rvb i="20002"/>
        </ext>
      </extLst>
    </bk>
    <bk>
      <extLst>
        <ext uri="{3e2802c4-a4d2-4d8b-9148-e3be6c30e623}">
          <xlrd:rvb i="20003"/>
        </ext>
      </extLst>
    </bk>
    <bk>
      <extLst>
        <ext uri="{3e2802c4-a4d2-4d8b-9148-e3be6c30e623}">
          <xlrd:rvb i="20004"/>
        </ext>
      </extLst>
    </bk>
    <bk>
      <extLst>
        <ext uri="{3e2802c4-a4d2-4d8b-9148-e3be6c30e623}">
          <xlrd:rvb i="20005"/>
        </ext>
      </extLst>
    </bk>
    <bk>
      <extLst>
        <ext uri="{3e2802c4-a4d2-4d8b-9148-e3be6c30e623}">
          <xlrd:rvb i="20006"/>
        </ext>
      </extLst>
    </bk>
    <bk>
      <extLst>
        <ext uri="{3e2802c4-a4d2-4d8b-9148-e3be6c30e623}">
          <xlrd:rvb i="20007"/>
        </ext>
      </extLst>
    </bk>
    <bk>
      <extLst>
        <ext uri="{3e2802c4-a4d2-4d8b-9148-e3be6c30e623}">
          <xlrd:rvb i="20008"/>
        </ext>
      </extLst>
    </bk>
    <bk>
      <extLst>
        <ext uri="{3e2802c4-a4d2-4d8b-9148-e3be6c30e623}">
          <xlrd:rvb i="20009"/>
        </ext>
      </extLst>
    </bk>
    <bk>
      <extLst>
        <ext uri="{3e2802c4-a4d2-4d8b-9148-e3be6c30e623}">
          <xlrd:rvb i="20010"/>
        </ext>
      </extLst>
    </bk>
    <bk>
      <extLst>
        <ext uri="{3e2802c4-a4d2-4d8b-9148-e3be6c30e623}">
          <xlrd:rvb i="20011"/>
        </ext>
      </extLst>
    </bk>
    <bk>
      <extLst>
        <ext uri="{3e2802c4-a4d2-4d8b-9148-e3be6c30e623}">
          <xlrd:rvb i="20012"/>
        </ext>
      </extLst>
    </bk>
    <bk>
      <extLst>
        <ext uri="{3e2802c4-a4d2-4d8b-9148-e3be6c30e623}">
          <xlrd:rvb i="20013"/>
        </ext>
      </extLst>
    </bk>
    <bk>
      <extLst>
        <ext uri="{3e2802c4-a4d2-4d8b-9148-e3be6c30e623}">
          <xlrd:rvb i="20014"/>
        </ext>
      </extLst>
    </bk>
    <bk>
      <extLst>
        <ext uri="{3e2802c4-a4d2-4d8b-9148-e3be6c30e623}">
          <xlrd:rvb i="20015"/>
        </ext>
      </extLst>
    </bk>
    <bk>
      <extLst>
        <ext uri="{3e2802c4-a4d2-4d8b-9148-e3be6c30e623}">
          <xlrd:rvb i="20016"/>
        </ext>
      </extLst>
    </bk>
    <bk>
      <extLst>
        <ext uri="{3e2802c4-a4d2-4d8b-9148-e3be6c30e623}">
          <xlrd:rvb i="20017"/>
        </ext>
      </extLst>
    </bk>
    <bk>
      <extLst>
        <ext uri="{3e2802c4-a4d2-4d8b-9148-e3be6c30e623}">
          <xlrd:rvb i="20018"/>
        </ext>
      </extLst>
    </bk>
    <bk>
      <extLst>
        <ext uri="{3e2802c4-a4d2-4d8b-9148-e3be6c30e623}">
          <xlrd:rvb i="20019"/>
        </ext>
      </extLst>
    </bk>
    <bk>
      <extLst>
        <ext uri="{3e2802c4-a4d2-4d8b-9148-e3be6c30e623}">
          <xlrd:rvb i="20020"/>
        </ext>
      </extLst>
    </bk>
    <bk>
      <extLst>
        <ext uri="{3e2802c4-a4d2-4d8b-9148-e3be6c30e623}">
          <xlrd:rvb i="20021"/>
        </ext>
      </extLst>
    </bk>
    <bk>
      <extLst>
        <ext uri="{3e2802c4-a4d2-4d8b-9148-e3be6c30e623}">
          <xlrd:rvb i="20022"/>
        </ext>
      </extLst>
    </bk>
    <bk>
      <extLst>
        <ext uri="{3e2802c4-a4d2-4d8b-9148-e3be6c30e623}">
          <xlrd:rvb i="20023"/>
        </ext>
      </extLst>
    </bk>
    <bk>
      <extLst>
        <ext uri="{3e2802c4-a4d2-4d8b-9148-e3be6c30e623}">
          <xlrd:rvb i="20024"/>
        </ext>
      </extLst>
    </bk>
    <bk>
      <extLst>
        <ext uri="{3e2802c4-a4d2-4d8b-9148-e3be6c30e623}">
          <xlrd:rvb i="20025"/>
        </ext>
      </extLst>
    </bk>
    <bk>
      <extLst>
        <ext uri="{3e2802c4-a4d2-4d8b-9148-e3be6c30e623}">
          <xlrd:rvb i="20026"/>
        </ext>
      </extLst>
    </bk>
    <bk>
      <extLst>
        <ext uri="{3e2802c4-a4d2-4d8b-9148-e3be6c30e623}">
          <xlrd:rvb i="20027"/>
        </ext>
      </extLst>
    </bk>
    <bk>
      <extLst>
        <ext uri="{3e2802c4-a4d2-4d8b-9148-e3be6c30e623}">
          <xlrd:rvb i="20028"/>
        </ext>
      </extLst>
    </bk>
    <bk>
      <extLst>
        <ext uri="{3e2802c4-a4d2-4d8b-9148-e3be6c30e623}">
          <xlrd:rvb i="20029"/>
        </ext>
      </extLst>
    </bk>
    <bk>
      <extLst>
        <ext uri="{3e2802c4-a4d2-4d8b-9148-e3be6c30e623}">
          <xlrd:rvb i="20030"/>
        </ext>
      </extLst>
    </bk>
    <bk>
      <extLst>
        <ext uri="{3e2802c4-a4d2-4d8b-9148-e3be6c30e623}">
          <xlrd:rvb i="20031"/>
        </ext>
      </extLst>
    </bk>
    <bk>
      <extLst>
        <ext uri="{3e2802c4-a4d2-4d8b-9148-e3be6c30e623}">
          <xlrd:rvb i="20032"/>
        </ext>
      </extLst>
    </bk>
    <bk>
      <extLst>
        <ext uri="{3e2802c4-a4d2-4d8b-9148-e3be6c30e623}">
          <xlrd:rvb i="20033"/>
        </ext>
      </extLst>
    </bk>
    <bk>
      <extLst>
        <ext uri="{3e2802c4-a4d2-4d8b-9148-e3be6c30e623}">
          <xlrd:rvb i="20034"/>
        </ext>
      </extLst>
    </bk>
    <bk>
      <extLst>
        <ext uri="{3e2802c4-a4d2-4d8b-9148-e3be6c30e623}">
          <xlrd:rvb i="20035"/>
        </ext>
      </extLst>
    </bk>
    <bk>
      <extLst>
        <ext uri="{3e2802c4-a4d2-4d8b-9148-e3be6c30e623}">
          <xlrd:rvb i="20036"/>
        </ext>
      </extLst>
    </bk>
    <bk>
      <extLst>
        <ext uri="{3e2802c4-a4d2-4d8b-9148-e3be6c30e623}">
          <xlrd:rvb i="20037"/>
        </ext>
      </extLst>
    </bk>
    <bk>
      <extLst>
        <ext uri="{3e2802c4-a4d2-4d8b-9148-e3be6c30e623}">
          <xlrd:rvb i="20038"/>
        </ext>
      </extLst>
    </bk>
    <bk>
      <extLst>
        <ext uri="{3e2802c4-a4d2-4d8b-9148-e3be6c30e623}">
          <xlrd:rvb i="20039"/>
        </ext>
      </extLst>
    </bk>
    <bk>
      <extLst>
        <ext uri="{3e2802c4-a4d2-4d8b-9148-e3be6c30e623}">
          <xlrd:rvb i="20040"/>
        </ext>
      </extLst>
    </bk>
    <bk>
      <extLst>
        <ext uri="{3e2802c4-a4d2-4d8b-9148-e3be6c30e623}">
          <xlrd:rvb i="20041"/>
        </ext>
      </extLst>
    </bk>
    <bk>
      <extLst>
        <ext uri="{3e2802c4-a4d2-4d8b-9148-e3be6c30e623}">
          <xlrd:rvb i="20042"/>
        </ext>
      </extLst>
    </bk>
    <bk>
      <extLst>
        <ext uri="{3e2802c4-a4d2-4d8b-9148-e3be6c30e623}">
          <xlrd:rvb i="20043"/>
        </ext>
      </extLst>
    </bk>
    <bk>
      <extLst>
        <ext uri="{3e2802c4-a4d2-4d8b-9148-e3be6c30e623}">
          <xlrd:rvb i="20044"/>
        </ext>
      </extLst>
    </bk>
    <bk>
      <extLst>
        <ext uri="{3e2802c4-a4d2-4d8b-9148-e3be6c30e623}">
          <xlrd:rvb i="20045"/>
        </ext>
      </extLst>
    </bk>
    <bk>
      <extLst>
        <ext uri="{3e2802c4-a4d2-4d8b-9148-e3be6c30e623}">
          <xlrd:rvb i="20046"/>
        </ext>
      </extLst>
    </bk>
    <bk>
      <extLst>
        <ext uri="{3e2802c4-a4d2-4d8b-9148-e3be6c30e623}">
          <xlrd:rvb i="20047"/>
        </ext>
      </extLst>
    </bk>
    <bk>
      <extLst>
        <ext uri="{3e2802c4-a4d2-4d8b-9148-e3be6c30e623}">
          <xlrd:rvb i="20048"/>
        </ext>
      </extLst>
    </bk>
    <bk>
      <extLst>
        <ext uri="{3e2802c4-a4d2-4d8b-9148-e3be6c30e623}">
          <xlrd:rvb i="20049"/>
        </ext>
      </extLst>
    </bk>
    <bk>
      <extLst>
        <ext uri="{3e2802c4-a4d2-4d8b-9148-e3be6c30e623}">
          <xlrd:rvb i="20050"/>
        </ext>
      </extLst>
    </bk>
    <bk>
      <extLst>
        <ext uri="{3e2802c4-a4d2-4d8b-9148-e3be6c30e623}">
          <xlrd:rvb i="20051"/>
        </ext>
      </extLst>
    </bk>
    <bk>
      <extLst>
        <ext uri="{3e2802c4-a4d2-4d8b-9148-e3be6c30e623}">
          <xlrd:rvb i="20052"/>
        </ext>
      </extLst>
    </bk>
    <bk>
      <extLst>
        <ext uri="{3e2802c4-a4d2-4d8b-9148-e3be6c30e623}">
          <xlrd:rvb i="20053"/>
        </ext>
      </extLst>
    </bk>
    <bk>
      <extLst>
        <ext uri="{3e2802c4-a4d2-4d8b-9148-e3be6c30e623}">
          <xlrd:rvb i="20054"/>
        </ext>
      </extLst>
    </bk>
    <bk>
      <extLst>
        <ext uri="{3e2802c4-a4d2-4d8b-9148-e3be6c30e623}">
          <xlrd:rvb i="20055"/>
        </ext>
      </extLst>
    </bk>
    <bk>
      <extLst>
        <ext uri="{3e2802c4-a4d2-4d8b-9148-e3be6c30e623}">
          <xlrd:rvb i="20056"/>
        </ext>
      </extLst>
    </bk>
    <bk>
      <extLst>
        <ext uri="{3e2802c4-a4d2-4d8b-9148-e3be6c30e623}">
          <xlrd:rvb i="20057"/>
        </ext>
      </extLst>
    </bk>
    <bk>
      <extLst>
        <ext uri="{3e2802c4-a4d2-4d8b-9148-e3be6c30e623}">
          <xlrd:rvb i="20058"/>
        </ext>
      </extLst>
    </bk>
    <bk>
      <extLst>
        <ext uri="{3e2802c4-a4d2-4d8b-9148-e3be6c30e623}">
          <xlrd:rvb i="20059"/>
        </ext>
      </extLst>
    </bk>
    <bk>
      <extLst>
        <ext uri="{3e2802c4-a4d2-4d8b-9148-e3be6c30e623}">
          <xlrd:rvb i="20060"/>
        </ext>
      </extLst>
    </bk>
    <bk>
      <extLst>
        <ext uri="{3e2802c4-a4d2-4d8b-9148-e3be6c30e623}">
          <xlrd:rvb i="20061"/>
        </ext>
      </extLst>
    </bk>
    <bk>
      <extLst>
        <ext uri="{3e2802c4-a4d2-4d8b-9148-e3be6c30e623}">
          <xlrd:rvb i="20062"/>
        </ext>
      </extLst>
    </bk>
    <bk>
      <extLst>
        <ext uri="{3e2802c4-a4d2-4d8b-9148-e3be6c30e623}">
          <xlrd:rvb i="20063"/>
        </ext>
      </extLst>
    </bk>
    <bk>
      <extLst>
        <ext uri="{3e2802c4-a4d2-4d8b-9148-e3be6c30e623}">
          <xlrd:rvb i="20064"/>
        </ext>
      </extLst>
    </bk>
    <bk>
      <extLst>
        <ext uri="{3e2802c4-a4d2-4d8b-9148-e3be6c30e623}">
          <xlrd:rvb i="20065"/>
        </ext>
      </extLst>
    </bk>
    <bk>
      <extLst>
        <ext uri="{3e2802c4-a4d2-4d8b-9148-e3be6c30e623}">
          <xlrd:rvb i="20066"/>
        </ext>
      </extLst>
    </bk>
    <bk>
      <extLst>
        <ext uri="{3e2802c4-a4d2-4d8b-9148-e3be6c30e623}">
          <xlrd:rvb i="20067"/>
        </ext>
      </extLst>
    </bk>
    <bk>
      <extLst>
        <ext uri="{3e2802c4-a4d2-4d8b-9148-e3be6c30e623}">
          <xlrd:rvb i="20068"/>
        </ext>
      </extLst>
    </bk>
    <bk>
      <extLst>
        <ext uri="{3e2802c4-a4d2-4d8b-9148-e3be6c30e623}">
          <xlrd:rvb i="20069"/>
        </ext>
      </extLst>
    </bk>
    <bk>
      <extLst>
        <ext uri="{3e2802c4-a4d2-4d8b-9148-e3be6c30e623}">
          <xlrd:rvb i="20070"/>
        </ext>
      </extLst>
    </bk>
    <bk>
      <extLst>
        <ext uri="{3e2802c4-a4d2-4d8b-9148-e3be6c30e623}">
          <xlrd:rvb i="20071"/>
        </ext>
      </extLst>
    </bk>
    <bk>
      <extLst>
        <ext uri="{3e2802c4-a4d2-4d8b-9148-e3be6c30e623}">
          <xlrd:rvb i="20072"/>
        </ext>
      </extLst>
    </bk>
    <bk>
      <extLst>
        <ext uri="{3e2802c4-a4d2-4d8b-9148-e3be6c30e623}">
          <xlrd:rvb i="20073"/>
        </ext>
      </extLst>
    </bk>
    <bk>
      <extLst>
        <ext uri="{3e2802c4-a4d2-4d8b-9148-e3be6c30e623}">
          <xlrd:rvb i="20074"/>
        </ext>
      </extLst>
    </bk>
    <bk>
      <extLst>
        <ext uri="{3e2802c4-a4d2-4d8b-9148-e3be6c30e623}">
          <xlrd:rvb i="20075"/>
        </ext>
      </extLst>
    </bk>
    <bk>
      <extLst>
        <ext uri="{3e2802c4-a4d2-4d8b-9148-e3be6c30e623}">
          <xlrd:rvb i="20076"/>
        </ext>
      </extLst>
    </bk>
    <bk>
      <extLst>
        <ext uri="{3e2802c4-a4d2-4d8b-9148-e3be6c30e623}">
          <xlrd:rvb i="20077"/>
        </ext>
      </extLst>
    </bk>
    <bk>
      <extLst>
        <ext uri="{3e2802c4-a4d2-4d8b-9148-e3be6c30e623}">
          <xlrd:rvb i="20078"/>
        </ext>
      </extLst>
    </bk>
    <bk>
      <extLst>
        <ext uri="{3e2802c4-a4d2-4d8b-9148-e3be6c30e623}">
          <xlrd:rvb i="20079"/>
        </ext>
      </extLst>
    </bk>
    <bk>
      <extLst>
        <ext uri="{3e2802c4-a4d2-4d8b-9148-e3be6c30e623}">
          <xlrd:rvb i="20080"/>
        </ext>
      </extLst>
    </bk>
    <bk>
      <extLst>
        <ext uri="{3e2802c4-a4d2-4d8b-9148-e3be6c30e623}">
          <xlrd:rvb i="20081"/>
        </ext>
      </extLst>
    </bk>
    <bk>
      <extLst>
        <ext uri="{3e2802c4-a4d2-4d8b-9148-e3be6c30e623}">
          <xlrd:rvb i="20082"/>
        </ext>
      </extLst>
    </bk>
    <bk>
      <extLst>
        <ext uri="{3e2802c4-a4d2-4d8b-9148-e3be6c30e623}">
          <xlrd:rvb i="20083"/>
        </ext>
      </extLst>
    </bk>
    <bk>
      <extLst>
        <ext uri="{3e2802c4-a4d2-4d8b-9148-e3be6c30e623}">
          <xlrd:rvb i="20084"/>
        </ext>
      </extLst>
    </bk>
    <bk>
      <extLst>
        <ext uri="{3e2802c4-a4d2-4d8b-9148-e3be6c30e623}">
          <xlrd:rvb i="20085"/>
        </ext>
      </extLst>
    </bk>
    <bk>
      <extLst>
        <ext uri="{3e2802c4-a4d2-4d8b-9148-e3be6c30e623}">
          <xlrd:rvb i="20086"/>
        </ext>
      </extLst>
    </bk>
    <bk>
      <extLst>
        <ext uri="{3e2802c4-a4d2-4d8b-9148-e3be6c30e623}">
          <xlrd:rvb i="20087"/>
        </ext>
      </extLst>
    </bk>
    <bk>
      <extLst>
        <ext uri="{3e2802c4-a4d2-4d8b-9148-e3be6c30e623}">
          <xlrd:rvb i="20088"/>
        </ext>
      </extLst>
    </bk>
    <bk>
      <extLst>
        <ext uri="{3e2802c4-a4d2-4d8b-9148-e3be6c30e623}">
          <xlrd:rvb i="20089"/>
        </ext>
      </extLst>
    </bk>
    <bk>
      <extLst>
        <ext uri="{3e2802c4-a4d2-4d8b-9148-e3be6c30e623}">
          <xlrd:rvb i="20090"/>
        </ext>
      </extLst>
    </bk>
    <bk>
      <extLst>
        <ext uri="{3e2802c4-a4d2-4d8b-9148-e3be6c30e623}">
          <xlrd:rvb i="20091"/>
        </ext>
      </extLst>
    </bk>
    <bk>
      <extLst>
        <ext uri="{3e2802c4-a4d2-4d8b-9148-e3be6c30e623}">
          <xlrd:rvb i="20092"/>
        </ext>
      </extLst>
    </bk>
    <bk>
      <extLst>
        <ext uri="{3e2802c4-a4d2-4d8b-9148-e3be6c30e623}">
          <xlrd:rvb i="20093"/>
        </ext>
      </extLst>
    </bk>
    <bk>
      <extLst>
        <ext uri="{3e2802c4-a4d2-4d8b-9148-e3be6c30e623}">
          <xlrd:rvb i="20094"/>
        </ext>
      </extLst>
    </bk>
    <bk>
      <extLst>
        <ext uri="{3e2802c4-a4d2-4d8b-9148-e3be6c30e623}">
          <xlrd:rvb i="20095"/>
        </ext>
      </extLst>
    </bk>
    <bk>
      <extLst>
        <ext uri="{3e2802c4-a4d2-4d8b-9148-e3be6c30e623}">
          <xlrd:rvb i="20096"/>
        </ext>
      </extLst>
    </bk>
    <bk>
      <extLst>
        <ext uri="{3e2802c4-a4d2-4d8b-9148-e3be6c30e623}">
          <xlrd:rvb i="20097"/>
        </ext>
      </extLst>
    </bk>
    <bk>
      <extLst>
        <ext uri="{3e2802c4-a4d2-4d8b-9148-e3be6c30e623}">
          <xlrd:rvb i="20098"/>
        </ext>
      </extLst>
    </bk>
    <bk>
      <extLst>
        <ext uri="{3e2802c4-a4d2-4d8b-9148-e3be6c30e623}">
          <xlrd:rvb i="20099"/>
        </ext>
      </extLst>
    </bk>
    <bk>
      <extLst>
        <ext uri="{3e2802c4-a4d2-4d8b-9148-e3be6c30e623}">
          <xlrd:rvb i="20100"/>
        </ext>
      </extLst>
    </bk>
    <bk>
      <extLst>
        <ext uri="{3e2802c4-a4d2-4d8b-9148-e3be6c30e623}">
          <xlrd:rvb i="20101"/>
        </ext>
      </extLst>
    </bk>
    <bk>
      <extLst>
        <ext uri="{3e2802c4-a4d2-4d8b-9148-e3be6c30e623}">
          <xlrd:rvb i="20102"/>
        </ext>
      </extLst>
    </bk>
    <bk>
      <extLst>
        <ext uri="{3e2802c4-a4d2-4d8b-9148-e3be6c30e623}">
          <xlrd:rvb i="20103"/>
        </ext>
      </extLst>
    </bk>
    <bk>
      <extLst>
        <ext uri="{3e2802c4-a4d2-4d8b-9148-e3be6c30e623}">
          <xlrd:rvb i="20104"/>
        </ext>
      </extLst>
    </bk>
    <bk>
      <extLst>
        <ext uri="{3e2802c4-a4d2-4d8b-9148-e3be6c30e623}">
          <xlrd:rvb i="20105"/>
        </ext>
      </extLst>
    </bk>
    <bk>
      <extLst>
        <ext uri="{3e2802c4-a4d2-4d8b-9148-e3be6c30e623}">
          <xlrd:rvb i="20106"/>
        </ext>
      </extLst>
    </bk>
    <bk>
      <extLst>
        <ext uri="{3e2802c4-a4d2-4d8b-9148-e3be6c30e623}">
          <xlrd:rvb i="20107"/>
        </ext>
      </extLst>
    </bk>
    <bk>
      <extLst>
        <ext uri="{3e2802c4-a4d2-4d8b-9148-e3be6c30e623}">
          <xlrd:rvb i="20108"/>
        </ext>
      </extLst>
    </bk>
    <bk>
      <extLst>
        <ext uri="{3e2802c4-a4d2-4d8b-9148-e3be6c30e623}">
          <xlrd:rvb i="20109"/>
        </ext>
      </extLst>
    </bk>
    <bk>
      <extLst>
        <ext uri="{3e2802c4-a4d2-4d8b-9148-e3be6c30e623}">
          <xlrd:rvb i="20110"/>
        </ext>
      </extLst>
    </bk>
    <bk>
      <extLst>
        <ext uri="{3e2802c4-a4d2-4d8b-9148-e3be6c30e623}">
          <xlrd:rvb i="20111"/>
        </ext>
      </extLst>
    </bk>
    <bk>
      <extLst>
        <ext uri="{3e2802c4-a4d2-4d8b-9148-e3be6c30e623}">
          <xlrd:rvb i="20112"/>
        </ext>
      </extLst>
    </bk>
    <bk>
      <extLst>
        <ext uri="{3e2802c4-a4d2-4d8b-9148-e3be6c30e623}">
          <xlrd:rvb i="20113"/>
        </ext>
      </extLst>
    </bk>
    <bk>
      <extLst>
        <ext uri="{3e2802c4-a4d2-4d8b-9148-e3be6c30e623}">
          <xlrd:rvb i="20114"/>
        </ext>
      </extLst>
    </bk>
    <bk>
      <extLst>
        <ext uri="{3e2802c4-a4d2-4d8b-9148-e3be6c30e623}">
          <xlrd:rvb i="20115"/>
        </ext>
      </extLst>
    </bk>
    <bk>
      <extLst>
        <ext uri="{3e2802c4-a4d2-4d8b-9148-e3be6c30e623}">
          <xlrd:rvb i="20116"/>
        </ext>
      </extLst>
    </bk>
    <bk>
      <extLst>
        <ext uri="{3e2802c4-a4d2-4d8b-9148-e3be6c30e623}">
          <xlrd:rvb i="20117"/>
        </ext>
      </extLst>
    </bk>
    <bk>
      <extLst>
        <ext uri="{3e2802c4-a4d2-4d8b-9148-e3be6c30e623}">
          <xlrd:rvb i="20118"/>
        </ext>
      </extLst>
    </bk>
    <bk>
      <extLst>
        <ext uri="{3e2802c4-a4d2-4d8b-9148-e3be6c30e623}">
          <xlrd:rvb i="20119"/>
        </ext>
      </extLst>
    </bk>
    <bk>
      <extLst>
        <ext uri="{3e2802c4-a4d2-4d8b-9148-e3be6c30e623}">
          <xlrd:rvb i="20120"/>
        </ext>
      </extLst>
    </bk>
    <bk>
      <extLst>
        <ext uri="{3e2802c4-a4d2-4d8b-9148-e3be6c30e623}">
          <xlrd:rvb i="20121"/>
        </ext>
      </extLst>
    </bk>
    <bk>
      <extLst>
        <ext uri="{3e2802c4-a4d2-4d8b-9148-e3be6c30e623}">
          <xlrd:rvb i="20122"/>
        </ext>
      </extLst>
    </bk>
    <bk>
      <extLst>
        <ext uri="{3e2802c4-a4d2-4d8b-9148-e3be6c30e623}">
          <xlrd:rvb i="20123"/>
        </ext>
      </extLst>
    </bk>
    <bk>
      <extLst>
        <ext uri="{3e2802c4-a4d2-4d8b-9148-e3be6c30e623}">
          <xlrd:rvb i="20124"/>
        </ext>
      </extLst>
    </bk>
    <bk>
      <extLst>
        <ext uri="{3e2802c4-a4d2-4d8b-9148-e3be6c30e623}">
          <xlrd:rvb i="20125"/>
        </ext>
      </extLst>
    </bk>
    <bk>
      <extLst>
        <ext uri="{3e2802c4-a4d2-4d8b-9148-e3be6c30e623}">
          <xlrd:rvb i="20126"/>
        </ext>
      </extLst>
    </bk>
    <bk>
      <extLst>
        <ext uri="{3e2802c4-a4d2-4d8b-9148-e3be6c30e623}">
          <xlrd:rvb i="20127"/>
        </ext>
      </extLst>
    </bk>
    <bk>
      <extLst>
        <ext uri="{3e2802c4-a4d2-4d8b-9148-e3be6c30e623}">
          <xlrd:rvb i="20128"/>
        </ext>
      </extLst>
    </bk>
    <bk>
      <extLst>
        <ext uri="{3e2802c4-a4d2-4d8b-9148-e3be6c30e623}">
          <xlrd:rvb i="20129"/>
        </ext>
      </extLst>
    </bk>
    <bk>
      <extLst>
        <ext uri="{3e2802c4-a4d2-4d8b-9148-e3be6c30e623}">
          <xlrd:rvb i="20130"/>
        </ext>
      </extLst>
    </bk>
    <bk>
      <extLst>
        <ext uri="{3e2802c4-a4d2-4d8b-9148-e3be6c30e623}">
          <xlrd:rvb i="20131"/>
        </ext>
      </extLst>
    </bk>
    <bk>
      <extLst>
        <ext uri="{3e2802c4-a4d2-4d8b-9148-e3be6c30e623}">
          <xlrd:rvb i="20132"/>
        </ext>
      </extLst>
    </bk>
    <bk>
      <extLst>
        <ext uri="{3e2802c4-a4d2-4d8b-9148-e3be6c30e623}">
          <xlrd:rvb i="20133"/>
        </ext>
      </extLst>
    </bk>
    <bk>
      <extLst>
        <ext uri="{3e2802c4-a4d2-4d8b-9148-e3be6c30e623}">
          <xlrd:rvb i="20134"/>
        </ext>
      </extLst>
    </bk>
    <bk>
      <extLst>
        <ext uri="{3e2802c4-a4d2-4d8b-9148-e3be6c30e623}">
          <xlrd:rvb i="20135"/>
        </ext>
      </extLst>
    </bk>
    <bk>
      <extLst>
        <ext uri="{3e2802c4-a4d2-4d8b-9148-e3be6c30e623}">
          <xlrd:rvb i="20136"/>
        </ext>
      </extLst>
    </bk>
    <bk>
      <extLst>
        <ext uri="{3e2802c4-a4d2-4d8b-9148-e3be6c30e623}">
          <xlrd:rvb i="20137"/>
        </ext>
      </extLst>
    </bk>
    <bk>
      <extLst>
        <ext uri="{3e2802c4-a4d2-4d8b-9148-e3be6c30e623}">
          <xlrd:rvb i="20138"/>
        </ext>
      </extLst>
    </bk>
    <bk>
      <extLst>
        <ext uri="{3e2802c4-a4d2-4d8b-9148-e3be6c30e623}">
          <xlrd:rvb i="20139"/>
        </ext>
      </extLst>
    </bk>
    <bk>
      <extLst>
        <ext uri="{3e2802c4-a4d2-4d8b-9148-e3be6c30e623}">
          <xlrd:rvb i="20140"/>
        </ext>
      </extLst>
    </bk>
    <bk>
      <extLst>
        <ext uri="{3e2802c4-a4d2-4d8b-9148-e3be6c30e623}">
          <xlrd:rvb i="20141"/>
        </ext>
      </extLst>
    </bk>
    <bk>
      <extLst>
        <ext uri="{3e2802c4-a4d2-4d8b-9148-e3be6c30e623}">
          <xlrd:rvb i="20142"/>
        </ext>
      </extLst>
    </bk>
    <bk>
      <extLst>
        <ext uri="{3e2802c4-a4d2-4d8b-9148-e3be6c30e623}">
          <xlrd:rvb i="20143"/>
        </ext>
      </extLst>
    </bk>
    <bk>
      <extLst>
        <ext uri="{3e2802c4-a4d2-4d8b-9148-e3be6c30e623}">
          <xlrd:rvb i="20144"/>
        </ext>
      </extLst>
    </bk>
    <bk>
      <extLst>
        <ext uri="{3e2802c4-a4d2-4d8b-9148-e3be6c30e623}">
          <xlrd:rvb i="20145"/>
        </ext>
      </extLst>
    </bk>
    <bk>
      <extLst>
        <ext uri="{3e2802c4-a4d2-4d8b-9148-e3be6c30e623}">
          <xlrd:rvb i="20146"/>
        </ext>
      </extLst>
    </bk>
    <bk>
      <extLst>
        <ext uri="{3e2802c4-a4d2-4d8b-9148-e3be6c30e623}">
          <xlrd:rvb i="20147"/>
        </ext>
      </extLst>
    </bk>
    <bk>
      <extLst>
        <ext uri="{3e2802c4-a4d2-4d8b-9148-e3be6c30e623}">
          <xlrd:rvb i="20148"/>
        </ext>
      </extLst>
    </bk>
    <bk>
      <extLst>
        <ext uri="{3e2802c4-a4d2-4d8b-9148-e3be6c30e623}">
          <xlrd:rvb i="20149"/>
        </ext>
      </extLst>
    </bk>
    <bk>
      <extLst>
        <ext uri="{3e2802c4-a4d2-4d8b-9148-e3be6c30e623}">
          <xlrd:rvb i="20150"/>
        </ext>
      </extLst>
    </bk>
    <bk>
      <extLst>
        <ext uri="{3e2802c4-a4d2-4d8b-9148-e3be6c30e623}">
          <xlrd:rvb i="20151"/>
        </ext>
      </extLst>
    </bk>
    <bk>
      <extLst>
        <ext uri="{3e2802c4-a4d2-4d8b-9148-e3be6c30e623}">
          <xlrd:rvb i="20152"/>
        </ext>
      </extLst>
    </bk>
    <bk>
      <extLst>
        <ext uri="{3e2802c4-a4d2-4d8b-9148-e3be6c30e623}">
          <xlrd:rvb i="20153"/>
        </ext>
      </extLst>
    </bk>
    <bk>
      <extLst>
        <ext uri="{3e2802c4-a4d2-4d8b-9148-e3be6c30e623}">
          <xlrd:rvb i="20154"/>
        </ext>
      </extLst>
    </bk>
    <bk>
      <extLst>
        <ext uri="{3e2802c4-a4d2-4d8b-9148-e3be6c30e623}">
          <xlrd:rvb i="20155"/>
        </ext>
      </extLst>
    </bk>
    <bk>
      <extLst>
        <ext uri="{3e2802c4-a4d2-4d8b-9148-e3be6c30e623}">
          <xlrd:rvb i="20156"/>
        </ext>
      </extLst>
    </bk>
    <bk>
      <extLst>
        <ext uri="{3e2802c4-a4d2-4d8b-9148-e3be6c30e623}">
          <xlrd:rvb i="20157"/>
        </ext>
      </extLst>
    </bk>
    <bk>
      <extLst>
        <ext uri="{3e2802c4-a4d2-4d8b-9148-e3be6c30e623}">
          <xlrd:rvb i="20158"/>
        </ext>
      </extLst>
    </bk>
    <bk>
      <extLst>
        <ext uri="{3e2802c4-a4d2-4d8b-9148-e3be6c30e623}">
          <xlrd:rvb i="20159"/>
        </ext>
      </extLst>
    </bk>
    <bk>
      <extLst>
        <ext uri="{3e2802c4-a4d2-4d8b-9148-e3be6c30e623}">
          <xlrd:rvb i="20160"/>
        </ext>
      </extLst>
    </bk>
    <bk>
      <extLst>
        <ext uri="{3e2802c4-a4d2-4d8b-9148-e3be6c30e623}">
          <xlrd:rvb i="20161"/>
        </ext>
      </extLst>
    </bk>
    <bk>
      <extLst>
        <ext uri="{3e2802c4-a4d2-4d8b-9148-e3be6c30e623}">
          <xlrd:rvb i="20162"/>
        </ext>
      </extLst>
    </bk>
    <bk>
      <extLst>
        <ext uri="{3e2802c4-a4d2-4d8b-9148-e3be6c30e623}">
          <xlrd:rvb i="20163"/>
        </ext>
      </extLst>
    </bk>
    <bk>
      <extLst>
        <ext uri="{3e2802c4-a4d2-4d8b-9148-e3be6c30e623}">
          <xlrd:rvb i="20164"/>
        </ext>
      </extLst>
    </bk>
    <bk>
      <extLst>
        <ext uri="{3e2802c4-a4d2-4d8b-9148-e3be6c30e623}">
          <xlrd:rvb i="20165"/>
        </ext>
      </extLst>
    </bk>
    <bk>
      <extLst>
        <ext uri="{3e2802c4-a4d2-4d8b-9148-e3be6c30e623}">
          <xlrd:rvb i="20166"/>
        </ext>
      </extLst>
    </bk>
    <bk>
      <extLst>
        <ext uri="{3e2802c4-a4d2-4d8b-9148-e3be6c30e623}">
          <xlrd:rvb i="20167"/>
        </ext>
      </extLst>
    </bk>
    <bk>
      <extLst>
        <ext uri="{3e2802c4-a4d2-4d8b-9148-e3be6c30e623}">
          <xlrd:rvb i="20168"/>
        </ext>
      </extLst>
    </bk>
    <bk>
      <extLst>
        <ext uri="{3e2802c4-a4d2-4d8b-9148-e3be6c30e623}">
          <xlrd:rvb i="20169"/>
        </ext>
      </extLst>
    </bk>
    <bk>
      <extLst>
        <ext uri="{3e2802c4-a4d2-4d8b-9148-e3be6c30e623}">
          <xlrd:rvb i="20170"/>
        </ext>
      </extLst>
    </bk>
    <bk>
      <extLst>
        <ext uri="{3e2802c4-a4d2-4d8b-9148-e3be6c30e623}">
          <xlrd:rvb i="20171"/>
        </ext>
      </extLst>
    </bk>
    <bk>
      <extLst>
        <ext uri="{3e2802c4-a4d2-4d8b-9148-e3be6c30e623}">
          <xlrd:rvb i="20172"/>
        </ext>
      </extLst>
    </bk>
    <bk>
      <extLst>
        <ext uri="{3e2802c4-a4d2-4d8b-9148-e3be6c30e623}">
          <xlrd:rvb i="20173"/>
        </ext>
      </extLst>
    </bk>
    <bk>
      <extLst>
        <ext uri="{3e2802c4-a4d2-4d8b-9148-e3be6c30e623}">
          <xlrd:rvb i="20174"/>
        </ext>
      </extLst>
    </bk>
    <bk>
      <extLst>
        <ext uri="{3e2802c4-a4d2-4d8b-9148-e3be6c30e623}">
          <xlrd:rvb i="20175"/>
        </ext>
      </extLst>
    </bk>
    <bk>
      <extLst>
        <ext uri="{3e2802c4-a4d2-4d8b-9148-e3be6c30e623}">
          <xlrd:rvb i="20176"/>
        </ext>
      </extLst>
    </bk>
    <bk>
      <extLst>
        <ext uri="{3e2802c4-a4d2-4d8b-9148-e3be6c30e623}">
          <xlrd:rvb i="20177"/>
        </ext>
      </extLst>
    </bk>
    <bk>
      <extLst>
        <ext uri="{3e2802c4-a4d2-4d8b-9148-e3be6c30e623}">
          <xlrd:rvb i="20178"/>
        </ext>
      </extLst>
    </bk>
    <bk>
      <extLst>
        <ext uri="{3e2802c4-a4d2-4d8b-9148-e3be6c30e623}">
          <xlrd:rvb i="20179"/>
        </ext>
      </extLst>
    </bk>
    <bk>
      <extLst>
        <ext uri="{3e2802c4-a4d2-4d8b-9148-e3be6c30e623}">
          <xlrd:rvb i="20180"/>
        </ext>
      </extLst>
    </bk>
    <bk>
      <extLst>
        <ext uri="{3e2802c4-a4d2-4d8b-9148-e3be6c30e623}">
          <xlrd:rvb i="20181"/>
        </ext>
      </extLst>
    </bk>
    <bk>
      <extLst>
        <ext uri="{3e2802c4-a4d2-4d8b-9148-e3be6c30e623}">
          <xlrd:rvb i="20182"/>
        </ext>
      </extLst>
    </bk>
    <bk>
      <extLst>
        <ext uri="{3e2802c4-a4d2-4d8b-9148-e3be6c30e623}">
          <xlrd:rvb i="20183"/>
        </ext>
      </extLst>
    </bk>
    <bk>
      <extLst>
        <ext uri="{3e2802c4-a4d2-4d8b-9148-e3be6c30e623}">
          <xlrd:rvb i="20184"/>
        </ext>
      </extLst>
    </bk>
    <bk>
      <extLst>
        <ext uri="{3e2802c4-a4d2-4d8b-9148-e3be6c30e623}">
          <xlrd:rvb i="20185"/>
        </ext>
      </extLst>
    </bk>
    <bk>
      <extLst>
        <ext uri="{3e2802c4-a4d2-4d8b-9148-e3be6c30e623}">
          <xlrd:rvb i="20186"/>
        </ext>
      </extLst>
    </bk>
    <bk>
      <extLst>
        <ext uri="{3e2802c4-a4d2-4d8b-9148-e3be6c30e623}">
          <xlrd:rvb i="20187"/>
        </ext>
      </extLst>
    </bk>
    <bk>
      <extLst>
        <ext uri="{3e2802c4-a4d2-4d8b-9148-e3be6c30e623}">
          <xlrd:rvb i="20188"/>
        </ext>
      </extLst>
    </bk>
    <bk>
      <extLst>
        <ext uri="{3e2802c4-a4d2-4d8b-9148-e3be6c30e623}">
          <xlrd:rvb i="20189"/>
        </ext>
      </extLst>
    </bk>
    <bk>
      <extLst>
        <ext uri="{3e2802c4-a4d2-4d8b-9148-e3be6c30e623}">
          <xlrd:rvb i="20190"/>
        </ext>
      </extLst>
    </bk>
    <bk>
      <extLst>
        <ext uri="{3e2802c4-a4d2-4d8b-9148-e3be6c30e623}">
          <xlrd:rvb i="20191"/>
        </ext>
      </extLst>
    </bk>
    <bk>
      <extLst>
        <ext uri="{3e2802c4-a4d2-4d8b-9148-e3be6c30e623}">
          <xlrd:rvb i="20192"/>
        </ext>
      </extLst>
    </bk>
    <bk>
      <extLst>
        <ext uri="{3e2802c4-a4d2-4d8b-9148-e3be6c30e623}">
          <xlrd:rvb i="20193"/>
        </ext>
      </extLst>
    </bk>
    <bk>
      <extLst>
        <ext uri="{3e2802c4-a4d2-4d8b-9148-e3be6c30e623}">
          <xlrd:rvb i="20194"/>
        </ext>
      </extLst>
    </bk>
    <bk>
      <extLst>
        <ext uri="{3e2802c4-a4d2-4d8b-9148-e3be6c30e623}">
          <xlrd:rvb i="20195"/>
        </ext>
      </extLst>
    </bk>
    <bk>
      <extLst>
        <ext uri="{3e2802c4-a4d2-4d8b-9148-e3be6c30e623}">
          <xlrd:rvb i="20196"/>
        </ext>
      </extLst>
    </bk>
    <bk>
      <extLst>
        <ext uri="{3e2802c4-a4d2-4d8b-9148-e3be6c30e623}">
          <xlrd:rvb i="20197"/>
        </ext>
      </extLst>
    </bk>
    <bk>
      <extLst>
        <ext uri="{3e2802c4-a4d2-4d8b-9148-e3be6c30e623}">
          <xlrd:rvb i="20198"/>
        </ext>
      </extLst>
    </bk>
    <bk>
      <extLst>
        <ext uri="{3e2802c4-a4d2-4d8b-9148-e3be6c30e623}">
          <xlrd:rvb i="20199"/>
        </ext>
      </extLst>
    </bk>
    <bk>
      <extLst>
        <ext uri="{3e2802c4-a4d2-4d8b-9148-e3be6c30e623}">
          <xlrd:rvb i="20200"/>
        </ext>
      </extLst>
    </bk>
    <bk>
      <extLst>
        <ext uri="{3e2802c4-a4d2-4d8b-9148-e3be6c30e623}">
          <xlrd:rvb i="20201"/>
        </ext>
      </extLst>
    </bk>
    <bk>
      <extLst>
        <ext uri="{3e2802c4-a4d2-4d8b-9148-e3be6c30e623}">
          <xlrd:rvb i="20202"/>
        </ext>
      </extLst>
    </bk>
    <bk>
      <extLst>
        <ext uri="{3e2802c4-a4d2-4d8b-9148-e3be6c30e623}">
          <xlrd:rvb i="20203"/>
        </ext>
      </extLst>
    </bk>
    <bk>
      <extLst>
        <ext uri="{3e2802c4-a4d2-4d8b-9148-e3be6c30e623}">
          <xlrd:rvb i="20204"/>
        </ext>
      </extLst>
    </bk>
    <bk>
      <extLst>
        <ext uri="{3e2802c4-a4d2-4d8b-9148-e3be6c30e623}">
          <xlrd:rvb i="20205"/>
        </ext>
      </extLst>
    </bk>
    <bk>
      <extLst>
        <ext uri="{3e2802c4-a4d2-4d8b-9148-e3be6c30e623}">
          <xlrd:rvb i="20206"/>
        </ext>
      </extLst>
    </bk>
    <bk>
      <extLst>
        <ext uri="{3e2802c4-a4d2-4d8b-9148-e3be6c30e623}">
          <xlrd:rvb i="20207"/>
        </ext>
      </extLst>
    </bk>
    <bk>
      <extLst>
        <ext uri="{3e2802c4-a4d2-4d8b-9148-e3be6c30e623}">
          <xlrd:rvb i="20208"/>
        </ext>
      </extLst>
    </bk>
    <bk>
      <extLst>
        <ext uri="{3e2802c4-a4d2-4d8b-9148-e3be6c30e623}">
          <xlrd:rvb i="20209"/>
        </ext>
      </extLst>
    </bk>
    <bk>
      <extLst>
        <ext uri="{3e2802c4-a4d2-4d8b-9148-e3be6c30e623}">
          <xlrd:rvb i="20210"/>
        </ext>
      </extLst>
    </bk>
    <bk>
      <extLst>
        <ext uri="{3e2802c4-a4d2-4d8b-9148-e3be6c30e623}">
          <xlrd:rvb i="20211"/>
        </ext>
      </extLst>
    </bk>
    <bk>
      <extLst>
        <ext uri="{3e2802c4-a4d2-4d8b-9148-e3be6c30e623}">
          <xlrd:rvb i="20212"/>
        </ext>
      </extLst>
    </bk>
    <bk>
      <extLst>
        <ext uri="{3e2802c4-a4d2-4d8b-9148-e3be6c30e623}">
          <xlrd:rvb i="20213"/>
        </ext>
      </extLst>
    </bk>
    <bk>
      <extLst>
        <ext uri="{3e2802c4-a4d2-4d8b-9148-e3be6c30e623}">
          <xlrd:rvb i="20214"/>
        </ext>
      </extLst>
    </bk>
    <bk>
      <extLst>
        <ext uri="{3e2802c4-a4d2-4d8b-9148-e3be6c30e623}">
          <xlrd:rvb i="20215"/>
        </ext>
      </extLst>
    </bk>
    <bk>
      <extLst>
        <ext uri="{3e2802c4-a4d2-4d8b-9148-e3be6c30e623}">
          <xlrd:rvb i="20216"/>
        </ext>
      </extLst>
    </bk>
    <bk>
      <extLst>
        <ext uri="{3e2802c4-a4d2-4d8b-9148-e3be6c30e623}">
          <xlrd:rvb i="20217"/>
        </ext>
      </extLst>
    </bk>
    <bk>
      <extLst>
        <ext uri="{3e2802c4-a4d2-4d8b-9148-e3be6c30e623}">
          <xlrd:rvb i="20218"/>
        </ext>
      </extLst>
    </bk>
    <bk>
      <extLst>
        <ext uri="{3e2802c4-a4d2-4d8b-9148-e3be6c30e623}">
          <xlrd:rvb i="20219"/>
        </ext>
      </extLst>
    </bk>
    <bk>
      <extLst>
        <ext uri="{3e2802c4-a4d2-4d8b-9148-e3be6c30e623}">
          <xlrd:rvb i="20220"/>
        </ext>
      </extLst>
    </bk>
    <bk>
      <extLst>
        <ext uri="{3e2802c4-a4d2-4d8b-9148-e3be6c30e623}">
          <xlrd:rvb i="20221"/>
        </ext>
      </extLst>
    </bk>
    <bk>
      <extLst>
        <ext uri="{3e2802c4-a4d2-4d8b-9148-e3be6c30e623}">
          <xlrd:rvb i="20222"/>
        </ext>
      </extLst>
    </bk>
    <bk>
      <extLst>
        <ext uri="{3e2802c4-a4d2-4d8b-9148-e3be6c30e623}">
          <xlrd:rvb i="20223"/>
        </ext>
      </extLst>
    </bk>
    <bk>
      <extLst>
        <ext uri="{3e2802c4-a4d2-4d8b-9148-e3be6c30e623}">
          <xlrd:rvb i="20224"/>
        </ext>
      </extLst>
    </bk>
    <bk>
      <extLst>
        <ext uri="{3e2802c4-a4d2-4d8b-9148-e3be6c30e623}">
          <xlrd:rvb i="20225"/>
        </ext>
      </extLst>
    </bk>
    <bk>
      <extLst>
        <ext uri="{3e2802c4-a4d2-4d8b-9148-e3be6c30e623}">
          <xlrd:rvb i="20226"/>
        </ext>
      </extLst>
    </bk>
    <bk>
      <extLst>
        <ext uri="{3e2802c4-a4d2-4d8b-9148-e3be6c30e623}">
          <xlrd:rvb i="20227"/>
        </ext>
      </extLst>
    </bk>
    <bk>
      <extLst>
        <ext uri="{3e2802c4-a4d2-4d8b-9148-e3be6c30e623}">
          <xlrd:rvb i="20228"/>
        </ext>
      </extLst>
    </bk>
    <bk>
      <extLst>
        <ext uri="{3e2802c4-a4d2-4d8b-9148-e3be6c30e623}">
          <xlrd:rvb i="20229"/>
        </ext>
      </extLst>
    </bk>
    <bk>
      <extLst>
        <ext uri="{3e2802c4-a4d2-4d8b-9148-e3be6c30e623}">
          <xlrd:rvb i="20230"/>
        </ext>
      </extLst>
    </bk>
    <bk>
      <extLst>
        <ext uri="{3e2802c4-a4d2-4d8b-9148-e3be6c30e623}">
          <xlrd:rvb i="20231"/>
        </ext>
      </extLst>
    </bk>
    <bk>
      <extLst>
        <ext uri="{3e2802c4-a4d2-4d8b-9148-e3be6c30e623}">
          <xlrd:rvb i="20232"/>
        </ext>
      </extLst>
    </bk>
    <bk>
      <extLst>
        <ext uri="{3e2802c4-a4d2-4d8b-9148-e3be6c30e623}">
          <xlrd:rvb i="20233"/>
        </ext>
      </extLst>
    </bk>
    <bk>
      <extLst>
        <ext uri="{3e2802c4-a4d2-4d8b-9148-e3be6c30e623}">
          <xlrd:rvb i="20234"/>
        </ext>
      </extLst>
    </bk>
    <bk>
      <extLst>
        <ext uri="{3e2802c4-a4d2-4d8b-9148-e3be6c30e623}">
          <xlrd:rvb i="20235"/>
        </ext>
      </extLst>
    </bk>
    <bk>
      <extLst>
        <ext uri="{3e2802c4-a4d2-4d8b-9148-e3be6c30e623}">
          <xlrd:rvb i="20236"/>
        </ext>
      </extLst>
    </bk>
    <bk>
      <extLst>
        <ext uri="{3e2802c4-a4d2-4d8b-9148-e3be6c30e623}">
          <xlrd:rvb i="20237"/>
        </ext>
      </extLst>
    </bk>
    <bk>
      <extLst>
        <ext uri="{3e2802c4-a4d2-4d8b-9148-e3be6c30e623}">
          <xlrd:rvb i="20238"/>
        </ext>
      </extLst>
    </bk>
    <bk>
      <extLst>
        <ext uri="{3e2802c4-a4d2-4d8b-9148-e3be6c30e623}">
          <xlrd:rvb i="20239"/>
        </ext>
      </extLst>
    </bk>
    <bk>
      <extLst>
        <ext uri="{3e2802c4-a4d2-4d8b-9148-e3be6c30e623}">
          <xlrd:rvb i="20240"/>
        </ext>
      </extLst>
    </bk>
    <bk>
      <extLst>
        <ext uri="{3e2802c4-a4d2-4d8b-9148-e3be6c30e623}">
          <xlrd:rvb i="20241"/>
        </ext>
      </extLst>
    </bk>
    <bk>
      <extLst>
        <ext uri="{3e2802c4-a4d2-4d8b-9148-e3be6c30e623}">
          <xlrd:rvb i="20242"/>
        </ext>
      </extLst>
    </bk>
    <bk>
      <extLst>
        <ext uri="{3e2802c4-a4d2-4d8b-9148-e3be6c30e623}">
          <xlrd:rvb i="20243"/>
        </ext>
      </extLst>
    </bk>
    <bk>
      <extLst>
        <ext uri="{3e2802c4-a4d2-4d8b-9148-e3be6c30e623}">
          <xlrd:rvb i="20244"/>
        </ext>
      </extLst>
    </bk>
    <bk>
      <extLst>
        <ext uri="{3e2802c4-a4d2-4d8b-9148-e3be6c30e623}">
          <xlrd:rvb i="20245"/>
        </ext>
      </extLst>
    </bk>
    <bk>
      <extLst>
        <ext uri="{3e2802c4-a4d2-4d8b-9148-e3be6c30e623}">
          <xlrd:rvb i="20246"/>
        </ext>
      </extLst>
    </bk>
    <bk>
      <extLst>
        <ext uri="{3e2802c4-a4d2-4d8b-9148-e3be6c30e623}">
          <xlrd:rvb i="20247"/>
        </ext>
      </extLst>
    </bk>
    <bk>
      <extLst>
        <ext uri="{3e2802c4-a4d2-4d8b-9148-e3be6c30e623}">
          <xlrd:rvb i="20248"/>
        </ext>
      </extLst>
    </bk>
    <bk>
      <extLst>
        <ext uri="{3e2802c4-a4d2-4d8b-9148-e3be6c30e623}">
          <xlrd:rvb i="20249"/>
        </ext>
      </extLst>
    </bk>
    <bk>
      <extLst>
        <ext uri="{3e2802c4-a4d2-4d8b-9148-e3be6c30e623}">
          <xlrd:rvb i="20250"/>
        </ext>
      </extLst>
    </bk>
    <bk>
      <extLst>
        <ext uri="{3e2802c4-a4d2-4d8b-9148-e3be6c30e623}">
          <xlrd:rvb i="20251"/>
        </ext>
      </extLst>
    </bk>
    <bk>
      <extLst>
        <ext uri="{3e2802c4-a4d2-4d8b-9148-e3be6c30e623}">
          <xlrd:rvb i="20252"/>
        </ext>
      </extLst>
    </bk>
    <bk>
      <extLst>
        <ext uri="{3e2802c4-a4d2-4d8b-9148-e3be6c30e623}">
          <xlrd:rvb i="20253"/>
        </ext>
      </extLst>
    </bk>
    <bk>
      <extLst>
        <ext uri="{3e2802c4-a4d2-4d8b-9148-e3be6c30e623}">
          <xlrd:rvb i="20254"/>
        </ext>
      </extLst>
    </bk>
    <bk>
      <extLst>
        <ext uri="{3e2802c4-a4d2-4d8b-9148-e3be6c30e623}">
          <xlrd:rvb i="20255"/>
        </ext>
      </extLst>
    </bk>
    <bk>
      <extLst>
        <ext uri="{3e2802c4-a4d2-4d8b-9148-e3be6c30e623}">
          <xlrd:rvb i="20256"/>
        </ext>
      </extLst>
    </bk>
    <bk>
      <extLst>
        <ext uri="{3e2802c4-a4d2-4d8b-9148-e3be6c30e623}">
          <xlrd:rvb i="20257"/>
        </ext>
      </extLst>
    </bk>
    <bk>
      <extLst>
        <ext uri="{3e2802c4-a4d2-4d8b-9148-e3be6c30e623}">
          <xlrd:rvb i="20258"/>
        </ext>
      </extLst>
    </bk>
    <bk>
      <extLst>
        <ext uri="{3e2802c4-a4d2-4d8b-9148-e3be6c30e623}">
          <xlrd:rvb i="20259"/>
        </ext>
      </extLst>
    </bk>
    <bk>
      <extLst>
        <ext uri="{3e2802c4-a4d2-4d8b-9148-e3be6c30e623}">
          <xlrd:rvb i="20260"/>
        </ext>
      </extLst>
    </bk>
    <bk>
      <extLst>
        <ext uri="{3e2802c4-a4d2-4d8b-9148-e3be6c30e623}">
          <xlrd:rvb i="20261"/>
        </ext>
      </extLst>
    </bk>
    <bk>
      <extLst>
        <ext uri="{3e2802c4-a4d2-4d8b-9148-e3be6c30e623}">
          <xlrd:rvb i="20262"/>
        </ext>
      </extLst>
    </bk>
    <bk>
      <extLst>
        <ext uri="{3e2802c4-a4d2-4d8b-9148-e3be6c30e623}">
          <xlrd:rvb i="20263"/>
        </ext>
      </extLst>
    </bk>
    <bk>
      <extLst>
        <ext uri="{3e2802c4-a4d2-4d8b-9148-e3be6c30e623}">
          <xlrd:rvb i="20264"/>
        </ext>
      </extLst>
    </bk>
    <bk>
      <extLst>
        <ext uri="{3e2802c4-a4d2-4d8b-9148-e3be6c30e623}">
          <xlrd:rvb i="20265"/>
        </ext>
      </extLst>
    </bk>
    <bk>
      <extLst>
        <ext uri="{3e2802c4-a4d2-4d8b-9148-e3be6c30e623}">
          <xlrd:rvb i="20266"/>
        </ext>
      </extLst>
    </bk>
    <bk>
      <extLst>
        <ext uri="{3e2802c4-a4d2-4d8b-9148-e3be6c30e623}">
          <xlrd:rvb i="20267"/>
        </ext>
      </extLst>
    </bk>
    <bk>
      <extLst>
        <ext uri="{3e2802c4-a4d2-4d8b-9148-e3be6c30e623}">
          <xlrd:rvb i="20268"/>
        </ext>
      </extLst>
    </bk>
    <bk>
      <extLst>
        <ext uri="{3e2802c4-a4d2-4d8b-9148-e3be6c30e623}">
          <xlrd:rvb i="20269"/>
        </ext>
      </extLst>
    </bk>
    <bk>
      <extLst>
        <ext uri="{3e2802c4-a4d2-4d8b-9148-e3be6c30e623}">
          <xlrd:rvb i="20270"/>
        </ext>
      </extLst>
    </bk>
    <bk>
      <extLst>
        <ext uri="{3e2802c4-a4d2-4d8b-9148-e3be6c30e623}">
          <xlrd:rvb i="20271"/>
        </ext>
      </extLst>
    </bk>
    <bk>
      <extLst>
        <ext uri="{3e2802c4-a4d2-4d8b-9148-e3be6c30e623}">
          <xlrd:rvb i="20272"/>
        </ext>
      </extLst>
    </bk>
    <bk>
      <extLst>
        <ext uri="{3e2802c4-a4d2-4d8b-9148-e3be6c30e623}">
          <xlrd:rvb i="20273"/>
        </ext>
      </extLst>
    </bk>
    <bk>
      <extLst>
        <ext uri="{3e2802c4-a4d2-4d8b-9148-e3be6c30e623}">
          <xlrd:rvb i="20274"/>
        </ext>
      </extLst>
    </bk>
    <bk>
      <extLst>
        <ext uri="{3e2802c4-a4d2-4d8b-9148-e3be6c30e623}">
          <xlrd:rvb i="20275"/>
        </ext>
      </extLst>
    </bk>
    <bk>
      <extLst>
        <ext uri="{3e2802c4-a4d2-4d8b-9148-e3be6c30e623}">
          <xlrd:rvb i="20276"/>
        </ext>
      </extLst>
    </bk>
    <bk>
      <extLst>
        <ext uri="{3e2802c4-a4d2-4d8b-9148-e3be6c30e623}">
          <xlrd:rvb i="20277"/>
        </ext>
      </extLst>
    </bk>
    <bk>
      <extLst>
        <ext uri="{3e2802c4-a4d2-4d8b-9148-e3be6c30e623}">
          <xlrd:rvb i="20278"/>
        </ext>
      </extLst>
    </bk>
    <bk>
      <extLst>
        <ext uri="{3e2802c4-a4d2-4d8b-9148-e3be6c30e623}">
          <xlrd:rvb i="20279"/>
        </ext>
      </extLst>
    </bk>
    <bk>
      <extLst>
        <ext uri="{3e2802c4-a4d2-4d8b-9148-e3be6c30e623}">
          <xlrd:rvb i="20280"/>
        </ext>
      </extLst>
    </bk>
    <bk>
      <extLst>
        <ext uri="{3e2802c4-a4d2-4d8b-9148-e3be6c30e623}">
          <xlrd:rvb i="20281"/>
        </ext>
      </extLst>
    </bk>
    <bk>
      <extLst>
        <ext uri="{3e2802c4-a4d2-4d8b-9148-e3be6c30e623}">
          <xlrd:rvb i="20282"/>
        </ext>
      </extLst>
    </bk>
    <bk>
      <extLst>
        <ext uri="{3e2802c4-a4d2-4d8b-9148-e3be6c30e623}">
          <xlrd:rvb i="20283"/>
        </ext>
      </extLst>
    </bk>
    <bk>
      <extLst>
        <ext uri="{3e2802c4-a4d2-4d8b-9148-e3be6c30e623}">
          <xlrd:rvb i="20284"/>
        </ext>
      </extLst>
    </bk>
    <bk>
      <extLst>
        <ext uri="{3e2802c4-a4d2-4d8b-9148-e3be6c30e623}">
          <xlrd:rvb i="20285"/>
        </ext>
      </extLst>
    </bk>
    <bk>
      <extLst>
        <ext uri="{3e2802c4-a4d2-4d8b-9148-e3be6c30e623}">
          <xlrd:rvb i="20286"/>
        </ext>
      </extLst>
    </bk>
    <bk>
      <extLst>
        <ext uri="{3e2802c4-a4d2-4d8b-9148-e3be6c30e623}">
          <xlrd:rvb i="20287"/>
        </ext>
      </extLst>
    </bk>
    <bk>
      <extLst>
        <ext uri="{3e2802c4-a4d2-4d8b-9148-e3be6c30e623}">
          <xlrd:rvb i="20288"/>
        </ext>
      </extLst>
    </bk>
    <bk>
      <extLst>
        <ext uri="{3e2802c4-a4d2-4d8b-9148-e3be6c30e623}">
          <xlrd:rvb i="20289"/>
        </ext>
      </extLst>
    </bk>
    <bk>
      <extLst>
        <ext uri="{3e2802c4-a4d2-4d8b-9148-e3be6c30e623}">
          <xlrd:rvb i="20290"/>
        </ext>
      </extLst>
    </bk>
    <bk>
      <extLst>
        <ext uri="{3e2802c4-a4d2-4d8b-9148-e3be6c30e623}">
          <xlrd:rvb i="20291"/>
        </ext>
      </extLst>
    </bk>
    <bk>
      <extLst>
        <ext uri="{3e2802c4-a4d2-4d8b-9148-e3be6c30e623}">
          <xlrd:rvb i="20292"/>
        </ext>
      </extLst>
    </bk>
    <bk>
      <extLst>
        <ext uri="{3e2802c4-a4d2-4d8b-9148-e3be6c30e623}">
          <xlrd:rvb i="20293"/>
        </ext>
      </extLst>
    </bk>
    <bk>
      <extLst>
        <ext uri="{3e2802c4-a4d2-4d8b-9148-e3be6c30e623}">
          <xlrd:rvb i="20294"/>
        </ext>
      </extLst>
    </bk>
    <bk>
      <extLst>
        <ext uri="{3e2802c4-a4d2-4d8b-9148-e3be6c30e623}">
          <xlrd:rvb i="20295"/>
        </ext>
      </extLst>
    </bk>
    <bk>
      <extLst>
        <ext uri="{3e2802c4-a4d2-4d8b-9148-e3be6c30e623}">
          <xlrd:rvb i="20296"/>
        </ext>
      </extLst>
    </bk>
    <bk>
      <extLst>
        <ext uri="{3e2802c4-a4d2-4d8b-9148-e3be6c30e623}">
          <xlrd:rvb i="20297"/>
        </ext>
      </extLst>
    </bk>
    <bk>
      <extLst>
        <ext uri="{3e2802c4-a4d2-4d8b-9148-e3be6c30e623}">
          <xlrd:rvb i="20298"/>
        </ext>
      </extLst>
    </bk>
    <bk>
      <extLst>
        <ext uri="{3e2802c4-a4d2-4d8b-9148-e3be6c30e623}">
          <xlrd:rvb i="20299"/>
        </ext>
      </extLst>
    </bk>
    <bk>
      <extLst>
        <ext uri="{3e2802c4-a4d2-4d8b-9148-e3be6c30e623}">
          <xlrd:rvb i="20300"/>
        </ext>
      </extLst>
    </bk>
    <bk>
      <extLst>
        <ext uri="{3e2802c4-a4d2-4d8b-9148-e3be6c30e623}">
          <xlrd:rvb i="20301"/>
        </ext>
      </extLst>
    </bk>
    <bk>
      <extLst>
        <ext uri="{3e2802c4-a4d2-4d8b-9148-e3be6c30e623}">
          <xlrd:rvb i="20302"/>
        </ext>
      </extLst>
    </bk>
    <bk>
      <extLst>
        <ext uri="{3e2802c4-a4d2-4d8b-9148-e3be6c30e623}">
          <xlrd:rvb i="20303"/>
        </ext>
      </extLst>
    </bk>
    <bk>
      <extLst>
        <ext uri="{3e2802c4-a4d2-4d8b-9148-e3be6c30e623}">
          <xlrd:rvb i="20304"/>
        </ext>
      </extLst>
    </bk>
    <bk>
      <extLst>
        <ext uri="{3e2802c4-a4d2-4d8b-9148-e3be6c30e623}">
          <xlrd:rvb i="20305"/>
        </ext>
      </extLst>
    </bk>
    <bk>
      <extLst>
        <ext uri="{3e2802c4-a4d2-4d8b-9148-e3be6c30e623}">
          <xlrd:rvb i="20306"/>
        </ext>
      </extLst>
    </bk>
    <bk>
      <extLst>
        <ext uri="{3e2802c4-a4d2-4d8b-9148-e3be6c30e623}">
          <xlrd:rvb i="20307"/>
        </ext>
      </extLst>
    </bk>
    <bk>
      <extLst>
        <ext uri="{3e2802c4-a4d2-4d8b-9148-e3be6c30e623}">
          <xlrd:rvb i="20308"/>
        </ext>
      </extLst>
    </bk>
    <bk>
      <extLst>
        <ext uri="{3e2802c4-a4d2-4d8b-9148-e3be6c30e623}">
          <xlrd:rvb i="20309"/>
        </ext>
      </extLst>
    </bk>
    <bk>
      <extLst>
        <ext uri="{3e2802c4-a4d2-4d8b-9148-e3be6c30e623}">
          <xlrd:rvb i="20310"/>
        </ext>
      </extLst>
    </bk>
    <bk>
      <extLst>
        <ext uri="{3e2802c4-a4d2-4d8b-9148-e3be6c30e623}">
          <xlrd:rvb i="20311"/>
        </ext>
      </extLst>
    </bk>
    <bk>
      <extLst>
        <ext uri="{3e2802c4-a4d2-4d8b-9148-e3be6c30e623}">
          <xlrd:rvb i="20312"/>
        </ext>
      </extLst>
    </bk>
    <bk>
      <extLst>
        <ext uri="{3e2802c4-a4d2-4d8b-9148-e3be6c30e623}">
          <xlrd:rvb i="20313"/>
        </ext>
      </extLst>
    </bk>
    <bk>
      <extLst>
        <ext uri="{3e2802c4-a4d2-4d8b-9148-e3be6c30e623}">
          <xlrd:rvb i="20314"/>
        </ext>
      </extLst>
    </bk>
    <bk>
      <extLst>
        <ext uri="{3e2802c4-a4d2-4d8b-9148-e3be6c30e623}">
          <xlrd:rvb i="20315"/>
        </ext>
      </extLst>
    </bk>
    <bk>
      <extLst>
        <ext uri="{3e2802c4-a4d2-4d8b-9148-e3be6c30e623}">
          <xlrd:rvb i="20316"/>
        </ext>
      </extLst>
    </bk>
    <bk>
      <extLst>
        <ext uri="{3e2802c4-a4d2-4d8b-9148-e3be6c30e623}">
          <xlrd:rvb i="20317"/>
        </ext>
      </extLst>
    </bk>
    <bk>
      <extLst>
        <ext uri="{3e2802c4-a4d2-4d8b-9148-e3be6c30e623}">
          <xlrd:rvb i="20318"/>
        </ext>
      </extLst>
    </bk>
    <bk>
      <extLst>
        <ext uri="{3e2802c4-a4d2-4d8b-9148-e3be6c30e623}">
          <xlrd:rvb i="20319"/>
        </ext>
      </extLst>
    </bk>
    <bk>
      <extLst>
        <ext uri="{3e2802c4-a4d2-4d8b-9148-e3be6c30e623}">
          <xlrd:rvb i="20320"/>
        </ext>
      </extLst>
    </bk>
    <bk>
      <extLst>
        <ext uri="{3e2802c4-a4d2-4d8b-9148-e3be6c30e623}">
          <xlrd:rvb i="20321"/>
        </ext>
      </extLst>
    </bk>
    <bk>
      <extLst>
        <ext uri="{3e2802c4-a4d2-4d8b-9148-e3be6c30e623}">
          <xlrd:rvb i="20322"/>
        </ext>
      </extLst>
    </bk>
    <bk>
      <extLst>
        <ext uri="{3e2802c4-a4d2-4d8b-9148-e3be6c30e623}">
          <xlrd:rvb i="20323"/>
        </ext>
      </extLst>
    </bk>
    <bk>
      <extLst>
        <ext uri="{3e2802c4-a4d2-4d8b-9148-e3be6c30e623}">
          <xlrd:rvb i="20324"/>
        </ext>
      </extLst>
    </bk>
    <bk>
      <extLst>
        <ext uri="{3e2802c4-a4d2-4d8b-9148-e3be6c30e623}">
          <xlrd:rvb i="20325"/>
        </ext>
      </extLst>
    </bk>
    <bk>
      <extLst>
        <ext uri="{3e2802c4-a4d2-4d8b-9148-e3be6c30e623}">
          <xlrd:rvb i="20326"/>
        </ext>
      </extLst>
    </bk>
    <bk>
      <extLst>
        <ext uri="{3e2802c4-a4d2-4d8b-9148-e3be6c30e623}">
          <xlrd:rvb i="20327"/>
        </ext>
      </extLst>
    </bk>
    <bk>
      <extLst>
        <ext uri="{3e2802c4-a4d2-4d8b-9148-e3be6c30e623}">
          <xlrd:rvb i="20328"/>
        </ext>
      </extLst>
    </bk>
    <bk>
      <extLst>
        <ext uri="{3e2802c4-a4d2-4d8b-9148-e3be6c30e623}">
          <xlrd:rvb i="20329"/>
        </ext>
      </extLst>
    </bk>
    <bk>
      <extLst>
        <ext uri="{3e2802c4-a4d2-4d8b-9148-e3be6c30e623}">
          <xlrd:rvb i="20330"/>
        </ext>
      </extLst>
    </bk>
    <bk>
      <extLst>
        <ext uri="{3e2802c4-a4d2-4d8b-9148-e3be6c30e623}">
          <xlrd:rvb i="20331"/>
        </ext>
      </extLst>
    </bk>
    <bk>
      <extLst>
        <ext uri="{3e2802c4-a4d2-4d8b-9148-e3be6c30e623}">
          <xlrd:rvb i="20332"/>
        </ext>
      </extLst>
    </bk>
    <bk>
      <extLst>
        <ext uri="{3e2802c4-a4d2-4d8b-9148-e3be6c30e623}">
          <xlrd:rvb i="20333"/>
        </ext>
      </extLst>
    </bk>
    <bk>
      <extLst>
        <ext uri="{3e2802c4-a4d2-4d8b-9148-e3be6c30e623}">
          <xlrd:rvb i="20334"/>
        </ext>
      </extLst>
    </bk>
    <bk>
      <extLst>
        <ext uri="{3e2802c4-a4d2-4d8b-9148-e3be6c30e623}">
          <xlrd:rvb i="20335"/>
        </ext>
      </extLst>
    </bk>
    <bk>
      <extLst>
        <ext uri="{3e2802c4-a4d2-4d8b-9148-e3be6c30e623}">
          <xlrd:rvb i="20336"/>
        </ext>
      </extLst>
    </bk>
    <bk>
      <extLst>
        <ext uri="{3e2802c4-a4d2-4d8b-9148-e3be6c30e623}">
          <xlrd:rvb i="20337"/>
        </ext>
      </extLst>
    </bk>
    <bk>
      <extLst>
        <ext uri="{3e2802c4-a4d2-4d8b-9148-e3be6c30e623}">
          <xlrd:rvb i="20338"/>
        </ext>
      </extLst>
    </bk>
    <bk>
      <extLst>
        <ext uri="{3e2802c4-a4d2-4d8b-9148-e3be6c30e623}">
          <xlrd:rvb i="20339"/>
        </ext>
      </extLst>
    </bk>
    <bk>
      <extLst>
        <ext uri="{3e2802c4-a4d2-4d8b-9148-e3be6c30e623}">
          <xlrd:rvb i="20340"/>
        </ext>
      </extLst>
    </bk>
    <bk>
      <extLst>
        <ext uri="{3e2802c4-a4d2-4d8b-9148-e3be6c30e623}">
          <xlrd:rvb i="20341"/>
        </ext>
      </extLst>
    </bk>
    <bk>
      <extLst>
        <ext uri="{3e2802c4-a4d2-4d8b-9148-e3be6c30e623}">
          <xlrd:rvb i="20342"/>
        </ext>
      </extLst>
    </bk>
    <bk>
      <extLst>
        <ext uri="{3e2802c4-a4d2-4d8b-9148-e3be6c30e623}">
          <xlrd:rvb i="20343"/>
        </ext>
      </extLst>
    </bk>
    <bk>
      <extLst>
        <ext uri="{3e2802c4-a4d2-4d8b-9148-e3be6c30e623}">
          <xlrd:rvb i="20344"/>
        </ext>
      </extLst>
    </bk>
    <bk>
      <extLst>
        <ext uri="{3e2802c4-a4d2-4d8b-9148-e3be6c30e623}">
          <xlrd:rvb i="20345"/>
        </ext>
      </extLst>
    </bk>
    <bk>
      <extLst>
        <ext uri="{3e2802c4-a4d2-4d8b-9148-e3be6c30e623}">
          <xlrd:rvb i="20346"/>
        </ext>
      </extLst>
    </bk>
    <bk>
      <extLst>
        <ext uri="{3e2802c4-a4d2-4d8b-9148-e3be6c30e623}">
          <xlrd:rvb i="20347"/>
        </ext>
      </extLst>
    </bk>
    <bk>
      <extLst>
        <ext uri="{3e2802c4-a4d2-4d8b-9148-e3be6c30e623}">
          <xlrd:rvb i="20348"/>
        </ext>
      </extLst>
    </bk>
    <bk>
      <extLst>
        <ext uri="{3e2802c4-a4d2-4d8b-9148-e3be6c30e623}">
          <xlrd:rvb i="20349"/>
        </ext>
      </extLst>
    </bk>
    <bk>
      <extLst>
        <ext uri="{3e2802c4-a4d2-4d8b-9148-e3be6c30e623}">
          <xlrd:rvb i="20350"/>
        </ext>
      </extLst>
    </bk>
    <bk>
      <extLst>
        <ext uri="{3e2802c4-a4d2-4d8b-9148-e3be6c30e623}">
          <xlrd:rvb i="20351"/>
        </ext>
      </extLst>
    </bk>
    <bk>
      <extLst>
        <ext uri="{3e2802c4-a4d2-4d8b-9148-e3be6c30e623}">
          <xlrd:rvb i="20352"/>
        </ext>
      </extLst>
    </bk>
    <bk>
      <extLst>
        <ext uri="{3e2802c4-a4d2-4d8b-9148-e3be6c30e623}">
          <xlrd:rvb i="20353"/>
        </ext>
      </extLst>
    </bk>
    <bk>
      <extLst>
        <ext uri="{3e2802c4-a4d2-4d8b-9148-e3be6c30e623}">
          <xlrd:rvb i="20354"/>
        </ext>
      </extLst>
    </bk>
    <bk>
      <extLst>
        <ext uri="{3e2802c4-a4d2-4d8b-9148-e3be6c30e623}">
          <xlrd:rvb i="20355"/>
        </ext>
      </extLst>
    </bk>
    <bk>
      <extLst>
        <ext uri="{3e2802c4-a4d2-4d8b-9148-e3be6c30e623}">
          <xlrd:rvb i="20356"/>
        </ext>
      </extLst>
    </bk>
    <bk>
      <extLst>
        <ext uri="{3e2802c4-a4d2-4d8b-9148-e3be6c30e623}">
          <xlrd:rvb i="20357"/>
        </ext>
      </extLst>
    </bk>
    <bk>
      <extLst>
        <ext uri="{3e2802c4-a4d2-4d8b-9148-e3be6c30e623}">
          <xlrd:rvb i="20358"/>
        </ext>
      </extLst>
    </bk>
    <bk>
      <extLst>
        <ext uri="{3e2802c4-a4d2-4d8b-9148-e3be6c30e623}">
          <xlrd:rvb i="20359"/>
        </ext>
      </extLst>
    </bk>
    <bk>
      <extLst>
        <ext uri="{3e2802c4-a4d2-4d8b-9148-e3be6c30e623}">
          <xlrd:rvb i="20360"/>
        </ext>
      </extLst>
    </bk>
    <bk>
      <extLst>
        <ext uri="{3e2802c4-a4d2-4d8b-9148-e3be6c30e623}">
          <xlrd:rvb i="20361"/>
        </ext>
      </extLst>
    </bk>
    <bk>
      <extLst>
        <ext uri="{3e2802c4-a4d2-4d8b-9148-e3be6c30e623}">
          <xlrd:rvb i="20362"/>
        </ext>
      </extLst>
    </bk>
    <bk>
      <extLst>
        <ext uri="{3e2802c4-a4d2-4d8b-9148-e3be6c30e623}">
          <xlrd:rvb i="20363"/>
        </ext>
      </extLst>
    </bk>
    <bk>
      <extLst>
        <ext uri="{3e2802c4-a4d2-4d8b-9148-e3be6c30e623}">
          <xlrd:rvb i="20364"/>
        </ext>
      </extLst>
    </bk>
    <bk>
      <extLst>
        <ext uri="{3e2802c4-a4d2-4d8b-9148-e3be6c30e623}">
          <xlrd:rvb i="20365"/>
        </ext>
      </extLst>
    </bk>
    <bk>
      <extLst>
        <ext uri="{3e2802c4-a4d2-4d8b-9148-e3be6c30e623}">
          <xlrd:rvb i="20366"/>
        </ext>
      </extLst>
    </bk>
    <bk>
      <extLst>
        <ext uri="{3e2802c4-a4d2-4d8b-9148-e3be6c30e623}">
          <xlrd:rvb i="20367"/>
        </ext>
      </extLst>
    </bk>
    <bk>
      <extLst>
        <ext uri="{3e2802c4-a4d2-4d8b-9148-e3be6c30e623}">
          <xlrd:rvb i="20368"/>
        </ext>
      </extLst>
    </bk>
    <bk>
      <extLst>
        <ext uri="{3e2802c4-a4d2-4d8b-9148-e3be6c30e623}">
          <xlrd:rvb i="20369"/>
        </ext>
      </extLst>
    </bk>
    <bk>
      <extLst>
        <ext uri="{3e2802c4-a4d2-4d8b-9148-e3be6c30e623}">
          <xlrd:rvb i="20370"/>
        </ext>
      </extLst>
    </bk>
    <bk>
      <extLst>
        <ext uri="{3e2802c4-a4d2-4d8b-9148-e3be6c30e623}">
          <xlrd:rvb i="20371"/>
        </ext>
      </extLst>
    </bk>
    <bk>
      <extLst>
        <ext uri="{3e2802c4-a4d2-4d8b-9148-e3be6c30e623}">
          <xlrd:rvb i="20372"/>
        </ext>
      </extLst>
    </bk>
    <bk>
      <extLst>
        <ext uri="{3e2802c4-a4d2-4d8b-9148-e3be6c30e623}">
          <xlrd:rvb i="20373"/>
        </ext>
      </extLst>
    </bk>
    <bk>
      <extLst>
        <ext uri="{3e2802c4-a4d2-4d8b-9148-e3be6c30e623}">
          <xlrd:rvb i="20374"/>
        </ext>
      </extLst>
    </bk>
    <bk>
      <extLst>
        <ext uri="{3e2802c4-a4d2-4d8b-9148-e3be6c30e623}">
          <xlrd:rvb i="20375"/>
        </ext>
      </extLst>
    </bk>
    <bk>
      <extLst>
        <ext uri="{3e2802c4-a4d2-4d8b-9148-e3be6c30e623}">
          <xlrd:rvb i="20376"/>
        </ext>
      </extLst>
    </bk>
    <bk>
      <extLst>
        <ext uri="{3e2802c4-a4d2-4d8b-9148-e3be6c30e623}">
          <xlrd:rvb i="20377"/>
        </ext>
      </extLst>
    </bk>
    <bk>
      <extLst>
        <ext uri="{3e2802c4-a4d2-4d8b-9148-e3be6c30e623}">
          <xlrd:rvb i="20378"/>
        </ext>
      </extLst>
    </bk>
    <bk>
      <extLst>
        <ext uri="{3e2802c4-a4d2-4d8b-9148-e3be6c30e623}">
          <xlrd:rvb i="20379"/>
        </ext>
      </extLst>
    </bk>
    <bk>
      <extLst>
        <ext uri="{3e2802c4-a4d2-4d8b-9148-e3be6c30e623}">
          <xlrd:rvb i="20380"/>
        </ext>
      </extLst>
    </bk>
    <bk>
      <extLst>
        <ext uri="{3e2802c4-a4d2-4d8b-9148-e3be6c30e623}">
          <xlrd:rvb i="20381"/>
        </ext>
      </extLst>
    </bk>
    <bk>
      <extLst>
        <ext uri="{3e2802c4-a4d2-4d8b-9148-e3be6c30e623}">
          <xlrd:rvb i="20382"/>
        </ext>
      </extLst>
    </bk>
    <bk>
      <extLst>
        <ext uri="{3e2802c4-a4d2-4d8b-9148-e3be6c30e623}">
          <xlrd:rvb i="20383"/>
        </ext>
      </extLst>
    </bk>
    <bk>
      <extLst>
        <ext uri="{3e2802c4-a4d2-4d8b-9148-e3be6c30e623}">
          <xlrd:rvb i="20384"/>
        </ext>
      </extLst>
    </bk>
    <bk>
      <extLst>
        <ext uri="{3e2802c4-a4d2-4d8b-9148-e3be6c30e623}">
          <xlrd:rvb i="20385"/>
        </ext>
      </extLst>
    </bk>
    <bk>
      <extLst>
        <ext uri="{3e2802c4-a4d2-4d8b-9148-e3be6c30e623}">
          <xlrd:rvb i="20386"/>
        </ext>
      </extLst>
    </bk>
    <bk>
      <extLst>
        <ext uri="{3e2802c4-a4d2-4d8b-9148-e3be6c30e623}">
          <xlrd:rvb i="20387"/>
        </ext>
      </extLst>
    </bk>
    <bk>
      <extLst>
        <ext uri="{3e2802c4-a4d2-4d8b-9148-e3be6c30e623}">
          <xlrd:rvb i="20388"/>
        </ext>
      </extLst>
    </bk>
    <bk>
      <extLst>
        <ext uri="{3e2802c4-a4d2-4d8b-9148-e3be6c30e623}">
          <xlrd:rvb i="20389"/>
        </ext>
      </extLst>
    </bk>
    <bk>
      <extLst>
        <ext uri="{3e2802c4-a4d2-4d8b-9148-e3be6c30e623}">
          <xlrd:rvb i="20390"/>
        </ext>
      </extLst>
    </bk>
    <bk>
      <extLst>
        <ext uri="{3e2802c4-a4d2-4d8b-9148-e3be6c30e623}">
          <xlrd:rvb i="20391"/>
        </ext>
      </extLst>
    </bk>
    <bk>
      <extLst>
        <ext uri="{3e2802c4-a4d2-4d8b-9148-e3be6c30e623}">
          <xlrd:rvb i="20392"/>
        </ext>
      </extLst>
    </bk>
    <bk>
      <extLst>
        <ext uri="{3e2802c4-a4d2-4d8b-9148-e3be6c30e623}">
          <xlrd:rvb i="20393"/>
        </ext>
      </extLst>
    </bk>
    <bk>
      <extLst>
        <ext uri="{3e2802c4-a4d2-4d8b-9148-e3be6c30e623}">
          <xlrd:rvb i="20394"/>
        </ext>
      </extLst>
    </bk>
    <bk>
      <extLst>
        <ext uri="{3e2802c4-a4d2-4d8b-9148-e3be6c30e623}">
          <xlrd:rvb i="20395"/>
        </ext>
      </extLst>
    </bk>
    <bk>
      <extLst>
        <ext uri="{3e2802c4-a4d2-4d8b-9148-e3be6c30e623}">
          <xlrd:rvb i="20396"/>
        </ext>
      </extLst>
    </bk>
    <bk>
      <extLst>
        <ext uri="{3e2802c4-a4d2-4d8b-9148-e3be6c30e623}">
          <xlrd:rvb i="20397"/>
        </ext>
      </extLst>
    </bk>
    <bk>
      <extLst>
        <ext uri="{3e2802c4-a4d2-4d8b-9148-e3be6c30e623}">
          <xlrd:rvb i="20398"/>
        </ext>
      </extLst>
    </bk>
    <bk>
      <extLst>
        <ext uri="{3e2802c4-a4d2-4d8b-9148-e3be6c30e623}">
          <xlrd:rvb i="20399"/>
        </ext>
      </extLst>
    </bk>
    <bk>
      <extLst>
        <ext uri="{3e2802c4-a4d2-4d8b-9148-e3be6c30e623}">
          <xlrd:rvb i="20400"/>
        </ext>
      </extLst>
    </bk>
    <bk>
      <extLst>
        <ext uri="{3e2802c4-a4d2-4d8b-9148-e3be6c30e623}">
          <xlrd:rvb i="20401"/>
        </ext>
      </extLst>
    </bk>
    <bk>
      <extLst>
        <ext uri="{3e2802c4-a4d2-4d8b-9148-e3be6c30e623}">
          <xlrd:rvb i="20402"/>
        </ext>
      </extLst>
    </bk>
    <bk>
      <extLst>
        <ext uri="{3e2802c4-a4d2-4d8b-9148-e3be6c30e623}">
          <xlrd:rvb i="20403"/>
        </ext>
      </extLst>
    </bk>
    <bk>
      <extLst>
        <ext uri="{3e2802c4-a4d2-4d8b-9148-e3be6c30e623}">
          <xlrd:rvb i="20404"/>
        </ext>
      </extLst>
    </bk>
    <bk>
      <extLst>
        <ext uri="{3e2802c4-a4d2-4d8b-9148-e3be6c30e623}">
          <xlrd:rvb i="20405"/>
        </ext>
      </extLst>
    </bk>
    <bk>
      <extLst>
        <ext uri="{3e2802c4-a4d2-4d8b-9148-e3be6c30e623}">
          <xlrd:rvb i="20406"/>
        </ext>
      </extLst>
    </bk>
    <bk>
      <extLst>
        <ext uri="{3e2802c4-a4d2-4d8b-9148-e3be6c30e623}">
          <xlrd:rvb i="20407"/>
        </ext>
      </extLst>
    </bk>
    <bk>
      <extLst>
        <ext uri="{3e2802c4-a4d2-4d8b-9148-e3be6c30e623}">
          <xlrd:rvb i="20408"/>
        </ext>
      </extLst>
    </bk>
    <bk>
      <extLst>
        <ext uri="{3e2802c4-a4d2-4d8b-9148-e3be6c30e623}">
          <xlrd:rvb i="20409"/>
        </ext>
      </extLst>
    </bk>
    <bk>
      <extLst>
        <ext uri="{3e2802c4-a4d2-4d8b-9148-e3be6c30e623}">
          <xlrd:rvb i="20410"/>
        </ext>
      </extLst>
    </bk>
    <bk>
      <extLst>
        <ext uri="{3e2802c4-a4d2-4d8b-9148-e3be6c30e623}">
          <xlrd:rvb i="20411"/>
        </ext>
      </extLst>
    </bk>
    <bk>
      <extLst>
        <ext uri="{3e2802c4-a4d2-4d8b-9148-e3be6c30e623}">
          <xlrd:rvb i="20412"/>
        </ext>
      </extLst>
    </bk>
    <bk>
      <extLst>
        <ext uri="{3e2802c4-a4d2-4d8b-9148-e3be6c30e623}">
          <xlrd:rvb i="20413"/>
        </ext>
      </extLst>
    </bk>
    <bk>
      <extLst>
        <ext uri="{3e2802c4-a4d2-4d8b-9148-e3be6c30e623}">
          <xlrd:rvb i="20414"/>
        </ext>
      </extLst>
    </bk>
    <bk>
      <extLst>
        <ext uri="{3e2802c4-a4d2-4d8b-9148-e3be6c30e623}">
          <xlrd:rvb i="20415"/>
        </ext>
      </extLst>
    </bk>
    <bk>
      <extLst>
        <ext uri="{3e2802c4-a4d2-4d8b-9148-e3be6c30e623}">
          <xlrd:rvb i="20416"/>
        </ext>
      </extLst>
    </bk>
    <bk>
      <extLst>
        <ext uri="{3e2802c4-a4d2-4d8b-9148-e3be6c30e623}">
          <xlrd:rvb i="20417"/>
        </ext>
      </extLst>
    </bk>
    <bk>
      <extLst>
        <ext uri="{3e2802c4-a4d2-4d8b-9148-e3be6c30e623}">
          <xlrd:rvb i="20418"/>
        </ext>
      </extLst>
    </bk>
    <bk>
      <extLst>
        <ext uri="{3e2802c4-a4d2-4d8b-9148-e3be6c30e623}">
          <xlrd:rvb i="20419"/>
        </ext>
      </extLst>
    </bk>
    <bk>
      <extLst>
        <ext uri="{3e2802c4-a4d2-4d8b-9148-e3be6c30e623}">
          <xlrd:rvb i="20420"/>
        </ext>
      </extLst>
    </bk>
    <bk>
      <extLst>
        <ext uri="{3e2802c4-a4d2-4d8b-9148-e3be6c30e623}">
          <xlrd:rvb i="20421"/>
        </ext>
      </extLst>
    </bk>
    <bk>
      <extLst>
        <ext uri="{3e2802c4-a4d2-4d8b-9148-e3be6c30e623}">
          <xlrd:rvb i="20422"/>
        </ext>
      </extLst>
    </bk>
    <bk>
      <extLst>
        <ext uri="{3e2802c4-a4d2-4d8b-9148-e3be6c30e623}">
          <xlrd:rvb i="20423"/>
        </ext>
      </extLst>
    </bk>
    <bk>
      <extLst>
        <ext uri="{3e2802c4-a4d2-4d8b-9148-e3be6c30e623}">
          <xlrd:rvb i="20424"/>
        </ext>
      </extLst>
    </bk>
    <bk>
      <extLst>
        <ext uri="{3e2802c4-a4d2-4d8b-9148-e3be6c30e623}">
          <xlrd:rvb i="20425"/>
        </ext>
      </extLst>
    </bk>
    <bk>
      <extLst>
        <ext uri="{3e2802c4-a4d2-4d8b-9148-e3be6c30e623}">
          <xlrd:rvb i="20426"/>
        </ext>
      </extLst>
    </bk>
    <bk>
      <extLst>
        <ext uri="{3e2802c4-a4d2-4d8b-9148-e3be6c30e623}">
          <xlrd:rvb i="20427"/>
        </ext>
      </extLst>
    </bk>
    <bk>
      <extLst>
        <ext uri="{3e2802c4-a4d2-4d8b-9148-e3be6c30e623}">
          <xlrd:rvb i="20428"/>
        </ext>
      </extLst>
    </bk>
    <bk>
      <extLst>
        <ext uri="{3e2802c4-a4d2-4d8b-9148-e3be6c30e623}">
          <xlrd:rvb i="20429"/>
        </ext>
      </extLst>
    </bk>
    <bk>
      <extLst>
        <ext uri="{3e2802c4-a4d2-4d8b-9148-e3be6c30e623}">
          <xlrd:rvb i="20430"/>
        </ext>
      </extLst>
    </bk>
    <bk>
      <extLst>
        <ext uri="{3e2802c4-a4d2-4d8b-9148-e3be6c30e623}">
          <xlrd:rvb i="20431"/>
        </ext>
      </extLst>
    </bk>
    <bk>
      <extLst>
        <ext uri="{3e2802c4-a4d2-4d8b-9148-e3be6c30e623}">
          <xlrd:rvb i="20432"/>
        </ext>
      </extLst>
    </bk>
    <bk>
      <extLst>
        <ext uri="{3e2802c4-a4d2-4d8b-9148-e3be6c30e623}">
          <xlrd:rvb i="20433"/>
        </ext>
      </extLst>
    </bk>
    <bk>
      <extLst>
        <ext uri="{3e2802c4-a4d2-4d8b-9148-e3be6c30e623}">
          <xlrd:rvb i="20434"/>
        </ext>
      </extLst>
    </bk>
    <bk>
      <extLst>
        <ext uri="{3e2802c4-a4d2-4d8b-9148-e3be6c30e623}">
          <xlrd:rvb i="20435"/>
        </ext>
      </extLst>
    </bk>
    <bk>
      <extLst>
        <ext uri="{3e2802c4-a4d2-4d8b-9148-e3be6c30e623}">
          <xlrd:rvb i="20436"/>
        </ext>
      </extLst>
    </bk>
    <bk>
      <extLst>
        <ext uri="{3e2802c4-a4d2-4d8b-9148-e3be6c30e623}">
          <xlrd:rvb i="20437"/>
        </ext>
      </extLst>
    </bk>
    <bk>
      <extLst>
        <ext uri="{3e2802c4-a4d2-4d8b-9148-e3be6c30e623}">
          <xlrd:rvb i="20438"/>
        </ext>
      </extLst>
    </bk>
    <bk>
      <extLst>
        <ext uri="{3e2802c4-a4d2-4d8b-9148-e3be6c30e623}">
          <xlrd:rvb i="20439"/>
        </ext>
      </extLst>
    </bk>
    <bk>
      <extLst>
        <ext uri="{3e2802c4-a4d2-4d8b-9148-e3be6c30e623}">
          <xlrd:rvb i="20440"/>
        </ext>
      </extLst>
    </bk>
    <bk>
      <extLst>
        <ext uri="{3e2802c4-a4d2-4d8b-9148-e3be6c30e623}">
          <xlrd:rvb i="20441"/>
        </ext>
      </extLst>
    </bk>
    <bk>
      <extLst>
        <ext uri="{3e2802c4-a4d2-4d8b-9148-e3be6c30e623}">
          <xlrd:rvb i="20442"/>
        </ext>
      </extLst>
    </bk>
    <bk>
      <extLst>
        <ext uri="{3e2802c4-a4d2-4d8b-9148-e3be6c30e623}">
          <xlrd:rvb i="20443"/>
        </ext>
      </extLst>
    </bk>
    <bk>
      <extLst>
        <ext uri="{3e2802c4-a4d2-4d8b-9148-e3be6c30e623}">
          <xlrd:rvb i="20444"/>
        </ext>
      </extLst>
    </bk>
    <bk>
      <extLst>
        <ext uri="{3e2802c4-a4d2-4d8b-9148-e3be6c30e623}">
          <xlrd:rvb i="20445"/>
        </ext>
      </extLst>
    </bk>
    <bk>
      <extLst>
        <ext uri="{3e2802c4-a4d2-4d8b-9148-e3be6c30e623}">
          <xlrd:rvb i="20446"/>
        </ext>
      </extLst>
    </bk>
    <bk>
      <extLst>
        <ext uri="{3e2802c4-a4d2-4d8b-9148-e3be6c30e623}">
          <xlrd:rvb i="20447"/>
        </ext>
      </extLst>
    </bk>
    <bk>
      <extLst>
        <ext uri="{3e2802c4-a4d2-4d8b-9148-e3be6c30e623}">
          <xlrd:rvb i="20448"/>
        </ext>
      </extLst>
    </bk>
    <bk>
      <extLst>
        <ext uri="{3e2802c4-a4d2-4d8b-9148-e3be6c30e623}">
          <xlrd:rvb i="20449"/>
        </ext>
      </extLst>
    </bk>
    <bk>
      <extLst>
        <ext uri="{3e2802c4-a4d2-4d8b-9148-e3be6c30e623}">
          <xlrd:rvb i="20450"/>
        </ext>
      </extLst>
    </bk>
    <bk>
      <extLst>
        <ext uri="{3e2802c4-a4d2-4d8b-9148-e3be6c30e623}">
          <xlrd:rvb i="20451"/>
        </ext>
      </extLst>
    </bk>
    <bk>
      <extLst>
        <ext uri="{3e2802c4-a4d2-4d8b-9148-e3be6c30e623}">
          <xlrd:rvb i="20452"/>
        </ext>
      </extLst>
    </bk>
    <bk>
      <extLst>
        <ext uri="{3e2802c4-a4d2-4d8b-9148-e3be6c30e623}">
          <xlrd:rvb i="20453"/>
        </ext>
      </extLst>
    </bk>
    <bk>
      <extLst>
        <ext uri="{3e2802c4-a4d2-4d8b-9148-e3be6c30e623}">
          <xlrd:rvb i="20454"/>
        </ext>
      </extLst>
    </bk>
    <bk>
      <extLst>
        <ext uri="{3e2802c4-a4d2-4d8b-9148-e3be6c30e623}">
          <xlrd:rvb i="20455"/>
        </ext>
      </extLst>
    </bk>
    <bk>
      <extLst>
        <ext uri="{3e2802c4-a4d2-4d8b-9148-e3be6c30e623}">
          <xlrd:rvb i="20456"/>
        </ext>
      </extLst>
    </bk>
    <bk>
      <extLst>
        <ext uri="{3e2802c4-a4d2-4d8b-9148-e3be6c30e623}">
          <xlrd:rvb i="20457"/>
        </ext>
      </extLst>
    </bk>
    <bk>
      <extLst>
        <ext uri="{3e2802c4-a4d2-4d8b-9148-e3be6c30e623}">
          <xlrd:rvb i="20458"/>
        </ext>
      </extLst>
    </bk>
    <bk>
      <extLst>
        <ext uri="{3e2802c4-a4d2-4d8b-9148-e3be6c30e623}">
          <xlrd:rvb i="20459"/>
        </ext>
      </extLst>
    </bk>
    <bk>
      <extLst>
        <ext uri="{3e2802c4-a4d2-4d8b-9148-e3be6c30e623}">
          <xlrd:rvb i="20460"/>
        </ext>
      </extLst>
    </bk>
    <bk>
      <extLst>
        <ext uri="{3e2802c4-a4d2-4d8b-9148-e3be6c30e623}">
          <xlrd:rvb i="20461"/>
        </ext>
      </extLst>
    </bk>
    <bk>
      <extLst>
        <ext uri="{3e2802c4-a4d2-4d8b-9148-e3be6c30e623}">
          <xlrd:rvb i="20462"/>
        </ext>
      </extLst>
    </bk>
    <bk>
      <extLst>
        <ext uri="{3e2802c4-a4d2-4d8b-9148-e3be6c30e623}">
          <xlrd:rvb i="20463"/>
        </ext>
      </extLst>
    </bk>
    <bk>
      <extLst>
        <ext uri="{3e2802c4-a4d2-4d8b-9148-e3be6c30e623}">
          <xlrd:rvb i="20464"/>
        </ext>
      </extLst>
    </bk>
    <bk>
      <extLst>
        <ext uri="{3e2802c4-a4d2-4d8b-9148-e3be6c30e623}">
          <xlrd:rvb i="20465"/>
        </ext>
      </extLst>
    </bk>
    <bk>
      <extLst>
        <ext uri="{3e2802c4-a4d2-4d8b-9148-e3be6c30e623}">
          <xlrd:rvb i="20466"/>
        </ext>
      </extLst>
    </bk>
    <bk>
      <extLst>
        <ext uri="{3e2802c4-a4d2-4d8b-9148-e3be6c30e623}">
          <xlrd:rvb i="20467"/>
        </ext>
      </extLst>
    </bk>
    <bk>
      <extLst>
        <ext uri="{3e2802c4-a4d2-4d8b-9148-e3be6c30e623}">
          <xlrd:rvb i="20468"/>
        </ext>
      </extLst>
    </bk>
    <bk>
      <extLst>
        <ext uri="{3e2802c4-a4d2-4d8b-9148-e3be6c30e623}">
          <xlrd:rvb i="20469"/>
        </ext>
      </extLst>
    </bk>
    <bk>
      <extLst>
        <ext uri="{3e2802c4-a4d2-4d8b-9148-e3be6c30e623}">
          <xlrd:rvb i="20470"/>
        </ext>
      </extLst>
    </bk>
    <bk>
      <extLst>
        <ext uri="{3e2802c4-a4d2-4d8b-9148-e3be6c30e623}">
          <xlrd:rvb i="20471"/>
        </ext>
      </extLst>
    </bk>
    <bk>
      <extLst>
        <ext uri="{3e2802c4-a4d2-4d8b-9148-e3be6c30e623}">
          <xlrd:rvb i="20472"/>
        </ext>
      </extLst>
    </bk>
    <bk>
      <extLst>
        <ext uri="{3e2802c4-a4d2-4d8b-9148-e3be6c30e623}">
          <xlrd:rvb i="20473"/>
        </ext>
      </extLst>
    </bk>
    <bk>
      <extLst>
        <ext uri="{3e2802c4-a4d2-4d8b-9148-e3be6c30e623}">
          <xlrd:rvb i="20474"/>
        </ext>
      </extLst>
    </bk>
    <bk>
      <extLst>
        <ext uri="{3e2802c4-a4d2-4d8b-9148-e3be6c30e623}">
          <xlrd:rvb i="20475"/>
        </ext>
      </extLst>
    </bk>
    <bk>
      <extLst>
        <ext uri="{3e2802c4-a4d2-4d8b-9148-e3be6c30e623}">
          <xlrd:rvb i="20476"/>
        </ext>
      </extLst>
    </bk>
    <bk>
      <extLst>
        <ext uri="{3e2802c4-a4d2-4d8b-9148-e3be6c30e623}">
          <xlrd:rvb i="20477"/>
        </ext>
      </extLst>
    </bk>
    <bk>
      <extLst>
        <ext uri="{3e2802c4-a4d2-4d8b-9148-e3be6c30e623}">
          <xlrd:rvb i="20478"/>
        </ext>
      </extLst>
    </bk>
    <bk>
      <extLst>
        <ext uri="{3e2802c4-a4d2-4d8b-9148-e3be6c30e623}">
          <xlrd:rvb i="20479"/>
        </ext>
      </extLst>
    </bk>
    <bk>
      <extLst>
        <ext uri="{3e2802c4-a4d2-4d8b-9148-e3be6c30e623}">
          <xlrd:rvb i="20480"/>
        </ext>
      </extLst>
    </bk>
    <bk>
      <extLst>
        <ext uri="{3e2802c4-a4d2-4d8b-9148-e3be6c30e623}">
          <xlrd:rvb i="20481"/>
        </ext>
      </extLst>
    </bk>
    <bk>
      <extLst>
        <ext uri="{3e2802c4-a4d2-4d8b-9148-e3be6c30e623}">
          <xlrd:rvb i="20482"/>
        </ext>
      </extLst>
    </bk>
    <bk>
      <extLst>
        <ext uri="{3e2802c4-a4d2-4d8b-9148-e3be6c30e623}">
          <xlrd:rvb i="20483"/>
        </ext>
      </extLst>
    </bk>
    <bk>
      <extLst>
        <ext uri="{3e2802c4-a4d2-4d8b-9148-e3be6c30e623}">
          <xlrd:rvb i="20484"/>
        </ext>
      </extLst>
    </bk>
    <bk>
      <extLst>
        <ext uri="{3e2802c4-a4d2-4d8b-9148-e3be6c30e623}">
          <xlrd:rvb i="20485"/>
        </ext>
      </extLst>
    </bk>
    <bk>
      <extLst>
        <ext uri="{3e2802c4-a4d2-4d8b-9148-e3be6c30e623}">
          <xlrd:rvb i="20486"/>
        </ext>
      </extLst>
    </bk>
    <bk>
      <extLst>
        <ext uri="{3e2802c4-a4d2-4d8b-9148-e3be6c30e623}">
          <xlrd:rvb i="20487"/>
        </ext>
      </extLst>
    </bk>
    <bk>
      <extLst>
        <ext uri="{3e2802c4-a4d2-4d8b-9148-e3be6c30e623}">
          <xlrd:rvb i="20488"/>
        </ext>
      </extLst>
    </bk>
    <bk>
      <extLst>
        <ext uri="{3e2802c4-a4d2-4d8b-9148-e3be6c30e623}">
          <xlrd:rvb i="20489"/>
        </ext>
      </extLst>
    </bk>
    <bk>
      <extLst>
        <ext uri="{3e2802c4-a4d2-4d8b-9148-e3be6c30e623}">
          <xlrd:rvb i="20490"/>
        </ext>
      </extLst>
    </bk>
    <bk>
      <extLst>
        <ext uri="{3e2802c4-a4d2-4d8b-9148-e3be6c30e623}">
          <xlrd:rvb i="20491"/>
        </ext>
      </extLst>
    </bk>
    <bk>
      <extLst>
        <ext uri="{3e2802c4-a4d2-4d8b-9148-e3be6c30e623}">
          <xlrd:rvb i="20492"/>
        </ext>
      </extLst>
    </bk>
    <bk>
      <extLst>
        <ext uri="{3e2802c4-a4d2-4d8b-9148-e3be6c30e623}">
          <xlrd:rvb i="20493"/>
        </ext>
      </extLst>
    </bk>
    <bk>
      <extLst>
        <ext uri="{3e2802c4-a4d2-4d8b-9148-e3be6c30e623}">
          <xlrd:rvb i="20494"/>
        </ext>
      </extLst>
    </bk>
    <bk>
      <extLst>
        <ext uri="{3e2802c4-a4d2-4d8b-9148-e3be6c30e623}">
          <xlrd:rvb i="20495"/>
        </ext>
      </extLst>
    </bk>
    <bk>
      <extLst>
        <ext uri="{3e2802c4-a4d2-4d8b-9148-e3be6c30e623}">
          <xlrd:rvb i="20496"/>
        </ext>
      </extLst>
    </bk>
    <bk>
      <extLst>
        <ext uri="{3e2802c4-a4d2-4d8b-9148-e3be6c30e623}">
          <xlrd:rvb i="20497"/>
        </ext>
      </extLst>
    </bk>
    <bk>
      <extLst>
        <ext uri="{3e2802c4-a4d2-4d8b-9148-e3be6c30e623}">
          <xlrd:rvb i="20498"/>
        </ext>
      </extLst>
    </bk>
    <bk>
      <extLst>
        <ext uri="{3e2802c4-a4d2-4d8b-9148-e3be6c30e623}">
          <xlrd:rvb i="20499"/>
        </ext>
      </extLst>
    </bk>
    <bk>
      <extLst>
        <ext uri="{3e2802c4-a4d2-4d8b-9148-e3be6c30e623}">
          <xlrd:rvb i="20500"/>
        </ext>
      </extLst>
    </bk>
    <bk>
      <extLst>
        <ext uri="{3e2802c4-a4d2-4d8b-9148-e3be6c30e623}">
          <xlrd:rvb i="20501"/>
        </ext>
      </extLst>
    </bk>
    <bk>
      <extLst>
        <ext uri="{3e2802c4-a4d2-4d8b-9148-e3be6c30e623}">
          <xlrd:rvb i="20502"/>
        </ext>
      </extLst>
    </bk>
    <bk>
      <extLst>
        <ext uri="{3e2802c4-a4d2-4d8b-9148-e3be6c30e623}">
          <xlrd:rvb i="20503"/>
        </ext>
      </extLst>
    </bk>
    <bk>
      <extLst>
        <ext uri="{3e2802c4-a4d2-4d8b-9148-e3be6c30e623}">
          <xlrd:rvb i="20504"/>
        </ext>
      </extLst>
    </bk>
    <bk>
      <extLst>
        <ext uri="{3e2802c4-a4d2-4d8b-9148-e3be6c30e623}">
          <xlrd:rvb i="20505"/>
        </ext>
      </extLst>
    </bk>
    <bk>
      <extLst>
        <ext uri="{3e2802c4-a4d2-4d8b-9148-e3be6c30e623}">
          <xlrd:rvb i="20506"/>
        </ext>
      </extLst>
    </bk>
    <bk>
      <extLst>
        <ext uri="{3e2802c4-a4d2-4d8b-9148-e3be6c30e623}">
          <xlrd:rvb i="20507"/>
        </ext>
      </extLst>
    </bk>
    <bk>
      <extLst>
        <ext uri="{3e2802c4-a4d2-4d8b-9148-e3be6c30e623}">
          <xlrd:rvb i="20508"/>
        </ext>
      </extLst>
    </bk>
    <bk>
      <extLst>
        <ext uri="{3e2802c4-a4d2-4d8b-9148-e3be6c30e623}">
          <xlrd:rvb i="20509"/>
        </ext>
      </extLst>
    </bk>
    <bk>
      <extLst>
        <ext uri="{3e2802c4-a4d2-4d8b-9148-e3be6c30e623}">
          <xlrd:rvb i="20510"/>
        </ext>
      </extLst>
    </bk>
    <bk>
      <extLst>
        <ext uri="{3e2802c4-a4d2-4d8b-9148-e3be6c30e623}">
          <xlrd:rvb i="20511"/>
        </ext>
      </extLst>
    </bk>
    <bk>
      <extLst>
        <ext uri="{3e2802c4-a4d2-4d8b-9148-e3be6c30e623}">
          <xlrd:rvb i="20512"/>
        </ext>
      </extLst>
    </bk>
    <bk>
      <extLst>
        <ext uri="{3e2802c4-a4d2-4d8b-9148-e3be6c30e623}">
          <xlrd:rvb i="20513"/>
        </ext>
      </extLst>
    </bk>
    <bk>
      <extLst>
        <ext uri="{3e2802c4-a4d2-4d8b-9148-e3be6c30e623}">
          <xlrd:rvb i="20514"/>
        </ext>
      </extLst>
    </bk>
    <bk>
      <extLst>
        <ext uri="{3e2802c4-a4d2-4d8b-9148-e3be6c30e623}">
          <xlrd:rvb i="20515"/>
        </ext>
      </extLst>
    </bk>
    <bk>
      <extLst>
        <ext uri="{3e2802c4-a4d2-4d8b-9148-e3be6c30e623}">
          <xlrd:rvb i="20516"/>
        </ext>
      </extLst>
    </bk>
    <bk>
      <extLst>
        <ext uri="{3e2802c4-a4d2-4d8b-9148-e3be6c30e623}">
          <xlrd:rvb i="20517"/>
        </ext>
      </extLst>
    </bk>
    <bk>
      <extLst>
        <ext uri="{3e2802c4-a4d2-4d8b-9148-e3be6c30e623}">
          <xlrd:rvb i="20518"/>
        </ext>
      </extLst>
    </bk>
    <bk>
      <extLst>
        <ext uri="{3e2802c4-a4d2-4d8b-9148-e3be6c30e623}">
          <xlrd:rvb i="20519"/>
        </ext>
      </extLst>
    </bk>
    <bk>
      <extLst>
        <ext uri="{3e2802c4-a4d2-4d8b-9148-e3be6c30e623}">
          <xlrd:rvb i="20520"/>
        </ext>
      </extLst>
    </bk>
    <bk>
      <extLst>
        <ext uri="{3e2802c4-a4d2-4d8b-9148-e3be6c30e623}">
          <xlrd:rvb i="20521"/>
        </ext>
      </extLst>
    </bk>
    <bk>
      <extLst>
        <ext uri="{3e2802c4-a4d2-4d8b-9148-e3be6c30e623}">
          <xlrd:rvb i="20522"/>
        </ext>
      </extLst>
    </bk>
    <bk>
      <extLst>
        <ext uri="{3e2802c4-a4d2-4d8b-9148-e3be6c30e623}">
          <xlrd:rvb i="20523"/>
        </ext>
      </extLst>
    </bk>
    <bk>
      <extLst>
        <ext uri="{3e2802c4-a4d2-4d8b-9148-e3be6c30e623}">
          <xlrd:rvb i="20524"/>
        </ext>
      </extLst>
    </bk>
    <bk>
      <extLst>
        <ext uri="{3e2802c4-a4d2-4d8b-9148-e3be6c30e623}">
          <xlrd:rvb i="20525"/>
        </ext>
      </extLst>
    </bk>
    <bk>
      <extLst>
        <ext uri="{3e2802c4-a4d2-4d8b-9148-e3be6c30e623}">
          <xlrd:rvb i="20526"/>
        </ext>
      </extLst>
    </bk>
    <bk>
      <extLst>
        <ext uri="{3e2802c4-a4d2-4d8b-9148-e3be6c30e623}">
          <xlrd:rvb i="20527"/>
        </ext>
      </extLst>
    </bk>
    <bk>
      <extLst>
        <ext uri="{3e2802c4-a4d2-4d8b-9148-e3be6c30e623}">
          <xlrd:rvb i="20528"/>
        </ext>
      </extLst>
    </bk>
    <bk>
      <extLst>
        <ext uri="{3e2802c4-a4d2-4d8b-9148-e3be6c30e623}">
          <xlrd:rvb i="20529"/>
        </ext>
      </extLst>
    </bk>
    <bk>
      <extLst>
        <ext uri="{3e2802c4-a4d2-4d8b-9148-e3be6c30e623}">
          <xlrd:rvb i="20530"/>
        </ext>
      </extLst>
    </bk>
    <bk>
      <extLst>
        <ext uri="{3e2802c4-a4d2-4d8b-9148-e3be6c30e623}">
          <xlrd:rvb i="20531"/>
        </ext>
      </extLst>
    </bk>
    <bk>
      <extLst>
        <ext uri="{3e2802c4-a4d2-4d8b-9148-e3be6c30e623}">
          <xlrd:rvb i="20532"/>
        </ext>
      </extLst>
    </bk>
    <bk>
      <extLst>
        <ext uri="{3e2802c4-a4d2-4d8b-9148-e3be6c30e623}">
          <xlrd:rvb i="20533"/>
        </ext>
      </extLst>
    </bk>
    <bk>
      <extLst>
        <ext uri="{3e2802c4-a4d2-4d8b-9148-e3be6c30e623}">
          <xlrd:rvb i="20534"/>
        </ext>
      </extLst>
    </bk>
    <bk>
      <extLst>
        <ext uri="{3e2802c4-a4d2-4d8b-9148-e3be6c30e623}">
          <xlrd:rvb i="20535"/>
        </ext>
      </extLst>
    </bk>
    <bk>
      <extLst>
        <ext uri="{3e2802c4-a4d2-4d8b-9148-e3be6c30e623}">
          <xlrd:rvb i="20536"/>
        </ext>
      </extLst>
    </bk>
    <bk>
      <extLst>
        <ext uri="{3e2802c4-a4d2-4d8b-9148-e3be6c30e623}">
          <xlrd:rvb i="20537"/>
        </ext>
      </extLst>
    </bk>
    <bk>
      <extLst>
        <ext uri="{3e2802c4-a4d2-4d8b-9148-e3be6c30e623}">
          <xlrd:rvb i="20538"/>
        </ext>
      </extLst>
    </bk>
    <bk>
      <extLst>
        <ext uri="{3e2802c4-a4d2-4d8b-9148-e3be6c30e623}">
          <xlrd:rvb i="20539"/>
        </ext>
      </extLst>
    </bk>
    <bk>
      <extLst>
        <ext uri="{3e2802c4-a4d2-4d8b-9148-e3be6c30e623}">
          <xlrd:rvb i="20540"/>
        </ext>
      </extLst>
    </bk>
    <bk>
      <extLst>
        <ext uri="{3e2802c4-a4d2-4d8b-9148-e3be6c30e623}">
          <xlrd:rvb i="20541"/>
        </ext>
      </extLst>
    </bk>
    <bk>
      <extLst>
        <ext uri="{3e2802c4-a4d2-4d8b-9148-e3be6c30e623}">
          <xlrd:rvb i="20542"/>
        </ext>
      </extLst>
    </bk>
    <bk>
      <extLst>
        <ext uri="{3e2802c4-a4d2-4d8b-9148-e3be6c30e623}">
          <xlrd:rvb i="20543"/>
        </ext>
      </extLst>
    </bk>
    <bk>
      <extLst>
        <ext uri="{3e2802c4-a4d2-4d8b-9148-e3be6c30e623}">
          <xlrd:rvb i="20544"/>
        </ext>
      </extLst>
    </bk>
    <bk>
      <extLst>
        <ext uri="{3e2802c4-a4d2-4d8b-9148-e3be6c30e623}">
          <xlrd:rvb i="20545"/>
        </ext>
      </extLst>
    </bk>
    <bk>
      <extLst>
        <ext uri="{3e2802c4-a4d2-4d8b-9148-e3be6c30e623}">
          <xlrd:rvb i="20546"/>
        </ext>
      </extLst>
    </bk>
    <bk>
      <extLst>
        <ext uri="{3e2802c4-a4d2-4d8b-9148-e3be6c30e623}">
          <xlrd:rvb i="20547"/>
        </ext>
      </extLst>
    </bk>
    <bk>
      <extLst>
        <ext uri="{3e2802c4-a4d2-4d8b-9148-e3be6c30e623}">
          <xlrd:rvb i="20548"/>
        </ext>
      </extLst>
    </bk>
    <bk>
      <extLst>
        <ext uri="{3e2802c4-a4d2-4d8b-9148-e3be6c30e623}">
          <xlrd:rvb i="20549"/>
        </ext>
      </extLst>
    </bk>
    <bk>
      <extLst>
        <ext uri="{3e2802c4-a4d2-4d8b-9148-e3be6c30e623}">
          <xlrd:rvb i="20550"/>
        </ext>
      </extLst>
    </bk>
    <bk>
      <extLst>
        <ext uri="{3e2802c4-a4d2-4d8b-9148-e3be6c30e623}">
          <xlrd:rvb i="20551"/>
        </ext>
      </extLst>
    </bk>
    <bk>
      <extLst>
        <ext uri="{3e2802c4-a4d2-4d8b-9148-e3be6c30e623}">
          <xlrd:rvb i="20552"/>
        </ext>
      </extLst>
    </bk>
    <bk>
      <extLst>
        <ext uri="{3e2802c4-a4d2-4d8b-9148-e3be6c30e623}">
          <xlrd:rvb i="20553"/>
        </ext>
      </extLst>
    </bk>
    <bk>
      <extLst>
        <ext uri="{3e2802c4-a4d2-4d8b-9148-e3be6c30e623}">
          <xlrd:rvb i="20554"/>
        </ext>
      </extLst>
    </bk>
    <bk>
      <extLst>
        <ext uri="{3e2802c4-a4d2-4d8b-9148-e3be6c30e623}">
          <xlrd:rvb i="20555"/>
        </ext>
      </extLst>
    </bk>
    <bk>
      <extLst>
        <ext uri="{3e2802c4-a4d2-4d8b-9148-e3be6c30e623}">
          <xlrd:rvb i="20556"/>
        </ext>
      </extLst>
    </bk>
    <bk>
      <extLst>
        <ext uri="{3e2802c4-a4d2-4d8b-9148-e3be6c30e623}">
          <xlrd:rvb i="20557"/>
        </ext>
      </extLst>
    </bk>
    <bk>
      <extLst>
        <ext uri="{3e2802c4-a4d2-4d8b-9148-e3be6c30e623}">
          <xlrd:rvb i="20558"/>
        </ext>
      </extLst>
    </bk>
    <bk>
      <extLst>
        <ext uri="{3e2802c4-a4d2-4d8b-9148-e3be6c30e623}">
          <xlrd:rvb i="20559"/>
        </ext>
      </extLst>
    </bk>
    <bk>
      <extLst>
        <ext uri="{3e2802c4-a4d2-4d8b-9148-e3be6c30e623}">
          <xlrd:rvb i="20560"/>
        </ext>
      </extLst>
    </bk>
    <bk>
      <extLst>
        <ext uri="{3e2802c4-a4d2-4d8b-9148-e3be6c30e623}">
          <xlrd:rvb i="20561"/>
        </ext>
      </extLst>
    </bk>
    <bk>
      <extLst>
        <ext uri="{3e2802c4-a4d2-4d8b-9148-e3be6c30e623}">
          <xlrd:rvb i="20562"/>
        </ext>
      </extLst>
    </bk>
    <bk>
      <extLst>
        <ext uri="{3e2802c4-a4d2-4d8b-9148-e3be6c30e623}">
          <xlrd:rvb i="20563"/>
        </ext>
      </extLst>
    </bk>
    <bk>
      <extLst>
        <ext uri="{3e2802c4-a4d2-4d8b-9148-e3be6c30e623}">
          <xlrd:rvb i="20564"/>
        </ext>
      </extLst>
    </bk>
    <bk>
      <extLst>
        <ext uri="{3e2802c4-a4d2-4d8b-9148-e3be6c30e623}">
          <xlrd:rvb i="20565"/>
        </ext>
      </extLst>
    </bk>
    <bk>
      <extLst>
        <ext uri="{3e2802c4-a4d2-4d8b-9148-e3be6c30e623}">
          <xlrd:rvb i="20566"/>
        </ext>
      </extLst>
    </bk>
    <bk>
      <extLst>
        <ext uri="{3e2802c4-a4d2-4d8b-9148-e3be6c30e623}">
          <xlrd:rvb i="20567"/>
        </ext>
      </extLst>
    </bk>
    <bk>
      <extLst>
        <ext uri="{3e2802c4-a4d2-4d8b-9148-e3be6c30e623}">
          <xlrd:rvb i="20568"/>
        </ext>
      </extLst>
    </bk>
    <bk>
      <extLst>
        <ext uri="{3e2802c4-a4d2-4d8b-9148-e3be6c30e623}">
          <xlrd:rvb i="20569"/>
        </ext>
      </extLst>
    </bk>
    <bk>
      <extLst>
        <ext uri="{3e2802c4-a4d2-4d8b-9148-e3be6c30e623}">
          <xlrd:rvb i="20570"/>
        </ext>
      </extLst>
    </bk>
    <bk>
      <extLst>
        <ext uri="{3e2802c4-a4d2-4d8b-9148-e3be6c30e623}">
          <xlrd:rvb i="20571"/>
        </ext>
      </extLst>
    </bk>
    <bk>
      <extLst>
        <ext uri="{3e2802c4-a4d2-4d8b-9148-e3be6c30e623}">
          <xlrd:rvb i="20572"/>
        </ext>
      </extLst>
    </bk>
    <bk>
      <extLst>
        <ext uri="{3e2802c4-a4d2-4d8b-9148-e3be6c30e623}">
          <xlrd:rvb i="20573"/>
        </ext>
      </extLst>
    </bk>
    <bk>
      <extLst>
        <ext uri="{3e2802c4-a4d2-4d8b-9148-e3be6c30e623}">
          <xlrd:rvb i="20574"/>
        </ext>
      </extLst>
    </bk>
    <bk>
      <extLst>
        <ext uri="{3e2802c4-a4d2-4d8b-9148-e3be6c30e623}">
          <xlrd:rvb i="20575"/>
        </ext>
      </extLst>
    </bk>
    <bk>
      <extLst>
        <ext uri="{3e2802c4-a4d2-4d8b-9148-e3be6c30e623}">
          <xlrd:rvb i="20576"/>
        </ext>
      </extLst>
    </bk>
    <bk>
      <extLst>
        <ext uri="{3e2802c4-a4d2-4d8b-9148-e3be6c30e623}">
          <xlrd:rvb i="20577"/>
        </ext>
      </extLst>
    </bk>
    <bk>
      <extLst>
        <ext uri="{3e2802c4-a4d2-4d8b-9148-e3be6c30e623}">
          <xlrd:rvb i="20578"/>
        </ext>
      </extLst>
    </bk>
    <bk>
      <extLst>
        <ext uri="{3e2802c4-a4d2-4d8b-9148-e3be6c30e623}">
          <xlrd:rvb i="20579"/>
        </ext>
      </extLst>
    </bk>
    <bk>
      <extLst>
        <ext uri="{3e2802c4-a4d2-4d8b-9148-e3be6c30e623}">
          <xlrd:rvb i="20580"/>
        </ext>
      </extLst>
    </bk>
    <bk>
      <extLst>
        <ext uri="{3e2802c4-a4d2-4d8b-9148-e3be6c30e623}">
          <xlrd:rvb i="20581"/>
        </ext>
      </extLst>
    </bk>
    <bk>
      <extLst>
        <ext uri="{3e2802c4-a4d2-4d8b-9148-e3be6c30e623}">
          <xlrd:rvb i="20582"/>
        </ext>
      </extLst>
    </bk>
    <bk>
      <extLst>
        <ext uri="{3e2802c4-a4d2-4d8b-9148-e3be6c30e623}">
          <xlrd:rvb i="20583"/>
        </ext>
      </extLst>
    </bk>
    <bk>
      <extLst>
        <ext uri="{3e2802c4-a4d2-4d8b-9148-e3be6c30e623}">
          <xlrd:rvb i="20584"/>
        </ext>
      </extLst>
    </bk>
    <bk>
      <extLst>
        <ext uri="{3e2802c4-a4d2-4d8b-9148-e3be6c30e623}">
          <xlrd:rvb i="20585"/>
        </ext>
      </extLst>
    </bk>
    <bk>
      <extLst>
        <ext uri="{3e2802c4-a4d2-4d8b-9148-e3be6c30e623}">
          <xlrd:rvb i="20586"/>
        </ext>
      </extLst>
    </bk>
    <bk>
      <extLst>
        <ext uri="{3e2802c4-a4d2-4d8b-9148-e3be6c30e623}">
          <xlrd:rvb i="20587"/>
        </ext>
      </extLst>
    </bk>
    <bk>
      <extLst>
        <ext uri="{3e2802c4-a4d2-4d8b-9148-e3be6c30e623}">
          <xlrd:rvb i="20588"/>
        </ext>
      </extLst>
    </bk>
    <bk>
      <extLst>
        <ext uri="{3e2802c4-a4d2-4d8b-9148-e3be6c30e623}">
          <xlrd:rvb i="20589"/>
        </ext>
      </extLst>
    </bk>
    <bk>
      <extLst>
        <ext uri="{3e2802c4-a4d2-4d8b-9148-e3be6c30e623}">
          <xlrd:rvb i="20590"/>
        </ext>
      </extLst>
    </bk>
    <bk>
      <extLst>
        <ext uri="{3e2802c4-a4d2-4d8b-9148-e3be6c30e623}">
          <xlrd:rvb i="20591"/>
        </ext>
      </extLst>
    </bk>
    <bk>
      <extLst>
        <ext uri="{3e2802c4-a4d2-4d8b-9148-e3be6c30e623}">
          <xlrd:rvb i="20592"/>
        </ext>
      </extLst>
    </bk>
    <bk>
      <extLst>
        <ext uri="{3e2802c4-a4d2-4d8b-9148-e3be6c30e623}">
          <xlrd:rvb i="20593"/>
        </ext>
      </extLst>
    </bk>
    <bk>
      <extLst>
        <ext uri="{3e2802c4-a4d2-4d8b-9148-e3be6c30e623}">
          <xlrd:rvb i="20594"/>
        </ext>
      </extLst>
    </bk>
    <bk>
      <extLst>
        <ext uri="{3e2802c4-a4d2-4d8b-9148-e3be6c30e623}">
          <xlrd:rvb i="20595"/>
        </ext>
      </extLst>
    </bk>
    <bk>
      <extLst>
        <ext uri="{3e2802c4-a4d2-4d8b-9148-e3be6c30e623}">
          <xlrd:rvb i="20596"/>
        </ext>
      </extLst>
    </bk>
    <bk>
      <extLst>
        <ext uri="{3e2802c4-a4d2-4d8b-9148-e3be6c30e623}">
          <xlrd:rvb i="20597"/>
        </ext>
      </extLst>
    </bk>
    <bk>
      <extLst>
        <ext uri="{3e2802c4-a4d2-4d8b-9148-e3be6c30e623}">
          <xlrd:rvb i="20598"/>
        </ext>
      </extLst>
    </bk>
    <bk>
      <extLst>
        <ext uri="{3e2802c4-a4d2-4d8b-9148-e3be6c30e623}">
          <xlrd:rvb i="20599"/>
        </ext>
      </extLst>
    </bk>
    <bk>
      <extLst>
        <ext uri="{3e2802c4-a4d2-4d8b-9148-e3be6c30e623}">
          <xlrd:rvb i="20600"/>
        </ext>
      </extLst>
    </bk>
    <bk>
      <extLst>
        <ext uri="{3e2802c4-a4d2-4d8b-9148-e3be6c30e623}">
          <xlrd:rvb i="20601"/>
        </ext>
      </extLst>
    </bk>
    <bk>
      <extLst>
        <ext uri="{3e2802c4-a4d2-4d8b-9148-e3be6c30e623}">
          <xlrd:rvb i="20602"/>
        </ext>
      </extLst>
    </bk>
    <bk>
      <extLst>
        <ext uri="{3e2802c4-a4d2-4d8b-9148-e3be6c30e623}">
          <xlrd:rvb i="20603"/>
        </ext>
      </extLst>
    </bk>
    <bk>
      <extLst>
        <ext uri="{3e2802c4-a4d2-4d8b-9148-e3be6c30e623}">
          <xlrd:rvb i="20604"/>
        </ext>
      </extLst>
    </bk>
    <bk>
      <extLst>
        <ext uri="{3e2802c4-a4d2-4d8b-9148-e3be6c30e623}">
          <xlrd:rvb i="20605"/>
        </ext>
      </extLst>
    </bk>
    <bk>
      <extLst>
        <ext uri="{3e2802c4-a4d2-4d8b-9148-e3be6c30e623}">
          <xlrd:rvb i="20606"/>
        </ext>
      </extLst>
    </bk>
    <bk>
      <extLst>
        <ext uri="{3e2802c4-a4d2-4d8b-9148-e3be6c30e623}">
          <xlrd:rvb i="20607"/>
        </ext>
      </extLst>
    </bk>
    <bk>
      <extLst>
        <ext uri="{3e2802c4-a4d2-4d8b-9148-e3be6c30e623}">
          <xlrd:rvb i="20608"/>
        </ext>
      </extLst>
    </bk>
    <bk>
      <extLst>
        <ext uri="{3e2802c4-a4d2-4d8b-9148-e3be6c30e623}">
          <xlrd:rvb i="20609"/>
        </ext>
      </extLst>
    </bk>
    <bk>
      <extLst>
        <ext uri="{3e2802c4-a4d2-4d8b-9148-e3be6c30e623}">
          <xlrd:rvb i="20610"/>
        </ext>
      </extLst>
    </bk>
    <bk>
      <extLst>
        <ext uri="{3e2802c4-a4d2-4d8b-9148-e3be6c30e623}">
          <xlrd:rvb i="20611"/>
        </ext>
      </extLst>
    </bk>
    <bk>
      <extLst>
        <ext uri="{3e2802c4-a4d2-4d8b-9148-e3be6c30e623}">
          <xlrd:rvb i="20612"/>
        </ext>
      </extLst>
    </bk>
    <bk>
      <extLst>
        <ext uri="{3e2802c4-a4d2-4d8b-9148-e3be6c30e623}">
          <xlrd:rvb i="20613"/>
        </ext>
      </extLst>
    </bk>
    <bk>
      <extLst>
        <ext uri="{3e2802c4-a4d2-4d8b-9148-e3be6c30e623}">
          <xlrd:rvb i="20614"/>
        </ext>
      </extLst>
    </bk>
    <bk>
      <extLst>
        <ext uri="{3e2802c4-a4d2-4d8b-9148-e3be6c30e623}">
          <xlrd:rvb i="20615"/>
        </ext>
      </extLst>
    </bk>
    <bk>
      <extLst>
        <ext uri="{3e2802c4-a4d2-4d8b-9148-e3be6c30e623}">
          <xlrd:rvb i="20616"/>
        </ext>
      </extLst>
    </bk>
    <bk>
      <extLst>
        <ext uri="{3e2802c4-a4d2-4d8b-9148-e3be6c30e623}">
          <xlrd:rvb i="20617"/>
        </ext>
      </extLst>
    </bk>
    <bk>
      <extLst>
        <ext uri="{3e2802c4-a4d2-4d8b-9148-e3be6c30e623}">
          <xlrd:rvb i="20618"/>
        </ext>
      </extLst>
    </bk>
    <bk>
      <extLst>
        <ext uri="{3e2802c4-a4d2-4d8b-9148-e3be6c30e623}">
          <xlrd:rvb i="20619"/>
        </ext>
      </extLst>
    </bk>
    <bk>
      <extLst>
        <ext uri="{3e2802c4-a4d2-4d8b-9148-e3be6c30e623}">
          <xlrd:rvb i="20620"/>
        </ext>
      </extLst>
    </bk>
    <bk>
      <extLst>
        <ext uri="{3e2802c4-a4d2-4d8b-9148-e3be6c30e623}">
          <xlrd:rvb i="20621"/>
        </ext>
      </extLst>
    </bk>
    <bk>
      <extLst>
        <ext uri="{3e2802c4-a4d2-4d8b-9148-e3be6c30e623}">
          <xlrd:rvb i="20622"/>
        </ext>
      </extLst>
    </bk>
    <bk>
      <extLst>
        <ext uri="{3e2802c4-a4d2-4d8b-9148-e3be6c30e623}">
          <xlrd:rvb i="20623"/>
        </ext>
      </extLst>
    </bk>
    <bk>
      <extLst>
        <ext uri="{3e2802c4-a4d2-4d8b-9148-e3be6c30e623}">
          <xlrd:rvb i="20624"/>
        </ext>
      </extLst>
    </bk>
    <bk>
      <extLst>
        <ext uri="{3e2802c4-a4d2-4d8b-9148-e3be6c30e623}">
          <xlrd:rvb i="20625"/>
        </ext>
      </extLst>
    </bk>
    <bk>
      <extLst>
        <ext uri="{3e2802c4-a4d2-4d8b-9148-e3be6c30e623}">
          <xlrd:rvb i="20626"/>
        </ext>
      </extLst>
    </bk>
    <bk>
      <extLst>
        <ext uri="{3e2802c4-a4d2-4d8b-9148-e3be6c30e623}">
          <xlrd:rvb i="20627"/>
        </ext>
      </extLst>
    </bk>
    <bk>
      <extLst>
        <ext uri="{3e2802c4-a4d2-4d8b-9148-e3be6c30e623}">
          <xlrd:rvb i="20628"/>
        </ext>
      </extLst>
    </bk>
    <bk>
      <extLst>
        <ext uri="{3e2802c4-a4d2-4d8b-9148-e3be6c30e623}">
          <xlrd:rvb i="20629"/>
        </ext>
      </extLst>
    </bk>
    <bk>
      <extLst>
        <ext uri="{3e2802c4-a4d2-4d8b-9148-e3be6c30e623}">
          <xlrd:rvb i="20630"/>
        </ext>
      </extLst>
    </bk>
    <bk>
      <extLst>
        <ext uri="{3e2802c4-a4d2-4d8b-9148-e3be6c30e623}">
          <xlrd:rvb i="20631"/>
        </ext>
      </extLst>
    </bk>
    <bk>
      <extLst>
        <ext uri="{3e2802c4-a4d2-4d8b-9148-e3be6c30e623}">
          <xlrd:rvb i="20632"/>
        </ext>
      </extLst>
    </bk>
    <bk>
      <extLst>
        <ext uri="{3e2802c4-a4d2-4d8b-9148-e3be6c30e623}">
          <xlrd:rvb i="20633"/>
        </ext>
      </extLst>
    </bk>
    <bk>
      <extLst>
        <ext uri="{3e2802c4-a4d2-4d8b-9148-e3be6c30e623}">
          <xlrd:rvb i="20634"/>
        </ext>
      </extLst>
    </bk>
    <bk>
      <extLst>
        <ext uri="{3e2802c4-a4d2-4d8b-9148-e3be6c30e623}">
          <xlrd:rvb i="20635"/>
        </ext>
      </extLst>
    </bk>
    <bk>
      <extLst>
        <ext uri="{3e2802c4-a4d2-4d8b-9148-e3be6c30e623}">
          <xlrd:rvb i="20636"/>
        </ext>
      </extLst>
    </bk>
    <bk>
      <extLst>
        <ext uri="{3e2802c4-a4d2-4d8b-9148-e3be6c30e623}">
          <xlrd:rvb i="20637"/>
        </ext>
      </extLst>
    </bk>
    <bk>
      <extLst>
        <ext uri="{3e2802c4-a4d2-4d8b-9148-e3be6c30e623}">
          <xlrd:rvb i="20638"/>
        </ext>
      </extLst>
    </bk>
    <bk>
      <extLst>
        <ext uri="{3e2802c4-a4d2-4d8b-9148-e3be6c30e623}">
          <xlrd:rvb i="20639"/>
        </ext>
      </extLst>
    </bk>
    <bk>
      <extLst>
        <ext uri="{3e2802c4-a4d2-4d8b-9148-e3be6c30e623}">
          <xlrd:rvb i="20640"/>
        </ext>
      </extLst>
    </bk>
    <bk>
      <extLst>
        <ext uri="{3e2802c4-a4d2-4d8b-9148-e3be6c30e623}">
          <xlrd:rvb i="20641"/>
        </ext>
      </extLst>
    </bk>
    <bk>
      <extLst>
        <ext uri="{3e2802c4-a4d2-4d8b-9148-e3be6c30e623}">
          <xlrd:rvb i="20642"/>
        </ext>
      </extLst>
    </bk>
    <bk>
      <extLst>
        <ext uri="{3e2802c4-a4d2-4d8b-9148-e3be6c30e623}">
          <xlrd:rvb i="20643"/>
        </ext>
      </extLst>
    </bk>
    <bk>
      <extLst>
        <ext uri="{3e2802c4-a4d2-4d8b-9148-e3be6c30e623}">
          <xlrd:rvb i="20644"/>
        </ext>
      </extLst>
    </bk>
    <bk>
      <extLst>
        <ext uri="{3e2802c4-a4d2-4d8b-9148-e3be6c30e623}">
          <xlrd:rvb i="20645"/>
        </ext>
      </extLst>
    </bk>
    <bk>
      <extLst>
        <ext uri="{3e2802c4-a4d2-4d8b-9148-e3be6c30e623}">
          <xlrd:rvb i="20646"/>
        </ext>
      </extLst>
    </bk>
    <bk>
      <extLst>
        <ext uri="{3e2802c4-a4d2-4d8b-9148-e3be6c30e623}">
          <xlrd:rvb i="20647"/>
        </ext>
      </extLst>
    </bk>
    <bk>
      <extLst>
        <ext uri="{3e2802c4-a4d2-4d8b-9148-e3be6c30e623}">
          <xlrd:rvb i="20648"/>
        </ext>
      </extLst>
    </bk>
    <bk>
      <extLst>
        <ext uri="{3e2802c4-a4d2-4d8b-9148-e3be6c30e623}">
          <xlrd:rvb i="20649"/>
        </ext>
      </extLst>
    </bk>
    <bk>
      <extLst>
        <ext uri="{3e2802c4-a4d2-4d8b-9148-e3be6c30e623}">
          <xlrd:rvb i="20650"/>
        </ext>
      </extLst>
    </bk>
    <bk>
      <extLst>
        <ext uri="{3e2802c4-a4d2-4d8b-9148-e3be6c30e623}">
          <xlrd:rvb i="20651"/>
        </ext>
      </extLst>
    </bk>
    <bk>
      <extLst>
        <ext uri="{3e2802c4-a4d2-4d8b-9148-e3be6c30e623}">
          <xlrd:rvb i="20652"/>
        </ext>
      </extLst>
    </bk>
    <bk>
      <extLst>
        <ext uri="{3e2802c4-a4d2-4d8b-9148-e3be6c30e623}">
          <xlrd:rvb i="20653"/>
        </ext>
      </extLst>
    </bk>
    <bk>
      <extLst>
        <ext uri="{3e2802c4-a4d2-4d8b-9148-e3be6c30e623}">
          <xlrd:rvb i="20654"/>
        </ext>
      </extLst>
    </bk>
    <bk>
      <extLst>
        <ext uri="{3e2802c4-a4d2-4d8b-9148-e3be6c30e623}">
          <xlrd:rvb i="20655"/>
        </ext>
      </extLst>
    </bk>
    <bk>
      <extLst>
        <ext uri="{3e2802c4-a4d2-4d8b-9148-e3be6c30e623}">
          <xlrd:rvb i="20656"/>
        </ext>
      </extLst>
    </bk>
    <bk>
      <extLst>
        <ext uri="{3e2802c4-a4d2-4d8b-9148-e3be6c30e623}">
          <xlrd:rvb i="20657"/>
        </ext>
      </extLst>
    </bk>
    <bk>
      <extLst>
        <ext uri="{3e2802c4-a4d2-4d8b-9148-e3be6c30e623}">
          <xlrd:rvb i="20658"/>
        </ext>
      </extLst>
    </bk>
    <bk>
      <extLst>
        <ext uri="{3e2802c4-a4d2-4d8b-9148-e3be6c30e623}">
          <xlrd:rvb i="20659"/>
        </ext>
      </extLst>
    </bk>
    <bk>
      <extLst>
        <ext uri="{3e2802c4-a4d2-4d8b-9148-e3be6c30e623}">
          <xlrd:rvb i="20660"/>
        </ext>
      </extLst>
    </bk>
    <bk>
      <extLst>
        <ext uri="{3e2802c4-a4d2-4d8b-9148-e3be6c30e623}">
          <xlrd:rvb i="20661"/>
        </ext>
      </extLst>
    </bk>
    <bk>
      <extLst>
        <ext uri="{3e2802c4-a4d2-4d8b-9148-e3be6c30e623}">
          <xlrd:rvb i="20662"/>
        </ext>
      </extLst>
    </bk>
    <bk>
      <extLst>
        <ext uri="{3e2802c4-a4d2-4d8b-9148-e3be6c30e623}">
          <xlrd:rvb i="20663"/>
        </ext>
      </extLst>
    </bk>
    <bk>
      <extLst>
        <ext uri="{3e2802c4-a4d2-4d8b-9148-e3be6c30e623}">
          <xlrd:rvb i="20664"/>
        </ext>
      </extLst>
    </bk>
    <bk>
      <extLst>
        <ext uri="{3e2802c4-a4d2-4d8b-9148-e3be6c30e623}">
          <xlrd:rvb i="20665"/>
        </ext>
      </extLst>
    </bk>
    <bk>
      <extLst>
        <ext uri="{3e2802c4-a4d2-4d8b-9148-e3be6c30e623}">
          <xlrd:rvb i="20666"/>
        </ext>
      </extLst>
    </bk>
    <bk>
      <extLst>
        <ext uri="{3e2802c4-a4d2-4d8b-9148-e3be6c30e623}">
          <xlrd:rvb i="20667"/>
        </ext>
      </extLst>
    </bk>
    <bk>
      <extLst>
        <ext uri="{3e2802c4-a4d2-4d8b-9148-e3be6c30e623}">
          <xlrd:rvb i="20668"/>
        </ext>
      </extLst>
    </bk>
    <bk>
      <extLst>
        <ext uri="{3e2802c4-a4d2-4d8b-9148-e3be6c30e623}">
          <xlrd:rvb i="20669"/>
        </ext>
      </extLst>
    </bk>
    <bk>
      <extLst>
        <ext uri="{3e2802c4-a4d2-4d8b-9148-e3be6c30e623}">
          <xlrd:rvb i="20670"/>
        </ext>
      </extLst>
    </bk>
    <bk>
      <extLst>
        <ext uri="{3e2802c4-a4d2-4d8b-9148-e3be6c30e623}">
          <xlrd:rvb i="20671"/>
        </ext>
      </extLst>
    </bk>
    <bk>
      <extLst>
        <ext uri="{3e2802c4-a4d2-4d8b-9148-e3be6c30e623}">
          <xlrd:rvb i="20672"/>
        </ext>
      </extLst>
    </bk>
    <bk>
      <extLst>
        <ext uri="{3e2802c4-a4d2-4d8b-9148-e3be6c30e623}">
          <xlrd:rvb i="20673"/>
        </ext>
      </extLst>
    </bk>
    <bk>
      <extLst>
        <ext uri="{3e2802c4-a4d2-4d8b-9148-e3be6c30e623}">
          <xlrd:rvb i="20674"/>
        </ext>
      </extLst>
    </bk>
    <bk>
      <extLst>
        <ext uri="{3e2802c4-a4d2-4d8b-9148-e3be6c30e623}">
          <xlrd:rvb i="20675"/>
        </ext>
      </extLst>
    </bk>
    <bk>
      <extLst>
        <ext uri="{3e2802c4-a4d2-4d8b-9148-e3be6c30e623}">
          <xlrd:rvb i="20676"/>
        </ext>
      </extLst>
    </bk>
    <bk>
      <extLst>
        <ext uri="{3e2802c4-a4d2-4d8b-9148-e3be6c30e623}">
          <xlrd:rvb i="20677"/>
        </ext>
      </extLst>
    </bk>
    <bk>
      <extLst>
        <ext uri="{3e2802c4-a4d2-4d8b-9148-e3be6c30e623}">
          <xlrd:rvb i="20678"/>
        </ext>
      </extLst>
    </bk>
    <bk>
      <extLst>
        <ext uri="{3e2802c4-a4d2-4d8b-9148-e3be6c30e623}">
          <xlrd:rvb i="20679"/>
        </ext>
      </extLst>
    </bk>
    <bk>
      <extLst>
        <ext uri="{3e2802c4-a4d2-4d8b-9148-e3be6c30e623}">
          <xlrd:rvb i="20680"/>
        </ext>
      </extLst>
    </bk>
    <bk>
      <extLst>
        <ext uri="{3e2802c4-a4d2-4d8b-9148-e3be6c30e623}">
          <xlrd:rvb i="20681"/>
        </ext>
      </extLst>
    </bk>
    <bk>
      <extLst>
        <ext uri="{3e2802c4-a4d2-4d8b-9148-e3be6c30e623}">
          <xlrd:rvb i="20682"/>
        </ext>
      </extLst>
    </bk>
    <bk>
      <extLst>
        <ext uri="{3e2802c4-a4d2-4d8b-9148-e3be6c30e623}">
          <xlrd:rvb i="20683"/>
        </ext>
      </extLst>
    </bk>
    <bk>
      <extLst>
        <ext uri="{3e2802c4-a4d2-4d8b-9148-e3be6c30e623}">
          <xlrd:rvb i="20684"/>
        </ext>
      </extLst>
    </bk>
    <bk>
      <extLst>
        <ext uri="{3e2802c4-a4d2-4d8b-9148-e3be6c30e623}">
          <xlrd:rvb i="20685"/>
        </ext>
      </extLst>
    </bk>
    <bk>
      <extLst>
        <ext uri="{3e2802c4-a4d2-4d8b-9148-e3be6c30e623}">
          <xlrd:rvb i="20686"/>
        </ext>
      </extLst>
    </bk>
    <bk>
      <extLst>
        <ext uri="{3e2802c4-a4d2-4d8b-9148-e3be6c30e623}">
          <xlrd:rvb i="20687"/>
        </ext>
      </extLst>
    </bk>
    <bk>
      <extLst>
        <ext uri="{3e2802c4-a4d2-4d8b-9148-e3be6c30e623}">
          <xlrd:rvb i="20688"/>
        </ext>
      </extLst>
    </bk>
    <bk>
      <extLst>
        <ext uri="{3e2802c4-a4d2-4d8b-9148-e3be6c30e623}">
          <xlrd:rvb i="20689"/>
        </ext>
      </extLst>
    </bk>
    <bk>
      <extLst>
        <ext uri="{3e2802c4-a4d2-4d8b-9148-e3be6c30e623}">
          <xlrd:rvb i="20690"/>
        </ext>
      </extLst>
    </bk>
    <bk>
      <extLst>
        <ext uri="{3e2802c4-a4d2-4d8b-9148-e3be6c30e623}">
          <xlrd:rvb i="20691"/>
        </ext>
      </extLst>
    </bk>
    <bk>
      <extLst>
        <ext uri="{3e2802c4-a4d2-4d8b-9148-e3be6c30e623}">
          <xlrd:rvb i="20692"/>
        </ext>
      </extLst>
    </bk>
    <bk>
      <extLst>
        <ext uri="{3e2802c4-a4d2-4d8b-9148-e3be6c30e623}">
          <xlrd:rvb i="20693"/>
        </ext>
      </extLst>
    </bk>
    <bk>
      <extLst>
        <ext uri="{3e2802c4-a4d2-4d8b-9148-e3be6c30e623}">
          <xlrd:rvb i="20694"/>
        </ext>
      </extLst>
    </bk>
    <bk>
      <extLst>
        <ext uri="{3e2802c4-a4d2-4d8b-9148-e3be6c30e623}">
          <xlrd:rvb i="20695"/>
        </ext>
      </extLst>
    </bk>
    <bk>
      <extLst>
        <ext uri="{3e2802c4-a4d2-4d8b-9148-e3be6c30e623}">
          <xlrd:rvb i="20696"/>
        </ext>
      </extLst>
    </bk>
    <bk>
      <extLst>
        <ext uri="{3e2802c4-a4d2-4d8b-9148-e3be6c30e623}">
          <xlrd:rvb i="20697"/>
        </ext>
      </extLst>
    </bk>
    <bk>
      <extLst>
        <ext uri="{3e2802c4-a4d2-4d8b-9148-e3be6c30e623}">
          <xlrd:rvb i="20698"/>
        </ext>
      </extLst>
    </bk>
    <bk>
      <extLst>
        <ext uri="{3e2802c4-a4d2-4d8b-9148-e3be6c30e623}">
          <xlrd:rvb i="20699"/>
        </ext>
      </extLst>
    </bk>
    <bk>
      <extLst>
        <ext uri="{3e2802c4-a4d2-4d8b-9148-e3be6c30e623}">
          <xlrd:rvb i="20700"/>
        </ext>
      </extLst>
    </bk>
    <bk>
      <extLst>
        <ext uri="{3e2802c4-a4d2-4d8b-9148-e3be6c30e623}">
          <xlrd:rvb i="20701"/>
        </ext>
      </extLst>
    </bk>
    <bk>
      <extLst>
        <ext uri="{3e2802c4-a4d2-4d8b-9148-e3be6c30e623}">
          <xlrd:rvb i="20702"/>
        </ext>
      </extLst>
    </bk>
    <bk>
      <extLst>
        <ext uri="{3e2802c4-a4d2-4d8b-9148-e3be6c30e623}">
          <xlrd:rvb i="20703"/>
        </ext>
      </extLst>
    </bk>
    <bk>
      <extLst>
        <ext uri="{3e2802c4-a4d2-4d8b-9148-e3be6c30e623}">
          <xlrd:rvb i="20704"/>
        </ext>
      </extLst>
    </bk>
    <bk>
      <extLst>
        <ext uri="{3e2802c4-a4d2-4d8b-9148-e3be6c30e623}">
          <xlrd:rvb i="20705"/>
        </ext>
      </extLst>
    </bk>
    <bk>
      <extLst>
        <ext uri="{3e2802c4-a4d2-4d8b-9148-e3be6c30e623}">
          <xlrd:rvb i="20706"/>
        </ext>
      </extLst>
    </bk>
    <bk>
      <extLst>
        <ext uri="{3e2802c4-a4d2-4d8b-9148-e3be6c30e623}">
          <xlrd:rvb i="20707"/>
        </ext>
      </extLst>
    </bk>
    <bk>
      <extLst>
        <ext uri="{3e2802c4-a4d2-4d8b-9148-e3be6c30e623}">
          <xlrd:rvb i="20708"/>
        </ext>
      </extLst>
    </bk>
    <bk>
      <extLst>
        <ext uri="{3e2802c4-a4d2-4d8b-9148-e3be6c30e623}">
          <xlrd:rvb i="20709"/>
        </ext>
      </extLst>
    </bk>
    <bk>
      <extLst>
        <ext uri="{3e2802c4-a4d2-4d8b-9148-e3be6c30e623}">
          <xlrd:rvb i="20710"/>
        </ext>
      </extLst>
    </bk>
    <bk>
      <extLst>
        <ext uri="{3e2802c4-a4d2-4d8b-9148-e3be6c30e623}">
          <xlrd:rvb i="20711"/>
        </ext>
      </extLst>
    </bk>
    <bk>
      <extLst>
        <ext uri="{3e2802c4-a4d2-4d8b-9148-e3be6c30e623}">
          <xlrd:rvb i="20712"/>
        </ext>
      </extLst>
    </bk>
    <bk>
      <extLst>
        <ext uri="{3e2802c4-a4d2-4d8b-9148-e3be6c30e623}">
          <xlrd:rvb i="20713"/>
        </ext>
      </extLst>
    </bk>
    <bk>
      <extLst>
        <ext uri="{3e2802c4-a4d2-4d8b-9148-e3be6c30e623}">
          <xlrd:rvb i="20714"/>
        </ext>
      </extLst>
    </bk>
    <bk>
      <extLst>
        <ext uri="{3e2802c4-a4d2-4d8b-9148-e3be6c30e623}">
          <xlrd:rvb i="20715"/>
        </ext>
      </extLst>
    </bk>
    <bk>
      <extLst>
        <ext uri="{3e2802c4-a4d2-4d8b-9148-e3be6c30e623}">
          <xlrd:rvb i="20716"/>
        </ext>
      </extLst>
    </bk>
    <bk>
      <extLst>
        <ext uri="{3e2802c4-a4d2-4d8b-9148-e3be6c30e623}">
          <xlrd:rvb i="20717"/>
        </ext>
      </extLst>
    </bk>
    <bk>
      <extLst>
        <ext uri="{3e2802c4-a4d2-4d8b-9148-e3be6c30e623}">
          <xlrd:rvb i="20718"/>
        </ext>
      </extLst>
    </bk>
    <bk>
      <extLst>
        <ext uri="{3e2802c4-a4d2-4d8b-9148-e3be6c30e623}">
          <xlrd:rvb i="20719"/>
        </ext>
      </extLst>
    </bk>
    <bk>
      <extLst>
        <ext uri="{3e2802c4-a4d2-4d8b-9148-e3be6c30e623}">
          <xlrd:rvb i="20720"/>
        </ext>
      </extLst>
    </bk>
    <bk>
      <extLst>
        <ext uri="{3e2802c4-a4d2-4d8b-9148-e3be6c30e623}">
          <xlrd:rvb i="20721"/>
        </ext>
      </extLst>
    </bk>
    <bk>
      <extLst>
        <ext uri="{3e2802c4-a4d2-4d8b-9148-e3be6c30e623}">
          <xlrd:rvb i="20722"/>
        </ext>
      </extLst>
    </bk>
    <bk>
      <extLst>
        <ext uri="{3e2802c4-a4d2-4d8b-9148-e3be6c30e623}">
          <xlrd:rvb i="20723"/>
        </ext>
      </extLst>
    </bk>
    <bk>
      <extLst>
        <ext uri="{3e2802c4-a4d2-4d8b-9148-e3be6c30e623}">
          <xlrd:rvb i="20724"/>
        </ext>
      </extLst>
    </bk>
    <bk>
      <extLst>
        <ext uri="{3e2802c4-a4d2-4d8b-9148-e3be6c30e623}">
          <xlrd:rvb i="20725"/>
        </ext>
      </extLst>
    </bk>
    <bk>
      <extLst>
        <ext uri="{3e2802c4-a4d2-4d8b-9148-e3be6c30e623}">
          <xlrd:rvb i="20726"/>
        </ext>
      </extLst>
    </bk>
    <bk>
      <extLst>
        <ext uri="{3e2802c4-a4d2-4d8b-9148-e3be6c30e623}">
          <xlrd:rvb i="20727"/>
        </ext>
      </extLst>
    </bk>
    <bk>
      <extLst>
        <ext uri="{3e2802c4-a4d2-4d8b-9148-e3be6c30e623}">
          <xlrd:rvb i="20728"/>
        </ext>
      </extLst>
    </bk>
    <bk>
      <extLst>
        <ext uri="{3e2802c4-a4d2-4d8b-9148-e3be6c30e623}">
          <xlrd:rvb i="20729"/>
        </ext>
      </extLst>
    </bk>
    <bk>
      <extLst>
        <ext uri="{3e2802c4-a4d2-4d8b-9148-e3be6c30e623}">
          <xlrd:rvb i="20730"/>
        </ext>
      </extLst>
    </bk>
    <bk>
      <extLst>
        <ext uri="{3e2802c4-a4d2-4d8b-9148-e3be6c30e623}">
          <xlrd:rvb i="20731"/>
        </ext>
      </extLst>
    </bk>
    <bk>
      <extLst>
        <ext uri="{3e2802c4-a4d2-4d8b-9148-e3be6c30e623}">
          <xlrd:rvb i="20732"/>
        </ext>
      </extLst>
    </bk>
    <bk>
      <extLst>
        <ext uri="{3e2802c4-a4d2-4d8b-9148-e3be6c30e623}">
          <xlrd:rvb i="20733"/>
        </ext>
      </extLst>
    </bk>
    <bk>
      <extLst>
        <ext uri="{3e2802c4-a4d2-4d8b-9148-e3be6c30e623}">
          <xlrd:rvb i="20734"/>
        </ext>
      </extLst>
    </bk>
    <bk>
      <extLst>
        <ext uri="{3e2802c4-a4d2-4d8b-9148-e3be6c30e623}">
          <xlrd:rvb i="20735"/>
        </ext>
      </extLst>
    </bk>
    <bk>
      <extLst>
        <ext uri="{3e2802c4-a4d2-4d8b-9148-e3be6c30e623}">
          <xlrd:rvb i="20736"/>
        </ext>
      </extLst>
    </bk>
    <bk>
      <extLst>
        <ext uri="{3e2802c4-a4d2-4d8b-9148-e3be6c30e623}">
          <xlrd:rvb i="20737"/>
        </ext>
      </extLst>
    </bk>
    <bk>
      <extLst>
        <ext uri="{3e2802c4-a4d2-4d8b-9148-e3be6c30e623}">
          <xlrd:rvb i="20738"/>
        </ext>
      </extLst>
    </bk>
    <bk>
      <extLst>
        <ext uri="{3e2802c4-a4d2-4d8b-9148-e3be6c30e623}">
          <xlrd:rvb i="20739"/>
        </ext>
      </extLst>
    </bk>
    <bk>
      <extLst>
        <ext uri="{3e2802c4-a4d2-4d8b-9148-e3be6c30e623}">
          <xlrd:rvb i="20740"/>
        </ext>
      </extLst>
    </bk>
    <bk>
      <extLst>
        <ext uri="{3e2802c4-a4d2-4d8b-9148-e3be6c30e623}">
          <xlrd:rvb i="20741"/>
        </ext>
      </extLst>
    </bk>
    <bk>
      <extLst>
        <ext uri="{3e2802c4-a4d2-4d8b-9148-e3be6c30e623}">
          <xlrd:rvb i="20742"/>
        </ext>
      </extLst>
    </bk>
    <bk>
      <extLst>
        <ext uri="{3e2802c4-a4d2-4d8b-9148-e3be6c30e623}">
          <xlrd:rvb i="20743"/>
        </ext>
      </extLst>
    </bk>
    <bk>
      <extLst>
        <ext uri="{3e2802c4-a4d2-4d8b-9148-e3be6c30e623}">
          <xlrd:rvb i="20744"/>
        </ext>
      </extLst>
    </bk>
    <bk>
      <extLst>
        <ext uri="{3e2802c4-a4d2-4d8b-9148-e3be6c30e623}">
          <xlrd:rvb i="20745"/>
        </ext>
      </extLst>
    </bk>
    <bk>
      <extLst>
        <ext uri="{3e2802c4-a4d2-4d8b-9148-e3be6c30e623}">
          <xlrd:rvb i="20746"/>
        </ext>
      </extLst>
    </bk>
    <bk>
      <extLst>
        <ext uri="{3e2802c4-a4d2-4d8b-9148-e3be6c30e623}">
          <xlrd:rvb i="20747"/>
        </ext>
      </extLst>
    </bk>
    <bk>
      <extLst>
        <ext uri="{3e2802c4-a4d2-4d8b-9148-e3be6c30e623}">
          <xlrd:rvb i="20748"/>
        </ext>
      </extLst>
    </bk>
    <bk>
      <extLst>
        <ext uri="{3e2802c4-a4d2-4d8b-9148-e3be6c30e623}">
          <xlrd:rvb i="20749"/>
        </ext>
      </extLst>
    </bk>
    <bk>
      <extLst>
        <ext uri="{3e2802c4-a4d2-4d8b-9148-e3be6c30e623}">
          <xlrd:rvb i="20750"/>
        </ext>
      </extLst>
    </bk>
    <bk>
      <extLst>
        <ext uri="{3e2802c4-a4d2-4d8b-9148-e3be6c30e623}">
          <xlrd:rvb i="20751"/>
        </ext>
      </extLst>
    </bk>
    <bk>
      <extLst>
        <ext uri="{3e2802c4-a4d2-4d8b-9148-e3be6c30e623}">
          <xlrd:rvb i="20752"/>
        </ext>
      </extLst>
    </bk>
    <bk>
      <extLst>
        <ext uri="{3e2802c4-a4d2-4d8b-9148-e3be6c30e623}">
          <xlrd:rvb i="20753"/>
        </ext>
      </extLst>
    </bk>
    <bk>
      <extLst>
        <ext uri="{3e2802c4-a4d2-4d8b-9148-e3be6c30e623}">
          <xlrd:rvb i="20754"/>
        </ext>
      </extLst>
    </bk>
    <bk>
      <extLst>
        <ext uri="{3e2802c4-a4d2-4d8b-9148-e3be6c30e623}">
          <xlrd:rvb i="20755"/>
        </ext>
      </extLst>
    </bk>
    <bk>
      <extLst>
        <ext uri="{3e2802c4-a4d2-4d8b-9148-e3be6c30e623}">
          <xlrd:rvb i="20756"/>
        </ext>
      </extLst>
    </bk>
    <bk>
      <extLst>
        <ext uri="{3e2802c4-a4d2-4d8b-9148-e3be6c30e623}">
          <xlrd:rvb i="20757"/>
        </ext>
      </extLst>
    </bk>
    <bk>
      <extLst>
        <ext uri="{3e2802c4-a4d2-4d8b-9148-e3be6c30e623}">
          <xlrd:rvb i="20758"/>
        </ext>
      </extLst>
    </bk>
    <bk>
      <extLst>
        <ext uri="{3e2802c4-a4d2-4d8b-9148-e3be6c30e623}">
          <xlrd:rvb i="20759"/>
        </ext>
      </extLst>
    </bk>
    <bk>
      <extLst>
        <ext uri="{3e2802c4-a4d2-4d8b-9148-e3be6c30e623}">
          <xlrd:rvb i="20760"/>
        </ext>
      </extLst>
    </bk>
    <bk>
      <extLst>
        <ext uri="{3e2802c4-a4d2-4d8b-9148-e3be6c30e623}">
          <xlrd:rvb i="20761"/>
        </ext>
      </extLst>
    </bk>
    <bk>
      <extLst>
        <ext uri="{3e2802c4-a4d2-4d8b-9148-e3be6c30e623}">
          <xlrd:rvb i="20762"/>
        </ext>
      </extLst>
    </bk>
    <bk>
      <extLst>
        <ext uri="{3e2802c4-a4d2-4d8b-9148-e3be6c30e623}">
          <xlrd:rvb i="20763"/>
        </ext>
      </extLst>
    </bk>
    <bk>
      <extLst>
        <ext uri="{3e2802c4-a4d2-4d8b-9148-e3be6c30e623}">
          <xlrd:rvb i="20764"/>
        </ext>
      </extLst>
    </bk>
    <bk>
      <extLst>
        <ext uri="{3e2802c4-a4d2-4d8b-9148-e3be6c30e623}">
          <xlrd:rvb i="20765"/>
        </ext>
      </extLst>
    </bk>
    <bk>
      <extLst>
        <ext uri="{3e2802c4-a4d2-4d8b-9148-e3be6c30e623}">
          <xlrd:rvb i="20766"/>
        </ext>
      </extLst>
    </bk>
    <bk>
      <extLst>
        <ext uri="{3e2802c4-a4d2-4d8b-9148-e3be6c30e623}">
          <xlrd:rvb i="20767"/>
        </ext>
      </extLst>
    </bk>
    <bk>
      <extLst>
        <ext uri="{3e2802c4-a4d2-4d8b-9148-e3be6c30e623}">
          <xlrd:rvb i="20768"/>
        </ext>
      </extLst>
    </bk>
    <bk>
      <extLst>
        <ext uri="{3e2802c4-a4d2-4d8b-9148-e3be6c30e623}">
          <xlrd:rvb i="20769"/>
        </ext>
      </extLst>
    </bk>
    <bk>
      <extLst>
        <ext uri="{3e2802c4-a4d2-4d8b-9148-e3be6c30e623}">
          <xlrd:rvb i="20770"/>
        </ext>
      </extLst>
    </bk>
    <bk>
      <extLst>
        <ext uri="{3e2802c4-a4d2-4d8b-9148-e3be6c30e623}">
          <xlrd:rvb i="20771"/>
        </ext>
      </extLst>
    </bk>
    <bk>
      <extLst>
        <ext uri="{3e2802c4-a4d2-4d8b-9148-e3be6c30e623}">
          <xlrd:rvb i="20772"/>
        </ext>
      </extLst>
    </bk>
    <bk>
      <extLst>
        <ext uri="{3e2802c4-a4d2-4d8b-9148-e3be6c30e623}">
          <xlrd:rvb i="20773"/>
        </ext>
      </extLst>
    </bk>
    <bk>
      <extLst>
        <ext uri="{3e2802c4-a4d2-4d8b-9148-e3be6c30e623}">
          <xlrd:rvb i="20774"/>
        </ext>
      </extLst>
    </bk>
    <bk>
      <extLst>
        <ext uri="{3e2802c4-a4d2-4d8b-9148-e3be6c30e623}">
          <xlrd:rvb i="20775"/>
        </ext>
      </extLst>
    </bk>
    <bk>
      <extLst>
        <ext uri="{3e2802c4-a4d2-4d8b-9148-e3be6c30e623}">
          <xlrd:rvb i="20776"/>
        </ext>
      </extLst>
    </bk>
    <bk>
      <extLst>
        <ext uri="{3e2802c4-a4d2-4d8b-9148-e3be6c30e623}">
          <xlrd:rvb i="20777"/>
        </ext>
      </extLst>
    </bk>
    <bk>
      <extLst>
        <ext uri="{3e2802c4-a4d2-4d8b-9148-e3be6c30e623}">
          <xlrd:rvb i="20778"/>
        </ext>
      </extLst>
    </bk>
    <bk>
      <extLst>
        <ext uri="{3e2802c4-a4d2-4d8b-9148-e3be6c30e623}">
          <xlrd:rvb i="20779"/>
        </ext>
      </extLst>
    </bk>
    <bk>
      <extLst>
        <ext uri="{3e2802c4-a4d2-4d8b-9148-e3be6c30e623}">
          <xlrd:rvb i="20780"/>
        </ext>
      </extLst>
    </bk>
    <bk>
      <extLst>
        <ext uri="{3e2802c4-a4d2-4d8b-9148-e3be6c30e623}">
          <xlrd:rvb i="20781"/>
        </ext>
      </extLst>
    </bk>
    <bk>
      <extLst>
        <ext uri="{3e2802c4-a4d2-4d8b-9148-e3be6c30e623}">
          <xlrd:rvb i="20782"/>
        </ext>
      </extLst>
    </bk>
    <bk>
      <extLst>
        <ext uri="{3e2802c4-a4d2-4d8b-9148-e3be6c30e623}">
          <xlrd:rvb i="20783"/>
        </ext>
      </extLst>
    </bk>
    <bk>
      <extLst>
        <ext uri="{3e2802c4-a4d2-4d8b-9148-e3be6c30e623}">
          <xlrd:rvb i="20784"/>
        </ext>
      </extLst>
    </bk>
    <bk>
      <extLst>
        <ext uri="{3e2802c4-a4d2-4d8b-9148-e3be6c30e623}">
          <xlrd:rvb i="20785"/>
        </ext>
      </extLst>
    </bk>
    <bk>
      <extLst>
        <ext uri="{3e2802c4-a4d2-4d8b-9148-e3be6c30e623}">
          <xlrd:rvb i="20786"/>
        </ext>
      </extLst>
    </bk>
    <bk>
      <extLst>
        <ext uri="{3e2802c4-a4d2-4d8b-9148-e3be6c30e623}">
          <xlrd:rvb i="20787"/>
        </ext>
      </extLst>
    </bk>
    <bk>
      <extLst>
        <ext uri="{3e2802c4-a4d2-4d8b-9148-e3be6c30e623}">
          <xlrd:rvb i="20788"/>
        </ext>
      </extLst>
    </bk>
    <bk>
      <extLst>
        <ext uri="{3e2802c4-a4d2-4d8b-9148-e3be6c30e623}">
          <xlrd:rvb i="20789"/>
        </ext>
      </extLst>
    </bk>
    <bk>
      <extLst>
        <ext uri="{3e2802c4-a4d2-4d8b-9148-e3be6c30e623}">
          <xlrd:rvb i="20790"/>
        </ext>
      </extLst>
    </bk>
    <bk>
      <extLst>
        <ext uri="{3e2802c4-a4d2-4d8b-9148-e3be6c30e623}">
          <xlrd:rvb i="20791"/>
        </ext>
      </extLst>
    </bk>
    <bk>
      <extLst>
        <ext uri="{3e2802c4-a4d2-4d8b-9148-e3be6c30e623}">
          <xlrd:rvb i="20792"/>
        </ext>
      </extLst>
    </bk>
    <bk>
      <extLst>
        <ext uri="{3e2802c4-a4d2-4d8b-9148-e3be6c30e623}">
          <xlrd:rvb i="20793"/>
        </ext>
      </extLst>
    </bk>
    <bk>
      <extLst>
        <ext uri="{3e2802c4-a4d2-4d8b-9148-e3be6c30e623}">
          <xlrd:rvb i="20794"/>
        </ext>
      </extLst>
    </bk>
    <bk>
      <extLst>
        <ext uri="{3e2802c4-a4d2-4d8b-9148-e3be6c30e623}">
          <xlrd:rvb i="20795"/>
        </ext>
      </extLst>
    </bk>
    <bk>
      <extLst>
        <ext uri="{3e2802c4-a4d2-4d8b-9148-e3be6c30e623}">
          <xlrd:rvb i="20796"/>
        </ext>
      </extLst>
    </bk>
    <bk>
      <extLst>
        <ext uri="{3e2802c4-a4d2-4d8b-9148-e3be6c30e623}">
          <xlrd:rvb i="20797"/>
        </ext>
      </extLst>
    </bk>
    <bk>
      <extLst>
        <ext uri="{3e2802c4-a4d2-4d8b-9148-e3be6c30e623}">
          <xlrd:rvb i="20798"/>
        </ext>
      </extLst>
    </bk>
    <bk>
      <extLst>
        <ext uri="{3e2802c4-a4d2-4d8b-9148-e3be6c30e623}">
          <xlrd:rvb i="20799"/>
        </ext>
      </extLst>
    </bk>
    <bk>
      <extLst>
        <ext uri="{3e2802c4-a4d2-4d8b-9148-e3be6c30e623}">
          <xlrd:rvb i="20800"/>
        </ext>
      </extLst>
    </bk>
    <bk>
      <extLst>
        <ext uri="{3e2802c4-a4d2-4d8b-9148-e3be6c30e623}">
          <xlrd:rvb i="20801"/>
        </ext>
      </extLst>
    </bk>
    <bk>
      <extLst>
        <ext uri="{3e2802c4-a4d2-4d8b-9148-e3be6c30e623}">
          <xlrd:rvb i="20802"/>
        </ext>
      </extLst>
    </bk>
    <bk>
      <extLst>
        <ext uri="{3e2802c4-a4d2-4d8b-9148-e3be6c30e623}">
          <xlrd:rvb i="20803"/>
        </ext>
      </extLst>
    </bk>
    <bk>
      <extLst>
        <ext uri="{3e2802c4-a4d2-4d8b-9148-e3be6c30e623}">
          <xlrd:rvb i="20804"/>
        </ext>
      </extLst>
    </bk>
    <bk>
      <extLst>
        <ext uri="{3e2802c4-a4d2-4d8b-9148-e3be6c30e623}">
          <xlrd:rvb i="20805"/>
        </ext>
      </extLst>
    </bk>
    <bk>
      <extLst>
        <ext uri="{3e2802c4-a4d2-4d8b-9148-e3be6c30e623}">
          <xlrd:rvb i="20806"/>
        </ext>
      </extLst>
    </bk>
    <bk>
      <extLst>
        <ext uri="{3e2802c4-a4d2-4d8b-9148-e3be6c30e623}">
          <xlrd:rvb i="20807"/>
        </ext>
      </extLst>
    </bk>
    <bk>
      <extLst>
        <ext uri="{3e2802c4-a4d2-4d8b-9148-e3be6c30e623}">
          <xlrd:rvb i="20808"/>
        </ext>
      </extLst>
    </bk>
    <bk>
      <extLst>
        <ext uri="{3e2802c4-a4d2-4d8b-9148-e3be6c30e623}">
          <xlrd:rvb i="20809"/>
        </ext>
      </extLst>
    </bk>
    <bk>
      <extLst>
        <ext uri="{3e2802c4-a4d2-4d8b-9148-e3be6c30e623}">
          <xlrd:rvb i="20810"/>
        </ext>
      </extLst>
    </bk>
    <bk>
      <extLst>
        <ext uri="{3e2802c4-a4d2-4d8b-9148-e3be6c30e623}">
          <xlrd:rvb i="20811"/>
        </ext>
      </extLst>
    </bk>
    <bk>
      <extLst>
        <ext uri="{3e2802c4-a4d2-4d8b-9148-e3be6c30e623}">
          <xlrd:rvb i="20812"/>
        </ext>
      </extLst>
    </bk>
    <bk>
      <extLst>
        <ext uri="{3e2802c4-a4d2-4d8b-9148-e3be6c30e623}">
          <xlrd:rvb i="20813"/>
        </ext>
      </extLst>
    </bk>
    <bk>
      <extLst>
        <ext uri="{3e2802c4-a4d2-4d8b-9148-e3be6c30e623}">
          <xlrd:rvb i="20814"/>
        </ext>
      </extLst>
    </bk>
    <bk>
      <extLst>
        <ext uri="{3e2802c4-a4d2-4d8b-9148-e3be6c30e623}">
          <xlrd:rvb i="20815"/>
        </ext>
      </extLst>
    </bk>
    <bk>
      <extLst>
        <ext uri="{3e2802c4-a4d2-4d8b-9148-e3be6c30e623}">
          <xlrd:rvb i="20816"/>
        </ext>
      </extLst>
    </bk>
    <bk>
      <extLst>
        <ext uri="{3e2802c4-a4d2-4d8b-9148-e3be6c30e623}">
          <xlrd:rvb i="20817"/>
        </ext>
      </extLst>
    </bk>
    <bk>
      <extLst>
        <ext uri="{3e2802c4-a4d2-4d8b-9148-e3be6c30e623}">
          <xlrd:rvb i="20818"/>
        </ext>
      </extLst>
    </bk>
    <bk>
      <extLst>
        <ext uri="{3e2802c4-a4d2-4d8b-9148-e3be6c30e623}">
          <xlrd:rvb i="20819"/>
        </ext>
      </extLst>
    </bk>
    <bk>
      <extLst>
        <ext uri="{3e2802c4-a4d2-4d8b-9148-e3be6c30e623}">
          <xlrd:rvb i="20820"/>
        </ext>
      </extLst>
    </bk>
    <bk>
      <extLst>
        <ext uri="{3e2802c4-a4d2-4d8b-9148-e3be6c30e623}">
          <xlrd:rvb i="20821"/>
        </ext>
      </extLst>
    </bk>
    <bk>
      <extLst>
        <ext uri="{3e2802c4-a4d2-4d8b-9148-e3be6c30e623}">
          <xlrd:rvb i="20822"/>
        </ext>
      </extLst>
    </bk>
    <bk>
      <extLst>
        <ext uri="{3e2802c4-a4d2-4d8b-9148-e3be6c30e623}">
          <xlrd:rvb i="20823"/>
        </ext>
      </extLst>
    </bk>
    <bk>
      <extLst>
        <ext uri="{3e2802c4-a4d2-4d8b-9148-e3be6c30e623}">
          <xlrd:rvb i="20824"/>
        </ext>
      </extLst>
    </bk>
    <bk>
      <extLst>
        <ext uri="{3e2802c4-a4d2-4d8b-9148-e3be6c30e623}">
          <xlrd:rvb i="20825"/>
        </ext>
      </extLst>
    </bk>
    <bk>
      <extLst>
        <ext uri="{3e2802c4-a4d2-4d8b-9148-e3be6c30e623}">
          <xlrd:rvb i="20826"/>
        </ext>
      </extLst>
    </bk>
    <bk>
      <extLst>
        <ext uri="{3e2802c4-a4d2-4d8b-9148-e3be6c30e623}">
          <xlrd:rvb i="20827"/>
        </ext>
      </extLst>
    </bk>
    <bk>
      <extLst>
        <ext uri="{3e2802c4-a4d2-4d8b-9148-e3be6c30e623}">
          <xlrd:rvb i="20828"/>
        </ext>
      </extLst>
    </bk>
    <bk>
      <extLst>
        <ext uri="{3e2802c4-a4d2-4d8b-9148-e3be6c30e623}">
          <xlrd:rvb i="20829"/>
        </ext>
      </extLst>
    </bk>
    <bk>
      <extLst>
        <ext uri="{3e2802c4-a4d2-4d8b-9148-e3be6c30e623}">
          <xlrd:rvb i="20830"/>
        </ext>
      </extLst>
    </bk>
    <bk>
      <extLst>
        <ext uri="{3e2802c4-a4d2-4d8b-9148-e3be6c30e623}">
          <xlrd:rvb i="20831"/>
        </ext>
      </extLst>
    </bk>
    <bk>
      <extLst>
        <ext uri="{3e2802c4-a4d2-4d8b-9148-e3be6c30e623}">
          <xlrd:rvb i="20832"/>
        </ext>
      </extLst>
    </bk>
    <bk>
      <extLst>
        <ext uri="{3e2802c4-a4d2-4d8b-9148-e3be6c30e623}">
          <xlrd:rvb i="20833"/>
        </ext>
      </extLst>
    </bk>
    <bk>
      <extLst>
        <ext uri="{3e2802c4-a4d2-4d8b-9148-e3be6c30e623}">
          <xlrd:rvb i="20834"/>
        </ext>
      </extLst>
    </bk>
    <bk>
      <extLst>
        <ext uri="{3e2802c4-a4d2-4d8b-9148-e3be6c30e623}">
          <xlrd:rvb i="20835"/>
        </ext>
      </extLst>
    </bk>
    <bk>
      <extLst>
        <ext uri="{3e2802c4-a4d2-4d8b-9148-e3be6c30e623}">
          <xlrd:rvb i="20836"/>
        </ext>
      </extLst>
    </bk>
    <bk>
      <extLst>
        <ext uri="{3e2802c4-a4d2-4d8b-9148-e3be6c30e623}">
          <xlrd:rvb i="20837"/>
        </ext>
      </extLst>
    </bk>
    <bk>
      <extLst>
        <ext uri="{3e2802c4-a4d2-4d8b-9148-e3be6c30e623}">
          <xlrd:rvb i="20838"/>
        </ext>
      </extLst>
    </bk>
    <bk>
      <extLst>
        <ext uri="{3e2802c4-a4d2-4d8b-9148-e3be6c30e623}">
          <xlrd:rvb i="20839"/>
        </ext>
      </extLst>
    </bk>
    <bk>
      <extLst>
        <ext uri="{3e2802c4-a4d2-4d8b-9148-e3be6c30e623}">
          <xlrd:rvb i="20840"/>
        </ext>
      </extLst>
    </bk>
    <bk>
      <extLst>
        <ext uri="{3e2802c4-a4d2-4d8b-9148-e3be6c30e623}">
          <xlrd:rvb i="20841"/>
        </ext>
      </extLst>
    </bk>
    <bk>
      <extLst>
        <ext uri="{3e2802c4-a4d2-4d8b-9148-e3be6c30e623}">
          <xlrd:rvb i="20842"/>
        </ext>
      </extLst>
    </bk>
    <bk>
      <extLst>
        <ext uri="{3e2802c4-a4d2-4d8b-9148-e3be6c30e623}">
          <xlrd:rvb i="20843"/>
        </ext>
      </extLst>
    </bk>
    <bk>
      <extLst>
        <ext uri="{3e2802c4-a4d2-4d8b-9148-e3be6c30e623}">
          <xlrd:rvb i="20844"/>
        </ext>
      </extLst>
    </bk>
    <bk>
      <extLst>
        <ext uri="{3e2802c4-a4d2-4d8b-9148-e3be6c30e623}">
          <xlrd:rvb i="20845"/>
        </ext>
      </extLst>
    </bk>
    <bk>
      <extLst>
        <ext uri="{3e2802c4-a4d2-4d8b-9148-e3be6c30e623}">
          <xlrd:rvb i="20846"/>
        </ext>
      </extLst>
    </bk>
    <bk>
      <extLst>
        <ext uri="{3e2802c4-a4d2-4d8b-9148-e3be6c30e623}">
          <xlrd:rvb i="20847"/>
        </ext>
      </extLst>
    </bk>
    <bk>
      <extLst>
        <ext uri="{3e2802c4-a4d2-4d8b-9148-e3be6c30e623}">
          <xlrd:rvb i="20848"/>
        </ext>
      </extLst>
    </bk>
    <bk>
      <extLst>
        <ext uri="{3e2802c4-a4d2-4d8b-9148-e3be6c30e623}">
          <xlrd:rvb i="20849"/>
        </ext>
      </extLst>
    </bk>
    <bk>
      <extLst>
        <ext uri="{3e2802c4-a4d2-4d8b-9148-e3be6c30e623}">
          <xlrd:rvb i="20850"/>
        </ext>
      </extLst>
    </bk>
    <bk>
      <extLst>
        <ext uri="{3e2802c4-a4d2-4d8b-9148-e3be6c30e623}">
          <xlrd:rvb i="20851"/>
        </ext>
      </extLst>
    </bk>
    <bk>
      <extLst>
        <ext uri="{3e2802c4-a4d2-4d8b-9148-e3be6c30e623}">
          <xlrd:rvb i="20852"/>
        </ext>
      </extLst>
    </bk>
    <bk>
      <extLst>
        <ext uri="{3e2802c4-a4d2-4d8b-9148-e3be6c30e623}">
          <xlrd:rvb i="20853"/>
        </ext>
      </extLst>
    </bk>
    <bk>
      <extLst>
        <ext uri="{3e2802c4-a4d2-4d8b-9148-e3be6c30e623}">
          <xlrd:rvb i="20854"/>
        </ext>
      </extLst>
    </bk>
    <bk>
      <extLst>
        <ext uri="{3e2802c4-a4d2-4d8b-9148-e3be6c30e623}">
          <xlrd:rvb i="20855"/>
        </ext>
      </extLst>
    </bk>
    <bk>
      <extLst>
        <ext uri="{3e2802c4-a4d2-4d8b-9148-e3be6c30e623}">
          <xlrd:rvb i="20856"/>
        </ext>
      </extLst>
    </bk>
    <bk>
      <extLst>
        <ext uri="{3e2802c4-a4d2-4d8b-9148-e3be6c30e623}">
          <xlrd:rvb i="20857"/>
        </ext>
      </extLst>
    </bk>
    <bk>
      <extLst>
        <ext uri="{3e2802c4-a4d2-4d8b-9148-e3be6c30e623}">
          <xlrd:rvb i="20858"/>
        </ext>
      </extLst>
    </bk>
    <bk>
      <extLst>
        <ext uri="{3e2802c4-a4d2-4d8b-9148-e3be6c30e623}">
          <xlrd:rvb i="20859"/>
        </ext>
      </extLst>
    </bk>
    <bk>
      <extLst>
        <ext uri="{3e2802c4-a4d2-4d8b-9148-e3be6c30e623}">
          <xlrd:rvb i="20860"/>
        </ext>
      </extLst>
    </bk>
    <bk>
      <extLst>
        <ext uri="{3e2802c4-a4d2-4d8b-9148-e3be6c30e623}">
          <xlrd:rvb i="20861"/>
        </ext>
      </extLst>
    </bk>
    <bk>
      <extLst>
        <ext uri="{3e2802c4-a4d2-4d8b-9148-e3be6c30e623}">
          <xlrd:rvb i="20862"/>
        </ext>
      </extLst>
    </bk>
    <bk>
      <extLst>
        <ext uri="{3e2802c4-a4d2-4d8b-9148-e3be6c30e623}">
          <xlrd:rvb i="20863"/>
        </ext>
      </extLst>
    </bk>
    <bk>
      <extLst>
        <ext uri="{3e2802c4-a4d2-4d8b-9148-e3be6c30e623}">
          <xlrd:rvb i="20864"/>
        </ext>
      </extLst>
    </bk>
    <bk>
      <extLst>
        <ext uri="{3e2802c4-a4d2-4d8b-9148-e3be6c30e623}">
          <xlrd:rvb i="20865"/>
        </ext>
      </extLst>
    </bk>
    <bk>
      <extLst>
        <ext uri="{3e2802c4-a4d2-4d8b-9148-e3be6c30e623}">
          <xlrd:rvb i="20866"/>
        </ext>
      </extLst>
    </bk>
    <bk>
      <extLst>
        <ext uri="{3e2802c4-a4d2-4d8b-9148-e3be6c30e623}">
          <xlrd:rvb i="20867"/>
        </ext>
      </extLst>
    </bk>
    <bk>
      <extLst>
        <ext uri="{3e2802c4-a4d2-4d8b-9148-e3be6c30e623}">
          <xlrd:rvb i="20868"/>
        </ext>
      </extLst>
    </bk>
    <bk>
      <extLst>
        <ext uri="{3e2802c4-a4d2-4d8b-9148-e3be6c30e623}">
          <xlrd:rvb i="20869"/>
        </ext>
      </extLst>
    </bk>
    <bk>
      <extLst>
        <ext uri="{3e2802c4-a4d2-4d8b-9148-e3be6c30e623}">
          <xlrd:rvb i="20870"/>
        </ext>
      </extLst>
    </bk>
    <bk>
      <extLst>
        <ext uri="{3e2802c4-a4d2-4d8b-9148-e3be6c30e623}">
          <xlrd:rvb i="20871"/>
        </ext>
      </extLst>
    </bk>
    <bk>
      <extLst>
        <ext uri="{3e2802c4-a4d2-4d8b-9148-e3be6c30e623}">
          <xlrd:rvb i="20872"/>
        </ext>
      </extLst>
    </bk>
    <bk>
      <extLst>
        <ext uri="{3e2802c4-a4d2-4d8b-9148-e3be6c30e623}">
          <xlrd:rvb i="20873"/>
        </ext>
      </extLst>
    </bk>
    <bk>
      <extLst>
        <ext uri="{3e2802c4-a4d2-4d8b-9148-e3be6c30e623}">
          <xlrd:rvb i="20874"/>
        </ext>
      </extLst>
    </bk>
    <bk>
      <extLst>
        <ext uri="{3e2802c4-a4d2-4d8b-9148-e3be6c30e623}">
          <xlrd:rvb i="20875"/>
        </ext>
      </extLst>
    </bk>
    <bk>
      <extLst>
        <ext uri="{3e2802c4-a4d2-4d8b-9148-e3be6c30e623}">
          <xlrd:rvb i="20876"/>
        </ext>
      </extLst>
    </bk>
    <bk>
      <extLst>
        <ext uri="{3e2802c4-a4d2-4d8b-9148-e3be6c30e623}">
          <xlrd:rvb i="20877"/>
        </ext>
      </extLst>
    </bk>
    <bk>
      <extLst>
        <ext uri="{3e2802c4-a4d2-4d8b-9148-e3be6c30e623}">
          <xlrd:rvb i="20878"/>
        </ext>
      </extLst>
    </bk>
    <bk>
      <extLst>
        <ext uri="{3e2802c4-a4d2-4d8b-9148-e3be6c30e623}">
          <xlrd:rvb i="20879"/>
        </ext>
      </extLst>
    </bk>
    <bk>
      <extLst>
        <ext uri="{3e2802c4-a4d2-4d8b-9148-e3be6c30e623}">
          <xlrd:rvb i="20880"/>
        </ext>
      </extLst>
    </bk>
    <bk>
      <extLst>
        <ext uri="{3e2802c4-a4d2-4d8b-9148-e3be6c30e623}">
          <xlrd:rvb i="20881"/>
        </ext>
      </extLst>
    </bk>
    <bk>
      <extLst>
        <ext uri="{3e2802c4-a4d2-4d8b-9148-e3be6c30e623}">
          <xlrd:rvb i="20882"/>
        </ext>
      </extLst>
    </bk>
    <bk>
      <extLst>
        <ext uri="{3e2802c4-a4d2-4d8b-9148-e3be6c30e623}">
          <xlrd:rvb i="20883"/>
        </ext>
      </extLst>
    </bk>
    <bk>
      <extLst>
        <ext uri="{3e2802c4-a4d2-4d8b-9148-e3be6c30e623}">
          <xlrd:rvb i="20884"/>
        </ext>
      </extLst>
    </bk>
    <bk>
      <extLst>
        <ext uri="{3e2802c4-a4d2-4d8b-9148-e3be6c30e623}">
          <xlrd:rvb i="20885"/>
        </ext>
      </extLst>
    </bk>
    <bk>
      <extLst>
        <ext uri="{3e2802c4-a4d2-4d8b-9148-e3be6c30e623}">
          <xlrd:rvb i="20886"/>
        </ext>
      </extLst>
    </bk>
    <bk>
      <extLst>
        <ext uri="{3e2802c4-a4d2-4d8b-9148-e3be6c30e623}">
          <xlrd:rvb i="20887"/>
        </ext>
      </extLst>
    </bk>
    <bk>
      <extLst>
        <ext uri="{3e2802c4-a4d2-4d8b-9148-e3be6c30e623}">
          <xlrd:rvb i="20888"/>
        </ext>
      </extLst>
    </bk>
    <bk>
      <extLst>
        <ext uri="{3e2802c4-a4d2-4d8b-9148-e3be6c30e623}">
          <xlrd:rvb i="20889"/>
        </ext>
      </extLst>
    </bk>
    <bk>
      <extLst>
        <ext uri="{3e2802c4-a4d2-4d8b-9148-e3be6c30e623}">
          <xlrd:rvb i="20890"/>
        </ext>
      </extLst>
    </bk>
    <bk>
      <extLst>
        <ext uri="{3e2802c4-a4d2-4d8b-9148-e3be6c30e623}">
          <xlrd:rvb i="20891"/>
        </ext>
      </extLst>
    </bk>
    <bk>
      <extLst>
        <ext uri="{3e2802c4-a4d2-4d8b-9148-e3be6c30e623}">
          <xlrd:rvb i="20892"/>
        </ext>
      </extLst>
    </bk>
    <bk>
      <extLst>
        <ext uri="{3e2802c4-a4d2-4d8b-9148-e3be6c30e623}">
          <xlrd:rvb i="20893"/>
        </ext>
      </extLst>
    </bk>
    <bk>
      <extLst>
        <ext uri="{3e2802c4-a4d2-4d8b-9148-e3be6c30e623}">
          <xlrd:rvb i="20894"/>
        </ext>
      </extLst>
    </bk>
    <bk>
      <extLst>
        <ext uri="{3e2802c4-a4d2-4d8b-9148-e3be6c30e623}">
          <xlrd:rvb i="20895"/>
        </ext>
      </extLst>
    </bk>
    <bk>
      <extLst>
        <ext uri="{3e2802c4-a4d2-4d8b-9148-e3be6c30e623}">
          <xlrd:rvb i="20896"/>
        </ext>
      </extLst>
    </bk>
    <bk>
      <extLst>
        <ext uri="{3e2802c4-a4d2-4d8b-9148-e3be6c30e623}">
          <xlrd:rvb i="20897"/>
        </ext>
      </extLst>
    </bk>
    <bk>
      <extLst>
        <ext uri="{3e2802c4-a4d2-4d8b-9148-e3be6c30e623}">
          <xlrd:rvb i="20898"/>
        </ext>
      </extLst>
    </bk>
    <bk>
      <extLst>
        <ext uri="{3e2802c4-a4d2-4d8b-9148-e3be6c30e623}">
          <xlrd:rvb i="20899"/>
        </ext>
      </extLst>
    </bk>
    <bk>
      <extLst>
        <ext uri="{3e2802c4-a4d2-4d8b-9148-e3be6c30e623}">
          <xlrd:rvb i="20900"/>
        </ext>
      </extLst>
    </bk>
    <bk>
      <extLst>
        <ext uri="{3e2802c4-a4d2-4d8b-9148-e3be6c30e623}">
          <xlrd:rvb i="20901"/>
        </ext>
      </extLst>
    </bk>
    <bk>
      <extLst>
        <ext uri="{3e2802c4-a4d2-4d8b-9148-e3be6c30e623}">
          <xlrd:rvb i="20902"/>
        </ext>
      </extLst>
    </bk>
    <bk>
      <extLst>
        <ext uri="{3e2802c4-a4d2-4d8b-9148-e3be6c30e623}">
          <xlrd:rvb i="20903"/>
        </ext>
      </extLst>
    </bk>
    <bk>
      <extLst>
        <ext uri="{3e2802c4-a4d2-4d8b-9148-e3be6c30e623}">
          <xlrd:rvb i="20904"/>
        </ext>
      </extLst>
    </bk>
    <bk>
      <extLst>
        <ext uri="{3e2802c4-a4d2-4d8b-9148-e3be6c30e623}">
          <xlrd:rvb i="20905"/>
        </ext>
      </extLst>
    </bk>
    <bk>
      <extLst>
        <ext uri="{3e2802c4-a4d2-4d8b-9148-e3be6c30e623}">
          <xlrd:rvb i="20906"/>
        </ext>
      </extLst>
    </bk>
    <bk>
      <extLst>
        <ext uri="{3e2802c4-a4d2-4d8b-9148-e3be6c30e623}">
          <xlrd:rvb i="20907"/>
        </ext>
      </extLst>
    </bk>
    <bk>
      <extLst>
        <ext uri="{3e2802c4-a4d2-4d8b-9148-e3be6c30e623}">
          <xlrd:rvb i="20908"/>
        </ext>
      </extLst>
    </bk>
    <bk>
      <extLst>
        <ext uri="{3e2802c4-a4d2-4d8b-9148-e3be6c30e623}">
          <xlrd:rvb i="20909"/>
        </ext>
      </extLst>
    </bk>
    <bk>
      <extLst>
        <ext uri="{3e2802c4-a4d2-4d8b-9148-e3be6c30e623}">
          <xlrd:rvb i="20910"/>
        </ext>
      </extLst>
    </bk>
    <bk>
      <extLst>
        <ext uri="{3e2802c4-a4d2-4d8b-9148-e3be6c30e623}">
          <xlrd:rvb i="20911"/>
        </ext>
      </extLst>
    </bk>
    <bk>
      <extLst>
        <ext uri="{3e2802c4-a4d2-4d8b-9148-e3be6c30e623}">
          <xlrd:rvb i="20912"/>
        </ext>
      </extLst>
    </bk>
    <bk>
      <extLst>
        <ext uri="{3e2802c4-a4d2-4d8b-9148-e3be6c30e623}">
          <xlrd:rvb i="20913"/>
        </ext>
      </extLst>
    </bk>
    <bk>
      <extLst>
        <ext uri="{3e2802c4-a4d2-4d8b-9148-e3be6c30e623}">
          <xlrd:rvb i="20914"/>
        </ext>
      </extLst>
    </bk>
    <bk>
      <extLst>
        <ext uri="{3e2802c4-a4d2-4d8b-9148-e3be6c30e623}">
          <xlrd:rvb i="20915"/>
        </ext>
      </extLst>
    </bk>
    <bk>
      <extLst>
        <ext uri="{3e2802c4-a4d2-4d8b-9148-e3be6c30e623}">
          <xlrd:rvb i="20916"/>
        </ext>
      </extLst>
    </bk>
    <bk>
      <extLst>
        <ext uri="{3e2802c4-a4d2-4d8b-9148-e3be6c30e623}">
          <xlrd:rvb i="20917"/>
        </ext>
      </extLst>
    </bk>
    <bk>
      <extLst>
        <ext uri="{3e2802c4-a4d2-4d8b-9148-e3be6c30e623}">
          <xlrd:rvb i="20918"/>
        </ext>
      </extLst>
    </bk>
    <bk>
      <extLst>
        <ext uri="{3e2802c4-a4d2-4d8b-9148-e3be6c30e623}">
          <xlrd:rvb i="20919"/>
        </ext>
      </extLst>
    </bk>
    <bk>
      <extLst>
        <ext uri="{3e2802c4-a4d2-4d8b-9148-e3be6c30e623}">
          <xlrd:rvb i="20920"/>
        </ext>
      </extLst>
    </bk>
    <bk>
      <extLst>
        <ext uri="{3e2802c4-a4d2-4d8b-9148-e3be6c30e623}">
          <xlrd:rvb i="20921"/>
        </ext>
      </extLst>
    </bk>
    <bk>
      <extLst>
        <ext uri="{3e2802c4-a4d2-4d8b-9148-e3be6c30e623}">
          <xlrd:rvb i="20922"/>
        </ext>
      </extLst>
    </bk>
    <bk>
      <extLst>
        <ext uri="{3e2802c4-a4d2-4d8b-9148-e3be6c30e623}">
          <xlrd:rvb i="20923"/>
        </ext>
      </extLst>
    </bk>
    <bk>
      <extLst>
        <ext uri="{3e2802c4-a4d2-4d8b-9148-e3be6c30e623}">
          <xlrd:rvb i="20924"/>
        </ext>
      </extLst>
    </bk>
    <bk>
      <extLst>
        <ext uri="{3e2802c4-a4d2-4d8b-9148-e3be6c30e623}">
          <xlrd:rvb i="20925"/>
        </ext>
      </extLst>
    </bk>
    <bk>
      <extLst>
        <ext uri="{3e2802c4-a4d2-4d8b-9148-e3be6c30e623}">
          <xlrd:rvb i="20926"/>
        </ext>
      </extLst>
    </bk>
    <bk>
      <extLst>
        <ext uri="{3e2802c4-a4d2-4d8b-9148-e3be6c30e623}">
          <xlrd:rvb i="20927"/>
        </ext>
      </extLst>
    </bk>
    <bk>
      <extLst>
        <ext uri="{3e2802c4-a4d2-4d8b-9148-e3be6c30e623}">
          <xlrd:rvb i="20928"/>
        </ext>
      </extLst>
    </bk>
    <bk>
      <extLst>
        <ext uri="{3e2802c4-a4d2-4d8b-9148-e3be6c30e623}">
          <xlrd:rvb i="20929"/>
        </ext>
      </extLst>
    </bk>
    <bk>
      <extLst>
        <ext uri="{3e2802c4-a4d2-4d8b-9148-e3be6c30e623}">
          <xlrd:rvb i="20930"/>
        </ext>
      </extLst>
    </bk>
    <bk>
      <extLst>
        <ext uri="{3e2802c4-a4d2-4d8b-9148-e3be6c30e623}">
          <xlrd:rvb i="20931"/>
        </ext>
      </extLst>
    </bk>
    <bk>
      <extLst>
        <ext uri="{3e2802c4-a4d2-4d8b-9148-e3be6c30e623}">
          <xlrd:rvb i="20932"/>
        </ext>
      </extLst>
    </bk>
    <bk>
      <extLst>
        <ext uri="{3e2802c4-a4d2-4d8b-9148-e3be6c30e623}">
          <xlrd:rvb i="20933"/>
        </ext>
      </extLst>
    </bk>
    <bk>
      <extLst>
        <ext uri="{3e2802c4-a4d2-4d8b-9148-e3be6c30e623}">
          <xlrd:rvb i="20934"/>
        </ext>
      </extLst>
    </bk>
    <bk>
      <extLst>
        <ext uri="{3e2802c4-a4d2-4d8b-9148-e3be6c30e623}">
          <xlrd:rvb i="20935"/>
        </ext>
      </extLst>
    </bk>
    <bk>
      <extLst>
        <ext uri="{3e2802c4-a4d2-4d8b-9148-e3be6c30e623}">
          <xlrd:rvb i="20936"/>
        </ext>
      </extLst>
    </bk>
    <bk>
      <extLst>
        <ext uri="{3e2802c4-a4d2-4d8b-9148-e3be6c30e623}">
          <xlrd:rvb i="20937"/>
        </ext>
      </extLst>
    </bk>
    <bk>
      <extLst>
        <ext uri="{3e2802c4-a4d2-4d8b-9148-e3be6c30e623}">
          <xlrd:rvb i="20938"/>
        </ext>
      </extLst>
    </bk>
    <bk>
      <extLst>
        <ext uri="{3e2802c4-a4d2-4d8b-9148-e3be6c30e623}">
          <xlrd:rvb i="20939"/>
        </ext>
      </extLst>
    </bk>
    <bk>
      <extLst>
        <ext uri="{3e2802c4-a4d2-4d8b-9148-e3be6c30e623}">
          <xlrd:rvb i="20940"/>
        </ext>
      </extLst>
    </bk>
    <bk>
      <extLst>
        <ext uri="{3e2802c4-a4d2-4d8b-9148-e3be6c30e623}">
          <xlrd:rvb i="20941"/>
        </ext>
      </extLst>
    </bk>
    <bk>
      <extLst>
        <ext uri="{3e2802c4-a4d2-4d8b-9148-e3be6c30e623}">
          <xlrd:rvb i="20942"/>
        </ext>
      </extLst>
    </bk>
    <bk>
      <extLst>
        <ext uri="{3e2802c4-a4d2-4d8b-9148-e3be6c30e623}">
          <xlrd:rvb i="20943"/>
        </ext>
      </extLst>
    </bk>
    <bk>
      <extLst>
        <ext uri="{3e2802c4-a4d2-4d8b-9148-e3be6c30e623}">
          <xlrd:rvb i="20944"/>
        </ext>
      </extLst>
    </bk>
    <bk>
      <extLst>
        <ext uri="{3e2802c4-a4d2-4d8b-9148-e3be6c30e623}">
          <xlrd:rvb i="20945"/>
        </ext>
      </extLst>
    </bk>
    <bk>
      <extLst>
        <ext uri="{3e2802c4-a4d2-4d8b-9148-e3be6c30e623}">
          <xlrd:rvb i="20946"/>
        </ext>
      </extLst>
    </bk>
    <bk>
      <extLst>
        <ext uri="{3e2802c4-a4d2-4d8b-9148-e3be6c30e623}">
          <xlrd:rvb i="20947"/>
        </ext>
      </extLst>
    </bk>
    <bk>
      <extLst>
        <ext uri="{3e2802c4-a4d2-4d8b-9148-e3be6c30e623}">
          <xlrd:rvb i="20948"/>
        </ext>
      </extLst>
    </bk>
    <bk>
      <extLst>
        <ext uri="{3e2802c4-a4d2-4d8b-9148-e3be6c30e623}">
          <xlrd:rvb i="20949"/>
        </ext>
      </extLst>
    </bk>
    <bk>
      <extLst>
        <ext uri="{3e2802c4-a4d2-4d8b-9148-e3be6c30e623}">
          <xlrd:rvb i="20950"/>
        </ext>
      </extLst>
    </bk>
    <bk>
      <extLst>
        <ext uri="{3e2802c4-a4d2-4d8b-9148-e3be6c30e623}">
          <xlrd:rvb i="20951"/>
        </ext>
      </extLst>
    </bk>
    <bk>
      <extLst>
        <ext uri="{3e2802c4-a4d2-4d8b-9148-e3be6c30e623}">
          <xlrd:rvb i="20952"/>
        </ext>
      </extLst>
    </bk>
    <bk>
      <extLst>
        <ext uri="{3e2802c4-a4d2-4d8b-9148-e3be6c30e623}">
          <xlrd:rvb i="20953"/>
        </ext>
      </extLst>
    </bk>
    <bk>
      <extLst>
        <ext uri="{3e2802c4-a4d2-4d8b-9148-e3be6c30e623}">
          <xlrd:rvb i="20954"/>
        </ext>
      </extLst>
    </bk>
    <bk>
      <extLst>
        <ext uri="{3e2802c4-a4d2-4d8b-9148-e3be6c30e623}">
          <xlrd:rvb i="20955"/>
        </ext>
      </extLst>
    </bk>
    <bk>
      <extLst>
        <ext uri="{3e2802c4-a4d2-4d8b-9148-e3be6c30e623}">
          <xlrd:rvb i="20956"/>
        </ext>
      </extLst>
    </bk>
    <bk>
      <extLst>
        <ext uri="{3e2802c4-a4d2-4d8b-9148-e3be6c30e623}">
          <xlrd:rvb i="20957"/>
        </ext>
      </extLst>
    </bk>
    <bk>
      <extLst>
        <ext uri="{3e2802c4-a4d2-4d8b-9148-e3be6c30e623}">
          <xlrd:rvb i="20958"/>
        </ext>
      </extLst>
    </bk>
    <bk>
      <extLst>
        <ext uri="{3e2802c4-a4d2-4d8b-9148-e3be6c30e623}">
          <xlrd:rvb i="20959"/>
        </ext>
      </extLst>
    </bk>
    <bk>
      <extLst>
        <ext uri="{3e2802c4-a4d2-4d8b-9148-e3be6c30e623}">
          <xlrd:rvb i="20960"/>
        </ext>
      </extLst>
    </bk>
    <bk>
      <extLst>
        <ext uri="{3e2802c4-a4d2-4d8b-9148-e3be6c30e623}">
          <xlrd:rvb i="20961"/>
        </ext>
      </extLst>
    </bk>
    <bk>
      <extLst>
        <ext uri="{3e2802c4-a4d2-4d8b-9148-e3be6c30e623}">
          <xlrd:rvb i="20962"/>
        </ext>
      </extLst>
    </bk>
    <bk>
      <extLst>
        <ext uri="{3e2802c4-a4d2-4d8b-9148-e3be6c30e623}">
          <xlrd:rvb i="20963"/>
        </ext>
      </extLst>
    </bk>
    <bk>
      <extLst>
        <ext uri="{3e2802c4-a4d2-4d8b-9148-e3be6c30e623}">
          <xlrd:rvb i="20964"/>
        </ext>
      </extLst>
    </bk>
    <bk>
      <extLst>
        <ext uri="{3e2802c4-a4d2-4d8b-9148-e3be6c30e623}">
          <xlrd:rvb i="20965"/>
        </ext>
      </extLst>
    </bk>
    <bk>
      <extLst>
        <ext uri="{3e2802c4-a4d2-4d8b-9148-e3be6c30e623}">
          <xlrd:rvb i="20966"/>
        </ext>
      </extLst>
    </bk>
    <bk>
      <extLst>
        <ext uri="{3e2802c4-a4d2-4d8b-9148-e3be6c30e623}">
          <xlrd:rvb i="20967"/>
        </ext>
      </extLst>
    </bk>
    <bk>
      <extLst>
        <ext uri="{3e2802c4-a4d2-4d8b-9148-e3be6c30e623}">
          <xlrd:rvb i="20968"/>
        </ext>
      </extLst>
    </bk>
    <bk>
      <extLst>
        <ext uri="{3e2802c4-a4d2-4d8b-9148-e3be6c30e623}">
          <xlrd:rvb i="20969"/>
        </ext>
      </extLst>
    </bk>
    <bk>
      <extLst>
        <ext uri="{3e2802c4-a4d2-4d8b-9148-e3be6c30e623}">
          <xlrd:rvb i="20970"/>
        </ext>
      </extLst>
    </bk>
    <bk>
      <extLst>
        <ext uri="{3e2802c4-a4d2-4d8b-9148-e3be6c30e623}">
          <xlrd:rvb i="20971"/>
        </ext>
      </extLst>
    </bk>
    <bk>
      <extLst>
        <ext uri="{3e2802c4-a4d2-4d8b-9148-e3be6c30e623}">
          <xlrd:rvb i="20972"/>
        </ext>
      </extLst>
    </bk>
    <bk>
      <extLst>
        <ext uri="{3e2802c4-a4d2-4d8b-9148-e3be6c30e623}">
          <xlrd:rvb i="20973"/>
        </ext>
      </extLst>
    </bk>
    <bk>
      <extLst>
        <ext uri="{3e2802c4-a4d2-4d8b-9148-e3be6c30e623}">
          <xlrd:rvb i="20974"/>
        </ext>
      </extLst>
    </bk>
    <bk>
      <extLst>
        <ext uri="{3e2802c4-a4d2-4d8b-9148-e3be6c30e623}">
          <xlrd:rvb i="20975"/>
        </ext>
      </extLst>
    </bk>
    <bk>
      <extLst>
        <ext uri="{3e2802c4-a4d2-4d8b-9148-e3be6c30e623}">
          <xlrd:rvb i="20976"/>
        </ext>
      </extLst>
    </bk>
    <bk>
      <extLst>
        <ext uri="{3e2802c4-a4d2-4d8b-9148-e3be6c30e623}">
          <xlrd:rvb i="20977"/>
        </ext>
      </extLst>
    </bk>
    <bk>
      <extLst>
        <ext uri="{3e2802c4-a4d2-4d8b-9148-e3be6c30e623}">
          <xlrd:rvb i="20978"/>
        </ext>
      </extLst>
    </bk>
    <bk>
      <extLst>
        <ext uri="{3e2802c4-a4d2-4d8b-9148-e3be6c30e623}">
          <xlrd:rvb i="20979"/>
        </ext>
      </extLst>
    </bk>
    <bk>
      <extLst>
        <ext uri="{3e2802c4-a4d2-4d8b-9148-e3be6c30e623}">
          <xlrd:rvb i="20980"/>
        </ext>
      </extLst>
    </bk>
    <bk>
      <extLst>
        <ext uri="{3e2802c4-a4d2-4d8b-9148-e3be6c30e623}">
          <xlrd:rvb i="20981"/>
        </ext>
      </extLst>
    </bk>
    <bk>
      <extLst>
        <ext uri="{3e2802c4-a4d2-4d8b-9148-e3be6c30e623}">
          <xlrd:rvb i="20982"/>
        </ext>
      </extLst>
    </bk>
    <bk>
      <extLst>
        <ext uri="{3e2802c4-a4d2-4d8b-9148-e3be6c30e623}">
          <xlrd:rvb i="20983"/>
        </ext>
      </extLst>
    </bk>
    <bk>
      <extLst>
        <ext uri="{3e2802c4-a4d2-4d8b-9148-e3be6c30e623}">
          <xlrd:rvb i="20984"/>
        </ext>
      </extLst>
    </bk>
    <bk>
      <extLst>
        <ext uri="{3e2802c4-a4d2-4d8b-9148-e3be6c30e623}">
          <xlrd:rvb i="20985"/>
        </ext>
      </extLst>
    </bk>
    <bk>
      <extLst>
        <ext uri="{3e2802c4-a4d2-4d8b-9148-e3be6c30e623}">
          <xlrd:rvb i="20986"/>
        </ext>
      </extLst>
    </bk>
    <bk>
      <extLst>
        <ext uri="{3e2802c4-a4d2-4d8b-9148-e3be6c30e623}">
          <xlrd:rvb i="20987"/>
        </ext>
      </extLst>
    </bk>
    <bk>
      <extLst>
        <ext uri="{3e2802c4-a4d2-4d8b-9148-e3be6c30e623}">
          <xlrd:rvb i="20988"/>
        </ext>
      </extLst>
    </bk>
    <bk>
      <extLst>
        <ext uri="{3e2802c4-a4d2-4d8b-9148-e3be6c30e623}">
          <xlrd:rvb i="20989"/>
        </ext>
      </extLst>
    </bk>
    <bk>
      <extLst>
        <ext uri="{3e2802c4-a4d2-4d8b-9148-e3be6c30e623}">
          <xlrd:rvb i="20990"/>
        </ext>
      </extLst>
    </bk>
    <bk>
      <extLst>
        <ext uri="{3e2802c4-a4d2-4d8b-9148-e3be6c30e623}">
          <xlrd:rvb i="20991"/>
        </ext>
      </extLst>
    </bk>
    <bk>
      <extLst>
        <ext uri="{3e2802c4-a4d2-4d8b-9148-e3be6c30e623}">
          <xlrd:rvb i="20992"/>
        </ext>
      </extLst>
    </bk>
    <bk>
      <extLst>
        <ext uri="{3e2802c4-a4d2-4d8b-9148-e3be6c30e623}">
          <xlrd:rvb i="20993"/>
        </ext>
      </extLst>
    </bk>
    <bk>
      <extLst>
        <ext uri="{3e2802c4-a4d2-4d8b-9148-e3be6c30e623}">
          <xlrd:rvb i="20994"/>
        </ext>
      </extLst>
    </bk>
    <bk>
      <extLst>
        <ext uri="{3e2802c4-a4d2-4d8b-9148-e3be6c30e623}">
          <xlrd:rvb i="20995"/>
        </ext>
      </extLst>
    </bk>
    <bk>
      <extLst>
        <ext uri="{3e2802c4-a4d2-4d8b-9148-e3be6c30e623}">
          <xlrd:rvb i="20996"/>
        </ext>
      </extLst>
    </bk>
    <bk>
      <extLst>
        <ext uri="{3e2802c4-a4d2-4d8b-9148-e3be6c30e623}">
          <xlrd:rvb i="20997"/>
        </ext>
      </extLst>
    </bk>
    <bk>
      <extLst>
        <ext uri="{3e2802c4-a4d2-4d8b-9148-e3be6c30e623}">
          <xlrd:rvb i="20998"/>
        </ext>
      </extLst>
    </bk>
    <bk>
      <extLst>
        <ext uri="{3e2802c4-a4d2-4d8b-9148-e3be6c30e623}">
          <xlrd:rvb i="20999"/>
        </ext>
      </extLst>
    </bk>
    <bk>
      <extLst>
        <ext uri="{3e2802c4-a4d2-4d8b-9148-e3be6c30e623}">
          <xlrd:rvb i="21000"/>
        </ext>
      </extLst>
    </bk>
    <bk>
      <extLst>
        <ext uri="{3e2802c4-a4d2-4d8b-9148-e3be6c30e623}">
          <xlrd:rvb i="21001"/>
        </ext>
      </extLst>
    </bk>
    <bk>
      <extLst>
        <ext uri="{3e2802c4-a4d2-4d8b-9148-e3be6c30e623}">
          <xlrd:rvb i="21002"/>
        </ext>
      </extLst>
    </bk>
    <bk>
      <extLst>
        <ext uri="{3e2802c4-a4d2-4d8b-9148-e3be6c30e623}">
          <xlrd:rvb i="21003"/>
        </ext>
      </extLst>
    </bk>
    <bk>
      <extLst>
        <ext uri="{3e2802c4-a4d2-4d8b-9148-e3be6c30e623}">
          <xlrd:rvb i="21004"/>
        </ext>
      </extLst>
    </bk>
    <bk>
      <extLst>
        <ext uri="{3e2802c4-a4d2-4d8b-9148-e3be6c30e623}">
          <xlrd:rvb i="21005"/>
        </ext>
      </extLst>
    </bk>
    <bk>
      <extLst>
        <ext uri="{3e2802c4-a4d2-4d8b-9148-e3be6c30e623}">
          <xlrd:rvb i="21006"/>
        </ext>
      </extLst>
    </bk>
    <bk>
      <extLst>
        <ext uri="{3e2802c4-a4d2-4d8b-9148-e3be6c30e623}">
          <xlrd:rvb i="21007"/>
        </ext>
      </extLst>
    </bk>
    <bk>
      <extLst>
        <ext uri="{3e2802c4-a4d2-4d8b-9148-e3be6c30e623}">
          <xlrd:rvb i="21008"/>
        </ext>
      </extLst>
    </bk>
    <bk>
      <extLst>
        <ext uri="{3e2802c4-a4d2-4d8b-9148-e3be6c30e623}">
          <xlrd:rvb i="21009"/>
        </ext>
      </extLst>
    </bk>
    <bk>
      <extLst>
        <ext uri="{3e2802c4-a4d2-4d8b-9148-e3be6c30e623}">
          <xlrd:rvb i="21010"/>
        </ext>
      </extLst>
    </bk>
    <bk>
      <extLst>
        <ext uri="{3e2802c4-a4d2-4d8b-9148-e3be6c30e623}">
          <xlrd:rvb i="21011"/>
        </ext>
      </extLst>
    </bk>
    <bk>
      <extLst>
        <ext uri="{3e2802c4-a4d2-4d8b-9148-e3be6c30e623}">
          <xlrd:rvb i="21012"/>
        </ext>
      </extLst>
    </bk>
    <bk>
      <extLst>
        <ext uri="{3e2802c4-a4d2-4d8b-9148-e3be6c30e623}">
          <xlrd:rvb i="21013"/>
        </ext>
      </extLst>
    </bk>
    <bk>
      <extLst>
        <ext uri="{3e2802c4-a4d2-4d8b-9148-e3be6c30e623}">
          <xlrd:rvb i="21014"/>
        </ext>
      </extLst>
    </bk>
    <bk>
      <extLst>
        <ext uri="{3e2802c4-a4d2-4d8b-9148-e3be6c30e623}">
          <xlrd:rvb i="21015"/>
        </ext>
      </extLst>
    </bk>
    <bk>
      <extLst>
        <ext uri="{3e2802c4-a4d2-4d8b-9148-e3be6c30e623}">
          <xlrd:rvb i="21016"/>
        </ext>
      </extLst>
    </bk>
    <bk>
      <extLst>
        <ext uri="{3e2802c4-a4d2-4d8b-9148-e3be6c30e623}">
          <xlrd:rvb i="21017"/>
        </ext>
      </extLst>
    </bk>
    <bk>
      <extLst>
        <ext uri="{3e2802c4-a4d2-4d8b-9148-e3be6c30e623}">
          <xlrd:rvb i="21018"/>
        </ext>
      </extLst>
    </bk>
    <bk>
      <extLst>
        <ext uri="{3e2802c4-a4d2-4d8b-9148-e3be6c30e623}">
          <xlrd:rvb i="21019"/>
        </ext>
      </extLst>
    </bk>
    <bk>
      <extLst>
        <ext uri="{3e2802c4-a4d2-4d8b-9148-e3be6c30e623}">
          <xlrd:rvb i="21020"/>
        </ext>
      </extLst>
    </bk>
    <bk>
      <extLst>
        <ext uri="{3e2802c4-a4d2-4d8b-9148-e3be6c30e623}">
          <xlrd:rvb i="21021"/>
        </ext>
      </extLst>
    </bk>
    <bk>
      <extLst>
        <ext uri="{3e2802c4-a4d2-4d8b-9148-e3be6c30e623}">
          <xlrd:rvb i="21022"/>
        </ext>
      </extLst>
    </bk>
    <bk>
      <extLst>
        <ext uri="{3e2802c4-a4d2-4d8b-9148-e3be6c30e623}">
          <xlrd:rvb i="21023"/>
        </ext>
      </extLst>
    </bk>
    <bk>
      <extLst>
        <ext uri="{3e2802c4-a4d2-4d8b-9148-e3be6c30e623}">
          <xlrd:rvb i="21024"/>
        </ext>
      </extLst>
    </bk>
    <bk>
      <extLst>
        <ext uri="{3e2802c4-a4d2-4d8b-9148-e3be6c30e623}">
          <xlrd:rvb i="21025"/>
        </ext>
      </extLst>
    </bk>
    <bk>
      <extLst>
        <ext uri="{3e2802c4-a4d2-4d8b-9148-e3be6c30e623}">
          <xlrd:rvb i="21026"/>
        </ext>
      </extLst>
    </bk>
    <bk>
      <extLst>
        <ext uri="{3e2802c4-a4d2-4d8b-9148-e3be6c30e623}">
          <xlrd:rvb i="21027"/>
        </ext>
      </extLst>
    </bk>
    <bk>
      <extLst>
        <ext uri="{3e2802c4-a4d2-4d8b-9148-e3be6c30e623}">
          <xlrd:rvb i="21028"/>
        </ext>
      </extLst>
    </bk>
    <bk>
      <extLst>
        <ext uri="{3e2802c4-a4d2-4d8b-9148-e3be6c30e623}">
          <xlrd:rvb i="21029"/>
        </ext>
      </extLst>
    </bk>
    <bk>
      <extLst>
        <ext uri="{3e2802c4-a4d2-4d8b-9148-e3be6c30e623}">
          <xlrd:rvb i="21030"/>
        </ext>
      </extLst>
    </bk>
    <bk>
      <extLst>
        <ext uri="{3e2802c4-a4d2-4d8b-9148-e3be6c30e623}">
          <xlrd:rvb i="21031"/>
        </ext>
      </extLst>
    </bk>
    <bk>
      <extLst>
        <ext uri="{3e2802c4-a4d2-4d8b-9148-e3be6c30e623}">
          <xlrd:rvb i="21032"/>
        </ext>
      </extLst>
    </bk>
    <bk>
      <extLst>
        <ext uri="{3e2802c4-a4d2-4d8b-9148-e3be6c30e623}">
          <xlrd:rvb i="21033"/>
        </ext>
      </extLst>
    </bk>
    <bk>
      <extLst>
        <ext uri="{3e2802c4-a4d2-4d8b-9148-e3be6c30e623}">
          <xlrd:rvb i="21034"/>
        </ext>
      </extLst>
    </bk>
    <bk>
      <extLst>
        <ext uri="{3e2802c4-a4d2-4d8b-9148-e3be6c30e623}">
          <xlrd:rvb i="21035"/>
        </ext>
      </extLst>
    </bk>
    <bk>
      <extLst>
        <ext uri="{3e2802c4-a4d2-4d8b-9148-e3be6c30e623}">
          <xlrd:rvb i="21036"/>
        </ext>
      </extLst>
    </bk>
    <bk>
      <extLst>
        <ext uri="{3e2802c4-a4d2-4d8b-9148-e3be6c30e623}">
          <xlrd:rvb i="21037"/>
        </ext>
      </extLst>
    </bk>
    <bk>
      <extLst>
        <ext uri="{3e2802c4-a4d2-4d8b-9148-e3be6c30e623}">
          <xlrd:rvb i="21038"/>
        </ext>
      </extLst>
    </bk>
    <bk>
      <extLst>
        <ext uri="{3e2802c4-a4d2-4d8b-9148-e3be6c30e623}">
          <xlrd:rvb i="21039"/>
        </ext>
      </extLst>
    </bk>
    <bk>
      <extLst>
        <ext uri="{3e2802c4-a4d2-4d8b-9148-e3be6c30e623}">
          <xlrd:rvb i="21040"/>
        </ext>
      </extLst>
    </bk>
    <bk>
      <extLst>
        <ext uri="{3e2802c4-a4d2-4d8b-9148-e3be6c30e623}">
          <xlrd:rvb i="21041"/>
        </ext>
      </extLst>
    </bk>
    <bk>
      <extLst>
        <ext uri="{3e2802c4-a4d2-4d8b-9148-e3be6c30e623}">
          <xlrd:rvb i="21042"/>
        </ext>
      </extLst>
    </bk>
    <bk>
      <extLst>
        <ext uri="{3e2802c4-a4d2-4d8b-9148-e3be6c30e623}">
          <xlrd:rvb i="21043"/>
        </ext>
      </extLst>
    </bk>
    <bk>
      <extLst>
        <ext uri="{3e2802c4-a4d2-4d8b-9148-e3be6c30e623}">
          <xlrd:rvb i="21044"/>
        </ext>
      </extLst>
    </bk>
    <bk>
      <extLst>
        <ext uri="{3e2802c4-a4d2-4d8b-9148-e3be6c30e623}">
          <xlrd:rvb i="21045"/>
        </ext>
      </extLst>
    </bk>
    <bk>
      <extLst>
        <ext uri="{3e2802c4-a4d2-4d8b-9148-e3be6c30e623}">
          <xlrd:rvb i="21046"/>
        </ext>
      </extLst>
    </bk>
    <bk>
      <extLst>
        <ext uri="{3e2802c4-a4d2-4d8b-9148-e3be6c30e623}">
          <xlrd:rvb i="21047"/>
        </ext>
      </extLst>
    </bk>
    <bk>
      <extLst>
        <ext uri="{3e2802c4-a4d2-4d8b-9148-e3be6c30e623}">
          <xlrd:rvb i="21048"/>
        </ext>
      </extLst>
    </bk>
    <bk>
      <extLst>
        <ext uri="{3e2802c4-a4d2-4d8b-9148-e3be6c30e623}">
          <xlrd:rvb i="21049"/>
        </ext>
      </extLst>
    </bk>
    <bk>
      <extLst>
        <ext uri="{3e2802c4-a4d2-4d8b-9148-e3be6c30e623}">
          <xlrd:rvb i="21050"/>
        </ext>
      </extLst>
    </bk>
    <bk>
      <extLst>
        <ext uri="{3e2802c4-a4d2-4d8b-9148-e3be6c30e623}">
          <xlrd:rvb i="21051"/>
        </ext>
      </extLst>
    </bk>
    <bk>
      <extLst>
        <ext uri="{3e2802c4-a4d2-4d8b-9148-e3be6c30e623}">
          <xlrd:rvb i="21052"/>
        </ext>
      </extLst>
    </bk>
    <bk>
      <extLst>
        <ext uri="{3e2802c4-a4d2-4d8b-9148-e3be6c30e623}">
          <xlrd:rvb i="21053"/>
        </ext>
      </extLst>
    </bk>
    <bk>
      <extLst>
        <ext uri="{3e2802c4-a4d2-4d8b-9148-e3be6c30e623}">
          <xlrd:rvb i="21054"/>
        </ext>
      </extLst>
    </bk>
    <bk>
      <extLst>
        <ext uri="{3e2802c4-a4d2-4d8b-9148-e3be6c30e623}">
          <xlrd:rvb i="21055"/>
        </ext>
      </extLst>
    </bk>
    <bk>
      <extLst>
        <ext uri="{3e2802c4-a4d2-4d8b-9148-e3be6c30e623}">
          <xlrd:rvb i="21056"/>
        </ext>
      </extLst>
    </bk>
    <bk>
      <extLst>
        <ext uri="{3e2802c4-a4d2-4d8b-9148-e3be6c30e623}">
          <xlrd:rvb i="21057"/>
        </ext>
      </extLst>
    </bk>
    <bk>
      <extLst>
        <ext uri="{3e2802c4-a4d2-4d8b-9148-e3be6c30e623}">
          <xlrd:rvb i="21058"/>
        </ext>
      </extLst>
    </bk>
    <bk>
      <extLst>
        <ext uri="{3e2802c4-a4d2-4d8b-9148-e3be6c30e623}">
          <xlrd:rvb i="21059"/>
        </ext>
      </extLst>
    </bk>
    <bk>
      <extLst>
        <ext uri="{3e2802c4-a4d2-4d8b-9148-e3be6c30e623}">
          <xlrd:rvb i="21060"/>
        </ext>
      </extLst>
    </bk>
    <bk>
      <extLst>
        <ext uri="{3e2802c4-a4d2-4d8b-9148-e3be6c30e623}">
          <xlrd:rvb i="21061"/>
        </ext>
      </extLst>
    </bk>
    <bk>
      <extLst>
        <ext uri="{3e2802c4-a4d2-4d8b-9148-e3be6c30e623}">
          <xlrd:rvb i="21062"/>
        </ext>
      </extLst>
    </bk>
    <bk>
      <extLst>
        <ext uri="{3e2802c4-a4d2-4d8b-9148-e3be6c30e623}">
          <xlrd:rvb i="21063"/>
        </ext>
      </extLst>
    </bk>
    <bk>
      <extLst>
        <ext uri="{3e2802c4-a4d2-4d8b-9148-e3be6c30e623}">
          <xlrd:rvb i="21064"/>
        </ext>
      </extLst>
    </bk>
    <bk>
      <extLst>
        <ext uri="{3e2802c4-a4d2-4d8b-9148-e3be6c30e623}">
          <xlrd:rvb i="21065"/>
        </ext>
      </extLst>
    </bk>
    <bk>
      <extLst>
        <ext uri="{3e2802c4-a4d2-4d8b-9148-e3be6c30e623}">
          <xlrd:rvb i="21066"/>
        </ext>
      </extLst>
    </bk>
    <bk>
      <extLst>
        <ext uri="{3e2802c4-a4d2-4d8b-9148-e3be6c30e623}">
          <xlrd:rvb i="21067"/>
        </ext>
      </extLst>
    </bk>
    <bk>
      <extLst>
        <ext uri="{3e2802c4-a4d2-4d8b-9148-e3be6c30e623}">
          <xlrd:rvb i="21068"/>
        </ext>
      </extLst>
    </bk>
    <bk>
      <extLst>
        <ext uri="{3e2802c4-a4d2-4d8b-9148-e3be6c30e623}">
          <xlrd:rvb i="21069"/>
        </ext>
      </extLst>
    </bk>
    <bk>
      <extLst>
        <ext uri="{3e2802c4-a4d2-4d8b-9148-e3be6c30e623}">
          <xlrd:rvb i="21070"/>
        </ext>
      </extLst>
    </bk>
    <bk>
      <extLst>
        <ext uri="{3e2802c4-a4d2-4d8b-9148-e3be6c30e623}">
          <xlrd:rvb i="21071"/>
        </ext>
      </extLst>
    </bk>
    <bk>
      <extLst>
        <ext uri="{3e2802c4-a4d2-4d8b-9148-e3be6c30e623}">
          <xlrd:rvb i="21072"/>
        </ext>
      </extLst>
    </bk>
    <bk>
      <extLst>
        <ext uri="{3e2802c4-a4d2-4d8b-9148-e3be6c30e623}">
          <xlrd:rvb i="21073"/>
        </ext>
      </extLst>
    </bk>
    <bk>
      <extLst>
        <ext uri="{3e2802c4-a4d2-4d8b-9148-e3be6c30e623}">
          <xlrd:rvb i="21074"/>
        </ext>
      </extLst>
    </bk>
    <bk>
      <extLst>
        <ext uri="{3e2802c4-a4d2-4d8b-9148-e3be6c30e623}">
          <xlrd:rvb i="21075"/>
        </ext>
      </extLst>
    </bk>
    <bk>
      <extLst>
        <ext uri="{3e2802c4-a4d2-4d8b-9148-e3be6c30e623}">
          <xlrd:rvb i="21076"/>
        </ext>
      </extLst>
    </bk>
    <bk>
      <extLst>
        <ext uri="{3e2802c4-a4d2-4d8b-9148-e3be6c30e623}">
          <xlrd:rvb i="21077"/>
        </ext>
      </extLst>
    </bk>
    <bk>
      <extLst>
        <ext uri="{3e2802c4-a4d2-4d8b-9148-e3be6c30e623}">
          <xlrd:rvb i="21078"/>
        </ext>
      </extLst>
    </bk>
    <bk>
      <extLst>
        <ext uri="{3e2802c4-a4d2-4d8b-9148-e3be6c30e623}">
          <xlrd:rvb i="21079"/>
        </ext>
      </extLst>
    </bk>
    <bk>
      <extLst>
        <ext uri="{3e2802c4-a4d2-4d8b-9148-e3be6c30e623}">
          <xlrd:rvb i="21080"/>
        </ext>
      </extLst>
    </bk>
    <bk>
      <extLst>
        <ext uri="{3e2802c4-a4d2-4d8b-9148-e3be6c30e623}">
          <xlrd:rvb i="21081"/>
        </ext>
      </extLst>
    </bk>
    <bk>
      <extLst>
        <ext uri="{3e2802c4-a4d2-4d8b-9148-e3be6c30e623}">
          <xlrd:rvb i="21082"/>
        </ext>
      </extLst>
    </bk>
    <bk>
      <extLst>
        <ext uri="{3e2802c4-a4d2-4d8b-9148-e3be6c30e623}">
          <xlrd:rvb i="21083"/>
        </ext>
      </extLst>
    </bk>
    <bk>
      <extLst>
        <ext uri="{3e2802c4-a4d2-4d8b-9148-e3be6c30e623}">
          <xlrd:rvb i="21084"/>
        </ext>
      </extLst>
    </bk>
    <bk>
      <extLst>
        <ext uri="{3e2802c4-a4d2-4d8b-9148-e3be6c30e623}">
          <xlrd:rvb i="21085"/>
        </ext>
      </extLst>
    </bk>
    <bk>
      <extLst>
        <ext uri="{3e2802c4-a4d2-4d8b-9148-e3be6c30e623}">
          <xlrd:rvb i="21086"/>
        </ext>
      </extLst>
    </bk>
    <bk>
      <extLst>
        <ext uri="{3e2802c4-a4d2-4d8b-9148-e3be6c30e623}">
          <xlrd:rvb i="21087"/>
        </ext>
      </extLst>
    </bk>
    <bk>
      <extLst>
        <ext uri="{3e2802c4-a4d2-4d8b-9148-e3be6c30e623}">
          <xlrd:rvb i="21088"/>
        </ext>
      </extLst>
    </bk>
    <bk>
      <extLst>
        <ext uri="{3e2802c4-a4d2-4d8b-9148-e3be6c30e623}">
          <xlrd:rvb i="21089"/>
        </ext>
      </extLst>
    </bk>
    <bk>
      <extLst>
        <ext uri="{3e2802c4-a4d2-4d8b-9148-e3be6c30e623}">
          <xlrd:rvb i="21090"/>
        </ext>
      </extLst>
    </bk>
    <bk>
      <extLst>
        <ext uri="{3e2802c4-a4d2-4d8b-9148-e3be6c30e623}">
          <xlrd:rvb i="21091"/>
        </ext>
      </extLst>
    </bk>
    <bk>
      <extLst>
        <ext uri="{3e2802c4-a4d2-4d8b-9148-e3be6c30e623}">
          <xlrd:rvb i="21092"/>
        </ext>
      </extLst>
    </bk>
    <bk>
      <extLst>
        <ext uri="{3e2802c4-a4d2-4d8b-9148-e3be6c30e623}">
          <xlrd:rvb i="21093"/>
        </ext>
      </extLst>
    </bk>
    <bk>
      <extLst>
        <ext uri="{3e2802c4-a4d2-4d8b-9148-e3be6c30e623}">
          <xlrd:rvb i="21094"/>
        </ext>
      </extLst>
    </bk>
    <bk>
      <extLst>
        <ext uri="{3e2802c4-a4d2-4d8b-9148-e3be6c30e623}">
          <xlrd:rvb i="21095"/>
        </ext>
      </extLst>
    </bk>
    <bk>
      <extLst>
        <ext uri="{3e2802c4-a4d2-4d8b-9148-e3be6c30e623}">
          <xlrd:rvb i="21096"/>
        </ext>
      </extLst>
    </bk>
    <bk>
      <extLst>
        <ext uri="{3e2802c4-a4d2-4d8b-9148-e3be6c30e623}">
          <xlrd:rvb i="21097"/>
        </ext>
      </extLst>
    </bk>
    <bk>
      <extLst>
        <ext uri="{3e2802c4-a4d2-4d8b-9148-e3be6c30e623}">
          <xlrd:rvb i="21098"/>
        </ext>
      </extLst>
    </bk>
    <bk>
      <extLst>
        <ext uri="{3e2802c4-a4d2-4d8b-9148-e3be6c30e623}">
          <xlrd:rvb i="21099"/>
        </ext>
      </extLst>
    </bk>
    <bk>
      <extLst>
        <ext uri="{3e2802c4-a4d2-4d8b-9148-e3be6c30e623}">
          <xlrd:rvb i="21100"/>
        </ext>
      </extLst>
    </bk>
    <bk>
      <extLst>
        <ext uri="{3e2802c4-a4d2-4d8b-9148-e3be6c30e623}">
          <xlrd:rvb i="21101"/>
        </ext>
      </extLst>
    </bk>
    <bk>
      <extLst>
        <ext uri="{3e2802c4-a4d2-4d8b-9148-e3be6c30e623}">
          <xlrd:rvb i="21102"/>
        </ext>
      </extLst>
    </bk>
    <bk>
      <extLst>
        <ext uri="{3e2802c4-a4d2-4d8b-9148-e3be6c30e623}">
          <xlrd:rvb i="21103"/>
        </ext>
      </extLst>
    </bk>
    <bk>
      <extLst>
        <ext uri="{3e2802c4-a4d2-4d8b-9148-e3be6c30e623}">
          <xlrd:rvb i="21104"/>
        </ext>
      </extLst>
    </bk>
    <bk>
      <extLst>
        <ext uri="{3e2802c4-a4d2-4d8b-9148-e3be6c30e623}">
          <xlrd:rvb i="21105"/>
        </ext>
      </extLst>
    </bk>
    <bk>
      <extLst>
        <ext uri="{3e2802c4-a4d2-4d8b-9148-e3be6c30e623}">
          <xlrd:rvb i="21106"/>
        </ext>
      </extLst>
    </bk>
    <bk>
      <extLst>
        <ext uri="{3e2802c4-a4d2-4d8b-9148-e3be6c30e623}">
          <xlrd:rvb i="21107"/>
        </ext>
      </extLst>
    </bk>
    <bk>
      <extLst>
        <ext uri="{3e2802c4-a4d2-4d8b-9148-e3be6c30e623}">
          <xlrd:rvb i="21108"/>
        </ext>
      </extLst>
    </bk>
    <bk>
      <extLst>
        <ext uri="{3e2802c4-a4d2-4d8b-9148-e3be6c30e623}">
          <xlrd:rvb i="21109"/>
        </ext>
      </extLst>
    </bk>
    <bk>
      <extLst>
        <ext uri="{3e2802c4-a4d2-4d8b-9148-e3be6c30e623}">
          <xlrd:rvb i="21110"/>
        </ext>
      </extLst>
    </bk>
    <bk>
      <extLst>
        <ext uri="{3e2802c4-a4d2-4d8b-9148-e3be6c30e623}">
          <xlrd:rvb i="21111"/>
        </ext>
      </extLst>
    </bk>
    <bk>
      <extLst>
        <ext uri="{3e2802c4-a4d2-4d8b-9148-e3be6c30e623}">
          <xlrd:rvb i="21112"/>
        </ext>
      </extLst>
    </bk>
    <bk>
      <extLst>
        <ext uri="{3e2802c4-a4d2-4d8b-9148-e3be6c30e623}">
          <xlrd:rvb i="21113"/>
        </ext>
      </extLst>
    </bk>
    <bk>
      <extLst>
        <ext uri="{3e2802c4-a4d2-4d8b-9148-e3be6c30e623}">
          <xlrd:rvb i="21114"/>
        </ext>
      </extLst>
    </bk>
    <bk>
      <extLst>
        <ext uri="{3e2802c4-a4d2-4d8b-9148-e3be6c30e623}">
          <xlrd:rvb i="21115"/>
        </ext>
      </extLst>
    </bk>
    <bk>
      <extLst>
        <ext uri="{3e2802c4-a4d2-4d8b-9148-e3be6c30e623}">
          <xlrd:rvb i="21116"/>
        </ext>
      </extLst>
    </bk>
    <bk>
      <extLst>
        <ext uri="{3e2802c4-a4d2-4d8b-9148-e3be6c30e623}">
          <xlrd:rvb i="21117"/>
        </ext>
      </extLst>
    </bk>
    <bk>
      <extLst>
        <ext uri="{3e2802c4-a4d2-4d8b-9148-e3be6c30e623}">
          <xlrd:rvb i="21118"/>
        </ext>
      </extLst>
    </bk>
    <bk>
      <extLst>
        <ext uri="{3e2802c4-a4d2-4d8b-9148-e3be6c30e623}">
          <xlrd:rvb i="21119"/>
        </ext>
      </extLst>
    </bk>
    <bk>
      <extLst>
        <ext uri="{3e2802c4-a4d2-4d8b-9148-e3be6c30e623}">
          <xlrd:rvb i="21120"/>
        </ext>
      </extLst>
    </bk>
    <bk>
      <extLst>
        <ext uri="{3e2802c4-a4d2-4d8b-9148-e3be6c30e623}">
          <xlrd:rvb i="21121"/>
        </ext>
      </extLst>
    </bk>
    <bk>
      <extLst>
        <ext uri="{3e2802c4-a4d2-4d8b-9148-e3be6c30e623}">
          <xlrd:rvb i="21122"/>
        </ext>
      </extLst>
    </bk>
    <bk>
      <extLst>
        <ext uri="{3e2802c4-a4d2-4d8b-9148-e3be6c30e623}">
          <xlrd:rvb i="21123"/>
        </ext>
      </extLst>
    </bk>
    <bk>
      <extLst>
        <ext uri="{3e2802c4-a4d2-4d8b-9148-e3be6c30e623}">
          <xlrd:rvb i="21124"/>
        </ext>
      </extLst>
    </bk>
    <bk>
      <extLst>
        <ext uri="{3e2802c4-a4d2-4d8b-9148-e3be6c30e623}">
          <xlrd:rvb i="21125"/>
        </ext>
      </extLst>
    </bk>
    <bk>
      <extLst>
        <ext uri="{3e2802c4-a4d2-4d8b-9148-e3be6c30e623}">
          <xlrd:rvb i="21126"/>
        </ext>
      </extLst>
    </bk>
    <bk>
      <extLst>
        <ext uri="{3e2802c4-a4d2-4d8b-9148-e3be6c30e623}">
          <xlrd:rvb i="21127"/>
        </ext>
      </extLst>
    </bk>
    <bk>
      <extLst>
        <ext uri="{3e2802c4-a4d2-4d8b-9148-e3be6c30e623}">
          <xlrd:rvb i="21128"/>
        </ext>
      </extLst>
    </bk>
    <bk>
      <extLst>
        <ext uri="{3e2802c4-a4d2-4d8b-9148-e3be6c30e623}">
          <xlrd:rvb i="21129"/>
        </ext>
      </extLst>
    </bk>
    <bk>
      <extLst>
        <ext uri="{3e2802c4-a4d2-4d8b-9148-e3be6c30e623}">
          <xlrd:rvb i="21130"/>
        </ext>
      </extLst>
    </bk>
    <bk>
      <extLst>
        <ext uri="{3e2802c4-a4d2-4d8b-9148-e3be6c30e623}">
          <xlrd:rvb i="21131"/>
        </ext>
      </extLst>
    </bk>
    <bk>
      <extLst>
        <ext uri="{3e2802c4-a4d2-4d8b-9148-e3be6c30e623}">
          <xlrd:rvb i="21132"/>
        </ext>
      </extLst>
    </bk>
    <bk>
      <extLst>
        <ext uri="{3e2802c4-a4d2-4d8b-9148-e3be6c30e623}">
          <xlrd:rvb i="21133"/>
        </ext>
      </extLst>
    </bk>
    <bk>
      <extLst>
        <ext uri="{3e2802c4-a4d2-4d8b-9148-e3be6c30e623}">
          <xlrd:rvb i="21134"/>
        </ext>
      </extLst>
    </bk>
    <bk>
      <extLst>
        <ext uri="{3e2802c4-a4d2-4d8b-9148-e3be6c30e623}">
          <xlrd:rvb i="21135"/>
        </ext>
      </extLst>
    </bk>
    <bk>
      <extLst>
        <ext uri="{3e2802c4-a4d2-4d8b-9148-e3be6c30e623}">
          <xlrd:rvb i="21136"/>
        </ext>
      </extLst>
    </bk>
    <bk>
      <extLst>
        <ext uri="{3e2802c4-a4d2-4d8b-9148-e3be6c30e623}">
          <xlrd:rvb i="21137"/>
        </ext>
      </extLst>
    </bk>
    <bk>
      <extLst>
        <ext uri="{3e2802c4-a4d2-4d8b-9148-e3be6c30e623}">
          <xlrd:rvb i="21138"/>
        </ext>
      </extLst>
    </bk>
    <bk>
      <extLst>
        <ext uri="{3e2802c4-a4d2-4d8b-9148-e3be6c30e623}">
          <xlrd:rvb i="21139"/>
        </ext>
      </extLst>
    </bk>
    <bk>
      <extLst>
        <ext uri="{3e2802c4-a4d2-4d8b-9148-e3be6c30e623}">
          <xlrd:rvb i="21140"/>
        </ext>
      </extLst>
    </bk>
    <bk>
      <extLst>
        <ext uri="{3e2802c4-a4d2-4d8b-9148-e3be6c30e623}">
          <xlrd:rvb i="21141"/>
        </ext>
      </extLst>
    </bk>
    <bk>
      <extLst>
        <ext uri="{3e2802c4-a4d2-4d8b-9148-e3be6c30e623}">
          <xlrd:rvb i="21142"/>
        </ext>
      </extLst>
    </bk>
    <bk>
      <extLst>
        <ext uri="{3e2802c4-a4d2-4d8b-9148-e3be6c30e623}">
          <xlrd:rvb i="21143"/>
        </ext>
      </extLst>
    </bk>
    <bk>
      <extLst>
        <ext uri="{3e2802c4-a4d2-4d8b-9148-e3be6c30e623}">
          <xlrd:rvb i="21144"/>
        </ext>
      </extLst>
    </bk>
    <bk>
      <extLst>
        <ext uri="{3e2802c4-a4d2-4d8b-9148-e3be6c30e623}">
          <xlrd:rvb i="21145"/>
        </ext>
      </extLst>
    </bk>
    <bk>
      <extLst>
        <ext uri="{3e2802c4-a4d2-4d8b-9148-e3be6c30e623}">
          <xlrd:rvb i="21146"/>
        </ext>
      </extLst>
    </bk>
    <bk>
      <extLst>
        <ext uri="{3e2802c4-a4d2-4d8b-9148-e3be6c30e623}">
          <xlrd:rvb i="21147"/>
        </ext>
      </extLst>
    </bk>
    <bk>
      <extLst>
        <ext uri="{3e2802c4-a4d2-4d8b-9148-e3be6c30e623}">
          <xlrd:rvb i="21148"/>
        </ext>
      </extLst>
    </bk>
    <bk>
      <extLst>
        <ext uri="{3e2802c4-a4d2-4d8b-9148-e3be6c30e623}">
          <xlrd:rvb i="21149"/>
        </ext>
      </extLst>
    </bk>
    <bk>
      <extLst>
        <ext uri="{3e2802c4-a4d2-4d8b-9148-e3be6c30e623}">
          <xlrd:rvb i="21150"/>
        </ext>
      </extLst>
    </bk>
    <bk>
      <extLst>
        <ext uri="{3e2802c4-a4d2-4d8b-9148-e3be6c30e623}">
          <xlrd:rvb i="21151"/>
        </ext>
      </extLst>
    </bk>
    <bk>
      <extLst>
        <ext uri="{3e2802c4-a4d2-4d8b-9148-e3be6c30e623}">
          <xlrd:rvb i="21152"/>
        </ext>
      </extLst>
    </bk>
    <bk>
      <extLst>
        <ext uri="{3e2802c4-a4d2-4d8b-9148-e3be6c30e623}">
          <xlrd:rvb i="21153"/>
        </ext>
      </extLst>
    </bk>
    <bk>
      <extLst>
        <ext uri="{3e2802c4-a4d2-4d8b-9148-e3be6c30e623}">
          <xlrd:rvb i="21154"/>
        </ext>
      </extLst>
    </bk>
    <bk>
      <extLst>
        <ext uri="{3e2802c4-a4d2-4d8b-9148-e3be6c30e623}">
          <xlrd:rvb i="21155"/>
        </ext>
      </extLst>
    </bk>
    <bk>
      <extLst>
        <ext uri="{3e2802c4-a4d2-4d8b-9148-e3be6c30e623}">
          <xlrd:rvb i="21156"/>
        </ext>
      </extLst>
    </bk>
    <bk>
      <extLst>
        <ext uri="{3e2802c4-a4d2-4d8b-9148-e3be6c30e623}">
          <xlrd:rvb i="21157"/>
        </ext>
      </extLst>
    </bk>
    <bk>
      <extLst>
        <ext uri="{3e2802c4-a4d2-4d8b-9148-e3be6c30e623}">
          <xlrd:rvb i="21158"/>
        </ext>
      </extLst>
    </bk>
    <bk>
      <extLst>
        <ext uri="{3e2802c4-a4d2-4d8b-9148-e3be6c30e623}">
          <xlrd:rvb i="21159"/>
        </ext>
      </extLst>
    </bk>
    <bk>
      <extLst>
        <ext uri="{3e2802c4-a4d2-4d8b-9148-e3be6c30e623}">
          <xlrd:rvb i="21160"/>
        </ext>
      </extLst>
    </bk>
    <bk>
      <extLst>
        <ext uri="{3e2802c4-a4d2-4d8b-9148-e3be6c30e623}">
          <xlrd:rvb i="21161"/>
        </ext>
      </extLst>
    </bk>
    <bk>
      <extLst>
        <ext uri="{3e2802c4-a4d2-4d8b-9148-e3be6c30e623}">
          <xlrd:rvb i="21162"/>
        </ext>
      </extLst>
    </bk>
    <bk>
      <extLst>
        <ext uri="{3e2802c4-a4d2-4d8b-9148-e3be6c30e623}">
          <xlrd:rvb i="21163"/>
        </ext>
      </extLst>
    </bk>
    <bk>
      <extLst>
        <ext uri="{3e2802c4-a4d2-4d8b-9148-e3be6c30e623}">
          <xlrd:rvb i="21164"/>
        </ext>
      </extLst>
    </bk>
    <bk>
      <extLst>
        <ext uri="{3e2802c4-a4d2-4d8b-9148-e3be6c30e623}">
          <xlrd:rvb i="21165"/>
        </ext>
      </extLst>
    </bk>
    <bk>
      <extLst>
        <ext uri="{3e2802c4-a4d2-4d8b-9148-e3be6c30e623}">
          <xlrd:rvb i="21166"/>
        </ext>
      </extLst>
    </bk>
    <bk>
      <extLst>
        <ext uri="{3e2802c4-a4d2-4d8b-9148-e3be6c30e623}">
          <xlrd:rvb i="21167"/>
        </ext>
      </extLst>
    </bk>
    <bk>
      <extLst>
        <ext uri="{3e2802c4-a4d2-4d8b-9148-e3be6c30e623}">
          <xlrd:rvb i="21168"/>
        </ext>
      </extLst>
    </bk>
    <bk>
      <extLst>
        <ext uri="{3e2802c4-a4d2-4d8b-9148-e3be6c30e623}">
          <xlrd:rvb i="21169"/>
        </ext>
      </extLst>
    </bk>
    <bk>
      <extLst>
        <ext uri="{3e2802c4-a4d2-4d8b-9148-e3be6c30e623}">
          <xlrd:rvb i="21170"/>
        </ext>
      </extLst>
    </bk>
    <bk>
      <extLst>
        <ext uri="{3e2802c4-a4d2-4d8b-9148-e3be6c30e623}">
          <xlrd:rvb i="21171"/>
        </ext>
      </extLst>
    </bk>
    <bk>
      <extLst>
        <ext uri="{3e2802c4-a4d2-4d8b-9148-e3be6c30e623}">
          <xlrd:rvb i="21172"/>
        </ext>
      </extLst>
    </bk>
    <bk>
      <extLst>
        <ext uri="{3e2802c4-a4d2-4d8b-9148-e3be6c30e623}">
          <xlrd:rvb i="21173"/>
        </ext>
      </extLst>
    </bk>
    <bk>
      <extLst>
        <ext uri="{3e2802c4-a4d2-4d8b-9148-e3be6c30e623}">
          <xlrd:rvb i="21174"/>
        </ext>
      </extLst>
    </bk>
    <bk>
      <extLst>
        <ext uri="{3e2802c4-a4d2-4d8b-9148-e3be6c30e623}">
          <xlrd:rvb i="21175"/>
        </ext>
      </extLst>
    </bk>
    <bk>
      <extLst>
        <ext uri="{3e2802c4-a4d2-4d8b-9148-e3be6c30e623}">
          <xlrd:rvb i="21176"/>
        </ext>
      </extLst>
    </bk>
    <bk>
      <extLst>
        <ext uri="{3e2802c4-a4d2-4d8b-9148-e3be6c30e623}">
          <xlrd:rvb i="21177"/>
        </ext>
      </extLst>
    </bk>
    <bk>
      <extLst>
        <ext uri="{3e2802c4-a4d2-4d8b-9148-e3be6c30e623}">
          <xlrd:rvb i="21178"/>
        </ext>
      </extLst>
    </bk>
    <bk>
      <extLst>
        <ext uri="{3e2802c4-a4d2-4d8b-9148-e3be6c30e623}">
          <xlrd:rvb i="21179"/>
        </ext>
      </extLst>
    </bk>
    <bk>
      <extLst>
        <ext uri="{3e2802c4-a4d2-4d8b-9148-e3be6c30e623}">
          <xlrd:rvb i="21180"/>
        </ext>
      </extLst>
    </bk>
    <bk>
      <extLst>
        <ext uri="{3e2802c4-a4d2-4d8b-9148-e3be6c30e623}">
          <xlrd:rvb i="21181"/>
        </ext>
      </extLst>
    </bk>
    <bk>
      <extLst>
        <ext uri="{3e2802c4-a4d2-4d8b-9148-e3be6c30e623}">
          <xlrd:rvb i="21182"/>
        </ext>
      </extLst>
    </bk>
    <bk>
      <extLst>
        <ext uri="{3e2802c4-a4d2-4d8b-9148-e3be6c30e623}">
          <xlrd:rvb i="21183"/>
        </ext>
      </extLst>
    </bk>
    <bk>
      <extLst>
        <ext uri="{3e2802c4-a4d2-4d8b-9148-e3be6c30e623}">
          <xlrd:rvb i="21184"/>
        </ext>
      </extLst>
    </bk>
    <bk>
      <extLst>
        <ext uri="{3e2802c4-a4d2-4d8b-9148-e3be6c30e623}">
          <xlrd:rvb i="21185"/>
        </ext>
      </extLst>
    </bk>
    <bk>
      <extLst>
        <ext uri="{3e2802c4-a4d2-4d8b-9148-e3be6c30e623}">
          <xlrd:rvb i="21186"/>
        </ext>
      </extLst>
    </bk>
    <bk>
      <extLst>
        <ext uri="{3e2802c4-a4d2-4d8b-9148-e3be6c30e623}">
          <xlrd:rvb i="21187"/>
        </ext>
      </extLst>
    </bk>
    <bk>
      <extLst>
        <ext uri="{3e2802c4-a4d2-4d8b-9148-e3be6c30e623}">
          <xlrd:rvb i="21188"/>
        </ext>
      </extLst>
    </bk>
    <bk>
      <extLst>
        <ext uri="{3e2802c4-a4d2-4d8b-9148-e3be6c30e623}">
          <xlrd:rvb i="21189"/>
        </ext>
      </extLst>
    </bk>
    <bk>
      <extLst>
        <ext uri="{3e2802c4-a4d2-4d8b-9148-e3be6c30e623}">
          <xlrd:rvb i="21190"/>
        </ext>
      </extLst>
    </bk>
    <bk>
      <extLst>
        <ext uri="{3e2802c4-a4d2-4d8b-9148-e3be6c30e623}">
          <xlrd:rvb i="21191"/>
        </ext>
      </extLst>
    </bk>
    <bk>
      <extLst>
        <ext uri="{3e2802c4-a4d2-4d8b-9148-e3be6c30e623}">
          <xlrd:rvb i="21192"/>
        </ext>
      </extLst>
    </bk>
    <bk>
      <extLst>
        <ext uri="{3e2802c4-a4d2-4d8b-9148-e3be6c30e623}">
          <xlrd:rvb i="21193"/>
        </ext>
      </extLst>
    </bk>
    <bk>
      <extLst>
        <ext uri="{3e2802c4-a4d2-4d8b-9148-e3be6c30e623}">
          <xlrd:rvb i="21194"/>
        </ext>
      </extLst>
    </bk>
    <bk>
      <extLst>
        <ext uri="{3e2802c4-a4d2-4d8b-9148-e3be6c30e623}">
          <xlrd:rvb i="21195"/>
        </ext>
      </extLst>
    </bk>
    <bk>
      <extLst>
        <ext uri="{3e2802c4-a4d2-4d8b-9148-e3be6c30e623}">
          <xlrd:rvb i="21196"/>
        </ext>
      </extLst>
    </bk>
    <bk>
      <extLst>
        <ext uri="{3e2802c4-a4d2-4d8b-9148-e3be6c30e623}">
          <xlrd:rvb i="21197"/>
        </ext>
      </extLst>
    </bk>
    <bk>
      <extLst>
        <ext uri="{3e2802c4-a4d2-4d8b-9148-e3be6c30e623}">
          <xlrd:rvb i="21198"/>
        </ext>
      </extLst>
    </bk>
    <bk>
      <extLst>
        <ext uri="{3e2802c4-a4d2-4d8b-9148-e3be6c30e623}">
          <xlrd:rvb i="21199"/>
        </ext>
      </extLst>
    </bk>
    <bk>
      <extLst>
        <ext uri="{3e2802c4-a4d2-4d8b-9148-e3be6c30e623}">
          <xlrd:rvb i="21200"/>
        </ext>
      </extLst>
    </bk>
    <bk>
      <extLst>
        <ext uri="{3e2802c4-a4d2-4d8b-9148-e3be6c30e623}">
          <xlrd:rvb i="21201"/>
        </ext>
      </extLst>
    </bk>
    <bk>
      <extLst>
        <ext uri="{3e2802c4-a4d2-4d8b-9148-e3be6c30e623}">
          <xlrd:rvb i="21202"/>
        </ext>
      </extLst>
    </bk>
    <bk>
      <extLst>
        <ext uri="{3e2802c4-a4d2-4d8b-9148-e3be6c30e623}">
          <xlrd:rvb i="21203"/>
        </ext>
      </extLst>
    </bk>
    <bk>
      <extLst>
        <ext uri="{3e2802c4-a4d2-4d8b-9148-e3be6c30e623}">
          <xlrd:rvb i="21204"/>
        </ext>
      </extLst>
    </bk>
    <bk>
      <extLst>
        <ext uri="{3e2802c4-a4d2-4d8b-9148-e3be6c30e623}">
          <xlrd:rvb i="21205"/>
        </ext>
      </extLst>
    </bk>
    <bk>
      <extLst>
        <ext uri="{3e2802c4-a4d2-4d8b-9148-e3be6c30e623}">
          <xlrd:rvb i="21206"/>
        </ext>
      </extLst>
    </bk>
    <bk>
      <extLst>
        <ext uri="{3e2802c4-a4d2-4d8b-9148-e3be6c30e623}">
          <xlrd:rvb i="21207"/>
        </ext>
      </extLst>
    </bk>
    <bk>
      <extLst>
        <ext uri="{3e2802c4-a4d2-4d8b-9148-e3be6c30e623}">
          <xlrd:rvb i="21208"/>
        </ext>
      </extLst>
    </bk>
    <bk>
      <extLst>
        <ext uri="{3e2802c4-a4d2-4d8b-9148-e3be6c30e623}">
          <xlrd:rvb i="21209"/>
        </ext>
      </extLst>
    </bk>
    <bk>
      <extLst>
        <ext uri="{3e2802c4-a4d2-4d8b-9148-e3be6c30e623}">
          <xlrd:rvb i="21210"/>
        </ext>
      </extLst>
    </bk>
    <bk>
      <extLst>
        <ext uri="{3e2802c4-a4d2-4d8b-9148-e3be6c30e623}">
          <xlrd:rvb i="21211"/>
        </ext>
      </extLst>
    </bk>
    <bk>
      <extLst>
        <ext uri="{3e2802c4-a4d2-4d8b-9148-e3be6c30e623}">
          <xlrd:rvb i="21212"/>
        </ext>
      </extLst>
    </bk>
    <bk>
      <extLst>
        <ext uri="{3e2802c4-a4d2-4d8b-9148-e3be6c30e623}">
          <xlrd:rvb i="21213"/>
        </ext>
      </extLst>
    </bk>
    <bk>
      <extLst>
        <ext uri="{3e2802c4-a4d2-4d8b-9148-e3be6c30e623}">
          <xlrd:rvb i="21214"/>
        </ext>
      </extLst>
    </bk>
    <bk>
      <extLst>
        <ext uri="{3e2802c4-a4d2-4d8b-9148-e3be6c30e623}">
          <xlrd:rvb i="21215"/>
        </ext>
      </extLst>
    </bk>
    <bk>
      <extLst>
        <ext uri="{3e2802c4-a4d2-4d8b-9148-e3be6c30e623}">
          <xlrd:rvb i="21216"/>
        </ext>
      </extLst>
    </bk>
    <bk>
      <extLst>
        <ext uri="{3e2802c4-a4d2-4d8b-9148-e3be6c30e623}">
          <xlrd:rvb i="21217"/>
        </ext>
      </extLst>
    </bk>
    <bk>
      <extLst>
        <ext uri="{3e2802c4-a4d2-4d8b-9148-e3be6c30e623}">
          <xlrd:rvb i="21218"/>
        </ext>
      </extLst>
    </bk>
    <bk>
      <extLst>
        <ext uri="{3e2802c4-a4d2-4d8b-9148-e3be6c30e623}">
          <xlrd:rvb i="21219"/>
        </ext>
      </extLst>
    </bk>
    <bk>
      <extLst>
        <ext uri="{3e2802c4-a4d2-4d8b-9148-e3be6c30e623}">
          <xlrd:rvb i="21220"/>
        </ext>
      </extLst>
    </bk>
    <bk>
      <extLst>
        <ext uri="{3e2802c4-a4d2-4d8b-9148-e3be6c30e623}">
          <xlrd:rvb i="21221"/>
        </ext>
      </extLst>
    </bk>
    <bk>
      <extLst>
        <ext uri="{3e2802c4-a4d2-4d8b-9148-e3be6c30e623}">
          <xlrd:rvb i="21222"/>
        </ext>
      </extLst>
    </bk>
    <bk>
      <extLst>
        <ext uri="{3e2802c4-a4d2-4d8b-9148-e3be6c30e623}">
          <xlrd:rvb i="21223"/>
        </ext>
      </extLst>
    </bk>
    <bk>
      <extLst>
        <ext uri="{3e2802c4-a4d2-4d8b-9148-e3be6c30e623}">
          <xlrd:rvb i="21224"/>
        </ext>
      </extLst>
    </bk>
    <bk>
      <extLst>
        <ext uri="{3e2802c4-a4d2-4d8b-9148-e3be6c30e623}">
          <xlrd:rvb i="21225"/>
        </ext>
      </extLst>
    </bk>
    <bk>
      <extLst>
        <ext uri="{3e2802c4-a4d2-4d8b-9148-e3be6c30e623}">
          <xlrd:rvb i="21226"/>
        </ext>
      </extLst>
    </bk>
    <bk>
      <extLst>
        <ext uri="{3e2802c4-a4d2-4d8b-9148-e3be6c30e623}">
          <xlrd:rvb i="21227"/>
        </ext>
      </extLst>
    </bk>
    <bk>
      <extLst>
        <ext uri="{3e2802c4-a4d2-4d8b-9148-e3be6c30e623}">
          <xlrd:rvb i="21228"/>
        </ext>
      </extLst>
    </bk>
    <bk>
      <extLst>
        <ext uri="{3e2802c4-a4d2-4d8b-9148-e3be6c30e623}">
          <xlrd:rvb i="21229"/>
        </ext>
      </extLst>
    </bk>
    <bk>
      <extLst>
        <ext uri="{3e2802c4-a4d2-4d8b-9148-e3be6c30e623}">
          <xlrd:rvb i="21230"/>
        </ext>
      </extLst>
    </bk>
    <bk>
      <extLst>
        <ext uri="{3e2802c4-a4d2-4d8b-9148-e3be6c30e623}">
          <xlrd:rvb i="21231"/>
        </ext>
      </extLst>
    </bk>
    <bk>
      <extLst>
        <ext uri="{3e2802c4-a4d2-4d8b-9148-e3be6c30e623}">
          <xlrd:rvb i="21232"/>
        </ext>
      </extLst>
    </bk>
    <bk>
      <extLst>
        <ext uri="{3e2802c4-a4d2-4d8b-9148-e3be6c30e623}">
          <xlrd:rvb i="21233"/>
        </ext>
      </extLst>
    </bk>
    <bk>
      <extLst>
        <ext uri="{3e2802c4-a4d2-4d8b-9148-e3be6c30e623}">
          <xlrd:rvb i="21234"/>
        </ext>
      </extLst>
    </bk>
    <bk>
      <extLst>
        <ext uri="{3e2802c4-a4d2-4d8b-9148-e3be6c30e623}">
          <xlrd:rvb i="21235"/>
        </ext>
      </extLst>
    </bk>
    <bk>
      <extLst>
        <ext uri="{3e2802c4-a4d2-4d8b-9148-e3be6c30e623}">
          <xlrd:rvb i="21236"/>
        </ext>
      </extLst>
    </bk>
    <bk>
      <extLst>
        <ext uri="{3e2802c4-a4d2-4d8b-9148-e3be6c30e623}">
          <xlrd:rvb i="21237"/>
        </ext>
      </extLst>
    </bk>
    <bk>
      <extLst>
        <ext uri="{3e2802c4-a4d2-4d8b-9148-e3be6c30e623}">
          <xlrd:rvb i="21238"/>
        </ext>
      </extLst>
    </bk>
    <bk>
      <extLst>
        <ext uri="{3e2802c4-a4d2-4d8b-9148-e3be6c30e623}">
          <xlrd:rvb i="21239"/>
        </ext>
      </extLst>
    </bk>
    <bk>
      <extLst>
        <ext uri="{3e2802c4-a4d2-4d8b-9148-e3be6c30e623}">
          <xlrd:rvb i="21240"/>
        </ext>
      </extLst>
    </bk>
    <bk>
      <extLst>
        <ext uri="{3e2802c4-a4d2-4d8b-9148-e3be6c30e623}">
          <xlrd:rvb i="21241"/>
        </ext>
      </extLst>
    </bk>
    <bk>
      <extLst>
        <ext uri="{3e2802c4-a4d2-4d8b-9148-e3be6c30e623}">
          <xlrd:rvb i="21242"/>
        </ext>
      </extLst>
    </bk>
    <bk>
      <extLst>
        <ext uri="{3e2802c4-a4d2-4d8b-9148-e3be6c30e623}">
          <xlrd:rvb i="21243"/>
        </ext>
      </extLst>
    </bk>
    <bk>
      <extLst>
        <ext uri="{3e2802c4-a4d2-4d8b-9148-e3be6c30e623}">
          <xlrd:rvb i="21244"/>
        </ext>
      </extLst>
    </bk>
    <bk>
      <extLst>
        <ext uri="{3e2802c4-a4d2-4d8b-9148-e3be6c30e623}">
          <xlrd:rvb i="21245"/>
        </ext>
      </extLst>
    </bk>
    <bk>
      <extLst>
        <ext uri="{3e2802c4-a4d2-4d8b-9148-e3be6c30e623}">
          <xlrd:rvb i="21246"/>
        </ext>
      </extLst>
    </bk>
    <bk>
      <extLst>
        <ext uri="{3e2802c4-a4d2-4d8b-9148-e3be6c30e623}">
          <xlrd:rvb i="21247"/>
        </ext>
      </extLst>
    </bk>
    <bk>
      <extLst>
        <ext uri="{3e2802c4-a4d2-4d8b-9148-e3be6c30e623}">
          <xlrd:rvb i="21248"/>
        </ext>
      </extLst>
    </bk>
    <bk>
      <extLst>
        <ext uri="{3e2802c4-a4d2-4d8b-9148-e3be6c30e623}">
          <xlrd:rvb i="21249"/>
        </ext>
      </extLst>
    </bk>
    <bk>
      <extLst>
        <ext uri="{3e2802c4-a4d2-4d8b-9148-e3be6c30e623}">
          <xlrd:rvb i="21250"/>
        </ext>
      </extLst>
    </bk>
    <bk>
      <extLst>
        <ext uri="{3e2802c4-a4d2-4d8b-9148-e3be6c30e623}">
          <xlrd:rvb i="21251"/>
        </ext>
      </extLst>
    </bk>
    <bk>
      <extLst>
        <ext uri="{3e2802c4-a4d2-4d8b-9148-e3be6c30e623}">
          <xlrd:rvb i="21252"/>
        </ext>
      </extLst>
    </bk>
    <bk>
      <extLst>
        <ext uri="{3e2802c4-a4d2-4d8b-9148-e3be6c30e623}">
          <xlrd:rvb i="21253"/>
        </ext>
      </extLst>
    </bk>
    <bk>
      <extLst>
        <ext uri="{3e2802c4-a4d2-4d8b-9148-e3be6c30e623}">
          <xlrd:rvb i="21254"/>
        </ext>
      </extLst>
    </bk>
    <bk>
      <extLst>
        <ext uri="{3e2802c4-a4d2-4d8b-9148-e3be6c30e623}">
          <xlrd:rvb i="21255"/>
        </ext>
      </extLst>
    </bk>
    <bk>
      <extLst>
        <ext uri="{3e2802c4-a4d2-4d8b-9148-e3be6c30e623}">
          <xlrd:rvb i="21256"/>
        </ext>
      </extLst>
    </bk>
    <bk>
      <extLst>
        <ext uri="{3e2802c4-a4d2-4d8b-9148-e3be6c30e623}">
          <xlrd:rvb i="21257"/>
        </ext>
      </extLst>
    </bk>
    <bk>
      <extLst>
        <ext uri="{3e2802c4-a4d2-4d8b-9148-e3be6c30e623}">
          <xlrd:rvb i="21258"/>
        </ext>
      </extLst>
    </bk>
    <bk>
      <extLst>
        <ext uri="{3e2802c4-a4d2-4d8b-9148-e3be6c30e623}">
          <xlrd:rvb i="21259"/>
        </ext>
      </extLst>
    </bk>
    <bk>
      <extLst>
        <ext uri="{3e2802c4-a4d2-4d8b-9148-e3be6c30e623}">
          <xlrd:rvb i="21260"/>
        </ext>
      </extLst>
    </bk>
    <bk>
      <extLst>
        <ext uri="{3e2802c4-a4d2-4d8b-9148-e3be6c30e623}">
          <xlrd:rvb i="21261"/>
        </ext>
      </extLst>
    </bk>
    <bk>
      <extLst>
        <ext uri="{3e2802c4-a4d2-4d8b-9148-e3be6c30e623}">
          <xlrd:rvb i="21262"/>
        </ext>
      </extLst>
    </bk>
    <bk>
      <extLst>
        <ext uri="{3e2802c4-a4d2-4d8b-9148-e3be6c30e623}">
          <xlrd:rvb i="21263"/>
        </ext>
      </extLst>
    </bk>
    <bk>
      <extLst>
        <ext uri="{3e2802c4-a4d2-4d8b-9148-e3be6c30e623}">
          <xlrd:rvb i="21264"/>
        </ext>
      </extLst>
    </bk>
    <bk>
      <extLst>
        <ext uri="{3e2802c4-a4d2-4d8b-9148-e3be6c30e623}">
          <xlrd:rvb i="21265"/>
        </ext>
      </extLst>
    </bk>
    <bk>
      <extLst>
        <ext uri="{3e2802c4-a4d2-4d8b-9148-e3be6c30e623}">
          <xlrd:rvb i="21266"/>
        </ext>
      </extLst>
    </bk>
    <bk>
      <extLst>
        <ext uri="{3e2802c4-a4d2-4d8b-9148-e3be6c30e623}">
          <xlrd:rvb i="21267"/>
        </ext>
      </extLst>
    </bk>
    <bk>
      <extLst>
        <ext uri="{3e2802c4-a4d2-4d8b-9148-e3be6c30e623}">
          <xlrd:rvb i="21268"/>
        </ext>
      </extLst>
    </bk>
    <bk>
      <extLst>
        <ext uri="{3e2802c4-a4d2-4d8b-9148-e3be6c30e623}">
          <xlrd:rvb i="21269"/>
        </ext>
      </extLst>
    </bk>
    <bk>
      <extLst>
        <ext uri="{3e2802c4-a4d2-4d8b-9148-e3be6c30e623}">
          <xlrd:rvb i="21270"/>
        </ext>
      </extLst>
    </bk>
    <bk>
      <extLst>
        <ext uri="{3e2802c4-a4d2-4d8b-9148-e3be6c30e623}">
          <xlrd:rvb i="21271"/>
        </ext>
      </extLst>
    </bk>
    <bk>
      <extLst>
        <ext uri="{3e2802c4-a4d2-4d8b-9148-e3be6c30e623}">
          <xlrd:rvb i="21272"/>
        </ext>
      </extLst>
    </bk>
    <bk>
      <extLst>
        <ext uri="{3e2802c4-a4d2-4d8b-9148-e3be6c30e623}">
          <xlrd:rvb i="21273"/>
        </ext>
      </extLst>
    </bk>
    <bk>
      <extLst>
        <ext uri="{3e2802c4-a4d2-4d8b-9148-e3be6c30e623}">
          <xlrd:rvb i="21274"/>
        </ext>
      </extLst>
    </bk>
    <bk>
      <extLst>
        <ext uri="{3e2802c4-a4d2-4d8b-9148-e3be6c30e623}">
          <xlrd:rvb i="21275"/>
        </ext>
      </extLst>
    </bk>
    <bk>
      <extLst>
        <ext uri="{3e2802c4-a4d2-4d8b-9148-e3be6c30e623}">
          <xlrd:rvb i="21276"/>
        </ext>
      </extLst>
    </bk>
    <bk>
      <extLst>
        <ext uri="{3e2802c4-a4d2-4d8b-9148-e3be6c30e623}">
          <xlrd:rvb i="21277"/>
        </ext>
      </extLst>
    </bk>
    <bk>
      <extLst>
        <ext uri="{3e2802c4-a4d2-4d8b-9148-e3be6c30e623}">
          <xlrd:rvb i="21278"/>
        </ext>
      </extLst>
    </bk>
    <bk>
      <extLst>
        <ext uri="{3e2802c4-a4d2-4d8b-9148-e3be6c30e623}">
          <xlrd:rvb i="21279"/>
        </ext>
      </extLst>
    </bk>
    <bk>
      <extLst>
        <ext uri="{3e2802c4-a4d2-4d8b-9148-e3be6c30e623}">
          <xlrd:rvb i="21280"/>
        </ext>
      </extLst>
    </bk>
    <bk>
      <extLst>
        <ext uri="{3e2802c4-a4d2-4d8b-9148-e3be6c30e623}">
          <xlrd:rvb i="21281"/>
        </ext>
      </extLst>
    </bk>
    <bk>
      <extLst>
        <ext uri="{3e2802c4-a4d2-4d8b-9148-e3be6c30e623}">
          <xlrd:rvb i="21282"/>
        </ext>
      </extLst>
    </bk>
    <bk>
      <extLst>
        <ext uri="{3e2802c4-a4d2-4d8b-9148-e3be6c30e623}">
          <xlrd:rvb i="21283"/>
        </ext>
      </extLst>
    </bk>
    <bk>
      <extLst>
        <ext uri="{3e2802c4-a4d2-4d8b-9148-e3be6c30e623}">
          <xlrd:rvb i="21284"/>
        </ext>
      </extLst>
    </bk>
    <bk>
      <extLst>
        <ext uri="{3e2802c4-a4d2-4d8b-9148-e3be6c30e623}">
          <xlrd:rvb i="21285"/>
        </ext>
      </extLst>
    </bk>
    <bk>
      <extLst>
        <ext uri="{3e2802c4-a4d2-4d8b-9148-e3be6c30e623}">
          <xlrd:rvb i="21286"/>
        </ext>
      </extLst>
    </bk>
    <bk>
      <extLst>
        <ext uri="{3e2802c4-a4d2-4d8b-9148-e3be6c30e623}">
          <xlrd:rvb i="21287"/>
        </ext>
      </extLst>
    </bk>
    <bk>
      <extLst>
        <ext uri="{3e2802c4-a4d2-4d8b-9148-e3be6c30e623}">
          <xlrd:rvb i="21288"/>
        </ext>
      </extLst>
    </bk>
    <bk>
      <extLst>
        <ext uri="{3e2802c4-a4d2-4d8b-9148-e3be6c30e623}">
          <xlrd:rvb i="21289"/>
        </ext>
      </extLst>
    </bk>
    <bk>
      <extLst>
        <ext uri="{3e2802c4-a4d2-4d8b-9148-e3be6c30e623}">
          <xlrd:rvb i="21290"/>
        </ext>
      </extLst>
    </bk>
    <bk>
      <extLst>
        <ext uri="{3e2802c4-a4d2-4d8b-9148-e3be6c30e623}">
          <xlrd:rvb i="21291"/>
        </ext>
      </extLst>
    </bk>
    <bk>
      <extLst>
        <ext uri="{3e2802c4-a4d2-4d8b-9148-e3be6c30e623}">
          <xlrd:rvb i="21292"/>
        </ext>
      </extLst>
    </bk>
    <bk>
      <extLst>
        <ext uri="{3e2802c4-a4d2-4d8b-9148-e3be6c30e623}">
          <xlrd:rvb i="21293"/>
        </ext>
      </extLst>
    </bk>
    <bk>
      <extLst>
        <ext uri="{3e2802c4-a4d2-4d8b-9148-e3be6c30e623}">
          <xlrd:rvb i="21294"/>
        </ext>
      </extLst>
    </bk>
    <bk>
      <extLst>
        <ext uri="{3e2802c4-a4d2-4d8b-9148-e3be6c30e623}">
          <xlrd:rvb i="21295"/>
        </ext>
      </extLst>
    </bk>
    <bk>
      <extLst>
        <ext uri="{3e2802c4-a4d2-4d8b-9148-e3be6c30e623}">
          <xlrd:rvb i="21296"/>
        </ext>
      </extLst>
    </bk>
    <bk>
      <extLst>
        <ext uri="{3e2802c4-a4d2-4d8b-9148-e3be6c30e623}">
          <xlrd:rvb i="21297"/>
        </ext>
      </extLst>
    </bk>
    <bk>
      <extLst>
        <ext uri="{3e2802c4-a4d2-4d8b-9148-e3be6c30e623}">
          <xlrd:rvb i="21298"/>
        </ext>
      </extLst>
    </bk>
    <bk>
      <extLst>
        <ext uri="{3e2802c4-a4d2-4d8b-9148-e3be6c30e623}">
          <xlrd:rvb i="21299"/>
        </ext>
      </extLst>
    </bk>
    <bk>
      <extLst>
        <ext uri="{3e2802c4-a4d2-4d8b-9148-e3be6c30e623}">
          <xlrd:rvb i="21300"/>
        </ext>
      </extLst>
    </bk>
    <bk>
      <extLst>
        <ext uri="{3e2802c4-a4d2-4d8b-9148-e3be6c30e623}">
          <xlrd:rvb i="21301"/>
        </ext>
      </extLst>
    </bk>
    <bk>
      <extLst>
        <ext uri="{3e2802c4-a4d2-4d8b-9148-e3be6c30e623}">
          <xlrd:rvb i="21302"/>
        </ext>
      </extLst>
    </bk>
    <bk>
      <extLst>
        <ext uri="{3e2802c4-a4d2-4d8b-9148-e3be6c30e623}">
          <xlrd:rvb i="21303"/>
        </ext>
      </extLst>
    </bk>
    <bk>
      <extLst>
        <ext uri="{3e2802c4-a4d2-4d8b-9148-e3be6c30e623}">
          <xlrd:rvb i="21304"/>
        </ext>
      </extLst>
    </bk>
    <bk>
      <extLst>
        <ext uri="{3e2802c4-a4d2-4d8b-9148-e3be6c30e623}">
          <xlrd:rvb i="21305"/>
        </ext>
      </extLst>
    </bk>
    <bk>
      <extLst>
        <ext uri="{3e2802c4-a4d2-4d8b-9148-e3be6c30e623}">
          <xlrd:rvb i="21306"/>
        </ext>
      </extLst>
    </bk>
    <bk>
      <extLst>
        <ext uri="{3e2802c4-a4d2-4d8b-9148-e3be6c30e623}">
          <xlrd:rvb i="21307"/>
        </ext>
      </extLst>
    </bk>
    <bk>
      <extLst>
        <ext uri="{3e2802c4-a4d2-4d8b-9148-e3be6c30e623}">
          <xlrd:rvb i="21308"/>
        </ext>
      </extLst>
    </bk>
    <bk>
      <extLst>
        <ext uri="{3e2802c4-a4d2-4d8b-9148-e3be6c30e623}">
          <xlrd:rvb i="21309"/>
        </ext>
      </extLst>
    </bk>
    <bk>
      <extLst>
        <ext uri="{3e2802c4-a4d2-4d8b-9148-e3be6c30e623}">
          <xlrd:rvb i="21310"/>
        </ext>
      </extLst>
    </bk>
    <bk>
      <extLst>
        <ext uri="{3e2802c4-a4d2-4d8b-9148-e3be6c30e623}">
          <xlrd:rvb i="21311"/>
        </ext>
      </extLst>
    </bk>
    <bk>
      <extLst>
        <ext uri="{3e2802c4-a4d2-4d8b-9148-e3be6c30e623}">
          <xlrd:rvb i="21312"/>
        </ext>
      </extLst>
    </bk>
    <bk>
      <extLst>
        <ext uri="{3e2802c4-a4d2-4d8b-9148-e3be6c30e623}">
          <xlrd:rvb i="21313"/>
        </ext>
      </extLst>
    </bk>
    <bk>
      <extLst>
        <ext uri="{3e2802c4-a4d2-4d8b-9148-e3be6c30e623}">
          <xlrd:rvb i="21314"/>
        </ext>
      </extLst>
    </bk>
    <bk>
      <extLst>
        <ext uri="{3e2802c4-a4d2-4d8b-9148-e3be6c30e623}">
          <xlrd:rvb i="21315"/>
        </ext>
      </extLst>
    </bk>
    <bk>
      <extLst>
        <ext uri="{3e2802c4-a4d2-4d8b-9148-e3be6c30e623}">
          <xlrd:rvb i="21316"/>
        </ext>
      </extLst>
    </bk>
    <bk>
      <extLst>
        <ext uri="{3e2802c4-a4d2-4d8b-9148-e3be6c30e623}">
          <xlrd:rvb i="21317"/>
        </ext>
      </extLst>
    </bk>
    <bk>
      <extLst>
        <ext uri="{3e2802c4-a4d2-4d8b-9148-e3be6c30e623}">
          <xlrd:rvb i="21318"/>
        </ext>
      </extLst>
    </bk>
    <bk>
      <extLst>
        <ext uri="{3e2802c4-a4d2-4d8b-9148-e3be6c30e623}">
          <xlrd:rvb i="21319"/>
        </ext>
      </extLst>
    </bk>
    <bk>
      <extLst>
        <ext uri="{3e2802c4-a4d2-4d8b-9148-e3be6c30e623}">
          <xlrd:rvb i="21320"/>
        </ext>
      </extLst>
    </bk>
    <bk>
      <extLst>
        <ext uri="{3e2802c4-a4d2-4d8b-9148-e3be6c30e623}">
          <xlrd:rvb i="21321"/>
        </ext>
      </extLst>
    </bk>
    <bk>
      <extLst>
        <ext uri="{3e2802c4-a4d2-4d8b-9148-e3be6c30e623}">
          <xlrd:rvb i="21322"/>
        </ext>
      </extLst>
    </bk>
    <bk>
      <extLst>
        <ext uri="{3e2802c4-a4d2-4d8b-9148-e3be6c30e623}">
          <xlrd:rvb i="21323"/>
        </ext>
      </extLst>
    </bk>
    <bk>
      <extLst>
        <ext uri="{3e2802c4-a4d2-4d8b-9148-e3be6c30e623}">
          <xlrd:rvb i="21324"/>
        </ext>
      </extLst>
    </bk>
    <bk>
      <extLst>
        <ext uri="{3e2802c4-a4d2-4d8b-9148-e3be6c30e623}">
          <xlrd:rvb i="21325"/>
        </ext>
      </extLst>
    </bk>
    <bk>
      <extLst>
        <ext uri="{3e2802c4-a4d2-4d8b-9148-e3be6c30e623}">
          <xlrd:rvb i="21326"/>
        </ext>
      </extLst>
    </bk>
    <bk>
      <extLst>
        <ext uri="{3e2802c4-a4d2-4d8b-9148-e3be6c30e623}">
          <xlrd:rvb i="21327"/>
        </ext>
      </extLst>
    </bk>
    <bk>
      <extLst>
        <ext uri="{3e2802c4-a4d2-4d8b-9148-e3be6c30e623}">
          <xlrd:rvb i="21328"/>
        </ext>
      </extLst>
    </bk>
    <bk>
      <extLst>
        <ext uri="{3e2802c4-a4d2-4d8b-9148-e3be6c30e623}">
          <xlrd:rvb i="21329"/>
        </ext>
      </extLst>
    </bk>
    <bk>
      <extLst>
        <ext uri="{3e2802c4-a4d2-4d8b-9148-e3be6c30e623}">
          <xlrd:rvb i="21330"/>
        </ext>
      </extLst>
    </bk>
    <bk>
      <extLst>
        <ext uri="{3e2802c4-a4d2-4d8b-9148-e3be6c30e623}">
          <xlrd:rvb i="21331"/>
        </ext>
      </extLst>
    </bk>
    <bk>
      <extLst>
        <ext uri="{3e2802c4-a4d2-4d8b-9148-e3be6c30e623}">
          <xlrd:rvb i="21332"/>
        </ext>
      </extLst>
    </bk>
    <bk>
      <extLst>
        <ext uri="{3e2802c4-a4d2-4d8b-9148-e3be6c30e623}">
          <xlrd:rvb i="21333"/>
        </ext>
      </extLst>
    </bk>
    <bk>
      <extLst>
        <ext uri="{3e2802c4-a4d2-4d8b-9148-e3be6c30e623}">
          <xlrd:rvb i="21334"/>
        </ext>
      </extLst>
    </bk>
    <bk>
      <extLst>
        <ext uri="{3e2802c4-a4d2-4d8b-9148-e3be6c30e623}">
          <xlrd:rvb i="21335"/>
        </ext>
      </extLst>
    </bk>
    <bk>
      <extLst>
        <ext uri="{3e2802c4-a4d2-4d8b-9148-e3be6c30e623}">
          <xlrd:rvb i="21336"/>
        </ext>
      </extLst>
    </bk>
    <bk>
      <extLst>
        <ext uri="{3e2802c4-a4d2-4d8b-9148-e3be6c30e623}">
          <xlrd:rvb i="21337"/>
        </ext>
      </extLst>
    </bk>
  </futureMetadata>
  <cellMetadata count="1">
    <bk>
      <rc t="1" v="0"/>
    </bk>
  </cellMetadata>
  <valueMetadata count="2101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  <bk>
      <rc t="2" v="1468"/>
    </bk>
    <bk>
      <rc t="2" v="1469"/>
    </bk>
    <bk>
      <rc t="2" v="1470"/>
    </bk>
    <bk>
      <rc t="2" v="1471"/>
    </bk>
    <bk>
      <rc t="2" v="1472"/>
    </bk>
    <bk>
      <rc t="2" v="1473"/>
    </bk>
    <bk>
      <rc t="2" v="1474"/>
    </bk>
    <bk>
      <rc t="2" v="1475"/>
    </bk>
    <bk>
      <rc t="2" v="1476"/>
    </bk>
    <bk>
      <rc t="2" v="1477"/>
    </bk>
    <bk>
      <rc t="2" v="1478"/>
    </bk>
    <bk>
      <rc t="2" v="1479"/>
    </bk>
    <bk>
      <rc t="2" v="1480"/>
    </bk>
    <bk>
      <rc t="2" v="1481"/>
    </bk>
    <bk>
      <rc t="2" v="1482"/>
    </bk>
    <bk>
      <rc t="2" v="1483"/>
    </bk>
    <bk>
      <rc t="2" v="1484"/>
    </bk>
    <bk>
      <rc t="2" v="1485"/>
    </bk>
    <bk>
      <rc t="2" v="1486"/>
    </bk>
    <bk>
      <rc t="2" v="1487"/>
    </bk>
    <bk>
      <rc t="2" v="1488"/>
    </bk>
    <bk>
      <rc t="2" v="1489"/>
    </bk>
    <bk>
      <rc t="2" v="1490"/>
    </bk>
    <bk>
      <rc t="2" v="1491"/>
    </bk>
    <bk>
      <rc t="2" v="1492"/>
    </bk>
    <bk>
      <rc t="2" v="1493"/>
    </bk>
    <bk>
      <rc t="2" v="1494"/>
    </bk>
    <bk>
      <rc t="2" v="1495"/>
    </bk>
    <bk>
      <rc t="2" v="1496"/>
    </bk>
    <bk>
      <rc t="2" v="1497"/>
    </bk>
    <bk>
      <rc t="2" v="1498"/>
    </bk>
    <bk>
      <rc t="2" v="1499"/>
    </bk>
    <bk>
      <rc t="2" v="1500"/>
    </bk>
    <bk>
      <rc t="2" v="1501"/>
    </bk>
    <bk>
      <rc t="2" v="1502"/>
    </bk>
    <bk>
      <rc t="2" v="1503"/>
    </bk>
    <bk>
      <rc t="2" v="1504"/>
    </bk>
    <bk>
      <rc t="2" v="1505"/>
    </bk>
    <bk>
      <rc t="2" v="1506"/>
    </bk>
    <bk>
      <rc t="2" v="1507"/>
    </bk>
    <bk>
      <rc t="2" v="1508"/>
    </bk>
    <bk>
      <rc t="2" v="1509"/>
    </bk>
    <bk>
      <rc t="2" v="1510"/>
    </bk>
    <bk>
      <rc t="2" v="1511"/>
    </bk>
    <bk>
      <rc t="2" v="1512"/>
    </bk>
    <bk>
      <rc t="2" v="1513"/>
    </bk>
    <bk>
      <rc t="2" v="1514"/>
    </bk>
    <bk>
      <rc t="2" v="1515"/>
    </bk>
    <bk>
      <rc t="2" v="1516"/>
    </bk>
    <bk>
      <rc t="2" v="1517"/>
    </bk>
    <bk>
      <rc t="2" v="1518"/>
    </bk>
    <bk>
      <rc t="2" v="1519"/>
    </bk>
    <bk>
      <rc t="2" v="1520"/>
    </bk>
    <bk>
      <rc t="2" v="1521"/>
    </bk>
    <bk>
      <rc t="2" v="1522"/>
    </bk>
    <bk>
      <rc t="2" v="1523"/>
    </bk>
    <bk>
      <rc t="2" v="1524"/>
    </bk>
    <bk>
      <rc t="2" v="1525"/>
    </bk>
    <bk>
      <rc t="2" v="1526"/>
    </bk>
    <bk>
      <rc t="2" v="1527"/>
    </bk>
    <bk>
      <rc t="2" v="1528"/>
    </bk>
    <bk>
      <rc t="2" v="1529"/>
    </bk>
    <bk>
      <rc t="2" v="1530"/>
    </bk>
    <bk>
      <rc t="2" v="1531"/>
    </bk>
    <bk>
      <rc t="2" v="1532"/>
    </bk>
    <bk>
      <rc t="2" v="1533"/>
    </bk>
    <bk>
      <rc t="2" v="1534"/>
    </bk>
    <bk>
      <rc t="2" v="1535"/>
    </bk>
    <bk>
      <rc t="2" v="1536"/>
    </bk>
    <bk>
      <rc t="2" v="1537"/>
    </bk>
    <bk>
      <rc t="2" v="1538"/>
    </bk>
    <bk>
      <rc t="2" v="1539"/>
    </bk>
    <bk>
      <rc t="2" v="1540"/>
    </bk>
    <bk>
      <rc t="2" v="1541"/>
    </bk>
    <bk>
      <rc t="2" v="1542"/>
    </bk>
    <bk>
      <rc t="2" v="1543"/>
    </bk>
    <bk>
      <rc t="2" v="1544"/>
    </bk>
    <bk>
      <rc t="2" v="1545"/>
    </bk>
    <bk>
      <rc t="2" v="1546"/>
    </bk>
    <bk>
      <rc t="2" v="1547"/>
    </bk>
    <bk>
      <rc t="2" v="1548"/>
    </bk>
    <bk>
      <rc t="2" v="1549"/>
    </bk>
    <bk>
      <rc t="2" v="1550"/>
    </bk>
    <bk>
      <rc t="2" v="1551"/>
    </bk>
    <bk>
      <rc t="2" v="1552"/>
    </bk>
    <bk>
      <rc t="2" v="1553"/>
    </bk>
    <bk>
      <rc t="2" v="1554"/>
    </bk>
    <bk>
      <rc t="2" v="1555"/>
    </bk>
    <bk>
      <rc t="2" v="1556"/>
    </bk>
    <bk>
      <rc t="2" v="1557"/>
    </bk>
    <bk>
      <rc t="2" v="1558"/>
    </bk>
    <bk>
      <rc t="2" v="1559"/>
    </bk>
    <bk>
      <rc t="2" v="1560"/>
    </bk>
    <bk>
      <rc t="2" v="1561"/>
    </bk>
    <bk>
      <rc t="2" v="1562"/>
    </bk>
    <bk>
      <rc t="2" v="1563"/>
    </bk>
    <bk>
      <rc t="2" v="1564"/>
    </bk>
    <bk>
      <rc t="2" v="1565"/>
    </bk>
    <bk>
      <rc t="2" v="1566"/>
    </bk>
    <bk>
      <rc t="2" v="1567"/>
    </bk>
    <bk>
      <rc t="2" v="1568"/>
    </bk>
    <bk>
      <rc t="2" v="1569"/>
    </bk>
    <bk>
      <rc t="2" v="1570"/>
    </bk>
    <bk>
      <rc t="2" v="1571"/>
    </bk>
    <bk>
      <rc t="2" v="1572"/>
    </bk>
    <bk>
      <rc t="2" v="1573"/>
    </bk>
    <bk>
      <rc t="2" v="1574"/>
    </bk>
    <bk>
      <rc t="2" v="1575"/>
    </bk>
    <bk>
      <rc t="2" v="1576"/>
    </bk>
    <bk>
      <rc t="2" v="1577"/>
    </bk>
    <bk>
      <rc t="2" v="1578"/>
    </bk>
    <bk>
      <rc t="2" v="1579"/>
    </bk>
    <bk>
      <rc t="2" v="1580"/>
    </bk>
    <bk>
      <rc t="2" v="1581"/>
    </bk>
    <bk>
      <rc t="2" v="1582"/>
    </bk>
    <bk>
      <rc t="2" v="1583"/>
    </bk>
    <bk>
      <rc t="2" v="1584"/>
    </bk>
    <bk>
      <rc t="2" v="1585"/>
    </bk>
    <bk>
      <rc t="2" v="1586"/>
    </bk>
    <bk>
      <rc t="2" v="1587"/>
    </bk>
    <bk>
      <rc t="2" v="1588"/>
    </bk>
    <bk>
      <rc t="2" v="1589"/>
    </bk>
    <bk>
      <rc t="2" v="1590"/>
    </bk>
    <bk>
      <rc t="2" v="1591"/>
    </bk>
    <bk>
      <rc t="2" v="1592"/>
    </bk>
    <bk>
      <rc t="2" v="1593"/>
    </bk>
    <bk>
      <rc t="2" v="1594"/>
    </bk>
    <bk>
      <rc t="2" v="1595"/>
    </bk>
    <bk>
      <rc t="2" v="1596"/>
    </bk>
    <bk>
      <rc t="2" v="1597"/>
    </bk>
    <bk>
      <rc t="2" v="1598"/>
    </bk>
    <bk>
      <rc t="2" v="1599"/>
    </bk>
    <bk>
      <rc t="2" v="1600"/>
    </bk>
    <bk>
      <rc t="2" v="1601"/>
    </bk>
    <bk>
      <rc t="2" v="1602"/>
    </bk>
    <bk>
      <rc t="2" v="1603"/>
    </bk>
    <bk>
      <rc t="2" v="1604"/>
    </bk>
    <bk>
      <rc t="2" v="1605"/>
    </bk>
    <bk>
      <rc t="2" v="1606"/>
    </bk>
    <bk>
      <rc t="2" v="1607"/>
    </bk>
    <bk>
      <rc t="2" v="1608"/>
    </bk>
    <bk>
      <rc t="2" v="1609"/>
    </bk>
    <bk>
      <rc t="2" v="1610"/>
    </bk>
    <bk>
      <rc t="2" v="1611"/>
    </bk>
    <bk>
      <rc t="2" v="1612"/>
    </bk>
    <bk>
      <rc t="2" v="1613"/>
    </bk>
    <bk>
      <rc t="2" v="1614"/>
    </bk>
    <bk>
      <rc t="2" v="1615"/>
    </bk>
    <bk>
      <rc t="2" v="1616"/>
    </bk>
    <bk>
      <rc t="2" v="1617"/>
    </bk>
    <bk>
      <rc t="2" v="1618"/>
    </bk>
    <bk>
      <rc t="2" v="1619"/>
    </bk>
    <bk>
      <rc t="2" v="1620"/>
    </bk>
    <bk>
      <rc t="2" v="1621"/>
    </bk>
    <bk>
      <rc t="2" v="1622"/>
    </bk>
    <bk>
      <rc t="2" v="1623"/>
    </bk>
    <bk>
      <rc t="2" v="1624"/>
    </bk>
    <bk>
      <rc t="2" v="1625"/>
    </bk>
    <bk>
      <rc t="2" v="1626"/>
    </bk>
    <bk>
      <rc t="2" v="1627"/>
    </bk>
    <bk>
      <rc t="2" v="1628"/>
    </bk>
    <bk>
      <rc t="2" v="1629"/>
    </bk>
    <bk>
      <rc t="2" v="1630"/>
    </bk>
    <bk>
      <rc t="2" v="1631"/>
    </bk>
    <bk>
      <rc t="2" v="1632"/>
    </bk>
    <bk>
      <rc t="2" v="1633"/>
    </bk>
    <bk>
      <rc t="2" v="1634"/>
    </bk>
    <bk>
      <rc t="2" v="1635"/>
    </bk>
    <bk>
      <rc t="2" v="1636"/>
    </bk>
    <bk>
      <rc t="2" v="1637"/>
    </bk>
    <bk>
      <rc t="2" v="1638"/>
    </bk>
    <bk>
      <rc t="2" v="1639"/>
    </bk>
    <bk>
      <rc t="2" v="1640"/>
    </bk>
    <bk>
      <rc t="2" v="1641"/>
    </bk>
    <bk>
      <rc t="2" v="1642"/>
    </bk>
    <bk>
      <rc t="2" v="1643"/>
    </bk>
    <bk>
      <rc t="2" v="1644"/>
    </bk>
    <bk>
      <rc t="2" v="1645"/>
    </bk>
    <bk>
      <rc t="2" v="1646"/>
    </bk>
    <bk>
      <rc t="2" v="1647"/>
    </bk>
    <bk>
      <rc t="2" v="1648"/>
    </bk>
    <bk>
      <rc t="2" v="1649"/>
    </bk>
    <bk>
      <rc t="2" v="1650"/>
    </bk>
    <bk>
      <rc t="2" v="1651"/>
    </bk>
    <bk>
      <rc t="2" v="1652"/>
    </bk>
    <bk>
      <rc t="2" v="1653"/>
    </bk>
    <bk>
      <rc t="2" v="1654"/>
    </bk>
    <bk>
      <rc t="2" v="1655"/>
    </bk>
    <bk>
      <rc t="2" v="1656"/>
    </bk>
    <bk>
      <rc t="2" v="1657"/>
    </bk>
    <bk>
      <rc t="2" v="1658"/>
    </bk>
    <bk>
      <rc t="2" v="1659"/>
    </bk>
    <bk>
      <rc t="2" v="1660"/>
    </bk>
    <bk>
      <rc t="2" v="1661"/>
    </bk>
    <bk>
      <rc t="2" v="1662"/>
    </bk>
    <bk>
      <rc t="2" v="1663"/>
    </bk>
    <bk>
      <rc t="2" v="1664"/>
    </bk>
    <bk>
      <rc t="2" v="1665"/>
    </bk>
    <bk>
      <rc t="2" v="1666"/>
    </bk>
    <bk>
      <rc t="2" v="1667"/>
    </bk>
    <bk>
      <rc t="2" v="1668"/>
    </bk>
    <bk>
      <rc t="2" v="1669"/>
    </bk>
    <bk>
      <rc t="2" v="1670"/>
    </bk>
    <bk>
      <rc t="2" v="1671"/>
    </bk>
    <bk>
      <rc t="2" v="1672"/>
    </bk>
    <bk>
      <rc t="2" v="1673"/>
    </bk>
    <bk>
      <rc t="2" v="1674"/>
    </bk>
    <bk>
      <rc t="2" v="1675"/>
    </bk>
    <bk>
      <rc t="2" v="1676"/>
    </bk>
    <bk>
      <rc t="2" v="1677"/>
    </bk>
    <bk>
      <rc t="2" v="1678"/>
    </bk>
    <bk>
      <rc t="2" v="1679"/>
    </bk>
    <bk>
      <rc t="2" v="1680"/>
    </bk>
    <bk>
      <rc t="2" v="1681"/>
    </bk>
    <bk>
      <rc t="2" v="1682"/>
    </bk>
    <bk>
      <rc t="2" v="1683"/>
    </bk>
    <bk>
      <rc t="2" v="1684"/>
    </bk>
    <bk>
      <rc t="2" v="1685"/>
    </bk>
    <bk>
      <rc t="2" v="1686"/>
    </bk>
    <bk>
      <rc t="2" v="1687"/>
    </bk>
    <bk>
      <rc t="2" v="1688"/>
    </bk>
    <bk>
      <rc t="2" v="1689"/>
    </bk>
    <bk>
      <rc t="2" v="1690"/>
    </bk>
    <bk>
      <rc t="2" v="1691"/>
    </bk>
    <bk>
      <rc t="2" v="1692"/>
    </bk>
    <bk>
      <rc t="2" v="1693"/>
    </bk>
    <bk>
      <rc t="2" v="1694"/>
    </bk>
    <bk>
      <rc t="2" v="1695"/>
    </bk>
    <bk>
      <rc t="2" v="1696"/>
    </bk>
    <bk>
      <rc t="2" v="1697"/>
    </bk>
    <bk>
      <rc t="2" v="1698"/>
    </bk>
    <bk>
      <rc t="2" v="1699"/>
    </bk>
    <bk>
      <rc t="2" v="1700"/>
    </bk>
    <bk>
      <rc t="2" v="1701"/>
    </bk>
    <bk>
      <rc t="2" v="1702"/>
    </bk>
    <bk>
      <rc t="2" v="1703"/>
    </bk>
    <bk>
      <rc t="2" v="1704"/>
    </bk>
    <bk>
      <rc t="2" v="1705"/>
    </bk>
    <bk>
      <rc t="2" v="1706"/>
    </bk>
    <bk>
      <rc t="2" v="1707"/>
    </bk>
    <bk>
      <rc t="2" v="1708"/>
    </bk>
    <bk>
      <rc t="2" v="1709"/>
    </bk>
    <bk>
      <rc t="2" v="1710"/>
    </bk>
    <bk>
      <rc t="2" v="1711"/>
    </bk>
    <bk>
      <rc t="2" v="1712"/>
    </bk>
    <bk>
      <rc t="2" v="1713"/>
    </bk>
    <bk>
      <rc t="2" v="1714"/>
    </bk>
    <bk>
      <rc t="2" v="1715"/>
    </bk>
    <bk>
      <rc t="2" v="1716"/>
    </bk>
    <bk>
      <rc t="2" v="1717"/>
    </bk>
    <bk>
      <rc t="2" v="1718"/>
    </bk>
    <bk>
      <rc t="2" v="1719"/>
    </bk>
    <bk>
      <rc t="2" v="1720"/>
    </bk>
    <bk>
      <rc t="2" v="1721"/>
    </bk>
    <bk>
      <rc t="2" v="1722"/>
    </bk>
    <bk>
      <rc t="2" v="1723"/>
    </bk>
    <bk>
      <rc t="2" v="1724"/>
    </bk>
    <bk>
      <rc t="2" v="1725"/>
    </bk>
    <bk>
      <rc t="2" v="1726"/>
    </bk>
    <bk>
      <rc t="2" v="1727"/>
    </bk>
    <bk>
      <rc t="2" v="1728"/>
    </bk>
    <bk>
      <rc t="2" v="1729"/>
    </bk>
    <bk>
      <rc t="2" v="1730"/>
    </bk>
    <bk>
      <rc t="2" v="1731"/>
    </bk>
    <bk>
      <rc t="2" v="1732"/>
    </bk>
    <bk>
      <rc t="2" v="1733"/>
    </bk>
    <bk>
      <rc t="2" v="1734"/>
    </bk>
    <bk>
      <rc t="2" v="1735"/>
    </bk>
    <bk>
      <rc t="2" v="1736"/>
    </bk>
    <bk>
      <rc t="2" v="1737"/>
    </bk>
    <bk>
      <rc t="2" v="1738"/>
    </bk>
    <bk>
      <rc t="2" v="1739"/>
    </bk>
    <bk>
      <rc t="2" v="1740"/>
    </bk>
    <bk>
      <rc t="2" v="1741"/>
    </bk>
    <bk>
      <rc t="2" v="1742"/>
    </bk>
    <bk>
      <rc t="2" v="1743"/>
    </bk>
    <bk>
      <rc t="2" v="1744"/>
    </bk>
    <bk>
      <rc t="2" v="1745"/>
    </bk>
    <bk>
      <rc t="2" v="1746"/>
    </bk>
    <bk>
      <rc t="2" v="1747"/>
    </bk>
    <bk>
      <rc t="2" v="1748"/>
    </bk>
    <bk>
      <rc t="2" v="1749"/>
    </bk>
    <bk>
      <rc t="2" v="1750"/>
    </bk>
    <bk>
      <rc t="2" v="1751"/>
    </bk>
    <bk>
      <rc t="2" v="1752"/>
    </bk>
    <bk>
      <rc t="2" v="1753"/>
    </bk>
    <bk>
      <rc t="2" v="1754"/>
    </bk>
    <bk>
      <rc t="2" v="1755"/>
    </bk>
    <bk>
      <rc t="2" v="1756"/>
    </bk>
    <bk>
      <rc t="2" v="1757"/>
    </bk>
    <bk>
      <rc t="2" v="1758"/>
    </bk>
    <bk>
      <rc t="2" v="1759"/>
    </bk>
    <bk>
      <rc t="2" v="1760"/>
    </bk>
    <bk>
      <rc t="2" v="1761"/>
    </bk>
    <bk>
      <rc t="2" v="1762"/>
    </bk>
    <bk>
      <rc t="2" v="1763"/>
    </bk>
    <bk>
      <rc t="2" v="1764"/>
    </bk>
    <bk>
      <rc t="2" v="1765"/>
    </bk>
    <bk>
      <rc t="2" v="1766"/>
    </bk>
    <bk>
      <rc t="2" v="1767"/>
    </bk>
    <bk>
      <rc t="2" v="1768"/>
    </bk>
    <bk>
      <rc t="2" v="1769"/>
    </bk>
    <bk>
      <rc t="2" v="1770"/>
    </bk>
    <bk>
      <rc t="2" v="1771"/>
    </bk>
    <bk>
      <rc t="2" v="1772"/>
    </bk>
    <bk>
      <rc t="2" v="1773"/>
    </bk>
    <bk>
      <rc t="2" v="1774"/>
    </bk>
    <bk>
      <rc t="2" v="1775"/>
    </bk>
    <bk>
      <rc t="2" v="1776"/>
    </bk>
    <bk>
      <rc t="2" v="1777"/>
    </bk>
    <bk>
      <rc t="2" v="1778"/>
    </bk>
    <bk>
      <rc t="2" v="1779"/>
    </bk>
    <bk>
      <rc t="2" v="1780"/>
    </bk>
    <bk>
      <rc t="2" v="1781"/>
    </bk>
    <bk>
      <rc t="2" v="1782"/>
    </bk>
    <bk>
      <rc t="2" v="1783"/>
    </bk>
    <bk>
      <rc t="2" v="1784"/>
    </bk>
    <bk>
      <rc t="2" v="1785"/>
    </bk>
    <bk>
      <rc t="2" v="1786"/>
    </bk>
    <bk>
      <rc t="2" v="1787"/>
    </bk>
    <bk>
      <rc t="2" v="1788"/>
    </bk>
    <bk>
      <rc t="2" v="1789"/>
    </bk>
    <bk>
      <rc t="2" v="1790"/>
    </bk>
    <bk>
      <rc t="2" v="1791"/>
    </bk>
    <bk>
      <rc t="2" v="1792"/>
    </bk>
    <bk>
      <rc t="2" v="1793"/>
    </bk>
    <bk>
      <rc t="2" v="1794"/>
    </bk>
    <bk>
      <rc t="2" v="1795"/>
    </bk>
    <bk>
      <rc t="2" v="1796"/>
    </bk>
    <bk>
      <rc t="2" v="1797"/>
    </bk>
    <bk>
      <rc t="2" v="1798"/>
    </bk>
    <bk>
      <rc t="2" v="1799"/>
    </bk>
    <bk>
      <rc t="2" v="1800"/>
    </bk>
    <bk>
      <rc t="2" v="1801"/>
    </bk>
    <bk>
      <rc t="2" v="1802"/>
    </bk>
    <bk>
      <rc t="2" v="1803"/>
    </bk>
    <bk>
      <rc t="2" v="1804"/>
    </bk>
    <bk>
      <rc t="2" v="1805"/>
    </bk>
    <bk>
      <rc t="2" v="1806"/>
    </bk>
    <bk>
      <rc t="2" v="1807"/>
    </bk>
    <bk>
      <rc t="2" v="1808"/>
    </bk>
    <bk>
      <rc t="2" v="1809"/>
    </bk>
    <bk>
      <rc t="2" v="1810"/>
    </bk>
    <bk>
      <rc t="2" v="1811"/>
    </bk>
    <bk>
      <rc t="2" v="1812"/>
    </bk>
    <bk>
      <rc t="2" v="1813"/>
    </bk>
    <bk>
      <rc t="2" v="1814"/>
    </bk>
    <bk>
      <rc t="2" v="1815"/>
    </bk>
    <bk>
      <rc t="2" v="1816"/>
    </bk>
    <bk>
      <rc t="2" v="1817"/>
    </bk>
    <bk>
      <rc t="2" v="1818"/>
    </bk>
    <bk>
      <rc t="2" v="1819"/>
    </bk>
    <bk>
      <rc t="2" v="1820"/>
    </bk>
    <bk>
      <rc t="2" v="1821"/>
    </bk>
    <bk>
      <rc t="2" v="1822"/>
    </bk>
    <bk>
      <rc t="2" v="1823"/>
    </bk>
    <bk>
      <rc t="2" v="1824"/>
    </bk>
    <bk>
      <rc t="2" v="1825"/>
    </bk>
    <bk>
      <rc t="2" v="1826"/>
    </bk>
    <bk>
      <rc t="2" v="1827"/>
    </bk>
    <bk>
      <rc t="2" v="1828"/>
    </bk>
    <bk>
      <rc t="2" v="1829"/>
    </bk>
    <bk>
      <rc t="2" v="1830"/>
    </bk>
    <bk>
      <rc t="2" v="1831"/>
    </bk>
    <bk>
      <rc t="2" v="1832"/>
    </bk>
    <bk>
      <rc t="2" v="1833"/>
    </bk>
    <bk>
      <rc t="2" v="1834"/>
    </bk>
    <bk>
      <rc t="2" v="1835"/>
    </bk>
    <bk>
      <rc t="2" v="1836"/>
    </bk>
    <bk>
      <rc t="2" v="1837"/>
    </bk>
    <bk>
      <rc t="2" v="1838"/>
    </bk>
    <bk>
      <rc t="2" v="1839"/>
    </bk>
    <bk>
      <rc t="2" v="1840"/>
    </bk>
    <bk>
      <rc t="2" v="1841"/>
    </bk>
    <bk>
      <rc t="2" v="1842"/>
    </bk>
    <bk>
      <rc t="2" v="1843"/>
    </bk>
    <bk>
      <rc t="2" v="1844"/>
    </bk>
    <bk>
      <rc t="2" v="1845"/>
    </bk>
    <bk>
      <rc t="2" v="1846"/>
    </bk>
    <bk>
      <rc t="2" v="1847"/>
    </bk>
    <bk>
      <rc t="2" v="1848"/>
    </bk>
    <bk>
      <rc t="2" v="1849"/>
    </bk>
    <bk>
      <rc t="2" v="1850"/>
    </bk>
    <bk>
      <rc t="2" v="1851"/>
    </bk>
    <bk>
      <rc t="2" v="1852"/>
    </bk>
    <bk>
      <rc t="2" v="1853"/>
    </bk>
    <bk>
      <rc t="2" v="1854"/>
    </bk>
    <bk>
      <rc t="2" v="1855"/>
    </bk>
    <bk>
      <rc t="2" v="1856"/>
    </bk>
    <bk>
      <rc t="2" v="1857"/>
    </bk>
    <bk>
      <rc t="2" v="1858"/>
    </bk>
    <bk>
      <rc t="2" v="1859"/>
    </bk>
    <bk>
      <rc t="2" v="1860"/>
    </bk>
    <bk>
      <rc t="2" v="1861"/>
    </bk>
    <bk>
      <rc t="2" v="1862"/>
    </bk>
    <bk>
      <rc t="2" v="1863"/>
    </bk>
    <bk>
      <rc t="2" v="1864"/>
    </bk>
    <bk>
      <rc t="2" v="1865"/>
    </bk>
    <bk>
      <rc t="2" v="1866"/>
    </bk>
    <bk>
      <rc t="2" v="1867"/>
    </bk>
    <bk>
      <rc t="2" v="1868"/>
    </bk>
    <bk>
      <rc t="2" v="1869"/>
    </bk>
    <bk>
      <rc t="2" v="1870"/>
    </bk>
    <bk>
      <rc t="2" v="1871"/>
    </bk>
    <bk>
      <rc t="2" v="1872"/>
    </bk>
    <bk>
      <rc t="2" v="1873"/>
    </bk>
    <bk>
      <rc t="2" v="1874"/>
    </bk>
    <bk>
      <rc t="2" v="1875"/>
    </bk>
    <bk>
      <rc t="2" v="1876"/>
    </bk>
    <bk>
      <rc t="2" v="1877"/>
    </bk>
    <bk>
      <rc t="2" v="1878"/>
    </bk>
    <bk>
      <rc t="2" v="1879"/>
    </bk>
    <bk>
      <rc t="2" v="1880"/>
    </bk>
    <bk>
      <rc t="2" v="1881"/>
    </bk>
    <bk>
      <rc t="2" v="1882"/>
    </bk>
    <bk>
      <rc t="2" v="1883"/>
    </bk>
    <bk>
      <rc t="2" v="1884"/>
    </bk>
    <bk>
      <rc t="2" v="1885"/>
    </bk>
    <bk>
      <rc t="2" v="1886"/>
    </bk>
    <bk>
      <rc t="2" v="1887"/>
    </bk>
    <bk>
      <rc t="2" v="1888"/>
    </bk>
    <bk>
      <rc t="2" v="1889"/>
    </bk>
    <bk>
      <rc t="2" v="1890"/>
    </bk>
    <bk>
      <rc t="2" v="1891"/>
    </bk>
    <bk>
      <rc t="2" v="1892"/>
    </bk>
    <bk>
      <rc t="2" v="1893"/>
    </bk>
    <bk>
      <rc t="2" v="1894"/>
    </bk>
    <bk>
      <rc t="2" v="1895"/>
    </bk>
    <bk>
      <rc t="2" v="1896"/>
    </bk>
    <bk>
      <rc t="2" v="1897"/>
    </bk>
    <bk>
      <rc t="2" v="1898"/>
    </bk>
    <bk>
      <rc t="2" v="1899"/>
    </bk>
    <bk>
      <rc t="2" v="1900"/>
    </bk>
    <bk>
      <rc t="2" v="1901"/>
    </bk>
    <bk>
      <rc t="2" v="1902"/>
    </bk>
    <bk>
      <rc t="2" v="1903"/>
    </bk>
    <bk>
      <rc t="2" v="1904"/>
    </bk>
    <bk>
      <rc t="2" v="1905"/>
    </bk>
    <bk>
      <rc t="2" v="1906"/>
    </bk>
    <bk>
      <rc t="2" v="1907"/>
    </bk>
    <bk>
      <rc t="2" v="1908"/>
    </bk>
    <bk>
      <rc t="2" v="1909"/>
    </bk>
    <bk>
      <rc t="2" v="1910"/>
    </bk>
    <bk>
      <rc t="2" v="1911"/>
    </bk>
    <bk>
      <rc t="2" v="1912"/>
    </bk>
    <bk>
      <rc t="2" v="1913"/>
    </bk>
    <bk>
      <rc t="2" v="1914"/>
    </bk>
    <bk>
      <rc t="2" v="1915"/>
    </bk>
    <bk>
      <rc t="2" v="1916"/>
    </bk>
    <bk>
      <rc t="2" v="1917"/>
    </bk>
    <bk>
      <rc t="2" v="1918"/>
    </bk>
    <bk>
      <rc t="2" v="1919"/>
    </bk>
    <bk>
      <rc t="2" v="1920"/>
    </bk>
    <bk>
      <rc t="2" v="1921"/>
    </bk>
    <bk>
      <rc t="2" v="1922"/>
    </bk>
    <bk>
      <rc t="2" v="1923"/>
    </bk>
    <bk>
      <rc t="2" v="1924"/>
    </bk>
    <bk>
      <rc t="2" v="1925"/>
    </bk>
    <bk>
      <rc t="2" v="1926"/>
    </bk>
    <bk>
      <rc t="2" v="1927"/>
    </bk>
    <bk>
      <rc t="2" v="1928"/>
    </bk>
    <bk>
      <rc t="2" v="1929"/>
    </bk>
    <bk>
      <rc t="2" v="1930"/>
    </bk>
    <bk>
      <rc t="2" v="1931"/>
    </bk>
    <bk>
      <rc t="2" v="1932"/>
    </bk>
    <bk>
      <rc t="2" v="1933"/>
    </bk>
    <bk>
      <rc t="2" v="1934"/>
    </bk>
    <bk>
      <rc t="2" v="1935"/>
    </bk>
    <bk>
      <rc t="2" v="1936"/>
    </bk>
    <bk>
      <rc t="2" v="1937"/>
    </bk>
    <bk>
      <rc t="2" v="1938"/>
    </bk>
    <bk>
      <rc t="2" v="1939"/>
    </bk>
    <bk>
      <rc t="2" v="1940"/>
    </bk>
    <bk>
      <rc t="2" v="1941"/>
    </bk>
    <bk>
      <rc t="2" v="1942"/>
    </bk>
    <bk>
      <rc t="2" v="1943"/>
    </bk>
    <bk>
      <rc t="2" v="1944"/>
    </bk>
    <bk>
      <rc t="2" v="1945"/>
    </bk>
    <bk>
      <rc t="2" v="1946"/>
    </bk>
    <bk>
      <rc t="2" v="1947"/>
    </bk>
    <bk>
      <rc t="2" v="1948"/>
    </bk>
    <bk>
      <rc t="2" v="1949"/>
    </bk>
    <bk>
      <rc t="2" v="1950"/>
    </bk>
    <bk>
      <rc t="2" v="1951"/>
    </bk>
    <bk>
      <rc t="2" v="1952"/>
    </bk>
    <bk>
      <rc t="2" v="1953"/>
    </bk>
    <bk>
      <rc t="2" v="1954"/>
    </bk>
    <bk>
      <rc t="2" v="1955"/>
    </bk>
    <bk>
      <rc t="2" v="1956"/>
    </bk>
    <bk>
      <rc t="2" v="1957"/>
    </bk>
    <bk>
      <rc t="2" v="1958"/>
    </bk>
    <bk>
      <rc t="2" v="1959"/>
    </bk>
    <bk>
      <rc t="2" v="1960"/>
    </bk>
    <bk>
      <rc t="2" v="1961"/>
    </bk>
    <bk>
      <rc t="2" v="1962"/>
    </bk>
    <bk>
      <rc t="2" v="1963"/>
    </bk>
    <bk>
      <rc t="2" v="1964"/>
    </bk>
    <bk>
      <rc t="2" v="1965"/>
    </bk>
    <bk>
      <rc t="2" v="1966"/>
    </bk>
    <bk>
      <rc t="2" v="1967"/>
    </bk>
    <bk>
      <rc t="2" v="1968"/>
    </bk>
    <bk>
      <rc t="2" v="1969"/>
    </bk>
    <bk>
      <rc t="2" v="1970"/>
    </bk>
    <bk>
      <rc t="2" v="1971"/>
    </bk>
    <bk>
      <rc t="2" v="1972"/>
    </bk>
    <bk>
      <rc t="2" v="1973"/>
    </bk>
    <bk>
      <rc t="2" v="1974"/>
    </bk>
    <bk>
      <rc t="2" v="1975"/>
    </bk>
    <bk>
      <rc t="2" v="1976"/>
    </bk>
    <bk>
      <rc t="2" v="1977"/>
    </bk>
    <bk>
      <rc t="2" v="1978"/>
    </bk>
    <bk>
      <rc t="2" v="1979"/>
    </bk>
    <bk>
      <rc t="2" v="1980"/>
    </bk>
    <bk>
      <rc t="2" v="1981"/>
    </bk>
    <bk>
      <rc t="2" v="1982"/>
    </bk>
    <bk>
      <rc t="2" v="1983"/>
    </bk>
    <bk>
      <rc t="2" v="1984"/>
    </bk>
    <bk>
      <rc t="2" v="1985"/>
    </bk>
    <bk>
      <rc t="2" v="1986"/>
    </bk>
    <bk>
      <rc t="2" v="1987"/>
    </bk>
    <bk>
      <rc t="2" v="1988"/>
    </bk>
    <bk>
      <rc t="2" v="1989"/>
    </bk>
    <bk>
      <rc t="2" v="1990"/>
    </bk>
    <bk>
      <rc t="2" v="1991"/>
    </bk>
    <bk>
      <rc t="2" v="1992"/>
    </bk>
    <bk>
      <rc t="2" v="1993"/>
    </bk>
    <bk>
      <rc t="2" v="1994"/>
    </bk>
    <bk>
      <rc t="2" v="1995"/>
    </bk>
    <bk>
      <rc t="2" v="1996"/>
    </bk>
    <bk>
      <rc t="2" v="1997"/>
    </bk>
    <bk>
      <rc t="2" v="1998"/>
    </bk>
    <bk>
      <rc t="2" v="1999"/>
    </bk>
    <bk>
      <rc t="2" v="2000"/>
    </bk>
    <bk>
      <rc t="2" v="2001"/>
    </bk>
    <bk>
      <rc t="2" v="2002"/>
    </bk>
    <bk>
      <rc t="2" v="2003"/>
    </bk>
    <bk>
      <rc t="2" v="2004"/>
    </bk>
    <bk>
      <rc t="2" v="2005"/>
    </bk>
    <bk>
      <rc t="2" v="2006"/>
    </bk>
    <bk>
      <rc t="2" v="2007"/>
    </bk>
    <bk>
      <rc t="2" v="2008"/>
    </bk>
    <bk>
      <rc t="2" v="2009"/>
    </bk>
    <bk>
      <rc t="2" v="2010"/>
    </bk>
    <bk>
      <rc t="2" v="2011"/>
    </bk>
    <bk>
      <rc t="2" v="2012"/>
    </bk>
    <bk>
      <rc t="2" v="2013"/>
    </bk>
    <bk>
      <rc t="2" v="2014"/>
    </bk>
    <bk>
      <rc t="2" v="2015"/>
    </bk>
    <bk>
      <rc t="2" v="2016"/>
    </bk>
    <bk>
      <rc t="2" v="2017"/>
    </bk>
    <bk>
      <rc t="2" v="2018"/>
    </bk>
    <bk>
      <rc t="2" v="2019"/>
    </bk>
    <bk>
      <rc t="2" v="2020"/>
    </bk>
    <bk>
      <rc t="2" v="2021"/>
    </bk>
    <bk>
      <rc t="2" v="2022"/>
    </bk>
    <bk>
      <rc t="2" v="2023"/>
    </bk>
    <bk>
      <rc t="2" v="2024"/>
    </bk>
    <bk>
      <rc t="2" v="2025"/>
    </bk>
    <bk>
      <rc t="2" v="2026"/>
    </bk>
    <bk>
      <rc t="2" v="2027"/>
    </bk>
    <bk>
      <rc t="2" v="2028"/>
    </bk>
    <bk>
      <rc t="2" v="2029"/>
    </bk>
    <bk>
      <rc t="2" v="2030"/>
    </bk>
    <bk>
      <rc t="2" v="2031"/>
    </bk>
    <bk>
      <rc t="2" v="2032"/>
    </bk>
    <bk>
      <rc t="2" v="2033"/>
    </bk>
    <bk>
      <rc t="2" v="2034"/>
    </bk>
    <bk>
      <rc t="2" v="2035"/>
    </bk>
    <bk>
      <rc t="2" v="2036"/>
    </bk>
    <bk>
      <rc t="2" v="2037"/>
    </bk>
    <bk>
      <rc t="2" v="2038"/>
    </bk>
    <bk>
      <rc t="2" v="2039"/>
    </bk>
    <bk>
      <rc t="2" v="2040"/>
    </bk>
    <bk>
      <rc t="2" v="2041"/>
    </bk>
    <bk>
      <rc t="2" v="2042"/>
    </bk>
    <bk>
      <rc t="2" v="2043"/>
    </bk>
    <bk>
      <rc t="2" v="2044"/>
    </bk>
    <bk>
      <rc t="2" v="2045"/>
    </bk>
    <bk>
      <rc t="2" v="2046"/>
    </bk>
    <bk>
      <rc t="2" v="2047"/>
    </bk>
    <bk>
      <rc t="2" v="2048"/>
    </bk>
    <bk>
      <rc t="2" v="2049"/>
    </bk>
    <bk>
      <rc t="2" v="2050"/>
    </bk>
    <bk>
      <rc t="2" v="2051"/>
    </bk>
    <bk>
      <rc t="2" v="2052"/>
    </bk>
    <bk>
      <rc t="2" v="2053"/>
    </bk>
    <bk>
      <rc t="2" v="2054"/>
    </bk>
    <bk>
      <rc t="2" v="2055"/>
    </bk>
    <bk>
      <rc t="2" v="2056"/>
    </bk>
    <bk>
      <rc t="2" v="2057"/>
    </bk>
    <bk>
      <rc t="2" v="2058"/>
    </bk>
    <bk>
      <rc t="2" v="2059"/>
    </bk>
    <bk>
      <rc t="2" v="2060"/>
    </bk>
    <bk>
      <rc t="2" v="2061"/>
    </bk>
    <bk>
      <rc t="2" v="2062"/>
    </bk>
    <bk>
      <rc t="2" v="2063"/>
    </bk>
    <bk>
      <rc t="2" v="2064"/>
    </bk>
    <bk>
      <rc t="2" v="2065"/>
    </bk>
    <bk>
      <rc t="2" v="2066"/>
    </bk>
    <bk>
      <rc t="2" v="2067"/>
    </bk>
    <bk>
      <rc t="2" v="2068"/>
    </bk>
    <bk>
      <rc t="2" v="2069"/>
    </bk>
    <bk>
      <rc t="2" v="2070"/>
    </bk>
    <bk>
      <rc t="2" v="2071"/>
    </bk>
    <bk>
      <rc t="2" v="2072"/>
    </bk>
    <bk>
      <rc t="2" v="2073"/>
    </bk>
    <bk>
      <rc t="2" v="2074"/>
    </bk>
    <bk>
      <rc t="2" v="2075"/>
    </bk>
    <bk>
      <rc t="2" v="2076"/>
    </bk>
    <bk>
      <rc t="2" v="2077"/>
    </bk>
    <bk>
      <rc t="2" v="2078"/>
    </bk>
    <bk>
      <rc t="2" v="2079"/>
    </bk>
    <bk>
      <rc t="2" v="2080"/>
    </bk>
    <bk>
      <rc t="2" v="2081"/>
    </bk>
    <bk>
      <rc t="2" v="2082"/>
    </bk>
    <bk>
      <rc t="2" v="2083"/>
    </bk>
    <bk>
      <rc t="2" v="2084"/>
    </bk>
    <bk>
      <rc t="2" v="2085"/>
    </bk>
    <bk>
      <rc t="2" v="2086"/>
    </bk>
    <bk>
      <rc t="2" v="2087"/>
    </bk>
    <bk>
      <rc t="2" v="2088"/>
    </bk>
    <bk>
      <rc t="2" v="2089"/>
    </bk>
    <bk>
      <rc t="2" v="2090"/>
    </bk>
    <bk>
      <rc t="2" v="2091"/>
    </bk>
    <bk>
      <rc t="2" v="2092"/>
    </bk>
    <bk>
      <rc t="2" v="2093"/>
    </bk>
    <bk>
      <rc t="2" v="2094"/>
    </bk>
    <bk>
      <rc t="2" v="2095"/>
    </bk>
    <bk>
      <rc t="2" v="2096"/>
    </bk>
    <bk>
      <rc t="2" v="2097"/>
    </bk>
    <bk>
      <rc t="2" v="2098"/>
    </bk>
    <bk>
      <rc t="2" v="2099"/>
    </bk>
    <bk>
      <rc t="2" v="2100"/>
    </bk>
    <bk>
      <rc t="2" v="2101"/>
    </bk>
    <bk>
      <rc t="2" v="2102"/>
    </bk>
    <bk>
      <rc t="2" v="2103"/>
    </bk>
    <bk>
      <rc t="2" v="2104"/>
    </bk>
    <bk>
      <rc t="2" v="2105"/>
    </bk>
    <bk>
      <rc t="2" v="2106"/>
    </bk>
    <bk>
      <rc t="2" v="2107"/>
    </bk>
    <bk>
      <rc t="2" v="2108"/>
    </bk>
    <bk>
      <rc t="2" v="2109"/>
    </bk>
    <bk>
      <rc t="2" v="2110"/>
    </bk>
    <bk>
      <rc t="2" v="2111"/>
    </bk>
    <bk>
      <rc t="2" v="2112"/>
    </bk>
    <bk>
      <rc t="2" v="2113"/>
    </bk>
    <bk>
      <rc t="2" v="2114"/>
    </bk>
    <bk>
      <rc t="2" v="2115"/>
    </bk>
    <bk>
      <rc t="2" v="2116"/>
    </bk>
    <bk>
      <rc t="2" v="2117"/>
    </bk>
    <bk>
      <rc t="2" v="2118"/>
    </bk>
    <bk>
      <rc t="2" v="2119"/>
    </bk>
    <bk>
      <rc t="2" v="2120"/>
    </bk>
    <bk>
      <rc t="2" v="2121"/>
    </bk>
    <bk>
      <rc t="2" v="2122"/>
    </bk>
    <bk>
      <rc t="2" v="2123"/>
    </bk>
    <bk>
      <rc t="2" v="2124"/>
    </bk>
    <bk>
      <rc t="2" v="2125"/>
    </bk>
    <bk>
      <rc t="2" v="2126"/>
    </bk>
    <bk>
      <rc t="2" v="2127"/>
    </bk>
    <bk>
      <rc t="2" v="2128"/>
    </bk>
    <bk>
      <rc t="2" v="2129"/>
    </bk>
    <bk>
      <rc t="2" v="2130"/>
    </bk>
    <bk>
      <rc t="2" v="2131"/>
    </bk>
    <bk>
      <rc t="2" v="2132"/>
    </bk>
    <bk>
      <rc t="2" v="2133"/>
    </bk>
    <bk>
      <rc t="2" v="2134"/>
    </bk>
    <bk>
      <rc t="2" v="2135"/>
    </bk>
    <bk>
      <rc t="2" v="2136"/>
    </bk>
    <bk>
      <rc t="2" v="2137"/>
    </bk>
    <bk>
      <rc t="2" v="2138"/>
    </bk>
    <bk>
      <rc t="2" v="2139"/>
    </bk>
    <bk>
      <rc t="2" v="2140"/>
    </bk>
    <bk>
      <rc t="2" v="2141"/>
    </bk>
    <bk>
      <rc t="2" v="2142"/>
    </bk>
    <bk>
      <rc t="2" v="2143"/>
    </bk>
    <bk>
      <rc t="2" v="2144"/>
    </bk>
    <bk>
      <rc t="2" v="2145"/>
    </bk>
    <bk>
      <rc t="2" v="2146"/>
    </bk>
    <bk>
      <rc t="2" v="2147"/>
    </bk>
    <bk>
      <rc t="2" v="2148"/>
    </bk>
    <bk>
      <rc t="2" v="2149"/>
    </bk>
    <bk>
      <rc t="2" v="2150"/>
    </bk>
    <bk>
      <rc t="2" v="2151"/>
    </bk>
    <bk>
      <rc t="2" v="2152"/>
    </bk>
    <bk>
      <rc t="2" v="2153"/>
    </bk>
    <bk>
      <rc t="2" v="2154"/>
    </bk>
    <bk>
      <rc t="2" v="2155"/>
    </bk>
    <bk>
      <rc t="2" v="2156"/>
    </bk>
    <bk>
      <rc t="2" v="2157"/>
    </bk>
    <bk>
      <rc t="2" v="2158"/>
    </bk>
    <bk>
      <rc t="2" v="2159"/>
    </bk>
    <bk>
      <rc t="2" v="2160"/>
    </bk>
    <bk>
      <rc t="2" v="2161"/>
    </bk>
    <bk>
      <rc t="2" v="2162"/>
    </bk>
    <bk>
      <rc t="2" v="2163"/>
    </bk>
    <bk>
      <rc t="2" v="2164"/>
    </bk>
    <bk>
      <rc t="2" v="2165"/>
    </bk>
    <bk>
      <rc t="2" v="2166"/>
    </bk>
    <bk>
      <rc t="2" v="2167"/>
    </bk>
    <bk>
      <rc t="2" v="2168"/>
    </bk>
    <bk>
      <rc t="2" v="2169"/>
    </bk>
    <bk>
      <rc t="2" v="2170"/>
    </bk>
    <bk>
      <rc t="2" v="2171"/>
    </bk>
    <bk>
      <rc t="2" v="2172"/>
    </bk>
    <bk>
      <rc t="2" v="2173"/>
    </bk>
    <bk>
      <rc t="2" v="2174"/>
    </bk>
    <bk>
      <rc t="2" v="2175"/>
    </bk>
    <bk>
      <rc t="2" v="2176"/>
    </bk>
    <bk>
      <rc t="2" v="2177"/>
    </bk>
    <bk>
      <rc t="2" v="2178"/>
    </bk>
    <bk>
      <rc t="2" v="2179"/>
    </bk>
    <bk>
      <rc t="2" v="2180"/>
    </bk>
    <bk>
      <rc t="2" v="2181"/>
    </bk>
    <bk>
      <rc t="2" v="2182"/>
    </bk>
    <bk>
      <rc t="2" v="2183"/>
    </bk>
    <bk>
      <rc t="2" v="2184"/>
    </bk>
    <bk>
      <rc t="2" v="2185"/>
    </bk>
    <bk>
      <rc t="2" v="2186"/>
    </bk>
    <bk>
      <rc t="2" v="2187"/>
    </bk>
    <bk>
      <rc t="2" v="2188"/>
    </bk>
    <bk>
      <rc t="2" v="2189"/>
    </bk>
    <bk>
      <rc t="2" v="2190"/>
    </bk>
    <bk>
      <rc t="2" v="2191"/>
    </bk>
    <bk>
      <rc t="2" v="2192"/>
    </bk>
    <bk>
      <rc t="2" v="2193"/>
    </bk>
    <bk>
      <rc t="2" v="2194"/>
    </bk>
    <bk>
      <rc t="2" v="2195"/>
    </bk>
    <bk>
      <rc t="2" v="2196"/>
    </bk>
    <bk>
      <rc t="2" v="2197"/>
    </bk>
    <bk>
      <rc t="2" v="2198"/>
    </bk>
    <bk>
      <rc t="2" v="2199"/>
    </bk>
    <bk>
      <rc t="2" v="2200"/>
    </bk>
    <bk>
      <rc t="2" v="2201"/>
    </bk>
    <bk>
      <rc t="2" v="2202"/>
    </bk>
    <bk>
      <rc t="2" v="2203"/>
    </bk>
    <bk>
      <rc t="2" v="2204"/>
    </bk>
    <bk>
      <rc t="2" v="2205"/>
    </bk>
    <bk>
      <rc t="2" v="2206"/>
    </bk>
    <bk>
      <rc t="2" v="2207"/>
    </bk>
    <bk>
      <rc t="2" v="2208"/>
    </bk>
    <bk>
      <rc t="2" v="2209"/>
    </bk>
    <bk>
      <rc t="2" v="2210"/>
    </bk>
    <bk>
      <rc t="2" v="2211"/>
    </bk>
    <bk>
      <rc t="2" v="2212"/>
    </bk>
    <bk>
      <rc t="2" v="2213"/>
    </bk>
    <bk>
      <rc t="2" v="2214"/>
    </bk>
    <bk>
      <rc t="2" v="2215"/>
    </bk>
    <bk>
      <rc t="2" v="2216"/>
    </bk>
    <bk>
      <rc t="2" v="2217"/>
    </bk>
    <bk>
      <rc t="2" v="2218"/>
    </bk>
    <bk>
      <rc t="2" v="2219"/>
    </bk>
    <bk>
      <rc t="2" v="2220"/>
    </bk>
    <bk>
      <rc t="2" v="2221"/>
    </bk>
    <bk>
      <rc t="2" v="2222"/>
    </bk>
    <bk>
      <rc t="2" v="2223"/>
    </bk>
    <bk>
      <rc t="2" v="2224"/>
    </bk>
    <bk>
      <rc t="2" v="2225"/>
    </bk>
    <bk>
      <rc t="2" v="2226"/>
    </bk>
    <bk>
      <rc t="2" v="2227"/>
    </bk>
    <bk>
      <rc t="2" v="2228"/>
    </bk>
    <bk>
      <rc t="2" v="2229"/>
    </bk>
    <bk>
      <rc t="2" v="2230"/>
    </bk>
    <bk>
      <rc t="2" v="2231"/>
    </bk>
    <bk>
      <rc t="2" v="2232"/>
    </bk>
    <bk>
      <rc t="2" v="2233"/>
    </bk>
    <bk>
      <rc t="2" v="2234"/>
    </bk>
    <bk>
      <rc t="2" v="2235"/>
    </bk>
    <bk>
      <rc t="2" v="2236"/>
    </bk>
    <bk>
      <rc t="2" v="2237"/>
    </bk>
    <bk>
      <rc t="2" v="2238"/>
    </bk>
    <bk>
      <rc t="2" v="2239"/>
    </bk>
    <bk>
      <rc t="2" v="2240"/>
    </bk>
    <bk>
      <rc t="2" v="2241"/>
    </bk>
    <bk>
      <rc t="2" v="2242"/>
    </bk>
    <bk>
      <rc t="2" v="2243"/>
    </bk>
    <bk>
      <rc t="2" v="2244"/>
    </bk>
    <bk>
      <rc t="2" v="2245"/>
    </bk>
    <bk>
      <rc t="2" v="2246"/>
    </bk>
    <bk>
      <rc t="2" v="2247"/>
    </bk>
    <bk>
      <rc t="2" v="2248"/>
    </bk>
    <bk>
      <rc t="2" v="2249"/>
    </bk>
    <bk>
      <rc t="2" v="2250"/>
    </bk>
    <bk>
      <rc t="2" v="2251"/>
    </bk>
    <bk>
      <rc t="2" v="2252"/>
    </bk>
    <bk>
      <rc t="2" v="2253"/>
    </bk>
    <bk>
      <rc t="2" v="2254"/>
    </bk>
    <bk>
      <rc t="2" v="2255"/>
    </bk>
    <bk>
      <rc t="2" v="2256"/>
    </bk>
    <bk>
      <rc t="2" v="2257"/>
    </bk>
    <bk>
      <rc t="2" v="2258"/>
    </bk>
    <bk>
      <rc t="2" v="2259"/>
    </bk>
    <bk>
      <rc t="2" v="2260"/>
    </bk>
    <bk>
      <rc t="2" v="2261"/>
    </bk>
    <bk>
      <rc t="2" v="2262"/>
    </bk>
    <bk>
      <rc t="2" v="2263"/>
    </bk>
    <bk>
      <rc t="2" v="2264"/>
    </bk>
    <bk>
      <rc t="2" v="2265"/>
    </bk>
    <bk>
      <rc t="2" v="2266"/>
    </bk>
    <bk>
      <rc t="2" v="2267"/>
    </bk>
    <bk>
      <rc t="2" v="2268"/>
    </bk>
    <bk>
      <rc t="2" v="2269"/>
    </bk>
    <bk>
      <rc t="2" v="2270"/>
    </bk>
    <bk>
      <rc t="2" v="2271"/>
    </bk>
    <bk>
      <rc t="2" v="2272"/>
    </bk>
    <bk>
      <rc t="2" v="2273"/>
    </bk>
    <bk>
      <rc t="2" v="2274"/>
    </bk>
    <bk>
      <rc t="2" v="2275"/>
    </bk>
    <bk>
      <rc t="2" v="2276"/>
    </bk>
    <bk>
      <rc t="2" v="2277"/>
    </bk>
    <bk>
      <rc t="2" v="2278"/>
    </bk>
    <bk>
      <rc t="2" v="2279"/>
    </bk>
    <bk>
      <rc t="2" v="2280"/>
    </bk>
    <bk>
      <rc t="2" v="2281"/>
    </bk>
    <bk>
      <rc t="2" v="2282"/>
    </bk>
    <bk>
      <rc t="2" v="2283"/>
    </bk>
    <bk>
      <rc t="2" v="2284"/>
    </bk>
    <bk>
      <rc t="2" v="2285"/>
    </bk>
    <bk>
      <rc t="2" v="2286"/>
    </bk>
    <bk>
      <rc t="2" v="2287"/>
    </bk>
    <bk>
      <rc t="2" v="2288"/>
    </bk>
    <bk>
      <rc t="2" v="2289"/>
    </bk>
    <bk>
      <rc t="2" v="2290"/>
    </bk>
    <bk>
      <rc t="2" v="2291"/>
    </bk>
    <bk>
      <rc t="2" v="2292"/>
    </bk>
    <bk>
      <rc t="2" v="2293"/>
    </bk>
    <bk>
      <rc t="2" v="2294"/>
    </bk>
    <bk>
      <rc t="2" v="2295"/>
    </bk>
    <bk>
      <rc t="2" v="2296"/>
    </bk>
    <bk>
      <rc t="2" v="2297"/>
    </bk>
    <bk>
      <rc t="2" v="2298"/>
    </bk>
    <bk>
      <rc t="2" v="2299"/>
    </bk>
    <bk>
      <rc t="2" v="2300"/>
    </bk>
    <bk>
      <rc t="2" v="2301"/>
    </bk>
    <bk>
      <rc t="2" v="2302"/>
    </bk>
    <bk>
      <rc t="2" v="2303"/>
    </bk>
    <bk>
      <rc t="2" v="2304"/>
    </bk>
    <bk>
      <rc t="2" v="2305"/>
    </bk>
    <bk>
      <rc t="2" v="2306"/>
    </bk>
    <bk>
      <rc t="2" v="2307"/>
    </bk>
    <bk>
      <rc t="2" v="2308"/>
    </bk>
    <bk>
      <rc t="2" v="2309"/>
    </bk>
    <bk>
      <rc t="2" v="2310"/>
    </bk>
    <bk>
      <rc t="2" v="2311"/>
    </bk>
    <bk>
      <rc t="2" v="2312"/>
    </bk>
    <bk>
      <rc t="2" v="2313"/>
    </bk>
    <bk>
      <rc t="2" v="2314"/>
    </bk>
    <bk>
      <rc t="2" v="2315"/>
    </bk>
    <bk>
      <rc t="2" v="2316"/>
    </bk>
    <bk>
      <rc t="2" v="2317"/>
    </bk>
    <bk>
      <rc t="2" v="2318"/>
    </bk>
    <bk>
      <rc t="2" v="2319"/>
    </bk>
    <bk>
      <rc t="2" v="2320"/>
    </bk>
    <bk>
      <rc t="2" v="2321"/>
    </bk>
    <bk>
      <rc t="2" v="2322"/>
    </bk>
    <bk>
      <rc t="2" v="2323"/>
    </bk>
    <bk>
      <rc t="2" v="2324"/>
    </bk>
    <bk>
      <rc t="2" v="2325"/>
    </bk>
    <bk>
      <rc t="2" v="2326"/>
    </bk>
    <bk>
      <rc t="2" v="2327"/>
    </bk>
    <bk>
      <rc t="2" v="2328"/>
    </bk>
    <bk>
      <rc t="2" v="2329"/>
    </bk>
    <bk>
      <rc t="2" v="2330"/>
    </bk>
    <bk>
      <rc t="2" v="2331"/>
    </bk>
    <bk>
      <rc t="2" v="2332"/>
    </bk>
    <bk>
      <rc t="2" v="2333"/>
    </bk>
    <bk>
      <rc t="2" v="2334"/>
    </bk>
    <bk>
      <rc t="2" v="2335"/>
    </bk>
    <bk>
      <rc t="2" v="2336"/>
    </bk>
    <bk>
      <rc t="2" v="2337"/>
    </bk>
    <bk>
      <rc t="2" v="2338"/>
    </bk>
    <bk>
      <rc t="2" v="2339"/>
    </bk>
    <bk>
      <rc t="2" v="2340"/>
    </bk>
    <bk>
      <rc t="2" v="2341"/>
    </bk>
    <bk>
      <rc t="2" v="2342"/>
    </bk>
    <bk>
      <rc t="2" v="2343"/>
    </bk>
    <bk>
      <rc t="2" v="2344"/>
    </bk>
    <bk>
      <rc t="2" v="2345"/>
    </bk>
    <bk>
      <rc t="2" v="2346"/>
    </bk>
    <bk>
      <rc t="2" v="2347"/>
    </bk>
    <bk>
      <rc t="2" v="2348"/>
    </bk>
    <bk>
      <rc t="2" v="2349"/>
    </bk>
    <bk>
      <rc t="2" v="2350"/>
    </bk>
    <bk>
      <rc t="2" v="2351"/>
    </bk>
    <bk>
      <rc t="2" v="2352"/>
    </bk>
    <bk>
      <rc t="2" v="2353"/>
    </bk>
    <bk>
      <rc t="2" v="2354"/>
    </bk>
    <bk>
      <rc t="2" v="2355"/>
    </bk>
    <bk>
      <rc t="2" v="2356"/>
    </bk>
    <bk>
      <rc t="2" v="2357"/>
    </bk>
    <bk>
      <rc t="2" v="2358"/>
    </bk>
    <bk>
      <rc t="2" v="2359"/>
    </bk>
    <bk>
      <rc t="2" v="2360"/>
    </bk>
    <bk>
      <rc t="2" v="2361"/>
    </bk>
    <bk>
      <rc t="2" v="2362"/>
    </bk>
    <bk>
      <rc t="2" v="2363"/>
    </bk>
    <bk>
      <rc t="2" v="2364"/>
    </bk>
    <bk>
      <rc t="2" v="2365"/>
    </bk>
    <bk>
      <rc t="2" v="2366"/>
    </bk>
    <bk>
      <rc t="2" v="2367"/>
    </bk>
    <bk>
      <rc t="2" v="2368"/>
    </bk>
    <bk>
      <rc t="2" v="2369"/>
    </bk>
    <bk>
      <rc t="2" v="2370"/>
    </bk>
    <bk>
      <rc t="2" v="2371"/>
    </bk>
    <bk>
      <rc t="2" v="2372"/>
    </bk>
    <bk>
      <rc t="2" v="2373"/>
    </bk>
    <bk>
      <rc t="2" v="2374"/>
    </bk>
    <bk>
      <rc t="2" v="2375"/>
    </bk>
    <bk>
      <rc t="2" v="2376"/>
    </bk>
    <bk>
      <rc t="2" v="2377"/>
    </bk>
    <bk>
      <rc t="2" v="2378"/>
    </bk>
    <bk>
      <rc t="2" v="2379"/>
    </bk>
    <bk>
      <rc t="2" v="2380"/>
    </bk>
    <bk>
      <rc t="2" v="2381"/>
    </bk>
    <bk>
      <rc t="2" v="2382"/>
    </bk>
    <bk>
      <rc t="2" v="2383"/>
    </bk>
    <bk>
      <rc t="2" v="2384"/>
    </bk>
    <bk>
      <rc t="2" v="2385"/>
    </bk>
    <bk>
      <rc t="2" v="2386"/>
    </bk>
    <bk>
      <rc t="2" v="2387"/>
    </bk>
    <bk>
      <rc t="2" v="2388"/>
    </bk>
    <bk>
      <rc t="2" v="2389"/>
    </bk>
    <bk>
      <rc t="2" v="2390"/>
    </bk>
    <bk>
      <rc t="2" v="2391"/>
    </bk>
    <bk>
      <rc t="2" v="2392"/>
    </bk>
    <bk>
      <rc t="2" v="2393"/>
    </bk>
    <bk>
      <rc t="2" v="2394"/>
    </bk>
    <bk>
      <rc t="2" v="2395"/>
    </bk>
    <bk>
      <rc t="2" v="2396"/>
    </bk>
    <bk>
      <rc t="2" v="2397"/>
    </bk>
    <bk>
      <rc t="2" v="2398"/>
    </bk>
    <bk>
      <rc t="2" v="2399"/>
    </bk>
    <bk>
      <rc t="2" v="2400"/>
    </bk>
    <bk>
      <rc t="2" v="2401"/>
    </bk>
    <bk>
      <rc t="2" v="2402"/>
    </bk>
    <bk>
      <rc t="2" v="2403"/>
    </bk>
    <bk>
      <rc t="2" v="2404"/>
    </bk>
    <bk>
      <rc t="2" v="2405"/>
    </bk>
    <bk>
      <rc t="2" v="2406"/>
    </bk>
    <bk>
      <rc t="2" v="2407"/>
    </bk>
    <bk>
      <rc t="2" v="2408"/>
    </bk>
    <bk>
      <rc t="2" v="2409"/>
    </bk>
    <bk>
      <rc t="2" v="2410"/>
    </bk>
    <bk>
      <rc t="2" v="2411"/>
    </bk>
    <bk>
      <rc t="2" v="2412"/>
    </bk>
    <bk>
      <rc t="2" v="2413"/>
    </bk>
    <bk>
      <rc t="2" v="2414"/>
    </bk>
    <bk>
      <rc t="2" v="2415"/>
    </bk>
    <bk>
      <rc t="2" v="2416"/>
    </bk>
    <bk>
      <rc t="2" v="2417"/>
    </bk>
    <bk>
      <rc t="2" v="2418"/>
    </bk>
    <bk>
      <rc t="2" v="2419"/>
    </bk>
    <bk>
      <rc t="2" v="2420"/>
    </bk>
    <bk>
      <rc t="2" v="2421"/>
    </bk>
    <bk>
      <rc t="2" v="2422"/>
    </bk>
    <bk>
      <rc t="2" v="2423"/>
    </bk>
    <bk>
      <rc t="2" v="2424"/>
    </bk>
    <bk>
      <rc t="2" v="2425"/>
    </bk>
    <bk>
      <rc t="2" v="2426"/>
    </bk>
    <bk>
      <rc t="2" v="2427"/>
    </bk>
    <bk>
      <rc t="2" v="2428"/>
    </bk>
    <bk>
      <rc t="2" v="2429"/>
    </bk>
    <bk>
      <rc t="2" v="2430"/>
    </bk>
    <bk>
      <rc t="2" v="2431"/>
    </bk>
    <bk>
      <rc t="2" v="2432"/>
    </bk>
    <bk>
      <rc t="2" v="2433"/>
    </bk>
    <bk>
      <rc t="2" v="2434"/>
    </bk>
    <bk>
      <rc t="2" v="2435"/>
    </bk>
    <bk>
      <rc t="2" v="2436"/>
    </bk>
    <bk>
      <rc t="2" v="2437"/>
    </bk>
    <bk>
      <rc t="2" v="2438"/>
    </bk>
    <bk>
      <rc t="2" v="2439"/>
    </bk>
    <bk>
      <rc t="2" v="2440"/>
    </bk>
    <bk>
      <rc t="2" v="2441"/>
    </bk>
    <bk>
      <rc t="2" v="2442"/>
    </bk>
    <bk>
      <rc t="2" v="2443"/>
    </bk>
    <bk>
      <rc t="2" v="2444"/>
    </bk>
    <bk>
      <rc t="2" v="2445"/>
    </bk>
    <bk>
      <rc t="2" v="2446"/>
    </bk>
    <bk>
      <rc t="2" v="2447"/>
    </bk>
    <bk>
      <rc t="2" v="2448"/>
    </bk>
    <bk>
      <rc t="2" v="2449"/>
    </bk>
    <bk>
      <rc t="2" v="2450"/>
    </bk>
    <bk>
      <rc t="2" v="2451"/>
    </bk>
    <bk>
      <rc t="2" v="2452"/>
    </bk>
    <bk>
      <rc t="2" v="2453"/>
    </bk>
    <bk>
      <rc t="2" v="2454"/>
    </bk>
    <bk>
      <rc t="2" v="2455"/>
    </bk>
    <bk>
      <rc t="2" v="2456"/>
    </bk>
    <bk>
      <rc t="2" v="2457"/>
    </bk>
    <bk>
      <rc t="2" v="2458"/>
    </bk>
    <bk>
      <rc t="2" v="2459"/>
    </bk>
    <bk>
      <rc t="2" v="2460"/>
    </bk>
    <bk>
      <rc t="2" v="2461"/>
    </bk>
    <bk>
      <rc t="2" v="2462"/>
    </bk>
    <bk>
      <rc t="2" v="2463"/>
    </bk>
    <bk>
      <rc t="2" v="2464"/>
    </bk>
    <bk>
      <rc t="2" v="2465"/>
    </bk>
    <bk>
      <rc t="2" v="2466"/>
    </bk>
    <bk>
      <rc t="2" v="2467"/>
    </bk>
    <bk>
      <rc t="2" v="2468"/>
    </bk>
    <bk>
      <rc t="2" v="2469"/>
    </bk>
    <bk>
      <rc t="2" v="2470"/>
    </bk>
    <bk>
      <rc t="2" v="2471"/>
    </bk>
    <bk>
      <rc t="2" v="2472"/>
    </bk>
    <bk>
      <rc t="2" v="2473"/>
    </bk>
    <bk>
      <rc t="2" v="2474"/>
    </bk>
    <bk>
      <rc t="2" v="2475"/>
    </bk>
    <bk>
      <rc t="2" v="2476"/>
    </bk>
    <bk>
      <rc t="2" v="2477"/>
    </bk>
    <bk>
      <rc t="2" v="2478"/>
    </bk>
    <bk>
      <rc t="2" v="2479"/>
    </bk>
    <bk>
      <rc t="2" v="2480"/>
    </bk>
    <bk>
      <rc t="2" v="2481"/>
    </bk>
    <bk>
      <rc t="2" v="2482"/>
    </bk>
    <bk>
      <rc t="2" v="2483"/>
    </bk>
    <bk>
      <rc t="2" v="2484"/>
    </bk>
    <bk>
      <rc t="2" v="2485"/>
    </bk>
    <bk>
      <rc t="2" v="2486"/>
    </bk>
    <bk>
      <rc t="2" v="2487"/>
    </bk>
    <bk>
      <rc t="2" v="2488"/>
    </bk>
    <bk>
      <rc t="2" v="2489"/>
    </bk>
    <bk>
      <rc t="2" v="2490"/>
    </bk>
    <bk>
      <rc t="2" v="2491"/>
    </bk>
    <bk>
      <rc t="2" v="2492"/>
    </bk>
    <bk>
      <rc t="2" v="2493"/>
    </bk>
    <bk>
      <rc t="2" v="2494"/>
    </bk>
    <bk>
      <rc t="2" v="2495"/>
    </bk>
    <bk>
      <rc t="2" v="2496"/>
    </bk>
    <bk>
      <rc t="2" v="2497"/>
    </bk>
    <bk>
      <rc t="2" v="2498"/>
    </bk>
    <bk>
      <rc t="2" v="2499"/>
    </bk>
    <bk>
      <rc t="2" v="2500"/>
    </bk>
    <bk>
      <rc t="2" v="2501"/>
    </bk>
    <bk>
      <rc t="2" v="2502"/>
    </bk>
    <bk>
      <rc t="2" v="2503"/>
    </bk>
    <bk>
      <rc t="2" v="2504"/>
    </bk>
    <bk>
      <rc t="2" v="2505"/>
    </bk>
    <bk>
      <rc t="2" v="2506"/>
    </bk>
    <bk>
      <rc t="2" v="2507"/>
    </bk>
    <bk>
      <rc t="2" v="2508"/>
    </bk>
    <bk>
      <rc t="2" v="2509"/>
    </bk>
    <bk>
      <rc t="2" v="2510"/>
    </bk>
    <bk>
      <rc t="2" v="2511"/>
    </bk>
    <bk>
      <rc t="2" v="2512"/>
    </bk>
    <bk>
      <rc t="2" v="2513"/>
    </bk>
    <bk>
      <rc t="2" v="2514"/>
    </bk>
    <bk>
      <rc t="2" v="2515"/>
    </bk>
    <bk>
      <rc t="2" v="2516"/>
    </bk>
    <bk>
      <rc t="2" v="2517"/>
    </bk>
    <bk>
      <rc t="2" v="2518"/>
    </bk>
    <bk>
      <rc t="2" v="2519"/>
    </bk>
    <bk>
      <rc t="2" v="2520"/>
    </bk>
    <bk>
      <rc t="2" v="2521"/>
    </bk>
    <bk>
      <rc t="2" v="2522"/>
    </bk>
    <bk>
      <rc t="2" v="2523"/>
    </bk>
    <bk>
      <rc t="2" v="2524"/>
    </bk>
    <bk>
      <rc t="2" v="2525"/>
    </bk>
    <bk>
      <rc t="2" v="2526"/>
    </bk>
    <bk>
      <rc t="2" v="2527"/>
    </bk>
    <bk>
      <rc t="2" v="2528"/>
    </bk>
    <bk>
      <rc t="2" v="2529"/>
    </bk>
    <bk>
      <rc t="2" v="2530"/>
    </bk>
    <bk>
      <rc t="2" v="2531"/>
    </bk>
    <bk>
      <rc t="2" v="2532"/>
    </bk>
    <bk>
      <rc t="2" v="2533"/>
    </bk>
    <bk>
      <rc t="2" v="2534"/>
    </bk>
    <bk>
      <rc t="2" v="2535"/>
    </bk>
    <bk>
      <rc t="2" v="2536"/>
    </bk>
    <bk>
      <rc t="2" v="2537"/>
    </bk>
    <bk>
      <rc t="2" v="2538"/>
    </bk>
    <bk>
      <rc t="2" v="2539"/>
    </bk>
    <bk>
      <rc t="2" v="2540"/>
    </bk>
    <bk>
      <rc t="2" v="2541"/>
    </bk>
    <bk>
      <rc t="2" v="2542"/>
    </bk>
    <bk>
      <rc t="2" v="2543"/>
    </bk>
    <bk>
      <rc t="2" v="2544"/>
    </bk>
    <bk>
      <rc t="2" v="2545"/>
    </bk>
    <bk>
      <rc t="2" v="2546"/>
    </bk>
    <bk>
      <rc t="2" v="2547"/>
    </bk>
    <bk>
      <rc t="2" v="2548"/>
    </bk>
    <bk>
      <rc t="2" v="2549"/>
    </bk>
    <bk>
      <rc t="2" v="2550"/>
    </bk>
    <bk>
      <rc t="2" v="2551"/>
    </bk>
    <bk>
      <rc t="2" v="2552"/>
    </bk>
    <bk>
      <rc t="2" v="2553"/>
    </bk>
    <bk>
      <rc t="2" v="2554"/>
    </bk>
    <bk>
      <rc t="2" v="2555"/>
    </bk>
    <bk>
      <rc t="2" v="2556"/>
    </bk>
    <bk>
      <rc t="2" v="2557"/>
    </bk>
    <bk>
      <rc t="2" v="2558"/>
    </bk>
    <bk>
      <rc t="2" v="2559"/>
    </bk>
    <bk>
      <rc t="2" v="2560"/>
    </bk>
    <bk>
      <rc t="2" v="2561"/>
    </bk>
    <bk>
      <rc t="2" v="2562"/>
    </bk>
    <bk>
      <rc t="2" v="2563"/>
    </bk>
    <bk>
      <rc t="2" v="2564"/>
    </bk>
    <bk>
      <rc t="2" v="2565"/>
    </bk>
    <bk>
      <rc t="2" v="2566"/>
    </bk>
    <bk>
      <rc t="2" v="2567"/>
    </bk>
    <bk>
      <rc t="2" v="2568"/>
    </bk>
    <bk>
      <rc t="2" v="2569"/>
    </bk>
    <bk>
      <rc t="2" v="2570"/>
    </bk>
    <bk>
      <rc t="2" v="2571"/>
    </bk>
    <bk>
      <rc t="2" v="2572"/>
    </bk>
    <bk>
      <rc t="2" v="2573"/>
    </bk>
    <bk>
      <rc t="2" v="2574"/>
    </bk>
    <bk>
      <rc t="2" v="2575"/>
    </bk>
    <bk>
      <rc t="2" v="2576"/>
    </bk>
    <bk>
      <rc t="2" v="2577"/>
    </bk>
    <bk>
      <rc t="2" v="2578"/>
    </bk>
    <bk>
      <rc t="2" v="2579"/>
    </bk>
    <bk>
      <rc t="2" v="2580"/>
    </bk>
    <bk>
      <rc t="2" v="2581"/>
    </bk>
    <bk>
      <rc t="2" v="2582"/>
    </bk>
    <bk>
      <rc t="2" v="2583"/>
    </bk>
    <bk>
      <rc t="2" v="2584"/>
    </bk>
    <bk>
      <rc t="2" v="2585"/>
    </bk>
    <bk>
      <rc t="2" v="2586"/>
    </bk>
    <bk>
      <rc t="2" v="2587"/>
    </bk>
    <bk>
      <rc t="2" v="2588"/>
    </bk>
    <bk>
      <rc t="2" v="2589"/>
    </bk>
    <bk>
      <rc t="2" v="2590"/>
    </bk>
    <bk>
      <rc t="2" v="2591"/>
    </bk>
    <bk>
      <rc t="2" v="2592"/>
    </bk>
    <bk>
      <rc t="2" v="2593"/>
    </bk>
    <bk>
      <rc t="2" v="2594"/>
    </bk>
    <bk>
      <rc t="2" v="2595"/>
    </bk>
    <bk>
      <rc t="2" v="2596"/>
    </bk>
    <bk>
      <rc t="2" v="2597"/>
    </bk>
    <bk>
      <rc t="2" v="2598"/>
    </bk>
    <bk>
      <rc t="2" v="2599"/>
    </bk>
    <bk>
      <rc t="2" v="2600"/>
    </bk>
    <bk>
      <rc t="2" v="2601"/>
    </bk>
    <bk>
      <rc t="2" v="2602"/>
    </bk>
    <bk>
      <rc t="2" v="2603"/>
    </bk>
    <bk>
      <rc t="2" v="2604"/>
    </bk>
    <bk>
      <rc t="2" v="2605"/>
    </bk>
    <bk>
      <rc t="2" v="2606"/>
    </bk>
    <bk>
      <rc t="2" v="2607"/>
    </bk>
    <bk>
      <rc t="2" v="2608"/>
    </bk>
    <bk>
      <rc t="2" v="2609"/>
    </bk>
    <bk>
      <rc t="2" v="2610"/>
    </bk>
    <bk>
      <rc t="2" v="2611"/>
    </bk>
    <bk>
      <rc t="2" v="2612"/>
    </bk>
    <bk>
      <rc t="2" v="2613"/>
    </bk>
    <bk>
      <rc t="2" v="2614"/>
    </bk>
    <bk>
      <rc t="2" v="2615"/>
    </bk>
    <bk>
      <rc t="2" v="2616"/>
    </bk>
    <bk>
      <rc t="2" v="2617"/>
    </bk>
    <bk>
      <rc t="2" v="2618"/>
    </bk>
    <bk>
      <rc t="2" v="2619"/>
    </bk>
    <bk>
      <rc t="2" v="2620"/>
    </bk>
    <bk>
      <rc t="2" v="2621"/>
    </bk>
    <bk>
      <rc t="2" v="2622"/>
    </bk>
    <bk>
      <rc t="2" v="2623"/>
    </bk>
    <bk>
      <rc t="2" v="2624"/>
    </bk>
    <bk>
      <rc t="2" v="2625"/>
    </bk>
    <bk>
      <rc t="2" v="2626"/>
    </bk>
    <bk>
      <rc t="2" v="2627"/>
    </bk>
    <bk>
      <rc t="2" v="2628"/>
    </bk>
    <bk>
      <rc t="2" v="2629"/>
    </bk>
    <bk>
      <rc t="2" v="2630"/>
    </bk>
    <bk>
      <rc t="2" v="2631"/>
    </bk>
    <bk>
      <rc t="2" v="2632"/>
    </bk>
    <bk>
      <rc t="2" v="2633"/>
    </bk>
    <bk>
      <rc t="2" v="2634"/>
    </bk>
    <bk>
      <rc t="2" v="2635"/>
    </bk>
    <bk>
      <rc t="2" v="2636"/>
    </bk>
    <bk>
      <rc t="2" v="2637"/>
    </bk>
    <bk>
      <rc t="2" v="2638"/>
    </bk>
    <bk>
      <rc t="2" v="2639"/>
    </bk>
    <bk>
      <rc t="2" v="2640"/>
    </bk>
    <bk>
      <rc t="2" v="2641"/>
    </bk>
    <bk>
      <rc t="2" v="2642"/>
    </bk>
    <bk>
      <rc t="2" v="2643"/>
    </bk>
    <bk>
      <rc t="2" v="2644"/>
    </bk>
    <bk>
      <rc t="2" v="2645"/>
    </bk>
    <bk>
      <rc t="2" v="2646"/>
    </bk>
    <bk>
      <rc t="2" v="2647"/>
    </bk>
    <bk>
      <rc t="2" v="2648"/>
    </bk>
    <bk>
      <rc t="2" v="2649"/>
    </bk>
    <bk>
      <rc t="2" v="2650"/>
    </bk>
    <bk>
      <rc t="2" v="2651"/>
    </bk>
    <bk>
      <rc t="2" v="2652"/>
    </bk>
    <bk>
      <rc t="2" v="2653"/>
    </bk>
    <bk>
      <rc t="2" v="2654"/>
    </bk>
    <bk>
      <rc t="2" v="2655"/>
    </bk>
    <bk>
      <rc t="2" v="2656"/>
    </bk>
    <bk>
      <rc t="2" v="2657"/>
    </bk>
    <bk>
      <rc t="2" v="2658"/>
    </bk>
    <bk>
      <rc t="2" v="2659"/>
    </bk>
    <bk>
      <rc t="2" v="2660"/>
    </bk>
    <bk>
      <rc t="2" v="2661"/>
    </bk>
    <bk>
      <rc t="2" v="2662"/>
    </bk>
    <bk>
      <rc t="2" v="2663"/>
    </bk>
    <bk>
      <rc t="2" v="2664"/>
    </bk>
    <bk>
      <rc t="2" v="2665"/>
    </bk>
    <bk>
      <rc t="2" v="2666"/>
    </bk>
    <bk>
      <rc t="2" v="2667"/>
    </bk>
    <bk>
      <rc t="2" v="2668"/>
    </bk>
    <bk>
      <rc t="2" v="2669"/>
    </bk>
    <bk>
      <rc t="2" v="2670"/>
    </bk>
    <bk>
      <rc t="2" v="2671"/>
    </bk>
    <bk>
      <rc t="2" v="2672"/>
    </bk>
    <bk>
      <rc t="2" v="2673"/>
    </bk>
    <bk>
      <rc t="2" v="2674"/>
    </bk>
    <bk>
      <rc t="2" v="2675"/>
    </bk>
    <bk>
      <rc t="2" v="2676"/>
    </bk>
    <bk>
      <rc t="2" v="2677"/>
    </bk>
    <bk>
      <rc t="2" v="2678"/>
    </bk>
    <bk>
      <rc t="2" v="2679"/>
    </bk>
    <bk>
      <rc t="2" v="2680"/>
    </bk>
    <bk>
      <rc t="2" v="2681"/>
    </bk>
    <bk>
      <rc t="2" v="2682"/>
    </bk>
    <bk>
      <rc t="2" v="2683"/>
    </bk>
    <bk>
      <rc t="2" v="2684"/>
    </bk>
    <bk>
      <rc t="2" v="2685"/>
    </bk>
    <bk>
      <rc t="2" v="2686"/>
    </bk>
    <bk>
      <rc t="2" v="2687"/>
    </bk>
    <bk>
      <rc t="2" v="2688"/>
    </bk>
    <bk>
      <rc t="2" v="2689"/>
    </bk>
    <bk>
      <rc t="2" v="2690"/>
    </bk>
    <bk>
      <rc t="2" v="2691"/>
    </bk>
    <bk>
      <rc t="2" v="2692"/>
    </bk>
    <bk>
      <rc t="2" v="2693"/>
    </bk>
    <bk>
      <rc t="2" v="2694"/>
    </bk>
    <bk>
      <rc t="2" v="2695"/>
    </bk>
    <bk>
      <rc t="2" v="2696"/>
    </bk>
    <bk>
      <rc t="2" v="2697"/>
    </bk>
    <bk>
      <rc t="2" v="2698"/>
    </bk>
    <bk>
      <rc t="2" v="2699"/>
    </bk>
    <bk>
      <rc t="2" v="2700"/>
    </bk>
    <bk>
      <rc t="2" v="2701"/>
    </bk>
    <bk>
      <rc t="2" v="2702"/>
    </bk>
    <bk>
      <rc t="2" v="2703"/>
    </bk>
    <bk>
      <rc t="2" v="2704"/>
    </bk>
    <bk>
      <rc t="2" v="2705"/>
    </bk>
    <bk>
      <rc t="2" v="2706"/>
    </bk>
    <bk>
      <rc t="2" v="2707"/>
    </bk>
    <bk>
      <rc t="2" v="2708"/>
    </bk>
    <bk>
      <rc t="2" v="2709"/>
    </bk>
    <bk>
      <rc t="2" v="2710"/>
    </bk>
    <bk>
      <rc t="2" v="2711"/>
    </bk>
    <bk>
      <rc t="2" v="2712"/>
    </bk>
    <bk>
      <rc t="2" v="2713"/>
    </bk>
    <bk>
      <rc t="2" v="2714"/>
    </bk>
    <bk>
      <rc t="2" v="2715"/>
    </bk>
    <bk>
      <rc t="2" v="2716"/>
    </bk>
    <bk>
      <rc t="2" v="2717"/>
    </bk>
    <bk>
      <rc t="2" v="2718"/>
    </bk>
    <bk>
      <rc t="2" v="2719"/>
    </bk>
    <bk>
      <rc t="2" v="2720"/>
    </bk>
    <bk>
      <rc t="2" v="2721"/>
    </bk>
    <bk>
      <rc t="2" v="2722"/>
    </bk>
    <bk>
      <rc t="2" v="2723"/>
    </bk>
    <bk>
      <rc t="2" v="2724"/>
    </bk>
    <bk>
      <rc t="2" v="2725"/>
    </bk>
    <bk>
      <rc t="2" v="2726"/>
    </bk>
    <bk>
      <rc t="2" v="2727"/>
    </bk>
    <bk>
      <rc t="2" v="2728"/>
    </bk>
    <bk>
      <rc t="2" v="2729"/>
    </bk>
    <bk>
      <rc t="2" v="2730"/>
    </bk>
    <bk>
      <rc t="2" v="2731"/>
    </bk>
    <bk>
      <rc t="2" v="2732"/>
    </bk>
    <bk>
      <rc t="2" v="2733"/>
    </bk>
    <bk>
      <rc t="2" v="2734"/>
    </bk>
    <bk>
      <rc t="2" v="2735"/>
    </bk>
    <bk>
      <rc t="2" v="2736"/>
    </bk>
    <bk>
      <rc t="2" v="2737"/>
    </bk>
    <bk>
      <rc t="2" v="2738"/>
    </bk>
    <bk>
      <rc t="2" v="2739"/>
    </bk>
    <bk>
      <rc t="2" v="2740"/>
    </bk>
    <bk>
      <rc t="2" v="2741"/>
    </bk>
    <bk>
      <rc t="2" v="2742"/>
    </bk>
    <bk>
      <rc t="2" v="2743"/>
    </bk>
    <bk>
      <rc t="2" v="2744"/>
    </bk>
    <bk>
      <rc t="2" v="2745"/>
    </bk>
    <bk>
      <rc t="2" v="2746"/>
    </bk>
    <bk>
      <rc t="2" v="2747"/>
    </bk>
    <bk>
      <rc t="2" v="2748"/>
    </bk>
    <bk>
      <rc t="2" v="2749"/>
    </bk>
    <bk>
      <rc t="2" v="2750"/>
    </bk>
    <bk>
      <rc t="2" v="2751"/>
    </bk>
    <bk>
      <rc t="2" v="2752"/>
    </bk>
    <bk>
      <rc t="2" v="2753"/>
    </bk>
    <bk>
      <rc t="2" v="2754"/>
    </bk>
    <bk>
      <rc t="2" v="2755"/>
    </bk>
    <bk>
      <rc t="2" v="2756"/>
    </bk>
    <bk>
      <rc t="2" v="2757"/>
    </bk>
    <bk>
      <rc t="2" v="2758"/>
    </bk>
    <bk>
      <rc t="2" v="2759"/>
    </bk>
    <bk>
      <rc t="2" v="2760"/>
    </bk>
    <bk>
      <rc t="2" v="2761"/>
    </bk>
    <bk>
      <rc t="2" v="2762"/>
    </bk>
    <bk>
      <rc t="2" v="2763"/>
    </bk>
    <bk>
      <rc t="2" v="2764"/>
    </bk>
    <bk>
      <rc t="2" v="2765"/>
    </bk>
    <bk>
      <rc t="2" v="2766"/>
    </bk>
    <bk>
      <rc t="2" v="2767"/>
    </bk>
    <bk>
      <rc t="2" v="2768"/>
    </bk>
    <bk>
      <rc t="2" v="2769"/>
    </bk>
    <bk>
      <rc t="2" v="2770"/>
    </bk>
    <bk>
      <rc t="2" v="2771"/>
    </bk>
    <bk>
      <rc t="2" v="2772"/>
    </bk>
    <bk>
      <rc t="2" v="2773"/>
    </bk>
    <bk>
      <rc t="2" v="2774"/>
    </bk>
    <bk>
      <rc t="2" v="2775"/>
    </bk>
    <bk>
      <rc t="2" v="2776"/>
    </bk>
    <bk>
      <rc t="2" v="2777"/>
    </bk>
    <bk>
      <rc t="2" v="2778"/>
    </bk>
    <bk>
      <rc t="2" v="2779"/>
    </bk>
    <bk>
      <rc t="2" v="2780"/>
    </bk>
    <bk>
      <rc t="2" v="2781"/>
    </bk>
    <bk>
      <rc t="2" v="2782"/>
    </bk>
    <bk>
      <rc t="2" v="2783"/>
    </bk>
    <bk>
      <rc t="2" v="2784"/>
    </bk>
    <bk>
      <rc t="2" v="2785"/>
    </bk>
    <bk>
      <rc t="2" v="2786"/>
    </bk>
    <bk>
      <rc t="2" v="2787"/>
    </bk>
    <bk>
      <rc t="2" v="2788"/>
    </bk>
    <bk>
      <rc t="2" v="2789"/>
    </bk>
    <bk>
      <rc t="2" v="2790"/>
    </bk>
    <bk>
      <rc t="2" v="2791"/>
    </bk>
    <bk>
      <rc t="2" v="2792"/>
    </bk>
    <bk>
      <rc t="2" v="2793"/>
    </bk>
    <bk>
      <rc t="2" v="2794"/>
    </bk>
    <bk>
      <rc t="2" v="2795"/>
    </bk>
    <bk>
      <rc t="2" v="2796"/>
    </bk>
    <bk>
      <rc t="2" v="2797"/>
    </bk>
    <bk>
      <rc t="2" v="2798"/>
    </bk>
    <bk>
      <rc t="2" v="2799"/>
    </bk>
    <bk>
      <rc t="2" v="2800"/>
    </bk>
    <bk>
      <rc t="2" v="2801"/>
    </bk>
    <bk>
      <rc t="2" v="2802"/>
    </bk>
    <bk>
      <rc t="2" v="2803"/>
    </bk>
    <bk>
      <rc t="2" v="2804"/>
    </bk>
    <bk>
      <rc t="2" v="2805"/>
    </bk>
    <bk>
      <rc t="2" v="2806"/>
    </bk>
    <bk>
      <rc t="2" v="2807"/>
    </bk>
    <bk>
      <rc t="2" v="2808"/>
    </bk>
    <bk>
      <rc t="2" v="2809"/>
    </bk>
    <bk>
      <rc t="2" v="2810"/>
    </bk>
    <bk>
      <rc t="2" v="2811"/>
    </bk>
    <bk>
      <rc t="2" v="2812"/>
    </bk>
    <bk>
      <rc t="2" v="2813"/>
    </bk>
    <bk>
      <rc t="2" v="2814"/>
    </bk>
    <bk>
      <rc t="2" v="2815"/>
    </bk>
    <bk>
      <rc t="2" v="2816"/>
    </bk>
    <bk>
      <rc t="2" v="2817"/>
    </bk>
    <bk>
      <rc t="2" v="2818"/>
    </bk>
    <bk>
      <rc t="2" v="2819"/>
    </bk>
    <bk>
      <rc t="2" v="2820"/>
    </bk>
    <bk>
      <rc t="2" v="2821"/>
    </bk>
    <bk>
      <rc t="2" v="2822"/>
    </bk>
    <bk>
      <rc t="2" v="2823"/>
    </bk>
    <bk>
      <rc t="2" v="2824"/>
    </bk>
    <bk>
      <rc t="2" v="2825"/>
    </bk>
    <bk>
      <rc t="2" v="2826"/>
    </bk>
    <bk>
      <rc t="2" v="2827"/>
    </bk>
    <bk>
      <rc t="2" v="2828"/>
    </bk>
    <bk>
      <rc t="2" v="2829"/>
    </bk>
    <bk>
      <rc t="2" v="2830"/>
    </bk>
    <bk>
      <rc t="2" v="2831"/>
    </bk>
    <bk>
      <rc t="2" v="2832"/>
    </bk>
    <bk>
      <rc t="2" v="2833"/>
    </bk>
    <bk>
      <rc t="2" v="2834"/>
    </bk>
    <bk>
      <rc t="2" v="2835"/>
    </bk>
    <bk>
      <rc t="2" v="2836"/>
    </bk>
    <bk>
      <rc t="2" v="2837"/>
    </bk>
    <bk>
      <rc t="2" v="2838"/>
    </bk>
    <bk>
      <rc t="2" v="2839"/>
    </bk>
    <bk>
      <rc t="2" v="2840"/>
    </bk>
    <bk>
      <rc t="2" v="2841"/>
    </bk>
    <bk>
      <rc t="2" v="2842"/>
    </bk>
    <bk>
      <rc t="2" v="2843"/>
    </bk>
    <bk>
      <rc t="2" v="2844"/>
    </bk>
    <bk>
      <rc t="2" v="2845"/>
    </bk>
    <bk>
      <rc t="2" v="2846"/>
    </bk>
    <bk>
      <rc t="2" v="2847"/>
    </bk>
    <bk>
      <rc t="2" v="2848"/>
    </bk>
    <bk>
      <rc t="2" v="2849"/>
    </bk>
    <bk>
      <rc t="2" v="2850"/>
    </bk>
    <bk>
      <rc t="2" v="2851"/>
    </bk>
    <bk>
      <rc t="2" v="2852"/>
    </bk>
    <bk>
      <rc t="2" v="2853"/>
    </bk>
    <bk>
      <rc t="2" v="2854"/>
    </bk>
    <bk>
      <rc t="2" v="2855"/>
    </bk>
    <bk>
      <rc t="2" v="2856"/>
    </bk>
    <bk>
      <rc t="2" v="2857"/>
    </bk>
    <bk>
      <rc t="2" v="2858"/>
    </bk>
    <bk>
      <rc t="2" v="2859"/>
    </bk>
    <bk>
      <rc t="2" v="2860"/>
    </bk>
    <bk>
      <rc t="2" v="2861"/>
    </bk>
    <bk>
      <rc t="2" v="2862"/>
    </bk>
    <bk>
      <rc t="2" v="2863"/>
    </bk>
    <bk>
      <rc t="2" v="2864"/>
    </bk>
    <bk>
      <rc t="2" v="2865"/>
    </bk>
    <bk>
      <rc t="2" v="2866"/>
    </bk>
    <bk>
      <rc t="2" v="2867"/>
    </bk>
    <bk>
      <rc t="2" v="2868"/>
    </bk>
    <bk>
      <rc t="2" v="2869"/>
    </bk>
    <bk>
      <rc t="2" v="2870"/>
    </bk>
    <bk>
      <rc t="2" v="2871"/>
    </bk>
    <bk>
      <rc t="2" v="2872"/>
    </bk>
    <bk>
      <rc t="2" v="2873"/>
    </bk>
    <bk>
      <rc t="2" v="2874"/>
    </bk>
    <bk>
      <rc t="2" v="2875"/>
    </bk>
    <bk>
      <rc t="2" v="2876"/>
    </bk>
    <bk>
      <rc t="2" v="2877"/>
    </bk>
    <bk>
      <rc t="2" v="2878"/>
    </bk>
    <bk>
      <rc t="2" v="2879"/>
    </bk>
    <bk>
      <rc t="2" v="2880"/>
    </bk>
    <bk>
      <rc t="2" v="2881"/>
    </bk>
    <bk>
      <rc t="2" v="2882"/>
    </bk>
    <bk>
      <rc t="2" v="2883"/>
    </bk>
    <bk>
      <rc t="2" v="2884"/>
    </bk>
    <bk>
      <rc t="2" v="2885"/>
    </bk>
    <bk>
      <rc t="2" v="2886"/>
    </bk>
    <bk>
      <rc t="2" v="2887"/>
    </bk>
    <bk>
      <rc t="2" v="2888"/>
    </bk>
    <bk>
      <rc t="2" v="2889"/>
    </bk>
    <bk>
      <rc t="2" v="2890"/>
    </bk>
    <bk>
      <rc t="2" v="2891"/>
    </bk>
    <bk>
      <rc t="2" v="2892"/>
    </bk>
    <bk>
      <rc t="2" v="2893"/>
    </bk>
    <bk>
      <rc t="2" v="2894"/>
    </bk>
    <bk>
      <rc t="2" v="2895"/>
    </bk>
    <bk>
      <rc t="2" v="2896"/>
    </bk>
    <bk>
      <rc t="2" v="2897"/>
    </bk>
    <bk>
      <rc t="2" v="2898"/>
    </bk>
    <bk>
      <rc t="2" v="2899"/>
    </bk>
    <bk>
      <rc t="2" v="2900"/>
    </bk>
    <bk>
      <rc t="2" v="2901"/>
    </bk>
    <bk>
      <rc t="2" v="2902"/>
    </bk>
    <bk>
      <rc t="2" v="2903"/>
    </bk>
    <bk>
      <rc t="2" v="2904"/>
    </bk>
    <bk>
      <rc t="2" v="2905"/>
    </bk>
    <bk>
      <rc t="2" v="2906"/>
    </bk>
    <bk>
      <rc t="2" v="2907"/>
    </bk>
    <bk>
      <rc t="2" v="2908"/>
    </bk>
    <bk>
      <rc t="2" v="2909"/>
    </bk>
    <bk>
      <rc t="2" v="2910"/>
    </bk>
    <bk>
      <rc t="2" v="2911"/>
    </bk>
    <bk>
      <rc t="2" v="2912"/>
    </bk>
    <bk>
      <rc t="2" v="2913"/>
    </bk>
    <bk>
      <rc t="2" v="2914"/>
    </bk>
    <bk>
      <rc t="2" v="2915"/>
    </bk>
    <bk>
      <rc t="2" v="2916"/>
    </bk>
    <bk>
      <rc t="2" v="2917"/>
    </bk>
    <bk>
      <rc t="2" v="2918"/>
    </bk>
    <bk>
      <rc t="2" v="2919"/>
    </bk>
    <bk>
      <rc t="2" v="2920"/>
    </bk>
    <bk>
      <rc t="2" v="2921"/>
    </bk>
    <bk>
      <rc t="2" v="2922"/>
    </bk>
    <bk>
      <rc t="2" v="2923"/>
    </bk>
    <bk>
      <rc t="2" v="2924"/>
    </bk>
    <bk>
      <rc t="2" v="2925"/>
    </bk>
    <bk>
      <rc t="2" v="2926"/>
    </bk>
    <bk>
      <rc t="2" v="2927"/>
    </bk>
    <bk>
      <rc t="2" v="2928"/>
    </bk>
    <bk>
      <rc t="2" v="2929"/>
    </bk>
    <bk>
      <rc t="2" v="2930"/>
    </bk>
    <bk>
      <rc t="2" v="2931"/>
    </bk>
    <bk>
      <rc t="2" v="2932"/>
    </bk>
    <bk>
      <rc t="2" v="2933"/>
    </bk>
    <bk>
      <rc t="2" v="2934"/>
    </bk>
    <bk>
      <rc t="2" v="2935"/>
    </bk>
    <bk>
      <rc t="2" v="2936"/>
    </bk>
    <bk>
      <rc t="2" v="2937"/>
    </bk>
    <bk>
      <rc t="2" v="2938"/>
    </bk>
    <bk>
      <rc t="2" v="2939"/>
    </bk>
    <bk>
      <rc t="2" v="2940"/>
    </bk>
    <bk>
      <rc t="2" v="2941"/>
    </bk>
    <bk>
      <rc t="2" v="2942"/>
    </bk>
    <bk>
      <rc t="2" v="2943"/>
    </bk>
    <bk>
      <rc t="2" v="2944"/>
    </bk>
    <bk>
      <rc t="2" v="2945"/>
    </bk>
    <bk>
      <rc t="2" v="2946"/>
    </bk>
    <bk>
      <rc t="2" v="2947"/>
    </bk>
    <bk>
      <rc t="2" v="2948"/>
    </bk>
    <bk>
      <rc t="2" v="2949"/>
    </bk>
    <bk>
      <rc t="2" v="2950"/>
    </bk>
    <bk>
      <rc t="2" v="2951"/>
    </bk>
    <bk>
      <rc t="2" v="2952"/>
    </bk>
    <bk>
      <rc t="2" v="2953"/>
    </bk>
    <bk>
      <rc t="2" v="2954"/>
    </bk>
    <bk>
      <rc t="2" v="2955"/>
    </bk>
    <bk>
      <rc t="2" v="2956"/>
    </bk>
    <bk>
      <rc t="2" v="2957"/>
    </bk>
    <bk>
      <rc t="2" v="2958"/>
    </bk>
    <bk>
      <rc t="2" v="2959"/>
    </bk>
    <bk>
      <rc t="2" v="2960"/>
    </bk>
    <bk>
      <rc t="2" v="2961"/>
    </bk>
    <bk>
      <rc t="2" v="2962"/>
    </bk>
    <bk>
      <rc t="2" v="2963"/>
    </bk>
    <bk>
      <rc t="2" v="2964"/>
    </bk>
    <bk>
      <rc t="2" v="2965"/>
    </bk>
    <bk>
      <rc t="2" v="2966"/>
    </bk>
    <bk>
      <rc t="2" v="2967"/>
    </bk>
    <bk>
      <rc t="2" v="2968"/>
    </bk>
    <bk>
      <rc t="2" v="2969"/>
    </bk>
    <bk>
      <rc t="2" v="2970"/>
    </bk>
    <bk>
      <rc t="2" v="2971"/>
    </bk>
    <bk>
      <rc t="2" v="2972"/>
    </bk>
    <bk>
      <rc t="2" v="2973"/>
    </bk>
    <bk>
      <rc t="2" v="2974"/>
    </bk>
    <bk>
      <rc t="2" v="2975"/>
    </bk>
    <bk>
      <rc t="2" v="2976"/>
    </bk>
    <bk>
      <rc t="2" v="2977"/>
    </bk>
    <bk>
      <rc t="2" v="2978"/>
    </bk>
    <bk>
      <rc t="2" v="2979"/>
    </bk>
    <bk>
      <rc t="2" v="2980"/>
    </bk>
    <bk>
      <rc t="2" v="2981"/>
    </bk>
    <bk>
      <rc t="2" v="2982"/>
    </bk>
    <bk>
      <rc t="2" v="2983"/>
    </bk>
    <bk>
      <rc t="2" v="2984"/>
    </bk>
    <bk>
      <rc t="2" v="2985"/>
    </bk>
    <bk>
      <rc t="2" v="2986"/>
    </bk>
    <bk>
      <rc t="2" v="2987"/>
    </bk>
    <bk>
      <rc t="2" v="2988"/>
    </bk>
    <bk>
      <rc t="2" v="2989"/>
    </bk>
    <bk>
      <rc t="2" v="2990"/>
    </bk>
    <bk>
      <rc t="2" v="2991"/>
    </bk>
    <bk>
      <rc t="2" v="2992"/>
    </bk>
    <bk>
      <rc t="2" v="2993"/>
    </bk>
    <bk>
      <rc t="2" v="2994"/>
    </bk>
    <bk>
      <rc t="2" v="2995"/>
    </bk>
    <bk>
      <rc t="2" v="2996"/>
    </bk>
    <bk>
      <rc t="2" v="2997"/>
    </bk>
    <bk>
      <rc t="2" v="2998"/>
    </bk>
    <bk>
      <rc t="2" v="2999"/>
    </bk>
    <bk>
      <rc t="2" v="3000"/>
    </bk>
    <bk>
      <rc t="2" v="3001"/>
    </bk>
    <bk>
      <rc t="2" v="3002"/>
    </bk>
    <bk>
      <rc t="2" v="3003"/>
    </bk>
    <bk>
      <rc t="2" v="3004"/>
    </bk>
    <bk>
      <rc t="2" v="3005"/>
    </bk>
    <bk>
      <rc t="2" v="3006"/>
    </bk>
    <bk>
      <rc t="2" v="3007"/>
    </bk>
    <bk>
      <rc t="2" v="3008"/>
    </bk>
    <bk>
      <rc t="2" v="3009"/>
    </bk>
    <bk>
      <rc t="2" v="3010"/>
    </bk>
    <bk>
      <rc t="2" v="3011"/>
    </bk>
    <bk>
      <rc t="2" v="3012"/>
    </bk>
    <bk>
      <rc t="2" v="3013"/>
    </bk>
    <bk>
      <rc t="2" v="3014"/>
    </bk>
    <bk>
      <rc t="2" v="3015"/>
    </bk>
    <bk>
      <rc t="2" v="3016"/>
    </bk>
    <bk>
      <rc t="2" v="3017"/>
    </bk>
    <bk>
      <rc t="2" v="3018"/>
    </bk>
    <bk>
      <rc t="2" v="3019"/>
    </bk>
    <bk>
      <rc t="2" v="3020"/>
    </bk>
    <bk>
      <rc t="2" v="3021"/>
    </bk>
    <bk>
      <rc t="2" v="3022"/>
    </bk>
    <bk>
      <rc t="2" v="3023"/>
    </bk>
    <bk>
      <rc t="2" v="3024"/>
    </bk>
    <bk>
      <rc t="2" v="3025"/>
    </bk>
    <bk>
      <rc t="2" v="3026"/>
    </bk>
    <bk>
      <rc t="2" v="3027"/>
    </bk>
    <bk>
      <rc t="2" v="3028"/>
    </bk>
    <bk>
      <rc t="2" v="3029"/>
    </bk>
    <bk>
      <rc t="2" v="3030"/>
    </bk>
    <bk>
      <rc t="2" v="3031"/>
    </bk>
    <bk>
      <rc t="2" v="3032"/>
    </bk>
    <bk>
      <rc t="2" v="3033"/>
    </bk>
    <bk>
      <rc t="2" v="3034"/>
    </bk>
    <bk>
      <rc t="2" v="3035"/>
    </bk>
    <bk>
      <rc t="2" v="3036"/>
    </bk>
    <bk>
      <rc t="2" v="3037"/>
    </bk>
    <bk>
      <rc t="2" v="3038"/>
    </bk>
    <bk>
      <rc t="2" v="3039"/>
    </bk>
    <bk>
      <rc t="2" v="3040"/>
    </bk>
    <bk>
      <rc t="2" v="3041"/>
    </bk>
    <bk>
      <rc t="2" v="3042"/>
    </bk>
    <bk>
      <rc t="2" v="3043"/>
    </bk>
    <bk>
      <rc t="2" v="3044"/>
    </bk>
    <bk>
      <rc t="2" v="3045"/>
    </bk>
    <bk>
      <rc t="2" v="3046"/>
    </bk>
    <bk>
      <rc t="2" v="3047"/>
    </bk>
    <bk>
      <rc t="2" v="3048"/>
    </bk>
    <bk>
      <rc t="2" v="3049"/>
    </bk>
    <bk>
      <rc t="2" v="3050"/>
    </bk>
    <bk>
      <rc t="2" v="3051"/>
    </bk>
    <bk>
      <rc t="2" v="3052"/>
    </bk>
    <bk>
      <rc t="2" v="3053"/>
    </bk>
    <bk>
      <rc t="2" v="3054"/>
    </bk>
    <bk>
      <rc t="2" v="3055"/>
    </bk>
    <bk>
      <rc t="2" v="3056"/>
    </bk>
    <bk>
      <rc t="2" v="3057"/>
    </bk>
    <bk>
      <rc t="2" v="3058"/>
    </bk>
    <bk>
      <rc t="2" v="3059"/>
    </bk>
    <bk>
      <rc t="2" v="3060"/>
    </bk>
    <bk>
      <rc t="2" v="3061"/>
    </bk>
    <bk>
      <rc t="2" v="3062"/>
    </bk>
    <bk>
      <rc t="2" v="3063"/>
    </bk>
    <bk>
      <rc t="2" v="3064"/>
    </bk>
    <bk>
      <rc t="2" v="3065"/>
    </bk>
    <bk>
      <rc t="2" v="3066"/>
    </bk>
    <bk>
      <rc t="2" v="3067"/>
    </bk>
    <bk>
      <rc t="2" v="3068"/>
    </bk>
    <bk>
      <rc t="2" v="3069"/>
    </bk>
    <bk>
      <rc t="2" v="3070"/>
    </bk>
    <bk>
      <rc t="2" v="3071"/>
    </bk>
    <bk>
      <rc t="2" v="3072"/>
    </bk>
    <bk>
      <rc t="2" v="3073"/>
    </bk>
    <bk>
      <rc t="2" v="3074"/>
    </bk>
    <bk>
      <rc t="2" v="3075"/>
    </bk>
    <bk>
      <rc t="2" v="3076"/>
    </bk>
    <bk>
      <rc t="2" v="3077"/>
    </bk>
    <bk>
      <rc t="2" v="3078"/>
    </bk>
    <bk>
      <rc t="2" v="3079"/>
    </bk>
    <bk>
      <rc t="2" v="3080"/>
    </bk>
    <bk>
      <rc t="2" v="3081"/>
    </bk>
    <bk>
      <rc t="2" v="3082"/>
    </bk>
    <bk>
      <rc t="2" v="3083"/>
    </bk>
    <bk>
      <rc t="2" v="3084"/>
    </bk>
    <bk>
      <rc t="2" v="3085"/>
    </bk>
    <bk>
      <rc t="2" v="3086"/>
    </bk>
    <bk>
      <rc t="2" v="3087"/>
    </bk>
    <bk>
      <rc t="2" v="3088"/>
    </bk>
    <bk>
      <rc t="2" v="3089"/>
    </bk>
    <bk>
      <rc t="2" v="3090"/>
    </bk>
    <bk>
      <rc t="2" v="3091"/>
    </bk>
    <bk>
      <rc t="2" v="3092"/>
    </bk>
    <bk>
      <rc t="2" v="3093"/>
    </bk>
    <bk>
      <rc t="2" v="3094"/>
    </bk>
    <bk>
      <rc t="2" v="3095"/>
    </bk>
    <bk>
      <rc t="2" v="3096"/>
    </bk>
    <bk>
      <rc t="2" v="3097"/>
    </bk>
    <bk>
      <rc t="2" v="3098"/>
    </bk>
    <bk>
      <rc t="2" v="3099"/>
    </bk>
    <bk>
      <rc t="2" v="3100"/>
    </bk>
    <bk>
      <rc t="2" v="3101"/>
    </bk>
    <bk>
      <rc t="2" v="3102"/>
    </bk>
    <bk>
      <rc t="2" v="3103"/>
    </bk>
    <bk>
      <rc t="2" v="3104"/>
    </bk>
    <bk>
      <rc t="2" v="3105"/>
    </bk>
    <bk>
      <rc t="2" v="3106"/>
    </bk>
    <bk>
      <rc t="2" v="3107"/>
    </bk>
    <bk>
      <rc t="2" v="3108"/>
    </bk>
    <bk>
      <rc t="2" v="3109"/>
    </bk>
    <bk>
      <rc t="2" v="3110"/>
    </bk>
    <bk>
      <rc t="2" v="3111"/>
    </bk>
    <bk>
      <rc t="2" v="3112"/>
    </bk>
    <bk>
      <rc t="2" v="3113"/>
    </bk>
    <bk>
      <rc t="2" v="3114"/>
    </bk>
    <bk>
      <rc t="2" v="3115"/>
    </bk>
    <bk>
      <rc t="2" v="3116"/>
    </bk>
    <bk>
      <rc t="2" v="3117"/>
    </bk>
    <bk>
      <rc t="2" v="3118"/>
    </bk>
    <bk>
      <rc t="2" v="3119"/>
    </bk>
    <bk>
      <rc t="2" v="3120"/>
    </bk>
    <bk>
      <rc t="2" v="3121"/>
    </bk>
    <bk>
      <rc t="2" v="3122"/>
    </bk>
    <bk>
      <rc t="2" v="3123"/>
    </bk>
    <bk>
      <rc t="2" v="3124"/>
    </bk>
    <bk>
      <rc t="2" v="3125"/>
    </bk>
    <bk>
      <rc t="2" v="3126"/>
    </bk>
    <bk>
      <rc t="2" v="3127"/>
    </bk>
    <bk>
      <rc t="2" v="3128"/>
    </bk>
    <bk>
      <rc t="2" v="3129"/>
    </bk>
    <bk>
      <rc t="2" v="3130"/>
    </bk>
    <bk>
      <rc t="2" v="3131"/>
    </bk>
    <bk>
      <rc t="2" v="3132"/>
    </bk>
    <bk>
      <rc t="2" v="3133"/>
    </bk>
    <bk>
      <rc t="2" v="3134"/>
    </bk>
    <bk>
      <rc t="2" v="3135"/>
    </bk>
    <bk>
      <rc t="2" v="3136"/>
    </bk>
    <bk>
      <rc t="2" v="3137"/>
    </bk>
    <bk>
      <rc t="2" v="3138"/>
    </bk>
    <bk>
      <rc t="2" v="3139"/>
    </bk>
    <bk>
      <rc t="2" v="3140"/>
    </bk>
    <bk>
      <rc t="2" v="3141"/>
    </bk>
    <bk>
      <rc t="2" v="3142"/>
    </bk>
    <bk>
      <rc t="2" v="3143"/>
    </bk>
    <bk>
      <rc t="2" v="3144"/>
    </bk>
    <bk>
      <rc t="2" v="3145"/>
    </bk>
    <bk>
      <rc t="2" v="3146"/>
    </bk>
    <bk>
      <rc t="2" v="3147"/>
    </bk>
    <bk>
      <rc t="2" v="3148"/>
    </bk>
    <bk>
      <rc t="2" v="3149"/>
    </bk>
    <bk>
      <rc t="2" v="3150"/>
    </bk>
    <bk>
      <rc t="2" v="3151"/>
    </bk>
    <bk>
      <rc t="2" v="3152"/>
    </bk>
    <bk>
      <rc t="2" v="3153"/>
    </bk>
    <bk>
      <rc t="2" v="3154"/>
    </bk>
    <bk>
      <rc t="2" v="3155"/>
    </bk>
    <bk>
      <rc t="2" v="3156"/>
    </bk>
    <bk>
      <rc t="2" v="3157"/>
    </bk>
    <bk>
      <rc t="2" v="3158"/>
    </bk>
    <bk>
      <rc t="2" v="3159"/>
    </bk>
    <bk>
      <rc t="2" v="3160"/>
    </bk>
    <bk>
      <rc t="2" v="3161"/>
    </bk>
    <bk>
      <rc t="2" v="3162"/>
    </bk>
    <bk>
      <rc t="2" v="3163"/>
    </bk>
    <bk>
      <rc t="2" v="3164"/>
    </bk>
    <bk>
      <rc t="2" v="3165"/>
    </bk>
    <bk>
      <rc t="2" v="3166"/>
    </bk>
    <bk>
      <rc t="2" v="3167"/>
    </bk>
    <bk>
      <rc t="2" v="3168"/>
    </bk>
    <bk>
      <rc t="2" v="3169"/>
    </bk>
    <bk>
      <rc t="2" v="3170"/>
    </bk>
    <bk>
      <rc t="2" v="3171"/>
    </bk>
    <bk>
      <rc t="2" v="3172"/>
    </bk>
    <bk>
      <rc t="2" v="3173"/>
    </bk>
    <bk>
      <rc t="2" v="3174"/>
    </bk>
    <bk>
      <rc t="2" v="3175"/>
    </bk>
    <bk>
      <rc t="2" v="3176"/>
    </bk>
    <bk>
      <rc t="2" v="3177"/>
    </bk>
    <bk>
      <rc t="2" v="3178"/>
    </bk>
    <bk>
      <rc t="2" v="3179"/>
    </bk>
    <bk>
      <rc t="2" v="3180"/>
    </bk>
    <bk>
      <rc t="2" v="3181"/>
    </bk>
    <bk>
      <rc t="2" v="3182"/>
    </bk>
    <bk>
      <rc t="2" v="3183"/>
    </bk>
    <bk>
      <rc t="2" v="3184"/>
    </bk>
    <bk>
      <rc t="2" v="3185"/>
    </bk>
    <bk>
      <rc t="2" v="3186"/>
    </bk>
    <bk>
      <rc t="2" v="3187"/>
    </bk>
    <bk>
      <rc t="2" v="3188"/>
    </bk>
    <bk>
      <rc t="2" v="3189"/>
    </bk>
    <bk>
      <rc t="2" v="3190"/>
    </bk>
    <bk>
      <rc t="2" v="3191"/>
    </bk>
    <bk>
      <rc t="2" v="3192"/>
    </bk>
    <bk>
      <rc t="2" v="3193"/>
    </bk>
    <bk>
      <rc t="2" v="3194"/>
    </bk>
    <bk>
      <rc t="2" v="3195"/>
    </bk>
    <bk>
      <rc t="2" v="3196"/>
    </bk>
    <bk>
      <rc t="2" v="3197"/>
    </bk>
    <bk>
      <rc t="2" v="3198"/>
    </bk>
    <bk>
      <rc t="2" v="3199"/>
    </bk>
    <bk>
      <rc t="2" v="3200"/>
    </bk>
    <bk>
      <rc t="2" v="3201"/>
    </bk>
    <bk>
      <rc t="2" v="3202"/>
    </bk>
    <bk>
      <rc t="2" v="3203"/>
    </bk>
    <bk>
      <rc t="2" v="3204"/>
    </bk>
    <bk>
      <rc t="2" v="3205"/>
    </bk>
    <bk>
      <rc t="2" v="3206"/>
    </bk>
    <bk>
      <rc t="2" v="3207"/>
    </bk>
    <bk>
      <rc t="2" v="3208"/>
    </bk>
    <bk>
      <rc t="2" v="3209"/>
    </bk>
    <bk>
      <rc t="2" v="3210"/>
    </bk>
    <bk>
      <rc t="2" v="3211"/>
    </bk>
    <bk>
      <rc t="2" v="3212"/>
    </bk>
    <bk>
      <rc t="2" v="3213"/>
    </bk>
    <bk>
      <rc t="2" v="3214"/>
    </bk>
    <bk>
      <rc t="2" v="3215"/>
    </bk>
    <bk>
      <rc t="2" v="3216"/>
    </bk>
    <bk>
      <rc t="2" v="3217"/>
    </bk>
    <bk>
      <rc t="2" v="3218"/>
    </bk>
    <bk>
      <rc t="2" v="3219"/>
    </bk>
    <bk>
      <rc t="2" v="3220"/>
    </bk>
    <bk>
      <rc t="2" v="3221"/>
    </bk>
    <bk>
      <rc t="2" v="3222"/>
    </bk>
    <bk>
      <rc t="2" v="3223"/>
    </bk>
    <bk>
      <rc t="2" v="3224"/>
    </bk>
    <bk>
      <rc t="2" v="3225"/>
    </bk>
    <bk>
      <rc t="2" v="3226"/>
    </bk>
    <bk>
      <rc t="2" v="3227"/>
    </bk>
    <bk>
      <rc t="2" v="3228"/>
    </bk>
    <bk>
      <rc t="2" v="3229"/>
    </bk>
    <bk>
      <rc t="2" v="3230"/>
    </bk>
    <bk>
      <rc t="2" v="3231"/>
    </bk>
    <bk>
      <rc t="2" v="3232"/>
    </bk>
    <bk>
      <rc t="2" v="3233"/>
    </bk>
    <bk>
      <rc t="2" v="3234"/>
    </bk>
    <bk>
      <rc t="2" v="3235"/>
    </bk>
    <bk>
      <rc t="2" v="3236"/>
    </bk>
    <bk>
      <rc t="2" v="3237"/>
    </bk>
    <bk>
      <rc t="2" v="3238"/>
    </bk>
    <bk>
      <rc t="2" v="3239"/>
    </bk>
    <bk>
      <rc t="2" v="3240"/>
    </bk>
    <bk>
      <rc t="2" v="3241"/>
    </bk>
    <bk>
      <rc t="2" v="3242"/>
    </bk>
    <bk>
      <rc t="2" v="3243"/>
    </bk>
    <bk>
      <rc t="2" v="3244"/>
    </bk>
    <bk>
      <rc t="2" v="3245"/>
    </bk>
    <bk>
      <rc t="2" v="3246"/>
    </bk>
    <bk>
      <rc t="2" v="3247"/>
    </bk>
    <bk>
      <rc t="2" v="3248"/>
    </bk>
    <bk>
      <rc t="2" v="3249"/>
    </bk>
    <bk>
      <rc t="2" v="3250"/>
    </bk>
    <bk>
      <rc t="2" v="3251"/>
    </bk>
    <bk>
      <rc t="2" v="3252"/>
    </bk>
    <bk>
      <rc t="2" v="3253"/>
    </bk>
    <bk>
      <rc t="2" v="3254"/>
    </bk>
    <bk>
      <rc t="2" v="3255"/>
    </bk>
    <bk>
      <rc t="2" v="3256"/>
    </bk>
    <bk>
      <rc t="2" v="3257"/>
    </bk>
    <bk>
      <rc t="2" v="3258"/>
    </bk>
    <bk>
      <rc t="2" v="3259"/>
    </bk>
    <bk>
      <rc t="2" v="3260"/>
    </bk>
    <bk>
      <rc t="2" v="3261"/>
    </bk>
    <bk>
      <rc t="2" v="3262"/>
    </bk>
    <bk>
      <rc t="2" v="3263"/>
    </bk>
    <bk>
      <rc t="2" v="3264"/>
    </bk>
    <bk>
      <rc t="2" v="3265"/>
    </bk>
    <bk>
      <rc t="2" v="3266"/>
    </bk>
    <bk>
      <rc t="2" v="3267"/>
    </bk>
    <bk>
      <rc t="2" v="3268"/>
    </bk>
    <bk>
      <rc t="2" v="3269"/>
    </bk>
    <bk>
      <rc t="2" v="3270"/>
    </bk>
    <bk>
      <rc t="2" v="3271"/>
    </bk>
    <bk>
      <rc t="2" v="3272"/>
    </bk>
    <bk>
      <rc t="2" v="3273"/>
    </bk>
    <bk>
      <rc t="2" v="3274"/>
    </bk>
    <bk>
      <rc t="2" v="3275"/>
    </bk>
    <bk>
      <rc t="2" v="3276"/>
    </bk>
    <bk>
      <rc t="2" v="3277"/>
    </bk>
    <bk>
      <rc t="2" v="3278"/>
    </bk>
    <bk>
      <rc t="2" v="3279"/>
    </bk>
    <bk>
      <rc t="2" v="3280"/>
    </bk>
    <bk>
      <rc t="2" v="3281"/>
    </bk>
    <bk>
      <rc t="2" v="3282"/>
    </bk>
    <bk>
      <rc t="2" v="3283"/>
    </bk>
    <bk>
      <rc t="2" v="3284"/>
    </bk>
    <bk>
      <rc t="2" v="3285"/>
    </bk>
    <bk>
      <rc t="2" v="3286"/>
    </bk>
    <bk>
      <rc t="2" v="3287"/>
    </bk>
    <bk>
      <rc t="2" v="3288"/>
    </bk>
    <bk>
      <rc t="2" v="3289"/>
    </bk>
    <bk>
      <rc t="2" v="3290"/>
    </bk>
    <bk>
      <rc t="2" v="3291"/>
    </bk>
    <bk>
      <rc t="2" v="3292"/>
    </bk>
    <bk>
      <rc t="2" v="3293"/>
    </bk>
    <bk>
      <rc t="2" v="3294"/>
    </bk>
    <bk>
      <rc t="2" v="3295"/>
    </bk>
    <bk>
      <rc t="2" v="3296"/>
    </bk>
    <bk>
      <rc t="2" v="3297"/>
    </bk>
    <bk>
      <rc t="2" v="3298"/>
    </bk>
    <bk>
      <rc t="2" v="3299"/>
    </bk>
    <bk>
      <rc t="2" v="3300"/>
    </bk>
    <bk>
      <rc t="2" v="3301"/>
    </bk>
    <bk>
      <rc t="2" v="3302"/>
    </bk>
    <bk>
      <rc t="2" v="3303"/>
    </bk>
    <bk>
      <rc t="2" v="3304"/>
    </bk>
    <bk>
      <rc t="2" v="3305"/>
    </bk>
    <bk>
      <rc t="2" v="3306"/>
    </bk>
    <bk>
      <rc t="2" v="3307"/>
    </bk>
    <bk>
      <rc t="2" v="3308"/>
    </bk>
    <bk>
      <rc t="2" v="3309"/>
    </bk>
    <bk>
      <rc t="2" v="3310"/>
    </bk>
    <bk>
      <rc t="2" v="3311"/>
    </bk>
    <bk>
      <rc t="2" v="3312"/>
    </bk>
    <bk>
      <rc t="2" v="3313"/>
    </bk>
    <bk>
      <rc t="2" v="3314"/>
    </bk>
    <bk>
      <rc t="2" v="3315"/>
    </bk>
    <bk>
      <rc t="2" v="3316"/>
    </bk>
    <bk>
      <rc t="2" v="3317"/>
    </bk>
    <bk>
      <rc t="2" v="3318"/>
    </bk>
    <bk>
      <rc t="2" v="3319"/>
    </bk>
    <bk>
      <rc t="2" v="3320"/>
    </bk>
    <bk>
      <rc t="2" v="3321"/>
    </bk>
    <bk>
      <rc t="2" v="3322"/>
    </bk>
    <bk>
      <rc t="2" v="3323"/>
    </bk>
    <bk>
      <rc t="2" v="3324"/>
    </bk>
    <bk>
      <rc t="2" v="3325"/>
    </bk>
    <bk>
      <rc t="2" v="3326"/>
    </bk>
    <bk>
      <rc t="2" v="3327"/>
    </bk>
    <bk>
      <rc t="2" v="3328"/>
    </bk>
    <bk>
      <rc t="2" v="3329"/>
    </bk>
    <bk>
      <rc t="2" v="3330"/>
    </bk>
    <bk>
      <rc t="2" v="3331"/>
    </bk>
    <bk>
      <rc t="2" v="3332"/>
    </bk>
    <bk>
      <rc t="2" v="3333"/>
    </bk>
    <bk>
      <rc t="2" v="3334"/>
    </bk>
    <bk>
      <rc t="2" v="3335"/>
    </bk>
    <bk>
      <rc t="2" v="3336"/>
    </bk>
    <bk>
      <rc t="2" v="3337"/>
    </bk>
    <bk>
      <rc t="2" v="3338"/>
    </bk>
    <bk>
      <rc t="2" v="3339"/>
    </bk>
    <bk>
      <rc t="2" v="3340"/>
    </bk>
    <bk>
      <rc t="2" v="3341"/>
    </bk>
    <bk>
      <rc t="2" v="3342"/>
    </bk>
    <bk>
      <rc t="2" v="3343"/>
    </bk>
    <bk>
      <rc t="2" v="3344"/>
    </bk>
    <bk>
      <rc t="2" v="3345"/>
    </bk>
    <bk>
      <rc t="2" v="3346"/>
    </bk>
    <bk>
      <rc t="2" v="3347"/>
    </bk>
    <bk>
      <rc t="2" v="3348"/>
    </bk>
    <bk>
      <rc t="2" v="3349"/>
    </bk>
    <bk>
      <rc t="2" v="3350"/>
    </bk>
    <bk>
      <rc t="2" v="3351"/>
    </bk>
    <bk>
      <rc t="2" v="3352"/>
    </bk>
    <bk>
      <rc t="2" v="3353"/>
    </bk>
    <bk>
      <rc t="2" v="3354"/>
    </bk>
    <bk>
      <rc t="2" v="3355"/>
    </bk>
    <bk>
      <rc t="2" v="3356"/>
    </bk>
    <bk>
      <rc t="2" v="3357"/>
    </bk>
    <bk>
      <rc t="2" v="3358"/>
    </bk>
    <bk>
      <rc t="2" v="3359"/>
    </bk>
    <bk>
      <rc t="2" v="3360"/>
    </bk>
    <bk>
      <rc t="2" v="3361"/>
    </bk>
    <bk>
      <rc t="2" v="3362"/>
    </bk>
    <bk>
      <rc t="2" v="3363"/>
    </bk>
    <bk>
      <rc t="2" v="3364"/>
    </bk>
    <bk>
      <rc t="2" v="3365"/>
    </bk>
    <bk>
      <rc t="2" v="3366"/>
    </bk>
    <bk>
      <rc t="2" v="3367"/>
    </bk>
    <bk>
      <rc t="2" v="3368"/>
    </bk>
    <bk>
      <rc t="2" v="3369"/>
    </bk>
    <bk>
      <rc t="2" v="3370"/>
    </bk>
    <bk>
      <rc t="2" v="3371"/>
    </bk>
    <bk>
      <rc t="2" v="3372"/>
    </bk>
    <bk>
      <rc t="2" v="3373"/>
    </bk>
    <bk>
      <rc t="2" v="3374"/>
    </bk>
    <bk>
      <rc t="2" v="3375"/>
    </bk>
    <bk>
      <rc t="2" v="3376"/>
    </bk>
    <bk>
      <rc t="2" v="3377"/>
    </bk>
    <bk>
      <rc t="2" v="3378"/>
    </bk>
    <bk>
      <rc t="2" v="3379"/>
    </bk>
    <bk>
      <rc t="2" v="3380"/>
    </bk>
    <bk>
      <rc t="2" v="3381"/>
    </bk>
    <bk>
      <rc t="2" v="3382"/>
    </bk>
    <bk>
      <rc t="2" v="3383"/>
    </bk>
    <bk>
      <rc t="2" v="3384"/>
    </bk>
    <bk>
      <rc t="2" v="3385"/>
    </bk>
    <bk>
      <rc t="2" v="3386"/>
    </bk>
    <bk>
      <rc t="2" v="3387"/>
    </bk>
    <bk>
      <rc t="2" v="3388"/>
    </bk>
    <bk>
      <rc t="2" v="3389"/>
    </bk>
    <bk>
      <rc t="2" v="3390"/>
    </bk>
    <bk>
      <rc t="2" v="3391"/>
    </bk>
    <bk>
      <rc t="2" v="3392"/>
    </bk>
    <bk>
      <rc t="2" v="3393"/>
    </bk>
    <bk>
      <rc t="2" v="3394"/>
    </bk>
    <bk>
      <rc t="2" v="3395"/>
    </bk>
    <bk>
      <rc t="2" v="3396"/>
    </bk>
    <bk>
      <rc t="2" v="3397"/>
    </bk>
    <bk>
      <rc t="2" v="3398"/>
    </bk>
    <bk>
      <rc t="2" v="3399"/>
    </bk>
    <bk>
      <rc t="2" v="3400"/>
    </bk>
    <bk>
      <rc t="2" v="3401"/>
    </bk>
    <bk>
      <rc t="2" v="3402"/>
    </bk>
    <bk>
      <rc t="2" v="3403"/>
    </bk>
    <bk>
      <rc t="2" v="3404"/>
    </bk>
    <bk>
      <rc t="2" v="3405"/>
    </bk>
    <bk>
      <rc t="2" v="3406"/>
    </bk>
    <bk>
      <rc t="2" v="3407"/>
    </bk>
    <bk>
      <rc t="2" v="3408"/>
    </bk>
    <bk>
      <rc t="2" v="3409"/>
    </bk>
    <bk>
      <rc t="2" v="3410"/>
    </bk>
    <bk>
      <rc t="2" v="3411"/>
    </bk>
    <bk>
      <rc t="2" v="3412"/>
    </bk>
    <bk>
      <rc t="2" v="3413"/>
    </bk>
    <bk>
      <rc t="2" v="3414"/>
    </bk>
    <bk>
      <rc t="2" v="3415"/>
    </bk>
    <bk>
      <rc t="2" v="3416"/>
    </bk>
    <bk>
      <rc t="2" v="3417"/>
    </bk>
    <bk>
      <rc t="2" v="3418"/>
    </bk>
    <bk>
      <rc t="2" v="3419"/>
    </bk>
    <bk>
      <rc t="2" v="3420"/>
    </bk>
    <bk>
      <rc t="2" v="3421"/>
    </bk>
    <bk>
      <rc t="2" v="3422"/>
    </bk>
    <bk>
      <rc t="2" v="3423"/>
    </bk>
    <bk>
      <rc t="2" v="3424"/>
    </bk>
    <bk>
      <rc t="2" v="3425"/>
    </bk>
    <bk>
      <rc t="2" v="3426"/>
    </bk>
    <bk>
      <rc t="2" v="3427"/>
    </bk>
    <bk>
      <rc t="2" v="3428"/>
    </bk>
    <bk>
      <rc t="2" v="3429"/>
    </bk>
    <bk>
      <rc t="2" v="3430"/>
    </bk>
    <bk>
      <rc t="2" v="3431"/>
    </bk>
    <bk>
      <rc t="2" v="3432"/>
    </bk>
    <bk>
      <rc t="2" v="3433"/>
    </bk>
    <bk>
      <rc t="2" v="3434"/>
    </bk>
    <bk>
      <rc t="2" v="3435"/>
    </bk>
    <bk>
      <rc t="2" v="3436"/>
    </bk>
    <bk>
      <rc t="2" v="3437"/>
    </bk>
    <bk>
      <rc t="2" v="3438"/>
    </bk>
    <bk>
      <rc t="2" v="3439"/>
    </bk>
    <bk>
      <rc t="2" v="3440"/>
    </bk>
    <bk>
      <rc t="2" v="3441"/>
    </bk>
    <bk>
      <rc t="2" v="3442"/>
    </bk>
    <bk>
      <rc t="2" v="3443"/>
    </bk>
    <bk>
      <rc t="2" v="3444"/>
    </bk>
    <bk>
      <rc t="2" v="3445"/>
    </bk>
    <bk>
      <rc t="2" v="3446"/>
    </bk>
    <bk>
      <rc t="2" v="3447"/>
    </bk>
    <bk>
      <rc t="2" v="3448"/>
    </bk>
    <bk>
      <rc t="2" v="3449"/>
    </bk>
    <bk>
      <rc t="2" v="3450"/>
    </bk>
    <bk>
      <rc t="2" v="3451"/>
    </bk>
    <bk>
      <rc t="2" v="3452"/>
    </bk>
    <bk>
      <rc t="2" v="3453"/>
    </bk>
    <bk>
      <rc t="2" v="3454"/>
    </bk>
    <bk>
      <rc t="2" v="3455"/>
    </bk>
    <bk>
      <rc t="2" v="3456"/>
    </bk>
    <bk>
      <rc t="2" v="3457"/>
    </bk>
    <bk>
      <rc t="2" v="3458"/>
    </bk>
    <bk>
      <rc t="2" v="3459"/>
    </bk>
    <bk>
      <rc t="2" v="3460"/>
    </bk>
    <bk>
      <rc t="2" v="3461"/>
    </bk>
    <bk>
      <rc t="2" v="3462"/>
    </bk>
    <bk>
      <rc t="2" v="3463"/>
    </bk>
    <bk>
      <rc t="2" v="3464"/>
    </bk>
    <bk>
      <rc t="2" v="3465"/>
    </bk>
    <bk>
      <rc t="2" v="3466"/>
    </bk>
    <bk>
      <rc t="2" v="3467"/>
    </bk>
    <bk>
      <rc t="2" v="3468"/>
    </bk>
    <bk>
      <rc t="2" v="3469"/>
    </bk>
    <bk>
      <rc t="2" v="3470"/>
    </bk>
    <bk>
      <rc t="2" v="3471"/>
    </bk>
    <bk>
      <rc t="2" v="3472"/>
    </bk>
    <bk>
      <rc t="2" v="3473"/>
    </bk>
    <bk>
      <rc t="2" v="3474"/>
    </bk>
    <bk>
      <rc t="2" v="3475"/>
    </bk>
    <bk>
      <rc t="2" v="3476"/>
    </bk>
    <bk>
      <rc t="2" v="3477"/>
    </bk>
    <bk>
      <rc t="2" v="3478"/>
    </bk>
    <bk>
      <rc t="2" v="3479"/>
    </bk>
    <bk>
      <rc t="2" v="3480"/>
    </bk>
    <bk>
      <rc t="2" v="3481"/>
    </bk>
    <bk>
      <rc t="2" v="3482"/>
    </bk>
    <bk>
      <rc t="2" v="3483"/>
    </bk>
    <bk>
      <rc t="2" v="3484"/>
    </bk>
    <bk>
      <rc t="2" v="3485"/>
    </bk>
    <bk>
      <rc t="2" v="3486"/>
    </bk>
    <bk>
      <rc t="2" v="3487"/>
    </bk>
    <bk>
      <rc t="2" v="3488"/>
    </bk>
    <bk>
      <rc t="2" v="3489"/>
    </bk>
    <bk>
      <rc t="2" v="3490"/>
    </bk>
    <bk>
      <rc t="2" v="3491"/>
    </bk>
    <bk>
      <rc t="2" v="3492"/>
    </bk>
    <bk>
      <rc t="2" v="3493"/>
    </bk>
    <bk>
      <rc t="2" v="3494"/>
    </bk>
    <bk>
      <rc t="2" v="3495"/>
    </bk>
    <bk>
      <rc t="2" v="3496"/>
    </bk>
    <bk>
      <rc t="2" v="3497"/>
    </bk>
    <bk>
      <rc t="2" v="3498"/>
    </bk>
    <bk>
      <rc t="2" v="3499"/>
    </bk>
    <bk>
      <rc t="2" v="3500"/>
    </bk>
    <bk>
      <rc t="2" v="3501"/>
    </bk>
    <bk>
      <rc t="2" v="3502"/>
    </bk>
    <bk>
      <rc t="2" v="3503"/>
    </bk>
    <bk>
      <rc t="2" v="3504"/>
    </bk>
    <bk>
      <rc t="2" v="3505"/>
    </bk>
    <bk>
      <rc t="2" v="3506"/>
    </bk>
    <bk>
      <rc t="2" v="3507"/>
    </bk>
    <bk>
      <rc t="2" v="3508"/>
    </bk>
    <bk>
      <rc t="2" v="3509"/>
    </bk>
    <bk>
      <rc t="2" v="3510"/>
    </bk>
    <bk>
      <rc t="2" v="3511"/>
    </bk>
    <bk>
      <rc t="2" v="3512"/>
    </bk>
    <bk>
      <rc t="2" v="3513"/>
    </bk>
    <bk>
      <rc t="2" v="3514"/>
    </bk>
    <bk>
      <rc t="2" v="3515"/>
    </bk>
    <bk>
      <rc t="2" v="3516"/>
    </bk>
    <bk>
      <rc t="2" v="3517"/>
    </bk>
    <bk>
      <rc t="2" v="3518"/>
    </bk>
    <bk>
      <rc t="2" v="3519"/>
    </bk>
    <bk>
      <rc t="2" v="3520"/>
    </bk>
    <bk>
      <rc t="2" v="3521"/>
    </bk>
    <bk>
      <rc t="2" v="3522"/>
    </bk>
    <bk>
      <rc t="2" v="3523"/>
    </bk>
    <bk>
      <rc t="2" v="3524"/>
    </bk>
    <bk>
      <rc t="2" v="3525"/>
    </bk>
    <bk>
      <rc t="2" v="3526"/>
    </bk>
    <bk>
      <rc t="2" v="3527"/>
    </bk>
    <bk>
      <rc t="2" v="3528"/>
    </bk>
    <bk>
      <rc t="2" v="3529"/>
    </bk>
    <bk>
      <rc t="2" v="3530"/>
    </bk>
    <bk>
      <rc t="2" v="3531"/>
    </bk>
    <bk>
      <rc t="2" v="3532"/>
    </bk>
    <bk>
      <rc t="2" v="3533"/>
    </bk>
    <bk>
      <rc t="2" v="3534"/>
    </bk>
    <bk>
      <rc t="2" v="3535"/>
    </bk>
    <bk>
      <rc t="2" v="3536"/>
    </bk>
    <bk>
      <rc t="2" v="3537"/>
    </bk>
    <bk>
      <rc t="2" v="3538"/>
    </bk>
    <bk>
      <rc t="2" v="3539"/>
    </bk>
    <bk>
      <rc t="2" v="3540"/>
    </bk>
    <bk>
      <rc t="2" v="3541"/>
    </bk>
    <bk>
      <rc t="2" v="3542"/>
    </bk>
    <bk>
      <rc t="2" v="3543"/>
    </bk>
    <bk>
      <rc t="2" v="3544"/>
    </bk>
    <bk>
      <rc t="2" v="3545"/>
    </bk>
    <bk>
      <rc t="2" v="3546"/>
    </bk>
    <bk>
      <rc t="2" v="3547"/>
    </bk>
    <bk>
      <rc t="2" v="3548"/>
    </bk>
    <bk>
      <rc t="2" v="3549"/>
    </bk>
    <bk>
      <rc t="2" v="3550"/>
    </bk>
    <bk>
      <rc t="2" v="3551"/>
    </bk>
    <bk>
      <rc t="2" v="3552"/>
    </bk>
    <bk>
      <rc t="2" v="3553"/>
    </bk>
    <bk>
      <rc t="2" v="3554"/>
    </bk>
    <bk>
      <rc t="2" v="3555"/>
    </bk>
    <bk>
      <rc t="2" v="3556"/>
    </bk>
    <bk>
      <rc t="2" v="3557"/>
    </bk>
    <bk>
      <rc t="2" v="3558"/>
    </bk>
    <bk>
      <rc t="2" v="3559"/>
    </bk>
    <bk>
      <rc t="2" v="3560"/>
    </bk>
    <bk>
      <rc t="2" v="3561"/>
    </bk>
    <bk>
      <rc t="2" v="3562"/>
    </bk>
    <bk>
      <rc t="2" v="3563"/>
    </bk>
    <bk>
      <rc t="2" v="3564"/>
    </bk>
    <bk>
      <rc t="2" v="3565"/>
    </bk>
    <bk>
      <rc t="2" v="3566"/>
    </bk>
    <bk>
      <rc t="2" v="3567"/>
    </bk>
    <bk>
      <rc t="2" v="3568"/>
    </bk>
    <bk>
      <rc t="2" v="3569"/>
    </bk>
    <bk>
      <rc t="2" v="3570"/>
    </bk>
    <bk>
      <rc t="2" v="3571"/>
    </bk>
    <bk>
      <rc t="2" v="3572"/>
    </bk>
    <bk>
      <rc t="2" v="3573"/>
    </bk>
    <bk>
      <rc t="2" v="3574"/>
    </bk>
    <bk>
      <rc t="2" v="3575"/>
    </bk>
    <bk>
      <rc t="2" v="3576"/>
    </bk>
    <bk>
      <rc t="2" v="3577"/>
    </bk>
    <bk>
      <rc t="2" v="3578"/>
    </bk>
    <bk>
      <rc t="2" v="3579"/>
    </bk>
    <bk>
      <rc t="2" v="3580"/>
    </bk>
    <bk>
      <rc t="2" v="3581"/>
    </bk>
    <bk>
      <rc t="2" v="3582"/>
    </bk>
    <bk>
      <rc t="2" v="3583"/>
    </bk>
    <bk>
      <rc t="2" v="3584"/>
    </bk>
    <bk>
      <rc t="2" v="3585"/>
    </bk>
    <bk>
      <rc t="2" v="3586"/>
    </bk>
    <bk>
      <rc t="2" v="3587"/>
    </bk>
    <bk>
      <rc t="2" v="3588"/>
    </bk>
    <bk>
      <rc t="2" v="3589"/>
    </bk>
    <bk>
      <rc t="2" v="3590"/>
    </bk>
    <bk>
      <rc t="2" v="3591"/>
    </bk>
    <bk>
      <rc t="2" v="3592"/>
    </bk>
    <bk>
      <rc t="2" v="3593"/>
    </bk>
    <bk>
      <rc t="2" v="3594"/>
    </bk>
    <bk>
      <rc t="2" v="3595"/>
    </bk>
    <bk>
      <rc t="2" v="3596"/>
    </bk>
    <bk>
      <rc t="2" v="3597"/>
    </bk>
    <bk>
      <rc t="2" v="3598"/>
    </bk>
    <bk>
      <rc t="2" v="3599"/>
    </bk>
    <bk>
      <rc t="2" v="3600"/>
    </bk>
    <bk>
      <rc t="2" v="3601"/>
    </bk>
    <bk>
      <rc t="2" v="3602"/>
    </bk>
    <bk>
      <rc t="2" v="3603"/>
    </bk>
    <bk>
      <rc t="2" v="3604"/>
    </bk>
    <bk>
      <rc t="2" v="3605"/>
    </bk>
    <bk>
      <rc t="2" v="3606"/>
    </bk>
    <bk>
      <rc t="2" v="3607"/>
    </bk>
    <bk>
      <rc t="2" v="3608"/>
    </bk>
    <bk>
      <rc t="2" v="3609"/>
    </bk>
    <bk>
      <rc t="2" v="3610"/>
    </bk>
    <bk>
      <rc t="2" v="3611"/>
    </bk>
    <bk>
      <rc t="2" v="3612"/>
    </bk>
    <bk>
      <rc t="2" v="3613"/>
    </bk>
    <bk>
      <rc t="2" v="3614"/>
    </bk>
    <bk>
      <rc t="2" v="3615"/>
    </bk>
    <bk>
      <rc t="2" v="3616"/>
    </bk>
    <bk>
      <rc t="2" v="3617"/>
    </bk>
    <bk>
      <rc t="2" v="3618"/>
    </bk>
    <bk>
      <rc t="2" v="3619"/>
    </bk>
    <bk>
      <rc t="2" v="3620"/>
    </bk>
    <bk>
      <rc t="2" v="3621"/>
    </bk>
    <bk>
      <rc t="2" v="3622"/>
    </bk>
    <bk>
      <rc t="2" v="3623"/>
    </bk>
    <bk>
      <rc t="2" v="3624"/>
    </bk>
    <bk>
      <rc t="2" v="3625"/>
    </bk>
    <bk>
      <rc t="2" v="3626"/>
    </bk>
    <bk>
      <rc t="2" v="3627"/>
    </bk>
    <bk>
      <rc t="2" v="3628"/>
    </bk>
    <bk>
      <rc t="2" v="3629"/>
    </bk>
    <bk>
      <rc t="2" v="3630"/>
    </bk>
    <bk>
      <rc t="2" v="3631"/>
    </bk>
    <bk>
      <rc t="2" v="3632"/>
    </bk>
    <bk>
      <rc t="2" v="3633"/>
    </bk>
    <bk>
      <rc t="2" v="3634"/>
    </bk>
    <bk>
      <rc t="2" v="3635"/>
    </bk>
    <bk>
      <rc t="2" v="3636"/>
    </bk>
    <bk>
      <rc t="2" v="3637"/>
    </bk>
    <bk>
      <rc t="2" v="3638"/>
    </bk>
    <bk>
      <rc t="2" v="3639"/>
    </bk>
    <bk>
      <rc t="2" v="3640"/>
    </bk>
    <bk>
      <rc t="2" v="3641"/>
    </bk>
    <bk>
      <rc t="2" v="3642"/>
    </bk>
    <bk>
      <rc t="2" v="3643"/>
    </bk>
    <bk>
      <rc t="2" v="3644"/>
    </bk>
    <bk>
      <rc t="2" v="3645"/>
    </bk>
    <bk>
      <rc t="2" v="3646"/>
    </bk>
    <bk>
      <rc t="2" v="3647"/>
    </bk>
    <bk>
      <rc t="2" v="3648"/>
    </bk>
    <bk>
      <rc t="2" v="3649"/>
    </bk>
    <bk>
      <rc t="2" v="3650"/>
    </bk>
    <bk>
      <rc t="2" v="3651"/>
    </bk>
    <bk>
      <rc t="2" v="3652"/>
    </bk>
    <bk>
      <rc t="2" v="3653"/>
    </bk>
    <bk>
      <rc t="2" v="3654"/>
    </bk>
    <bk>
      <rc t="2" v="3655"/>
    </bk>
    <bk>
      <rc t="2" v="3656"/>
    </bk>
    <bk>
      <rc t="2" v="3657"/>
    </bk>
    <bk>
      <rc t="2" v="3658"/>
    </bk>
    <bk>
      <rc t="2" v="3659"/>
    </bk>
    <bk>
      <rc t="2" v="3660"/>
    </bk>
    <bk>
      <rc t="2" v="3661"/>
    </bk>
    <bk>
      <rc t="2" v="3662"/>
    </bk>
    <bk>
      <rc t="2" v="3663"/>
    </bk>
    <bk>
      <rc t="2" v="3664"/>
    </bk>
    <bk>
      <rc t="2" v="3665"/>
    </bk>
    <bk>
      <rc t="2" v="3666"/>
    </bk>
    <bk>
      <rc t="2" v="3667"/>
    </bk>
    <bk>
      <rc t="2" v="3668"/>
    </bk>
    <bk>
      <rc t="2" v="3669"/>
    </bk>
    <bk>
      <rc t="2" v="3670"/>
    </bk>
    <bk>
      <rc t="2" v="3671"/>
    </bk>
    <bk>
      <rc t="2" v="3672"/>
    </bk>
    <bk>
      <rc t="2" v="3673"/>
    </bk>
    <bk>
      <rc t="2" v="3674"/>
    </bk>
    <bk>
      <rc t="2" v="3675"/>
    </bk>
    <bk>
      <rc t="2" v="3676"/>
    </bk>
    <bk>
      <rc t="2" v="3677"/>
    </bk>
    <bk>
      <rc t="2" v="3678"/>
    </bk>
    <bk>
      <rc t="2" v="3679"/>
    </bk>
    <bk>
      <rc t="2" v="3680"/>
    </bk>
    <bk>
      <rc t="2" v="3681"/>
    </bk>
    <bk>
      <rc t="2" v="3682"/>
    </bk>
    <bk>
      <rc t="2" v="3683"/>
    </bk>
    <bk>
      <rc t="2" v="3684"/>
    </bk>
    <bk>
      <rc t="2" v="3685"/>
    </bk>
    <bk>
      <rc t="2" v="3686"/>
    </bk>
    <bk>
      <rc t="2" v="3687"/>
    </bk>
    <bk>
      <rc t="2" v="3688"/>
    </bk>
    <bk>
      <rc t="2" v="3689"/>
    </bk>
    <bk>
      <rc t="2" v="3690"/>
    </bk>
    <bk>
      <rc t="2" v="3691"/>
    </bk>
    <bk>
      <rc t="2" v="3692"/>
    </bk>
    <bk>
      <rc t="2" v="3693"/>
    </bk>
    <bk>
      <rc t="2" v="3694"/>
    </bk>
    <bk>
      <rc t="2" v="3695"/>
    </bk>
    <bk>
      <rc t="2" v="3696"/>
    </bk>
    <bk>
      <rc t="2" v="3697"/>
    </bk>
    <bk>
      <rc t="2" v="3698"/>
    </bk>
    <bk>
      <rc t="2" v="3699"/>
    </bk>
    <bk>
      <rc t="2" v="3700"/>
    </bk>
    <bk>
      <rc t="2" v="3701"/>
    </bk>
    <bk>
      <rc t="2" v="3702"/>
    </bk>
    <bk>
      <rc t="2" v="3703"/>
    </bk>
    <bk>
      <rc t="2" v="3704"/>
    </bk>
    <bk>
      <rc t="2" v="3705"/>
    </bk>
    <bk>
      <rc t="2" v="3706"/>
    </bk>
    <bk>
      <rc t="2" v="3707"/>
    </bk>
    <bk>
      <rc t="2" v="3708"/>
    </bk>
    <bk>
      <rc t="2" v="3709"/>
    </bk>
    <bk>
      <rc t="2" v="3710"/>
    </bk>
    <bk>
      <rc t="2" v="3711"/>
    </bk>
    <bk>
      <rc t="2" v="3712"/>
    </bk>
    <bk>
      <rc t="2" v="3713"/>
    </bk>
    <bk>
      <rc t="2" v="3714"/>
    </bk>
    <bk>
      <rc t="2" v="3715"/>
    </bk>
    <bk>
      <rc t="2" v="3716"/>
    </bk>
    <bk>
      <rc t="2" v="3717"/>
    </bk>
    <bk>
      <rc t="2" v="3718"/>
    </bk>
    <bk>
      <rc t="2" v="3719"/>
    </bk>
    <bk>
      <rc t="2" v="3720"/>
    </bk>
    <bk>
      <rc t="2" v="3721"/>
    </bk>
    <bk>
      <rc t="2" v="3722"/>
    </bk>
    <bk>
      <rc t="2" v="3723"/>
    </bk>
    <bk>
      <rc t="2" v="3724"/>
    </bk>
    <bk>
      <rc t="2" v="3725"/>
    </bk>
    <bk>
      <rc t="2" v="3726"/>
    </bk>
    <bk>
      <rc t="2" v="3727"/>
    </bk>
    <bk>
      <rc t="2" v="3728"/>
    </bk>
    <bk>
      <rc t="2" v="3729"/>
    </bk>
    <bk>
      <rc t="2" v="3730"/>
    </bk>
    <bk>
      <rc t="2" v="3731"/>
    </bk>
    <bk>
      <rc t="2" v="3732"/>
    </bk>
    <bk>
      <rc t="2" v="3733"/>
    </bk>
    <bk>
      <rc t="2" v="3734"/>
    </bk>
    <bk>
      <rc t="2" v="3735"/>
    </bk>
    <bk>
      <rc t="2" v="3736"/>
    </bk>
    <bk>
      <rc t="2" v="3737"/>
    </bk>
    <bk>
      <rc t="2" v="3738"/>
    </bk>
    <bk>
      <rc t="2" v="3739"/>
    </bk>
    <bk>
      <rc t="2" v="3740"/>
    </bk>
    <bk>
      <rc t="2" v="3741"/>
    </bk>
    <bk>
      <rc t="2" v="3742"/>
    </bk>
    <bk>
      <rc t="2" v="3743"/>
    </bk>
    <bk>
      <rc t="2" v="3744"/>
    </bk>
    <bk>
      <rc t="2" v="3745"/>
    </bk>
    <bk>
      <rc t="2" v="3746"/>
    </bk>
    <bk>
      <rc t="2" v="3747"/>
    </bk>
    <bk>
      <rc t="2" v="3748"/>
    </bk>
    <bk>
      <rc t="2" v="3749"/>
    </bk>
    <bk>
      <rc t="2" v="3750"/>
    </bk>
    <bk>
      <rc t="2" v="3751"/>
    </bk>
    <bk>
      <rc t="2" v="3752"/>
    </bk>
    <bk>
      <rc t="2" v="3753"/>
    </bk>
    <bk>
      <rc t="2" v="3754"/>
    </bk>
    <bk>
      <rc t="2" v="3755"/>
    </bk>
    <bk>
      <rc t="2" v="3756"/>
    </bk>
    <bk>
      <rc t="2" v="3757"/>
    </bk>
    <bk>
      <rc t="2" v="3758"/>
    </bk>
    <bk>
      <rc t="2" v="3759"/>
    </bk>
    <bk>
      <rc t="2" v="3760"/>
    </bk>
    <bk>
      <rc t="2" v="3761"/>
    </bk>
    <bk>
      <rc t="2" v="3762"/>
    </bk>
    <bk>
      <rc t="2" v="3763"/>
    </bk>
    <bk>
      <rc t="2" v="3764"/>
    </bk>
    <bk>
      <rc t="2" v="3765"/>
    </bk>
    <bk>
      <rc t="2" v="3766"/>
    </bk>
    <bk>
      <rc t="2" v="3767"/>
    </bk>
    <bk>
      <rc t="2" v="3768"/>
    </bk>
    <bk>
      <rc t="2" v="3769"/>
    </bk>
    <bk>
      <rc t="2" v="3770"/>
    </bk>
    <bk>
      <rc t="2" v="3771"/>
    </bk>
    <bk>
      <rc t="2" v="3772"/>
    </bk>
    <bk>
      <rc t="2" v="3773"/>
    </bk>
    <bk>
      <rc t="2" v="3774"/>
    </bk>
    <bk>
      <rc t="2" v="3775"/>
    </bk>
    <bk>
      <rc t="2" v="3776"/>
    </bk>
    <bk>
      <rc t="2" v="3777"/>
    </bk>
    <bk>
      <rc t="2" v="3778"/>
    </bk>
    <bk>
      <rc t="2" v="3779"/>
    </bk>
    <bk>
      <rc t="2" v="3780"/>
    </bk>
    <bk>
      <rc t="2" v="3781"/>
    </bk>
    <bk>
      <rc t="2" v="3782"/>
    </bk>
    <bk>
      <rc t="2" v="3783"/>
    </bk>
    <bk>
      <rc t="2" v="3784"/>
    </bk>
    <bk>
      <rc t="2" v="3785"/>
    </bk>
    <bk>
      <rc t="2" v="3786"/>
    </bk>
    <bk>
      <rc t="2" v="3787"/>
    </bk>
    <bk>
      <rc t="2" v="3788"/>
    </bk>
    <bk>
      <rc t="2" v="3789"/>
    </bk>
    <bk>
      <rc t="2" v="3790"/>
    </bk>
    <bk>
      <rc t="2" v="3791"/>
    </bk>
    <bk>
      <rc t="2" v="3792"/>
    </bk>
    <bk>
      <rc t="2" v="3793"/>
    </bk>
    <bk>
      <rc t="2" v="3794"/>
    </bk>
    <bk>
      <rc t="2" v="3795"/>
    </bk>
    <bk>
      <rc t="2" v="3796"/>
    </bk>
    <bk>
      <rc t="2" v="3797"/>
    </bk>
    <bk>
      <rc t="2" v="3798"/>
    </bk>
    <bk>
      <rc t="2" v="3799"/>
    </bk>
    <bk>
      <rc t="2" v="3800"/>
    </bk>
    <bk>
      <rc t="2" v="3801"/>
    </bk>
    <bk>
      <rc t="2" v="3802"/>
    </bk>
    <bk>
      <rc t="2" v="3803"/>
    </bk>
    <bk>
      <rc t="2" v="3804"/>
    </bk>
    <bk>
      <rc t="2" v="3805"/>
    </bk>
    <bk>
      <rc t="2" v="3806"/>
    </bk>
    <bk>
      <rc t="2" v="3807"/>
    </bk>
    <bk>
      <rc t="2" v="3808"/>
    </bk>
    <bk>
      <rc t="2" v="3809"/>
    </bk>
    <bk>
      <rc t="2" v="3810"/>
    </bk>
    <bk>
      <rc t="2" v="3811"/>
    </bk>
    <bk>
      <rc t="2" v="3812"/>
    </bk>
    <bk>
      <rc t="2" v="3813"/>
    </bk>
    <bk>
      <rc t="2" v="3814"/>
    </bk>
    <bk>
      <rc t="2" v="3815"/>
    </bk>
    <bk>
      <rc t="2" v="3816"/>
    </bk>
    <bk>
      <rc t="2" v="3817"/>
    </bk>
    <bk>
      <rc t="2" v="3818"/>
    </bk>
    <bk>
      <rc t="2" v="3819"/>
    </bk>
    <bk>
      <rc t="2" v="3820"/>
    </bk>
    <bk>
      <rc t="2" v="3821"/>
    </bk>
    <bk>
      <rc t="2" v="3822"/>
    </bk>
    <bk>
      <rc t="2" v="3823"/>
    </bk>
    <bk>
      <rc t="2" v="3824"/>
    </bk>
    <bk>
      <rc t="2" v="3825"/>
    </bk>
    <bk>
      <rc t="2" v="3826"/>
    </bk>
    <bk>
      <rc t="2" v="3827"/>
    </bk>
    <bk>
      <rc t="2" v="3828"/>
    </bk>
    <bk>
      <rc t="2" v="3829"/>
    </bk>
    <bk>
      <rc t="2" v="3830"/>
    </bk>
    <bk>
      <rc t="2" v="3831"/>
    </bk>
    <bk>
      <rc t="2" v="3832"/>
    </bk>
    <bk>
      <rc t="2" v="3833"/>
    </bk>
    <bk>
      <rc t="2" v="3834"/>
    </bk>
    <bk>
      <rc t="2" v="3835"/>
    </bk>
    <bk>
      <rc t="2" v="3836"/>
    </bk>
    <bk>
      <rc t="2" v="3837"/>
    </bk>
    <bk>
      <rc t="2" v="3838"/>
    </bk>
    <bk>
      <rc t="2" v="3839"/>
    </bk>
    <bk>
      <rc t="2" v="3840"/>
    </bk>
    <bk>
      <rc t="2" v="3841"/>
    </bk>
    <bk>
      <rc t="2" v="3842"/>
    </bk>
    <bk>
      <rc t="2" v="3843"/>
    </bk>
    <bk>
      <rc t="2" v="3844"/>
    </bk>
    <bk>
      <rc t="2" v="3845"/>
    </bk>
    <bk>
      <rc t="2" v="3846"/>
    </bk>
    <bk>
      <rc t="2" v="3847"/>
    </bk>
    <bk>
      <rc t="2" v="3848"/>
    </bk>
    <bk>
      <rc t="2" v="3849"/>
    </bk>
    <bk>
      <rc t="2" v="3850"/>
    </bk>
    <bk>
      <rc t="2" v="3851"/>
    </bk>
    <bk>
      <rc t="2" v="3852"/>
    </bk>
    <bk>
      <rc t="2" v="3853"/>
    </bk>
    <bk>
      <rc t="2" v="3854"/>
    </bk>
    <bk>
      <rc t="2" v="3855"/>
    </bk>
    <bk>
      <rc t="2" v="3856"/>
    </bk>
    <bk>
      <rc t="2" v="3857"/>
    </bk>
    <bk>
      <rc t="2" v="3858"/>
    </bk>
    <bk>
      <rc t="2" v="3859"/>
    </bk>
    <bk>
      <rc t="2" v="3860"/>
    </bk>
    <bk>
      <rc t="2" v="3861"/>
    </bk>
    <bk>
      <rc t="2" v="3862"/>
    </bk>
    <bk>
      <rc t="2" v="3863"/>
    </bk>
    <bk>
      <rc t="2" v="3864"/>
    </bk>
    <bk>
      <rc t="2" v="3865"/>
    </bk>
    <bk>
      <rc t="2" v="3866"/>
    </bk>
    <bk>
      <rc t="2" v="3867"/>
    </bk>
    <bk>
      <rc t="2" v="3868"/>
    </bk>
    <bk>
      <rc t="2" v="3869"/>
    </bk>
    <bk>
      <rc t="2" v="3870"/>
    </bk>
    <bk>
      <rc t="2" v="3871"/>
    </bk>
    <bk>
      <rc t="2" v="3872"/>
    </bk>
    <bk>
      <rc t="2" v="3873"/>
    </bk>
    <bk>
      <rc t="2" v="3874"/>
    </bk>
    <bk>
      <rc t="2" v="3875"/>
    </bk>
    <bk>
      <rc t="2" v="3876"/>
    </bk>
    <bk>
      <rc t="2" v="3877"/>
    </bk>
    <bk>
      <rc t="2" v="3878"/>
    </bk>
    <bk>
      <rc t="2" v="3879"/>
    </bk>
    <bk>
      <rc t="2" v="3880"/>
    </bk>
    <bk>
      <rc t="2" v="3881"/>
    </bk>
    <bk>
      <rc t="2" v="3882"/>
    </bk>
    <bk>
      <rc t="2" v="3883"/>
    </bk>
    <bk>
      <rc t="2" v="3884"/>
    </bk>
    <bk>
      <rc t="2" v="3885"/>
    </bk>
    <bk>
      <rc t="2" v="3886"/>
    </bk>
    <bk>
      <rc t="2" v="3887"/>
    </bk>
    <bk>
      <rc t="2" v="3888"/>
    </bk>
    <bk>
      <rc t="2" v="3889"/>
    </bk>
    <bk>
      <rc t="2" v="3890"/>
    </bk>
    <bk>
      <rc t="2" v="3891"/>
    </bk>
    <bk>
      <rc t="2" v="3892"/>
    </bk>
    <bk>
      <rc t="2" v="3893"/>
    </bk>
    <bk>
      <rc t="2" v="3894"/>
    </bk>
    <bk>
      <rc t="2" v="3895"/>
    </bk>
    <bk>
      <rc t="2" v="3896"/>
    </bk>
    <bk>
      <rc t="2" v="3897"/>
    </bk>
    <bk>
      <rc t="2" v="3898"/>
    </bk>
    <bk>
      <rc t="2" v="3899"/>
    </bk>
    <bk>
      <rc t="2" v="3900"/>
    </bk>
    <bk>
      <rc t="2" v="3901"/>
    </bk>
    <bk>
      <rc t="2" v="3902"/>
    </bk>
    <bk>
      <rc t="2" v="3903"/>
    </bk>
    <bk>
      <rc t="2" v="3904"/>
    </bk>
    <bk>
      <rc t="2" v="3905"/>
    </bk>
    <bk>
      <rc t="2" v="3906"/>
    </bk>
    <bk>
      <rc t="2" v="3907"/>
    </bk>
    <bk>
      <rc t="2" v="3908"/>
    </bk>
    <bk>
      <rc t="2" v="3909"/>
    </bk>
    <bk>
      <rc t="2" v="3910"/>
    </bk>
    <bk>
      <rc t="2" v="3911"/>
    </bk>
    <bk>
      <rc t="2" v="3912"/>
    </bk>
    <bk>
      <rc t="2" v="3913"/>
    </bk>
    <bk>
      <rc t="2" v="3914"/>
    </bk>
    <bk>
      <rc t="2" v="3915"/>
    </bk>
    <bk>
      <rc t="2" v="3916"/>
    </bk>
    <bk>
      <rc t="2" v="3917"/>
    </bk>
    <bk>
      <rc t="2" v="3918"/>
    </bk>
    <bk>
      <rc t="2" v="3919"/>
    </bk>
    <bk>
      <rc t="2" v="3920"/>
    </bk>
    <bk>
      <rc t="2" v="3921"/>
    </bk>
    <bk>
      <rc t="2" v="3922"/>
    </bk>
    <bk>
      <rc t="2" v="3923"/>
    </bk>
    <bk>
      <rc t="2" v="3924"/>
    </bk>
    <bk>
      <rc t="2" v="3925"/>
    </bk>
    <bk>
      <rc t="2" v="3926"/>
    </bk>
    <bk>
      <rc t="2" v="3927"/>
    </bk>
    <bk>
      <rc t="2" v="3928"/>
    </bk>
    <bk>
      <rc t="2" v="3929"/>
    </bk>
    <bk>
      <rc t="2" v="3930"/>
    </bk>
    <bk>
      <rc t="2" v="3931"/>
    </bk>
    <bk>
      <rc t="2" v="3932"/>
    </bk>
    <bk>
      <rc t="2" v="3933"/>
    </bk>
    <bk>
      <rc t="2" v="3934"/>
    </bk>
    <bk>
      <rc t="2" v="3935"/>
    </bk>
    <bk>
      <rc t="2" v="3936"/>
    </bk>
    <bk>
      <rc t="2" v="3937"/>
    </bk>
    <bk>
      <rc t="2" v="3938"/>
    </bk>
    <bk>
      <rc t="2" v="3939"/>
    </bk>
    <bk>
      <rc t="2" v="3940"/>
    </bk>
    <bk>
      <rc t="2" v="3941"/>
    </bk>
    <bk>
      <rc t="2" v="3942"/>
    </bk>
    <bk>
      <rc t="2" v="3943"/>
    </bk>
    <bk>
      <rc t="2" v="3944"/>
    </bk>
    <bk>
      <rc t="2" v="3945"/>
    </bk>
    <bk>
      <rc t="2" v="3946"/>
    </bk>
    <bk>
      <rc t="2" v="3947"/>
    </bk>
    <bk>
      <rc t="2" v="3948"/>
    </bk>
    <bk>
      <rc t="2" v="3949"/>
    </bk>
    <bk>
      <rc t="2" v="3950"/>
    </bk>
    <bk>
      <rc t="2" v="3951"/>
    </bk>
    <bk>
      <rc t="2" v="3952"/>
    </bk>
    <bk>
      <rc t="2" v="3953"/>
    </bk>
    <bk>
      <rc t="2" v="3954"/>
    </bk>
    <bk>
      <rc t="2" v="3955"/>
    </bk>
    <bk>
      <rc t="2" v="3956"/>
    </bk>
    <bk>
      <rc t="2" v="3957"/>
    </bk>
    <bk>
      <rc t="2" v="3958"/>
    </bk>
    <bk>
      <rc t="2" v="3959"/>
    </bk>
    <bk>
      <rc t="2" v="3960"/>
    </bk>
    <bk>
      <rc t="2" v="3961"/>
    </bk>
    <bk>
      <rc t="2" v="3962"/>
    </bk>
    <bk>
      <rc t="2" v="3963"/>
    </bk>
    <bk>
      <rc t="2" v="3964"/>
    </bk>
    <bk>
      <rc t="2" v="3965"/>
    </bk>
    <bk>
      <rc t="2" v="3966"/>
    </bk>
    <bk>
      <rc t="2" v="3967"/>
    </bk>
    <bk>
      <rc t="2" v="3968"/>
    </bk>
    <bk>
      <rc t="2" v="3969"/>
    </bk>
    <bk>
      <rc t="2" v="3970"/>
    </bk>
    <bk>
      <rc t="2" v="3971"/>
    </bk>
    <bk>
      <rc t="2" v="3972"/>
    </bk>
    <bk>
      <rc t="2" v="3973"/>
    </bk>
    <bk>
      <rc t="2" v="3974"/>
    </bk>
    <bk>
      <rc t="2" v="3975"/>
    </bk>
    <bk>
      <rc t="2" v="3976"/>
    </bk>
    <bk>
      <rc t="2" v="3977"/>
    </bk>
    <bk>
      <rc t="2" v="3978"/>
    </bk>
    <bk>
      <rc t="2" v="3979"/>
    </bk>
    <bk>
      <rc t="2" v="3980"/>
    </bk>
    <bk>
      <rc t="2" v="3981"/>
    </bk>
    <bk>
      <rc t="2" v="3982"/>
    </bk>
    <bk>
      <rc t="2" v="3983"/>
    </bk>
    <bk>
      <rc t="2" v="3984"/>
    </bk>
    <bk>
      <rc t="2" v="3985"/>
    </bk>
    <bk>
      <rc t="2" v="3986"/>
    </bk>
    <bk>
      <rc t="2" v="3987"/>
    </bk>
    <bk>
      <rc t="2" v="3988"/>
    </bk>
    <bk>
      <rc t="2" v="3989"/>
    </bk>
    <bk>
      <rc t="2" v="3990"/>
    </bk>
    <bk>
      <rc t="2" v="3991"/>
    </bk>
    <bk>
      <rc t="2" v="3992"/>
    </bk>
    <bk>
      <rc t="2" v="3993"/>
    </bk>
    <bk>
      <rc t="2" v="3994"/>
    </bk>
    <bk>
      <rc t="2" v="3995"/>
    </bk>
    <bk>
      <rc t="2" v="3996"/>
    </bk>
    <bk>
      <rc t="2" v="3997"/>
    </bk>
    <bk>
      <rc t="2" v="3998"/>
    </bk>
    <bk>
      <rc t="2" v="3999"/>
    </bk>
    <bk>
      <rc t="2" v="4000"/>
    </bk>
    <bk>
      <rc t="2" v="4001"/>
    </bk>
    <bk>
      <rc t="2" v="4002"/>
    </bk>
    <bk>
      <rc t="2" v="4003"/>
    </bk>
    <bk>
      <rc t="2" v="4004"/>
    </bk>
    <bk>
      <rc t="2" v="4005"/>
    </bk>
    <bk>
      <rc t="2" v="4006"/>
    </bk>
    <bk>
      <rc t="2" v="4007"/>
    </bk>
    <bk>
      <rc t="2" v="4008"/>
    </bk>
    <bk>
      <rc t="2" v="4009"/>
    </bk>
    <bk>
      <rc t="2" v="4010"/>
    </bk>
    <bk>
      <rc t="2" v="4011"/>
    </bk>
    <bk>
      <rc t="2" v="4012"/>
    </bk>
    <bk>
      <rc t="2" v="4013"/>
    </bk>
    <bk>
      <rc t="2" v="4014"/>
    </bk>
    <bk>
      <rc t="2" v="4015"/>
    </bk>
    <bk>
      <rc t="2" v="4016"/>
    </bk>
    <bk>
      <rc t="2" v="4017"/>
    </bk>
    <bk>
      <rc t="2" v="4018"/>
    </bk>
    <bk>
      <rc t="2" v="4019"/>
    </bk>
    <bk>
      <rc t="2" v="4020"/>
    </bk>
    <bk>
      <rc t="2" v="4021"/>
    </bk>
    <bk>
      <rc t="2" v="4022"/>
    </bk>
    <bk>
      <rc t="2" v="4023"/>
    </bk>
    <bk>
      <rc t="2" v="4024"/>
    </bk>
    <bk>
      <rc t="2" v="4025"/>
    </bk>
    <bk>
      <rc t="2" v="4026"/>
    </bk>
    <bk>
      <rc t="2" v="4027"/>
    </bk>
    <bk>
      <rc t="2" v="4028"/>
    </bk>
    <bk>
      <rc t="2" v="4029"/>
    </bk>
    <bk>
      <rc t="2" v="4030"/>
    </bk>
    <bk>
      <rc t="2" v="4031"/>
    </bk>
    <bk>
      <rc t="2" v="4032"/>
    </bk>
    <bk>
      <rc t="2" v="4033"/>
    </bk>
    <bk>
      <rc t="2" v="4034"/>
    </bk>
    <bk>
      <rc t="2" v="4035"/>
    </bk>
    <bk>
      <rc t="2" v="4036"/>
    </bk>
    <bk>
      <rc t="2" v="4037"/>
    </bk>
    <bk>
      <rc t="2" v="4038"/>
    </bk>
    <bk>
      <rc t="2" v="4039"/>
    </bk>
    <bk>
      <rc t="2" v="4040"/>
    </bk>
    <bk>
      <rc t="2" v="4041"/>
    </bk>
    <bk>
      <rc t="2" v="4042"/>
    </bk>
    <bk>
      <rc t="2" v="4043"/>
    </bk>
    <bk>
      <rc t="2" v="4044"/>
    </bk>
    <bk>
      <rc t="2" v="4045"/>
    </bk>
    <bk>
      <rc t="2" v="4046"/>
    </bk>
    <bk>
      <rc t="2" v="4047"/>
    </bk>
    <bk>
      <rc t="2" v="4048"/>
    </bk>
    <bk>
      <rc t="2" v="4049"/>
    </bk>
    <bk>
      <rc t="2" v="4050"/>
    </bk>
    <bk>
      <rc t="2" v="4051"/>
    </bk>
    <bk>
      <rc t="2" v="4052"/>
    </bk>
    <bk>
      <rc t="2" v="4053"/>
    </bk>
    <bk>
      <rc t="2" v="4054"/>
    </bk>
    <bk>
      <rc t="2" v="4055"/>
    </bk>
    <bk>
      <rc t="2" v="4056"/>
    </bk>
    <bk>
      <rc t="2" v="4057"/>
    </bk>
    <bk>
      <rc t="2" v="4058"/>
    </bk>
    <bk>
      <rc t="2" v="4059"/>
    </bk>
    <bk>
      <rc t="2" v="4060"/>
    </bk>
    <bk>
      <rc t="2" v="4061"/>
    </bk>
    <bk>
      <rc t="2" v="4062"/>
    </bk>
    <bk>
      <rc t="2" v="4063"/>
    </bk>
    <bk>
      <rc t="2" v="4064"/>
    </bk>
    <bk>
      <rc t="2" v="4065"/>
    </bk>
    <bk>
      <rc t="2" v="4066"/>
    </bk>
    <bk>
      <rc t="2" v="4067"/>
    </bk>
    <bk>
      <rc t="2" v="4068"/>
    </bk>
    <bk>
      <rc t="2" v="4069"/>
    </bk>
    <bk>
      <rc t="2" v="4070"/>
    </bk>
    <bk>
      <rc t="2" v="4071"/>
    </bk>
    <bk>
      <rc t="2" v="4072"/>
    </bk>
    <bk>
      <rc t="2" v="4073"/>
    </bk>
    <bk>
      <rc t="2" v="4074"/>
    </bk>
    <bk>
      <rc t="2" v="4075"/>
    </bk>
    <bk>
      <rc t="2" v="4076"/>
    </bk>
    <bk>
      <rc t="2" v="4077"/>
    </bk>
    <bk>
      <rc t="2" v="4078"/>
    </bk>
    <bk>
      <rc t="2" v="4079"/>
    </bk>
    <bk>
      <rc t="2" v="4080"/>
    </bk>
    <bk>
      <rc t="2" v="4081"/>
    </bk>
    <bk>
      <rc t="2" v="4082"/>
    </bk>
    <bk>
      <rc t="2" v="4083"/>
    </bk>
    <bk>
      <rc t="2" v="4084"/>
    </bk>
    <bk>
      <rc t="2" v="4085"/>
    </bk>
    <bk>
      <rc t="2" v="4086"/>
    </bk>
    <bk>
      <rc t="2" v="4087"/>
    </bk>
    <bk>
      <rc t="2" v="4088"/>
    </bk>
    <bk>
      <rc t="2" v="4089"/>
    </bk>
    <bk>
      <rc t="2" v="4090"/>
    </bk>
    <bk>
      <rc t="2" v="4091"/>
    </bk>
    <bk>
      <rc t="2" v="4092"/>
    </bk>
    <bk>
      <rc t="2" v="4093"/>
    </bk>
    <bk>
      <rc t="2" v="4094"/>
    </bk>
    <bk>
      <rc t="2" v="4095"/>
    </bk>
    <bk>
      <rc t="2" v="4096"/>
    </bk>
    <bk>
      <rc t="2" v="4097"/>
    </bk>
    <bk>
      <rc t="2" v="4098"/>
    </bk>
    <bk>
      <rc t="2" v="4099"/>
    </bk>
    <bk>
      <rc t="2" v="4100"/>
    </bk>
    <bk>
      <rc t="2" v="4101"/>
    </bk>
    <bk>
      <rc t="2" v="4102"/>
    </bk>
    <bk>
      <rc t="2" v="4103"/>
    </bk>
    <bk>
      <rc t="2" v="4104"/>
    </bk>
    <bk>
      <rc t="2" v="4105"/>
    </bk>
    <bk>
      <rc t="2" v="4106"/>
    </bk>
    <bk>
      <rc t="2" v="4107"/>
    </bk>
    <bk>
      <rc t="2" v="4108"/>
    </bk>
    <bk>
      <rc t="2" v="4109"/>
    </bk>
    <bk>
      <rc t="2" v="4110"/>
    </bk>
    <bk>
      <rc t="2" v="4111"/>
    </bk>
    <bk>
      <rc t="2" v="4112"/>
    </bk>
    <bk>
      <rc t="2" v="4113"/>
    </bk>
    <bk>
      <rc t="2" v="4114"/>
    </bk>
    <bk>
      <rc t="2" v="4115"/>
    </bk>
    <bk>
      <rc t="2" v="4116"/>
    </bk>
    <bk>
      <rc t="2" v="4117"/>
    </bk>
    <bk>
      <rc t="2" v="4118"/>
    </bk>
    <bk>
      <rc t="2" v="4119"/>
    </bk>
    <bk>
      <rc t="2" v="4120"/>
    </bk>
    <bk>
      <rc t="2" v="4121"/>
    </bk>
    <bk>
      <rc t="2" v="4122"/>
    </bk>
    <bk>
      <rc t="2" v="4123"/>
    </bk>
    <bk>
      <rc t="2" v="4124"/>
    </bk>
    <bk>
      <rc t="2" v="4125"/>
    </bk>
    <bk>
      <rc t="2" v="4126"/>
    </bk>
    <bk>
      <rc t="2" v="4127"/>
    </bk>
    <bk>
      <rc t="2" v="4128"/>
    </bk>
    <bk>
      <rc t="2" v="4129"/>
    </bk>
    <bk>
      <rc t="2" v="4130"/>
    </bk>
    <bk>
      <rc t="2" v="4131"/>
    </bk>
    <bk>
      <rc t="2" v="4132"/>
    </bk>
    <bk>
      <rc t="2" v="4133"/>
    </bk>
    <bk>
      <rc t="2" v="4134"/>
    </bk>
    <bk>
      <rc t="2" v="4135"/>
    </bk>
    <bk>
      <rc t="2" v="4136"/>
    </bk>
    <bk>
      <rc t="2" v="4137"/>
    </bk>
    <bk>
      <rc t="2" v="4138"/>
    </bk>
    <bk>
      <rc t="2" v="4139"/>
    </bk>
    <bk>
      <rc t="2" v="4140"/>
    </bk>
    <bk>
      <rc t="2" v="4141"/>
    </bk>
    <bk>
      <rc t="2" v="4142"/>
    </bk>
    <bk>
      <rc t="2" v="4143"/>
    </bk>
    <bk>
      <rc t="2" v="4144"/>
    </bk>
    <bk>
      <rc t="2" v="4145"/>
    </bk>
    <bk>
      <rc t="2" v="4146"/>
    </bk>
    <bk>
      <rc t="2" v="4147"/>
    </bk>
    <bk>
      <rc t="2" v="4148"/>
    </bk>
    <bk>
      <rc t="2" v="4149"/>
    </bk>
    <bk>
      <rc t="2" v="4150"/>
    </bk>
    <bk>
      <rc t="2" v="4151"/>
    </bk>
    <bk>
      <rc t="2" v="4152"/>
    </bk>
    <bk>
      <rc t="2" v="4153"/>
    </bk>
    <bk>
      <rc t="2" v="4154"/>
    </bk>
    <bk>
      <rc t="2" v="4155"/>
    </bk>
    <bk>
      <rc t="2" v="4156"/>
    </bk>
    <bk>
      <rc t="2" v="4157"/>
    </bk>
    <bk>
      <rc t="2" v="4158"/>
    </bk>
    <bk>
      <rc t="2" v="4159"/>
    </bk>
    <bk>
      <rc t="2" v="4160"/>
    </bk>
    <bk>
      <rc t="2" v="4161"/>
    </bk>
    <bk>
      <rc t="2" v="4162"/>
    </bk>
    <bk>
      <rc t="2" v="4163"/>
    </bk>
    <bk>
      <rc t="2" v="4164"/>
    </bk>
    <bk>
      <rc t="2" v="4165"/>
    </bk>
    <bk>
      <rc t="2" v="4166"/>
    </bk>
    <bk>
      <rc t="2" v="4167"/>
    </bk>
    <bk>
      <rc t="2" v="4168"/>
    </bk>
    <bk>
      <rc t="2" v="4169"/>
    </bk>
    <bk>
      <rc t="2" v="4170"/>
    </bk>
    <bk>
      <rc t="2" v="4171"/>
    </bk>
    <bk>
      <rc t="2" v="4172"/>
    </bk>
    <bk>
      <rc t="2" v="4173"/>
    </bk>
    <bk>
      <rc t="2" v="4174"/>
    </bk>
    <bk>
      <rc t="2" v="4175"/>
    </bk>
    <bk>
      <rc t="2" v="4176"/>
    </bk>
    <bk>
      <rc t="2" v="4177"/>
    </bk>
    <bk>
      <rc t="2" v="4178"/>
    </bk>
    <bk>
      <rc t="2" v="4179"/>
    </bk>
    <bk>
      <rc t="2" v="4180"/>
    </bk>
    <bk>
      <rc t="2" v="4181"/>
    </bk>
    <bk>
      <rc t="2" v="4182"/>
    </bk>
    <bk>
      <rc t="2" v="4183"/>
    </bk>
    <bk>
      <rc t="2" v="4184"/>
    </bk>
    <bk>
      <rc t="2" v="4185"/>
    </bk>
    <bk>
      <rc t="2" v="4186"/>
    </bk>
    <bk>
      <rc t="2" v="4187"/>
    </bk>
    <bk>
      <rc t="2" v="4188"/>
    </bk>
    <bk>
      <rc t="2" v="4189"/>
    </bk>
    <bk>
      <rc t="2" v="4190"/>
    </bk>
    <bk>
      <rc t="2" v="4191"/>
    </bk>
    <bk>
      <rc t="2" v="4192"/>
    </bk>
    <bk>
      <rc t="2" v="4193"/>
    </bk>
    <bk>
      <rc t="2" v="4194"/>
    </bk>
    <bk>
      <rc t="2" v="4195"/>
    </bk>
    <bk>
      <rc t="2" v="4196"/>
    </bk>
    <bk>
      <rc t="2" v="4197"/>
    </bk>
    <bk>
      <rc t="2" v="4198"/>
    </bk>
    <bk>
      <rc t="2" v="4199"/>
    </bk>
    <bk>
      <rc t="2" v="4200"/>
    </bk>
    <bk>
      <rc t="2" v="4201"/>
    </bk>
    <bk>
      <rc t="2" v="4202"/>
    </bk>
    <bk>
      <rc t="2" v="4203"/>
    </bk>
    <bk>
      <rc t="2" v="4204"/>
    </bk>
    <bk>
      <rc t="2" v="4205"/>
    </bk>
    <bk>
      <rc t="2" v="4206"/>
    </bk>
    <bk>
      <rc t="2" v="4207"/>
    </bk>
    <bk>
      <rc t="2" v="4208"/>
    </bk>
    <bk>
      <rc t="2" v="4209"/>
    </bk>
    <bk>
      <rc t="2" v="4210"/>
    </bk>
    <bk>
      <rc t="2" v="4211"/>
    </bk>
    <bk>
      <rc t="2" v="4212"/>
    </bk>
    <bk>
      <rc t="2" v="4213"/>
    </bk>
    <bk>
      <rc t="2" v="4214"/>
    </bk>
    <bk>
      <rc t="2" v="4215"/>
    </bk>
    <bk>
      <rc t="2" v="4216"/>
    </bk>
    <bk>
      <rc t="2" v="4217"/>
    </bk>
    <bk>
      <rc t="2" v="4218"/>
    </bk>
    <bk>
      <rc t="2" v="4219"/>
    </bk>
    <bk>
      <rc t="2" v="4220"/>
    </bk>
    <bk>
      <rc t="2" v="4221"/>
    </bk>
    <bk>
      <rc t="2" v="4222"/>
    </bk>
    <bk>
      <rc t="2" v="4223"/>
    </bk>
    <bk>
      <rc t="2" v="4224"/>
    </bk>
    <bk>
      <rc t="2" v="4225"/>
    </bk>
    <bk>
      <rc t="2" v="4226"/>
    </bk>
    <bk>
      <rc t="2" v="4227"/>
    </bk>
    <bk>
      <rc t="2" v="4228"/>
    </bk>
    <bk>
      <rc t="2" v="4229"/>
    </bk>
    <bk>
      <rc t="2" v="4230"/>
    </bk>
    <bk>
      <rc t="2" v="4231"/>
    </bk>
    <bk>
      <rc t="2" v="4232"/>
    </bk>
    <bk>
      <rc t="2" v="4233"/>
    </bk>
    <bk>
      <rc t="2" v="4234"/>
    </bk>
    <bk>
      <rc t="2" v="4235"/>
    </bk>
    <bk>
      <rc t="2" v="4236"/>
    </bk>
    <bk>
      <rc t="2" v="4237"/>
    </bk>
    <bk>
      <rc t="2" v="4238"/>
    </bk>
    <bk>
      <rc t="2" v="4239"/>
    </bk>
    <bk>
      <rc t="2" v="4240"/>
    </bk>
    <bk>
      <rc t="2" v="4241"/>
    </bk>
    <bk>
      <rc t="2" v="4242"/>
    </bk>
    <bk>
      <rc t="2" v="4243"/>
    </bk>
    <bk>
      <rc t="2" v="4244"/>
    </bk>
    <bk>
      <rc t="2" v="4245"/>
    </bk>
    <bk>
      <rc t="2" v="4246"/>
    </bk>
    <bk>
      <rc t="2" v="4247"/>
    </bk>
    <bk>
      <rc t="2" v="4248"/>
    </bk>
    <bk>
      <rc t="2" v="4249"/>
    </bk>
    <bk>
      <rc t="2" v="4250"/>
    </bk>
    <bk>
      <rc t="2" v="4251"/>
    </bk>
    <bk>
      <rc t="2" v="4252"/>
    </bk>
    <bk>
      <rc t="2" v="4253"/>
    </bk>
    <bk>
      <rc t="2" v="4254"/>
    </bk>
    <bk>
      <rc t="2" v="4255"/>
    </bk>
    <bk>
      <rc t="2" v="4256"/>
    </bk>
    <bk>
      <rc t="2" v="4257"/>
    </bk>
    <bk>
      <rc t="2" v="4258"/>
    </bk>
    <bk>
      <rc t="2" v="4259"/>
    </bk>
    <bk>
      <rc t="2" v="4260"/>
    </bk>
    <bk>
      <rc t="2" v="4261"/>
    </bk>
    <bk>
      <rc t="2" v="4262"/>
    </bk>
    <bk>
      <rc t="2" v="4263"/>
    </bk>
    <bk>
      <rc t="2" v="4264"/>
    </bk>
    <bk>
      <rc t="2" v="4265"/>
    </bk>
    <bk>
      <rc t="2" v="4266"/>
    </bk>
    <bk>
      <rc t="2" v="4267"/>
    </bk>
    <bk>
      <rc t="2" v="4268"/>
    </bk>
    <bk>
      <rc t="2" v="4269"/>
    </bk>
    <bk>
      <rc t="2" v="4270"/>
    </bk>
    <bk>
      <rc t="2" v="4271"/>
    </bk>
    <bk>
      <rc t="2" v="4272"/>
    </bk>
    <bk>
      <rc t="2" v="4273"/>
    </bk>
    <bk>
      <rc t="2" v="4274"/>
    </bk>
    <bk>
      <rc t="2" v="4275"/>
    </bk>
    <bk>
      <rc t="2" v="4276"/>
    </bk>
    <bk>
      <rc t="2" v="4277"/>
    </bk>
    <bk>
      <rc t="2" v="4278"/>
    </bk>
    <bk>
      <rc t="2" v="4279"/>
    </bk>
    <bk>
      <rc t="2" v="4280"/>
    </bk>
    <bk>
      <rc t="2" v="4281"/>
    </bk>
    <bk>
      <rc t="2" v="4282"/>
    </bk>
    <bk>
      <rc t="2" v="4283"/>
    </bk>
    <bk>
      <rc t="2" v="4284"/>
    </bk>
    <bk>
      <rc t="2" v="4285"/>
    </bk>
    <bk>
      <rc t="2" v="4286"/>
    </bk>
    <bk>
      <rc t="2" v="4287"/>
    </bk>
    <bk>
      <rc t="2" v="4288"/>
    </bk>
    <bk>
      <rc t="2" v="4289"/>
    </bk>
    <bk>
      <rc t="2" v="4290"/>
    </bk>
    <bk>
      <rc t="2" v="4291"/>
    </bk>
    <bk>
      <rc t="2" v="4292"/>
    </bk>
    <bk>
      <rc t="2" v="4293"/>
    </bk>
    <bk>
      <rc t="2" v="4294"/>
    </bk>
    <bk>
      <rc t="2" v="4295"/>
    </bk>
    <bk>
      <rc t="2" v="4296"/>
    </bk>
    <bk>
      <rc t="2" v="4297"/>
    </bk>
    <bk>
      <rc t="2" v="4298"/>
    </bk>
    <bk>
      <rc t="2" v="4299"/>
    </bk>
    <bk>
      <rc t="2" v="4300"/>
    </bk>
    <bk>
      <rc t="2" v="4301"/>
    </bk>
    <bk>
      <rc t="2" v="4302"/>
    </bk>
    <bk>
      <rc t="2" v="4303"/>
    </bk>
    <bk>
      <rc t="2" v="4304"/>
    </bk>
    <bk>
      <rc t="2" v="4305"/>
    </bk>
    <bk>
      <rc t="2" v="4306"/>
    </bk>
    <bk>
      <rc t="2" v="4307"/>
    </bk>
    <bk>
      <rc t="2" v="4308"/>
    </bk>
    <bk>
      <rc t="2" v="4309"/>
    </bk>
    <bk>
      <rc t="2" v="4310"/>
    </bk>
    <bk>
      <rc t="2" v="4311"/>
    </bk>
    <bk>
      <rc t="2" v="4312"/>
    </bk>
    <bk>
      <rc t="2" v="4313"/>
    </bk>
    <bk>
      <rc t="2" v="4314"/>
    </bk>
    <bk>
      <rc t="2" v="4315"/>
    </bk>
    <bk>
      <rc t="2" v="4316"/>
    </bk>
    <bk>
      <rc t="2" v="4317"/>
    </bk>
    <bk>
      <rc t="2" v="4318"/>
    </bk>
    <bk>
      <rc t="2" v="4319"/>
    </bk>
    <bk>
      <rc t="2" v="4320"/>
    </bk>
    <bk>
      <rc t="2" v="4321"/>
    </bk>
    <bk>
      <rc t="2" v="4322"/>
    </bk>
    <bk>
      <rc t="2" v="4323"/>
    </bk>
    <bk>
      <rc t="2" v="4324"/>
    </bk>
    <bk>
      <rc t="2" v="4325"/>
    </bk>
    <bk>
      <rc t="2" v="4326"/>
    </bk>
    <bk>
      <rc t="2" v="4327"/>
    </bk>
    <bk>
      <rc t="2" v="4328"/>
    </bk>
    <bk>
      <rc t="2" v="4329"/>
    </bk>
    <bk>
      <rc t="2" v="4330"/>
    </bk>
    <bk>
      <rc t="2" v="4331"/>
    </bk>
    <bk>
      <rc t="2" v="4332"/>
    </bk>
    <bk>
      <rc t="2" v="4333"/>
    </bk>
    <bk>
      <rc t="2" v="4334"/>
    </bk>
    <bk>
      <rc t="2" v="4335"/>
    </bk>
    <bk>
      <rc t="2" v="4336"/>
    </bk>
    <bk>
      <rc t="2" v="4337"/>
    </bk>
    <bk>
      <rc t="2" v="4338"/>
    </bk>
    <bk>
      <rc t="2" v="4339"/>
    </bk>
    <bk>
      <rc t="2" v="4340"/>
    </bk>
    <bk>
      <rc t="2" v="4341"/>
    </bk>
    <bk>
      <rc t="2" v="4342"/>
    </bk>
    <bk>
      <rc t="2" v="4343"/>
    </bk>
    <bk>
      <rc t="2" v="4344"/>
    </bk>
    <bk>
      <rc t="2" v="4345"/>
    </bk>
    <bk>
      <rc t="2" v="4346"/>
    </bk>
    <bk>
      <rc t="2" v="4347"/>
    </bk>
    <bk>
      <rc t="2" v="4348"/>
    </bk>
    <bk>
      <rc t="2" v="4349"/>
    </bk>
    <bk>
      <rc t="2" v="4350"/>
    </bk>
    <bk>
      <rc t="2" v="4351"/>
    </bk>
    <bk>
      <rc t="2" v="4352"/>
    </bk>
    <bk>
      <rc t="2" v="4353"/>
    </bk>
    <bk>
      <rc t="2" v="4354"/>
    </bk>
    <bk>
      <rc t="2" v="4355"/>
    </bk>
    <bk>
      <rc t="2" v="4356"/>
    </bk>
    <bk>
      <rc t="2" v="4357"/>
    </bk>
    <bk>
      <rc t="2" v="4358"/>
    </bk>
    <bk>
      <rc t="2" v="4359"/>
    </bk>
    <bk>
      <rc t="2" v="4360"/>
    </bk>
    <bk>
      <rc t="2" v="4361"/>
    </bk>
    <bk>
      <rc t="2" v="4362"/>
    </bk>
    <bk>
      <rc t="2" v="4363"/>
    </bk>
    <bk>
      <rc t="2" v="4364"/>
    </bk>
    <bk>
      <rc t="2" v="4365"/>
    </bk>
    <bk>
      <rc t="2" v="4366"/>
    </bk>
    <bk>
      <rc t="2" v="4367"/>
    </bk>
    <bk>
      <rc t="2" v="4368"/>
    </bk>
    <bk>
      <rc t="2" v="4369"/>
    </bk>
    <bk>
      <rc t="2" v="4370"/>
    </bk>
    <bk>
      <rc t="2" v="4371"/>
    </bk>
    <bk>
      <rc t="2" v="4372"/>
    </bk>
    <bk>
      <rc t="2" v="4373"/>
    </bk>
    <bk>
      <rc t="2" v="4374"/>
    </bk>
    <bk>
      <rc t="2" v="4375"/>
    </bk>
    <bk>
      <rc t="2" v="4376"/>
    </bk>
    <bk>
      <rc t="2" v="4377"/>
    </bk>
    <bk>
      <rc t="2" v="4378"/>
    </bk>
    <bk>
      <rc t="2" v="4379"/>
    </bk>
    <bk>
      <rc t="2" v="4380"/>
    </bk>
    <bk>
      <rc t="2" v="4381"/>
    </bk>
    <bk>
      <rc t="2" v="4382"/>
    </bk>
    <bk>
      <rc t="2" v="4383"/>
    </bk>
    <bk>
      <rc t="2" v="4384"/>
    </bk>
    <bk>
      <rc t="2" v="4385"/>
    </bk>
    <bk>
      <rc t="2" v="4386"/>
    </bk>
    <bk>
      <rc t="2" v="4387"/>
    </bk>
    <bk>
      <rc t="2" v="4388"/>
    </bk>
    <bk>
      <rc t="2" v="4389"/>
    </bk>
    <bk>
      <rc t="2" v="4390"/>
    </bk>
    <bk>
      <rc t="2" v="4391"/>
    </bk>
    <bk>
      <rc t="2" v="4392"/>
    </bk>
    <bk>
      <rc t="2" v="4393"/>
    </bk>
    <bk>
      <rc t="2" v="4394"/>
    </bk>
    <bk>
      <rc t="2" v="4395"/>
    </bk>
    <bk>
      <rc t="2" v="4396"/>
    </bk>
    <bk>
      <rc t="2" v="4397"/>
    </bk>
    <bk>
      <rc t="2" v="4398"/>
    </bk>
    <bk>
      <rc t="2" v="4399"/>
    </bk>
    <bk>
      <rc t="2" v="4400"/>
    </bk>
    <bk>
      <rc t="2" v="4401"/>
    </bk>
    <bk>
      <rc t="2" v="4402"/>
    </bk>
    <bk>
      <rc t="2" v="4403"/>
    </bk>
    <bk>
      <rc t="2" v="4404"/>
    </bk>
    <bk>
      <rc t="2" v="4405"/>
    </bk>
    <bk>
      <rc t="2" v="4406"/>
    </bk>
    <bk>
      <rc t="2" v="4407"/>
    </bk>
    <bk>
      <rc t="2" v="4408"/>
    </bk>
    <bk>
      <rc t="2" v="4409"/>
    </bk>
    <bk>
      <rc t="2" v="4410"/>
    </bk>
    <bk>
      <rc t="2" v="4411"/>
    </bk>
    <bk>
      <rc t="2" v="4412"/>
    </bk>
    <bk>
      <rc t="2" v="4413"/>
    </bk>
    <bk>
      <rc t="2" v="4414"/>
    </bk>
    <bk>
      <rc t="2" v="4415"/>
    </bk>
    <bk>
      <rc t="2" v="4416"/>
    </bk>
    <bk>
      <rc t="2" v="4417"/>
    </bk>
    <bk>
      <rc t="2" v="4418"/>
    </bk>
    <bk>
      <rc t="2" v="4419"/>
    </bk>
    <bk>
      <rc t="2" v="4420"/>
    </bk>
    <bk>
      <rc t="2" v="4421"/>
    </bk>
    <bk>
      <rc t="2" v="4422"/>
    </bk>
    <bk>
      <rc t="2" v="4423"/>
    </bk>
    <bk>
      <rc t="2" v="4424"/>
    </bk>
    <bk>
      <rc t="2" v="4425"/>
    </bk>
    <bk>
      <rc t="2" v="4426"/>
    </bk>
    <bk>
      <rc t="2" v="4427"/>
    </bk>
    <bk>
      <rc t="2" v="4428"/>
    </bk>
    <bk>
      <rc t="2" v="4429"/>
    </bk>
    <bk>
      <rc t="2" v="4430"/>
    </bk>
    <bk>
      <rc t="2" v="4431"/>
    </bk>
    <bk>
      <rc t="2" v="4432"/>
    </bk>
    <bk>
      <rc t="2" v="4433"/>
    </bk>
    <bk>
      <rc t="2" v="4434"/>
    </bk>
    <bk>
      <rc t="2" v="4435"/>
    </bk>
    <bk>
      <rc t="2" v="4436"/>
    </bk>
    <bk>
      <rc t="2" v="4437"/>
    </bk>
    <bk>
      <rc t="2" v="4438"/>
    </bk>
    <bk>
      <rc t="2" v="4439"/>
    </bk>
    <bk>
      <rc t="2" v="4440"/>
    </bk>
    <bk>
      <rc t="2" v="4441"/>
    </bk>
    <bk>
      <rc t="2" v="4442"/>
    </bk>
    <bk>
      <rc t="2" v="4443"/>
    </bk>
    <bk>
      <rc t="2" v="4444"/>
    </bk>
    <bk>
      <rc t="2" v="4445"/>
    </bk>
    <bk>
      <rc t="2" v="4446"/>
    </bk>
    <bk>
      <rc t="2" v="4447"/>
    </bk>
    <bk>
      <rc t="2" v="4448"/>
    </bk>
    <bk>
      <rc t="2" v="4449"/>
    </bk>
    <bk>
      <rc t="2" v="4450"/>
    </bk>
    <bk>
      <rc t="2" v="4451"/>
    </bk>
    <bk>
      <rc t="2" v="4452"/>
    </bk>
    <bk>
      <rc t="2" v="4453"/>
    </bk>
    <bk>
      <rc t="2" v="4454"/>
    </bk>
    <bk>
      <rc t="2" v="4455"/>
    </bk>
    <bk>
      <rc t="2" v="4456"/>
    </bk>
    <bk>
      <rc t="2" v="4457"/>
    </bk>
    <bk>
      <rc t="2" v="4458"/>
    </bk>
    <bk>
      <rc t="2" v="4459"/>
    </bk>
    <bk>
      <rc t="2" v="4460"/>
    </bk>
    <bk>
      <rc t="2" v="4461"/>
    </bk>
    <bk>
      <rc t="2" v="4462"/>
    </bk>
    <bk>
      <rc t="2" v="4463"/>
    </bk>
    <bk>
      <rc t="2" v="4464"/>
    </bk>
    <bk>
      <rc t="2" v="4465"/>
    </bk>
    <bk>
      <rc t="2" v="4466"/>
    </bk>
    <bk>
      <rc t="2" v="4467"/>
    </bk>
    <bk>
      <rc t="2" v="4468"/>
    </bk>
    <bk>
      <rc t="2" v="4469"/>
    </bk>
    <bk>
      <rc t="2" v="4470"/>
    </bk>
    <bk>
      <rc t="2" v="4471"/>
    </bk>
    <bk>
      <rc t="2" v="4472"/>
    </bk>
    <bk>
      <rc t="2" v="4473"/>
    </bk>
    <bk>
      <rc t="2" v="4474"/>
    </bk>
    <bk>
      <rc t="2" v="4475"/>
    </bk>
    <bk>
      <rc t="2" v="4476"/>
    </bk>
    <bk>
      <rc t="2" v="4477"/>
    </bk>
    <bk>
      <rc t="2" v="4478"/>
    </bk>
    <bk>
      <rc t="2" v="4479"/>
    </bk>
    <bk>
      <rc t="2" v="4480"/>
    </bk>
    <bk>
      <rc t="2" v="4481"/>
    </bk>
    <bk>
      <rc t="2" v="4482"/>
    </bk>
    <bk>
      <rc t="2" v="4483"/>
    </bk>
    <bk>
      <rc t="2" v="4484"/>
    </bk>
    <bk>
      <rc t="2" v="4485"/>
    </bk>
    <bk>
      <rc t="2" v="4486"/>
    </bk>
    <bk>
      <rc t="2" v="4487"/>
    </bk>
    <bk>
      <rc t="2" v="4488"/>
    </bk>
    <bk>
      <rc t="2" v="4489"/>
    </bk>
    <bk>
      <rc t="2" v="4490"/>
    </bk>
    <bk>
      <rc t="2" v="4491"/>
    </bk>
    <bk>
      <rc t="2" v="4492"/>
    </bk>
    <bk>
      <rc t="2" v="4493"/>
    </bk>
    <bk>
      <rc t="2" v="4494"/>
    </bk>
    <bk>
      <rc t="2" v="4495"/>
    </bk>
    <bk>
      <rc t="2" v="4496"/>
    </bk>
    <bk>
      <rc t="2" v="4497"/>
    </bk>
    <bk>
      <rc t="2" v="4498"/>
    </bk>
    <bk>
      <rc t="2" v="4499"/>
    </bk>
    <bk>
      <rc t="2" v="4500"/>
    </bk>
    <bk>
      <rc t="2" v="4501"/>
    </bk>
    <bk>
      <rc t="2" v="4502"/>
    </bk>
    <bk>
      <rc t="2" v="4503"/>
    </bk>
    <bk>
      <rc t="2" v="4504"/>
    </bk>
    <bk>
      <rc t="2" v="4505"/>
    </bk>
    <bk>
      <rc t="2" v="4506"/>
    </bk>
    <bk>
      <rc t="2" v="4507"/>
    </bk>
    <bk>
      <rc t="2" v="4508"/>
    </bk>
    <bk>
      <rc t="2" v="4509"/>
    </bk>
    <bk>
      <rc t="2" v="4510"/>
    </bk>
    <bk>
      <rc t="2" v="4511"/>
    </bk>
    <bk>
      <rc t="2" v="4512"/>
    </bk>
    <bk>
      <rc t="2" v="4513"/>
    </bk>
    <bk>
      <rc t="2" v="4514"/>
    </bk>
    <bk>
      <rc t="2" v="4515"/>
    </bk>
    <bk>
      <rc t="2" v="4516"/>
    </bk>
    <bk>
      <rc t="2" v="4517"/>
    </bk>
    <bk>
      <rc t="2" v="4518"/>
    </bk>
    <bk>
      <rc t="2" v="4519"/>
    </bk>
    <bk>
      <rc t="2" v="4520"/>
    </bk>
    <bk>
      <rc t="2" v="4521"/>
    </bk>
    <bk>
      <rc t="2" v="4522"/>
    </bk>
    <bk>
      <rc t="2" v="4523"/>
    </bk>
    <bk>
      <rc t="2" v="4524"/>
    </bk>
    <bk>
      <rc t="2" v="4525"/>
    </bk>
    <bk>
      <rc t="2" v="4526"/>
    </bk>
    <bk>
      <rc t="2" v="4527"/>
    </bk>
    <bk>
      <rc t="2" v="4528"/>
    </bk>
    <bk>
      <rc t="2" v="4529"/>
    </bk>
    <bk>
      <rc t="2" v="4530"/>
    </bk>
    <bk>
      <rc t="2" v="4531"/>
    </bk>
    <bk>
      <rc t="2" v="4532"/>
    </bk>
    <bk>
      <rc t="2" v="4533"/>
    </bk>
    <bk>
      <rc t="2" v="4534"/>
    </bk>
    <bk>
      <rc t="2" v="4535"/>
    </bk>
    <bk>
      <rc t="2" v="4536"/>
    </bk>
    <bk>
      <rc t="2" v="4537"/>
    </bk>
    <bk>
      <rc t="2" v="4538"/>
    </bk>
    <bk>
      <rc t="2" v="4539"/>
    </bk>
    <bk>
      <rc t="2" v="4540"/>
    </bk>
    <bk>
      <rc t="2" v="4541"/>
    </bk>
    <bk>
      <rc t="2" v="4542"/>
    </bk>
    <bk>
      <rc t="2" v="4543"/>
    </bk>
    <bk>
      <rc t="2" v="4544"/>
    </bk>
    <bk>
      <rc t="2" v="4545"/>
    </bk>
    <bk>
      <rc t="2" v="4546"/>
    </bk>
    <bk>
      <rc t="2" v="4547"/>
    </bk>
    <bk>
      <rc t="2" v="4548"/>
    </bk>
    <bk>
      <rc t="2" v="4549"/>
    </bk>
    <bk>
      <rc t="2" v="4550"/>
    </bk>
    <bk>
      <rc t="2" v="4551"/>
    </bk>
    <bk>
      <rc t="2" v="4552"/>
    </bk>
    <bk>
      <rc t="2" v="4553"/>
    </bk>
    <bk>
      <rc t="2" v="4554"/>
    </bk>
    <bk>
      <rc t="2" v="4555"/>
    </bk>
    <bk>
      <rc t="2" v="4556"/>
    </bk>
    <bk>
      <rc t="2" v="4557"/>
    </bk>
    <bk>
      <rc t="2" v="4558"/>
    </bk>
    <bk>
      <rc t="2" v="4559"/>
    </bk>
    <bk>
      <rc t="2" v="4560"/>
    </bk>
    <bk>
      <rc t="2" v="4561"/>
    </bk>
    <bk>
      <rc t="2" v="4562"/>
    </bk>
    <bk>
      <rc t="2" v="4563"/>
    </bk>
    <bk>
      <rc t="2" v="4564"/>
    </bk>
    <bk>
      <rc t="2" v="4565"/>
    </bk>
    <bk>
      <rc t="2" v="4566"/>
    </bk>
    <bk>
      <rc t="2" v="4567"/>
    </bk>
    <bk>
      <rc t="2" v="4568"/>
    </bk>
    <bk>
      <rc t="2" v="4569"/>
    </bk>
    <bk>
      <rc t="2" v="4570"/>
    </bk>
    <bk>
      <rc t="2" v="4571"/>
    </bk>
    <bk>
      <rc t="2" v="4572"/>
    </bk>
    <bk>
      <rc t="2" v="4573"/>
    </bk>
    <bk>
      <rc t="2" v="4574"/>
    </bk>
    <bk>
      <rc t="2" v="4575"/>
    </bk>
    <bk>
      <rc t="2" v="4576"/>
    </bk>
    <bk>
      <rc t="2" v="4577"/>
    </bk>
    <bk>
      <rc t="2" v="4578"/>
    </bk>
    <bk>
      <rc t="2" v="4579"/>
    </bk>
    <bk>
      <rc t="2" v="4580"/>
    </bk>
    <bk>
      <rc t="2" v="4581"/>
    </bk>
    <bk>
      <rc t="2" v="4582"/>
    </bk>
    <bk>
      <rc t="2" v="4583"/>
    </bk>
    <bk>
      <rc t="2" v="4584"/>
    </bk>
    <bk>
      <rc t="2" v="4585"/>
    </bk>
    <bk>
      <rc t="2" v="4586"/>
    </bk>
    <bk>
      <rc t="2" v="4587"/>
    </bk>
    <bk>
      <rc t="2" v="4588"/>
    </bk>
    <bk>
      <rc t="2" v="4589"/>
    </bk>
    <bk>
      <rc t="2" v="4590"/>
    </bk>
    <bk>
      <rc t="2" v="4591"/>
    </bk>
    <bk>
      <rc t="2" v="4592"/>
    </bk>
    <bk>
      <rc t="2" v="4593"/>
    </bk>
    <bk>
      <rc t="2" v="4594"/>
    </bk>
    <bk>
      <rc t="2" v="4595"/>
    </bk>
    <bk>
      <rc t="2" v="4596"/>
    </bk>
    <bk>
      <rc t="2" v="4597"/>
    </bk>
    <bk>
      <rc t="2" v="4598"/>
    </bk>
    <bk>
      <rc t="2" v="4599"/>
    </bk>
    <bk>
      <rc t="2" v="4600"/>
    </bk>
    <bk>
      <rc t="2" v="4601"/>
    </bk>
    <bk>
      <rc t="2" v="4602"/>
    </bk>
    <bk>
      <rc t="2" v="4603"/>
    </bk>
    <bk>
      <rc t="2" v="4604"/>
    </bk>
    <bk>
      <rc t="2" v="4605"/>
    </bk>
    <bk>
      <rc t="2" v="4606"/>
    </bk>
    <bk>
      <rc t="2" v="4607"/>
    </bk>
    <bk>
      <rc t="2" v="4608"/>
    </bk>
    <bk>
      <rc t="2" v="4609"/>
    </bk>
    <bk>
      <rc t="2" v="4610"/>
    </bk>
    <bk>
      <rc t="2" v="4611"/>
    </bk>
    <bk>
      <rc t="2" v="4612"/>
    </bk>
    <bk>
      <rc t="2" v="4613"/>
    </bk>
    <bk>
      <rc t="2" v="4614"/>
    </bk>
    <bk>
      <rc t="2" v="4615"/>
    </bk>
    <bk>
      <rc t="2" v="4616"/>
    </bk>
    <bk>
      <rc t="2" v="4617"/>
    </bk>
    <bk>
      <rc t="2" v="4618"/>
    </bk>
    <bk>
      <rc t="2" v="4619"/>
    </bk>
    <bk>
      <rc t="2" v="4620"/>
    </bk>
    <bk>
      <rc t="2" v="4621"/>
    </bk>
    <bk>
      <rc t="2" v="4622"/>
    </bk>
    <bk>
      <rc t="2" v="4623"/>
    </bk>
    <bk>
      <rc t="2" v="4624"/>
    </bk>
    <bk>
      <rc t="2" v="4625"/>
    </bk>
    <bk>
      <rc t="2" v="4626"/>
    </bk>
    <bk>
      <rc t="2" v="4627"/>
    </bk>
    <bk>
      <rc t="2" v="4628"/>
    </bk>
    <bk>
      <rc t="2" v="4629"/>
    </bk>
    <bk>
      <rc t="2" v="4630"/>
    </bk>
    <bk>
      <rc t="2" v="4631"/>
    </bk>
    <bk>
      <rc t="2" v="4632"/>
    </bk>
    <bk>
      <rc t="2" v="4633"/>
    </bk>
    <bk>
      <rc t="2" v="4634"/>
    </bk>
    <bk>
      <rc t="2" v="4635"/>
    </bk>
    <bk>
      <rc t="2" v="4636"/>
    </bk>
    <bk>
      <rc t="2" v="4637"/>
    </bk>
    <bk>
      <rc t="2" v="4638"/>
    </bk>
    <bk>
      <rc t="2" v="4639"/>
    </bk>
    <bk>
      <rc t="2" v="4640"/>
    </bk>
    <bk>
      <rc t="2" v="4641"/>
    </bk>
    <bk>
      <rc t="2" v="4642"/>
    </bk>
    <bk>
      <rc t="2" v="4643"/>
    </bk>
    <bk>
      <rc t="2" v="4644"/>
    </bk>
    <bk>
      <rc t="2" v="4645"/>
    </bk>
    <bk>
      <rc t="2" v="4646"/>
    </bk>
    <bk>
      <rc t="2" v="4647"/>
    </bk>
    <bk>
      <rc t="2" v="4648"/>
    </bk>
    <bk>
      <rc t="2" v="4649"/>
    </bk>
    <bk>
      <rc t="2" v="4650"/>
    </bk>
    <bk>
      <rc t="2" v="4651"/>
    </bk>
    <bk>
      <rc t="2" v="4652"/>
    </bk>
    <bk>
      <rc t="2" v="4653"/>
    </bk>
    <bk>
      <rc t="2" v="4654"/>
    </bk>
    <bk>
      <rc t="2" v="4655"/>
    </bk>
    <bk>
      <rc t="2" v="4656"/>
    </bk>
    <bk>
      <rc t="2" v="4657"/>
    </bk>
    <bk>
      <rc t="2" v="4658"/>
    </bk>
    <bk>
      <rc t="2" v="4659"/>
    </bk>
    <bk>
      <rc t="2" v="4660"/>
    </bk>
    <bk>
      <rc t="2" v="4661"/>
    </bk>
    <bk>
      <rc t="2" v="4662"/>
    </bk>
    <bk>
      <rc t="2" v="4663"/>
    </bk>
    <bk>
      <rc t="2" v="4664"/>
    </bk>
    <bk>
      <rc t="2" v="4665"/>
    </bk>
    <bk>
      <rc t="2" v="4666"/>
    </bk>
    <bk>
      <rc t="2" v="4667"/>
    </bk>
    <bk>
      <rc t="2" v="4668"/>
    </bk>
    <bk>
      <rc t="2" v="4669"/>
    </bk>
    <bk>
      <rc t="2" v="4670"/>
    </bk>
    <bk>
      <rc t="2" v="4671"/>
    </bk>
    <bk>
      <rc t="2" v="4672"/>
    </bk>
    <bk>
      <rc t="2" v="4673"/>
    </bk>
    <bk>
      <rc t="2" v="4674"/>
    </bk>
    <bk>
      <rc t="2" v="4675"/>
    </bk>
    <bk>
      <rc t="2" v="4676"/>
    </bk>
    <bk>
      <rc t="2" v="4677"/>
    </bk>
    <bk>
      <rc t="2" v="4678"/>
    </bk>
    <bk>
      <rc t="2" v="4679"/>
    </bk>
    <bk>
      <rc t="2" v="4680"/>
    </bk>
    <bk>
      <rc t="2" v="4681"/>
    </bk>
    <bk>
      <rc t="2" v="4682"/>
    </bk>
    <bk>
      <rc t="2" v="4683"/>
    </bk>
    <bk>
      <rc t="2" v="4684"/>
    </bk>
    <bk>
      <rc t="2" v="4685"/>
    </bk>
    <bk>
      <rc t="2" v="4686"/>
    </bk>
    <bk>
      <rc t="2" v="4687"/>
    </bk>
    <bk>
      <rc t="2" v="4688"/>
    </bk>
    <bk>
      <rc t="2" v="4689"/>
    </bk>
    <bk>
      <rc t="2" v="4690"/>
    </bk>
    <bk>
      <rc t="2" v="4691"/>
    </bk>
    <bk>
      <rc t="2" v="4692"/>
    </bk>
    <bk>
      <rc t="2" v="4693"/>
    </bk>
    <bk>
      <rc t="2" v="4694"/>
    </bk>
    <bk>
      <rc t="2" v="4695"/>
    </bk>
    <bk>
      <rc t="2" v="4696"/>
    </bk>
    <bk>
      <rc t="2" v="4697"/>
    </bk>
    <bk>
      <rc t="2" v="4698"/>
    </bk>
    <bk>
      <rc t="2" v="4699"/>
    </bk>
    <bk>
      <rc t="2" v="4700"/>
    </bk>
    <bk>
      <rc t="2" v="4701"/>
    </bk>
    <bk>
      <rc t="2" v="4702"/>
    </bk>
    <bk>
      <rc t="2" v="4703"/>
    </bk>
    <bk>
      <rc t="2" v="4704"/>
    </bk>
    <bk>
      <rc t="2" v="4705"/>
    </bk>
    <bk>
      <rc t="2" v="4706"/>
    </bk>
    <bk>
      <rc t="2" v="4707"/>
    </bk>
    <bk>
      <rc t="2" v="4708"/>
    </bk>
    <bk>
      <rc t="2" v="4709"/>
    </bk>
    <bk>
      <rc t="2" v="4710"/>
    </bk>
    <bk>
      <rc t="2" v="4711"/>
    </bk>
    <bk>
      <rc t="2" v="4712"/>
    </bk>
    <bk>
      <rc t="2" v="4713"/>
    </bk>
    <bk>
      <rc t="2" v="4714"/>
    </bk>
    <bk>
      <rc t="2" v="4715"/>
    </bk>
    <bk>
      <rc t="2" v="4716"/>
    </bk>
    <bk>
      <rc t="2" v="4717"/>
    </bk>
    <bk>
      <rc t="2" v="4718"/>
    </bk>
    <bk>
      <rc t="2" v="4719"/>
    </bk>
    <bk>
      <rc t="2" v="4720"/>
    </bk>
    <bk>
      <rc t="2" v="4721"/>
    </bk>
    <bk>
      <rc t="2" v="4722"/>
    </bk>
    <bk>
      <rc t="2" v="4723"/>
    </bk>
    <bk>
      <rc t="2" v="4724"/>
    </bk>
    <bk>
      <rc t="2" v="4725"/>
    </bk>
    <bk>
      <rc t="2" v="4726"/>
    </bk>
    <bk>
      <rc t="2" v="4727"/>
    </bk>
    <bk>
      <rc t="2" v="4728"/>
    </bk>
    <bk>
      <rc t="2" v="4729"/>
    </bk>
    <bk>
      <rc t="2" v="4730"/>
    </bk>
    <bk>
      <rc t="2" v="4731"/>
    </bk>
    <bk>
      <rc t="2" v="4732"/>
    </bk>
    <bk>
      <rc t="2" v="4733"/>
    </bk>
    <bk>
      <rc t="2" v="4734"/>
    </bk>
    <bk>
      <rc t="2" v="4735"/>
    </bk>
    <bk>
      <rc t="2" v="4736"/>
    </bk>
    <bk>
      <rc t="2" v="4737"/>
    </bk>
    <bk>
      <rc t="2" v="4738"/>
    </bk>
    <bk>
      <rc t="2" v="4739"/>
    </bk>
    <bk>
      <rc t="2" v="4740"/>
    </bk>
    <bk>
      <rc t="2" v="4741"/>
    </bk>
    <bk>
      <rc t="2" v="4742"/>
    </bk>
    <bk>
      <rc t="2" v="4743"/>
    </bk>
    <bk>
      <rc t="2" v="4744"/>
    </bk>
    <bk>
      <rc t="2" v="4745"/>
    </bk>
    <bk>
      <rc t="2" v="4746"/>
    </bk>
    <bk>
      <rc t="2" v="4747"/>
    </bk>
    <bk>
      <rc t="2" v="4748"/>
    </bk>
    <bk>
      <rc t="2" v="4749"/>
    </bk>
    <bk>
      <rc t="2" v="4750"/>
    </bk>
    <bk>
      <rc t="2" v="4751"/>
    </bk>
    <bk>
      <rc t="2" v="4752"/>
    </bk>
    <bk>
      <rc t="2" v="4753"/>
    </bk>
    <bk>
      <rc t="2" v="4754"/>
    </bk>
    <bk>
      <rc t="2" v="4755"/>
    </bk>
    <bk>
      <rc t="2" v="4756"/>
    </bk>
    <bk>
      <rc t="2" v="4757"/>
    </bk>
    <bk>
      <rc t="2" v="4758"/>
    </bk>
    <bk>
      <rc t="2" v="4759"/>
    </bk>
    <bk>
      <rc t="2" v="4760"/>
    </bk>
    <bk>
      <rc t="2" v="4761"/>
    </bk>
    <bk>
      <rc t="2" v="4762"/>
    </bk>
    <bk>
      <rc t="2" v="4763"/>
    </bk>
    <bk>
      <rc t="2" v="4764"/>
    </bk>
    <bk>
      <rc t="2" v="4765"/>
    </bk>
    <bk>
      <rc t="2" v="4766"/>
    </bk>
    <bk>
      <rc t="2" v="4767"/>
    </bk>
    <bk>
      <rc t="2" v="4768"/>
    </bk>
    <bk>
      <rc t="2" v="4769"/>
    </bk>
    <bk>
      <rc t="2" v="4770"/>
    </bk>
    <bk>
      <rc t="2" v="4771"/>
    </bk>
    <bk>
      <rc t="2" v="4772"/>
    </bk>
    <bk>
      <rc t="2" v="4773"/>
    </bk>
    <bk>
      <rc t="2" v="4774"/>
    </bk>
    <bk>
      <rc t="2" v="4775"/>
    </bk>
    <bk>
      <rc t="2" v="4776"/>
    </bk>
    <bk>
      <rc t="2" v="4777"/>
    </bk>
    <bk>
      <rc t="2" v="4778"/>
    </bk>
    <bk>
      <rc t="2" v="4779"/>
    </bk>
    <bk>
      <rc t="2" v="4780"/>
    </bk>
    <bk>
      <rc t="2" v="4781"/>
    </bk>
    <bk>
      <rc t="2" v="4782"/>
    </bk>
    <bk>
      <rc t="2" v="4783"/>
    </bk>
    <bk>
      <rc t="2" v="4784"/>
    </bk>
    <bk>
      <rc t="2" v="4785"/>
    </bk>
    <bk>
      <rc t="2" v="4786"/>
    </bk>
    <bk>
      <rc t="2" v="4787"/>
    </bk>
    <bk>
      <rc t="2" v="4788"/>
    </bk>
    <bk>
      <rc t="2" v="4789"/>
    </bk>
    <bk>
      <rc t="2" v="4790"/>
    </bk>
    <bk>
      <rc t="2" v="4791"/>
    </bk>
    <bk>
      <rc t="2" v="4792"/>
    </bk>
    <bk>
      <rc t="2" v="4793"/>
    </bk>
    <bk>
      <rc t="2" v="4794"/>
    </bk>
    <bk>
      <rc t="2" v="4795"/>
    </bk>
    <bk>
      <rc t="2" v="4796"/>
    </bk>
    <bk>
      <rc t="2" v="4797"/>
    </bk>
    <bk>
      <rc t="2" v="4798"/>
    </bk>
    <bk>
      <rc t="2" v="4799"/>
    </bk>
    <bk>
      <rc t="2" v="4800"/>
    </bk>
    <bk>
      <rc t="2" v="4801"/>
    </bk>
    <bk>
      <rc t="2" v="4802"/>
    </bk>
    <bk>
      <rc t="2" v="4803"/>
    </bk>
    <bk>
      <rc t="2" v="4804"/>
    </bk>
    <bk>
      <rc t="2" v="4805"/>
    </bk>
    <bk>
      <rc t="2" v="4806"/>
    </bk>
    <bk>
      <rc t="2" v="4807"/>
    </bk>
    <bk>
      <rc t="2" v="4808"/>
    </bk>
    <bk>
      <rc t="2" v="4809"/>
    </bk>
    <bk>
      <rc t="2" v="4810"/>
    </bk>
    <bk>
      <rc t="2" v="4811"/>
    </bk>
    <bk>
      <rc t="2" v="4812"/>
    </bk>
    <bk>
      <rc t="2" v="4813"/>
    </bk>
    <bk>
      <rc t="2" v="4814"/>
    </bk>
    <bk>
      <rc t="2" v="4815"/>
    </bk>
    <bk>
      <rc t="2" v="4816"/>
    </bk>
    <bk>
      <rc t="2" v="4817"/>
    </bk>
    <bk>
      <rc t="2" v="4818"/>
    </bk>
    <bk>
      <rc t="2" v="4819"/>
    </bk>
    <bk>
      <rc t="2" v="4820"/>
    </bk>
    <bk>
      <rc t="2" v="4821"/>
    </bk>
    <bk>
      <rc t="2" v="4822"/>
    </bk>
    <bk>
      <rc t="2" v="4823"/>
    </bk>
    <bk>
      <rc t="2" v="4824"/>
    </bk>
    <bk>
      <rc t="2" v="4825"/>
    </bk>
    <bk>
      <rc t="2" v="4826"/>
    </bk>
    <bk>
      <rc t="2" v="4827"/>
    </bk>
    <bk>
      <rc t="2" v="4828"/>
    </bk>
    <bk>
      <rc t="2" v="4829"/>
    </bk>
    <bk>
      <rc t="2" v="4830"/>
    </bk>
    <bk>
      <rc t="2" v="4831"/>
    </bk>
    <bk>
      <rc t="2" v="4832"/>
    </bk>
    <bk>
      <rc t="2" v="4833"/>
    </bk>
    <bk>
      <rc t="2" v="4834"/>
    </bk>
    <bk>
      <rc t="2" v="4835"/>
    </bk>
    <bk>
      <rc t="2" v="4836"/>
    </bk>
    <bk>
      <rc t="2" v="4837"/>
    </bk>
    <bk>
      <rc t="2" v="4838"/>
    </bk>
    <bk>
      <rc t="2" v="4839"/>
    </bk>
    <bk>
      <rc t="2" v="4840"/>
    </bk>
    <bk>
      <rc t="2" v="4841"/>
    </bk>
    <bk>
      <rc t="2" v="4842"/>
    </bk>
    <bk>
      <rc t="2" v="4843"/>
    </bk>
    <bk>
      <rc t="2" v="4844"/>
    </bk>
    <bk>
      <rc t="2" v="4845"/>
    </bk>
    <bk>
      <rc t="2" v="4846"/>
    </bk>
    <bk>
      <rc t="2" v="4847"/>
    </bk>
    <bk>
      <rc t="2" v="4848"/>
    </bk>
    <bk>
      <rc t="2" v="4849"/>
    </bk>
    <bk>
      <rc t="2" v="4850"/>
    </bk>
    <bk>
      <rc t="2" v="4851"/>
    </bk>
    <bk>
      <rc t="2" v="4852"/>
    </bk>
    <bk>
      <rc t="2" v="4853"/>
    </bk>
    <bk>
      <rc t="2" v="4854"/>
    </bk>
    <bk>
      <rc t="2" v="4855"/>
    </bk>
    <bk>
      <rc t="2" v="4856"/>
    </bk>
    <bk>
      <rc t="2" v="4857"/>
    </bk>
    <bk>
      <rc t="2" v="4858"/>
    </bk>
    <bk>
      <rc t="2" v="4859"/>
    </bk>
    <bk>
      <rc t="2" v="4860"/>
    </bk>
    <bk>
      <rc t="2" v="4861"/>
    </bk>
    <bk>
      <rc t="2" v="4862"/>
    </bk>
    <bk>
      <rc t="2" v="4863"/>
    </bk>
    <bk>
      <rc t="2" v="4864"/>
    </bk>
    <bk>
      <rc t="2" v="4865"/>
    </bk>
    <bk>
      <rc t="2" v="4866"/>
    </bk>
    <bk>
      <rc t="2" v="4867"/>
    </bk>
    <bk>
      <rc t="2" v="4868"/>
    </bk>
    <bk>
      <rc t="2" v="4869"/>
    </bk>
    <bk>
      <rc t="2" v="4870"/>
    </bk>
    <bk>
      <rc t="2" v="4871"/>
    </bk>
    <bk>
      <rc t="2" v="4872"/>
    </bk>
    <bk>
      <rc t="2" v="4873"/>
    </bk>
    <bk>
      <rc t="2" v="4874"/>
    </bk>
    <bk>
      <rc t="2" v="4875"/>
    </bk>
    <bk>
      <rc t="2" v="4876"/>
    </bk>
    <bk>
      <rc t="2" v="4877"/>
    </bk>
    <bk>
      <rc t="2" v="4878"/>
    </bk>
    <bk>
      <rc t="2" v="4879"/>
    </bk>
    <bk>
      <rc t="2" v="4880"/>
    </bk>
    <bk>
      <rc t="2" v="4881"/>
    </bk>
    <bk>
      <rc t="2" v="4882"/>
    </bk>
    <bk>
      <rc t="2" v="4883"/>
    </bk>
    <bk>
      <rc t="2" v="4884"/>
    </bk>
    <bk>
      <rc t="2" v="4885"/>
    </bk>
    <bk>
      <rc t="2" v="4886"/>
    </bk>
    <bk>
      <rc t="2" v="4887"/>
    </bk>
    <bk>
      <rc t="2" v="4888"/>
    </bk>
    <bk>
      <rc t="2" v="4889"/>
    </bk>
    <bk>
      <rc t="2" v="4890"/>
    </bk>
    <bk>
      <rc t="2" v="4891"/>
    </bk>
    <bk>
      <rc t="2" v="4892"/>
    </bk>
    <bk>
      <rc t="2" v="4893"/>
    </bk>
    <bk>
      <rc t="2" v="4894"/>
    </bk>
    <bk>
      <rc t="2" v="4895"/>
    </bk>
    <bk>
      <rc t="2" v="4896"/>
    </bk>
    <bk>
      <rc t="2" v="4897"/>
    </bk>
    <bk>
      <rc t="2" v="4898"/>
    </bk>
    <bk>
      <rc t="2" v="4899"/>
    </bk>
    <bk>
      <rc t="2" v="4900"/>
    </bk>
    <bk>
      <rc t="2" v="4901"/>
    </bk>
    <bk>
      <rc t="2" v="4902"/>
    </bk>
    <bk>
      <rc t="2" v="4903"/>
    </bk>
    <bk>
      <rc t="2" v="4904"/>
    </bk>
    <bk>
      <rc t="2" v="4905"/>
    </bk>
    <bk>
      <rc t="2" v="4906"/>
    </bk>
    <bk>
      <rc t="2" v="4907"/>
    </bk>
    <bk>
      <rc t="2" v="4908"/>
    </bk>
    <bk>
      <rc t="2" v="4909"/>
    </bk>
    <bk>
      <rc t="2" v="4910"/>
    </bk>
    <bk>
      <rc t="2" v="4911"/>
    </bk>
    <bk>
      <rc t="2" v="4912"/>
    </bk>
    <bk>
      <rc t="2" v="4913"/>
    </bk>
    <bk>
      <rc t="2" v="4914"/>
    </bk>
    <bk>
      <rc t="2" v="4915"/>
    </bk>
    <bk>
      <rc t="2" v="4916"/>
    </bk>
    <bk>
      <rc t="2" v="4917"/>
    </bk>
    <bk>
      <rc t="2" v="4918"/>
    </bk>
    <bk>
      <rc t="2" v="4919"/>
    </bk>
    <bk>
      <rc t="2" v="4920"/>
    </bk>
    <bk>
      <rc t="2" v="4921"/>
    </bk>
    <bk>
      <rc t="2" v="4922"/>
    </bk>
    <bk>
      <rc t="2" v="4923"/>
    </bk>
    <bk>
      <rc t="2" v="4924"/>
    </bk>
    <bk>
      <rc t="2" v="4925"/>
    </bk>
    <bk>
      <rc t="2" v="4926"/>
    </bk>
    <bk>
      <rc t="2" v="4927"/>
    </bk>
    <bk>
      <rc t="2" v="4928"/>
    </bk>
    <bk>
      <rc t="2" v="4929"/>
    </bk>
    <bk>
      <rc t="2" v="4930"/>
    </bk>
    <bk>
      <rc t="2" v="4931"/>
    </bk>
    <bk>
      <rc t="2" v="4932"/>
    </bk>
    <bk>
      <rc t="2" v="4933"/>
    </bk>
    <bk>
      <rc t="2" v="4934"/>
    </bk>
    <bk>
      <rc t="2" v="4935"/>
    </bk>
    <bk>
      <rc t="2" v="4936"/>
    </bk>
    <bk>
      <rc t="2" v="4937"/>
    </bk>
    <bk>
      <rc t="2" v="4938"/>
    </bk>
    <bk>
      <rc t="2" v="4939"/>
    </bk>
    <bk>
      <rc t="2" v="4940"/>
    </bk>
    <bk>
      <rc t="2" v="4941"/>
    </bk>
    <bk>
      <rc t="2" v="4942"/>
    </bk>
    <bk>
      <rc t="2" v="4943"/>
    </bk>
    <bk>
      <rc t="2" v="4944"/>
    </bk>
    <bk>
      <rc t="2" v="4945"/>
    </bk>
    <bk>
      <rc t="2" v="4946"/>
    </bk>
    <bk>
      <rc t="2" v="4947"/>
    </bk>
    <bk>
      <rc t="2" v="4948"/>
    </bk>
    <bk>
      <rc t="2" v="4949"/>
    </bk>
    <bk>
      <rc t="2" v="4950"/>
    </bk>
    <bk>
      <rc t="2" v="4951"/>
    </bk>
    <bk>
      <rc t="2" v="4952"/>
    </bk>
    <bk>
      <rc t="2" v="4953"/>
    </bk>
    <bk>
      <rc t="2" v="4954"/>
    </bk>
    <bk>
      <rc t="2" v="4955"/>
    </bk>
    <bk>
      <rc t="2" v="4956"/>
    </bk>
    <bk>
      <rc t="2" v="4957"/>
    </bk>
    <bk>
      <rc t="2" v="4958"/>
    </bk>
    <bk>
      <rc t="2" v="4959"/>
    </bk>
    <bk>
      <rc t="2" v="4960"/>
    </bk>
    <bk>
      <rc t="2" v="4961"/>
    </bk>
    <bk>
      <rc t="2" v="4962"/>
    </bk>
    <bk>
      <rc t="2" v="4963"/>
    </bk>
    <bk>
      <rc t="2" v="4964"/>
    </bk>
    <bk>
      <rc t="2" v="4965"/>
    </bk>
    <bk>
      <rc t="2" v="4966"/>
    </bk>
    <bk>
      <rc t="2" v="4967"/>
    </bk>
    <bk>
      <rc t="2" v="4968"/>
    </bk>
    <bk>
      <rc t="2" v="4969"/>
    </bk>
    <bk>
      <rc t="2" v="4970"/>
    </bk>
    <bk>
      <rc t="2" v="4971"/>
    </bk>
    <bk>
      <rc t="2" v="4972"/>
    </bk>
    <bk>
      <rc t="2" v="4973"/>
    </bk>
    <bk>
      <rc t="2" v="4974"/>
    </bk>
    <bk>
      <rc t="2" v="4975"/>
    </bk>
    <bk>
      <rc t="2" v="4976"/>
    </bk>
    <bk>
      <rc t="2" v="4977"/>
    </bk>
    <bk>
      <rc t="2" v="4978"/>
    </bk>
    <bk>
      <rc t="2" v="4979"/>
    </bk>
    <bk>
      <rc t="2" v="4980"/>
    </bk>
    <bk>
      <rc t="2" v="4981"/>
    </bk>
    <bk>
      <rc t="2" v="4982"/>
    </bk>
    <bk>
      <rc t="2" v="4983"/>
    </bk>
    <bk>
      <rc t="2" v="4984"/>
    </bk>
    <bk>
      <rc t="2" v="4985"/>
    </bk>
    <bk>
      <rc t="2" v="4986"/>
    </bk>
    <bk>
      <rc t="2" v="4987"/>
    </bk>
    <bk>
      <rc t="2" v="4988"/>
    </bk>
    <bk>
      <rc t="2" v="4989"/>
    </bk>
    <bk>
      <rc t="2" v="4990"/>
    </bk>
    <bk>
      <rc t="2" v="4991"/>
    </bk>
    <bk>
      <rc t="2" v="4992"/>
    </bk>
    <bk>
      <rc t="2" v="4993"/>
    </bk>
    <bk>
      <rc t="2" v="4994"/>
    </bk>
    <bk>
      <rc t="2" v="4995"/>
    </bk>
    <bk>
      <rc t="2" v="4996"/>
    </bk>
    <bk>
      <rc t="2" v="4997"/>
    </bk>
    <bk>
      <rc t="2" v="4998"/>
    </bk>
    <bk>
      <rc t="2" v="4999"/>
    </bk>
    <bk>
      <rc t="2" v="5000"/>
    </bk>
    <bk>
      <rc t="2" v="5001"/>
    </bk>
    <bk>
      <rc t="2" v="5002"/>
    </bk>
    <bk>
      <rc t="2" v="5003"/>
    </bk>
    <bk>
      <rc t="2" v="5004"/>
    </bk>
    <bk>
      <rc t="2" v="5005"/>
    </bk>
    <bk>
      <rc t="2" v="5006"/>
    </bk>
    <bk>
      <rc t="2" v="5007"/>
    </bk>
    <bk>
      <rc t="2" v="5008"/>
    </bk>
    <bk>
      <rc t="2" v="5009"/>
    </bk>
    <bk>
      <rc t="2" v="5010"/>
    </bk>
    <bk>
      <rc t="2" v="5011"/>
    </bk>
    <bk>
      <rc t="2" v="5012"/>
    </bk>
    <bk>
      <rc t="2" v="5013"/>
    </bk>
    <bk>
      <rc t="2" v="5014"/>
    </bk>
    <bk>
      <rc t="2" v="5015"/>
    </bk>
    <bk>
      <rc t="2" v="5016"/>
    </bk>
    <bk>
      <rc t="2" v="5017"/>
    </bk>
    <bk>
      <rc t="2" v="5018"/>
    </bk>
    <bk>
      <rc t="2" v="5019"/>
    </bk>
    <bk>
      <rc t="2" v="5020"/>
    </bk>
    <bk>
      <rc t="2" v="5021"/>
    </bk>
    <bk>
      <rc t="2" v="5022"/>
    </bk>
    <bk>
      <rc t="2" v="5023"/>
    </bk>
    <bk>
      <rc t="2" v="5024"/>
    </bk>
    <bk>
      <rc t="2" v="5025"/>
    </bk>
    <bk>
      <rc t="2" v="5026"/>
    </bk>
    <bk>
      <rc t="2" v="5027"/>
    </bk>
    <bk>
      <rc t="2" v="5028"/>
    </bk>
    <bk>
      <rc t="2" v="5029"/>
    </bk>
    <bk>
      <rc t="2" v="5030"/>
    </bk>
    <bk>
      <rc t="2" v="5031"/>
    </bk>
    <bk>
      <rc t="2" v="5032"/>
    </bk>
    <bk>
      <rc t="2" v="5033"/>
    </bk>
    <bk>
      <rc t="2" v="5034"/>
    </bk>
    <bk>
      <rc t="2" v="5035"/>
    </bk>
    <bk>
      <rc t="2" v="5036"/>
    </bk>
    <bk>
      <rc t="2" v="5037"/>
    </bk>
    <bk>
      <rc t="2" v="5038"/>
    </bk>
    <bk>
      <rc t="2" v="5039"/>
    </bk>
    <bk>
      <rc t="2" v="5040"/>
    </bk>
    <bk>
      <rc t="2" v="5041"/>
    </bk>
    <bk>
      <rc t="2" v="5042"/>
    </bk>
    <bk>
      <rc t="2" v="5043"/>
    </bk>
    <bk>
      <rc t="2" v="5044"/>
    </bk>
    <bk>
      <rc t="2" v="5045"/>
    </bk>
    <bk>
      <rc t="2" v="5046"/>
    </bk>
    <bk>
      <rc t="2" v="5047"/>
    </bk>
    <bk>
      <rc t="2" v="5048"/>
    </bk>
    <bk>
      <rc t="2" v="5049"/>
    </bk>
    <bk>
      <rc t="2" v="5050"/>
    </bk>
    <bk>
      <rc t="2" v="5051"/>
    </bk>
    <bk>
      <rc t="2" v="5052"/>
    </bk>
    <bk>
      <rc t="2" v="5053"/>
    </bk>
    <bk>
      <rc t="2" v="5054"/>
    </bk>
    <bk>
      <rc t="2" v="5055"/>
    </bk>
    <bk>
      <rc t="2" v="5056"/>
    </bk>
    <bk>
      <rc t="2" v="5057"/>
    </bk>
    <bk>
      <rc t="2" v="5058"/>
    </bk>
    <bk>
      <rc t="2" v="5059"/>
    </bk>
    <bk>
      <rc t="2" v="5060"/>
    </bk>
    <bk>
      <rc t="2" v="5061"/>
    </bk>
    <bk>
      <rc t="2" v="5062"/>
    </bk>
    <bk>
      <rc t="2" v="5063"/>
    </bk>
    <bk>
      <rc t="2" v="5064"/>
    </bk>
    <bk>
      <rc t="2" v="5065"/>
    </bk>
    <bk>
      <rc t="2" v="5066"/>
    </bk>
    <bk>
      <rc t="2" v="5067"/>
    </bk>
    <bk>
      <rc t="2" v="5068"/>
    </bk>
    <bk>
      <rc t="2" v="5069"/>
    </bk>
    <bk>
      <rc t="2" v="5070"/>
    </bk>
    <bk>
      <rc t="2" v="5071"/>
    </bk>
    <bk>
      <rc t="2" v="5072"/>
    </bk>
    <bk>
      <rc t="2" v="5073"/>
    </bk>
    <bk>
      <rc t="2" v="5074"/>
    </bk>
    <bk>
      <rc t="2" v="5075"/>
    </bk>
    <bk>
      <rc t="2" v="5076"/>
    </bk>
    <bk>
      <rc t="2" v="5077"/>
    </bk>
    <bk>
      <rc t="2" v="5078"/>
    </bk>
    <bk>
      <rc t="2" v="5079"/>
    </bk>
    <bk>
      <rc t="2" v="5080"/>
    </bk>
    <bk>
      <rc t="2" v="5081"/>
    </bk>
    <bk>
      <rc t="2" v="5082"/>
    </bk>
    <bk>
      <rc t="2" v="5083"/>
    </bk>
    <bk>
      <rc t="2" v="5084"/>
    </bk>
    <bk>
      <rc t="2" v="5085"/>
    </bk>
    <bk>
      <rc t="2" v="5086"/>
    </bk>
    <bk>
      <rc t="2" v="5087"/>
    </bk>
    <bk>
      <rc t="2" v="5088"/>
    </bk>
    <bk>
      <rc t="2" v="5089"/>
    </bk>
    <bk>
      <rc t="2" v="5090"/>
    </bk>
    <bk>
      <rc t="2" v="5091"/>
    </bk>
    <bk>
      <rc t="2" v="5092"/>
    </bk>
    <bk>
      <rc t="2" v="5093"/>
    </bk>
    <bk>
      <rc t="2" v="5094"/>
    </bk>
    <bk>
      <rc t="2" v="5095"/>
    </bk>
    <bk>
      <rc t="2" v="5096"/>
    </bk>
    <bk>
      <rc t="2" v="5097"/>
    </bk>
    <bk>
      <rc t="2" v="5098"/>
    </bk>
    <bk>
      <rc t="2" v="5099"/>
    </bk>
    <bk>
      <rc t="2" v="5100"/>
    </bk>
    <bk>
      <rc t="2" v="5101"/>
    </bk>
    <bk>
      <rc t="2" v="5102"/>
    </bk>
    <bk>
      <rc t="2" v="5103"/>
    </bk>
    <bk>
      <rc t="2" v="5104"/>
    </bk>
    <bk>
      <rc t="2" v="5105"/>
    </bk>
    <bk>
      <rc t="2" v="5106"/>
    </bk>
    <bk>
      <rc t="2" v="5107"/>
    </bk>
    <bk>
      <rc t="2" v="5108"/>
    </bk>
    <bk>
      <rc t="2" v="5109"/>
    </bk>
    <bk>
      <rc t="2" v="5110"/>
    </bk>
    <bk>
      <rc t="2" v="5111"/>
    </bk>
    <bk>
      <rc t="2" v="5112"/>
    </bk>
    <bk>
      <rc t="2" v="5113"/>
    </bk>
    <bk>
      <rc t="2" v="5114"/>
    </bk>
    <bk>
      <rc t="2" v="5115"/>
    </bk>
    <bk>
      <rc t="2" v="5116"/>
    </bk>
    <bk>
      <rc t="2" v="5117"/>
    </bk>
    <bk>
      <rc t="2" v="5118"/>
    </bk>
    <bk>
      <rc t="2" v="5119"/>
    </bk>
    <bk>
      <rc t="2" v="5120"/>
    </bk>
    <bk>
      <rc t="2" v="5121"/>
    </bk>
    <bk>
      <rc t="2" v="5122"/>
    </bk>
    <bk>
      <rc t="2" v="5123"/>
    </bk>
    <bk>
      <rc t="2" v="5124"/>
    </bk>
    <bk>
      <rc t="2" v="5125"/>
    </bk>
    <bk>
      <rc t="2" v="5126"/>
    </bk>
    <bk>
      <rc t="2" v="5127"/>
    </bk>
    <bk>
      <rc t="2" v="5128"/>
    </bk>
    <bk>
      <rc t="2" v="5129"/>
    </bk>
    <bk>
      <rc t="2" v="5130"/>
    </bk>
    <bk>
      <rc t="2" v="5131"/>
    </bk>
    <bk>
      <rc t="2" v="5132"/>
    </bk>
    <bk>
      <rc t="2" v="5133"/>
    </bk>
    <bk>
      <rc t="2" v="5134"/>
    </bk>
    <bk>
      <rc t="2" v="5135"/>
    </bk>
    <bk>
      <rc t="2" v="5136"/>
    </bk>
    <bk>
      <rc t="2" v="5137"/>
    </bk>
    <bk>
      <rc t="2" v="5138"/>
    </bk>
    <bk>
      <rc t="2" v="5139"/>
    </bk>
    <bk>
      <rc t="2" v="5140"/>
    </bk>
    <bk>
      <rc t="2" v="5141"/>
    </bk>
    <bk>
      <rc t="2" v="5142"/>
    </bk>
    <bk>
      <rc t="2" v="5143"/>
    </bk>
    <bk>
      <rc t="2" v="5144"/>
    </bk>
    <bk>
      <rc t="2" v="5145"/>
    </bk>
    <bk>
      <rc t="2" v="5146"/>
    </bk>
    <bk>
      <rc t="2" v="5147"/>
    </bk>
    <bk>
      <rc t="2" v="5148"/>
    </bk>
    <bk>
      <rc t="2" v="5149"/>
    </bk>
    <bk>
      <rc t="2" v="5150"/>
    </bk>
    <bk>
      <rc t="2" v="5151"/>
    </bk>
    <bk>
      <rc t="2" v="5152"/>
    </bk>
    <bk>
      <rc t="2" v="5153"/>
    </bk>
    <bk>
      <rc t="2" v="5154"/>
    </bk>
    <bk>
      <rc t="2" v="5155"/>
    </bk>
    <bk>
      <rc t="2" v="5156"/>
    </bk>
    <bk>
      <rc t="2" v="5157"/>
    </bk>
    <bk>
      <rc t="2" v="5158"/>
    </bk>
    <bk>
      <rc t="2" v="5159"/>
    </bk>
    <bk>
      <rc t="2" v="5160"/>
    </bk>
    <bk>
      <rc t="2" v="5161"/>
    </bk>
    <bk>
      <rc t="2" v="5162"/>
    </bk>
    <bk>
      <rc t="2" v="5163"/>
    </bk>
    <bk>
      <rc t="2" v="5164"/>
    </bk>
    <bk>
      <rc t="2" v="5165"/>
    </bk>
    <bk>
      <rc t="2" v="5166"/>
    </bk>
    <bk>
      <rc t="2" v="5167"/>
    </bk>
    <bk>
      <rc t="2" v="5168"/>
    </bk>
    <bk>
      <rc t="2" v="5169"/>
    </bk>
    <bk>
      <rc t="2" v="5170"/>
    </bk>
    <bk>
      <rc t="2" v="5171"/>
    </bk>
    <bk>
      <rc t="2" v="5172"/>
    </bk>
    <bk>
      <rc t="2" v="5173"/>
    </bk>
    <bk>
      <rc t="2" v="5174"/>
    </bk>
    <bk>
      <rc t="2" v="5175"/>
    </bk>
    <bk>
      <rc t="2" v="5176"/>
    </bk>
    <bk>
      <rc t="2" v="5177"/>
    </bk>
    <bk>
      <rc t="2" v="5178"/>
    </bk>
    <bk>
      <rc t="2" v="5179"/>
    </bk>
    <bk>
      <rc t="2" v="5180"/>
    </bk>
    <bk>
      <rc t="2" v="5181"/>
    </bk>
    <bk>
      <rc t="2" v="5182"/>
    </bk>
    <bk>
      <rc t="2" v="5183"/>
    </bk>
    <bk>
      <rc t="2" v="5184"/>
    </bk>
    <bk>
      <rc t="2" v="5185"/>
    </bk>
    <bk>
      <rc t="2" v="5186"/>
    </bk>
    <bk>
      <rc t="2" v="5187"/>
    </bk>
    <bk>
      <rc t="2" v="5188"/>
    </bk>
    <bk>
      <rc t="2" v="5189"/>
    </bk>
    <bk>
      <rc t="2" v="5190"/>
    </bk>
    <bk>
      <rc t="2" v="5191"/>
    </bk>
    <bk>
      <rc t="2" v="5192"/>
    </bk>
    <bk>
      <rc t="2" v="5193"/>
    </bk>
    <bk>
      <rc t="2" v="5194"/>
    </bk>
    <bk>
      <rc t="2" v="5195"/>
    </bk>
    <bk>
      <rc t="2" v="5196"/>
    </bk>
    <bk>
      <rc t="2" v="5197"/>
    </bk>
    <bk>
      <rc t="2" v="5198"/>
    </bk>
    <bk>
      <rc t="2" v="5199"/>
    </bk>
    <bk>
      <rc t="2" v="5200"/>
    </bk>
    <bk>
      <rc t="2" v="5201"/>
    </bk>
    <bk>
      <rc t="2" v="5202"/>
    </bk>
    <bk>
      <rc t="2" v="5203"/>
    </bk>
    <bk>
      <rc t="2" v="5204"/>
    </bk>
    <bk>
      <rc t="2" v="5205"/>
    </bk>
    <bk>
      <rc t="2" v="5206"/>
    </bk>
    <bk>
      <rc t="2" v="5207"/>
    </bk>
    <bk>
      <rc t="2" v="5208"/>
    </bk>
    <bk>
      <rc t="2" v="5209"/>
    </bk>
    <bk>
      <rc t="2" v="5210"/>
    </bk>
    <bk>
      <rc t="2" v="5211"/>
    </bk>
    <bk>
      <rc t="2" v="5212"/>
    </bk>
    <bk>
      <rc t="2" v="5213"/>
    </bk>
    <bk>
      <rc t="2" v="5214"/>
    </bk>
    <bk>
      <rc t="2" v="5215"/>
    </bk>
    <bk>
      <rc t="2" v="5216"/>
    </bk>
    <bk>
      <rc t="2" v="5217"/>
    </bk>
    <bk>
      <rc t="2" v="5218"/>
    </bk>
    <bk>
      <rc t="2" v="5219"/>
    </bk>
    <bk>
      <rc t="2" v="5220"/>
    </bk>
    <bk>
      <rc t="2" v="5221"/>
    </bk>
    <bk>
      <rc t="2" v="5222"/>
    </bk>
    <bk>
      <rc t="2" v="5223"/>
    </bk>
    <bk>
      <rc t="2" v="5224"/>
    </bk>
    <bk>
      <rc t="2" v="5225"/>
    </bk>
    <bk>
      <rc t="2" v="5226"/>
    </bk>
    <bk>
      <rc t="2" v="5227"/>
    </bk>
    <bk>
      <rc t="2" v="5228"/>
    </bk>
    <bk>
      <rc t="2" v="5229"/>
    </bk>
    <bk>
      <rc t="2" v="5230"/>
    </bk>
    <bk>
      <rc t="2" v="5231"/>
    </bk>
    <bk>
      <rc t="2" v="5232"/>
    </bk>
    <bk>
      <rc t="2" v="5233"/>
    </bk>
    <bk>
      <rc t="2" v="5234"/>
    </bk>
    <bk>
      <rc t="2" v="5235"/>
    </bk>
    <bk>
      <rc t="2" v="5236"/>
    </bk>
    <bk>
      <rc t="2" v="5237"/>
    </bk>
    <bk>
      <rc t="2" v="5238"/>
    </bk>
    <bk>
      <rc t="2" v="5239"/>
    </bk>
    <bk>
      <rc t="2" v="5240"/>
    </bk>
    <bk>
      <rc t="2" v="5241"/>
    </bk>
    <bk>
      <rc t="2" v="5242"/>
    </bk>
    <bk>
      <rc t="2" v="5243"/>
    </bk>
    <bk>
      <rc t="2" v="5244"/>
    </bk>
    <bk>
      <rc t="2" v="5245"/>
    </bk>
    <bk>
      <rc t="2" v="5246"/>
    </bk>
    <bk>
      <rc t="2" v="5247"/>
    </bk>
    <bk>
      <rc t="2" v="5248"/>
    </bk>
    <bk>
      <rc t="2" v="5249"/>
    </bk>
    <bk>
      <rc t="2" v="5250"/>
    </bk>
    <bk>
      <rc t="2" v="5251"/>
    </bk>
    <bk>
      <rc t="2" v="5252"/>
    </bk>
    <bk>
      <rc t="2" v="5253"/>
    </bk>
    <bk>
      <rc t="2" v="5254"/>
    </bk>
    <bk>
      <rc t="2" v="5255"/>
    </bk>
    <bk>
      <rc t="2" v="5256"/>
    </bk>
    <bk>
      <rc t="2" v="5257"/>
    </bk>
    <bk>
      <rc t="2" v="5258"/>
    </bk>
    <bk>
      <rc t="2" v="5259"/>
    </bk>
    <bk>
      <rc t="2" v="5260"/>
    </bk>
    <bk>
      <rc t="2" v="5261"/>
    </bk>
    <bk>
      <rc t="2" v="5262"/>
    </bk>
    <bk>
      <rc t="2" v="5263"/>
    </bk>
    <bk>
      <rc t="2" v="5264"/>
    </bk>
    <bk>
      <rc t="2" v="5265"/>
    </bk>
    <bk>
      <rc t="2" v="5266"/>
    </bk>
    <bk>
      <rc t="2" v="5267"/>
    </bk>
    <bk>
      <rc t="2" v="5268"/>
    </bk>
    <bk>
      <rc t="2" v="5269"/>
    </bk>
    <bk>
      <rc t="2" v="5270"/>
    </bk>
    <bk>
      <rc t="2" v="5271"/>
    </bk>
    <bk>
      <rc t="2" v="5272"/>
    </bk>
    <bk>
      <rc t="2" v="5273"/>
    </bk>
    <bk>
      <rc t="2" v="5274"/>
    </bk>
    <bk>
      <rc t="2" v="5275"/>
    </bk>
    <bk>
      <rc t="2" v="5276"/>
    </bk>
    <bk>
      <rc t="2" v="5277"/>
    </bk>
    <bk>
      <rc t="2" v="5278"/>
    </bk>
    <bk>
      <rc t="2" v="5279"/>
    </bk>
    <bk>
      <rc t="2" v="5280"/>
    </bk>
    <bk>
      <rc t="2" v="5281"/>
    </bk>
    <bk>
      <rc t="2" v="5282"/>
    </bk>
    <bk>
      <rc t="2" v="5283"/>
    </bk>
    <bk>
      <rc t="2" v="5284"/>
    </bk>
    <bk>
      <rc t="2" v="5285"/>
    </bk>
    <bk>
      <rc t="2" v="5286"/>
    </bk>
    <bk>
      <rc t="2" v="5287"/>
    </bk>
    <bk>
      <rc t="2" v="5288"/>
    </bk>
    <bk>
      <rc t="2" v="5289"/>
    </bk>
    <bk>
      <rc t="2" v="5290"/>
    </bk>
    <bk>
      <rc t="2" v="5291"/>
    </bk>
    <bk>
      <rc t="2" v="5292"/>
    </bk>
    <bk>
      <rc t="2" v="5293"/>
    </bk>
    <bk>
      <rc t="2" v="5294"/>
    </bk>
    <bk>
      <rc t="2" v="5295"/>
    </bk>
    <bk>
      <rc t="2" v="5296"/>
    </bk>
    <bk>
      <rc t="2" v="5297"/>
    </bk>
    <bk>
      <rc t="2" v="5298"/>
    </bk>
    <bk>
      <rc t="2" v="5299"/>
    </bk>
    <bk>
      <rc t="2" v="5300"/>
    </bk>
    <bk>
      <rc t="2" v="5301"/>
    </bk>
    <bk>
      <rc t="2" v="5302"/>
    </bk>
    <bk>
      <rc t="2" v="5303"/>
    </bk>
    <bk>
      <rc t="2" v="5304"/>
    </bk>
    <bk>
      <rc t="2" v="5305"/>
    </bk>
    <bk>
      <rc t="2" v="5306"/>
    </bk>
    <bk>
      <rc t="2" v="5307"/>
    </bk>
    <bk>
      <rc t="2" v="5308"/>
    </bk>
    <bk>
      <rc t="2" v="5309"/>
    </bk>
    <bk>
      <rc t="2" v="5310"/>
    </bk>
    <bk>
      <rc t="2" v="5311"/>
    </bk>
    <bk>
      <rc t="2" v="5312"/>
    </bk>
    <bk>
      <rc t="2" v="5313"/>
    </bk>
    <bk>
      <rc t="2" v="5314"/>
    </bk>
    <bk>
      <rc t="2" v="5315"/>
    </bk>
    <bk>
      <rc t="2" v="5316"/>
    </bk>
    <bk>
      <rc t="2" v="5317"/>
    </bk>
    <bk>
      <rc t="2" v="5318"/>
    </bk>
    <bk>
      <rc t="2" v="5319"/>
    </bk>
    <bk>
      <rc t="2" v="5320"/>
    </bk>
    <bk>
      <rc t="2" v="5321"/>
    </bk>
    <bk>
      <rc t="2" v="5322"/>
    </bk>
    <bk>
      <rc t="2" v="5323"/>
    </bk>
    <bk>
      <rc t="2" v="5324"/>
    </bk>
    <bk>
      <rc t="2" v="5325"/>
    </bk>
    <bk>
      <rc t="2" v="5326"/>
    </bk>
    <bk>
      <rc t="2" v="5327"/>
    </bk>
    <bk>
      <rc t="2" v="5328"/>
    </bk>
    <bk>
      <rc t="2" v="5329"/>
    </bk>
    <bk>
      <rc t="2" v="5330"/>
    </bk>
    <bk>
      <rc t="2" v="5331"/>
    </bk>
    <bk>
      <rc t="2" v="5332"/>
    </bk>
    <bk>
      <rc t="2" v="5333"/>
    </bk>
    <bk>
      <rc t="2" v="5334"/>
    </bk>
    <bk>
      <rc t="2" v="5335"/>
    </bk>
    <bk>
      <rc t="2" v="5336"/>
    </bk>
    <bk>
      <rc t="2" v="5337"/>
    </bk>
    <bk>
      <rc t="2" v="5338"/>
    </bk>
    <bk>
      <rc t="2" v="5339"/>
    </bk>
    <bk>
      <rc t="2" v="5340"/>
    </bk>
    <bk>
      <rc t="2" v="5341"/>
    </bk>
    <bk>
      <rc t="2" v="5342"/>
    </bk>
    <bk>
      <rc t="2" v="5343"/>
    </bk>
    <bk>
      <rc t="2" v="5344"/>
    </bk>
    <bk>
      <rc t="2" v="5345"/>
    </bk>
    <bk>
      <rc t="2" v="5346"/>
    </bk>
    <bk>
      <rc t="2" v="5347"/>
    </bk>
    <bk>
      <rc t="2" v="5348"/>
    </bk>
    <bk>
      <rc t="2" v="5349"/>
    </bk>
    <bk>
      <rc t="2" v="5350"/>
    </bk>
    <bk>
      <rc t="2" v="5351"/>
    </bk>
    <bk>
      <rc t="2" v="5352"/>
    </bk>
    <bk>
      <rc t="2" v="5353"/>
    </bk>
    <bk>
      <rc t="2" v="5354"/>
    </bk>
    <bk>
      <rc t="2" v="5355"/>
    </bk>
    <bk>
      <rc t="2" v="5356"/>
    </bk>
    <bk>
      <rc t="2" v="5357"/>
    </bk>
    <bk>
      <rc t="2" v="5358"/>
    </bk>
    <bk>
      <rc t="2" v="5359"/>
    </bk>
    <bk>
      <rc t="2" v="5360"/>
    </bk>
    <bk>
      <rc t="2" v="5361"/>
    </bk>
    <bk>
      <rc t="2" v="5362"/>
    </bk>
    <bk>
      <rc t="2" v="5363"/>
    </bk>
    <bk>
      <rc t="2" v="5364"/>
    </bk>
    <bk>
      <rc t="2" v="5365"/>
    </bk>
    <bk>
      <rc t="2" v="5366"/>
    </bk>
    <bk>
      <rc t="2" v="5367"/>
    </bk>
    <bk>
      <rc t="2" v="5368"/>
    </bk>
    <bk>
      <rc t="2" v="5369"/>
    </bk>
    <bk>
      <rc t="2" v="5370"/>
    </bk>
    <bk>
      <rc t="2" v="5371"/>
    </bk>
    <bk>
      <rc t="2" v="5372"/>
    </bk>
    <bk>
      <rc t="2" v="5373"/>
    </bk>
    <bk>
      <rc t="2" v="5374"/>
    </bk>
    <bk>
      <rc t="2" v="5375"/>
    </bk>
    <bk>
      <rc t="2" v="5376"/>
    </bk>
    <bk>
      <rc t="2" v="5377"/>
    </bk>
    <bk>
      <rc t="2" v="5378"/>
    </bk>
    <bk>
      <rc t="2" v="5379"/>
    </bk>
    <bk>
      <rc t="2" v="5380"/>
    </bk>
    <bk>
      <rc t="2" v="5381"/>
    </bk>
    <bk>
      <rc t="2" v="5382"/>
    </bk>
    <bk>
      <rc t="2" v="5383"/>
    </bk>
    <bk>
      <rc t="2" v="5384"/>
    </bk>
    <bk>
      <rc t="2" v="5385"/>
    </bk>
    <bk>
      <rc t="2" v="5386"/>
    </bk>
    <bk>
      <rc t="2" v="5387"/>
    </bk>
    <bk>
      <rc t="2" v="5388"/>
    </bk>
    <bk>
      <rc t="2" v="5389"/>
    </bk>
    <bk>
      <rc t="2" v="5390"/>
    </bk>
    <bk>
      <rc t="2" v="5391"/>
    </bk>
    <bk>
      <rc t="2" v="5392"/>
    </bk>
    <bk>
      <rc t="2" v="5393"/>
    </bk>
    <bk>
      <rc t="2" v="5394"/>
    </bk>
    <bk>
      <rc t="2" v="5395"/>
    </bk>
    <bk>
      <rc t="2" v="5396"/>
    </bk>
    <bk>
      <rc t="2" v="5397"/>
    </bk>
    <bk>
      <rc t="2" v="5398"/>
    </bk>
    <bk>
      <rc t="2" v="5399"/>
    </bk>
    <bk>
      <rc t="2" v="5400"/>
    </bk>
    <bk>
      <rc t="2" v="5401"/>
    </bk>
    <bk>
      <rc t="2" v="5402"/>
    </bk>
    <bk>
      <rc t="2" v="5403"/>
    </bk>
    <bk>
      <rc t="2" v="5404"/>
    </bk>
    <bk>
      <rc t="2" v="5405"/>
    </bk>
    <bk>
      <rc t="2" v="5406"/>
    </bk>
    <bk>
      <rc t="2" v="5407"/>
    </bk>
    <bk>
      <rc t="2" v="5408"/>
    </bk>
    <bk>
      <rc t="2" v="5409"/>
    </bk>
    <bk>
      <rc t="2" v="5410"/>
    </bk>
    <bk>
      <rc t="2" v="5411"/>
    </bk>
    <bk>
      <rc t="2" v="5412"/>
    </bk>
    <bk>
      <rc t="2" v="5413"/>
    </bk>
    <bk>
      <rc t="2" v="5414"/>
    </bk>
    <bk>
      <rc t="2" v="5415"/>
    </bk>
    <bk>
      <rc t="2" v="5416"/>
    </bk>
    <bk>
      <rc t="2" v="5417"/>
    </bk>
    <bk>
      <rc t="2" v="5418"/>
    </bk>
    <bk>
      <rc t="2" v="5419"/>
    </bk>
    <bk>
      <rc t="2" v="5420"/>
    </bk>
    <bk>
      <rc t="2" v="5421"/>
    </bk>
    <bk>
      <rc t="2" v="5422"/>
    </bk>
    <bk>
      <rc t="2" v="5423"/>
    </bk>
    <bk>
      <rc t="2" v="5424"/>
    </bk>
    <bk>
      <rc t="2" v="5425"/>
    </bk>
    <bk>
      <rc t="2" v="5426"/>
    </bk>
    <bk>
      <rc t="2" v="5427"/>
    </bk>
    <bk>
      <rc t="2" v="5428"/>
    </bk>
    <bk>
      <rc t="2" v="5429"/>
    </bk>
    <bk>
      <rc t="2" v="5430"/>
    </bk>
    <bk>
      <rc t="2" v="5431"/>
    </bk>
    <bk>
      <rc t="2" v="5432"/>
    </bk>
    <bk>
      <rc t="2" v="5433"/>
    </bk>
    <bk>
      <rc t="2" v="5434"/>
    </bk>
    <bk>
      <rc t="2" v="5435"/>
    </bk>
    <bk>
      <rc t="2" v="5436"/>
    </bk>
    <bk>
      <rc t="2" v="5437"/>
    </bk>
    <bk>
      <rc t="2" v="5438"/>
    </bk>
    <bk>
      <rc t="2" v="5439"/>
    </bk>
    <bk>
      <rc t="2" v="5440"/>
    </bk>
    <bk>
      <rc t="2" v="5441"/>
    </bk>
    <bk>
      <rc t="2" v="5442"/>
    </bk>
    <bk>
      <rc t="2" v="5443"/>
    </bk>
    <bk>
      <rc t="2" v="5444"/>
    </bk>
    <bk>
      <rc t="2" v="5445"/>
    </bk>
    <bk>
      <rc t="2" v="5446"/>
    </bk>
    <bk>
      <rc t="2" v="5447"/>
    </bk>
    <bk>
      <rc t="2" v="5448"/>
    </bk>
    <bk>
      <rc t="2" v="5449"/>
    </bk>
    <bk>
      <rc t="2" v="5450"/>
    </bk>
    <bk>
      <rc t="2" v="5451"/>
    </bk>
    <bk>
      <rc t="2" v="5452"/>
    </bk>
    <bk>
      <rc t="2" v="5453"/>
    </bk>
    <bk>
      <rc t="2" v="5454"/>
    </bk>
    <bk>
      <rc t="2" v="5455"/>
    </bk>
    <bk>
      <rc t="2" v="5456"/>
    </bk>
    <bk>
      <rc t="2" v="5457"/>
    </bk>
    <bk>
      <rc t="2" v="5458"/>
    </bk>
    <bk>
      <rc t="2" v="5459"/>
    </bk>
    <bk>
      <rc t="2" v="5460"/>
    </bk>
    <bk>
      <rc t="2" v="5461"/>
    </bk>
    <bk>
      <rc t="2" v="5462"/>
    </bk>
    <bk>
      <rc t="2" v="5463"/>
    </bk>
    <bk>
      <rc t="2" v="5464"/>
    </bk>
    <bk>
      <rc t="2" v="5465"/>
    </bk>
    <bk>
      <rc t="2" v="5466"/>
    </bk>
    <bk>
      <rc t="2" v="5467"/>
    </bk>
    <bk>
      <rc t="2" v="5468"/>
    </bk>
    <bk>
      <rc t="2" v="5469"/>
    </bk>
    <bk>
      <rc t="2" v="5470"/>
    </bk>
    <bk>
      <rc t="2" v="5471"/>
    </bk>
    <bk>
      <rc t="2" v="5472"/>
    </bk>
    <bk>
      <rc t="2" v="5473"/>
    </bk>
    <bk>
      <rc t="2" v="5474"/>
    </bk>
    <bk>
      <rc t="2" v="5475"/>
    </bk>
    <bk>
      <rc t="2" v="5476"/>
    </bk>
    <bk>
      <rc t="2" v="5477"/>
    </bk>
    <bk>
      <rc t="2" v="5478"/>
    </bk>
    <bk>
      <rc t="2" v="5479"/>
    </bk>
    <bk>
      <rc t="2" v="5480"/>
    </bk>
    <bk>
      <rc t="2" v="5481"/>
    </bk>
    <bk>
      <rc t="2" v="5482"/>
    </bk>
    <bk>
      <rc t="2" v="5483"/>
    </bk>
    <bk>
      <rc t="2" v="5484"/>
    </bk>
    <bk>
      <rc t="2" v="5485"/>
    </bk>
    <bk>
      <rc t="2" v="5486"/>
    </bk>
    <bk>
      <rc t="2" v="5487"/>
    </bk>
    <bk>
      <rc t="2" v="5488"/>
    </bk>
    <bk>
      <rc t="2" v="5489"/>
    </bk>
    <bk>
      <rc t="2" v="5490"/>
    </bk>
    <bk>
      <rc t="2" v="5491"/>
    </bk>
    <bk>
      <rc t="2" v="5492"/>
    </bk>
    <bk>
      <rc t="2" v="5493"/>
    </bk>
    <bk>
      <rc t="2" v="5494"/>
    </bk>
    <bk>
      <rc t="2" v="5495"/>
    </bk>
    <bk>
      <rc t="2" v="5496"/>
    </bk>
    <bk>
      <rc t="2" v="5497"/>
    </bk>
    <bk>
      <rc t="2" v="5498"/>
    </bk>
    <bk>
      <rc t="2" v="5499"/>
    </bk>
    <bk>
      <rc t="2" v="5500"/>
    </bk>
    <bk>
      <rc t="2" v="5501"/>
    </bk>
    <bk>
      <rc t="2" v="5502"/>
    </bk>
    <bk>
      <rc t="2" v="5503"/>
    </bk>
    <bk>
      <rc t="2" v="5504"/>
    </bk>
    <bk>
      <rc t="2" v="5505"/>
    </bk>
    <bk>
      <rc t="2" v="5506"/>
    </bk>
    <bk>
      <rc t="2" v="5507"/>
    </bk>
    <bk>
      <rc t="2" v="5508"/>
    </bk>
    <bk>
      <rc t="2" v="5509"/>
    </bk>
    <bk>
      <rc t="2" v="5510"/>
    </bk>
    <bk>
      <rc t="2" v="5511"/>
    </bk>
    <bk>
      <rc t="2" v="5512"/>
    </bk>
    <bk>
      <rc t="2" v="5513"/>
    </bk>
    <bk>
      <rc t="2" v="5514"/>
    </bk>
    <bk>
      <rc t="2" v="5515"/>
    </bk>
    <bk>
      <rc t="2" v="5516"/>
    </bk>
    <bk>
      <rc t="2" v="5517"/>
    </bk>
    <bk>
      <rc t="2" v="5518"/>
    </bk>
    <bk>
      <rc t="2" v="5519"/>
    </bk>
    <bk>
      <rc t="2" v="5520"/>
    </bk>
    <bk>
      <rc t="2" v="5521"/>
    </bk>
    <bk>
      <rc t="2" v="5522"/>
    </bk>
    <bk>
      <rc t="2" v="5523"/>
    </bk>
    <bk>
      <rc t="2" v="5524"/>
    </bk>
    <bk>
      <rc t="2" v="5525"/>
    </bk>
    <bk>
      <rc t="2" v="5526"/>
    </bk>
    <bk>
      <rc t="2" v="5527"/>
    </bk>
    <bk>
      <rc t="2" v="5528"/>
    </bk>
    <bk>
      <rc t="2" v="5529"/>
    </bk>
    <bk>
      <rc t="2" v="5530"/>
    </bk>
    <bk>
      <rc t="2" v="5531"/>
    </bk>
    <bk>
      <rc t="2" v="5532"/>
    </bk>
    <bk>
      <rc t="2" v="5533"/>
    </bk>
    <bk>
      <rc t="2" v="5534"/>
    </bk>
    <bk>
      <rc t="2" v="5535"/>
    </bk>
    <bk>
      <rc t="2" v="5536"/>
    </bk>
    <bk>
      <rc t="2" v="5537"/>
    </bk>
    <bk>
      <rc t="2" v="5538"/>
    </bk>
    <bk>
      <rc t="2" v="5539"/>
    </bk>
    <bk>
      <rc t="2" v="5540"/>
    </bk>
    <bk>
      <rc t="2" v="5541"/>
    </bk>
    <bk>
      <rc t="2" v="5542"/>
    </bk>
    <bk>
      <rc t="2" v="5543"/>
    </bk>
    <bk>
      <rc t="2" v="5544"/>
    </bk>
    <bk>
      <rc t="2" v="5545"/>
    </bk>
    <bk>
      <rc t="2" v="5546"/>
    </bk>
    <bk>
      <rc t="2" v="5547"/>
    </bk>
    <bk>
      <rc t="2" v="5548"/>
    </bk>
    <bk>
      <rc t="2" v="5549"/>
    </bk>
    <bk>
      <rc t="2" v="5550"/>
    </bk>
    <bk>
      <rc t="2" v="5551"/>
    </bk>
    <bk>
      <rc t="2" v="5552"/>
    </bk>
    <bk>
      <rc t="2" v="5553"/>
    </bk>
    <bk>
      <rc t="2" v="5554"/>
    </bk>
    <bk>
      <rc t="2" v="5555"/>
    </bk>
    <bk>
      <rc t="2" v="5556"/>
    </bk>
    <bk>
      <rc t="2" v="5557"/>
    </bk>
    <bk>
      <rc t="2" v="5558"/>
    </bk>
    <bk>
      <rc t="2" v="5559"/>
    </bk>
    <bk>
      <rc t="2" v="5560"/>
    </bk>
    <bk>
      <rc t="2" v="5561"/>
    </bk>
    <bk>
      <rc t="2" v="5562"/>
    </bk>
    <bk>
      <rc t="2" v="5563"/>
    </bk>
    <bk>
      <rc t="2" v="5564"/>
    </bk>
    <bk>
      <rc t="2" v="5565"/>
    </bk>
    <bk>
      <rc t="2" v="5566"/>
    </bk>
    <bk>
      <rc t="2" v="5567"/>
    </bk>
    <bk>
      <rc t="2" v="5568"/>
    </bk>
    <bk>
      <rc t="2" v="5569"/>
    </bk>
    <bk>
      <rc t="2" v="5570"/>
    </bk>
    <bk>
      <rc t="2" v="5571"/>
    </bk>
    <bk>
      <rc t="2" v="5572"/>
    </bk>
    <bk>
      <rc t="2" v="5573"/>
    </bk>
    <bk>
      <rc t="2" v="5574"/>
    </bk>
    <bk>
      <rc t="2" v="5575"/>
    </bk>
    <bk>
      <rc t="2" v="5576"/>
    </bk>
    <bk>
      <rc t="2" v="5577"/>
    </bk>
    <bk>
      <rc t="2" v="5578"/>
    </bk>
    <bk>
      <rc t="2" v="5579"/>
    </bk>
    <bk>
      <rc t="2" v="5580"/>
    </bk>
    <bk>
      <rc t="2" v="5581"/>
    </bk>
    <bk>
      <rc t="2" v="5582"/>
    </bk>
    <bk>
      <rc t="2" v="5583"/>
    </bk>
    <bk>
      <rc t="2" v="5584"/>
    </bk>
    <bk>
      <rc t="2" v="5585"/>
    </bk>
    <bk>
      <rc t="2" v="5586"/>
    </bk>
    <bk>
      <rc t="2" v="5587"/>
    </bk>
    <bk>
      <rc t="2" v="5588"/>
    </bk>
    <bk>
      <rc t="2" v="5589"/>
    </bk>
    <bk>
      <rc t="2" v="5590"/>
    </bk>
    <bk>
      <rc t="2" v="5591"/>
    </bk>
    <bk>
      <rc t="2" v="5592"/>
    </bk>
    <bk>
      <rc t="2" v="5593"/>
    </bk>
    <bk>
      <rc t="2" v="5594"/>
    </bk>
    <bk>
      <rc t="2" v="5595"/>
    </bk>
    <bk>
      <rc t="2" v="5596"/>
    </bk>
    <bk>
      <rc t="2" v="5597"/>
    </bk>
    <bk>
      <rc t="2" v="5598"/>
    </bk>
    <bk>
      <rc t="2" v="5599"/>
    </bk>
    <bk>
      <rc t="2" v="5600"/>
    </bk>
    <bk>
      <rc t="2" v="5601"/>
    </bk>
    <bk>
      <rc t="2" v="5602"/>
    </bk>
    <bk>
      <rc t="2" v="5603"/>
    </bk>
    <bk>
      <rc t="2" v="5604"/>
    </bk>
    <bk>
      <rc t="2" v="5605"/>
    </bk>
    <bk>
      <rc t="2" v="5606"/>
    </bk>
    <bk>
      <rc t="2" v="5607"/>
    </bk>
    <bk>
      <rc t="2" v="5608"/>
    </bk>
    <bk>
      <rc t="2" v="5609"/>
    </bk>
    <bk>
      <rc t="2" v="5610"/>
    </bk>
    <bk>
      <rc t="2" v="5611"/>
    </bk>
    <bk>
      <rc t="2" v="5612"/>
    </bk>
    <bk>
      <rc t="2" v="5613"/>
    </bk>
    <bk>
      <rc t="2" v="5614"/>
    </bk>
    <bk>
      <rc t="2" v="5615"/>
    </bk>
    <bk>
      <rc t="2" v="5616"/>
    </bk>
    <bk>
      <rc t="2" v="5617"/>
    </bk>
    <bk>
      <rc t="2" v="5618"/>
    </bk>
    <bk>
      <rc t="2" v="5619"/>
    </bk>
    <bk>
      <rc t="2" v="5620"/>
    </bk>
    <bk>
      <rc t="2" v="5621"/>
    </bk>
    <bk>
      <rc t="2" v="5622"/>
    </bk>
    <bk>
      <rc t="2" v="5623"/>
    </bk>
    <bk>
      <rc t="2" v="5624"/>
    </bk>
    <bk>
      <rc t="2" v="5625"/>
    </bk>
    <bk>
      <rc t="2" v="5626"/>
    </bk>
    <bk>
      <rc t="2" v="5627"/>
    </bk>
    <bk>
      <rc t="2" v="5628"/>
    </bk>
    <bk>
      <rc t="2" v="5629"/>
    </bk>
    <bk>
      <rc t="2" v="5630"/>
    </bk>
    <bk>
      <rc t="2" v="5631"/>
    </bk>
    <bk>
      <rc t="2" v="5632"/>
    </bk>
    <bk>
      <rc t="2" v="5633"/>
    </bk>
    <bk>
      <rc t="2" v="5634"/>
    </bk>
    <bk>
      <rc t="2" v="5635"/>
    </bk>
    <bk>
      <rc t="2" v="5636"/>
    </bk>
    <bk>
      <rc t="2" v="5637"/>
    </bk>
    <bk>
      <rc t="2" v="5638"/>
    </bk>
    <bk>
      <rc t="2" v="5639"/>
    </bk>
    <bk>
      <rc t="2" v="5640"/>
    </bk>
    <bk>
      <rc t="2" v="5641"/>
    </bk>
    <bk>
      <rc t="2" v="5642"/>
    </bk>
    <bk>
      <rc t="2" v="5643"/>
    </bk>
    <bk>
      <rc t="2" v="5644"/>
    </bk>
    <bk>
      <rc t="2" v="5645"/>
    </bk>
    <bk>
      <rc t="2" v="5646"/>
    </bk>
    <bk>
      <rc t="2" v="5647"/>
    </bk>
    <bk>
      <rc t="2" v="5648"/>
    </bk>
    <bk>
      <rc t="2" v="5649"/>
    </bk>
    <bk>
      <rc t="2" v="5650"/>
    </bk>
    <bk>
      <rc t="2" v="5651"/>
    </bk>
    <bk>
      <rc t="2" v="5652"/>
    </bk>
    <bk>
      <rc t="2" v="5653"/>
    </bk>
    <bk>
      <rc t="2" v="5654"/>
    </bk>
    <bk>
      <rc t="2" v="5655"/>
    </bk>
    <bk>
      <rc t="2" v="5656"/>
    </bk>
    <bk>
      <rc t="2" v="5657"/>
    </bk>
    <bk>
      <rc t="2" v="5658"/>
    </bk>
    <bk>
      <rc t="2" v="5659"/>
    </bk>
    <bk>
      <rc t="2" v="5660"/>
    </bk>
    <bk>
      <rc t="2" v="5661"/>
    </bk>
    <bk>
      <rc t="2" v="5662"/>
    </bk>
    <bk>
      <rc t="2" v="5663"/>
    </bk>
    <bk>
      <rc t="2" v="5664"/>
    </bk>
    <bk>
      <rc t="2" v="5665"/>
    </bk>
    <bk>
      <rc t="2" v="5666"/>
    </bk>
    <bk>
      <rc t="2" v="5667"/>
    </bk>
    <bk>
      <rc t="2" v="5668"/>
    </bk>
    <bk>
      <rc t="2" v="5669"/>
    </bk>
    <bk>
      <rc t="2" v="5670"/>
    </bk>
    <bk>
      <rc t="2" v="5671"/>
    </bk>
    <bk>
      <rc t="2" v="5672"/>
    </bk>
    <bk>
      <rc t="2" v="5673"/>
    </bk>
    <bk>
      <rc t="2" v="5674"/>
    </bk>
    <bk>
      <rc t="2" v="5675"/>
    </bk>
    <bk>
      <rc t="2" v="5676"/>
    </bk>
    <bk>
      <rc t="2" v="5677"/>
    </bk>
    <bk>
      <rc t="2" v="5678"/>
    </bk>
    <bk>
      <rc t="2" v="5679"/>
    </bk>
    <bk>
      <rc t="2" v="5680"/>
    </bk>
    <bk>
      <rc t="2" v="5681"/>
    </bk>
    <bk>
      <rc t="2" v="5682"/>
    </bk>
    <bk>
      <rc t="2" v="5683"/>
    </bk>
    <bk>
      <rc t="2" v="5684"/>
    </bk>
    <bk>
      <rc t="2" v="5685"/>
    </bk>
    <bk>
      <rc t="2" v="5686"/>
    </bk>
    <bk>
      <rc t="2" v="5687"/>
    </bk>
    <bk>
      <rc t="2" v="5688"/>
    </bk>
    <bk>
      <rc t="2" v="5689"/>
    </bk>
    <bk>
      <rc t="2" v="5690"/>
    </bk>
    <bk>
      <rc t="2" v="5691"/>
    </bk>
    <bk>
      <rc t="2" v="5692"/>
    </bk>
    <bk>
      <rc t="2" v="5693"/>
    </bk>
    <bk>
      <rc t="2" v="5694"/>
    </bk>
    <bk>
      <rc t="2" v="5695"/>
    </bk>
    <bk>
      <rc t="2" v="5696"/>
    </bk>
    <bk>
      <rc t="2" v="5697"/>
    </bk>
    <bk>
      <rc t="2" v="5698"/>
    </bk>
    <bk>
      <rc t="2" v="5699"/>
    </bk>
    <bk>
      <rc t="2" v="5700"/>
    </bk>
    <bk>
      <rc t="2" v="5701"/>
    </bk>
    <bk>
      <rc t="2" v="5702"/>
    </bk>
    <bk>
      <rc t="2" v="5703"/>
    </bk>
    <bk>
      <rc t="2" v="5704"/>
    </bk>
    <bk>
      <rc t="2" v="5705"/>
    </bk>
    <bk>
      <rc t="2" v="5706"/>
    </bk>
    <bk>
      <rc t="2" v="5707"/>
    </bk>
    <bk>
      <rc t="2" v="5708"/>
    </bk>
    <bk>
      <rc t="2" v="5709"/>
    </bk>
    <bk>
      <rc t="2" v="5710"/>
    </bk>
    <bk>
      <rc t="2" v="5711"/>
    </bk>
    <bk>
      <rc t="2" v="5712"/>
    </bk>
    <bk>
      <rc t="2" v="5713"/>
    </bk>
    <bk>
      <rc t="2" v="5714"/>
    </bk>
    <bk>
      <rc t="2" v="5715"/>
    </bk>
    <bk>
      <rc t="2" v="5716"/>
    </bk>
    <bk>
      <rc t="2" v="5717"/>
    </bk>
    <bk>
      <rc t="2" v="5718"/>
    </bk>
    <bk>
      <rc t="2" v="5719"/>
    </bk>
    <bk>
      <rc t="2" v="5720"/>
    </bk>
    <bk>
      <rc t="2" v="5721"/>
    </bk>
    <bk>
      <rc t="2" v="5722"/>
    </bk>
    <bk>
      <rc t="2" v="5723"/>
    </bk>
    <bk>
      <rc t="2" v="5724"/>
    </bk>
    <bk>
      <rc t="2" v="5725"/>
    </bk>
    <bk>
      <rc t="2" v="5726"/>
    </bk>
    <bk>
      <rc t="2" v="5727"/>
    </bk>
    <bk>
      <rc t="2" v="5728"/>
    </bk>
    <bk>
      <rc t="2" v="5729"/>
    </bk>
    <bk>
      <rc t="2" v="5730"/>
    </bk>
    <bk>
      <rc t="2" v="5731"/>
    </bk>
    <bk>
      <rc t="2" v="5732"/>
    </bk>
    <bk>
      <rc t="2" v="5733"/>
    </bk>
    <bk>
      <rc t="2" v="5734"/>
    </bk>
    <bk>
      <rc t="2" v="5735"/>
    </bk>
    <bk>
      <rc t="2" v="5736"/>
    </bk>
    <bk>
      <rc t="2" v="5737"/>
    </bk>
    <bk>
      <rc t="2" v="5738"/>
    </bk>
    <bk>
      <rc t="2" v="5739"/>
    </bk>
    <bk>
      <rc t="2" v="5740"/>
    </bk>
    <bk>
      <rc t="2" v="5741"/>
    </bk>
    <bk>
      <rc t="2" v="5742"/>
    </bk>
    <bk>
      <rc t="2" v="5743"/>
    </bk>
    <bk>
      <rc t="2" v="5744"/>
    </bk>
    <bk>
      <rc t="2" v="5745"/>
    </bk>
    <bk>
      <rc t="2" v="5746"/>
    </bk>
    <bk>
      <rc t="2" v="5747"/>
    </bk>
    <bk>
      <rc t="2" v="5748"/>
    </bk>
    <bk>
      <rc t="2" v="5749"/>
    </bk>
    <bk>
      <rc t="2" v="5750"/>
    </bk>
    <bk>
      <rc t="2" v="5751"/>
    </bk>
    <bk>
      <rc t="2" v="5752"/>
    </bk>
    <bk>
      <rc t="2" v="5753"/>
    </bk>
    <bk>
      <rc t="2" v="5754"/>
    </bk>
    <bk>
      <rc t="2" v="5755"/>
    </bk>
    <bk>
      <rc t="2" v="5756"/>
    </bk>
    <bk>
      <rc t="2" v="5757"/>
    </bk>
    <bk>
      <rc t="2" v="5758"/>
    </bk>
    <bk>
      <rc t="2" v="5759"/>
    </bk>
    <bk>
      <rc t="2" v="5760"/>
    </bk>
    <bk>
      <rc t="2" v="5761"/>
    </bk>
    <bk>
      <rc t="2" v="5762"/>
    </bk>
    <bk>
      <rc t="2" v="5763"/>
    </bk>
    <bk>
      <rc t="2" v="5764"/>
    </bk>
    <bk>
      <rc t="2" v="5765"/>
    </bk>
    <bk>
      <rc t="2" v="5766"/>
    </bk>
    <bk>
      <rc t="2" v="5767"/>
    </bk>
    <bk>
      <rc t="2" v="5768"/>
    </bk>
    <bk>
      <rc t="2" v="5769"/>
    </bk>
    <bk>
      <rc t="2" v="5770"/>
    </bk>
    <bk>
      <rc t="2" v="5771"/>
    </bk>
    <bk>
      <rc t="2" v="5772"/>
    </bk>
    <bk>
      <rc t="2" v="5773"/>
    </bk>
    <bk>
      <rc t="2" v="5774"/>
    </bk>
    <bk>
      <rc t="2" v="5775"/>
    </bk>
    <bk>
      <rc t="2" v="5776"/>
    </bk>
    <bk>
      <rc t="2" v="5777"/>
    </bk>
    <bk>
      <rc t="2" v="5778"/>
    </bk>
    <bk>
      <rc t="2" v="5779"/>
    </bk>
    <bk>
      <rc t="2" v="5780"/>
    </bk>
    <bk>
      <rc t="2" v="5781"/>
    </bk>
    <bk>
      <rc t="2" v="5782"/>
    </bk>
    <bk>
      <rc t="2" v="5783"/>
    </bk>
    <bk>
      <rc t="2" v="5784"/>
    </bk>
    <bk>
      <rc t="2" v="5785"/>
    </bk>
    <bk>
      <rc t="2" v="5786"/>
    </bk>
    <bk>
      <rc t="2" v="5787"/>
    </bk>
    <bk>
      <rc t="2" v="5788"/>
    </bk>
    <bk>
      <rc t="2" v="5789"/>
    </bk>
    <bk>
      <rc t="2" v="5790"/>
    </bk>
    <bk>
      <rc t="2" v="5791"/>
    </bk>
    <bk>
      <rc t="2" v="5792"/>
    </bk>
    <bk>
      <rc t="2" v="5793"/>
    </bk>
    <bk>
      <rc t="2" v="5794"/>
    </bk>
    <bk>
      <rc t="2" v="5795"/>
    </bk>
    <bk>
      <rc t="2" v="5796"/>
    </bk>
    <bk>
      <rc t="2" v="5797"/>
    </bk>
    <bk>
      <rc t="2" v="5798"/>
    </bk>
    <bk>
      <rc t="2" v="5799"/>
    </bk>
    <bk>
      <rc t="2" v="5800"/>
    </bk>
    <bk>
      <rc t="2" v="5801"/>
    </bk>
    <bk>
      <rc t="2" v="5802"/>
    </bk>
    <bk>
      <rc t="2" v="5803"/>
    </bk>
    <bk>
      <rc t="2" v="5804"/>
    </bk>
    <bk>
      <rc t="2" v="5805"/>
    </bk>
    <bk>
      <rc t="2" v="5806"/>
    </bk>
    <bk>
      <rc t="2" v="5807"/>
    </bk>
    <bk>
      <rc t="2" v="5808"/>
    </bk>
    <bk>
      <rc t="2" v="5809"/>
    </bk>
    <bk>
      <rc t="2" v="5810"/>
    </bk>
    <bk>
      <rc t="2" v="5811"/>
    </bk>
    <bk>
      <rc t="2" v="5812"/>
    </bk>
    <bk>
      <rc t="2" v="5813"/>
    </bk>
    <bk>
      <rc t="2" v="5814"/>
    </bk>
    <bk>
      <rc t="2" v="5815"/>
    </bk>
    <bk>
      <rc t="2" v="5816"/>
    </bk>
    <bk>
      <rc t="2" v="5817"/>
    </bk>
    <bk>
      <rc t="2" v="5818"/>
    </bk>
    <bk>
      <rc t="2" v="5819"/>
    </bk>
    <bk>
      <rc t="2" v="5820"/>
    </bk>
    <bk>
      <rc t="2" v="5821"/>
    </bk>
    <bk>
      <rc t="2" v="5822"/>
    </bk>
    <bk>
      <rc t="2" v="5823"/>
    </bk>
    <bk>
      <rc t="2" v="5824"/>
    </bk>
    <bk>
      <rc t="2" v="5825"/>
    </bk>
    <bk>
      <rc t="2" v="5826"/>
    </bk>
    <bk>
      <rc t="2" v="5827"/>
    </bk>
    <bk>
      <rc t="2" v="5828"/>
    </bk>
    <bk>
      <rc t="2" v="5829"/>
    </bk>
    <bk>
      <rc t="2" v="5830"/>
    </bk>
    <bk>
      <rc t="2" v="5831"/>
    </bk>
    <bk>
      <rc t="2" v="5832"/>
    </bk>
    <bk>
      <rc t="2" v="5833"/>
    </bk>
    <bk>
      <rc t="2" v="5834"/>
    </bk>
    <bk>
      <rc t="2" v="5835"/>
    </bk>
    <bk>
      <rc t="2" v="5836"/>
    </bk>
    <bk>
      <rc t="2" v="5837"/>
    </bk>
    <bk>
      <rc t="2" v="5838"/>
    </bk>
    <bk>
      <rc t="2" v="5839"/>
    </bk>
    <bk>
      <rc t="2" v="5840"/>
    </bk>
    <bk>
      <rc t="2" v="5841"/>
    </bk>
    <bk>
      <rc t="2" v="5842"/>
    </bk>
    <bk>
      <rc t="2" v="5843"/>
    </bk>
    <bk>
      <rc t="2" v="5844"/>
    </bk>
    <bk>
      <rc t="2" v="5845"/>
    </bk>
    <bk>
      <rc t="2" v="5846"/>
    </bk>
    <bk>
      <rc t="2" v="5847"/>
    </bk>
    <bk>
      <rc t="2" v="5848"/>
    </bk>
    <bk>
      <rc t="2" v="5849"/>
    </bk>
    <bk>
      <rc t="2" v="5850"/>
    </bk>
    <bk>
      <rc t="2" v="5851"/>
    </bk>
    <bk>
      <rc t="2" v="5852"/>
    </bk>
    <bk>
      <rc t="2" v="5853"/>
    </bk>
    <bk>
      <rc t="2" v="5854"/>
    </bk>
    <bk>
      <rc t="2" v="5855"/>
    </bk>
    <bk>
      <rc t="2" v="5856"/>
    </bk>
    <bk>
      <rc t="2" v="5857"/>
    </bk>
    <bk>
      <rc t="2" v="5858"/>
    </bk>
    <bk>
      <rc t="2" v="5859"/>
    </bk>
    <bk>
      <rc t="2" v="5860"/>
    </bk>
    <bk>
      <rc t="2" v="5861"/>
    </bk>
    <bk>
      <rc t="2" v="5862"/>
    </bk>
    <bk>
      <rc t="2" v="5863"/>
    </bk>
    <bk>
      <rc t="2" v="5864"/>
    </bk>
    <bk>
      <rc t="2" v="5865"/>
    </bk>
    <bk>
      <rc t="2" v="5866"/>
    </bk>
    <bk>
      <rc t="2" v="5867"/>
    </bk>
    <bk>
      <rc t="2" v="5868"/>
    </bk>
    <bk>
      <rc t="2" v="5869"/>
    </bk>
    <bk>
      <rc t="2" v="5870"/>
    </bk>
    <bk>
      <rc t="2" v="5871"/>
    </bk>
    <bk>
      <rc t="2" v="5872"/>
    </bk>
    <bk>
      <rc t="2" v="5873"/>
    </bk>
    <bk>
      <rc t="2" v="5874"/>
    </bk>
    <bk>
      <rc t="2" v="5875"/>
    </bk>
    <bk>
      <rc t="2" v="5876"/>
    </bk>
    <bk>
      <rc t="2" v="5877"/>
    </bk>
    <bk>
      <rc t="2" v="5878"/>
    </bk>
    <bk>
      <rc t="2" v="5879"/>
    </bk>
    <bk>
      <rc t="2" v="5880"/>
    </bk>
    <bk>
      <rc t="2" v="5881"/>
    </bk>
    <bk>
      <rc t="2" v="5882"/>
    </bk>
    <bk>
      <rc t="2" v="5883"/>
    </bk>
    <bk>
      <rc t="2" v="5884"/>
    </bk>
    <bk>
      <rc t="2" v="5885"/>
    </bk>
    <bk>
      <rc t="2" v="5886"/>
    </bk>
    <bk>
      <rc t="2" v="5887"/>
    </bk>
    <bk>
      <rc t="2" v="5888"/>
    </bk>
    <bk>
      <rc t="2" v="5889"/>
    </bk>
    <bk>
      <rc t="2" v="5890"/>
    </bk>
    <bk>
      <rc t="2" v="5891"/>
    </bk>
    <bk>
      <rc t="2" v="5892"/>
    </bk>
    <bk>
      <rc t="2" v="5893"/>
    </bk>
    <bk>
      <rc t="2" v="5894"/>
    </bk>
    <bk>
      <rc t="2" v="5895"/>
    </bk>
    <bk>
      <rc t="2" v="5896"/>
    </bk>
    <bk>
      <rc t="2" v="5897"/>
    </bk>
    <bk>
      <rc t="2" v="5898"/>
    </bk>
    <bk>
      <rc t="2" v="5899"/>
    </bk>
    <bk>
      <rc t="2" v="5900"/>
    </bk>
    <bk>
      <rc t="2" v="5901"/>
    </bk>
    <bk>
      <rc t="2" v="5902"/>
    </bk>
    <bk>
      <rc t="2" v="5903"/>
    </bk>
    <bk>
      <rc t="2" v="5904"/>
    </bk>
    <bk>
      <rc t="2" v="5905"/>
    </bk>
    <bk>
      <rc t="2" v="5906"/>
    </bk>
    <bk>
      <rc t="2" v="5907"/>
    </bk>
    <bk>
      <rc t="2" v="5908"/>
    </bk>
    <bk>
      <rc t="2" v="5909"/>
    </bk>
    <bk>
      <rc t="2" v="5910"/>
    </bk>
    <bk>
      <rc t="2" v="5911"/>
    </bk>
    <bk>
      <rc t="2" v="5912"/>
    </bk>
    <bk>
      <rc t="2" v="5913"/>
    </bk>
    <bk>
      <rc t="2" v="5914"/>
    </bk>
    <bk>
      <rc t="2" v="5915"/>
    </bk>
    <bk>
      <rc t="2" v="5916"/>
    </bk>
    <bk>
      <rc t="2" v="5917"/>
    </bk>
    <bk>
      <rc t="2" v="5918"/>
    </bk>
    <bk>
      <rc t="2" v="5919"/>
    </bk>
    <bk>
      <rc t="2" v="5920"/>
    </bk>
    <bk>
      <rc t="2" v="5921"/>
    </bk>
    <bk>
      <rc t="2" v="5922"/>
    </bk>
    <bk>
      <rc t="2" v="5923"/>
    </bk>
    <bk>
      <rc t="2" v="5924"/>
    </bk>
    <bk>
      <rc t="2" v="5925"/>
    </bk>
    <bk>
      <rc t="2" v="5926"/>
    </bk>
    <bk>
      <rc t="2" v="5927"/>
    </bk>
    <bk>
      <rc t="2" v="5928"/>
    </bk>
    <bk>
      <rc t="2" v="5929"/>
    </bk>
    <bk>
      <rc t="2" v="5930"/>
    </bk>
    <bk>
      <rc t="2" v="5931"/>
    </bk>
    <bk>
      <rc t="2" v="5932"/>
    </bk>
    <bk>
      <rc t="2" v="5933"/>
    </bk>
    <bk>
      <rc t="2" v="5934"/>
    </bk>
    <bk>
      <rc t="2" v="5935"/>
    </bk>
    <bk>
      <rc t="2" v="5936"/>
    </bk>
    <bk>
      <rc t="2" v="5937"/>
    </bk>
    <bk>
      <rc t="2" v="5938"/>
    </bk>
    <bk>
      <rc t="2" v="5939"/>
    </bk>
    <bk>
      <rc t="2" v="5940"/>
    </bk>
    <bk>
      <rc t="2" v="5941"/>
    </bk>
    <bk>
      <rc t="2" v="5942"/>
    </bk>
    <bk>
      <rc t="2" v="5943"/>
    </bk>
    <bk>
      <rc t="2" v="5944"/>
    </bk>
    <bk>
      <rc t="2" v="5945"/>
    </bk>
    <bk>
      <rc t="2" v="5946"/>
    </bk>
    <bk>
      <rc t="2" v="5947"/>
    </bk>
    <bk>
      <rc t="2" v="5948"/>
    </bk>
    <bk>
      <rc t="2" v="5949"/>
    </bk>
    <bk>
      <rc t="2" v="5950"/>
    </bk>
    <bk>
      <rc t="2" v="5951"/>
    </bk>
    <bk>
      <rc t="2" v="5952"/>
    </bk>
    <bk>
      <rc t="2" v="5953"/>
    </bk>
    <bk>
      <rc t="2" v="5954"/>
    </bk>
    <bk>
      <rc t="2" v="5955"/>
    </bk>
    <bk>
      <rc t="2" v="5956"/>
    </bk>
    <bk>
      <rc t="2" v="5957"/>
    </bk>
    <bk>
      <rc t="2" v="5958"/>
    </bk>
    <bk>
      <rc t="2" v="5959"/>
    </bk>
    <bk>
      <rc t="2" v="5960"/>
    </bk>
    <bk>
      <rc t="2" v="5961"/>
    </bk>
    <bk>
      <rc t="2" v="5962"/>
    </bk>
    <bk>
      <rc t="2" v="5963"/>
    </bk>
    <bk>
      <rc t="2" v="5964"/>
    </bk>
    <bk>
      <rc t="2" v="5965"/>
    </bk>
    <bk>
      <rc t="2" v="5966"/>
    </bk>
    <bk>
      <rc t="2" v="5967"/>
    </bk>
    <bk>
      <rc t="2" v="5968"/>
    </bk>
    <bk>
      <rc t="2" v="5969"/>
    </bk>
    <bk>
      <rc t="2" v="5970"/>
    </bk>
    <bk>
      <rc t="2" v="5971"/>
    </bk>
    <bk>
      <rc t="2" v="5972"/>
    </bk>
    <bk>
      <rc t="2" v="5973"/>
    </bk>
    <bk>
      <rc t="2" v="5974"/>
    </bk>
    <bk>
      <rc t="2" v="5975"/>
    </bk>
    <bk>
      <rc t="2" v="5976"/>
    </bk>
    <bk>
      <rc t="2" v="5977"/>
    </bk>
    <bk>
      <rc t="2" v="5978"/>
    </bk>
    <bk>
      <rc t="2" v="5979"/>
    </bk>
    <bk>
      <rc t="2" v="5980"/>
    </bk>
    <bk>
      <rc t="2" v="5981"/>
    </bk>
    <bk>
      <rc t="2" v="5982"/>
    </bk>
    <bk>
      <rc t="2" v="5983"/>
    </bk>
    <bk>
      <rc t="2" v="5984"/>
    </bk>
    <bk>
      <rc t="2" v="5985"/>
    </bk>
    <bk>
      <rc t="2" v="5986"/>
    </bk>
    <bk>
      <rc t="2" v="5987"/>
    </bk>
    <bk>
      <rc t="2" v="5988"/>
    </bk>
    <bk>
      <rc t="2" v="5989"/>
    </bk>
    <bk>
      <rc t="2" v="5990"/>
    </bk>
    <bk>
      <rc t="2" v="5991"/>
    </bk>
    <bk>
      <rc t="2" v="5992"/>
    </bk>
    <bk>
      <rc t="2" v="5993"/>
    </bk>
    <bk>
      <rc t="2" v="5994"/>
    </bk>
    <bk>
      <rc t="2" v="5995"/>
    </bk>
    <bk>
      <rc t="2" v="5996"/>
    </bk>
    <bk>
      <rc t="2" v="5997"/>
    </bk>
    <bk>
      <rc t="2" v="5998"/>
    </bk>
    <bk>
      <rc t="2" v="5999"/>
    </bk>
    <bk>
      <rc t="2" v="6000"/>
    </bk>
    <bk>
      <rc t="2" v="6001"/>
    </bk>
    <bk>
      <rc t="2" v="6002"/>
    </bk>
    <bk>
      <rc t="2" v="6003"/>
    </bk>
    <bk>
      <rc t="2" v="6004"/>
    </bk>
    <bk>
      <rc t="2" v="6005"/>
    </bk>
    <bk>
      <rc t="2" v="6006"/>
    </bk>
    <bk>
      <rc t="2" v="6007"/>
    </bk>
    <bk>
      <rc t="2" v="6008"/>
    </bk>
    <bk>
      <rc t="2" v="6009"/>
    </bk>
    <bk>
      <rc t="2" v="6010"/>
    </bk>
    <bk>
      <rc t="2" v="6011"/>
    </bk>
    <bk>
      <rc t="2" v="6012"/>
    </bk>
    <bk>
      <rc t="2" v="6013"/>
    </bk>
    <bk>
      <rc t="2" v="6014"/>
    </bk>
    <bk>
      <rc t="2" v="6015"/>
    </bk>
    <bk>
      <rc t="2" v="6016"/>
    </bk>
    <bk>
      <rc t="2" v="6017"/>
    </bk>
    <bk>
      <rc t="2" v="6018"/>
    </bk>
    <bk>
      <rc t="2" v="6019"/>
    </bk>
    <bk>
      <rc t="2" v="6020"/>
    </bk>
    <bk>
      <rc t="2" v="6021"/>
    </bk>
    <bk>
      <rc t="2" v="6022"/>
    </bk>
    <bk>
      <rc t="2" v="6023"/>
    </bk>
    <bk>
      <rc t="2" v="6024"/>
    </bk>
    <bk>
      <rc t="2" v="6025"/>
    </bk>
    <bk>
      <rc t="2" v="6026"/>
    </bk>
    <bk>
      <rc t="2" v="6027"/>
    </bk>
    <bk>
      <rc t="2" v="6028"/>
    </bk>
    <bk>
      <rc t="2" v="6029"/>
    </bk>
    <bk>
      <rc t="2" v="6030"/>
    </bk>
    <bk>
      <rc t="2" v="6031"/>
    </bk>
    <bk>
      <rc t="2" v="6032"/>
    </bk>
    <bk>
      <rc t="2" v="6033"/>
    </bk>
    <bk>
      <rc t="2" v="6034"/>
    </bk>
    <bk>
      <rc t="2" v="6035"/>
    </bk>
    <bk>
      <rc t="2" v="6036"/>
    </bk>
    <bk>
      <rc t="2" v="6037"/>
    </bk>
    <bk>
      <rc t="2" v="6038"/>
    </bk>
    <bk>
      <rc t="2" v="6039"/>
    </bk>
    <bk>
      <rc t="2" v="6040"/>
    </bk>
    <bk>
      <rc t="2" v="6041"/>
    </bk>
    <bk>
      <rc t="2" v="6042"/>
    </bk>
    <bk>
      <rc t="2" v="6043"/>
    </bk>
    <bk>
      <rc t="2" v="6044"/>
    </bk>
    <bk>
      <rc t="2" v="6045"/>
    </bk>
    <bk>
      <rc t="2" v="6046"/>
    </bk>
    <bk>
      <rc t="2" v="6047"/>
    </bk>
    <bk>
      <rc t="2" v="6048"/>
    </bk>
    <bk>
      <rc t="2" v="6049"/>
    </bk>
    <bk>
      <rc t="2" v="6050"/>
    </bk>
    <bk>
      <rc t="2" v="6051"/>
    </bk>
    <bk>
      <rc t="2" v="6052"/>
    </bk>
    <bk>
      <rc t="2" v="6053"/>
    </bk>
    <bk>
      <rc t="2" v="6054"/>
    </bk>
    <bk>
      <rc t="2" v="6055"/>
    </bk>
    <bk>
      <rc t="2" v="6056"/>
    </bk>
    <bk>
      <rc t="2" v="6057"/>
    </bk>
    <bk>
      <rc t="2" v="6058"/>
    </bk>
    <bk>
      <rc t="2" v="6059"/>
    </bk>
    <bk>
      <rc t="2" v="6060"/>
    </bk>
    <bk>
      <rc t="2" v="6061"/>
    </bk>
    <bk>
      <rc t="2" v="6062"/>
    </bk>
    <bk>
      <rc t="2" v="6063"/>
    </bk>
    <bk>
      <rc t="2" v="6064"/>
    </bk>
    <bk>
      <rc t="2" v="6065"/>
    </bk>
    <bk>
      <rc t="2" v="6066"/>
    </bk>
    <bk>
      <rc t="2" v="6067"/>
    </bk>
    <bk>
      <rc t="2" v="6068"/>
    </bk>
    <bk>
      <rc t="2" v="6069"/>
    </bk>
    <bk>
      <rc t="2" v="6070"/>
    </bk>
    <bk>
      <rc t="2" v="6071"/>
    </bk>
    <bk>
      <rc t="2" v="6072"/>
    </bk>
    <bk>
      <rc t="2" v="6073"/>
    </bk>
    <bk>
      <rc t="2" v="6074"/>
    </bk>
    <bk>
      <rc t="2" v="6075"/>
    </bk>
    <bk>
      <rc t="2" v="6076"/>
    </bk>
    <bk>
      <rc t="2" v="6077"/>
    </bk>
    <bk>
      <rc t="2" v="6078"/>
    </bk>
    <bk>
      <rc t="2" v="6079"/>
    </bk>
    <bk>
      <rc t="2" v="6080"/>
    </bk>
    <bk>
      <rc t="2" v="6081"/>
    </bk>
    <bk>
      <rc t="2" v="6082"/>
    </bk>
    <bk>
      <rc t="2" v="6083"/>
    </bk>
    <bk>
      <rc t="2" v="6084"/>
    </bk>
    <bk>
      <rc t="2" v="6085"/>
    </bk>
    <bk>
      <rc t="2" v="6086"/>
    </bk>
    <bk>
      <rc t="2" v="6087"/>
    </bk>
    <bk>
      <rc t="2" v="6088"/>
    </bk>
    <bk>
      <rc t="2" v="6089"/>
    </bk>
    <bk>
      <rc t="2" v="6090"/>
    </bk>
    <bk>
      <rc t="2" v="6091"/>
    </bk>
    <bk>
      <rc t="2" v="6092"/>
    </bk>
    <bk>
      <rc t="2" v="6093"/>
    </bk>
    <bk>
      <rc t="2" v="6094"/>
    </bk>
    <bk>
      <rc t="2" v="6095"/>
    </bk>
    <bk>
      <rc t="2" v="6096"/>
    </bk>
    <bk>
      <rc t="2" v="6097"/>
    </bk>
    <bk>
      <rc t="2" v="6098"/>
    </bk>
    <bk>
      <rc t="2" v="6099"/>
    </bk>
    <bk>
      <rc t="2" v="6100"/>
    </bk>
    <bk>
      <rc t="2" v="6101"/>
    </bk>
    <bk>
      <rc t="2" v="6102"/>
    </bk>
    <bk>
      <rc t="2" v="6103"/>
    </bk>
    <bk>
      <rc t="2" v="6104"/>
    </bk>
    <bk>
      <rc t="2" v="6105"/>
    </bk>
    <bk>
      <rc t="2" v="6106"/>
    </bk>
    <bk>
      <rc t="2" v="6107"/>
    </bk>
    <bk>
      <rc t="2" v="6108"/>
    </bk>
    <bk>
      <rc t="2" v="6109"/>
    </bk>
    <bk>
      <rc t="2" v="6110"/>
    </bk>
    <bk>
      <rc t="2" v="6111"/>
    </bk>
    <bk>
      <rc t="2" v="6112"/>
    </bk>
    <bk>
      <rc t="2" v="6113"/>
    </bk>
    <bk>
      <rc t="2" v="6114"/>
    </bk>
    <bk>
      <rc t="2" v="6115"/>
    </bk>
    <bk>
      <rc t="2" v="6116"/>
    </bk>
    <bk>
      <rc t="2" v="6117"/>
    </bk>
    <bk>
      <rc t="2" v="6118"/>
    </bk>
    <bk>
      <rc t="2" v="6119"/>
    </bk>
    <bk>
      <rc t="2" v="6120"/>
    </bk>
    <bk>
      <rc t="2" v="6121"/>
    </bk>
    <bk>
      <rc t="2" v="6122"/>
    </bk>
    <bk>
      <rc t="2" v="6123"/>
    </bk>
    <bk>
      <rc t="2" v="6124"/>
    </bk>
    <bk>
      <rc t="2" v="6125"/>
    </bk>
    <bk>
      <rc t="2" v="6126"/>
    </bk>
    <bk>
      <rc t="2" v="6127"/>
    </bk>
    <bk>
      <rc t="2" v="6128"/>
    </bk>
    <bk>
      <rc t="2" v="6129"/>
    </bk>
    <bk>
      <rc t="2" v="6130"/>
    </bk>
    <bk>
      <rc t="2" v="6131"/>
    </bk>
    <bk>
      <rc t="2" v="6132"/>
    </bk>
    <bk>
      <rc t="2" v="6133"/>
    </bk>
    <bk>
      <rc t="2" v="6134"/>
    </bk>
    <bk>
      <rc t="2" v="6135"/>
    </bk>
    <bk>
      <rc t="2" v="6136"/>
    </bk>
    <bk>
      <rc t="2" v="6137"/>
    </bk>
    <bk>
      <rc t="2" v="6138"/>
    </bk>
    <bk>
      <rc t="2" v="6139"/>
    </bk>
    <bk>
      <rc t="2" v="6140"/>
    </bk>
    <bk>
      <rc t="2" v="6141"/>
    </bk>
    <bk>
      <rc t="2" v="6142"/>
    </bk>
    <bk>
      <rc t="2" v="6143"/>
    </bk>
    <bk>
      <rc t="2" v="6144"/>
    </bk>
    <bk>
      <rc t="2" v="6145"/>
    </bk>
    <bk>
      <rc t="2" v="6146"/>
    </bk>
    <bk>
      <rc t="2" v="6147"/>
    </bk>
    <bk>
      <rc t="2" v="6148"/>
    </bk>
    <bk>
      <rc t="2" v="6149"/>
    </bk>
    <bk>
      <rc t="2" v="6150"/>
    </bk>
    <bk>
      <rc t="2" v="6151"/>
    </bk>
    <bk>
      <rc t="2" v="6152"/>
    </bk>
    <bk>
      <rc t="2" v="6153"/>
    </bk>
    <bk>
      <rc t="2" v="6154"/>
    </bk>
    <bk>
      <rc t="2" v="6155"/>
    </bk>
    <bk>
      <rc t="2" v="6156"/>
    </bk>
    <bk>
      <rc t="2" v="6157"/>
    </bk>
    <bk>
      <rc t="2" v="6158"/>
    </bk>
    <bk>
      <rc t="2" v="6159"/>
    </bk>
    <bk>
      <rc t="2" v="6160"/>
    </bk>
    <bk>
      <rc t="2" v="6161"/>
    </bk>
    <bk>
      <rc t="2" v="6162"/>
    </bk>
    <bk>
      <rc t="2" v="6163"/>
    </bk>
    <bk>
      <rc t="2" v="6164"/>
    </bk>
    <bk>
      <rc t="2" v="6165"/>
    </bk>
    <bk>
      <rc t="2" v="6166"/>
    </bk>
    <bk>
      <rc t="2" v="6167"/>
    </bk>
    <bk>
      <rc t="2" v="6168"/>
    </bk>
    <bk>
      <rc t="2" v="6169"/>
    </bk>
    <bk>
      <rc t="2" v="6170"/>
    </bk>
    <bk>
      <rc t="2" v="6171"/>
    </bk>
    <bk>
      <rc t="2" v="6172"/>
    </bk>
    <bk>
      <rc t="2" v="6173"/>
    </bk>
    <bk>
      <rc t="2" v="6174"/>
    </bk>
    <bk>
      <rc t="2" v="6175"/>
    </bk>
    <bk>
      <rc t="2" v="6176"/>
    </bk>
    <bk>
      <rc t="2" v="6177"/>
    </bk>
    <bk>
      <rc t="2" v="6178"/>
    </bk>
    <bk>
      <rc t="2" v="6179"/>
    </bk>
    <bk>
      <rc t="2" v="6180"/>
    </bk>
    <bk>
      <rc t="2" v="6181"/>
    </bk>
    <bk>
      <rc t="2" v="6182"/>
    </bk>
    <bk>
      <rc t="2" v="6183"/>
    </bk>
    <bk>
      <rc t="2" v="6184"/>
    </bk>
    <bk>
      <rc t="2" v="6185"/>
    </bk>
    <bk>
      <rc t="2" v="6186"/>
    </bk>
    <bk>
      <rc t="2" v="6187"/>
    </bk>
    <bk>
      <rc t="2" v="6188"/>
    </bk>
    <bk>
      <rc t="2" v="6189"/>
    </bk>
    <bk>
      <rc t="2" v="6190"/>
    </bk>
    <bk>
      <rc t="2" v="6191"/>
    </bk>
    <bk>
      <rc t="2" v="6192"/>
    </bk>
    <bk>
      <rc t="2" v="6193"/>
    </bk>
    <bk>
      <rc t="2" v="6194"/>
    </bk>
    <bk>
      <rc t="2" v="6195"/>
    </bk>
    <bk>
      <rc t="2" v="6196"/>
    </bk>
    <bk>
      <rc t="2" v="6197"/>
    </bk>
    <bk>
      <rc t="2" v="6198"/>
    </bk>
    <bk>
      <rc t="2" v="6199"/>
    </bk>
    <bk>
      <rc t="2" v="6200"/>
    </bk>
    <bk>
      <rc t="2" v="6201"/>
    </bk>
    <bk>
      <rc t="2" v="6202"/>
    </bk>
    <bk>
      <rc t="2" v="6203"/>
    </bk>
    <bk>
      <rc t="2" v="6204"/>
    </bk>
    <bk>
      <rc t="2" v="6205"/>
    </bk>
    <bk>
      <rc t="2" v="6206"/>
    </bk>
    <bk>
      <rc t="2" v="6207"/>
    </bk>
    <bk>
      <rc t="2" v="6208"/>
    </bk>
    <bk>
      <rc t="2" v="6209"/>
    </bk>
    <bk>
      <rc t="2" v="6210"/>
    </bk>
    <bk>
      <rc t="2" v="6211"/>
    </bk>
    <bk>
      <rc t="2" v="6212"/>
    </bk>
    <bk>
      <rc t="2" v="6213"/>
    </bk>
    <bk>
      <rc t="2" v="6214"/>
    </bk>
    <bk>
      <rc t="2" v="6215"/>
    </bk>
    <bk>
      <rc t="2" v="6216"/>
    </bk>
    <bk>
      <rc t="2" v="6217"/>
    </bk>
    <bk>
      <rc t="2" v="6218"/>
    </bk>
    <bk>
      <rc t="2" v="6219"/>
    </bk>
    <bk>
      <rc t="2" v="6220"/>
    </bk>
    <bk>
      <rc t="2" v="6221"/>
    </bk>
    <bk>
      <rc t="2" v="6222"/>
    </bk>
    <bk>
      <rc t="2" v="6223"/>
    </bk>
    <bk>
      <rc t="2" v="6224"/>
    </bk>
    <bk>
      <rc t="2" v="6225"/>
    </bk>
    <bk>
      <rc t="2" v="6226"/>
    </bk>
    <bk>
      <rc t="2" v="6227"/>
    </bk>
    <bk>
      <rc t="2" v="6228"/>
    </bk>
    <bk>
      <rc t="2" v="6229"/>
    </bk>
    <bk>
      <rc t="2" v="6230"/>
    </bk>
    <bk>
      <rc t="2" v="6231"/>
    </bk>
    <bk>
      <rc t="2" v="6232"/>
    </bk>
    <bk>
      <rc t="2" v="6233"/>
    </bk>
    <bk>
      <rc t="2" v="6234"/>
    </bk>
    <bk>
      <rc t="2" v="6235"/>
    </bk>
    <bk>
      <rc t="2" v="6236"/>
    </bk>
    <bk>
      <rc t="2" v="6237"/>
    </bk>
    <bk>
      <rc t="2" v="6238"/>
    </bk>
    <bk>
      <rc t="2" v="6239"/>
    </bk>
    <bk>
      <rc t="2" v="6240"/>
    </bk>
    <bk>
      <rc t="2" v="6241"/>
    </bk>
    <bk>
      <rc t="2" v="6242"/>
    </bk>
    <bk>
      <rc t="2" v="6243"/>
    </bk>
    <bk>
      <rc t="2" v="6244"/>
    </bk>
    <bk>
      <rc t="2" v="6245"/>
    </bk>
    <bk>
      <rc t="2" v="6246"/>
    </bk>
    <bk>
      <rc t="2" v="6247"/>
    </bk>
    <bk>
      <rc t="2" v="6248"/>
    </bk>
    <bk>
      <rc t="2" v="6249"/>
    </bk>
    <bk>
      <rc t="2" v="6250"/>
    </bk>
    <bk>
      <rc t="2" v="6251"/>
    </bk>
    <bk>
      <rc t="2" v="6252"/>
    </bk>
    <bk>
      <rc t="2" v="6253"/>
    </bk>
    <bk>
      <rc t="2" v="6254"/>
    </bk>
    <bk>
      <rc t="2" v="6255"/>
    </bk>
    <bk>
      <rc t="2" v="6256"/>
    </bk>
    <bk>
      <rc t="2" v="6257"/>
    </bk>
    <bk>
      <rc t="2" v="6258"/>
    </bk>
    <bk>
      <rc t="2" v="6259"/>
    </bk>
    <bk>
      <rc t="2" v="6260"/>
    </bk>
    <bk>
      <rc t="2" v="6261"/>
    </bk>
    <bk>
      <rc t="2" v="6262"/>
    </bk>
    <bk>
      <rc t="2" v="6263"/>
    </bk>
    <bk>
      <rc t="2" v="6264"/>
    </bk>
    <bk>
      <rc t="2" v="6265"/>
    </bk>
    <bk>
      <rc t="2" v="6266"/>
    </bk>
    <bk>
      <rc t="2" v="6267"/>
    </bk>
    <bk>
      <rc t="2" v="6268"/>
    </bk>
    <bk>
      <rc t="2" v="6269"/>
    </bk>
    <bk>
      <rc t="2" v="6270"/>
    </bk>
    <bk>
      <rc t="2" v="6271"/>
    </bk>
    <bk>
      <rc t="2" v="6272"/>
    </bk>
    <bk>
      <rc t="2" v="6273"/>
    </bk>
    <bk>
      <rc t="2" v="6274"/>
    </bk>
    <bk>
      <rc t="2" v="6275"/>
    </bk>
    <bk>
      <rc t="2" v="6276"/>
    </bk>
    <bk>
      <rc t="2" v="6277"/>
    </bk>
    <bk>
      <rc t="2" v="6278"/>
    </bk>
    <bk>
      <rc t="2" v="6279"/>
    </bk>
    <bk>
      <rc t="2" v="6280"/>
    </bk>
    <bk>
      <rc t="2" v="6281"/>
    </bk>
    <bk>
      <rc t="2" v="6282"/>
    </bk>
    <bk>
      <rc t="2" v="6283"/>
    </bk>
    <bk>
      <rc t="2" v="6284"/>
    </bk>
    <bk>
      <rc t="2" v="6285"/>
    </bk>
    <bk>
      <rc t="2" v="6286"/>
    </bk>
    <bk>
      <rc t="2" v="6287"/>
    </bk>
    <bk>
      <rc t="2" v="6288"/>
    </bk>
    <bk>
      <rc t="2" v="6289"/>
    </bk>
    <bk>
      <rc t="2" v="6290"/>
    </bk>
    <bk>
      <rc t="2" v="6291"/>
    </bk>
    <bk>
      <rc t="2" v="6292"/>
    </bk>
    <bk>
      <rc t="2" v="6293"/>
    </bk>
    <bk>
      <rc t="2" v="6294"/>
    </bk>
    <bk>
      <rc t="2" v="6295"/>
    </bk>
    <bk>
      <rc t="2" v="6296"/>
    </bk>
    <bk>
      <rc t="2" v="6297"/>
    </bk>
    <bk>
      <rc t="2" v="6298"/>
    </bk>
    <bk>
      <rc t="2" v="6299"/>
    </bk>
    <bk>
      <rc t="2" v="6300"/>
    </bk>
    <bk>
      <rc t="2" v="6301"/>
    </bk>
    <bk>
      <rc t="2" v="6302"/>
    </bk>
    <bk>
      <rc t="2" v="6303"/>
    </bk>
    <bk>
      <rc t="2" v="6304"/>
    </bk>
    <bk>
      <rc t="2" v="6305"/>
    </bk>
    <bk>
      <rc t="2" v="6306"/>
    </bk>
    <bk>
      <rc t="2" v="6307"/>
    </bk>
    <bk>
      <rc t="2" v="6308"/>
    </bk>
    <bk>
      <rc t="2" v="6309"/>
    </bk>
    <bk>
      <rc t="2" v="6310"/>
    </bk>
    <bk>
      <rc t="2" v="6311"/>
    </bk>
    <bk>
      <rc t="2" v="6312"/>
    </bk>
    <bk>
      <rc t="2" v="6313"/>
    </bk>
    <bk>
      <rc t="2" v="6314"/>
    </bk>
    <bk>
      <rc t="2" v="6315"/>
    </bk>
    <bk>
      <rc t="2" v="6316"/>
    </bk>
    <bk>
      <rc t="2" v="6317"/>
    </bk>
    <bk>
      <rc t="2" v="6318"/>
    </bk>
    <bk>
      <rc t="2" v="6319"/>
    </bk>
    <bk>
      <rc t="2" v="6320"/>
    </bk>
    <bk>
      <rc t="2" v="6321"/>
    </bk>
    <bk>
      <rc t="2" v="6322"/>
    </bk>
    <bk>
      <rc t="2" v="6323"/>
    </bk>
    <bk>
      <rc t="2" v="6324"/>
    </bk>
    <bk>
      <rc t="2" v="6325"/>
    </bk>
    <bk>
      <rc t="2" v="6326"/>
    </bk>
    <bk>
      <rc t="2" v="6327"/>
    </bk>
    <bk>
      <rc t="2" v="6328"/>
    </bk>
    <bk>
      <rc t="2" v="6329"/>
    </bk>
    <bk>
      <rc t="2" v="6330"/>
    </bk>
    <bk>
      <rc t="2" v="6331"/>
    </bk>
    <bk>
      <rc t="2" v="6332"/>
    </bk>
    <bk>
      <rc t="2" v="6333"/>
    </bk>
    <bk>
      <rc t="2" v="6334"/>
    </bk>
    <bk>
      <rc t="2" v="6335"/>
    </bk>
    <bk>
      <rc t="2" v="6336"/>
    </bk>
    <bk>
      <rc t="2" v="6337"/>
    </bk>
    <bk>
      <rc t="2" v="6338"/>
    </bk>
    <bk>
      <rc t="2" v="6339"/>
    </bk>
    <bk>
      <rc t="2" v="6340"/>
    </bk>
    <bk>
      <rc t="2" v="6341"/>
    </bk>
    <bk>
      <rc t="2" v="6342"/>
    </bk>
    <bk>
      <rc t="2" v="6343"/>
    </bk>
    <bk>
      <rc t="2" v="6344"/>
    </bk>
    <bk>
      <rc t="2" v="6345"/>
    </bk>
    <bk>
      <rc t="2" v="6346"/>
    </bk>
    <bk>
      <rc t="2" v="6347"/>
    </bk>
    <bk>
      <rc t="2" v="6348"/>
    </bk>
    <bk>
      <rc t="2" v="6349"/>
    </bk>
    <bk>
      <rc t="2" v="6350"/>
    </bk>
    <bk>
      <rc t="2" v="6351"/>
    </bk>
    <bk>
      <rc t="2" v="6352"/>
    </bk>
    <bk>
      <rc t="2" v="6353"/>
    </bk>
    <bk>
      <rc t="2" v="6354"/>
    </bk>
    <bk>
      <rc t="2" v="6355"/>
    </bk>
    <bk>
      <rc t="2" v="6356"/>
    </bk>
    <bk>
      <rc t="2" v="6357"/>
    </bk>
    <bk>
      <rc t="2" v="6358"/>
    </bk>
    <bk>
      <rc t="2" v="6359"/>
    </bk>
    <bk>
      <rc t="2" v="6360"/>
    </bk>
    <bk>
      <rc t="2" v="6361"/>
    </bk>
    <bk>
      <rc t="2" v="6362"/>
    </bk>
    <bk>
      <rc t="2" v="6363"/>
    </bk>
    <bk>
      <rc t="2" v="6364"/>
    </bk>
    <bk>
      <rc t="2" v="6365"/>
    </bk>
    <bk>
      <rc t="2" v="6366"/>
    </bk>
    <bk>
      <rc t="2" v="6367"/>
    </bk>
    <bk>
      <rc t="2" v="6368"/>
    </bk>
    <bk>
      <rc t="2" v="6369"/>
    </bk>
    <bk>
      <rc t="2" v="6370"/>
    </bk>
    <bk>
      <rc t="2" v="6371"/>
    </bk>
    <bk>
      <rc t="2" v="6372"/>
    </bk>
    <bk>
      <rc t="2" v="6373"/>
    </bk>
    <bk>
      <rc t="2" v="6374"/>
    </bk>
    <bk>
      <rc t="2" v="6375"/>
    </bk>
    <bk>
      <rc t="2" v="6376"/>
    </bk>
    <bk>
      <rc t="2" v="6377"/>
    </bk>
    <bk>
      <rc t="2" v="6378"/>
    </bk>
    <bk>
      <rc t="2" v="6379"/>
    </bk>
    <bk>
      <rc t="2" v="6380"/>
    </bk>
    <bk>
      <rc t="2" v="6381"/>
    </bk>
    <bk>
      <rc t="2" v="6382"/>
    </bk>
    <bk>
      <rc t="2" v="6383"/>
    </bk>
    <bk>
      <rc t="2" v="6384"/>
    </bk>
    <bk>
      <rc t="2" v="6385"/>
    </bk>
    <bk>
      <rc t="2" v="6386"/>
    </bk>
    <bk>
      <rc t="2" v="6387"/>
    </bk>
    <bk>
      <rc t="2" v="6388"/>
    </bk>
    <bk>
      <rc t="2" v="6389"/>
    </bk>
    <bk>
      <rc t="2" v="6390"/>
    </bk>
    <bk>
      <rc t="2" v="6391"/>
    </bk>
    <bk>
      <rc t="2" v="6392"/>
    </bk>
    <bk>
      <rc t="2" v="6393"/>
    </bk>
    <bk>
      <rc t="2" v="6394"/>
    </bk>
    <bk>
      <rc t="2" v="6395"/>
    </bk>
    <bk>
      <rc t="2" v="6396"/>
    </bk>
    <bk>
      <rc t="2" v="6397"/>
    </bk>
    <bk>
      <rc t="2" v="6398"/>
    </bk>
    <bk>
      <rc t="2" v="6399"/>
    </bk>
    <bk>
      <rc t="2" v="6400"/>
    </bk>
    <bk>
      <rc t="2" v="6401"/>
    </bk>
    <bk>
      <rc t="2" v="6402"/>
    </bk>
    <bk>
      <rc t="2" v="6403"/>
    </bk>
    <bk>
      <rc t="2" v="6404"/>
    </bk>
    <bk>
      <rc t="2" v="6405"/>
    </bk>
    <bk>
      <rc t="2" v="6406"/>
    </bk>
    <bk>
      <rc t="2" v="6407"/>
    </bk>
    <bk>
      <rc t="2" v="6408"/>
    </bk>
    <bk>
      <rc t="2" v="6409"/>
    </bk>
    <bk>
      <rc t="2" v="6410"/>
    </bk>
    <bk>
      <rc t="2" v="6411"/>
    </bk>
    <bk>
      <rc t="2" v="6412"/>
    </bk>
    <bk>
      <rc t="2" v="6413"/>
    </bk>
    <bk>
      <rc t="2" v="6414"/>
    </bk>
    <bk>
      <rc t="2" v="6415"/>
    </bk>
    <bk>
      <rc t="2" v="6416"/>
    </bk>
    <bk>
      <rc t="2" v="6417"/>
    </bk>
    <bk>
      <rc t="2" v="6418"/>
    </bk>
    <bk>
      <rc t="2" v="6419"/>
    </bk>
    <bk>
      <rc t="2" v="6420"/>
    </bk>
    <bk>
      <rc t="2" v="6421"/>
    </bk>
    <bk>
      <rc t="2" v="6422"/>
    </bk>
    <bk>
      <rc t="2" v="6423"/>
    </bk>
    <bk>
      <rc t="2" v="6424"/>
    </bk>
    <bk>
      <rc t="2" v="6425"/>
    </bk>
    <bk>
      <rc t="2" v="6426"/>
    </bk>
    <bk>
      <rc t="2" v="6427"/>
    </bk>
    <bk>
      <rc t="2" v="6428"/>
    </bk>
    <bk>
      <rc t="2" v="6429"/>
    </bk>
    <bk>
      <rc t="2" v="6430"/>
    </bk>
    <bk>
      <rc t="2" v="6431"/>
    </bk>
    <bk>
      <rc t="2" v="6432"/>
    </bk>
    <bk>
      <rc t="2" v="6433"/>
    </bk>
    <bk>
      <rc t="2" v="6434"/>
    </bk>
    <bk>
      <rc t="2" v="6435"/>
    </bk>
    <bk>
      <rc t="2" v="6436"/>
    </bk>
    <bk>
      <rc t="2" v="6437"/>
    </bk>
    <bk>
      <rc t="2" v="6438"/>
    </bk>
    <bk>
      <rc t="2" v="6439"/>
    </bk>
    <bk>
      <rc t="2" v="6440"/>
    </bk>
    <bk>
      <rc t="2" v="6441"/>
    </bk>
    <bk>
      <rc t="2" v="6442"/>
    </bk>
    <bk>
      <rc t="2" v="6443"/>
    </bk>
    <bk>
      <rc t="2" v="6444"/>
    </bk>
    <bk>
      <rc t="2" v="6445"/>
    </bk>
    <bk>
      <rc t="2" v="6446"/>
    </bk>
    <bk>
      <rc t="2" v="6447"/>
    </bk>
    <bk>
      <rc t="2" v="6448"/>
    </bk>
    <bk>
      <rc t="2" v="6449"/>
    </bk>
    <bk>
      <rc t="2" v="6450"/>
    </bk>
    <bk>
      <rc t="2" v="6451"/>
    </bk>
    <bk>
      <rc t="2" v="6452"/>
    </bk>
    <bk>
      <rc t="2" v="6453"/>
    </bk>
    <bk>
      <rc t="2" v="6454"/>
    </bk>
    <bk>
      <rc t="2" v="6455"/>
    </bk>
    <bk>
      <rc t="2" v="6456"/>
    </bk>
    <bk>
      <rc t="2" v="6457"/>
    </bk>
    <bk>
      <rc t="2" v="6458"/>
    </bk>
    <bk>
      <rc t="2" v="6459"/>
    </bk>
    <bk>
      <rc t="2" v="6460"/>
    </bk>
    <bk>
      <rc t="2" v="6461"/>
    </bk>
    <bk>
      <rc t="2" v="6462"/>
    </bk>
    <bk>
      <rc t="2" v="6463"/>
    </bk>
    <bk>
      <rc t="2" v="6464"/>
    </bk>
    <bk>
      <rc t="2" v="6465"/>
    </bk>
    <bk>
      <rc t="2" v="6466"/>
    </bk>
    <bk>
      <rc t="2" v="6467"/>
    </bk>
    <bk>
      <rc t="2" v="6468"/>
    </bk>
    <bk>
      <rc t="2" v="6469"/>
    </bk>
    <bk>
      <rc t="2" v="6470"/>
    </bk>
    <bk>
      <rc t="2" v="6471"/>
    </bk>
    <bk>
      <rc t="2" v="6472"/>
    </bk>
    <bk>
      <rc t="2" v="6473"/>
    </bk>
    <bk>
      <rc t="2" v="6474"/>
    </bk>
    <bk>
      <rc t="2" v="6475"/>
    </bk>
    <bk>
      <rc t="2" v="6476"/>
    </bk>
    <bk>
      <rc t="2" v="6477"/>
    </bk>
    <bk>
      <rc t="2" v="6478"/>
    </bk>
    <bk>
      <rc t="2" v="6479"/>
    </bk>
    <bk>
      <rc t="2" v="6480"/>
    </bk>
    <bk>
      <rc t="2" v="6481"/>
    </bk>
    <bk>
      <rc t="2" v="6482"/>
    </bk>
    <bk>
      <rc t="2" v="6483"/>
    </bk>
    <bk>
      <rc t="2" v="6484"/>
    </bk>
    <bk>
      <rc t="2" v="6485"/>
    </bk>
    <bk>
      <rc t="2" v="6486"/>
    </bk>
    <bk>
      <rc t="2" v="6487"/>
    </bk>
    <bk>
      <rc t="2" v="6488"/>
    </bk>
    <bk>
      <rc t="2" v="6489"/>
    </bk>
    <bk>
      <rc t="2" v="6490"/>
    </bk>
    <bk>
      <rc t="2" v="6491"/>
    </bk>
    <bk>
      <rc t="2" v="6492"/>
    </bk>
    <bk>
      <rc t="2" v="6493"/>
    </bk>
    <bk>
      <rc t="2" v="6494"/>
    </bk>
    <bk>
      <rc t="2" v="6495"/>
    </bk>
    <bk>
      <rc t="2" v="6496"/>
    </bk>
    <bk>
      <rc t="2" v="6497"/>
    </bk>
    <bk>
      <rc t="2" v="6498"/>
    </bk>
    <bk>
      <rc t="2" v="6499"/>
    </bk>
    <bk>
      <rc t="2" v="6500"/>
    </bk>
    <bk>
      <rc t="2" v="6501"/>
    </bk>
    <bk>
      <rc t="2" v="6502"/>
    </bk>
    <bk>
      <rc t="2" v="6503"/>
    </bk>
    <bk>
      <rc t="2" v="6504"/>
    </bk>
    <bk>
      <rc t="2" v="6505"/>
    </bk>
    <bk>
      <rc t="2" v="6506"/>
    </bk>
    <bk>
      <rc t="2" v="6507"/>
    </bk>
    <bk>
      <rc t="2" v="6508"/>
    </bk>
    <bk>
      <rc t="2" v="6509"/>
    </bk>
    <bk>
      <rc t="2" v="6510"/>
    </bk>
    <bk>
      <rc t="2" v="6511"/>
    </bk>
    <bk>
      <rc t="2" v="6512"/>
    </bk>
    <bk>
      <rc t="2" v="6513"/>
    </bk>
    <bk>
      <rc t="2" v="6514"/>
    </bk>
    <bk>
      <rc t="2" v="6515"/>
    </bk>
    <bk>
      <rc t="2" v="6516"/>
    </bk>
    <bk>
      <rc t="2" v="6517"/>
    </bk>
    <bk>
      <rc t="2" v="6518"/>
    </bk>
    <bk>
      <rc t="2" v="6519"/>
    </bk>
    <bk>
      <rc t="2" v="6520"/>
    </bk>
    <bk>
      <rc t="2" v="6521"/>
    </bk>
    <bk>
      <rc t="2" v="6522"/>
    </bk>
    <bk>
      <rc t="2" v="6523"/>
    </bk>
    <bk>
      <rc t="2" v="6524"/>
    </bk>
    <bk>
      <rc t="2" v="6525"/>
    </bk>
    <bk>
      <rc t="2" v="6526"/>
    </bk>
    <bk>
      <rc t="2" v="6527"/>
    </bk>
    <bk>
      <rc t="2" v="6528"/>
    </bk>
    <bk>
      <rc t="2" v="6529"/>
    </bk>
    <bk>
      <rc t="2" v="6530"/>
    </bk>
    <bk>
      <rc t="2" v="6531"/>
    </bk>
    <bk>
      <rc t="2" v="6532"/>
    </bk>
    <bk>
      <rc t="2" v="6533"/>
    </bk>
    <bk>
      <rc t="2" v="6534"/>
    </bk>
    <bk>
      <rc t="2" v="6535"/>
    </bk>
    <bk>
      <rc t="2" v="6536"/>
    </bk>
    <bk>
      <rc t="2" v="6537"/>
    </bk>
    <bk>
      <rc t="2" v="6538"/>
    </bk>
    <bk>
      <rc t="2" v="6539"/>
    </bk>
    <bk>
      <rc t="2" v="6540"/>
    </bk>
    <bk>
      <rc t="2" v="6541"/>
    </bk>
    <bk>
      <rc t="2" v="6542"/>
    </bk>
    <bk>
      <rc t="2" v="6543"/>
    </bk>
    <bk>
      <rc t="2" v="6544"/>
    </bk>
    <bk>
      <rc t="2" v="6545"/>
    </bk>
    <bk>
      <rc t="2" v="6546"/>
    </bk>
    <bk>
      <rc t="2" v="6547"/>
    </bk>
    <bk>
      <rc t="2" v="6548"/>
    </bk>
    <bk>
      <rc t="2" v="6549"/>
    </bk>
    <bk>
      <rc t="2" v="6550"/>
    </bk>
    <bk>
      <rc t="2" v="6551"/>
    </bk>
    <bk>
      <rc t="2" v="6552"/>
    </bk>
    <bk>
      <rc t="2" v="6553"/>
    </bk>
    <bk>
      <rc t="2" v="6554"/>
    </bk>
    <bk>
      <rc t="2" v="6555"/>
    </bk>
    <bk>
      <rc t="2" v="6556"/>
    </bk>
    <bk>
      <rc t="2" v="6557"/>
    </bk>
    <bk>
      <rc t="2" v="6558"/>
    </bk>
    <bk>
      <rc t="2" v="6559"/>
    </bk>
    <bk>
      <rc t="2" v="6560"/>
    </bk>
    <bk>
      <rc t="2" v="6561"/>
    </bk>
    <bk>
      <rc t="2" v="6562"/>
    </bk>
    <bk>
      <rc t="2" v="6563"/>
    </bk>
    <bk>
      <rc t="2" v="6564"/>
    </bk>
    <bk>
      <rc t="2" v="6565"/>
    </bk>
    <bk>
      <rc t="2" v="6566"/>
    </bk>
    <bk>
      <rc t="2" v="6567"/>
    </bk>
    <bk>
      <rc t="2" v="6568"/>
    </bk>
    <bk>
      <rc t="2" v="6569"/>
    </bk>
    <bk>
      <rc t="2" v="6570"/>
    </bk>
    <bk>
      <rc t="2" v="6571"/>
    </bk>
    <bk>
      <rc t="2" v="6572"/>
    </bk>
    <bk>
      <rc t="2" v="6573"/>
    </bk>
    <bk>
      <rc t="2" v="6574"/>
    </bk>
    <bk>
      <rc t="2" v="6575"/>
    </bk>
    <bk>
      <rc t="2" v="6576"/>
    </bk>
    <bk>
      <rc t="2" v="6577"/>
    </bk>
    <bk>
      <rc t="2" v="6578"/>
    </bk>
    <bk>
      <rc t="2" v="6579"/>
    </bk>
    <bk>
      <rc t="2" v="6580"/>
    </bk>
    <bk>
      <rc t="2" v="6581"/>
    </bk>
    <bk>
      <rc t="2" v="6582"/>
    </bk>
    <bk>
      <rc t="2" v="6583"/>
    </bk>
    <bk>
      <rc t="2" v="6584"/>
    </bk>
    <bk>
      <rc t="2" v="6585"/>
    </bk>
    <bk>
      <rc t="2" v="6586"/>
    </bk>
    <bk>
      <rc t="2" v="6587"/>
    </bk>
    <bk>
      <rc t="2" v="6588"/>
    </bk>
    <bk>
      <rc t="2" v="6589"/>
    </bk>
    <bk>
      <rc t="2" v="6590"/>
    </bk>
    <bk>
      <rc t="2" v="6591"/>
    </bk>
    <bk>
      <rc t="2" v="6592"/>
    </bk>
    <bk>
      <rc t="2" v="6593"/>
    </bk>
    <bk>
      <rc t="2" v="6594"/>
    </bk>
    <bk>
      <rc t="2" v="6595"/>
    </bk>
    <bk>
      <rc t="2" v="6596"/>
    </bk>
    <bk>
      <rc t="2" v="6597"/>
    </bk>
    <bk>
      <rc t="2" v="6598"/>
    </bk>
    <bk>
      <rc t="2" v="6599"/>
    </bk>
    <bk>
      <rc t="2" v="6600"/>
    </bk>
    <bk>
      <rc t="2" v="6601"/>
    </bk>
    <bk>
      <rc t="2" v="6602"/>
    </bk>
    <bk>
      <rc t="2" v="6603"/>
    </bk>
    <bk>
      <rc t="2" v="6604"/>
    </bk>
    <bk>
      <rc t="2" v="6605"/>
    </bk>
    <bk>
      <rc t="2" v="6606"/>
    </bk>
    <bk>
      <rc t="2" v="6607"/>
    </bk>
    <bk>
      <rc t="2" v="6608"/>
    </bk>
    <bk>
      <rc t="2" v="6609"/>
    </bk>
    <bk>
      <rc t="2" v="6610"/>
    </bk>
    <bk>
      <rc t="2" v="6611"/>
    </bk>
    <bk>
      <rc t="2" v="6612"/>
    </bk>
    <bk>
      <rc t="2" v="6613"/>
    </bk>
    <bk>
      <rc t="2" v="6614"/>
    </bk>
    <bk>
      <rc t="2" v="6615"/>
    </bk>
    <bk>
      <rc t="2" v="6616"/>
    </bk>
    <bk>
      <rc t="2" v="6617"/>
    </bk>
    <bk>
      <rc t="2" v="6618"/>
    </bk>
    <bk>
      <rc t="2" v="6619"/>
    </bk>
    <bk>
      <rc t="2" v="6620"/>
    </bk>
    <bk>
      <rc t="2" v="6621"/>
    </bk>
    <bk>
      <rc t="2" v="6622"/>
    </bk>
    <bk>
      <rc t="2" v="6623"/>
    </bk>
    <bk>
      <rc t="2" v="6624"/>
    </bk>
    <bk>
      <rc t="2" v="6625"/>
    </bk>
    <bk>
      <rc t="2" v="6626"/>
    </bk>
    <bk>
      <rc t="2" v="6627"/>
    </bk>
    <bk>
      <rc t="2" v="6628"/>
    </bk>
    <bk>
      <rc t="2" v="6629"/>
    </bk>
    <bk>
      <rc t="2" v="6630"/>
    </bk>
    <bk>
      <rc t="2" v="6631"/>
    </bk>
    <bk>
      <rc t="2" v="6632"/>
    </bk>
    <bk>
      <rc t="2" v="6633"/>
    </bk>
    <bk>
      <rc t="2" v="6634"/>
    </bk>
    <bk>
      <rc t="2" v="6635"/>
    </bk>
    <bk>
      <rc t="2" v="6636"/>
    </bk>
    <bk>
      <rc t="2" v="6637"/>
    </bk>
    <bk>
      <rc t="2" v="6638"/>
    </bk>
    <bk>
      <rc t="2" v="6639"/>
    </bk>
    <bk>
      <rc t="2" v="6640"/>
    </bk>
    <bk>
      <rc t="2" v="6641"/>
    </bk>
    <bk>
      <rc t="2" v="6642"/>
    </bk>
    <bk>
      <rc t="2" v="6643"/>
    </bk>
    <bk>
      <rc t="2" v="6644"/>
    </bk>
    <bk>
      <rc t="2" v="6645"/>
    </bk>
    <bk>
      <rc t="2" v="6646"/>
    </bk>
    <bk>
      <rc t="2" v="6647"/>
    </bk>
    <bk>
      <rc t="2" v="6648"/>
    </bk>
    <bk>
      <rc t="2" v="6649"/>
    </bk>
    <bk>
      <rc t="2" v="6650"/>
    </bk>
    <bk>
      <rc t="2" v="6651"/>
    </bk>
    <bk>
      <rc t="2" v="6652"/>
    </bk>
    <bk>
      <rc t="2" v="6653"/>
    </bk>
    <bk>
      <rc t="2" v="6654"/>
    </bk>
    <bk>
      <rc t="2" v="6655"/>
    </bk>
    <bk>
      <rc t="2" v="6656"/>
    </bk>
    <bk>
      <rc t="2" v="6657"/>
    </bk>
    <bk>
      <rc t="2" v="6658"/>
    </bk>
    <bk>
      <rc t="2" v="6659"/>
    </bk>
    <bk>
      <rc t="2" v="6660"/>
    </bk>
    <bk>
      <rc t="2" v="6661"/>
    </bk>
    <bk>
      <rc t="2" v="6662"/>
    </bk>
    <bk>
      <rc t="2" v="6663"/>
    </bk>
    <bk>
      <rc t="2" v="6664"/>
    </bk>
    <bk>
      <rc t="2" v="6665"/>
    </bk>
    <bk>
      <rc t="2" v="6666"/>
    </bk>
    <bk>
      <rc t="2" v="6667"/>
    </bk>
    <bk>
      <rc t="2" v="6668"/>
    </bk>
    <bk>
      <rc t="2" v="6669"/>
    </bk>
    <bk>
      <rc t="2" v="6670"/>
    </bk>
    <bk>
      <rc t="2" v="6671"/>
    </bk>
    <bk>
      <rc t="2" v="6672"/>
    </bk>
    <bk>
      <rc t="2" v="6673"/>
    </bk>
    <bk>
      <rc t="2" v="6674"/>
    </bk>
    <bk>
      <rc t="2" v="6675"/>
    </bk>
    <bk>
      <rc t="2" v="6676"/>
    </bk>
    <bk>
      <rc t="2" v="6677"/>
    </bk>
    <bk>
      <rc t="2" v="6678"/>
    </bk>
    <bk>
      <rc t="2" v="6679"/>
    </bk>
    <bk>
      <rc t="2" v="6680"/>
    </bk>
    <bk>
      <rc t="2" v="6681"/>
    </bk>
    <bk>
      <rc t="2" v="6682"/>
    </bk>
    <bk>
      <rc t="2" v="6683"/>
    </bk>
    <bk>
      <rc t="2" v="6684"/>
    </bk>
    <bk>
      <rc t="2" v="6685"/>
    </bk>
    <bk>
      <rc t="2" v="6686"/>
    </bk>
    <bk>
      <rc t="2" v="6687"/>
    </bk>
    <bk>
      <rc t="2" v="6688"/>
    </bk>
    <bk>
      <rc t="2" v="6689"/>
    </bk>
    <bk>
      <rc t="2" v="6690"/>
    </bk>
    <bk>
      <rc t="2" v="6691"/>
    </bk>
    <bk>
      <rc t="2" v="6692"/>
    </bk>
    <bk>
      <rc t="2" v="6693"/>
    </bk>
    <bk>
      <rc t="2" v="6694"/>
    </bk>
    <bk>
      <rc t="2" v="6695"/>
    </bk>
    <bk>
      <rc t="2" v="6696"/>
    </bk>
    <bk>
      <rc t="2" v="6697"/>
    </bk>
    <bk>
      <rc t="2" v="6698"/>
    </bk>
    <bk>
      <rc t="2" v="6699"/>
    </bk>
    <bk>
      <rc t="2" v="6700"/>
    </bk>
    <bk>
      <rc t="2" v="6701"/>
    </bk>
    <bk>
      <rc t="2" v="6702"/>
    </bk>
    <bk>
      <rc t="2" v="6703"/>
    </bk>
    <bk>
      <rc t="2" v="6704"/>
    </bk>
    <bk>
      <rc t="2" v="6705"/>
    </bk>
    <bk>
      <rc t="2" v="6706"/>
    </bk>
    <bk>
      <rc t="2" v="6707"/>
    </bk>
    <bk>
      <rc t="2" v="6708"/>
    </bk>
    <bk>
      <rc t="2" v="6709"/>
    </bk>
    <bk>
      <rc t="2" v="6710"/>
    </bk>
    <bk>
      <rc t="2" v="6711"/>
    </bk>
    <bk>
      <rc t="2" v="6712"/>
    </bk>
    <bk>
      <rc t="2" v="6713"/>
    </bk>
    <bk>
      <rc t="2" v="6714"/>
    </bk>
    <bk>
      <rc t="2" v="6715"/>
    </bk>
    <bk>
      <rc t="2" v="6716"/>
    </bk>
    <bk>
      <rc t="2" v="6717"/>
    </bk>
    <bk>
      <rc t="2" v="6718"/>
    </bk>
    <bk>
      <rc t="2" v="6719"/>
    </bk>
    <bk>
      <rc t="2" v="6720"/>
    </bk>
    <bk>
      <rc t="2" v="6721"/>
    </bk>
    <bk>
      <rc t="2" v="6722"/>
    </bk>
    <bk>
      <rc t="2" v="6723"/>
    </bk>
    <bk>
      <rc t="2" v="6724"/>
    </bk>
    <bk>
      <rc t="2" v="6725"/>
    </bk>
    <bk>
      <rc t="2" v="6726"/>
    </bk>
    <bk>
      <rc t="2" v="6727"/>
    </bk>
    <bk>
      <rc t="2" v="6728"/>
    </bk>
    <bk>
      <rc t="2" v="6729"/>
    </bk>
    <bk>
      <rc t="2" v="6730"/>
    </bk>
    <bk>
      <rc t="2" v="6731"/>
    </bk>
    <bk>
      <rc t="2" v="6732"/>
    </bk>
    <bk>
      <rc t="2" v="6733"/>
    </bk>
    <bk>
      <rc t="2" v="6734"/>
    </bk>
    <bk>
      <rc t="2" v="6735"/>
    </bk>
    <bk>
      <rc t="2" v="6736"/>
    </bk>
    <bk>
      <rc t="2" v="6737"/>
    </bk>
    <bk>
      <rc t="2" v="6738"/>
    </bk>
    <bk>
      <rc t="2" v="6739"/>
    </bk>
    <bk>
      <rc t="2" v="6740"/>
    </bk>
    <bk>
      <rc t="2" v="6741"/>
    </bk>
    <bk>
      <rc t="2" v="6742"/>
    </bk>
    <bk>
      <rc t="2" v="6743"/>
    </bk>
    <bk>
      <rc t="2" v="6744"/>
    </bk>
    <bk>
      <rc t="2" v="6745"/>
    </bk>
    <bk>
      <rc t="2" v="6746"/>
    </bk>
    <bk>
      <rc t="2" v="6747"/>
    </bk>
    <bk>
      <rc t="2" v="6748"/>
    </bk>
    <bk>
      <rc t="2" v="6749"/>
    </bk>
    <bk>
      <rc t="2" v="6750"/>
    </bk>
    <bk>
      <rc t="2" v="6751"/>
    </bk>
    <bk>
      <rc t="2" v="6752"/>
    </bk>
    <bk>
      <rc t="2" v="6753"/>
    </bk>
    <bk>
      <rc t="2" v="6754"/>
    </bk>
    <bk>
      <rc t="2" v="6755"/>
    </bk>
    <bk>
      <rc t="2" v="6756"/>
    </bk>
    <bk>
      <rc t="2" v="6757"/>
    </bk>
    <bk>
      <rc t="2" v="6758"/>
    </bk>
    <bk>
      <rc t="2" v="6759"/>
    </bk>
    <bk>
      <rc t="2" v="6760"/>
    </bk>
    <bk>
      <rc t="2" v="6761"/>
    </bk>
    <bk>
      <rc t="2" v="6762"/>
    </bk>
    <bk>
      <rc t="2" v="6763"/>
    </bk>
    <bk>
      <rc t="2" v="6764"/>
    </bk>
    <bk>
      <rc t="2" v="6765"/>
    </bk>
    <bk>
      <rc t="2" v="6766"/>
    </bk>
    <bk>
      <rc t="2" v="6767"/>
    </bk>
    <bk>
      <rc t="2" v="6768"/>
    </bk>
    <bk>
      <rc t="2" v="6769"/>
    </bk>
    <bk>
      <rc t="2" v="6770"/>
    </bk>
    <bk>
      <rc t="2" v="6771"/>
    </bk>
    <bk>
      <rc t="2" v="6772"/>
    </bk>
    <bk>
      <rc t="2" v="6773"/>
    </bk>
    <bk>
      <rc t="2" v="6774"/>
    </bk>
    <bk>
      <rc t="2" v="6775"/>
    </bk>
    <bk>
      <rc t="2" v="6776"/>
    </bk>
    <bk>
      <rc t="2" v="6777"/>
    </bk>
    <bk>
      <rc t="2" v="6778"/>
    </bk>
    <bk>
      <rc t="2" v="6779"/>
    </bk>
    <bk>
      <rc t="2" v="6780"/>
    </bk>
    <bk>
      <rc t="2" v="6781"/>
    </bk>
    <bk>
      <rc t="2" v="6782"/>
    </bk>
    <bk>
      <rc t="2" v="6783"/>
    </bk>
    <bk>
      <rc t="2" v="6784"/>
    </bk>
    <bk>
      <rc t="2" v="6785"/>
    </bk>
    <bk>
      <rc t="2" v="6786"/>
    </bk>
    <bk>
      <rc t="2" v="6787"/>
    </bk>
    <bk>
      <rc t="2" v="6788"/>
    </bk>
    <bk>
      <rc t="2" v="6789"/>
    </bk>
    <bk>
      <rc t="2" v="6790"/>
    </bk>
    <bk>
      <rc t="2" v="6791"/>
    </bk>
    <bk>
      <rc t="2" v="6792"/>
    </bk>
    <bk>
      <rc t="2" v="6793"/>
    </bk>
    <bk>
      <rc t="2" v="6794"/>
    </bk>
    <bk>
      <rc t="2" v="6795"/>
    </bk>
    <bk>
      <rc t="2" v="6796"/>
    </bk>
    <bk>
      <rc t="2" v="6797"/>
    </bk>
    <bk>
      <rc t="2" v="6798"/>
    </bk>
    <bk>
      <rc t="2" v="6799"/>
    </bk>
    <bk>
      <rc t="2" v="6800"/>
    </bk>
    <bk>
      <rc t="2" v="6801"/>
    </bk>
    <bk>
      <rc t="2" v="6802"/>
    </bk>
    <bk>
      <rc t="2" v="6803"/>
    </bk>
    <bk>
      <rc t="2" v="6804"/>
    </bk>
    <bk>
      <rc t="2" v="6805"/>
    </bk>
    <bk>
      <rc t="2" v="6806"/>
    </bk>
    <bk>
      <rc t="2" v="6807"/>
    </bk>
    <bk>
      <rc t="2" v="6808"/>
    </bk>
    <bk>
      <rc t="2" v="6809"/>
    </bk>
    <bk>
      <rc t="2" v="6810"/>
    </bk>
    <bk>
      <rc t="2" v="6811"/>
    </bk>
    <bk>
      <rc t="2" v="6812"/>
    </bk>
    <bk>
      <rc t="2" v="6813"/>
    </bk>
    <bk>
      <rc t="2" v="6814"/>
    </bk>
    <bk>
      <rc t="2" v="6815"/>
    </bk>
    <bk>
      <rc t="2" v="6816"/>
    </bk>
    <bk>
      <rc t="2" v="6817"/>
    </bk>
    <bk>
      <rc t="2" v="6818"/>
    </bk>
    <bk>
      <rc t="2" v="6819"/>
    </bk>
    <bk>
      <rc t="2" v="6820"/>
    </bk>
    <bk>
      <rc t="2" v="6821"/>
    </bk>
    <bk>
      <rc t="2" v="6822"/>
    </bk>
    <bk>
      <rc t="2" v="6823"/>
    </bk>
    <bk>
      <rc t="2" v="6824"/>
    </bk>
    <bk>
      <rc t="2" v="6825"/>
    </bk>
    <bk>
      <rc t="2" v="6826"/>
    </bk>
    <bk>
      <rc t="2" v="6827"/>
    </bk>
    <bk>
      <rc t="2" v="6828"/>
    </bk>
    <bk>
      <rc t="2" v="6829"/>
    </bk>
    <bk>
      <rc t="2" v="6830"/>
    </bk>
    <bk>
      <rc t="2" v="6831"/>
    </bk>
    <bk>
      <rc t="2" v="6832"/>
    </bk>
    <bk>
      <rc t="2" v="6833"/>
    </bk>
    <bk>
      <rc t="2" v="6834"/>
    </bk>
    <bk>
      <rc t="2" v="6835"/>
    </bk>
    <bk>
      <rc t="2" v="6836"/>
    </bk>
    <bk>
      <rc t="2" v="6837"/>
    </bk>
    <bk>
      <rc t="2" v="6838"/>
    </bk>
    <bk>
      <rc t="2" v="6839"/>
    </bk>
    <bk>
      <rc t="2" v="6840"/>
    </bk>
    <bk>
      <rc t="2" v="6841"/>
    </bk>
    <bk>
      <rc t="2" v="6842"/>
    </bk>
    <bk>
      <rc t="2" v="6843"/>
    </bk>
    <bk>
      <rc t="2" v="6844"/>
    </bk>
    <bk>
      <rc t="2" v="6845"/>
    </bk>
    <bk>
      <rc t="2" v="6846"/>
    </bk>
    <bk>
      <rc t="2" v="6847"/>
    </bk>
    <bk>
      <rc t="2" v="6848"/>
    </bk>
    <bk>
      <rc t="2" v="6849"/>
    </bk>
    <bk>
      <rc t="2" v="6850"/>
    </bk>
    <bk>
      <rc t="2" v="6851"/>
    </bk>
    <bk>
      <rc t="2" v="6852"/>
    </bk>
    <bk>
      <rc t="2" v="6853"/>
    </bk>
    <bk>
      <rc t="2" v="6854"/>
    </bk>
    <bk>
      <rc t="2" v="6855"/>
    </bk>
    <bk>
      <rc t="2" v="6856"/>
    </bk>
    <bk>
      <rc t="2" v="6857"/>
    </bk>
    <bk>
      <rc t="2" v="6858"/>
    </bk>
    <bk>
      <rc t="2" v="6859"/>
    </bk>
    <bk>
      <rc t="2" v="6860"/>
    </bk>
    <bk>
      <rc t="2" v="6861"/>
    </bk>
    <bk>
      <rc t="2" v="6862"/>
    </bk>
    <bk>
      <rc t="2" v="6863"/>
    </bk>
    <bk>
      <rc t="2" v="6864"/>
    </bk>
    <bk>
      <rc t="2" v="6865"/>
    </bk>
    <bk>
      <rc t="2" v="6866"/>
    </bk>
    <bk>
      <rc t="2" v="6867"/>
    </bk>
    <bk>
      <rc t="2" v="6868"/>
    </bk>
    <bk>
      <rc t="2" v="6869"/>
    </bk>
    <bk>
      <rc t="2" v="6870"/>
    </bk>
    <bk>
      <rc t="2" v="6871"/>
    </bk>
    <bk>
      <rc t="2" v="6872"/>
    </bk>
    <bk>
      <rc t="2" v="6873"/>
    </bk>
    <bk>
      <rc t="2" v="6874"/>
    </bk>
    <bk>
      <rc t="2" v="6875"/>
    </bk>
    <bk>
      <rc t="2" v="6876"/>
    </bk>
    <bk>
      <rc t="2" v="6877"/>
    </bk>
    <bk>
      <rc t="2" v="6878"/>
    </bk>
    <bk>
      <rc t="2" v="6879"/>
    </bk>
    <bk>
      <rc t="2" v="6880"/>
    </bk>
    <bk>
      <rc t="2" v="6881"/>
    </bk>
    <bk>
      <rc t="2" v="6882"/>
    </bk>
    <bk>
      <rc t="2" v="6883"/>
    </bk>
    <bk>
      <rc t="2" v="6884"/>
    </bk>
    <bk>
      <rc t="2" v="6885"/>
    </bk>
    <bk>
      <rc t="2" v="6886"/>
    </bk>
    <bk>
      <rc t="2" v="6887"/>
    </bk>
    <bk>
      <rc t="2" v="6888"/>
    </bk>
    <bk>
      <rc t="2" v="6889"/>
    </bk>
    <bk>
      <rc t="2" v="6890"/>
    </bk>
    <bk>
      <rc t="2" v="6891"/>
    </bk>
    <bk>
      <rc t="2" v="6892"/>
    </bk>
    <bk>
      <rc t="2" v="6893"/>
    </bk>
    <bk>
      <rc t="2" v="6894"/>
    </bk>
    <bk>
      <rc t="2" v="6895"/>
    </bk>
    <bk>
      <rc t="2" v="6896"/>
    </bk>
    <bk>
      <rc t="2" v="6897"/>
    </bk>
    <bk>
      <rc t="2" v="6898"/>
    </bk>
    <bk>
      <rc t="2" v="6899"/>
    </bk>
    <bk>
      <rc t="2" v="6900"/>
    </bk>
    <bk>
      <rc t="2" v="6901"/>
    </bk>
    <bk>
      <rc t="2" v="6902"/>
    </bk>
    <bk>
      <rc t="2" v="6903"/>
    </bk>
    <bk>
      <rc t="2" v="6904"/>
    </bk>
    <bk>
      <rc t="2" v="6905"/>
    </bk>
    <bk>
      <rc t="2" v="6906"/>
    </bk>
    <bk>
      <rc t="2" v="6907"/>
    </bk>
    <bk>
      <rc t="2" v="6908"/>
    </bk>
    <bk>
      <rc t="2" v="6909"/>
    </bk>
    <bk>
      <rc t="2" v="6910"/>
    </bk>
    <bk>
      <rc t="2" v="6911"/>
    </bk>
    <bk>
      <rc t="2" v="6912"/>
    </bk>
    <bk>
      <rc t="2" v="6913"/>
    </bk>
    <bk>
      <rc t="2" v="6914"/>
    </bk>
    <bk>
      <rc t="2" v="6915"/>
    </bk>
    <bk>
      <rc t="2" v="6916"/>
    </bk>
    <bk>
      <rc t="2" v="6917"/>
    </bk>
    <bk>
      <rc t="2" v="6918"/>
    </bk>
    <bk>
      <rc t="2" v="6919"/>
    </bk>
    <bk>
      <rc t="2" v="6920"/>
    </bk>
    <bk>
      <rc t="2" v="6921"/>
    </bk>
    <bk>
      <rc t="2" v="6922"/>
    </bk>
    <bk>
      <rc t="2" v="6923"/>
    </bk>
    <bk>
      <rc t="2" v="6924"/>
    </bk>
    <bk>
      <rc t="2" v="6925"/>
    </bk>
    <bk>
      <rc t="2" v="6926"/>
    </bk>
    <bk>
      <rc t="2" v="6927"/>
    </bk>
    <bk>
      <rc t="2" v="6928"/>
    </bk>
    <bk>
      <rc t="2" v="6929"/>
    </bk>
    <bk>
      <rc t="2" v="6930"/>
    </bk>
    <bk>
      <rc t="2" v="6931"/>
    </bk>
    <bk>
      <rc t="2" v="6932"/>
    </bk>
    <bk>
      <rc t="2" v="6933"/>
    </bk>
    <bk>
      <rc t="2" v="6934"/>
    </bk>
    <bk>
      <rc t="2" v="6935"/>
    </bk>
    <bk>
      <rc t="2" v="6936"/>
    </bk>
    <bk>
      <rc t="2" v="6937"/>
    </bk>
    <bk>
      <rc t="2" v="6938"/>
    </bk>
    <bk>
      <rc t="2" v="6939"/>
    </bk>
    <bk>
      <rc t="2" v="6940"/>
    </bk>
    <bk>
      <rc t="2" v="6941"/>
    </bk>
    <bk>
      <rc t="2" v="6942"/>
    </bk>
    <bk>
      <rc t="2" v="6943"/>
    </bk>
    <bk>
      <rc t="2" v="6944"/>
    </bk>
    <bk>
      <rc t="2" v="6945"/>
    </bk>
    <bk>
      <rc t="2" v="6946"/>
    </bk>
    <bk>
      <rc t="2" v="6947"/>
    </bk>
    <bk>
      <rc t="2" v="6948"/>
    </bk>
    <bk>
      <rc t="2" v="6949"/>
    </bk>
    <bk>
      <rc t="2" v="6950"/>
    </bk>
    <bk>
      <rc t="2" v="6951"/>
    </bk>
    <bk>
      <rc t="2" v="6952"/>
    </bk>
    <bk>
      <rc t="2" v="6953"/>
    </bk>
    <bk>
      <rc t="2" v="6954"/>
    </bk>
    <bk>
      <rc t="2" v="6955"/>
    </bk>
    <bk>
      <rc t="2" v="6956"/>
    </bk>
    <bk>
      <rc t="2" v="6957"/>
    </bk>
    <bk>
      <rc t="2" v="6958"/>
    </bk>
    <bk>
      <rc t="2" v="6959"/>
    </bk>
    <bk>
      <rc t="2" v="6960"/>
    </bk>
    <bk>
      <rc t="2" v="6961"/>
    </bk>
    <bk>
      <rc t="2" v="6962"/>
    </bk>
    <bk>
      <rc t="2" v="6963"/>
    </bk>
    <bk>
      <rc t="2" v="6964"/>
    </bk>
    <bk>
      <rc t="2" v="6965"/>
    </bk>
    <bk>
      <rc t="2" v="6966"/>
    </bk>
    <bk>
      <rc t="2" v="6967"/>
    </bk>
    <bk>
      <rc t="2" v="6968"/>
    </bk>
    <bk>
      <rc t="2" v="6969"/>
    </bk>
    <bk>
      <rc t="2" v="6970"/>
    </bk>
    <bk>
      <rc t="2" v="6971"/>
    </bk>
    <bk>
      <rc t="2" v="6972"/>
    </bk>
    <bk>
      <rc t="2" v="6973"/>
    </bk>
    <bk>
      <rc t="2" v="6974"/>
    </bk>
    <bk>
      <rc t="2" v="6975"/>
    </bk>
    <bk>
      <rc t="2" v="6976"/>
    </bk>
    <bk>
      <rc t="2" v="6977"/>
    </bk>
    <bk>
      <rc t="2" v="6978"/>
    </bk>
    <bk>
      <rc t="2" v="6979"/>
    </bk>
    <bk>
      <rc t="2" v="6980"/>
    </bk>
    <bk>
      <rc t="2" v="6981"/>
    </bk>
    <bk>
      <rc t="2" v="6982"/>
    </bk>
    <bk>
      <rc t="2" v="6983"/>
    </bk>
    <bk>
      <rc t="2" v="6984"/>
    </bk>
    <bk>
      <rc t="2" v="6985"/>
    </bk>
    <bk>
      <rc t="2" v="6986"/>
    </bk>
    <bk>
      <rc t="2" v="6987"/>
    </bk>
    <bk>
      <rc t="2" v="6988"/>
    </bk>
    <bk>
      <rc t="2" v="6989"/>
    </bk>
    <bk>
      <rc t="2" v="6990"/>
    </bk>
    <bk>
      <rc t="2" v="6991"/>
    </bk>
    <bk>
      <rc t="2" v="6992"/>
    </bk>
    <bk>
      <rc t="2" v="6993"/>
    </bk>
    <bk>
      <rc t="2" v="6994"/>
    </bk>
    <bk>
      <rc t="2" v="6995"/>
    </bk>
    <bk>
      <rc t="2" v="6996"/>
    </bk>
    <bk>
      <rc t="2" v="6997"/>
    </bk>
    <bk>
      <rc t="2" v="6998"/>
    </bk>
    <bk>
      <rc t="2" v="6999"/>
    </bk>
    <bk>
      <rc t="2" v="7000"/>
    </bk>
    <bk>
      <rc t="2" v="7001"/>
    </bk>
    <bk>
      <rc t="2" v="7002"/>
    </bk>
    <bk>
      <rc t="2" v="7003"/>
    </bk>
    <bk>
      <rc t="2" v="7004"/>
    </bk>
    <bk>
      <rc t="2" v="7005"/>
    </bk>
    <bk>
      <rc t="2" v="7006"/>
    </bk>
    <bk>
      <rc t="2" v="7007"/>
    </bk>
    <bk>
      <rc t="2" v="7008"/>
    </bk>
    <bk>
      <rc t="2" v="7009"/>
    </bk>
    <bk>
      <rc t="2" v="7010"/>
    </bk>
    <bk>
      <rc t="2" v="7011"/>
    </bk>
    <bk>
      <rc t="2" v="7012"/>
    </bk>
    <bk>
      <rc t="2" v="7013"/>
    </bk>
    <bk>
      <rc t="2" v="7014"/>
    </bk>
    <bk>
      <rc t="2" v="7015"/>
    </bk>
    <bk>
      <rc t="2" v="7016"/>
    </bk>
    <bk>
      <rc t="2" v="7017"/>
    </bk>
    <bk>
      <rc t="2" v="7018"/>
    </bk>
    <bk>
      <rc t="2" v="7019"/>
    </bk>
    <bk>
      <rc t="2" v="7020"/>
    </bk>
    <bk>
      <rc t="2" v="7021"/>
    </bk>
    <bk>
      <rc t="2" v="7022"/>
    </bk>
    <bk>
      <rc t="2" v="7023"/>
    </bk>
    <bk>
      <rc t="2" v="7024"/>
    </bk>
    <bk>
      <rc t="2" v="7025"/>
    </bk>
    <bk>
      <rc t="2" v="7026"/>
    </bk>
    <bk>
      <rc t="2" v="7027"/>
    </bk>
    <bk>
      <rc t="2" v="7028"/>
    </bk>
    <bk>
      <rc t="2" v="7029"/>
    </bk>
    <bk>
      <rc t="2" v="7030"/>
    </bk>
    <bk>
      <rc t="2" v="7031"/>
    </bk>
    <bk>
      <rc t="2" v="7032"/>
    </bk>
    <bk>
      <rc t="2" v="7033"/>
    </bk>
    <bk>
      <rc t="2" v="7034"/>
    </bk>
    <bk>
      <rc t="2" v="7035"/>
    </bk>
    <bk>
      <rc t="2" v="7036"/>
    </bk>
    <bk>
      <rc t="2" v="7037"/>
    </bk>
    <bk>
      <rc t="2" v="7038"/>
    </bk>
    <bk>
      <rc t="2" v="7039"/>
    </bk>
    <bk>
      <rc t="2" v="7040"/>
    </bk>
    <bk>
      <rc t="2" v="7041"/>
    </bk>
    <bk>
      <rc t="2" v="7042"/>
    </bk>
    <bk>
      <rc t="2" v="7043"/>
    </bk>
    <bk>
      <rc t="2" v="7044"/>
    </bk>
    <bk>
      <rc t="2" v="7045"/>
    </bk>
    <bk>
      <rc t="2" v="7046"/>
    </bk>
    <bk>
      <rc t="2" v="7047"/>
    </bk>
    <bk>
      <rc t="2" v="7048"/>
    </bk>
    <bk>
      <rc t="2" v="7049"/>
    </bk>
    <bk>
      <rc t="2" v="7050"/>
    </bk>
    <bk>
      <rc t="2" v="7051"/>
    </bk>
    <bk>
      <rc t="2" v="7052"/>
    </bk>
    <bk>
      <rc t="2" v="7053"/>
    </bk>
    <bk>
      <rc t="2" v="7054"/>
    </bk>
    <bk>
      <rc t="2" v="7055"/>
    </bk>
    <bk>
      <rc t="2" v="7056"/>
    </bk>
    <bk>
      <rc t="2" v="7057"/>
    </bk>
    <bk>
      <rc t="2" v="7058"/>
    </bk>
    <bk>
      <rc t="2" v="7059"/>
    </bk>
    <bk>
      <rc t="2" v="7060"/>
    </bk>
    <bk>
      <rc t="2" v="7061"/>
    </bk>
    <bk>
      <rc t="2" v="7062"/>
    </bk>
    <bk>
      <rc t="2" v="7063"/>
    </bk>
    <bk>
      <rc t="2" v="7064"/>
    </bk>
    <bk>
      <rc t="2" v="7065"/>
    </bk>
    <bk>
      <rc t="2" v="7066"/>
    </bk>
    <bk>
      <rc t="2" v="7067"/>
    </bk>
    <bk>
      <rc t="2" v="7068"/>
    </bk>
    <bk>
      <rc t="2" v="7069"/>
    </bk>
    <bk>
      <rc t="2" v="7070"/>
    </bk>
    <bk>
      <rc t="2" v="7071"/>
    </bk>
    <bk>
      <rc t="2" v="7072"/>
    </bk>
    <bk>
      <rc t="2" v="7073"/>
    </bk>
    <bk>
      <rc t="2" v="7074"/>
    </bk>
    <bk>
      <rc t="2" v="7075"/>
    </bk>
    <bk>
      <rc t="2" v="7076"/>
    </bk>
    <bk>
      <rc t="2" v="7077"/>
    </bk>
    <bk>
      <rc t="2" v="7078"/>
    </bk>
    <bk>
      <rc t="2" v="7079"/>
    </bk>
    <bk>
      <rc t="2" v="7080"/>
    </bk>
    <bk>
      <rc t="2" v="7081"/>
    </bk>
    <bk>
      <rc t="2" v="7082"/>
    </bk>
    <bk>
      <rc t="2" v="7083"/>
    </bk>
    <bk>
      <rc t="2" v="7084"/>
    </bk>
    <bk>
      <rc t="2" v="7085"/>
    </bk>
    <bk>
      <rc t="2" v="7086"/>
    </bk>
    <bk>
      <rc t="2" v="7087"/>
    </bk>
    <bk>
      <rc t="2" v="7088"/>
    </bk>
    <bk>
      <rc t="2" v="7089"/>
    </bk>
    <bk>
      <rc t="2" v="7090"/>
    </bk>
    <bk>
      <rc t="2" v="7091"/>
    </bk>
    <bk>
      <rc t="2" v="7092"/>
    </bk>
    <bk>
      <rc t="2" v="7093"/>
    </bk>
    <bk>
      <rc t="2" v="7094"/>
    </bk>
    <bk>
      <rc t="2" v="7095"/>
    </bk>
    <bk>
      <rc t="2" v="7096"/>
    </bk>
    <bk>
      <rc t="2" v="7097"/>
    </bk>
    <bk>
      <rc t="2" v="7098"/>
    </bk>
    <bk>
      <rc t="2" v="7099"/>
    </bk>
    <bk>
      <rc t="2" v="7100"/>
    </bk>
    <bk>
      <rc t="2" v="7101"/>
    </bk>
    <bk>
      <rc t="2" v="7102"/>
    </bk>
    <bk>
      <rc t="2" v="7103"/>
    </bk>
    <bk>
      <rc t="2" v="7104"/>
    </bk>
    <bk>
      <rc t="2" v="7105"/>
    </bk>
    <bk>
      <rc t="2" v="7106"/>
    </bk>
    <bk>
      <rc t="2" v="7107"/>
    </bk>
    <bk>
      <rc t="2" v="7108"/>
    </bk>
    <bk>
      <rc t="2" v="7109"/>
    </bk>
    <bk>
      <rc t="2" v="7110"/>
    </bk>
    <bk>
      <rc t="2" v="7111"/>
    </bk>
    <bk>
      <rc t="2" v="7112"/>
    </bk>
    <bk>
      <rc t="2" v="7113"/>
    </bk>
    <bk>
      <rc t="2" v="7114"/>
    </bk>
    <bk>
      <rc t="2" v="7115"/>
    </bk>
    <bk>
      <rc t="2" v="7116"/>
    </bk>
    <bk>
      <rc t="2" v="7117"/>
    </bk>
    <bk>
      <rc t="2" v="7118"/>
    </bk>
    <bk>
      <rc t="2" v="7119"/>
    </bk>
    <bk>
      <rc t="2" v="7120"/>
    </bk>
    <bk>
      <rc t="2" v="7121"/>
    </bk>
    <bk>
      <rc t="2" v="7122"/>
    </bk>
    <bk>
      <rc t="2" v="7123"/>
    </bk>
    <bk>
      <rc t="2" v="7124"/>
    </bk>
    <bk>
      <rc t="2" v="7125"/>
    </bk>
    <bk>
      <rc t="2" v="7126"/>
    </bk>
    <bk>
      <rc t="2" v="7127"/>
    </bk>
    <bk>
      <rc t="2" v="7128"/>
    </bk>
    <bk>
      <rc t="2" v="7129"/>
    </bk>
    <bk>
      <rc t="2" v="7130"/>
    </bk>
    <bk>
      <rc t="2" v="7131"/>
    </bk>
    <bk>
      <rc t="2" v="7132"/>
    </bk>
    <bk>
      <rc t="2" v="7133"/>
    </bk>
    <bk>
      <rc t="2" v="7134"/>
    </bk>
    <bk>
      <rc t="2" v="7135"/>
    </bk>
    <bk>
      <rc t="2" v="7136"/>
    </bk>
    <bk>
      <rc t="2" v="7137"/>
    </bk>
    <bk>
      <rc t="2" v="7138"/>
    </bk>
    <bk>
      <rc t="2" v="7139"/>
    </bk>
    <bk>
      <rc t="2" v="7140"/>
    </bk>
    <bk>
      <rc t="2" v="7141"/>
    </bk>
    <bk>
      <rc t="2" v="7142"/>
    </bk>
    <bk>
      <rc t="2" v="7143"/>
    </bk>
    <bk>
      <rc t="2" v="7144"/>
    </bk>
    <bk>
      <rc t="2" v="7145"/>
    </bk>
    <bk>
      <rc t="2" v="7146"/>
    </bk>
    <bk>
      <rc t="2" v="7147"/>
    </bk>
    <bk>
      <rc t="2" v="7148"/>
    </bk>
    <bk>
      <rc t="2" v="7149"/>
    </bk>
    <bk>
      <rc t="2" v="7150"/>
    </bk>
    <bk>
      <rc t="2" v="7151"/>
    </bk>
    <bk>
      <rc t="2" v="7152"/>
    </bk>
    <bk>
      <rc t="2" v="7153"/>
    </bk>
    <bk>
      <rc t="2" v="7154"/>
    </bk>
    <bk>
      <rc t="2" v="7155"/>
    </bk>
    <bk>
      <rc t="2" v="7156"/>
    </bk>
    <bk>
      <rc t="2" v="7157"/>
    </bk>
    <bk>
      <rc t="2" v="7158"/>
    </bk>
    <bk>
      <rc t="2" v="7159"/>
    </bk>
    <bk>
      <rc t="2" v="7160"/>
    </bk>
    <bk>
      <rc t="2" v="7161"/>
    </bk>
    <bk>
      <rc t="2" v="7162"/>
    </bk>
    <bk>
      <rc t="2" v="7163"/>
    </bk>
    <bk>
      <rc t="2" v="7164"/>
    </bk>
    <bk>
      <rc t="2" v="7165"/>
    </bk>
    <bk>
      <rc t="2" v="7166"/>
    </bk>
    <bk>
      <rc t="2" v="7167"/>
    </bk>
    <bk>
      <rc t="2" v="7168"/>
    </bk>
    <bk>
      <rc t="2" v="7169"/>
    </bk>
    <bk>
      <rc t="2" v="7170"/>
    </bk>
    <bk>
      <rc t="2" v="7171"/>
    </bk>
    <bk>
      <rc t="2" v="7172"/>
    </bk>
    <bk>
      <rc t="2" v="7173"/>
    </bk>
    <bk>
      <rc t="2" v="7174"/>
    </bk>
    <bk>
      <rc t="2" v="7175"/>
    </bk>
    <bk>
      <rc t="2" v="7176"/>
    </bk>
    <bk>
      <rc t="2" v="7177"/>
    </bk>
    <bk>
      <rc t="2" v="7178"/>
    </bk>
    <bk>
      <rc t="2" v="7179"/>
    </bk>
    <bk>
      <rc t="2" v="7180"/>
    </bk>
    <bk>
      <rc t="2" v="7181"/>
    </bk>
    <bk>
      <rc t="2" v="7182"/>
    </bk>
    <bk>
      <rc t="2" v="7183"/>
    </bk>
    <bk>
      <rc t="2" v="7184"/>
    </bk>
    <bk>
      <rc t="2" v="7185"/>
    </bk>
    <bk>
      <rc t="2" v="7186"/>
    </bk>
    <bk>
      <rc t="2" v="7187"/>
    </bk>
    <bk>
      <rc t="2" v="7188"/>
    </bk>
    <bk>
      <rc t="2" v="7189"/>
    </bk>
    <bk>
      <rc t="2" v="7190"/>
    </bk>
    <bk>
      <rc t="2" v="7191"/>
    </bk>
    <bk>
      <rc t="2" v="7192"/>
    </bk>
    <bk>
      <rc t="2" v="7193"/>
    </bk>
    <bk>
      <rc t="2" v="7194"/>
    </bk>
    <bk>
      <rc t="2" v="7195"/>
    </bk>
    <bk>
      <rc t="2" v="7196"/>
    </bk>
    <bk>
      <rc t="2" v="7197"/>
    </bk>
    <bk>
      <rc t="2" v="7198"/>
    </bk>
    <bk>
      <rc t="2" v="7199"/>
    </bk>
    <bk>
      <rc t="2" v="7200"/>
    </bk>
    <bk>
      <rc t="2" v="7201"/>
    </bk>
    <bk>
      <rc t="2" v="7202"/>
    </bk>
    <bk>
      <rc t="2" v="7203"/>
    </bk>
    <bk>
      <rc t="2" v="7204"/>
    </bk>
    <bk>
      <rc t="2" v="7205"/>
    </bk>
    <bk>
      <rc t="2" v="7206"/>
    </bk>
    <bk>
      <rc t="2" v="7207"/>
    </bk>
    <bk>
      <rc t="2" v="7208"/>
    </bk>
    <bk>
      <rc t="2" v="7209"/>
    </bk>
    <bk>
      <rc t="2" v="7210"/>
    </bk>
    <bk>
      <rc t="2" v="7211"/>
    </bk>
    <bk>
      <rc t="2" v="7212"/>
    </bk>
    <bk>
      <rc t="2" v="7213"/>
    </bk>
    <bk>
      <rc t="2" v="7214"/>
    </bk>
    <bk>
      <rc t="2" v="7215"/>
    </bk>
    <bk>
      <rc t="2" v="7216"/>
    </bk>
    <bk>
      <rc t="2" v="7217"/>
    </bk>
    <bk>
      <rc t="2" v="7218"/>
    </bk>
    <bk>
      <rc t="2" v="7219"/>
    </bk>
    <bk>
      <rc t="2" v="7220"/>
    </bk>
    <bk>
      <rc t="2" v="7221"/>
    </bk>
    <bk>
      <rc t="2" v="7222"/>
    </bk>
    <bk>
      <rc t="2" v="7223"/>
    </bk>
    <bk>
      <rc t="2" v="7224"/>
    </bk>
    <bk>
      <rc t="2" v="7225"/>
    </bk>
    <bk>
      <rc t="2" v="7226"/>
    </bk>
    <bk>
      <rc t="2" v="7227"/>
    </bk>
    <bk>
      <rc t="2" v="7228"/>
    </bk>
    <bk>
      <rc t="2" v="7229"/>
    </bk>
    <bk>
      <rc t="2" v="7230"/>
    </bk>
    <bk>
      <rc t="2" v="7231"/>
    </bk>
    <bk>
      <rc t="2" v="7232"/>
    </bk>
    <bk>
      <rc t="2" v="7233"/>
    </bk>
    <bk>
      <rc t="2" v="7234"/>
    </bk>
    <bk>
      <rc t="2" v="7235"/>
    </bk>
    <bk>
      <rc t="2" v="7236"/>
    </bk>
    <bk>
      <rc t="2" v="7237"/>
    </bk>
    <bk>
      <rc t="2" v="7238"/>
    </bk>
    <bk>
      <rc t="2" v="7239"/>
    </bk>
    <bk>
      <rc t="2" v="7240"/>
    </bk>
    <bk>
      <rc t="2" v="7241"/>
    </bk>
    <bk>
      <rc t="2" v="7242"/>
    </bk>
    <bk>
      <rc t="2" v="7243"/>
    </bk>
    <bk>
      <rc t="2" v="7244"/>
    </bk>
    <bk>
      <rc t="2" v="7245"/>
    </bk>
    <bk>
      <rc t="2" v="7246"/>
    </bk>
    <bk>
      <rc t="2" v="7247"/>
    </bk>
    <bk>
      <rc t="2" v="7248"/>
    </bk>
    <bk>
      <rc t="2" v="7249"/>
    </bk>
    <bk>
      <rc t="2" v="7250"/>
    </bk>
    <bk>
      <rc t="2" v="7251"/>
    </bk>
    <bk>
      <rc t="2" v="7252"/>
    </bk>
    <bk>
      <rc t="2" v="7253"/>
    </bk>
    <bk>
      <rc t="2" v="7254"/>
    </bk>
    <bk>
      <rc t="2" v="7255"/>
    </bk>
    <bk>
      <rc t="2" v="7256"/>
    </bk>
    <bk>
      <rc t="2" v="7257"/>
    </bk>
    <bk>
      <rc t="2" v="7258"/>
    </bk>
    <bk>
      <rc t="2" v="7259"/>
    </bk>
    <bk>
      <rc t="2" v="7260"/>
    </bk>
    <bk>
      <rc t="2" v="7261"/>
    </bk>
    <bk>
      <rc t="2" v="7262"/>
    </bk>
    <bk>
      <rc t="2" v="7263"/>
    </bk>
    <bk>
      <rc t="2" v="7264"/>
    </bk>
    <bk>
      <rc t="2" v="7265"/>
    </bk>
    <bk>
      <rc t="2" v="7266"/>
    </bk>
    <bk>
      <rc t="2" v="7267"/>
    </bk>
    <bk>
      <rc t="2" v="7268"/>
    </bk>
    <bk>
      <rc t="2" v="7269"/>
    </bk>
    <bk>
      <rc t="2" v="7270"/>
    </bk>
    <bk>
      <rc t="2" v="7271"/>
    </bk>
    <bk>
      <rc t="2" v="7272"/>
    </bk>
    <bk>
      <rc t="2" v="7273"/>
    </bk>
    <bk>
      <rc t="2" v="7274"/>
    </bk>
    <bk>
      <rc t="2" v="7275"/>
    </bk>
    <bk>
      <rc t="2" v="7276"/>
    </bk>
    <bk>
      <rc t="2" v="7277"/>
    </bk>
    <bk>
      <rc t="2" v="7278"/>
    </bk>
    <bk>
      <rc t="2" v="7279"/>
    </bk>
    <bk>
      <rc t="2" v="7280"/>
    </bk>
    <bk>
      <rc t="2" v="7281"/>
    </bk>
    <bk>
      <rc t="2" v="7282"/>
    </bk>
    <bk>
      <rc t="2" v="7283"/>
    </bk>
    <bk>
      <rc t="2" v="7284"/>
    </bk>
    <bk>
      <rc t="2" v="7285"/>
    </bk>
    <bk>
      <rc t="2" v="7286"/>
    </bk>
    <bk>
      <rc t="2" v="7287"/>
    </bk>
    <bk>
      <rc t="2" v="7288"/>
    </bk>
    <bk>
      <rc t="2" v="7289"/>
    </bk>
    <bk>
      <rc t="2" v="7290"/>
    </bk>
    <bk>
      <rc t="2" v="7291"/>
    </bk>
    <bk>
      <rc t="2" v="7292"/>
    </bk>
    <bk>
      <rc t="2" v="7293"/>
    </bk>
    <bk>
      <rc t="2" v="7294"/>
    </bk>
    <bk>
      <rc t="2" v="7295"/>
    </bk>
    <bk>
      <rc t="2" v="7296"/>
    </bk>
    <bk>
      <rc t="2" v="7297"/>
    </bk>
    <bk>
      <rc t="2" v="7298"/>
    </bk>
    <bk>
      <rc t="2" v="7299"/>
    </bk>
    <bk>
      <rc t="2" v="7300"/>
    </bk>
    <bk>
      <rc t="2" v="7301"/>
    </bk>
    <bk>
      <rc t="2" v="7302"/>
    </bk>
    <bk>
      <rc t="2" v="7303"/>
    </bk>
    <bk>
      <rc t="2" v="7304"/>
    </bk>
    <bk>
      <rc t="2" v="7305"/>
    </bk>
    <bk>
      <rc t="2" v="7306"/>
    </bk>
    <bk>
      <rc t="2" v="7307"/>
    </bk>
    <bk>
      <rc t="2" v="7308"/>
    </bk>
    <bk>
      <rc t="2" v="7309"/>
    </bk>
    <bk>
      <rc t="2" v="7310"/>
    </bk>
    <bk>
      <rc t="2" v="7311"/>
    </bk>
    <bk>
      <rc t="2" v="7312"/>
    </bk>
    <bk>
      <rc t="2" v="7313"/>
    </bk>
    <bk>
      <rc t="2" v="7314"/>
    </bk>
    <bk>
      <rc t="2" v="7315"/>
    </bk>
    <bk>
      <rc t="2" v="7316"/>
    </bk>
    <bk>
      <rc t="2" v="7317"/>
    </bk>
    <bk>
      <rc t="2" v="7318"/>
    </bk>
    <bk>
      <rc t="2" v="7319"/>
    </bk>
    <bk>
      <rc t="2" v="7320"/>
    </bk>
    <bk>
      <rc t="2" v="7321"/>
    </bk>
    <bk>
      <rc t="2" v="7322"/>
    </bk>
    <bk>
      <rc t="2" v="7323"/>
    </bk>
    <bk>
      <rc t="2" v="7324"/>
    </bk>
    <bk>
      <rc t="2" v="7325"/>
    </bk>
    <bk>
      <rc t="2" v="7326"/>
    </bk>
    <bk>
      <rc t="2" v="7327"/>
    </bk>
    <bk>
      <rc t="2" v="7328"/>
    </bk>
    <bk>
      <rc t="2" v="7329"/>
    </bk>
    <bk>
      <rc t="2" v="7330"/>
    </bk>
    <bk>
      <rc t="2" v="7331"/>
    </bk>
    <bk>
      <rc t="2" v="7332"/>
    </bk>
    <bk>
      <rc t="2" v="7333"/>
    </bk>
    <bk>
      <rc t="2" v="7334"/>
    </bk>
    <bk>
      <rc t="2" v="7335"/>
    </bk>
    <bk>
      <rc t="2" v="7336"/>
    </bk>
    <bk>
      <rc t="2" v="7337"/>
    </bk>
    <bk>
      <rc t="2" v="7338"/>
    </bk>
    <bk>
      <rc t="2" v="7339"/>
    </bk>
    <bk>
      <rc t="2" v="7340"/>
    </bk>
    <bk>
      <rc t="2" v="7341"/>
    </bk>
    <bk>
      <rc t="2" v="7342"/>
    </bk>
    <bk>
      <rc t="2" v="7343"/>
    </bk>
    <bk>
      <rc t="2" v="7344"/>
    </bk>
    <bk>
      <rc t="2" v="7345"/>
    </bk>
    <bk>
      <rc t="2" v="7346"/>
    </bk>
    <bk>
      <rc t="2" v="7347"/>
    </bk>
    <bk>
      <rc t="2" v="7348"/>
    </bk>
    <bk>
      <rc t="2" v="7349"/>
    </bk>
    <bk>
      <rc t="2" v="7350"/>
    </bk>
    <bk>
      <rc t="2" v="7351"/>
    </bk>
    <bk>
      <rc t="2" v="7352"/>
    </bk>
    <bk>
      <rc t="2" v="7353"/>
    </bk>
    <bk>
      <rc t="2" v="7354"/>
    </bk>
    <bk>
      <rc t="2" v="7355"/>
    </bk>
    <bk>
      <rc t="2" v="7356"/>
    </bk>
    <bk>
      <rc t="2" v="7357"/>
    </bk>
    <bk>
      <rc t="2" v="7358"/>
    </bk>
    <bk>
      <rc t="2" v="7359"/>
    </bk>
    <bk>
      <rc t="2" v="7360"/>
    </bk>
    <bk>
      <rc t="2" v="7361"/>
    </bk>
    <bk>
      <rc t="2" v="7362"/>
    </bk>
    <bk>
      <rc t="2" v="7363"/>
    </bk>
    <bk>
      <rc t="2" v="7364"/>
    </bk>
    <bk>
      <rc t="2" v="7365"/>
    </bk>
    <bk>
      <rc t="2" v="7366"/>
    </bk>
    <bk>
      <rc t="2" v="7367"/>
    </bk>
    <bk>
      <rc t="2" v="7368"/>
    </bk>
    <bk>
      <rc t="2" v="7369"/>
    </bk>
    <bk>
      <rc t="2" v="7370"/>
    </bk>
    <bk>
      <rc t="2" v="7371"/>
    </bk>
    <bk>
      <rc t="2" v="7372"/>
    </bk>
    <bk>
      <rc t="2" v="7373"/>
    </bk>
    <bk>
      <rc t="2" v="7374"/>
    </bk>
    <bk>
      <rc t="2" v="7375"/>
    </bk>
    <bk>
      <rc t="2" v="7376"/>
    </bk>
    <bk>
      <rc t="2" v="7377"/>
    </bk>
    <bk>
      <rc t="2" v="7378"/>
    </bk>
    <bk>
      <rc t="2" v="7379"/>
    </bk>
    <bk>
      <rc t="2" v="7380"/>
    </bk>
    <bk>
      <rc t="2" v="7381"/>
    </bk>
    <bk>
      <rc t="2" v="7382"/>
    </bk>
    <bk>
      <rc t="2" v="7383"/>
    </bk>
    <bk>
      <rc t="2" v="7384"/>
    </bk>
    <bk>
      <rc t="2" v="7385"/>
    </bk>
    <bk>
      <rc t="2" v="7386"/>
    </bk>
    <bk>
      <rc t="2" v="7387"/>
    </bk>
    <bk>
      <rc t="2" v="7388"/>
    </bk>
    <bk>
      <rc t="2" v="7389"/>
    </bk>
    <bk>
      <rc t="2" v="7390"/>
    </bk>
    <bk>
      <rc t="2" v="7391"/>
    </bk>
    <bk>
      <rc t="2" v="7392"/>
    </bk>
    <bk>
      <rc t="2" v="7393"/>
    </bk>
    <bk>
      <rc t="2" v="7394"/>
    </bk>
    <bk>
      <rc t="2" v="7395"/>
    </bk>
    <bk>
      <rc t="2" v="7396"/>
    </bk>
    <bk>
      <rc t="2" v="7397"/>
    </bk>
    <bk>
      <rc t="2" v="7398"/>
    </bk>
    <bk>
      <rc t="2" v="7399"/>
    </bk>
    <bk>
      <rc t="2" v="7400"/>
    </bk>
    <bk>
      <rc t="2" v="7401"/>
    </bk>
    <bk>
      <rc t="2" v="7402"/>
    </bk>
    <bk>
      <rc t="2" v="7403"/>
    </bk>
    <bk>
      <rc t="2" v="7404"/>
    </bk>
    <bk>
      <rc t="2" v="7405"/>
    </bk>
    <bk>
      <rc t="2" v="7406"/>
    </bk>
    <bk>
      <rc t="2" v="7407"/>
    </bk>
    <bk>
      <rc t="2" v="7408"/>
    </bk>
    <bk>
      <rc t="2" v="7409"/>
    </bk>
    <bk>
      <rc t="2" v="7410"/>
    </bk>
    <bk>
      <rc t="2" v="7411"/>
    </bk>
    <bk>
      <rc t="2" v="7412"/>
    </bk>
    <bk>
      <rc t="2" v="7413"/>
    </bk>
    <bk>
      <rc t="2" v="7414"/>
    </bk>
    <bk>
      <rc t="2" v="7415"/>
    </bk>
    <bk>
      <rc t="2" v="7416"/>
    </bk>
    <bk>
      <rc t="2" v="7417"/>
    </bk>
    <bk>
      <rc t="2" v="7418"/>
    </bk>
    <bk>
      <rc t="2" v="7419"/>
    </bk>
    <bk>
      <rc t="2" v="7420"/>
    </bk>
    <bk>
      <rc t="2" v="7421"/>
    </bk>
    <bk>
      <rc t="2" v="7422"/>
    </bk>
    <bk>
      <rc t="2" v="7423"/>
    </bk>
    <bk>
      <rc t="2" v="7424"/>
    </bk>
    <bk>
      <rc t="2" v="7425"/>
    </bk>
    <bk>
      <rc t="2" v="7426"/>
    </bk>
    <bk>
      <rc t="2" v="7427"/>
    </bk>
    <bk>
      <rc t="2" v="7428"/>
    </bk>
    <bk>
      <rc t="2" v="7429"/>
    </bk>
    <bk>
      <rc t="2" v="7430"/>
    </bk>
    <bk>
      <rc t="2" v="7431"/>
    </bk>
    <bk>
      <rc t="2" v="7432"/>
    </bk>
    <bk>
      <rc t="2" v="7433"/>
    </bk>
    <bk>
      <rc t="2" v="7434"/>
    </bk>
    <bk>
      <rc t="2" v="7435"/>
    </bk>
    <bk>
      <rc t="2" v="7436"/>
    </bk>
    <bk>
      <rc t="2" v="7437"/>
    </bk>
    <bk>
      <rc t="2" v="7438"/>
    </bk>
    <bk>
      <rc t="2" v="7439"/>
    </bk>
    <bk>
      <rc t="2" v="7440"/>
    </bk>
    <bk>
      <rc t="2" v="7441"/>
    </bk>
    <bk>
      <rc t="2" v="7442"/>
    </bk>
    <bk>
      <rc t="2" v="7443"/>
    </bk>
    <bk>
      <rc t="2" v="7444"/>
    </bk>
    <bk>
      <rc t="2" v="7445"/>
    </bk>
    <bk>
      <rc t="2" v="7446"/>
    </bk>
    <bk>
      <rc t="2" v="7447"/>
    </bk>
    <bk>
      <rc t="2" v="7448"/>
    </bk>
    <bk>
      <rc t="2" v="7449"/>
    </bk>
    <bk>
      <rc t="2" v="7450"/>
    </bk>
    <bk>
      <rc t="2" v="7451"/>
    </bk>
    <bk>
      <rc t="2" v="7452"/>
    </bk>
    <bk>
      <rc t="2" v="7453"/>
    </bk>
    <bk>
      <rc t="2" v="7454"/>
    </bk>
    <bk>
      <rc t="2" v="7455"/>
    </bk>
    <bk>
      <rc t="2" v="7456"/>
    </bk>
    <bk>
      <rc t="2" v="7457"/>
    </bk>
    <bk>
      <rc t="2" v="7458"/>
    </bk>
    <bk>
      <rc t="2" v="7459"/>
    </bk>
    <bk>
      <rc t="2" v="7460"/>
    </bk>
    <bk>
      <rc t="2" v="7461"/>
    </bk>
    <bk>
      <rc t="2" v="7462"/>
    </bk>
    <bk>
      <rc t="2" v="7463"/>
    </bk>
    <bk>
      <rc t="2" v="7464"/>
    </bk>
    <bk>
      <rc t="2" v="7465"/>
    </bk>
    <bk>
      <rc t="2" v="7466"/>
    </bk>
    <bk>
      <rc t="2" v="7467"/>
    </bk>
    <bk>
      <rc t="2" v="7468"/>
    </bk>
    <bk>
      <rc t="2" v="7469"/>
    </bk>
    <bk>
      <rc t="2" v="7470"/>
    </bk>
    <bk>
      <rc t="2" v="7471"/>
    </bk>
    <bk>
      <rc t="2" v="7472"/>
    </bk>
    <bk>
      <rc t="2" v="7473"/>
    </bk>
    <bk>
      <rc t="2" v="7474"/>
    </bk>
    <bk>
      <rc t="2" v="7475"/>
    </bk>
    <bk>
      <rc t="2" v="7476"/>
    </bk>
    <bk>
      <rc t="2" v="7477"/>
    </bk>
    <bk>
      <rc t="2" v="7478"/>
    </bk>
    <bk>
      <rc t="2" v="7479"/>
    </bk>
    <bk>
      <rc t="2" v="7480"/>
    </bk>
    <bk>
      <rc t="2" v="7481"/>
    </bk>
    <bk>
      <rc t="2" v="7482"/>
    </bk>
    <bk>
      <rc t="2" v="7483"/>
    </bk>
    <bk>
      <rc t="2" v="7484"/>
    </bk>
    <bk>
      <rc t="2" v="7485"/>
    </bk>
    <bk>
      <rc t="2" v="7486"/>
    </bk>
    <bk>
      <rc t="2" v="7487"/>
    </bk>
    <bk>
      <rc t="2" v="7488"/>
    </bk>
    <bk>
      <rc t="2" v="7489"/>
    </bk>
    <bk>
      <rc t="2" v="7490"/>
    </bk>
    <bk>
      <rc t="2" v="7491"/>
    </bk>
    <bk>
      <rc t="2" v="7492"/>
    </bk>
    <bk>
      <rc t="2" v="7493"/>
    </bk>
    <bk>
      <rc t="2" v="7494"/>
    </bk>
    <bk>
      <rc t="2" v="7495"/>
    </bk>
    <bk>
      <rc t="2" v="7496"/>
    </bk>
    <bk>
      <rc t="2" v="7497"/>
    </bk>
    <bk>
      <rc t="2" v="7498"/>
    </bk>
    <bk>
      <rc t="2" v="7499"/>
    </bk>
    <bk>
      <rc t="2" v="7500"/>
    </bk>
    <bk>
      <rc t="2" v="7501"/>
    </bk>
    <bk>
      <rc t="2" v="7502"/>
    </bk>
    <bk>
      <rc t="2" v="7503"/>
    </bk>
    <bk>
      <rc t="2" v="7504"/>
    </bk>
    <bk>
      <rc t="2" v="7505"/>
    </bk>
    <bk>
      <rc t="2" v="7506"/>
    </bk>
    <bk>
      <rc t="2" v="7507"/>
    </bk>
    <bk>
      <rc t="2" v="7508"/>
    </bk>
    <bk>
      <rc t="2" v="7509"/>
    </bk>
    <bk>
      <rc t="2" v="7510"/>
    </bk>
    <bk>
      <rc t="2" v="7511"/>
    </bk>
    <bk>
      <rc t="2" v="7512"/>
    </bk>
    <bk>
      <rc t="2" v="7513"/>
    </bk>
    <bk>
      <rc t="2" v="7514"/>
    </bk>
    <bk>
      <rc t="2" v="7515"/>
    </bk>
    <bk>
      <rc t="2" v="7516"/>
    </bk>
    <bk>
      <rc t="2" v="7517"/>
    </bk>
    <bk>
      <rc t="2" v="7518"/>
    </bk>
    <bk>
      <rc t="2" v="7519"/>
    </bk>
    <bk>
      <rc t="2" v="7520"/>
    </bk>
    <bk>
      <rc t="2" v="7521"/>
    </bk>
    <bk>
      <rc t="2" v="7522"/>
    </bk>
    <bk>
      <rc t="2" v="7523"/>
    </bk>
    <bk>
      <rc t="2" v="7524"/>
    </bk>
    <bk>
      <rc t="2" v="7525"/>
    </bk>
    <bk>
      <rc t="2" v="7526"/>
    </bk>
    <bk>
      <rc t="2" v="7527"/>
    </bk>
    <bk>
      <rc t="2" v="7528"/>
    </bk>
    <bk>
      <rc t="2" v="7529"/>
    </bk>
    <bk>
      <rc t="2" v="7530"/>
    </bk>
    <bk>
      <rc t="2" v="7531"/>
    </bk>
    <bk>
      <rc t="2" v="7532"/>
    </bk>
    <bk>
      <rc t="2" v="7533"/>
    </bk>
    <bk>
      <rc t="2" v="7534"/>
    </bk>
    <bk>
      <rc t="2" v="7535"/>
    </bk>
    <bk>
      <rc t="2" v="7536"/>
    </bk>
    <bk>
      <rc t="2" v="7537"/>
    </bk>
    <bk>
      <rc t="2" v="7538"/>
    </bk>
    <bk>
      <rc t="2" v="7539"/>
    </bk>
    <bk>
      <rc t="2" v="7540"/>
    </bk>
    <bk>
      <rc t="2" v="7541"/>
    </bk>
    <bk>
      <rc t="2" v="7542"/>
    </bk>
    <bk>
      <rc t="2" v="7543"/>
    </bk>
    <bk>
      <rc t="2" v="7544"/>
    </bk>
    <bk>
      <rc t="2" v="7545"/>
    </bk>
    <bk>
      <rc t="2" v="7546"/>
    </bk>
    <bk>
      <rc t="2" v="7547"/>
    </bk>
    <bk>
      <rc t="2" v="7548"/>
    </bk>
    <bk>
      <rc t="2" v="7549"/>
    </bk>
    <bk>
      <rc t="2" v="7550"/>
    </bk>
    <bk>
      <rc t="2" v="7551"/>
    </bk>
    <bk>
      <rc t="2" v="7552"/>
    </bk>
    <bk>
      <rc t="2" v="7553"/>
    </bk>
    <bk>
      <rc t="2" v="7554"/>
    </bk>
    <bk>
      <rc t="2" v="7555"/>
    </bk>
    <bk>
      <rc t="2" v="7556"/>
    </bk>
    <bk>
      <rc t="2" v="7557"/>
    </bk>
    <bk>
      <rc t="2" v="7558"/>
    </bk>
    <bk>
      <rc t="2" v="7559"/>
    </bk>
    <bk>
      <rc t="2" v="7560"/>
    </bk>
    <bk>
      <rc t="2" v="7561"/>
    </bk>
    <bk>
      <rc t="2" v="7562"/>
    </bk>
    <bk>
      <rc t="2" v="7563"/>
    </bk>
    <bk>
      <rc t="2" v="7564"/>
    </bk>
    <bk>
      <rc t="2" v="7565"/>
    </bk>
    <bk>
      <rc t="2" v="7566"/>
    </bk>
    <bk>
      <rc t="2" v="7567"/>
    </bk>
    <bk>
      <rc t="2" v="7568"/>
    </bk>
    <bk>
      <rc t="2" v="7569"/>
    </bk>
    <bk>
      <rc t="2" v="7570"/>
    </bk>
    <bk>
      <rc t="2" v="7571"/>
    </bk>
    <bk>
      <rc t="2" v="7572"/>
    </bk>
    <bk>
      <rc t="2" v="7573"/>
    </bk>
    <bk>
      <rc t="2" v="7574"/>
    </bk>
    <bk>
      <rc t="2" v="7575"/>
    </bk>
    <bk>
      <rc t="2" v="7576"/>
    </bk>
    <bk>
      <rc t="2" v="7577"/>
    </bk>
    <bk>
      <rc t="2" v="7578"/>
    </bk>
    <bk>
      <rc t="2" v="7579"/>
    </bk>
    <bk>
      <rc t="2" v="7580"/>
    </bk>
    <bk>
      <rc t="2" v="7581"/>
    </bk>
    <bk>
      <rc t="2" v="7582"/>
    </bk>
    <bk>
      <rc t="2" v="7583"/>
    </bk>
    <bk>
      <rc t="2" v="7584"/>
    </bk>
    <bk>
      <rc t="2" v="7585"/>
    </bk>
    <bk>
      <rc t="2" v="7586"/>
    </bk>
    <bk>
      <rc t="2" v="7587"/>
    </bk>
    <bk>
      <rc t="2" v="7588"/>
    </bk>
    <bk>
      <rc t="2" v="7589"/>
    </bk>
    <bk>
      <rc t="2" v="7590"/>
    </bk>
    <bk>
      <rc t="2" v="7591"/>
    </bk>
    <bk>
      <rc t="2" v="7592"/>
    </bk>
    <bk>
      <rc t="2" v="7593"/>
    </bk>
    <bk>
      <rc t="2" v="7594"/>
    </bk>
    <bk>
      <rc t="2" v="7595"/>
    </bk>
    <bk>
      <rc t="2" v="7596"/>
    </bk>
    <bk>
      <rc t="2" v="7597"/>
    </bk>
    <bk>
      <rc t="2" v="7598"/>
    </bk>
    <bk>
      <rc t="2" v="7599"/>
    </bk>
    <bk>
      <rc t="2" v="7600"/>
    </bk>
    <bk>
      <rc t="2" v="7601"/>
    </bk>
    <bk>
      <rc t="2" v="7602"/>
    </bk>
    <bk>
      <rc t="2" v="7603"/>
    </bk>
    <bk>
      <rc t="2" v="7604"/>
    </bk>
    <bk>
      <rc t="2" v="7605"/>
    </bk>
    <bk>
      <rc t="2" v="7606"/>
    </bk>
    <bk>
      <rc t="2" v="7607"/>
    </bk>
    <bk>
      <rc t="2" v="7608"/>
    </bk>
    <bk>
      <rc t="2" v="7609"/>
    </bk>
    <bk>
      <rc t="2" v="7610"/>
    </bk>
    <bk>
      <rc t="2" v="7611"/>
    </bk>
    <bk>
      <rc t="2" v="7612"/>
    </bk>
    <bk>
      <rc t="2" v="7613"/>
    </bk>
    <bk>
      <rc t="2" v="7614"/>
    </bk>
    <bk>
      <rc t="2" v="7615"/>
    </bk>
    <bk>
      <rc t="2" v="7616"/>
    </bk>
    <bk>
      <rc t="2" v="7617"/>
    </bk>
    <bk>
      <rc t="2" v="7618"/>
    </bk>
    <bk>
      <rc t="2" v="7619"/>
    </bk>
    <bk>
      <rc t="2" v="7620"/>
    </bk>
    <bk>
      <rc t="2" v="7621"/>
    </bk>
    <bk>
      <rc t="2" v="7622"/>
    </bk>
    <bk>
      <rc t="2" v="7623"/>
    </bk>
    <bk>
      <rc t="2" v="7624"/>
    </bk>
    <bk>
      <rc t="2" v="7625"/>
    </bk>
    <bk>
      <rc t="2" v="7626"/>
    </bk>
    <bk>
      <rc t="2" v="7627"/>
    </bk>
    <bk>
      <rc t="2" v="7628"/>
    </bk>
    <bk>
      <rc t="2" v="7629"/>
    </bk>
    <bk>
      <rc t="2" v="7630"/>
    </bk>
    <bk>
      <rc t="2" v="7631"/>
    </bk>
    <bk>
      <rc t="2" v="7632"/>
    </bk>
    <bk>
      <rc t="2" v="7633"/>
    </bk>
    <bk>
      <rc t="2" v="7634"/>
    </bk>
    <bk>
      <rc t="2" v="7635"/>
    </bk>
    <bk>
      <rc t="2" v="7636"/>
    </bk>
    <bk>
      <rc t="2" v="7637"/>
    </bk>
    <bk>
      <rc t="2" v="7638"/>
    </bk>
    <bk>
      <rc t="2" v="7639"/>
    </bk>
    <bk>
      <rc t="2" v="7640"/>
    </bk>
    <bk>
      <rc t="2" v="7641"/>
    </bk>
    <bk>
      <rc t="2" v="7642"/>
    </bk>
    <bk>
      <rc t="2" v="7643"/>
    </bk>
    <bk>
      <rc t="2" v="7644"/>
    </bk>
    <bk>
      <rc t="2" v="7645"/>
    </bk>
    <bk>
      <rc t="2" v="7646"/>
    </bk>
    <bk>
      <rc t="2" v="7647"/>
    </bk>
    <bk>
      <rc t="2" v="7648"/>
    </bk>
    <bk>
      <rc t="2" v="7649"/>
    </bk>
    <bk>
      <rc t="2" v="7650"/>
    </bk>
    <bk>
      <rc t="2" v="7651"/>
    </bk>
    <bk>
      <rc t="2" v="7652"/>
    </bk>
    <bk>
      <rc t="2" v="7653"/>
    </bk>
    <bk>
      <rc t="2" v="7654"/>
    </bk>
    <bk>
      <rc t="2" v="7655"/>
    </bk>
    <bk>
      <rc t="2" v="7656"/>
    </bk>
    <bk>
      <rc t="2" v="7657"/>
    </bk>
    <bk>
      <rc t="2" v="7658"/>
    </bk>
    <bk>
      <rc t="2" v="7659"/>
    </bk>
    <bk>
      <rc t="2" v="7660"/>
    </bk>
    <bk>
      <rc t="2" v="7661"/>
    </bk>
    <bk>
      <rc t="2" v="7662"/>
    </bk>
    <bk>
      <rc t="2" v="7663"/>
    </bk>
    <bk>
      <rc t="2" v="7664"/>
    </bk>
    <bk>
      <rc t="2" v="7665"/>
    </bk>
    <bk>
      <rc t="2" v="7666"/>
    </bk>
    <bk>
      <rc t="2" v="7667"/>
    </bk>
    <bk>
      <rc t="2" v="7668"/>
    </bk>
    <bk>
      <rc t="2" v="7669"/>
    </bk>
    <bk>
      <rc t="2" v="7670"/>
    </bk>
    <bk>
      <rc t="2" v="7671"/>
    </bk>
    <bk>
      <rc t="2" v="7672"/>
    </bk>
    <bk>
      <rc t="2" v="7673"/>
    </bk>
    <bk>
      <rc t="2" v="7674"/>
    </bk>
    <bk>
      <rc t="2" v="7675"/>
    </bk>
    <bk>
      <rc t="2" v="7676"/>
    </bk>
    <bk>
      <rc t="2" v="7677"/>
    </bk>
    <bk>
      <rc t="2" v="7678"/>
    </bk>
    <bk>
      <rc t="2" v="7679"/>
    </bk>
    <bk>
      <rc t="2" v="7680"/>
    </bk>
    <bk>
      <rc t="2" v="7681"/>
    </bk>
    <bk>
      <rc t="2" v="7682"/>
    </bk>
    <bk>
      <rc t="2" v="7683"/>
    </bk>
    <bk>
      <rc t="2" v="7684"/>
    </bk>
    <bk>
      <rc t="2" v="7685"/>
    </bk>
    <bk>
      <rc t="2" v="7686"/>
    </bk>
    <bk>
      <rc t="2" v="7687"/>
    </bk>
    <bk>
      <rc t="2" v="7688"/>
    </bk>
    <bk>
      <rc t="2" v="7689"/>
    </bk>
    <bk>
      <rc t="2" v="7690"/>
    </bk>
    <bk>
      <rc t="2" v="7691"/>
    </bk>
    <bk>
      <rc t="2" v="7692"/>
    </bk>
    <bk>
      <rc t="2" v="7693"/>
    </bk>
    <bk>
      <rc t="2" v="7694"/>
    </bk>
    <bk>
      <rc t="2" v="7695"/>
    </bk>
    <bk>
      <rc t="2" v="7696"/>
    </bk>
    <bk>
      <rc t="2" v="7697"/>
    </bk>
    <bk>
      <rc t="2" v="7698"/>
    </bk>
    <bk>
      <rc t="2" v="7699"/>
    </bk>
    <bk>
      <rc t="2" v="7700"/>
    </bk>
    <bk>
      <rc t="2" v="7701"/>
    </bk>
    <bk>
      <rc t="2" v="7702"/>
    </bk>
    <bk>
      <rc t="2" v="7703"/>
    </bk>
    <bk>
      <rc t="2" v="7704"/>
    </bk>
    <bk>
      <rc t="2" v="7705"/>
    </bk>
    <bk>
      <rc t="2" v="7706"/>
    </bk>
    <bk>
      <rc t="2" v="7707"/>
    </bk>
    <bk>
      <rc t="2" v="7708"/>
    </bk>
    <bk>
      <rc t="2" v="7709"/>
    </bk>
    <bk>
      <rc t="2" v="7710"/>
    </bk>
    <bk>
      <rc t="2" v="7711"/>
    </bk>
    <bk>
      <rc t="2" v="7712"/>
    </bk>
    <bk>
      <rc t="2" v="7713"/>
    </bk>
    <bk>
      <rc t="2" v="7714"/>
    </bk>
    <bk>
      <rc t="2" v="7715"/>
    </bk>
    <bk>
      <rc t="2" v="7716"/>
    </bk>
    <bk>
      <rc t="2" v="7717"/>
    </bk>
    <bk>
      <rc t="2" v="7718"/>
    </bk>
    <bk>
      <rc t="2" v="7719"/>
    </bk>
    <bk>
      <rc t="2" v="7720"/>
    </bk>
    <bk>
      <rc t="2" v="7721"/>
    </bk>
    <bk>
      <rc t="2" v="7722"/>
    </bk>
    <bk>
      <rc t="2" v="7723"/>
    </bk>
    <bk>
      <rc t="2" v="7724"/>
    </bk>
    <bk>
      <rc t="2" v="7725"/>
    </bk>
    <bk>
      <rc t="2" v="7726"/>
    </bk>
    <bk>
      <rc t="2" v="7727"/>
    </bk>
    <bk>
      <rc t="2" v="7728"/>
    </bk>
    <bk>
      <rc t="2" v="7729"/>
    </bk>
    <bk>
      <rc t="2" v="7730"/>
    </bk>
    <bk>
      <rc t="2" v="7731"/>
    </bk>
    <bk>
      <rc t="2" v="7732"/>
    </bk>
    <bk>
      <rc t="2" v="7733"/>
    </bk>
    <bk>
      <rc t="2" v="7734"/>
    </bk>
    <bk>
      <rc t="2" v="7735"/>
    </bk>
    <bk>
      <rc t="2" v="7736"/>
    </bk>
    <bk>
      <rc t="2" v="7737"/>
    </bk>
    <bk>
      <rc t="2" v="7738"/>
    </bk>
    <bk>
      <rc t="2" v="7739"/>
    </bk>
    <bk>
      <rc t="2" v="7740"/>
    </bk>
    <bk>
      <rc t="2" v="7741"/>
    </bk>
    <bk>
      <rc t="2" v="7742"/>
    </bk>
    <bk>
      <rc t="2" v="7743"/>
    </bk>
    <bk>
      <rc t="2" v="7744"/>
    </bk>
    <bk>
      <rc t="2" v="7745"/>
    </bk>
    <bk>
      <rc t="2" v="7746"/>
    </bk>
    <bk>
      <rc t="2" v="7747"/>
    </bk>
    <bk>
      <rc t="2" v="7748"/>
    </bk>
    <bk>
      <rc t="2" v="7749"/>
    </bk>
    <bk>
      <rc t="2" v="7750"/>
    </bk>
    <bk>
      <rc t="2" v="7751"/>
    </bk>
    <bk>
      <rc t="2" v="7752"/>
    </bk>
    <bk>
      <rc t="2" v="7753"/>
    </bk>
    <bk>
      <rc t="2" v="7754"/>
    </bk>
    <bk>
      <rc t="2" v="7755"/>
    </bk>
    <bk>
      <rc t="2" v="7756"/>
    </bk>
    <bk>
      <rc t="2" v="7757"/>
    </bk>
    <bk>
      <rc t="2" v="7758"/>
    </bk>
    <bk>
      <rc t="2" v="7759"/>
    </bk>
    <bk>
      <rc t="2" v="7760"/>
    </bk>
    <bk>
      <rc t="2" v="7761"/>
    </bk>
    <bk>
      <rc t="2" v="7762"/>
    </bk>
    <bk>
      <rc t="2" v="7763"/>
    </bk>
    <bk>
      <rc t="2" v="7764"/>
    </bk>
    <bk>
      <rc t="2" v="7765"/>
    </bk>
    <bk>
      <rc t="2" v="7766"/>
    </bk>
    <bk>
      <rc t="2" v="7767"/>
    </bk>
    <bk>
      <rc t="2" v="7768"/>
    </bk>
    <bk>
      <rc t="2" v="7769"/>
    </bk>
    <bk>
      <rc t="2" v="7770"/>
    </bk>
    <bk>
      <rc t="2" v="7771"/>
    </bk>
    <bk>
      <rc t="2" v="7772"/>
    </bk>
    <bk>
      <rc t="2" v="7773"/>
    </bk>
    <bk>
      <rc t="2" v="7774"/>
    </bk>
    <bk>
      <rc t="2" v="7775"/>
    </bk>
    <bk>
      <rc t="2" v="7776"/>
    </bk>
    <bk>
      <rc t="2" v="7777"/>
    </bk>
    <bk>
      <rc t="2" v="7778"/>
    </bk>
    <bk>
      <rc t="2" v="7779"/>
    </bk>
    <bk>
      <rc t="2" v="7780"/>
    </bk>
    <bk>
      <rc t="2" v="7781"/>
    </bk>
    <bk>
      <rc t="2" v="7782"/>
    </bk>
    <bk>
      <rc t="2" v="7783"/>
    </bk>
    <bk>
      <rc t="2" v="7784"/>
    </bk>
    <bk>
      <rc t="2" v="7785"/>
    </bk>
    <bk>
      <rc t="2" v="7786"/>
    </bk>
    <bk>
      <rc t="2" v="7787"/>
    </bk>
    <bk>
      <rc t="2" v="7788"/>
    </bk>
    <bk>
      <rc t="2" v="7789"/>
    </bk>
    <bk>
      <rc t="2" v="7790"/>
    </bk>
    <bk>
      <rc t="2" v="7791"/>
    </bk>
    <bk>
      <rc t="2" v="7792"/>
    </bk>
    <bk>
      <rc t="2" v="7793"/>
    </bk>
    <bk>
      <rc t="2" v="7794"/>
    </bk>
    <bk>
      <rc t="2" v="7795"/>
    </bk>
    <bk>
      <rc t="2" v="7796"/>
    </bk>
    <bk>
      <rc t="2" v="7797"/>
    </bk>
    <bk>
      <rc t="2" v="7798"/>
    </bk>
    <bk>
      <rc t="2" v="7799"/>
    </bk>
    <bk>
      <rc t="2" v="7800"/>
    </bk>
    <bk>
      <rc t="2" v="7801"/>
    </bk>
    <bk>
      <rc t="2" v="7802"/>
    </bk>
    <bk>
      <rc t="2" v="7803"/>
    </bk>
    <bk>
      <rc t="2" v="7804"/>
    </bk>
    <bk>
      <rc t="2" v="7805"/>
    </bk>
    <bk>
      <rc t="2" v="7806"/>
    </bk>
    <bk>
      <rc t="2" v="7807"/>
    </bk>
    <bk>
      <rc t="2" v="7808"/>
    </bk>
    <bk>
      <rc t="2" v="7809"/>
    </bk>
    <bk>
      <rc t="2" v="7810"/>
    </bk>
    <bk>
      <rc t="2" v="7811"/>
    </bk>
    <bk>
      <rc t="2" v="7812"/>
    </bk>
    <bk>
      <rc t="2" v="7813"/>
    </bk>
    <bk>
      <rc t="2" v="7814"/>
    </bk>
    <bk>
      <rc t="2" v="7815"/>
    </bk>
    <bk>
      <rc t="2" v="7816"/>
    </bk>
    <bk>
      <rc t="2" v="7817"/>
    </bk>
    <bk>
      <rc t="2" v="7818"/>
    </bk>
    <bk>
      <rc t="2" v="7819"/>
    </bk>
    <bk>
      <rc t="2" v="7820"/>
    </bk>
    <bk>
      <rc t="2" v="7821"/>
    </bk>
    <bk>
      <rc t="2" v="7822"/>
    </bk>
    <bk>
      <rc t="2" v="7823"/>
    </bk>
    <bk>
      <rc t="2" v="7824"/>
    </bk>
    <bk>
      <rc t="2" v="7825"/>
    </bk>
    <bk>
      <rc t="2" v="7826"/>
    </bk>
    <bk>
      <rc t="2" v="7827"/>
    </bk>
    <bk>
      <rc t="2" v="7828"/>
    </bk>
    <bk>
      <rc t="2" v="7829"/>
    </bk>
    <bk>
      <rc t="2" v="7830"/>
    </bk>
    <bk>
      <rc t="2" v="7831"/>
    </bk>
    <bk>
      <rc t="2" v="7832"/>
    </bk>
    <bk>
      <rc t="2" v="7833"/>
    </bk>
    <bk>
      <rc t="2" v="7834"/>
    </bk>
    <bk>
      <rc t="2" v="7835"/>
    </bk>
    <bk>
      <rc t="2" v="7836"/>
    </bk>
    <bk>
      <rc t="2" v="7837"/>
    </bk>
    <bk>
      <rc t="2" v="7838"/>
    </bk>
    <bk>
      <rc t="2" v="7839"/>
    </bk>
    <bk>
      <rc t="2" v="7840"/>
    </bk>
    <bk>
      <rc t="2" v="7841"/>
    </bk>
    <bk>
      <rc t="2" v="7842"/>
    </bk>
    <bk>
      <rc t="2" v="7843"/>
    </bk>
    <bk>
      <rc t="2" v="7844"/>
    </bk>
    <bk>
      <rc t="2" v="7845"/>
    </bk>
    <bk>
      <rc t="2" v="7846"/>
    </bk>
    <bk>
      <rc t="2" v="7847"/>
    </bk>
    <bk>
      <rc t="2" v="7848"/>
    </bk>
    <bk>
      <rc t="2" v="7849"/>
    </bk>
    <bk>
      <rc t="2" v="7850"/>
    </bk>
    <bk>
      <rc t="2" v="7851"/>
    </bk>
    <bk>
      <rc t="2" v="7852"/>
    </bk>
    <bk>
      <rc t="2" v="7853"/>
    </bk>
    <bk>
      <rc t="2" v="7854"/>
    </bk>
    <bk>
      <rc t="2" v="7855"/>
    </bk>
    <bk>
      <rc t="2" v="7856"/>
    </bk>
    <bk>
      <rc t="2" v="7857"/>
    </bk>
    <bk>
      <rc t="2" v="7858"/>
    </bk>
    <bk>
      <rc t="2" v="7859"/>
    </bk>
    <bk>
      <rc t="2" v="7860"/>
    </bk>
    <bk>
      <rc t="2" v="7861"/>
    </bk>
    <bk>
      <rc t="2" v="7862"/>
    </bk>
    <bk>
      <rc t="2" v="7863"/>
    </bk>
    <bk>
      <rc t="2" v="7864"/>
    </bk>
    <bk>
      <rc t="2" v="7865"/>
    </bk>
    <bk>
      <rc t="2" v="7866"/>
    </bk>
    <bk>
      <rc t="2" v="7867"/>
    </bk>
    <bk>
      <rc t="2" v="7868"/>
    </bk>
    <bk>
      <rc t="2" v="7869"/>
    </bk>
    <bk>
      <rc t="2" v="7870"/>
    </bk>
    <bk>
      <rc t="2" v="7871"/>
    </bk>
    <bk>
      <rc t="2" v="7872"/>
    </bk>
    <bk>
      <rc t="2" v="7873"/>
    </bk>
    <bk>
      <rc t="2" v="7874"/>
    </bk>
    <bk>
      <rc t="2" v="7875"/>
    </bk>
    <bk>
      <rc t="2" v="7876"/>
    </bk>
    <bk>
      <rc t="2" v="7877"/>
    </bk>
    <bk>
      <rc t="2" v="7878"/>
    </bk>
    <bk>
      <rc t="2" v="7879"/>
    </bk>
    <bk>
      <rc t="2" v="7880"/>
    </bk>
    <bk>
      <rc t="2" v="7881"/>
    </bk>
    <bk>
      <rc t="2" v="7882"/>
    </bk>
    <bk>
      <rc t="2" v="7883"/>
    </bk>
    <bk>
      <rc t="2" v="7884"/>
    </bk>
    <bk>
      <rc t="2" v="7885"/>
    </bk>
    <bk>
      <rc t="2" v="7886"/>
    </bk>
    <bk>
      <rc t="2" v="7887"/>
    </bk>
    <bk>
      <rc t="2" v="7888"/>
    </bk>
    <bk>
      <rc t="2" v="7889"/>
    </bk>
    <bk>
      <rc t="2" v="7890"/>
    </bk>
    <bk>
      <rc t="2" v="7891"/>
    </bk>
    <bk>
      <rc t="2" v="7892"/>
    </bk>
    <bk>
      <rc t="2" v="7893"/>
    </bk>
    <bk>
      <rc t="2" v="7894"/>
    </bk>
    <bk>
      <rc t="2" v="7895"/>
    </bk>
    <bk>
      <rc t="2" v="7896"/>
    </bk>
    <bk>
      <rc t="2" v="7897"/>
    </bk>
    <bk>
      <rc t="2" v="7898"/>
    </bk>
    <bk>
      <rc t="2" v="7899"/>
    </bk>
    <bk>
      <rc t="2" v="7900"/>
    </bk>
    <bk>
      <rc t="2" v="7901"/>
    </bk>
    <bk>
      <rc t="2" v="7902"/>
    </bk>
    <bk>
      <rc t="2" v="7903"/>
    </bk>
    <bk>
      <rc t="2" v="7904"/>
    </bk>
    <bk>
      <rc t="2" v="7905"/>
    </bk>
    <bk>
      <rc t="2" v="7906"/>
    </bk>
    <bk>
      <rc t="2" v="7907"/>
    </bk>
    <bk>
      <rc t="2" v="7908"/>
    </bk>
    <bk>
      <rc t="2" v="7909"/>
    </bk>
    <bk>
      <rc t="2" v="7910"/>
    </bk>
    <bk>
      <rc t="2" v="7911"/>
    </bk>
    <bk>
      <rc t="2" v="7912"/>
    </bk>
    <bk>
      <rc t="2" v="7913"/>
    </bk>
    <bk>
      <rc t="2" v="7914"/>
    </bk>
    <bk>
      <rc t="2" v="7915"/>
    </bk>
    <bk>
      <rc t="2" v="7916"/>
    </bk>
    <bk>
      <rc t="2" v="7917"/>
    </bk>
    <bk>
      <rc t="2" v="7918"/>
    </bk>
    <bk>
      <rc t="2" v="7919"/>
    </bk>
    <bk>
      <rc t="2" v="7920"/>
    </bk>
    <bk>
      <rc t="2" v="7921"/>
    </bk>
    <bk>
      <rc t="2" v="7922"/>
    </bk>
    <bk>
      <rc t="2" v="7923"/>
    </bk>
    <bk>
      <rc t="2" v="7924"/>
    </bk>
    <bk>
      <rc t="2" v="7925"/>
    </bk>
    <bk>
      <rc t="2" v="7926"/>
    </bk>
    <bk>
      <rc t="2" v="7927"/>
    </bk>
    <bk>
      <rc t="2" v="7928"/>
    </bk>
    <bk>
      <rc t="2" v="7929"/>
    </bk>
    <bk>
      <rc t="2" v="7930"/>
    </bk>
    <bk>
      <rc t="2" v="7931"/>
    </bk>
    <bk>
      <rc t="2" v="7932"/>
    </bk>
    <bk>
      <rc t="2" v="7933"/>
    </bk>
    <bk>
      <rc t="2" v="7934"/>
    </bk>
    <bk>
      <rc t="2" v="7935"/>
    </bk>
    <bk>
      <rc t="2" v="7936"/>
    </bk>
    <bk>
      <rc t="2" v="7937"/>
    </bk>
    <bk>
      <rc t="2" v="7938"/>
    </bk>
    <bk>
      <rc t="2" v="7939"/>
    </bk>
    <bk>
      <rc t="2" v="7940"/>
    </bk>
    <bk>
      <rc t="2" v="7941"/>
    </bk>
    <bk>
      <rc t="2" v="7942"/>
    </bk>
    <bk>
      <rc t="2" v="7943"/>
    </bk>
    <bk>
      <rc t="2" v="7944"/>
    </bk>
    <bk>
      <rc t="2" v="7945"/>
    </bk>
    <bk>
      <rc t="2" v="7946"/>
    </bk>
    <bk>
      <rc t="2" v="7947"/>
    </bk>
    <bk>
      <rc t="2" v="7948"/>
    </bk>
    <bk>
      <rc t="2" v="7949"/>
    </bk>
    <bk>
      <rc t="2" v="7950"/>
    </bk>
    <bk>
      <rc t="2" v="7951"/>
    </bk>
    <bk>
      <rc t="2" v="7952"/>
    </bk>
    <bk>
      <rc t="2" v="7953"/>
    </bk>
    <bk>
      <rc t="2" v="7954"/>
    </bk>
    <bk>
      <rc t="2" v="7955"/>
    </bk>
    <bk>
      <rc t="2" v="7956"/>
    </bk>
    <bk>
      <rc t="2" v="7957"/>
    </bk>
    <bk>
      <rc t="2" v="7958"/>
    </bk>
    <bk>
      <rc t="2" v="7959"/>
    </bk>
    <bk>
      <rc t="2" v="7960"/>
    </bk>
    <bk>
      <rc t="2" v="7961"/>
    </bk>
    <bk>
      <rc t="2" v="7962"/>
    </bk>
    <bk>
      <rc t="2" v="7963"/>
    </bk>
    <bk>
      <rc t="2" v="7964"/>
    </bk>
    <bk>
      <rc t="2" v="7965"/>
    </bk>
    <bk>
      <rc t="2" v="7966"/>
    </bk>
    <bk>
      <rc t="2" v="7967"/>
    </bk>
    <bk>
      <rc t="2" v="7968"/>
    </bk>
    <bk>
      <rc t="2" v="7969"/>
    </bk>
    <bk>
      <rc t="2" v="7970"/>
    </bk>
    <bk>
      <rc t="2" v="7971"/>
    </bk>
    <bk>
      <rc t="2" v="7972"/>
    </bk>
    <bk>
      <rc t="2" v="7973"/>
    </bk>
    <bk>
      <rc t="2" v="7974"/>
    </bk>
    <bk>
      <rc t="2" v="7975"/>
    </bk>
    <bk>
      <rc t="2" v="7976"/>
    </bk>
    <bk>
      <rc t="2" v="7977"/>
    </bk>
    <bk>
      <rc t="2" v="7978"/>
    </bk>
    <bk>
      <rc t="2" v="7979"/>
    </bk>
    <bk>
      <rc t="2" v="7980"/>
    </bk>
    <bk>
      <rc t="2" v="7981"/>
    </bk>
    <bk>
      <rc t="2" v="7982"/>
    </bk>
    <bk>
      <rc t="2" v="7983"/>
    </bk>
    <bk>
      <rc t="2" v="7984"/>
    </bk>
    <bk>
      <rc t="2" v="7985"/>
    </bk>
    <bk>
      <rc t="2" v="7986"/>
    </bk>
    <bk>
      <rc t="2" v="7987"/>
    </bk>
    <bk>
      <rc t="2" v="7988"/>
    </bk>
    <bk>
      <rc t="2" v="7989"/>
    </bk>
    <bk>
      <rc t="2" v="7990"/>
    </bk>
    <bk>
      <rc t="2" v="7991"/>
    </bk>
    <bk>
      <rc t="2" v="7992"/>
    </bk>
    <bk>
      <rc t="2" v="7993"/>
    </bk>
    <bk>
      <rc t="2" v="7994"/>
    </bk>
    <bk>
      <rc t="2" v="7995"/>
    </bk>
    <bk>
      <rc t="2" v="7996"/>
    </bk>
    <bk>
      <rc t="2" v="7997"/>
    </bk>
    <bk>
      <rc t="2" v="7998"/>
    </bk>
    <bk>
      <rc t="2" v="7999"/>
    </bk>
    <bk>
      <rc t="2" v="8000"/>
    </bk>
    <bk>
      <rc t="2" v="8001"/>
    </bk>
    <bk>
      <rc t="2" v="8002"/>
    </bk>
    <bk>
      <rc t="2" v="8003"/>
    </bk>
    <bk>
      <rc t="2" v="8004"/>
    </bk>
    <bk>
      <rc t="2" v="8005"/>
    </bk>
    <bk>
      <rc t="2" v="8006"/>
    </bk>
    <bk>
      <rc t="2" v="8007"/>
    </bk>
    <bk>
      <rc t="2" v="8008"/>
    </bk>
    <bk>
      <rc t="2" v="8009"/>
    </bk>
    <bk>
      <rc t="2" v="8010"/>
    </bk>
    <bk>
      <rc t="2" v="8011"/>
    </bk>
    <bk>
      <rc t="2" v="8012"/>
    </bk>
    <bk>
      <rc t="2" v="8013"/>
    </bk>
    <bk>
      <rc t="2" v="8014"/>
    </bk>
    <bk>
      <rc t="2" v="8015"/>
    </bk>
    <bk>
      <rc t="2" v="8016"/>
    </bk>
    <bk>
      <rc t="2" v="8017"/>
    </bk>
    <bk>
      <rc t="2" v="8018"/>
    </bk>
    <bk>
      <rc t="2" v="8019"/>
    </bk>
    <bk>
      <rc t="2" v="8020"/>
    </bk>
    <bk>
      <rc t="2" v="8021"/>
    </bk>
    <bk>
      <rc t="2" v="8022"/>
    </bk>
    <bk>
      <rc t="2" v="8023"/>
    </bk>
    <bk>
      <rc t="2" v="8024"/>
    </bk>
    <bk>
      <rc t="2" v="8025"/>
    </bk>
    <bk>
      <rc t="2" v="8026"/>
    </bk>
    <bk>
      <rc t="2" v="8027"/>
    </bk>
    <bk>
      <rc t="2" v="8028"/>
    </bk>
    <bk>
      <rc t="2" v="8029"/>
    </bk>
    <bk>
      <rc t="2" v="8030"/>
    </bk>
    <bk>
      <rc t="2" v="8031"/>
    </bk>
    <bk>
      <rc t="2" v="8032"/>
    </bk>
    <bk>
      <rc t="2" v="8033"/>
    </bk>
    <bk>
      <rc t="2" v="8034"/>
    </bk>
    <bk>
      <rc t="2" v="8035"/>
    </bk>
    <bk>
      <rc t="2" v="8036"/>
    </bk>
    <bk>
      <rc t="2" v="8037"/>
    </bk>
    <bk>
      <rc t="2" v="8038"/>
    </bk>
    <bk>
      <rc t="2" v="8039"/>
    </bk>
    <bk>
      <rc t="2" v="8040"/>
    </bk>
    <bk>
      <rc t="2" v="8041"/>
    </bk>
    <bk>
      <rc t="2" v="8042"/>
    </bk>
    <bk>
      <rc t="2" v="8043"/>
    </bk>
    <bk>
      <rc t="2" v="8044"/>
    </bk>
    <bk>
      <rc t="2" v="8045"/>
    </bk>
    <bk>
      <rc t="2" v="8046"/>
    </bk>
    <bk>
      <rc t="2" v="8047"/>
    </bk>
    <bk>
      <rc t="2" v="8048"/>
    </bk>
    <bk>
      <rc t="2" v="8049"/>
    </bk>
    <bk>
      <rc t="2" v="8050"/>
    </bk>
    <bk>
      <rc t="2" v="8051"/>
    </bk>
    <bk>
      <rc t="2" v="8052"/>
    </bk>
    <bk>
      <rc t="2" v="8053"/>
    </bk>
    <bk>
      <rc t="2" v="8054"/>
    </bk>
    <bk>
      <rc t="2" v="8055"/>
    </bk>
    <bk>
      <rc t="2" v="8056"/>
    </bk>
    <bk>
      <rc t="2" v="8057"/>
    </bk>
    <bk>
      <rc t="2" v="8058"/>
    </bk>
    <bk>
      <rc t="2" v="8059"/>
    </bk>
    <bk>
      <rc t="2" v="8060"/>
    </bk>
    <bk>
      <rc t="2" v="8061"/>
    </bk>
    <bk>
      <rc t="2" v="8062"/>
    </bk>
    <bk>
      <rc t="2" v="8063"/>
    </bk>
    <bk>
      <rc t="2" v="8064"/>
    </bk>
    <bk>
      <rc t="2" v="8065"/>
    </bk>
    <bk>
      <rc t="2" v="8066"/>
    </bk>
    <bk>
      <rc t="2" v="8067"/>
    </bk>
    <bk>
      <rc t="2" v="8068"/>
    </bk>
    <bk>
      <rc t="2" v="8069"/>
    </bk>
    <bk>
      <rc t="2" v="8070"/>
    </bk>
    <bk>
      <rc t="2" v="8071"/>
    </bk>
    <bk>
      <rc t="2" v="8072"/>
    </bk>
    <bk>
      <rc t="2" v="8073"/>
    </bk>
    <bk>
      <rc t="2" v="8074"/>
    </bk>
    <bk>
      <rc t="2" v="8075"/>
    </bk>
    <bk>
      <rc t="2" v="8076"/>
    </bk>
    <bk>
      <rc t="2" v="8077"/>
    </bk>
    <bk>
      <rc t="2" v="8078"/>
    </bk>
    <bk>
      <rc t="2" v="8079"/>
    </bk>
    <bk>
      <rc t="2" v="8080"/>
    </bk>
    <bk>
      <rc t="2" v="8081"/>
    </bk>
    <bk>
      <rc t="2" v="8082"/>
    </bk>
    <bk>
      <rc t="2" v="8083"/>
    </bk>
    <bk>
      <rc t="2" v="8084"/>
    </bk>
    <bk>
      <rc t="2" v="8085"/>
    </bk>
    <bk>
      <rc t="2" v="8086"/>
    </bk>
    <bk>
      <rc t="2" v="8087"/>
    </bk>
    <bk>
      <rc t="2" v="8088"/>
    </bk>
    <bk>
      <rc t="2" v="8089"/>
    </bk>
    <bk>
      <rc t="2" v="8090"/>
    </bk>
    <bk>
      <rc t="2" v="8091"/>
    </bk>
    <bk>
      <rc t="2" v="8092"/>
    </bk>
    <bk>
      <rc t="2" v="8093"/>
    </bk>
    <bk>
      <rc t="2" v="8094"/>
    </bk>
    <bk>
      <rc t="2" v="8095"/>
    </bk>
    <bk>
      <rc t="2" v="8096"/>
    </bk>
    <bk>
      <rc t="2" v="8097"/>
    </bk>
    <bk>
      <rc t="2" v="8098"/>
    </bk>
    <bk>
      <rc t="2" v="8099"/>
    </bk>
    <bk>
      <rc t="2" v="8100"/>
    </bk>
    <bk>
      <rc t="2" v="8101"/>
    </bk>
    <bk>
      <rc t="2" v="8102"/>
    </bk>
    <bk>
      <rc t="2" v="8103"/>
    </bk>
    <bk>
      <rc t="2" v="8104"/>
    </bk>
    <bk>
      <rc t="2" v="8105"/>
    </bk>
    <bk>
      <rc t="2" v="8106"/>
    </bk>
    <bk>
      <rc t="2" v="8107"/>
    </bk>
    <bk>
      <rc t="2" v="8108"/>
    </bk>
    <bk>
      <rc t="2" v="8109"/>
    </bk>
    <bk>
      <rc t="2" v="8110"/>
    </bk>
    <bk>
      <rc t="2" v="8111"/>
    </bk>
    <bk>
      <rc t="2" v="8112"/>
    </bk>
    <bk>
      <rc t="2" v="8113"/>
    </bk>
    <bk>
      <rc t="2" v="8114"/>
    </bk>
    <bk>
      <rc t="2" v="8115"/>
    </bk>
    <bk>
      <rc t="2" v="8116"/>
    </bk>
    <bk>
      <rc t="2" v="8117"/>
    </bk>
    <bk>
      <rc t="2" v="8118"/>
    </bk>
    <bk>
      <rc t="2" v="8119"/>
    </bk>
    <bk>
      <rc t="2" v="8120"/>
    </bk>
    <bk>
      <rc t="2" v="8121"/>
    </bk>
    <bk>
      <rc t="2" v="8122"/>
    </bk>
    <bk>
      <rc t="2" v="8123"/>
    </bk>
    <bk>
      <rc t="2" v="8124"/>
    </bk>
    <bk>
      <rc t="2" v="8125"/>
    </bk>
    <bk>
      <rc t="2" v="8126"/>
    </bk>
    <bk>
      <rc t="2" v="8127"/>
    </bk>
    <bk>
      <rc t="2" v="8128"/>
    </bk>
    <bk>
      <rc t="2" v="8129"/>
    </bk>
    <bk>
      <rc t="2" v="8130"/>
    </bk>
    <bk>
      <rc t="2" v="8131"/>
    </bk>
    <bk>
      <rc t="2" v="8132"/>
    </bk>
    <bk>
      <rc t="2" v="8133"/>
    </bk>
    <bk>
      <rc t="2" v="8134"/>
    </bk>
    <bk>
      <rc t="2" v="8135"/>
    </bk>
    <bk>
      <rc t="2" v="8136"/>
    </bk>
    <bk>
      <rc t="2" v="8137"/>
    </bk>
    <bk>
      <rc t="2" v="8138"/>
    </bk>
    <bk>
      <rc t="2" v="8139"/>
    </bk>
    <bk>
      <rc t="2" v="8140"/>
    </bk>
    <bk>
      <rc t="2" v="8141"/>
    </bk>
    <bk>
      <rc t="2" v="8142"/>
    </bk>
    <bk>
      <rc t="2" v="8143"/>
    </bk>
    <bk>
      <rc t="2" v="8144"/>
    </bk>
    <bk>
      <rc t="2" v="8145"/>
    </bk>
    <bk>
      <rc t="2" v="8146"/>
    </bk>
    <bk>
      <rc t="2" v="8147"/>
    </bk>
    <bk>
      <rc t="2" v="8148"/>
    </bk>
    <bk>
      <rc t="2" v="8149"/>
    </bk>
    <bk>
      <rc t="2" v="8150"/>
    </bk>
    <bk>
      <rc t="2" v="8151"/>
    </bk>
    <bk>
      <rc t="2" v="8152"/>
    </bk>
    <bk>
      <rc t="2" v="8153"/>
    </bk>
    <bk>
      <rc t="2" v="8154"/>
    </bk>
    <bk>
      <rc t="2" v="8155"/>
    </bk>
    <bk>
      <rc t="2" v="8156"/>
    </bk>
    <bk>
      <rc t="2" v="8157"/>
    </bk>
    <bk>
      <rc t="2" v="8158"/>
    </bk>
    <bk>
      <rc t="2" v="8159"/>
    </bk>
    <bk>
      <rc t="2" v="8160"/>
    </bk>
    <bk>
      <rc t="2" v="8161"/>
    </bk>
    <bk>
      <rc t="2" v="8162"/>
    </bk>
    <bk>
      <rc t="2" v="8163"/>
    </bk>
    <bk>
      <rc t="2" v="8164"/>
    </bk>
    <bk>
      <rc t="2" v="8165"/>
    </bk>
    <bk>
      <rc t="2" v="8166"/>
    </bk>
    <bk>
      <rc t="2" v="8167"/>
    </bk>
    <bk>
      <rc t="2" v="8168"/>
    </bk>
    <bk>
      <rc t="2" v="8169"/>
    </bk>
    <bk>
      <rc t="2" v="8170"/>
    </bk>
    <bk>
      <rc t="2" v="8171"/>
    </bk>
    <bk>
      <rc t="2" v="8172"/>
    </bk>
    <bk>
      <rc t="2" v="8173"/>
    </bk>
    <bk>
      <rc t="2" v="8174"/>
    </bk>
    <bk>
      <rc t="2" v="8175"/>
    </bk>
    <bk>
      <rc t="2" v="8176"/>
    </bk>
    <bk>
      <rc t="2" v="8177"/>
    </bk>
    <bk>
      <rc t="2" v="8178"/>
    </bk>
    <bk>
      <rc t="2" v="8179"/>
    </bk>
    <bk>
      <rc t="2" v="8180"/>
    </bk>
    <bk>
      <rc t="2" v="8181"/>
    </bk>
    <bk>
      <rc t="2" v="8182"/>
    </bk>
    <bk>
      <rc t="2" v="8183"/>
    </bk>
    <bk>
      <rc t="2" v="8184"/>
    </bk>
    <bk>
      <rc t="2" v="8185"/>
    </bk>
    <bk>
      <rc t="2" v="8186"/>
    </bk>
    <bk>
      <rc t="2" v="8187"/>
    </bk>
    <bk>
      <rc t="2" v="8188"/>
    </bk>
    <bk>
      <rc t="2" v="8189"/>
    </bk>
    <bk>
      <rc t="2" v="8190"/>
    </bk>
    <bk>
      <rc t="2" v="8191"/>
    </bk>
    <bk>
      <rc t="2" v="8192"/>
    </bk>
    <bk>
      <rc t="2" v="8193"/>
    </bk>
    <bk>
      <rc t="2" v="8194"/>
    </bk>
    <bk>
      <rc t="2" v="8195"/>
    </bk>
    <bk>
      <rc t="2" v="8196"/>
    </bk>
    <bk>
      <rc t="2" v="8197"/>
    </bk>
    <bk>
      <rc t="2" v="8198"/>
    </bk>
    <bk>
      <rc t="2" v="8199"/>
    </bk>
    <bk>
      <rc t="2" v="8200"/>
    </bk>
    <bk>
      <rc t="2" v="8201"/>
    </bk>
    <bk>
      <rc t="2" v="8202"/>
    </bk>
    <bk>
      <rc t="2" v="8203"/>
    </bk>
    <bk>
      <rc t="2" v="8204"/>
    </bk>
    <bk>
      <rc t="2" v="8205"/>
    </bk>
    <bk>
      <rc t="2" v="8206"/>
    </bk>
    <bk>
      <rc t="2" v="8207"/>
    </bk>
    <bk>
      <rc t="2" v="8208"/>
    </bk>
    <bk>
      <rc t="2" v="8209"/>
    </bk>
    <bk>
      <rc t="2" v="8210"/>
    </bk>
    <bk>
      <rc t="2" v="8211"/>
    </bk>
    <bk>
      <rc t="2" v="8212"/>
    </bk>
    <bk>
      <rc t="2" v="8213"/>
    </bk>
    <bk>
      <rc t="2" v="8214"/>
    </bk>
    <bk>
      <rc t="2" v="8215"/>
    </bk>
    <bk>
      <rc t="2" v="8216"/>
    </bk>
    <bk>
      <rc t="2" v="8217"/>
    </bk>
    <bk>
      <rc t="2" v="8218"/>
    </bk>
    <bk>
      <rc t="2" v="8219"/>
    </bk>
    <bk>
      <rc t="2" v="8220"/>
    </bk>
    <bk>
      <rc t="2" v="8221"/>
    </bk>
    <bk>
      <rc t="2" v="8222"/>
    </bk>
    <bk>
      <rc t="2" v="8223"/>
    </bk>
    <bk>
      <rc t="2" v="8224"/>
    </bk>
    <bk>
      <rc t="2" v="8225"/>
    </bk>
    <bk>
      <rc t="2" v="8226"/>
    </bk>
    <bk>
      <rc t="2" v="8227"/>
    </bk>
    <bk>
      <rc t="2" v="8228"/>
    </bk>
    <bk>
      <rc t="2" v="8229"/>
    </bk>
    <bk>
      <rc t="2" v="8230"/>
    </bk>
    <bk>
      <rc t="2" v="8231"/>
    </bk>
    <bk>
      <rc t="2" v="8232"/>
    </bk>
    <bk>
      <rc t="2" v="8233"/>
    </bk>
    <bk>
      <rc t="2" v="8234"/>
    </bk>
    <bk>
      <rc t="2" v="8235"/>
    </bk>
    <bk>
      <rc t="2" v="8236"/>
    </bk>
    <bk>
      <rc t="2" v="8237"/>
    </bk>
    <bk>
      <rc t="2" v="8238"/>
    </bk>
    <bk>
      <rc t="2" v="8239"/>
    </bk>
    <bk>
      <rc t="2" v="8240"/>
    </bk>
    <bk>
      <rc t="2" v="8241"/>
    </bk>
    <bk>
      <rc t="2" v="8242"/>
    </bk>
    <bk>
      <rc t="2" v="8243"/>
    </bk>
    <bk>
      <rc t="2" v="8244"/>
    </bk>
    <bk>
      <rc t="2" v="8245"/>
    </bk>
    <bk>
      <rc t="2" v="8246"/>
    </bk>
    <bk>
      <rc t="2" v="8247"/>
    </bk>
    <bk>
      <rc t="2" v="8248"/>
    </bk>
    <bk>
      <rc t="2" v="8249"/>
    </bk>
    <bk>
      <rc t="2" v="8250"/>
    </bk>
    <bk>
      <rc t="2" v="8251"/>
    </bk>
    <bk>
      <rc t="2" v="8252"/>
    </bk>
    <bk>
      <rc t="2" v="8253"/>
    </bk>
    <bk>
      <rc t="2" v="8254"/>
    </bk>
    <bk>
      <rc t="2" v="8255"/>
    </bk>
    <bk>
      <rc t="2" v="8256"/>
    </bk>
    <bk>
      <rc t="2" v="8257"/>
    </bk>
    <bk>
      <rc t="2" v="8258"/>
    </bk>
    <bk>
      <rc t="2" v="8259"/>
    </bk>
    <bk>
      <rc t="2" v="8260"/>
    </bk>
    <bk>
      <rc t="2" v="8261"/>
    </bk>
    <bk>
      <rc t="2" v="8262"/>
    </bk>
    <bk>
      <rc t="2" v="8263"/>
    </bk>
    <bk>
      <rc t="2" v="8264"/>
    </bk>
    <bk>
      <rc t="2" v="8265"/>
    </bk>
    <bk>
      <rc t="2" v="8266"/>
    </bk>
    <bk>
      <rc t="2" v="8267"/>
    </bk>
    <bk>
      <rc t="2" v="8268"/>
    </bk>
    <bk>
      <rc t="2" v="8269"/>
    </bk>
    <bk>
      <rc t="2" v="8270"/>
    </bk>
    <bk>
      <rc t="2" v="8271"/>
    </bk>
    <bk>
      <rc t="2" v="8272"/>
    </bk>
    <bk>
      <rc t="2" v="8273"/>
    </bk>
    <bk>
      <rc t="2" v="8274"/>
    </bk>
    <bk>
      <rc t="2" v="8275"/>
    </bk>
    <bk>
      <rc t="2" v="8276"/>
    </bk>
    <bk>
      <rc t="2" v="8277"/>
    </bk>
    <bk>
      <rc t="2" v="8278"/>
    </bk>
    <bk>
      <rc t="2" v="8279"/>
    </bk>
    <bk>
      <rc t="2" v="8280"/>
    </bk>
    <bk>
      <rc t="2" v="8281"/>
    </bk>
    <bk>
      <rc t="2" v="8282"/>
    </bk>
    <bk>
      <rc t="2" v="8283"/>
    </bk>
    <bk>
      <rc t="2" v="8284"/>
    </bk>
    <bk>
      <rc t="2" v="8285"/>
    </bk>
    <bk>
      <rc t="2" v="8286"/>
    </bk>
    <bk>
      <rc t="2" v="8287"/>
    </bk>
    <bk>
      <rc t="2" v="8288"/>
    </bk>
    <bk>
      <rc t="2" v="8289"/>
    </bk>
    <bk>
      <rc t="2" v="8290"/>
    </bk>
    <bk>
      <rc t="2" v="8291"/>
    </bk>
    <bk>
      <rc t="2" v="8292"/>
    </bk>
    <bk>
      <rc t="2" v="8293"/>
    </bk>
    <bk>
      <rc t="2" v="8294"/>
    </bk>
    <bk>
      <rc t="2" v="8295"/>
    </bk>
    <bk>
      <rc t="2" v="8296"/>
    </bk>
    <bk>
      <rc t="2" v="8297"/>
    </bk>
    <bk>
      <rc t="2" v="8298"/>
    </bk>
    <bk>
      <rc t="2" v="8299"/>
    </bk>
    <bk>
      <rc t="2" v="8300"/>
    </bk>
    <bk>
      <rc t="2" v="8301"/>
    </bk>
    <bk>
      <rc t="2" v="8302"/>
    </bk>
    <bk>
      <rc t="2" v="8303"/>
    </bk>
    <bk>
      <rc t="2" v="8304"/>
    </bk>
    <bk>
      <rc t="2" v="8305"/>
    </bk>
    <bk>
      <rc t="2" v="8306"/>
    </bk>
    <bk>
      <rc t="2" v="8307"/>
    </bk>
    <bk>
      <rc t="2" v="8308"/>
    </bk>
    <bk>
      <rc t="2" v="8309"/>
    </bk>
    <bk>
      <rc t="2" v="8310"/>
    </bk>
    <bk>
      <rc t="2" v="8311"/>
    </bk>
    <bk>
      <rc t="2" v="8312"/>
    </bk>
    <bk>
      <rc t="2" v="8313"/>
    </bk>
    <bk>
      <rc t="2" v="8314"/>
    </bk>
    <bk>
      <rc t="2" v="8315"/>
    </bk>
    <bk>
      <rc t="2" v="8316"/>
    </bk>
    <bk>
      <rc t="2" v="8317"/>
    </bk>
    <bk>
      <rc t="2" v="8318"/>
    </bk>
    <bk>
      <rc t="2" v="8319"/>
    </bk>
    <bk>
      <rc t="2" v="8320"/>
    </bk>
    <bk>
      <rc t="2" v="8321"/>
    </bk>
    <bk>
      <rc t="2" v="8322"/>
    </bk>
    <bk>
      <rc t="2" v="8323"/>
    </bk>
    <bk>
      <rc t="2" v="8324"/>
    </bk>
    <bk>
      <rc t="2" v="8325"/>
    </bk>
    <bk>
      <rc t="2" v="8326"/>
    </bk>
    <bk>
      <rc t="2" v="8327"/>
    </bk>
    <bk>
      <rc t="2" v="8328"/>
    </bk>
    <bk>
      <rc t="2" v="8329"/>
    </bk>
    <bk>
      <rc t="2" v="8330"/>
    </bk>
    <bk>
      <rc t="2" v="8331"/>
    </bk>
    <bk>
      <rc t="2" v="8332"/>
    </bk>
    <bk>
      <rc t="2" v="8333"/>
    </bk>
    <bk>
      <rc t="2" v="8334"/>
    </bk>
    <bk>
      <rc t="2" v="8335"/>
    </bk>
    <bk>
      <rc t="2" v="8336"/>
    </bk>
    <bk>
      <rc t="2" v="8337"/>
    </bk>
    <bk>
      <rc t="2" v="8338"/>
    </bk>
    <bk>
      <rc t="2" v="8339"/>
    </bk>
    <bk>
      <rc t="2" v="8340"/>
    </bk>
    <bk>
      <rc t="2" v="8341"/>
    </bk>
    <bk>
      <rc t="2" v="8342"/>
    </bk>
    <bk>
      <rc t="2" v="8343"/>
    </bk>
    <bk>
      <rc t="2" v="8344"/>
    </bk>
    <bk>
      <rc t="2" v="8345"/>
    </bk>
    <bk>
      <rc t="2" v="8346"/>
    </bk>
    <bk>
      <rc t="2" v="8347"/>
    </bk>
    <bk>
      <rc t="2" v="8348"/>
    </bk>
    <bk>
      <rc t="2" v="8349"/>
    </bk>
    <bk>
      <rc t="2" v="8350"/>
    </bk>
    <bk>
      <rc t="2" v="8351"/>
    </bk>
    <bk>
      <rc t="2" v="8352"/>
    </bk>
    <bk>
      <rc t="2" v="8353"/>
    </bk>
    <bk>
      <rc t="2" v="8354"/>
    </bk>
    <bk>
      <rc t="2" v="8355"/>
    </bk>
    <bk>
      <rc t="2" v="8356"/>
    </bk>
    <bk>
      <rc t="2" v="8357"/>
    </bk>
    <bk>
      <rc t="2" v="8358"/>
    </bk>
    <bk>
      <rc t="2" v="8359"/>
    </bk>
    <bk>
      <rc t="2" v="8360"/>
    </bk>
    <bk>
      <rc t="2" v="8361"/>
    </bk>
    <bk>
      <rc t="2" v="8362"/>
    </bk>
    <bk>
      <rc t="2" v="8363"/>
    </bk>
    <bk>
      <rc t="2" v="8364"/>
    </bk>
    <bk>
      <rc t="2" v="8365"/>
    </bk>
    <bk>
      <rc t="2" v="8366"/>
    </bk>
    <bk>
      <rc t="2" v="8367"/>
    </bk>
    <bk>
      <rc t="2" v="8368"/>
    </bk>
    <bk>
      <rc t="2" v="8369"/>
    </bk>
    <bk>
      <rc t="2" v="8370"/>
    </bk>
    <bk>
      <rc t="2" v="8371"/>
    </bk>
    <bk>
      <rc t="2" v="8372"/>
    </bk>
    <bk>
      <rc t="2" v="8373"/>
    </bk>
    <bk>
      <rc t="2" v="8374"/>
    </bk>
    <bk>
      <rc t="2" v="8375"/>
    </bk>
    <bk>
      <rc t="2" v="8376"/>
    </bk>
    <bk>
      <rc t="2" v="8377"/>
    </bk>
    <bk>
      <rc t="2" v="8378"/>
    </bk>
    <bk>
      <rc t="2" v="8379"/>
    </bk>
    <bk>
      <rc t="2" v="8380"/>
    </bk>
    <bk>
      <rc t="2" v="8381"/>
    </bk>
    <bk>
      <rc t="2" v="8382"/>
    </bk>
    <bk>
      <rc t="2" v="8383"/>
    </bk>
    <bk>
      <rc t="2" v="8384"/>
    </bk>
    <bk>
      <rc t="2" v="8385"/>
    </bk>
    <bk>
      <rc t="2" v="8386"/>
    </bk>
    <bk>
      <rc t="2" v="8387"/>
    </bk>
    <bk>
      <rc t="2" v="8388"/>
    </bk>
    <bk>
      <rc t="2" v="8389"/>
    </bk>
    <bk>
      <rc t="2" v="8390"/>
    </bk>
    <bk>
      <rc t="2" v="8391"/>
    </bk>
    <bk>
      <rc t="2" v="8392"/>
    </bk>
    <bk>
      <rc t="2" v="8393"/>
    </bk>
    <bk>
      <rc t="2" v="8394"/>
    </bk>
    <bk>
      <rc t="2" v="8395"/>
    </bk>
    <bk>
      <rc t="2" v="8396"/>
    </bk>
    <bk>
      <rc t="2" v="8397"/>
    </bk>
    <bk>
      <rc t="2" v="8398"/>
    </bk>
    <bk>
      <rc t="2" v="8399"/>
    </bk>
    <bk>
      <rc t="2" v="8400"/>
    </bk>
    <bk>
      <rc t="2" v="8401"/>
    </bk>
    <bk>
      <rc t="2" v="8402"/>
    </bk>
    <bk>
      <rc t="2" v="8403"/>
    </bk>
    <bk>
      <rc t="2" v="8404"/>
    </bk>
    <bk>
      <rc t="2" v="8405"/>
    </bk>
    <bk>
      <rc t="2" v="8406"/>
    </bk>
    <bk>
      <rc t="2" v="8407"/>
    </bk>
    <bk>
      <rc t="2" v="8408"/>
    </bk>
    <bk>
      <rc t="2" v="8409"/>
    </bk>
    <bk>
      <rc t="2" v="8410"/>
    </bk>
    <bk>
      <rc t="2" v="8411"/>
    </bk>
    <bk>
      <rc t="2" v="8412"/>
    </bk>
    <bk>
      <rc t="2" v="8413"/>
    </bk>
    <bk>
      <rc t="2" v="8414"/>
    </bk>
    <bk>
      <rc t="2" v="8415"/>
    </bk>
    <bk>
      <rc t="2" v="8416"/>
    </bk>
    <bk>
      <rc t="2" v="8417"/>
    </bk>
    <bk>
      <rc t="2" v="8418"/>
    </bk>
    <bk>
      <rc t="2" v="8419"/>
    </bk>
    <bk>
      <rc t="2" v="8420"/>
    </bk>
    <bk>
      <rc t="2" v="8421"/>
    </bk>
    <bk>
      <rc t="2" v="8422"/>
    </bk>
    <bk>
      <rc t="2" v="8423"/>
    </bk>
    <bk>
      <rc t="2" v="8424"/>
    </bk>
    <bk>
      <rc t="2" v="8425"/>
    </bk>
    <bk>
      <rc t="2" v="8426"/>
    </bk>
    <bk>
      <rc t="2" v="8427"/>
    </bk>
    <bk>
      <rc t="2" v="8428"/>
    </bk>
    <bk>
      <rc t="2" v="8429"/>
    </bk>
    <bk>
      <rc t="2" v="8430"/>
    </bk>
    <bk>
      <rc t="2" v="8431"/>
    </bk>
    <bk>
      <rc t="2" v="8432"/>
    </bk>
    <bk>
      <rc t="2" v="8433"/>
    </bk>
    <bk>
      <rc t="2" v="8434"/>
    </bk>
    <bk>
      <rc t="2" v="8435"/>
    </bk>
    <bk>
      <rc t="2" v="8436"/>
    </bk>
    <bk>
      <rc t="2" v="8437"/>
    </bk>
    <bk>
      <rc t="2" v="8438"/>
    </bk>
    <bk>
      <rc t="2" v="8439"/>
    </bk>
    <bk>
      <rc t="2" v="8440"/>
    </bk>
    <bk>
      <rc t="2" v="8441"/>
    </bk>
    <bk>
      <rc t="2" v="8442"/>
    </bk>
    <bk>
      <rc t="2" v="8443"/>
    </bk>
    <bk>
      <rc t="2" v="8444"/>
    </bk>
    <bk>
      <rc t="2" v="8445"/>
    </bk>
    <bk>
      <rc t="2" v="8446"/>
    </bk>
    <bk>
      <rc t="2" v="8447"/>
    </bk>
    <bk>
      <rc t="2" v="8448"/>
    </bk>
    <bk>
      <rc t="2" v="8449"/>
    </bk>
    <bk>
      <rc t="2" v="8450"/>
    </bk>
    <bk>
      <rc t="2" v="8451"/>
    </bk>
    <bk>
      <rc t="2" v="8452"/>
    </bk>
    <bk>
      <rc t="2" v="8453"/>
    </bk>
    <bk>
      <rc t="2" v="8454"/>
    </bk>
    <bk>
      <rc t="2" v="8455"/>
    </bk>
    <bk>
      <rc t="2" v="8456"/>
    </bk>
    <bk>
      <rc t="2" v="8457"/>
    </bk>
    <bk>
      <rc t="2" v="8458"/>
    </bk>
    <bk>
      <rc t="2" v="8459"/>
    </bk>
    <bk>
      <rc t="2" v="8460"/>
    </bk>
    <bk>
      <rc t="2" v="8461"/>
    </bk>
    <bk>
      <rc t="2" v="8462"/>
    </bk>
    <bk>
      <rc t="2" v="8463"/>
    </bk>
    <bk>
      <rc t="2" v="8464"/>
    </bk>
    <bk>
      <rc t="2" v="8465"/>
    </bk>
    <bk>
      <rc t="2" v="8466"/>
    </bk>
    <bk>
      <rc t="2" v="8467"/>
    </bk>
    <bk>
      <rc t="2" v="8468"/>
    </bk>
    <bk>
      <rc t="2" v="8469"/>
    </bk>
    <bk>
      <rc t="2" v="8470"/>
    </bk>
    <bk>
      <rc t="2" v="8471"/>
    </bk>
    <bk>
      <rc t="2" v="8472"/>
    </bk>
    <bk>
      <rc t="2" v="8473"/>
    </bk>
    <bk>
      <rc t="2" v="8474"/>
    </bk>
    <bk>
      <rc t="2" v="8475"/>
    </bk>
    <bk>
      <rc t="2" v="8476"/>
    </bk>
    <bk>
      <rc t="2" v="8477"/>
    </bk>
    <bk>
      <rc t="2" v="8478"/>
    </bk>
    <bk>
      <rc t="2" v="8479"/>
    </bk>
    <bk>
      <rc t="2" v="8480"/>
    </bk>
    <bk>
      <rc t="2" v="8481"/>
    </bk>
    <bk>
      <rc t="2" v="8482"/>
    </bk>
    <bk>
      <rc t="2" v="8483"/>
    </bk>
    <bk>
      <rc t="2" v="8484"/>
    </bk>
    <bk>
      <rc t="2" v="8485"/>
    </bk>
    <bk>
      <rc t="2" v="8486"/>
    </bk>
    <bk>
      <rc t="2" v="8487"/>
    </bk>
    <bk>
      <rc t="2" v="8488"/>
    </bk>
    <bk>
      <rc t="2" v="8489"/>
    </bk>
    <bk>
      <rc t="2" v="8490"/>
    </bk>
    <bk>
      <rc t="2" v="8491"/>
    </bk>
    <bk>
      <rc t="2" v="8492"/>
    </bk>
    <bk>
      <rc t="2" v="8493"/>
    </bk>
    <bk>
      <rc t="2" v="8494"/>
    </bk>
    <bk>
      <rc t="2" v="8495"/>
    </bk>
    <bk>
      <rc t="2" v="8496"/>
    </bk>
    <bk>
      <rc t="2" v="8497"/>
    </bk>
    <bk>
      <rc t="2" v="8498"/>
    </bk>
    <bk>
      <rc t="2" v="8499"/>
    </bk>
    <bk>
      <rc t="2" v="8500"/>
    </bk>
    <bk>
      <rc t="2" v="8501"/>
    </bk>
    <bk>
      <rc t="2" v="8502"/>
    </bk>
    <bk>
      <rc t="2" v="8503"/>
    </bk>
    <bk>
      <rc t="2" v="8504"/>
    </bk>
    <bk>
      <rc t="2" v="8505"/>
    </bk>
    <bk>
      <rc t="2" v="8506"/>
    </bk>
    <bk>
      <rc t="2" v="8507"/>
    </bk>
    <bk>
      <rc t="2" v="8508"/>
    </bk>
    <bk>
      <rc t="2" v="8509"/>
    </bk>
    <bk>
      <rc t="2" v="8510"/>
    </bk>
    <bk>
      <rc t="2" v="8511"/>
    </bk>
    <bk>
      <rc t="2" v="8512"/>
    </bk>
    <bk>
      <rc t="2" v="8513"/>
    </bk>
    <bk>
      <rc t="2" v="8514"/>
    </bk>
    <bk>
      <rc t="2" v="8515"/>
    </bk>
    <bk>
      <rc t="2" v="8516"/>
    </bk>
    <bk>
      <rc t="2" v="8517"/>
    </bk>
    <bk>
      <rc t="2" v="8518"/>
    </bk>
    <bk>
      <rc t="2" v="8519"/>
    </bk>
    <bk>
      <rc t="2" v="8520"/>
    </bk>
    <bk>
      <rc t="2" v="8521"/>
    </bk>
    <bk>
      <rc t="2" v="8522"/>
    </bk>
    <bk>
      <rc t="2" v="8523"/>
    </bk>
    <bk>
      <rc t="2" v="8524"/>
    </bk>
    <bk>
      <rc t="2" v="8525"/>
    </bk>
    <bk>
      <rc t="2" v="8526"/>
    </bk>
    <bk>
      <rc t="2" v="8527"/>
    </bk>
    <bk>
      <rc t="2" v="8528"/>
    </bk>
    <bk>
      <rc t="2" v="8529"/>
    </bk>
    <bk>
      <rc t="2" v="8530"/>
    </bk>
    <bk>
      <rc t="2" v="8531"/>
    </bk>
    <bk>
      <rc t="2" v="8532"/>
    </bk>
    <bk>
      <rc t="2" v="8533"/>
    </bk>
    <bk>
      <rc t="2" v="8534"/>
    </bk>
    <bk>
      <rc t="2" v="8535"/>
    </bk>
    <bk>
      <rc t="2" v="8536"/>
    </bk>
    <bk>
      <rc t="2" v="8537"/>
    </bk>
    <bk>
      <rc t="2" v="8538"/>
    </bk>
    <bk>
      <rc t="2" v="8539"/>
    </bk>
    <bk>
      <rc t="2" v="8540"/>
    </bk>
    <bk>
      <rc t="2" v="8541"/>
    </bk>
    <bk>
      <rc t="2" v="8542"/>
    </bk>
    <bk>
      <rc t="2" v="8543"/>
    </bk>
    <bk>
      <rc t="2" v="8544"/>
    </bk>
    <bk>
      <rc t="2" v="8545"/>
    </bk>
    <bk>
      <rc t="2" v="8546"/>
    </bk>
    <bk>
      <rc t="2" v="8547"/>
    </bk>
    <bk>
      <rc t="2" v="8548"/>
    </bk>
    <bk>
      <rc t="2" v="8549"/>
    </bk>
    <bk>
      <rc t="2" v="8550"/>
    </bk>
    <bk>
      <rc t="2" v="8551"/>
    </bk>
    <bk>
      <rc t="2" v="8552"/>
    </bk>
    <bk>
      <rc t="2" v="8553"/>
    </bk>
    <bk>
      <rc t="2" v="8554"/>
    </bk>
    <bk>
      <rc t="2" v="8555"/>
    </bk>
    <bk>
      <rc t="2" v="8556"/>
    </bk>
    <bk>
      <rc t="2" v="8557"/>
    </bk>
    <bk>
      <rc t="2" v="8558"/>
    </bk>
    <bk>
      <rc t="2" v="8559"/>
    </bk>
    <bk>
      <rc t="2" v="8560"/>
    </bk>
    <bk>
      <rc t="2" v="8561"/>
    </bk>
    <bk>
      <rc t="2" v="8562"/>
    </bk>
    <bk>
      <rc t="2" v="8563"/>
    </bk>
    <bk>
      <rc t="2" v="8564"/>
    </bk>
    <bk>
      <rc t="2" v="8565"/>
    </bk>
    <bk>
      <rc t="2" v="8566"/>
    </bk>
    <bk>
      <rc t="2" v="8567"/>
    </bk>
    <bk>
      <rc t="2" v="8568"/>
    </bk>
    <bk>
      <rc t="2" v="8569"/>
    </bk>
    <bk>
      <rc t="2" v="8570"/>
    </bk>
    <bk>
      <rc t="2" v="8571"/>
    </bk>
    <bk>
      <rc t="2" v="8572"/>
    </bk>
    <bk>
      <rc t="2" v="8573"/>
    </bk>
    <bk>
      <rc t="2" v="8574"/>
    </bk>
    <bk>
      <rc t="2" v="8575"/>
    </bk>
    <bk>
      <rc t="2" v="8576"/>
    </bk>
    <bk>
      <rc t="2" v="8577"/>
    </bk>
    <bk>
      <rc t="2" v="8578"/>
    </bk>
    <bk>
      <rc t="2" v="8579"/>
    </bk>
    <bk>
      <rc t="2" v="8580"/>
    </bk>
    <bk>
      <rc t="2" v="8581"/>
    </bk>
    <bk>
      <rc t="2" v="8582"/>
    </bk>
    <bk>
      <rc t="2" v="8583"/>
    </bk>
    <bk>
      <rc t="2" v="8584"/>
    </bk>
    <bk>
      <rc t="2" v="8585"/>
    </bk>
    <bk>
      <rc t="2" v="8586"/>
    </bk>
    <bk>
      <rc t="2" v="8587"/>
    </bk>
    <bk>
      <rc t="2" v="8588"/>
    </bk>
    <bk>
      <rc t="2" v="8589"/>
    </bk>
    <bk>
      <rc t="2" v="8590"/>
    </bk>
    <bk>
      <rc t="2" v="8591"/>
    </bk>
    <bk>
      <rc t="2" v="8592"/>
    </bk>
    <bk>
      <rc t="2" v="8593"/>
    </bk>
    <bk>
      <rc t="2" v="8594"/>
    </bk>
    <bk>
      <rc t="2" v="8595"/>
    </bk>
    <bk>
      <rc t="2" v="8596"/>
    </bk>
    <bk>
      <rc t="2" v="8597"/>
    </bk>
    <bk>
      <rc t="2" v="8598"/>
    </bk>
    <bk>
      <rc t="2" v="8599"/>
    </bk>
    <bk>
      <rc t="2" v="8600"/>
    </bk>
    <bk>
      <rc t="2" v="8601"/>
    </bk>
    <bk>
      <rc t="2" v="8602"/>
    </bk>
    <bk>
      <rc t="2" v="8603"/>
    </bk>
    <bk>
      <rc t="2" v="8604"/>
    </bk>
    <bk>
      <rc t="2" v="8605"/>
    </bk>
    <bk>
      <rc t="2" v="8606"/>
    </bk>
    <bk>
      <rc t="2" v="8607"/>
    </bk>
    <bk>
      <rc t="2" v="8608"/>
    </bk>
    <bk>
      <rc t="2" v="8609"/>
    </bk>
    <bk>
      <rc t="2" v="8610"/>
    </bk>
    <bk>
      <rc t="2" v="8611"/>
    </bk>
    <bk>
      <rc t="2" v="8612"/>
    </bk>
    <bk>
      <rc t="2" v="8613"/>
    </bk>
    <bk>
      <rc t="2" v="8614"/>
    </bk>
    <bk>
      <rc t="2" v="8615"/>
    </bk>
    <bk>
      <rc t="2" v="8616"/>
    </bk>
    <bk>
      <rc t="2" v="8617"/>
    </bk>
    <bk>
      <rc t="2" v="8618"/>
    </bk>
    <bk>
      <rc t="2" v="8619"/>
    </bk>
    <bk>
      <rc t="2" v="8620"/>
    </bk>
    <bk>
      <rc t="2" v="8621"/>
    </bk>
    <bk>
      <rc t="2" v="8622"/>
    </bk>
    <bk>
      <rc t="2" v="8623"/>
    </bk>
    <bk>
      <rc t="2" v="8624"/>
    </bk>
    <bk>
      <rc t="2" v="8625"/>
    </bk>
    <bk>
      <rc t="2" v="8626"/>
    </bk>
    <bk>
      <rc t="2" v="8627"/>
    </bk>
    <bk>
      <rc t="2" v="8628"/>
    </bk>
    <bk>
      <rc t="2" v="8629"/>
    </bk>
    <bk>
      <rc t="2" v="8630"/>
    </bk>
    <bk>
      <rc t="2" v="8631"/>
    </bk>
    <bk>
      <rc t="2" v="8632"/>
    </bk>
    <bk>
      <rc t="2" v="8633"/>
    </bk>
    <bk>
      <rc t="2" v="8634"/>
    </bk>
    <bk>
      <rc t="2" v="8635"/>
    </bk>
    <bk>
      <rc t="2" v="8636"/>
    </bk>
    <bk>
      <rc t="2" v="8637"/>
    </bk>
    <bk>
      <rc t="2" v="8638"/>
    </bk>
    <bk>
      <rc t="2" v="8639"/>
    </bk>
    <bk>
      <rc t="2" v="8640"/>
    </bk>
    <bk>
      <rc t="2" v="8641"/>
    </bk>
    <bk>
      <rc t="2" v="8642"/>
    </bk>
    <bk>
      <rc t="2" v="8643"/>
    </bk>
    <bk>
      <rc t="2" v="8644"/>
    </bk>
    <bk>
      <rc t="2" v="8645"/>
    </bk>
    <bk>
      <rc t="2" v="8646"/>
    </bk>
    <bk>
      <rc t="2" v="8647"/>
    </bk>
    <bk>
      <rc t="2" v="8648"/>
    </bk>
    <bk>
      <rc t="2" v="8649"/>
    </bk>
    <bk>
      <rc t="2" v="8650"/>
    </bk>
    <bk>
      <rc t="2" v="8651"/>
    </bk>
    <bk>
      <rc t="2" v="8652"/>
    </bk>
    <bk>
      <rc t="2" v="8653"/>
    </bk>
    <bk>
      <rc t="2" v="8654"/>
    </bk>
    <bk>
      <rc t="2" v="8655"/>
    </bk>
    <bk>
      <rc t="2" v="8656"/>
    </bk>
    <bk>
      <rc t="2" v="8657"/>
    </bk>
    <bk>
      <rc t="2" v="8658"/>
    </bk>
    <bk>
      <rc t="2" v="8659"/>
    </bk>
    <bk>
      <rc t="2" v="8660"/>
    </bk>
    <bk>
      <rc t="2" v="8661"/>
    </bk>
    <bk>
      <rc t="2" v="8662"/>
    </bk>
    <bk>
      <rc t="2" v="8663"/>
    </bk>
    <bk>
      <rc t="2" v="8664"/>
    </bk>
    <bk>
      <rc t="2" v="8665"/>
    </bk>
    <bk>
      <rc t="2" v="8666"/>
    </bk>
    <bk>
      <rc t="2" v="8667"/>
    </bk>
    <bk>
      <rc t="2" v="8668"/>
    </bk>
    <bk>
      <rc t="2" v="8669"/>
    </bk>
    <bk>
      <rc t="2" v="8670"/>
    </bk>
    <bk>
      <rc t="2" v="8671"/>
    </bk>
    <bk>
      <rc t="2" v="8672"/>
    </bk>
    <bk>
      <rc t="2" v="8673"/>
    </bk>
    <bk>
      <rc t="2" v="8674"/>
    </bk>
    <bk>
      <rc t="2" v="8675"/>
    </bk>
    <bk>
      <rc t="2" v="8676"/>
    </bk>
    <bk>
      <rc t="2" v="8677"/>
    </bk>
    <bk>
      <rc t="2" v="8678"/>
    </bk>
    <bk>
      <rc t="2" v="8679"/>
    </bk>
    <bk>
      <rc t="2" v="8680"/>
    </bk>
    <bk>
      <rc t="2" v="8681"/>
    </bk>
    <bk>
      <rc t="2" v="8682"/>
    </bk>
    <bk>
      <rc t="2" v="8683"/>
    </bk>
    <bk>
      <rc t="2" v="8684"/>
    </bk>
    <bk>
      <rc t="2" v="8685"/>
    </bk>
    <bk>
      <rc t="2" v="8686"/>
    </bk>
    <bk>
      <rc t="2" v="8687"/>
    </bk>
    <bk>
      <rc t="2" v="8688"/>
    </bk>
    <bk>
      <rc t="2" v="8689"/>
    </bk>
    <bk>
      <rc t="2" v="8690"/>
    </bk>
    <bk>
      <rc t="2" v="8691"/>
    </bk>
    <bk>
      <rc t="2" v="8692"/>
    </bk>
    <bk>
      <rc t="2" v="8693"/>
    </bk>
    <bk>
      <rc t="2" v="8694"/>
    </bk>
    <bk>
      <rc t="2" v="8695"/>
    </bk>
    <bk>
      <rc t="2" v="8696"/>
    </bk>
    <bk>
      <rc t="2" v="8697"/>
    </bk>
    <bk>
      <rc t="2" v="8698"/>
    </bk>
    <bk>
      <rc t="2" v="8699"/>
    </bk>
    <bk>
      <rc t="2" v="8700"/>
    </bk>
    <bk>
      <rc t="2" v="8701"/>
    </bk>
    <bk>
      <rc t="2" v="8702"/>
    </bk>
    <bk>
      <rc t="2" v="8703"/>
    </bk>
    <bk>
      <rc t="2" v="8704"/>
    </bk>
    <bk>
      <rc t="2" v="8705"/>
    </bk>
    <bk>
      <rc t="2" v="8706"/>
    </bk>
    <bk>
      <rc t="2" v="8707"/>
    </bk>
    <bk>
      <rc t="2" v="8708"/>
    </bk>
    <bk>
      <rc t="2" v="8709"/>
    </bk>
    <bk>
      <rc t="2" v="8710"/>
    </bk>
    <bk>
      <rc t="2" v="8711"/>
    </bk>
    <bk>
      <rc t="2" v="8712"/>
    </bk>
    <bk>
      <rc t="2" v="8713"/>
    </bk>
    <bk>
      <rc t="2" v="8714"/>
    </bk>
    <bk>
      <rc t="2" v="8715"/>
    </bk>
    <bk>
      <rc t="2" v="8716"/>
    </bk>
    <bk>
      <rc t="2" v="8717"/>
    </bk>
    <bk>
      <rc t="2" v="8718"/>
    </bk>
    <bk>
      <rc t="2" v="8719"/>
    </bk>
    <bk>
      <rc t="2" v="8720"/>
    </bk>
    <bk>
      <rc t="2" v="8721"/>
    </bk>
    <bk>
      <rc t="2" v="8722"/>
    </bk>
    <bk>
      <rc t="2" v="8723"/>
    </bk>
    <bk>
      <rc t="2" v="8724"/>
    </bk>
    <bk>
      <rc t="2" v="8725"/>
    </bk>
    <bk>
      <rc t="2" v="8726"/>
    </bk>
    <bk>
      <rc t="2" v="8727"/>
    </bk>
    <bk>
      <rc t="2" v="8728"/>
    </bk>
    <bk>
      <rc t="2" v="8729"/>
    </bk>
    <bk>
      <rc t="2" v="8730"/>
    </bk>
    <bk>
      <rc t="2" v="8731"/>
    </bk>
    <bk>
      <rc t="2" v="8732"/>
    </bk>
    <bk>
      <rc t="2" v="8733"/>
    </bk>
    <bk>
      <rc t="2" v="8734"/>
    </bk>
    <bk>
      <rc t="2" v="8735"/>
    </bk>
    <bk>
      <rc t="2" v="8736"/>
    </bk>
    <bk>
      <rc t="2" v="8737"/>
    </bk>
    <bk>
      <rc t="2" v="8738"/>
    </bk>
    <bk>
      <rc t="2" v="8739"/>
    </bk>
    <bk>
      <rc t="2" v="8740"/>
    </bk>
    <bk>
      <rc t="2" v="8741"/>
    </bk>
    <bk>
      <rc t="2" v="8742"/>
    </bk>
    <bk>
      <rc t="2" v="8743"/>
    </bk>
    <bk>
      <rc t="2" v="8744"/>
    </bk>
    <bk>
      <rc t="2" v="8745"/>
    </bk>
    <bk>
      <rc t="2" v="8746"/>
    </bk>
    <bk>
      <rc t="2" v="8747"/>
    </bk>
    <bk>
      <rc t="2" v="8748"/>
    </bk>
    <bk>
      <rc t="2" v="8749"/>
    </bk>
    <bk>
      <rc t="2" v="8750"/>
    </bk>
    <bk>
      <rc t="2" v="8751"/>
    </bk>
    <bk>
      <rc t="2" v="8752"/>
    </bk>
    <bk>
      <rc t="2" v="8753"/>
    </bk>
    <bk>
      <rc t="2" v="8754"/>
    </bk>
    <bk>
      <rc t="2" v="8755"/>
    </bk>
    <bk>
      <rc t="2" v="8756"/>
    </bk>
    <bk>
      <rc t="2" v="8757"/>
    </bk>
    <bk>
      <rc t="2" v="8758"/>
    </bk>
    <bk>
      <rc t="2" v="8759"/>
    </bk>
    <bk>
      <rc t="2" v="8760"/>
    </bk>
    <bk>
      <rc t="2" v="8761"/>
    </bk>
    <bk>
      <rc t="2" v="8762"/>
    </bk>
    <bk>
      <rc t="2" v="8763"/>
    </bk>
    <bk>
      <rc t="2" v="8764"/>
    </bk>
    <bk>
      <rc t="2" v="8765"/>
    </bk>
    <bk>
      <rc t="2" v="8766"/>
    </bk>
    <bk>
      <rc t="2" v="8767"/>
    </bk>
    <bk>
      <rc t="2" v="8768"/>
    </bk>
    <bk>
      <rc t="2" v="8769"/>
    </bk>
    <bk>
      <rc t="2" v="8770"/>
    </bk>
    <bk>
      <rc t="2" v="8771"/>
    </bk>
    <bk>
      <rc t="2" v="8772"/>
    </bk>
    <bk>
      <rc t="2" v="8773"/>
    </bk>
    <bk>
      <rc t="2" v="8774"/>
    </bk>
    <bk>
      <rc t="2" v="8775"/>
    </bk>
    <bk>
      <rc t="2" v="8776"/>
    </bk>
    <bk>
      <rc t="2" v="8777"/>
    </bk>
    <bk>
      <rc t="2" v="8778"/>
    </bk>
    <bk>
      <rc t="2" v="8779"/>
    </bk>
    <bk>
      <rc t="2" v="8780"/>
    </bk>
    <bk>
      <rc t="2" v="8781"/>
    </bk>
    <bk>
      <rc t="2" v="8782"/>
    </bk>
    <bk>
      <rc t="2" v="8783"/>
    </bk>
    <bk>
      <rc t="2" v="8784"/>
    </bk>
    <bk>
      <rc t="2" v="8785"/>
    </bk>
    <bk>
      <rc t="2" v="8786"/>
    </bk>
    <bk>
      <rc t="2" v="8787"/>
    </bk>
    <bk>
      <rc t="2" v="8788"/>
    </bk>
    <bk>
      <rc t="2" v="8789"/>
    </bk>
    <bk>
      <rc t="2" v="8790"/>
    </bk>
    <bk>
      <rc t="2" v="8791"/>
    </bk>
    <bk>
      <rc t="2" v="8792"/>
    </bk>
    <bk>
      <rc t="2" v="8793"/>
    </bk>
    <bk>
      <rc t="2" v="8794"/>
    </bk>
    <bk>
      <rc t="2" v="8795"/>
    </bk>
    <bk>
      <rc t="2" v="8796"/>
    </bk>
    <bk>
      <rc t="2" v="8797"/>
    </bk>
    <bk>
      <rc t="2" v="8798"/>
    </bk>
    <bk>
      <rc t="2" v="8799"/>
    </bk>
    <bk>
      <rc t="2" v="8800"/>
    </bk>
    <bk>
      <rc t="2" v="8801"/>
    </bk>
    <bk>
      <rc t="2" v="8802"/>
    </bk>
    <bk>
      <rc t="2" v="8803"/>
    </bk>
    <bk>
      <rc t="2" v="8804"/>
    </bk>
    <bk>
      <rc t="2" v="8805"/>
    </bk>
    <bk>
      <rc t="2" v="8806"/>
    </bk>
    <bk>
      <rc t="2" v="8807"/>
    </bk>
    <bk>
      <rc t="2" v="8808"/>
    </bk>
    <bk>
      <rc t="2" v="8809"/>
    </bk>
    <bk>
      <rc t="2" v="8810"/>
    </bk>
    <bk>
      <rc t="2" v="8811"/>
    </bk>
    <bk>
      <rc t="2" v="8812"/>
    </bk>
    <bk>
      <rc t="2" v="8813"/>
    </bk>
    <bk>
      <rc t="2" v="8814"/>
    </bk>
    <bk>
      <rc t="2" v="8815"/>
    </bk>
    <bk>
      <rc t="2" v="8816"/>
    </bk>
    <bk>
      <rc t="2" v="8817"/>
    </bk>
    <bk>
      <rc t="2" v="8818"/>
    </bk>
    <bk>
      <rc t="2" v="8819"/>
    </bk>
    <bk>
      <rc t="2" v="8820"/>
    </bk>
    <bk>
      <rc t="2" v="8821"/>
    </bk>
    <bk>
      <rc t="2" v="8822"/>
    </bk>
    <bk>
      <rc t="2" v="8823"/>
    </bk>
    <bk>
      <rc t="2" v="8824"/>
    </bk>
    <bk>
      <rc t="2" v="8825"/>
    </bk>
    <bk>
      <rc t="2" v="8826"/>
    </bk>
    <bk>
      <rc t="2" v="8827"/>
    </bk>
    <bk>
      <rc t="2" v="8828"/>
    </bk>
    <bk>
      <rc t="2" v="8829"/>
    </bk>
    <bk>
      <rc t="2" v="8830"/>
    </bk>
    <bk>
      <rc t="2" v="8831"/>
    </bk>
    <bk>
      <rc t="2" v="8832"/>
    </bk>
    <bk>
      <rc t="2" v="8833"/>
    </bk>
    <bk>
      <rc t="2" v="8834"/>
    </bk>
    <bk>
      <rc t="2" v="8835"/>
    </bk>
    <bk>
      <rc t="2" v="8836"/>
    </bk>
    <bk>
      <rc t="2" v="8837"/>
    </bk>
    <bk>
      <rc t="2" v="8838"/>
    </bk>
    <bk>
      <rc t="2" v="8839"/>
    </bk>
    <bk>
      <rc t="2" v="8840"/>
    </bk>
    <bk>
      <rc t="2" v="8841"/>
    </bk>
    <bk>
      <rc t="2" v="8842"/>
    </bk>
    <bk>
      <rc t="2" v="8843"/>
    </bk>
    <bk>
      <rc t="2" v="8844"/>
    </bk>
    <bk>
      <rc t="2" v="8845"/>
    </bk>
    <bk>
      <rc t="2" v="8846"/>
    </bk>
    <bk>
      <rc t="2" v="8847"/>
    </bk>
    <bk>
      <rc t="2" v="8848"/>
    </bk>
    <bk>
      <rc t="2" v="8849"/>
    </bk>
    <bk>
      <rc t="2" v="8850"/>
    </bk>
    <bk>
      <rc t="2" v="8851"/>
    </bk>
    <bk>
      <rc t="2" v="8852"/>
    </bk>
    <bk>
      <rc t="2" v="8853"/>
    </bk>
    <bk>
      <rc t="2" v="8854"/>
    </bk>
    <bk>
      <rc t="2" v="8855"/>
    </bk>
    <bk>
      <rc t="2" v="8856"/>
    </bk>
    <bk>
      <rc t="2" v="8857"/>
    </bk>
    <bk>
      <rc t="2" v="8858"/>
    </bk>
    <bk>
      <rc t="2" v="8859"/>
    </bk>
    <bk>
      <rc t="2" v="8860"/>
    </bk>
    <bk>
      <rc t="2" v="8861"/>
    </bk>
    <bk>
      <rc t="2" v="8862"/>
    </bk>
    <bk>
      <rc t="2" v="8863"/>
    </bk>
    <bk>
      <rc t="2" v="8864"/>
    </bk>
    <bk>
      <rc t="2" v="8865"/>
    </bk>
    <bk>
      <rc t="2" v="8866"/>
    </bk>
    <bk>
      <rc t="2" v="8867"/>
    </bk>
    <bk>
      <rc t="2" v="8868"/>
    </bk>
    <bk>
      <rc t="2" v="8869"/>
    </bk>
    <bk>
      <rc t="2" v="8870"/>
    </bk>
    <bk>
      <rc t="2" v="8871"/>
    </bk>
    <bk>
      <rc t="2" v="8872"/>
    </bk>
    <bk>
      <rc t="2" v="8873"/>
    </bk>
    <bk>
      <rc t="2" v="8874"/>
    </bk>
    <bk>
      <rc t="2" v="8875"/>
    </bk>
    <bk>
      <rc t="2" v="8876"/>
    </bk>
    <bk>
      <rc t="2" v="8877"/>
    </bk>
    <bk>
      <rc t="2" v="8878"/>
    </bk>
    <bk>
      <rc t="2" v="8879"/>
    </bk>
    <bk>
      <rc t="2" v="8880"/>
    </bk>
    <bk>
      <rc t="2" v="8881"/>
    </bk>
    <bk>
      <rc t="2" v="8882"/>
    </bk>
    <bk>
      <rc t="2" v="8883"/>
    </bk>
    <bk>
      <rc t="2" v="8884"/>
    </bk>
    <bk>
      <rc t="2" v="8885"/>
    </bk>
    <bk>
      <rc t="2" v="8886"/>
    </bk>
    <bk>
      <rc t="2" v="8887"/>
    </bk>
    <bk>
      <rc t="2" v="8888"/>
    </bk>
    <bk>
      <rc t="2" v="8889"/>
    </bk>
    <bk>
      <rc t="2" v="8890"/>
    </bk>
    <bk>
      <rc t="2" v="8891"/>
    </bk>
    <bk>
      <rc t="2" v="8892"/>
    </bk>
    <bk>
      <rc t="2" v="8893"/>
    </bk>
    <bk>
      <rc t="2" v="8894"/>
    </bk>
    <bk>
      <rc t="2" v="8895"/>
    </bk>
    <bk>
      <rc t="2" v="8896"/>
    </bk>
    <bk>
      <rc t="2" v="8897"/>
    </bk>
    <bk>
      <rc t="2" v="8898"/>
    </bk>
    <bk>
      <rc t="2" v="8899"/>
    </bk>
    <bk>
      <rc t="2" v="8900"/>
    </bk>
    <bk>
      <rc t="2" v="8901"/>
    </bk>
    <bk>
      <rc t="2" v="8902"/>
    </bk>
    <bk>
      <rc t="2" v="8903"/>
    </bk>
    <bk>
      <rc t="2" v="8904"/>
    </bk>
    <bk>
      <rc t="2" v="8905"/>
    </bk>
    <bk>
      <rc t="2" v="8906"/>
    </bk>
    <bk>
      <rc t="2" v="8907"/>
    </bk>
    <bk>
      <rc t="2" v="8908"/>
    </bk>
    <bk>
      <rc t="2" v="8909"/>
    </bk>
    <bk>
      <rc t="2" v="8910"/>
    </bk>
    <bk>
      <rc t="2" v="8911"/>
    </bk>
    <bk>
      <rc t="2" v="8912"/>
    </bk>
    <bk>
      <rc t="2" v="8913"/>
    </bk>
    <bk>
      <rc t="2" v="8914"/>
    </bk>
    <bk>
      <rc t="2" v="8915"/>
    </bk>
    <bk>
      <rc t="2" v="8916"/>
    </bk>
    <bk>
      <rc t="2" v="8917"/>
    </bk>
    <bk>
      <rc t="2" v="8918"/>
    </bk>
    <bk>
      <rc t="2" v="8919"/>
    </bk>
    <bk>
      <rc t="2" v="8920"/>
    </bk>
    <bk>
      <rc t="2" v="8921"/>
    </bk>
    <bk>
      <rc t="2" v="8922"/>
    </bk>
    <bk>
      <rc t="2" v="8923"/>
    </bk>
    <bk>
      <rc t="2" v="8924"/>
    </bk>
    <bk>
      <rc t="2" v="8925"/>
    </bk>
    <bk>
      <rc t="2" v="8926"/>
    </bk>
    <bk>
      <rc t="2" v="8927"/>
    </bk>
    <bk>
      <rc t="2" v="8928"/>
    </bk>
    <bk>
      <rc t="2" v="8929"/>
    </bk>
    <bk>
      <rc t="2" v="8930"/>
    </bk>
    <bk>
      <rc t="2" v="8931"/>
    </bk>
    <bk>
      <rc t="2" v="8932"/>
    </bk>
    <bk>
      <rc t="2" v="8933"/>
    </bk>
    <bk>
      <rc t="2" v="8934"/>
    </bk>
    <bk>
      <rc t="2" v="8935"/>
    </bk>
    <bk>
      <rc t="2" v="8936"/>
    </bk>
    <bk>
      <rc t="2" v="8937"/>
    </bk>
    <bk>
      <rc t="2" v="8938"/>
    </bk>
    <bk>
      <rc t="2" v="8939"/>
    </bk>
    <bk>
      <rc t="2" v="8940"/>
    </bk>
    <bk>
      <rc t="2" v="8941"/>
    </bk>
    <bk>
      <rc t="2" v="8942"/>
    </bk>
    <bk>
      <rc t="2" v="8943"/>
    </bk>
    <bk>
      <rc t="2" v="8944"/>
    </bk>
    <bk>
      <rc t="2" v="8945"/>
    </bk>
    <bk>
      <rc t="2" v="8946"/>
    </bk>
    <bk>
      <rc t="2" v="8947"/>
    </bk>
    <bk>
      <rc t="2" v="8948"/>
    </bk>
    <bk>
      <rc t="2" v="8949"/>
    </bk>
    <bk>
      <rc t="2" v="8950"/>
    </bk>
    <bk>
      <rc t="2" v="8951"/>
    </bk>
    <bk>
      <rc t="2" v="8952"/>
    </bk>
    <bk>
      <rc t="2" v="8953"/>
    </bk>
    <bk>
      <rc t="2" v="8954"/>
    </bk>
    <bk>
      <rc t="2" v="8955"/>
    </bk>
    <bk>
      <rc t="2" v="8956"/>
    </bk>
    <bk>
      <rc t="2" v="8957"/>
    </bk>
    <bk>
      <rc t="2" v="8958"/>
    </bk>
    <bk>
      <rc t="2" v="8959"/>
    </bk>
    <bk>
      <rc t="2" v="8960"/>
    </bk>
    <bk>
      <rc t="2" v="8961"/>
    </bk>
    <bk>
      <rc t="2" v="8962"/>
    </bk>
    <bk>
      <rc t="2" v="8963"/>
    </bk>
    <bk>
      <rc t="2" v="8964"/>
    </bk>
    <bk>
      <rc t="2" v="8965"/>
    </bk>
    <bk>
      <rc t="2" v="8966"/>
    </bk>
    <bk>
      <rc t="2" v="8967"/>
    </bk>
    <bk>
      <rc t="2" v="8968"/>
    </bk>
    <bk>
      <rc t="2" v="8969"/>
    </bk>
    <bk>
      <rc t="2" v="8970"/>
    </bk>
    <bk>
      <rc t="2" v="8971"/>
    </bk>
    <bk>
      <rc t="2" v="8972"/>
    </bk>
    <bk>
      <rc t="2" v="8973"/>
    </bk>
    <bk>
      <rc t="2" v="8974"/>
    </bk>
    <bk>
      <rc t="2" v="8975"/>
    </bk>
    <bk>
      <rc t="2" v="8976"/>
    </bk>
    <bk>
      <rc t="2" v="8977"/>
    </bk>
    <bk>
      <rc t="2" v="8978"/>
    </bk>
    <bk>
      <rc t="2" v="8979"/>
    </bk>
    <bk>
      <rc t="2" v="8980"/>
    </bk>
    <bk>
      <rc t="2" v="8981"/>
    </bk>
    <bk>
      <rc t="2" v="8982"/>
    </bk>
    <bk>
      <rc t="2" v="8983"/>
    </bk>
    <bk>
      <rc t="2" v="8984"/>
    </bk>
    <bk>
      <rc t="2" v="8985"/>
    </bk>
    <bk>
      <rc t="2" v="8986"/>
    </bk>
    <bk>
      <rc t="2" v="8987"/>
    </bk>
    <bk>
      <rc t="2" v="8988"/>
    </bk>
    <bk>
      <rc t="2" v="8989"/>
    </bk>
    <bk>
      <rc t="2" v="8990"/>
    </bk>
    <bk>
      <rc t="2" v="8991"/>
    </bk>
    <bk>
      <rc t="2" v="8992"/>
    </bk>
    <bk>
      <rc t="2" v="8993"/>
    </bk>
    <bk>
      <rc t="2" v="8994"/>
    </bk>
    <bk>
      <rc t="2" v="8995"/>
    </bk>
    <bk>
      <rc t="2" v="8996"/>
    </bk>
    <bk>
      <rc t="2" v="8997"/>
    </bk>
    <bk>
      <rc t="2" v="8998"/>
    </bk>
    <bk>
      <rc t="2" v="8999"/>
    </bk>
    <bk>
      <rc t="2" v="9000"/>
    </bk>
    <bk>
      <rc t="2" v="9001"/>
    </bk>
    <bk>
      <rc t="2" v="9002"/>
    </bk>
    <bk>
      <rc t="2" v="9003"/>
    </bk>
    <bk>
      <rc t="2" v="9004"/>
    </bk>
    <bk>
      <rc t="2" v="9005"/>
    </bk>
    <bk>
      <rc t="2" v="9006"/>
    </bk>
    <bk>
      <rc t="2" v="9007"/>
    </bk>
    <bk>
      <rc t="2" v="9008"/>
    </bk>
    <bk>
      <rc t="2" v="9009"/>
    </bk>
    <bk>
      <rc t="2" v="9010"/>
    </bk>
    <bk>
      <rc t="2" v="9011"/>
    </bk>
    <bk>
      <rc t="2" v="9012"/>
    </bk>
    <bk>
      <rc t="2" v="9013"/>
    </bk>
    <bk>
      <rc t="2" v="9014"/>
    </bk>
    <bk>
      <rc t="2" v="9015"/>
    </bk>
    <bk>
      <rc t="2" v="9016"/>
    </bk>
    <bk>
      <rc t="2" v="9017"/>
    </bk>
    <bk>
      <rc t="2" v="9018"/>
    </bk>
    <bk>
      <rc t="2" v="9019"/>
    </bk>
    <bk>
      <rc t="2" v="9020"/>
    </bk>
    <bk>
      <rc t="2" v="9021"/>
    </bk>
    <bk>
      <rc t="2" v="9022"/>
    </bk>
    <bk>
      <rc t="2" v="9023"/>
    </bk>
    <bk>
      <rc t="2" v="9024"/>
    </bk>
    <bk>
      <rc t="2" v="9025"/>
    </bk>
    <bk>
      <rc t="2" v="9026"/>
    </bk>
    <bk>
      <rc t="2" v="9027"/>
    </bk>
    <bk>
      <rc t="2" v="9028"/>
    </bk>
    <bk>
      <rc t="2" v="9029"/>
    </bk>
    <bk>
      <rc t="2" v="9030"/>
    </bk>
    <bk>
      <rc t="2" v="9031"/>
    </bk>
    <bk>
      <rc t="2" v="9032"/>
    </bk>
    <bk>
      <rc t="2" v="9033"/>
    </bk>
    <bk>
      <rc t="2" v="9034"/>
    </bk>
    <bk>
      <rc t="2" v="9035"/>
    </bk>
    <bk>
      <rc t="2" v="9036"/>
    </bk>
    <bk>
      <rc t="2" v="9037"/>
    </bk>
    <bk>
      <rc t="2" v="9038"/>
    </bk>
    <bk>
      <rc t="2" v="9039"/>
    </bk>
    <bk>
      <rc t="2" v="9040"/>
    </bk>
    <bk>
      <rc t="2" v="9041"/>
    </bk>
    <bk>
      <rc t="2" v="9042"/>
    </bk>
    <bk>
      <rc t="2" v="9043"/>
    </bk>
    <bk>
      <rc t="2" v="9044"/>
    </bk>
    <bk>
      <rc t="2" v="9045"/>
    </bk>
    <bk>
      <rc t="2" v="9046"/>
    </bk>
    <bk>
      <rc t="2" v="9047"/>
    </bk>
    <bk>
      <rc t="2" v="9048"/>
    </bk>
    <bk>
      <rc t="2" v="9049"/>
    </bk>
    <bk>
      <rc t="2" v="9050"/>
    </bk>
    <bk>
      <rc t="2" v="9051"/>
    </bk>
    <bk>
      <rc t="2" v="9052"/>
    </bk>
    <bk>
      <rc t="2" v="9053"/>
    </bk>
    <bk>
      <rc t="2" v="9054"/>
    </bk>
    <bk>
      <rc t="2" v="9055"/>
    </bk>
    <bk>
      <rc t="2" v="9056"/>
    </bk>
    <bk>
      <rc t="2" v="9057"/>
    </bk>
    <bk>
      <rc t="2" v="9058"/>
    </bk>
    <bk>
      <rc t="2" v="9059"/>
    </bk>
    <bk>
      <rc t="2" v="9060"/>
    </bk>
    <bk>
      <rc t="2" v="9061"/>
    </bk>
    <bk>
      <rc t="2" v="9062"/>
    </bk>
    <bk>
      <rc t="2" v="9063"/>
    </bk>
    <bk>
      <rc t="2" v="9064"/>
    </bk>
    <bk>
      <rc t="2" v="9065"/>
    </bk>
    <bk>
      <rc t="2" v="9066"/>
    </bk>
    <bk>
      <rc t="2" v="9067"/>
    </bk>
    <bk>
      <rc t="2" v="9068"/>
    </bk>
    <bk>
      <rc t="2" v="9069"/>
    </bk>
    <bk>
      <rc t="2" v="9070"/>
    </bk>
    <bk>
      <rc t="2" v="9071"/>
    </bk>
    <bk>
      <rc t="2" v="9072"/>
    </bk>
    <bk>
      <rc t="2" v="9073"/>
    </bk>
    <bk>
      <rc t="2" v="9074"/>
    </bk>
    <bk>
      <rc t="2" v="9075"/>
    </bk>
    <bk>
      <rc t="2" v="9076"/>
    </bk>
    <bk>
      <rc t="2" v="9077"/>
    </bk>
    <bk>
      <rc t="2" v="9078"/>
    </bk>
    <bk>
      <rc t="2" v="9079"/>
    </bk>
    <bk>
      <rc t="2" v="9080"/>
    </bk>
    <bk>
      <rc t="2" v="9081"/>
    </bk>
    <bk>
      <rc t="2" v="9082"/>
    </bk>
    <bk>
      <rc t="2" v="9083"/>
    </bk>
    <bk>
      <rc t="2" v="9084"/>
    </bk>
    <bk>
      <rc t="2" v="9085"/>
    </bk>
    <bk>
      <rc t="2" v="9086"/>
    </bk>
    <bk>
      <rc t="2" v="9087"/>
    </bk>
    <bk>
      <rc t="2" v="9088"/>
    </bk>
    <bk>
      <rc t="2" v="9089"/>
    </bk>
    <bk>
      <rc t="2" v="9090"/>
    </bk>
    <bk>
      <rc t="2" v="9091"/>
    </bk>
    <bk>
      <rc t="2" v="9092"/>
    </bk>
    <bk>
      <rc t="2" v="9093"/>
    </bk>
    <bk>
      <rc t="2" v="9094"/>
    </bk>
    <bk>
      <rc t="2" v="9095"/>
    </bk>
    <bk>
      <rc t="2" v="9096"/>
    </bk>
    <bk>
      <rc t="2" v="9097"/>
    </bk>
    <bk>
      <rc t="2" v="9098"/>
    </bk>
    <bk>
      <rc t="2" v="9099"/>
    </bk>
    <bk>
      <rc t="2" v="9100"/>
    </bk>
    <bk>
      <rc t="2" v="9101"/>
    </bk>
    <bk>
      <rc t="2" v="9102"/>
    </bk>
    <bk>
      <rc t="2" v="9103"/>
    </bk>
    <bk>
      <rc t="2" v="9104"/>
    </bk>
    <bk>
      <rc t="2" v="9105"/>
    </bk>
    <bk>
      <rc t="2" v="9106"/>
    </bk>
    <bk>
      <rc t="2" v="9107"/>
    </bk>
    <bk>
      <rc t="2" v="9108"/>
    </bk>
    <bk>
      <rc t="2" v="9109"/>
    </bk>
    <bk>
      <rc t="2" v="9110"/>
    </bk>
    <bk>
      <rc t="2" v="9111"/>
    </bk>
    <bk>
      <rc t="2" v="9112"/>
    </bk>
    <bk>
      <rc t="2" v="9113"/>
    </bk>
    <bk>
      <rc t="2" v="9114"/>
    </bk>
    <bk>
      <rc t="2" v="9115"/>
    </bk>
    <bk>
      <rc t="2" v="9116"/>
    </bk>
    <bk>
      <rc t="2" v="9117"/>
    </bk>
    <bk>
      <rc t="2" v="9118"/>
    </bk>
    <bk>
      <rc t="2" v="9119"/>
    </bk>
    <bk>
      <rc t="2" v="9120"/>
    </bk>
    <bk>
      <rc t="2" v="9121"/>
    </bk>
    <bk>
      <rc t="2" v="9122"/>
    </bk>
    <bk>
      <rc t="2" v="9123"/>
    </bk>
    <bk>
      <rc t="2" v="9124"/>
    </bk>
    <bk>
      <rc t="2" v="9125"/>
    </bk>
    <bk>
      <rc t="2" v="9126"/>
    </bk>
    <bk>
      <rc t="2" v="9127"/>
    </bk>
    <bk>
      <rc t="2" v="9128"/>
    </bk>
    <bk>
      <rc t="2" v="9129"/>
    </bk>
    <bk>
      <rc t="2" v="9130"/>
    </bk>
    <bk>
      <rc t="2" v="9131"/>
    </bk>
    <bk>
      <rc t="2" v="9132"/>
    </bk>
    <bk>
      <rc t="2" v="9133"/>
    </bk>
    <bk>
      <rc t="2" v="9134"/>
    </bk>
    <bk>
      <rc t="2" v="9135"/>
    </bk>
    <bk>
      <rc t="2" v="9136"/>
    </bk>
    <bk>
      <rc t="2" v="9137"/>
    </bk>
    <bk>
      <rc t="2" v="9138"/>
    </bk>
    <bk>
      <rc t="2" v="9139"/>
    </bk>
    <bk>
      <rc t="2" v="9140"/>
    </bk>
    <bk>
      <rc t="2" v="9141"/>
    </bk>
    <bk>
      <rc t="2" v="9142"/>
    </bk>
    <bk>
      <rc t="2" v="9143"/>
    </bk>
    <bk>
      <rc t="2" v="9144"/>
    </bk>
    <bk>
      <rc t="2" v="9145"/>
    </bk>
    <bk>
      <rc t="2" v="9146"/>
    </bk>
    <bk>
      <rc t="2" v="9147"/>
    </bk>
    <bk>
      <rc t="2" v="9148"/>
    </bk>
    <bk>
      <rc t="2" v="9149"/>
    </bk>
    <bk>
      <rc t="2" v="9150"/>
    </bk>
    <bk>
      <rc t="2" v="9151"/>
    </bk>
    <bk>
      <rc t="2" v="9152"/>
    </bk>
    <bk>
      <rc t="2" v="9153"/>
    </bk>
    <bk>
      <rc t="2" v="9154"/>
    </bk>
    <bk>
      <rc t="2" v="9155"/>
    </bk>
    <bk>
      <rc t="2" v="9156"/>
    </bk>
    <bk>
      <rc t="2" v="9157"/>
    </bk>
    <bk>
      <rc t="2" v="9158"/>
    </bk>
    <bk>
      <rc t="2" v="9159"/>
    </bk>
    <bk>
      <rc t="2" v="9160"/>
    </bk>
    <bk>
      <rc t="2" v="9161"/>
    </bk>
    <bk>
      <rc t="2" v="9162"/>
    </bk>
    <bk>
      <rc t="2" v="9163"/>
    </bk>
    <bk>
      <rc t="2" v="9164"/>
    </bk>
    <bk>
      <rc t="2" v="9165"/>
    </bk>
    <bk>
      <rc t="2" v="9166"/>
    </bk>
    <bk>
      <rc t="2" v="9167"/>
    </bk>
    <bk>
      <rc t="2" v="9168"/>
    </bk>
    <bk>
      <rc t="2" v="9169"/>
    </bk>
    <bk>
      <rc t="2" v="9170"/>
    </bk>
    <bk>
      <rc t="2" v="9171"/>
    </bk>
    <bk>
      <rc t="2" v="9172"/>
    </bk>
    <bk>
      <rc t="2" v="9173"/>
    </bk>
    <bk>
      <rc t="2" v="9174"/>
    </bk>
    <bk>
      <rc t="2" v="9175"/>
    </bk>
    <bk>
      <rc t="2" v="9176"/>
    </bk>
    <bk>
      <rc t="2" v="9177"/>
    </bk>
    <bk>
      <rc t="2" v="9178"/>
    </bk>
    <bk>
      <rc t="2" v="9179"/>
    </bk>
    <bk>
      <rc t="2" v="9180"/>
    </bk>
    <bk>
      <rc t="2" v="9181"/>
    </bk>
    <bk>
      <rc t="2" v="9182"/>
    </bk>
    <bk>
      <rc t="2" v="9183"/>
    </bk>
    <bk>
      <rc t="2" v="9184"/>
    </bk>
    <bk>
      <rc t="2" v="9185"/>
    </bk>
    <bk>
      <rc t="2" v="9186"/>
    </bk>
    <bk>
      <rc t="2" v="9187"/>
    </bk>
    <bk>
      <rc t="2" v="9188"/>
    </bk>
    <bk>
      <rc t="2" v="9189"/>
    </bk>
    <bk>
      <rc t="2" v="9190"/>
    </bk>
    <bk>
      <rc t="2" v="9191"/>
    </bk>
    <bk>
      <rc t="2" v="9192"/>
    </bk>
    <bk>
      <rc t="2" v="9193"/>
    </bk>
    <bk>
      <rc t="2" v="9194"/>
    </bk>
    <bk>
      <rc t="2" v="9195"/>
    </bk>
    <bk>
      <rc t="2" v="9196"/>
    </bk>
    <bk>
      <rc t="2" v="9197"/>
    </bk>
    <bk>
      <rc t="2" v="9198"/>
    </bk>
    <bk>
      <rc t="2" v="9199"/>
    </bk>
    <bk>
      <rc t="2" v="9200"/>
    </bk>
    <bk>
      <rc t="2" v="9201"/>
    </bk>
    <bk>
      <rc t="2" v="9202"/>
    </bk>
    <bk>
      <rc t="2" v="9203"/>
    </bk>
    <bk>
      <rc t="2" v="9204"/>
    </bk>
    <bk>
      <rc t="2" v="9205"/>
    </bk>
    <bk>
      <rc t="2" v="9206"/>
    </bk>
    <bk>
      <rc t="2" v="9207"/>
    </bk>
    <bk>
      <rc t="2" v="9208"/>
    </bk>
    <bk>
      <rc t="2" v="9209"/>
    </bk>
    <bk>
      <rc t="2" v="9210"/>
    </bk>
    <bk>
      <rc t="2" v="9211"/>
    </bk>
    <bk>
      <rc t="2" v="9212"/>
    </bk>
    <bk>
      <rc t="2" v="9213"/>
    </bk>
    <bk>
      <rc t="2" v="9214"/>
    </bk>
    <bk>
      <rc t="2" v="9215"/>
    </bk>
    <bk>
      <rc t="2" v="9216"/>
    </bk>
    <bk>
      <rc t="2" v="9217"/>
    </bk>
    <bk>
      <rc t="2" v="9218"/>
    </bk>
    <bk>
      <rc t="2" v="9219"/>
    </bk>
    <bk>
      <rc t="2" v="9220"/>
    </bk>
    <bk>
      <rc t="2" v="9221"/>
    </bk>
    <bk>
      <rc t="2" v="9222"/>
    </bk>
    <bk>
      <rc t="2" v="9223"/>
    </bk>
    <bk>
      <rc t="2" v="9224"/>
    </bk>
    <bk>
      <rc t="2" v="9225"/>
    </bk>
    <bk>
      <rc t="2" v="9226"/>
    </bk>
    <bk>
      <rc t="2" v="9227"/>
    </bk>
    <bk>
      <rc t="2" v="9228"/>
    </bk>
    <bk>
      <rc t="2" v="9229"/>
    </bk>
    <bk>
      <rc t="2" v="9230"/>
    </bk>
    <bk>
      <rc t="2" v="9231"/>
    </bk>
    <bk>
      <rc t="2" v="9232"/>
    </bk>
    <bk>
      <rc t="2" v="9233"/>
    </bk>
    <bk>
      <rc t="2" v="9234"/>
    </bk>
    <bk>
      <rc t="2" v="9235"/>
    </bk>
    <bk>
      <rc t="2" v="9236"/>
    </bk>
    <bk>
      <rc t="2" v="9237"/>
    </bk>
    <bk>
      <rc t="2" v="9238"/>
    </bk>
    <bk>
      <rc t="2" v="9239"/>
    </bk>
    <bk>
      <rc t="2" v="9240"/>
    </bk>
    <bk>
      <rc t="2" v="9241"/>
    </bk>
    <bk>
      <rc t="2" v="9242"/>
    </bk>
    <bk>
      <rc t="2" v="9243"/>
    </bk>
    <bk>
      <rc t="2" v="9244"/>
    </bk>
    <bk>
      <rc t="2" v="9245"/>
    </bk>
    <bk>
      <rc t="2" v="9246"/>
    </bk>
    <bk>
      <rc t="2" v="9247"/>
    </bk>
    <bk>
      <rc t="2" v="9248"/>
    </bk>
    <bk>
      <rc t="2" v="9249"/>
    </bk>
    <bk>
      <rc t="2" v="9250"/>
    </bk>
    <bk>
      <rc t="2" v="9251"/>
    </bk>
    <bk>
      <rc t="2" v="9252"/>
    </bk>
    <bk>
      <rc t="2" v="9253"/>
    </bk>
    <bk>
      <rc t="2" v="9254"/>
    </bk>
    <bk>
      <rc t="2" v="9255"/>
    </bk>
    <bk>
      <rc t="2" v="9256"/>
    </bk>
    <bk>
      <rc t="2" v="9257"/>
    </bk>
    <bk>
      <rc t="2" v="9258"/>
    </bk>
    <bk>
      <rc t="2" v="9259"/>
    </bk>
    <bk>
      <rc t="2" v="9260"/>
    </bk>
    <bk>
      <rc t="2" v="9261"/>
    </bk>
    <bk>
      <rc t="2" v="9262"/>
    </bk>
    <bk>
      <rc t="2" v="9263"/>
    </bk>
    <bk>
      <rc t="2" v="9264"/>
    </bk>
    <bk>
      <rc t="2" v="9265"/>
    </bk>
    <bk>
      <rc t="2" v="9266"/>
    </bk>
    <bk>
      <rc t="2" v="9267"/>
    </bk>
    <bk>
      <rc t="2" v="9268"/>
    </bk>
    <bk>
      <rc t="2" v="9269"/>
    </bk>
    <bk>
      <rc t="2" v="9270"/>
    </bk>
    <bk>
      <rc t="2" v="9271"/>
    </bk>
    <bk>
      <rc t="2" v="9272"/>
    </bk>
    <bk>
      <rc t="2" v="9273"/>
    </bk>
    <bk>
      <rc t="2" v="9274"/>
    </bk>
    <bk>
      <rc t="2" v="9275"/>
    </bk>
    <bk>
      <rc t="2" v="9276"/>
    </bk>
    <bk>
      <rc t="2" v="9277"/>
    </bk>
    <bk>
      <rc t="2" v="9278"/>
    </bk>
    <bk>
      <rc t="2" v="9279"/>
    </bk>
    <bk>
      <rc t="2" v="9280"/>
    </bk>
    <bk>
      <rc t="2" v="9281"/>
    </bk>
    <bk>
      <rc t="2" v="9282"/>
    </bk>
    <bk>
      <rc t="2" v="9283"/>
    </bk>
    <bk>
      <rc t="2" v="9284"/>
    </bk>
    <bk>
      <rc t="2" v="9285"/>
    </bk>
    <bk>
      <rc t="2" v="9286"/>
    </bk>
    <bk>
      <rc t="2" v="9287"/>
    </bk>
    <bk>
      <rc t="2" v="9288"/>
    </bk>
    <bk>
      <rc t="2" v="9289"/>
    </bk>
    <bk>
      <rc t="2" v="9290"/>
    </bk>
    <bk>
      <rc t="2" v="9291"/>
    </bk>
    <bk>
      <rc t="2" v="9292"/>
    </bk>
    <bk>
      <rc t="2" v="9293"/>
    </bk>
    <bk>
      <rc t="2" v="9294"/>
    </bk>
    <bk>
      <rc t="2" v="9295"/>
    </bk>
    <bk>
      <rc t="2" v="9296"/>
    </bk>
    <bk>
      <rc t="2" v="9297"/>
    </bk>
    <bk>
      <rc t="2" v="9298"/>
    </bk>
    <bk>
      <rc t="2" v="9299"/>
    </bk>
    <bk>
      <rc t="2" v="9300"/>
    </bk>
    <bk>
      <rc t="2" v="9301"/>
    </bk>
    <bk>
      <rc t="2" v="9302"/>
    </bk>
    <bk>
      <rc t="2" v="9303"/>
    </bk>
    <bk>
      <rc t="2" v="9304"/>
    </bk>
    <bk>
      <rc t="2" v="9305"/>
    </bk>
    <bk>
      <rc t="2" v="9306"/>
    </bk>
    <bk>
      <rc t="2" v="9307"/>
    </bk>
    <bk>
      <rc t="2" v="9308"/>
    </bk>
    <bk>
      <rc t="2" v="9309"/>
    </bk>
    <bk>
      <rc t="2" v="9310"/>
    </bk>
    <bk>
      <rc t="2" v="9311"/>
    </bk>
    <bk>
      <rc t="2" v="9312"/>
    </bk>
    <bk>
      <rc t="2" v="9313"/>
    </bk>
    <bk>
      <rc t="2" v="9314"/>
    </bk>
    <bk>
      <rc t="2" v="9315"/>
    </bk>
    <bk>
      <rc t="2" v="9316"/>
    </bk>
    <bk>
      <rc t="2" v="9317"/>
    </bk>
    <bk>
      <rc t="2" v="9318"/>
    </bk>
    <bk>
      <rc t="2" v="9319"/>
    </bk>
    <bk>
      <rc t="2" v="9320"/>
    </bk>
    <bk>
      <rc t="2" v="9321"/>
    </bk>
    <bk>
      <rc t="2" v="9322"/>
    </bk>
    <bk>
      <rc t="2" v="9323"/>
    </bk>
    <bk>
      <rc t="2" v="9324"/>
    </bk>
    <bk>
      <rc t="2" v="9325"/>
    </bk>
    <bk>
      <rc t="2" v="9326"/>
    </bk>
    <bk>
      <rc t="2" v="9327"/>
    </bk>
    <bk>
      <rc t="2" v="9328"/>
    </bk>
    <bk>
      <rc t="2" v="9329"/>
    </bk>
    <bk>
      <rc t="2" v="9330"/>
    </bk>
    <bk>
      <rc t="2" v="9331"/>
    </bk>
    <bk>
      <rc t="2" v="9332"/>
    </bk>
    <bk>
      <rc t="2" v="9333"/>
    </bk>
    <bk>
      <rc t="2" v="9334"/>
    </bk>
    <bk>
      <rc t="2" v="9335"/>
    </bk>
    <bk>
      <rc t="2" v="9336"/>
    </bk>
    <bk>
      <rc t="2" v="9337"/>
    </bk>
    <bk>
      <rc t="2" v="9338"/>
    </bk>
    <bk>
      <rc t="2" v="9339"/>
    </bk>
    <bk>
      <rc t="2" v="9340"/>
    </bk>
    <bk>
      <rc t="2" v="9341"/>
    </bk>
    <bk>
      <rc t="2" v="9342"/>
    </bk>
    <bk>
      <rc t="2" v="9343"/>
    </bk>
    <bk>
      <rc t="2" v="9344"/>
    </bk>
    <bk>
      <rc t="2" v="9345"/>
    </bk>
    <bk>
      <rc t="2" v="9346"/>
    </bk>
    <bk>
      <rc t="2" v="9347"/>
    </bk>
    <bk>
      <rc t="2" v="9348"/>
    </bk>
    <bk>
      <rc t="2" v="9349"/>
    </bk>
    <bk>
      <rc t="2" v="9350"/>
    </bk>
    <bk>
      <rc t="2" v="9351"/>
    </bk>
    <bk>
      <rc t="2" v="9352"/>
    </bk>
    <bk>
      <rc t="2" v="9353"/>
    </bk>
    <bk>
      <rc t="2" v="9354"/>
    </bk>
    <bk>
      <rc t="2" v="9355"/>
    </bk>
    <bk>
      <rc t="2" v="9356"/>
    </bk>
    <bk>
      <rc t="2" v="9357"/>
    </bk>
    <bk>
      <rc t="2" v="9358"/>
    </bk>
    <bk>
      <rc t="2" v="9359"/>
    </bk>
    <bk>
      <rc t="2" v="9360"/>
    </bk>
    <bk>
      <rc t="2" v="9361"/>
    </bk>
    <bk>
      <rc t="2" v="9362"/>
    </bk>
    <bk>
      <rc t="2" v="9363"/>
    </bk>
    <bk>
      <rc t="2" v="9364"/>
    </bk>
    <bk>
      <rc t="2" v="9365"/>
    </bk>
    <bk>
      <rc t="2" v="9366"/>
    </bk>
    <bk>
      <rc t="2" v="9367"/>
    </bk>
    <bk>
      <rc t="2" v="9368"/>
    </bk>
    <bk>
      <rc t="2" v="9369"/>
    </bk>
    <bk>
      <rc t="2" v="9370"/>
    </bk>
    <bk>
      <rc t="2" v="9371"/>
    </bk>
    <bk>
      <rc t="2" v="9372"/>
    </bk>
    <bk>
      <rc t="2" v="9373"/>
    </bk>
    <bk>
      <rc t="2" v="9374"/>
    </bk>
    <bk>
      <rc t="2" v="9375"/>
    </bk>
    <bk>
      <rc t="2" v="9376"/>
    </bk>
    <bk>
      <rc t="2" v="9377"/>
    </bk>
    <bk>
      <rc t="2" v="9378"/>
    </bk>
    <bk>
      <rc t="2" v="9379"/>
    </bk>
    <bk>
      <rc t="2" v="9380"/>
    </bk>
    <bk>
      <rc t="2" v="9381"/>
    </bk>
    <bk>
      <rc t="2" v="9382"/>
    </bk>
    <bk>
      <rc t="2" v="9383"/>
    </bk>
    <bk>
      <rc t="2" v="9384"/>
    </bk>
    <bk>
      <rc t="2" v="9385"/>
    </bk>
    <bk>
      <rc t="2" v="9386"/>
    </bk>
    <bk>
      <rc t="2" v="9387"/>
    </bk>
    <bk>
      <rc t="2" v="9388"/>
    </bk>
    <bk>
      <rc t="2" v="9389"/>
    </bk>
    <bk>
      <rc t="2" v="9390"/>
    </bk>
    <bk>
      <rc t="2" v="9391"/>
    </bk>
    <bk>
      <rc t="2" v="9392"/>
    </bk>
    <bk>
      <rc t="2" v="9393"/>
    </bk>
    <bk>
      <rc t="2" v="9394"/>
    </bk>
    <bk>
      <rc t="2" v="9395"/>
    </bk>
    <bk>
      <rc t="2" v="9396"/>
    </bk>
    <bk>
      <rc t="2" v="9397"/>
    </bk>
    <bk>
      <rc t="2" v="9398"/>
    </bk>
    <bk>
      <rc t="2" v="9399"/>
    </bk>
    <bk>
      <rc t="2" v="9400"/>
    </bk>
    <bk>
      <rc t="2" v="9401"/>
    </bk>
    <bk>
      <rc t="2" v="9402"/>
    </bk>
    <bk>
      <rc t="2" v="9403"/>
    </bk>
    <bk>
      <rc t="2" v="9404"/>
    </bk>
    <bk>
      <rc t="2" v="9405"/>
    </bk>
    <bk>
      <rc t="2" v="9406"/>
    </bk>
    <bk>
      <rc t="2" v="9407"/>
    </bk>
    <bk>
      <rc t="2" v="9408"/>
    </bk>
    <bk>
      <rc t="2" v="9409"/>
    </bk>
    <bk>
      <rc t="2" v="9410"/>
    </bk>
    <bk>
      <rc t="2" v="9411"/>
    </bk>
    <bk>
      <rc t="2" v="9412"/>
    </bk>
    <bk>
      <rc t="2" v="9413"/>
    </bk>
    <bk>
      <rc t="2" v="9414"/>
    </bk>
    <bk>
      <rc t="2" v="9415"/>
    </bk>
    <bk>
      <rc t="2" v="9416"/>
    </bk>
    <bk>
      <rc t="2" v="9417"/>
    </bk>
    <bk>
      <rc t="2" v="9418"/>
    </bk>
    <bk>
      <rc t="2" v="9419"/>
    </bk>
    <bk>
      <rc t="2" v="9420"/>
    </bk>
    <bk>
      <rc t="2" v="9421"/>
    </bk>
    <bk>
      <rc t="2" v="9422"/>
    </bk>
    <bk>
      <rc t="2" v="9423"/>
    </bk>
    <bk>
      <rc t="2" v="9424"/>
    </bk>
    <bk>
      <rc t="2" v="9425"/>
    </bk>
    <bk>
      <rc t="2" v="9426"/>
    </bk>
    <bk>
      <rc t="2" v="9427"/>
    </bk>
    <bk>
      <rc t="2" v="9428"/>
    </bk>
    <bk>
      <rc t="2" v="9429"/>
    </bk>
    <bk>
      <rc t="2" v="9430"/>
    </bk>
    <bk>
      <rc t="2" v="9431"/>
    </bk>
    <bk>
      <rc t="2" v="9432"/>
    </bk>
    <bk>
      <rc t="2" v="9433"/>
    </bk>
    <bk>
      <rc t="2" v="9434"/>
    </bk>
    <bk>
      <rc t="2" v="9435"/>
    </bk>
    <bk>
      <rc t="2" v="9436"/>
    </bk>
    <bk>
      <rc t="2" v="9437"/>
    </bk>
    <bk>
      <rc t="2" v="9438"/>
    </bk>
    <bk>
      <rc t="2" v="9439"/>
    </bk>
    <bk>
      <rc t="2" v="9440"/>
    </bk>
    <bk>
      <rc t="2" v="9441"/>
    </bk>
    <bk>
      <rc t="2" v="9442"/>
    </bk>
    <bk>
      <rc t="2" v="9443"/>
    </bk>
    <bk>
      <rc t="2" v="9444"/>
    </bk>
    <bk>
      <rc t="2" v="9445"/>
    </bk>
    <bk>
      <rc t="2" v="9446"/>
    </bk>
    <bk>
      <rc t="2" v="9447"/>
    </bk>
    <bk>
      <rc t="2" v="9448"/>
    </bk>
    <bk>
      <rc t="2" v="9449"/>
    </bk>
    <bk>
      <rc t="2" v="9450"/>
    </bk>
    <bk>
      <rc t="2" v="9451"/>
    </bk>
    <bk>
      <rc t="2" v="9452"/>
    </bk>
    <bk>
      <rc t="2" v="9453"/>
    </bk>
    <bk>
      <rc t="2" v="9454"/>
    </bk>
    <bk>
      <rc t="2" v="9455"/>
    </bk>
    <bk>
      <rc t="2" v="9456"/>
    </bk>
    <bk>
      <rc t="2" v="9457"/>
    </bk>
    <bk>
      <rc t="2" v="9458"/>
    </bk>
    <bk>
      <rc t="2" v="9459"/>
    </bk>
    <bk>
      <rc t="2" v="9460"/>
    </bk>
    <bk>
      <rc t="2" v="9461"/>
    </bk>
    <bk>
      <rc t="2" v="9462"/>
    </bk>
    <bk>
      <rc t="2" v="9463"/>
    </bk>
    <bk>
      <rc t="2" v="9464"/>
    </bk>
    <bk>
      <rc t="2" v="9465"/>
    </bk>
    <bk>
      <rc t="2" v="9466"/>
    </bk>
    <bk>
      <rc t="2" v="9467"/>
    </bk>
    <bk>
      <rc t="2" v="9468"/>
    </bk>
    <bk>
      <rc t="2" v="9469"/>
    </bk>
    <bk>
      <rc t="2" v="9470"/>
    </bk>
    <bk>
      <rc t="2" v="9471"/>
    </bk>
    <bk>
      <rc t="2" v="9472"/>
    </bk>
    <bk>
      <rc t="2" v="9473"/>
    </bk>
    <bk>
      <rc t="2" v="9474"/>
    </bk>
    <bk>
      <rc t="2" v="9475"/>
    </bk>
    <bk>
      <rc t="2" v="9476"/>
    </bk>
    <bk>
      <rc t="2" v="9477"/>
    </bk>
    <bk>
      <rc t="2" v="9478"/>
    </bk>
    <bk>
      <rc t="2" v="9479"/>
    </bk>
    <bk>
      <rc t="2" v="9480"/>
    </bk>
    <bk>
      <rc t="2" v="9481"/>
    </bk>
    <bk>
      <rc t="2" v="9482"/>
    </bk>
    <bk>
      <rc t="2" v="9483"/>
    </bk>
    <bk>
      <rc t="2" v="9484"/>
    </bk>
    <bk>
      <rc t="2" v="9485"/>
    </bk>
    <bk>
      <rc t="2" v="9486"/>
    </bk>
    <bk>
      <rc t="2" v="9487"/>
    </bk>
    <bk>
      <rc t="2" v="9488"/>
    </bk>
    <bk>
      <rc t="2" v="9489"/>
    </bk>
    <bk>
      <rc t="2" v="9490"/>
    </bk>
    <bk>
      <rc t="2" v="9491"/>
    </bk>
    <bk>
      <rc t="2" v="9492"/>
    </bk>
    <bk>
      <rc t="2" v="9493"/>
    </bk>
    <bk>
      <rc t="2" v="9494"/>
    </bk>
    <bk>
      <rc t="2" v="9495"/>
    </bk>
    <bk>
      <rc t="2" v="9496"/>
    </bk>
    <bk>
      <rc t="2" v="9497"/>
    </bk>
    <bk>
      <rc t="2" v="9498"/>
    </bk>
    <bk>
      <rc t="2" v="9499"/>
    </bk>
    <bk>
      <rc t="2" v="9500"/>
    </bk>
    <bk>
      <rc t="2" v="9501"/>
    </bk>
    <bk>
      <rc t="2" v="9502"/>
    </bk>
    <bk>
      <rc t="2" v="9503"/>
    </bk>
    <bk>
      <rc t="2" v="9504"/>
    </bk>
    <bk>
      <rc t="2" v="9505"/>
    </bk>
    <bk>
      <rc t="2" v="9506"/>
    </bk>
    <bk>
      <rc t="2" v="9507"/>
    </bk>
    <bk>
      <rc t="2" v="9508"/>
    </bk>
    <bk>
      <rc t="2" v="9509"/>
    </bk>
    <bk>
      <rc t="2" v="9510"/>
    </bk>
    <bk>
      <rc t="2" v="9511"/>
    </bk>
    <bk>
      <rc t="2" v="9512"/>
    </bk>
    <bk>
      <rc t="2" v="9513"/>
    </bk>
    <bk>
      <rc t="2" v="9514"/>
    </bk>
    <bk>
      <rc t="2" v="9515"/>
    </bk>
    <bk>
      <rc t="2" v="9516"/>
    </bk>
    <bk>
      <rc t="2" v="9517"/>
    </bk>
    <bk>
      <rc t="2" v="9518"/>
    </bk>
    <bk>
      <rc t="2" v="9519"/>
    </bk>
    <bk>
      <rc t="2" v="9520"/>
    </bk>
    <bk>
      <rc t="2" v="9521"/>
    </bk>
    <bk>
      <rc t="2" v="9522"/>
    </bk>
    <bk>
      <rc t="2" v="9523"/>
    </bk>
    <bk>
      <rc t="2" v="9524"/>
    </bk>
    <bk>
      <rc t="2" v="9525"/>
    </bk>
    <bk>
      <rc t="2" v="9526"/>
    </bk>
    <bk>
      <rc t="2" v="9527"/>
    </bk>
    <bk>
      <rc t="2" v="9528"/>
    </bk>
    <bk>
      <rc t="2" v="9529"/>
    </bk>
    <bk>
      <rc t="2" v="9530"/>
    </bk>
    <bk>
      <rc t="2" v="9531"/>
    </bk>
    <bk>
      <rc t="2" v="9532"/>
    </bk>
    <bk>
      <rc t="2" v="9533"/>
    </bk>
    <bk>
      <rc t="2" v="9534"/>
    </bk>
    <bk>
      <rc t="2" v="9535"/>
    </bk>
    <bk>
      <rc t="2" v="9536"/>
    </bk>
    <bk>
      <rc t="2" v="9537"/>
    </bk>
    <bk>
      <rc t="2" v="9538"/>
    </bk>
    <bk>
      <rc t="2" v="9539"/>
    </bk>
    <bk>
      <rc t="2" v="9540"/>
    </bk>
    <bk>
      <rc t="2" v="9541"/>
    </bk>
    <bk>
      <rc t="2" v="9542"/>
    </bk>
    <bk>
      <rc t="2" v="9543"/>
    </bk>
    <bk>
      <rc t="2" v="9544"/>
    </bk>
    <bk>
      <rc t="2" v="9545"/>
    </bk>
    <bk>
      <rc t="2" v="9546"/>
    </bk>
    <bk>
      <rc t="2" v="9547"/>
    </bk>
    <bk>
      <rc t="2" v="9548"/>
    </bk>
    <bk>
      <rc t="2" v="9549"/>
    </bk>
    <bk>
      <rc t="2" v="9550"/>
    </bk>
    <bk>
      <rc t="2" v="9551"/>
    </bk>
    <bk>
      <rc t="2" v="9552"/>
    </bk>
    <bk>
      <rc t="2" v="9553"/>
    </bk>
    <bk>
      <rc t="2" v="9554"/>
    </bk>
    <bk>
      <rc t="2" v="9555"/>
    </bk>
    <bk>
      <rc t="2" v="9556"/>
    </bk>
    <bk>
      <rc t="2" v="9557"/>
    </bk>
    <bk>
      <rc t="2" v="9558"/>
    </bk>
    <bk>
      <rc t="2" v="9559"/>
    </bk>
    <bk>
      <rc t="2" v="9560"/>
    </bk>
    <bk>
      <rc t="2" v="9561"/>
    </bk>
    <bk>
      <rc t="2" v="9562"/>
    </bk>
    <bk>
      <rc t="2" v="9563"/>
    </bk>
    <bk>
      <rc t="2" v="9564"/>
    </bk>
    <bk>
      <rc t="2" v="9565"/>
    </bk>
    <bk>
      <rc t="2" v="9566"/>
    </bk>
    <bk>
      <rc t="2" v="9567"/>
    </bk>
    <bk>
      <rc t="2" v="9568"/>
    </bk>
    <bk>
      <rc t="2" v="9569"/>
    </bk>
    <bk>
      <rc t="2" v="9570"/>
    </bk>
    <bk>
      <rc t="2" v="9571"/>
    </bk>
    <bk>
      <rc t="2" v="9572"/>
    </bk>
    <bk>
      <rc t="2" v="9573"/>
    </bk>
    <bk>
      <rc t="2" v="9574"/>
    </bk>
    <bk>
      <rc t="2" v="9575"/>
    </bk>
    <bk>
      <rc t="2" v="9576"/>
    </bk>
    <bk>
      <rc t="2" v="9577"/>
    </bk>
    <bk>
      <rc t="2" v="9578"/>
    </bk>
    <bk>
      <rc t="2" v="9579"/>
    </bk>
    <bk>
      <rc t="2" v="9580"/>
    </bk>
    <bk>
      <rc t="2" v="9581"/>
    </bk>
    <bk>
      <rc t="2" v="9582"/>
    </bk>
    <bk>
      <rc t="2" v="9583"/>
    </bk>
    <bk>
      <rc t="2" v="9584"/>
    </bk>
    <bk>
      <rc t="2" v="9585"/>
    </bk>
    <bk>
      <rc t="2" v="9586"/>
    </bk>
    <bk>
      <rc t="2" v="9587"/>
    </bk>
    <bk>
      <rc t="2" v="9588"/>
    </bk>
    <bk>
      <rc t="2" v="9589"/>
    </bk>
    <bk>
      <rc t="2" v="9590"/>
    </bk>
    <bk>
      <rc t="2" v="9591"/>
    </bk>
    <bk>
      <rc t="2" v="9592"/>
    </bk>
    <bk>
      <rc t="2" v="9593"/>
    </bk>
    <bk>
      <rc t="2" v="9594"/>
    </bk>
    <bk>
      <rc t="2" v="9595"/>
    </bk>
    <bk>
      <rc t="2" v="9596"/>
    </bk>
    <bk>
      <rc t="2" v="9597"/>
    </bk>
    <bk>
      <rc t="2" v="9598"/>
    </bk>
    <bk>
      <rc t="2" v="9599"/>
    </bk>
    <bk>
      <rc t="2" v="9600"/>
    </bk>
    <bk>
      <rc t="2" v="9601"/>
    </bk>
    <bk>
      <rc t="2" v="9602"/>
    </bk>
    <bk>
      <rc t="2" v="9603"/>
    </bk>
    <bk>
      <rc t="2" v="9604"/>
    </bk>
    <bk>
      <rc t="2" v="9605"/>
    </bk>
    <bk>
      <rc t="2" v="9606"/>
    </bk>
    <bk>
      <rc t="2" v="9607"/>
    </bk>
    <bk>
      <rc t="2" v="9608"/>
    </bk>
    <bk>
      <rc t="2" v="9609"/>
    </bk>
    <bk>
      <rc t="2" v="9610"/>
    </bk>
    <bk>
      <rc t="2" v="9611"/>
    </bk>
    <bk>
      <rc t="2" v="9612"/>
    </bk>
    <bk>
      <rc t="2" v="9613"/>
    </bk>
    <bk>
      <rc t="2" v="9614"/>
    </bk>
    <bk>
      <rc t="2" v="9615"/>
    </bk>
    <bk>
      <rc t="2" v="9616"/>
    </bk>
    <bk>
      <rc t="2" v="9617"/>
    </bk>
    <bk>
      <rc t="2" v="9618"/>
    </bk>
    <bk>
      <rc t="2" v="9619"/>
    </bk>
    <bk>
      <rc t="2" v="9620"/>
    </bk>
    <bk>
      <rc t="2" v="9621"/>
    </bk>
    <bk>
      <rc t="2" v="9622"/>
    </bk>
    <bk>
      <rc t="2" v="9623"/>
    </bk>
    <bk>
      <rc t="2" v="9624"/>
    </bk>
    <bk>
      <rc t="2" v="9625"/>
    </bk>
    <bk>
      <rc t="2" v="9626"/>
    </bk>
    <bk>
      <rc t="2" v="9627"/>
    </bk>
    <bk>
      <rc t="2" v="9628"/>
    </bk>
    <bk>
      <rc t="2" v="9629"/>
    </bk>
    <bk>
      <rc t="2" v="9630"/>
    </bk>
    <bk>
      <rc t="2" v="9631"/>
    </bk>
    <bk>
      <rc t="2" v="9632"/>
    </bk>
    <bk>
      <rc t="2" v="9633"/>
    </bk>
    <bk>
      <rc t="2" v="9634"/>
    </bk>
    <bk>
      <rc t="2" v="9635"/>
    </bk>
    <bk>
      <rc t="2" v="9636"/>
    </bk>
    <bk>
      <rc t="2" v="9637"/>
    </bk>
    <bk>
      <rc t="2" v="9638"/>
    </bk>
    <bk>
      <rc t="2" v="9639"/>
    </bk>
    <bk>
      <rc t="2" v="9640"/>
    </bk>
    <bk>
      <rc t="2" v="9641"/>
    </bk>
    <bk>
      <rc t="2" v="9642"/>
    </bk>
    <bk>
      <rc t="2" v="9643"/>
    </bk>
    <bk>
      <rc t="2" v="9644"/>
    </bk>
    <bk>
      <rc t="2" v="9645"/>
    </bk>
    <bk>
      <rc t="2" v="9646"/>
    </bk>
    <bk>
      <rc t="2" v="9647"/>
    </bk>
    <bk>
      <rc t="2" v="9648"/>
    </bk>
    <bk>
      <rc t="2" v="9649"/>
    </bk>
    <bk>
      <rc t="2" v="9650"/>
    </bk>
    <bk>
      <rc t="2" v="9651"/>
    </bk>
    <bk>
      <rc t="2" v="9652"/>
    </bk>
    <bk>
      <rc t="2" v="9653"/>
    </bk>
    <bk>
      <rc t="2" v="9654"/>
    </bk>
    <bk>
      <rc t="2" v="9655"/>
    </bk>
    <bk>
      <rc t="2" v="9656"/>
    </bk>
    <bk>
      <rc t="2" v="9657"/>
    </bk>
    <bk>
      <rc t="2" v="9658"/>
    </bk>
    <bk>
      <rc t="2" v="9659"/>
    </bk>
    <bk>
      <rc t="2" v="9660"/>
    </bk>
    <bk>
      <rc t="2" v="9661"/>
    </bk>
    <bk>
      <rc t="2" v="9662"/>
    </bk>
    <bk>
      <rc t="2" v="9663"/>
    </bk>
    <bk>
      <rc t="2" v="9664"/>
    </bk>
    <bk>
      <rc t="2" v="9665"/>
    </bk>
    <bk>
      <rc t="2" v="9666"/>
    </bk>
    <bk>
      <rc t="2" v="9667"/>
    </bk>
    <bk>
      <rc t="2" v="9668"/>
    </bk>
    <bk>
      <rc t="2" v="9669"/>
    </bk>
    <bk>
      <rc t="2" v="9670"/>
    </bk>
    <bk>
      <rc t="2" v="9671"/>
    </bk>
    <bk>
      <rc t="2" v="9672"/>
    </bk>
    <bk>
      <rc t="2" v="9673"/>
    </bk>
    <bk>
      <rc t="2" v="9674"/>
    </bk>
    <bk>
      <rc t="2" v="9675"/>
    </bk>
    <bk>
      <rc t="2" v="9676"/>
    </bk>
    <bk>
      <rc t="2" v="9677"/>
    </bk>
    <bk>
      <rc t="2" v="9678"/>
    </bk>
    <bk>
      <rc t="2" v="9679"/>
    </bk>
    <bk>
      <rc t="2" v="9680"/>
    </bk>
    <bk>
      <rc t="2" v="9681"/>
    </bk>
    <bk>
      <rc t="2" v="9682"/>
    </bk>
    <bk>
      <rc t="2" v="9683"/>
    </bk>
    <bk>
      <rc t="2" v="9684"/>
    </bk>
    <bk>
      <rc t="2" v="9685"/>
    </bk>
    <bk>
      <rc t="2" v="9686"/>
    </bk>
    <bk>
      <rc t="2" v="9687"/>
    </bk>
    <bk>
      <rc t="2" v="9688"/>
    </bk>
    <bk>
      <rc t="2" v="9689"/>
    </bk>
    <bk>
      <rc t="2" v="9690"/>
    </bk>
    <bk>
      <rc t="2" v="9691"/>
    </bk>
    <bk>
      <rc t="2" v="9692"/>
    </bk>
    <bk>
      <rc t="2" v="9693"/>
    </bk>
    <bk>
      <rc t="2" v="9694"/>
    </bk>
    <bk>
      <rc t="2" v="9695"/>
    </bk>
    <bk>
      <rc t="2" v="9696"/>
    </bk>
    <bk>
      <rc t="2" v="9697"/>
    </bk>
    <bk>
      <rc t="2" v="9698"/>
    </bk>
    <bk>
      <rc t="2" v="9699"/>
    </bk>
    <bk>
      <rc t="2" v="9700"/>
    </bk>
    <bk>
      <rc t="2" v="9701"/>
    </bk>
    <bk>
      <rc t="2" v="9702"/>
    </bk>
    <bk>
      <rc t="2" v="9703"/>
    </bk>
    <bk>
      <rc t="2" v="9704"/>
    </bk>
    <bk>
      <rc t="2" v="9705"/>
    </bk>
    <bk>
      <rc t="2" v="9706"/>
    </bk>
    <bk>
      <rc t="2" v="9707"/>
    </bk>
    <bk>
      <rc t="2" v="9708"/>
    </bk>
    <bk>
      <rc t="2" v="9709"/>
    </bk>
    <bk>
      <rc t="2" v="9710"/>
    </bk>
    <bk>
      <rc t="2" v="9711"/>
    </bk>
    <bk>
      <rc t="2" v="9712"/>
    </bk>
    <bk>
      <rc t="2" v="9713"/>
    </bk>
    <bk>
      <rc t="2" v="9714"/>
    </bk>
    <bk>
      <rc t="2" v="9715"/>
    </bk>
    <bk>
      <rc t="2" v="9716"/>
    </bk>
    <bk>
      <rc t="2" v="9717"/>
    </bk>
    <bk>
      <rc t="2" v="9718"/>
    </bk>
    <bk>
      <rc t="2" v="9719"/>
    </bk>
    <bk>
      <rc t="2" v="9720"/>
    </bk>
    <bk>
      <rc t="2" v="9721"/>
    </bk>
    <bk>
      <rc t="2" v="9722"/>
    </bk>
    <bk>
      <rc t="2" v="9723"/>
    </bk>
    <bk>
      <rc t="2" v="9724"/>
    </bk>
    <bk>
      <rc t="2" v="9725"/>
    </bk>
    <bk>
      <rc t="2" v="9726"/>
    </bk>
    <bk>
      <rc t="2" v="9727"/>
    </bk>
    <bk>
      <rc t="2" v="9728"/>
    </bk>
    <bk>
      <rc t="2" v="9729"/>
    </bk>
    <bk>
      <rc t="2" v="9730"/>
    </bk>
    <bk>
      <rc t="2" v="9731"/>
    </bk>
    <bk>
      <rc t="2" v="9732"/>
    </bk>
    <bk>
      <rc t="2" v="9733"/>
    </bk>
    <bk>
      <rc t="2" v="9734"/>
    </bk>
    <bk>
      <rc t="2" v="9735"/>
    </bk>
    <bk>
      <rc t="2" v="9736"/>
    </bk>
    <bk>
      <rc t="2" v="9737"/>
    </bk>
    <bk>
      <rc t="2" v="9738"/>
    </bk>
    <bk>
      <rc t="2" v="9739"/>
    </bk>
    <bk>
      <rc t="2" v="9740"/>
    </bk>
    <bk>
      <rc t="2" v="9741"/>
    </bk>
    <bk>
      <rc t="2" v="9742"/>
    </bk>
    <bk>
      <rc t="2" v="9743"/>
    </bk>
    <bk>
      <rc t="2" v="9744"/>
    </bk>
    <bk>
      <rc t="2" v="9745"/>
    </bk>
    <bk>
      <rc t="2" v="9746"/>
    </bk>
    <bk>
      <rc t="2" v="9747"/>
    </bk>
    <bk>
      <rc t="2" v="9748"/>
    </bk>
    <bk>
      <rc t="2" v="9749"/>
    </bk>
    <bk>
      <rc t="2" v="9750"/>
    </bk>
    <bk>
      <rc t="2" v="9751"/>
    </bk>
    <bk>
      <rc t="2" v="9752"/>
    </bk>
    <bk>
      <rc t="2" v="9753"/>
    </bk>
    <bk>
      <rc t="2" v="9754"/>
    </bk>
    <bk>
      <rc t="2" v="9755"/>
    </bk>
    <bk>
      <rc t="2" v="9756"/>
    </bk>
    <bk>
      <rc t="2" v="9757"/>
    </bk>
    <bk>
      <rc t="2" v="9758"/>
    </bk>
    <bk>
      <rc t="2" v="9759"/>
    </bk>
    <bk>
      <rc t="2" v="9760"/>
    </bk>
    <bk>
      <rc t="2" v="9761"/>
    </bk>
    <bk>
      <rc t="2" v="9762"/>
    </bk>
    <bk>
      <rc t="2" v="9763"/>
    </bk>
    <bk>
      <rc t="2" v="9764"/>
    </bk>
    <bk>
      <rc t="2" v="9765"/>
    </bk>
    <bk>
      <rc t="2" v="9766"/>
    </bk>
    <bk>
      <rc t="2" v="9767"/>
    </bk>
    <bk>
      <rc t="2" v="9768"/>
    </bk>
    <bk>
      <rc t="2" v="9769"/>
    </bk>
    <bk>
      <rc t="2" v="9770"/>
    </bk>
    <bk>
      <rc t="2" v="9771"/>
    </bk>
    <bk>
      <rc t="2" v="9772"/>
    </bk>
    <bk>
      <rc t="2" v="9773"/>
    </bk>
    <bk>
      <rc t="2" v="9774"/>
    </bk>
    <bk>
      <rc t="2" v="9775"/>
    </bk>
    <bk>
      <rc t="2" v="9776"/>
    </bk>
    <bk>
      <rc t="2" v="9777"/>
    </bk>
    <bk>
      <rc t="2" v="9778"/>
    </bk>
    <bk>
      <rc t="2" v="9779"/>
    </bk>
    <bk>
      <rc t="2" v="9780"/>
    </bk>
    <bk>
      <rc t="2" v="9781"/>
    </bk>
    <bk>
      <rc t="2" v="9782"/>
    </bk>
    <bk>
      <rc t="2" v="9783"/>
    </bk>
    <bk>
      <rc t="2" v="9784"/>
    </bk>
    <bk>
      <rc t="2" v="9785"/>
    </bk>
    <bk>
      <rc t="2" v="9786"/>
    </bk>
    <bk>
      <rc t="2" v="9787"/>
    </bk>
    <bk>
      <rc t="2" v="9788"/>
    </bk>
    <bk>
      <rc t="2" v="9789"/>
    </bk>
    <bk>
      <rc t="2" v="9790"/>
    </bk>
    <bk>
      <rc t="2" v="9791"/>
    </bk>
    <bk>
      <rc t="2" v="9792"/>
    </bk>
    <bk>
      <rc t="2" v="9793"/>
    </bk>
    <bk>
      <rc t="2" v="9794"/>
    </bk>
    <bk>
      <rc t="2" v="9795"/>
    </bk>
    <bk>
      <rc t="2" v="9796"/>
    </bk>
    <bk>
      <rc t="2" v="9797"/>
    </bk>
    <bk>
      <rc t="2" v="9798"/>
    </bk>
    <bk>
      <rc t="2" v="9799"/>
    </bk>
    <bk>
      <rc t="2" v="9800"/>
    </bk>
    <bk>
      <rc t="2" v="9801"/>
    </bk>
    <bk>
      <rc t="2" v="9802"/>
    </bk>
    <bk>
      <rc t="2" v="9803"/>
    </bk>
    <bk>
      <rc t="2" v="9804"/>
    </bk>
    <bk>
      <rc t="2" v="9805"/>
    </bk>
    <bk>
      <rc t="2" v="9806"/>
    </bk>
    <bk>
      <rc t="2" v="9807"/>
    </bk>
    <bk>
      <rc t="2" v="9808"/>
    </bk>
    <bk>
      <rc t="2" v="9809"/>
    </bk>
    <bk>
      <rc t="2" v="9810"/>
    </bk>
    <bk>
      <rc t="2" v="9811"/>
    </bk>
    <bk>
      <rc t="2" v="9812"/>
    </bk>
    <bk>
      <rc t="2" v="9813"/>
    </bk>
    <bk>
      <rc t="2" v="9814"/>
    </bk>
    <bk>
      <rc t="2" v="9815"/>
    </bk>
    <bk>
      <rc t="2" v="9816"/>
    </bk>
    <bk>
      <rc t="2" v="9817"/>
    </bk>
    <bk>
      <rc t="2" v="9818"/>
    </bk>
    <bk>
      <rc t="2" v="9819"/>
    </bk>
    <bk>
      <rc t="2" v="9820"/>
    </bk>
    <bk>
      <rc t="2" v="9821"/>
    </bk>
    <bk>
      <rc t="2" v="9822"/>
    </bk>
    <bk>
      <rc t="2" v="9823"/>
    </bk>
    <bk>
      <rc t="2" v="9824"/>
    </bk>
    <bk>
      <rc t="2" v="9825"/>
    </bk>
    <bk>
      <rc t="2" v="9826"/>
    </bk>
    <bk>
      <rc t="2" v="9827"/>
    </bk>
    <bk>
      <rc t="2" v="9828"/>
    </bk>
    <bk>
      <rc t="2" v="9829"/>
    </bk>
    <bk>
      <rc t="2" v="9830"/>
    </bk>
    <bk>
      <rc t="2" v="9831"/>
    </bk>
    <bk>
      <rc t="2" v="9832"/>
    </bk>
    <bk>
      <rc t="2" v="9833"/>
    </bk>
    <bk>
      <rc t="2" v="9834"/>
    </bk>
    <bk>
      <rc t="2" v="9835"/>
    </bk>
    <bk>
      <rc t="2" v="9836"/>
    </bk>
    <bk>
      <rc t="2" v="9837"/>
    </bk>
    <bk>
      <rc t="2" v="9838"/>
    </bk>
    <bk>
      <rc t="2" v="9839"/>
    </bk>
    <bk>
      <rc t="2" v="9840"/>
    </bk>
    <bk>
      <rc t="2" v="9841"/>
    </bk>
    <bk>
      <rc t="2" v="9842"/>
    </bk>
    <bk>
      <rc t="2" v="9843"/>
    </bk>
    <bk>
      <rc t="2" v="9844"/>
    </bk>
    <bk>
      <rc t="2" v="9845"/>
    </bk>
    <bk>
      <rc t="2" v="9846"/>
    </bk>
    <bk>
      <rc t="2" v="9847"/>
    </bk>
    <bk>
      <rc t="2" v="9848"/>
    </bk>
    <bk>
      <rc t="2" v="9849"/>
    </bk>
    <bk>
      <rc t="2" v="9850"/>
    </bk>
    <bk>
      <rc t="2" v="9851"/>
    </bk>
    <bk>
      <rc t="2" v="9852"/>
    </bk>
    <bk>
      <rc t="2" v="9853"/>
    </bk>
    <bk>
      <rc t="2" v="9854"/>
    </bk>
    <bk>
      <rc t="2" v="9855"/>
    </bk>
    <bk>
      <rc t="2" v="9856"/>
    </bk>
    <bk>
      <rc t="2" v="9857"/>
    </bk>
    <bk>
      <rc t="2" v="9858"/>
    </bk>
    <bk>
      <rc t="2" v="9859"/>
    </bk>
    <bk>
      <rc t="2" v="9860"/>
    </bk>
    <bk>
      <rc t="2" v="9861"/>
    </bk>
    <bk>
      <rc t="2" v="9862"/>
    </bk>
    <bk>
      <rc t="2" v="9863"/>
    </bk>
    <bk>
      <rc t="2" v="9864"/>
    </bk>
    <bk>
      <rc t="2" v="9865"/>
    </bk>
    <bk>
      <rc t="2" v="9866"/>
    </bk>
    <bk>
      <rc t="2" v="9867"/>
    </bk>
    <bk>
      <rc t="2" v="9868"/>
    </bk>
    <bk>
      <rc t="2" v="9869"/>
    </bk>
    <bk>
      <rc t="2" v="9870"/>
    </bk>
    <bk>
      <rc t="2" v="9871"/>
    </bk>
    <bk>
      <rc t="2" v="9872"/>
    </bk>
    <bk>
      <rc t="2" v="9873"/>
    </bk>
    <bk>
      <rc t="2" v="9874"/>
    </bk>
    <bk>
      <rc t="2" v="9875"/>
    </bk>
    <bk>
      <rc t="2" v="9876"/>
    </bk>
    <bk>
      <rc t="2" v="9877"/>
    </bk>
    <bk>
      <rc t="2" v="9878"/>
    </bk>
    <bk>
      <rc t="2" v="9879"/>
    </bk>
    <bk>
      <rc t="2" v="9880"/>
    </bk>
    <bk>
      <rc t="2" v="9881"/>
    </bk>
    <bk>
      <rc t="2" v="9882"/>
    </bk>
    <bk>
      <rc t="2" v="9883"/>
    </bk>
    <bk>
      <rc t="2" v="9884"/>
    </bk>
    <bk>
      <rc t="2" v="9885"/>
    </bk>
    <bk>
      <rc t="2" v="9886"/>
    </bk>
    <bk>
      <rc t="2" v="9887"/>
    </bk>
    <bk>
      <rc t="2" v="9888"/>
    </bk>
    <bk>
      <rc t="2" v="9889"/>
    </bk>
    <bk>
      <rc t="2" v="9890"/>
    </bk>
    <bk>
      <rc t="2" v="9891"/>
    </bk>
    <bk>
      <rc t="2" v="9892"/>
    </bk>
    <bk>
      <rc t="2" v="9893"/>
    </bk>
    <bk>
      <rc t="2" v="9894"/>
    </bk>
    <bk>
      <rc t="2" v="9895"/>
    </bk>
    <bk>
      <rc t="2" v="9896"/>
    </bk>
    <bk>
      <rc t="2" v="9897"/>
    </bk>
    <bk>
      <rc t="2" v="9898"/>
    </bk>
    <bk>
      <rc t="2" v="9899"/>
    </bk>
    <bk>
      <rc t="2" v="9900"/>
    </bk>
    <bk>
      <rc t="2" v="9901"/>
    </bk>
    <bk>
      <rc t="2" v="9902"/>
    </bk>
    <bk>
      <rc t="2" v="9903"/>
    </bk>
    <bk>
      <rc t="2" v="9904"/>
    </bk>
    <bk>
      <rc t="2" v="9905"/>
    </bk>
    <bk>
      <rc t="2" v="9906"/>
    </bk>
    <bk>
      <rc t="2" v="9907"/>
    </bk>
    <bk>
      <rc t="2" v="9908"/>
    </bk>
    <bk>
      <rc t="2" v="9909"/>
    </bk>
    <bk>
      <rc t="2" v="9910"/>
    </bk>
    <bk>
      <rc t="2" v="9911"/>
    </bk>
    <bk>
      <rc t="2" v="9912"/>
    </bk>
    <bk>
      <rc t="2" v="9913"/>
    </bk>
    <bk>
      <rc t="2" v="9914"/>
    </bk>
    <bk>
      <rc t="2" v="9915"/>
    </bk>
    <bk>
      <rc t="2" v="9916"/>
    </bk>
    <bk>
      <rc t="2" v="9917"/>
    </bk>
    <bk>
      <rc t="2" v="9918"/>
    </bk>
    <bk>
      <rc t="2" v="9919"/>
    </bk>
    <bk>
      <rc t="2" v="9920"/>
    </bk>
    <bk>
      <rc t="2" v="9921"/>
    </bk>
    <bk>
      <rc t="2" v="9922"/>
    </bk>
    <bk>
      <rc t="2" v="9923"/>
    </bk>
    <bk>
      <rc t="2" v="9924"/>
    </bk>
    <bk>
      <rc t="2" v="9925"/>
    </bk>
    <bk>
      <rc t="2" v="9926"/>
    </bk>
    <bk>
      <rc t="2" v="9927"/>
    </bk>
    <bk>
      <rc t="2" v="9928"/>
    </bk>
    <bk>
      <rc t="2" v="9929"/>
    </bk>
    <bk>
      <rc t="2" v="9930"/>
    </bk>
    <bk>
      <rc t="2" v="9931"/>
    </bk>
    <bk>
      <rc t="2" v="9932"/>
    </bk>
    <bk>
      <rc t="2" v="9933"/>
    </bk>
    <bk>
      <rc t="2" v="9934"/>
    </bk>
    <bk>
      <rc t="2" v="9935"/>
    </bk>
    <bk>
      <rc t="2" v="9936"/>
    </bk>
    <bk>
      <rc t="2" v="9937"/>
    </bk>
    <bk>
      <rc t="2" v="9938"/>
    </bk>
    <bk>
      <rc t="2" v="9939"/>
    </bk>
    <bk>
      <rc t="2" v="9940"/>
    </bk>
    <bk>
      <rc t="2" v="9941"/>
    </bk>
    <bk>
      <rc t="2" v="9942"/>
    </bk>
    <bk>
      <rc t="2" v="9943"/>
    </bk>
    <bk>
      <rc t="2" v="9944"/>
    </bk>
    <bk>
      <rc t="2" v="9945"/>
    </bk>
    <bk>
      <rc t="2" v="9946"/>
    </bk>
    <bk>
      <rc t="2" v="9947"/>
    </bk>
    <bk>
      <rc t="2" v="9948"/>
    </bk>
    <bk>
      <rc t="2" v="9949"/>
    </bk>
    <bk>
      <rc t="2" v="9950"/>
    </bk>
    <bk>
      <rc t="2" v="9951"/>
    </bk>
    <bk>
      <rc t="2" v="9952"/>
    </bk>
    <bk>
      <rc t="2" v="9953"/>
    </bk>
    <bk>
      <rc t="2" v="9954"/>
    </bk>
    <bk>
      <rc t="2" v="9955"/>
    </bk>
    <bk>
      <rc t="2" v="9956"/>
    </bk>
    <bk>
      <rc t="2" v="9957"/>
    </bk>
    <bk>
      <rc t="2" v="9958"/>
    </bk>
    <bk>
      <rc t="2" v="9959"/>
    </bk>
    <bk>
      <rc t="2" v="9960"/>
    </bk>
    <bk>
      <rc t="2" v="9961"/>
    </bk>
    <bk>
      <rc t="2" v="9962"/>
    </bk>
    <bk>
      <rc t="2" v="9963"/>
    </bk>
    <bk>
      <rc t="2" v="9964"/>
    </bk>
    <bk>
      <rc t="2" v="9965"/>
    </bk>
    <bk>
      <rc t="2" v="9966"/>
    </bk>
    <bk>
      <rc t="2" v="9967"/>
    </bk>
    <bk>
      <rc t="2" v="9968"/>
    </bk>
    <bk>
      <rc t="2" v="9969"/>
    </bk>
    <bk>
      <rc t="2" v="9970"/>
    </bk>
    <bk>
      <rc t="2" v="9971"/>
    </bk>
    <bk>
      <rc t="2" v="9972"/>
    </bk>
    <bk>
      <rc t="2" v="9973"/>
    </bk>
    <bk>
      <rc t="2" v="9974"/>
    </bk>
    <bk>
      <rc t="2" v="9975"/>
    </bk>
    <bk>
      <rc t="2" v="9976"/>
    </bk>
    <bk>
      <rc t="2" v="9977"/>
    </bk>
    <bk>
      <rc t="2" v="9978"/>
    </bk>
    <bk>
      <rc t="2" v="9979"/>
    </bk>
    <bk>
      <rc t="2" v="9980"/>
    </bk>
    <bk>
      <rc t="2" v="9981"/>
    </bk>
    <bk>
      <rc t="2" v="9982"/>
    </bk>
    <bk>
      <rc t="2" v="9983"/>
    </bk>
    <bk>
      <rc t="2" v="9984"/>
    </bk>
    <bk>
      <rc t="2" v="9985"/>
    </bk>
    <bk>
      <rc t="2" v="9986"/>
    </bk>
    <bk>
      <rc t="2" v="9987"/>
    </bk>
    <bk>
      <rc t="2" v="9988"/>
    </bk>
    <bk>
      <rc t="2" v="9989"/>
    </bk>
    <bk>
      <rc t="2" v="9990"/>
    </bk>
    <bk>
      <rc t="2" v="9991"/>
    </bk>
    <bk>
      <rc t="2" v="9992"/>
    </bk>
    <bk>
      <rc t="2" v="9993"/>
    </bk>
    <bk>
      <rc t="2" v="9994"/>
    </bk>
    <bk>
      <rc t="2" v="9995"/>
    </bk>
    <bk>
      <rc t="2" v="9996"/>
    </bk>
    <bk>
      <rc t="2" v="9997"/>
    </bk>
    <bk>
      <rc t="2" v="9998"/>
    </bk>
    <bk>
      <rc t="2" v="9999"/>
    </bk>
    <bk>
      <rc t="2" v="10000"/>
    </bk>
    <bk>
      <rc t="2" v="10001"/>
    </bk>
    <bk>
      <rc t="2" v="10002"/>
    </bk>
    <bk>
      <rc t="2" v="10003"/>
    </bk>
    <bk>
      <rc t="2" v="10004"/>
    </bk>
    <bk>
      <rc t="2" v="10005"/>
    </bk>
    <bk>
      <rc t="2" v="10006"/>
    </bk>
    <bk>
      <rc t="2" v="10007"/>
    </bk>
    <bk>
      <rc t="2" v="10008"/>
    </bk>
    <bk>
      <rc t="2" v="10009"/>
    </bk>
    <bk>
      <rc t="2" v="10010"/>
    </bk>
    <bk>
      <rc t="2" v="10011"/>
    </bk>
    <bk>
      <rc t="2" v="10012"/>
    </bk>
    <bk>
      <rc t="2" v="10013"/>
    </bk>
    <bk>
      <rc t="2" v="10014"/>
    </bk>
    <bk>
      <rc t="2" v="10015"/>
    </bk>
    <bk>
      <rc t="2" v="10016"/>
    </bk>
    <bk>
      <rc t="2" v="10017"/>
    </bk>
    <bk>
      <rc t="2" v="10018"/>
    </bk>
    <bk>
      <rc t="2" v="10019"/>
    </bk>
    <bk>
      <rc t="2" v="10020"/>
    </bk>
    <bk>
      <rc t="2" v="10021"/>
    </bk>
    <bk>
      <rc t="2" v="10022"/>
    </bk>
    <bk>
      <rc t="2" v="10023"/>
    </bk>
    <bk>
      <rc t="2" v="10024"/>
    </bk>
    <bk>
      <rc t="2" v="10025"/>
    </bk>
    <bk>
      <rc t="2" v="10026"/>
    </bk>
    <bk>
      <rc t="2" v="10027"/>
    </bk>
    <bk>
      <rc t="2" v="10028"/>
    </bk>
    <bk>
      <rc t="2" v="10029"/>
    </bk>
    <bk>
      <rc t="2" v="10030"/>
    </bk>
    <bk>
      <rc t="2" v="10031"/>
    </bk>
    <bk>
      <rc t="2" v="10032"/>
    </bk>
    <bk>
      <rc t="2" v="10033"/>
    </bk>
    <bk>
      <rc t="2" v="10034"/>
    </bk>
    <bk>
      <rc t="2" v="10035"/>
    </bk>
    <bk>
      <rc t="2" v="10036"/>
    </bk>
    <bk>
      <rc t="2" v="10037"/>
    </bk>
    <bk>
      <rc t="2" v="10038"/>
    </bk>
    <bk>
      <rc t="2" v="10039"/>
    </bk>
    <bk>
      <rc t="2" v="10040"/>
    </bk>
    <bk>
      <rc t="2" v="10041"/>
    </bk>
    <bk>
      <rc t="2" v="10042"/>
    </bk>
    <bk>
      <rc t="2" v="10043"/>
    </bk>
    <bk>
      <rc t="2" v="10044"/>
    </bk>
    <bk>
      <rc t="2" v="10045"/>
    </bk>
    <bk>
      <rc t="2" v="10046"/>
    </bk>
    <bk>
      <rc t="2" v="10047"/>
    </bk>
    <bk>
      <rc t="2" v="10048"/>
    </bk>
    <bk>
      <rc t="2" v="10049"/>
    </bk>
    <bk>
      <rc t="2" v="10050"/>
    </bk>
    <bk>
      <rc t="2" v="10051"/>
    </bk>
    <bk>
      <rc t="2" v="10052"/>
    </bk>
    <bk>
      <rc t="2" v="10053"/>
    </bk>
    <bk>
      <rc t="2" v="10054"/>
    </bk>
    <bk>
      <rc t="2" v="10055"/>
    </bk>
    <bk>
      <rc t="2" v="10056"/>
    </bk>
    <bk>
      <rc t="2" v="10057"/>
    </bk>
    <bk>
      <rc t="2" v="10058"/>
    </bk>
    <bk>
      <rc t="2" v="10059"/>
    </bk>
    <bk>
      <rc t="2" v="10060"/>
    </bk>
    <bk>
      <rc t="2" v="10061"/>
    </bk>
    <bk>
      <rc t="2" v="10062"/>
    </bk>
    <bk>
      <rc t="2" v="10063"/>
    </bk>
    <bk>
      <rc t="2" v="10064"/>
    </bk>
    <bk>
      <rc t="2" v="10065"/>
    </bk>
    <bk>
      <rc t="2" v="10066"/>
    </bk>
    <bk>
      <rc t="2" v="10067"/>
    </bk>
    <bk>
      <rc t="2" v="10068"/>
    </bk>
    <bk>
      <rc t="2" v="10069"/>
    </bk>
    <bk>
      <rc t="2" v="10070"/>
    </bk>
    <bk>
      <rc t="2" v="10071"/>
    </bk>
    <bk>
      <rc t="2" v="10072"/>
    </bk>
    <bk>
      <rc t="2" v="10073"/>
    </bk>
    <bk>
      <rc t="2" v="10074"/>
    </bk>
    <bk>
      <rc t="2" v="10075"/>
    </bk>
    <bk>
      <rc t="2" v="10076"/>
    </bk>
    <bk>
      <rc t="2" v="10077"/>
    </bk>
    <bk>
      <rc t="2" v="10078"/>
    </bk>
    <bk>
      <rc t="2" v="10079"/>
    </bk>
    <bk>
      <rc t="2" v="10080"/>
    </bk>
    <bk>
      <rc t="2" v="10081"/>
    </bk>
    <bk>
      <rc t="2" v="10082"/>
    </bk>
    <bk>
      <rc t="2" v="10083"/>
    </bk>
    <bk>
      <rc t="2" v="10084"/>
    </bk>
    <bk>
      <rc t="2" v="10085"/>
    </bk>
    <bk>
      <rc t="2" v="10086"/>
    </bk>
    <bk>
      <rc t="2" v="10087"/>
    </bk>
    <bk>
      <rc t="2" v="10088"/>
    </bk>
    <bk>
      <rc t="2" v="10089"/>
    </bk>
    <bk>
      <rc t="2" v="10090"/>
    </bk>
    <bk>
      <rc t="2" v="10091"/>
    </bk>
    <bk>
      <rc t="2" v="10092"/>
    </bk>
    <bk>
      <rc t="2" v="10093"/>
    </bk>
    <bk>
      <rc t="2" v="10094"/>
    </bk>
    <bk>
      <rc t="2" v="10095"/>
    </bk>
    <bk>
      <rc t="2" v="10096"/>
    </bk>
    <bk>
      <rc t="2" v="10097"/>
    </bk>
    <bk>
      <rc t="2" v="10098"/>
    </bk>
    <bk>
      <rc t="2" v="10099"/>
    </bk>
    <bk>
      <rc t="2" v="10100"/>
    </bk>
    <bk>
      <rc t="2" v="10101"/>
    </bk>
    <bk>
      <rc t="2" v="10102"/>
    </bk>
    <bk>
      <rc t="2" v="10103"/>
    </bk>
    <bk>
      <rc t="2" v="10104"/>
    </bk>
    <bk>
      <rc t="2" v="10105"/>
    </bk>
    <bk>
      <rc t="2" v="10106"/>
    </bk>
    <bk>
      <rc t="2" v="10107"/>
    </bk>
    <bk>
      <rc t="2" v="10108"/>
    </bk>
    <bk>
      <rc t="2" v="10109"/>
    </bk>
    <bk>
      <rc t="2" v="10110"/>
    </bk>
    <bk>
      <rc t="2" v="10111"/>
    </bk>
    <bk>
      <rc t="2" v="10112"/>
    </bk>
    <bk>
      <rc t="2" v="10113"/>
    </bk>
    <bk>
      <rc t="2" v="10114"/>
    </bk>
    <bk>
      <rc t="2" v="10115"/>
    </bk>
    <bk>
      <rc t="2" v="10116"/>
    </bk>
    <bk>
      <rc t="2" v="10117"/>
    </bk>
    <bk>
      <rc t="2" v="10118"/>
    </bk>
    <bk>
      <rc t="2" v="10119"/>
    </bk>
    <bk>
      <rc t="2" v="10120"/>
    </bk>
    <bk>
      <rc t="2" v="10121"/>
    </bk>
    <bk>
      <rc t="2" v="10122"/>
    </bk>
    <bk>
      <rc t="2" v="10123"/>
    </bk>
    <bk>
      <rc t="2" v="10124"/>
    </bk>
    <bk>
      <rc t="2" v="10125"/>
    </bk>
    <bk>
      <rc t="2" v="10126"/>
    </bk>
    <bk>
      <rc t="2" v="10127"/>
    </bk>
    <bk>
      <rc t="2" v="10128"/>
    </bk>
    <bk>
      <rc t="2" v="10129"/>
    </bk>
    <bk>
      <rc t="2" v="10130"/>
    </bk>
    <bk>
      <rc t="2" v="10131"/>
    </bk>
    <bk>
      <rc t="2" v="10132"/>
    </bk>
    <bk>
      <rc t="2" v="10133"/>
    </bk>
    <bk>
      <rc t="2" v="10134"/>
    </bk>
    <bk>
      <rc t="2" v="10135"/>
    </bk>
    <bk>
      <rc t="2" v="10136"/>
    </bk>
    <bk>
      <rc t="2" v="10137"/>
    </bk>
    <bk>
      <rc t="2" v="10138"/>
    </bk>
    <bk>
      <rc t="2" v="10139"/>
    </bk>
    <bk>
      <rc t="2" v="10140"/>
    </bk>
    <bk>
      <rc t="2" v="10141"/>
    </bk>
    <bk>
      <rc t="2" v="10142"/>
    </bk>
    <bk>
      <rc t="2" v="10143"/>
    </bk>
    <bk>
      <rc t="2" v="10144"/>
    </bk>
    <bk>
      <rc t="2" v="10145"/>
    </bk>
    <bk>
      <rc t="2" v="10146"/>
    </bk>
    <bk>
      <rc t="2" v="10147"/>
    </bk>
    <bk>
      <rc t="2" v="10148"/>
    </bk>
    <bk>
      <rc t="2" v="10149"/>
    </bk>
    <bk>
      <rc t="2" v="10150"/>
    </bk>
    <bk>
      <rc t="2" v="10151"/>
    </bk>
    <bk>
      <rc t="2" v="10152"/>
    </bk>
    <bk>
      <rc t="2" v="10153"/>
    </bk>
    <bk>
      <rc t="2" v="10154"/>
    </bk>
    <bk>
      <rc t="2" v="10155"/>
    </bk>
    <bk>
      <rc t="2" v="10156"/>
    </bk>
    <bk>
      <rc t="2" v="10157"/>
    </bk>
    <bk>
      <rc t="2" v="10158"/>
    </bk>
    <bk>
      <rc t="2" v="10159"/>
    </bk>
    <bk>
      <rc t="2" v="10160"/>
    </bk>
    <bk>
      <rc t="2" v="10161"/>
    </bk>
    <bk>
      <rc t="2" v="10162"/>
    </bk>
    <bk>
      <rc t="2" v="10163"/>
    </bk>
    <bk>
      <rc t="2" v="10164"/>
    </bk>
    <bk>
      <rc t="2" v="10165"/>
    </bk>
    <bk>
      <rc t="2" v="10166"/>
    </bk>
    <bk>
      <rc t="2" v="10167"/>
    </bk>
    <bk>
      <rc t="2" v="10168"/>
    </bk>
    <bk>
      <rc t="2" v="10169"/>
    </bk>
    <bk>
      <rc t="2" v="10170"/>
    </bk>
    <bk>
      <rc t="2" v="10171"/>
    </bk>
    <bk>
      <rc t="2" v="10172"/>
    </bk>
    <bk>
      <rc t="2" v="10173"/>
    </bk>
    <bk>
      <rc t="2" v="10174"/>
    </bk>
    <bk>
      <rc t="2" v="10175"/>
    </bk>
    <bk>
      <rc t="2" v="10176"/>
    </bk>
    <bk>
      <rc t="2" v="10177"/>
    </bk>
    <bk>
      <rc t="2" v="10178"/>
    </bk>
    <bk>
      <rc t="2" v="10179"/>
    </bk>
    <bk>
      <rc t="2" v="10180"/>
    </bk>
    <bk>
      <rc t="2" v="10181"/>
    </bk>
    <bk>
      <rc t="2" v="10182"/>
    </bk>
    <bk>
      <rc t="2" v="10183"/>
    </bk>
    <bk>
      <rc t="2" v="10184"/>
    </bk>
    <bk>
      <rc t="2" v="10185"/>
    </bk>
    <bk>
      <rc t="2" v="10186"/>
    </bk>
    <bk>
      <rc t="2" v="10187"/>
    </bk>
    <bk>
      <rc t="2" v="10188"/>
    </bk>
    <bk>
      <rc t="2" v="10189"/>
    </bk>
    <bk>
      <rc t="2" v="10190"/>
    </bk>
    <bk>
      <rc t="2" v="10191"/>
    </bk>
    <bk>
      <rc t="2" v="10192"/>
    </bk>
    <bk>
      <rc t="2" v="10193"/>
    </bk>
    <bk>
      <rc t="2" v="10194"/>
    </bk>
    <bk>
      <rc t="2" v="10195"/>
    </bk>
    <bk>
      <rc t="2" v="10196"/>
    </bk>
    <bk>
      <rc t="2" v="10197"/>
    </bk>
    <bk>
      <rc t="2" v="10198"/>
    </bk>
    <bk>
      <rc t="2" v="10199"/>
    </bk>
    <bk>
      <rc t="2" v="10200"/>
    </bk>
    <bk>
      <rc t="2" v="10201"/>
    </bk>
    <bk>
      <rc t="2" v="10202"/>
    </bk>
    <bk>
      <rc t="2" v="10203"/>
    </bk>
    <bk>
      <rc t="2" v="10204"/>
    </bk>
    <bk>
      <rc t="2" v="10205"/>
    </bk>
    <bk>
      <rc t="2" v="10206"/>
    </bk>
    <bk>
      <rc t="2" v="10207"/>
    </bk>
    <bk>
      <rc t="2" v="10208"/>
    </bk>
    <bk>
      <rc t="2" v="10209"/>
    </bk>
    <bk>
      <rc t="2" v="10210"/>
    </bk>
    <bk>
      <rc t="2" v="10211"/>
    </bk>
    <bk>
      <rc t="2" v="10212"/>
    </bk>
    <bk>
      <rc t="2" v="10213"/>
    </bk>
    <bk>
      <rc t="2" v="10214"/>
    </bk>
    <bk>
      <rc t="2" v="10215"/>
    </bk>
    <bk>
      <rc t="2" v="10216"/>
    </bk>
    <bk>
      <rc t="2" v="10217"/>
    </bk>
    <bk>
      <rc t="2" v="10218"/>
    </bk>
    <bk>
      <rc t="2" v="10219"/>
    </bk>
    <bk>
      <rc t="2" v="10220"/>
    </bk>
    <bk>
      <rc t="2" v="10221"/>
    </bk>
    <bk>
      <rc t="2" v="10222"/>
    </bk>
    <bk>
      <rc t="2" v="10223"/>
    </bk>
    <bk>
      <rc t="2" v="10224"/>
    </bk>
    <bk>
      <rc t="2" v="10225"/>
    </bk>
    <bk>
      <rc t="2" v="10226"/>
    </bk>
    <bk>
      <rc t="2" v="10227"/>
    </bk>
    <bk>
      <rc t="2" v="10228"/>
    </bk>
    <bk>
      <rc t="2" v="10229"/>
    </bk>
    <bk>
      <rc t="2" v="10230"/>
    </bk>
    <bk>
      <rc t="2" v="10231"/>
    </bk>
    <bk>
      <rc t="2" v="10232"/>
    </bk>
    <bk>
      <rc t="2" v="10233"/>
    </bk>
    <bk>
      <rc t="2" v="10234"/>
    </bk>
    <bk>
      <rc t="2" v="10235"/>
    </bk>
    <bk>
      <rc t="2" v="10236"/>
    </bk>
    <bk>
      <rc t="2" v="10237"/>
    </bk>
    <bk>
      <rc t="2" v="10238"/>
    </bk>
    <bk>
      <rc t="2" v="10239"/>
    </bk>
    <bk>
      <rc t="2" v="10240"/>
    </bk>
    <bk>
      <rc t="2" v="10241"/>
    </bk>
    <bk>
      <rc t="2" v="10242"/>
    </bk>
    <bk>
      <rc t="2" v="10243"/>
    </bk>
    <bk>
      <rc t="2" v="10244"/>
    </bk>
    <bk>
      <rc t="2" v="10245"/>
    </bk>
    <bk>
      <rc t="2" v="10246"/>
    </bk>
    <bk>
      <rc t="2" v="10247"/>
    </bk>
    <bk>
      <rc t="2" v="10248"/>
    </bk>
    <bk>
      <rc t="2" v="10249"/>
    </bk>
    <bk>
      <rc t="2" v="10250"/>
    </bk>
    <bk>
      <rc t="2" v="10251"/>
    </bk>
    <bk>
      <rc t="2" v="10252"/>
    </bk>
    <bk>
      <rc t="2" v="10253"/>
    </bk>
    <bk>
      <rc t="2" v="10254"/>
    </bk>
    <bk>
      <rc t="2" v="10255"/>
    </bk>
    <bk>
      <rc t="2" v="10256"/>
    </bk>
    <bk>
      <rc t="2" v="10257"/>
    </bk>
    <bk>
      <rc t="2" v="10258"/>
    </bk>
    <bk>
      <rc t="2" v="10259"/>
    </bk>
    <bk>
      <rc t="2" v="10260"/>
    </bk>
    <bk>
      <rc t="2" v="10261"/>
    </bk>
    <bk>
      <rc t="2" v="10262"/>
    </bk>
    <bk>
      <rc t="2" v="10263"/>
    </bk>
    <bk>
      <rc t="2" v="10264"/>
    </bk>
    <bk>
      <rc t="2" v="10265"/>
    </bk>
    <bk>
      <rc t="2" v="10266"/>
    </bk>
    <bk>
      <rc t="2" v="10267"/>
    </bk>
    <bk>
      <rc t="2" v="10268"/>
    </bk>
    <bk>
      <rc t="2" v="10269"/>
    </bk>
    <bk>
      <rc t="2" v="10270"/>
    </bk>
    <bk>
      <rc t="2" v="10271"/>
    </bk>
    <bk>
      <rc t="2" v="10272"/>
    </bk>
    <bk>
      <rc t="2" v="10273"/>
    </bk>
    <bk>
      <rc t="2" v="10274"/>
    </bk>
    <bk>
      <rc t="2" v="10275"/>
    </bk>
    <bk>
      <rc t="2" v="10276"/>
    </bk>
    <bk>
      <rc t="2" v="10277"/>
    </bk>
    <bk>
      <rc t="2" v="10278"/>
    </bk>
    <bk>
      <rc t="2" v="10279"/>
    </bk>
    <bk>
      <rc t="2" v="10280"/>
    </bk>
    <bk>
      <rc t="2" v="10281"/>
    </bk>
    <bk>
      <rc t="2" v="10282"/>
    </bk>
    <bk>
      <rc t="2" v="10283"/>
    </bk>
    <bk>
      <rc t="2" v="10284"/>
    </bk>
    <bk>
      <rc t="2" v="10285"/>
    </bk>
    <bk>
      <rc t="2" v="10286"/>
    </bk>
    <bk>
      <rc t="2" v="10287"/>
    </bk>
    <bk>
      <rc t="2" v="10288"/>
    </bk>
    <bk>
      <rc t="2" v="10289"/>
    </bk>
    <bk>
      <rc t="2" v="10290"/>
    </bk>
    <bk>
      <rc t="2" v="10291"/>
    </bk>
    <bk>
      <rc t="2" v="10292"/>
    </bk>
    <bk>
      <rc t="2" v="10293"/>
    </bk>
    <bk>
      <rc t="2" v="10294"/>
    </bk>
    <bk>
      <rc t="2" v="10295"/>
    </bk>
    <bk>
      <rc t="2" v="10296"/>
    </bk>
    <bk>
      <rc t="2" v="10297"/>
    </bk>
    <bk>
      <rc t="2" v="10298"/>
    </bk>
    <bk>
      <rc t="2" v="10299"/>
    </bk>
    <bk>
      <rc t="2" v="10300"/>
    </bk>
    <bk>
      <rc t="2" v="10301"/>
    </bk>
    <bk>
      <rc t="2" v="10302"/>
    </bk>
    <bk>
      <rc t="2" v="10303"/>
    </bk>
    <bk>
      <rc t="2" v="10304"/>
    </bk>
    <bk>
      <rc t="2" v="10305"/>
    </bk>
    <bk>
      <rc t="2" v="10306"/>
    </bk>
    <bk>
      <rc t="2" v="10307"/>
    </bk>
    <bk>
      <rc t="2" v="10308"/>
    </bk>
    <bk>
      <rc t="2" v="10309"/>
    </bk>
    <bk>
      <rc t="2" v="10310"/>
    </bk>
    <bk>
      <rc t="2" v="10311"/>
    </bk>
    <bk>
      <rc t="2" v="10312"/>
    </bk>
    <bk>
      <rc t="2" v="10313"/>
    </bk>
    <bk>
      <rc t="2" v="10314"/>
    </bk>
    <bk>
      <rc t="2" v="10315"/>
    </bk>
    <bk>
      <rc t="2" v="10316"/>
    </bk>
    <bk>
      <rc t="2" v="10317"/>
    </bk>
    <bk>
      <rc t="2" v="10318"/>
    </bk>
    <bk>
      <rc t="2" v="10319"/>
    </bk>
    <bk>
      <rc t="2" v="10320"/>
    </bk>
    <bk>
      <rc t="2" v="10321"/>
    </bk>
    <bk>
      <rc t="2" v="10322"/>
    </bk>
    <bk>
      <rc t="2" v="10323"/>
    </bk>
    <bk>
      <rc t="2" v="10324"/>
    </bk>
    <bk>
      <rc t="2" v="10325"/>
    </bk>
    <bk>
      <rc t="2" v="10326"/>
    </bk>
    <bk>
      <rc t="2" v="10327"/>
    </bk>
    <bk>
      <rc t="2" v="10328"/>
    </bk>
    <bk>
      <rc t="2" v="10329"/>
    </bk>
    <bk>
      <rc t="2" v="10330"/>
    </bk>
    <bk>
      <rc t="2" v="10331"/>
    </bk>
    <bk>
      <rc t="2" v="10332"/>
    </bk>
    <bk>
      <rc t="2" v="10333"/>
    </bk>
    <bk>
      <rc t="2" v="10334"/>
    </bk>
    <bk>
      <rc t="2" v="10335"/>
    </bk>
    <bk>
      <rc t="2" v="10336"/>
    </bk>
    <bk>
      <rc t="2" v="10337"/>
    </bk>
    <bk>
      <rc t="2" v="10338"/>
    </bk>
    <bk>
      <rc t="2" v="10339"/>
    </bk>
    <bk>
      <rc t="2" v="10340"/>
    </bk>
    <bk>
      <rc t="2" v="10341"/>
    </bk>
    <bk>
      <rc t="2" v="10342"/>
    </bk>
    <bk>
      <rc t="2" v="10343"/>
    </bk>
    <bk>
      <rc t="2" v="10344"/>
    </bk>
    <bk>
      <rc t="2" v="10345"/>
    </bk>
    <bk>
      <rc t="2" v="10346"/>
    </bk>
    <bk>
      <rc t="2" v="10347"/>
    </bk>
    <bk>
      <rc t="2" v="10348"/>
    </bk>
    <bk>
      <rc t="2" v="10349"/>
    </bk>
    <bk>
      <rc t="2" v="10350"/>
    </bk>
    <bk>
      <rc t="2" v="10351"/>
    </bk>
    <bk>
      <rc t="2" v="10352"/>
    </bk>
    <bk>
      <rc t="2" v="10353"/>
    </bk>
    <bk>
      <rc t="2" v="10354"/>
    </bk>
    <bk>
      <rc t="2" v="10355"/>
    </bk>
    <bk>
      <rc t="2" v="10356"/>
    </bk>
    <bk>
      <rc t="2" v="10357"/>
    </bk>
    <bk>
      <rc t="2" v="10358"/>
    </bk>
    <bk>
      <rc t="2" v="10359"/>
    </bk>
    <bk>
      <rc t="2" v="10360"/>
    </bk>
    <bk>
      <rc t="2" v="10361"/>
    </bk>
    <bk>
      <rc t="2" v="10362"/>
    </bk>
    <bk>
      <rc t="2" v="10363"/>
    </bk>
    <bk>
      <rc t="2" v="10364"/>
    </bk>
    <bk>
      <rc t="2" v="10365"/>
    </bk>
    <bk>
      <rc t="2" v="10366"/>
    </bk>
    <bk>
      <rc t="2" v="10367"/>
    </bk>
    <bk>
      <rc t="2" v="10368"/>
    </bk>
    <bk>
      <rc t="2" v="10369"/>
    </bk>
    <bk>
      <rc t="2" v="10370"/>
    </bk>
    <bk>
      <rc t="2" v="10371"/>
    </bk>
    <bk>
      <rc t="2" v="10372"/>
    </bk>
    <bk>
      <rc t="2" v="10373"/>
    </bk>
    <bk>
      <rc t="2" v="10374"/>
    </bk>
    <bk>
      <rc t="2" v="10375"/>
    </bk>
    <bk>
      <rc t="2" v="10376"/>
    </bk>
    <bk>
      <rc t="2" v="10377"/>
    </bk>
    <bk>
      <rc t="2" v="10378"/>
    </bk>
    <bk>
      <rc t="2" v="10379"/>
    </bk>
    <bk>
      <rc t="2" v="10380"/>
    </bk>
    <bk>
      <rc t="2" v="10381"/>
    </bk>
    <bk>
      <rc t="2" v="10382"/>
    </bk>
    <bk>
      <rc t="2" v="10383"/>
    </bk>
    <bk>
      <rc t="2" v="10384"/>
    </bk>
    <bk>
      <rc t="2" v="10385"/>
    </bk>
    <bk>
      <rc t="2" v="10386"/>
    </bk>
    <bk>
      <rc t="2" v="10387"/>
    </bk>
    <bk>
      <rc t="2" v="10388"/>
    </bk>
    <bk>
      <rc t="2" v="10389"/>
    </bk>
    <bk>
      <rc t="2" v="10390"/>
    </bk>
    <bk>
      <rc t="2" v="10391"/>
    </bk>
    <bk>
      <rc t="2" v="10392"/>
    </bk>
    <bk>
      <rc t="2" v="10393"/>
    </bk>
    <bk>
      <rc t="2" v="10394"/>
    </bk>
    <bk>
      <rc t="2" v="10395"/>
    </bk>
    <bk>
      <rc t="2" v="10396"/>
    </bk>
    <bk>
      <rc t="2" v="10397"/>
    </bk>
    <bk>
      <rc t="2" v="10398"/>
    </bk>
    <bk>
      <rc t="2" v="10399"/>
    </bk>
    <bk>
      <rc t="2" v="10400"/>
    </bk>
    <bk>
      <rc t="2" v="10401"/>
    </bk>
    <bk>
      <rc t="2" v="10402"/>
    </bk>
    <bk>
      <rc t="2" v="10403"/>
    </bk>
    <bk>
      <rc t="2" v="10404"/>
    </bk>
    <bk>
      <rc t="2" v="10405"/>
    </bk>
    <bk>
      <rc t="2" v="10406"/>
    </bk>
    <bk>
      <rc t="2" v="10407"/>
    </bk>
    <bk>
      <rc t="2" v="10408"/>
    </bk>
    <bk>
      <rc t="2" v="10409"/>
    </bk>
    <bk>
      <rc t="2" v="10410"/>
    </bk>
    <bk>
      <rc t="2" v="10411"/>
    </bk>
    <bk>
      <rc t="2" v="10412"/>
    </bk>
    <bk>
      <rc t="2" v="10413"/>
    </bk>
    <bk>
      <rc t="2" v="10414"/>
    </bk>
    <bk>
      <rc t="2" v="10415"/>
    </bk>
    <bk>
      <rc t="2" v="10416"/>
    </bk>
    <bk>
      <rc t="2" v="10417"/>
    </bk>
    <bk>
      <rc t="2" v="10418"/>
    </bk>
    <bk>
      <rc t="2" v="10419"/>
    </bk>
    <bk>
      <rc t="2" v="10420"/>
    </bk>
    <bk>
      <rc t="2" v="10421"/>
    </bk>
    <bk>
      <rc t="2" v="10422"/>
    </bk>
    <bk>
      <rc t="2" v="10423"/>
    </bk>
    <bk>
      <rc t="2" v="10424"/>
    </bk>
    <bk>
      <rc t="2" v="10425"/>
    </bk>
    <bk>
      <rc t="2" v="10426"/>
    </bk>
    <bk>
      <rc t="2" v="10427"/>
    </bk>
    <bk>
      <rc t="2" v="10428"/>
    </bk>
    <bk>
      <rc t="2" v="10429"/>
    </bk>
    <bk>
      <rc t="2" v="10430"/>
    </bk>
    <bk>
      <rc t="2" v="10431"/>
    </bk>
    <bk>
      <rc t="2" v="10432"/>
    </bk>
    <bk>
      <rc t="2" v="10433"/>
    </bk>
    <bk>
      <rc t="2" v="10434"/>
    </bk>
    <bk>
      <rc t="2" v="10435"/>
    </bk>
    <bk>
      <rc t="2" v="10436"/>
    </bk>
    <bk>
      <rc t="2" v="10437"/>
    </bk>
    <bk>
      <rc t="2" v="10438"/>
    </bk>
    <bk>
      <rc t="2" v="10439"/>
    </bk>
    <bk>
      <rc t="2" v="10440"/>
    </bk>
    <bk>
      <rc t="2" v="10441"/>
    </bk>
    <bk>
      <rc t="2" v="10442"/>
    </bk>
    <bk>
      <rc t="2" v="10443"/>
    </bk>
    <bk>
      <rc t="2" v="10444"/>
    </bk>
    <bk>
      <rc t="2" v="10445"/>
    </bk>
    <bk>
      <rc t="2" v="10446"/>
    </bk>
    <bk>
      <rc t="2" v="10447"/>
    </bk>
    <bk>
      <rc t="2" v="10448"/>
    </bk>
    <bk>
      <rc t="2" v="10449"/>
    </bk>
    <bk>
      <rc t="2" v="10450"/>
    </bk>
    <bk>
      <rc t="2" v="10451"/>
    </bk>
    <bk>
      <rc t="2" v="10452"/>
    </bk>
    <bk>
      <rc t="2" v="10453"/>
    </bk>
    <bk>
      <rc t="2" v="10454"/>
    </bk>
    <bk>
      <rc t="2" v="10455"/>
    </bk>
    <bk>
      <rc t="2" v="10456"/>
    </bk>
    <bk>
      <rc t="2" v="10457"/>
    </bk>
    <bk>
      <rc t="2" v="10458"/>
    </bk>
    <bk>
      <rc t="2" v="10459"/>
    </bk>
    <bk>
      <rc t="2" v="10460"/>
    </bk>
    <bk>
      <rc t="2" v="10461"/>
    </bk>
    <bk>
      <rc t="2" v="10462"/>
    </bk>
    <bk>
      <rc t="2" v="10463"/>
    </bk>
    <bk>
      <rc t="2" v="10464"/>
    </bk>
    <bk>
      <rc t="2" v="10465"/>
    </bk>
    <bk>
      <rc t="2" v="10466"/>
    </bk>
    <bk>
      <rc t="2" v="10467"/>
    </bk>
    <bk>
      <rc t="2" v="10468"/>
    </bk>
    <bk>
      <rc t="2" v="10469"/>
    </bk>
    <bk>
      <rc t="2" v="10470"/>
    </bk>
    <bk>
      <rc t="2" v="10471"/>
    </bk>
    <bk>
      <rc t="2" v="10472"/>
    </bk>
    <bk>
      <rc t="2" v="10473"/>
    </bk>
    <bk>
      <rc t="2" v="10474"/>
    </bk>
    <bk>
      <rc t="2" v="10475"/>
    </bk>
    <bk>
      <rc t="2" v="10476"/>
    </bk>
    <bk>
      <rc t="2" v="10477"/>
    </bk>
    <bk>
      <rc t="2" v="10478"/>
    </bk>
    <bk>
      <rc t="2" v="10479"/>
    </bk>
    <bk>
      <rc t="2" v="10480"/>
    </bk>
    <bk>
      <rc t="2" v="10481"/>
    </bk>
    <bk>
      <rc t="2" v="10482"/>
    </bk>
    <bk>
      <rc t="2" v="10483"/>
    </bk>
    <bk>
      <rc t="2" v="10484"/>
    </bk>
    <bk>
      <rc t="2" v="10485"/>
    </bk>
    <bk>
      <rc t="2" v="10486"/>
    </bk>
    <bk>
      <rc t="2" v="10487"/>
    </bk>
    <bk>
      <rc t="2" v="10488"/>
    </bk>
    <bk>
      <rc t="2" v="10489"/>
    </bk>
    <bk>
      <rc t="2" v="10490"/>
    </bk>
    <bk>
      <rc t="2" v="10491"/>
    </bk>
    <bk>
      <rc t="2" v="10492"/>
    </bk>
    <bk>
      <rc t="2" v="10493"/>
    </bk>
    <bk>
      <rc t="2" v="10494"/>
    </bk>
    <bk>
      <rc t="2" v="10495"/>
    </bk>
    <bk>
      <rc t="2" v="10496"/>
    </bk>
    <bk>
      <rc t="2" v="10497"/>
    </bk>
    <bk>
      <rc t="2" v="10498"/>
    </bk>
    <bk>
      <rc t="2" v="10499"/>
    </bk>
    <bk>
      <rc t="2" v="10500"/>
    </bk>
    <bk>
      <rc t="2" v="10501"/>
    </bk>
    <bk>
      <rc t="2" v="10502"/>
    </bk>
    <bk>
      <rc t="2" v="10503"/>
    </bk>
    <bk>
      <rc t="2" v="10504"/>
    </bk>
    <bk>
      <rc t="2" v="10505"/>
    </bk>
    <bk>
      <rc t="2" v="10506"/>
    </bk>
    <bk>
      <rc t="2" v="10507"/>
    </bk>
    <bk>
      <rc t="2" v="10508"/>
    </bk>
    <bk>
      <rc t="2" v="10509"/>
    </bk>
    <bk>
      <rc t="2" v="10510"/>
    </bk>
    <bk>
      <rc t="2" v="10511"/>
    </bk>
    <bk>
      <rc t="2" v="10512"/>
    </bk>
    <bk>
      <rc t="2" v="10513"/>
    </bk>
    <bk>
      <rc t="2" v="10514"/>
    </bk>
    <bk>
      <rc t="2" v="10515"/>
    </bk>
    <bk>
      <rc t="2" v="10516"/>
    </bk>
    <bk>
      <rc t="2" v="10517"/>
    </bk>
    <bk>
      <rc t="2" v="10518"/>
    </bk>
    <bk>
      <rc t="2" v="10519"/>
    </bk>
    <bk>
      <rc t="2" v="10520"/>
    </bk>
    <bk>
      <rc t="2" v="10521"/>
    </bk>
    <bk>
      <rc t="2" v="10522"/>
    </bk>
    <bk>
      <rc t="2" v="10523"/>
    </bk>
    <bk>
      <rc t="2" v="10524"/>
    </bk>
    <bk>
      <rc t="2" v="10525"/>
    </bk>
    <bk>
      <rc t="2" v="10526"/>
    </bk>
    <bk>
      <rc t="2" v="10527"/>
    </bk>
    <bk>
      <rc t="2" v="10528"/>
    </bk>
    <bk>
      <rc t="2" v="10529"/>
    </bk>
    <bk>
      <rc t="2" v="10530"/>
    </bk>
    <bk>
      <rc t="2" v="10531"/>
    </bk>
    <bk>
      <rc t="2" v="10532"/>
    </bk>
    <bk>
      <rc t="2" v="10533"/>
    </bk>
    <bk>
      <rc t="2" v="10534"/>
    </bk>
    <bk>
      <rc t="2" v="10535"/>
    </bk>
    <bk>
      <rc t="2" v="10536"/>
    </bk>
    <bk>
      <rc t="2" v="10537"/>
    </bk>
    <bk>
      <rc t="2" v="10538"/>
    </bk>
    <bk>
      <rc t="2" v="10539"/>
    </bk>
    <bk>
      <rc t="2" v="10540"/>
    </bk>
    <bk>
      <rc t="2" v="10541"/>
    </bk>
    <bk>
      <rc t="2" v="10542"/>
    </bk>
    <bk>
      <rc t="2" v="10543"/>
    </bk>
    <bk>
      <rc t="2" v="10544"/>
    </bk>
    <bk>
      <rc t="2" v="10545"/>
    </bk>
    <bk>
      <rc t="2" v="10546"/>
    </bk>
    <bk>
      <rc t="2" v="10547"/>
    </bk>
    <bk>
      <rc t="2" v="10548"/>
    </bk>
    <bk>
      <rc t="2" v="10549"/>
    </bk>
    <bk>
      <rc t="2" v="10550"/>
    </bk>
    <bk>
      <rc t="2" v="10551"/>
    </bk>
    <bk>
      <rc t="2" v="10552"/>
    </bk>
    <bk>
      <rc t="2" v="10553"/>
    </bk>
    <bk>
      <rc t="2" v="10554"/>
    </bk>
    <bk>
      <rc t="2" v="10555"/>
    </bk>
    <bk>
      <rc t="2" v="10556"/>
    </bk>
    <bk>
      <rc t="2" v="10557"/>
    </bk>
    <bk>
      <rc t="2" v="10558"/>
    </bk>
    <bk>
      <rc t="2" v="10559"/>
    </bk>
    <bk>
      <rc t="2" v="10560"/>
    </bk>
    <bk>
      <rc t="2" v="10561"/>
    </bk>
    <bk>
      <rc t="2" v="10562"/>
    </bk>
    <bk>
      <rc t="2" v="10563"/>
    </bk>
    <bk>
      <rc t="2" v="10564"/>
    </bk>
    <bk>
      <rc t="2" v="10565"/>
    </bk>
    <bk>
      <rc t="2" v="10566"/>
    </bk>
    <bk>
      <rc t="2" v="10567"/>
    </bk>
    <bk>
      <rc t="2" v="10568"/>
    </bk>
    <bk>
      <rc t="2" v="10569"/>
    </bk>
    <bk>
      <rc t="2" v="10570"/>
    </bk>
    <bk>
      <rc t="2" v="10571"/>
    </bk>
    <bk>
      <rc t="2" v="10572"/>
    </bk>
    <bk>
      <rc t="2" v="10573"/>
    </bk>
    <bk>
      <rc t="2" v="10574"/>
    </bk>
    <bk>
      <rc t="2" v="10575"/>
    </bk>
    <bk>
      <rc t="2" v="10576"/>
    </bk>
    <bk>
      <rc t="2" v="10577"/>
    </bk>
    <bk>
      <rc t="2" v="10578"/>
    </bk>
    <bk>
      <rc t="2" v="10579"/>
    </bk>
    <bk>
      <rc t="2" v="10580"/>
    </bk>
    <bk>
      <rc t="2" v="10581"/>
    </bk>
    <bk>
      <rc t="2" v="10582"/>
    </bk>
    <bk>
      <rc t="2" v="10583"/>
    </bk>
    <bk>
      <rc t="2" v="10584"/>
    </bk>
    <bk>
      <rc t="2" v="10585"/>
    </bk>
    <bk>
      <rc t="2" v="10586"/>
    </bk>
    <bk>
      <rc t="2" v="10587"/>
    </bk>
    <bk>
      <rc t="2" v="10588"/>
    </bk>
    <bk>
      <rc t="2" v="10589"/>
    </bk>
    <bk>
      <rc t="2" v="10590"/>
    </bk>
    <bk>
      <rc t="2" v="10591"/>
    </bk>
    <bk>
      <rc t="2" v="10592"/>
    </bk>
    <bk>
      <rc t="2" v="10593"/>
    </bk>
    <bk>
      <rc t="2" v="10594"/>
    </bk>
    <bk>
      <rc t="2" v="10595"/>
    </bk>
    <bk>
      <rc t="2" v="10596"/>
    </bk>
    <bk>
      <rc t="2" v="10597"/>
    </bk>
    <bk>
      <rc t="2" v="10598"/>
    </bk>
    <bk>
      <rc t="2" v="10599"/>
    </bk>
    <bk>
      <rc t="2" v="10600"/>
    </bk>
    <bk>
      <rc t="2" v="10601"/>
    </bk>
    <bk>
      <rc t="2" v="10602"/>
    </bk>
    <bk>
      <rc t="2" v="10603"/>
    </bk>
    <bk>
      <rc t="2" v="10604"/>
    </bk>
    <bk>
      <rc t="2" v="10605"/>
    </bk>
    <bk>
      <rc t="2" v="10606"/>
    </bk>
    <bk>
      <rc t="2" v="10607"/>
    </bk>
    <bk>
      <rc t="2" v="10608"/>
    </bk>
    <bk>
      <rc t="2" v="10609"/>
    </bk>
    <bk>
      <rc t="2" v="10610"/>
    </bk>
    <bk>
      <rc t="2" v="10611"/>
    </bk>
    <bk>
      <rc t="2" v="10612"/>
    </bk>
    <bk>
      <rc t="2" v="10613"/>
    </bk>
    <bk>
      <rc t="2" v="10614"/>
    </bk>
    <bk>
      <rc t="2" v="10615"/>
    </bk>
    <bk>
      <rc t="2" v="10616"/>
    </bk>
    <bk>
      <rc t="2" v="10617"/>
    </bk>
    <bk>
      <rc t="2" v="10618"/>
    </bk>
    <bk>
      <rc t="2" v="10619"/>
    </bk>
    <bk>
      <rc t="2" v="10620"/>
    </bk>
    <bk>
      <rc t="2" v="10621"/>
    </bk>
    <bk>
      <rc t="2" v="10622"/>
    </bk>
    <bk>
      <rc t="2" v="10623"/>
    </bk>
    <bk>
      <rc t="2" v="10624"/>
    </bk>
    <bk>
      <rc t="2" v="10625"/>
    </bk>
    <bk>
      <rc t="2" v="10626"/>
    </bk>
    <bk>
      <rc t="2" v="10627"/>
    </bk>
    <bk>
      <rc t="2" v="10628"/>
    </bk>
    <bk>
      <rc t="2" v="10629"/>
    </bk>
    <bk>
      <rc t="2" v="10630"/>
    </bk>
    <bk>
      <rc t="2" v="10631"/>
    </bk>
    <bk>
      <rc t="2" v="10632"/>
    </bk>
    <bk>
      <rc t="2" v="10633"/>
    </bk>
    <bk>
      <rc t="2" v="10634"/>
    </bk>
    <bk>
      <rc t="2" v="10635"/>
    </bk>
    <bk>
      <rc t="2" v="10636"/>
    </bk>
    <bk>
      <rc t="2" v="10637"/>
    </bk>
    <bk>
      <rc t="2" v="10638"/>
    </bk>
    <bk>
      <rc t="2" v="10639"/>
    </bk>
    <bk>
      <rc t="2" v="10640"/>
    </bk>
    <bk>
      <rc t="2" v="10641"/>
    </bk>
    <bk>
      <rc t="2" v="10642"/>
    </bk>
    <bk>
      <rc t="2" v="10643"/>
    </bk>
    <bk>
      <rc t="2" v="10644"/>
    </bk>
    <bk>
      <rc t="2" v="10645"/>
    </bk>
    <bk>
      <rc t="2" v="10646"/>
    </bk>
    <bk>
      <rc t="2" v="10647"/>
    </bk>
    <bk>
      <rc t="2" v="10648"/>
    </bk>
    <bk>
      <rc t="2" v="10649"/>
    </bk>
    <bk>
      <rc t="2" v="10650"/>
    </bk>
    <bk>
      <rc t="2" v="10651"/>
    </bk>
    <bk>
      <rc t="2" v="10652"/>
    </bk>
    <bk>
      <rc t="2" v="10653"/>
    </bk>
    <bk>
      <rc t="2" v="10654"/>
    </bk>
    <bk>
      <rc t="2" v="10655"/>
    </bk>
    <bk>
      <rc t="2" v="10656"/>
    </bk>
    <bk>
      <rc t="2" v="10657"/>
    </bk>
    <bk>
      <rc t="2" v="10658"/>
    </bk>
    <bk>
      <rc t="2" v="10659"/>
    </bk>
    <bk>
      <rc t="2" v="10660"/>
    </bk>
    <bk>
      <rc t="2" v="10661"/>
    </bk>
    <bk>
      <rc t="2" v="10662"/>
    </bk>
    <bk>
      <rc t="2" v="10663"/>
    </bk>
    <bk>
      <rc t="2" v="10664"/>
    </bk>
    <bk>
      <rc t="2" v="10665"/>
    </bk>
    <bk>
      <rc t="2" v="10666"/>
    </bk>
    <bk>
      <rc t="2" v="10667"/>
    </bk>
    <bk>
      <rc t="2" v="10668"/>
    </bk>
    <bk>
      <rc t="2" v="10669"/>
    </bk>
    <bk>
      <rc t="2" v="10670"/>
    </bk>
    <bk>
      <rc t="2" v="10671"/>
    </bk>
    <bk>
      <rc t="2" v="10672"/>
    </bk>
    <bk>
      <rc t="2" v="10673"/>
    </bk>
    <bk>
      <rc t="2" v="10674"/>
    </bk>
    <bk>
      <rc t="2" v="10675"/>
    </bk>
    <bk>
      <rc t="2" v="10676"/>
    </bk>
    <bk>
      <rc t="2" v="10677"/>
    </bk>
    <bk>
      <rc t="2" v="10678"/>
    </bk>
    <bk>
      <rc t="2" v="10679"/>
    </bk>
    <bk>
      <rc t="2" v="10680"/>
    </bk>
    <bk>
      <rc t="2" v="10681"/>
    </bk>
    <bk>
      <rc t="2" v="10682"/>
    </bk>
    <bk>
      <rc t="2" v="10683"/>
    </bk>
    <bk>
      <rc t="2" v="10684"/>
    </bk>
    <bk>
      <rc t="2" v="10685"/>
    </bk>
    <bk>
      <rc t="2" v="10686"/>
    </bk>
    <bk>
      <rc t="2" v="10687"/>
    </bk>
    <bk>
      <rc t="2" v="10688"/>
    </bk>
    <bk>
      <rc t="2" v="10689"/>
    </bk>
    <bk>
      <rc t="2" v="10690"/>
    </bk>
    <bk>
      <rc t="2" v="10691"/>
    </bk>
    <bk>
      <rc t="2" v="10692"/>
    </bk>
    <bk>
      <rc t="2" v="10693"/>
    </bk>
    <bk>
      <rc t="2" v="10694"/>
    </bk>
    <bk>
      <rc t="2" v="10695"/>
    </bk>
    <bk>
      <rc t="2" v="10696"/>
    </bk>
    <bk>
      <rc t="2" v="10697"/>
    </bk>
    <bk>
      <rc t="2" v="10698"/>
    </bk>
    <bk>
      <rc t="2" v="10699"/>
    </bk>
    <bk>
      <rc t="2" v="10700"/>
    </bk>
    <bk>
      <rc t="2" v="10701"/>
    </bk>
    <bk>
      <rc t="2" v="10702"/>
    </bk>
    <bk>
      <rc t="2" v="10703"/>
    </bk>
    <bk>
      <rc t="2" v="10704"/>
    </bk>
    <bk>
      <rc t="2" v="10705"/>
    </bk>
    <bk>
      <rc t="2" v="10706"/>
    </bk>
    <bk>
      <rc t="2" v="10707"/>
    </bk>
    <bk>
      <rc t="2" v="10708"/>
    </bk>
    <bk>
      <rc t="2" v="10709"/>
    </bk>
    <bk>
      <rc t="2" v="10710"/>
    </bk>
    <bk>
      <rc t="2" v="10711"/>
    </bk>
    <bk>
      <rc t="2" v="10712"/>
    </bk>
    <bk>
      <rc t="2" v="10713"/>
    </bk>
    <bk>
      <rc t="2" v="10714"/>
    </bk>
    <bk>
      <rc t="2" v="10715"/>
    </bk>
    <bk>
      <rc t="2" v="10716"/>
    </bk>
    <bk>
      <rc t="2" v="10717"/>
    </bk>
    <bk>
      <rc t="2" v="10718"/>
    </bk>
    <bk>
      <rc t="2" v="10719"/>
    </bk>
    <bk>
      <rc t="2" v="10720"/>
    </bk>
    <bk>
      <rc t="2" v="10721"/>
    </bk>
    <bk>
      <rc t="2" v="10722"/>
    </bk>
    <bk>
      <rc t="2" v="10723"/>
    </bk>
    <bk>
      <rc t="2" v="10724"/>
    </bk>
    <bk>
      <rc t="2" v="10725"/>
    </bk>
    <bk>
      <rc t="2" v="10726"/>
    </bk>
    <bk>
      <rc t="2" v="10727"/>
    </bk>
    <bk>
      <rc t="2" v="10728"/>
    </bk>
    <bk>
      <rc t="2" v="10729"/>
    </bk>
    <bk>
      <rc t="2" v="10730"/>
    </bk>
    <bk>
      <rc t="2" v="10731"/>
    </bk>
    <bk>
      <rc t="2" v="10732"/>
    </bk>
    <bk>
      <rc t="2" v="10733"/>
    </bk>
    <bk>
      <rc t="2" v="10734"/>
    </bk>
    <bk>
      <rc t="2" v="10735"/>
    </bk>
    <bk>
      <rc t="2" v="10736"/>
    </bk>
    <bk>
      <rc t="2" v="10737"/>
    </bk>
    <bk>
      <rc t="2" v="10738"/>
    </bk>
    <bk>
      <rc t="2" v="10739"/>
    </bk>
    <bk>
      <rc t="2" v="10740"/>
    </bk>
    <bk>
      <rc t="2" v="10741"/>
    </bk>
    <bk>
      <rc t="2" v="10742"/>
    </bk>
    <bk>
      <rc t="2" v="10743"/>
    </bk>
    <bk>
      <rc t="2" v="10744"/>
    </bk>
    <bk>
      <rc t="2" v="10745"/>
    </bk>
    <bk>
      <rc t="2" v="10746"/>
    </bk>
    <bk>
      <rc t="2" v="10747"/>
    </bk>
    <bk>
      <rc t="2" v="10748"/>
    </bk>
    <bk>
      <rc t="2" v="10749"/>
    </bk>
    <bk>
      <rc t="2" v="10750"/>
    </bk>
    <bk>
      <rc t="2" v="10751"/>
    </bk>
    <bk>
      <rc t="2" v="10752"/>
    </bk>
    <bk>
      <rc t="2" v="10753"/>
    </bk>
    <bk>
      <rc t="2" v="10754"/>
    </bk>
    <bk>
      <rc t="2" v="10755"/>
    </bk>
    <bk>
      <rc t="2" v="10756"/>
    </bk>
    <bk>
      <rc t="2" v="10757"/>
    </bk>
    <bk>
      <rc t="2" v="10758"/>
    </bk>
    <bk>
      <rc t="2" v="10759"/>
    </bk>
    <bk>
      <rc t="2" v="10760"/>
    </bk>
    <bk>
      <rc t="2" v="10761"/>
    </bk>
    <bk>
      <rc t="2" v="10762"/>
    </bk>
    <bk>
      <rc t="2" v="10763"/>
    </bk>
    <bk>
      <rc t="2" v="10764"/>
    </bk>
    <bk>
      <rc t="2" v="10765"/>
    </bk>
    <bk>
      <rc t="2" v="10766"/>
    </bk>
    <bk>
      <rc t="2" v="10767"/>
    </bk>
    <bk>
      <rc t="2" v="10768"/>
    </bk>
    <bk>
      <rc t="2" v="10769"/>
    </bk>
    <bk>
      <rc t="2" v="10770"/>
    </bk>
    <bk>
      <rc t="2" v="10771"/>
    </bk>
    <bk>
      <rc t="2" v="10772"/>
    </bk>
    <bk>
      <rc t="2" v="10773"/>
    </bk>
    <bk>
      <rc t="2" v="10774"/>
    </bk>
    <bk>
      <rc t="2" v="10775"/>
    </bk>
    <bk>
      <rc t="2" v="10776"/>
    </bk>
    <bk>
      <rc t="2" v="10777"/>
    </bk>
    <bk>
      <rc t="2" v="10778"/>
    </bk>
    <bk>
      <rc t="2" v="10779"/>
    </bk>
    <bk>
      <rc t="2" v="10780"/>
    </bk>
    <bk>
      <rc t="2" v="10781"/>
    </bk>
    <bk>
      <rc t="2" v="10782"/>
    </bk>
    <bk>
      <rc t="2" v="10783"/>
    </bk>
    <bk>
      <rc t="2" v="10784"/>
    </bk>
    <bk>
      <rc t="2" v="10785"/>
    </bk>
    <bk>
      <rc t="2" v="10786"/>
    </bk>
    <bk>
      <rc t="2" v="10787"/>
    </bk>
    <bk>
      <rc t="2" v="10788"/>
    </bk>
    <bk>
      <rc t="2" v="10789"/>
    </bk>
    <bk>
      <rc t="2" v="10790"/>
    </bk>
    <bk>
      <rc t="2" v="10791"/>
    </bk>
    <bk>
      <rc t="2" v="10792"/>
    </bk>
    <bk>
      <rc t="2" v="10793"/>
    </bk>
    <bk>
      <rc t="2" v="10794"/>
    </bk>
    <bk>
      <rc t="2" v="10795"/>
    </bk>
    <bk>
      <rc t="2" v="10796"/>
    </bk>
    <bk>
      <rc t="2" v="10797"/>
    </bk>
    <bk>
      <rc t="2" v="10798"/>
    </bk>
    <bk>
      <rc t="2" v="10799"/>
    </bk>
    <bk>
      <rc t="2" v="10800"/>
    </bk>
    <bk>
      <rc t="2" v="10801"/>
    </bk>
    <bk>
      <rc t="2" v="10802"/>
    </bk>
    <bk>
      <rc t="2" v="10803"/>
    </bk>
    <bk>
      <rc t="2" v="10804"/>
    </bk>
    <bk>
      <rc t="2" v="10805"/>
    </bk>
    <bk>
      <rc t="2" v="10806"/>
    </bk>
    <bk>
      <rc t="2" v="10807"/>
    </bk>
    <bk>
      <rc t="2" v="10808"/>
    </bk>
    <bk>
      <rc t="2" v="10809"/>
    </bk>
    <bk>
      <rc t="2" v="10810"/>
    </bk>
    <bk>
      <rc t="2" v="10811"/>
    </bk>
    <bk>
      <rc t="2" v="10812"/>
    </bk>
    <bk>
      <rc t="2" v="10813"/>
    </bk>
    <bk>
      <rc t="2" v="10814"/>
    </bk>
    <bk>
      <rc t="2" v="10815"/>
    </bk>
    <bk>
      <rc t="2" v="10816"/>
    </bk>
    <bk>
      <rc t="2" v="10817"/>
    </bk>
    <bk>
      <rc t="2" v="10818"/>
    </bk>
    <bk>
      <rc t="2" v="10819"/>
    </bk>
    <bk>
      <rc t="2" v="10820"/>
    </bk>
    <bk>
      <rc t="2" v="10821"/>
    </bk>
    <bk>
      <rc t="2" v="10822"/>
    </bk>
    <bk>
      <rc t="2" v="10823"/>
    </bk>
    <bk>
      <rc t="2" v="10824"/>
    </bk>
    <bk>
      <rc t="2" v="10825"/>
    </bk>
    <bk>
      <rc t="2" v="10826"/>
    </bk>
    <bk>
      <rc t="2" v="10827"/>
    </bk>
    <bk>
      <rc t="2" v="10828"/>
    </bk>
    <bk>
      <rc t="2" v="10829"/>
    </bk>
    <bk>
      <rc t="2" v="10830"/>
    </bk>
    <bk>
      <rc t="2" v="10831"/>
    </bk>
    <bk>
      <rc t="2" v="10832"/>
    </bk>
    <bk>
      <rc t="2" v="10833"/>
    </bk>
    <bk>
      <rc t="2" v="10834"/>
    </bk>
    <bk>
      <rc t="2" v="10835"/>
    </bk>
    <bk>
      <rc t="2" v="10836"/>
    </bk>
    <bk>
      <rc t="2" v="10837"/>
    </bk>
    <bk>
      <rc t="2" v="10838"/>
    </bk>
    <bk>
      <rc t="2" v="10839"/>
    </bk>
    <bk>
      <rc t="2" v="10840"/>
    </bk>
    <bk>
      <rc t="2" v="10841"/>
    </bk>
    <bk>
      <rc t="2" v="10842"/>
    </bk>
    <bk>
      <rc t="2" v="10843"/>
    </bk>
    <bk>
      <rc t="2" v="10844"/>
    </bk>
    <bk>
      <rc t="2" v="10845"/>
    </bk>
    <bk>
      <rc t="2" v="10846"/>
    </bk>
    <bk>
      <rc t="2" v="10847"/>
    </bk>
    <bk>
      <rc t="2" v="10848"/>
    </bk>
    <bk>
      <rc t="2" v="10849"/>
    </bk>
    <bk>
      <rc t="2" v="10850"/>
    </bk>
    <bk>
      <rc t="2" v="10851"/>
    </bk>
    <bk>
      <rc t="2" v="10852"/>
    </bk>
    <bk>
      <rc t="2" v="10853"/>
    </bk>
    <bk>
      <rc t="2" v="10854"/>
    </bk>
    <bk>
      <rc t="2" v="10855"/>
    </bk>
    <bk>
      <rc t="2" v="10856"/>
    </bk>
    <bk>
      <rc t="2" v="10857"/>
    </bk>
    <bk>
      <rc t="2" v="10858"/>
    </bk>
    <bk>
      <rc t="2" v="10859"/>
    </bk>
    <bk>
      <rc t="2" v="10860"/>
    </bk>
    <bk>
      <rc t="2" v="10861"/>
    </bk>
    <bk>
      <rc t="2" v="10862"/>
    </bk>
    <bk>
      <rc t="2" v="10863"/>
    </bk>
    <bk>
      <rc t="2" v="10864"/>
    </bk>
    <bk>
      <rc t="2" v="10865"/>
    </bk>
    <bk>
      <rc t="2" v="10866"/>
    </bk>
    <bk>
      <rc t="2" v="10867"/>
    </bk>
    <bk>
      <rc t="2" v="10868"/>
    </bk>
    <bk>
      <rc t="2" v="10869"/>
    </bk>
    <bk>
      <rc t="2" v="10870"/>
    </bk>
    <bk>
      <rc t="2" v="10871"/>
    </bk>
    <bk>
      <rc t="2" v="10872"/>
    </bk>
    <bk>
      <rc t="2" v="10873"/>
    </bk>
    <bk>
      <rc t="2" v="10874"/>
    </bk>
    <bk>
      <rc t="2" v="10875"/>
    </bk>
    <bk>
      <rc t="2" v="10876"/>
    </bk>
    <bk>
      <rc t="2" v="10877"/>
    </bk>
    <bk>
      <rc t="2" v="10878"/>
    </bk>
    <bk>
      <rc t="2" v="10879"/>
    </bk>
    <bk>
      <rc t="2" v="10880"/>
    </bk>
    <bk>
      <rc t="2" v="10881"/>
    </bk>
    <bk>
      <rc t="2" v="10882"/>
    </bk>
    <bk>
      <rc t="2" v="10883"/>
    </bk>
    <bk>
      <rc t="2" v="10884"/>
    </bk>
    <bk>
      <rc t="2" v="10885"/>
    </bk>
    <bk>
      <rc t="2" v="10886"/>
    </bk>
    <bk>
      <rc t="2" v="10887"/>
    </bk>
    <bk>
      <rc t="2" v="10888"/>
    </bk>
    <bk>
      <rc t="2" v="10889"/>
    </bk>
    <bk>
      <rc t="2" v="10890"/>
    </bk>
    <bk>
      <rc t="2" v="10891"/>
    </bk>
    <bk>
      <rc t="2" v="10892"/>
    </bk>
    <bk>
      <rc t="2" v="10893"/>
    </bk>
    <bk>
      <rc t="2" v="10894"/>
    </bk>
    <bk>
      <rc t="2" v="10895"/>
    </bk>
    <bk>
      <rc t="2" v="10896"/>
    </bk>
    <bk>
      <rc t="2" v="10897"/>
    </bk>
    <bk>
      <rc t="2" v="10898"/>
    </bk>
    <bk>
      <rc t="2" v="10899"/>
    </bk>
    <bk>
      <rc t="2" v="10900"/>
    </bk>
    <bk>
      <rc t="2" v="10901"/>
    </bk>
    <bk>
      <rc t="2" v="10902"/>
    </bk>
    <bk>
      <rc t="2" v="10903"/>
    </bk>
    <bk>
      <rc t="2" v="10904"/>
    </bk>
    <bk>
      <rc t="2" v="10905"/>
    </bk>
    <bk>
      <rc t="2" v="10906"/>
    </bk>
    <bk>
      <rc t="2" v="10907"/>
    </bk>
    <bk>
      <rc t="2" v="10908"/>
    </bk>
    <bk>
      <rc t="2" v="10909"/>
    </bk>
    <bk>
      <rc t="2" v="10910"/>
    </bk>
    <bk>
      <rc t="2" v="10911"/>
    </bk>
    <bk>
      <rc t="2" v="10912"/>
    </bk>
    <bk>
      <rc t="2" v="10913"/>
    </bk>
    <bk>
      <rc t="2" v="10914"/>
    </bk>
    <bk>
      <rc t="2" v="10915"/>
    </bk>
    <bk>
      <rc t="2" v="10916"/>
    </bk>
    <bk>
      <rc t="2" v="10917"/>
    </bk>
    <bk>
      <rc t="2" v="10918"/>
    </bk>
    <bk>
      <rc t="2" v="10919"/>
    </bk>
    <bk>
      <rc t="2" v="10920"/>
    </bk>
    <bk>
      <rc t="2" v="10921"/>
    </bk>
    <bk>
      <rc t="2" v="10922"/>
    </bk>
    <bk>
      <rc t="2" v="10923"/>
    </bk>
    <bk>
      <rc t="2" v="10924"/>
    </bk>
    <bk>
      <rc t="2" v="10925"/>
    </bk>
    <bk>
      <rc t="2" v="10926"/>
    </bk>
    <bk>
      <rc t="2" v="10927"/>
    </bk>
    <bk>
      <rc t="2" v="10928"/>
    </bk>
    <bk>
      <rc t="2" v="10929"/>
    </bk>
    <bk>
      <rc t="2" v="10930"/>
    </bk>
    <bk>
      <rc t="2" v="10931"/>
    </bk>
    <bk>
      <rc t="2" v="10932"/>
    </bk>
    <bk>
      <rc t="2" v="10933"/>
    </bk>
    <bk>
      <rc t="2" v="10934"/>
    </bk>
    <bk>
      <rc t="2" v="10935"/>
    </bk>
    <bk>
      <rc t="2" v="10936"/>
    </bk>
    <bk>
      <rc t="2" v="10937"/>
    </bk>
    <bk>
      <rc t="2" v="10938"/>
    </bk>
    <bk>
      <rc t="2" v="10939"/>
    </bk>
    <bk>
      <rc t="2" v="10940"/>
    </bk>
    <bk>
      <rc t="2" v="10941"/>
    </bk>
    <bk>
      <rc t="2" v="10942"/>
    </bk>
    <bk>
      <rc t="2" v="10943"/>
    </bk>
    <bk>
      <rc t="2" v="10944"/>
    </bk>
    <bk>
      <rc t="2" v="10945"/>
    </bk>
    <bk>
      <rc t="2" v="10946"/>
    </bk>
    <bk>
      <rc t="2" v="10947"/>
    </bk>
    <bk>
      <rc t="2" v="10948"/>
    </bk>
    <bk>
      <rc t="2" v="10949"/>
    </bk>
    <bk>
      <rc t="2" v="10950"/>
    </bk>
    <bk>
      <rc t="2" v="10951"/>
    </bk>
    <bk>
      <rc t="2" v="10952"/>
    </bk>
    <bk>
      <rc t="2" v="10953"/>
    </bk>
    <bk>
      <rc t="2" v="10954"/>
    </bk>
    <bk>
      <rc t="2" v="10955"/>
    </bk>
    <bk>
      <rc t="2" v="10956"/>
    </bk>
    <bk>
      <rc t="2" v="10957"/>
    </bk>
    <bk>
      <rc t="2" v="10958"/>
    </bk>
    <bk>
      <rc t="2" v="10959"/>
    </bk>
    <bk>
      <rc t="2" v="10960"/>
    </bk>
    <bk>
      <rc t="2" v="10961"/>
    </bk>
    <bk>
      <rc t="2" v="10962"/>
    </bk>
    <bk>
      <rc t="2" v="10963"/>
    </bk>
    <bk>
      <rc t="2" v="10964"/>
    </bk>
    <bk>
      <rc t="2" v="10965"/>
    </bk>
    <bk>
      <rc t="2" v="10966"/>
    </bk>
    <bk>
      <rc t="2" v="10967"/>
    </bk>
    <bk>
      <rc t="2" v="10968"/>
    </bk>
    <bk>
      <rc t="2" v="10969"/>
    </bk>
    <bk>
      <rc t="2" v="10970"/>
    </bk>
    <bk>
      <rc t="2" v="10971"/>
    </bk>
    <bk>
      <rc t="2" v="10972"/>
    </bk>
    <bk>
      <rc t="2" v="10973"/>
    </bk>
    <bk>
      <rc t="2" v="10974"/>
    </bk>
    <bk>
      <rc t="2" v="10975"/>
    </bk>
    <bk>
      <rc t="2" v="10976"/>
    </bk>
    <bk>
      <rc t="2" v="10977"/>
    </bk>
    <bk>
      <rc t="2" v="10978"/>
    </bk>
    <bk>
      <rc t="2" v="10979"/>
    </bk>
    <bk>
      <rc t="2" v="10980"/>
    </bk>
    <bk>
      <rc t="2" v="10981"/>
    </bk>
    <bk>
      <rc t="2" v="10982"/>
    </bk>
    <bk>
      <rc t="2" v="10983"/>
    </bk>
    <bk>
      <rc t="2" v="10984"/>
    </bk>
    <bk>
      <rc t="2" v="10985"/>
    </bk>
    <bk>
      <rc t="2" v="10986"/>
    </bk>
    <bk>
      <rc t="2" v="10987"/>
    </bk>
    <bk>
      <rc t="2" v="10988"/>
    </bk>
    <bk>
      <rc t="2" v="10989"/>
    </bk>
    <bk>
      <rc t="2" v="10990"/>
    </bk>
    <bk>
      <rc t="2" v="10991"/>
    </bk>
    <bk>
      <rc t="2" v="10992"/>
    </bk>
    <bk>
      <rc t="2" v="10993"/>
    </bk>
    <bk>
      <rc t="2" v="10994"/>
    </bk>
    <bk>
      <rc t="2" v="10995"/>
    </bk>
    <bk>
      <rc t="2" v="10996"/>
    </bk>
    <bk>
      <rc t="2" v="10997"/>
    </bk>
    <bk>
      <rc t="2" v="10998"/>
    </bk>
    <bk>
      <rc t="2" v="10999"/>
    </bk>
    <bk>
      <rc t="2" v="11000"/>
    </bk>
    <bk>
      <rc t="2" v="11001"/>
    </bk>
    <bk>
      <rc t="2" v="11002"/>
    </bk>
    <bk>
      <rc t="2" v="11003"/>
    </bk>
    <bk>
      <rc t="2" v="11004"/>
    </bk>
    <bk>
      <rc t="2" v="11005"/>
    </bk>
    <bk>
      <rc t="2" v="11006"/>
    </bk>
    <bk>
      <rc t="2" v="11007"/>
    </bk>
    <bk>
      <rc t="2" v="11008"/>
    </bk>
    <bk>
      <rc t="2" v="11009"/>
    </bk>
    <bk>
      <rc t="2" v="11010"/>
    </bk>
    <bk>
      <rc t="2" v="11011"/>
    </bk>
    <bk>
      <rc t="2" v="11012"/>
    </bk>
    <bk>
      <rc t="2" v="11013"/>
    </bk>
    <bk>
      <rc t="2" v="11014"/>
    </bk>
    <bk>
      <rc t="2" v="11015"/>
    </bk>
    <bk>
      <rc t="2" v="11016"/>
    </bk>
    <bk>
      <rc t="2" v="11017"/>
    </bk>
    <bk>
      <rc t="2" v="11018"/>
    </bk>
    <bk>
      <rc t="2" v="11019"/>
    </bk>
    <bk>
      <rc t="2" v="11020"/>
    </bk>
    <bk>
      <rc t="2" v="11021"/>
    </bk>
    <bk>
      <rc t="2" v="11022"/>
    </bk>
    <bk>
      <rc t="2" v="11023"/>
    </bk>
    <bk>
      <rc t="2" v="11024"/>
    </bk>
    <bk>
      <rc t="2" v="11025"/>
    </bk>
    <bk>
      <rc t="2" v="11026"/>
    </bk>
    <bk>
      <rc t="2" v="11027"/>
    </bk>
    <bk>
      <rc t="2" v="11028"/>
    </bk>
    <bk>
      <rc t="2" v="11029"/>
    </bk>
    <bk>
      <rc t="2" v="11030"/>
    </bk>
    <bk>
      <rc t="2" v="11031"/>
    </bk>
    <bk>
      <rc t="2" v="11032"/>
    </bk>
    <bk>
      <rc t="2" v="11033"/>
    </bk>
    <bk>
      <rc t="2" v="11034"/>
    </bk>
    <bk>
      <rc t="2" v="11035"/>
    </bk>
    <bk>
      <rc t="2" v="11036"/>
    </bk>
    <bk>
      <rc t="2" v="11037"/>
    </bk>
    <bk>
      <rc t="2" v="11038"/>
    </bk>
    <bk>
      <rc t="2" v="11039"/>
    </bk>
    <bk>
      <rc t="2" v="11040"/>
    </bk>
    <bk>
      <rc t="2" v="11041"/>
    </bk>
    <bk>
      <rc t="2" v="11042"/>
    </bk>
    <bk>
      <rc t="2" v="11043"/>
    </bk>
    <bk>
      <rc t="2" v="11044"/>
    </bk>
    <bk>
      <rc t="2" v="11045"/>
    </bk>
    <bk>
      <rc t="2" v="11046"/>
    </bk>
    <bk>
      <rc t="2" v="11047"/>
    </bk>
    <bk>
      <rc t="2" v="11048"/>
    </bk>
    <bk>
      <rc t="2" v="11049"/>
    </bk>
    <bk>
      <rc t="2" v="11050"/>
    </bk>
    <bk>
      <rc t="2" v="11051"/>
    </bk>
    <bk>
      <rc t="2" v="11052"/>
    </bk>
    <bk>
      <rc t="2" v="11053"/>
    </bk>
    <bk>
      <rc t="2" v="11054"/>
    </bk>
    <bk>
      <rc t="2" v="11055"/>
    </bk>
    <bk>
      <rc t="2" v="11056"/>
    </bk>
    <bk>
      <rc t="2" v="11057"/>
    </bk>
    <bk>
      <rc t="2" v="11058"/>
    </bk>
    <bk>
      <rc t="2" v="11059"/>
    </bk>
    <bk>
      <rc t="2" v="11060"/>
    </bk>
    <bk>
      <rc t="2" v="11061"/>
    </bk>
    <bk>
      <rc t="2" v="11062"/>
    </bk>
    <bk>
      <rc t="2" v="11063"/>
    </bk>
    <bk>
      <rc t="2" v="11064"/>
    </bk>
    <bk>
      <rc t="2" v="11065"/>
    </bk>
    <bk>
      <rc t="2" v="11066"/>
    </bk>
    <bk>
      <rc t="2" v="11067"/>
    </bk>
    <bk>
      <rc t="2" v="11068"/>
    </bk>
    <bk>
      <rc t="2" v="11069"/>
    </bk>
    <bk>
      <rc t="2" v="11070"/>
    </bk>
    <bk>
      <rc t="2" v="11071"/>
    </bk>
    <bk>
      <rc t="2" v="11072"/>
    </bk>
    <bk>
      <rc t="2" v="11073"/>
    </bk>
    <bk>
      <rc t="2" v="11074"/>
    </bk>
    <bk>
      <rc t="2" v="11075"/>
    </bk>
    <bk>
      <rc t="2" v="11076"/>
    </bk>
    <bk>
      <rc t="2" v="11077"/>
    </bk>
    <bk>
      <rc t="2" v="11078"/>
    </bk>
    <bk>
      <rc t="2" v="11079"/>
    </bk>
    <bk>
      <rc t="2" v="11080"/>
    </bk>
    <bk>
      <rc t="2" v="11081"/>
    </bk>
    <bk>
      <rc t="2" v="11082"/>
    </bk>
    <bk>
      <rc t="2" v="11083"/>
    </bk>
    <bk>
      <rc t="2" v="11084"/>
    </bk>
    <bk>
      <rc t="2" v="11085"/>
    </bk>
    <bk>
      <rc t="2" v="11086"/>
    </bk>
    <bk>
      <rc t="2" v="11087"/>
    </bk>
    <bk>
      <rc t="2" v="11088"/>
    </bk>
    <bk>
      <rc t="2" v="11089"/>
    </bk>
    <bk>
      <rc t="2" v="11090"/>
    </bk>
    <bk>
      <rc t="2" v="11091"/>
    </bk>
    <bk>
      <rc t="2" v="11092"/>
    </bk>
    <bk>
      <rc t="2" v="11093"/>
    </bk>
    <bk>
      <rc t="2" v="11094"/>
    </bk>
    <bk>
      <rc t="2" v="11095"/>
    </bk>
    <bk>
      <rc t="2" v="11096"/>
    </bk>
    <bk>
      <rc t="2" v="11097"/>
    </bk>
    <bk>
      <rc t="2" v="11098"/>
    </bk>
    <bk>
      <rc t="2" v="11099"/>
    </bk>
    <bk>
      <rc t="2" v="11100"/>
    </bk>
    <bk>
      <rc t="2" v="11101"/>
    </bk>
    <bk>
      <rc t="2" v="11102"/>
    </bk>
    <bk>
      <rc t="2" v="11103"/>
    </bk>
    <bk>
      <rc t="2" v="11104"/>
    </bk>
    <bk>
      <rc t="2" v="11105"/>
    </bk>
    <bk>
      <rc t="2" v="11106"/>
    </bk>
    <bk>
      <rc t="2" v="11107"/>
    </bk>
    <bk>
      <rc t="2" v="11108"/>
    </bk>
    <bk>
      <rc t="2" v="11109"/>
    </bk>
    <bk>
      <rc t="2" v="11110"/>
    </bk>
    <bk>
      <rc t="2" v="11111"/>
    </bk>
    <bk>
      <rc t="2" v="11112"/>
    </bk>
    <bk>
      <rc t="2" v="11113"/>
    </bk>
    <bk>
      <rc t="2" v="11114"/>
    </bk>
    <bk>
      <rc t="2" v="11115"/>
    </bk>
    <bk>
      <rc t="2" v="11116"/>
    </bk>
    <bk>
      <rc t="2" v="11117"/>
    </bk>
    <bk>
      <rc t="2" v="11118"/>
    </bk>
    <bk>
      <rc t="2" v="11119"/>
    </bk>
    <bk>
      <rc t="2" v="11120"/>
    </bk>
    <bk>
      <rc t="2" v="11121"/>
    </bk>
    <bk>
      <rc t="2" v="11122"/>
    </bk>
    <bk>
      <rc t="2" v="11123"/>
    </bk>
    <bk>
      <rc t="2" v="11124"/>
    </bk>
    <bk>
      <rc t="2" v="11125"/>
    </bk>
    <bk>
      <rc t="2" v="11126"/>
    </bk>
    <bk>
      <rc t="2" v="11127"/>
    </bk>
    <bk>
      <rc t="2" v="11128"/>
    </bk>
    <bk>
      <rc t="2" v="11129"/>
    </bk>
    <bk>
      <rc t="2" v="11130"/>
    </bk>
    <bk>
      <rc t="2" v="11131"/>
    </bk>
    <bk>
      <rc t="2" v="11132"/>
    </bk>
    <bk>
      <rc t="2" v="11133"/>
    </bk>
    <bk>
      <rc t="2" v="11134"/>
    </bk>
    <bk>
      <rc t="2" v="11135"/>
    </bk>
    <bk>
      <rc t="2" v="11136"/>
    </bk>
    <bk>
      <rc t="2" v="11137"/>
    </bk>
    <bk>
      <rc t="2" v="11138"/>
    </bk>
    <bk>
      <rc t="2" v="11139"/>
    </bk>
    <bk>
      <rc t="2" v="11140"/>
    </bk>
    <bk>
      <rc t="2" v="11141"/>
    </bk>
    <bk>
      <rc t="2" v="11142"/>
    </bk>
    <bk>
      <rc t="2" v="11143"/>
    </bk>
    <bk>
      <rc t="2" v="11144"/>
    </bk>
    <bk>
      <rc t="2" v="11145"/>
    </bk>
    <bk>
      <rc t="2" v="11146"/>
    </bk>
    <bk>
      <rc t="2" v="11147"/>
    </bk>
    <bk>
      <rc t="2" v="11148"/>
    </bk>
    <bk>
      <rc t="2" v="11149"/>
    </bk>
    <bk>
      <rc t="2" v="11150"/>
    </bk>
    <bk>
      <rc t="2" v="11151"/>
    </bk>
    <bk>
      <rc t="2" v="11152"/>
    </bk>
    <bk>
      <rc t="2" v="11153"/>
    </bk>
    <bk>
      <rc t="2" v="11154"/>
    </bk>
    <bk>
      <rc t="2" v="11155"/>
    </bk>
    <bk>
      <rc t="2" v="11156"/>
    </bk>
    <bk>
      <rc t="2" v="11157"/>
    </bk>
    <bk>
      <rc t="2" v="11158"/>
    </bk>
    <bk>
      <rc t="2" v="11159"/>
    </bk>
    <bk>
      <rc t="2" v="11160"/>
    </bk>
    <bk>
      <rc t="2" v="11161"/>
    </bk>
    <bk>
      <rc t="2" v="11162"/>
    </bk>
    <bk>
      <rc t="2" v="11163"/>
    </bk>
    <bk>
      <rc t="2" v="11164"/>
    </bk>
    <bk>
      <rc t="2" v="11165"/>
    </bk>
    <bk>
      <rc t="2" v="11166"/>
    </bk>
    <bk>
      <rc t="2" v="11167"/>
    </bk>
    <bk>
      <rc t="2" v="11168"/>
    </bk>
    <bk>
      <rc t="2" v="11169"/>
    </bk>
    <bk>
      <rc t="2" v="11170"/>
    </bk>
    <bk>
      <rc t="2" v="11171"/>
    </bk>
    <bk>
      <rc t="2" v="11172"/>
    </bk>
    <bk>
      <rc t="2" v="11173"/>
    </bk>
    <bk>
      <rc t="2" v="11174"/>
    </bk>
    <bk>
      <rc t="2" v="11175"/>
    </bk>
    <bk>
      <rc t="2" v="11176"/>
    </bk>
    <bk>
      <rc t="2" v="11177"/>
    </bk>
    <bk>
      <rc t="2" v="11178"/>
    </bk>
    <bk>
      <rc t="2" v="11179"/>
    </bk>
    <bk>
      <rc t="2" v="11180"/>
    </bk>
    <bk>
      <rc t="2" v="11181"/>
    </bk>
    <bk>
      <rc t="2" v="11182"/>
    </bk>
    <bk>
      <rc t="2" v="11183"/>
    </bk>
    <bk>
      <rc t="2" v="11184"/>
    </bk>
    <bk>
      <rc t="2" v="11185"/>
    </bk>
    <bk>
      <rc t="2" v="11186"/>
    </bk>
    <bk>
      <rc t="2" v="11187"/>
    </bk>
    <bk>
      <rc t="2" v="11188"/>
    </bk>
    <bk>
      <rc t="2" v="11189"/>
    </bk>
    <bk>
      <rc t="2" v="11190"/>
    </bk>
    <bk>
      <rc t="2" v="11191"/>
    </bk>
    <bk>
      <rc t="2" v="11192"/>
    </bk>
    <bk>
      <rc t="2" v="11193"/>
    </bk>
    <bk>
      <rc t="2" v="11194"/>
    </bk>
    <bk>
      <rc t="2" v="11195"/>
    </bk>
    <bk>
      <rc t="2" v="11196"/>
    </bk>
    <bk>
      <rc t="2" v="11197"/>
    </bk>
    <bk>
      <rc t="2" v="11198"/>
    </bk>
    <bk>
      <rc t="2" v="11199"/>
    </bk>
    <bk>
      <rc t="2" v="11200"/>
    </bk>
    <bk>
      <rc t="2" v="11201"/>
    </bk>
    <bk>
      <rc t="2" v="11202"/>
    </bk>
    <bk>
      <rc t="2" v="11203"/>
    </bk>
    <bk>
      <rc t="2" v="11204"/>
    </bk>
    <bk>
      <rc t="2" v="11205"/>
    </bk>
    <bk>
      <rc t="2" v="11206"/>
    </bk>
    <bk>
      <rc t="2" v="11207"/>
    </bk>
    <bk>
      <rc t="2" v="11208"/>
    </bk>
    <bk>
      <rc t="2" v="11209"/>
    </bk>
    <bk>
      <rc t="2" v="11210"/>
    </bk>
    <bk>
      <rc t="2" v="11211"/>
    </bk>
    <bk>
      <rc t="2" v="11212"/>
    </bk>
    <bk>
      <rc t="2" v="11213"/>
    </bk>
    <bk>
      <rc t="2" v="11214"/>
    </bk>
    <bk>
      <rc t="2" v="11215"/>
    </bk>
    <bk>
      <rc t="2" v="11216"/>
    </bk>
    <bk>
      <rc t="2" v="11217"/>
    </bk>
    <bk>
      <rc t="2" v="11218"/>
    </bk>
    <bk>
      <rc t="2" v="11219"/>
    </bk>
    <bk>
      <rc t="2" v="11220"/>
    </bk>
    <bk>
      <rc t="2" v="11221"/>
    </bk>
    <bk>
      <rc t="2" v="11222"/>
    </bk>
    <bk>
      <rc t="2" v="11223"/>
    </bk>
    <bk>
      <rc t="2" v="11224"/>
    </bk>
    <bk>
      <rc t="2" v="11225"/>
    </bk>
    <bk>
      <rc t="2" v="11226"/>
    </bk>
    <bk>
      <rc t="2" v="11227"/>
    </bk>
    <bk>
      <rc t="2" v="11228"/>
    </bk>
    <bk>
      <rc t="2" v="11229"/>
    </bk>
    <bk>
      <rc t="2" v="11230"/>
    </bk>
    <bk>
      <rc t="2" v="11231"/>
    </bk>
    <bk>
      <rc t="2" v="11232"/>
    </bk>
    <bk>
      <rc t="2" v="11233"/>
    </bk>
    <bk>
      <rc t="2" v="11234"/>
    </bk>
    <bk>
      <rc t="2" v="11235"/>
    </bk>
    <bk>
      <rc t="2" v="11236"/>
    </bk>
    <bk>
      <rc t="2" v="11237"/>
    </bk>
    <bk>
      <rc t="2" v="11238"/>
    </bk>
    <bk>
      <rc t="2" v="11239"/>
    </bk>
    <bk>
      <rc t="2" v="11240"/>
    </bk>
    <bk>
      <rc t="2" v="11241"/>
    </bk>
    <bk>
      <rc t="2" v="11242"/>
    </bk>
    <bk>
      <rc t="2" v="11243"/>
    </bk>
    <bk>
      <rc t="2" v="11244"/>
    </bk>
    <bk>
      <rc t="2" v="11245"/>
    </bk>
    <bk>
      <rc t="2" v="11246"/>
    </bk>
    <bk>
      <rc t="2" v="11247"/>
    </bk>
    <bk>
      <rc t="2" v="11248"/>
    </bk>
    <bk>
      <rc t="2" v="11249"/>
    </bk>
    <bk>
      <rc t="2" v="11250"/>
    </bk>
    <bk>
      <rc t="2" v="11251"/>
    </bk>
    <bk>
      <rc t="2" v="11252"/>
    </bk>
    <bk>
      <rc t="2" v="11253"/>
    </bk>
    <bk>
      <rc t="2" v="11254"/>
    </bk>
    <bk>
      <rc t="2" v="11255"/>
    </bk>
    <bk>
      <rc t="2" v="11256"/>
    </bk>
    <bk>
      <rc t="2" v="11257"/>
    </bk>
    <bk>
      <rc t="2" v="11258"/>
    </bk>
    <bk>
      <rc t="2" v="11259"/>
    </bk>
    <bk>
      <rc t="2" v="11260"/>
    </bk>
    <bk>
      <rc t="2" v="11261"/>
    </bk>
    <bk>
      <rc t="2" v="11262"/>
    </bk>
    <bk>
      <rc t="2" v="11263"/>
    </bk>
    <bk>
      <rc t="2" v="11264"/>
    </bk>
    <bk>
      <rc t="2" v="11265"/>
    </bk>
    <bk>
      <rc t="2" v="11266"/>
    </bk>
    <bk>
      <rc t="2" v="11267"/>
    </bk>
    <bk>
      <rc t="2" v="11268"/>
    </bk>
    <bk>
      <rc t="2" v="11269"/>
    </bk>
    <bk>
      <rc t="2" v="11270"/>
    </bk>
    <bk>
      <rc t="2" v="11271"/>
    </bk>
    <bk>
      <rc t="2" v="11272"/>
    </bk>
    <bk>
      <rc t="2" v="11273"/>
    </bk>
    <bk>
      <rc t="2" v="11274"/>
    </bk>
    <bk>
      <rc t="2" v="11275"/>
    </bk>
    <bk>
      <rc t="2" v="11276"/>
    </bk>
    <bk>
      <rc t="2" v="11277"/>
    </bk>
    <bk>
      <rc t="2" v="11278"/>
    </bk>
    <bk>
      <rc t="2" v="11279"/>
    </bk>
    <bk>
      <rc t="2" v="11280"/>
    </bk>
    <bk>
      <rc t="2" v="11281"/>
    </bk>
    <bk>
      <rc t="2" v="11282"/>
    </bk>
    <bk>
      <rc t="2" v="11283"/>
    </bk>
    <bk>
      <rc t="2" v="11284"/>
    </bk>
    <bk>
      <rc t="2" v="11285"/>
    </bk>
    <bk>
      <rc t="2" v="11286"/>
    </bk>
    <bk>
      <rc t="2" v="11287"/>
    </bk>
    <bk>
      <rc t="2" v="11288"/>
    </bk>
    <bk>
      <rc t="2" v="11289"/>
    </bk>
    <bk>
      <rc t="2" v="11290"/>
    </bk>
    <bk>
      <rc t="2" v="11291"/>
    </bk>
    <bk>
      <rc t="2" v="11292"/>
    </bk>
    <bk>
      <rc t="2" v="11293"/>
    </bk>
    <bk>
      <rc t="2" v="11294"/>
    </bk>
    <bk>
      <rc t="2" v="11295"/>
    </bk>
    <bk>
      <rc t="2" v="11296"/>
    </bk>
    <bk>
      <rc t="2" v="11297"/>
    </bk>
    <bk>
      <rc t="2" v="11298"/>
    </bk>
    <bk>
      <rc t="2" v="11299"/>
    </bk>
    <bk>
      <rc t="2" v="11300"/>
    </bk>
    <bk>
      <rc t="2" v="11301"/>
    </bk>
    <bk>
      <rc t="2" v="11302"/>
    </bk>
    <bk>
      <rc t="2" v="11303"/>
    </bk>
    <bk>
      <rc t="2" v="11304"/>
    </bk>
    <bk>
      <rc t="2" v="11305"/>
    </bk>
    <bk>
      <rc t="2" v="11306"/>
    </bk>
    <bk>
      <rc t="2" v="11307"/>
    </bk>
    <bk>
      <rc t="2" v="11308"/>
    </bk>
    <bk>
      <rc t="2" v="11309"/>
    </bk>
    <bk>
      <rc t="2" v="11310"/>
    </bk>
    <bk>
      <rc t="2" v="11311"/>
    </bk>
    <bk>
      <rc t="2" v="11312"/>
    </bk>
    <bk>
      <rc t="2" v="11313"/>
    </bk>
    <bk>
      <rc t="2" v="11314"/>
    </bk>
    <bk>
      <rc t="2" v="11315"/>
    </bk>
    <bk>
      <rc t="2" v="11316"/>
    </bk>
    <bk>
      <rc t="2" v="11317"/>
    </bk>
    <bk>
      <rc t="2" v="11318"/>
    </bk>
    <bk>
      <rc t="2" v="11319"/>
    </bk>
    <bk>
      <rc t="2" v="11320"/>
    </bk>
    <bk>
      <rc t="2" v="11321"/>
    </bk>
    <bk>
      <rc t="2" v="11322"/>
    </bk>
    <bk>
      <rc t="2" v="11323"/>
    </bk>
    <bk>
      <rc t="2" v="11324"/>
    </bk>
    <bk>
      <rc t="2" v="11325"/>
    </bk>
    <bk>
      <rc t="2" v="11326"/>
    </bk>
    <bk>
      <rc t="2" v="11327"/>
    </bk>
    <bk>
      <rc t="2" v="11328"/>
    </bk>
    <bk>
      <rc t="2" v="11329"/>
    </bk>
    <bk>
      <rc t="2" v="11330"/>
    </bk>
    <bk>
      <rc t="2" v="11331"/>
    </bk>
    <bk>
      <rc t="2" v="11332"/>
    </bk>
    <bk>
      <rc t="2" v="11333"/>
    </bk>
    <bk>
      <rc t="2" v="11334"/>
    </bk>
    <bk>
      <rc t="2" v="11335"/>
    </bk>
    <bk>
      <rc t="2" v="11336"/>
    </bk>
    <bk>
      <rc t="2" v="11337"/>
    </bk>
    <bk>
      <rc t="2" v="11338"/>
    </bk>
    <bk>
      <rc t="2" v="11339"/>
    </bk>
    <bk>
      <rc t="2" v="11340"/>
    </bk>
    <bk>
      <rc t="2" v="11341"/>
    </bk>
    <bk>
      <rc t="2" v="11342"/>
    </bk>
    <bk>
      <rc t="2" v="11343"/>
    </bk>
    <bk>
      <rc t="2" v="11344"/>
    </bk>
    <bk>
      <rc t="2" v="11345"/>
    </bk>
    <bk>
      <rc t="2" v="11346"/>
    </bk>
    <bk>
      <rc t="2" v="11347"/>
    </bk>
    <bk>
      <rc t="2" v="11348"/>
    </bk>
    <bk>
      <rc t="2" v="11349"/>
    </bk>
    <bk>
      <rc t="2" v="11350"/>
    </bk>
    <bk>
      <rc t="2" v="11351"/>
    </bk>
    <bk>
      <rc t="2" v="11352"/>
    </bk>
    <bk>
      <rc t="2" v="11353"/>
    </bk>
    <bk>
      <rc t="2" v="11354"/>
    </bk>
    <bk>
      <rc t="2" v="11355"/>
    </bk>
    <bk>
      <rc t="2" v="11356"/>
    </bk>
    <bk>
      <rc t="2" v="11357"/>
    </bk>
    <bk>
      <rc t="2" v="11358"/>
    </bk>
    <bk>
      <rc t="2" v="11359"/>
    </bk>
    <bk>
      <rc t="2" v="11360"/>
    </bk>
    <bk>
      <rc t="2" v="11361"/>
    </bk>
    <bk>
      <rc t="2" v="11362"/>
    </bk>
    <bk>
      <rc t="2" v="11363"/>
    </bk>
    <bk>
      <rc t="2" v="11364"/>
    </bk>
    <bk>
      <rc t="2" v="11365"/>
    </bk>
    <bk>
      <rc t="2" v="11366"/>
    </bk>
    <bk>
      <rc t="2" v="11367"/>
    </bk>
    <bk>
      <rc t="2" v="11368"/>
    </bk>
    <bk>
      <rc t="2" v="11369"/>
    </bk>
    <bk>
      <rc t="2" v="11370"/>
    </bk>
    <bk>
      <rc t="2" v="11371"/>
    </bk>
    <bk>
      <rc t="2" v="11372"/>
    </bk>
    <bk>
      <rc t="2" v="11373"/>
    </bk>
    <bk>
      <rc t="2" v="11374"/>
    </bk>
    <bk>
      <rc t="2" v="11375"/>
    </bk>
    <bk>
      <rc t="2" v="11376"/>
    </bk>
    <bk>
      <rc t="2" v="11377"/>
    </bk>
    <bk>
      <rc t="2" v="11378"/>
    </bk>
    <bk>
      <rc t="2" v="11379"/>
    </bk>
    <bk>
      <rc t="2" v="11380"/>
    </bk>
    <bk>
      <rc t="2" v="11381"/>
    </bk>
    <bk>
      <rc t="2" v="11382"/>
    </bk>
    <bk>
      <rc t="2" v="11383"/>
    </bk>
    <bk>
      <rc t="2" v="11384"/>
    </bk>
    <bk>
      <rc t="2" v="11385"/>
    </bk>
    <bk>
      <rc t="2" v="11386"/>
    </bk>
    <bk>
      <rc t="2" v="11387"/>
    </bk>
    <bk>
      <rc t="2" v="11388"/>
    </bk>
    <bk>
      <rc t="2" v="11389"/>
    </bk>
    <bk>
      <rc t="2" v="11390"/>
    </bk>
    <bk>
      <rc t="2" v="11391"/>
    </bk>
    <bk>
      <rc t="2" v="11392"/>
    </bk>
    <bk>
      <rc t="2" v="11393"/>
    </bk>
    <bk>
      <rc t="2" v="11394"/>
    </bk>
    <bk>
      <rc t="2" v="11395"/>
    </bk>
    <bk>
      <rc t="2" v="11396"/>
    </bk>
    <bk>
      <rc t="2" v="11397"/>
    </bk>
    <bk>
      <rc t="2" v="11398"/>
    </bk>
    <bk>
      <rc t="2" v="11399"/>
    </bk>
    <bk>
      <rc t="2" v="11400"/>
    </bk>
    <bk>
      <rc t="2" v="11401"/>
    </bk>
    <bk>
      <rc t="2" v="11402"/>
    </bk>
    <bk>
      <rc t="2" v="11403"/>
    </bk>
    <bk>
      <rc t="2" v="11404"/>
    </bk>
    <bk>
      <rc t="2" v="11405"/>
    </bk>
    <bk>
      <rc t="2" v="11406"/>
    </bk>
    <bk>
      <rc t="2" v="11407"/>
    </bk>
    <bk>
      <rc t="2" v="11408"/>
    </bk>
    <bk>
      <rc t="2" v="11409"/>
    </bk>
    <bk>
      <rc t="2" v="11410"/>
    </bk>
    <bk>
      <rc t="2" v="11411"/>
    </bk>
    <bk>
      <rc t="2" v="11412"/>
    </bk>
    <bk>
      <rc t="2" v="11413"/>
    </bk>
    <bk>
      <rc t="2" v="11414"/>
    </bk>
    <bk>
      <rc t="2" v="11415"/>
    </bk>
    <bk>
      <rc t="2" v="11416"/>
    </bk>
    <bk>
      <rc t="2" v="11417"/>
    </bk>
    <bk>
      <rc t="2" v="11418"/>
    </bk>
    <bk>
      <rc t="2" v="11419"/>
    </bk>
    <bk>
      <rc t="2" v="11420"/>
    </bk>
    <bk>
      <rc t="2" v="11421"/>
    </bk>
    <bk>
      <rc t="2" v="11422"/>
    </bk>
    <bk>
      <rc t="2" v="11423"/>
    </bk>
    <bk>
      <rc t="2" v="11424"/>
    </bk>
    <bk>
      <rc t="2" v="11425"/>
    </bk>
    <bk>
      <rc t="2" v="11426"/>
    </bk>
    <bk>
      <rc t="2" v="11427"/>
    </bk>
    <bk>
      <rc t="2" v="11428"/>
    </bk>
    <bk>
      <rc t="2" v="11429"/>
    </bk>
    <bk>
      <rc t="2" v="11430"/>
    </bk>
    <bk>
      <rc t="2" v="11431"/>
    </bk>
    <bk>
      <rc t="2" v="11432"/>
    </bk>
    <bk>
      <rc t="2" v="11433"/>
    </bk>
    <bk>
      <rc t="2" v="11434"/>
    </bk>
    <bk>
      <rc t="2" v="11435"/>
    </bk>
    <bk>
      <rc t="2" v="11436"/>
    </bk>
    <bk>
      <rc t="2" v="11437"/>
    </bk>
    <bk>
      <rc t="2" v="11438"/>
    </bk>
    <bk>
      <rc t="2" v="11439"/>
    </bk>
    <bk>
      <rc t="2" v="11440"/>
    </bk>
    <bk>
      <rc t="2" v="11441"/>
    </bk>
    <bk>
      <rc t="2" v="11442"/>
    </bk>
    <bk>
      <rc t="2" v="11443"/>
    </bk>
    <bk>
      <rc t="2" v="11444"/>
    </bk>
    <bk>
      <rc t="2" v="11445"/>
    </bk>
    <bk>
      <rc t="2" v="11446"/>
    </bk>
    <bk>
      <rc t="2" v="11447"/>
    </bk>
    <bk>
      <rc t="2" v="11448"/>
    </bk>
    <bk>
      <rc t="2" v="11449"/>
    </bk>
    <bk>
      <rc t="2" v="11450"/>
    </bk>
    <bk>
      <rc t="2" v="11451"/>
    </bk>
    <bk>
      <rc t="2" v="11452"/>
    </bk>
    <bk>
      <rc t="2" v="11453"/>
    </bk>
    <bk>
      <rc t="2" v="11454"/>
    </bk>
    <bk>
      <rc t="2" v="11455"/>
    </bk>
    <bk>
      <rc t="2" v="11456"/>
    </bk>
    <bk>
      <rc t="2" v="11457"/>
    </bk>
    <bk>
      <rc t="2" v="11458"/>
    </bk>
    <bk>
      <rc t="2" v="11459"/>
    </bk>
    <bk>
      <rc t="2" v="11460"/>
    </bk>
    <bk>
      <rc t="2" v="11461"/>
    </bk>
    <bk>
      <rc t="2" v="11462"/>
    </bk>
    <bk>
      <rc t="2" v="11463"/>
    </bk>
    <bk>
      <rc t="2" v="11464"/>
    </bk>
    <bk>
      <rc t="2" v="11465"/>
    </bk>
    <bk>
      <rc t="2" v="11466"/>
    </bk>
    <bk>
      <rc t="2" v="11467"/>
    </bk>
    <bk>
      <rc t="2" v="11468"/>
    </bk>
    <bk>
      <rc t="2" v="11469"/>
    </bk>
    <bk>
      <rc t="2" v="11470"/>
    </bk>
    <bk>
      <rc t="2" v="11471"/>
    </bk>
    <bk>
      <rc t="2" v="11472"/>
    </bk>
    <bk>
      <rc t="2" v="11473"/>
    </bk>
    <bk>
      <rc t="2" v="11474"/>
    </bk>
    <bk>
      <rc t="2" v="11475"/>
    </bk>
    <bk>
      <rc t="2" v="11476"/>
    </bk>
    <bk>
      <rc t="2" v="11477"/>
    </bk>
    <bk>
      <rc t="2" v="11478"/>
    </bk>
    <bk>
      <rc t="2" v="11479"/>
    </bk>
    <bk>
      <rc t="2" v="11480"/>
    </bk>
    <bk>
      <rc t="2" v="11481"/>
    </bk>
    <bk>
      <rc t="2" v="11482"/>
    </bk>
    <bk>
      <rc t="2" v="11483"/>
    </bk>
    <bk>
      <rc t="2" v="11484"/>
    </bk>
    <bk>
      <rc t="2" v="11485"/>
    </bk>
    <bk>
      <rc t="2" v="11486"/>
    </bk>
    <bk>
      <rc t="2" v="11487"/>
    </bk>
    <bk>
      <rc t="2" v="11488"/>
    </bk>
    <bk>
      <rc t="2" v="11489"/>
    </bk>
    <bk>
      <rc t="2" v="11490"/>
    </bk>
    <bk>
      <rc t="2" v="11491"/>
    </bk>
    <bk>
      <rc t="2" v="11492"/>
    </bk>
    <bk>
      <rc t="2" v="11493"/>
    </bk>
    <bk>
      <rc t="2" v="11494"/>
    </bk>
    <bk>
      <rc t="2" v="11495"/>
    </bk>
    <bk>
      <rc t="2" v="11496"/>
    </bk>
    <bk>
      <rc t="2" v="11497"/>
    </bk>
    <bk>
      <rc t="2" v="11498"/>
    </bk>
    <bk>
      <rc t="2" v="11499"/>
    </bk>
    <bk>
      <rc t="2" v="11500"/>
    </bk>
    <bk>
      <rc t="2" v="11501"/>
    </bk>
    <bk>
      <rc t="2" v="11502"/>
    </bk>
    <bk>
      <rc t="2" v="11503"/>
    </bk>
    <bk>
      <rc t="2" v="11504"/>
    </bk>
    <bk>
      <rc t="2" v="11505"/>
    </bk>
    <bk>
      <rc t="2" v="11506"/>
    </bk>
    <bk>
      <rc t="2" v="11507"/>
    </bk>
    <bk>
      <rc t="2" v="11508"/>
    </bk>
    <bk>
      <rc t="2" v="11509"/>
    </bk>
    <bk>
      <rc t="2" v="11510"/>
    </bk>
    <bk>
      <rc t="2" v="11511"/>
    </bk>
    <bk>
      <rc t="2" v="11512"/>
    </bk>
    <bk>
      <rc t="2" v="11513"/>
    </bk>
    <bk>
      <rc t="2" v="11514"/>
    </bk>
    <bk>
      <rc t="2" v="11515"/>
    </bk>
    <bk>
      <rc t="2" v="11516"/>
    </bk>
    <bk>
      <rc t="2" v="11517"/>
    </bk>
    <bk>
      <rc t="2" v="11518"/>
    </bk>
    <bk>
      <rc t="2" v="11519"/>
    </bk>
    <bk>
      <rc t="2" v="11520"/>
    </bk>
    <bk>
      <rc t="2" v="11521"/>
    </bk>
    <bk>
      <rc t="2" v="11522"/>
    </bk>
    <bk>
      <rc t="2" v="11523"/>
    </bk>
    <bk>
      <rc t="2" v="11524"/>
    </bk>
    <bk>
      <rc t="2" v="11525"/>
    </bk>
    <bk>
      <rc t="2" v="11526"/>
    </bk>
    <bk>
      <rc t="2" v="11527"/>
    </bk>
    <bk>
      <rc t="2" v="11528"/>
    </bk>
    <bk>
      <rc t="2" v="11529"/>
    </bk>
    <bk>
      <rc t="2" v="11530"/>
    </bk>
    <bk>
      <rc t="2" v="11531"/>
    </bk>
    <bk>
      <rc t="2" v="11532"/>
    </bk>
    <bk>
      <rc t="2" v="11533"/>
    </bk>
    <bk>
      <rc t="2" v="11534"/>
    </bk>
    <bk>
      <rc t="2" v="11535"/>
    </bk>
    <bk>
      <rc t="2" v="11536"/>
    </bk>
    <bk>
      <rc t="2" v="11537"/>
    </bk>
    <bk>
      <rc t="2" v="11538"/>
    </bk>
    <bk>
      <rc t="2" v="11539"/>
    </bk>
    <bk>
      <rc t="2" v="11540"/>
    </bk>
    <bk>
      <rc t="2" v="11541"/>
    </bk>
    <bk>
      <rc t="2" v="11542"/>
    </bk>
    <bk>
      <rc t="2" v="11543"/>
    </bk>
    <bk>
      <rc t="2" v="11544"/>
    </bk>
    <bk>
      <rc t="2" v="11545"/>
    </bk>
    <bk>
      <rc t="2" v="11546"/>
    </bk>
    <bk>
      <rc t="2" v="11547"/>
    </bk>
    <bk>
      <rc t="2" v="11548"/>
    </bk>
    <bk>
      <rc t="2" v="11549"/>
    </bk>
    <bk>
      <rc t="2" v="11550"/>
    </bk>
    <bk>
      <rc t="2" v="11551"/>
    </bk>
    <bk>
      <rc t="2" v="11552"/>
    </bk>
    <bk>
      <rc t="2" v="11553"/>
    </bk>
    <bk>
      <rc t="2" v="11554"/>
    </bk>
    <bk>
      <rc t="2" v="11555"/>
    </bk>
    <bk>
      <rc t="2" v="11556"/>
    </bk>
    <bk>
      <rc t="2" v="11557"/>
    </bk>
    <bk>
      <rc t="2" v="11558"/>
    </bk>
    <bk>
      <rc t="2" v="11559"/>
    </bk>
    <bk>
      <rc t="2" v="11560"/>
    </bk>
    <bk>
      <rc t="2" v="11561"/>
    </bk>
    <bk>
      <rc t="2" v="11562"/>
    </bk>
    <bk>
      <rc t="2" v="11563"/>
    </bk>
    <bk>
      <rc t="2" v="11564"/>
    </bk>
    <bk>
      <rc t="2" v="11565"/>
    </bk>
    <bk>
      <rc t="2" v="11566"/>
    </bk>
    <bk>
      <rc t="2" v="11567"/>
    </bk>
    <bk>
      <rc t="2" v="11568"/>
    </bk>
    <bk>
      <rc t="2" v="11569"/>
    </bk>
    <bk>
      <rc t="2" v="11570"/>
    </bk>
    <bk>
      <rc t="2" v="11571"/>
    </bk>
    <bk>
      <rc t="2" v="11572"/>
    </bk>
    <bk>
      <rc t="2" v="11573"/>
    </bk>
    <bk>
      <rc t="2" v="11574"/>
    </bk>
    <bk>
      <rc t="2" v="11575"/>
    </bk>
    <bk>
      <rc t="2" v="11576"/>
    </bk>
    <bk>
      <rc t="2" v="11577"/>
    </bk>
    <bk>
      <rc t="2" v="11578"/>
    </bk>
    <bk>
      <rc t="2" v="11579"/>
    </bk>
    <bk>
      <rc t="2" v="11580"/>
    </bk>
    <bk>
      <rc t="2" v="11581"/>
    </bk>
    <bk>
      <rc t="2" v="11582"/>
    </bk>
    <bk>
      <rc t="2" v="11583"/>
    </bk>
    <bk>
      <rc t="2" v="11584"/>
    </bk>
    <bk>
      <rc t="2" v="11585"/>
    </bk>
    <bk>
      <rc t="2" v="11586"/>
    </bk>
    <bk>
      <rc t="2" v="11587"/>
    </bk>
    <bk>
      <rc t="2" v="11588"/>
    </bk>
    <bk>
      <rc t="2" v="11589"/>
    </bk>
    <bk>
      <rc t="2" v="11590"/>
    </bk>
    <bk>
      <rc t="2" v="11591"/>
    </bk>
    <bk>
      <rc t="2" v="11592"/>
    </bk>
    <bk>
      <rc t="2" v="11593"/>
    </bk>
    <bk>
      <rc t="2" v="11594"/>
    </bk>
    <bk>
      <rc t="2" v="11595"/>
    </bk>
    <bk>
      <rc t="2" v="11596"/>
    </bk>
    <bk>
      <rc t="2" v="11597"/>
    </bk>
    <bk>
      <rc t="2" v="11598"/>
    </bk>
    <bk>
      <rc t="2" v="11599"/>
    </bk>
    <bk>
      <rc t="2" v="11600"/>
    </bk>
    <bk>
      <rc t="2" v="11601"/>
    </bk>
    <bk>
      <rc t="2" v="11602"/>
    </bk>
    <bk>
      <rc t="2" v="11603"/>
    </bk>
    <bk>
      <rc t="2" v="11604"/>
    </bk>
    <bk>
      <rc t="2" v="11605"/>
    </bk>
    <bk>
      <rc t="2" v="11606"/>
    </bk>
    <bk>
      <rc t="2" v="11607"/>
    </bk>
    <bk>
      <rc t="2" v="11608"/>
    </bk>
    <bk>
      <rc t="2" v="11609"/>
    </bk>
    <bk>
      <rc t="2" v="11610"/>
    </bk>
    <bk>
      <rc t="2" v="11611"/>
    </bk>
    <bk>
      <rc t="2" v="11612"/>
    </bk>
    <bk>
      <rc t="2" v="11613"/>
    </bk>
    <bk>
      <rc t="2" v="11614"/>
    </bk>
    <bk>
      <rc t="2" v="11615"/>
    </bk>
    <bk>
      <rc t="2" v="11616"/>
    </bk>
    <bk>
      <rc t="2" v="11617"/>
    </bk>
    <bk>
      <rc t="2" v="11618"/>
    </bk>
    <bk>
      <rc t="2" v="11619"/>
    </bk>
    <bk>
      <rc t="2" v="11620"/>
    </bk>
    <bk>
      <rc t="2" v="11621"/>
    </bk>
    <bk>
      <rc t="2" v="11622"/>
    </bk>
    <bk>
      <rc t="2" v="11623"/>
    </bk>
    <bk>
      <rc t="2" v="11624"/>
    </bk>
    <bk>
      <rc t="2" v="11625"/>
    </bk>
    <bk>
      <rc t="2" v="11626"/>
    </bk>
    <bk>
      <rc t="2" v="11627"/>
    </bk>
    <bk>
      <rc t="2" v="11628"/>
    </bk>
    <bk>
      <rc t="2" v="11629"/>
    </bk>
    <bk>
      <rc t="2" v="11630"/>
    </bk>
    <bk>
      <rc t="2" v="11631"/>
    </bk>
    <bk>
      <rc t="2" v="11632"/>
    </bk>
    <bk>
      <rc t="2" v="11633"/>
    </bk>
    <bk>
      <rc t="2" v="11634"/>
    </bk>
    <bk>
      <rc t="2" v="11635"/>
    </bk>
    <bk>
      <rc t="2" v="11636"/>
    </bk>
    <bk>
      <rc t="2" v="11637"/>
    </bk>
    <bk>
      <rc t="2" v="11638"/>
    </bk>
    <bk>
      <rc t="2" v="11639"/>
    </bk>
    <bk>
      <rc t="2" v="11640"/>
    </bk>
    <bk>
      <rc t="2" v="11641"/>
    </bk>
    <bk>
      <rc t="2" v="11642"/>
    </bk>
    <bk>
      <rc t="2" v="11643"/>
    </bk>
    <bk>
      <rc t="2" v="11644"/>
    </bk>
    <bk>
      <rc t="2" v="11645"/>
    </bk>
    <bk>
      <rc t="2" v="11646"/>
    </bk>
    <bk>
      <rc t="2" v="11647"/>
    </bk>
    <bk>
      <rc t="2" v="11648"/>
    </bk>
    <bk>
      <rc t="2" v="11649"/>
    </bk>
    <bk>
      <rc t="2" v="11650"/>
    </bk>
    <bk>
      <rc t="2" v="11651"/>
    </bk>
    <bk>
      <rc t="2" v="11652"/>
    </bk>
    <bk>
      <rc t="2" v="11653"/>
    </bk>
    <bk>
      <rc t="2" v="11654"/>
    </bk>
    <bk>
      <rc t="2" v="11655"/>
    </bk>
    <bk>
      <rc t="2" v="11656"/>
    </bk>
    <bk>
      <rc t="2" v="11657"/>
    </bk>
    <bk>
      <rc t="2" v="11658"/>
    </bk>
    <bk>
      <rc t="2" v="11659"/>
    </bk>
    <bk>
      <rc t="2" v="11660"/>
    </bk>
    <bk>
      <rc t="2" v="11661"/>
    </bk>
    <bk>
      <rc t="2" v="11662"/>
    </bk>
    <bk>
      <rc t="2" v="11663"/>
    </bk>
    <bk>
      <rc t="2" v="11664"/>
    </bk>
    <bk>
      <rc t="2" v="11665"/>
    </bk>
    <bk>
      <rc t="2" v="11666"/>
    </bk>
    <bk>
      <rc t="2" v="11667"/>
    </bk>
    <bk>
      <rc t="2" v="11668"/>
    </bk>
    <bk>
      <rc t="2" v="11669"/>
    </bk>
    <bk>
      <rc t="2" v="11670"/>
    </bk>
    <bk>
      <rc t="2" v="11671"/>
    </bk>
    <bk>
      <rc t="2" v="11672"/>
    </bk>
    <bk>
      <rc t="2" v="11673"/>
    </bk>
    <bk>
      <rc t="2" v="11674"/>
    </bk>
    <bk>
      <rc t="2" v="11675"/>
    </bk>
    <bk>
      <rc t="2" v="11676"/>
    </bk>
    <bk>
      <rc t="2" v="11677"/>
    </bk>
    <bk>
      <rc t="2" v="11678"/>
    </bk>
    <bk>
      <rc t="2" v="11679"/>
    </bk>
    <bk>
      <rc t="2" v="11680"/>
    </bk>
    <bk>
      <rc t="2" v="11681"/>
    </bk>
    <bk>
      <rc t="2" v="11682"/>
    </bk>
    <bk>
      <rc t="2" v="11683"/>
    </bk>
    <bk>
      <rc t="2" v="11684"/>
    </bk>
    <bk>
      <rc t="2" v="11685"/>
    </bk>
    <bk>
      <rc t="2" v="11686"/>
    </bk>
    <bk>
      <rc t="2" v="11687"/>
    </bk>
    <bk>
      <rc t="2" v="11688"/>
    </bk>
    <bk>
      <rc t="2" v="11689"/>
    </bk>
    <bk>
      <rc t="2" v="11690"/>
    </bk>
    <bk>
      <rc t="2" v="11691"/>
    </bk>
    <bk>
      <rc t="2" v="11692"/>
    </bk>
    <bk>
      <rc t="2" v="11693"/>
    </bk>
    <bk>
      <rc t="2" v="11694"/>
    </bk>
    <bk>
      <rc t="2" v="11695"/>
    </bk>
    <bk>
      <rc t="2" v="11696"/>
    </bk>
    <bk>
      <rc t="2" v="11697"/>
    </bk>
    <bk>
      <rc t="2" v="11698"/>
    </bk>
    <bk>
      <rc t="2" v="11699"/>
    </bk>
    <bk>
      <rc t="2" v="11700"/>
    </bk>
    <bk>
      <rc t="2" v="11701"/>
    </bk>
    <bk>
      <rc t="2" v="11702"/>
    </bk>
    <bk>
      <rc t="2" v="11703"/>
    </bk>
    <bk>
      <rc t="2" v="11704"/>
    </bk>
    <bk>
      <rc t="2" v="11705"/>
    </bk>
    <bk>
      <rc t="2" v="11706"/>
    </bk>
    <bk>
      <rc t="2" v="11707"/>
    </bk>
    <bk>
      <rc t="2" v="11708"/>
    </bk>
    <bk>
      <rc t="2" v="11709"/>
    </bk>
    <bk>
      <rc t="2" v="11710"/>
    </bk>
    <bk>
      <rc t="2" v="11711"/>
    </bk>
    <bk>
      <rc t="2" v="11712"/>
    </bk>
    <bk>
      <rc t="2" v="11713"/>
    </bk>
    <bk>
      <rc t="2" v="11714"/>
    </bk>
    <bk>
      <rc t="2" v="11715"/>
    </bk>
    <bk>
      <rc t="2" v="11716"/>
    </bk>
    <bk>
      <rc t="2" v="11717"/>
    </bk>
    <bk>
      <rc t="2" v="11718"/>
    </bk>
    <bk>
      <rc t="2" v="11719"/>
    </bk>
    <bk>
      <rc t="2" v="11720"/>
    </bk>
    <bk>
      <rc t="2" v="11721"/>
    </bk>
    <bk>
      <rc t="2" v="11722"/>
    </bk>
    <bk>
      <rc t="2" v="11723"/>
    </bk>
    <bk>
      <rc t="2" v="11724"/>
    </bk>
    <bk>
      <rc t="2" v="11725"/>
    </bk>
    <bk>
      <rc t="2" v="11726"/>
    </bk>
    <bk>
      <rc t="2" v="11727"/>
    </bk>
    <bk>
      <rc t="2" v="11728"/>
    </bk>
    <bk>
      <rc t="2" v="11729"/>
    </bk>
    <bk>
      <rc t="2" v="11730"/>
    </bk>
    <bk>
      <rc t="2" v="11731"/>
    </bk>
    <bk>
      <rc t="2" v="11732"/>
    </bk>
    <bk>
      <rc t="2" v="11733"/>
    </bk>
    <bk>
      <rc t="2" v="11734"/>
    </bk>
    <bk>
      <rc t="2" v="11735"/>
    </bk>
    <bk>
      <rc t="2" v="11736"/>
    </bk>
    <bk>
      <rc t="2" v="11737"/>
    </bk>
    <bk>
      <rc t="2" v="11738"/>
    </bk>
    <bk>
      <rc t="2" v="11739"/>
    </bk>
    <bk>
      <rc t="2" v="11740"/>
    </bk>
    <bk>
      <rc t="2" v="11741"/>
    </bk>
    <bk>
      <rc t="2" v="11742"/>
    </bk>
    <bk>
      <rc t="2" v="11743"/>
    </bk>
    <bk>
      <rc t="2" v="11744"/>
    </bk>
    <bk>
      <rc t="2" v="11745"/>
    </bk>
    <bk>
      <rc t="2" v="11746"/>
    </bk>
    <bk>
      <rc t="2" v="11747"/>
    </bk>
    <bk>
      <rc t="2" v="11748"/>
    </bk>
    <bk>
      <rc t="2" v="11749"/>
    </bk>
    <bk>
      <rc t="2" v="11750"/>
    </bk>
    <bk>
      <rc t="2" v="11751"/>
    </bk>
    <bk>
      <rc t="2" v="11752"/>
    </bk>
    <bk>
      <rc t="2" v="11753"/>
    </bk>
    <bk>
      <rc t="2" v="11754"/>
    </bk>
    <bk>
      <rc t="2" v="11755"/>
    </bk>
    <bk>
      <rc t="2" v="11756"/>
    </bk>
    <bk>
      <rc t="2" v="11757"/>
    </bk>
    <bk>
      <rc t="2" v="11758"/>
    </bk>
    <bk>
      <rc t="2" v="11759"/>
    </bk>
    <bk>
      <rc t="2" v="11760"/>
    </bk>
    <bk>
      <rc t="2" v="11761"/>
    </bk>
    <bk>
      <rc t="2" v="11762"/>
    </bk>
    <bk>
      <rc t="2" v="11763"/>
    </bk>
    <bk>
      <rc t="2" v="11764"/>
    </bk>
    <bk>
      <rc t="2" v="11765"/>
    </bk>
    <bk>
      <rc t="2" v="11766"/>
    </bk>
    <bk>
      <rc t="2" v="11767"/>
    </bk>
    <bk>
      <rc t="2" v="11768"/>
    </bk>
    <bk>
      <rc t="2" v="11769"/>
    </bk>
    <bk>
      <rc t="2" v="11770"/>
    </bk>
    <bk>
      <rc t="2" v="11771"/>
    </bk>
    <bk>
      <rc t="2" v="11772"/>
    </bk>
    <bk>
      <rc t="2" v="11773"/>
    </bk>
    <bk>
      <rc t="2" v="11774"/>
    </bk>
    <bk>
      <rc t="2" v="11775"/>
    </bk>
    <bk>
      <rc t="2" v="11776"/>
    </bk>
    <bk>
      <rc t="2" v="11777"/>
    </bk>
    <bk>
      <rc t="2" v="11778"/>
    </bk>
    <bk>
      <rc t="2" v="11779"/>
    </bk>
    <bk>
      <rc t="2" v="11780"/>
    </bk>
    <bk>
      <rc t="2" v="11781"/>
    </bk>
    <bk>
      <rc t="2" v="11782"/>
    </bk>
    <bk>
      <rc t="2" v="11783"/>
    </bk>
    <bk>
      <rc t="2" v="11784"/>
    </bk>
    <bk>
      <rc t="2" v="11785"/>
    </bk>
    <bk>
      <rc t="2" v="11786"/>
    </bk>
    <bk>
      <rc t="2" v="11787"/>
    </bk>
    <bk>
      <rc t="2" v="11788"/>
    </bk>
    <bk>
      <rc t="2" v="11789"/>
    </bk>
    <bk>
      <rc t="2" v="11790"/>
    </bk>
    <bk>
      <rc t="2" v="11791"/>
    </bk>
    <bk>
      <rc t="2" v="11792"/>
    </bk>
    <bk>
      <rc t="2" v="11793"/>
    </bk>
    <bk>
      <rc t="2" v="11794"/>
    </bk>
    <bk>
      <rc t="2" v="11795"/>
    </bk>
    <bk>
      <rc t="2" v="11796"/>
    </bk>
    <bk>
      <rc t="2" v="11797"/>
    </bk>
    <bk>
      <rc t="2" v="11798"/>
    </bk>
    <bk>
      <rc t="2" v="11799"/>
    </bk>
    <bk>
      <rc t="2" v="11800"/>
    </bk>
    <bk>
      <rc t="2" v="11801"/>
    </bk>
    <bk>
      <rc t="2" v="11802"/>
    </bk>
    <bk>
      <rc t="2" v="11803"/>
    </bk>
    <bk>
      <rc t="2" v="11804"/>
    </bk>
    <bk>
      <rc t="2" v="11805"/>
    </bk>
    <bk>
      <rc t="2" v="11806"/>
    </bk>
    <bk>
      <rc t="2" v="11807"/>
    </bk>
    <bk>
      <rc t="2" v="11808"/>
    </bk>
    <bk>
      <rc t="2" v="11809"/>
    </bk>
    <bk>
      <rc t="2" v="11810"/>
    </bk>
    <bk>
      <rc t="2" v="11811"/>
    </bk>
    <bk>
      <rc t="2" v="11812"/>
    </bk>
    <bk>
      <rc t="2" v="11813"/>
    </bk>
    <bk>
      <rc t="2" v="11814"/>
    </bk>
    <bk>
      <rc t="2" v="11815"/>
    </bk>
    <bk>
      <rc t="2" v="11816"/>
    </bk>
    <bk>
      <rc t="2" v="11817"/>
    </bk>
    <bk>
      <rc t="2" v="11818"/>
    </bk>
    <bk>
      <rc t="2" v="11819"/>
    </bk>
    <bk>
      <rc t="2" v="11820"/>
    </bk>
    <bk>
      <rc t="2" v="11821"/>
    </bk>
    <bk>
      <rc t="2" v="11822"/>
    </bk>
    <bk>
      <rc t="2" v="11823"/>
    </bk>
    <bk>
      <rc t="2" v="11824"/>
    </bk>
    <bk>
      <rc t="2" v="11825"/>
    </bk>
    <bk>
      <rc t="2" v="11826"/>
    </bk>
    <bk>
      <rc t="2" v="11827"/>
    </bk>
    <bk>
      <rc t="2" v="11828"/>
    </bk>
    <bk>
      <rc t="2" v="11829"/>
    </bk>
    <bk>
      <rc t="2" v="11830"/>
    </bk>
    <bk>
      <rc t="2" v="11831"/>
    </bk>
    <bk>
      <rc t="2" v="11832"/>
    </bk>
    <bk>
      <rc t="2" v="11833"/>
    </bk>
    <bk>
      <rc t="2" v="11834"/>
    </bk>
    <bk>
      <rc t="2" v="11835"/>
    </bk>
    <bk>
      <rc t="2" v="11836"/>
    </bk>
    <bk>
      <rc t="2" v="11837"/>
    </bk>
    <bk>
      <rc t="2" v="11838"/>
    </bk>
    <bk>
      <rc t="2" v="11839"/>
    </bk>
    <bk>
      <rc t="2" v="11840"/>
    </bk>
    <bk>
      <rc t="2" v="11841"/>
    </bk>
    <bk>
      <rc t="2" v="11842"/>
    </bk>
    <bk>
      <rc t="2" v="11843"/>
    </bk>
    <bk>
      <rc t="2" v="11844"/>
    </bk>
    <bk>
      <rc t="2" v="11845"/>
    </bk>
    <bk>
      <rc t="2" v="11846"/>
    </bk>
    <bk>
      <rc t="2" v="11847"/>
    </bk>
    <bk>
      <rc t="2" v="11848"/>
    </bk>
    <bk>
      <rc t="2" v="11849"/>
    </bk>
    <bk>
      <rc t="2" v="11850"/>
    </bk>
    <bk>
      <rc t="2" v="11851"/>
    </bk>
    <bk>
      <rc t="2" v="11852"/>
    </bk>
    <bk>
      <rc t="2" v="11853"/>
    </bk>
    <bk>
      <rc t="2" v="11854"/>
    </bk>
    <bk>
      <rc t="2" v="11855"/>
    </bk>
    <bk>
      <rc t="2" v="11856"/>
    </bk>
    <bk>
      <rc t="2" v="11857"/>
    </bk>
    <bk>
      <rc t="2" v="11858"/>
    </bk>
    <bk>
      <rc t="2" v="11859"/>
    </bk>
    <bk>
      <rc t="2" v="11860"/>
    </bk>
    <bk>
      <rc t="2" v="11861"/>
    </bk>
    <bk>
      <rc t="2" v="11862"/>
    </bk>
    <bk>
      <rc t="2" v="11863"/>
    </bk>
    <bk>
      <rc t="2" v="11864"/>
    </bk>
    <bk>
      <rc t="2" v="11865"/>
    </bk>
    <bk>
      <rc t="2" v="11866"/>
    </bk>
    <bk>
      <rc t="2" v="11867"/>
    </bk>
    <bk>
      <rc t="2" v="11868"/>
    </bk>
    <bk>
      <rc t="2" v="11869"/>
    </bk>
    <bk>
      <rc t="2" v="11870"/>
    </bk>
    <bk>
      <rc t="2" v="11871"/>
    </bk>
    <bk>
      <rc t="2" v="11872"/>
    </bk>
    <bk>
      <rc t="2" v="11873"/>
    </bk>
    <bk>
      <rc t="2" v="11874"/>
    </bk>
    <bk>
      <rc t="2" v="11875"/>
    </bk>
    <bk>
      <rc t="2" v="11876"/>
    </bk>
    <bk>
      <rc t="2" v="11877"/>
    </bk>
    <bk>
      <rc t="2" v="11878"/>
    </bk>
    <bk>
      <rc t="2" v="11879"/>
    </bk>
    <bk>
      <rc t="2" v="11880"/>
    </bk>
    <bk>
      <rc t="2" v="11881"/>
    </bk>
    <bk>
      <rc t="2" v="11882"/>
    </bk>
    <bk>
      <rc t="2" v="11883"/>
    </bk>
    <bk>
      <rc t="2" v="11884"/>
    </bk>
    <bk>
      <rc t="2" v="11885"/>
    </bk>
    <bk>
      <rc t="2" v="11886"/>
    </bk>
    <bk>
      <rc t="2" v="11887"/>
    </bk>
    <bk>
      <rc t="2" v="11888"/>
    </bk>
    <bk>
      <rc t="2" v="11889"/>
    </bk>
    <bk>
      <rc t="2" v="11890"/>
    </bk>
    <bk>
      <rc t="2" v="11891"/>
    </bk>
    <bk>
      <rc t="2" v="11892"/>
    </bk>
    <bk>
      <rc t="2" v="11893"/>
    </bk>
    <bk>
      <rc t="2" v="11894"/>
    </bk>
    <bk>
      <rc t="2" v="11895"/>
    </bk>
    <bk>
      <rc t="2" v="11896"/>
    </bk>
    <bk>
      <rc t="2" v="11897"/>
    </bk>
    <bk>
      <rc t="2" v="11898"/>
    </bk>
    <bk>
      <rc t="2" v="11899"/>
    </bk>
    <bk>
      <rc t="2" v="11900"/>
    </bk>
    <bk>
      <rc t="2" v="11901"/>
    </bk>
    <bk>
      <rc t="2" v="11902"/>
    </bk>
    <bk>
      <rc t="2" v="11903"/>
    </bk>
    <bk>
      <rc t="2" v="11904"/>
    </bk>
    <bk>
      <rc t="2" v="11905"/>
    </bk>
    <bk>
      <rc t="2" v="11906"/>
    </bk>
    <bk>
      <rc t="2" v="11907"/>
    </bk>
    <bk>
      <rc t="2" v="11908"/>
    </bk>
    <bk>
      <rc t="2" v="11909"/>
    </bk>
    <bk>
      <rc t="2" v="11910"/>
    </bk>
    <bk>
      <rc t="2" v="11911"/>
    </bk>
    <bk>
      <rc t="2" v="11912"/>
    </bk>
    <bk>
      <rc t="2" v="11913"/>
    </bk>
    <bk>
      <rc t="2" v="11914"/>
    </bk>
    <bk>
      <rc t="2" v="11915"/>
    </bk>
    <bk>
      <rc t="2" v="11916"/>
    </bk>
    <bk>
      <rc t="2" v="11917"/>
    </bk>
    <bk>
      <rc t="2" v="11918"/>
    </bk>
    <bk>
      <rc t="2" v="11919"/>
    </bk>
    <bk>
      <rc t="2" v="11920"/>
    </bk>
    <bk>
      <rc t="2" v="11921"/>
    </bk>
    <bk>
      <rc t="2" v="11922"/>
    </bk>
    <bk>
      <rc t="2" v="11923"/>
    </bk>
    <bk>
      <rc t="2" v="11924"/>
    </bk>
    <bk>
      <rc t="2" v="11925"/>
    </bk>
    <bk>
      <rc t="2" v="11926"/>
    </bk>
    <bk>
      <rc t="2" v="11927"/>
    </bk>
    <bk>
      <rc t="2" v="11928"/>
    </bk>
    <bk>
      <rc t="2" v="11929"/>
    </bk>
    <bk>
      <rc t="2" v="11930"/>
    </bk>
    <bk>
      <rc t="2" v="11931"/>
    </bk>
    <bk>
      <rc t="2" v="11932"/>
    </bk>
    <bk>
      <rc t="2" v="11933"/>
    </bk>
    <bk>
      <rc t="2" v="11934"/>
    </bk>
    <bk>
      <rc t="2" v="11935"/>
    </bk>
    <bk>
      <rc t="2" v="11936"/>
    </bk>
    <bk>
      <rc t="2" v="11937"/>
    </bk>
    <bk>
      <rc t="2" v="11938"/>
    </bk>
    <bk>
      <rc t="2" v="11939"/>
    </bk>
    <bk>
      <rc t="2" v="11940"/>
    </bk>
    <bk>
      <rc t="2" v="11941"/>
    </bk>
    <bk>
      <rc t="2" v="11942"/>
    </bk>
    <bk>
      <rc t="2" v="11943"/>
    </bk>
    <bk>
      <rc t="2" v="11944"/>
    </bk>
    <bk>
      <rc t="2" v="11945"/>
    </bk>
    <bk>
      <rc t="2" v="11946"/>
    </bk>
    <bk>
      <rc t="2" v="11947"/>
    </bk>
    <bk>
      <rc t="2" v="11948"/>
    </bk>
    <bk>
      <rc t="2" v="11949"/>
    </bk>
    <bk>
      <rc t="2" v="11950"/>
    </bk>
    <bk>
      <rc t="2" v="11951"/>
    </bk>
    <bk>
      <rc t="2" v="11952"/>
    </bk>
    <bk>
      <rc t="2" v="11953"/>
    </bk>
    <bk>
      <rc t="2" v="11954"/>
    </bk>
    <bk>
      <rc t="2" v="11955"/>
    </bk>
    <bk>
      <rc t="2" v="11956"/>
    </bk>
    <bk>
      <rc t="2" v="11957"/>
    </bk>
    <bk>
      <rc t="2" v="11958"/>
    </bk>
    <bk>
      <rc t="2" v="11959"/>
    </bk>
    <bk>
      <rc t="2" v="11960"/>
    </bk>
    <bk>
      <rc t="2" v="11961"/>
    </bk>
    <bk>
      <rc t="2" v="11962"/>
    </bk>
    <bk>
      <rc t="2" v="11963"/>
    </bk>
    <bk>
      <rc t="2" v="11964"/>
    </bk>
    <bk>
      <rc t="2" v="11965"/>
    </bk>
    <bk>
      <rc t="2" v="11966"/>
    </bk>
    <bk>
      <rc t="2" v="11967"/>
    </bk>
    <bk>
      <rc t="2" v="11968"/>
    </bk>
    <bk>
      <rc t="2" v="11969"/>
    </bk>
    <bk>
      <rc t="2" v="11970"/>
    </bk>
    <bk>
      <rc t="2" v="11971"/>
    </bk>
    <bk>
      <rc t="2" v="11972"/>
    </bk>
    <bk>
      <rc t="2" v="11973"/>
    </bk>
    <bk>
      <rc t="2" v="11974"/>
    </bk>
    <bk>
      <rc t="2" v="11975"/>
    </bk>
    <bk>
      <rc t="2" v="11976"/>
    </bk>
    <bk>
      <rc t="2" v="11977"/>
    </bk>
    <bk>
      <rc t="2" v="11978"/>
    </bk>
    <bk>
      <rc t="2" v="11979"/>
    </bk>
    <bk>
      <rc t="2" v="11980"/>
    </bk>
    <bk>
      <rc t="2" v="11981"/>
    </bk>
    <bk>
      <rc t="2" v="11982"/>
    </bk>
    <bk>
      <rc t="2" v="11983"/>
    </bk>
    <bk>
      <rc t="2" v="11984"/>
    </bk>
    <bk>
      <rc t="2" v="11985"/>
    </bk>
    <bk>
      <rc t="2" v="11986"/>
    </bk>
    <bk>
      <rc t="2" v="11987"/>
    </bk>
    <bk>
      <rc t="2" v="11988"/>
    </bk>
    <bk>
      <rc t="2" v="11989"/>
    </bk>
    <bk>
      <rc t="2" v="11990"/>
    </bk>
    <bk>
      <rc t="2" v="11991"/>
    </bk>
    <bk>
      <rc t="2" v="11992"/>
    </bk>
    <bk>
      <rc t="2" v="11993"/>
    </bk>
    <bk>
      <rc t="2" v="11994"/>
    </bk>
    <bk>
      <rc t="2" v="11995"/>
    </bk>
    <bk>
      <rc t="2" v="11996"/>
    </bk>
    <bk>
      <rc t="2" v="11997"/>
    </bk>
    <bk>
      <rc t="2" v="11998"/>
    </bk>
    <bk>
      <rc t="2" v="11999"/>
    </bk>
    <bk>
      <rc t="2" v="12000"/>
    </bk>
    <bk>
      <rc t="2" v="12001"/>
    </bk>
    <bk>
      <rc t="2" v="12002"/>
    </bk>
    <bk>
      <rc t="2" v="12003"/>
    </bk>
    <bk>
      <rc t="2" v="12004"/>
    </bk>
    <bk>
      <rc t="2" v="12005"/>
    </bk>
    <bk>
      <rc t="2" v="12006"/>
    </bk>
    <bk>
      <rc t="2" v="12007"/>
    </bk>
    <bk>
      <rc t="2" v="12008"/>
    </bk>
    <bk>
      <rc t="2" v="12009"/>
    </bk>
    <bk>
      <rc t="2" v="12010"/>
    </bk>
    <bk>
      <rc t="2" v="12011"/>
    </bk>
    <bk>
      <rc t="2" v="12012"/>
    </bk>
    <bk>
      <rc t="2" v="12013"/>
    </bk>
    <bk>
      <rc t="2" v="12014"/>
    </bk>
    <bk>
      <rc t="2" v="12015"/>
    </bk>
    <bk>
      <rc t="2" v="12016"/>
    </bk>
    <bk>
      <rc t="2" v="12017"/>
    </bk>
    <bk>
      <rc t="2" v="12018"/>
    </bk>
    <bk>
      <rc t="2" v="12019"/>
    </bk>
    <bk>
      <rc t="2" v="12020"/>
    </bk>
    <bk>
      <rc t="2" v="12021"/>
    </bk>
    <bk>
      <rc t="2" v="12022"/>
    </bk>
    <bk>
      <rc t="2" v="12023"/>
    </bk>
    <bk>
      <rc t="2" v="12024"/>
    </bk>
    <bk>
      <rc t="2" v="12025"/>
    </bk>
    <bk>
      <rc t="2" v="12026"/>
    </bk>
    <bk>
      <rc t="2" v="12027"/>
    </bk>
    <bk>
      <rc t="2" v="12028"/>
    </bk>
    <bk>
      <rc t="2" v="12029"/>
    </bk>
    <bk>
      <rc t="2" v="12030"/>
    </bk>
    <bk>
      <rc t="2" v="12031"/>
    </bk>
    <bk>
      <rc t="2" v="12032"/>
    </bk>
    <bk>
      <rc t="2" v="12033"/>
    </bk>
    <bk>
      <rc t="2" v="12034"/>
    </bk>
    <bk>
      <rc t="2" v="12035"/>
    </bk>
    <bk>
      <rc t="2" v="12036"/>
    </bk>
    <bk>
      <rc t="2" v="12037"/>
    </bk>
    <bk>
      <rc t="2" v="12038"/>
    </bk>
    <bk>
      <rc t="2" v="12039"/>
    </bk>
    <bk>
      <rc t="2" v="12040"/>
    </bk>
    <bk>
      <rc t="2" v="12041"/>
    </bk>
    <bk>
      <rc t="2" v="12042"/>
    </bk>
    <bk>
      <rc t="2" v="12043"/>
    </bk>
    <bk>
      <rc t="2" v="12044"/>
    </bk>
    <bk>
      <rc t="2" v="12045"/>
    </bk>
    <bk>
      <rc t="2" v="12046"/>
    </bk>
    <bk>
      <rc t="2" v="12047"/>
    </bk>
    <bk>
      <rc t="2" v="12048"/>
    </bk>
    <bk>
      <rc t="2" v="12049"/>
    </bk>
    <bk>
      <rc t="2" v="12050"/>
    </bk>
    <bk>
      <rc t="2" v="12051"/>
    </bk>
    <bk>
      <rc t="2" v="12052"/>
    </bk>
    <bk>
      <rc t="2" v="12053"/>
    </bk>
    <bk>
      <rc t="2" v="12054"/>
    </bk>
    <bk>
      <rc t="2" v="12055"/>
    </bk>
    <bk>
      <rc t="2" v="12056"/>
    </bk>
    <bk>
      <rc t="2" v="12057"/>
    </bk>
    <bk>
      <rc t="2" v="12058"/>
    </bk>
    <bk>
      <rc t="2" v="12059"/>
    </bk>
    <bk>
      <rc t="2" v="12060"/>
    </bk>
    <bk>
      <rc t="2" v="12061"/>
    </bk>
    <bk>
      <rc t="2" v="12062"/>
    </bk>
    <bk>
      <rc t="2" v="12063"/>
    </bk>
    <bk>
      <rc t="2" v="12064"/>
    </bk>
    <bk>
      <rc t="2" v="12065"/>
    </bk>
    <bk>
      <rc t="2" v="12066"/>
    </bk>
    <bk>
      <rc t="2" v="12067"/>
    </bk>
    <bk>
      <rc t="2" v="12068"/>
    </bk>
    <bk>
      <rc t="2" v="12069"/>
    </bk>
    <bk>
      <rc t="2" v="12070"/>
    </bk>
    <bk>
      <rc t="2" v="12071"/>
    </bk>
    <bk>
      <rc t="2" v="12072"/>
    </bk>
    <bk>
      <rc t="2" v="12073"/>
    </bk>
    <bk>
      <rc t="2" v="12074"/>
    </bk>
    <bk>
      <rc t="2" v="12075"/>
    </bk>
    <bk>
      <rc t="2" v="12076"/>
    </bk>
    <bk>
      <rc t="2" v="12077"/>
    </bk>
    <bk>
      <rc t="2" v="12078"/>
    </bk>
    <bk>
      <rc t="2" v="12079"/>
    </bk>
    <bk>
      <rc t="2" v="12080"/>
    </bk>
    <bk>
      <rc t="2" v="12081"/>
    </bk>
    <bk>
      <rc t="2" v="12082"/>
    </bk>
    <bk>
      <rc t="2" v="12083"/>
    </bk>
    <bk>
      <rc t="2" v="12084"/>
    </bk>
    <bk>
      <rc t="2" v="12085"/>
    </bk>
    <bk>
      <rc t="2" v="12086"/>
    </bk>
    <bk>
      <rc t="2" v="12087"/>
    </bk>
    <bk>
      <rc t="2" v="12088"/>
    </bk>
    <bk>
      <rc t="2" v="12089"/>
    </bk>
    <bk>
      <rc t="2" v="12090"/>
    </bk>
    <bk>
      <rc t="2" v="12091"/>
    </bk>
    <bk>
      <rc t="2" v="12092"/>
    </bk>
    <bk>
      <rc t="2" v="12093"/>
    </bk>
    <bk>
      <rc t="2" v="12094"/>
    </bk>
    <bk>
      <rc t="2" v="12095"/>
    </bk>
    <bk>
      <rc t="2" v="12096"/>
    </bk>
    <bk>
      <rc t="2" v="12097"/>
    </bk>
    <bk>
      <rc t="2" v="12098"/>
    </bk>
    <bk>
      <rc t="2" v="12099"/>
    </bk>
    <bk>
      <rc t="2" v="12100"/>
    </bk>
    <bk>
      <rc t="2" v="12101"/>
    </bk>
    <bk>
      <rc t="2" v="12102"/>
    </bk>
    <bk>
      <rc t="2" v="12103"/>
    </bk>
    <bk>
      <rc t="2" v="12104"/>
    </bk>
    <bk>
      <rc t="2" v="12105"/>
    </bk>
    <bk>
      <rc t="2" v="12106"/>
    </bk>
    <bk>
      <rc t="2" v="12107"/>
    </bk>
    <bk>
      <rc t="2" v="12108"/>
    </bk>
    <bk>
      <rc t="2" v="12109"/>
    </bk>
    <bk>
      <rc t="2" v="12110"/>
    </bk>
    <bk>
      <rc t="2" v="12111"/>
    </bk>
    <bk>
      <rc t="2" v="12112"/>
    </bk>
    <bk>
      <rc t="2" v="12113"/>
    </bk>
    <bk>
      <rc t="2" v="12114"/>
    </bk>
    <bk>
      <rc t="2" v="12115"/>
    </bk>
    <bk>
      <rc t="2" v="12116"/>
    </bk>
    <bk>
      <rc t="2" v="12117"/>
    </bk>
    <bk>
      <rc t="2" v="12118"/>
    </bk>
    <bk>
      <rc t="2" v="12119"/>
    </bk>
    <bk>
      <rc t="2" v="12120"/>
    </bk>
    <bk>
      <rc t="2" v="12121"/>
    </bk>
    <bk>
      <rc t="2" v="12122"/>
    </bk>
    <bk>
      <rc t="2" v="12123"/>
    </bk>
    <bk>
      <rc t="2" v="12124"/>
    </bk>
    <bk>
      <rc t="2" v="12125"/>
    </bk>
    <bk>
      <rc t="2" v="12126"/>
    </bk>
    <bk>
      <rc t="2" v="12127"/>
    </bk>
    <bk>
      <rc t="2" v="12128"/>
    </bk>
    <bk>
      <rc t="2" v="12129"/>
    </bk>
    <bk>
      <rc t="2" v="12130"/>
    </bk>
    <bk>
      <rc t="2" v="12131"/>
    </bk>
    <bk>
      <rc t="2" v="12132"/>
    </bk>
    <bk>
      <rc t="2" v="12133"/>
    </bk>
    <bk>
      <rc t="2" v="12134"/>
    </bk>
    <bk>
      <rc t="2" v="12135"/>
    </bk>
    <bk>
      <rc t="2" v="12136"/>
    </bk>
    <bk>
      <rc t="2" v="12137"/>
    </bk>
    <bk>
      <rc t="2" v="12138"/>
    </bk>
    <bk>
      <rc t="2" v="12139"/>
    </bk>
    <bk>
      <rc t="2" v="12140"/>
    </bk>
    <bk>
      <rc t="2" v="12141"/>
    </bk>
    <bk>
      <rc t="2" v="12142"/>
    </bk>
    <bk>
      <rc t="2" v="12143"/>
    </bk>
    <bk>
      <rc t="2" v="12144"/>
    </bk>
    <bk>
      <rc t="2" v="12145"/>
    </bk>
    <bk>
      <rc t="2" v="12146"/>
    </bk>
    <bk>
      <rc t="2" v="12147"/>
    </bk>
    <bk>
      <rc t="2" v="12148"/>
    </bk>
    <bk>
      <rc t="2" v="12149"/>
    </bk>
    <bk>
      <rc t="2" v="12150"/>
    </bk>
    <bk>
      <rc t="2" v="12151"/>
    </bk>
    <bk>
      <rc t="2" v="12152"/>
    </bk>
    <bk>
      <rc t="2" v="12153"/>
    </bk>
    <bk>
      <rc t="2" v="12154"/>
    </bk>
    <bk>
      <rc t="2" v="12155"/>
    </bk>
    <bk>
      <rc t="2" v="12156"/>
    </bk>
    <bk>
      <rc t="2" v="12157"/>
    </bk>
    <bk>
      <rc t="2" v="12158"/>
    </bk>
    <bk>
      <rc t="2" v="12159"/>
    </bk>
    <bk>
      <rc t="2" v="12160"/>
    </bk>
    <bk>
      <rc t="2" v="12161"/>
    </bk>
    <bk>
      <rc t="2" v="12162"/>
    </bk>
    <bk>
      <rc t="2" v="12163"/>
    </bk>
    <bk>
      <rc t="2" v="12164"/>
    </bk>
    <bk>
      <rc t="2" v="12165"/>
    </bk>
    <bk>
      <rc t="2" v="12166"/>
    </bk>
    <bk>
      <rc t="2" v="12167"/>
    </bk>
    <bk>
      <rc t="2" v="12168"/>
    </bk>
    <bk>
      <rc t="2" v="12169"/>
    </bk>
    <bk>
      <rc t="2" v="12170"/>
    </bk>
    <bk>
      <rc t="2" v="12171"/>
    </bk>
    <bk>
      <rc t="2" v="12172"/>
    </bk>
    <bk>
      <rc t="2" v="12173"/>
    </bk>
    <bk>
      <rc t="2" v="12174"/>
    </bk>
    <bk>
      <rc t="2" v="12175"/>
    </bk>
    <bk>
      <rc t="2" v="12176"/>
    </bk>
    <bk>
      <rc t="2" v="12177"/>
    </bk>
    <bk>
      <rc t="2" v="12178"/>
    </bk>
    <bk>
      <rc t="2" v="12179"/>
    </bk>
    <bk>
      <rc t="2" v="12180"/>
    </bk>
    <bk>
      <rc t="2" v="12181"/>
    </bk>
    <bk>
      <rc t="2" v="12182"/>
    </bk>
    <bk>
      <rc t="2" v="12183"/>
    </bk>
    <bk>
      <rc t="2" v="12184"/>
    </bk>
    <bk>
      <rc t="2" v="12185"/>
    </bk>
    <bk>
      <rc t="2" v="12186"/>
    </bk>
    <bk>
      <rc t="2" v="12187"/>
    </bk>
    <bk>
      <rc t="2" v="12188"/>
    </bk>
    <bk>
      <rc t="2" v="12189"/>
    </bk>
    <bk>
      <rc t="2" v="12190"/>
    </bk>
    <bk>
      <rc t="2" v="12191"/>
    </bk>
    <bk>
      <rc t="2" v="12192"/>
    </bk>
    <bk>
      <rc t="2" v="12193"/>
    </bk>
    <bk>
      <rc t="2" v="12194"/>
    </bk>
    <bk>
      <rc t="2" v="12195"/>
    </bk>
    <bk>
      <rc t="2" v="12196"/>
    </bk>
    <bk>
      <rc t="2" v="12197"/>
    </bk>
    <bk>
      <rc t="2" v="12198"/>
    </bk>
    <bk>
      <rc t="2" v="12199"/>
    </bk>
    <bk>
      <rc t="2" v="12200"/>
    </bk>
    <bk>
      <rc t="2" v="12201"/>
    </bk>
    <bk>
      <rc t="2" v="12202"/>
    </bk>
    <bk>
      <rc t="2" v="12203"/>
    </bk>
    <bk>
      <rc t="2" v="12204"/>
    </bk>
    <bk>
      <rc t="2" v="12205"/>
    </bk>
    <bk>
      <rc t="2" v="12206"/>
    </bk>
    <bk>
      <rc t="2" v="12207"/>
    </bk>
    <bk>
      <rc t="2" v="12208"/>
    </bk>
    <bk>
      <rc t="2" v="12209"/>
    </bk>
    <bk>
      <rc t="2" v="12210"/>
    </bk>
    <bk>
      <rc t="2" v="12211"/>
    </bk>
    <bk>
      <rc t="2" v="12212"/>
    </bk>
    <bk>
      <rc t="2" v="12213"/>
    </bk>
    <bk>
      <rc t="2" v="12214"/>
    </bk>
    <bk>
      <rc t="2" v="12215"/>
    </bk>
    <bk>
      <rc t="2" v="12216"/>
    </bk>
    <bk>
      <rc t="2" v="12217"/>
    </bk>
    <bk>
      <rc t="2" v="12218"/>
    </bk>
    <bk>
      <rc t="2" v="12219"/>
    </bk>
    <bk>
      <rc t="2" v="12220"/>
    </bk>
    <bk>
      <rc t="2" v="12221"/>
    </bk>
    <bk>
      <rc t="2" v="12222"/>
    </bk>
    <bk>
      <rc t="2" v="12223"/>
    </bk>
    <bk>
      <rc t="2" v="12224"/>
    </bk>
    <bk>
      <rc t="2" v="12225"/>
    </bk>
    <bk>
      <rc t="2" v="12226"/>
    </bk>
    <bk>
      <rc t="2" v="12227"/>
    </bk>
    <bk>
      <rc t="2" v="12228"/>
    </bk>
    <bk>
      <rc t="2" v="12229"/>
    </bk>
    <bk>
      <rc t="2" v="12230"/>
    </bk>
    <bk>
      <rc t="2" v="12231"/>
    </bk>
    <bk>
      <rc t="2" v="12232"/>
    </bk>
    <bk>
      <rc t="2" v="12233"/>
    </bk>
    <bk>
      <rc t="2" v="12234"/>
    </bk>
    <bk>
      <rc t="2" v="12235"/>
    </bk>
    <bk>
      <rc t="2" v="12236"/>
    </bk>
    <bk>
      <rc t="2" v="12237"/>
    </bk>
    <bk>
      <rc t="2" v="12238"/>
    </bk>
    <bk>
      <rc t="2" v="12239"/>
    </bk>
    <bk>
      <rc t="2" v="12240"/>
    </bk>
    <bk>
      <rc t="2" v="12241"/>
    </bk>
    <bk>
      <rc t="2" v="12242"/>
    </bk>
    <bk>
      <rc t="2" v="12243"/>
    </bk>
    <bk>
      <rc t="2" v="12244"/>
    </bk>
    <bk>
      <rc t="2" v="12245"/>
    </bk>
    <bk>
      <rc t="2" v="12246"/>
    </bk>
    <bk>
      <rc t="2" v="12247"/>
    </bk>
    <bk>
      <rc t="2" v="12248"/>
    </bk>
    <bk>
      <rc t="2" v="12249"/>
    </bk>
    <bk>
      <rc t="2" v="12250"/>
    </bk>
    <bk>
      <rc t="2" v="12251"/>
    </bk>
    <bk>
      <rc t="2" v="12252"/>
    </bk>
    <bk>
      <rc t="2" v="12253"/>
    </bk>
    <bk>
      <rc t="2" v="12254"/>
    </bk>
    <bk>
      <rc t="2" v="12255"/>
    </bk>
    <bk>
      <rc t="2" v="12256"/>
    </bk>
    <bk>
      <rc t="2" v="12257"/>
    </bk>
    <bk>
      <rc t="2" v="12258"/>
    </bk>
    <bk>
      <rc t="2" v="12259"/>
    </bk>
    <bk>
      <rc t="2" v="12260"/>
    </bk>
    <bk>
      <rc t="2" v="12261"/>
    </bk>
    <bk>
      <rc t="2" v="12262"/>
    </bk>
    <bk>
      <rc t="2" v="12263"/>
    </bk>
    <bk>
      <rc t="2" v="12264"/>
    </bk>
    <bk>
      <rc t="2" v="12265"/>
    </bk>
    <bk>
      <rc t="2" v="12266"/>
    </bk>
    <bk>
      <rc t="2" v="12267"/>
    </bk>
    <bk>
      <rc t="2" v="12268"/>
    </bk>
    <bk>
      <rc t="2" v="12269"/>
    </bk>
    <bk>
      <rc t="2" v="12270"/>
    </bk>
    <bk>
      <rc t="2" v="12271"/>
    </bk>
    <bk>
      <rc t="2" v="12272"/>
    </bk>
    <bk>
      <rc t="2" v="12273"/>
    </bk>
    <bk>
      <rc t="2" v="12274"/>
    </bk>
    <bk>
      <rc t="2" v="12275"/>
    </bk>
    <bk>
      <rc t="2" v="12276"/>
    </bk>
    <bk>
      <rc t="2" v="12277"/>
    </bk>
    <bk>
      <rc t="2" v="12278"/>
    </bk>
    <bk>
      <rc t="2" v="12279"/>
    </bk>
    <bk>
      <rc t="2" v="12280"/>
    </bk>
    <bk>
      <rc t="2" v="12281"/>
    </bk>
    <bk>
      <rc t="2" v="12282"/>
    </bk>
    <bk>
      <rc t="2" v="12283"/>
    </bk>
    <bk>
      <rc t="2" v="12284"/>
    </bk>
    <bk>
      <rc t="2" v="12285"/>
    </bk>
    <bk>
      <rc t="2" v="12286"/>
    </bk>
    <bk>
      <rc t="2" v="12287"/>
    </bk>
    <bk>
      <rc t="2" v="12288"/>
    </bk>
    <bk>
      <rc t="2" v="12289"/>
    </bk>
    <bk>
      <rc t="2" v="12290"/>
    </bk>
    <bk>
      <rc t="2" v="12291"/>
    </bk>
    <bk>
      <rc t="2" v="12292"/>
    </bk>
    <bk>
      <rc t="2" v="12293"/>
    </bk>
    <bk>
      <rc t="2" v="12294"/>
    </bk>
    <bk>
      <rc t="2" v="12295"/>
    </bk>
    <bk>
      <rc t="2" v="12296"/>
    </bk>
    <bk>
      <rc t="2" v="12297"/>
    </bk>
    <bk>
      <rc t="2" v="12298"/>
    </bk>
    <bk>
      <rc t="2" v="12299"/>
    </bk>
    <bk>
      <rc t="2" v="12300"/>
    </bk>
    <bk>
      <rc t="2" v="12301"/>
    </bk>
    <bk>
      <rc t="2" v="12302"/>
    </bk>
    <bk>
      <rc t="2" v="12303"/>
    </bk>
    <bk>
      <rc t="2" v="12304"/>
    </bk>
    <bk>
      <rc t="2" v="12305"/>
    </bk>
    <bk>
      <rc t="2" v="12306"/>
    </bk>
    <bk>
      <rc t="2" v="12307"/>
    </bk>
    <bk>
      <rc t="2" v="12308"/>
    </bk>
    <bk>
      <rc t="2" v="12309"/>
    </bk>
    <bk>
      <rc t="2" v="12310"/>
    </bk>
    <bk>
      <rc t="2" v="12311"/>
    </bk>
    <bk>
      <rc t="2" v="12312"/>
    </bk>
    <bk>
      <rc t="2" v="12313"/>
    </bk>
    <bk>
      <rc t="2" v="12314"/>
    </bk>
    <bk>
      <rc t="2" v="12315"/>
    </bk>
    <bk>
      <rc t="2" v="12316"/>
    </bk>
    <bk>
      <rc t="2" v="12317"/>
    </bk>
    <bk>
      <rc t="2" v="12318"/>
    </bk>
    <bk>
      <rc t="2" v="12319"/>
    </bk>
    <bk>
      <rc t="2" v="12320"/>
    </bk>
    <bk>
      <rc t="2" v="12321"/>
    </bk>
    <bk>
      <rc t="2" v="12322"/>
    </bk>
    <bk>
      <rc t="2" v="12323"/>
    </bk>
    <bk>
      <rc t="2" v="12324"/>
    </bk>
    <bk>
      <rc t="2" v="12325"/>
    </bk>
    <bk>
      <rc t="2" v="12326"/>
    </bk>
    <bk>
      <rc t="2" v="12327"/>
    </bk>
    <bk>
      <rc t="2" v="12328"/>
    </bk>
    <bk>
      <rc t="2" v="12329"/>
    </bk>
    <bk>
      <rc t="2" v="12330"/>
    </bk>
    <bk>
      <rc t="2" v="12331"/>
    </bk>
    <bk>
      <rc t="2" v="12332"/>
    </bk>
    <bk>
      <rc t="2" v="12333"/>
    </bk>
    <bk>
      <rc t="2" v="12334"/>
    </bk>
    <bk>
      <rc t="2" v="12335"/>
    </bk>
    <bk>
      <rc t="2" v="12336"/>
    </bk>
    <bk>
      <rc t="2" v="12337"/>
    </bk>
    <bk>
      <rc t="2" v="12338"/>
    </bk>
    <bk>
      <rc t="2" v="12339"/>
    </bk>
    <bk>
      <rc t="2" v="12340"/>
    </bk>
    <bk>
      <rc t="2" v="12341"/>
    </bk>
    <bk>
      <rc t="2" v="12342"/>
    </bk>
    <bk>
      <rc t="2" v="12343"/>
    </bk>
    <bk>
      <rc t="2" v="12344"/>
    </bk>
    <bk>
      <rc t="2" v="12345"/>
    </bk>
    <bk>
      <rc t="2" v="12346"/>
    </bk>
    <bk>
      <rc t="2" v="12347"/>
    </bk>
    <bk>
      <rc t="2" v="12348"/>
    </bk>
    <bk>
      <rc t="2" v="12349"/>
    </bk>
    <bk>
      <rc t="2" v="12350"/>
    </bk>
    <bk>
      <rc t="2" v="12351"/>
    </bk>
    <bk>
      <rc t="2" v="12352"/>
    </bk>
    <bk>
      <rc t="2" v="12353"/>
    </bk>
    <bk>
      <rc t="2" v="12354"/>
    </bk>
    <bk>
      <rc t="2" v="12355"/>
    </bk>
    <bk>
      <rc t="2" v="12356"/>
    </bk>
    <bk>
      <rc t="2" v="12357"/>
    </bk>
    <bk>
      <rc t="2" v="12358"/>
    </bk>
    <bk>
      <rc t="2" v="12359"/>
    </bk>
    <bk>
      <rc t="2" v="12360"/>
    </bk>
    <bk>
      <rc t="2" v="12361"/>
    </bk>
    <bk>
      <rc t="2" v="12362"/>
    </bk>
    <bk>
      <rc t="2" v="12363"/>
    </bk>
    <bk>
      <rc t="2" v="12364"/>
    </bk>
    <bk>
      <rc t="2" v="12365"/>
    </bk>
    <bk>
      <rc t="2" v="12366"/>
    </bk>
    <bk>
      <rc t="2" v="12367"/>
    </bk>
    <bk>
      <rc t="2" v="12368"/>
    </bk>
    <bk>
      <rc t="2" v="12369"/>
    </bk>
    <bk>
      <rc t="2" v="12370"/>
    </bk>
    <bk>
      <rc t="2" v="12371"/>
    </bk>
    <bk>
      <rc t="2" v="12372"/>
    </bk>
    <bk>
      <rc t="2" v="12373"/>
    </bk>
    <bk>
      <rc t="2" v="12374"/>
    </bk>
    <bk>
      <rc t="2" v="12375"/>
    </bk>
    <bk>
      <rc t="2" v="12376"/>
    </bk>
    <bk>
      <rc t="2" v="12377"/>
    </bk>
    <bk>
      <rc t="2" v="12378"/>
    </bk>
    <bk>
      <rc t="2" v="12379"/>
    </bk>
    <bk>
      <rc t="2" v="12380"/>
    </bk>
    <bk>
      <rc t="2" v="12381"/>
    </bk>
    <bk>
      <rc t="2" v="12382"/>
    </bk>
    <bk>
      <rc t="2" v="12383"/>
    </bk>
    <bk>
      <rc t="2" v="12384"/>
    </bk>
    <bk>
      <rc t="2" v="12385"/>
    </bk>
    <bk>
      <rc t="2" v="12386"/>
    </bk>
    <bk>
      <rc t="2" v="12387"/>
    </bk>
    <bk>
      <rc t="2" v="12388"/>
    </bk>
    <bk>
      <rc t="2" v="12389"/>
    </bk>
    <bk>
      <rc t="2" v="12390"/>
    </bk>
    <bk>
      <rc t="2" v="12391"/>
    </bk>
    <bk>
      <rc t="2" v="12392"/>
    </bk>
    <bk>
      <rc t="2" v="12393"/>
    </bk>
    <bk>
      <rc t="2" v="12394"/>
    </bk>
    <bk>
      <rc t="2" v="12395"/>
    </bk>
    <bk>
      <rc t="2" v="12396"/>
    </bk>
    <bk>
      <rc t="2" v="12397"/>
    </bk>
    <bk>
      <rc t="2" v="12398"/>
    </bk>
    <bk>
      <rc t="2" v="12399"/>
    </bk>
    <bk>
      <rc t="2" v="12400"/>
    </bk>
    <bk>
      <rc t="2" v="12401"/>
    </bk>
    <bk>
      <rc t="2" v="12402"/>
    </bk>
    <bk>
      <rc t="2" v="12403"/>
    </bk>
    <bk>
      <rc t="2" v="12404"/>
    </bk>
    <bk>
      <rc t="2" v="12405"/>
    </bk>
    <bk>
      <rc t="2" v="12406"/>
    </bk>
    <bk>
      <rc t="2" v="12407"/>
    </bk>
    <bk>
      <rc t="2" v="12408"/>
    </bk>
    <bk>
      <rc t="2" v="12409"/>
    </bk>
    <bk>
      <rc t="2" v="12410"/>
    </bk>
    <bk>
      <rc t="2" v="12411"/>
    </bk>
    <bk>
      <rc t="2" v="12412"/>
    </bk>
    <bk>
      <rc t="2" v="12413"/>
    </bk>
    <bk>
      <rc t="2" v="12414"/>
    </bk>
    <bk>
      <rc t="2" v="12415"/>
    </bk>
    <bk>
      <rc t="2" v="12416"/>
    </bk>
    <bk>
      <rc t="2" v="12417"/>
    </bk>
    <bk>
      <rc t="2" v="12418"/>
    </bk>
    <bk>
      <rc t="2" v="12419"/>
    </bk>
    <bk>
      <rc t="2" v="12420"/>
    </bk>
    <bk>
      <rc t="2" v="12421"/>
    </bk>
    <bk>
      <rc t="2" v="12422"/>
    </bk>
    <bk>
      <rc t="2" v="12423"/>
    </bk>
    <bk>
      <rc t="2" v="12424"/>
    </bk>
    <bk>
      <rc t="2" v="12425"/>
    </bk>
    <bk>
      <rc t="2" v="12426"/>
    </bk>
    <bk>
      <rc t="2" v="12427"/>
    </bk>
    <bk>
      <rc t="2" v="12428"/>
    </bk>
    <bk>
      <rc t="2" v="12429"/>
    </bk>
    <bk>
      <rc t="2" v="12430"/>
    </bk>
    <bk>
      <rc t="2" v="12431"/>
    </bk>
    <bk>
      <rc t="2" v="12432"/>
    </bk>
    <bk>
      <rc t="2" v="12433"/>
    </bk>
    <bk>
      <rc t="2" v="12434"/>
    </bk>
    <bk>
      <rc t="2" v="12435"/>
    </bk>
    <bk>
      <rc t="2" v="12436"/>
    </bk>
    <bk>
      <rc t="2" v="12437"/>
    </bk>
    <bk>
      <rc t="2" v="12438"/>
    </bk>
    <bk>
      <rc t="2" v="12439"/>
    </bk>
    <bk>
      <rc t="2" v="12440"/>
    </bk>
    <bk>
      <rc t="2" v="12441"/>
    </bk>
    <bk>
      <rc t="2" v="12442"/>
    </bk>
    <bk>
      <rc t="2" v="12443"/>
    </bk>
    <bk>
      <rc t="2" v="12444"/>
    </bk>
    <bk>
      <rc t="2" v="12445"/>
    </bk>
    <bk>
      <rc t="2" v="12446"/>
    </bk>
    <bk>
      <rc t="2" v="12447"/>
    </bk>
    <bk>
      <rc t="2" v="12448"/>
    </bk>
    <bk>
      <rc t="2" v="12449"/>
    </bk>
    <bk>
      <rc t="2" v="12450"/>
    </bk>
    <bk>
      <rc t="2" v="12451"/>
    </bk>
    <bk>
      <rc t="2" v="12452"/>
    </bk>
    <bk>
      <rc t="2" v="12453"/>
    </bk>
    <bk>
      <rc t="2" v="12454"/>
    </bk>
    <bk>
      <rc t="2" v="12455"/>
    </bk>
    <bk>
      <rc t="2" v="12456"/>
    </bk>
    <bk>
      <rc t="2" v="12457"/>
    </bk>
    <bk>
      <rc t="2" v="12458"/>
    </bk>
    <bk>
      <rc t="2" v="12459"/>
    </bk>
    <bk>
      <rc t="2" v="12460"/>
    </bk>
    <bk>
      <rc t="2" v="12461"/>
    </bk>
    <bk>
      <rc t="2" v="12462"/>
    </bk>
    <bk>
      <rc t="2" v="12463"/>
    </bk>
    <bk>
      <rc t="2" v="12464"/>
    </bk>
    <bk>
      <rc t="2" v="12465"/>
    </bk>
    <bk>
      <rc t="2" v="12466"/>
    </bk>
    <bk>
      <rc t="2" v="12467"/>
    </bk>
    <bk>
      <rc t="2" v="12468"/>
    </bk>
    <bk>
      <rc t="2" v="12469"/>
    </bk>
    <bk>
      <rc t="2" v="12470"/>
    </bk>
    <bk>
      <rc t="2" v="12471"/>
    </bk>
    <bk>
      <rc t="2" v="12472"/>
    </bk>
    <bk>
      <rc t="2" v="12473"/>
    </bk>
    <bk>
      <rc t="2" v="12474"/>
    </bk>
    <bk>
      <rc t="2" v="12475"/>
    </bk>
    <bk>
      <rc t="2" v="12476"/>
    </bk>
    <bk>
      <rc t="2" v="12477"/>
    </bk>
    <bk>
      <rc t="2" v="12478"/>
    </bk>
    <bk>
      <rc t="2" v="12479"/>
    </bk>
    <bk>
      <rc t="2" v="12480"/>
    </bk>
    <bk>
      <rc t="2" v="12481"/>
    </bk>
    <bk>
      <rc t="2" v="12482"/>
    </bk>
    <bk>
      <rc t="2" v="12483"/>
    </bk>
    <bk>
      <rc t="2" v="12484"/>
    </bk>
    <bk>
      <rc t="2" v="12485"/>
    </bk>
    <bk>
      <rc t="2" v="12486"/>
    </bk>
    <bk>
      <rc t="2" v="12487"/>
    </bk>
    <bk>
      <rc t="2" v="12488"/>
    </bk>
    <bk>
      <rc t="2" v="12489"/>
    </bk>
    <bk>
      <rc t="2" v="12490"/>
    </bk>
    <bk>
      <rc t="2" v="12491"/>
    </bk>
    <bk>
      <rc t="2" v="12492"/>
    </bk>
    <bk>
      <rc t="2" v="12493"/>
    </bk>
    <bk>
      <rc t="2" v="12494"/>
    </bk>
    <bk>
      <rc t="2" v="12495"/>
    </bk>
    <bk>
      <rc t="2" v="12496"/>
    </bk>
    <bk>
      <rc t="2" v="12497"/>
    </bk>
    <bk>
      <rc t="2" v="12498"/>
    </bk>
    <bk>
      <rc t="2" v="12499"/>
    </bk>
    <bk>
      <rc t="2" v="12500"/>
    </bk>
    <bk>
      <rc t="2" v="12501"/>
    </bk>
    <bk>
      <rc t="2" v="12502"/>
    </bk>
    <bk>
      <rc t="2" v="12503"/>
    </bk>
    <bk>
      <rc t="2" v="12504"/>
    </bk>
    <bk>
      <rc t="2" v="12505"/>
    </bk>
    <bk>
      <rc t="2" v="12506"/>
    </bk>
    <bk>
      <rc t="2" v="12507"/>
    </bk>
    <bk>
      <rc t="2" v="12508"/>
    </bk>
    <bk>
      <rc t="2" v="12509"/>
    </bk>
    <bk>
      <rc t="2" v="12510"/>
    </bk>
    <bk>
      <rc t="2" v="12511"/>
    </bk>
    <bk>
      <rc t="2" v="12512"/>
    </bk>
    <bk>
      <rc t="2" v="12513"/>
    </bk>
    <bk>
      <rc t="2" v="12514"/>
    </bk>
    <bk>
      <rc t="2" v="12515"/>
    </bk>
    <bk>
      <rc t="2" v="12516"/>
    </bk>
    <bk>
      <rc t="2" v="12517"/>
    </bk>
    <bk>
      <rc t="2" v="12518"/>
    </bk>
    <bk>
      <rc t="2" v="12519"/>
    </bk>
    <bk>
      <rc t="2" v="12520"/>
    </bk>
    <bk>
      <rc t="2" v="12521"/>
    </bk>
    <bk>
      <rc t="2" v="12522"/>
    </bk>
    <bk>
      <rc t="2" v="12523"/>
    </bk>
    <bk>
      <rc t="2" v="12524"/>
    </bk>
    <bk>
      <rc t="2" v="12525"/>
    </bk>
    <bk>
      <rc t="2" v="12526"/>
    </bk>
    <bk>
      <rc t="2" v="12527"/>
    </bk>
    <bk>
      <rc t="2" v="12528"/>
    </bk>
    <bk>
      <rc t="2" v="12529"/>
    </bk>
    <bk>
      <rc t="2" v="12530"/>
    </bk>
    <bk>
      <rc t="2" v="12531"/>
    </bk>
    <bk>
      <rc t="2" v="12532"/>
    </bk>
    <bk>
      <rc t="2" v="12533"/>
    </bk>
    <bk>
      <rc t="2" v="12534"/>
    </bk>
    <bk>
      <rc t="2" v="12535"/>
    </bk>
    <bk>
      <rc t="2" v="12536"/>
    </bk>
    <bk>
      <rc t="2" v="12537"/>
    </bk>
    <bk>
      <rc t="2" v="12538"/>
    </bk>
    <bk>
      <rc t="2" v="12539"/>
    </bk>
    <bk>
      <rc t="2" v="12540"/>
    </bk>
    <bk>
      <rc t="2" v="12541"/>
    </bk>
    <bk>
      <rc t="2" v="12542"/>
    </bk>
    <bk>
      <rc t="2" v="12543"/>
    </bk>
    <bk>
      <rc t="2" v="12544"/>
    </bk>
    <bk>
      <rc t="2" v="12545"/>
    </bk>
    <bk>
      <rc t="2" v="12546"/>
    </bk>
    <bk>
      <rc t="2" v="12547"/>
    </bk>
    <bk>
      <rc t="2" v="12548"/>
    </bk>
    <bk>
      <rc t="2" v="12549"/>
    </bk>
    <bk>
      <rc t="2" v="12550"/>
    </bk>
    <bk>
      <rc t="2" v="12551"/>
    </bk>
    <bk>
      <rc t="2" v="12552"/>
    </bk>
    <bk>
      <rc t="2" v="12553"/>
    </bk>
    <bk>
      <rc t="2" v="12554"/>
    </bk>
    <bk>
      <rc t="2" v="12555"/>
    </bk>
    <bk>
      <rc t="2" v="12556"/>
    </bk>
    <bk>
      <rc t="2" v="12557"/>
    </bk>
    <bk>
      <rc t="2" v="12558"/>
    </bk>
    <bk>
      <rc t="2" v="12559"/>
    </bk>
    <bk>
      <rc t="2" v="12560"/>
    </bk>
    <bk>
      <rc t="2" v="12561"/>
    </bk>
    <bk>
      <rc t="2" v="12562"/>
    </bk>
    <bk>
      <rc t="2" v="12563"/>
    </bk>
    <bk>
      <rc t="2" v="12564"/>
    </bk>
    <bk>
      <rc t="2" v="12565"/>
    </bk>
    <bk>
      <rc t="2" v="12566"/>
    </bk>
    <bk>
      <rc t="2" v="12567"/>
    </bk>
    <bk>
      <rc t="2" v="12568"/>
    </bk>
    <bk>
      <rc t="2" v="12569"/>
    </bk>
    <bk>
      <rc t="2" v="12570"/>
    </bk>
    <bk>
      <rc t="2" v="12571"/>
    </bk>
    <bk>
      <rc t="2" v="12572"/>
    </bk>
    <bk>
      <rc t="2" v="12573"/>
    </bk>
    <bk>
      <rc t="2" v="12574"/>
    </bk>
    <bk>
      <rc t="2" v="12575"/>
    </bk>
    <bk>
      <rc t="2" v="12576"/>
    </bk>
    <bk>
      <rc t="2" v="12577"/>
    </bk>
    <bk>
      <rc t="2" v="12578"/>
    </bk>
    <bk>
      <rc t="2" v="12579"/>
    </bk>
    <bk>
      <rc t="2" v="12580"/>
    </bk>
    <bk>
      <rc t="2" v="12581"/>
    </bk>
    <bk>
      <rc t="2" v="12582"/>
    </bk>
    <bk>
      <rc t="2" v="12583"/>
    </bk>
    <bk>
      <rc t="2" v="12584"/>
    </bk>
    <bk>
      <rc t="2" v="12585"/>
    </bk>
    <bk>
      <rc t="2" v="12586"/>
    </bk>
    <bk>
      <rc t="2" v="12587"/>
    </bk>
    <bk>
      <rc t="2" v="12588"/>
    </bk>
    <bk>
      <rc t="2" v="12589"/>
    </bk>
    <bk>
      <rc t="2" v="12590"/>
    </bk>
    <bk>
      <rc t="2" v="12591"/>
    </bk>
    <bk>
      <rc t="2" v="12592"/>
    </bk>
    <bk>
      <rc t="2" v="12593"/>
    </bk>
    <bk>
      <rc t="2" v="12594"/>
    </bk>
    <bk>
      <rc t="2" v="12595"/>
    </bk>
    <bk>
      <rc t="2" v="12596"/>
    </bk>
    <bk>
      <rc t="2" v="12597"/>
    </bk>
    <bk>
      <rc t="2" v="12598"/>
    </bk>
    <bk>
      <rc t="2" v="12599"/>
    </bk>
    <bk>
      <rc t="2" v="12600"/>
    </bk>
    <bk>
      <rc t="2" v="12601"/>
    </bk>
    <bk>
      <rc t="2" v="12602"/>
    </bk>
    <bk>
      <rc t="2" v="12603"/>
    </bk>
    <bk>
      <rc t="2" v="12604"/>
    </bk>
    <bk>
      <rc t="2" v="12605"/>
    </bk>
    <bk>
      <rc t="2" v="12606"/>
    </bk>
    <bk>
      <rc t="2" v="12607"/>
    </bk>
    <bk>
      <rc t="2" v="12608"/>
    </bk>
    <bk>
      <rc t="2" v="12609"/>
    </bk>
    <bk>
      <rc t="2" v="12610"/>
    </bk>
    <bk>
      <rc t="2" v="12611"/>
    </bk>
    <bk>
      <rc t="2" v="12612"/>
    </bk>
    <bk>
      <rc t="2" v="12613"/>
    </bk>
    <bk>
      <rc t="2" v="12614"/>
    </bk>
    <bk>
      <rc t="2" v="12615"/>
    </bk>
    <bk>
      <rc t="2" v="12616"/>
    </bk>
    <bk>
      <rc t="2" v="12617"/>
    </bk>
    <bk>
      <rc t="2" v="12618"/>
    </bk>
    <bk>
      <rc t="2" v="12619"/>
    </bk>
    <bk>
      <rc t="2" v="12620"/>
    </bk>
    <bk>
      <rc t="2" v="12621"/>
    </bk>
    <bk>
      <rc t="2" v="12622"/>
    </bk>
    <bk>
      <rc t="2" v="12623"/>
    </bk>
    <bk>
      <rc t="2" v="12624"/>
    </bk>
    <bk>
      <rc t="2" v="12625"/>
    </bk>
    <bk>
      <rc t="2" v="12626"/>
    </bk>
    <bk>
      <rc t="2" v="12627"/>
    </bk>
    <bk>
      <rc t="2" v="12628"/>
    </bk>
    <bk>
      <rc t="2" v="12629"/>
    </bk>
    <bk>
      <rc t="2" v="12630"/>
    </bk>
    <bk>
      <rc t="2" v="12631"/>
    </bk>
    <bk>
      <rc t="2" v="12632"/>
    </bk>
    <bk>
      <rc t="2" v="12633"/>
    </bk>
    <bk>
      <rc t="2" v="12634"/>
    </bk>
    <bk>
      <rc t="2" v="12635"/>
    </bk>
    <bk>
      <rc t="2" v="12636"/>
    </bk>
    <bk>
      <rc t="2" v="12637"/>
    </bk>
    <bk>
      <rc t="2" v="12638"/>
    </bk>
    <bk>
      <rc t="2" v="12639"/>
    </bk>
    <bk>
      <rc t="2" v="12640"/>
    </bk>
    <bk>
      <rc t="2" v="12641"/>
    </bk>
    <bk>
      <rc t="2" v="12642"/>
    </bk>
    <bk>
      <rc t="2" v="12643"/>
    </bk>
    <bk>
      <rc t="2" v="12644"/>
    </bk>
    <bk>
      <rc t="2" v="12645"/>
    </bk>
    <bk>
      <rc t="2" v="12646"/>
    </bk>
    <bk>
      <rc t="2" v="12647"/>
    </bk>
    <bk>
      <rc t="2" v="12648"/>
    </bk>
    <bk>
      <rc t="2" v="12649"/>
    </bk>
    <bk>
      <rc t="2" v="12650"/>
    </bk>
    <bk>
      <rc t="2" v="12651"/>
    </bk>
    <bk>
      <rc t="2" v="12652"/>
    </bk>
    <bk>
      <rc t="2" v="12653"/>
    </bk>
    <bk>
      <rc t="2" v="12654"/>
    </bk>
    <bk>
      <rc t="2" v="12655"/>
    </bk>
    <bk>
      <rc t="2" v="12656"/>
    </bk>
    <bk>
      <rc t="2" v="12657"/>
    </bk>
    <bk>
      <rc t="2" v="12658"/>
    </bk>
    <bk>
      <rc t="2" v="12659"/>
    </bk>
    <bk>
      <rc t="2" v="12660"/>
    </bk>
    <bk>
      <rc t="2" v="12661"/>
    </bk>
    <bk>
      <rc t="2" v="12662"/>
    </bk>
    <bk>
      <rc t="2" v="12663"/>
    </bk>
    <bk>
      <rc t="2" v="12664"/>
    </bk>
    <bk>
      <rc t="2" v="12665"/>
    </bk>
    <bk>
      <rc t="2" v="12666"/>
    </bk>
    <bk>
      <rc t="2" v="12667"/>
    </bk>
    <bk>
      <rc t="2" v="12668"/>
    </bk>
    <bk>
      <rc t="2" v="12669"/>
    </bk>
    <bk>
      <rc t="2" v="12670"/>
    </bk>
    <bk>
      <rc t="2" v="12671"/>
    </bk>
    <bk>
      <rc t="2" v="12672"/>
    </bk>
    <bk>
      <rc t="2" v="12673"/>
    </bk>
    <bk>
      <rc t="2" v="12674"/>
    </bk>
    <bk>
      <rc t="2" v="12675"/>
    </bk>
    <bk>
      <rc t="2" v="12676"/>
    </bk>
    <bk>
      <rc t="2" v="12677"/>
    </bk>
    <bk>
      <rc t="2" v="12678"/>
    </bk>
    <bk>
      <rc t="2" v="12679"/>
    </bk>
    <bk>
      <rc t="2" v="12680"/>
    </bk>
    <bk>
      <rc t="2" v="12681"/>
    </bk>
    <bk>
      <rc t="2" v="12682"/>
    </bk>
    <bk>
      <rc t="2" v="12683"/>
    </bk>
    <bk>
      <rc t="2" v="12684"/>
    </bk>
    <bk>
      <rc t="2" v="12685"/>
    </bk>
    <bk>
      <rc t="2" v="12686"/>
    </bk>
    <bk>
      <rc t="2" v="12687"/>
    </bk>
    <bk>
      <rc t="2" v="12688"/>
    </bk>
    <bk>
      <rc t="2" v="12689"/>
    </bk>
    <bk>
      <rc t="2" v="12690"/>
    </bk>
    <bk>
      <rc t="2" v="12691"/>
    </bk>
    <bk>
      <rc t="2" v="12692"/>
    </bk>
    <bk>
      <rc t="2" v="12693"/>
    </bk>
    <bk>
      <rc t="2" v="12694"/>
    </bk>
    <bk>
      <rc t="2" v="12695"/>
    </bk>
    <bk>
      <rc t="2" v="12696"/>
    </bk>
    <bk>
      <rc t="2" v="12697"/>
    </bk>
    <bk>
      <rc t="2" v="12698"/>
    </bk>
    <bk>
      <rc t="2" v="12699"/>
    </bk>
    <bk>
      <rc t="2" v="12700"/>
    </bk>
    <bk>
      <rc t="2" v="12701"/>
    </bk>
    <bk>
      <rc t="2" v="12702"/>
    </bk>
    <bk>
      <rc t="2" v="12703"/>
    </bk>
    <bk>
      <rc t="2" v="12704"/>
    </bk>
    <bk>
      <rc t="2" v="12705"/>
    </bk>
    <bk>
      <rc t="2" v="12706"/>
    </bk>
    <bk>
      <rc t="2" v="12707"/>
    </bk>
    <bk>
      <rc t="2" v="12708"/>
    </bk>
    <bk>
      <rc t="2" v="12709"/>
    </bk>
    <bk>
      <rc t="2" v="12710"/>
    </bk>
    <bk>
      <rc t="2" v="12711"/>
    </bk>
    <bk>
      <rc t="2" v="12712"/>
    </bk>
    <bk>
      <rc t="2" v="12713"/>
    </bk>
    <bk>
      <rc t="2" v="12714"/>
    </bk>
    <bk>
      <rc t="2" v="12715"/>
    </bk>
    <bk>
      <rc t="2" v="12716"/>
    </bk>
    <bk>
      <rc t="2" v="12717"/>
    </bk>
    <bk>
      <rc t="2" v="12718"/>
    </bk>
    <bk>
      <rc t="2" v="12719"/>
    </bk>
    <bk>
      <rc t="2" v="12720"/>
    </bk>
    <bk>
      <rc t="2" v="12721"/>
    </bk>
    <bk>
      <rc t="2" v="12722"/>
    </bk>
    <bk>
      <rc t="2" v="12723"/>
    </bk>
    <bk>
      <rc t="2" v="12724"/>
    </bk>
    <bk>
      <rc t="2" v="12725"/>
    </bk>
    <bk>
      <rc t="2" v="12726"/>
    </bk>
    <bk>
      <rc t="2" v="12727"/>
    </bk>
    <bk>
      <rc t="2" v="12728"/>
    </bk>
    <bk>
      <rc t="2" v="12729"/>
    </bk>
    <bk>
      <rc t="2" v="12730"/>
    </bk>
    <bk>
      <rc t="2" v="12731"/>
    </bk>
    <bk>
      <rc t="2" v="12732"/>
    </bk>
    <bk>
      <rc t="2" v="12733"/>
    </bk>
    <bk>
      <rc t="2" v="12734"/>
    </bk>
    <bk>
      <rc t="2" v="12735"/>
    </bk>
    <bk>
      <rc t="2" v="12736"/>
    </bk>
    <bk>
      <rc t="2" v="12737"/>
    </bk>
    <bk>
      <rc t="2" v="12738"/>
    </bk>
    <bk>
      <rc t="2" v="12739"/>
    </bk>
    <bk>
      <rc t="2" v="12740"/>
    </bk>
    <bk>
      <rc t="2" v="12741"/>
    </bk>
    <bk>
      <rc t="2" v="12742"/>
    </bk>
    <bk>
      <rc t="2" v="12743"/>
    </bk>
    <bk>
      <rc t="2" v="12744"/>
    </bk>
    <bk>
      <rc t="2" v="12745"/>
    </bk>
    <bk>
      <rc t="2" v="12746"/>
    </bk>
    <bk>
      <rc t="2" v="12747"/>
    </bk>
    <bk>
      <rc t="2" v="12748"/>
    </bk>
    <bk>
      <rc t="2" v="12749"/>
    </bk>
    <bk>
      <rc t="2" v="12750"/>
    </bk>
    <bk>
      <rc t="2" v="12751"/>
    </bk>
    <bk>
      <rc t="2" v="12752"/>
    </bk>
    <bk>
      <rc t="2" v="12753"/>
    </bk>
    <bk>
      <rc t="2" v="12754"/>
    </bk>
    <bk>
      <rc t="2" v="12755"/>
    </bk>
    <bk>
      <rc t="2" v="12756"/>
    </bk>
    <bk>
      <rc t="2" v="12757"/>
    </bk>
    <bk>
      <rc t="2" v="12758"/>
    </bk>
    <bk>
      <rc t="2" v="12759"/>
    </bk>
    <bk>
      <rc t="2" v="12760"/>
    </bk>
    <bk>
      <rc t="2" v="12761"/>
    </bk>
    <bk>
      <rc t="2" v="12762"/>
    </bk>
    <bk>
      <rc t="2" v="12763"/>
    </bk>
    <bk>
      <rc t="2" v="12764"/>
    </bk>
    <bk>
      <rc t="2" v="12765"/>
    </bk>
    <bk>
      <rc t="2" v="12766"/>
    </bk>
    <bk>
      <rc t="2" v="12767"/>
    </bk>
    <bk>
      <rc t="2" v="12768"/>
    </bk>
    <bk>
      <rc t="2" v="12769"/>
    </bk>
    <bk>
      <rc t="2" v="12770"/>
    </bk>
    <bk>
      <rc t="2" v="12771"/>
    </bk>
    <bk>
      <rc t="2" v="12772"/>
    </bk>
    <bk>
      <rc t="2" v="12773"/>
    </bk>
    <bk>
      <rc t="2" v="12774"/>
    </bk>
    <bk>
      <rc t="2" v="12775"/>
    </bk>
    <bk>
      <rc t="2" v="12776"/>
    </bk>
    <bk>
      <rc t="2" v="12777"/>
    </bk>
    <bk>
      <rc t="2" v="12778"/>
    </bk>
    <bk>
      <rc t="2" v="12779"/>
    </bk>
    <bk>
      <rc t="2" v="12780"/>
    </bk>
    <bk>
      <rc t="2" v="12781"/>
    </bk>
    <bk>
      <rc t="2" v="12782"/>
    </bk>
    <bk>
      <rc t="2" v="12783"/>
    </bk>
    <bk>
      <rc t="2" v="12784"/>
    </bk>
    <bk>
      <rc t="2" v="12785"/>
    </bk>
    <bk>
      <rc t="2" v="12786"/>
    </bk>
    <bk>
      <rc t="2" v="12787"/>
    </bk>
    <bk>
      <rc t="2" v="12788"/>
    </bk>
    <bk>
      <rc t="2" v="12789"/>
    </bk>
    <bk>
      <rc t="2" v="12790"/>
    </bk>
    <bk>
      <rc t="2" v="12791"/>
    </bk>
    <bk>
      <rc t="2" v="12792"/>
    </bk>
    <bk>
      <rc t="2" v="12793"/>
    </bk>
    <bk>
      <rc t="2" v="12794"/>
    </bk>
    <bk>
      <rc t="2" v="12795"/>
    </bk>
    <bk>
      <rc t="2" v="12796"/>
    </bk>
    <bk>
      <rc t="2" v="12797"/>
    </bk>
    <bk>
      <rc t="2" v="12798"/>
    </bk>
    <bk>
      <rc t="2" v="12799"/>
    </bk>
    <bk>
      <rc t="2" v="12800"/>
    </bk>
    <bk>
      <rc t="2" v="12801"/>
    </bk>
    <bk>
      <rc t="2" v="12802"/>
    </bk>
    <bk>
      <rc t="2" v="12803"/>
    </bk>
    <bk>
      <rc t="2" v="12804"/>
    </bk>
    <bk>
      <rc t="2" v="12805"/>
    </bk>
    <bk>
      <rc t="2" v="12806"/>
    </bk>
    <bk>
      <rc t="2" v="12807"/>
    </bk>
    <bk>
      <rc t="2" v="12808"/>
    </bk>
    <bk>
      <rc t="2" v="12809"/>
    </bk>
    <bk>
      <rc t="2" v="12810"/>
    </bk>
    <bk>
      <rc t="2" v="12811"/>
    </bk>
    <bk>
      <rc t="2" v="12812"/>
    </bk>
    <bk>
      <rc t="2" v="12813"/>
    </bk>
    <bk>
      <rc t="2" v="12814"/>
    </bk>
    <bk>
      <rc t="2" v="12815"/>
    </bk>
    <bk>
      <rc t="2" v="12816"/>
    </bk>
    <bk>
      <rc t="2" v="12817"/>
    </bk>
    <bk>
      <rc t="2" v="12818"/>
    </bk>
    <bk>
      <rc t="2" v="12819"/>
    </bk>
    <bk>
      <rc t="2" v="12820"/>
    </bk>
    <bk>
      <rc t="2" v="12821"/>
    </bk>
    <bk>
      <rc t="2" v="12822"/>
    </bk>
    <bk>
      <rc t="2" v="12823"/>
    </bk>
    <bk>
      <rc t="2" v="12824"/>
    </bk>
    <bk>
      <rc t="2" v="12825"/>
    </bk>
    <bk>
      <rc t="2" v="12826"/>
    </bk>
    <bk>
      <rc t="2" v="12827"/>
    </bk>
    <bk>
      <rc t="2" v="12828"/>
    </bk>
    <bk>
      <rc t="2" v="12829"/>
    </bk>
    <bk>
      <rc t="2" v="12830"/>
    </bk>
    <bk>
      <rc t="2" v="12831"/>
    </bk>
    <bk>
      <rc t="2" v="12832"/>
    </bk>
    <bk>
      <rc t="2" v="12833"/>
    </bk>
    <bk>
      <rc t="2" v="12834"/>
    </bk>
    <bk>
      <rc t="2" v="12835"/>
    </bk>
    <bk>
      <rc t="2" v="12836"/>
    </bk>
    <bk>
      <rc t="2" v="12837"/>
    </bk>
    <bk>
      <rc t="2" v="12838"/>
    </bk>
    <bk>
      <rc t="2" v="12839"/>
    </bk>
    <bk>
      <rc t="2" v="12840"/>
    </bk>
    <bk>
      <rc t="2" v="12841"/>
    </bk>
    <bk>
      <rc t="2" v="12842"/>
    </bk>
    <bk>
      <rc t="2" v="12843"/>
    </bk>
    <bk>
      <rc t="2" v="12844"/>
    </bk>
    <bk>
      <rc t="2" v="12845"/>
    </bk>
    <bk>
      <rc t="2" v="12846"/>
    </bk>
    <bk>
      <rc t="2" v="12847"/>
    </bk>
    <bk>
      <rc t="2" v="12848"/>
    </bk>
    <bk>
      <rc t="2" v="12849"/>
    </bk>
    <bk>
      <rc t="2" v="12850"/>
    </bk>
    <bk>
      <rc t="2" v="12851"/>
    </bk>
    <bk>
      <rc t="2" v="12852"/>
    </bk>
    <bk>
      <rc t="2" v="12853"/>
    </bk>
    <bk>
      <rc t="2" v="12854"/>
    </bk>
    <bk>
      <rc t="2" v="12855"/>
    </bk>
    <bk>
      <rc t="2" v="12856"/>
    </bk>
    <bk>
      <rc t="2" v="12857"/>
    </bk>
    <bk>
      <rc t="2" v="12858"/>
    </bk>
    <bk>
      <rc t="2" v="12859"/>
    </bk>
    <bk>
      <rc t="2" v="12860"/>
    </bk>
    <bk>
      <rc t="2" v="12861"/>
    </bk>
    <bk>
      <rc t="2" v="12862"/>
    </bk>
    <bk>
      <rc t="2" v="12863"/>
    </bk>
    <bk>
      <rc t="2" v="12864"/>
    </bk>
    <bk>
      <rc t="2" v="12865"/>
    </bk>
    <bk>
      <rc t="2" v="12866"/>
    </bk>
    <bk>
      <rc t="2" v="12867"/>
    </bk>
    <bk>
      <rc t="2" v="12868"/>
    </bk>
    <bk>
      <rc t="2" v="12869"/>
    </bk>
    <bk>
      <rc t="2" v="12870"/>
    </bk>
    <bk>
      <rc t="2" v="12871"/>
    </bk>
    <bk>
      <rc t="2" v="12872"/>
    </bk>
    <bk>
      <rc t="2" v="12873"/>
    </bk>
    <bk>
      <rc t="2" v="12874"/>
    </bk>
    <bk>
      <rc t="2" v="12875"/>
    </bk>
    <bk>
      <rc t="2" v="12876"/>
    </bk>
    <bk>
      <rc t="2" v="12877"/>
    </bk>
    <bk>
      <rc t="2" v="12878"/>
    </bk>
    <bk>
      <rc t="2" v="12879"/>
    </bk>
    <bk>
      <rc t="2" v="12880"/>
    </bk>
    <bk>
      <rc t="2" v="12881"/>
    </bk>
    <bk>
      <rc t="2" v="12882"/>
    </bk>
    <bk>
      <rc t="2" v="12883"/>
    </bk>
    <bk>
      <rc t="2" v="12884"/>
    </bk>
    <bk>
      <rc t="2" v="12885"/>
    </bk>
    <bk>
      <rc t="2" v="12886"/>
    </bk>
    <bk>
      <rc t="2" v="12887"/>
    </bk>
    <bk>
      <rc t="2" v="12888"/>
    </bk>
    <bk>
      <rc t="2" v="12889"/>
    </bk>
    <bk>
      <rc t="2" v="12890"/>
    </bk>
    <bk>
      <rc t="2" v="12891"/>
    </bk>
    <bk>
      <rc t="2" v="12892"/>
    </bk>
    <bk>
      <rc t="2" v="12893"/>
    </bk>
    <bk>
      <rc t="2" v="12894"/>
    </bk>
    <bk>
      <rc t="2" v="12895"/>
    </bk>
    <bk>
      <rc t="2" v="12896"/>
    </bk>
    <bk>
      <rc t="2" v="12897"/>
    </bk>
    <bk>
      <rc t="2" v="12898"/>
    </bk>
    <bk>
      <rc t="2" v="12899"/>
    </bk>
    <bk>
      <rc t="2" v="12900"/>
    </bk>
    <bk>
      <rc t="2" v="12901"/>
    </bk>
    <bk>
      <rc t="2" v="12902"/>
    </bk>
    <bk>
      <rc t="2" v="12903"/>
    </bk>
    <bk>
      <rc t="2" v="12904"/>
    </bk>
    <bk>
      <rc t="2" v="12905"/>
    </bk>
    <bk>
      <rc t="2" v="12906"/>
    </bk>
    <bk>
      <rc t="2" v="12907"/>
    </bk>
    <bk>
      <rc t="2" v="12908"/>
    </bk>
    <bk>
      <rc t="2" v="12909"/>
    </bk>
    <bk>
      <rc t="2" v="12910"/>
    </bk>
    <bk>
      <rc t="2" v="12911"/>
    </bk>
    <bk>
      <rc t="2" v="12912"/>
    </bk>
    <bk>
      <rc t="2" v="12913"/>
    </bk>
    <bk>
      <rc t="2" v="12914"/>
    </bk>
    <bk>
      <rc t="2" v="12915"/>
    </bk>
    <bk>
      <rc t="2" v="12916"/>
    </bk>
    <bk>
      <rc t="2" v="12917"/>
    </bk>
    <bk>
      <rc t="2" v="12918"/>
    </bk>
    <bk>
      <rc t="2" v="12919"/>
    </bk>
    <bk>
      <rc t="2" v="12920"/>
    </bk>
    <bk>
      <rc t="2" v="12921"/>
    </bk>
    <bk>
      <rc t="2" v="12922"/>
    </bk>
    <bk>
      <rc t="2" v="12923"/>
    </bk>
    <bk>
      <rc t="2" v="12924"/>
    </bk>
    <bk>
      <rc t="2" v="12925"/>
    </bk>
    <bk>
      <rc t="2" v="12926"/>
    </bk>
    <bk>
      <rc t="2" v="12927"/>
    </bk>
    <bk>
      <rc t="2" v="12928"/>
    </bk>
    <bk>
      <rc t="2" v="12929"/>
    </bk>
    <bk>
      <rc t="2" v="12930"/>
    </bk>
    <bk>
      <rc t="2" v="12931"/>
    </bk>
    <bk>
      <rc t="2" v="12932"/>
    </bk>
    <bk>
      <rc t="2" v="12933"/>
    </bk>
    <bk>
      <rc t="2" v="12934"/>
    </bk>
    <bk>
      <rc t="2" v="12935"/>
    </bk>
    <bk>
      <rc t="2" v="12936"/>
    </bk>
    <bk>
      <rc t="2" v="12937"/>
    </bk>
    <bk>
      <rc t="2" v="12938"/>
    </bk>
    <bk>
      <rc t="2" v="12939"/>
    </bk>
    <bk>
      <rc t="2" v="12940"/>
    </bk>
    <bk>
      <rc t="2" v="12941"/>
    </bk>
    <bk>
      <rc t="2" v="12942"/>
    </bk>
    <bk>
      <rc t="2" v="12943"/>
    </bk>
    <bk>
      <rc t="2" v="12944"/>
    </bk>
    <bk>
      <rc t="2" v="12945"/>
    </bk>
    <bk>
      <rc t="2" v="12946"/>
    </bk>
    <bk>
      <rc t="2" v="12947"/>
    </bk>
    <bk>
      <rc t="2" v="12948"/>
    </bk>
    <bk>
      <rc t="2" v="12949"/>
    </bk>
    <bk>
      <rc t="2" v="12950"/>
    </bk>
    <bk>
      <rc t="2" v="12951"/>
    </bk>
    <bk>
      <rc t="2" v="12952"/>
    </bk>
    <bk>
      <rc t="2" v="12953"/>
    </bk>
    <bk>
      <rc t="2" v="12954"/>
    </bk>
    <bk>
      <rc t="2" v="12955"/>
    </bk>
    <bk>
      <rc t="2" v="12956"/>
    </bk>
    <bk>
      <rc t="2" v="12957"/>
    </bk>
    <bk>
      <rc t="2" v="12958"/>
    </bk>
    <bk>
      <rc t="2" v="12959"/>
    </bk>
    <bk>
      <rc t="2" v="12960"/>
    </bk>
    <bk>
      <rc t="2" v="12961"/>
    </bk>
    <bk>
      <rc t="2" v="12962"/>
    </bk>
    <bk>
      <rc t="2" v="12963"/>
    </bk>
    <bk>
      <rc t="2" v="12964"/>
    </bk>
    <bk>
      <rc t="2" v="12965"/>
    </bk>
    <bk>
      <rc t="2" v="12966"/>
    </bk>
    <bk>
      <rc t="2" v="12967"/>
    </bk>
    <bk>
      <rc t="2" v="12968"/>
    </bk>
    <bk>
      <rc t="2" v="12969"/>
    </bk>
    <bk>
      <rc t="2" v="12970"/>
    </bk>
    <bk>
      <rc t="2" v="12971"/>
    </bk>
    <bk>
      <rc t="2" v="12972"/>
    </bk>
    <bk>
      <rc t="2" v="12973"/>
    </bk>
    <bk>
      <rc t="2" v="12974"/>
    </bk>
    <bk>
      <rc t="2" v="12975"/>
    </bk>
    <bk>
      <rc t="2" v="12976"/>
    </bk>
    <bk>
      <rc t="2" v="12977"/>
    </bk>
    <bk>
      <rc t="2" v="12978"/>
    </bk>
    <bk>
      <rc t="2" v="12979"/>
    </bk>
    <bk>
      <rc t="2" v="12980"/>
    </bk>
    <bk>
      <rc t="2" v="12981"/>
    </bk>
    <bk>
      <rc t="2" v="12982"/>
    </bk>
    <bk>
      <rc t="2" v="12983"/>
    </bk>
    <bk>
      <rc t="2" v="12984"/>
    </bk>
    <bk>
      <rc t="2" v="12985"/>
    </bk>
    <bk>
      <rc t="2" v="12986"/>
    </bk>
    <bk>
      <rc t="2" v="12987"/>
    </bk>
    <bk>
      <rc t="2" v="12988"/>
    </bk>
    <bk>
      <rc t="2" v="12989"/>
    </bk>
    <bk>
      <rc t="2" v="12990"/>
    </bk>
    <bk>
      <rc t="2" v="12991"/>
    </bk>
    <bk>
      <rc t="2" v="12992"/>
    </bk>
    <bk>
      <rc t="2" v="12993"/>
    </bk>
    <bk>
      <rc t="2" v="12994"/>
    </bk>
    <bk>
      <rc t="2" v="12995"/>
    </bk>
    <bk>
      <rc t="2" v="12996"/>
    </bk>
    <bk>
      <rc t="2" v="12997"/>
    </bk>
    <bk>
      <rc t="2" v="12998"/>
    </bk>
    <bk>
      <rc t="2" v="12999"/>
    </bk>
    <bk>
      <rc t="2" v="13000"/>
    </bk>
    <bk>
      <rc t="2" v="13001"/>
    </bk>
    <bk>
      <rc t="2" v="13002"/>
    </bk>
    <bk>
      <rc t="2" v="13003"/>
    </bk>
    <bk>
      <rc t="2" v="13004"/>
    </bk>
    <bk>
      <rc t="2" v="13005"/>
    </bk>
    <bk>
      <rc t="2" v="13006"/>
    </bk>
    <bk>
      <rc t="2" v="13007"/>
    </bk>
    <bk>
      <rc t="2" v="13008"/>
    </bk>
    <bk>
      <rc t="2" v="13009"/>
    </bk>
    <bk>
      <rc t="2" v="13010"/>
    </bk>
    <bk>
      <rc t="2" v="13011"/>
    </bk>
    <bk>
      <rc t="2" v="13012"/>
    </bk>
    <bk>
      <rc t="2" v="13013"/>
    </bk>
    <bk>
      <rc t="2" v="13014"/>
    </bk>
    <bk>
      <rc t="2" v="13015"/>
    </bk>
    <bk>
      <rc t="2" v="13016"/>
    </bk>
    <bk>
      <rc t="2" v="13017"/>
    </bk>
    <bk>
      <rc t="2" v="13018"/>
    </bk>
    <bk>
      <rc t="2" v="13019"/>
    </bk>
    <bk>
      <rc t="2" v="13020"/>
    </bk>
    <bk>
      <rc t="2" v="13021"/>
    </bk>
    <bk>
      <rc t="2" v="13022"/>
    </bk>
    <bk>
      <rc t="2" v="13023"/>
    </bk>
    <bk>
      <rc t="2" v="13024"/>
    </bk>
    <bk>
      <rc t="2" v="13025"/>
    </bk>
    <bk>
      <rc t="2" v="13026"/>
    </bk>
    <bk>
      <rc t="2" v="13027"/>
    </bk>
    <bk>
      <rc t="2" v="13028"/>
    </bk>
    <bk>
      <rc t="2" v="13029"/>
    </bk>
    <bk>
      <rc t="2" v="13030"/>
    </bk>
    <bk>
      <rc t="2" v="13031"/>
    </bk>
    <bk>
      <rc t="2" v="13032"/>
    </bk>
    <bk>
      <rc t="2" v="13033"/>
    </bk>
    <bk>
      <rc t="2" v="13034"/>
    </bk>
    <bk>
      <rc t="2" v="13035"/>
    </bk>
    <bk>
      <rc t="2" v="13036"/>
    </bk>
    <bk>
      <rc t="2" v="13037"/>
    </bk>
    <bk>
      <rc t="2" v="13038"/>
    </bk>
    <bk>
      <rc t="2" v="13039"/>
    </bk>
    <bk>
      <rc t="2" v="13040"/>
    </bk>
    <bk>
      <rc t="2" v="13041"/>
    </bk>
    <bk>
      <rc t="2" v="13042"/>
    </bk>
    <bk>
      <rc t="2" v="13043"/>
    </bk>
    <bk>
      <rc t="2" v="13044"/>
    </bk>
    <bk>
      <rc t="2" v="13045"/>
    </bk>
    <bk>
      <rc t="2" v="13046"/>
    </bk>
    <bk>
      <rc t="2" v="13047"/>
    </bk>
    <bk>
      <rc t="2" v="13048"/>
    </bk>
    <bk>
      <rc t="2" v="13049"/>
    </bk>
    <bk>
      <rc t="2" v="13050"/>
    </bk>
    <bk>
      <rc t="2" v="13051"/>
    </bk>
    <bk>
      <rc t="2" v="13052"/>
    </bk>
    <bk>
      <rc t="2" v="13053"/>
    </bk>
    <bk>
      <rc t="2" v="13054"/>
    </bk>
    <bk>
      <rc t="2" v="13055"/>
    </bk>
    <bk>
      <rc t="2" v="13056"/>
    </bk>
    <bk>
      <rc t="2" v="13057"/>
    </bk>
    <bk>
      <rc t="2" v="13058"/>
    </bk>
    <bk>
      <rc t="2" v="13059"/>
    </bk>
    <bk>
      <rc t="2" v="13060"/>
    </bk>
    <bk>
      <rc t="2" v="13061"/>
    </bk>
    <bk>
      <rc t="2" v="13062"/>
    </bk>
    <bk>
      <rc t="2" v="13063"/>
    </bk>
    <bk>
      <rc t="2" v="13064"/>
    </bk>
    <bk>
      <rc t="2" v="13065"/>
    </bk>
    <bk>
      <rc t="2" v="13066"/>
    </bk>
    <bk>
      <rc t="2" v="13067"/>
    </bk>
    <bk>
      <rc t="2" v="13068"/>
    </bk>
    <bk>
      <rc t="2" v="13069"/>
    </bk>
    <bk>
      <rc t="2" v="13070"/>
    </bk>
    <bk>
      <rc t="2" v="13071"/>
    </bk>
    <bk>
      <rc t="2" v="13072"/>
    </bk>
    <bk>
      <rc t="2" v="13073"/>
    </bk>
    <bk>
      <rc t="2" v="13074"/>
    </bk>
    <bk>
      <rc t="2" v="13075"/>
    </bk>
    <bk>
      <rc t="2" v="13076"/>
    </bk>
    <bk>
      <rc t="2" v="13077"/>
    </bk>
    <bk>
      <rc t="2" v="13078"/>
    </bk>
    <bk>
      <rc t="2" v="13079"/>
    </bk>
    <bk>
      <rc t="2" v="13080"/>
    </bk>
    <bk>
      <rc t="2" v="13081"/>
    </bk>
    <bk>
      <rc t="2" v="13082"/>
    </bk>
    <bk>
      <rc t="2" v="13083"/>
    </bk>
    <bk>
      <rc t="2" v="13084"/>
    </bk>
    <bk>
      <rc t="2" v="13085"/>
    </bk>
    <bk>
      <rc t="2" v="13086"/>
    </bk>
    <bk>
      <rc t="2" v="13087"/>
    </bk>
    <bk>
      <rc t="2" v="13088"/>
    </bk>
    <bk>
      <rc t="2" v="13089"/>
    </bk>
    <bk>
      <rc t="2" v="13090"/>
    </bk>
    <bk>
      <rc t="2" v="13091"/>
    </bk>
    <bk>
      <rc t="2" v="13092"/>
    </bk>
    <bk>
      <rc t="2" v="13093"/>
    </bk>
    <bk>
      <rc t="2" v="13094"/>
    </bk>
    <bk>
      <rc t="2" v="13095"/>
    </bk>
    <bk>
      <rc t="2" v="13096"/>
    </bk>
    <bk>
      <rc t="2" v="13097"/>
    </bk>
    <bk>
      <rc t="2" v="13098"/>
    </bk>
    <bk>
      <rc t="2" v="13099"/>
    </bk>
    <bk>
      <rc t="2" v="13100"/>
    </bk>
    <bk>
      <rc t="2" v="13101"/>
    </bk>
    <bk>
      <rc t="2" v="13102"/>
    </bk>
    <bk>
      <rc t="2" v="13103"/>
    </bk>
    <bk>
      <rc t="2" v="13104"/>
    </bk>
    <bk>
      <rc t="2" v="13105"/>
    </bk>
    <bk>
      <rc t="2" v="13106"/>
    </bk>
    <bk>
      <rc t="2" v="13107"/>
    </bk>
    <bk>
      <rc t="2" v="13108"/>
    </bk>
    <bk>
      <rc t="2" v="13109"/>
    </bk>
    <bk>
      <rc t="2" v="13110"/>
    </bk>
    <bk>
      <rc t="2" v="13111"/>
    </bk>
    <bk>
      <rc t="2" v="13112"/>
    </bk>
    <bk>
      <rc t="2" v="13113"/>
    </bk>
    <bk>
      <rc t="2" v="13114"/>
    </bk>
    <bk>
      <rc t="2" v="13115"/>
    </bk>
    <bk>
      <rc t="2" v="13116"/>
    </bk>
    <bk>
      <rc t="2" v="13117"/>
    </bk>
    <bk>
      <rc t="2" v="13118"/>
    </bk>
    <bk>
      <rc t="2" v="13119"/>
    </bk>
    <bk>
      <rc t="2" v="13120"/>
    </bk>
    <bk>
      <rc t="2" v="13121"/>
    </bk>
    <bk>
      <rc t="2" v="13122"/>
    </bk>
    <bk>
      <rc t="2" v="13123"/>
    </bk>
    <bk>
      <rc t="2" v="13124"/>
    </bk>
    <bk>
      <rc t="2" v="13125"/>
    </bk>
    <bk>
      <rc t="2" v="13126"/>
    </bk>
    <bk>
      <rc t="2" v="13127"/>
    </bk>
    <bk>
      <rc t="2" v="13128"/>
    </bk>
    <bk>
      <rc t="2" v="13129"/>
    </bk>
    <bk>
      <rc t="2" v="13130"/>
    </bk>
    <bk>
      <rc t="2" v="13131"/>
    </bk>
    <bk>
      <rc t="2" v="13132"/>
    </bk>
    <bk>
      <rc t="2" v="13133"/>
    </bk>
    <bk>
      <rc t="2" v="13134"/>
    </bk>
    <bk>
      <rc t="2" v="13135"/>
    </bk>
    <bk>
      <rc t="2" v="13136"/>
    </bk>
    <bk>
      <rc t="2" v="13137"/>
    </bk>
    <bk>
      <rc t="2" v="13138"/>
    </bk>
    <bk>
      <rc t="2" v="13139"/>
    </bk>
    <bk>
      <rc t="2" v="13140"/>
    </bk>
    <bk>
      <rc t="2" v="13141"/>
    </bk>
    <bk>
      <rc t="2" v="13142"/>
    </bk>
    <bk>
      <rc t="2" v="13143"/>
    </bk>
    <bk>
      <rc t="2" v="13144"/>
    </bk>
    <bk>
      <rc t="2" v="13145"/>
    </bk>
    <bk>
      <rc t="2" v="13146"/>
    </bk>
    <bk>
      <rc t="2" v="13147"/>
    </bk>
    <bk>
      <rc t="2" v="13148"/>
    </bk>
    <bk>
      <rc t="2" v="13149"/>
    </bk>
    <bk>
      <rc t="2" v="13150"/>
    </bk>
    <bk>
      <rc t="2" v="13151"/>
    </bk>
    <bk>
      <rc t="2" v="13152"/>
    </bk>
    <bk>
      <rc t="2" v="13153"/>
    </bk>
    <bk>
      <rc t="2" v="13154"/>
    </bk>
    <bk>
      <rc t="2" v="13155"/>
    </bk>
    <bk>
      <rc t="2" v="13156"/>
    </bk>
    <bk>
      <rc t="2" v="13157"/>
    </bk>
    <bk>
      <rc t="2" v="13158"/>
    </bk>
    <bk>
      <rc t="2" v="13159"/>
    </bk>
    <bk>
      <rc t="2" v="13160"/>
    </bk>
    <bk>
      <rc t="2" v="13161"/>
    </bk>
    <bk>
      <rc t="2" v="13162"/>
    </bk>
    <bk>
      <rc t="2" v="13163"/>
    </bk>
    <bk>
      <rc t="2" v="13164"/>
    </bk>
    <bk>
      <rc t="2" v="13165"/>
    </bk>
    <bk>
      <rc t="2" v="13166"/>
    </bk>
    <bk>
      <rc t="2" v="13167"/>
    </bk>
    <bk>
      <rc t="2" v="13168"/>
    </bk>
    <bk>
      <rc t="2" v="13169"/>
    </bk>
    <bk>
      <rc t="2" v="13170"/>
    </bk>
    <bk>
      <rc t="2" v="13171"/>
    </bk>
    <bk>
      <rc t="2" v="13172"/>
    </bk>
    <bk>
      <rc t="2" v="13173"/>
    </bk>
    <bk>
      <rc t="2" v="13174"/>
    </bk>
    <bk>
      <rc t="2" v="13175"/>
    </bk>
    <bk>
      <rc t="2" v="13176"/>
    </bk>
    <bk>
      <rc t="2" v="13177"/>
    </bk>
    <bk>
      <rc t="2" v="13178"/>
    </bk>
    <bk>
      <rc t="2" v="13179"/>
    </bk>
    <bk>
      <rc t="2" v="13180"/>
    </bk>
    <bk>
      <rc t="2" v="13181"/>
    </bk>
    <bk>
      <rc t="2" v="13182"/>
    </bk>
    <bk>
      <rc t="2" v="13183"/>
    </bk>
    <bk>
      <rc t="2" v="13184"/>
    </bk>
    <bk>
      <rc t="2" v="13185"/>
    </bk>
    <bk>
      <rc t="2" v="13186"/>
    </bk>
    <bk>
      <rc t="2" v="13187"/>
    </bk>
    <bk>
      <rc t="2" v="13188"/>
    </bk>
    <bk>
      <rc t="2" v="13189"/>
    </bk>
    <bk>
      <rc t="2" v="13190"/>
    </bk>
    <bk>
      <rc t="2" v="13191"/>
    </bk>
    <bk>
      <rc t="2" v="13192"/>
    </bk>
    <bk>
      <rc t="2" v="13193"/>
    </bk>
    <bk>
      <rc t="2" v="13194"/>
    </bk>
    <bk>
      <rc t="2" v="13195"/>
    </bk>
    <bk>
      <rc t="2" v="13196"/>
    </bk>
    <bk>
      <rc t="2" v="13197"/>
    </bk>
    <bk>
      <rc t="2" v="13198"/>
    </bk>
    <bk>
      <rc t="2" v="13199"/>
    </bk>
    <bk>
      <rc t="2" v="13200"/>
    </bk>
    <bk>
      <rc t="2" v="13201"/>
    </bk>
    <bk>
      <rc t="2" v="13202"/>
    </bk>
    <bk>
      <rc t="2" v="13203"/>
    </bk>
    <bk>
      <rc t="2" v="13204"/>
    </bk>
    <bk>
      <rc t="2" v="13205"/>
    </bk>
    <bk>
      <rc t="2" v="13206"/>
    </bk>
    <bk>
      <rc t="2" v="13207"/>
    </bk>
    <bk>
      <rc t="2" v="13208"/>
    </bk>
    <bk>
      <rc t="2" v="13209"/>
    </bk>
    <bk>
      <rc t="2" v="13210"/>
    </bk>
    <bk>
      <rc t="2" v="13211"/>
    </bk>
    <bk>
      <rc t="2" v="13212"/>
    </bk>
    <bk>
      <rc t="2" v="13213"/>
    </bk>
    <bk>
      <rc t="2" v="13214"/>
    </bk>
    <bk>
      <rc t="2" v="13215"/>
    </bk>
    <bk>
      <rc t="2" v="13216"/>
    </bk>
    <bk>
      <rc t="2" v="13217"/>
    </bk>
    <bk>
      <rc t="2" v="13218"/>
    </bk>
    <bk>
      <rc t="2" v="13219"/>
    </bk>
    <bk>
      <rc t="2" v="13220"/>
    </bk>
    <bk>
      <rc t="2" v="13221"/>
    </bk>
    <bk>
      <rc t="2" v="13222"/>
    </bk>
    <bk>
      <rc t="2" v="13223"/>
    </bk>
    <bk>
      <rc t="2" v="13224"/>
    </bk>
    <bk>
      <rc t="2" v="13225"/>
    </bk>
    <bk>
      <rc t="2" v="13226"/>
    </bk>
    <bk>
      <rc t="2" v="13227"/>
    </bk>
    <bk>
      <rc t="2" v="13228"/>
    </bk>
    <bk>
      <rc t="2" v="13229"/>
    </bk>
    <bk>
      <rc t="2" v="13230"/>
    </bk>
    <bk>
      <rc t="2" v="13231"/>
    </bk>
    <bk>
      <rc t="2" v="13232"/>
    </bk>
    <bk>
      <rc t="2" v="13233"/>
    </bk>
    <bk>
      <rc t="2" v="13234"/>
    </bk>
    <bk>
      <rc t="2" v="13235"/>
    </bk>
    <bk>
      <rc t="2" v="13236"/>
    </bk>
    <bk>
      <rc t="2" v="13237"/>
    </bk>
    <bk>
      <rc t="2" v="13238"/>
    </bk>
    <bk>
      <rc t="2" v="13239"/>
    </bk>
    <bk>
      <rc t="2" v="13240"/>
    </bk>
    <bk>
      <rc t="2" v="13241"/>
    </bk>
    <bk>
      <rc t="2" v="13242"/>
    </bk>
    <bk>
      <rc t="2" v="13243"/>
    </bk>
    <bk>
      <rc t="2" v="13244"/>
    </bk>
    <bk>
      <rc t="2" v="13245"/>
    </bk>
    <bk>
      <rc t="2" v="13246"/>
    </bk>
    <bk>
      <rc t="2" v="13247"/>
    </bk>
    <bk>
      <rc t="2" v="13248"/>
    </bk>
    <bk>
      <rc t="2" v="13249"/>
    </bk>
    <bk>
      <rc t="2" v="13250"/>
    </bk>
    <bk>
      <rc t="2" v="13251"/>
    </bk>
    <bk>
      <rc t="2" v="13252"/>
    </bk>
    <bk>
      <rc t="2" v="13253"/>
    </bk>
    <bk>
      <rc t="2" v="13254"/>
    </bk>
    <bk>
      <rc t="2" v="13255"/>
    </bk>
    <bk>
      <rc t="2" v="13256"/>
    </bk>
    <bk>
      <rc t="2" v="13257"/>
    </bk>
    <bk>
      <rc t="2" v="13258"/>
    </bk>
    <bk>
      <rc t="2" v="13259"/>
    </bk>
    <bk>
      <rc t="2" v="13260"/>
    </bk>
    <bk>
      <rc t="2" v="13261"/>
    </bk>
    <bk>
      <rc t="2" v="13262"/>
    </bk>
    <bk>
      <rc t="2" v="13263"/>
    </bk>
    <bk>
      <rc t="2" v="13264"/>
    </bk>
    <bk>
      <rc t="2" v="13265"/>
    </bk>
    <bk>
      <rc t="2" v="13266"/>
    </bk>
    <bk>
      <rc t="2" v="13267"/>
    </bk>
    <bk>
      <rc t="2" v="13268"/>
    </bk>
    <bk>
      <rc t="2" v="13269"/>
    </bk>
    <bk>
      <rc t="2" v="13270"/>
    </bk>
    <bk>
      <rc t="2" v="13271"/>
    </bk>
    <bk>
      <rc t="2" v="13272"/>
    </bk>
    <bk>
      <rc t="2" v="13273"/>
    </bk>
    <bk>
      <rc t="2" v="13274"/>
    </bk>
    <bk>
      <rc t="2" v="13275"/>
    </bk>
    <bk>
      <rc t="2" v="13276"/>
    </bk>
    <bk>
      <rc t="2" v="13277"/>
    </bk>
    <bk>
      <rc t="2" v="13278"/>
    </bk>
    <bk>
      <rc t="2" v="13279"/>
    </bk>
    <bk>
      <rc t="2" v="13280"/>
    </bk>
    <bk>
      <rc t="2" v="13281"/>
    </bk>
    <bk>
      <rc t="2" v="13282"/>
    </bk>
    <bk>
      <rc t="2" v="13283"/>
    </bk>
    <bk>
      <rc t="2" v="13284"/>
    </bk>
    <bk>
      <rc t="2" v="13285"/>
    </bk>
    <bk>
      <rc t="2" v="13286"/>
    </bk>
    <bk>
      <rc t="2" v="13287"/>
    </bk>
    <bk>
      <rc t="2" v="13288"/>
    </bk>
    <bk>
      <rc t="2" v="13289"/>
    </bk>
    <bk>
      <rc t="2" v="13290"/>
    </bk>
    <bk>
      <rc t="2" v="13291"/>
    </bk>
    <bk>
      <rc t="2" v="13292"/>
    </bk>
    <bk>
      <rc t="2" v="13293"/>
    </bk>
    <bk>
      <rc t="2" v="13294"/>
    </bk>
    <bk>
      <rc t="2" v="13295"/>
    </bk>
    <bk>
      <rc t="2" v="13296"/>
    </bk>
    <bk>
      <rc t="2" v="13297"/>
    </bk>
    <bk>
      <rc t="2" v="13298"/>
    </bk>
    <bk>
      <rc t="2" v="13299"/>
    </bk>
    <bk>
      <rc t="2" v="13300"/>
    </bk>
    <bk>
      <rc t="2" v="13301"/>
    </bk>
    <bk>
      <rc t="2" v="13302"/>
    </bk>
    <bk>
      <rc t="2" v="13303"/>
    </bk>
    <bk>
      <rc t="2" v="13304"/>
    </bk>
    <bk>
      <rc t="2" v="13305"/>
    </bk>
    <bk>
      <rc t="2" v="13306"/>
    </bk>
    <bk>
      <rc t="2" v="13307"/>
    </bk>
    <bk>
      <rc t="2" v="13308"/>
    </bk>
    <bk>
      <rc t="2" v="13309"/>
    </bk>
    <bk>
      <rc t="2" v="13310"/>
    </bk>
    <bk>
      <rc t="2" v="13311"/>
    </bk>
    <bk>
      <rc t="2" v="13312"/>
    </bk>
    <bk>
      <rc t="2" v="13313"/>
    </bk>
    <bk>
      <rc t="2" v="13314"/>
    </bk>
    <bk>
      <rc t="2" v="13315"/>
    </bk>
    <bk>
      <rc t="2" v="13316"/>
    </bk>
    <bk>
      <rc t="2" v="13317"/>
    </bk>
    <bk>
      <rc t="2" v="13318"/>
    </bk>
    <bk>
      <rc t="2" v="13319"/>
    </bk>
    <bk>
      <rc t="2" v="13320"/>
    </bk>
    <bk>
      <rc t="2" v="13321"/>
    </bk>
    <bk>
      <rc t="2" v="13322"/>
    </bk>
    <bk>
      <rc t="2" v="13323"/>
    </bk>
    <bk>
      <rc t="2" v="13324"/>
    </bk>
    <bk>
      <rc t="2" v="13325"/>
    </bk>
    <bk>
      <rc t="2" v="13326"/>
    </bk>
    <bk>
      <rc t="2" v="13327"/>
    </bk>
    <bk>
      <rc t="2" v="13328"/>
    </bk>
    <bk>
      <rc t="2" v="13329"/>
    </bk>
    <bk>
      <rc t="2" v="13330"/>
    </bk>
    <bk>
      <rc t="2" v="13331"/>
    </bk>
    <bk>
      <rc t="2" v="13332"/>
    </bk>
    <bk>
      <rc t="2" v="13333"/>
    </bk>
    <bk>
      <rc t="2" v="13334"/>
    </bk>
    <bk>
      <rc t="2" v="13335"/>
    </bk>
    <bk>
      <rc t="2" v="13336"/>
    </bk>
    <bk>
      <rc t="2" v="13337"/>
    </bk>
    <bk>
      <rc t="2" v="13338"/>
    </bk>
    <bk>
      <rc t="2" v="13339"/>
    </bk>
    <bk>
      <rc t="2" v="13340"/>
    </bk>
    <bk>
      <rc t="2" v="13341"/>
    </bk>
    <bk>
      <rc t="2" v="13342"/>
    </bk>
    <bk>
      <rc t="2" v="13343"/>
    </bk>
    <bk>
      <rc t="2" v="13344"/>
    </bk>
    <bk>
      <rc t="2" v="13345"/>
    </bk>
    <bk>
      <rc t="2" v="13346"/>
    </bk>
    <bk>
      <rc t="2" v="13347"/>
    </bk>
    <bk>
      <rc t="2" v="13348"/>
    </bk>
    <bk>
      <rc t="2" v="13349"/>
    </bk>
    <bk>
      <rc t="2" v="13350"/>
    </bk>
    <bk>
      <rc t="2" v="13351"/>
    </bk>
    <bk>
      <rc t="2" v="13352"/>
    </bk>
    <bk>
      <rc t="2" v="13353"/>
    </bk>
    <bk>
      <rc t="2" v="13354"/>
    </bk>
    <bk>
      <rc t="2" v="13355"/>
    </bk>
    <bk>
      <rc t="2" v="13356"/>
    </bk>
    <bk>
      <rc t="2" v="13357"/>
    </bk>
    <bk>
      <rc t="2" v="13358"/>
    </bk>
    <bk>
      <rc t="2" v="13359"/>
    </bk>
    <bk>
      <rc t="2" v="13360"/>
    </bk>
    <bk>
      <rc t="2" v="13361"/>
    </bk>
    <bk>
      <rc t="2" v="13362"/>
    </bk>
    <bk>
      <rc t="2" v="13363"/>
    </bk>
    <bk>
      <rc t="2" v="13364"/>
    </bk>
    <bk>
      <rc t="2" v="13365"/>
    </bk>
    <bk>
      <rc t="2" v="13366"/>
    </bk>
    <bk>
      <rc t="2" v="13367"/>
    </bk>
    <bk>
      <rc t="2" v="13368"/>
    </bk>
    <bk>
      <rc t="2" v="13369"/>
    </bk>
    <bk>
      <rc t="2" v="13370"/>
    </bk>
    <bk>
      <rc t="2" v="13371"/>
    </bk>
    <bk>
      <rc t="2" v="13372"/>
    </bk>
    <bk>
      <rc t="2" v="13373"/>
    </bk>
    <bk>
      <rc t="2" v="13374"/>
    </bk>
    <bk>
      <rc t="2" v="13375"/>
    </bk>
    <bk>
      <rc t="2" v="13376"/>
    </bk>
    <bk>
      <rc t="2" v="13377"/>
    </bk>
    <bk>
      <rc t="2" v="13378"/>
    </bk>
    <bk>
      <rc t="2" v="13379"/>
    </bk>
    <bk>
      <rc t="2" v="13380"/>
    </bk>
    <bk>
      <rc t="2" v="13381"/>
    </bk>
    <bk>
      <rc t="2" v="13382"/>
    </bk>
    <bk>
      <rc t="2" v="13383"/>
    </bk>
    <bk>
      <rc t="2" v="13384"/>
    </bk>
    <bk>
      <rc t="2" v="13385"/>
    </bk>
    <bk>
      <rc t="2" v="13386"/>
    </bk>
    <bk>
      <rc t="2" v="13387"/>
    </bk>
    <bk>
      <rc t="2" v="13388"/>
    </bk>
    <bk>
      <rc t="2" v="13389"/>
    </bk>
    <bk>
      <rc t="2" v="13390"/>
    </bk>
    <bk>
      <rc t="2" v="13391"/>
    </bk>
    <bk>
      <rc t="2" v="13392"/>
    </bk>
    <bk>
      <rc t="2" v="13393"/>
    </bk>
    <bk>
      <rc t="2" v="13394"/>
    </bk>
    <bk>
      <rc t="2" v="13395"/>
    </bk>
    <bk>
      <rc t="2" v="13396"/>
    </bk>
    <bk>
      <rc t="2" v="13397"/>
    </bk>
    <bk>
      <rc t="2" v="13398"/>
    </bk>
    <bk>
      <rc t="2" v="13399"/>
    </bk>
    <bk>
      <rc t="2" v="13400"/>
    </bk>
    <bk>
      <rc t="2" v="13401"/>
    </bk>
    <bk>
      <rc t="2" v="13402"/>
    </bk>
    <bk>
      <rc t="2" v="13403"/>
    </bk>
    <bk>
      <rc t="2" v="13404"/>
    </bk>
    <bk>
      <rc t="2" v="13405"/>
    </bk>
    <bk>
      <rc t="2" v="13406"/>
    </bk>
    <bk>
      <rc t="2" v="13407"/>
    </bk>
    <bk>
      <rc t="2" v="13408"/>
    </bk>
    <bk>
      <rc t="2" v="13409"/>
    </bk>
    <bk>
      <rc t="2" v="13410"/>
    </bk>
    <bk>
      <rc t="2" v="13411"/>
    </bk>
    <bk>
      <rc t="2" v="13412"/>
    </bk>
    <bk>
      <rc t="2" v="13413"/>
    </bk>
    <bk>
      <rc t="2" v="13414"/>
    </bk>
    <bk>
      <rc t="2" v="13415"/>
    </bk>
    <bk>
      <rc t="2" v="13416"/>
    </bk>
    <bk>
      <rc t="2" v="13417"/>
    </bk>
    <bk>
      <rc t="2" v="13418"/>
    </bk>
    <bk>
      <rc t="2" v="13419"/>
    </bk>
    <bk>
      <rc t="2" v="13420"/>
    </bk>
    <bk>
      <rc t="2" v="13421"/>
    </bk>
    <bk>
      <rc t="2" v="13422"/>
    </bk>
    <bk>
      <rc t="2" v="13423"/>
    </bk>
    <bk>
      <rc t="2" v="13424"/>
    </bk>
    <bk>
      <rc t="2" v="13425"/>
    </bk>
    <bk>
      <rc t="2" v="13426"/>
    </bk>
    <bk>
      <rc t="2" v="13427"/>
    </bk>
    <bk>
      <rc t="2" v="13428"/>
    </bk>
    <bk>
      <rc t="2" v="13429"/>
    </bk>
    <bk>
      <rc t="2" v="13430"/>
    </bk>
    <bk>
      <rc t="2" v="13431"/>
    </bk>
    <bk>
      <rc t="2" v="13432"/>
    </bk>
    <bk>
      <rc t="2" v="13433"/>
    </bk>
    <bk>
      <rc t="2" v="13434"/>
    </bk>
    <bk>
      <rc t="2" v="13435"/>
    </bk>
    <bk>
      <rc t="2" v="13436"/>
    </bk>
    <bk>
      <rc t="2" v="13437"/>
    </bk>
    <bk>
      <rc t="2" v="13438"/>
    </bk>
    <bk>
      <rc t="2" v="13439"/>
    </bk>
    <bk>
      <rc t="2" v="13440"/>
    </bk>
    <bk>
      <rc t="2" v="13441"/>
    </bk>
    <bk>
      <rc t="2" v="13442"/>
    </bk>
    <bk>
      <rc t="2" v="13443"/>
    </bk>
    <bk>
      <rc t="2" v="13444"/>
    </bk>
    <bk>
      <rc t="2" v="13445"/>
    </bk>
    <bk>
      <rc t="2" v="13446"/>
    </bk>
    <bk>
      <rc t="2" v="13447"/>
    </bk>
    <bk>
      <rc t="2" v="13448"/>
    </bk>
    <bk>
      <rc t="2" v="13449"/>
    </bk>
    <bk>
      <rc t="2" v="13450"/>
    </bk>
    <bk>
      <rc t="2" v="13451"/>
    </bk>
    <bk>
      <rc t="2" v="13452"/>
    </bk>
    <bk>
      <rc t="2" v="13453"/>
    </bk>
    <bk>
      <rc t="2" v="13454"/>
    </bk>
    <bk>
      <rc t="2" v="13455"/>
    </bk>
    <bk>
      <rc t="2" v="13456"/>
    </bk>
    <bk>
      <rc t="2" v="13457"/>
    </bk>
    <bk>
      <rc t="2" v="13458"/>
    </bk>
    <bk>
      <rc t="2" v="13459"/>
    </bk>
    <bk>
      <rc t="2" v="13460"/>
    </bk>
    <bk>
      <rc t="2" v="13461"/>
    </bk>
    <bk>
      <rc t="2" v="13462"/>
    </bk>
    <bk>
      <rc t="2" v="13463"/>
    </bk>
    <bk>
      <rc t="2" v="13464"/>
    </bk>
    <bk>
      <rc t="2" v="13465"/>
    </bk>
    <bk>
      <rc t="2" v="13466"/>
    </bk>
    <bk>
      <rc t="2" v="13467"/>
    </bk>
    <bk>
      <rc t="2" v="13468"/>
    </bk>
    <bk>
      <rc t="2" v="13469"/>
    </bk>
    <bk>
      <rc t="2" v="13470"/>
    </bk>
    <bk>
      <rc t="2" v="13471"/>
    </bk>
    <bk>
      <rc t="2" v="13472"/>
    </bk>
    <bk>
      <rc t="2" v="13473"/>
    </bk>
    <bk>
      <rc t="2" v="13474"/>
    </bk>
    <bk>
      <rc t="2" v="13475"/>
    </bk>
    <bk>
      <rc t="2" v="13476"/>
    </bk>
    <bk>
      <rc t="2" v="13477"/>
    </bk>
    <bk>
      <rc t="2" v="13478"/>
    </bk>
    <bk>
      <rc t="2" v="13479"/>
    </bk>
    <bk>
      <rc t="2" v="13480"/>
    </bk>
    <bk>
      <rc t="2" v="13481"/>
    </bk>
    <bk>
      <rc t="2" v="13482"/>
    </bk>
    <bk>
      <rc t="2" v="13483"/>
    </bk>
    <bk>
      <rc t="2" v="13484"/>
    </bk>
    <bk>
      <rc t="2" v="13485"/>
    </bk>
    <bk>
      <rc t="2" v="13486"/>
    </bk>
    <bk>
      <rc t="2" v="13487"/>
    </bk>
    <bk>
      <rc t="2" v="13488"/>
    </bk>
    <bk>
      <rc t="2" v="13489"/>
    </bk>
    <bk>
      <rc t="2" v="13490"/>
    </bk>
    <bk>
      <rc t="2" v="13491"/>
    </bk>
    <bk>
      <rc t="2" v="13492"/>
    </bk>
    <bk>
      <rc t="2" v="13493"/>
    </bk>
    <bk>
      <rc t="2" v="13494"/>
    </bk>
    <bk>
      <rc t="2" v="13495"/>
    </bk>
    <bk>
      <rc t="2" v="13496"/>
    </bk>
    <bk>
      <rc t="2" v="13497"/>
    </bk>
    <bk>
      <rc t="2" v="13498"/>
    </bk>
    <bk>
      <rc t="2" v="13499"/>
    </bk>
    <bk>
      <rc t="2" v="13500"/>
    </bk>
    <bk>
      <rc t="2" v="13501"/>
    </bk>
    <bk>
      <rc t="2" v="13502"/>
    </bk>
    <bk>
      <rc t="2" v="13503"/>
    </bk>
    <bk>
      <rc t="2" v="13504"/>
    </bk>
    <bk>
      <rc t="2" v="13505"/>
    </bk>
    <bk>
      <rc t="2" v="13506"/>
    </bk>
    <bk>
      <rc t="2" v="13507"/>
    </bk>
    <bk>
      <rc t="2" v="13508"/>
    </bk>
    <bk>
      <rc t="2" v="13509"/>
    </bk>
    <bk>
      <rc t="2" v="13510"/>
    </bk>
    <bk>
      <rc t="2" v="13511"/>
    </bk>
    <bk>
      <rc t="2" v="13512"/>
    </bk>
    <bk>
      <rc t="2" v="13513"/>
    </bk>
    <bk>
      <rc t="2" v="13514"/>
    </bk>
    <bk>
      <rc t="2" v="13515"/>
    </bk>
    <bk>
      <rc t="2" v="13516"/>
    </bk>
    <bk>
      <rc t="2" v="13517"/>
    </bk>
    <bk>
      <rc t="2" v="13518"/>
    </bk>
    <bk>
      <rc t="2" v="13519"/>
    </bk>
    <bk>
      <rc t="2" v="13520"/>
    </bk>
    <bk>
      <rc t="2" v="13521"/>
    </bk>
    <bk>
      <rc t="2" v="13522"/>
    </bk>
    <bk>
      <rc t="2" v="13523"/>
    </bk>
    <bk>
      <rc t="2" v="13524"/>
    </bk>
    <bk>
      <rc t="2" v="13525"/>
    </bk>
    <bk>
      <rc t="2" v="13526"/>
    </bk>
    <bk>
      <rc t="2" v="13527"/>
    </bk>
    <bk>
      <rc t="2" v="13528"/>
    </bk>
    <bk>
      <rc t="2" v="13529"/>
    </bk>
    <bk>
      <rc t="2" v="13530"/>
    </bk>
    <bk>
      <rc t="2" v="13531"/>
    </bk>
    <bk>
      <rc t="2" v="13532"/>
    </bk>
    <bk>
      <rc t="2" v="13533"/>
    </bk>
    <bk>
      <rc t="2" v="13534"/>
    </bk>
    <bk>
      <rc t="2" v="13535"/>
    </bk>
    <bk>
      <rc t="2" v="13536"/>
    </bk>
    <bk>
      <rc t="2" v="13537"/>
    </bk>
    <bk>
      <rc t="2" v="13538"/>
    </bk>
    <bk>
      <rc t="2" v="13539"/>
    </bk>
    <bk>
      <rc t="2" v="13540"/>
    </bk>
    <bk>
      <rc t="2" v="13541"/>
    </bk>
    <bk>
      <rc t="2" v="13542"/>
    </bk>
    <bk>
      <rc t="2" v="13543"/>
    </bk>
    <bk>
      <rc t="2" v="13544"/>
    </bk>
    <bk>
      <rc t="2" v="13545"/>
    </bk>
    <bk>
      <rc t="2" v="13546"/>
    </bk>
    <bk>
      <rc t="2" v="13547"/>
    </bk>
    <bk>
      <rc t="2" v="13548"/>
    </bk>
    <bk>
      <rc t="2" v="13549"/>
    </bk>
    <bk>
      <rc t="2" v="13550"/>
    </bk>
    <bk>
      <rc t="2" v="13551"/>
    </bk>
    <bk>
      <rc t="2" v="13552"/>
    </bk>
    <bk>
      <rc t="2" v="13553"/>
    </bk>
    <bk>
      <rc t="2" v="13554"/>
    </bk>
    <bk>
      <rc t="2" v="13555"/>
    </bk>
    <bk>
      <rc t="2" v="13556"/>
    </bk>
    <bk>
      <rc t="2" v="13557"/>
    </bk>
    <bk>
      <rc t="2" v="13558"/>
    </bk>
    <bk>
      <rc t="2" v="13559"/>
    </bk>
    <bk>
      <rc t="2" v="13560"/>
    </bk>
    <bk>
      <rc t="2" v="13561"/>
    </bk>
    <bk>
      <rc t="2" v="13562"/>
    </bk>
    <bk>
      <rc t="2" v="13563"/>
    </bk>
    <bk>
      <rc t="2" v="13564"/>
    </bk>
    <bk>
      <rc t="2" v="13565"/>
    </bk>
    <bk>
      <rc t="2" v="13566"/>
    </bk>
    <bk>
      <rc t="2" v="13567"/>
    </bk>
    <bk>
      <rc t="2" v="13568"/>
    </bk>
    <bk>
      <rc t="2" v="13569"/>
    </bk>
    <bk>
      <rc t="2" v="13570"/>
    </bk>
    <bk>
      <rc t="2" v="13571"/>
    </bk>
    <bk>
      <rc t="2" v="13572"/>
    </bk>
    <bk>
      <rc t="2" v="13573"/>
    </bk>
    <bk>
      <rc t="2" v="13574"/>
    </bk>
    <bk>
      <rc t="2" v="13575"/>
    </bk>
    <bk>
      <rc t="2" v="13576"/>
    </bk>
    <bk>
      <rc t="2" v="13577"/>
    </bk>
    <bk>
      <rc t="2" v="13578"/>
    </bk>
    <bk>
      <rc t="2" v="13579"/>
    </bk>
    <bk>
      <rc t="2" v="13580"/>
    </bk>
    <bk>
      <rc t="2" v="13581"/>
    </bk>
    <bk>
      <rc t="2" v="13582"/>
    </bk>
    <bk>
      <rc t="2" v="13583"/>
    </bk>
    <bk>
      <rc t="2" v="13584"/>
    </bk>
    <bk>
      <rc t="2" v="13585"/>
    </bk>
    <bk>
      <rc t="2" v="13586"/>
    </bk>
    <bk>
      <rc t="2" v="13587"/>
    </bk>
    <bk>
      <rc t="2" v="13588"/>
    </bk>
    <bk>
      <rc t="2" v="13589"/>
    </bk>
    <bk>
      <rc t="2" v="13590"/>
    </bk>
    <bk>
      <rc t="2" v="13591"/>
    </bk>
    <bk>
      <rc t="2" v="13592"/>
    </bk>
    <bk>
      <rc t="2" v="13593"/>
    </bk>
    <bk>
      <rc t="2" v="13594"/>
    </bk>
    <bk>
      <rc t="2" v="13595"/>
    </bk>
    <bk>
      <rc t="2" v="13596"/>
    </bk>
    <bk>
      <rc t="2" v="13597"/>
    </bk>
    <bk>
      <rc t="2" v="13598"/>
    </bk>
    <bk>
      <rc t="2" v="13599"/>
    </bk>
    <bk>
      <rc t="2" v="13600"/>
    </bk>
    <bk>
      <rc t="2" v="13601"/>
    </bk>
    <bk>
      <rc t="2" v="13602"/>
    </bk>
    <bk>
      <rc t="2" v="13603"/>
    </bk>
    <bk>
      <rc t="2" v="13604"/>
    </bk>
    <bk>
      <rc t="2" v="13605"/>
    </bk>
    <bk>
      <rc t="2" v="13606"/>
    </bk>
    <bk>
      <rc t="2" v="13607"/>
    </bk>
    <bk>
      <rc t="2" v="13608"/>
    </bk>
    <bk>
      <rc t="2" v="13609"/>
    </bk>
    <bk>
      <rc t="2" v="13610"/>
    </bk>
    <bk>
      <rc t="2" v="13611"/>
    </bk>
    <bk>
      <rc t="2" v="13612"/>
    </bk>
    <bk>
      <rc t="2" v="13613"/>
    </bk>
    <bk>
      <rc t="2" v="13614"/>
    </bk>
    <bk>
      <rc t="2" v="13615"/>
    </bk>
    <bk>
      <rc t="2" v="13616"/>
    </bk>
    <bk>
      <rc t="2" v="13617"/>
    </bk>
    <bk>
      <rc t="2" v="13618"/>
    </bk>
    <bk>
      <rc t="2" v="13619"/>
    </bk>
    <bk>
      <rc t="2" v="13620"/>
    </bk>
    <bk>
      <rc t="2" v="13621"/>
    </bk>
    <bk>
      <rc t="2" v="13622"/>
    </bk>
    <bk>
      <rc t="2" v="13623"/>
    </bk>
    <bk>
      <rc t="2" v="13624"/>
    </bk>
    <bk>
      <rc t="2" v="13625"/>
    </bk>
    <bk>
      <rc t="2" v="13626"/>
    </bk>
    <bk>
      <rc t="2" v="13627"/>
    </bk>
    <bk>
      <rc t="2" v="13628"/>
    </bk>
    <bk>
      <rc t="2" v="13629"/>
    </bk>
    <bk>
      <rc t="2" v="13630"/>
    </bk>
    <bk>
      <rc t="2" v="13631"/>
    </bk>
    <bk>
      <rc t="2" v="13632"/>
    </bk>
    <bk>
      <rc t="2" v="13633"/>
    </bk>
    <bk>
      <rc t="2" v="13634"/>
    </bk>
    <bk>
      <rc t="2" v="13635"/>
    </bk>
    <bk>
      <rc t="2" v="13636"/>
    </bk>
    <bk>
      <rc t="2" v="13637"/>
    </bk>
    <bk>
      <rc t="2" v="13638"/>
    </bk>
    <bk>
      <rc t="2" v="13639"/>
    </bk>
    <bk>
      <rc t="2" v="13640"/>
    </bk>
    <bk>
      <rc t="2" v="13641"/>
    </bk>
    <bk>
      <rc t="2" v="13642"/>
    </bk>
    <bk>
      <rc t="2" v="13643"/>
    </bk>
    <bk>
      <rc t="2" v="13644"/>
    </bk>
    <bk>
      <rc t="2" v="13645"/>
    </bk>
    <bk>
      <rc t="2" v="13646"/>
    </bk>
    <bk>
      <rc t="2" v="13647"/>
    </bk>
    <bk>
      <rc t="2" v="13648"/>
    </bk>
    <bk>
      <rc t="2" v="13649"/>
    </bk>
    <bk>
      <rc t="2" v="13650"/>
    </bk>
    <bk>
      <rc t="2" v="13651"/>
    </bk>
    <bk>
      <rc t="2" v="13652"/>
    </bk>
    <bk>
      <rc t="2" v="13653"/>
    </bk>
    <bk>
      <rc t="2" v="13654"/>
    </bk>
    <bk>
      <rc t="2" v="13655"/>
    </bk>
    <bk>
      <rc t="2" v="13656"/>
    </bk>
    <bk>
      <rc t="2" v="13657"/>
    </bk>
    <bk>
      <rc t="2" v="13658"/>
    </bk>
    <bk>
      <rc t="2" v="13659"/>
    </bk>
    <bk>
      <rc t="2" v="13660"/>
    </bk>
    <bk>
      <rc t="2" v="13661"/>
    </bk>
    <bk>
      <rc t="2" v="13662"/>
    </bk>
    <bk>
      <rc t="2" v="13663"/>
    </bk>
    <bk>
      <rc t="2" v="13664"/>
    </bk>
    <bk>
      <rc t="2" v="13665"/>
    </bk>
    <bk>
      <rc t="2" v="13666"/>
    </bk>
    <bk>
      <rc t="2" v="13667"/>
    </bk>
    <bk>
      <rc t="2" v="13668"/>
    </bk>
    <bk>
      <rc t="2" v="13669"/>
    </bk>
    <bk>
      <rc t="2" v="13670"/>
    </bk>
    <bk>
      <rc t="2" v="13671"/>
    </bk>
    <bk>
      <rc t="2" v="13672"/>
    </bk>
    <bk>
      <rc t="2" v="13673"/>
    </bk>
    <bk>
      <rc t="2" v="13674"/>
    </bk>
    <bk>
      <rc t="2" v="13675"/>
    </bk>
    <bk>
      <rc t="2" v="13676"/>
    </bk>
    <bk>
      <rc t="2" v="13677"/>
    </bk>
    <bk>
      <rc t="2" v="13678"/>
    </bk>
    <bk>
      <rc t="2" v="13679"/>
    </bk>
    <bk>
      <rc t="2" v="13680"/>
    </bk>
    <bk>
      <rc t="2" v="13681"/>
    </bk>
    <bk>
      <rc t="2" v="13682"/>
    </bk>
    <bk>
      <rc t="2" v="13683"/>
    </bk>
    <bk>
      <rc t="2" v="13684"/>
    </bk>
    <bk>
      <rc t="2" v="13685"/>
    </bk>
    <bk>
      <rc t="2" v="13686"/>
    </bk>
    <bk>
      <rc t="2" v="13687"/>
    </bk>
    <bk>
      <rc t="2" v="13688"/>
    </bk>
    <bk>
      <rc t="2" v="13689"/>
    </bk>
    <bk>
      <rc t="2" v="13690"/>
    </bk>
    <bk>
      <rc t="2" v="13691"/>
    </bk>
    <bk>
      <rc t="2" v="13692"/>
    </bk>
    <bk>
      <rc t="2" v="13693"/>
    </bk>
    <bk>
      <rc t="2" v="13694"/>
    </bk>
    <bk>
      <rc t="2" v="13695"/>
    </bk>
    <bk>
      <rc t="2" v="13696"/>
    </bk>
    <bk>
      <rc t="2" v="13697"/>
    </bk>
    <bk>
      <rc t="2" v="13698"/>
    </bk>
    <bk>
      <rc t="2" v="13699"/>
    </bk>
    <bk>
      <rc t="2" v="13700"/>
    </bk>
    <bk>
      <rc t="2" v="13701"/>
    </bk>
    <bk>
      <rc t="2" v="13702"/>
    </bk>
    <bk>
      <rc t="2" v="13703"/>
    </bk>
    <bk>
      <rc t="2" v="13704"/>
    </bk>
    <bk>
      <rc t="2" v="13705"/>
    </bk>
    <bk>
      <rc t="2" v="13706"/>
    </bk>
    <bk>
      <rc t="2" v="13707"/>
    </bk>
    <bk>
      <rc t="2" v="13708"/>
    </bk>
    <bk>
      <rc t="2" v="13709"/>
    </bk>
    <bk>
      <rc t="2" v="13710"/>
    </bk>
    <bk>
      <rc t="2" v="13711"/>
    </bk>
    <bk>
      <rc t="2" v="13712"/>
    </bk>
    <bk>
      <rc t="2" v="13713"/>
    </bk>
    <bk>
      <rc t="2" v="13714"/>
    </bk>
    <bk>
      <rc t="2" v="13715"/>
    </bk>
    <bk>
      <rc t="2" v="13716"/>
    </bk>
    <bk>
      <rc t="2" v="13717"/>
    </bk>
    <bk>
      <rc t="2" v="13718"/>
    </bk>
    <bk>
      <rc t="2" v="13719"/>
    </bk>
    <bk>
      <rc t="2" v="13720"/>
    </bk>
    <bk>
      <rc t="2" v="13721"/>
    </bk>
    <bk>
      <rc t="2" v="13722"/>
    </bk>
    <bk>
      <rc t="2" v="13723"/>
    </bk>
    <bk>
      <rc t="2" v="13724"/>
    </bk>
    <bk>
      <rc t="2" v="13725"/>
    </bk>
    <bk>
      <rc t="2" v="13726"/>
    </bk>
    <bk>
      <rc t="2" v="13727"/>
    </bk>
    <bk>
      <rc t="2" v="13728"/>
    </bk>
    <bk>
      <rc t="2" v="13729"/>
    </bk>
    <bk>
      <rc t="2" v="13730"/>
    </bk>
    <bk>
      <rc t="2" v="13731"/>
    </bk>
    <bk>
      <rc t="2" v="13732"/>
    </bk>
    <bk>
      <rc t="2" v="13733"/>
    </bk>
    <bk>
      <rc t="2" v="13734"/>
    </bk>
    <bk>
      <rc t="2" v="13735"/>
    </bk>
    <bk>
      <rc t="2" v="13736"/>
    </bk>
    <bk>
      <rc t="2" v="13737"/>
    </bk>
    <bk>
      <rc t="2" v="13738"/>
    </bk>
    <bk>
      <rc t="2" v="13739"/>
    </bk>
    <bk>
      <rc t="2" v="13740"/>
    </bk>
    <bk>
      <rc t="2" v="13741"/>
    </bk>
    <bk>
      <rc t="2" v="13742"/>
    </bk>
    <bk>
      <rc t="2" v="13743"/>
    </bk>
    <bk>
      <rc t="2" v="13744"/>
    </bk>
    <bk>
      <rc t="2" v="13745"/>
    </bk>
    <bk>
      <rc t="2" v="13746"/>
    </bk>
    <bk>
      <rc t="2" v="13747"/>
    </bk>
    <bk>
      <rc t="2" v="13748"/>
    </bk>
    <bk>
      <rc t="2" v="13749"/>
    </bk>
    <bk>
      <rc t="2" v="13750"/>
    </bk>
    <bk>
      <rc t="2" v="13751"/>
    </bk>
    <bk>
      <rc t="2" v="13752"/>
    </bk>
    <bk>
      <rc t="2" v="13753"/>
    </bk>
    <bk>
      <rc t="2" v="13754"/>
    </bk>
    <bk>
      <rc t="2" v="13755"/>
    </bk>
    <bk>
      <rc t="2" v="13756"/>
    </bk>
    <bk>
      <rc t="2" v="13757"/>
    </bk>
    <bk>
      <rc t="2" v="13758"/>
    </bk>
    <bk>
      <rc t="2" v="13759"/>
    </bk>
    <bk>
      <rc t="2" v="13760"/>
    </bk>
    <bk>
      <rc t="2" v="13761"/>
    </bk>
    <bk>
      <rc t="2" v="13762"/>
    </bk>
    <bk>
      <rc t="2" v="13763"/>
    </bk>
    <bk>
      <rc t="2" v="13764"/>
    </bk>
    <bk>
      <rc t="2" v="13765"/>
    </bk>
    <bk>
      <rc t="2" v="13766"/>
    </bk>
    <bk>
      <rc t="2" v="13767"/>
    </bk>
    <bk>
      <rc t="2" v="13768"/>
    </bk>
    <bk>
      <rc t="2" v="13769"/>
    </bk>
    <bk>
      <rc t="2" v="13770"/>
    </bk>
    <bk>
      <rc t="2" v="13771"/>
    </bk>
    <bk>
      <rc t="2" v="13772"/>
    </bk>
    <bk>
      <rc t="2" v="13773"/>
    </bk>
    <bk>
      <rc t="2" v="13774"/>
    </bk>
    <bk>
      <rc t="2" v="13775"/>
    </bk>
    <bk>
      <rc t="2" v="13776"/>
    </bk>
    <bk>
      <rc t="2" v="13777"/>
    </bk>
    <bk>
      <rc t="2" v="13778"/>
    </bk>
    <bk>
      <rc t="2" v="13779"/>
    </bk>
    <bk>
      <rc t="2" v="13780"/>
    </bk>
    <bk>
      <rc t="2" v="13781"/>
    </bk>
    <bk>
      <rc t="2" v="13782"/>
    </bk>
    <bk>
      <rc t="2" v="13783"/>
    </bk>
    <bk>
      <rc t="2" v="13784"/>
    </bk>
    <bk>
      <rc t="2" v="13785"/>
    </bk>
    <bk>
      <rc t="2" v="13786"/>
    </bk>
    <bk>
      <rc t="2" v="13787"/>
    </bk>
    <bk>
      <rc t="2" v="13788"/>
    </bk>
    <bk>
      <rc t="2" v="13789"/>
    </bk>
    <bk>
      <rc t="2" v="13790"/>
    </bk>
    <bk>
      <rc t="2" v="13791"/>
    </bk>
    <bk>
      <rc t="2" v="13792"/>
    </bk>
    <bk>
      <rc t="2" v="13793"/>
    </bk>
    <bk>
      <rc t="2" v="13794"/>
    </bk>
    <bk>
      <rc t="2" v="13795"/>
    </bk>
    <bk>
      <rc t="2" v="13796"/>
    </bk>
    <bk>
      <rc t="2" v="13797"/>
    </bk>
    <bk>
      <rc t="2" v="13798"/>
    </bk>
    <bk>
      <rc t="2" v="13799"/>
    </bk>
    <bk>
      <rc t="2" v="13800"/>
    </bk>
    <bk>
      <rc t="2" v="13801"/>
    </bk>
    <bk>
      <rc t="2" v="13802"/>
    </bk>
    <bk>
      <rc t="2" v="13803"/>
    </bk>
    <bk>
      <rc t="2" v="13804"/>
    </bk>
    <bk>
      <rc t="2" v="13805"/>
    </bk>
    <bk>
      <rc t="2" v="13806"/>
    </bk>
    <bk>
      <rc t="2" v="13807"/>
    </bk>
    <bk>
      <rc t="2" v="13808"/>
    </bk>
    <bk>
      <rc t="2" v="13809"/>
    </bk>
    <bk>
      <rc t="2" v="13810"/>
    </bk>
    <bk>
      <rc t="2" v="13811"/>
    </bk>
    <bk>
      <rc t="2" v="13812"/>
    </bk>
    <bk>
      <rc t="2" v="13813"/>
    </bk>
    <bk>
      <rc t="2" v="13814"/>
    </bk>
    <bk>
      <rc t="2" v="13815"/>
    </bk>
    <bk>
      <rc t="2" v="13816"/>
    </bk>
    <bk>
      <rc t="2" v="13817"/>
    </bk>
    <bk>
      <rc t="2" v="13818"/>
    </bk>
    <bk>
      <rc t="2" v="13819"/>
    </bk>
    <bk>
      <rc t="2" v="13820"/>
    </bk>
    <bk>
      <rc t="2" v="13821"/>
    </bk>
    <bk>
      <rc t="2" v="13822"/>
    </bk>
    <bk>
      <rc t="2" v="13823"/>
    </bk>
    <bk>
      <rc t="2" v="13824"/>
    </bk>
    <bk>
      <rc t="2" v="13825"/>
    </bk>
    <bk>
      <rc t="2" v="13826"/>
    </bk>
    <bk>
      <rc t="2" v="13827"/>
    </bk>
    <bk>
      <rc t="2" v="13828"/>
    </bk>
    <bk>
      <rc t="2" v="13829"/>
    </bk>
    <bk>
      <rc t="2" v="13830"/>
    </bk>
    <bk>
      <rc t="2" v="13831"/>
    </bk>
    <bk>
      <rc t="2" v="13832"/>
    </bk>
    <bk>
      <rc t="2" v="13833"/>
    </bk>
    <bk>
      <rc t="2" v="13834"/>
    </bk>
    <bk>
      <rc t="2" v="13835"/>
    </bk>
    <bk>
      <rc t="2" v="13836"/>
    </bk>
    <bk>
      <rc t="2" v="13837"/>
    </bk>
    <bk>
      <rc t="2" v="13838"/>
    </bk>
    <bk>
      <rc t="2" v="13839"/>
    </bk>
    <bk>
      <rc t="2" v="13840"/>
    </bk>
    <bk>
      <rc t="2" v="13841"/>
    </bk>
    <bk>
      <rc t="2" v="13842"/>
    </bk>
    <bk>
      <rc t="2" v="13843"/>
    </bk>
    <bk>
      <rc t="2" v="13844"/>
    </bk>
    <bk>
      <rc t="2" v="13845"/>
    </bk>
    <bk>
      <rc t="2" v="13846"/>
    </bk>
    <bk>
      <rc t="2" v="13847"/>
    </bk>
    <bk>
      <rc t="2" v="13848"/>
    </bk>
    <bk>
      <rc t="2" v="13849"/>
    </bk>
    <bk>
      <rc t="2" v="13850"/>
    </bk>
    <bk>
      <rc t="2" v="13851"/>
    </bk>
    <bk>
      <rc t="2" v="13852"/>
    </bk>
    <bk>
      <rc t="2" v="13853"/>
    </bk>
    <bk>
      <rc t="2" v="13854"/>
    </bk>
    <bk>
      <rc t="2" v="13855"/>
    </bk>
    <bk>
      <rc t="2" v="13856"/>
    </bk>
    <bk>
      <rc t="2" v="13857"/>
    </bk>
    <bk>
      <rc t="2" v="13858"/>
    </bk>
    <bk>
      <rc t="2" v="13859"/>
    </bk>
    <bk>
      <rc t="2" v="13860"/>
    </bk>
    <bk>
      <rc t="2" v="13861"/>
    </bk>
    <bk>
      <rc t="2" v="13862"/>
    </bk>
    <bk>
      <rc t="2" v="13863"/>
    </bk>
    <bk>
      <rc t="2" v="13864"/>
    </bk>
    <bk>
      <rc t="2" v="13865"/>
    </bk>
    <bk>
      <rc t="2" v="13866"/>
    </bk>
    <bk>
      <rc t="2" v="13867"/>
    </bk>
    <bk>
      <rc t="2" v="13868"/>
    </bk>
    <bk>
      <rc t="2" v="13869"/>
    </bk>
    <bk>
      <rc t="2" v="13870"/>
    </bk>
    <bk>
      <rc t="2" v="13871"/>
    </bk>
    <bk>
      <rc t="2" v="13872"/>
    </bk>
    <bk>
      <rc t="2" v="13873"/>
    </bk>
    <bk>
      <rc t="2" v="13874"/>
    </bk>
    <bk>
      <rc t="2" v="13875"/>
    </bk>
    <bk>
      <rc t="2" v="13876"/>
    </bk>
    <bk>
      <rc t="2" v="13877"/>
    </bk>
    <bk>
      <rc t="2" v="13878"/>
    </bk>
    <bk>
      <rc t="2" v="13879"/>
    </bk>
    <bk>
      <rc t="2" v="13880"/>
    </bk>
    <bk>
      <rc t="2" v="13881"/>
    </bk>
    <bk>
      <rc t="2" v="13882"/>
    </bk>
    <bk>
      <rc t="2" v="13883"/>
    </bk>
    <bk>
      <rc t="2" v="13884"/>
    </bk>
    <bk>
      <rc t="2" v="13885"/>
    </bk>
    <bk>
      <rc t="2" v="13886"/>
    </bk>
    <bk>
      <rc t="2" v="13887"/>
    </bk>
    <bk>
      <rc t="2" v="13888"/>
    </bk>
    <bk>
      <rc t="2" v="13889"/>
    </bk>
    <bk>
      <rc t="2" v="13890"/>
    </bk>
    <bk>
      <rc t="2" v="13891"/>
    </bk>
    <bk>
      <rc t="2" v="13892"/>
    </bk>
    <bk>
      <rc t="2" v="13893"/>
    </bk>
    <bk>
      <rc t="2" v="13894"/>
    </bk>
    <bk>
      <rc t="2" v="13895"/>
    </bk>
    <bk>
      <rc t="2" v="13896"/>
    </bk>
    <bk>
      <rc t="2" v="13897"/>
    </bk>
    <bk>
      <rc t="2" v="13898"/>
    </bk>
    <bk>
      <rc t="2" v="13899"/>
    </bk>
    <bk>
      <rc t="2" v="13900"/>
    </bk>
    <bk>
      <rc t="2" v="13901"/>
    </bk>
    <bk>
      <rc t="2" v="13902"/>
    </bk>
    <bk>
      <rc t="2" v="13903"/>
    </bk>
    <bk>
      <rc t="2" v="13904"/>
    </bk>
    <bk>
      <rc t="2" v="13905"/>
    </bk>
    <bk>
      <rc t="2" v="13906"/>
    </bk>
    <bk>
      <rc t="2" v="13907"/>
    </bk>
    <bk>
      <rc t="2" v="13908"/>
    </bk>
    <bk>
      <rc t="2" v="13909"/>
    </bk>
    <bk>
      <rc t="2" v="13910"/>
    </bk>
    <bk>
      <rc t="2" v="13911"/>
    </bk>
    <bk>
      <rc t="2" v="13912"/>
    </bk>
    <bk>
      <rc t="2" v="13913"/>
    </bk>
    <bk>
      <rc t="2" v="13914"/>
    </bk>
    <bk>
      <rc t="2" v="13915"/>
    </bk>
    <bk>
      <rc t="2" v="13916"/>
    </bk>
    <bk>
      <rc t="2" v="13917"/>
    </bk>
    <bk>
      <rc t="2" v="13918"/>
    </bk>
    <bk>
      <rc t="2" v="13919"/>
    </bk>
    <bk>
      <rc t="2" v="13920"/>
    </bk>
    <bk>
      <rc t="2" v="13921"/>
    </bk>
    <bk>
      <rc t="2" v="13922"/>
    </bk>
    <bk>
      <rc t="2" v="13923"/>
    </bk>
    <bk>
      <rc t="2" v="13924"/>
    </bk>
    <bk>
      <rc t="2" v="13925"/>
    </bk>
    <bk>
      <rc t="2" v="13926"/>
    </bk>
    <bk>
      <rc t="2" v="13927"/>
    </bk>
    <bk>
      <rc t="2" v="13928"/>
    </bk>
    <bk>
      <rc t="2" v="13929"/>
    </bk>
    <bk>
      <rc t="2" v="13930"/>
    </bk>
    <bk>
      <rc t="2" v="13931"/>
    </bk>
    <bk>
      <rc t="2" v="13932"/>
    </bk>
    <bk>
      <rc t="2" v="13933"/>
    </bk>
    <bk>
      <rc t="2" v="13934"/>
    </bk>
    <bk>
      <rc t="2" v="13935"/>
    </bk>
    <bk>
      <rc t="2" v="13936"/>
    </bk>
    <bk>
      <rc t="2" v="13937"/>
    </bk>
    <bk>
      <rc t="2" v="13938"/>
    </bk>
    <bk>
      <rc t="2" v="13939"/>
    </bk>
    <bk>
      <rc t="2" v="13940"/>
    </bk>
    <bk>
      <rc t="2" v="13941"/>
    </bk>
    <bk>
      <rc t="2" v="13942"/>
    </bk>
    <bk>
      <rc t="2" v="13943"/>
    </bk>
    <bk>
      <rc t="2" v="13944"/>
    </bk>
    <bk>
      <rc t="2" v="13945"/>
    </bk>
    <bk>
      <rc t="2" v="13946"/>
    </bk>
    <bk>
      <rc t="2" v="13947"/>
    </bk>
    <bk>
      <rc t="2" v="13948"/>
    </bk>
    <bk>
      <rc t="2" v="13949"/>
    </bk>
    <bk>
      <rc t="2" v="13950"/>
    </bk>
    <bk>
      <rc t="2" v="13951"/>
    </bk>
    <bk>
      <rc t="2" v="13952"/>
    </bk>
    <bk>
      <rc t="2" v="13953"/>
    </bk>
    <bk>
      <rc t="2" v="13954"/>
    </bk>
    <bk>
      <rc t="2" v="13955"/>
    </bk>
    <bk>
      <rc t="2" v="13956"/>
    </bk>
    <bk>
      <rc t="2" v="13957"/>
    </bk>
    <bk>
      <rc t="2" v="13958"/>
    </bk>
    <bk>
      <rc t="2" v="13959"/>
    </bk>
    <bk>
      <rc t="2" v="13960"/>
    </bk>
    <bk>
      <rc t="2" v="13961"/>
    </bk>
    <bk>
      <rc t="2" v="13962"/>
    </bk>
    <bk>
      <rc t="2" v="13963"/>
    </bk>
    <bk>
      <rc t="2" v="13964"/>
    </bk>
    <bk>
      <rc t="2" v="13965"/>
    </bk>
    <bk>
      <rc t="2" v="13966"/>
    </bk>
    <bk>
      <rc t="2" v="13967"/>
    </bk>
    <bk>
      <rc t="2" v="13968"/>
    </bk>
    <bk>
      <rc t="2" v="13969"/>
    </bk>
    <bk>
      <rc t="2" v="13970"/>
    </bk>
    <bk>
      <rc t="2" v="13971"/>
    </bk>
    <bk>
      <rc t="2" v="13972"/>
    </bk>
    <bk>
      <rc t="2" v="13973"/>
    </bk>
    <bk>
      <rc t="2" v="13974"/>
    </bk>
    <bk>
      <rc t="2" v="13975"/>
    </bk>
    <bk>
      <rc t="2" v="13976"/>
    </bk>
    <bk>
      <rc t="2" v="13977"/>
    </bk>
    <bk>
      <rc t="2" v="13978"/>
    </bk>
    <bk>
      <rc t="2" v="13979"/>
    </bk>
    <bk>
      <rc t="2" v="13980"/>
    </bk>
    <bk>
      <rc t="2" v="13981"/>
    </bk>
    <bk>
      <rc t="2" v="13982"/>
    </bk>
    <bk>
      <rc t="2" v="13983"/>
    </bk>
    <bk>
      <rc t="2" v="13984"/>
    </bk>
    <bk>
      <rc t="2" v="13985"/>
    </bk>
    <bk>
      <rc t="2" v="13986"/>
    </bk>
    <bk>
      <rc t="2" v="13987"/>
    </bk>
    <bk>
      <rc t="2" v="13988"/>
    </bk>
    <bk>
      <rc t="2" v="13989"/>
    </bk>
    <bk>
      <rc t="2" v="13990"/>
    </bk>
    <bk>
      <rc t="2" v="13991"/>
    </bk>
    <bk>
      <rc t="2" v="13992"/>
    </bk>
    <bk>
      <rc t="2" v="13993"/>
    </bk>
    <bk>
      <rc t="2" v="13994"/>
    </bk>
    <bk>
      <rc t="2" v="13995"/>
    </bk>
    <bk>
      <rc t="2" v="13996"/>
    </bk>
    <bk>
      <rc t="2" v="13997"/>
    </bk>
    <bk>
      <rc t="2" v="13998"/>
    </bk>
    <bk>
      <rc t="2" v="13999"/>
    </bk>
    <bk>
      <rc t="2" v="14000"/>
    </bk>
    <bk>
      <rc t="2" v="14001"/>
    </bk>
    <bk>
      <rc t="2" v="14002"/>
    </bk>
    <bk>
      <rc t="2" v="14003"/>
    </bk>
    <bk>
      <rc t="2" v="14004"/>
    </bk>
    <bk>
      <rc t="2" v="14005"/>
    </bk>
    <bk>
      <rc t="2" v="14006"/>
    </bk>
    <bk>
      <rc t="2" v="14007"/>
    </bk>
    <bk>
      <rc t="2" v="14008"/>
    </bk>
    <bk>
      <rc t="2" v="14009"/>
    </bk>
    <bk>
      <rc t="2" v="14010"/>
    </bk>
    <bk>
      <rc t="2" v="14011"/>
    </bk>
    <bk>
      <rc t="2" v="14012"/>
    </bk>
    <bk>
      <rc t="2" v="14013"/>
    </bk>
    <bk>
      <rc t="2" v="14014"/>
    </bk>
    <bk>
      <rc t="2" v="14015"/>
    </bk>
    <bk>
      <rc t="2" v="14016"/>
    </bk>
    <bk>
      <rc t="2" v="14017"/>
    </bk>
    <bk>
      <rc t="2" v="14018"/>
    </bk>
    <bk>
      <rc t="2" v="14019"/>
    </bk>
    <bk>
      <rc t="2" v="14020"/>
    </bk>
    <bk>
      <rc t="2" v="14021"/>
    </bk>
    <bk>
      <rc t="2" v="14022"/>
    </bk>
    <bk>
      <rc t="2" v="14023"/>
    </bk>
    <bk>
      <rc t="2" v="14024"/>
    </bk>
    <bk>
      <rc t="2" v="14025"/>
    </bk>
    <bk>
      <rc t="2" v="14026"/>
    </bk>
    <bk>
      <rc t="2" v="14027"/>
    </bk>
    <bk>
      <rc t="2" v="14028"/>
    </bk>
    <bk>
      <rc t="2" v="14029"/>
    </bk>
    <bk>
      <rc t="2" v="14030"/>
    </bk>
    <bk>
      <rc t="2" v="14031"/>
    </bk>
    <bk>
      <rc t="2" v="14032"/>
    </bk>
    <bk>
      <rc t="2" v="14033"/>
    </bk>
    <bk>
      <rc t="2" v="14034"/>
    </bk>
    <bk>
      <rc t="2" v="14035"/>
    </bk>
    <bk>
      <rc t="2" v="14036"/>
    </bk>
    <bk>
      <rc t="2" v="14037"/>
    </bk>
    <bk>
      <rc t="2" v="14038"/>
    </bk>
    <bk>
      <rc t="2" v="14039"/>
    </bk>
    <bk>
      <rc t="2" v="14040"/>
    </bk>
    <bk>
      <rc t="2" v="14041"/>
    </bk>
    <bk>
      <rc t="2" v="14042"/>
    </bk>
    <bk>
      <rc t="2" v="14043"/>
    </bk>
    <bk>
      <rc t="2" v="14044"/>
    </bk>
    <bk>
      <rc t="2" v="14045"/>
    </bk>
    <bk>
      <rc t="2" v="14046"/>
    </bk>
    <bk>
      <rc t="2" v="14047"/>
    </bk>
    <bk>
      <rc t="2" v="14048"/>
    </bk>
    <bk>
      <rc t="2" v="14049"/>
    </bk>
    <bk>
      <rc t="2" v="14050"/>
    </bk>
    <bk>
      <rc t="2" v="14051"/>
    </bk>
    <bk>
      <rc t="2" v="14052"/>
    </bk>
    <bk>
      <rc t="2" v="14053"/>
    </bk>
    <bk>
      <rc t="2" v="14054"/>
    </bk>
    <bk>
      <rc t="2" v="14055"/>
    </bk>
    <bk>
      <rc t="2" v="14056"/>
    </bk>
    <bk>
      <rc t="2" v="14057"/>
    </bk>
    <bk>
      <rc t="2" v="14058"/>
    </bk>
    <bk>
      <rc t="2" v="14059"/>
    </bk>
    <bk>
      <rc t="2" v="14060"/>
    </bk>
    <bk>
      <rc t="2" v="14061"/>
    </bk>
    <bk>
      <rc t="2" v="14062"/>
    </bk>
    <bk>
      <rc t="2" v="14063"/>
    </bk>
    <bk>
      <rc t="2" v="14064"/>
    </bk>
    <bk>
      <rc t="2" v="14065"/>
    </bk>
    <bk>
      <rc t="2" v="14066"/>
    </bk>
    <bk>
      <rc t="2" v="14067"/>
    </bk>
    <bk>
      <rc t="2" v="14068"/>
    </bk>
    <bk>
      <rc t="2" v="14069"/>
    </bk>
    <bk>
      <rc t="2" v="14070"/>
    </bk>
    <bk>
      <rc t="2" v="14071"/>
    </bk>
    <bk>
      <rc t="2" v="14072"/>
    </bk>
    <bk>
      <rc t="2" v="14073"/>
    </bk>
    <bk>
      <rc t="2" v="14074"/>
    </bk>
    <bk>
      <rc t="2" v="14075"/>
    </bk>
    <bk>
      <rc t="2" v="14076"/>
    </bk>
    <bk>
      <rc t="2" v="14077"/>
    </bk>
    <bk>
      <rc t="2" v="14078"/>
    </bk>
    <bk>
      <rc t="2" v="14079"/>
    </bk>
    <bk>
      <rc t="2" v="14080"/>
    </bk>
    <bk>
      <rc t="2" v="14081"/>
    </bk>
    <bk>
      <rc t="2" v="14082"/>
    </bk>
    <bk>
      <rc t="2" v="14083"/>
    </bk>
    <bk>
      <rc t="2" v="14084"/>
    </bk>
    <bk>
      <rc t="2" v="14085"/>
    </bk>
    <bk>
      <rc t="2" v="14086"/>
    </bk>
    <bk>
      <rc t="2" v="14087"/>
    </bk>
    <bk>
      <rc t="2" v="14088"/>
    </bk>
    <bk>
      <rc t="2" v="14089"/>
    </bk>
    <bk>
      <rc t="2" v="14090"/>
    </bk>
    <bk>
      <rc t="2" v="14091"/>
    </bk>
    <bk>
      <rc t="2" v="14092"/>
    </bk>
    <bk>
      <rc t="2" v="14093"/>
    </bk>
    <bk>
      <rc t="2" v="14094"/>
    </bk>
    <bk>
      <rc t="2" v="14095"/>
    </bk>
    <bk>
      <rc t="2" v="14096"/>
    </bk>
    <bk>
      <rc t="2" v="14097"/>
    </bk>
    <bk>
      <rc t="2" v="14098"/>
    </bk>
    <bk>
      <rc t="2" v="14099"/>
    </bk>
    <bk>
      <rc t="2" v="14100"/>
    </bk>
    <bk>
      <rc t="2" v="14101"/>
    </bk>
    <bk>
      <rc t="2" v="14102"/>
    </bk>
    <bk>
      <rc t="2" v="14103"/>
    </bk>
    <bk>
      <rc t="2" v="14104"/>
    </bk>
    <bk>
      <rc t="2" v="14105"/>
    </bk>
    <bk>
      <rc t="2" v="14106"/>
    </bk>
    <bk>
      <rc t="2" v="14107"/>
    </bk>
    <bk>
      <rc t="2" v="14108"/>
    </bk>
    <bk>
      <rc t="2" v="14109"/>
    </bk>
    <bk>
      <rc t="2" v="14110"/>
    </bk>
    <bk>
      <rc t="2" v="14111"/>
    </bk>
    <bk>
      <rc t="2" v="14112"/>
    </bk>
    <bk>
      <rc t="2" v="14113"/>
    </bk>
    <bk>
      <rc t="2" v="14114"/>
    </bk>
    <bk>
      <rc t="2" v="14115"/>
    </bk>
    <bk>
      <rc t="2" v="14116"/>
    </bk>
    <bk>
      <rc t="2" v="14117"/>
    </bk>
    <bk>
      <rc t="2" v="14118"/>
    </bk>
    <bk>
      <rc t="2" v="14119"/>
    </bk>
    <bk>
      <rc t="2" v="14120"/>
    </bk>
    <bk>
      <rc t="2" v="14121"/>
    </bk>
    <bk>
      <rc t="2" v="14122"/>
    </bk>
    <bk>
      <rc t="2" v="14123"/>
    </bk>
    <bk>
      <rc t="2" v="14124"/>
    </bk>
    <bk>
      <rc t="2" v="14125"/>
    </bk>
    <bk>
      <rc t="2" v="14126"/>
    </bk>
    <bk>
      <rc t="2" v="14127"/>
    </bk>
    <bk>
      <rc t="2" v="14128"/>
    </bk>
    <bk>
      <rc t="2" v="14129"/>
    </bk>
    <bk>
      <rc t="2" v="14130"/>
    </bk>
    <bk>
      <rc t="2" v="14131"/>
    </bk>
    <bk>
      <rc t="2" v="14132"/>
    </bk>
    <bk>
      <rc t="2" v="14133"/>
    </bk>
    <bk>
      <rc t="2" v="14134"/>
    </bk>
    <bk>
      <rc t="2" v="14135"/>
    </bk>
    <bk>
      <rc t="2" v="14136"/>
    </bk>
    <bk>
      <rc t="2" v="14137"/>
    </bk>
    <bk>
      <rc t="2" v="14138"/>
    </bk>
    <bk>
      <rc t="2" v="14139"/>
    </bk>
    <bk>
      <rc t="2" v="14140"/>
    </bk>
    <bk>
      <rc t="2" v="14141"/>
    </bk>
    <bk>
      <rc t="2" v="14142"/>
    </bk>
    <bk>
      <rc t="2" v="14143"/>
    </bk>
    <bk>
      <rc t="2" v="14144"/>
    </bk>
    <bk>
      <rc t="2" v="14145"/>
    </bk>
    <bk>
      <rc t="2" v="14146"/>
    </bk>
    <bk>
      <rc t="2" v="14147"/>
    </bk>
    <bk>
      <rc t="2" v="14148"/>
    </bk>
    <bk>
      <rc t="2" v="14149"/>
    </bk>
    <bk>
      <rc t="2" v="14150"/>
    </bk>
    <bk>
      <rc t="2" v="14151"/>
    </bk>
    <bk>
      <rc t="2" v="14152"/>
    </bk>
    <bk>
      <rc t="2" v="14153"/>
    </bk>
    <bk>
      <rc t="2" v="14154"/>
    </bk>
    <bk>
      <rc t="2" v="14155"/>
    </bk>
    <bk>
      <rc t="2" v="14156"/>
    </bk>
    <bk>
      <rc t="2" v="14157"/>
    </bk>
    <bk>
      <rc t="2" v="14158"/>
    </bk>
    <bk>
      <rc t="2" v="14159"/>
    </bk>
    <bk>
      <rc t="2" v="14160"/>
    </bk>
    <bk>
      <rc t="2" v="14161"/>
    </bk>
    <bk>
      <rc t="2" v="14162"/>
    </bk>
    <bk>
      <rc t="2" v="14163"/>
    </bk>
    <bk>
      <rc t="2" v="14164"/>
    </bk>
    <bk>
      <rc t="2" v="14165"/>
    </bk>
    <bk>
      <rc t="2" v="14166"/>
    </bk>
    <bk>
      <rc t="2" v="14167"/>
    </bk>
    <bk>
      <rc t="2" v="14168"/>
    </bk>
    <bk>
      <rc t="2" v="14169"/>
    </bk>
    <bk>
      <rc t="2" v="14170"/>
    </bk>
    <bk>
      <rc t="2" v="14171"/>
    </bk>
    <bk>
      <rc t="2" v="14172"/>
    </bk>
    <bk>
      <rc t="2" v="14173"/>
    </bk>
    <bk>
      <rc t="2" v="14174"/>
    </bk>
    <bk>
      <rc t="2" v="14175"/>
    </bk>
    <bk>
      <rc t="2" v="14176"/>
    </bk>
    <bk>
      <rc t="2" v="14177"/>
    </bk>
    <bk>
      <rc t="2" v="14178"/>
    </bk>
    <bk>
      <rc t="2" v="14179"/>
    </bk>
    <bk>
      <rc t="2" v="14180"/>
    </bk>
    <bk>
      <rc t="2" v="14181"/>
    </bk>
    <bk>
      <rc t="2" v="14182"/>
    </bk>
    <bk>
      <rc t="2" v="14183"/>
    </bk>
    <bk>
      <rc t="2" v="14184"/>
    </bk>
    <bk>
      <rc t="2" v="14185"/>
    </bk>
    <bk>
      <rc t="2" v="14186"/>
    </bk>
    <bk>
      <rc t="2" v="14187"/>
    </bk>
    <bk>
      <rc t="2" v="14188"/>
    </bk>
    <bk>
      <rc t="2" v="14189"/>
    </bk>
    <bk>
      <rc t="2" v="14190"/>
    </bk>
    <bk>
      <rc t="2" v="14191"/>
    </bk>
    <bk>
      <rc t="2" v="14192"/>
    </bk>
    <bk>
      <rc t="2" v="14193"/>
    </bk>
    <bk>
      <rc t="2" v="14194"/>
    </bk>
    <bk>
      <rc t="2" v="14195"/>
    </bk>
    <bk>
      <rc t="2" v="14196"/>
    </bk>
    <bk>
      <rc t="2" v="14197"/>
    </bk>
    <bk>
      <rc t="2" v="14198"/>
    </bk>
    <bk>
      <rc t="2" v="14199"/>
    </bk>
    <bk>
      <rc t="2" v="14200"/>
    </bk>
    <bk>
      <rc t="2" v="14201"/>
    </bk>
    <bk>
      <rc t="2" v="14202"/>
    </bk>
    <bk>
      <rc t="2" v="14203"/>
    </bk>
    <bk>
      <rc t="2" v="14204"/>
    </bk>
    <bk>
      <rc t="2" v="14205"/>
    </bk>
    <bk>
      <rc t="2" v="14206"/>
    </bk>
    <bk>
      <rc t="2" v="14207"/>
    </bk>
    <bk>
      <rc t="2" v="14208"/>
    </bk>
    <bk>
      <rc t="2" v="14209"/>
    </bk>
    <bk>
      <rc t="2" v="14210"/>
    </bk>
    <bk>
      <rc t="2" v="14211"/>
    </bk>
    <bk>
      <rc t="2" v="14212"/>
    </bk>
    <bk>
      <rc t="2" v="14213"/>
    </bk>
    <bk>
      <rc t="2" v="14214"/>
    </bk>
    <bk>
      <rc t="2" v="14215"/>
    </bk>
    <bk>
      <rc t="2" v="14216"/>
    </bk>
    <bk>
      <rc t="2" v="14217"/>
    </bk>
    <bk>
      <rc t="2" v="14218"/>
    </bk>
    <bk>
      <rc t="2" v="14219"/>
    </bk>
    <bk>
      <rc t="2" v="14220"/>
    </bk>
    <bk>
      <rc t="2" v="14221"/>
    </bk>
    <bk>
      <rc t="2" v="14222"/>
    </bk>
    <bk>
      <rc t="2" v="14223"/>
    </bk>
    <bk>
      <rc t="2" v="14224"/>
    </bk>
    <bk>
      <rc t="2" v="14225"/>
    </bk>
    <bk>
      <rc t="2" v="14226"/>
    </bk>
    <bk>
      <rc t="2" v="14227"/>
    </bk>
    <bk>
      <rc t="2" v="14228"/>
    </bk>
    <bk>
      <rc t="2" v="14229"/>
    </bk>
    <bk>
      <rc t="2" v="14230"/>
    </bk>
    <bk>
      <rc t="2" v="14231"/>
    </bk>
    <bk>
      <rc t="2" v="14232"/>
    </bk>
    <bk>
      <rc t="2" v="14233"/>
    </bk>
    <bk>
      <rc t="2" v="14234"/>
    </bk>
    <bk>
      <rc t="2" v="14235"/>
    </bk>
    <bk>
      <rc t="2" v="14236"/>
    </bk>
    <bk>
      <rc t="2" v="14237"/>
    </bk>
    <bk>
      <rc t="2" v="14238"/>
    </bk>
    <bk>
      <rc t="2" v="14239"/>
    </bk>
    <bk>
      <rc t="2" v="14240"/>
    </bk>
    <bk>
      <rc t="2" v="14241"/>
    </bk>
    <bk>
      <rc t="2" v="14242"/>
    </bk>
    <bk>
      <rc t="2" v="14243"/>
    </bk>
    <bk>
      <rc t="2" v="14244"/>
    </bk>
    <bk>
      <rc t="2" v="14245"/>
    </bk>
    <bk>
      <rc t="2" v="14246"/>
    </bk>
    <bk>
      <rc t="2" v="14247"/>
    </bk>
    <bk>
      <rc t="2" v="14248"/>
    </bk>
    <bk>
      <rc t="2" v="14249"/>
    </bk>
    <bk>
      <rc t="2" v="14250"/>
    </bk>
    <bk>
      <rc t="2" v="14251"/>
    </bk>
    <bk>
      <rc t="2" v="14252"/>
    </bk>
    <bk>
      <rc t="2" v="14253"/>
    </bk>
    <bk>
      <rc t="2" v="14254"/>
    </bk>
    <bk>
      <rc t="2" v="14255"/>
    </bk>
    <bk>
      <rc t="2" v="14256"/>
    </bk>
    <bk>
      <rc t="2" v="14257"/>
    </bk>
    <bk>
      <rc t="2" v="14258"/>
    </bk>
    <bk>
      <rc t="2" v="14259"/>
    </bk>
    <bk>
      <rc t="2" v="14260"/>
    </bk>
    <bk>
      <rc t="2" v="14261"/>
    </bk>
    <bk>
      <rc t="2" v="14262"/>
    </bk>
    <bk>
      <rc t="2" v="14263"/>
    </bk>
    <bk>
      <rc t="2" v="14264"/>
    </bk>
    <bk>
      <rc t="2" v="14265"/>
    </bk>
    <bk>
      <rc t="2" v="14266"/>
    </bk>
    <bk>
      <rc t="2" v="14267"/>
    </bk>
    <bk>
      <rc t="2" v="14268"/>
    </bk>
    <bk>
      <rc t="2" v="14269"/>
    </bk>
    <bk>
      <rc t="2" v="14270"/>
    </bk>
    <bk>
      <rc t="2" v="14271"/>
    </bk>
    <bk>
      <rc t="2" v="14272"/>
    </bk>
    <bk>
      <rc t="2" v="14273"/>
    </bk>
    <bk>
      <rc t="2" v="14274"/>
    </bk>
    <bk>
      <rc t="2" v="14275"/>
    </bk>
    <bk>
      <rc t="2" v="14276"/>
    </bk>
    <bk>
      <rc t="2" v="14277"/>
    </bk>
    <bk>
      <rc t="2" v="14278"/>
    </bk>
    <bk>
      <rc t="2" v="14279"/>
    </bk>
    <bk>
      <rc t="2" v="14280"/>
    </bk>
    <bk>
      <rc t="2" v="14281"/>
    </bk>
    <bk>
      <rc t="2" v="14282"/>
    </bk>
    <bk>
      <rc t="2" v="14283"/>
    </bk>
    <bk>
      <rc t="2" v="14284"/>
    </bk>
    <bk>
      <rc t="2" v="14285"/>
    </bk>
    <bk>
      <rc t="2" v="14286"/>
    </bk>
    <bk>
      <rc t="2" v="14287"/>
    </bk>
    <bk>
      <rc t="2" v="14288"/>
    </bk>
    <bk>
      <rc t="2" v="14289"/>
    </bk>
    <bk>
      <rc t="2" v="14290"/>
    </bk>
    <bk>
      <rc t="2" v="14291"/>
    </bk>
    <bk>
      <rc t="2" v="14292"/>
    </bk>
    <bk>
      <rc t="2" v="14293"/>
    </bk>
    <bk>
      <rc t="2" v="14294"/>
    </bk>
    <bk>
      <rc t="2" v="14295"/>
    </bk>
    <bk>
      <rc t="2" v="14296"/>
    </bk>
    <bk>
      <rc t="2" v="14297"/>
    </bk>
    <bk>
      <rc t="2" v="14298"/>
    </bk>
    <bk>
      <rc t="2" v="14299"/>
    </bk>
    <bk>
      <rc t="2" v="14300"/>
    </bk>
    <bk>
      <rc t="2" v="14301"/>
    </bk>
    <bk>
      <rc t="2" v="14302"/>
    </bk>
    <bk>
      <rc t="2" v="14303"/>
    </bk>
    <bk>
      <rc t="2" v="14304"/>
    </bk>
    <bk>
      <rc t="2" v="14305"/>
    </bk>
    <bk>
      <rc t="2" v="14306"/>
    </bk>
    <bk>
      <rc t="2" v="14307"/>
    </bk>
    <bk>
      <rc t="2" v="14308"/>
    </bk>
    <bk>
      <rc t="2" v="14309"/>
    </bk>
    <bk>
      <rc t="2" v="14310"/>
    </bk>
    <bk>
      <rc t="2" v="14311"/>
    </bk>
    <bk>
      <rc t="2" v="14312"/>
    </bk>
    <bk>
      <rc t="2" v="14313"/>
    </bk>
    <bk>
      <rc t="2" v="14314"/>
    </bk>
    <bk>
      <rc t="2" v="14315"/>
    </bk>
    <bk>
      <rc t="2" v="14316"/>
    </bk>
    <bk>
      <rc t="2" v="14317"/>
    </bk>
    <bk>
      <rc t="2" v="14318"/>
    </bk>
    <bk>
      <rc t="2" v="14319"/>
    </bk>
    <bk>
      <rc t="2" v="14320"/>
    </bk>
    <bk>
      <rc t="2" v="14321"/>
    </bk>
    <bk>
      <rc t="2" v="14322"/>
    </bk>
    <bk>
      <rc t="2" v="14323"/>
    </bk>
    <bk>
      <rc t="2" v="14324"/>
    </bk>
    <bk>
      <rc t="2" v="14325"/>
    </bk>
    <bk>
      <rc t="2" v="14326"/>
    </bk>
    <bk>
      <rc t="2" v="14327"/>
    </bk>
    <bk>
      <rc t="2" v="14328"/>
    </bk>
    <bk>
      <rc t="2" v="14329"/>
    </bk>
    <bk>
      <rc t="2" v="14330"/>
    </bk>
    <bk>
      <rc t="2" v="14331"/>
    </bk>
    <bk>
      <rc t="2" v="14332"/>
    </bk>
    <bk>
      <rc t="2" v="14333"/>
    </bk>
    <bk>
      <rc t="2" v="14334"/>
    </bk>
    <bk>
      <rc t="2" v="14335"/>
    </bk>
    <bk>
      <rc t="2" v="14336"/>
    </bk>
    <bk>
      <rc t="2" v="14337"/>
    </bk>
    <bk>
      <rc t="2" v="14338"/>
    </bk>
    <bk>
      <rc t="2" v="14339"/>
    </bk>
    <bk>
      <rc t="2" v="14340"/>
    </bk>
    <bk>
      <rc t="2" v="14341"/>
    </bk>
    <bk>
      <rc t="2" v="14342"/>
    </bk>
    <bk>
      <rc t="2" v="14343"/>
    </bk>
    <bk>
      <rc t="2" v="14344"/>
    </bk>
    <bk>
      <rc t="2" v="14345"/>
    </bk>
    <bk>
      <rc t="2" v="14346"/>
    </bk>
    <bk>
      <rc t="2" v="14347"/>
    </bk>
    <bk>
      <rc t="2" v="14348"/>
    </bk>
    <bk>
      <rc t="2" v="14349"/>
    </bk>
    <bk>
      <rc t="2" v="14350"/>
    </bk>
    <bk>
      <rc t="2" v="14351"/>
    </bk>
    <bk>
      <rc t="2" v="14352"/>
    </bk>
    <bk>
      <rc t="2" v="14353"/>
    </bk>
    <bk>
      <rc t="2" v="14354"/>
    </bk>
    <bk>
      <rc t="2" v="14355"/>
    </bk>
    <bk>
      <rc t="2" v="14356"/>
    </bk>
    <bk>
      <rc t="2" v="14357"/>
    </bk>
    <bk>
      <rc t="2" v="14358"/>
    </bk>
    <bk>
      <rc t="2" v="14359"/>
    </bk>
    <bk>
      <rc t="2" v="14360"/>
    </bk>
    <bk>
      <rc t="2" v="14361"/>
    </bk>
    <bk>
      <rc t="2" v="14362"/>
    </bk>
    <bk>
      <rc t="2" v="14363"/>
    </bk>
    <bk>
      <rc t="2" v="14364"/>
    </bk>
    <bk>
      <rc t="2" v="14365"/>
    </bk>
    <bk>
      <rc t="2" v="14366"/>
    </bk>
    <bk>
      <rc t="2" v="14367"/>
    </bk>
    <bk>
      <rc t="2" v="14368"/>
    </bk>
    <bk>
      <rc t="2" v="14369"/>
    </bk>
    <bk>
      <rc t="2" v="14370"/>
    </bk>
    <bk>
      <rc t="2" v="14371"/>
    </bk>
    <bk>
      <rc t="2" v="14372"/>
    </bk>
    <bk>
      <rc t="2" v="14373"/>
    </bk>
    <bk>
      <rc t="2" v="14374"/>
    </bk>
    <bk>
      <rc t="2" v="14375"/>
    </bk>
    <bk>
      <rc t="2" v="14376"/>
    </bk>
    <bk>
      <rc t="2" v="14377"/>
    </bk>
    <bk>
      <rc t="2" v="14378"/>
    </bk>
    <bk>
      <rc t="2" v="14379"/>
    </bk>
    <bk>
      <rc t="2" v="14380"/>
    </bk>
    <bk>
      <rc t="2" v="14381"/>
    </bk>
    <bk>
      <rc t="2" v="14382"/>
    </bk>
    <bk>
      <rc t="2" v="14383"/>
    </bk>
    <bk>
      <rc t="2" v="14384"/>
    </bk>
    <bk>
      <rc t="2" v="14385"/>
    </bk>
    <bk>
      <rc t="2" v="14386"/>
    </bk>
    <bk>
      <rc t="2" v="14387"/>
    </bk>
    <bk>
      <rc t="2" v="14388"/>
    </bk>
    <bk>
      <rc t="2" v="14389"/>
    </bk>
    <bk>
      <rc t="2" v="14390"/>
    </bk>
    <bk>
      <rc t="2" v="14391"/>
    </bk>
    <bk>
      <rc t="2" v="14392"/>
    </bk>
    <bk>
      <rc t="2" v="14393"/>
    </bk>
    <bk>
      <rc t="2" v="14394"/>
    </bk>
    <bk>
      <rc t="2" v="14395"/>
    </bk>
    <bk>
      <rc t="2" v="14396"/>
    </bk>
    <bk>
      <rc t="2" v="14397"/>
    </bk>
    <bk>
      <rc t="2" v="14398"/>
    </bk>
    <bk>
      <rc t="2" v="14399"/>
    </bk>
    <bk>
      <rc t="2" v="14400"/>
    </bk>
    <bk>
      <rc t="2" v="14401"/>
    </bk>
    <bk>
      <rc t="2" v="14402"/>
    </bk>
    <bk>
      <rc t="2" v="14403"/>
    </bk>
    <bk>
      <rc t="2" v="14404"/>
    </bk>
    <bk>
      <rc t="2" v="14405"/>
    </bk>
    <bk>
      <rc t="2" v="14406"/>
    </bk>
    <bk>
      <rc t="2" v="14407"/>
    </bk>
    <bk>
      <rc t="2" v="14408"/>
    </bk>
    <bk>
      <rc t="2" v="14409"/>
    </bk>
    <bk>
      <rc t="2" v="14410"/>
    </bk>
    <bk>
      <rc t="2" v="14411"/>
    </bk>
    <bk>
      <rc t="2" v="14412"/>
    </bk>
    <bk>
      <rc t="2" v="14413"/>
    </bk>
    <bk>
      <rc t="2" v="14414"/>
    </bk>
    <bk>
      <rc t="2" v="14415"/>
    </bk>
    <bk>
      <rc t="2" v="14416"/>
    </bk>
    <bk>
      <rc t="2" v="14417"/>
    </bk>
    <bk>
      <rc t="2" v="14418"/>
    </bk>
    <bk>
      <rc t="2" v="14419"/>
    </bk>
    <bk>
      <rc t="2" v="14420"/>
    </bk>
    <bk>
      <rc t="2" v="14421"/>
    </bk>
    <bk>
      <rc t="2" v="14422"/>
    </bk>
    <bk>
      <rc t="2" v="14423"/>
    </bk>
    <bk>
      <rc t="2" v="14424"/>
    </bk>
    <bk>
      <rc t="2" v="14425"/>
    </bk>
    <bk>
      <rc t="2" v="14426"/>
    </bk>
    <bk>
      <rc t="2" v="14427"/>
    </bk>
    <bk>
      <rc t="2" v="14428"/>
    </bk>
    <bk>
      <rc t="2" v="14429"/>
    </bk>
    <bk>
      <rc t="2" v="14430"/>
    </bk>
    <bk>
      <rc t="2" v="14431"/>
    </bk>
    <bk>
      <rc t="2" v="14432"/>
    </bk>
    <bk>
      <rc t="2" v="14433"/>
    </bk>
    <bk>
      <rc t="2" v="14434"/>
    </bk>
    <bk>
      <rc t="2" v="14435"/>
    </bk>
    <bk>
      <rc t="2" v="14436"/>
    </bk>
    <bk>
      <rc t="2" v="14437"/>
    </bk>
    <bk>
      <rc t="2" v="14438"/>
    </bk>
    <bk>
      <rc t="2" v="14439"/>
    </bk>
    <bk>
      <rc t="2" v="14440"/>
    </bk>
    <bk>
      <rc t="2" v="14441"/>
    </bk>
    <bk>
      <rc t="2" v="14442"/>
    </bk>
    <bk>
      <rc t="2" v="14443"/>
    </bk>
    <bk>
      <rc t="2" v="14444"/>
    </bk>
    <bk>
      <rc t="2" v="14445"/>
    </bk>
    <bk>
      <rc t="2" v="14446"/>
    </bk>
    <bk>
      <rc t="2" v="14447"/>
    </bk>
    <bk>
      <rc t="2" v="14448"/>
    </bk>
    <bk>
      <rc t="2" v="14449"/>
    </bk>
    <bk>
      <rc t="2" v="14450"/>
    </bk>
    <bk>
      <rc t="2" v="14451"/>
    </bk>
    <bk>
      <rc t="2" v="14452"/>
    </bk>
    <bk>
      <rc t="2" v="14453"/>
    </bk>
    <bk>
      <rc t="2" v="14454"/>
    </bk>
    <bk>
      <rc t="2" v="14455"/>
    </bk>
    <bk>
      <rc t="2" v="14456"/>
    </bk>
    <bk>
      <rc t="2" v="14457"/>
    </bk>
    <bk>
      <rc t="2" v="14458"/>
    </bk>
    <bk>
      <rc t="2" v="14459"/>
    </bk>
    <bk>
      <rc t="2" v="14460"/>
    </bk>
    <bk>
      <rc t="2" v="14461"/>
    </bk>
    <bk>
      <rc t="2" v="14462"/>
    </bk>
    <bk>
      <rc t="2" v="14463"/>
    </bk>
    <bk>
      <rc t="2" v="14464"/>
    </bk>
    <bk>
      <rc t="2" v="14465"/>
    </bk>
    <bk>
      <rc t="2" v="14466"/>
    </bk>
    <bk>
      <rc t="2" v="14467"/>
    </bk>
    <bk>
      <rc t="2" v="14468"/>
    </bk>
    <bk>
      <rc t="2" v="14469"/>
    </bk>
    <bk>
      <rc t="2" v="14470"/>
    </bk>
    <bk>
      <rc t="2" v="14471"/>
    </bk>
    <bk>
      <rc t="2" v="14472"/>
    </bk>
    <bk>
      <rc t="2" v="14473"/>
    </bk>
    <bk>
      <rc t="2" v="14474"/>
    </bk>
    <bk>
      <rc t="2" v="14475"/>
    </bk>
    <bk>
      <rc t="2" v="14476"/>
    </bk>
    <bk>
      <rc t="2" v="14477"/>
    </bk>
    <bk>
      <rc t="2" v="14478"/>
    </bk>
    <bk>
      <rc t="2" v="14479"/>
    </bk>
    <bk>
      <rc t="2" v="14480"/>
    </bk>
    <bk>
      <rc t="2" v="14481"/>
    </bk>
    <bk>
      <rc t="2" v="14482"/>
    </bk>
    <bk>
      <rc t="2" v="14483"/>
    </bk>
    <bk>
      <rc t="2" v="14484"/>
    </bk>
    <bk>
      <rc t="2" v="14485"/>
    </bk>
    <bk>
      <rc t="2" v="14486"/>
    </bk>
    <bk>
      <rc t="2" v="14487"/>
    </bk>
    <bk>
      <rc t="2" v="14488"/>
    </bk>
    <bk>
      <rc t="2" v="14489"/>
    </bk>
    <bk>
      <rc t="2" v="14490"/>
    </bk>
    <bk>
      <rc t="2" v="14491"/>
    </bk>
    <bk>
      <rc t="2" v="14492"/>
    </bk>
    <bk>
      <rc t="2" v="14493"/>
    </bk>
    <bk>
      <rc t="2" v="14494"/>
    </bk>
    <bk>
      <rc t="2" v="14495"/>
    </bk>
    <bk>
      <rc t="2" v="14496"/>
    </bk>
    <bk>
      <rc t="2" v="14497"/>
    </bk>
    <bk>
      <rc t="2" v="14498"/>
    </bk>
    <bk>
      <rc t="2" v="14499"/>
    </bk>
    <bk>
      <rc t="2" v="14500"/>
    </bk>
    <bk>
      <rc t="2" v="14501"/>
    </bk>
    <bk>
      <rc t="2" v="14502"/>
    </bk>
    <bk>
      <rc t="2" v="14503"/>
    </bk>
    <bk>
      <rc t="2" v="14504"/>
    </bk>
    <bk>
      <rc t="2" v="14505"/>
    </bk>
    <bk>
      <rc t="2" v="14506"/>
    </bk>
    <bk>
      <rc t="2" v="14507"/>
    </bk>
    <bk>
      <rc t="2" v="14508"/>
    </bk>
    <bk>
      <rc t="2" v="14509"/>
    </bk>
    <bk>
      <rc t="2" v="14510"/>
    </bk>
    <bk>
      <rc t="2" v="14511"/>
    </bk>
    <bk>
      <rc t="2" v="14512"/>
    </bk>
    <bk>
      <rc t="2" v="14513"/>
    </bk>
    <bk>
      <rc t="2" v="14514"/>
    </bk>
    <bk>
      <rc t="2" v="14515"/>
    </bk>
    <bk>
      <rc t="2" v="14516"/>
    </bk>
    <bk>
      <rc t="2" v="14517"/>
    </bk>
    <bk>
      <rc t="2" v="14518"/>
    </bk>
    <bk>
      <rc t="2" v="14519"/>
    </bk>
    <bk>
      <rc t="2" v="14520"/>
    </bk>
    <bk>
      <rc t="2" v="14521"/>
    </bk>
    <bk>
      <rc t="2" v="14522"/>
    </bk>
    <bk>
      <rc t="2" v="14523"/>
    </bk>
    <bk>
      <rc t="2" v="14524"/>
    </bk>
    <bk>
      <rc t="2" v="14525"/>
    </bk>
    <bk>
      <rc t="2" v="14526"/>
    </bk>
    <bk>
      <rc t="2" v="14527"/>
    </bk>
    <bk>
      <rc t="2" v="14528"/>
    </bk>
    <bk>
      <rc t="2" v="14529"/>
    </bk>
    <bk>
      <rc t="2" v="14530"/>
    </bk>
    <bk>
      <rc t="2" v="14531"/>
    </bk>
    <bk>
      <rc t="2" v="14532"/>
    </bk>
    <bk>
      <rc t="2" v="14533"/>
    </bk>
    <bk>
      <rc t="2" v="14534"/>
    </bk>
    <bk>
      <rc t="2" v="14535"/>
    </bk>
    <bk>
      <rc t="2" v="14536"/>
    </bk>
    <bk>
      <rc t="2" v="14537"/>
    </bk>
    <bk>
      <rc t="2" v="14538"/>
    </bk>
    <bk>
      <rc t="2" v="14539"/>
    </bk>
    <bk>
      <rc t="2" v="14540"/>
    </bk>
    <bk>
      <rc t="2" v="14541"/>
    </bk>
    <bk>
      <rc t="2" v="14542"/>
    </bk>
    <bk>
      <rc t="2" v="14543"/>
    </bk>
    <bk>
      <rc t="2" v="14544"/>
    </bk>
    <bk>
      <rc t="2" v="14545"/>
    </bk>
    <bk>
      <rc t="2" v="14546"/>
    </bk>
    <bk>
      <rc t="2" v="14547"/>
    </bk>
    <bk>
      <rc t="2" v="14548"/>
    </bk>
    <bk>
      <rc t="2" v="14549"/>
    </bk>
    <bk>
      <rc t="2" v="14550"/>
    </bk>
    <bk>
      <rc t="2" v="14551"/>
    </bk>
    <bk>
      <rc t="2" v="14552"/>
    </bk>
    <bk>
      <rc t="2" v="14553"/>
    </bk>
    <bk>
      <rc t="2" v="14554"/>
    </bk>
    <bk>
      <rc t="2" v="14555"/>
    </bk>
    <bk>
      <rc t="2" v="14556"/>
    </bk>
    <bk>
      <rc t="2" v="14557"/>
    </bk>
    <bk>
      <rc t="2" v="14558"/>
    </bk>
    <bk>
      <rc t="2" v="14559"/>
    </bk>
    <bk>
      <rc t="2" v="14560"/>
    </bk>
    <bk>
      <rc t="2" v="14561"/>
    </bk>
    <bk>
      <rc t="2" v="14562"/>
    </bk>
    <bk>
      <rc t="2" v="14563"/>
    </bk>
    <bk>
      <rc t="2" v="14564"/>
    </bk>
    <bk>
      <rc t="2" v="14565"/>
    </bk>
    <bk>
      <rc t="2" v="14566"/>
    </bk>
    <bk>
      <rc t="2" v="14567"/>
    </bk>
    <bk>
      <rc t="2" v="14568"/>
    </bk>
    <bk>
      <rc t="2" v="14569"/>
    </bk>
    <bk>
      <rc t="2" v="14570"/>
    </bk>
    <bk>
      <rc t="2" v="14571"/>
    </bk>
    <bk>
      <rc t="2" v="14572"/>
    </bk>
    <bk>
      <rc t="2" v="14573"/>
    </bk>
    <bk>
      <rc t="2" v="14574"/>
    </bk>
    <bk>
      <rc t="2" v="14575"/>
    </bk>
    <bk>
      <rc t="2" v="14576"/>
    </bk>
    <bk>
      <rc t="2" v="14577"/>
    </bk>
    <bk>
      <rc t="2" v="14578"/>
    </bk>
    <bk>
      <rc t="2" v="14579"/>
    </bk>
    <bk>
      <rc t="2" v="14580"/>
    </bk>
    <bk>
      <rc t="2" v="14581"/>
    </bk>
    <bk>
      <rc t="2" v="14582"/>
    </bk>
    <bk>
      <rc t="2" v="14583"/>
    </bk>
    <bk>
      <rc t="2" v="14584"/>
    </bk>
    <bk>
      <rc t="2" v="14585"/>
    </bk>
    <bk>
      <rc t="2" v="14586"/>
    </bk>
    <bk>
      <rc t="2" v="14587"/>
    </bk>
    <bk>
      <rc t="2" v="14588"/>
    </bk>
    <bk>
      <rc t="2" v="14589"/>
    </bk>
    <bk>
      <rc t="2" v="14590"/>
    </bk>
    <bk>
      <rc t="2" v="14591"/>
    </bk>
    <bk>
      <rc t="2" v="14592"/>
    </bk>
    <bk>
      <rc t="2" v="14593"/>
    </bk>
    <bk>
      <rc t="2" v="14594"/>
    </bk>
    <bk>
      <rc t="2" v="14595"/>
    </bk>
    <bk>
      <rc t="2" v="14596"/>
    </bk>
    <bk>
      <rc t="2" v="14597"/>
    </bk>
    <bk>
      <rc t="2" v="14598"/>
    </bk>
    <bk>
      <rc t="2" v="14599"/>
    </bk>
    <bk>
      <rc t="2" v="14600"/>
    </bk>
    <bk>
      <rc t="2" v="14601"/>
    </bk>
    <bk>
      <rc t="2" v="14602"/>
    </bk>
    <bk>
      <rc t="2" v="14603"/>
    </bk>
    <bk>
      <rc t="2" v="14604"/>
    </bk>
    <bk>
      <rc t="2" v="14605"/>
    </bk>
    <bk>
      <rc t="2" v="14606"/>
    </bk>
    <bk>
      <rc t="2" v="14607"/>
    </bk>
    <bk>
      <rc t="2" v="14608"/>
    </bk>
    <bk>
      <rc t="2" v="14609"/>
    </bk>
    <bk>
      <rc t="2" v="14610"/>
    </bk>
    <bk>
      <rc t="2" v="14611"/>
    </bk>
    <bk>
      <rc t="2" v="14612"/>
    </bk>
    <bk>
      <rc t="2" v="14613"/>
    </bk>
    <bk>
      <rc t="2" v="14614"/>
    </bk>
    <bk>
      <rc t="2" v="14615"/>
    </bk>
    <bk>
      <rc t="2" v="14616"/>
    </bk>
    <bk>
      <rc t="2" v="14617"/>
    </bk>
    <bk>
      <rc t="2" v="14618"/>
    </bk>
    <bk>
      <rc t="2" v="14619"/>
    </bk>
    <bk>
      <rc t="2" v="14620"/>
    </bk>
    <bk>
      <rc t="2" v="14621"/>
    </bk>
    <bk>
      <rc t="2" v="14622"/>
    </bk>
    <bk>
      <rc t="2" v="14623"/>
    </bk>
    <bk>
      <rc t="2" v="14624"/>
    </bk>
    <bk>
      <rc t="2" v="14625"/>
    </bk>
    <bk>
      <rc t="2" v="14626"/>
    </bk>
    <bk>
      <rc t="2" v="14627"/>
    </bk>
    <bk>
      <rc t="2" v="14628"/>
    </bk>
    <bk>
      <rc t="2" v="14629"/>
    </bk>
    <bk>
      <rc t="2" v="14630"/>
    </bk>
    <bk>
      <rc t="2" v="14631"/>
    </bk>
    <bk>
      <rc t="2" v="14632"/>
    </bk>
    <bk>
      <rc t="2" v="14633"/>
    </bk>
    <bk>
      <rc t="2" v="14634"/>
    </bk>
    <bk>
      <rc t="2" v="14635"/>
    </bk>
    <bk>
      <rc t="2" v="14636"/>
    </bk>
    <bk>
      <rc t="2" v="14637"/>
    </bk>
    <bk>
      <rc t="2" v="14638"/>
    </bk>
    <bk>
      <rc t="2" v="14639"/>
    </bk>
    <bk>
      <rc t="2" v="14640"/>
    </bk>
    <bk>
      <rc t="2" v="14641"/>
    </bk>
    <bk>
      <rc t="2" v="14642"/>
    </bk>
    <bk>
      <rc t="2" v="14643"/>
    </bk>
    <bk>
      <rc t="2" v="14644"/>
    </bk>
    <bk>
      <rc t="2" v="14645"/>
    </bk>
    <bk>
      <rc t="2" v="14646"/>
    </bk>
    <bk>
      <rc t="2" v="14647"/>
    </bk>
    <bk>
      <rc t="2" v="14648"/>
    </bk>
    <bk>
      <rc t="2" v="14649"/>
    </bk>
    <bk>
      <rc t="2" v="14650"/>
    </bk>
    <bk>
      <rc t="2" v="14651"/>
    </bk>
    <bk>
      <rc t="2" v="14652"/>
    </bk>
    <bk>
      <rc t="2" v="14653"/>
    </bk>
    <bk>
      <rc t="2" v="14654"/>
    </bk>
    <bk>
      <rc t="2" v="14655"/>
    </bk>
    <bk>
      <rc t="2" v="14656"/>
    </bk>
    <bk>
      <rc t="2" v="14657"/>
    </bk>
    <bk>
      <rc t="2" v="14658"/>
    </bk>
    <bk>
      <rc t="2" v="14659"/>
    </bk>
    <bk>
      <rc t="2" v="14660"/>
    </bk>
    <bk>
      <rc t="2" v="14661"/>
    </bk>
    <bk>
      <rc t="2" v="14662"/>
    </bk>
    <bk>
      <rc t="2" v="14663"/>
    </bk>
    <bk>
      <rc t="2" v="14664"/>
    </bk>
    <bk>
      <rc t="2" v="14665"/>
    </bk>
    <bk>
      <rc t="2" v="14666"/>
    </bk>
    <bk>
      <rc t="2" v="14667"/>
    </bk>
    <bk>
      <rc t="2" v="14668"/>
    </bk>
    <bk>
      <rc t="2" v="14669"/>
    </bk>
    <bk>
      <rc t="2" v="14670"/>
    </bk>
    <bk>
      <rc t="2" v="14671"/>
    </bk>
    <bk>
      <rc t="2" v="14672"/>
    </bk>
    <bk>
      <rc t="2" v="14673"/>
    </bk>
    <bk>
      <rc t="2" v="14674"/>
    </bk>
    <bk>
      <rc t="2" v="14675"/>
    </bk>
    <bk>
      <rc t="2" v="14676"/>
    </bk>
    <bk>
      <rc t="2" v="14677"/>
    </bk>
    <bk>
      <rc t="2" v="14678"/>
    </bk>
    <bk>
      <rc t="2" v="14679"/>
    </bk>
    <bk>
      <rc t="2" v="14680"/>
    </bk>
    <bk>
      <rc t="2" v="14681"/>
    </bk>
    <bk>
      <rc t="2" v="14682"/>
    </bk>
    <bk>
      <rc t="2" v="14683"/>
    </bk>
    <bk>
      <rc t="2" v="14684"/>
    </bk>
    <bk>
      <rc t="2" v="14685"/>
    </bk>
    <bk>
      <rc t="2" v="14686"/>
    </bk>
    <bk>
      <rc t="2" v="14687"/>
    </bk>
    <bk>
      <rc t="2" v="14688"/>
    </bk>
    <bk>
      <rc t="2" v="14689"/>
    </bk>
    <bk>
      <rc t="2" v="14690"/>
    </bk>
    <bk>
      <rc t="2" v="14691"/>
    </bk>
    <bk>
      <rc t="2" v="14692"/>
    </bk>
    <bk>
      <rc t="2" v="14693"/>
    </bk>
    <bk>
      <rc t="2" v="14694"/>
    </bk>
    <bk>
      <rc t="2" v="14695"/>
    </bk>
    <bk>
      <rc t="2" v="14696"/>
    </bk>
    <bk>
      <rc t="2" v="14697"/>
    </bk>
    <bk>
      <rc t="2" v="14698"/>
    </bk>
    <bk>
      <rc t="2" v="14699"/>
    </bk>
    <bk>
      <rc t="2" v="14700"/>
    </bk>
    <bk>
      <rc t="2" v="14701"/>
    </bk>
    <bk>
      <rc t="2" v="14702"/>
    </bk>
    <bk>
      <rc t="2" v="14703"/>
    </bk>
    <bk>
      <rc t="2" v="14704"/>
    </bk>
    <bk>
      <rc t="2" v="14705"/>
    </bk>
    <bk>
      <rc t="2" v="14706"/>
    </bk>
    <bk>
      <rc t="2" v="14707"/>
    </bk>
    <bk>
      <rc t="2" v="14708"/>
    </bk>
    <bk>
      <rc t="2" v="14709"/>
    </bk>
    <bk>
      <rc t="2" v="14710"/>
    </bk>
    <bk>
      <rc t="2" v="14711"/>
    </bk>
    <bk>
      <rc t="2" v="14712"/>
    </bk>
    <bk>
      <rc t="2" v="14713"/>
    </bk>
    <bk>
      <rc t="2" v="14714"/>
    </bk>
    <bk>
      <rc t="2" v="14715"/>
    </bk>
    <bk>
      <rc t="2" v="14716"/>
    </bk>
    <bk>
      <rc t="2" v="14717"/>
    </bk>
    <bk>
      <rc t="2" v="14718"/>
    </bk>
    <bk>
      <rc t="2" v="14719"/>
    </bk>
    <bk>
      <rc t="2" v="14720"/>
    </bk>
    <bk>
      <rc t="2" v="14721"/>
    </bk>
    <bk>
      <rc t="2" v="14722"/>
    </bk>
    <bk>
      <rc t="2" v="14723"/>
    </bk>
    <bk>
      <rc t="2" v="14724"/>
    </bk>
    <bk>
      <rc t="2" v="14725"/>
    </bk>
    <bk>
      <rc t="2" v="14726"/>
    </bk>
    <bk>
      <rc t="2" v="14727"/>
    </bk>
    <bk>
      <rc t="2" v="14728"/>
    </bk>
    <bk>
      <rc t="2" v="14729"/>
    </bk>
    <bk>
      <rc t="2" v="14730"/>
    </bk>
    <bk>
      <rc t="2" v="14731"/>
    </bk>
    <bk>
      <rc t="2" v="14732"/>
    </bk>
    <bk>
      <rc t="2" v="14733"/>
    </bk>
    <bk>
      <rc t="2" v="14734"/>
    </bk>
    <bk>
      <rc t="2" v="14735"/>
    </bk>
    <bk>
      <rc t="2" v="14736"/>
    </bk>
    <bk>
      <rc t="2" v="14737"/>
    </bk>
    <bk>
      <rc t="2" v="14738"/>
    </bk>
    <bk>
      <rc t="2" v="14739"/>
    </bk>
    <bk>
      <rc t="2" v="14740"/>
    </bk>
    <bk>
      <rc t="2" v="14741"/>
    </bk>
    <bk>
      <rc t="2" v="14742"/>
    </bk>
    <bk>
      <rc t="2" v="14743"/>
    </bk>
    <bk>
      <rc t="2" v="14744"/>
    </bk>
    <bk>
      <rc t="2" v="14745"/>
    </bk>
    <bk>
      <rc t="2" v="14746"/>
    </bk>
    <bk>
      <rc t="2" v="14747"/>
    </bk>
    <bk>
      <rc t="2" v="14748"/>
    </bk>
    <bk>
      <rc t="2" v="14749"/>
    </bk>
    <bk>
      <rc t="2" v="14750"/>
    </bk>
    <bk>
      <rc t="2" v="14751"/>
    </bk>
    <bk>
      <rc t="2" v="14752"/>
    </bk>
    <bk>
      <rc t="2" v="14753"/>
    </bk>
    <bk>
      <rc t="2" v="14754"/>
    </bk>
    <bk>
      <rc t="2" v="14755"/>
    </bk>
    <bk>
      <rc t="2" v="14756"/>
    </bk>
    <bk>
      <rc t="2" v="14757"/>
    </bk>
    <bk>
      <rc t="2" v="14758"/>
    </bk>
    <bk>
      <rc t="2" v="14759"/>
    </bk>
    <bk>
      <rc t="2" v="14760"/>
    </bk>
    <bk>
      <rc t="2" v="14761"/>
    </bk>
    <bk>
      <rc t="2" v="14762"/>
    </bk>
    <bk>
      <rc t="2" v="14763"/>
    </bk>
    <bk>
      <rc t="2" v="14764"/>
    </bk>
    <bk>
      <rc t="2" v="14765"/>
    </bk>
    <bk>
      <rc t="2" v="14766"/>
    </bk>
    <bk>
      <rc t="2" v="14767"/>
    </bk>
    <bk>
      <rc t="2" v="14768"/>
    </bk>
    <bk>
      <rc t="2" v="14769"/>
    </bk>
    <bk>
      <rc t="2" v="14770"/>
    </bk>
    <bk>
      <rc t="2" v="14771"/>
    </bk>
    <bk>
      <rc t="2" v="14772"/>
    </bk>
    <bk>
      <rc t="2" v="14773"/>
    </bk>
    <bk>
      <rc t="2" v="14774"/>
    </bk>
    <bk>
      <rc t="2" v="14775"/>
    </bk>
    <bk>
      <rc t="2" v="14776"/>
    </bk>
    <bk>
      <rc t="2" v="14777"/>
    </bk>
    <bk>
      <rc t="2" v="14778"/>
    </bk>
    <bk>
      <rc t="2" v="14779"/>
    </bk>
    <bk>
      <rc t="2" v="14780"/>
    </bk>
    <bk>
      <rc t="2" v="14781"/>
    </bk>
    <bk>
      <rc t="2" v="14782"/>
    </bk>
    <bk>
      <rc t="2" v="14783"/>
    </bk>
    <bk>
      <rc t="2" v="14784"/>
    </bk>
    <bk>
      <rc t="2" v="14785"/>
    </bk>
    <bk>
      <rc t="2" v="14786"/>
    </bk>
    <bk>
      <rc t="2" v="14787"/>
    </bk>
    <bk>
      <rc t="2" v="14788"/>
    </bk>
    <bk>
      <rc t="2" v="14789"/>
    </bk>
    <bk>
      <rc t="2" v="14790"/>
    </bk>
    <bk>
      <rc t="2" v="14791"/>
    </bk>
    <bk>
      <rc t="2" v="14792"/>
    </bk>
    <bk>
      <rc t="2" v="14793"/>
    </bk>
    <bk>
      <rc t="2" v="14794"/>
    </bk>
    <bk>
      <rc t="2" v="14795"/>
    </bk>
    <bk>
      <rc t="2" v="14796"/>
    </bk>
    <bk>
      <rc t="2" v="14797"/>
    </bk>
    <bk>
      <rc t="2" v="14798"/>
    </bk>
    <bk>
      <rc t="2" v="14799"/>
    </bk>
    <bk>
      <rc t="2" v="14800"/>
    </bk>
    <bk>
      <rc t="2" v="14801"/>
    </bk>
    <bk>
      <rc t="2" v="14802"/>
    </bk>
    <bk>
      <rc t="2" v="14803"/>
    </bk>
    <bk>
      <rc t="2" v="14804"/>
    </bk>
    <bk>
      <rc t="2" v="14805"/>
    </bk>
    <bk>
      <rc t="2" v="14806"/>
    </bk>
    <bk>
      <rc t="2" v="14807"/>
    </bk>
    <bk>
      <rc t="2" v="14808"/>
    </bk>
    <bk>
      <rc t="2" v="14809"/>
    </bk>
    <bk>
      <rc t="2" v="14810"/>
    </bk>
    <bk>
      <rc t="2" v="14811"/>
    </bk>
    <bk>
      <rc t="2" v="14812"/>
    </bk>
    <bk>
      <rc t="2" v="14813"/>
    </bk>
    <bk>
      <rc t="2" v="14814"/>
    </bk>
    <bk>
      <rc t="2" v="14815"/>
    </bk>
    <bk>
      <rc t="2" v="14816"/>
    </bk>
    <bk>
      <rc t="2" v="14817"/>
    </bk>
    <bk>
      <rc t="2" v="14818"/>
    </bk>
    <bk>
      <rc t="2" v="14819"/>
    </bk>
    <bk>
      <rc t="2" v="14820"/>
    </bk>
    <bk>
      <rc t="2" v="14821"/>
    </bk>
    <bk>
      <rc t="2" v="14822"/>
    </bk>
    <bk>
      <rc t="2" v="14823"/>
    </bk>
    <bk>
      <rc t="2" v="14824"/>
    </bk>
    <bk>
      <rc t="2" v="14825"/>
    </bk>
    <bk>
      <rc t="2" v="14826"/>
    </bk>
    <bk>
      <rc t="2" v="14827"/>
    </bk>
    <bk>
      <rc t="2" v="14828"/>
    </bk>
    <bk>
      <rc t="2" v="14829"/>
    </bk>
    <bk>
      <rc t="2" v="14830"/>
    </bk>
    <bk>
      <rc t="2" v="14831"/>
    </bk>
    <bk>
      <rc t="2" v="14832"/>
    </bk>
    <bk>
      <rc t="2" v="14833"/>
    </bk>
    <bk>
      <rc t="2" v="14834"/>
    </bk>
    <bk>
      <rc t="2" v="14835"/>
    </bk>
    <bk>
      <rc t="2" v="14836"/>
    </bk>
    <bk>
      <rc t="2" v="14837"/>
    </bk>
    <bk>
      <rc t="2" v="14838"/>
    </bk>
    <bk>
      <rc t="2" v="14839"/>
    </bk>
    <bk>
      <rc t="2" v="14840"/>
    </bk>
    <bk>
      <rc t="2" v="14841"/>
    </bk>
    <bk>
      <rc t="2" v="14842"/>
    </bk>
    <bk>
      <rc t="2" v="14843"/>
    </bk>
    <bk>
      <rc t="2" v="14844"/>
    </bk>
    <bk>
      <rc t="2" v="14845"/>
    </bk>
    <bk>
      <rc t="2" v="14846"/>
    </bk>
    <bk>
      <rc t="2" v="14847"/>
    </bk>
    <bk>
      <rc t="2" v="14848"/>
    </bk>
    <bk>
      <rc t="2" v="14849"/>
    </bk>
    <bk>
      <rc t="2" v="14850"/>
    </bk>
    <bk>
      <rc t="2" v="14851"/>
    </bk>
    <bk>
      <rc t="2" v="14852"/>
    </bk>
    <bk>
      <rc t="2" v="14853"/>
    </bk>
    <bk>
      <rc t="2" v="14854"/>
    </bk>
    <bk>
      <rc t="2" v="14855"/>
    </bk>
    <bk>
      <rc t="2" v="14856"/>
    </bk>
    <bk>
      <rc t="2" v="14857"/>
    </bk>
    <bk>
      <rc t="2" v="14858"/>
    </bk>
    <bk>
      <rc t="2" v="14859"/>
    </bk>
    <bk>
      <rc t="2" v="14860"/>
    </bk>
    <bk>
      <rc t="2" v="14861"/>
    </bk>
    <bk>
      <rc t="2" v="14862"/>
    </bk>
    <bk>
      <rc t="2" v="14863"/>
    </bk>
    <bk>
      <rc t="2" v="14864"/>
    </bk>
    <bk>
      <rc t="2" v="14865"/>
    </bk>
    <bk>
      <rc t="2" v="14866"/>
    </bk>
    <bk>
      <rc t="2" v="14867"/>
    </bk>
    <bk>
      <rc t="2" v="14868"/>
    </bk>
    <bk>
      <rc t="2" v="14869"/>
    </bk>
    <bk>
      <rc t="2" v="14870"/>
    </bk>
    <bk>
      <rc t="2" v="14871"/>
    </bk>
    <bk>
      <rc t="2" v="14872"/>
    </bk>
    <bk>
      <rc t="2" v="14873"/>
    </bk>
    <bk>
      <rc t="2" v="14874"/>
    </bk>
    <bk>
      <rc t="2" v="14875"/>
    </bk>
    <bk>
      <rc t="2" v="14876"/>
    </bk>
    <bk>
      <rc t="2" v="14877"/>
    </bk>
    <bk>
      <rc t="2" v="14878"/>
    </bk>
    <bk>
      <rc t="2" v="14879"/>
    </bk>
    <bk>
      <rc t="2" v="14880"/>
    </bk>
    <bk>
      <rc t="2" v="14881"/>
    </bk>
    <bk>
      <rc t="2" v="14882"/>
    </bk>
    <bk>
      <rc t="2" v="14883"/>
    </bk>
    <bk>
      <rc t="2" v="14884"/>
    </bk>
    <bk>
      <rc t="2" v="14885"/>
    </bk>
    <bk>
      <rc t="2" v="14886"/>
    </bk>
    <bk>
      <rc t="2" v="14887"/>
    </bk>
    <bk>
      <rc t="2" v="14888"/>
    </bk>
    <bk>
      <rc t="2" v="14889"/>
    </bk>
    <bk>
      <rc t="2" v="14890"/>
    </bk>
    <bk>
      <rc t="2" v="14891"/>
    </bk>
    <bk>
      <rc t="2" v="14892"/>
    </bk>
    <bk>
      <rc t="2" v="14893"/>
    </bk>
    <bk>
      <rc t="2" v="14894"/>
    </bk>
    <bk>
      <rc t="2" v="14895"/>
    </bk>
    <bk>
      <rc t="2" v="14896"/>
    </bk>
    <bk>
      <rc t="2" v="14897"/>
    </bk>
    <bk>
      <rc t="2" v="14898"/>
    </bk>
    <bk>
      <rc t="2" v="14899"/>
    </bk>
    <bk>
      <rc t="2" v="14900"/>
    </bk>
    <bk>
      <rc t="2" v="14901"/>
    </bk>
    <bk>
      <rc t="2" v="14902"/>
    </bk>
    <bk>
      <rc t="2" v="14903"/>
    </bk>
    <bk>
      <rc t="2" v="14904"/>
    </bk>
    <bk>
      <rc t="2" v="14905"/>
    </bk>
    <bk>
      <rc t="2" v="14906"/>
    </bk>
    <bk>
      <rc t="2" v="14907"/>
    </bk>
    <bk>
      <rc t="2" v="14908"/>
    </bk>
    <bk>
      <rc t="2" v="14909"/>
    </bk>
    <bk>
      <rc t="2" v="14910"/>
    </bk>
    <bk>
      <rc t="2" v="14911"/>
    </bk>
    <bk>
      <rc t="2" v="14912"/>
    </bk>
    <bk>
      <rc t="2" v="14913"/>
    </bk>
    <bk>
      <rc t="2" v="14914"/>
    </bk>
    <bk>
      <rc t="2" v="14915"/>
    </bk>
    <bk>
      <rc t="2" v="14916"/>
    </bk>
    <bk>
      <rc t="2" v="14917"/>
    </bk>
    <bk>
      <rc t="2" v="14918"/>
    </bk>
    <bk>
      <rc t="2" v="14919"/>
    </bk>
    <bk>
      <rc t="2" v="14920"/>
    </bk>
    <bk>
      <rc t="2" v="14921"/>
    </bk>
    <bk>
      <rc t="2" v="14922"/>
    </bk>
    <bk>
      <rc t="2" v="14923"/>
    </bk>
    <bk>
      <rc t="2" v="14924"/>
    </bk>
    <bk>
      <rc t="2" v="14925"/>
    </bk>
    <bk>
      <rc t="2" v="14926"/>
    </bk>
    <bk>
      <rc t="2" v="14927"/>
    </bk>
    <bk>
      <rc t="2" v="14928"/>
    </bk>
    <bk>
      <rc t="2" v="14929"/>
    </bk>
    <bk>
      <rc t="2" v="14930"/>
    </bk>
    <bk>
      <rc t="2" v="14931"/>
    </bk>
    <bk>
      <rc t="2" v="14932"/>
    </bk>
    <bk>
      <rc t="2" v="14933"/>
    </bk>
    <bk>
      <rc t="2" v="14934"/>
    </bk>
    <bk>
      <rc t="2" v="14935"/>
    </bk>
    <bk>
      <rc t="2" v="14936"/>
    </bk>
    <bk>
      <rc t="2" v="14937"/>
    </bk>
    <bk>
      <rc t="2" v="14938"/>
    </bk>
    <bk>
      <rc t="2" v="14939"/>
    </bk>
    <bk>
      <rc t="2" v="14940"/>
    </bk>
    <bk>
      <rc t="2" v="14941"/>
    </bk>
    <bk>
      <rc t="2" v="14942"/>
    </bk>
    <bk>
      <rc t="2" v="14943"/>
    </bk>
    <bk>
      <rc t="2" v="14944"/>
    </bk>
    <bk>
      <rc t="2" v="14945"/>
    </bk>
    <bk>
      <rc t="2" v="14946"/>
    </bk>
    <bk>
      <rc t="2" v="14947"/>
    </bk>
    <bk>
      <rc t="2" v="14948"/>
    </bk>
    <bk>
      <rc t="2" v="14949"/>
    </bk>
    <bk>
      <rc t="2" v="14950"/>
    </bk>
    <bk>
      <rc t="2" v="14951"/>
    </bk>
    <bk>
      <rc t="2" v="14952"/>
    </bk>
    <bk>
      <rc t="2" v="14953"/>
    </bk>
    <bk>
      <rc t="2" v="14954"/>
    </bk>
    <bk>
      <rc t="2" v="14955"/>
    </bk>
    <bk>
      <rc t="2" v="14956"/>
    </bk>
    <bk>
      <rc t="2" v="14957"/>
    </bk>
    <bk>
      <rc t="2" v="14958"/>
    </bk>
    <bk>
      <rc t="2" v="14959"/>
    </bk>
    <bk>
      <rc t="2" v="14960"/>
    </bk>
    <bk>
      <rc t="2" v="14961"/>
    </bk>
    <bk>
      <rc t="2" v="14962"/>
    </bk>
    <bk>
      <rc t="2" v="14963"/>
    </bk>
    <bk>
      <rc t="2" v="14964"/>
    </bk>
    <bk>
      <rc t="2" v="14965"/>
    </bk>
    <bk>
      <rc t="2" v="14966"/>
    </bk>
    <bk>
      <rc t="2" v="14967"/>
    </bk>
    <bk>
      <rc t="2" v="14968"/>
    </bk>
    <bk>
      <rc t="2" v="14969"/>
    </bk>
    <bk>
      <rc t="2" v="14970"/>
    </bk>
    <bk>
      <rc t="2" v="14971"/>
    </bk>
    <bk>
      <rc t="2" v="14972"/>
    </bk>
    <bk>
      <rc t="2" v="14973"/>
    </bk>
    <bk>
      <rc t="2" v="14974"/>
    </bk>
    <bk>
      <rc t="2" v="14975"/>
    </bk>
    <bk>
      <rc t="2" v="14976"/>
    </bk>
    <bk>
      <rc t="2" v="14977"/>
    </bk>
    <bk>
      <rc t="2" v="14978"/>
    </bk>
    <bk>
      <rc t="2" v="14979"/>
    </bk>
    <bk>
      <rc t="2" v="14980"/>
    </bk>
    <bk>
      <rc t="2" v="14981"/>
    </bk>
    <bk>
      <rc t="2" v="14982"/>
    </bk>
    <bk>
      <rc t="2" v="14983"/>
    </bk>
    <bk>
      <rc t="2" v="14984"/>
    </bk>
    <bk>
      <rc t="2" v="14985"/>
    </bk>
    <bk>
      <rc t="2" v="14986"/>
    </bk>
    <bk>
      <rc t="2" v="14987"/>
    </bk>
    <bk>
      <rc t="2" v="14988"/>
    </bk>
    <bk>
      <rc t="2" v="14989"/>
    </bk>
    <bk>
      <rc t="2" v="14990"/>
    </bk>
    <bk>
      <rc t="2" v="14991"/>
    </bk>
    <bk>
      <rc t="2" v="14992"/>
    </bk>
    <bk>
      <rc t="2" v="14993"/>
    </bk>
    <bk>
      <rc t="2" v="14994"/>
    </bk>
    <bk>
      <rc t="2" v="14995"/>
    </bk>
    <bk>
      <rc t="2" v="14996"/>
    </bk>
    <bk>
      <rc t="2" v="14997"/>
    </bk>
    <bk>
      <rc t="2" v="14998"/>
    </bk>
    <bk>
      <rc t="2" v="14999"/>
    </bk>
    <bk>
      <rc t="2" v="15000"/>
    </bk>
    <bk>
      <rc t="2" v="15001"/>
    </bk>
    <bk>
      <rc t="2" v="15002"/>
    </bk>
    <bk>
      <rc t="2" v="15003"/>
    </bk>
    <bk>
      <rc t="2" v="15004"/>
    </bk>
    <bk>
      <rc t="2" v="15005"/>
    </bk>
    <bk>
      <rc t="2" v="15006"/>
    </bk>
    <bk>
      <rc t="2" v="15007"/>
    </bk>
    <bk>
      <rc t="2" v="15008"/>
    </bk>
    <bk>
      <rc t="2" v="15009"/>
    </bk>
    <bk>
      <rc t="2" v="15010"/>
    </bk>
    <bk>
      <rc t="2" v="15011"/>
    </bk>
    <bk>
      <rc t="2" v="15012"/>
    </bk>
    <bk>
      <rc t="2" v="15013"/>
    </bk>
    <bk>
      <rc t="2" v="15014"/>
    </bk>
    <bk>
      <rc t="2" v="15015"/>
    </bk>
    <bk>
      <rc t="2" v="15016"/>
    </bk>
    <bk>
      <rc t="2" v="15017"/>
    </bk>
    <bk>
      <rc t="2" v="15018"/>
    </bk>
    <bk>
      <rc t="2" v="15019"/>
    </bk>
    <bk>
      <rc t="2" v="15020"/>
    </bk>
    <bk>
      <rc t="2" v="15021"/>
    </bk>
    <bk>
      <rc t="2" v="15022"/>
    </bk>
    <bk>
      <rc t="2" v="15023"/>
    </bk>
    <bk>
      <rc t="2" v="15024"/>
    </bk>
    <bk>
      <rc t="2" v="15025"/>
    </bk>
    <bk>
      <rc t="2" v="15026"/>
    </bk>
    <bk>
      <rc t="2" v="15027"/>
    </bk>
    <bk>
      <rc t="2" v="15028"/>
    </bk>
    <bk>
      <rc t="2" v="15029"/>
    </bk>
    <bk>
      <rc t="2" v="15030"/>
    </bk>
    <bk>
      <rc t="2" v="15031"/>
    </bk>
    <bk>
      <rc t="2" v="15032"/>
    </bk>
    <bk>
      <rc t="2" v="15033"/>
    </bk>
    <bk>
      <rc t="2" v="15034"/>
    </bk>
    <bk>
      <rc t="2" v="15035"/>
    </bk>
    <bk>
      <rc t="2" v="15036"/>
    </bk>
    <bk>
      <rc t="2" v="15037"/>
    </bk>
    <bk>
      <rc t="2" v="15038"/>
    </bk>
    <bk>
      <rc t="2" v="15039"/>
    </bk>
    <bk>
      <rc t="2" v="15040"/>
    </bk>
    <bk>
      <rc t="2" v="15041"/>
    </bk>
    <bk>
      <rc t="2" v="15042"/>
    </bk>
    <bk>
      <rc t="2" v="15043"/>
    </bk>
    <bk>
      <rc t="2" v="15044"/>
    </bk>
    <bk>
      <rc t="2" v="15045"/>
    </bk>
    <bk>
      <rc t="2" v="15046"/>
    </bk>
    <bk>
      <rc t="2" v="15047"/>
    </bk>
    <bk>
      <rc t="2" v="15048"/>
    </bk>
    <bk>
      <rc t="2" v="15049"/>
    </bk>
    <bk>
      <rc t="2" v="15050"/>
    </bk>
    <bk>
      <rc t="2" v="15051"/>
    </bk>
    <bk>
      <rc t="2" v="15052"/>
    </bk>
    <bk>
      <rc t="2" v="15053"/>
    </bk>
    <bk>
      <rc t="2" v="15054"/>
    </bk>
    <bk>
      <rc t="2" v="15055"/>
    </bk>
    <bk>
      <rc t="2" v="15056"/>
    </bk>
    <bk>
      <rc t="2" v="15057"/>
    </bk>
    <bk>
      <rc t="2" v="15058"/>
    </bk>
    <bk>
      <rc t="2" v="15059"/>
    </bk>
    <bk>
      <rc t="2" v="15060"/>
    </bk>
    <bk>
      <rc t="2" v="15061"/>
    </bk>
    <bk>
      <rc t="2" v="15062"/>
    </bk>
    <bk>
      <rc t="2" v="15063"/>
    </bk>
    <bk>
      <rc t="2" v="15064"/>
    </bk>
    <bk>
      <rc t="2" v="15065"/>
    </bk>
    <bk>
      <rc t="2" v="15066"/>
    </bk>
    <bk>
      <rc t="2" v="15067"/>
    </bk>
    <bk>
      <rc t="2" v="15068"/>
    </bk>
    <bk>
      <rc t="2" v="15069"/>
    </bk>
    <bk>
      <rc t="2" v="15070"/>
    </bk>
    <bk>
      <rc t="2" v="15071"/>
    </bk>
    <bk>
      <rc t="2" v="15072"/>
    </bk>
    <bk>
      <rc t="2" v="15073"/>
    </bk>
    <bk>
      <rc t="2" v="15074"/>
    </bk>
    <bk>
      <rc t="2" v="15075"/>
    </bk>
    <bk>
      <rc t="2" v="15076"/>
    </bk>
    <bk>
      <rc t="2" v="15077"/>
    </bk>
    <bk>
      <rc t="2" v="15078"/>
    </bk>
    <bk>
      <rc t="2" v="15079"/>
    </bk>
    <bk>
      <rc t="2" v="15080"/>
    </bk>
    <bk>
      <rc t="2" v="15081"/>
    </bk>
    <bk>
      <rc t="2" v="15082"/>
    </bk>
    <bk>
      <rc t="2" v="15083"/>
    </bk>
    <bk>
      <rc t="2" v="15084"/>
    </bk>
    <bk>
      <rc t="2" v="15085"/>
    </bk>
    <bk>
      <rc t="2" v="15086"/>
    </bk>
    <bk>
      <rc t="2" v="15087"/>
    </bk>
    <bk>
      <rc t="2" v="15088"/>
    </bk>
    <bk>
      <rc t="2" v="15089"/>
    </bk>
    <bk>
      <rc t="2" v="15090"/>
    </bk>
    <bk>
      <rc t="2" v="15091"/>
    </bk>
    <bk>
      <rc t="2" v="15092"/>
    </bk>
    <bk>
      <rc t="2" v="15093"/>
    </bk>
    <bk>
      <rc t="2" v="15094"/>
    </bk>
    <bk>
      <rc t="2" v="15095"/>
    </bk>
    <bk>
      <rc t="2" v="15096"/>
    </bk>
    <bk>
      <rc t="2" v="15097"/>
    </bk>
    <bk>
      <rc t="2" v="15098"/>
    </bk>
    <bk>
      <rc t="2" v="15099"/>
    </bk>
    <bk>
      <rc t="2" v="15100"/>
    </bk>
    <bk>
      <rc t="2" v="15101"/>
    </bk>
    <bk>
      <rc t="2" v="15102"/>
    </bk>
    <bk>
      <rc t="2" v="15103"/>
    </bk>
    <bk>
      <rc t="2" v="15104"/>
    </bk>
    <bk>
      <rc t="2" v="15105"/>
    </bk>
    <bk>
      <rc t="2" v="15106"/>
    </bk>
    <bk>
      <rc t="2" v="15107"/>
    </bk>
    <bk>
      <rc t="2" v="15108"/>
    </bk>
    <bk>
      <rc t="2" v="15109"/>
    </bk>
    <bk>
      <rc t="2" v="15110"/>
    </bk>
    <bk>
      <rc t="2" v="15111"/>
    </bk>
    <bk>
      <rc t="2" v="15112"/>
    </bk>
    <bk>
      <rc t="2" v="15113"/>
    </bk>
    <bk>
      <rc t="2" v="15114"/>
    </bk>
    <bk>
      <rc t="2" v="15115"/>
    </bk>
    <bk>
      <rc t="2" v="15116"/>
    </bk>
    <bk>
      <rc t="2" v="15117"/>
    </bk>
    <bk>
      <rc t="2" v="15118"/>
    </bk>
    <bk>
      <rc t="2" v="15119"/>
    </bk>
    <bk>
      <rc t="2" v="15120"/>
    </bk>
    <bk>
      <rc t="2" v="15121"/>
    </bk>
    <bk>
      <rc t="2" v="15122"/>
    </bk>
    <bk>
      <rc t="2" v="15123"/>
    </bk>
    <bk>
      <rc t="2" v="15124"/>
    </bk>
    <bk>
      <rc t="2" v="15125"/>
    </bk>
    <bk>
      <rc t="2" v="15126"/>
    </bk>
    <bk>
      <rc t="2" v="15127"/>
    </bk>
    <bk>
      <rc t="2" v="15128"/>
    </bk>
    <bk>
      <rc t="2" v="15129"/>
    </bk>
    <bk>
      <rc t="2" v="15130"/>
    </bk>
    <bk>
      <rc t="2" v="15131"/>
    </bk>
    <bk>
      <rc t="2" v="15132"/>
    </bk>
    <bk>
      <rc t="2" v="15133"/>
    </bk>
    <bk>
      <rc t="2" v="15134"/>
    </bk>
    <bk>
      <rc t="2" v="15135"/>
    </bk>
    <bk>
      <rc t="2" v="15136"/>
    </bk>
    <bk>
      <rc t="2" v="15137"/>
    </bk>
    <bk>
      <rc t="2" v="15138"/>
    </bk>
    <bk>
      <rc t="2" v="15139"/>
    </bk>
    <bk>
      <rc t="2" v="15140"/>
    </bk>
    <bk>
      <rc t="2" v="15141"/>
    </bk>
    <bk>
      <rc t="2" v="15142"/>
    </bk>
    <bk>
      <rc t="2" v="15143"/>
    </bk>
    <bk>
      <rc t="2" v="15144"/>
    </bk>
    <bk>
      <rc t="2" v="15145"/>
    </bk>
    <bk>
      <rc t="2" v="15146"/>
    </bk>
    <bk>
      <rc t="2" v="15147"/>
    </bk>
    <bk>
      <rc t="2" v="15148"/>
    </bk>
    <bk>
      <rc t="2" v="15149"/>
    </bk>
    <bk>
      <rc t="2" v="15150"/>
    </bk>
    <bk>
      <rc t="2" v="15151"/>
    </bk>
    <bk>
      <rc t="2" v="15152"/>
    </bk>
    <bk>
      <rc t="2" v="15153"/>
    </bk>
    <bk>
      <rc t="2" v="15154"/>
    </bk>
    <bk>
      <rc t="2" v="15155"/>
    </bk>
    <bk>
      <rc t="2" v="15156"/>
    </bk>
    <bk>
      <rc t="2" v="15157"/>
    </bk>
    <bk>
      <rc t="2" v="15158"/>
    </bk>
    <bk>
      <rc t="2" v="15159"/>
    </bk>
    <bk>
      <rc t="2" v="15160"/>
    </bk>
    <bk>
      <rc t="2" v="15161"/>
    </bk>
    <bk>
      <rc t="2" v="15162"/>
    </bk>
    <bk>
      <rc t="2" v="15163"/>
    </bk>
    <bk>
      <rc t="2" v="15164"/>
    </bk>
    <bk>
      <rc t="2" v="15165"/>
    </bk>
    <bk>
      <rc t="2" v="15166"/>
    </bk>
    <bk>
      <rc t="2" v="15167"/>
    </bk>
    <bk>
      <rc t="2" v="15168"/>
    </bk>
    <bk>
      <rc t="2" v="15169"/>
    </bk>
    <bk>
      <rc t="2" v="15170"/>
    </bk>
    <bk>
      <rc t="2" v="15171"/>
    </bk>
    <bk>
      <rc t="2" v="15172"/>
    </bk>
    <bk>
      <rc t="2" v="15173"/>
    </bk>
    <bk>
      <rc t="2" v="15174"/>
    </bk>
    <bk>
      <rc t="2" v="15175"/>
    </bk>
    <bk>
      <rc t="2" v="15176"/>
    </bk>
    <bk>
      <rc t="2" v="15177"/>
    </bk>
    <bk>
      <rc t="2" v="15178"/>
    </bk>
    <bk>
      <rc t="2" v="15179"/>
    </bk>
    <bk>
      <rc t="2" v="15180"/>
    </bk>
    <bk>
      <rc t="2" v="15181"/>
    </bk>
    <bk>
      <rc t="2" v="15182"/>
    </bk>
    <bk>
      <rc t="2" v="15183"/>
    </bk>
    <bk>
      <rc t="2" v="15184"/>
    </bk>
    <bk>
      <rc t="2" v="15185"/>
    </bk>
    <bk>
      <rc t="2" v="15186"/>
    </bk>
    <bk>
      <rc t="2" v="15187"/>
    </bk>
    <bk>
      <rc t="2" v="15188"/>
    </bk>
    <bk>
      <rc t="2" v="15189"/>
    </bk>
    <bk>
      <rc t="2" v="15190"/>
    </bk>
    <bk>
      <rc t="2" v="15191"/>
    </bk>
    <bk>
      <rc t="2" v="15192"/>
    </bk>
    <bk>
      <rc t="2" v="15193"/>
    </bk>
    <bk>
      <rc t="2" v="15194"/>
    </bk>
    <bk>
      <rc t="2" v="15195"/>
    </bk>
    <bk>
      <rc t="2" v="15196"/>
    </bk>
    <bk>
      <rc t="2" v="15197"/>
    </bk>
    <bk>
      <rc t="2" v="15198"/>
    </bk>
    <bk>
      <rc t="2" v="15199"/>
    </bk>
    <bk>
      <rc t="2" v="15200"/>
    </bk>
    <bk>
      <rc t="2" v="15201"/>
    </bk>
    <bk>
      <rc t="2" v="15202"/>
    </bk>
    <bk>
      <rc t="2" v="15203"/>
    </bk>
    <bk>
      <rc t="2" v="15204"/>
    </bk>
    <bk>
      <rc t="2" v="15205"/>
    </bk>
    <bk>
      <rc t="2" v="15206"/>
    </bk>
    <bk>
      <rc t="2" v="15207"/>
    </bk>
    <bk>
      <rc t="2" v="15208"/>
    </bk>
    <bk>
      <rc t="2" v="15209"/>
    </bk>
    <bk>
      <rc t="2" v="15210"/>
    </bk>
    <bk>
      <rc t="2" v="15211"/>
    </bk>
    <bk>
      <rc t="2" v="15212"/>
    </bk>
    <bk>
      <rc t="2" v="15213"/>
    </bk>
    <bk>
      <rc t="2" v="15214"/>
    </bk>
    <bk>
      <rc t="2" v="15215"/>
    </bk>
    <bk>
      <rc t="2" v="15216"/>
    </bk>
    <bk>
      <rc t="2" v="15217"/>
    </bk>
    <bk>
      <rc t="2" v="15218"/>
    </bk>
    <bk>
      <rc t="2" v="15219"/>
    </bk>
    <bk>
      <rc t="2" v="15220"/>
    </bk>
    <bk>
      <rc t="2" v="15221"/>
    </bk>
    <bk>
      <rc t="2" v="15222"/>
    </bk>
    <bk>
      <rc t="2" v="15223"/>
    </bk>
    <bk>
      <rc t="2" v="15224"/>
    </bk>
    <bk>
      <rc t="2" v="15225"/>
    </bk>
    <bk>
      <rc t="2" v="15226"/>
    </bk>
    <bk>
      <rc t="2" v="15227"/>
    </bk>
    <bk>
      <rc t="2" v="15228"/>
    </bk>
    <bk>
      <rc t="2" v="15229"/>
    </bk>
    <bk>
      <rc t="2" v="15230"/>
    </bk>
    <bk>
      <rc t="2" v="15231"/>
    </bk>
    <bk>
      <rc t="2" v="15232"/>
    </bk>
    <bk>
      <rc t="2" v="15233"/>
    </bk>
    <bk>
      <rc t="2" v="15234"/>
    </bk>
    <bk>
      <rc t="2" v="15235"/>
    </bk>
    <bk>
      <rc t="2" v="15236"/>
    </bk>
    <bk>
      <rc t="2" v="15237"/>
    </bk>
    <bk>
      <rc t="2" v="15238"/>
    </bk>
    <bk>
      <rc t="2" v="15239"/>
    </bk>
    <bk>
      <rc t="2" v="15240"/>
    </bk>
    <bk>
      <rc t="2" v="15241"/>
    </bk>
    <bk>
      <rc t="2" v="15242"/>
    </bk>
    <bk>
      <rc t="2" v="15243"/>
    </bk>
    <bk>
      <rc t="2" v="15244"/>
    </bk>
    <bk>
      <rc t="2" v="15245"/>
    </bk>
    <bk>
      <rc t="2" v="15246"/>
    </bk>
    <bk>
      <rc t="2" v="15247"/>
    </bk>
    <bk>
      <rc t="2" v="15248"/>
    </bk>
    <bk>
      <rc t="2" v="15249"/>
    </bk>
    <bk>
      <rc t="2" v="15250"/>
    </bk>
    <bk>
      <rc t="2" v="15251"/>
    </bk>
    <bk>
      <rc t="2" v="15252"/>
    </bk>
    <bk>
      <rc t="2" v="15253"/>
    </bk>
    <bk>
      <rc t="2" v="15254"/>
    </bk>
    <bk>
      <rc t="2" v="15255"/>
    </bk>
    <bk>
      <rc t="2" v="15256"/>
    </bk>
    <bk>
      <rc t="2" v="15257"/>
    </bk>
    <bk>
      <rc t="2" v="15258"/>
    </bk>
    <bk>
      <rc t="2" v="15259"/>
    </bk>
    <bk>
      <rc t="2" v="15260"/>
    </bk>
    <bk>
      <rc t="2" v="15261"/>
    </bk>
    <bk>
      <rc t="2" v="15262"/>
    </bk>
    <bk>
      <rc t="2" v="15263"/>
    </bk>
    <bk>
      <rc t="2" v="15264"/>
    </bk>
    <bk>
      <rc t="2" v="15265"/>
    </bk>
    <bk>
      <rc t="2" v="15266"/>
    </bk>
    <bk>
      <rc t="2" v="15267"/>
    </bk>
    <bk>
      <rc t="2" v="15268"/>
    </bk>
    <bk>
      <rc t="2" v="15269"/>
    </bk>
    <bk>
      <rc t="2" v="15270"/>
    </bk>
    <bk>
      <rc t="2" v="15271"/>
    </bk>
    <bk>
      <rc t="2" v="15272"/>
    </bk>
    <bk>
      <rc t="2" v="15273"/>
    </bk>
    <bk>
      <rc t="2" v="15274"/>
    </bk>
    <bk>
      <rc t="2" v="15275"/>
    </bk>
    <bk>
      <rc t="2" v="15276"/>
    </bk>
    <bk>
      <rc t="2" v="15277"/>
    </bk>
    <bk>
      <rc t="2" v="15278"/>
    </bk>
    <bk>
      <rc t="2" v="15279"/>
    </bk>
    <bk>
      <rc t="2" v="15280"/>
    </bk>
    <bk>
      <rc t="2" v="15281"/>
    </bk>
    <bk>
      <rc t="2" v="15282"/>
    </bk>
    <bk>
      <rc t="2" v="15283"/>
    </bk>
    <bk>
      <rc t="2" v="15284"/>
    </bk>
    <bk>
      <rc t="2" v="15285"/>
    </bk>
    <bk>
      <rc t="2" v="15286"/>
    </bk>
    <bk>
      <rc t="2" v="15287"/>
    </bk>
    <bk>
      <rc t="2" v="15288"/>
    </bk>
    <bk>
      <rc t="2" v="15289"/>
    </bk>
    <bk>
      <rc t="2" v="15290"/>
    </bk>
    <bk>
      <rc t="2" v="15291"/>
    </bk>
    <bk>
      <rc t="2" v="15292"/>
    </bk>
    <bk>
      <rc t="2" v="15293"/>
    </bk>
    <bk>
      <rc t="2" v="15294"/>
    </bk>
    <bk>
      <rc t="2" v="15295"/>
    </bk>
    <bk>
      <rc t="2" v="15296"/>
    </bk>
    <bk>
      <rc t="2" v="15297"/>
    </bk>
    <bk>
      <rc t="2" v="15298"/>
    </bk>
    <bk>
      <rc t="2" v="15299"/>
    </bk>
    <bk>
      <rc t="2" v="15300"/>
    </bk>
    <bk>
      <rc t="2" v="15301"/>
    </bk>
    <bk>
      <rc t="2" v="15302"/>
    </bk>
    <bk>
      <rc t="2" v="15303"/>
    </bk>
    <bk>
      <rc t="2" v="15304"/>
    </bk>
    <bk>
      <rc t="2" v="15305"/>
    </bk>
    <bk>
      <rc t="2" v="15306"/>
    </bk>
    <bk>
      <rc t="2" v="15307"/>
    </bk>
    <bk>
      <rc t="2" v="15308"/>
    </bk>
    <bk>
      <rc t="2" v="15309"/>
    </bk>
    <bk>
      <rc t="2" v="15310"/>
    </bk>
    <bk>
      <rc t="2" v="15311"/>
    </bk>
    <bk>
      <rc t="2" v="15312"/>
    </bk>
    <bk>
      <rc t="2" v="15313"/>
    </bk>
    <bk>
      <rc t="2" v="15314"/>
    </bk>
    <bk>
      <rc t="2" v="15315"/>
    </bk>
    <bk>
      <rc t="2" v="15316"/>
    </bk>
    <bk>
      <rc t="2" v="15317"/>
    </bk>
    <bk>
      <rc t="2" v="15318"/>
    </bk>
    <bk>
      <rc t="2" v="15319"/>
    </bk>
    <bk>
      <rc t="2" v="15320"/>
    </bk>
    <bk>
      <rc t="2" v="15321"/>
    </bk>
    <bk>
      <rc t="2" v="15322"/>
    </bk>
    <bk>
      <rc t="2" v="15323"/>
    </bk>
    <bk>
      <rc t="2" v="15324"/>
    </bk>
    <bk>
      <rc t="2" v="15325"/>
    </bk>
    <bk>
      <rc t="2" v="15326"/>
    </bk>
    <bk>
      <rc t="2" v="15327"/>
    </bk>
    <bk>
      <rc t="2" v="15328"/>
    </bk>
    <bk>
      <rc t="2" v="15329"/>
    </bk>
    <bk>
      <rc t="2" v="15330"/>
    </bk>
    <bk>
      <rc t="2" v="15331"/>
    </bk>
    <bk>
      <rc t="2" v="15332"/>
    </bk>
    <bk>
      <rc t="2" v="15333"/>
    </bk>
    <bk>
      <rc t="2" v="15334"/>
    </bk>
    <bk>
      <rc t="2" v="15335"/>
    </bk>
    <bk>
      <rc t="2" v="15336"/>
    </bk>
    <bk>
      <rc t="2" v="15337"/>
    </bk>
    <bk>
      <rc t="2" v="15338"/>
    </bk>
    <bk>
      <rc t="2" v="15339"/>
    </bk>
    <bk>
      <rc t="2" v="15340"/>
    </bk>
    <bk>
      <rc t="2" v="15341"/>
    </bk>
    <bk>
      <rc t="2" v="15342"/>
    </bk>
    <bk>
      <rc t="2" v="15343"/>
    </bk>
    <bk>
      <rc t="2" v="15344"/>
    </bk>
    <bk>
      <rc t="2" v="15345"/>
    </bk>
    <bk>
      <rc t="2" v="15346"/>
    </bk>
    <bk>
      <rc t="2" v="15347"/>
    </bk>
    <bk>
      <rc t="2" v="15348"/>
    </bk>
    <bk>
      <rc t="2" v="15349"/>
    </bk>
    <bk>
      <rc t="2" v="15350"/>
    </bk>
    <bk>
      <rc t="2" v="15351"/>
    </bk>
    <bk>
      <rc t="2" v="15352"/>
    </bk>
    <bk>
      <rc t="2" v="15353"/>
    </bk>
    <bk>
      <rc t="2" v="15354"/>
    </bk>
    <bk>
      <rc t="2" v="15355"/>
    </bk>
    <bk>
      <rc t="2" v="15356"/>
    </bk>
    <bk>
      <rc t="2" v="15357"/>
    </bk>
    <bk>
      <rc t="2" v="15358"/>
    </bk>
    <bk>
      <rc t="2" v="15359"/>
    </bk>
    <bk>
      <rc t="2" v="15360"/>
    </bk>
    <bk>
      <rc t="2" v="15361"/>
    </bk>
    <bk>
      <rc t="2" v="15362"/>
    </bk>
    <bk>
      <rc t="2" v="15363"/>
    </bk>
    <bk>
      <rc t="2" v="15364"/>
    </bk>
    <bk>
      <rc t="2" v="15365"/>
    </bk>
    <bk>
      <rc t="2" v="15366"/>
    </bk>
    <bk>
      <rc t="2" v="15367"/>
    </bk>
    <bk>
      <rc t="2" v="15368"/>
    </bk>
    <bk>
      <rc t="2" v="15369"/>
    </bk>
    <bk>
      <rc t="2" v="15370"/>
    </bk>
    <bk>
      <rc t="2" v="15371"/>
    </bk>
    <bk>
      <rc t="2" v="15372"/>
    </bk>
    <bk>
      <rc t="2" v="15373"/>
    </bk>
    <bk>
      <rc t="2" v="15374"/>
    </bk>
    <bk>
      <rc t="2" v="15375"/>
    </bk>
    <bk>
      <rc t="2" v="15376"/>
    </bk>
    <bk>
      <rc t="2" v="15377"/>
    </bk>
    <bk>
      <rc t="2" v="15378"/>
    </bk>
    <bk>
      <rc t="2" v="15379"/>
    </bk>
    <bk>
      <rc t="2" v="15380"/>
    </bk>
    <bk>
      <rc t="2" v="15381"/>
    </bk>
    <bk>
      <rc t="2" v="15382"/>
    </bk>
    <bk>
      <rc t="2" v="15383"/>
    </bk>
    <bk>
      <rc t="2" v="15384"/>
    </bk>
    <bk>
      <rc t="2" v="15385"/>
    </bk>
    <bk>
      <rc t="2" v="15386"/>
    </bk>
    <bk>
      <rc t="2" v="15387"/>
    </bk>
    <bk>
      <rc t="2" v="15388"/>
    </bk>
    <bk>
      <rc t="2" v="15389"/>
    </bk>
    <bk>
      <rc t="2" v="15390"/>
    </bk>
    <bk>
      <rc t="2" v="15391"/>
    </bk>
    <bk>
      <rc t="2" v="15392"/>
    </bk>
    <bk>
      <rc t="2" v="15393"/>
    </bk>
    <bk>
      <rc t="2" v="15394"/>
    </bk>
    <bk>
      <rc t="2" v="15395"/>
    </bk>
    <bk>
      <rc t="2" v="15396"/>
    </bk>
    <bk>
      <rc t="2" v="15397"/>
    </bk>
    <bk>
      <rc t="2" v="15398"/>
    </bk>
    <bk>
      <rc t="2" v="15399"/>
    </bk>
    <bk>
      <rc t="2" v="15400"/>
    </bk>
    <bk>
      <rc t="2" v="15401"/>
    </bk>
    <bk>
      <rc t="2" v="15402"/>
    </bk>
    <bk>
      <rc t="2" v="15403"/>
    </bk>
    <bk>
      <rc t="2" v="15404"/>
    </bk>
    <bk>
      <rc t="2" v="15405"/>
    </bk>
    <bk>
      <rc t="2" v="15406"/>
    </bk>
    <bk>
      <rc t="2" v="15407"/>
    </bk>
    <bk>
      <rc t="2" v="15408"/>
    </bk>
    <bk>
      <rc t="2" v="15409"/>
    </bk>
    <bk>
      <rc t="2" v="15410"/>
    </bk>
    <bk>
      <rc t="2" v="15411"/>
    </bk>
    <bk>
      <rc t="2" v="15412"/>
    </bk>
    <bk>
      <rc t="2" v="15413"/>
    </bk>
    <bk>
      <rc t="2" v="15414"/>
    </bk>
    <bk>
      <rc t="2" v="15415"/>
    </bk>
    <bk>
      <rc t="2" v="15416"/>
    </bk>
    <bk>
      <rc t="2" v="15417"/>
    </bk>
    <bk>
      <rc t="2" v="15418"/>
    </bk>
    <bk>
      <rc t="2" v="15419"/>
    </bk>
    <bk>
      <rc t="2" v="15420"/>
    </bk>
    <bk>
      <rc t="2" v="15421"/>
    </bk>
    <bk>
      <rc t="2" v="15422"/>
    </bk>
    <bk>
      <rc t="2" v="15423"/>
    </bk>
    <bk>
      <rc t="2" v="15424"/>
    </bk>
    <bk>
      <rc t="2" v="15425"/>
    </bk>
    <bk>
      <rc t="2" v="15426"/>
    </bk>
    <bk>
      <rc t="2" v="15427"/>
    </bk>
    <bk>
      <rc t="2" v="15428"/>
    </bk>
    <bk>
      <rc t="2" v="15429"/>
    </bk>
    <bk>
      <rc t="2" v="15430"/>
    </bk>
    <bk>
      <rc t="2" v="15431"/>
    </bk>
    <bk>
      <rc t="2" v="15432"/>
    </bk>
    <bk>
      <rc t="2" v="15433"/>
    </bk>
    <bk>
      <rc t="2" v="15434"/>
    </bk>
    <bk>
      <rc t="2" v="15435"/>
    </bk>
    <bk>
      <rc t="2" v="15436"/>
    </bk>
    <bk>
      <rc t="2" v="15437"/>
    </bk>
    <bk>
      <rc t="2" v="15438"/>
    </bk>
    <bk>
      <rc t="2" v="15439"/>
    </bk>
    <bk>
      <rc t="2" v="15440"/>
    </bk>
    <bk>
      <rc t="2" v="15441"/>
    </bk>
    <bk>
      <rc t="2" v="15442"/>
    </bk>
    <bk>
      <rc t="2" v="15443"/>
    </bk>
    <bk>
      <rc t="2" v="15444"/>
    </bk>
    <bk>
      <rc t="2" v="15445"/>
    </bk>
    <bk>
      <rc t="2" v="15446"/>
    </bk>
    <bk>
      <rc t="2" v="15447"/>
    </bk>
    <bk>
      <rc t="2" v="15448"/>
    </bk>
    <bk>
      <rc t="2" v="15449"/>
    </bk>
    <bk>
      <rc t="2" v="15450"/>
    </bk>
    <bk>
      <rc t="2" v="15451"/>
    </bk>
    <bk>
      <rc t="2" v="15452"/>
    </bk>
    <bk>
      <rc t="2" v="15453"/>
    </bk>
    <bk>
      <rc t="2" v="15454"/>
    </bk>
    <bk>
      <rc t="2" v="15455"/>
    </bk>
    <bk>
      <rc t="2" v="15456"/>
    </bk>
    <bk>
      <rc t="2" v="15457"/>
    </bk>
    <bk>
      <rc t="2" v="15458"/>
    </bk>
    <bk>
      <rc t="2" v="15459"/>
    </bk>
    <bk>
      <rc t="2" v="15460"/>
    </bk>
    <bk>
      <rc t="2" v="15461"/>
    </bk>
    <bk>
      <rc t="2" v="15462"/>
    </bk>
    <bk>
      <rc t="2" v="15463"/>
    </bk>
    <bk>
      <rc t="2" v="15464"/>
    </bk>
    <bk>
      <rc t="2" v="15465"/>
    </bk>
    <bk>
      <rc t="2" v="15466"/>
    </bk>
    <bk>
      <rc t="2" v="15467"/>
    </bk>
    <bk>
      <rc t="2" v="15468"/>
    </bk>
    <bk>
      <rc t="2" v="15469"/>
    </bk>
    <bk>
      <rc t="2" v="15470"/>
    </bk>
    <bk>
      <rc t="2" v="15471"/>
    </bk>
    <bk>
      <rc t="2" v="15472"/>
    </bk>
    <bk>
      <rc t="2" v="15473"/>
    </bk>
    <bk>
      <rc t="2" v="15474"/>
    </bk>
    <bk>
      <rc t="2" v="15475"/>
    </bk>
    <bk>
      <rc t="2" v="15476"/>
    </bk>
    <bk>
      <rc t="2" v="15477"/>
    </bk>
    <bk>
      <rc t="2" v="15478"/>
    </bk>
    <bk>
      <rc t="2" v="15479"/>
    </bk>
    <bk>
      <rc t="2" v="15480"/>
    </bk>
    <bk>
      <rc t="2" v="15481"/>
    </bk>
    <bk>
      <rc t="2" v="15482"/>
    </bk>
    <bk>
      <rc t="2" v="15483"/>
    </bk>
    <bk>
      <rc t="2" v="15484"/>
    </bk>
    <bk>
      <rc t="2" v="15485"/>
    </bk>
    <bk>
      <rc t="2" v="15486"/>
    </bk>
    <bk>
      <rc t="2" v="15487"/>
    </bk>
    <bk>
      <rc t="2" v="15488"/>
    </bk>
    <bk>
      <rc t="2" v="15489"/>
    </bk>
    <bk>
      <rc t="2" v="15490"/>
    </bk>
    <bk>
      <rc t="2" v="15491"/>
    </bk>
    <bk>
      <rc t="2" v="15492"/>
    </bk>
    <bk>
      <rc t="2" v="15493"/>
    </bk>
    <bk>
      <rc t="2" v="15494"/>
    </bk>
    <bk>
      <rc t="2" v="15495"/>
    </bk>
    <bk>
      <rc t="2" v="15496"/>
    </bk>
    <bk>
      <rc t="2" v="15497"/>
    </bk>
    <bk>
      <rc t="2" v="15498"/>
    </bk>
    <bk>
      <rc t="2" v="15499"/>
    </bk>
    <bk>
      <rc t="2" v="15500"/>
    </bk>
    <bk>
      <rc t="2" v="15501"/>
    </bk>
    <bk>
      <rc t="2" v="15502"/>
    </bk>
    <bk>
      <rc t="2" v="15503"/>
    </bk>
    <bk>
      <rc t="2" v="15504"/>
    </bk>
    <bk>
      <rc t="2" v="15505"/>
    </bk>
    <bk>
      <rc t="2" v="15506"/>
    </bk>
    <bk>
      <rc t="2" v="15507"/>
    </bk>
    <bk>
      <rc t="2" v="15508"/>
    </bk>
    <bk>
      <rc t="2" v="15509"/>
    </bk>
    <bk>
      <rc t="2" v="15510"/>
    </bk>
    <bk>
      <rc t="2" v="15511"/>
    </bk>
    <bk>
      <rc t="2" v="15512"/>
    </bk>
    <bk>
      <rc t="2" v="15513"/>
    </bk>
    <bk>
      <rc t="2" v="15514"/>
    </bk>
    <bk>
      <rc t="2" v="15515"/>
    </bk>
    <bk>
      <rc t="2" v="15516"/>
    </bk>
    <bk>
      <rc t="2" v="15517"/>
    </bk>
    <bk>
      <rc t="2" v="15518"/>
    </bk>
    <bk>
      <rc t="2" v="15519"/>
    </bk>
    <bk>
      <rc t="2" v="15520"/>
    </bk>
    <bk>
      <rc t="2" v="15521"/>
    </bk>
    <bk>
      <rc t="2" v="15522"/>
    </bk>
    <bk>
      <rc t="2" v="15523"/>
    </bk>
    <bk>
      <rc t="2" v="15524"/>
    </bk>
    <bk>
      <rc t="2" v="15525"/>
    </bk>
    <bk>
      <rc t="2" v="15526"/>
    </bk>
    <bk>
      <rc t="2" v="15527"/>
    </bk>
    <bk>
      <rc t="2" v="15528"/>
    </bk>
    <bk>
      <rc t="2" v="15529"/>
    </bk>
    <bk>
      <rc t="2" v="15530"/>
    </bk>
    <bk>
      <rc t="2" v="15531"/>
    </bk>
    <bk>
      <rc t="2" v="15532"/>
    </bk>
    <bk>
      <rc t="2" v="15533"/>
    </bk>
    <bk>
      <rc t="2" v="15534"/>
    </bk>
    <bk>
      <rc t="2" v="15535"/>
    </bk>
    <bk>
      <rc t="2" v="15536"/>
    </bk>
    <bk>
      <rc t="2" v="15537"/>
    </bk>
    <bk>
      <rc t="2" v="15538"/>
    </bk>
    <bk>
      <rc t="2" v="15539"/>
    </bk>
    <bk>
      <rc t="2" v="15540"/>
    </bk>
    <bk>
      <rc t="2" v="15541"/>
    </bk>
    <bk>
      <rc t="2" v="15542"/>
    </bk>
    <bk>
      <rc t="2" v="15543"/>
    </bk>
    <bk>
      <rc t="2" v="15544"/>
    </bk>
    <bk>
      <rc t="2" v="15545"/>
    </bk>
    <bk>
      <rc t="2" v="15546"/>
    </bk>
    <bk>
      <rc t="2" v="15547"/>
    </bk>
    <bk>
      <rc t="2" v="15548"/>
    </bk>
    <bk>
      <rc t="2" v="15549"/>
    </bk>
    <bk>
      <rc t="2" v="15550"/>
    </bk>
    <bk>
      <rc t="2" v="15551"/>
    </bk>
    <bk>
      <rc t="2" v="15552"/>
    </bk>
    <bk>
      <rc t="2" v="15553"/>
    </bk>
    <bk>
      <rc t="2" v="15554"/>
    </bk>
    <bk>
      <rc t="2" v="15555"/>
    </bk>
    <bk>
      <rc t="2" v="15556"/>
    </bk>
    <bk>
      <rc t="2" v="15557"/>
    </bk>
    <bk>
      <rc t="2" v="15558"/>
    </bk>
    <bk>
      <rc t="2" v="15559"/>
    </bk>
    <bk>
      <rc t="2" v="15560"/>
    </bk>
    <bk>
      <rc t="2" v="15561"/>
    </bk>
    <bk>
      <rc t="2" v="15562"/>
    </bk>
    <bk>
      <rc t="2" v="15563"/>
    </bk>
    <bk>
      <rc t="2" v="15564"/>
    </bk>
    <bk>
      <rc t="2" v="15565"/>
    </bk>
    <bk>
      <rc t="2" v="15566"/>
    </bk>
    <bk>
      <rc t="2" v="15567"/>
    </bk>
    <bk>
      <rc t="2" v="15568"/>
    </bk>
    <bk>
      <rc t="2" v="15569"/>
    </bk>
    <bk>
      <rc t="2" v="15570"/>
    </bk>
    <bk>
      <rc t="2" v="15571"/>
    </bk>
    <bk>
      <rc t="2" v="15572"/>
    </bk>
    <bk>
      <rc t="2" v="15573"/>
    </bk>
    <bk>
      <rc t="2" v="15574"/>
    </bk>
    <bk>
      <rc t="2" v="15575"/>
    </bk>
    <bk>
      <rc t="2" v="15576"/>
    </bk>
    <bk>
      <rc t="2" v="15577"/>
    </bk>
    <bk>
      <rc t="2" v="15578"/>
    </bk>
    <bk>
      <rc t="2" v="15579"/>
    </bk>
    <bk>
      <rc t="2" v="15580"/>
    </bk>
    <bk>
      <rc t="2" v="15581"/>
    </bk>
    <bk>
      <rc t="2" v="15582"/>
    </bk>
    <bk>
      <rc t="2" v="15583"/>
    </bk>
    <bk>
      <rc t="2" v="15584"/>
    </bk>
    <bk>
      <rc t="2" v="15585"/>
    </bk>
    <bk>
      <rc t="2" v="15586"/>
    </bk>
    <bk>
      <rc t="2" v="15587"/>
    </bk>
    <bk>
      <rc t="2" v="15588"/>
    </bk>
    <bk>
      <rc t="2" v="15589"/>
    </bk>
    <bk>
      <rc t="2" v="15590"/>
    </bk>
    <bk>
      <rc t="2" v="15591"/>
    </bk>
    <bk>
      <rc t="2" v="15592"/>
    </bk>
    <bk>
      <rc t="2" v="15593"/>
    </bk>
    <bk>
      <rc t="2" v="15594"/>
    </bk>
    <bk>
      <rc t="2" v="15595"/>
    </bk>
    <bk>
      <rc t="2" v="15596"/>
    </bk>
    <bk>
      <rc t="2" v="15597"/>
    </bk>
    <bk>
      <rc t="2" v="15598"/>
    </bk>
    <bk>
      <rc t="2" v="15599"/>
    </bk>
    <bk>
      <rc t="2" v="15600"/>
    </bk>
    <bk>
      <rc t="2" v="15601"/>
    </bk>
    <bk>
      <rc t="2" v="15602"/>
    </bk>
    <bk>
      <rc t="2" v="15603"/>
    </bk>
    <bk>
      <rc t="2" v="15604"/>
    </bk>
    <bk>
      <rc t="2" v="15605"/>
    </bk>
    <bk>
      <rc t="2" v="15606"/>
    </bk>
    <bk>
      <rc t="2" v="15607"/>
    </bk>
    <bk>
      <rc t="2" v="15608"/>
    </bk>
    <bk>
      <rc t="2" v="15609"/>
    </bk>
    <bk>
      <rc t="2" v="15610"/>
    </bk>
    <bk>
      <rc t="2" v="15611"/>
    </bk>
    <bk>
      <rc t="2" v="15612"/>
    </bk>
    <bk>
      <rc t="2" v="15613"/>
    </bk>
    <bk>
      <rc t="2" v="15614"/>
    </bk>
    <bk>
      <rc t="2" v="15615"/>
    </bk>
    <bk>
      <rc t="2" v="15616"/>
    </bk>
    <bk>
      <rc t="2" v="15617"/>
    </bk>
    <bk>
      <rc t="2" v="15618"/>
    </bk>
    <bk>
      <rc t="2" v="15619"/>
    </bk>
    <bk>
      <rc t="2" v="15620"/>
    </bk>
    <bk>
      <rc t="2" v="15621"/>
    </bk>
    <bk>
      <rc t="2" v="15622"/>
    </bk>
    <bk>
      <rc t="2" v="15623"/>
    </bk>
    <bk>
      <rc t="2" v="15624"/>
    </bk>
    <bk>
      <rc t="2" v="15625"/>
    </bk>
    <bk>
      <rc t="2" v="15626"/>
    </bk>
    <bk>
      <rc t="2" v="15627"/>
    </bk>
    <bk>
      <rc t="2" v="15628"/>
    </bk>
    <bk>
      <rc t="2" v="15629"/>
    </bk>
    <bk>
      <rc t="2" v="15630"/>
    </bk>
    <bk>
      <rc t="2" v="15631"/>
    </bk>
    <bk>
      <rc t="2" v="15632"/>
    </bk>
    <bk>
      <rc t="2" v="15633"/>
    </bk>
    <bk>
      <rc t="2" v="15634"/>
    </bk>
    <bk>
      <rc t="2" v="15635"/>
    </bk>
    <bk>
      <rc t="2" v="15636"/>
    </bk>
    <bk>
      <rc t="2" v="15637"/>
    </bk>
    <bk>
      <rc t="2" v="15638"/>
    </bk>
    <bk>
      <rc t="2" v="15639"/>
    </bk>
    <bk>
      <rc t="2" v="15640"/>
    </bk>
    <bk>
      <rc t="2" v="15641"/>
    </bk>
    <bk>
      <rc t="2" v="15642"/>
    </bk>
    <bk>
      <rc t="2" v="15643"/>
    </bk>
    <bk>
      <rc t="2" v="15644"/>
    </bk>
    <bk>
      <rc t="2" v="15645"/>
    </bk>
    <bk>
      <rc t="2" v="15646"/>
    </bk>
    <bk>
      <rc t="2" v="15647"/>
    </bk>
    <bk>
      <rc t="2" v="15648"/>
    </bk>
    <bk>
      <rc t="2" v="15649"/>
    </bk>
    <bk>
      <rc t="2" v="15650"/>
    </bk>
    <bk>
      <rc t="2" v="15651"/>
    </bk>
    <bk>
      <rc t="2" v="15652"/>
    </bk>
    <bk>
      <rc t="2" v="15653"/>
    </bk>
    <bk>
      <rc t="2" v="15654"/>
    </bk>
    <bk>
      <rc t="2" v="15655"/>
    </bk>
    <bk>
      <rc t="2" v="15656"/>
    </bk>
    <bk>
      <rc t="2" v="15657"/>
    </bk>
    <bk>
      <rc t="2" v="15658"/>
    </bk>
    <bk>
      <rc t="2" v="15659"/>
    </bk>
    <bk>
      <rc t="2" v="15660"/>
    </bk>
    <bk>
      <rc t="2" v="15661"/>
    </bk>
    <bk>
      <rc t="2" v="15662"/>
    </bk>
    <bk>
      <rc t="2" v="15663"/>
    </bk>
    <bk>
      <rc t="2" v="15664"/>
    </bk>
    <bk>
      <rc t="2" v="15665"/>
    </bk>
    <bk>
      <rc t="2" v="15666"/>
    </bk>
    <bk>
      <rc t="2" v="15667"/>
    </bk>
    <bk>
      <rc t="2" v="15668"/>
    </bk>
    <bk>
      <rc t="2" v="15669"/>
    </bk>
    <bk>
      <rc t="2" v="15670"/>
    </bk>
    <bk>
      <rc t="2" v="15671"/>
    </bk>
    <bk>
      <rc t="2" v="15672"/>
    </bk>
    <bk>
      <rc t="2" v="15673"/>
    </bk>
    <bk>
      <rc t="2" v="15674"/>
    </bk>
    <bk>
      <rc t="2" v="15675"/>
    </bk>
    <bk>
      <rc t="2" v="15676"/>
    </bk>
    <bk>
      <rc t="2" v="15677"/>
    </bk>
    <bk>
      <rc t="2" v="15678"/>
    </bk>
    <bk>
      <rc t="2" v="15679"/>
    </bk>
    <bk>
      <rc t="2" v="15680"/>
    </bk>
    <bk>
      <rc t="2" v="15681"/>
    </bk>
    <bk>
      <rc t="2" v="15682"/>
    </bk>
    <bk>
      <rc t="2" v="15683"/>
    </bk>
    <bk>
      <rc t="2" v="15684"/>
    </bk>
    <bk>
      <rc t="2" v="15685"/>
    </bk>
    <bk>
      <rc t="2" v="15686"/>
    </bk>
    <bk>
      <rc t="2" v="15687"/>
    </bk>
    <bk>
      <rc t="2" v="15688"/>
    </bk>
    <bk>
      <rc t="2" v="15689"/>
    </bk>
    <bk>
      <rc t="2" v="15690"/>
    </bk>
    <bk>
      <rc t="2" v="15691"/>
    </bk>
    <bk>
      <rc t="2" v="15692"/>
    </bk>
    <bk>
      <rc t="2" v="15693"/>
    </bk>
    <bk>
      <rc t="2" v="15694"/>
    </bk>
    <bk>
      <rc t="2" v="15695"/>
    </bk>
    <bk>
      <rc t="2" v="15696"/>
    </bk>
    <bk>
      <rc t="2" v="15697"/>
    </bk>
    <bk>
      <rc t="2" v="15698"/>
    </bk>
    <bk>
      <rc t="2" v="15699"/>
    </bk>
    <bk>
      <rc t="2" v="15700"/>
    </bk>
    <bk>
      <rc t="2" v="15701"/>
    </bk>
    <bk>
      <rc t="2" v="15702"/>
    </bk>
    <bk>
      <rc t="2" v="15703"/>
    </bk>
    <bk>
      <rc t="2" v="15704"/>
    </bk>
    <bk>
      <rc t="2" v="15705"/>
    </bk>
    <bk>
      <rc t="2" v="15706"/>
    </bk>
    <bk>
      <rc t="2" v="15707"/>
    </bk>
    <bk>
      <rc t="2" v="15708"/>
    </bk>
    <bk>
      <rc t="2" v="15709"/>
    </bk>
    <bk>
      <rc t="2" v="15710"/>
    </bk>
    <bk>
      <rc t="2" v="15711"/>
    </bk>
    <bk>
      <rc t="2" v="15712"/>
    </bk>
    <bk>
      <rc t="2" v="15713"/>
    </bk>
    <bk>
      <rc t="2" v="15714"/>
    </bk>
    <bk>
      <rc t="2" v="15715"/>
    </bk>
    <bk>
      <rc t="2" v="15716"/>
    </bk>
    <bk>
      <rc t="2" v="15717"/>
    </bk>
    <bk>
      <rc t="2" v="15718"/>
    </bk>
    <bk>
      <rc t="2" v="15719"/>
    </bk>
    <bk>
      <rc t="2" v="15720"/>
    </bk>
    <bk>
      <rc t="2" v="15721"/>
    </bk>
    <bk>
      <rc t="2" v="15722"/>
    </bk>
    <bk>
      <rc t="2" v="15723"/>
    </bk>
    <bk>
      <rc t="2" v="15724"/>
    </bk>
    <bk>
      <rc t="2" v="15725"/>
    </bk>
    <bk>
      <rc t="2" v="15726"/>
    </bk>
    <bk>
      <rc t="2" v="15727"/>
    </bk>
    <bk>
      <rc t="2" v="15728"/>
    </bk>
    <bk>
      <rc t="2" v="15729"/>
    </bk>
    <bk>
      <rc t="2" v="15730"/>
    </bk>
    <bk>
      <rc t="2" v="15731"/>
    </bk>
    <bk>
      <rc t="2" v="15732"/>
    </bk>
    <bk>
      <rc t="2" v="15733"/>
    </bk>
    <bk>
      <rc t="2" v="15734"/>
    </bk>
    <bk>
      <rc t="2" v="15735"/>
    </bk>
    <bk>
      <rc t="2" v="15736"/>
    </bk>
    <bk>
      <rc t="2" v="15737"/>
    </bk>
    <bk>
      <rc t="2" v="15738"/>
    </bk>
    <bk>
      <rc t="2" v="15739"/>
    </bk>
    <bk>
      <rc t="2" v="15740"/>
    </bk>
    <bk>
      <rc t="2" v="15741"/>
    </bk>
    <bk>
      <rc t="2" v="15742"/>
    </bk>
    <bk>
      <rc t="2" v="15743"/>
    </bk>
    <bk>
      <rc t="2" v="15744"/>
    </bk>
    <bk>
      <rc t="2" v="15745"/>
    </bk>
    <bk>
      <rc t="2" v="15746"/>
    </bk>
    <bk>
      <rc t="2" v="15747"/>
    </bk>
    <bk>
      <rc t="2" v="15748"/>
    </bk>
    <bk>
      <rc t="2" v="15749"/>
    </bk>
    <bk>
      <rc t="2" v="15750"/>
    </bk>
    <bk>
      <rc t="2" v="15751"/>
    </bk>
    <bk>
      <rc t="2" v="15752"/>
    </bk>
    <bk>
      <rc t="2" v="15753"/>
    </bk>
    <bk>
      <rc t="2" v="15754"/>
    </bk>
    <bk>
      <rc t="2" v="15755"/>
    </bk>
    <bk>
      <rc t="2" v="15756"/>
    </bk>
    <bk>
      <rc t="2" v="15757"/>
    </bk>
    <bk>
      <rc t="2" v="15758"/>
    </bk>
    <bk>
      <rc t="2" v="15759"/>
    </bk>
    <bk>
      <rc t="2" v="15760"/>
    </bk>
    <bk>
      <rc t="2" v="15761"/>
    </bk>
    <bk>
      <rc t="2" v="15762"/>
    </bk>
    <bk>
      <rc t="2" v="15763"/>
    </bk>
    <bk>
      <rc t="2" v="15764"/>
    </bk>
    <bk>
      <rc t="2" v="15765"/>
    </bk>
    <bk>
      <rc t="2" v="15766"/>
    </bk>
    <bk>
      <rc t="2" v="15767"/>
    </bk>
    <bk>
      <rc t="2" v="15768"/>
    </bk>
    <bk>
      <rc t="2" v="15769"/>
    </bk>
    <bk>
      <rc t="2" v="15770"/>
    </bk>
    <bk>
      <rc t="2" v="15771"/>
    </bk>
    <bk>
      <rc t="2" v="15772"/>
    </bk>
    <bk>
      <rc t="2" v="15773"/>
    </bk>
    <bk>
      <rc t="2" v="15774"/>
    </bk>
    <bk>
      <rc t="2" v="15775"/>
    </bk>
    <bk>
      <rc t="2" v="15776"/>
    </bk>
    <bk>
      <rc t="2" v="15777"/>
    </bk>
    <bk>
      <rc t="2" v="15778"/>
    </bk>
    <bk>
      <rc t="2" v="15779"/>
    </bk>
    <bk>
      <rc t="2" v="15780"/>
    </bk>
    <bk>
      <rc t="2" v="15781"/>
    </bk>
    <bk>
      <rc t="2" v="15782"/>
    </bk>
    <bk>
      <rc t="2" v="15783"/>
    </bk>
    <bk>
      <rc t="2" v="15784"/>
    </bk>
    <bk>
      <rc t="2" v="15785"/>
    </bk>
    <bk>
      <rc t="2" v="15786"/>
    </bk>
    <bk>
      <rc t="2" v="15787"/>
    </bk>
    <bk>
      <rc t="2" v="15788"/>
    </bk>
    <bk>
      <rc t="2" v="15789"/>
    </bk>
    <bk>
      <rc t="2" v="15790"/>
    </bk>
    <bk>
      <rc t="2" v="15791"/>
    </bk>
    <bk>
      <rc t="2" v="15792"/>
    </bk>
    <bk>
      <rc t="2" v="15793"/>
    </bk>
    <bk>
      <rc t="2" v="15794"/>
    </bk>
    <bk>
      <rc t="2" v="15795"/>
    </bk>
    <bk>
      <rc t="2" v="15796"/>
    </bk>
    <bk>
      <rc t="2" v="15797"/>
    </bk>
    <bk>
      <rc t="2" v="15798"/>
    </bk>
    <bk>
      <rc t="2" v="15799"/>
    </bk>
    <bk>
      <rc t="2" v="15800"/>
    </bk>
    <bk>
      <rc t="2" v="15801"/>
    </bk>
    <bk>
      <rc t="2" v="15802"/>
    </bk>
    <bk>
      <rc t="2" v="15803"/>
    </bk>
    <bk>
      <rc t="2" v="15804"/>
    </bk>
    <bk>
      <rc t="2" v="15805"/>
    </bk>
    <bk>
      <rc t="2" v="15806"/>
    </bk>
    <bk>
      <rc t="2" v="15807"/>
    </bk>
    <bk>
      <rc t="2" v="15808"/>
    </bk>
    <bk>
      <rc t="2" v="15809"/>
    </bk>
    <bk>
      <rc t="2" v="15810"/>
    </bk>
    <bk>
      <rc t="2" v="15811"/>
    </bk>
    <bk>
      <rc t="2" v="15812"/>
    </bk>
    <bk>
      <rc t="2" v="15813"/>
    </bk>
    <bk>
      <rc t="2" v="15814"/>
    </bk>
    <bk>
      <rc t="2" v="15815"/>
    </bk>
    <bk>
      <rc t="2" v="15816"/>
    </bk>
    <bk>
      <rc t="2" v="15817"/>
    </bk>
    <bk>
      <rc t="2" v="15818"/>
    </bk>
    <bk>
      <rc t="2" v="15819"/>
    </bk>
    <bk>
      <rc t="2" v="15820"/>
    </bk>
    <bk>
      <rc t="2" v="15821"/>
    </bk>
    <bk>
      <rc t="2" v="15822"/>
    </bk>
    <bk>
      <rc t="2" v="15823"/>
    </bk>
    <bk>
      <rc t="2" v="15824"/>
    </bk>
    <bk>
      <rc t="2" v="15825"/>
    </bk>
    <bk>
      <rc t="2" v="15826"/>
    </bk>
    <bk>
      <rc t="2" v="15827"/>
    </bk>
    <bk>
      <rc t="2" v="15828"/>
    </bk>
    <bk>
      <rc t="2" v="15829"/>
    </bk>
    <bk>
      <rc t="2" v="15830"/>
    </bk>
    <bk>
      <rc t="2" v="15831"/>
    </bk>
    <bk>
      <rc t="2" v="15832"/>
    </bk>
    <bk>
      <rc t="2" v="15833"/>
    </bk>
    <bk>
      <rc t="2" v="15834"/>
    </bk>
    <bk>
      <rc t="2" v="15835"/>
    </bk>
    <bk>
      <rc t="2" v="15836"/>
    </bk>
    <bk>
      <rc t="2" v="15837"/>
    </bk>
    <bk>
      <rc t="2" v="15838"/>
    </bk>
    <bk>
      <rc t="2" v="15839"/>
    </bk>
    <bk>
      <rc t="2" v="15840"/>
    </bk>
    <bk>
      <rc t="2" v="15841"/>
    </bk>
    <bk>
      <rc t="2" v="15842"/>
    </bk>
    <bk>
      <rc t="2" v="15843"/>
    </bk>
    <bk>
      <rc t="2" v="15844"/>
    </bk>
    <bk>
      <rc t="2" v="15845"/>
    </bk>
    <bk>
      <rc t="2" v="15846"/>
    </bk>
    <bk>
      <rc t="2" v="15847"/>
    </bk>
    <bk>
      <rc t="2" v="15848"/>
    </bk>
    <bk>
      <rc t="2" v="15849"/>
    </bk>
    <bk>
      <rc t="2" v="15850"/>
    </bk>
    <bk>
      <rc t="2" v="15851"/>
    </bk>
    <bk>
      <rc t="2" v="15852"/>
    </bk>
    <bk>
      <rc t="2" v="15853"/>
    </bk>
    <bk>
      <rc t="2" v="15854"/>
    </bk>
    <bk>
      <rc t="2" v="15855"/>
    </bk>
    <bk>
      <rc t="2" v="15856"/>
    </bk>
    <bk>
      <rc t="2" v="15857"/>
    </bk>
    <bk>
      <rc t="2" v="15858"/>
    </bk>
    <bk>
      <rc t="2" v="15859"/>
    </bk>
    <bk>
      <rc t="2" v="15860"/>
    </bk>
    <bk>
      <rc t="2" v="15861"/>
    </bk>
    <bk>
      <rc t="2" v="15862"/>
    </bk>
    <bk>
      <rc t="2" v="15863"/>
    </bk>
    <bk>
      <rc t="2" v="15864"/>
    </bk>
    <bk>
      <rc t="2" v="15865"/>
    </bk>
    <bk>
      <rc t="2" v="15866"/>
    </bk>
    <bk>
      <rc t="2" v="15867"/>
    </bk>
    <bk>
      <rc t="2" v="15868"/>
    </bk>
    <bk>
      <rc t="2" v="15869"/>
    </bk>
    <bk>
      <rc t="2" v="15870"/>
    </bk>
    <bk>
      <rc t="2" v="15871"/>
    </bk>
    <bk>
      <rc t="2" v="15872"/>
    </bk>
    <bk>
      <rc t="2" v="15873"/>
    </bk>
    <bk>
      <rc t="2" v="15874"/>
    </bk>
    <bk>
      <rc t="2" v="15875"/>
    </bk>
    <bk>
      <rc t="2" v="15876"/>
    </bk>
    <bk>
      <rc t="2" v="15877"/>
    </bk>
    <bk>
      <rc t="2" v="15878"/>
    </bk>
    <bk>
      <rc t="2" v="15879"/>
    </bk>
    <bk>
      <rc t="2" v="15880"/>
    </bk>
    <bk>
      <rc t="2" v="15881"/>
    </bk>
    <bk>
      <rc t="2" v="15882"/>
    </bk>
    <bk>
      <rc t="2" v="15883"/>
    </bk>
    <bk>
      <rc t="2" v="15884"/>
    </bk>
    <bk>
      <rc t="2" v="15885"/>
    </bk>
    <bk>
      <rc t="2" v="15886"/>
    </bk>
    <bk>
      <rc t="2" v="15887"/>
    </bk>
    <bk>
      <rc t="2" v="15888"/>
    </bk>
    <bk>
      <rc t="2" v="15889"/>
    </bk>
    <bk>
      <rc t="2" v="15890"/>
    </bk>
    <bk>
      <rc t="2" v="15891"/>
    </bk>
    <bk>
      <rc t="2" v="15892"/>
    </bk>
    <bk>
      <rc t="2" v="15893"/>
    </bk>
    <bk>
      <rc t="2" v="15894"/>
    </bk>
    <bk>
      <rc t="2" v="15895"/>
    </bk>
    <bk>
      <rc t="2" v="15896"/>
    </bk>
    <bk>
      <rc t="2" v="15897"/>
    </bk>
    <bk>
      <rc t="2" v="15898"/>
    </bk>
    <bk>
      <rc t="2" v="15899"/>
    </bk>
    <bk>
      <rc t="2" v="15900"/>
    </bk>
    <bk>
      <rc t="2" v="15901"/>
    </bk>
    <bk>
      <rc t="2" v="15902"/>
    </bk>
    <bk>
      <rc t="2" v="15903"/>
    </bk>
    <bk>
      <rc t="2" v="15904"/>
    </bk>
    <bk>
      <rc t="2" v="15905"/>
    </bk>
    <bk>
      <rc t="2" v="15906"/>
    </bk>
    <bk>
      <rc t="2" v="15907"/>
    </bk>
    <bk>
      <rc t="2" v="15908"/>
    </bk>
    <bk>
      <rc t="2" v="15909"/>
    </bk>
    <bk>
      <rc t="2" v="15910"/>
    </bk>
    <bk>
      <rc t="2" v="15911"/>
    </bk>
    <bk>
      <rc t="2" v="15912"/>
    </bk>
    <bk>
      <rc t="2" v="15913"/>
    </bk>
    <bk>
      <rc t="2" v="15914"/>
    </bk>
    <bk>
      <rc t="2" v="15915"/>
    </bk>
    <bk>
      <rc t="2" v="15916"/>
    </bk>
    <bk>
      <rc t="2" v="15917"/>
    </bk>
    <bk>
      <rc t="2" v="15918"/>
    </bk>
    <bk>
      <rc t="2" v="15919"/>
    </bk>
    <bk>
      <rc t="2" v="15920"/>
    </bk>
    <bk>
      <rc t="2" v="15921"/>
    </bk>
    <bk>
      <rc t="2" v="15922"/>
    </bk>
    <bk>
      <rc t="2" v="15923"/>
    </bk>
    <bk>
      <rc t="2" v="15924"/>
    </bk>
    <bk>
      <rc t="2" v="15925"/>
    </bk>
    <bk>
      <rc t="2" v="15926"/>
    </bk>
    <bk>
      <rc t="2" v="15927"/>
    </bk>
    <bk>
      <rc t="2" v="15928"/>
    </bk>
    <bk>
      <rc t="2" v="15929"/>
    </bk>
    <bk>
      <rc t="2" v="15930"/>
    </bk>
    <bk>
      <rc t="2" v="15931"/>
    </bk>
    <bk>
      <rc t="2" v="15932"/>
    </bk>
    <bk>
      <rc t="2" v="15933"/>
    </bk>
    <bk>
      <rc t="2" v="15934"/>
    </bk>
    <bk>
      <rc t="2" v="15935"/>
    </bk>
    <bk>
      <rc t="2" v="15936"/>
    </bk>
    <bk>
      <rc t="2" v="15937"/>
    </bk>
    <bk>
      <rc t="2" v="15938"/>
    </bk>
    <bk>
      <rc t="2" v="15939"/>
    </bk>
    <bk>
      <rc t="2" v="15940"/>
    </bk>
    <bk>
      <rc t="2" v="15941"/>
    </bk>
    <bk>
      <rc t="2" v="15942"/>
    </bk>
    <bk>
      <rc t="2" v="15943"/>
    </bk>
    <bk>
      <rc t="2" v="15944"/>
    </bk>
    <bk>
      <rc t="2" v="15945"/>
    </bk>
    <bk>
      <rc t="2" v="15946"/>
    </bk>
    <bk>
      <rc t="2" v="15947"/>
    </bk>
    <bk>
      <rc t="2" v="15948"/>
    </bk>
    <bk>
      <rc t="2" v="15949"/>
    </bk>
    <bk>
      <rc t="2" v="15950"/>
    </bk>
    <bk>
      <rc t="2" v="15951"/>
    </bk>
    <bk>
      <rc t="2" v="15952"/>
    </bk>
    <bk>
      <rc t="2" v="15953"/>
    </bk>
    <bk>
      <rc t="2" v="15954"/>
    </bk>
    <bk>
      <rc t="2" v="15955"/>
    </bk>
    <bk>
      <rc t="2" v="15956"/>
    </bk>
    <bk>
      <rc t="2" v="15957"/>
    </bk>
    <bk>
      <rc t="2" v="15958"/>
    </bk>
    <bk>
      <rc t="2" v="15959"/>
    </bk>
    <bk>
      <rc t="2" v="15960"/>
    </bk>
    <bk>
      <rc t="2" v="15961"/>
    </bk>
    <bk>
      <rc t="2" v="15962"/>
    </bk>
    <bk>
      <rc t="2" v="15963"/>
    </bk>
    <bk>
      <rc t="2" v="15964"/>
    </bk>
    <bk>
      <rc t="2" v="15965"/>
    </bk>
    <bk>
      <rc t="2" v="15966"/>
    </bk>
    <bk>
      <rc t="2" v="15967"/>
    </bk>
    <bk>
      <rc t="2" v="15968"/>
    </bk>
    <bk>
      <rc t="2" v="15969"/>
    </bk>
    <bk>
      <rc t="2" v="15970"/>
    </bk>
    <bk>
      <rc t="2" v="15971"/>
    </bk>
    <bk>
      <rc t="2" v="15972"/>
    </bk>
    <bk>
      <rc t="2" v="15973"/>
    </bk>
    <bk>
      <rc t="2" v="15974"/>
    </bk>
    <bk>
      <rc t="2" v="15975"/>
    </bk>
    <bk>
      <rc t="2" v="15976"/>
    </bk>
    <bk>
      <rc t="2" v="15977"/>
    </bk>
    <bk>
      <rc t="2" v="15978"/>
    </bk>
    <bk>
      <rc t="2" v="15979"/>
    </bk>
    <bk>
      <rc t="2" v="15980"/>
    </bk>
    <bk>
      <rc t="2" v="15981"/>
    </bk>
    <bk>
      <rc t="2" v="15982"/>
    </bk>
    <bk>
      <rc t="2" v="15983"/>
    </bk>
    <bk>
      <rc t="2" v="15984"/>
    </bk>
    <bk>
      <rc t="2" v="15985"/>
    </bk>
    <bk>
      <rc t="2" v="15986"/>
    </bk>
    <bk>
      <rc t="2" v="15987"/>
    </bk>
    <bk>
      <rc t="2" v="15988"/>
    </bk>
    <bk>
      <rc t="2" v="15989"/>
    </bk>
    <bk>
      <rc t="2" v="15990"/>
    </bk>
    <bk>
      <rc t="2" v="15991"/>
    </bk>
    <bk>
      <rc t="2" v="15992"/>
    </bk>
    <bk>
      <rc t="2" v="15993"/>
    </bk>
    <bk>
      <rc t="2" v="15994"/>
    </bk>
    <bk>
      <rc t="2" v="15995"/>
    </bk>
    <bk>
      <rc t="2" v="15996"/>
    </bk>
    <bk>
      <rc t="2" v="15997"/>
    </bk>
    <bk>
      <rc t="2" v="15998"/>
    </bk>
    <bk>
      <rc t="2" v="15999"/>
    </bk>
    <bk>
      <rc t="2" v="16000"/>
    </bk>
    <bk>
      <rc t="2" v="16001"/>
    </bk>
    <bk>
      <rc t="2" v="16002"/>
    </bk>
    <bk>
      <rc t="2" v="16003"/>
    </bk>
    <bk>
      <rc t="2" v="16004"/>
    </bk>
    <bk>
      <rc t="2" v="16005"/>
    </bk>
    <bk>
      <rc t="2" v="16006"/>
    </bk>
    <bk>
      <rc t="2" v="16007"/>
    </bk>
    <bk>
      <rc t="2" v="16008"/>
    </bk>
    <bk>
      <rc t="2" v="16009"/>
    </bk>
    <bk>
      <rc t="2" v="16010"/>
    </bk>
    <bk>
      <rc t="2" v="16011"/>
    </bk>
    <bk>
      <rc t="2" v="16012"/>
    </bk>
    <bk>
      <rc t="2" v="16013"/>
    </bk>
    <bk>
      <rc t="2" v="16014"/>
    </bk>
    <bk>
      <rc t="2" v="16015"/>
    </bk>
    <bk>
      <rc t="2" v="16016"/>
    </bk>
    <bk>
      <rc t="2" v="16017"/>
    </bk>
    <bk>
      <rc t="2" v="16018"/>
    </bk>
    <bk>
      <rc t="2" v="16019"/>
    </bk>
    <bk>
      <rc t="2" v="16020"/>
    </bk>
    <bk>
      <rc t="2" v="16021"/>
    </bk>
    <bk>
      <rc t="2" v="16022"/>
    </bk>
    <bk>
      <rc t="2" v="16023"/>
    </bk>
    <bk>
      <rc t="2" v="16024"/>
    </bk>
    <bk>
      <rc t="2" v="16025"/>
    </bk>
    <bk>
      <rc t="2" v="16026"/>
    </bk>
    <bk>
      <rc t="2" v="16027"/>
    </bk>
    <bk>
      <rc t="2" v="16028"/>
    </bk>
    <bk>
      <rc t="2" v="16029"/>
    </bk>
    <bk>
      <rc t="2" v="16030"/>
    </bk>
    <bk>
      <rc t="2" v="16031"/>
    </bk>
    <bk>
      <rc t="2" v="16032"/>
    </bk>
    <bk>
      <rc t="2" v="16033"/>
    </bk>
    <bk>
      <rc t="2" v="16034"/>
    </bk>
    <bk>
      <rc t="2" v="16035"/>
    </bk>
    <bk>
      <rc t="2" v="16036"/>
    </bk>
    <bk>
      <rc t="2" v="16037"/>
    </bk>
    <bk>
      <rc t="2" v="16038"/>
    </bk>
    <bk>
      <rc t="2" v="16039"/>
    </bk>
    <bk>
      <rc t="2" v="16040"/>
    </bk>
    <bk>
      <rc t="2" v="16041"/>
    </bk>
    <bk>
      <rc t="2" v="16042"/>
    </bk>
    <bk>
      <rc t="2" v="16043"/>
    </bk>
    <bk>
      <rc t="2" v="16044"/>
    </bk>
    <bk>
      <rc t="2" v="16045"/>
    </bk>
    <bk>
      <rc t="2" v="16046"/>
    </bk>
    <bk>
      <rc t="2" v="16047"/>
    </bk>
    <bk>
      <rc t="2" v="16048"/>
    </bk>
    <bk>
      <rc t="2" v="16049"/>
    </bk>
    <bk>
      <rc t="2" v="16050"/>
    </bk>
    <bk>
      <rc t="2" v="16051"/>
    </bk>
    <bk>
      <rc t="2" v="16052"/>
    </bk>
    <bk>
      <rc t="2" v="16053"/>
    </bk>
    <bk>
      <rc t="2" v="16054"/>
    </bk>
    <bk>
      <rc t="2" v="16055"/>
    </bk>
    <bk>
      <rc t="2" v="16056"/>
    </bk>
    <bk>
      <rc t="2" v="16057"/>
    </bk>
    <bk>
      <rc t="2" v="16058"/>
    </bk>
    <bk>
      <rc t="2" v="16059"/>
    </bk>
    <bk>
      <rc t="2" v="16060"/>
    </bk>
    <bk>
      <rc t="2" v="16061"/>
    </bk>
    <bk>
      <rc t="2" v="16062"/>
    </bk>
    <bk>
      <rc t="2" v="16063"/>
    </bk>
    <bk>
      <rc t="2" v="16064"/>
    </bk>
    <bk>
      <rc t="2" v="16065"/>
    </bk>
    <bk>
      <rc t="2" v="16066"/>
    </bk>
    <bk>
      <rc t="2" v="16067"/>
    </bk>
    <bk>
      <rc t="2" v="16068"/>
    </bk>
    <bk>
      <rc t="2" v="16069"/>
    </bk>
    <bk>
      <rc t="2" v="16070"/>
    </bk>
    <bk>
      <rc t="2" v="16071"/>
    </bk>
    <bk>
      <rc t="2" v="16072"/>
    </bk>
    <bk>
      <rc t="2" v="16073"/>
    </bk>
    <bk>
      <rc t="2" v="16074"/>
    </bk>
    <bk>
      <rc t="2" v="16075"/>
    </bk>
    <bk>
      <rc t="2" v="16076"/>
    </bk>
    <bk>
      <rc t="2" v="16077"/>
    </bk>
    <bk>
      <rc t="2" v="16078"/>
    </bk>
    <bk>
      <rc t="2" v="16079"/>
    </bk>
    <bk>
      <rc t="2" v="16080"/>
    </bk>
    <bk>
      <rc t="2" v="16081"/>
    </bk>
    <bk>
      <rc t="2" v="16082"/>
    </bk>
    <bk>
      <rc t="2" v="16083"/>
    </bk>
    <bk>
      <rc t="2" v="16084"/>
    </bk>
    <bk>
      <rc t="2" v="16085"/>
    </bk>
    <bk>
      <rc t="2" v="16086"/>
    </bk>
    <bk>
      <rc t="2" v="16087"/>
    </bk>
    <bk>
      <rc t="2" v="16088"/>
    </bk>
    <bk>
      <rc t="2" v="16089"/>
    </bk>
    <bk>
      <rc t="2" v="16090"/>
    </bk>
    <bk>
      <rc t="2" v="16091"/>
    </bk>
    <bk>
      <rc t="2" v="16092"/>
    </bk>
    <bk>
      <rc t="2" v="16093"/>
    </bk>
    <bk>
      <rc t="2" v="16094"/>
    </bk>
    <bk>
      <rc t="2" v="16095"/>
    </bk>
    <bk>
      <rc t="2" v="16096"/>
    </bk>
    <bk>
      <rc t="2" v="16097"/>
    </bk>
    <bk>
      <rc t="2" v="16098"/>
    </bk>
    <bk>
      <rc t="2" v="16099"/>
    </bk>
    <bk>
      <rc t="2" v="16100"/>
    </bk>
    <bk>
      <rc t="2" v="16101"/>
    </bk>
    <bk>
      <rc t="2" v="16102"/>
    </bk>
    <bk>
      <rc t="2" v="16103"/>
    </bk>
    <bk>
      <rc t="2" v="16104"/>
    </bk>
    <bk>
      <rc t="2" v="16105"/>
    </bk>
    <bk>
      <rc t="2" v="16106"/>
    </bk>
    <bk>
      <rc t="2" v="16107"/>
    </bk>
    <bk>
      <rc t="2" v="16108"/>
    </bk>
    <bk>
      <rc t="2" v="16109"/>
    </bk>
    <bk>
      <rc t="2" v="16110"/>
    </bk>
    <bk>
      <rc t="2" v="16111"/>
    </bk>
    <bk>
      <rc t="2" v="16112"/>
    </bk>
    <bk>
      <rc t="2" v="16113"/>
    </bk>
    <bk>
      <rc t="2" v="16114"/>
    </bk>
    <bk>
      <rc t="2" v="16115"/>
    </bk>
    <bk>
      <rc t="2" v="16116"/>
    </bk>
    <bk>
      <rc t="2" v="16117"/>
    </bk>
    <bk>
      <rc t="2" v="16118"/>
    </bk>
    <bk>
      <rc t="2" v="16119"/>
    </bk>
    <bk>
      <rc t="2" v="16120"/>
    </bk>
    <bk>
      <rc t="2" v="16121"/>
    </bk>
    <bk>
      <rc t="2" v="16122"/>
    </bk>
    <bk>
      <rc t="2" v="16123"/>
    </bk>
    <bk>
      <rc t="2" v="16124"/>
    </bk>
    <bk>
      <rc t="2" v="16125"/>
    </bk>
    <bk>
      <rc t="2" v="16126"/>
    </bk>
    <bk>
      <rc t="2" v="16127"/>
    </bk>
    <bk>
      <rc t="2" v="16128"/>
    </bk>
    <bk>
      <rc t="2" v="16129"/>
    </bk>
    <bk>
      <rc t="2" v="16130"/>
    </bk>
    <bk>
      <rc t="2" v="16131"/>
    </bk>
    <bk>
      <rc t="2" v="16132"/>
    </bk>
    <bk>
      <rc t="2" v="16133"/>
    </bk>
    <bk>
      <rc t="2" v="16134"/>
    </bk>
    <bk>
      <rc t="2" v="16135"/>
    </bk>
    <bk>
      <rc t="2" v="16136"/>
    </bk>
    <bk>
      <rc t="2" v="16137"/>
    </bk>
    <bk>
      <rc t="2" v="16138"/>
    </bk>
    <bk>
      <rc t="2" v="16139"/>
    </bk>
    <bk>
      <rc t="2" v="16140"/>
    </bk>
    <bk>
      <rc t="2" v="16141"/>
    </bk>
    <bk>
      <rc t="2" v="16142"/>
    </bk>
    <bk>
      <rc t="2" v="16143"/>
    </bk>
    <bk>
      <rc t="2" v="16144"/>
    </bk>
    <bk>
      <rc t="2" v="16145"/>
    </bk>
    <bk>
      <rc t="2" v="16146"/>
    </bk>
    <bk>
      <rc t="2" v="16147"/>
    </bk>
    <bk>
      <rc t="2" v="16148"/>
    </bk>
    <bk>
      <rc t="2" v="16149"/>
    </bk>
    <bk>
      <rc t="2" v="16150"/>
    </bk>
    <bk>
      <rc t="2" v="16151"/>
    </bk>
    <bk>
      <rc t="2" v="16152"/>
    </bk>
    <bk>
      <rc t="2" v="16153"/>
    </bk>
    <bk>
      <rc t="2" v="16154"/>
    </bk>
    <bk>
      <rc t="2" v="16155"/>
    </bk>
    <bk>
      <rc t="2" v="16156"/>
    </bk>
    <bk>
      <rc t="2" v="16157"/>
    </bk>
    <bk>
      <rc t="2" v="16158"/>
    </bk>
    <bk>
      <rc t="2" v="16159"/>
    </bk>
    <bk>
      <rc t="2" v="16160"/>
    </bk>
    <bk>
      <rc t="2" v="16161"/>
    </bk>
    <bk>
      <rc t="2" v="16162"/>
    </bk>
    <bk>
      <rc t="2" v="16163"/>
    </bk>
    <bk>
      <rc t="2" v="16164"/>
    </bk>
    <bk>
      <rc t="2" v="16165"/>
    </bk>
    <bk>
      <rc t="2" v="16166"/>
    </bk>
    <bk>
      <rc t="2" v="16167"/>
    </bk>
    <bk>
      <rc t="2" v="16168"/>
    </bk>
    <bk>
      <rc t="2" v="16169"/>
    </bk>
    <bk>
      <rc t="2" v="16170"/>
    </bk>
    <bk>
      <rc t="2" v="16171"/>
    </bk>
    <bk>
      <rc t="2" v="16172"/>
    </bk>
    <bk>
      <rc t="2" v="16173"/>
    </bk>
    <bk>
      <rc t="2" v="16174"/>
    </bk>
    <bk>
      <rc t="2" v="16175"/>
    </bk>
    <bk>
      <rc t="2" v="16176"/>
    </bk>
    <bk>
      <rc t="2" v="16177"/>
    </bk>
    <bk>
      <rc t="2" v="16178"/>
    </bk>
    <bk>
      <rc t="2" v="16179"/>
    </bk>
    <bk>
      <rc t="2" v="16180"/>
    </bk>
    <bk>
      <rc t="2" v="16181"/>
    </bk>
    <bk>
      <rc t="2" v="16182"/>
    </bk>
    <bk>
      <rc t="2" v="16183"/>
    </bk>
    <bk>
      <rc t="2" v="16184"/>
    </bk>
    <bk>
      <rc t="2" v="16185"/>
    </bk>
    <bk>
      <rc t="2" v="16186"/>
    </bk>
    <bk>
      <rc t="2" v="16187"/>
    </bk>
    <bk>
      <rc t="2" v="16188"/>
    </bk>
    <bk>
      <rc t="2" v="16189"/>
    </bk>
    <bk>
      <rc t="2" v="16190"/>
    </bk>
    <bk>
      <rc t="2" v="16191"/>
    </bk>
    <bk>
      <rc t="2" v="16192"/>
    </bk>
    <bk>
      <rc t="2" v="16193"/>
    </bk>
    <bk>
      <rc t="2" v="16194"/>
    </bk>
    <bk>
      <rc t="2" v="16195"/>
    </bk>
    <bk>
      <rc t="2" v="16196"/>
    </bk>
    <bk>
      <rc t="2" v="16197"/>
    </bk>
    <bk>
      <rc t="2" v="16198"/>
    </bk>
    <bk>
      <rc t="2" v="16199"/>
    </bk>
    <bk>
      <rc t="2" v="16200"/>
    </bk>
    <bk>
      <rc t="2" v="16201"/>
    </bk>
    <bk>
      <rc t="2" v="16202"/>
    </bk>
    <bk>
      <rc t="2" v="16203"/>
    </bk>
    <bk>
      <rc t="2" v="16204"/>
    </bk>
    <bk>
      <rc t="2" v="16205"/>
    </bk>
    <bk>
      <rc t="2" v="16206"/>
    </bk>
    <bk>
      <rc t="2" v="16207"/>
    </bk>
    <bk>
      <rc t="2" v="16208"/>
    </bk>
    <bk>
      <rc t="2" v="16209"/>
    </bk>
    <bk>
      <rc t="2" v="16210"/>
    </bk>
    <bk>
      <rc t="2" v="16211"/>
    </bk>
    <bk>
      <rc t="2" v="16212"/>
    </bk>
    <bk>
      <rc t="2" v="16213"/>
    </bk>
    <bk>
      <rc t="2" v="16214"/>
    </bk>
    <bk>
      <rc t="2" v="16215"/>
    </bk>
    <bk>
      <rc t="2" v="16216"/>
    </bk>
    <bk>
      <rc t="2" v="16217"/>
    </bk>
    <bk>
      <rc t="2" v="16218"/>
    </bk>
    <bk>
      <rc t="2" v="16219"/>
    </bk>
    <bk>
      <rc t="2" v="16220"/>
    </bk>
    <bk>
      <rc t="2" v="16221"/>
    </bk>
    <bk>
      <rc t="2" v="16222"/>
    </bk>
    <bk>
      <rc t="2" v="16223"/>
    </bk>
    <bk>
      <rc t="2" v="16224"/>
    </bk>
    <bk>
      <rc t="2" v="16225"/>
    </bk>
    <bk>
      <rc t="2" v="16226"/>
    </bk>
    <bk>
      <rc t="2" v="16227"/>
    </bk>
    <bk>
      <rc t="2" v="16228"/>
    </bk>
    <bk>
      <rc t="2" v="16229"/>
    </bk>
    <bk>
      <rc t="2" v="16230"/>
    </bk>
    <bk>
      <rc t="2" v="16231"/>
    </bk>
    <bk>
      <rc t="2" v="16232"/>
    </bk>
    <bk>
      <rc t="2" v="16233"/>
    </bk>
    <bk>
      <rc t="2" v="16234"/>
    </bk>
    <bk>
      <rc t="2" v="16235"/>
    </bk>
    <bk>
      <rc t="2" v="16236"/>
    </bk>
    <bk>
      <rc t="2" v="16237"/>
    </bk>
    <bk>
      <rc t="2" v="16238"/>
    </bk>
    <bk>
      <rc t="2" v="16239"/>
    </bk>
    <bk>
      <rc t="2" v="16240"/>
    </bk>
    <bk>
      <rc t="2" v="16241"/>
    </bk>
    <bk>
      <rc t="2" v="16242"/>
    </bk>
    <bk>
      <rc t="2" v="16243"/>
    </bk>
    <bk>
      <rc t="2" v="16244"/>
    </bk>
    <bk>
      <rc t="2" v="16245"/>
    </bk>
    <bk>
      <rc t="2" v="16246"/>
    </bk>
    <bk>
      <rc t="2" v="16247"/>
    </bk>
    <bk>
      <rc t="2" v="16248"/>
    </bk>
    <bk>
      <rc t="2" v="16249"/>
    </bk>
    <bk>
      <rc t="2" v="16250"/>
    </bk>
    <bk>
      <rc t="2" v="16251"/>
    </bk>
    <bk>
      <rc t="2" v="16252"/>
    </bk>
    <bk>
      <rc t="2" v="16253"/>
    </bk>
    <bk>
      <rc t="2" v="16254"/>
    </bk>
    <bk>
      <rc t="2" v="16255"/>
    </bk>
    <bk>
      <rc t="2" v="16256"/>
    </bk>
    <bk>
      <rc t="2" v="16257"/>
    </bk>
    <bk>
      <rc t="2" v="16258"/>
    </bk>
    <bk>
      <rc t="2" v="16259"/>
    </bk>
    <bk>
      <rc t="2" v="16260"/>
    </bk>
    <bk>
      <rc t="2" v="16261"/>
    </bk>
    <bk>
      <rc t="2" v="16262"/>
    </bk>
    <bk>
      <rc t="2" v="16263"/>
    </bk>
    <bk>
      <rc t="2" v="16264"/>
    </bk>
    <bk>
      <rc t="2" v="16265"/>
    </bk>
    <bk>
      <rc t="2" v="16266"/>
    </bk>
    <bk>
      <rc t="2" v="16267"/>
    </bk>
    <bk>
      <rc t="2" v="16268"/>
    </bk>
    <bk>
      <rc t="2" v="16269"/>
    </bk>
    <bk>
      <rc t="2" v="16270"/>
    </bk>
    <bk>
      <rc t="2" v="16271"/>
    </bk>
    <bk>
      <rc t="2" v="16272"/>
    </bk>
    <bk>
      <rc t="2" v="16273"/>
    </bk>
    <bk>
      <rc t="2" v="16274"/>
    </bk>
    <bk>
      <rc t="2" v="16275"/>
    </bk>
    <bk>
      <rc t="2" v="16276"/>
    </bk>
    <bk>
      <rc t="2" v="16277"/>
    </bk>
    <bk>
      <rc t="2" v="16278"/>
    </bk>
    <bk>
      <rc t="2" v="16279"/>
    </bk>
    <bk>
      <rc t="2" v="16280"/>
    </bk>
    <bk>
      <rc t="2" v="16281"/>
    </bk>
    <bk>
      <rc t="2" v="16282"/>
    </bk>
    <bk>
      <rc t="2" v="16283"/>
    </bk>
    <bk>
      <rc t="2" v="16284"/>
    </bk>
    <bk>
      <rc t="2" v="16285"/>
    </bk>
    <bk>
      <rc t="2" v="16286"/>
    </bk>
    <bk>
      <rc t="2" v="16287"/>
    </bk>
    <bk>
      <rc t="2" v="16288"/>
    </bk>
    <bk>
      <rc t="2" v="16289"/>
    </bk>
    <bk>
      <rc t="2" v="16290"/>
    </bk>
    <bk>
      <rc t="2" v="16291"/>
    </bk>
    <bk>
      <rc t="2" v="16292"/>
    </bk>
    <bk>
      <rc t="2" v="16293"/>
    </bk>
    <bk>
      <rc t="2" v="16294"/>
    </bk>
    <bk>
      <rc t="2" v="16295"/>
    </bk>
    <bk>
      <rc t="2" v="16296"/>
    </bk>
    <bk>
      <rc t="2" v="16297"/>
    </bk>
    <bk>
      <rc t="2" v="16298"/>
    </bk>
    <bk>
      <rc t="2" v="16299"/>
    </bk>
    <bk>
      <rc t="2" v="16300"/>
    </bk>
    <bk>
      <rc t="2" v="16301"/>
    </bk>
    <bk>
      <rc t="2" v="16302"/>
    </bk>
    <bk>
      <rc t="2" v="16303"/>
    </bk>
    <bk>
      <rc t="2" v="16304"/>
    </bk>
    <bk>
      <rc t="2" v="16305"/>
    </bk>
    <bk>
      <rc t="2" v="16306"/>
    </bk>
    <bk>
      <rc t="2" v="16307"/>
    </bk>
    <bk>
      <rc t="2" v="16308"/>
    </bk>
    <bk>
      <rc t="2" v="16309"/>
    </bk>
    <bk>
      <rc t="2" v="16310"/>
    </bk>
    <bk>
      <rc t="2" v="16311"/>
    </bk>
    <bk>
      <rc t="2" v="16312"/>
    </bk>
    <bk>
      <rc t="2" v="16313"/>
    </bk>
    <bk>
      <rc t="2" v="16314"/>
    </bk>
    <bk>
      <rc t="2" v="16315"/>
    </bk>
    <bk>
      <rc t="2" v="16316"/>
    </bk>
    <bk>
      <rc t="2" v="16317"/>
    </bk>
    <bk>
      <rc t="2" v="16318"/>
    </bk>
    <bk>
      <rc t="2" v="16319"/>
    </bk>
    <bk>
      <rc t="2" v="16320"/>
    </bk>
    <bk>
      <rc t="2" v="16321"/>
    </bk>
    <bk>
      <rc t="2" v="16322"/>
    </bk>
    <bk>
      <rc t="2" v="16323"/>
    </bk>
    <bk>
      <rc t="2" v="16324"/>
    </bk>
    <bk>
      <rc t="2" v="16325"/>
    </bk>
    <bk>
      <rc t="2" v="16326"/>
    </bk>
    <bk>
      <rc t="2" v="16327"/>
    </bk>
    <bk>
      <rc t="2" v="16328"/>
    </bk>
    <bk>
      <rc t="2" v="16329"/>
    </bk>
    <bk>
      <rc t="2" v="16330"/>
    </bk>
    <bk>
      <rc t="2" v="16331"/>
    </bk>
    <bk>
      <rc t="2" v="16332"/>
    </bk>
    <bk>
      <rc t="2" v="16333"/>
    </bk>
    <bk>
      <rc t="2" v="16334"/>
    </bk>
    <bk>
      <rc t="2" v="16335"/>
    </bk>
    <bk>
      <rc t="2" v="16336"/>
    </bk>
    <bk>
      <rc t="2" v="16337"/>
    </bk>
    <bk>
      <rc t="2" v="16338"/>
    </bk>
    <bk>
      <rc t="2" v="16339"/>
    </bk>
    <bk>
      <rc t="2" v="16340"/>
    </bk>
    <bk>
      <rc t="2" v="16341"/>
    </bk>
    <bk>
      <rc t="2" v="16342"/>
    </bk>
    <bk>
      <rc t="2" v="16343"/>
    </bk>
    <bk>
      <rc t="2" v="16344"/>
    </bk>
    <bk>
      <rc t="2" v="16345"/>
    </bk>
    <bk>
      <rc t="2" v="16346"/>
    </bk>
    <bk>
      <rc t="2" v="16347"/>
    </bk>
    <bk>
      <rc t="2" v="16348"/>
    </bk>
    <bk>
      <rc t="2" v="16349"/>
    </bk>
    <bk>
      <rc t="2" v="16350"/>
    </bk>
    <bk>
      <rc t="2" v="16351"/>
    </bk>
    <bk>
      <rc t="2" v="16352"/>
    </bk>
    <bk>
      <rc t="2" v="16353"/>
    </bk>
    <bk>
      <rc t="2" v="16354"/>
    </bk>
    <bk>
      <rc t="2" v="16355"/>
    </bk>
    <bk>
      <rc t="2" v="16356"/>
    </bk>
    <bk>
      <rc t="2" v="16357"/>
    </bk>
    <bk>
      <rc t="2" v="16358"/>
    </bk>
    <bk>
      <rc t="2" v="16359"/>
    </bk>
    <bk>
      <rc t="2" v="16360"/>
    </bk>
    <bk>
      <rc t="2" v="16361"/>
    </bk>
    <bk>
      <rc t="2" v="16362"/>
    </bk>
    <bk>
      <rc t="2" v="16363"/>
    </bk>
    <bk>
      <rc t="2" v="16364"/>
    </bk>
    <bk>
      <rc t="2" v="16365"/>
    </bk>
    <bk>
      <rc t="2" v="16366"/>
    </bk>
    <bk>
      <rc t="2" v="16367"/>
    </bk>
    <bk>
      <rc t="2" v="16368"/>
    </bk>
    <bk>
      <rc t="2" v="16369"/>
    </bk>
    <bk>
      <rc t="2" v="16370"/>
    </bk>
    <bk>
      <rc t="2" v="16371"/>
    </bk>
    <bk>
      <rc t="2" v="16372"/>
    </bk>
    <bk>
      <rc t="2" v="16373"/>
    </bk>
    <bk>
      <rc t="2" v="16374"/>
    </bk>
    <bk>
      <rc t="2" v="16375"/>
    </bk>
    <bk>
      <rc t="2" v="16376"/>
    </bk>
    <bk>
      <rc t="2" v="16377"/>
    </bk>
    <bk>
      <rc t="2" v="16378"/>
    </bk>
    <bk>
      <rc t="2" v="16379"/>
    </bk>
    <bk>
      <rc t="2" v="16380"/>
    </bk>
    <bk>
      <rc t="2" v="16381"/>
    </bk>
    <bk>
      <rc t="2" v="16382"/>
    </bk>
    <bk>
      <rc t="2" v="16383"/>
    </bk>
    <bk>
      <rc t="2" v="16384"/>
    </bk>
    <bk>
      <rc t="2" v="16385"/>
    </bk>
    <bk>
      <rc t="2" v="16386"/>
    </bk>
    <bk>
      <rc t="2" v="16387"/>
    </bk>
    <bk>
      <rc t="2" v="16388"/>
    </bk>
    <bk>
      <rc t="2" v="16389"/>
    </bk>
    <bk>
      <rc t="2" v="16390"/>
    </bk>
    <bk>
      <rc t="2" v="16391"/>
    </bk>
    <bk>
      <rc t="2" v="16392"/>
    </bk>
    <bk>
      <rc t="2" v="16393"/>
    </bk>
    <bk>
      <rc t="2" v="16394"/>
    </bk>
    <bk>
      <rc t="2" v="16395"/>
    </bk>
    <bk>
      <rc t="2" v="16396"/>
    </bk>
    <bk>
      <rc t="2" v="16397"/>
    </bk>
    <bk>
      <rc t="2" v="16398"/>
    </bk>
    <bk>
      <rc t="2" v="16399"/>
    </bk>
    <bk>
      <rc t="2" v="16400"/>
    </bk>
    <bk>
      <rc t="2" v="16401"/>
    </bk>
    <bk>
      <rc t="2" v="16402"/>
    </bk>
    <bk>
      <rc t="2" v="16403"/>
    </bk>
    <bk>
      <rc t="2" v="16404"/>
    </bk>
    <bk>
      <rc t="2" v="16405"/>
    </bk>
    <bk>
      <rc t="2" v="16406"/>
    </bk>
    <bk>
      <rc t="2" v="16407"/>
    </bk>
    <bk>
      <rc t="2" v="16408"/>
    </bk>
    <bk>
      <rc t="2" v="16409"/>
    </bk>
    <bk>
      <rc t="2" v="16410"/>
    </bk>
    <bk>
      <rc t="2" v="16411"/>
    </bk>
    <bk>
      <rc t="2" v="16412"/>
    </bk>
    <bk>
      <rc t="2" v="16413"/>
    </bk>
    <bk>
      <rc t="2" v="16414"/>
    </bk>
    <bk>
      <rc t="2" v="16415"/>
    </bk>
    <bk>
      <rc t="2" v="16416"/>
    </bk>
    <bk>
      <rc t="2" v="16417"/>
    </bk>
    <bk>
      <rc t="2" v="16418"/>
    </bk>
    <bk>
      <rc t="2" v="16419"/>
    </bk>
    <bk>
      <rc t="2" v="16420"/>
    </bk>
    <bk>
      <rc t="2" v="16421"/>
    </bk>
    <bk>
      <rc t="2" v="16422"/>
    </bk>
    <bk>
      <rc t="2" v="16423"/>
    </bk>
    <bk>
      <rc t="2" v="16424"/>
    </bk>
    <bk>
      <rc t="2" v="16425"/>
    </bk>
    <bk>
      <rc t="2" v="16426"/>
    </bk>
    <bk>
      <rc t="2" v="16427"/>
    </bk>
    <bk>
      <rc t="2" v="16428"/>
    </bk>
    <bk>
      <rc t="2" v="16429"/>
    </bk>
    <bk>
      <rc t="2" v="16430"/>
    </bk>
    <bk>
      <rc t="2" v="16431"/>
    </bk>
    <bk>
      <rc t="2" v="16432"/>
    </bk>
    <bk>
      <rc t="2" v="16433"/>
    </bk>
    <bk>
      <rc t="2" v="16434"/>
    </bk>
    <bk>
      <rc t="2" v="16435"/>
    </bk>
    <bk>
      <rc t="2" v="16436"/>
    </bk>
    <bk>
      <rc t="2" v="16437"/>
    </bk>
    <bk>
      <rc t="2" v="16438"/>
    </bk>
    <bk>
      <rc t="2" v="16439"/>
    </bk>
    <bk>
      <rc t="2" v="16440"/>
    </bk>
    <bk>
      <rc t="2" v="16441"/>
    </bk>
    <bk>
      <rc t="2" v="16442"/>
    </bk>
    <bk>
      <rc t="2" v="16443"/>
    </bk>
    <bk>
      <rc t="2" v="16444"/>
    </bk>
    <bk>
      <rc t="2" v="16445"/>
    </bk>
    <bk>
      <rc t="2" v="16446"/>
    </bk>
    <bk>
      <rc t="2" v="16447"/>
    </bk>
    <bk>
      <rc t="2" v="16448"/>
    </bk>
    <bk>
      <rc t="2" v="16449"/>
    </bk>
    <bk>
      <rc t="2" v="16450"/>
    </bk>
    <bk>
      <rc t="2" v="16451"/>
    </bk>
    <bk>
      <rc t="2" v="16452"/>
    </bk>
    <bk>
      <rc t="2" v="16453"/>
    </bk>
    <bk>
      <rc t="2" v="16454"/>
    </bk>
    <bk>
      <rc t="2" v="16455"/>
    </bk>
    <bk>
      <rc t="2" v="16456"/>
    </bk>
    <bk>
      <rc t="2" v="16457"/>
    </bk>
    <bk>
      <rc t="2" v="16458"/>
    </bk>
    <bk>
      <rc t="2" v="16459"/>
    </bk>
    <bk>
      <rc t="2" v="16460"/>
    </bk>
    <bk>
      <rc t="2" v="16461"/>
    </bk>
    <bk>
      <rc t="2" v="16462"/>
    </bk>
    <bk>
      <rc t="2" v="16463"/>
    </bk>
    <bk>
      <rc t="2" v="16464"/>
    </bk>
    <bk>
      <rc t="2" v="16465"/>
    </bk>
    <bk>
      <rc t="2" v="16466"/>
    </bk>
    <bk>
      <rc t="2" v="16467"/>
    </bk>
    <bk>
      <rc t="2" v="16468"/>
    </bk>
    <bk>
      <rc t="2" v="16469"/>
    </bk>
    <bk>
      <rc t="2" v="16470"/>
    </bk>
    <bk>
      <rc t="2" v="16471"/>
    </bk>
    <bk>
      <rc t="2" v="16472"/>
    </bk>
    <bk>
      <rc t="2" v="16473"/>
    </bk>
    <bk>
      <rc t="2" v="16474"/>
    </bk>
    <bk>
      <rc t="2" v="16475"/>
    </bk>
    <bk>
      <rc t="2" v="16476"/>
    </bk>
    <bk>
      <rc t="2" v="16477"/>
    </bk>
    <bk>
      <rc t="2" v="16478"/>
    </bk>
    <bk>
      <rc t="2" v="16479"/>
    </bk>
    <bk>
      <rc t="2" v="16480"/>
    </bk>
    <bk>
      <rc t="2" v="16481"/>
    </bk>
    <bk>
      <rc t="2" v="16482"/>
    </bk>
    <bk>
      <rc t="2" v="16483"/>
    </bk>
    <bk>
      <rc t="2" v="16484"/>
    </bk>
    <bk>
      <rc t="2" v="16485"/>
    </bk>
    <bk>
      <rc t="2" v="16486"/>
    </bk>
    <bk>
      <rc t="2" v="16487"/>
    </bk>
    <bk>
      <rc t="2" v="16488"/>
    </bk>
    <bk>
      <rc t="2" v="16489"/>
    </bk>
    <bk>
      <rc t="2" v="16490"/>
    </bk>
    <bk>
      <rc t="2" v="16491"/>
    </bk>
    <bk>
      <rc t="2" v="16492"/>
    </bk>
    <bk>
      <rc t="2" v="16493"/>
    </bk>
    <bk>
      <rc t="2" v="16494"/>
    </bk>
    <bk>
      <rc t="2" v="16495"/>
    </bk>
    <bk>
      <rc t="2" v="16496"/>
    </bk>
    <bk>
      <rc t="2" v="16497"/>
    </bk>
    <bk>
      <rc t="2" v="16498"/>
    </bk>
    <bk>
      <rc t="2" v="16499"/>
    </bk>
    <bk>
      <rc t="2" v="16500"/>
    </bk>
    <bk>
      <rc t="2" v="16501"/>
    </bk>
    <bk>
      <rc t="2" v="16502"/>
    </bk>
    <bk>
      <rc t="2" v="16503"/>
    </bk>
    <bk>
      <rc t="2" v="16504"/>
    </bk>
    <bk>
      <rc t="2" v="16505"/>
    </bk>
    <bk>
      <rc t="2" v="16506"/>
    </bk>
    <bk>
      <rc t="2" v="16507"/>
    </bk>
    <bk>
      <rc t="2" v="16508"/>
    </bk>
    <bk>
      <rc t="2" v="16509"/>
    </bk>
    <bk>
      <rc t="2" v="16510"/>
    </bk>
    <bk>
      <rc t="2" v="16511"/>
    </bk>
    <bk>
      <rc t="2" v="16512"/>
    </bk>
    <bk>
      <rc t="2" v="16513"/>
    </bk>
    <bk>
      <rc t="2" v="16514"/>
    </bk>
    <bk>
      <rc t="2" v="16515"/>
    </bk>
    <bk>
      <rc t="2" v="16516"/>
    </bk>
    <bk>
      <rc t="2" v="16517"/>
    </bk>
    <bk>
      <rc t="2" v="16518"/>
    </bk>
    <bk>
      <rc t="2" v="16519"/>
    </bk>
    <bk>
      <rc t="2" v="16520"/>
    </bk>
    <bk>
      <rc t="2" v="16521"/>
    </bk>
    <bk>
      <rc t="2" v="16522"/>
    </bk>
    <bk>
      <rc t="2" v="16523"/>
    </bk>
    <bk>
      <rc t="2" v="16524"/>
    </bk>
    <bk>
      <rc t="2" v="16525"/>
    </bk>
    <bk>
      <rc t="2" v="16526"/>
    </bk>
    <bk>
      <rc t="2" v="16527"/>
    </bk>
    <bk>
      <rc t="2" v="16528"/>
    </bk>
    <bk>
      <rc t="2" v="16529"/>
    </bk>
    <bk>
      <rc t="2" v="16530"/>
    </bk>
    <bk>
      <rc t="2" v="16531"/>
    </bk>
    <bk>
      <rc t="2" v="16532"/>
    </bk>
    <bk>
      <rc t="2" v="16533"/>
    </bk>
    <bk>
      <rc t="2" v="16534"/>
    </bk>
    <bk>
      <rc t="2" v="16535"/>
    </bk>
    <bk>
      <rc t="2" v="16536"/>
    </bk>
    <bk>
      <rc t="2" v="16537"/>
    </bk>
    <bk>
      <rc t="2" v="16538"/>
    </bk>
    <bk>
      <rc t="2" v="16539"/>
    </bk>
    <bk>
      <rc t="2" v="16540"/>
    </bk>
    <bk>
      <rc t="2" v="16541"/>
    </bk>
    <bk>
      <rc t="2" v="16542"/>
    </bk>
    <bk>
      <rc t="2" v="16543"/>
    </bk>
    <bk>
      <rc t="2" v="16544"/>
    </bk>
    <bk>
      <rc t="2" v="16545"/>
    </bk>
    <bk>
      <rc t="2" v="16546"/>
    </bk>
    <bk>
      <rc t="2" v="16547"/>
    </bk>
    <bk>
      <rc t="2" v="16548"/>
    </bk>
    <bk>
      <rc t="2" v="16549"/>
    </bk>
    <bk>
      <rc t="2" v="16550"/>
    </bk>
    <bk>
      <rc t="2" v="16551"/>
    </bk>
    <bk>
      <rc t="2" v="16552"/>
    </bk>
    <bk>
      <rc t="2" v="16553"/>
    </bk>
    <bk>
      <rc t="2" v="16554"/>
    </bk>
    <bk>
      <rc t="2" v="16555"/>
    </bk>
    <bk>
      <rc t="2" v="16556"/>
    </bk>
    <bk>
      <rc t="2" v="16557"/>
    </bk>
    <bk>
      <rc t="2" v="16558"/>
    </bk>
    <bk>
      <rc t="2" v="16559"/>
    </bk>
    <bk>
      <rc t="2" v="16560"/>
    </bk>
    <bk>
      <rc t="2" v="16561"/>
    </bk>
    <bk>
      <rc t="2" v="16562"/>
    </bk>
    <bk>
      <rc t="2" v="16563"/>
    </bk>
    <bk>
      <rc t="2" v="16564"/>
    </bk>
    <bk>
      <rc t="2" v="16565"/>
    </bk>
    <bk>
      <rc t="2" v="16566"/>
    </bk>
    <bk>
      <rc t="2" v="16567"/>
    </bk>
    <bk>
      <rc t="2" v="16568"/>
    </bk>
    <bk>
      <rc t="2" v="16569"/>
    </bk>
    <bk>
      <rc t="2" v="16570"/>
    </bk>
    <bk>
      <rc t="2" v="16571"/>
    </bk>
    <bk>
      <rc t="2" v="16572"/>
    </bk>
    <bk>
      <rc t="2" v="16573"/>
    </bk>
    <bk>
      <rc t="2" v="16574"/>
    </bk>
    <bk>
      <rc t="2" v="16575"/>
    </bk>
    <bk>
      <rc t="2" v="16576"/>
    </bk>
    <bk>
      <rc t="2" v="16577"/>
    </bk>
    <bk>
      <rc t="2" v="16578"/>
    </bk>
    <bk>
      <rc t="2" v="16579"/>
    </bk>
    <bk>
      <rc t="2" v="16580"/>
    </bk>
    <bk>
      <rc t="2" v="16581"/>
    </bk>
    <bk>
      <rc t="2" v="16582"/>
    </bk>
    <bk>
      <rc t="2" v="16583"/>
    </bk>
    <bk>
      <rc t="2" v="16584"/>
    </bk>
    <bk>
      <rc t="2" v="16585"/>
    </bk>
    <bk>
      <rc t="2" v="16586"/>
    </bk>
    <bk>
      <rc t="2" v="16587"/>
    </bk>
    <bk>
      <rc t="2" v="16588"/>
    </bk>
    <bk>
      <rc t="2" v="16589"/>
    </bk>
    <bk>
      <rc t="2" v="16590"/>
    </bk>
    <bk>
      <rc t="2" v="16591"/>
    </bk>
    <bk>
      <rc t="2" v="16592"/>
    </bk>
    <bk>
      <rc t="2" v="16593"/>
    </bk>
    <bk>
      <rc t="2" v="16594"/>
    </bk>
    <bk>
      <rc t="2" v="16595"/>
    </bk>
    <bk>
      <rc t="2" v="16596"/>
    </bk>
    <bk>
      <rc t="2" v="16597"/>
    </bk>
    <bk>
      <rc t="2" v="16598"/>
    </bk>
    <bk>
      <rc t="2" v="16599"/>
    </bk>
    <bk>
      <rc t="2" v="16600"/>
    </bk>
    <bk>
      <rc t="2" v="16601"/>
    </bk>
    <bk>
      <rc t="2" v="16602"/>
    </bk>
    <bk>
      <rc t="2" v="16603"/>
    </bk>
    <bk>
      <rc t="2" v="16604"/>
    </bk>
    <bk>
      <rc t="2" v="16605"/>
    </bk>
    <bk>
      <rc t="2" v="16606"/>
    </bk>
    <bk>
      <rc t="2" v="16607"/>
    </bk>
    <bk>
      <rc t="2" v="16608"/>
    </bk>
    <bk>
      <rc t="2" v="16609"/>
    </bk>
    <bk>
      <rc t="2" v="16610"/>
    </bk>
    <bk>
      <rc t="2" v="16611"/>
    </bk>
    <bk>
      <rc t="2" v="16612"/>
    </bk>
    <bk>
      <rc t="2" v="16613"/>
    </bk>
    <bk>
      <rc t="2" v="16614"/>
    </bk>
    <bk>
      <rc t="2" v="16615"/>
    </bk>
    <bk>
      <rc t="2" v="16616"/>
    </bk>
    <bk>
      <rc t="2" v="16617"/>
    </bk>
    <bk>
      <rc t="2" v="16618"/>
    </bk>
    <bk>
      <rc t="2" v="16619"/>
    </bk>
    <bk>
      <rc t="2" v="16620"/>
    </bk>
    <bk>
      <rc t="2" v="16621"/>
    </bk>
    <bk>
      <rc t="2" v="16622"/>
    </bk>
    <bk>
      <rc t="2" v="16623"/>
    </bk>
    <bk>
      <rc t="2" v="16624"/>
    </bk>
    <bk>
      <rc t="2" v="16625"/>
    </bk>
    <bk>
      <rc t="2" v="16626"/>
    </bk>
    <bk>
      <rc t="2" v="16627"/>
    </bk>
    <bk>
      <rc t="2" v="16628"/>
    </bk>
    <bk>
      <rc t="2" v="16629"/>
    </bk>
    <bk>
      <rc t="2" v="16630"/>
    </bk>
    <bk>
      <rc t="2" v="16631"/>
    </bk>
    <bk>
      <rc t="2" v="16632"/>
    </bk>
    <bk>
      <rc t="2" v="16633"/>
    </bk>
    <bk>
      <rc t="2" v="16634"/>
    </bk>
    <bk>
      <rc t="2" v="16635"/>
    </bk>
    <bk>
      <rc t="2" v="16636"/>
    </bk>
    <bk>
      <rc t="2" v="16637"/>
    </bk>
    <bk>
      <rc t="2" v="16638"/>
    </bk>
    <bk>
      <rc t="2" v="16639"/>
    </bk>
    <bk>
      <rc t="2" v="16640"/>
    </bk>
    <bk>
      <rc t="2" v="16641"/>
    </bk>
    <bk>
      <rc t="2" v="16642"/>
    </bk>
    <bk>
      <rc t="2" v="16643"/>
    </bk>
    <bk>
      <rc t="2" v="16644"/>
    </bk>
    <bk>
      <rc t="2" v="16645"/>
    </bk>
    <bk>
      <rc t="2" v="16646"/>
    </bk>
    <bk>
      <rc t="2" v="16647"/>
    </bk>
    <bk>
      <rc t="2" v="16648"/>
    </bk>
    <bk>
      <rc t="2" v="16649"/>
    </bk>
    <bk>
      <rc t="2" v="16650"/>
    </bk>
    <bk>
      <rc t="2" v="16651"/>
    </bk>
    <bk>
      <rc t="2" v="16652"/>
    </bk>
    <bk>
      <rc t="2" v="16653"/>
    </bk>
    <bk>
      <rc t="2" v="16654"/>
    </bk>
    <bk>
      <rc t="2" v="16655"/>
    </bk>
    <bk>
      <rc t="2" v="16656"/>
    </bk>
    <bk>
      <rc t="2" v="16657"/>
    </bk>
    <bk>
      <rc t="2" v="16658"/>
    </bk>
    <bk>
      <rc t="2" v="16659"/>
    </bk>
    <bk>
      <rc t="2" v="16660"/>
    </bk>
    <bk>
      <rc t="2" v="16661"/>
    </bk>
    <bk>
      <rc t="2" v="16662"/>
    </bk>
    <bk>
      <rc t="2" v="16663"/>
    </bk>
    <bk>
      <rc t="2" v="16664"/>
    </bk>
    <bk>
      <rc t="2" v="16665"/>
    </bk>
    <bk>
      <rc t="2" v="16666"/>
    </bk>
    <bk>
      <rc t="2" v="16667"/>
    </bk>
    <bk>
      <rc t="2" v="16668"/>
    </bk>
    <bk>
      <rc t="2" v="16669"/>
    </bk>
    <bk>
      <rc t="2" v="16670"/>
    </bk>
    <bk>
      <rc t="2" v="16671"/>
    </bk>
    <bk>
      <rc t="2" v="16672"/>
    </bk>
    <bk>
      <rc t="2" v="16673"/>
    </bk>
    <bk>
      <rc t="2" v="16674"/>
    </bk>
    <bk>
      <rc t="2" v="16675"/>
    </bk>
    <bk>
      <rc t="2" v="16676"/>
    </bk>
    <bk>
      <rc t="2" v="16677"/>
    </bk>
    <bk>
      <rc t="2" v="16678"/>
    </bk>
    <bk>
      <rc t="2" v="16679"/>
    </bk>
    <bk>
      <rc t="2" v="16680"/>
    </bk>
    <bk>
      <rc t="2" v="16681"/>
    </bk>
    <bk>
      <rc t="2" v="16682"/>
    </bk>
    <bk>
      <rc t="2" v="16683"/>
    </bk>
    <bk>
      <rc t="2" v="16684"/>
    </bk>
    <bk>
      <rc t="2" v="16685"/>
    </bk>
    <bk>
      <rc t="2" v="16686"/>
    </bk>
    <bk>
      <rc t="2" v="16687"/>
    </bk>
    <bk>
      <rc t="2" v="16688"/>
    </bk>
    <bk>
      <rc t="2" v="16689"/>
    </bk>
    <bk>
      <rc t="2" v="16690"/>
    </bk>
    <bk>
      <rc t="2" v="16691"/>
    </bk>
    <bk>
      <rc t="2" v="16692"/>
    </bk>
    <bk>
      <rc t="2" v="16693"/>
    </bk>
    <bk>
      <rc t="2" v="16694"/>
    </bk>
    <bk>
      <rc t="2" v="16695"/>
    </bk>
    <bk>
      <rc t="2" v="16696"/>
    </bk>
    <bk>
      <rc t="2" v="16697"/>
    </bk>
    <bk>
      <rc t="2" v="16698"/>
    </bk>
    <bk>
      <rc t="2" v="16699"/>
    </bk>
    <bk>
      <rc t="2" v="16700"/>
    </bk>
    <bk>
      <rc t="2" v="16701"/>
    </bk>
    <bk>
      <rc t="2" v="16702"/>
    </bk>
    <bk>
      <rc t="2" v="16703"/>
    </bk>
    <bk>
      <rc t="2" v="16704"/>
    </bk>
    <bk>
      <rc t="2" v="16705"/>
    </bk>
    <bk>
      <rc t="2" v="16706"/>
    </bk>
    <bk>
      <rc t="2" v="16707"/>
    </bk>
    <bk>
      <rc t="2" v="16708"/>
    </bk>
    <bk>
      <rc t="2" v="16709"/>
    </bk>
    <bk>
      <rc t="2" v="16710"/>
    </bk>
    <bk>
      <rc t="2" v="16711"/>
    </bk>
    <bk>
      <rc t="2" v="16712"/>
    </bk>
    <bk>
      <rc t="2" v="16713"/>
    </bk>
    <bk>
      <rc t="2" v="16714"/>
    </bk>
    <bk>
      <rc t="2" v="16715"/>
    </bk>
    <bk>
      <rc t="2" v="16716"/>
    </bk>
    <bk>
      <rc t="2" v="16717"/>
    </bk>
    <bk>
      <rc t="2" v="16718"/>
    </bk>
    <bk>
      <rc t="2" v="16719"/>
    </bk>
    <bk>
      <rc t="2" v="16720"/>
    </bk>
    <bk>
      <rc t="2" v="16721"/>
    </bk>
    <bk>
      <rc t="2" v="16722"/>
    </bk>
    <bk>
      <rc t="2" v="16723"/>
    </bk>
    <bk>
      <rc t="2" v="16724"/>
    </bk>
    <bk>
      <rc t="2" v="16725"/>
    </bk>
    <bk>
      <rc t="2" v="16726"/>
    </bk>
    <bk>
      <rc t="2" v="16727"/>
    </bk>
    <bk>
      <rc t="2" v="16728"/>
    </bk>
    <bk>
      <rc t="2" v="16729"/>
    </bk>
    <bk>
      <rc t="2" v="16730"/>
    </bk>
    <bk>
      <rc t="2" v="16731"/>
    </bk>
    <bk>
      <rc t="2" v="16732"/>
    </bk>
    <bk>
      <rc t="2" v="16733"/>
    </bk>
    <bk>
      <rc t="2" v="16734"/>
    </bk>
    <bk>
      <rc t="2" v="16735"/>
    </bk>
    <bk>
      <rc t="2" v="16736"/>
    </bk>
    <bk>
      <rc t="2" v="16737"/>
    </bk>
    <bk>
      <rc t="2" v="16738"/>
    </bk>
    <bk>
      <rc t="2" v="16739"/>
    </bk>
    <bk>
      <rc t="2" v="16740"/>
    </bk>
    <bk>
      <rc t="2" v="16741"/>
    </bk>
    <bk>
      <rc t="2" v="16742"/>
    </bk>
    <bk>
      <rc t="2" v="16743"/>
    </bk>
    <bk>
      <rc t="2" v="16744"/>
    </bk>
    <bk>
      <rc t="2" v="16745"/>
    </bk>
    <bk>
      <rc t="2" v="16746"/>
    </bk>
    <bk>
      <rc t="2" v="16747"/>
    </bk>
    <bk>
      <rc t="2" v="16748"/>
    </bk>
    <bk>
      <rc t="2" v="16749"/>
    </bk>
    <bk>
      <rc t="2" v="16750"/>
    </bk>
    <bk>
      <rc t="2" v="16751"/>
    </bk>
    <bk>
      <rc t="2" v="16752"/>
    </bk>
    <bk>
      <rc t="2" v="16753"/>
    </bk>
    <bk>
      <rc t="2" v="16754"/>
    </bk>
    <bk>
      <rc t="2" v="16755"/>
    </bk>
    <bk>
      <rc t="2" v="16756"/>
    </bk>
    <bk>
      <rc t="2" v="16757"/>
    </bk>
    <bk>
      <rc t="2" v="16758"/>
    </bk>
    <bk>
      <rc t="2" v="16759"/>
    </bk>
    <bk>
      <rc t="2" v="16760"/>
    </bk>
    <bk>
      <rc t="2" v="16761"/>
    </bk>
    <bk>
      <rc t="2" v="16762"/>
    </bk>
    <bk>
      <rc t="2" v="16763"/>
    </bk>
    <bk>
      <rc t="2" v="16764"/>
    </bk>
    <bk>
      <rc t="2" v="16765"/>
    </bk>
    <bk>
      <rc t="2" v="16766"/>
    </bk>
    <bk>
      <rc t="2" v="16767"/>
    </bk>
    <bk>
      <rc t="2" v="16768"/>
    </bk>
    <bk>
      <rc t="2" v="16769"/>
    </bk>
    <bk>
      <rc t="2" v="16770"/>
    </bk>
    <bk>
      <rc t="2" v="16771"/>
    </bk>
    <bk>
      <rc t="2" v="16772"/>
    </bk>
    <bk>
      <rc t="2" v="16773"/>
    </bk>
    <bk>
      <rc t="2" v="16774"/>
    </bk>
    <bk>
      <rc t="2" v="16775"/>
    </bk>
    <bk>
      <rc t="2" v="16776"/>
    </bk>
    <bk>
      <rc t="2" v="16777"/>
    </bk>
    <bk>
      <rc t="2" v="16778"/>
    </bk>
    <bk>
      <rc t="2" v="16779"/>
    </bk>
    <bk>
      <rc t="2" v="16780"/>
    </bk>
    <bk>
      <rc t="2" v="16781"/>
    </bk>
    <bk>
      <rc t="2" v="16782"/>
    </bk>
    <bk>
      <rc t="2" v="16783"/>
    </bk>
    <bk>
      <rc t="2" v="16784"/>
    </bk>
    <bk>
      <rc t="2" v="16785"/>
    </bk>
    <bk>
      <rc t="2" v="16786"/>
    </bk>
    <bk>
      <rc t="2" v="16787"/>
    </bk>
    <bk>
      <rc t="2" v="16788"/>
    </bk>
    <bk>
      <rc t="2" v="16789"/>
    </bk>
    <bk>
      <rc t="2" v="16790"/>
    </bk>
    <bk>
      <rc t="2" v="16791"/>
    </bk>
    <bk>
      <rc t="2" v="16792"/>
    </bk>
    <bk>
      <rc t="2" v="16793"/>
    </bk>
    <bk>
      <rc t="2" v="16794"/>
    </bk>
    <bk>
      <rc t="2" v="16795"/>
    </bk>
    <bk>
      <rc t="2" v="16796"/>
    </bk>
    <bk>
      <rc t="2" v="16797"/>
    </bk>
    <bk>
      <rc t="2" v="16798"/>
    </bk>
    <bk>
      <rc t="2" v="16799"/>
    </bk>
    <bk>
      <rc t="2" v="16800"/>
    </bk>
    <bk>
      <rc t="2" v="16801"/>
    </bk>
    <bk>
      <rc t="2" v="16802"/>
    </bk>
    <bk>
      <rc t="2" v="16803"/>
    </bk>
    <bk>
      <rc t="2" v="16804"/>
    </bk>
    <bk>
      <rc t="2" v="16805"/>
    </bk>
    <bk>
      <rc t="2" v="16806"/>
    </bk>
    <bk>
      <rc t="2" v="16807"/>
    </bk>
    <bk>
      <rc t="2" v="16808"/>
    </bk>
    <bk>
      <rc t="2" v="16809"/>
    </bk>
    <bk>
      <rc t="2" v="16810"/>
    </bk>
    <bk>
      <rc t="2" v="16811"/>
    </bk>
    <bk>
      <rc t="2" v="16812"/>
    </bk>
    <bk>
      <rc t="2" v="16813"/>
    </bk>
    <bk>
      <rc t="2" v="16814"/>
    </bk>
    <bk>
      <rc t="2" v="16815"/>
    </bk>
    <bk>
      <rc t="2" v="16816"/>
    </bk>
    <bk>
      <rc t="2" v="16817"/>
    </bk>
    <bk>
      <rc t="2" v="16818"/>
    </bk>
    <bk>
      <rc t="2" v="16819"/>
    </bk>
    <bk>
      <rc t="2" v="16820"/>
    </bk>
    <bk>
      <rc t="2" v="16821"/>
    </bk>
    <bk>
      <rc t="2" v="16822"/>
    </bk>
    <bk>
      <rc t="2" v="16823"/>
    </bk>
    <bk>
      <rc t="2" v="16824"/>
    </bk>
    <bk>
      <rc t="2" v="16825"/>
    </bk>
    <bk>
      <rc t="2" v="16826"/>
    </bk>
    <bk>
      <rc t="2" v="16827"/>
    </bk>
    <bk>
      <rc t="2" v="16828"/>
    </bk>
    <bk>
      <rc t="2" v="16829"/>
    </bk>
    <bk>
      <rc t="2" v="16830"/>
    </bk>
    <bk>
      <rc t="2" v="16831"/>
    </bk>
    <bk>
      <rc t="2" v="16832"/>
    </bk>
    <bk>
      <rc t="2" v="16833"/>
    </bk>
    <bk>
      <rc t="2" v="16834"/>
    </bk>
    <bk>
      <rc t="2" v="16835"/>
    </bk>
    <bk>
      <rc t="2" v="16836"/>
    </bk>
    <bk>
      <rc t="2" v="16837"/>
    </bk>
    <bk>
      <rc t="2" v="16838"/>
    </bk>
    <bk>
      <rc t="2" v="16839"/>
    </bk>
    <bk>
      <rc t="2" v="16840"/>
    </bk>
    <bk>
      <rc t="2" v="16841"/>
    </bk>
    <bk>
      <rc t="2" v="16842"/>
    </bk>
    <bk>
      <rc t="2" v="16843"/>
    </bk>
    <bk>
      <rc t="2" v="16844"/>
    </bk>
    <bk>
      <rc t="2" v="16845"/>
    </bk>
    <bk>
      <rc t="2" v="16846"/>
    </bk>
    <bk>
      <rc t="2" v="16847"/>
    </bk>
    <bk>
      <rc t="2" v="16848"/>
    </bk>
    <bk>
      <rc t="2" v="16849"/>
    </bk>
    <bk>
      <rc t="2" v="16850"/>
    </bk>
    <bk>
      <rc t="2" v="16851"/>
    </bk>
    <bk>
      <rc t="2" v="16852"/>
    </bk>
    <bk>
      <rc t="2" v="16853"/>
    </bk>
    <bk>
      <rc t="2" v="16854"/>
    </bk>
    <bk>
      <rc t="2" v="16855"/>
    </bk>
    <bk>
      <rc t="2" v="16856"/>
    </bk>
    <bk>
      <rc t="2" v="16857"/>
    </bk>
    <bk>
      <rc t="2" v="16858"/>
    </bk>
    <bk>
      <rc t="2" v="16859"/>
    </bk>
    <bk>
      <rc t="2" v="16860"/>
    </bk>
    <bk>
      <rc t="2" v="16861"/>
    </bk>
    <bk>
      <rc t="2" v="16862"/>
    </bk>
    <bk>
      <rc t="2" v="16863"/>
    </bk>
    <bk>
      <rc t="2" v="16864"/>
    </bk>
    <bk>
      <rc t="2" v="16865"/>
    </bk>
    <bk>
      <rc t="2" v="16866"/>
    </bk>
    <bk>
      <rc t="2" v="16867"/>
    </bk>
    <bk>
      <rc t="2" v="16868"/>
    </bk>
    <bk>
      <rc t="2" v="16869"/>
    </bk>
    <bk>
      <rc t="2" v="16870"/>
    </bk>
    <bk>
      <rc t="2" v="16871"/>
    </bk>
    <bk>
      <rc t="2" v="16872"/>
    </bk>
    <bk>
      <rc t="2" v="16873"/>
    </bk>
    <bk>
      <rc t="2" v="16874"/>
    </bk>
    <bk>
      <rc t="2" v="16875"/>
    </bk>
    <bk>
      <rc t="2" v="16876"/>
    </bk>
    <bk>
      <rc t="2" v="16877"/>
    </bk>
    <bk>
      <rc t="2" v="16878"/>
    </bk>
    <bk>
      <rc t="2" v="16879"/>
    </bk>
    <bk>
      <rc t="2" v="16880"/>
    </bk>
    <bk>
      <rc t="2" v="16881"/>
    </bk>
    <bk>
      <rc t="2" v="16882"/>
    </bk>
    <bk>
      <rc t="2" v="16883"/>
    </bk>
    <bk>
      <rc t="2" v="16884"/>
    </bk>
    <bk>
      <rc t="2" v="16885"/>
    </bk>
    <bk>
      <rc t="2" v="16886"/>
    </bk>
    <bk>
      <rc t="2" v="16887"/>
    </bk>
    <bk>
      <rc t="2" v="16888"/>
    </bk>
    <bk>
      <rc t="2" v="16889"/>
    </bk>
    <bk>
      <rc t="2" v="16890"/>
    </bk>
    <bk>
      <rc t="2" v="16891"/>
    </bk>
    <bk>
      <rc t="2" v="16892"/>
    </bk>
    <bk>
      <rc t="2" v="16893"/>
    </bk>
    <bk>
      <rc t="2" v="16894"/>
    </bk>
    <bk>
      <rc t="2" v="16895"/>
    </bk>
    <bk>
      <rc t="2" v="16896"/>
    </bk>
    <bk>
      <rc t="2" v="16897"/>
    </bk>
    <bk>
      <rc t="2" v="16898"/>
    </bk>
    <bk>
      <rc t="2" v="16899"/>
    </bk>
    <bk>
      <rc t="2" v="16900"/>
    </bk>
    <bk>
      <rc t="2" v="16901"/>
    </bk>
    <bk>
      <rc t="2" v="16902"/>
    </bk>
    <bk>
      <rc t="2" v="16903"/>
    </bk>
    <bk>
      <rc t="2" v="16904"/>
    </bk>
    <bk>
      <rc t="2" v="16905"/>
    </bk>
    <bk>
      <rc t="2" v="16906"/>
    </bk>
    <bk>
      <rc t="2" v="16907"/>
    </bk>
    <bk>
      <rc t="2" v="16908"/>
    </bk>
    <bk>
      <rc t="2" v="16909"/>
    </bk>
    <bk>
      <rc t="2" v="16910"/>
    </bk>
    <bk>
      <rc t="2" v="16911"/>
    </bk>
    <bk>
      <rc t="2" v="16912"/>
    </bk>
    <bk>
      <rc t="2" v="16913"/>
    </bk>
    <bk>
      <rc t="2" v="16914"/>
    </bk>
    <bk>
      <rc t="2" v="16915"/>
    </bk>
    <bk>
      <rc t="2" v="16916"/>
    </bk>
    <bk>
      <rc t="2" v="16917"/>
    </bk>
    <bk>
      <rc t="2" v="16918"/>
    </bk>
    <bk>
      <rc t="2" v="16919"/>
    </bk>
    <bk>
      <rc t="2" v="16920"/>
    </bk>
    <bk>
      <rc t="2" v="16921"/>
    </bk>
    <bk>
      <rc t="2" v="16922"/>
    </bk>
    <bk>
      <rc t="2" v="16923"/>
    </bk>
    <bk>
      <rc t="2" v="16924"/>
    </bk>
    <bk>
      <rc t="2" v="16925"/>
    </bk>
    <bk>
      <rc t="2" v="16926"/>
    </bk>
    <bk>
      <rc t="2" v="16927"/>
    </bk>
    <bk>
      <rc t="2" v="16928"/>
    </bk>
    <bk>
      <rc t="2" v="16929"/>
    </bk>
    <bk>
      <rc t="2" v="16930"/>
    </bk>
    <bk>
      <rc t="2" v="16931"/>
    </bk>
    <bk>
      <rc t="2" v="16932"/>
    </bk>
    <bk>
      <rc t="2" v="16933"/>
    </bk>
    <bk>
      <rc t="2" v="16934"/>
    </bk>
    <bk>
      <rc t="2" v="16935"/>
    </bk>
    <bk>
      <rc t="2" v="16936"/>
    </bk>
    <bk>
      <rc t="2" v="16937"/>
    </bk>
    <bk>
      <rc t="2" v="16938"/>
    </bk>
    <bk>
      <rc t="2" v="16939"/>
    </bk>
    <bk>
      <rc t="2" v="16940"/>
    </bk>
    <bk>
      <rc t="2" v="16941"/>
    </bk>
    <bk>
      <rc t="2" v="16942"/>
    </bk>
    <bk>
      <rc t="2" v="16943"/>
    </bk>
    <bk>
      <rc t="2" v="16944"/>
    </bk>
    <bk>
      <rc t="2" v="16945"/>
    </bk>
    <bk>
      <rc t="2" v="16946"/>
    </bk>
    <bk>
      <rc t="2" v="16947"/>
    </bk>
    <bk>
      <rc t="2" v="16948"/>
    </bk>
    <bk>
      <rc t="2" v="16949"/>
    </bk>
    <bk>
      <rc t="2" v="16950"/>
    </bk>
    <bk>
      <rc t="2" v="16951"/>
    </bk>
    <bk>
      <rc t="2" v="16952"/>
    </bk>
    <bk>
      <rc t="2" v="16953"/>
    </bk>
    <bk>
      <rc t="2" v="16954"/>
    </bk>
    <bk>
      <rc t="2" v="16955"/>
    </bk>
    <bk>
      <rc t="2" v="16956"/>
    </bk>
    <bk>
      <rc t="2" v="16957"/>
    </bk>
    <bk>
      <rc t="2" v="16958"/>
    </bk>
    <bk>
      <rc t="2" v="16959"/>
    </bk>
    <bk>
      <rc t="2" v="16960"/>
    </bk>
    <bk>
      <rc t="2" v="16961"/>
    </bk>
    <bk>
      <rc t="2" v="16962"/>
    </bk>
    <bk>
      <rc t="2" v="16963"/>
    </bk>
    <bk>
      <rc t="2" v="16964"/>
    </bk>
    <bk>
      <rc t="2" v="16965"/>
    </bk>
    <bk>
      <rc t="2" v="16966"/>
    </bk>
    <bk>
      <rc t="2" v="16967"/>
    </bk>
    <bk>
      <rc t="2" v="16968"/>
    </bk>
    <bk>
      <rc t="2" v="16969"/>
    </bk>
    <bk>
      <rc t="2" v="16970"/>
    </bk>
    <bk>
      <rc t="2" v="16971"/>
    </bk>
    <bk>
      <rc t="2" v="16972"/>
    </bk>
    <bk>
      <rc t="2" v="16973"/>
    </bk>
    <bk>
      <rc t="2" v="16974"/>
    </bk>
    <bk>
      <rc t="2" v="16975"/>
    </bk>
    <bk>
      <rc t="2" v="16976"/>
    </bk>
    <bk>
      <rc t="2" v="16977"/>
    </bk>
    <bk>
      <rc t="2" v="16978"/>
    </bk>
    <bk>
      <rc t="2" v="16979"/>
    </bk>
    <bk>
      <rc t="2" v="16980"/>
    </bk>
    <bk>
      <rc t="2" v="16981"/>
    </bk>
    <bk>
      <rc t="2" v="16982"/>
    </bk>
    <bk>
      <rc t="2" v="16983"/>
    </bk>
    <bk>
      <rc t="2" v="16984"/>
    </bk>
    <bk>
      <rc t="2" v="16985"/>
    </bk>
    <bk>
      <rc t="2" v="16986"/>
    </bk>
    <bk>
      <rc t="2" v="16987"/>
    </bk>
    <bk>
      <rc t="2" v="16988"/>
    </bk>
    <bk>
      <rc t="2" v="16989"/>
    </bk>
    <bk>
      <rc t="2" v="16990"/>
    </bk>
    <bk>
      <rc t="2" v="16991"/>
    </bk>
    <bk>
      <rc t="2" v="16992"/>
    </bk>
    <bk>
      <rc t="2" v="16993"/>
    </bk>
    <bk>
      <rc t="2" v="16994"/>
    </bk>
    <bk>
      <rc t="2" v="16995"/>
    </bk>
    <bk>
      <rc t="2" v="16996"/>
    </bk>
    <bk>
      <rc t="2" v="16997"/>
    </bk>
    <bk>
      <rc t="2" v="16998"/>
    </bk>
    <bk>
      <rc t="2" v="16999"/>
    </bk>
    <bk>
      <rc t="2" v="17000"/>
    </bk>
    <bk>
      <rc t="2" v="17001"/>
    </bk>
    <bk>
      <rc t="2" v="17002"/>
    </bk>
    <bk>
      <rc t="2" v="17003"/>
    </bk>
    <bk>
      <rc t="2" v="17004"/>
    </bk>
    <bk>
      <rc t="2" v="17005"/>
    </bk>
    <bk>
      <rc t="2" v="17006"/>
    </bk>
    <bk>
      <rc t="2" v="17007"/>
    </bk>
    <bk>
      <rc t="2" v="17008"/>
    </bk>
    <bk>
      <rc t="2" v="17009"/>
    </bk>
    <bk>
      <rc t="2" v="17010"/>
    </bk>
    <bk>
      <rc t="2" v="17011"/>
    </bk>
    <bk>
      <rc t="2" v="17012"/>
    </bk>
    <bk>
      <rc t="2" v="17013"/>
    </bk>
    <bk>
      <rc t="2" v="17014"/>
    </bk>
    <bk>
      <rc t="2" v="17015"/>
    </bk>
    <bk>
      <rc t="2" v="17016"/>
    </bk>
    <bk>
      <rc t="2" v="17017"/>
    </bk>
    <bk>
      <rc t="2" v="17018"/>
    </bk>
    <bk>
      <rc t="2" v="17019"/>
    </bk>
    <bk>
      <rc t="2" v="17020"/>
    </bk>
    <bk>
      <rc t="2" v="17021"/>
    </bk>
    <bk>
      <rc t="2" v="17022"/>
    </bk>
    <bk>
      <rc t="2" v="17023"/>
    </bk>
    <bk>
      <rc t="2" v="17024"/>
    </bk>
    <bk>
      <rc t="2" v="17025"/>
    </bk>
    <bk>
      <rc t="2" v="17026"/>
    </bk>
    <bk>
      <rc t="2" v="17027"/>
    </bk>
    <bk>
      <rc t="2" v="17028"/>
    </bk>
    <bk>
      <rc t="2" v="17029"/>
    </bk>
    <bk>
      <rc t="2" v="17030"/>
    </bk>
    <bk>
      <rc t="2" v="17031"/>
    </bk>
    <bk>
      <rc t="2" v="17032"/>
    </bk>
    <bk>
      <rc t="2" v="17033"/>
    </bk>
    <bk>
      <rc t="2" v="17034"/>
    </bk>
    <bk>
      <rc t="2" v="17035"/>
    </bk>
    <bk>
      <rc t="2" v="17036"/>
    </bk>
    <bk>
      <rc t="2" v="17037"/>
    </bk>
    <bk>
      <rc t="2" v="17038"/>
    </bk>
    <bk>
      <rc t="2" v="17039"/>
    </bk>
    <bk>
      <rc t="2" v="17040"/>
    </bk>
    <bk>
      <rc t="2" v="17041"/>
    </bk>
    <bk>
      <rc t="2" v="17042"/>
    </bk>
    <bk>
      <rc t="2" v="17043"/>
    </bk>
    <bk>
      <rc t="2" v="17044"/>
    </bk>
    <bk>
      <rc t="2" v="17045"/>
    </bk>
    <bk>
      <rc t="2" v="17046"/>
    </bk>
    <bk>
      <rc t="2" v="17047"/>
    </bk>
    <bk>
      <rc t="2" v="17048"/>
    </bk>
    <bk>
      <rc t="2" v="17049"/>
    </bk>
    <bk>
      <rc t="2" v="17050"/>
    </bk>
    <bk>
      <rc t="2" v="17051"/>
    </bk>
    <bk>
      <rc t="2" v="17052"/>
    </bk>
    <bk>
      <rc t="2" v="17053"/>
    </bk>
    <bk>
      <rc t="2" v="17054"/>
    </bk>
    <bk>
      <rc t="2" v="17055"/>
    </bk>
    <bk>
      <rc t="2" v="17056"/>
    </bk>
    <bk>
      <rc t="2" v="17057"/>
    </bk>
    <bk>
      <rc t="2" v="17058"/>
    </bk>
    <bk>
      <rc t="2" v="17059"/>
    </bk>
    <bk>
      <rc t="2" v="17060"/>
    </bk>
    <bk>
      <rc t="2" v="17061"/>
    </bk>
    <bk>
      <rc t="2" v="17062"/>
    </bk>
    <bk>
      <rc t="2" v="17063"/>
    </bk>
    <bk>
      <rc t="2" v="17064"/>
    </bk>
    <bk>
      <rc t="2" v="17065"/>
    </bk>
    <bk>
      <rc t="2" v="17066"/>
    </bk>
    <bk>
      <rc t="2" v="17067"/>
    </bk>
    <bk>
      <rc t="2" v="17068"/>
    </bk>
    <bk>
      <rc t="2" v="17069"/>
    </bk>
    <bk>
      <rc t="2" v="17070"/>
    </bk>
    <bk>
      <rc t="2" v="17071"/>
    </bk>
    <bk>
      <rc t="2" v="17072"/>
    </bk>
    <bk>
      <rc t="2" v="17073"/>
    </bk>
    <bk>
      <rc t="2" v="17074"/>
    </bk>
    <bk>
      <rc t="2" v="17075"/>
    </bk>
    <bk>
      <rc t="2" v="17076"/>
    </bk>
    <bk>
      <rc t="2" v="17077"/>
    </bk>
    <bk>
      <rc t="2" v="17078"/>
    </bk>
    <bk>
      <rc t="2" v="17079"/>
    </bk>
    <bk>
      <rc t="2" v="17080"/>
    </bk>
    <bk>
      <rc t="2" v="17081"/>
    </bk>
    <bk>
      <rc t="2" v="17082"/>
    </bk>
    <bk>
      <rc t="2" v="17083"/>
    </bk>
    <bk>
      <rc t="2" v="17084"/>
    </bk>
    <bk>
      <rc t="2" v="17085"/>
    </bk>
    <bk>
      <rc t="2" v="17086"/>
    </bk>
    <bk>
      <rc t="2" v="17087"/>
    </bk>
    <bk>
      <rc t="2" v="17088"/>
    </bk>
    <bk>
      <rc t="2" v="17089"/>
    </bk>
    <bk>
      <rc t="2" v="17090"/>
    </bk>
    <bk>
      <rc t="2" v="17091"/>
    </bk>
    <bk>
      <rc t="2" v="17092"/>
    </bk>
    <bk>
      <rc t="2" v="17093"/>
    </bk>
    <bk>
      <rc t="2" v="17094"/>
    </bk>
    <bk>
      <rc t="2" v="17095"/>
    </bk>
    <bk>
      <rc t="2" v="17096"/>
    </bk>
    <bk>
      <rc t="2" v="17097"/>
    </bk>
    <bk>
      <rc t="2" v="17098"/>
    </bk>
    <bk>
      <rc t="2" v="17099"/>
    </bk>
    <bk>
      <rc t="2" v="17100"/>
    </bk>
    <bk>
      <rc t="2" v="17101"/>
    </bk>
    <bk>
      <rc t="2" v="17102"/>
    </bk>
    <bk>
      <rc t="2" v="17103"/>
    </bk>
    <bk>
      <rc t="2" v="17104"/>
    </bk>
    <bk>
      <rc t="2" v="17105"/>
    </bk>
    <bk>
      <rc t="2" v="17106"/>
    </bk>
    <bk>
      <rc t="2" v="17107"/>
    </bk>
    <bk>
      <rc t="2" v="17108"/>
    </bk>
    <bk>
      <rc t="2" v="17109"/>
    </bk>
    <bk>
      <rc t="2" v="17110"/>
    </bk>
    <bk>
      <rc t="2" v="17111"/>
    </bk>
    <bk>
      <rc t="2" v="17112"/>
    </bk>
    <bk>
      <rc t="2" v="17113"/>
    </bk>
    <bk>
      <rc t="2" v="17114"/>
    </bk>
    <bk>
      <rc t="2" v="17115"/>
    </bk>
    <bk>
      <rc t="2" v="17116"/>
    </bk>
    <bk>
      <rc t="2" v="17117"/>
    </bk>
    <bk>
      <rc t="2" v="17118"/>
    </bk>
    <bk>
      <rc t="2" v="17119"/>
    </bk>
    <bk>
      <rc t="2" v="17120"/>
    </bk>
    <bk>
      <rc t="2" v="17121"/>
    </bk>
    <bk>
      <rc t="2" v="17122"/>
    </bk>
    <bk>
      <rc t="2" v="17123"/>
    </bk>
    <bk>
      <rc t="2" v="17124"/>
    </bk>
    <bk>
      <rc t="2" v="17125"/>
    </bk>
    <bk>
      <rc t="2" v="17126"/>
    </bk>
    <bk>
      <rc t="2" v="17127"/>
    </bk>
    <bk>
      <rc t="2" v="17128"/>
    </bk>
    <bk>
      <rc t="2" v="17129"/>
    </bk>
    <bk>
      <rc t="2" v="17130"/>
    </bk>
    <bk>
      <rc t="2" v="17131"/>
    </bk>
    <bk>
      <rc t="2" v="17132"/>
    </bk>
    <bk>
      <rc t="2" v="17133"/>
    </bk>
    <bk>
      <rc t="2" v="17134"/>
    </bk>
    <bk>
      <rc t="2" v="17135"/>
    </bk>
    <bk>
      <rc t="2" v="17136"/>
    </bk>
    <bk>
      <rc t="2" v="17137"/>
    </bk>
    <bk>
      <rc t="2" v="17138"/>
    </bk>
    <bk>
      <rc t="2" v="17139"/>
    </bk>
    <bk>
      <rc t="2" v="17140"/>
    </bk>
    <bk>
      <rc t="2" v="17141"/>
    </bk>
    <bk>
      <rc t="2" v="17142"/>
    </bk>
    <bk>
      <rc t="2" v="17143"/>
    </bk>
    <bk>
      <rc t="2" v="17144"/>
    </bk>
    <bk>
      <rc t="2" v="17145"/>
    </bk>
    <bk>
      <rc t="2" v="17146"/>
    </bk>
    <bk>
      <rc t="2" v="17147"/>
    </bk>
    <bk>
      <rc t="2" v="17148"/>
    </bk>
    <bk>
      <rc t="2" v="17149"/>
    </bk>
    <bk>
      <rc t="2" v="17150"/>
    </bk>
    <bk>
      <rc t="2" v="17151"/>
    </bk>
    <bk>
      <rc t="2" v="17152"/>
    </bk>
    <bk>
      <rc t="2" v="17153"/>
    </bk>
    <bk>
      <rc t="2" v="17154"/>
    </bk>
    <bk>
      <rc t="2" v="17155"/>
    </bk>
    <bk>
      <rc t="2" v="17156"/>
    </bk>
    <bk>
      <rc t="2" v="17157"/>
    </bk>
    <bk>
      <rc t="2" v="17158"/>
    </bk>
    <bk>
      <rc t="2" v="17159"/>
    </bk>
    <bk>
      <rc t="2" v="17160"/>
    </bk>
    <bk>
      <rc t="2" v="17161"/>
    </bk>
    <bk>
      <rc t="2" v="17162"/>
    </bk>
    <bk>
      <rc t="2" v="17163"/>
    </bk>
    <bk>
      <rc t="2" v="17164"/>
    </bk>
    <bk>
      <rc t="2" v="17165"/>
    </bk>
    <bk>
      <rc t="2" v="17166"/>
    </bk>
    <bk>
      <rc t="2" v="17167"/>
    </bk>
    <bk>
      <rc t="2" v="17168"/>
    </bk>
    <bk>
      <rc t="2" v="17169"/>
    </bk>
    <bk>
      <rc t="2" v="17170"/>
    </bk>
    <bk>
      <rc t="2" v="17171"/>
    </bk>
    <bk>
      <rc t="2" v="17172"/>
    </bk>
    <bk>
      <rc t="2" v="17173"/>
    </bk>
    <bk>
      <rc t="2" v="17174"/>
    </bk>
    <bk>
      <rc t="2" v="17175"/>
    </bk>
    <bk>
      <rc t="2" v="17176"/>
    </bk>
    <bk>
      <rc t="2" v="17177"/>
    </bk>
    <bk>
      <rc t="2" v="17178"/>
    </bk>
    <bk>
      <rc t="2" v="17179"/>
    </bk>
    <bk>
      <rc t="2" v="17180"/>
    </bk>
    <bk>
      <rc t="2" v="17181"/>
    </bk>
    <bk>
      <rc t="2" v="17182"/>
    </bk>
    <bk>
      <rc t="2" v="17183"/>
    </bk>
    <bk>
      <rc t="2" v="17184"/>
    </bk>
    <bk>
      <rc t="2" v="17185"/>
    </bk>
    <bk>
      <rc t="2" v="17186"/>
    </bk>
    <bk>
      <rc t="2" v="17187"/>
    </bk>
    <bk>
      <rc t="2" v="17188"/>
    </bk>
    <bk>
      <rc t="2" v="17189"/>
    </bk>
    <bk>
      <rc t="2" v="17190"/>
    </bk>
    <bk>
      <rc t="2" v="17191"/>
    </bk>
    <bk>
      <rc t="2" v="17192"/>
    </bk>
    <bk>
      <rc t="2" v="17193"/>
    </bk>
    <bk>
      <rc t="2" v="17194"/>
    </bk>
    <bk>
      <rc t="2" v="17195"/>
    </bk>
    <bk>
      <rc t="2" v="17196"/>
    </bk>
    <bk>
      <rc t="2" v="17197"/>
    </bk>
    <bk>
      <rc t="2" v="17198"/>
    </bk>
    <bk>
      <rc t="2" v="17199"/>
    </bk>
    <bk>
      <rc t="2" v="17200"/>
    </bk>
    <bk>
      <rc t="2" v="17201"/>
    </bk>
    <bk>
      <rc t="2" v="17202"/>
    </bk>
    <bk>
      <rc t="2" v="17203"/>
    </bk>
    <bk>
      <rc t="2" v="17204"/>
    </bk>
    <bk>
      <rc t="2" v="17205"/>
    </bk>
    <bk>
      <rc t="2" v="17206"/>
    </bk>
    <bk>
      <rc t="2" v="17207"/>
    </bk>
    <bk>
      <rc t="2" v="17208"/>
    </bk>
    <bk>
      <rc t="2" v="17209"/>
    </bk>
    <bk>
      <rc t="2" v="17210"/>
    </bk>
    <bk>
      <rc t="2" v="17211"/>
    </bk>
    <bk>
      <rc t="2" v="17212"/>
    </bk>
    <bk>
      <rc t="2" v="17213"/>
    </bk>
    <bk>
      <rc t="2" v="17214"/>
    </bk>
    <bk>
      <rc t="2" v="17215"/>
    </bk>
    <bk>
      <rc t="2" v="17216"/>
    </bk>
    <bk>
      <rc t="2" v="17217"/>
    </bk>
    <bk>
      <rc t="2" v="17218"/>
    </bk>
    <bk>
      <rc t="2" v="17219"/>
    </bk>
    <bk>
      <rc t="2" v="17220"/>
    </bk>
    <bk>
      <rc t="2" v="17221"/>
    </bk>
    <bk>
      <rc t="2" v="17222"/>
    </bk>
    <bk>
      <rc t="2" v="17223"/>
    </bk>
    <bk>
      <rc t="2" v="17224"/>
    </bk>
    <bk>
      <rc t="2" v="17225"/>
    </bk>
    <bk>
      <rc t="2" v="17226"/>
    </bk>
    <bk>
      <rc t="2" v="17227"/>
    </bk>
    <bk>
      <rc t="2" v="17228"/>
    </bk>
    <bk>
      <rc t="2" v="17229"/>
    </bk>
    <bk>
      <rc t="2" v="17230"/>
    </bk>
    <bk>
      <rc t="2" v="17231"/>
    </bk>
    <bk>
      <rc t="2" v="17232"/>
    </bk>
    <bk>
      <rc t="2" v="17233"/>
    </bk>
    <bk>
      <rc t="2" v="17234"/>
    </bk>
    <bk>
      <rc t="2" v="17235"/>
    </bk>
    <bk>
      <rc t="2" v="17236"/>
    </bk>
    <bk>
      <rc t="2" v="17237"/>
    </bk>
    <bk>
      <rc t="2" v="17238"/>
    </bk>
    <bk>
      <rc t="2" v="17239"/>
    </bk>
    <bk>
      <rc t="2" v="17240"/>
    </bk>
    <bk>
      <rc t="2" v="17241"/>
    </bk>
    <bk>
      <rc t="2" v="17242"/>
    </bk>
    <bk>
      <rc t="2" v="17243"/>
    </bk>
    <bk>
      <rc t="2" v="17244"/>
    </bk>
    <bk>
      <rc t="2" v="17245"/>
    </bk>
    <bk>
      <rc t="2" v="17246"/>
    </bk>
    <bk>
      <rc t="2" v="17247"/>
    </bk>
    <bk>
      <rc t="2" v="17248"/>
    </bk>
    <bk>
      <rc t="2" v="17249"/>
    </bk>
    <bk>
      <rc t="2" v="17250"/>
    </bk>
    <bk>
      <rc t="2" v="17251"/>
    </bk>
    <bk>
      <rc t="2" v="17252"/>
    </bk>
    <bk>
      <rc t="2" v="17253"/>
    </bk>
    <bk>
      <rc t="2" v="17254"/>
    </bk>
    <bk>
      <rc t="2" v="17255"/>
    </bk>
    <bk>
      <rc t="2" v="17256"/>
    </bk>
    <bk>
      <rc t="2" v="17257"/>
    </bk>
    <bk>
      <rc t="2" v="17258"/>
    </bk>
    <bk>
      <rc t="2" v="17259"/>
    </bk>
    <bk>
      <rc t="2" v="17260"/>
    </bk>
    <bk>
      <rc t="2" v="17261"/>
    </bk>
    <bk>
      <rc t="2" v="17262"/>
    </bk>
    <bk>
      <rc t="2" v="17263"/>
    </bk>
    <bk>
      <rc t="2" v="17264"/>
    </bk>
    <bk>
      <rc t="2" v="17265"/>
    </bk>
    <bk>
      <rc t="2" v="17266"/>
    </bk>
    <bk>
      <rc t="2" v="17267"/>
    </bk>
    <bk>
      <rc t="2" v="17268"/>
    </bk>
    <bk>
      <rc t="2" v="17269"/>
    </bk>
    <bk>
      <rc t="2" v="17270"/>
    </bk>
    <bk>
      <rc t="2" v="17271"/>
    </bk>
    <bk>
      <rc t="2" v="17272"/>
    </bk>
    <bk>
      <rc t="2" v="17273"/>
    </bk>
    <bk>
      <rc t="2" v="17274"/>
    </bk>
    <bk>
      <rc t="2" v="17275"/>
    </bk>
    <bk>
      <rc t="2" v="17276"/>
    </bk>
    <bk>
      <rc t="2" v="17277"/>
    </bk>
    <bk>
      <rc t="2" v="17278"/>
    </bk>
    <bk>
      <rc t="2" v="17279"/>
    </bk>
    <bk>
      <rc t="2" v="17280"/>
    </bk>
    <bk>
      <rc t="2" v="17281"/>
    </bk>
    <bk>
      <rc t="2" v="17282"/>
    </bk>
    <bk>
      <rc t="2" v="17283"/>
    </bk>
    <bk>
      <rc t="2" v="17284"/>
    </bk>
    <bk>
      <rc t="2" v="17285"/>
    </bk>
    <bk>
      <rc t="2" v="17286"/>
    </bk>
    <bk>
      <rc t="2" v="17287"/>
    </bk>
    <bk>
      <rc t="2" v="17288"/>
    </bk>
    <bk>
      <rc t="2" v="17289"/>
    </bk>
    <bk>
      <rc t="2" v="17290"/>
    </bk>
    <bk>
      <rc t="2" v="17291"/>
    </bk>
    <bk>
      <rc t="2" v="17292"/>
    </bk>
    <bk>
      <rc t="2" v="17293"/>
    </bk>
    <bk>
      <rc t="2" v="17294"/>
    </bk>
    <bk>
      <rc t="2" v="17295"/>
    </bk>
    <bk>
      <rc t="2" v="17296"/>
    </bk>
    <bk>
      <rc t="2" v="17297"/>
    </bk>
    <bk>
      <rc t="2" v="17298"/>
    </bk>
    <bk>
      <rc t="2" v="17299"/>
    </bk>
    <bk>
      <rc t="2" v="17300"/>
    </bk>
    <bk>
      <rc t="2" v="17301"/>
    </bk>
    <bk>
      <rc t="2" v="17302"/>
    </bk>
    <bk>
      <rc t="2" v="17303"/>
    </bk>
    <bk>
      <rc t="2" v="17304"/>
    </bk>
    <bk>
      <rc t="2" v="17305"/>
    </bk>
    <bk>
      <rc t="2" v="17306"/>
    </bk>
    <bk>
      <rc t="2" v="17307"/>
    </bk>
    <bk>
      <rc t="2" v="17308"/>
    </bk>
    <bk>
      <rc t="2" v="17309"/>
    </bk>
    <bk>
      <rc t="2" v="17310"/>
    </bk>
    <bk>
      <rc t="2" v="17311"/>
    </bk>
    <bk>
      <rc t="2" v="17312"/>
    </bk>
    <bk>
      <rc t="2" v="17313"/>
    </bk>
    <bk>
      <rc t="2" v="17314"/>
    </bk>
    <bk>
      <rc t="2" v="17315"/>
    </bk>
    <bk>
      <rc t="2" v="17316"/>
    </bk>
    <bk>
      <rc t="2" v="17317"/>
    </bk>
    <bk>
      <rc t="2" v="17318"/>
    </bk>
    <bk>
      <rc t="2" v="17319"/>
    </bk>
    <bk>
      <rc t="2" v="17320"/>
    </bk>
    <bk>
      <rc t="2" v="17321"/>
    </bk>
    <bk>
      <rc t="2" v="17322"/>
    </bk>
    <bk>
      <rc t="2" v="17323"/>
    </bk>
    <bk>
      <rc t="2" v="17324"/>
    </bk>
    <bk>
      <rc t="2" v="17325"/>
    </bk>
    <bk>
      <rc t="2" v="17326"/>
    </bk>
    <bk>
      <rc t="2" v="17327"/>
    </bk>
    <bk>
      <rc t="2" v="17328"/>
    </bk>
    <bk>
      <rc t="2" v="17329"/>
    </bk>
    <bk>
      <rc t="2" v="17330"/>
    </bk>
    <bk>
      <rc t="2" v="17331"/>
    </bk>
    <bk>
      <rc t="2" v="17332"/>
    </bk>
    <bk>
      <rc t="2" v="17333"/>
    </bk>
    <bk>
      <rc t="2" v="17334"/>
    </bk>
    <bk>
      <rc t="2" v="17335"/>
    </bk>
    <bk>
      <rc t="2" v="17336"/>
    </bk>
    <bk>
      <rc t="2" v="17337"/>
    </bk>
    <bk>
      <rc t="2" v="17338"/>
    </bk>
    <bk>
      <rc t="2" v="17339"/>
    </bk>
    <bk>
      <rc t="2" v="17340"/>
    </bk>
    <bk>
      <rc t="2" v="17341"/>
    </bk>
    <bk>
      <rc t="2" v="17342"/>
    </bk>
    <bk>
      <rc t="2" v="17343"/>
    </bk>
    <bk>
      <rc t="2" v="17344"/>
    </bk>
    <bk>
      <rc t="2" v="17345"/>
    </bk>
    <bk>
      <rc t="2" v="17346"/>
    </bk>
    <bk>
      <rc t="2" v="17347"/>
    </bk>
    <bk>
      <rc t="2" v="17348"/>
    </bk>
    <bk>
      <rc t="2" v="17349"/>
    </bk>
    <bk>
      <rc t="2" v="17350"/>
    </bk>
    <bk>
      <rc t="2" v="17351"/>
    </bk>
    <bk>
      <rc t="2" v="17352"/>
    </bk>
    <bk>
      <rc t="2" v="17353"/>
    </bk>
    <bk>
      <rc t="2" v="17354"/>
    </bk>
    <bk>
      <rc t="2" v="17355"/>
    </bk>
    <bk>
      <rc t="2" v="17356"/>
    </bk>
    <bk>
      <rc t="2" v="17357"/>
    </bk>
    <bk>
      <rc t="2" v="17358"/>
    </bk>
    <bk>
      <rc t="2" v="17359"/>
    </bk>
    <bk>
      <rc t="2" v="17360"/>
    </bk>
    <bk>
      <rc t="2" v="17361"/>
    </bk>
    <bk>
      <rc t="2" v="17362"/>
    </bk>
    <bk>
      <rc t="2" v="17363"/>
    </bk>
    <bk>
      <rc t="2" v="17364"/>
    </bk>
    <bk>
      <rc t="2" v="17365"/>
    </bk>
    <bk>
      <rc t="2" v="17366"/>
    </bk>
    <bk>
      <rc t="2" v="17367"/>
    </bk>
    <bk>
      <rc t="2" v="17368"/>
    </bk>
    <bk>
      <rc t="2" v="17369"/>
    </bk>
    <bk>
      <rc t="2" v="17370"/>
    </bk>
    <bk>
      <rc t="2" v="17371"/>
    </bk>
    <bk>
      <rc t="2" v="17372"/>
    </bk>
    <bk>
      <rc t="2" v="17373"/>
    </bk>
    <bk>
      <rc t="2" v="17374"/>
    </bk>
    <bk>
      <rc t="2" v="17375"/>
    </bk>
    <bk>
      <rc t="2" v="17376"/>
    </bk>
    <bk>
      <rc t="2" v="17377"/>
    </bk>
    <bk>
      <rc t="2" v="17378"/>
    </bk>
    <bk>
      <rc t="2" v="17379"/>
    </bk>
    <bk>
      <rc t="2" v="17380"/>
    </bk>
    <bk>
      <rc t="2" v="17381"/>
    </bk>
    <bk>
      <rc t="2" v="17382"/>
    </bk>
    <bk>
      <rc t="2" v="17383"/>
    </bk>
    <bk>
      <rc t="2" v="17384"/>
    </bk>
    <bk>
      <rc t="2" v="17385"/>
    </bk>
    <bk>
      <rc t="2" v="17386"/>
    </bk>
    <bk>
      <rc t="2" v="17387"/>
    </bk>
    <bk>
      <rc t="2" v="17388"/>
    </bk>
    <bk>
      <rc t="2" v="17389"/>
    </bk>
    <bk>
      <rc t="2" v="17390"/>
    </bk>
    <bk>
      <rc t="2" v="17391"/>
    </bk>
    <bk>
      <rc t="2" v="17392"/>
    </bk>
    <bk>
      <rc t="2" v="17393"/>
    </bk>
    <bk>
      <rc t="2" v="17394"/>
    </bk>
    <bk>
      <rc t="2" v="17395"/>
    </bk>
    <bk>
      <rc t="2" v="17396"/>
    </bk>
    <bk>
      <rc t="2" v="17397"/>
    </bk>
    <bk>
      <rc t="2" v="17398"/>
    </bk>
    <bk>
      <rc t="2" v="17399"/>
    </bk>
    <bk>
      <rc t="2" v="17400"/>
    </bk>
    <bk>
      <rc t="2" v="17401"/>
    </bk>
    <bk>
      <rc t="2" v="17402"/>
    </bk>
    <bk>
      <rc t="2" v="17403"/>
    </bk>
    <bk>
      <rc t="2" v="17404"/>
    </bk>
    <bk>
      <rc t="2" v="17405"/>
    </bk>
    <bk>
      <rc t="2" v="17406"/>
    </bk>
    <bk>
      <rc t="2" v="17407"/>
    </bk>
    <bk>
      <rc t="2" v="17408"/>
    </bk>
    <bk>
      <rc t="2" v="17409"/>
    </bk>
    <bk>
      <rc t="2" v="17410"/>
    </bk>
    <bk>
      <rc t="2" v="17411"/>
    </bk>
    <bk>
      <rc t="2" v="17412"/>
    </bk>
    <bk>
      <rc t="2" v="17413"/>
    </bk>
    <bk>
      <rc t="2" v="17414"/>
    </bk>
    <bk>
      <rc t="2" v="17415"/>
    </bk>
    <bk>
      <rc t="2" v="17416"/>
    </bk>
    <bk>
      <rc t="2" v="17417"/>
    </bk>
    <bk>
      <rc t="2" v="17418"/>
    </bk>
    <bk>
      <rc t="2" v="17419"/>
    </bk>
    <bk>
      <rc t="2" v="17420"/>
    </bk>
    <bk>
      <rc t="2" v="17421"/>
    </bk>
    <bk>
      <rc t="2" v="17422"/>
    </bk>
    <bk>
      <rc t="2" v="17423"/>
    </bk>
    <bk>
      <rc t="2" v="17424"/>
    </bk>
    <bk>
      <rc t="2" v="17425"/>
    </bk>
    <bk>
      <rc t="2" v="17426"/>
    </bk>
    <bk>
      <rc t="2" v="17427"/>
    </bk>
    <bk>
      <rc t="2" v="17428"/>
    </bk>
    <bk>
      <rc t="2" v="17429"/>
    </bk>
    <bk>
      <rc t="2" v="17430"/>
    </bk>
    <bk>
      <rc t="2" v="17431"/>
    </bk>
    <bk>
      <rc t="2" v="17432"/>
    </bk>
    <bk>
      <rc t="2" v="17433"/>
    </bk>
    <bk>
      <rc t="2" v="17434"/>
    </bk>
    <bk>
      <rc t="2" v="17435"/>
    </bk>
    <bk>
      <rc t="2" v="17436"/>
    </bk>
    <bk>
      <rc t="2" v="17437"/>
    </bk>
    <bk>
      <rc t="2" v="17438"/>
    </bk>
    <bk>
      <rc t="2" v="17439"/>
    </bk>
    <bk>
      <rc t="2" v="17440"/>
    </bk>
    <bk>
      <rc t="2" v="17441"/>
    </bk>
    <bk>
      <rc t="2" v="17442"/>
    </bk>
    <bk>
      <rc t="2" v="17443"/>
    </bk>
    <bk>
      <rc t="2" v="17444"/>
    </bk>
    <bk>
      <rc t="2" v="17445"/>
    </bk>
    <bk>
      <rc t="2" v="17446"/>
    </bk>
    <bk>
      <rc t="2" v="17447"/>
    </bk>
    <bk>
      <rc t="2" v="17448"/>
    </bk>
    <bk>
      <rc t="2" v="17449"/>
    </bk>
    <bk>
      <rc t="2" v="17450"/>
    </bk>
    <bk>
      <rc t="2" v="17451"/>
    </bk>
    <bk>
      <rc t="2" v="17452"/>
    </bk>
    <bk>
      <rc t="2" v="17453"/>
    </bk>
    <bk>
      <rc t="2" v="17454"/>
    </bk>
    <bk>
      <rc t="2" v="17455"/>
    </bk>
    <bk>
      <rc t="2" v="17456"/>
    </bk>
    <bk>
      <rc t="2" v="17457"/>
    </bk>
    <bk>
      <rc t="2" v="17458"/>
    </bk>
    <bk>
      <rc t="2" v="17459"/>
    </bk>
    <bk>
      <rc t="2" v="17460"/>
    </bk>
    <bk>
      <rc t="2" v="17461"/>
    </bk>
    <bk>
      <rc t="2" v="17462"/>
    </bk>
    <bk>
      <rc t="2" v="17463"/>
    </bk>
    <bk>
      <rc t="2" v="17464"/>
    </bk>
    <bk>
      <rc t="2" v="17465"/>
    </bk>
    <bk>
      <rc t="2" v="17466"/>
    </bk>
    <bk>
      <rc t="2" v="17467"/>
    </bk>
    <bk>
      <rc t="2" v="17468"/>
    </bk>
    <bk>
      <rc t="2" v="17469"/>
    </bk>
    <bk>
      <rc t="2" v="17470"/>
    </bk>
    <bk>
      <rc t="2" v="17471"/>
    </bk>
    <bk>
      <rc t="2" v="17472"/>
    </bk>
    <bk>
      <rc t="2" v="17473"/>
    </bk>
    <bk>
      <rc t="2" v="17474"/>
    </bk>
    <bk>
      <rc t="2" v="17475"/>
    </bk>
    <bk>
      <rc t="2" v="17476"/>
    </bk>
    <bk>
      <rc t="2" v="17477"/>
    </bk>
    <bk>
      <rc t="2" v="17478"/>
    </bk>
    <bk>
      <rc t="2" v="17479"/>
    </bk>
    <bk>
      <rc t="2" v="17480"/>
    </bk>
    <bk>
      <rc t="2" v="17481"/>
    </bk>
    <bk>
      <rc t="2" v="17482"/>
    </bk>
    <bk>
      <rc t="2" v="17483"/>
    </bk>
    <bk>
      <rc t="2" v="17484"/>
    </bk>
    <bk>
      <rc t="2" v="17485"/>
    </bk>
    <bk>
      <rc t="2" v="17486"/>
    </bk>
    <bk>
      <rc t="2" v="17487"/>
    </bk>
    <bk>
      <rc t="2" v="17488"/>
    </bk>
    <bk>
      <rc t="2" v="17489"/>
    </bk>
    <bk>
      <rc t="2" v="17490"/>
    </bk>
    <bk>
      <rc t="2" v="17491"/>
    </bk>
    <bk>
      <rc t="2" v="17492"/>
    </bk>
    <bk>
      <rc t="2" v="17493"/>
    </bk>
    <bk>
      <rc t="2" v="17494"/>
    </bk>
    <bk>
      <rc t="2" v="17495"/>
    </bk>
    <bk>
      <rc t="2" v="17496"/>
    </bk>
    <bk>
      <rc t="2" v="17497"/>
    </bk>
    <bk>
      <rc t="2" v="17498"/>
    </bk>
    <bk>
      <rc t="2" v="17499"/>
    </bk>
    <bk>
      <rc t="2" v="17500"/>
    </bk>
    <bk>
      <rc t="2" v="17501"/>
    </bk>
    <bk>
      <rc t="2" v="17502"/>
    </bk>
    <bk>
      <rc t="2" v="17503"/>
    </bk>
    <bk>
      <rc t="2" v="17504"/>
    </bk>
    <bk>
      <rc t="2" v="17505"/>
    </bk>
    <bk>
      <rc t="2" v="17506"/>
    </bk>
    <bk>
      <rc t="2" v="17507"/>
    </bk>
    <bk>
      <rc t="2" v="17508"/>
    </bk>
    <bk>
      <rc t="2" v="17509"/>
    </bk>
    <bk>
      <rc t="2" v="17510"/>
    </bk>
    <bk>
      <rc t="2" v="17511"/>
    </bk>
    <bk>
      <rc t="2" v="17512"/>
    </bk>
    <bk>
      <rc t="2" v="17513"/>
    </bk>
    <bk>
      <rc t="2" v="17514"/>
    </bk>
    <bk>
      <rc t="2" v="17515"/>
    </bk>
    <bk>
      <rc t="2" v="17516"/>
    </bk>
    <bk>
      <rc t="2" v="17517"/>
    </bk>
    <bk>
      <rc t="2" v="17518"/>
    </bk>
    <bk>
      <rc t="2" v="17519"/>
    </bk>
    <bk>
      <rc t="2" v="17520"/>
    </bk>
    <bk>
      <rc t="2" v="17521"/>
    </bk>
    <bk>
      <rc t="2" v="17522"/>
    </bk>
    <bk>
      <rc t="2" v="17523"/>
    </bk>
    <bk>
      <rc t="2" v="17524"/>
    </bk>
    <bk>
      <rc t="2" v="17525"/>
    </bk>
    <bk>
      <rc t="2" v="17526"/>
    </bk>
    <bk>
      <rc t="2" v="17527"/>
    </bk>
    <bk>
      <rc t="2" v="17528"/>
    </bk>
    <bk>
      <rc t="2" v="17529"/>
    </bk>
    <bk>
      <rc t="2" v="17530"/>
    </bk>
    <bk>
      <rc t="2" v="17531"/>
    </bk>
    <bk>
      <rc t="2" v="17532"/>
    </bk>
    <bk>
      <rc t="2" v="17533"/>
    </bk>
    <bk>
      <rc t="2" v="17534"/>
    </bk>
    <bk>
      <rc t="2" v="17535"/>
    </bk>
    <bk>
      <rc t="2" v="17536"/>
    </bk>
    <bk>
      <rc t="2" v="17537"/>
    </bk>
    <bk>
      <rc t="2" v="17538"/>
    </bk>
    <bk>
      <rc t="2" v="17539"/>
    </bk>
    <bk>
      <rc t="2" v="17540"/>
    </bk>
    <bk>
      <rc t="2" v="17541"/>
    </bk>
    <bk>
      <rc t="2" v="17542"/>
    </bk>
    <bk>
      <rc t="2" v="17543"/>
    </bk>
    <bk>
      <rc t="2" v="17544"/>
    </bk>
    <bk>
      <rc t="2" v="17545"/>
    </bk>
    <bk>
      <rc t="2" v="17546"/>
    </bk>
    <bk>
      <rc t="2" v="17547"/>
    </bk>
    <bk>
      <rc t="2" v="17548"/>
    </bk>
    <bk>
      <rc t="2" v="17549"/>
    </bk>
    <bk>
      <rc t="2" v="17550"/>
    </bk>
    <bk>
      <rc t="2" v="17551"/>
    </bk>
    <bk>
      <rc t="2" v="17552"/>
    </bk>
    <bk>
      <rc t="2" v="17553"/>
    </bk>
    <bk>
      <rc t="2" v="17554"/>
    </bk>
    <bk>
      <rc t="2" v="17555"/>
    </bk>
    <bk>
      <rc t="2" v="17556"/>
    </bk>
    <bk>
      <rc t="2" v="17557"/>
    </bk>
    <bk>
      <rc t="2" v="17558"/>
    </bk>
    <bk>
      <rc t="2" v="17559"/>
    </bk>
    <bk>
      <rc t="2" v="17560"/>
    </bk>
    <bk>
      <rc t="2" v="17561"/>
    </bk>
    <bk>
      <rc t="2" v="17562"/>
    </bk>
    <bk>
      <rc t="2" v="17563"/>
    </bk>
    <bk>
      <rc t="2" v="17564"/>
    </bk>
    <bk>
      <rc t="2" v="17565"/>
    </bk>
    <bk>
      <rc t="2" v="17566"/>
    </bk>
    <bk>
      <rc t="2" v="17567"/>
    </bk>
    <bk>
      <rc t="2" v="17568"/>
    </bk>
    <bk>
      <rc t="2" v="17569"/>
    </bk>
    <bk>
      <rc t="2" v="17570"/>
    </bk>
    <bk>
      <rc t="2" v="17571"/>
    </bk>
    <bk>
      <rc t="2" v="17572"/>
    </bk>
    <bk>
      <rc t="2" v="17573"/>
    </bk>
    <bk>
      <rc t="2" v="17574"/>
    </bk>
    <bk>
      <rc t="2" v="17575"/>
    </bk>
    <bk>
      <rc t="2" v="17576"/>
    </bk>
    <bk>
      <rc t="2" v="17577"/>
    </bk>
    <bk>
      <rc t="2" v="17578"/>
    </bk>
    <bk>
      <rc t="2" v="17579"/>
    </bk>
    <bk>
      <rc t="2" v="17580"/>
    </bk>
    <bk>
      <rc t="2" v="17581"/>
    </bk>
    <bk>
      <rc t="2" v="17582"/>
    </bk>
    <bk>
      <rc t="2" v="17583"/>
    </bk>
    <bk>
      <rc t="2" v="17584"/>
    </bk>
    <bk>
      <rc t="2" v="17585"/>
    </bk>
    <bk>
      <rc t="2" v="17586"/>
    </bk>
    <bk>
      <rc t="2" v="17587"/>
    </bk>
    <bk>
      <rc t="2" v="17588"/>
    </bk>
    <bk>
      <rc t="2" v="17589"/>
    </bk>
    <bk>
      <rc t="2" v="17590"/>
    </bk>
    <bk>
      <rc t="2" v="17591"/>
    </bk>
    <bk>
      <rc t="2" v="17592"/>
    </bk>
    <bk>
      <rc t="2" v="17593"/>
    </bk>
    <bk>
      <rc t="2" v="17594"/>
    </bk>
    <bk>
      <rc t="2" v="17595"/>
    </bk>
    <bk>
      <rc t="2" v="17596"/>
    </bk>
    <bk>
      <rc t="2" v="17597"/>
    </bk>
    <bk>
      <rc t="2" v="17598"/>
    </bk>
    <bk>
      <rc t="2" v="17599"/>
    </bk>
    <bk>
      <rc t="2" v="17600"/>
    </bk>
    <bk>
      <rc t="2" v="17601"/>
    </bk>
    <bk>
      <rc t="2" v="17602"/>
    </bk>
    <bk>
      <rc t="2" v="17603"/>
    </bk>
    <bk>
      <rc t="2" v="17604"/>
    </bk>
    <bk>
      <rc t="2" v="17605"/>
    </bk>
    <bk>
      <rc t="2" v="17606"/>
    </bk>
    <bk>
      <rc t="2" v="17607"/>
    </bk>
    <bk>
      <rc t="2" v="17608"/>
    </bk>
    <bk>
      <rc t="2" v="17609"/>
    </bk>
    <bk>
      <rc t="2" v="17610"/>
    </bk>
    <bk>
      <rc t="2" v="17611"/>
    </bk>
    <bk>
      <rc t="2" v="17612"/>
    </bk>
    <bk>
      <rc t="2" v="17613"/>
    </bk>
    <bk>
      <rc t="2" v="17614"/>
    </bk>
    <bk>
      <rc t="2" v="17615"/>
    </bk>
    <bk>
      <rc t="2" v="17616"/>
    </bk>
    <bk>
      <rc t="2" v="17617"/>
    </bk>
    <bk>
      <rc t="2" v="17618"/>
    </bk>
    <bk>
      <rc t="2" v="17619"/>
    </bk>
    <bk>
      <rc t="2" v="17620"/>
    </bk>
    <bk>
      <rc t="2" v="17621"/>
    </bk>
    <bk>
      <rc t="2" v="17622"/>
    </bk>
    <bk>
      <rc t="2" v="17623"/>
    </bk>
    <bk>
      <rc t="2" v="17624"/>
    </bk>
    <bk>
      <rc t="2" v="17625"/>
    </bk>
    <bk>
      <rc t="2" v="17626"/>
    </bk>
    <bk>
      <rc t="2" v="17627"/>
    </bk>
    <bk>
      <rc t="2" v="17628"/>
    </bk>
    <bk>
      <rc t="2" v="17629"/>
    </bk>
    <bk>
      <rc t="2" v="17630"/>
    </bk>
    <bk>
      <rc t="2" v="17631"/>
    </bk>
    <bk>
      <rc t="2" v="17632"/>
    </bk>
    <bk>
      <rc t="2" v="17633"/>
    </bk>
    <bk>
      <rc t="2" v="17634"/>
    </bk>
    <bk>
      <rc t="2" v="17635"/>
    </bk>
    <bk>
      <rc t="2" v="17636"/>
    </bk>
    <bk>
      <rc t="2" v="17637"/>
    </bk>
    <bk>
      <rc t="2" v="17638"/>
    </bk>
    <bk>
      <rc t="2" v="17639"/>
    </bk>
    <bk>
      <rc t="2" v="17640"/>
    </bk>
    <bk>
      <rc t="2" v="17641"/>
    </bk>
    <bk>
      <rc t="2" v="17642"/>
    </bk>
    <bk>
      <rc t="2" v="17643"/>
    </bk>
    <bk>
      <rc t="2" v="17644"/>
    </bk>
    <bk>
      <rc t="2" v="17645"/>
    </bk>
    <bk>
      <rc t="2" v="17646"/>
    </bk>
    <bk>
      <rc t="2" v="17647"/>
    </bk>
    <bk>
      <rc t="2" v="17648"/>
    </bk>
    <bk>
      <rc t="2" v="17649"/>
    </bk>
    <bk>
      <rc t="2" v="17650"/>
    </bk>
    <bk>
      <rc t="2" v="17651"/>
    </bk>
    <bk>
      <rc t="2" v="17652"/>
    </bk>
    <bk>
      <rc t="2" v="17653"/>
    </bk>
    <bk>
      <rc t="2" v="17654"/>
    </bk>
    <bk>
      <rc t="2" v="17655"/>
    </bk>
    <bk>
      <rc t="2" v="17656"/>
    </bk>
    <bk>
      <rc t="2" v="17657"/>
    </bk>
    <bk>
      <rc t="2" v="17658"/>
    </bk>
    <bk>
      <rc t="2" v="17659"/>
    </bk>
    <bk>
      <rc t="2" v="17660"/>
    </bk>
    <bk>
      <rc t="2" v="17661"/>
    </bk>
    <bk>
      <rc t="2" v="17662"/>
    </bk>
    <bk>
      <rc t="2" v="17663"/>
    </bk>
    <bk>
      <rc t="2" v="17664"/>
    </bk>
    <bk>
      <rc t="2" v="17665"/>
    </bk>
    <bk>
      <rc t="2" v="17666"/>
    </bk>
    <bk>
      <rc t="2" v="17667"/>
    </bk>
    <bk>
      <rc t="2" v="17668"/>
    </bk>
    <bk>
      <rc t="2" v="17669"/>
    </bk>
    <bk>
      <rc t="2" v="17670"/>
    </bk>
    <bk>
      <rc t="2" v="17671"/>
    </bk>
    <bk>
      <rc t="2" v="17672"/>
    </bk>
    <bk>
      <rc t="2" v="17673"/>
    </bk>
    <bk>
      <rc t="2" v="17674"/>
    </bk>
    <bk>
      <rc t="2" v="17675"/>
    </bk>
    <bk>
      <rc t="2" v="17676"/>
    </bk>
    <bk>
      <rc t="2" v="17677"/>
    </bk>
    <bk>
      <rc t="2" v="17678"/>
    </bk>
    <bk>
      <rc t="2" v="17679"/>
    </bk>
    <bk>
      <rc t="2" v="17680"/>
    </bk>
    <bk>
      <rc t="2" v="17681"/>
    </bk>
    <bk>
      <rc t="2" v="17682"/>
    </bk>
    <bk>
      <rc t="2" v="17683"/>
    </bk>
    <bk>
      <rc t="2" v="17684"/>
    </bk>
    <bk>
      <rc t="2" v="17685"/>
    </bk>
    <bk>
      <rc t="2" v="17686"/>
    </bk>
    <bk>
      <rc t="2" v="17687"/>
    </bk>
    <bk>
      <rc t="2" v="17688"/>
    </bk>
    <bk>
      <rc t="2" v="17689"/>
    </bk>
    <bk>
      <rc t="2" v="17690"/>
    </bk>
    <bk>
      <rc t="2" v="17691"/>
    </bk>
    <bk>
      <rc t="2" v="17692"/>
    </bk>
    <bk>
      <rc t="2" v="17693"/>
    </bk>
    <bk>
      <rc t="2" v="17694"/>
    </bk>
    <bk>
      <rc t="2" v="17695"/>
    </bk>
    <bk>
      <rc t="2" v="17696"/>
    </bk>
    <bk>
      <rc t="2" v="17697"/>
    </bk>
    <bk>
      <rc t="2" v="17698"/>
    </bk>
    <bk>
      <rc t="2" v="17699"/>
    </bk>
    <bk>
      <rc t="2" v="17700"/>
    </bk>
    <bk>
      <rc t="2" v="17701"/>
    </bk>
    <bk>
      <rc t="2" v="17702"/>
    </bk>
    <bk>
      <rc t="2" v="17703"/>
    </bk>
    <bk>
      <rc t="2" v="17704"/>
    </bk>
    <bk>
      <rc t="2" v="17705"/>
    </bk>
    <bk>
      <rc t="2" v="17706"/>
    </bk>
    <bk>
      <rc t="2" v="17707"/>
    </bk>
    <bk>
      <rc t="2" v="17708"/>
    </bk>
    <bk>
      <rc t="2" v="17709"/>
    </bk>
    <bk>
      <rc t="2" v="17710"/>
    </bk>
    <bk>
      <rc t="2" v="17711"/>
    </bk>
    <bk>
      <rc t="2" v="17712"/>
    </bk>
    <bk>
      <rc t="2" v="17713"/>
    </bk>
    <bk>
      <rc t="2" v="17714"/>
    </bk>
    <bk>
      <rc t="2" v="17715"/>
    </bk>
    <bk>
      <rc t="2" v="17716"/>
    </bk>
    <bk>
      <rc t="2" v="17717"/>
    </bk>
    <bk>
      <rc t="2" v="17718"/>
    </bk>
    <bk>
      <rc t="2" v="17719"/>
    </bk>
    <bk>
      <rc t="2" v="17720"/>
    </bk>
    <bk>
      <rc t="2" v="17721"/>
    </bk>
    <bk>
      <rc t="2" v="17722"/>
    </bk>
    <bk>
      <rc t="2" v="17723"/>
    </bk>
    <bk>
      <rc t="2" v="17724"/>
    </bk>
    <bk>
      <rc t="2" v="17725"/>
    </bk>
    <bk>
      <rc t="2" v="17726"/>
    </bk>
    <bk>
      <rc t="2" v="17727"/>
    </bk>
    <bk>
      <rc t="2" v="17728"/>
    </bk>
    <bk>
      <rc t="2" v="17729"/>
    </bk>
    <bk>
      <rc t="2" v="17730"/>
    </bk>
    <bk>
      <rc t="2" v="17731"/>
    </bk>
    <bk>
      <rc t="2" v="17732"/>
    </bk>
    <bk>
      <rc t="2" v="17733"/>
    </bk>
    <bk>
      <rc t="2" v="17734"/>
    </bk>
    <bk>
      <rc t="2" v="17735"/>
    </bk>
    <bk>
      <rc t="2" v="17736"/>
    </bk>
    <bk>
      <rc t="2" v="17737"/>
    </bk>
    <bk>
      <rc t="2" v="17738"/>
    </bk>
    <bk>
      <rc t="2" v="17739"/>
    </bk>
    <bk>
      <rc t="2" v="17740"/>
    </bk>
    <bk>
      <rc t="2" v="17741"/>
    </bk>
    <bk>
      <rc t="2" v="17742"/>
    </bk>
    <bk>
      <rc t="2" v="17743"/>
    </bk>
    <bk>
      <rc t="2" v="17744"/>
    </bk>
    <bk>
      <rc t="2" v="17745"/>
    </bk>
    <bk>
      <rc t="2" v="17746"/>
    </bk>
    <bk>
      <rc t="2" v="17747"/>
    </bk>
    <bk>
      <rc t="2" v="17748"/>
    </bk>
    <bk>
      <rc t="2" v="17749"/>
    </bk>
    <bk>
      <rc t="2" v="17750"/>
    </bk>
    <bk>
      <rc t="2" v="17751"/>
    </bk>
    <bk>
      <rc t="2" v="17752"/>
    </bk>
    <bk>
      <rc t="2" v="17753"/>
    </bk>
    <bk>
      <rc t="2" v="17754"/>
    </bk>
    <bk>
      <rc t="2" v="17755"/>
    </bk>
    <bk>
      <rc t="2" v="17756"/>
    </bk>
    <bk>
      <rc t="2" v="17757"/>
    </bk>
    <bk>
      <rc t="2" v="17758"/>
    </bk>
    <bk>
      <rc t="2" v="17759"/>
    </bk>
    <bk>
      <rc t="2" v="17760"/>
    </bk>
    <bk>
      <rc t="2" v="17761"/>
    </bk>
    <bk>
      <rc t="2" v="17762"/>
    </bk>
    <bk>
      <rc t="2" v="17763"/>
    </bk>
    <bk>
      <rc t="2" v="17764"/>
    </bk>
    <bk>
      <rc t="2" v="17765"/>
    </bk>
    <bk>
      <rc t="2" v="17766"/>
    </bk>
    <bk>
      <rc t="2" v="17767"/>
    </bk>
    <bk>
      <rc t="2" v="17768"/>
    </bk>
    <bk>
      <rc t="2" v="17769"/>
    </bk>
    <bk>
      <rc t="2" v="17770"/>
    </bk>
    <bk>
      <rc t="2" v="17771"/>
    </bk>
    <bk>
      <rc t="2" v="17772"/>
    </bk>
    <bk>
      <rc t="2" v="17773"/>
    </bk>
    <bk>
      <rc t="2" v="17774"/>
    </bk>
    <bk>
      <rc t="2" v="17775"/>
    </bk>
    <bk>
      <rc t="2" v="17776"/>
    </bk>
    <bk>
      <rc t="2" v="17777"/>
    </bk>
    <bk>
      <rc t="2" v="17778"/>
    </bk>
    <bk>
      <rc t="2" v="17779"/>
    </bk>
    <bk>
      <rc t="2" v="17780"/>
    </bk>
    <bk>
      <rc t="2" v="17781"/>
    </bk>
    <bk>
      <rc t="2" v="17782"/>
    </bk>
    <bk>
      <rc t="2" v="17783"/>
    </bk>
    <bk>
      <rc t="2" v="17784"/>
    </bk>
    <bk>
      <rc t="2" v="17785"/>
    </bk>
    <bk>
      <rc t="2" v="17786"/>
    </bk>
    <bk>
      <rc t="2" v="17787"/>
    </bk>
    <bk>
      <rc t="2" v="17788"/>
    </bk>
    <bk>
      <rc t="2" v="17789"/>
    </bk>
    <bk>
      <rc t="2" v="17790"/>
    </bk>
    <bk>
      <rc t="2" v="17791"/>
    </bk>
    <bk>
      <rc t="2" v="17792"/>
    </bk>
    <bk>
      <rc t="2" v="17793"/>
    </bk>
    <bk>
      <rc t="2" v="17794"/>
    </bk>
    <bk>
      <rc t="2" v="17795"/>
    </bk>
    <bk>
      <rc t="2" v="17796"/>
    </bk>
    <bk>
      <rc t="2" v="17797"/>
    </bk>
    <bk>
      <rc t="2" v="17798"/>
    </bk>
    <bk>
      <rc t="2" v="17799"/>
    </bk>
    <bk>
      <rc t="2" v="17800"/>
    </bk>
    <bk>
      <rc t="2" v="17801"/>
    </bk>
    <bk>
      <rc t="2" v="17802"/>
    </bk>
    <bk>
      <rc t="2" v="17803"/>
    </bk>
    <bk>
      <rc t="2" v="17804"/>
    </bk>
    <bk>
      <rc t="2" v="17805"/>
    </bk>
    <bk>
      <rc t="2" v="17806"/>
    </bk>
    <bk>
      <rc t="2" v="17807"/>
    </bk>
    <bk>
      <rc t="2" v="17808"/>
    </bk>
    <bk>
      <rc t="2" v="17809"/>
    </bk>
    <bk>
      <rc t="2" v="17810"/>
    </bk>
    <bk>
      <rc t="2" v="17811"/>
    </bk>
    <bk>
      <rc t="2" v="17812"/>
    </bk>
    <bk>
      <rc t="2" v="17813"/>
    </bk>
    <bk>
      <rc t="2" v="17814"/>
    </bk>
    <bk>
      <rc t="2" v="17815"/>
    </bk>
    <bk>
      <rc t="2" v="17816"/>
    </bk>
    <bk>
      <rc t="2" v="17817"/>
    </bk>
    <bk>
      <rc t="2" v="17818"/>
    </bk>
    <bk>
      <rc t="2" v="17819"/>
    </bk>
    <bk>
      <rc t="2" v="17820"/>
    </bk>
    <bk>
      <rc t="2" v="17821"/>
    </bk>
    <bk>
      <rc t="2" v="17822"/>
    </bk>
    <bk>
      <rc t="2" v="17823"/>
    </bk>
    <bk>
      <rc t="2" v="17824"/>
    </bk>
    <bk>
      <rc t="2" v="17825"/>
    </bk>
    <bk>
      <rc t="2" v="17826"/>
    </bk>
    <bk>
      <rc t="2" v="17827"/>
    </bk>
    <bk>
      <rc t="2" v="17828"/>
    </bk>
    <bk>
      <rc t="2" v="17829"/>
    </bk>
    <bk>
      <rc t="2" v="17830"/>
    </bk>
    <bk>
      <rc t="2" v="17831"/>
    </bk>
    <bk>
      <rc t="2" v="17832"/>
    </bk>
    <bk>
      <rc t="2" v="17833"/>
    </bk>
    <bk>
      <rc t="2" v="17834"/>
    </bk>
    <bk>
      <rc t="2" v="17835"/>
    </bk>
    <bk>
      <rc t="2" v="17836"/>
    </bk>
    <bk>
      <rc t="2" v="17837"/>
    </bk>
    <bk>
      <rc t="2" v="17838"/>
    </bk>
    <bk>
      <rc t="2" v="17839"/>
    </bk>
    <bk>
      <rc t="2" v="17840"/>
    </bk>
    <bk>
      <rc t="2" v="17841"/>
    </bk>
    <bk>
      <rc t="2" v="17842"/>
    </bk>
    <bk>
      <rc t="2" v="17843"/>
    </bk>
    <bk>
      <rc t="2" v="17844"/>
    </bk>
    <bk>
      <rc t="2" v="17845"/>
    </bk>
    <bk>
      <rc t="2" v="17846"/>
    </bk>
    <bk>
      <rc t="2" v="17847"/>
    </bk>
    <bk>
      <rc t="2" v="17848"/>
    </bk>
    <bk>
      <rc t="2" v="17849"/>
    </bk>
    <bk>
      <rc t="2" v="17850"/>
    </bk>
    <bk>
      <rc t="2" v="17851"/>
    </bk>
    <bk>
      <rc t="2" v="17852"/>
    </bk>
    <bk>
      <rc t="2" v="17853"/>
    </bk>
    <bk>
      <rc t="2" v="17854"/>
    </bk>
    <bk>
      <rc t="2" v="17855"/>
    </bk>
    <bk>
      <rc t="2" v="17856"/>
    </bk>
    <bk>
      <rc t="2" v="17857"/>
    </bk>
    <bk>
      <rc t="2" v="17858"/>
    </bk>
    <bk>
      <rc t="2" v="17859"/>
    </bk>
    <bk>
      <rc t="2" v="17860"/>
    </bk>
    <bk>
      <rc t="2" v="17861"/>
    </bk>
    <bk>
      <rc t="2" v="17862"/>
    </bk>
    <bk>
      <rc t="2" v="17863"/>
    </bk>
    <bk>
      <rc t="2" v="17864"/>
    </bk>
    <bk>
      <rc t="2" v="17865"/>
    </bk>
    <bk>
      <rc t="2" v="17866"/>
    </bk>
    <bk>
      <rc t="2" v="17867"/>
    </bk>
    <bk>
      <rc t="2" v="17868"/>
    </bk>
    <bk>
      <rc t="2" v="17869"/>
    </bk>
    <bk>
      <rc t="2" v="17870"/>
    </bk>
    <bk>
      <rc t="2" v="17871"/>
    </bk>
    <bk>
      <rc t="2" v="17872"/>
    </bk>
    <bk>
      <rc t="2" v="17873"/>
    </bk>
    <bk>
      <rc t="2" v="17874"/>
    </bk>
    <bk>
      <rc t="2" v="17875"/>
    </bk>
    <bk>
      <rc t="2" v="17876"/>
    </bk>
    <bk>
      <rc t="2" v="17877"/>
    </bk>
    <bk>
      <rc t="2" v="17878"/>
    </bk>
    <bk>
      <rc t="2" v="17879"/>
    </bk>
    <bk>
      <rc t="2" v="17880"/>
    </bk>
    <bk>
      <rc t="2" v="17881"/>
    </bk>
    <bk>
      <rc t="2" v="17882"/>
    </bk>
    <bk>
      <rc t="2" v="17883"/>
    </bk>
    <bk>
      <rc t="2" v="17884"/>
    </bk>
    <bk>
      <rc t="2" v="17885"/>
    </bk>
    <bk>
      <rc t="2" v="17886"/>
    </bk>
    <bk>
      <rc t="2" v="17887"/>
    </bk>
    <bk>
      <rc t="2" v="17888"/>
    </bk>
    <bk>
      <rc t="2" v="17889"/>
    </bk>
    <bk>
      <rc t="2" v="17890"/>
    </bk>
    <bk>
      <rc t="2" v="17891"/>
    </bk>
    <bk>
      <rc t="2" v="17892"/>
    </bk>
    <bk>
      <rc t="2" v="17893"/>
    </bk>
    <bk>
      <rc t="2" v="17894"/>
    </bk>
    <bk>
      <rc t="2" v="17895"/>
    </bk>
    <bk>
      <rc t="2" v="17896"/>
    </bk>
    <bk>
      <rc t="2" v="17897"/>
    </bk>
    <bk>
      <rc t="2" v="17898"/>
    </bk>
    <bk>
      <rc t="2" v="17899"/>
    </bk>
    <bk>
      <rc t="2" v="17900"/>
    </bk>
    <bk>
      <rc t="2" v="17901"/>
    </bk>
    <bk>
      <rc t="2" v="17902"/>
    </bk>
    <bk>
      <rc t="2" v="17903"/>
    </bk>
    <bk>
      <rc t="2" v="17904"/>
    </bk>
    <bk>
      <rc t="2" v="17905"/>
    </bk>
    <bk>
      <rc t="2" v="17906"/>
    </bk>
    <bk>
      <rc t="2" v="17907"/>
    </bk>
    <bk>
      <rc t="2" v="17908"/>
    </bk>
    <bk>
      <rc t="2" v="17909"/>
    </bk>
    <bk>
      <rc t="2" v="17910"/>
    </bk>
    <bk>
      <rc t="2" v="17911"/>
    </bk>
    <bk>
      <rc t="2" v="17912"/>
    </bk>
    <bk>
      <rc t="2" v="17913"/>
    </bk>
    <bk>
      <rc t="2" v="17914"/>
    </bk>
    <bk>
      <rc t="2" v="17915"/>
    </bk>
    <bk>
      <rc t="2" v="17916"/>
    </bk>
    <bk>
      <rc t="2" v="17917"/>
    </bk>
    <bk>
      <rc t="2" v="17918"/>
    </bk>
    <bk>
      <rc t="2" v="17919"/>
    </bk>
    <bk>
      <rc t="2" v="17920"/>
    </bk>
    <bk>
      <rc t="2" v="17921"/>
    </bk>
    <bk>
      <rc t="2" v="17922"/>
    </bk>
    <bk>
      <rc t="2" v="17923"/>
    </bk>
    <bk>
      <rc t="2" v="17924"/>
    </bk>
    <bk>
      <rc t="2" v="17925"/>
    </bk>
    <bk>
      <rc t="2" v="17926"/>
    </bk>
    <bk>
      <rc t="2" v="17927"/>
    </bk>
    <bk>
      <rc t="2" v="17928"/>
    </bk>
    <bk>
      <rc t="2" v="17929"/>
    </bk>
    <bk>
      <rc t="2" v="17930"/>
    </bk>
    <bk>
      <rc t="2" v="17931"/>
    </bk>
    <bk>
      <rc t="2" v="17932"/>
    </bk>
    <bk>
      <rc t="2" v="17933"/>
    </bk>
    <bk>
      <rc t="2" v="17934"/>
    </bk>
    <bk>
      <rc t="2" v="17935"/>
    </bk>
    <bk>
      <rc t="2" v="17936"/>
    </bk>
    <bk>
      <rc t="2" v="17937"/>
    </bk>
    <bk>
      <rc t="2" v="17938"/>
    </bk>
    <bk>
      <rc t="2" v="17939"/>
    </bk>
    <bk>
      <rc t="2" v="17940"/>
    </bk>
    <bk>
      <rc t="2" v="17941"/>
    </bk>
    <bk>
      <rc t="2" v="17942"/>
    </bk>
    <bk>
      <rc t="2" v="17943"/>
    </bk>
    <bk>
      <rc t="2" v="17944"/>
    </bk>
    <bk>
      <rc t="2" v="17945"/>
    </bk>
    <bk>
      <rc t="2" v="17946"/>
    </bk>
    <bk>
      <rc t="2" v="17947"/>
    </bk>
    <bk>
      <rc t="2" v="17948"/>
    </bk>
    <bk>
      <rc t="2" v="17949"/>
    </bk>
    <bk>
      <rc t="2" v="17950"/>
    </bk>
    <bk>
      <rc t="2" v="17951"/>
    </bk>
    <bk>
      <rc t="2" v="17952"/>
    </bk>
    <bk>
      <rc t="2" v="17953"/>
    </bk>
    <bk>
      <rc t="2" v="17954"/>
    </bk>
    <bk>
      <rc t="2" v="17955"/>
    </bk>
    <bk>
      <rc t="2" v="17956"/>
    </bk>
    <bk>
      <rc t="2" v="17957"/>
    </bk>
    <bk>
      <rc t="2" v="17958"/>
    </bk>
    <bk>
      <rc t="2" v="17959"/>
    </bk>
    <bk>
      <rc t="2" v="17960"/>
    </bk>
    <bk>
      <rc t="2" v="17961"/>
    </bk>
    <bk>
      <rc t="2" v="17962"/>
    </bk>
    <bk>
      <rc t="2" v="17963"/>
    </bk>
    <bk>
      <rc t="2" v="17964"/>
    </bk>
    <bk>
      <rc t="2" v="17965"/>
    </bk>
    <bk>
      <rc t="2" v="17966"/>
    </bk>
    <bk>
      <rc t="2" v="17967"/>
    </bk>
    <bk>
      <rc t="2" v="17968"/>
    </bk>
    <bk>
      <rc t="2" v="17969"/>
    </bk>
    <bk>
      <rc t="2" v="17970"/>
    </bk>
    <bk>
      <rc t="2" v="17971"/>
    </bk>
    <bk>
      <rc t="2" v="17972"/>
    </bk>
    <bk>
      <rc t="2" v="17973"/>
    </bk>
    <bk>
      <rc t="2" v="17974"/>
    </bk>
    <bk>
      <rc t="2" v="17975"/>
    </bk>
    <bk>
      <rc t="2" v="17976"/>
    </bk>
    <bk>
      <rc t="2" v="17977"/>
    </bk>
    <bk>
      <rc t="2" v="17978"/>
    </bk>
    <bk>
      <rc t="2" v="17979"/>
    </bk>
    <bk>
      <rc t="2" v="17980"/>
    </bk>
    <bk>
      <rc t="2" v="17981"/>
    </bk>
    <bk>
      <rc t="2" v="17982"/>
    </bk>
    <bk>
      <rc t="2" v="17983"/>
    </bk>
    <bk>
      <rc t="2" v="17984"/>
    </bk>
    <bk>
      <rc t="2" v="17985"/>
    </bk>
    <bk>
      <rc t="2" v="17986"/>
    </bk>
    <bk>
      <rc t="2" v="17987"/>
    </bk>
    <bk>
      <rc t="2" v="17988"/>
    </bk>
    <bk>
      <rc t="2" v="17989"/>
    </bk>
    <bk>
      <rc t="2" v="17990"/>
    </bk>
    <bk>
      <rc t="2" v="17991"/>
    </bk>
    <bk>
      <rc t="2" v="17992"/>
    </bk>
    <bk>
      <rc t="2" v="17993"/>
    </bk>
    <bk>
      <rc t="2" v="17994"/>
    </bk>
    <bk>
      <rc t="2" v="17995"/>
    </bk>
    <bk>
      <rc t="2" v="17996"/>
    </bk>
    <bk>
      <rc t="2" v="17997"/>
    </bk>
    <bk>
      <rc t="2" v="17998"/>
    </bk>
    <bk>
      <rc t="2" v="17999"/>
    </bk>
    <bk>
      <rc t="2" v="18000"/>
    </bk>
    <bk>
      <rc t="2" v="18001"/>
    </bk>
    <bk>
      <rc t="2" v="18002"/>
    </bk>
    <bk>
      <rc t="2" v="18003"/>
    </bk>
    <bk>
      <rc t="2" v="18004"/>
    </bk>
    <bk>
      <rc t="2" v="18005"/>
    </bk>
    <bk>
      <rc t="2" v="18006"/>
    </bk>
    <bk>
      <rc t="2" v="18007"/>
    </bk>
    <bk>
      <rc t="2" v="18008"/>
    </bk>
    <bk>
      <rc t="2" v="18009"/>
    </bk>
    <bk>
      <rc t="2" v="18010"/>
    </bk>
    <bk>
      <rc t="2" v="18011"/>
    </bk>
    <bk>
      <rc t="2" v="18012"/>
    </bk>
    <bk>
      <rc t="2" v="18013"/>
    </bk>
    <bk>
      <rc t="2" v="18014"/>
    </bk>
    <bk>
      <rc t="2" v="18015"/>
    </bk>
    <bk>
      <rc t="2" v="18016"/>
    </bk>
    <bk>
      <rc t="2" v="18017"/>
    </bk>
    <bk>
      <rc t="2" v="18018"/>
    </bk>
    <bk>
      <rc t="2" v="18019"/>
    </bk>
    <bk>
      <rc t="2" v="18020"/>
    </bk>
    <bk>
      <rc t="2" v="18021"/>
    </bk>
    <bk>
      <rc t="2" v="18022"/>
    </bk>
    <bk>
      <rc t="2" v="18023"/>
    </bk>
    <bk>
      <rc t="2" v="18024"/>
    </bk>
    <bk>
      <rc t="2" v="18025"/>
    </bk>
    <bk>
      <rc t="2" v="18026"/>
    </bk>
    <bk>
      <rc t="2" v="18027"/>
    </bk>
    <bk>
      <rc t="2" v="18028"/>
    </bk>
    <bk>
      <rc t="2" v="18029"/>
    </bk>
    <bk>
      <rc t="2" v="18030"/>
    </bk>
    <bk>
      <rc t="2" v="18031"/>
    </bk>
    <bk>
      <rc t="2" v="18032"/>
    </bk>
    <bk>
      <rc t="2" v="18033"/>
    </bk>
    <bk>
      <rc t="2" v="18034"/>
    </bk>
    <bk>
      <rc t="2" v="18035"/>
    </bk>
    <bk>
      <rc t="2" v="18036"/>
    </bk>
    <bk>
      <rc t="2" v="18037"/>
    </bk>
    <bk>
      <rc t="2" v="18038"/>
    </bk>
    <bk>
      <rc t="2" v="18039"/>
    </bk>
    <bk>
      <rc t="2" v="18040"/>
    </bk>
    <bk>
      <rc t="2" v="18041"/>
    </bk>
    <bk>
      <rc t="2" v="18042"/>
    </bk>
    <bk>
      <rc t="2" v="18043"/>
    </bk>
    <bk>
      <rc t="2" v="18044"/>
    </bk>
    <bk>
      <rc t="2" v="18045"/>
    </bk>
    <bk>
      <rc t="2" v="18046"/>
    </bk>
    <bk>
      <rc t="2" v="18047"/>
    </bk>
    <bk>
      <rc t="2" v="18048"/>
    </bk>
    <bk>
      <rc t="2" v="18049"/>
    </bk>
    <bk>
      <rc t="2" v="18050"/>
    </bk>
    <bk>
      <rc t="2" v="18051"/>
    </bk>
    <bk>
      <rc t="2" v="18052"/>
    </bk>
    <bk>
      <rc t="2" v="18053"/>
    </bk>
    <bk>
      <rc t="2" v="18054"/>
    </bk>
    <bk>
      <rc t="2" v="18055"/>
    </bk>
    <bk>
      <rc t="2" v="18056"/>
    </bk>
    <bk>
      <rc t="2" v="18057"/>
    </bk>
    <bk>
      <rc t="2" v="18058"/>
    </bk>
    <bk>
      <rc t="2" v="18059"/>
    </bk>
    <bk>
      <rc t="2" v="18060"/>
    </bk>
    <bk>
      <rc t="2" v="18061"/>
    </bk>
    <bk>
      <rc t="2" v="18062"/>
    </bk>
    <bk>
      <rc t="2" v="18063"/>
    </bk>
    <bk>
      <rc t="2" v="18064"/>
    </bk>
    <bk>
      <rc t="2" v="18065"/>
    </bk>
    <bk>
      <rc t="2" v="18066"/>
    </bk>
    <bk>
      <rc t="2" v="18067"/>
    </bk>
    <bk>
      <rc t="2" v="18068"/>
    </bk>
    <bk>
      <rc t="2" v="18069"/>
    </bk>
    <bk>
      <rc t="2" v="18070"/>
    </bk>
    <bk>
      <rc t="2" v="18071"/>
    </bk>
    <bk>
      <rc t="2" v="18072"/>
    </bk>
    <bk>
      <rc t="2" v="18073"/>
    </bk>
    <bk>
      <rc t="2" v="18074"/>
    </bk>
    <bk>
      <rc t="2" v="18075"/>
    </bk>
    <bk>
      <rc t="2" v="18076"/>
    </bk>
    <bk>
      <rc t="2" v="18077"/>
    </bk>
    <bk>
      <rc t="2" v="18078"/>
    </bk>
    <bk>
      <rc t="2" v="18079"/>
    </bk>
    <bk>
      <rc t="2" v="18080"/>
    </bk>
    <bk>
      <rc t="2" v="18081"/>
    </bk>
    <bk>
      <rc t="2" v="18082"/>
    </bk>
    <bk>
      <rc t="2" v="18083"/>
    </bk>
    <bk>
      <rc t="2" v="18084"/>
    </bk>
    <bk>
      <rc t="2" v="18085"/>
    </bk>
    <bk>
      <rc t="2" v="18086"/>
    </bk>
    <bk>
      <rc t="2" v="18087"/>
    </bk>
    <bk>
      <rc t="2" v="18088"/>
    </bk>
    <bk>
      <rc t="2" v="18089"/>
    </bk>
    <bk>
      <rc t="2" v="18090"/>
    </bk>
    <bk>
      <rc t="2" v="18091"/>
    </bk>
    <bk>
      <rc t="2" v="18092"/>
    </bk>
    <bk>
      <rc t="2" v="18093"/>
    </bk>
    <bk>
      <rc t="2" v="18094"/>
    </bk>
    <bk>
      <rc t="2" v="18095"/>
    </bk>
    <bk>
      <rc t="2" v="18096"/>
    </bk>
    <bk>
      <rc t="2" v="18097"/>
    </bk>
    <bk>
      <rc t="2" v="18098"/>
    </bk>
    <bk>
      <rc t="2" v="18099"/>
    </bk>
    <bk>
      <rc t="2" v="18100"/>
    </bk>
    <bk>
      <rc t="2" v="18101"/>
    </bk>
    <bk>
      <rc t="2" v="18102"/>
    </bk>
    <bk>
      <rc t="2" v="18103"/>
    </bk>
    <bk>
      <rc t="2" v="18104"/>
    </bk>
    <bk>
      <rc t="2" v="18105"/>
    </bk>
    <bk>
      <rc t="2" v="18106"/>
    </bk>
    <bk>
      <rc t="2" v="18107"/>
    </bk>
    <bk>
      <rc t="2" v="18108"/>
    </bk>
    <bk>
      <rc t="2" v="18109"/>
    </bk>
    <bk>
      <rc t="2" v="18110"/>
    </bk>
    <bk>
      <rc t="2" v="18111"/>
    </bk>
    <bk>
      <rc t="2" v="18112"/>
    </bk>
    <bk>
      <rc t="2" v="18113"/>
    </bk>
    <bk>
      <rc t="2" v="18114"/>
    </bk>
    <bk>
      <rc t="2" v="18115"/>
    </bk>
    <bk>
      <rc t="2" v="18116"/>
    </bk>
    <bk>
      <rc t="2" v="18117"/>
    </bk>
    <bk>
      <rc t="2" v="18118"/>
    </bk>
    <bk>
      <rc t="2" v="18119"/>
    </bk>
    <bk>
      <rc t="2" v="18120"/>
    </bk>
    <bk>
      <rc t="2" v="18121"/>
    </bk>
    <bk>
      <rc t="2" v="18122"/>
    </bk>
    <bk>
      <rc t="2" v="18123"/>
    </bk>
    <bk>
      <rc t="2" v="18124"/>
    </bk>
    <bk>
      <rc t="2" v="18125"/>
    </bk>
    <bk>
      <rc t="2" v="18126"/>
    </bk>
    <bk>
      <rc t="2" v="18127"/>
    </bk>
    <bk>
      <rc t="2" v="18128"/>
    </bk>
    <bk>
      <rc t="2" v="18129"/>
    </bk>
    <bk>
      <rc t="2" v="18130"/>
    </bk>
    <bk>
      <rc t="2" v="18131"/>
    </bk>
    <bk>
      <rc t="2" v="18132"/>
    </bk>
    <bk>
      <rc t="2" v="18133"/>
    </bk>
    <bk>
      <rc t="2" v="18134"/>
    </bk>
    <bk>
      <rc t="2" v="18135"/>
    </bk>
    <bk>
      <rc t="2" v="18136"/>
    </bk>
    <bk>
      <rc t="2" v="18137"/>
    </bk>
    <bk>
      <rc t="2" v="18138"/>
    </bk>
    <bk>
      <rc t="2" v="18139"/>
    </bk>
    <bk>
      <rc t="2" v="18140"/>
    </bk>
    <bk>
      <rc t="2" v="18141"/>
    </bk>
    <bk>
      <rc t="2" v="18142"/>
    </bk>
    <bk>
      <rc t="2" v="18143"/>
    </bk>
    <bk>
      <rc t="2" v="18144"/>
    </bk>
    <bk>
      <rc t="2" v="18145"/>
    </bk>
    <bk>
      <rc t="2" v="18146"/>
    </bk>
    <bk>
      <rc t="2" v="18147"/>
    </bk>
    <bk>
      <rc t="2" v="18148"/>
    </bk>
    <bk>
      <rc t="2" v="18149"/>
    </bk>
    <bk>
      <rc t="2" v="18150"/>
    </bk>
    <bk>
      <rc t="2" v="18151"/>
    </bk>
    <bk>
      <rc t="2" v="18152"/>
    </bk>
    <bk>
      <rc t="2" v="18153"/>
    </bk>
    <bk>
      <rc t="2" v="18154"/>
    </bk>
    <bk>
      <rc t="2" v="18155"/>
    </bk>
    <bk>
      <rc t="2" v="18156"/>
    </bk>
    <bk>
      <rc t="2" v="18157"/>
    </bk>
    <bk>
      <rc t="2" v="18158"/>
    </bk>
    <bk>
      <rc t="2" v="18159"/>
    </bk>
    <bk>
      <rc t="2" v="18160"/>
    </bk>
    <bk>
      <rc t="2" v="18161"/>
    </bk>
    <bk>
      <rc t="2" v="18162"/>
    </bk>
    <bk>
      <rc t="2" v="18163"/>
    </bk>
    <bk>
      <rc t="2" v="18164"/>
    </bk>
    <bk>
      <rc t="2" v="18165"/>
    </bk>
    <bk>
      <rc t="2" v="18166"/>
    </bk>
    <bk>
      <rc t="2" v="18167"/>
    </bk>
    <bk>
      <rc t="2" v="18168"/>
    </bk>
    <bk>
      <rc t="2" v="18169"/>
    </bk>
    <bk>
      <rc t="2" v="18170"/>
    </bk>
    <bk>
      <rc t="2" v="18171"/>
    </bk>
    <bk>
      <rc t="2" v="18172"/>
    </bk>
    <bk>
      <rc t="2" v="18173"/>
    </bk>
    <bk>
      <rc t="2" v="18174"/>
    </bk>
    <bk>
      <rc t="2" v="18175"/>
    </bk>
    <bk>
      <rc t="2" v="18176"/>
    </bk>
    <bk>
      <rc t="2" v="18177"/>
    </bk>
    <bk>
      <rc t="2" v="18178"/>
    </bk>
    <bk>
      <rc t="2" v="18179"/>
    </bk>
    <bk>
      <rc t="2" v="18180"/>
    </bk>
    <bk>
      <rc t="2" v="18181"/>
    </bk>
    <bk>
      <rc t="2" v="18182"/>
    </bk>
    <bk>
      <rc t="2" v="18183"/>
    </bk>
    <bk>
      <rc t="2" v="18184"/>
    </bk>
    <bk>
      <rc t="2" v="18185"/>
    </bk>
    <bk>
      <rc t="2" v="18186"/>
    </bk>
    <bk>
      <rc t="2" v="18187"/>
    </bk>
    <bk>
      <rc t="2" v="18188"/>
    </bk>
    <bk>
      <rc t="2" v="18189"/>
    </bk>
    <bk>
      <rc t="2" v="18190"/>
    </bk>
    <bk>
      <rc t="2" v="18191"/>
    </bk>
    <bk>
      <rc t="2" v="18192"/>
    </bk>
    <bk>
      <rc t="2" v="18193"/>
    </bk>
    <bk>
      <rc t="2" v="18194"/>
    </bk>
    <bk>
      <rc t="2" v="18195"/>
    </bk>
    <bk>
      <rc t="2" v="18196"/>
    </bk>
    <bk>
      <rc t="2" v="18197"/>
    </bk>
    <bk>
      <rc t="2" v="18198"/>
    </bk>
    <bk>
      <rc t="2" v="18199"/>
    </bk>
    <bk>
      <rc t="2" v="18200"/>
    </bk>
    <bk>
      <rc t="2" v="18201"/>
    </bk>
    <bk>
      <rc t="2" v="18202"/>
    </bk>
    <bk>
      <rc t="2" v="18203"/>
    </bk>
    <bk>
      <rc t="2" v="18204"/>
    </bk>
    <bk>
      <rc t="2" v="18205"/>
    </bk>
    <bk>
      <rc t="2" v="18206"/>
    </bk>
    <bk>
      <rc t="2" v="18207"/>
    </bk>
    <bk>
      <rc t="2" v="18208"/>
    </bk>
    <bk>
      <rc t="2" v="18209"/>
    </bk>
    <bk>
      <rc t="2" v="18210"/>
    </bk>
    <bk>
      <rc t="2" v="18211"/>
    </bk>
    <bk>
      <rc t="2" v="18212"/>
    </bk>
    <bk>
      <rc t="2" v="18213"/>
    </bk>
    <bk>
      <rc t="2" v="18214"/>
    </bk>
    <bk>
      <rc t="2" v="18215"/>
    </bk>
    <bk>
      <rc t="2" v="18216"/>
    </bk>
    <bk>
      <rc t="2" v="18217"/>
    </bk>
    <bk>
      <rc t="2" v="18218"/>
    </bk>
    <bk>
      <rc t="2" v="18219"/>
    </bk>
    <bk>
      <rc t="2" v="18220"/>
    </bk>
    <bk>
      <rc t="2" v="18221"/>
    </bk>
    <bk>
      <rc t="2" v="18222"/>
    </bk>
    <bk>
      <rc t="2" v="18223"/>
    </bk>
    <bk>
      <rc t="2" v="18224"/>
    </bk>
    <bk>
      <rc t="2" v="18225"/>
    </bk>
    <bk>
      <rc t="2" v="18226"/>
    </bk>
    <bk>
      <rc t="2" v="18227"/>
    </bk>
    <bk>
      <rc t="2" v="18228"/>
    </bk>
    <bk>
      <rc t="2" v="18229"/>
    </bk>
    <bk>
      <rc t="2" v="18230"/>
    </bk>
    <bk>
      <rc t="2" v="18231"/>
    </bk>
    <bk>
      <rc t="2" v="18232"/>
    </bk>
    <bk>
      <rc t="2" v="18233"/>
    </bk>
    <bk>
      <rc t="2" v="18234"/>
    </bk>
    <bk>
      <rc t="2" v="18235"/>
    </bk>
    <bk>
      <rc t="2" v="18236"/>
    </bk>
    <bk>
      <rc t="2" v="18237"/>
    </bk>
    <bk>
      <rc t="2" v="18238"/>
    </bk>
    <bk>
      <rc t="2" v="18239"/>
    </bk>
    <bk>
      <rc t="2" v="18240"/>
    </bk>
    <bk>
      <rc t="2" v="18241"/>
    </bk>
    <bk>
      <rc t="2" v="18242"/>
    </bk>
    <bk>
      <rc t="2" v="18243"/>
    </bk>
    <bk>
      <rc t="2" v="18244"/>
    </bk>
    <bk>
      <rc t="2" v="18245"/>
    </bk>
    <bk>
      <rc t="2" v="18246"/>
    </bk>
    <bk>
      <rc t="2" v="18247"/>
    </bk>
    <bk>
      <rc t="2" v="18248"/>
    </bk>
    <bk>
      <rc t="2" v="18249"/>
    </bk>
    <bk>
      <rc t="2" v="18250"/>
    </bk>
    <bk>
      <rc t="2" v="18251"/>
    </bk>
    <bk>
      <rc t="2" v="18252"/>
    </bk>
    <bk>
      <rc t="2" v="18253"/>
    </bk>
    <bk>
      <rc t="2" v="18254"/>
    </bk>
    <bk>
      <rc t="2" v="18255"/>
    </bk>
    <bk>
      <rc t="2" v="18256"/>
    </bk>
    <bk>
      <rc t="2" v="18257"/>
    </bk>
    <bk>
      <rc t="2" v="18258"/>
    </bk>
    <bk>
      <rc t="2" v="18259"/>
    </bk>
    <bk>
      <rc t="2" v="18260"/>
    </bk>
    <bk>
      <rc t="2" v="18261"/>
    </bk>
    <bk>
      <rc t="2" v="18262"/>
    </bk>
    <bk>
      <rc t="2" v="18263"/>
    </bk>
    <bk>
      <rc t="2" v="18264"/>
    </bk>
    <bk>
      <rc t="2" v="18265"/>
    </bk>
    <bk>
      <rc t="2" v="18266"/>
    </bk>
    <bk>
      <rc t="2" v="18267"/>
    </bk>
    <bk>
      <rc t="2" v="18268"/>
    </bk>
    <bk>
      <rc t="2" v="18269"/>
    </bk>
    <bk>
      <rc t="2" v="18270"/>
    </bk>
    <bk>
      <rc t="2" v="18271"/>
    </bk>
    <bk>
      <rc t="2" v="18272"/>
    </bk>
    <bk>
      <rc t="2" v="18273"/>
    </bk>
    <bk>
      <rc t="2" v="18274"/>
    </bk>
    <bk>
      <rc t="2" v="18275"/>
    </bk>
    <bk>
      <rc t="2" v="18276"/>
    </bk>
    <bk>
      <rc t="2" v="18277"/>
    </bk>
    <bk>
      <rc t="2" v="18278"/>
    </bk>
    <bk>
      <rc t="2" v="18279"/>
    </bk>
    <bk>
      <rc t="2" v="18280"/>
    </bk>
    <bk>
      <rc t="2" v="18281"/>
    </bk>
    <bk>
      <rc t="2" v="18282"/>
    </bk>
    <bk>
      <rc t="2" v="18283"/>
    </bk>
    <bk>
      <rc t="2" v="18284"/>
    </bk>
    <bk>
      <rc t="2" v="18285"/>
    </bk>
    <bk>
      <rc t="2" v="18286"/>
    </bk>
    <bk>
      <rc t="2" v="18287"/>
    </bk>
    <bk>
      <rc t="2" v="18288"/>
    </bk>
    <bk>
      <rc t="2" v="18289"/>
    </bk>
    <bk>
      <rc t="2" v="18290"/>
    </bk>
    <bk>
      <rc t="2" v="18291"/>
    </bk>
    <bk>
      <rc t="2" v="18292"/>
    </bk>
    <bk>
      <rc t="2" v="18293"/>
    </bk>
    <bk>
      <rc t="2" v="18294"/>
    </bk>
    <bk>
      <rc t="2" v="18295"/>
    </bk>
    <bk>
      <rc t="2" v="18296"/>
    </bk>
    <bk>
      <rc t="2" v="18297"/>
    </bk>
    <bk>
      <rc t="2" v="18298"/>
    </bk>
    <bk>
      <rc t="2" v="18299"/>
    </bk>
    <bk>
      <rc t="2" v="18300"/>
    </bk>
    <bk>
      <rc t="2" v="18301"/>
    </bk>
    <bk>
      <rc t="2" v="18302"/>
    </bk>
    <bk>
      <rc t="2" v="18303"/>
    </bk>
    <bk>
      <rc t="2" v="18304"/>
    </bk>
    <bk>
      <rc t="2" v="18305"/>
    </bk>
    <bk>
      <rc t="2" v="18306"/>
    </bk>
    <bk>
      <rc t="2" v="18307"/>
    </bk>
    <bk>
      <rc t="2" v="18308"/>
    </bk>
    <bk>
      <rc t="2" v="18309"/>
    </bk>
    <bk>
      <rc t="2" v="18310"/>
    </bk>
    <bk>
      <rc t="2" v="18311"/>
    </bk>
    <bk>
      <rc t="2" v="18312"/>
    </bk>
    <bk>
      <rc t="2" v="18313"/>
    </bk>
    <bk>
      <rc t="2" v="18314"/>
    </bk>
    <bk>
      <rc t="2" v="18315"/>
    </bk>
    <bk>
      <rc t="2" v="18316"/>
    </bk>
    <bk>
      <rc t="2" v="18317"/>
    </bk>
    <bk>
      <rc t="2" v="18318"/>
    </bk>
    <bk>
      <rc t="2" v="18319"/>
    </bk>
    <bk>
      <rc t="2" v="18320"/>
    </bk>
    <bk>
      <rc t="2" v="18321"/>
    </bk>
    <bk>
      <rc t="2" v="18322"/>
    </bk>
    <bk>
      <rc t="2" v="18323"/>
    </bk>
    <bk>
      <rc t="2" v="18324"/>
    </bk>
    <bk>
      <rc t="2" v="18325"/>
    </bk>
    <bk>
      <rc t="2" v="18326"/>
    </bk>
    <bk>
      <rc t="2" v="18327"/>
    </bk>
    <bk>
      <rc t="2" v="18328"/>
    </bk>
    <bk>
      <rc t="2" v="18329"/>
    </bk>
    <bk>
      <rc t="2" v="18330"/>
    </bk>
    <bk>
      <rc t="2" v="18331"/>
    </bk>
    <bk>
      <rc t="2" v="18332"/>
    </bk>
    <bk>
      <rc t="2" v="18333"/>
    </bk>
    <bk>
      <rc t="2" v="18334"/>
    </bk>
    <bk>
      <rc t="2" v="18335"/>
    </bk>
    <bk>
      <rc t="2" v="18336"/>
    </bk>
    <bk>
      <rc t="2" v="18337"/>
    </bk>
    <bk>
      <rc t="2" v="18338"/>
    </bk>
    <bk>
      <rc t="2" v="18339"/>
    </bk>
    <bk>
      <rc t="2" v="18340"/>
    </bk>
    <bk>
      <rc t="2" v="18341"/>
    </bk>
    <bk>
      <rc t="2" v="18342"/>
    </bk>
    <bk>
      <rc t="2" v="18343"/>
    </bk>
    <bk>
      <rc t="2" v="18344"/>
    </bk>
    <bk>
      <rc t="2" v="18345"/>
    </bk>
    <bk>
      <rc t="2" v="18346"/>
    </bk>
    <bk>
      <rc t="2" v="18347"/>
    </bk>
    <bk>
      <rc t="2" v="18348"/>
    </bk>
    <bk>
      <rc t="2" v="18349"/>
    </bk>
    <bk>
      <rc t="2" v="18350"/>
    </bk>
    <bk>
      <rc t="2" v="18351"/>
    </bk>
    <bk>
      <rc t="2" v="18352"/>
    </bk>
    <bk>
      <rc t="2" v="18353"/>
    </bk>
    <bk>
      <rc t="2" v="18354"/>
    </bk>
    <bk>
      <rc t="2" v="18355"/>
    </bk>
    <bk>
      <rc t="2" v="18356"/>
    </bk>
    <bk>
      <rc t="2" v="18357"/>
    </bk>
    <bk>
      <rc t="2" v="18358"/>
    </bk>
    <bk>
      <rc t="2" v="18359"/>
    </bk>
    <bk>
      <rc t="2" v="18360"/>
    </bk>
    <bk>
      <rc t="2" v="18361"/>
    </bk>
    <bk>
      <rc t="2" v="18362"/>
    </bk>
    <bk>
      <rc t="2" v="18363"/>
    </bk>
    <bk>
      <rc t="2" v="18364"/>
    </bk>
    <bk>
      <rc t="2" v="18365"/>
    </bk>
    <bk>
      <rc t="2" v="18366"/>
    </bk>
    <bk>
      <rc t="2" v="18367"/>
    </bk>
    <bk>
      <rc t="2" v="18368"/>
    </bk>
    <bk>
      <rc t="2" v="18369"/>
    </bk>
    <bk>
      <rc t="2" v="18370"/>
    </bk>
    <bk>
      <rc t="2" v="18371"/>
    </bk>
    <bk>
      <rc t="2" v="18372"/>
    </bk>
    <bk>
      <rc t="2" v="18373"/>
    </bk>
    <bk>
      <rc t="2" v="18374"/>
    </bk>
    <bk>
      <rc t="2" v="18375"/>
    </bk>
    <bk>
      <rc t="2" v="18376"/>
    </bk>
    <bk>
      <rc t="2" v="18377"/>
    </bk>
    <bk>
      <rc t="2" v="18378"/>
    </bk>
    <bk>
      <rc t="2" v="18379"/>
    </bk>
    <bk>
      <rc t="2" v="18380"/>
    </bk>
    <bk>
      <rc t="2" v="18381"/>
    </bk>
    <bk>
      <rc t="2" v="18382"/>
    </bk>
    <bk>
      <rc t="2" v="18383"/>
    </bk>
    <bk>
      <rc t="2" v="18384"/>
    </bk>
    <bk>
      <rc t="2" v="18385"/>
    </bk>
    <bk>
      <rc t="2" v="18386"/>
    </bk>
    <bk>
      <rc t="2" v="18387"/>
    </bk>
    <bk>
      <rc t="2" v="18388"/>
    </bk>
    <bk>
      <rc t="2" v="18389"/>
    </bk>
    <bk>
      <rc t="2" v="18390"/>
    </bk>
    <bk>
      <rc t="2" v="18391"/>
    </bk>
    <bk>
      <rc t="2" v="18392"/>
    </bk>
    <bk>
      <rc t="2" v="18393"/>
    </bk>
    <bk>
      <rc t="2" v="18394"/>
    </bk>
    <bk>
      <rc t="2" v="18395"/>
    </bk>
    <bk>
      <rc t="2" v="18396"/>
    </bk>
    <bk>
      <rc t="2" v="18397"/>
    </bk>
    <bk>
      <rc t="2" v="18398"/>
    </bk>
    <bk>
      <rc t="2" v="18399"/>
    </bk>
    <bk>
      <rc t="2" v="18400"/>
    </bk>
    <bk>
      <rc t="2" v="18401"/>
    </bk>
    <bk>
      <rc t="2" v="18402"/>
    </bk>
    <bk>
      <rc t="2" v="18403"/>
    </bk>
    <bk>
      <rc t="2" v="18404"/>
    </bk>
    <bk>
      <rc t="2" v="18405"/>
    </bk>
    <bk>
      <rc t="2" v="18406"/>
    </bk>
    <bk>
      <rc t="2" v="18407"/>
    </bk>
    <bk>
      <rc t="2" v="18408"/>
    </bk>
    <bk>
      <rc t="2" v="18409"/>
    </bk>
    <bk>
      <rc t="2" v="18410"/>
    </bk>
    <bk>
      <rc t="2" v="18411"/>
    </bk>
    <bk>
      <rc t="2" v="18412"/>
    </bk>
    <bk>
      <rc t="2" v="18413"/>
    </bk>
    <bk>
      <rc t="2" v="18414"/>
    </bk>
    <bk>
      <rc t="2" v="18415"/>
    </bk>
    <bk>
      <rc t="2" v="18416"/>
    </bk>
    <bk>
      <rc t="2" v="18417"/>
    </bk>
    <bk>
      <rc t="2" v="18418"/>
    </bk>
    <bk>
      <rc t="2" v="18419"/>
    </bk>
    <bk>
      <rc t="2" v="18420"/>
    </bk>
    <bk>
      <rc t="2" v="18421"/>
    </bk>
    <bk>
      <rc t="2" v="18422"/>
    </bk>
    <bk>
      <rc t="2" v="18423"/>
    </bk>
    <bk>
      <rc t="2" v="18424"/>
    </bk>
    <bk>
      <rc t="2" v="18425"/>
    </bk>
    <bk>
      <rc t="2" v="18426"/>
    </bk>
    <bk>
      <rc t="2" v="18427"/>
    </bk>
    <bk>
      <rc t="2" v="18428"/>
    </bk>
    <bk>
      <rc t="2" v="18429"/>
    </bk>
    <bk>
      <rc t="2" v="18430"/>
    </bk>
    <bk>
      <rc t="2" v="18431"/>
    </bk>
    <bk>
      <rc t="2" v="18432"/>
    </bk>
    <bk>
      <rc t="2" v="18433"/>
    </bk>
    <bk>
      <rc t="2" v="18434"/>
    </bk>
    <bk>
      <rc t="2" v="18435"/>
    </bk>
    <bk>
      <rc t="2" v="18436"/>
    </bk>
    <bk>
      <rc t="2" v="18437"/>
    </bk>
    <bk>
      <rc t="2" v="18438"/>
    </bk>
    <bk>
      <rc t="2" v="18439"/>
    </bk>
    <bk>
      <rc t="2" v="18440"/>
    </bk>
    <bk>
      <rc t="2" v="18441"/>
    </bk>
    <bk>
      <rc t="2" v="18442"/>
    </bk>
    <bk>
      <rc t="2" v="18443"/>
    </bk>
    <bk>
      <rc t="2" v="18444"/>
    </bk>
    <bk>
      <rc t="2" v="18445"/>
    </bk>
    <bk>
      <rc t="2" v="18446"/>
    </bk>
    <bk>
      <rc t="2" v="18447"/>
    </bk>
    <bk>
      <rc t="2" v="18448"/>
    </bk>
    <bk>
      <rc t="2" v="18449"/>
    </bk>
    <bk>
      <rc t="2" v="18450"/>
    </bk>
    <bk>
      <rc t="2" v="18451"/>
    </bk>
    <bk>
      <rc t="2" v="18452"/>
    </bk>
    <bk>
      <rc t="2" v="18453"/>
    </bk>
    <bk>
      <rc t="2" v="18454"/>
    </bk>
    <bk>
      <rc t="2" v="18455"/>
    </bk>
    <bk>
      <rc t="2" v="18456"/>
    </bk>
    <bk>
      <rc t="2" v="18457"/>
    </bk>
    <bk>
      <rc t="2" v="18458"/>
    </bk>
    <bk>
      <rc t="2" v="18459"/>
    </bk>
    <bk>
      <rc t="2" v="18460"/>
    </bk>
    <bk>
      <rc t="2" v="18461"/>
    </bk>
    <bk>
      <rc t="2" v="18462"/>
    </bk>
    <bk>
      <rc t="2" v="18463"/>
    </bk>
    <bk>
      <rc t="2" v="18464"/>
    </bk>
    <bk>
      <rc t="2" v="18465"/>
    </bk>
    <bk>
      <rc t="2" v="18466"/>
    </bk>
    <bk>
      <rc t="2" v="18467"/>
    </bk>
    <bk>
      <rc t="2" v="18468"/>
    </bk>
    <bk>
      <rc t="2" v="18469"/>
    </bk>
    <bk>
      <rc t="2" v="18470"/>
    </bk>
    <bk>
      <rc t="2" v="18471"/>
    </bk>
    <bk>
      <rc t="2" v="18472"/>
    </bk>
    <bk>
      <rc t="2" v="18473"/>
    </bk>
    <bk>
      <rc t="2" v="18474"/>
    </bk>
    <bk>
      <rc t="2" v="18475"/>
    </bk>
    <bk>
      <rc t="2" v="18476"/>
    </bk>
    <bk>
      <rc t="2" v="18477"/>
    </bk>
    <bk>
      <rc t="2" v="18478"/>
    </bk>
    <bk>
      <rc t="2" v="18479"/>
    </bk>
    <bk>
      <rc t="2" v="18480"/>
    </bk>
    <bk>
      <rc t="2" v="18481"/>
    </bk>
    <bk>
      <rc t="2" v="18482"/>
    </bk>
    <bk>
      <rc t="2" v="18483"/>
    </bk>
    <bk>
      <rc t="2" v="18484"/>
    </bk>
    <bk>
      <rc t="2" v="18485"/>
    </bk>
    <bk>
      <rc t="2" v="18486"/>
    </bk>
    <bk>
      <rc t="2" v="18487"/>
    </bk>
    <bk>
      <rc t="2" v="18488"/>
    </bk>
    <bk>
      <rc t="2" v="18489"/>
    </bk>
    <bk>
      <rc t="2" v="18490"/>
    </bk>
    <bk>
      <rc t="2" v="18491"/>
    </bk>
    <bk>
      <rc t="2" v="18492"/>
    </bk>
    <bk>
      <rc t="2" v="18493"/>
    </bk>
    <bk>
      <rc t="2" v="18494"/>
    </bk>
    <bk>
      <rc t="2" v="18495"/>
    </bk>
    <bk>
      <rc t="2" v="18496"/>
    </bk>
    <bk>
      <rc t="2" v="18497"/>
    </bk>
    <bk>
      <rc t="2" v="18498"/>
    </bk>
    <bk>
      <rc t="2" v="18499"/>
    </bk>
    <bk>
      <rc t="2" v="18500"/>
    </bk>
    <bk>
      <rc t="2" v="18501"/>
    </bk>
    <bk>
      <rc t="2" v="18502"/>
    </bk>
    <bk>
      <rc t="2" v="18503"/>
    </bk>
    <bk>
      <rc t="2" v="18504"/>
    </bk>
    <bk>
      <rc t="2" v="18505"/>
    </bk>
    <bk>
      <rc t="2" v="18506"/>
    </bk>
    <bk>
      <rc t="2" v="18507"/>
    </bk>
    <bk>
      <rc t="2" v="18508"/>
    </bk>
    <bk>
      <rc t="2" v="18509"/>
    </bk>
    <bk>
      <rc t="2" v="18510"/>
    </bk>
    <bk>
      <rc t="2" v="18511"/>
    </bk>
    <bk>
      <rc t="2" v="18512"/>
    </bk>
    <bk>
      <rc t="2" v="18513"/>
    </bk>
    <bk>
      <rc t="2" v="18514"/>
    </bk>
    <bk>
      <rc t="2" v="18515"/>
    </bk>
    <bk>
      <rc t="2" v="18516"/>
    </bk>
    <bk>
      <rc t="2" v="18517"/>
    </bk>
    <bk>
      <rc t="2" v="18518"/>
    </bk>
    <bk>
      <rc t="2" v="18519"/>
    </bk>
    <bk>
      <rc t="2" v="18520"/>
    </bk>
    <bk>
      <rc t="2" v="18521"/>
    </bk>
    <bk>
      <rc t="2" v="18522"/>
    </bk>
    <bk>
      <rc t="2" v="18523"/>
    </bk>
    <bk>
      <rc t="2" v="18524"/>
    </bk>
    <bk>
      <rc t="2" v="18525"/>
    </bk>
    <bk>
      <rc t="2" v="18526"/>
    </bk>
    <bk>
      <rc t="2" v="18527"/>
    </bk>
    <bk>
      <rc t="2" v="18528"/>
    </bk>
    <bk>
      <rc t="2" v="18529"/>
    </bk>
    <bk>
      <rc t="2" v="18530"/>
    </bk>
    <bk>
      <rc t="2" v="18531"/>
    </bk>
    <bk>
      <rc t="2" v="18532"/>
    </bk>
    <bk>
      <rc t="2" v="18533"/>
    </bk>
    <bk>
      <rc t="2" v="18534"/>
    </bk>
    <bk>
      <rc t="2" v="18535"/>
    </bk>
    <bk>
      <rc t="2" v="18536"/>
    </bk>
    <bk>
      <rc t="2" v="18537"/>
    </bk>
    <bk>
      <rc t="2" v="18538"/>
    </bk>
    <bk>
      <rc t="2" v="18539"/>
    </bk>
    <bk>
      <rc t="2" v="18540"/>
    </bk>
    <bk>
      <rc t="2" v="18541"/>
    </bk>
    <bk>
      <rc t="2" v="18542"/>
    </bk>
    <bk>
      <rc t="2" v="18543"/>
    </bk>
    <bk>
      <rc t="2" v="18544"/>
    </bk>
    <bk>
      <rc t="2" v="18545"/>
    </bk>
    <bk>
      <rc t="2" v="18546"/>
    </bk>
    <bk>
      <rc t="2" v="18547"/>
    </bk>
    <bk>
      <rc t="2" v="18548"/>
    </bk>
    <bk>
      <rc t="2" v="18549"/>
    </bk>
    <bk>
      <rc t="2" v="18550"/>
    </bk>
    <bk>
      <rc t="2" v="18551"/>
    </bk>
    <bk>
      <rc t="2" v="18552"/>
    </bk>
    <bk>
      <rc t="2" v="18553"/>
    </bk>
    <bk>
      <rc t="2" v="18554"/>
    </bk>
    <bk>
      <rc t="2" v="18555"/>
    </bk>
    <bk>
      <rc t="2" v="18556"/>
    </bk>
    <bk>
      <rc t="2" v="18557"/>
    </bk>
    <bk>
      <rc t="2" v="18558"/>
    </bk>
    <bk>
      <rc t="2" v="18559"/>
    </bk>
    <bk>
      <rc t="2" v="18560"/>
    </bk>
    <bk>
      <rc t="2" v="18561"/>
    </bk>
    <bk>
      <rc t="2" v="18562"/>
    </bk>
    <bk>
      <rc t="2" v="18563"/>
    </bk>
    <bk>
      <rc t="2" v="18564"/>
    </bk>
    <bk>
      <rc t="2" v="18565"/>
    </bk>
    <bk>
      <rc t="2" v="18566"/>
    </bk>
    <bk>
      <rc t="2" v="18567"/>
    </bk>
    <bk>
      <rc t="2" v="18568"/>
    </bk>
    <bk>
      <rc t="2" v="18569"/>
    </bk>
    <bk>
      <rc t="2" v="18570"/>
    </bk>
    <bk>
      <rc t="2" v="18571"/>
    </bk>
    <bk>
      <rc t="2" v="18572"/>
    </bk>
    <bk>
      <rc t="2" v="18573"/>
    </bk>
    <bk>
      <rc t="2" v="18574"/>
    </bk>
    <bk>
      <rc t="2" v="18575"/>
    </bk>
    <bk>
      <rc t="2" v="18576"/>
    </bk>
    <bk>
      <rc t="2" v="18577"/>
    </bk>
    <bk>
      <rc t="2" v="18578"/>
    </bk>
    <bk>
      <rc t="2" v="18579"/>
    </bk>
    <bk>
      <rc t="2" v="18580"/>
    </bk>
    <bk>
      <rc t="2" v="18581"/>
    </bk>
    <bk>
      <rc t="2" v="18582"/>
    </bk>
    <bk>
      <rc t="2" v="18583"/>
    </bk>
    <bk>
      <rc t="2" v="18584"/>
    </bk>
    <bk>
      <rc t="2" v="18585"/>
    </bk>
    <bk>
      <rc t="2" v="18586"/>
    </bk>
    <bk>
      <rc t="2" v="18587"/>
    </bk>
    <bk>
      <rc t="2" v="18588"/>
    </bk>
    <bk>
      <rc t="2" v="18589"/>
    </bk>
    <bk>
      <rc t="2" v="18590"/>
    </bk>
    <bk>
      <rc t="2" v="18591"/>
    </bk>
    <bk>
      <rc t="2" v="18592"/>
    </bk>
    <bk>
      <rc t="2" v="18593"/>
    </bk>
    <bk>
      <rc t="2" v="18594"/>
    </bk>
    <bk>
      <rc t="2" v="18595"/>
    </bk>
    <bk>
      <rc t="2" v="18596"/>
    </bk>
    <bk>
      <rc t="2" v="18597"/>
    </bk>
    <bk>
      <rc t="2" v="18598"/>
    </bk>
    <bk>
      <rc t="2" v="18599"/>
    </bk>
    <bk>
      <rc t="2" v="18600"/>
    </bk>
    <bk>
      <rc t="2" v="18601"/>
    </bk>
    <bk>
      <rc t="2" v="18602"/>
    </bk>
    <bk>
      <rc t="2" v="18603"/>
    </bk>
    <bk>
      <rc t="2" v="18604"/>
    </bk>
    <bk>
      <rc t="2" v="18605"/>
    </bk>
    <bk>
      <rc t="2" v="18606"/>
    </bk>
    <bk>
      <rc t="2" v="18607"/>
    </bk>
    <bk>
      <rc t="2" v="18608"/>
    </bk>
    <bk>
      <rc t="2" v="18609"/>
    </bk>
    <bk>
      <rc t="2" v="18610"/>
    </bk>
    <bk>
      <rc t="2" v="18611"/>
    </bk>
    <bk>
      <rc t="2" v="18612"/>
    </bk>
    <bk>
      <rc t="2" v="18613"/>
    </bk>
    <bk>
      <rc t="2" v="18614"/>
    </bk>
    <bk>
      <rc t="2" v="18615"/>
    </bk>
    <bk>
      <rc t="2" v="18616"/>
    </bk>
    <bk>
      <rc t="2" v="18617"/>
    </bk>
    <bk>
      <rc t="2" v="18618"/>
    </bk>
    <bk>
      <rc t="2" v="18619"/>
    </bk>
    <bk>
      <rc t="2" v="18620"/>
    </bk>
    <bk>
      <rc t="2" v="18621"/>
    </bk>
    <bk>
      <rc t="2" v="18622"/>
    </bk>
    <bk>
      <rc t="2" v="18623"/>
    </bk>
    <bk>
      <rc t="2" v="18624"/>
    </bk>
    <bk>
      <rc t="2" v="18625"/>
    </bk>
    <bk>
      <rc t="2" v="18626"/>
    </bk>
    <bk>
      <rc t="2" v="18627"/>
    </bk>
    <bk>
      <rc t="2" v="18628"/>
    </bk>
    <bk>
      <rc t="2" v="18629"/>
    </bk>
    <bk>
      <rc t="2" v="18630"/>
    </bk>
    <bk>
      <rc t="2" v="18631"/>
    </bk>
    <bk>
      <rc t="2" v="18632"/>
    </bk>
    <bk>
      <rc t="2" v="18633"/>
    </bk>
    <bk>
      <rc t="2" v="18634"/>
    </bk>
    <bk>
      <rc t="2" v="18635"/>
    </bk>
    <bk>
      <rc t="2" v="18636"/>
    </bk>
    <bk>
      <rc t="2" v="18637"/>
    </bk>
    <bk>
      <rc t="2" v="18638"/>
    </bk>
    <bk>
      <rc t="2" v="18639"/>
    </bk>
    <bk>
      <rc t="2" v="18640"/>
    </bk>
    <bk>
      <rc t="2" v="18641"/>
    </bk>
    <bk>
      <rc t="2" v="18642"/>
    </bk>
    <bk>
      <rc t="2" v="18643"/>
    </bk>
    <bk>
      <rc t="2" v="18644"/>
    </bk>
    <bk>
      <rc t="2" v="18645"/>
    </bk>
    <bk>
      <rc t="2" v="18646"/>
    </bk>
    <bk>
      <rc t="2" v="18647"/>
    </bk>
    <bk>
      <rc t="2" v="18648"/>
    </bk>
    <bk>
      <rc t="2" v="18649"/>
    </bk>
    <bk>
      <rc t="2" v="18650"/>
    </bk>
    <bk>
      <rc t="2" v="18651"/>
    </bk>
    <bk>
      <rc t="2" v="18652"/>
    </bk>
    <bk>
      <rc t="2" v="18653"/>
    </bk>
    <bk>
      <rc t="2" v="18654"/>
    </bk>
    <bk>
      <rc t="2" v="18655"/>
    </bk>
    <bk>
      <rc t="2" v="18656"/>
    </bk>
    <bk>
      <rc t="2" v="18657"/>
    </bk>
    <bk>
      <rc t="2" v="18658"/>
    </bk>
    <bk>
      <rc t="2" v="18659"/>
    </bk>
    <bk>
      <rc t="2" v="18660"/>
    </bk>
    <bk>
      <rc t="2" v="18661"/>
    </bk>
    <bk>
      <rc t="2" v="18662"/>
    </bk>
    <bk>
      <rc t="2" v="18663"/>
    </bk>
    <bk>
      <rc t="2" v="18664"/>
    </bk>
    <bk>
      <rc t="2" v="18665"/>
    </bk>
    <bk>
      <rc t="2" v="18666"/>
    </bk>
    <bk>
      <rc t="2" v="18667"/>
    </bk>
    <bk>
      <rc t="2" v="18668"/>
    </bk>
    <bk>
      <rc t="2" v="18669"/>
    </bk>
    <bk>
      <rc t="2" v="18670"/>
    </bk>
    <bk>
      <rc t="2" v="18671"/>
    </bk>
    <bk>
      <rc t="2" v="18672"/>
    </bk>
    <bk>
      <rc t="2" v="18673"/>
    </bk>
    <bk>
      <rc t="2" v="18674"/>
    </bk>
    <bk>
      <rc t="2" v="18675"/>
    </bk>
    <bk>
      <rc t="2" v="18676"/>
    </bk>
    <bk>
      <rc t="2" v="18677"/>
    </bk>
    <bk>
      <rc t="2" v="18678"/>
    </bk>
    <bk>
      <rc t="2" v="18679"/>
    </bk>
    <bk>
      <rc t="2" v="18680"/>
    </bk>
    <bk>
      <rc t="2" v="18681"/>
    </bk>
    <bk>
      <rc t="2" v="18682"/>
    </bk>
    <bk>
      <rc t="2" v="18683"/>
    </bk>
    <bk>
      <rc t="2" v="18684"/>
    </bk>
    <bk>
      <rc t="2" v="18685"/>
    </bk>
    <bk>
      <rc t="2" v="18686"/>
    </bk>
    <bk>
      <rc t="2" v="18687"/>
    </bk>
    <bk>
      <rc t="2" v="18688"/>
    </bk>
    <bk>
      <rc t="2" v="18689"/>
    </bk>
    <bk>
      <rc t="2" v="18690"/>
    </bk>
    <bk>
      <rc t="2" v="18691"/>
    </bk>
    <bk>
      <rc t="2" v="18692"/>
    </bk>
    <bk>
      <rc t="2" v="18693"/>
    </bk>
    <bk>
      <rc t="2" v="18694"/>
    </bk>
    <bk>
      <rc t="2" v="18695"/>
    </bk>
    <bk>
      <rc t="2" v="18696"/>
    </bk>
    <bk>
      <rc t="2" v="18697"/>
    </bk>
    <bk>
      <rc t="2" v="18698"/>
    </bk>
    <bk>
      <rc t="2" v="18699"/>
    </bk>
    <bk>
      <rc t="2" v="18700"/>
    </bk>
    <bk>
      <rc t="2" v="18701"/>
    </bk>
    <bk>
      <rc t="2" v="18702"/>
    </bk>
    <bk>
      <rc t="2" v="18703"/>
    </bk>
    <bk>
      <rc t="2" v="18704"/>
    </bk>
    <bk>
      <rc t="2" v="18705"/>
    </bk>
    <bk>
      <rc t="2" v="18706"/>
    </bk>
    <bk>
      <rc t="2" v="18707"/>
    </bk>
    <bk>
      <rc t="2" v="18708"/>
    </bk>
    <bk>
      <rc t="2" v="18709"/>
    </bk>
    <bk>
      <rc t="2" v="18710"/>
    </bk>
    <bk>
      <rc t="2" v="18711"/>
    </bk>
    <bk>
      <rc t="2" v="18712"/>
    </bk>
    <bk>
      <rc t="2" v="18713"/>
    </bk>
    <bk>
      <rc t="2" v="18714"/>
    </bk>
    <bk>
      <rc t="2" v="18715"/>
    </bk>
    <bk>
      <rc t="2" v="18716"/>
    </bk>
    <bk>
      <rc t="2" v="18717"/>
    </bk>
    <bk>
      <rc t="2" v="18718"/>
    </bk>
    <bk>
      <rc t="2" v="18719"/>
    </bk>
    <bk>
      <rc t="2" v="18720"/>
    </bk>
    <bk>
      <rc t="2" v="18721"/>
    </bk>
    <bk>
      <rc t="2" v="18722"/>
    </bk>
    <bk>
      <rc t="2" v="18723"/>
    </bk>
    <bk>
      <rc t="2" v="18724"/>
    </bk>
    <bk>
      <rc t="2" v="18725"/>
    </bk>
    <bk>
      <rc t="2" v="18726"/>
    </bk>
    <bk>
      <rc t="2" v="18727"/>
    </bk>
    <bk>
      <rc t="2" v="18728"/>
    </bk>
    <bk>
      <rc t="2" v="18729"/>
    </bk>
    <bk>
      <rc t="2" v="18730"/>
    </bk>
    <bk>
      <rc t="2" v="18731"/>
    </bk>
    <bk>
      <rc t="2" v="18732"/>
    </bk>
    <bk>
      <rc t="2" v="18733"/>
    </bk>
    <bk>
      <rc t="2" v="18734"/>
    </bk>
    <bk>
      <rc t="2" v="18735"/>
    </bk>
    <bk>
      <rc t="2" v="18736"/>
    </bk>
    <bk>
      <rc t="2" v="18737"/>
    </bk>
    <bk>
      <rc t="2" v="18738"/>
    </bk>
    <bk>
      <rc t="2" v="18739"/>
    </bk>
    <bk>
      <rc t="2" v="18740"/>
    </bk>
    <bk>
      <rc t="2" v="18741"/>
    </bk>
    <bk>
      <rc t="2" v="18742"/>
    </bk>
    <bk>
      <rc t="2" v="18743"/>
    </bk>
    <bk>
      <rc t="2" v="18744"/>
    </bk>
    <bk>
      <rc t="2" v="18745"/>
    </bk>
    <bk>
      <rc t="2" v="18746"/>
    </bk>
    <bk>
      <rc t="2" v="18747"/>
    </bk>
    <bk>
      <rc t="2" v="18748"/>
    </bk>
    <bk>
      <rc t="2" v="18749"/>
    </bk>
    <bk>
      <rc t="2" v="18750"/>
    </bk>
    <bk>
      <rc t="2" v="18751"/>
    </bk>
    <bk>
      <rc t="2" v="18752"/>
    </bk>
    <bk>
      <rc t="2" v="18753"/>
    </bk>
    <bk>
      <rc t="2" v="18754"/>
    </bk>
    <bk>
      <rc t="2" v="18755"/>
    </bk>
    <bk>
      <rc t="2" v="18756"/>
    </bk>
    <bk>
      <rc t="2" v="18757"/>
    </bk>
    <bk>
      <rc t="2" v="18758"/>
    </bk>
    <bk>
      <rc t="2" v="18759"/>
    </bk>
    <bk>
      <rc t="2" v="18760"/>
    </bk>
    <bk>
      <rc t="2" v="18761"/>
    </bk>
    <bk>
      <rc t="2" v="18762"/>
    </bk>
    <bk>
      <rc t="2" v="18763"/>
    </bk>
    <bk>
      <rc t="2" v="18764"/>
    </bk>
    <bk>
      <rc t="2" v="18765"/>
    </bk>
    <bk>
      <rc t="2" v="18766"/>
    </bk>
    <bk>
      <rc t="2" v="18767"/>
    </bk>
    <bk>
      <rc t="2" v="18768"/>
    </bk>
    <bk>
      <rc t="2" v="18769"/>
    </bk>
    <bk>
      <rc t="2" v="18770"/>
    </bk>
    <bk>
      <rc t="2" v="18771"/>
    </bk>
    <bk>
      <rc t="2" v="18772"/>
    </bk>
    <bk>
      <rc t="2" v="18773"/>
    </bk>
    <bk>
      <rc t="2" v="18774"/>
    </bk>
    <bk>
      <rc t="2" v="18775"/>
    </bk>
    <bk>
      <rc t="2" v="18776"/>
    </bk>
    <bk>
      <rc t="2" v="18777"/>
    </bk>
    <bk>
      <rc t="2" v="18778"/>
    </bk>
    <bk>
      <rc t="2" v="18779"/>
    </bk>
    <bk>
      <rc t="2" v="18780"/>
    </bk>
    <bk>
      <rc t="2" v="18781"/>
    </bk>
    <bk>
      <rc t="2" v="18782"/>
    </bk>
    <bk>
      <rc t="2" v="18783"/>
    </bk>
    <bk>
      <rc t="2" v="18784"/>
    </bk>
    <bk>
      <rc t="2" v="18785"/>
    </bk>
    <bk>
      <rc t="2" v="18786"/>
    </bk>
    <bk>
      <rc t="2" v="18787"/>
    </bk>
    <bk>
      <rc t="2" v="18788"/>
    </bk>
    <bk>
      <rc t="2" v="18789"/>
    </bk>
    <bk>
      <rc t="2" v="18790"/>
    </bk>
    <bk>
      <rc t="2" v="18791"/>
    </bk>
    <bk>
      <rc t="2" v="18792"/>
    </bk>
    <bk>
      <rc t="2" v="18793"/>
    </bk>
    <bk>
      <rc t="2" v="18794"/>
    </bk>
    <bk>
      <rc t="2" v="18795"/>
    </bk>
    <bk>
      <rc t="2" v="18796"/>
    </bk>
    <bk>
      <rc t="2" v="18797"/>
    </bk>
    <bk>
      <rc t="2" v="18798"/>
    </bk>
    <bk>
      <rc t="2" v="18799"/>
    </bk>
    <bk>
      <rc t="2" v="18800"/>
    </bk>
    <bk>
      <rc t="2" v="18801"/>
    </bk>
    <bk>
      <rc t="2" v="18802"/>
    </bk>
    <bk>
      <rc t="2" v="18803"/>
    </bk>
    <bk>
      <rc t="2" v="18804"/>
    </bk>
    <bk>
      <rc t="2" v="18805"/>
    </bk>
    <bk>
      <rc t="2" v="18806"/>
    </bk>
    <bk>
      <rc t="2" v="18807"/>
    </bk>
    <bk>
      <rc t="2" v="18808"/>
    </bk>
    <bk>
      <rc t="2" v="18809"/>
    </bk>
    <bk>
      <rc t="2" v="18810"/>
    </bk>
    <bk>
      <rc t="2" v="18811"/>
    </bk>
    <bk>
      <rc t="2" v="18812"/>
    </bk>
    <bk>
      <rc t="2" v="18813"/>
    </bk>
    <bk>
      <rc t="2" v="18814"/>
    </bk>
    <bk>
      <rc t="2" v="18815"/>
    </bk>
    <bk>
      <rc t="2" v="18816"/>
    </bk>
    <bk>
      <rc t="2" v="18817"/>
    </bk>
    <bk>
      <rc t="2" v="18818"/>
    </bk>
    <bk>
      <rc t="2" v="18819"/>
    </bk>
    <bk>
      <rc t="2" v="18820"/>
    </bk>
    <bk>
      <rc t="2" v="18821"/>
    </bk>
    <bk>
      <rc t="2" v="18822"/>
    </bk>
    <bk>
      <rc t="2" v="18823"/>
    </bk>
    <bk>
      <rc t="2" v="18824"/>
    </bk>
    <bk>
      <rc t="2" v="18825"/>
    </bk>
    <bk>
      <rc t="2" v="18826"/>
    </bk>
    <bk>
      <rc t="2" v="18827"/>
    </bk>
    <bk>
      <rc t="2" v="18828"/>
    </bk>
    <bk>
      <rc t="2" v="18829"/>
    </bk>
    <bk>
      <rc t="2" v="18830"/>
    </bk>
    <bk>
      <rc t="2" v="18831"/>
    </bk>
    <bk>
      <rc t="2" v="18832"/>
    </bk>
    <bk>
      <rc t="2" v="18833"/>
    </bk>
    <bk>
      <rc t="2" v="18834"/>
    </bk>
    <bk>
      <rc t="2" v="18835"/>
    </bk>
    <bk>
      <rc t="2" v="18836"/>
    </bk>
    <bk>
      <rc t="2" v="18837"/>
    </bk>
    <bk>
      <rc t="2" v="18838"/>
    </bk>
    <bk>
      <rc t="2" v="18839"/>
    </bk>
    <bk>
      <rc t="2" v="18840"/>
    </bk>
    <bk>
      <rc t="2" v="18841"/>
    </bk>
    <bk>
      <rc t="2" v="18842"/>
    </bk>
    <bk>
      <rc t="2" v="18843"/>
    </bk>
    <bk>
      <rc t="2" v="18844"/>
    </bk>
    <bk>
      <rc t="2" v="18845"/>
    </bk>
    <bk>
      <rc t="2" v="18846"/>
    </bk>
    <bk>
      <rc t="2" v="18847"/>
    </bk>
    <bk>
      <rc t="2" v="18848"/>
    </bk>
    <bk>
      <rc t="2" v="18849"/>
    </bk>
    <bk>
      <rc t="2" v="18850"/>
    </bk>
    <bk>
      <rc t="2" v="18851"/>
    </bk>
    <bk>
      <rc t="2" v="18852"/>
    </bk>
    <bk>
      <rc t="2" v="18853"/>
    </bk>
    <bk>
      <rc t="2" v="18854"/>
    </bk>
    <bk>
      <rc t="2" v="18855"/>
    </bk>
    <bk>
      <rc t="2" v="18856"/>
    </bk>
    <bk>
      <rc t="2" v="18857"/>
    </bk>
    <bk>
      <rc t="2" v="18858"/>
    </bk>
    <bk>
      <rc t="2" v="18859"/>
    </bk>
    <bk>
      <rc t="2" v="18860"/>
    </bk>
    <bk>
      <rc t="2" v="18861"/>
    </bk>
    <bk>
      <rc t="2" v="18862"/>
    </bk>
    <bk>
      <rc t="2" v="18863"/>
    </bk>
    <bk>
      <rc t="2" v="18864"/>
    </bk>
    <bk>
      <rc t="2" v="18865"/>
    </bk>
    <bk>
      <rc t="2" v="18866"/>
    </bk>
    <bk>
      <rc t="2" v="18867"/>
    </bk>
    <bk>
      <rc t="2" v="18868"/>
    </bk>
    <bk>
      <rc t="2" v="18869"/>
    </bk>
    <bk>
      <rc t="2" v="18870"/>
    </bk>
    <bk>
      <rc t="2" v="18871"/>
    </bk>
    <bk>
      <rc t="2" v="18872"/>
    </bk>
    <bk>
      <rc t="2" v="18873"/>
    </bk>
    <bk>
      <rc t="2" v="18874"/>
    </bk>
    <bk>
      <rc t="2" v="18875"/>
    </bk>
    <bk>
      <rc t="2" v="18876"/>
    </bk>
    <bk>
      <rc t="2" v="18877"/>
    </bk>
    <bk>
      <rc t="2" v="18878"/>
    </bk>
    <bk>
      <rc t="2" v="18879"/>
    </bk>
    <bk>
      <rc t="2" v="18880"/>
    </bk>
    <bk>
      <rc t="2" v="18881"/>
    </bk>
    <bk>
      <rc t="2" v="18882"/>
    </bk>
    <bk>
      <rc t="2" v="18883"/>
    </bk>
    <bk>
      <rc t="2" v="18884"/>
    </bk>
    <bk>
      <rc t="2" v="18885"/>
    </bk>
    <bk>
      <rc t="2" v="18886"/>
    </bk>
    <bk>
      <rc t="2" v="18887"/>
    </bk>
    <bk>
      <rc t="2" v="18888"/>
    </bk>
    <bk>
      <rc t="2" v="18889"/>
    </bk>
    <bk>
      <rc t="2" v="18890"/>
    </bk>
    <bk>
      <rc t="2" v="18891"/>
    </bk>
    <bk>
      <rc t="2" v="18892"/>
    </bk>
    <bk>
      <rc t="2" v="18893"/>
    </bk>
    <bk>
      <rc t="2" v="18894"/>
    </bk>
    <bk>
      <rc t="2" v="18895"/>
    </bk>
    <bk>
      <rc t="2" v="18896"/>
    </bk>
    <bk>
      <rc t="2" v="18897"/>
    </bk>
    <bk>
      <rc t="2" v="18898"/>
    </bk>
    <bk>
      <rc t="2" v="18899"/>
    </bk>
    <bk>
      <rc t="2" v="18900"/>
    </bk>
    <bk>
      <rc t="2" v="18901"/>
    </bk>
    <bk>
      <rc t="2" v="18902"/>
    </bk>
    <bk>
      <rc t="2" v="18903"/>
    </bk>
    <bk>
      <rc t="2" v="18904"/>
    </bk>
    <bk>
      <rc t="2" v="18905"/>
    </bk>
    <bk>
      <rc t="2" v="18906"/>
    </bk>
    <bk>
      <rc t="2" v="18907"/>
    </bk>
    <bk>
      <rc t="2" v="18908"/>
    </bk>
    <bk>
      <rc t="2" v="18909"/>
    </bk>
    <bk>
      <rc t="2" v="18910"/>
    </bk>
    <bk>
      <rc t="2" v="18911"/>
    </bk>
    <bk>
      <rc t="2" v="18912"/>
    </bk>
    <bk>
      <rc t="2" v="18913"/>
    </bk>
    <bk>
      <rc t="2" v="18914"/>
    </bk>
    <bk>
      <rc t="2" v="18915"/>
    </bk>
    <bk>
      <rc t="2" v="18916"/>
    </bk>
    <bk>
      <rc t="2" v="18917"/>
    </bk>
    <bk>
      <rc t="2" v="18918"/>
    </bk>
    <bk>
      <rc t="2" v="18919"/>
    </bk>
    <bk>
      <rc t="2" v="18920"/>
    </bk>
    <bk>
      <rc t="2" v="18921"/>
    </bk>
    <bk>
      <rc t="2" v="18922"/>
    </bk>
    <bk>
      <rc t="2" v="18923"/>
    </bk>
    <bk>
      <rc t="2" v="18924"/>
    </bk>
    <bk>
      <rc t="2" v="18925"/>
    </bk>
    <bk>
      <rc t="2" v="18926"/>
    </bk>
    <bk>
      <rc t="2" v="18927"/>
    </bk>
    <bk>
      <rc t="2" v="18928"/>
    </bk>
    <bk>
      <rc t="2" v="18929"/>
    </bk>
    <bk>
      <rc t="2" v="18930"/>
    </bk>
    <bk>
      <rc t="2" v="18931"/>
    </bk>
    <bk>
      <rc t="2" v="18932"/>
    </bk>
    <bk>
      <rc t="2" v="18933"/>
    </bk>
    <bk>
      <rc t="2" v="18934"/>
    </bk>
    <bk>
      <rc t="2" v="18935"/>
    </bk>
    <bk>
      <rc t="2" v="18936"/>
    </bk>
    <bk>
      <rc t="2" v="18937"/>
    </bk>
    <bk>
      <rc t="2" v="18938"/>
    </bk>
    <bk>
      <rc t="2" v="18939"/>
    </bk>
    <bk>
      <rc t="2" v="18940"/>
    </bk>
    <bk>
      <rc t="2" v="18941"/>
    </bk>
    <bk>
      <rc t="2" v="18942"/>
    </bk>
    <bk>
      <rc t="2" v="18943"/>
    </bk>
    <bk>
      <rc t="2" v="18944"/>
    </bk>
    <bk>
      <rc t="2" v="18945"/>
    </bk>
    <bk>
      <rc t="2" v="18946"/>
    </bk>
    <bk>
      <rc t="2" v="18947"/>
    </bk>
    <bk>
      <rc t="2" v="18948"/>
    </bk>
    <bk>
      <rc t="2" v="18949"/>
    </bk>
    <bk>
      <rc t="2" v="18950"/>
    </bk>
    <bk>
      <rc t="2" v="18951"/>
    </bk>
    <bk>
      <rc t="2" v="18952"/>
    </bk>
    <bk>
      <rc t="2" v="18953"/>
    </bk>
    <bk>
      <rc t="2" v="18954"/>
    </bk>
    <bk>
      <rc t="2" v="18955"/>
    </bk>
    <bk>
      <rc t="2" v="18956"/>
    </bk>
    <bk>
      <rc t="2" v="18957"/>
    </bk>
    <bk>
      <rc t="2" v="18958"/>
    </bk>
    <bk>
      <rc t="2" v="18959"/>
    </bk>
    <bk>
      <rc t="2" v="18960"/>
    </bk>
    <bk>
      <rc t="2" v="18961"/>
    </bk>
    <bk>
      <rc t="2" v="18962"/>
    </bk>
    <bk>
      <rc t="2" v="18963"/>
    </bk>
    <bk>
      <rc t="2" v="18964"/>
    </bk>
    <bk>
      <rc t="2" v="18965"/>
    </bk>
    <bk>
      <rc t="2" v="18966"/>
    </bk>
    <bk>
      <rc t="2" v="18967"/>
    </bk>
    <bk>
      <rc t="2" v="18968"/>
    </bk>
    <bk>
      <rc t="2" v="18969"/>
    </bk>
    <bk>
      <rc t="2" v="18970"/>
    </bk>
    <bk>
      <rc t="2" v="18971"/>
    </bk>
    <bk>
      <rc t="2" v="18972"/>
    </bk>
    <bk>
      <rc t="2" v="18973"/>
    </bk>
    <bk>
      <rc t="2" v="18974"/>
    </bk>
    <bk>
      <rc t="2" v="18975"/>
    </bk>
    <bk>
      <rc t="2" v="18976"/>
    </bk>
    <bk>
      <rc t="2" v="18977"/>
    </bk>
    <bk>
      <rc t="2" v="18978"/>
    </bk>
    <bk>
      <rc t="2" v="18979"/>
    </bk>
    <bk>
      <rc t="2" v="18980"/>
    </bk>
    <bk>
      <rc t="2" v="18981"/>
    </bk>
    <bk>
      <rc t="2" v="18982"/>
    </bk>
    <bk>
      <rc t="2" v="18983"/>
    </bk>
    <bk>
      <rc t="2" v="18984"/>
    </bk>
    <bk>
      <rc t="2" v="18985"/>
    </bk>
    <bk>
      <rc t="2" v="18986"/>
    </bk>
    <bk>
      <rc t="2" v="18987"/>
    </bk>
    <bk>
      <rc t="2" v="18988"/>
    </bk>
    <bk>
      <rc t="2" v="18989"/>
    </bk>
    <bk>
      <rc t="2" v="18990"/>
    </bk>
    <bk>
      <rc t="2" v="18991"/>
    </bk>
    <bk>
      <rc t="2" v="18992"/>
    </bk>
    <bk>
      <rc t="2" v="18993"/>
    </bk>
    <bk>
      <rc t="2" v="18994"/>
    </bk>
    <bk>
      <rc t="2" v="18995"/>
    </bk>
    <bk>
      <rc t="2" v="18996"/>
    </bk>
    <bk>
      <rc t="2" v="18997"/>
    </bk>
    <bk>
      <rc t="2" v="18998"/>
    </bk>
    <bk>
      <rc t="2" v="18999"/>
    </bk>
    <bk>
      <rc t="2" v="19000"/>
    </bk>
    <bk>
      <rc t="2" v="19001"/>
    </bk>
    <bk>
      <rc t="2" v="19002"/>
    </bk>
    <bk>
      <rc t="2" v="19003"/>
    </bk>
    <bk>
      <rc t="2" v="19004"/>
    </bk>
    <bk>
      <rc t="2" v="19005"/>
    </bk>
    <bk>
      <rc t="2" v="19006"/>
    </bk>
    <bk>
      <rc t="2" v="19007"/>
    </bk>
    <bk>
      <rc t="2" v="19008"/>
    </bk>
    <bk>
      <rc t="2" v="19009"/>
    </bk>
    <bk>
      <rc t="2" v="19010"/>
    </bk>
    <bk>
      <rc t="2" v="19011"/>
    </bk>
    <bk>
      <rc t="2" v="19012"/>
    </bk>
    <bk>
      <rc t="2" v="19013"/>
    </bk>
    <bk>
      <rc t="2" v="19014"/>
    </bk>
    <bk>
      <rc t="2" v="19015"/>
    </bk>
    <bk>
      <rc t="2" v="19016"/>
    </bk>
    <bk>
      <rc t="2" v="19017"/>
    </bk>
    <bk>
      <rc t="2" v="19018"/>
    </bk>
    <bk>
      <rc t="2" v="19019"/>
    </bk>
    <bk>
      <rc t="2" v="19020"/>
    </bk>
    <bk>
      <rc t="2" v="19021"/>
    </bk>
    <bk>
      <rc t="2" v="19022"/>
    </bk>
    <bk>
      <rc t="2" v="19023"/>
    </bk>
    <bk>
      <rc t="2" v="19024"/>
    </bk>
    <bk>
      <rc t="2" v="19025"/>
    </bk>
    <bk>
      <rc t="2" v="19026"/>
    </bk>
    <bk>
      <rc t="2" v="19027"/>
    </bk>
    <bk>
      <rc t="2" v="19028"/>
    </bk>
    <bk>
      <rc t="2" v="19029"/>
    </bk>
    <bk>
      <rc t="2" v="19030"/>
    </bk>
    <bk>
      <rc t="2" v="19031"/>
    </bk>
    <bk>
      <rc t="2" v="19032"/>
    </bk>
    <bk>
      <rc t="2" v="19033"/>
    </bk>
    <bk>
      <rc t="2" v="19034"/>
    </bk>
    <bk>
      <rc t="2" v="19035"/>
    </bk>
    <bk>
      <rc t="2" v="19036"/>
    </bk>
    <bk>
      <rc t="2" v="19037"/>
    </bk>
    <bk>
      <rc t="2" v="19038"/>
    </bk>
    <bk>
      <rc t="2" v="19039"/>
    </bk>
    <bk>
      <rc t="2" v="19040"/>
    </bk>
    <bk>
      <rc t="2" v="19041"/>
    </bk>
    <bk>
      <rc t="2" v="19042"/>
    </bk>
    <bk>
      <rc t="2" v="19043"/>
    </bk>
    <bk>
      <rc t="2" v="19044"/>
    </bk>
    <bk>
      <rc t="2" v="19045"/>
    </bk>
    <bk>
      <rc t="2" v="19046"/>
    </bk>
    <bk>
      <rc t="2" v="19047"/>
    </bk>
    <bk>
      <rc t="2" v="19048"/>
    </bk>
    <bk>
      <rc t="2" v="19049"/>
    </bk>
    <bk>
      <rc t="2" v="19050"/>
    </bk>
    <bk>
      <rc t="2" v="19051"/>
    </bk>
    <bk>
      <rc t="2" v="19052"/>
    </bk>
    <bk>
      <rc t="2" v="19053"/>
    </bk>
    <bk>
      <rc t="2" v="19054"/>
    </bk>
    <bk>
      <rc t="2" v="19055"/>
    </bk>
    <bk>
      <rc t="2" v="19056"/>
    </bk>
    <bk>
      <rc t="2" v="19057"/>
    </bk>
    <bk>
      <rc t="2" v="19058"/>
    </bk>
    <bk>
      <rc t="2" v="19059"/>
    </bk>
    <bk>
      <rc t="2" v="19060"/>
    </bk>
    <bk>
      <rc t="2" v="19061"/>
    </bk>
    <bk>
      <rc t="2" v="19062"/>
    </bk>
    <bk>
      <rc t="2" v="19063"/>
    </bk>
    <bk>
      <rc t="2" v="19064"/>
    </bk>
    <bk>
      <rc t="2" v="19065"/>
    </bk>
    <bk>
      <rc t="2" v="19066"/>
    </bk>
    <bk>
      <rc t="2" v="19067"/>
    </bk>
    <bk>
      <rc t="2" v="19068"/>
    </bk>
    <bk>
      <rc t="2" v="19069"/>
    </bk>
    <bk>
      <rc t="2" v="19070"/>
    </bk>
    <bk>
      <rc t="2" v="19071"/>
    </bk>
    <bk>
      <rc t="2" v="19072"/>
    </bk>
    <bk>
      <rc t="2" v="19073"/>
    </bk>
    <bk>
      <rc t="2" v="19074"/>
    </bk>
    <bk>
      <rc t="2" v="19075"/>
    </bk>
    <bk>
      <rc t="2" v="19076"/>
    </bk>
    <bk>
      <rc t="2" v="19077"/>
    </bk>
    <bk>
      <rc t="2" v="19078"/>
    </bk>
    <bk>
      <rc t="2" v="19079"/>
    </bk>
    <bk>
      <rc t="2" v="19080"/>
    </bk>
    <bk>
      <rc t="2" v="19081"/>
    </bk>
    <bk>
      <rc t="2" v="19082"/>
    </bk>
    <bk>
      <rc t="2" v="19083"/>
    </bk>
    <bk>
      <rc t="2" v="19084"/>
    </bk>
    <bk>
      <rc t="2" v="19085"/>
    </bk>
    <bk>
      <rc t="2" v="19086"/>
    </bk>
    <bk>
      <rc t="2" v="19087"/>
    </bk>
    <bk>
      <rc t="2" v="19088"/>
    </bk>
    <bk>
      <rc t="2" v="19089"/>
    </bk>
    <bk>
      <rc t="2" v="19090"/>
    </bk>
    <bk>
      <rc t="2" v="19091"/>
    </bk>
    <bk>
      <rc t="2" v="19092"/>
    </bk>
    <bk>
      <rc t="2" v="19093"/>
    </bk>
    <bk>
      <rc t="2" v="19094"/>
    </bk>
    <bk>
      <rc t="2" v="19095"/>
    </bk>
    <bk>
      <rc t="2" v="19096"/>
    </bk>
    <bk>
      <rc t="2" v="19097"/>
    </bk>
    <bk>
      <rc t="2" v="19098"/>
    </bk>
    <bk>
      <rc t="2" v="19099"/>
    </bk>
    <bk>
      <rc t="2" v="19100"/>
    </bk>
    <bk>
      <rc t="2" v="19101"/>
    </bk>
    <bk>
      <rc t="2" v="19102"/>
    </bk>
    <bk>
      <rc t="2" v="19103"/>
    </bk>
    <bk>
      <rc t="2" v="19104"/>
    </bk>
    <bk>
      <rc t="2" v="19105"/>
    </bk>
    <bk>
      <rc t="2" v="19106"/>
    </bk>
    <bk>
      <rc t="2" v="19107"/>
    </bk>
    <bk>
      <rc t="2" v="19108"/>
    </bk>
    <bk>
      <rc t="2" v="19109"/>
    </bk>
    <bk>
      <rc t="2" v="19110"/>
    </bk>
    <bk>
      <rc t="2" v="19111"/>
    </bk>
    <bk>
      <rc t="2" v="19112"/>
    </bk>
    <bk>
      <rc t="2" v="19113"/>
    </bk>
    <bk>
      <rc t="2" v="19114"/>
    </bk>
    <bk>
      <rc t="2" v="19115"/>
    </bk>
    <bk>
      <rc t="2" v="19116"/>
    </bk>
    <bk>
      <rc t="2" v="19117"/>
    </bk>
    <bk>
      <rc t="2" v="19118"/>
    </bk>
    <bk>
      <rc t="2" v="19119"/>
    </bk>
    <bk>
      <rc t="2" v="19120"/>
    </bk>
    <bk>
      <rc t="2" v="19121"/>
    </bk>
    <bk>
      <rc t="2" v="19122"/>
    </bk>
    <bk>
      <rc t="2" v="19123"/>
    </bk>
    <bk>
      <rc t="2" v="19124"/>
    </bk>
    <bk>
      <rc t="2" v="19125"/>
    </bk>
    <bk>
      <rc t="2" v="19126"/>
    </bk>
    <bk>
      <rc t="2" v="19127"/>
    </bk>
    <bk>
      <rc t="2" v="19128"/>
    </bk>
    <bk>
      <rc t="2" v="19129"/>
    </bk>
    <bk>
      <rc t="2" v="19130"/>
    </bk>
    <bk>
      <rc t="2" v="19131"/>
    </bk>
    <bk>
      <rc t="2" v="19132"/>
    </bk>
    <bk>
      <rc t="2" v="19133"/>
    </bk>
    <bk>
      <rc t="2" v="19134"/>
    </bk>
    <bk>
      <rc t="2" v="19135"/>
    </bk>
    <bk>
      <rc t="2" v="19136"/>
    </bk>
    <bk>
      <rc t="2" v="19137"/>
    </bk>
    <bk>
      <rc t="2" v="19138"/>
    </bk>
    <bk>
      <rc t="2" v="19139"/>
    </bk>
    <bk>
      <rc t="2" v="19140"/>
    </bk>
    <bk>
      <rc t="2" v="19141"/>
    </bk>
    <bk>
      <rc t="2" v="19142"/>
    </bk>
    <bk>
      <rc t="2" v="19143"/>
    </bk>
    <bk>
      <rc t="2" v="19144"/>
    </bk>
    <bk>
      <rc t="2" v="19145"/>
    </bk>
    <bk>
      <rc t="2" v="19146"/>
    </bk>
    <bk>
      <rc t="2" v="19147"/>
    </bk>
    <bk>
      <rc t="2" v="19148"/>
    </bk>
    <bk>
      <rc t="2" v="19149"/>
    </bk>
    <bk>
      <rc t="2" v="19150"/>
    </bk>
    <bk>
      <rc t="2" v="19151"/>
    </bk>
    <bk>
      <rc t="2" v="19152"/>
    </bk>
    <bk>
      <rc t="2" v="19153"/>
    </bk>
    <bk>
      <rc t="2" v="19154"/>
    </bk>
    <bk>
      <rc t="2" v="19155"/>
    </bk>
    <bk>
      <rc t="2" v="19156"/>
    </bk>
    <bk>
      <rc t="2" v="19157"/>
    </bk>
    <bk>
      <rc t="2" v="19158"/>
    </bk>
    <bk>
      <rc t="2" v="19159"/>
    </bk>
    <bk>
      <rc t="2" v="19160"/>
    </bk>
    <bk>
      <rc t="2" v="19161"/>
    </bk>
    <bk>
      <rc t="2" v="19162"/>
    </bk>
    <bk>
      <rc t="2" v="19163"/>
    </bk>
    <bk>
      <rc t="2" v="19164"/>
    </bk>
    <bk>
      <rc t="2" v="19165"/>
    </bk>
    <bk>
      <rc t="2" v="19166"/>
    </bk>
    <bk>
      <rc t="2" v="19167"/>
    </bk>
    <bk>
      <rc t="2" v="19168"/>
    </bk>
    <bk>
      <rc t="2" v="19169"/>
    </bk>
    <bk>
      <rc t="2" v="19170"/>
    </bk>
    <bk>
      <rc t="2" v="19171"/>
    </bk>
    <bk>
      <rc t="2" v="19172"/>
    </bk>
    <bk>
      <rc t="2" v="19173"/>
    </bk>
    <bk>
      <rc t="2" v="19174"/>
    </bk>
    <bk>
      <rc t="2" v="19175"/>
    </bk>
    <bk>
      <rc t="2" v="19176"/>
    </bk>
    <bk>
      <rc t="2" v="19177"/>
    </bk>
    <bk>
      <rc t="2" v="19178"/>
    </bk>
    <bk>
      <rc t="2" v="19179"/>
    </bk>
    <bk>
      <rc t="2" v="19180"/>
    </bk>
    <bk>
      <rc t="2" v="19181"/>
    </bk>
    <bk>
      <rc t="2" v="19182"/>
    </bk>
    <bk>
      <rc t="2" v="19183"/>
    </bk>
    <bk>
      <rc t="2" v="19184"/>
    </bk>
    <bk>
      <rc t="2" v="19185"/>
    </bk>
    <bk>
      <rc t="2" v="19186"/>
    </bk>
    <bk>
      <rc t="2" v="19187"/>
    </bk>
    <bk>
      <rc t="2" v="19188"/>
    </bk>
    <bk>
      <rc t="2" v="19189"/>
    </bk>
    <bk>
      <rc t="2" v="19190"/>
    </bk>
    <bk>
      <rc t="2" v="19191"/>
    </bk>
    <bk>
      <rc t="2" v="19192"/>
    </bk>
    <bk>
      <rc t="2" v="19193"/>
    </bk>
    <bk>
      <rc t="2" v="19194"/>
    </bk>
    <bk>
      <rc t="2" v="19195"/>
    </bk>
    <bk>
      <rc t="2" v="19196"/>
    </bk>
    <bk>
      <rc t="2" v="19197"/>
    </bk>
    <bk>
      <rc t="2" v="19198"/>
    </bk>
    <bk>
      <rc t="2" v="19199"/>
    </bk>
    <bk>
      <rc t="2" v="19200"/>
    </bk>
    <bk>
      <rc t="2" v="19201"/>
    </bk>
    <bk>
      <rc t="2" v="19202"/>
    </bk>
    <bk>
      <rc t="2" v="19203"/>
    </bk>
    <bk>
      <rc t="2" v="19204"/>
    </bk>
    <bk>
      <rc t="2" v="19205"/>
    </bk>
    <bk>
      <rc t="2" v="19206"/>
    </bk>
    <bk>
      <rc t="2" v="19207"/>
    </bk>
    <bk>
      <rc t="2" v="19208"/>
    </bk>
    <bk>
      <rc t="2" v="19209"/>
    </bk>
    <bk>
      <rc t="2" v="19210"/>
    </bk>
    <bk>
      <rc t="2" v="19211"/>
    </bk>
    <bk>
      <rc t="2" v="19212"/>
    </bk>
    <bk>
      <rc t="2" v="19213"/>
    </bk>
    <bk>
      <rc t="2" v="19214"/>
    </bk>
    <bk>
      <rc t="2" v="19215"/>
    </bk>
    <bk>
      <rc t="2" v="19216"/>
    </bk>
    <bk>
      <rc t="2" v="19217"/>
    </bk>
    <bk>
      <rc t="2" v="19218"/>
    </bk>
    <bk>
      <rc t="2" v="19219"/>
    </bk>
    <bk>
      <rc t="2" v="19220"/>
    </bk>
    <bk>
      <rc t="2" v="19221"/>
    </bk>
    <bk>
      <rc t="2" v="19222"/>
    </bk>
    <bk>
      <rc t="2" v="19223"/>
    </bk>
    <bk>
      <rc t="2" v="19224"/>
    </bk>
    <bk>
      <rc t="2" v="19225"/>
    </bk>
    <bk>
      <rc t="2" v="19226"/>
    </bk>
    <bk>
      <rc t="2" v="19227"/>
    </bk>
    <bk>
      <rc t="2" v="19228"/>
    </bk>
    <bk>
      <rc t="2" v="19229"/>
    </bk>
    <bk>
      <rc t="2" v="19230"/>
    </bk>
    <bk>
      <rc t="2" v="19231"/>
    </bk>
    <bk>
      <rc t="2" v="19232"/>
    </bk>
    <bk>
      <rc t="2" v="19233"/>
    </bk>
    <bk>
      <rc t="2" v="19234"/>
    </bk>
    <bk>
      <rc t="2" v="19235"/>
    </bk>
    <bk>
      <rc t="2" v="19236"/>
    </bk>
    <bk>
      <rc t="2" v="19237"/>
    </bk>
    <bk>
      <rc t="2" v="19238"/>
    </bk>
    <bk>
      <rc t="2" v="19239"/>
    </bk>
    <bk>
      <rc t="2" v="19240"/>
    </bk>
    <bk>
      <rc t="2" v="19241"/>
    </bk>
    <bk>
      <rc t="2" v="19242"/>
    </bk>
    <bk>
      <rc t="2" v="19243"/>
    </bk>
    <bk>
      <rc t="2" v="19244"/>
    </bk>
    <bk>
      <rc t="2" v="19245"/>
    </bk>
    <bk>
      <rc t="2" v="19246"/>
    </bk>
    <bk>
      <rc t="2" v="19247"/>
    </bk>
    <bk>
      <rc t="2" v="19248"/>
    </bk>
    <bk>
      <rc t="2" v="19249"/>
    </bk>
    <bk>
      <rc t="2" v="19250"/>
    </bk>
    <bk>
      <rc t="2" v="19251"/>
    </bk>
    <bk>
      <rc t="2" v="19252"/>
    </bk>
    <bk>
      <rc t="2" v="19253"/>
    </bk>
    <bk>
      <rc t="2" v="19254"/>
    </bk>
    <bk>
      <rc t="2" v="19255"/>
    </bk>
    <bk>
      <rc t="2" v="19256"/>
    </bk>
    <bk>
      <rc t="2" v="19257"/>
    </bk>
    <bk>
      <rc t="2" v="19258"/>
    </bk>
    <bk>
      <rc t="2" v="19259"/>
    </bk>
    <bk>
      <rc t="2" v="19260"/>
    </bk>
    <bk>
      <rc t="2" v="19261"/>
    </bk>
    <bk>
      <rc t="2" v="19262"/>
    </bk>
    <bk>
      <rc t="2" v="19263"/>
    </bk>
    <bk>
      <rc t="2" v="19264"/>
    </bk>
    <bk>
      <rc t="2" v="19265"/>
    </bk>
    <bk>
      <rc t="2" v="19266"/>
    </bk>
    <bk>
      <rc t="2" v="19267"/>
    </bk>
    <bk>
      <rc t="2" v="19268"/>
    </bk>
    <bk>
      <rc t="2" v="19269"/>
    </bk>
    <bk>
      <rc t="2" v="19270"/>
    </bk>
    <bk>
      <rc t="2" v="19271"/>
    </bk>
    <bk>
      <rc t="2" v="19272"/>
    </bk>
    <bk>
      <rc t="2" v="19273"/>
    </bk>
    <bk>
      <rc t="2" v="19274"/>
    </bk>
    <bk>
      <rc t="2" v="19275"/>
    </bk>
    <bk>
      <rc t="2" v="19276"/>
    </bk>
    <bk>
      <rc t="2" v="19277"/>
    </bk>
    <bk>
      <rc t="2" v="19278"/>
    </bk>
    <bk>
      <rc t="2" v="19279"/>
    </bk>
    <bk>
      <rc t="2" v="19280"/>
    </bk>
    <bk>
      <rc t="2" v="19281"/>
    </bk>
    <bk>
      <rc t="2" v="19282"/>
    </bk>
    <bk>
      <rc t="2" v="19283"/>
    </bk>
    <bk>
      <rc t="2" v="19284"/>
    </bk>
    <bk>
      <rc t="2" v="19285"/>
    </bk>
    <bk>
      <rc t="2" v="19286"/>
    </bk>
    <bk>
      <rc t="2" v="19287"/>
    </bk>
    <bk>
      <rc t="2" v="19288"/>
    </bk>
    <bk>
      <rc t="2" v="19289"/>
    </bk>
    <bk>
      <rc t="2" v="19290"/>
    </bk>
    <bk>
      <rc t="2" v="19291"/>
    </bk>
    <bk>
      <rc t="2" v="19292"/>
    </bk>
    <bk>
      <rc t="2" v="19293"/>
    </bk>
    <bk>
      <rc t="2" v="19294"/>
    </bk>
    <bk>
      <rc t="2" v="19295"/>
    </bk>
    <bk>
      <rc t="2" v="19296"/>
    </bk>
    <bk>
      <rc t="2" v="19297"/>
    </bk>
    <bk>
      <rc t="2" v="19298"/>
    </bk>
    <bk>
      <rc t="2" v="19299"/>
    </bk>
    <bk>
      <rc t="2" v="19300"/>
    </bk>
    <bk>
      <rc t="2" v="19301"/>
    </bk>
    <bk>
      <rc t="2" v="19302"/>
    </bk>
    <bk>
      <rc t="2" v="19303"/>
    </bk>
    <bk>
      <rc t="2" v="19304"/>
    </bk>
    <bk>
      <rc t="2" v="19305"/>
    </bk>
    <bk>
      <rc t="2" v="19306"/>
    </bk>
    <bk>
      <rc t="2" v="19307"/>
    </bk>
    <bk>
      <rc t="2" v="19308"/>
    </bk>
    <bk>
      <rc t="2" v="19309"/>
    </bk>
    <bk>
      <rc t="2" v="19310"/>
    </bk>
    <bk>
      <rc t="2" v="19311"/>
    </bk>
    <bk>
      <rc t="2" v="19312"/>
    </bk>
    <bk>
      <rc t="2" v="19313"/>
    </bk>
    <bk>
      <rc t="2" v="19314"/>
    </bk>
    <bk>
      <rc t="2" v="19315"/>
    </bk>
    <bk>
      <rc t="2" v="19316"/>
    </bk>
    <bk>
      <rc t="2" v="19317"/>
    </bk>
    <bk>
      <rc t="2" v="19318"/>
    </bk>
    <bk>
      <rc t="2" v="19319"/>
    </bk>
    <bk>
      <rc t="2" v="19320"/>
    </bk>
    <bk>
      <rc t="2" v="19321"/>
    </bk>
    <bk>
      <rc t="2" v="19322"/>
    </bk>
    <bk>
      <rc t="2" v="19323"/>
    </bk>
    <bk>
      <rc t="2" v="19324"/>
    </bk>
    <bk>
      <rc t="2" v="19325"/>
    </bk>
    <bk>
      <rc t="2" v="19326"/>
    </bk>
    <bk>
      <rc t="2" v="19327"/>
    </bk>
    <bk>
      <rc t="2" v="19328"/>
    </bk>
    <bk>
      <rc t="2" v="19329"/>
    </bk>
    <bk>
      <rc t="2" v="19330"/>
    </bk>
    <bk>
      <rc t="2" v="19331"/>
    </bk>
    <bk>
      <rc t="2" v="19332"/>
    </bk>
    <bk>
      <rc t="2" v="19333"/>
    </bk>
    <bk>
      <rc t="2" v="19334"/>
    </bk>
    <bk>
      <rc t="2" v="19335"/>
    </bk>
    <bk>
      <rc t="2" v="19336"/>
    </bk>
    <bk>
      <rc t="2" v="19337"/>
    </bk>
    <bk>
      <rc t="2" v="19338"/>
    </bk>
    <bk>
      <rc t="2" v="19339"/>
    </bk>
    <bk>
      <rc t="2" v="19340"/>
    </bk>
    <bk>
      <rc t="2" v="19341"/>
    </bk>
    <bk>
      <rc t="2" v="19342"/>
    </bk>
    <bk>
      <rc t="2" v="19343"/>
    </bk>
    <bk>
      <rc t="2" v="19344"/>
    </bk>
    <bk>
      <rc t="2" v="19345"/>
    </bk>
    <bk>
      <rc t="2" v="19346"/>
    </bk>
    <bk>
      <rc t="2" v="19347"/>
    </bk>
    <bk>
      <rc t="2" v="19348"/>
    </bk>
    <bk>
      <rc t="2" v="19349"/>
    </bk>
    <bk>
      <rc t="2" v="19350"/>
    </bk>
    <bk>
      <rc t="2" v="19351"/>
    </bk>
    <bk>
      <rc t="2" v="19352"/>
    </bk>
    <bk>
      <rc t="2" v="19353"/>
    </bk>
    <bk>
      <rc t="2" v="19354"/>
    </bk>
    <bk>
      <rc t="2" v="19355"/>
    </bk>
    <bk>
      <rc t="2" v="19356"/>
    </bk>
    <bk>
      <rc t="2" v="19357"/>
    </bk>
    <bk>
      <rc t="2" v="19358"/>
    </bk>
    <bk>
      <rc t="2" v="19359"/>
    </bk>
    <bk>
      <rc t="2" v="19360"/>
    </bk>
    <bk>
      <rc t="2" v="19361"/>
    </bk>
    <bk>
      <rc t="2" v="19362"/>
    </bk>
    <bk>
      <rc t="2" v="19363"/>
    </bk>
    <bk>
      <rc t="2" v="19364"/>
    </bk>
    <bk>
      <rc t="2" v="19365"/>
    </bk>
    <bk>
      <rc t="2" v="19366"/>
    </bk>
    <bk>
      <rc t="2" v="19367"/>
    </bk>
    <bk>
      <rc t="2" v="19368"/>
    </bk>
    <bk>
      <rc t="2" v="19369"/>
    </bk>
    <bk>
      <rc t="2" v="19370"/>
    </bk>
    <bk>
      <rc t="2" v="19371"/>
    </bk>
    <bk>
      <rc t="2" v="19372"/>
    </bk>
    <bk>
      <rc t="2" v="19373"/>
    </bk>
    <bk>
      <rc t="2" v="19374"/>
    </bk>
    <bk>
      <rc t="2" v="19375"/>
    </bk>
    <bk>
      <rc t="2" v="19376"/>
    </bk>
    <bk>
      <rc t="2" v="19377"/>
    </bk>
    <bk>
      <rc t="2" v="19378"/>
    </bk>
    <bk>
      <rc t="2" v="19379"/>
    </bk>
    <bk>
      <rc t="2" v="19380"/>
    </bk>
    <bk>
      <rc t="2" v="19381"/>
    </bk>
    <bk>
      <rc t="2" v="19382"/>
    </bk>
    <bk>
      <rc t="2" v="19383"/>
    </bk>
    <bk>
      <rc t="2" v="19384"/>
    </bk>
    <bk>
      <rc t="2" v="19385"/>
    </bk>
    <bk>
      <rc t="2" v="19386"/>
    </bk>
    <bk>
      <rc t="2" v="19387"/>
    </bk>
    <bk>
      <rc t="2" v="19388"/>
    </bk>
    <bk>
      <rc t="2" v="19389"/>
    </bk>
    <bk>
      <rc t="2" v="19390"/>
    </bk>
    <bk>
      <rc t="2" v="19391"/>
    </bk>
    <bk>
      <rc t="2" v="19392"/>
    </bk>
    <bk>
      <rc t="2" v="19393"/>
    </bk>
    <bk>
      <rc t="2" v="19394"/>
    </bk>
    <bk>
      <rc t="2" v="19395"/>
    </bk>
    <bk>
      <rc t="2" v="19396"/>
    </bk>
    <bk>
      <rc t="2" v="19397"/>
    </bk>
    <bk>
      <rc t="2" v="19398"/>
    </bk>
    <bk>
      <rc t="2" v="19399"/>
    </bk>
    <bk>
      <rc t="2" v="19400"/>
    </bk>
    <bk>
      <rc t="2" v="19401"/>
    </bk>
    <bk>
      <rc t="2" v="19402"/>
    </bk>
    <bk>
      <rc t="2" v="19403"/>
    </bk>
    <bk>
      <rc t="2" v="19404"/>
    </bk>
    <bk>
      <rc t="2" v="19405"/>
    </bk>
    <bk>
      <rc t="2" v="19406"/>
    </bk>
    <bk>
      <rc t="2" v="19407"/>
    </bk>
    <bk>
      <rc t="2" v="19408"/>
    </bk>
    <bk>
      <rc t="2" v="19409"/>
    </bk>
    <bk>
      <rc t="2" v="19410"/>
    </bk>
    <bk>
      <rc t="2" v="19411"/>
    </bk>
    <bk>
      <rc t="2" v="19412"/>
    </bk>
    <bk>
      <rc t="2" v="19413"/>
    </bk>
    <bk>
      <rc t="2" v="19414"/>
    </bk>
    <bk>
      <rc t="2" v="19415"/>
    </bk>
    <bk>
      <rc t="2" v="19416"/>
    </bk>
    <bk>
      <rc t="2" v="19417"/>
    </bk>
    <bk>
      <rc t="2" v="19418"/>
    </bk>
    <bk>
      <rc t="2" v="19419"/>
    </bk>
    <bk>
      <rc t="2" v="19420"/>
    </bk>
    <bk>
      <rc t="2" v="19421"/>
    </bk>
    <bk>
      <rc t="2" v="19422"/>
    </bk>
    <bk>
      <rc t="2" v="19423"/>
    </bk>
    <bk>
      <rc t="2" v="19424"/>
    </bk>
    <bk>
      <rc t="2" v="19425"/>
    </bk>
    <bk>
      <rc t="2" v="19426"/>
    </bk>
    <bk>
      <rc t="2" v="19427"/>
    </bk>
    <bk>
      <rc t="2" v="19428"/>
    </bk>
    <bk>
      <rc t="2" v="19429"/>
    </bk>
    <bk>
      <rc t="2" v="19430"/>
    </bk>
    <bk>
      <rc t="2" v="19431"/>
    </bk>
    <bk>
      <rc t="2" v="19432"/>
    </bk>
    <bk>
      <rc t="2" v="19433"/>
    </bk>
    <bk>
      <rc t="2" v="19434"/>
    </bk>
    <bk>
      <rc t="2" v="19435"/>
    </bk>
    <bk>
      <rc t="2" v="19436"/>
    </bk>
    <bk>
      <rc t="2" v="19437"/>
    </bk>
    <bk>
      <rc t="2" v="19438"/>
    </bk>
    <bk>
      <rc t="2" v="19439"/>
    </bk>
    <bk>
      <rc t="2" v="19440"/>
    </bk>
    <bk>
      <rc t="2" v="19441"/>
    </bk>
    <bk>
      <rc t="2" v="19442"/>
    </bk>
    <bk>
      <rc t="2" v="19443"/>
    </bk>
    <bk>
      <rc t="2" v="19444"/>
    </bk>
    <bk>
      <rc t="2" v="19445"/>
    </bk>
    <bk>
      <rc t="2" v="19446"/>
    </bk>
    <bk>
      <rc t="2" v="19447"/>
    </bk>
    <bk>
      <rc t="2" v="19448"/>
    </bk>
    <bk>
      <rc t="2" v="19449"/>
    </bk>
    <bk>
      <rc t="2" v="19450"/>
    </bk>
    <bk>
      <rc t="2" v="19451"/>
    </bk>
    <bk>
      <rc t="2" v="19452"/>
    </bk>
    <bk>
      <rc t="2" v="19453"/>
    </bk>
    <bk>
      <rc t="2" v="19454"/>
    </bk>
    <bk>
      <rc t="2" v="19455"/>
    </bk>
    <bk>
      <rc t="2" v="19456"/>
    </bk>
    <bk>
      <rc t="2" v="19457"/>
    </bk>
    <bk>
      <rc t="2" v="19458"/>
    </bk>
    <bk>
      <rc t="2" v="19459"/>
    </bk>
    <bk>
      <rc t="2" v="19460"/>
    </bk>
    <bk>
      <rc t="2" v="19461"/>
    </bk>
    <bk>
      <rc t="2" v="19462"/>
    </bk>
    <bk>
      <rc t="2" v="19463"/>
    </bk>
    <bk>
      <rc t="2" v="19464"/>
    </bk>
    <bk>
      <rc t="2" v="19465"/>
    </bk>
    <bk>
      <rc t="2" v="19466"/>
    </bk>
    <bk>
      <rc t="2" v="19467"/>
    </bk>
    <bk>
      <rc t="2" v="19468"/>
    </bk>
    <bk>
      <rc t="2" v="19469"/>
    </bk>
    <bk>
      <rc t="2" v="19470"/>
    </bk>
    <bk>
      <rc t="2" v="19471"/>
    </bk>
    <bk>
      <rc t="2" v="19472"/>
    </bk>
    <bk>
      <rc t="2" v="19473"/>
    </bk>
    <bk>
      <rc t="2" v="19474"/>
    </bk>
    <bk>
      <rc t="2" v="19475"/>
    </bk>
    <bk>
      <rc t="2" v="19476"/>
    </bk>
    <bk>
      <rc t="2" v="19477"/>
    </bk>
    <bk>
      <rc t="2" v="19478"/>
    </bk>
    <bk>
      <rc t="2" v="19479"/>
    </bk>
    <bk>
      <rc t="2" v="19480"/>
    </bk>
    <bk>
      <rc t="2" v="19481"/>
    </bk>
    <bk>
      <rc t="2" v="19482"/>
    </bk>
    <bk>
      <rc t="2" v="19483"/>
    </bk>
    <bk>
      <rc t="2" v="19484"/>
    </bk>
    <bk>
      <rc t="2" v="19485"/>
    </bk>
    <bk>
      <rc t="2" v="19486"/>
    </bk>
    <bk>
      <rc t="2" v="19487"/>
    </bk>
    <bk>
      <rc t="2" v="19488"/>
    </bk>
    <bk>
      <rc t="2" v="19489"/>
    </bk>
    <bk>
      <rc t="2" v="19490"/>
    </bk>
    <bk>
      <rc t="2" v="19491"/>
    </bk>
    <bk>
      <rc t="2" v="19492"/>
    </bk>
    <bk>
      <rc t="2" v="19493"/>
    </bk>
    <bk>
      <rc t="2" v="19494"/>
    </bk>
    <bk>
      <rc t="2" v="19495"/>
    </bk>
    <bk>
      <rc t="2" v="19496"/>
    </bk>
    <bk>
      <rc t="2" v="19497"/>
    </bk>
    <bk>
      <rc t="2" v="19498"/>
    </bk>
    <bk>
      <rc t="2" v="19499"/>
    </bk>
    <bk>
      <rc t="2" v="19500"/>
    </bk>
    <bk>
      <rc t="2" v="19501"/>
    </bk>
    <bk>
      <rc t="2" v="19502"/>
    </bk>
    <bk>
      <rc t="2" v="19503"/>
    </bk>
    <bk>
      <rc t="2" v="19504"/>
    </bk>
    <bk>
      <rc t="2" v="19505"/>
    </bk>
    <bk>
      <rc t="2" v="19506"/>
    </bk>
    <bk>
      <rc t="2" v="19507"/>
    </bk>
    <bk>
      <rc t="2" v="19508"/>
    </bk>
    <bk>
      <rc t="2" v="19509"/>
    </bk>
    <bk>
      <rc t="2" v="19510"/>
    </bk>
    <bk>
      <rc t="2" v="19511"/>
    </bk>
    <bk>
      <rc t="2" v="19512"/>
    </bk>
    <bk>
      <rc t="2" v="19513"/>
    </bk>
    <bk>
      <rc t="2" v="19514"/>
    </bk>
    <bk>
      <rc t="2" v="19515"/>
    </bk>
    <bk>
      <rc t="2" v="19516"/>
    </bk>
    <bk>
      <rc t="2" v="19517"/>
    </bk>
    <bk>
      <rc t="2" v="19518"/>
    </bk>
    <bk>
      <rc t="2" v="19519"/>
    </bk>
    <bk>
      <rc t="2" v="19520"/>
    </bk>
    <bk>
      <rc t="2" v="19521"/>
    </bk>
    <bk>
      <rc t="2" v="19522"/>
    </bk>
    <bk>
      <rc t="2" v="19523"/>
    </bk>
    <bk>
      <rc t="2" v="19524"/>
    </bk>
    <bk>
      <rc t="2" v="19525"/>
    </bk>
    <bk>
      <rc t="2" v="19526"/>
    </bk>
    <bk>
      <rc t="2" v="19527"/>
    </bk>
    <bk>
      <rc t="2" v="19528"/>
    </bk>
    <bk>
      <rc t="2" v="19529"/>
    </bk>
    <bk>
      <rc t="2" v="19530"/>
    </bk>
    <bk>
      <rc t="2" v="19531"/>
    </bk>
    <bk>
      <rc t="2" v="19532"/>
    </bk>
    <bk>
      <rc t="2" v="19533"/>
    </bk>
    <bk>
      <rc t="2" v="19534"/>
    </bk>
    <bk>
      <rc t="2" v="19535"/>
    </bk>
    <bk>
      <rc t="2" v="19536"/>
    </bk>
    <bk>
      <rc t="2" v="19537"/>
    </bk>
    <bk>
      <rc t="2" v="19538"/>
    </bk>
    <bk>
      <rc t="2" v="19539"/>
    </bk>
    <bk>
      <rc t="2" v="19540"/>
    </bk>
    <bk>
      <rc t="2" v="19541"/>
    </bk>
    <bk>
      <rc t="2" v="19542"/>
    </bk>
    <bk>
      <rc t="2" v="19543"/>
    </bk>
    <bk>
      <rc t="2" v="19544"/>
    </bk>
    <bk>
      <rc t="2" v="19545"/>
    </bk>
    <bk>
      <rc t="2" v="19546"/>
    </bk>
    <bk>
      <rc t="2" v="19547"/>
    </bk>
    <bk>
      <rc t="2" v="19548"/>
    </bk>
    <bk>
      <rc t="2" v="19549"/>
    </bk>
    <bk>
      <rc t="2" v="19550"/>
    </bk>
    <bk>
      <rc t="2" v="19551"/>
    </bk>
    <bk>
      <rc t="2" v="19552"/>
    </bk>
    <bk>
      <rc t="2" v="19553"/>
    </bk>
    <bk>
      <rc t="2" v="19554"/>
    </bk>
    <bk>
      <rc t="2" v="19555"/>
    </bk>
    <bk>
      <rc t="2" v="19556"/>
    </bk>
    <bk>
      <rc t="2" v="19557"/>
    </bk>
    <bk>
      <rc t="2" v="19558"/>
    </bk>
    <bk>
      <rc t="2" v="19559"/>
    </bk>
    <bk>
      <rc t="2" v="19560"/>
    </bk>
    <bk>
      <rc t="2" v="19561"/>
    </bk>
    <bk>
      <rc t="2" v="19562"/>
    </bk>
    <bk>
      <rc t="2" v="19563"/>
    </bk>
    <bk>
      <rc t="2" v="19564"/>
    </bk>
    <bk>
      <rc t="2" v="19565"/>
    </bk>
    <bk>
      <rc t="2" v="19566"/>
    </bk>
    <bk>
      <rc t="2" v="19567"/>
    </bk>
    <bk>
      <rc t="2" v="19568"/>
    </bk>
    <bk>
      <rc t="2" v="19569"/>
    </bk>
    <bk>
      <rc t="2" v="19570"/>
    </bk>
    <bk>
      <rc t="2" v="19571"/>
    </bk>
    <bk>
      <rc t="2" v="19572"/>
    </bk>
    <bk>
      <rc t="2" v="19573"/>
    </bk>
    <bk>
      <rc t="2" v="19574"/>
    </bk>
    <bk>
      <rc t="2" v="19575"/>
    </bk>
    <bk>
      <rc t="2" v="19576"/>
    </bk>
    <bk>
      <rc t="2" v="19577"/>
    </bk>
    <bk>
      <rc t="2" v="19578"/>
    </bk>
    <bk>
      <rc t="2" v="19579"/>
    </bk>
    <bk>
      <rc t="2" v="19580"/>
    </bk>
    <bk>
      <rc t="2" v="19581"/>
    </bk>
    <bk>
      <rc t="2" v="19582"/>
    </bk>
    <bk>
      <rc t="2" v="19583"/>
    </bk>
    <bk>
      <rc t="2" v="19584"/>
    </bk>
    <bk>
      <rc t="2" v="19585"/>
    </bk>
    <bk>
      <rc t="2" v="19586"/>
    </bk>
    <bk>
      <rc t="2" v="19587"/>
    </bk>
    <bk>
      <rc t="2" v="19588"/>
    </bk>
    <bk>
      <rc t="2" v="19589"/>
    </bk>
    <bk>
      <rc t="2" v="19590"/>
    </bk>
    <bk>
      <rc t="2" v="19591"/>
    </bk>
    <bk>
      <rc t="2" v="19592"/>
    </bk>
    <bk>
      <rc t="2" v="19593"/>
    </bk>
    <bk>
      <rc t="2" v="19594"/>
    </bk>
    <bk>
      <rc t="2" v="19595"/>
    </bk>
    <bk>
      <rc t="2" v="19596"/>
    </bk>
    <bk>
      <rc t="2" v="19597"/>
    </bk>
    <bk>
      <rc t="2" v="19598"/>
    </bk>
    <bk>
      <rc t="2" v="19599"/>
    </bk>
    <bk>
      <rc t="2" v="19600"/>
    </bk>
    <bk>
      <rc t="2" v="19601"/>
    </bk>
    <bk>
      <rc t="2" v="19602"/>
    </bk>
    <bk>
      <rc t="2" v="19603"/>
    </bk>
    <bk>
      <rc t="2" v="19604"/>
    </bk>
    <bk>
      <rc t="2" v="19605"/>
    </bk>
    <bk>
      <rc t="2" v="19606"/>
    </bk>
    <bk>
      <rc t="2" v="19607"/>
    </bk>
    <bk>
      <rc t="2" v="19608"/>
    </bk>
    <bk>
      <rc t="2" v="19609"/>
    </bk>
    <bk>
      <rc t="2" v="19610"/>
    </bk>
    <bk>
      <rc t="2" v="19611"/>
    </bk>
    <bk>
      <rc t="2" v="19612"/>
    </bk>
    <bk>
      <rc t="2" v="19613"/>
    </bk>
    <bk>
      <rc t="2" v="19614"/>
    </bk>
    <bk>
      <rc t="2" v="19615"/>
    </bk>
    <bk>
      <rc t="2" v="19616"/>
    </bk>
    <bk>
      <rc t="2" v="19617"/>
    </bk>
    <bk>
      <rc t="2" v="19618"/>
    </bk>
    <bk>
      <rc t="2" v="19619"/>
    </bk>
    <bk>
      <rc t="2" v="19620"/>
    </bk>
    <bk>
      <rc t="2" v="19621"/>
    </bk>
    <bk>
      <rc t="2" v="19622"/>
    </bk>
    <bk>
      <rc t="2" v="19623"/>
    </bk>
    <bk>
      <rc t="2" v="19624"/>
    </bk>
    <bk>
      <rc t="2" v="19625"/>
    </bk>
    <bk>
      <rc t="2" v="19626"/>
    </bk>
    <bk>
      <rc t="2" v="19627"/>
    </bk>
    <bk>
      <rc t="2" v="19628"/>
    </bk>
    <bk>
      <rc t="2" v="19629"/>
    </bk>
    <bk>
      <rc t="2" v="19630"/>
    </bk>
    <bk>
      <rc t="2" v="19631"/>
    </bk>
    <bk>
      <rc t="2" v="19632"/>
    </bk>
    <bk>
      <rc t="2" v="19633"/>
    </bk>
    <bk>
      <rc t="2" v="19634"/>
    </bk>
    <bk>
      <rc t="2" v="19635"/>
    </bk>
    <bk>
      <rc t="2" v="19636"/>
    </bk>
    <bk>
      <rc t="2" v="19637"/>
    </bk>
    <bk>
      <rc t="2" v="19638"/>
    </bk>
    <bk>
      <rc t="2" v="19639"/>
    </bk>
    <bk>
      <rc t="2" v="19640"/>
    </bk>
    <bk>
      <rc t="2" v="19641"/>
    </bk>
    <bk>
      <rc t="2" v="19642"/>
    </bk>
    <bk>
      <rc t="2" v="19643"/>
    </bk>
    <bk>
      <rc t="2" v="19644"/>
    </bk>
    <bk>
      <rc t="2" v="19645"/>
    </bk>
    <bk>
      <rc t="2" v="19646"/>
    </bk>
    <bk>
      <rc t="2" v="19647"/>
    </bk>
    <bk>
      <rc t="2" v="19648"/>
    </bk>
    <bk>
      <rc t="2" v="19649"/>
    </bk>
    <bk>
      <rc t="2" v="19650"/>
    </bk>
    <bk>
      <rc t="2" v="19651"/>
    </bk>
    <bk>
      <rc t="2" v="19652"/>
    </bk>
    <bk>
      <rc t="2" v="19653"/>
    </bk>
    <bk>
      <rc t="2" v="19654"/>
    </bk>
    <bk>
      <rc t="2" v="19655"/>
    </bk>
    <bk>
      <rc t="2" v="19656"/>
    </bk>
    <bk>
      <rc t="2" v="19657"/>
    </bk>
    <bk>
      <rc t="2" v="19658"/>
    </bk>
    <bk>
      <rc t="2" v="19659"/>
    </bk>
    <bk>
      <rc t="2" v="19660"/>
    </bk>
    <bk>
      <rc t="2" v="19661"/>
    </bk>
    <bk>
      <rc t="2" v="19662"/>
    </bk>
    <bk>
      <rc t="2" v="19663"/>
    </bk>
    <bk>
      <rc t="2" v="19664"/>
    </bk>
    <bk>
      <rc t="2" v="19665"/>
    </bk>
    <bk>
      <rc t="2" v="19666"/>
    </bk>
    <bk>
      <rc t="2" v="19667"/>
    </bk>
    <bk>
      <rc t="2" v="19668"/>
    </bk>
    <bk>
      <rc t="2" v="19669"/>
    </bk>
    <bk>
      <rc t="2" v="19670"/>
    </bk>
    <bk>
      <rc t="2" v="19671"/>
    </bk>
    <bk>
      <rc t="2" v="19672"/>
    </bk>
    <bk>
      <rc t="2" v="19673"/>
    </bk>
    <bk>
      <rc t="2" v="19674"/>
    </bk>
    <bk>
      <rc t="2" v="19675"/>
    </bk>
    <bk>
      <rc t="2" v="19676"/>
    </bk>
    <bk>
      <rc t="2" v="19677"/>
    </bk>
    <bk>
      <rc t="2" v="19678"/>
    </bk>
    <bk>
      <rc t="2" v="19679"/>
    </bk>
    <bk>
      <rc t="2" v="19680"/>
    </bk>
    <bk>
      <rc t="2" v="19681"/>
    </bk>
    <bk>
      <rc t="2" v="19682"/>
    </bk>
    <bk>
      <rc t="2" v="19683"/>
    </bk>
    <bk>
      <rc t="2" v="19684"/>
    </bk>
    <bk>
      <rc t="2" v="19685"/>
    </bk>
    <bk>
      <rc t="2" v="19686"/>
    </bk>
    <bk>
      <rc t="2" v="19687"/>
    </bk>
    <bk>
      <rc t="2" v="19688"/>
    </bk>
    <bk>
      <rc t="2" v="19689"/>
    </bk>
    <bk>
      <rc t="2" v="19690"/>
    </bk>
    <bk>
      <rc t="2" v="19691"/>
    </bk>
    <bk>
      <rc t="2" v="19692"/>
    </bk>
    <bk>
      <rc t="2" v="19693"/>
    </bk>
    <bk>
      <rc t="2" v="19694"/>
    </bk>
    <bk>
      <rc t="2" v="19695"/>
    </bk>
    <bk>
      <rc t="2" v="19696"/>
    </bk>
    <bk>
      <rc t="2" v="19697"/>
    </bk>
    <bk>
      <rc t="2" v="19698"/>
    </bk>
    <bk>
      <rc t="2" v="19699"/>
    </bk>
    <bk>
      <rc t="2" v="19700"/>
    </bk>
    <bk>
      <rc t="2" v="19701"/>
    </bk>
    <bk>
      <rc t="2" v="19702"/>
    </bk>
    <bk>
      <rc t="2" v="19703"/>
    </bk>
    <bk>
      <rc t="2" v="19704"/>
    </bk>
    <bk>
      <rc t="2" v="19705"/>
    </bk>
    <bk>
      <rc t="2" v="19706"/>
    </bk>
    <bk>
      <rc t="2" v="19707"/>
    </bk>
    <bk>
      <rc t="2" v="19708"/>
    </bk>
    <bk>
      <rc t="2" v="19709"/>
    </bk>
    <bk>
      <rc t="2" v="19710"/>
    </bk>
    <bk>
      <rc t="2" v="19711"/>
    </bk>
    <bk>
      <rc t="2" v="19712"/>
    </bk>
    <bk>
      <rc t="2" v="19713"/>
    </bk>
    <bk>
      <rc t="2" v="19714"/>
    </bk>
    <bk>
      <rc t="2" v="19715"/>
    </bk>
    <bk>
      <rc t="2" v="19716"/>
    </bk>
    <bk>
      <rc t="2" v="19717"/>
    </bk>
    <bk>
      <rc t="2" v="19718"/>
    </bk>
    <bk>
      <rc t="2" v="19719"/>
    </bk>
    <bk>
      <rc t="2" v="19720"/>
    </bk>
    <bk>
      <rc t="2" v="19721"/>
    </bk>
    <bk>
      <rc t="2" v="19722"/>
    </bk>
    <bk>
      <rc t="2" v="19723"/>
    </bk>
    <bk>
      <rc t="2" v="19724"/>
    </bk>
    <bk>
      <rc t="2" v="19725"/>
    </bk>
    <bk>
      <rc t="2" v="19726"/>
    </bk>
    <bk>
      <rc t="2" v="19727"/>
    </bk>
    <bk>
      <rc t="2" v="19728"/>
    </bk>
    <bk>
      <rc t="2" v="19729"/>
    </bk>
    <bk>
      <rc t="2" v="19730"/>
    </bk>
    <bk>
      <rc t="2" v="19731"/>
    </bk>
    <bk>
      <rc t="2" v="19732"/>
    </bk>
    <bk>
      <rc t="2" v="19733"/>
    </bk>
    <bk>
      <rc t="2" v="19734"/>
    </bk>
    <bk>
      <rc t="2" v="19735"/>
    </bk>
    <bk>
      <rc t="2" v="19736"/>
    </bk>
    <bk>
      <rc t="2" v="19737"/>
    </bk>
    <bk>
      <rc t="2" v="19738"/>
    </bk>
    <bk>
      <rc t="2" v="19739"/>
    </bk>
    <bk>
      <rc t="2" v="19740"/>
    </bk>
    <bk>
      <rc t="2" v="19741"/>
    </bk>
    <bk>
      <rc t="2" v="19742"/>
    </bk>
    <bk>
      <rc t="2" v="19743"/>
    </bk>
    <bk>
      <rc t="2" v="19744"/>
    </bk>
    <bk>
      <rc t="2" v="19745"/>
    </bk>
    <bk>
      <rc t="2" v="19746"/>
    </bk>
    <bk>
      <rc t="2" v="19747"/>
    </bk>
    <bk>
      <rc t="2" v="19748"/>
    </bk>
    <bk>
      <rc t="2" v="19749"/>
    </bk>
    <bk>
      <rc t="2" v="19750"/>
    </bk>
    <bk>
      <rc t="2" v="19751"/>
    </bk>
    <bk>
      <rc t="2" v="19752"/>
    </bk>
    <bk>
      <rc t="2" v="19753"/>
    </bk>
    <bk>
      <rc t="2" v="19754"/>
    </bk>
    <bk>
      <rc t="2" v="19755"/>
    </bk>
    <bk>
      <rc t="2" v="19756"/>
    </bk>
    <bk>
      <rc t="2" v="19757"/>
    </bk>
    <bk>
      <rc t="2" v="19758"/>
    </bk>
    <bk>
      <rc t="2" v="19759"/>
    </bk>
    <bk>
      <rc t="2" v="19760"/>
    </bk>
    <bk>
      <rc t="2" v="19761"/>
    </bk>
    <bk>
      <rc t="2" v="19762"/>
    </bk>
    <bk>
      <rc t="2" v="19763"/>
    </bk>
    <bk>
      <rc t="2" v="19764"/>
    </bk>
    <bk>
      <rc t="2" v="19765"/>
    </bk>
    <bk>
      <rc t="2" v="19766"/>
    </bk>
    <bk>
      <rc t="2" v="19767"/>
    </bk>
    <bk>
      <rc t="2" v="19768"/>
    </bk>
    <bk>
      <rc t="2" v="19769"/>
    </bk>
    <bk>
      <rc t="2" v="19770"/>
    </bk>
    <bk>
      <rc t="2" v="19771"/>
    </bk>
    <bk>
      <rc t="2" v="19772"/>
    </bk>
    <bk>
      <rc t="2" v="19773"/>
    </bk>
    <bk>
      <rc t="2" v="19774"/>
    </bk>
    <bk>
      <rc t="2" v="19775"/>
    </bk>
    <bk>
      <rc t="2" v="19776"/>
    </bk>
    <bk>
      <rc t="2" v="19777"/>
    </bk>
    <bk>
      <rc t="2" v="19778"/>
    </bk>
    <bk>
      <rc t="2" v="19779"/>
    </bk>
    <bk>
      <rc t="2" v="19780"/>
    </bk>
    <bk>
      <rc t="2" v="19781"/>
    </bk>
    <bk>
      <rc t="2" v="19782"/>
    </bk>
    <bk>
      <rc t="2" v="19783"/>
    </bk>
    <bk>
      <rc t="2" v="19784"/>
    </bk>
    <bk>
      <rc t="2" v="19785"/>
    </bk>
    <bk>
      <rc t="2" v="19786"/>
    </bk>
    <bk>
      <rc t="2" v="19787"/>
    </bk>
    <bk>
      <rc t="2" v="19788"/>
    </bk>
    <bk>
      <rc t="2" v="19789"/>
    </bk>
    <bk>
      <rc t="2" v="19790"/>
    </bk>
    <bk>
      <rc t="2" v="19791"/>
    </bk>
    <bk>
      <rc t="2" v="19792"/>
    </bk>
    <bk>
      <rc t="2" v="19793"/>
    </bk>
    <bk>
      <rc t="2" v="19794"/>
    </bk>
    <bk>
      <rc t="2" v="19795"/>
    </bk>
    <bk>
      <rc t="2" v="19796"/>
    </bk>
    <bk>
      <rc t="2" v="19797"/>
    </bk>
    <bk>
      <rc t="2" v="19798"/>
    </bk>
    <bk>
      <rc t="2" v="19799"/>
    </bk>
    <bk>
      <rc t="2" v="19800"/>
    </bk>
    <bk>
      <rc t="2" v="19801"/>
    </bk>
    <bk>
      <rc t="2" v="19802"/>
    </bk>
    <bk>
      <rc t="2" v="19803"/>
    </bk>
    <bk>
      <rc t="2" v="19804"/>
    </bk>
    <bk>
      <rc t="2" v="19805"/>
    </bk>
    <bk>
      <rc t="2" v="19806"/>
    </bk>
    <bk>
      <rc t="2" v="19807"/>
    </bk>
    <bk>
      <rc t="2" v="19808"/>
    </bk>
    <bk>
      <rc t="2" v="19809"/>
    </bk>
    <bk>
      <rc t="2" v="19810"/>
    </bk>
    <bk>
      <rc t="2" v="19811"/>
    </bk>
    <bk>
      <rc t="2" v="19812"/>
    </bk>
    <bk>
      <rc t="2" v="19813"/>
    </bk>
    <bk>
      <rc t="2" v="19814"/>
    </bk>
    <bk>
      <rc t="2" v="19815"/>
    </bk>
    <bk>
      <rc t="2" v="19816"/>
    </bk>
    <bk>
      <rc t="2" v="19817"/>
    </bk>
    <bk>
      <rc t="2" v="19818"/>
    </bk>
    <bk>
      <rc t="2" v="19819"/>
    </bk>
    <bk>
      <rc t="2" v="19820"/>
    </bk>
    <bk>
      <rc t="2" v="19821"/>
    </bk>
    <bk>
      <rc t="2" v="19822"/>
    </bk>
    <bk>
      <rc t="2" v="19823"/>
    </bk>
    <bk>
      <rc t="2" v="19824"/>
    </bk>
    <bk>
      <rc t="2" v="19825"/>
    </bk>
    <bk>
      <rc t="2" v="19826"/>
    </bk>
    <bk>
      <rc t="2" v="19827"/>
    </bk>
    <bk>
      <rc t="2" v="19828"/>
    </bk>
    <bk>
      <rc t="2" v="19829"/>
    </bk>
    <bk>
      <rc t="2" v="19830"/>
    </bk>
    <bk>
      <rc t="2" v="19831"/>
    </bk>
    <bk>
      <rc t="2" v="19832"/>
    </bk>
    <bk>
      <rc t="2" v="19833"/>
    </bk>
    <bk>
      <rc t="2" v="19834"/>
    </bk>
    <bk>
      <rc t="2" v="19835"/>
    </bk>
    <bk>
      <rc t="2" v="19836"/>
    </bk>
    <bk>
      <rc t="2" v="19837"/>
    </bk>
    <bk>
      <rc t="2" v="19838"/>
    </bk>
    <bk>
      <rc t="2" v="19839"/>
    </bk>
    <bk>
      <rc t="2" v="19840"/>
    </bk>
    <bk>
      <rc t="2" v="19841"/>
    </bk>
    <bk>
      <rc t="2" v="19842"/>
    </bk>
    <bk>
      <rc t="2" v="19843"/>
    </bk>
    <bk>
      <rc t="2" v="19844"/>
    </bk>
    <bk>
      <rc t="2" v="19845"/>
    </bk>
    <bk>
      <rc t="2" v="19846"/>
    </bk>
    <bk>
      <rc t="2" v="19847"/>
    </bk>
    <bk>
      <rc t="2" v="19848"/>
    </bk>
    <bk>
      <rc t="2" v="19849"/>
    </bk>
    <bk>
      <rc t="2" v="19850"/>
    </bk>
    <bk>
      <rc t="2" v="19851"/>
    </bk>
    <bk>
      <rc t="2" v="19852"/>
    </bk>
    <bk>
      <rc t="2" v="19853"/>
    </bk>
    <bk>
      <rc t="2" v="19854"/>
    </bk>
    <bk>
      <rc t="2" v="19855"/>
    </bk>
    <bk>
      <rc t="2" v="19856"/>
    </bk>
    <bk>
      <rc t="2" v="19857"/>
    </bk>
    <bk>
      <rc t="2" v="19858"/>
    </bk>
    <bk>
      <rc t="2" v="19859"/>
    </bk>
    <bk>
      <rc t="2" v="19860"/>
    </bk>
    <bk>
      <rc t="2" v="19861"/>
    </bk>
    <bk>
      <rc t="2" v="19862"/>
    </bk>
    <bk>
      <rc t="2" v="19863"/>
    </bk>
    <bk>
      <rc t="2" v="19864"/>
    </bk>
    <bk>
      <rc t="2" v="19865"/>
    </bk>
    <bk>
      <rc t="2" v="19866"/>
    </bk>
    <bk>
      <rc t="2" v="19867"/>
    </bk>
    <bk>
      <rc t="2" v="19868"/>
    </bk>
    <bk>
      <rc t="2" v="19869"/>
    </bk>
    <bk>
      <rc t="2" v="19870"/>
    </bk>
    <bk>
      <rc t="2" v="19871"/>
    </bk>
    <bk>
      <rc t="2" v="19872"/>
    </bk>
    <bk>
      <rc t="2" v="19873"/>
    </bk>
    <bk>
      <rc t="2" v="19874"/>
    </bk>
    <bk>
      <rc t="2" v="19875"/>
    </bk>
    <bk>
      <rc t="2" v="19876"/>
    </bk>
    <bk>
      <rc t="2" v="19877"/>
    </bk>
    <bk>
      <rc t="2" v="19878"/>
    </bk>
    <bk>
      <rc t="2" v="19879"/>
    </bk>
    <bk>
      <rc t="2" v="19880"/>
    </bk>
    <bk>
      <rc t="2" v="19881"/>
    </bk>
    <bk>
      <rc t="2" v="19882"/>
    </bk>
    <bk>
      <rc t="2" v="19883"/>
    </bk>
    <bk>
      <rc t="2" v="19884"/>
    </bk>
    <bk>
      <rc t="2" v="19885"/>
    </bk>
    <bk>
      <rc t="2" v="19886"/>
    </bk>
    <bk>
      <rc t="2" v="19887"/>
    </bk>
    <bk>
      <rc t="2" v="19888"/>
    </bk>
    <bk>
      <rc t="2" v="19889"/>
    </bk>
    <bk>
      <rc t="2" v="19890"/>
    </bk>
    <bk>
      <rc t="2" v="19891"/>
    </bk>
    <bk>
      <rc t="2" v="19892"/>
    </bk>
    <bk>
      <rc t="2" v="19893"/>
    </bk>
    <bk>
      <rc t="2" v="19894"/>
    </bk>
    <bk>
      <rc t="2" v="19895"/>
    </bk>
    <bk>
      <rc t="2" v="19896"/>
    </bk>
    <bk>
      <rc t="2" v="19897"/>
    </bk>
    <bk>
      <rc t="2" v="19898"/>
    </bk>
    <bk>
      <rc t="2" v="19899"/>
    </bk>
    <bk>
      <rc t="2" v="19900"/>
    </bk>
    <bk>
      <rc t="2" v="19901"/>
    </bk>
    <bk>
      <rc t="2" v="19902"/>
    </bk>
    <bk>
      <rc t="2" v="19903"/>
    </bk>
    <bk>
      <rc t="2" v="19904"/>
    </bk>
    <bk>
      <rc t="2" v="19905"/>
    </bk>
    <bk>
      <rc t="2" v="19906"/>
    </bk>
    <bk>
      <rc t="2" v="19907"/>
    </bk>
    <bk>
      <rc t="2" v="19908"/>
    </bk>
    <bk>
      <rc t="2" v="19909"/>
    </bk>
    <bk>
      <rc t="2" v="19910"/>
    </bk>
    <bk>
      <rc t="2" v="19911"/>
    </bk>
    <bk>
      <rc t="2" v="19912"/>
    </bk>
    <bk>
      <rc t="2" v="19913"/>
    </bk>
    <bk>
      <rc t="2" v="19914"/>
    </bk>
    <bk>
      <rc t="2" v="19915"/>
    </bk>
    <bk>
      <rc t="2" v="19916"/>
    </bk>
    <bk>
      <rc t="2" v="19917"/>
    </bk>
    <bk>
      <rc t="2" v="19918"/>
    </bk>
    <bk>
      <rc t="2" v="19919"/>
    </bk>
    <bk>
      <rc t="2" v="19920"/>
    </bk>
    <bk>
      <rc t="2" v="19921"/>
    </bk>
    <bk>
      <rc t="2" v="19922"/>
    </bk>
    <bk>
      <rc t="2" v="19923"/>
    </bk>
    <bk>
      <rc t="2" v="19924"/>
    </bk>
    <bk>
      <rc t="2" v="19925"/>
    </bk>
    <bk>
      <rc t="2" v="19926"/>
    </bk>
    <bk>
      <rc t="2" v="19927"/>
    </bk>
    <bk>
      <rc t="2" v="19928"/>
    </bk>
    <bk>
      <rc t="2" v="19929"/>
    </bk>
    <bk>
      <rc t="2" v="19930"/>
    </bk>
    <bk>
      <rc t="2" v="19931"/>
    </bk>
    <bk>
      <rc t="2" v="19932"/>
    </bk>
    <bk>
      <rc t="2" v="19933"/>
    </bk>
    <bk>
      <rc t="2" v="19934"/>
    </bk>
    <bk>
      <rc t="2" v="19935"/>
    </bk>
    <bk>
      <rc t="2" v="19936"/>
    </bk>
    <bk>
      <rc t="2" v="19937"/>
    </bk>
    <bk>
      <rc t="2" v="19938"/>
    </bk>
    <bk>
      <rc t="2" v="19939"/>
    </bk>
    <bk>
      <rc t="2" v="19940"/>
    </bk>
    <bk>
      <rc t="2" v="19941"/>
    </bk>
    <bk>
      <rc t="2" v="19942"/>
    </bk>
    <bk>
      <rc t="2" v="19943"/>
    </bk>
    <bk>
      <rc t="2" v="19944"/>
    </bk>
    <bk>
      <rc t="2" v="19945"/>
    </bk>
    <bk>
      <rc t="2" v="19946"/>
    </bk>
    <bk>
      <rc t="2" v="19947"/>
    </bk>
    <bk>
      <rc t="2" v="19948"/>
    </bk>
    <bk>
      <rc t="2" v="19949"/>
    </bk>
    <bk>
      <rc t="2" v="19950"/>
    </bk>
    <bk>
      <rc t="2" v="19951"/>
    </bk>
    <bk>
      <rc t="2" v="19952"/>
    </bk>
    <bk>
      <rc t="2" v="19953"/>
    </bk>
    <bk>
      <rc t="2" v="19954"/>
    </bk>
    <bk>
      <rc t="2" v="19955"/>
    </bk>
    <bk>
      <rc t="2" v="19956"/>
    </bk>
    <bk>
      <rc t="2" v="19957"/>
    </bk>
    <bk>
      <rc t="2" v="19958"/>
    </bk>
    <bk>
      <rc t="2" v="19959"/>
    </bk>
    <bk>
      <rc t="2" v="19960"/>
    </bk>
    <bk>
      <rc t="2" v="19961"/>
    </bk>
    <bk>
      <rc t="2" v="19962"/>
    </bk>
    <bk>
      <rc t="2" v="19963"/>
    </bk>
    <bk>
      <rc t="2" v="19964"/>
    </bk>
    <bk>
      <rc t="2" v="19965"/>
    </bk>
    <bk>
      <rc t="2" v="19966"/>
    </bk>
    <bk>
      <rc t="2" v="19967"/>
    </bk>
    <bk>
      <rc t="2" v="19968"/>
    </bk>
    <bk>
      <rc t="2" v="19969"/>
    </bk>
    <bk>
      <rc t="2" v="19970"/>
    </bk>
    <bk>
      <rc t="2" v="19971"/>
    </bk>
    <bk>
      <rc t="2" v="19972"/>
    </bk>
    <bk>
      <rc t="2" v="19973"/>
    </bk>
    <bk>
      <rc t="2" v="19974"/>
    </bk>
    <bk>
      <rc t="2" v="19975"/>
    </bk>
    <bk>
      <rc t="2" v="19976"/>
    </bk>
    <bk>
      <rc t="2" v="19977"/>
    </bk>
    <bk>
      <rc t="2" v="19978"/>
    </bk>
    <bk>
      <rc t="2" v="19979"/>
    </bk>
    <bk>
      <rc t="2" v="19980"/>
    </bk>
    <bk>
      <rc t="2" v="19981"/>
    </bk>
    <bk>
      <rc t="2" v="19982"/>
    </bk>
    <bk>
      <rc t="2" v="19983"/>
    </bk>
    <bk>
      <rc t="2" v="19984"/>
    </bk>
    <bk>
      <rc t="2" v="19985"/>
    </bk>
    <bk>
      <rc t="2" v="19986"/>
    </bk>
    <bk>
      <rc t="2" v="19987"/>
    </bk>
    <bk>
      <rc t="2" v="19988"/>
    </bk>
    <bk>
      <rc t="2" v="19989"/>
    </bk>
    <bk>
      <rc t="2" v="19990"/>
    </bk>
    <bk>
      <rc t="2" v="19991"/>
    </bk>
    <bk>
      <rc t="2" v="19992"/>
    </bk>
    <bk>
      <rc t="2" v="19993"/>
    </bk>
    <bk>
      <rc t="2" v="19994"/>
    </bk>
    <bk>
      <rc t="2" v="19995"/>
    </bk>
    <bk>
      <rc t="2" v="19996"/>
    </bk>
    <bk>
      <rc t="2" v="19997"/>
    </bk>
    <bk>
      <rc t="2" v="19998"/>
    </bk>
    <bk>
      <rc t="2" v="19999"/>
    </bk>
    <bk>
      <rc t="2" v="20000"/>
    </bk>
    <bk>
      <rc t="2" v="20001"/>
    </bk>
    <bk>
      <rc t="2" v="20002"/>
    </bk>
    <bk>
      <rc t="2" v="20003"/>
    </bk>
    <bk>
      <rc t="2" v="20004"/>
    </bk>
    <bk>
      <rc t="2" v="20005"/>
    </bk>
    <bk>
      <rc t="2" v="20006"/>
    </bk>
    <bk>
      <rc t="2" v="20007"/>
    </bk>
    <bk>
      <rc t="2" v="20008"/>
    </bk>
    <bk>
      <rc t="2" v="20009"/>
    </bk>
    <bk>
      <rc t="2" v="20010"/>
    </bk>
    <bk>
      <rc t="2" v="20011"/>
    </bk>
    <bk>
      <rc t="2" v="20012"/>
    </bk>
    <bk>
      <rc t="2" v="20013"/>
    </bk>
    <bk>
      <rc t="2" v="20014"/>
    </bk>
    <bk>
      <rc t="2" v="20015"/>
    </bk>
    <bk>
      <rc t="2" v="20016"/>
    </bk>
    <bk>
      <rc t="2" v="20017"/>
    </bk>
    <bk>
      <rc t="2" v="20018"/>
    </bk>
    <bk>
      <rc t="2" v="20019"/>
    </bk>
    <bk>
      <rc t="2" v="20020"/>
    </bk>
    <bk>
      <rc t="2" v="20021"/>
    </bk>
    <bk>
      <rc t="2" v="20022"/>
    </bk>
    <bk>
      <rc t="2" v="20023"/>
    </bk>
    <bk>
      <rc t="2" v="20024"/>
    </bk>
    <bk>
      <rc t="2" v="20025"/>
    </bk>
    <bk>
      <rc t="2" v="20026"/>
    </bk>
    <bk>
      <rc t="2" v="20027"/>
    </bk>
    <bk>
      <rc t="2" v="20028"/>
    </bk>
    <bk>
      <rc t="2" v="20029"/>
    </bk>
    <bk>
      <rc t="2" v="20030"/>
    </bk>
    <bk>
      <rc t="2" v="20031"/>
    </bk>
    <bk>
      <rc t="2" v="20032"/>
    </bk>
    <bk>
      <rc t="2" v="20033"/>
    </bk>
    <bk>
      <rc t="2" v="20034"/>
    </bk>
    <bk>
      <rc t="2" v="20035"/>
    </bk>
    <bk>
      <rc t="2" v="20036"/>
    </bk>
    <bk>
      <rc t="2" v="20037"/>
    </bk>
    <bk>
      <rc t="2" v="20038"/>
    </bk>
    <bk>
      <rc t="2" v="20039"/>
    </bk>
    <bk>
      <rc t="2" v="20040"/>
    </bk>
    <bk>
      <rc t="2" v="20041"/>
    </bk>
    <bk>
      <rc t="2" v="20042"/>
    </bk>
    <bk>
      <rc t="2" v="20043"/>
    </bk>
    <bk>
      <rc t="2" v="20044"/>
    </bk>
    <bk>
      <rc t="2" v="20045"/>
    </bk>
    <bk>
      <rc t="2" v="20046"/>
    </bk>
    <bk>
      <rc t="2" v="20047"/>
    </bk>
    <bk>
      <rc t="2" v="20048"/>
    </bk>
    <bk>
      <rc t="2" v="20049"/>
    </bk>
    <bk>
      <rc t="2" v="20050"/>
    </bk>
    <bk>
      <rc t="2" v="20051"/>
    </bk>
    <bk>
      <rc t="2" v="20052"/>
    </bk>
    <bk>
      <rc t="2" v="20053"/>
    </bk>
    <bk>
      <rc t="2" v="20054"/>
    </bk>
    <bk>
      <rc t="2" v="20055"/>
    </bk>
    <bk>
      <rc t="2" v="20056"/>
    </bk>
    <bk>
      <rc t="2" v="20057"/>
    </bk>
    <bk>
      <rc t="2" v="20058"/>
    </bk>
    <bk>
      <rc t="2" v="20059"/>
    </bk>
    <bk>
      <rc t="2" v="20060"/>
    </bk>
    <bk>
      <rc t="2" v="20061"/>
    </bk>
    <bk>
      <rc t="2" v="20062"/>
    </bk>
    <bk>
      <rc t="2" v="20063"/>
    </bk>
    <bk>
      <rc t="2" v="20064"/>
    </bk>
    <bk>
      <rc t="2" v="20065"/>
    </bk>
    <bk>
      <rc t="2" v="20066"/>
    </bk>
    <bk>
      <rc t="2" v="20067"/>
    </bk>
    <bk>
      <rc t="2" v="20068"/>
    </bk>
    <bk>
      <rc t="2" v="20069"/>
    </bk>
    <bk>
      <rc t="2" v="20070"/>
    </bk>
    <bk>
      <rc t="2" v="20071"/>
    </bk>
    <bk>
      <rc t="2" v="20072"/>
    </bk>
    <bk>
      <rc t="2" v="20073"/>
    </bk>
    <bk>
      <rc t="2" v="20074"/>
    </bk>
    <bk>
      <rc t="2" v="20075"/>
    </bk>
    <bk>
      <rc t="2" v="20076"/>
    </bk>
    <bk>
      <rc t="2" v="20077"/>
    </bk>
    <bk>
      <rc t="2" v="20078"/>
    </bk>
    <bk>
      <rc t="2" v="20079"/>
    </bk>
    <bk>
      <rc t="2" v="20080"/>
    </bk>
    <bk>
      <rc t="2" v="20081"/>
    </bk>
    <bk>
      <rc t="2" v="20082"/>
    </bk>
    <bk>
      <rc t="2" v="20083"/>
    </bk>
    <bk>
      <rc t="2" v="20084"/>
    </bk>
    <bk>
      <rc t="2" v="20085"/>
    </bk>
    <bk>
      <rc t="2" v="20086"/>
    </bk>
    <bk>
      <rc t="2" v="20087"/>
    </bk>
    <bk>
      <rc t="2" v="20088"/>
    </bk>
    <bk>
      <rc t="2" v="20089"/>
    </bk>
    <bk>
      <rc t="2" v="20090"/>
    </bk>
    <bk>
      <rc t="2" v="20091"/>
    </bk>
    <bk>
      <rc t="2" v="20092"/>
    </bk>
    <bk>
      <rc t="2" v="20093"/>
    </bk>
    <bk>
      <rc t="2" v="20094"/>
    </bk>
    <bk>
      <rc t="2" v="20095"/>
    </bk>
    <bk>
      <rc t="2" v="20096"/>
    </bk>
    <bk>
      <rc t="2" v="20097"/>
    </bk>
    <bk>
      <rc t="2" v="20098"/>
    </bk>
    <bk>
      <rc t="2" v="20099"/>
    </bk>
    <bk>
      <rc t="2" v="20100"/>
    </bk>
    <bk>
      <rc t="2" v="20101"/>
    </bk>
    <bk>
      <rc t="2" v="20102"/>
    </bk>
    <bk>
      <rc t="2" v="20103"/>
    </bk>
    <bk>
      <rc t="2" v="20104"/>
    </bk>
    <bk>
      <rc t="2" v="20105"/>
    </bk>
    <bk>
      <rc t="2" v="20106"/>
    </bk>
    <bk>
      <rc t="2" v="20107"/>
    </bk>
    <bk>
      <rc t="2" v="20108"/>
    </bk>
    <bk>
      <rc t="2" v="20109"/>
    </bk>
    <bk>
      <rc t="2" v="20110"/>
    </bk>
    <bk>
      <rc t="2" v="20111"/>
    </bk>
    <bk>
      <rc t="2" v="20112"/>
    </bk>
    <bk>
      <rc t="2" v="20113"/>
    </bk>
    <bk>
      <rc t="2" v="20114"/>
    </bk>
    <bk>
      <rc t="2" v="20115"/>
    </bk>
    <bk>
      <rc t="2" v="20116"/>
    </bk>
    <bk>
      <rc t="2" v="20117"/>
    </bk>
    <bk>
      <rc t="2" v="20118"/>
    </bk>
    <bk>
      <rc t="2" v="20119"/>
    </bk>
    <bk>
      <rc t="2" v="20120"/>
    </bk>
    <bk>
      <rc t="2" v="20121"/>
    </bk>
    <bk>
      <rc t="2" v="20122"/>
    </bk>
    <bk>
      <rc t="2" v="20123"/>
    </bk>
    <bk>
      <rc t="2" v="20124"/>
    </bk>
    <bk>
      <rc t="2" v="20125"/>
    </bk>
    <bk>
      <rc t="2" v="20126"/>
    </bk>
    <bk>
      <rc t="2" v="20127"/>
    </bk>
    <bk>
      <rc t="2" v="20128"/>
    </bk>
    <bk>
      <rc t="2" v="20129"/>
    </bk>
    <bk>
      <rc t="2" v="20130"/>
    </bk>
    <bk>
      <rc t="2" v="20131"/>
    </bk>
    <bk>
      <rc t="2" v="20132"/>
    </bk>
    <bk>
      <rc t="2" v="20133"/>
    </bk>
    <bk>
      <rc t="2" v="20134"/>
    </bk>
    <bk>
      <rc t="2" v="20135"/>
    </bk>
    <bk>
      <rc t="2" v="20136"/>
    </bk>
    <bk>
      <rc t="2" v="20137"/>
    </bk>
    <bk>
      <rc t="2" v="20138"/>
    </bk>
    <bk>
      <rc t="2" v="20139"/>
    </bk>
    <bk>
      <rc t="2" v="20140"/>
    </bk>
    <bk>
      <rc t="2" v="20141"/>
    </bk>
    <bk>
      <rc t="2" v="20142"/>
    </bk>
    <bk>
      <rc t="2" v="20143"/>
    </bk>
    <bk>
      <rc t="2" v="20144"/>
    </bk>
    <bk>
      <rc t="2" v="20145"/>
    </bk>
    <bk>
      <rc t="2" v="20146"/>
    </bk>
    <bk>
      <rc t="2" v="20147"/>
    </bk>
    <bk>
      <rc t="2" v="20148"/>
    </bk>
    <bk>
      <rc t="2" v="20149"/>
    </bk>
    <bk>
      <rc t="2" v="20150"/>
    </bk>
    <bk>
      <rc t="2" v="20151"/>
    </bk>
    <bk>
      <rc t="2" v="20152"/>
    </bk>
    <bk>
      <rc t="2" v="20153"/>
    </bk>
    <bk>
      <rc t="2" v="20154"/>
    </bk>
    <bk>
      <rc t="2" v="20155"/>
    </bk>
    <bk>
      <rc t="2" v="20156"/>
    </bk>
    <bk>
      <rc t="2" v="20157"/>
    </bk>
    <bk>
      <rc t="2" v="20158"/>
    </bk>
    <bk>
      <rc t="2" v="20159"/>
    </bk>
    <bk>
      <rc t="2" v="20160"/>
    </bk>
    <bk>
      <rc t="2" v="20161"/>
    </bk>
    <bk>
      <rc t="2" v="20162"/>
    </bk>
    <bk>
      <rc t="2" v="20163"/>
    </bk>
    <bk>
      <rc t="2" v="20164"/>
    </bk>
    <bk>
      <rc t="2" v="20165"/>
    </bk>
    <bk>
      <rc t="2" v="20166"/>
    </bk>
    <bk>
      <rc t="2" v="20167"/>
    </bk>
    <bk>
      <rc t="2" v="20168"/>
    </bk>
    <bk>
      <rc t="2" v="20169"/>
    </bk>
    <bk>
      <rc t="2" v="20170"/>
    </bk>
    <bk>
      <rc t="2" v="20171"/>
    </bk>
    <bk>
      <rc t="2" v="20172"/>
    </bk>
    <bk>
      <rc t="2" v="20173"/>
    </bk>
    <bk>
      <rc t="2" v="20174"/>
    </bk>
    <bk>
      <rc t="2" v="20175"/>
    </bk>
    <bk>
      <rc t="2" v="20176"/>
    </bk>
    <bk>
      <rc t="2" v="20177"/>
    </bk>
    <bk>
      <rc t="2" v="20178"/>
    </bk>
    <bk>
      <rc t="2" v="20179"/>
    </bk>
    <bk>
      <rc t="2" v="20180"/>
    </bk>
    <bk>
      <rc t="2" v="20181"/>
    </bk>
    <bk>
      <rc t="2" v="20182"/>
    </bk>
    <bk>
      <rc t="2" v="20183"/>
    </bk>
    <bk>
      <rc t="2" v="20184"/>
    </bk>
    <bk>
      <rc t="2" v="20185"/>
    </bk>
    <bk>
      <rc t="2" v="20186"/>
    </bk>
    <bk>
      <rc t="2" v="20187"/>
    </bk>
    <bk>
      <rc t="2" v="20188"/>
    </bk>
    <bk>
      <rc t="2" v="20189"/>
    </bk>
    <bk>
      <rc t="2" v="20190"/>
    </bk>
    <bk>
      <rc t="2" v="20191"/>
    </bk>
    <bk>
      <rc t="2" v="20192"/>
    </bk>
    <bk>
      <rc t="2" v="20193"/>
    </bk>
    <bk>
      <rc t="2" v="20194"/>
    </bk>
    <bk>
      <rc t="2" v="20195"/>
    </bk>
    <bk>
      <rc t="2" v="20196"/>
    </bk>
    <bk>
      <rc t="2" v="20197"/>
    </bk>
    <bk>
      <rc t="2" v="20198"/>
    </bk>
    <bk>
      <rc t="2" v="20199"/>
    </bk>
    <bk>
      <rc t="2" v="20200"/>
    </bk>
    <bk>
      <rc t="2" v="20201"/>
    </bk>
    <bk>
      <rc t="2" v="20202"/>
    </bk>
    <bk>
      <rc t="2" v="20203"/>
    </bk>
    <bk>
      <rc t="2" v="20204"/>
    </bk>
    <bk>
      <rc t="2" v="20205"/>
    </bk>
    <bk>
      <rc t="2" v="20206"/>
    </bk>
    <bk>
      <rc t="2" v="20207"/>
    </bk>
    <bk>
      <rc t="2" v="20208"/>
    </bk>
    <bk>
      <rc t="2" v="20209"/>
    </bk>
    <bk>
      <rc t="2" v="20210"/>
    </bk>
    <bk>
      <rc t="2" v="20211"/>
    </bk>
    <bk>
      <rc t="2" v="20212"/>
    </bk>
    <bk>
      <rc t="2" v="20213"/>
    </bk>
    <bk>
      <rc t="2" v="20214"/>
    </bk>
    <bk>
      <rc t="2" v="20215"/>
    </bk>
    <bk>
      <rc t="2" v="20216"/>
    </bk>
    <bk>
      <rc t="2" v="20217"/>
    </bk>
    <bk>
      <rc t="2" v="20218"/>
    </bk>
    <bk>
      <rc t="2" v="20219"/>
    </bk>
    <bk>
      <rc t="2" v="20220"/>
    </bk>
    <bk>
      <rc t="2" v="20221"/>
    </bk>
    <bk>
      <rc t="2" v="20222"/>
    </bk>
    <bk>
      <rc t="2" v="20223"/>
    </bk>
    <bk>
      <rc t="2" v="20224"/>
    </bk>
    <bk>
      <rc t="2" v="20225"/>
    </bk>
    <bk>
      <rc t="2" v="20226"/>
    </bk>
    <bk>
      <rc t="2" v="20227"/>
    </bk>
    <bk>
      <rc t="2" v="20228"/>
    </bk>
    <bk>
      <rc t="2" v="20229"/>
    </bk>
    <bk>
      <rc t="2" v="20230"/>
    </bk>
    <bk>
      <rc t="2" v="20231"/>
    </bk>
    <bk>
      <rc t="2" v="20232"/>
    </bk>
    <bk>
      <rc t="2" v="20233"/>
    </bk>
    <bk>
      <rc t="2" v="20234"/>
    </bk>
    <bk>
      <rc t="2" v="20235"/>
    </bk>
    <bk>
      <rc t="2" v="20236"/>
    </bk>
    <bk>
      <rc t="2" v="20237"/>
    </bk>
    <bk>
      <rc t="2" v="20238"/>
    </bk>
    <bk>
      <rc t="2" v="20239"/>
    </bk>
    <bk>
      <rc t="2" v="20240"/>
    </bk>
    <bk>
      <rc t="2" v="20241"/>
    </bk>
    <bk>
      <rc t="2" v="20242"/>
    </bk>
    <bk>
      <rc t="2" v="20243"/>
    </bk>
    <bk>
      <rc t="2" v="20244"/>
    </bk>
    <bk>
      <rc t="2" v="20245"/>
    </bk>
    <bk>
      <rc t="2" v="20246"/>
    </bk>
    <bk>
      <rc t="2" v="20247"/>
    </bk>
    <bk>
      <rc t="2" v="20248"/>
    </bk>
    <bk>
      <rc t="2" v="20249"/>
    </bk>
    <bk>
      <rc t="2" v="20250"/>
    </bk>
    <bk>
      <rc t="2" v="20251"/>
    </bk>
    <bk>
      <rc t="2" v="20252"/>
    </bk>
    <bk>
      <rc t="2" v="20253"/>
    </bk>
    <bk>
      <rc t="2" v="20254"/>
    </bk>
    <bk>
      <rc t="2" v="20255"/>
    </bk>
    <bk>
      <rc t="2" v="20256"/>
    </bk>
    <bk>
      <rc t="2" v="20257"/>
    </bk>
    <bk>
      <rc t="2" v="20258"/>
    </bk>
    <bk>
      <rc t="2" v="20259"/>
    </bk>
    <bk>
      <rc t="2" v="20260"/>
    </bk>
    <bk>
      <rc t="2" v="20261"/>
    </bk>
    <bk>
      <rc t="2" v="20262"/>
    </bk>
    <bk>
      <rc t="2" v="20263"/>
    </bk>
    <bk>
      <rc t="2" v="20264"/>
    </bk>
    <bk>
      <rc t="2" v="20265"/>
    </bk>
    <bk>
      <rc t="2" v="20266"/>
    </bk>
    <bk>
      <rc t="2" v="20267"/>
    </bk>
    <bk>
      <rc t="2" v="20268"/>
    </bk>
    <bk>
      <rc t="2" v="20269"/>
    </bk>
    <bk>
      <rc t="2" v="20270"/>
    </bk>
    <bk>
      <rc t="2" v="20271"/>
    </bk>
    <bk>
      <rc t="2" v="20272"/>
    </bk>
    <bk>
      <rc t="2" v="20273"/>
    </bk>
    <bk>
      <rc t="2" v="20274"/>
    </bk>
    <bk>
      <rc t="2" v="20275"/>
    </bk>
    <bk>
      <rc t="2" v="20276"/>
    </bk>
    <bk>
      <rc t="2" v="20277"/>
    </bk>
    <bk>
      <rc t="2" v="20278"/>
    </bk>
    <bk>
      <rc t="2" v="20279"/>
    </bk>
    <bk>
      <rc t="2" v="20280"/>
    </bk>
    <bk>
      <rc t="2" v="20281"/>
    </bk>
    <bk>
      <rc t="2" v="20282"/>
    </bk>
    <bk>
      <rc t="2" v="20283"/>
    </bk>
    <bk>
      <rc t="2" v="20284"/>
    </bk>
    <bk>
      <rc t="2" v="20285"/>
    </bk>
    <bk>
      <rc t="2" v="20286"/>
    </bk>
    <bk>
      <rc t="2" v="20287"/>
    </bk>
    <bk>
      <rc t="2" v="20288"/>
    </bk>
    <bk>
      <rc t="2" v="20289"/>
    </bk>
    <bk>
      <rc t="2" v="20290"/>
    </bk>
    <bk>
      <rc t="2" v="20291"/>
    </bk>
    <bk>
      <rc t="2" v="20292"/>
    </bk>
    <bk>
      <rc t="2" v="20293"/>
    </bk>
    <bk>
      <rc t="2" v="20294"/>
    </bk>
    <bk>
      <rc t="2" v="20295"/>
    </bk>
    <bk>
      <rc t="2" v="20296"/>
    </bk>
    <bk>
      <rc t="2" v="20297"/>
    </bk>
    <bk>
      <rc t="2" v="20298"/>
    </bk>
    <bk>
      <rc t="2" v="20299"/>
    </bk>
    <bk>
      <rc t="2" v="20300"/>
    </bk>
    <bk>
      <rc t="2" v="20301"/>
    </bk>
    <bk>
      <rc t="2" v="20302"/>
    </bk>
    <bk>
      <rc t="2" v="20303"/>
    </bk>
    <bk>
      <rc t="2" v="20304"/>
    </bk>
    <bk>
      <rc t="2" v="20305"/>
    </bk>
    <bk>
      <rc t="2" v="20306"/>
    </bk>
    <bk>
      <rc t="2" v="20307"/>
    </bk>
    <bk>
      <rc t="2" v="20308"/>
    </bk>
    <bk>
      <rc t="2" v="20309"/>
    </bk>
    <bk>
      <rc t="2" v="20310"/>
    </bk>
    <bk>
      <rc t="2" v="20311"/>
    </bk>
    <bk>
      <rc t="2" v="20312"/>
    </bk>
    <bk>
      <rc t="2" v="20313"/>
    </bk>
    <bk>
      <rc t="2" v="20314"/>
    </bk>
    <bk>
      <rc t="2" v="20315"/>
    </bk>
    <bk>
      <rc t="2" v="20316"/>
    </bk>
    <bk>
      <rc t="2" v="20317"/>
    </bk>
    <bk>
      <rc t="2" v="20318"/>
    </bk>
    <bk>
      <rc t="2" v="20319"/>
    </bk>
    <bk>
      <rc t="2" v="20320"/>
    </bk>
    <bk>
      <rc t="2" v="20321"/>
    </bk>
    <bk>
      <rc t="2" v="20322"/>
    </bk>
    <bk>
      <rc t="2" v="20323"/>
    </bk>
    <bk>
      <rc t="2" v="20324"/>
    </bk>
    <bk>
      <rc t="2" v="20325"/>
    </bk>
    <bk>
      <rc t="2" v="20326"/>
    </bk>
    <bk>
      <rc t="2" v="20327"/>
    </bk>
    <bk>
      <rc t="2" v="20328"/>
    </bk>
    <bk>
      <rc t="2" v="20329"/>
    </bk>
    <bk>
      <rc t="2" v="20330"/>
    </bk>
    <bk>
      <rc t="2" v="20331"/>
    </bk>
    <bk>
      <rc t="2" v="20332"/>
    </bk>
    <bk>
      <rc t="2" v="20333"/>
    </bk>
    <bk>
      <rc t="2" v="20334"/>
    </bk>
    <bk>
      <rc t="2" v="20335"/>
    </bk>
    <bk>
      <rc t="2" v="20336"/>
    </bk>
    <bk>
      <rc t="2" v="20337"/>
    </bk>
    <bk>
      <rc t="2" v="20338"/>
    </bk>
    <bk>
      <rc t="2" v="20339"/>
    </bk>
    <bk>
      <rc t="2" v="20340"/>
    </bk>
    <bk>
      <rc t="2" v="20341"/>
    </bk>
    <bk>
      <rc t="2" v="20342"/>
    </bk>
    <bk>
      <rc t="2" v="20343"/>
    </bk>
    <bk>
      <rc t="2" v="20344"/>
    </bk>
    <bk>
      <rc t="2" v="20345"/>
    </bk>
    <bk>
      <rc t="2" v="20346"/>
    </bk>
    <bk>
      <rc t="2" v="20347"/>
    </bk>
    <bk>
      <rc t="2" v="20348"/>
    </bk>
    <bk>
      <rc t="2" v="20349"/>
    </bk>
    <bk>
      <rc t="2" v="20350"/>
    </bk>
    <bk>
      <rc t="2" v="20351"/>
    </bk>
    <bk>
      <rc t="2" v="20352"/>
    </bk>
    <bk>
      <rc t="2" v="20353"/>
    </bk>
    <bk>
      <rc t="2" v="20354"/>
    </bk>
    <bk>
      <rc t="2" v="20355"/>
    </bk>
    <bk>
      <rc t="2" v="20356"/>
    </bk>
    <bk>
      <rc t="2" v="20357"/>
    </bk>
    <bk>
      <rc t="2" v="20358"/>
    </bk>
    <bk>
      <rc t="2" v="20359"/>
    </bk>
    <bk>
      <rc t="2" v="20360"/>
    </bk>
    <bk>
      <rc t="2" v="20361"/>
    </bk>
    <bk>
      <rc t="2" v="20362"/>
    </bk>
    <bk>
      <rc t="2" v="20363"/>
    </bk>
    <bk>
      <rc t="2" v="20364"/>
    </bk>
    <bk>
      <rc t="2" v="20365"/>
    </bk>
    <bk>
      <rc t="2" v="20366"/>
    </bk>
    <bk>
      <rc t="2" v="20367"/>
    </bk>
    <bk>
      <rc t="2" v="20368"/>
    </bk>
    <bk>
      <rc t="2" v="20369"/>
    </bk>
    <bk>
      <rc t="2" v="20370"/>
    </bk>
    <bk>
      <rc t="2" v="20371"/>
    </bk>
    <bk>
      <rc t="2" v="20372"/>
    </bk>
    <bk>
      <rc t="2" v="20373"/>
    </bk>
    <bk>
      <rc t="2" v="20374"/>
    </bk>
    <bk>
      <rc t="2" v="20375"/>
    </bk>
    <bk>
      <rc t="2" v="20376"/>
    </bk>
    <bk>
      <rc t="2" v="20377"/>
    </bk>
    <bk>
      <rc t="2" v="20378"/>
    </bk>
    <bk>
      <rc t="2" v="20379"/>
    </bk>
    <bk>
      <rc t="2" v="20380"/>
    </bk>
    <bk>
      <rc t="2" v="20381"/>
    </bk>
    <bk>
      <rc t="2" v="20382"/>
    </bk>
    <bk>
      <rc t="2" v="20383"/>
    </bk>
    <bk>
      <rc t="2" v="20384"/>
    </bk>
    <bk>
      <rc t="2" v="20385"/>
    </bk>
    <bk>
      <rc t="2" v="20386"/>
    </bk>
    <bk>
      <rc t="2" v="20387"/>
    </bk>
    <bk>
      <rc t="2" v="20388"/>
    </bk>
    <bk>
      <rc t="2" v="20389"/>
    </bk>
    <bk>
      <rc t="2" v="20390"/>
    </bk>
    <bk>
      <rc t="2" v="20391"/>
    </bk>
    <bk>
      <rc t="2" v="20392"/>
    </bk>
    <bk>
      <rc t="2" v="20393"/>
    </bk>
    <bk>
      <rc t="2" v="20394"/>
    </bk>
    <bk>
      <rc t="2" v="20395"/>
    </bk>
    <bk>
      <rc t="2" v="20396"/>
    </bk>
    <bk>
      <rc t="2" v="20397"/>
    </bk>
    <bk>
      <rc t="2" v="20398"/>
    </bk>
    <bk>
      <rc t="2" v="20399"/>
    </bk>
    <bk>
      <rc t="2" v="20400"/>
    </bk>
    <bk>
      <rc t="2" v="20401"/>
    </bk>
    <bk>
      <rc t="2" v="20402"/>
    </bk>
    <bk>
      <rc t="2" v="20403"/>
    </bk>
    <bk>
      <rc t="2" v="20404"/>
    </bk>
    <bk>
      <rc t="2" v="20405"/>
    </bk>
    <bk>
      <rc t="2" v="20406"/>
    </bk>
    <bk>
      <rc t="2" v="20407"/>
    </bk>
    <bk>
      <rc t="2" v="20408"/>
    </bk>
    <bk>
      <rc t="2" v="20409"/>
    </bk>
    <bk>
      <rc t="2" v="20410"/>
    </bk>
    <bk>
      <rc t="2" v="20411"/>
    </bk>
    <bk>
      <rc t="2" v="20412"/>
    </bk>
    <bk>
      <rc t="2" v="20413"/>
    </bk>
    <bk>
      <rc t="2" v="20414"/>
    </bk>
    <bk>
      <rc t="2" v="20415"/>
    </bk>
    <bk>
      <rc t="2" v="20416"/>
    </bk>
    <bk>
      <rc t="2" v="20417"/>
    </bk>
    <bk>
      <rc t="2" v="20418"/>
    </bk>
    <bk>
      <rc t="2" v="20419"/>
    </bk>
    <bk>
      <rc t="2" v="20420"/>
    </bk>
    <bk>
      <rc t="2" v="20421"/>
    </bk>
    <bk>
      <rc t="2" v="20422"/>
    </bk>
    <bk>
      <rc t="2" v="20423"/>
    </bk>
    <bk>
      <rc t="2" v="20424"/>
    </bk>
    <bk>
      <rc t="2" v="20425"/>
    </bk>
    <bk>
      <rc t="2" v="20426"/>
    </bk>
    <bk>
      <rc t="2" v="20427"/>
    </bk>
    <bk>
      <rc t="2" v="20428"/>
    </bk>
    <bk>
      <rc t="2" v="20429"/>
    </bk>
    <bk>
      <rc t="2" v="20430"/>
    </bk>
    <bk>
      <rc t="2" v="20431"/>
    </bk>
    <bk>
      <rc t="2" v="20432"/>
    </bk>
    <bk>
      <rc t="2" v="20433"/>
    </bk>
    <bk>
      <rc t="2" v="20434"/>
    </bk>
    <bk>
      <rc t="2" v="20435"/>
    </bk>
    <bk>
      <rc t="2" v="20436"/>
    </bk>
    <bk>
      <rc t="2" v="20437"/>
    </bk>
    <bk>
      <rc t="2" v="20438"/>
    </bk>
    <bk>
      <rc t="2" v="20439"/>
    </bk>
    <bk>
      <rc t="2" v="20440"/>
    </bk>
    <bk>
      <rc t="2" v="20441"/>
    </bk>
    <bk>
      <rc t="2" v="20442"/>
    </bk>
    <bk>
      <rc t="2" v="20443"/>
    </bk>
    <bk>
      <rc t="2" v="20444"/>
    </bk>
    <bk>
      <rc t="2" v="20445"/>
    </bk>
    <bk>
      <rc t="2" v="20446"/>
    </bk>
    <bk>
      <rc t="2" v="20447"/>
    </bk>
    <bk>
      <rc t="2" v="20448"/>
    </bk>
    <bk>
      <rc t="2" v="20449"/>
    </bk>
    <bk>
      <rc t="2" v="20450"/>
    </bk>
    <bk>
      <rc t="2" v="20451"/>
    </bk>
    <bk>
      <rc t="2" v="20452"/>
    </bk>
    <bk>
      <rc t="2" v="20453"/>
    </bk>
    <bk>
      <rc t="2" v="20454"/>
    </bk>
    <bk>
      <rc t="2" v="20455"/>
    </bk>
    <bk>
      <rc t="2" v="20456"/>
    </bk>
    <bk>
      <rc t="2" v="20457"/>
    </bk>
    <bk>
      <rc t="2" v="20458"/>
    </bk>
    <bk>
      <rc t="2" v="20459"/>
    </bk>
    <bk>
      <rc t="2" v="20460"/>
    </bk>
    <bk>
      <rc t="2" v="20461"/>
    </bk>
    <bk>
      <rc t="2" v="20462"/>
    </bk>
    <bk>
      <rc t="2" v="20463"/>
    </bk>
    <bk>
      <rc t="2" v="20464"/>
    </bk>
    <bk>
      <rc t="2" v="20465"/>
    </bk>
    <bk>
      <rc t="2" v="20466"/>
    </bk>
    <bk>
      <rc t="2" v="20467"/>
    </bk>
    <bk>
      <rc t="2" v="20468"/>
    </bk>
    <bk>
      <rc t="2" v="20469"/>
    </bk>
    <bk>
      <rc t="2" v="20470"/>
    </bk>
    <bk>
      <rc t="2" v="20471"/>
    </bk>
    <bk>
      <rc t="2" v="20472"/>
    </bk>
    <bk>
      <rc t="2" v="20473"/>
    </bk>
    <bk>
      <rc t="2" v="20474"/>
    </bk>
    <bk>
      <rc t="2" v="20475"/>
    </bk>
    <bk>
      <rc t="2" v="20476"/>
    </bk>
    <bk>
      <rc t="2" v="20477"/>
    </bk>
    <bk>
      <rc t="2" v="20478"/>
    </bk>
    <bk>
      <rc t="2" v="20479"/>
    </bk>
    <bk>
      <rc t="2" v="20480"/>
    </bk>
    <bk>
      <rc t="2" v="20481"/>
    </bk>
    <bk>
      <rc t="2" v="20482"/>
    </bk>
    <bk>
      <rc t="2" v="20483"/>
    </bk>
    <bk>
      <rc t="2" v="20484"/>
    </bk>
    <bk>
      <rc t="2" v="20485"/>
    </bk>
    <bk>
      <rc t="2" v="20486"/>
    </bk>
    <bk>
      <rc t="2" v="20487"/>
    </bk>
    <bk>
      <rc t="2" v="20488"/>
    </bk>
    <bk>
      <rc t="2" v="20489"/>
    </bk>
    <bk>
      <rc t="2" v="20490"/>
    </bk>
    <bk>
      <rc t="2" v="20491"/>
    </bk>
    <bk>
      <rc t="2" v="20492"/>
    </bk>
    <bk>
      <rc t="2" v="20493"/>
    </bk>
    <bk>
      <rc t="2" v="20494"/>
    </bk>
    <bk>
      <rc t="2" v="20495"/>
    </bk>
    <bk>
      <rc t="2" v="20496"/>
    </bk>
    <bk>
      <rc t="2" v="20497"/>
    </bk>
    <bk>
      <rc t="2" v="20498"/>
    </bk>
    <bk>
      <rc t="2" v="20499"/>
    </bk>
    <bk>
      <rc t="2" v="20500"/>
    </bk>
    <bk>
      <rc t="2" v="20501"/>
    </bk>
    <bk>
      <rc t="2" v="20502"/>
    </bk>
    <bk>
      <rc t="2" v="20503"/>
    </bk>
    <bk>
      <rc t="2" v="20504"/>
    </bk>
    <bk>
      <rc t="2" v="20505"/>
    </bk>
    <bk>
      <rc t="2" v="20506"/>
    </bk>
    <bk>
      <rc t="2" v="20507"/>
    </bk>
    <bk>
      <rc t="2" v="20508"/>
    </bk>
    <bk>
      <rc t="2" v="20509"/>
    </bk>
    <bk>
      <rc t="2" v="20510"/>
    </bk>
    <bk>
      <rc t="2" v="20511"/>
    </bk>
    <bk>
      <rc t="2" v="20512"/>
    </bk>
    <bk>
      <rc t="2" v="20513"/>
    </bk>
    <bk>
      <rc t="2" v="20514"/>
    </bk>
    <bk>
      <rc t="2" v="20515"/>
    </bk>
    <bk>
      <rc t="2" v="20516"/>
    </bk>
    <bk>
      <rc t="2" v="20517"/>
    </bk>
    <bk>
      <rc t="2" v="20518"/>
    </bk>
    <bk>
      <rc t="2" v="20519"/>
    </bk>
    <bk>
      <rc t="2" v="20520"/>
    </bk>
    <bk>
      <rc t="2" v="20521"/>
    </bk>
    <bk>
      <rc t="2" v="20522"/>
    </bk>
    <bk>
      <rc t="2" v="20523"/>
    </bk>
    <bk>
      <rc t="2" v="20524"/>
    </bk>
    <bk>
      <rc t="2" v="20525"/>
    </bk>
    <bk>
      <rc t="2" v="20526"/>
    </bk>
    <bk>
      <rc t="2" v="20527"/>
    </bk>
    <bk>
      <rc t="2" v="20528"/>
    </bk>
    <bk>
      <rc t="2" v="20529"/>
    </bk>
    <bk>
      <rc t="2" v="20530"/>
    </bk>
    <bk>
      <rc t="2" v="20531"/>
    </bk>
    <bk>
      <rc t="2" v="20532"/>
    </bk>
    <bk>
      <rc t="2" v="20533"/>
    </bk>
    <bk>
      <rc t="2" v="20534"/>
    </bk>
    <bk>
      <rc t="2" v="20535"/>
    </bk>
    <bk>
      <rc t="2" v="20536"/>
    </bk>
    <bk>
      <rc t="2" v="20537"/>
    </bk>
    <bk>
      <rc t="2" v="20538"/>
    </bk>
    <bk>
      <rc t="2" v="20539"/>
    </bk>
    <bk>
      <rc t="2" v="20540"/>
    </bk>
    <bk>
      <rc t="2" v="20541"/>
    </bk>
    <bk>
      <rc t="2" v="20542"/>
    </bk>
    <bk>
      <rc t="2" v="20543"/>
    </bk>
    <bk>
      <rc t="2" v="20544"/>
    </bk>
    <bk>
      <rc t="2" v="20545"/>
    </bk>
    <bk>
      <rc t="2" v="20546"/>
    </bk>
    <bk>
      <rc t="2" v="20547"/>
    </bk>
    <bk>
      <rc t="2" v="20548"/>
    </bk>
    <bk>
      <rc t="2" v="20549"/>
    </bk>
    <bk>
      <rc t="2" v="20550"/>
    </bk>
    <bk>
      <rc t="2" v="20551"/>
    </bk>
    <bk>
      <rc t="2" v="20552"/>
    </bk>
    <bk>
      <rc t="2" v="20553"/>
    </bk>
    <bk>
      <rc t="2" v="20554"/>
    </bk>
    <bk>
      <rc t="2" v="20555"/>
    </bk>
    <bk>
      <rc t="2" v="20556"/>
    </bk>
    <bk>
      <rc t="2" v="20557"/>
    </bk>
    <bk>
      <rc t="2" v="20558"/>
    </bk>
    <bk>
      <rc t="2" v="20559"/>
    </bk>
    <bk>
      <rc t="2" v="20560"/>
    </bk>
    <bk>
      <rc t="2" v="20561"/>
    </bk>
    <bk>
      <rc t="2" v="20562"/>
    </bk>
    <bk>
      <rc t="2" v="20563"/>
    </bk>
    <bk>
      <rc t="2" v="20564"/>
    </bk>
    <bk>
      <rc t="2" v="20565"/>
    </bk>
    <bk>
      <rc t="2" v="20566"/>
    </bk>
    <bk>
      <rc t="2" v="20567"/>
    </bk>
    <bk>
      <rc t="2" v="20568"/>
    </bk>
    <bk>
      <rc t="2" v="20569"/>
    </bk>
    <bk>
      <rc t="2" v="20570"/>
    </bk>
    <bk>
      <rc t="2" v="20571"/>
    </bk>
    <bk>
      <rc t="2" v="20572"/>
    </bk>
    <bk>
      <rc t="2" v="20573"/>
    </bk>
    <bk>
      <rc t="2" v="20574"/>
    </bk>
    <bk>
      <rc t="2" v="20575"/>
    </bk>
    <bk>
      <rc t="2" v="20576"/>
    </bk>
    <bk>
      <rc t="2" v="20577"/>
    </bk>
    <bk>
      <rc t="2" v="20578"/>
    </bk>
    <bk>
      <rc t="2" v="20579"/>
    </bk>
    <bk>
      <rc t="2" v="20580"/>
    </bk>
    <bk>
      <rc t="2" v="20581"/>
    </bk>
    <bk>
      <rc t="2" v="20582"/>
    </bk>
    <bk>
      <rc t="2" v="20583"/>
    </bk>
    <bk>
      <rc t="2" v="20584"/>
    </bk>
    <bk>
      <rc t="2" v="20585"/>
    </bk>
    <bk>
      <rc t="2" v="20586"/>
    </bk>
    <bk>
      <rc t="2" v="20587"/>
    </bk>
    <bk>
      <rc t="2" v="20588"/>
    </bk>
    <bk>
      <rc t="2" v="20589"/>
    </bk>
    <bk>
      <rc t="2" v="20590"/>
    </bk>
    <bk>
      <rc t="2" v="20591"/>
    </bk>
    <bk>
      <rc t="2" v="20592"/>
    </bk>
    <bk>
      <rc t="2" v="20593"/>
    </bk>
    <bk>
      <rc t="2" v="20594"/>
    </bk>
    <bk>
      <rc t="2" v="20595"/>
    </bk>
    <bk>
      <rc t="2" v="20596"/>
    </bk>
    <bk>
      <rc t="2" v="20597"/>
    </bk>
    <bk>
      <rc t="2" v="20598"/>
    </bk>
    <bk>
      <rc t="2" v="20599"/>
    </bk>
    <bk>
      <rc t="2" v="20600"/>
    </bk>
    <bk>
      <rc t="2" v="20601"/>
    </bk>
    <bk>
      <rc t="2" v="20602"/>
    </bk>
    <bk>
      <rc t="2" v="20603"/>
    </bk>
    <bk>
      <rc t="2" v="20604"/>
    </bk>
    <bk>
      <rc t="2" v="20605"/>
    </bk>
    <bk>
      <rc t="2" v="20606"/>
    </bk>
    <bk>
      <rc t="2" v="20607"/>
    </bk>
    <bk>
      <rc t="2" v="20608"/>
    </bk>
    <bk>
      <rc t="2" v="20609"/>
    </bk>
    <bk>
      <rc t="2" v="20610"/>
    </bk>
    <bk>
      <rc t="2" v="20611"/>
    </bk>
    <bk>
      <rc t="2" v="20612"/>
    </bk>
    <bk>
      <rc t="2" v="20613"/>
    </bk>
    <bk>
      <rc t="2" v="20614"/>
    </bk>
    <bk>
      <rc t="2" v="20615"/>
    </bk>
    <bk>
      <rc t="2" v="20616"/>
    </bk>
    <bk>
      <rc t="2" v="20617"/>
    </bk>
    <bk>
      <rc t="2" v="20618"/>
    </bk>
    <bk>
      <rc t="2" v="20619"/>
    </bk>
    <bk>
      <rc t="2" v="20620"/>
    </bk>
    <bk>
      <rc t="2" v="20621"/>
    </bk>
    <bk>
      <rc t="2" v="20622"/>
    </bk>
    <bk>
      <rc t="2" v="20623"/>
    </bk>
    <bk>
      <rc t="2" v="20624"/>
    </bk>
    <bk>
      <rc t="2" v="20625"/>
    </bk>
    <bk>
      <rc t="2" v="20626"/>
    </bk>
    <bk>
      <rc t="2" v="20627"/>
    </bk>
    <bk>
      <rc t="2" v="20628"/>
    </bk>
    <bk>
      <rc t="2" v="20629"/>
    </bk>
    <bk>
      <rc t="2" v="20630"/>
    </bk>
    <bk>
      <rc t="2" v="20631"/>
    </bk>
    <bk>
      <rc t="2" v="20632"/>
    </bk>
    <bk>
      <rc t="2" v="20633"/>
    </bk>
    <bk>
      <rc t="2" v="20634"/>
    </bk>
    <bk>
      <rc t="2" v="20635"/>
    </bk>
    <bk>
      <rc t="2" v="20636"/>
    </bk>
    <bk>
      <rc t="2" v="20637"/>
    </bk>
    <bk>
      <rc t="2" v="20638"/>
    </bk>
    <bk>
      <rc t="2" v="20639"/>
    </bk>
    <bk>
      <rc t="2" v="20640"/>
    </bk>
    <bk>
      <rc t="2" v="20641"/>
    </bk>
    <bk>
      <rc t="2" v="20642"/>
    </bk>
    <bk>
      <rc t="2" v="20643"/>
    </bk>
    <bk>
      <rc t="2" v="20644"/>
    </bk>
    <bk>
      <rc t="2" v="20645"/>
    </bk>
    <bk>
      <rc t="2" v="20646"/>
    </bk>
    <bk>
      <rc t="2" v="20647"/>
    </bk>
    <bk>
      <rc t="2" v="20648"/>
    </bk>
    <bk>
      <rc t="2" v="20649"/>
    </bk>
    <bk>
      <rc t="2" v="20650"/>
    </bk>
    <bk>
      <rc t="2" v="20651"/>
    </bk>
    <bk>
      <rc t="2" v="20652"/>
    </bk>
    <bk>
      <rc t="2" v="20653"/>
    </bk>
    <bk>
      <rc t="2" v="20654"/>
    </bk>
    <bk>
      <rc t="2" v="20655"/>
    </bk>
    <bk>
      <rc t="2" v="20656"/>
    </bk>
    <bk>
      <rc t="2" v="20657"/>
    </bk>
    <bk>
      <rc t="2" v="20658"/>
    </bk>
    <bk>
      <rc t="2" v="20659"/>
    </bk>
    <bk>
      <rc t="2" v="20660"/>
    </bk>
    <bk>
      <rc t="2" v="20661"/>
    </bk>
    <bk>
      <rc t="2" v="20662"/>
    </bk>
    <bk>
      <rc t="2" v="20663"/>
    </bk>
    <bk>
      <rc t="2" v="20664"/>
    </bk>
    <bk>
      <rc t="2" v="20665"/>
    </bk>
    <bk>
      <rc t="2" v="20666"/>
    </bk>
    <bk>
      <rc t="2" v="20667"/>
    </bk>
    <bk>
      <rc t="2" v="20668"/>
    </bk>
    <bk>
      <rc t="2" v="20669"/>
    </bk>
    <bk>
      <rc t="2" v="20670"/>
    </bk>
    <bk>
      <rc t="2" v="20671"/>
    </bk>
    <bk>
      <rc t="2" v="20672"/>
    </bk>
    <bk>
      <rc t="2" v="20673"/>
    </bk>
    <bk>
      <rc t="2" v="20674"/>
    </bk>
    <bk>
      <rc t="2" v="20675"/>
    </bk>
    <bk>
      <rc t="2" v="20676"/>
    </bk>
    <bk>
      <rc t="2" v="20677"/>
    </bk>
    <bk>
      <rc t="2" v="20678"/>
    </bk>
    <bk>
      <rc t="2" v="20679"/>
    </bk>
    <bk>
      <rc t="2" v="20680"/>
    </bk>
    <bk>
      <rc t="2" v="20681"/>
    </bk>
    <bk>
      <rc t="2" v="20682"/>
    </bk>
    <bk>
      <rc t="2" v="20683"/>
    </bk>
    <bk>
      <rc t="2" v="20684"/>
    </bk>
    <bk>
      <rc t="2" v="20685"/>
    </bk>
    <bk>
      <rc t="2" v="20686"/>
    </bk>
    <bk>
      <rc t="2" v="20687"/>
    </bk>
    <bk>
      <rc t="2" v="20688"/>
    </bk>
    <bk>
      <rc t="2" v="20689"/>
    </bk>
    <bk>
      <rc t="2" v="20690"/>
    </bk>
    <bk>
      <rc t="2" v="20691"/>
    </bk>
    <bk>
      <rc t="2" v="20692"/>
    </bk>
    <bk>
      <rc t="2" v="20693"/>
    </bk>
    <bk>
      <rc t="2" v="20694"/>
    </bk>
    <bk>
      <rc t="2" v="20695"/>
    </bk>
    <bk>
      <rc t="2" v="20696"/>
    </bk>
    <bk>
      <rc t="2" v="20697"/>
    </bk>
    <bk>
      <rc t="2" v="20698"/>
    </bk>
    <bk>
      <rc t="2" v="20699"/>
    </bk>
    <bk>
      <rc t="2" v="20700"/>
    </bk>
    <bk>
      <rc t="2" v="20701"/>
    </bk>
    <bk>
      <rc t="2" v="20702"/>
    </bk>
    <bk>
      <rc t="2" v="20703"/>
    </bk>
    <bk>
      <rc t="2" v="20704"/>
    </bk>
    <bk>
      <rc t="2" v="20705"/>
    </bk>
    <bk>
      <rc t="2" v="20706"/>
    </bk>
    <bk>
      <rc t="2" v="20707"/>
    </bk>
    <bk>
      <rc t="2" v="20708"/>
    </bk>
    <bk>
      <rc t="2" v="20709"/>
    </bk>
    <bk>
      <rc t="2" v="20710"/>
    </bk>
    <bk>
      <rc t="2" v="20711"/>
    </bk>
    <bk>
      <rc t="2" v="20712"/>
    </bk>
    <bk>
      <rc t="2" v="20713"/>
    </bk>
    <bk>
      <rc t="2" v="20714"/>
    </bk>
    <bk>
      <rc t="2" v="20715"/>
    </bk>
    <bk>
      <rc t="2" v="20716"/>
    </bk>
    <bk>
      <rc t="2" v="20717"/>
    </bk>
    <bk>
      <rc t="2" v="20718"/>
    </bk>
    <bk>
      <rc t="2" v="20719"/>
    </bk>
    <bk>
      <rc t="2" v="20720"/>
    </bk>
    <bk>
      <rc t="2" v="20721"/>
    </bk>
    <bk>
      <rc t="2" v="20722"/>
    </bk>
    <bk>
      <rc t="2" v="20723"/>
    </bk>
    <bk>
      <rc t="2" v="20724"/>
    </bk>
    <bk>
      <rc t="2" v="20725"/>
    </bk>
    <bk>
      <rc t="2" v="20726"/>
    </bk>
    <bk>
      <rc t="2" v="20727"/>
    </bk>
    <bk>
      <rc t="2" v="20728"/>
    </bk>
    <bk>
      <rc t="2" v="20729"/>
    </bk>
    <bk>
      <rc t="2" v="20730"/>
    </bk>
    <bk>
      <rc t="2" v="20731"/>
    </bk>
    <bk>
      <rc t="2" v="20732"/>
    </bk>
    <bk>
      <rc t="2" v="20733"/>
    </bk>
    <bk>
      <rc t="2" v="20734"/>
    </bk>
    <bk>
      <rc t="2" v="20735"/>
    </bk>
    <bk>
      <rc t="2" v="20736"/>
    </bk>
    <bk>
      <rc t="2" v="20737"/>
    </bk>
    <bk>
      <rc t="2" v="20738"/>
    </bk>
    <bk>
      <rc t="2" v="20739"/>
    </bk>
    <bk>
      <rc t="2" v="20740"/>
    </bk>
    <bk>
      <rc t="2" v="20741"/>
    </bk>
    <bk>
      <rc t="2" v="20742"/>
    </bk>
    <bk>
      <rc t="2" v="20743"/>
    </bk>
    <bk>
      <rc t="2" v="20744"/>
    </bk>
    <bk>
      <rc t="2" v="20745"/>
    </bk>
    <bk>
      <rc t="2" v="20746"/>
    </bk>
    <bk>
      <rc t="2" v="20747"/>
    </bk>
    <bk>
      <rc t="2" v="20748"/>
    </bk>
    <bk>
      <rc t="2" v="20749"/>
    </bk>
    <bk>
      <rc t="2" v="20750"/>
    </bk>
    <bk>
      <rc t="2" v="20751"/>
    </bk>
    <bk>
      <rc t="2" v="20752"/>
    </bk>
    <bk>
      <rc t="2" v="20753"/>
    </bk>
    <bk>
      <rc t="2" v="20754"/>
    </bk>
    <bk>
      <rc t="2" v="20755"/>
    </bk>
    <bk>
      <rc t="2" v="20756"/>
    </bk>
    <bk>
      <rc t="2" v="20757"/>
    </bk>
    <bk>
      <rc t="2" v="20758"/>
    </bk>
    <bk>
      <rc t="2" v="20759"/>
    </bk>
    <bk>
      <rc t="2" v="20760"/>
    </bk>
    <bk>
      <rc t="2" v="20761"/>
    </bk>
    <bk>
      <rc t="2" v="20762"/>
    </bk>
    <bk>
      <rc t="2" v="20763"/>
    </bk>
    <bk>
      <rc t="2" v="20764"/>
    </bk>
    <bk>
      <rc t="2" v="20765"/>
    </bk>
    <bk>
      <rc t="2" v="20766"/>
    </bk>
    <bk>
      <rc t="2" v="20767"/>
    </bk>
    <bk>
      <rc t="2" v="20768"/>
    </bk>
    <bk>
      <rc t="2" v="20769"/>
    </bk>
    <bk>
      <rc t="2" v="20770"/>
    </bk>
    <bk>
      <rc t="2" v="20771"/>
    </bk>
    <bk>
      <rc t="2" v="20772"/>
    </bk>
    <bk>
      <rc t="2" v="20773"/>
    </bk>
    <bk>
      <rc t="2" v="20774"/>
    </bk>
    <bk>
      <rc t="2" v="20775"/>
    </bk>
    <bk>
      <rc t="2" v="20776"/>
    </bk>
    <bk>
      <rc t="2" v="20777"/>
    </bk>
    <bk>
      <rc t="2" v="20778"/>
    </bk>
    <bk>
      <rc t="2" v="20779"/>
    </bk>
    <bk>
      <rc t="2" v="20780"/>
    </bk>
    <bk>
      <rc t="2" v="20781"/>
    </bk>
    <bk>
      <rc t="2" v="20782"/>
    </bk>
    <bk>
      <rc t="2" v="20783"/>
    </bk>
    <bk>
      <rc t="2" v="20784"/>
    </bk>
    <bk>
      <rc t="2" v="20785"/>
    </bk>
    <bk>
      <rc t="2" v="20786"/>
    </bk>
    <bk>
      <rc t="2" v="20787"/>
    </bk>
    <bk>
      <rc t="2" v="20788"/>
    </bk>
    <bk>
      <rc t="2" v="20789"/>
    </bk>
    <bk>
      <rc t="2" v="20790"/>
    </bk>
    <bk>
      <rc t="2" v="20791"/>
    </bk>
    <bk>
      <rc t="2" v="20792"/>
    </bk>
    <bk>
      <rc t="2" v="20793"/>
    </bk>
    <bk>
      <rc t="2" v="20794"/>
    </bk>
    <bk>
      <rc t="2" v="20795"/>
    </bk>
    <bk>
      <rc t="2" v="20796"/>
    </bk>
    <bk>
      <rc t="2" v="20797"/>
    </bk>
    <bk>
      <rc t="2" v="20798"/>
    </bk>
    <bk>
      <rc t="2" v="20799"/>
    </bk>
    <bk>
      <rc t="2" v="20800"/>
    </bk>
    <bk>
      <rc t="2" v="20801"/>
    </bk>
    <bk>
      <rc t="2" v="20802"/>
    </bk>
    <bk>
      <rc t="2" v="20803"/>
    </bk>
    <bk>
      <rc t="2" v="20804"/>
    </bk>
    <bk>
      <rc t="2" v="20805"/>
    </bk>
    <bk>
      <rc t="2" v="20806"/>
    </bk>
    <bk>
      <rc t="2" v="20807"/>
    </bk>
    <bk>
      <rc t="2" v="20808"/>
    </bk>
    <bk>
      <rc t="2" v="20809"/>
    </bk>
    <bk>
      <rc t="2" v="20810"/>
    </bk>
    <bk>
      <rc t="2" v="20811"/>
    </bk>
    <bk>
      <rc t="2" v="20812"/>
    </bk>
    <bk>
      <rc t="2" v="20813"/>
    </bk>
    <bk>
      <rc t="2" v="20814"/>
    </bk>
    <bk>
      <rc t="2" v="20815"/>
    </bk>
    <bk>
      <rc t="2" v="20816"/>
    </bk>
    <bk>
      <rc t="2" v="20817"/>
    </bk>
    <bk>
      <rc t="2" v="20818"/>
    </bk>
    <bk>
      <rc t="2" v="20819"/>
    </bk>
    <bk>
      <rc t="2" v="20820"/>
    </bk>
    <bk>
      <rc t="2" v="20821"/>
    </bk>
    <bk>
      <rc t="2" v="20822"/>
    </bk>
    <bk>
      <rc t="2" v="20823"/>
    </bk>
    <bk>
      <rc t="2" v="20824"/>
    </bk>
    <bk>
      <rc t="2" v="20825"/>
    </bk>
    <bk>
      <rc t="2" v="20826"/>
    </bk>
    <bk>
      <rc t="2" v="20827"/>
    </bk>
    <bk>
      <rc t="2" v="20828"/>
    </bk>
    <bk>
      <rc t="2" v="20829"/>
    </bk>
    <bk>
      <rc t="2" v="20830"/>
    </bk>
    <bk>
      <rc t="2" v="20831"/>
    </bk>
    <bk>
      <rc t="2" v="20832"/>
    </bk>
    <bk>
      <rc t="2" v="20833"/>
    </bk>
    <bk>
      <rc t="2" v="20834"/>
    </bk>
    <bk>
      <rc t="2" v="20835"/>
    </bk>
    <bk>
      <rc t="2" v="20836"/>
    </bk>
    <bk>
      <rc t="2" v="20837"/>
    </bk>
    <bk>
      <rc t="2" v="20838"/>
    </bk>
    <bk>
      <rc t="2" v="20839"/>
    </bk>
    <bk>
      <rc t="2" v="20840"/>
    </bk>
    <bk>
      <rc t="2" v="20841"/>
    </bk>
    <bk>
      <rc t="2" v="20842"/>
    </bk>
    <bk>
      <rc t="2" v="20843"/>
    </bk>
    <bk>
      <rc t="2" v="20844"/>
    </bk>
    <bk>
      <rc t="2" v="20845"/>
    </bk>
    <bk>
      <rc t="2" v="20846"/>
    </bk>
    <bk>
      <rc t="2" v="20847"/>
    </bk>
    <bk>
      <rc t="2" v="20848"/>
    </bk>
    <bk>
      <rc t="2" v="20849"/>
    </bk>
    <bk>
      <rc t="2" v="20850"/>
    </bk>
    <bk>
      <rc t="2" v="20851"/>
    </bk>
    <bk>
      <rc t="2" v="20852"/>
    </bk>
    <bk>
      <rc t="2" v="20853"/>
    </bk>
    <bk>
      <rc t="2" v="20854"/>
    </bk>
    <bk>
      <rc t="2" v="20855"/>
    </bk>
    <bk>
      <rc t="2" v="20856"/>
    </bk>
    <bk>
      <rc t="2" v="20857"/>
    </bk>
    <bk>
      <rc t="2" v="20858"/>
    </bk>
    <bk>
      <rc t="2" v="20859"/>
    </bk>
    <bk>
      <rc t="2" v="20860"/>
    </bk>
    <bk>
      <rc t="2" v="20861"/>
    </bk>
    <bk>
      <rc t="2" v="20862"/>
    </bk>
    <bk>
      <rc t="2" v="20863"/>
    </bk>
    <bk>
      <rc t="2" v="20864"/>
    </bk>
    <bk>
      <rc t="2" v="20865"/>
    </bk>
    <bk>
      <rc t="2" v="20866"/>
    </bk>
    <bk>
      <rc t="2" v="20867"/>
    </bk>
    <bk>
      <rc t="2" v="20868"/>
    </bk>
    <bk>
      <rc t="2" v="20869"/>
    </bk>
    <bk>
      <rc t="2" v="20870"/>
    </bk>
    <bk>
      <rc t="2" v="20871"/>
    </bk>
    <bk>
      <rc t="2" v="20872"/>
    </bk>
    <bk>
      <rc t="2" v="20873"/>
    </bk>
    <bk>
      <rc t="2" v="20874"/>
    </bk>
    <bk>
      <rc t="2" v="20875"/>
    </bk>
    <bk>
      <rc t="2" v="20876"/>
    </bk>
    <bk>
      <rc t="2" v="20877"/>
    </bk>
    <bk>
      <rc t="2" v="20878"/>
    </bk>
    <bk>
      <rc t="2" v="20879"/>
    </bk>
    <bk>
      <rc t="2" v="20880"/>
    </bk>
    <bk>
      <rc t="2" v="20881"/>
    </bk>
    <bk>
      <rc t="2" v="20882"/>
    </bk>
    <bk>
      <rc t="2" v="20883"/>
    </bk>
    <bk>
      <rc t="2" v="20884"/>
    </bk>
    <bk>
      <rc t="2" v="20885"/>
    </bk>
    <bk>
      <rc t="2" v="20886"/>
    </bk>
    <bk>
      <rc t="2" v="20887"/>
    </bk>
    <bk>
      <rc t="2" v="20888"/>
    </bk>
    <bk>
      <rc t="2" v="20889"/>
    </bk>
    <bk>
      <rc t="2" v="20890"/>
    </bk>
    <bk>
      <rc t="2" v="20891"/>
    </bk>
    <bk>
      <rc t="2" v="20892"/>
    </bk>
    <bk>
      <rc t="2" v="20893"/>
    </bk>
    <bk>
      <rc t="2" v="20894"/>
    </bk>
    <bk>
      <rc t="2" v="20895"/>
    </bk>
    <bk>
      <rc t="2" v="20896"/>
    </bk>
    <bk>
      <rc t="2" v="20897"/>
    </bk>
    <bk>
      <rc t="2" v="20898"/>
    </bk>
    <bk>
      <rc t="2" v="20899"/>
    </bk>
    <bk>
      <rc t="2" v="20900"/>
    </bk>
    <bk>
      <rc t="2" v="20901"/>
    </bk>
    <bk>
      <rc t="2" v="20902"/>
    </bk>
    <bk>
      <rc t="2" v="20903"/>
    </bk>
    <bk>
      <rc t="2" v="20904"/>
    </bk>
    <bk>
      <rc t="2" v="20905"/>
    </bk>
    <bk>
      <rc t="2" v="20906"/>
    </bk>
    <bk>
      <rc t="2" v="20907"/>
    </bk>
    <bk>
      <rc t="2" v="20908"/>
    </bk>
    <bk>
      <rc t="2" v="20909"/>
    </bk>
    <bk>
      <rc t="2" v="20910"/>
    </bk>
    <bk>
      <rc t="2" v="20911"/>
    </bk>
    <bk>
      <rc t="2" v="20912"/>
    </bk>
    <bk>
      <rc t="2" v="20913"/>
    </bk>
    <bk>
      <rc t="2" v="20914"/>
    </bk>
    <bk>
      <rc t="2" v="20915"/>
    </bk>
    <bk>
      <rc t="2" v="20916"/>
    </bk>
    <bk>
      <rc t="2" v="20917"/>
    </bk>
    <bk>
      <rc t="2" v="20918"/>
    </bk>
    <bk>
      <rc t="2" v="20919"/>
    </bk>
    <bk>
      <rc t="2" v="20920"/>
    </bk>
    <bk>
      <rc t="2" v="20921"/>
    </bk>
    <bk>
      <rc t="2" v="20922"/>
    </bk>
    <bk>
      <rc t="2" v="20923"/>
    </bk>
    <bk>
      <rc t="2" v="20924"/>
    </bk>
    <bk>
      <rc t="2" v="20925"/>
    </bk>
    <bk>
      <rc t="2" v="20926"/>
    </bk>
    <bk>
      <rc t="2" v="20927"/>
    </bk>
    <bk>
      <rc t="2" v="20928"/>
    </bk>
    <bk>
      <rc t="2" v="20929"/>
    </bk>
    <bk>
      <rc t="2" v="20930"/>
    </bk>
    <bk>
      <rc t="2" v="20931"/>
    </bk>
    <bk>
      <rc t="2" v="20932"/>
    </bk>
    <bk>
      <rc t="2" v="20933"/>
    </bk>
    <bk>
      <rc t="2" v="20934"/>
    </bk>
    <bk>
      <rc t="2" v="20935"/>
    </bk>
    <bk>
      <rc t="2" v="20936"/>
    </bk>
    <bk>
      <rc t="2" v="20937"/>
    </bk>
    <bk>
      <rc t="2" v="20938"/>
    </bk>
    <bk>
      <rc t="2" v="20939"/>
    </bk>
    <bk>
      <rc t="2" v="20940"/>
    </bk>
    <bk>
      <rc t="2" v="20941"/>
    </bk>
    <bk>
      <rc t="2" v="20942"/>
    </bk>
    <bk>
      <rc t="2" v="20943"/>
    </bk>
    <bk>
      <rc t="2" v="20944"/>
    </bk>
    <bk>
      <rc t="2" v="20945"/>
    </bk>
    <bk>
      <rc t="2" v="20946"/>
    </bk>
    <bk>
      <rc t="2" v="20947"/>
    </bk>
    <bk>
      <rc t="2" v="20948"/>
    </bk>
    <bk>
      <rc t="2" v="20949"/>
    </bk>
    <bk>
      <rc t="2" v="20950"/>
    </bk>
    <bk>
      <rc t="2" v="20951"/>
    </bk>
    <bk>
      <rc t="2" v="20952"/>
    </bk>
    <bk>
      <rc t="2" v="20953"/>
    </bk>
    <bk>
      <rc t="2" v="20954"/>
    </bk>
    <bk>
      <rc t="2" v="20955"/>
    </bk>
    <bk>
      <rc t="2" v="20956"/>
    </bk>
    <bk>
      <rc t="2" v="20957"/>
    </bk>
    <bk>
      <rc t="2" v="20958"/>
    </bk>
    <bk>
      <rc t="2" v="20959"/>
    </bk>
    <bk>
      <rc t="2" v="20960"/>
    </bk>
    <bk>
      <rc t="2" v="20961"/>
    </bk>
    <bk>
      <rc t="2" v="20962"/>
    </bk>
    <bk>
      <rc t="2" v="20963"/>
    </bk>
    <bk>
      <rc t="2" v="20964"/>
    </bk>
    <bk>
      <rc t="2" v="20965"/>
    </bk>
    <bk>
      <rc t="2" v="20966"/>
    </bk>
    <bk>
      <rc t="2" v="20967"/>
    </bk>
    <bk>
      <rc t="2" v="20968"/>
    </bk>
    <bk>
      <rc t="2" v="20969"/>
    </bk>
    <bk>
      <rc t="2" v="20970"/>
    </bk>
    <bk>
      <rc t="2" v="20971"/>
    </bk>
    <bk>
      <rc t="2" v="20972"/>
    </bk>
    <bk>
      <rc t="2" v="20973"/>
    </bk>
    <bk>
      <rc t="2" v="20974"/>
    </bk>
    <bk>
      <rc t="2" v="20975"/>
    </bk>
    <bk>
      <rc t="2" v="20976"/>
    </bk>
    <bk>
      <rc t="2" v="20977"/>
    </bk>
    <bk>
      <rc t="2" v="20978"/>
    </bk>
    <bk>
      <rc t="2" v="20979"/>
    </bk>
    <bk>
      <rc t="2" v="20980"/>
    </bk>
    <bk>
      <rc t="2" v="20981"/>
    </bk>
    <bk>
      <rc t="2" v="20982"/>
    </bk>
    <bk>
      <rc t="2" v="20983"/>
    </bk>
    <bk>
      <rc t="2" v="20984"/>
    </bk>
    <bk>
      <rc t="2" v="20985"/>
    </bk>
    <bk>
      <rc t="2" v="20986"/>
    </bk>
    <bk>
      <rc t="2" v="20987"/>
    </bk>
    <bk>
      <rc t="2" v="20988"/>
    </bk>
    <bk>
      <rc t="2" v="20989"/>
    </bk>
    <bk>
      <rc t="2" v="20990"/>
    </bk>
    <bk>
      <rc t="2" v="20991"/>
    </bk>
    <bk>
      <rc t="2" v="20992"/>
    </bk>
    <bk>
      <rc t="2" v="20993"/>
    </bk>
    <bk>
      <rc t="2" v="20994"/>
    </bk>
    <bk>
      <rc t="2" v="20995"/>
    </bk>
    <bk>
      <rc t="2" v="20996"/>
    </bk>
    <bk>
      <rc t="2" v="20997"/>
    </bk>
    <bk>
      <rc t="2" v="20998"/>
    </bk>
    <bk>
      <rc t="2" v="20999"/>
    </bk>
    <bk>
      <rc t="2" v="21000"/>
    </bk>
    <bk>
      <rc t="2" v="21001"/>
    </bk>
    <bk>
      <rc t="2" v="21002"/>
    </bk>
    <bk>
      <rc t="2" v="21003"/>
    </bk>
    <bk>
      <rc t="2" v="21004"/>
    </bk>
    <bk>
      <rc t="2" v="21005"/>
    </bk>
    <bk>
      <rc t="2" v="21006"/>
    </bk>
    <bk>
      <rc t="2" v="21007"/>
    </bk>
    <bk>
      <rc t="2" v="21008"/>
    </bk>
    <bk>
      <rc t="2" v="21009"/>
    </bk>
    <bk>
      <rc t="2" v="21010"/>
    </bk>
    <bk>
      <rc t="2" v="21011"/>
    </bk>
    <bk>
      <rc t="2" v="21012"/>
    </bk>
    <bk>
      <rc t="2" v="21013"/>
    </bk>
    <bk>
      <rc t="2" v="21014"/>
    </bk>
    <bk>
      <rc t="2" v="21015"/>
    </bk>
    <bk>
      <rc t="2" v="21016"/>
    </bk>
    <bk>
      <rc t="2" v="21017"/>
    </bk>
  </valueMetadata>
</metadata>
</file>

<file path=xl/sharedStrings.xml><?xml version="1.0" encoding="utf-8"?>
<sst xmlns="http://schemas.openxmlformats.org/spreadsheetml/2006/main" count="352" uniqueCount="304">
  <si>
    <t>Market Overview Dashboard</t>
  </si>
  <si>
    <t>Major U.S. Indexes</t>
  </si>
  <si>
    <t>S&amp;P 500</t>
  </si>
  <si>
    <t>Nasdaq-100</t>
  </si>
  <si>
    <t>Russell 2000</t>
  </si>
  <si>
    <t>Market Type</t>
  </si>
  <si>
    <t>Breadth &amp; Participation</t>
  </si>
  <si>
    <t>U.S. Dollar</t>
  </si>
  <si>
    <t>Ticker</t>
  </si>
  <si>
    <t>Name</t>
  </si>
  <si>
    <t>Price</t>
  </si>
  <si>
    <t>% 1D</t>
  </si>
  <si>
    <t>Relative Strength 1mo</t>
  </si>
  <si>
    <t>RS STS %</t>
  </si>
  <si>
    <t>SPY</t>
  </si>
  <si>
    <t>QQQ</t>
  </si>
  <si>
    <t>DIA</t>
  </si>
  <si>
    <t>IWM</t>
  </si>
  <si>
    <t>Dow</t>
  </si>
  <si>
    <t>RSP</t>
  </si>
  <si>
    <t>QQQE</t>
  </si>
  <si>
    <t>S&amp;P 500 EW</t>
  </si>
  <si>
    <t>Nasdaq-100 EW</t>
  </si>
  <si>
    <t>EDOW</t>
  </si>
  <si>
    <t>Dow EW</t>
  </si>
  <si>
    <t>MDY</t>
  </si>
  <si>
    <t>IWN</t>
  </si>
  <si>
    <t>IWO</t>
  </si>
  <si>
    <t>Russell Growth</t>
  </si>
  <si>
    <t>Russell Value</t>
  </si>
  <si>
    <t>S&amp;P 500 Midcap</t>
  </si>
  <si>
    <t>U.S. Sectors</t>
  </si>
  <si>
    <t>XLC</t>
  </si>
  <si>
    <t>XLY</t>
  </si>
  <si>
    <t>XLP</t>
  </si>
  <si>
    <t>XLE</t>
  </si>
  <si>
    <t>XLF</t>
  </si>
  <si>
    <t>XLV</t>
  </si>
  <si>
    <t>XLI</t>
  </si>
  <si>
    <t>XLB</t>
  </si>
  <si>
    <t>XLRE</t>
  </si>
  <si>
    <t>XLK</t>
  </si>
  <si>
    <t>XLU</t>
  </si>
  <si>
    <t>Communication</t>
  </si>
  <si>
    <t>Consumer Disc.</t>
  </si>
  <si>
    <t>Consumer Staples</t>
  </si>
  <si>
    <t>Energy</t>
  </si>
  <si>
    <t>Financial</t>
  </si>
  <si>
    <t>Health Care</t>
  </si>
  <si>
    <t>Industrial</t>
  </si>
  <si>
    <t>Materials</t>
  </si>
  <si>
    <t>Real Estate</t>
  </si>
  <si>
    <t>Technology</t>
  </si>
  <si>
    <t>Utilities</t>
  </si>
  <si>
    <t>U.S. Sub-Sectors / Industry Groups</t>
  </si>
  <si>
    <t>SOXX</t>
  </si>
  <si>
    <t>SMH</t>
  </si>
  <si>
    <t>IGV</t>
  </si>
  <si>
    <t>VGT</t>
  </si>
  <si>
    <t>FDN</t>
  </si>
  <si>
    <t>XT</t>
  </si>
  <si>
    <t>XLK Technology</t>
  </si>
  <si>
    <t>Semiconductors</t>
  </si>
  <si>
    <t>XSW</t>
  </si>
  <si>
    <t>IGM</t>
  </si>
  <si>
    <t>AIQ</t>
  </si>
  <si>
    <t>XSD</t>
  </si>
  <si>
    <t>Software / Cloud / Broad Tech</t>
  </si>
  <si>
    <t>Cyber Security</t>
  </si>
  <si>
    <t>AI / Robotics / Automation</t>
  </si>
  <si>
    <t>BOTZ</t>
  </si>
  <si>
    <t>XLC Communication Services</t>
  </si>
  <si>
    <t>Telecom &amp; Communication</t>
  </si>
  <si>
    <t>XTL</t>
  </si>
  <si>
    <t>VOX</t>
  </si>
  <si>
    <t>FCOM</t>
  </si>
  <si>
    <t>Internet / Media / Social</t>
  </si>
  <si>
    <t>SOCL</t>
  </si>
  <si>
    <t>XLY Consumer Discretionary</t>
  </si>
  <si>
    <t>Retail</t>
  </si>
  <si>
    <t>XRT</t>
  </si>
  <si>
    <t>IBUY</t>
  </si>
  <si>
    <t>Autos / EV</t>
  </si>
  <si>
    <t>CARZ</t>
  </si>
  <si>
    <t>IDRV</t>
  </si>
  <si>
    <t>Homebuilders / Construction</t>
  </si>
  <si>
    <t>ITB</t>
  </si>
  <si>
    <t>XHB</t>
  </si>
  <si>
    <t>Leisure &amp; Entertainment</t>
  </si>
  <si>
    <t>PEJ</t>
  </si>
  <si>
    <t>XLP Consumer Staples</t>
  </si>
  <si>
    <t>VDC</t>
  </si>
  <si>
    <t>FSTA</t>
  </si>
  <si>
    <t>KXI</t>
  </si>
  <si>
    <t>PBJ</t>
  </si>
  <si>
    <t>XLV Health Care</t>
  </si>
  <si>
    <t>% 1M</t>
  </si>
  <si>
    <t xml:space="preserve">% 1Y </t>
  </si>
  <si>
    <t>% 1W</t>
  </si>
  <si>
    <t>% 3M</t>
  </si>
  <si>
    <t>% 6M</t>
  </si>
  <si>
    <t>RS STS 1M %</t>
  </si>
  <si>
    <t>RS 3M</t>
  </si>
  <si>
    <t>RS 6M</t>
  </si>
  <si>
    <t>RS 1Y</t>
  </si>
  <si>
    <t>Biotechnology / Genomics</t>
  </si>
  <si>
    <t>IBB</t>
  </si>
  <si>
    <t>XBI</t>
  </si>
  <si>
    <t>PBE</t>
  </si>
  <si>
    <t>IDNA</t>
  </si>
  <si>
    <t>Medical Equipment</t>
  </si>
  <si>
    <t>IHI</t>
  </si>
  <si>
    <t>XHE</t>
  </si>
  <si>
    <t>Health Care Providers / Services</t>
  </si>
  <si>
    <t>XHS</t>
  </si>
  <si>
    <t>Pharmaceuticals</t>
  </si>
  <si>
    <t>XPH</t>
  </si>
  <si>
    <t>Broad / Alternative Health</t>
  </si>
  <si>
    <t>FHLC</t>
  </si>
  <si>
    <t>PINK</t>
  </si>
  <si>
    <t>XLF Financials</t>
  </si>
  <si>
    <t>KBE</t>
  </si>
  <si>
    <t>KRE</t>
  </si>
  <si>
    <t>IAT</t>
  </si>
  <si>
    <t>IAI</t>
  </si>
  <si>
    <t>IYG</t>
  </si>
  <si>
    <t>VFH</t>
  </si>
  <si>
    <t>KIE</t>
  </si>
  <si>
    <t>KCE</t>
  </si>
  <si>
    <t>ITA</t>
  </si>
  <si>
    <t>PPA</t>
  </si>
  <si>
    <t>XAR</t>
  </si>
  <si>
    <t>IYT</t>
  </si>
  <si>
    <t>XTN</t>
  </si>
  <si>
    <t>VIS</t>
  </si>
  <si>
    <t>FIDU</t>
  </si>
  <si>
    <t>Banks</t>
  </si>
  <si>
    <t>Insurance</t>
  </si>
  <si>
    <t>Captial Markets / Brokerage</t>
  </si>
  <si>
    <t>Diversified Financial Services</t>
  </si>
  <si>
    <t>Broad Financials</t>
  </si>
  <si>
    <t>XLI Industrials</t>
  </si>
  <si>
    <t>Aerospace &amp; Defense</t>
  </si>
  <si>
    <t>Transportation</t>
  </si>
  <si>
    <t>Broad Industrials</t>
  </si>
  <si>
    <t>XLB Materials</t>
  </si>
  <si>
    <t>XME</t>
  </si>
  <si>
    <t>GDX</t>
  </si>
  <si>
    <t>SIL</t>
  </si>
  <si>
    <t>SLX</t>
  </si>
  <si>
    <t>PICK</t>
  </si>
  <si>
    <t>VAW</t>
  </si>
  <si>
    <t xml:space="preserve">XLU Utilities </t>
  </si>
  <si>
    <t>VPU</t>
  </si>
  <si>
    <t>FUTY</t>
  </si>
  <si>
    <t>IDU</t>
  </si>
  <si>
    <t>XLE Energy</t>
  </si>
  <si>
    <t>Broad Energy</t>
  </si>
  <si>
    <t>IYE</t>
  </si>
  <si>
    <t>VDE</t>
  </si>
  <si>
    <t xml:space="preserve">Exploration &amp; Production </t>
  </si>
  <si>
    <t>XOP</t>
  </si>
  <si>
    <t>IEO</t>
  </si>
  <si>
    <t>Oil Services</t>
  </si>
  <si>
    <t>OIH</t>
  </si>
  <si>
    <t>Global Energy</t>
  </si>
  <si>
    <t>IXC</t>
  </si>
  <si>
    <t>XLRE Real Estate</t>
  </si>
  <si>
    <t>Broad Real Estate</t>
  </si>
  <si>
    <t>VNQ</t>
  </si>
  <si>
    <t>REET</t>
  </si>
  <si>
    <t>Specialty REITs</t>
  </si>
  <si>
    <t>SRVR</t>
  </si>
  <si>
    <t>HOMZ</t>
  </si>
  <si>
    <t>SCHH</t>
  </si>
  <si>
    <t>NETL</t>
  </si>
  <si>
    <t>IYR</t>
  </si>
  <si>
    <t>IBD Stock Market Exposure</t>
  </si>
  <si>
    <t>80-100%</t>
  </si>
  <si>
    <t>40-60%</t>
  </si>
  <si>
    <t>20-40%</t>
  </si>
  <si>
    <t>0-20%</t>
  </si>
  <si>
    <t>60-80%</t>
  </si>
  <si>
    <t>X</t>
  </si>
  <si>
    <t>Bull Volatile</t>
  </si>
  <si>
    <t>Bear Volatile</t>
  </si>
  <si>
    <t>Sideways Volatile</t>
  </si>
  <si>
    <t>Bull Quiet</t>
  </si>
  <si>
    <t>Bear Quiet</t>
  </si>
  <si>
    <t>Sideways Quiet</t>
  </si>
  <si>
    <t>Trend Condition (QQQ)</t>
  </si>
  <si>
    <t>Above 5DMA</t>
  </si>
  <si>
    <t>Above 10DMA</t>
  </si>
  <si>
    <t>Above 50DMA</t>
  </si>
  <si>
    <t>Above 20DMA</t>
  </si>
  <si>
    <t>Above 200DMA</t>
  </si>
  <si>
    <t>Yes</t>
  </si>
  <si>
    <t>Daily</t>
  </si>
  <si>
    <t>Weekly</t>
  </si>
  <si>
    <t>VIX</t>
  </si>
  <si>
    <t>PCC</t>
  </si>
  <si>
    <t>Market Indicators</t>
  </si>
  <si>
    <t>Credit IEI vs.HYG</t>
  </si>
  <si>
    <t>Fed Funds</t>
  </si>
  <si>
    <t>M2 Money</t>
  </si>
  <si>
    <t>10 yr</t>
  </si>
  <si>
    <t>Macro</t>
  </si>
  <si>
    <t xml:space="preserve">Composite Model </t>
  </si>
  <si>
    <t>Monetary Policy (Fed Funds)</t>
  </si>
  <si>
    <t>Liquidty Flow (M2 + Credit)</t>
  </si>
  <si>
    <t>Rates &amp; Credit (10yr + HYG/IEI)</t>
  </si>
  <si>
    <t>Tape Strength (Breadth+ U/D + Net High/Lows)</t>
  </si>
  <si>
    <t>Sentiment (VIX + Put/Call )</t>
  </si>
  <si>
    <t>Total Score</t>
  </si>
  <si>
    <t>Distribution Days</t>
  </si>
  <si>
    <t>% Price Above 20DMA</t>
  </si>
  <si>
    <t>% Price Above 50DMA</t>
  </si>
  <si>
    <t>% Price Above 200DMA</t>
  </si>
  <si>
    <t>% Price Above 10DMA</t>
  </si>
  <si>
    <t xml:space="preserve">Score </t>
  </si>
  <si>
    <t>Hot Sectors / Industry Groups</t>
  </si>
  <si>
    <t>CIBR</t>
  </si>
  <si>
    <t>GLD</t>
  </si>
  <si>
    <t>SLV</t>
  </si>
  <si>
    <t>UNG</t>
  </si>
  <si>
    <t>USO</t>
  </si>
  <si>
    <t>DBA</t>
  </si>
  <si>
    <t>CORN</t>
  </si>
  <si>
    <t>DBB</t>
  </si>
  <si>
    <t>PALL</t>
  </si>
  <si>
    <t>URA</t>
  </si>
  <si>
    <t>CPER</t>
  </si>
  <si>
    <t>CATL</t>
  </si>
  <si>
    <t>HOGS</t>
  </si>
  <si>
    <t>SOYB</t>
  </si>
  <si>
    <t>WEAT</t>
  </si>
  <si>
    <t>DBC</t>
  </si>
  <si>
    <t>UGA</t>
  </si>
  <si>
    <t>IEMG</t>
  </si>
  <si>
    <t>EUE</t>
  </si>
  <si>
    <t>C6E</t>
  </si>
  <si>
    <t>FEZ</t>
  </si>
  <si>
    <t>E40</t>
  </si>
  <si>
    <t>DAX</t>
  </si>
  <si>
    <t>ISF</t>
  </si>
  <si>
    <t>FXI</t>
  </si>
  <si>
    <t>EEM</t>
  </si>
  <si>
    <t>EWJ</t>
  </si>
  <si>
    <t>EWU</t>
  </si>
  <si>
    <t>EWZ</t>
  </si>
  <si>
    <t>EWG</t>
  </si>
  <si>
    <t>EWT</t>
  </si>
  <si>
    <t>EWH</t>
  </si>
  <si>
    <t>EWI</t>
  </si>
  <si>
    <t>EWW</t>
  </si>
  <si>
    <t>PIN</t>
  </si>
  <si>
    <t>IDX</t>
  </si>
  <si>
    <t>EWY</t>
  </si>
  <si>
    <t>EWA</t>
  </si>
  <si>
    <t>EWM</t>
  </si>
  <si>
    <t>EWS</t>
  </si>
  <si>
    <t>EWC</t>
  </si>
  <si>
    <t>EWP</t>
  </si>
  <si>
    <t>EZA</t>
  </si>
  <si>
    <t>EWL</t>
  </si>
  <si>
    <t>UUP</t>
  </si>
  <si>
    <t>FXE</t>
  </si>
  <si>
    <t>FXY</t>
  </si>
  <si>
    <t>FXB</t>
  </si>
  <si>
    <t>FXA</t>
  </si>
  <si>
    <t>FXF</t>
  </si>
  <si>
    <t>FXC</t>
  </si>
  <si>
    <t>IBIT</t>
  </si>
  <si>
    <t>ETHA</t>
  </si>
  <si>
    <t>TLT</t>
  </si>
  <si>
    <t>BND</t>
  </si>
  <si>
    <t>SHY</t>
  </si>
  <si>
    <t>IEF</t>
  </si>
  <si>
    <t>SGOV</t>
  </si>
  <si>
    <t>IEI</t>
  </si>
  <si>
    <t>TLH</t>
  </si>
  <si>
    <t>AGG</t>
  </si>
  <si>
    <t>MUB</t>
  </si>
  <si>
    <t>GOVT</t>
  </si>
  <si>
    <t>IGSB</t>
  </si>
  <si>
    <t>USHY</t>
  </si>
  <si>
    <t>IGIB</t>
  </si>
  <si>
    <t>Correlated:</t>
  </si>
  <si>
    <t>Uncorrelated:</t>
  </si>
  <si>
    <t>Market Correlations (last 30 days) S&amp;P500</t>
  </si>
  <si>
    <t>Good</t>
  </si>
  <si>
    <t>Nasdaq Net 52wk New High/Low</t>
  </si>
  <si>
    <t>Up/Down Daily Ratio</t>
  </si>
  <si>
    <t>Up/Down Weekly Ratio</t>
  </si>
  <si>
    <t>Up/Down Monthly Ratio</t>
  </si>
  <si>
    <t>A/D Weekly Ratio</t>
  </si>
  <si>
    <t>A/D Daily Ratio (QSHR)</t>
  </si>
  <si>
    <t>% Above 20, 50, 200</t>
  </si>
  <si>
    <t>A/D Monthly Ratio</t>
  </si>
  <si>
    <t>Monthly</t>
  </si>
  <si>
    <t xml:space="preserve">QQQE, IWM, XLF, XLC, XLI, XTL, XRT, PEJ, XBI, XPH, KBE, KIE, GDX, SIL, XME, GLD, SLV, PALL, DBB, CPER, EWC, EWP, EWL, EWI, </t>
  </si>
  <si>
    <t>Dow, Nasdaq-100, Russell, Nikkei</t>
  </si>
  <si>
    <t>Dollar, Bonds, Heating Oil, Soybeans, Nat Gas, Wheat, Gasoline</t>
  </si>
  <si>
    <t>As of 20 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</si>
</sst>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name val="Aptos Narrow"/>
      <scheme val="minor"/>
    </font>
    <font>
      <b/>
      <sz val="11"/>
      <color theme="0"/>
      <name val="Aptos Narrow"/>
      <scheme val="minor"/>
    </font>
    <font>
      <sz val="11"/>
      <color rgb="FF000000"/>
      <name val="Aptos Narrow"/>
      <family val="2"/>
      <scheme val="minor"/>
    </font>
    <font>
      <sz val="12"/>
      <color theme="1"/>
      <name val="Aptos Narrow"/>
      <scheme val="minor"/>
    </font>
    <font>
      <b/>
      <sz val="20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3">
    <xf numFmtId="0" fontId="0" fillId="0" borderId="0" xfId="0"/>
    <xf numFmtId="0" fontId="0" fillId="0" borderId="1" xfId="0" applyBorder="1"/>
    <xf numFmtId="0" fontId="0" fillId="0" borderId="6" xfId="0" applyBorder="1"/>
    <xf numFmtId="0" fontId="2" fillId="0" borderId="6" xfId="0" applyFont="1" applyBorder="1" applyAlignment="1">
      <alignment horizontal="center" vertical="center"/>
    </xf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2" fillId="0" borderId="1" xfId="0" applyFont="1" applyBorder="1"/>
    <xf numFmtId="0" fontId="2" fillId="0" borderId="5" xfId="0" applyFont="1" applyBorder="1"/>
    <xf numFmtId="0" fontId="2" fillId="0" borderId="6" xfId="0" applyFont="1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3" fillId="0" borderId="1" xfId="0" applyFont="1" applyBorder="1"/>
    <xf numFmtId="0" fontId="3" fillId="0" borderId="5" xfId="0" applyFont="1" applyBorder="1"/>
    <xf numFmtId="0" fontId="3" fillId="0" borderId="8" xfId="0" applyFont="1" applyBorder="1"/>
    <xf numFmtId="0" fontId="0" fillId="8" borderId="13" xfId="0" applyFill="1" applyBorder="1"/>
    <xf numFmtId="0" fontId="2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11" borderId="6" xfId="0" applyFill="1" applyBorder="1"/>
    <xf numFmtId="0" fontId="0" fillId="11" borderId="9" xfId="0" applyFill="1" applyBorder="1"/>
    <xf numFmtId="0" fontId="0" fillId="0" borderId="0" xfId="0" applyAlignment="1">
      <alignment vertical="center"/>
    </xf>
    <xf numFmtId="0" fontId="7" fillId="0" borderId="17" xfId="0" applyFont="1" applyBorder="1"/>
    <xf numFmtId="0" fontId="7" fillId="0" borderId="0" xfId="0" applyFont="1"/>
    <xf numFmtId="10" fontId="0" fillId="0" borderId="1" xfId="0" applyNumberFormat="1" applyBorder="1"/>
    <xf numFmtId="9" fontId="0" fillId="0" borderId="1" xfId="1" applyFont="1" applyBorder="1"/>
    <xf numFmtId="9" fontId="0" fillId="0" borderId="1" xfId="1" applyFont="1" applyFill="1" applyBorder="1"/>
    <xf numFmtId="0" fontId="0" fillId="8" borderId="1" xfId="1" applyNumberFormat="1" applyFont="1" applyFill="1" applyBorder="1"/>
    <xf numFmtId="9" fontId="0" fillId="0" borderId="8" xfId="1" applyFont="1" applyFill="1" applyBorder="1"/>
    <xf numFmtId="10" fontId="0" fillId="0" borderId="8" xfId="0" applyNumberFormat="1" applyBorder="1"/>
    <xf numFmtId="10" fontId="0" fillId="0" borderId="1" xfId="1" applyNumberFormat="1" applyFont="1" applyBorder="1"/>
    <xf numFmtId="10" fontId="0" fillId="0" borderId="6" xfId="0" applyNumberFormat="1" applyBorder="1"/>
    <xf numFmtId="10" fontId="0" fillId="0" borderId="8" xfId="1" applyNumberFormat="1" applyFont="1" applyBorder="1"/>
    <xf numFmtId="10" fontId="0" fillId="0" borderId="9" xfId="0" applyNumberFormat="1" applyBorder="1"/>
    <xf numFmtId="0" fontId="2" fillId="0" borderId="2" xfId="0" applyFont="1" applyBorder="1"/>
    <xf numFmtId="9" fontId="0" fillId="11" borderId="6" xfId="0" applyNumberFormat="1" applyFill="1" applyBorder="1"/>
    <xf numFmtId="0" fontId="2" fillId="0" borderId="3" xfId="0" applyFont="1" applyBorder="1"/>
    <xf numFmtId="0" fontId="2" fillId="0" borderId="4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0" fontId="3" fillId="0" borderId="7" xfId="0" applyFont="1" applyBorder="1"/>
    <xf numFmtId="0" fontId="0" fillId="8" borderId="10" xfId="0" applyFill="1" applyBorder="1"/>
    <xf numFmtId="0" fontId="2" fillId="0" borderId="24" xfId="0" applyFont="1" applyBorder="1"/>
    <xf numFmtId="0" fontId="2" fillId="11" borderId="6" xfId="0" applyFont="1" applyFill="1" applyBorder="1" applyAlignment="1">
      <alignment horizontal="center"/>
    </xf>
    <xf numFmtId="0" fontId="0" fillId="8" borderId="0" xfId="0" applyFill="1"/>
    <xf numFmtId="0" fontId="2" fillId="8" borderId="0" xfId="0" applyFont="1" applyFill="1"/>
    <xf numFmtId="0" fontId="0" fillId="8" borderId="1" xfId="0" applyFill="1" applyBorder="1"/>
    <xf numFmtId="0" fontId="0" fillId="0" borderId="13" xfId="0" applyBorder="1"/>
    <xf numFmtId="0" fontId="6" fillId="0" borderId="5" xfId="0" applyFont="1" applyBorder="1"/>
    <xf numFmtId="9" fontId="0" fillId="6" borderId="9" xfId="0" applyNumberFormat="1" applyFill="1" applyBorder="1"/>
    <xf numFmtId="0" fontId="0" fillId="0" borderId="27" xfId="0" applyBorder="1"/>
    <xf numFmtId="0" fontId="0" fillId="0" borderId="28" xfId="0" applyBorder="1"/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5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2" fillId="0" borderId="2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6" borderId="5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5" fillId="7" borderId="5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8" fillId="0" borderId="2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10" borderId="7" xfId="0" applyFont="1" applyFill="1" applyBorder="1" applyAlignment="1">
      <alignment horizontal="left"/>
    </xf>
    <xf numFmtId="0" fontId="2" fillId="10" borderId="8" xfId="0" applyFont="1" applyFill="1" applyBorder="1" applyAlignment="1">
      <alignment horizontal="left"/>
    </xf>
    <xf numFmtId="0" fontId="5" fillId="9" borderId="5" xfId="0" applyFont="1" applyFill="1" applyBorder="1" applyAlignment="1">
      <alignment horizontal="left"/>
    </xf>
    <xf numFmtId="0" fontId="5" fillId="9" borderId="1" xfId="0" applyFont="1" applyFill="1" applyBorder="1" applyAlignment="1">
      <alignment horizontal="left"/>
    </xf>
    <xf numFmtId="0" fontId="0" fillId="11" borderId="9" xfId="0" applyFont="1" applyFill="1" applyBorder="1"/>
    <xf numFmtId="0" fontId="2" fillId="0" borderId="1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0" fillId="0" borderId="0" xfId="0" applyBorder="1"/>
    <xf numFmtId="0" fontId="0" fillId="8" borderId="0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SupportingPropertyBag" Target="richData/rdsupportingpropertybag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17/06/relationships/rdSupportingPropertyBagStructure" Target="richData/rdsupportingpropertybag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ichStyles" Target="richData/richStyles.xml"/><Relationship Id="rId5" Type="http://schemas.openxmlformats.org/officeDocument/2006/relationships/styles" Target="styles.xml"/><Relationship Id="rId15" Type="http://schemas.openxmlformats.org/officeDocument/2006/relationships/calcChain" Target="calcChain.xml"/><Relationship Id="rId10" Type="http://schemas.microsoft.com/office/2017/06/relationships/rdArray" Target="richData/rdarray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Relationship Id="rId14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array.xml><?xml version="1.0" encoding="utf-8"?>
<arrayData xmlns="http://schemas.microsoft.com/office/spreadsheetml/2017/richdata2" count="327">
  <a r="1" c="22">
    <v t="i">0</v>
    <v t="i">1</v>
    <v t="i">2</v>
    <v t="i">5</v>
    <v t="i">6</v>
    <v t="i">7</v>
    <v t="i">9</v>
    <v t="i">12</v>
    <v t="i">13</v>
    <v t="i">14</v>
    <v t="i">15</v>
    <v t="i">16</v>
    <v t="i">19</v>
    <v t="i">20</v>
    <v t="i">21</v>
    <v t="i">22</v>
    <v t="i">23</v>
    <v t="i">26</v>
    <v t="i">27</v>
    <v t="i">28</v>
    <v t="i">29</v>
    <v t="i">30</v>
  </a>
  <a r="1" c="22">
    <v>53.81</v>
    <v>53.86</v>
    <v>54.06</v>
    <v>54.14</v>
    <v>54.33</v>
    <v>54.44</v>
    <v>54.39</v>
    <v>53.96</v>
    <v>54.02</v>
    <v>54.13</v>
    <v>54.04</v>
    <v>53.99</v>
    <v>53.91</v>
    <v>53.84</v>
    <v>54.05</v>
    <v>54.02</v>
    <v>53.83</v>
    <v>53.9</v>
    <v>53.97</v>
    <v>53.95</v>
    <v>54.11</v>
    <v>53.8</v>
  </a>
  <a r="1" c="254">
    <v t="i">0</v>
    <v t="i">1</v>
    <v t="i">2</v>
    <v t="i">3</v>
    <v t="i">4</v>
    <v t="i">7</v>
    <v t="i">8</v>
    <v t="i">10</v>
    <v t="i">11</v>
    <v t="i">14</v>
    <v t="i">15</v>
    <v t="i">17</v>
    <v t="i">18</v>
    <v t="i">21</v>
    <v t="i">22</v>
    <v t="i">23</v>
    <v t="i">25</v>
    <v t="i">28</v>
    <v t="i">29</v>
    <v t="i">30</v>
    <v t="i">31</v>
    <v t="i">32</v>
    <v t="i">36</v>
    <v t="i">37</v>
    <v t="i">38</v>
    <v t="i">39</v>
    <v t="i">42</v>
    <v t="i">43</v>
    <v t="i">44</v>
    <v t="i">45</v>
    <v t="i">46</v>
    <v t="i">49</v>
    <v t="i">50</v>
    <v t="i">51</v>
    <v t="i">52</v>
    <v t="i">53</v>
    <v t="i">56</v>
    <v t="i">57</v>
    <v t="i">58</v>
    <v t="i">59</v>
    <v t="i">60</v>
    <v t="i">64</v>
    <v t="i">65</v>
    <v t="i">66</v>
    <v t="i">67</v>
    <v t="i">70</v>
    <v t="i">71</v>
    <v t="i">72</v>
    <v t="i">73</v>
    <v t="i">74</v>
    <v t="i">77</v>
    <v t="i">78</v>
    <v t="i">79</v>
    <v t="i">80</v>
    <v t="i">81</v>
    <v t="i">84</v>
    <v t="i">85</v>
    <v t="i">86</v>
    <v t="i">87</v>
    <v t="i">88</v>
    <v t="i">91</v>
    <v t="i">92</v>
    <v t="i">93</v>
    <v t="i">94</v>
    <v t="i">95</v>
    <v t="i">98</v>
    <v t="i">99</v>
    <v t="i">100</v>
    <v t="i">101</v>
    <v t="i">102</v>
    <v t="i">105</v>
    <v t="i">106</v>
    <v t="i">107</v>
    <v t="i">108</v>
    <v t="i">109</v>
    <v t="i">112</v>
    <v t="i">113</v>
    <v t="i">114</v>
    <v t="i">115</v>
    <v t="i">116</v>
    <v t="i">119</v>
    <v t="i">120</v>
    <v t="i">121</v>
    <v t="i">122</v>
    <v t="i">126</v>
    <v t="i">127</v>
    <v t="i">128</v>
    <v t="i">129</v>
    <v t="i">130</v>
    <v t="i">133</v>
    <v t="i">134</v>
    <v t="i">135</v>
    <v t="i">136</v>
    <v t="i">137</v>
    <v t="i">140</v>
    <v t="i">141</v>
    <v t="i">142</v>
    <v t="i">143</v>
    <v t="i">144</v>
    <v t="i">147</v>
    <v t="i">148</v>
    <v t="i">149</v>
    <v t="i">150</v>
    <v t="i">151</v>
    <v t="i">154</v>
    <v t="i">155</v>
    <v t="i">156</v>
    <v t="i">157</v>
    <v t="i">158</v>
    <v t="i">162</v>
    <v t="i">163</v>
    <v t="i">164</v>
    <v t="i">165</v>
    <v t="i">168</v>
    <v t="i">169</v>
    <v t="i">170</v>
    <v t="i">171</v>
    <v t="i">172</v>
    <v t="i">175</v>
    <v t="i">176</v>
    <v t="i">177</v>
    <v t="i">178</v>
    <v t="i">179</v>
    <v t="i">182</v>
    <v t="i">183</v>
    <v t="i">184</v>
    <v t="i">186</v>
    <v t="i">189</v>
    <v t="i">190</v>
    <v t="i">191</v>
    <v t="i">192</v>
    <v t="i">193</v>
    <v t="i">196</v>
    <v t="i">197</v>
    <v t="i">198</v>
    <v t="i">199</v>
    <v t="i">203</v>
    <v t="i">204</v>
    <v t="i">205</v>
    <v t="i">206</v>
    <v t="i">207</v>
    <v t="i">210</v>
    <v t="i">211</v>
    <v t="i">212</v>
    <v t="i">213</v>
    <v t="i">214</v>
    <v t="i">217</v>
    <v t="i">218</v>
    <v t="i">219</v>
    <v t="i">220</v>
    <v t="i">221</v>
    <v t="i">224</v>
    <v t="i">225</v>
    <v t="i">226</v>
    <v t="i">227</v>
    <v t="i">228</v>
    <v t="i">231</v>
    <v t="i">232</v>
    <v t="i">233</v>
    <v t="i">234</v>
    <v t="i">235</v>
    <v t="i">238</v>
    <v t="i">239</v>
    <v t="i">240</v>
    <v t="i">241</v>
    <v t="i">242</v>
    <v t="i">245</v>
    <v t="i">246</v>
    <v t="i">247</v>
    <v t="i">248</v>
    <v t="i">249</v>
    <v t="i">252</v>
    <v t="i">253</v>
    <v t="i">254</v>
    <v t="i">255</v>
    <v t="i">256</v>
    <v t="i">260</v>
    <v t="i">261</v>
    <v t="i">262</v>
    <v t="i">263</v>
    <v t="i">266</v>
    <v t="i">267</v>
    <v t="i">268</v>
    <v t="i">269</v>
    <v t="i">270</v>
    <v t="i">273</v>
    <v t="i">274</v>
    <v t="i">275</v>
    <v t="i">276</v>
    <v t="i">277</v>
    <v t="i">280</v>
    <v t="i">281</v>
    <v t="i">282</v>
    <v t="i">283</v>
    <v t="i">284</v>
    <v t="i">287</v>
    <v t="i">288</v>
    <v t="i">289</v>
    <v t="i">290</v>
    <v t="i">291</v>
    <v t="i">294</v>
    <v t="i">295</v>
    <v t="i">296</v>
    <v t="i">297</v>
    <v t="i">298</v>
    <v t="i">301</v>
    <v t="i">302</v>
    <v t="i">303</v>
    <v t="i">304</v>
    <v t="i">305</v>
    <v t="i">308</v>
    <v t="i">309</v>
    <v t="i">310</v>
    <v t="i">311</v>
    <v t="i">312</v>
    <v t="i">315</v>
    <v t="i">316</v>
    <v t="i">317</v>
    <v t="i">318</v>
    <v t="i">319</v>
    <v t="i">322</v>
    <v t="i">323</v>
    <v t="i">324</v>
    <v t="i">325</v>
    <v t="i">326</v>
    <v t="i">329</v>
    <v t="i">330</v>
    <v t="i">331</v>
    <v t="i">332</v>
    <v t="i">333</v>
    <v t="i">336</v>
    <v t="i">337</v>
    <v t="i">338</v>
    <v t="i">339</v>
    <v t="i">340</v>
    <v t="i">343</v>
    <v t="i">344</v>
    <v t="i">345</v>
    <v t="i">347</v>
    <v t="i">350</v>
    <v t="i">351</v>
    <v t="i">352</v>
    <v t="i">353</v>
    <v t="i">354</v>
    <v t="i">357</v>
    <v t="i">358</v>
    <v t="i">359</v>
    <v t="i">360</v>
    <v t="i">361</v>
    <v t="i">364</v>
    <v t="i">365</v>
    <v t="i">366</v>
    <v t="i">367</v>
    <v t="i">368</v>
  </a>
  <a r="1" c="254">
    <v>52.21</v>
    <v>52.195</v>
    <v>51.47</v>
    <v>51.33</v>
    <v>51.5</v>
    <v>51.39</v>
    <v>51.49</v>
    <v>51.55</v>
    <v>51.4</v>
    <v>51.61</v>
    <v>51.51</v>
    <v>51.53</v>
    <v>51.44</v>
    <v>51.38</v>
    <v>51.2</v>
    <v>51.27</v>
    <v>50.94</v>
    <v>50.82</v>
    <v>50.87</v>
    <v>51.35</v>
    <v>51.47</v>
    <v>51.5</v>
    <v>51.71</v>
    <v>51.57</v>
    <v>51.54</v>
    <v>51.61</v>
    <v>51.9</v>
    <v>51.89</v>
    <v>51.84</v>
    <v>51.95</v>
    <v>51.87</v>
    <v>51.67</v>
    <v>51.77</v>
    <v>52.01</v>
    <v>51.93</v>
    <v>51.79</v>
    <v>51.82</v>
    <v>51.73</v>
    <v>51.49</v>
    <v>51.8</v>
    <v>51.99</v>
    <v>51.82</v>
    <v>51.88</v>
    <v>51.97</v>
    <v>52.14</v>
    <v>52.23</v>
    <v>52.52</v>
    <v>52.61</v>
    <v>52.49</v>
    <v>52.7</v>
    <v>52.62</v>
    <v>52.54</v>
    <v>52.37</v>
    <v>52.27</v>
    <v>52.23</v>
    <v>52.39</v>
    <v>52.14</v>
    <v>52.01</v>
    <v>52.14</v>
    <v>52.09</v>
    <v>52.14</v>
    <v>52.25</v>
    <v>52.48</v>
    <v>52.46</v>
    <v>52.44</v>
    <v>52.25</v>
    <v>52.33</v>
    <v>52.2</v>
    <v>52.18</v>
    <v>52.44</v>
    <v>52.52</v>
    <v>52.43</v>
    <v>52.49</v>
    <v>52.65</v>
    <v>52.52</v>
    <v>51.75</v>
    <v>51.34</v>
    <v>51.75</v>
    <v>51.23</v>
    <v>51.1</v>
    <v>51.41</v>
    <v>51.66</v>
    <v>51.84</v>
    <v>51.84</v>
    <v>51.52</v>
    <v>51.6</v>
    <v>51.71</v>
    <v>52.11</v>
    <v>52.32</v>
    <v>52.45</v>
    <v>52.55</v>
    <v>52.49</v>
    <v>52.13</v>
    <v>51.99</v>
    <v>51.97</v>
    <v>52.06</v>
    <v>52.17</v>
    <v>51.94</v>
    <v>51.93</v>
    <v>51.88</v>
    <v>51.94</v>
    <v>51.75</v>
    <v>52.08</v>
    <v>52.15</v>
    <v>52.19</v>
    <v>52.12</v>
    <v>51.73</v>
    <v>51.92</v>
    <v>51.97</v>
    <v>52.28</v>
    <v>52.17</v>
    <v>52.35</v>
    <v>52.51</v>
    <v>52.2</v>
    <v>52.22</v>
    <v>52.5</v>
    <v>52.3</v>
    <v>52.07</v>
    <v>52.19</v>
    <v>52.26</v>
    <v>52.45</v>
    <v>52.63</v>
    <v>52.42</v>
    <v>52.39</v>
    <v>52.51</v>
    <v>52.55</v>
    <v>52.62</v>
    <v>52.77</v>
    <v>52.96</v>
    <v>52.96</v>
    <v>53.14</v>
    <v>53.07</v>
    <v>53.29</v>
    <v>53.07</v>
    <v>53.08</v>
    <v>52.98</v>
    <v>52.8</v>
    <v>52.68</v>
    <v>52.92</v>
    <v>52.91</v>
    <v>52.71</v>
    <v>52.72</v>
    <v>52.55</v>
    <v>52.68</v>
    <v>52.75</v>
    <v>52.88</v>
    <v>53.03</v>
    <v>53.14</v>
    <v>53.05</v>
    <v>52.97</v>
    <v>53.12</v>
    <v>53.04</v>
    <v>53.26</v>
    <v>53.14</v>
    <v>53.15</v>
    <v>53.4</v>
    <v>53.47</v>
    <v>53.45</v>
    <v>53.45</v>
    <v>53.42</v>
    <v>53.28</v>
    <v>53.33</v>
    <v>53.4</v>
    <v>53.59</v>
    <v>53.45</v>
    <v>53.4</v>
    <v>53.36</v>
    <v>53.44</v>
    <v>53.46</v>
    <v>53.29</v>
    <v>53.64</v>
    <v>53.53</v>
    <v>53.62</v>
    <v>53.67</v>
    <v>53.715000000000003</v>
    <v>53.65</v>
    <v>53.33</v>
    <v>53.5</v>
    <v>53.8</v>
    <v>54</v>
    <v>54.1</v>
    <v>54.04</v>
    <v>54.17</v>
    <v>54.3</v>
    <v>54.23</v>
    <v>54.35</v>
    <v>54.37</v>
    <v>54.26</v>
    <v>54.21</v>
    <v>54.21</v>
    <v>54.12</v>
    <v>54.21</v>
    <v>54.06</v>
    <v>53.93</v>
    <v>53.99</v>
    <v>54.09</v>
    <v>54.09</v>
    <v>54.08</v>
    <v>54.12</v>
    <v>54.06</v>
    <v>53.94</v>
    <v>54.02</v>
    <v>53.96</v>
    <v>53.87</v>
    <v>53.98</v>
    <v>54.13</v>
    <v>54.24</v>
    <v>54.26</v>
    <v>54.4</v>
    <v>54.31</v>
    <v>54.41</v>
    <v>54.43</v>
    <v>54.45</v>
    <v>54.39</v>
    <v>54.49</v>
    <v>54.54</v>
    <v>54.54</v>
    <v>54.28</v>
    <v>54.12</v>
    <v>54.07</v>
    <v>53.76</v>
    <v>53.82</v>
    <v>53.68</v>
    <v>53.9</v>
    <v>53.89</v>
    <v>53.87</v>
    <v>54.07</v>
    <v>54.01</v>
    <v>53.84</v>
    <v>53.76</v>
    <v>53.77</v>
    <v>53.81</v>
    <v>53.81</v>
    <v>53.86</v>
    <v>54.06</v>
    <v>54.14</v>
    <v>54.33</v>
    <v>54.44</v>
    <v>54.39</v>
    <v>53.96</v>
    <v>54.02</v>
    <v>54.13</v>
    <v>54.04</v>
    <v>53.99</v>
    <v>53.91</v>
    <v>53.84</v>
    <v>54.05</v>
    <v>54.02</v>
    <v>53.83</v>
    <v>53.9</v>
    <v>53.97</v>
    <v>53.95</v>
    <v>54.11</v>
    <v>53.8</v>
  </a>
  <a r="1" c="254">
    <v>59.89</v>
    <v>60.13</v>
    <v>59.68</v>
    <v>58.66</v>
    <v>59.04</v>
    <v>58.75</v>
    <v>58.67</v>
    <v>58.4</v>
    <v>58.46</v>
    <v>58.81</v>
    <v>58.62</v>
    <v>58.55</v>
    <v>58.69</v>
    <v>58.55</v>
    <v>58.49</v>
    <v>58.31</v>
    <v>58.48</v>
    <v>58.54</v>
    <v>58.44</v>
    <v>58.98</v>
    <v>59.47</v>
    <v>59.14</v>
    <v>59.38</v>
    <v>58.99</v>
    <v>59.2</v>
    <v>59.2</v>
    <v>59.69</v>
    <v>59.36</v>
    <v>59.405000000000001</v>
    <v>59.79</v>
    <v>59.47</v>
    <v>59.62</v>
    <v>59.79</v>
    <v>60.43</v>
    <v>60.89</v>
    <v>60.99</v>
    <v>60.73</v>
    <v>60.49</v>
    <v>59.76</v>
    <v>60.39</v>
    <v>60.58</v>
    <v>60.73</v>
    <v>60.94</v>
    <v>61.66</v>
    <v>61.9</v>
    <v>61.65</v>
    <v>61.97</v>
    <v>61.93</v>
    <v>61.62</v>
    <v>61.32</v>
    <v>61.73</v>
    <v>61.9</v>
    <v>61.97</v>
    <v>62.42</v>
    <v>62.37</v>
    <v>62.66</v>
    <v>62.435000000000002</v>
    <v>62.19</v>
    <v>62.47</v>
    <v>62.06</v>
    <v>61.86</v>
    <v>61.82</v>
    <v>61.96</v>
    <v>61.97</v>
    <v>61.77</v>
    <v>61.22</v>
    <v>61.52</v>
    <v>61.24</v>
    <v>61.04</v>
    <v>61.57</v>
    <v>61.5</v>
    <v>61.62</v>
    <v>61.48</v>
    <v>63.07</v>
    <v>62.84</v>
    <v>62.31</v>
    <v>63.07</v>
    <v>62.36</v>
    <v>63.79</v>
    <v>64.27</v>
    <v>64.53</v>
    <v>64.430000000000007</v>
    <v>64.94</v>
    <v>64.8</v>
    <v>65.52</v>
    <v>65.14</v>
    <v>64.25</v>
    <v>64.62</v>
    <v>64.17</v>
    <v>64.88</v>
    <v>64.739999999999995</v>
    <v>64.540000000000006</v>
    <v>63.29</v>
    <v>63.56</v>
    <v>64.12</v>
    <v>64.760000000000005</v>
    <v>64.11</v>
    <v>63.15</v>
    <v>63.45</v>
    <v>62.09</v>
    <v>62.49</v>
    <v>62.79</v>
    <v>63.3</v>
    <v>63.12</v>
    <v>63.64</v>
    <v>63.74</v>
    <v>64.17</v>
    <v>63.97</v>
    <v>64.680000000000007</v>
    <v>63.84</v>
    <v>63.62</v>
    <v>63.9</v>
    <v>64.03</v>
    <v>64.58</v>
    <v>63.99</v>
    <v>64.45</v>
    <v>64.099999999999994</v>
    <v>63.65</v>
    <v>63.76</v>
    <v>63.55</v>
    <v>63.68</v>
    <v>64.150000000000006</v>
    <v>64.02</v>
    <v>63.58</v>
    <v>63.45</v>
    <v>63.44</v>
    <v>63.02</v>
    <v>63.03</v>
    <v>63.61</v>
    <v>63.41</v>
    <v>63.78</v>
    <v>63.59</v>
    <v>63.94</v>
    <v>64.040000000000006</v>
    <v>64.13</v>
    <v>63.52</v>
    <v>63.1</v>
    <v>62.82</v>
    <v>62.93</v>
    <v>62.95</v>
    <v>62.46</v>
    <v>62.32</v>
    <v>61.85</v>
    <v>62.29</v>
    <v>61.95</v>
    <v>61.91</v>
    <v>62.48</v>
    <v>62.81</v>
    <v>62.85</v>
    <v>62.645000000000003</v>
    <v>62.4</v>
    <v>61.97</v>
    <v>61.99</v>
    <v>61.6</v>
    <v>61.08</v>
    <v>62.43</v>
    <v>62.64</v>
    <v>62.35</v>
    <v>62.57</v>
    <v>62.59</v>
    <v>62.32</v>
    <v>62.09</v>
    <v>62.29</v>
    <v>62.44</v>
    <v>62.3</v>
    <v>62.54</v>
    <v>62.27</v>
    <v>62.39</v>
    <v>62.48</v>
    <v>62.01</v>
    <v>62.64</v>
    <v>62.3</v>
    <v>62.43</v>
    <v>62.42</v>
    <v>62.65</v>
    <v>62.63</v>
    <v>62.07</v>
    <v>62.16</v>
    <v>61.98</v>
    <v>62.4</v>
    <v>62.42</v>
    <v>62.42</v>
    <v>62.43</v>
    <v>62.57</v>
    <v>62.35</v>
    <v>62.44</v>
    <v>62.82</v>
    <v>62.71</v>
    <v>62.19</v>
    <v>62.19</v>
    <v>62.29</v>
    <v>62.32</v>
    <v>61.84</v>
    <v>61.45</v>
    <v>61.58</v>
    <v>61.9</v>
    <v>62.21</v>
    <v>62.52</v>
    <v>62.47</v>
    <v>62.42</v>
    <v>61.23</v>
    <v>60.58</v>
    <v>60.26</v>
    <v>60.09</v>
    <v>60.68</v>
    <v>60.4</v>
    <v>60.64</v>
    <v>60.8</v>
    <v>61.13</v>
    <v>61.15</v>
    <v>61.03</v>
    <v>60.57</v>
    <v>60.51</v>
    <v>60.3</v>
    <v>60.2</v>
    <v>60.17</v>
    <v>60.45</v>
    <v>60.2</v>
    <v>59.69</v>
    <v>59.66</v>
    <v>59.64</v>
    <v>59.85</v>
    <v>59.65</v>
    <v>60.11</v>
    <v>59.94</v>
    <v>59.73</v>
    <v>59.68</v>
    <v>59.41</v>
    <v>59.5</v>
    <v>59.53</v>
    <v>59.24</v>
    <v>59.15</v>
    <v>58.61</v>
    <v>58.33</v>
    <v>58.78</v>
    <v>58.66</v>
    <v>58.91</v>
    <v>58.8</v>
    <v>58.92</v>
    <v>59.2</v>
    <v>59.02</v>
    <v>59.29</v>
    <v>59.3</v>
    <v>59.244999999999997</v>
    <v>58.99</v>
    <v>58.62</v>
    <v>59.02</v>
    <v>59.1</v>
    <v>58.98</v>
    <v>59.25</v>
    <v>59.44</v>
    <v>59.06</v>
    <v>59.1</v>
    <v>58.3</v>
  </a>
  <a r="1" c="22">
    <v>58.61</v>
    <v>58.33</v>
    <v>58.78</v>
    <v>58.66</v>
    <v>58.91</v>
    <v>58.8</v>
    <v>58.92</v>
    <v>59.2</v>
    <v>59.02</v>
    <v>59.29</v>
    <v>59.3</v>
    <v>59.244999999999997</v>
    <v>58.99</v>
    <v>58.62</v>
    <v>59.02</v>
    <v>59.1</v>
    <v>58.98</v>
    <v>59.25</v>
    <v>59.44</v>
    <v>59.06</v>
    <v>59.1</v>
    <v>58.3</v>
  </a>
  <a r="1" c="254">
    <v>100.51</v>
    <v>100.51</v>
    <v>100.16</v>
    <v>100.18</v>
    <v>100.2</v>
    <v>100.22</v>
    <v>100.25</v>
    <v>100.26</v>
    <v>100.29</v>
    <v>100.29</v>
    <v>100.32</v>
    <v>100.34</v>
    <v>100.37</v>
    <v>100.37</v>
    <v>100.39</v>
    <v>100.41</v>
    <v>100.45</v>
    <v>100.47</v>
    <v>100.48</v>
    <v>100.49</v>
    <v>100.49</v>
    <v>100.54</v>
    <v>100.55</v>
    <v>100.57</v>
    <v>100.58</v>
    <v>100.61</v>
    <v>100.61</v>
    <v>100.64</v>
    <v>100.64</v>
    <v>100.66</v>
    <v>100.68</v>
    <v>100.34</v>
    <v>100.36</v>
    <v>100.36</v>
    <v>100.38</v>
    <v>100.41</v>
    <v>100.43</v>
    <v>100.43</v>
    <v>100.44</v>
    <v>100.46</v>
    <v>100.5</v>
    <v>100.52</v>
    <v>100.52</v>
    <v>100.54</v>
    <v>100.58</v>
    <v>100.59</v>
    <v>100.6</v>
    <v>100.6</v>
    <v>100.63</v>
    <v>100.65</v>
    <v>100.36</v>
    <v>100.37</v>
    <v>100.37</v>
    <v>100.4</v>
    <v>100.43</v>
    <v>100.43</v>
    <v>100.45</v>
    <v>100.45</v>
    <v>100.48</v>
    <v>100.51</v>
    <v>100.52</v>
    <v>100.53</v>
    <v>100.55</v>
    <v>100.55</v>
    <v>100.58</v>
    <v>100.6</v>
    <v>100.61</v>
    <v>100.63</v>
    <v>100.64</v>
    <v>100.67</v>
    <v>100.67</v>
    <v>100.35</v>
    <v>100.36</v>
    <v>100.38</v>
    <v>100.41</v>
    <v>100.42</v>
    <v>100.42</v>
    <v>100.44</v>
    <v>100.44</v>
    <v>100.49</v>
    <v>100.5</v>
    <v>100.51</v>
    <v>100.53</v>
    <v>100.57</v>
    <v>100.57</v>
    <v>100.58</v>
    <v>100.61</v>
    <v>100.61</v>
    <v>100.65</v>
    <v>100.65</v>
    <v>100.66</v>
    <v>100.69</v>
    <v>100.37</v>
    <v>100.4</v>
    <v>100.41</v>
    <v>100.41</v>
    <v>100.42</v>
    <v>100.45</v>
    <v>100.48</v>
    <v>100.48</v>
    <v>100.5</v>
    <v>100.51</v>
    <v>100.51</v>
    <v>100.55</v>
    <v>100.56</v>
    <v>100.58</v>
    <v>100.59</v>
    <v>100.61</v>
    <v>100.64</v>
    <v>100.65</v>
    <v>100.68</v>
    <v>100.68</v>
    <v>100.71</v>
    <v>100.38</v>
    <v>100.39</v>
    <v>100.4</v>
    <v>100.41</v>
    <v>100.44</v>
    <v>100.45</v>
    <v>100.46</v>
    <v>100.48</v>
    <v>100.49</v>
    <v>100.53</v>
    <v>100.53</v>
    <v>100.54</v>
    <v>100.56</v>
    <v>100.6</v>
    <v>100.62</v>
    <v>100.63</v>
    <v>100.64</v>
    <v>100.65</v>
    <v>100.69</v>
    <v>100.69</v>
    <v>100.37</v>
    <v>100.37</v>
    <v>100.42</v>
    <v>100.44</v>
    <v>100.46</v>
    <v>100.45</v>
    <v>100.47</v>
    <v>100.51</v>
    <v>100.51</v>
    <v>100.52</v>
    <v>100.55</v>
    <v>100.56</v>
    <v>100.59</v>
    <v>100.6</v>
    <v>100.62</v>
    <v>100.63</v>
    <v>100.64</v>
    <v>100.66</v>
    <v>100.69</v>
    <v>100.69</v>
    <v>100.71</v>
    <v>100.72</v>
    <v>100.39</v>
    <v>100.41</v>
    <v>100.42</v>
    <v>100.43</v>
    <v>100.43</v>
    <v>100.48</v>
    <v>100.49</v>
    <v>100.49</v>
    <v>100.51</v>
    <v>100.52</v>
    <v>100.55</v>
    <v>100.58</v>
    <v>100.58</v>
    <v>100.6</v>
    <v>100.6</v>
    <v>100.64</v>
    <v>100.66</v>
    <v>100.66</v>
    <v>100.67</v>
    <v>100.68</v>
    <v>100.74</v>
    <v>100.39</v>
    <v>100.4</v>
    <v>100.42</v>
    <v>100.44</v>
    <v>100.47</v>
    <v>100.47</v>
    <v>100.48</v>
    <v>100.5</v>
    <v>100.53</v>
    <v>100.53</v>
    <v>100.55</v>
    <v>100.56</v>
    <v>100.58</v>
    <v>100.62</v>
    <v>100.62</v>
    <v>100.64</v>
    <v>100.65</v>
    <v>100.66</v>
    <v>100.69</v>
    <v>100.7</v>
    <v>100.7</v>
    <v>100.37</v>
    <v>100.38</v>
    <v>100.42</v>
    <v>100.42</v>
    <v>100.44</v>
    <v>100.45</v>
    <v>100.46</v>
    <v>100.51</v>
    <v>100.5</v>
    <v>100.51</v>
    <v>100.53</v>
    <v>100.54</v>
    <v>100.57</v>
    <v>100.58</v>
    <v>100.6</v>
    <v>100.61</v>
    <v>100.62</v>
    <v>100.65</v>
    <v>100.66</v>
    <v>100.67</v>
    <v>100.68</v>
    <v>100.69</v>
    <v>100.72</v>
    <v>100.4</v>
    <v>100.4</v>
    <v>100.42</v>
    <v>100.43</v>
    <v>100.46</v>
    <v>100.47</v>
    <v>100.48</v>
    <v>100.49</v>
    <v>100.5</v>
    <v>100.53</v>
    <v>100.54</v>
    <v>100.54</v>
    <v>100.56</v>
    <v>100.58</v>
    <v>100.6</v>
    <v>100.61</v>
    <v>100.63</v>
    <v>100.64</v>
    <v>100.67</v>
    <v>100.38</v>
    <v>100.4</v>
    <v>100.41</v>
    <v>100.43</v>
    <v>100.46</v>
    <v>100.46</v>
    <v>100.47</v>
    <v>100.47</v>
    <v>100.49</v>
    <v>100.53</v>
    <v>100.53</v>
    <v>100.54</v>
    <v>100.56</v>
    <v>100.56</v>
    <v>100.28</v>
  </a>
  <a r="1" c="22">
    <v>100.56</v>
    <v>100.58</v>
    <v>100.6</v>
    <v>100.61</v>
    <v>100.63</v>
    <v>100.64</v>
    <v>100.67</v>
    <v>100.38</v>
    <v>100.4</v>
    <v>100.41</v>
    <v>100.43</v>
    <v>100.46</v>
    <v>100.46</v>
    <v>100.47</v>
    <v>100.47</v>
    <v>100.49</v>
    <v>100.53</v>
    <v>100.53</v>
    <v>100.54</v>
    <v>100.56</v>
    <v>100.56</v>
    <v>100.28</v>
  </a>
  <a r="1" c="22">
    <v>42.74</v>
    <v>42.36</v>
    <v>42.45</v>
    <v>42.26</v>
    <v>42.15</v>
    <v>42.5</v>
    <v>42.93</v>
    <v>43.19</v>
    <v>42.79</v>
    <v>43.51</v>
    <v>43.62</v>
    <v>43.23</v>
    <v>42.95</v>
    <v>43.02</v>
    <v>43.37</v>
    <v>43.25</v>
    <v>42.89</v>
    <v>42.69</v>
    <v>40.58</v>
    <v>41.26</v>
    <v>40.78</v>
    <v>40.97</v>
  </a>
  <a r="1" c="254">
    <v>39.17</v>
    <v>38.049999999999997</v>
    <v>37.1</v>
    <v>36.950000000000003</v>
    <v>37.21</v>
    <v>37.44</v>
    <v>37.65</v>
    <v>37.619999999999997</v>
    <v>37.69</v>
    <v>37.69</v>
    <v>38.18</v>
    <v>38.58</v>
    <v>38.92</v>
    <v>39.01</v>
    <v>39.409999999999997</v>
    <v>39.33</v>
    <v>39.340000000000003</v>
    <v>39.85</v>
    <v>40.200000000000003</v>
    <v>40.72</v>
    <v>40.78</v>
    <v>41.12</v>
    <v>41</v>
    <v>40.44</v>
    <v>40.619999999999997</v>
    <v>40.26</v>
    <v>39.99</v>
    <v>39.619999999999997</v>
    <v>39.65</v>
    <v>39.94</v>
    <v>39.090000000000003</v>
    <v>39.049999999999997</v>
    <v>39.92</v>
    <v>40</v>
    <v>39.56</v>
    <v>39.57</v>
    <v>40.26</v>
    <v>40.630000000000003</v>
    <v>39.9</v>
    <v>40.159999999999997</v>
    <v>40.25</v>
    <v>40.630000000000003</v>
    <v>40.72</v>
    <v>41.09</v>
    <v>40.33</v>
    <v>40.26</v>
    <v>39.85</v>
    <v>39.75</v>
    <v>39.729999999999997</v>
    <v>40.14</v>
    <v>39.04</v>
    <v>38.67</v>
    <v>38.479999999999997</v>
    <v>38.5</v>
    <v>39.07</v>
    <v>39.35</v>
    <v>39.1</v>
    <v>39.29</v>
    <v>39.18</v>
    <v>40.15</v>
    <v>40.76</v>
    <v>40.93</v>
    <v>41.45</v>
    <v>41.62</v>
    <v>41.37</v>
    <v>41.64</v>
    <v>41.93</v>
    <v>42.16</v>
    <v>41.99</v>
    <v>41.76</v>
    <v>42.07</v>
    <v>42.26</v>
    <v>42.32</v>
    <v>39.729999999999997</v>
    <v>36.369999999999997</v>
    <v>35.68</v>
    <v>34.69</v>
    <v>37.14</v>
    <v>35.07</v>
    <v>35.99</v>
    <v>36.22</v>
    <v>36.200000000000003</v>
    <v>36.630000000000003</v>
    <v>37.369999999999997</v>
    <v>36.65</v>
    <v>37.479999999999997</v>
    <v>37.299999999999997</v>
    <v>37.83</v>
    <v>37.93</v>
    <v>38.159999999999997</v>
    <v>37.880000000000003</v>
    <v>37.11</v>
    <v>37.270000000000003</v>
    <v>37.81</v>
    <v>37.130000000000003</v>
    <v>37.22</v>
    <v>37.19</v>
    <v>37.54</v>
    <v>38.04</v>
    <v>38.64</v>
    <v>39.19</v>
    <v>38.97</v>
    <v>39.04</v>
    <v>39.03</v>
    <v>38.68</v>
    <v>38.51</v>
    <v>38.07</v>
    <v>37.880000000000003</v>
    <v>38.090000000000003</v>
    <v>38.35</v>
    <v>37.950000000000003</v>
    <v>38.15</v>
    <v>37.93</v>
    <v>38.5</v>
    <v>38.85</v>
    <v>38.24</v>
    <v>38.24</v>
    <v>38.85</v>
    <v>38.9</v>
    <v>39.6</v>
    <v>40.17</v>
    <v>40.46</v>
    <v>41.13</v>
    <v>40.24</v>
    <v>40.659999999999997</v>
    <v>40.340000000000003</v>
    <v>40.61</v>
    <v>39.700000000000003</v>
    <v>39.119999999999997</v>
    <v>39.04</v>
    <v>39.57</v>
    <v>39.409999999999997</v>
    <v>39.29</v>
    <v>39.54</v>
    <v>40.15</v>
    <v>40.15</v>
    <v>39.58</v>
    <v>40.54</v>
    <v>40.39</v>
    <v>40.64</v>
    <v>40.9</v>
    <v>40.53</v>
    <v>40.04</v>
    <v>39.869999999999997</v>
    <v>39.97</v>
    <v>39.69</v>
    <v>39.450000000000003</v>
    <v>39.78</v>
    <v>40.35</v>
    <v>40.42</v>
    <v>40.26</v>
    <v>40.58</v>
    <v>41</v>
    <v>40.43</v>
    <v>40.22</v>
    <v>39.700000000000003</v>
    <v>39.700000000000003</v>
    <v>39.869999999999997</v>
    <v>39.74</v>
    <v>39.65</v>
    <v>39.75</v>
    <v>39.56</v>
    <v>39.78</v>
    <v>40.090000000000003</v>
    <v>40.119999999999997</v>
    <v>40.15</v>
    <v>39.86</v>
    <v>39.85</v>
    <v>40.18</v>
    <v>40.43</v>
    <v>41.2</v>
    <v>41.18</v>
    <v>41.08</v>
    <v>41.5</v>
    <v>41.81</v>
    <v>41.97</v>
    <v>41.97</v>
    <v>41.19</v>
    <v>41.35</v>
    <v>40.659999999999997</v>
    <v>40.729999999999997</v>
    <v>40.89</v>
    <v>41.5</v>
    <v>41.47</v>
    <v>41.25</v>
    <v>41.42</v>
    <v>41.88</v>
    <v>41.87</v>
    <v>41.71</v>
    <v>41.22</v>
    <v>41.3</v>
    <v>41.91</v>
    <v>42.31</v>
    <v>42.57</v>
    <v>42.95</v>
    <v>42.19</v>
    <v>41.75</v>
    <v>41.84</v>
    <v>41.44</v>
    <v>41.81</v>
    <v>42.03</v>
    <v>42.07</v>
    <v>41.81</v>
    <v>41.33</v>
    <v>40.25</v>
    <v>40.71</v>
    <v>40.619999999999997</v>
    <v>40.630000000000003</v>
    <v>40.229999999999997</v>
    <v>40.53</v>
    <v>40.799999999999997</v>
    <v>40.67</v>
    <v>41.33</v>
    <v>41.94</v>
    <v>41.6</v>
    <v>41.77</v>
    <v>41.57</v>
    <v>41.8</v>
    <v>41.55</v>
    <v>41.71</v>
    <v>41.64</v>
    <v>41.28</v>
    <v>41.45</v>
    <v>41.7</v>
    <v>42.44</v>
    <v>42.85</v>
    <v>43.4</v>
    <v>42.96</v>
    <v>42.96</v>
    <v>43.56</v>
    <v>43.01</v>
    <v>43.21</v>
    <v>42.74</v>
    <v>42.36</v>
    <v>42.45</v>
    <v>42.26</v>
    <v>42.15</v>
    <v>42.5</v>
    <v>42.93</v>
    <v>43.19</v>
    <v>42.79</v>
    <v>43.51</v>
    <v>43.62</v>
    <v>43.23</v>
    <v>42.95</v>
    <v>43.02</v>
    <v>43.37</v>
    <v>43.25</v>
    <v>42.89</v>
    <v>42.69</v>
    <v>40.58</v>
    <v>41.26</v>
    <v>40.78</v>
    <v>40.97</v>
  </a>
  <a r="1" c="22">
    <v>22.24</v>
    <v>21.41</v>
    <v>20.7</v>
    <v>22.45</v>
    <v>22.13</v>
    <v>22.9</v>
    <v>22.95</v>
    <v>20.77</v>
    <v>22.51</v>
    <v>23.72</v>
    <v>23.77</v>
    <v>22.85</v>
    <v>23.72</v>
    <v>25.17</v>
    <v>25.39</v>
    <v>24.38</v>
    <v>23.27</v>
    <v>22.12</v>
    <v>22.28</v>
    <v>21.32</v>
    <v>21</v>
    <v>22.64</v>
  </a>
  <a r="1" c="254">
    <v>30.69</v>
    <v>29.83</v>
    <v>27.95</v>
    <v>25.57</v>
    <v>26.09</v>
    <v>25.75</v>
    <v>26.57</v>
    <v>25.19</v>
    <v>25.24</v>
    <v>25.72</v>
    <v>25.29</v>
    <v>26.2</v>
    <v>27.33</v>
    <v>27.94</v>
    <v>25.65</v>
    <v>24.84</v>
    <v>24.69</v>
    <v>23.4</v>
    <v>24.42</v>
    <v>26.05</v>
    <v>25.29</v>
    <v>26.69</v>
    <v>25.1</v>
    <v>24.65</v>
    <v>24.59</v>
    <v>25.25</v>
    <v>23.79</v>
    <v>23.43</v>
    <v>23.79</v>
    <v>24.5</v>
    <v>25.12</v>
    <v>20.53</v>
    <v>20.715</v>
    <v>20.94</v>
    <v>20.61</v>
    <v>19.59</v>
    <v>20.350000000000001</v>
    <v>19.64</v>
    <v>20.29</v>
    <v>20.09</v>
    <v>20.68</v>
    <v>19.899999999999999</v>
    <v>20.61</v>
    <v>20.85</v>
    <v>19.87</v>
    <v>19.989999999999998</v>
    <v>18.829999999999998</v>
    <v>17.66</v>
    <v>17.05</v>
    <v>16.79</v>
    <v>16.09</v>
    <v>16.2</v>
    <v>16.91</v>
    <v>16.649999999999999</v>
    <v>16.309999999999999</v>
    <v>14.12</v>
    <v>14.75</v>
    <v>14.2</v>
    <v>13.98</v>
    <v>14.64</v>
    <v>14.69</v>
    <v>14.39</v>
    <v>15.38</v>
    <v>14.93</v>
    <v>14.93</v>
    <v>15.83</v>
    <v>15.72</v>
    <v>15.13</v>
    <v>15.17</v>
    <v>14.16</v>
    <v>13.82</v>
    <v>14.47</v>
    <v>14.47</v>
    <v>13.51</v>
    <v>13.7</v>
    <v>11.63</v>
    <v>11.07</v>
    <v>12.42</v>
    <v>11.43</v>
    <v>11.85</v>
    <v>12.4</v>
    <v>12.16</v>
    <v>12.01</v>
    <v>11.98</v>
    <v>11.92</v>
    <v>12.89</v>
    <v>13.55</v>
    <v>13.37</v>
    <v>13.67</v>
    <v>13.61</v>
    <v>13.82</v>
    <v>13.52</v>
    <v>13.96</v>
    <v>13.93</v>
    <v>13.74</v>
    <v>13.5</v>
    <v>13.59</v>
    <v>16.059999999999999</v>
    <v>17.68</v>
    <v>18.63</v>
    <v>20.41</v>
    <v>19.71</v>
    <v>19.16</v>
    <v>19.649999999999999</v>
    <v>19.079999999999998</v>
    <v>18.940000000000001</v>
    <v>19.03</v>
    <v>19.989999999999998</v>
    <v>19.38</v>
    <v>20.38</v>
    <v>19.84</v>
    <v>20.09</v>
    <v>19.489999999999998</v>
    <v>19.18</v>
    <v>19.91</v>
    <v>19.88</v>
    <v>19.149999999999999</v>
    <v>18.809999999999999</v>
    <v>19.559999999999999</v>
    <v>21.02</v>
    <v>21.31</v>
    <v>20.39</v>
    <v>19.14</v>
    <v>20.16</v>
    <v>19.14</v>
    <v>18.88</v>
    <v>18.27</v>
    <v>17.52</v>
    <v>18.45</v>
    <v>18.399999999999999</v>
    <v>18.46</v>
    <v>18.27</v>
    <v>19.07</v>
    <v>18.190000000000001</v>
    <v>19.75</v>
    <v>19.489999999999998</v>
    <v>19.260000000000002</v>
    <v>19.78</v>
    <v>20.97</v>
    <v>21.35</v>
    <v>22.8</v>
    <v>22.75</v>
    <v>23.05</v>
    <v>25.63</v>
    <v>25.88</v>
    <v>26.92</v>
    <v>28.32</v>
    <v>27.81</v>
    <v>27.17</v>
    <v>28.38</v>
    <v>27.58</v>
    <v>28.79</v>
    <v>28.49</v>
    <v>28.48</v>
    <v>28.27</v>
    <v>26.51</v>
    <v>27.75</v>
    <v>27.02</v>
    <v>27.91</v>
    <v>29.31</v>
    <v>30.79</v>
    <v>32.25</v>
    <v>34.25</v>
    <v>35.9</v>
    <v>34.369999999999997</v>
    <v>33.15</v>
    <v>32.97</v>
    <v>31.3</v>
    <v>32.909999999999997</v>
    <v>31.94</v>
    <v>36.590000000000003</v>
    <v>33.450000000000003</v>
    <v>34.82</v>
    <v>34.56</v>
    <v>33.57</v>
    <v>32.82</v>
    <v>32.299999999999997</v>
    <v>33.869999999999997</v>
    <v>32.299999999999997</v>
    <v>32.770000000000003</v>
    <v>32.46</v>
    <v>32.475000000000001</v>
    <v>32.700000000000003</v>
    <v>33.49</v>
    <v>35.36</v>
    <v>34.01</v>
    <v>34</v>
    <v>34.18</v>
    <v>34.729999999999997</v>
    <v>33.57</v>
    <v>31.29</v>
    <v>31.41</v>
    <v>31.46</v>
    <v>29.58</v>
    <v>30.46</v>
    <v>31.72</v>
    <v>31.51</v>
    <v>32.799999999999997</v>
    <v>34.049999999999997</v>
    <v>34.26</v>
    <v>35.79</v>
    <v>33.9</v>
    <v>34.17</v>
    <v>32.81</v>
    <v>30.2</v>
    <v>32.18</v>
    <v>31.08</v>
    <v>30.15</v>
    <v>29.24</v>
    <v>28.94</v>
    <v>30.14</v>
    <v>30.28</v>
    <v>28.76</v>
    <v>29.19</v>
    <v>29.71</v>
    <v>31.75</v>
    <v>30.59</v>
    <v>29.52</v>
    <v>27.83</v>
    <v>29.36</v>
    <v>27.09</v>
    <v>24.28</v>
    <v>26.08</v>
    <v>25</v>
    <v>26.19</v>
    <v>26.98</v>
    <v>25.99</v>
    <v>25.79</v>
    <v>23.94</v>
    <v>23.69</v>
    <v>22.71</v>
    <v>23.59</v>
    <v>22.24</v>
    <v>21.41</v>
    <v>20.7</v>
    <v>22.45</v>
    <v>22.13</v>
    <v>22.9</v>
    <v>22.95</v>
    <v>20.77</v>
    <v>22.51</v>
    <v>23.72</v>
    <v>23.77</v>
    <v>22.85</v>
    <v>23.72</v>
    <v>25.17</v>
    <v>25.39</v>
    <v>24.38</v>
    <v>23.27</v>
    <v>22.12</v>
    <v>22.28</v>
    <v>21.32</v>
    <v>21</v>
    <v>22.64</v>
  </a>
  <a r="1" c="22">
    <v>73.406499999999994</v>
    <v>70.971299999999999</v>
    <v>71.77</v>
    <v>73.59</v>
    <v>74.129300000000001</v>
    <v>75.191400000000002</v>
    <v>76.103399999999993</v>
    <v>75.793099999999995</v>
    <v>76.463300000000004</v>
    <v>77.396799999999999</v>
    <v>77.529499999999999</v>
    <v>78.390299999999996</v>
    <v>78.733800000000002</v>
    <v>78.9529</v>
    <v>79.903199999999998</v>
    <v>79.476100000000002</v>
    <v>76.702200000000005</v>
    <v>76.398700000000005</v>
    <v>76.041200000000003</v>
    <v>74.559799999999996</v>
    <v>75.8947</v>
    <v>77.319699999999997</v>
  </a>
  <a r="1" c="254">
    <v>27.76</v>
    <v>27.71</v>
    <v>27.83</v>
    <v>27.33</v>
    <v>27.6</v>
    <v>26.39</v>
    <v>26.53</v>
    <v>26.25</v>
    <v>25.85</v>
    <v>26.27</v>
    <v>26.59</v>
    <v>26.62</v>
    <v>26.49</v>
    <v>26.43</v>
    <v>26.5</v>
    <v>26.36</v>
    <v>26.45</v>
    <v>26.75</v>
    <v>26.66</v>
    <v>26.73</v>
    <v>26.34</v>
    <v>26.6</v>
    <v>26.92</v>
    <v>27.22</v>
    <v>27.26</v>
    <v>27.36</v>
    <v>27.32</v>
    <v>27.56</v>
    <v>27.92</v>
    <v>27.72</v>
    <v>27.6</v>
    <v>27.64</v>
    <v>27.73</v>
    <v>27.87</v>
    <v>27.68</v>
    <v>27.57</v>
    <v>27.89</v>
    <v>27.89</v>
    <v>27.97</v>
    <v>28.19</v>
    <v>28.17</v>
    <v>28.38</v>
    <v>28.22</v>
    <v>27.92</v>
    <v>27.55</v>
    <v>27.03</v>
    <v>27.06</v>
    <v>27.12</v>
    <v>26.81</v>
    <v>26.49</v>
    <v>26.05</v>
    <v>26.19</v>
    <v>26.39</v>
    <v>26.29</v>
    <v>26.5</v>
    <v>26.63</v>
    <v>26.64</v>
    <v>26.58</v>
    <v>26.62</v>
    <v>26.46</v>
    <v>26.86</v>
    <v>26.86</v>
    <v>26.85</v>
    <v>26.9</v>
    <v>26.74</v>
    <v>26.68</v>
    <v>26.77</v>
    <v>26.57</v>
    <v>26.43</v>
    <v>26.47</v>
    <v>26.34</v>
    <v>26.93</v>
    <v>27.18</v>
    <v>26.98</v>
    <v>26.14</v>
    <v>25.47</v>
    <v>25.27</v>
    <v>26.02</v>
    <v>25.76</v>
    <v>26.31</v>
    <v>26.28</v>
    <v>26.14</v>
    <v>26.52</v>
    <v>26.65</v>
    <v>26.63</v>
    <v>26.98</v>
    <v>26.97</v>
    <v>27.25</v>
    <v>27.48</v>
    <v>27.29</v>
    <v>26.98</v>
    <v>26.81</v>
    <v>26.62</v>
    <v>26.86</v>
    <v>26.71</v>
    <v>26.88</v>
    <v>26.87</v>
    <v>26.91</v>
    <v>27.02</v>
    <v>26.99</v>
    <v>27.38</v>
    <v>27.23</v>
    <v>27.4</v>
    <v>27.34</v>
    <v>27.58</v>
    <v>27.65</v>
    <v>27.68</v>
    <v>27.4</v>
    <v>27.14</v>
    <v>27.01</v>
    <v>26.72</v>
    <v>26.57</v>
    <v>26.7</v>
    <v>26.63</v>
    <v>26.7</v>
    <v>26.9</v>
    <v>27.26</v>
    <v>27.48</v>
    <v>27.39</v>
    <v>27.07</v>
    <v>27.05</v>
    <v>27.01</v>
    <v>26.96</v>
    <v>27.17</v>
    <v>26.89</v>
    <v>26.78</v>
    <v>26.41</v>
    <v>26.48</v>
    <v>26.29</v>
    <v>26.08</v>
    <v>26.14</v>
    <v>26.33</v>
    <v>26.15</v>
    <v>25.65</v>
    <v>25.87</v>
    <v>25.89</v>
    <v>25.71</v>
    <v>25.74</v>
    <v>25.93</v>
    <v>25.77</v>
    <v>25.77</v>
    <v>25.88</v>
    <v>25.62</v>
    <v>25.88</v>
    <v>25.78</v>
    <v>26.03</v>
    <v>25.9</v>
    <v>25.97</v>
    <v>26.2</v>
    <v>26.2</v>
    <v>26.08</v>
    <v>26.23</v>
    <v>26.01</v>
    <v>25.96</v>
    <v>25.9</v>
    <v>25.67</v>
    <v>25.73</v>
    <v>25.92</v>
    <v>25.99</v>
    <v>26.25</v>
    <v>26.21</v>
    <v>26.63</v>
    <v>26.81</v>
    <v>26.9</v>
    <v>26.6</v>
    <v>27.06</v>
    <v>27.02</v>
    <v>27.13</v>
    <v>27.2</v>
    <v>27.28</v>
    <v>27.59</v>
    <v>27.58</v>
    <v>27.42</v>
    <v>27.68</v>
    <v>27.52</v>
    <v>27.77</v>
    <v>27.45</v>
    <v>27.32</v>
    <v>27.24</v>
    <v>27.16</v>
    <v>27.28</v>
    <v>27.1</v>
    <v>27.21</v>
    <v>27.41</v>
    <v>27.5</v>
    <v>27.91</v>
    <v>27.76</v>
    <v>27.18</v>
    <v>27.08</v>
    <v>26.97</v>
    <v>26.85</v>
    <v>26.81</v>
    <v>26.9</v>
    <v>26.84</v>
    <v>26.98</v>
    <v>26.91</v>
    <v>26.76</v>
    <v>26.81</v>
    <v>26.68</v>
    <v>26.67</v>
    <v>26.74</v>
    <v>26.6</v>
    <v>26.64</v>
    <v>26.49</v>
    <v>26.32</v>
    <v>26.41</v>
    <v>26.59</v>
    <v>26.58</v>
    <v>26.73</v>
    <v>26.54</v>
    <v>26.77</v>
    <v>26.83</v>
    <v>26.96</v>
    <v>26.92</v>
    <v>26.59</v>
    <v>26.29</v>
    <v>26.16</v>
    <v>26.32</v>
    <v>26.26</v>
    <v>26.37</v>
    <v>26.92</v>
    <v>26.65</v>
    <v>26.55</v>
    <v>26.11</v>
    <v>26.2</v>
    <v>26.61</v>
    <v>26.54</v>
    <v>26.4</v>
    <v>26.24</v>
    <v>26.09</v>
    <v>26.43</v>
    <v>26.4</v>
    <v>26.09</v>
    <v>25.94</v>
    <v>25.88</v>
    <v>25.68</v>
    <v>25.85</v>
    <v>26.13</v>
    <v>26.42</v>
    <v>26.29</v>
    <v>26.41</v>
    <v>26.38</v>
    <v>26.46</v>
    <v>26.52</v>
    <v>26.4</v>
    <v>26.4</v>
    <v>26.49</v>
    <v>26.64</v>
    <v>26.52</v>
    <v>26.34</v>
    <v>26.25</v>
    <v>26.2</v>
    <v>26.15</v>
    <v>26.2</v>
  </a>
  <a r="1" c="22">
    <v>26.09</v>
    <v>25.94</v>
    <v>25.88</v>
    <v>25.68</v>
    <v>25.85</v>
    <v>26.13</v>
    <v>26.42</v>
    <v>26.29</v>
    <v>26.41</v>
    <v>26.38</v>
    <v>26.46</v>
    <v>26.52</v>
    <v>26.4</v>
    <v>26.4</v>
    <v>26.49</v>
    <v>26.64</v>
    <v>26.52</v>
    <v>26.34</v>
    <v>26.25</v>
    <v>26.2</v>
    <v>26.15</v>
    <v>26.2</v>
  </a>
  <a r="1" c="254">
    <v>73.7</v>
    <v>73.3</v>
    <v>72.94</v>
    <v>72.61</v>
    <v>73.099999999999994</v>
    <v>73.06</v>
    <v>73.650000000000006</v>
    <v>73.13</v>
    <v>73.849999999999994</v>
    <v>74.819999999999993</v>
    <v>75.55</v>
    <v>76.930000000000007</v>
    <v>77.92</v>
    <v>77.3</v>
    <v>78.17</v>
    <v>77.3</v>
    <v>80.64</v>
    <v>82.23</v>
    <v>81.67</v>
    <v>84.34</v>
    <v>82.94</v>
    <v>82.52</v>
    <v>81.11</v>
    <v>80.430000000000007</v>
    <v>79.209999999999994</v>
    <v>79.599999999999994</v>
    <v>77.930000000000007</v>
    <v>78.86</v>
    <v>77.78</v>
    <v>77.75</v>
    <v>78.02</v>
    <v>77.819999999999993</v>
    <v>77.510000000000005</v>
    <v>76.09</v>
    <v>75.45</v>
    <v>75.86</v>
    <v>77.400000000000006</v>
    <v>78.27</v>
    <v>76.319999999999993</v>
    <v>76.39</v>
    <v>75.819999999999993</v>
    <v>76.959999999999994</v>
    <v>77.45</v>
    <v>77.760000000000005</v>
    <v>75.349999999999994</v>
    <v>75.97</v>
    <v>74.13</v>
    <v>73.849999999999994</v>
    <v>75.28</v>
    <v>75.22</v>
    <v>73.319999999999993</v>
    <v>73.31</v>
    <v>71.42</v>
    <v>71.13</v>
    <v>72.09</v>
    <v>70.89</v>
    <v>71.45</v>
    <v>72.8</v>
    <v>71.62</v>
    <v>72.28</v>
    <v>72.709999999999994</v>
    <v>72.209999999999994</v>
    <v>72.42</v>
    <v>73.73</v>
    <v>73.790000000000006</v>
    <v>74.88</v>
    <v>74.819999999999993</v>
    <v>75.42</v>
    <v>75.48</v>
    <v>74.77</v>
    <v>77.33</v>
    <v>77.08</v>
    <v>77.739999999999995</v>
    <v>72.25</v>
    <v>67.92</v>
    <v>65.98</v>
    <v>63.34</v>
    <v>67.58</v>
    <v>65.319999999999993</v>
    <v>66.459999999999994</v>
    <v>66.66</v>
    <v>66.48</v>
    <v>67.75</v>
    <v>69.48</v>
    <v>68.62</v>
    <v>69.37</v>
    <v>68.05</v>
    <v>68.459999999999994</v>
    <v>69.03</v>
    <v>67.760000000000005</v>
    <v>65.849999999999994</v>
    <v>63.56</v>
    <v>64.52</v>
    <v>64.010000000000005</v>
    <v>62.37</v>
    <v>64.599999999999994</v>
    <v>63.51</v>
    <v>65.599999999999994</v>
    <v>66.61</v>
    <v>67.599999999999994</v>
    <v>69.59</v>
    <v>68.73</v>
    <v>67.59</v>
    <v>68.099999999999994</v>
    <v>68.510000000000005</v>
    <v>68.66</v>
    <v>67.59</v>
    <v>67.14</v>
    <v>67.989999999999995</v>
    <v>67.28</v>
    <v>67.89</v>
    <v>67.19</v>
    <v>67.150000000000006</v>
    <v>69.55</v>
    <v>69.89</v>
    <v>69.34</v>
    <v>69.930000000000007</v>
    <v>71.38</v>
    <v>72.05</v>
    <v>71.599999999999994</v>
    <v>74.819999999999993</v>
    <v>75.05</v>
    <v>80.22</v>
    <v>78.59</v>
    <v>82.3</v>
    <v>82.27</v>
    <v>83.12</v>
    <v>76.41</v>
    <v>73</v>
    <v>73.31</v>
    <v>73.59</v>
    <v>73.28</v>
    <v>73.11</v>
    <v>73.930000000000007</v>
    <v>75.59</v>
    <v>75.19</v>
    <v>76.48</v>
    <v>76.959999999999994</v>
    <v>76.930000000000007</v>
    <v>75.39</v>
    <v>77.290000000000006</v>
    <v>75.62</v>
    <v>75.260000000000005</v>
    <v>75.19</v>
    <v>76.16</v>
    <v>75.930000000000007</v>
    <v>75.59</v>
    <v>75.349999999999994</v>
    <v>75.28</v>
    <v>76.09</v>
    <v>74.849999999999994</v>
    <v>77.17</v>
    <v>79.8</v>
    <v>81.040000000000006</v>
    <v>79.59</v>
    <v>77.459999999999994</v>
    <v>76.11</v>
    <v>75.02</v>
    <v>73.790000000000006</v>
    <v>73.42</v>
    <v>73.3</v>
    <v>73.8</v>
    <v>72.95</v>
    <v>72.459999999999994</v>
    <v>73.739999999999995</v>
    <v>72.8</v>
    <v>73.17</v>
    <v>72.3</v>
    <v>73.52</v>
    <v>74.13</v>
    <v>74.64</v>
    <v>75.75</v>
    <v>74.05</v>
    <v>74.680000000000007</v>
    <v>75.239999999999995</v>
    <v>74.84</v>
    <v>76.760000000000005</v>
    <v>74.83</v>
    <v>74.180000000000007</v>
    <v>72.63</v>
    <v>73.040000000000006</v>
    <v>73.39</v>
    <v>74.709999999999994</v>
    <v>73</v>
    <v>73.31</v>
    <v>74.23</v>
    <v>75.67</v>
    <v>74.97</v>
    <v>74.69</v>
    <v>73.52</v>
    <v>73.45</v>
    <v>75.05</v>
    <v>76.39</v>
    <v>76.989999999999995</v>
    <v>77.02</v>
    <v>74.59</v>
    <v>73.75</v>
    <v>73.14</v>
    <v>71.540000000000006</v>
    <v>71.709999999999994</v>
    <v>72.87</v>
    <v>73.2</v>
    <v>73.53</v>
    <v>72.510000000000005</v>
    <v>69.39</v>
    <v>70.28</v>
    <v>69</v>
    <v>68.989999999999995</v>
    <v>67.81</v>
    <v>67.98</v>
    <v>67.83</v>
    <v>68.27</v>
    <v>70.63</v>
    <v>73.290000000000006</v>
    <v>73.180000000000007</v>
    <v>73.12</v>
    <v>71.39</v>
    <v>71.8</v>
    <v>71.709999999999994</v>
    <v>72.56</v>
    <v>72.739999999999995</v>
    <v>71.930000000000007</v>
    <v>71.03</v>
    <v>70.88</v>
    <v>71.260000000000005</v>
    <v>71.680000000000007</v>
    <v>72.72</v>
    <v>69.790000000000006</v>
    <v>69.849999999999994</v>
    <v>71.38</v>
    <v>71.3</v>
    <v>72.5</v>
    <v>70.88</v>
    <v>70.150000000000006</v>
    <v>69.3</v>
    <v>70.42</v>
    <v>69.25</v>
    <v>70.040000000000006</v>
    <v>71.069999999999993</v>
    <v>71.06</v>
    <v>70.2</v>
    <v>70.66</v>
    <v>71.39</v>
    <v>71.92</v>
    <v>70.489999999999995</v>
    <v>69.86</v>
    <v>70.540000000000006</v>
    <v>69.25</v>
    <v>68.81</v>
    <v>67.89</v>
    <v>66.17</v>
    <v>67.98</v>
    <v>67.19</v>
    <v>68.03</v>
  </a>
  <a r="1" c="22">
    <v>70.88</v>
    <v>70.150000000000006</v>
    <v>69.3</v>
    <v>70.42</v>
    <v>69.25</v>
    <v>70.040000000000006</v>
    <v>71.069999999999993</v>
    <v>71.06</v>
    <v>70.2</v>
    <v>70.66</v>
    <v>71.39</v>
    <v>71.92</v>
    <v>70.489999999999995</v>
    <v>69.86</v>
    <v>70.540000000000006</v>
    <v>69.25</v>
    <v>68.81</v>
    <v>67.89</v>
    <v>66.17</v>
    <v>67.98</v>
    <v>67.19</v>
    <v>68.03</v>
  </a>
  <a r="1" c="22">
    <v>119.62</v>
    <v>119.82</v>
    <v>120.08</v>
    <v>120.14</v>
    <v>120.35</v>
    <v>120.37</v>
    <v>120.26</v>
    <v>119.56</v>
    <v>119.66</v>
    <v>119.8</v>
    <v>119.59</v>
    <v>119.42</v>
    <v>119.24</v>
    <v>119.11</v>
    <v>119.43</v>
    <v>119.47</v>
    <v>119.36</v>
    <v>119.45</v>
    <v>119.66</v>
    <v>119.655</v>
    <v>119.85</v>
    <v>119.34</v>
  </a>
  <a r="1" c="254">
    <v>116.2</v>
    <v>116.2</v>
    <v>115.21</v>
    <v>115.13</v>
    <v>115.34</v>
    <v>115.08</v>
    <v>115.13</v>
    <v>115.2</v>
    <v>115.1</v>
    <v>115.54</v>
    <v>115.55</v>
    <v>115.54</v>
    <v>115.41</v>
    <v>115.41</v>
    <v>115.16</v>
    <v>115.29</v>
    <v>114.68</v>
    <v>114.57</v>
    <v>114.65</v>
    <v>115.37</v>
    <v>115.61</v>
    <v>115.56</v>
    <v>115.75</v>
    <v>115.55</v>
    <v>115.46</v>
    <v>115.65</v>
    <v>116.11</v>
    <v>116.13</v>
    <v>116.03</v>
    <v>116.17</v>
    <v>116.13</v>
    <v>115.75</v>
    <v>115.93</v>
    <v>116.27</v>
    <v>116.16</v>
    <v>115.88</v>
    <v>115.89</v>
    <v>115.78</v>
    <v>115.28</v>
    <v>115.71</v>
    <v>116.04</v>
    <v>115.73</v>
    <v>115.92</v>
    <v>116.04</v>
    <v>116.46</v>
    <v>116.63</v>
    <v>117.17</v>
    <v>117.37</v>
    <v>117.36</v>
    <v>117.79</v>
    <v>117.72</v>
    <v>117.61</v>
    <v>117.18</v>
    <v>117.23</v>
    <v>117.15</v>
    <v>117.69</v>
    <v>117.47</v>
    <v>117.26</v>
    <v>117.54</v>
    <v>117.25</v>
    <v>117.22</v>
    <v>117.33</v>
    <v>117.6</v>
    <v>117.73</v>
    <v>117.76</v>
    <v>117.33</v>
    <v>117.49</v>
    <v>117.36</v>
    <v>117.4</v>
    <v>117.99</v>
    <v>118.13500000000001</v>
    <v>118.01</v>
    <v>117.87</v>
    <v>118.9</v>
    <v>119.1</v>
    <v>118.31</v>
    <v>118.19</v>
    <v>117.68</v>
    <v>117.52</v>
    <v>116.99</v>
    <v>117.66</v>
    <v>117.83</v>
    <v>118.23</v>
    <v>118.14</v>
    <v>117.95</v>
    <v>117.93</v>
    <v>117.82</v>
    <v>118.22</v>
    <v>118.5</v>
    <v>118.85</v>
    <v>119.1</v>
    <v>119.39</v>
    <v>118.62</v>
    <v>118.06</v>
    <v>117.98</v>
    <v>118.2</v>
    <v>118.32</v>
    <v>117.71</v>
    <v>117.78</v>
    <v>117.21</v>
    <v>117.2</v>
    <v>116.93</v>
    <v>117.43</v>
    <v>117.44</v>
    <v>117.51</v>
    <v>117.48</v>
    <v>117.12</v>
    <v>117.37</v>
    <v>117.56</v>
    <v>117.77</v>
    <v>117.59</v>
    <v>117.87</v>
    <v>118.19</v>
    <v>117.58</v>
    <v>117.48</v>
    <v>117.99</v>
    <v>117.69</v>
    <v>117.11</v>
    <v>117.25</v>
    <v>117.32</v>
    <v>117.69</v>
    <v>117.98</v>
    <v>117.76</v>
    <v>117.61</v>
    <v>117.9</v>
    <v>117.96</v>
    <v>118.08</v>
    <v>118.4</v>
    <v>118.64</v>
    <v>118.72</v>
    <v>119.01</v>
    <v>118.85</v>
    <v>119.09</v>
    <v>118.49</v>
    <v>118.39</v>
    <v>118.08</v>
    <v>117.97</v>
    <v>117.87</v>
    <v>118.21</v>
    <v>118.18</v>
    <v>117.95</v>
    <v>117.93</v>
    <v>117.65</v>
    <v>117.95</v>
    <v>117.88</v>
    <v>118.13</v>
    <v>118.35</v>
    <v>118.53</v>
    <v>118.27</v>
    <v>118.13</v>
    <v>118.27</v>
    <v>118.17</v>
    <v>118.54</v>
    <v>118.28</v>
    <v>118.31</v>
    <v>119.01</v>
    <v>119.08</v>
    <v>118.98</v>
    <v>119</v>
    <v>118.93</v>
    <v>118.72499999999999</v>
    <v>118.75</v>
    <v>118.79</v>
    <v>119.1</v>
    <v>118.85</v>
    <v>118.76</v>
    <v>118.71</v>
    <v>118.88</v>
    <v>118.96</v>
    <v>118.73</v>
    <v>119.24</v>
    <v>119.11</v>
    <v>119.36</v>
    <v>119.54</v>
    <v>119.61</v>
    <v>119.69</v>
    <v>119.14</v>
    <v>119.34</v>
    <v>119.6</v>
    <v>119.91</v>
    <v>120.08</v>
    <v>119.89</v>
    <v>119.98</v>
    <v>120.01</v>
    <v>119.84</v>
    <v>119.97</v>
    <v>120.06</v>
    <v>119.85</v>
    <v>119.69</v>
    <v>119.68</v>
    <v>119.57</v>
    <v>119.74</v>
    <v>119.53</v>
    <v>119.3</v>
    <v>119.32</v>
    <v>119.47</v>
    <v>119.51</v>
    <v>119.47</v>
    <v>119.52</v>
    <v>119.35</v>
    <v>119.19</v>
    <v>119.38</v>
    <v>119.33</v>
    <v>119.29</v>
    <v>119.78</v>
    <v>119.89</v>
    <v>120.06</v>
    <v>119.96</v>
    <v>120.35</v>
    <v>120.18</v>
    <v>120.25</v>
    <v>120.36</v>
    <v>120.38</v>
    <v>120.12</v>
    <v>120.2</v>
    <v>120.13</v>
    <v>120.19</v>
    <v>119.69</v>
    <v>119.65</v>
    <v>119.75</v>
    <v>119.35</v>
    <v>119.46</v>
    <v>119.13</v>
    <v>119.53</v>
    <v>119.6</v>
    <v>119.45</v>
    <v>119.72</v>
    <v>119.7</v>
    <v>119.5</v>
    <v>119.42</v>
    <v>119.47</v>
    <v>119.65</v>
    <v>119.62</v>
    <v>119.82</v>
    <v>120.08</v>
    <v>120.14</v>
    <v>120.35</v>
    <v>120.37</v>
    <v>120.26</v>
    <v>119.56</v>
    <v>119.66</v>
    <v>119.8</v>
    <v>119.59</v>
    <v>119.42</v>
    <v>119.24</v>
    <v>119.11</v>
    <v>119.43</v>
    <v>119.47</v>
    <v>119.36</v>
    <v>119.45</v>
    <v>119.66</v>
    <v>119.655</v>
    <v>119.85</v>
    <v>119.34</v>
  </a>
  <a r="1" c="22">
    <v>107.05</v>
    <v>107.12</v>
    <v>107.16</v>
    <v>107.2</v>
    <v>107.25</v>
    <v>107.4</v>
    <v>107.43</v>
    <v>106.87</v>
    <v>106.81</v>
    <v>106.87</v>
    <v>106.86</v>
    <v>106.91</v>
    <v>106.85</v>
    <v>106.79</v>
    <v>106.97</v>
    <v>106.97</v>
    <v>106.85</v>
    <v>106.84</v>
    <v>106.99</v>
    <v>106.96</v>
    <v>107.02</v>
    <v>106.71</v>
  </a>
  <a r="1" c="254">
    <v>107.48</v>
    <v>107.18</v>
    <v>106.31</v>
    <v>105.78</v>
    <v>106.2</v>
    <v>106.11</v>
    <v>106.15</v>
    <v>106.15</v>
    <v>106.16</v>
    <v>106.58</v>
    <v>106.55</v>
    <v>106.68</v>
    <v>106.58</v>
    <v>106.64</v>
    <v>106.43</v>
    <v>106.1</v>
    <v>105.65</v>
    <v>105.47</v>
    <v>105.35</v>
    <v>105.93</v>
    <v>105.99</v>
    <v>106.23</v>
    <v>106.37</v>
    <v>106.31</v>
    <v>106.02</v>
    <v>106.29</v>
    <v>106.83</v>
    <v>106.68</v>
    <v>106.53</v>
    <v>106.71</v>
    <v>106.54</v>
    <v>106.43</v>
    <v>106.69</v>
    <v>107.06</v>
    <v>106.94</v>
    <v>106.71</v>
    <v>106.72</v>
    <v>106.59</v>
    <v>106.13</v>
    <v>106.54</v>
    <v>106.7</v>
    <v>106.5</v>
    <v>106.71</v>
    <v>106.84</v>
    <v>107.08</v>
    <v>107.1</v>
    <v>107.46</v>
    <v>107.6</v>
    <v>107.41</v>
    <v>107.68</v>
    <v>107.31</v>
    <v>106.96</v>
    <v>106.81</v>
    <v>106.46</v>
    <v>106.41</v>
    <v>106.51</v>
    <v>106.19</v>
    <v>105.74</v>
    <v>105.81</v>
    <v>105.86</v>
    <v>105.86</v>
    <v>105.95</v>
    <v>105.95</v>
    <v>106.03</v>
    <v>105.83</v>
    <v>105.54</v>
    <v>105.35</v>
    <v>104.84</v>
    <v>104.71</v>
    <v>105.19</v>
    <v>105.44</v>
    <v>105.51</v>
    <v>105.28</v>
    <v>105.8</v>
    <v>105.74</v>
    <v>103.82</v>
    <v>102.37</v>
    <v>103.32</v>
    <v>102.96</v>
    <v>102.31</v>
    <v>103.21</v>
    <v>103.42</v>
    <v>103.66</v>
    <v>103.6</v>
    <v>102.97</v>
    <v>103.13</v>
    <v>103.49</v>
    <v>103.89</v>
    <v>104.02</v>
    <v>104.25</v>
    <v>104.38</v>
    <v>104.73</v>
    <v>104.39</v>
    <v>104.25</v>
    <v>104</v>
    <v>104.4</v>
    <v>104.53</v>
    <v>104.19</v>
    <v>104.28</v>
    <v>104.21</v>
    <v>104.43</v>
    <v>104.02</v>
    <v>104.41</v>
    <v>104.51</v>
    <v>104.44</v>
    <v>104.18</v>
    <v>103.68</v>
    <v>103.7</v>
    <v>103.75</v>
    <v>104.07</v>
    <v>103.89</v>
    <v>103.99</v>
    <v>103.85</v>
    <v>103.28</v>
    <v>103.3</v>
    <v>103.55</v>
    <v>103.54</v>
    <v>103.2</v>
    <v>103.47</v>
    <v>103.44</v>
    <v>103.64</v>
    <v>104.1</v>
    <v>103.88</v>
    <v>103.96</v>
    <v>104.07</v>
    <v>103.97</v>
    <v>103.96</v>
    <v>104.08</v>
    <v>104.21</v>
    <v>104.19</v>
    <v>104.35</v>
    <v>104.32</v>
    <v>104.48</v>
    <v>104.29</v>
    <v>104.36</v>
    <v>104.27</v>
    <v>104.29</v>
    <v>104.13</v>
    <v>104.26</v>
    <v>104.26</v>
    <v>103.95</v>
    <v>103.83</v>
    <v>103.65</v>
    <v>103.41</v>
    <v>103.26</v>
    <v>103.24</v>
    <v>103.55</v>
    <v>103.62</v>
    <v>103.54</v>
    <v>103.49</v>
    <v>103.62</v>
    <v>103.63</v>
    <v>103.86</v>
    <v>103.63</v>
    <v>103.87</v>
    <v>104.11</v>
    <v>104.09</v>
    <v>104.18</v>
    <v>104.03</v>
    <v>104.08</v>
    <v>104.02</v>
    <v>104.15</v>
    <v>104.15</v>
    <v>104.22</v>
    <v>104.05</v>
    <v>104.06</v>
    <v>104.04</v>
    <v>104.1</v>
    <v>104.05</v>
    <v>103.91</v>
    <v>104.23</v>
    <v>104.25</v>
    <v>104.33</v>
    <v>104.44</v>
    <v>104.54</v>
    <v>104.46</v>
    <v>103.97</v>
    <v>104.23</v>
    <v>104.55</v>
    <v>105.25</v>
    <v>105.83</v>
    <v>105.67</v>
    <v>106.09</v>
    <v>106.48</v>
    <v>106.43</v>
    <v>106.63</v>
    <v>106.68</v>
    <v>106.66</v>
    <v>106.58</v>
    <v>106.47</v>
    <v>106.48</v>
    <v>106.43</v>
    <v>106.35</v>
    <v>106.25</v>
    <v>106.26</v>
    <v>106.42</v>
    <v>106.49</v>
    <v>106.39</v>
    <v>106.36</v>
    <v>106.38</v>
    <v>106.46</v>
    <v>106.54</v>
    <v>106.57</v>
    <v>106.56</v>
    <v>106.85</v>
    <v>107.01</v>
    <v>106.95</v>
    <v>107.1</v>
    <v>107.42</v>
    <v>107.42</v>
    <v>107.51</v>
    <v>107.58</v>
    <v>107.6</v>
    <v>107.53</v>
    <v>107.6</v>
    <v>107.61</v>
    <v>107.55</v>
    <v>107.4</v>
    <v>107.36</v>
    <v>107.48</v>
    <v>107.06</v>
    <v>107.23</v>
    <v>106.99</v>
    <v>107.23</v>
    <v>107.22</v>
    <v>107.27</v>
    <v>107.54</v>
    <v>107.37</v>
    <v>107.19</v>
    <v>106.97</v>
    <v>107.09</v>
    <v>107.21</v>
    <v>107.05</v>
    <v>107.12</v>
    <v>107.16</v>
    <v>107.2</v>
    <v>107.25</v>
    <v>107.4</v>
    <v>107.43</v>
    <v>106.87</v>
    <v>106.81</v>
    <v>106.87</v>
    <v>106.86</v>
    <v>106.91</v>
    <v>106.85</v>
    <v>106.79</v>
    <v>106.97</v>
    <v>106.97</v>
    <v>106.85</v>
    <v>106.84</v>
    <v>106.99</v>
    <v>106.96</v>
    <v>107.02</v>
    <v>106.71</v>
  </a>
  <a r="1" c="256">
    <v t="i">0</v>
    <v t="i">1</v>
    <v t="i">2</v>
    <v t="i">3</v>
    <v t="i">4</v>
    <v t="i">7</v>
    <v t="i">11</v>
    <v t="i">14</v>
    <v t="i">17</v>
    <v t="i">18</v>
    <v t="i">21</v>
    <v t="i">22</v>
    <v t="i">23</v>
    <v t="i">24</v>
    <v t="i">25</v>
    <v t="i">28</v>
    <v t="i">29</v>
    <v t="i">30</v>
    <v t="i">31</v>
    <v t="i">32</v>
    <v t="i">35</v>
    <v t="i">36</v>
    <v t="i">37</v>
    <v t="i">38</v>
    <v t="i">39</v>
    <v t="i">42</v>
    <v t="i">43</v>
    <v t="i">44</v>
    <v t="i">45</v>
    <v t="i">46</v>
    <v t="i">49</v>
    <v t="i">50</v>
    <v t="i">51</v>
    <v t="i">52</v>
    <v t="i">53</v>
    <v t="i">56</v>
    <v t="i">57</v>
    <v t="i">58</v>
    <v t="i">59</v>
    <v t="i">60</v>
    <v t="i">63</v>
    <v t="i">64</v>
    <v t="i">65</v>
    <v t="i">66</v>
    <v t="i">67</v>
    <v t="i">70</v>
    <v t="i">71</v>
    <v t="i">72</v>
    <v t="i">73</v>
    <v t="i">74</v>
    <v t="i">77</v>
    <v t="i">78</v>
    <v t="i">79</v>
    <v t="i">80</v>
    <v t="i">81</v>
    <v t="i">84</v>
    <v t="i">85</v>
    <v t="i">86</v>
    <v t="i">87</v>
    <v t="i">88</v>
    <v t="i">91</v>
    <v t="i">92</v>
    <v t="i">93</v>
    <v t="i">94</v>
    <v t="i">95</v>
    <v t="i">98</v>
    <v t="i">99</v>
    <v t="i">100</v>
    <v t="i">101</v>
    <v t="i">102</v>
    <v t="i">105</v>
    <v t="i">106</v>
    <v t="i">107</v>
    <v t="i">108</v>
    <v t="i">109</v>
    <v t="i">112</v>
    <v t="i">113</v>
    <v t="i">114</v>
    <v t="i">115</v>
    <v t="i">116</v>
    <v t="i">119</v>
    <v t="i">120</v>
    <v t="i">121</v>
    <v t="i">122</v>
    <v t="i">127</v>
    <v t="i">128</v>
    <v t="i">129</v>
    <v t="i">130</v>
    <v t="i">133</v>
    <v t="i">134</v>
    <v t="i">135</v>
    <v t="i">137</v>
    <v t="i">140</v>
    <v t="i">141</v>
    <v t="i">142</v>
    <v t="i">143</v>
    <v t="i">144</v>
    <v t="i">147</v>
    <v t="i">148</v>
    <v t="i">149</v>
    <v t="i">150</v>
    <v t="i">151</v>
    <v t="i">154</v>
    <v t="i">155</v>
    <v t="i">156</v>
    <v t="i">157</v>
    <v t="i">158</v>
    <v t="i">161</v>
    <v t="i">162</v>
    <v t="i">163</v>
    <v t="i">164</v>
    <v t="i">165</v>
    <v t="i">168</v>
    <v t="i">169</v>
    <v t="i">170</v>
    <v t="i">171</v>
    <v t="i">172</v>
    <v t="i">175</v>
    <v t="i">176</v>
    <v t="i">177</v>
    <v t="i">178</v>
    <v t="i">179</v>
    <v t="i">182</v>
    <v t="i">183</v>
    <v t="i">184</v>
    <v t="i">185</v>
    <v t="i">186</v>
    <v t="i">189</v>
    <v t="i">190</v>
    <v t="i">191</v>
    <v t="i">192</v>
    <v t="i">193</v>
    <v t="i">196</v>
    <v t="i">197</v>
    <v t="i">198</v>
    <v t="i">199</v>
    <v t="i">200</v>
    <v t="i">203</v>
    <v t="i">204</v>
    <v t="i">205</v>
    <v t="i">206</v>
    <v t="i">207</v>
    <v t="i">210</v>
    <v t="i">211</v>
    <v t="i">212</v>
    <v t="i">213</v>
    <v t="i">214</v>
    <v t="i">217</v>
    <v t="i">218</v>
    <v t="i">219</v>
    <v t="i">220</v>
    <v t="i">221</v>
    <v t="i">224</v>
    <v t="i">225</v>
    <v t="i">226</v>
    <v t="i">227</v>
    <v t="i">228</v>
    <v t="i">231</v>
    <v t="i">232</v>
    <v t="i">233</v>
    <v t="i">234</v>
    <v t="i">235</v>
    <v t="i">238</v>
    <v t="i">239</v>
    <v t="i">240</v>
    <v t="i">241</v>
    <v t="i">245</v>
    <v t="i">246</v>
    <v t="i">247</v>
    <v t="i">248</v>
    <v t="i">249</v>
    <v t="i">252</v>
    <v t="i">253</v>
    <v t="i">254</v>
    <v t="i">255</v>
    <v t="i">256</v>
    <v t="i">259</v>
    <v t="i">260</v>
    <v t="i">261</v>
    <v t="i">262</v>
    <v t="i">263</v>
    <v t="i">266</v>
    <v t="i">267</v>
    <v t="i">268</v>
    <v t="i">269</v>
    <v t="i">270</v>
    <v t="i">273</v>
    <v t="i">274</v>
    <v t="i">275</v>
    <v t="i">276</v>
    <v t="i">277</v>
    <v t="i">280</v>
    <v t="i">281</v>
    <v t="i">282</v>
    <v t="i">283</v>
    <v t="i">284</v>
    <v t="i">287</v>
    <v t="i">288</v>
    <v t="i">289</v>
    <v t="i">290</v>
    <v t="i">291</v>
    <v t="i">294</v>
    <v t="i">295</v>
    <v t="i">296</v>
    <v t="i">297</v>
    <v t="i">298</v>
    <v t="i">301</v>
    <v t="i">302</v>
    <v t="i">303</v>
    <v t="i">304</v>
    <v t="i">305</v>
    <v t="i">308</v>
    <v t="i">309</v>
    <v t="i">310</v>
    <v t="i">311</v>
    <v t="i">312</v>
    <v t="i">315</v>
    <v t="i">316</v>
    <v t="i">317</v>
    <v t="i">318</v>
    <v t="i">319</v>
    <v t="i">322</v>
    <v t="i">323</v>
    <v t="i">324</v>
    <v t="i">325</v>
    <v t="i">326</v>
    <v t="i">329</v>
    <v t="i">330</v>
    <v t="i">331</v>
    <v t="i">332</v>
    <v t="i">333</v>
    <v t="i">336</v>
    <v t="i">337</v>
    <v t="i">338</v>
    <v t="i">339</v>
    <v t="i">340</v>
    <v t="i">343</v>
    <v t="i">344</v>
    <v t="i">345</v>
    <v t="i">346</v>
    <v t="i">347</v>
    <v t="i">350</v>
    <v t="i">351</v>
    <v t="i">352</v>
    <v t="i">353</v>
    <v t="i">354</v>
    <v t="i">357</v>
    <v t="i">358</v>
    <v t="i">359</v>
    <v t="i">360</v>
    <v t="i">361</v>
    <v t="i">364</v>
    <v t="i">365</v>
    <v t="i">366</v>
    <v t="i">367</v>
    <v t="i">368</v>
  </a>
  <a r="1" c="256">
    <v>9.6780000000000008</v>
    <v>9.6259999999999994</v>
    <v>9.6300000000000008</v>
    <v>9.5120000000000005</v>
    <v>9.49</v>
    <v>9.4619999999999997</v>
    <v>9.5380000000000003</v>
    <v>9.5109999999999992</v>
    <v>9.6760000000000002</v>
    <v>9.6449999999999996</v>
    <v>9.6750000000000007</v>
    <v>9.6709999999999994</v>
    <v>9.6199999999999992</v>
    <v>9.6549999999999994</v>
    <v>9.5630000000000006</v>
    <v>9.5250000000000004</v>
    <v>9.4459999999999997</v>
    <v>9.5950000000000006</v>
    <v>9.6850000000000005</v>
    <v>9.7829999999999995</v>
    <v>9.7940000000000005</v>
    <v>9.8350000000000009</v>
    <v>9.8239999999999998</v>
    <v>9.8780000000000001</v>
    <v>9.82</v>
    <v>9.8290000000000006</v>
    <v>9.8970000000000002</v>
    <v>9.93</v>
    <v>10.06</v>
    <v>10.09</v>
    <v>10.048</v>
    <v>10.028</v>
    <v>10.071999999999999</v>
    <v>10.192</v>
    <v>10.154</v>
    <v>10.252000000000001</v>
    <v>10.252000000000001</v>
    <v>10.263999999999999</v>
    <v>10.247999999999999</v>
    <v>10.204000000000001</v>
    <v>10.27</v>
    <v>10.288</v>
    <v>10.231999999999999</v>
    <v>10.19</v>
    <v>10.212</v>
    <v>10.183999999999999</v>
    <v>10.18</v>
    <v>10.286</v>
    <v>10.356</v>
    <v>10.388</v>
    <v>10.476000000000001</v>
    <v>10.318</v>
    <v>10.212</v>
    <v>10.11</v>
    <v>10.11</v>
    <v>10.01</v>
    <v>9.843</v>
    <v>9.9429999999999996</v>
    <v>9.9220000000000006</v>
    <v>9.9960000000000004</v>
    <v>10.066000000000001</v>
    <v>10.082000000000001</v>
    <v>10.132</v>
    <v>10.141999999999999</v>
    <v>10.068</v>
    <v>10.082000000000001</v>
    <v>10.141999999999999</v>
    <v>10.130000000000001</v>
    <v>10.151999999999999</v>
    <v>10.11</v>
    <v>10.013999999999999</v>
    <v>10.077999999999999</v>
    <v>10.023999999999999</v>
    <v>9.798</v>
    <v>9.2629999999999999</v>
    <v>8.7949999999999999</v>
    <v>9.0190000000000001</v>
    <v>8.6669999999999998</v>
    <v>8.9920000000000009</v>
    <v>8.9860000000000007</v>
    <v>9.2279999999999998</v>
    <v>9.4710000000000001</v>
    <v>9.4610000000000003</v>
    <v>9.484</v>
    <v>9.5329999999999995</v>
    <v>9.6340000000000003</v>
    <v>9.6809999999999992</v>
    <v>9.6750000000000007</v>
    <v>9.7330000000000005</v>
    <v>9.782</v>
    <v>9.7829999999999995</v>
    <v>9.9120000000000008</v>
    <v>9.9359999999999999</v>
    <v>9.9510000000000005</v>
    <v>9.8919999999999995</v>
    <v>9.9049999999999994</v>
    <v>9.9260000000000002</v>
    <v>10.044</v>
    <v>10.055999999999999</v>
    <v>10.006</v>
    <v>10.1</v>
    <v>10.18</v>
    <v>10.16</v>
    <v>10.266</v>
    <v>10.256</v>
    <v>10.228</v>
    <v>10.220000000000001</v>
    <v>10.311999999999999</v>
    <v>10.308</v>
    <v>10.256</v>
    <v>10.224</v>
    <v>10.268000000000001</v>
    <v>10.278</v>
    <v>10.31</v>
    <v>10.321999999999999</v>
    <v>10.334</v>
    <v>10.36</v>
    <v>10.356</v>
    <v>10.368</v>
    <v>10.337999999999999</v>
    <v>10.164</v>
    <v>10.130000000000001</v>
    <v>10.146000000000001</v>
    <v>10.082000000000001</v>
    <v>10.07</v>
    <v>10.034000000000001</v>
    <v>9.9990000000000006</v>
    <v>9.9920000000000009</v>
    <v>10.02</v>
    <v>9.9710000000000001</v>
    <v>10.02</v>
    <v>10.048</v>
    <v>9.98</v>
    <v>9.9809999999999999</v>
    <v>9.891</v>
    <v>9.9809999999999999</v>
    <v>9.9610000000000003</v>
    <v>9.9819999999999993</v>
    <v>9.9939999999999998</v>
    <v>10.038</v>
    <v>10.167999999999999</v>
    <v>10.06</v>
    <v>10.096</v>
    <v>10.054</v>
    <v>10.044</v>
    <v>10.125999999999999</v>
    <v>10.106</v>
    <v>10.122</v>
    <v>10.116</v>
    <v>10.212</v>
    <v>10.242000000000001</v>
    <v>10.176</v>
    <v>10.196</v>
    <v>10.3</v>
    <v>10.302</v>
    <v>10.295999999999999</v>
    <v>10.15</v>
    <v>10.218</v>
    <v>10.234</v>
    <v>10.244</v>
    <v>10.256</v>
    <v>10.246</v>
    <v>10.305999999999999</v>
    <v>10.337999999999999</v>
    <v>10.372</v>
    <v>10.452</v>
    <v>10.39</v>
    <v>10.428000000000001</v>
    <v>10.522</v>
    <v>10.542</v>
    <v>10.555999999999999</v>
    <v>10.532</v>
    <v>10.502000000000001</v>
    <v>10.528</v>
    <v>10.474</v>
    <v>10.417999999999999</v>
    <v>10.433999999999999</v>
    <v>10.273999999999999</v>
    <v>10.368</v>
    <v>10.442</v>
    <v>10.41</v>
    <v>10.43</v>
    <v>10.464</v>
    <v>10.454000000000001</v>
    <v>10.45</v>
    <v>10.442</v>
    <v>10.428000000000001</v>
    <v>10.311999999999999</v>
    <v>10.326000000000001</v>
    <v>10.324</v>
    <v>10.28</v>
    <v>10.286</v>
    <v>10.278</v>
    <v>10.295999999999999</v>
    <v>10.23</v>
    <v>10.336</v>
    <v>10.366</v>
    <v>10.414</v>
    <v>10.56</v>
    <v>10.522</v>
    <v>10.587999999999999</v>
    <v>10.612</v>
    <v>10.62</v>
    <v>10.72</v>
    <v>10.641999999999999</v>
    <v>10.534000000000001</v>
    <v>10.587999999999999</v>
    <v>10.552</v>
    <v>10.555999999999999</v>
    <v>10.566000000000001</v>
    <v>10.458</v>
    <v>10.558</v>
    <v>10.593999999999999</v>
    <v>10.68</v>
    <v>10.72</v>
    <v>10.747999999999999</v>
    <v>10.776</v>
    <v>10.778</v>
    <v>10.792</v>
    <v>10.814</v>
    <v>10.79</v>
    <v>10.776</v>
    <v>10.74</v>
    <v>10.826000000000001</v>
    <v>10.772</v>
    <v>10.724</v>
    <v>10.868</v>
    <v>10.964</v>
    <v>10.938000000000001</v>
    <v>10.85</v>
    <v>10.726000000000001</v>
    <v>10.728</v>
    <v>10.574</v>
    <v>10.528</v>
    <v>10.566000000000001</v>
    <v>10.593999999999999</v>
    <v>10.61</v>
    <v>10.7</v>
    <v>10.81</v>
    <v>10.824</v>
    <v>10.852</v>
    <v>10.804</v>
    <v>10.786</v>
    <v>10.85</v>
    <v>10.9</v>
    <v>10.848000000000001</v>
    <v>10.162000000000001</v>
    <v>10.134</v>
    <v>10.108000000000001</v>
    <v>10.074</v>
    <v>9.9819999999999993</v>
    <v>10.118</v>
    <v>10.034000000000001</v>
    <v>10.15</v>
    <v>10.166</v>
    <v>10.254</v>
  </a>
  <a r="1" c="23">
    <v t="i">0</v>
    <v t="i">1</v>
    <v t="i">2</v>
    <v t="i">5</v>
    <v t="i">6</v>
    <v t="i">7</v>
    <v t="i">8</v>
    <v t="i">9</v>
    <v t="i">12</v>
    <v t="i">13</v>
    <v t="i">14</v>
    <v t="i">15</v>
    <v t="i">16</v>
    <v t="i">19</v>
    <v t="i">20</v>
    <v t="i">21</v>
    <v t="i">22</v>
    <v t="i">23</v>
    <v t="i">26</v>
    <v t="i">27</v>
    <v t="i">28</v>
    <v t="i">29</v>
    <v t="i">30</v>
  </a>
  <a r="1" c="23">
    <v>10.528</v>
    <v>10.566000000000001</v>
    <v>10.593999999999999</v>
    <v>10.61</v>
    <v>10.7</v>
    <v>10.81</v>
    <v>10.824</v>
    <v>10.852</v>
    <v>10.804</v>
    <v>10.786</v>
    <v>10.85</v>
    <v>10.9</v>
    <v>10.848000000000001</v>
    <v>10.162000000000001</v>
    <v>10.134</v>
    <v>10.108000000000001</v>
    <v>10.074</v>
    <v>9.9819999999999993</v>
    <v>10.118</v>
    <v>10.034000000000001</v>
    <v>10.15</v>
    <v>10.166</v>
    <v>10.254</v>
  </a>
  <a r="1" c="254">
    <v>90.42</v>
    <v>90.64</v>
    <v>89.16</v>
    <v>87.81</v>
    <v>88.31</v>
    <v>87.5</v>
    <v>87.87</v>
    <v>87.82</v>
    <v>87.1</v>
    <v>87.8</v>
    <v>87.33</v>
    <v>87.57</v>
    <v>87.29</v>
    <v>86.9</v>
    <v>85.92</v>
    <v>86.03</v>
    <v>85.46</v>
    <v>85.43</v>
    <v>85.29</v>
    <v>86.76</v>
    <v>87.04</v>
    <v>87.19</v>
    <v>87.97</v>
    <v>87.51</v>
    <v>86.83</v>
    <v>87.22</v>
    <v>88.25</v>
    <v>88.19</v>
    <v>88.01</v>
    <v>88.34</v>
    <v>87.76</v>
    <v>88.16</v>
    <v>88.43</v>
    <v>89.89</v>
    <v>89.85</v>
    <v>89.27</v>
    <v>89</v>
    <v>88.43</v>
    <v>87.23</v>
    <v>88.68</v>
    <v>89.15</v>
    <v>88.1</v>
    <v>88.21</v>
    <v>88.54</v>
    <v>89.61</v>
    <v>89.87</v>
    <v>91.42</v>
    <v>91.96</v>
    <v>91.31</v>
    <v>92.43</v>
    <v>92.57</v>
    <v>91.43</v>
    <v>90.7</v>
    <v>90.4</v>
    <v>90.11</v>
    <v>91.05</v>
    <v>90.4</v>
    <v>89.86</v>
    <v>90.65</v>
    <v>90.17</v>
    <v>90.62</v>
    <v>90.71</v>
    <v>91.18</v>
    <v>91.24</v>
    <v>90.7</v>
    <v>89.77</v>
    <v>89.76</v>
    <v>89.17</v>
    <v>88.91</v>
    <v>90.14</v>
    <v>91.03</v>
    <v>91.49</v>
    <v>91.43</v>
    <v>91.85</v>
    <v>92.85</v>
    <v>90.05</v>
    <v>88.35</v>
    <v>88.87</v>
    <v>86.42</v>
    <v>86.89</v>
    <v>87.51</v>
    <v>87.82</v>
    <v>88.31</v>
    <v>87.53</v>
    <v>86</v>
    <v>86.48</v>
    <v>87.32</v>
    <v>88.24</v>
    <v>88.89</v>
    <v>89.45</v>
    <v>90.2</v>
    <v>89.47</v>
    <v>88.69</v>
    <v>87.73</v>
    <v>87.24</v>
    <v>87.53</v>
    <v>87.9</v>
    <v>86.92</v>
    <v>87.05</v>
    <v>86.24</v>
    <v>85.89</v>
    <v>85.32</v>
    <v>86.07</v>
    <v>86.3</v>
    <v>86.05</v>
    <v>85.43</v>
    <v>83.97</v>
    <v>84.41</v>
    <v>84.55</v>
    <v>85.73</v>
    <v>85.36</v>
    <v>86.15</v>
    <v>86.28</v>
    <v>85.16</v>
    <v>85.01</v>
    <v>86.39</v>
    <v>86.45</v>
    <v>85.35</v>
    <v>85.44</v>
    <v>85.88</v>
    <v>86.14</v>
    <v>87.17</v>
    <v>86.33</v>
    <v>85.46</v>
    <v>86.5</v>
    <v>86.65</v>
    <v>86.49</v>
    <v>86.77</v>
    <v>87.4</v>
    <v>87.51</v>
    <v>87.95</v>
    <v>87.39</v>
    <v>88.25</v>
    <v>88.14</v>
    <v>87.58</v>
    <v>86.97</v>
    <v>86.14</v>
    <v>86.03</v>
    <v>86.93</v>
    <v>86.99</v>
    <v>85.79</v>
    <v>85.61</v>
    <v>85.01</v>
    <v>85.13</v>
    <v>85.11</v>
    <v>85.24</v>
    <v>86</v>
    <v>86.52</v>
    <v>86.04</v>
    <v>85.89</v>
    <v>86.43</v>
    <v>85.87</v>
    <v>87.32</v>
    <v>86.87</v>
    <v>86.92</v>
    <v>87.82</v>
    <v>88.06</v>
    <v>88.33</v>
    <v>87.82</v>
    <v>87.67</v>
    <v>87.29</v>
    <v>87.39</v>
    <v>86.95</v>
    <v>87.67</v>
    <v>87.02</v>
    <v>86.4</v>
    <v>86.15</v>
    <v>86.65</v>
    <v>86.84</v>
    <v>86.41</v>
    <v>87.05</v>
    <v>86.8</v>
    <v>86.75</v>
    <v>86.65</v>
    <v>87.22</v>
    <v>86.6</v>
    <v>85.63</v>
    <v>86.57</v>
    <v>87.23</v>
    <v>88.56</v>
    <v>89.74</v>
    <v>89.23</v>
    <v>89.74</v>
    <v>90.34</v>
    <v>89.95</v>
    <v>90.16</v>
    <v>90.35</v>
    <v>90.12</v>
    <v>89.19</v>
    <v>89.02</v>
    <v>88.7</v>
    <v>89.32</v>
    <v>88.98</v>
    <v>88.98</v>
    <v>88.9</v>
    <v>89.63</v>
    <v>89.37</v>
    <v>89.29</v>
    <v>89.55</v>
    <v>89.38</v>
    <v>88.67</v>
    <v>89.18</v>
    <v>89.25</v>
    <v>89.18</v>
    <v>90.62</v>
    <v>90.57</v>
    <v>90.86</v>
    <v>90.66</v>
    <v>91.34</v>
    <v>91.2</v>
    <v>91.55</v>
    <v>92</v>
    <v>92.06</v>
    <v>91.43</v>
    <v>91.47</v>
    <v>91.78</v>
    <v>92.02</v>
    <v>91.09</v>
    <v>90.56</v>
    <v>90.29</v>
    <v>89.74</v>
    <v>89.94</v>
    <v>88.96</v>
    <v>89.76</v>
    <v>89.57</v>
    <v>89.55</v>
    <v>89.96</v>
    <v>90.12</v>
    <v>89.38</v>
    <v>88.87</v>
    <v>89.09</v>
    <v>89.06</v>
    <v>88.88</v>
    <v>89.23</v>
    <v>89.5</v>
    <v>90.01</v>
    <v>90.24</v>
    <v>90.64</v>
    <v>90.21</v>
    <v>88.77</v>
    <v>88.81</v>
    <v>89.06</v>
    <v>88.58</v>
    <v>88.17</v>
    <v>87.88</v>
    <v>87.97</v>
    <v>88.31</v>
    <v>88.19</v>
    <v>87.34</v>
    <v>87.4</v>
    <v>87.88</v>
    <v>87.8</v>
    <v>88.22</v>
    <v>87.55</v>
  </a>
  <a r="1" c="22">
    <v>88.88</v>
    <v>89.23</v>
    <v>89.5</v>
    <v>90.01</v>
    <v>90.24</v>
    <v>90.64</v>
    <v>90.21</v>
    <v>88.77</v>
    <v>88.81</v>
    <v>89.06</v>
    <v>88.58</v>
    <v>88.17</v>
    <v>87.88</v>
    <v>87.97</v>
    <v>88.31</v>
    <v>88.19</v>
    <v>87.34</v>
    <v>87.4</v>
    <v>87.88</v>
    <v>87.8</v>
    <v>88.22</v>
    <v>87.55</v>
  </a>
  <a r="1" c="254">
    <v>82.1</v>
    <v>82.11</v>
    <v>81.680000000000007</v>
    <v>81.77</v>
    <v>81.78</v>
    <v>81.73</v>
    <v>81.77</v>
    <v>81.790000000000006</v>
    <v>81.81</v>
    <v>81.93</v>
    <v>81.98</v>
    <v>81.96</v>
    <v>81.96</v>
    <v>81.98</v>
    <v>81.93</v>
    <v>81.98</v>
    <v>81.83</v>
    <v>81.849999999999994</v>
    <v>81.87</v>
    <v>82.05</v>
    <v>82.1</v>
    <v>82.08</v>
    <v>82.11</v>
    <v>82.09</v>
    <v>82.09</v>
    <v>82.14</v>
    <v>82.26</v>
    <v>82.28</v>
    <v>82.23</v>
    <v>82.28</v>
    <v>82.29</v>
    <v>81.96</v>
    <v>82.04</v>
    <v>82.09</v>
    <v>82.06</v>
    <v>81.97</v>
    <v>82.01</v>
    <v>81.99</v>
    <v>81.88</v>
    <v>81.99</v>
    <v>82.1</v>
    <v>82.03</v>
    <v>82.09</v>
    <v>82.1</v>
    <v>82.24</v>
    <v>82.3</v>
    <v>82.41</v>
    <v>82.44</v>
    <v>82.47</v>
    <v>82.62</v>
    <v>82.42</v>
    <v>82.43</v>
    <v>82.34</v>
    <v>82.39</v>
    <v>82.38</v>
    <v>82.53</v>
    <v>82.48</v>
    <v>82.42</v>
    <v>82.48</v>
    <v>82.42</v>
    <v>82.39</v>
    <v>82.39</v>
    <v>82.51</v>
    <v>82.53</v>
    <v>82.58</v>
    <v>82.47</v>
    <v>82.5</v>
    <v>82.48</v>
    <v>82.52</v>
    <v>82.67</v>
    <v>82.73</v>
    <v>82.48</v>
    <v>82.42</v>
    <v>82.73</v>
    <v>82.68</v>
    <v>82.69</v>
    <v>82.64</v>
    <v>82.59</v>
    <v>82.58</v>
    <v>82.43</v>
    <v>82.61</v>
    <v>82.61</v>
    <v>82.72</v>
    <v>82.75</v>
    <v>82.7</v>
    <v>82.73</v>
    <v>82.67</v>
    <v>82.77</v>
    <v>82.84</v>
    <v>82.96</v>
    <v>83.01</v>
    <v>83.12</v>
    <v>82.69</v>
    <v>82.53</v>
    <v>82.52</v>
    <v>82.59</v>
    <v>82.62</v>
    <v>82.45</v>
    <v>82.49</v>
    <v>82.34</v>
    <v>82.32</v>
    <v>82.26</v>
    <v>82.42</v>
    <v>82.4</v>
    <v>82.43</v>
    <v>82.44</v>
    <v>82.39</v>
    <v>82.44</v>
    <v>82.49</v>
    <v>82.52</v>
    <v>82.46</v>
    <v>82.55</v>
    <v>82.65</v>
    <v>82.31</v>
    <v>82.29</v>
    <v>82.44</v>
    <v>82.35</v>
    <v>82.21</v>
    <v>82.27</v>
    <v>82.27</v>
    <v>82.4</v>
    <v>82.47</v>
    <v>82.41</v>
    <v>82.4</v>
    <v>82.44</v>
    <v>82.48</v>
    <v>82.54</v>
    <v>82.65</v>
    <v>82.715000000000003</v>
    <v>82.73</v>
    <v>82.83</v>
    <v>82.8</v>
    <v>82.86</v>
    <v>82.51</v>
    <v>82.5</v>
    <v>82.41</v>
    <v>82.39</v>
    <v>82.4</v>
    <v>82.47</v>
    <v>82.47</v>
    <v>82.45</v>
    <v>82.46</v>
    <v>82.375</v>
    <v>82.49</v>
    <v>82.46</v>
    <v>82.53</v>
    <v>82.58</v>
    <v>82.64</v>
    <v>82.57</v>
    <v>82.5</v>
    <v>82.55</v>
    <v>82.534999999999997</v>
    <v>82.61</v>
    <v>82.52</v>
    <v>82.52</v>
    <v>82.66</v>
    <v>82.68</v>
    <v>82.65</v>
    <v>82.68</v>
    <v>82.64</v>
    <v>82.62</v>
    <v>82.62</v>
    <v>82.68</v>
    <v>82.79</v>
    <v>82.7</v>
    <v>82.67</v>
    <v>82.67</v>
    <v>82.71</v>
    <v>82.74</v>
    <v>82.67</v>
    <v>82.85</v>
    <v>82.805000000000007</v>
    <v>82.88</v>
    <v>82.94</v>
    <v>82.91</v>
    <v>82.98</v>
    <v>82.68</v>
    <v>82.74</v>
    <v>82.8</v>
    <v>82.92</v>
    <v>82.97</v>
    <v>82.9</v>
    <v>82.91</v>
    <v>82.94</v>
    <v>82.93</v>
    <v>82.96</v>
    <v>83</v>
    <v>82.96</v>
    <v>82.93</v>
    <v>82.96</v>
    <v>82.92</v>
    <v>82.95</v>
    <v>82.91</v>
    <v>82.84</v>
    <v>82.89</v>
    <v>82.92</v>
    <v>82.96</v>
    <v>82.8</v>
    <v>82.82</v>
    <v>82.79</v>
    <v>82.77</v>
    <v>82.81</v>
    <v>82.8</v>
    <v>82.79</v>
    <v>82.93</v>
    <v>83.09</v>
    <v>83.03</v>
    <v>82.99</v>
    <v>83.1</v>
    <v>83.084999999999994</v>
    <v>83.1</v>
    <v>83.12</v>
    <v>83.12</v>
    <v>83.06</v>
    <v>83.11</v>
    <v>83.09</v>
    <v>83.1</v>
    <v>82.935000000000002</v>
    <v>82.95</v>
    <v>82.98</v>
    <v>82.72</v>
    <v>82.75</v>
    <v>82.69</v>
    <v>82.79</v>
    <v>82.83</v>
    <v>82.81</v>
    <v>82.88</v>
    <v>82.85</v>
    <v>82.8</v>
    <v>82.83</v>
    <v>82.82</v>
    <v>82.87</v>
    <v>82.86</v>
    <v>82.93</v>
    <v>83.03</v>
    <v>83.04</v>
    <v>83.09</v>
    <v>83.08</v>
    <v>83.08</v>
    <v>82.76</v>
    <v>82.81</v>
    <v>82.86</v>
    <v>82.8</v>
    <v>82.77</v>
    <v>82.75</v>
    <v>82.71</v>
    <v>82.85</v>
    <v>82.86</v>
    <v>82.87</v>
    <v>82.92</v>
    <v>82.96</v>
    <v>82.97</v>
    <v>83.03</v>
    <v>82.76</v>
  </a>
  <a r="1" c="22">
    <v>82.86</v>
    <v>82.93</v>
    <v>83.03</v>
    <v>83.04</v>
    <v>83.09</v>
    <v>83.08</v>
    <v>83.08</v>
    <v>82.76</v>
    <v>82.81</v>
    <v>82.86</v>
    <v>82.8</v>
    <v>82.77</v>
    <v>82.75</v>
    <v>82.71</v>
    <v>82.85</v>
    <v>82.86</v>
    <v>82.87</v>
    <v>82.92</v>
    <v>82.96</v>
    <v>82.97</v>
    <v>83.03</v>
    <v>82.76</v>
  </a>
  <a r="1" c="22">
    <v>57.17</v>
    <v>56.85</v>
    <v>56.95</v>
    <v>57.6</v>
    <v>57.42</v>
    <v>58.16</v>
    <v>58.55</v>
    <v>57.28</v>
    <v>56.82</v>
    <v>56.65</v>
    <v>56.57</v>
    <v>56.01</v>
    <v>55.35</v>
    <v>55.35</v>
    <v>55.31</v>
    <v>55.76</v>
    <v>55.47</v>
    <v>55.91</v>
    <v>55.71</v>
    <v>55.31</v>
    <v>55.87</v>
    <v>54.79</v>
  </a>
  <a r="1" c="254">
    <v>49.6</v>
    <v>49.4</v>
    <v>48.17</v>
    <v>48.42</v>
    <v>48.8</v>
    <v>48.98</v>
    <v>49.26</v>
    <v>49.14</v>
    <v>48.98</v>
    <v>48.8</v>
    <v>48.77</v>
    <v>49.07</v>
    <v>49.64</v>
    <v>49.07</v>
    <v>48.96</v>
    <v>48.96</v>
    <v>48.6</v>
    <v>48.13</v>
    <v>48.73</v>
    <v>49.44</v>
    <v>50.66</v>
    <v>50.74</v>
    <v>51.53</v>
    <v>50.38</v>
    <v>50.63</v>
    <v>51.09</v>
    <v>50</v>
    <v>49.35</v>
    <v>49.41</v>
    <v>50.48</v>
    <v>50.17</v>
    <v>50.4</v>
    <v>50.02</v>
    <v>50.52</v>
    <v>50.5</v>
    <v>50.36</v>
    <v>50.89</v>
    <v>51.15</v>
    <v>51.03</v>
    <v>51.18</v>
    <v>50.94</v>
    <v>51.46</v>
    <v>51.71</v>
    <v>51.69</v>
    <v>51.72</v>
    <v>51.45</v>
    <v>51.26</v>
    <v>51.48</v>
    <v>50.39</v>
    <v>51.15</v>
    <v>51.26</v>
    <v>50.42</v>
    <v>50.04</v>
    <v>49.04</v>
    <v>49.95</v>
    <v>50.47</v>
    <v>50.02</v>
    <v>49.87</v>
    <v>49.96</v>
    <v>50.96</v>
    <v>51.19</v>
    <v>50.87</v>
    <v>51.02</v>
    <v>51.23</v>
    <v>50.46</v>
    <v>50.5</v>
    <v>49.7</v>
    <v>50.01</v>
    <v>50</v>
    <v>50.39</v>
    <v>50.95</v>
    <v>51.1</v>
    <v>51.3</v>
    <v>51.02</v>
    <v>48.2</v>
    <v>47.46</v>
    <v>47.29</v>
    <v>49.05</v>
    <v>48.71</v>
    <v>49.37</v>
    <v>50.25</v>
    <v>50.22</v>
    <v>49.85</v>
    <v>50.31</v>
    <v>49.13</v>
    <v>50.45</v>
    <v>50.62</v>
    <v>50.72</v>
    <v>50.52</v>
    <v>50.85</v>
    <v>51.24</v>
    <v>50.94</v>
    <v>51.16</v>
    <v>51.51</v>
    <v>51.36</v>
    <v>51.97</v>
    <v>52.15</v>
    <v>51.67</v>
    <v>51.75</v>
    <v>51.42</v>
    <v>51.31</v>
    <v>51.08</v>
    <v>52.2</v>
    <v>52.95</v>
    <v>53.21</v>
    <v>53.34</v>
    <v>52.35</v>
    <v>51.61</v>
    <v>52.23</v>
    <v>52.67</v>
    <v>51.92</v>
    <v>52.29</v>
    <v>52.8</v>
    <v>52.95</v>
    <v>53.08</v>
    <v>52.17</v>
    <v>52.08</v>
    <v>52.29</v>
    <v>52</v>
    <v>52.15</v>
    <v>52.27</v>
    <v>52.86</v>
    <v>52.49</v>
    <v>52.25</v>
    <v>51.89</v>
    <v>52.06</v>
    <v>51.78</v>
    <v>52.41</v>
    <v>52.63</v>
    <v>51.88</v>
    <v>52.31</v>
    <v>52.41</v>
    <v>52.6</v>
    <v>52.77</v>
    <v>52.35</v>
    <v>52.75</v>
    <v>52.82</v>
    <v>52.31</v>
    <v>52.76</v>
    <v>53.2</v>
    <v>53.12</v>
    <v>53.37</v>
    <v>52.84</v>
    <v>52.9</v>
    <v>53.1</v>
    <v>54.01</v>
    <v>54.12</v>
    <v>54.8</v>
    <v>54.4</v>
    <v>54.35</v>
    <v>54.49</v>
    <v>53.95</v>
    <v>54.55</v>
    <v>54.93</v>
    <v>55.23</v>
    <v>55.27</v>
    <v>56.26</v>
    <v>55.7</v>
    <v>55.23</v>
    <v>55.77</v>
    <v>55.55</v>
    <v>55.35</v>
    <v>55.66</v>
    <v>55.8</v>
    <v>55.4</v>
    <v>55.22</v>
    <v>54.97</v>
    <v>55.48</v>
    <v>55.54</v>
    <v>55.19</v>
    <v>55.53</v>
    <v>54.91</v>
    <v>55.01</v>
    <v>55.11</v>
    <v>54.72</v>
    <v>54.52</v>
    <v>54.29</v>
    <v>54.16</v>
    <v>54.1</v>
    <v>53.98</v>
    <v>53.43</v>
    <v>53.78</v>
    <v>54.65</v>
    <v>54.96</v>
    <v>55.22</v>
    <v>55.39</v>
    <v>54.43</v>
    <v>54.59</v>
    <v>54.66</v>
    <v>54.76</v>
    <v>55.26</v>
    <v>55.56</v>
    <v>55.88</v>
    <v>55.32</v>
    <v>56.12</v>
    <v>56.34</v>
    <v>56.47</v>
    <v>56.91</v>
    <v>56.88</v>
    <v>57.47</v>
    <v>58.05</v>
    <v>58.28</v>
    <v>58.71</v>
    <v>58.56</v>
    <v>58.3</v>
    <v>58.81</v>
    <v>59.32</v>
    <v>60.06</v>
    <v>59.46</v>
    <v>59.24</v>
    <v>59.23</v>
    <v>58.53</v>
    <v>58.37</v>
    <v>58.32</v>
    <v>59.09</v>
    <v>59.23</v>
    <v>58.29</v>
    <v>58.2</v>
    <v>57.96</v>
    <v>57.57</v>
    <v>57.58</v>
    <v>57.39</v>
    <v>57.44</v>
    <v>57.16</v>
    <v>57.97</v>
    <v>57.95</v>
    <v>57.98</v>
    <v>58.08</v>
    <v>57.31</v>
    <v>57.36</v>
    <v>57.79</v>
    <v>57.58</v>
    <v>57.17</v>
    <v>56.85</v>
    <v>56.95</v>
    <v>57.6</v>
    <v>57.42</v>
    <v>58.16</v>
    <v>58.55</v>
    <v>57.28</v>
    <v>56.82</v>
    <v>56.65</v>
    <v>56.57</v>
    <v>56.01</v>
    <v>55.35</v>
    <v>55.35</v>
    <v>55.31</v>
    <v>55.76</v>
    <v>55.47</v>
    <v>55.91</v>
    <v>55.71</v>
    <v>55.31</v>
    <v>55.87</v>
    <v>54.79</v>
  </a>
  <a r="1" c="254">
    <v>306.26</v>
    <v>301.73</v>
    <v>289.01</v>
    <v>287.89999999999998</v>
    <v>290.85000000000002</v>
    <v>289.81</v>
    <v>292.69</v>
    <v>296.17</v>
    <v>290.94</v>
    <v>288.33</v>
    <v>287.82</v>
    <v>288.8</v>
    <v>294.77999999999997</v>
    <v>295.17</v>
    <v>293.02</v>
    <v>291.25</v>
    <v>284.83999999999997</v>
    <v>284.37</v>
    <v>286.7</v>
    <v>292.61</v>
    <v>293.41000000000003</v>
    <v>294.66000000000003</v>
    <v>301.77999999999997</v>
    <v>300.98</v>
    <v>302.92</v>
    <v>300.73</v>
    <v>294.77999999999997</v>
    <v>296.57</v>
    <v>296.18</v>
    <v>299.67</v>
    <v>296.91000000000003</v>
    <v>294.01</v>
    <v>297.55</v>
    <v>301.20999999999998</v>
    <v>299.52999999999997</v>
    <v>296.2</v>
    <v>297.57</v>
    <v>293.74</v>
    <v>292.13</v>
    <v>295.67</v>
    <v>295.57</v>
    <v>297.31</v>
    <v>296.62</v>
    <v>293.76</v>
    <v>283.19</v>
    <v>280.5</v>
    <v>278.20999999999998</v>
    <v>279.3</v>
    <v>273.56</v>
    <v>276.8</v>
    <v>267.60000000000002</v>
    <v>265.67</v>
    <v>268.98</v>
    <v>263.23</v>
    <v>264.3</v>
    <v>257.55</v>
    <v>258.62</v>
    <v>259.08</v>
    <v>254.58</v>
    <v>261.24</v>
    <v>264.74</v>
    <v>261.27999999999997</v>
    <v>266.32</v>
    <v>264.26</v>
    <v>262.95999999999998</v>
    <v>270.57</v>
    <v>269.43</v>
    <v>264.82</v>
    <v>263.14</v>
    <v>257.60000000000002</v>
    <v>255.53</v>
    <v>255.66</v>
    <v>260.51</v>
    <v>243.75</v>
    <v>232.32</v>
    <v>230.8</v>
    <v>224.16</v>
    <v>245.49</v>
    <v>235.53</v>
    <v>239.98</v>
    <v>242.51</v>
    <v>242.55</v>
    <v>239.16</v>
    <v>240.86</v>
    <v>234.76</v>
    <v>241.05</v>
    <v>245.89</v>
    <v>251.66</v>
    <v>252.41</v>
    <v>253.28</v>
    <v>255.04</v>
    <v>253.55</v>
    <v>255.32</v>
    <v>261.57</v>
    <v>259.99</v>
    <v>256.27</v>
    <v>257.19</v>
    <v>262.45999999999998</v>
    <v>261.67</v>
    <v>271.60000000000002</v>
    <v>272.95</v>
    <v>271.11</v>
    <v>271.98</v>
    <v>275.16000000000003</v>
    <v>273.97000000000003</v>
    <v>274.70999999999998</v>
    <v>267.07</v>
    <v>267.23</v>
    <v>266.73</v>
    <v>273.06</v>
    <v>270.58999999999997</v>
    <v>270.8</v>
    <v>269.62</v>
    <v>271.72000000000003</v>
    <v>276.33</v>
    <v>275.8</v>
    <v>276.20999999999998</v>
    <v>280.58</v>
    <v>281.89</v>
    <v>282.70999999999998</v>
    <v>281.95999999999998</v>
    <v>280.52999999999997</v>
    <v>274.97000000000003</v>
    <v>278.33</v>
    <v>275.32</v>
    <v>276.83999999999997</v>
    <v>276.14999999999998</v>
    <v>278.91000000000003</v>
    <v>283.60000000000002</v>
    <v>280.10000000000002</v>
    <v>284.60000000000002</v>
    <v>285.01</v>
    <v>285.86</v>
    <v>285.23</v>
    <v>288.52999999999997</v>
    <v>292.05</v>
    <v>287.8</v>
    <v>289.13</v>
    <v>292.94</v>
    <v>293.25</v>
    <v>288.64999999999998</v>
    <v>291.33</v>
    <v>287.06</v>
    <v>290.82</v>
    <v>294.86</v>
    <v>292.76</v>
    <v>290.47000000000003</v>
    <v>291.02</v>
    <v>296.16000000000003</v>
    <v>292.77</v>
    <v>294</v>
    <v>293.92</v>
    <v>291.95</v>
    <v>292.91000000000003</v>
    <v>290.14999999999998</v>
    <v>284.45</v>
    <v>291.64</v>
    <v>292.98</v>
    <v>291.82</v>
    <v>291.06</v>
    <v>291.54000000000002</v>
    <v>291.73</v>
    <v>299.54000000000002</v>
    <v>304.81</v>
    <v>300.45</v>
    <v>299.36</v>
    <v>300.81</v>
    <v>296.60000000000002</v>
    <v>295.62</v>
    <v>297.12</v>
    <v>307.27999999999997</v>
    <v>304.02</v>
    <v>306.67</v>
    <v>308.58999999999997</v>
    <v>310.32</v>
    <v>307.7</v>
    <v>305.89999999999998</v>
    <v>305.54000000000002</v>
    <v>309.12</v>
    <v>310.83</v>
    <v>312.06</v>
    <v>310.82</v>
    <v>309.69</v>
    <v>315.70999999999998</v>
    <v>312.87</v>
    <v>314.37</v>
    <v>314.12</v>
    <v>315.01</v>
    <v>323.85000000000002</v>
    <v>322.41000000000003</v>
    <v>324.95</v>
    <v>324.07</v>
    <v>319.38</v>
    <v>316.12</v>
    <v>319.19</v>
    <v>319.87</v>
    <v>320.04000000000002</v>
    <v>320.05</v>
    <v>323.5</v>
    <v>325.45999999999998</v>
    <v>327.74</v>
    <v>324.23</v>
    <v>327.97</v>
    <v>326.74</v>
    <v>317.33</v>
    <v>327.49</v>
    <v>330.34</v>
    <v>335</v>
    <v>327.87</v>
    <v>324.02999999999997</v>
    <v>330.33</v>
    <v>329.03</v>
    <v>322.26</v>
    <v>327.18</v>
    <v>331.66</v>
    <v>333.65</v>
    <v>331.8</v>
    <v>330.87</v>
    <v>327.37</v>
    <v>330.69</v>
    <v>328.51</v>
    <v>321.18</v>
    <v>326.89999999999998</v>
    <v>319.89999999999998</v>
    <v>321.04000000000002</v>
    <v>324.95999999999998</v>
    <v>324.14</v>
    <v>322.82</v>
    <v>310.75</v>
    <v>312.12</v>
    <v>306.58</v>
    <v>306.95999999999998</v>
    <v>307.97000000000003</v>
    <v>300.69</v>
    <v>308.52</v>
    <v>316.08</v>
    <v>322.47000000000003</v>
    <v>325.72000000000003</v>
    <v>328.12</v>
    <v>322.27999999999997</v>
    <v>322.63</v>
    <v>328.46</v>
    <v>333.15</v>
    <v>331.15</v>
    <v>331.46</v>
    <v>331.66</v>
    <v>334.44</v>
    <v>339.33</v>
    <v>332.92</v>
    <v>329.04</v>
    <v>327.47000000000003</v>
    <v>321.75</v>
    <v>324.27999999999997</v>
    <v>329.61</v>
  </a>
  <a r="1" c="22">
    <v>307.97000000000003</v>
    <v>300.69</v>
    <v>308.52</v>
    <v>316.08</v>
    <v>322.47000000000003</v>
    <v>325.72000000000003</v>
    <v>328.12</v>
    <v>322.27999999999997</v>
    <v>322.63</v>
    <v>328.46</v>
    <v>333.15</v>
    <v>331.15</v>
    <v>331.46</v>
    <v>331.66</v>
    <v>334.44</v>
    <v>339.33</v>
    <v>332.92</v>
    <v>329.04</v>
    <v>327.47000000000003</v>
    <v>321.75</v>
    <v>324.27999999999997</v>
    <v>329.61</v>
  </a>
  <a r="1" c="22">
    <v>52.88</v>
    <v>52.9</v>
    <v>52.99</v>
    <v>53.01</v>
    <v>53.1</v>
    <v>53.13</v>
    <v>53.11</v>
    <v>52.85</v>
    <v>52.87</v>
    <v>52.93</v>
    <v>52.88</v>
    <v>52.86</v>
    <v>52.83</v>
    <v>52.8</v>
    <v>52.92</v>
    <v>52.92</v>
    <v>52.87</v>
    <v>52.92</v>
    <v>52.97</v>
    <v>52.95</v>
    <v>53.02</v>
    <v>52.8</v>
  </a>
  <a r="1" c="254">
    <v>51.95</v>
    <v>51.93</v>
    <v>51.53</v>
    <v>51.54</v>
    <v>51.6</v>
    <v>51.56</v>
    <v>51.62</v>
    <v>51.64</v>
    <v>51.61</v>
    <v>51.7</v>
    <v>51.7</v>
    <v>51.72</v>
    <v>51.7</v>
    <v>51.69</v>
    <v>51.65</v>
    <v>51.69</v>
    <v>51.54</v>
    <v>51.52</v>
    <v>51.56</v>
    <v>51.76</v>
    <v>51.79</v>
    <v>51.79</v>
    <v>51.86</v>
    <v>51.81</v>
    <v>51.83</v>
    <v>51.88</v>
    <v>52</v>
    <v>52</v>
    <v>51.99</v>
    <v>52.02</v>
    <v>52.02</v>
    <v>51.79</v>
    <v>51.86</v>
    <v>51.92</v>
    <v>51.89</v>
    <v>51.82</v>
    <v>51.84</v>
    <v>51.84</v>
    <v>51.76</v>
    <v>51.88</v>
    <v>51.96</v>
    <v>51.92</v>
    <v>51.96</v>
    <v>51.98</v>
    <v>52.06</v>
    <v>52.11</v>
    <v>52.21</v>
    <v>52.24</v>
    <v>52.24</v>
    <v>52.35</v>
    <v>52.18</v>
    <v>52.2</v>
    <v>52.14</v>
    <v>52.13</v>
    <v>52.11</v>
    <v>52.2</v>
    <v>52.1</v>
    <v>52.02</v>
    <v>52.09</v>
    <v>52.06</v>
    <v>52.07</v>
    <v>52.13</v>
    <v>52.26</v>
    <v>52.26</v>
    <v>52.28</v>
    <v>52.21</v>
    <v>52.24</v>
    <v>52.21</v>
    <v>52.24</v>
    <v>52.34</v>
    <v>52.37</v>
    <v>52.22</v>
    <v>52.2</v>
    <v>52.38</v>
    <v>52.25</v>
    <v>51.91</v>
    <v>51.83</v>
    <v>52.08</v>
    <v>51.81</v>
    <v>51.68</v>
    <v>51.9</v>
    <v>51.97</v>
    <v>52.09</v>
    <v>52.12</v>
    <v>52.04</v>
    <v>52.07</v>
    <v>52.05</v>
    <v>52.26</v>
    <v>52.36</v>
    <v>52.45</v>
    <v>52.5</v>
    <v>52.49</v>
    <v>52.22</v>
    <v>52.12</v>
    <v>52.15</v>
    <v>52.21</v>
    <v>52.21</v>
    <v>52.1</v>
    <v>52.13</v>
    <v>52.09</v>
    <v>52.13</v>
    <v>52.04</v>
    <v>52.21</v>
    <v>52.24</v>
    <v>52.28</v>
    <v>52.29</v>
    <v>52.14</v>
    <v>52.22</v>
    <v>52.24</v>
    <v>52.34</v>
    <v>52.29</v>
    <v>52.37</v>
    <v>52.45</v>
    <v>52.23</v>
    <v>52.22</v>
    <v>52.36</v>
    <v>52.25</v>
    <v>52.13</v>
    <v>52.18</v>
    <v>52.21</v>
    <v>52.31</v>
    <v>52.38</v>
    <v>52.31</v>
    <v>52.32</v>
    <v>52.35</v>
    <v>52.37</v>
    <v>52.45</v>
    <v>52.55</v>
    <v>52.63</v>
    <v>52.6</v>
    <v>52.7</v>
    <v>52.7</v>
    <v>52.76</v>
    <v>52.51</v>
    <v>52.53</v>
    <v>52.48</v>
    <v>52.43</v>
    <v>52.39</v>
    <v>52.5</v>
    <v>52.48</v>
    <v>52.45</v>
    <v>52.45</v>
    <v>52.39</v>
    <v>52.47</v>
    <v>52.51</v>
    <v>52.57</v>
    <v>52.64</v>
    <v>52.68</v>
    <v>52.61</v>
    <v>52.58</v>
    <v>52.63</v>
    <v>52.61</v>
    <v>52.69</v>
    <v>52.62</v>
    <v>52.63</v>
    <v>52.72</v>
    <v>52.75</v>
    <v>52.72</v>
    <v>52.76</v>
    <v>52.73</v>
    <v>52.68</v>
    <v>52.71</v>
    <v>52.76</v>
    <v>52.87</v>
    <v>52.79</v>
    <v>52.79</v>
    <v>52.8</v>
    <v>52.83</v>
    <v>52.83</v>
    <v>52.75</v>
    <v>52.94</v>
    <v>52.88</v>
    <v>52.94</v>
    <v>53.01</v>
    <v>52.99</v>
    <v>52.99</v>
    <v>52.76</v>
    <v>52.83</v>
    <v>52.92</v>
    <v>53</v>
    <v>53.01</v>
    <v>52.99</v>
    <v>53.01</v>
    <v>53.05</v>
    <v>53.05</v>
    <v>53.08</v>
    <v>53.11</v>
    <v>53.07</v>
    <v>53.05</v>
    <v>53.08</v>
    <v>53.02</v>
    <v>53.05</v>
    <v>53.02</v>
    <v>52.93</v>
    <v>52.98</v>
    <v>53.01</v>
    <v>53.03</v>
    <v>52.94</v>
    <v>52.95</v>
    <v>52.92</v>
    <v>52.88</v>
    <v>52.94</v>
    <v>52.9</v>
    <v>52.88</v>
    <v>52.93</v>
    <v>53.02</v>
    <v>53.05</v>
    <v>53.06</v>
    <v>53.13</v>
    <v>53.08</v>
    <v>53.12</v>
    <v>53.14</v>
    <v>53.14</v>
    <v>53.11</v>
    <v>53.16</v>
    <v>53.16</v>
    <v>53.18</v>
    <v>53.05</v>
    <v>53.02</v>
    <v>53.01</v>
    <v>52.8</v>
    <v>52.81</v>
    <v>52.76</v>
    <v>52.86</v>
    <v>52.87</v>
    <v>52.85</v>
    <v>52.94</v>
    <v>52.91</v>
    <v>52.85</v>
    <v>52.82</v>
    <v>52.84</v>
    <v>52.87</v>
    <v>52.88</v>
    <v>52.9</v>
    <v>52.99</v>
    <v>53.01</v>
    <v>53.1</v>
    <v>53.13</v>
    <v>53.11</v>
    <v>52.85</v>
    <v>52.87</v>
    <v>52.93</v>
    <v>52.88</v>
    <v>52.86</v>
    <v>52.83</v>
    <v>52.8</v>
    <v>52.92</v>
    <v>52.92</v>
    <v>52.87</v>
    <v>52.92</v>
    <v>52.97</v>
    <v>52.95</v>
    <v>53.02</v>
    <v>52.8</v>
  </a>
  <a r="1" c="254">
    <v>60.22</v>
    <v>60.73</v>
    <v>57.18</v>
    <v>54.72</v>
    <v>54.81</v>
    <v>52.87</v>
    <v>56.23</v>
    <v>54.3</v>
    <v>53.68</v>
    <v>53.55</v>
    <v>53.05</v>
    <v>55.37</v>
    <v>55.96</v>
    <v>58.17</v>
    <v>54.79</v>
    <v>53.34</v>
    <v>53.84</v>
    <v>53.22</v>
    <v>54.83</v>
    <v>56.64</v>
    <v>57.09</v>
    <v>59.62</v>
    <v>60.42</v>
    <v>59.38</v>
    <v>58.79</v>
    <v>59.7</v>
    <v>57.67</v>
    <v>57.58</v>
    <v>59.34</v>
    <v>59.72</v>
    <v>57.71</v>
    <v>57.58</v>
    <v>56.13</v>
    <v>55.33</v>
    <v>55.12</v>
    <v>54.47</v>
    <v>55.38</v>
    <v>54.11</v>
    <v>55.16</v>
    <v>54.74</v>
    <v>55.33</v>
    <v>53.51</v>
    <v>54.65</v>
    <v>56.04</v>
    <v>53.92</v>
    <v>53.41</v>
    <v>50.03</v>
    <v>47.96</v>
    <v>47.35</v>
    <v>47.9</v>
    <v>48.9</v>
    <v>49.39</v>
    <v>51.44</v>
    <v>50.64</v>
    <v>49.43</v>
    <v>44.91</v>
    <v>47.24</v>
    <v>47.15</v>
    <v>45.52</v>
    <v>48.14</v>
    <v>48.06</v>
    <v>46.81</v>
    <v>48.61</v>
    <v>47.85</v>
    <v>47.7</v>
    <v>50.18</v>
    <v>50.14</v>
    <v>49.18</v>
    <v>49.44</v>
    <v>47.56</v>
    <v>46.81</v>
    <v>48.3</v>
    <v>49.41</v>
    <v>46.57</v>
    <v>47.71</v>
    <v>44.27</v>
    <v>43.59</v>
    <v>46.83</v>
    <v>45.17</v>
    <v>47.67</v>
    <v>48.28</v>
    <v>47.74</v>
    <v>47.96</v>
    <v>48.26</v>
    <v>49.72</v>
    <v>52.08</v>
    <v>53.2</v>
    <v>53.26</v>
    <v>54.27</v>
    <v>53.88</v>
    <v>54.22</v>
    <v>53.51</v>
    <v>54.95</v>
    <v>55.19</v>
    <v>53.63</v>
    <v>53.97</v>
    <v>54.68</v>
    <v>57.62</v>
    <v>58.66</v>
    <v>57.88</v>
    <v>59.62</v>
    <v>58.74</v>
    <v>58.67</v>
    <v>59.2</v>
    <v>59.99</v>
    <v>60.91</v>
    <v>61.79</v>
    <v>63.23</v>
    <v>61.83</v>
    <v>62.5</v>
    <v>60.79</v>
    <v>59.99</v>
    <v>59.46</v>
    <v>59.36</v>
    <v>60.4</v>
    <v>59.64</v>
    <v>57.87</v>
    <v>59.26</v>
    <v>61.77</v>
    <v>62.29</v>
    <v>61.84</v>
    <v>60.7</v>
    <v>59.74</v>
    <v>61.8</v>
    <v>59.5</v>
    <v>58.97</v>
    <v>58.67</v>
    <v>58.67</v>
    <v>60.06</v>
    <v>61.274999999999999</v>
    <v>61.14</v>
    <v>60.72</v>
    <v>61.21</v>
    <v>59.84</v>
    <v>62.42</v>
    <v>62.19</v>
    <v>61.4</v>
    <v>61.82</v>
    <v>63.58</v>
    <v>64.5</v>
    <v>67.209999999999994</v>
    <v>68.180000000000007</v>
    <v>66.16</v>
    <v>67.83</v>
    <v>67.650000000000006</v>
    <v>66.680000000000007</v>
    <v>66.33</v>
    <v>67.819999999999993</v>
    <v>67.290000000000006</v>
    <v>67.66</v>
    <v>66.36</v>
    <v>67.099999999999994</v>
    <v>66.709999999999994</v>
    <v>66.37</v>
    <v>66.319999999999993</v>
    <v>64.22</v>
    <v>65.2</v>
    <v>64.55</v>
    <v>65.510000000000005</v>
    <v>66.83</v>
    <v>66.13</v>
    <v>67.64</v>
    <v>67.95</v>
    <v>69.84</v>
    <v>67.03</v>
    <v>66.44</v>
    <v>66.05</v>
    <v>64.19</v>
    <v>64.900000000000006</v>
    <v>63.69</v>
    <v>66.25</v>
    <v>62.88</v>
    <v>63.1</v>
    <v>63.65</v>
    <v>63.58</v>
    <v>61.44</v>
    <v>62.97</v>
    <v>63.77</v>
    <v>62.35</v>
    <v>63.42</v>
    <v>63.7</v>
    <v>63.22</v>
    <v>64.53</v>
    <v>65.03</v>
    <v>66.38</v>
    <v>65.5</v>
    <v>66.37</v>
    <v>65.67</v>
    <v>66.75</v>
    <v>65.37</v>
    <v>63.65</v>
    <v>63.41</v>
    <v>64.42</v>
    <v>62.1</v>
    <v>61.94</v>
    <v>64.97</v>
    <v>65</v>
    <v>66.739999999999995</v>
    <v>68.77</v>
    <v>69.81</v>
    <v>71.290000000000006</v>
    <v>69.13</v>
    <v>70.06</v>
    <v>68.739999999999995</v>
    <v>66.2</v>
    <v>65.81</v>
    <v>63.91</v>
    <v>63.17</v>
    <v>61.43</v>
    <v>60.47</v>
    <v>62.93</v>
    <v>63.49</v>
    <v>61.21</v>
    <v>62.56</v>
    <v>62.83</v>
    <v>65.28</v>
    <v>64.489999999999995</v>
    <v>62.75</v>
    <v>60.4</v>
    <v>62.3</v>
    <v>60.53</v>
    <v>57.18</v>
    <v>58.92</v>
    <v>57.26</v>
    <v>58.88</v>
    <v>60.19</v>
    <v>58.35</v>
    <v>57.59</v>
    <v>55.59</v>
    <v>53.475000000000001</v>
    <v>52.1</v>
    <v>52.66</v>
    <v>50.73</v>
    <v>48.96</v>
    <v>47.97</v>
    <v>50.57</v>
    <v>49.56</v>
    <v>51.03</v>
    <v>51.55</v>
    <v>48.5</v>
    <v>51.67</v>
    <v>52.74</v>
    <v>52.51</v>
    <v>50.69</v>
    <v>51.52</v>
    <v>52.85</v>
    <v>52.49</v>
    <v>52.1</v>
    <v>51.2</v>
    <v>48.66</v>
    <v>49.71</v>
    <v>48.71</v>
    <v>47.96</v>
    <v>49.91</v>
  </a>
  <a r="1" c="22">
    <v>50.73</v>
    <v>48.96</v>
    <v>47.97</v>
    <v>50.57</v>
    <v>49.56</v>
    <v>51.03</v>
    <v>51.55</v>
    <v>48.5</v>
    <v>51.67</v>
    <v>52.74</v>
    <v>52.51</v>
    <v>50.69</v>
    <v>51.52</v>
    <v>52.85</v>
    <v>52.49</v>
    <v>52.1</v>
    <v>51.2</v>
    <v>48.66</v>
    <v>49.71</v>
    <v>48.71</v>
    <v>47.96</v>
    <v>49.91</v>
  </a>
  <a r="1" c="254">
    <v>37.229999999999997</v>
    <v>37.19</v>
    <v>36.58</v>
    <v>36.54</v>
    <v>36.729999999999997</v>
    <v>36.674999999999997</v>
    <v>36.75</v>
    <v>36.840000000000003</v>
    <v>36.75</v>
    <v>36.78</v>
    <v>36.79</v>
    <v>36.86</v>
    <v>36.96</v>
    <v>36.99</v>
    <v>36.880000000000003</v>
    <v>36.909999999999997</v>
    <v>36.71</v>
    <v>36.729999999999997</v>
    <v>36.76</v>
    <v>37.08</v>
    <v>37.119999999999997</v>
    <v>37.19</v>
    <v>37.26</v>
    <v>37.21</v>
    <v>37.270000000000003</v>
    <v>37.29</v>
    <v>37.344999999999999</v>
    <v>37.31</v>
    <v>37.299999999999997</v>
    <v>37.35</v>
    <v>37.29</v>
    <v>37.049999999999997</v>
    <v>37.14</v>
    <v>37.26</v>
    <v>37.19</v>
    <v>37.090000000000003</v>
    <v>37.159999999999997</v>
    <v>37.130000000000003</v>
    <v>37.06</v>
    <v>37.229999999999997</v>
    <v>37.26</v>
    <v>37.25</v>
    <v>37.26</v>
    <v>37.29</v>
    <v>37.229999999999997</v>
    <v>37.28</v>
    <v>37.369999999999997</v>
    <v>37.4</v>
    <v>37.33</v>
    <v>37.450000000000003</v>
    <v>37.15</v>
    <v>37.14</v>
    <v>37.15</v>
    <v>37.01</v>
    <v>37.090000000000003</v>
    <v>36.94</v>
    <v>36.799999999999997</v>
    <v>36.78</v>
    <v>36.630000000000003</v>
    <v>36.81</v>
    <v>36.880000000000003</v>
    <v>36.814999999999998</v>
    <v>37.049999999999997</v>
    <v>36.99</v>
    <v>36.97</v>
    <v>37.11</v>
    <v>37.049999999999997</v>
    <v>36.909999999999997</v>
    <v>36.83</v>
    <v>36.770000000000003</v>
    <v>36.81</v>
    <v>36.67</v>
    <v>36.74</v>
    <v>36.29</v>
    <v>35.69</v>
    <v>35.4</v>
    <v>35.299999999999997</v>
    <v>36.21</v>
    <v>35.61</v>
    <v>35.69</v>
    <v>35.89</v>
    <v>35.99</v>
    <v>36.020000000000003</v>
    <v>36.22</v>
    <v>36.020000000000003</v>
    <v>36.14</v>
    <v>36.32</v>
    <v>36.67</v>
    <v>36.729999999999997</v>
    <v>36.71</v>
    <v>36.83</v>
    <v>36.6</v>
    <v>36.43</v>
    <v>36.549999999999997</v>
    <v>36.520000000000003</v>
    <v>36.47</v>
    <v>36.53</v>
    <v>36.51</v>
    <v>36.53</v>
    <v>36.92</v>
    <v>36.979999999999997</v>
    <v>36.86</v>
    <v>36.93</v>
    <v>36.96</v>
    <v>36.950000000000003</v>
    <v>36.93</v>
    <v>36.68</v>
    <v>36.755000000000003</v>
    <v>36.75</v>
    <v>36.979999999999997</v>
    <v>36.96</v>
    <v>37</v>
    <v>37.03</v>
    <v>36.82</v>
    <v>36.880000000000003</v>
    <v>36.97</v>
    <v>36.880000000000003</v>
    <v>36.89</v>
    <v>36.914999999999999</v>
    <v>37</v>
    <v>36.99</v>
    <v>37.04</v>
    <v>36.94</v>
    <v>37.020000000000003</v>
    <v>36.97</v>
    <v>37.049999999999997</v>
    <v>37.130000000000003</v>
    <v>37.215000000000003</v>
    <v>37.31</v>
    <v>37.31</v>
    <v>37.4</v>
    <v>37.4</v>
    <v>37.51</v>
    <v>37.28</v>
    <v>37.33</v>
    <v>37.365000000000002</v>
    <v>37.25</v>
    <v>37.200000000000003</v>
    <v>37.299999999999997</v>
    <v>37.270000000000003</v>
    <v>37.22</v>
    <v>37.24</v>
    <v>37.14</v>
    <v>37.21</v>
    <v>37.265000000000001</v>
    <v>37.32</v>
    <v>37.369999999999997</v>
    <v>37.43</v>
    <v>37.46</v>
    <v>37.4</v>
    <v>37.43</v>
    <v>37.42</v>
    <v>37.435000000000002</v>
    <v>37.369999999999997</v>
    <v>37.39</v>
    <v>37.18</v>
    <v>37.299999999999997</v>
    <v>37.299999999999997</v>
    <v>37.325000000000003</v>
    <v>37.31</v>
    <v>37.299999999999997</v>
    <v>37.31</v>
    <v>37.384999999999998</v>
    <v>37.49</v>
    <v>37.4</v>
    <v>37.409999999999997</v>
    <v>37.39</v>
    <v>37.4</v>
    <v>37.369999999999997</v>
    <v>37.32</v>
    <v>37.6</v>
    <v>37.549999999999997</v>
    <v>37.634999999999998</v>
    <v>37.68</v>
    <v>37.67</v>
    <v>37.630000000000003</v>
    <v>37.36</v>
    <v>37.454999999999998</v>
    <v>37.549999999999997</v>
    <v>37.590000000000003</v>
    <v>37.6</v>
    <v>37.56</v>
    <v>37.590000000000003</v>
    <v>37.695</v>
    <v>37.69</v>
    <v>37.78</v>
    <v>37.75</v>
    <v>37.71</v>
    <v>37.78</v>
    <v>37.79</v>
    <v>37.85</v>
    <v>37.799999999999997</v>
    <v>37.78</v>
    <v>37.659999999999997</v>
    <v>37.729999999999997</v>
    <v>37.799999999999997</v>
    <v>37.78</v>
    <v>37.65</v>
    <v>37.61</v>
    <v>37.594999999999999</v>
    <v>37.590000000000003</v>
    <v>37.549999999999997</v>
    <v>37.5</v>
    <v>37.39</v>
    <v>37.19</v>
    <v>37.4</v>
    <v>37.44</v>
    <v>37.549999999999997</v>
    <v>37.450000000000003</v>
    <v>37.54</v>
    <v>37.6</v>
    <v>37.58</v>
    <v>37.53</v>
    <v>37.6</v>
    <v>37.700000000000003</v>
    <v>37.799999999999997</v>
    <v>37.76</v>
    <v>37.65</v>
    <v>37.58</v>
    <v>37.58</v>
    <v>37.25</v>
    <v>37.234999999999999</v>
    <v>37.270000000000003</v>
    <v>37.299999999999997</v>
    <v>37.33</v>
    <v>37.44</v>
    <v>37.494999999999997</v>
    <v>37.43</v>
    <v>37.26</v>
    <v>37.270000000000003</v>
    <v>37.21</v>
    <v>37.21</v>
    <v>37.229999999999997</v>
    <v>37.22</v>
    <v>37.340000000000003</v>
    <v>37.44</v>
    <v>37.56</v>
    <v>37.604999999999997</v>
    <v>37.64</v>
    <v>37.36</v>
    <v>37.414999999999999</v>
    <v>37.479999999999997</v>
    <v>37.484999999999999</v>
    <v>37.479999999999997</v>
    <v>37.4</v>
    <v>37.35</v>
    <v>37.47</v>
    <v>37.47</v>
    <v>37.380000000000003</v>
    <v>37.4</v>
    <v>37.44</v>
    <v>37.39</v>
    <v>37.49</v>
    <v>37.26</v>
  </a>
  <a r="1" c="22">
    <v>37.229999999999997</v>
    <v>37.22</v>
    <v>37.340000000000003</v>
    <v>37.44</v>
    <v>37.56</v>
    <v>37.604999999999997</v>
    <v>37.64</v>
    <v>37.36</v>
    <v>37.414999999999999</v>
    <v>37.479999999999997</v>
    <v>37.484999999999999</v>
    <v>37.479999999999997</v>
    <v>37.4</v>
    <v>37.35</v>
    <v>37.47</v>
    <v>37.47</v>
    <v>37.380000000000003</v>
    <v>37.4</v>
    <v>37.44</v>
    <v>37.39</v>
    <v>37.49</v>
    <v>37.26</v>
  </a>
  <a r="1" c="254">
    <v>599.27</v>
    <v>592.24</v>
    <v>569.27</v>
    <v>568.22</v>
    <v>570.23</v>
    <v>571.6</v>
    <v>575.63</v>
    <v>577.89</v>
    <v>572.23</v>
    <v>568.28</v>
    <v>569.58000000000004</v>
    <v>568.28</v>
    <v>575.11</v>
    <v>576.02</v>
    <v>572.23</v>
    <v>573.73</v>
    <v>565.61</v>
    <v>570.20000000000005</v>
    <v>576.69000000000005</v>
    <v>584.24</v>
    <v>588.6</v>
    <v>591.11</v>
    <v>601.17999999999995</v>
    <v>598.55999999999995</v>
    <v>598.53</v>
    <v>597.49</v>
    <v>591.29999999999995</v>
    <v>592.03</v>
    <v>589.67999999999995</v>
    <v>596.41</v>
    <v>590.67999999999995</v>
    <v>584.08000000000004</v>
    <v>587.49</v>
    <v>593.04</v>
    <v>592.76</v>
    <v>585.37</v>
    <v>585.97</v>
    <v>583.12</v>
    <v>579.11</v>
    <v>584.32000000000005</v>
    <v>583.99</v>
    <v>589.24</v>
    <v>586.02</v>
    <v>580.29</v>
    <v>566.5</v>
    <v>565.76</v>
    <v>565.54999999999995</v>
    <v>566.84</v>
    <v>559.66</v>
    <v>565.79999999999995</v>
    <v>552.91</v>
    <v>544.36</v>
    <v>551.08000000000004</v>
    <v>542.35</v>
    <v>546.20000000000005</v>
    <v>534.63</v>
    <v>531.63</v>
    <v>531.33000000000004</v>
    <v>522.96</v>
    <v>535.74</v>
    <v>543.73</v>
    <v>539.23</v>
    <v>545.97</v>
    <v>542.12</v>
    <v>537.89</v>
    <v>551.07000000000005</v>
    <v>549.46</v>
    <v>546.02</v>
    <v>542.05999999999995</v>
    <v>532.23</v>
    <v>533.48</v>
    <v>536.37</v>
    <v>544.86</v>
    <v>508.5</v>
    <v>483.74</v>
    <v>478.59</v>
    <v>468.22</v>
    <v>512.02</v>
    <v>490.62</v>
    <v>497.47</v>
    <v>503.76</v>
    <v>502.98</v>
    <v>497.37</v>
    <v>501.78</v>
    <v>490.29</v>
    <v>502.61</v>
    <v>509.03</v>
    <v>519.89</v>
    <v>517.51</v>
    <v>519.41</v>
    <v>521.88</v>
    <v>520.79999999999995</v>
    <v>523.66</v>
    <v>535.98</v>
    <v>534.96</v>
    <v>531.07000000000005</v>
    <v>532.64</v>
    <v>539.24</v>
    <v>538.59</v>
    <v>557.54999999999995</v>
    <v>559.29</v>
    <v>557.51</v>
    <v>558.84</v>
    <v>564.92999999999995</v>
    <v>562.76</v>
    <v>561.21</v>
    <v>546.20000000000005</v>
    <v>545.55999999999995</v>
    <v>544.66</v>
    <v>556.70000000000005</v>
    <v>549.41999999999996</v>
    <v>550.97</v>
    <v>548.72</v>
    <v>548.24</v>
    <v>555.01</v>
    <v>553.75</v>
    <v>552.9</v>
    <v>558.36</v>
    <v>559.85</v>
    <v>561.63</v>
    <v>558.70000000000005</v>
    <v>559.19000000000005</v>
    <v>550.57000000000005</v>
    <v>556.83000000000004</v>
    <v>552.01</v>
    <v>554.12</v>
    <v>552.11</v>
    <v>557.09</v>
    <v>562.22</v>
    <v>557.66999999999996</v>
    <v>565.24</v>
    <v>566.51</v>
    <v>566.48</v>
    <v>573.66</v>
    <v>579.34</v>
    <v>582.42999999999995</v>
    <v>576.82000000000005</v>
    <v>579.25</v>
    <v>581.66</v>
    <v>584.4</v>
    <v>579.23</v>
    <v>581.19000000000005</v>
    <v>571.03</v>
    <v>573.72</v>
    <v>579.96</v>
    <v>579.41999999999996</v>
    <v>575.80999999999995</v>
    <v>583.26</v>
    <v>588.03</v>
    <v>582.49</v>
    <v>587.77</v>
    <v>586.47</v>
    <v>585.67999999999995</v>
    <v>582.16</v>
    <v>575.62</v>
    <v>567.09</v>
    <v>574.39</v>
    <v>574.1</v>
    <v>572.45000000000005</v>
    <v>571.21</v>
    <v>571.12</v>
    <v>568.9</v>
    <v>581.95000000000005</v>
    <v>590.92999999999995</v>
    <v>583.04</v>
    <v>580.04999999999995</v>
    <v>581.64</v>
    <v>582.70000000000005</v>
    <v>580.23</v>
    <v>579.53</v>
    <v>595.55999999999995</v>
    <v>590.69000000000005</v>
    <v>593.46</v>
    <v>597.27</v>
    <v>598.04</v>
    <v>595.16</v>
    <v>592.51</v>
    <v>591.51</v>
    <v>600.07000000000005</v>
    <v>602.89</v>
    <v>603.04</v>
    <v>597.54</v>
    <v>597.29</v>
    <v>607.37</v>
    <v>600.62</v>
    <v>600.46</v>
    <v>598.80999999999995</v>
    <v>598.29</v>
    <v>605.62</v>
    <v>599.41999999999996</v>
    <v>598.92999999999995</v>
    <v>598.62</v>
    <v>594.03</v>
    <v>590.71</v>
    <v>596.67999999999995</v>
    <v>595.34</v>
    <v>596.03</v>
    <v>597.97</v>
    <v>598.75</v>
    <v>600.67999999999995</v>
    <v>601.57000000000005</v>
    <v>595.07000000000005</v>
    <v>600.97</v>
    <v>594.42999999999995</v>
    <v>577.77</v>
    <v>588.91999999999996</v>
    <v>594.38</v>
    <v>594.91999999999996</v>
    <v>587.61</v>
    <v>588.86</v>
    <v>595.95000000000005</v>
    <v>598.04999999999995</v>
    <v>591.26</v>
    <v>599.29</v>
    <v>602.47</v>
    <v>604.78</v>
    <v>599.47</v>
    <v>595.66</v>
    <v>589.39</v>
    <v>592.98</v>
    <v>592.70000000000005</v>
    <v>587.59</v>
    <v>591.42999999999995</v>
    <v>586.01</v>
    <v>592.78</v>
    <v>596.55999999999995</v>
    <v>596.54</v>
    <v>598.63</v>
    <v>587.38</v>
    <v>586.16</v>
    <v>575.29999999999995</v>
    <v>577.19000000000005</v>
    <v>577.89</v>
    <v>568.63</v>
    <v>582.32000000000005</v>
    <v>587.80999999999995</v>
    <v>598.88</v>
    <v>602.5</v>
    <v>605.48</v>
    <v>602.20000000000005</v>
    <v>600.02</v>
    <v>604.19000000000005</v>
    <v>607.15</v>
    <v>607.38</v>
    <v>604.34</v>
    <v>603.9</v>
    <v>615.37</v>
    <v>621.24</v>
    <v>613.11</v>
    <v>611.94000000000005</v>
    <v>608.15</v>
    <v>605.4</v>
    <v>608.07000000000005</v>
    <v>611.57000000000005</v>
  </a>
  <a r="1" c="22">
    <v>577.89</v>
    <v>568.63</v>
    <v>582.32000000000005</v>
    <v>587.80999999999995</v>
    <v>598.88</v>
    <v>602.5</v>
    <v>605.48</v>
    <v>602.20000000000005</v>
    <v>600.02</v>
    <v>604.19000000000005</v>
    <v>607.15</v>
    <v>607.38</v>
    <v>604.34</v>
    <v>603.9</v>
    <v>615.37</v>
    <v>621.24</v>
    <v>613.11</v>
    <v>611.94000000000005</v>
    <v>608.15</v>
    <v>605.4</v>
    <v>608.07000000000005</v>
    <v>611.57000000000005</v>
  </a>
  <a r="1" c="22">
    <v>89.88</v>
    <v>88.86</v>
    <v>89.42</v>
    <v>89.17</v>
    <v>88.61</v>
    <v>89.28</v>
    <v>90.45</v>
    <v>91.32</v>
    <v>45.07</v>
    <v>45.914999999999999</v>
    <v>46.11</v>
    <v>45.92</v>
    <v>45.42</v>
    <v>45.7</v>
    <v>46.18</v>
    <v>45.96</v>
    <v>45.51</v>
    <v>45.19</v>
    <v>43.81</v>
    <v>44.78</v>
    <v>44.13</v>
    <v>44.13</v>
  </a>
  <a r="1" c="254">
    <v>87.26</v>
    <v>86.61</v>
    <v>84.05</v>
    <v>83.32</v>
    <v>84.14</v>
    <v>83.93</v>
    <v>84.64</v>
    <v>84.57</v>
    <v>84.56</v>
    <v>84.55</v>
    <v>85.66</v>
    <v>86.66</v>
    <v>87.47</v>
    <v>87.07</v>
    <v>87.94</v>
    <v>88.03</v>
    <v>88.39</v>
    <v>90.25</v>
    <v>91.22</v>
    <v>92.57</v>
    <v>93.24</v>
    <v>93.96</v>
    <v>93.48</v>
    <v>91.78</v>
    <v>92.2</v>
    <v>91.31</v>
    <v>90.36</v>
    <v>89.5</v>
    <v>89.7</v>
    <v>90.16</v>
    <v>87.64</v>
    <v>88.19</v>
    <v>90.04</v>
    <v>90.23</v>
    <v>88.57</v>
    <v>88.56</v>
    <v>90.51</v>
    <v>91.24</v>
    <v>89.04</v>
    <v>89.71</v>
    <v>90.07</v>
    <v>91.3</v>
    <v>92.02</v>
    <v>92.86</v>
    <v>90.93</v>
    <v>90.95</v>
    <v>89.64</v>
    <v>89.13</v>
    <v>89.61</v>
    <v>91</v>
    <v>87.82</v>
    <v>86.97</v>
    <v>85.7</v>
    <v>85.96</v>
    <v>87.43</v>
    <v>88.08</v>
    <v>87.38</v>
    <v>87.78</v>
    <v>87.18</v>
    <v>89.76</v>
    <v>91.19</v>
    <v>91.34</v>
    <v>92.83</v>
    <v>93.17</v>
    <v>92.52</v>
    <v>92.85</v>
    <v>93.23</v>
    <v>93.78</v>
    <v>92.87</v>
    <v>92.43</v>
    <v>93.45</v>
    <v>94</v>
    <v>94.13</v>
    <v>86.74</v>
    <v>78.760000000000005</v>
    <v>78.25</v>
    <v>76.44</v>
    <v>82.36</v>
    <v>76.98</v>
    <v>78.89</v>
    <v>79.17</v>
    <v>79.05</v>
    <v>79.7</v>
    <v>81.5</v>
    <v>79.37</v>
    <v>81.39</v>
    <v>81.239999999999995</v>
    <v>82.54</v>
    <v>82.39</v>
    <v>82.97</v>
    <v>82.73</v>
    <v>80.5</v>
    <v>80.8</v>
    <v>81.98</v>
    <v>80.5</v>
    <v>80.52</v>
    <v>80.55</v>
    <v>81.61</v>
    <v>82.43</v>
    <v>84.58</v>
    <v>85.77</v>
    <v>85.25</v>
    <v>85.61</v>
    <v>85.48</v>
    <v>84.37</v>
    <v>83.59</v>
    <v>82.05</v>
    <v>81.73</v>
    <v>81.99</v>
    <v>82.7</v>
    <v>81.650000000000006</v>
    <v>82.26</v>
    <v>81.53</v>
    <v>82.6</v>
    <v>83.58</v>
    <v>81.95</v>
    <v>81.87</v>
    <v>83.41</v>
    <v>83.57</v>
    <v>85.06</v>
    <v>86.29</v>
    <v>86.59</v>
    <v>88.1</v>
    <v>87.84</v>
    <v>88.66</v>
    <v>88.08</v>
    <v>88.98</v>
    <v>86.03</v>
    <v>84.91</v>
    <v>84.54</v>
    <v>85.75</v>
    <v>85.3</v>
    <v>84.81</v>
    <v>85.46</v>
    <v>86.93</v>
    <v>87.03</v>
    <v>86.19</v>
    <v>88.51</v>
    <v>88.06</v>
    <v>88.73</v>
    <v>89.13</v>
    <v>88.15</v>
    <v>86.88</v>
    <v>86.13</v>
    <v>86.66</v>
    <v>85.96</v>
    <v>85.07</v>
    <v>85.47</v>
    <v>86.81</v>
    <v>87.43</v>
    <v>87.1</v>
    <v>88.09</v>
    <v>88.95</v>
    <v>87.68</v>
    <v>87.21</v>
    <v>85.59</v>
    <v>85.4</v>
    <v>85.51</v>
    <v>84.72</v>
    <v>84.39</v>
    <v>84.93</v>
    <v>84.25</v>
    <v>84.66</v>
    <v>85.64</v>
    <v>85.56</v>
    <v>85.56</v>
    <v>85.05</v>
    <v>85.08</v>
    <v>85.79</v>
    <v>86.38</v>
    <v>88.14</v>
    <v>88.37</v>
    <v>88.23</v>
    <v>89.22</v>
    <v>89.9</v>
    <v>90.39</v>
    <v>90.52</v>
    <v>88.49</v>
    <v>89.08</v>
    <v>87.36</v>
    <v>87.16</v>
    <v>87.58</v>
    <v>89.11</v>
    <v>89.13</v>
    <v>88.6</v>
    <v>88.3</v>
    <v>89.78</v>
    <v>89.99</v>
    <v>89.71</v>
    <v>88.52</v>
    <v>87.67</v>
    <v>89.18</v>
    <v>90.34</v>
    <v>91.15</v>
    <v>91.99</v>
    <v>90.3</v>
    <v>89.34</v>
    <v>89.34</v>
    <v>88.44</v>
    <v>88.91</v>
    <v>89.35</v>
    <v>89.49</v>
    <v>88.97</v>
    <v>87.76</v>
    <v>85.22</v>
    <v>86.38</v>
    <v>86.37</v>
    <v>86.32</v>
    <v>85.28</v>
    <v>85.98</v>
    <v>86.89</v>
    <v>86.69</v>
    <v>87.8</v>
    <v>88.97</v>
    <v>88.07</v>
    <v>88.28</v>
    <v>87.36</v>
    <v>88.01</v>
    <v>87.49</v>
    <v>88.13</v>
    <v>88.14</v>
    <v>87.19</v>
    <v>87.42</v>
    <v>88.27</v>
    <v>89.54</v>
    <v>90.35</v>
    <v>91.53</v>
    <v>90.25</v>
    <v>90.48</v>
    <v>92.02</v>
    <v>90.34</v>
    <v>91.06</v>
    <v>89.88</v>
    <v>88.86</v>
    <v>89.42</v>
    <v>89.17</v>
    <v>88.61</v>
    <v>89.28</v>
    <v>90.45</v>
    <v>91.32</v>
    <v>45.07</v>
    <v>45.914999999999999</v>
    <v>46.11</v>
    <v>45.92</v>
    <v>45.42</v>
    <v>45.7</v>
    <v>46.18</v>
    <v>45.96</v>
    <v>45.51</v>
    <v>45.19</v>
    <v>43.81</v>
    <v>44.78</v>
    <v>44.13</v>
    <v>44.13</v>
  </a>
  <a r="1" c="254">
    <v>30.21</v>
    <v>30.24</v>
    <v>30.59</v>
    <v>30.65</v>
    <v>30.5</v>
    <v>29.29</v>
    <v>29.37</v>
    <v>29.31</v>
    <v>29.26</v>
    <v>29.29</v>
    <v>29.42</v>
    <v>29.67</v>
    <v>29.58</v>
    <v>29.39</v>
    <v>29.5</v>
    <v>29.61</v>
    <v>29.76</v>
    <v>29.85</v>
    <v>29.66</v>
    <v>29.61</v>
    <v>29.61</v>
    <v>29.72</v>
    <v>29.34</v>
    <v>29.39</v>
    <v>29.38</v>
    <v>29.2</v>
    <v>29.21</v>
    <v>29.33</v>
    <v>29.39</v>
    <v>29.39</v>
    <v>29.51</v>
    <v>29.64</v>
    <v>29.37</v>
    <v>29.32</v>
    <v>29.3</v>
    <v>29.43</v>
    <v>29.52</v>
    <v>29.42</v>
    <v>29.44</v>
    <v>29.2</v>
    <v>29.12</v>
    <v>29.18</v>
    <v>29.21</v>
    <v>28.98</v>
    <v>29.08</v>
    <v>29.1</v>
    <v>28.99</v>
    <v>29.05</v>
    <v>29.26</v>
    <v>29.39</v>
    <v>29.11</v>
    <v>28.85</v>
    <v>28.5</v>
    <v>28.48</v>
    <v>28.39</v>
    <v>28.41</v>
    <v>28.25</v>
    <v>28.32</v>
    <v>28.42</v>
    <v>28.39</v>
    <v>28.28</v>
    <v>28.26</v>
    <v>28.33</v>
    <v>28.41</v>
    <v>28.5</v>
    <v>28.55</v>
    <v>28.52</v>
    <v>28.65</v>
    <v>28.56</v>
    <v>28.51</v>
    <v>28.54</v>
    <v>28.57</v>
    <v>28.45</v>
    <v>27.95</v>
    <v>28.26</v>
    <v>28.38</v>
    <v>28.25</v>
    <v>28.29</v>
    <v>27.7</v>
    <v>27.45</v>
    <v>27.36</v>
    <v>27.51</v>
    <v>27.28</v>
    <v>27.3</v>
    <v>27.04</v>
    <v>27.19</v>
    <v>27.44</v>
    <v>27.32</v>
    <v>27.39</v>
    <v>27.22</v>
    <v>27.31</v>
    <v>27.41</v>
    <v>27.57</v>
    <v>27.53</v>
    <v>27.48</v>
    <v>27.31</v>
    <v>27.51</v>
    <v>27.74</v>
    <v>27.66</v>
    <v>28.05</v>
    <v>27.81</v>
    <v>27.87</v>
    <v>27.8</v>
    <v>27.88</v>
    <v>27.69</v>
    <v>27.61</v>
    <v>27.49</v>
    <v>27.57</v>
    <v>27.37</v>
    <v>27.52</v>
    <v>27.61</v>
    <v>27.46</v>
    <v>27.45</v>
    <v>27.26</v>
    <v>27.44</v>
    <v>27.32</v>
    <v>27.3</v>
    <v>27.44</v>
    <v>27.37</v>
    <v>27.4</v>
    <v>27.3</v>
    <v>27.1</v>
    <v>27.17</v>
    <v>27.2</v>
    <v>27.38</v>
    <v>27.43</v>
    <v>27.4</v>
    <v>27.29</v>
    <v>27.15</v>
    <v>27.08</v>
    <v>26.97</v>
    <v>27.02</v>
    <v>26.88</v>
    <v>26.87</v>
    <v>26.85</v>
    <v>26.98</v>
    <v>27.07</v>
    <v>27.09</v>
    <v>27.09</v>
    <v>27.14</v>
    <v>27.22</v>
    <v>27.29</v>
    <v>27.44</v>
    <v>27.34</v>
    <v>27.46</v>
    <v>27.42</v>
    <v>27.24</v>
    <v>27.1</v>
    <v>27.06</v>
    <v>27.13</v>
    <v>27.19</v>
    <v>27.5</v>
    <v>27.57</v>
    <v>27.84</v>
    <v>27.9</v>
    <v>27.57</v>
    <v>27.56</v>
    <v>27.56</v>
    <v>27.4</v>
    <v>27.38</v>
    <v>27.43</v>
    <v>27.54</v>
    <v>27.4</v>
    <v>27.33</v>
    <v>27.43</v>
    <v>27.34</v>
    <v>27.41</v>
    <v>27.48</v>
    <v>27.46</v>
    <v>27.6</v>
    <v>27.33</v>
    <v>27.55</v>
    <v>27.48</v>
    <v>27.49</v>
    <v>27.39</v>
    <v>27.37</v>
    <v>27.55</v>
    <v>27.5</v>
    <v>27.54</v>
    <v>27.4</v>
    <v>27.31</v>
    <v>27.42</v>
    <v>27.44</v>
    <v>27.35</v>
    <v>27.39</v>
    <v>27.3</v>
    <v>27.13</v>
    <v>27.22</v>
    <v>27.35</v>
    <v>27.43</v>
    <v>27.33</v>
    <v>27.31</v>
    <v>27.51</v>
    <v>27.7</v>
    <v>27.6</v>
    <v>27.54</v>
    <v>27.51</v>
    <v>27.5</v>
    <v>27.54</v>
    <v>27.49</v>
    <v>27.62</v>
    <v>27.78</v>
    <v>27.84</v>
    <v>28.03</v>
    <v>27.89</v>
    <v>27.99</v>
    <v>27.91</v>
    <v>27.83</v>
    <v>27.72</v>
    <v>27.75</v>
    <v>27.82</v>
    <v>27.93</v>
    <v>27.9</v>
    <v>27.91</v>
    <v>27.91</v>
    <v>27.88</v>
    <v>27.86</v>
    <v>28.02</v>
    <v>28.13</v>
    <v>28.21</v>
    <v>28.23</v>
    <v>28.32</v>
    <v>28.33</v>
    <v>28.18</v>
    <v>28.16</v>
    <v>28.18</v>
    <v>28.14</v>
    <v>28.15</v>
    <v>28.07</v>
    <v>28.11</v>
    <v>28.18</v>
    <v>28.21</v>
    <v>28.39</v>
    <v>28.41</v>
    <v>28.39</v>
    <v>28.39</v>
    <v>28.31</v>
    <v>28.23</v>
    <v>28.21</v>
    <v>28.2</v>
    <v>28.19</v>
    <v>28.05</v>
    <v>28.11</v>
    <v>28.08</v>
    <v>28.12</v>
    <v>28.16</v>
    <v>28.01</v>
    <v>27.91</v>
    <v>27.95</v>
    <v>27.93</v>
    <v>27.9</v>
    <v>27.96</v>
    <v>27.98</v>
    <v>28.07</v>
  </a>
  <a r="1" c="22">
    <v>28.39</v>
    <v>28.41</v>
    <v>28.39</v>
    <v>28.39</v>
    <v>28.31</v>
    <v>28.23</v>
    <v>28.21</v>
    <v>28.2</v>
    <v>28.19</v>
    <v>28.05</v>
    <v>28.11</v>
    <v>28.08</v>
    <v>28.12</v>
    <v>28.16</v>
    <v>28.01</v>
    <v>27.91</v>
    <v>27.95</v>
    <v>27.93</v>
    <v>27.9</v>
    <v>27.96</v>
    <v>27.98</v>
    <v>28.07</v>
  </a>
  <a r="1" c="254">
    <v>48.97</v>
    <v>45.28</v>
    <v>43.32</v>
    <v>43.42</v>
    <v>43.71</v>
    <v>43.37</v>
    <v>43.24</v>
    <v>42.85</v>
    <v>42.8</v>
    <v>42.15</v>
    <v>41.91</v>
    <v>42.33</v>
    <v>42.78</v>
    <v>42.43</v>
    <v>41.97</v>
    <v>41.7</v>
    <v>41.13</v>
    <v>40.83</v>
    <v>41.18</v>
    <v>42.42</v>
    <v>42.03</v>
    <v>42.67</v>
    <v>43.55</v>
    <v>43.37</v>
    <v>43.14</v>
    <v>43.38</v>
    <v>42.71</v>
    <v>43.16</v>
    <v>43.68</v>
    <v>44.61</v>
    <v>43.75</v>
    <v>43.76</v>
    <v>44.63</v>
    <v>44.84</v>
    <v>45.61</v>
    <v>45.43</v>
    <v>46.05</v>
    <v>45.66</v>
    <v>45.88</v>
    <v>46.08</v>
    <v>46.21</v>
    <v>46.73</v>
    <v>46.22</v>
    <v>46.83</v>
    <v>46.58</v>
    <v>46.06</v>
    <v>46.13</v>
    <v>46.1</v>
    <v>45.21</v>
    <v>44.4</v>
    <v>44.54</v>
    <v>45.07</v>
    <v>46.39</v>
    <v>46.57</v>
    <v>46.84</v>
    <v>45.77</v>
    <v>46.31</v>
    <v>45.97</v>
    <v>45.86</v>
    <v>47</v>
    <v>47.74</v>
    <v>47.69</v>
    <v>48.77</v>
    <v>48.03</v>
    <v>47.6</v>
    <v>47.71</v>
    <v>47.93</v>
    <v>48.16</v>
    <v>48.21</v>
    <v>47.6</v>
    <v>48.13</v>
    <v>48.1</v>
    <v>46.65</v>
    <v>44.88</v>
    <v>41.29</v>
    <v>40.770000000000003</v>
    <v>40.54</v>
    <v>44.27</v>
    <v>43.94</v>
    <v>45.62</v>
    <v>47.22</v>
    <v>47.1</v>
    <v>47.43</v>
    <v>47.9</v>
    <v>47.6</v>
    <v>48.16</v>
    <v>47.55</v>
    <v>47.96</v>
    <v>48.38</v>
    <v>49.09</v>
    <v>49.14</v>
    <v>49.52</v>
    <v>49.27</v>
    <v>50.19</v>
    <v>50.44</v>
    <v>50.71</v>
    <v>50.23</v>
    <v>49.85</v>
    <v>50.64</v>
    <v>50.19</v>
    <v>50.41</v>
    <v>50.22</v>
    <v>51.09</v>
    <v>51.24</v>
    <v>51.08</v>
    <v>51.61</v>
    <v>51.45</v>
    <v>51.43</v>
    <v>52.52</v>
    <v>51.91</v>
    <v>52.03</v>
    <v>53.05</v>
    <v>52.21</v>
    <v>53.27</v>
    <v>53.13</v>
    <v>53.46</v>
    <v>54.03</v>
    <v>53.94</v>
    <v>54.44</v>
    <v>54.66</v>
    <v>54.08</v>
    <v>54.77</v>
    <v>53.3</v>
    <v>53.04</v>
    <v>51.56</v>
    <v>51.8</v>
    <v>51.73</v>
    <v>52.35</v>
    <v>53.46</v>
    <v>52.89</v>
    <v>52.98</v>
    <v>52.64</v>
    <v>53.75</v>
    <v>54.21</v>
    <v>54.31</v>
    <v>54.79</v>
    <v>53.84</v>
    <v>53.81</v>
    <v>54</v>
    <v>53.95</v>
    <v>52.98</v>
    <v>52.99</v>
    <v>52.86</v>
    <v>53.43</v>
    <v>53.57</v>
    <v>54.81</v>
    <v>55.7</v>
    <v>55.74</v>
    <v>56.27</v>
    <v>55.44</v>
    <v>54.74</v>
    <v>54.22</v>
    <v>54.54</v>
    <v>53.99</v>
    <v>53.05</v>
    <v>53.43</v>
    <v>55.05</v>
    <v>55.4</v>
    <v>56.17</v>
    <v>56.66</v>
    <v>56.45</v>
    <v>56.36</v>
    <v>57.5</v>
    <v>58.36</v>
    <v>57.64</v>
    <v>57.62</v>
    <v>57.11</v>
    <v>56.67</v>
    <v>57.11</v>
    <v>56.91</v>
    <v>58.8</v>
    <v>58.35</v>
    <v>58.1</v>
    <v>57.38</v>
    <v>57.15</v>
    <v>57.67</v>
    <v>57.25</v>
    <v>57.7</v>
    <v>56.57</v>
    <v>57.92</v>
    <v>59.34</v>
    <v>59.03</v>
    <v>59.73</v>
    <v>60.56</v>
    <v>60.57</v>
    <v>60.93</v>
    <v>61</v>
    <v>60.86</v>
    <v>61.48</v>
    <v>62.54</v>
    <v>62.46</v>
    <v>62.87</v>
    <v>61.97</v>
    <v>61.67</v>
    <v>63.3</v>
    <v>63.42</v>
    <v>64.099999999999994</v>
    <v>64.75</v>
    <v>64.209999999999994</v>
    <v>65.06</v>
    <v>65.319999999999993</v>
    <v>64.790000000000006</v>
    <v>66.8</v>
    <v>65.06</v>
    <v>63.32</v>
    <v>66.010000000000005</v>
    <v>65.31</v>
    <v>66.03</v>
    <v>67.33</v>
    <v>65.41</v>
    <v>66.209999999999994</v>
    <v>63.27</v>
    <v>63.58</v>
    <v>64.930000000000007</v>
    <v>65.180000000000007</v>
    <v>64.2</v>
    <v>65.23</v>
    <v>64.75</v>
    <v>64.37</v>
    <v>63.77</v>
    <v>63.76</v>
    <v>61.44</v>
    <v>63.4</v>
    <v>63.7</v>
    <v>64.239999999999995</v>
    <v>66.62</v>
    <v>66.53</v>
    <v>68.08</v>
    <v>67.83</v>
    <v>66.989999999999995</v>
    <v>66.13</v>
    <v>66.16</v>
    <v>66.569999999999993</v>
    <v>64.930000000000007</v>
    <v>64.86</v>
    <v>65.89</v>
    <v>66.3</v>
    <v>67.83</v>
    <v>66.739999999999995</v>
    <v>67.45</v>
    <v>66.5</v>
    <v>66.92</v>
    <v>67.05</v>
    <v>67.88</v>
    <v>66.39</v>
    <v>66.91</v>
    <v>68.180000000000007</v>
    <v>69.5</v>
    <v>68.63</v>
    <v>69.61</v>
    <v>65.7</v>
    <v>66.64</v>
    <v>67.510000000000005</v>
    <v>67.599999999999994</v>
  </a>
  <a r="1" c="22">
    <v>66.569999999999993</v>
    <v>64.930000000000007</v>
    <v>64.86</v>
    <v>65.89</v>
    <v>66.3</v>
    <v>67.83</v>
    <v>66.739999999999995</v>
    <v>67.45</v>
    <v>66.5</v>
    <v>66.92</v>
    <v>67.05</v>
    <v>67.88</v>
    <v>66.39</v>
    <v>66.91</v>
    <v>68.180000000000007</v>
    <v>69.5</v>
    <v>68.63</v>
    <v>69.61</v>
    <v>65.7</v>
    <v>66.64</v>
    <v>67.510000000000005</v>
    <v>67.599999999999994</v>
  </a>
  <a r="1" c="254">
    <v>43.79</v>
    <v>42.96</v>
    <v>41.96</v>
    <v>42.1</v>
    <v>42.27</v>
    <v>42.51</v>
    <v>42.64</v>
    <v>42.49</v>
    <v>42.3</v>
    <v>41.96</v>
    <v>41.82</v>
    <v>41.76</v>
    <v>42.15</v>
    <v>42.3</v>
    <v>42</v>
    <v>41.8</v>
    <v>41.09</v>
    <v>40.81</v>
    <v>41.27</v>
    <v>41.81</v>
    <v>41.76</v>
    <v>42.09</v>
    <v>42.54</v>
    <v>42.57</v>
    <v>42.67</v>
    <v>42.95</v>
    <v>42.17</v>
    <v>42.48</v>
    <v>42.49</v>
    <v>43.21</v>
    <v>42.72</v>
    <v>42.41</v>
    <v>43.17</v>
    <v>43.06</v>
    <v>43.24</v>
    <v>43.2</v>
    <v>43.72</v>
    <v>43.55</v>
    <v>43.79</v>
    <v>44.07</v>
    <v>44.41</v>
    <v>44.69</v>
    <v>44.62</v>
    <v>45.03</v>
    <v>44.9</v>
    <v>44.21</v>
    <v>44.24</v>
    <v>44.68</v>
    <v>43.81</v>
    <v>43.21</v>
    <v>42.83</v>
    <v>43.19</v>
    <v>44.48</v>
    <v>44.2</v>
    <v>44.42</v>
    <v>43.36</v>
    <v>43.72</v>
    <v>43.96</v>
    <v>43.78</v>
    <v>44.58</v>
    <v>45.34</v>
    <v>45.11</v>
    <v>45.22</v>
    <v>44.8</v>
    <v>44.58</v>
    <v>44.78</v>
    <v>44.65</v>
    <v>44.38</v>
    <v>44.6</v>
    <v>43.77</v>
    <v>43.7</v>
    <v>43.84</v>
    <v>43.9</v>
    <v>42.97</v>
    <v>40.58</v>
    <v>39.07</v>
    <v>38.520000000000003</v>
    <v>41.19</v>
    <v>40.479999999999997</v>
    <v>41.75</v>
    <v>42.13</v>
    <v>42.09</v>
    <v>41.6</v>
    <v>41.92</v>
    <v>41.91</v>
    <v>42.54</v>
    <v>43.03</v>
    <v>43.53</v>
    <v>43.45</v>
    <v>43.53</v>
    <v>43.65</v>
    <v>43.76</v>
    <v>43.75</v>
    <v>45</v>
    <v>45.34</v>
    <v>45.16</v>
    <v>44.64</v>
    <v>44.61</v>
    <v>44.91</v>
    <v>45.88</v>
    <v>45.96</v>
    <v>46.31</v>
    <v>46.29</v>
    <v>46.26</v>
    <v>46.36</v>
    <v>46.31</v>
    <v>46.19</v>
    <v>46.04</v>
    <v>46.23</v>
    <v>46.12</v>
    <v>45.91</v>
    <v>46.08</v>
    <v>45.52</v>
    <v>45.85</v>
    <v>45.96</v>
    <v>46.53</v>
    <v>46.77</v>
    <v>46.92</v>
    <v>47.32</v>
    <v>47.59</v>
    <v>47.79</v>
    <v>47.87</v>
    <v>47.11</v>
    <v>47.23</v>
    <v>46.61</v>
    <v>46.6</v>
    <v>46.33</v>
    <v>46.71</v>
    <v>47.92</v>
    <v>47.96</v>
    <v>48.28</v>
    <v>48.09</v>
    <v>48.24</v>
    <v>48.33</v>
    <v>48.54</v>
    <v>48.76</v>
    <v>48.07</v>
    <v>48.37</v>
    <v>48.29</v>
    <v>48.42</v>
    <v>48.26</v>
    <v>48.33</v>
    <v>48.68</v>
    <v>48.91</v>
    <v>49.19</v>
    <v>49.08</v>
    <v>49.4</v>
    <v>49.43</v>
    <v>49.93</v>
    <v>49.66</v>
    <v>49.51</v>
    <v>49.18</v>
    <v>49.2</v>
    <v>48.84</v>
    <v>48.56</v>
    <v>48.2</v>
    <v>48.7</v>
    <v>48.84</v>
    <v>49.07</v>
    <v>49.48</v>
    <v>49.44</v>
    <v>49.3</v>
    <v>49.9</v>
    <v>50.5</v>
    <v>49.88</v>
    <v>49.94</v>
    <v>50.23</v>
    <v>49.82</v>
    <v>49.75</v>
    <v>49.64</v>
    <v>50.63</v>
    <v>50.34</v>
    <v>50.21</v>
    <v>49.91</v>
    <v>50.1</v>
    <v>49.86</v>
    <v>49.82</v>
    <v>50.01</v>
    <v>49.85</v>
    <v>50.45</v>
    <v>50.91</v>
    <v>51.19</v>
    <v>51.54</v>
    <v>52.29</v>
    <v>52.26</v>
    <v>52.64</v>
    <v>53.03</v>
    <v>53.26</v>
    <v>53.13</v>
    <v>53.01</v>
    <v>53.27</v>
    <v>53.3</v>
    <v>53.12</v>
    <v>52.81</v>
    <v>52.71</v>
    <v>53.19</v>
    <v>53.4</v>
    <v>53.82</v>
    <v>54.07</v>
    <v>54.23</v>
    <v>54.48</v>
    <v>54.06</v>
    <v>54.49</v>
    <v>53.93</v>
    <v>51.94</v>
    <v>53.45</v>
    <v>52.97</v>
    <v>53.84</v>
    <v>54.19</v>
    <v>54.18</v>
    <v>54.92</v>
    <v>54.31</v>
    <v>54.26</v>
    <v>54.74</v>
    <v>55.1</v>
    <v>55.71</v>
    <v>55.69</v>
    <v>56.01</v>
    <v>55.43</v>
    <v>55.3</v>
    <v>55.65</v>
    <v>54.63</v>
    <v>55.12</v>
    <v>54.71</v>
    <v>54.55</v>
    <v>55.51</v>
    <v>55.57</v>
    <v>55.58</v>
    <v>54.93</v>
    <v>54.96</v>
    <v>54.31</v>
    <v>54.04</v>
    <v>53.85</v>
    <v>53.11</v>
    <v>53.1</v>
    <v>53.66</v>
    <v>53.85</v>
    <v>54.24</v>
    <v>54.32</v>
    <v>54.28</v>
    <v>54.3</v>
    <v>54.34</v>
    <v>54.33</v>
    <v>54.74</v>
    <v>54.62</v>
    <v>54.53</v>
    <v>55.14</v>
    <v>54.88</v>
    <v>54.24</v>
    <v>54.08</v>
    <v>52.98</v>
    <v>52.6</v>
    <v>53.2</v>
    <v>53.72</v>
  </a>
  <a r="1" c="22">
    <v>53.85</v>
    <v>53.11</v>
    <v>53.1</v>
    <v>53.66</v>
    <v>53.85</v>
    <v>54.24</v>
    <v>54.32</v>
    <v>54.28</v>
    <v>54.3</v>
    <v>54.34</v>
    <v>54.33</v>
    <v>54.74</v>
    <v>54.62</v>
    <v>54.53</v>
    <v>55.14</v>
    <v>54.88</v>
    <v>54.24</v>
    <v>54.08</v>
    <v>52.98</v>
    <v>52.6</v>
    <v>53.2</v>
    <v>53.72</v>
  </a>
  <a r="1" c="22">
    <v>100.08</v>
    <v>100.2</v>
    <v>100.44</v>
    <v>100.64</v>
    <v>100.8</v>
    <v>100.96</v>
    <v>100.82</v>
    <v>100.06</v>
    <v>100.19</v>
    <v>100.38</v>
    <v>100.14</v>
    <v>100.03</v>
    <v>99.87</v>
    <v>99.78</v>
    <v>100.1</v>
    <v>100.12</v>
    <v>99.81</v>
    <v>99.91</v>
    <v>100.1</v>
    <v>100.07</v>
    <v>100.32</v>
    <v>99.84</v>
  </a>
  <a r="1" c="254">
    <v>98.01</v>
    <v>98.01</v>
    <v>96.95</v>
    <v>96.7</v>
    <v>96.96</v>
    <v>96.66</v>
    <v>96.77</v>
    <v>96.84</v>
    <v>96.64</v>
    <v>97.02</v>
    <v>96.9</v>
    <v>96.91</v>
    <v>96.81</v>
    <v>96.71</v>
    <v>96.37</v>
    <v>96.48</v>
    <v>95.94</v>
    <v>95.85</v>
    <v>95.88</v>
    <v>96.71</v>
    <v>96.92</v>
    <v>96.92</v>
    <v>97.24</v>
    <v>97.01</v>
    <v>96.85</v>
    <v>97.01</v>
    <v>97.55</v>
    <v>97.52</v>
    <v>97.46</v>
    <v>97.6</v>
    <v>97.4</v>
    <v>97.17</v>
    <v>97.35</v>
    <v>97.87</v>
    <v>97.77</v>
    <v>97.46</v>
    <v>97.49</v>
    <v>97.27</v>
    <v>96.76</v>
    <v>97.34</v>
    <v>97.7</v>
    <v>97.31</v>
    <v>97.45</v>
    <v>97.6</v>
    <v>98.02</v>
    <v>98.19</v>
    <v>98.8</v>
    <v>98.96</v>
    <v>98.81</v>
    <v>99.25</v>
    <v>99.16</v>
    <v>98.91</v>
    <v>98.57</v>
    <v>98.47</v>
    <v>98.35</v>
    <v>98.82</v>
    <v>98.47</v>
    <v>98.18</v>
    <v>98.48</v>
    <v>98.28</v>
    <v>98.41</v>
    <v>98.51</v>
    <v>98.8</v>
    <v>98.86</v>
    <v>98.74</v>
    <v>98.36</v>
    <v>98.45</v>
    <v>98.21</v>
    <v>98.16</v>
    <v>98.73</v>
    <v>98.92</v>
    <v>98.96</v>
    <v>98.85</v>
    <v>99.37</v>
    <v>99.46</v>
    <v>98.2</v>
    <v>97.69</v>
    <v>97.91</v>
    <v>97.14</v>
    <v>97.04</v>
    <v>97.61</v>
    <v>97.81</v>
    <v>98.12</v>
    <v>97.87</v>
    <v>97.28</v>
    <v>97.46</v>
    <v>97.7</v>
    <v>98.24</v>
    <v>98.6</v>
    <v>98.87</v>
    <v>99.11</v>
    <v>99.02</v>
    <v>98.43</v>
    <v>97.95</v>
    <v>97.78</v>
    <v>98.02</v>
    <v>98.17</v>
    <v>97.66</v>
    <v>97.76</v>
    <v>97.43</v>
    <v>97.33</v>
    <v>97.05</v>
    <v>97.6</v>
    <v>97.66</v>
    <v>97.63</v>
    <v>97.46</v>
    <v>96.82</v>
    <v>97.1</v>
    <v>97.24</v>
    <v>97.68</v>
    <v>97.5</v>
    <v>97.86</v>
    <v>98.1</v>
    <v>97.52</v>
    <v>97.45</v>
    <v>98.03</v>
    <v>97.78</v>
    <v>97.28</v>
    <v>97.4</v>
    <v>97.62</v>
    <v>97.95</v>
    <v>98.31</v>
    <v>97.96</v>
    <v>97.76</v>
    <v>98.06</v>
    <v>98.13</v>
    <v>98.22</v>
    <v>98.42</v>
    <v>98.82</v>
    <v>98.81</v>
    <v>99.08</v>
    <v>98.8</v>
    <v>99.2</v>
    <v>98.79</v>
    <v>98.67</v>
    <v>98.47</v>
    <v>98.12</v>
    <v>98.08</v>
    <v>98.49</v>
    <v>98.46</v>
    <v>98.05</v>
    <v>98.04</v>
    <v>97.75</v>
    <v>97.89</v>
    <v>97.93</v>
    <v>98.11</v>
    <v>98.38</v>
    <v>98.57</v>
    <v>98.35</v>
    <v>98.29</v>
    <v>98.45</v>
    <v>98.32</v>
    <v>98.85</v>
    <v>98.57</v>
    <v>98.62</v>
    <v>99.14</v>
    <v>99.22</v>
    <v>99.25</v>
    <v>99.21</v>
    <v>99.13</v>
    <v>98.94</v>
    <v>99.01</v>
    <v>99.01</v>
    <v>99.37</v>
    <v>99.09</v>
    <v>98.94</v>
    <v>98.83</v>
    <v>99.02</v>
    <v>99.08</v>
    <v>98.85</v>
    <v>99.4</v>
    <v>99.25</v>
    <v>99.37</v>
    <v>99.47</v>
    <v>99.59</v>
    <v>99.46</v>
    <v>98.87</v>
    <v>99.23</v>
    <v>99.63</v>
    <v>100.1</v>
    <v>100.44</v>
    <v>100.24</v>
    <v>100.44</v>
    <v>100.63</v>
    <v>100.54</v>
    <v>100.71</v>
    <v>100.75</v>
    <v>100.57</v>
    <v>100.29</v>
    <v>100.29</v>
    <v>100.17</v>
    <v>100.33</v>
    <v>100.14</v>
    <v>100</v>
    <v>100.07</v>
    <v>100.26</v>
    <v>100.25</v>
    <v>100.18</v>
    <v>100.29</v>
    <v>100.18</v>
    <v>99.96</v>
    <v>100.13</v>
    <v>100.14</v>
    <v>100.02</v>
    <v>100.43</v>
    <v>100.62</v>
    <v>100.78</v>
    <v>100.74</v>
    <v>101.1</v>
    <v>100.96</v>
    <v>101.13</v>
    <v>101.23</v>
    <v>101.22</v>
    <v>101.04</v>
    <v>101.14</v>
    <v>101.21</v>
    <v>101.27</v>
    <v>100.79</v>
    <v>100.6</v>
    <v>100.54</v>
    <v>100.09</v>
    <v>100.14</v>
    <v>99.87</v>
    <v>100.24</v>
    <v>100.2</v>
    <v>100.16</v>
    <v>100.46</v>
    <v>100.42</v>
    <v>100.12</v>
    <v>100</v>
    <v>100.02</v>
    <v>100.08</v>
    <v>100.08</v>
    <v>100.2</v>
    <v>100.44</v>
    <v>100.64</v>
    <v>100.8</v>
    <v>100.96</v>
    <v>100.82</v>
    <v>100.06</v>
    <v>100.19</v>
    <v>100.38</v>
    <v>100.14</v>
    <v>100.03</v>
    <v>99.87</v>
    <v>99.78</v>
    <v>100.1</v>
    <v>100.12</v>
    <v>99.81</v>
    <v>99.91</v>
    <v>100.1</v>
    <v>100.07</v>
    <v>100.32</v>
    <v>99.84</v>
  </a>
  <a r="1" c="22">
    <v>96.64</v>
    <v>96.87</v>
    <v>97.19</v>
    <v>97.34</v>
    <v>97.59</v>
    <v>97.67</v>
    <v>97.5</v>
    <v>96.69</v>
    <v>96.77</v>
    <v>96.97</v>
    <v>96.67</v>
    <v>96.47</v>
    <v>96.27</v>
    <v>96.13</v>
    <v>96.44</v>
    <v>96.45</v>
    <v>96.19</v>
    <v>96.27</v>
    <v>96.54</v>
    <v>96.52</v>
    <v>96.77</v>
    <v>96.24</v>
  </a>
  <a r="1" c="254">
    <v>93.72</v>
    <v>93.72</v>
    <v>92.69</v>
    <v>92.27</v>
    <v>92.61</v>
    <v>92.2</v>
    <v>92.25</v>
    <v>92.32</v>
    <v>92.08</v>
    <v>92.62</v>
    <v>92.45</v>
    <v>92.5</v>
    <v>92.35</v>
    <v>92.26</v>
    <v>91.84</v>
    <v>92</v>
    <v>91.33</v>
    <v>91.17</v>
    <v>91.2</v>
    <v>92.16</v>
    <v>92.38</v>
    <v>92.45</v>
    <v>92.76</v>
    <v>92.52</v>
    <v>92.28</v>
    <v>92.47</v>
    <v>93.07</v>
    <v>93.08</v>
    <v>92.97</v>
    <v>93.17</v>
    <v>93.02</v>
    <v>92.79</v>
    <v>93.02</v>
    <v>93.56</v>
    <v>93.45</v>
    <v>93.14</v>
    <v>93.12</v>
    <v>92.88</v>
    <v>92.24</v>
    <v>92.93</v>
    <v>93.32</v>
    <v>92.82</v>
    <v>92.97</v>
    <v>93.16</v>
    <v>93.71</v>
    <v>93.91</v>
    <v>94.65</v>
    <v>94.91</v>
    <v>94.8</v>
    <v>95.32</v>
    <v>95.39</v>
    <v>95.09</v>
    <v>94.56</v>
    <v>94.51</v>
    <v>94.39</v>
    <v>95.05</v>
    <v>94.71</v>
    <v>94.43</v>
    <v>94.81</v>
    <v>94.48</v>
    <v>94.56</v>
    <v>94.67</v>
    <v>94.96</v>
    <v>95.1</v>
    <v>95.02</v>
    <v>94.47</v>
    <v>94.63</v>
    <v>94.41</v>
    <v>94.33</v>
    <v>95.09</v>
    <v>95.37</v>
    <v>95.4</v>
    <v>95.31</v>
    <v>96.29</v>
    <v>96.56</v>
    <v>95.41</v>
    <v>94.93</v>
    <v>94.63</v>
    <v>94.04</v>
    <v>93.51</v>
    <v>94.26</v>
    <v>94.54</v>
    <v>94.95</v>
    <v>94.68</v>
    <v>94.17</v>
    <v>94.24</v>
    <v>94.34</v>
    <v>94.85</v>
    <v>95.21</v>
    <v>95.59</v>
    <v>95.92</v>
    <v>96.07</v>
    <v>95.34</v>
    <v>94.7</v>
    <v>94.53</v>
    <v>94.77</v>
    <v>95.02</v>
    <v>94.28</v>
    <v>94.35</v>
    <v>93.75</v>
    <v>93.68</v>
    <v>93.33</v>
    <v>93.94</v>
    <v>93.97</v>
    <v>93.92</v>
    <v>93.8</v>
    <v>93.15</v>
    <v>93.5</v>
    <v>93.77</v>
    <v>94.16</v>
    <v>93.9</v>
    <v>94.29</v>
    <v>94.57</v>
    <v>93.94</v>
    <v>93.85</v>
    <v>94.54</v>
    <v>94.26</v>
    <v>93.51</v>
    <v>93.68</v>
    <v>93.84</v>
    <v>94.23</v>
    <v>94.64</v>
    <v>94.29</v>
    <v>94.02</v>
    <v>94.48</v>
    <v>94.54</v>
    <v>94.6</v>
    <v>94.93</v>
    <v>95.26</v>
    <v>95.3</v>
    <v>95.64</v>
    <v>95.39</v>
    <v>95.77</v>
    <v>95.29</v>
    <v>95.09</v>
    <v>94.76</v>
    <v>94.46</v>
    <v>94.32</v>
    <v>94.81</v>
    <v>94.76</v>
    <v>94.32</v>
    <v>94.28</v>
    <v>93.91</v>
    <v>94.17</v>
    <v>94.14</v>
    <v>94.4</v>
    <v>94.73</v>
    <v>95</v>
    <v>94.66</v>
    <v>94.52</v>
    <v>94.74</v>
    <v>94.53</v>
    <v>95.15</v>
    <v>94.82</v>
    <v>94.9</v>
    <v>95.68</v>
    <v>95.81</v>
    <v>95.74</v>
    <v>95.67</v>
    <v>95.6</v>
    <v>95.38</v>
    <v>95.41</v>
    <v>95.39</v>
    <v>95.73</v>
    <v>95.42</v>
    <v>95.23</v>
    <v>95.14</v>
    <v>95.38</v>
    <v>95.52</v>
    <v>95.24</v>
    <v>95.77</v>
    <v>95.58</v>
    <v>95.83</v>
    <v>96.01</v>
    <v>96.23</v>
    <v>96.15</v>
    <v>95.55</v>
    <v>95.88</v>
    <v>96.31</v>
    <v>96.78</v>
    <v>97.08</v>
    <v>96.85</v>
    <v>97.11</v>
    <v>97.26</v>
    <v>96.98</v>
    <v>97.14</v>
    <v>97.2</v>
    <v>96.99</v>
    <v>96.67</v>
    <v>96.63</v>
    <v>96.47</v>
    <v>96.74</v>
    <v>96.48</v>
    <v>96.27</v>
    <v>96.22</v>
    <v>96.5</v>
    <v>96.46</v>
    <v>96.49</v>
    <v>96.59</v>
    <v>96.4</v>
    <v>96.12</v>
    <v>96.36</v>
    <v>96.38</v>
    <v>96.31</v>
    <v>96.91</v>
    <v>96.96</v>
    <v>97.21</v>
    <v>97.1</v>
    <v>97.55</v>
    <v>97.39</v>
    <v>97.52</v>
    <v>97.7</v>
    <v>97.72</v>
    <v>97.4</v>
    <v>97.49</v>
    <v>97.49</v>
    <v>97.58</v>
    <v>96.95</v>
    <v>96.81</v>
    <v>96.85</v>
    <v>96.5</v>
    <v>96.62</v>
    <v>96.16</v>
    <v>96.65</v>
    <v>96.69</v>
    <v>96.56</v>
    <v>96.86</v>
    <v>96.88</v>
    <v>96.6</v>
    <v>96.44</v>
    <v>96.55</v>
    <v>96.71</v>
    <v>96.64</v>
    <v>96.87</v>
    <v>97.19</v>
    <v>97.34</v>
    <v>97.59</v>
    <v>97.67</v>
    <v>97.5</v>
    <v>96.69</v>
    <v>96.77</v>
    <v>96.97</v>
    <v>96.67</v>
    <v>96.47</v>
    <v>96.27</v>
    <v>96.13</v>
    <v>96.44</v>
    <v>96.45</v>
    <v>96.19</v>
    <v>96.27</v>
    <v>96.54</v>
    <v>96.52</v>
    <v>96.77</v>
    <v>96.24</v>
  </a>
  <a r="1" c="254">
    <v>22.675000000000001</v>
    <v>22.684999999999999</v>
    <v>22.484999999999999</v>
    <v>22.43</v>
    <v>22.465</v>
    <v>22.405000000000001</v>
    <v>22.42</v>
    <v>22.434999999999999</v>
    <v>22.39</v>
    <v>22.475000000000001</v>
    <v>22.98</v>
    <v>22.465</v>
    <v>22.44</v>
    <v>22.43</v>
    <v>22.35</v>
    <v>22.375</v>
    <v>22.27</v>
    <v>22.254999999999999</v>
    <v>22.25</v>
    <v>22.41</v>
    <v>22.454999999999998</v>
    <v>22.454999999999998</v>
    <v>22.515000000000001</v>
    <v>22.48</v>
    <v>22.43</v>
    <v>22.48</v>
    <v>22.59</v>
    <v>22.585000000000001</v>
    <v>22.56</v>
    <v>22.6</v>
    <v>22.58</v>
    <v>22.53</v>
    <v>22.565000000000001</v>
    <v>22.67</v>
    <v>22.66</v>
    <v>22.59</v>
    <v>22.585000000000001</v>
    <v>22.55</v>
    <v>22.43</v>
    <v>22.555</v>
    <v>22.625</v>
    <v>22.535</v>
    <v>22.565000000000001</v>
    <v>22.594999999999999</v>
    <v>22.695</v>
    <v>22.734999999999999</v>
    <v>22.864999999999998</v>
    <v>22.92</v>
    <v>22.895</v>
    <v>23</v>
    <v>22.984999999999999</v>
    <v>22.93</v>
    <v>22.84</v>
    <v>22.835000000000001</v>
    <v>22.805</v>
    <v>22.925000000000001</v>
    <v>22.864999999999998</v>
    <v>22.805</v>
    <v>22.88</v>
    <v>22.82</v>
    <v>22.835000000000001</v>
    <v>22.864999999999998</v>
    <v>22.914999999999999</v>
    <v>22.934999999999999</v>
    <v>22.92</v>
    <v>22.82</v>
    <v>22.84</v>
    <v>22.795000000000002</v>
    <v>22.79</v>
    <v>22.93</v>
    <v>22.984999999999999</v>
    <v>22.97</v>
    <v>22.95</v>
    <v>23.12</v>
    <v>23.17</v>
    <v>22.95</v>
    <v>22.85</v>
    <v>22.82</v>
    <v>22.69</v>
    <v>22.64</v>
    <v>22.75</v>
    <v>22.79</v>
    <v>22.86</v>
    <v>22.81</v>
    <v>22.715</v>
    <v>22.74</v>
    <v>22.77</v>
    <v>22.86</v>
    <v>22.92</v>
    <v>22.99</v>
    <v>23.06</v>
    <v>23.08</v>
    <v>22.91</v>
    <v>22.81</v>
    <v>22.77</v>
    <v>22.81</v>
    <v>22.844999999999999</v>
    <v>22.72</v>
    <v>22.74</v>
    <v>22.63</v>
    <v>22.605</v>
    <v>22.54</v>
    <v>22.655000000000001</v>
    <v>22.664999999999999</v>
    <v>22.655000000000001</v>
    <v>22.625</v>
    <v>22.51</v>
    <v>22.56</v>
    <v>22.6</v>
    <v>22.68</v>
    <v>22.64</v>
    <v>22.715</v>
    <v>22.76</v>
    <v>22.62</v>
    <v>22.6</v>
    <v>22.74</v>
    <v>22.7</v>
    <v>22.58</v>
    <v>22.605</v>
    <v>22.63</v>
    <v>22.69</v>
    <v>22.77</v>
    <v>22.7</v>
    <v>22.65</v>
    <v>22.73</v>
    <v>22.75</v>
    <v>22.754999999999999</v>
    <v>22.81</v>
    <v>22.87</v>
    <v>22.89</v>
    <v>22.945</v>
    <v>22.9</v>
    <v>22.98</v>
    <v>22.885000000000002</v>
    <v>22.84</v>
    <v>22.78</v>
    <v>22.72</v>
    <v>22.704999999999998</v>
    <v>22.8</v>
    <v>22.785</v>
    <v>22.71</v>
    <v>22.704999999999998</v>
    <v>22.635000000000002</v>
    <v>22.675000000000001</v>
    <v>22.66</v>
    <v>22.71</v>
    <v>22.77</v>
    <v>22.815000000000001</v>
    <v>22.765000000000001</v>
    <v>22.74</v>
    <v>22.785</v>
    <v>22.745000000000001</v>
    <v>22.86</v>
    <v>22.81</v>
    <v>22.82</v>
    <v>22.945</v>
    <v>22.965</v>
    <v>22.965</v>
    <v>22.945</v>
    <v>22.93</v>
    <v>22.89</v>
    <v>22.9</v>
    <v>22.88</v>
    <v>22.954999999999998</v>
    <v>22.895</v>
    <v>22.855</v>
    <v>22.835000000000001</v>
    <v>22.885000000000002</v>
    <v>22.905000000000001</v>
    <v>22.855</v>
    <v>22.95</v>
    <v>22.914999999999999</v>
    <v>22.95</v>
    <v>22.965</v>
    <v>23.004999999999999</v>
    <v>22.984999999999999</v>
    <v>22.864999999999998</v>
    <v>22.934999999999999</v>
    <v>22.99</v>
    <v>23.105</v>
    <v>23.184999999999999</v>
    <v>23.135000000000002</v>
    <v>23.175000000000001</v>
    <v>23.204999999999998</v>
    <v>23.175000000000001</v>
    <v>23.195</v>
    <v>23.22</v>
    <v>23.18</v>
    <v>23.11</v>
    <v>23.114999999999998</v>
    <v>23.08</v>
    <v>23.135000000000002</v>
    <v>23.094999999999999</v>
    <v>23.06</v>
    <v>23.065000000000001</v>
    <v>23.12</v>
    <v>23.12</v>
    <v>23.1</v>
    <v>23.12</v>
    <v>23.09</v>
    <v>23.04</v>
    <v>23.085000000000001</v>
    <v>23.09</v>
    <v>23.08</v>
    <v>23.204999999999998</v>
    <v>23.215</v>
    <v>23.254999999999999</v>
    <v>23.23</v>
    <v>23.315000000000001</v>
    <v>23.28</v>
    <v>23.31</v>
    <v>23.344999999999999</v>
    <v>23.36</v>
    <v>23.29</v>
    <v>23.305</v>
    <v>23.315000000000001</v>
    <v>23.33</v>
    <v>23.23</v>
    <v>23.195</v>
    <v>23.2</v>
    <v>23.114999999999998</v>
    <v>23.135000000000002</v>
    <v>23.05</v>
    <v>23.135000000000002</v>
    <v>23.145</v>
    <v>23.12</v>
    <v>23.175000000000001</v>
    <v>23.184999999999999</v>
    <v>23.12</v>
    <v>23.09</v>
    <v>23.11</v>
    <v>23.125</v>
    <v>23.12</v>
    <v>23.164999999999999</v>
    <v>23.204999999999998</v>
    <v>23.23</v>
    <v>23.28</v>
    <v>23.295000000000002</v>
    <v>23.27</v>
    <v>23.105</v>
    <v>23.12</v>
    <v>23.15</v>
    <v>23.1</v>
    <v>23.07</v>
    <v>23.03</v>
    <v>23.01</v>
    <v>23.07</v>
    <v>23.074999999999999</v>
    <v>23.015000000000001</v>
    <v>23.04</v>
    <v>23.09</v>
    <v>23.085000000000001</v>
    <v>23.125</v>
    <v>23.02</v>
  </a>
  <a r="1" c="22">
    <v>23.12</v>
    <v>23.164999999999999</v>
    <v>23.204999999999998</v>
    <v>23.23</v>
    <v>23.28</v>
    <v>23.295000000000002</v>
    <v>23.27</v>
    <v>23.105</v>
    <v>23.12</v>
    <v>23.15</v>
    <v>23.1</v>
    <v>23.07</v>
    <v>23.03</v>
    <v>23.01</v>
    <v>23.07</v>
    <v>23.074999999999999</v>
    <v>23.015000000000001</v>
    <v>23.04</v>
    <v>23.09</v>
    <v>23.085000000000001</v>
    <v>23.125</v>
    <v>23.02</v>
  </a>
  <a r="1" c="22">
    <v>28.22</v>
    <v>27.58</v>
    <v>27.62</v>
    <v>27.89</v>
    <v>27.99</v>
    <v>28.12</v>
    <v>28.39</v>
    <v>27.99</v>
    <v>28.2</v>
    <v>28.15</v>
    <v>28.02</v>
    <v>27.82</v>
    <v>27.48</v>
    <v>27.49</v>
    <v>27.58</v>
    <v>27.77</v>
    <v>27.74</v>
    <v>27.73</v>
    <v>27.08</v>
    <v>26.71</v>
    <v>26.87</v>
    <v>26.93</v>
  </a>
  <a r="1" c="254">
    <v>22.93</v>
    <v>22.42</v>
    <v>21.76</v>
    <v>21.76</v>
    <v>21.78</v>
    <v>21.86</v>
    <v>21.97</v>
    <v>22.01</v>
    <v>21.88</v>
    <v>21.92</v>
    <v>21.85</v>
    <v>21.75</v>
    <v>21.86</v>
    <v>22.13</v>
    <v>22</v>
    <v>22.29</v>
    <v>21.68</v>
    <v>21.65</v>
    <v>21.77</v>
    <v>21.83</v>
    <v>21.9</v>
    <v>22.02</v>
    <v>22.29</v>
    <v>22.18</v>
    <v>22.27</v>
    <v>22.39</v>
    <v>22.41</v>
    <v>22.5</v>
    <v>22.51</v>
    <v>22.67</v>
    <v>22.58</v>
    <v>22.48</v>
    <v>22.72</v>
    <v>22.7</v>
    <v>22.75</v>
    <v>22.89</v>
    <v>23.08</v>
    <v>23.11</v>
    <v>23.26</v>
    <v>23.52</v>
    <v>23.5</v>
    <v>23.86</v>
    <v>23.75</v>
    <v>23.76</v>
    <v>23.52</v>
    <v>23.47</v>
    <v>23.33</v>
    <v>23.42</v>
    <v>23.25</v>
    <v>23.25</v>
    <v>23.25</v>
    <v>23.47</v>
    <v>24.13</v>
    <v>23.82</v>
    <v>23.83</v>
    <v>23.33</v>
    <v>23.05</v>
    <v>23.11</v>
    <v>23.01</v>
    <v>23.28</v>
    <v>23.65</v>
    <v>23.57</v>
    <v>23.77</v>
    <v>23.73</v>
    <v>23.76</v>
    <v>23.83</v>
    <v>24.04</v>
    <v>23.96</v>
    <v>24.17</v>
    <v>23.87</v>
    <v>23.76</v>
    <v>23.84</v>
    <v>23.96</v>
    <v>23.39</v>
    <v>21.84</v>
    <v>20.78</v>
    <v>20.22</v>
    <v>22.24</v>
    <v>21.53</v>
    <v>22.08</v>
    <v>22.12</v>
    <v>22.34</v>
    <v>22.62</v>
    <v>23.1</v>
    <v>23.15</v>
    <v>23.52</v>
    <v>23.55</v>
    <v>24.03</v>
    <v>24</v>
    <v>24.17</v>
    <v>24.17</v>
    <v>24.33</v>
    <v>24.39</v>
    <v>24.89</v>
    <v>25.04</v>
    <v>25.03</v>
    <v>24.96</v>
    <v>24.74</v>
    <v>24.94</v>
    <v>25.12</v>
    <v>25.21</v>
    <v>25.25</v>
    <v>25.59</v>
    <v>25.67</v>
    <v>25.68</v>
    <v>25.67</v>
    <v>25.59</v>
    <v>25.7</v>
    <v>25.79</v>
    <v>25.99</v>
    <v>26</v>
    <v>25.88</v>
    <v>25.74</v>
    <v>26.03</v>
    <v>26.01</v>
    <v>26.14</v>
    <v>26.35</v>
    <v>26.31</v>
    <v>26.21</v>
    <v>25.89</v>
    <v>25.76</v>
    <v>25.9</v>
    <v>25.74</v>
    <v>25.49</v>
    <v>25.5</v>
    <v>25.39</v>
    <v>25.1</v>
    <v>25.19</v>
    <v>25.47</v>
    <v>25.48</v>
    <v>25.81</v>
    <v>25.91</v>
    <v>25.98</v>
    <v>25.8</v>
    <v>25.89</v>
    <v>25.88</v>
    <v>25.97</v>
    <v>26.08</v>
    <v>26.34</v>
    <v>26.31</v>
    <v>26.24</v>
    <v>26.49</v>
    <v>26.56</v>
    <v>26.89</v>
    <v>27.15</v>
    <v>27.24</v>
    <v>27.16</v>
    <v>27.16</v>
    <v>27.35</v>
    <v>27.49</v>
    <v>27.48</v>
    <v>27.18</v>
    <v>27.03</v>
    <v>26.77</v>
    <v>26.47</v>
    <v>26.53</v>
    <v>26.96</v>
    <v>26.79</v>
    <v>26.91</v>
    <v>27.17</v>
    <v>27.09</v>
    <v>26.92</v>
    <v>27.81</v>
    <v>28.09</v>
    <v>27.73</v>
    <v>27.74</v>
    <v>27.55</v>
    <v>27.64</v>
    <v>27.68</v>
    <v>27.68</v>
    <v>28.27</v>
    <v>28.1</v>
    <v>28.04</v>
    <v>27.89</v>
    <v>28.02</v>
    <v>28.1</v>
    <v>28</v>
    <v>28.02</v>
    <v>28.29</v>
    <v>28.53</v>
    <v>28.61</v>
    <v>28.54</v>
    <v>28.94</v>
    <v>29.15</v>
    <v>29.01</v>
    <v>29</v>
    <v>28.92</v>
    <v>28.73</v>
    <v>28.79</v>
    <v>28.83</v>
    <v>28.93</v>
    <v>28.67</v>
    <v>28.41</v>
    <v>28.24</v>
    <v>28.35</v>
    <v>28.29</v>
    <v>28.34</v>
    <v>28.58</v>
    <v>28.92</v>
    <v>29.08</v>
    <v>29.24</v>
    <v>29.52</v>
    <v>29.41</v>
    <v>29.02</v>
    <v>28.33</v>
    <v>28.58</v>
    <v>28.41</v>
    <v>28.11</v>
    <v>27.98</v>
    <v>28.07</v>
    <v>28.38</v>
    <v>28.13</v>
    <v>28</v>
    <v>28.28</v>
    <v>28.36</v>
    <v>28.7</v>
    <v>28.81</v>
    <v>28.43</v>
    <v>28.41</v>
    <v>28.45</v>
    <v>28.47</v>
    <v>28.12</v>
    <v>28.16</v>
    <v>28.4</v>
    <v>28.42</v>
    <v>28.68</v>
    <v>28.78</v>
    <v>28.69</v>
    <v>28.29</v>
    <v>28.44</v>
    <v>28.33</v>
    <v>28.29</v>
    <v>28.22</v>
    <v>27.58</v>
    <v>27.62</v>
    <v>27.89</v>
    <v>27.99</v>
    <v>28.12</v>
    <v>28.39</v>
    <v>27.99</v>
    <v>28.2</v>
    <v>28.15</v>
    <v>28.02</v>
    <v>27.82</v>
    <v>27.48</v>
    <v>27.49</v>
    <v>27.58</v>
    <v>27.77</v>
    <v>27.74</v>
    <v>27.73</v>
    <v>27.08</v>
    <v>26.71</v>
    <v>26.87</v>
    <v>26.93</v>
  </a>
  <a r="1" c="22">
    <v>62.5</v>
    <v>61.68</v>
    <v>61.8</v>
    <v>62.51</v>
    <v>62.8</v>
    <v>63.66</v>
    <v>64.510000000000005</v>
    <v>64.13</v>
    <v>64.63</v>
    <v>64.849999999999994</v>
    <v>64.510000000000005</v>
    <v>65.349999999999994</v>
    <v>65.569999999999993</v>
    <v>65.72</v>
    <v>66.8</v>
    <v>65.92</v>
    <v>64.099999999999994</v>
    <v>64.11</v>
    <v>61.12</v>
    <v>60.03</v>
    <v>60.87</v>
    <v>61.64</v>
  </a>
  <a r="1" c="254">
    <v>54.46</v>
    <v>52.56</v>
    <v>51.43</v>
    <v>51.85</v>
    <v>52.22</v>
    <v>53.19</v>
    <v>53.11</v>
    <v>52.63</v>
    <v>52.55</v>
    <v>51.97</v>
    <v>51.76</v>
    <v>51.34</v>
    <v>52.23</v>
    <v>53.82</v>
    <v>53.09</v>
    <v>52.49</v>
    <v>51.14</v>
    <v>50.27</v>
    <v>50.98</v>
    <v>51.53</v>
    <v>51.98</v>
    <v>52.03</v>
    <v>53.11</v>
    <v>53.35</v>
    <v>53.59</v>
    <v>53.43</v>
    <v>50.43</v>
    <v>51.18</v>
    <v>51.08</v>
    <v>51.67</v>
    <v>51.45</v>
    <v>51.01</v>
    <v>51.76</v>
    <v>52.13</v>
    <v>52.26</v>
    <v>52.01</v>
    <v>52.52</v>
    <v>52.52</v>
    <v>52.35</v>
    <v>52.87</v>
    <v>52.75</v>
    <v>53.17</v>
    <v>53.11</v>
    <v>53.17</v>
    <v>52.95</v>
    <v>52.57</v>
    <v>52.37</v>
    <v>53.08</v>
    <v>50.83</v>
    <v>50.81</v>
    <v>50.25</v>
    <v>51.04</v>
    <v>52.07</v>
    <v>50.79</v>
    <v>51.23</v>
    <v>49.89</v>
    <v>49.98</v>
    <v>50.67</v>
    <v>49.63</v>
    <v>50.27</v>
    <v>50.71</v>
    <v>50.2</v>
    <v>50.14</v>
    <v>50.28</v>
    <v>50.22</v>
    <v>50.38</v>
    <v>50.46</v>
    <v>49.51</v>
    <v>49.2</v>
    <v>47.82</v>
    <v>47.48</v>
    <v>48.2</v>
    <v>48.48</v>
    <v>46.05</v>
    <v>43.82</v>
    <v>42.03</v>
    <v>40.950000000000003</v>
    <v>44.79</v>
    <v>43.32</v>
    <v>45.62</v>
    <v>45.77</v>
    <v>46.05</v>
    <v>44.99</v>
    <v>44.88</v>
    <v>44.22</v>
    <v>44.33</v>
    <v>45.5</v>
    <v>46.18</v>
    <v>46.34</v>
    <v>46.47</v>
    <v>47.15</v>
    <v>47.48</v>
    <v>47.82</v>
    <v>50.95</v>
    <v>52.96</v>
    <v>51.56</v>
    <v>51</v>
    <v>51.16</v>
    <v>51.75</v>
    <v>52.95</v>
    <v>53.28</v>
    <v>53.77</v>
    <v>53.99</v>
    <v>54.01</v>
    <v>53.82</v>
    <v>53.48</v>
    <v>53.72</v>
    <v>53.7</v>
    <v>53.52</v>
    <v>53.58</v>
    <v>53.26</v>
    <v>52.87</v>
    <v>52.38</v>
    <v>52.84</v>
    <v>53.15</v>
    <v>53.96</v>
    <v>53.74</v>
    <v>54.11</v>
    <v>54.71</v>
    <v>55.8</v>
    <v>55.83</v>
    <v>56.74</v>
    <v>55.85</v>
    <v>56.46</v>
    <v>55.65</v>
    <v>56.03</v>
    <v>54.84</v>
    <v>55.18</v>
    <v>56.82</v>
    <v>57.31</v>
    <v>57.85</v>
    <v>57.85</v>
    <v>57.4</v>
    <v>57.58</v>
    <v>58.75</v>
    <v>59.44</v>
    <v>57.63</v>
    <v>57.66</v>
    <v>58.03</v>
    <v>58.38</v>
    <v>58.3</v>
    <v>57.81</v>
    <v>58.27</v>
    <v>58.98</v>
    <v>59.48</v>
    <v>59.24</v>
    <v>59.36</v>
    <v>58.72</v>
    <v>59.8</v>
    <v>59.39</v>
    <v>59.43</v>
    <v>59.06</v>
    <v>58.62</v>
    <v>58.35</v>
    <v>58.36</v>
    <v>58.39</v>
    <v>58.84</v>
    <v>58.92</v>
    <v>59.14</v>
    <v>60.36</v>
    <v>60.29</v>
    <v>60.28</v>
    <v>61.09</v>
    <v>61.03</v>
    <v>60.65</v>
    <v>60.42</v>
    <v>61.04</v>
    <v>60.09</v>
    <v>58.78</v>
    <v>58.57</v>
    <v>59.66</v>
    <v>59.26</v>
    <v>59.5</v>
    <v>59.77</v>
    <v>59.9</v>
    <v>58.82</v>
    <v>58.05</v>
    <v>58.73</v>
    <v>59.3</v>
    <v>60.21</v>
    <v>60.98</v>
    <v>61.62</v>
    <v>62.56</v>
    <v>62.74</v>
    <v>62.83</v>
    <v>63.02</v>
    <v>63.32</v>
    <v>63.21</v>
    <v>63.77</v>
    <v>63.38</v>
    <v>64.02</v>
    <v>64.290000000000006</v>
    <v>63.57</v>
    <v>63.06</v>
    <v>62.74</v>
    <v>63.08</v>
    <v>63.62</v>
    <v>64.14</v>
    <v>64</v>
    <v>64.64</v>
    <v>65.03</v>
    <v>64.81</v>
    <v>65.650000000000006</v>
    <v>64.83</v>
    <v>61.62</v>
    <v>64.56</v>
    <v>63.7</v>
    <v>64.989999999999995</v>
    <v>65.17</v>
    <v>65.09</v>
    <v>66.17</v>
    <v>65.78</v>
    <v>65.03</v>
    <v>65.709999999999994</v>
    <v>66.48</v>
    <v>66.98</v>
    <v>67.09</v>
    <v>67.13</v>
    <v>66.540000000000006</v>
    <v>66.650000000000006</v>
    <v>66.900000000000006</v>
    <v>65.430000000000007</v>
    <v>66.03</v>
    <v>64.94</v>
    <v>64.61</v>
    <v>65.75</v>
    <v>65.39</v>
    <v>65.41</v>
    <v>63.99</v>
    <v>65.17</v>
    <v>63.16</v>
    <v>62.67</v>
    <v>62.5</v>
    <v>61.68</v>
    <v>61.8</v>
    <v>62.51</v>
    <v>62.8</v>
    <v>63.66</v>
    <v>64.510000000000005</v>
    <v>64.13</v>
    <v>64.63</v>
    <v>64.849999999999994</v>
    <v>64.510000000000005</v>
    <v>65.349999999999994</v>
    <v>65.569999999999993</v>
    <v>65.72</v>
    <v>66.8</v>
    <v>65.92</v>
    <v>64.099999999999994</v>
    <v>64.11</v>
    <v>61.12</v>
    <v>60.03</v>
    <v>60.87</v>
    <v>61.64</v>
  </a>
  <a r="1" c="254">
    <v>99.38</v>
    <v>99.5017</v>
    <v>98.640299999999996</v>
    <v>98.898700000000005</v>
    <v>99.46</v>
    <v>98.811199999999999</v>
    <v>98.602400000000003</v>
    <v>98.803399999999996</v>
    <v>98.450900000000004</v>
    <v>98.26</v>
    <v>97.860799999999998</v>
    <v>97.293599999999998</v>
    <v>97.728700000000003</v>
    <v>98.174400000000006</v>
    <v>97.7</v>
    <v>97.459400000000002</v>
    <v>96.870999999999995</v>
    <v>96.738200000000006</v>
    <v>97.312799999999996</v>
    <v>97.3</v>
    <v>97.45</v>
    <v>97.05</v>
    <v>98</v>
    <v>97.92</v>
    <v>97.841999999999999</v>
    <v>98.01</v>
    <v>98.46</v>
    <v>98.209800000000001</v>
    <v>97.857699999999994</v>
    <v>97.627600000000001</v>
    <v>97.496300000000005</v>
    <v>97.3</v>
    <v>98.119900000000001</v>
    <v>98.535600000000002</v>
    <v>98.127899999999997</v>
    <v>97.65</v>
    <v>97.424099999999996</v>
    <v>97.2209</v>
    <v>97.230699999999999</v>
    <v>98.28</v>
    <v>98.686999999999998</v>
    <v>98.25</v>
    <v>98.202299999999994</v>
    <v>98.879499999999993</v>
    <v>98.96</v>
    <v>99.01</v>
    <v>99.529899999999998</v>
    <v>99.347099999999998</v>
    <v>98.77</v>
    <v>98.343500000000006</v>
    <v>99.08</v>
    <v>99.98</v>
    <v>99.73</v>
    <v>100.54</v>
    <v>100.99</v>
    <v>100.8</v>
    <v>100.66</v>
    <v>100.6846</v>
    <v>100.56</v>
    <v>100.36</v>
    <v>100.85</v>
    <v>101.36</v>
    <v>101.15</v>
    <v>100.65</v>
    <v>100.56</v>
    <v>100.53</v>
    <v>100.6</v>
    <v>100.39</v>
    <v>100.67</v>
    <v>100.71</v>
    <v>100.38</v>
    <v>100.45</v>
    <v>100.58</v>
    <v>103.3</v>
    <v>103.05</v>
    <v>103.56</v>
    <v>104.74</v>
    <v>103.53</v>
    <v>107.66</v>
    <v>108.88</v>
    <v>109.13</v>
    <v>107.9</v>
    <v>109.08</v>
    <v>108.37</v>
    <v>109.88</v>
    <v>108.47</v>
    <v>106.98</v>
    <v>107.31</v>
    <v>107.2</v>
    <v>108.2</v>
    <v>107.71</v>
    <v>107.54</v>
    <v>106.99</v>
    <v>107.41</v>
    <v>107.96</v>
    <v>108.07</v>
    <v>107.83</v>
    <v>106.8</v>
    <v>106.83</v>
    <v>104.93559999999999</v>
    <v>105.63</v>
    <v>105.16</v>
    <v>106.17</v>
    <v>105.68</v>
    <v>106.33</v>
    <v>106.94</v>
    <v>107.47</v>
    <v>107.04</v>
    <v>108.11</v>
    <v>107.18</v>
    <v>107.26</v>
    <v>107.7444</v>
    <v>107.82</v>
    <v>108.65</v>
    <v>107.65</v>
    <v>108.33</v>
    <v>108.1</v>
    <v>107.91</v>
    <v>107.97499999999999</v>
    <v>107.8</v>
    <v>108.09</v>
    <v>109.36</v>
    <v>109.37</v>
    <v>108.92</v>
    <v>108.66</v>
    <v>108.25</v>
    <v>108.39</v>
    <v>109.26</v>
    <v>110.12</v>
    <v>110.18</v>
    <v>110.82</v>
    <v>110.87</v>
    <v>111.8</v>
    <v>111.94</v>
    <v>112.08</v>
    <v>111.48</v>
    <v>111.09</v>
    <v>111.39</v>
    <v>111.57</v>
    <v>111.26</v>
    <v>111.25</v>
    <v>111.07</v>
    <v>110.52</v>
    <v>110.7</v>
    <v>110.2</v>
    <v>110.54</v>
    <v>111.04</v>
    <v>111.9</v>
    <v>111.9</v>
    <v>111.51</v>
    <v>111.46</v>
    <v>110.3</v>
    <v>109.97</v>
    <v>108.84</v>
    <v>109.06</v>
    <v>110.05</v>
    <v>109.66</v>
    <v>109.75</v>
    <v>109.81</v>
    <v>109.82</v>
    <v>109.59</v>
    <v>108.99</v>
    <v>109.89</v>
    <v>109.96</v>
    <v>109.68170000000001</v>
    <v>109.82</v>
    <v>109.75</v>
    <v>109.65600000000001</v>
    <v>110.2</v>
    <v>109.45</v>
    <v>110.54</v>
    <v>109.77</v>
    <v>110.28</v>
    <v>110.41</v>
    <v>110.46</v>
    <v>110.72</v>
    <v>110.06</v>
    <v>110.16</v>
    <v>109.93</v>
    <v>110.94</v>
    <v>111.71</v>
    <v>111.08499999999999</v>
    <v>110.84</v>
    <v>111.30500000000001</v>
    <v>111.28</v>
    <v>111.57</v>
    <v>112.68980000000001</v>
    <v>112.36</v>
    <v>111.68</v>
    <v>111.32</v>
    <v>111.8</v>
    <v>111.94</v>
    <v>111.38</v>
    <v>110.7</v>
    <v>111.07</v>
    <v>111.03</v>
    <v>111.23</v>
    <v>111.11</v>
    <v>110.97</v>
    <v>111.31</v>
    <v>111.39</v>
    <v>110.82</v>
    <v>110.4294</v>
    <v>109.7</v>
    <v>110.51</v>
    <v>110.07</v>
    <v>110.55670000000001</v>
    <v>111.15</v>
    <v>111.63</v>
    <v>111.72499999999999</v>
    <v>111.755</v>
    <v>111.1909</v>
    <v>111.1596</v>
    <v>111.28</v>
    <v>111.28</v>
    <v>111.28</v>
    <v>111.58</v>
    <v>110.57</v>
    <v>110.31</v>
    <v>109.96</v>
    <v>109.54</v>
    <v>109.16</v>
    <v>109.19</v>
    <v>109.74</v>
    <v>109.89</v>
    <v>109.9778</v>
    <v>110.53</v>
    <v>110.88</v>
    <v>111.58</v>
    <v>111.45</v>
    <v>111.09</v>
    <v>110.67</v>
    <v>109.8</v>
    <v>109.753</v>
    <v>109.55880000000001</v>
    <v>109.46</v>
    <v>109.56</v>
    <v>109.97</v>
    <v>110.12</v>
    <v>109.9</v>
    <v>110.1502</v>
    <v>110.61</v>
    <v>110.01300000000001</v>
    <v>109.98</v>
    <v>109.605</v>
    <v>109.73</v>
    <v>110.57</v>
    <v>111.24</v>
    <v>111.06</v>
    <v>111.03</v>
    <v>111.2013</v>
    <v>111.14</v>
    <v>111.35</v>
    <v>111.16500000000001</v>
  </a>
  <a r="1" c="22">
    <v>109.8</v>
    <v>109.753</v>
    <v>109.55880000000001</v>
    <v>109.46</v>
    <v>109.56</v>
    <v>109.97</v>
    <v>110.12</v>
    <v>109.9</v>
    <v>110.1502</v>
    <v>110.61</v>
    <v>110.01300000000001</v>
    <v>109.98</v>
    <v>109.605</v>
    <v>109.73</v>
    <v>110.57</v>
    <v>111.24</v>
    <v>111.06</v>
    <v>111.03</v>
    <v>111.2013</v>
    <v>111.14</v>
    <v>111.35</v>
    <v>111.16500000000001</v>
  </a>
  <a r="1" c="253">
    <v t="i">0</v>
    <v t="i">1</v>
    <v t="i">2</v>
    <v t="i">3</v>
    <v t="i">4</v>
    <v t="i">7</v>
    <v t="i">8</v>
    <v t="i">10</v>
    <v t="i">11</v>
    <v t="i">14</v>
    <v t="i">17</v>
    <v t="i">18</v>
    <v t="i">21</v>
    <v t="i">22</v>
    <v t="i">23</v>
    <v t="i">24</v>
    <v t="i">25</v>
    <v t="i">28</v>
    <v t="i">29</v>
    <v t="i">30</v>
    <v t="i">31</v>
    <v t="i">32</v>
    <v t="i">35</v>
    <v t="i">36</v>
    <v t="i">37</v>
    <v t="i">38</v>
    <v t="i">39</v>
    <v t="i">42</v>
    <v t="i">43</v>
    <v t="i">44</v>
    <v t="i">45</v>
    <v t="i">46</v>
    <v t="i">49</v>
    <v t="i">50</v>
    <v t="i">51</v>
    <v t="i">52</v>
    <v t="i">53</v>
    <v t="i">56</v>
    <v t="i">57</v>
    <v t="i">58</v>
    <v t="i">59</v>
    <v t="i">60</v>
    <v t="i">63</v>
    <v t="i">64</v>
    <v t="i">65</v>
    <v t="i">66</v>
    <v t="i">67</v>
    <v t="i">70</v>
    <v t="i">71</v>
    <v t="i">72</v>
    <v t="i">73</v>
    <v t="i">74</v>
    <v t="i">77</v>
    <v t="i">78</v>
    <v t="i">79</v>
    <v t="i">80</v>
    <v t="i">81</v>
    <v t="i">84</v>
    <v t="i">85</v>
    <v t="i">86</v>
    <v t="i">87</v>
    <v t="i">88</v>
    <v t="i">91</v>
    <v t="i">92</v>
    <v t="i">93</v>
    <v t="i">94</v>
    <v t="i">95</v>
    <v t="i">98</v>
    <v t="i">99</v>
    <v t="i">100</v>
    <v t="i">101</v>
    <v t="i">102</v>
    <v t="i">105</v>
    <v t="i">106</v>
    <v t="i">107</v>
    <v t="i">108</v>
    <v t="i">109</v>
    <v t="i">112</v>
    <v t="i">113</v>
    <v t="i">114</v>
    <v t="i">115</v>
    <v t="i">116</v>
    <v t="i">119</v>
    <v t="i">120</v>
    <v t="i">121</v>
    <v t="i">122</v>
    <v t="i">126</v>
    <v t="i">127</v>
    <v t="i">128</v>
    <v t="i">129</v>
    <v t="i">130</v>
    <v t="i">133</v>
    <v t="i">134</v>
    <v t="i">135</v>
    <v t="i">137</v>
    <v t="i">140</v>
    <v t="i">141</v>
    <v t="i">142</v>
    <v t="i">143</v>
    <v t="i">144</v>
    <v t="i">147</v>
    <v t="i">148</v>
    <v t="i">149</v>
    <v t="i">150</v>
    <v t="i">151</v>
    <v t="i">154</v>
    <v t="i">155</v>
    <v t="i">157</v>
    <v t="i">158</v>
    <v t="i">161</v>
    <v t="i">162</v>
    <v t="i">163</v>
    <v t="i">164</v>
    <v t="i">165</v>
    <v t="i">168</v>
    <v t="i">169</v>
    <v t="i">170</v>
    <v t="i">171</v>
    <v t="i">172</v>
    <v t="i">175</v>
    <v t="i">176</v>
    <v t="i">177</v>
    <v t="i">178</v>
    <v t="i">179</v>
    <v t="i">182</v>
    <v t="i">183</v>
    <v t="i">184</v>
    <v t="i">185</v>
    <v t="i">189</v>
    <v t="i">190</v>
    <v t="i">191</v>
    <v t="i">192</v>
    <v t="i">193</v>
    <v t="i">196</v>
    <v t="i">197</v>
    <v t="i">198</v>
    <v t="i">199</v>
    <v t="i">200</v>
    <v t="i">203</v>
    <v t="i">204</v>
    <v t="i">205</v>
    <v t="i">206</v>
    <v t="i">207</v>
    <v t="i">210</v>
    <v t="i">211</v>
    <v t="i">213</v>
    <v t="i">214</v>
    <v t="i">217</v>
    <v t="i">218</v>
    <v t="i">219</v>
    <v t="i">220</v>
    <v t="i">221</v>
    <v t="i">224</v>
    <v t="i">225</v>
    <v t="i">226</v>
    <v t="i">227</v>
    <v t="i">228</v>
    <v t="i">231</v>
    <v t="i">232</v>
    <v t="i">233</v>
    <v t="i">234</v>
    <v t="i">235</v>
    <v t="i">238</v>
    <v t="i">239</v>
    <v t="i">240</v>
    <v t="i">241</v>
    <v t="i">245</v>
    <v t="i">246</v>
    <v t="i">247</v>
    <v t="i">248</v>
    <v t="i">249</v>
    <v t="i">252</v>
    <v t="i">253</v>
    <v t="i">254</v>
    <v t="i">255</v>
    <v t="i">256</v>
    <v t="i">259</v>
    <v t="i">260</v>
    <v t="i">261</v>
    <v t="i">262</v>
    <v t="i">263</v>
    <v t="i">266</v>
    <v t="i">267</v>
    <v t="i">268</v>
    <v t="i">269</v>
    <v t="i">270</v>
    <v t="i">273</v>
    <v t="i">274</v>
    <v t="i">275</v>
    <v t="i">280</v>
    <v t="i">281</v>
    <v t="i">282</v>
    <v t="i">283</v>
    <v t="i">284</v>
    <v t="i">287</v>
    <v t="i">288</v>
    <v t="i">289</v>
    <v t="i">290</v>
    <v t="i">291</v>
    <v t="i">294</v>
    <v t="i">295</v>
    <v t="i">296</v>
    <v t="i">297</v>
    <v t="i">298</v>
    <v t="i">301</v>
    <v t="i">302</v>
    <v t="i">303</v>
    <v t="i">304</v>
    <v t="i">305</v>
    <v t="i">308</v>
    <v t="i">309</v>
    <v t="i">310</v>
    <v t="i">311</v>
    <v t="i">312</v>
    <v t="i">315</v>
    <v t="i">316</v>
    <v t="i">317</v>
    <v t="i">318</v>
    <v t="i">322</v>
    <v t="i">323</v>
    <v t="i">324</v>
    <v t="i">325</v>
    <v t="i">326</v>
    <v t="i">329</v>
    <v t="i">330</v>
    <v t="i">331</v>
    <v t="i">332</v>
    <v t="i">333</v>
    <v t="i">336</v>
    <v t="i">337</v>
    <v t="i">338</v>
    <v t="i">339</v>
    <v t="i">340</v>
    <v t="i">343</v>
    <v t="i">344</v>
    <v t="i">345</v>
    <v t="i">346</v>
    <v t="i">347</v>
    <v t="i">350</v>
    <v t="i">351</v>
    <v t="i">352</v>
    <v t="i">353</v>
    <v t="i">354</v>
    <v t="i">357</v>
    <v t="i">358</v>
    <v t="i">359</v>
    <v t="i">360</v>
    <v t="i">361</v>
    <v t="i">364</v>
    <v t="i">365</v>
    <v t="i">366</v>
    <v t="i">367</v>
    <v t="i">368</v>
  </a>
  <a r="1" c="253"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35.25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35.25</v>
    <v>35.25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40.520000000000003</v>
    <v>40.89</v>
    <v>40.950000000000003</v>
    <v>41.14</v>
    <v>41.41</v>
    <v>41.34</v>
    <v>41.53</v>
    <v>41.94</v>
    <v>42.39</v>
    <v>42.18</v>
    <v>42.1</v>
    <v>42.03</v>
    <v>41.61</v>
    <v>41.94</v>
    <v>42.1</v>
  </a>
  <a r="1" c="23">
    <v>-99999901</v>
    <v>-99999901</v>
    <v>-99999901</v>
    <v>-99999901</v>
    <v>-99999901</v>
    <v>-99999901</v>
    <v>-99999901</v>
    <v>-99999901</v>
    <v>40.520000000000003</v>
    <v>40.89</v>
    <v>40.950000000000003</v>
    <v>41.14</v>
    <v>41.41</v>
    <v>41.34</v>
    <v>41.53</v>
    <v>41.94</v>
    <v>42.39</v>
    <v>42.18</v>
    <v>42.1</v>
    <v>42.03</v>
    <v>41.61</v>
    <v>41.94</v>
    <v>42.1</v>
  </a>
  <a r="1" c="22">
    <v>56.36</v>
    <v>55.69</v>
    <v>56.69</v>
    <v>56.39</v>
    <v>57.26</v>
    <v>57.55</v>
    <v>57.82</v>
    <v>57.42</v>
    <v>57.94</v>
    <v>58.07</v>
    <v>57.91</v>
    <v>58.03</v>
    <v>57.76</v>
    <v>57.69</v>
    <v>58.38</v>
    <v>58.49</v>
    <v>58.37</v>
    <v>59.06</v>
    <v>59.02</v>
    <v>58.84</v>
    <v>59.47</v>
    <v>59.57</v>
  </a>
  <a r="1" c="254">
    <v>47.09</v>
    <v>47.24</v>
    <v>45.96</v>
    <v>45.73</v>
    <v>45.92</v>
    <v>46.3</v>
    <v>46.47</v>
    <v>46.62</v>
    <v>46.34</v>
    <v>46.2</v>
    <v>45.96</v>
    <v>45.85</v>
    <v>46.26</v>
    <v>46.52</v>
    <v>46.87</v>
    <v>47</v>
    <v>46.41</v>
    <v>46.16</v>
    <v>46.33</v>
    <v>46.6</v>
    <v>47.11</v>
    <v>47.17</v>
    <v>48.35</v>
    <v>48.44</v>
    <v>48.79</v>
    <v>48.83</v>
    <v>49.84</v>
    <v>49.71</v>
    <v>49.59</v>
    <v>50.02</v>
    <v>49.57</v>
    <v>49.24</v>
    <v>49.51</v>
    <v>50.21</v>
    <v>49.97</v>
    <v>49.59</v>
    <v>49.9</v>
    <v>50.05</v>
    <v>50.22</v>
    <v>51.4</v>
    <v>51.41</v>
    <v>51.31</v>
    <v>50.86</v>
    <v>51.29</v>
    <v>51.62</v>
    <v>51.54</v>
    <v>51.97</v>
    <v>52.03</v>
    <v>51.33</v>
    <v>51.73</v>
    <v>52.3</v>
    <v>52.71</v>
    <v>52.86</v>
    <v>52.59</v>
    <v>53.53</v>
    <v>52.62</v>
    <v>51.87</v>
    <v>52.41</v>
    <v>52.14</v>
    <v>52.59</v>
    <v>53.33</v>
    <v>53.43</v>
    <v>53.24</v>
    <v>53.28</v>
    <v>53.06</v>
    <v>52.9</v>
    <v>52.98</v>
    <v>52.45</v>
    <v>52.59</v>
    <v>52.48</v>
    <v>51.79</v>
    <v>51.76</v>
    <v>51.49</v>
    <v>51.41</v>
    <v>48.36</v>
    <v>47.04</v>
    <v>47.12</v>
    <v>49.71</v>
    <v>49.7</v>
    <v>51.05</v>
    <v>51.2</v>
    <v>51.45</v>
    <v>51.29</v>
    <v>51.95</v>
    <v>51.82</v>
    <v>52.45</v>
    <v>52.23</v>
    <v>52.96</v>
    <v>53.04</v>
    <v>53.71</v>
    <v>53.67</v>
    <v>53.86</v>
    <v>53.52</v>
    <v>54.47</v>
    <v>54.64</v>
    <v>54.34</v>
    <v>54.15</v>
    <v>53.58</v>
    <v>53.58</v>
    <v>53.53</v>
    <v>53.19</v>
    <v>52.94</v>
    <v>54.02</v>
    <v>54.41</v>
    <v>55.02</v>
    <v>55.17</v>
    <v>55.04</v>
    <v>54.77</v>
    <v>55.03</v>
    <v>55.2</v>
    <v>54.62</v>
    <v>54.9</v>
    <v>55.18</v>
    <v>55.54</v>
    <v>55.03</v>
    <v>55.56</v>
    <v>55.47</v>
    <v>55.64</v>
    <v>55.62</v>
    <v>55.67</v>
    <v>55.43</v>
    <v>56.27</v>
    <v>55.22</v>
    <v>53.77</v>
    <v>53.42</v>
    <v>53.25</v>
    <v>52.68</v>
    <v>53.46</v>
    <v>54.32</v>
    <v>53.75</v>
    <v>54.26</v>
    <v>54.63</v>
    <v>54.81</v>
    <v>54.98</v>
    <v>55.27</v>
    <v>54.9</v>
    <v>54.53</v>
    <v>54.82</v>
    <v>55.28</v>
    <v>55.45</v>
    <v>54.7</v>
    <v>54.71</v>
    <v>54.18</v>
    <v>54.55</v>
    <v>54.36</v>
    <v>54.48</v>
    <v>54.51</v>
    <v>54.96</v>
    <v>56.2</v>
    <v>55.12</v>
    <v>55.16</v>
    <v>54.16</v>
    <v>54.12</v>
    <v>53.48</v>
    <v>52.72</v>
    <v>52.43</v>
    <v>53.31</v>
    <v>53.48</v>
    <v>52.98</v>
    <v>53.68</v>
    <v>53.6</v>
    <v>53.2</v>
    <v>53.81</v>
    <v>54.2</v>
    <v>54.1</v>
    <v>54.5</v>
    <v>54.35</v>
    <v>54.9</v>
    <v>55.52</v>
    <v>54.94</v>
    <v>55.64</v>
    <v>54.97</v>
    <v>55.11</v>
    <v>55.24</v>
    <v>55.33</v>
    <v>55.33</v>
    <v>54.67</v>
    <v>55.08</v>
    <v>55.71</v>
    <v>56.25</v>
    <v>56.33</v>
    <v>56.02</v>
    <v>55.62</v>
    <v>56.12</v>
    <v>55.65</v>
    <v>55.56</v>
    <v>55.48</v>
    <v>55.29</v>
    <v>55.21</v>
    <v>55.26</v>
    <v>55.57</v>
    <v>55.24</v>
    <v>54.51</v>
    <v>53.86</v>
    <v>54.26</v>
    <v>54.57</v>
    <v>55.24</v>
    <v>55.94</v>
    <v>56.25</v>
    <v>56.66</v>
    <v>56.72</v>
    <v>56.55</v>
    <v>56.83</v>
    <v>56.36</v>
    <v>56.1</v>
    <v>56.08</v>
    <v>56.33</v>
    <v>56.64</v>
    <v>57.47</v>
    <v>57.78</v>
    <v>57.68</v>
    <v>57.11</v>
    <v>57.14</v>
    <v>57.17</v>
    <v>57.12</v>
    <v>56.94</v>
    <v>56.17</v>
    <v>55.66</v>
    <v>55.6</v>
    <v>55.36</v>
    <v>55.12</v>
    <v>55.06</v>
    <v>55.4</v>
    <v>55.22</v>
    <v>55.74</v>
    <v>56.36</v>
    <v>57.67</v>
    <v>58.06</v>
    <v>57.85</v>
    <v>57.55</v>
    <v>56.81</v>
    <v>56.58</v>
    <v>56.36</v>
    <v>55.69</v>
    <v>56.69</v>
    <v>56.39</v>
    <v>57.26</v>
    <v>57.55</v>
    <v>57.82</v>
    <v>57.42</v>
    <v>57.94</v>
    <v>58.07</v>
    <v>57.91</v>
    <v>58.03</v>
    <v>57.76</v>
    <v>57.69</v>
    <v>58.38</v>
    <v>58.49</v>
    <v>58.37</v>
    <v>59.06</v>
    <v>59.02</v>
    <v>58.84</v>
    <v>59.47</v>
    <v>59.57</v>
  </a>
  <a r="1" c="22">
    <v>49.91</v>
    <v>49.37</v>
    <v>49.73</v>
    <v>49.94</v>
    <v>50.84</v>
    <v>51.59</v>
    <v>51.66</v>
    <v>51.57</v>
    <v>52.02</v>
    <v>52.41</v>
    <v>52.49</v>
    <v>52.29</v>
    <v>52.31</v>
    <v>52.36</v>
    <v>53.06</v>
    <v>53.48</v>
    <v>53.36</v>
    <v>54.01</v>
    <v>52.88</v>
    <v>52.8</v>
    <v>53.21</v>
    <v>53.45</v>
  </a>
  <a r="1" c="254">
    <v>32.840000000000003</v>
    <v>31.51</v>
    <v>30.72</v>
    <v>30.65</v>
    <v>30.77</v>
    <v>30.85</v>
    <v>31.04</v>
    <v>31.16</v>
    <v>31.02</v>
    <v>31.04</v>
    <v>31.05</v>
    <v>30.96</v>
    <v>31.22</v>
    <v>31.68</v>
    <v>31.58</v>
    <v>31.53</v>
    <v>31.1</v>
    <v>31.11</v>
    <v>31.48</v>
    <v>31.7</v>
    <v>31.6</v>
    <v>31.76</v>
    <v>32.32</v>
    <v>31.98</v>
    <v>32.47</v>
    <v>32.520000000000003</v>
    <v>32.81</v>
    <v>32.94</v>
    <v>33.020000000000003</v>
    <v>33.380000000000003</v>
    <v>32.99</v>
    <v>32.35</v>
    <v>33.17</v>
    <v>33.909999999999997</v>
    <v>34.11</v>
    <v>33.82</v>
    <v>33.94</v>
    <v>34.25</v>
    <v>34.89</v>
    <v>34.93</v>
    <v>35.19</v>
    <v>35.53</v>
    <v>34.909999999999997</v>
    <v>35.520000000000003</v>
    <v>35.200000000000003</v>
    <v>35.46</v>
    <v>36.15</v>
    <v>36.29</v>
    <v>35.81</v>
    <v>36.08</v>
    <v>36.369999999999997</v>
    <v>36.51</v>
    <v>37.520000000000003</v>
    <v>37.020000000000003</v>
    <v>37.86</v>
    <v>37.03</v>
    <v>37.119999999999997</v>
    <v>36.950000000000003</v>
    <v>36.99</v>
    <v>37.82</v>
    <v>38.33</v>
    <v>38.869999999999997</v>
    <v>38.81</v>
    <v>38.32</v>
    <v>38.44</v>
    <v>38.17</v>
    <v>38.79</v>
    <v>38.270000000000003</v>
    <v>38.57</v>
    <v>38.409999999999997</v>
    <v>38.06</v>
    <v>38.270000000000003</v>
    <v>38.729999999999997</v>
    <v>38.89</v>
    <v>35.74</v>
    <v>34.47</v>
    <v>34.15</v>
    <v>37.049999999999997</v>
    <v>36.89</v>
    <v>37.770000000000003</v>
    <v>38.049999999999997</v>
    <v>38.68</v>
    <v>38.869999999999997</v>
    <v>39.25</v>
    <v>39.130000000000003</v>
    <v>40.14</v>
    <v>40.03</v>
    <v>40.380000000000003</v>
    <v>40.86</v>
    <v>41.31</v>
    <v>41.12</v>
    <v>40.6</v>
    <v>40.47</v>
    <v>40.85</v>
    <v>41.04</v>
    <v>41.16</v>
    <v>41.17</v>
    <v>40.729999999999997</v>
    <v>41.04</v>
    <v>40.69</v>
    <v>41.15</v>
    <v>41.54</v>
    <v>41.76</v>
    <v>42.21</v>
    <v>42.7</v>
    <v>43.5</v>
    <v>43.16</v>
    <v>43.36</v>
    <v>43.31</v>
    <v>43.53</v>
    <v>42.88</v>
    <v>43.08</v>
    <v>43.29</v>
    <v>43.89</v>
    <v>43.28</v>
    <v>43.22</v>
    <v>43.6</v>
    <v>43.64</v>
    <v>43.5</v>
    <v>43.5</v>
    <v>43.48</v>
    <v>43.97</v>
    <v>43.25</v>
    <v>43.55</v>
    <v>42.44</v>
    <v>42.74</v>
    <v>42.69</v>
    <v>43.04</v>
    <v>43.7</v>
    <v>43.09</v>
    <v>43.33</v>
    <v>43.73</v>
    <v>44.03</v>
    <v>44.25</v>
    <v>44.6</v>
    <v>44.65</v>
    <v>44.31</v>
    <v>44.7</v>
    <v>45.28</v>
    <v>44.51</v>
    <v>44.16</v>
    <v>44.34</v>
    <v>43.48</v>
    <v>44.03</v>
    <v>44.01</v>
    <v>43.9</v>
    <v>44.23</v>
    <v>44.73</v>
    <v>45.35</v>
    <v>45.33</v>
    <v>45.47</v>
    <v>44.76</v>
    <v>44.97</v>
    <v>44.68</v>
    <v>44.72</v>
    <v>44.52</v>
    <v>45.3</v>
    <v>45.48</v>
    <v>46.16</v>
    <v>46.67</v>
    <v>47.14</v>
    <v>47.09</v>
    <v>47.38</v>
    <v>47.97</v>
    <v>48.42</v>
    <v>48.84</v>
    <v>48.6</v>
    <v>48.45</v>
    <v>48.67</v>
    <v>48.48</v>
    <v>49.24</v>
    <v>48.3</v>
    <v>48.09</v>
    <v>47.66</v>
    <v>48.02</v>
    <v>47.71</v>
    <v>47.02</v>
    <v>47.05</v>
    <v>47.48</v>
    <v>47.6</v>
    <v>48.07</v>
    <v>48.08</v>
    <v>48.47</v>
    <v>48.98</v>
    <v>49</v>
    <v>49.23</v>
    <v>48.95</v>
    <v>48.75</v>
    <v>48.66</v>
    <v>48.83</v>
    <v>48.43</v>
    <v>48.55</v>
    <v>48.57</v>
    <v>48.25</v>
    <v>49.04</v>
    <v>48.92</v>
    <v>49.5</v>
    <v>49.64</v>
    <v>49.36</v>
    <v>49.65</v>
    <v>49.22</v>
    <v>48.92</v>
    <v>49.33</v>
    <v>48.67</v>
    <v>48.33</v>
    <v>48.73</v>
    <v>49.12</v>
    <v>48.95</v>
    <v>49.43</v>
    <v>49.47</v>
    <v>49.92</v>
    <v>49.21</v>
    <v>49.34</v>
    <v>49.57</v>
    <v>49.7</v>
    <v>50.23</v>
    <v>50.6</v>
    <v>50.65</v>
    <v>50.28</v>
    <v>50.17</v>
    <v>50.13</v>
    <v>49.73</v>
    <v>50.4</v>
    <v>50.65</v>
    <v>50.52</v>
    <v>51.26</v>
    <v>51.9</v>
    <v>52.52</v>
    <v>52.21</v>
    <v>51.65</v>
    <v>50.78</v>
    <v>49.99</v>
    <v>49.91</v>
    <v>49.37</v>
    <v>49.73</v>
    <v>49.94</v>
    <v>50.84</v>
    <v>51.59</v>
    <v>51.66</v>
    <v>51.57</v>
    <v>52.02</v>
    <v>52.41</v>
    <v>52.49</v>
    <v>52.29</v>
    <v>52.31</v>
    <v>52.36</v>
    <v>53.06</v>
    <v>53.48</v>
    <v>53.36</v>
    <v>54.01</v>
    <v>52.88</v>
    <v>52.8</v>
    <v>53.21</v>
    <v>53.45</v>
  </a>
  <a r="1" c="22">
    <v>69.48</v>
    <v>69.305400000000006</v>
    <v>69.335400000000007</v>
    <v>69.261099999999999</v>
    <v>69.287899999999993</v>
    <v>69.572999999999993</v>
    <v>69.91</v>
    <v>69.81</v>
    <v>69.92</v>
    <v>70.044700000000006</v>
    <v>70.03</v>
    <v>70.67</v>
    <v>70.540000000000006</v>
    <v>70.569999999999993</v>
    <v>70.849999999999994</v>
    <v>70.959999999999994</v>
    <v>70.97</v>
    <v>70.98</v>
    <v>71.03</v>
    <v>70.910700000000006</v>
    <v>70.927000000000007</v>
    <v>70.8125</v>
  </a>
  <a r="1" c="254">
    <v>68.63</v>
    <v>68.33</v>
    <v>67.77</v>
    <v>67.98</v>
    <v>68.09</v>
    <v>68.072199999999995</v>
    <v>68.034999999999997</v>
    <v>67.89</v>
    <v>67.849999999999994</v>
    <v>68.149299999999997</v>
    <v>68.02</v>
    <v>67.89</v>
    <v>67.64</v>
    <v>68.22</v>
    <v>68.099999999999994</v>
    <v>67.944999999999993</v>
    <v>67.75</v>
    <v>67.879099999999994</v>
    <v>68.069999999999993</v>
    <v>68.209999999999994</v>
    <v>67.889799999999994</v>
    <v>67.58</v>
    <v>68.2</v>
    <v>67.939899999999994</v>
    <v>68.004599999999996</v>
    <v>68.144800000000004</v>
    <v>68.040000000000006</v>
    <v>67.930000000000007</v>
    <v>67.78</v>
    <v>67.53</v>
    <v>67.319999999999993</v>
    <v>67.12</v>
    <v>68.290000000000006</v>
    <v>68.287499999999994</v>
    <v>68.344999999999999</v>
    <v>68.45</v>
    <v>68.34</v>
    <v>68.45</v>
    <v>68.430800000000005</v>
    <v>68.900000000000006</v>
    <v>68.989999999999995</v>
    <v>68.94</v>
    <v>68.78</v>
    <v>69.02</v>
    <v>68.75</v>
    <v>68.56</v>
    <v>68.319999999999993</v>
    <v>68.178799999999995</v>
    <v>67.67</v>
    <v>67.569999999999993</v>
    <v>67.334999999999994</v>
    <v>67.504999999999995</v>
    <v>68.150000000000006</v>
    <v>68.325000000000003</v>
    <v>68.025899999999993</v>
    <v>67.689499999999995</v>
    <v>67.848399999999998</v>
    <v>68.003</v>
    <v>67.752300000000005</v>
    <v>68.063199999999995</v>
    <v>68.440100000000001</v>
    <v>68.38</v>
    <v>68.249899999999997</v>
    <v>68.28</v>
    <v>68.180000000000007</v>
    <v>68.290000000000006</v>
    <v>68.489999999999995</v>
    <v>68.48</v>
    <v>68.36</v>
    <v>68.34</v>
    <v>67.989999999999995</v>
    <v>68.33</v>
    <v>68.28</v>
    <v>69.44</v>
    <v>68.75</v>
    <v>68.64</v>
    <v>68.66</v>
    <v>69.260000000000005</v>
    <v>69.936400000000006</v>
    <v>70.400000000000006</v>
    <v>70.5</v>
    <v>69.999600000000001</v>
    <v>70.540000000000006</v>
    <v>70.64</v>
    <v>70.72</v>
    <v>70.72</v>
    <v>70.39</v>
    <v>70.540000000000006</v>
    <v>70.52</v>
    <v>70.739999999999995</v>
    <v>70.650000000000006</v>
    <v>70.930000000000007</v>
    <v>70.63</v>
    <v>70.81</v>
    <v>70.8</v>
    <v>70.989999999999995</v>
    <v>70.67</v>
    <v>70.260000000000005</v>
    <v>70.209999999999994</v>
    <v>69.89</v>
    <v>70.16</v>
    <v>69.92</v>
    <v>69.989999999999995</v>
    <v>69.885000000000005</v>
    <v>70.069999999999993</v>
    <v>70.239999999999995</v>
    <v>70.540000000000006</v>
    <v>70.5</v>
    <v>71.232299999999995</v>
    <v>70.75</v>
    <v>70.680000000000007</v>
    <v>70.83</v>
    <v>71.27</v>
    <v>71.37</v>
    <v>71.239999999999995</v>
    <v>71.48</v>
    <v>71.540000000000006</v>
    <v>71.400000000000006</v>
    <v>71.459999999999994</v>
    <v>71.510000000000005</v>
    <v>71.53</v>
    <v>71.87</v>
    <v>72.010000000000005</v>
    <v>72.03</v>
    <v>71.680000000000007</v>
    <v>71.349999999999994</v>
    <v>71.11</v>
    <v>71.19</v>
    <v>71.23</v>
    <v>71.260000000000005</v>
    <v>71.73</v>
    <v>71.39</v>
    <v>71.81</v>
    <v>71.67</v>
    <v>71.92</v>
    <v>72.08</v>
    <v>71.52</v>
    <v>71.44</v>
    <v>71.41</v>
    <v>71.510000000000005</v>
    <v>71.430000000000007</v>
    <v>71.34</v>
    <v>71.22</v>
    <v>71.41</v>
    <v>71.09</v>
    <v>71.2</v>
    <v>71.430000000000007</v>
    <v>71.849999999999994</v>
    <v>71.89</v>
    <v>71.64</v>
    <v>71.33</v>
    <v>71.2</v>
    <v>71.010000000000005</v>
    <v>70.7</v>
    <v>70.61</v>
    <v>70.88</v>
    <v>70.98</v>
    <v>70.989999999999995</v>
    <v>71.17</v>
    <v>71.150000000000006</v>
    <v>71.010000000000005</v>
    <v>70.88</v>
    <v>70.894999999999996</v>
    <v>70.999700000000004</v>
    <v>70.739999999999995</v>
    <v>70.749700000000004</v>
    <v>70.760000000000005</v>
    <v>70.47</v>
    <v>70.42</v>
    <v>70.27</v>
    <v>70.661199999999994</v>
    <v>70.48</v>
    <v>70.62</v>
    <v>70.86</v>
    <v>71.066900000000004</v>
    <v>71.177400000000006</v>
    <v>70.87</v>
    <v>70.819999999999993</v>
    <v>70.67</v>
    <v>70.55</v>
    <v>70.78</v>
    <v>70.519499999999994</v>
    <v>70.47</v>
    <v>70.646000000000001</v>
    <v>70.581500000000005</v>
    <v>70.959999999999994</v>
    <v>71.070800000000006</v>
    <v>70.962500000000006</v>
    <v>70.844999999999999</v>
    <v>70.898600000000002</v>
    <v>70.760000000000005</v>
    <v>70.67</v>
    <v>70.344099999999997</v>
    <v>70.12</v>
    <v>70.150000000000006</v>
    <v>70.223200000000006</v>
    <v>70.27</v>
    <v>70.103700000000003</v>
    <v>69.989999999999995</v>
    <v>70.03</v>
    <v>70.05</v>
    <v>70.03</v>
    <v>70.025800000000004</v>
    <v>69.670199999999994</v>
    <v>69.801900000000003</v>
    <v>69.599999999999994</v>
    <v>69.583200000000005</v>
    <v>69.564700000000002</v>
    <v>69.569999999999993</v>
    <v>69.768000000000001</v>
    <v>69.63</v>
    <v>69.7209</v>
    <v>69.849999999999994</v>
    <v>69.87</v>
    <v>69.8</v>
    <v>69.811999999999998</v>
    <v>70.09</v>
    <v>70.040000000000006</v>
    <v>69.88</v>
    <v>69.680000000000007</v>
    <v>69.55</v>
    <v>69.314999999999998</v>
    <v>69.265000000000001</v>
    <v>69.25</v>
    <v>69.647000000000006</v>
    <v>69.709299999999999</v>
    <v>69.733800000000002</v>
    <v>69.784199999999998</v>
    <v>69.63</v>
    <v>69.653400000000005</v>
    <v>69.539599999999993</v>
    <v>69.87</v>
    <v>69.48</v>
    <v>69.305400000000006</v>
    <v>69.335400000000007</v>
    <v>69.261099999999999</v>
    <v>69.287899999999993</v>
    <v>69.572999999999993</v>
    <v>69.91</v>
    <v>69.81</v>
    <v>69.92</v>
    <v>70.044700000000006</v>
    <v>70.03</v>
    <v>70.67</v>
    <v>70.540000000000006</v>
    <v>70.569999999999993</v>
    <v>70.849999999999994</v>
    <v>70.959999999999994</v>
    <v>70.97</v>
    <v>70.98</v>
    <v>71.03</v>
    <v>70.910700000000006</v>
    <v>70.927000000000007</v>
    <v>70.8125</v>
  </a>
  <a r="1" c="22">
    <v>66.5</v>
    <v>65.64</v>
    <v>65.58</v>
    <v>66.25</v>
    <v>66.459999999999994</v>
    <v>66.930000000000007</v>
    <v>67.099999999999994</v>
    <v>67.040000000000006</v>
    <v>67.040000000000006</v>
    <v>67.099999999999994</v>
    <v>67.069999999999993</v>
    <v>67.430000000000007</v>
    <v>67.349999999999994</v>
    <v>67.28</v>
    <v>67.930000000000007</v>
    <v>67.650000000000006</v>
    <v>66.89</v>
    <v>66.72</v>
    <v>65.150000000000006</v>
    <v>64.72</v>
    <v>65.400000000000006</v>
    <v>66.09</v>
  </a>
  <a r="1" c="254">
    <v>54.87</v>
    <v>53.51</v>
    <v>52.27</v>
    <v>52.51</v>
    <v>52.68</v>
    <v>52.98</v>
    <v>53.13</v>
    <v>52.95</v>
    <v>52.74</v>
    <v>52.31</v>
    <v>52.22</v>
    <v>52.13</v>
    <v>52.6</v>
    <v>52.75</v>
    <v>52.39</v>
    <v>52.12</v>
    <v>51.19</v>
    <v>50.83</v>
    <v>51.38</v>
    <v>52.01</v>
    <v>51.98</v>
    <v>52.38</v>
    <v>52.92</v>
    <v>52.93</v>
    <v>53.13</v>
    <v>53.35</v>
    <v>52.39</v>
    <v>52.78</v>
    <v>52.8</v>
    <v>53.63</v>
    <v>52.99</v>
    <v>52.67</v>
    <v>53.56</v>
    <v>53.45</v>
    <v>53.69</v>
    <v>53.64</v>
    <v>54.22</v>
    <v>53.97</v>
    <v>54.26</v>
    <v>54.57</v>
    <v>54.94</v>
    <v>55.3</v>
    <v>55.19</v>
    <v>55.72</v>
    <v>55.52</v>
    <v>54.73</v>
    <v>54.76</v>
    <v>55.24</v>
    <v>54.15</v>
    <v>53.44</v>
    <v>53.01</v>
    <v>53.4</v>
    <v>54.99</v>
    <v>54.65</v>
    <v>54.89</v>
    <v>53.64</v>
    <v>54.01</v>
    <v>54.31</v>
    <v>54.05</v>
    <v>55.03</v>
    <v>55.94</v>
    <v>55.69</v>
    <v>55.76</v>
    <v>55.27</v>
    <v>55.08</v>
    <v>55.25</v>
    <v>55.16</v>
    <v>54.83</v>
    <v>55.07</v>
    <v>54.09</v>
    <v>53.97</v>
    <v>54.21</v>
    <v>54.27</v>
    <v>53.16</v>
    <v>50.26</v>
    <v>48.48</v>
    <v>47.74</v>
    <v>51.04</v>
    <v>50.15</v>
    <v>51.66</v>
    <v>52.14</v>
    <v>52.1</v>
    <v>51.51</v>
    <v>51.97</v>
    <v>51.95</v>
    <v>52.73</v>
    <v>53.27</v>
    <v>53.95</v>
    <v>53.76</v>
    <v>53.9</v>
    <v>54.1</v>
    <v>54.17</v>
    <v>54.14</v>
    <v>55.71</v>
    <v>56.16</v>
    <v>55.88</v>
    <v>55.24</v>
    <v>55.17</v>
    <v>55.53</v>
    <v>56.75</v>
    <v>56.88</v>
    <v>57.29</v>
    <v>57.3</v>
    <v>57.31</v>
    <v>57.48</v>
    <v>57.42</v>
    <v>57.34</v>
    <v>57.19</v>
    <v>57.45</v>
    <v>57.38</v>
    <v>57.12</v>
    <v>57.42</v>
    <v>56.69</v>
    <v>57.16</v>
    <v>57.26</v>
    <v>57.97</v>
    <v>58.25</v>
    <v>58.49</v>
    <v>58.92</v>
    <v>59.31</v>
    <v>59.61</v>
    <v>59.67</v>
    <v>58.71</v>
    <v>58.66</v>
    <v>57.91</v>
    <v>57.94</v>
    <v>57.57</v>
    <v>58.05</v>
    <v>59.51</v>
    <v>59.55</v>
    <v>59.96</v>
    <v>59.75</v>
    <v>60.03</v>
    <v>60.09</v>
    <v>60.32</v>
    <v>60.62</v>
    <v>59.75</v>
    <v>60.08</v>
    <v>60.04</v>
    <v>60.23</v>
    <v>60.06</v>
    <v>60.17</v>
    <v>60.59</v>
    <v>60.83</v>
    <v>61.18</v>
    <v>61.05</v>
    <v>61.42</v>
    <v>61.38</v>
    <v>62.03</v>
    <v>61.7</v>
    <v>61.5</v>
    <v>61.03</v>
    <v>61.1</v>
    <v>60.68</v>
    <v>60.33</v>
    <v>59.9</v>
    <v>60.53</v>
    <v>60.74</v>
    <v>61</v>
    <v>61.49</v>
    <v>61.41</v>
    <v>61.27</v>
    <v>62.05</v>
    <v>62.7</v>
    <v>61.97</v>
    <v>62.12</v>
    <v>62.5</v>
    <v>62</v>
    <v>61.86</v>
    <v>61.76</v>
    <v>62.92</v>
    <v>62.59</v>
    <v>62.5</v>
    <v>62.15</v>
    <v>62.38</v>
    <v>62.09</v>
    <v>61.99</v>
    <v>62.24</v>
    <v>62.04</v>
    <v>62.78</v>
    <v>63.34</v>
    <v>63.57</v>
    <v>64.02</v>
    <v>64.81</v>
    <v>64.790000000000006</v>
    <v>65.239999999999995</v>
    <v>65.73</v>
    <v>65.989999999999995</v>
    <v>65.83</v>
    <v>65.680000000000007</v>
    <v>65.94</v>
    <v>65.97</v>
    <v>65.7</v>
    <v>65.38</v>
    <v>65.19</v>
    <v>65.7</v>
    <v>65.92</v>
    <v>66.44</v>
    <v>66.75</v>
    <v>66.930000000000007</v>
    <v>67.209999999999994</v>
    <v>66.73</v>
    <v>67.23</v>
    <v>66.599999999999994</v>
    <v>64.22</v>
    <v>66.08</v>
    <v>65.48</v>
    <v>66.58</v>
    <v>66.989999999999995</v>
    <v>66.92</v>
    <v>67.8</v>
    <v>67.069999999999993</v>
    <v>67.06</v>
    <v>67.61</v>
    <v>68.040000000000006</v>
    <v>68.790000000000006</v>
    <v>68.77</v>
    <v>69.14</v>
    <v>68.39</v>
    <v>68.27</v>
    <v>68.73</v>
    <v>67.48</v>
    <v>68.069999999999993</v>
    <v>67.53</v>
    <v>67.290000000000006</v>
    <v>68.45</v>
    <v>68.5</v>
    <v>68.53</v>
    <v>67.77</v>
    <v>67.87</v>
    <v>67.069999999999993</v>
    <v>66.7</v>
    <v>66.5</v>
    <v>65.64</v>
    <v>65.58</v>
    <v>66.25</v>
    <v>66.459999999999994</v>
    <v>66.930000000000007</v>
    <v>67.099999999999994</v>
    <v>67.040000000000006</v>
    <v>67.040000000000006</v>
    <v>67.099999999999994</v>
    <v>67.069999999999993</v>
    <v>67.430000000000007</v>
    <v>67.349999999999994</v>
    <v>67.28</v>
    <v>67.930000000000007</v>
    <v>67.650000000000006</v>
    <v>66.89</v>
    <v>66.72</v>
    <v>65.150000000000006</v>
    <v>64.72</v>
    <v>65.400000000000006</v>
    <v>66.09</v>
  </a>
  <a r="1" c="259">
    <v t="i">0</v>
    <v t="i">1</v>
    <v t="i">2</v>
    <v t="i">3</v>
    <v t="i">4</v>
    <v t="i">7</v>
    <v t="i">8</v>
    <v t="i">11</v>
    <v t="i">14</v>
    <v t="i">15</v>
    <v t="i">17</v>
    <v t="i">18</v>
    <v t="i">21</v>
    <v t="i">22</v>
    <v t="i">23</v>
    <v t="i">24</v>
    <v t="i">25</v>
    <v t="i">28</v>
    <v t="i">29</v>
    <v t="i">30</v>
    <v t="i">31</v>
    <v t="i">32</v>
    <v t="i">35</v>
    <v t="i">36</v>
    <v t="i">37</v>
    <v t="i">38</v>
    <v t="i">39</v>
    <v t="i">42</v>
    <v t="i">43</v>
    <v t="i">44</v>
    <v t="i">45</v>
    <v t="i">46</v>
    <v t="i">49</v>
    <v t="i">50</v>
    <v t="i">51</v>
    <v t="i">52</v>
    <v t="i">53</v>
    <v t="i">56</v>
    <v t="i">57</v>
    <v t="i">58</v>
    <v t="i">59</v>
    <v t="i">60</v>
    <v t="i">63</v>
    <v t="i">64</v>
    <v t="i">65</v>
    <v t="i">66</v>
    <v t="i">67</v>
    <v t="i">70</v>
    <v t="i">71</v>
    <v t="i">72</v>
    <v t="i">73</v>
    <v t="i">74</v>
    <v t="i">77</v>
    <v t="i">78</v>
    <v t="i">79</v>
    <v t="i">80</v>
    <v t="i">81</v>
    <v t="i">84</v>
    <v t="i">85</v>
    <v t="i">86</v>
    <v t="i">87</v>
    <v t="i">88</v>
    <v t="i">91</v>
    <v t="i">92</v>
    <v t="i">93</v>
    <v t="i">94</v>
    <v t="i">95</v>
    <v t="i">98</v>
    <v t="i">99</v>
    <v t="i">100</v>
    <v t="i">101</v>
    <v t="i">102</v>
    <v t="i">105</v>
    <v t="i">106</v>
    <v t="i">107</v>
    <v t="i">108</v>
    <v t="i">109</v>
    <v t="i">112</v>
    <v t="i">113</v>
    <v t="i">114</v>
    <v t="i">115</v>
    <v t="i">116</v>
    <v t="i">119</v>
    <v t="i">120</v>
    <v t="i">121</v>
    <v t="i">122</v>
    <v t="i">127</v>
    <v t="i">128</v>
    <v t="i">129</v>
    <v t="i">130</v>
    <v t="i">133</v>
    <v t="i">134</v>
    <v t="i">135</v>
    <v t="i">137</v>
    <v t="i">140</v>
    <v t="i">141</v>
    <v t="i">142</v>
    <v t="i">143</v>
    <v t="i">144</v>
    <v t="i">147</v>
    <v t="i">148</v>
    <v t="i">149</v>
    <v t="i">150</v>
    <v t="i">151</v>
    <v t="i">154</v>
    <v t="i">155</v>
    <v t="i">156</v>
    <v t="i">157</v>
    <v t="i">158</v>
    <v t="i">161</v>
    <v t="i">162</v>
    <v t="i">163</v>
    <v t="i">164</v>
    <v t="i">165</v>
    <v t="i">168</v>
    <v t="i">169</v>
    <v t="i">170</v>
    <v t="i">171</v>
    <v t="i">172</v>
    <v t="i">175</v>
    <v t="i">176</v>
    <v t="i">177</v>
    <v t="i">178</v>
    <v t="i">179</v>
    <v t="i">182</v>
    <v t="i">183</v>
    <v t="i">184</v>
    <v t="i">185</v>
    <v t="i">186</v>
    <v t="i">189</v>
    <v t="i">190</v>
    <v t="i">191</v>
    <v t="i">192</v>
    <v t="i">193</v>
    <v t="i">196</v>
    <v t="i">197</v>
    <v t="i">198</v>
    <v t="i">199</v>
    <v t="i">200</v>
    <v t="i">203</v>
    <v t="i">204</v>
    <v t="i">205</v>
    <v t="i">206</v>
    <v t="i">207</v>
    <v t="i">210</v>
    <v t="i">211</v>
    <v t="i">212</v>
    <v t="i">213</v>
    <v t="i">214</v>
    <v t="i">217</v>
    <v t="i">218</v>
    <v t="i">219</v>
    <v t="i">220</v>
    <v t="i">221</v>
    <v t="i">224</v>
    <v t="i">225</v>
    <v t="i">226</v>
    <v t="i">227</v>
    <v t="i">228</v>
    <v t="i">231</v>
    <v t="i">232</v>
    <v t="i">233</v>
    <v t="i">234</v>
    <v t="i">235</v>
    <v t="i">238</v>
    <v t="i">239</v>
    <v t="i">240</v>
    <v t="i">241</v>
    <v t="i">242</v>
    <v t="i">245</v>
    <v t="i">246</v>
    <v t="i">247</v>
    <v t="i">248</v>
    <v t="i">249</v>
    <v t="i">252</v>
    <v t="i">253</v>
    <v t="i">254</v>
    <v t="i">255</v>
    <v t="i">256</v>
    <v t="i">259</v>
    <v t="i">260</v>
    <v t="i">261</v>
    <v t="i">262</v>
    <v t="i">263</v>
    <v t="i">266</v>
    <v t="i">267</v>
    <v t="i">268</v>
    <v t="i">269</v>
    <v t="i">270</v>
    <v t="i">273</v>
    <v t="i">274</v>
    <v t="i">275</v>
    <v t="i">276</v>
    <v t="i">277</v>
    <v t="i">280</v>
    <v t="i">281</v>
    <v t="i">282</v>
    <v t="i">283</v>
    <v t="i">284</v>
    <v t="i">287</v>
    <v t="i">288</v>
    <v t="i">289</v>
    <v t="i">290</v>
    <v t="i">291</v>
    <v t="i">294</v>
    <v t="i">295</v>
    <v t="i">296</v>
    <v t="i">297</v>
    <v t="i">298</v>
    <v t="i">301</v>
    <v t="i">302</v>
    <v t="i">303</v>
    <v t="i">304</v>
    <v t="i">305</v>
    <v t="i">308</v>
    <v t="i">309</v>
    <v t="i">310</v>
    <v t="i">311</v>
    <v t="i">312</v>
    <v t="i">315</v>
    <v t="i">316</v>
    <v t="i">317</v>
    <v t="i">318</v>
    <v t="i">319</v>
    <v t="i">322</v>
    <v t="i">323</v>
    <v t="i">324</v>
    <v t="i">325</v>
    <v t="i">326</v>
    <v t="i">329</v>
    <v t="i">330</v>
    <v t="i">331</v>
    <v t="i">332</v>
    <v t="i">333</v>
    <v t="i">336</v>
    <v t="i">337</v>
    <v t="i">338</v>
    <v t="i">339</v>
    <v t="i">340</v>
    <v t="i">343</v>
    <v t="i">344</v>
    <v t="i">345</v>
    <v t="i">346</v>
    <v t="i">347</v>
    <v t="i">350</v>
    <v t="i">351</v>
    <v t="i">352</v>
    <v t="i">353</v>
    <v t="i">354</v>
    <v t="i">357</v>
    <v t="i">358</v>
    <v t="i">359</v>
    <v t="i">360</v>
    <v t="i">361</v>
    <v t="i">364</v>
    <v t="i">365</v>
    <v t="i">366</v>
    <v t="i">367</v>
    <v t="i">368</v>
  </a>
  <a r="1" c="259">
    <v>127.057</v>
    <v>126.6155</v>
    <v>126.74769999999999</v>
    <v>124.7517</v>
    <v>123.524</v>
    <v>123.70480000000001</v>
    <v>124.24590000000001</v>
    <v>124.97499999999999</v>
    <v>124.1597</v>
    <v>125.4468</v>
    <v>125.7381</v>
    <v>124.858</v>
    <v>126.3018</v>
    <v>126.5622</v>
    <v>126.28149999999999</v>
    <v>126.8805</v>
    <v>125.7148</v>
    <v>125.03700000000001</v>
    <v>124.8847</v>
    <v>126.79179999999999</v>
    <v>127.998</v>
    <v>128.7098</v>
    <v>128.88800000000001</v>
    <v>129.38480000000001</v>
    <v>129.84</v>
    <v>130.4624</v>
    <v>130.42420000000001</v>
    <v>130.3648</v>
    <v>130.7944</v>
    <v>131.58779999999999</v>
    <v>132.64259999999999</v>
    <v>132.60730000000001</v>
    <v>131.3349</v>
    <v>131.7055</v>
    <v>132.26349999999999</v>
    <v>134.18279999999999</v>
    <v>133.45320000000001</v>
    <v>134.40100000000001</v>
    <v>134.76</v>
    <v>134.8845</v>
    <v>136.4442</v>
    <v>135.97810000000001</v>
    <v>136.70609999999999</v>
    <v>137.11709999999999</v>
    <v>135.69329999999999</v>
    <v>135.72139999999999</v>
    <v>136.7371</v>
    <v>136.4819</v>
    <v>136.61850000000001</v>
    <v>138.0566</v>
    <v>137.17250000000001</v>
    <v>137.38130000000001</v>
    <v>138.3219</v>
    <v>135.31</v>
    <v>136.5735</v>
    <v>136.59</v>
    <v>136.31100000000001</v>
    <v>134.10730000000001</v>
    <v>131.90190000000001</v>
    <v>133.2105</v>
    <v>132.59</v>
    <v>133.91239999999999</v>
    <v>135.01750000000001</v>
    <v>135.86969999999999</v>
    <v>136.2362</v>
    <v>135.5992</v>
    <v>134.95660000000001</v>
    <v>134.79140000000001</v>
    <v>135.5205</v>
    <v>134.44999999999999</v>
    <v>133.96180000000001</v>
    <v>133.02529999999999</v>
    <v>131.04409999999999</v>
    <v>132.34880000000001</v>
    <v>131.61529999999999</v>
    <v>128.15190000000001</v>
    <v>121.9</v>
    <v>116.37</v>
    <v>119.9023</v>
    <v>115.6811</v>
    <v>120.3045</v>
    <v>120.316</v>
    <v>123.5466</v>
    <v>125.5881</v>
    <v>125.2948</v>
    <v>124.8511</v>
    <v>125.9872</v>
    <v>128.1482</v>
    <v>128.6925</v>
    <v>129.03270000000001</v>
    <v>129.768</v>
    <v>130.2253</v>
    <v>131.0256</v>
    <v>133.41630000000001</v>
    <v>133.7773</v>
    <v>133.1687</v>
    <v>132.56649999999999</v>
    <v>133.0213</v>
    <v>133.72630000000001</v>
    <v>135.67009999999999</v>
    <v>135.65729999999999</v>
    <v>135.3218</v>
    <v>136.28309999999999</v>
    <v>136.89019999999999</v>
    <v>137.22739999999999</v>
    <v>138.3698</v>
    <v>138.3236</v>
    <v>137.36099999999999</v>
    <v>136.0249</v>
    <v>138.12370000000001</v>
    <v>137.83619999999999</v>
    <v>136.8142</v>
    <v>136.6498</v>
    <v>136.99420000000001</v>
    <v>136.57220000000001</v>
    <v>136.6173</v>
    <v>137.25839999999999</v>
    <v>137.5326</v>
    <v>138.05359999999999</v>
    <v>137.91249999999999</v>
    <v>138.00030000000001</v>
    <v>137.4478</v>
    <v>136.9118</v>
    <v>135.53980000000001</v>
    <v>136.0359</v>
    <v>134.6858</v>
    <v>134.09540000000001</v>
    <v>132.94309999999999</v>
    <v>133.0557</v>
    <v>132.75620000000001</v>
    <v>134.7157</v>
    <v>133.53139999999999</v>
    <v>133.42930000000001</v>
    <v>135.17330000000001</v>
    <v>134.45419999999999</v>
    <v>134.4854</v>
    <v>134.59530000000001</v>
    <v>135.2294</v>
    <v>134.4624</v>
    <v>135.18770000000001</v>
    <v>135.65110000000001</v>
    <v>136.73410000000001</v>
    <v>137.26900000000001</v>
    <v>135.54660000000001</v>
    <v>135.51</v>
    <v>135.03540000000001</v>
    <v>134.06639999999999</v>
    <v>135.57910000000001</v>
    <v>135.3663</v>
    <v>135.24250000000001</v>
    <v>134.88999999999999</v>
    <v>136.38210000000001</v>
    <v>136.8252</v>
    <v>136.37100000000001</v>
    <v>136.18549999999999</v>
    <v>136.36959999999999</v>
    <v>136.4212</v>
    <v>135.18129999999999</v>
    <v>131.76740000000001</v>
    <v>133.7313</v>
    <v>133.75239999999999</v>
    <v>133.59010000000001</v>
    <v>135.32490000000001</v>
    <v>135.6336</v>
    <v>135.6867</v>
    <v>135.84010000000001</v>
    <v>136.8409</v>
    <v>137.55000000000001</v>
    <v>137.73349999999999</v>
    <v>137.72</v>
    <v>139.12639999999999</v>
    <v>139.36699999999999</v>
    <v>139.20779999999999</v>
    <v>139.81209999999999</v>
    <v>138.96780000000001</v>
    <v>137.83009999999999</v>
    <v>137.9221</v>
    <v>137.78319999999999</v>
    <v>136.69290000000001</v>
    <v>136.8603</v>
    <v>134.88249999999999</v>
    <v>135.83750000000001</v>
    <v>136.77860000000001</v>
    <v>136.83439999999999</v>
    <v>137.39699999999999</v>
    <v>137.34450000000001</v>
    <v>137.1634</v>
    <v>137.73070000000001</v>
    <v>137.60579999999999</v>
    <v>138.1918</v>
    <v>136.59010000000001</v>
    <v>136.61060000000001</v>
    <v>137.89420000000001</v>
    <v>137.73159999999999</v>
    <v>137.4496</v>
    <v>137.8417</v>
    <v>137.26949999999999</v>
    <v>136.3056</v>
    <v>137.36279999999999</v>
    <v>137.69</v>
    <v>138.42400000000001</v>
    <v>140.44820000000001</v>
    <v>141.17420000000001</v>
    <v>141.8553</v>
    <v>141.8948</v>
    <v>141.61279999999999</v>
    <v>142.73509999999999</v>
    <v>141.97749999999999</v>
    <v>140.3836</v>
    <v>141.09520000000001</v>
    <v>140.63999999999999</v>
    <v>141.5788</v>
    <v>142.5599</v>
    <v>141.49279999999999</v>
    <v>142.74709999999999</v>
    <v>143.04259999999999</v>
    <v>142.7381</v>
    <v>143.03919999999999</v>
    <v>143.3134</v>
    <v>143.8306</v>
    <v>143.41139999999999</v>
    <v>143.12520000000001</v>
    <v>143.07550000000001</v>
    <v>142.2868</v>
    <v>142.25200000000001</v>
    <v>141.9161</v>
    <v>142.35650000000001</v>
    <v>141.2765</v>
    <v>140.45910000000001</v>
    <v>142.52699999999999</v>
    <v>144.4325</v>
    <v>145.5479</v>
    <v>144.71039999999999</v>
    <v>143.2056</v>
    <v>142.28819999999999</v>
    <v>139.8305</v>
    <v>140.00110000000001</v>
    <v>140.35429999999999</v>
    <v>140.3535</v>
    <v>140.75110000000001</v>
    <v>142.07679999999999</v>
    <v>143.67910000000001</v>
    <v>143.80099999999999</v>
    <v>144.17750000000001</v>
    <v>-99999901</v>
    <v>144.32</v>
    <v>-99999901</v>
    <v>144.74</v>
    <v>145.32</v>
    <v>144.28</v>
    <v>144.34</v>
    <v>144.13999999999999</v>
    <v>145.1</v>
    <v>144.76</v>
    <v>145.69999999999999</v>
    <v>145.96</v>
    <v>145.74</v>
    <v>-99999901</v>
    <v>147.08000000000001</v>
  </a>
  <a r="1" c="23">
    <v>140.00110000000001</v>
    <v>140.35429999999999</v>
    <v>140.3535</v>
    <v>140.75110000000001</v>
    <v>142.07679999999999</v>
    <v>143.67910000000001</v>
    <v>143.80099999999999</v>
    <v>144.17750000000001</v>
    <v>-99999901</v>
    <v>144.32</v>
    <v>-99999901</v>
    <v>144.74</v>
    <v>145.32</v>
    <v>144.28</v>
    <v>144.34</v>
    <v>144.13999999999999</v>
    <v>145.1</v>
    <v>144.76</v>
    <v>145.69999999999999</v>
    <v>145.96</v>
    <v>145.74</v>
    <v>-99999901</v>
    <v>147.08000000000001</v>
  </a>
  <a r="1" c="254">
    <v>110.6037</v>
    <v>109.5055</v>
    <v>105.0236</v>
    <v>102.3126</v>
    <v>103.401</v>
    <v>103.37130000000001</v>
    <v>103.8561</v>
    <v>103.83629999999999</v>
    <v>102.7381</v>
    <v>102.2137</v>
    <v>102.2929</v>
    <v>100.977</v>
    <v>102.2137</v>
    <v>101.907</v>
    <v>100.512</v>
    <v>101.6893</v>
    <v>99.591800000000006</v>
    <v>101.2441</v>
    <v>104.1925</v>
    <v>106.83410000000001</v>
    <v>107.6553</v>
    <v>108.0808</v>
    <v>108.0412</v>
    <v>108.5557</v>
    <v>108.61499999999999</v>
    <v>107.60590000000001</v>
    <v>110.26730000000001</v>
    <v>108.0115</v>
    <v>106.2405</v>
    <v>108.9415</v>
    <v>106.11190000000001</v>
    <v>103.3317</v>
    <v>104.3211</v>
    <v>105.3797</v>
    <v>104.8653</v>
    <v>101.63</v>
    <v>102.0455</v>
    <v>102.5501</v>
    <v>100.6307</v>
    <v>101.8377</v>
    <v>102.23350000000001</v>
    <v>101.01649999999999</v>
    <v>99.453299999999999</v>
    <v>99.720399999999998</v>
    <v>97.266800000000003</v>
    <v>96.811599999999999</v>
    <v>99.928200000000004</v>
    <v>98.721199999999996</v>
    <v>97.3459</v>
    <v>97.7911</v>
    <v>96.099299999999999</v>
    <v>95.545199999999994</v>
    <v>97.890100000000004</v>
    <v>99.146600000000007</v>
    <v>98.879499999999993</v>
    <v>98.562899999999999</v>
    <v>96.396100000000004</v>
    <v>95.3078</v>
    <v>92.864000000000004</v>
    <v>94.397499999999994</v>
    <v>94.941699999999997</v>
    <v>94.4268</v>
    <v>95.948400000000007</v>
    <v>95.918599999999998</v>
    <v>94.307500000000005</v>
    <v>97.052300000000002</v>
    <v>96.584900000000005</v>
    <v>96.425799999999995</v>
    <v>96.306399999999996</v>
    <v>93.85</v>
    <v>94.685400000000001</v>
    <v>94.695300000000003</v>
    <v>96.077699999999993</v>
    <v>90.259900000000002</v>
    <v>92.04</v>
    <v>88.241100000000003</v>
    <v>85.0488</v>
    <v>90.498599999999996</v>
    <v>87.813500000000005</v>
    <v>88.7483</v>
    <v>89.474299999999999</v>
    <v>88.638900000000007</v>
    <v>86.799099999999996</v>
    <v>88.5792</v>
    <v>86.998000000000005</v>
    <v>90.140600000000006</v>
    <v>90.011300000000006</v>
    <v>91.642300000000006</v>
    <v>90.757199999999997</v>
    <v>90.906300000000002</v>
    <v>91.085300000000004</v>
    <v>91.582599999999999</v>
    <v>91.358800000000002</v>
    <v>93.143900000000002</v>
    <v>92.378200000000007</v>
    <v>90.448899999999995</v>
    <v>90.627899999999997</v>
    <v>92.209100000000007</v>
    <v>91.5428</v>
    <v>95.461100000000002</v>
    <v>95.610299999999995</v>
    <v>92.746099999999998</v>
    <v>93.531800000000004</v>
    <v>94.894199999999998</v>
    <v>93.999200000000002</v>
    <v>92.636700000000005</v>
    <v>90.051100000000005</v>
    <v>89.653300000000002</v>
    <v>89.245500000000007</v>
    <v>91.065399999999997</v>
    <v>88.559299999999993</v>
    <v>89.215699999999998</v>
    <v>88.986999999999995</v>
    <v>88.0124</v>
    <v>89.444400000000002</v>
    <v>91.314099999999996</v>
    <v>91.244500000000002</v>
    <v>90.170400000000001</v>
    <v>91.194699999999997</v>
    <v>93.6511</v>
    <v>91.970399999999998</v>
    <v>92.527299999999997</v>
    <v>89.812399999999997</v>
    <v>90.25</v>
    <v>87.71</v>
    <v>87.74</v>
    <v>89.635000000000005</v>
    <v>92.52</v>
    <v>93.24</v>
    <v>91.83</v>
    <v>92.26</v>
    <v>93.2</v>
    <v>93.17</v>
    <v>97.13</v>
    <v>98.07</v>
    <v>96.36</v>
    <v>95.1</v>
    <v>95.76</v>
    <v>99.21</v>
    <v>100.23</v>
    <v>98.75</v>
    <v>98.02</v>
    <v>94.18</v>
    <v>95.03</v>
    <v>95.69</v>
    <v>95.08</v>
    <v>94.81</v>
    <v>102.28</v>
    <v>102.04</v>
    <v>99.76</v>
    <v>100.43</v>
    <v>100.67</v>
    <v>100.67</v>
    <v>98.17</v>
    <v>97.41</v>
    <v>100.01</v>
    <v>102.04</v>
    <v>103.59</v>
    <v>102.97</v>
    <v>103.31</v>
    <v>103.86</v>
    <v>103.18</v>
    <v>106.46</v>
    <v>111.2</v>
    <v>109.48</v>
    <v>109.62</v>
    <v>109.09</v>
    <v>111.07</v>
    <v>108.11</v>
    <v>107.28</v>
    <v>112.92</v>
    <v>111.53</v>
    <v>110.88</v>
    <v>110.78</v>
    <v>110.7</v>
    <v>110.7</v>
    <v>110.18</v>
    <v>110.85</v>
    <v>114.17</v>
    <v>116.7</v>
    <v>117.14</v>
    <v>113.42</v>
    <v>112.8</v>
    <v>115.91</v>
    <v>113.68</v>
    <v>112.16</v>
    <v>111.6</v>
    <v>110.41</v>
    <v>110.69</v>
    <v>108.83</v>
    <v>106.67</v>
    <v>107.03</v>
    <v>107.13</v>
    <v>105.5</v>
    <v>106.93</v>
    <v>107.55</v>
    <v>107.25</v>
    <v>108.13</v>
    <v>108.26</v>
    <v>109.24</v>
    <v>107</v>
    <v>103.74</v>
    <v>103.79</v>
    <v>101.09</v>
    <v>99.84</v>
    <v>100.24</v>
    <v>103.39</v>
    <v>103.36</v>
    <v>102.78</v>
    <v>103.5</v>
    <v>103.88</v>
    <v>105.7</v>
    <v>103.82</v>
    <v>104.44</v>
    <v>103.97</v>
    <v>104.16</v>
    <v>103.75</v>
    <v>100.67</v>
    <v>100.235</v>
    <v>100.42</v>
    <v>98.7</v>
    <v>98.84</v>
    <v>98.284999999999997</v>
    <v>97.79</v>
    <v>98.68</v>
    <v>98.84</v>
    <v>99.73</v>
    <v>99.43</v>
    <v>97.79</v>
    <v>97.11</v>
    <v>94.09</v>
    <v>93.81</v>
    <v>93.82</v>
    <v>93.78</v>
    <v>98.46</v>
    <v>97.95</v>
    <v>102.59</v>
    <v>103.89</v>
    <v>103.91</v>
    <v>103.64</v>
    <v>103.46</v>
    <v>105.59</v>
    <v>103.34</v>
    <v>102.71</v>
    <v>100.59</v>
    <v>99.01</v>
    <v>102.17</v>
    <v>102.82</v>
    <v>102.53</v>
    <v>102.29</v>
    <v>101.04</v>
    <v>99.87</v>
    <v>99.89</v>
    <v>98.18</v>
  </a>
  <a r="1" c="22">
    <v>93.82</v>
    <v>93.78</v>
    <v>98.46</v>
    <v>97.95</v>
    <v>102.59</v>
    <v>103.89</v>
    <v>103.91</v>
    <v>103.64</v>
    <v>103.46</v>
    <v>105.59</v>
    <v>103.34</v>
    <v>102.71</v>
    <v>100.59</v>
    <v>99.01</v>
    <v>102.17</v>
    <v>102.82</v>
    <v>102.53</v>
    <v>102.29</v>
    <v>101.04</v>
    <v>99.87</v>
    <v>99.89</v>
    <v>98.18</v>
  </a>
  <a r="1" c="22">
    <v>126.26</v>
    <v>125.27</v>
    <v>124.7</v>
    <v>127.2</v>
    <v>126.79</v>
    <v>129.55000000000001</v>
    <v>132.43</v>
    <v>130</v>
    <v>133.93</v>
    <v>134.68</v>
    <v>132.28</v>
    <v>133</v>
    <v>133.91999999999999</v>
    <v>137.38999999999999</v>
    <v>134.46</v>
    <v>136.47</v>
    <v>136.5</v>
    <v>143.38999999999999</v>
    <v>146.11000000000001</v>
    <v>149.47999999999999</v>
    <v>153.96</v>
    <v>156.06</v>
  </a>
  <a r="1" c="254">
    <v>86.67</v>
    <v>86.01</v>
    <v>82.92</v>
    <v>83.43</v>
    <v>84.21</v>
    <v>85.21</v>
    <v>86.649199999999993</v>
    <v>84.95</v>
    <v>83.82</v>
    <v>82.725800000000007</v>
    <v>83.52</v>
    <v>83.75</v>
    <v>84.71</v>
    <v>84.43</v>
    <v>85.1</v>
    <v>85.09</v>
    <v>86.79</v>
    <v>86.21</v>
    <v>86.15</v>
    <v>88.4</v>
    <v>86.16</v>
    <v>87.21</v>
    <v>87.54</v>
    <v>90.27</v>
    <v>91.05</v>
    <v>90.28</v>
    <v>87.97</v>
    <v>87.37</v>
    <v>88.15</v>
    <v>90.67</v>
    <v>92.43</v>
    <v>92.52</v>
    <v>91.15</v>
    <v>90.99</v>
    <v>89.8</v>
    <v>88.85</v>
    <v>90.07</v>
    <v>89.92</v>
    <v>89.27</v>
    <v>91.22</v>
    <v>89.48</v>
    <v>90.16</v>
    <v>89.12</v>
    <v>89.6</v>
    <v>88.69</v>
    <v>85.87</v>
    <v>85.08</v>
    <v>84.9</v>
    <v>84.11</v>
    <v>84.5</v>
    <v>85.73</v>
    <v>86.59</v>
    <v>86.54</v>
    <v>86.3</v>
    <v>86.96</v>
    <v>85.7</v>
    <v>86.4</v>
    <v>86.95</v>
    <v>87.87</v>
    <v>88.25</v>
    <v>88.66</v>
    <v>88.62</v>
    <v>87.85</v>
    <v>87.06</v>
    <v>87.62</v>
    <v>87.12</v>
    <v>87.75</v>
    <v>88.75</v>
    <v>89.58</v>
    <v>88.92</v>
    <v>90.55</v>
    <v>90.3</v>
    <v>89.02</v>
    <v>84.84</v>
    <v>84.07</v>
    <v>83.02</v>
    <v>82.97</v>
    <v>84</v>
    <v>83.78</v>
    <v>83.93</v>
    <v>87.15</v>
    <v>88.77</v>
    <v>88.65</v>
    <v>87.38</v>
    <v>85.68</v>
    <v>85.12</v>
    <v>85.76</v>
    <v>86.69</v>
    <v>85.82</v>
    <v>86.74</v>
    <v>85.77</v>
    <v>86</v>
    <v>86.19</v>
    <v>86.83</v>
    <v>86.19</v>
    <v>88.92</v>
    <v>88.1</v>
    <v>88.91</v>
    <v>89.39</v>
    <v>86.2</v>
    <v>87.12</v>
    <v>86.96</v>
    <v>87.81</v>
    <v>87.69</v>
    <v>89.04</v>
    <v>92.97</v>
    <v>94.39</v>
    <v>92.08</v>
    <v>91.2</v>
    <v>89.51</v>
    <v>88.45</v>
    <v>89.19</v>
    <v>88.78</v>
    <v>90.68</v>
    <v>92.57</v>
    <v>91.66</v>
    <v>92.33</v>
    <v>95.66</v>
    <v>98.6</v>
    <v>97.08</v>
    <v>97.66</v>
    <v>96.99</v>
    <v>94.41</v>
    <v>94.36</v>
    <v>95.79</v>
    <v>95.48</v>
    <v>95.9</v>
    <v>98.19</v>
    <v>97.15</v>
    <v>97.64</v>
    <v>103.91</v>
    <v>103.53</v>
    <v>100.61</v>
    <v>101.16</v>
    <v>106.05</v>
    <v>104.04</v>
    <v>101.46</v>
    <v>101.2</v>
    <v>101.25</v>
    <v>104.9</v>
    <v>111.05</v>
    <v>109.11</v>
    <v>109.13</v>
    <v>112.88</v>
    <v>117.24</v>
    <v>114.22</v>
    <v>115.31</v>
    <v>116.95</v>
    <v>117.02</v>
    <v>112.87</v>
    <v>111.73</v>
    <v>112.47</v>
    <v>114.51</v>
    <v>108.42</v>
    <v>108.66</v>
    <v>110.11</v>
    <v>108.91</v>
    <v>107.39</v>
    <v>104.41</v>
    <v>105.66</v>
    <v>102.45</v>
    <v>104.71</v>
    <v>102.83</v>
    <v>103.55</v>
    <v>104.69</v>
    <v>101.93</v>
    <v>102.16</v>
    <v>101.13</v>
    <v>101.68</v>
    <v>101.3</v>
    <v>102.71</v>
    <v>100.22</v>
    <v>100.58</v>
    <v>99.79</v>
    <v>100.84</v>
    <v>101.17</v>
    <v>104.1</v>
    <v>104.64</v>
    <v>102.55</v>
    <v>101.69</v>
    <v>103.98</v>
    <v>103.89</v>
    <v>107.56</v>
    <v>108.71</v>
    <v>110.66</v>
    <v>109.36</v>
    <v>107.3</v>
    <v>105.26</v>
    <v>105.49</v>
    <v>104.85</v>
    <v>108.36</v>
    <v>111.79</v>
    <v>110.34</v>
    <v>115.03</v>
    <v>115.91</v>
    <v>115.35</v>
    <v>114.17</v>
    <v>114.15</v>
    <v>114.08</v>
    <v>115.68</v>
    <v>121.33</v>
    <v>122.96</v>
    <v>134.28</v>
    <v>129.43</v>
    <v>129.53</v>
    <v>134.88999999999999</v>
    <v>138.38999999999999</v>
    <v>140.86000000000001</v>
    <v>147.62</v>
    <v>132.62</v>
    <v>137.93</v>
    <v>128.44</v>
    <v>132.32</v>
    <v>131.74</v>
    <v>130.28</v>
    <v>127.42</v>
    <v>127.88</v>
    <v>127.91</v>
    <v>132.38</v>
    <v>131.66999999999999</v>
    <v>130.99</v>
    <v>127.08</v>
    <v>129.61000000000001</v>
    <v>125.44</v>
    <v>126.49</v>
    <v>129.88</v>
    <v>132.22</v>
    <v>134.28</v>
    <v>130.01</v>
    <v>127.9</v>
    <v>126.31</v>
    <v>128.05000000000001</v>
    <v>126.26</v>
    <v>125.27</v>
    <v>124.7</v>
    <v>127.2</v>
    <v>126.79</v>
    <v>129.55000000000001</v>
    <v>132.43</v>
    <v>130</v>
    <v>133.93</v>
    <v>134.68</v>
    <v>132.28</v>
    <v>133</v>
    <v>133.91999999999999</v>
    <v>137.38999999999999</v>
    <v>134.46</v>
    <v>136.47</v>
    <v>136.5</v>
    <v>143.38999999999999</v>
    <v>146.11000000000001</v>
    <v>149.47999999999999</v>
    <v>153.96</v>
    <v>156.06</v>
  </a>
  <a r="1" c="22">
    <v>39.11</v>
    <v>38.58</v>
    <v>38.72</v>
    <v>39.35</v>
    <v>39.6</v>
    <v>39.369999999999997</v>
    <v>39.53</v>
    <v>39.64</v>
    <v>39.49</v>
    <v>39.21</v>
    <v>39.31</v>
    <v>39.89</v>
    <v>39.47</v>
    <v>38.82</v>
    <v>39.090000000000003</v>
    <v>39.19</v>
    <v>39.08</v>
    <v>38.74</v>
    <v>37.96</v>
    <v>37.85</v>
    <v>38.21</v>
    <v>38.6</v>
  </a>
  <a r="1" c="254">
    <v>30.59</v>
    <v>30.67</v>
    <v>30.05</v>
    <v>30.24</v>
    <v>30.42</v>
    <v>30.7</v>
    <v>31.09</v>
    <v>31.12</v>
    <v>30.85</v>
    <v>30.49</v>
    <v>30.44</v>
    <v>29.89</v>
    <v>30.39</v>
    <v>29.99</v>
    <v>29.62</v>
    <v>29.51</v>
    <v>28.65</v>
    <v>28.79</v>
    <v>29.42</v>
    <v>29.82</v>
    <v>29.83</v>
    <v>30.41</v>
    <v>30.75</v>
    <v>30.53</v>
    <v>30.56</v>
    <v>31.32</v>
    <v>31.6</v>
    <v>31.96</v>
    <v>31.83</v>
    <v>32.590000000000003</v>
    <v>31.89</v>
    <v>31.72</v>
    <v>32.47</v>
    <v>31.93</v>
    <v>32.28</v>
    <v>32.729999999999997</v>
    <v>33.619999999999997</v>
    <v>33.340000000000003</v>
    <v>34.17</v>
    <v>34.159999999999997</v>
    <v>35.04</v>
    <v>35.299999999999997</v>
    <v>35.049999999999997</v>
    <v>35.729999999999997</v>
    <v>36.24</v>
    <v>35.03</v>
    <v>35.380000000000003</v>
    <v>36.44</v>
    <v>36.049999999999997</v>
    <v>35.229999999999997</v>
    <v>34.51</v>
    <v>35.04</v>
    <v>36.79</v>
    <v>36.97</v>
    <v>36.96</v>
    <v>35.97</v>
    <v>36.39</v>
    <v>36.35</v>
    <v>36.590000000000003</v>
    <v>37.659999999999997</v>
    <v>38.549999999999997</v>
    <v>38.49</v>
    <v>38.33</v>
    <v>37.229999999999997</v>
    <v>36.56</v>
    <v>36.67</v>
    <v>36.299999999999997</v>
    <v>36.270000000000003</v>
    <v>36.68</v>
    <v>35.840000000000003</v>
    <v>35.840000000000003</v>
    <v>35.76</v>
    <v>35.54</v>
    <v>35.22</v>
    <v>32.74</v>
    <v>30</v>
    <v>29.59</v>
    <v>31.68</v>
    <v>31.56</v>
    <v>32.94</v>
    <v>33.369999999999997</v>
    <v>33.18</v>
    <v>32.42</v>
    <v>32.4</v>
    <v>32.43</v>
    <v>33.46</v>
    <v>33.83</v>
    <v>34.11</v>
    <v>33.979999999999997</v>
    <v>34</v>
    <v>33.799999999999997</v>
    <v>33.86</v>
    <v>33.79</v>
    <v>34.909999999999997</v>
    <v>34.869999999999997</v>
    <v>35.270000000000003</v>
    <v>34.47</v>
    <v>35</v>
    <v>34.83</v>
    <v>36.04</v>
    <v>35.74</v>
    <v>36.31</v>
    <v>35.75</v>
    <v>35.64</v>
    <v>35.86</v>
    <v>36.26</v>
    <v>36.090000000000003</v>
    <v>35.909999999999997</v>
    <v>35.97</v>
    <v>35.6</v>
    <v>35.24</v>
    <v>35.619999999999997</v>
    <v>35</v>
    <v>35.35</v>
    <v>35.700000000000003</v>
    <v>36.369999999999997</v>
    <v>36.630000000000003</v>
    <v>36.590000000000003</v>
    <v>37.06</v>
    <v>37.22</v>
    <v>37.409999999999997</v>
    <v>37.26</v>
    <v>36.58</v>
    <v>36.67</v>
    <v>36.24</v>
    <v>35.75</v>
    <v>35.520000000000003</v>
    <v>36.08</v>
    <v>37.1</v>
    <v>37.06</v>
    <v>37.159999999999997</v>
    <v>36.81</v>
    <v>36.76</v>
    <v>36.83</v>
    <v>36.69</v>
    <v>36.270000000000003</v>
    <v>36.31</v>
    <v>36.69</v>
    <v>36.18</v>
    <v>36.520000000000003</v>
    <v>36.479999999999997</v>
    <v>36.909999999999997</v>
    <v>37.64</v>
    <v>37.47</v>
    <v>37.590000000000003</v>
    <v>38.06</v>
    <v>38.21</v>
    <v>38.74</v>
    <v>39.08</v>
    <v>38.9</v>
    <v>38.65</v>
    <v>38.479999999999997</v>
    <v>38.22</v>
    <v>37.78</v>
    <v>37.44</v>
    <v>36.83</v>
    <v>37.47</v>
    <v>37.64</v>
    <v>37.79</v>
    <v>37.74</v>
    <v>37.67</v>
    <v>37.33</v>
    <v>37.94</v>
    <v>39.090000000000003</v>
    <v>38.340000000000003</v>
    <v>38.340000000000003</v>
    <v>38.58</v>
    <v>38.22</v>
    <v>38.43</v>
    <v>38.369999999999997</v>
    <v>39.24</v>
    <v>39.14</v>
    <v>39.22</v>
    <v>38.22</v>
    <v>38.56</v>
    <v>38.909999999999997</v>
    <v>39.26</v>
    <v>38.909999999999997</v>
    <v>38.33</v>
    <v>38.9</v>
    <v>39.44</v>
    <v>39.97</v>
    <v>39.72</v>
    <v>40.74</v>
    <v>40.49</v>
    <v>40.78</v>
    <v>41.05</v>
    <v>41.62</v>
    <v>41.08</v>
    <v>40.93</v>
    <v>40.65</v>
    <v>40.1</v>
    <v>40.57</v>
    <v>40.67</v>
    <v>40.33</v>
    <v>40.98</v>
    <v>41.14</v>
    <v>41.38</v>
    <v>41.75</v>
    <v>41.42</v>
    <v>41.4</v>
    <v>40.93</v>
    <v>41.05</v>
    <v>40.51</v>
    <v>38.33</v>
    <v>39.53</v>
    <v>39.4</v>
    <v>39.799999999999997</v>
    <v>39.99</v>
    <v>40</v>
    <v>40.49</v>
    <v>39.94</v>
    <v>39.74</v>
    <v>40.409999999999997</v>
    <v>40.549999999999997</v>
    <v>41.08</v>
    <v>40.86</v>
    <v>40.97</v>
    <v>40.15</v>
    <v>39.71</v>
    <v>39.83</v>
    <v>39.369999999999997</v>
    <v>39.770000000000003</v>
    <v>40.14</v>
    <v>39.94</v>
    <v>40.76</v>
    <v>40.76</v>
    <v>40.909999999999997</v>
    <v>40.65</v>
    <v>40.119999999999997</v>
    <v>39.67</v>
    <v>39.51</v>
    <v>39.11</v>
    <v>38.58</v>
    <v>38.72</v>
    <v>39.35</v>
    <v>39.6</v>
    <v>39.369999999999997</v>
    <v>39.53</v>
    <v>39.64</v>
    <v>39.49</v>
    <v>39.21</v>
    <v>39.31</v>
    <v>39.89</v>
    <v>39.47</v>
    <v>38.82</v>
    <v>39.090000000000003</v>
    <v>39.19</v>
    <v>39.08</v>
    <v>38.74</v>
    <v>37.96</v>
    <v>37.85</v>
    <v>38.21</v>
    <v>38.6</v>
  </a>
  <a r="1" c="22">
    <v>42.615299999999998</v>
    <v>42.034999999999997</v>
    <v>42.552399999999999</v>
    <v>42.595100000000002</v>
    <v>43.31</v>
    <v>43.744999999999997</v>
    <v>44.014099999999999</v>
    <v>43.515000000000001</v>
    <v>43.87</v>
    <v>44.11</v>
    <v>44.219000000000001</v>
    <v>44.490400000000001</v>
    <v>44.4</v>
    <v>44.59</v>
    <v>45.005000000000003</v>
    <v>45.56</v>
    <v>45.25</v>
    <v>45.22</v>
    <v>45.085000000000001</v>
    <v>44.6511</v>
    <v>44.96</v>
    <v>45.16</v>
  </a>
  <a r="1" c="254">
    <v>34.700600000000001</v>
    <v>34.466000000000001</v>
    <v>33.686999999999998</v>
    <v>33.630000000000003</v>
    <v>33.68</v>
    <v>33.549999999999997</v>
    <v>33.9</v>
    <v>34.119999999999997</v>
    <v>33.69</v>
    <v>33.450000000000003</v>
    <v>33.319000000000003</v>
    <v>33.130000000000003</v>
    <v>33.22</v>
    <v>33.909999999999997</v>
    <v>34.06</v>
    <v>34.049999999999997</v>
    <v>33.57</v>
    <v>33.47</v>
    <v>33.97</v>
    <v>34.53</v>
    <v>34.6</v>
    <v>34.79</v>
    <v>35.82</v>
    <v>35.929900000000004</v>
    <v>36.39</v>
    <v>36.409999999999997</v>
    <v>36.408799999999999</v>
    <v>36.31</v>
    <v>36.47</v>
    <v>36.58</v>
    <v>36.299999999999997</v>
    <v>35.712800000000001</v>
    <v>36.07</v>
    <v>36.51</v>
    <v>36.93</v>
    <v>36.46</v>
    <v>36.770000000000003</v>
    <v>37.15</v>
    <v>37.619999999999997</v>
    <v>38.215000000000003</v>
    <v>38.35</v>
    <v>38.799999999999997</v>
    <v>37.963900000000002</v>
    <v>38.049999999999997</v>
    <v>37.64</v>
    <v>37.880000000000003</v>
    <v>38.47</v>
    <v>38.46</v>
    <v>37.78</v>
    <v>37.979999999999997</v>
    <v>39.17</v>
    <v>39.08</v>
    <v>40.72</v>
    <v>40.64</v>
    <v>40.89</v>
    <v>39.700000000000003</v>
    <v>39.75</v>
    <v>40.06</v>
    <v>39.61</v>
    <v>40.74</v>
    <v>41.19</v>
    <v>41.49</v>
    <v>41.24</v>
    <v>40.450000000000003</v>
    <v>40.17</v>
    <v>40.1</v>
    <v>40.49</v>
    <v>39.630000000000003</v>
    <v>39.65</v>
    <v>39.42</v>
    <v>39.1</v>
    <v>39.409999999999997</v>
    <v>39.380000000000003</v>
    <v>38.619999999999997</v>
    <v>36.06</v>
    <v>35.21</v>
    <v>34.840000000000003</v>
    <v>37.94</v>
    <v>37.57</v>
    <v>38.07</v>
    <v>38.590000000000003</v>
    <v>38.86</v>
    <v>38.979999999999997</v>
    <v>39.1</v>
    <v>38.76</v>
    <v>39.729999999999997</v>
    <v>40.33</v>
    <v>40.909999999999997</v>
    <v>41.19</v>
    <v>41.36</v>
    <v>41.55</v>
    <v>41.51</v>
    <v>41.46</v>
    <v>42.33</v>
    <v>42.81</v>
    <v>42.72</v>
    <v>42.35</v>
    <v>42.52</v>
    <v>42.825000000000003</v>
    <v>42.38</v>
    <v>42.65</v>
    <v>42.42</v>
    <v>42.92</v>
    <v>42.89</v>
    <v>43.69</v>
    <v>43.84</v>
    <v>43.814999999999998</v>
    <v>43.84</v>
    <v>43.3</v>
    <v>44.45</v>
    <v>43.93</v>
    <v>44</v>
    <v>44.11</v>
    <v>44.56</v>
    <v>44.29</v>
    <v>44.72</v>
    <v>44.76</v>
    <v>44.74</v>
    <v>44.52</v>
    <v>44.29</v>
    <v>44.2</v>
    <v>44.42</v>
    <v>43.67</v>
    <v>43.94</v>
    <v>43.18</v>
    <v>43.14</v>
    <v>43.26</v>
    <v>43.79</v>
    <v>44.46</v>
    <v>44.2</v>
    <v>44.84</v>
    <v>44.83</v>
    <v>44.93</v>
    <v>44.51</v>
    <v>44.77</v>
    <v>44.78</v>
    <v>44.78</v>
    <v>45.33</v>
    <v>45.98</v>
    <v>45.6</v>
    <v>45.11</v>
    <v>45.03</v>
    <v>44.44</v>
    <v>44.83</v>
    <v>45.11</v>
    <v>44.83</v>
    <v>45.16</v>
    <v>45.06</v>
    <v>45.98</v>
    <v>45.42</v>
    <v>45.45</v>
    <v>44.24</v>
    <v>44.5</v>
    <v>44.14</v>
    <v>43.66</v>
    <v>43.16</v>
    <v>43.79</v>
    <v>43.98</v>
    <v>44.42</v>
    <v>44.91</v>
    <v>44.9</v>
    <v>44.49</v>
    <v>44.86</v>
    <v>45.104999999999997</v>
    <v>45.3048</v>
    <v>45.38</v>
    <v>45.25</v>
    <v>45.17</v>
    <v>45.06</v>
    <v>44.82</v>
    <v>45.43</v>
    <v>44.83</v>
    <v>44.91</v>
    <v>44.34</v>
    <v>44.69</v>
    <v>44.57</v>
    <v>43.750100000000003</v>
    <v>43.83</v>
    <v>44.23</v>
    <v>44.099600000000002</v>
    <v>44.59</v>
    <v>44.33</v>
    <v>43.96</v>
    <v>44.39</v>
    <v>44.26</v>
    <v>44.449599999999997</v>
    <v>44.151600000000002</v>
    <v>44</v>
    <v>44.43</v>
    <v>44.21</v>
    <v>44.28</v>
    <v>44.26</v>
    <v>44.210700000000003</v>
    <v>43.71</v>
    <v>44.24</v>
    <v>44.39</v>
    <v>44.75</v>
    <v>45.25</v>
    <v>45.65</v>
    <v>45.57</v>
    <v>45.58</v>
    <v>45.195500000000003</v>
    <v>45.550899999999999</v>
    <v>45.288899999999998</v>
    <v>44.667499999999997</v>
    <v>44.9694</v>
    <v>44.86</v>
    <v>44.72</v>
    <v>44.8</v>
    <v>44.49</v>
    <v>45.05</v>
    <v>44.889299999999999</v>
    <v>44.57</v>
    <v>44.715000000000003</v>
    <v>44.765900000000002</v>
    <v>44.981000000000002</v>
    <v>44.890700000000002</v>
    <v>44.52</v>
    <v>44.2819</v>
    <v>43.96</v>
    <v>44.213700000000003</v>
    <v>43.59</v>
    <v>44.015000000000001</v>
    <v>43.5794</v>
    <v>43.707000000000001</v>
    <v>44.3</v>
    <v>44.545000000000002</v>
    <v>45.09</v>
    <v>44.531700000000001</v>
    <v>44.1</v>
    <v>43.21</v>
    <v>42.67</v>
    <v>42.615299999999998</v>
    <v>42.034999999999997</v>
    <v>42.552399999999999</v>
    <v>42.595100000000002</v>
    <v>43.31</v>
    <v>43.744999999999997</v>
    <v>44.014099999999999</v>
    <v>43.515000000000001</v>
    <v>43.87</v>
    <v>44.11</v>
    <v>44.219000000000001</v>
    <v>44.490400000000001</v>
    <v>44.4</v>
    <v>44.59</v>
    <v>45.005000000000003</v>
    <v>45.56</v>
    <v>45.25</v>
    <v>45.22</v>
    <v>45.085000000000001</v>
    <v>44.6511</v>
    <v>44.96</v>
    <v>45.16</v>
  </a>
  <a r="1" c="22">
    <v>16.68</v>
    <v>16.53</v>
    <v>16.690000000000001</v>
    <v>17.079999999999998</v>
    <v>17.010200000000001</v>
    <v>17.13</v>
    <v>17.010000000000002</v>
    <v>17.100000000000001</v>
    <v>17.239999999999998</v>
    <v>17.14</v>
    <v>17.12</v>
    <v>17.100000000000001</v>
    <v>17.25</v>
    <v>17.11</v>
    <v>17.29</v>
    <v>17.149999999999999</v>
    <v>17.18</v>
    <v>17.14</v>
    <v>17.3</v>
    <v>17.170000000000002</v>
    <v>17.2</v>
    <v>17.21</v>
  </a>
  <a r="1" c="254">
    <v>16.13</v>
    <v>15.86</v>
    <v>15.34</v>
    <v>14.84</v>
    <v>15.09</v>
    <v>14.94</v>
    <v>14.865</v>
    <v>14.93</v>
    <v>14.77</v>
    <v>14.87</v>
    <v>14.8</v>
    <v>15.04</v>
    <v>15.18</v>
    <v>14.9816</v>
    <v>14.95</v>
    <v>14.91</v>
    <v>14.82</v>
    <v>14.7</v>
    <v>14.61</v>
    <v>14.81</v>
    <v>14.77</v>
    <v>14.84</v>
    <v>15.06</v>
    <v>15.2</v>
    <v>15.21</v>
    <v>15.07</v>
    <v>15.06</v>
    <v>14.95</v>
    <v>14.9</v>
    <v>14.7</v>
    <v>14.57</v>
    <v>14.38</v>
    <v>14.62</v>
    <v>14.56</v>
    <v>14.13</v>
    <v>13.58</v>
    <v>13.59</v>
    <v>13.4</v>
    <v>13.59</v>
    <v>13.67</v>
    <v>13.78</v>
    <v>14.11</v>
    <v>13.93</v>
    <v>13.96</v>
    <v>13.845599999999999</v>
    <v>13.71</v>
    <v>13.35</v>
    <v>13.287000000000001</v>
    <v>12.86</v>
    <v>12.49</v>
    <v>13.04</v>
    <v>12.78</v>
    <v>13.21</v>
    <v>13.33</v>
    <v>13.46</v>
    <v>13.0701</v>
    <v>12.84</v>
    <v>13.11</v>
    <v>12.9961</v>
    <v>12.91</v>
    <v>13.0047</v>
    <v>12.26</v>
    <v>12.41</v>
    <v>12.4832</v>
    <v>12.34</v>
    <v>12</v>
    <v>12.09</v>
    <v>12.5</v>
    <v>12.64</v>
    <v>12.53</v>
    <v>12.49</v>
    <v>12.54</v>
    <v>12.47</v>
    <v>12.2948</v>
    <v>11.62</v>
    <v>11.645</v>
    <v>11.03</v>
    <v>11.9</v>
    <v>11.84</v>
    <v>12.19</v>
    <v>12.47</v>
    <v>12.46</v>
    <v>12.356</v>
    <v>12.54</v>
    <v>12.4712</v>
    <v>12.78</v>
    <v>12.9354</v>
    <v>13.08</v>
    <v>13.03</v>
    <v>13.17</v>
    <v>13.29</v>
    <v>13.4</v>
    <v>13.5</v>
    <v>13.76</v>
    <v>13.87</v>
    <v>14.04</v>
    <v>13.92</v>
    <v>13.75</v>
    <v>13.74</v>
    <v>13.824999999999999</v>
    <v>13.89</v>
    <v>14.12</v>
    <v>14.36</v>
    <v>14.36</v>
    <v>14.56</v>
    <v>14.41</v>
    <v>14.58</v>
    <v>14.66</v>
    <v>14.91</v>
    <v>14.855</v>
    <v>14.74</v>
    <v>14.76</v>
    <v>14.65</v>
    <v>14.62</v>
    <v>14.53</v>
    <v>14.61</v>
    <v>14.79</v>
    <v>14.785</v>
    <v>14.8591</v>
    <v>15.15</v>
    <v>15.138199999999999</v>
    <v>15.18</v>
    <v>14.95</v>
    <v>14.885</v>
    <v>14.88</v>
    <v>14.73</v>
    <v>14.25</v>
    <v>14.04</v>
    <v>14.26</v>
    <v>14.164899999999999</v>
    <v>14.47</v>
    <v>14.382999999999999</v>
    <v>14.545</v>
    <v>14.47</v>
    <v>14.47</v>
    <v>14.5</v>
    <v>14.39</v>
    <v>14.433999999999999</v>
    <v>14.57</v>
    <v>14.723699999999999</v>
    <v>14.82</v>
    <v>14.984999999999999</v>
    <v>15.15</v>
    <v>15.16</v>
    <v>15.23</v>
    <v>15.29</v>
    <v>15.36</v>
    <v>15.265499999999999</v>
    <v>15.31</v>
    <v>15.28</v>
    <v>15.24</v>
    <v>15.36</v>
    <v>15.44</v>
    <v>15.31</v>
    <v>15.05</v>
    <v>15.29</v>
    <v>15.09</v>
    <v>15.11</v>
    <v>15.17</v>
    <v>15.31</v>
    <v>15.63</v>
    <v>15.76</v>
    <v>16.22</v>
    <v>16.52</v>
    <v>16.3932</v>
    <v>16.190000000000001</v>
    <v>16.190000000000001</v>
    <v>16.100000000000001</v>
    <v>16.335000000000001</v>
    <v>16.04</v>
    <v>16.170000000000002</v>
    <v>16.245000000000001</v>
    <v>16.148700000000002</v>
    <v>16.21</v>
    <v>16.1051</v>
    <v>15.89</v>
    <v>15.73</v>
    <v>15.89</v>
    <v>15.875</v>
    <v>15.9993</v>
    <v>15.7402</v>
    <v>15.42</v>
    <v>15.54</v>
    <v>15.72</v>
    <v>15.96</v>
    <v>16.14</v>
    <v>16.05</v>
    <v>16.190000000000001</v>
    <v>16.04</v>
    <v>16.079699999999999</v>
    <v>16.064800000000002</v>
    <v>16.068100000000001</v>
    <v>16.03</v>
    <v>15.7996</v>
    <v>16.14</v>
    <v>16.233499999999999</v>
    <v>16.100000000000001</v>
    <v>16</v>
    <v>15.984999999999999</v>
    <v>16.13</v>
    <v>16.16</v>
    <v>16.16</v>
    <v>16.22</v>
    <v>16.37</v>
    <v>16.149999999999999</v>
    <v>16.41</v>
    <v>16.079999999999998</v>
    <v>16.03</v>
    <v>16.195699999999999</v>
    <v>15.89</v>
    <v>16.3</v>
    <v>16.409800000000001</v>
    <v>16.22</v>
    <v>16.53</v>
    <v>16.524999999999999</v>
    <v>16.170000000000002</v>
    <v>16.149999999999999</v>
    <v>16.305299999999999</v>
    <v>16.309999999999999</v>
    <v>16.260000000000002</v>
    <v>16.510000000000002</v>
    <v>16.325299999999999</v>
    <v>16.649999999999999</v>
    <v>16.622</v>
    <v>16.750699999999998</v>
    <v>16.8002</v>
    <v>16.740200000000002</v>
    <v>16.670000000000002</v>
    <v>16.52</v>
    <v>16.64</v>
    <v>16.59</v>
    <v>16.579999999999998</v>
    <v>16.68</v>
    <v>16.53</v>
    <v>16.690000000000001</v>
    <v>17.079999999999998</v>
    <v>17.010200000000001</v>
    <v>17.13</v>
    <v>17.010000000000002</v>
    <v>17.100000000000001</v>
    <v>17.239999999999998</v>
    <v>17.14</v>
    <v>17.12</v>
    <v>17.100000000000001</v>
    <v>17.25</v>
    <v>17.11</v>
    <v>17.29</v>
    <v>17.149999999999999</v>
    <v>17.18</v>
    <v>17.14</v>
    <v>17.3</v>
    <v>17.170000000000002</v>
    <v>17.2</v>
    <v>17.21</v>
  </a>
  <a r="1" c="22">
    <v>61.33</v>
    <v>60.46</v>
    <v>61.06</v>
    <v>60.98</v>
    <v>61.97</v>
    <v>62.73</v>
    <v>63.08</v>
    <v>62.98</v>
    <v>63.48</v>
    <v>63.88</v>
    <v>63.83</v>
    <v>63.84</v>
    <v>63.8</v>
    <v>63.62</v>
    <v>64.28</v>
    <v>64.95</v>
    <v>64.44</v>
    <v>64.73</v>
    <v>64.540000000000006</v>
    <v>63.8</v>
    <v>64.290000000000006</v>
    <v>64.62</v>
  </a>
  <a r="1" c="254">
    <v>49.63</v>
    <v>49.64</v>
    <v>48.38</v>
    <v>48.26</v>
    <v>48.28</v>
    <v>48.4</v>
    <v>48.57</v>
    <v>48.78</v>
    <v>48.58</v>
    <v>48.18</v>
    <v>48.15</v>
    <v>47.66</v>
    <v>47.94</v>
    <v>49.17</v>
    <v>49.32</v>
    <v>49.1</v>
    <v>48.69</v>
    <v>48.5</v>
    <v>48.96</v>
    <v>49.46</v>
    <v>50.22</v>
    <v>50.43</v>
    <v>51.56</v>
    <v>51.67</v>
    <v>52.07</v>
    <v>52.16</v>
    <v>52.24</v>
    <v>51.92</v>
    <v>52.04</v>
    <v>52.59</v>
    <v>52.12</v>
    <v>51.16</v>
    <v>52.26</v>
    <v>52.57</v>
    <v>53.01</v>
    <v>52.45</v>
    <v>52.91</v>
    <v>53.46</v>
    <v>54.14</v>
    <v>54.66</v>
    <v>55.03</v>
    <v>55.33</v>
    <v>54.43</v>
    <v>54.8</v>
    <v>54.45</v>
    <v>54.31</v>
    <v>54.87</v>
    <v>55.03</v>
    <v>53.85</v>
    <v>54.06</v>
    <v>55.12</v>
    <v>55.28</v>
    <v>57.05</v>
    <v>56.55</v>
    <v>57.25</v>
    <v>55.7</v>
    <v>55.79</v>
    <v>55.8</v>
    <v>55.16</v>
    <v>56.48</v>
    <v>57.13</v>
    <v>57.35</v>
    <v>57.45</v>
    <v>56.56</v>
    <v>56.01</v>
    <v>55.87</v>
    <v>56.41</v>
    <v>55.32</v>
    <v>55.28</v>
    <v>55.01</v>
    <v>54.41</v>
    <v>54.62</v>
    <v>54.91</v>
    <v>53.58</v>
    <v>50.27</v>
    <v>48.89</v>
    <v>48.22</v>
    <v>52.59</v>
    <v>51.76</v>
    <v>52.75</v>
    <v>53.11</v>
    <v>53.46</v>
    <v>53.3</v>
    <v>53.77</v>
    <v>53.13</v>
    <v>54.58</v>
    <v>55.27</v>
    <v>56.06</v>
    <v>56.43</v>
    <v>56.69</v>
    <v>56.51</v>
    <v>56.25</v>
    <v>56.3</v>
    <v>57.41</v>
    <v>57.54</v>
    <v>57.47</v>
    <v>57.21</v>
    <v>57.25</v>
    <v>57.75</v>
    <v>58.02</v>
    <v>58.5</v>
    <v>58.36</v>
    <v>58.63</v>
    <v>58.8</v>
    <v>59.47</v>
    <v>59.73</v>
    <v>59.49</v>
    <v>59.46</v>
    <v>58.8</v>
    <v>59.77</v>
    <v>59.05</v>
    <v>59.32</v>
    <v>59.19</v>
    <v>59.93</v>
    <v>59.54</v>
    <v>59.93</v>
    <v>59.93</v>
    <v>60.14</v>
    <v>60.06</v>
    <v>60.16</v>
    <v>60.08</v>
    <v>60.41</v>
    <v>59.2</v>
    <v>59.78</v>
    <v>58.8</v>
    <v>58.72</v>
    <v>58.5</v>
    <v>58.01</v>
    <v>58.94</v>
    <v>58.48</v>
    <v>58.84</v>
    <v>59.49</v>
    <v>59.73</v>
    <v>59.5</v>
    <v>60.03</v>
    <v>59.92</v>
    <v>59.61</v>
    <v>60.29</v>
    <v>61.24</v>
    <v>60.82</v>
    <v>60.08</v>
    <v>60.04</v>
    <v>59.29</v>
    <v>59.45</v>
    <v>59.63</v>
    <v>59.24</v>
    <v>59.45</v>
    <v>59.44</v>
    <v>60.85</v>
    <v>60.05</v>
    <v>60.31</v>
    <v>59.14</v>
    <v>59.28</v>
    <v>58.85</v>
    <v>57.87</v>
    <v>57.15</v>
    <v>57.89</v>
    <v>58.03</v>
    <v>58.51</v>
    <v>59.31</v>
    <v>59.55</v>
    <v>59.08</v>
    <v>59.66</v>
    <v>60.3</v>
    <v>60.55</v>
    <v>60.96</v>
    <v>60.6</v>
    <v>60.77</v>
    <v>60.91</v>
    <v>60.43</v>
    <v>61.37</v>
    <v>60.21</v>
    <v>59.96</v>
    <v>59.87</v>
    <v>60.19</v>
    <v>59.8</v>
    <v>59.13</v>
    <v>59.31</v>
    <v>59.53</v>
    <v>59.6</v>
    <v>60.16</v>
    <v>60.13</v>
    <v>59.82</v>
    <v>60.45</v>
    <v>60.43</v>
    <v>61.11</v>
    <v>60.97</v>
    <v>60.6</v>
    <v>61.38</v>
    <v>61.29</v>
    <v>61.29</v>
    <v>61.47</v>
    <v>61.14</v>
    <v>60.65</v>
    <v>61.51</v>
    <v>61.74</v>
    <v>62.12</v>
    <v>62.88</v>
    <v>63.32</v>
    <v>63.46</v>
    <v>63.12</v>
    <v>62.43</v>
    <v>62.84</v>
    <v>62.18</v>
    <v>61.09</v>
    <v>61.63</v>
    <v>62.02</v>
    <v>62.18</v>
    <v>62.74</v>
    <v>62.92</v>
    <v>63.4</v>
    <v>62.9</v>
    <v>62.54</v>
    <v>62.97</v>
    <v>63</v>
    <v>63.57</v>
    <v>63.49</v>
    <v>63.31</v>
    <v>62.83</v>
    <v>62.48</v>
    <v>62.54</v>
    <v>61.86</v>
    <v>62.39</v>
    <v>61.94</v>
    <v>62.17</v>
    <v>62.99</v>
    <v>63.6</v>
    <v>64.209999999999994</v>
    <v>63.72</v>
    <v>63.21</v>
    <v>62.21</v>
    <v>61.44</v>
    <v>61.33</v>
    <v>60.46</v>
    <v>61.06</v>
    <v>60.98</v>
    <v>61.97</v>
    <v>62.73</v>
    <v>63.08</v>
    <v>62.98</v>
    <v>63.48</v>
    <v>63.88</v>
    <v>63.83</v>
    <v>63.84</v>
    <v>63.8</v>
    <v>63.62</v>
    <v>64.28</v>
    <v>64.95</v>
    <v>64.44</v>
    <v>64.73</v>
    <v>64.540000000000006</v>
    <v>63.8</v>
    <v>64.290000000000006</v>
    <v>64.62</v>
  </a>
  <a r="1" c="22">
    <v>80.680000000000007</v>
    <v>79.489999999999995</v>
    <v>81.19</v>
    <v>81.739999999999995</v>
    <v>81.92</v>
    <v>83.26</v>
    <v>83.01</v>
    <v>82.53</v>
    <v>82.47</v>
    <v>82.61</v>
    <v>83.62</v>
    <v>83.7</v>
    <v>83.19</v>
    <v>83.31</v>
    <v>83.91</v>
    <v>84.22</v>
    <v>84</v>
    <v>84.87</v>
    <v>80.849999999999994</v>
    <v>79.739999999999995</v>
    <v>79.97</v>
    <v>80.58</v>
  </a>
  <a r="1" c="254">
    <v>69.180000000000007</v>
    <v>67.88</v>
    <v>66.180000000000007</v>
    <v>66.39</v>
    <v>66.209999999999994</v>
    <v>66.489999999999995</v>
    <v>66.45</v>
    <v>67.22</v>
    <v>67.73</v>
    <v>67.16</v>
    <v>67.099999999999994</v>
    <v>67.010000000000005</v>
    <v>67.28</v>
    <v>67.430000000000007</v>
    <v>67.27</v>
    <v>67.099999999999994</v>
    <v>65.239999999999995</v>
    <v>65.42</v>
    <v>65.290000000000006</v>
    <v>66.27</v>
    <v>65.849999999999994</v>
    <v>66.180000000000007</v>
    <v>67.33</v>
    <v>67.25</v>
    <v>67.819999999999993</v>
    <v>68.48</v>
    <v>67.739999999999995</v>
    <v>68.31</v>
    <v>68.099999999999994</v>
    <v>69.12</v>
    <v>68.31</v>
    <v>67.66</v>
    <v>68.27</v>
    <v>69.12</v>
    <v>69.400000000000006</v>
    <v>68.48</v>
    <v>68.75</v>
    <v>68.739999999999995</v>
    <v>68.02</v>
    <v>69.260000000000005</v>
    <v>69.37</v>
    <v>70.099999999999994</v>
    <v>69.62</v>
    <v>69.709999999999994</v>
    <v>69.09</v>
    <v>68.78</v>
    <v>69.47</v>
    <v>69.510000000000005</v>
    <v>69</v>
    <v>68.47</v>
    <v>69.209999999999994</v>
    <v>68.64</v>
    <v>70.150000000000006</v>
    <v>69.61</v>
    <v>70.17</v>
    <v>68.680000000000007</v>
    <v>68.260000000000005</v>
    <v>69.52</v>
    <v>69.260000000000005</v>
    <v>70.349999999999994</v>
    <v>71.09</v>
    <v>70.89</v>
    <v>71.7</v>
    <v>71.319999999999993</v>
    <v>71.33</v>
    <v>71.17</v>
    <v>71.680000000000007</v>
    <v>70.75</v>
    <v>70.650000000000006</v>
    <v>69.22</v>
    <v>68.56</v>
    <v>68.2</v>
    <v>68.22</v>
    <v>65.41</v>
    <v>61.51</v>
    <v>61.32</v>
    <v>61.65</v>
    <v>66.34</v>
    <v>64.22</v>
    <v>65.819999999999993</v>
    <v>66.900000000000006</v>
    <v>67.44</v>
    <v>66.78</v>
    <v>68.069999999999993</v>
    <v>67.92</v>
    <v>69.27</v>
    <v>69.48</v>
    <v>70.28</v>
    <v>70.77</v>
    <v>71.739999999999995</v>
    <v>72.02</v>
    <v>71.430000000000007</v>
    <v>71.17</v>
    <v>71.89</v>
    <v>72.39</v>
    <v>72.430000000000007</v>
    <v>71.98</v>
    <v>71.83</v>
    <v>72.010000000000005</v>
    <v>72.8</v>
    <v>72.25</v>
    <v>71.45</v>
    <v>72.3</v>
    <v>72.489999999999995</v>
    <v>72.569999999999993</v>
    <v>72.989999999999995</v>
    <v>72.31</v>
    <v>72.37</v>
    <v>73.03</v>
    <v>74.95</v>
    <v>73.61</v>
    <v>74.03</v>
    <v>74.12</v>
    <v>75.040000000000006</v>
    <v>74.13</v>
    <v>74.08</v>
    <v>73.39</v>
    <v>73.819999999999993</v>
    <v>73.930000000000007</v>
    <v>73.88</v>
    <v>73.67</v>
    <v>74.209999999999994</v>
    <v>73.599999999999994</v>
    <v>73.150000000000006</v>
    <v>72.28</v>
    <v>73.05</v>
    <v>71.760000000000005</v>
    <v>72.02</v>
    <v>72.739999999999995</v>
    <v>72.44</v>
    <v>73.97</v>
    <v>75.28</v>
    <v>74.97</v>
    <v>74.42</v>
    <v>74.459999999999994</v>
    <v>74.599999999999994</v>
    <v>72.819999999999993</v>
    <v>73.19</v>
    <v>73.3</v>
    <v>72.94</v>
    <v>72.36</v>
    <v>72.41</v>
    <v>71.69</v>
    <v>72.02</v>
    <v>72.39</v>
    <v>71.81</v>
    <v>72.61</v>
    <v>72.98</v>
    <v>76.489999999999995</v>
    <v>76.55</v>
    <v>75.680000000000007</v>
    <v>74.27</v>
    <v>73.88</v>
    <v>73.98</v>
    <v>73.62</v>
    <v>74.069999999999993</v>
    <v>75.290000000000006</v>
    <v>75.03</v>
    <v>76.03</v>
    <v>76.62</v>
    <v>77.930000000000007</v>
    <v>77.790000000000006</v>
    <v>79.23</v>
    <v>79.27</v>
    <v>78.8</v>
    <v>80.150000000000006</v>
    <v>80.3</v>
    <v>80.02</v>
    <v>79.64</v>
    <v>78.7</v>
    <v>80.02</v>
    <v>79.05</v>
    <v>78.92</v>
    <v>78.63</v>
    <v>79.290000000000006</v>
    <v>78.28</v>
    <v>78.150000000000006</v>
    <v>77.930000000000007</v>
    <v>78.73</v>
    <v>79.180000000000007</v>
    <v>80.959999999999994</v>
    <v>80.06</v>
    <v>80.36</v>
    <v>81.319999999999993</v>
    <v>80.760000000000005</v>
    <v>81.349999999999994</v>
    <v>81.349999999999994</v>
    <v>81.17</v>
    <v>81.489999999999995</v>
    <v>80.790000000000006</v>
    <v>81.25</v>
    <v>81.09</v>
    <v>80.849999999999994</v>
    <v>80.459999999999994</v>
    <v>80.44</v>
    <v>80.510000000000005</v>
    <v>80.209999999999994</v>
    <v>80.209999999999994</v>
    <v>80.150000000000006</v>
    <v>81.78</v>
    <v>83.27</v>
    <v>81.96</v>
    <v>81.75</v>
    <v>81.55</v>
    <v>78.36</v>
    <v>79.290000000000006</v>
    <v>80.040000000000006</v>
    <v>81.290000000000006</v>
    <v>81.55</v>
    <v>82</v>
    <v>83.54</v>
    <v>82.57</v>
    <v>82.18</v>
    <v>82.22</v>
    <v>82.5</v>
    <v>83.53</v>
    <v>83.93</v>
    <v>83.23</v>
    <v>83.21</v>
    <v>83.45</v>
    <v>83.64</v>
    <v>82.83</v>
    <v>82.8</v>
    <v>82.96</v>
    <v>83.29</v>
    <v>83.68</v>
    <v>83.75</v>
    <v>84.34</v>
    <v>83.01</v>
    <v>83.98</v>
    <v>82.47</v>
    <v>80.78</v>
    <v>80.680000000000007</v>
    <v>79.489999999999995</v>
    <v>81.19</v>
    <v>81.739999999999995</v>
    <v>81.92</v>
    <v>83.26</v>
    <v>83.01</v>
    <v>82.53</v>
    <v>82.47</v>
    <v>82.61</v>
    <v>83.62</v>
    <v>83.7</v>
    <v>83.19</v>
    <v>83.31</v>
    <v>83.91</v>
    <v>84.22</v>
    <v>84</v>
    <v>84.87</v>
    <v>80.849999999999994</v>
    <v>79.739999999999995</v>
    <v>79.97</v>
    <v>80.58</v>
  </a>
  <a r="1" c="259">
    <v>11.82</v>
    <v>11.852</v>
    <v>11.885999999999999</v>
    <v>11.736000000000001</v>
    <v>11.651999999999999</v>
    <v>11.698</v>
    <v>11.708</v>
    <v>11.856</v>
    <v>11.682</v>
    <v>11.86</v>
    <v>11.88</v>
    <v>11.688000000000001</v>
    <v>11.936</v>
    <v>12.013999999999999</v>
    <v>11.94</v>
    <v>12.01</v>
    <v>11.901999999999999</v>
    <v>11.853999999999999</v>
    <v>11.896000000000001</v>
    <v>11.984</v>
    <v>12.224</v>
    <v>12.26</v>
    <v>12.316000000000001</v>
    <v>12.456</v>
    <v>12.566000000000001</v>
    <v>12.618</v>
    <v>12.704000000000001</v>
    <v>12.662000000000001</v>
    <v>12.64</v>
    <v>12.596</v>
    <v>12.71</v>
    <v>12.722</v>
    <v>12.568</v>
    <v>12.603999999999999</v>
    <v>12.555999999999999</v>
    <v>12.756</v>
    <v>12.694000000000001</v>
    <v>12.762</v>
    <v>12.794</v>
    <v>12.811999999999999</v>
    <v>12.984</v>
    <v>13.004</v>
    <v>12.964</v>
    <v>12.986000000000001</v>
    <v>12.824</v>
    <v>12.846</v>
    <v>12.944000000000001</v>
    <v>12.816000000000001</v>
    <v>12.778</v>
    <v>12.946</v>
    <v>12.916</v>
    <v>12.926</v>
    <v>13.044</v>
    <v>12.862</v>
    <v>13.066000000000001</v>
    <v>13.186</v>
    <v>12.992000000000001</v>
    <v>12.891999999999999</v>
    <v>12.728</v>
    <v>12.816000000000001</v>
    <v>12.696</v>
    <v>12.832000000000001</v>
    <v>12.964</v>
    <v>12.96</v>
    <v>13.087999999999999</v>
    <v>12.958</v>
    <v>12.843999999999999</v>
    <v>12.834</v>
    <v>12.917999999999999</v>
    <v>12.778</v>
    <v>12.686</v>
    <v>12.622</v>
    <v>12.416</v>
    <v>12.513999999999999</v>
    <v>12.507999999999999</v>
    <v>12.166</v>
    <v>11.667999999999999</v>
    <v>11.108000000000001</v>
    <v>11.364000000000001</v>
    <v>11.038</v>
    <v>11.486000000000001</v>
    <v>11.41</v>
    <v>11.731999999999999</v>
    <v>11.83</v>
    <v>11.792</v>
    <v>11.742000000000001</v>
    <v>11.842000000000001</v>
    <v>12.106</v>
    <v>12.167999999999999</v>
    <v>12.231999999999999</v>
    <v>12.298</v>
    <v>12.27</v>
    <v>12.375999999999999</v>
    <v>12.67</v>
    <v>12.622</v>
    <v>12.646000000000001</v>
    <v>12.516</v>
    <v>12.608000000000001</v>
    <v>12.696</v>
    <v>12.85</v>
    <v>12.932</v>
    <v>12.888</v>
    <v>12.926</v>
    <v>12.904</v>
    <v>13.02</v>
    <v>13.135999999999999</v>
    <v>13.092000000000001</v>
    <v>12.98</v>
    <v>12.837999999999999</v>
    <v>13.002000000000001</v>
    <v>13.026</v>
    <v>12.962</v>
    <v>12.944000000000001</v>
    <v>12.85</v>
    <v>12.824</v>
    <v>12.904</v>
    <v>12.958</v>
    <v>12.988</v>
    <v>13.006</v>
    <v>12.984</v>
    <v>12.894</v>
    <v>12.856</v>
    <v>12.87</v>
    <v>12.757999999999999</v>
    <v>12.868</v>
    <v>12.742000000000001</v>
    <v>12.706</v>
    <v>12.51</v>
    <v>12.58</v>
    <v>12.506</v>
    <v>12.666</v>
    <v>12.56</v>
    <v>12.548</v>
    <v>12.744</v>
    <v>12.77</v>
    <v>12.714</v>
    <v>12.878</v>
    <v>12.885999999999999</v>
    <v>12.826000000000001</v>
    <v>12.88</v>
    <v>12.9</v>
    <v>13.118</v>
    <v>13.16</v>
    <v>12.976000000000001</v>
    <v>12.928000000000001</v>
    <v>12.906000000000001</v>
    <v>12.85</v>
    <v>13.018000000000001</v>
    <v>12.981999999999999</v>
    <v>12.997999999999999</v>
    <v>12.906000000000001</v>
    <v>13.086</v>
    <v>13.044</v>
    <v>13.052</v>
    <v>12.981999999999999</v>
    <v>13.087999999999999</v>
    <v>13.055999999999999</v>
    <v>12.944000000000001</v>
    <v>12.577999999999999</v>
    <v>12.672000000000001</v>
    <v>12.673999999999999</v>
    <v>12.696</v>
    <v>12.818</v>
    <v>12.878</v>
    <v>12.798</v>
    <v>12.811999999999999</v>
    <v>12.992000000000001</v>
    <v>13.032</v>
    <v>13.122</v>
    <v>13.102</v>
    <v>13.27</v>
    <v>13.2</v>
    <v>13.188000000000001</v>
    <v>13.246</v>
    <v>13.012</v>
    <v>12.77</v>
    <v>12.858000000000001</v>
    <v>12.928000000000001</v>
    <v>12.811999999999999</v>
    <v>12.747999999999999</v>
    <v>12.66</v>
    <v>12.85</v>
    <v>12.8</v>
    <v>12.795999999999999</v>
    <v>12.84</v>
    <v>12.864000000000001</v>
    <v>12.9</v>
    <v>13.013999999999999</v>
    <v>13.038</v>
    <v>13.128</v>
    <v>13.013999999999999</v>
    <v>12.93</v>
    <v>13.052</v>
    <v>13.086</v>
    <v>13.034000000000001</v>
    <v>13.116</v>
    <v>12.99</v>
    <v>12.917999999999999</v>
    <v>13.092000000000001</v>
    <v>13.093999999999999</v>
    <v>13.166</v>
    <v>13.282</v>
    <v>13.436</v>
    <v>13.51</v>
    <v>13.334</v>
    <v>13.353999999999999</v>
    <v>13.481999999999999</v>
    <v>13.454000000000001</v>
    <v>13.272</v>
    <v>13.31</v>
    <v>13.263999999999999</v>
    <v>13.532</v>
    <v>13.714</v>
    <v>13.68</v>
    <v>13.7</v>
    <v>13.853999999999999</v>
    <v>13.75</v>
    <v>13.714</v>
    <v>13.756</v>
    <v>13.795999999999999</v>
    <v>13.766</v>
    <v>13.722</v>
    <v>13.603999999999999</v>
    <v>13.526</v>
    <v>13.497999999999999</v>
    <v>13.4</v>
    <v>13.496</v>
    <v>13.278</v>
    <v>13.208</v>
    <v>13.43</v>
    <v>13.582000000000001</v>
    <v>13.324</v>
    <v>13.342000000000001</v>
    <v>13.24</v>
    <v>13.141999999999999</v>
    <v>12.894</v>
    <v>12.85</v>
    <v>12.894</v>
    <v>12.907999999999999</v>
    <v>12.84</v>
    <v>12.986000000000001</v>
    <v>13.054</v>
    <v>13.064</v>
    <v>13.141999999999999</v>
    <v>13.068</v>
    <v>13.02</v>
    <v>13.076000000000001</v>
    <v>13.141999999999999</v>
    <v>13.122</v>
    <v>13.098000000000001</v>
    <v>13.02</v>
    <v>12.981999999999999</v>
    <v>13.068</v>
    <v>13.068</v>
    <v>13.154</v>
    <v>13.144</v>
    <v>13.076000000000001</v>
    <v>13.18</v>
    <v>13.173999999999999</v>
  </a>
  <a r="1" c="23">
    <v>12.85</v>
    <v>12.894</v>
    <v>12.907999999999999</v>
    <v>12.84</v>
    <v>12.986000000000001</v>
    <v>13.054</v>
    <v>13.064</v>
    <v>13.141999999999999</v>
    <v>13.068</v>
    <v>13.02</v>
    <v>13.076000000000001</v>
    <v>13.141999999999999</v>
    <v>13.122</v>
    <v>13.098000000000001</v>
    <v>13.02</v>
    <v>12.981999999999999</v>
    <v>13.068</v>
    <v>13.068</v>
    <v>13.154</v>
    <v>13.144</v>
    <v>13.076000000000001</v>
    <v>13.18</v>
    <v>13.173999999999999</v>
  </a>
  <a r="1" c="254">
    <v>26.14</v>
    <v>25.89</v>
    <v>25.63</v>
    <v>25.52</v>
    <v>25.62</v>
    <v>25.59</v>
    <v>25.66</v>
    <v>25.89</v>
    <v>25.79</v>
    <v>25.63</v>
    <v>25.16</v>
    <v>25.32</v>
    <v>25.55</v>
    <v>26</v>
    <v>26.21</v>
    <v>26.74</v>
    <v>26.89</v>
    <v>27.08</v>
    <v>27.24</v>
    <v>27.6</v>
    <v>27.75</v>
    <v>27.25</v>
    <v>27.23</v>
    <v>27</v>
    <v>27.13</v>
    <v>27.15</v>
    <v>26.63</v>
    <v>26.69</v>
    <v>26.9</v>
    <v>27.17</v>
    <v>26.85</v>
    <v>27.16</v>
    <v>27.48</v>
    <v>27.93</v>
    <v>28.09</v>
    <v>28.9</v>
    <v>29.5</v>
    <v>28.88</v>
    <v>29.58</v>
    <v>30.16</v>
    <v>29.27</v>
    <v>28.84</v>
    <v>28.81</v>
    <v>29.07</v>
    <v>28.6</v>
    <v>28.4</v>
    <v>28.36</v>
    <v>28.6</v>
    <v>28.69</v>
    <v>28.38</v>
    <v>28.57</v>
    <v>28.49</v>
    <v>30.08</v>
    <v>29.9</v>
    <v>29.48</v>
    <v>29.08</v>
    <v>29.9</v>
    <v>30.22</v>
    <v>30.78</v>
    <v>30.46</v>
    <v>31.08</v>
    <v>31.32</v>
    <v>32</v>
    <v>31.99</v>
    <v>31.9</v>
    <v>31.84</v>
    <v>32.68</v>
    <v>32.75</v>
    <v>31.96</v>
    <v>31.95</v>
    <v>31.6</v>
    <v>31.52</v>
    <v>31.53</v>
    <v>30.07</v>
    <v>27.52</v>
    <v>26.68</v>
    <v>25.72</v>
    <v>27.74</v>
    <v>27.49</v>
    <v>28.51</v>
    <v>29.4</v>
    <v>29.01</v>
    <v>29.32</v>
    <v>29.47</v>
    <v>29.79</v>
    <v>30.38</v>
    <v>30.37</v>
    <v>30.61</v>
    <v>30.38</v>
    <v>30.44</v>
    <v>30.18</v>
    <v>28.54</v>
    <v>28.82</v>
    <v>29.1</v>
    <v>29.24</v>
    <v>29.66</v>
    <v>28.74</v>
    <v>28.58</v>
    <v>28.94</v>
    <v>28.92</v>
    <v>29.41</v>
    <v>29</v>
    <v>29.27</v>
    <v>28.61</v>
    <v>29.09</v>
    <v>29.24</v>
    <v>29.21</v>
    <v>29.23</v>
    <v>30.39</v>
    <v>29.65</v>
    <v>29.21</v>
    <v>29.16</v>
    <v>29.36</v>
    <v>30.37</v>
    <v>30.39</v>
    <v>30.51</v>
    <v>30.76</v>
    <v>30.23</v>
    <v>30.68</v>
    <v>30.7</v>
    <v>30.02</v>
    <v>30.26</v>
    <v>29.77</v>
    <v>30.2</v>
    <v>29.96</v>
    <v>30.35</v>
    <v>30.29</v>
    <v>30.65</v>
    <v>30.69</v>
    <v>30.86</v>
    <v>31.7</v>
    <v>31.67</v>
    <v>31.64</v>
    <v>31.57</v>
    <v>32.24</v>
    <v>31.91</v>
    <v>31.15</v>
    <v>33.770000000000003</v>
    <v>34.299999999999997</v>
    <v>34.799999999999997</v>
    <v>34.51</v>
    <v>34.28</v>
    <v>34.31</v>
    <v>34.18</v>
    <v>34.15</v>
    <v>34.659999999999997</v>
    <v>34.94</v>
    <v>35.5</v>
    <v>36.1</v>
    <v>36.17</v>
    <v>35.840000000000003</v>
    <v>34.79</v>
    <v>35</v>
    <v>28.24</v>
    <v>27.45</v>
    <v>27.57</v>
    <v>27.72</v>
    <v>27.21</v>
    <v>27.46</v>
    <v>27.48</v>
    <v>27.77</v>
    <v>27.69</v>
    <v>28.06</v>
    <v>27.95</v>
    <v>27.99</v>
    <v>27.92</v>
    <v>27.84</v>
    <v>27.57</v>
    <v>27.66</v>
    <v>27.77</v>
    <v>27.77</v>
    <v>27.86</v>
    <v>27.93</v>
    <v>27.66</v>
    <v>27.93</v>
    <v>28.13</v>
    <v>28.49</v>
    <v>28.36</v>
    <v>28.08</v>
    <v>27.94</v>
    <v>28.03</v>
    <v>28.13</v>
    <v>28.33</v>
    <v>28.8</v>
    <v>28.6</v>
    <v>29.03</v>
    <v>28.95</v>
    <v>28.42</v>
    <v>28.34</v>
    <v>28.58</v>
    <v>28.62</v>
    <v>28.62</v>
    <v>29.7</v>
    <v>29.51</v>
    <v>29.37</v>
    <v>30.29</v>
    <v>30</v>
    <v>30.15</v>
    <v>30.56</v>
    <v>31.32</v>
    <v>31.13</v>
    <v>31.3</v>
    <v>31.38</v>
    <v>31.67</v>
    <v>30.27</v>
    <v>31.59</v>
    <v>30.85</v>
    <v>30.74</v>
    <v>30.84</v>
    <v>30.82</v>
    <v>31.23</v>
    <v>30.54</v>
    <v>30.97</v>
    <v>31.41</v>
    <v>31.59</v>
    <v>31.9</v>
    <v>31.99</v>
    <v>32.200000000000003</v>
    <v>31.57</v>
    <v>31.53</v>
    <v>31.28</v>
    <v>30.53</v>
    <v>30.88</v>
    <v>30.83</v>
    <v>30.67</v>
    <v>31.61</v>
    <v>31.34</v>
    <v>31.5</v>
    <v>31.26</v>
    <v>31.32</v>
    <v>30.91</v>
    <v>30.8</v>
    <v>31.13</v>
    <v>30.77</v>
    <v>31.07</v>
    <v>31.11</v>
    <v>31.18</v>
    <v>31.84</v>
    <v>32.28</v>
    <v>32.29</v>
    <v>32.14</v>
    <v>33.03</v>
    <v>32.840000000000003</v>
    <v>33.35</v>
    <v>33.24</v>
    <v>32.65</v>
    <v>33.07</v>
    <v>33.61</v>
    <v>32.83</v>
    <v>33.15</v>
    <v>32.89</v>
    <v>33.229999999999997</v>
    <v>33.26</v>
    <v>33.6</v>
  </a>
  <a r="1" c="22">
    <v>31.13</v>
    <v>30.77</v>
    <v>31.07</v>
    <v>31.11</v>
    <v>31.18</v>
    <v>31.84</v>
    <v>32.28</v>
    <v>32.29</v>
    <v>32.14</v>
    <v>33.03</v>
    <v>32.840000000000003</v>
    <v>33.35</v>
    <v>33.24</v>
    <v>32.65</v>
    <v>33.07</v>
    <v>33.61</v>
    <v>32.83</v>
    <v>33.15</v>
    <v>32.89</v>
    <v>33.229999999999997</v>
    <v>33.26</v>
    <v>33.6</v>
  </a>
  <a r="1" c="254">
    <v>55.58</v>
    <v>53.57</v>
    <v>52.11</v>
    <v>52.59</v>
    <v>52.34</v>
    <v>52.77</v>
    <v>52.71</v>
    <v>51.97</v>
    <v>51.46</v>
    <v>51.19</v>
    <v>50.89</v>
    <v>51.12</v>
    <v>52.84</v>
    <v>54.4</v>
    <v>53.72</v>
    <v>54.32</v>
    <v>53.52</v>
    <v>53.49</v>
    <v>54</v>
    <v>54.79</v>
    <v>54.54</v>
    <v>54.83</v>
    <v>55.68</v>
    <v>56.11</v>
    <v>55.67</v>
    <v>55.9</v>
    <v>54.55</v>
    <v>54.3</v>
    <v>54.42</v>
    <v>55.27</v>
    <v>53.97</v>
    <v>53.38</v>
    <v>54.35</v>
    <v>54.96</v>
    <v>55.22</v>
    <v>54.14</v>
    <v>55.14</v>
    <v>55.07</v>
    <v>55.16</v>
    <v>56.35</v>
    <v>56.68</v>
    <v>57.44</v>
    <v>58.28</v>
    <v>58.46</v>
    <v>57.59</v>
    <v>57.47</v>
    <v>57.55</v>
    <v>57.81</v>
    <v>55.95</v>
    <v>54.67</v>
    <v>54.32</v>
    <v>54.57</v>
    <v>56.05</v>
    <v>54.94</v>
    <v>55.68</v>
    <v>54.09</v>
    <v>54.69</v>
    <v>55.95</v>
    <v>55.22</v>
    <v>56.14</v>
    <v>57.86</v>
    <v>56.97</v>
    <v>57.24</v>
    <v>56.73</v>
    <v>56.86</v>
    <v>57.31</v>
    <v>57.07</v>
    <v>56.81</v>
    <v>56.49</v>
    <v>54.79</v>
    <v>54.04</v>
    <v>54.85</v>
    <v>54.63</v>
    <v>53.14</v>
    <v>51.25</v>
    <v>50.78</v>
    <v>48.92</v>
    <v>53.28</v>
    <v>51.82</v>
    <v>54.31</v>
    <v>54.35</v>
    <v>54.38</v>
    <v>54.06</v>
    <v>54.31</v>
    <v>54.39</v>
    <v>54.81</v>
    <v>55.6</v>
    <v>55.95</v>
    <v>55.81</v>
    <v>55.65</v>
    <v>56.1</v>
    <v>56.19</v>
    <v>55.6</v>
    <v>57.71</v>
    <v>58.38</v>
    <v>58.5</v>
    <v>57.79</v>
    <v>57.2</v>
    <v>57.69</v>
    <v>58.04</v>
    <v>58.12</v>
    <v>58.61</v>
    <v>58.8</v>
    <v>58.79</v>
    <v>58.82</v>
    <v>58.4</v>
    <v>59.1</v>
    <v>58.29</v>
    <v>58.96</v>
    <v>59.98</v>
    <v>60.75</v>
    <v>61.8</v>
    <v>60.63</v>
    <v>61.74</v>
    <v>61.89</v>
    <v>63.98</v>
    <v>65.36</v>
    <v>65.569999999999993</v>
    <v>66.48</v>
    <v>66.16</v>
    <v>66.989999999999995</v>
    <v>67.69</v>
    <v>66.42</v>
    <v>68.19</v>
    <v>66.63</v>
    <v>67.87</v>
    <v>68.53</v>
    <v>69.42</v>
    <v>72.650000000000006</v>
    <v>72.37</v>
    <v>71.94</v>
    <v>70.739999999999995</v>
    <v>71.78</v>
    <v>71.64</v>
    <v>71.95</v>
    <v>72.7</v>
    <v>70.069999999999993</v>
    <v>72.08</v>
    <v>72.08</v>
    <v>73.14</v>
    <v>72.56</v>
    <v>73.2</v>
    <v>73.069999999999993</v>
    <v>73.08</v>
    <v>73.06</v>
    <v>72.39</v>
    <v>73.87</v>
    <v>72.89</v>
    <v>73.849999999999994</v>
    <v>73.31</v>
    <v>73.209999999999994</v>
    <v>72.709999999999994</v>
    <v>73.489999999999995</v>
    <v>73.680000000000007</v>
    <v>72.81</v>
    <v>70.650000000000006</v>
    <v>72.33</v>
    <v>72.89</v>
    <v>73.180000000000007</v>
    <v>73.44</v>
    <v>73.5</v>
    <v>73.03</v>
    <v>74.099999999999994</v>
    <v>74.72</v>
    <v>73.66</v>
    <v>73.39</v>
    <v>72.8</v>
    <v>71.44</v>
    <v>71.36</v>
    <v>71.22</v>
    <v>73.510000000000005</v>
    <v>72.73</v>
    <v>72.39</v>
    <v>72.47</v>
    <v>73.64</v>
    <v>72.239999999999995</v>
    <v>71.92</v>
    <v>72.91</v>
    <v>73.069999999999993</v>
    <v>73.63</v>
    <v>74.19</v>
    <v>74.92</v>
    <v>76.650000000000006</v>
    <v>77.86</v>
    <v>78.66</v>
    <v>79.19</v>
    <v>80.69</v>
    <v>79.83</v>
    <v>80.75</v>
    <v>80.05</v>
    <v>81.56</v>
    <v>81.45</v>
    <v>80.040000000000006</v>
    <v>79.89</v>
    <v>78.87</v>
    <v>80.239999999999995</v>
    <v>80.099999999999994</v>
    <v>81.89</v>
    <v>83.53</v>
    <v>83.85</v>
    <v>84.78</v>
    <v>83.35</v>
    <v>84.19</v>
    <v>83.43</v>
    <v>80.72</v>
    <v>83.62</v>
    <v>82.69</v>
    <v>85.17</v>
    <v>87.88</v>
    <v>88.52</v>
    <v>90.43</v>
    <v>88.64</v>
    <v>89.45</v>
    <v>90.07</v>
    <v>92.05</v>
    <v>94.31</v>
    <v>94.45</v>
    <v>96.9</v>
    <v>95.26</v>
    <v>97</v>
    <v>100.78</v>
    <v>95.76</v>
    <v>96.62</v>
    <v>93.51</v>
    <v>91.8</v>
    <v>95.67</v>
    <v>95.29</v>
    <v>95.92</v>
    <v>94.07</v>
    <v>94.13</v>
    <v>93.02</v>
    <v>91.59</v>
    <v>90.56</v>
    <v>88.53</v>
    <v>89.22</v>
    <v>90.3</v>
    <v>89.79</v>
    <v>91.55</v>
    <v>90.87</v>
    <v>90.62</v>
    <v>92.07</v>
    <v>93</v>
    <v>91.87</v>
    <v>94.3</v>
    <v>95.07</v>
    <v>95.57</v>
    <v>96.75</v>
    <v>94.96</v>
    <v>92.67</v>
    <v>92.73</v>
    <v>89.52</v>
    <v>88.58</v>
    <v>90.07</v>
    <v>91.34</v>
  </a>
  <a r="1" c="22">
    <v>90.56</v>
    <v>88.53</v>
    <v>89.22</v>
    <v>90.3</v>
    <v>89.79</v>
    <v>91.55</v>
    <v>90.87</v>
    <v>90.62</v>
    <v>92.07</v>
    <v>93</v>
    <v>91.87</v>
    <v>94.3</v>
    <v>95.07</v>
    <v>95.57</v>
    <v>96.75</v>
    <v>94.96</v>
    <v>92.67</v>
    <v>92.73</v>
    <v>89.52</v>
    <v>88.58</v>
    <v>90.07</v>
    <v>91.34</v>
  </a>
  <a r="1" c="254">
    <v>20.05</v>
    <v>19.89</v>
    <v>19.61</v>
    <v>19.63</v>
    <v>19.739999999999998</v>
    <v>18.91</v>
    <v>19.07</v>
    <v>19.149999999999999</v>
    <v>19.04</v>
    <v>18.96</v>
    <v>18.850000000000001</v>
    <v>18.68</v>
    <v>18.55</v>
    <v>18.57</v>
    <v>18.66</v>
    <v>18.62</v>
    <v>18.8</v>
    <v>18.86</v>
    <v>18.89</v>
    <v>19.05</v>
    <v>19.18</v>
    <v>19.350000000000001</v>
    <v>19.27</v>
    <v>19.16</v>
    <v>19.100000000000001</v>
    <v>19.079999999999998</v>
    <v>18.920000000000002</v>
    <v>18.649999999999999</v>
    <v>18.87</v>
    <v>18.850000000000001</v>
    <v>18.68</v>
    <v>18.920000000000002</v>
    <v>19</v>
    <v>18.96</v>
    <v>19.11</v>
    <v>19.25</v>
    <v>19.309999999999999</v>
    <v>19.170000000000002</v>
    <v>19.309999999999999</v>
    <v>19.22</v>
    <v>19.22</v>
    <v>19.45</v>
    <v>19.489999999999998</v>
    <v>19.7</v>
    <v>19.55</v>
    <v>19.3</v>
    <v>19.239999999999998</v>
    <v>19.170000000000002</v>
    <v>19.09</v>
    <v>19.059999999999999</v>
    <v>19.100000000000001</v>
    <v>19.13</v>
    <v>19.55</v>
    <v>19.77</v>
    <v>19.59</v>
    <v>19.46</v>
    <v>19.760000000000002</v>
    <v>19.8</v>
    <v>19.95</v>
    <v>19.88</v>
    <v>19.93</v>
    <v>19.88</v>
    <v>19.920000000000002</v>
    <v>19.78</v>
    <v>19.7</v>
    <v>19.73</v>
    <v>19.920000000000002</v>
    <v>19.73</v>
    <v>19.47</v>
    <v>19.29</v>
    <v>19.190000000000001</v>
    <v>19.04</v>
    <v>18.98</v>
    <v>18.399999999999999</v>
    <v>17.72</v>
    <v>17.63</v>
    <v>17.23</v>
    <v>17.8</v>
    <v>17.78</v>
    <v>18.114999999999998</v>
    <v>18.059999999999999</v>
    <v>17.920000000000002</v>
    <v>17.89</v>
    <v>17.96</v>
    <v>17.78</v>
    <v>18.07</v>
    <v>18.28</v>
    <v>18.55</v>
    <v>18.32</v>
    <v>18.309999999999999</v>
    <v>18.39</v>
    <v>17.78</v>
    <v>17.9819</v>
    <v>18.13</v>
    <v>18.170000000000002</v>
    <v>18.2273</v>
    <v>17.994900000000001</v>
    <v>18.170000000000002</v>
    <v>18.2849</v>
    <v>18.54</v>
    <v>18.714700000000001</v>
    <v>18.899999999999999</v>
    <v>18.75</v>
    <v>18.46</v>
    <v>18.39</v>
    <v>18.7074</v>
    <v>18.54</v>
    <v>18.52</v>
    <v>18.649999999999999</v>
    <v>18.690000000000001</v>
    <v>18.559999999999999</v>
    <v>18.509599999999999</v>
    <v>18.3902</v>
    <v>18.68</v>
    <v>18.73</v>
    <v>18.71</v>
    <v>18.62</v>
    <v>18.545000000000002</v>
    <v>18.649999999999999</v>
    <v>18.72</v>
    <v>18.708100000000002</v>
    <v>18.726500000000001</v>
    <v>18.52</v>
    <v>18.760000000000002</v>
    <v>18.760000000000002</v>
    <v>18.824999999999999</v>
    <v>18.89</v>
    <v>19.11</v>
    <v>19.008199999999999</v>
    <v>19.094999999999999</v>
    <v>19.350000000000001</v>
    <v>19.41</v>
    <v>19.37</v>
    <v>19.329999999999998</v>
    <v>19.47</v>
    <v>19.399999999999999</v>
    <v>19.079999999999998</v>
    <v>19</v>
    <v>19.23</v>
    <v>19.37</v>
    <v>19.168900000000001</v>
    <v>19.1904</v>
    <v>19.03</v>
    <v>19.09</v>
    <v>19.236899999999999</v>
    <v>19.63</v>
    <v>19.72</v>
    <v>19.84</v>
    <v>19.809999999999999</v>
    <v>19.760000000000002</v>
    <v>19.649999999999999</v>
    <v>19.55</v>
    <v>19.52</v>
    <v>19.350000000000001</v>
    <v>19.260000000000002</v>
    <v>19.190000000000001</v>
    <v>19.28</v>
    <v>19.2</v>
    <v>19.489999999999998</v>
    <v>19.559999999999999</v>
    <v>19.59</v>
    <v>19.510000000000002</v>
    <v>19.72</v>
    <v>19.559999999999999</v>
    <v>19.747</v>
    <v>19.52</v>
    <v>19.43</v>
    <v>19.329999999999998</v>
    <v>19.437000000000001</v>
    <v>19.5</v>
    <v>19.64</v>
    <v>19.649999999999999</v>
    <v>19.760000000000002</v>
    <v>19.489999999999998</v>
    <v>19.603899999999999</v>
    <v>19.71</v>
    <v>19.88</v>
    <v>19.899999999999999</v>
    <v>19.79</v>
    <v>19.809999999999999</v>
    <v>19.920000000000002</v>
    <v>19.940000000000001</v>
    <v>19.91</v>
    <v>20.22</v>
    <v>20.39</v>
    <v>20.56</v>
    <v>20.53</v>
    <v>20.239999999999998</v>
    <v>20.21</v>
    <v>20.2</v>
    <v>20.09</v>
    <v>20.059999999999999</v>
    <v>20.34</v>
    <v>20.420000000000002</v>
    <v>20.23</v>
    <v>20.57</v>
    <v>20.54</v>
    <v>20.66</v>
    <v>20.86</v>
    <v>20.96</v>
    <v>21</v>
    <v>21.13</v>
    <v>21.01</v>
    <v>21.3</v>
    <v>20.82</v>
    <v>21.13</v>
    <v>20.87</v>
    <v>20.86</v>
    <v>21.08</v>
    <v>20.95</v>
    <v>21.1113</v>
    <v>20.97</v>
    <v>21.35</v>
    <v>21.51</v>
    <v>21.6</v>
    <v>21.81</v>
    <v>21.81</v>
    <v>21.8</v>
    <v>21.7</v>
    <v>21.95</v>
    <v>21.92</v>
    <v>21.62</v>
    <v>21.59</v>
    <v>21.51</v>
    <v>21.6</v>
    <v>21.77</v>
    <v>21.74</v>
    <v>21.8</v>
    <v>21.65</v>
    <v>21.58</v>
    <v>21.33</v>
    <v>21.22</v>
    <v>21.43</v>
    <v>21.23</v>
    <v>21.31</v>
    <v>21.4</v>
    <v>21.46</v>
    <v>21.74</v>
    <v>21.98</v>
    <v>22.01</v>
    <v>21.89</v>
    <v>22.24</v>
    <v>22.21</v>
    <v>22.43</v>
    <v>22.46</v>
    <v>22.06</v>
    <v>22.23</v>
    <v>22.49</v>
    <v>22.18</v>
    <v>22.22</v>
    <v>22.13</v>
    <v>22.33</v>
    <v>22.39</v>
    <v>22.64</v>
  </a>
  <a r="1" c="22">
    <v>21.43</v>
    <v>21.23</v>
    <v>21.31</v>
    <v>21.4</v>
    <v>21.46</v>
    <v>21.74</v>
    <v>21.98</v>
    <v>22.01</v>
    <v>21.89</v>
    <v>22.24</v>
    <v>22.21</v>
    <v>22.43</v>
    <v>22.46</v>
    <v>22.06</v>
    <v>22.23</v>
    <v>22.49</v>
    <v>22.18</v>
    <v>22.22</v>
    <v>22.13</v>
    <v>22.33</v>
    <v>22.39</v>
    <v>22.64</v>
  </a>
  <a r="1" c="22">
    <v>25.3</v>
    <v>24.95</v>
    <v>25.33</v>
    <v>25.44</v>
    <v>25.62</v>
    <v>25.82</v>
    <v>25.85</v>
    <v>25.73</v>
    <v>25.93</v>
    <v>26.13</v>
    <v>26.29</v>
    <v>26.34</v>
    <v>26.24</v>
    <v>26.35</v>
    <v>26.65</v>
    <v>26.64</v>
    <v>26.52</v>
    <v>26.42</v>
    <v>25.82</v>
    <v>25.58</v>
    <v>25.81</v>
    <v>25.88</v>
  </a>
  <a r="1" c="254">
    <v>25.15</v>
    <v>24.8</v>
    <v>23.98</v>
    <v>23.83</v>
    <v>23.77</v>
    <v>24.1</v>
    <v>24.2</v>
    <v>24.32</v>
    <v>24.06</v>
    <v>23.97</v>
    <v>23.86</v>
    <v>23.91</v>
    <v>24.2</v>
    <v>24.33</v>
    <v>24.22</v>
    <v>24.36</v>
    <v>23.81</v>
    <v>23.88</v>
    <v>23.98</v>
    <v>24.35</v>
    <v>24.33</v>
    <v>24.24</v>
    <v>24.8</v>
    <v>24.71</v>
    <v>24.75</v>
    <v>24.91</v>
    <v>24.87</v>
    <v>24.79</v>
    <v>24.64</v>
    <v>24.95</v>
    <v>24.61</v>
    <v>24.49</v>
    <v>24.78</v>
    <v>25.01</v>
    <v>25.13</v>
    <v>24.93</v>
    <v>25.09</v>
    <v>25.04</v>
    <v>25.26</v>
    <v>25.66</v>
    <v>25.47</v>
    <v>25.42</v>
    <v>25.04</v>
    <v>25.09</v>
    <v>24.55</v>
    <v>24.63</v>
    <v>24.54</v>
    <v>24.44</v>
    <v>24.07</v>
    <v>23.99</v>
    <v>23.95</v>
    <v>23.92</v>
    <v>24.41</v>
    <v>24.02</v>
    <v>23.89</v>
    <v>23.42</v>
    <v>23.32</v>
    <v>23.31</v>
    <v>23.02</v>
    <v>23.5</v>
    <v>23.87</v>
    <v>23.43</v>
    <v>23.65</v>
    <v>23.53</v>
    <v>23.43</v>
    <v>23.7</v>
    <v>23.81</v>
    <v>23.71</v>
    <v>23.75</v>
    <v>23.47</v>
    <v>23.44</v>
    <v>23.71</v>
    <v>23.89</v>
    <v>23.25</v>
    <v>21.15</v>
    <v>20.85</v>
    <v>20.82</v>
    <v>22.81</v>
    <v>22.35</v>
    <v>22.77</v>
    <v>23.29</v>
    <v>23.36</v>
    <v>23.42</v>
    <v>23.61</v>
    <v>23.48</v>
    <v>23.96</v>
    <v>24</v>
    <v>24.51</v>
    <v>24.51</v>
    <v>24.52</v>
    <v>24.55</v>
    <v>24.67</v>
    <v>24.65</v>
    <v>25.31</v>
    <v>24.99</v>
    <v>25.05</v>
    <v>24.89</v>
    <v>24.83</v>
    <v>25.01</v>
    <v>25.18</v>
    <v>25.42</v>
    <v>25.16</v>
    <v>25.55</v>
    <v>25.47</v>
    <v>25.63</v>
    <v>25.63</v>
    <v>25.41</v>
    <v>25.41</v>
    <v>25.65</v>
    <v>25.87</v>
    <v>25.56</v>
    <v>25.64</v>
    <v>25.81</v>
    <v>26.15</v>
    <v>26.07</v>
    <v>26.33</v>
    <v>26.36</v>
    <v>26.37</v>
    <v>26.44</v>
    <v>26.71</v>
    <v>26.6</v>
    <v>26.64</v>
    <v>26.32</v>
    <v>26.09</v>
    <v>25.77</v>
    <v>25.86</v>
    <v>25.55</v>
    <v>25.79</v>
    <v>26.05</v>
    <v>26.03</v>
    <v>26.43</v>
    <v>26.09</v>
    <v>26.32</v>
    <v>26.35</v>
    <v>26.54</v>
    <v>26.48</v>
    <v>25.98</v>
    <v>26.14</v>
    <v>26.24</v>
    <v>26.58</v>
    <v>26.36</v>
    <v>26.39</v>
    <v>26.07</v>
    <v>26.19</v>
    <v>26.28</v>
    <v>26.45</v>
    <v>26.37</v>
    <v>26.55</v>
    <v>26.82</v>
    <v>26.58</v>
    <v>26.48</v>
    <v>26.22</v>
    <v>26.37</v>
    <v>26.15</v>
    <v>26.02</v>
    <v>25.91</v>
    <v>26.28</v>
    <v>26.41</v>
    <v>26.66</v>
    <v>26.6</v>
    <v>26.63</v>
    <v>26.65</v>
    <v>26.96</v>
    <v>26.91</v>
    <v>26.74</v>
    <v>26.83</v>
    <v>26.84</v>
    <v>26.61</v>
    <v>26.7</v>
    <v>26.86</v>
    <v>27.26</v>
    <v>26.83</v>
    <v>26.97</v>
    <v>27</v>
    <v>27.09</v>
    <v>27.08</v>
    <v>26.77</v>
    <v>26.6</v>
    <v>26.9</v>
    <v>26.93</v>
    <v>27</v>
    <v>26.89</v>
    <v>27.11</v>
    <v>27.41</v>
    <v>27.24</v>
    <v>27.57</v>
    <v>27.38</v>
    <v>27.14</v>
    <v>26.89</v>
    <v>26.89</v>
    <v>26.92</v>
    <v>26.87</v>
    <v>26.47</v>
    <v>26.47</v>
    <v>26.67</v>
    <v>26.98</v>
    <v>27</v>
    <v>27.15</v>
    <v>27.18</v>
    <v>27.43</v>
    <v>27.36</v>
    <v>27.14</v>
    <v>27.23</v>
    <v>26.92</v>
    <v>26.44</v>
    <v>26.66</v>
    <v>26.7</v>
    <v>26.89</v>
    <v>26.97</v>
    <v>26.92</v>
    <v>27.26</v>
    <v>27.11</v>
    <v>27.07</v>
    <v>27.19</v>
    <v>27.18</v>
    <v>27.37</v>
    <v>27.52</v>
    <v>27</v>
    <v>26.89</v>
    <v>26.77</v>
    <v>26.84</v>
    <v>26.41</v>
    <v>26.67</v>
    <v>26.46</v>
    <v>26.44</v>
    <v>26.81</v>
    <v>26.63</v>
    <v>26.58</v>
    <v>25.94</v>
    <v>25.95</v>
    <v>25.64</v>
    <v>25.4</v>
    <v>25.3</v>
    <v>24.95</v>
    <v>25.33</v>
    <v>25.44</v>
    <v>25.62</v>
    <v>25.82</v>
    <v>25.85</v>
    <v>25.73</v>
    <v>25.93</v>
    <v>26.13</v>
    <v>26.29</v>
    <v>26.34</v>
    <v>26.24</v>
    <v>26.35</v>
    <v>26.65</v>
    <v>26.64</v>
    <v>26.52</v>
    <v>26.42</v>
    <v>25.82</v>
    <v>25.58</v>
    <v>25.81</v>
    <v>25.88</v>
  </a>
  <a r="1" c="254">
    <v>122.00069999999999</v>
    <v>122.2063</v>
    <v>120.9406</v>
    <v>120.2683</v>
    <v>120.9841</v>
    <v>120.59</v>
    <v>120.47</v>
    <v>120.6</v>
    <v>121.0705</v>
    <v>120.80159999999999</v>
    <v>120.5487</v>
    <v>118.935</v>
    <v>119.3737</v>
    <v>120.25</v>
    <v>119.94029999999999</v>
    <v>118.79</v>
    <v>117.37</v>
    <v>117.06399999999999</v>
    <v>117.34</v>
    <v>117.7437</v>
    <v>117.6343</v>
    <v>117.05</v>
    <v>118.7063</v>
    <v>118.54300000000001</v>
    <v>118.87869999999999</v>
    <v>120.1562</v>
    <v>120.22</v>
    <v>119.74</v>
    <v>119.77670000000001</v>
    <v>119.71129999999999</v>
    <v>119.36190000000001</v>
    <v>119.2</v>
    <v>120.01</v>
    <v>120.13</v>
    <v>119.58</v>
    <v>119.27</v>
    <v>118.84</v>
    <v>119.65470000000001</v>
    <v>119.66500000000001</v>
    <v>120.80159999999999</v>
    <v>121.02070000000001</v>
    <v>121.24420000000001</v>
    <v>121.0776</v>
    <v>121.899</v>
    <v>121.5228</v>
    <v>121.46380000000001</v>
    <v>121.94029999999999</v>
    <v>122.00060000000001</v>
    <v>121.36709999999999</v>
    <v>121.1123</v>
    <v>122.03</v>
    <v>122.8758</v>
    <v>123.989</v>
    <v>123.795</v>
    <v>124.2283</v>
    <v>123.76990000000001</v>
    <v>124.53</v>
    <v>124.67489999999999</v>
    <v>124.4969</v>
    <v>124.39</v>
    <v>124.97</v>
    <v>125.1079</v>
    <v>125.0309</v>
    <v>124.77</v>
    <v>124.33</v>
    <v>124.38</v>
    <v>124.59</v>
    <v>124.08</v>
    <v>124.64</v>
    <v>124.6219</v>
    <v>124.4015</v>
    <v>124.125</v>
    <v>124.7312</v>
    <v>125.75</v>
    <v>123.76</v>
    <v>122.45</v>
    <v>122.78489999999999</v>
    <v>123.1358</v>
    <v>124.6173</v>
    <v>125.68</v>
    <v>126.81</v>
    <v>127.21429999999999</v>
    <v>127.37</v>
    <v>127.61490000000001</v>
    <v>128.77000000000001</v>
    <v>128.30000000000001</v>
    <v>127.68</v>
    <v>128.4</v>
    <v>128.22</v>
    <v>129.4</v>
    <v>129.06</v>
    <v>128.35</v>
    <v>127.6</v>
    <v>127.5835</v>
    <v>127.78</v>
    <v>128.61000000000001</v>
    <v>127.85</v>
    <v>127.3</v>
    <v>127.98</v>
    <v>126.71</v>
    <v>127.93</v>
    <v>127.55</v>
    <v>127.8</v>
    <v>127.72</v>
    <v>128.49209999999999</v>
    <v>128.83000000000001</v>
    <v>129.1</v>
    <v>129.1</v>
    <v>130.25</v>
    <v>130</v>
    <v>129.62</v>
    <v>129.93</v>
    <v>129.71</v>
    <v>130.18</v>
    <v>129.9</v>
    <v>130.19999999999999</v>
    <v>130.44</v>
    <v>130.07</v>
    <v>130.37</v>
    <v>129.82</v>
    <v>130.16999999999999</v>
    <v>130.80000000000001</v>
    <v>130.51</v>
    <v>130.57</v>
    <v>129.13</v>
    <v>128.97</v>
    <v>129.31</v>
    <v>130.16999999999999</v>
    <v>131.22</v>
    <v>131.53</v>
    <v>132.19</v>
    <v>131.94999999999999</v>
    <v>132.16</v>
    <v>132.04</v>
    <v>131.00530000000001</v>
    <v>131.19999999999999</v>
    <v>130.83000000000001</v>
    <v>130.61000000000001</v>
    <v>130.71</v>
    <v>130.55000000000001</v>
    <v>129.75880000000001</v>
    <v>129.09</v>
    <v>128.73159999999999</v>
    <v>129.01</v>
    <v>129.04</v>
    <v>128.99</v>
    <v>129.73670000000001</v>
    <v>130.16</v>
    <v>130.66030000000001</v>
    <v>129.9999</v>
    <v>129.27330000000001</v>
    <v>128.5</v>
    <v>128.56200000000001</v>
    <v>127.45</v>
    <v>127.1</v>
    <v>127.4481</v>
    <v>127.5253</v>
    <v>127.7598</v>
    <v>128.35599999999999</v>
    <v>129.13419999999999</v>
    <v>129.2568</v>
    <v>129.04570000000001</v>
    <v>129.72730000000001</v>
    <v>130.47559999999999</v>
    <v>130.12</v>
    <v>130.29</v>
    <v>129.86000000000001</v>
    <v>129.69999999999999</v>
    <v>129.38499999999999</v>
    <v>129.03</v>
    <v>130.01</v>
    <v>129.43</v>
    <v>129.71</v>
    <v>129.88</v>
    <v>130.01499999999999</v>
    <v>130.04839999999999</v>
    <v>128.6378</v>
    <v>129.11000000000001</v>
    <v>129.05000000000001</v>
    <v>129.74850000000001</v>
    <v>130.2217</v>
    <v>129.94589999999999</v>
    <v>130.0455</v>
    <v>130.49</v>
    <v>130.38</v>
    <v>130.80000000000001</v>
    <v>131.22999999999999</v>
    <v>131.13140000000001</v>
    <v>130.29220000000001</v>
    <v>129.59</v>
    <v>130.02780000000001</v>
    <v>130.11660000000001</v>
    <v>129.345</v>
    <v>128.37</v>
    <v>128.99</v>
    <v>129.32</v>
    <v>129.43</v>
    <v>129.51</v>
    <v>129.1619</v>
    <v>129.54</v>
    <v>129.53</v>
    <v>128.96</v>
    <v>128.76</v>
    <v>127.78</v>
    <v>128.30000000000001</v>
    <v>128.22</v>
    <v>128.13</v>
    <v>128.73439999999999</v>
    <v>129.19999999999999</v>
    <v>129.21209999999999</v>
    <v>128.94</v>
    <v>128.626</v>
    <v>128.51</v>
    <v>128.1739</v>
    <v>128.06229999999999</v>
    <v>128.32839999999999</v>
    <v>127.7303</v>
    <v>126.96</v>
    <v>126.4943</v>
    <v>126.44</v>
    <v>126.2296</v>
    <v>125.0776</v>
    <v>125.41</v>
    <v>126.21</v>
    <v>126.4842</v>
    <v>126.71</v>
    <v>126.51</v>
    <v>126.2238</v>
    <v>126.75409999999999</v>
    <v>126.59310000000001</v>
    <v>126.4759</v>
    <v>126.43</v>
    <v>125.47</v>
    <v>125.6992</v>
    <v>126.03740000000001</v>
    <v>126.12</v>
    <v>126.601</v>
    <v>127.3402</v>
    <v>127.363</v>
    <v>126.9161</v>
    <v>126.9255</v>
    <v>128.25059999999999</v>
    <v>128.05770000000001</v>
    <v>128.1</v>
    <v>128.05000000000001</v>
    <v>127.81</v>
    <v>128.66</v>
    <v>128.71</v>
    <v>128.51</v>
    <v>128.61000000000001</v>
    <v>129.11000000000001</v>
    <v>128.66</v>
    <v>128.72999999999999</v>
    <v>128.63570000000001</v>
  </a>
  <a r="1" c="22">
    <v>125.47</v>
    <v>125.6992</v>
    <v>126.03740000000001</v>
    <v>126.12</v>
    <v>126.601</v>
    <v>127.3402</v>
    <v>127.363</v>
    <v>126.9161</v>
    <v>126.9255</v>
    <v>128.25059999999999</v>
    <v>128.05770000000001</v>
    <v>128.1</v>
    <v>128.05000000000001</v>
    <v>127.81</v>
    <v>128.66</v>
    <v>128.71</v>
    <v>128.51</v>
    <v>128.61000000000001</v>
    <v>129.11000000000001</v>
    <v>128.66</v>
    <v>128.72999999999999</v>
    <v>128.63570000000001</v>
  </a>
  <a r="1" c="254">
    <v>24.75</v>
    <v>24.02</v>
    <v>23.61</v>
    <v>23.7</v>
    <v>23.74</v>
    <v>23.64</v>
    <v>23.88</v>
    <v>24.18</v>
    <v>24.31</v>
    <v>24.53</v>
    <v>24.53</v>
    <v>24.33</v>
    <v>24.34</v>
    <v>24.24</v>
    <v>24.27</v>
    <v>23.98</v>
    <v>23.65</v>
    <v>23.58</v>
    <v>23.51</v>
    <v>23.38</v>
    <v>23.22</v>
    <v>23.44</v>
    <v>23.81</v>
    <v>24</v>
    <v>23.84</v>
    <v>24.07</v>
    <v>24.02</v>
    <v>23.82</v>
    <v>23.76</v>
    <v>23.95</v>
    <v>23.42</v>
    <v>23.37</v>
    <v>23.72</v>
    <v>24.02</v>
    <v>24.04</v>
    <v>23.97</v>
    <v>24.09</v>
    <v>23.98</v>
    <v>24.07</v>
    <v>24.34</v>
    <v>24.43</v>
    <v>24.07</v>
    <v>24.12</v>
    <v>24.28</v>
    <v>24.23</v>
    <v>24.24</v>
    <v>23.96</v>
    <v>24.16</v>
    <v>23.76</v>
    <v>23.67</v>
    <v>23.4</v>
    <v>23.23</v>
    <v>23.73</v>
    <v>23.42</v>
    <v>23.29</v>
    <v>23.12</v>
    <v>23.1</v>
    <v>22.53</v>
    <v>22.91</v>
    <v>23.21</v>
    <v>23.44</v>
    <v>23.39</v>
    <v>23.32</v>
    <v>22.94</v>
    <v>23.15</v>
    <v>23</v>
    <v>23.17</v>
    <v>23.21</v>
    <v>23.55</v>
    <v>23</v>
    <v>23.08</v>
    <v>23.03</v>
    <v>23.32</v>
    <v>23.01</v>
    <v>21.91</v>
    <v>21.75</v>
    <v>21.2</v>
    <v>22.14</v>
    <v>22.05</v>
    <v>22.46</v>
    <v>22.65</v>
    <v>22.63</v>
    <v>22.44</v>
    <v>22.77</v>
    <v>23.04</v>
    <v>22.91</v>
    <v>23.07</v>
    <v>23.43</v>
    <v>23.43</v>
    <v>23.71</v>
    <v>23.7</v>
    <v>24.17</v>
    <v>24.12</v>
    <v>24.85</v>
    <v>24.86</v>
    <v>24.64</v>
    <v>24.68</v>
    <v>24.31</v>
    <v>24.45</v>
    <v>24.5</v>
    <v>24.87</v>
    <v>25.07</v>
    <v>25.08</v>
    <v>24.87</v>
    <v>24.69</v>
    <v>24.5</v>
    <v>24.49</v>
    <v>24.24</v>
    <v>24.58</v>
    <v>24.52</v>
    <v>24.47</v>
    <v>24.3</v>
    <v>23.96</v>
    <v>24.15</v>
    <v>24.09</v>
    <v>24.14</v>
    <v>24.31</v>
    <v>24.25</v>
    <v>24.32</v>
    <v>24.28</v>
    <v>24.45</v>
    <v>24.54</v>
    <v>24.26</v>
    <v>23.93</v>
    <v>23.53</v>
    <v>23.59</v>
    <v>23.41</v>
    <v>23.53</v>
    <v>23.77</v>
    <v>23.82</v>
    <v>24.07</v>
    <v>24.07</v>
    <v>24.34</v>
    <v>24.38</v>
    <v>24.41</v>
    <v>24.41</v>
    <v>23.93</v>
    <v>23.95</v>
    <v>23.98</v>
    <v>24.11</v>
    <v>24.08</v>
    <v>24.09</v>
    <v>23.8</v>
    <v>23.71</v>
    <v>23.93</v>
    <v>23.93</v>
    <v>24.03</v>
    <v>23.99</v>
    <v>24.21</v>
    <v>24.3</v>
    <v>24.19</v>
    <v>24.05</v>
    <v>24.04</v>
    <v>23.84</v>
    <v>23.49</v>
    <v>23.98</v>
    <v>24.13</v>
    <v>24.24</v>
    <v>24.4</v>
    <v>24.38</v>
    <v>24.51</v>
    <v>24.6</v>
    <v>24.94</v>
    <v>25.27</v>
    <v>25.03</v>
    <v>24.98</v>
    <v>25.13</v>
    <v>25.18</v>
    <v>25.19</v>
    <v>25.19</v>
    <v>25.72</v>
    <v>25.5</v>
    <v>25.13</v>
    <v>25.05</v>
    <v>25.13</v>
    <v>24.87</v>
    <v>24.73</v>
    <v>24.87</v>
    <v>24.97</v>
    <v>25.03</v>
    <v>25.12</v>
    <v>25.17</v>
    <v>25.17</v>
    <v>25.33</v>
    <v>25.47</v>
    <v>25.55</v>
    <v>25.54</v>
    <v>25.95</v>
    <v>25.6</v>
    <v>25.59</v>
    <v>25.79</v>
    <v>25.74</v>
    <v>25.33</v>
    <v>25.27</v>
    <v>25.73</v>
    <v>25.78</v>
    <v>25.92</v>
    <v>26.21</v>
    <v>26.27</v>
    <v>26.2</v>
    <v>26.09</v>
    <v>25.99</v>
    <v>26.02</v>
    <v>25.98</v>
    <v>25.33</v>
    <v>25.71</v>
    <v>25.72</v>
    <v>25.66</v>
    <v>25.58</v>
    <v>25.7</v>
    <v>25.82</v>
    <v>25.74</v>
    <v>25.47</v>
    <v>25.65</v>
    <v>25.69</v>
    <v>25.96</v>
    <v>26.01</v>
    <v>25.91</v>
    <v>25.88</v>
    <v>25.85</v>
    <v>26.06</v>
    <v>25.98</v>
    <v>26.2</v>
    <v>26.01</v>
    <v>26.23</v>
    <v>26.47</v>
    <v>26.78</v>
    <v>26.53</v>
    <v>26.5</v>
    <v>26.45</v>
    <v>26.23</v>
    <v>26.16</v>
    <v>26.33</v>
    <v>26.05</v>
    <v>26.29</v>
    <v>26.47</v>
    <v>26.49</v>
    <v>26.64</v>
    <v>26.43</v>
    <v>26.6</v>
    <v>26.67</v>
    <v>26.73</v>
    <v>26.59</v>
    <v>26.64</v>
    <v>26.32</v>
    <v>26.37</v>
    <v>26.52</v>
    <v>26.87</v>
    <v>26.98</v>
    <v>27.09</v>
    <v>26.79</v>
    <v>26.6</v>
    <v>26.88</v>
    <v>27.2</v>
  </a>
  <a r="1" c="22">
    <v>26.33</v>
    <v>26.05</v>
    <v>26.29</v>
    <v>26.47</v>
    <v>26.49</v>
    <v>26.64</v>
    <v>26.43</v>
    <v>26.6</v>
    <v>26.67</v>
    <v>26.73</v>
    <v>26.59</v>
    <v>26.64</v>
    <v>26.32</v>
    <v>26.37</v>
    <v>26.52</v>
    <v>26.87</v>
    <v>26.98</v>
    <v>27.09</v>
    <v>26.79</v>
    <v>26.6</v>
    <v>26.88</v>
    <v>27.2</v>
  </a>
  <a r="1" c="254">
    <v>234.44</v>
    <v>231.07</v>
    <v>220.84</v>
    <v>219.86</v>
    <v>221.92</v>
    <v>221.41</v>
    <v>223.39</v>
    <v>225.68</v>
    <v>222.39</v>
    <v>220.68</v>
    <v>220.96</v>
    <v>221.14</v>
    <v>224.43</v>
    <v>224.52</v>
    <v>222.72</v>
    <v>221.71</v>
    <v>216.83</v>
    <v>217.25</v>
    <v>219.72</v>
    <v>224.04</v>
    <v>224.49</v>
    <v>225.46</v>
    <v>229.79</v>
    <v>228.29</v>
    <v>229.33</v>
    <v>228.69</v>
    <v>226.5</v>
    <v>226.75</v>
    <v>226.23</v>
    <v>228.53</v>
    <v>226.48</v>
    <v>223.83</v>
    <v>226.93</v>
    <v>229.4</v>
    <v>228.65</v>
    <v>226</v>
    <v>227.02</v>
    <v>225.7</v>
    <v>223.62</v>
    <v>226.14</v>
    <v>225.97</v>
    <v>227.21</v>
    <v>226.43</v>
    <v>224.26</v>
    <v>217.8</v>
    <v>216.23</v>
    <v>215.41</v>
    <v>215.68</v>
    <v>212.39</v>
    <v>214.65</v>
    <v>208.78</v>
    <v>206.42</v>
    <v>208.47</v>
    <v>205.28</v>
    <v>205.95</v>
    <v>200.77</v>
    <v>200.75</v>
    <v>201.1</v>
    <v>198.1</v>
    <v>202.89</v>
    <v>205.45</v>
    <v>203.21</v>
    <v>206.37</v>
    <v>205.06</v>
    <v>203.79</v>
    <v>208.86</v>
    <v>207.7</v>
    <v>205.59</v>
    <v>204.61</v>
    <v>200.45</v>
    <v>199.49</v>
    <v>199.51</v>
    <v>202.66</v>
    <v>189.65</v>
    <v>181.19</v>
    <v>179.55</v>
    <v>174.82</v>
    <v>189.68</v>
    <v>181.71</v>
    <v>184.36</v>
    <v>186.53</v>
    <v>186.76</v>
    <v>184.97</v>
    <v>186.48</v>
    <v>182.74</v>
    <v>187.47</v>
    <v>190.25</v>
    <v>194.06</v>
    <v>194.12</v>
    <v>194.94</v>
    <v>196.09</v>
    <v>194.86</v>
    <v>196.07</v>
    <v>200.48</v>
    <v>198.94</v>
    <v>196.77</v>
    <v>197.42</v>
    <v>201.18</v>
    <v>200.81</v>
    <v>207.87</v>
    <v>208.63</v>
    <v>206.78</v>
    <v>208.13</v>
    <v>209.85</v>
    <v>208.97</v>
    <v>209.08</v>
    <v>203.21</v>
    <v>203.2</v>
    <v>202.56</v>
    <v>207.7</v>
    <v>205.51</v>
    <v>206.12</v>
    <v>205.07</v>
    <v>205.71</v>
    <v>209.03</v>
    <v>208.44</v>
    <v>208.53</v>
    <v>211.9</v>
    <v>213.36</v>
    <v>214.51</v>
    <v>213.63</v>
    <v>212.78</v>
    <v>208.89</v>
    <v>210.77</v>
    <v>208.55</v>
    <v>209.65</v>
    <v>209.21</v>
    <v>211.77</v>
    <v>214.47</v>
    <v>211.97</v>
    <v>215.41</v>
    <v>215.48</v>
    <v>215.79</v>
    <v>218.01</v>
    <v>221.03</v>
    <v>223.08</v>
    <v>219.73</v>
    <v>221.25</v>
    <v>223.65</v>
    <v>224.8</v>
    <v>221.7</v>
    <v>223.19</v>
    <v>218.82</v>
    <v>221.02</v>
    <v>223.92</v>
    <v>222.33</v>
    <v>221.43</v>
    <v>223.27</v>
    <v>226.68</v>
    <v>223.55</v>
    <v>224.38</v>
    <v>224.12</v>
    <v>222.69</v>
    <v>221.56</v>
    <v>219.39</v>
    <v>214.92</v>
    <v>219.73</v>
    <v>220.85</v>
    <v>220.56</v>
    <v>219.84</v>
    <v>220.32</v>
    <v>220.27</v>
    <v>226.81</v>
    <v>231.22</v>
    <v>228.24</v>
    <v>227.13</v>
    <v>227.96</v>
    <v>226.21</v>
    <v>225.41</v>
    <v>225.97</v>
    <v>234.83</v>
    <v>232.36</v>
    <v>234.28</v>
    <v>235.94</v>
    <v>236.22</v>
    <v>235.17</v>
    <v>233.9</v>
    <v>233.67</v>
    <v>236.59</v>
    <v>237.77</v>
    <v>238.25</v>
    <v>236.85</v>
    <v>236.43</v>
    <v>240.8</v>
    <v>238.34</v>
    <v>239.35</v>
    <v>238.28</v>
    <v>238.89</v>
    <v>244.84</v>
    <v>242.98</v>
    <v>244.39</v>
    <v>243.84</v>
    <v>241.6</v>
    <v>239.29</v>
    <v>241.34</v>
    <v>241.62</v>
    <v>241.96</v>
    <v>242.49</v>
    <v>244.02</v>
    <v>245.83</v>
    <v>246.81</v>
    <v>244.16</v>
    <v>246.72</v>
    <v>245.13</v>
    <v>237.79</v>
    <v>244.41</v>
    <v>247.9</v>
    <v>250.33</v>
    <v>245.06</v>
    <v>243.41</v>
    <v>248.16</v>
    <v>246.99</v>
    <v>243.34</v>
    <v>246.42</v>
    <v>249.43</v>
    <v>250.3</v>
    <v>248.96</v>
    <v>246.84</v>
    <v>244.85</v>
    <v>246.23</v>
    <v>245.44</v>
    <v>241.2</v>
    <v>244.68</v>
    <v>240.35</v>
    <v>241.61</v>
    <v>244.03</v>
    <v>244.24</v>
    <v>243.64</v>
    <v>236.79</v>
    <v>237.48</v>
    <v>232.76</v>
    <v>233.47</v>
    <v>233.43</v>
    <v>229.11</v>
    <v>235.6</v>
    <v>239.9</v>
    <v>245.13</v>
    <v>247.3</v>
    <v>248.75</v>
    <v>245.62</v>
    <v>245.17</v>
    <v>249.63</v>
    <v>251.82</v>
    <v>250.77</v>
    <v>250.87</v>
    <v>251.39</v>
    <v>254.81</v>
    <v>257.8</v>
    <v>253.85</v>
    <v>251.93</v>
    <v>249.9</v>
    <v>247.24</v>
    <v>248.71</v>
    <v>250.79</v>
  </a>
  <a r="1" c="22">
    <v>233.43</v>
    <v>229.11</v>
    <v>235.6</v>
    <v>239.9</v>
    <v>245.13</v>
    <v>247.3</v>
    <v>248.75</v>
    <v>245.62</v>
    <v>245.17</v>
    <v>249.63</v>
    <v>251.82</v>
    <v>250.77</v>
    <v>250.87</v>
    <v>251.39</v>
    <v>254.81</v>
    <v>257.8</v>
    <v>253.85</v>
    <v>251.93</v>
    <v>249.9</v>
    <v>247.24</v>
    <v>248.71</v>
    <v>250.79</v>
  </a>
  <a r="1" c="254">
    <v>244.88</v>
    <v>243.94</v>
    <v>239.26</v>
    <v>239.6</v>
    <v>242.1</v>
    <v>240.96</v>
    <v>241.44</v>
    <v>243.07</v>
    <v>241.4</v>
    <v>240.63</v>
    <v>242.13</v>
    <v>245.42</v>
    <v>243.49</v>
    <v>243.19</v>
    <v>244.56</v>
    <v>245.86</v>
    <v>248.21</v>
    <v>245.74</v>
    <v>247.03</v>
    <v>248.88</v>
    <v>250.6</v>
    <v>249.27</v>
    <v>253.13</v>
    <v>254.43</v>
    <v>254.07</v>
    <v>255.65</v>
    <v>252.99</v>
    <v>255.18</v>
    <v>254.2</v>
    <v>258.05</v>
    <v>258.56</v>
    <v>259.94</v>
    <v>262.5</v>
    <v>264.13</v>
    <v>263.43</v>
    <v>263.89999999999998</v>
    <v>268.37</v>
    <v>267.39</v>
    <v>267.67</v>
    <v>270.31</v>
    <v>266.29000000000002</v>
    <v>270.7</v>
    <v>270.85000000000002</v>
    <v>270.99</v>
    <v>270.74</v>
    <v>272.20999999999998</v>
    <v>268.62</v>
    <v>269.02999999999997</v>
    <v>264.93</v>
    <v>263.27</v>
    <v>266.74</v>
    <v>269.06</v>
    <v>269.62</v>
    <v>268.25</v>
    <v>268.39</v>
    <v>266.04000000000002</v>
    <v>269.16000000000003</v>
    <v>270.33</v>
    <v>275.13</v>
    <v>275.24</v>
    <v>276.73</v>
    <v>279.95999999999998</v>
    <v>281.11</v>
    <v>280.75</v>
    <v>278.49</v>
    <v>277.25</v>
    <v>278.47000000000003</v>
    <v>278.24</v>
    <v>281.97000000000003</v>
    <v>284.06</v>
    <v>288.14</v>
    <v>287.57</v>
    <v>288.16000000000003</v>
    <v>286.42</v>
    <v>279.72000000000003</v>
    <v>273.70999999999998</v>
    <v>275.2</v>
    <v>285.38</v>
    <v>292.35000000000002</v>
    <v>297.93</v>
    <v>296.23</v>
    <v>297.77999999999997</v>
    <v>307.47000000000003</v>
    <v>306.12</v>
    <v>315.58999999999997</v>
    <v>311.11</v>
    <v>303.64999999999998</v>
    <v>308.07</v>
    <v>304.73</v>
    <v>309.07</v>
    <v>306.06</v>
    <v>303.77</v>
    <v>297.45999999999998</v>
    <v>297.98</v>
    <v>306.88</v>
    <v>315.48</v>
    <v>310.75</v>
    <v>304.63</v>
    <v>306.83999999999997</v>
    <v>298.19</v>
    <v>299.45999999999998</v>
    <v>293.16000000000003</v>
    <v>297.83999999999997</v>
    <v>294.24</v>
    <v>298.02999999999997</v>
    <v>303.58</v>
    <v>305.82</v>
    <v>303.11</v>
    <v>309.75</v>
    <v>304.5</v>
    <v>303.81</v>
    <v>305.61</v>
    <v>303.60000000000002</v>
    <v>311.67</v>
    <v>308.91000000000003</v>
    <v>310.89999999999998</v>
    <v>309.33</v>
    <v>305.18</v>
    <v>306.62</v>
    <v>306.70999999999998</v>
    <v>308.37</v>
    <v>312.2</v>
    <v>316.29000000000002</v>
    <v>311.77999999999997</v>
    <v>311.94</v>
    <v>310.26</v>
    <v>310.13</v>
    <v>311.08</v>
    <v>306.19</v>
    <v>307.12</v>
    <v>306.77999999999997</v>
    <v>301.22000000000003</v>
    <v>304.83</v>
    <v>307.55</v>
    <v>309.25</v>
    <v>307.14</v>
    <v>307.37</v>
    <v>304.16000000000003</v>
    <v>305.52</v>
    <v>306.2</v>
    <v>309.14</v>
    <v>308.01</v>
    <v>306.73</v>
    <v>308.26</v>
    <v>307.58999999999997</v>
    <v>308.39</v>
    <v>313.13</v>
    <v>316.10000000000002</v>
    <v>312.18</v>
    <v>310.27</v>
    <v>307.39999999999998</v>
    <v>305.41000000000003</v>
    <v>306.25</v>
    <v>300.95999999999998</v>
    <v>302.95999999999998</v>
    <v>309.11</v>
    <v>310.91000000000003</v>
    <v>311.16000000000003</v>
    <v>310.5</v>
    <v>313.12</v>
    <v>313.05</v>
    <v>308.55</v>
    <v>308.27</v>
    <v>309.20999999999998</v>
    <v>307.25</v>
    <v>307.43</v>
    <v>306.95</v>
    <v>305.27</v>
    <v>308.36</v>
    <v>307.29000000000002</v>
    <v>310.58</v>
    <v>309.83</v>
    <v>312.08</v>
    <v>312.70999999999998</v>
    <v>315.02999999999997</v>
    <v>318.07</v>
    <v>325.58999999999997</v>
    <v>328.14</v>
    <v>326.69</v>
    <v>331.05</v>
    <v>334.82</v>
    <v>334.06</v>
    <v>335.26</v>
    <v>334.76</v>
    <v>335.42</v>
    <v>338.91</v>
    <v>339.59</v>
    <v>336.97</v>
    <v>335.62</v>
    <v>339.18</v>
    <v>345.05</v>
    <v>346.46</v>
    <v>343.32</v>
    <v>344.75</v>
    <v>346.74</v>
    <v>352.46</v>
    <v>355.47</v>
    <v>356.03</v>
    <v>354.79</v>
    <v>357.64</v>
    <v>364.38</v>
    <v>366.26</v>
    <v>372.3</v>
    <v>365.43</v>
    <v>369.12</v>
    <v>378.09</v>
    <v>380.79</v>
    <v>387.39</v>
    <v>396.45</v>
    <v>388.99</v>
    <v>403.15</v>
    <v>377.24</v>
    <v>377.28</v>
    <v>378.79</v>
    <v>377.52</v>
    <v>367.01</v>
    <v>364.38</v>
    <v>363</v>
    <v>370.13</v>
    <v>368.12</v>
    <v>368.78</v>
    <v>362.32</v>
    <v>366.51</v>
    <v>366.07</v>
    <v>368.31</v>
    <v>378.38</v>
    <v>379.87</v>
    <v>385.99</v>
    <v>382.87</v>
    <v>375.96</v>
    <v>371.65</v>
    <v>374.35</v>
    <v>374.96</v>
    <v>374.85</v>
    <v>374.27</v>
    <v>380.2</v>
    <v>380.08</v>
    <v>383.12</v>
    <v>387.88</v>
    <v>389.75</v>
    <v>387.24</v>
    <v>386.88</v>
    <v>387.13</v>
    <v>386.44</v>
    <v>385.42</v>
    <v>387.4</v>
    <v>389.05</v>
    <v>393.24</v>
    <v>395.44</v>
    <v>395.8</v>
    <v>395.89</v>
    <v>399.29</v>
    <v>398.57</v>
    <v>399.02</v>
  </a>
  <a r="1" c="22">
    <v>374.96</v>
    <v>374.85</v>
    <v>374.27</v>
    <v>380.2</v>
    <v>380.08</v>
    <v>383.12</v>
    <v>387.88</v>
    <v>389.75</v>
    <v>387.24</v>
    <v>386.88</v>
    <v>387.13</v>
    <v>386.44</v>
    <v>385.42</v>
    <v>387.4</v>
    <v>389.05</v>
    <v>393.24</v>
    <v>395.44</v>
    <v>395.8</v>
    <v>395.89</v>
    <v>399.29</v>
    <v>398.57</v>
    <v>399.02</v>
  </a>
  <a r="1" c="254">
    <v>51.42</v>
    <v>49.62</v>
    <v>48.45</v>
    <v>47.96</v>
    <v>48.87</v>
    <v>48.26</v>
    <v>48.41</v>
    <v>48.42</v>
    <v>47.99</v>
    <v>46.69</v>
    <v>46.82</v>
    <v>47.72</v>
    <v>46.84</v>
    <v>48.01</v>
    <v>48.56</v>
    <v>47.93</v>
    <v>47.14</v>
    <v>47.46</v>
    <v>47.94</v>
    <v>48.54</v>
    <v>47.4</v>
    <v>47.47</v>
    <v>48.37</v>
    <v>49.25</v>
    <v>49.6</v>
    <v>50.06</v>
    <v>49.29</v>
    <v>49.65</v>
    <v>49.76</v>
    <v>50.02</v>
    <v>48.98</v>
    <v>50.2</v>
    <v>50.14</v>
    <v>49.57</v>
    <v>50.71</v>
    <v>50.68</v>
    <v>50.76</v>
    <v>51.28</v>
    <v>51.91</v>
    <v>52.38</v>
    <v>52.67</v>
    <v>53.22</v>
    <v>52.25</v>
    <v>52.86</v>
    <v>51.99</v>
    <v>51.67</v>
    <v>51.05</v>
    <v>51.49</v>
    <v>50.59</v>
    <v>50.52</v>
    <v>49.85</v>
    <v>50.02</v>
    <v>51.03</v>
    <v>51.45</v>
    <v>51.53</v>
    <v>50.16</v>
    <v>50.25</v>
    <v>50.98</v>
    <v>51.19</v>
    <v>52.36</v>
    <v>53.28</v>
    <v>52.41</v>
    <v>52.42</v>
    <v>52.26</v>
    <v>51.7</v>
    <v>52.04</v>
    <v>52.59</v>
    <v>52.01</v>
    <v>52.15</v>
    <v>51.62</v>
    <v>50.96</v>
    <v>52.05</v>
    <v>52.16</v>
    <v>54.26</v>
    <v>49.92</v>
    <v>48.52</v>
    <v>48.06</v>
    <v>51.86</v>
    <v>50.3</v>
    <v>50.68</v>
    <v>51.91</v>
    <v>52.19</v>
    <v>53.02</v>
    <v>54.93</v>
    <v>54.34</v>
    <v>55.51</v>
    <v>56.51</v>
    <v>57.34</v>
    <v>57.94</v>
    <v>58.12</v>
    <v>56.42</v>
    <v>56.97</v>
    <v>56.67</v>
    <v>56.94</v>
    <v>56.68</v>
    <v>58.39</v>
    <v>59.09</v>
    <v>58.11</v>
    <v>58.12</v>
    <v>57.84</v>
    <v>59.08</v>
    <v>59.36</v>
    <v>59.26</v>
    <v>59.51</v>
    <v>60.57</v>
    <v>60.53</v>
    <v>60.32</v>
    <v>59.83</v>
    <v>60.67</v>
    <v>61.13</v>
    <v>60.9</v>
    <v>61.23</v>
    <v>60.17</v>
    <v>60.64</v>
    <v>60.39</v>
    <v>60.25</v>
    <v>60.72</v>
    <v>61.24</v>
    <v>61.09</v>
    <v>61.36</v>
    <v>61.56</v>
    <v>61.57</v>
    <v>61.06</v>
    <v>59.82</v>
    <v>58.91</v>
    <v>58.97</v>
    <v>58.11</v>
    <v>57.94</v>
    <v>59.21</v>
    <v>59.68</v>
    <v>60.31</v>
    <v>60.32</v>
    <v>60.56</v>
    <v>61.12</v>
    <v>61.59</v>
    <v>61.7</v>
    <v>61.11</v>
    <v>60.89</v>
    <v>60.28</v>
    <v>60.29</v>
    <v>60.13</v>
    <v>59.61</v>
    <v>59.38</v>
    <v>59.77</v>
    <v>59.79</v>
    <v>59.46</v>
    <v>59.24</v>
    <v>59.03</v>
    <v>60.47</v>
    <v>60.85</v>
    <v>61.05</v>
    <v>60.06</v>
    <v>60.93</v>
    <v>60.17</v>
    <v>60.14</v>
    <v>59.6</v>
    <v>59.23</v>
    <v>60.19</v>
    <v>60.76</v>
    <v>61.65</v>
    <v>61.64</v>
    <v>61.54</v>
    <v>62.33</v>
    <v>61.99</v>
    <v>60.99</v>
    <v>61.34</v>
    <v>61.19</v>
    <v>61.25</v>
    <v>61.17</v>
    <v>61.55</v>
    <v>62.8</v>
    <v>61.71</v>
    <v>61.44</v>
    <v>61.94</v>
    <v>62.52</v>
    <v>61.94</v>
    <v>62.91</v>
    <v>62.8</v>
    <v>63.07</v>
    <v>63.83</v>
    <v>64.150000000000006</v>
    <v>64.260000000000005</v>
    <v>64.28</v>
    <v>65.709999999999994</v>
    <v>66.12</v>
    <v>66.77</v>
    <v>66.8</v>
    <v>66.53</v>
    <v>65.95</v>
    <v>66.099999999999994</v>
    <v>66.900000000000006</v>
    <v>67.430000000000007</v>
    <v>66.47</v>
    <v>66.180000000000007</v>
    <v>67.14</v>
    <v>67.459999999999994</v>
    <v>68.209999999999994</v>
    <v>66.78</v>
    <v>66.900000000000006</v>
    <v>66.81</v>
    <v>65.44</v>
    <v>65.040000000000006</v>
    <v>65.73</v>
    <v>65.42</v>
    <v>64.39</v>
    <v>65.47</v>
    <v>64.84</v>
    <v>65.87</v>
    <v>67.05</v>
    <v>66.13</v>
    <v>65.94</v>
    <v>65.069999999999993</v>
    <v>65.510000000000005</v>
    <v>66.02</v>
    <v>65.37</v>
    <v>66.33</v>
    <v>67.099999999999994</v>
    <v>67.430000000000007</v>
    <v>66.73</v>
    <v>66.53</v>
    <v>66.23</v>
    <v>65.650000000000006</v>
    <v>67.180000000000007</v>
    <v>66.97</v>
    <v>67.819999999999993</v>
    <v>67.91</v>
    <v>69.34</v>
    <v>68.16</v>
    <v>67.38</v>
    <v>67.22</v>
    <v>65.87</v>
    <v>66.67</v>
    <v>66.77</v>
    <v>66.02</v>
    <v>66.040000000000006</v>
    <v>66.55</v>
    <v>67.75</v>
    <v>67.88</v>
    <v>68.42</v>
    <v>68.459999999999994</v>
    <v>68.709999999999994</v>
    <v>68.430000000000007</v>
    <v>68.819999999999993</v>
    <v>68.680000000000007</v>
    <v>68.64</v>
    <v>69.27</v>
    <v>69.040000000000006</v>
    <v>71.06</v>
    <v>70.69</v>
    <v>70.48</v>
    <v>68.28</v>
    <v>67.45</v>
    <v>68.75</v>
    <v>68.849999999999994</v>
  </a>
  <a r="1" c="22">
    <v>66.77</v>
    <v>66.02</v>
    <v>66.040000000000006</v>
    <v>66.55</v>
    <v>67.75</v>
    <v>67.88</v>
    <v>68.42</v>
    <v>68.459999999999994</v>
    <v>68.709999999999994</v>
    <v>68.430000000000007</v>
    <v>68.819999999999993</v>
    <v>68.680000000000007</v>
    <v>68.64</v>
    <v>69.27</v>
    <v>69.040000000000006</v>
    <v>71.06</v>
    <v>70.69</v>
    <v>70.48</v>
    <v>68.28</v>
    <v>67.45</v>
    <v>68.75</v>
    <v>68.849999999999994</v>
  </a>
  <a r="1" c="254">
    <v>79.98</v>
    <v>79.045000000000002</v>
    <v>76.36</v>
    <v>76.650000000000006</v>
    <v>77.78</v>
    <v>77.95</v>
    <v>78.989999999999995</v>
    <v>79.169899999999998</v>
    <v>78.53</v>
    <v>77.739999999999995</v>
    <v>77.81</v>
    <v>77.63</v>
    <v>78.42</v>
    <v>78.31</v>
    <v>78.010000000000005</v>
    <v>78.16</v>
    <v>76.209999999999994</v>
    <v>76.7</v>
    <v>77.739999999999995</v>
    <v>80.13</v>
    <v>80.510000000000005</v>
    <v>81.430000000000007</v>
    <v>82.31</v>
    <v>82.02</v>
    <v>82.62</v>
    <v>82.84</v>
    <v>83.32</v>
    <v>83.35</v>
    <v>83.33</v>
    <v>84.1</v>
    <v>83.7</v>
    <v>83.13</v>
    <v>83.07</v>
    <v>83.9</v>
    <v>84.65</v>
    <v>84.13</v>
    <v>83.35</v>
    <v>83.67</v>
    <v>83.25</v>
    <v>83.98</v>
    <v>84.26</v>
    <v>84.81</v>
    <v>84.62</v>
    <v>83.12</v>
    <v>81.88</v>
    <v>81.96</v>
    <v>81.55</v>
    <v>81.61</v>
    <v>81.87</v>
    <v>83.56</v>
    <v>82.52</v>
    <v>79.349999999999994</v>
    <v>79.915000000000006</v>
    <v>78.3</v>
    <v>77.849999999999994</v>
    <v>75.47</v>
    <v>74.91</v>
    <v>75.3</v>
    <v>74.599999999999994</v>
    <v>76.44</v>
    <v>77.45</v>
    <v>77.13</v>
    <v>78.290000000000006</v>
    <v>78.290000000000006</v>
    <v>78.11</v>
    <v>79.78</v>
    <v>80.19</v>
    <v>79.760000000000005</v>
    <v>79.36</v>
    <v>77.67</v>
    <v>78.55</v>
    <v>78.430000000000007</v>
    <v>79.319999999999993</v>
    <v>74.41</v>
    <v>69.09</v>
    <v>69.23</v>
    <v>68.900000000000006</v>
    <v>74.53</v>
    <v>72.010000000000005</v>
    <v>73.319999999999993</v>
    <v>74.099999999999994</v>
    <v>74.42</v>
    <v>73.05</v>
    <v>73.569999999999993</v>
    <v>71.989999999999995</v>
    <v>74.349999999999994</v>
    <v>75.47</v>
    <v>76.92</v>
    <v>76.790000000000006</v>
    <v>76.95</v>
    <v>77.63</v>
    <v>77.7</v>
    <v>77.78</v>
    <v>79.52</v>
    <v>78.89</v>
    <v>78.36</v>
    <v>78.92</v>
    <v>79.78</v>
    <v>79.78</v>
    <v>81.849999999999994</v>
    <v>82.46</v>
    <v>82.35</v>
    <v>82.89</v>
    <v>83.33</v>
    <v>83.24</v>
    <v>82.82</v>
    <v>80.95</v>
    <v>81.010000000000005</v>
    <v>80.66</v>
    <v>82.21</v>
    <v>81.650000000000006</v>
    <v>82</v>
    <v>81.94</v>
    <v>81.96</v>
    <v>82.28</v>
    <v>81.86</v>
    <v>81.72</v>
    <v>82.91</v>
    <v>82.67</v>
    <v>82.9</v>
    <v>82.83</v>
    <v>82.61</v>
    <v>80.81</v>
    <v>81.69</v>
    <v>81.150000000000006</v>
    <v>81.400000000000006</v>
    <v>81.540000000000006</v>
    <v>82.4</v>
    <v>83.87</v>
    <v>83.86</v>
    <v>84.59</v>
    <v>84.79</v>
    <v>85.6</v>
    <v>86.19</v>
    <v>86.54</v>
    <v>87.42</v>
    <v>86.75</v>
    <v>85.95</v>
    <v>86.25</v>
    <v>86.95</v>
    <v>86.2</v>
    <v>86.7</v>
    <v>85.29</v>
    <v>85.88</v>
    <v>86.83</v>
    <v>86.98</v>
    <v>86.68</v>
    <v>86.99</v>
    <v>87.98</v>
    <v>87.98</v>
    <v>88.46</v>
    <v>88.06</v>
    <v>87.71</v>
    <v>87.74</v>
    <v>87.04</v>
    <v>85.29</v>
    <v>86.13</v>
    <v>85.77</v>
    <v>86.04</v>
    <v>85.16</v>
    <v>86.01</v>
    <v>86</v>
    <v>87.34</v>
    <v>87.47</v>
    <v>88.01</v>
    <v>86.98</v>
    <v>87.14</v>
    <v>87.01</v>
    <v>87.3</v>
    <v>87.06</v>
    <v>88.76</v>
    <v>88.41</v>
    <v>89.23</v>
    <v>89.34</v>
    <v>89.570800000000006</v>
    <v>89.69</v>
    <v>89.02</v>
    <v>88.77</v>
    <v>89.84</v>
    <v>88.13</v>
    <v>88.31</v>
    <v>88.82</v>
    <v>88.63</v>
    <v>90.01</v>
    <v>89.58</v>
    <v>89.58</v>
    <v>89.25</v>
    <v>90.16</v>
    <v>90.32</v>
    <v>90.57</v>
    <v>90.41</v>
    <v>89.89</v>
    <v>89.447999999999993</v>
    <v>89.27</v>
    <v>89.79</v>
    <v>90.2</v>
    <v>89.64</v>
    <v>88.674999999999997</v>
    <v>88.53</v>
    <v>89.13</v>
    <v>89.1</v>
    <v>89.03</v>
    <v>88.52</v>
    <v>88.32</v>
    <v>86.19</v>
    <v>87.33</v>
    <v>88.31</v>
    <v>88.56</v>
    <v>86.19</v>
    <v>86.84</v>
    <v>88.14</v>
    <v>87.92</v>
    <v>87.31</v>
    <v>87.54</v>
    <v>88.72</v>
    <v>89.11</v>
    <v>88.72</v>
    <v>87.62</v>
    <v>87.83</v>
    <v>88.13</v>
    <v>87.89</v>
    <v>88.05</v>
    <v>88.42</v>
    <v>88.12</v>
    <v>88.66</v>
    <v>89</v>
    <v>89.36</v>
    <v>90.17</v>
    <v>88.67</v>
    <v>87.78</v>
    <v>85.88</v>
    <v>85.775000000000006</v>
    <v>86.34</v>
    <v>85.33</v>
    <v>86.33</v>
    <v>86.93</v>
    <v>88.09</v>
    <v>88.82</v>
    <v>89.49</v>
    <v>88.79</v>
    <v>88.77</v>
    <v>90.14</v>
    <v>90.39</v>
    <v>90.52</v>
    <v>90.2</v>
    <v>89.82</v>
    <v>91.066000000000003</v>
    <v>92.575000000000003</v>
    <v>92.47</v>
    <v>92.47</v>
    <v>91.64</v>
    <v>91.61</v>
    <v>91.54</v>
    <v>92.13</v>
  </a>
  <a r="1" c="22">
    <v>86.34</v>
    <v>85.33</v>
    <v>86.33</v>
    <v>86.93</v>
    <v>88.09</v>
    <v>88.82</v>
    <v>89.49</v>
    <v>88.79</v>
    <v>88.77</v>
    <v>90.14</v>
    <v>90.39</v>
    <v>90.52</v>
    <v>90.2</v>
    <v>89.82</v>
    <v>91.066000000000003</v>
    <v>92.575000000000003</v>
    <v>92.47</v>
    <v>92.47</v>
    <v>91.64</v>
    <v>91.61</v>
    <v>91.54</v>
    <v>92.13</v>
  </a>
  <a r="1" c="254">
    <v>54.23</v>
    <v>53.73</v>
    <v>51.61</v>
    <v>51.88</v>
    <v>52.41</v>
    <v>52.55</v>
    <v>53.05</v>
    <v>53.18</v>
    <v>52.56</v>
    <v>52.4</v>
    <v>52.2</v>
    <v>52.41</v>
    <v>52.64</v>
    <v>52.68</v>
    <v>52.11</v>
    <v>52.37</v>
    <v>51.74</v>
    <v>51.67</v>
    <v>52.25</v>
    <v>52.39</v>
    <v>52.35</v>
    <v>52.84</v>
    <v>53.48</v>
    <v>53.39</v>
    <v>53.97</v>
    <v>54.07</v>
    <v>54.21</v>
    <v>55.14</v>
    <v>55.73</v>
    <v>56.4</v>
    <v>55.86</v>
    <v>55.82</v>
    <v>56.07</v>
    <v>56.33</v>
    <v>56.74</v>
    <v>56.77</v>
    <v>56.47</v>
    <v>56.03</v>
    <v>56.59</v>
    <v>56.94</v>
    <v>57.354700000000001</v>
    <v>57.72</v>
    <v>57.4</v>
    <v>56.69</v>
    <v>54.99</v>
    <v>55.43</v>
    <v>54.37</v>
    <v>54.76</v>
    <v>53.76</v>
    <v>54.65</v>
    <v>53.3</v>
    <v>52.48</v>
    <v>53.02</v>
    <v>50.7</v>
    <v>50.58</v>
    <v>48.8</v>
    <v>48.16</v>
    <v>48.25</v>
    <v>46.78</v>
    <v>48.28</v>
    <v>49.21</v>
    <v>48.37</v>
    <v>49.76</v>
    <v>49.7</v>
    <v>49.6</v>
    <v>51.18</v>
    <v>50.97</v>
    <v>50.72</v>
    <v>50.32</v>
    <v>48.7</v>
    <v>48.65</v>
    <v>48.7</v>
    <v>49.76</v>
    <v>45.92</v>
    <v>43.48</v>
    <v>43.34</v>
    <v>42.84</v>
    <v>47.96</v>
    <v>45.48</v>
    <v>46.02</v>
    <v>46.27</v>
    <v>46.64</v>
    <v>46.29</v>
    <v>46.7</v>
    <v>45.49</v>
    <v>46.98</v>
    <v>47.67</v>
    <v>48.18</v>
    <v>48.3</v>
    <v>48.48</v>
    <v>48.36</v>
    <v>48.01</v>
    <v>48.25</v>
    <v>49.85</v>
    <v>49.89</v>
    <v>49.43</v>
    <v>49.89</v>
    <v>50.5</v>
    <v>50.06</v>
    <v>52.01</v>
    <v>52.79</v>
    <v>52.73</v>
    <v>52.53</v>
    <v>53.25</v>
    <v>53.05</v>
    <v>52.63</v>
    <v>51.35</v>
    <v>51.61</v>
    <v>51.65</v>
    <v>53.24</v>
    <v>53.08</v>
    <v>53.06</v>
    <v>53.31</v>
    <v>53.65</v>
    <v>53.92</v>
    <v>54.01</v>
    <v>53.81</v>
    <v>54.5</v>
    <v>54.39</v>
    <v>54.04</v>
    <v>53.98</v>
    <v>53.94</v>
    <v>52.85</v>
    <v>54.16</v>
    <v>53.8</v>
    <v>53.99</v>
    <v>54.28</v>
    <v>55</v>
    <v>55.7</v>
    <v>55.27</v>
    <v>56.07</v>
    <v>56.75</v>
    <v>56.9</v>
    <v>57.08</v>
    <v>57.5</v>
    <v>57.81</v>
    <v>57.45</v>
    <v>57.47</v>
    <v>57.53</v>
    <v>58.43</v>
    <v>57.73</v>
    <v>58.16</v>
    <v>57.47</v>
    <v>57.77</v>
    <v>58.58</v>
    <v>58.69</v>
    <v>58.58</v>
    <v>58.85</v>
    <v>59.35</v>
    <v>58.42</v>
    <v>58.76</v>
    <v>58.66</v>
    <v>57.85</v>
    <v>58.36</v>
    <v>57.62</v>
    <v>56.81</v>
    <v>57.5</v>
    <v>56.82</v>
    <v>56.9</v>
    <v>56.83</v>
    <v>56.42</v>
    <v>56.53</v>
    <v>57.97</v>
    <v>58.74</v>
    <v>58.32</v>
    <v>58.41</v>
    <v>58.63</v>
    <v>58.58</v>
    <v>58.41</v>
    <v>58.25</v>
    <v>59.54</v>
    <v>59.21</v>
    <v>59.69</v>
    <v>59.64</v>
    <v>59.73</v>
    <v>59.5</v>
    <v>59.06</v>
    <v>59.4</v>
    <v>59.59</v>
    <v>59.49</v>
    <v>59.88</v>
    <v>59.75</v>
    <v>59.74</v>
    <v>61.88</v>
    <v>61.91</v>
    <v>62.19</v>
    <v>61.18</v>
    <v>61.51</v>
    <v>61.83</v>
    <v>61.84</v>
    <v>61.86</v>
    <v>61.98</v>
    <v>61.4</v>
    <v>61.19</v>
    <v>61.7</v>
    <v>61.78</v>
    <v>60.58</v>
    <v>60.12</v>
    <v>60.35</v>
    <v>59.93</v>
    <v>59.8</v>
    <v>58.93</v>
    <v>58.62</v>
    <v>58.21</v>
    <v>56.96</v>
    <v>57.71</v>
    <v>58.74</v>
    <v>59.06</v>
    <v>58.1</v>
    <v>57.89</v>
    <v>58.63</v>
    <v>59.61</v>
    <v>59.54</v>
    <v>60.01</v>
    <v>59.8</v>
    <v>60.08</v>
    <v>58.98</v>
    <v>58.26</v>
    <v>57.98</v>
    <v>58.55</v>
    <v>58.22</v>
    <v>57.45</v>
    <v>57.61</v>
    <v>56.94</v>
    <v>58.16</v>
    <v>58.76</v>
    <v>58.97</v>
    <v>58.69</v>
    <v>57.84</v>
    <v>57.9</v>
    <v>56.76</v>
    <v>57.4</v>
    <v>57.02</v>
    <v>55.74</v>
    <v>57.04</v>
    <v>56.58</v>
    <v>58.09</v>
    <v>58.63</v>
    <v>59.19</v>
    <v>59.19</v>
    <v>59.37</v>
    <v>59.63</v>
    <v>59.53</v>
    <v>59.6</v>
    <v>59.89</v>
    <v>60.32</v>
    <v>60.58</v>
    <v>61.48</v>
    <v>61.4</v>
    <v>61.3</v>
    <v>61.23</v>
    <v>60.73</v>
    <v>61.22</v>
    <v>61.69</v>
  </a>
  <a r="1" c="22">
    <v>57.02</v>
    <v>55.74</v>
    <v>57.04</v>
    <v>56.58</v>
    <v>58.09</v>
    <v>58.63</v>
    <v>59.19</v>
    <v>59.19</v>
    <v>59.37</v>
    <v>59.63</v>
    <v>59.53</v>
    <v>59.6</v>
    <v>59.89</v>
    <v>60.32</v>
    <v>60.58</v>
    <v>61.48</v>
    <v>61.4</v>
    <v>61.3</v>
    <v>61.23</v>
    <v>60.73</v>
    <v>61.22</v>
    <v>61.69</v>
  </a>
  <a r="1" c="22">
    <v>74.23</v>
    <v>74.34</v>
    <v>74.52</v>
    <v>74.650000000000006</v>
    <v>74.819999999999993</v>
    <v>74.900000000000006</v>
    <v>74.78</v>
    <v>74.25</v>
    <v>74.319999999999993</v>
    <v>74.430000000000007</v>
    <v>74.290000000000006</v>
    <v>74.2</v>
    <v>74.09</v>
    <v>74.040000000000006</v>
    <v>74.260000000000005</v>
    <v>74.260000000000005</v>
    <v>74.03</v>
    <v>74.12</v>
    <v>74.260000000000005</v>
    <v>74.239999999999995</v>
    <v>74.150000000000006</v>
    <v>74.040000000000006</v>
  </a>
  <a r="1" c="254">
    <v>72.75</v>
    <v>72.760000000000005</v>
    <v>72.19</v>
    <v>71.989999999999995</v>
    <v>72.209999999999994</v>
    <v>71.98</v>
    <v>71.849999999999994</v>
    <v>71.900000000000006</v>
    <v>71.75</v>
    <v>72.03</v>
    <v>71.91</v>
    <v>71.94</v>
    <v>71.849999999999994</v>
    <v>71.78</v>
    <v>71.53</v>
    <v>71.61</v>
    <v>71.239999999999995</v>
    <v>71.17</v>
    <v>71.22</v>
    <v>71.790000000000006</v>
    <v>71.930000000000007</v>
    <v>71.95</v>
    <v>72.16</v>
    <v>72.010000000000005</v>
    <v>71.900000000000006</v>
    <v>72.040000000000006</v>
    <v>72.42</v>
    <v>72.38</v>
    <v>72.34</v>
    <v>72.44</v>
    <v>72.34</v>
    <v>72.17</v>
    <v>72.27</v>
    <v>72.64</v>
    <v>72.56</v>
    <v>72.34</v>
    <v>72.36</v>
    <v>72.239999999999995</v>
    <v>71.87</v>
    <v>72.3</v>
    <v>72.53</v>
    <v>72.260000000000005</v>
    <v>72.36</v>
    <v>72.45</v>
    <v>72.765000000000001</v>
    <v>72.87</v>
    <v>73.33</v>
    <v>73.44</v>
    <v>73.349999999999994</v>
    <v>73.66</v>
    <v>73.61</v>
    <v>73.400000000000006</v>
    <v>73.14</v>
    <v>73.08</v>
    <v>73</v>
    <v>73.34</v>
    <v>73.06</v>
    <v>72.91</v>
    <v>73.13</v>
    <v>72.95</v>
    <v>73.05</v>
    <v>73.13</v>
    <v>73.349999999999994</v>
    <v>73.38</v>
    <v>73.319999999999993</v>
    <v>73</v>
    <v>73.09</v>
    <v>72.930000000000007</v>
    <v>72.900000000000006</v>
    <v>73.319999999999993</v>
    <v>73.45</v>
    <v>73.44</v>
    <v>73.38</v>
    <v>73.760000000000005</v>
    <v>73.819999999999993</v>
    <v>72.930000000000007</v>
    <v>72.510000000000005</v>
    <v>72.680000000000007</v>
    <v>72.099999999999994</v>
    <v>72.02</v>
    <v>72.430000000000007</v>
    <v>72.61</v>
    <v>72.81</v>
    <v>72.650000000000006</v>
    <v>72.25</v>
    <v>72.38</v>
    <v>72.53</v>
    <v>72.94</v>
    <v>73.180000000000007</v>
    <v>73.36</v>
    <v>73.55</v>
    <v>73.5</v>
    <v>73.06</v>
    <v>72.7</v>
    <v>72.599999999999994</v>
    <v>72.760000000000005</v>
    <v>72.900000000000006</v>
    <v>72.510000000000005</v>
    <v>72.569999999999993</v>
    <v>72.319999999999993</v>
    <v>72.290000000000006</v>
    <v>72.040000000000006</v>
    <v>72.430000000000007</v>
    <v>72.48</v>
    <v>72.459999999999994</v>
    <v>72.33</v>
    <v>71.88</v>
    <v>72.08</v>
    <v>72.19</v>
    <v>72.53</v>
    <v>72.37</v>
    <v>72.63</v>
    <v>72.77</v>
    <v>72.37</v>
    <v>72.290000000000006</v>
    <v>72.739999999999995</v>
    <v>72.599999999999994</v>
    <v>72.204999999999998</v>
    <v>72.319999999999993</v>
    <v>72.459999999999994</v>
    <v>72.69</v>
    <v>72.959999999999994</v>
    <v>72.7</v>
    <v>72.56</v>
    <v>72.790000000000006</v>
    <v>72.83</v>
    <v>72.88</v>
    <v>73.06</v>
    <v>73.28</v>
    <v>73.3</v>
    <v>73.510000000000005</v>
    <v>73.34</v>
    <v>73.63</v>
    <v>73.34</v>
    <v>73.260000000000005</v>
    <v>73.08</v>
    <v>72.84</v>
    <v>72.8</v>
    <v>73.09</v>
    <v>73.099999999999994</v>
    <v>72.8</v>
    <v>72.790000000000006</v>
    <v>72.569999999999993</v>
    <v>72.709999999999994</v>
    <v>72.73</v>
    <v>72.849999999999994</v>
    <v>73.06</v>
    <v>73.180000000000007</v>
    <v>73.03</v>
    <v>72.94</v>
    <v>73.12</v>
    <v>73</v>
    <v>73.38</v>
    <v>73.19</v>
    <v>73.2</v>
    <v>73.59</v>
    <v>73.64</v>
    <v>73.67</v>
    <v>73.61</v>
    <v>73.58</v>
    <v>73.42</v>
    <v>73.47</v>
    <v>73.48</v>
    <v>73.75</v>
    <v>73.540000000000006</v>
    <v>73.44</v>
    <v>73.36</v>
    <v>73.5</v>
    <v>73.55</v>
    <v>73.37</v>
    <v>73.739999999999995</v>
    <v>73.64</v>
    <v>73.73</v>
    <v>73.8</v>
    <v>73.89</v>
    <v>73.8</v>
    <v>73.400000000000006</v>
    <v>73.64</v>
    <v>73.92</v>
    <v>74.27</v>
    <v>74.510000000000005</v>
    <v>74.37</v>
    <v>74.5</v>
    <v>74.66</v>
    <v>74.569999999999993</v>
    <v>74.709999999999994</v>
    <v>74.72</v>
    <v>74.59</v>
    <v>74.400000000000006</v>
    <v>74.430000000000007</v>
    <v>74.290000000000006</v>
    <v>74.44</v>
    <v>74.290000000000006</v>
    <v>74.209999999999994</v>
    <v>74.209999999999994</v>
    <v>74.400000000000006</v>
    <v>74.37</v>
    <v>74.319999999999993</v>
    <v>74.400000000000006</v>
    <v>74.31</v>
    <v>74.14</v>
    <v>74.28</v>
    <v>74.28</v>
    <v>74.23</v>
    <v>74.52</v>
    <v>74.64</v>
    <v>74.75</v>
    <v>74.7</v>
    <v>74.98</v>
    <v>74.88</v>
    <v>74.98</v>
    <v>75.069999999999993</v>
    <v>75.069999999999993</v>
    <v>74.92</v>
    <v>75.02</v>
    <v>75.06</v>
    <v>75.099999999999994</v>
    <v>74.73</v>
    <v>74.599999999999994</v>
    <v>74.58</v>
    <v>74.25</v>
    <v>74.290000000000006</v>
    <v>74.08</v>
    <v>74.37</v>
    <v>74.33</v>
    <v>74.31</v>
    <v>74.52</v>
    <v>74.489999999999995</v>
    <v>74.27</v>
    <v>74.16</v>
    <v>74.2</v>
    <v>74.260000000000005</v>
    <v>74.23</v>
    <v>74.34</v>
    <v>74.52</v>
    <v>74.650000000000006</v>
    <v>74.819999999999993</v>
    <v>74.900000000000006</v>
    <v>74.78</v>
    <v>74.25</v>
    <v>74.319999999999993</v>
    <v>74.430000000000007</v>
    <v>74.290000000000006</v>
    <v>74.2</v>
    <v>74.09</v>
    <v>74.040000000000006</v>
    <v>74.260000000000005</v>
    <v>74.260000000000005</v>
    <v>74.03</v>
    <v>74.12</v>
    <v>74.260000000000005</v>
    <v>74.239999999999995</v>
    <v>74.150000000000006</v>
    <v>74.040000000000006</v>
  </a>
  <a r="1" c="254">
    <v>538.16999999999996</v>
    <v>535.79999999999995</v>
    <v>516.47</v>
    <v>514.16999999999996</v>
    <v>518.66</v>
    <v>522.87</v>
    <v>529.96</v>
    <v>529.6</v>
    <v>522.55999999999995</v>
    <v>515.61</v>
    <v>511.23</v>
    <v>510.23</v>
    <v>518.58000000000004</v>
    <v>524.54</v>
    <v>515.17999999999995</v>
    <v>515.27</v>
    <v>507.19</v>
    <v>505.56</v>
    <v>505.08</v>
    <v>516.70000000000005</v>
    <v>513.08000000000004</v>
    <v>521.74</v>
    <v>524.79999999999995</v>
    <v>531.51</v>
    <v>532.64</v>
    <v>529.63</v>
    <v>514.21</v>
    <v>521.80999999999995</v>
    <v>520.83000000000004</v>
    <v>523.04999999999995</v>
    <v>522.29</v>
    <v>518.11</v>
    <v>524.47</v>
    <v>526.85</v>
    <v>529.6</v>
    <v>522.91999999999996</v>
    <v>529.25</v>
    <v>527.99</v>
    <v>528.29999999999995</v>
    <v>535.9</v>
    <v>538.15</v>
    <v>539.37</v>
    <v>539.52</v>
    <v>537.23</v>
    <v>526.08000000000004</v>
    <v>519.87</v>
    <v>513.32000000000005</v>
    <v>514.55999999999995</v>
    <v>500.27</v>
    <v>508.17</v>
    <v>497.05</v>
    <v>495.55</v>
    <v>502.01</v>
    <v>488.2</v>
    <v>491.79</v>
    <v>472.73</v>
    <v>471.6</v>
    <v>476.92</v>
    <v>468.34</v>
    <v>479.66</v>
    <v>482.77</v>
    <v>474.54</v>
    <v>480.89</v>
    <v>479.26</v>
    <v>480.84</v>
    <v>490.66</v>
    <v>493.46</v>
    <v>484.38</v>
    <v>481.62</v>
    <v>468.94</v>
    <v>468.92</v>
    <v>472.7</v>
    <v>476.15</v>
    <v>450.66</v>
    <v>422.67</v>
    <v>423.69</v>
    <v>416.06</v>
    <v>466</v>
    <v>446.18</v>
    <v>454.4</v>
    <v>457.48</v>
    <v>457.99</v>
    <v>444.18</v>
    <v>444.1</v>
    <v>433.11</v>
    <v>444.48</v>
    <v>454.56</v>
    <v>467.35</v>
    <v>472.56</v>
    <v>472.41</v>
    <v>475.53</v>
    <v>475.47</v>
    <v>481.68</v>
    <v>488.83</v>
    <v>485.93</v>
    <v>481.41</v>
    <v>483.3</v>
    <v>488.29</v>
    <v>487.97</v>
    <v>507.85</v>
    <v>515.59</v>
    <v>518.67999999999995</v>
    <v>519.25</v>
    <v>521.51</v>
    <v>522.01</v>
    <v>520.27</v>
    <v>513.04</v>
    <v>514</v>
    <v>509.24</v>
    <v>521.22</v>
    <v>518.91</v>
    <v>519.92999999999995</v>
    <v>519.11</v>
    <v>523.21</v>
    <v>527.29999999999995</v>
    <v>528.77</v>
    <v>524.79</v>
    <v>529.91999999999996</v>
    <v>530.70000000000005</v>
    <v>534.21</v>
    <v>532.41</v>
    <v>533.66</v>
    <v>526.96</v>
    <v>534.29</v>
    <v>529.08000000000004</v>
    <v>528.99</v>
    <v>526.83000000000004</v>
    <v>531.65</v>
    <v>539.78</v>
    <v>541.16</v>
    <v>546.22</v>
    <v>548.09</v>
    <v>551.64</v>
    <v>546.99</v>
    <v>550.79999999999995</v>
    <v>556.22</v>
    <v>552.03</v>
    <v>552.34</v>
    <v>556.25</v>
    <v>555.45000000000005</v>
    <v>554.20000000000005</v>
    <v>556.21</v>
    <v>556.72</v>
    <v>557.29</v>
    <v>561.79999999999995</v>
    <v>561.26</v>
    <v>564.16999999999996</v>
    <v>561.25</v>
    <v>563.80999999999995</v>
    <v>565.01</v>
    <v>566.37</v>
    <v>568.14</v>
    <v>567.26</v>
    <v>568.02</v>
    <v>565.01</v>
    <v>553.88</v>
    <v>564.1</v>
    <v>560.27</v>
    <v>567.32000000000005</v>
    <v>569.24</v>
    <v>574.54999999999995</v>
    <v>572.85</v>
    <v>580.04999999999995</v>
    <v>580.34</v>
    <v>579.89</v>
    <v>577.34</v>
    <v>577.11</v>
    <v>569.28</v>
    <v>565.9</v>
    <v>563.28</v>
    <v>571.97</v>
    <v>570.32000000000005</v>
    <v>572.61</v>
    <v>573.49</v>
    <v>577.08000000000004</v>
    <v>570.4</v>
    <v>565.62</v>
    <v>570.07000000000005</v>
    <v>575.23</v>
    <v>576.05999999999995</v>
    <v>578.87</v>
    <v>580.51</v>
    <v>580.70000000000005</v>
    <v>584.08000000000004</v>
    <v>586.66</v>
    <v>591.67999999999995</v>
    <v>591.17999999999995</v>
    <v>590</v>
    <v>595.32000000000005</v>
    <v>599.35</v>
    <v>602.20000000000005</v>
    <v>598.20000000000005</v>
    <v>596.1</v>
    <v>593.53</v>
    <v>595.97</v>
    <v>598.73</v>
    <v>600.37</v>
    <v>603.25</v>
    <v>605.73</v>
    <v>603.17999999999995</v>
    <v>607.71</v>
    <v>604.51</v>
    <v>611.44000000000005</v>
    <v>610.70000000000005</v>
    <v>589.5</v>
    <v>602.01</v>
    <v>598</v>
    <v>602.22</v>
    <v>599.99</v>
    <v>603.92999999999995</v>
    <v>611.54</v>
    <v>611.38</v>
    <v>605.49</v>
    <v>610.58000000000004</v>
    <v>617.1</v>
    <v>628.09</v>
    <v>632.91999999999996</v>
    <v>635.77</v>
    <v>626.04999999999995</v>
    <v>629.07000000000005</v>
    <v>632.08000000000004</v>
    <v>619.25</v>
    <v>623.28</v>
    <v>611.66999999999996</v>
    <v>609.74</v>
    <v>623.23</v>
    <v>621.57000000000005</v>
    <v>621.08000000000004</v>
    <v>608.4</v>
    <v>608.86</v>
    <v>603.66</v>
    <v>596.30999999999995</v>
    <v>599.87</v>
    <v>585.66999999999996</v>
    <v>590.07000000000005</v>
    <v>605.16</v>
    <v>608.89</v>
    <v>614.27</v>
    <v>619.25</v>
    <v>617.16999999999996</v>
    <v>622</v>
    <v>623.52</v>
    <v>622.94000000000005</v>
    <v>625.48</v>
    <v>624.28</v>
    <v>625.04999999999995</v>
    <v>627.61</v>
    <v>625.58000000000004</v>
    <v>613.62</v>
    <v>610.54</v>
    <v>611.75</v>
    <v>600.41</v>
    <v>609.11</v>
    <v>617.04999999999995</v>
  </a>
  <a r="1" c="22">
    <v>599.87</v>
    <v>585.66999999999996</v>
    <v>590.07000000000005</v>
    <v>605.16</v>
    <v>608.89</v>
    <v>614.27</v>
    <v>619.25</v>
    <v>617.16999999999996</v>
    <v>622</v>
    <v>623.52</v>
    <v>622.94000000000005</v>
    <v>625.48</v>
    <v>624.28</v>
    <v>625.04999999999995</v>
    <v>627.61</v>
    <v>625.58000000000004</v>
    <v>613.62</v>
    <v>610.54</v>
    <v>611.75</v>
    <v>600.41</v>
    <v>609.11</v>
    <v>617.04999999999995</v>
  </a>
  <a r="1" c="254">
    <v>48.27</v>
    <v>47.720799999999997</v>
    <v>45.827500000000001</v>
    <v>44.977200000000003</v>
    <v>45.68</v>
    <v>45.544199999999996</v>
    <v>45.9373</v>
    <v>45.936599999999999</v>
    <v>45.344000000000001</v>
    <v>45.105699999999999</v>
    <v>45.3063</v>
    <v>44.931100000000001</v>
    <v>45.4651</v>
    <v>44.849499999999999</v>
    <v>44.324599999999997</v>
    <v>44.595399999999998</v>
    <v>43.758499999999998</v>
    <v>44.14</v>
    <v>45.256599999999999</v>
    <v>46.084800000000001</v>
    <v>46.562199999999997</v>
    <v>46.722499999999997</v>
    <v>47.097000000000001</v>
    <v>46.591799999999999</v>
    <v>46.594900000000003</v>
    <v>46.61</v>
    <v>47.579900000000002</v>
    <v>47.09</v>
    <v>46.567399999999999</v>
    <v>47.261800000000001</v>
    <v>46.64</v>
    <v>46.083399999999997</v>
    <v>46.353499999999997</v>
    <v>46.84</v>
    <v>47.005600000000001</v>
    <v>46.231699999999996</v>
    <v>46.361800000000002</v>
    <v>46.41</v>
    <v>45.9178</v>
    <v>46.318800000000003</v>
    <v>46.776899999999998</v>
    <v>46.595300000000002</v>
    <v>46.235300000000002</v>
    <v>46.2714</v>
    <v>45.428800000000003</v>
    <v>45.542999999999999</v>
    <v>46.4895</v>
    <v>46.123899999999999</v>
    <v>45.905099999999997</v>
    <v>46.23</v>
    <v>45.834400000000002</v>
    <v>45.262599999999999</v>
    <v>45.770299999999999</v>
    <v>45.537700000000001</v>
    <v>45.705199999999998</v>
    <v>45.402299999999997</v>
    <v>44.69</v>
    <v>44.32</v>
    <v>43.595700000000001</v>
    <v>44.405299999999997</v>
    <v>44.988399999999999</v>
    <v>44.622500000000002</v>
    <v>44.880200000000002</v>
    <v>45.001100000000001</v>
    <v>44.446800000000003</v>
    <v>45.433500000000002</v>
    <v>45.123800000000003</v>
    <v>45.140999999999998</v>
    <v>45.02</v>
    <v>44.448099999999997</v>
    <v>44.706299999999999</v>
    <v>44.831899999999997</v>
    <v>45.363300000000002</v>
    <v>43.263399999999997</v>
    <v>42.005000000000003</v>
    <v>40.790799999999997</v>
    <v>39.481299999999997</v>
    <v>42.043399999999998</v>
    <v>40.700000000000003</v>
    <v>40.960299999999997</v>
    <v>41.654200000000003</v>
    <v>41.418799999999997</v>
    <v>40.886099999999999</v>
    <v>41.488500000000002</v>
    <v>40.622500000000002</v>
    <v>41.913800000000002</v>
    <v>41.996600000000001</v>
    <v>42.414499999999997</v>
    <v>42.22</v>
    <v>42.42</v>
    <v>42.663200000000003</v>
    <v>42.929400000000001</v>
    <v>42.92</v>
    <v>43.834899999999998</v>
    <v>43.41</v>
    <v>42.831099999999999</v>
    <v>42.84</v>
    <v>43.116</v>
    <v>42.990099999999998</v>
    <v>44.11</v>
    <v>43.918300000000002</v>
    <v>43.207999999999998</v>
    <v>43.763100000000001</v>
    <v>44.3264</v>
    <v>44.046399999999998</v>
    <v>43.6785</v>
    <v>42.279499999999999</v>
    <v>41.99</v>
    <v>41.86</v>
    <v>42.6693</v>
    <v>42.148099999999999</v>
    <v>42.447099999999999</v>
    <v>42.4405</v>
    <v>42.09</v>
    <v>42.499400000000001</v>
    <v>42.85</v>
    <v>42.691899999999997</v>
    <v>42.720999999999997</v>
    <v>43.080500000000001</v>
    <v>43.760100000000001</v>
    <v>43.288400000000003</v>
    <v>43.478999999999999</v>
    <v>42.6</v>
    <v>42.76</v>
    <v>41.983699999999999</v>
    <v>42.131399999999999</v>
    <v>42.497100000000003</v>
    <v>43.3108</v>
    <v>43.52</v>
    <v>42.83</v>
    <v>43.24</v>
    <v>43.39</v>
    <v>43.46</v>
    <v>44.469099999999997</v>
    <v>44.92</v>
    <v>44.771000000000001</v>
    <v>44.129199999999997</v>
    <v>44.321800000000003</v>
    <v>45</v>
    <v>45.3765</v>
    <v>45.020400000000002</v>
    <v>44.902000000000001</v>
    <v>43.625100000000003</v>
    <v>43.99</v>
    <v>44.288899999999998</v>
    <v>44.05</v>
    <v>44.23</v>
    <v>45.807600000000001</v>
    <v>45.983800000000002</v>
    <v>45.258800000000001</v>
    <v>45.446199999999997</v>
    <v>45.185299999999998</v>
    <v>45.350499999999997</v>
    <v>44.426200000000001</v>
    <v>43.854799999999997</v>
    <v>44.184699999999999</v>
    <v>44.9313</v>
    <v>45.48</v>
    <v>45.388599999999997</v>
    <v>45.455800000000004</v>
    <v>45.425400000000003</v>
    <v>45.195799999999998</v>
    <v>46.252600000000001</v>
    <v>47.743400000000001</v>
    <v>47.163699999999999</v>
    <v>47.0764</v>
    <v>46.776200000000003</v>
    <v>47.46</v>
    <v>46.843400000000003</v>
    <v>46.5319</v>
    <v>48.423699999999997</v>
    <v>47.9221</v>
    <v>47.793599999999998</v>
    <v>47.9373</v>
    <v>47.762300000000003</v>
    <v>47.835000000000001</v>
    <v>47.188899999999997</v>
    <v>47.495399999999997</v>
    <v>48.606900000000003</v>
    <v>49.445799999999998</v>
    <v>49.398200000000003</v>
    <v>48.561</v>
    <v>48.310600000000001</v>
    <v>49.334899999999998</v>
    <v>48.65</v>
    <v>48.334600000000002</v>
    <v>47.993299999999998</v>
    <v>47.7669</v>
    <v>48.073099999999997</v>
    <v>47.495800000000003</v>
    <v>47.186100000000003</v>
    <v>47.2074</v>
    <v>47.037700000000001</v>
    <v>46.610700000000001</v>
    <v>47.120899999999999</v>
    <v>47.142000000000003</v>
    <v>47.044499999999999</v>
    <v>47.161000000000001</v>
    <v>47.077399999999997</v>
    <v>47.353000000000002</v>
    <v>46.494500000000002</v>
    <v>45.752699999999997</v>
    <v>45.8123</v>
    <v>45.054900000000004</v>
    <v>44.424599999999998</v>
    <v>44.652900000000002</v>
    <v>45.674300000000002</v>
    <v>45.636800000000001</v>
    <v>45.387999999999998</v>
    <v>45.575800000000001</v>
    <v>45.922600000000003</v>
    <v>46.232500000000002</v>
    <v>45.961599999999997</v>
    <v>46.035600000000002</v>
    <v>46.120800000000003</v>
    <v>46.159700000000001</v>
    <v>46.064599999999999</v>
    <v>44.816200000000002</v>
    <v>44.73</v>
    <v>44.792299999999997</v>
    <v>44.394500000000001</v>
    <v>44.678100000000001</v>
    <v>44.638800000000003</v>
    <v>44.184600000000003</v>
    <v>44.733400000000003</v>
    <v>44.836599999999997</v>
    <v>45.396599999999999</v>
    <v>45.304400000000001</v>
    <v>44.735300000000002</v>
    <v>44.599600000000002</v>
    <v>43.701099999999997</v>
    <v>43.52</v>
    <v>43.604399999999998</v>
    <v>43.529299999999999</v>
    <v>45.1496</v>
    <v>45.142600000000002</v>
    <v>46.500100000000003</v>
    <v>46.862099999999998</v>
    <v>46.8065</v>
    <v>46.73</v>
    <v>46.602899999999998</v>
    <v>46.966000000000001</v>
    <v>46.349600000000002</v>
    <v>46.195500000000003</v>
    <v>45.622599999999998</v>
    <v>45.287300000000002</v>
    <v>46.26</v>
    <v>46.587499999999999</v>
    <v>46.444800000000001</v>
    <v>46.423499999999997</v>
    <v>46.0336</v>
    <v>46.120699999999999</v>
    <v>46.189700000000002</v>
    <v>45.645800000000001</v>
  </a>
  <a r="1" c="22">
    <v>43.604399999999998</v>
    <v>43.529299999999999</v>
    <v>45.1496</v>
    <v>45.142600000000002</v>
    <v>46.500100000000003</v>
    <v>46.862099999999998</v>
    <v>46.8065</v>
    <v>46.73</v>
    <v>46.602899999999998</v>
    <v>46.966000000000001</v>
    <v>46.349600000000002</v>
    <v>46.195500000000003</v>
    <v>45.622599999999998</v>
    <v>45.287300000000002</v>
    <v>46.26</v>
    <v>46.587499999999999</v>
    <v>46.444800000000001</v>
    <v>46.423499999999997</v>
    <v>46.0336</v>
    <v>46.120699999999999</v>
    <v>46.189700000000002</v>
    <v>45.645800000000001</v>
  </a>
  <a r="1" c="22">
    <v>49.57</v>
    <v>49.39</v>
    <v>50.79</v>
    <v>50.82</v>
    <v>51.97</v>
    <v>51.88</v>
    <v>51.88</v>
    <v>52.35</v>
    <v>52.23</v>
    <v>53.49</v>
    <v>53.77</v>
    <v>53.7</v>
    <v>53.79</v>
    <v>54.05</v>
    <v>55.95</v>
    <v>56.45</v>
    <v>56.23</v>
    <v>56.26</v>
    <v>55.52</v>
    <v>55.86</v>
    <v>55.82</v>
    <v>56.01</v>
  </a>
  <a r="1" c="254">
    <v>53.49</v>
    <v>52.14</v>
    <v>49.77</v>
    <v>49.46</v>
    <v>50.3</v>
    <v>50.45</v>
    <v>50.85</v>
    <v>51.04</v>
    <v>50.54</v>
    <v>50.33</v>
    <v>50.36</v>
    <v>50.02</v>
    <v>50.85</v>
    <v>51</v>
    <v>50.72</v>
    <v>50.67</v>
    <v>49.34</v>
    <v>50.06</v>
    <v>51.38</v>
    <v>52.81</v>
    <v>51.91</v>
    <v>52.82</v>
    <v>53.34</v>
    <v>52.58</v>
    <v>52.57</v>
    <v>53.02</v>
    <v>53.46</v>
    <v>53.11</v>
    <v>53.01</v>
    <v>53.48</v>
    <v>53.14</v>
    <v>52.03</v>
    <v>52.74</v>
    <v>52.99</v>
    <v>53.56</v>
    <v>53.1</v>
    <v>52.29</v>
    <v>52.88</v>
    <v>52.08</v>
    <v>52.07</v>
    <v>52.36</v>
    <v>52.97</v>
    <v>52.63</v>
    <v>51.79</v>
    <v>50.52</v>
    <v>50.26</v>
    <v>50.11</v>
    <v>50.3</v>
    <v>50.5</v>
    <v>51.19</v>
    <v>50.38</v>
    <v>48.48</v>
    <v>48.23</v>
    <v>47.49</v>
    <v>47.56</v>
    <v>45.67</v>
    <v>45.11</v>
    <v>45.44</v>
    <v>44.81</v>
    <v>46.12</v>
    <v>46.42</v>
    <v>46.1</v>
    <v>46.64</v>
    <v>46.44</v>
    <v>46.57</v>
    <v>47.61</v>
    <v>47.63</v>
    <v>47.46</v>
    <v>46.93</v>
    <v>46</v>
    <v>46.63</v>
    <v>46.2</v>
    <v>47.07</v>
    <v>42</v>
    <v>40.049999999999997</v>
    <v>40.159999999999997</v>
    <v>39.71</v>
    <v>42.95</v>
    <v>40.44</v>
    <v>40.51</v>
    <v>41.22</v>
    <v>41.76</v>
    <v>41.32</v>
    <v>41.66</v>
    <v>40.97</v>
    <v>42.24</v>
    <v>43.07</v>
    <v>43.88</v>
    <v>43.51</v>
    <v>43.86</v>
    <v>44.17</v>
    <v>43.85</v>
    <v>44.2</v>
    <v>45.44</v>
    <v>45.4</v>
    <v>44.75</v>
    <v>44.83</v>
    <v>45.84</v>
    <v>45.75</v>
    <v>48.03</v>
    <v>48.37</v>
    <v>48.28</v>
    <v>48.41</v>
    <v>48.56</v>
    <v>48.41</v>
    <v>47.97</v>
    <v>46.25</v>
    <v>46.43</v>
    <v>46.19</v>
    <v>47.26</v>
    <v>46.64</v>
    <v>47.05</v>
    <v>46.77</v>
    <v>46.57</v>
    <v>47.32</v>
    <v>46.84</v>
    <v>46.78</v>
    <v>48</v>
    <v>48.01</v>
    <v>48.41</v>
    <v>47.76</v>
    <v>47.49</v>
    <v>46.28</v>
    <v>46.29</v>
    <v>45.81</v>
    <v>46.52</v>
    <v>46.97</v>
    <v>47.88</v>
    <v>48.31</v>
    <v>48.33</v>
    <v>49.36</v>
    <v>49.38</v>
    <v>49.55</v>
    <v>51.05</v>
    <v>51.9</v>
    <v>52.43</v>
    <v>52.08</v>
    <v>52.35</v>
    <v>52.19</v>
    <v>52.66</v>
    <v>52.24</v>
    <v>52.49</v>
    <v>50.91</v>
    <v>51.12</v>
    <v>51.84</v>
    <v>52.06</v>
    <v>51.93</v>
    <v>52.33</v>
    <v>52.41</v>
    <v>51.86</v>
    <v>51.81</v>
    <v>51.48</v>
    <v>51.34</v>
    <v>50.85</v>
    <v>50.15</v>
    <v>49.06</v>
    <v>49.7</v>
    <v>49.7</v>
    <v>49.32</v>
    <v>48.92</v>
    <v>49.6</v>
    <v>49.33</v>
    <v>50.68</v>
    <v>51.44</v>
    <v>51.65</v>
    <v>50.76</v>
    <v>51.06</v>
    <v>51.04</v>
    <v>51.34</v>
    <v>51.07</v>
    <v>53.23</v>
    <v>52.97</v>
    <v>53.65</v>
    <v>54.13</v>
    <v>54.01</v>
    <v>54.11</v>
    <v>53.76</v>
    <v>53.71</v>
    <v>54.5</v>
    <v>53.79</v>
    <v>53.78</v>
    <v>53.47</v>
    <v>53.51</v>
    <v>53.66</v>
    <v>53.61</v>
    <v>53.21</v>
    <v>52.29</v>
    <v>53.12</v>
    <v>54.01</v>
    <v>53.72</v>
    <v>52.84</v>
    <v>52.95</v>
    <v>52.91</v>
    <v>52.88</v>
    <v>53.14</v>
    <v>52.73</v>
    <v>52.53</v>
    <v>52.08</v>
    <v>51.98</v>
    <v>52.296999999999997</v>
    <v>52.17</v>
    <v>51.87</v>
    <v>51.23</v>
    <v>51.27</v>
    <v>48.96</v>
    <v>49.94</v>
    <v>51.22</v>
    <v>50.12</v>
    <v>47.69</v>
    <v>48.43</v>
    <v>49.45</v>
    <v>49.69</v>
    <v>49.45</v>
    <v>49.54</v>
    <v>50.32</v>
    <v>50.1</v>
    <v>49.67</v>
    <v>49.1</v>
    <v>49.34</v>
    <v>49.57</v>
    <v>49.48</v>
    <v>49.3</v>
    <v>49.72</v>
    <v>49.58</v>
    <v>50.29</v>
    <v>50.58</v>
    <v>50.59</v>
    <v>50.88</v>
    <v>50.21</v>
    <v>50.23</v>
    <v>48.58</v>
    <v>48.99</v>
    <v>49.57</v>
    <v>49.39</v>
    <v>50.79</v>
    <v>50.82</v>
    <v>51.97</v>
    <v>51.88</v>
    <v>51.88</v>
    <v>52.35</v>
    <v>52.23</v>
    <v>53.49</v>
    <v>53.77</v>
    <v>53.7</v>
    <v>53.79</v>
    <v>54.05</v>
    <v>55.95</v>
    <v>56.45</v>
    <v>56.23</v>
    <v>56.26</v>
    <v>55.52</v>
    <v>55.86</v>
    <v>55.82</v>
    <v>56.01</v>
  </a>
  <a r="1" c="23">
    <v>56.41</v>
    <v>56.66</v>
    <v>56.03</v>
    <v>56.27</v>
    <v>56.71</v>
    <v>57.49</v>
    <v>57.56</v>
    <v>57.7</v>
    <v>57.72</v>
    <v>57.93</v>
    <v>58.01</v>
    <v>58.25</v>
    <v>58.29</v>
    <v>58.3</v>
    <v>58.25</v>
    <v>58.13</v>
    <v>58.57</v>
    <v>58.31</v>
    <v>58.53</v>
    <v>58.23</v>
    <v>57.86</v>
    <v>58.46</v>
    <v>58.67</v>
  </a>
  <a r="1" c="256">
    <v>50.22</v>
    <v>50.17</v>
    <v>50.36</v>
    <v>49.545000000000002</v>
    <v>49.365000000000002</v>
    <v>49.234999999999999</v>
    <v>49.68</v>
    <v>49.405000000000001</v>
    <v>49.93</v>
    <v>49.49</v>
    <v>50.68</v>
    <v>50.98</v>
    <v>50.79</v>
    <v>51</v>
    <v>50.59</v>
    <v>50.34</v>
    <v>50.6</v>
    <v>51.21</v>
    <v>51.94</v>
    <v>52.37</v>
    <v>52.56</v>
    <v>52.57</v>
    <v>52.97</v>
    <v>53.13</v>
    <v>53.08</v>
    <v>52.8</v>
    <v>52.89</v>
    <v>53.2</v>
    <v>53.77</v>
    <v>53.75</v>
    <v>53.03</v>
    <v>53.61</v>
    <v>53.65</v>
    <v>54.52</v>
    <v>54.11</v>
    <v>54.6</v>
    <v>54.87</v>
    <v>55</v>
    <v>55.81</v>
    <v>55.76</v>
    <v>56.09</v>
    <v>56.29</v>
    <v>55.46</v>
    <v>55.5</v>
    <v>55.56</v>
    <v>55.37</v>
    <v>55.3</v>
    <v>56.18</v>
    <v>55.6</v>
    <v>55.52</v>
    <v>56.32</v>
    <v>54.73</v>
    <v>55.88</v>
    <v>56.08</v>
    <v>55.51</v>
    <v>54.68</v>
    <v>53.94</v>
    <v>54.46</v>
    <v>54.13</v>
    <v>54.85</v>
    <v>55.3</v>
    <v>55.74</v>
    <v>55.98</v>
    <v>55.32</v>
    <v>55.18</v>
    <v>55.05</v>
    <v>55.68</v>
    <v>55.01</v>
    <v>54.69</v>
    <v>54.2</v>
    <v>53.43</v>
    <v>54.13</v>
    <v>53.9</v>
    <v>52.02</v>
    <v>49.645000000000003</v>
    <v>47.42</v>
    <v>48.575000000000003</v>
    <v>47.09</v>
    <v>49.18</v>
    <v>48.814999999999998</v>
    <v>49.96</v>
    <v>50.7</v>
    <v>50.58</v>
    <v>50.32</v>
    <v>50.69</v>
    <v>52.03</v>
    <v>52.28</v>
    <v>52.73</v>
    <v>52.85</v>
    <v>52.83</v>
    <v>52.8</v>
    <v>54.07</v>
    <v>54.27</v>
    <v>54.05</v>
    <v>53.76</v>
    <v>54.36</v>
    <v>54.63</v>
    <v>55.56</v>
    <v>55.85</v>
    <v>55.69</v>
    <v>55.37</v>
    <v>55.51</v>
    <v>55.64</v>
    <v>55.99</v>
    <v>55.98</v>
    <v>55.67</v>
    <v>54.66</v>
    <v>55.39</v>
    <v>55.68</v>
    <v>55.26</v>
    <v>55.24</v>
    <v>55.1</v>
    <v>55.05</v>
    <v>55.19</v>
    <v>55.51</v>
    <v>55.57</v>
    <v>55.76</v>
    <v>55.7</v>
    <v>55.71</v>
    <v>55.46</v>
    <v>55.1</v>
    <v>54.34</v>
    <v>54.83</v>
    <v>54.36</v>
    <v>54.15</v>
    <v>53.44</v>
    <v>53.74</v>
    <v>53.67</v>
    <v>54.47</v>
    <v>54.01</v>
    <v>53.91</v>
    <v>54.77</v>
    <v>54.53</v>
    <v>54.31</v>
    <v>54.65</v>
    <v>54.94</v>
    <v>54.39</v>
    <v>54.9</v>
    <v>55.18</v>
    <v>56.02</v>
    <v>55.92</v>
    <v>55.38</v>
    <v>55.25</v>
    <v>55.07</v>
    <v>54.49</v>
    <v>55.32</v>
    <v>55.12</v>
    <v>54.98</v>
    <v>54.41</v>
    <v>55.01</v>
    <v>55.15</v>
    <v>55.14</v>
    <v>54.9</v>
    <v>55.37</v>
    <v>55.54</v>
    <v>54.8</v>
    <v>53.2</v>
    <v>53.96</v>
    <v>54.09</v>
    <v>54.2</v>
    <v>54.9</v>
    <v>55.14</v>
    <v>54.91</v>
    <v>55</v>
    <v>55.49</v>
    <v>55.15</v>
    <v>55.18</v>
    <v>55.73</v>
    <v>55.58</v>
    <v>55.46</v>
    <v>55.78</v>
    <v>55.29</v>
    <v>54.7</v>
    <v>54.78</v>
    <v>54.85</v>
    <v>54.36</v>
    <v>54.5</v>
    <v>53.75</v>
    <v>54.12</v>
    <v>54.3</v>
    <v>54.01</v>
    <v>54.46</v>
    <v>54.56</v>
    <v>54.42</v>
    <v>54.68</v>
    <v>54.71</v>
    <v>55.27</v>
    <v>54.52</v>
    <v>54.51</v>
    <v>55.39</v>
    <v>55.51</v>
    <v>55.3</v>
    <v>55.68</v>
    <v>55.53</v>
    <v>55.22</v>
    <v>55.88</v>
    <v>56.07</v>
    <v>56.19</v>
    <v>56.76</v>
    <v>57.48</v>
    <v>57.49</v>
    <v>57.27</v>
    <v>57.08</v>
    <v>57.52</v>
    <v>57.27</v>
    <v>56.3</v>
    <v>56.58</v>
    <v>56.46</v>
    <v>57.04</v>
    <v>57.46</v>
    <v>57.06</v>
    <v>57.85</v>
    <v>57.83</v>
    <v>57.34</v>
    <v>57.61</v>
    <v>57.71</v>
    <v>58.09</v>
    <v>58</v>
    <v>58.01</v>
    <v>57.98</v>
    <v>57.6</v>
    <v>57.75</v>
    <v>57.59</v>
    <v>57.75</v>
    <v>57.15</v>
    <v>56.65</v>
    <v>57.73</v>
    <v>58.31</v>
    <v>58.92</v>
    <v>58.36</v>
    <v>57.84</v>
    <v>57.32</v>
    <v>56.23</v>
    <v>56.41</v>
    <v>56.66</v>
    <v>56.03</v>
    <v>56.27</v>
    <v>56.71</v>
    <v>57.49</v>
    <v>57.56</v>
    <v>57.7</v>
    <v>57.72</v>
    <v>57.93</v>
    <v>58.01</v>
    <v>58.25</v>
    <v>58.29</v>
    <v>58.3</v>
    <v>58.25</v>
    <v>58.13</v>
    <v>58.57</v>
    <v>58.31</v>
    <v>58.53</v>
    <v>58.23</v>
    <v>57.86</v>
    <v>58.46</v>
    <v>58.67</v>
  </a>
  <a r="1" c="22">
    <v>737.57</v>
    <v>715.7</v>
    <v>718.89</v>
    <v>736.95</v>
    <v>739.21</v>
    <v>746.93</v>
    <v>752.2</v>
    <v>751.89</v>
    <v>759.71</v>
    <v>761.12</v>
    <v>764.65</v>
    <v>767.97</v>
    <v>774.68</v>
    <v>776.36</v>
    <v>779.16</v>
    <v>776.34</v>
    <v>753.93</v>
    <v>745.51</v>
    <v>746.68</v>
    <v>730.42</v>
    <v>740.62</v>
    <v>755.54</v>
  </a>
  <a r="1" c="254">
    <v>647.97</v>
    <v>643.98</v>
    <v>621.26</v>
    <v>621.79</v>
    <v>631.61</v>
    <v>637.45000000000005</v>
    <v>644.45000000000005</v>
    <v>645.57000000000005</v>
    <v>635.5</v>
    <v>627.57000000000005</v>
    <v>621.79999999999995</v>
    <v>621.34</v>
    <v>632.9</v>
    <v>641.58000000000004</v>
    <v>627.47</v>
    <v>626.79999999999995</v>
    <v>613.44000000000005</v>
    <v>608.41999999999996</v>
    <v>609.87</v>
    <v>623.39</v>
    <v>618.16</v>
    <v>627.47</v>
    <v>632.6</v>
    <v>645.27</v>
    <v>646.34</v>
    <v>640.13</v>
    <v>606.78</v>
    <v>625.71</v>
    <v>619.84</v>
    <v>619.9</v>
    <v>616.61</v>
    <v>607.85</v>
    <v>616</v>
    <v>624.69000000000005</v>
    <v>627.03</v>
    <v>621.04999999999995</v>
    <v>628.86</v>
    <v>628.04</v>
    <v>627.22</v>
    <v>636.95000000000005</v>
    <v>639.87</v>
    <v>644.1</v>
    <v>643.66</v>
    <v>641.51</v>
    <v>624.14</v>
    <v>615.04</v>
    <v>605.95000000000005</v>
    <v>610.47</v>
    <v>588.97</v>
    <v>598.48</v>
    <v>578.36</v>
    <v>578.20000000000005</v>
    <v>586.91999999999996</v>
    <v>568.86</v>
    <v>575.87</v>
    <v>550.07000000000005</v>
    <v>548.37</v>
    <v>556.46</v>
    <v>546.44000000000005</v>
    <v>563.01</v>
    <v>566.35</v>
    <v>558.30999999999995</v>
    <v>565.88</v>
    <v>562.71</v>
    <v>564.61</v>
    <v>575.39</v>
    <v>577.08000000000004</v>
    <v>563.20000000000005</v>
    <v>557.24</v>
    <v>543.24</v>
    <v>542.38</v>
    <v>546.94000000000005</v>
    <v>551.44000000000005</v>
    <v>511.5</v>
    <v>478.6</v>
    <v>479.96</v>
    <v>470.37</v>
    <v>533.78</v>
    <v>509.77</v>
    <v>520.14</v>
    <v>523.80999999999995</v>
    <v>525.79</v>
    <v>507.75</v>
    <v>505.53</v>
    <v>491.75</v>
    <v>503.85</v>
    <v>518.88</v>
    <v>538.39</v>
    <v>546.54999999999995</v>
    <v>545.51</v>
    <v>548.15</v>
    <v>549.45000000000005</v>
    <v>559.15</v>
    <v>567.54</v>
    <v>563.70000000000005</v>
    <v>558.92999999999995</v>
    <v>564.51</v>
    <v>571.17999999999995</v>
    <v>571.20000000000005</v>
    <v>598.19000000000005</v>
    <v>611.49</v>
    <v>615.83000000000004</v>
    <v>615.54999999999995</v>
    <v>616.71</v>
    <v>615.08000000000004</v>
    <v>612.91999999999996</v>
    <v>601.17999999999995</v>
    <v>602.19000000000005</v>
    <v>595.09</v>
    <v>609.71</v>
    <v>606.95000000000005</v>
    <v>609.13</v>
    <v>606.37</v>
    <v>611.88</v>
    <v>621.63</v>
    <v>623.30999999999995</v>
    <v>620.52</v>
    <v>626.41999999999996</v>
    <v>629.14</v>
    <v>631.77</v>
    <v>629.27</v>
    <v>633.79</v>
    <v>623.29</v>
    <v>633.85</v>
    <v>629.19000000000005</v>
    <v>631.19000000000005</v>
    <v>628.48</v>
    <v>635.15</v>
    <v>646.58000000000004</v>
    <v>652.02</v>
    <v>656.93</v>
    <v>656.54</v>
    <v>663.28</v>
    <v>656.44</v>
    <v>664.77</v>
    <v>674.02</v>
    <v>668.08</v>
    <v>671.23</v>
    <v>676.85</v>
    <v>674.58</v>
    <v>670.33</v>
    <v>670.36</v>
    <v>676.05</v>
    <v>679.05</v>
    <v>685.92</v>
    <v>685.53</v>
    <v>686.49</v>
    <v>679.79</v>
    <v>685.19</v>
    <v>687.13</v>
    <v>688.69</v>
    <v>694.14</v>
    <v>692.93</v>
    <v>694.45</v>
    <v>690.47</v>
    <v>674.4</v>
    <v>689.73</v>
    <v>683.55</v>
    <v>691.85</v>
    <v>693.2</v>
    <v>699.35</v>
    <v>695.26</v>
    <v>706.07</v>
    <v>707.29</v>
    <v>704.47</v>
    <v>700.05</v>
    <v>702.08</v>
    <v>688.81</v>
    <v>683.89</v>
    <v>682.08</v>
    <v>694.17</v>
    <v>692.48</v>
    <v>696.03</v>
    <v>700.92</v>
    <v>707.87</v>
    <v>697.02</v>
    <v>689.81</v>
    <v>692.9</v>
    <v>697.54</v>
    <v>698.79</v>
    <v>704.92</v>
    <v>705.75</v>
    <v>714.93</v>
    <v>718.77</v>
    <v>719.57</v>
    <v>726.63</v>
    <v>724.17</v>
    <v>721.5</v>
    <v>734.31</v>
    <v>741.17</v>
    <v>753.15</v>
    <v>745.41</v>
    <v>739.06</v>
    <v>736.83</v>
    <v>738.7</v>
    <v>743.16</v>
    <v>746.63</v>
    <v>752.52</v>
    <v>757.99</v>
    <v>755.67</v>
    <v>762.18</v>
    <v>755.19</v>
    <v>768.02</v>
    <v>767.64</v>
    <v>736.33</v>
    <v>755.49</v>
    <v>745.84</v>
    <v>752.77</v>
    <v>750.35</v>
    <v>752.16</v>
    <v>762.18</v>
    <v>761.41</v>
    <v>752.41</v>
    <v>762.26</v>
    <v>774.14</v>
    <v>788.01</v>
    <v>796.14</v>
    <v>801.52</v>
    <v>790.95</v>
    <v>793.21</v>
    <v>795.95</v>
    <v>774.45</v>
    <v>777.66</v>
    <v>762.4</v>
    <v>761.37</v>
    <v>780.37</v>
    <v>773.3</v>
    <v>774.17</v>
    <v>752.36</v>
    <v>756.26</v>
    <v>743.7</v>
    <v>732.59</v>
    <v>737.57</v>
    <v>715.7</v>
    <v>718.89</v>
    <v>736.95</v>
    <v>739.21</v>
    <v>746.93</v>
    <v>752.2</v>
    <v>751.89</v>
    <v>759.71</v>
    <v>761.12</v>
    <v>764.65</v>
    <v>767.97</v>
    <v>774.68</v>
    <v>776.36</v>
    <v>779.16</v>
    <v>776.34</v>
    <v>753.93</v>
    <v>745.51</v>
    <v>746.68</v>
    <v>730.42</v>
    <v>740.62</v>
    <v>755.54</v>
  </a>
  <a r="1" c="254">
    <v>30.42</v>
    <v>30.59</v>
    <v>29.53</v>
    <v>29.45</v>
    <v>30.03</v>
    <v>30.11</v>
    <v>30.2148</v>
    <v>30.48</v>
    <v>30.1294</v>
    <v>29.75</v>
    <v>29.66</v>
    <v>29.95</v>
    <v>30.49</v>
    <v>30.52</v>
    <v>30.61</v>
    <v>30.35</v>
    <v>29.8</v>
    <v>29.75</v>
    <v>29.46</v>
    <v>29.94</v>
    <v>29.86</v>
    <v>29.71</v>
    <v>30.209499999999998</v>
    <v>30.407</v>
    <v>30.55</v>
    <v>30.61</v>
    <v>31.11</v>
    <v>30.79</v>
    <v>30.55</v>
    <v>30.9</v>
    <v>30.51</v>
    <v>30.258900000000001</v>
    <v>30.4</v>
    <v>30.75</v>
    <v>30.31</v>
    <v>29.88</v>
    <v>29.76</v>
    <v>29.6389</v>
    <v>29.98</v>
    <v>29.98</v>
    <v>29.89</v>
    <v>30.0154</v>
    <v>30.3</v>
    <v>30.49</v>
    <v>30.13</v>
    <v>30.04</v>
    <v>30.1</v>
    <v>30.194900000000001</v>
    <v>29.94</v>
    <v>30.46</v>
    <v>30</v>
    <v>29.77</v>
    <v>30.25</v>
    <v>30.07</v>
    <v>29.94</v>
    <v>29.46</v>
    <v>29.35</v>
    <v>29.22</v>
    <v>28.87</v>
    <v>29.11</v>
    <v>29.67</v>
    <v>29.53</v>
    <v>29.78</v>
    <v>29.75</v>
    <v>29.73</v>
    <v>30.04</v>
    <v>29.75</v>
    <v>29.45</v>
    <v>29.49</v>
    <v>29.28</v>
    <v>29.31</v>
    <v>28.76</v>
    <v>29.35</v>
    <v>28.97</v>
    <v>27.42</v>
    <v>27.26</v>
    <v>26.92</v>
    <v>28.1783</v>
    <v>27.34</v>
    <v>27.67</v>
    <v>28.21</v>
    <v>28.33</v>
    <v>28.02</v>
    <v>27.93</v>
    <v>27.47</v>
    <v>28.262</v>
    <v>28.49</v>
    <v>29.07</v>
    <v>28.99</v>
    <v>29.35</v>
    <v>29.5</v>
    <v>29.63</v>
    <v>29.01</v>
    <v>29.57</v>
    <v>29.42</v>
    <v>28.47</v>
    <v>28.47</v>
    <v>28.21</v>
    <v>28.02</v>
    <v>28.66</v>
    <v>28.137699999999999</v>
    <v>27.777200000000001</v>
    <v>28.1</v>
    <v>28.720199999999998</v>
    <v>28.91</v>
    <v>28.940999999999999</v>
    <v>28.202400000000001</v>
    <v>28.13</v>
    <v>28.29</v>
    <v>28.71</v>
    <v>28.45</v>
    <v>28.5547</v>
    <v>28.31</v>
    <v>28.515000000000001</v>
    <v>28.72</v>
    <v>28.811199999999999</v>
    <v>28.69</v>
    <v>29.09</v>
    <v>29.12</v>
    <v>29.53</v>
    <v>29.753799999999998</v>
    <v>29.769400000000001</v>
    <v>29.66</v>
    <v>29.72</v>
    <v>29.533300000000001</v>
    <v>29.434999999999999</v>
    <v>29.22</v>
    <v>29.49</v>
    <v>30.045000000000002</v>
    <v>29.83</v>
    <v>30.04</v>
    <v>29.85</v>
    <v>30.01</v>
    <v>29.89</v>
    <v>30.01</v>
    <v>30.083500000000001</v>
    <v>29.78</v>
    <v>29.954799999999999</v>
    <v>30.46</v>
    <v>30.61</v>
    <v>30.19</v>
    <v>30.47</v>
    <v>29.86</v>
    <v>30.1083</v>
    <v>30.085000000000001</v>
    <v>29.756499999999999</v>
    <v>29.59</v>
    <v>29.765000000000001</v>
    <v>30.145</v>
    <v>29.93</v>
    <v>30.12</v>
    <v>29.795000000000002</v>
    <v>29.6768</v>
    <v>29.755600000000001</v>
    <v>29.14</v>
    <v>29.2</v>
    <v>29.62</v>
    <v>29.271100000000001</v>
    <v>28.93</v>
    <v>28.44</v>
    <v>28.65</v>
    <v>28.63</v>
    <v>29.0839</v>
    <v>29.6</v>
    <v>29.614999999999998</v>
    <v>30.04</v>
    <v>30.09</v>
    <v>29.95</v>
    <v>30.24</v>
    <v>30.2</v>
    <v>30.49</v>
    <v>29.914999999999999</v>
    <v>30.391500000000001</v>
    <v>30.56</v>
    <v>30.47</v>
    <v>30.498699999999999</v>
    <v>30.47</v>
    <v>30.16</v>
    <v>30.46</v>
    <v>30.8751</v>
    <v>30.87</v>
    <v>31.34</v>
    <v>30.93</v>
    <v>31.26</v>
    <v>30.89</v>
    <v>30.74</v>
    <v>30.8</v>
    <v>30.92</v>
    <v>31.5581</v>
    <v>31.38</v>
    <v>31.5</v>
    <v>31.41</v>
    <v>31.42</v>
    <v>30.65</v>
    <v>31.09</v>
    <v>31.5</v>
    <v>31.71</v>
    <v>32.340000000000003</v>
    <v>32.700000000000003</v>
    <v>32.72</v>
    <v>32.78</v>
    <v>32.72</v>
    <v>32.85</v>
    <v>32.89</v>
    <v>32.33</v>
    <v>32.49</v>
    <v>32.799999999999997</v>
    <v>33.1</v>
    <v>32.799999999999997</v>
    <v>32.74</v>
    <v>33.36</v>
    <v>33.18</v>
    <v>32.92</v>
    <v>33.020000000000003</v>
    <v>33</v>
    <v>33.26</v>
    <v>33.630000000000003</v>
    <v>33.33</v>
    <v>33.19</v>
    <v>33.380000000000003</v>
    <v>32.9</v>
    <v>32.67</v>
    <v>32.89</v>
    <v>32.729999999999997</v>
    <v>33.06</v>
    <v>33.75</v>
    <v>34.44</v>
    <v>34.79</v>
    <v>34.43</v>
    <v>35.979999999999997</v>
    <v>36.31</v>
    <v>36.67</v>
    <v>36.58</v>
    <v>36.409999999999997</v>
    <v>36.89</v>
    <v>37.24</v>
    <v>37.72</v>
    <v>37.96</v>
    <v>37.85</v>
    <v>36.85</v>
    <v>36.369999999999997</v>
    <v>36.799999999999997</v>
    <v>36.950000000000003</v>
    <v>36.729999999999997</v>
    <v>36.590000000000003</v>
    <v>36.409999999999997</v>
    <v>36.9</v>
    <v>37.270000000000003</v>
    <v>37.1</v>
    <v>37.06</v>
    <v>36.729999999999997</v>
    <v>36.409999999999997</v>
    <v>36.5</v>
    <v>36.840000000000003</v>
  </a>
  <a r="1" c="22">
    <v>36.58</v>
    <v>36.409999999999997</v>
    <v>36.89</v>
    <v>37.24</v>
    <v>37.72</v>
    <v>37.96</v>
    <v>37.85</v>
    <v>36.85</v>
    <v>36.369999999999997</v>
    <v>36.799999999999997</v>
    <v>36.950000000000003</v>
    <v>36.729999999999997</v>
    <v>36.590000000000003</v>
    <v>36.409999999999997</v>
    <v>36.9</v>
    <v>37.270000000000003</v>
    <v>37.1</v>
    <v>37.06</v>
    <v>36.729999999999997</v>
    <v>36.409999999999997</v>
    <v>36.5</v>
    <v>36.840000000000003</v>
  </a>
  <a r="1" c="22">
    <v>114.5</v>
    <v>113.83</v>
    <v>116.65</v>
    <v>119.58</v>
    <v>121.37</v>
    <v>122.85</v>
    <v>123.16</v>
    <v>119.85</v>
    <v>118.46</v>
    <v>121.83</v>
    <v>123.25</v>
    <v>123.41</v>
    <v>123.66</v>
    <v>121.19</v>
    <v>122.05</v>
    <v>123.02</v>
    <v>123.13</v>
    <v>122.84</v>
    <v>122.01</v>
    <v>120.94</v>
    <v>120.01</v>
    <v>123.43</v>
  </a>
  <a r="1" c="254">
    <v>94.76</v>
    <v>94.59</v>
    <v>89.93</v>
    <v>89.81</v>
    <v>91.28</v>
    <v>91.89</v>
    <v>91.98</v>
    <v>92.65</v>
    <v>91.35</v>
    <v>89.89</v>
    <v>90.06</v>
    <v>91.53</v>
    <v>92.41</v>
    <v>92.21</v>
    <v>92.87</v>
    <v>92.31</v>
    <v>89.44</v>
    <v>89.13</v>
    <v>86.66</v>
    <v>88.55</v>
    <v>87.89</v>
    <v>87.97</v>
    <v>90.51</v>
    <v>91.21</v>
    <v>92.98</v>
    <v>92.46</v>
    <v>92.61</v>
    <v>93.18</v>
    <v>92.58</v>
    <v>93.54</v>
    <v>92.67</v>
    <v>91.42</v>
    <v>92.57</v>
    <v>94.7</v>
    <v>93.37</v>
    <v>91.24</v>
    <v>90.34</v>
    <v>89.05</v>
    <v>89.97</v>
    <v>90.77</v>
    <v>91.41</v>
    <v>91.33</v>
    <v>92.53</v>
    <v>92.72</v>
    <v>91.7</v>
    <v>90.11</v>
    <v>88.69</v>
    <v>88.25</v>
    <v>87.1</v>
    <v>88.71</v>
    <v>85.6</v>
    <v>86.13</v>
    <v>87.82</v>
    <v>87.06</v>
    <v>87.3</v>
    <v>86.24</v>
    <v>86.17</v>
    <v>87.15</v>
    <v>85.97</v>
    <v>87.13</v>
    <v>88.29</v>
    <v>86.17</v>
    <v>87.46</v>
    <v>86.59</v>
    <v>87.12</v>
    <v>88.82</v>
    <v>87.08</v>
    <v>85.08</v>
    <v>85.53</v>
    <v>84.4</v>
    <v>81.099999999999994</v>
    <v>78.16</v>
    <v>80.59</v>
    <v>78.14</v>
    <v>73.66</v>
    <v>72.989999999999995</v>
    <v>69.8</v>
    <v>74.88</v>
    <v>71.61</v>
    <v>74.33</v>
    <v>76.540000000000006</v>
    <v>76.540000000000006</v>
    <v>75.13</v>
    <v>75.930000000000007</v>
    <v>75.510000000000005</v>
    <v>77.64</v>
    <v>79.099999999999994</v>
    <v>80.89</v>
    <v>80.25</v>
    <v>81.37</v>
    <v>81.88</v>
    <v>82.95</v>
    <v>82.5</v>
    <v>83.5</v>
    <v>82.65</v>
    <v>77.17</v>
    <v>77.349999999999994</v>
    <v>78.040000000000006</v>
    <v>76.39</v>
    <v>79.45</v>
    <v>77.55</v>
    <v>76.37</v>
    <v>77.58</v>
    <v>79.02</v>
    <v>79.72</v>
    <v>81.400000000000006</v>
    <v>79.33</v>
    <v>79.25</v>
    <v>79.040000000000006</v>
    <v>79.3</v>
    <v>78.77</v>
    <v>80.459999999999994</v>
    <v>79.19</v>
    <v>81.239999999999995</v>
    <v>82.34</v>
    <v>82.48</v>
    <v>82.56</v>
    <v>84.26</v>
    <v>84.27</v>
    <v>85.28</v>
    <v>84.37</v>
    <v>84.36</v>
    <v>83.6</v>
    <v>83.37</v>
    <v>82.1</v>
    <v>82.66</v>
    <v>82.38</v>
    <v>82.27</v>
    <v>83.82</v>
    <v>83.27</v>
    <v>83.68</v>
    <v>83.01</v>
    <v>82.93</v>
    <v>83.08</v>
    <v>84.79</v>
    <v>85.24</v>
    <v>83.58</v>
    <v>84.71</v>
    <v>87.87</v>
    <v>88.38</v>
    <v>87.02</v>
    <v>88.27</v>
    <v>85.91</v>
    <v>87.82</v>
    <v>88.12</v>
    <v>86.27</v>
    <v>85.87</v>
    <v>86.73</v>
    <v>88.22</v>
    <v>87.49</v>
    <v>87.61</v>
    <v>86.57</v>
    <v>85.84</v>
    <v>86.24</v>
    <v>85.66</v>
    <v>85.93</v>
    <v>86.82</v>
    <v>86.85</v>
    <v>86.13</v>
    <v>85.32</v>
    <v>85.43</v>
    <v>85.16</v>
    <v>86.92</v>
    <v>89.52</v>
    <v>89.57</v>
    <v>90.68</v>
    <v>90.21</v>
    <v>88.8</v>
    <v>89.22</v>
    <v>89.92</v>
    <v>90.92</v>
    <v>88.79</v>
    <v>89.9</v>
    <v>90.29</v>
    <v>90.29</v>
    <v>89.85</v>
    <v>92.88</v>
    <v>93.65</v>
    <v>93.47</v>
    <v>95.47</v>
    <v>94.43</v>
    <v>94.98</v>
    <v>93.9</v>
    <v>95.7</v>
    <v>94.12</v>
    <v>93.43</v>
    <v>93.74</v>
    <v>93.77</v>
    <v>96.68</v>
    <v>95.6</v>
    <v>97.3</v>
    <v>96.77</v>
    <v>97.44</v>
    <v>95.86</v>
    <v>97.95</v>
    <v>99.4</v>
    <v>100.2</v>
    <v>101.39</v>
    <v>102.59</v>
    <v>103.6</v>
    <v>103.64</v>
    <v>103.68</v>
    <v>105.44</v>
    <v>106.52</v>
    <v>104.99</v>
    <v>105.27</v>
    <v>105.12</v>
    <v>108.37</v>
    <v>107.91</v>
    <v>107.8</v>
    <v>110.17</v>
    <v>109.56</v>
    <v>107.32</v>
    <v>107.56</v>
    <v>108.39</v>
    <v>111.59</v>
    <v>112</v>
    <v>110.96</v>
    <v>111.91</v>
    <v>112.71</v>
    <v>109.86</v>
    <v>108.04</v>
    <v>109.21</v>
    <v>109.29</v>
    <v>108.96</v>
    <v>110.09</v>
    <v>114.01</v>
    <v>114.11</v>
    <v>111.91</v>
    <v>114.01</v>
    <v>114.83</v>
    <v>115.18</v>
    <v>114.5</v>
    <v>113.83</v>
    <v>116.65</v>
    <v>119.58</v>
    <v>121.37</v>
    <v>122.85</v>
    <v>123.16</v>
    <v>119.85</v>
    <v>118.46</v>
    <v>121.83</v>
    <v>123.25</v>
    <v>123.41</v>
    <v>123.66</v>
    <v>121.19</v>
    <v>122.05</v>
    <v>123.02</v>
    <v>123.13</v>
    <v>122.84</v>
    <v>122.01</v>
    <v>120.94</v>
    <v>120.01</v>
    <v>123.43</v>
  </a>
  <a r="1" c="254">
    <v>93.52</v>
    <v>93.07</v>
    <v>89.23</v>
    <v>87.85</v>
    <v>89.33</v>
    <v>88.82</v>
    <v>89.41</v>
    <v>89.65</v>
    <v>88.75</v>
    <v>88.31</v>
    <v>89.08</v>
    <v>88.29</v>
    <v>89.45</v>
    <v>88.3</v>
    <v>87.46</v>
    <v>87.69</v>
    <v>85.55</v>
    <v>86.6</v>
    <v>87.39</v>
    <v>87.89</v>
    <v>89.71</v>
    <v>89.65</v>
    <v>91.33</v>
    <v>89.74</v>
    <v>90.4</v>
    <v>90.71</v>
    <v>91.92</v>
    <v>90.81</v>
    <v>89.61</v>
    <v>90.75</v>
    <v>90.55</v>
    <v>90.36</v>
    <v>90.43</v>
    <v>91.7</v>
    <v>91.93</v>
    <v>91.63</v>
    <v>91.59</v>
    <v>91.99</v>
    <v>91.14</v>
    <v>92.05</v>
    <v>91.63</v>
    <v>92.04</v>
    <v>92.11</v>
    <v>92.55</v>
    <v>91.64</v>
    <v>92</v>
    <v>93.13</v>
    <v>92.74</v>
    <v>93.11</v>
    <v>93.9</v>
    <v>94.34</v>
    <v>93.25</v>
    <v>94.29</v>
    <v>91.87</v>
    <v>92.42</v>
    <v>91.53</v>
    <v>90.46</v>
    <v>90.18</v>
    <v>88.4</v>
    <v>90.17</v>
    <v>91.71</v>
    <v>91.23</v>
    <v>91.34</v>
    <v>91.28</v>
    <v>90.27</v>
    <v>91.66</v>
    <v>89.71</v>
    <v>90.06</v>
    <v>89.83</v>
    <v>89.71</v>
    <v>90.54</v>
    <v>90.58</v>
    <v>91.13</v>
    <v>88.02</v>
    <v>84.2</v>
    <v>81.99</v>
    <v>79.790000000000006</v>
    <v>84.55</v>
    <v>82.62</v>
    <v>83.63</v>
    <v>85.36</v>
    <v>85.62</v>
    <v>85.56</v>
    <v>86.84</v>
    <v>85.03</v>
    <v>86.68</v>
    <v>86.84</v>
    <v>87.16</v>
    <v>87.01</v>
    <v>87.55</v>
    <v>88.02</v>
    <v>88.33</v>
    <v>88.62</v>
    <v>89.71</v>
    <v>89.51</v>
    <v>88.82</v>
    <v>88.92</v>
    <v>88.57</v>
    <v>89.16</v>
    <v>89.6</v>
    <v>88.46</v>
    <v>87.59</v>
    <v>89.19</v>
    <v>90.3</v>
    <v>90.32</v>
    <v>89.79</v>
    <v>87.4</v>
    <v>87</v>
    <v>87.09</v>
    <v>88.61</v>
    <v>88.52</v>
    <v>89.32</v>
    <v>89.32</v>
    <v>89.44</v>
    <v>89.26</v>
    <v>89.51</v>
    <v>89.44</v>
    <v>89.87</v>
    <v>89.99</v>
    <v>90.76</v>
    <v>90.27</v>
    <v>90.71</v>
    <v>89.83</v>
    <v>89.9</v>
    <v>89.58</v>
    <v>89.89</v>
    <v>89.83</v>
    <v>91.18</v>
    <v>91.42</v>
    <v>89.22</v>
    <v>88.27</v>
    <v>88.49</v>
    <v>89.06</v>
    <v>89.71</v>
    <v>89.92</v>
    <v>90.02</v>
    <v>89.25</v>
    <v>89.12</v>
    <v>89.19</v>
    <v>89.75</v>
    <v>89.76</v>
    <v>90.34</v>
    <v>89.01</v>
    <v>89.85</v>
    <v>89.75</v>
    <v>89.94</v>
    <v>90.31</v>
    <v>91.86</v>
    <v>92.04</v>
    <v>91.72</v>
    <v>91.73</v>
    <v>90.26</v>
    <v>91.71</v>
    <v>90.41</v>
    <v>89.14</v>
    <v>88.92</v>
    <v>89.83</v>
    <v>90.24</v>
    <v>89.54</v>
    <v>89.8</v>
    <v>89.06</v>
    <v>88.47</v>
    <v>88.97</v>
    <v>89.8</v>
    <v>89.16</v>
    <v>89.67</v>
    <v>88.91</v>
    <v>90.44</v>
    <v>90.7</v>
    <v>90.43</v>
    <v>92.18</v>
    <v>91.65</v>
    <v>91.41</v>
    <v>91.98</v>
    <v>91.74</v>
    <v>92.24</v>
    <v>90.71</v>
    <v>90.76</v>
    <v>91.44</v>
    <v>92.47</v>
    <v>91.93</v>
    <v>91.72</v>
    <v>91.57</v>
    <v>93.24</v>
    <v>92.81</v>
    <v>92.66</v>
    <v>92.17</v>
    <v>92.05</v>
    <v>92.25</v>
    <v>91.65</v>
    <v>91.67</v>
    <v>92.17</v>
    <v>90.4</v>
    <v>90.13</v>
    <v>91.02</v>
    <v>91.05</v>
    <v>91.42</v>
    <v>91.56</v>
    <v>91.08</v>
    <v>91.42</v>
    <v>90.56</v>
    <v>90.23</v>
    <v>89.76</v>
    <v>89.27</v>
    <v>88.13</v>
    <v>88.69</v>
    <v>89.6</v>
    <v>90.9</v>
    <v>90.58</v>
    <v>91.17</v>
    <v>92.09</v>
    <v>91.83</v>
    <v>92.22</v>
    <v>92.16</v>
    <v>92.43</v>
    <v>92.69</v>
    <v>90.87</v>
    <v>88.53</v>
    <v>88.95</v>
    <v>89.18</v>
    <v>89.05</v>
    <v>89.2</v>
    <v>89.28</v>
    <v>88.85</v>
    <v>90.23</v>
    <v>90.18</v>
    <v>91.19</v>
    <v>90.51</v>
    <v>89.4</v>
    <v>89.59</v>
    <v>88.85</v>
    <v>89.21</v>
    <v>88.51</v>
    <v>88.14</v>
    <v>89.57</v>
    <v>89.81</v>
    <v>90.64</v>
    <v>91.04</v>
    <v>91.34</v>
    <v>90.29</v>
    <v>89.97</v>
    <v>90.2</v>
    <v>89.98</v>
    <v>89.88</v>
    <v>89.19</v>
    <v>88.85</v>
    <v>89.17</v>
    <v>89.56</v>
    <v>89.45</v>
    <v>89.73</v>
    <v>89.07</v>
    <v>89.4</v>
    <v>88.93</v>
    <v>88.59</v>
  </a>
  <a r="1" c="22">
    <v>88.51</v>
    <v>88.14</v>
    <v>89.57</v>
    <v>89.81</v>
    <v>90.64</v>
    <v>91.04</v>
    <v>91.34</v>
    <v>90.29</v>
    <v>89.97</v>
    <v>90.2</v>
    <v>89.98</v>
    <v>89.88</v>
    <v>89.19</v>
    <v>88.85</v>
    <v>89.17</v>
    <v>89.56</v>
    <v>89.45</v>
    <v>89.73</v>
    <v>89.07</v>
    <v>89.4</v>
    <v>88.93</v>
    <v>88.59</v>
  </a>
  <a r="1" c="254">
    <v>220.78</v>
    <v>219.96</v>
    <v>214.96</v>
    <v>213.79</v>
    <v>213.83</v>
    <v>212.55</v>
    <v>214.32</v>
    <v>214.93</v>
    <v>213.78</v>
    <v>210.96</v>
    <v>211.38</v>
    <v>210.8</v>
    <v>211.14</v>
    <v>209.03</v>
    <v>208.24</v>
    <v>209.06</v>
    <v>206.68</v>
    <v>206.82</v>
    <v>206.98</v>
    <v>206.54</v>
    <v>208</v>
    <v>209.43</v>
    <v>210.66</v>
    <v>209.72</v>
    <v>210.79</v>
    <v>211.61</v>
    <v>217.04</v>
    <v>213.99</v>
    <v>214.6</v>
    <v>216.91</v>
    <v>215.33</v>
    <v>216.38</v>
    <v>215.36</v>
    <v>216.99</v>
    <v>218.36</v>
    <v>217.66</v>
    <v>218.96</v>
    <v>221.05</v>
    <v>221.46</v>
    <v>223.73</v>
    <v>221.15</v>
    <v>221.48</v>
    <v>223.21</v>
    <v>220.76</v>
    <v>222.39</v>
    <v>222.7</v>
    <v>226.16</v>
    <v>222.27</v>
    <v>222.01</v>
    <v>224.91</v>
    <v>225.31</v>
    <v>221.77</v>
    <v>222.72</v>
    <v>222.34</v>
    <v>222.52</v>
    <v>221.01</v>
    <v>217.97</v>
    <v>213.91</v>
    <v>212.13</v>
    <v>213.16</v>
    <v>216.38</v>
    <v>213.76</v>
    <v>213.92</v>
    <v>212.96</v>
    <v>212.91</v>
    <v>214.47</v>
    <v>211.6</v>
    <v>214.24</v>
    <v>216.66</v>
    <v>215.53</v>
    <v>218.82</v>
    <v>219.66</v>
    <v>219.43</v>
    <v>219.89</v>
    <v>210.74</v>
    <v>208.01</v>
    <v>204.89</v>
    <v>213.97</v>
    <v>214.09</v>
    <v>216.83</v>
    <v>220.25</v>
    <v>218.23</v>
    <v>215.72</v>
    <v>220.35</v>
    <v>217.86</v>
    <v>221.4</v>
    <v>220.42</v>
    <v>218.49</v>
    <v>217.94</v>
    <v>217.57</v>
    <v>219.53</v>
    <v>220.86</v>
    <v>218.99</v>
    <v>220.57</v>
    <v>220.72</v>
    <v>220.02</v>
    <v>220.15</v>
    <v>219.41</v>
    <v>218.27</v>
    <v>218.93</v>
    <v>216.24</v>
    <v>215.45</v>
    <v>219.69</v>
    <v>222.43</v>
    <v>223.02</v>
    <v>223.64</v>
    <v>220.78</v>
    <v>219.89</v>
    <v>220.46</v>
    <v>222.73</v>
    <v>221.26</v>
    <v>222.27</v>
    <v>224.56</v>
    <v>224.73</v>
    <v>224.37</v>
    <v>223.09</v>
    <v>220.42</v>
    <v>221.23</v>
    <v>220.84</v>
    <v>221.25</v>
    <v>220.24</v>
    <v>221.29</v>
    <v>218.73</v>
    <v>219.32</v>
    <v>217.65</v>
    <v>217.32</v>
    <v>218.48</v>
    <v>221.49</v>
    <v>221.37</v>
    <v>218.57</v>
    <v>216.94</v>
    <v>218.23</v>
    <v>219</v>
    <v>221.55</v>
    <v>221.89</v>
    <v>222.06</v>
    <v>221.98</v>
    <v>219.74</v>
    <v>218.66</v>
    <v>219.14</v>
    <v>218.42</v>
    <v>218.75</v>
    <v>216.57</v>
    <v>217.15</v>
    <v>219.31</v>
    <v>218.61</v>
    <v>218.58</v>
    <v>220.31</v>
    <v>220.7</v>
    <v>219.74</v>
    <v>220.14</v>
    <v>218.27</v>
    <v>219.51</v>
    <v>217.78</v>
    <v>216.12</v>
    <v>216.86</v>
    <v>218</v>
    <v>217.17</v>
    <v>220.61</v>
    <v>222.05</v>
    <v>222.66</v>
    <v>222.89</v>
    <v>223.63</v>
    <v>223.28</v>
    <v>221.39</v>
    <v>221.5</v>
    <v>221.66</v>
    <v>223.73</v>
    <v>225.25</v>
    <v>222.69</v>
    <v>222.69</v>
    <v>219.28</v>
    <v>218.14</v>
    <v>218.91</v>
    <v>217.72</v>
    <v>219.09</v>
    <v>219.18</v>
    <v>219.25</v>
    <v>219.69</v>
    <v>220.35</v>
    <v>219.84</v>
    <v>220.41</v>
    <v>217.96</v>
    <v>220.07</v>
    <v>219.45</v>
    <v>217.28</v>
    <v>217.89</v>
    <v>219.56</v>
    <v>217.51</v>
    <v>216.54</v>
    <v>214.53</v>
    <v>215.09</v>
    <v>214.11</v>
    <v>212.64</v>
    <v>212.75</v>
    <v>213.14</v>
    <v>213.73</v>
    <v>213.25</v>
    <v>212.52</v>
    <v>212.84</v>
    <v>211.27</v>
    <v>213.07</v>
    <v>212.09</v>
    <v>212.97</v>
    <v>212.82</v>
    <v>212.25</v>
    <v>215.87</v>
    <v>216.43</v>
    <v>214.8</v>
    <v>217.49</v>
    <v>217.2</v>
    <v>216.67</v>
    <v>217.75</v>
    <v>216.76</v>
    <v>215.89</v>
    <v>215.52</v>
    <v>213.87</v>
    <v>209.67</v>
    <v>208.96</v>
    <v>208.11</v>
    <v>207.46</v>
    <v>208.3</v>
    <v>207.98</v>
    <v>206.7</v>
    <v>209.12</v>
    <v>208.53</v>
    <v>210.99</v>
    <v>210.75</v>
    <v>210.7</v>
    <v>210.6</v>
    <v>209.15</v>
    <v>209.43</v>
    <v>208.19</v>
    <v>210.07</v>
    <v>211.98</v>
    <v>209.5</v>
    <v>212.73</v>
    <v>214.98</v>
    <v>216.04</v>
    <v>215.97</v>
    <v>214.87</v>
    <v>215.38</v>
    <v>214.22</v>
    <v>213.85</v>
    <v>211.95</v>
    <v>212.67</v>
    <v>212.76</v>
    <v>214.62</v>
    <v>216.28</v>
    <v>216.74</v>
    <v>215.77</v>
    <v>215.51</v>
    <v>214.05</v>
    <v>212.94</v>
  </a>
  <a r="1" c="22">
    <v>208.19</v>
    <v>210.07</v>
    <v>211.98</v>
    <v>209.5</v>
    <v>212.73</v>
    <v>214.98</v>
    <v>216.04</v>
    <v>215.97</v>
    <v>214.87</v>
    <v>215.38</v>
    <v>214.22</v>
    <v>213.85</v>
    <v>211.95</v>
    <v>212.67</v>
    <v>212.76</v>
    <v>214.62</v>
    <v>216.28</v>
    <v>216.74</v>
    <v>215.77</v>
    <v>215.51</v>
    <v>214.05</v>
    <v>212.94</v>
  </a>
  <a r="1" c="22">
    <v>17.745000000000001</v>
    <v>17.600000000000001</v>
    <v>17.600000000000001</v>
    <v>17.59</v>
    <v>17.6419</v>
    <v>17.940000000000001</v>
    <v>17.9726</v>
    <v>17.907299999999999</v>
    <v>18.05</v>
    <v>17.809999999999999</v>
    <v>17.89</v>
    <v>17.850000000000001</v>
    <v>17.837599999999998</v>
    <v>17.95</v>
    <v>17.825900000000001</v>
    <v>17.899999999999999</v>
    <v>17.75</v>
    <v>17.702100000000002</v>
    <v>17.59</v>
    <v>17.71</v>
    <v>17.84</v>
    <v>17.790500000000002</v>
  </a>
  <a r="1" c="254">
    <v>18.36</v>
    <v>18.28</v>
    <v>18.03</v>
    <v>18.09</v>
    <v>18.260000000000002</v>
    <v>18.37</v>
    <v>18.360499999999998</v>
    <v>18.63</v>
    <v>18.57</v>
    <v>18.579999999999998</v>
    <v>18.77</v>
    <v>18.89</v>
    <v>18.52</v>
    <v>18.78</v>
    <v>18.78</v>
    <v>18.649999999999999</v>
    <v>19.23</v>
    <v>19.5</v>
    <v>19.43</v>
    <v>19.55</v>
    <v>19.28</v>
    <v>19.62</v>
    <v>19.86</v>
    <v>19.7</v>
    <v>19.91</v>
    <v>19.760000000000002</v>
    <v>19.63</v>
    <v>19.79</v>
    <v>20.18</v>
    <v>20.05</v>
    <v>19.79</v>
    <v>19.989999999999998</v>
    <v>20.149999999999999</v>
    <v>20.170000000000002</v>
    <v>20.28</v>
    <v>19.97</v>
    <v>20.170000000000002</v>
    <v>20.010000000000002</v>
    <v>20.2</v>
    <v>20.22</v>
    <v>20.32</v>
    <v>20.6</v>
    <v>20.474</v>
    <v>20.54</v>
    <v>20.237100000000002</v>
    <v>19.97</v>
    <v>19.940000000000001</v>
    <v>19.87</v>
    <v>19.43</v>
    <v>19.07</v>
    <v>18.68</v>
    <v>18.52</v>
    <v>18.649999999999999</v>
    <v>18.875</v>
    <v>19.07</v>
    <v>19.18</v>
    <v>19.059999999999999</v>
    <v>18.78</v>
    <v>18.89</v>
    <v>18.829999999999998</v>
    <v>18.96</v>
    <v>18.89</v>
    <v>18.87</v>
    <v>18.98</v>
    <v>18.88</v>
    <v>18.93</v>
    <v>18.77</v>
    <v>18.559999999999999</v>
    <v>18.510000000000002</v>
    <v>18.461400000000001</v>
    <v>18.559999999999999</v>
    <v>18.72</v>
    <v>18.7</v>
    <v>18.68</v>
    <v>18.739999999999998</v>
    <v>18.72</v>
    <v>18.739999999999998</v>
    <v>19.05</v>
    <v>19.18</v>
    <v>19.579999999999998</v>
    <v>19.420000000000002</v>
    <v>19.5</v>
    <v>19.579999999999998</v>
    <v>19.579999999999998</v>
    <v>19.510000000000002</v>
    <v>19.23</v>
    <v>19.09</v>
    <v>19.128299999999999</v>
    <v>19.170000000000002</v>
    <v>18.98</v>
    <v>18.649999999999999</v>
    <v>18.739999999999998</v>
    <v>18.78</v>
    <v>18.809999999999999</v>
    <v>18.37</v>
    <v>18.37</v>
    <v>18.27</v>
    <v>18.16</v>
    <v>18.239999999999998</v>
    <v>18.3</v>
    <v>18.18</v>
    <v>18.13</v>
    <v>18.11</v>
    <v>17.940000000000001</v>
    <v>18.190000000000001</v>
    <v>18.5</v>
    <v>18.71</v>
    <v>18.61</v>
    <v>18.52</v>
    <v>18.38</v>
    <v>18.239999999999998</v>
    <v>18.16</v>
    <v>18.12</v>
    <v>18.02</v>
    <v>18.21</v>
    <v>18.38</v>
    <v>18.5</v>
    <v>18.62</v>
    <v>18.260000000000002</v>
    <v>18.27</v>
    <v>18.260000000000002</v>
    <v>18.309999999999999</v>
    <v>18.39</v>
    <v>18.09</v>
    <v>18.23</v>
    <v>18.399999999999999</v>
    <v>18.34</v>
    <v>17.96</v>
    <v>17.84</v>
    <v>17.600000000000001</v>
    <v>17.559999999999999</v>
    <v>17.72</v>
    <v>17.696000000000002</v>
    <v>17.579999999999998</v>
    <v>18.010000000000002</v>
    <v>18.16</v>
    <v>17.54</v>
    <v>17.34</v>
    <v>17.39</v>
    <v>17.39</v>
    <v>17.27</v>
    <v>17.46</v>
    <v>17.510000000000002</v>
    <v>17.625</v>
    <v>17.55</v>
    <v>17.809999999999999</v>
    <v>17.579999999999998</v>
    <v>17.46</v>
    <v>17.47</v>
    <v>17.57</v>
    <v>17.489999999999998</v>
    <v>17.332999999999998</v>
    <v>17.2</v>
    <v>17.25</v>
    <v>17.263999999999999</v>
    <v>17.170000000000002</v>
    <v>17.12</v>
    <v>16.899999999999999</v>
    <v>16.917000000000002</v>
    <v>17.079999999999998</v>
    <v>17.04</v>
    <v>17.14</v>
    <v>16.71</v>
    <v>16.8</v>
    <v>16.77</v>
    <v>17.091699999999999</v>
    <v>17.100200000000001</v>
    <v>16.992799999999999</v>
    <v>17.07</v>
    <v>17.309999999999999</v>
    <v>17.3</v>
    <v>17.350000000000001</v>
    <v>17.22</v>
    <v>17.100000000000001</v>
    <v>17.260000000000002</v>
    <v>17.57</v>
    <v>17.72</v>
    <v>17.559999999999999</v>
    <v>17.64</v>
    <v>17.53</v>
    <v>17.66</v>
    <v>17.579999999999998</v>
    <v>17.47</v>
    <v>17.600000000000001</v>
    <v>17.899999999999999</v>
    <v>17.78</v>
    <v>17.96</v>
    <v>17.88</v>
    <v>17.739999999999998</v>
    <v>17.739999999999998</v>
    <v>17.61</v>
    <v>17.75</v>
    <v>17.72</v>
    <v>17.72</v>
    <v>17.62</v>
    <v>17.63</v>
    <v>17.45</v>
    <v>17.55</v>
    <v>17.670000000000002</v>
    <v>17.61</v>
    <v>17.600000000000001</v>
    <v>17.509399999999999</v>
    <v>17.579999999999998</v>
    <v>17.45</v>
    <v>17.3</v>
    <v>17.22</v>
    <v>17.260000000000002</v>
    <v>17.420000000000002</v>
    <v>17.510000000000002</v>
    <v>17.54</v>
    <v>17.57</v>
    <v>17.46</v>
    <v>17.53</v>
    <v>17.670000000000002</v>
    <v>17.614999999999998</v>
    <v>17.87</v>
    <v>17.91</v>
    <v>17.916599999999999</v>
    <v>17.829999999999998</v>
    <v>17.7943</v>
    <v>17.97</v>
    <v>17.87</v>
    <v>18.05</v>
    <v>17.829999999999998</v>
    <v>17.7654</v>
    <v>17.880600000000001</v>
    <v>18.010000000000002</v>
    <v>18.026499999999999</v>
    <v>18.27</v>
    <v>17.899999999999999</v>
    <v>18.018000000000001</v>
    <v>18.02</v>
    <v>17.745000000000001</v>
    <v>17.600000000000001</v>
    <v>17.600000000000001</v>
    <v>17.59</v>
    <v>17.6419</v>
    <v>17.940000000000001</v>
    <v>17.9726</v>
    <v>17.907299999999999</v>
    <v>18.05</v>
    <v>17.809999999999999</v>
    <v>17.89</v>
    <v>17.850000000000001</v>
    <v>17.837599999999998</v>
    <v>17.95</v>
    <v>17.825900000000001</v>
    <v>17.899999999999999</v>
    <v>17.75</v>
    <v>17.702100000000002</v>
    <v>17.59</v>
    <v>17.71</v>
    <v>17.84</v>
    <v>17.790500000000002</v>
  </a>
  <a r="1" c="254">
    <v>97.33</v>
    <v>96.06</v>
    <v>92.15</v>
    <v>90.74</v>
    <v>92.39</v>
    <v>92.79</v>
    <v>93.41</v>
    <v>93.6</v>
    <v>92.67</v>
    <v>92.28</v>
    <v>93.06</v>
    <v>92.29</v>
    <v>93.43</v>
    <v>92.27</v>
    <v>91.48</v>
    <v>91.72</v>
    <v>89.49</v>
    <v>90.61</v>
    <v>91.46</v>
    <v>91.84</v>
    <v>93.96</v>
    <v>93.86</v>
    <v>95.65</v>
    <v>94</v>
    <v>94.68</v>
    <v>94.94</v>
    <v>96.04</v>
    <v>95.03</v>
    <v>93.78</v>
    <v>95.03</v>
    <v>94.82</v>
    <v>94.51</v>
    <v>94.64</v>
    <v>96.07</v>
    <v>96.3</v>
    <v>95.94</v>
    <v>96.07</v>
    <v>96.47</v>
    <v>95.47</v>
    <v>96.34</v>
    <v>95.93</v>
    <v>96.33</v>
    <v>96.37</v>
    <v>96.98</v>
    <v>96.27</v>
    <v>96.61</v>
    <v>97.71</v>
    <v>97.24</v>
    <v>97.65</v>
    <v>98.41</v>
    <v>98.9</v>
    <v>97.8</v>
    <v>98.98</v>
    <v>96.34</v>
    <v>96.97</v>
    <v>96.05</v>
    <v>94.89</v>
    <v>94.54</v>
    <v>92.74</v>
    <v>94.63</v>
    <v>96.12</v>
    <v>95.39</v>
    <v>95.53</v>
    <v>95.32</v>
    <v>94.42</v>
    <v>95.72</v>
    <v>94.66</v>
    <v>95.18</v>
    <v>94.88</v>
    <v>94.74</v>
    <v>95.75</v>
    <v>95.81</v>
    <v>96.22</v>
    <v>93.23</v>
    <v>89.11</v>
    <v>86.67</v>
    <v>84.48</v>
    <v>89.42</v>
    <v>87.32</v>
    <v>88.6</v>
    <v>90.46</v>
    <v>90.71</v>
    <v>90.59</v>
    <v>91.93</v>
    <v>90.07</v>
    <v>91.87</v>
    <v>92</v>
    <v>92.33</v>
    <v>92.16</v>
    <v>92.75</v>
    <v>93.37</v>
    <v>93.69</v>
    <v>93.95</v>
    <v>94.96</v>
    <v>94.86</v>
    <v>94.16</v>
    <v>94.15</v>
    <v>93.74</v>
    <v>94.37</v>
    <v>94.66</v>
    <v>93.5</v>
    <v>92.67</v>
    <v>94.3</v>
    <v>95.49</v>
    <v>95.6</v>
    <v>95.09</v>
    <v>92.52</v>
    <v>92.14</v>
    <v>92.21</v>
    <v>93.73</v>
    <v>93.62</v>
    <v>94.44</v>
    <v>94.54</v>
    <v>94.59</v>
    <v>94.4</v>
    <v>94.65</v>
    <v>94.57</v>
    <v>94.96</v>
    <v>95.06</v>
    <v>95.91</v>
    <v>95.41</v>
    <v>95.9</v>
    <v>95.06</v>
    <v>94.59</v>
    <v>94.24</v>
    <v>94.55</v>
    <v>94.55</v>
    <v>95.87</v>
    <v>96.25</v>
    <v>94.07</v>
    <v>93.96</v>
    <v>94.13</v>
    <v>94.77</v>
    <v>95.44</v>
    <v>95.71</v>
    <v>95.8</v>
    <v>95.02</v>
    <v>94.92</v>
    <v>95.02</v>
    <v>95.53</v>
    <v>95.49</v>
    <v>96.06</v>
    <v>94.7</v>
    <v>95.64</v>
    <v>95.51</v>
    <v>95.8</v>
    <v>96.07</v>
    <v>97.79</v>
    <v>98.01</v>
    <v>97.76</v>
    <v>97.74</v>
    <v>96.09</v>
    <v>97.72</v>
    <v>96.31</v>
    <v>94.88</v>
    <v>94.75</v>
    <v>95.71</v>
    <v>95.95</v>
    <v>95.27</v>
    <v>95.64</v>
    <v>94.8</v>
    <v>94.16</v>
    <v>94.51</v>
    <v>95.39</v>
    <v>94.68</v>
    <v>95.29</v>
    <v>94.36</v>
    <v>96.05</v>
    <v>96.41</v>
    <v>95.99</v>
    <v>97.72</v>
    <v>97.16</v>
    <v>96.83</v>
    <v>97.34</v>
    <v>97.1</v>
    <v>97.64</v>
    <v>95.97</v>
    <v>96.03</v>
    <v>96.71</v>
    <v>97.76</v>
    <v>97.19</v>
    <v>97.01</v>
    <v>96.87</v>
    <v>98.46</v>
    <v>97.99</v>
    <v>97.83</v>
    <v>96.75</v>
    <v>96.64</v>
    <v>96.68</v>
    <v>96.13</v>
    <v>96.16</v>
    <v>96.81</v>
    <v>95.84</v>
    <v>95.58</v>
    <v>96.56</v>
    <v>96.65</v>
    <v>97.08</v>
    <v>97.13</v>
    <v>96.62</v>
    <v>97.04</v>
    <v>96</v>
    <v>95.73</v>
    <v>95.31</v>
    <v>94.81</v>
    <v>93.69</v>
    <v>94.26</v>
    <v>95.24</v>
    <v>96.61</v>
    <v>96.32</v>
    <v>96.95</v>
    <v>97.97</v>
    <v>97.62</v>
    <v>98.05</v>
    <v>97.94</v>
    <v>98.17</v>
    <v>98.5</v>
    <v>96.43</v>
    <v>93.99</v>
    <v>94.38</v>
    <v>94.66</v>
    <v>94.56</v>
    <v>94.77</v>
    <v>94.76</v>
    <v>94.26</v>
    <v>95.67</v>
    <v>95.49</v>
    <v>96.62</v>
    <v>95.83</v>
    <v>94.66</v>
    <v>94.88</v>
    <v>94.24</v>
    <v>94.68</v>
    <v>93.95</v>
    <v>93.63</v>
    <v>95.07</v>
    <v>95.2</v>
    <v>96.09</v>
    <v>96.52</v>
    <v>96.9</v>
    <v>95.79</v>
    <v>95.49</v>
    <v>95.77</v>
    <v>95.53</v>
    <v>95.47</v>
    <v>94.65</v>
    <v>94.16</v>
    <v>94.51</v>
    <v>94.89</v>
    <v>94.76</v>
    <v>95.08</v>
    <v>93.42</v>
    <v>93.85</v>
    <v>93.33</v>
    <v>93.02</v>
  </a>
  <a r="1" c="22">
    <v>93.95</v>
    <v>93.63</v>
    <v>95.07</v>
    <v>95.2</v>
    <v>96.09</v>
    <v>96.52</v>
    <v>96.9</v>
    <v>95.79</v>
    <v>95.49</v>
    <v>95.77</v>
    <v>95.53</v>
    <v>95.47</v>
    <v>94.65</v>
    <v>94.16</v>
    <v>94.51</v>
    <v>94.89</v>
    <v>94.76</v>
    <v>95.08</v>
    <v>93.42</v>
    <v>93.85</v>
    <v>93.33</v>
    <v>93.02</v>
  </a>
  <a r="1" c="22">
    <v>70.163499999999999</v>
    <v>68.069999999999993</v>
    <v>70.060500000000005</v>
    <v>70.751400000000004</v>
    <v>72.350099999999998</v>
    <v>73.03</v>
    <v>73.7</v>
    <v>73.609300000000005</v>
    <v>73.522199999999998</v>
    <v>73.867999999999995</v>
    <v>73.765699999999995</v>
    <v>74.385099999999994</v>
    <v>74.232200000000006</v>
    <v>74.974900000000005</v>
    <v>75.566800000000001</v>
    <v>75.9499</v>
    <v>75.573400000000007</v>
    <v>74.979500000000002</v>
    <v>75.433300000000003</v>
    <v>74.351600000000005</v>
    <v>75.136200000000002</v>
    <v>75.491299999999995</v>
  </a>
  <a r="1" c="254">
    <v>69.22</v>
    <v>68.38</v>
    <v>65.1541</v>
    <v>64.807400000000001</v>
    <v>65.398700000000005</v>
    <v>65.9559</v>
    <v>66.379199999999997</v>
    <v>66.583100000000002</v>
    <v>65.620500000000007</v>
    <v>65.16</v>
    <v>64.650000000000006</v>
    <v>64.969399999999993</v>
    <v>65.929400000000001</v>
    <v>66.48</v>
    <v>65.795299999999997</v>
    <v>65.428299999999993</v>
    <v>63.95</v>
    <v>63.652900000000002</v>
    <v>63.984200000000001</v>
    <v>65.61</v>
    <v>65.97</v>
    <v>66.426100000000005</v>
    <v>66.903800000000004</v>
    <v>66.641999999999996</v>
    <v>67.38</v>
    <v>67.569999999999993</v>
    <v>67.62</v>
    <v>68.64</v>
    <v>68.37</v>
    <v>69</v>
    <v>68.55</v>
    <v>67.78</v>
    <v>68.599999999999994</v>
    <v>68.75</v>
    <v>69.260000000000005</v>
    <v>69.66</v>
    <v>70.69</v>
    <v>70.28</v>
    <v>70.733400000000003</v>
    <v>73.08</v>
    <v>73.92</v>
    <v>74.099999999999994</v>
    <v>73.7</v>
    <v>72.27</v>
    <v>69.099999999999994</v>
    <v>68.843800000000002</v>
    <v>67.709999999999994</v>
    <v>67.84</v>
    <v>66.34</v>
    <v>66.86</v>
    <v>64.959999999999994</v>
    <v>64.02</v>
    <v>65.290000000000006</v>
    <v>62.9</v>
    <v>63.4</v>
    <v>61.177900000000001</v>
    <v>60.8</v>
    <v>60.78</v>
    <v>58.99</v>
    <v>60.51</v>
    <v>61.634799999999998</v>
    <v>60.16</v>
    <v>61.440399999999997</v>
    <v>61.143300000000004</v>
    <v>61.55</v>
    <v>63.527799999999999</v>
    <v>63.5428</v>
    <v>62.19</v>
    <v>62.075000000000003</v>
    <v>60.255099999999999</v>
    <v>60.146599999999999</v>
    <v>60.64</v>
    <v>61.66</v>
    <v>57.17</v>
    <v>54.22</v>
    <v>53.78</v>
    <v>52.71</v>
    <v>58.563400000000001</v>
    <v>55.97</v>
    <v>57.207700000000003</v>
    <v>57.505299999999998</v>
    <v>57.864400000000003</v>
    <v>56.81</v>
    <v>57.499099999999999</v>
    <v>56.301400000000001</v>
    <v>57.929000000000002</v>
    <v>58.82</v>
    <v>60.295499999999997</v>
    <v>60.663699999999999</v>
    <v>60.649099999999997</v>
    <v>61.489400000000003</v>
    <v>61.07</v>
    <v>61.481699999999996</v>
    <v>63.268500000000003</v>
    <v>63.335000000000001</v>
    <v>63.864899999999999</v>
    <v>64.155100000000004</v>
    <v>65.02</v>
    <v>64.62</v>
    <v>66.87</v>
    <v>68.171400000000006</v>
    <v>68.03</v>
    <v>67.17</v>
    <v>68.06</v>
    <v>67.95</v>
    <v>67.72</v>
    <v>66.156099999999995</v>
    <v>66.56</v>
    <v>66.077699999999993</v>
    <v>67.489999999999995</v>
    <v>67.040000000000006</v>
    <v>66.944100000000006</v>
    <v>67.186999999999998</v>
    <v>67.69</v>
    <v>68.11</v>
    <v>68.739999999999995</v>
    <v>68.8</v>
    <v>69.373400000000004</v>
    <v>69.871499999999997</v>
    <v>69.599999999999994</v>
    <v>69.260000000000005</v>
    <v>68.31</v>
    <v>66.373000000000005</v>
    <v>67.540000000000006</v>
    <v>66.61</v>
    <v>66.804100000000005</v>
    <v>66.729900000000001</v>
    <v>66.28</v>
    <v>67.92</v>
    <v>66.918000000000006</v>
    <v>67.793099999999995</v>
    <v>68.36</v>
    <v>69.03</v>
    <v>69.598600000000005</v>
    <v>69.89</v>
    <v>70.61</v>
    <v>70.42</v>
    <v>70.28</v>
    <v>70.61</v>
    <v>71.06</v>
    <v>69.849999999999994</v>
    <v>70</v>
    <v>69.349999999999994</v>
    <v>69.266300000000001</v>
    <v>69.899600000000007</v>
    <v>69.896900000000002</v>
    <v>69.939800000000005</v>
    <v>71.817400000000006</v>
    <v>72.704599999999999</v>
    <v>72.009600000000006</v>
    <v>72.195300000000003</v>
    <v>72.099999999999994</v>
    <v>70.836600000000004</v>
    <v>70.560400000000001</v>
    <v>70.765500000000003</v>
    <v>69.245500000000007</v>
    <v>71.308800000000005</v>
    <v>70.905900000000003</v>
    <v>71.678600000000003</v>
    <v>71.665000000000006</v>
    <v>71.510000000000005</v>
    <v>70.940399999999997</v>
    <v>72.485699999999994</v>
    <v>74</v>
    <v>73.427800000000005</v>
    <v>73.540000000000006</v>
    <v>73.978099999999998</v>
    <v>73.269400000000005</v>
    <v>72.913600000000002</v>
    <v>72.560199999999995</v>
    <v>74.473799999999997</v>
    <v>73.6327</v>
    <v>73.496600000000001</v>
    <v>73.342699999999994</v>
    <v>73.400199999999998</v>
    <v>73.362899999999996</v>
    <v>72.554599999999994</v>
    <v>73.399299999999997</v>
    <v>74.820800000000006</v>
    <v>75.001900000000006</v>
    <v>75.545000000000002</v>
    <v>75.760000000000005</v>
    <v>75.198999999999998</v>
    <v>76.040000000000006</v>
    <v>75.611900000000006</v>
    <v>77.209999999999994</v>
    <v>76.989999999999995</v>
    <v>77.827200000000005</v>
    <v>78.710899999999995</v>
    <v>78.5</v>
    <v>77.84</v>
    <v>76.77</v>
    <v>76.543400000000005</v>
    <v>75.939499999999995</v>
    <v>76.565799999999996</v>
    <v>77.371799999999993</v>
    <v>76.172799999999995</v>
    <v>76.161799999999999</v>
    <v>76.839799999999997</v>
    <v>76.597099999999998</v>
    <v>76.429699999999997</v>
    <v>75.22</v>
    <v>75.548299999999998</v>
    <v>74.762699999999995</v>
    <v>71.900000000000006</v>
    <v>73.450699999999998</v>
    <v>74.09</v>
    <v>74.510000000000005</v>
    <v>73.663499999999999</v>
    <v>73.236599999999996</v>
    <v>74.553399999999996</v>
    <v>75.388400000000004</v>
    <v>74.290000000000006</v>
    <v>74.963200000000001</v>
    <v>75.218299999999999</v>
    <v>75.680800000000005</v>
    <v>76.503699999999995</v>
    <v>75.129300000000001</v>
    <v>73.441000000000003</v>
    <v>73.98</v>
    <v>73.394999999999996</v>
    <v>71.72</v>
    <v>72.34</v>
    <v>70.489999999999995</v>
    <v>72.394800000000004</v>
    <v>74</v>
    <v>74.243799999999993</v>
    <v>74.569999999999993</v>
    <v>72.721699999999998</v>
    <v>72.036299999999997</v>
    <v>70.56</v>
    <v>70.299499999999995</v>
    <v>70.163499999999999</v>
    <v>68.069999999999993</v>
    <v>70.060500000000005</v>
    <v>70.751400000000004</v>
    <v>72.350099999999998</v>
    <v>73.03</v>
    <v>73.7</v>
    <v>73.609300000000005</v>
    <v>73.522199999999998</v>
    <v>73.867999999999995</v>
    <v>73.765699999999995</v>
    <v>74.385099999999994</v>
    <v>74.232200000000006</v>
    <v>74.974900000000005</v>
    <v>75.566800000000001</v>
    <v>75.9499</v>
    <v>75.573400000000007</v>
    <v>74.979500000000002</v>
    <v>75.433300000000003</v>
    <v>74.351600000000005</v>
    <v>75.136200000000002</v>
    <v>75.491299999999995</v>
  </a>
  <a r="1" c="22">
    <v>51.34</v>
    <v>50.81</v>
    <v>51.47</v>
    <v>51.19</v>
    <v>52.16</v>
    <v>52.54</v>
    <v>52.93</v>
    <v>52.66</v>
    <v>53</v>
    <v>53.29</v>
    <v>53.15</v>
    <v>52.98</v>
    <v>52.98</v>
    <v>53.02</v>
    <v>53.55</v>
    <v>53.95</v>
    <v>53.66</v>
    <v>54.35</v>
    <v>53.58</v>
    <v>53.51</v>
    <v>53.81</v>
    <v>54.21</v>
  </a>
  <a r="1" c="254">
    <v>37.47</v>
    <v>36.5</v>
    <v>35.630000000000003</v>
    <v>35.520000000000003</v>
    <v>35.6</v>
    <v>35.76</v>
    <v>36.08</v>
    <v>36.200000000000003</v>
    <v>36.03</v>
    <v>35.979999999999997</v>
    <v>35.97</v>
    <v>35.549999999999997</v>
    <v>35.67</v>
    <v>36.33</v>
    <v>36.479999999999997</v>
    <v>36.68</v>
    <v>36.5</v>
    <v>36.200000000000003</v>
    <v>36.68</v>
    <v>37.25</v>
    <v>37.44</v>
    <v>37.770000000000003</v>
    <v>38.29</v>
    <v>37.869999999999997</v>
    <v>38.4</v>
    <v>38.700000000000003</v>
    <v>38.86</v>
    <v>38.6</v>
    <v>38.6</v>
    <v>38.83</v>
    <v>38.549999999999997</v>
    <v>38.03</v>
    <v>38.869999999999997</v>
    <v>39</v>
    <v>39.28</v>
    <v>38.93</v>
    <v>39.200000000000003</v>
    <v>39.770000000000003</v>
    <v>39.950000000000003</v>
    <v>40.22</v>
    <v>40.590000000000003</v>
    <v>41.09</v>
    <v>40.57</v>
    <v>40.83</v>
    <v>40.6</v>
    <v>40.79</v>
    <v>41.47</v>
    <v>41.27</v>
    <v>40.61</v>
    <v>40.799999999999997</v>
    <v>41.31</v>
    <v>41.28</v>
    <v>42.69</v>
    <v>42.27</v>
    <v>42.85</v>
    <v>42.15</v>
    <v>42.27</v>
    <v>42.5</v>
    <v>41.94</v>
    <v>43.03</v>
    <v>43.53</v>
    <v>43.92</v>
    <v>43.99</v>
    <v>43.26</v>
    <v>42.95</v>
    <v>42.98</v>
    <v>43.42</v>
    <v>42.61</v>
    <v>43.07</v>
    <v>42.8</v>
    <v>42.32</v>
    <v>42.46</v>
    <v>42.66</v>
    <v>41.77</v>
    <v>38.49</v>
    <v>37.06</v>
    <v>36.6</v>
    <v>40.22</v>
    <v>39.659999999999997</v>
    <v>40.53</v>
    <v>40.92</v>
    <v>41.54</v>
    <v>41.76</v>
    <v>42.13</v>
    <v>41.94</v>
    <v>42.81</v>
    <v>42.69</v>
    <v>43.48</v>
    <v>44.04</v>
    <v>44.23</v>
    <v>44.67</v>
    <v>44.21</v>
    <v>44.26</v>
    <v>44.99</v>
    <v>45.07</v>
    <v>45.22</v>
    <v>44.99</v>
    <v>45.36</v>
    <v>45.81</v>
    <v>45.66</v>
    <v>46</v>
    <v>46.26</v>
    <v>46.53</v>
    <v>46.85</v>
    <v>47.3</v>
    <v>47.84</v>
    <v>47.65</v>
    <v>47.54</v>
    <v>46.96</v>
    <v>47.66</v>
    <v>47.55</v>
    <v>47.58</v>
    <v>47.77</v>
    <v>48.32</v>
    <v>47.87</v>
    <v>47.74</v>
    <v>47.98</v>
    <v>48.3</v>
    <v>48.18</v>
    <v>47.93</v>
    <v>47.93</v>
    <v>48.25</v>
    <v>47.43</v>
    <v>47.21</v>
    <v>46.26</v>
    <v>46.46</v>
    <v>46.36</v>
    <v>46.45</v>
    <v>47.2</v>
    <v>47.17</v>
    <v>47.5</v>
    <v>47.86</v>
    <v>48.14</v>
    <v>48.05</v>
    <v>48.29</v>
    <v>48.21</v>
    <v>47.87</v>
    <v>48.34</v>
    <v>49.17</v>
    <v>48.53</v>
    <v>47.99</v>
    <v>48.16</v>
    <v>47.32</v>
    <v>47.76</v>
    <v>47.75</v>
    <v>47.79</v>
    <v>48.03</v>
    <v>48.55</v>
    <v>49.84</v>
    <v>49.12</v>
    <v>49.56</v>
    <v>48.78</v>
    <v>49.06</v>
    <v>49.13</v>
    <v>48.25</v>
    <v>47.83</v>
    <v>48.57</v>
    <v>48.74</v>
    <v>49.52</v>
    <v>49.95</v>
    <v>50.16</v>
    <v>49.99</v>
    <v>50.64</v>
    <v>51.1</v>
    <v>51.56</v>
    <v>51.79</v>
    <v>51.54</v>
    <v>51.62</v>
    <v>51.69</v>
    <v>51.53</v>
    <v>52.34</v>
    <v>51.76</v>
    <v>51.42</v>
    <v>50.91</v>
    <v>51.19</v>
    <v>51.05</v>
    <v>50.4</v>
    <v>50.38</v>
    <v>50.65</v>
    <v>50.46</v>
    <v>50.64</v>
    <v>50.86</v>
    <v>50.93</v>
    <v>51.6</v>
    <v>51.72</v>
    <v>52.39</v>
    <v>52.15</v>
    <v>51.33</v>
    <v>51.44</v>
    <v>51.37</v>
    <v>51.74</v>
    <v>51.51</v>
    <v>51.29</v>
    <v>50.94</v>
    <v>51.54</v>
    <v>51.5</v>
    <v>51.95</v>
    <v>52.41</v>
    <v>52.33</v>
    <v>52.61</v>
    <v>52.26</v>
    <v>51.94</v>
    <v>52.29</v>
    <v>51.13</v>
    <v>50.31</v>
    <v>50.5</v>
    <v>50.79</v>
    <v>50.47</v>
    <v>50.88</v>
    <v>50.77</v>
    <v>51.24</v>
    <v>51.1</v>
    <v>50.66</v>
    <v>51.17</v>
    <v>51.27</v>
    <v>51.93</v>
    <v>52.18</v>
    <v>52.11</v>
    <v>51.82</v>
    <v>51.81</v>
    <v>51.79</v>
    <v>51.38</v>
    <v>52</v>
    <v>51.75</v>
    <v>52.19</v>
    <v>53.15</v>
    <v>53.75</v>
    <v>54.12</v>
    <v>53.98</v>
    <v>53.2</v>
    <v>52.56</v>
    <v>51.81</v>
    <v>51.34</v>
    <v>50.81</v>
    <v>51.47</v>
    <v>51.19</v>
    <v>52.16</v>
    <v>52.54</v>
    <v>52.93</v>
    <v>52.66</v>
    <v>53</v>
    <v>53.29</v>
    <v>53.15</v>
    <v>52.98</v>
    <v>52.98</v>
    <v>53.02</v>
    <v>53.55</v>
    <v>53.95</v>
    <v>53.66</v>
    <v>54.35</v>
    <v>53.58</v>
    <v>53.51</v>
    <v>53.81</v>
    <v>54.21</v>
  </a>
  <a r="1" c="22">
    <v>25.94</v>
    <v>25.831099999999999</v>
    <v>26.425000000000001</v>
    <v>26.77</v>
    <v>27.25</v>
    <v>27.5</v>
    <v>27.55</v>
    <v>26.76</v>
    <v>26.1</v>
    <v>26.78</v>
    <v>27.01</v>
    <v>26.95</v>
    <v>26.76</v>
    <v>26.31</v>
    <v>26.68</v>
    <v>26.69</v>
    <v>26.41</v>
    <v>26.5</v>
    <v>26.11</v>
    <v>25.84</v>
    <v>25.82</v>
    <v>26.46</v>
  </a>
  <a r="1" c="254">
    <v>23.44</v>
    <v>23.31</v>
    <v>22.4</v>
    <v>22.38</v>
    <v>22.64</v>
    <v>22.79</v>
    <v>22.83</v>
    <v>22.96</v>
    <v>22.83</v>
    <v>22.51</v>
    <v>22.63</v>
    <v>22.76</v>
    <v>23</v>
    <v>23.17</v>
    <v>23.63</v>
    <v>23.21</v>
    <v>22.58</v>
    <v>21.95</v>
    <v>21.56</v>
    <v>21.92</v>
    <v>21.9</v>
    <v>21.91</v>
    <v>22.48</v>
    <v>22.46</v>
    <v>22.97</v>
    <v>22.68</v>
    <v>22.78</v>
    <v>22.8</v>
    <v>22.63</v>
    <v>22.87</v>
    <v>22.8</v>
    <v>22.3</v>
    <v>22.41</v>
    <v>23.19</v>
    <v>22.83</v>
    <v>22.5</v>
    <v>22.47</v>
    <v>22.15</v>
    <v>22.35</v>
    <v>22.74</v>
    <v>22.91</v>
    <v>23.01</v>
    <v>23</v>
    <v>23.11</v>
    <v>23.11</v>
    <v>22.82</v>
    <v>22.64</v>
    <v>22.457599999999999</v>
    <v>22.23</v>
    <v>22.5</v>
    <v>21.92</v>
    <v>22.023199999999999</v>
    <v>22.55</v>
    <v>22.36</v>
    <v>22.519400000000001</v>
    <v>22.06</v>
    <v>21.7774</v>
    <v>21.97</v>
    <v>21.76</v>
    <v>21.95</v>
    <v>22.18</v>
    <v>21.71</v>
    <v>21.793099999999999</v>
    <v>21.7</v>
    <v>21.53</v>
    <v>21.74</v>
    <v>21.3</v>
    <v>20.96</v>
    <v>21.17</v>
    <v>21</v>
    <v>20.49</v>
    <v>19.975000000000001</v>
    <v>20.39</v>
    <v>19.91</v>
    <v>18.829999999999998</v>
    <v>18.5</v>
    <v>17.920000000000002</v>
    <v>18.97</v>
    <v>18.149999999999999</v>
    <v>19.02</v>
    <v>19.54</v>
    <v>19.46</v>
    <v>19.16</v>
    <v>19.32</v>
    <v>19.36</v>
    <v>20</v>
    <v>20.27</v>
    <v>20.69</v>
    <v>20.420000000000002</v>
    <v>20.76</v>
    <v>20.74</v>
    <v>21.02</v>
    <v>20.67</v>
    <v>21.06</v>
    <v>20.91</v>
    <v>19.62</v>
    <v>19.510999999999999</v>
    <v>19.59</v>
    <v>19.16</v>
    <v>19.760000000000002</v>
    <v>19.32</v>
    <v>19.13</v>
    <v>19.510000000000002</v>
    <v>19.809999999999999</v>
    <v>20.059999999999999</v>
    <v>20.39</v>
    <v>20</v>
    <v>20.177700000000002</v>
    <v>20.079999999999998</v>
    <v>20.2</v>
    <v>19.989999999999998</v>
    <v>20.43</v>
    <v>20.23</v>
    <v>20.502300000000002</v>
    <v>20.78</v>
    <v>20.86</v>
    <v>20.75</v>
    <v>21.1</v>
    <v>21.332999999999998</v>
    <v>21.45</v>
    <v>21.23</v>
    <v>21.497399999999999</v>
    <v>21.16</v>
    <v>20.95</v>
    <v>20.53</v>
    <v>20.54</v>
    <v>20.433</v>
    <v>20.39</v>
    <v>20.86</v>
    <v>20.65</v>
    <v>20.71</v>
    <v>20.45</v>
    <v>20.51</v>
    <v>20.64</v>
    <v>21</v>
    <v>21.07</v>
    <v>20.65</v>
    <v>20.946899999999999</v>
    <v>21.52</v>
    <v>21.64</v>
    <v>21.19</v>
    <v>21.36</v>
    <v>20.93</v>
    <v>21.37</v>
    <v>21.45</v>
    <v>21.23</v>
    <v>21.307200000000002</v>
    <v>21.83</v>
    <v>22.53</v>
    <v>22.266100000000002</v>
    <v>22.18</v>
    <v>22.2</v>
    <v>21.85</v>
    <v>21.76</v>
    <v>21.25</v>
    <v>21.15</v>
    <v>21.56</v>
    <v>21.579899999999999</v>
    <v>21.351299999999998</v>
    <v>21.34</v>
    <v>21.151599999999998</v>
    <v>21.054500000000001</v>
    <v>21.65</v>
    <v>22.47</v>
    <v>22.4</v>
    <v>22.88</v>
    <v>22.792999999999999</v>
    <v>22.55</v>
    <v>22.52</v>
    <v>22.5425</v>
    <v>22.97</v>
    <v>22.13</v>
    <v>22.37</v>
    <v>22.384</v>
    <v>22.34</v>
    <v>22.157599999999999</v>
    <v>22.3462</v>
    <v>22.626999999999999</v>
    <v>22.57</v>
    <v>23</v>
    <v>22.811199999999999</v>
    <v>22.75</v>
    <v>22.51</v>
    <v>23.19</v>
    <v>22.645</v>
    <v>22.55</v>
    <v>22.746600000000001</v>
    <v>22.72</v>
    <v>23.2</v>
    <v>22.94</v>
    <v>23.13</v>
    <v>23.01</v>
    <v>22.9</v>
    <v>22.46</v>
    <v>22.73</v>
    <v>23.05</v>
    <v>23.614599999999999</v>
    <v>24.33</v>
    <v>24.46</v>
    <v>24.64</v>
    <v>24.54</v>
    <v>24.48</v>
    <v>24.82</v>
    <v>24.56</v>
    <v>24.02</v>
    <v>24.32</v>
    <v>24.24</v>
    <v>25.05</v>
    <v>24.79</v>
    <v>24.611599999999999</v>
    <v>25.26</v>
    <v>24.98</v>
    <v>24.55</v>
    <v>24.531300000000002</v>
    <v>24.89</v>
    <v>25.43</v>
    <v>25.357099999999999</v>
    <v>25.09</v>
    <v>25.21</v>
    <v>25.355</v>
    <v>24.93</v>
    <v>24.62</v>
    <v>24.93</v>
    <v>24.99</v>
    <v>24.77</v>
    <v>25.18</v>
    <v>26.08</v>
    <v>26.29</v>
    <v>25.83</v>
    <v>26.11</v>
    <v>26.11</v>
    <v>26.29</v>
    <v>25.94</v>
    <v>25.831099999999999</v>
    <v>26.425000000000001</v>
    <v>26.77</v>
    <v>27.25</v>
    <v>27.5</v>
    <v>27.55</v>
    <v>26.76</v>
    <v>26.1</v>
    <v>26.78</v>
    <v>27.01</v>
    <v>26.95</v>
    <v>26.76</v>
    <v>26.31</v>
    <v>26.68</v>
    <v>26.69</v>
    <v>26.41</v>
    <v>26.5</v>
    <v>26.11</v>
    <v>25.84</v>
    <v>25.82</v>
    <v>26.46</v>
  </a>
  <a r="1" c="22">
    <v>16.329999999999998</v>
    <v>15.13</v>
    <v>15.11</v>
    <v>15.045</v>
    <v>15</v>
    <v>15.1</v>
    <v>15.2</v>
    <v>15.57</v>
    <v>15.31</v>
    <v>15.28</v>
    <v>15.55</v>
    <v>15.6</v>
    <v>16.170000000000002</v>
    <v>15.9</v>
    <v>16.13</v>
    <v>16.38</v>
    <v>16.3</v>
    <v>16.579999999999998</v>
    <v>16.32</v>
    <v>16.25</v>
    <v>15.9</v>
    <v>16.3</v>
  </a>
  <a r="1" c="124">
    <v t="i">192</v>
    <v t="i">193</v>
    <v t="i">196</v>
    <v t="i">197</v>
    <v t="i">198</v>
    <v t="i">199</v>
    <v t="i">203</v>
    <v t="i">204</v>
    <v t="i">205</v>
    <v t="i">206</v>
    <v t="i">207</v>
    <v t="i">210</v>
    <v t="i">211</v>
    <v t="i">212</v>
    <v t="i">213</v>
    <v t="i">214</v>
    <v t="i">217</v>
    <v t="i">218</v>
    <v t="i">219</v>
    <v t="i">220</v>
    <v t="i">221</v>
    <v t="i">224</v>
    <v t="i">225</v>
    <v t="i">226</v>
    <v t="i">227</v>
    <v t="i">228</v>
    <v t="i">231</v>
    <v t="i">232</v>
    <v t="i">233</v>
    <v t="i">234</v>
    <v t="i">235</v>
    <v t="i">238</v>
    <v t="i">239</v>
    <v t="i">240</v>
    <v t="i">241</v>
    <v t="i">242</v>
    <v t="i">245</v>
    <v t="i">246</v>
    <v t="i">247</v>
    <v t="i">248</v>
    <v t="i">249</v>
    <v t="i">252</v>
    <v t="i">253</v>
    <v t="i">254</v>
    <v t="i">255</v>
    <v t="i">256</v>
    <v t="i">260</v>
    <v t="i">261</v>
    <v t="i">262</v>
    <v t="i">263</v>
    <v t="i">266</v>
    <v t="i">267</v>
    <v t="i">268</v>
    <v t="i">269</v>
    <v t="i">270</v>
    <v t="i">273</v>
    <v t="i">274</v>
    <v t="i">275</v>
    <v t="i">276</v>
    <v t="i">277</v>
    <v t="i">280</v>
    <v t="i">281</v>
    <v t="i">282</v>
    <v t="i">283</v>
    <v t="i">284</v>
    <v t="i">287</v>
    <v t="i">288</v>
    <v t="i">289</v>
    <v t="i">290</v>
    <v t="i">291</v>
    <v t="i">294</v>
    <v t="i">295</v>
    <v t="i">296</v>
    <v t="i">297</v>
    <v t="i">298</v>
    <v t="i">301</v>
    <v t="i">302</v>
    <v t="i">303</v>
    <v t="i">304</v>
    <v t="i">305</v>
    <v t="i">308</v>
    <v t="i">309</v>
    <v t="i">310</v>
    <v t="i">311</v>
    <v t="i">312</v>
    <v t="i">315</v>
    <v t="i">316</v>
    <v t="i">317</v>
    <v t="i">318</v>
    <v t="i">319</v>
    <v t="i">322</v>
    <v t="i">323</v>
    <v t="i">324</v>
    <v t="i">325</v>
    <v t="i">326</v>
    <v t="i">329</v>
    <v t="i">330</v>
    <v t="i">331</v>
    <v t="i">332</v>
    <v t="i">333</v>
    <v t="i">336</v>
    <v t="i">337</v>
    <v t="i">338</v>
    <v t="i">339</v>
    <v t="i">340</v>
    <v t="i">343</v>
    <v t="i">344</v>
    <v t="i">345</v>
    <v t="i">347</v>
    <v t="i">350</v>
    <v t="i">351</v>
    <v t="i">352</v>
    <v t="i">353</v>
    <v t="i">354</v>
    <v t="i">357</v>
    <v t="i">358</v>
    <v t="i">359</v>
    <v t="i">360</v>
    <v t="i">361</v>
    <v t="i">364</v>
    <v t="i">365</v>
    <v t="i">366</v>
    <v t="i">367</v>
    <v t="i">368</v>
  </a>
  <a r="1" c="124">
    <v>-99999901</v>
    <v>-99999901</v>
    <v>-99999901</v>
    <v>-99999901</v>
    <v>13.16</v>
    <v>-99999901</v>
    <v>-99999901</v>
    <v>11.31</v>
    <v>-99999901</v>
    <v>13</v>
    <v>12.08</v>
    <v>12.1</v>
    <v>12.05</v>
    <v>12.25</v>
    <v>14.42</v>
    <v>-99999901</v>
    <v>13.35</v>
    <v>14</v>
    <v>14.5</v>
    <v>14</v>
    <v>13.75</v>
    <v>14.32</v>
    <v>14.64</v>
    <v>13.47</v>
    <v>12.85</v>
    <v>12.775</v>
    <v>13.3</v>
    <v>13.21</v>
    <v>13.05</v>
    <v>12.7</v>
    <v>12.94</v>
    <v>13.16</v>
    <v>13.37</v>
    <v>13.52</v>
    <v>13.25</v>
    <v>13.2</v>
    <v>13.2</v>
    <v>12.891999999999999</v>
    <v>12.85</v>
    <v>12.93</v>
    <v>13.505000000000001</v>
    <v>13.2</v>
    <v>13.28</v>
    <v>13.01</v>
    <v>13.11</v>
    <v>13.61</v>
    <v>13.31</v>
    <v>13.56</v>
    <v>13.36</v>
    <v>13.82</v>
    <v>13.83</v>
    <v>13.79</v>
    <v>13.6</v>
    <v>13.83</v>
    <v>13.87</v>
    <v>15.08</v>
    <v>15.39</v>
    <v>16.2</v>
    <v>16.190000000000001</v>
    <v>16.5</v>
    <v>16.420000000000002</v>
    <v>16.11</v>
    <v>16.2</v>
    <v>17.04</v>
    <v>17.12</v>
    <v>17.649999999999999</v>
    <v>18.315000000000001</v>
    <v>18.38</v>
    <v>19.5</v>
    <v>19.75</v>
    <v>19.18</v>
    <v>19.079999999999998</v>
    <v>18.63</v>
    <v>18.64</v>
    <v>16.7</v>
    <v>17.45</v>
    <v>17.010000000000002</v>
    <v>17.3</v>
    <v>17.149999999999999</v>
    <v>17.079999999999998</v>
    <v>17.05</v>
    <v>17.350000000000001</v>
    <v>17.440000000000001</v>
    <v>17.25</v>
    <v>17.8</v>
    <v>18.23</v>
    <v>18.16</v>
    <v>18.25</v>
    <v>18.350000000000001</v>
    <v>17.96</v>
    <v>17.8</v>
    <v>17.510000000000002</v>
    <v>17.690000000000001</v>
    <v>17.66</v>
    <v>17.850000000000001</v>
    <v>17.59</v>
    <v>17.440000000000001</v>
    <v>17.63</v>
    <v>18.04</v>
    <v>17.02</v>
    <v>16.690000000000001</v>
    <v>16.100000000000001</v>
    <v>16.329999999999998</v>
    <v>15.13</v>
    <v>15.11</v>
    <v>15.045</v>
    <v>15</v>
    <v>15.1</v>
    <v>15.2</v>
    <v>15.57</v>
    <v>15.31</v>
    <v>15.28</v>
    <v>15.55</v>
    <v>15.6</v>
    <v>16.170000000000002</v>
    <v>15.9</v>
    <v>16.13</v>
    <v>16.38</v>
    <v>16.3</v>
    <v>16.579999999999998</v>
    <v>16.32</v>
    <v>16.25</v>
    <v>15.9</v>
    <v>16.3</v>
  </a>
  <a r="1" c="254">
    <v>137.55000000000001</v>
    <v>136.29</v>
    <v>132.44</v>
    <v>132.27000000000001</v>
    <v>133.82</v>
    <v>133.12</v>
    <v>134.16</v>
    <v>134.26</v>
    <v>133.26</v>
    <v>131.91999999999999</v>
    <v>131.76</v>
    <v>131.30000000000001</v>
    <v>132.72</v>
    <v>132.43</v>
    <v>132.30000000000001</v>
    <v>132.82</v>
    <v>131.33000000000001</v>
    <v>132.87</v>
    <v>134.44</v>
    <v>135.29</v>
    <v>136.93</v>
    <v>137.75</v>
    <v>140.58000000000001</v>
    <v>140.25</v>
    <v>141.66999999999999</v>
    <v>141.07</v>
    <v>139.18</v>
    <v>138.26</v>
    <v>137.79</v>
    <v>139.33000000000001</v>
    <v>138.35</v>
    <v>136.97999999999999</v>
    <v>137.02000000000001</v>
    <v>137.12</v>
    <v>137.74</v>
    <v>137.33000000000001</v>
    <v>138.56</v>
    <v>138.61000000000001</v>
    <v>137.75</v>
    <v>137.88999999999999</v>
    <v>137.55000000000001</v>
    <v>138.63</v>
    <v>138.77000000000001</v>
    <v>137.86000000000001</v>
    <v>134.84</v>
    <v>134.22999999999999</v>
    <v>134.91999999999999</v>
    <v>135</v>
    <v>134.53</v>
    <v>136.33000000000001</v>
    <v>134.38999999999999</v>
    <v>131.77000000000001</v>
    <v>133.85</v>
    <v>132.69999999999999</v>
    <v>134.25</v>
    <v>132.15</v>
    <v>130.12</v>
    <v>130.11000000000001</v>
    <v>128.78</v>
    <v>131.13</v>
    <v>132.94</v>
    <v>131.88</v>
    <v>133.63</v>
    <v>132.96</v>
    <v>132.25</v>
    <v>134.29</v>
    <v>134.49</v>
    <v>133.6</v>
    <v>132.88999999999999</v>
    <v>130.15</v>
    <v>131.07</v>
    <v>131.81</v>
    <v>133.05000000000001</v>
    <v>125.85</v>
    <v>117.94</v>
    <v>117.39</v>
    <v>116.42</v>
    <v>126.76</v>
    <v>123.49</v>
    <v>125.67</v>
    <v>126.98</v>
    <v>126.35</v>
    <v>124.62</v>
    <v>125.3</v>
    <v>122.49</v>
    <v>124.63</v>
    <v>126.19</v>
    <v>129.02000000000001</v>
    <v>129.01</v>
    <v>129.44</v>
    <v>130.28</v>
    <v>131.22</v>
    <v>132.21</v>
    <v>134.58000000000001</v>
    <v>134.65</v>
    <v>133.47</v>
    <v>134.15</v>
    <v>136</v>
    <v>136.11000000000001</v>
    <v>140.30000000000001</v>
    <v>141.28</v>
    <v>140.6</v>
    <v>142.16</v>
    <v>143.78</v>
    <v>144.27000000000001</v>
    <v>143.75</v>
    <v>141.32</v>
    <v>141.29</v>
    <v>140.83000000000001</v>
    <v>143.31</v>
    <v>142.6</v>
    <v>142.72999999999999</v>
    <v>142.82</v>
    <v>142.63999999999999</v>
    <v>143.74</v>
    <v>143.82</v>
    <v>143.72</v>
    <v>144.93</v>
    <v>144.80000000000001</v>
    <v>144.16999999999999</v>
    <v>144.24</v>
    <v>143.86000000000001</v>
    <v>142.65</v>
    <v>143.63</v>
    <v>142.55000000000001</v>
    <v>142.21</v>
    <v>142.37</v>
    <v>143.86000000000001</v>
    <v>145.06</v>
    <v>143.78</v>
    <v>145.34</v>
    <v>146.79</v>
    <v>147.52000000000001</v>
    <v>148.01</v>
    <v>148.16</v>
    <v>149.41999999999999</v>
    <v>148.9</v>
    <v>148.86000000000001</v>
    <v>149.9</v>
    <v>150.74</v>
    <v>150.19999999999999</v>
    <v>151.01</v>
    <v>149.88</v>
    <v>150.41</v>
    <v>151.80000000000001</v>
    <v>151.46</v>
    <v>150.66</v>
    <v>151.02000000000001</v>
    <v>153.72999999999999</v>
    <v>153.47</v>
    <v>154.99</v>
    <v>154.51</v>
    <v>152.75</v>
    <v>152</v>
    <v>152.01</v>
    <v>149.74</v>
    <v>151.12</v>
    <v>150.81</v>
    <v>150.93</v>
    <v>150.71</v>
    <v>150.83000000000001</v>
    <v>150.34</v>
    <v>151.9</v>
    <v>152.47999999999999</v>
    <v>151.13</v>
    <v>150.44</v>
    <v>151.03</v>
    <v>151.36000000000001</v>
    <v>151.22</v>
    <v>150.68</v>
    <v>153.13999999999999</v>
    <v>151.61000000000001</v>
    <v>153.16999999999999</v>
    <v>153.15</v>
    <v>153.41999999999999</v>
    <v>152.01</v>
    <v>150.56</v>
    <v>149.80000000000001</v>
    <v>151.49</v>
    <v>150.93</v>
    <v>151.27000000000001</v>
    <v>150.25</v>
    <v>151.36000000000001</v>
    <v>152.80000000000001</v>
    <v>151.58000000000001</v>
    <v>152.28</v>
    <v>151.83000000000001</v>
    <v>151.13999999999999</v>
    <v>152.75</v>
    <v>153.12</v>
    <v>153</v>
    <v>153.04</v>
    <v>152.25</v>
    <v>151.22</v>
    <v>152.58000000000001</v>
    <v>153.05000000000001</v>
    <v>154.22999999999999</v>
    <v>153.80000000000001</v>
    <v>154.19999999999999</v>
    <v>154.41</v>
    <v>155.13</v>
    <v>154.25</v>
    <v>155.59</v>
    <v>153.29</v>
    <v>149.9</v>
    <v>151.46</v>
    <v>153.24</v>
    <v>152.6</v>
    <v>151.6</v>
    <v>151.72999999999999</v>
    <v>153.52000000000001</v>
    <v>154.88</v>
    <v>152.87</v>
    <v>154.78</v>
    <v>154.91</v>
    <v>155.79</v>
    <v>154.68</v>
    <v>155.08000000000001</v>
    <v>154.69</v>
    <v>155.06</v>
    <v>154.4</v>
    <v>152.61000000000001</v>
    <v>153.19999999999999</v>
    <v>152.59</v>
    <v>153.33000000000001</v>
    <v>154.19999999999999</v>
    <v>154.24</v>
    <v>154.38999999999999</v>
    <v>152</v>
    <v>152.01</v>
    <v>150.52000000000001</v>
    <v>149.85</v>
    <v>150.35</v>
    <v>147.83000000000001</v>
    <v>149.63</v>
    <v>150</v>
    <v>151.91999999999999</v>
    <v>152.80000000000001</v>
    <v>153.69</v>
    <v>151.44</v>
    <v>152.76</v>
    <v>154.21</v>
    <v>155.01</v>
    <v>154.58000000000001</v>
    <v>154.38999999999999</v>
    <v>153.26</v>
    <v>156.06</v>
    <v>157.72999999999999</v>
    <v>156.74</v>
    <v>156.99</v>
    <v>156.06</v>
    <v>153.53</v>
    <v>154.53</v>
    <v>155.86000000000001</v>
  </a>
  <a r="1" c="22">
    <v>150.35</v>
    <v>147.83000000000001</v>
    <v>149.63</v>
    <v>150</v>
    <v>151.91999999999999</v>
    <v>152.80000000000001</v>
    <v>153.69</v>
    <v>151.44</v>
    <v>152.76</v>
    <v>154.21</v>
    <v>155.01</v>
    <v>154.58000000000001</v>
    <v>154.38999999999999</v>
    <v>153.26</v>
    <v>156.06</v>
    <v>157.72999999999999</v>
    <v>156.74</v>
    <v>156.99</v>
    <v>156.06</v>
    <v>153.53</v>
    <v>154.53</v>
    <v>155.86000000000001</v>
  </a>
  <a r="1" c="22">
    <v>73.38</v>
    <v>71.5</v>
    <v>71.56</v>
    <v>72.45</v>
    <v>73.61</v>
    <v>72.959999999999994</v>
    <v>73.650000000000006</v>
    <v>72.790000000000006</v>
    <v>73.260000000000005</v>
    <v>74.239999999999995</v>
    <v>74.709999999999994</v>
    <v>74.98</v>
    <v>75.209999999999994</v>
    <v>75.64</v>
    <v>76.099999999999994</v>
    <v>75.760000000000005</v>
    <v>73.89</v>
    <v>72.52</v>
    <v>72.459999999999994</v>
    <v>71.34</v>
    <v>72.36</v>
    <v>73.12</v>
  </a>
  <a r="1" c="254">
    <v>67.040000000000006</v>
    <v>66.290000000000006</v>
    <v>63.24</v>
    <v>63.31</v>
    <v>64.040000000000006</v>
    <v>64.42</v>
    <v>65.05</v>
    <v>65.3</v>
    <v>64.540000000000006</v>
    <v>63.81</v>
    <v>63.45</v>
    <v>63.75</v>
    <v>64.349999999999994</v>
    <v>64.77</v>
    <v>63.86</v>
    <v>64.16</v>
    <v>63.53</v>
    <v>63.21</v>
    <v>63.65</v>
    <v>64.650000000000006</v>
    <v>64.709999999999994</v>
    <v>64.739999999999995</v>
    <v>66.22</v>
    <v>66.94</v>
    <v>66.709999999999994</v>
    <v>66.77</v>
    <v>65.36</v>
    <v>67.099999999999994</v>
    <v>66.62</v>
    <v>67.64</v>
    <v>67.599999999999994</v>
    <v>67.22</v>
    <v>68.2</v>
    <v>69.31</v>
    <v>68.900000000000006</v>
    <v>69.42</v>
    <v>70.69</v>
    <v>70.33</v>
    <v>70.349999999999994</v>
    <v>71.67</v>
    <v>71.45</v>
    <v>71.92</v>
    <v>71.38</v>
    <v>70.22</v>
    <v>67.69</v>
    <v>66.77</v>
    <v>66.36</v>
    <v>67.06</v>
    <v>65.56</v>
    <v>66.11</v>
    <v>65.42</v>
    <v>66.44</v>
    <v>67.099999999999994</v>
    <v>65.3</v>
    <v>65.930000000000007</v>
    <v>63.28</v>
    <v>63.86</v>
    <v>64.19</v>
    <v>62.72</v>
    <v>64.81</v>
    <v>65.8</v>
    <v>65.400000000000006</v>
    <v>66.17</v>
    <v>65.08</v>
    <v>64.98</v>
    <v>66.03</v>
    <v>66.78</v>
    <v>65.62</v>
    <v>64.61</v>
    <v>63.39</v>
    <v>63</v>
    <v>63.52</v>
    <v>64.45</v>
    <v>61.27</v>
    <v>57.54</v>
    <v>57.71</v>
    <v>57.46</v>
    <v>63.31</v>
    <v>61.66</v>
    <v>62.56</v>
    <v>62.75</v>
    <v>63.35</v>
    <v>62.23</v>
    <v>61.77</v>
    <v>60.22</v>
    <v>61.31</v>
    <v>62.69</v>
    <v>64.7</v>
    <v>65.31</v>
    <v>65.53</v>
    <v>66.489999999999995</v>
    <v>66.540000000000006</v>
    <v>66.62</v>
    <v>67.680000000000007</v>
    <v>68</v>
    <v>68.08</v>
    <v>68.150000000000006</v>
    <v>68.510000000000005</v>
    <v>67.91</v>
    <v>70.08</v>
    <v>70.75</v>
    <v>70.3</v>
    <v>71.02</v>
    <v>71.42</v>
    <v>71.650000000000006</v>
    <v>71.81</v>
    <v>70.66</v>
    <v>71.52</v>
    <v>71.05</v>
    <v>72.44</v>
    <v>71.41</v>
    <v>71.03</v>
    <v>71.819999999999993</v>
    <v>72.55</v>
    <v>73.3</v>
    <v>72.94</v>
    <v>73.290000000000006</v>
    <v>73.48</v>
    <v>72.78</v>
    <v>72.59</v>
    <v>72.78</v>
    <v>73.11</v>
    <v>72.400000000000006</v>
    <v>73.209999999999994</v>
    <v>73.25</v>
    <v>72.930000000000007</v>
    <v>72.17</v>
    <v>73.52</v>
    <v>73.87</v>
    <v>74.430000000000007</v>
    <v>74.97</v>
    <v>74.59</v>
    <v>75.58</v>
    <v>74.42</v>
    <v>74.52</v>
    <v>75.930000000000007</v>
    <v>75.680000000000007</v>
    <v>75.680000000000007</v>
    <v>76.319999999999993</v>
    <v>73.709999999999994</v>
    <v>72.58</v>
    <v>73.209999999999994</v>
    <v>73.12</v>
    <v>73.34</v>
    <v>74.05</v>
    <v>74.209999999999994</v>
    <v>74.69</v>
    <v>74.099999999999994</v>
    <v>74.42</v>
    <v>74.38</v>
    <v>74.66</v>
    <v>74.31</v>
    <v>74.47</v>
    <v>73.709999999999994</v>
    <v>72.69</v>
    <v>71.53</v>
    <v>72.86</v>
    <v>71.95</v>
    <v>73.040000000000006</v>
    <v>71.19</v>
    <v>71.12</v>
    <v>70.849999999999994</v>
    <v>72.3</v>
    <v>72.84</v>
    <v>71.73</v>
    <v>71.98</v>
    <v>72.150000000000006</v>
    <v>71.75</v>
    <v>71.900000000000006</v>
    <v>71.59</v>
    <v>72.58</v>
    <v>72.150000000000006</v>
    <v>72.23</v>
    <v>73.11</v>
    <v>73.92</v>
    <v>73.14</v>
    <v>72.33</v>
    <v>72.2</v>
    <v>72.349999999999994</v>
    <v>73.510000000000005</v>
    <v>74.709999999999994</v>
    <v>74.56</v>
    <v>75</v>
    <v>75.59</v>
    <v>74.94</v>
    <v>75.709999999999994</v>
    <v>75.44</v>
    <v>75.239999999999995</v>
    <v>76.959999999999994</v>
    <v>76.91</v>
    <v>76.900000000000006</v>
    <v>76.150000000000006</v>
    <v>75.709999999999994</v>
    <v>75.39</v>
    <v>75.81</v>
    <v>76.11</v>
    <v>76.010000000000005</v>
    <v>76.53</v>
    <v>77.09</v>
    <v>76.7</v>
    <v>77.37</v>
    <v>76.239999999999995</v>
    <v>78.209999999999994</v>
    <v>77.989999999999995</v>
    <v>75.48</v>
    <v>76.95</v>
    <v>75.88</v>
    <v>75.709999999999994</v>
    <v>74.819999999999993</v>
    <v>75.12</v>
    <v>76.5</v>
    <v>77.06</v>
    <v>76.459999999999994</v>
    <v>77.37</v>
    <v>77.48</v>
    <v>77.77</v>
    <v>78.08</v>
    <v>76.48</v>
    <v>76.33</v>
    <v>77.319999999999993</v>
    <v>77.3</v>
    <v>75.42</v>
    <v>75.569999999999993</v>
    <v>74.62</v>
    <v>75.38</v>
    <v>76.73</v>
    <v>76.86</v>
    <v>76.06</v>
    <v>74.760000000000005</v>
    <v>74.739999999999995</v>
    <v>73.760000000000005</v>
    <v>73.23</v>
    <v>73.38</v>
    <v>71.5</v>
    <v>71.56</v>
    <v>72.45</v>
    <v>73.61</v>
    <v>72.959999999999994</v>
    <v>73.650000000000006</v>
    <v>72.790000000000006</v>
    <v>73.260000000000005</v>
    <v>74.239999999999995</v>
    <v>74.709999999999994</v>
    <v>74.98</v>
    <v>75.209999999999994</v>
    <v>75.64</v>
    <v>76.099999999999994</v>
    <v>75.760000000000005</v>
    <v>73.89</v>
    <v>72.52</v>
    <v>72.459999999999994</v>
    <v>71.34</v>
    <v>72.36</v>
    <v>73.12</v>
  </a>
  <a r="1" c="254">
    <v>77.02</v>
    <v>76.7</v>
    <v>74.89</v>
    <v>75.23</v>
    <v>76.430000000000007</v>
    <v>76.06</v>
    <v>76.48</v>
    <v>76.3</v>
    <v>76.08</v>
    <v>75.760000000000005</v>
    <v>75.69</v>
    <v>76.27</v>
    <v>77.08</v>
    <v>76.22</v>
    <v>76.03</v>
    <v>76.010000000000005</v>
    <v>75.58</v>
    <v>74.7</v>
    <v>75.680000000000007</v>
    <v>76.790000000000006</v>
    <v>78.73</v>
    <v>78.84</v>
    <v>80.05</v>
    <v>78.319999999999993</v>
    <v>78.69</v>
    <v>79.489999999999995</v>
    <v>77.650000000000006</v>
    <v>76.58</v>
    <v>76.739999999999995</v>
    <v>78.34</v>
    <v>77.88</v>
    <v>78.3</v>
    <v>77.61</v>
    <v>78.39</v>
    <v>78.3</v>
    <v>78.14</v>
    <v>78.989999999999995</v>
    <v>79.39</v>
    <v>79.25</v>
    <v>79.430000000000007</v>
    <v>79.099999999999994</v>
    <v>79.84</v>
    <v>80.260000000000005</v>
    <v>80.25</v>
    <v>80.27</v>
    <v>79.87</v>
    <v>79.47</v>
    <v>79.8</v>
    <v>78.03</v>
    <v>79.22</v>
    <v>79.33</v>
    <v>78.040000000000006</v>
    <v>77.489999999999995</v>
    <v>75.88</v>
    <v>77.290000000000006</v>
    <v>78.14</v>
    <v>77.41</v>
    <v>77.17</v>
    <v>77.36</v>
    <v>78.87</v>
    <v>79.2</v>
    <v>78.650000000000006</v>
    <v>78.94</v>
    <v>79.260000000000005</v>
    <v>78.75</v>
    <v>78.17</v>
    <v>76.92</v>
    <v>77.430000000000007</v>
    <v>77.41</v>
    <v>77.98</v>
    <v>78.849999999999994</v>
    <v>79.05</v>
    <v>79.42</v>
    <v>78.92</v>
    <v>74.53</v>
    <v>73.39</v>
    <v>73.09</v>
    <v>75.97</v>
    <v>75.400000000000006</v>
    <v>76.319999999999993</v>
    <v>77.69</v>
    <v>77.680000000000007</v>
    <v>76.98</v>
    <v>77.77</v>
    <v>75.930000000000007</v>
    <v>78</v>
    <v>78.33</v>
    <v>78.45</v>
    <v>78.209999999999994</v>
    <v>78.69</v>
    <v>79.3</v>
    <v>78.900000000000006</v>
    <v>79.13</v>
    <v>79.75</v>
    <v>79.55</v>
    <v>80.52</v>
    <v>80.75</v>
    <v>80.099999999999994</v>
    <v>80.239999999999995</v>
    <v>79.760000000000005</v>
    <v>79.650000000000006</v>
    <v>79.3</v>
    <v>80.989999999999995</v>
    <v>82.18</v>
    <v>82.53</v>
    <v>82.77</v>
    <v>81.260000000000005</v>
    <v>80.099999999999994</v>
    <v>81.06</v>
    <v>81.67</v>
    <v>80.53</v>
    <v>81.09</v>
    <v>81.92</v>
    <v>82.18</v>
    <v>82.4</v>
    <v>80.959999999999994</v>
    <v>80.83</v>
    <v>81.19</v>
    <v>80.67</v>
    <v>80.86</v>
    <v>80.91</v>
    <v>81.89</v>
    <v>81.42</v>
    <v>81.02</v>
    <v>80.349999999999994</v>
    <v>80.56</v>
    <v>80.78</v>
    <v>81.239999999999995</v>
    <v>81.59</v>
    <v>80.5</v>
    <v>81.17</v>
    <v>81.33</v>
    <v>81.66</v>
    <v>81.94</v>
    <v>81.23</v>
    <v>81.84</v>
    <v>82.01</v>
    <v>81.14</v>
    <v>81.900000000000006</v>
    <v>82.57</v>
    <v>82.45</v>
    <v>82.78</v>
    <v>81.99</v>
    <v>82.03</v>
    <v>82.37</v>
    <v>83.75</v>
    <v>84.02</v>
    <v>85.05</v>
    <v>84.41</v>
    <v>84.3</v>
    <v>84.52</v>
    <v>83.62</v>
    <v>84.58</v>
    <v>85.21</v>
    <v>85.67</v>
    <v>85.8</v>
    <v>87.32</v>
    <v>86.39</v>
    <v>85.62</v>
    <v>86.55</v>
    <v>86.18</v>
    <v>85.91</v>
    <v>86.28</v>
    <v>86.47</v>
    <v>85.87</v>
    <v>85.62</v>
    <v>85.25</v>
    <v>86.08</v>
    <v>86.17</v>
    <v>85.58</v>
    <v>86.04</v>
    <v>85.07</v>
    <v>85.26</v>
    <v>85.28</v>
    <v>84.63</v>
    <v>84.32</v>
    <v>84.04</v>
    <v>83.83</v>
    <v>83.73</v>
    <v>83.47</v>
    <v>82.62</v>
    <v>83.19</v>
    <v>84.62</v>
    <v>85.07</v>
    <v>85.5</v>
    <v>85.7</v>
    <v>84.14</v>
    <v>84.35</v>
    <v>84.41</v>
    <v>84.95</v>
    <v>85.2</v>
    <v>85.64</v>
    <v>86.25</v>
    <v>85.42</v>
    <v>86.81</v>
    <v>87.06</v>
    <v>87.21</v>
    <v>88.05</v>
    <v>87.89</v>
    <v>88.91</v>
    <v>89.77</v>
    <v>90.18</v>
    <v>90.8</v>
    <v>90.57</v>
    <v>90.2</v>
    <v>90.89</v>
    <v>91.7</v>
    <v>92.9</v>
    <v>91.89</v>
    <v>91.57</v>
    <v>91.54</v>
    <v>90.61</v>
    <v>90.4</v>
    <v>90.33</v>
    <v>91.39</v>
    <v>91.64</v>
    <v>90.13</v>
    <v>90.1</v>
    <v>89.72</v>
    <v>89.1</v>
    <v>89.15</v>
    <v>88.83</v>
    <v>88.85</v>
    <v>88.46</v>
    <v>89.69</v>
    <v>89.66</v>
    <v>89.71</v>
    <v>89.92</v>
    <v>88.68</v>
    <v>88.76</v>
    <v>89.56</v>
    <v>89.22</v>
    <v>88.47</v>
    <v>88.02</v>
    <v>88.15</v>
    <v>89.15</v>
    <v>88.81</v>
    <v>89.99</v>
    <v>90.63</v>
    <v>88.51</v>
    <v>43.94</v>
    <v>43.8</v>
    <v>43.71</v>
    <v>43.3</v>
    <v>42.72</v>
    <v>42.75</v>
    <v>42.73</v>
    <v>43.04</v>
    <v>42.83</v>
    <v>43.22</v>
    <v>43.04</v>
    <v>42.76</v>
    <v>43.18</v>
    <v>42.63</v>
  </a>
  <a r="1" c="22">
    <v>88.47</v>
    <v>88.02</v>
    <v>88.15</v>
    <v>89.15</v>
    <v>88.81</v>
    <v>89.99</v>
    <v>90.63</v>
    <v>88.51</v>
    <v>43.94</v>
    <v>43.8</v>
    <v>43.71</v>
    <v>43.3</v>
    <v>42.72</v>
    <v>42.75</v>
    <v>42.73</v>
    <v>43.04</v>
    <v>42.83</v>
    <v>43.22</v>
    <v>43.04</v>
    <v>42.76</v>
    <v>43.18</v>
    <v>42.63</v>
  </a>
  <a r="1" c="254">
    <v>58.32</v>
    <v>57.56</v>
    <v>55.78</v>
    <v>56.09</v>
    <v>56.81</v>
    <v>56.46</v>
    <v>56.97</v>
    <v>57.33</v>
    <v>56.76</v>
    <v>56.35</v>
    <v>56.52</v>
    <v>56.13</v>
    <v>56.49</v>
    <v>55.96</v>
    <v>55.89</v>
    <v>55.88</v>
    <v>54.24</v>
    <v>54.7</v>
    <v>55.81</v>
    <v>56.6</v>
    <v>57.37</v>
    <v>57.29</v>
    <v>57.4</v>
    <v>57.02</v>
    <v>56.69</v>
    <v>56.84</v>
    <v>58.09</v>
    <v>58.05</v>
    <v>58</v>
    <v>58.28</v>
    <v>57.82</v>
    <v>57.65</v>
    <v>57.52</v>
    <v>58.12</v>
    <v>58.49</v>
    <v>58.5</v>
    <v>58</v>
    <v>57.69</v>
    <v>57.24</v>
    <v>58.3</v>
    <v>57.82</v>
    <v>58.29</v>
    <v>58.17</v>
    <v>57.77</v>
    <v>57</v>
    <v>57.83</v>
    <v>58.52</v>
    <v>58.36</v>
    <v>59.17</v>
    <v>60.07</v>
    <v>60.24</v>
    <v>59.11</v>
    <v>59.66</v>
    <v>58.96</v>
    <v>59.05</v>
    <v>58.27</v>
    <v>58.38</v>
    <v>57.96</v>
    <v>57.79</v>
    <v>59.16</v>
    <v>60.04</v>
    <v>59.4</v>
    <v>59.67</v>
    <v>59.7</v>
    <v>59.33</v>
    <v>60.33</v>
    <v>60.51</v>
    <v>60.5</v>
    <v>60.81</v>
    <v>60.15</v>
    <v>60.53</v>
    <v>60.71</v>
    <v>61.12</v>
    <v>59.84</v>
    <v>55.38</v>
    <v>53.8</v>
    <v>53.63</v>
    <v>57.07</v>
    <v>55.92</v>
    <v>56.43</v>
    <v>57.4</v>
    <v>57.23</v>
    <v>56.83</v>
    <v>56.71</v>
    <v>55.1</v>
    <v>56.97</v>
    <v>57.35</v>
    <v>57.5</v>
    <v>56.55</v>
    <v>56.96</v>
    <v>57.3</v>
    <v>57.2</v>
    <v>56.62</v>
    <v>58.25</v>
    <v>58.06</v>
    <v>58.19</v>
    <v>58.53</v>
    <v>58.64</v>
    <v>58.66</v>
    <v>59.02</v>
    <v>58.85</v>
    <v>58.13</v>
    <v>59.04</v>
    <v>59.72</v>
    <v>59.85</v>
    <v>59.49</v>
    <v>58.02</v>
    <v>57.69</v>
    <v>57.72</v>
    <v>58.96</v>
    <v>58.02</v>
    <v>58.71</v>
    <v>59.14</v>
    <v>59.65</v>
    <v>59.61</v>
    <v>58.79</v>
    <v>58.71</v>
    <v>59.52</v>
    <v>58.56</v>
    <v>57.96</v>
    <v>57.94</v>
    <v>58.63</v>
    <v>57.98</v>
    <v>58.33</v>
    <v>57.73</v>
    <v>58.27</v>
    <v>58.89</v>
    <v>59.63</v>
    <v>59.49</v>
    <v>58.14</v>
    <v>58.98</v>
    <v>59.17</v>
    <v>59.74</v>
    <v>59.62</v>
    <v>58.24</v>
    <v>58.86</v>
    <v>58.25</v>
    <v>58.14</v>
    <v>57.94</v>
    <v>57.56</v>
    <v>56.88</v>
    <v>57.76</v>
    <v>56.51</v>
    <v>57.22</v>
    <v>57.64</v>
    <v>57.6</v>
    <v>56.91</v>
    <v>57.77</v>
    <v>57.9</v>
    <v>57.05</v>
    <v>57.68</v>
    <v>57.03</v>
    <v>56.73</v>
    <v>56.18</v>
    <v>56.6</v>
    <v>55.71</v>
    <v>56.42</v>
    <v>56.82</v>
    <v>57.16</v>
    <v>56.6</v>
    <v>56.94</v>
    <v>57.18</v>
    <v>57.66</v>
    <v>58.76</v>
    <v>58.5</v>
    <v>57.86</v>
    <v>57.9</v>
    <v>58.62</v>
    <v>58.95</v>
    <v>58.93</v>
    <v>59.56</v>
    <v>58.88</v>
    <v>58.9</v>
    <v>59.06</v>
    <v>58.84</v>
    <v>58.86</v>
    <v>58.55</v>
    <v>58.78</v>
    <v>59.52</v>
    <v>58.86</v>
    <v>59.05</v>
    <v>58.73</v>
    <v>58.24</v>
    <v>59.32</v>
    <v>59.2</v>
    <v>58.42</v>
    <v>57.78</v>
    <v>58.11</v>
    <v>58.64</v>
    <v>58.98</v>
    <v>58.8</v>
    <v>58.76</v>
    <v>58.98</v>
    <v>58.49</v>
    <v>59.17</v>
    <v>58.93</v>
    <v>59.32</v>
    <v>58.79</v>
    <v>59.08</v>
    <v>60.09</v>
    <v>59.91</v>
    <v>60.04</v>
    <v>59.93</v>
    <v>59.2</v>
    <v>58.39</v>
    <v>58.46</v>
    <v>59.51</v>
    <v>58.32</v>
    <v>56.25</v>
    <v>56.77</v>
    <v>56.94</v>
    <v>57.47</v>
    <v>57.24</v>
    <v>57.35</v>
    <v>57.16</v>
    <v>57.35</v>
    <v>56.27</v>
    <v>55.72</v>
    <v>56.07</v>
    <v>56.39</v>
    <v>56.01</v>
    <v>56.91</v>
    <v>57.41</v>
    <v>57.55</v>
    <v>58.62</v>
    <v>58.6</v>
    <v>59.03</v>
    <v>59.33</v>
    <v>59.13</v>
    <v>59.04</v>
    <v>58.3</v>
    <v>58.67</v>
    <v>58.19</v>
    <v>58.18</v>
    <v>58.99</v>
    <v>59.11</v>
    <v>59.8</v>
    <v>60.02</v>
    <v>60.01</v>
    <v>59.59</v>
    <v>59.1</v>
    <v>58.96</v>
    <v>59.09</v>
    <v>58.73</v>
    <v>58.2</v>
    <v>58.54</v>
    <v>58.75</v>
    <v>60.16</v>
    <v>60.53</v>
    <v>60.88</v>
    <v>60.54</v>
    <v>60.66</v>
    <v>61.01</v>
    <v>60.94</v>
  </a>
  <a r="1" c="22">
    <v>58.19</v>
    <v>58.18</v>
    <v>58.99</v>
    <v>59.11</v>
    <v>59.8</v>
    <v>60.02</v>
    <v>60.01</v>
    <v>59.59</v>
    <v>59.1</v>
    <v>58.96</v>
    <v>59.09</v>
    <v>58.73</v>
    <v>58.2</v>
    <v>58.54</v>
    <v>58.75</v>
    <v>60.16</v>
    <v>60.53</v>
    <v>60.88</v>
    <v>60.54</v>
    <v>60.66</v>
    <v>61.01</v>
    <v>60.94</v>
  </a>
  <a r="1" c="254">
    <v>238.68</v>
    <v>239.43</v>
    <v>228.64</v>
    <v>228.33</v>
    <v>228.91</v>
    <v>229.17</v>
    <v>234.47</v>
    <v>233.6</v>
    <v>229.74</v>
    <v>226.05</v>
    <v>224.35</v>
    <v>221.4</v>
    <v>225.88</v>
    <v>226.77</v>
    <v>222.38</v>
    <v>223.01</v>
    <v>220.82</v>
    <v>222.07</v>
    <v>221.64</v>
    <v>227.28</v>
    <v>226.05</v>
    <v>229.22</v>
    <v>230.9</v>
    <v>230.03</v>
    <v>231.42</v>
    <v>230.01</v>
    <v>231.32</v>
    <v>231.6</v>
    <v>230.94</v>
    <v>233.2</v>
    <v>232.17</v>
    <v>229.1</v>
    <v>231.8</v>
    <v>229.17</v>
    <v>230.08</v>
    <v>225.58</v>
    <v>226.35</v>
    <v>223.78</v>
    <v>223.74</v>
    <v>227.1</v>
    <v>227</v>
    <v>226.37</v>
    <v>226.24</v>
    <v>224.29</v>
    <v>218.39</v>
    <v>217.57</v>
    <v>216.43</v>
    <v>215.54</v>
    <v>212.43</v>
    <v>215.96</v>
    <v>211.98</v>
    <v>208.24</v>
    <v>211.41</v>
    <v>206.05</v>
    <v>205.67</v>
    <v>198.33</v>
    <v>196.39</v>
    <v>197.53</v>
    <v>192.6</v>
    <v>196.7</v>
    <v>197.01</v>
    <v>193.5</v>
    <v>197.21</v>
    <v>196.74</v>
    <v>197.45</v>
    <v>204.29</v>
    <v>205.92</v>
    <v>203.23</v>
    <v>203.36</v>
    <v>197.04</v>
    <v>197.46</v>
    <v>199.52</v>
    <v>203.31</v>
    <v>191.03</v>
    <v>182.79</v>
    <v>180.63</v>
    <v>176.34</v>
    <v>195.54</v>
    <v>187.9</v>
    <v>189.72</v>
    <v>190.27</v>
    <v>188.9</v>
    <v>184.24</v>
    <v>185.4</v>
    <v>180.45</v>
    <v>186.16</v>
    <v>190.32</v>
    <v>194.11</v>
    <v>197.6</v>
    <v>197.67</v>
    <v>199.07</v>
    <v>197.26</v>
    <v>198.35</v>
    <v>201.43</v>
    <v>199.29</v>
    <v>197.55</v>
    <v>199.09</v>
    <v>201.44</v>
    <v>202.41</v>
    <v>212.47</v>
    <v>215.28</v>
    <v>216.11</v>
    <v>215.63</v>
    <v>217.67</v>
    <v>217.16</v>
    <v>216.03</v>
    <v>211.65</v>
    <v>212.56</v>
    <v>210.65</v>
    <v>216.87</v>
    <v>214.88</v>
    <v>214.97</v>
    <v>213.8</v>
    <v>214.3</v>
    <v>215.44</v>
    <v>214.87</v>
    <v>209.45</v>
    <v>212.17</v>
    <v>213.87</v>
    <v>216.43</v>
    <v>214.72</v>
    <v>213.71</v>
    <v>211.74</v>
    <v>214.02</v>
    <v>210.33</v>
    <v>210.43</v>
    <v>210.68</v>
    <v>214.4</v>
    <v>215.59</v>
    <v>213.05</v>
    <v>215.01</v>
    <v>218.59</v>
    <v>217.33</v>
    <v>218.26</v>
    <v>220.01</v>
    <v>221.21</v>
    <v>218.4</v>
    <v>217.66</v>
    <v>218.95</v>
    <v>221.37</v>
    <v>221.43</v>
    <v>222.25</v>
    <v>219.07</v>
    <v>219.47</v>
    <v>220.22</v>
    <v>222.17</v>
    <v>223.22</v>
    <v>225.48</v>
    <v>226.55</v>
    <v>222.8</v>
    <v>224.87</v>
    <v>226.18</v>
    <v>224.62</v>
    <v>223.2</v>
    <v>221.43</v>
    <v>216.09</v>
    <v>218.63</v>
    <v>218.91</v>
    <v>223.46</v>
    <v>223.39</v>
    <v>223.78</v>
    <v>224.36</v>
    <v>226.74</v>
    <v>229.85</v>
    <v>229.59</v>
    <v>229.04</v>
    <v>229.96</v>
    <v>229.85</v>
    <v>227.58</v>
    <v>226.23</v>
    <v>233.1</v>
    <v>232.63</v>
    <v>233.7</v>
    <v>233.75</v>
    <v>234.15</v>
    <v>231.74</v>
    <v>230.01</v>
    <v>230.94</v>
    <v>235.16</v>
    <v>235.11</v>
    <v>236.02</v>
    <v>235.69</v>
    <v>232.87</v>
    <v>237.4</v>
    <v>238.63</v>
    <v>240.7</v>
    <v>242.18</v>
    <v>241.57</v>
    <v>240.48</v>
    <v>241.39</v>
    <v>240.18</v>
    <v>237.92</v>
    <v>239.6</v>
    <v>236.22</v>
    <v>239.71</v>
    <v>240.76</v>
    <v>239.64</v>
    <v>241.14</v>
    <v>239.4</v>
    <v>237.86</v>
    <v>239.9</v>
    <v>235.7</v>
    <v>236.4</v>
    <v>235.22</v>
    <v>228.75</v>
    <v>233.86</v>
    <v>234.35</v>
    <v>234.69</v>
    <v>232.42</v>
    <v>234.42</v>
    <v>236.28</v>
    <v>239.17</v>
    <v>237.3</v>
    <v>238.37</v>
    <v>237.66</v>
    <v>241.08</v>
    <v>241.14</v>
    <v>239.15</v>
    <v>233.75</v>
    <v>239.93</v>
    <v>242.18</v>
    <v>238.16</v>
    <v>241.06</v>
    <v>235.49</v>
    <v>235.86</v>
    <v>238.96</v>
    <v>239.55</v>
    <v>237.94</v>
    <v>232</v>
    <v>230.89</v>
    <v>228.72</v>
    <v>224.5</v>
    <v>224.51</v>
    <v>221.16</v>
    <v>225.5</v>
    <v>228.51</v>
    <v>233.4</v>
    <v>235</v>
    <v>236.46</v>
    <v>236.6</v>
    <v>118.22</v>
    <v>119.495</v>
    <v>119.07</v>
    <v>119.73</v>
    <v>117.99</v>
    <v>117.98</v>
    <v>119.71</v>
    <v>120.18</v>
    <v>120.7</v>
    <v>121.73</v>
    <v>121.93</v>
    <v>120.52</v>
    <v>122.34</v>
    <v>121.85</v>
  </a>
  <a r="1" c="22">
    <v>224.51</v>
    <v>221.16</v>
    <v>225.5</v>
    <v>228.51</v>
    <v>233.4</v>
    <v>235</v>
    <v>236.46</v>
    <v>236.6</v>
    <v>118.22</v>
    <v>119.495</v>
    <v>119.07</v>
    <v>119.73</v>
    <v>117.99</v>
    <v>117.98</v>
    <v>119.71</v>
    <v>120.18</v>
    <v>120.7</v>
    <v>121.73</v>
    <v>121.93</v>
    <v>120.52</v>
    <v>122.34</v>
    <v>121.85</v>
  </a>
  <a r="1" c="22">
    <v>99.05</v>
    <v>96.91</v>
    <v>98.42</v>
    <v>99.58</v>
    <v>100.61</v>
    <v>101.22</v>
    <v>102.15</v>
    <v>101.78</v>
    <v>102.78</v>
    <v>103.92</v>
    <v>103.59</v>
    <v>104.08</v>
    <v>103.55</v>
    <v>103.46</v>
    <v>104.44</v>
    <v>104.43</v>
    <v>103.24</v>
    <v>103.03</v>
    <v>102.8</v>
    <v>101.55</v>
    <v>102.49</v>
    <v>103.27</v>
  </a>
  <a r="1" c="254">
    <v>94.86</v>
    <v>94.32</v>
    <v>90.96</v>
    <v>90.22</v>
    <v>91.15</v>
    <v>91.14</v>
    <v>92.16</v>
    <v>92.16</v>
    <v>91.28</v>
    <v>90.15</v>
    <v>89.77</v>
    <v>89.72</v>
    <v>91.24</v>
    <v>91.9</v>
    <v>91.04</v>
    <v>90.96</v>
    <v>89.66</v>
    <v>89.56</v>
    <v>90.15</v>
    <v>91.45</v>
    <v>91.81</v>
    <v>92.9</v>
    <v>93.71</v>
    <v>94.36</v>
    <v>94.49</v>
    <v>94.01</v>
    <v>92.9</v>
    <v>93.02</v>
    <v>93.15</v>
    <v>94.18</v>
    <v>94.18</v>
    <v>93.76</v>
    <v>94.39</v>
    <v>95.33</v>
    <v>95.44</v>
    <v>94.83</v>
    <v>95.66</v>
    <v>95.47</v>
    <v>95.6</v>
    <v>96.69</v>
    <v>96.81</v>
    <v>97.98</v>
    <v>97.73</v>
    <v>97.26</v>
    <v>95.39</v>
    <v>94.68</v>
    <v>93.73</v>
    <v>93.77</v>
    <v>91.87</v>
    <v>92.93</v>
    <v>91.75</v>
    <v>91.13</v>
    <v>92.06</v>
    <v>89.85</v>
    <v>90.51</v>
    <v>88.06</v>
    <v>87.18</v>
    <v>87.48</v>
    <v>86.24</v>
    <v>88.13</v>
    <v>89.57</v>
    <v>88.65</v>
    <v>89.33</v>
    <v>89.01</v>
    <v>88.89</v>
    <v>90.73</v>
    <v>90.87</v>
    <v>90.03</v>
    <v>89.23</v>
    <v>87.19</v>
    <v>87.19</v>
    <v>87.64</v>
    <v>88.22</v>
    <v>83.92</v>
    <v>78.66</v>
    <v>78.540000000000006</v>
    <v>76.98</v>
    <v>85.17</v>
    <v>81.790000000000006</v>
    <v>82.99</v>
    <v>83.59</v>
    <v>83.84</v>
    <v>82.13</v>
    <v>82.46</v>
    <v>80.73</v>
    <v>82.59</v>
    <v>84.04</v>
    <v>86.34</v>
    <v>86.8</v>
    <v>87.05</v>
    <v>87.58</v>
    <v>87.69</v>
    <v>87.83</v>
    <v>89.52</v>
    <v>89.27</v>
    <v>88.47</v>
    <v>89.09</v>
    <v>90.01</v>
    <v>90.06</v>
    <v>93.42</v>
    <v>94.27</v>
    <v>94.38</v>
    <v>94.7</v>
    <v>95.38</v>
    <v>95.3</v>
    <v>95.2</v>
    <v>93.49</v>
    <v>93.51</v>
    <v>92.73</v>
    <v>94.44</v>
    <v>93.85</v>
    <v>93.71</v>
    <v>93.57</v>
    <v>94.2</v>
    <v>95.15</v>
    <v>95.39</v>
    <v>94.85</v>
    <v>95.8</v>
    <v>95.81</v>
    <v>96.62</v>
    <v>96.37</v>
    <v>96.43</v>
    <v>94.84</v>
    <v>96.28</v>
    <v>95.09</v>
    <v>95.14</v>
    <v>94.88</v>
    <v>95.6</v>
    <v>97.12</v>
    <v>96.63</v>
    <v>97.32</v>
    <v>97.51</v>
    <v>98.31</v>
    <v>98.35</v>
    <v>98.71</v>
    <v>99.45</v>
    <v>98.66</v>
    <v>99.11</v>
    <v>99.37</v>
    <v>98.96</v>
    <v>98.47</v>
    <v>98.81</v>
    <v>98.18</v>
    <v>98.26</v>
    <v>99.18</v>
    <v>99.13</v>
    <v>99.54</v>
    <v>99.91</v>
    <v>100.32</v>
    <v>100.08</v>
    <v>100.38</v>
    <v>100.32</v>
    <v>100.26</v>
    <v>99.96</v>
    <v>98.36</v>
    <v>96.83</v>
    <v>98.39</v>
    <v>97.58</v>
    <v>97.97</v>
    <v>97.84</v>
    <v>97.65</v>
    <v>97.18</v>
    <v>98.37</v>
    <v>99.22</v>
    <v>98.59</v>
    <v>98.28</v>
    <v>98.44</v>
    <v>97.9</v>
    <v>97.64</v>
    <v>97.22</v>
    <v>98.9</v>
    <v>98.05</v>
    <v>98.08</v>
    <v>98.42</v>
    <v>98.78</v>
    <v>98.05</v>
    <v>97.23</v>
    <v>97.22</v>
    <v>97.77</v>
    <v>97.94</v>
    <v>98.32</v>
    <v>98.57</v>
    <v>97.75</v>
    <v>99.07</v>
    <v>98.98</v>
    <v>99.29</v>
    <v>99.26</v>
    <v>99.76</v>
    <v>100.88</v>
    <v>100.84</v>
    <v>101.3</v>
    <v>100.88</v>
    <v>100.69</v>
    <v>100.05</v>
    <v>101.02</v>
    <v>101.71</v>
    <v>101.61</v>
    <v>102.18</v>
    <v>102.73</v>
    <v>102.76</v>
    <v>103.12</v>
    <v>102.42</v>
    <v>103.5</v>
    <v>102.95</v>
    <v>99.77</v>
    <v>101.35</v>
    <v>101.47</v>
    <v>101.85</v>
    <v>101.28</v>
    <v>101.86</v>
    <v>103.24</v>
    <v>103.77</v>
    <v>102.84</v>
    <v>103.54</v>
    <v>103.99</v>
    <v>105.23</v>
    <v>104.95</v>
    <v>104</v>
    <v>103.16</v>
    <v>103.7</v>
    <v>103.57</v>
    <v>101.88</v>
    <v>102.65</v>
    <v>101.09</v>
    <v>101.08</v>
    <v>102.19</v>
    <v>102.39</v>
    <v>102.45</v>
    <v>100.82</v>
    <v>100.63</v>
    <v>99.51</v>
    <v>99.02</v>
    <v>99.05</v>
    <v>96.91</v>
    <v>98.42</v>
    <v>99.58</v>
    <v>100.61</v>
    <v>101.22</v>
    <v>102.15</v>
    <v>101.78</v>
    <v>102.78</v>
    <v>103.92</v>
    <v>103.59</v>
    <v>104.08</v>
    <v>103.55</v>
    <v>103.46</v>
    <v>104.44</v>
    <v>104.43</v>
    <v>103.24</v>
    <v>103.03</v>
    <v>102.8</v>
    <v>101.55</v>
    <v>102.49</v>
    <v>103.27</v>
  </a>
  <a r="1" c="254">
    <v>24.812100000000001</v>
    <v>24.684899999999999</v>
    <v>23.7195</v>
    <v>23.414000000000001</v>
    <v>23.488199999999999</v>
    <v>23.478100000000001</v>
    <v>23.6295</v>
    <v>23.6816</v>
    <v>23.4145</v>
    <v>23.28</v>
    <v>23.525400000000001</v>
    <v>23.337900000000001</v>
    <v>23.62</v>
    <v>23.377500000000001</v>
    <v>23.16</v>
    <v>23.07</v>
    <v>22.58</v>
    <v>22.88</v>
    <v>23.16</v>
    <v>23.258800000000001</v>
    <v>23.729299999999999</v>
    <v>23.729900000000001</v>
    <v>24.0961</v>
    <v>23.42</v>
    <v>23.47</v>
    <v>23.6</v>
    <v>24.23</v>
    <v>23.84</v>
    <v>23.44</v>
    <v>23.64</v>
    <v>23.65</v>
    <v>23.645199999999999</v>
    <v>23.694700000000001</v>
    <v>23.871600000000001</v>
    <v>23.9617</v>
    <v>23.790400000000002</v>
    <v>23.690999999999999</v>
    <v>23.857199999999999</v>
    <v>23.661999999999999</v>
    <v>24.131</v>
    <v>23.8992</v>
    <v>24.038</v>
    <v>24.073799999999999</v>
    <v>24.2288</v>
    <v>24.296900000000001</v>
    <v>24.529900000000001</v>
    <v>24.865200000000002</v>
    <v>24.729600000000001</v>
    <v>24.859300000000001</v>
    <v>25.09</v>
    <v>25.17</v>
    <v>25.105</v>
    <v>25.45</v>
    <v>25.13</v>
    <v>25.3794</v>
    <v>25.32</v>
    <v>24.9986</v>
    <v>24.7</v>
    <v>24.485800000000001</v>
    <v>24.88</v>
    <v>25.054099999999998</v>
    <v>24.962700000000002</v>
    <v>24.8338</v>
    <v>24.8124</v>
    <v>24.487100000000002</v>
    <v>24.7669</v>
    <v>24.5808</v>
    <v>24.848400000000002</v>
    <v>24.733699999999999</v>
    <v>24.760300000000001</v>
    <v>25.043099999999999</v>
    <v>24.971399999999999</v>
    <v>24.9055</v>
    <v>24.401299999999999</v>
    <v>23.7225</v>
    <v>22.7</v>
    <v>22.033799999999999</v>
    <v>23.0731</v>
    <v>22.6036</v>
    <v>22.982299999999999</v>
    <v>23.543800000000001</v>
    <v>23.7973</v>
    <v>23.9773</v>
    <v>24.25</v>
    <v>23.985800000000001</v>
    <v>24.282</v>
    <v>24.094200000000001</v>
    <v>23.89</v>
    <v>23.756699999999999</v>
    <v>23.916499999999999</v>
    <v>23.904399999999999</v>
    <v>24.036300000000001</v>
    <v>23.930399999999999</v>
    <v>24.011700000000001</v>
    <v>23.890999999999998</v>
    <v>23.845400000000001</v>
    <v>23.870200000000001</v>
    <v>23.845199999999998</v>
    <v>24.0458</v>
    <v>24.013999999999999</v>
    <v>23.75</v>
    <v>23.65</v>
    <v>23.94</v>
    <v>24.253699999999998</v>
    <v>24.2713</v>
    <v>24.16</v>
    <v>23.712900000000001</v>
    <v>23.612500000000001</v>
    <v>23.715800000000002</v>
    <v>24.133700000000001</v>
    <v>24.099599999999999</v>
    <v>24.1173</v>
    <v>24.206199999999999</v>
    <v>24.204899999999999</v>
    <v>24.1647</v>
    <v>24.144600000000001</v>
    <v>24.076000000000001</v>
    <v>24.241700000000002</v>
    <v>24.523099999999999</v>
    <v>24.6326</v>
    <v>24.595099999999999</v>
    <v>24.588899999999999</v>
    <v>24.3446</v>
    <v>24.266300000000001</v>
    <v>24.396599999999999</v>
    <v>24.571000000000002</v>
    <v>24.53</v>
    <v>24.955300000000001</v>
    <v>24.8171</v>
    <v>24.2667</v>
    <v>24.384699999999999</v>
    <v>24.300999999999998</v>
    <v>24.414100000000001</v>
    <v>24.692399999999999</v>
    <v>24.7254</v>
    <v>24.7575</v>
    <v>24.436299999999999</v>
    <v>24.402100000000001</v>
    <v>24.317</v>
    <v>24.499099999999999</v>
    <v>24.526700000000002</v>
    <v>24.7913</v>
    <v>24.243300000000001</v>
    <v>24.3</v>
    <v>24.121400000000001</v>
    <v>24.01</v>
    <v>24.0715</v>
    <v>24.489100000000001</v>
    <v>24.44</v>
    <v>24.384499999999999</v>
    <v>24.335999999999999</v>
    <v>24.020399999999999</v>
    <v>24.3599</v>
    <v>23.860600000000002</v>
    <v>23.7057</v>
    <v>23.854500000000002</v>
    <v>24.226299999999998</v>
    <v>24.208200000000001</v>
    <v>23.945499999999999</v>
    <v>24.047799999999999</v>
    <v>24.048100000000002</v>
    <v>23.95</v>
    <v>24.1813</v>
    <v>24.462299999999999</v>
    <v>24.1843</v>
    <v>24.1812</v>
    <v>24.045500000000001</v>
    <v>24.530100000000001</v>
    <v>24.790600000000001</v>
    <v>24.695</v>
    <v>24.9101</v>
    <v>24.818300000000001</v>
    <v>24.735800000000001</v>
    <v>24.9819</v>
    <v>24.788599999999999</v>
    <v>24.9999</v>
    <v>24.631599999999999</v>
    <v>24.721800000000002</v>
    <v>24.831800000000001</v>
    <v>25.071100000000001</v>
    <v>24.927900000000001</v>
    <v>24.9529</v>
    <v>24.872699999999998</v>
    <v>25.184200000000001</v>
    <v>25.153500000000001</v>
    <v>25.071100000000001</v>
    <v>24.8749</v>
    <v>24.82</v>
    <v>24.936900000000001</v>
    <v>24.743200000000002</v>
    <v>24.575800000000001</v>
    <v>24.669799999999999</v>
    <v>24.489599999999999</v>
    <v>24.430800000000001</v>
    <v>24.609200000000001</v>
    <v>24.424700000000001</v>
    <v>24.633299999999998</v>
    <v>24.905000000000001</v>
    <v>24.788499999999999</v>
    <v>24.89</v>
    <v>24.517399999999999</v>
    <v>24.418500000000002</v>
    <v>24.256399999999999</v>
    <v>24.12</v>
    <v>23.9405</v>
    <v>24.14</v>
    <v>24.3599</v>
    <v>24.634599999999999</v>
    <v>24.5</v>
    <v>24.690899999999999</v>
    <v>24.930299999999999</v>
    <v>24.7483</v>
    <v>24.770600000000002</v>
    <v>24.7837</v>
    <v>24.72</v>
    <v>24.83</v>
    <v>24.395</v>
    <v>23.954999999999998</v>
    <v>23.782299999999999</v>
    <v>23.9008</v>
    <v>23.9922</v>
    <v>23.79</v>
    <v>23.907800000000002</v>
    <v>23.700800000000001</v>
    <v>24.088799999999999</v>
    <v>24.032900000000001</v>
    <v>24.3062</v>
    <v>24.079499999999999</v>
    <v>24.096699999999998</v>
    <v>24.1328</v>
    <v>24.026</v>
    <v>24.067799999999998</v>
    <v>23.789899999999999</v>
    <v>23.58</v>
    <v>24.035799999999998</v>
    <v>24.051300000000001</v>
    <v>24.125800000000002</v>
    <v>24.191199999999998</v>
    <v>24.220199999999998</v>
    <v>24.148499999999999</v>
    <v>23.9574</v>
    <v>24.079899999999999</v>
    <v>23.935600000000001</v>
    <v>23.8322</v>
    <v>23.69</v>
    <v>23.671600000000002</v>
    <v>23.809699999999999</v>
    <v>23.7837</v>
    <v>23.9923</v>
    <v>24.103200000000001</v>
    <v>24.024000000000001</v>
    <v>24.24</v>
    <v>24.119</v>
    <v>23.87</v>
  </a>
  <a r="1" c="22">
    <v>23.789899999999999</v>
    <v>23.58</v>
    <v>24.035799999999998</v>
    <v>24.051300000000001</v>
    <v>24.125800000000002</v>
    <v>24.191199999999998</v>
    <v>24.220199999999998</v>
    <v>24.148499999999999</v>
    <v>23.9574</v>
    <v>24.079899999999999</v>
    <v>23.935600000000001</v>
    <v>23.8322</v>
    <v>23.69</v>
    <v>23.671600000000002</v>
    <v>23.809699999999999</v>
    <v>23.7837</v>
    <v>23.9923</v>
    <v>24.103200000000001</v>
    <v>24.024000000000001</v>
    <v>24.24</v>
    <v>24.119</v>
    <v>23.87</v>
  </a>
  <a r="1" c="254">
    <v>44.65</v>
    <v>44.55</v>
    <v>43.37</v>
    <v>43.35</v>
    <v>43.72</v>
    <v>43.41</v>
    <v>43.95</v>
    <v>43.73</v>
    <v>43.26</v>
    <v>42.58</v>
    <v>42.32</v>
    <v>42.64</v>
    <v>43.27</v>
    <v>43.88</v>
    <v>43.04</v>
    <v>42.56</v>
    <v>42.08</v>
    <v>42.1</v>
    <v>41.91</v>
    <v>43.33</v>
    <v>43</v>
    <v>43.38</v>
    <v>43.62</v>
    <v>43.53</v>
    <v>43.6</v>
    <v>44.4</v>
    <v>44.71</v>
    <v>45.4</v>
    <v>45.45</v>
    <v>46.3</v>
    <v>46.14</v>
    <v>45.98</v>
    <v>47.57</v>
    <v>47.37</v>
    <v>47.74</v>
    <v>48.48</v>
    <v>49.03</v>
    <v>48.31</v>
    <v>48.97</v>
    <v>49.3</v>
    <v>49.755000000000003</v>
    <v>49.803400000000003</v>
    <v>49.3</v>
    <v>48.91</v>
    <v>49.04</v>
    <v>47.5</v>
    <v>47.33</v>
    <v>47.99</v>
    <v>46.85</v>
    <v>46.56</v>
    <v>45.62</v>
    <v>45.73</v>
    <v>47.44</v>
    <v>47.25</v>
    <v>47.05</v>
    <v>45.03</v>
    <v>45.92</v>
    <v>46.284999999999997</v>
    <v>45.42</v>
    <v>46.39</v>
    <v>47.14</v>
    <v>46.41</v>
    <v>46.54</v>
    <v>45.72</v>
    <v>45.81</v>
    <v>46.2</v>
    <v>46.54</v>
    <v>45.57</v>
    <v>45.71</v>
    <v>44.12</v>
    <v>43.84</v>
    <v>44.58</v>
    <v>44.57</v>
    <v>43.16</v>
    <v>40.24</v>
    <v>38.99</v>
    <v>38.159999999999997</v>
    <v>41.71</v>
    <v>40.17</v>
    <v>40.78</v>
    <v>41.35</v>
    <v>41.37</v>
    <v>40.295000000000002</v>
    <v>40.6</v>
    <v>39.76</v>
    <v>41.24</v>
    <v>42.6</v>
    <v>43.37</v>
    <v>43.52</v>
    <v>43.58</v>
    <v>43.61</v>
    <v>43.39</v>
    <v>43.58</v>
    <v>45.05</v>
    <v>45.07</v>
    <v>44.87</v>
    <v>43.92</v>
    <v>44.335000000000001</v>
    <v>43.96</v>
    <v>46.07</v>
    <v>46.16</v>
    <v>47.2</v>
    <v>46.8</v>
    <v>46.74</v>
    <v>46.72</v>
    <v>46.59</v>
    <v>46.29</v>
    <v>45.99</v>
    <v>46.04</v>
    <v>46.89</v>
    <v>46.3</v>
    <v>46.86</v>
    <v>46.57</v>
    <v>47.35</v>
    <v>47.39</v>
    <v>48.26</v>
    <v>48.58</v>
    <v>49.32</v>
    <v>50.32</v>
    <v>49.98</v>
    <v>50.17</v>
    <v>50.15</v>
    <v>49.52</v>
    <v>50.82</v>
    <v>50.32</v>
    <v>51.23</v>
    <v>51.6</v>
    <v>52.29</v>
    <v>53.85</v>
    <v>53.36</v>
    <v>52.9</v>
    <v>52.84</v>
    <v>53.43</v>
    <v>53.53</v>
    <v>52.97</v>
    <v>53.22</v>
    <v>53.5</v>
    <v>53.6</v>
    <v>53.47</v>
    <v>53.19</v>
    <v>52.7</v>
    <v>53.42</v>
    <v>53.81</v>
    <v>53.709699999999998</v>
    <v>53.992899999999999</v>
    <v>54.106900000000003</v>
    <v>54.604999999999997</v>
    <v>54.734999999999999</v>
    <v>55.29</v>
    <v>54.82</v>
    <v>54.494300000000003</v>
    <v>54.31</v>
    <v>53.73</v>
    <v>53.59</v>
    <v>55.06</v>
    <v>54.201500000000003</v>
    <v>56.08</v>
    <v>56.19</v>
    <v>56.92</v>
    <v>57.024799999999999</v>
    <v>56.625</v>
    <v>56.314999999999998</v>
    <v>56.93</v>
    <v>58.48</v>
    <v>58.173999999999999</v>
    <v>58.85</v>
    <v>58.517699999999998</v>
    <v>57.4572</v>
    <v>56.96</v>
    <v>56.78</v>
    <v>58.045000000000002</v>
    <v>58.149700000000003</v>
    <v>58.209699999999998</v>
    <v>57.26</v>
    <v>57.98</v>
    <v>57.49</v>
    <v>56.91</v>
    <v>57.300899999999999</v>
    <v>57.38</v>
    <v>58.68</v>
    <v>58.7</v>
    <v>59.48</v>
    <v>59.484999999999999</v>
    <v>60.1</v>
    <v>60.450899999999997</v>
    <v>61.44</v>
    <v>61.86</v>
    <v>62.625300000000003</v>
    <v>62.559800000000003</v>
    <v>61.97</v>
    <v>61.66</v>
    <v>60.21</v>
    <v>59.77</v>
    <v>60.482799999999997</v>
    <v>60.24</v>
    <v>61.33</v>
    <v>60.752299999999998</v>
    <v>59.93</v>
    <v>60.59</v>
    <v>60.559600000000003</v>
    <v>60.77</v>
    <v>59.77</v>
    <v>59.97</v>
    <v>59.92</v>
    <v>57.4</v>
    <v>58.575000000000003</v>
    <v>57.558500000000002</v>
    <v>57.965699999999998</v>
    <v>57.685000000000002</v>
    <v>57.320599999999999</v>
    <v>58.310200000000002</v>
    <v>58.270499999999998</v>
    <v>57.523099999999999</v>
    <v>57.78</v>
    <v>58.49</v>
    <v>59.685000000000002</v>
    <v>59.385599999999997</v>
    <v>59.77</v>
    <v>57.515599999999999</v>
    <v>57.992600000000003</v>
    <v>58.067300000000003</v>
    <v>56.734299999999998</v>
    <v>56.819200000000002</v>
    <v>56.03</v>
    <v>55.68</v>
    <v>57.047499999999999</v>
    <v>57.115000000000002</v>
    <v>56.664999999999999</v>
    <v>55.277099999999997</v>
    <v>54.795000000000002</v>
    <v>53.906500000000001</v>
    <v>53.6676</v>
    <v>53.305</v>
    <v>52.318199999999997</v>
    <v>53.268999999999998</v>
    <v>54.895000000000003</v>
    <v>55.69</v>
    <v>55.399799999999999</v>
    <v>55.436500000000002</v>
    <v>55.612900000000003</v>
    <v>55.491599999999998</v>
    <v>55.24</v>
    <v>55.3446</v>
    <v>56.2331</v>
    <v>55.945700000000002</v>
    <v>55.765000000000001</v>
    <v>56.006300000000003</v>
    <v>55.420400000000001</v>
    <v>54.73</v>
    <v>54.136800000000001</v>
    <v>54.034999999999997</v>
    <v>53.657499999999999</v>
    <v>54.492100000000001</v>
    <v>55.134099999999997</v>
  </a>
  <a r="1" c="22">
    <v>53.305</v>
    <v>52.318199999999997</v>
    <v>53.268999999999998</v>
    <v>54.895000000000003</v>
    <v>55.69</v>
    <v>55.399799999999999</v>
    <v>55.436500000000002</v>
    <v>55.612900000000003</v>
    <v>55.491599999999998</v>
    <v>55.24</v>
    <v>55.3446</v>
    <v>56.2331</v>
    <v>55.945700000000002</v>
    <v>55.765000000000001</v>
    <v>56.006300000000003</v>
    <v>55.420400000000001</v>
    <v>54.73</v>
    <v>54.136800000000001</v>
    <v>54.034999999999997</v>
    <v>53.657499999999999</v>
    <v>54.492100000000001</v>
    <v>55.134099999999997</v>
  </a>
  <a r="1" c="254">
    <v>37.335599999999999</v>
    <v>36.420400000000001</v>
    <v>35.017699999999998</v>
    <v>34.808799999999998</v>
    <v>35.107199999999999</v>
    <v>35.186799999999998</v>
    <v>35.246499999999997</v>
    <v>35.365900000000003</v>
    <v>35.077399999999997</v>
    <v>34.679400000000001</v>
    <v>34.808799999999998</v>
    <v>34.9679</v>
    <v>34.928100000000001</v>
    <v>35.226599999999998</v>
    <v>34.938099999999999</v>
    <v>35.017699999999998</v>
    <v>34.749099999999999</v>
    <v>34.9878</v>
    <v>35.306199999999997</v>
    <v>35.713999999999999</v>
    <v>35.674199999999999</v>
    <v>36.121899999999997</v>
    <v>36.529800000000002</v>
    <v>35.883200000000002</v>
    <v>35.952800000000003</v>
    <v>36.151800000000001</v>
    <v>35.634500000000003</v>
    <v>35.166899999999998</v>
    <v>35.335999999999999</v>
    <v>35.833399999999997</v>
    <v>35.286299999999997</v>
    <v>35.0276</v>
    <v>35.813499999999998</v>
    <v>36.032400000000003</v>
    <v>36.509900000000002</v>
    <v>36.559600000000003</v>
    <v>36.967500000000001</v>
    <v>36.320900000000002</v>
    <v>36.4602</v>
    <v>37.345500000000001</v>
    <v>37.186399999999999</v>
    <v>37.509700000000002</v>
    <v>36.808300000000003</v>
    <v>37.5047</v>
    <v>36.6541</v>
    <v>36.430300000000003</v>
    <v>36.251199999999997</v>
    <v>36.290999999999997</v>
    <v>35.813499999999998</v>
    <v>35.704099999999997</v>
    <v>35.534999999999997</v>
    <v>35.4255</v>
    <v>37.067</v>
    <v>36.997399999999999</v>
    <v>37.196300000000001</v>
    <v>35.982599999999998</v>
    <v>36.559600000000003</v>
    <v>36.360700000000001</v>
    <v>36.470100000000002</v>
    <v>37.5047</v>
    <v>37.823099999999997</v>
    <v>38.012099999999997</v>
    <v>38.151299999999999</v>
    <v>37.743499999999997</v>
    <v>37.1068</v>
    <v>37.5047</v>
    <v>37.872799999999998</v>
    <v>37.405200000000001</v>
    <v>37.156500000000001</v>
    <v>36.221400000000003</v>
    <v>35.694099999999999</v>
    <v>35.982599999999998</v>
    <v>35.853299999999997</v>
    <v>33.883600000000001</v>
    <v>31.058299999999999</v>
    <v>30.9389</v>
    <v>30.073399999999999</v>
    <v>32.838999999999999</v>
    <v>32.013300000000001</v>
    <v>33.286700000000003</v>
    <v>33.784100000000002</v>
    <v>33.664700000000003</v>
    <v>33.515500000000003</v>
    <v>33.823900000000002</v>
    <v>33.833799999999997</v>
    <v>34.490400000000001</v>
    <v>34.997799999999998</v>
    <v>35.912999999999997</v>
    <v>35.584699999999998</v>
    <v>35.674199999999999</v>
    <v>35.704099999999997</v>
    <v>34.977899999999998</v>
    <v>35.087299999999999</v>
    <v>35.863300000000002</v>
    <v>35.664299999999997</v>
    <v>35.853299999999997</v>
    <v>35.375799999999998</v>
    <v>35.286299999999997</v>
    <v>35.485199999999999</v>
    <v>36.499899999999997</v>
    <v>36.887900000000002</v>
    <v>36.738700000000001</v>
    <v>36.778500000000001</v>
    <v>36.6691</v>
    <v>36.6691</v>
    <v>36.6691</v>
    <v>36.390500000000003</v>
    <v>36.320900000000002</v>
    <v>36.748699999999999</v>
    <v>36.987400000000001</v>
    <v>36.609400000000001</v>
    <v>36.783499999999997</v>
    <v>36.6492</v>
    <v>36.9178</v>
    <v>36.698900000000002</v>
    <v>37.146599999999999</v>
    <v>37.4848</v>
    <v>37.554499999999997</v>
    <v>37.922499999999999</v>
    <v>38.041899999999998</v>
    <v>37.743499999999997</v>
    <v>37.6937</v>
    <v>37.246099999999998</v>
    <v>37.115000000000002</v>
    <v>36.549999999999997</v>
    <v>36.56</v>
    <v>35.700000000000003</v>
    <v>36.15</v>
    <v>36.6</v>
    <v>36.409999999999997</v>
    <v>37.880000000000003</v>
    <v>37.82</v>
    <v>37.6</v>
    <v>37.92</v>
    <v>39.14</v>
    <v>39.130000000000003</v>
    <v>38.42</v>
    <v>38.81</v>
    <v>38.57</v>
    <v>39.5</v>
    <v>39.590000000000003</v>
    <v>39.32</v>
    <v>38.64</v>
    <v>38.880000000000003</v>
    <v>39.11</v>
    <v>39.200000000000003</v>
    <v>40.24</v>
    <v>41.16</v>
    <v>41.41</v>
    <v>40.74</v>
    <v>40.340000000000003</v>
    <v>39.64</v>
    <v>39.479999999999997</v>
    <v>38.58</v>
    <v>38.380000000000003</v>
    <v>38.159999999999997</v>
    <v>38.49</v>
    <v>38.619999999999997</v>
    <v>38.64</v>
    <v>39.15</v>
    <v>39.74</v>
    <v>39.72</v>
    <v>40.46</v>
    <v>40.83</v>
    <v>40.18</v>
    <v>40.229999999999997</v>
    <v>39.950000000000003</v>
    <v>39.950000000000003</v>
    <v>39.744999999999997</v>
    <v>40.130000000000003</v>
    <v>41.05</v>
    <v>41.01</v>
    <v>40.89</v>
    <v>40.81</v>
    <v>41.03</v>
    <v>41</v>
    <v>40.81</v>
    <v>41.32</v>
    <v>41.25</v>
    <v>41.81</v>
    <v>41.92</v>
    <v>41.54</v>
    <v>41.67</v>
    <v>42.37</v>
    <v>42.36</v>
    <v>43.02</v>
    <v>42.9</v>
    <v>42.55</v>
    <v>42.3</v>
    <v>42.56</v>
    <v>42.99</v>
    <v>43.03</v>
    <v>43.073</v>
    <v>43.51</v>
    <v>43.68</v>
    <v>44.52</v>
    <v>44.5</v>
    <v>44.92</v>
    <v>45.02</v>
    <v>45.44</v>
    <v>45.48</v>
    <v>45.06</v>
    <v>46.2</v>
    <v>46.13</v>
    <v>44.3</v>
    <v>46.22</v>
    <v>46.08</v>
    <v>46.38</v>
    <v>46.04</v>
    <v>45.48</v>
    <v>46.32</v>
    <v>45.22</v>
    <v>45.11</v>
    <v>45.71</v>
    <v>45.99</v>
    <v>46.12</v>
    <v>46.46</v>
    <v>47.09</v>
    <v>46.6</v>
    <v>46.57</v>
    <v>45.84</v>
    <v>44.61</v>
    <v>45.24</v>
    <v>45.24</v>
    <v>45.38</v>
    <v>46.18</v>
    <v>46.19</v>
    <v>46.95</v>
    <v>46.32</v>
    <v>46.19</v>
    <v>45.5</v>
    <v>45.22</v>
    <v>45.42</v>
    <v>44.57</v>
    <v>44.91</v>
    <v>45.63</v>
    <v>46.094999999999999</v>
    <v>46.96</v>
    <v>47.4</v>
    <v>47.76</v>
    <v>47.81</v>
    <v>49.05</v>
    <v>49.09</v>
    <v>49.16</v>
    <v>48.89</v>
    <v>48.72</v>
    <v>49.84</v>
    <v>50.39</v>
    <v>49.74</v>
    <v>49.75</v>
    <v>48.78</v>
    <v>49.2</v>
    <v>49.41</v>
    <v>49.91</v>
  </a>
  <a r="1" c="22">
    <v>45.42</v>
    <v>44.57</v>
    <v>44.91</v>
    <v>45.63</v>
    <v>46.094999999999999</v>
    <v>46.96</v>
    <v>47.4</v>
    <v>47.76</v>
    <v>47.81</v>
    <v>49.05</v>
    <v>49.09</v>
    <v>49.16</v>
    <v>48.89</v>
    <v>48.72</v>
    <v>49.84</v>
    <v>50.39</v>
    <v>49.74</v>
    <v>49.75</v>
    <v>48.78</v>
    <v>49.2</v>
    <v>49.41</v>
    <v>49.91</v>
  </a>
  <a r="1" c="254">
    <v>17.079999999999998</v>
    <v>16.739999999999998</v>
    <v>16.41</v>
    <v>16.46</v>
    <v>16.559999999999999</v>
    <v>16.71</v>
    <v>16.920000000000002</v>
    <v>16.989999999999998</v>
    <v>16.760000000000002</v>
    <v>16.63</v>
    <v>16.66</v>
    <v>16.399999999999999</v>
    <v>16.53</v>
    <v>16.47</v>
    <v>16.28</v>
    <v>16.100000000000001</v>
    <v>15.83</v>
    <v>15.8</v>
    <v>15.89</v>
    <v>16.09</v>
    <v>16.12</v>
    <v>16.399999999999999</v>
    <v>16.510000000000002</v>
    <v>16.39</v>
    <v>16.3</v>
    <v>16.43</v>
    <v>16.43</v>
    <v>16.510000000000002</v>
    <v>16.440000000000001</v>
    <v>16.71</v>
    <v>16.5</v>
    <v>16.309999999999999</v>
    <v>16.46</v>
    <v>16.2</v>
    <v>16.32</v>
    <v>16.21</v>
    <v>16.34</v>
    <v>16.18</v>
    <v>16.66</v>
    <v>16.829999999999998</v>
    <v>16.98</v>
    <v>16.89</v>
    <v>16.91</v>
    <v>16.989999999999998</v>
    <v>17.190000000000001</v>
    <v>17.22</v>
    <v>17.38</v>
    <v>17.649999999999999</v>
    <v>17.649999999999999</v>
    <v>17.59</v>
    <v>17.309999999999999</v>
    <v>17.55</v>
    <v>18.18</v>
    <v>18.34</v>
    <v>18.309999999999999</v>
    <v>17.95</v>
    <v>18.11</v>
    <v>18.21</v>
    <v>18.170000000000002</v>
    <v>18.149999999999999</v>
    <v>18.39</v>
    <v>18.22</v>
    <v>18.37</v>
    <v>18.02</v>
    <v>17.84</v>
    <v>17.739999999999998</v>
    <v>17.690000000000001</v>
    <v>17.57</v>
    <v>17.809999999999999</v>
    <v>17.559999999999999</v>
    <v>17.510000000000002</v>
    <v>17.739999999999998</v>
    <v>17.79</v>
    <v>17.48</v>
    <v>16.38</v>
    <v>15.68</v>
    <v>15.2</v>
    <v>15.79</v>
    <v>15.77</v>
    <v>15.97</v>
    <v>16.36</v>
    <v>16.350000000000001</v>
    <v>16.34</v>
    <v>16.43</v>
    <v>16.38</v>
    <v>16.86</v>
    <v>17.079999999999998</v>
    <v>17.170000000000002</v>
    <v>17.18</v>
    <v>17.13</v>
    <v>17.16</v>
    <v>17.52</v>
    <v>17.47</v>
    <v>17.8</v>
    <v>17.809999999999999</v>
    <v>18.21</v>
    <v>18.3</v>
    <v>18.23</v>
    <v>18.350000000000001</v>
    <v>18.71</v>
    <v>18.68</v>
    <v>18.899999999999999</v>
    <v>18.8</v>
    <v>18.84</v>
    <v>18.91</v>
    <v>19.02</v>
    <v>18.82</v>
    <v>18.78</v>
    <v>18.77</v>
    <v>18.940000000000001</v>
    <v>18.82</v>
    <v>19.04</v>
    <v>18.940000000000001</v>
    <v>19.18</v>
    <v>19.38</v>
    <v>19.43</v>
    <v>19.48</v>
    <v>19.55</v>
    <v>19.739999999999998</v>
    <v>19.88</v>
    <v>19.96</v>
    <v>19.93</v>
    <v>19.75</v>
    <v>19.61</v>
    <v>19.39</v>
    <v>19.22</v>
    <v>19</v>
    <v>19.37</v>
    <v>19.899999999999999</v>
    <v>20.059999999999999</v>
    <v>19.920000000000002</v>
    <v>19.91</v>
    <v>19.86</v>
    <v>19.91</v>
    <v>20.11</v>
    <v>20.170000000000002</v>
    <v>19.82</v>
    <v>19.91</v>
    <v>19.93</v>
    <v>19.940000000000001</v>
    <v>20.09</v>
    <v>20.11</v>
    <v>20.09</v>
    <v>20.149999999999999</v>
    <v>20.260000000000002</v>
    <v>20.309999999999999</v>
    <v>20.47</v>
    <v>20.77</v>
    <v>20.81</v>
    <v>20.88</v>
    <v>20.79</v>
    <v>21.07</v>
    <v>21.19</v>
    <v>20.94</v>
    <v>20.7</v>
    <v>20.329999999999998</v>
    <v>20.66</v>
    <v>20.83</v>
    <v>20.82</v>
    <v>21.06</v>
    <v>21.05</v>
    <v>20.99</v>
    <v>21.19</v>
    <v>21.56</v>
    <v>21.38</v>
    <v>21.19</v>
    <v>21.09</v>
    <v>21.09</v>
    <v>21.15</v>
    <v>21.17</v>
    <v>21.48</v>
    <v>21.51</v>
    <v>21.46</v>
    <v>21.21</v>
    <v>21.3</v>
    <v>21.16</v>
    <v>21.29</v>
    <v>21.14</v>
    <v>21</v>
    <v>21.18</v>
    <v>21.4</v>
    <v>21.56</v>
    <v>21.66</v>
    <v>22.04</v>
    <v>21.92</v>
    <v>21.98</v>
    <v>21.74</v>
    <v>21.8</v>
    <v>21.59</v>
    <v>21.47</v>
    <v>21.38</v>
    <v>21.18</v>
    <v>21.08</v>
    <v>21</v>
    <v>21.11</v>
    <v>21.5</v>
    <v>21.55</v>
    <v>21.67</v>
    <v>21.6</v>
    <v>21.56</v>
    <v>21.54</v>
    <v>21.41</v>
    <v>21.54</v>
    <v>21.56</v>
    <v>20.66</v>
    <v>21.1</v>
    <v>21.06</v>
    <v>21.09</v>
    <v>20.99</v>
    <v>21.19</v>
    <v>21.42</v>
    <v>21.31</v>
    <v>21.03</v>
    <v>21.22</v>
    <v>21.41</v>
    <v>21.62</v>
    <v>21.88</v>
    <v>21.94</v>
    <v>21.44</v>
    <v>21.54</v>
    <v>22</v>
    <v>21.86</v>
    <v>22.09</v>
    <v>22.2</v>
    <v>22.28</v>
    <v>22.58</v>
    <v>22.82</v>
    <v>23.14</v>
    <v>22.89</v>
    <v>22.77</v>
    <v>22.36</v>
    <v>22.08</v>
    <v>21.89</v>
    <v>21.64</v>
    <v>21.7</v>
    <v>22.13</v>
    <v>22.15</v>
    <v>22.16</v>
    <v>22.24</v>
    <v>22.26</v>
    <v>22.18</v>
    <v>22.23</v>
    <v>22.08</v>
    <v>22.05</v>
    <v>21.82</v>
    <v>21.69</v>
    <v>21.82</v>
    <v>21.91</v>
    <v>21.87</v>
    <v>22.02</v>
    <v>21.14</v>
    <v>21.07</v>
    <v>21.44</v>
    <v>21.61</v>
  </a>
  <a r="1" c="22">
    <v>21.89</v>
    <v>21.64</v>
    <v>21.7</v>
    <v>22.13</v>
    <v>22.15</v>
    <v>22.16</v>
    <v>22.24</v>
    <v>22.26</v>
    <v>22.18</v>
    <v>22.23</v>
    <v>22.08</v>
    <v>22.05</v>
    <v>21.82</v>
    <v>21.69</v>
    <v>21.82</v>
    <v>21.91</v>
    <v>21.87</v>
    <v>22.02</v>
    <v>21.14</v>
    <v>21.07</v>
    <v>21.44</v>
    <v>21.61</v>
  </a>
  <a r="1" c="254">
    <v>253.25</v>
    <v>249.96</v>
    <v>241.99</v>
    <v>238.87</v>
    <v>242.71</v>
    <v>249.22</v>
    <v>251.37</v>
    <v>250.93</v>
    <v>248.4</v>
    <v>244.66</v>
    <v>242.17</v>
    <v>244.79</v>
    <v>251.88</v>
    <v>260.23</v>
    <v>254.04</v>
    <v>252.23</v>
    <v>247.18</v>
    <v>244.64</v>
    <v>245.44</v>
    <v>251.21</v>
    <v>252.29</v>
    <v>258.25</v>
    <v>262.39</v>
    <v>267.17</v>
    <v>266.85000000000002</v>
    <v>261.52999999999997</v>
    <v>235.81</v>
    <v>240.45</v>
    <v>239.53</v>
    <v>245.17</v>
    <v>243.62</v>
    <v>238.78</v>
    <v>241.47</v>
    <v>247.14</v>
    <v>248.35</v>
    <v>245</v>
    <v>249.62</v>
    <v>249.87</v>
    <v>248.51</v>
    <v>251.92</v>
    <v>252.58</v>
    <v>256.22000000000003</v>
    <v>257.33999999999997</v>
    <v>257.8</v>
    <v>249.99</v>
    <v>243.42</v>
    <v>238.25</v>
    <v>243.82</v>
    <v>228.79</v>
    <v>232.77</v>
    <v>223.01</v>
    <v>225.23</v>
    <v>229.4</v>
    <v>219.78</v>
    <v>225.09</v>
    <v>214.53</v>
    <v>214.22</v>
    <v>220.52</v>
    <v>219.55</v>
    <v>226.57</v>
    <v>228.96</v>
    <v>225.42</v>
    <v>227.41</v>
    <v>227.05</v>
    <v>224.77</v>
    <v>230.63</v>
    <v>229.65</v>
    <v>222.01</v>
    <v>217.75</v>
    <v>212.17</v>
    <v>211.47</v>
    <v>212.49</v>
    <v>214.09</v>
    <v>195.57</v>
    <v>180.8</v>
    <v>184.9</v>
    <v>179.95</v>
    <v>210.83</v>
    <v>196.21</v>
    <v>201.31</v>
    <v>201.61</v>
    <v>202.92</v>
    <v>194.35</v>
    <v>192.53</v>
    <v>187.83</v>
    <v>191.9</v>
    <v>198.91</v>
    <v>208.97</v>
    <v>211.97</v>
    <v>210.65</v>
    <v>210.29</v>
    <v>211.28</v>
    <v>212.3</v>
    <v>219.03</v>
    <v>217.61</v>
    <v>215.59</v>
    <v>220.02</v>
    <v>221.95</v>
    <v>223.4</v>
    <v>237.41</v>
    <v>245.56</v>
    <v>247.99</v>
    <v>247.13</v>
    <v>246.42</v>
    <v>246.01</v>
    <v>245.54</v>
    <v>241.47</v>
    <v>240.81</v>
    <v>237.44</v>
    <v>244.97</v>
    <v>242.36</v>
    <v>244.08</v>
    <v>239.75</v>
    <v>243.3</v>
    <v>248.79</v>
    <v>251.75</v>
    <v>251.3</v>
    <v>252.73</v>
    <v>256.95999999999998</v>
    <v>262.07</v>
    <v>261.88</v>
    <v>263.14999999999998</v>
    <v>256.99</v>
    <v>263.38</v>
    <v>261.58999999999997</v>
    <v>262.58999999999997</v>
    <v>260.27</v>
    <v>261.92</v>
    <v>271.54000000000002</v>
    <v>275.2</v>
    <v>277.2</v>
    <v>278.42</v>
    <v>278.88</v>
    <v>275.83999999999997</v>
    <v>281.25</v>
    <v>283.62</v>
    <v>279.76</v>
    <v>283.48</v>
    <v>285.42</v>
    <v>287.52</v>
    <v>287.49</v>
    <v>285.32</v>
    <v>290.8</v>
    <v>289.27999999999997</v>
    <v>291.70999999999998</v>
    <v>290.31</v>
    <v>290.51</v>
    <v>285.37</v>
    <v>286.61</v>
    <v>287.8</v>
    <v>287.49</v>
    <v>291.41000000000003</v>
    <v>292.89999999999998</v>
    <v>296.26</v>
    <v>288.77999999999997</v>
    <v>283.95</v>
    <v>290.19</v>
    <v>287.10000000000002</v>
    <v>286.62</v>
    <v>291.12</v>
    <v>293.52999999999997</v>
    <v>293.39999999999998</v>
    <v>300.10000000000002</v>
    <v>301.27999999999997</v>
    <v>301.92</v>
    <v>295.64999999999998</v>
    <v>296.86</v>
    <v>290.87</v>
    <v>288.95999999999998</v>
    <v>287.45999999999998</v>
    <v>293.64</v>
    <v>293.92</v>
    <v>296.75</v>
    <v>297.66000000000003</v>
    <v>298.88</v>
    <v>290.29000000000002</v>
    <v>286.48</v>
    <v>286.43</v>
    <v>289.86</v>
    <v>293.27999999999997</v>
    <v>296.52</v>
    <v>297.81</v>
    <v>300.83</v>
    <v>303.93</v>
    <v>304.32</v>
    <v>307.17</v>
    <v>307.20999999999998</v>
    <v>305.25</v>
    <v>316.97000000000003</v>
    <v>315.70999999999998</v>
    <v>322.17</v>
    <v>321.7</v>
    <v>321.11</v>
    <v>321.06</v>
    <v>321.82</v>
    <v>322.66000000000003</v>
    <v>326.36</v>
    <v>333.69</v>
    <v>338.24</v>
    <v>336.68</v>
    <v>343.38</v>
    <v>337.05</v>
    <v>346.07</v>
    <v>345.21</v>
    <v>325.33999999999997</v>
    <v>339.75</v>
    <v>333.5</v>
    <v>341.78</v>
    <v>343.3</v>
    <v>342.83</v>
    <v>347.22</v>
    <v>345.3</v>
    <v>338.6</v>
    <v>344.8</v>
    <v>351.14</v>
    <v>359.94</v>
    <v>363.11</v>
    <v>368.61</v>
    <v>363.73</v>
    <v>363.02</v>
    <v>366.1</v>
    <v>352.76</v>
    <v>359.5</v>
    <v>351.09</v>
    <v>348.12</v>
    <v>358.79</v>
    <v>351.05</v>
    <v>355.53</v>
    <v>344.82</v>
    <v>344.98</v>
    <v>340.3</v>
    <v>333.29</v>
    <v>339.44</v>
    <v>325.10000000000002</v>
    <v>326.13</v>
    <v>339.12</v>
    <v>340.01</v>
    <v>347.71</v>
    <v>352.28</v>
    <v>352.96</v>
    <v>359.43</v>
    <v>364.37</v>
    <v>361.6</v>
    <v>364.42</v>
    <v>368.55</v>
    <v>369</v>
    <v>374.1</v>
    <v>370.89</v>
    <v>354.12</v>
    <v>352.9</v>
    <v>351.94</v>
    <v>339.24</v>
    <v>347.25</v>
    <v>356.23</v>
  </a>
  <a r="1" c="22">
    <v>339.44</v>
    <v>325.10000000000002</v>
    <v>326.13</v>
    <v>339.12</v>
    <v>340.01</v>
    <v>347.71</v>
    <v>352.28</v>
    <v>352.96</v>
    <v>359.43</v>
    <v>364.37</v>
    <v>361.6</v>
    <v>364.42</v>
    <v>368.55</v>
    <v>369</v>
    <v>374.1</v>
    <v>370.89</v>
    <v>354.12</v>
    <v>352.9</v>
    <v>351.94</v>
    <v>339.24</v>
    <v>347.25</v>
    <v>356.23</v>
  </a>
  <a r="1" c="254">
    <v>36.42</v>
    <v>36.19</v>
    <v>34.53</v>
    <v>34.39</v>
    <v>34.729999999999997</v>
    <v>34.409999999999997</v>
    <v>34.409999999999997</v>
    <v>34.47</v>
    <v>34.26</v>
    <v>33.770000000000003</v>
    <v>33.909999999999997</v>
    <v>35.340000000000003</v>
    <v>35</v>
    <v>34.58</v>
    <v>35.049999999999997</v>
    <v>35.9</v>
    <v>35.97</v>
    <v>35.380000000000003</v>
    <v>36.32</v>
    <v>36.72</v>
    <v>36.619999999999997</v>
    <v>36.75</v>
    <v>37.61</v>
    <v>37.53</v>
    <v>37.5</v>
    <v>37.950000000000003</v>
    <v>37.35</v>
    <v>37.700000000000003</v>
    <v>37.9</v>
    <v>39.42</v>
    <v>38.96</v>
    <v>39.56</v>
    <v>40.03</v>
    <v>41.04</v>
    <v>41.13</v>
    <v>40.86</v>
    <v>41.96</v>
    <v>41.44</v>
    <v>42.13</v>
    <v>42.51</v>
    <v>41.08</v>
    <v>41.54</v>
    <v>41.54</v>
    <v>42.24</v>
    <v>40.799999999999997</v>
    <v>40.97</v>
    <v>40.380000000000003</v>
    <v>40.86</v>
    <v>39.46</v>
    <v>39.72</v>
    <v>39.71</v>
    <v>40.28</v>
    <v>41.7</v>
    <v>41.36</v>
    <v>41.64</v>
    <v>40.51</v>
    <v>41.84</v>
    <v>41.9</v>
    <v>43.21</v>
    <v>43.64</v>
    <v>44.57</v>
    <v>44.85</v>
    <v>45.23</v>
    <v>45.16</v>
    <v>44.5</v>
    <v>44.25</v>
    <v>45.02</v>
    <v>44.67</v>
    <v>45.76</v>
    <v>45.57</v>
    <v>45.97</v>
    <v>45.8</v>
    <v>45.76</v>
    <v>45.72</v>
    <v>41.68</v>
    <v>41.45</v>
    <v>41.5</v>
    <v>44.99</v>
    <v>47.17</v>
    <v>49.7</v>
    <v>50.02</v>
    <v>50.53</v>
    <v>51.91</v>
    <v>50.92</v>
    <v>51.66</v>
    <v>50.23</v>
    <v>48.73</v>
    <v>49.76</v>
    <v>48.81</v>
    <v>49.43</v>
    <v>48.48</v>
    <v>49.01</v>
    <v>47.2</v>
    <v>47.08</v>
    <v>48.72</v>
    <v>50.79</v>
    <v>49.82</v>
    <v>48.88</v>
    <v>50.37</v>
    <v>46.62</v>
    <v>46.54</v>
    <v>45.55</v>
    <v>46.49</v>
    <v>46.33</v>
    <v>47.34</v>
    <v>48.81</v>
    <v>49.44</v>
    <v>49.18</v>
    <v>50.53</v>
    <v>49.77</v>
    <v>50.35</v>
    <v>50.28</v>
    <v>50.65</v>
    <v>53.77</v>
    <v>53.09</v>
    <v>53.21</v>
    <v>53.15</v>
    <v>51.62</v>
    <v>52.13</v>
    <v>51.43</v>
    <v>51.94</v>
    <v>53.53</v>
    <v>54.46</v>
    <v>53.55</v>
    <v>53.51</v>
    <v>53</v>
    <v>52.29</v>
    <v>53.11</v>
    <v>51.86</v>
    <v>51.92</v>
    <v>52.62</v>
    <v>50.73</v>
    <v>52.06</v>
    <v>52.04</v>
    <v>52.66</v>
    <v>52.91</v>
    <v>53.17</v>
    <v>50.79</v>
    <v>51.5</v>
    <v>51.9</v>
    <v>52.42</v>
    <v>52.45</v>
    <v>51.62</v>
    <v>51.82</v>
    <v>51.24</v>
    <v>51.13</v>
    <v>53.02</v>
    <v>54.48</v>
    <v>53.84</v>
    <v>53.33</v>
    <v>53.96</v>
    <v>52.59</v>
    <v>53.25</v>
    <v>51.78</v>
    <v>51.64</v>
    <v>52.45</v>
    <v>54.94</v>
    <v>56.46</v>
    <v>57.39</v>
    <v>57.94</v>
    <v>58.06</v>
    <v>57.69</v>
    <v>58.21</v>
    <v>58.07</v>
    <v>57.7</v>
    <v>58.28</v>
    <v>58.1</v>
    <v>56.6</v>
    <v>58.32</v>
    <v>59.29</v>
    <v>60.18</v>
    <v>60.26</v>
    <v>61.6</v>
    <v>61.48</v>
    <v>61.33</v>
    <v>63.17</v>
    <v>64.8</v>
    <v>65.2</v>
    <v>64.569999999999993</v>
    <v>66.34</v>
    <v>67.239999999999995</v>
    <v>66.849999999999994</v>
    <v>68.5</v>
    <v>69.760000000000005</v>
    <v>69.75</v>
    <v>70.48</v>
    <v>69.02</v>
    <v>68.66</v>
    <v>68.790000000000006</v>
    <v>72.36</v>
    <v>74.33</v>
    <v>74.23</v>
    <v>72.319999999999993</v>
    <v>73.13</v>
    <v>74.680000000000007</v>
    <v>75.72</v>
    <v>76.400000000000006</v>
    <v>77.13</v>
    <v>77.099999999999994</v>
    <v>77.08</v>
    <v>78.61</v>
    <v>76.97</v>
    <v>79.150000000000006</v>
    <v>75.61</v>
    <v>75.78</v>
    <v>79.37</v>
    <v>78.45</v>
    <v>81.47</v>
    <v>84.44</v>
    <v>78.73</v>
    <v>80.36</v>
    <v>72.790000000000006</v>
    <v>72.95</v>
    <v>73.790000000000006</v>
    <v>72.8</v>
    <v>69.91</v>
    <v>71.02</v>
    <v>71.069999999999993</v>
    <v>72.900000000000006</v>
    <v>72.06</v>
    <v>71.3</v>
    <v>68.28</v>
    <v>70.67</v>
    <v>70.760000000000005</v>
    <v>72.55</v>
    <v>75.98</v>
    <v>76.709999999999994</v>
    <v>79.25</v>
    <v>77.05</v>
    <v>76.16</v>
    <v>74.95</v>
    <v>75.63</v>
    <v>76.39</v>
    <v>72.97</v>
    <v>73.650000000000006</v>
    <v>77.959999999999994</v>
    <v>77.8</v>
    <v>81.55</v>
    <v>83.23</v>
    <v>82.82</v>
    <v>81.61</v>
    <v>81.06</v>
    <v>81.39</v>
    <v>81.03</v>
    <v>79.16</v>
    <v>81.94</v>
    <v>83.32</v>
    <v>86.26</v>
    <v>85.66</v>
    <v>84.85</v>
    <v>84.83</v>
    <v>85.83</v>
    <v>85.67</v>
    <v>87.79</v>
  </a>
  <a r="1" c="22">
    <v>76.39</v>
    <v>72.97</v>
    <v>73.650000000000006</v>
    <v>77.959999999999994</v>
    <v>77.8</v>
    <v>81.55</v>
    <v>83.23</v>
    <v>82.82</v>
    <v>81.61</v>
    <v>81.06</v>
    <v>81.39</v>
    <v>81.03</v>
    <v>79.16</v>
    <v>81.94</v>
    <v>83.32</v>
    <v>86.26</v>
    <v>85.66</v>
    <v>84.85</v>
    <v>84.83</v>
    <v>85.83</v>
    <v>85.67</v>
    <v>87.79</v>
  </a>
  <a r="1" c="22">
    <v>170.04</v>
    <v>166.79</v>
    <v>167.49</v>
    <v>169.67</v>
    <v>171.75</v>
    <v>174.47</v>
    <v>175.77</v>
    <v>173.78</v>
    <v>173.78</v>
    <v>177.18</v>
    <v>178.16</v>
    <v>178.6</v>
    <v>178.94</v>
    <v>180.06</v>
    <v>181.29</v>
    <v>182.22</v>
    <v>180.49</v>
    <v>178.86</v>
    <v>178.41</v>
    <v>177.96</v>
    <v>177.34</v>
    <v>180.12</v>
  </a>
  <a r="1" c="254">
    <v>150.25</v>
    <v>148.12</v>
    <v>142.1</v>
    <v>141.81</v>
    <v>144.06</v>
    <v>144.57</v>
    <v>146.78</v>
    <v>147.22999999999999</v>
    <v>145.91</v>
    <v>144.38</v>
    <v>144.1</v>
    <v>144.44999999999999</v>
    <v>146.05000000000001</v>
    <v>146.4</v>
    <v>144.44999999999999</v>
    <v>145.27000000000001</v>
    <v>141.31</v>
    <v>141.22999999999999</v>
    <v>142.65</v>
    <v>147.38</v>
    <v>150.06</v>
    <v>151.49</v>
    <v>153.72999999999999</v>
    <v>153.97</v>
    <v>155.19999999999999</v>
    <v>155.66999999999999</v>
    <v>154.51</v>
    <v>155.41999999999999</v>
    <v>155.22999999999999</v>
    <v>157.15</v>
    <v>156.44</v>
    <v>155.44999999999999</v>
    <v>155.07</v>
    <v>156.34</v>
    <v>158.05000000000001</v>
    <v>157.85</v>
    <v>156.24</v>
    <v>156.26</v>
    <v>156.55000000000001</v>
    <v>158.99</v>
    <v>158.94999999999999</v>
    <v>159.30000000000001</v>
    <v>159.13999999999999</v>
    <v>155.68</v>
    <v>152.69999999999999</v>
    <v>151.66</v>
    <v>149.94999999999999</v>
    <v>150.59</v>
    <v>149.44</v>
    <v>152.77000000000001</v>
    <v>149.99</v>
    <v>144.87</v>
    <v>147.09</v>
    <v>143.38</v>
    <v>142.08000000000001</v>
    <v>135.66</v>
    <v>135.66999999999999</v>
    <v>136.74</v>
    <v>134.68</v>
    <v>138.13999999999999</v>
    <v>140.91</v>
    <v>139.91</v>
    <v>141.9</v>
    <v>142.26</v>
    <v>142</v>
    <v>145.52000000000001</v>
    <v>146.74</v>
    <v>144.4</v>
    <v>142.28</v>
    <v>139.41</v>
    <v>140.11000000000001</v>
    <v>140.46</v>
    <v>142.72999999999999</v>
    <v>133.81</v>
    <v>123.93</v>
    <v>122.86</v>
    <v>122.04</v>
    <v>133.58000000000001</v>
    <v>128.77000000000001</v>
    <v>131.63</v>
    <v>133.32</v>
    <v>133.82</v>
    <v>130.91</v>
    <v>132.12</v>
    <v>128.97</v>
    <v>133.47</v>
    <v>134.83000000000001</v>
    <v>138.31</v>
    <v>138.88</v>
    <v>138.77000000000001</v>
    <v>140.41999999999999</v>
    <v>140.87</v>
    <v>141.34</v>
    <v>144.69</v>
    <v>144.08000000000001</v>
    <v>143.06</v>
    <v>144.41</v>
    <v>146.86000000000001</v>
    <v>147.29</v>
    <v>150.85</v>
    <v>153.94</v>
    <v>154.24</v>
    <v>154.94</v>
    <v>156.59</v>
    <v>156.6</v>
    <v>155.94999999999999</v>
    <v>152.81</v>
    <v>153.77000000000001</v>
    <v>153.19999999999999</v>
    <v>156.30000000000001</v>
    <v>154.29</v>
    <v>154.57</v>
    <v>154.55000000000001</v>
    <v>154.74</v>
    <v>155.44</v>
    <v>154.68</v>
    <v>155.16</v>
    <v>157.13999999999999</v>
    <v>156.29</v>
    <v>155.84</v>
    <v>156.69999999999999</v>
    <v>156.31</v>
    <v>154.06</v>
    <v>156.61000000000001</v>
    <v>155.66</v>
    <v>158.47999999999999</v>
    <v>158.78</v>
    <v>160.19999999999999</v>
    <v>163.44999999999999</v>
    <v>164.84</v>
    <v>166.57</v>
    <v>166.68</v>
    <v>169.14</v>
    <v>168.93</v>
    <v>170.95</v>
    <v>171.69</v>
    <v>171.42</v>
    <v>168.99</v>
    <v>170.67</v>
    <v>172.65</v>
    <v>171.26</v>
    <v>172.89</v>
    <v>170.44</v>
    <v>171.73</v>
    <v>173.44</v>
    <v>174.63</v>
    <v>173.18</v>
    <v>171.42</v>
    <v>173.14</v>
    <v>174.41</v>
    <v>175.82</v>
    <v>174.89</v>
    <v>175.08</v>
    <v>176.39</v>
    <v>175.64</v>
    <v>170.97</v>
    <v>174.97</v>
    <v>173.45</v>
    <v>173.46</v>
    <v>173.39</v>
    <v>174.53</v>
    <v>174.74</v>
    <v>176.78</v>
    <v>175.93</v>
    <v>176.4</v>
    <v>174.3</v>
    <v>173.96</v>
    <v>172.37</v>
    <v>172.64</v>
    <v>172.05</v>
    <v>175.33</v>
    <v>174.36</v>
    <v>175.63</v>
    <v>174.57</v>
    <v>174.6</v>
    <v>174.18</v>
    <v>171.95</v>
    <v>171.95</v>
    <v>173.9</v>
    <v>170.73</v>
    <v>173.8</v>
    <v>175.64</v>
    <v>175.45</v>
    <v>178.7</v>
    <v>177.4</v>
    <v>176.6</v>
    <v>175.72</v>
    <v>177</v>
    <v>176.38</v>
    <v>176.64</v>
    <v>176.92</v>
    <v>176.14</v>
    <v>174.13</v>
    <v>173.84</v>
    <v>175.26</v>
    <v>177.83</v>
    <v>176.88</v>
    <v>173.94</v>
    <v>174.65</v>
    <v>175.89</v>
    <v>175.47</v>
    <v>175.05</v>
    <v>175.64</v>
    <v>176.18</v>
    <v>171.6</v>
    <v>173.4</v>
    <v>172.52</v>
    <v>173.49</v>
    <v>170.22</v>
    <v>170.35</v>
    <v>172.75</v>
    <v>172.59</v>
    <v>170.45</v>
    <v>171.87</v>
    <v>175.69</v>
    <v>177.67</v>
    <v>176.95</v>
    <v>173.17</v>
    <v>173.69</v>
    <v>175.09</v>
    <v>175.02</v>
    <v>173.93</v>
    <v>174.98</v>
    <v>172.87</v>
    <v>174.51</v>
    <v>176.07</v>
    <v>176.88</v>
    <v>179.29</v>
    <v>175.04</v>
    <v>173.23</v>
    <v>169.06</v>
    <v>169.09</v>
    <v>170.04</v>
    <v>166.79</v>
    <v>167.49</v>
    <v>169.67</v>
    <v>171.75</v>
    <v>174.47</v>
    <v>175.77</v>
    <v>173.78</v>
    <v>173.78</v>
    <v>177.18</v>
    <v>178.16</v>
    <v>178.6</v>
    <v>178.94</v>
    <v>180.06</v>
    <v>181.29</v>
    <v>182.22</v>
    <v>180.49</v>
    <v>178.86</v>
    <v>178.41</v>
    <v>177.96</v>
    <v>177.34</v>
    <v>180.12</v>
  </a>
  <a r="1" c="254">
    <v>37.129399999999997</v>
    <v>36.9754</v>
    <v>36.14</v>
    <v>36.228200000000001</v>
    <v>36.543300000000002</v>
    <v>36.589799999999997</v>
    <v>36.862099999999998</v>
    <v>36.9499</v>
    <v>36.649700000000003</v>
    <v>36.384399999999999</v>
    <v>36.270000000000003</v>
    <v>36.197800000000001</v>
    <v>36.356200000000001</v>
    <v>36.42</v>
    <v>36.251199999999997</v>
    <v>36.298900000000003</v>
    <v>35.8157</v>
    <v>36.0383</v>
    <v>36.08</v>
    <v>36.520000000000003</v>
    <v>36.6053</v>
    <v>36.850700000000003</v>
    <v>37.21</v>
    <v>37.31</v>
    <v>37.590000000000003</v>
    <v>37.47</v>
    <v>37.81</v>
    <v>37.869999999999997</v>
    <v>37.840000000000003</v>
    <v>38.0565</v>
    <v>37.76</v>
    <v>37.65</v>
    <v>37.76</v>
    <v>37.979999999999997</v>
    <v>37.86</v>
    <v>37.479999999999997</v>
    <v>37.684199999999997</v>
    <v>37.81</v>
    <v>37.71</v>
    <v>38.159999999999997</v>
    <v>38.04</v>
    <v>38.090000000000003</v>
    <v>38.24</v>
    <v>37.962299999999999</v>
    <v>37.57</v>
    <v>37.700000000000003</v>
    <v>37.76</v>
    <v>37.69</v>
    <v>37.555</v>
    <v>37.9529</v>
    <v>37.503599999999999</v>
    <v>36.913499999999999</v>
    <v>37.2438</v>
    <v>36.907699999999998</v>
    <v>37.2121</v>
    <v>36.549999999999997</v>
    <v>36.051299999999998</v>
    <v>35.942900000000002</v>
    <v>35.5764</v>
    <v>36.090000000000003</v>
    <v>36.4253</v>
    <v>36.172600000000003</v>
    <v>36.501199999999997</v>
    <v>36.470500000000001</v>
    <v>36.357399999999998</v>
    <v>36.810299999999998</v>
    <v>36.76</v>
    <v>36.6417</v>
    <v>36.463200000000001</v>
    <v>35.8718</v>
    <v>36.2239</v>
    <v>36.145299999999999</v>
    <v>36.29</v>
    <v>34.793300000000002</v>
    <v>32.886800000000001</v>
    <v>32.566699999999997</v>
    <v>32.19</v>
    <v>34.643099999999997</v>
    <v>33.783999999999999</v>
    <v>34.400599999999997</v>
    <v>34.634900000000002</v>
    <v>34.51</v>
    <v>33.880000000000003</v>
    <v>33.840000000000003</v>
    <v>33.14</v>
    <v>33.954700000000003</v>
    <v>34.294199999999996</v>
    <v>34.659599999999998</v>
    <v>34.680599999999998</v>
    <v>34.815899999999999</v>
    <v>35.06</v>
    <v>35.18</v>
    <v>35.185299999999998</v>
    <v>35.6539</v>
    <v>35.5411</v>
    <v>35.302999999999997</v>
    <v>35.617100000000001</v>
    <v>35.794600000000003</v>
    <v>35.689300000000003</v>
    <v>36.671199999999999</v>
    <v>36.630600000000001</v>
    <v>36.5379</v>
    <v>36.880000000000003</v>
    <v>37.159399999999998</v>
    <v>37.2196</v>
    <v>37.159599999999998</v>
    <v>36.549599999999998</v>
    <v>36.545699999999997</v>
    <v>36.372399999999999</v>
    <v>36.923400000000001</v>
    <v>36.713700000000003</v>
    <v>36.847299999999997</v>
    <v>36.942799999999998</v>
    <v>36.986400000000003</v>
    <v>37.215699999999998</v>
    <v>37.149299999999997</v>
    <v>36.967700000000001</v>
    <v>37.389200000000002</v>
    <v>37.4</v>
    <v>37.590000000000003</v>
    <v>37.405500000000004</v>
    <v>37.444200000000002</v>
    <v>36.856200000000001</v>
    <v>37.167000000000002</v>
    <v>36.83</v>
    <v>36.833300000000001</v>
    <v>36.879300000000001</v>
    <v>37.196300000000001</v>
    <v>37.581299999999999</v>
    <v>37.447200000000002</v>
    <v>37.603999999999999</v>
    <v>38.126199999999997</v>
    <v>38.330100000000002</v>
    <v>38.7074</v>
    <v>38.72</v>
    <v>38.9846</v>
    <v>38.630099999999999</v>
    <v>38.570099999999996</v>
    <v>38.7333</v>
    <v>38.845500000000001</v>
    <v>38.595799999999997</v>
    <v>38.629399999999997</v>
    <v>38.348799999999997</v>
    <v>38.5002</v>
    <v>38.714500000000001</v>
    <v>38.5749</v>
    <v>38.58</v>
    <v>38.8279</v>
    <v>39.205199999999998</v>
    <v>38.950000000000003</v>
    <v>39.114400000000003</v>
    <v>39.057400000000001</v>
    <v>38.921799999999998</v>
    <v>38.706400000000002</v>
    <v>38.298499999999997</v>
    <v>37.957000000000001</v>
    <v>38.401400000000002</v>
    <v>38.415500000000002</v>
    <v>38.529200000000003</v>
    <v>38.406799999999997</v>
    <v>38.648200000000003</v>
    <v>38.474800000000002</v>
    <v>38.799799999999998</v>
    <v>39.2333</v>
    <v>39.166699999999999</v>
    <v>39.180199999999999</v>
    <v>39.229999999999997</v>
    <v>39.205199999999998</v>
    <v>39.280299999999997</v>
    <v>39.154299999999999</v>
    <v>39.745399999999997</v>
    <v>39.506999999999998</v>
    <v>39.5822</v>
    <v>39.671599999999998</v>
    <v>39.734499999999997</v>
    <v>39.652799999999999</v>
    <v>39.4694</v>
    <v>39.413600000000002</v>
    <v>39.713299999999997</v>
    <v>39.61</v>
    <v>39.572000000000003</v>
    <v>39.694899999999997</v>
    <v>39.5124</v>
    <v>39.951900000000002</v>
    <v>39.695</v>
    <v>39.629100000000001</v>
    <v>39.612499999999997</v>
    <v>39.754300000000001</v>
    <v>39.783499999999997</v>
    <v>39.891599999999997</v>
    <v>39.930300000000003</v>
    <v>39.844000000000001</v>
    <v>39.7318</v>
    <v>39.448300000000003</v>
    <v>39.660200000000003</v>
    <v>39.713700000000003</v>
    <v>39.94</v>
    <v>40.094999999999999</v>
    <v>40.121400000000001</v>
    <v>40.247999999999998</v>
    <v>40.125100000000003</v>
    <v>40.0349</v>
    <v>40.020000000000003</v>
    <v>39.854500000000002</v>
    <v>39.125999999999998</v>
    <v>39.527799999999999</v>
    <v>39.7273</v>
    <v>39.710500000000003</v>
    <v>39.492800000000003</v>
    <v>39.803100000000001</v>
    <v>40.225700000000003</v>
    <v>40.51</v>
    <v>40.298400000000001</v>
    <v>40.362499999999997</v>
    <v>40.620699999999999</v>
    <v>40.864400000000003</v>
    <v>40.966900000000003</v>
    <v>40.731699999999996</v>
    <v>40.659999999999997</v>
    <v>40.8322</v>
    <v>40.5456</v>
    <v>40.297199999999997</v>
    <v>40.524000000000001</v>
    <v>40.225900000000003</v>
    <v>40.291499999999999</v>
    <v>40.609200000000001</v>
    <v>41.1556</v>
    <v>41.376600000000003</v>
    <v>40.917099999999998</v>
    <v>40.728299999999997</v>
    <v>40.323</v>
    <v>40.0779</v>
    <v>40.037500000000001</v>
    <v>39.72</v>
    <v>40.204599999999999</v>
    <v>40.284999999999997</v>
    <v>40.828200000000002</v>
    <v>41.054099999999998</v>
    <v>41.235999999999997</v>
    <v>40.999299999999998</v>
    <v>41.13</v>
    <v>41.47</v>
    <v>41.356699999999996</v>
    <v>41.322699999999998</v>
    <v>41.097200000000001</v>
    <v>40.99</v>
    <v>41.39</v>
    <v>41.7455</v>
    <v>41.62</v>
    <v>41.63</v>
    <v>41.36</v>
    <v>41.23</v>
    <v>41.2089</v>
    <v>41.203200000000002</v>
  </a>
  <a r="1" c="22">
    <v>40.037500000000001</v>
    <v>39.72</v>
    <v>40.204599999999999</v>
    <v>40.284999999999997</v>
    <v>40.828200000000002</v>
    <v>41.054099999999998</v>
    <v>41.235999999999997</v>
    <v>40.999299999999998</v>
    <v>41.13</v>
    <v>41.47</v>
    <v>41.356699999999996</v>
    <v>41.322699999999998</v>
    <v>41.097200000000001</v>
    <v>40.99</v>
    <v>41.39</v>
    <v>41.7455</v>
    <v>41.62</v>
    <v>41.63</v>
    <v>41.36</v>
    <v>41.23</v>
    <v>41.2089</v>
    <v>41.203200000000002</v>
  </a>
  <a r="1" c="22">
    <v>262.81</v>
    <v>255.62</v>
    <v>257.45</v>
    <v>263.45999999999998</v>
    <v>267.67</v>
    <v>266.82</v>
    <v>270.16000000000003</v>
    <v>269.39999999999998</v>
    <v>271.64</v>
    <v>271.56</v>
    <v>271.52999999999997</v>
    <v>273</v>
    <v>272.5</v>
    <v>273.38</v>
    <v>273.42</v>
    <v>273.32</v>
    <v>269.61</v>
    <v>267.35000000000002</v>
    <v>267.94</v>
    <v>264.86</v>
    <v>267.97000000000003</v>
    <v>270.37</v>
  </a>
  <a r="1" c="254">
    <v>257.24</v>
    <v>255.98</v>
    <v>245.53</v>
    <v>246.45</v>
    <v>249.48</v>
    <v>249.68</v>
    <v>252.18</v>
    <v>251.37</v>
    <v>248.15</v>
    <v>245.43</v>
    <v>243.17</v>
    <v>243.68</v>
    <v>246.32</v>
    <v>249.77</v>
    <v>245.82</v>
    <v>246.93</v>
    <v>243.07</v>
    <v>242.03</v>
    <v>242.33</v>
    <v>246.79</v>
    <v>246.76</v>
    <v>249.54</v>
    <v>251.67</v>
    <v>256.26</v>
    <v>258.49</v>
    <v>258.5</v>
    <v>255.25</v>
    <v>260.82</v>
    <v>260.35000000000002</v>
    <v>261.47000000000003</v>
    <v>262.88</v>
    <v>262.27</v>
    <v>264.17</v>
    <v>264.2</v>
    <v>263.62</v>
    <v>262.20999999999998</v>
    <v>264.68</v>
    <v>262.42</v>
    <v>263.2</v>
    <v>265.41000000000003</v>
    <v>266.98</v>
    <v>266.08</v>
    <v>262.97000000000003</v>
    <v>258.83</v>
    <v>251.57</v>
    <v>248.7</v>
    <v>245.64</v>
    <v>248.27</v>
    <v>242.74</v>
    <v>246.33</v>
    <v>241.47</v>
    <v>240.4</v>
    <v>244.41</v>
    <v>234.24</v>
    <v>233.76</v>
    <v>224.09</v>
    <v>225.2</v>
    <v>228.17</v>
    <v>221.38</v>
    <v>227.56</v>
    <v>229.93</v>
    <v>225.82</v>
    <v>229.55</v>
    <v>228.73</v>
    <v>230.38</v>
    <v>236.42</v>
    <v>238.54</v>
    <v>233.22</v>
    <v>231.08</v>
    <v>223.37</v>
    <v>222.15</v>
    <v>224.04</v>
    <v>226.51</v>
    <v>212.14</v>
    <v>200.64</v>
    <v>202.22</v>
    <v>200.29</v>
    <v>221.95</v>
    <v>213.31</v>
    <v>215.57</v>
    <v>215.73</v>
    <v>216.59</v>
    <v>212.67</v>
    <v>211.93</v>
    <v>206.33</v>
    <v>212.73</v>
    <v>218.54</v>
    <v>226.37</v>
    <v>229.19</v>
    <v>228.95</v>
    <v>231.13</v>
    <v>231.22</v>
    <v>234.76</v>
    <v>238.84</v>
    <v>238.34</v>
    <v>236.46</v>
    <v>235.8</v>
    <v>238.7</v>
    <v>237.17</v>
    <v>246.67</v>
    <v>250.68</v>
    <v>252.26</v>
    <v>251.55</v>
    <v>253.31</v>
    <v>253.22</v>
    <v>251.63</v>
    <v>249.33</v>
    <v>251.27</v>
    <v>247.55</v>
    <v>251.74</v>
    <v>250.93</v>
    <v>249.57</v>
    <v>251.2</v>
    <v>253.09</v>
    <v>254.25</v>
    <v>256.8</v>
    <v>257.62</v>
    <v>260.81</v>
    <v>260.42</v>
    <v>259.76</v>
    <v>258.8</v>
    <v>258.07</v>
    <v>254.1</v>
    <v>258.36</v>
    <v>256.48</v>
    <v>255.74</v>
    <v>253.63</v>
    <v>256.58999999999997</v>
    <v>261.07</v>
    <v>260.33999999999997</v>
    <v>264.37</v>
    <v>267.25</v>
    <v>269.33</v>
    <v>265.87</v>
    <v>265.89</v>
    <v>269.02</v>
    <v>269.25</v>
    <v>267.17</v>
    <v>269.51</v>
    <v>266</v>
    <v>264.06</v>
    <v>266.77999999999997</v>
    <v>265.42</v>
    <v>265.64999999999998</v>
    <v>268.05</v>
    <v>268.54000000000002</v>
    <v>270.27999999999997</v>
    <v>269.05</v>
    <v>270.05</v>
    <v>270.73</v>
    <v>272.41000000000003</v>
    <v>272.75</v>
    <v>270.11</v>
    <v>270.79000000000002</v>
    <v>273.83</v>
    <v>264.73</v>
    <v>269.64999999999998</v>
    <v>266.88</v>
    <v>274.07</v>
    <v>271.67</v>
    <v>270.77999999999997</v>
    <v>268.56</v>
    <v>271.54000000000002</v>
    <v>271.75</v>
    <v>271.16000000000003</v>
    <v>272.14999999999998</v>
    <v>273.36</v>
    <v>269.7</v>
    <v>268.5</v>
    <v>267.86</v>
    <v>272.67</v>
    <v>272.7</v>
    <v>272.97000000000003</v>
    <v>274.02</v>
    <v>278.38</v>
    <v>276.52999999999997</v>
    <v>273.83999999999997</v>
    <v>277.64</v>
    <v>280.31</v>
    <v>280.66000000000003</v>
    <v>281.95999999999998</v>
    <v>284.99</v>
    <v>283.01</v>
    <v>283.43</v>
    <v>279.7</v>
    <v>283.95999999999998</v>
    <v>283.04000000000002</v>
    <v>284.36</v>
    <v>285.94</v>
    <v>287.33999999999997</v>
    <v>286.61</v>
    <v>283.3</v>
    <v>282.17</v>
    <v>280.63</v>
    <v>281.44</v>
    <v>283.62</v>
    <v>279.83999999999997</v>
    <v>278.45999999999998</v>
    <v>279.91000000000003</v>
    <v>277.91000000000003</v>
    <v>281.19</v>
    <v>279.07</v>
    <v>283.35000000000002</v>
    <v>284.3</v>
    <v>276</v>
    <v>279.79000000000002</v>
    <v>278.64</v>
    <v>279.51</v>
    <v>276.87</v>
    <v>277.66000000000003</v>
    <v>282.55</v>
    <v>284.43</v>
    <v>278.27999999999997</v>
    <v>280.23</v>
    <v>281.95999999999998</v>
    <v>285.64</v>
    <v>285.7</v>
    <v>285.66000000000003</v>
    <v>278.54000000000002</v>
    <v>283.94</v>
    <v>284</v>
    <v>277.02</v>
    <v>276.44</v>
    <v>270.95</v>
    <v>272.47000000000003</v>
    <v>277.14999999999998</v>
    <v>277.39999999999998</v>
    <v>276.05</v>
    <v>270.52999999999997</v>
    <v>269.33</v>
    <v>266.23</v>
    <v>264.3</v>
    <v>262.81</v>
    <v>255.62</v>
    <v>257.45</v>
    <v>263.45999999999998</v>
    <v>267.67</v>
    <v>266.82</v>
    <v>270.16000000000003</v>
    <v>269.39999999999998</v>
    <v>271.64</v>
    <v>271.56</v>
    <v>271.52999999999997</v>
    <v>273</v>
    <v>272.5</v>
    <v>273.38</v>
    <v>273.42</v>
    <v>273.32</v>
    <v>269.61</v>
    <v>267.35000000000002</v>
    <v>267.94</v>
    <v>264.86</v>
    <v>267.97000000000003</v>
    <v>270.37</v>
  </a>
  <a r="1" c="254">
    <v>35.659999999999997</v>
    <v>35.39</v>
    <v>33.479999999999997</v>
    <v>33.26</v>
    <v>33.299999999999997</v>
    <v>33.700000000000003</v>
    <v>33.85</v>
    <v>34.11</v>
    <v>33.159999999999997</v>
    <v>31.61</v>
    <v>31.77</v>
    <v>33.119999999999997</v>
    <v>32.770000000000003</v>
    <v>32.58</v>
    <v>32.909999999999997</v>
    <v>33.22</v>
    <v>32.81</v>
    <v>31.91</v>
    <v>32.840000000000003</v>
    <v>33.159999999999997</v>
    <v>33.01</v>
    <v>33.01</v>
    <v>33.520000000000003</v>
    <v>33.22</v>
    <v>33.090000000000003</v>
    <v>33.79</v>
    <v>32.78</v>
    <v>33.15</v>
    <v>33.68</v>
    <v>35.270000000000003</v>
    <v>34.590000000000003</v>
    <v>35</v>
    <v>35.700000000000003</v>
    <v>36.51</v>
    <v>36.450000000000003</v>
    <v>36.06</v>
    <v>36.69</v>
    <v>36.18</v>
    <v>37.159999999999997</v>
    <v>37.32</v>
    <v>36.32</v>
    <v>36.450000000000003</v>
    <v>36.54</v>
    <v>37.090000000000003</v>
    <v>35.479999999999997</v>
    <v>35.630000000000003</v>
    <v>35.130000000000003</v>
    <v>35.909999999999997</v>
    <v>34.57</v>
    <v>34.729999999999997</v>
    <v>34.53</v>
    <v>34.9</v>
    <v>36.43</v>
    <v>36.14</v>
    <v>36.409999999999997</v>
    <v>35.49</v>
    <v>37.119999999999997</v>
    <v>38.75</v>
    <v>39.22</v>
    <v>39.619999999999997</v>
    <v>40.68</v>
    <v>40.51</v>
    <v>40.31</v>
    <v>40.119999999999997</v>
    <v>39.51</v>
    <v>39.56</v>
    <v>39.99</v>
    <v>39.53</v>
    <v>40.44</v>
    <v>39.49</v>
    <v>39.450000000000003</v>
    <v>39.119999999999997</v>
    <v>39.270000000000003</v>
    <v>38.6</v>
    <v>34.729999999999997</v>
    <v>34.5</v>
    <v>33.97</v>
    <v>36.979999999999997</v>
    <v>38.14</v>
    <v>40.22</v>
    <v>41.01</v>
    <v>41.27</v>
    <v>42.17</v>
    <v>41.55</v>
    <v>41.72</v>
    <v>40.71</v>
    <v>40.24</v>
    <v>40.86</v>
    <v>40.31</v>
    <v>40.67</v>
    <v>40.19</v>
    <v>40.75</v>
    <v>39.35</v>
    <v>39</v>
    <v>39.75</v>
    <v>41.51</v>
    <v>40.729999999999997</v>
    <v>40.69</v>
    <v>42.57</v>
    <v>39.78</v>
    <v>39.909999999999997</v>
    <v>38.96</v>
    <v>39.58</v>
    <v>39.43</v>
    <v>40.03</v>
    <v>41.43</v>
    <v>42.32</v>
    <v>41.92</v>
    <v>42.66</v>
    <v>42.62</v>
    <v>42.97</v>
    <v>42.94</v>
    <v>43.15</v>
    <v>45.98</v>
    <v>46.32</v>
    <v>46.93</v>
    <v>48.85</v>
    <v>48.36</v>
    <v>48.86</v>
    <v>47.86</v>
    <v>47.95</v>
    <v>48.48</v>
    <v>48.81</v>
    <v>48.69</v>
    <v>49.02</v>
    <v>48.51</v>
    <v>47.57</v>
    <v>48.09</v>
    <v>47.2</v>
    <v>47.44</v>
    <v>48.51</v>
    <v>46.92</v>
    <v>48.14</v>
    <v>48.27</v>
    <v>48.71</v>
    <v>49.09</v>
    <v>49.9</v>
    <v>47.66</v>
    <v>48.26</v>
    <v>49.11</v>
    <v>50.84</v>
    <v>50.41</v>
    <v>49.69</v>
    <v>49.16</v>
    <v>48.79</v>
    <v>48.19</v>
    <v>50.04</v>
    <v>51.33</v>
    <v>51</v>
    <v>50.44</v>
    <v>50.05</v>
    <v>49.01</v>
    <v>49.26</v>
    <v>47.94</v>
    <v>47.34</v>
    <v>47.58</v>
    <v>49.33</v>
    <v>50.85</v>
    <v>51.79</v>
    <v>53.83</v>
    <v>54.43</v>
    <v>53.83</v>
    <v>54.57</v>
    <v>54.26</v>
    <v>53.8</v>
    <v>54.01</v>
    <v>53.86</v>
    <v>52</v>
    <v>53.02</v>
    <v>53.92</v>
    <v>55.33</v>
    <v>54.98</v>
    <v>55.71</v>
    <v>55.95</v>
    <v>56.35</v>
    <v>58.1</v>
    <v>59.79</v>
    <v>60.94</v>
    <v>60.27</v>
    <v>61.49</v>
    <v>62.89</v>
    <v>62.16</v>
    <v>63.76</v>
    <v>65.400000000000006</v>
    <v>65.849999999999994</v>
    <v>67.38</v>
    <v>65.34</v>
    <v>64.37</v>
    <v>64.099999999999994</v>
    <v>66.52</v>
    <v>68.87</v>
    <v>68.58</v>
    <v>67.209999999999994</v>
    <v>68.25</v>
    <v>70</v>
    <v>71.010000000000005</v>
    <v>71.63</v>
    <v>71.89</v>
    <v>71.25</v>
    <v>70.95</v>
    <v>72.31</v>
    <v>71.08</v>
    <v>73.95</v>
    <v>70.89</v>
    <v>70.8</v>
    <v>75.19</v>
    <v>75.14</v>
    <v>78.099999999999994</v>
    <v>79.849999999999994</v>
    <v>73.72</v>
    <v>75.400000000000006</v>
    <v>67.209999999999994</v>
    <v>67.959999999999994</v>
    <v>68.099999999999994</v>
    <v>67.63</v>
    <v>65.22</v>
    <v>66.33</v>
    <v>66.47</v>
    <v>67.510000000000005</v>
    <v>66.56</v>
    <v>65.16</v>
    <v>62.2</v>
    <v>62.48</v>
    <v>63.11</v>
    <v>64.819999999999993</v>
    <v>67.72</v>
    <v>67.849999999999994</v>
    <v>70.430000000000007</v>
    <v>69.28</v>
    <v>68.3</v>
    <v>66.69</v>
    <v>67.239999999999995</v>
    <v>68.42</v>
    <v>64.73</v>
    <v>65</v>
    <v>68.650000000000006</v>
    <v>69.36</v>
    <v>73.400000000000006</v>
    <v>77.66</v>
    <v>78.069999999999993</v>
    <v>77.11</v>
    <v>76.459999999999994</v>
    <v>76.2</v>
    <v>76.069999999999993</v>
    <v>74.739999999999995</v>
    <v>78.47</v>
    <v>79.760000000000005</v>
    <v>83.37</v>
    <v>82.48</v>
    <v>82.24</v>
    <v>81.790000000000006</v>
    <v>82.6</v>
    <v>81.96</v>
    <v>84.73</v>
  </a>
  <a r="1" c="22">
    <v>68.42</v>
    <v>64.73</v>
    <v>65</v>
    <v>68.650000000000006</v>
    <v>69.36</v>
    <v>73.400000000000006</v>
    <v>77.66</v>
    <v>78.069999999999993</v>
    <v>77.11</v>
    <v>76.459999999999994</v>
    <v>76.2</v>
    <v>76.069999999999993</v>
    <v>74.739999999999995</v>
    <v>78.47</v>
    <v>79.760000000000005</v>
    <v>83.37</v>
    <v>82.48</v>
    <v>82.24</v>
    <v>81.790000000000006</v>
    <v>82.6</v>
    <v>81.96</v>
    <v>84.73</v>
  </a>
  <a r="1" c="22">
    <v>180.93</v>
    <v>178.55</v>
    <v>181.95</v>
    <v>186.32</v>
    <v>189.53</v>
    <v>189.29</v>
    <v>191.21</v>
    <v>189.94</v>
    <v>190.65</v>
    <v>190.67</v>
    <v>192.4</v>
    <v>194.59</v>
    <v>193.01</v>
    <v>192.91</v>
    <v>193.69</v>
    <v>193.29</v>
    <v>191.78</v>
    <v>191.26</v>
    <v>192.06</v>
    <v>189.29</v>
    <v>191.31</v>
    <v>191.6</v>
  </a>
  <a r="1" c="254">
    <v>162.33000000000001</v>
    <v>161.25</v>
    <v>156.16999999999999</v>
    <v>155.72</v>
    <v>156.30000000000001</v>
    <v>157.75</v>
    <v>159.28</v>
    <v>159.08000000000001</v>
    <v>157.29</v>
    <v>155.87</v>
    <v>154.96</v>
    <v>156.04</v>
    <v>157.51</v>
    <v>160.22999999999999</v>
    <v>158.1</v>
    <v>157.26</v>
    <v>155.13999999999999</v>
    <v>154.6</v>
    <v>153.69999999999999</v>
    <v>157.21</v>
    <v>156.07</v>
    <v>157.65</v>
    <v>159.06</v>
    <v>159.94</v>
    <v>161.38</v>
    <v>162.94</v>
    <v>163.1</v>
    <v>164.31</v>
    <v>165.14</v>
    <v>165.97</v>
    <v>166.24</v>
    <v>166.5</v>
    <v>168.54</v>
    <v>165.99</v>
    <v>166.56</v>
    <v>166.04</v>
    <v>167.09</v>
    <v>167.31</v>
    <v>167.45</v>
    <v>168.36</v>
    <v>169.24</v>
    <v>167.59</v>
    <v>167.08</v>
    <v>165.97</v>
    <v>162.91</v>
    <v>162.53</v>
    <v>160.16999999999999</v>
    <v>160.27000000000001</v>
    <v>158.19999999999999</v>
    <v>160.13999999999999</v>
    <v>158.13</v>
    <v>156.88</v>
    <v>159.16</v>
    <v>156.12</v>
    <v>156.74</v>
    <v>151.58000000000001</v>
    <v>150.04</v>
    <v>151.38</v>
    <v>147.72999999999999</v>
    <v>150.58000000000001</v>
    <v>151.4</v>
    <v>148.91999999999999</v>
    <v>150.79</v>
    <v>150.47999999999999</v>
    <v>151.76</v>
    <v>154.56</v>
    <v>155.94999999999999</v>
    <v>153.91</v>
    <v>152.76</v>
    <v>148.1</v>
    <v>148.38999999999999</v>
    <v>149.38</v>
    <v>149.54</v>
    <v>142.19999999999999</v>
    <v>134.43</v>
    <v>135.04</v>
    <v>133.12</v>
    <v>145.75</v>
    <v>140.11000000000001</v>
    <v>141.38</v>
    <v>141.83000000000001</v>
    <v>141.58000000000001</v>
    <v>138.13999999999999</v>
    <v>138.78</v>
    <v>135.62</v>
    <v>138.97</v>
    <v>141.87</v>
    <v>144.82</v>
    <v>145.91</v>
    <v>146.43</v>
    <v>147.41</v>
    <v>146.69</v>
    <v>148.25</v>
    <v>151.25</v>
    <v>151.47</v>
    <v>150.91</v>
    <v>149.83000000000001</v>
    <v>150.56</v>
    <v>150.57</v>
    <v>155.06</v>
    <v>156.71</v>
    <v>158.30000000000001</v>
    <v>158.1</v>
    <v>159.03</v>
    <v>158.94</v>
    <v>158.28</v>
    <v>157.63</v>
    <v>157.74</v>
    <v>156.75</v>
    <v>159.72999999999999</v>
    <v>159.36000000000001</v>
    <v>158.68</v>
    <v>159.36000000000001</v>
    <v>160.33000000000001</v>
    <v>159.66</v>
    <v>161.35</v>
    <v>161.33000000000001</v>
    <v>163.96</v>
    <v>164.08</v>
    <v>166.14</v>
    <v>165.28</v>
    <v>164.04</v>
    <v>162.44</v>
    <v>165.47</v>
    <v>164.04</v>
    <v>163.91</v>
    <v>161.97999999999999</v>
    <v>163.69</v>
    <v>166.04</v>
    <v>165.87</v>
    <v>167.79</v>
    <v>169.95</v>
    <v>171.03</v>
    <v>169.7</v>
    <v>169.85</v>
    <v>170.84</v>
    <v>169.58</v>
    <v>169.17</v>
    <v>170.06</v>
    <v>169.84</v>
    <v>169</v>
    <v>170.58</v>
    <v>169.31</v>
    <v>169.65</v>
    <v>170.37</v>
    <v>170.38</v>
    <v>172.53</v>
    <v>172.64</v>
    <v>173.65</v>
    <v>173.86</v>
    <v>172.85</v>
    <v>172.48</v>
    <v>171</v>
    <v>171.51</v>
    <v>174.91</v>
    <v>171.49</v>
    <v>175.53</v>
    <v>174.09</v>
    <v>175.26</v>
    <v>173.97</v>
    <v>174.2</v>
    <v>174.6</v>
    <v>177.81</v>
    <v>178.68</v>
    <v>178.81</v>
    <v>179.34</v>
    <v>178.43</v>
    <v>176.72</v>
    <v>175.83</v>
    <v>175.47</v>
    <v>178.51</v>
    <v>179.14</v>
    <v>179.04</v>
    <v>179.22</v>
    <v>180.39</v>
    <v>180.19</v>
    <v>179.66</v>
    <v>183.39</v>
    <v>184.76</v>
    <v>185.8</v>
    <v>186</v>
    <v>187.58</v>
    <v>185.88</v>
    <v>187.56</v>
    <v>188.05</v>
    <v>191.14</v>
    <v>191.1</v>
    <v>191.36</v>
    <v>191.85</v>
    <v>192.17</v>
    <v>191.23</v>
    <v>190.39</v>
    <v>188.56</v>
    <v>187.55</v>
    <v>188.35</v>
    <v>188.6</v>
    <v>187.73</v>
    <v>185.67</v>
    <v>186.13</v>
    <v>185.4</v>
    <v>186.45</v>
    <v>184.96</v>
    <v>184.92</v>
    <v>184.59</v>
    <v>180.26</v>
    <v>183.14</v>
    <v>184.2</v>
    <v>186.18</v>
    <v>184.45</v>
    <v>185.15</v>
    <v>187.65</v>
    <v>187.2</v>
    <v>185.54</v>
    <v>185.37</v>
    <v>187.14</v>
    <v>190.54</v>
    <v>190.02</v>
    <v>190.8</v>
    <v>186.22</v>
    <v>186.65</v>
    <v>185.31</v>
    <v>182.8</v>
    <v>184.27</v>
    <v>182.72</v>
    <v>182.33</v>
    <v>185.42</v>
    <v>186.29</v>
    <v>184.62</v>
    <v>181.4</v>
    <v>180.29</v>
    <v>180.51</v>
    <v>180.96</v>
    <v>180.93</v>
    <v>178.55</v>
    <v>181.95</v>
    <v>186.32</v>
    <v>189.53</v>
    <v>189.29</v>
    <v>191.21</v>
    <v>189.94</v>
    <v>190.65</v>
    <v>190.67</v>
    <v>192.4</v>
    <v>194.59</v>
    <v>193.01</v>
    <v>192.91</v>
    <v>193.69</v>
    <v>193.29</v>
    <v>191.78</v>
    <v>191.26</v>
    <v>192.06</v>
    <v>189.29</v>
    <v>191.31</v>
    <v>191.6</v>
  </a>
  <a r="1" c="22">
    <v>111.19</v>
    <v>109.97</v>
    <v>111.9</v>
    <v>113.01</v>
    <v>114.3</v>
    <v>114.46</v>
    <v>115.39</v>
    <v>114.85</v>
    <v>115.23</v>
    <v>115.13</v>
    <v>115.79</v>
    <v>117.13</v>
    <v>116.26</v>
    <v>116.39</v>
    <v>117.07</v>
    <v>116.81</v>
    <v>116.55</v>
    <v>116.57</v>
    <v>116.65</v>
    <v>115.81</v>
    <v>116.47</v>
    <v>116.52</v>
  </a>
  <a r="1" c="254">
    <v>101.33</v>
    <v>100.57</v>
    <v>97.7</v>
    <v>97.43</v>
    <v>97.96</v>
    <v>98.24</v>
    <v>99.17</v>
    <v>99.04</v>
    <v>98.16</v>
    <v>97.13</v>
    <v>96.81</v>
    <v>97.28</v>
    <v>97.88</v>
    <v>98.94</v>
    <v>97.84</v>
    <v>97.26</v>
    <v>95.81</v>
    <v>95.85</v>
    <v>95.53</v>
    <v>97.1</v>
    <v>96.55</v>
    <v>97.39</v>
    <v>98.27</v>
    <v>99.25</v>
    <v>99.51</v>
    <v>100.41</v>
    <v>100.93</v>
    <v>101.42</v>
    <v>101.87</v>
    <v>101.97</v>
    <v>102.38</v>
    <v>102.6</v>
    <v>103.52</v>
    <v>102.52</v>
    <v>102.96</v>
    <v>102.74</v>
    <v>103.2</v>
    <v>103.37</v>
    <v>103.48</v>
    <v>104.67</v>
    <v>105.31</v>
    <v>104.82</v>
    <v>104.94</v>
    <v>104.45</v>
    <v>103.02</v>
    <v>103.22</v>
    <v>101.69</v>
    <v>101.51</v>
    <v>100.53</v>
    <v>102</v>
    <v>100.98</v>
    <v>100.18</v>
    <v>101.47</v>
    <v>99.65</v>
    <v>100.29</v>
    <v>97.79</v>
    <v>96.35</v>
    <v>96.83</v>
    <v>94.84</v>
    <v>96.58</v>
    <v>97.27</v>
    <v>95.91</v>
    <v>97.05</v>
    <v>96.84</v>
    <v>97.6</v>
    <v>98.69</v>
    <v>99.94</v>
    <v>99.09</v>
    <v>98.65</v>
    <v>95.74</v>
    <v>96.45</v>
    <v>96.51</v>
    <v>96.85</v>
    <v>92.53</v>
    <v>87.23</v>
    <v>87.35</v>
    <v>86.13</v>
    <v>93.74</v>
    <v>90.5</v>
    <v>91.27</v>
    <v>91.88</v>
    <v>92.11</v>
    <v>89.63</v>
    <v>90.21</v>
    <v>88.18</v>
    <v>90.48</v>
    <v>91.93</v>
    <v>93.77</v>
    <v>94.36</v>
    <v>94.72</v>
    <v>95.41</v>
    <v>95.44</v>
    <v>95.93</v>
    <v>97.42</v>
    <v>97.65</v>
    <v>97.63</v>
    <v>97.45</v>
    <v>97.68</v>
    <v>97.18</v>
    <v>99.2</v>
    <v>100.17</v>
    <v>100.69</v>
    <v>101.09</v>
    <v>101.78</v>
    <v>101.88</v>
    <v>101.63</v>
    <v>100.87</v>
    <v>100.65</v>
    <v>100.19</v>
    <v>101.82</v>
    <v>101.8</v>
    <v>100.98</v>
    <v>101.4</v>
    <v>101.9</v>
    <v>101.61</v>
    <v>102.26</v>
    <v>102.4</v>
    <v>103.71</v>
    <v>103.41</v>
    <v>104.72</v>
    <v>104.48</v>
    <v>103.63</v>
    <v>102.58</v>
    <v>104.34</v>
    <v>103.42</v>
    <v>103.47</v>
    <v>102.84</v>
    <v>103.89</v>
    <v>105.23</v>
    <v>105.21</v>
    <v>106.43</v>
    <v>107.68</v>
    <v>108.53</v>
    <v>107.76</v>
    <v>107.45</v>
    <v>108.04</v>
    <v>107</v>
    <v>106.78</v>
    <v>107.06</v>
    <v>106.7</v>
    <v>106.01</v>
    <v>107.05</v>
    <v>105.99</v>
    <v>106.31</v>
    <v>106.68</v>
    <v>106.19</v>
    <v>107.61</v>
    <v>107.86</v>
    <v>108.45</v>
    <v>108.63</v>
    <v>107.62</v>
    <v>107.04</v>
    <v>106.12</v>
    <v>106.45</v>
    <v>107.41</v>
    <v>106.12</v>
    <v>108.16</v>
    <v>107.32</v>
    <v>107.73</v>
    <v>107.27</v>
    <v>107.63</v>
    <v>108.18</v>
    <v>110.25</v>
    <v>111.11</v>
    <v>111.2</v>
    <v>111.48</v>
    <v>110.8</v>
    <v>110.18</v>
    <v>109.85</v>
    <v>109.73</v>
    <v>111.31</v>
    <v>111.49</v>
    <v>111</v>
    <v>111.19</v>
    <v>111.61</v>
    <v>111.39</v>
    <v>111.2</v>
    <v>113.06</v>
    <v>114.08</v>
    <v>114.69</v>
    <v>114.82</v>
    <v>115.47</v>
    <v>114.62</v>
    <v>116.38</v>
    <v>117.35</v>
    <v>119</v>
    <v>118.52</v>
    <v>118.83</v>
    <v>118.92</v>
    <v>119.41</v>
    <v>118.58</v>
    <v>118.41</v>
    <v>117.43</v>
    <v>117.03</v>
    <v>118.17</v>
    <v>118.55</v>
    <v>118.37</v>
    <v>116.71</v>
    <v>116.45</v>
    <v>116.39</v>
    <v>116.51</v>
    <v>116.06</v>
    <v>115.58</v>
    <v>114.92</v>
    <v>112.8</v>
    <v>113.84</v>
    <v>114.59</v>
    <v>115.4</v>
    <v>114.17</v>
    <v>114.94</v>
    <v>116.24</v>
    <v>116.65</v>
    <v>115.64</v>
    <v>115.25</v>
    <v>115.55</v>
    <v>117.16</v>
    <v>116.58</v>
    <v>116.29</v>
    <v>114.32</v>
    <v>114.81</v>
    <v>113.59</v>
    <v>112.81</v>
    <v>113.42</v>
    <v>112.4</v>
    <v>112.11</v>
    <v>113.28</v>
    <v>114.2</v>
    <v>113.54</v>
    <v>111.93</v>
    <v>111.33</v>
    <v>111.18</v>
    <v>111.81</v>
    <v>111.19</v>
    <v>109.97</v>
    <v>111.9</v>
    <v>113.01</v>
    <v>114.3</v>
    <v>114.46</v>
    <v>115.39</v>
    <v>114.85</v>
    <v>115.23</v>
    <v>115.13</v>
    <v>115.79</v>
    <v>117.13</v>
    <v>116.26</v>
    <v>116.39</v>
    <v>117.07</v>
    <v>116.81</v>
    <v>116.55</v>
    <v>116.57</v>
    <v>116.65</v>
    <v>115.81</v>
    <v>116.47</v>
    <v>116.52</v>
  </a>
  <a r="1" c="254">
    <v>166.6</v>
    <v>165.87</v>
    <v>160.52000000000001</v>
    <v>161.34</v>
    <v>163.59</v>
    <v>164.22</v>
    <v>165.03</v>
    <v>164.67</v>
    <v>164.23</v>
    <v>163.59</v>
    <v>163.41999999999999</v>
    <v>164.52</v>
    <v>166.3</v>
    <v>164.53</v>
    <v>164.05</v>
    <v>164.17</v>
    <v>162.97</v>
    <v>161.24</v>
    <v>163.46</v>
    <v>165.97</v>
    <v>169.89</v>
    <v>170.17</v>
    <v>172.59</v>
    <v>169.04</v>
    <v>169.61</v>
    <v>171.27</v>
    <v>167.65</v>
    <v>165.36</v>
    <v>165.69</v>
    <v>169.06</v>
    <v>168.06</v>
    <v>169.07</v>
    <v>167.61</v>
    <v>169.3</v>
    <v>169.27</v>
    <v>168.67</v>
    <v>170.48</v>
    <v>171.35</v>
    <v>171.17</v>
    <v>171.48</v>
    <v>170.69</v>
    <v>172.63</v>
    <v>173.27</v>
    <v>173.33</v>
    <v>173.28</v>
    <v>172.59</v>
    <v>171.95</v>
    <v>172.63</v>
    <v>169.07</v>
    <v>171.47</v>
    <v>171.72</v>
    <v>169.13</v>
    <v>167.84</v>
    <v>164.44</v>
    <v>167.32</v>
    <v>169.12</v>
    <v>167.74</v>
    <v>167.05</v>
    <v>167.58</v>
    <v>170.8</v>
    <v>171.62</v>
    <v>170.42</v>
    <v>170.94</v>
    <v>171.64</v>
    <v>170.39</v>
    <v>170.53</v>
    <v>166.74</v>
    <v>167.78</v>
    <v>167.76</v>
    <v>169.03</v>
    <v>170.81</v>
    <v>171.33</v>
    <v>171.95</v>
    <v>171.04</v>
    <v>161.69999999999999</v>
    <v>159.32</v>
    <v>158.36000000000001</v>
    <v>164.49</v>
    <v>163.38999999999999</v>
    <v>165.48</v>
    <v>168.34</v>
    <v>168.47</v>
    <v>166.94</v>
    <v>168.78</v>
    <v>164.82</v>
    <v>169.23</v>
    <v>169.83</v>
    <v>170</v>
    <v>169.35</v>
    <v>170.57</v>
    <v>171.75</v>
    <v>170.99</v>
    <v>171.52</v>
    <v>172.64</v>
    <v>172.23</v>
    <v>174.2</v>
    <v>174.79</v>
    <v>173.39</v>
    <v>173.52</v>
    <v>172.34</v>
    <v>172.03</v>
    <v>171.33</v>
    <v>175.11</v>
    <v>177.57</v>
    <v>178.39</v>
    <v>178.82</v>
    <v>175.48</v>
    <v>173.06</v>
    <v>175.1</v>
    <v>176.67</v>
    <v>174</v>
    <v>175.38</v>
    <v>176.96</v>
    <v>177.52</v>
    <v>177.89</v>
    <v>174.94</v>
    <v>174.67</v>
    <v>175.3</v>
    <v>174.43</v>
    <v>174.94</v>
    <v>175.21</v>
    <v>177.19</v>
    <v>176.05</v>
    <v>175.21</v>
    <v>173.94</v>
    <v>174.46</v>
    <v>174.74</v>
    <v>177</v>
    <v>177.69</v>
    <v>175.29</v>
    <v>175.45</v>
    <v>175.86</v>
    <v>176.51</v>
    <v>177</v>
    <v>175.62</v>
    <v>176.97</v>
    <v>177.17</v>
    <v>175.42</v>
    <v>177.01</v>
    <v>178.26</v>
    <v>178.04</v>
    <v>178.95</v>
    <v>177.11</v>
    <v>177.29</v>
    <v>177.92</v>
    <v>181.1</v>
    <v>181.59</v>
    <v>183.76</v>
    <v>182.52</v>
    <v>182.23</v>
    <v>182.66</v>
    <v>180.89</v>
    <v>182.78</v>
    <v>184.1</v>
    <v>185.24</v>
    <v>185.3</v>
    <v>188.61</v>
    <v>186.74</v>
    <v>185.22</v>
    <v>187.03</v>
    <v>186.28</v>
    <v>185.75</v>
    <v>186.61</v>
    <v>187.07</v>
    <v>185.79</v>
    <v>185.22</v>
    <v>184.33</v>
    <v>186.1</v>
    <v>186.24</v>
    <v>185.05</v>
    <v>186.15</v>
    <v>184.11</v>
    <v>184.48</v>
    <v>184.8</v>
    <v>183.52</v>
    <v>182.69</v>
    <v>182.07</v>
    <v>181.74</v>
    <v>181.48</v>
    <v>181.07</v>
    <v>179.16</v>
    <v>180.42</v>
    <v>183.2</v>
    <v>184.29</v>
    <v>185.17</v>
    <v>185.75</v>
    <v>182.5</v>
    <v>183.08</v>
    <v>183.36</v>
    <v>184.91</v>
    <v>186.5</v>
    <v>187.51</v>
    <v>187.4</v>
    <v>185.61</v>
    <v>188.25</v>
    <v>188.91</v>
    <v>189.41</v>
    <v>190.89</v>
    <v>190.8</v>
    <v>192.83</v>
    <v>194.75</v>
    <v>195.5</v>
    <v>196.94</v>
    <v>196.45</v>
    <v>195.5</v>
    <v>197.28</v>
    <v>198.99</v>
    <v>201.45</v>
    <v>199.33</v>
    <v>198.69</v>
    <v>198.78</v>
    <v>196.44</v>
    <v>195.67</v>
    <v>195.65</v>
    <v>198.11</v>
    <v>198.63</v>
    <v>195.43</v>
    <v>195.37</v>
    <v>194.31</v>
    <v>193.06</v>
    <v>193.29</v>
    <v>192.46</v>
    <v>192.73</v>
    <v>191.85</v>
    <v>194.47</v>
    <v>194.39</v>
    <v>194.43</v>
    <v>194.88</v>
    <v>192.27</v>
    <v>192.35</v>
    <v>193.82</v>
    <v>193.08</v>
    <v>191.76</v>
    <v>190.7</v>
    <v>190.96</v>
    <v>193.19</v>
    <v>192.57</v>
    <v>194.98</v>
    <v>196.45</v>
    <v>191.98</v>
    <v>190.5</v>
    <v>189.92</v>
    <v>189.73</v>
    <v>187.79</v>
    <v>185.63</v>
    <v>185.64</v>
    <v>185.46</v>
    <v>187.04</v>
    <v>186.01</v>
    <v>187.52</v>
    <v>186.9</v>
    <v>184.06</v>
    <v>185.98</v>
    <v>183.5</v>
  </a>
  <a r="1" c="22">
    <v>191.76</v>
    <v>190.7</v>
    <v>190.96</v>
    <v>193.19</v>
    <v>192.57</v>
    <v>194.98</v>
    <v>196.45</v>
    <v>191.98</v>
    <v>190.5</v>
    <v>189.92</v>
    <v>189.73</v>
    <v>187.79</v>
    <v>185.63</v>
    <v>185.64</v>
    <v>185.46</v>
    <v>187.04</v>
    <v>186.01</v>
    <v>187.52</v>
    <v>186.9</v>
    <v>184.06</v>
    <v>185.98</v>
    <v>183.5</v>
  </a>
  <a r="1" c="22">
    <v>126.63</v>
    <v>125.06</v>
    <v>125.79</v>
    <v>125.67</v>
    <v>125.06</v>
    <v>125.97</v>
    <v>127.67</v>
    <v>128.77000000000001</v>
    <v>127.21</v>
    <v>129.85</v>
    <v>130.41</v>
    <v>129.79</v>
    <v>128.35</v>
    <v>129.16</v>
    <v>130.26</v>
    <v>129.72</v>
    <v>128.30000000000001</v>
    <v>127.27</v>
    <v>123.43</v>
    <v>124.88</v>
    <v>123.11</v>
    <v>123.39</v>
  </a>
  <a r="1" c="254">
    <v>123.1</v>
    <v>122.1</v>
    <v>117.74</v>
    <v>116.67</v>
    <v>117.74</v>
    <v>118.46</v>
    <v>119.37</v>
    <v>119.25</v>
    <v>119.27</v>
    <v>119.65</v>
    <v>121.31</v>
    <v>122.78</v>
    <v>123.83</v>
    <v>123.4</v>
    <v>124.55</v>
    <v>124.55</v>
    <v>125.02</v>
    <v>127.69</v>
    <v>129.16</v>
    <v>130.99</v>
    <v>131.85</v>
    <v>132.76</v>
    <v>131.93</v>
    <v>129.56</v>
    <v>130.04</v>
    <v>128.86000000000001</v>
    <v>127.12</v>
    <v>126.03</v>
    <v>126.28</v>
    <v>126.83</v>
    <v>123.63</v>
    <v>124.09</v>
    <v>126.75</v>
    <v>126.94</v>
    <v>124.54</v>
    <v>124.46</v>
    <v>127.3</v>
    <v>128.15</v>
    <v>124.98</v>
    <v>125.79</v>
    <v>126.31</v>
    <v>127.9</v>
    <v>128.72999999999999</v>
    <v>129.85</v>
    <v>127</v>
    <v>126.91</v>
    <v>124.93</v>
    <v>124.46</v>
    <v>124.66</v>
    <v>126.6</v>
    <v>121.82</v>
    <v>120.85</v>
    <v>119.14</v>
    <v>119.3</v>
    <v>121.24</v>
    <v>121.81</v>
    <v>121.12</v>
    <v>121.73</v>
    <v>120.86</v>
    <v>124.38</v>
    <v>126.5</v>
    <v>126.83</v>
    <v>128.97999999999999</v>
    <v>129.37</v>
    <v>128.38999999999999</v>
    <v>129.97999999999999</v>
    <v>129.46</v>
    <v>130.25</v>
    <v>129.02000000000001</v>
    <v>128.4</v>
    <v>129.71</v>
    <v>130.35</v>
    <v>130.56</v>
    <v>120.29</v>
    <v>109.38</v>
    <v>108.52</v>
    <v>105.87</v>
    <v>114.2</v>
    <v>106.71</v>
    <v>109.54</v>
    <v>109.97</v>
    <v>109.82</v>
    <v>110.79</v>
    <v>113.43</v>
    <v>110.34</v>
    <v>113.14</v>
    <v>112.87</v>
    <v>114.65</v>
    <v>114.63</v>
    <v>115.44</v>
    <v>114.99</v>
    <v>111.92</v>
    <v>112.65</v>
    <v>114.4</v>
    <v>112.24</v>
    <v>112.37</v>
    <v>112.56</v>
    <v>114.18</v>
    <v>115.31</v>
    <v>118.17</v>
    <v>119.94</v>
    <v>119.24</v>
    <v>119.59</v>
    <v>119.32</v>
    <v>117.85</v>
    <v>116.78</v>
    <v>114.63</v>
    <v>114.19</v>
    <v>114.62</v>
    <v>115.74</v>
    <v>114.37</v>
    <v>115.09</v>
    <v>114.21</v>
    <v>115.62</v>
    <v>117.22</v>
    <v>115.04</v>
    <v>114.92</v>
    <v>117.13</v>
    <v>117.34</v>
    <v>119.27</v>
    <v>121.12</v>
    <v>121.58</v>
    <v>123.76</v>
    <v>123.47</v>
    <v>124.63</v>
    <v>123.88</v>
    <v>124.93</v>
    <v>121.64</v>
    <v>120.31</v>
    <v>119.64</v>
    <v>120.38</v>
    <v>119.79</v>
    <v>119.12</v>
    <v>119.94</v>
    <v>121.98</v>
    <v>122.22</v>
    <v>120.96</v>
    <v>124.11</v>
    <v>123.41</v>
    <v>124.42</v>
    <v>125.09</v>
    <v>123.8</v>
    <v>121.91</v>
    <v>120.76</v>
    <v>121.63</v>
    <v>120.89</v>
    <v>119.25</v>
    <v>119.96</v>
    <v>121.92</v>
    <v>122.83</v>
    <v>122.23</v>
    <v>123.75</v>
    <v>124.87</v>
    <v>123.16</v>
    <v>122.45</v>
    <v>120.13</v>
    <v>119.94</v>
    <v>120.24</v>
    <v>119.19</v>
    <v>118.67</v>
    <v>119.28</v>
    <v>118.37</v>
    <v>119.09</v>
    <v>120.36</v>
    <v>120.23</v>
    <v>120.07</v>
    <v>119.45</v>
    <v>119.29</v>
    <v>120.35</v>
    <v>121.23</v>
    <v>123.78</v>
    <v>124.17</v>
    <v>123.96</v>
    <v>125.35</v>
    <v>126.31</v>
    <v>126.89</v>
    <v>127.17</v>
    <v>124.48</v>
    <v>125.36</v>
    <v>123.02</v>
    <v>122.71</v>
    <v>123.32</v>
    <v>125.48</v>
    <v>125.46</v>
    <v>124.7</v>
    <v>124.33</v>
    <v>126.49</v>
    <v>126.7</v>
    <v>126.38</v>
    <v>124.63</v>
    <v>124.64</v>
    <v>126.89</v>
    <v>127.44</v>
    <v>128.51</v>
    <v>129.65</v>
    <v>127.2</v>
    <v>125.86</v>
    <v>126.05</v>
    <v>124.72</v>
    <v>125.57</v>
    <v>126.19</v>
    <v>126.42</v>
    <v>125.92</v>
    <v>124.07</v>
    <v>120.37</v>
    <v>122.33</v>
    <v>122.15</v>
    <v>122.24</v>
    <v>120.61</v>
    <v>121.36</v>
    <v>122.71</v>
    <v>122.31</v>
    <v>123.77</v>
    <v>125.73</v>
    <v>124.6</v>
    <v>124.83</v>
    <v>123.65</v>
    <v>124.63</v>
    <v>123.86</v>
    <v>124.54</v>
    <v>124.62</v>
    <v>123.17</v>
    <v>123.34</v>
    <v>124.25</v>
    <v>126.16</v>
    <v>127.37</v>
    <v>129</v>
    <v>127.19</v>
    <v>127.28</v>
    <v>129.34</v>
    <v>127.05</v>
    <v>128.15</v>
    <v>126.63</v>
    <v>125.06</v>
    <v>125.79</v>
    <v>125.67</v>
    <v>125.06</v>
    <v>125.97</v>
    <v>127.67</v>
    <v>128.77000000000001</v>
    <v>127.21</v>
    <v>129.85</v>
    <v>130.41</v>
    <v>129.79</v>
    <v>128.35</v>
    <v>129.16</v>
    <v>130.26</v>
    <v>129.72</v>
    <v>128.30000000000001</v>
    <v>127.27</v>
    <v>123.43</v>
    <v>124.88</v>
    <v>123.11</v>
    <v>123.39</v>
  </a>
  <a r="1" c="254">
    <v>94.299300000000002</v>
    <v>92.58</v>
    <v>90.23</v>
    <v>89.607900000000001</v>
    <v>90.63</v>
    <v>90.540400000000005</v>
    <v>90.815399999999997</v>
    <v>91.495699999999999</v>
    <v>90.872100000000003</v>
    <v>90.137600000000006</v>
    <v>90.181899999999999</v>
    <v>90.568200000000004</v>
    <v>92.004599999999996</v>
    <v>92.327100000000002</v>
    <v>93.569800000000001</v>
    <v>94.362200000000001</v>
    <v>92.9726</v>
    <v>95</v>
    <v>94.706599999999995</v>
    <v>95.347800000000007</v>
    <v>95.757000000000005</v>
    <v>96.336200000000005</v>
    <v>98.930099999999996</v>
    <v>98.995900000000006</v>
    <v>100.49679999999999</v>
    <v>100.7184</v>
    <v>102.16</v>
    <v>102.29</v>
    <v>101.8805</v>
    <v>102.98</v>
    <v>102.10420000000001</v>
    <v>101.81189999999999</v>
    <v>102.1044</v>
    <v>102.477</v>
    <v>99.478499999999997</v>
    <v>98.749399999999994</v>
    <v>99.47</v>
    <v>99.466700000000003</v>
    <v>99.14</v>
    <v>101.34</v>
    <v>100.57</v>
    <v>101.47</v>
    <v>103</v>
    <v>102.02</v>
    <v>98.310299999999998</v>
    <v>98.776300000000006</v>
    <v>99.19</v>
    <v>98.163200000000003</v>
    <v>98.19</v>
    <v>97.661600000000007</v>
    <v>96.128399999999999</v>
    <v>96.441100000000006</v>
    <v>97.86</v>
    <v>96.611599999999996</v>
    <v>96.995800000000003</v>
    <v>95.085999999999999</v>
    <v>95.225300000000004</v>
    <v>94.548599999999993</v>
    <v>93.556700000000006</v>
    <v>95.31</v>
    <v>96.98</v>
    <v>97.1</v>
    <v>97.710999999999999</v>
    <v>96.9</v>
    <v>96.96</v>
    <v>98.734899999999996</v>
    <v>98.188500000000005</v>
    <v>98.02</v>
    <v>98.389700000000005</v>
    <v>97.394499999999994</v>
    <v>98.118600000000001</v>
    <v>97.764899999999997</v>
    <v>98.217500000000001</v>
    <v>97.320099999999996</v>
    <v>94.002200000000002</v>
    <v>92.906700000000001</v>
    <v>93.07</v>
    <v>97.61</v>
    <v>96.252499999999998</v>
    <v>96.810199999999995</v>
    <v>97.5608</v>
    <v>96.871700000000004</v>
    <v>95.936499999999995</v>
    <v>94.2</v>
    <v>90.3</v>
    <v>92.230400000000003</v>
    <v>93.96</v>
    <v>94.950900000000004</v>
    <v>95.09</v>
    <v>95.55</v>
    <v>96.24</v>
    <v>95.880600000000001</v>
    <v>95.572199999999995</v>
    <v>96.956199999999995</v>
    <v>96.801900000000003</v>
    <v>97.614599999999996</v>
    <v>98.204700000000003</v>
    <v>97.88</v>
    <v>97.36</v>
    <v>98.91</v>
    <v>98.07</v>
    <v>97.37</v>
    <v>98.66</v>
    <v>100.76</v>
    <v>100.26819999999999</v>
    <v>100.59610000000001</v>
    <v>97.827100000000002</v>
    <v>95.851699999999994</v>
    <v>95.489699999999999</v>
    <v>96.995800000000003</v>
    <v>96.254999999999995</v>
    <v>96.37</v>
    <v>97.4</v>
    <v>97.15</v>
    <v>97.69</v>
    <v>97.539500000000004</v>
    <v>97.48</v>
    <v>98.52</v>
    <v>98.17</v>
    <v>97.770700000000005</v>
    <v>97.592299999999994</v>
    <v>97.51</v>
    <v>96.67</v>
    <v>97.08</v>
    <v>96.33</v>
    <v>97.066299999999998</v>
    <v>96.5</v>
    <v>96.07</v>
    <v>97.71</v>
    <v>96.99</v>
    <v>98.29</v>
    <v>98.97</v>
    <v>99.55</v>
    <v>99.71</v>
    <v>96.444999999999993</v>
    <v>96.828000000000003</v>
    <v>95.754999999999995</v>
    <v>96.841700000000003</v>
    <v>96.902799999999999</v>
    <v>96.233400000000003</v>
    <v>94.678600000000003</v>
    <v>95.099299999999999</v>
    <v>93.201999999999998</v>
    <v>93.209500000000006</v>
    <v>92.98</v>
    <v>90.958500000000001</v>
    <v>91.02</v>
    <v>91.61</v>
    <v>93.4148</v>
    <v>90.351100000000002</v>
    <v>90.769900000000007</v>
    <v>90.785399999999996</v>
    <v>90.31</v>
    <v>91.503100000000003</v>
    <v>89.82</v>
    <v>88</v>
    <v>89.46</v>
    <v>89.917699999999996</v>
    <v>88.888599999999997</v>
    <v>88.8142</v>
    <v>91</v>
    <v>91.132599999999996</v>
    <v>92.801199999999994</v>
    <v>95.125</v>
    <v>95.121799999999993</v>
    <v>95.774199999999993</v>
    <v>95.933700000000002</v>
    <v>96.328999999999994</v>
    <v>96.690299999999993</v>
    <v>97.159099999999995</v>
    <v>98.827200000000005</v>
    <v>97.487899999999996</v>
    <v>97.4268</v>
    <v>98.33</v>
    <v>98.376599999999996</v>
    <v>99.36</v>
    <v>99.491200000000006</v>
    <v>98.945300000000003</v>
    <v>99.319000000000003</v>
    <v>99.519000000000005</v>
    <v>99.801299999999998</v>
    <v>99.503500000000003</v>
    <v>97.799899999999994</v>
    <v>100.0381</v>
    <v>98.845799999999997</v>
    <v>97.953900000000004</v>
    <v>97.278999999999996</v>
    <v>97.91</v>
    <v>99.6892</v>
    <v>98.708299999999994</v>
    <v>100.139</v>
    <v>100.1418</v>
    <v>100.7088</v>
    <v>99.426199999999994</v>
    <v>101.13</v>
    <v>100.93429999999999</v>
    <v>101.56489999999999</v>
    <v>101.2529</v>
    <v>101.48690000000001</v>
    <v>102.0466</v>
    <v>101.96</v>
    <v>102.33799999999999</v>
    <v>102.91</v>
    <v>102</v>
    <v>99.825299999999999</v>
    <v>100.1541</v>
    <v>101.57</v>
    <v>102.4098</v>
    <v>102.07</v>
    <v>101.69329999999999</v>
    <v>103.9482</v>
    <v>104.1641</v>
    <v>104.0095</v>
    <v>104.01</v>
    <v>105.68</v>
    <v>105.62</v>
    <v>105.1142</v>
    <v>104.7668</v>
    <v>103.099</v>
    <v>102.67610000000001</v>
    <v>103.6662</v>
    <v>104.59</v>
    <v>104.8584</v>
    <v>103.08880000000001</v>
    <v>103.5737</v>
    <v>102.97</v>
    <v>103.845</v>
    <v>103.5438</v>
    <v>101.79</v>
    <v>101.39</v>
    <v>101.608</v>
    <v>101.5171</v>
    <v>101.708</v>
    <v>102.23</v>
    <v>106.23</v>
    <v>108.69</v>
    <v>111.2</v>
    <v>110.99460000000001</v>
    <v>110.9226</v>
    <v>109.5</v>
    <v>108.4194</v>
    <v>107.92</v>
    <v>108.2</v>
    <v>107.1585</v>
    <v>106.6793</v>
    <v>106.66</v>
    <v>107.5264</v>
    <v>109.23</v>
    <v>109.6</v>
    <v>109.39</v>
    <v>107.9653</v>
    <v>107.6</v>
    <v>107.729</v>
    <v>108.3133</v>
  </a>
  <a r="1" c="22">
    <v>101.708</v>
    <v>102.23</v>
    <v>106.23</v>
    <v>108.69</v>
    <v>111.2</v>
    <v>110.99460000000001</v>
    <v>110.9226</v>
    <v>109.5</v>
    <v>108.4194</v>
    <v>107.92</v>
    <v>108.2</v>
    <v>107.1585</v>
    <v>106.6793</v>
    <v>106.66</v>
    <v>107.5264</v>
    <v>109.23</v>
    <v>109.6</v>
    <v>109.39</v>
    <v>107.9653</v>
    <v>107.6</v>
    <v>107.729</v>
    <v>108.3133</v>
  </a>
  <a r="1" c="22">
    <v>21.3</v>
    <v>20.95</v>
    <v>20.95</v>
    <v>20.8</v>
    <v>20.89</v>
    <v>20.96</v>
    <v>20.84</v>
    <v>20.74</v>
    <v>20.91</v>
    <v>20.85</v>
    <v>20.87</v>
    <v>20.7</v>
    <v>20.68</v>
    <v>20.65</v>
    <v>20.51</v>
    <v>20.67</v>
    <v>20.53</v>
    <v>20.25</v>
    <v>19.93</v>
    <v>19.88</v>
    <v>19.940000000000001</v>
    <v>19.98</v>
  </a>
  <a r="1" c="254">
    <v>24</v>
    <v>23.75</v>
    <v>23.7</v>
    <v>23.35</v>
    <v>23.3</v>
    <v>23.65</v>
    <v>23.5</v>
    <v>23.7</v>
    <v>23.95</v>
    <v>24.05</v>
    <v>24.1</v>
    <v>23.9</v>
    <v>23.35</v>
    <v>23.85</v>
    <v>23.95</v>
    <v>23.6</v>
    <v>23.55</v>
    <v>24.1</v>
    <v>24.15</v>
    <v>24.1</v>
    <v>23.75</v>
    <v>23.75</v>
    <v>24.65</v>
    <v>24.5</v>
    <v>24.5</v>
    <v>24.2</v>
    <v>23.85</v>
    <v>24.2</v>
    <v>24.9</v>
    <v>24.95</v>
    <v>24.75</v>
    <v>25</v>
    <v>25.45</v>
    <v>25.25</v>
    <v>25.85</v>
    <v>25.6</v>
    <v>25.5</v>
    <v>25.5</v>
    <v>25.35</v>
    <v>25.5</v>
    <v>26.5</v>
    <v>26.65</v>
    <v>26.2</v>
    <v>26</v>
    <v>26.15</v>
    <v>25.75</v>
    <v>25.5</v>
    <v>25.15</v>
    <v>24.5</v>
    <v>24.15</v>
    <v>23.8</v>
    <v>23.5</v>
    <v>23.95</v>
    <v>24.15</v>
    <v>24.05</v>
    <v>24.5</v>
    <v>24.25</v>
    <v>24.25</v>
    <v>24.5</v>
    <v>24.45</v>
    <v>24.85</v>
    <v>24.75</v>
    <v>24.7</v>
    <v>24.3</v>
    <v>24.45</v>
    <v>24.05</v>
    <v>23.9</v>
    <v>23.45</v>
    <v>23.35</v>
    <v>23.1</v>
    <v>23.4</v>
    <v>23.6</v>
    <v>23.5</v>
    <v>23.45</v>
    <v>23.1</v>
    <v>23.3</v>
    <v>23.35</v>
    <v>23.65</v>
    <v>23.45</v>
    <v>24.15</v>
    <v>23.9</v>
    <v>23.65</v>
    <v>23.75</v>
    <v>23.8</v>
    <v>23.45</v>
    <v>23.35</v>
    <v>23.15</v>
    <v>23.1</v>
    <v>23.2</v>
    <v>22.65</v>
    <v>22.4</v>
    <v>22.6</v>
    <v>22.65</v>
    <v>23.05</v>
    <v>22.6</v>
    <v>22.7</v>
    <v>22.75</v>
    <v>22.55</v>
    <v>22.2</v>
    <v>21.95</v>
    <v>22.05</v>
    <v>22.25</v>
    <v>22.55</v>
    <v>22.35</v>
    <v>22.5</v>
    <v>23.05</v>
    <v>23.15</v>
    <v>23.2</v>
    <v>23.1</v>
    <v>22.55</v>
    <v>22.55</v>
    <v>22.8</v>
    <v>22.65</v>
    <v>22.85</v>
    <v>22.75</v>
    <v>23.05</v>
    <v>23.1</v>
    <v>23.4</v>
    <v>23.05</v>
    <v>22.7</v>
    <v>22.7</v>
    <v>22.45</v>
    <v>23.1</v>
    <v>22.8</v>
    <v>23.3</v>
    <v>24.2</v>
    <v>24</v>
    <v>23.55</v>
    <v>22.8</v>
    <v>22.55</v>
    <v>22.25</v>
    <v>22.4</v>
    <v>22.2</v>
    <v>22.65</v>
    <v>23.2</v>
    <v>23.15</v>
    <v>22.7</v>
    <v>22.65</v>
    <v>22.6</v>
    <v>22.9</v>
    <v>22.5</v>
    <v>22.45</v>
    <v>22.3</v>
    <v>22.35</v>
    <v>22.1</v>
    <v>22.6</v>
    <v>22.45</v>
    <v>22.6</v>
    <v>22.35</v>
    <v>22.4</v>
    <v>22.3</v>
    <v>22.25</v>
    <v>21.95</v>
    <v>21.8</v>
    <v>21.75</v>
    <v>21.5</v>
    <v>21.55</v>
    <v>21.25</v>
    <v>21.25</v>
    <v>21.65</v>
    <v>21.5</v>
    <v>21.45</v>
    <v>21.1</v>
    <v>21.2</v>
    <v>21</v>
    <v>21.1</v>
    <v>21.05</v>
    <v>20.95</v>
    <v>21.15</v>
    <v>21.15</v>
    <v>21.1</v>
    <v>21.2</v>
    <v>21.25</v>
    <v>21.1</v>
    <v>21.2</v>
    <v>21.4</v>
    <v>21.1</v>
    <v>20.85</v>
    <v>20.85</v>
    <v>20.85</v>
    <v>21</v>
    <v>20.8</v>
    <v>20.7</v>
    <v>20.9</v>
    <v>21</v>
    <v>21.1</v>
    <v>21.45</v>
    <v>21.25</v>
    <v>21.1</v>
    <v>21.05</v>
    <v>20.6</v>
    <v>21</v>
    <v>20.9</v>
    <v>21.15</v>
    <v>20.95</v>
    <v>20.95</v>
    <v>20.55</v>
    <v>20.65</v>
    <v>20.8</v>
    <v>20.75</v>
    <v>20.7</v>
    <v>20.5</v>
    <v>20.5</v>
    <v>20.45</v>
    <v>20.2</v>
    <v>20.149999999999999</v>
    <v>20.2</v>
    <v>20.149999999999999</v>
    <v>20.25</v>
    <v>20.25</v>
    <v>20.399999999999999</v>
    <v>20.149999999999999</v>
    <v>20.2</v>
    <v>20.55</v>
    <v>20.55</v>
    <v>21.05</v>
    <v>21.25</v>
    <v>21.25</v>
    <v>21</v>
    <v>21.2</v>
    <v>21.65</v>
    <v>21.75</v>
    <v>21.85</v>
    <v>21.3</v>
    <v>20.95</v>
    <v>21.3</v>
    <v>21.45</v>
    <v>21.45</v>
    <v>21.45</v>
    <v>21.05</v>
    <v>21.625</v>
    <v>21.65</v>
    <v>21.3</v>
    <v>20.95</v>
    <v>20.95</v>
    <v>20.8</v>
    <v>20.89</v>
    <v>20.96</v>
    <v>20.84</v>
    <v>20.74</v>
    <v>20.91</v>
    <v>20.85</v>
    <v>20.87</v>
    <v>20.7</v>
    <v>20.68</v>
    <v>20.65</v>
    <v>20.51</v>
    <v>20.67</v>
    <v>20.53</v>
    <v>20.25</v>
    <v>19.93</v>
    <v>19.88</v>
    <v>19.940000000000001</v>
    <v>19.98</v>
  </a>
  <a r="1" c="254">
    <v>113.28</v>
    <v>111.93</v>
    <v>106.99</v>
    <v>104.65</v>
    <v>105.99</v>
    <v>105.77</v>
    <v>106.33</v>
    <v>106.24</v>
    <v>104.96</v>
    <v>104.5</v>
    <v>104.5</v>
    <v>103.48</v>
    <v>104.77</v>
    <v>104.68</v>
    <v>103.26</v>
    <v>104.44</v>
    <v>102.38</v>
    <v>103.88</v>
    <v>106.94</v>
    <v>109.38</v>
    <v>110.21</v>
    <v>110.67</v>
    <v>111.54</v>
    <v>111.53</v>
    <v>111.91</v>
    <v>111.17</v>
    <v>112.45</v>
    <v>110.6</v>
    <v>108.73</v>
    <v>110.93</v>
    <v>108.4</v>
    <v>105.69</v>
    <v>106.51</v>
    <v>107.65</v>
    <v>107.55</v>
    <v>104.89</v>
    <v>106.11</v>
    <v>106.45</v>
    <v>104.89</v>
    <v>105.99</v>
    <v>106.7</v>
    <v>105.48</v>
    <v>104.11</v>
    <v>103.97</v>
    <v>101.11</v>
    <v>100.58</v>
    <v>103.34</v>
    <v>102.37</v>
    <v>100.72</v>
    <v>101.39</v>
    <v>98.99</v>
    <v>98.19</v>
    <v>100.64</v>
    <v>101.48</v>
    <v>101.88</v>
    <v>101.23</v>
    <v>98.75</v>
    <v>98.01</v>
    <v>95.53</v>
    <v>97.51</v>
    <v>98.38</v>
    <v>97.83</v>
    <v>99.18</v>
    <v>98.82</v>
    <v>97.42</v>
    <v>100.19</v>
    <v>99.61</v>
    <v>99.04</v>
    <v>98.78</v>
    <v>96.1</v>
    <v>96.9</v>
    <v>97.2</v>
    <v>98.82</v>
    <v>91.82</v>
    <v>92.87</v>
    <v>89.99</v>
    <v>86.79</v>
    <v>93.52</v>
    <v>90.34</v>
    <v>91.27</v>
    <v>91.81</v>
    <v>91.1</v>
    <v>89.03</v>
    <v>90.85</v>
    <v>88.81</v>
    <v>92.19</v>
    <v>92.05</v>
    <v>94.35</v>
    <v>93.61</v>
    <v>93.77</v>
    <v>93.9</v>
    <v>94.7</v>
    <v>95.18</v>
    <v>97.24</v>
    <v>96.59</v>
    <v>94.94</v>
    <v>95.1</v>
    <v>96.75</v>
    <v>96.39</v>
    <v>100.86</v>
    <v>101.21</v>
    <v>98.68</v>
    <v>99.21</v>
    <v>100.89</v>
    <v>99.75</v>
    <v>98.67</v>
    <v>95.58</v>
    <v>95.15</v>
    <v>94.7</v>
    <v>96.73</v>
    <v>94.23</v>
    <v>94.93</v>
    <v>94.26</v>
    <v>93.07</v>
    <v>94.69</v>
    <v>96.02</v>
    <v>95.91</v>
    <v>95.13</v>
    <v>96.21</v>
    <v>98.06</v>
    <v>96.47</v>
    <v>96.8</v>
    <v>94.23</v>
    <v>95.32</v>
    <v>93.14</v>
    <v>93.26</v>
    <v>94.81</v>
    <v>97.4</v>
    <v>98.37</v>
    <v>96.84</v>
    <v>97.6</v>
    <v>98.46</v>
    <v>98.57</v>
    <v>102.66</v>
    <v>103.72</v>
    <v>102.6</v>
    <v>101.17</v>
    <v>101.82</v>
    <v>105</v>
    <v>106.06</v>
    <v>104.75</v>
    <v>104.02</v>
    <v>100.4</v>
    <v>101.01</v>
    <v>102.4</v>
    <v>101.43</v>
    <v>101.05</v>
    <v>106.72</v>
    <v>107.7</v>
    <v>105.55</v>
    <v>106.53</v>
    <v>106.6</v>
    <v>105.42</v>
    <v>102.92</v>
    <v>101.91</v>
    <v>103.86</v>
    <v>105.71</v>
    <v>107.26</v>
    <v>106.53</v>
    <v>107.81</v>
    <v>108.15</v>
    <v>107.52</v>
    <v>111.4</v>
    <v>115.73</v>
    <v>113.66</v>
    <v>113.34</v>
    <v>113.14</v>
    <v>114.79</v>
    <v>112.32</v>
    <v>111.33</v>
    <v>117</v>
    <v>115.19</v>
    <v>114.93</v>
    <v>114.88</v>
    <v>114.4</v>
    <v>114</v>
    <v>113</v>
    <v>113.62</v>
    <v>117.21</v>
    <v>119.36</v>
    <v>119.58</v>
    <v>116.07</v>
    <v>115.76</v>
    <v>118.77</v>
    <v>116.16</v>
    <v>115.46</v>
    <v>115.02</v>
    <v>113.85</v>
    <v>114.56</v>
    <v>113.02</v>
    <v>111.13</v>
    <v>111.32</v>
    <v>110.64</v>
    <v>109.12</v>
    <v>110.4</v>
    <v>110.63</v>
    <v>110.8</v>
    <v>111.56</v>
    <v>111.64</v>
    <v>112.12</v>
    <v>109.82</v>
    <v>107.01</v>
    <v>107.8</v>
    <v>105.37</v>
    <v>103.72</v>
    <v>104.33</v>
    <v>107.61</v>
    <v>107.79</v>
    <v>107.05</v>
    <v>107.76</v>
    <v>108.6</v>
    <v>110.31</v>
    <v>107.88</v>
    <v>108.86</v>
    <v>108.82</v>
    <v>108.94</v>
    <v>108.28</v>
    <v>105.26</v>
    <v>104.53</v>
    <v>105.03</v>
    <v>103.47</v>
    <v>103.47</v>
    <v>104.17</v>
    <v>104.53</v>
    <v>105.56</v>
    <v>105.74</v>
    <v>106.15</v>
    <v>106</v>
    <v>104.12</v>
    <v>103.32</v>
    <v>100.46</v>
    <v>100.11</v>
    <v>99.82</v>
    <v>99.48</v>
    <v>104.14</v>
    <v>103.45</v>
    <v>107.81</v>
    <v>109.18</v>
    <v>108.88</v>
    <v>108.58</v>
    <v>108.25</v>
    <v>109.59</v>
    <v>107.67</v>
    <v>107.41</v>
    <v>105.74</v>
    <v>104.7</v>
    <v>107.9</v>
    <v>109.02</v>
    <v>107.88</v>
    <v>107.59</v>
    <v>106.66</v>
    <v>105.61</v>
    <v>106.34</v>
    <v>105.07</v>
  </a>
  <a r="1" c="22">
    <v>99.82</v>
    <v>99.48</v>
    <v>104.14</v>
    <v>103.45</v>
    <v>107.81</v>
    <v>109.18</v>
    <v>108.88</v>
    <v>108.58</v>
    <v>108.25</v>
    <v>109.59</v>
    <v>107.67</v>
    <v>107.41</v>
    <v>105.74</v>
    <v>104.7</v>
    <v>107.9</v>
    <v>109.02</v>
    <v>107.88</v>
    <v>107.59</v>
    <v>106.66</v>
    <v>105.61</v>
    <v>106.34</v>
    <v>105.07</v>
  </a>
  <a r="1" c="254">
    <v>30.600999999999999</v>
    <v>30.4</v>
    <v>29.43</v>
    <v>29.47</v>
    <v>29.8</v>
    <v>29.92</v>
    <v>30.24</v>
    <v>30.55</v>
    <v>30.04</v>
    <v>29.45</v>
    <v>29.23</v>
    <v>29.020099999999999</v>
    <v>30</v>
    <v>30.24</v>
    <v>30.26</v>
    <v>29.79</v>
    <v>29</v>
    <v>28.9</v>
    <v>29.34</v>
    <v>29.74</v>
    <v>29.79</v>
    <v>30.13</v>
    <v>30.47</v>
    <v>30.12</v>
    <v>30.02</v>
    <v>30.26</v>
    <v>30.15</v>
    <v>29.9</v>
    <v>29.81</v>
    <v>30.3</v>
    <v>29.77</v>
    <v>29.08</v>
    <v>29.69</v>
    <v>29.54</v>
    <v>29.89</v>
    <v>29.73</v>
    <v>29.94</v>
    <v>29.22</v>
    <v>29.63</v>
    <v>30.67</v>
    <v>31.15</v>
    <v>31.29</v>
    <v>31.16</v>
    <v>31.22</v>
    <v>30.98</v>
    <v>30.74</v>
    <v>30.87</v>
    <v>31.43</v>
    <v>31.2</v>
    <v>30.57</v>
    <v>29.66</v>
    <v>29.475000000000001</v>
    <v>30.67</v>
    <v>30.69</v>
    <v>31.41</v>
    <v>30.44</v>
    <v>31.24</v>
    <v>31.22</v>
    <v>30.73</v>
    <v>31.06</v>
    <v>31.45</v>
    <v>31.3</v>
    <v>31.59</v>
    <v>30.94</v>
    <v>30.66</v>
    <v>31.1</v>
    <v>31.01</v>
    <v>30.85</v>
    <v>30.51</v>
    <v>29.59</v>
    <v>29.23</v>
    <v>29.39</v>
    <v>29.51</v>
    <v>28.27</v>
    <v>26.72</v>
    <v>25.83</v>
    <v>24.69</v>
    <v>27.18</v>
    <v>26.5</v>
    <v>27.32</v>
    <v>27.8</v>
    <v>27.53</v>
    <v>26.94</v>
    <v>27.13</v>
    <v>26.84</v>
    <v>27.67</v>
    <v>28.36</v>
    <v>28.98</v>
    <v>29.1</v>
    <v>29.3</v>
    <v>29.33</v>
    <v>28.96</v>
    <v>28.85</v>
    <v>29.74</v>
    <v>29.66</v>
    <v>29.54</v>
    <v>29.33</v>
    <v>29.93</v>
    <v>30.33</v>
    <v>31.37</v>
    <v>31.45</v>
    <v>31.64</v>
    <v>31.47</v>
    <v>31.57</v>
    <v>31.34</v>
    <v>31.36</v>
    <v>31.38</v>
    <v>31.07</v>
    <v>30.8</v>
    <v>30.62</v>
    <v>30.57</v>
    <v>30.71</v>
    <v>30.03</v>
    <v>29.85</v>
    <v>30.23</v>
    <v>30.44</v>
    <v>30.16</v>
    <v>30.23</v>
    <v>30.66</v>
    <v>31.12</v>
    <v>31.46</v>
    <v>31.1</v>
    <v>30.36</v>
    <v>30.3</v>
    <v>29.64</v>
    <v>29.85</v>
    <v>29.45</v>
    <v>29.94</v>
    <v>30.75</v>
    <v>30.43</v>
    <v>30.82</v>
    <v>30.71</v>
    <v>30.58</v>
    <v>30.8</v>
    <v>31.452000000000002</v>
    <v>31.85</v>
    <v>31.149899999999999</v>
    <v>31.81</v>
    <v>31.95</v>
    <v>32.46</v>
    <v>32.29</v>
    <v>32.729999999999997</v>
    <v>32.590000000000003</v>
    <v>32.409999999999997</v>
    <v>33.54</v>
    <v>33.729999999999997</v>
    <v>33.69</v>
    <v>34.56</v>
    <v>34.82</v>
    <v>34.93</v>
    <v>35.06</v>
    <v>34.42</v>
    <v>33.58</v>
    <v>32.917000000000002</v>
    <v>32.56</v>
    <v>32.130000000000003</v>
    <v>32.43</v>
    <v>32.69</v>
    <v>32.729999999999997</v>
    <v>33.25</v>
    <v>33.65</v>
    <v>34.270000000000003</v>
    <v>34.520000000000003</v>
    <v>34.92</v>
    <v>34.53</v>
    <v>34.75</v>
    <v>34.869999999999997</v>
    <v>34.869999999999997</v>
    <v>34.49</v>
    <v>34.68</v>
    <v>35.97</v>
    <v>35.549999999999997</v>
    <v>36.006999999999998</v>
    <v>35.81</v>
    <v>35.729999999999997</v>
    <v>35.36</v>
    <v>34.880000000000003</v>
    <v>34.72</v>
    <v>34.56</v>
    <v>35.06</v>
    <v>35.619999999999997</v>
    <v>35.252000000000002</v>
    <v>34.54</v>
    <v>35.25</v>
    <v>35.22</v>
    <v>35.966000000000001</v>
    <v>36.304000000000002</v>
    <v>36.54</v>
    <v>36.869999999999997</v>
    <v>36.832000000000001</v>
    <v>36.729999999999997</v>
    <v>36.53</v>
    <v>36.409999999999997</v>
    <v>36.65</v>
    <v>36.549999999999997</v>
    <v>36.6</v>
    <v>36.67</v>
    <v>37.283999999999999</v>
    <v>37.564</v>
    <v>37.520000000000003</v>
    <v>37.700800000000001</v>
    <v>37.03</v>
    <v>37.4</v>
    <v>36.880000000000003</v>
    <v>35.132599999999996</v>
    <v>36.520000000000003</v>
    <v>36.6</v>
    <v>36.950000000000003</v>
    <v>36.759799999999998</v>
    <v>36.960599999999999</v>
    <v>37.53</v>
    <v>37.238900000000001</v>
    <v>37.049999999999997</v>
    <v>37.61</v>
    <v>38.56</v>
    <v>38.624499999999998</v>
    <v>38.8598</v>
    <v>39.082099999999997</v>
    <v>38.549999999999997</v>
    <v>38.914999999999999</v>
    <v>38.67</v>
    <v>37.49</v>
    <v>38.409999999999997</v>
    <v>37.79</v>
    <v>37.82</v>
    <v>38.9</v>
    <v>39.237299999999998</v>
    <v>38.96</v>
    <v>38.796799999999998</v>
    <v>38.372199999999999</v>
    <v>37.799999999999997</v>
    <v>37.6</v>
    <v>37.32</v>
    <v>36.03</v>
    <v>36.4</v>
    <v>36.57</v>
    <v>37.130000000000003</v>
    <v>37.799999999999997</v>
    <v>38.042900000000003</v>
    <v>37.74</v>
    <v>37.863399999999999</v>
    <v>37.94</v>
    <v>38.033000000000001</v>
    <v>38.450000000000003</v>
    <v>38.6</v>
    <v>38.518000000000001</v>
    <v>38.956699999999998</v>
    <v>38.802</v>
    <v>38.536999999999999</v>
    <v>38.39</v>
    <v>37.65</v>
    <v>37.409999999999997</v>
    <v>37.704599999999999</v>
    <v>38.43</v>
  </a>
  <a r="1" c="22">
    <v>37.32</v>
    <v>36.03</v>
    <v>36.4</v>
    <v>36.57</v>
    <v>37.130000000000003</v>
    <v>37.799999999999997</v>
    <v>38.042900000000003</v>
    <v>37.74</v>
    <v>37.863399999999999</v>
    <v>37.94</v>
    <v>38.033000000000001</v>
    <v>38.450000000000003</v>
    <v>38.6</v>
    <v>38.518000000000001</v>
    <v>38.956699999999998</v>
    <v>38.802</v>
    <v>38.536999999999999</v>
    <v>38.39</v>
    <v>37.65</v>
    <v>37.409999999999997</v>
    <v>37.704599999999999</v>
    <v>38.43</v>
  </a>
  <a r="1" c="22">
    <v>78.33</v>
    <v>77.28</v>
    <v>79.94</v>
    <v>79.56</v>
    <v>83.18</v>
    <v>84.42</v>
    <v>84.35</v>
    <v>84.64</v>
    <v>84.27</v>
    <v>85.47</v>
    <v>85.17</v>
    <v>86.23</v>
    <v>85.84</v>
    <v>86.73</v>
    <v>87.93</v>
    <v>88.76</v>
    <v>87.89</v>
    <v>87.71</v>
    <v>87.32</v>
    <v>87.24</v>
    <v>87.29</v>
    <v>87.51</v>
  </a>
  <a r="1" c="254">
    <v>83.55</v>
    <v>82.83</v>
    <v>80.38</v>
    <v>80.25</v>
    <v>81.2</v>
    <v>80.14</v>
    <v>80.72</v>
    <v>81.83</v>
    <v>80.819999999999993</v>
    <v>79.56</v>
    <v>79.59</v>
    <v>79.36</v>
    <v>79.680000000000007</v>
    <v>79.98</v>
    <v>79.41</v>
    <v>79.27</v>
    <v>79.05</v>
    <v>78.28</v>
    <v>77.61</v>
    <v>78.37</v>
    <v>78.260000000000005</v>
    <v>78.430000000000007</v>
    <v>79.84</v>
    <v>79.150000000000006</v>
    <v>80.14</v>
    <v>80.33</v>
    <v>80.53</v>
    <v>80.95</v>
    <v>80.52</v>
    <v>81.69</v>
    <v>80.25</v>
    <v>78.84</v>
    <v>79.75</v>
    <v>80.27</v>
    <v>80.03</v>
    <v>78.27</v>
    <v>79.010000000000005</v>
    <v>78.87</v>
    <v>78.58</v>
    <v>79.53</v>
    <v>79.36</v>
    <v>79.31</v>
    <v>78.739999999999995</v>
    <v>77.73</v>
    <v>75.290000000000006</v>
    <v>75.53</v>
    <v>75.83</v>
    <v>74.930000000000007</v>
    <v>73.430000000000007</v>
    <v>74.14</v>
    <v>71.98</v>
    <v>70.819999999999993</v>
    <v>71.400000000000006</v>
    <v>70.95</v>
    <v>71.739999999999995</v>
    <v>70.48</v>
    <v>69.02</v>
    <v>68.14</v>
    <v>66.62</v>
    <v>67.53</v>
    <v>69.069999999999993</v>
    <v>68.11</v>
    <v>69.290000000000006</v>
    <v>68.81</v>
    <v>69.040000000000006</v>
    <v>71.19</v>
    <v>70.55</v>
    <v>70.319999999999993</v>
    <v>70.17</v>
    <v>68.540000000000006</v>
    <v>69.09</v>
    <v>69.89</v>
    <v>71.430000000000007</v>
    <v>65.67</v>
    <v>64.89</v>
    <v>64.53</v>
    <v>62.11</v>
    <v>67.94</v>
    <v>66.069999999999993</v>
    <v>66.31</v>
    <v>66.739999999999995</v>
    <v>65.69</v>
    <v>64.930000000000007</v>
    <v>66.5</v>
    <v>65.62</v>
    <v>67.19</v>
    <v>67.349999999999994</v>
    <v>68.459999999999994</v>
    <v>68.48</v>
    <v>68.67</v>
    <v>69</v>
    <v>68.7</v>
    <v>69.08</v>
    <v>70.58</v>
    <v>70.23</v>
    <v>69.62</v>
    <v>70.12</v>
    <v>71.209999999999994</v>
    <v>70.38</v>
    <v>74.55</v>
    <v>74.510000000000005</v>
    <v>74.33</v>
    <v>75.48</v>
    <v>76.47</v>
    <v>76.27</v>
    <v>76.55</v>
    <v>74.2</v>
    <v>75.53</v>
    <v>74.680000000000007</v>
    <v>76.42</v>
    <v>76.37</v>
    <v>75.94</v>
    <v>75.930000000000007</v>
    <v>76.19</v>
    <v>77.540000000000006</v>
    <v>77</v>
    <v>77.55</v>
    <v>78.33</v>
    <v>78.790000000000006</v>
    <v>78.98</v>
    <v>77.95</v>
    <v>77.17</v>
    <v>75.349999999999994</v>
    <v>77.06</v>
    <v>76.239999999999995</v>
    <v>76.3</v>
    <v>77.010000000000005</v>
    <v>77.17</v>
    <v>77.22</v>
    <v>76.47</v>
    <v>76.63</v>
    <v>77.349999999999994</v>
    <v>77.06</v>
    <v>79.38</v>
    <v>80.17</v>
    <v>80.63</v>
    <v>79.94</v>
    <v>79.8</v>
    <v>80.19</v>
    <v>80.94</v>
    <v>80.260000000000005</v>
    <v>80.8</v>
    <v>79.06</v>
    <v>79.09</v>
    <v>79.48</v>
    <v>79.67</v>
    <v>80.39</v>
    <v>82.67</v>
    <v>82.9</v>
    <v>81.53</v>
    <v>81.77</v>
    <v>81.61</v>
    <v>80.23</v>
    <v>79.39</v>
    <v>78.459999999999994</v>
    <v>77.849999999999994</v>
    <v>79.489999999999995</v>
    <v>79.58</v>
    <v>81.39</v>
    <v>81.22</v>
    <v>80.77</v>
    <v>81.03</v>
    <v>83.23</v>
    <v>85.03</v>
    <v>83.75</v>
    <v>83.57</v>
    <v>84.32</v>
    <v>84.25</v>
    <v>83.78</v>
    <v>83.19</v>
    <v>85.28</v>
    <v>84.6</v>
    <v>84.56</v>
    <v>86.09</v>
    <v>85.31</v>
    <v>84.19</v>
    <v>84.34</v>
    <v>84.77</v>
    <v>86.97</v>
    <v>87.35</v>
    <v>87.44</v>
    <v>86.71</v>
    <v>86.44</v>
    <v>88.16</v>
    <v>86.34</v>
    <v>87.56</v>
    <v>87.48</v>
    <v>87.66</v>
    <v>88.49</v>
    <v>87.29</v>
    <v>86.68</v>
    <v>86.94</v>
    <v>87.15</v>
    <v>85.67</v>
    <v>86.56</v>
    <v>86.81</v>
    <v>86.18</v>
    <v>86.34</v>
    <v>86.78</v>
    <v>86.99</v>
    <v>85.35</v>
    <v>84.12</v>
    <v>84.51</v>
    <v>83.54</v>
    <v>80.930000000000007</v>
    <v>83.63</v>
    <v>84.95</v>
    <v>85.19</v>
    <v>83.96</v>
    <v>84.02</v>
    <v>84.82</v>
    <v>85.3</v>
    <v>84.93</v>
    <v>85.12</v>
    <v>84.79</v>
    <v>85.52</v>
    <v>85.43</v>
    <v>83.51</v>
    <v>81.180000000000007</v>
    <v>81.03</v>
    <v>81.06</v>
    <v>79.87</v>
    <v>81.2</v>
    <v>78.81</v>
    <v>79.900000000000006</v>
    <v>80.239999999999995</v>
    <v>81</v>
    <v>81.489999999999995</v>
    <v>80.5</v>
    <v>80.03</v>
    <v>78.7</v>
    <v>78.680000000000007</v>
    <v>78.33</v>
    <v>77.28</v>
    <v>79.94</v>
    <v>79.56</v>
    <v>83.18</v>
    <v>84.42</v>
    <v>84.35</v>
    <v>84.64</v>
    <v>84.27</v>
    <v>85.47</v>
    <v>85.17</v>
    <v>86.23</v>
    <v>85.84</v>
    <v>86.73</v>
    <v>87.93</v>
    <v>88.76</v>
    <v>87.89</v>
    <v>87.71</v>
    <v>87.32</v>
    <v>87.24</v>
    <v>87.29</v>
    <v>87.51</v>
  </a>
  <a r="1" c="22">
    <v>32.49</v>
    <v>31.9</v>
    <v>32.03</v>
    <v>32.200000000000003</v>
    <v>32.549999999999997</v>
    <v>33.47</v>
    <v>33.61</v>
    <v>33.4</v>
    <v>34.03</v>
    <v>34.200000000000003</v>
    <v>34.72</v>
    <v>32.53</v>
    <v>32.75</v>
    <v>32.74</v>
    <v>32.770000000000003</v>
    <v>33.159999999999997</v>
    <v>33.32</v>
    <v>33.58</v>
    <v>31.6</v>
    <v>31</v>
    <v>31.17</v>
    <v>31.17</v>
  </a>
  <a r="1" c="254">
    <v>24.7</v>
    <v>24</v>
    <v>22.4</v>
    <v>22.83</v>
    <v>23.09</v>
    <v>22.62</v>
    <v>22.76</v>
    <v>22.72</v>
    <v>22.56</v>
    <v>22.61</v>
    <v>22.51</v>
    <v>22.71</v>
    <v>22.45</v>
    <v>22.84</v>
    <v>23.18</v>
    <v>22.87</v>
    <v>22.69</v>
    <v>22.81</v>
    <v>22.97</v>
    <v>23.78</v>
    <v>23.37</v>
    <v>23.55</v>
    <v>23.84</v>
    <v>24.18</v>
    <v>24.21</v>
    <v>24.34</v>
    <v>24.64</v>
    <v>24.78</v>
    <v>24.67</v>
    <v>25.37</v>
    <v>25.33</v>
    <v>25.38</v>
    <v>25.45</v>
    <v>25.43</v>
    <v>25.77</v>
    <v>25.22</v>
    <v>25.58</v>
    <v>25.79</v>
    <v>25.34</v>
    <v>25.46</v>
    <v>26.37</v>
    <v>26.39</v>
    <v>26.09</v>
    <v>26.2</v>
    <v>25.47</v>
    <v>25.06</v>
    <v>25.28</v>
    <v>24.88</v>
    <v>24.71</v>
    <v>24.11</v>
    <v>24.14</v>
    <v>23.91</v>
    <v>24.58</v>
    <v>24.57</v>
    <v>24.82</v>
    <v>24.3</v>
    <v>24.38</v>
    <v>24.48</v>
    <v>24.8</v>
    <v>25.84</v>
    <v>26.45</v>
    <v>26.57</v>
    <v>26.94</v>
    <v>26.58</v>
    <v>26.57</v>
    <v>26.19</v>
    <v>26.42</v>
    <v>26.3</v>
    <v>26.33</v>
    <v>25.96</v>
    <v>25.85</v>
    <v>26.14</v>
    <v>26.14</v>
    <v>26.33</v>
    <v>24.5</v>
    <v>23.95</v>
    <v>23.44</v>
    <v>24.71</v>
    <v>24.19</v>
    <v>24.69</v>
    <v>25.01</v>
    <v>24.86</v>
    <v>24.79</v>
    <v>25.22</v>
    <v>25.2</v>
    <v>25.86</v>
    <v>26.31</v>
    <v>26.74</v>
    <v>26.94</v>
    <v>27.21</v>
    <v>27.36</v>
    <v>27.04</v>
    <v>26.88</v>
    <v>27.12</v>
    <v>26.71</v>
    <v>26.61</v>
    <v>26.4</v>
    <v>27.48</v>
    <v>27.56</v>
    <v>27.49</v>
    <v>28.33</v>
    <v>28.2</v>
    <v>28.01</v>
    <v>28</v>
    <v>28.18</v>
    <v>28.16</v>
    <v>27.67</v>
    <v>27.52</v>
    <v>27.65</v>
    <v>27.99</v>
    <v>27.69</v>
    <v>27.7</v>
    <v>27.21</v>
    <v>27.27</v>
    <v>27.58</v>
    <v>27.44</v>
    <v>27.6</v>
    <v>27.72</v>
    <v>27.62</v>
    <v>27.72</v>
    <v>28.22</v>
    <v>28.15</v>
    <v>28.14</v>
    <v>28.31</v>
    <v>28.11</v>
    <v>28.08</v>
    <v>27.67</v>
    <v>27.66</v>
    <v>27.98</v>
    <v>27.57</v>
    <v>28.13</v>
    <v>28.14</v>
    <v>28.85</v>
    <v>28.79</v>
    <v>28.91</v>
    <v>29.31</v>
    <v>28.6</v>
    <v>28.71</v>
    <v>28.16</v>
    <v>27.72</v>
    <v>27.53</v>
    <v>27.31</v>
    <v>27.47</v>
    <v>27.57</v>
    <v>27.69</v>
    <v>26.85</v>
    <v>27.08</v>
    <v>27</v>
    <v>27.48</v>
    <v>27.13</v>
    <v>26.94</v>
    <v>26.52</v>
    <v>26.76</v>
    <v>26.88</v>
    <v>26.55</v>
    <v>26.65</v>
    <v>26.93</v>
    <v>27.02</v>
    <v>27.45</v>
    <v>28.05</v>
    <v>27.81</v>
    <v>27.64</v>
    <v>28.39</v>
    <v>28.18</v>
    <v>27.89</v>
    <v>28.2</v>
    <v>28.29</v>
    <v>27.36</v>
    <v>27.69</v>
    <v>27.66</v>
    <v>28.61</v>
    <v>28.74</v>
    <v>28.61</v>
    <v>29.02</v>
    <v>29.49</v>
    <v>29.5</v>
    <v>29</v>
    <v>28.99</v>
    <v>29.17</v>
    <v>29.63</v>
    <v>29.58</v>
    <v>29.54</v>
    <v>29.79</v>
    <v>30.05</v>
    <v>30.03</v>
    <v>30.51</v>
    <v>30.69</v>
    <v>30.94</v>
    <v>30.82</v>
    <v>30.93</v>
    <v>30.79</v>
    <v>31.32</v>
    <v>31.05</v>
    <v>30.58</v>
    <v>30.73</v>
    <v>30.99</v>
    <v>31</v>
    <v>30.58</v>
    <v>30.24</v>
    <v>30.33</v>
    <v>30.31</v>
    <v>29.68</v>
    <v>29.87</v>
    <v>29.67</v>
    <v>28.79</v>
    <v>29.18</v>
    <v>29.1</v>
    <v>29.32</v>
    <v>29.24</v>
    <v>29.71</v>
    <v>30.22</v>
    <v>29.94</v>
    <v>30.03</v>
    <v>30.47</v>
    <v>30.48</v>
    <v>30.77</v>
    <v>30.92</v>
    <v>31.18</v>
    <v>31.05</v>
    <v>31.17</v>
    <v>31.52</v>
    <v>31.18</v>
    <v>32.1</v>
    <v>32.04</v>
    <v>32.299999999999997</v>
    <v>32.72</v>
    <v>33.49</v>
    <v>33.22</v>
    <v>32.979999999999997</v>
    <v>33.18</v>
    <v>32.78</v>
    <v>32.71</v>
    <v>32.49</v>
    <v>31.9</v>
    <v>32.03</v>
    <v>32.200000000000003</v>
    <v>32.549999999999997</v>
    <v>33.47</v>
    <v>33.61</v>
    <v>33.4</v>
    <v>34.03</v>
    <v>34.200000000000003</v>
    <v>34.72</v>
    <v>32.53</v>
    <v>32.75</v>
    <v>32.74</v>
    <v>32.770000000000003</v>
    <v>33.159999999999997</v>
    <v>33.32</v>
    <v>33.58</v>
    <v>31.6</v>
    <v>31</v>
    <v>31.17</v>
    <v>31.17</v>
  </a>
  <a r="1" c="254">
    <v>46.33</v>
    <v>45.63</v>
    <v>44.35</v>
    <v>43.93</v>
    <v>44.41</v>
    <v>44.7</v>
    <v>45.06</v>
    <v>44.94</v>
    <v>44.95</v>
    <v>44.98</v>
    <v>45.57</v>
    <v>46.12</v>
    <v>46.55</v>
    <v>46.39</v>
    <v>46.87</v>
    <v>46.87</v>
    <v>47.01</v>
    <v>48.02</v>
    <v>48.55</v>
    <v>49.22</v>
    <v>49.59</v>
    <v>49.95</v>
    <v>49.63</v>
    <v>48.65</v>
    <v>48.86</v>
    <v>48.41</v>
    <v>47.84</v>
    <v>47.38</v>
    <v>47.47</v>
    <v>47.77</v>
    <v>46.46</v>
    <v>46.76</v>
    <v>47.67</v>
    <v>47.81</v>
    <v>46.94</v>
    <v>46.94</v>
    <v>47.96</v>
    <v>48.28</v>
    <v>47.06</v>
    <v>47.44</v>
    <v>47.63</v>
    <v>48.29</v>
    <v>48.65</v>
    <v>49.08</v>
    <v>48</v>
    <v>48.05</v>
    <v>47.3</v>
    <v>47.1</v>
    <v>47.22</v>
    <v>47.94</v>
    <v>46.24</v>
    <v>45.82</v>
    <v>45.22</v>
    <v>45.26</v>
    <v>46.04</v>
    <v>46.32</v>
    <v>45.99</v>
    <v>46.22</v>
    <v>45.91</v>
    <v>47.23</v>
    <v>48.01</v>
    <v>47.76</v>
    <v>48.57</v>
    <v>48.76</v>
    <v>48.41</v>
    <v>49</v>
    <v>49.18</v>
    <v>49.4</v>
    <v>48.93</v>
    <v>48.7</v>
    <v>49.3</v>
    <v>49.54</v>
    <v>49.67</v>
    <v>45.82</v>
    <v>41.7</v>
    <v>41.36</v>
    <v>40.36</v>
    <v>43.56</v>
    <v>40.74</v>
    <v>41.78</v>
    <v>41.94</v>
    <v>41.86</v>
    <v>42.21</v>
    <v>43.2</v>
    <v>42</v>
    <v>43.13</v>
    <v>42.98</v>
    <v>43.67</v>
    <v>43.66</v>
    <v>43.99</v>
    <v>43.81</v>
    <v>42.6</v>
    <v>42.85</v>
    <v>43.51</v>
    <v>42.72</v>
    <v>42.7</v>
    <v>42.76</v>
    <v>43.37</v>
    <v>43.81</v>
    <v>44.91</v>
    <v>45.62</v>
    <v>45.4</v>
    <v>45.54</v>
    <v>45.41</v>
    <v>44.83</v>
    <v>44.44</v>
    <v>43.62</v>
    <v>43.39</v>
    <v>43.56</v>
    <v>43.96</v>
    <v>43.43</v>
    <v>43.7</v>
    <v>43.38</v>
    <v>43.92</v>
    <v>44.47</v>
    <v>43.64</v>
    <v>43.62</v>
    <v>44.45</v>
    <v>44.44</v>
    <v>45.21</v>
    <v>45.88</v>
    <v>46.06</v>
    <v>46.89</v>
    <v>46.45</v>
    <v>46.77</v>
    <v>46.48</v>
    <v>46.9</v>
    <v>45.73</v>
    <v>45.22</v>
    <v>45</v>
    <v>45.69</v>
    <v>45.41</v>
    <v>45.22</v>
    <v>45.49</v>
    <v>46.26</v>
    <v>46.37</v>
    <v>45.88</v>
    <v>47.02</v>
    <v>46.76</v>
    <v>47.1</v>
    <v>47.3</v>
    <v>46.84</v>
    <v>46.17</v>
    <v>45.74</v>
    <v>46.03</v>
    <v>45.77</v>
    <v>45.17</v>
    <v>45.4</v>
    <v>46.07</v>
    <v>46.42</v>
    <v>46.23</v>
    <v>46.77</v>
    <v>47.23</v>
    <v>46.59</v>
    <v>46.35</v>
    <v>45.57</v>
    <v>45.49</v>
    <v>45.54</v>
    <v>45.13</v>
    <v>44.96</v>
    <v>45.18</v>
    <v>44.83</v>
    <v>45.07</v>
    <v>45.57</v>
    <v>45.52</v>
    <v>45.56</v>
    <v>45.33</v>
    <v>45.32</v>
    <v>45.7</v>
    <v>45.97</v>
    <v>46.91</v>
    <v>47.04</v>
    <v>46.94</v>
    <v>47.45</v>
    <v>47.8</v>
    <v>48.03</v>
    <v>48.12</v>
    <v>47.12</v>
    <v>47.43</v>
    <v>46.55</v>
    <v>46.42</v>
    <v>46.65</v>
    <v>47.46</v>
    <v>47.45</v>
    <v>47.16</v>
    <v>46.99</v>
    <v>47.37</v>
    <v>47.49</v>
    <v>47.33</v>
    <v>46.71</v>
    <v>46.72</v>
    <v>47.49</v>
    <v>48.08</v>
    <v>48.48</v>
    <v>48.91</v>
    <v>48.01</v>
    <v>47.52</v>
    <v>47.56</v>
    <v>47.09</v>
    <v>47.33</v>
    <v>47.55</v>
    <v>47.62</v>
    <v>47.4</v>
    <v>46.76</v>
    <v>45.39</v>
    <v>46.02</v>
    <v>45.95</v>
    <v>46.01</v>
    <v>45.42</v>
    <v>45.72</v>
    <v>46.19</v>
    <v>46.08</v>
    <v>46.65</v>
    <v>47.28</v>
    <v>46.81</v>
    <v>46.97</v>
    <v>46.48</v>
    <v>46.74</v>
    <v>46.47</v>
    <v>46.85</v>
    <v>46.86</v>
    <v>46.37</v>
    <v>46.48</v>
    <v>46.89</v>
    <v>47.58</v>
    <v>48.05</v>
    <v>48.61</v>
    <v>47.97</v>
    <v>48.03</v>
    <v>48.8</v>
    <v>47.95</v>
    <v>48.33</v>
    <v>47.76</v>
    <v>47.21</v>
    <v>47.49</v>
    <v>47.4</v>
    <v>47.14</v>
    <v>47.52</v>
    <v>48.16</v>
    <v>48.56</v>
    <v>47.92</v>
    <v>48.81</v>
    <v>49</v>
    <v>48.81</v>
    <v>48.27</v>
    <v>48.53</v>
    <v>49.02</v>
    <v>48.8</v>
    <v>48.31</v>
    <v>47.96</v>
    <v>46.22</v>
    <v>47.17</v>
    <v>46.51</v>
    <v>46.55</v>
  </a>
  <a r="1" c="22">
    <v>47.76</v>
    <v>47.21</v>
    <v>47.49</v>
    <v>47.4</v>
    <v>47.14</v>
    <v>47.52</v>
    <v>48.16</v>
    <v>48.56</v>
    <v>47.92</v>
    <v>48.81</v>
    <v>49</v>
    <v>48.81</v>
    <v>48.27</v>
    <v>48.53</v>
    <v>49.02</v>
    <v>48.8</v>
    <v>48.31</v>
    <v>47.96</v>
    <v>46.22</v>
    <v>47.17</v>
    <v>46.51</v>
    <v>46.55</v>
  </a>
  <a r="1" c="22">
    <v>63.78</v>
    <v>64.06</v>
    <v>65.010000000000005</v>
    <v>64.349999999999994</v>
    <v>65.099999999999994</v>
    <v>65.650000000000006</v>
    <v>65.97</v>
    <v>65.95</v>
    <v>65.73</v>
    <v>65.64</v>
    <v>65.319999999999993</v>
    <v>65.290000000000006</v>
    <v>64.78</v>
    <v>64.855000000000004</v>
    <v>65.17</v>
    <v>65.650000000000006</v>
    <v>65.87</v>
    <v>66.19</v>
    <v>65.16</v>
    <v>65.33</v>
    <v>65.16</v>
    <v>64.86</v>
  </a>
  <a r="1" c="254">
    <v>63.07</v>
    <v>62.07</v>
    <v>61</v>
    <v>60.75</v>
    <v>60.81</v>
    <v>60.46</v>
    <v>60.95</v>
    <v>61.11</v>
    <v>60.8</v>
    <v>60.15</v>
    <v>60.29</v>
    <v>60.04</v>
    <v>60.02</v>
    <v>59.62</v>
    <v>59.57</v>
    <v>59.58</v>
    <v>58.66</v>
    <v>58.66</v>
    <v>58.61</v>
    <v>58.57</v>
    <v>59.03</v>
    <v>59.46</v>
    <v>59.96</v>
    <v>59.61</v>
    <v>59.96</v>
    <v>60.39</v>
    <v>61.95</v>
    <v>61.16</v>
    <v>61.11</v>
    <v>61.89</v>
    <v>61.22</v>
    <v>61.34</v>
    <v>61.23</v>
    <v>61.63</v>
    <v>62.13</v>
    <v>61.84</v>
    <v>62.15</v>
    <v>62.59</v>
    <v>62.7</v>
    <v>63.37</v>
    <v>62.87</v>
    <v>62.84</v>
    <v>63.05</v>
    <v>62.77</v>
    <v>63.3</v>
    <v>63.61</v>
    <v>64.540000000000006</v>
    <v>63.64</v>
    <v>63.52</v>
    <v>64.22</v>
    <v>64.69</v>
    <v>64.180000000000007</v>
    <v>64.66</v>
    <v>64.67</v>
    <v>64.760000000000005</v>
    <v>64.459999999999994</v>
    <v>63.79</v>
    <v>62.94</v>
    <v>62.59</v>
    <v>62.73</v>
    <v>63.63</v>
    <v>63.04</v>
    <v>62.95</v>
    <v>62.83</v>
    <v>62.7</v>
    <v>62.85</v>
    <v>62.4</v>
    <v>62.96</v>
    <v>63.58</v>
    <v>63.43</v>
    <v>64.05</v>
    <v>64.19</v>
    <v>64.14</v>
    <v>65.09</v>
    <v>62.39</v>
    <v>61.28</v>
    <v>60.73</v>
    <v>63.32</v>
    <v>63.34</v>
    <v>64.290000000000006</v>
    <v>65.040000000000006</v>
    <v>64.62</v>
    <v>64.489999999999995</v>
    <v>65.88</v>
    <v>65.42</v>
    <v>66.37</v>
    <v>66.08</v>
    <v>65.510000000000005</v>
    <v>65.209999999999994</v>
    <v>65.400000000000006</v>
    <v>65.67</v>
    <v>66.11</v>
    <v>65.55</v>
    <v>66.11</v>
    <v>66.14</v>
    <v>66.260000000000005</v>
    <v>66.209999999999994</v>
    <v>65.680000000000007</v>
    <v>65.56</v>
    <v>65.22</v>
    <v>64.55</v>
    <v>64.12</v>
    <v>65.459999999999994</v>
    <v>65.900000000000006</v>
    <v>66.39</v>
    <v>66.709999999999994</v>
    <v>66.37</v>
    <v>66.069999999999993</v>
    <v>66.37</v>
    <v>66.92</v>
    <v>66.47</v>
    <v>66.72</v>
    <v>67.22</v>
    <v>67.45</v>
    <v>67.150000000000006</v>
    <v>67.150000000000006</v>
    <v>66.42</v>
    <v>66.540000000000006</v>
    <v>66.45</v>
    <v>66.62</v>
    <v>66.42</v>
    <v>66.900000000000006</v>
    <v>66.150000000000006</v>
    <v>65.37</v>
    <v>64.84</v>
    <v>64.900000000000006</v>
    <v>64.930000000000007</v>
    <v>65.66</v>
    <v>65.569999999999993</v>
    <v>64.67</v>
    <v>64.67</v>
    <v>64.989999999999995</v>
    <v>65.38</v>
    <v>65.92</v>
    <v>65.98</v>
    <v>66.010000000000005</v>
    <v>65.849999999999994</v>
    <v>65.41</v>
    <v>65.150000000000006</v>
    <v>65.33</v>
    <v>64.91</v>
    <v>65.13</v>
    <v>64.41</v>
    <v>64.739999999999995</v>
    <v>65.03</v>
    <v>64.904799999999994</v>
    <v>64.989999999999995</v>
    <v>65.459999999999994</v>
    <v>65.72</v>
    <v>65.41</v>
    <v>65.41</v>
    <v>64.400000000000006</v>
    <v>64.760000000000005</v>
    <v>64.319999999999993</v>
    <v>63.76</v>
    <v>64.319999999999993</v>
    <v>64.56</v>
    <v>64.61</v>
    <v>65.430000000000007</v>
    <v>65.94</v>
    <v>66.099999999999994</v>
    <v>66.2</v>
    <v>66.319999999999993</v>
    <v>66.3</v>
    <v>65.86</v>
    <v>66.05</v>
    <v>66.06</v>
    <v>66.680000000000007</v>
    <v>67.459999999999994</v>
    <v>66.680000000000007</v>
    <v>66.69</v>
    <v>65.69</v>
    <v>65.489999999999995</v>
    <v>65.55</v>
    <v>65.31</v>
    <v>65.67</v>
    <v>65.489999999999995</v>
    <v>65.59</v>
    <v>65.849999999999994</v>
    <v>66.08</v>
    <v>65.97</v>
    <v>65.989999999999995</v>
    <v>65.349999999999994</v>
    <v>65.94</v>
    <v>65.63</v>
    <v>65.23</v>
    <v>65.22</v>
    <v>65.45</v>
    <v>64.95</v>
    <v>64.78</v>
    <v>64.34</v>
    <v>64.52</v>
    <v>64.260000000000005</v>
    <v>63.84</v>
    <v>63.98</v>
    <v>63.994999999999997</v>
    <v>64.37</v>
    <v>64.099999999999994</v>
    <v>63.98</v>
    <v>64.02</v>
    <v>63.64</v>
    <v>64.03</v>
    <v>63.95</v>
    <v>64</v>
    <v>64.3</v>
    <v>64.069999999999993</v>
    <v>64.87</v>
    <v>65.16</v>
    <v>65.33</v>
    <v>66.34</v>
    <v>66.239999999999995</v>
    <v>65.75</v>
    <v>66.040000000000006</v>
    <v>65.930000000000007</v>
    <v>65.69</v>
    <v>65.62</v>
    <v>65.09</v>
    <v>63.85</v>
    <v>63.77</v>
    <v>63.5</v>
    <v>63.375</v>
    <v>63.59</v>
    <v>63.74</v>
    <v>63.5</v>
    <v>64.290000000000006</v>
    <v>64.180000000000007</v>
    <v>64.849999999999994</v>
    <v>64.86</v>
    <v>64.67</v>
    <v>64.56</v>
    <v>64.16</v>
    <v>64.099999999999994</v>
    <v>63.78</v>
    <v>64.06</v>
    <v>65.010000000000005</v>
    <v>64.349999999999994</v>
    <v>65.099999999999994</v>
    <v>65.650000000000006</v>
    <v>65.97</v>
    <v>65.95</v>
    <v>65.73</v>
    <v>65.64</v>
    <v>65.319999999999993</v>
    <v>65.290000000000006</v>
    <v>64.78</v>
    <v>64.855000000000004</v>
    <v>65.17</v>
    <v>65.650000000000006</v>
    <v>65.87</v>
    <v>66.19</v>
    <v>65.16</v>
    <v>65.33</v>
    <v>65.16</v>
    <v>64.86</v>
  </a>
  <a r="1" c="254">
    <v>90.45</v>
    <v>89.63</v>
    <v>86.66</v>
    <v>86.32</v>
    <v>86.09</v>
    <v>86.37</v>
    <v>87.350800000000007</v>
    <v>87.94</v>
    <v>87.4</v>
    <v>86.67</v>
    <v>86.68</v>
    <v>86.32</v>
    <v>88.24</v>
    <v>89.01</v>
    <v>89.02</v>
    <v>88.88</v>
    <v>87.97</v>
    <v>87.95</v>
    <v>89.27</v>
    <v>90.21</v>
    <v>90.95</v>
    <v>90.21</v>
    <v>91.81</v>
    <v>91.18</v>
    <v>91.37</v>
    <v>91.18</v>
    <v>92.15</v>
    <v>90.75</v>
    <v>90.55</v>
    <v>90.41</v>
    <v>89.44</v>
    <v>87.42</v>
    <v>88.69</v>
    <v>87.9</v>
    <v>88.475099999999998</v>
    <v>88.35</v>
    <v>88.95</v>
    <v>88.41</v>
    <v>87.63</v>
    <v>87.21</v>
    <v>88.57</v>
    <v>90.04</v>
    <v>88.38</v>
    <v>87.71</v>
    <v>84.71</v>
    <v>84.06</v>
    <v>83.53</v>
    <v>83.363500000000002</v>
    <v>82.3</v>
    <v>83.273200000000003</v>
    <v>80.989999999999995</v>
    <v>79.610500000000002</v>
    <v>80.5137</v>
    <v>79.421999999999997</v>
    <v>79.430000000000007</v>
    <v>76.7</v>
    <v>74.930000000000007</v>
    <v>74.599999999999994</v>
    <v>73.28</v>
    <v>74.94</v>
    <v>75.88</v>
    <v>74.739999999999995</v>
    <v>75.540000000000006</v>
    <v>74.88</v>
    <v>75.34</v>
    <v>76.849999999999994</v>
    <v>76.010000000000005</v>
    <v>76.03</v>
    <v>76.044399999999996</v>
    <v>74.069999999999993</v>
    <v>73.86</v>
    <v>73.739699999999999</v>
    <v>75.552899999999994</v>
    <v>67.982399999999998</v>
    <v>65.62</v>
    <v>65.09</v>
    <v>62.77</v>
    <v>70.760000000000005</v>
    <v>66.81</v>
    <v>67.010000000000005</v>
    <v>67.3</v>
    <v>66.61</v>
    <v>65.7</v>
    <v>67.790000000000006</v>
    <v>66.14</v>
    <v>67.52</v>
    <v>68.73</v>
    <v>70.596599999999995</v>
    <v>68.540000000000006</v>
    <v>68.88</v>
    <v>68.760000000000005</v>
    <v>68.849999999999994</v>
    <v>69.11</v>
    <v>72.08</v>
    <v>71.760000000000005</v>
    <v>70.36</v>
    <v>70.900000000000006</v>
    <v>73.33</v>
    <v>73.89</v>
    <v>78.489999999999995</v>
    <v>78.83</v>
    <v>78.558400000000006</v>
    <v>78.11</v>
    <v>79.125</v>
    <v>78.78</v>
    <v>78.040000000000006</v>
    <v>75.27</v>
    <v>75.902000000000001</v>
    <v>75.336699999999993</v>
    <v>77.75</v>
    <v>77.53</v>
    <v>77.430000000000007</v>
    <v>76.8</v>
    <v>76.39</v>
    <v>77.381100000000004</v>
    <v>76.98</v>
    <v>76.521000000000001</v>
    <v>78.069999999999993</v>
    <v>79.02</v>
    <v>80.03</v>
    <v>78.540000000000006</v>
    <v>78.09</v>
    <v>76.290000000000006</v>
    <v>78.05</v>
    <v>76.47</v>
    <v>76.55</v>
    <v>76.7</v>
    <v>78.349999999999994</v>
    <v>80.06</v>
    <v>79.099999999999994</v>
    <v>80.02</v>
    <v>80.81</v>
    <v>80.5</v>
    <v>82.73</v>
    <v>84.05</v>
    <v>84.39</v>
    <v>82.93</v>
    <v>84.08</v>
    <v>84.070099999999996</v>
    <v>87.33</v>
    <v>85.84</v>
    <v>85.56</v>
    <v>84.34</v>
    <v>84.832800000000006</v>
    <v>86.14</v>
    <v>85.15</v>
    <v>84.8</v>
    <v>86.25</v>
    <v>87.649299999999997</v>
    <v>86.6935</v>
    <v>87.578999999999994</v>
    <v>87.01</v>
    <v>85.446200000000005</v>
    <v>83.025999999999996</v>
    <v>82.76</v>
    <v>80.53</v>
    <v>82.24</v>
    <v>82.97</v>
    <v>83.253699999999995</v>
    <v>81.95</v>
    <v>80.97</v>
    <v>80.203599999999994</v>
    <v>84.3</v>
    <v>86.06</v>
    <v>85.0488</v>
    <v>84.718500000000006</v>
    <v>84.64</v>
    <v>85.234099999999998</v>
    <v>83.39</v>
    <v>83.285300000000007</v>
    <v>87.54</v>
    <v>85.85</v>
    <v>86.44</v>
    <v>86.404499999999999</v>
    <v>86.1417</v>
    <v>86.129800000000003</v>
    <v>85.57</v>
    <v>85.36</v>
    <v>85.29</v>
    <v>85.569800000000001</v>
    <v>85.710700000000003</v>
    <v>84.909499999999994</v>
    <v>84.7</v>
    <v>86.25</v>
    <v>85.32</v>
    <v>85.26</v>
    <v>85.81</v>
    <v>85.108000000000004</v>
    <v>85.79</v>
    <v>85.38</v>
    <v>84.954999999999998</v>
    <v>85.33</v>
    <v>84.74</v>
    <v>83.9</v>
    <v>84.051299999999998</v>
    <v>84.45</v>
    <v>83.85</v>
    <v>83.263900000000007</v>
    <v>84.171000000000006</v>
    <v>85.04</v>
    <v>86.026700000000005</v>
    <v>84.57</v>
    <v>85.922899999999998</v>
    <v>84.48</v>
    <v>81.39</v>
    <v>82.38</v>
    <v>84.332800000000006</v>
    <v>84.425799999999995</v>
    <v>85.132199999999997</v>
    <v>84.727800000000002</v>
    <v>86.111800000000002</v>
    <v>86.712999999999994</v>
    <v>84.978700000000003</v>
    <v>83.57</v>
    <v>84.229399999999998</v>
    <v>84.923199999999994</v>
    <v>83.449799999999996</v>
    <v>83.471299999999999</v>
    <v>83.252399999999994</v>
    <v>85.21</v>
    <v>84.496700000000004</v>
    <v>84.136600000000001</v>
    <v>85.585099999999997</v>
    <v>84.002899999999997</v>
    <v>85.495199999999997</v>
    <v>85.19</v>
    <v>85.305000000000007</v>
    <v>86.28</v>
    <v>84.07</v>
    <v>83.2286</v>
    <v>81.19</v>
    <v>81.28</v>
    <v>80.547700000000006</v>
    <v>79.2</v>
    <v>82.2</v>
    <v>82.97</v>
    <v>85.308700000000002</v>
    <v>86.307199999999995</v>
    <v>86.823999999999998</v>
    <v>86.9</v>
    <v>88.14</v>
    <v>90.62</v>
    <v>90.81</v>
    <v>92</v>
    <v>91.88</v>
    <v>91.61</v>
    <v>94.11</v>
    <v>94.559200000000004</v>
    <v>94.06</v>
    <v>93.614500000000007</v>
    <v>93.587100000000007</v>
    <v>92.47</v>
    <v>93.344200000000001</v>
    <v>93.1</v>
  </a>
  <a r="1" c="22">
    <v>80.547700000000006</v>
    <v>79.2</v>
    <v>82.2</v>
    <v>82.97</v>
    <v>85.308700000000002</v>
    <v>86.307199999999995</v>
    <v>86.823999999999998</v>
    <v>86.9</v>
    <v>88.14</v>
    <v>90.62</v>
    <v>90.81</v>
    <v>92</v>
    <v>91.88</v>
    <v>91.61</v>
    <v>94.11</v>
    <v>94.559200000000004</v>
    <v>94.06</v>
    <v>93.614500000000007</v>
    <v>93.587100000000007</v>
    <v>92.47</v>
    <v>93.344200000000001</v>
    <v>93.1</v>
  </a>
  <a r="1" c="22">
    <v>48.79</v>
    <v>47.33</v>
    <v>47.6</v>
    <v>49.11</v>
    <v>49.25</v>
    <v>49.67</v>
    <v>50.14</v>
    <v>50.13</v>
    <v>50.44</v>
    <v>50.84</v>
    <v>50.95</v>
    <v>51.48</v>
    <v>51.52</v>
    <v>51.67</v>
    <v>52.07</v>
    <v>51.68</v>
    <v>50.52</v>
    <v>49.88</v>
    <v>49.87</v>
    <v>48.97</v>
    <v>49.8</v>
    <v>50.73</v>
  </a>
  <a r="1" c="254">
    <v>40.57</v>
    <v>40.5</v>
    <v>39</v>
    <v>38.97</v>
    <v>39.25</v>
    <v>39.5</v>
    <v>39.950000000000003</v>
    <v>39.93</v>
    <v>39.409999999999997</v>
    <v>38.880000000000003</v>
    <v>38.64</v>
    <v>38.46</v>
    <v>39.130000000000003</v>
    <v>39.590000000000003</v>
    <v>38.96</v>
    <v>38.92</v>
    <v>38.200000000000003</v>
    <v>38</v>
    <v>38.1</v>
    <v>38.97</v>
    <v>38.880000000000003</v>
    <v>39.46</v>
    <v>40.08</v>
    <v>40.64</v>
    <v>40.81</v>
    <v>40.76</v>
    <v>39.659999999999997</v>
    <v>40.4</v>
    <v>40.159999999999997</v>
    <v>40.61</v>
    <v>40.450000000000003</v>
    <v>40.06</v>
    <v>40.93</v>
    <v>41.02</v>
    <v>41.16</v>
    <v>40.82</v>
    <v>41.61</v>
    <v>41.4</v>
    <v>41.55</v>
    <v>42.17</v>
    <v>42.41</v>
    <v>42.77</v>
    <v>42.47</v>
    <v>42.23</v>
    <v>41.24</v>
    <v>40.31</v>
    <v>39.76</v>
    <v>40.090000000000003</v>
    <v>38.93</v>
    <v>39.07</v>
    <v>38.26</v>
    <v>38.29</v>
    <v>39.24</v>
    <v>38.049999999999997</v>
    <v>38.450000000000003</v>
    <v>36.61</v>
    <v>36.840000000000003</v>
    <v>37.46</v>
    <v>36.630000000000003</v>
    <v>37.700000000000003</v>
    <v>38.299999999999997</v>
    <v>37.69</v>
    <v>38.15</v>
    <v>37.75</v>
    <v>37.840000000000003</v>
    <v>38.6</v>
    <v>38.69</v>
    <v>37.92</v>
    <v>37.619999999999997</v>
    <v>36.54</v>
    <v>36.380000000000003</v>
    <v>36.72</v>
    <v>36.99</v>
    <v>34.83</v>
    <v>32.4</v>
    <v>32.17</v>
    <v>31.5</v>
    <v>35.340000000000003</v>
    <v>33.81</v>
    <v>34.450000000000003</v>
    <v>34.729999999999997</v>
    <v>34.86</v>
    <v>33.9</v>
    <v>33.9</v>
    <v>33.229999999999997</v>
    <v>34.11</v>
    <v>35.090000000000003</v>
    <v>36.200000000000003</v>
    <v>36.770000000000003</v>
    <v>36.799999999999997</v>
    <v>36.950000000000003</v>
    <v>36.869999999999997</v>
    <v>37.17</v>
    <v>38.159999999999997</v>
    <v>38.1</v>
    <v>37.78</v>
    <v>37.89</v>
    <v>38.31</v>
    <v>38.32</v>
    <v>39.92</v>
    <v>40.71</v>
    <v>40.99</v>
    <v>40.81</v>
    <v>40.93</v>
    <v>40.880000000000003</v>
    <v>40.72</v>
    <v>40.22</v>
    <v>40.299999999999997</v>
    <v>39.950000000000003</v>
    <v>40.79</v>
    <v>40.520000000000003</v>
    <v>40.450000000000003</v>
    <v>40.299999999999997</v>
    <v>40.729999999999997</v>
    <v>40.96</v>
    <v>41.35</v>
    <v>41.2</v>
    <v>41.62</v>
    <v>41.9</v>
    <v>42.08</v>
    <v>42.11</v>
    <v>42.19</v>
    <v>41.6</v>
    <v>42.32</v>
    <v>41.93</v>
    <v>41.88</v>
    <v>41.5</v>
    <v>41.96</v>
    <v>43.1</v>
    <v>43.08</v>
    <v>43.48</v>
    <v>43.37</v>
    <v>43.69</v>
    <v>43.2</v>
    <v>43.49</v>
    <v>44</v>
    <v>43.54</v>
    <v>43.68</v>
    <v>43.77</v>
    <v>43.65</v>
    <v>43.28</v>
    <v>43.51</v>
    <v>43.79</v>
    <v>43.98</v>
    <v>44.43</v>
    <v>44.36</v>
    <v>44.53</v>
    <v>44.18</v>
    <v>44.77</v>
    <v>44.59</v>
    <v>44.74</v>
    <v>44.93</v>
    <v>44.88</v>
    <v>44.82</v>
    <v>44.57</v>
    <v>43.47</v>
    <v>44.33</v>
    <v>44.17</v>
    <v>44.64</v>
    <v>44.71</v>
    <v>44.91</v>
    <v>44.68</v>
    <v>45.34</v>
    <v>45.59</v>
    <v>45.23</v>
    <v>45.22</v>
    <v>45.3</v>
    <v>44.49</v>
    <v>44.14</v>
    <v>43.88</v>
    <v>44.94</v>
    <v>44.77</v>
    <v>44.98</v>
    <v>45.01</v>
    <v>45.53</v>
    <v>45.08</v>
    <v>44.62</v>
    <v>44.88</v>
    <v>45.06</v>
    <v>45.46</v>
    <v>46.11</v>
    <v>46.47</v>
    <v>46.83</v>
    <v>47.2</v>
    <v>47.34</v>
    <v>47.96</v>
    <v>48.19</v>
    <v>48.24</v>
    <v>48.78</v>
    <v>49.14</v>
    <v>49.66</v>
    <v>49.23</v>
    <v>49.24</v>
    <v>48.92</v>
    <v>48.92</v>
    <v>49.34</v>
    <v>49.39</v>
    <v>49.89</v>
    <v>50.32</v>
    <v>50.21</v>
    <v>51.06</v>
    <v>50.56</v>
    <v>51.55</v>
    <v>51.27</v>
    <v>48.93</v>
    <v>50.44</v>
    <v>49.81</v>
    <v>50.55</v>
    <v>50.53</v>
    <v>50.5</v>
    <v>51.29</v>
    <v>51.02</v>
    <v>50.4</v>
    <v>51.08</v>
    <v>51.94</v>
    <v>53.09</v>
    <v>53.16</v>
    <v>53.47</v>
    <v>52.7</v>
    <v>53.08</v>
    <v>53.56</v>
    <v>51.56</v>
    <v>52.12</v>
    <v>51.1</v>
    <v>50.68</v>
    <v>52.1</v>
    <v>51.64</v>
    <v>51.58</v>
    <v>50.2</v>
    <v>50.15</v>
    <v>49.5</v>
    <v>48.8</v>
    <v>48.79</v>
    <v>47.33</v>
    <v>47.6</v>
    <v>49.11</v>
    <v>49.25</v>
    <v>49.67</v>
    <v>50.14</v>
    <v>50.13</v>
    <v>50.44</v>
    <v>50.84</v>
    <v>50.95</v>
    <v>51.48</v>
    <v>51.52</v>
    <v>51.67</v>
    <v>52.07</v>
    <v>51.68</v>
    <v>50.52</v>
    <v>49.88</v>
    <v>49.87</v>
    <v>48.97</v>
    <v>49.8</v>
    <v>50.73</v>
  </a>
  <a r="1" c="254">
    <v>62.24</v>
    <v>61.78</v>
    <v>59.74</v>
    <v>59.62</v>
    <v>60.4</v>
    <v>60.77</v>
    <v>61.1</v>
    <v>61.16</v>
    <v>60.68</v>
    <v>59.92</v>
    <v>59.66</v>
    <v>59.62</v>
    <v>60.31</v>
    <v>61.06</v>
    <v>60.73</v>
    <v>60.42</v>
    <v>59.25</v>
    <v>59.15</v>
    <v>59.49</v>
    <v>60.3</v>
    <v>60.61</v>
    <v>61.19</v>
    <v>62.03</v>
    <v>62.25</v>
    <v>62.57</v>
    <v>62.49</v>
    <v>61.5</v>
    <v>62.08</v>
    <v>61.79</v>
    <v>62.32</v>
    <v>62.06</v>
    <v>61.29</v>
    <v>62.17</v>
    <v>62.71</v>
    <v>62.73</v>
    <v>62.35</v>
    <v>62.94</v>
    <v>62.62</v>
    <v>62.82</v>
    <v>63.43</v>
    <v>63.38</v>
    <v>63.86</v>
    <v>63.95</v>
    <v>64</v>
    <v>62.97</v>
    <v>62.41</v>
    <v>62.24</v>
    <v>62.55</v>
    <v>61.07</v>
    <v>61.2</v>
    <v>60.32</v>
    <v>60.35</v>
    <v>61.53</v>
    <v>60.29</v>
    <v>60.94</v>
    <v>58.97</v>
    <v>59.15</v>
    <v>59.32</v>
    <v>58.45</v>
    <v>59.81</v>
    <v>60.76</v>
    <v>60.35</v>
    <v>60.68</v>
    <v>60.19</v>
    <v>59.87</v>
    <v>60.44</v>
    <v>60.45</v>
    <v>59.5</v>
    <v>59.13</v>
    <v>57.93</v>
    <v>57.56</v>
    <v>57.59</v>
    <v>58.05</v>
    <v>55.54</v>
    <v>51.87</v>
    <v>50.93</v>
    <v>49.86</v>
    <v>54.63</v>
    <v>52.69</v>
    <v>54.1</v>
    <v>54.85</v>
    <v>54.97</v>
    <v>54.2</v>
    <v>54.37</v>
    <v>53.6</v>
    <v>54.83</v>
    <v>55.76</v>
    <v>57.23</v>
    <v>57.65</v>
    <v>57.63</v>
    <v>57.91</v>
    <v>57.93</v>
    <v>57.8</v>
    <v>59.14</v>
    <v>59.1</v>
    <v>58.63</v>
    <v>58.56</v>
    <v>58.954999999999998</v>
    <v>59.11</v>
    <v>61.08</v>
    <v>61.61</v>
    <v>61.42</v>
    <v>61.54</v>
    <v>61.82</v>
    <v>61.76</v>
    <v>61.99</v>
    <v>61.29</v>
    <v>61.12</v>
    <v>60.91</v>
    <v>61.98</v>
    <v>61.33</v>
    <v>61.56</v>
    <v>61.23</v>
    <v>61.62</v>
    <v>62.08</v>
    <v>62.69</v>
    <v>62.81</v>
    <v>63.08</v>
    <v>63.47</v>
    <v>63.95</v>
    <v>63.87</v>
    <v>63.98</v>
    <v>62.94</v>
    <v>63.7</v>
    <v>62.91</v>
    <v>62.93</v>
    <v>62.34</v>
    <v>63.1</v>
    <v>64.42</v>
    <v>64.489999999999995</v>
    <v>64.930000000000007</v>
    <v>64.989999999999995</v>
    <v>65.25</v>
    <v>65.040000000000006</v>
    <v>65.599999999999994</v>
    <v>66.36</v>
    <v>65.52</v>
    <v>65.94</v>
    <v>66.33</v>
    <v>66.09</v>
    <v>65.52</v>
    <v>65.59</v>
    <v>65.45</v>
    <v>65.739999999999995</v>
    <v>66.31</v>
    <v>66.4131</v>
    <v>66.646500000000003</v>
    <v>66.930000000000007</v>
    <v>67.63</v>
    <v>67.39</v>
    <v>67.44</v>
    <v>67.209999999999994</v>
    <v>67.010000000000005</v>
    <v>66.69</v>
    <v>65.95</v>
    <v>65.22</v>
    <v>66.069999999999993</v>
    <v>65.812799999999996</v>
    <v>65.84</v>
    <v>65.739999999999995</v>
    <v>65.709999999999994</v>
    <v>65.489999999999995</v>
    <v>66.27</v>
    <v>67</v>
    <v>66.39</v>
    <v>66.69</v>
    <v>67.22</v>
    <v>66.790000000000006</v>
    <v>66.510000000000005</v>
    <v>66.260000000000005</v>
    <v>67.819999999999993</v>
    <v>67.31</v>
    <v>67.81</v>
    <v>68.11</v>
    <v>68.53</v>
    <v>68.2</v>
    <v>67.599999999999994</v>
    <v>67.66</v>
    <v>67.89</v>
    <v>68.92</v>
    <v>69.7</v>
    <v>69.680000000000007</v>
    <v>69.09</v>
    <v>69.87</v>
    <v>69.38</v>
    <v>69.888900000000007</v>
    <v>70.155100000000004</v>
    <v>70.349999999999994</v>
    <v>71.540000000000006</v>
    <v>71.430000000000007</v>
    <v>71.97</v>
    <v>71.38</v>
    <v>71.264600000000002</v>
    <v>70.790000000000006</v>
    <v>70.877200000000002</v>
    <v>71.34</v>
    <v>71.940600000000003</v>
    <v>73.075299999999999</v>
    <v>73.599999999999994</v>
    <v>73.557000000000002</v>
    <v>74.268699999999995</v>
    <v>73.319999999999993</v>
    <v>74.290000000000006</v>
    <v>74.010900000000007</v>
    <v>71.459999999999994</v>
    <v>72.890600000000006</v>
    <v>72.360299999999995</v>
    <v>72.989999999999995</v>
    <v>72.866</v>
    <v>72.968699999999998</v>
    <v>73.896500000000003</v>
    <v>73.84</v>
    <v>73.209999999999994</v>
    <v>74.039599999999993</v>
    <v>74.7</v>
    <v>75.44</v>
    <v>75.37</v>
    <v>75.223600000000005</v>
    <v>74.614000000000004</v>
    <v>75.19</v>
    <v>75.468900000000005</v>
    <v>73.86</v>
    <v>74.689899999999994</v>
    <v>73.723200000000006</v>
    <v>73.523200000000003</v>
    <v>74.94</v>
    <v>75.08</v>
    <v>75.131900000000002</v>
    <v>73.829599999999999</v>
    <v>73.709999999999994</v>
    <v>72.994200000000006</v>
    <v>72.314599999999999</v>
    <v>72.25</v>
    <v>70.59</v>
    <v>71.132599999999996</v>
    <v>72.247500000000002</v>
    <v>73.150000000000006</v>
    <v>73.736000000000004</v>
    <v>74.430000000000007</v>
    <v>73.786299999999997</v>
    <v>74.28</v>
    <v>74.88</v>
    <v>74.9666</v>
    <v>75.321299999999994</v>
    <v>75.290000000000006</v>
    <v>75.168400000000005</v>
    <v>76.0946</v>
    <v>75.959999999999994</v>
    <v>74.98</v>
    <v>74.857299999999995</v>
    <v>69.180000000000007</v>
    <v>68.239999999999995</v>
    <v>69.06</v>
    <v>69.8</v>
  </a>
  <a r="1" c="22">
    <v>72.25</v>
    <v>70.59</v>
    <v>71.132599999999996</v>
    <v>72.247500000000002</v>
    <v>73.150000000000006</v>
    <v>73.736000000000004</v>
    <v>74.430000000000007</v>
    <v>73.786299999999997</v>
    <v>74.28</v>
    <v>74.88</v>
    <v>74.9666</v>
    <v>75.321299999999994</v>
    <v>75.290000000000006</v>
    <v>75.168400000000005</v>
    <v>76.0946</v>
    <v>75.959999999999994</v>
    <v>74.98</v>
    <v>74.857299999999995</v>
    <v>69.180000000000007</v>
    <v>68.239999999999995</v>
    <v>69.06</v>
    <v>69.8</v>
  </a>
  <a r="1" c="22">
    <v>662.63</v>
    <v>652.53</v>
    <v>659.03</v>
    <v>668.73</v>
    <v>675.02</v>
    <v>679.68</v>
    <v>683.39</v>
    <v>680.27</v>
    <v>681.53</v>
    <v>683.89</v>
    <v>684.39</v>
    <v>685.69</v>
    <v>683.63</v>
    <v>683.04</v>
    <v>687.57</v>
    <v>689.17</v>
    <v>681.76</v>
    <v>680.73</v>
    <v>678.87</v>
    <v>671.4</v>
    <v>676.47</v>
    <v>680.59</v>
  </a>
  <a r="1" c="254">
    <v>606.79</v>
    <v>604.29</v>
    <v>586.28</v>
    <v>586.1</v>
    <v>591.15</v>
    <v>594.69000000000005</v>
    <v>601.29999999999995</v>
    <v>601.34</v>
    <v>595.01</v>
    <v>588.22</v>
    <v>586.08000000000004</v>
    <v>584.64</v>
    <v>591.95000000000005</v>
    <v>595.36</v>
    <v>588.63</v>
    <v>589.49</v>
    <v>580.49</v>
    <v>581.39</v>
    <v>582.19000000000005</v>
    <v>592.78</v>
    <v>591.64</v>
    <v>597.58000000000004</v>
    <v>603.04999999999995</v>
    <v>606.44000000000005</v>
    <v>609.75</v>
    <v>607.97</v>
    <v>599.37</v>
    <v>604.52</v>
    <v>601.80999999999995</v>
    <v>605.04</v>
    <v>601.82000000000005</v>
    <v>597.77</v>
    <v>601.78</v>
    <v>604.22</v>
    <v>606.32000000000005</v>
    <v>600.77</v>
    <v>604.85</v>
    <v>605.30999999999995</v>
    <v>603.36</v>
    <v>609.73</v>
    <v>609.70000000000005</v>
    <v>611.49</v>
    <v>612.92999999999995</v>
    <v>610.38</v>
    <v>599.94000000000005</v>
    <v>597.21</v>
    <v>594.24</v>
    <v>594.54</v>
    <v>585.04999999999995</v>
    <v>594.17999999999995</v>
    <v>583.77</v>
    <v>576.86</v>
    <v>583.05999999999995</v>
    <v>572.71</v>
    <v>575.91999999999996</v>
    <v>560.58000000000004</v>
    <v>555.91999999999996</v>
    <v>558.87</v>
    <v>551.41999999999996</v>
    <v>562.80999999999995</v>
    <v>567.15</v>
    <v>561.02</v>
    <v>567.13</v>
    <v>565.49</v>
    <v>563.98</v>
    <v>574.08000000000004</v>
    <v>575.46</v>
    <v>568.59</v>
    <v>567.08000000000004</v>
    <v>555.66</v>
    <v>559.39</v>
    <v>560.97</v>
    <v>564.52</v>
    <v>536.70000000000005</v>
    <v>505.28</v>
    <v>504.38</v>
    <v>496.48</v>
    <v>548.62</v>
    <v>524.58000000000004</v>
    <v>533.94000000000005</v>
    <v>539.12</v>
    <v>537.61</v>
    <v>525.66</v>
    <v>526.41</v>
    <v>513.88</v>
    <v>527.25</v>
    <v>535.41999999999996</v>
    <v>546.69000000000005</v>
    <v>550.64</v>
    <v>550.85</v>
    <v>554.32000000000005</v>
    <v>554.54</v>
    <v>558.47</v>
    <v>566.76</v>
    <v>563.51</v>
    <v>558.79999999999995</v>
    <v>561.15</v>
    <v>565.05999999999995</v>
    <v>564.34</v>
    <v>582.99</v>
    <v>586.84</v>
    <v>587.59</v>
    <v>590.46</v>
    <v>594.20000000000005</v>
    <v>594.85</v>
    <v>592.85</v>
    <v>582.86</v>
    <v>583.09</v>
    <v>579.11</v>
    <v>591.15</v>
    <v>587.73</v>
    <v>590.04999999999995</v>
    <v>589.39</v>
    <v>592.71</v>
    <v>596.09</v>
    <v>595.92999999999995</v>
    <v>593.04999999999995</v>
    <v>599.14</v>
    <v>599.67999999999995</v>
    <v>603.08000000000004</v>
    <v>601.36</v>
    <v>603.75</v>
    <v>597</v>
    <v>602.67999999999995</v>
    <v>597.53</v>
    <v>597.44000000000005</v>
    <v>594.28</v>
    <v>600.15</v>
    <v>606.78</v>
    <v>607.12</v>
    <v>611.87</v>
    <v>614.91</v>
    <v>617.85</v>
    <v>617.65</v>
    <v>620.45000000000005</v>
    <v>625.34</v>
    <v>620.67999999999995</v>
    <v>620.34</v>
    <v>624.05999999999995</v>
    <v>625.82000000000005</v>
    <v>623.62</v>
    <v>624.80999999999995</v>
    <v>622.14</v>
    <v>624.22</v>
    <v>628.04</v>
    <v>627.58000000000004</v>
    <v>628.77</v>
    <v>628.86</v>
    <v>634.21</v>
    <v>634.41999999999996</v>
    <v>637.1</v>
    <v>636.94000000000005</v>
    <v>635.26</v>
    <v>634.46</v>
    <v>632.08000000000004</v>
    <v>621.72</v>
    <v>631.16999999999996</v>
    <v>627.97</v>
    <v>632.78</v>
    <v>632.25</v>
    <v>637.17999999999995</v>
    <v>635.91999999999996</v>
    <v>642.69000000000005</v>
    <v>644.89</v>
    <v>644.95000000000005</v>
    <v>643.44000000000005</v>
    <v>643.29999999999995</v>
    <v>639.80999999999995</v>
    <v>638.11</v>
    <v>635.54999999999995</v>
    <v>645.30999999999995</v>
    <v>642.47</v>
    <v>645.16</v>
    <v>646.63</v>
    <v>648.91999999999996</v>
    <v>645.04999999999995</v>
    <v>640.27</v>
    <v>643.74</v>
    <v>649.12</v>
    <v>647.24</v>
    <v>648.83000000000004</v>
    <v>650.33000000000004</v>
    <v>652.21</v>
    <v>657.63</v>
    <v>657.41</v>
    <v>660.91</v>
    <v>660</v>
    <v>659.18</v>
    <v>662.26</v>
    <v>663.7</v>
    <v>666.84</v>
    <v>663.21</v>
    <v>661.1</v>
    <v>658.05</v>
    <v>661.82</v>
    <v>663.68</v>
    <v>666.18</v>
    <v>668.45</v>
    <v>669.22</v>
    <v>669.21</v>
    <v>671.61</v>
    <v>669.12</v>
    <v>673.11</v>
    <v>671.16</v>
    <v>653.02</v>
    <v>663.04</v>
    <v>662.23</v>
    <v>665.17</v>
    <v>660.64</v>
    <v>664.39</v>
    <v>671.3</v>
    <v>671.29</v>
    <v>667.8</v>
    <v>671.76</v>
    <v>677.25</v>
    <v>685.24</v>
    <v>687.06</v>
    <v>687.39</v>
    <v>679.83</v>
    <v>682.06</v>
    <v>683.34</v>
    <v>675.24</v>
    <v>677.58</v>
    <v>670.31</v>
    <v>670.97</v>
    <v>681.44</v>
    <v>683</v>
    <v>683.38</v>
    <v>672.04</v>
    <v>671.93</v>
    <v>665.67</v>
    <v>660.08</v>
    <v>662.63</v>
    <v>652.53</v>
    <v>659.03</v>
    <v>668.73</v>
    <v>675.02</v>
    <v>679.68</v>
    <v>683.39</v>
    <v>680.27</v>
    <v>681.53</v>
    <v>683.89</v>
    <v>684.39</v>
    <v>685.69</v>
    <v>683.63</v>
    <v>683.04</v>
    <v>687.57</v>
    <v>689.17</v>
    <v>681.76</v>
    <v>680.73</v>
    <v>678.87</v>
    <v>671.4</v>
    <v>676.47</v>
    <v>680.59</v>
  </a>
  <a r="1" c="254">
    <v>33.25</v>
    <v>33.119999999999997</v>
    <v>32.06</v>
    <v>31.8</v>
    <v>32.29</v>
    <v>32.380000000000003</v>
    <v>32.64</v>
    <v>32.92</v>
    <v>32.520000000000003</v>
    <v>32.22</v>
    <v>31.95</v>
    <v>32.33</v>
    <v>32.950000000000003</v>
    <v>33.18</v>
    <v>32.56</v>
    <v>32.39</v>
    <v>31.79</v>
    <v>31.46</v>
    <v>31.49</v>
    <v>32.39</v>
    <v>32.590000000000003</v>
    <v>33.03</v>
    <v>33.979999999999997</v>
    <v>34.380000000000003</v>
    <v>34.53</v>
    <v>34.49</v>
    <v>33.01</v>
    <v>33.78</v>
    <v>33.33</v>
    <v>33.450000000000003</v>
    <v>33.18</v>
    <v>32.619999999999997</v>
    <v>33.14</v>
    <v>33.61</v>
    <v>33.549999999999997</v>
    <v>33.56</v>
    <v>34.270000000000003</v>
    <v>34.020000000000003</v>
    <v>34.14</v>
    <v>33.96</v>
    <v>33.82</v>
    <v>34.49</v>
    <v>34.33</v>
    <v>34.32</v>
    <v>33.630000000000003</v>
    <v>33.020000000000003</v>
    <v>32.979999999999997</v>
    <v>33.229999999999997</v>
    <v>32.22</v>
    <v>32.07</v>
    <v>31.28</v>
    <v>31.23</v>
    <v>31.89</v>
    <v>30.96</v>
    <v>31.24</v>
    <v>29.99</v>
    <v>30.18</v>
    <v>30.6</v>
    <v>29.75</v>
    <v>30.66</v>
    <v>30.88</v>
    <v>30.5</v>
    <v>30.83</v>
    <v>30.53</v>
    <v>30.34</v>
    <v>30.68</v>
    <v>30.74</v>
    <v>30.04</v>
    <v>29.86</v>
    <v>28.95</v>
    <v>28.46</v>
    <v>28.63</v>
    <v>28.93</v>
    <v>27.24</v>
    <v>25.38</v>
    <v>24.8</v>
    <v>24.51</v>
    <v>27.49</v>
    <v>26.33</v>
    <v>26.87</v>
    <v>27.04</v>
    <v>27.1</v>
    <v>26.51</v>
    <v>26.62</v>
    <v>26.17</v>
    <v>26.68</v>
    <v>27.49</v>
    <v>28.15</v>
    <v>28.59</v>
    <v>28.51</v>
    <v>28.64</v>
    <v>28.56</v>
    <v>28.71</v>
    <v>29.28</v>
    <v>29.27</v>
    <v>29.24</v>
    <v>29.12</v>
    <v>29.49</v>
    <v>29.34</v>
    <v>30.61</v>
    <v>31.03</v>
    <v>31.09</v>
    <v>31.05</v>
    <v>31.204999999999998</v>
    <v>30.99</v>
    <v>31.19</v>
    <v>30.66</v>
    <v>30.75</v>
    <v>30.57</v>
    <v>31.51</v>
    <v>31.08</v>
    <v>31.31</v>
    <v>30.9</v>
    <v>30.97</v>
    <v>31.3</v>
    <v>31.4</v>
    <v>31.28</v>
    <v>31.4</v>
    <v>31.4</v>
    <v>31.6</v>
    <v>31.53</v>
    <v>31.41</v>
    <v>30.91</v>
    <v>31.27</v>
    <v>30.79</v>
    <v>31.04</v>
    <v>30.45</v>
    <v>30.74</v>
    <v>31.44</v>
    <v>31.54</v>
    <v>32.28</v>
    <v>32.520000000000003</v>
    <v>32.65</v>
    <v>32.14</v>
    <v>32.49</v>
    <v>32.79</v>
    <v>32.159999999999997</v>
    <v>32.36</v>
    <v>32.770000000000003</v>
    <v>32.54</v>
    <v>32.270000000000003</v>
    <v>32.28</v>
    <v>32.33</v>
    <v>32.56</v>
    <v>33.22</v>
    <v>33.159999999999997</v>
    <v>33.01</v>
    <v>32.880000000000003</v>
    <v>34.53</v>
    <v>34.49</v>
    <v>34.33</v>
    <v>34.26</v>
    <v>33.86</v>
    <v>33.700000000000003</v>
    <v>33.47</v>
    <v>33.119999999999997</v>
    <v>33.97</v>
    <v>33.93</v>
    <v>33.6</v>
    <v>33.43</v>
    <v>33.6</v>
    <v>33.31</v>
    <v>33.880000000000003</v>
    <v>34.270000000000003</v>
    <v>33.909999999999997</v>
    <v>34.08</v>
    <v>34.07</v>
    <v>33.479999999999997</v>
    <v>33.18</v>
    <v>32.869999999999997</v>
    <v>33.81</v>
    <v>33.67</v>
    <v>33.799999999999997</v>
    <v>33.799999999999997</v>
    <v>34.07</v>
    <v>33.549999999999997</v>
    <v>33.299999999999997</v>
    <v>33.17</v>
    <v>33.25</v>
    <v>33.58</v>
    <v>34.11</v>
    <v>33.82</v>
    <v>33.729999999999997</v>
    <v>34.21</v>
    <v>34.04</v>
    <v>34.409999999999997</v>
    <v>34.46</v>
    <v>34.369999999999997</v>
    <v>35.03</v>
    <v>35</v>
    <v>35.96</v>
    <v>35.659999999999997</v>
    <v>35.11</v>
    <v>34.89</v>
    <v>34.85</v>
    <v>35.08</v>
    <v>35.43</v>
    <v>35.71</v>
    <v>36.31</v>
    <v>36.75</v>
    <v>37.4</v>
    <v>36.81</v>
    <v>37.24</v>
    <v>37.299999999999997</v>
    <v>35.65</v>
    <v>36.75</v>
    <v>36.47</v>
    <v>36.86</v>
    <v>36.49</v>
    <v>36.049999999999997</v>
    <v>37.06</v>
    <v>36.880000000000003</v>
    <v>36.83</v>
    <v>37.36</v>
    <v>37.729999999999997</v>
    <v>38.18</v>
    <v>38.06</v>
    <v>38.159999999999997</v>
    <v>37.405000000000001</v>
    <v>37.83</v>
    <v>38.25</v>
    <v>37.32</v>
    <v>37</v>
    <v>35.979999999999997</v>
    <v>36</v>
    <v>36.57</v>
    <v>36.29</v>
    <v>36.19</v>
    <v>35.299999999999997</v>
    <v>35.15</v>
    <v>34.32</v>
    <v>33.700000000000003</v>
    <v>33.840000000000003</v>
    <v>33.08</v>
    <v>33.49</v>
    <v>34.07</v>
    <v>34.549999999999997</v>
    <v>34.869999999999997</v>
    <v>35.17</v>
    <v>35.25</v>
    <v>35.15</v>
    <v>35.51</v>
    <v>36.880000000000003</v>
    <v>36.770000000000003</v>
    <v>36.89</v>
    <v>36.880000000000003</v>
    <v>37.03</v>
    <v>36.93</v>
    <v>36.380000000000003</v>
    <v>36.14</v>
    <v>35.79</v>
    <v>35</v>
    <v>35.36</v>
    <v>35.96</v>
  </a>
  <a r="1" c="22">
    <v>33.840000000000003</v>
    <v>33.08</v>
    <v>33.49</v>
    <v>34.07</v>
    <v>34.549999999999997</v>
    <v>34.869999999999997</v>
    <v>35.17</v>
    <v>35.25</v>
    <v>35.15</v>
    <v>35.51</v>
    <v>36.880000000000003</v>
    <v>36.770000000000003</v>
    <v>36.89</v>
    <v>36.880000000000003</v>
    <v>37.03</v>
    <v>36.93</v>
    <v>36.380000000000003</v>
    <v>36.14</v>
    <v>35.79</v>
    <v>35</v>
    <v>35.36</v>
    <v>35.96</v>
  </a>
  <a r="1" c="254">
    <v>181.56</v>
    <v>180.13</v>
    <v>174.8</v>
    <v>174.22</v>
    <v>176.66</v>
    <v>176.28</v>
    <v>177.61</v>
    <v>177.9</v>
    <v>176.69</v>
    <v>174.91</v>
    <v>175.23</v>
    <v>174.72</v>
    <v>176.32</v>
    <v>176.2</v>
    <v>175.61</v>
    <v>175.82</v>
    <v>173.25</v>
    <v>174.67</v>
    <v>176.08</v>
    <v>177.77</v>
    <v>179.17</v>
    <v>180.04</v>
    <v>182.13</v>
    <v>181.49</v>
    <v>182.35</v>
    <v>182.19</v>
    <v>182.31</v>
    <v>181.41</v>
    <v>180.81</v>
    <v>182.74</v>
    <v>181.24</v>
    <v>180.25</v>
    <v>180.47</v>
    <v>181.35</v>
    <v>181.11</v>
    <v>180.22</v>
    <v>180.73</v>
    <v>180.75</v>
    <v>179.7</v>
    <v>181.26</v>
    <v>181.08</v>
    <v>182.47</v>
    <v>182.84</v>
    <v>182.38</v>
    <v>179.82</v>
    <v>179.97</v>
    <v>180.15</v>
    <v>179.77</v>
    <v>178.2</v>
    <v>180.18</v>
    <v>178.26</v>
    <v>175.38</v>
    <v>177.01</v>
    <v>175.05</v>
    <v>176.69</v>
    <v>174.2</v>
    <v>171.88</v>
    <v>171.07</v>
    <v>169.43</v>
    <v>172.66</v>
    <v>174.99</v>
    <v>174.08</v>
    <v>175.37</v>
    <v>174.64</v>
    <v>173.84</v>
    <v>175.69</v>
    <v>175.27</v>
    <v>174.94</v>
    <v>174.49</v>
    <v>171.8</v>
    <v>173.23</v>
    <v>173.41</v>
    <v>174.86</v>
    <v>166.53</v>
    <v>157.18</v>
    <v>155.87</v>
    <v>152.93</v>
    <v>165.16</v>
    <v>159.6</v>
    <v>162.02000000000001</v>
    <v>164.09</v>
    <v>163.56</v>
    <v>161.46</v>
    <v>162.66</v>
    <v>159.38999999999999</v>
    <v>163.32</v>
    <v>164.9</v>
    <v>167.69</v>
    <v>167.45</v>
    <v>167.92</v>
    <v>168.9</v>
    <v>169.14</v>
    <v>168.91</v>
    <v>171.89</v>
    <v>171.32</v>
    <v>170.05</v>
    <v>171.17</v>
    <v>172.61</v>
    <v>172.57</v>
    <v>177.3</v>
    <v>177.7</v>
    <v>176.63</v>
    <v>178.24</v>
    <v>179.99</v>
    <v>179.97</v>
    <v>179.5</v>
    <v>175.59</v>
    <v>175.03</v>
    <v>174.33</v>
    <v>177.58</v>
    <v>176.07</v>
    <v>176.5</v>
    <v>176.43</v>
    <v>176.57</v>
    <v>178.04</v>
    <v>177.64</v>
    <v>177.16</v>
    <v>178.69</v>
    <v>178.72</v>
    <v>179.61</v>
    <v>179.1</v>
    <v>179.52</v>
    <v>177.35</v>
    <v>179.06</v>
    <v>177.34</v>
    <v>177.36</v>
    <v>177.65</v>
    <v>178.49</v>
    <v>180.18</v>
    <v>178.88</v>
    <v>180.23</v>
    <v>180.89</v>
    <v>181.74</v>
    <v>183.87</v>
    <v>184.29</v>
    <v>185.18</v>
    <v>183.7</v>
    <v>184.16</v>
    <v>184.71</v>
    <v>185.78</v>
    <v>184.42</v>
    <v>184.61</v>
    <v>182.05</v>
    <v>182.76</v>
    <v>184.25</v>
    <v>184.18</v>
    <v>183.55</v>
    <v>185.89</v>
    <v>187.43</v>
    <v>186.83</v>
    <v>187.73</v>
    <v>186.62</v>
    <v>186.53</v>
    <v>185.32</v>
    <v>183.63</v>
    <v>181.56</v>
    <v>183.78</v>
    <v>183.27</v>
    <v>182.86</v>
    <v>182.75</v>
    <v>183.08</v>
    <v>182.58</v>
    <v>184.9</v>
    <v>187.54</v>
    <v>186.32</v>
    <v>185.86</v>
    <v>185.82</v>
    <v>186.69</v>
    <v>186.52</v>
    <v>185.87</v>
    <v>189.49</v>
    <v>188.04</v>
    <v>188.17</v>
    <v>188.85</v>
    <v>188.76</v>
    <v>188.62</v>
    <v>187.13</v>
    <v>186.84</v>
    <v>188.22</v>
    <v>188.44</v>
    <v>188.29</v>
    <v>187.71</v>
    <v>187.52</v>
    <v>190.33</v>
    <v>188.96</v>
    <v>188.63</v>
    <v>188.13</v>
    <v>188.31</v>
    <v>189.54</v>
    <v>189.21</v>
    <v>188.48</v>
    <v>188.71</v>
    <v>188.27</v>
    <v>186.72</v>
    <v>188.57</v>
    <v>189.2</v>
    <v>189.7</v>
    <v>190.13</v>
    <v>190.58</v>
    <v>191.25</v>
    <v>191.19</v>
    <v>190.35</v>
    <v>190.97</v>
    <v>189.39</v>
    <v>185.12</v>
    <v>186.92</v>
    <v>188.47</v>
    <v>188.85</v>
    <v>187.06</v>
    <v>188.01</v>
    <v>189.89</v>
    <v>190.76</v>
    <v>189.84</v>
    <v>190.74</v>
    <v>191.26</v>
    <v>192.11</v>
    <v>190.46</v>
    <v>188.33</v>
    <v>187.52</v>
    <v>187.93</v>
    <v>187.47</v>
    <v>186.23</v>
    <v>187.32</v>
    <v>186</v>
    <v>187.56</v>
    <v>188.64</v>
    <v>189.73</v>
    <v>190.18</v>
    <v>188.03</v>
    <v>187.34</v>
    <v>184.88</v>
    <v>184.99</v>
    <v>184.43</v>
    <v>182.18</v>
    <v>185.76</v>
    <v>186.53</v>
    <v>189.18</v>
    <v>190.5</v>
    <v>191.53</v>
    <v>190.22</v>
    <v>190.04</v>
    <v>191.49</v>
    <v>191.55</v>
    <v>192</v>
    <v>190.85</v>
    <v>190.49</v>
    <v>193.17</v>
    <v>194.73</v>
    <v>193.41</v>
    <v>193.65</v>
    <v>192.29</v>
    <v>191.77</v>
    <v>192.18</v>
    <v>192.88</v>
  </a>
  <a r="1" c="22">
    <v>184.43</v>
    <v>182.18</v>
    <v>185.76</v>
    <v>186.53</v>
    <v>189.18</v>
    <v>190.5</v>
    <v>191.53</v>
    <v>190.22</v>
    <v>190.04</v>
    <v>191.49</v>
    <v>191.55</v>
    <v>192</v>
    <v>190.85</v>
    <v>190.49</v>
    <v>193.17</v>
    <v>194.73</v>
    <v>193.41</v>
    <v>193.65</v>
    <v>192.29</v>
    <v>191.77</v>
    <v>192.18</v>
    <v>192.88</v>
  </a>
  <a r="1" c="22">
    <v>85.74</v>
    <v>84.46</v>
    <v>86.35</v>
    <v>86.52</v>
    <v>87.81</v>
    <v>88.89</v>
    <v>89.4</v>
    <v>89.18</v>
    <v>44.185000000000002</v>
    <v>44.494999999999997</v>
    <v>44.234999999999999</v>
    <v>44.09</v>
    <v>43.48</v>
    <v>43.39</v>
    <v>44.24</v>
    <v>45.12</v>
    <v>45.15</v>
    <v>45.12</v>
    <v>45</v>
    <v>45.19</v>
    <v>45.17</v>
    <v>45.37</v>
  </a>
  <a r="1" c="254">
    <v>88.44</v>
    <v>87.95</v>
    <v>85.45</v>
    <v>84.53</v>
    <v>85.58</v>
    <v>85.07</v>
    <v>85.53</v>
    <v>85.4</v>
    <v>84.94</v>
    <v>83.8</v>
    <v>84.14</v>
    <v>83.21</v>
    <v>83.19</v>
    <v>83.75</v>
    <v>83.7</v>
    <v>84.16</v>
    <v>83.3</v>
    <v>85.16</v>
    <v>86.22</v>
    <v>87.04</v>
    <v>87.76</v>
    <v>88.33</v>
    <v>89.46</v>
    <v>88.74</v>
    <v>89.23</v>
    <v>89</v>
    <v>89.05</v>
    <v>88.76</v>
    <v>88.6</v>
    <v>89.44</v>
    <v>88.79</v>
    <v>88.88</v>
    <v>89.14</v>
    <v>89.07</v>
    <v>89.38</v>
    <v>88.29</v>
    <v>88.74</v>
    <v>89.26</v>
    <v>88.62</v>
    <v>90.16</v>
    <v>89.85</v>
    <v>90.99</v>
    <v>89.92</v>
    <v>89.71</v>
    <v>88.07</v>
    <v>87.97</v>
    <v>88.65</v>
    <v>88.61</v>
    <v>88.01</v>
    <v>88.76</v>
    <v>86.98</v>
    <v>85.8</v>
    <v>88.04</v>
    <v>87.58</v>
    <v>87.82</v>
    <v>85.99</v>
    <v>85.33</v>
    <v>84.93</v>
    <v>84.87</v>
    <v>85.98</v>
    <v>87.06</v>
    <v>86.91</v>
    <v>87.2</v>
    <v>86.65</v>
    <v>85.79</v>
    <v>86.54</v>
    <v>86.52</v>
    <v>86.68</v>
    <v>86.64</v>
    <v>85.05</v>
    <v>85.98</v>
    <v>86.3</v>
    <v>87.01</v>
    <v>83.08</v>
    <v>77.88</v>
    <v>76.63</v>
    <v>74.27</v>
    <v>80.760000000000005</v>
    <v>78.180000000000007</v>
    <v>80.5</v>
    <v>81.47</v>
    <v>80.83</v>
    <v>80.2</v>
    <v>80.75</v>
    <v>79.52</v>
    <v>81.38</v>
    <v>81.48</v>
    <v>83.24</v>
    <v>82.62</v>
    <v>82.77</v>
    <v>83.46</v>
    <v>83.89</v>
    <v>83.52</v>
    <v>84.93</v>
    <v>84.3</v>
    <v>83.69</v>
    <v>83.23</v>
    <v>84.34</v>
    <v>84.56</v>
    <v>86.52</v>
    <v>86.09</v>
    <v>85.3</v>
    <v>86.17</v>
    <v>87.05</v>
    <v>87.27</v>
    <v>87.12</v>
    <v>85.96</v>
    <v>85.87</v>
    <v>85.7</v>
    <v>87.2</v>
    <v>86.01</v>
    <v>86.33</v>
    <v>86.34</v>
    <v>86.85</v>
    <v>87.74</v>
    <v>88.07</v>
    <v>87.55</v>
    <v>87.78</v>
    <v>88.37</v>
    <v>88.92</v>
    <v>88.04</v>
    <v>88.41</v>
    <v>87.38</v>
    <v>88.12</v>
    <v>87.26</v>
    <v>87.01</v>
    <v>86.42</v>
    <v>86.94</v>
    <v>87.66</v>
    <v>86.82</v>
    <v>87.78</v>
    <v>87.89</v>
    <v>87.81</v>
    <v>90.08</v>
    <v>91.43</v>
    <v>91.37</v>
    <v>90.49</v>
    <v>91.23</v>
    <v>91.78</v>
    <v>92.27</v>
    <v>91.52</v>
    <v>91.01</v>
    <v>89.14</v>
    <v>89.38</v>
    <v>90.01</v>
    <v>90.22</v>
    <v>90.68</v>
    <v>91.93</v>
    <v>92.24</v>
    <v>91.29</v>
    <v>92.37</v>
    <v>91.03</v>
    <v>90.68</v>
    <v>88.85</v>
    <v>87.73</v>
    <v>86.72</v>
    <v>87.87</v>
    <v>88.49</v>
    <v>87.53</v>
    <v>87.91</v>
    <v>88.35</v>
    <v>88.15</v>
    <v>89.3</v>
    <v>90.98</v>
    <v>90.03</v>
    <v>90.03</v>
    <v>89.51</v>
    <v>90.05</v>
    <v>90.12</v>
    <v>90.39</v>
    <v>92.18</v>
    <v>91.67</v>
    <v>91.92</v>
    <v>92.15</v>
    <v>92.15</v>
    <v>92.28</v>
    <v>91.59</v>
    <v>90.97</v>
    <v>91.32</v>
    <v>91.96</v>
    <v>92.04</v>
    <v>90.54</v>
    <v>90.71</v>
    <v>92.61</v>
    <v>91.68</v>
    <v>90.94</v>
    <v>90.66</v>
    <v>90.87</v>
    <v>90.87</v>
    <v>90.83</v>
    <v>90.37</v>
    <v>90.08</v>
    <v>88.98</v>
    <v>87.82</v>
    <v>88.84</v>
    <v>89.18</v>
    <v>89.62</v>
    <v>88.68</v>
    <v>89.71</v>
    <v>89.86</v>
    <v>89.78</v>
    <v>89.42</v>
    <v>89.9</v>
    <v>88.67</v>
    <v>86.85</v>
    <v>88.23</v>
    <v>89.11</v>
    <v>88.71</v>
    <v>88.05</v>
    <v>87.88</v>
    <v>88.93</v>
    <v>88.59</v>
    <v>88.32</v>
    <v>89.38</v>
    <v>89.01</v>
    <v>88.97</v>
    <v>89.09</v>
    <v>87.34</v>
    <v>86.17</v>
    <v>85.67</v>
    <v>85.14</v>
    <v>84.72</v>
    <v>85.22</v>
    <v>84.8</v>
    <v>85.82</v>
    <v>86.63</v>
    <v>87.53</v>
    <v>88.15</v>
    <v>87.57</v>
    <v>86.77</v>
    <v>85.45</v>
    <v>85.52</v>
    <v>85.74</v>
    <v>84.46</v>
    <v>86.35</v>
    <v>86.52</v>
    <v>87.81</v>
    <v>88.89</v>
    <v>89.4</v>
    <v>89.18</v>
    <v>44.185000000000002</v>
    <v>44.494999999999997</v>
    <v>44.234999999999999</v>
    <v>44.09</v>
    <v>43.48</v>
    <v>43.39</v>
    <v>44.24</v>
    <v>45.12</v>
    <v>45.15</v>
    <v>45.12</v>
    <v>45</v>
    <v>45.19</v>
    <v>45.17</v>
    <v>45.37</v>
  </a>
  <a r="1" c="22">
    <v>280.97000000000003</v>
    <v>272.14999999999998</v>
    <v>273.2</v>
    <v>279.70999999999998</v>
    <v>280.45999999999998</v>
    <v>283.77999999999997</v>
    <v>286.22000000000003</v>
    <v>286.35000000000002</v>
    <v>144.65</v>
    <v>144.995</v>
    <v>145.535</v>
    <v>146.6</v>
    <v>147.63</v>
    <v>148.02000000000001</v>
    <v>148.72999999999999</v>
    <v>147.97</v>
    <v>143.69</v>
    <v>142.30000000000001</v>
    <v>142.56</v>
    <v>139.38999999999999</v>
    <v>141.54</v>
    <v>144.6</v>
  </a>
  <a r="1" c="254">
    <v>241.44</v>
    <v>239.98</v>
    <v>232.24</v>
    <v>232.49</v>
    <v>235.96</v>
    <v>238.07</v>
    <v>240.53</v>
    <v>240.69</v>
    <v>237.49</v>
    <v>234.47</v>
    <v>232.52</v>
    <v>231.97</v>
    <v>235.75</v>
    <v>238.75</v>
    <v>233.96</v>
    <v>233.88</v>
    <v>228.78</v>
    <v>227.16</v>
    <v>227.76</v>
    <v>232.29</v>
    <v>230.5</v>
    <v>234.11</v>
    <v>236.06</v>
    <v>241.39</v>
    <v>241.82</v>
    <v>239.3</v>
    <v>227.57</v>
    <v>233.64</v>
    <v>231.74</v>
    <v>232.17</v>
    <v>230.81</v>
    <v>227.7</v>
    <v>230.98</v>
    <v>234.19</v>
    <v>234.83</v>
    <v>232.82</v>
    <v>236.22</v>
    <v>236.33</v>
    <v>235.82</v>
    <v>239.16</v>
    <v>239.97</v>
    <v>242.16</v>
    <v>242.18</v>
    <v>241.41</v>
    <v>234.87</v>
    <v>231.51</v>
    <v>228.51</v>
    <v>231</v>
    <v>222.59</v>
    <v>225.53</v>
    <v>218.67</v>
    <v>218.5</v>
    <v>221.57</v>
    <v>215.42</v>
    <v>218.54</v>
    <v>209.25</v>
    <v>208.4</v>
    <v>211.68</v>
    <v>207.66</v>
    <v>213.94</v>
    <v>215.43</v>
    <v>212.15</v>
    <v>214.91</v>
    <v>213.38</v>
    <v>213.96</v>
    <v>217.63</v>
    <v>218.35</v>
    <v>213.48</v>
    <v>211.51</v>
    <v>206.38</v>
    <v>206.48</v>
    <v>207.99</v>
    <v>209.53</v>
    <v>195.23</v>
    <v>182.37</v>
    <v>183.46</v>
    <v>179.73</v>
    <v>203.86</v>
    <v>194.37</v>
    <v>198.35</v>
    <v>200.16</v>
    <v>200.89</v>
    <v>193.91</v>
    <v>192.86</v>
    <v>187.88</v>
    <v>192.46</v>
    <v>198.04</v>
    <v>205.43</v>
    <v>208.47</v>
    <v>208.13</v>
    <v>209.1</v>
    <v>209.97</v>
    <v>213.05</v>
    <v>216.61</v>
    <v>215.46</v>
    <v>213.67</v>
    <v>215.81</v>
    <v>217.87</v>
    <v>217.6</v>
    <v>227.7</v>
    <v>232.62</v>
    <v>234.13</v>
    <v>234.45</v>
    <v>234.89</v>
    <v>234.55</v>
    <v>233.67</v>
    <v>229.28</v>
    <v>229.34</v>
    <v>226.81</v>
    <v>232.2</v>
    <v>231.24</v>
    <v>231.63</v>
    <v>230.91</v>
    <v>232.95</v>
    <v>236.45</v>
    <v>236.8</v>
    <v>236.13</v>
    <v>238.36</v>
    <v>239.53</v>
    <v>240.87</v>
    <v>240.34</v>
    <v>242.57</v>
    <v>239.17</v>
    <v>243.04</v>
    <v>241.32</v>
    <v>241.61</v>
    <v>240.54</v>
    <v>242.88</v>
    <v>247.24</v>
    <v>249.35</v>
    <v>251.07</v>
    <v>250.77</v>
    <v>253.23</v>
    <v>250.97</v>
    <v>253.62</v>
    <v>256.95999999999998</v>
    <v>254.92</v>
    <v>256.29000000000002</v>
    <v>257.83</v>
    <v>256.98</v>
    <v>255.85</v>
    <v>255.64</v>
    <v>257.91000000000003</v>
    <v>258.70999999999998</v>
    <v>261.06</v>
    <v>260.89</v>
    <v>261.23</v>
    <v>258.81</v>
    <v>260.29000000000002</v>
    <v>261.39</v>
    <v>261.99</v>
    <v>264.08</v>
    <v>264.08999999999997</v>
    <v>264.68</v>
    <v>262.74</v>
    <v>257.07</v>
    <v>262.29000000000002</v>
    <v>260.12</v>
    <v>263.05</v>
    <v>263.29000000000002</v>
    <v>265.92</v>
    <v>264.12</v>
    <v>268.20999999999998</v>
    <v>268.31</v>
    <v>267.73</v>
    <v>265.7</v>
    <v>266.27</v>
    <v>261.62</v>
    <v>259.85000000000002</v>
    <v>258.91000000000003</v>
    <v>262.42</v>
    <v>261.83</v>
    <v>263.02999999999997</v>
    <v>264.45</v>
    <v>266.54000000000002</v>
    <v>262.45</v>
    <v>259.8</v>
    <v>261.35000000000002</v>
    <v>262.64</v>
    <v>262.86</v>
    <v>264.83</v>
    <v>265.33999999999997</v>
    <v>270.14999999999998</v>
    <v>271.06</v>
    <v>270.88</v>
    <v>273.32</v>
    <v>272.37</v>
    <v>271.43</v>
    <v>276.12</v>
    <v>278.92</v>
    <v>282.66000000000003</v>
    <v>280.22000000000003</v>
    <v>278.49</v>
    <v>278</v>
    <v>278.83999999999997</v>
    <v>280.33</v>
    <v>281.86</v>
    <v>284.62</v>
    <v>286.16000000000003</v>
    <v>284.72000000000003</v>
    <v>287.60000000000002</v>
    <v>285.68</v>
    <v>290.69</v>
    <v>290.2</v>
    <v>278.39</v>
    <v>285.17</v>
    <v>281.51</v>
    <v>284.3</v>
    <v>284.51</v>
    <v>285.01</v>
    <v>288.19</v>
    <v>288.33999999999997</v>
    <v>285.49</v>
    <v>289.08999999999997</v>
    <v>293.58</v>
    <v>299</v>
    <v>301.95999999999998</v>
    <v>304.13</v>
    <v>300.39</v>
    <v>300.68</v>
    <v>301.91000000000003</v>
    <v>293.94</v>
    <v>295.08999999999997</v>
    <v>289.16000000000003</v>
    <v>288.16000000000003</v>
    <v>295.52999999999997</v>
    <v>293.01</v>
    <v>293.92</v>
    <v>286.58999999999997</v>
    <v>288.14999999999998</v>
    <v>283.64</v>
    <v>279.02999999999997</v>
    <v>280.97000000000003</v>
    <v>272.14999999999998</v>
    <v>273.2</v>
    <v>279.70999999999998</v>
    <v>280.45999999999998</v>
    <v>283.77999999999997</v>
    <v>286.22000000000003</v>
    <v>286.35000000000002</v>
    <v>144.65</v>
    <v>144.995</v>
    <v>145.535</v>
    <v>146.6</v>
    <v>147.63</v>
    <v>148.02000000000001</v>
    <v>148.72999999999999</v>
    <v>147.97</v>
    <v>143.69</v>
    <v>142.30000000000001</v>
    <v>142.56</v>
    <v>139.38999999999999</v>
    <v>141.54</v>
    <v>144.6</v>
  </a>
  <a r="1" c="254">
    <v>13.95</v>
    <v>14.46</v>
    <v>14.54</v>
    <v>15.4</v>
    <v>15.87</v>
    <v>15.63</v>
    <v>16.14</v>
    <v>15.37</v>
    <v>15.76</v>
    <v>18.03</v>
    <v>16.809999999999999</v>
    <v>17.010000000000002</v>
    <v>15.59</v>
    <v>17.16</v>
    <v>15.99</v>
    <v>17.11</v>
    <v>18.420000000000002</v>
    <v>18.22</v>
    <v>18.47</v>
    <v>19.12</v>
    <v>19.940000000000001</v>
    <v>18.34</v>
    <v>17.73</v>
    <v>18.54</v>
    <v>18.25</v>
    <v>18.12</v>
    <v>17.149999999999999</v>
    <v>16.29</v>
    <v>16.760000000000002</v>
    <v>16.14</v>
    <v>16.190000000000001</v>
    <v>17.64</v>
    <v>17.07</v>
    <v>17.8</v>
    <v>17.89</v>
    <v>17.48</v>
    <v>18.21</v>
    <v>18.579999999999998</v>
    <v>18.79</v>
    <v>19.149999999999999</v>
    <v>19.649999999999999</v>
    <v>20.95</v>
    <v>22.61</v>
    <v>21.73</v>
    <v>22.09</v>
    <v>21.24</v>
    <v>21.75</v>
    <v>21.15</v>
    <v>20.86</v>
    <v>20.34</v>
    <v>21.95</v>
    <v>23.11</v>
    <v>23.62</v>
    <v>22.77</v>
    <v>23.19</v>
    <v>23.83</v>
    <v>23.28</v>
    <v>21.65</v>
    <v>21.43</v>
    <v>21.79</v>
    <v>21.22</v>
    <v>21.41</v>
    <v>22.35</v>
    <v>21.17</v>
    <v>20.84</v>
    <v>20.66</v>
    <v>20.329999999999998</v>
    <v>20.14</v>
    <v>20.41</v>
    <v>21.33</v>
    <v>21.61</v>
    <v>20.7</v>
    <v>21.05</v>
    <v>21.57</v>
    <v>20.04</v>
    <v>19.07</v>
    <v>18.28</v>
    <v>19.62</v>
    <v>18.47</v>
    <v>18.63</v>
    <v>17.510000000000002</v>
    <v>17.36</v>
    <v>17.03</v>
    <v>17.03</v>
    <v>16.02</v>
    <v>15.78</v>
    <v>15.73</v>
    <v>15.5</v>
    <v>15.7</v>
    <v>16.62</v>
    <v>16.88</v>
    <v>16.739999999999998</v>
    <v>17.32</v>
    <v>18.32</v>
    <v>17.98</v>
    <v>17.37</v>
    <v>18.170000000000002</v>
    <v>18.07</v>
    <v>18.98</v>
    <v>18.350000000000001</v>
    <v>18.190000000000001</v>
    <v>17.399999999999999</v>
    <v>16.8</v>
    <v>16.71</v>
    <v>15.65</v>
    <v>16.989999999999998</v>
    <v>16.920000000000002</v>
    <v>16.649999999999999</v>
    <v>16.829999999999998</v>
    <v>17.07</v>
    <v>16.149999999999999</v>
    <v>15.99</v>
    <v>15.71</v>
    <v>16.87</v>
    <v>16.96</v>
    <v>16.91</v>
    <v>16.7</v>
    <v>17.18</v>
    <v>16.559999999999999</v>
    <v>16.059999999999999</v>
    <v>15.95</v>
    <v>16.07</v>
    <v>16.36</v>
    <v>16.98</v>
    <v>17.579999999999998</v>
    <v>18.079999999999998</v>
    <v>17.66</v>
    <v>16.84</v>
    <v>16.25</v>
    <v>15.85</v>
    <v>15.66</v>
    <v>16.54</v>
    <v>15.28</v>
    <v>15.11</v>
    <v>15.42</v>
    <v>15.25</v>
    <v>15.11</v>
    <v>14.83</v>
    <v>14.2</v>
    <v>14.75</v>
    <v>14.92</v>
    <v>15.29</v>
    <v>15.54</v>
    <v>15.8</v>
    <v>15.7</v>
    <v>15.85</v>
    <v>14.68</v>
    <v>14.47</v>
    <v>13.71</v>
    <v>13.86</v>
    <v>13.83</v>
    <v>13.67</v>
    <v>13.91</v>
    <v>13.35</v>
    <v>13.59</v>
    <v>13.62</v>
    <v>12.96</v>
    <v>13.19</v>
    <v>13.54</v>
    <v>13.53</v>
    <v>13.2</v>
    <v>13.07</v>
    <v>12.28</v>
    <v>12.4</v>
    <v>12.51</v>
    <v>12.83</v>
    <v>12.72</v>
    <v>12.16</v>
    <v>12.13</v>
    <v>12.4</v>
    <v>11.91</v>
    <v>11.95</v>
    <v>11.97</v>
    <v>12.19</v>
    <v>12.57</v>
    <v>12.83</v>
    <v>12.78</v>
    <v>13.06</v>
    <v>13.1</v>
    <v>12.94</v>
    <v>13.16</v>
    <v>13.26</v>
    <v>12.88</v>
    <v>12.42</v>
    <v>12.51</v>
    <v>12.91</v>
    <v>13.22</v>
    <v>13.1</v>
    <v>12.67</v>
    <v>12.57</v>
    <v>12.15</v>
    <v>12.36</v>
    <v>12.36</v>
    <v>12.59</v>
    <v>12.47</v>
    <v>12.82</v>
    <v>13.07</v>
    <v>13.62</v>
    <v>13.45</v>
    <v>13.05</v>
    <v>13.3</v>
    <v>13.78</v>
    <v>13.1</v>
    <v>12.74</v>
    <v>12.33</v>
    <v>12.18</v>
    <v>11.95</v>
    <v>11.88</v>
    <v>11.58</v>
    <v>11.87</v>
    <v>12.93</v>
    <v>13.15</v>
    <v>13.06</v>
    <v>12.93</v>
    <v>12.97</v>
    <v>12.89</v>
    <v>12.34</v>
    <v>12.21</v>
    <v>12.82</v>
    <v>13.25</v>
    <v>13.76</v>
    <v>13.93</v>
    <v>13.63</v>
    <v>14.17</v>
    <v>13.95</v>
    <v>14.1</v>
    <v>14.56</v>
    <v>14.65</v>
    <v>14.81</v>
    <v>14.56</v>
    <v>14.12</v>
    <v>14.22</v>
    <v>14.7</v>
    <v>14.42</v>
    <v>14.65</v>
    <v>14.41</v>
    <v>13.83</v>
    <v>14.25</v>
    <v>14.73</v>
    <v>15.21</v>
    <v>14.96</v>
    <v>15.47</v>
    <v>15.66</v>
    <v>16.37</v>
    <v>15.07</v>
    <v>14.1</v>
    <v>14.26</v>
    <v>13.08</v>
    <v>12.73</v>
    <v>12.46</v>
    <v>12.1</v>
    <v>12.64</v>
    <v>12.03</v>
    <v>12.19</v>
  </a>
  <a r="1" c="22">
    <v>14.7</v>
    <v>14.42</v>
    <v>14.65</v>
    <v>14.41</v>
    <v>13.83</v>
    <v>14.25</v>
    <v>14.73</v>
    <v>15.21</v>
    <v>14.96</v>
    <v>15.47</v>
    <v>15.66</v>
    <v>16.37</v>
    <v>15.07</v>
    <v>14.1</v>
    <v>14.26</v>
    <v>13.08</v>
    <v>12.73</v>
    <v>12.46</v>
    <v>12.1</v>
    <v>12.64</v>
    <v>12.03</v>
    <v>12.19</v>
  </a>
  <a r="1" c="254">
    <v>35.43</v>
    <v>34.61</v>
    <v>33.840000000000003</v>
    <v>33.67</v>
    <v>33.69</v>
    <v>33.85</v>
    <v>34.07</v>
    <v>34.1</v>
    <v>33.96</v>
    <v>33.85</v>
    <v>33.9</v>
    <v>33.82</v>
    <v>33.97</v>
    <v>34.130000000000003</v>
    <v>34.159999999999997</v>
    <v>33.97</v>
    <v>33.49</v>
    <v>33.39</v>
    <v>33.369999999999997</v>
    <v>33.9</v>
    <v>34.28</v>
    <v>34.380000000000003</v>
    <v>35.18</v>
    <v>34.9</v>
    <v>35.159999999999997</v>
    <v>35.17</v>
    <v>35.409999999999997</v>
    <v>35.33</v>
    <v>35.270000000000003</v>
    <v>35.79</v>
    <v>35.61</v>
    <v>35.28</v>
    <v>35.54</v>
    <v>36.04</v>
    <v>36.06</v>
    <v>35.89</v>
    <v>36.17</v>
    <v>36.46</v>
    <v>36.57</v>
    <v>36.65</v>
    <v>36.549999999999997</v>
    <v>36.85</v>
    <v>36.64</v>
    <v>36.549999999999997</v>
    <v>36.36</v>
    <v>36.39</v>
    <v>36.72</v>
    <v>36.75</v>
    <v>36.700000000000003</v>
    <v>37.04</v>
    <v>37.42</v>
    <v>37.549999999999997</v>
    <v>37.92</v>
    <v>37.25</v>
    <v>37.83</v>
    <v>37.049999999999997</v>
    <v>36.96</v>
    <v>37.119999999999997</v>
    <v>37.130000000000003</v>
    <v>37.71</v>
    <v>37.97</v>
    <v>37.950000000000003</v>
    <v>37.99</v>
    <v>37.880000000000003</v>
    <v>37.53</v>
    <v>37.53</v>
    <v>37.64</v>
    <v>37.51</v>
    <v>37.659999999999997</v>
    <v>37.590000000000003</v>
    <v>37.47</v>
    <v>37.44</v>
    <v>37.61</v>
    <v>37.28</v>
    <v>34.619999999999997</v>
    <v>33.29</v>
    <v>33.19</v>
    <v>35.11</v>
    <v>34.67</v>
    <v>35.57</v>
    <v>36.15</v>
    <v>36.65</v>
    <v>36.549999999999997</v>
    <v>36.97</v>
    <v>36.82</v>
    <v>37.58</v>
    <v>37.549999999999997</v>
    <v>37.89</v>
    <v>37.94</v>
    <v>38.19</v>
    <v>38.35</v>
    <v>38.1</v>
    <v>37.880000000000003</v>
    <v>38.6</v>
    <v>38.64</v>
    <v>38.57</v>
    <v>38.43</v>
    <v>38.11</v>
    <v>38.29</v>
    <v>38.24</v>
    <v>38.42</v>
    <v>38.25</v>
    <v>38.799999999999997</v>
    <v>38.9</v>
    <v>39.33</v>
    <v>39.61</v>
    <v>39.43</v>
    <v>39.53</v>
    <v>39.880000000000003</v>
    <v>40.07</v>
    <v>39.67</v>
    <v>39.79</v>
    <v>39.92</v>
    <v>40.29</v>
    <v>40.06</v>
    <v>40.19</v>
    <v>40.22</v>
    <v>40.35</v>
    <v>40.340000000000003</v>
    <v>40.31</v>
    <v>40.409999999999997</v>
    <v>40.78</v>
    <v>40.42</v>
    <v>39.619999999999997</v>
    <v>39.200000000000003</v>
    <v>39.22</v>
    <v>38.9</v>
    <v>39.17</v>
    <v>39.409999999999997</v>
    <v>39.28</v>
    <v>39.69</v>
    <v>39.72</v>
    <v>39.72</v>
    <v>39.85</v>
    <v>39.61</v>
    <v>39.82</v>
    <v>39.42</v>
    <v>39.79</v>
    <v>40.01</v>
    <v>40.270000000000003</v>
    <v>39.92</v>
    <v>40.03</v>
    <v>39.590000000000003</v>
    <v>39.85</v>
    <v>39.83</v>
    <v>39.799999999999997</v>
    <v>40.01</v>
    <v>40.43</v>
    <v>40.9</v>
    <v>40.770000000000003</v>
    <v>40.64</v>
    <v>40.119999999999997</v>
    <v>40.39</v>
    <v>40.04</v>
    <v>39.81</v>
    <v>39.94</v>
    <v>40.21</v>
    <v>40.229999999999997</v>
    <v>40.380000000000003</v>
    <v>40.49</v>
    <v>40.53</v>
    <v>40.64</v>
    <v>41.03</v>
    <v>41.36</v>
    <v>41.5</v>
    <v>41.27</v>
    <v>41.29</v>
    <v>41.29</v>
    <v>41.72</v>
    <v>41.66</v>
    <v>42.08</v>
    <v>41.79</v>
    <v>41.74</v>
    <v>41.66</v>
    <v>41.57</v>
    <v>41.46</v>
    <v>40.9</v>
    <v>41.18</v>
    <v>41.39</v>
    <v>41.55</v>
    <v>41.71</v>
    <v>41.75</v>
    <v>41.74</v>
    <v>42.19</v>
    <v>41.94</v>
    <v>42.09</v>
    <v>41.89</v>
    <v>41.79</v>
    <v>41.66</v>
    <v>41.36</v>
    <v>41.61</v>
    <v>41.47</v>
    <v>41.35</v>
    <v>41.04</v>
    <v>41.58</v>
    <v>41.63</v>
    <v>41.97</v>
    <v>42.5</v>
    <v>42.26</v>
    <v>42.64</v>
    <v>42.58</v>
    <v>42.45</v>
    <v>42.68</v>
    <v>42.07</v>
    <v>41.73</v>
    <v>41.99</v>
    <v>42.06</v>
    <v>42.02</v>
    <v>41.99</v>
    <v>42.07</v>
    <v>42.16</v>
    <v>41.96</v>
    <v>42.41</v>
    <v>42.6</v>
    <v>42.78</v>
    <v>42.98</v>
    <v>42.92</v>
    <v>42.83</v>
    <v>42.75</v>
    <v>42.67</v>
    <v>42.53</v>
    <v>42.18</v>
    <v>42.61</v>
    <v>42.62</v>
    <v>42.87</v>
    <v>43.44</v>
    <v>43.65</v>
    <v>43.51</v>
    <v>43.04</v>
    <v>42.77</v>
    <v>42.44</v>
    <v>42.19</v>
    <v>41.73</v>
    <v>41.34</v>
    <v>42.06</v>
    <v>41.92</v>
    <v>42.52</v>
    <v>42.99</v>
    <v>43.15</v>
    <v>42.93</v>
    <v>43.01</v>
    <v>43.46</v>
    <v>43.42</v>
    <v>43.22</v>
    <v>43.08</v>
    <v>42.88</v>
    <v>43.46</v>
    <v>43.65</v>
    <v>43.28</v>
    <v>43.75</v>
    <v>42.73</v>
    <v>42.94</v>
    <v>43.13</v>
    <v>43.54</v>
  </a>
  <a r="1" c="22">
    <v>41.73</v>
    <v>41.34</v>
    <v>42.06</v>
    <v>41.92</v>
    <v>42.52</v>
    <v>42.99</v>
    <v>43.15</v>
    <v>42.93</v>
    <v>43.01</v>
    <v>43.46</v>
    <v>43.42</v>
    <v>43.22</v>
    <v>43.08</v>
    <v>42.88</v>
    <v>43.46</v>
    <v>43.65</v>
    <v>43.28</v>
    <v>43.75</v>
    <v>42.73</v>
    <v>42.94</v>
    <v>43.13</v>
    <v>43.54</v>
  </a>
  <a r="1" c="254">
    <v>30.76</v>
    <v>30.645</v>
    <v>29.54</v>
    <v>29.34</v>
    <v>29.66</v>
    <v>29.68</v>
    <v>29.86</v>
    <v>29.88</v>
    <v>29.82</v>
    <v>29.800999999999998</v>
    <v>29.98</v>
    <v>29.87</v>
    <v>30.21</v>
    <v>30.09</v>
    <v>29.9</v>
    <v>30.13</v>
    <v>29.09</v>
    <v>28.69</v>
    <v>28.9</v>
    <v>29.24</v>
    <v>30.04</v>
    <v>30.22</v>
    <v>30.669</v>
    <v>30.06</v>
    <v>30.385000000000002</v>
    <v>30.47</v>
    <v>29.785</v>
    <v>29.45</v>
    <v>29.24</v>
    <v>29.6</v>
    <v>29.38</v>
    <v>29.457599999999999</v>
    <v>29.66</v>
    <v>30.09</v>
    <v>30.3</v>
    <v>30.17</v>
    <v>30.36</v>
    <v>30.91</v>
    <v>30.660599999999999</v>
    <v>30.82</v>
    <v>30.96</v>
    <v>31.07</v>
    <v>31.2</v>
    <v>31.94</v>
    <v>31.4</v>
    <v>30.94</v>
    <v>31.11</v>
    <v>31.06</v>
    <v>31.01</v>
    <v>31.07</v>
    <v>30.73</v>
    <v>31.11</v>
    <v>31.518599999999999</v>
    <v>30.52</v>
    <v>30.7</v>
    <v>30.295000000000002</v>
    <v>30.45</v>
    <v>30.39</v>
    <v>30.02</v>
    <v>30.64</v>
    <v>31.1</v>
    <v>30.73</v>
    <v>30.45</v>
    <v>30.22</v>
    <v>30.03</v>
    <v>30.26</v>
    <v>29.85</v>
    <v>29.76</v>
    <v>29.58</v>
    <v>29.27</v>
    <v>29.35</v>
    <v>29.52</v>
    <v>29.79</v>
    <v>29.42</v>
    <v>27.94</v>
    <v>27.16</v>
    <v>26.53</v>
    <v>28.18</v>
    <v>27.68</v>
    <v>28.2</v>
    <v>28.6</v>
    <v>28.77</v>
    <v>28.74</v>
    <v>29.24</v>
    <v>28.76</v>
    <v>29.17</v>
    <v>29.06</v>
    <v>29.35</v>
    <v>29.69</v>
    <v>29.78</v>
    <v>30.31</v>
    <v>30.8</v>
    <v>30.95</v>
    <v>31.47</v>
    <v>31.74</v>
    <v>31.77</v>
    <v>31.39</v>
    <v>31.05</v>
    <v>31.19</v>
    <v>31.05</v>
    <v>30.77</v>
    <v>30.68</v>
    <v>31.175000000000001</v>
    <v>31.4633</v>
    <v>31.56</v>
    <v>31.520399999999999</v>
    <v>31.29</v>
    <v>31.1</v>
    <v>31.15</v>
    <v>31.4679</v>
    <v>31.12</v>
    <v>31.43</v>
    <v>31.365600000000001</v>
    <v>31.5</v>
    <v>31.57</v>
    <v>31.812999999999999</v>
    <v>31.75</v>
    <v>31.62</v>
    <v>31.74</v>
    <v>31.99</v>
    <v>31.89</v>
    <v>32.04</v>
    <v>31.71</v>
    <v>31.96</v>
    <v>31.85</v>
    <v>31.9</v>
    <v>31.94</v>
    <v>32.53</v>
    <v>32.81</v>
    <v>31.96</v>
    <v>31.55</v>
    <v>32.03</v>
    <v>32.32</v>
    <v>32.316000000000003</v>
    <v>32.439900000000002</v>
    <v>32.588900000000002</v>
    <v>32.15</v>
    <v>32</v>
    <v>32.1</v>
    <v>31.96</v>
    <v>31.88</v>
    <v>32.234999999999999</v>
    <v>32.31</v>
    <v>32.673000000000002</v>
    <v>32.93</v>
    <v>33.073099999999997</v>
    <v>33.03</v>
    <v>33.54</v>
    <v>33.6188</v>
    <v>33.229999999999997</v>
    <v>33.17</v>
    <v>32.65</v>
    <v>32.450000000000003</v>
    <v>32.003</v>
    <v>31.85</v>
    <v>31.62</v>
    <v>31.84</v>
    <v>31.71</v>
    <v>31.4983</v>
    <v>31.67</v>
    <v>31.414000000000001</v>
    <v>31.47</v>
    <v>31.49</v>
    <v>31.56</v>
    <v>31.06</v>
    <v>31.19</v>
    <v>31.03</v>
    <v>31.12</v>
    <v>31.37</v>
    <v>31.040700000000001</v>
    <v>31.75</v>
    <v>31.54</v>
    <v>31.41</v>
    <v>31.39</v>
    <v>31.46</v>
    <v>31.635000000000002</v>
    <v>30.94</v>
    <v>30.675000000000001</v>
    <v>30.395</v>
    <v>30.76</v>
    <v>30.4</v>
    <v>30.69</v>
    <v>30.87</v>
    <v>31.77</v>
    <v>31.590499999999999</v>
    <v>31.72</v>
    <v>31.605</v>
    <v>31.814900000000002</v>
    <v>31.9</v>
    <v>31.72</v>
    <v>31.989000000000001</v>
    <v>31.87</v>
    <v>31.69</v>
    <v>31.567699999999999</v>
    <v>31.7</v>
    <v>31.63</v>
    <v>31.68</v>
    <v>31.79</v>
    <v>31.9</v>
    <v>31.88</v>
    <v>31.8459</v>
    <v>31.57</v>
    <v>31.585000000000001</v>
    <v>31.561</v>
    <v>30.9</v>
    <v>31.0626</v>
    <v>31.42</v>
    <v>31.7197</v>
    <v>31.5792</v>
    <v>31.5</v>
    <v>31.730799999999999</v>
    <v>31.64</v>
    <v>31.5078</v>
    <v>31.8</v>
    <v>32.04</v>
    <v>32.125</v>
    <v>31.497599999999998</v>
    <v>31.036300000000001</v>
    <v>31.1037</v>
    <v>31.1751</v>
    <v>30.985499999999998</v>
    <v>30.825500000000002</v>
    <v>30.71</v>
    <v>30.45</v>
    <v>30.46</v>
    <v>30.609000000000002</v>
    <v>30.56</v>
    <v>30.064299999999999</v>
    <v>29.22</v>
    <v>29.25</v>
    <v>28.96</v>
    <v>28.94</v>
    <v>28.77</v>
    <v>28.56</v>
    <v>28.74</v>
    <v>28.98</v>
    <v>28.96</v>
    <v>29.1691</v>
    <v>29.305</v>
    <v>28.81</v>
    <v>28.687000000000001</v>
    <v>28.85</v>
    <v>28.99</v>
    <v>29.55</v>
    <v>29.684999999999999</v>
    <v>29.606100000000001</v>
    <v>29.53</v>
    <v>29.82</v>
    <v>29.41</v>
    <v>29.35</v>
    <v>29.02</v>
    <v>28.725000000000001</v>
    <v>28.535</v>
    <v>28.680299999999999</v>
  </a>
  <a r="1" c="22">
    <v>28.77</v>
    <v>28.56</v>
    <v>28.74</v>
    <v>28.98</v>
    <v>28.96</v>
    <v>29.1691</v>
    <v>29.305</v>
    <v>28.81</v>
    <v>28.687000000000001</v>
    <v>28.85</v>
    <v>28.99</v>
    <v>29.55</v>
    <v>29.684999999999999</v>
    <v>29.606100000000001</v>
    <v>29.53</v>
    <v>29.82</v>
    <v>29.41</v>
    <v>29.35</v>
    <v>29.02</v>
    <v>28.725000000000001</v>
    <v>28.535</v>
    <v>28.680299999999999</v>
  </a>
  <a r="1" c="254">
    <v>7.46</v>
    <v>7.35</v>
    <v>7.28</v>
    <v>7.22</v>
    <v>7.26</v>
    <v>7.31</v>
    <v>7.39</v>
    <v>7.34</v>
    <v>7.27</v>
    <v>7.28</v>
    <v>7.31</v>
    <v>7.34</v>
    <v>7.34</v>
    <v>7.31</v>
    <v>7.32</v>
    <v>7.33</v>
    <v>7.282</v>
    <v>7.25</v>
    <v>7.2850000000000001</v>
    <v>7.39</v>
    <v>7.53</v>
    <v>7.56</v>
    <v>7.55</v>
    <v>7.5</v>
    <v>7.55</v>
    <v>7.52</v>
    <v>7.44</v>
    <v>7.45</v>
    <v>7.47</v>
    <v>7.55</v>
    <v>7.55</v>
    <v>7.56</v>
    <v>7.56</v>
    <v>7.59</v>
    <v>7.59</v>
    <v>7.61</v>
    <v>7.55</v>
    <v>7.64</v>
    <v>7.57</v>
    <v>7.6</v>
    <v>7.57</v>
    <v>7.55</v>
    <v>7.53</v>
    <v>7.53</v>
    <v>7.577</v>
    <v>7.56</v>
    <v>7.6</v>
    <v>7.59</v>
    <v>7.59</v>
    <v>7.64</v>
    <v>7.66</v>
    <v>7.62</v>
    <v>7.5830000000000002</v>
    <v>7.49</v>
    <v>7.53</v>
    <v>7.54</v>
    <v>7.55</v>
    <v>7.53</v>
    <v>7.53</v>
    <v>7.56</v>
    <v>7.6</v>
    <v>7.52</v>
    <v>7.52</v>
    <v>7.51</v>
    <v>7.51</v>
    <v>7.49</v>
    <v>7.52</v>
    <v>7.49</v>
    <v>7.47</v>
    <v>7.5</v>
    <v>7.53</v>
    <v>7.51</v>
    <v>7.53</v>
    <v>7.4691999999999998</v>
    <v>7.16</v>
    <v>6.96</v>
    <v>6.95</v>
    <v>7.16</v>
    <v>7.04</v>
    <v>7.06</v>
    <v>7.17</v>
    <v>7.2249999999999996</v>
    <v>7.18</v>
    <v>7.24</v>
    <v>7.11</v>
    <v>7.23</v>
    <v>7.25</v>
    <v>7.3</v>
    <v>7.2904</v>
    <v>7.3550000000000004</v>
    <v>7.41</v>
    <v>7.41</v>
    <v>7.41</v>
    <v>7.46</v>
    <v>7.42</v>
    <v>7.4532999999999996</v>
    <v>7.46</v>
    <v>7.45</v>
    <v>7.45</v>
    <v>7.47</v>
    <v>7.5</v>
    <v>7.46</v>
    <v>7.5049999999999999</v>
    <v>7.53</v>
    <v>7.47</v>
    <v>7.53</v>
    <v>7.44</v>
    <v>7.44</v>
    <v>7.39</v>
    <v>7.48</v>
    <v>7.38</v>
    <v>7.47</v>
    <v>7.51</v>
    <v>7.52</v>
    <v>7.51</v>
    <v>7.51</v>
    <v>7.4500999999999999</v>
    <v>7.4749999999999996</v>
    <v>7.47</v>
    <v>7.4850000000000003</v>
    <v>7.49</v>
    <v>7.54</v>
    <v>7.54</v>
    <v>7.47</v>
    <v>7.47</v>
    <v>7.43</v>
    <v>7.44</v>
    <v>7.49</v>
    <v>7.53</v>
    <v>7.51</v>
    <v>7.52</v>
    <v>7.56</v>
    <v>7.62</v>
    <v>7.66</v>
    <v>7.69</v>
    <v>7.6749999999999998</v>
    <v>7.63</v>
    <v>7.59</v>
    <v>7.74</v>
    <v>7.68</v>
    <v>7.74</v>
    <v>7.73</v>
    <v>7.71</v>
    <v>7.74</v>
    <v>7.78</v>
    <v>7.78</v>
    <v>7.76</v>
    <v>7.8250000000000002</v>
    <v>7.8</v>
    <v>7.8105000000000002</v>
    <v>7.81</v>
    <v>7.83</v>
    <v>7.76</v>
    <v>7.81</v>
    <v>7.82</v>
    <v>7.835</v>
    <v>7.89</v>
    <v>7.92</v>
    <v>7.96</v>
    <v>7.98</v>
    <v>8</v>
    <v>8.0399999999999991</v>
    <v>8.01</v>
    <v>7.95</v>
    <v>7.97</v>
    <v>7.97</v>
    <v>7.96</v>
    <v>7.87</v>
    <v>7.92</v>
    <v>7.93</v>
    <v>7.9</v>
    <v>7.91</v>
    <v>7.84</v>
    <v>7.89</v>
    <v>7.9349999999999996</v>
    <v>7.93</v>
    <v>7.89</v>
    <v>7.91</v>
    <v>7.94</v>
    <v>7.94</v>
    <v>7.9</v>
    <v>7.88</v>
    <v>7.95</v>
    <v>7.9499000000000004</v>
    <v>7.9699</v>
    <v>7.93</v>
    <v>7.94</v>
    <v>7.8550000000000004</v>
    <v>7.84</v>
    <v>7.8449999999999998</v>
    <v>7.88</v>
    <v>7.87</v>
    <v>7.95</v>
    <v>8.01</v>
    <v>8</v>
    <v>8</v>
    <v>8.0399999999999991</v>
    <v>8.0299999999999994</v>
    <v>8</v>
    <v>7.98</v>
    <v>7.99</v>
    <v>8.0500000000000007</v>
    <v>8.0749999999999993</v>
    <v>8.1300000000000008</v>
    <v>8.0500000000000007</v>
    <v>8.11</v>
    <v>8.0500000000000007</v>
    <v>8.14</v>
    <v>8.1199999999999992</v>
    <v>8.1</v>
    <v>8.14</v>
    <v>8.0399999999999991</v>
    <v>8.02</v>
    <v>7.99</v>
    <v>8</v>
    <v>8.0229999999999997</v>
    <v>7.92</v>
    <v>7.93</v>
    <v>7.95</v>
    <v>7.99</v>
    <v>7.96</v>
    <v>8</v>
    <v>7.97</v>
    <v>7.96</v>
    <v>7.95</v>
    <v>8.07</v>
    <v>8.1</v>
    <v>8.14</v>
    <v>8.1199999999999992</v>
    <v>8.1</v>
    <v>8.02</v>
    <v>8.01</v>
    <v>7.86</v>
    <v>7.81</v>
    <v>7.85</v>
    <v>7.93</v>
    <v>7.96</v>
    <v>8.01</v>
    <v>8.11</v>
    <v>8.1</v>
    <v>8.11</v>
    <v>8.06</v>
    <v>8.1</v>
    <v>8</v>
    <v>7.96</v>
    <v>7.93</v>
    <v>7.95</v>
    <v>7.95</v>
    <v>7.86</v>
    <v>7.89</v>
    <v>7.86</v>
    <v>7.82</v>
    <v>7.91</v>
    <v>7.92</v>
  </a>
  <a r="1" c="22">
    <v>64.066999999999993</v>
    <v>63.826799999999999</v>
    <v>63.941699999999997</v>
    <v>64.062299999999993</v>
    <v>64.070599999999999</v>
    <v>64.55</v>
    <v>64.8827</v>
    <v>64.760300000000001</v>
    <v>65.011600000000001</v>
    <v>65.364599999999996</v>
    <v>65.466200000000001</v>
    <v>65.723600000000005</v>
    <v>65.595299999999995</v>
    <v>65.760099999999994</v>
    <v>66.162300000000002</v>
    <v>65.985600000000005</v>
    <v>65.866</v>
    <v>65.77</v>
    <v>65.721800000000002</v>
    <v>65.417500000000004</v>
    <v>65.482399999999998</v>
    <v>65.478399999999993</v>
  </a>
  <a r="1" c="254">
    <v>63.079799999999999</v>
    <v>62.7318</v>
    <v>61.67</v>
    <v>61.819699999999997</v>
    <v>61.97</v>
    <v>61.936100000000003</v>
    <v>61.72</v>
    <v>61.67</v>
    <v>61.590299999999999</v>
    <v>61.6676</v>
    <v>61.33</v>
    <v>61.412700000000001</v>
    <v>61.5687</v>
    <v>61.798900000000003</v>
    <v>61.6997</v>
    <v>61.54</v>
    <v>60.862699999999997</v>
    <v>61.01</v>
    <v>61.290399999999998</v>
    <v>61.68</v>
    <v>61.495899999999999</v>
    <v>61.39</v>
    <v>62.13</v>
    <v>62.1434</v>
    <v>62.2639</v>
    <v>62.56</v>
    <v>62.308</v>
    <v>61.9726</v>
    <v>61.7</v>
    <v>61.603200000000001</v>
    <v>61.588900000000002</v>
    <v>61.22</v>
    <v>61.98</v>
    <v>62.23</v>
    <v>62.22</v>
    <v>62.085900000000002</v>
    <v>62.15</v>
    <v>62.37</v>
    <v>62.2288</v>
    <v>62.587699999999998</v>
    <v>62.96</v>
    <v>62.902200000000001</v>
    <v>62.870800000000003</v>
    <v>63.423999999999999</v>
    <v>62.97</v>
    <v>62.865699999999997</v>
    <v>62.83</v>
    <v>62.4298</v>
    <v>61.81</v>
    <v>61.51</v>
    <v>61.569099999999999</v>
    <v>61.9</v>
    <v>62.788400000000003</v>
    <v>62.7</v>
    <v>62.49</v>
    <v>62.209200000000003</v>
    <v>62.402700000000003</v>
    <v>62.5749</v>
    <v>62.240600000000001</v>
    <v>62.665100000000002</v>
    <v>63.24</v>
    <v>63.0244</v>
    <v>62.912500000000001</v>
    <v>62.45</v>
    <v>62.15</v>
    <v>62.24</v>
    <v>62.39</v>
    <v>62.329500000000003</v>
    <v>62.42</v>
    <v>62.281500000000001</v>
    <v>61.917999999999999</v>
    <v>62.110100000000003</v>
    <v>62.324800000000003</v>
    <v>62.53</v>
    <v>59.8</v>
    <v>59.189900000000002</v>
    <v>59.06</v>
    <v>60.821800000000003</v>
    <v>61.58</v>
    <v>62.330300000000001</v>
    <v>62.76</v>
    <v>62.87</v>
    <v>63.12</v>
    <v>63.293999999999997</v>
    <v>63.63</v>
    <v>63.044499999999999</v>
    <v>63.026299999999999</v>
    <v>63.471699999999998</v>
    <v>63.420200000000001</v>
    <v>63.77</v>
    <v>63.26</v>
    <v>63.47</v>
    <v>63.216900000000003</v>
    <v>63.82</v>
    <v>64.060199999999995</v>
    <v>64.368399999999994</v>
    <v>63.709000000000003</v>
    <v>63.38</v>
    <v>63.490200000000002</v>
    <v>63.0837</v>
    <v>64.150000000000006</v>
    <v>63.671399999999998</v>
    <v>63.450200000000002</v>
    <v>63.45</v>
    <v>63.99</v>
    <v>63.62</v>
    <v>63.76</v>
    <v>63.52</v>
    <v>64.39</v>
    <v>63.86</v>
    <v>63.7</v>
    <v>63.895000000000003</v>
    <v>63.878999999999998</v>
    <v>64.319999999999993</v>
    <v>63.992600000000003</v>
    <v>64.31</v>
    <v>64.45</v>
    <v>64.349999999999994</v>
    <v>64.58</v>
    <v>64.61</v>
    <v>64.365700000000004</v>
    <v>64.67</v>
    <v>64.34</v>
    <v>64.59</v>
    <v>64.140299999999996</v>
    <v>64.400000000000006</v>
    <v>63.91</v>
    <v>63.9574</v>
    <v>64.36</v>
    <v>64.502499999999998</v>
    <v>64.89</v>
    <v>64.6434</v>
    <v>65.211699999999993</v>
    <v>65.11</v>
    <v>65.23</v>
    <v>65.069199999999995</v>
    <v>64.38</v>
    <v>64.649299999999997</v>
    <v>64.8</v>
    <v>65.244100000000003</v>
    <v>65.119500000000002</v>
    <v>64.8</v>
    <v>64.52</v>
    <v>64.643100000000004</v>
    <v>64.285399999999996</v>
    <v>64.420599999999993</v>
    <v>64.599500000000006</v>
    <v>64.893799999999999</v>
    <v>65.360600000000005</v>
    <v>65.301299999999998</v>
    <v>64.991500000000002</v>
    <v>64.56</v>
    <v>64.504900000000006</v>
    <v>63.67</v>
    <v>63.641500000000001</v>
    <v>63.87</v>
    <v>64</v>
    <v>64.019800000000004</v>
    <v>64.359700000000004</v>
    <v>64.460300000000004</v>
    <v>64.55</v>
    <v>64.42</v>
    <v>64.633300000000006</v>
    <v>64.7774</v>
    <v>64.320800000000006</v>
    <v>64.430300000000003</v>
    <v>64.305099999999996</v>
    <v>63.891100000000002</v>
    <v>63.706499999999998</v>
    <v>63.576300000000003</v>
    <v>64.232699999999994</v>
    <v>64.165300000000002</v>
    <v>64.302000000000007</v>
    <v>64.451999999999998</v>
    <v>64.674700000000001</v>
    <v>64.83</v>
    <v>64.507499999999993</v>
    <v>64.729500000000002</v>
    <v>64.490799999999993</v>
    <v>64.83</v>
    <v>65.248500000000007</v>
    <v>65.138300000000001</v>
    <v>65.484999999999999</v>
    <v>65.953000000000003</v>
    <v>65.839600000000004</v>
    <v>66.0441</v>
    <v>66.134299999999996</v>
    <v>65.900000000000006</v>
    <v>65.474199999999996</v>
    <v>65.304000000000002</v>
    <v>65.378200000000007</v>
    <v>65.3476</v>
    <v>65.168599999999998</v>
    <v>64.729799999999997</v>
    <v>64.886300000000006</v>
    <v>65.159300000000002</v>
    <v>65.522800000000004</v>
    <v>65.44</v>
    <v>65.270099999999999</v>
    <v>65.364400000000003</v>
    <v>65.489999999999995</v>
    <v>65.131100000000004</v>
    <v>65.204499999999996</v>
    <v>64.852699999999999</v>
    <v>64.173000000000002</v>
    <v>64.507199999999997</v>
    <v>64.194100000000006</v>
    <v>64.433700000000002</v>
    <v>64.201300000000003</v>
    <v>64.400000000000006</v>
    <v>64.47</v>
    <v>64.27</v>
    <v>64.258399999999995</v>
    <v>64.486400000000003</v>
    <v>64.475399999999993</v>
    <v>64.92</v>
    <v>65.200100000000006</v>
    <v>65.079700000000003</v>
    <v>64.840500000000006</v>
    <v>64.806799999999996</v>
    <v>64.721000000000004</v>
    <v>64.205600000000004</v>
    <v>64.408299999999997</v>
    <v>64.134900000000002</v>
    <v>64.317499999999995</v>
    <v>64.716999999999999</v>
    <v>64.658500000000004</v>
    <v>64.785399999999996</v>
    <v>64.639600000000002</v>
    <v>64.716399999999993</v>
    <v>64.290499999999994</v>
    <v>64.489999999999995</v>
    <v>64.066999999999993</v>
    <v>63.826799999999999</v>
    <v>63.941699999999997</v>
    <v>64.062299999999993</v>
    <v>64.070599999999999</v>
    <v>64.55</v>
    <v>64.8827</v>
    <v>64.760300000000001</v>
    <v>65.011600000000001</v>
    <v>65.364599999999996</v>
    <v>65.466200000000001</v>
    <v>65.723600000000005</v>
    <v>65.595299999999995</v>
    <v>65.760099999999994</v>
    <v>66.162300000000002</v>
    <v>65.985600000000005</v>
    <v>65.866</v>
    <v>65.77</v>
    <v>65.721800000000002</v>
    <v>65.417500000000004</v>
    <v>65.482399999999998</v>
    <v>65.478399999999993</v>
  </a>
  <a r="1" c="254">
    <v>438.37</v>
    <v>435.57</v>
    <v>424.22</v>
    <v>424.53</v>
    <v>428.54</v>
    <v>428.89</v>
    <v>432.5</v>
    <v>433.21</v>
    <v>430</v>
    <v>425.77</v>
    <v>425.5</v>
    <v>423.8</v>
    <v>427.16</v>
    <v>427.13</v>
    <v>425.33</v>
    <v>426.13</v>
    <v>419.33</v>
    <v>422.96</v>
    <v>425.15</v>
    <v>432.24</v>
    <v>431.56</v>
    <v>434.72</v>
    <v>440.1</v>
    <v>441.28</v>
    <v>445.38</v>
    <v>444.12</v>
    <v>447.12</v>
    <v>448.41</v>
    <v>447.18</v>
    <v>448.82</v>
    <v>445.39</v>
    <v>444.27</v>
    <v>445.53</v>
    <v>448.67</v>
    <v>447.36</v>
    <v>443.12</v>
    <v>444.78</v>
    <v>446.11</v>
    <v>443.63</v>
    <v>447.26</v>
    <v>445.79</v>
    <v>445.92</v>
    <v>446.67</v>
    <v>442.39</v>
    <v>434.15</v>
    <v>434.53</v>
    <v>436.13</v>
    <v>434.34</v>
    <v>432.35</v>
    <v>438.37</v>
    <v>432.09</v>
    <v>425.57</v>
    <v>430.47</v>
    <v>425.9</v>
    <v>428.26</v>
    <v>419.49</v>
    <v>414.74</v>
    <v>413.95</v>
    <v>408.78</v>
    <v>415.36</v>
    <v>419.21</v>
    <v>416.53</v>
    <v>420.42</v>
    <v>420.12</v>
    <v>419.62</v>
    <v>425.49</v>
    <v>425.82</v>
    <v>424.23</v>
    <v>422.94</v>
    <v>415.62</v>
    <v>419.88</v>
    <v>419.59</v>
    <v>422.03</v>
    <v>405.22</v>
    <v>383.22</v>
    <v>379.57</v>
    <v>376.48</v>
    <v>406.08</v>
    <v>395.68</v>
    <v>401.91</v>
    <v>405.42</v>
    <v>403.71</v>
    <v>396.77</v>
    <v>391.36</v>
    <v>381.62</v>
    <v>391.87</v>
    <v>395.91</v>
    <v>400.98</v>
    <v>401.02</v>
    <v>402.27</v>
    <v>405.21</v>
    <v>406.34</v>
    <v>407.42</v>
    <v>413.04</v>
    <v>412.26</v>
    <v>408.24</v>
    <v>411.05</v>
    <v>413.88</v>
    <v>412.42</v>
    <v>424.23</v>
    <v>421.51</v>
    <v>420.55</v>
    <v>423.48</v>
    <v>426.55</v>
    <v>428.04</v>
    <v>426.97</v>
    <v>418.75</v>
    <v>418.82</v>
    <v>416.33</v>
    <v>423.85</v>
    <v>421.42</v>
    <v>422.46</v>
    <v>422.85</v>
    <v>423.71</v>
    <v>426.01</v>
    <v>424.94</v>
    <v>423.97</v>
    <v>428.38</v>
    <v>428.36</v>
    <v>429.61</v>
    <v>429.6</v>
    <v>430.49</v>
    <v>422.81</v>
    <v>426.28</v>
    <v>423.11</v>
    <v>422.84</v>
    <v>421.76</v>
    <v>425.72</v>
    <v>430.79</v>
    <v>429.86</v>
    <v>433.93</v>
    <v>438</v>
    <v>440.65</v>
    <v>444.89</v>
    <v>444.71</v>
    <v>448.09</v>
    <v>444</v>
    <v>442.38</v>
    <v>444.52</v>
    <v>446.5</v>
    <v>443.57</v>
    <v>444.58</v>
    <v>440.15</v>
    <v>442.36</v>
    <v>445.22</v>
    <v>443.26</v>
    <v>443.44</v>
    <v>444.96</v>
    <v>450.21</v>
    <v>447.11</v>
    <v>449.02</v>
    <v>448.34</v>
    <v>446.48</v>
    <v>444.76</v>
    <v>441.33</v>
    <v>435.72</v>
    <v>441.81</v>
    <v>441.14</v>
    <v>441.97</v>
    <v>439.72</v>
    <v>441.92</v>
    <v>440.01</v>
    <v>444.68</v>
    <v>449.42</v>
    <v>449.16</v>
    <v>449.53</v>
    <v>449.05</v>
    <v>449.29</v>
    <v>449.36</v>
    <v>447.95</v>
    <v>456.64</v>
    <v>453.07</v>
    <v>454.49</v>
    <v>456.03</v>
    <v>456.79</v>
    <v>456.09</v>
    <v>453.61</v>
    <v>453.26</v>
    <v>457.05</v>
    <v>454.99</v>
    <v>456.2</v>
    <v>458.01</v>
    <v>455.93</v>
    <v>461.92</v>
    <v>459.32</v>
    <v>460.07</v>
    <v>458.78</v>
    <v>461.26</v>
    <v>462.63</v>
    <v>462.94</v>
    <v>463.67</v>
    <v>462.87</v>
    <v>461.02</v>
    <v>459.43</v>
    <v>462.28</v>
    <v>463.04</v>
    <v>463.74</v>
    <v>464.26</v>
    <v>465.11</v>
    <v>467.51</v>
    <v>466.84</v>
    <v>465.97</v>
    <v>466.07</v>
    <v>463.5</v>
    <v>454.87</v>
    <v>460.68</v>
    <v>462.71</v>
    <v>462.71</v>
    <v>459.56</v>
    <v>461.78</v>
    <v>467.02</v>
    <v>469.22</v>
    <v>465.78</v>
    <v>467.29</v>
    <v>472.21</v>
    <v>475.35</v>
    <v>477.15</v>
    <v>476.37</v>
    <v>475.01</v>
    <v>475.67</v>
    <v>473.47</v>
    <v>470.9</v>
    <v>473.11</v>
    <v>469.28</v>
    <v>469.86</v>
    <v>473.82</v>
    <v>479.41</v>
    <v>482.76</v>
    <v>474.74</v>
    <v>471.8</v>
    <v>466.32</v>
    <v>461.3</v>
    <v>461.76</v>
    <v>458.1</v>
    <v>462.57</v>
    <v>464.44</v>
    <v>471.18</v>
    <v>474.35</v>
    <v>477.18</v>
    <v>473.32</v>
    <v>475.26</v>
    <v>479.41</v>
    <v>479.07</v>
    <v>480.03</v>
    <v>478.15</v>
    <v>476.42</v>
    <v>481.35</v>
    <v>487.87</v>
    <v>485.4</v>
    <v>485.17</v>
    <v>481.98</v>
    <v>479.8</v>
    <v>480.51</v>
    <v>481.15</v>
  </a>
  <a r="1" c="22">
    <v>461.76</v>
    <v>458.1</v>
    <v>462.57</v>
    <v>464.44</v>
    <v>471.18</v>
    <v>474.35</v>
    <v>477.18</v>
    <v>473.32</v>
    <v>475.26</v>
    <v>479.41</v>
    <v>479.07</v>
    <v>480.03</v>
    <v>478.15</v>
    <v>476.42</v>
    <v>481.35</v>
    <v>487.87</v>
    <v>485.4</v>
    <v>485.17</v>
    <v>481.98</v>
    <v>479.8</v>
    <v>480.51</v>
    <v>481.15</v>
  </a>
  <a r="1" c="254">
    <v>59.42</v>
    <v>59.4</v>
    <v>57.92</v>
    <v>57.93</v>
    <v>58.81</v>
    <v>58.87</v>
    <v>59.3</v>
    <v>59.56</v>
    <v>59.29</v>
    <v>58.46</v>
    <v>58.35</v>
    <v>58.32</v>
    <v>59.15</v>
    <v>59.48</v>
    <v>59.51</v>
    <v>60.4</v>
    <v>59.85</v>
    <v>59.7</v>
    <v>59.74</v>
    <v>60.62</v>
    <v>61.61</v>
    <v>61.84</v>
    <v>63.08</v>
    <v>63.25</v>
    <v>63.91</v>
    <v>63.87</v>
    <v>64.319999999999993</v>
    <v>64.13</v>
    <v>64.040000000000006</v>
    <v>64.55</v>
    <v>63.81</v>
    <v>64.11</v>
    <v>64.17</v>
    <v>65.09</v>
    <v>64.040000000000006</v>
    <v>63.81</v>
    <v>64.38</v>
    <v>64.13</v>
    <v>63.86</v>
    <v>64.45</v>
    <v>64.349999999999994</v>
    <v>64.25</v>
    <v>64.84</v>
    <v>64.84</v>
    <v>64.36</v>
    <v>64.7</v>
    <v>63.98</v>
    <v>64.260000000000005</v>
    <v>63.16</v>
    <v>63.77</v>
    <v>63.92</v>
    <v>63.11</v>
    <v>63.43</v>
    <v>61.99</v>
    <v>61.92</v>
    <v>60.36</v>
    <v>59.87</v>
    <v>59.34</v>
    <v>58.58</v>
    <v>59.17</v>
    <v>59.81</v>
    <v>59.52</v>
    <v>59.99</v>
    <v>59.92</v>
    <v>59.61</v>
    <v>60.46</v>
    <v>60.29</v>
    <v>59.92</v>
    <v>60.22</v>
    <v>59.42</v>
    <v>60.19</v>
    <v>59.96</v>
    <v>60.3</v>
    <v>58.75</v>
    <v>55</v>
    <v>55.38</v>
    <v>54.27</v>
    <v>58.14</v>
    <v>55.89</v>
    <v>56.48</v>
    <v>57.07</v>
    <v>56.65</v>
    <v>56.65</v>
    <v>56.93</v>
    <v>55.97</v>
    <v>56.93</v>
    <v>57.69</v>
    <v>59.2</v>
    <v>59.49</v>
    <v>59.48</v>
    <v>59.74</v>
    <v>59.79</v>
    <v>59.27</v>
    <v>60.47</v>
    <v>60.05</v>
    <v>59.86</v>
    <v>60.55</v>
    <v>60.75</v>
    <v>60.72</v>
    <v>62.02</v>
    <v>61.67</v>
    <v>61.48</v>
    <v>62.15</v>
    <v>62.87</v>
    <v>63.01</v>
    <v>62.7</v>
    <v>61.32</v>
    <v>60.88</v>
    <v>60.71</v>
    <v>61.9</v>
    <v>61.63</v>
    <v>61.86</v>
    <v>61.89</v>
    <v>61.6</v>
    <v>61.87</v>
    <v>61.82</v>
    <v>62.03</v>
    <v>62.08</v>
    <v>61.29</v>
    <v>61.62</v>
    <v>61.31</v>
    <v>61.21</v>
    <v>60.82</v>
    <v>61.08</v>
    <v>60.31</v>
    <v>60.23</v>
    <v>60.3</v>
    <v>60.62</v>
    <v>61.89</v>
    <v>61.77</v>
    <v>61.79</v>
    <v>62.07</v>
    <v>62.64</v>
    <v>62.49</v>
    <v>62.16</v>
    <v>62.3</v>
    <v>61.59</v>
    <v>61.48</v>
    <v>61.69</v>
    <v>62.03</v>
    <v>60.97</v>
    <v>61.2</v>
    <v>60.76</v>
    <v>60.81</v>
    <v>59.97</v>
    <v>60.06</v>
    <v>59.93</v>
    <v>60.54</v>
    <v>61.13</v>
    <v>60.68</v>
    <v>61.43</v>
    <v>61.17</v>
    <v>61.46</v>
    <v>61.4</v>
    <v>59.69</v>
    <v>59.66</v>
    <v>61.1</v>
    <v>60.47</v>
    <v>59.78</v>
    <v>60.64</v>
    <v>61.32</v>
    <v>61.08</v>
    <v>61.49</v>
    <v>61.79</v>
    <v>61.59</v>
    <v>61.9</v>
    <v>61.63</v>
    <v>61.89</v>
    <v>62.59</v>
    <v>61.91</v>
    <v>62.87</v>
    <v>62.02</v>
    <v>62.21</v>
    <v>62.09</v>
    <v>61.91</v>
    <v>62.15</v>
    <v>61.68</v>
    <v>61.28</v>
    <v>61.95</v>
    <v>62.44</v>
    <v>62.53</v>
    <v>62.48</v>
    <v>60.9</v>
    <v>61.78</v>
    <v>61.27</v>
    <v>60.34</v>
    <v>60.35</v>
    <v>60.35</v>
    <v>60.59</v>
    <v>60.33</v>
    <v>60.51</v>
    <v>60.46</v>
    <v>59.95</v>
    <v>59.29</v>
    <v>59.68</v>
    <v>59.44</v>
    <v>60.08</v>
    <v>59.53</v>
    <v>59.95</v>
    <v>60.63</v>
    <v>60.31</v>
    <v>59.96</v>
    <v>60.47</v>
    <v>60.05</v>
    <v>58.83</v>
    <v>58.86</v>
    <v>59.45</v>
    <v>59.2</v>
    <v>59.12</v>
    <v>59.82</v>
    <v>60.64</v>
    <v>60.51</v>
    <v>62.13</v>
    <v>62.15</v>
    <v>61.87</v>
    <v>62.39</v>
    <v>61.87</v>
    <v>61.08</v>
    <v>60.69</v>
    <v>60.19</v>
    <v>60.74</v>
    <v>61.03</v>
    <v>60.6</v>
    <v>60.68</v>
    <v>61.26</v>
    <v>61.77</v>
    <v>62.56</v>
    <v>63.18</v>
    <v>62.96</v>
    <v>62.31</v>
    <v>61.7</v>
    <v>61.8</v>
    <v>61.92</v>
    <v>61.14</v>
    <v>62.7</v>
    <v>63.35</v>
    <v>64.47</v>
    <v>64.33</v>
    <v>64.36</v>
    <v>63.62</v>
    <v>63.17</v>
    <v>63.22</v>
    <v>63.31</v>
    <v>63.48</v>
    <v>62.28</v>
    <v>61.74</v>
    <v>62.31</v>
    <v>62.25</v>
    <v>62.19</v>
    <v>62.68</v>
    <v>62.16</v>
    <v>62.29</v>
    <v>62.34</v>
    <v>62.63</v>
  </a>
  <a r="1" c="22">
    <v>61.92</v>
    <v>61.14</v>
    <v>62.7</v>
    <v>63.35</v>
    <v>64.47</v>
    <v>64.33</v>
    <v>64.36</v>
    <v>63.62</v>
    <v>63.17</v>
    <v>63.22</v>
    <v>63.31</v>
    <v>63.48</v>
    <v>62.28</v>
    <v>61.74</v>
    <v>62.31</v>
    <v>62.25</v>
    <v>62.19</v>
    <v>62.68</v>
    <v>62.16</v>
    <v>62.29</v>
    <v>62.34</v>
    <v>62.63</v>
  </a>
  <a r="1" c="254">
    <v>21.82</v>
    <v>21.75</v>
    <v>20.87</v>
    <v>20.55</v>
    <v>20.87</v>
    <v>20.97</v>
    <v>21.1</v>
    <v>21.14</v>
    <v>20.94</v>
    <v>20.84</v>
    <v>21.06</v>
    <v>20.86</v>
    <v>21.12</v>
    <v>20.79</v>
    <v>20.64</v>
    <v>20.69</v>
    <v>20.2</v>
    <v>20.47</v>
    <v>20.68</v>
    <v>20.69</v>
    <v>21.13</v>
    <v>21.12</v>
    <v>21.48</v>
    <v>21.09</v>
    <v>21.24</v>
    <v>21.33</v>
    <v>21.6</v>
    <v>21.3</v>
    <v>21.03</v>
    <v>21.28</v>
    <v>21.22</v>
    <v>21.19</v>
    <v>21.16</v>
    <v>21.45</v>
    <v>21.55</v>
    <v>21.49</v>
    <v>21.49</v>
    <v>21.62</v>
    <v>21.43</v>
    <v>21.63</v>
    <v>21.52</v>
    <v>21.6</v>
    <v>21.56</v>
    <v>21.72</v>
    <v>21.58</v>
    <v>21.65</v>
    <v>21.93</v>
    <v>21.81</v>
    <v>21.92</v>
    <v>22.08</v>
    <v>22.24</v>
    <v>21.98</v>
    <v>22.18</v>
    <v>21.67</v>
    <v>21.83</v>
    <v>21.61</v>
    <v>21.37</v>
    <v>21.25</v>
    <v>20.88</v>
    <v>21.28</v>
    <v>21.61</v>
    <v>21.53</v>
    <v>21.55</v>
    <v>21.5</v>
    <v>21.24</v>
    <v>21.55</v>
    <v>21.32</v>
    <v>21.32</v>
    <v>21.27</v>
    <v>21.3</v>
    <v>21.51</v>
    <v>21.53</v>
    <v>21.62</v>
    <v>20.95</v>
    <v>20.010000000000002</v>
    <v>19.43</v>
    <v>18.940000000000001</v>
    <v>20.059999999999999</v>
    <v>19.61</v>
    <v>19.88</v>
    <v>20.28</v>
    <v>20.34</v>
    <v>20.37</v>
    <v>20.68</v>
    <v>20.28</v>
    <v>20.63</v>
    <v>20.62</v>
    <v>20.69</v>
    <v>20.64</v>
    <v>20.82</v>
    <v>20.89</v>
    <v>21.03</v>
    <v>21.08</v>
    <v>21.32</v>
    <v>21.28</v>
    <v>21.15</v>
    <v>21.15</v>
    <v>21.06</v>
    <v>21.22</v>
    <v>21.25</v>
    <v>20.99</v>
    <v>20.79</v>
    <v>21.19</v>
    <v>21.44</v>
    <v>21.49</v>
    <v>21.37</v>
    <v>20.81</v>
    <v>20.72</v>
    <v>20.73</v>
    <v>21.1</v>
    <v>21.07</v>
    <v>21.27</v>
    <v>21.29</v>
    <v>21.29</v>
    <v>21.23</v>
    <v>21.23</v>
    <v>21.23</v>
    <v>21.33</v>
    <v>21.36</v>
    <v>21.52</v>
    <v>21.38</v>
    <v>21.49</v>
    <v>21.29</v>
    <v>21.3</v>
    <v>21.24</v>
    <v>21.32</v>
    <v>21.3</v>
    <v>21.6</v>
    <v>21.67</v>
    <v>21</v>
    <v>20.97</v>
    <v>20.99</v>
    <v>21.16</v>
    <v>21.27</v>
    <v>21.35</v>
    <v>21.35</v>
    <v>21.16</v>
    <v>21.17</v>
    <v>21.14</v>
    <v>21.27</v>
    <v>21.28</v>
    <v>21.4</v>
    <v>21.12</v>
    <v>21.33</v>
    <v>21.27</v>
    <v>21.33</v>
    <v>21.38</v>
    <v>21.77</v>
    <v>21.77</v>
    <v>21.67</v>
    <v>21.66</v>
    <v>21.27</v>
    <v>21.58</v>
    <v>21.24</v>
    <v>20.93</v>
    <v>20.88</v>
    <v>21.06</v>
    <v>21.14</v>
    <v>20.99</v>
    <v>21.06</v>
    <v>20.86</v>
    <v>20.76</v>
    <v>20.88</v>
    <v>21.06</v>
    <v>20.89</v>
    <v>21.02</v>
    <v>20.83</v>
    <v>21.21</v>
    <v>21.3</v>
    <v>21.23</v>
    <v>21.59</v>
    <v>21.44</v>
    <v>21.39</v>
    <v>21.56</v>
    <v>21.5</v>
    <v>21.61</v>
    <v>21.27</v>
    <v>21.28</v>
    <v>21.4</v>
    <v>21.64</v>
    <v>21.5</v>
    <v>21.47</v>
    <v>21.46</v>
    <v>21.78</v>
    <v>21.7</v>
    <v>21.63</v>
    <v>21.55</v>
    <v>21.5</v>
    <v>21.52</v>
    <v>21.39</v>
    <v>21.44</v>
    <v>21.6</v>
    <v>21.27</v>
    <v>21.19</v>
    <v>21.4</v>
    <v>21.43</v>
    <v>21.57</v>
    <v>21.57</v>
    <v>21.46</v>
    <v>21.55</v>
    <v>21.34</v>
    <v>21.29</v>
    <v>21.19</v>
    <v>21.09</v>
    <v>20.85</v>
    <v>20.96</v>
    <v>21.17</v>
    <v>21.5</v>
    <v>21.42</v>
    <v>21.58</v>
    <v>21.78</v>
    <v>21.67</v>
    <v>21.76</v>
    <v>21.73</v>
    <v>21.78</v>
    <v>21.86</v>
    <v>21.42</v>
    <v>20.93</v>
    <v>21.02</v>
    <v>21.09</v>
    <v>21.05</v>
    <v>21.08</v>
    <v>21.12</v>
    <v>21.03</v>
    <v>21.38</v>
    <v>21.32</v>
    <v>21.55</v>
    <v>21.37</v>
    <v>21.14</v>
    <v>21.2</v>
    <v>21.05</v>
    <v>21.15</v>
    <v>20.99</v>
    <v>20.92</v>
    <v>21.21</v>
    <v>21.23</v>
    <v>21.39</v>
    <v>21.5</v>
    <v>21.57</v>
    <v>21.34</v>
    <v>21.28</v>
    <v>21.3</v>
    <v>21.25</v>
    <v>21.22</v>
    <v>21.09</v>
    <v>20.97</v>
    <v>20.85</v>
    <v>20.9</v>
    <v>20.89</v>
    <v>21.02</v>
    <v>20.84</v>
    <v>20.92</v>
    <v>20.8</v>
    <v>20.7</v>
  </a>
  <a r="1" c="22">
    <v>20.99</v>
    <v>20.92</v>
    <v>21.21</v>
    <v>21.23</v>
    <v>21.39</v>
    <v>21.5</v>
    <v>21.57</v>
    <v>21.34</v>
    <v>21.28</v>
    <v>21.3</v>
    <v>21.25</v>
    <v>21.22</v>
    <v>21.09</v>
    <v>20.97</v>
    <v>20.85</v>
    <v>20.9</v>
    <v>20.89</v>
    <v>21.02</v>
    <v>20.84</v>
    <v>20.92</v>
    <v>20.8</v>
    <v>20.7</v>
  </a>
  <a r="1" c="22">
    <v>77.034000000000006</v>
    <v>75.822500000000005</v>
    <v>77.36</v>
    <v>77.97</v>
    <v>79.77</v>
    <v>80.930000000000007</v>
    <v>80.86</v>
    <v>81.09</v>
    <v>81.290000000000006</v>
    <v>83.51</v>
    <v>83.32</v>
    <v>81.691199999999995</v>
    <v>81.349999999999994</v>
    <v>81.5</v>
    <v>83.87</v>
    <v>85.8</v>
    <v>85.16</v>
    <v>85.05</v>
    <v>84.79</v>
    <v>85.1</v>
    <v>84.86</v>
    <v>84.69</v>
  </a>
  <a r="1" c="254">
    <v>64.42</v>
    <v>63.78</v>
    <v>61.42</v>
    <v>60.66</v>
    <v>60.89</v>
    <v>58.713900000000002</v>
    <v>59.116399999999999</v>
    <v>59.002899999999997</v>
    <v>58.28</v>
    <v>57.96</v>
    <v>58.46</v>
    <v>58.12</v>
    <v>57.798900000000003</v>
    <v>58.77</v>
    <v>58.62</v>
    <v>57.93</v>
    <v>57.59</v>
    <v>59.05</v>
    <v>59.6</v>
    <v>60.54</v>
    <v>60.37</v>
    <v>60.71</v>
    <v>61.47</v>
    <v>60.39</v>
    <v>60.91</v>
    <v>61.42</v>
    <v>61.01</v>
    <v>61.14</v>
    <v>61.564799999999998</v>
    <v>61.85</v>
    <v>60.91</v>
    <v>60.4</v>
    <v>61.47</v>
    <v>61.86</v>
    <v>62.605499999999999</v>
    <v>61.34</v>
    <v>63.42</v>
    <v>62.906100000000002</v>
    <v>62.21</v>
    <v>62.98</v>
    <v>63.32</v>
    <v>64.64</v>
    <v>63.98</v>
    <v>64.13</v>
    <v>62.82</v>
    <v>63.02</v>
    <v>62.7</v>
    <v>62.72</v>
    <v>62.34</v>
    <v>62.24</v>
    <v>61.32</v>
    <v>60.61</v>
    <v>62.75</v>
    <v>62.7</v>
    <v>62.52</v>
    <v>60.47</v>
    <v>61.27</v>
    <v>61.21</v>
    <v>61.43</v>
    <v>63.89</v>
    <v>64.010000000000005</v>
    <v>64.180000000000007</v>
    <v>64.8</v>
    <v>64.175299999999993</v>
    <v>62.89</v>
    <v>63.762099999999997</v>
    <v>64.27</v>
    <v>63.99</v>
    <v>63.67</v>
    <v>61.87</v>
    <v>61.5</v>
    <v>61.53</v>
    <v>61.91</v>
    <v>57.58</v>
    <v>54.25</v>
    <v>54.19</v>
    <v>52.5</v>
    <v>57.44</v>
    <v>55.204999999999998</v>
    <v>56.802500000000002</v>
    <v>56.87</v>
    <v>56.74</v>
    <v>56.36</v>
    <v>56.99</v>
    <v>55.892000000000003</v>
    <v>57.56</v>
    <v>58.85</v>
    <v>60.45</v>
    <v>60.16</v>
    <v>60.6</v>
    <v>60.92</v>
    <v>60.13</v>
    <v>60.55</v>
    <v>62.51</v>
    <v>61.8</v>
    <v>61.7089</v>
    <v>61.21</v>
    <v>61.35</v>
    <v>61.43</v>
    <v>63.13</v>
    <v>63.79</v>
    <v>63.45</v>
    <v>63.2179</v>
    <v>63.494999999999997</v>
    <v>63.66</v>
    <v>63.41</v>
    <v>62.46</v>
    <v>61.69</v>
    <v>62.182400000000001</v>
    <v>63.6</v>
    <v>62.65</v>
    <v>62.68</v>
    <v>61.873899999999999</v>
    <v>63.75</v>
    <v>64.3</v>
    <v>64.398399999999995</v>
    <v>64.332899999999995</v>
    <v>65.03</v>
    <v>65.75</v>
    <v>65.965699999999998</v>
    <v>64.959999999999994</v>
    <v>64.876400000000004</v>
    <v>64.45</v>
    <v>65.27</v>
    <v>64.963300000000004</v>
    <v>64.81</v>
    <v>63.59</v>
    <v>64.3</v>
    <v>64.83</v>
    <v>64.22</v>
    <v>66.180000000000007</v>
    <v>66.53</v>
    <v>66.16</v>
    <v>67.180000000000007</v>
    <v>69.89</v>
    <v>70.193799999999996</v>
    <v>68.989999999999995</v>
    <v>69.989999999999995</v>
    <v>69.98</v>
    <v>71.05</v>
    <v>71.380200000000002</v>
    <v>70.37</v>
    <v>69.36</v>
    <v>69.16</v>
    <v>70.150000000000006</v>
    <v>70.040000000000006</v>
    <v>71.73</v>
    <v>73.260000000000005</v>
    <v>74.16</v>
    <v>72.05</v>
    <v>72.430000000000007</v>
    <v>71.09</v>
    <v>70.61</v>
    <v>69.69</v>
    <v>68.06</v>
    <v>66.97</v>
    <v>66.73</v>
    <v>67.37</v>
    <v>66.921199999999999</v>
    <v>67.61</v>
    <v>68.22</v>
    <v>68.099999999999994</v>
    <v>70.16</v>
    <v>71.209999999999994</v>
    <v>70.05</v>
    <v>69.569999999999993</v>
    <v>69.47</v>
    <v>69.293999999999997</v>
    <v>68.58</v>
    <v>68.721400000000003</v>
    <v>71.026399999999995</v>
    <v>71.076999999999998</v>
    <v>70.835300000000004</v>
    <v>71.003299999999996</v>
    <v>71.376000000000005</v>
    <v>71.092500000000001</v>
    <v>69.900000000000006</v>
    <v>69.72</v>
    <v>70.510000000000005</v>
    <v>72.19</v>
    <v>71.488399999999999</v>
    <v>70.209999999999994</v>
    <v>71.13</v>
    <v>72.2</v>
    <v>71.529899999999998</v>
    <v>72.58</v>
    <v>72.848299999999995</v>
    <v>72.205500000000001</v>
    <v>72.363299999999995</v>
    <v>72.057100000000005</v>
    <v>72.31</v>
    <v>71.86</v>
    <v>71.894999999999996</v>
    <v>71.930000000000007</v>
    <v>72.69</v>
    <v>72.510000000000005</v>
    <v>72.48</v>
    <v>74.150000000000006</v>
    <v>74.010000000000005</v>
    <v>74.36</v>
    <v>74.75</v>
    <v>74.117400000000004</v>
    <v>75.734999999999999</v>
    <v>74.91</v>
    <v>71.819999999999993</v>
    <v>74.12</v>
    <v>74.67</v>
    <v>74.75</v>
    <v>73.790000000000006</v>
    <v>73.98</v>
    <v>76.52</v>
    <v>76.040000000000006</v>
    <v>75.52</v>
    <v>77.08</v>
    <v>77.86</v>
    <v>78.92</v>
    <v>79.84</v>
    <v>80.510000000000005</v>
    <v>78.95</v>
    <v>79.36</v>
    <v>78.94</v>
    <v>76.239999999999995</v>
    <v>77.150000000000006</v>
    <v>77.510000000000005</v>
    <v>78.040000000000006</v>
    <v>78.430000000000007</v>
    <v>78.459999999999994</v>
    <v>80.259799999999998</v>
    <v>78.836100000000002</v>
    <v>78.849999999999994</v>
    <v>77.400000000000006</v>
    <v>77.25</v>
    <v>77.034000000000006</v>
    <v>75.822500000000005</v>
    <v>77.36</v>
    <v>77.97</v>
    <v>79.77</v>
    <v>80.930000000000007</v>
    <v>80.86</v>
    <v>81.09</v>
    <v>81.290000000000006</v>
    <v>83.51</v>
    <v>83.32</v>
    <v>81.691199999999995</v>
    <v>81.349999999999994</v>
    <v>81.5</v>
    <v>83.87</v>
    <v>85.8</v>
    <v>85.16</v>
    <v>85.05</v>
    <v>84.79</v>
    <v>85.1</v>
    <v>84.86</v>
    <v>84.69</v>
  </a>
  <a r="1" c="22">
    <v>26.48</v>
    <v>26.42</v>
    <v>26.139299999999999</v>
    <v>26.1311</v>
    <v>26.1</v>
    <v>26.28</v>
    <v>26.45</v>
    <v>26.2</v>
    <v>25.975000000000001</v>
    <v>25.71</v>
    <v>25.96</v>
    <v>26.03</v>
    <v>25.590499999999999</v>
    <v>25.67</v>
    <v>25.741499999999998</v>
    <v>25.75</v>
    <v>25.57</v>
    <v>25.6</v>
    <v>25.5</v>
    <v>25.51</v>
    <v>25.69</v>
    <v>26.14</v>
  </a>
  <a r="1" c="254">
    <v>29.24</v>
    <v>28.99</v>
    <v>28.33</v>
    <v>28.45</v>
    <v>28.36</v>
    <v>26.07</v>
    <v>26.069199999999999</v>
    <v>26.08</v>
    <v>26.02</v>
    <v>25.76</v>
    <v>25.77</v>
    <v>26.14</v>
    <v>26.22</v>
    <v>25.71</v>
    <v>25.69</v>
    <v>25.65</v>
    <v>25.06</v>
    <v>24.78</v>
    <v>24.93</v>
    <v>25.1</v>
    <v>24.94</v>
    <v>24.97</v>
    <v>24.88</v>
    <v>24.73</v>
    <v>24.98</v>
    <v>24.9</v>
    <v>24.57</v>
    <v>24.49</v>
    <v>24.72</v>
    <v>24.91</v>
    <v>24.93</v>
    <v>24.75</v>
    <v>25.08</v>
    <v>25.08</v>
    <v>24.83</v>
    <v>24.63</v>
    <v>24.69</v>
    <v>24.4373</v>
    <v>24.24</v>
    <v>24.49</v>
    <v>24.19</v>
    <v>24.11</v>
    <v>24.12</v>
    <v>24.29</v>
    <v>23.934999999999999</v>
    <v>23.9</v>
    <v>23.85</v>
    <v>23.815000000000001</v>
    <v>23.5</v>
    <v>23.274100000000001</v>
    <v>23.09</v>
    <v>23.21</v>
    <v>23.81</v>
    <v>23.86</v>
    <v>23.94</v>
    <v>23.52</v>
    <v>23.75</v>
    <v>23.78</v>
    <v>23.62</v>
    <v>23.822099999999999</v>
    <v>24.14</v>
    <v>24.29</v>
    <v>24.6</v>
    <v>24.69</v>
    <v>25.08</v>
    <v>25.41</v>
    <v>25.392199999999999</v>
    <v>25.04</v>
    <v>25.28</v>
    <v>24.93</v>
    <v>25.01</v>
    <v>24.87</v>
    <v>25.13</v>
    <v>24.87</v>
    <v>23.8</v>
    <v>23.62</v>
    <v>23.85</v>
    <v>24.69</v>
    <v>24.42</v>
    <v>24.42</v>
    <v>24.75</v>
    <v>24.83</v>
    <v>24.74</v>
    <v>25.36</v>
    <v>25.73</v>
    <v>25.96</v>
    <v>25.77</v>
    <v>25.98</v>
    <v>25.55</v>
    <v>25.728899999999999</v>
    <v>25.92</v>
    <v>25.91</v>
    <v>25.98</v>
    <v>26.19</v>
    <v>26.32</v>
    <v>26</v>
    <v>25.87</v>
    <v>25.07</v>
    <v>25.45</v>
    <v>26.43</v>
    <v>26.31</v>
    <v>26.283000000000001</v>
    <v>26.62</v>
    <v>26.63</v>
    <v>26.684999999999999</v>
    <v>26.36</v>
    <v>26.33</v>
    <v>26.17</v>
    <v>26.6</v>
    <v>26.58</v>
    <v>26.51</v>
    <v>26.63</v>
    <v>26.48</v>
    <v>26.6</v>
    <v>26.35</v>
    <v>26.33</v>
    <v>26.43</v>
    <v>26.72</v>
    <v>26.93</v>
    <v>26.893699999999999</v>
    <v>26.97</v>
    <v>26.7</v>
    <v>26.29</v>
    <v>26.55</v>
    <v>26.21</v>
    <v>26.19</v>
    <v>26.180599999999998</v>
    <v>26.3</v>
    <v>26.54</v>
    <v>26.68</v>
    <v>27.015000000000001</v>
    <v>27.1</v>
    <v>26.95</v>
    <v>27.118300000000001</v>
    <v>27</v>
    <v>27.11</v>
    <v>27.03</v>
    <v>27.04</v>
    <v>27.05</v>
    <v>26.83</v>
    <v>26.640699999999999</v>
    <v>26.65</v>
    <v>26.617999999999999</v>
    <v>26.78</v>
    <v>26.7</v>
    <v>26.44</v>
    <v>26.51</v>
    <v>26.42</v>
    <v>26.518999999999998</v>
    <v>26.15</v>
    <v>26.065000000000001</v>
    <v>25.8</v>
    <v>25.88</v>
    <v>25.55</v>
    <v>25.54</v>
    <v>25.614999999999998</v>
    <v>25.44</v>
    <v>25.41</v>
    <v>25.32</v>
    <v>25.46</v>
    <v>25.251999999999999</v>
    <v>25.32</v>
    <v>25.41</v>
    <v>25.51</v>
    <v>25.37</v>
    <v>25.459700000000002</v>
    <v>25.88</v>
    <v>25.95</v>
    <v>26.073</v>
    <v>25.94</v>
    <v>25.93</v>
    <v>25.74</v>
    <v>25.448</v>
    <v>25.45</v>
    <v>25.38</v>
    <v>25.08</v>
    <v>25.2822</v>
    <v>25.48</v>
    <v>25.454999999999998</v>
    <v>25.355</v>
    <v>25.6</v>
    <v>25.484999999999999</v>
    <v>25.7179</v>
    <v>25.74</v>
    <v>25.709</v>
    <v>25.800999999999998</v>
    <v>25.99</v>
    <v>26.11</v>
    <v>25.965</v>
    <v>26</v>
    <v>25.82</v>
    <v>25.54</v>
    <v>25.38</v>
    <v>25.32</v>
    <v>25.169</v>
    <v>25.1</v>
    <v>25.07</v>
    <v>25.258700000000001</v>
    <v>25.209499999999998</v>
    <v>25.28</v>
    <v>25.45</v>
    <v>25.5</v>
    <v>25.37</v>
    <v>25.46</v>
    <v>25.469000000000001</v>
    <v>25.54</v>
    <v>25.46</v>
    <v>25.92</v>
    <v>26.05</v>
    <v>26.27</v>
    <v>26.42</v>
    <v>26.21</v>
    <v>26.63</v>
    <v>26.429500000000001</v>
    <v>26.289000000000001</v>
    <v>26.51</v>
    <v>26.42</v>
    <v>26.34</v>
    <v>26.26</v>
    <v>25.97</v>
    <v>26.26</v>
    <v>26.154299999999999</v>
    <v>26.273</v>
    <v>25.92</v>
    <v>25.97</v>
    <v>26.18</v>
    <v>26.53</v>
    <v>26.37</v>
    <v>26.185199999999998</v>
    <v>26.39</v>
    <v>26.41</v>
    <v>26.38</v>
    <v>26.48</v>
    <v>26.42</v>
    <v>26.139299999999999</v>
    <v>26.1311</v>
    <v>26.1</v>
    <v>26.28</v>
    <v>26.45</v>
    <v>26.2</v>
    <v>25.975000000000001</v>
    <v>25.71</v>
    <v>25.96</v>
    <v>26.03</v>
    <v>25.590499999999999</v>
    <v>25.67</v>
    <v>25.741499999999998</v>
    <v>25.75</v>
    <v>25.57</v>
    <v>25.6</v>
    <v>25.5</v>
    <v>25.51</v>
    <v>25.69</v>
    <v>26.14</v>
  </a>
  <a r="1" c="254">
    <v>28.91</v>
    <v>28.71</v>
    <v>27.8</v>
    <v>28.05</v>
    <v>27.97</v>
    <v>28.26</v>
    <v>28.08</v>
    <v>28.09</v>
    <v>28.1</v>
    <v>26.83</v>
    <v>26.78</v>
    <v>28.11</v>
    <v>28.84</v>
    <v>29.28</v>
    <v>28.21</v>
    <v>27.84</v>
    <v>27.17</v>
    <v>27.1</v>
    <v>27.2</v>
    <v>27.65</v>
    <v>27.36</v>
    <v>28.03</v>
    <v>29.18</v>
    <v>30.35</v>
    <v>30.98</v>
    <v>30.53</v>
    <v>27.1</v>
    <v>27.58</v>
    <v>28.36</v>
    <v>28.92</v>
    <v>28.31</v>
    <v>27.99</v>
    <v>28.91</v>
    <v>28.98</v>
    <v>28.36</v>
    <v>29.1</v>
    <v>29.1</v>
    <v>28.6</v>
    <v>28.94</v>
    <v>28.96</v>
    <v>28.03</v>
    <v>28.2</v>
    <v>27.38</v>
    <v>27.25</v>
    <v>26.06</v>
    <v>25.66</v>
    <v>25.18</v>
    <v>25.71</v>
    <v>24.72</v>
    <v>24.8</v>
    <v>23.49</v>
    <v>24.05</v>
    <v>24.67</v>
    <v>24.22</v>
    <v>23.94</v>
    <v>23.11</v>
    <v>23.66</v>
    <v>23.84</v>
    <v>23.51</v>
    <v>23.9</v>
    <v>24.64</v>
    <v>24.45</v>
    <v>25.19</v>
    <v>25.38</v>
    <v>25</v>
    <v>25.39</v>
    <v>24.87</v>
    <v>24.29</v>
    <v>23.64</v>
    <v>23.1</v>
    <v>22.92</v>
    <v>23.08</v>
    <v>23.17</v>
    <v>22.46</v>
    <v>20.82</v>
    <v>20.51</v>
    <v>20.260000000000002</v>
    <v>22.12</v>
    <v>21.59</v>
    <v>22.65</v>
    <v>22.84</v>
    <v>22.73</v>
    <v>22.71</v>
    <v>22.87</v>
    <v>22.45</v>
    <v>22.66</v>
    <v>23.66</v>
    <v>24.59</v>
    <v>24.45</v>
    <v>25.05</v>
    <v>25.13</v>
    <v>25</v>
    <v>25.31</v>
    <v>25.84</v>
    <v>25.65</v>
    <v>26.39</v>
    <v>26.77</v>
    <v>26.68</v>
    <v>27.16</v>
    <v>27.29</v>
    <v>27.84</v>
    <v>28.15</v>
    <v>28.01</v>
    <v>27.71</v>
    <v>27.81</v>
    <v>28.01</v>
    <v>28.23</v>
    <v>28.52</v>
    <v>31.83</v>
    <v>32.97</v>
    <v>32.9</v>
    <v>32.26</v>
    <v>32.01</v>
    <v>31.87</v>
    <v>32.74</v>
    <v>33.08</v>
    <v>33.17</v>
    <v>33.64</v>
    <v>35.18</v>
    <v>34.049999999999997</v>
    <v>35.869999999999997</v>
    <v>36.01</v>
    <v>36.130000000000003</v>
    <v>38.07</v>
    <v>37.56</v>
    <v>37.770000000000003</v>
    <v>36.770000000000003</v>
    <v>37.54</v>
    <v>38.67</v>
    <v>37.840000000000003</v>
    <v>38.71</v>
    <v>38.07</v>
    <v>38.81</v>
    <v>37.42</v>
    <v>37.71</v>
    <v>37.9</v>
    <v>37.979999999999997</v>
    <v>37.020000000000003</v>
    <v>36.729999999999997</v>
    <v>37.03</v>
    <v>37.51</v>
    <v>38.97</v>
    <v>39.18</v>
    <v>39.99</v>
    <v>40.42</v>
    <v>40.93</v>
    <v>40.14</v>
    <v>40.22</v>
    <v>41.21</v>
    <v>42.16</v>
    <v>41.83</v>
    <v>40.99</v>
    <v>40.25</v>
    <v>40.090000000000003</v>
    <v>39.36</v>
    <v>38.22</v>
    <v>39.49</v>
    <v>40.43</v>
    <v>41.19</v>
    <v>40.590000000000003</v>
    <v>39.950000000000003</v>
    <v>39.630000000000003</v>
    <v>40.409999999999997</v>
    <v>39.450000000000003</v>
    <v>39.03</v>
    <v>39.01</v>
    <v>39.200000000000003</v>
    <v>36.96</v>
    <v>36.450000000000003</v>
    <v>37.18</v>
    <v>39.44</v>
    <v>39.49</v>
    <v>40.450000000000003</v>
    <v>39.68</v>
    <v>40.98</v>
    <v>40.67</v>
    <v>40.619999999999997</v>
    <v>41.34</v>
    <v>40.4</v>
    <v>40.729999999999997</v>
    <v>41.53</v>
    <v>41.97</v>
    <v>42.22</v>
    <v>42.65</v>
    <v>42.05</v>
    <v>45.98</v>
    <v>44.36</v>
    <v>44.55</v>
    <v>45.72</v>
    <v>49.43</v>
    <v>50.4</v>
    <v>50.36</v>
    <v>48.59</v>
    <v>49.17</v>
    <v>48.41</v>
    <v>48.71</v>
    <v>47.67</v>
    <v>48.26</v>
    <v>50.2</v>
    <v>49.6</v>
    <v>51.21</v>
    <v>51.21</v>
    <v>51.02</v>
    <v>51.49</v>
    <v>51.87</v>
    <v>55.49</v>
    <v>56.96</v>
    <v>58.11</v>
    <v>55.74</v>
    <v>53.31</v>
    <v>53.42</v>
    <v>49.9</v>
    <v>48.94</v>
    <v>49.94</v>
    <v>51.5</v>
    <v>50.76</v>
    <v>55.02</v>
    <v>56.47</v>
    <v>56.19</v>
    <v>55.12</v>
    <v>52.58</v>
    <v>49.73</v>
    <v>50.04</v>
    <v>47.14</v>
    <v>47.82</v>
    <v>48.9</v>
    <v>47.44</v>
    <v>47.64</v>
    <v>45.34</v>
    <v>44.75</v>
    <v>43.72</v>
    <v>43.73</v>
    <v>45.14</v>
    <v>42.11</v>
    <v>41.59</v>
    <v>43.29</v>
    <v>43.91</v>
    <v>44.79</v>
    <v>45.28</v>
    <v>44.2</v>
    <v>45.26</v>
    <v>46.62</v>
    <v>49.2</v>
    <v>47.92</v>
    <v>47.81</v>
    <v>48.13</v>
    <v>47.69</v>
    <v>49</v>
    <v>46.05</v>
    <v>44.63</v>
    <v>44.27</v>
    <v>42.71</v>
    <v>43.96</v>
    <v>45.89</v>
  </a>
  <a r="1" c="22">
    <v>45.14</v>
    <v>42.11</v>
    <v>41.59</v>
    <v>43.29</v>
    <v>43.91</v>
    <v>44.79</v>
    <v>45.28</v>
    <v>44.2</v>
    <v>45.26</v>
    <v>46.62</v>
    <v>49.2</v>
    <v>47.92</v>
    <v>47.81</v>
    <v>48.13</v>
    <v>47.69</v>
    <v>49</v>
    <v>46.05</v>
    <v>44.63</v>
    <v>44.27</v>
    <v>42.71</v>
    <v>43.96</v>
    <v>45.89</v>
  </a>
  <a r="1" c="254">
    <v>73.8</v>
    <v>73.09</v>
    <v>70.84</v>
    <v>70.61</v>
    <v>70.989999999999995</v>
    <v>70.92</v>
    <v>71.36</v>
    <v>71.599999999999994</v>
    <v>71</v>
    <v>70.349999999999994</v>
    <v>70.31</v>
    <v>69.98</v>
    <v>71.010000000000005</v>
    <v>70.930000000000007</v>
    <v>70.709999999999994</v>
    <v>70.959999999999994</v>
    <v>70.08</v>
    <v>70.834999999999994</v>
    <v>71.739999999999995</v>
    <v>72.39</v>
    <v>73.22</v>
    <v>73.599999999999994</v>
    <v>75.14</v>
    <v>75.040000000000006</v>
    <v>75.540000000000006</v>
    <v>75.16</v>
    <v>73.760000000000005</v>
    <v>73.37</v>
    <v>73.23</v>
    <v>73.98</v>
    <v>73.650000000000006</v>
    <v>72.849999999999994</v>
    <v>72.849999999999994</v>
    <v>73.069999999999993</v>
    <v>73.349999999999994</v>
    <v>73.06</v>
    <v>73.62</v>
    <v>73.56</v>
    <v>72.95</v>
    <v>73.09</v>
    <v>72.97</v>
    <v>73.55</v>
    <v>73.44</v>
    <v>72.790000000000006</v>
    <v>71.09</v>
    <v>70.66</v>
    <v>71.040000000000006</v>
    <v>71.27</v>
    <v>70.819999999999993</v>
    <v>71.75</v>
    <v>70.540000000000006</v>
    <v>69.180000000000007</v>
    <v>70.28</v>
    <v>69.45</v>
    <v>70.25</v>
    <v>69.05</v>
    <v>68.22</v>
    <v>68.25</v>
    <v>67.430000000000007</v>
    <v>68.819999999999993</v>
    <v>69.7</v>
    <v>69.125</v>
    <v>70.17</v>
    <v>69.674999999999997</v>
    <v>69.03</v>
    <v>70.459999999999994</v>
    <v>70.55</v>
    <v>70.02</v>
    <v>69.64</v>
    <v>68.2</v>
    <v>68.47</v>
    <v>68.97</v>
    <v>69.73</v>
    <v>65.900000000000006</v>
    <v>61.96</v>
    <v>61.6</v>
    <v>60.99</v>
    <v>66.64</v>
    <v>64.819999999999993</v>
    <v>65.760000000000005</v>
    <v>66.45</v>
    <v>66.209999999999994</v>
    <v>65.239999999999995</v>
    <v>65.7</v>
    <v>64.040000000000006</v>
    <v>65.3</v>
    <v>66.180000000000007</v>
    <v>67.77</v>
    <v>67.760000000000005</v>
    <v>67.91</v>
    <v>68.31</v>
    <v>68.73</v>
    <v>69.25</v>
    <v>70.59</v>
    <v>70.569999999999993</v>
    <v>69.98</v>
    <v>70.28</v>
    <v>71.319999999999993</v>
    <v>71.39</v>
    <v>73.709999999999994</v>
    <v>74.19</v>
    <v>73.900000000000006</v>
    <v>74.69</v>
    <v>75.38</v>
    <v>75.62</v>
    <v>75.36</v>
    <v>73.97</v>
    <v>73.88</v>
    <v>73.66</v>
    <v>75.09</v>
    <v>74.639499999999998</v>
    <v>74.67</v>
    <v>74.7</v>
    <v>74.510000000000005</v>
    <v>75.36</v>
    <v>75.400000000000006</v>
    <v>75.31</v>
    <v>76.040000000000006</v>
    <v>76.03</v>
    <v>75.73</v>
    <v>75.760000000000005</v>
    <v>75.659000000000006</v>
    <v>74.88</v>
    <v>75.44</v>
    <v>74.91</v>
    <v>74.790400000000005</v>
    <v>74.53</v>
    <v>75.58</v>
    <v>76.38</v>
    <v>75.709999999999994</v>
    <v>76.61</v>
    <v>77.31</v>
    <v>77.53</v>
    <v>77.92</v>
    <v>78.126999999999995</v>
    <v>78.760000000000005</v>
    <v>78.44</v>
    <v>78.52</v>
    <v>79.08</v>
    <v>79.33</v>
    <v>79.069999999999993</v>
    <v>79.45</v>
    <v>78.790000000000006</v>
    <v>79.13</v>
    <v>79.989999999999995</v>
    <v>79.7</v>
    <v>79.19</v>
    <v>79.55</v>
    <v>81</v>
    <v>80.900000000000006</v>
    <v>81.86</v>
    <v>81.540000000000006</v>
    <v>80.75</v>
    <v>80.42</v>
    <v>80.41</v>
    <v>79.150000000000006</v>
    <v>79.930000000000007</v>
    <v>79.87</v>
    <v>79.81</v>
    <v>79.72</v>
    <v>79.72</v>
    <v>79.454999999999998</v>
    <v>80.599999999999994</v>
    <v>81.03</v>
    <v>80.13</v>
    <v>79.599999999999994</v>
    <v>79.95</v>
    <v>80.11</v>
    <v>79.88</v>
    <v>79.62</v>
    <v>81.13</v>
    <v>80.459999999999994</v>
    <v>81.245000000000005</v>
    <v>81.23</v>
    <v>81.364000000000004</v>
    <v>80.540000000000006</v>
    <v>79.69</v>
    <v>79.41</v>
    <v>80.42</v>
    <v>80.150000000000006</v>
    <v>80.290000000000006</v>
    <v>79.650000000000006</v>
    <v>80.28</v>
    <v>81.19</v>
    <v>80.469899999999996</v>
    <v>80.819999999999993</v>
    <v>80.674999999999997</v>
    <v>80.25</v>
    <v>81.33</v>
    <v>81.03</v>
    <v>81.5</v>
    <v>81.37</v>
    <v>80.814599999999999</v>
    <v>80.28</v>
    <v>81.02</v>
    <v>81.17</v>
    <v>81.94</v>
    <v>81.92</v>
    <v>82.16</v>
    <v>82.37</v>
    <v>82.7</v>
    <v>82.24</v>
    <v>83.06</v>
    <v>81.84</v>
    <v>80</v>
    <v>81.06</v>
    <v>81.98</v>
    <v>81.790000000000006</v>
    <v>81.11</v>
    <v>81.09</v>
    <v>82.1</v>
    <v>82.75</v>
    <v>81.42</v>
    <v>82.75</v>
    <v>83.08</v>
    <v>83.46</v>
    <v>82.904799999999994</v>
    <v>83.12</v>
    <v>82.73</v>
    <v>83.12</v>
    <v>82.7</v>
    <v>81.665999999999997</v>
    <v>82.06</v>
    <v>81.37</v>
    <v>81.78</v>
    <v>82.34</v>
    <v>82.23</v>
    <v>82.26</v>
    <v>80.650000000000006</v>
    <v>80.739999999999995</v>
    <v>79.819999999999993</v>
    <v>79.44</v>
    <v>79.849999999999994</v>
    <v>78.27</v>
    <v>79.37</v>
    <v>79.87</v>
    <v>81.010000000000005</v>
    <v>81.56</v>
    <v>81.98</v>
    <v>80.819999999999993</v>
    <v>81.42</v>
    <v>82.2</v>
    <v>82.86</v>
    <v>82.54</v>
    <v>82.4</v>
    <v>81.75</v>
    <v>83.303299999999993</v>
    <v>84.33</v>
    <v>83.427000000000007</v>
    <v>83.37</v>
    <v>82.97</v>
    <v>81.496300000000005</v>
    <v>82.15</v>
    <v>82.79</v>
  </a>
  <a r="1" c="22">
    <v>79.849999999999994</v>
    <v>78.27</v>
    <v>79.37</v>
    <v>79.87</v>
    <v>81.010000000000005</v>
    <v>81.56</v>
    <v>81.98</v>
    <v>80.819999999999993</v>
    <v>81.42</v>
    <v>82.2</v>
    <v>82.86</v>
    <v>82.54</v>
    <v>82.4</v>
    <v>81.75</v>
    <v>83.303299999999993</v>
    <v>84.33</v>
    <v>83.427000000000007</v>
    <v>83.37</v>
    <v>82.97</v>
    <v>81.496300000000005</v>
    <v>82.15</v>
    <v>82.79</v>
  </a>
  <a r="1" c="254">
    <v>59.4</v>
    <v>58.17</v>
    <v>55.25</v>
    <v>54.95</v>
    <v>55.84</v>
    <v>55.61</v>
    <v>56.08</v>
    <v>56.39</v>
    <v>55.72</v>
    <v>55.49</v>
    <v>55.47</v>
    <v>54.91</v>
    <v>55.65</v>
    <v>55.67</v>
    <v>55.2</v>
    <v>55.21</v>
    <v>53.55</v>
    <v>54.19</v>
    <v>55.98</v>
    <v>57.44</v>
    <v>57.09</v>
    <v>57.86</v>
    <v>58.5</v>
    <v>57.95</v>
    <v>57.81</v>
    <v>58.08</v>
    <v>58.79</v>
    <v>58.64</v>
    <v>58.53</v>
    <v>59.13</v>
    <v>58.87</v>
    <v>57.76</v>
    <v>58.71</v>
    <v>59.38</v>
    <v>59.92</v>
    <v>59.26</v>
    <v>58.62</v>
    <v>59.35</v>
    <v>58.12</v>
    <v>58.43</v>
    <v>58.58</v>
    <v>59.05</v>
    <v>58.75</v>
    <v>57.79</v>
    <v>56.53</v>
    <v>56.19</v>
    <v>56.29</v>
    <v>56.35</v>
    <v>56.46</v>
    <v>57.33</v>
    <v>56.65</v>
    <v>54.55</v>
    <v>54.55</v>
    <v>53.71</v>
    <v>53.74</v>
    <v>51.67</v>
    <v>51.28</v>
    <v>51.81</v>
    <v>51.29</v>
    <v>52.76</v>
    <v>53.16</v>
    <v>53.1</v>
    <v>53.67</v>
    <v>53.39</v>
    <v>53.29</v>
    <v>54.33</v>
    <v>54.25</v>
    <v>54.04</v>
    <v>53.61</v>
    <v>52.52</v>
    <v>52.96</v>
    <v>52.73</v>
    <v>53.52</v>
    <v>48.62</v>
    <v>46.58</v>
    <v>46.38</v>
    <v>45.85</v>
    <v>49.21</v>
    <v>46.31</v>
    <v>46.46</v>
    <v>47.26</v>
    <v>47.91</v>
    <v>47.77</v>
    <v>48.09</v>
    <v>47.42</v>
    <v>48.96</v>
    <v>49.86</v>
    <v>50.73</v>
    <v>50.3</v>
    <v>50.57</v>
    <v>51.03</v>
    <v>50.63</v>
    <v>51.13</v>
    <v>52.38</v>
    <v>52.21</v>
    <v>51.68</v>
    <v>51.88</v>
    <v>52.91</v>
    <v>52.67</v>
    <v>54.96</v>
    <v>55.27</v>
    <v>54.99</v>
    <v>55.09</v>
    <v>55.17</v>
    <v>55</v>
    <v>54.79</v>
    <v>52.86</v>
    <v>52.9</v>
    <v>52.68</v>
    <v>53.91</v>
    <v>53.11</v>
    <v>53.56</v>
    <v>53.2</v>
    <v>52.84</v>
    <v>53.61</v>
    <v>53.01</v>
    <v>52.94</v>
    <v>54.11</v>
    <v>54.36</v>
    <v>54.88</v>
    <v>54.4</v>
    <v>54.21</v>
    <v>52.87</v>
    <v>53.08</v>
    <v>52.39</v>
    <v>53.08</v>
    <v>53.41</v>
    <v>54.28</v>
    <v>54.87</v>
    <v>54.63</v>
    <v>55.78</v>
    <v>55.74</v>
    <v>55.76</v>
    <v>57.37</v>
    <v>58.26</v>
    <v>58.82</v>
    <v>58.06</v>
    <v>58.46</v>
    <v>58.38</v>
    <v>58.76</v>
    <v>58.15</v>
    <v>58.76</v>
    <v>56.92</v>
    <v>57.29</v>
    <v>58.34</v>
    <v>58.44</v>
    <v>58.36</v>
    <v>58.72</v>
    <v>58.75</v>
    <v>57.77</v>
    <v>57.75</v>
    <v>57.71</v>
    <v>57.52</v>
    <v>56.76</v>
    <v>56.22</v>
    <v>55.26</v>
    <v>55.98</v>
    <v>56.27</v>
    <v>56.01</v>
    <v>55.5</v>
    <v>56.06</v>
    <v>55.99</v>
    <v>57.89</v>
    <v>58.86</v>
    <v>58.85</v>
    <v>57.84</v>
    <v>58.07</v>
    <v>58.13</v>
    <v>58.2</v>
    <v>57.98</v>
    <v>60.68</v>
    <v>60.32</v>
    <v>60.9</v>
    <v>61.28</v>
    <v>61.05</v>
    <v>61.06</v>
    <v>60.58</v>
    <v>60.65</v>
    <v>61.63</v>
    <v>61.16</v>
    <v>61.16</v>
    <v>60.69</v>
    <v>60.78</v>
    <v>61.17</v>
    <v>60.99</v>
    <v>60.47</v>
    <v>59.87</v>
    <v>60.53</v>
    <v>61.99</v>
    <v>61.35</v>
    <v>60.33</v>
    <v>60.23</v>
    <v>60.03</v>
    <v>59.94</v>
    <v>60.35</v>
    <v>59.84</v>
    <v>59.42</v>
    <v>59.07</v>
    <v>58.88</v>
    <v>59.28</v>
    <v>59.63</v>
    <v>59.3</v>
    <v>58.97</v>
    <v>58.74</v>
    <v>56.48</v>
    <v>57.59</v>
    <v>59.33</v>
    <v>58.25</v>
    <v>55.09</v>
    <v>55.86</v>
    <v>57.15</v>
    <v>57.17</v>
    <v>57.04</v>
    <v>56.91</v>
    <v>57.8</v>
    <v>57.73</v>
    <v>57.46</v>
    <v>56.48</v>
    <v>56.58</v>
    <v>56.74</v>
    <v>56.83</v>
    <v>56.73</v>
    <v>57.15</v>
    <v>56.7</v>
    <v>57.45</v>
    <v>57.68</v>
    <v>57.9</v>
    <v>57.97</v>
    <v>57.15</v>
    <v>57.26</v>
    <v>55.19</v>
    <v>55.64</v>
    <v>56.19</v>
    <v>55.95</v>
    <v>57.66</v>
    <v>57.74</v>
    <v>59.32</v>
    <v>59.16</v>
    <v>58.98</v>
    <v>59.48</v>
    <v>59.13</v>
    <v>60.27</v>
    <v>60.46</v>
    <v>60.32</v>
    <v>60.42</v>
    <v>60.38</v>
    <v>62.36</v>
    <v>62.79</v>
    <v>62.48</v>
    <v>62.66</v>
    <v>62.41</v>
    <v>62.59</v>
    <v>62.76</v>
    <v>62.62</v>
  </a>
  <a r="1" c="22">
    <v>56.19</v>
    <v>55.95</v>
    <v>57.66</v>
    <v>57.74</v>
    <v>59.32</v>
    <v>59.16</v>
    <v>58.98</v>
    <v>59.48</v>
    <v>59.13</v>
    <v>60.27</v>
    <v>60.46</v>
    <v>60.32</v>
    <v>60.42</v>
    <v>60.38</v>
    <v>62.36</v>
    <v>62.79</v>
    <v>62.48</v>
    <v>62.66</v>
    <v>62.41</v>
    <v>62.59</v>
    <v>62.76</v>
    <v>62.62</v>
  </a>
  <a r="1" c="254">
    <v>20.96</v>
    <v>20.743400000000001</v>
    <v>20.22</v>
    <v>20.46</v>
    <v>20.734999999999999</v>
    <v>20.72</v>
    <v>20.760100000000001</v>
    <v>21.144600000000001</v>
    <v>21.01</v>
    <v>21.069700000000001</v>
    <v>21.48</v>
    <v>21.53</v>
    <v>21.07</v>
    <v>21.19</v>
    <v>21.2</v>
    <v>21.13</v>
    <v>21.76</v>
    <v>22.25</v>
    <v>22.11</v>
    <v>22.04</v>
    <v>21.58</v>
    <v>21.81</v>
    <v>22.42</v>
    <v>22.23</v>
    <v>22.4</v>
    <v>22.25</v>
    <v>22.11</v>
    <v>22.11</v>
    <v>22.45</v>
    <v>22.25</v>
    <v>22.16</v>
    <v>22.43</v>
    <v>22.74</v>
    <v>22.49</v>
    <v>22.55</v>
    <v>22.28</v>
    <v>22.27</v>
    <v>22.27</v>
    <v>21.94</v>
    <v>21.94</v>
    <v>22.13</v>
    <v>22.19</v>
    <v>22.02</v>
    <v>22.3</v>
    <v>22.23</v>
    <v>22.07</v>
    <v>22.0548</v>
    <v>21.91</v>
    <v>21.82</v>
    <v>21.53</v>
    <v>21.27</v>
    <v>21.03</v>
    <v>21.2</v>
    <v>21.504999999999999</v>
    <v>21.515000000000001</v>
    <v>21.3</v>
    <v>21.27</v>
    <v>21.04</v>
    <v>21.22</v>
    <v>21.465</v>
    <v>21.43</v>
    <v>21.34</v>
    <v>21.22</v>
    <v>21.285</v>
    <v>21.16</v>
    <v>21.15</v>
    <v>21.18</v>
    <v>21.16</v>
    <v>21.381</v>
    <v>21.4802</v>
    <v>21.34</v>
    <v>21.75</v>
    <v>21.6982</v>
    <v>21.364999999999998</v>
    <v>20.73</v>
    <v>20.750399999999999</v>
    <v>20.59</v>
    <v>21.09</v>
    <v>21.33</v>
    <v>21.68</v>
    <v>21.67</v>
    <v>21.607900000000001</v>
    <v>21.71</v>
    <v>21.622</v>
    <v>21.6</v>
    <v>21.5809</v>
    <v>21.695</v>
    <v>21.877700000000001</v>
    <v>21.85</v>
    <v>21.89</v>
    <v>21.69</v>
    <v>21.47</v>
    <v>21.63</v>
    <v>21.75</v>
    <v>21.62</v>
    <v>21.49</v>
    <v>21.52</v>
    <v>21.61</v>
    <v>21.7</v>
    <v>22.22</v>
    <v>22.265499999999999</v>
    <v>22.22</v>
    <v>21.774999999999999</v>
    <v>21.72</v>
    <v>21.8</v>
    <v>21.919</v>
    <v>22.074999999999999</v>
    <v>22.130099999999999</v>
    <v>22.13</v>
    <v>22.110299999999999</v>
    <v>21.77</v>
    <v>21.78</v>
    <v>21.62</v>
    <v>21.52</v>
    <v>21.56</v>
    <v>21.65</v>
    <v>21.81</v>
    <v>21.99</v>
    <v>21.83</v>
    <v>21.86</v>
    <v>21.77</v>
    <v>21.69</v>
    <v>22.29</v>
    <v>22.38</v>
    <v>22.56</v>
    <v>22.49</v>
    <v>22.39</v>
    <v>22.14</v>
    <v>21.950099999999999</v>
    <v>21.574999999999999</v>
    <v>21.570399999999999</v>
    <v>21.73</v>
    <v>21.78</v>
    <v>21.79</v>
    <v>22.11</v>
    <v>22.25</v>
    <v>21.65</v>
    <v>21.58</v>
    <v>21.431699999999999</v>
    <v>21.549700000000001</v>
    <v>21.46</v>
    <v>21.45</v>
    <v>21.345600000000001</v>
    <v>21.682600000000001</v>
    <v>21.84</v>
    <v>21.984400000000001</v>
    <v>21.864000000000001</v>
    <v>21.88</v>
    <v>21.84</v>
    <v>21.85</v>
    <v>21.761700000000001</v>
    <v>21.67</v>
    <v>21.533000000000001</v>
    <v>21.35</v>
    <v>21.213999999999999</v>
    <v>21.21</v>
    <v>21.3553</v>
    <v>21.21</v>
    <v>21.12</v>
    <v>21.25</v>
    <v>21.07</v>
    <v>21.57</v>
    <v>21.974</v>
    <v>22.07</v>
    <v>21.87</v>
    <v>22.18</v>
    <v>22.13</v>
    <v>21.97</v>
    <v>22.02</v>
    <v>22.31</v>
    <v>22.4</v>
    <v>22.3</v>
    <v>22.28</v>
    <v>22.26</v>
    <v>22.312999999999999</v>
    <v>22.39</v>
    <v>22.16</v>
    <v>22.01</v>
    <v>22.05</v>
    <v>21.92</v>
    <v>22.09</v>
    <v>22.02</v>
    <v>21.92</v>
    <v>22.11</v>
    <v>22.32</v>
    <v>22.25</v>
    <v>22.4</v>
    <v>22.25</v>
    <v>22.17</v>
    <v>21.96</v>
    <v>21.67</v>
    <v>21.69</v>
    <v>21.66</v>
    <v>21.67</v>
    <v>21.74</v>
    <v>21.68</v>
    <v>21.46</v>
    <v>21.73</v>
    <v>21.88</v>
    <v>21.79</v>
    <v>21.78</v>
    <v>21.84</v>
    <v>21.92</v>
    <v>21.84</v>
    <v>21.555</v>
    <v>21.58</v>
    <v>21.56</v>
    <v>21.59</v>
    <v>21.65</v>
    <v>21.824000000000002</v>
    <v>22.06</v>
    <v>22.02</v>
    <v>22.03</v>
    <v>22.26</v>
    <v>22.254000000000001</v>
    <v>22.64</v>
    <v>22.85</v>
    <v>22.8</v>
    <v>22.97</v>
    <v>23.14</v>
    <v>23.47</v>
    <v>23.18</v>
    <v>23.42</v>
    <v>22.98</v>
    <v>23.15</v>
    <v>23.36</v>
    <v>23.36</v>
    <v>23.45</v>
    <v>23.71</v>
    <v>23.36</v>
    <v>23.8</v>
    <v>23.73</v>
    <v>23.47</v>
    <v>23.34</v>
    <v>23.38</v>
    <v>23.32</v>
    <v>23.35</v>
    <v>23.47</v>
    <v>23.6</v>
    <v>23.47</v>
    <v>23.43</v>
    <v>23.28</v>
    <v>23.3</v>
    <v>23.03</v>
    <v>22.87</v>
    <v>22.73</v>
    <v>22.78</v>
    <v>22.82</v>
    <v>22.52</v>
    <v>22.48</v>
    <v>22.29</v>
    <v>22.23</v>
    <v>22.08</v>
    <v>22.01</v>
  </a>
  <a r="1" c="22">
    <v>23.47</v>
    <v>23.34</v>
    <v>23.38</v>
    <v>23.32</v>
    <v>23.35</v>
    <v>23.47</v>
    <v>23.6</v>
    <v>23.47</v>
    <v>23.43</v>
    <v>23.28</v>
    <v>23.3</v>
    <v>23.03</v>
    <v>22.87</v>
    <v>22.73</v>
    <v>22.78</v>
    <v>22.82</v>
    <v>22.52</v>
    <v>22.48</v>
    <v>22.29</v>
    <v>22.23</v>
    <v>22.08</v>
    <v>22.01</v>
  </a>
  <a r="1" c="254">
    <v>171.42</v>
    <v>169.68</v>
    <v>162.35</v>
    <v>163.21</v>
    <v>166.35</v>
    <v>165.73</v>
    <v>168.79</v>
    <v>170.55</v>
    <v>169.01</v>
    <v>166.49</v>
    <v>165.82</v>
    <v>165.37</v>
    <v>169.51</v>
    <v>168.47</v>
    <v>167.32</v>
    <v>168.12</v>
    <v>166</v>
    <v>166.1</v>
    <v>168.43</v>
    <v>170.5</v>
    <v>171.75</v>
    <v>172.65</v>
    <v>180.76</v>
    <v>179.09</v>
    <v>180.77</v>
    <v>178.94</v>
    <v>174.9</v>
    <v>174.18</v>
    <v>172.63</v>
    <v>175.44</v>
    <v>175.46</v>
    <v>174.87</v>
    <v>174.75</v>
    <v>175.82</v>
    <v>173.37</v>
    <v>173.15</v>
    <v>175.78</v>
    <v>173.88</v>
    <v>171.49</v>
    <v>170.03</v>
    <v>168.77</v>
    <v>170.22</v>
    <v>168.93</v>
    <v>167.59</v>
    <v>162.69</v>
    <v>161.63</v>
    <v>161.78</v>
    <v>163.5</v>
    <v>163.36000000000001</v>
    <v>166.26</v>
    <v>162.63</v>
    <v>160.06</v>
    <v>164.6</v>
    <v>160.68</v>
    <v>160.97</v>
    <v>157.71</v>
    <v>158.22999999999999</v>
    <v>159.08000000000001</v>
    <v>158.66</v>
    <v>161.79</v>
    <v>164.1</v>
    <v>162.99</v>
    <v>166.71</v>
    <v>164.91</v>
    <v>164.4</v>
    <v>168.95</v>
    <v>170.22</v>
    <v>166.72</v>
    <v>165.16</v>
    <v>161.88999999999999</v>
    <v>160.69</v>
    <v>161.94</v>
    <v>164.52</v>
    <v>156.94</v>
    <v>144.94</v>
    <v>146</v>
    <v>147.51</v>
    <v>162.15</v>
    <v>159.13</v>
    <v>162.4</v>
    <v>163.87</v>
    <v>163.62</v>
    <v>162.91</v>
    <v>162.86000000000001</v>
    <v>159.04</v>
    <v>159.88</v>
    <v>163.57</v>
    <v>167.91</v>
    <v>169.71</v>
    <v>170.33</v>
    <v>171.84</v>
    <v>170.96</v>
    <v>173.25</v>
    <v>177.16</v>
    <v>176.72</v>
    <v>175.5</v>
    <v>175.26</v>
    <v>178.73</v>
    <v>177.3</v>
    <v>180.09</v>
    <v>182.98</v>
    <v>183.59</v>
    <v>187.04</v>
    <v>189.28</v>
    <v>188.5</v>
    <v>188.61</v>
    <v>184.79</v>
    <v>184.93</v>
    <v>186.09</v>
    <v>192.58</v>
    <v>192.53</v>
    <v>191.54</v>
    <v>191.28</v>
    <v>192.12</v>
    <v>194.24</v>
    <v>195.29</v>
    <v>194.54</v>
    <v>198.33</v>
    <v>200.74</v>
    <v>197.04</v>
    <v>198.58</v>
    <v>198.44</v>
    <v>197.83</v>
    <v>196.74</v>
    <v>197.7</v>
    <v>196.56</v>
    <v>198.65</v>
    <v>201.1</v>
    <v>200.89</v>
    <v>201.61</v>
    <v>206.97</v>
    <v>209.81</v>
    <v>210.94</v>
    <v>205.84</v>
    <v>206.47</v>
    <v>208.93</v>
    <v>209.7</v>
    <v>208.18</v>
    <v>210</v>
    <v>209.74</v>
    <v>212.04</v>
    <v>216.07</v>
    <v>214.7</v>
    <v>217.46</v>
    <v>222.95</v>
    <v>222.35</v>
    <v>218.96</v>
    <v>215.72</v>
    <v>221.05</v>
    <v>219.57</v>
    <v>220.48</v>
    <v>220.29</v>
    <v>217.98</v>
    <v>218.72</v>
    <v>216.54</v>
    <v>214.28</v>
    <v>216.9</v>
    <v>218.08</v>
    <v>216.84</v>
    <v>215.32</v>
    <v>214.39</v>
    <v>214.93</v>
    <v>218.46</v>
    <v>218.98</v>
    <v>216.56</v>
    <v>215.51</v>
    <v>216.58</v>
    <v>211.91</v>
    <v>212.06</v>
    <v>213.37</v>
    <v>216.15</v>
    <v>216.2</v>
    <v>220.36</v>
    <v>219.58</v>
    <v>220.27</v>
    <v>217.44</v>
    <v>217.71</v>
    <v>215.09</v>
    <v>215.29</v>
    <v>216.64</v>
    <v>217.93</v>
    <v>215.5</v>
    <v>218.49</v>
    <v>220.78</v>
    <v>221.32</v>
    <v>223.54</v>
    <v>224.51</v>
    <v>222.89</v>
    <v>227.15</v>
    <v>226.91</v>
    <v>227.83</v>
    <v>230.12</v>
    <v>226.47</v>
    <v>226.06</v>
    <v>230.33</v>
    <v>230.96</v>
    <v>234.96</v>
    <v>236.5</v>
    <v>238.1</v>
    <v>240.67</v>
    <v>247.03</v>
    <v>245.76</v>
    <v>249.64</v>
    <v>245.48</v>
    <v>238.93</v>
    <v>243.94</v>
    <v>246.1</v>
    <v>242</v>
    <v>238.15</v>
    <v>235.42</v>
    <v>241.35</v>
    <v>243.71</v>
    <v>237.4</v>
    <v>246.24</v>
    <v>250.04</v>
    <v>251.24</v>
    <v>250.43</v>
    <v>250.82</v>
    <v>247.65</v>
    <v>248.55</v>
    <v>247.69</v>
    <v>241.97</v>
    <v>238.53</v>
    <v>232.97</v>
    <v>234.33</v>
    <v>237.09</v>
    <v>236.11</v>
    <v>234.92</v>
    <v>227.13</v>
    <v>228.04</v>
    <v>224.3</v>
    <v>223.52</v>
    <v>224.19</v>
    <v>218.75</v>
    <v>220.08</v>
    <v>223.63</v>
    <v>227.65</v>
    <v>229.3</v>
    <v>230.29</v>
    <v>224.26</v>
    <v>225.86</v>
    <v>227.91</v>
    <v>233.65</v>
    <v>230.82</v>
    <v>233.15</v>
    <v>231.15</v>
    <v>233.75</v>
    <v>239.28</v>
    <v>236.69</v>
    <v>234.34</v>
    <v>232.85</v>
    <v>228.93</v>
    <v>233.14</v>
    <v>241.28</v>
  </a>
  <a r="1" c="22">
    <v>224.19</v>
    <v>218.75</v>
    <v>220.08</v>
    <v>223.63</v>
    <v>227.65</v>
    <v>229.3</v>
    <v>230.29</v>
    <v>224.26</v>
    <v>225.86</v>
    <v>227.91</v>
    <v>233.65</v>
    <v>230.82</v>
    <v>233.15</v>
    <v>231.15</v>
    <v>233.75</v>
    <v>239.28</v>
    <v>236.69</v>
    <v>234.34</v>
    <v>232.85</v>
    <v>228.93</v>
    <v>233.14</v>
    <v>241.28</v>
  </a>
  <a r="1" c="22">
    <v>52.17</v>
    <v>51.16</v>
    <v>52.19</v>
    <v>53.29</v>
    <v>54.21</v>
    <v>54.78</v>
    <v>54.8</v>
    <v>53.78</v>
    <v>52.65</v>
    <v>54.09</v>
    <v>54.29</v>
    <v>54.36</v>
    <v>56.48</v>
    <v>55.93</v>
    <v>56.56</v>
    <v>56.4</v>
    <v>56.25</v>
    <v>56.17</v>
    <v>55.75</v>
    <v>55.35</v>
    <v>55.26</v>
    <v>56.21</v>
  </a>
  <a r="1" c="254">
    <v>44.34</v>
    <v>44.66</v>
    <v>43.49</v>
    <v>43.25</v>
    <v>43.42</v>
    <v>43.41</v>
    <v>43.41</v>
    <v>44.04</v>
    <v>43.49</v>
    <v>42.71</v>
    <v>42.99</v>
    <v>42.64</v>
    <v>43.02</v>
    <v>42.6</v>
    <v>42.85</v>
    <v>42.82</v>
    <v>42.72</v>
    <v>43.49</v>
    <v>43.06</v>
    <v>43.85</v>
    <v>43.98</v>
    <v>43.73</v>
    <v>44.7</v>
    <v>44.5</v>
    <v>45.05</v>
    <v>45</v>
    <v>45.61</v>
    <v>45.31</v>
    <v>45.47</v>
    <v>45.76</v>
    <v>45.06</v>
    <v>44.7</v>
    <v>45.07</v>
    <v>45.81</v>
    <v>45.28</v>
    <v>44.56</v>
    <v>44.75</v>
    <v>44.89</v>
    <v>45.05</v>
    <v>45.58</v>
    <v>44.86</v>
    <v>45.06</v>
    <v>44.94</v>
    <v>44.93</v>
    <v>44.71</v>
    <v>44.44</v>
    <v>44.47</v>
    <v>44.31</v>
    <v>43.84</v>
    <v>44.56</v>
    <v>43.72</v>
    <v>43.76</v>
    <v>44.19</v>
    <v>44.09</v>
    <v>44.43</v>
    <v>43.83</v>
    <v>43.38</v>
    <v>43.12</v>
    <v>42.59</v>
    <v>42.95</v>
    <v>43.71</v>
    <v>43.71</v>
    <v>44.05</v>
    <v>44.09</v>
    <v>44.03</v>
    <v>44.29</v>
    <v>43.2</v>
    <v>42.64</v>
    <v>42.75</v>
    <v>42.3</v>
    <v>43.8</v>
    <v>42.18</v>
    <v>42.2</v>
    <v>40.69</v>
    <v>38.56</v>
    <v>38.380000000000003</v>
    <v>36.82</v>
    <v>38.86</v>
    <v>36.65</v>
    <v>37.659999999999997</v>
    <v>38.25</v>
    <v>38.270000000000003</v>
    <v>37.61</v>
    <v>38.42</v>
    <v>38.03</v>
    <v>38.909999999999997</v>
    <v>39.200000000000003</v>
    <v>39.86</v>
    <v>40.159999999999997</v>
    <v>40.44</v>
    <v>41.09</v>
    <v>41.21</v>
    <v>40.32</v>
    <v>41.03</v>
    <v>40.67</v>
    <v>39.229999999999997</v>
    <v>39.840000000000003</v>
    <v>40.159999999999997</v>
    <v>39.6</v>
    <v>40.31</v>
    <v>39.53</v>
    <v>38.97</v>
    <v>39.86</v>
    <v>40.58</v>
    <v>40.840000000000003</v>
    <v>40.9</v>
    <v>39.799999999999997</v>
    <v>39.6</v>
    <v>39.869999999999997</v>
    <v>40.17</v>
    <v>40.119999999999997</v>
    <v>40.71</v>
    <v>40.56</v>
    <v>41.01</v>
    <v>41.13</v>
    <v>41.14</v>
    <v>41.179000000000002</v>
    <v>41.94</v>
    <v>42.07</v>
    <v>42.44</v>
    <v>41.99</v>
    <v>42.06</v>
    <v>41.43</v>
    <v>41.65</v>
    <v>40.75</v>
    <v>40.909999999999997</v>
    <v>40.619999999999997</v>
    <v>40.96</v>
    <v>41.5</v>
    <v>41.07</v>
    <v>41.04</v>
    <v>40.630000000000003</v>
    <v>40.58</v>
    <v>40.76</v>
    <v>41.23</v>
    <v>41.28</v>
    <v>41.06</v>
    <v>41.3</v>
    <v>42.37</v>
    <v>42.57</v>
    <v>42.08</v>
    <v>42.68</v>
    <v>41.81</v>
    <v>42.27</v>
    <v>42.62</v>
    <v>42.09</v>
    <v>42.11</v>
    <v>42.51</v>
    <v>43.37</v>
    <v>43.25</v>
    <v>43.28</v>
    <v>42.86</v>
    <v>42.32</v>
    <v>42.06</v>
    <v>41.19</v>
    <v>41.71</v>
    <v>42.49</v>
    <v>42.38</v>
    <v>41.92</v>
    <v>42.54</v>
    <v>43.17</v>
    <v>43.63</v>
    <v>44.6</v>
    <v>45.64</v>
    <v>45.87</v>
    <v>46.08</v>
    <v>46.05</v>
    <v>45.94</v>
    <v>46.28</v>
    <v>46.73</v>
    <v>47.32</v>
    <v>46.45</v>
    <v>47.12</v>
    <v>47.3</v>
    <v>47.26</v>
    <v>47.47</v>
    <v>47.63</v>
    <v>47.49</v>
    <v>47.28</v>
    <v>47.85</v>
    <v>47.6</v>
    <v>47.67</v>
    <v>47.31</v>
    <v>47.61</v>
    <v>46.5</v>
    <v>46</v>
    <v>45.99</v>
    <v>46.18</v>
    <v>47.11</v>
    <v>46.56</v>
    <v>46.69</v>
    <v>46.72</v>
    <v>46.56</v>
    <v>45.82</v>
    <v>47.02</v>
    <v>47.52</v>
    <v>47.94</v>
    <v>48.54</v>
    <v>48.27</v>
    <v>49</v>
    <v>48.63</v>
    <v>48.34</v>
    <v>48.43</v>
    <v>48.64</v>
    <v>47.32</v>
    <v>47.37</v>
    <v>47.37</v>
    <v>48.51</v>
    <v>48.01</v>
    <v>48.2</v>
    <v>49.15</v>
    <v>49.03</v>
    <v>48.5</v>
    <v>48.56</v>
    <v>48.72</v>
    <v>49.11</v>
    <v>48.88</v>
    <v>48.55</v>
    <v>49.31</v>
    <v>49.67</v>
    <v>49.7</v>
    <v>49.34</v>
    <v>48.64</v>
    <v>48.59</v>
    <v>48.3</v>
    <v>49.24</v>
    <v>51.05</v>
    <v>50.91</v>
    <v>50.21</v>
    <v>50.76</v>
    <v>51.39</v>
    <v>52.14</v>
    <v>52.17</v>
    <v>51.16</v>
    <v>52.19</v>
    <v>53.29</v>
    <v>54.21</v>
    <v>54.78</v>
    <v>54.8</v>
    <v>53.78</v>
    <v>52.65</v>
    <v>54.09</v>
    <v>54.29</v>
    <v>54.36</v>
    <v>56.48</v>
    <v>55.93</v>
    <v>56.56</v>
    <v>56.4</v>
    <v>56.25</v>
    <v>56.17</v>
    <v>55.75</v>
    <v>55.35</v>
    <v>55.26</v>
    <v>56.21</v>
  </a>
  <a r="1" c="254">
    <v>69.819999999999993</v>
    <v>69.31</v>
    <v>67.569999999999993</v>
    <v>67.28</v>
    <v>67.540000000000006</v>
    <v>67.89</v>
    <v>68.42</v>
    <v>68.540000000000006</v>
    <v>68.23</v>
    <v>67.64</v>
    <v>67.569999999999993</v>
    <v>67.67</v>
    <v>68.59</v>
    <v>69.16</v>
    <v>69.19</v>
    <v>69.19</v>
    <v>68.77</v>
    <v>68.98</v>
    <v>69.540000000000006</v>
    <v>70.290000000000006</v>
    <v>71.290000000000006</v>
    <v>70.67</v>
    <v>71.86</v>
    <v>71.41</v>
    <v>72.12</v>
    <v>72.09</v>
    <v>73.22</v>
    <v>72.290000000000006</v>
    <v>72.010000000000005</v>
    <v>70.739999999999995</v>
    <v>70.16</v>
    <v>68.959999999999994</v>
    <v>70.05</v>
    <v>69.34</v>
    <v>70.569999999999993</v>
    <v>71.09</v>
    <v>72.02</v>
    <v>71.77</v>
    <v>71.98</v>
    <v>72.19</v>
    <v>72.56</v>
    <v>73.39</v>
    <v>72.459999999999994</v>
    <v>72.2</v>
    <v>70.180000000000007</v>
    <v>69.59</v>
    <v>69.489999999999995</v>
    <v>69.52</v>
    <v>68.83</v>
    <v>69.86</v>
    <v>68.78</v>
    <v>67.540000000000006</v>
    <v>68.45</v>
    <v>67.930000000000007</v>
    <v>68.400000000000006</v>
    <v>66.62</v>
    <v>64.61</v>
    <v>64.349999999999994</v>
    <v>63.37</v>
    <v>64.62</v>
    <v>65.39</v>
    <v>64.56</v>
    <v>65.010000000000005</v>
    <v>64.989999999999995</v>
    <v>65.05</v>
    <v>66.260000000000005</v>
    <v>65.650000000000006</v>
    <v>65.56</v>
    <v>65.3</v>
    <v>63.66</v>
    <v>64.03</v>
    <v>63.95</v>
    <v>64.97</v>
    <v>59.4</v>
    <v>56.76</v>
    <v>56.48</v>
    <v>55.22</v>
    <v>61.42</v>
    <v>58.78</v>
    <v>59.15</v>
    <v>59.82</v>
    <v>59.53</v>
    <v>58.4</v>
    <v>59.64</v>
    <v>58.37</v>
    <v>59.22</v>
    <v>59.734999999999999</v>
    <v>61.09</v>
    <v>59.81</v>
    <v>60.01</v>
    <v>60.33</v>
    <v>60.83</v>
    <v>60.74</v>
    <v>63.005000000000003</v>
    <v>63.05</v>
    <v>62.24</v>
    <v>62.29</v>
    <v>63.44</v>
    <v>63.32</v>
    <v>67.45</v>
    <v>68.12</v>
    <v>67.72</v>
    <v>67.64</v>
    <v>68.41</v>
    <v>68.23</v>
    <v>67.61</v>
    <v>65.61</v>
    <v>65.644999999999996</v>
    <v>65.22</v>
    <v>66.599999999999994</v>
    <v>66.099999999999994</v>
    <v>65.674999999999997</v>
    <v>65.39</v>
    <v>65.13</v>
    <v>65.47</v>
    <v>65.48</v>
    <v>65.41</v>
    <v>66.489999999999995</v>
    <v>67.040000000000006</v>
    <v>67.765000000000001</v>
    <v>66.78</v>
    <v>66.44</v>
    <v>65.260000000000005</v>
    <v>66.17</v>
    <v>65.040000000000006</v>
    <v>64.95</v>
    <v>65.069999999999993</v>
    <v>66.319999999999993</v>
    <v>68.03</v>
    <v>67.19</v>
    <v>68.010000000000005</v>
    <v>68.44</v>
    <v>68.540000000000006</v>
    <v>69.680000000000007</v>
    <v>70.28</v>
    <v>70.650000000000006</v>
    <v>70.319999999999993</v>
    <v>71.05</v>
    <v>70.78</v>
    <v>72.540000000000006</v>
    <v>71.7</v>
    <v>71.284999999999997</v>
    <v>70.14</v>
    <v>70.08</v>
    <v>70.5</v>
    <v>70.19</v>
    <v>70.260000000000005</v>
    <v>71.150000000000006</v>
    <v>71.37</v>
    <v>70.47</v>
    <v>71.239999999999995</v>
    <v>71.13</v>
    <v>69.125</v>
    <v>68.2</v>
    <v>68</v>
    <v>66.62</v>
    <v>67.81</v>
    <v>68.42</v>
    <v>68.88</v>
    <v>68.760000000000005</v>
    <v>68.08</v>
    <v>67.81</v>
    <v>69.87</v>
    <v>70.62</v>
    <v>70.290000000000006</v>
    <v>70.52</v>
    <v>70.739999999999995</v>
    <v>71.61</v>
    <v>70.540000000000006</v>
    <v>70.37</v>
    <v>72.7</v>
    <v>71.319999999999993</v>
    <v>71.77</v>
    <v>71.42</v>
    <v>71.540000000000006</v>
    <v>71.314999999999998</v>
    <v>70.569999999999993</v>
    <v>70.569999999999993</v>
    <v>70.52</v>
    <v>70.349999999999994</v>
    <v>70.81</v>
    <v>70.510000000000005</v>
    <v>70.239999999999995</v>
    <v>71.02</v>
    <v>70.739999999999995</v>
    <v>71.180000000000007</v>
    <v>70.97</v>
    <v>70.02</v>
    <v>70.8</v>
    <v>71.349999999999994</v>
    <v>71.58</v>
    <v>71.739999999999995</v>
    <v>71.53</v>
    <v>71.22</v>
    <v>71.67</v>
    <v>72.319999999999993</v>
    <v>71.709999999999994</v>
    <v>71.22</v>
    <v>71.72</v>
    <v>72.23</v>
    <v>73.3</v>
    <v>72.05</v>
    <v>72.72</v>
    <v>71.72</v>
    <v>69.44</v>
    <v>70.040000000000006</v>
    <v>71.040000000000006</v>
    <v>71.150000000000006</v>
    <v>70.84</v>
    <v>70.95</v>
    <v>71.98</v>
    <v>71.989999999999995</v>
    <v>71</v>
    <v>70.38</v>
    <v>70.569999999999993</v>
    <v>71.37</v>
    <v>70.92</v>
    <v>71.094999999999999</v>
    <v>71.489999999999995</v>
    <v>72.349999999999994</v>
    <v>72.459999999999994</v>
    <v>71.47</v>
    <v>71.52</v>
    <v>71.06</v>
    <v>72.040000000000006</v>
    <v>72.2</v>
    <v>72.38</v>
    <v>72.989999999999995</v>
    <v>71.739999999999995</v>
    <v>71.400000000000006</v>
    <v>70.400000000000006</v>
    <v>70.22</v>
    <v>69.73</v>
    <v>68.14</v>
    <v>70.03</v>
    <v>70.180000000000007</v>
    <v>71.45</v>
    <v>72.44</v>
    <v>72.98</v>
    <v>72.84</v>
    <v>73.41</v>
    <v>75.27</v>
    <v>75.39</v>
    <v>75.790000000000006</v>
    <v>75.88</v>
    <v>75.06</v>
    <v>75.83</v>
    <v>76.45</v>
    <v>76.38</v>
    <v>75.72</v>
    <v>75.319999999999993</v>
    <v>74.61</v>
    <v>75.02</v>
    <v>75.03</v>
  </a>
  <a r="1" c="22">
    <v>69.73</v>
    <v>68.14</v>
    <v>70.03</v>
    <v>70.180000000000007</v>
    <v>71.45</v>
    <v>72.44</v>
    <v>72.98</v>
    <v>72.84</v>
    <v>73.41</v>
    <v>75.27</v>
    <v>75.39</v>
    <v>75.790000000000006</v>
    <v>75.88</v>
    <v>75.06</v>
    <v>75.83</v>
    <v>76.45</v>
    <v>76.38</v>
    <v>75.72</v>
    <v>75.319999999999993</v>
    <v>74.61</v>
    <v>75.02</v>
    <v>75.03</v>
  </a>
  <a r="1" c="254">
    <v>48.516199999999998</v>
    <v>48.29</v>
    <v>46.83</v>
    <v>46.92</v>
    <v>47.023699999999998</v>
    <v>46.62</v>
    <v>46.986400000000003</v>
    <v>46.96</v>
    <v>46.664299999999997</v>
    <v>46.329700000000003</v>
    <v>46.476500000000001</v>
    <v>46.768000000000001</v>
    <v>46.991</v>
    <v>46.45</v>
    <v>45.9</v>
    <v>46.32</v>
    <v>45.21</v>
    <v>45.71</v>
    <v>45.9542</v>
    <v>46.009099999999997</v>
    <v>46.367199999999997</v>
    <v>46.69</v>
    <v>46.84</v>
    <v>46.38</v>
    <v>46.63</v>
    <v>46.75</v>
    <v>47.51</v>
    <v>47.34</v>
    <v>47.91</v>
    <v>48.43</v>
    <v>47.806199999999997</v>
    <v>47.6</v>
    <v>47.43</v>
    <v>47.34</v>
    <v>47.27</v>
    <v>47.2</v>
    <v>46.96</v>
    <v>47.36</v>
    <v>47.19</v>
    <v>48.003900000000002</v>
    <v>47.723399999999998</v>
    <v>47.644599999999997</v>
    <v>47.855600000000003</v>
    <v>47.7226</v>
    <v>47.465899999999998</v>
    <v>47.441600000000001</v>
    <v>47.56</v>
    <v>47.09</v>
    <v>46.6496</v>
    <v>47.190800000000003</v>
    <v>46.590499999999999</v>
    <v>45.882100000000001</v>
    <v>45.781500000000001</v>
    <v>45.24</v>
    <v>45.9343</v>
    <v>45.31</v>
    <v>45.04</v>
    <v>44.77</v>
    <v>44.148000000000003</v>
    <v>44.7</v>
    <v>45.552700000000002</v>
    <v>45.129399999999997</v>
    <v>45.342199999999998</v>
    <v>45.111400000000003</v>
    <v>44.994199999999999</v>
    <v>45.466299999999997</v>
    <v>45.412300000000002</v>
    <v>45.626300000000001</v>
    <v>45.81</v>
    <v>45.327599999999997</v>
    <v>45.968800000000002</v>
    <v>46.3</v>
    <v>46.619900000000001</v>
    <v>46.12</v>
    <v>44.08</v>
    <v>43.725299999999997</v>
    <v>43.17</v>
    <v>45.476900000000001</v>
    <v>45.082799999999999</v>
    <v>45.592700000000001</v>
    <v>46.122199999999999</v>
    <v>45.715800000000002</v>
    <v>45.464100000000002</v>
    <v>46.07</v>
    <v>45.669899999999998</v>
    <v>46.633899999999997</v>
    <v>46.776000000000003</v>
    <v>46.68</v>
    <v>46.53</v>
    <v>46.367199999999997</v>
    <v>46.785899999999998</v>
    <v>47.26</v>
    <v>46.901499999999999</v>
    <v>47.478000000000002</v>
    <v>47.456699999999998</v>
    <v>47.161799999999999</v>
    <v>47.064399999999999</v>
    <v>46.847900000000003</v>
    <v>47.254399999999997</v>
    <v>47.2089</v>
    <v>46.971899999999998</v>
    <v>47.0443</v>
    <v>47.777099999999997</v>
    <v>48.519199999999998</v>
    <v>48.371499999999997</v>
    <v>48.529499999999999</v>
    <v>47.920299999999997</v>
    <v>47.58</v>
    <v>47.7669</v>
    <v>48.150199999999998</v>
    <v>47.9377</v>
    <v>48.032899999999998</v>
    <v>48.513300000000001</v>
    <v>48.453200000000002</v>
    <v>48.0792</v>
    <v>47.61</v>
    <v>47.283200000000001</v>
    <v>47.67</v>
    <v>47.5246</v>
    <v>47.019199999999998</v>
    <v>46.741700000000002</v>
    <v>47.039200000000001</v>
    <v>46.83</v>
    <v>47.188699999999997</v>
    <v>46.918500000000002</v>
    <v>46.879199999999997</v>
    <v>47.31</v>
    <v>47.63</v>
    <v>47.57</v>
    <v>46.6357</v>
    <v>46.763599999999997</v>
    <v>46.973700000000001</v>
    <v>47.32</v>
    <v>47.87</v>
    <v>48.048099999999998</v>
    <v>48.049799999999998</v>
    <v>48.15</v>
    <v>47.769500000000001</v>
    <v>47.695500000000003</v>
    <v>47.868499999999997</v>
    <v>47.71</v>
    <v>48</v>
    <v>47.3</v>
    <v>47.7851</v>
    <v>48.358800000000002</v>
    <v>48.125</v>
    <v>48.151899999999998</v>
    <v>48.79</v>
    <v>49.012799999999999</v>
    <v>48.503900000000002</v>
    <v>48.669499999999999</v>
    <v>48.047600000000003</v>
    <v>48.073</v>
    <v>48.232300000000002</v>
    <v>47.79</v>
    <v>47.7425</v>
    <v>47.881999999999998</v>
    <v>47.436199999999999</v>
    <v>47.893999999999998</v>
    <v>47.915500000000002</v>
    <v>48.122500000000002</v>
    <v>47.953699999999998</v>
    <v>48.230800000000002</v>
    <v>48.129300000000001</v>
    <v>47.462299999999999</v>
    <v>47.563400000000001</v>
    <v>47.741300000000003</v>
    <v>47.917400000000001</v>
    <v>48.203899999999997</v>
    <v>48.106000000000002</v>
    <v>48.4056</v>
    <v>47.857300000000002</v>
    <v>47.4955</v>
    <v>47.558799999999998</v>
    <v>47.273499999999999</v>
    <v>47.426200000000001</v>
    <v>47.475900000000003</v>
    <v>47.401200000000003</v>
    <v>47.4636</v>
    <v>47.412100000000002</v>
    <v>47.36</v>
    <v>47.092599999999997</v>
    <v>46.753999999999998</v>
    <v>47.277099999999997</v>
    <v>47.265000000000001</v>
    <v>46.553100000000001</v>
    <v>46.839700000000001</v>
    <v>46.82</v>
    <v>46.791200000000003</v>
    <v>46.235900000000001</v>
    <v>45.59</v>
    <v>45.719900000000003</v>
    <v>45.785499999999999</v>
    <v>45.186</v>
    <v>45.635599999999997</v>
    <v>45.527000000000001</v>
    <v>45.86</v>
    <v>45.75</v>
    <v>45.86</v>
    <v>46.0032</v>
    <v>45.66</v>
    <v>45.838799999999999</v>
    <v>45.837200000000003</v>
    <v>45.43</v>
    <v>45.159199999999998</v>
    <v>45.103900000000003</v>
    <v>45.875700000000002</v>
    <v>45.944600000000001</v>
    <v>45.52</v>
    <v>45.888500000000001</v>
    <v>45.874499999999998</v>
    <v>45.430399999999999</v>
    <v>45.4985</v>
    <v>45.194400000000002</v>
    <v>44.905999999999999</v>
    <v>44.967500000000001</v>
    <v>44.73</v>
    <v>43.972499999999997</v>
    <v>43.33</v>
    <v>43.327100000000002</v>
    <v>43.25</v>
    <v>43.277200000000001</v>
    <v>43.525599999999997</v>
    <v>42.710500000000003</v>
    <v>43.385100000000001</v>
    <v>43.54</v>
    <v>43.95</v>
    <v>44.08</v>
    <v>43.99</v>
    <v>44.18</v>
    <v>43.587000000000003</v>
    <v>44.061700000000002</v>
    <v>43.877200000000002</v>
    <v>43.47</v>
    <v>44.185699999999997</v>
    <v>44.218299999999999</v>
    <v>45.0488</v>
    <v>45.565899999999999</v>
    <v>45.630600000000001</v>
    <v>45.444600000000001</v>
    <v>45.278599999999997</v>
    <v>45.168799999999997</v>
    <v>44.95</v>
    <v>44.76</v>
    <v>44.602499999999999</v>
    <v>44.62</v>
    <v>44.73</v>
    <v>45.2</v>
    <v>45.49</v>
    <v>45.69</v>
    <v>45.47</v>
    <v>45.62</v>
    <v>45.69</v>
    <v>45.601100000000002</v>
  </a>
  <a r="1" c="22">
    <v>43.877200000000002</v>
    <v>43.47</v>
    <v>44.185699999999997</v>
    <v>44.218299999999999</v>
    <v>45.0488</v>
    <v>45.565899999999999</v>
    <v>45.630600000000001</v>
    <v>45.444600000000001</v>
    <v>45.278599999999997</v>
    <v>45.168799999999997</v>
    <v>44.95</v>
    <v>44.76</v>
    <v>44.602499999999999</v>
    <v>44.62</v>
    <v>44.73</v>
    <v>45.2</v>
    <v>45.49</v>
    <v>45.69</v>
    <v>45.47</v>
    <v>45.62</v>
    <v>45.69</v>
    <v>45.601100000000002</v>
  </a>
  <a r="1" c="22">
    <v>81.84</v>
    <v>81.33</v>
    <v>85.17</v>
    <v>87.48</v>
    <v>89.59</v>
    <v>89.05</v>
    <v>88.92</v>
    <v>87.86</v>
    <v>87.19</v>
    <v>88.16</v>
    <v>89.39</v>
    <v>89.34</v>
    <v>88.18</v>
    <v>88.16</v>
    <v>89.63</v>
    <v>89.8</v>
    <v>89.36</v>
    <v>89.01</v>
    <v>88.89</v>
    <v>88.77</v>
    <v>88.754999999999995</v>
    <v>88.92</v>
  </a>
  <a r="1" c="254">
    <v>90.89</v>
    <v>90.83</v>
    <v>88.248000000000005</v>
    <v>88.099900000000005</v>
    <v>89.31</v>
    <v>89.05</v>
    <v>89.6</v>
    <v>90.32</v>
    <v>89.46</v>
    <v>88.28</v>
    <v>88.51</v>
    <v>88.97</v>
    <v>89.96</v>
    <v>91.22</v>
    <v>91.5</v>
    <v>91.94</v>
    <v>90.49</v>
    <v>90.7</v>
    <v>90.12</v>
    <v>90.9</v>
    <v>92.12</v>
    <v>92.43</v>
    <v>94.38</v>
    <v>94.29</v>
    <v>94.63</v>
    <v>95.1</v>
    <v>95.69</v>
    <v>95.47</v>
    <v>95.2</v>
    <v>95.67</v>
    <v>94.58</v>
    <v>93.900300000000001</v>
    <v>94.71</v>
    <v>95.725200000000001</v>
    <v>93.93</v>
    <v>92.53</v>
    <v>92.75</v>
    <v>91.9</v>
    <v>90.77</v>
    <v>91.74</v>
    <v>91.36</v>
    <v>91.66</v>
    <v>92.15</v>
    <v>91.51</v>
    <v>90.02</v>
    <v>91.01</v>
    <v>90.45</v>
    <v>91.08</v>
    <v>88.186800000000005</v>
    <v>88.552199999999999</v>
    <v>87.2607</v>
    <v>86.56</v>
    <v>87.009100000000004</v>
    <v>85.23</v>
    <v>85.89</v>
    <v>83.65</v>
    <v>83.87</v>
    <v>82.54</v>
    <v>81.045000000000002</v>
    <v>82.456999999999994</v>
    <v>83.97</v>
    <v>83.1447</v>
    <v>84.014399999999995</v>
    <v>83.5</v>
    <v>82.94</v>
    <v>84.806700000000006</v>
    <v>84.03</v>
    <v>83.143699999999995</v>
    <v>83.23</v>
    <v>81.849999999999994</v>
    <v>82.2</v>
    <v>81.760000000000005</v>
    <v>83</v>
    <v>78.849999999999994</v>
    <v>75.11</v>
    <v>75.17</v>
    <v>72.34</v>
    <v>77.709999999999994</v>
    <v>74.534000000000006</v>
    <v>75.569999999999993</v>
    <v>76.603200000000001</v>
    <v>75.56</v>
    <v>74.91</v>
    <v>75.430000000000007</v>
    <v>74.349999999999994</v>
    <v>75.59</v>
    <v>77.17</v>
    <v>79.41</v>
    <v>79.58</v>
    <v>79.611199999999997</v>
    <v>79.992999999999995</v>
    <v>79.056899999999999</v>
    <v>78.965500000000006</v>
    <v>80.459999999999994</v>
    <v>79.010000000000005</v>
    <v>78.53</v>
    <v>79.27</v>
    <v>81.05</v>
    <v>80.78</v>
    <v>83.49</v>
    <v>82.75</v>
    <v>81.815600000000003</v>
    <v>82.326400000000007</v>
    <v>83.73</v>
    <v>83.4</v>
    <v>83.3339</v>
    <v>80.78</v>
    <v>80.411299999999997</v>
    <v>80.003799999999998</v>
    <v>82.324399999999997</v>
    <v>81.694999999999993</v>
    <v>81.721100000000007</v>
    <v>81.180000000000007</v>
    <v>80.180000000000007</v>
    <v>81.540199999999999</v>
    <v>81.22</v>
    <v>81.650999999999996</v>
    <v>82.2</v>
    <v>82.21</v>
    <v>83.245000000000005</v>
    <v>82.29</v>
    <v>81.38</v>
    <v>80.081000000000003</v>
    <v>80.760000000000005</v>
    <v>79.290000000000006</v>
    <v>79.150000000000006</v>
    <v>79.349999999999994</v>
    <v>79.239999999999995</v>
    <v>80.952799999999996</v>
    <v>80.61</v>
    <v>80.64</v>
    <v>80.88</v>
    <v>81.209999999999994</v>
    <v>81.650000000000006</v>
    <v>81.72</v>
    <v>81.853800000000007</v>
    <v>79.938000000000002</v>
    <v>81.099999999999994</v>
    <v>81.650000000000006</v>
    <v>82.48</v>
    <v>79.95</v>
    <v>79.78</v>
    <v>78.25</v>
    <v>78.150000000000006</v>
    <v>77.89</v>
    <v>76.709999999999994</v>
    <v>76.61</v>
    <v>78.055000000000007</v>
    <v>80</v>
    <v>78.709999999999994</v>
    <v>79.69</v>
    <v>79.28</v>
    <v>78.97</v>
    <v>78.34</v>
    <v>76.201599999999999</v>
    <v>76.475899999999996</v>
    <v>78.198300000000003</v>
    <v>78.074299999999994</v>
    <v>76.724000000000004</v>
    <v>77.16</v>
    <v>77.972700000000003</v>
    <v>77.991399999999999</v>
    <v>79.410200000000003</v>
    <v>81.150999999999996</v>
    <v>80.232900000000001</v>
    <v>80.77</v>
    <v>80.486900000000006</v>
    <v>80.900000000000006</v>
    <v>81.209999999999994</v>
    <v>80.680000000000007</v>
    <v>83.34</v>
    <v>81.709999999999994</v>
    <v>82.140699999999995</v>
    <v>82.3</v>
    <v>81.881100000000004</v>
    <v>82.126999999999995</v>
    <v>81.38</v>
    <v>80.78</v>
    <v>81.92</v>
    <v>82.764700000000005</v>
    <v>82.44</v>
    <v>82.44</v>
    <v>80.58</v>
    <v>82.25</v>
    <v>80.62</v>
    <v>80.23</v>
    <v>80.2</v>
    <v>79.709999999999994</v>
    <v>81.09</v>
    <v>79.86</v>
    <v>80.56</v>
    <v>79.868899999999996</v>
    <v>79.124600000000001</v>
    <v>77.4696</v>
    <v>78.023300000000006</v>
    <v>77.985299999999995</v>
    <v>78.756399999999999</v>
    <v>78.6952</v>
    <v>79.3</v>
    <v>80.7791</v>
    <v>80.17</v>
    <v>79.207400000000007</v>
    <v>80.412800000000004</v>
    <v>79.840699999999998</v>
    <v>77.194999999999993</v>
    <v>77.736999999999995</v>
    <v>78.694100000000006</v>
    <v>78.884200000000007</v>
    <v>79.290000000000006</v>
    <v>79.5</v>
    <v>81.027000000000001</v>
    <v>81.436599999999999</v>
    <v>81.769000000000005</v>
    <v>81.34</v>
    <v>81.2</v>
    <v>81.763000000000005</v>
    <v>81.138099999999994</v>
    <v>80.56</v>
    <v>79.680000000000007</v>
    <v>79.790000000000006</v>
    <v>80.400000000000006</v>
    <v>81.06</v>
    <v>80.25</v>
    <v>79.45</v>
    <v>80.8</v>
    <v>81.89</v>
    <v>83.964600000000004</v>
    <v>84.006500000000003</v>
    <v>82.841999999999999</v>
    <v>82.15</v>
    <v>81.353999999999999</v>
    <v>81.424999999999997</v>
    <v>81.84</v>
    <v>81.33</v>
    <v>85.17</v>
    <v>87.48</v>
    <v>89.59</v>
    <v>89.05</v>
    <v>88.92</v>
    <v>87.86</v>
    <v>87.19</v>
    <v>88.16</v>
    <v>89.39</v>
    <v>89.34</v>
    <v>88.18</v>
    <v>88.16</v>
    <v>89.63</v>
    <v>89.8</v>
    <v>89.36</v>
    <v>89.01</v>
    <v>88.89</v>
    <v>88.77</v>
    <v>88.754999999999995</v>
    <v>88.92</v>
  </a>
  <a r="1" c="254">
    <v>121.99</v>
    <v>120.84</v>
    <v>116.12</v>
    <v>116.48</v>
    <v>118.1</v>
    <v>118.36</v>
    <v>119.86</v>
    <v>120.11</v>
    <v>119.27</v>
    <v>118.05</v>
    <v>118.07</v>
    <v>117.83</v>
    <v>118.9</v>
    <v>118.58</v>
    <v>118.27</v>
    <v>118.46</v>
    <v>115.47</v>
    <v>116.19</v>
    <v>117.95</v>
    <v>121.06</v>
    <v>121.67</v>
    <v>122.8</v>
    <v>123.98</v>
    <v>123.49</v>
    <v>124.12</v>
    <v>124.43</v>
    <v>125.5</v>
    <v>125.41</v>
    <v>125.45</v>
    <v>126.69</v>
    <v>125.88</v>
    <v>125.13</v>
    <v>125.01</v>
    <v>126.28</v>
    <v>127.23</v>
    <v>126.66</v>
    <v>125.61</v>
    <v>125.93</v>
    <v>125.28</v>
    <v>126.35</v>
    <v>126.48</v>
    <v>127.34</v>
    <v>127.19</v>
    <v>125.14</v>
    <v>123.27</v>
    <v>123.49</v>
    <v>123.14</v>
    <v>123.09</v>
    <v>123.64</v>
    <v>126.11</v>
    <v>124.89</v>
    <v>120.5</v>
    <v>121.23</v>
    <v>119.17</v>
    <v>118.69</v>
    <v>115.37</v>
    <v>114.55</v>
    <v>114.89</v>
    <v>114.07</v>
    <v>116.81</v>
    <v>118.25</v>
    <v>117.96</v>
    <v>119.3</v>
    <v>119.38</v>
    <v>119.02</v>
    <v>121.33</v>
    <v>121.44</v>
    <v>120.91</v>
    <v>120.51</v>
    <v>118.03</v>
    <v>119.47</v>
    <v>119.37</v>
    <v>120.56</v>
    <v>113.85</v>
    <v>105.71</v>
    <v>105.35</v>
    <v>104.87</v>
    <v>113.09</v>
    <v>109.46</v>
    <v>111.22</v>
    <v>112.53</v>
    <v>112.89</v>
    <v>111.13</v>
    <v>111.6</v>
    <v>109.17</v>
    <v>112.83</v>
    <v>114.22</v>
    <v>115.7</v>
    <v>115.19</v>
    <v>115.61</v>
    <v>116.75</v>
    <v>116.71</v>
    <v>116.77</v>
    <v>119.25</v>
    <v>118.7</v>
    <v>118.02</v>
    <v>118.69</v>
    <v>119.99</v>
    <v>119.94</v>
    <v>122.76</v>
    <v>123.44</v>
    <v>123.18</v>
    <v>123.87</v>
    <v>124.69</v>
    <v>124.7</v>
    <v>124.03</v>
    <v>121.17</v>
    <v>121.16</v>
    <v>120.77</v>
    <v>123.05</v>
    <v>122.11</v>
    <v>122.73</v>
    <v>122.88</v>
    <v>123</v>
    <v>123.51</v>
    <v>122.77</v>
    <v>122.47</v>
    <v>124.19</v>
    <v>123.61</v>
    <v>123.72</v>
    <v>123.59</v>
    <v>123.56</v>
    <v>120.97</v>
    <v>122.42</v>
    <v>121.53</v>
    <v>121.76</v>
    <v>122.15</v>
    <v>123.66</v>
    <v>125.47</v>
    <v>125.12</v>
    <v>125.8</v>
    <v>126.14</v>
    <v>127.3</v>
    <v>128.13</v>
    <v>128.33000000000001</v>
    <v>129.58000000000001</v>
    <v>128.44</v>
    <v>127.42</v>
    <v>127.86</v>
    <v>128.68</v>
    <v>127.32</v>
    <v>128.34</v>
    <v>126</v>
    <v>127.06</v>
    <v>128.46</v>
    <v>128.47</v>
    <v>128.06</v>
    <v>128.74</v>
    <v>129.61000000000001</v>
    <v>129.41</v>
    <v>130.30000000000001</v>
    <v>129.54</v>
    <v>128.86000000000001</v>
    <v>128.5</v>
    <v>127.78</v>
    <v>125.23</v>
    <v>126.78</v>
    <v>126.3</v>
    <v>126.81</v>
    <v>125.54</v>
    <v>126.66</v>
    <v>126.64</v>
    <v>128.47</v>
    <v>129.18</v>
    <v>129.72999999999999</v>
    <v>128.34</v>
    <v>128.49</v>
    <v>128.5</v>
    <v>129.04</v>
    <v>128.63</v>
    <v>131.16</v>
    <v>130.44</v>
    <v>131.38999999999999</v>
    <v>131.57</v>
    <v>131.72</v>
    <v>131.97</v>
    <v>130.97</v>
    <v>130.75</v>
    <v>132.16</v>
    <v>129.97999999999999</v>
    <v>130.21</v>
    <v>130.69</v>
    <v>130.29</v>
    <v>132.29</v>
    <v>131.66</v>
    <v>131.38</v>
    <v>130.97999999999999</v>
    <v>132.29</v>
    <v>132.71</v>
    <v>132.78</v>
    <v>132.58000000000001</v>
    <v>131.99</v>
    <v>131.01</v>
    <v>130.68</v>
    <v>131.53</v>
    <v>132</v>
    <v>131.24</v>
    <v>130.05000000000001</v>
    <v>130.03</v>
    <v>131</v>
    <v>130.86000000000001</v>
    <v>130.94999999999999</v>
    <v>130.41</v>
    <v>129.87</v>
    <v>126.88</v>
    <v>128.19</v>
    <v>129.9</v>
    <v>129.6</v>
    <v>125.75</v>
    <v>126.82</v>
    <v>128.44999999999999</v>
    <v>128.44</v>
    <v>127.73</v>
    <v>127.98</v>
    <v>129.41</v>
    <v>129.91</v>
    <v>129.12</v>
    <v>126.87</v>
    <v>127.1</v>
    <v>127.52</v>
    <v>127.11</v>
    <v>127.64</v>
    <v>128.16</v>
    <v>127.58</v>
    <v>128.58000000000001</v>
    <v>129.04</v>
    <v>129.62</v>
    <v>130.75</v>
    <v>128.84</v>
    <v>127.71</v>
    <v>125.06</v>
    <v>124.97</v>
    <v>125.47</v>
    <v>124.33</v>
    <v>125.95</v>
    <v>126.47</v>
    <v>128.30000000000001</v>
    <v>129.22</v>
    <v>130</v>
    <v>129.15</v>
    <v>128.94999999999999</v>
    <v>130.76</v>
    <v>131.07</v>
    <v>131.02000000000001</v>
    <v>130.59</v>
    <v>130.32</v>
    <v>132.06</v>
    <v>134.37</v>
    <v>134.38999999999999</v>
    <v>134.44</v>
    <v>133.69</v>
    <v>132.88</v>
    <v>132.86000000000001</v>
    <v>133.63999999999999</v>
  </a>
  <a r="1" c="22">
    <v>125.47</v>
    <v>124.33</v>
    <v>125.95</v>
    <v>126.47</v>
    <v>128.30000000000001</v>
    <v>129.22</v>
    <v>130</v>
    <v>129.15</v>
    <v>128.94999999999999</v>
    <v>130.76</v>
    <v>131.07</v>
    <v>131.02000000000001</v>
    <v>130.59</v>
    <v>130.32</v>
    <v>132.06</v>
    <v>134.37</v>
    <v>134.38999999999999</v>
    <v>134.44</v>
    <v>133.69</v>
    <v>132.88</v>
    <v>132.86000000000001</v>
    <v>133.63999999999999</v>
  </a>
  <a r="1" c="254">
    <v>22.23</v>
    <v>22.08</v>
    <v>21.88</v>
    <v>21.88</v>
    <v>22.02</v>
    <v>20.92</v>
    <v>21.04</v>
    <v>20.98</v>
    <v>21.08</v>
    <v>21.27</v>
    <v>21.38</v>
    <v>21.59</v>
    <v>21.48</v>
    <v>21.52</v>
    <v>21.62</v>
    <v>21.58</v>
    <v>22.16</v>
    <v>22.32</v>
    <v>22.31</v>
    <v>22.67</v>
    <v>22.57</v>
    <v>22.47</v>
    <v>22.36</v>
    <v>22.34</v>
    <v>22.26</v>
    <v>22.27</v>
    <v>21.93</v>
    <v>21.95</v>
    <v>21.99</v>
    <v>22.01</v>
    <v>21.97</v>
    <v>22.14</v>
    <v>22.2</v>
    <v>22.06</v>
    <v>22.07</v>
    <v>22.08</v>
    <v>22.4</v>
    <v>22.57</v>
    <v>22.32</v>
    <v>22.43</v>
    <v>22.44</v>
    <v>22.77</v>
    <v>22.95</v>
    <v>22.98</v>
    <v>22.66</v>
    <v>22.58</v>
    <v>22.33</v>
    <v>22.14</v>
    <v>22.17</v>
    <v>22</v>
    <v>21.86</v>
    <v>21.93</v>
    <v>21.87</v>
    <v>21.76</v>
    <v>21.95</v>
    <v>21.81</v>
    <v>21.93</v>
    <v>21.93</v>
    <v>21.85</v>
    <v>21.97</v>
    <v>22.12</v>
    <v>22.07</v>
    <v>22.21</v>
    <v>22.25</v>
    <v>22.12</v>
    <v>22.2</v>
    <v>22.23</v>
    <v>22.2</v>
    <v>22.26</v>
    <v>22.19</v>
    <v>22.5</v>
    <v>22.51</v>
    <v>22.65</v>
    <v>21.74</v>
    <v>20.95</v>
    <v>20.62</v>
    <v>20.16</v>
    <v>20.89</v>
    <v>20.63</v>
    <v>20.93</v>
    <v>20.94</v>
    <v>20.89</v>
    <v>21.15</v>
    <v>21.37</v>
    <v>21.19</v>
    <v>21.29</v>
    <v>21.13</v>
    <v>21.32</v>
    <v>21.35</v>
    <v>21.23</v>
    <v>20.96</v>
    <v>20.57</v>
    <v>20.67</v>
    <v>20.76</v>
    <v>20.64</v>
    <v>20.95</v>
    <v>20.69</v>
    <v>20.96</v>
    <v>21.12</v>
    <v>21.26</v>
    <v>21.59</v>
    <v>21.48</v>
    <v>21.27</v>
    <v>21.19</v>
    <v>21.16</v>
    <v>21.43</v>
    <v>21.4</v>
    <v>21.29</v>
    <v>21.41</v>
    <v>21.22</v>
    <v>21.15</v>
    <v>21.04</v>
    <v>20.88</v>
    <v>21.32</v>
    <v>21.46</v>
    <v>21.38</v>
    <v>21.48</v>
    <v>21.65</v>
    <v>21.67</v>
    <v>21.62</v>
    <v>21.97</v>
    <v>21.97</v>
    <v>22.65</v>
    <v>22.6</v>
    <v>23.08</v>
    <v>23.14</v>
    <v>23.26</v>
    <v>22.4</v>
    <v>21.86</v>
    <v>21.83</v>
    <v>21.91</v>
    <v>21.8</v>
    <v>21.81</v>
    <v>21.93</v>
    <v>22.29</v>
    <v>22.28</v>
    <v>22.26</v>
    <v>22.33</v>
    <v>22.29</v>
    <v>22.22</v>
    <v>22.51</v>
    <v>22.32</v>
    <v>22.28</v>
    <v>22.31</v>
    <v>22.49</v>
    <v>22.53</v>
    <v>22.48</v>
    <v>22.44</v>
    <v>22.38</v>
    <v>22.4</v>
    <v>22.17</v>
    <v>22.4</v>
    <v>22.69</v>
    <v>22.64</v>
    <v>22.45</v>
    <v>22.09</v>
    <v>22.01</v>
    <v>21.82</v>
    <v>21.77</v>
    <v>21.84</v>
    <v>21.84</v>
    <v>21.87</v>
    <v>21.78</v>
    <v>21.75</v>
    <v>21.84</v>
    <v>21.77</v>
    <v>21.79</v>
    <v>21.62</v>
    <v>21.86</v>
    <v>21.99</v>
    <v>22.08</v>
    <v>22.19</v>
    <v>22.02</v>
    <v>22.04</v>
    <v>22.18</v>
    <v>22.21</v>
    <v>22.57</v>
    <v>22.37</v>
    <v>22.21</v>
    <v>22.03</v>
    <v>22.18</v>
    <v>22.24</v>
    <v>22.39</v>
    <v>22.22</v>
    <v>22.35</v>
    <v>22.55</v>
    <v>22.78</v>
    <v>22.54</v>
    <v>22.44</v>
    <v>22.26</v>
    <v>22.26</v>
    <v>22.49</v>
    <v>22.64</v>
    <v>22.8</v>
    <v>22.81</v>
    <v>22.62</v>
    <v>22.53</v>
    <v>22.49</v>
    <v>22.34</v>
    <v>22.41</v>
    <v>22.64</v>
    <v>22.73</v>
    <v>22.76</v>
    <v>22.55</v>
    <v>22.07</v>
    <v>22.35</v>
    <v>22.1</v>
    <v>22.18</v>
    <v>22.14</v>
    <v>22.12</v>
    <v>22.34</v>
    <v>22.11</v>
    <v>22.46</v>
    <v>22.84</v>
    <v>22.85</v>
    <v>22.8</v>
    <v>22.59</v>
    <v>22.71</v>
    <v>22.72</v>
    <v>22.88</v>
    <v>23.05</v>
    <v>22.89</v>
    <v>22.82</v>
    <v>22.85</v>
    <v>22.9</v>
    <v>23.15</v>
    <v>23.3</v>
    <v>23.04</v>
    <v>22.92</v>
    <v>22.97</v>
    <v>22.94</v>
    <v>23.13</v>
    <v>22.9</v>
    <v>22.68</v>
    <v>22.53</v>
    <v>22.64</v>
    <v>22.52</v>
    <v>22.76</v>
    <v>23.06</v>
    <v>23.12</v>
    <v>23.02</v>
    <v>23.13</v>
    <v>23.19</v>
    <v>23.33</v>
    <v>23.04</v>
    <v>22.99</v>
    <v>23.13</v>
    <v>23.11</v>
    <v>22.92</v>
    <v>22.81</v>
    <v>22.58</v>
    <v>22.85</v>
    <v>22.69</v>
    <v>22.85</v>
  </a>
  <a r="1" c="22">
    <v>22.9</v>
    <v>22.68</v>
    <v>22.53</v>
    <v>22.64</v>
    <v>22.52</v>
    <v>22.76</v>
    <v>23.06</v>
    <v>23.12</v>
    <v>23.02</v>
    <v>23.13</v>
    <v>23.19</v>
    <v>23.33</v>
    <v>23.04</v>
    <v>22.99</v>
    <v>23.13</v>
    <v>23.11</v>
    <v>22.92</v>
    <v>22.81</v>
    <v>22.58</v>
    <v>22.85</v>
    <v>22.69</v>
    <v>22.85</v>
  </a>
  <a r="1" c="254">
    <v>266.77999999999997</v>
    <v>263.8</v>
    <v>255.01</v>
    <v>254.51</v>
    <v>257.02</v>
    <v>256.89999999999998</v>
    <v>258.93</v>
    <v>259.3</v>
    <v>257.33</v>
    <v>254.83</v>
    <v>254.3905</v>
    <v>253.83</v>
    <v>256.89999999999998</v>
    <v>257.08999999999997</v>
    <v>256.05</v>
    <v>256.92</v>
    <v>254</v>
    <v>256.73</v>
    <v>260.04000000000002</v>
    <v>262.2</v>
    <v>265.07</v>
    <v>266.49</v>
    <v>272.45</v>
    <v>271.77999999999997</v>
    <v>273.99</v>
    <v>272.35000000000002</v>
    <v>267.70999999999998</v>
    <v>265.95999999999998</v>
    <v>265.37</v>
    <v>268.61</v>
    <v>266.45999999999998</v>
    <v>264.05</v>
    <v>263.92</v>
    <v>264.70999999999998</v>
    <v>265.77999999999997</v>
    <v>264.93</v>
    <v>267.27999999999997</v>
    <v>266.86</v>
    <v>264.51</v>
    <v>264.36</v>
    <v>264.11</v>
    <v>265.98</v>
    <v>265.73</v>
    <v>263.77</v>
    <v>257.24</v>
    <v>256</v>
    <v>257.35000000000002</v>
    <v>258.14999999999998</v>
    <v>256.42</v>
    <v>259.52999999999997</v>
    <v>254.74</v>
    <v>250.42</v>
    <v>254.17</v>
    <v>251.5</v>
    <v>254.22</v>
    <v>249.64</v>
    <v>246.64</v>
    <v>246.4</v>
    <v>243.71</v>
    <v>248.61</v>
    <v>251.9</v>
    <v>249.74</v>
    <v>253.25</v>
    <v>251.95</v>
    <v>250.2</v>
    <v>255.61</v>
    <v>255.03</v>
    <v>252.78</v>
    <v>251.62</v>
    <v>246.19</v>
    <v>247.55</v>
    <v>249.18</v>
    <v>251.85</v>
    <v>237.58</v>
    <v>224</v>
    <v>222.28</v>
    <v>220.04</v>
    <v>240.4</v>
    <v>233.41</v>
    <v>237.31</v>
    <v>240.01</v>
    <v>238.81</v>
    <v>235.39</v>
    <v>236.9</v>
    <v>231.16</v>
    <v>235.57</v>
    <v>238.6</v>
    <v>244.33</v>
    <v>244.2</v>
    <v>244.82</v>
    <v>246.42</v>
    <v>247.83</v>
    <v>249.65</v>
    <v>254.59</v>
    <v>254.5</v>
    <v>252.66</v>
    <v>253.72</v>
    <v>257.51</v>
    <v>257.81</v>
    <v>266.18</v>
    <v>268.07</v>
    <v>266.89999999999998</v>
    <v>269.58999999999997</v>
    <v>272.36</v>
    <v>272.94</v>
    <v>272.06</v>
    <v>266.92</v>
    <v>266.69</v>
    <v>265.86</v>
    <v>271.12</v>
    <v>269.56</v>
    <v>269.83</v>
    <v>269.39</v>
    <v>268.93</v>
    <v>272.02</v>
    <v>272.16000000000003</v>
    <v>272.04000000000002</v>
    <v>274.48</v>
    <v>274.41000000000003</v>
    <v>273.54000000000002</v>
    <v>273.43</v>
    <v>272.86</v>
    <v>270.27999999999997</v>
    <v>272.29000000000002</v>
    <v>270.14999999999998</v>
    <v>269.89</v>
    <v>270.02</v>
    <v>273.52</v>
    <v>276.37</v>
    <v>273.79000000000002</v>
    <v>276.32</v>
    <v>278.91000000000003</v>
    <v>280.07</v>
    <v>281.16000000000003</v>
    <v>282.14</v>
    <v>284.46559999999999</v>
    <v>283.25</v>
    <v>283.3</v>
    <v>285.43</v>
    <v>286.85000000000002</v>
    <v>285.74</v>
    <v>287.20999999999998</v>
    <v>284.54000000000002</v>
    <v>285.87</v>
    <v>289.04000000000002</v>
    <v>288.33</v>
    <v>286.69</v>
    <v>287.31</v>
    <v>292.43</v>
    <v>292.14</v>
    <v>295.5</v>
    <v>294.61</v>
    <v>291.77</v>
    <v>290.69</v>
    <v>289.98</v>
    <v>285.39999999999998</v>
    <v>288.41000000000003</v>
    <v>288.36</v>
    <v>288.2</v>
    <v>287.85000000000002</v>
    <v>287.76</v>
    <v>286.92</v>
    <v>290.99</v>
    <v>292.48</v>
    <v>289.57</v>
    <v>288.11</v>
    <v>289.48</v>
    <v>289.64999999999998</v>
    <v>288.81</v>
    <v>287.85000000000002</v>
    <v>293.60000000000002</v>
    <v>290.94</v>
    <v>293.7</v>
    <v>293.74</v>
    <v>294.17</v>
    <v>291.31</v>
    <v>288.89999999999998</v>
    <v>287.42</v>
    <v>290.68</v>
    <v>290.16000000000003</v>
    <v>290.58</v>
    <v>288.08</v>
    <v>290.14999999999998</v>
    <v>293.45</v>
    <v>290.92</v>
    <v>292.20999999999998</v>
    <v>291.57</v>
    <v>290.14</v>
    <v>294.03100000000001</v>
    <v>294.25</v>
    <v>295.61</v>
    <v>295.14</v>
    <v>292.31</v>
    <v>290.33999999999997</v>
    <v>292.83</v>
    <v>293.63</v>
    <v>296.29000000000002</v>
    <v>295.87</v>
    <v>296.99</v>
    <v>297.66000000000003</v>
    <v>299.22000000000003</v>
    <v>297.27999999999997</v>
    <v>300.22000000000003</v>
    <v>295.93</v>
    <v>289.12</v>
    <v>293.01</v>
    <v>296.62</v>
    <v>295.68</v>
    <v>293.52</v>
    <v>293.07</v>
    <v>296.98</v>
    <v>299.25</v>
    <v>294.74</v>
    <v>299.2</v>
    <v>300.375</v>
    <v>301.69</v>
    <v>299.66000000000003</v>
    <v>300.73</v>
    <v>299.29500000000002</v>
    <v>300.39</v>
    <v>299.13</v>
    <v>294.95</v>
    <v>296.83</v>
    <v>294.35000000000002</v>
    <v>295.88</v>
    <v>298.04000000000002</v>
    <v>297.52999999999997</v>
    <v>297.7</v>
    <v>291.91000000000003</v>
    <v>292.17</v>
    <v>288.27999999999997</v>
    <v>287.22000000000003</v>
    <v>288.48</v>
    <v>283.32</v>
    <v>287.32</v>
    <v>288.83999999999997</v>
    <v>293.23</v>
    <v>295.11</v>
    <v>296.95</v>
    <v>292.86</v>
    <v>294.81</v>
    <v>297.64</v>
    <v>299.83999999999997</v>
    <v>299.14999999999998</v>
    <v>298.49</v>
    <v>296.02</v>
    <v>301.87</v>
    <v>305.47000000000003</v>
    <v>302.2</v>
    <v>302.37</v>
    <v>300.64999999999998</v>
    <v>294.76</v>
    <v>297</v>
    <v>299.75</v>
  </a>
  <a r="1" c="22">
    <v>288.48</v>
    <v>283.32</v>
    <v>287.32</v>
    <v>288.83999999999997</v>
    <v>293.23</v>
    <v>295.11</v>
    <v>296.95</v>
    <v>292.86</v>
    <v>294.81</v>
    <v>297.64</v>
    <v>299.83999999999997</v>
    <v>299.14999999999998</v>
    <v>298.49</v>
    <v>296.02</v>
    <v>301.87</v>
    <v>305.47000000000003</v>
    <v>302.2</v>
    <v>302.37</v>
    <v>300.64999999999998</v>
    <v>294.76</v>
    <v>297</v>
    <v>299.75</v>
  </a>
  <a r="1" c="254">
    <v>61.15</v>
    <v>60.03</v>
    <v>57.75</v>
    <v>57.08</v>
    <v>56.82</v>
    <v>57.1</v>
    <v>57.27</v>
    <v>57.39</v>
    <v>56.69</v>
    <v>56.27</v>
    <v>56.75</v>
    <v>57.63</v>
    <v>57.38</v>
    <v>58.23</v>
    <v>58.07</v>
    <v>57.75</v>
    <v>57.13</v>
    <v>58.45</v>
    <v>58.85</v>
    <v>59.79</v>
    <v>59.8</v>
    <v>60.33</v>
    <v>61.21</v>
    <v>60.42</v>
    <v>60.81</v>
    <v>60.69</v>
    <v>58.68</v>
    <v>58.89</v>
    <v>59.73</v>
    <v>60.08</v>
    <v>59.3</v>
    <v>58.83</v>
    <v>60.43</v>
    <v>60.98</v>
    <v>60.64</v>
    <v>60.25</v>
    <v>62.54</v>
    <v>62.07</v>
    <v>61.6</v>
    <v>62.59</v>
    <v>60.99</v>
    <v>61.89</v>
    <v>61.03</v>
    <v>61.24</v>
    <v>58.65</v>
    <v>58.76</v>
    <v>58.16</v>
    <v>58.24</v>
    <v>57.59</v>
    <v>58.1</v>
    <v>56.21</v>
    <v>55.55</v>
    <v>57.3</v>
    <v>56.39</v>
    <v>56.01</v>
    <v>53.81</v>
    <v>55.51</v>
    <v>55.74</v>
    <v>56.01</v>
    <v>57.7</v>
    <v>58.12</v>
    <v>58.35</v>
    <v>58.71</v>
    <v>58.31</v>
    <v>57.4</v>
    <v>58.49</v>
    <v>58.91</v>
    <v>58.33</v>
    <v>58.4</v>
    <v>56.62</v>
    <v>55.99</v>
    <v>55.91</v>
    <v>56.48</v>
    <v>52.25</v>
    <v>48.48</v>
    <v>49.5</v>
    <v>48.74</v>
    <v>53.47</v>
    <v>51.77</v>
    <v>53.8</v>
    <v>54.49</v>
    <v>54.34</v>
    <v>54.76</v>
    <v>54.73</v>
    <v>53.32</v>
    <v>54.03</v>
    <v>55.35</v>
    <v>57.2</v>
    <v>56.54</v>
    <v>56.92</v>
    <v>56.88</v>
    <v>56.35</v>
    <v>56.47</v>
    <v>57.52</v>
    <v>57.46</v>
    <v>58.12</v>
    <v>57.43</v>
    <v>57.87</v>
    <v>58.4</v>
    <v>59.13</v>
    <v>59.64</v>
    <v>59.09</v>
    <v>59.08</v>
    <v>59.44</v>
    <v>59.49</v>
    <v>59.62</v>
    <v>58.81</v>
    <v>58.21</v>
    <v>59.86</v>
    <v>61.43</v>
    <v>60.87</v>
    <v>60.33</v>
    <v>60.1</v>
    <v>62.11</v>
    <v>63.33</v>
    <v>64.13</v>
    <v>64.13</v>
    <v>64.41</v>
    <v>65.36</v>
    <v>64.790000000000006</v>
    <v>64.37</v>
    <v>64.89</v>
    <v>65.36</v>
    <v>66.23</v>
    <v>66.760000000000005</v>
    <v>66.680000000000007</v>
    <v>65.53</v>
    <v>66.19</v>
    <v>65.94</v>
    <v>65.53</v>
    <v>67.3</v>
    <v>66.38</v>
    <v>67.22</v>
    <v>67.16</v>
    <v>70.08</v>
    <v>70.069999999999993</v>
    <v>69.17</v>
    <v>68.62</v>
    <v>68.489999999999995</v>
    <v>72.14</v>
    <v>73.13</v>
    <v>72.59</v>
    <v>72.28</v>
    <v>72.63</v>
    <v>74.64</v>
    <v>75.180000000000007</v>
    <v>76.040000000000006</v>
    <v>78.12</v>
    <v>78.400000000000006</v>
    <v>77.260000000000005</v>
    <v>77.599999999999994</v>
    <v>76.22</v>
    <v>75.17</v>
    <v>73.650000000000006</v>
    <v>73.319999999999993</v>
    <v>72.41</v>
    <v>73.81</v>
    <v>75.58</v>
    <v>75.41</v>
    <v>77.95</v>
    <v>79.290000000000006</v>
    <v>78.7</v>
    <v>81</v>
    <v>81.510000000000005</v>
    <v>80.61</v>
    <v>79.78</v>
    <v>79.11</v>
    <v>77.44</v>
    <v>77.099999999999994</v>
    <v>77.489999999999995</v>
    <v>80.13</v>
    <v>80.650000000000006</v>
    <v>81.180000000000007</v>
    <v>81.03</v>
    <v>81.599999999999994</v>
    <v>82.33</v>
    <v>81.540000000000006</v>
    <v>81.540000000000006</v>
    <v>81.569999999999993</v>
    <v>83.93</v>
    <v>84.08</v>
    <v>83.36</v>
    <v>84.88</v>
    <v>86.04</v>
    <v>85.57</v>
    <v>89.09</v>
    <v>88.24</v>
    <v>87.75</v>
    <v>89.09</v>
    <v>90.39</v>
    <v>90.94</v>
    <v>91.5</v>
    <v>90.48</v>
    <v>91.7</v>
    <v>92.2</v>
    <v>93.48</v>
    <v>93.19</v>
    <v>95.31</v>
    <v>96.67</v>
    <v>97.56</v>
    <v>98.23</v>
    <v>98.97</v>
    <v>102.27</v>
    <v>102.36</v>
    <v>100.88</v>
    <v>108.08</v>
    <v>108.94</v>
    <v>107.93</v>
    <v>106.61</v>
    <v>102.26</v>
    <v>107.3</v>
    <v>100.31</v>
    <v>97.29</v>
    <v>98.81</v>
    <v>99.82</v>
    <v>97.75</v>
    <v>98.3</v>
    <v>98.15</v>
    <v>96.42</v>
    <v>96.59</v>
    <v>94.73</v>
    <v>90.08</v>
    <v>90.84</v>
    <v>91.1</v>
    <v>93.56</v>
    <v>95.24</v>
    <v>93.98</v>
    <v>96.38</v>
    <v>92.41</v>
    <v>91.84</v>
    <v>90.12</v>
    <v>90.68</v>
    <v>91.33</v>
    <v>87.44</v>
    <v>88.68</v>
    <v>91.42</v>
    <v>92.89</v>
    <v>95.34</v>
    <v>97.09</v>
    <v>95.81</v>
    <v>96.6</v>
    <v>99.67</v>
    <v>100.8</v>
    <v>99.74</v>
    <v>98.2</v>
    <v>99.47</v>
    <v>100.15</v>
    <v>104.88</v>
    <v>102.14</v>
    <v>100.85</v>
    <v>100.91</v>
    <v>101.03</v>
    <v>102.33</v>
    <v>105.17</v>
  </a>
  <a r="1" c="22">
    <v>91.33</v>
    <v>87.44</v>
    <v>88.68</v>
    <v>91.42</v>
    <v>92.89</v>
    <v>95.34</v>
    <v>97.09</v>
    <v>95.81</v>
    <v>96.6</v>
    <v>99.67</v>
    <v>100.8</v>
    <v>99.74</v>
    <v>98.2</v>
    <v>99.47</v>
    <v>100.15</v>
    <v>104.88</v>
    <v>102.14</v>
    <v>100.85</v>
    <v>100.91</v>
    <v>101.03</v>
    <v>102.33</v>
    <v>105.17</v>
  </a>
  <a r="1" c="254">
    <v>118.84</v>
    <v>117.53</v>
    <v>113.94</v>
    <v>114.6</v>
    <v>116.21</v>
    <v>115.99</v>
    <v>116.86</v>
    <v>117.27</v>
    <v>116.27</v>
    <v>114.95</v>
    <v>114.73</v>
    <v>114.4</v>
    <v>115.69</v>
    <v>114.47</v>
    <v>114.15</v>
    <v>115.09</v>
    <v>114.63</v>
    <v>115.71</v>
    <v>117.1</v>
    <v>117.52</v>
    <v>118.7</v>
    <v>119.51</v>
    <v>123.07</v>
    <v>122.68</v>
    <v>123.29</v>
    <v>122.21</v>
    <v>120.31</v>
    <v>119.18</v>
    <v>118.65</v>
    <v>120.87</v>
    <v>120.59</v>
    <v>120.31</v>
    <v>120.33</v>
    <v>120.92</v>
    <v>120.26</v>
    <v>119.82</v>
    <v>120.51</v>
    <v>120.1</v>
    <v>119.02</v>
    <v>117.92</v>
    <v>116.98</v>
    <v>118.08</v>
    <v>117.7</v>
    <v>116.59</v>
    <v>114.09</v>
    <v>114</v>
    <v>114.7</v>
    <v>115.16</v>
    <v>115.3</v>
    <v>116.71</v>
    <v>115.51</v>
    <v>113.59</v>
    <v>116.4</v>
    <v>114.36</v>
    <v>115.78</v>
    <v>114.18</v>
    <v>114.17</v>
    <v>114.26</v>
    <v>113.86</v>
    <v>115.69</v>
    <v>117.36</v>
    <v>117.19</v>
    <v>119.3</v>
    <v>118.26</v>
    <v>117.52</v>
    <v>119.91</v>
    <v>121.01</v>
    <v>119.46</v>
    <v>118.93</v>
    <v>116.7</v>
    <v>116.55</v>
    <v>117.3</v>
    <v>118.82</v>
    <v>113.56</v>
    <v>105.2</v>
    <v>105.33</v>
    <v>106.11</v>
    <v>115.32</v>
    <v>113.56</v>
    <v>115.4</v>
    <v>116.61</v>
    <v>116.45</v>
    <v>115.61</v>
    <v>115.8</v>
    <v>113.33</v>
    <v>113.4</v>
    <v>116.1</v>
    <v>118.57</v>
    <v>119.79</v>
    <v>120.5</v>
    <v>121.25</v>
    <v>121.77</v>
    <v>123.09</v>
    <v>124.95</v>
    <v>124.88</v>
    <v>123.88</v>
    <v>124.44</v>
    <v>126.57</v>
    <v>126.56</v>
    <v>128.12</v>
    <v>128.66999999999999</v>
    <v>128.26</v>
    <v>130.62</v>
    <v>131.56</v>
    <v>132.26</v>
    <v>132.38</v>
    <v>130.21</v>
    <v>129.99</v>
    <v>129.6</v>
    <v>132.6</v>
    <v>132.12</v>
    <v>132.51</v>
    <v>133.43</v>
    <v>133.72</v>
    <v>134.88</v>
    <v>135.30000000000001</v>
    <v>135</v>
    <v>136.26</v>
    <v>136.79</v>
    <v>135.08000000000001</v>
    <v>135.68</v>
    <v>135.87</v>
    <v>136.66999999999999</v>
    <v>135.88</v>
    <v>136.09</v>
    <v>134.96</v>
    <v>135.54</v>
    <v>136.83000000000001</v>
    <v>136.46</v>
    <v>136.80000000000001</v>
    <v>138.87</v>
    <v>140.56</v>
    <v>141.69</v>
    <v>139.82</v>
    <v>140.22999999999999</v>
    <v>141.76</v>
    <v>142.30000000000001</v>
    <v>141.41</v>
    <v>142.69999999999999</v>
    <v>142.32</v>
    <v>142.80000000000001</v>
    <v>145.19</v>
    <v>144.46</v>
    <v>145.13999999999999</v>
    <v>146.81</v>
    <v>146.54</v>
    <v>145.57</v>
    <v>144.02000000000001</v>
    <v>146.85</v>
    <v>146.38</v>
    <v>147.37</v>
    <v>147.19</v>
    <v>146.26</v>
    <v>147.02000000000001</v>
    <v>146</v>
    <v>145.1</v>
    <v>146.94</v>
    <v>147.22</v>
    <v>147.37</v>
    <v>147.27000000000001</v>
    <v>146.69</v>
    <v>146.36000000000001</v>
    <v>147.75</v>
    <v>147.94</v>
    <v>146.93</v>
    <v>146.22999999999999</v>
    <v>146.82</v>
    <v>144.80000000000001</v>
    <v>145.27000000000001</v>
    <v>145.53</v>
    <v>146.69</v>
    <v>146.30000000000001</v>
    <v>149.19999999999999</v>
    <v>148.88999999999999</v>
    <v>149.34</v>
    <v>147.97</v>
    <v>147.87</v>
    <v>146.53</v>
    <v>147.25</v>
    <v>147.44999999999999</v>
    <v>147.5</v>
    <v>146.77000000000001</v>
    <v>148.71</v>
    <v>149.69</v>
    <v>149.22</v>
    <v>150.19</v>
    <v>150.41</v>
    <v>149.41999999999999</v>
    <v>151.33000000000001</v>
    <v>151.47999999999999</v>
    <v>151.80000000000001</v>
    <v>152.72</v>
    <v>151.16</v>
    <v>150.72</v>
    <v>152.55000000000001</v>
    <v>152.63</v>
    <v>155.44999999999999</v>
    <v>155.72999999999999</v>
    <v>156.13999999999999</v>
    <v>156.26</v>
    <v>158.41999999999999</v>
    <v>158.19999999999999</v>
    <v>159.55000000000001</v>
    <v>156.71</v>
    <v>152.83000000000001</v>
    <v>155.19</v>
    <v>156.12</v>
    <v>153.97999999999999</v>
    <v>152.87</v>
    <v>152.36000000000001</v>
    <v>155.01</v>
    <v>156.6</v>
    <v>154.34</v>
    <v>158.28</v>
    <v>158.9</v>
    <v>159.53</v>
    <v>159.01</v>
    <v>158.61000000000001</v>
    <v>157.13999999999999</v>
    <v>157.87</v>
    <v>157.76</v>
    <v>155.41999999999999</v>
    <v>153.99</v>
    <v>152.57</v>
    <v>153.34</v>
    <v>154.87</v>
    <v>154.81</v>
    <v>154.19</v>
    <v>150.5</v>
    <v>150.85</v>
    <v>149.59</v>
    <v>149.01</v>
    <v>148.94999999999999</v>
    <v>146.12</v>
    <v>146.28</v>
    <v>147.62</v>
    <v>149.33000000000001</v>
    <v>150.15</v>
    <v>151.31</v>
    <v>147.55000000000001</v>
    <v>149.13</v>
    <v>149.84</v>
    <v>151.85</v>
    <v>150.69999999999999</v>
    <v>152</v>
    <v>150.85</v>
    <v>152.37</v>
    <v>154.63</v>
    <v>154.1</v>
    <v>154.31</v>
    <v>153.16999999999999</v>
    <v>151.38</v>
    <v>152.72</v>
    <v>156.24</v>
  </a>
  <a r="1" c="22">
    <v>148.94999999999999</v>
    <v>146.12</v>
    <v>146.28</v>
    <v>147.62</v>
    <v>149.33000000000001</v>
    <v>150.15</v>
    <v>151.31</v>
    <v>147.55000000000001</v>
    <v>149.13</v>
    <v>149.84</v>
    <v>151.85</v>
    <v>150.69999999999999</v>
    <v>152</v>
    <v>150.85</v>
    <v>152.37</v>
    <v>154.63</v>
    <v>154.1</v>
    <v>154.31</v>
    <v>153.16999999999999</v>
    <v>151.38</v>
    <v>152.72</v>
    <v>156.24</v>
  </a>
  <a r="1" c="22">
    <v>171.2</v>
    <v>168.85</v>
    <v>173.85</v>
    <v>175.94</v>
    <v>180.15</v>
    <v>181.53</v>
    <v>182.23</v>
    <v>181.03</v>
    <v>180.29</v>
    <v>183.63</v>
    <v>183.97</v>
    <v>183.77</v>
    <v>183.52</v>
    <v>184.11</v>
    <v>187.68</v>
    <v>189.45</v>
    <v>187.43</v>
    <v>186.67</v>
    <v>184.41</v>
    <v>183.65</v>
    <v>184.42</v>
    <v>184.45</v>
  </a>
  <a r="1" c="254">
    <v>174.56</v>
    <v>171.36</v>
    <v>163.81</v>
    <v>162.69</v>
    <v>164.11</v>
    <v>163.86</v>
    <v>165.33</v>
    <v>166.71</v>
    <v>164.4</v>
    <v>163.69999999999999</v>
    <v>164.17</v>
    <v>163.92</v>
    <v>165.71</v>
    <v>165.3</v>
    <v>164.21</v>
    <v>163.59</v>
    <v>159.94999999999999</v>
    <v>160.75</v>
    <v>163.21</v>
    <v>166.38</v>
    <v>166.29</v>
    <v>166.95</v>
    <v>169.4</v>
    <v>167.76</v>
    <v>168.2</v>
    <v>168.28</v>
    <v>168.63</v>
    <v>167.96</v>
    <v>167.28</v>
    <v>169.03</v>
    <v>167.47</v>
    <v>165.19</v>
    <v>167.45</v>
    <v>169.13</v>
    <v>169.06</v>
    <v>167.09</v>
    <v>167.62</v>
    <v>167.92</v>
    <v>165.84</v>
    <v>167.5</v>
    <v>167.48</v>
    <v>168.17</v>
    <v>167.32</v>
    <v>165.92</v>
    <v>162.22999999999999</v>
    <v>161.38</v>
    <v>161.55000000000001</v>
    <v>161.28</v>
    <v>159.77000000000001</v>
    <v>161.1</v>
    <v>157.72</v>
    <v>155.4</v>
    <v>156.66</v>
    <v>154.96</v>
    <v>155.51</v>
    <v>151.54</v>
    <v>151.26</v>
    <v>151.32</v>
    <v>149.27000000000001</v>
    <v>152.75</v>
    <v>154.36000000000001</v>
    <v>153.1</v>
    <v>155.03</v>
    <v>154.26</v>
    <v>153.11000000000001</v>
    <v>156.36000000000001</v>
    <v>155.26</v>
    <v>154.58000000000001</v>
    <v>154.35</v>
    <v>151.22</v>
    <v>150.97999999999999</v>
    <v>150.96</v>
    <v>152.94</v>
    <v>142.93</v>
    <v>137.1</v>
    <v>135.15</v>
    <v>131.84</v>
    <v>141.80000000000001</v>
    <v>135.97999999999999</v>
    <v>137.35</v>
    <v>138.88999999999999</v>
    <v>139.33000000000001</v>
    <v>138.75</v>
    <v>140.07</v>
    <v>137.78</v>
    <v>141.26</v>
    <v>142.69</v>
    <v>144.93</v>
    <v>144.65</v>
    <v>145.30000000000001</v>
    <v>145.88999999999999</v>
    <v>144.80000000000001</v>
    <v>145.59</v>
    <v>148.65</v>
    <v>147.43</v>
    <v>146.30000000000001</v>
    <v>146.65</v>
    <v>149.11000000000001</v>
    <v>149.24</v>
    <v>153.97</v>
    <v>154.33000000000001</v>
    <v>152.86000000000001</v>
    <v>154.04</v>
    <v>154.96</v>
    <v>154.27000000000001</v>
    <v>154.13999999999999</v>
    <v>149.63</v>
    <v>149.37</v>
    <v>148.91</v>
    <v>152.71</v>
    <v>150.91</v>
    <v>151.75</v>
    <v>150.83000000000001</v>
    <v>150.71</v>
    <v>153.01</v>
    <v>152.33000000000001</v>
    <v>152.22</v>
    <v>154.58000000000001</v>
    <v>155.88999999999999</v>
    <v>157.32</v>
    <v>156.63</v>
    <v>156.19999999999999</v>
    <v>153.47</v>
    <v>154.19999999999999</v>
    <v>152.68</v>
    <v>153.51</v>
    <v>153.19</v>
    <v>155.44</v>
    <v>156.78</v>
    <v>155.13</v>
    <v>157.63999999999999</v>
    <v>157.69</v>
    <v>157.76</v>
    <v>161.05000000000001</v>
    <v>163.76</v>
    <v>164.95</v>
    <v>162.41</v>
    <v>163.9</v>
    <v>165.16</v>
    <v>166.68</v>
    <v>164.96</v>
    <v>165.43</v>
    <v>161.47999999999999</v>
    <v>162.52000000000001</v>
    <v>164.33</v>
    <v>163.34</v>
    <v>163.31</v>
    <v>165.74</v>
    <v>167.78</v>
    <v>165.37</v>
    <v>165.62</v>
    <v>165.39</v>
    <v>164.29</v>
    <v>162.19</v>
    <v>160.38999999999999</v>
    <v>157.1</v>
    <v>159.84</v>
    <v>160.99</v>
    <v>161.1</v>
    <v>160.76</v>
    <v>161.07</v>
    <v>160.84</v>
    <v>165.93</v>
    <v>169.62</v>
    <v>167.76</v>
    <v>166.61</v>
    <v>167.14</v>
    <v>167.07</v>
    <v>166.34</v>
    <v>166.33</v>
    <v>173.5</v>
    <v>172.1</v>
    <v>173.07</v>
    <v>174.53</v>
    <v>174.08</v>
    <v>174.07</v>
    <v>173.15</v>
    <v>173.01</v>
    <v>175.21</v>
    <v>176</v>
    <v>175.95</v>
    <v>174.71</v>
    <v>174.65</v>
    <v>177.48</v>
    <v>175.55</v>
    <v>176.23</v>
    <v>174.99</v>
    <v>175.07</v>
    <v>178.94</v>
    <v>176.9</v>
    <v>177.46</v>
    <v>177.35</v>
    <v>176.86</v>
    <v>175.1</v>
    <v>176.66</v>
    <v>176.56</v>
    <v>176.81</v>
    <v>177.55</v>
    <v>178.04</v>
    <v>179.44</v>
    <v>179.8</v>
    <v>177.77</v>
    <v>179.13</v>
    <v>177.69</v>
    <v>172.34</v>
    <v>176.09</v>
    <v>179.5</v>
    <v>180.84</v>
    <v>176.83</v>
    <v>176.53</v>
    <v>180.11</v>
    <v>179.34</v>
    <v>177.71</v>
    <v>179.31</v>
    <v>181.51</v>
    <v>181.26</v>
    <v>180.29</v>
    <v>178</v>
    <v>176.74</v>
    <v>177.13</v>
    <v>177.19</v>
    <v>174.85</v>
    <v>176.95</v>
    <v>174.56</v>
    <v>175.79</v>
    <v>177.15</v>
    <v>177.83</v>
    <v>177.69</v>
    <v>174.41</v>
    <v>174.67</v>
    <v>170.9</v>
    <v>171.7</v>
    <v>171.2</v>
    <v>168.85</v>
    <v>173.85</v>
    <v>175.94</v>
    <v>180.15</v>
    <v>181.53</v>
    <v>182.23</v>
    <v>181.03</v>
    <v>180.29</v>
    <v>183.63</v>
    <v>183.97</v>
    <v>183.77</v>
    <v>183.52</v>
    <v>184.11</v>
    <v>187.68</v>
    <v>189.45</v>
    <v>187.43</v>
    <v>186.67</v>
    <v>184.41</v>
    <v>183.65</v>
    <v>184.42</v>
    <v>184.45</v>
  </a>
  <a r="1" c="254">
    <v>198.38</v>
    <v>196.79</v>
    <v>189.69</v>
    <v>187.73</v>
    <v>189.83</v>
    <v>189.62</v>
    <v>190.8</v>
    <v>190.78</v>
    <v>189.34</v>
    <v>186.91</v>
    <v>187.84</v>
    <v>185.94</v>
    <v>185.96</v>
    <v>187.15</v>
    <v>186.81</v>
    <v>187.61</v>
    <v>185.71</v>
    <v>189.52</v>
    <v>191.88</v>
    <v>193.91</v>
    <v>195.47</v>
    <v>196.77</v>
    <v>199.38</v>
    <v>198.01</v>
    <v>198.75</v>
    <v>198.51</v>
    <v>198</v>
    <v>197.58</v>
    <v>197.21</v>
    <v>198.88</v>
    <v>197.33</v>
    <v>196.72</v>
    <v>197.71</v>
    <v>198.08</v>
    <v>199.11</v>
    <v>196.57</v>
    <v>197.6</v>
    <v>198.5</v>
    <v>197.21</v>
    <v>200.37</v>
    <v>199.78</v>
    <v>202.46</v>
    <v>199.79</v>
    <v>198.92</v>
    <v>195.09</v>
    <v>194.9</v>
    <v>196.36</v>
    <v>196.24</v>
    <v>194.69</v>
    <v>196.53</v>
    <v>192.32</v>
    <v>189.24</v>
    <v>194.74</v>
    <v>193.58</v>
    <v>193.8</v>
    <v>189.53</v>
    <v>188.43</v>
    <v>188.05</v>
    <v>187.3</v>
    <v>190.35</v>
    <v>192.3</v>
    <v>192.03</v>
    <v>192.87</v>
    <v>191.48</v>
    <v>189.26679999999999</v>
    <v>192.24</v>
    <v>191.44</v>
    <v>191.35</v>
    <v>191.02</v>
    <v>187.1</v>
    <v>188.81</v>
    <v>189.37</v>
    <v>191.22</v>
    <v>182.14</v>
    <v>171.02</v>
    <v>168.91</v>
    <v>163.82</v>
    <v>178.28</v>
    <v>172.68</v>
    <v>177.51</v>
    <v>179.56</v>
    <v>178.55</v>
    <v>177.06</v>
    <v>178.07</v>
    <v>175.02</v>
    <v>179.32</v>
    <v>180.05</v>
    <v>184.02</v>
    <v>182.85</v>
    <v>183.47</v>
    <v>184.94</v>
    <v>185.48</v>
    <v>184.79</v>
    <v>188.03</v>
    <v>186.78</v>
    <v>185.47</v>
    <v>184.08</v>
    <v>186.63</v>
    <v>187.1</v>
    <v>191.22</v>
    <v>190.42</v>
    <v>188.71</v>
    <v>190.52</v>
    <v>192.39</v>
    <v>192.98</v>
    <v>192.3</v>
    <v>189.61</v>
    <v>189.41</v>
    <v>189.47</v>
    <v>193.01</v>
    <v>190.18</v>
    <v>190.77</v>
    <v>190.6</v>
    <v>191.57</v>
    <v>193.76</v>
    <v>194.4</v>
    <v>193.88</v>
    <v>194.37</v>
    <v>195.68</v>
    <v>196.64</v>
    <v>194.63</v>
    <v>195.47</v>
    <v>192.64</v>
    <v>194.2</v>
    <v>192.62</v>
    <v>192.12</v>
    <v>190.68</v>
    <v>193.3</v>
    <v>194.83</v>
    <v>193.18</v>
    <v>194.7</v>
    <v>194.77</v>
    <v>194.83</v>
    <v>199.27</v>
    <v>202.17</v>
    <v>202.46</v>
    <v>200.14</v>
    <v>201.27</v>
    <v>202.35</v>
    <v>203.89</v>
    <v>202.32</v>
    <v>201.45</v>
    <v>197.54</v>
    <v>197.97</v>
    <v>199.57</v>
    <v>200.08</v>
    <v>200.94</v>
    <v>203.6</v>
    <v>204.3</v>
    <v>202.45</v>
    <v>204.69</v>
    <v>201.81</v>
    <v>201</v>
    <v>197.12</v>
    <v>194.82</v>
    <v>193.21</v>
    <v>195.94</v>
    <v>197.8</v>
    <v>196.35</v>
    <v>198.6</v>
    <v>199.77</v>
    <v>199.09</v>
    <v>202.13</v>
    <v>205.85</v>
    <v>203.82</v>
    <v>203.71</v>
    <v>202.56</v>
    <v>203.54</v>
    <v>203.5</v>
    <v>203.94</v>
    <v>208.15</v>
    <v>207.04</v>
    <v>207.76</v>
    <v>208.14</v>
    <v>208.13</v>
    <v>208.36</v>
    <v>206.73</v>
    <v>205.49</v>
    <v>206.32</v>
    <v>208.16</v>
    <v>208.51</v>
    <v>205.3</v>
    <v>205.67</v>
    <v>210.15</v>
    <v>208.16</v>
    <v>207.22</v>
    <v>206.01</v>
    <v>206.35</v>
    <v>206.59</v>
    <v>206.62</v>
    <v>206.69</v>
    <v>205.95</v>
    <v>202.26</v>
    <v>200.26</v>
    <v>202.6</v>
    <v>203.16</v>
    <v>204.86</v>
    <v>203.28</v>
    <v>205.18</v>
    <v>205.51</v>
    <v>205.29</v>
    <v>204.2</v>
    <v>205.97669999999999</v>
    <v>202.74</v>
    <v>199.04</v>
    <v>202.82</v>
    <v>204.83</v>
    <v>203.92</v>
    <v>202.64</v>
    <v>201.58</v>
    <v>204.36</v>
    <v>202.61</v>
    <v>201.35</v>
    <v>203.46</v>
    <v>202.94</v>
    <v>202.32</v>
    <v>202.36</v>
    <v>198.75</v>
    <v>196.39</v>
    <v>195.14</v>
    <v>193.69</v>
    <v>192.26</v>
    <v>193.09</v>
    <v>192.4469</v>
    <v>194.59</v>
    <v>196.73</v>
    <v>198.17</v>
    <v>199.72</v>
    <v>198.06</v>
    <v>195.8</v>
    <v>192.7</v>
    <v>192.7</v>
    <v>193.48</v>
    <v>190.36</v>
    <v>194.54</v>
    <v>195.84</v>
    <v>198.92</v>
    <v>201.57</v>
    <v>203.05</v>
    <v>202.66</v>
    <v>201.1</v>
    <v>202.88</v>
    <v>201.98</v>
    <v>201.37</v>
    <v>198.95</v>
    <v>198.845</v>
    <v>202.51</v>
    <v>207.35</v>
    <v>207.07</v>
    <v>206.9</v>
    <v>206.47</v>
    <v>206.16</v>
    <v>206.5</v>
    <v>207.31</v>
  </a>
  <a r="1" c="22">
    <v>193.48</v>
    <v>190.36</v>
    <v>194.54</v>
    <v>195.84</v>
    <v>198.92</v>
    <v>201.57</v>
    <v>203.05</v>
    <v>202.66</v>
    <v>201.1</v>
    <v>202.88</v>
    <v>201.98</v>
    <v>201.37</v>
    <v>198.95</v>
    <v>198.845</v>
    <v>202.51</v>
    <v>207.35</v>
    <v>207.07</v>
    <v>206.9</v>
    <v>206.47</v>
    <v>206.16</v>
    <v>206.5</v>
    <v>207.31</v>
  </a>
  <a r="1" c="254">
    <v>65.09</v>
    <v>63.56</v>
    <v>60.26</v>
    <v>59.73</v>
    <v>60.81</v>
    <v>60.6</v>
    <v>61.04</v>
    <v>61.33</v>
    <v>60.57</v>
    <v>60.42</v>
    <v>60.35</v>
    <v>59.68</v>
    <v>60.55</v>
    <v>60.68</v>
    <v>60.11</v>
    <v>60.09</v>
    <v>58.31</v>
    <v>59.18</v>
    <v>61.19</v>
    <v>62.73</v>
    <v>62.14</v>
    <v>63.07</v>
    <v>63.85</v>
    <v>63.09</v>
    <v>62.86</v>
    <v>63.33</v>
    <v>64</v>
    <v>63.68</v>
    <v>63.61</v>
    <v>64.319999999999993</v>
    <v>64.16</v>
    <v>62.83</v>
    <v>64.05</v>
    <v>64.75</v>
    <v>65.5</v>
    <v>64.63</v>
    <v>63.88</v>
    <v>64.930000000000007</v>
    <v>63.41</v>
    <v>63.69</v>
    <v>63.89</v>
    <v>64.459999999999994</v>
    <v>64.22</v>
    <v>63.06</v>
    <v>61.42</v>
    <v>60.97</v>
    <v>61.01</v>
    <v>61.17</v>
    <v>61.26</v>
    <v>62.07</v>
    <v>61.18</v>
    <v>59.04</v>
    <v>58.71</v>
    <v>57.76</v>
    <v>57.69</v>
    <v>55.41</v>
    <v>55.11</v>
    <v>55.75</v>
    <v>55.13</v>
    <v>56.76</v>
    <v>57.13</v>
    <v>56.97</v>
    <v>57.68</v>
    <v>57.29</v>
    <v>57.26</v>
    <v>58.43</v>
    <v>58.25</v>
    <v>58.01</v>
    <v>57.55</v>
    <v>56.41</v>
    <v>56.85</v>
    <v>56.42</v>
    <v>57.22</v>
    <v>51.31</v>
    <v>49.26</v>
    <v>49.27</v>
    <v>48.81</v>
    <v>52.63</v>
    <v>49.4</v>
    <v>49.26</v>
    <v>50.12</v>
    <v>50.97</v>
    <v>50.96</v>
    <v>51.42</v>
    <v>50.74</v>
    <v>52.37</v>
    <v>53.55</v>
    <v>54.45</v>
    <v>53.95</v>
    <v>54.27</v>
    <v>54.76</v>
    <v>54.13</v>
    <v>54.73</v>
    <v>56.24</v>
    <v>56.04</v>
    <v>55.46</v>
    <v>55.51</v>
    <v>56.85</v>
    <v>56.58</v>
    <v>59.18</v>
    <v>59.46</v>
    <v>59.19</v>
    <v>59.25</v>
    <v>59.24</v>
    <v>59</v>
    <v>58.73</v>
    <v>56.65</v>
    <v>56.65</v>
    <v>56.4</v>
    <v>57.74</v>
    <v>56.8</v>
    <v>57.29</v>
    <v>56.88</v>
    <v>56.46</v>
    <v>57.35</v>
    <v>56.64</v>
    <v>56.6</v>
    <v>58.02</v>
    <v>58.31</v>
    <v>58.93</v>
    <v>58.13</v>
    <v>57.78</v>
    <v>56.23</v>
    <v>56.49</v>
    <v>55.79</v>
    <v>56.53</v>
    <v>56.96</v>
    <v>57.87</v>
    <v>58.42</v>
    <v>58.14</v>
    <v>59.48</v>
    <v>59.45</v>
    <v>59.39</v>
    <v>61.42</v>
    <v>62.51</v>
    <v>63.23</v>
    <v>62.58</v>
    <v>63.15</v>
    <v>63.12</v>
    <v>63.57</v>
    <v>62.89</v>
    <v>63.6</v>
    <v>61.37</v>
    <v>61.91</v>
    <v>63.17</v>
    <v>63.27</v>
    <v>63.07</v>
    <v>63.36</v>
    <v>63.36</v>
    <v>62.18</v>
    <v>61.93</v>
    <v>61.88</v>
    <v>61.58</v>
    <v>60.79</v>
    <v>60.06</v>
    <v>58.82</v>
    <v>59.65</v>
    <v>59.85</v>
    <v>59.37</v>
    <v>58.85</v>
    <v>59.56</v>
    <v>59.4</v>
    <v>61.54</v>
    <v>62.64</v>
    <v>62.6</v>
    <v>61.59</v>
    <v>61.93</v>
    <v>61.82</v>
    <v>62.04</v>
    <v>61.79</v>
    <v>64.84</v>
    <v>64.489999999999995</v>
    <v>65.23</v>
    <v>65.75</v>
    <v>65.52</v>
    <v>65.510000000000005</v>
    <v>65.08</v>
    <v>65.17</v>
    <v>66.13</v>
    <v>65.45</v>
    <v>65.52</v>
    <v>64.849999999999994</v>
    <v>64.92</v>
    <v>65.209999999999994</v>
    <v>64.989999999999995</v>
    <v>64.36</v>
    <v>63.69</v>
    <v>64.45</v>
    <v>66.17</v>
    <v>65.34</v>
    <v>64.14</v>
    <v>64.06</v>
    <v>63.93</v>
    <v>63.89</v>
    <v>64.19</v>
    <v>63.57</v>
    <v>63.3</v>
    <v>62.97</v>
    <v>62.82</v>
    <v>63.45</v>
    <v>64.09</v>
    <v>63.63</v>
    <v>63.24</v>
    <v>62.95</v>
    <v>60.19</v>
    <v>61.51</v>
    <v>63.41</v>
    <v>61.98</v>
    <v>58.14</v>
    <v>59.07</v>
    <v>60.54</v>
    <v>60.63</v>
    <v>60.44</v>
    <v>60.18</v>
    <v>61.22</v>
    <v>61.17</v>
    <v>60.92</v>
    <v>59.81</v>
    <v>59.86</v>
    <v>60</v>
    <v>60.14</v>
    <v>59.82</v>
    <v>60.56</v>
    <v>60.16</v>
    <v>61.01</v>
    <v>61.33</v>
    <v>61.45</v>
    <v>61.53</v>
    <v>60.79</v>
    <v>60.92</v>
    <v>58.63</v>
    <v>59.16</v>
    <v>59.79</v>
    <v>59.59</v>
    <v>61.61</v>
    <v>61.66</v>
    <v>63.41</v>
    <v>63.17</v>
    <v>62.99</v>
    <v>63.68</v>
    <v>63.33</v>
    <v>64.650000000000006</v>
    <v>64.87</v>
    <v>64.72</v>
    <v>64.94</v>
    <v>64.81</v>
    <v>67.05</v>
    <v>67.400000000000006</v>
    <v>67.08</v>
    <v>67.260000000000005</v>
    <v>67</v>
    <v>67.290000000000006</v>
    <v>67.48</v>
    <v>67.239999999999995</v>
  </a>
  <a r="1" c="22">
    <v>59.79</v>
    <v>59.59</v>
    <v>61.61</v>
    <v>61.66</v>
    <v>63.41</v>
    <v>63.17</v>
    <v>62.99</v>
    <v>63.68</v>
    <v>63.33</v>
    <v>64.650000000000006</v>
    <v>64.87</v>
    <v>64.72</v>
    <v>64.94</v>
    <v>64.81</v>
    <v>67.05</v>
    <v>67.400000000000006</v>
    <v>67.08</v>
    <v>67.260000000000005</v>
    <v>67</v>
    <v>67.290000000000006</v>
    <v>67.48</v>
    <v>67.239999999999995</v>
  </a>
  <a r="1" c="254">
    <v>102.03</v>
    <v>102.08</v>
    <v>100.57</v>
    <v>99.63</v>
    <v>100.04</v>
    <v>99.41</v>
    <v>99.65</v>
    <v>99.65</v>
    <v>99.04</v>
    <v>99.85</v>
    <v>99.54</v>
    <v>99.72</v>
    <v>99.47</v>
    <v>99.12</v>
    <v>98.27</v>
    <v>98.4</v>
    <v>97.66</v>
    <v>97.4</v>
    <v>97.25</v>
    <v>98.74</v>
    <v>99.11</v>
    <v>99.24</v>
    <v>99.89</v>
    <v>99.57</v>
    <v>99.06</v>
    <v>99.39</v>
    <v>100.51</v>
    <v>100.38</v>
    <v>100.27</v>
    <v>100.65</v>
    <v>100.26</v>
    <v>100.36</v>
    <v>100.63</v>
    <v>101.92</v>
    <v>101.93</v>
    <v>101.43</v>
    <v>101.24</v>
    <v>100.7</v>
    <v>99.53</v>
    <v>100.81</v>
    <v>101.4</v>
    <v>100.51</v>
    <v>100.61</v>
    <v>100.93</v>
    <v>101.93</v>
    <v>102.15</v>
    <v>103.49</v>
    <v>103.95</v>
    <v>103.64</v>
    <v>104.53</v>
    <v>104.79</v>
    <v>103.91</v>
    <v>103.13</v>
    <v>102.87</v>
    <v>102.61</v>
    <v>103.59</v>
    <v>102.98</v>
    <v>102.45</v>
    <v>103.22</v>
    <v>102.74</v>
    <v>103.08</v>
    <v>103.23</v>
    <v>103.66</v>
    <v>103.83</v>
    <v>103.48</v>
    <v>102.51</v>
    <v>102.63</v>
    <v>102.13</v>
    <v>101.89</v>
    <v>103.14</v>
    <v>103.75</v>
    <v>104.05</v>
    <v>103.92</v>
    <v>104.85</v>
    <v>105.63</v>
    <v>102.88</v>
    <v>101.19</v>
    <v>101.43</v>
    <v>99.53</v>
    <v>99.46</v>
    <v>100.39</v>
    <v>100.71</v>
    <v>101.24</v>
    <v>100.59</v>
    <v>99.09</v>
    <v>99.63</v>
    <v>100.4</v>
    <v>101.22</v>
    <v>101.96</v>
    <v>102.4</v>
    <v>103.12</v>
    <v>102.64</v>
    <v>101.73</v>
    <v>100.83</v>
    <v>100.42</v>
    <v>100.63</v>
    <v>101.06</v>
    <v>100.01</v>
    <v>100.17</v>
    <v>99.37</v>
    <v>98.97</v>
    <v>98.51</v>
    <v>99.27</v>
    <v>99.45</v>
    <v>99.16</v>
    <v>98.69</v>
    <v>97.29</v>
    <v>97.73</v>
    <v>98.08</v>
    <v>99.03</v>
    <v>98.63</v>
    <v>99.37</v>
    <v>99.7</v>
    <v>98.59</v>
    <v>98.48</v>
    <v>99.84</v>
    <v>99.74</v>
    <v>98.61</v>
    <v>98.75</v>
    <v>99.12</v>
    <v>99.56</v>
    <v>100.51</v>
    <v>99.67</v>
    <v>98.95</v>
    <v>99.91</v>
    <v>99.99</v>
    <v>99.93</v>
    <v>100.34</v>
    <v>100.87</v>
    <v>100.94</v>
    <v>101.31</v>
    <v>100.81</v>
    <v>101.6</v>
    <v>101.28</v>
    <v>100.73</v>
    <v>100.29</v>
    <v>99.54</v>
    <v>99.41</v>
    <v>100.29</v>
    <v>100.36</v>
    <v>99.28</v>
    <v>99.15</v>
    <v>98.52</v>
    <v>98.7</v>
    <v>98.66</v>
    <v>98.94</v>
    <v>99.65</v>
    <v>100.11</v>
    <v>99.71</v>
    <v>99.56</v>
    <v>99.99</v>
    <v>99.58</v>
    <v>100.85</v>
    <v>100.37</v>
    <v>100.49</v>
    <v>101.52</v>
    <v>101.7</v>
    <v>101.87</v>
    <v>101.43</v>
    <v>101.35</v>
    <v>100.99</v>
    <v>101.12</v>
    <v>100.69</v>
    <v>101.41</v>
    <v>100.76</v>
    <v>100.23</v>
    <v>100.02</v>
    <v>100.46</v>
    <v>100.67</v>
    <v>100.21</v>
    <v>100.96</v>
    <v>100.74</v>
    <v>100.79</v>
    <v>100.78</v>
    <v>101.31</v>
    <v>100.92</v>
    <v>99.93</v>
    <v>100.71</v>
    <v>101.33</v>
    <v>102.55</v>
    <v>103.42</v>
    <v>103.06</v>
    <v>103.49</v>
    <v>103.93</v>
    <v>103.49</v>
    <v>103.8</v>
    <v>103.92</v>
    <v>103.68</v>
    <v>102.91</v>
    <v>102.78</v>
    <v>102.48</v>
    <v>103.08</v>
    <v>102.75</v>
    <v>102.64</v>
    <v>102.53</v>
    <v>103.12</v>
    <v>102.99</v>
    <v>102.96</v>
    <v>103.21</v>
    <v>102.98</v>
    <v>102.37</v>
    <v>102.84</v>
    <v>102.9</v>
    <v>102.83</v>
    <v>104.05</v>
    <v>104</v>
    <v>104.36</v>
    <v>104.08</v>
    <v>104.77</v>
    <v>104.57</v>
    <v>104.86</v>
    <v>105.28</v>
    <v>105.36</v>
    <v>104.8</v>
    <v>104.83</v>
    <v>105.07</v>
    <v>105.28</v>
    <v>104.39</v>
    <v>103.99</v>
    <v>103.83</v>
    <v>103.3</v>
    <v>103.51</v>
    <v>102.57</v>
    <v>103.36</v>
    <v>103.22</v>
    <v>103.11</v>
    <v>103.63</v>
    <v>103.72</v>
    <v>103.13</v>
    <v>102.69</v>
    <v>102.92</v>
    <v>102.91</v>
    <v>102.8</v>
    <v>103.16</v>
    <v>103.42</v>
    <v>103.86</v>
    <v>104.19</v>
    <v>104.46</v>
    <v>104.08</v>
    <v>102.66</v>
    <v>102.72</v>
    <v>102.99</v>
    <v>102.56</v>
    <v>102.14</v>
    <v>101.81</v>
    <v>101.83</v>
    <v>102.2</v>
    <v>102.15</v>
    <v>101.41</v>
    <v>101.57</v>
    <v>102.05</v>
    <v>101.96</v>
    <v>102.35</v>
    <v>101.62</v>
  </a>
  <a r="1" c="22">
    <v>102.8</v>
    <v>103.16</v>
    <v>103.42</v>
    <v>103.86</v>
    <v>104.19</v>
    <v>104.46</v>
    <v>104.08</v>
    <v>102.66</v>
    <v>102.72</v>
    <v>102.99</v>
    <v>102.56</v>
    <v>102.14</v>
    <v>101.81</v>
    <v>101.83</v>
    <v>102.2</v>
    <v>102.15</v>
    <v>101.41</v>
    <v>101.57</v>
    <v>102.05</v>
    <v>101.96</v>
    <v>102.35</v>
    <v>101.62</v>
  </a>
  <a r="1" c="22">
    <v>299.57</v>
    <v>287.85000000000002</v>
    <v>295.41000000000003</v>
    <v>308.25</v>
    <v>310.55</v>
    <v>315.85000000000002</v>
    <v>321.33999999999997</v>
    <v>317.44</v>
    <v>325.32</v>
    <v>337.33</v>
    <v>338.81</v>
    <v>341.96</v>
    <v>344.07</v>
    <v>343.01</v>
    <v>345.35</v>
    <v>344.74</v>
    <v>328.13</v>
    <v>324.54000000000002</v>
    <v>322.85000000000002</v>
    <v>313.77</v>
    <v>319.07</v>
    <v>327.17</v>
  </a>
  <a r="1" c="254">
    <v>265.16000000000003</v>
    <v>259.3</v>
    <v>247.79</v>
    <v>245.1</v>
    <v>248.46</v>
    <v>254.68</v>
    <v>257.70999999999998</v>
    <v>259.81</v>
    <v>256.2</v>
    <v>250.33</v>
    <v>248.45</v>
    <v>252.06</v>
    <v>258.8</v>
    <v>264.77999999999997</v>
    <v>260.45</v>
    <v>255.95</v>
    <v>250.02</v>
    <v>247.75</v>
    <v>249.55</v>
    <v>257.88</v>
    <v>255.74</v>
    <v>264.39</v>
    <v>268.42</v>
    <v>269.41000000000003</v>
    <v>270.08</v>
    <v>263.55</v>
    <v>241.34</v>
    <v>242.93</v>
    <v>244.16</v>
    <v>248.32</v>
    <v>248.75</v>
    <v>244.08</v>
    <v>247.92</v>
    <v>253.84</v>
    <v>246.93</v>
    <v>242.25</v>
    <v>239.83</v>
    <v>237.75</v>
    <v>238.46</v>
    <v>241.77</v>
    <v>243.91</v>
    <v>252.06</v>
    <v>254.84</v>
    <v>255.19</v>
    <v>246.62</v>
    <v>240.28</v>
    <v>233.4</v>
    <v>237.91</v>
    <v>222.3</v>
    <v>226.68</v>
    <v>217.93</v>
    <v>218.44</v>
    <v>222.93</v>
    <v>215.44</v>
    <v>222.92</v>
    <v>211.59</v>
    <v>209.19</v>
    <v>212.02</v>
    <v>210.77</v>
    <v>219.1</v>
    <v>223.06</v>
    <v>219.6</v>
    <v>222.06</v>
    <v>218.72</v>
    <v>217.44</v>
    <v>224.47</v>
    <v>223.39</v>
    <v>216.9</v>
    <v>211.58</v>
    <v>202.1</v>
    <v>200.77</v>
    <v>201.58</v>
    <v>204.24</v>
    <v>179.94</v>
    <v>167.32</v>
    <v>170.37</v>
    <v>160.63</v>
    <v>192.51</v>
    <v>174.62</v>
    <v>176.77</v>
    <v>178.99</v>
    <v>178.56</v>
    <v>172.93</v>
    <v>172.8</v>
    <v>169.65</v>
    <v>173.7</v>
    <v>180.74</v>
    <v>192.28</v>
    <v>194.68</v>
    <v>194.6</v>
    <v>191.55</v>
    <v>192.96</v>
    <v>195.35</v>
    <v>204.1</v>
    <v>201.98</v>
    <v>199.86</v>
    <v>201.74</v>
    <v>207.2</v>
    <v>210.7</v>
    <v>227.66</v>
    <v>234.34</v>
    <v>236.03</v>
    <v>234.71</v>
    <v>235.59</v>
    <v>232.46</v>
    <v>232.62</v>
    <v>224.99</v>
    <v>226.41</v>
    <v>223.15</v>
    <v>230.21</v>
    <v>227.51</v>
    <v>227.04</v>
    <v>221.13</v>
    <v>224.38</v>
    <v>232.48</v>
    <v>236.47</v>
    <v>232.58</v>
    <v>235.3</v>
    <v>241.19</v>
    <v>245.79</v>
    <v>245.62</v>
    <v>245.12</v>
    <v>237.25</v>
    <v>245.76</v>
    <v>242.01</v>
    <v>245.48</v>
    <v>244.21</v>
    <v>244.25</v>
    <v>253.81</v>
    <v>254.36</v>
    <v>257.77999999999997</v>
    <v>256.08999999999997</v>
    <v>256.51</v>
    <v>256.20999999999998</v>
    <v>261.81</v>
    <v>265.08999999999997</v>
    <v>257.98</v>
    <v>263.52999999999997</v>
    <v>266.43</v>
    <v>267.49</v>
    <v>264.64</v>
    <v>261.77999999999997</v>
    <v>262.62</v>
    <v>265.07</v>
    <v>268.94</v>
    <v>270.52</v>
    <v>271.61</v>
    <v>267.7</v>
    <v>267.12</v>
    <v>265.61</v>
    <v>265.45999999999998</v>
    <v>270.26</v>
    <v>268.99</v>
    <v>270.33</v>
    <v>265.35000000000002</v>
    <v>261.69</v>
    <v>267.56</v>
    <v>266.13</v>
    <v>267.57</v>
    <v>267.57</v>
    <v>270.11</v>
    <v>269.19</v>
    <v>281.79000000000002</v>
    <v>286.19</v>
    <v>284.89</v>
    <v>280.79000000000002</v>
    <v>283.64999999999998</v>
    <v>275.61</v>
    <v>273.89</v>
    <v>274.48</v>
    <v>286.02999999999997</v>
    <v>283.31</v>
    <v>287.91000000000003</v>
    <v>288.74</v>
    <v>293.29000000000002</v>
    <v>286.18</v>
    <v>282.76</v>
    <v>282.02</v>
    <v>286.7</v>
    <v>289.62</v>
    <v>293.27</v>
    <v>294.14999999999998</v>
    <v>296.87</v>
    <v>299.64999999999998</v>
    <v>298.75</v>
    <v>303.17</v>
    <v>306.05</v>
    <v>308.41000000000003</v>
    <v>320.83</v>
    <v>318.72000000000003</v>
    <v>323.54000000000002</v>
    <v>322.39999999999998</v>
    <v>319.94</v>
    <v>317.92</v>
    <v>318.16000000000003</v>
    <v>316.06</v>
    <v>319.12</v>
    <v>319.94</v>
    <v>329.04</v>
    <v>329.87</v>
    <v>336.78</v>
    <v>330.18</v>
    <v>339.15</v>
    <v>339.06</v>
    <v>315.61</v>
    <v>338.92</v>
    <v>339.44</v>
    <v>349.74</v>
    <v>347.77</v>
    <v>343.17</v>
    <v>350.41</v>
    <v>344.64</v>
    <v>331.67</v>
    <v>343.86</v>
    <v>345.28</v>
    <v>353.65</v>
    <v>350.42</v>
    <v>353.56</v>
    <v>348.28</v>
    <v>352.27</v>
    <v>347.77</v>
    <v>328.9</v>
    <v>339</v>
    <v>332.38</v>
    <v>326.72000000000003</v>
    <v>334.19</v>
    <v>325.70999999999998</v>
    <v>326.20999999999998</v>
    <v>311.32</v>
    <v>309.99</v>
    <v>301.39999999999998</v>
    <v>296.43</v>
    <v>299.57</v>
    <v>287.85000000000002</v>
    <v>295.41000000000003</v>
    <v>308.25</v>
    <v>310.55</v>
    <v>315.85000000000002</v>
    <v>321.33999999999997</v>
    <v>317.44</v>
    <v>325.32</v>
    <v>337.33</v>
    <v>338.81</v>
    <v>341.96</v>
    <v>344.07</v>
    <v>343.01</v>
    <v>345.35</v>
    <v>344.74</v>
    <v>328.13</v>
    <v>324.54000000000002</v>
    <v>322.85000000000002</v>
    <v>313.77</v>
    <v>319.07</v>
    <v>327.17</v>
  </a>
  <a r="1" c="254">
    <v>42.61</v>
    <v>42.42</v>
    <v>40.76</v>
    <v>40.06</v>
    <v>40.79</v>
    <v>40.54</v>
    <v>40.81</v>
    <v>40.869999999999997</v>
    <v>40.54</v>
    <v>40.35</v>
    <v>40.67</v>
    <v>40.29</v>
    <v>40.840000000000003</v>
    <v>40.28</v>
    <v>39.979999999999997</v>
    <v>40.15</v>
    <v>39.18</v>
    <v>39.68</v>
    <v>40.020000000000003</v>
    <v>40.19</v>
    <v>41.09</v>
    <v>41.08</v>
    <v>41.83</v>
    <v>41.1</v>
    <v>41.43</v>
    <v>41.55</v>
    <v>41.96</v>
    <v>41.45</v>
    <v>40.97</v>
    <v>41.51</v>
    <v>41.42</v>
    <v>41.35</v>
    <v>41.35</v>
    <v>42</v>
    <v>42.12</v>
    <v>41.97</v>
    <v>42.03</v>
    <v>42.26</v>
    <v>41.9</v>
    <v>42.23</v>
    <v>42.06</v>
    <v>42.21</v>
    <v>42.29</v>
    <v>42.58</v>
    <v>42.23</v>
    <v>42.42</v>
    <v>42.87</v>
    <v>42.66</v>
    <v>42.85</v>
    <v>43.15</v>
    <v>43.52</v>
    <v>43.02</v>
    <v>43.42</v>
    <v>42.23</v>
    <v>42.47</v>
    <v>42.06</v>
    <v>41.62</v>
    <v>41.47</v>
    <v>40.659999999999997</v>
    <v>41.45</v>
    <v>42.18</v>
    <v>41.92</v>
    <v>41.97</v>
    <v>41.92</v>
    <v>41.51</v>
    <v>41.82</v>
    <v>41.32</v>
    <v>41.53</v>
    <v>41.43</v>
    <v>41.41</v>
    <v>41.85</v>
    <v>41.88</v>
    <v>42.08</v>
    <v>40.82</v>
    <v>38.96</v>
    <v>38.020000000000003</v>
    <v>37.08</v>
    <v>39.21</v>
    <v>38.380000000000003</v>
    <v>38.92</v>
    <v>39.78</v>
    <v>39.840000000000003</v>
    <v>39.82</v>
    <v>40.450000000000003</v>
    <v>39.61</v>
    <v>40.42</v>
    <v>40.47</v>
    <v>40.590000000000003</v>
    <v>40.53</v>
    <v>40.78</v>
    <v>41.11</v>
    <v>41.3</v>
    <v>41.42</v>
    <v>41.93</v>
    <v>41.88</v>
    <v>41.59</v>
    <v>41.56</v>
    <v>41.36</v>
    <v>41.61</v>
    <v>41.65</v>
    <v>41.09</v>
    <v>40.74</v>
    <v>41.49</v>
    <v>42.01</v>
    <v>42.1</v>
    <v>41.88</v>
    <v>40.770000000000003</v>
    <v>40.630000000000003</v>
    <v>40.64</v>
    <v>41.31</v>
    <v>41.31</v>
    <v>41.69</v>
    <v>41.73</v>
    <v>41.79</v>
    <v>41.64</v>
    <v>41.77</v>
    <v>41.76</v>
    <v>41.88</v>
    <v>41.86</v>
    <v>42.23</v>
    <v>42</v>
    <v>42.23</v>
    <v>41.89</v>
    <v>41.93</v>
    <v>41.76</v>
    <v>41.84</v>
    <v>41.83</v>
    <v>42.06</v>
    <v>42.26</v>
    <v>41.23</v>
    <v>40.97</v>
    <v>41.12</v>
    <v>41.42</v>
    <v>41.7</v>
    <v>41.78</v>
    <v>41.8</v>
    <v>41.48</v>
    <v>41.42</v>
    <v>41.4</v>
    <v>41.61</v>
    <v>41.57</v>
    <v>41.85</v>
    <v>41.31</v>
    <v>41.76</v>
    <v>41.72</v>
    <v>41.84</v>
    <v>42</v>
    <v>42.73</v>
    <v>42.85</v>
    <v>42.79</v>
    <v>42.79</v>
    <v>42.05</v>
    <v>42.75</v>
    <v>42.15</v>
    <v>41.41</v>
    <v>41.29</v>
    <v>41.64</v>
    <v>41.78</v>
    <v>41.43</v>
    <v>41.59</v>
    <v>41.25</v>
    <v>41.01</v>
    <v>41.08</v>
    <v>41.35</v>
    <v>41.06</v>
    <v>41.33</v>
    <v>40.94</v>
    <v>41.67</v>
    <v>41.83</v>
    <v>41.68</v>
    <v>42.34</v>
    <v>42.13</v>
    <v>42.01</v>
    <v>42.19</v>
    <v>42.08</v>
    <v>42.31</v>
    <v>41.59</v>
    <v>41.48</v>
    <v>41.76</v>
    <v>42.18</v>
    <v>41.9</v>
    <v>41.88</v>
    <v>41.86</v>
    <v>42.54</v>
    <v>42.35</v>
    <v>42.3</v>
    <v>42.05</v>
    <v>42.03</v>
    <v>42.06</v>
    <v>41.85</v>
    <v>41.67</v>
    <v>42</v>
    <v>41.57</v>
    <v>41.47</v>
    <v>41.88</v>
    <v>41.96</v>
    <v>42.13</v>
    <v>42.13</v>
    <v>41.91</v>
    <v>42.08</v>
    <v>41.66</v>
    <v>41.53</v>
    <v>41.32</v>
    <v>41.13</v>
    <v>40.68</v>
    <v>40.909999999999997</v>
    <v>41.3</v>
    <v>41.9</v>
    <v>41.77</v>
    <v>42.04</v>
    <v>42.48</v>
    <v>42.35</v>
    <v>42.54</v>
    <v>42.5</v>
    <v>42.65</v>
    <v>42.74</v>
    <v>41.79</v>
    <v>40.65</v>
    <v>40.880000000000003</v>
    <v>40.9</v>
    <v>40.83</v>
    <v>40.94</v>
    <v>40.93</v>
    <v>40.729999999999997</v>
    <v>41.27</v>
    <v>41.24</v>
    <v>41.7</v>
    <v>41.37</v>
    <v>40.83</v>
    <v>40.950000000000003</v>
    <v>40.68</v>
    <v>40.83</v>
    <v>40.51</v>
    <v>40.369999999999997</v>
    <v>40.9</v>
    <v>40.96</v>
    <v>41.29</v>
    <v>41.47</v>
    <v>41.67</v>
    <v>41.09</v>
    <v>40.99</v>
    <v>41.07</v>
    <v>41</v>
    <v>40.99</v>
    <v>40.74</v>
    <v>40.5</v>
    <v>40.58</v>
    <v>40.799999999999997</v>
    <v>40.75</v>
    <v>40.909999999999997</v>
    <v>40.549999999999997</v>
    <v>40.729999999999997</v>
    <v>40.479999999999997</v>
    <v>40.33</v>
  </a>
  <a r="1" c="22">
    <v>40.51</v>
    <v>40.369999999999997</v>
    <v>40.9</v>
    <v>40.96</v>
    <v>41.29</v>
    <v>41.47</v>
    <v>41.67</v>
    <v>41.09</v>
    <v>40.99</v>
    <v>41.07</v>
    <v>41</v>
    <v>40.99</v>
    <v>40.74</v>
    <v>40.5</v>
    <v>40.58</v>
    <v>40.799999999999997</v>
    <v>40.75</v>
    <v>40.909999999999997</v>
    <v>40.549999999999997</v>
    <v>40.729999999999997</v>
    <v>40.479999999999997</v>
    <v>40.33</v>
  </a>
  <a r="1" c="254">
    <v>149.62</v>
    <v>147.86000000000001</v>
    <v>143.03</v>
    <v>144.31</v>
    <v>146.32</v>
    <v>146.51</v>
    <v>147.86000000000001</v>
    <v>148.44999999999999</v>
    <v>147.62</v>
    <v>145.71</v>
    <v>145.35</v>
    <v>144.86000000000001</v>
    <v>146.19999999999999</v>
    <v>144.97</v>
    <v>144.84</v>
    <v>146</v>
    <v>145.08000000000001</v>
    <v>146.13</v>
    <v>148.08000000000001</v>
    <v>148.88999999999999</v>
    <v>150.35</v>
    <v>151.62</v>
    <v>156.5</v>
    <v>155.58000000000001</v>
    <v>158.5</v>
    <v>156.72</v>
    <v>155.02000000000001</v>
    <v>154.93</v>
    <v>153.96</v>
    <v>157.22</v>
    <v>156.58000000000001</v>
    <v>156.79</v>
    <v>155.83000000000001</v>
    <v>157.32</v>
    <v>157.03</v>
    <v>156.44999999999999</v>
    <v>157.18</v>
    <v>157.47999999999999</v>
    <v>156.41</v>
    <v>155.05000000000001</v>
    <v>153.55000000000001</v>
    <v>154.74</v>
    <v>154.37</v>
    <v>152.91999999999999</v>
    <v>149.35</v>
    <v>149.59</v>
    <v>150.44999999999999</v>
    <v>151.13999999999999</v>
    <v>152.30000000000001</v>
    <v>154.79</v>
    <v>153.05000000000001</v>
    <v>149.35</v>
    <v>152.52000000000001</v>
    <v>149.43</v>
    <v>149.74</v>
    <v>148.12</v>
    <v>148.33000000000001</v>
    <v>149.33000000000001</v>
    <v>148.93</v>
    <v>151.24</v>
    <v>153.43</v>
    <v>152.72999999999999</v>
    <v>156.38</v>
    <v>155.13</v>
    <v>154.74</v>
    <v>158.12</v>
    <v>159.5</v>
    <v>157.13</v>
    <v>156.37</v>
    <v>153.22999999999999</v>
    <v>153.1</v>
    <v>154.21</v>
    <v>154.78</v>
    <v>147.78</v>
    <v>135.31</v>
    <v>135.80000000000001</v>
    <v>137.4</v>
    <v>149.83000000000001</v>
    <v>147.08000000000001</v>
    <v>149.11000000000001</v>
    <v>150.87</v>
    <v>150.31</v>
    <v>149.66</v>
    <v>149.55000000000001</v>
    <v>146.46</v>
    <v>146.16</v>
    <v>150.24</v>
    <v>152.86000000000001</v>
    <v>154.72999999999999</v>
    <v>155.72</v>
    <v>156.43</v>
    <v>156.91</v>
    <v>158.55000000000001</v>
    <v>161.36000000000001</v>
    <v>161.25</v>
    <v>160.13</v>
    <v>160.31</v>
    <v>163.44</v>
    <v>163.33000000000001</v>
    <v>165.64</v>
    <v>166.94</v>
    <v>167.12</v>
    <v>170.67</v>
    <v>171.94</v>
    <v>173.3</v>
    <v>173.41</v>
    <v>170.79</v>
    <v>170.2</v>
    <v>171.05</v>
    <v>175.28</v>
    <v>175.5</v>
    <v>176.31</v>
    <v>177.24</v>
    <v>178.24</v>
    <v>179.35</v>
    <v>180.14</v>
    <v>180.24</v>
    <v>181.96</v>
    <v>182.64</v>
    <v>179.13</v>
    <v>180.69</v>
    <v>179.47</v>
    <v>180.22</v>
    <v>179.16</v>
    <v>179.98</v>
    <v>178.78</v>
    <v>180.44</v>
    <v>183.01</v>
    <v>181.75</v>
    <v>182.04</v>
    <v>184.5</v>
    <v>187.55</v>
    <v>188.64</v>
    <v>185.01</v>
    <v>184.73</v>
    <v>186.86</v>
    <v>188.07</v>
    <v>186.76</v>
    <v>188.91</v>
    <v>188.65</v>
    <v>189.78</v>
    <v>193.64</v>
    <v>193.22</v>
    <v>194.43</v>
    <v>195.86</v>
    <v>196.11</v>
    <v>194.65</v>
    <v>192.18</v>
    <v>196.89</v>
    <v>196.84</v>
    <v>198.27</v>
    <v>198.05</v>
    <v>197.23</v>
    <v>198.64</v>
    <v>196.6</v>
    <v>195.78</v>
    <v>197.91</v>
    <v>197.54</v>
    <v>197.41</v>
    <v>196.96</v>
    <v>196.45</v>
    <v>196.26</v>
    <v>198.24</v>
    <v>196.81</v>
    <v>195.99</v>
    <v>195.08</v>
    <v>195.93</v>
    <v>193.24</v>
    <v>194.31</v>
    <v>194.96</v>
    <v>195.81</v>
    <v>195.36</v>
    <v>199.98</v>
    <v>199.24</v>
    <v>200.16</v>
    <v>198.42</v>
    <v>198.5</v>
    <v>196.94</v>
    <v>198.52</v>
    <v>198.13</v>
    <v>197.65</v>
    <v>196.23</v>
    <v>198.9</v>
    <v>200.07</v>
    <v>199.42</v>
    <v>201.82</v>
    <v>201.89</v>
    <v>200.52</v>
    <v>202.97</v>
    <v>203.4</v>
    <v>204.29</v>
    <v>206.16</v>
    <v>203.67</v>
    <v>203.11</v>
    <v>205.7</v>
    <v>205.44</v>
    <v>209.26</v>
    <v>209.25</v>
    <v>209.38</v>
    <v>209.55</v>
    <v>212.55</v>
    <v>212.96</v>
    <v>215.16</v>
    <v>211.24</v>
    <v>206.04</v>
    <v>209.12</v>
    <v>210.75</v>
    <v>207.68</v>
    <v>206.25</v>
    <v>205.93</v>
    <v>209.61</v>
    <v>213.36</v>
    <v>210.54</v>
    <v>215.72</v>
    <v>216.86</v>
    <v>218.9</v>
    <v>217.54</v>
    <v>217.45</v>
    <v>215.31</v>
    <v>215.79</v>
    <v>214.98</v>
    <v>211.76</v>
    <v>209.47</v>
    <v>207.57</v>
    <v>209.04</v>
    <v>210.97</v>
    <v>210.51</v>
    <v>209.64</v>
    <v>205.04</v>
    <v>205.94</v>
    <v>203.81</v>
    <v>202.76</v>
    <v>203.13</v>
    <v>198.77</v>
    <v>198.23</v>
    <v>200.69</v>
    <v>202.4</v>
    <v>203.7</v>
    <v>205.1</v>
    <v>199.24</v>
    <v>201.31</v>
    <v>201.62</v>
    <v>204.67</v>
    <v>202.41</v>
    <v>204.35</v>
    <v>202.63</v>
    <v>204.44</v>
    <v>208.27</v>
    <v>209.41</v>
    <v>209.64</v>
    <v>207.95</v>
    <v>204.8</v>
    <v>208.25</v>
    <v>213.91</v>
  </a>
  <a r="1" c="22">
    <v>203.13</v>
    <v>198.77</v>
    <v>198.23</v>
    <v>200.69</v>
    <v>202.4</v>
    <v>203.7</v>
    <v>205.1</v>
    <v>199.24</v>
    <v>201.31</v>
    <v>201.62</v>
    <v>204.67</v>
    <v>202.41</v>
    <v>204.35</v>
    <v>202.63</v>
    <v>204.44</v>
    <v>208.27</v>
    <v>209.41</v>
    <v>209.64</v>
    <v>207.95</v>
    <v>204.8</v>
    <v>208.25</v>
    <v>213.91</v>
  </a>
  <a r="1" c="254">
    <v>41.8</v>
    <v>41</v>
    <v>39.85</v>
    <v>39.64</v>
    <v>39.93</v>
    <v>40.15</v>
    <v>40.46</v>
    <v>40.42</v>
    <v>40.22</v>
    <v>40.090000000000003</v>
    <v>40.299999999999997</v>
    <v>40.35</v>
    <v>40.590000000000003</v>
    <v>40.82</v>
    <v>40.58</v>
    <v>40.799999999999997</v>
    <v>40.020000000000003</v>
    <v>39.840000000000003</v>
    <v>40.07</v>
    <v>40.5</v>
    <v>40.409999999999997</v>
    <v>40.549999999999997</v>
    <v>41.23</v>
    <v>41.06</v>
    <v>41.45</v>
    <v>41.65</v>
    <v>41.31</v>
    <v>41.36</v>
    <v>41.49</v>
    <v>41.78</v>
    <v>41.22</v>
    <v>40.58</v>
    <v>41.32</v>
    <v>41.74</v>
    <v>41.8</v>
    <v>41.65</v>
    <v>42.02</v>
    <v>42.07</v>
    <v>41.96</v>
    <v>42.52</v>
    <v>42.17</v>
    <v>42.44</v>
    <v>42.23</v>
    <v>42.22</v>
    <v>41.55</v>
    <v>41.38</v>
    <v>41.35</v>
    <v>41.43</v>
    <v>40.799999999999997</v>
    <v>41.23</v>
    <v>40.450000000000003</v>
    <v>39.770000000000003</v>
    <v>40.729999999999997</v>
    <v>40.369999999999997</v>
    <v>40.47</v>
    <v>39.68</v>
    <v>39.479999999999997</v>
    <v>39.840000000000003</v>
    <v>39.299999999999997</v>
    <v>40.11</v>
    <v>40.69</v>
    <v>40.520000000000003</v>
    <v>41.04</v>
    <v>41.03</v>
    <v>40.880000000000003</v>
    <v>41.51</v>
    <v>41.71</v>
    <v>41.38</v>
    <v>41.25</v>
    <v>40.57</v>
    <v>40.75</v>
    <v>41.13</v>
    <v>41.59</v>
    <v>40.619999999999997</v>
    <v>38.409999999999997</v>
    <v>37.79</v>
    <v>37.17</v>
    <v>39.54</v>
    <v>38.74</v>
    <v>39.869999999999997</v>
    <v>40.44</v>
    <v>40.53</v>
    <v>40.83</v>
    <v>41.1</v>
    <v>40.770000000000003</v>
    <v>41.39</v>
    <v>41.52</v>
    <v>42.06</v>
    <v>42.04</v>
    <v>42.37</v>
    <v>42.45</v>
    <v>42.45</v>
    <v>42.31</v>
    <v>42.84</v>
    <v>42.66</v>
    <v>42.77</v>
    <v>42.89</v>
    <v>42.81</v>
    <v>42.85</v>
    <v>43.08</v>
    <v>43.4</v>
    <v>43.44</v>
    <v>43.83</v>
    <v>43.89</v>
    <v>44.05</v>
    <v>44.19</v>
    <v>43.94</v>
    <v>44</v>
    <v>44.44</v>
    <v>44.82</v>
    <v>44.76</v>
    <v>44.78</v>
    <v>44.96</v>
    <v>45.39</v>
    <v>45.34</v>
    <v>45.25</v>
    <v>45.32</v>
    <v>45.39</v>
    <v>45.3</v>
    <v>45.43</v>
    <v>45.66</v>
    <v>46</v>
    <v>45.88</v>
    <v>45.76</v>
    <v>45.45</v>
    <v>45.32</v>
    <v>45.1</v>
    <v>45.33</v>
    <v>45.62</v>
    <v>45.32</v>
    <v>45.92</v>
    <v>45.58</v>
    <v>46.2</v>
    <v>46.19</v>
    <v>46.33</v>
    <v>46.67</v>
    <v>46.18</v>
    <v>46</v>
    <v>46.13</v>
    <v>46.41</v>
    <v>46.13</v>
    <v>46.44</v>
    <v>46.04</v>
    <v>46.47</v>
    <v>46.71</v>
    <v>46.59</v>
    <v>46.71</v>
    <v>47.09</v>
    <v>47.17</v>
    <v>46.97</v>
    <v>47.01</v>
    <v>46.72</v>
    <v>46.79</v>
    <v>46.38</v>
    <v>46.18</v>
    <v>45.86</v>
    <v>46.58</v>
    <v>46.93</v>
    <v>47.73</v>
    <v>47.34</v>
    <v>47.34</v>
    <v>47.28</v>
    <v>47.51</v>
    <v>47.64</v>
    <v>47.33</v>
    <v>47.27</v>
    <v>47.35</v>
    <v>47</v>
    <v>47.11</v>
    <v>47.28</v>
    <v>48.03</v>
    <v>47.55</v>
    <v>48.02</v>
    <v>48.37</v>
    <v>48.46</v>
    <v>48.79</v>
    <v>48.59</v>
    <v>48.87</v>
    <v>49.12</v>
    <v>49.17</v>
    <v>49.3</v>
    <v>49.27</v>
    <v>49.42</v>
    <v>49.92</v>
    <v>49.6</v>
    <v>50.13</v>
    <v>50.08</v>
    <v>49.98</v>
    <v>50.18</v>
    <v>50.73</v>
    <v>50.88</v>
    <v>50.53</v>
    <v>50.24</v>
    <v>50.05</v>
    <v>50.02</v>
    <v>50.46</v>
    <v>50.55</v>
    <v>50.57</v>
    <v>50.59</v>
    <v>51.24</v>
    <v>51.3</v>
    <v>50.94</v>
    <v>51.14</v>
    <v>50.53</v>
    <v>49.86</v>
    <v>50.59</v>
    <v>50.53</v>
    <v>50.96</v>
    <v>50.62</v>
    <v>50.28</v>
    <v>50.72</v>
    <v>49.99</v>
    <v>50.2</v>
    <v>50.58</v>
    <v>50.84</v>
    <v>50.79</v>
    <v>51.41</v>
    <v>50.75</v>
    <v>50.67</v>
    <v>50.74</v>
    <v>50.67</v>
    <v>49.72</v>
    <v>50.26</v>
    <v>49.75</v>
    <v>50.1</v>
    <v>50.89</v>
    <v>51.04</v>
    <v>51.75</v>
    <v>50.64</v>
    <v>50.89</v>
    <v>50.34</v>
    <v>50.53</v>
    <v>50.62</v>
    <v>49.91</v>
    <v>50.43</v>
    <v>51.05</v>
    <v>51.56</v>
    <v>52.25</v>
    <v>52.7</v>
    <v>52.18</v>
    <v>52.14</v>
    <v>52.47</v>
    <v>53.07</v>
    <v>53.29</v>
    <v>52.95</v>
    <v>53.07</v>
    <v>53.72</v>
    <v>54.08</v>
    <v>53.89</v>
    <v>53.8</v>
    <v>52.98</v>
    <v>52.81</v>
    <v>53.22</v>
    <v>53.68</v>
  </a>
  <a r="1" c="22">
    <v>50.62</v>
    <v>49.91</v>
    <v>50.43</v>
    <v>51.05</v>
    <v>51.56</v>
    <v>52.25</v>
    <v>52.7</v>
    <v>52.18</v>
    <v>52.14</v>
    <v>52.47</v>
    <v>53.07</v>
    <v>53.29</v>
    <v>52.95</v>
    <v>53.07</v>
    <v>53.72</v>
    <v>54.08</v>
    <v>53.89</v>
    <v>53.8</v>
    <v>52.98</v>
    <v>52.81</v>
    <v>53.22</v>
    <v>53.68</v>
  </a>
  <a r="1" c="254">
    <v>280.35000000000002</v>
    <v>276.45</v>
    <v>266.48</v>
    <v>263.91000000000003</v>
    <v>264.85000000000002</v>
    <v>260.95999999999998</v>
    <v>263.64</v>
    <v>265.02999999999997</v>
    <v>264.94</v>
    <v>267.56</v>
    <v>271.23</v>
    <v>276.18</v>
    <v>279.31</v>
    <v>279.74</v>
    <v>283.85000000000002</v>
    <v>279.8</v>
    <v>278.95</v>
    <v>284.70999999999998</v>
    <v>287.23</v>
    <v>293.64999999999998</v>
    <v>294</v>
    <v>299.51</v>
    <v>299.62</v>
    <v>290.99</v>
    <v>290.99</v>
    <v>290.18</v>
    <v>284.95999999999998</v>
    <v>279.98</v>
    <v>278.27</v>
    <v>279.36</v>
    <v>276.95999999999998</v>
    <v>275.94</v>
    <v>283.08</v>
    <v>285.29000000000002</v>
    <v>276.95999999999998</v>
    <v>275.44</v>
    <v>283.39999999999998</v>
    <v>285.13</v>
    <v>279.76</v>
    <v>282.05</v>
    <v>280.02</v>
    <v>284.68</v>
    <v>280.37</v>
    <v>281.10000000000002</v>
    <v>272.83</v>
    <v>271.51</v>
    <v>267.01</v>
    <v>263.83999999999997</v>
    <v>264.19</v>
    <v>266.38</v>
    <v>252.35</v>
    <v>247.98</v>
    <v>247.88</v>
    <v>247.62</v>
    <v>255.91</v>
    <v>249.42</v>
    <v>248.61</v>
    <v>249.48</v>
    <v>246.39</v>
    <v>254.12</v>
    <v>257.75</v>
    <v>257.93</v>
    <v>260.88</v>
    <v>261.74</v>
    <v>259</v>
    <v>263.7</v>
    <v>265.86</v>
    <v>266.8</v>
    <v>264.81</v>
    <v>261.36</v>
    <v>262.12</v>
    <v>266.11</v>
    <v>266.32</v>
    <v>236.83</v>
    <v>207.77</v>
    <v>206.09</v>
    <v>196.72</v>
    <v>222.17</v>
    <v>202.68</v>
    <v>210.29</v>
    <v>210.6</v>
    <v>210.28</v>
    <v>211.31</v>
    <v>218.84</v>
    <v>212.98</v>
    <v>213.62</v>
    <v>209.72</v>
    <v>215.95</v>
    <v>216.28</v>
    <v>214.76</v>
    <v>215.43</v>
    <v>209.06</v>
    <v>214.78</v>
    <v>220.36</v>
    <v>215.06</v>
    <v>215.04</v>
    <v>213.19</v>
    <v>219.35</v>
    <v>221.87</v>
    <v>230.61</v>
    <v>231.5</v>
    <v>231.86</v>
    <v>229.05</v>
    <v>228.26</v>
    <v>224.9</v>
    <v>222.69</v>
    <v>216.23</v>
    <v>216.08</v>
    <v>216.26</v>
    <v>219.99</v>
    <v>218.77</v>
    <v>221.26</v>
    <v>216.64</v>
    <v>220.31</v>
    <v>227.36</v>
    <v>224.38</v>
    <v>224.36</v>
    <v>229.88</v>
    <v>233.5</v>
    <v>241.42</v>
    <v>244.47</v>
    <v>243.7</v>
    <v>247.39</v>
    <v>245.73</v>
    <v>247.54</v>
    <v>244.69</v>
    <v>242.87</v>
    <v>231.97</v>
    <v>230.81</v>
    <v>227.65</v>
    <v>231.62</v>
    <v>231.17</v>
    <v>230.29</v>
    <v>236.94</v>
    <v>242.97</v>
    <v>241.58</v>
    <v>238.39</v>
    <v>249.83</v>
    <v>247.93</v>
    <v>249.99</v>
    <v>252.23</v>
    <v>244.61</v>
    <v>236.82</v>
    <v>233</v>
    <v>236.03</v>
    <v>233.38</v>
    <v>232.86</v>
    <v>238.1</v>
    <v>250.92</v>
    <v>253.04</v>
    <v>252.18</v>
    <v>256.64</v>
    <v>255.61</v>
    <v>248.34</v>
    <v>243.72</v>
    <v>235.02</v>
    <v>235.81</v>
    <v>241.99</v>
    <v>238.95</v>
    <v>235.79</v>
    <v>237.51</v>
    <v>233.61</v>
    <v>237.22</v>
    <v>240.36</v>
    <v>239.63</v>
    <v>236.66</v>
    <v>239.02</v>
    <v>237.65</v>
    <v>236.51</v>
    <v>240.14</v>
    <v>252.19</v>
    <v>251.9</v>
    <v>249.13</v>
    <v>253.51</v>
    <v>256.11</v>
    <v>256.85000000000002</v>
    <v>254.73</v>
    <v>249.83</v>
    <v>257.83999999999997</v>
    <v>255.13</v>
    <v>255.28</v>
    <v>254.01</v>
    <v>260.07</v>
    <v>260.17</v>
    <v>257.62</v>
    <v>255.03</v>
    <v>260.20999999999998</v>
    <v>256.41000000000003</v>
    <v>258.37</v>
    <v>254.52</v>
    <v>254.82</v>
    <v>261.77999999999997</v>
    <v>263.61</v>
    <v>263.25</v>
    <v>268.01</v>
    <v>264.60000000000002</v>
    <v>259.91000000000003</v>
    <v>264.77999999999997</v>
    <v>260.2</v>
    <v>262.73</v>
    <v>265.31</v>
    <v>264</v>
    <v>262.89999999999998</v>
    <v>257.08</v>
    <v>242.45</v>
    <v>249.56</v>
    <v>248.81</v>
    <v>251.79</v>
    <v>249.64</v>
    <v>251.56</v>
    <v>256.83999999999997</v>
    <v>259.68</v>
    <v>265.36</v>
    <v>279.07</v>
    <v>276.95</v>
    <v>277.22000000000003</v>
    <v>277.95999999999998</v>
    <v>286.29000000000002</v>
    <v>286.56</v>
    <v>283.69</v>
    <v>290</v>
    <v>281.58</v>
    <v>283.49</v>
    <v>283.52999999999997</v>
    <v>285.39</v>
    <v>289.68</v>
    <v>294.48</v>
    <v>284.3</v>
    <v>282.52999999999997</v>
    <v>287.3</v>
    <v>281.52999999999997</v>
    <v>283.25</v>
    <v>282.57</v>
    <v>274.41000000000003</v>
    <v>281.05</v>
    <v>282.61</v>
    <v>285.06</v>
    <v>285.85000000000002</v>
    <v>289.61</v>
    <v>293.01</v>
    <v>292.14</v>
    <v>304.93</v>
    <v>307.33999999999997</v>
    <v>306.19</v>
    <v>302.01</v>
    <v>304.70999999999998</v>
    <v>308.13</v>
    <v>308.66000000000003</v>
    <v>299.61</v>
    <v>296.70999999999998</v>
    <v>283.76</v>
    <v>286.82</v>
    <v>282.57</v>
    <v>285.39</v>
  </a>
  <a r="1" c="22">
    <v>282.57</v>
    <v>274.41000000000003</v>
    <v>281.05</v>
    <v>282.61</v>
    <v>285.06</v>
    <v>285.85000000000002</v>
    <v>289.61</v>
    <v>293.01</v>
    <v>292.14</v>
    <v>304.93</v>
    <v>307.33999999999997</v>
    <v>306.19</v>
    <v>302.01</v>
    <v>304.70999999999998</v>
    <v>308.13</v>
    <v>308.66000000000003</v>
    <v>299.61</v>
    <v>296.70999999999998</v>
    <v>283.76</v>
    <v>286.82</v>
    <v>282.57</v>
    <v>285.39</v>
  </a>
  <a r="1" c="22">
    <v>92.57</v>
    <v>90.57</v>
    <v>91.31</v>
    <v>91.74</v>
    <v>91.08</v>
    <v>92.26</v>
    <v>93.87</v>
    <v>94.864999999999995</v>
    <v>93.52</v>
    <v>95.69</v>
    <v>95.92</v>
    <v>96.08</v>
    <v>94.78</v>
    <v>94.82</v>
    <v>96.01</v>
    <v>94.63</v>
    <v>93.57</v>
    <v>92.45</v>
    <v>88.18</v>
    <v>90.51</v>
    <v>88.27</v>
    <v>88.42</v>
  </a>
  <a r="1" c="254">
    <v>90.23</v>
    <v>88.94</v>
    <v>86.12</v>
    <v>85.22</v>
    <v>85.62</v>
    <v>86.48</v>
    <v>87.47</v>
    <v>87.31</v>
    <v>87.39</v>
    <v>88.35</v>
    <v>89.63</v>
    <v>91.15</v>
    <v>91.93</v>
    <v>91.57</v>
    <v>92.76</v>
    <v>93.39</v>
    <v>94.2</v>
    <v>96.2</v>
    <v>97.06</v>
    <v>98.66</v>
    <v>99.13</v>
    <v>99.12</v>
    <v>98.15</v>
    <v>97.16</v>
    <v>97.79</v>
    <v>96.46</v>
    <v>95.12</v>
    <v>94.37</v>
    <v>94.91</v>
    <v>94.62</v>
    <v>92.37</v>
    <v>92.66</v>
    <v>94.93</v>
    <v>94.83</v>
    <v>93.03</v>
    <v>92.39</v>
    <v>95.16</v>
    <v>96.39</v>
    <v>93.32</v>
    <v>93.62</v>
    <v>94.3</v>
    <v>95.48</v>
    <v>96.9</v>
    <v>97.51</v>
    <v>94.44</v>
    <v>94.31</v>
    <v>92.56</v>
    <v>91.86</v>
    <v>91.78</v>
    <v>92.91</v>
    <v>88.69</v>
    <v>88.02</v>
    <v>86.68</v>
    <v>86.02</v>
    <v>87.64</v>
    <v>88.11</v>
    <v>88.63</v>
    <v>89.63</v>
    <v>88.3</v>
    <v>91.04</v>
    <v>92.52</v>
    <v>92.52</v>
    <v>94.23</v>
    <v>94.43</v>
    <v>93.29</v>
    <v>94.51</v>
    <v>94.59</v>
    <v>95.06</v>
    <v>93.97</v>
    <v>93.24</v>
    <v>94.58</v>
    <v>95.18</v>
    <v>95.92</v>
    <v>86.15</v>
    <v>77.599999999999994</v>
    <v>77.53</v>
    <v>74.87</v>
    <v>82.58</v>
    <v>76.28</v>
    <v>78.53</v>
    <v>78.56</v>
    <v>78.13</v>
    <v>79.19</v>
    <v>81.23</v>
    <v>79.040000000000006</v>
    <v>81.2</v>
    <v>81.680000000000007</v>
    <v>82.77</v>
    <v>83.02</v>
    <v>84.01</v>
    <v>83.42</v>
    <v>81.19</v>
    <v>82.32</v>
    <v>83.78</v>
    <v>82.45</v>
    <v>82.17</v>
    <v>82.19</v>
    <v>84.01</v>
    <v>85.1</v>
    <v>88.1</v>
    <v>90.65</v>
    <v>90.06</v>
    <v>89.93</v>
    <v>89.75</v>
    <v>88.71</v>
    <v>88.22</v>
    <v>86.11</v>
    <v>85.72</v>
    <v>85.64</v>
    <v>86.51</v>
    <v>85.27</v>
    <v>85.77</v>
    <v>84.77</v>
    <v>85.97</v>
    <v>87.44</v>
    <v>85.41</v>
    <v>85.18</v>
    <v>87.04</v>
    <v>87.46</v>
    <v>88.98</v>
    <v>90.49</v>
    <v>91.17</v>
    <v>93.36</v>
    <v>92.51</v>
    <v>93.48</v>
    <v>92.69</v>
    <v>93.39</v>
    <v>90.51</v>
    <v>89.72</v>
    <v>88.72</v>
    <v>89.79</v>
    <v>89.31</v>
    <v>88.6</v>
    <v>89.58</v>
    <v>91.23</v>
    <v>91.14</v>
    <v>90.1</v>
    <v>92.67</v>
    <v>91.92</v>
    <v>92.85</v>
    <v>93.01</v>
    <v>92.14</v>
    <v>90.49</v>
    <v>89.27</v>
    <v>90.48</v>
    <v>90.52</v>
    <v>88.68</v>
    <v>89.54</v>
    <v>90.24</v>
    <v>90.17</v>
    <v>89.71</v>
    <v>91.6</v>
    <v>92.43</v>
    <v>91.11</v>
    <v>90.29</v>
    <v>87.51</v>
    <v>87.9</v>
    <v>88.43</v>
    <v>87.47</v>
    <v>86.63</v>
    <v>86.99</v>
    <v>86.38</v>
    <v>87.16</v>
    <v>88.31</v>
    <v>88.5</v>
    <v>88.28</v>
    <v>87.42</v>
    <v>87.34</v>
    <v>88.2</v>
    <v>88.35</v>
    <v>90.89</v>
    <v>91.63</v>
    <v>91.47</v>
    <v>92.55</v>
    <v>93.5</v>
    <v>93.75</v>
    <v>94.5</v>
    <v>91.71</v>
    <v>92.58</v>
    <v>90.97</v>
    <v>90.26</v>
    <v>90.66</v>
    <v>92.2</v>
    <v>92.02</v>
    <v>91.03</v>
    <v>90.49</v>
    <v>92.07</v>
    <v>92.01</v>
    <v>91.56</v>
    <v>90.05</v>
    <v>90.41</v>
    <v>92.19</v>
    <v>93.86</v>
    <v>94.72</v>
    <v>95.74</v>
    <v>93.49</v>
    <v>92.6</v>
    <v>93.5</v>
    <v>92.1</v>
    <v>92.54</v>
    <v>93.26</v>
    <v>93.12</v>
    <v>92.69</v>
    <v>91.17</v>
    <v>87.09</v>
    <v>88.73</v>
    <v>88.2</v>
    <v>88.36</v>
    <v>86.77</v>
    <v>87.06</v>
    <v>88.26</v>
    <v>87.58</v>
    <v>88.18</v>
    <v>90.87</v>
    <v>89.87</v>
    <v>90.04</v>
    <v>88.22</v>
    <v>88.9</v>
    <v>88.64</v>
    <v>89.34</v>
    <v>90.14</v>
    <v>89.03</v>
    <v>88.71</v>
    <v>89.87</v>
    <v>91.02</v>
    <v>92.23</v>
    <v>94.24</v>
    <v>93.07</v>
    <v>92.9</v>
    <v>94.6</v>
    <v>92.77</v>
    <v>93.88</v>
    <v>92.57</v>
    <v>90.57</v>
    <v>91.31</v>
    <v>91.74</v>
    <v>91.08</v>
    <v>92.26</v>
    <v>93.87</v>
    <v>94.864999999999995</v>
    <v>93.52</v>
    <v>95.69</v>
    <v>95.92</v>
    <v>96.08</v>
    <v>94.78</v>
    <v>94.82</v>
    <v>96.01</v>
    <v>94.63</v>
    <v>93.57</v>
    <v>92.45</v>
    <v>88.18</v>
    <v>90.51</v>
    <v>88.27</v>
    <v>88.42</v>
  </a>
  <a r="1" c="22">
    <v>48.51</v>
    <v>48.94</v>
    <v>49.4</v>
    <v>48.84</v>
    <v>49.59</v>
    <v>50.1</v>
    <v>50.36</v>
    <v>50.29</v>
    <v>50.08</v>
    <v>50.18</v>
    <v>49.9</v>
    <v>49.85</v>
    <v>49.42</v>
    <v>49.56</v>
    <v>49.58</v>
    <v>50</v>
    <v>50.38</v>
    <v>50.5</v>
    <v>50.28</v>
    <v>50.5</v>
    <v>50.15</v>
    <v>49.61</v>
  </a>
  <a r="1" c="254">
    <v>51.51</v>
    <v>51.37</v>
    <v>50.54</v>
    <v>50.23</v>
    <v>49.97</v>
    <v>49.71</v>
    <v>50.11</v>
    <v>50.22</v>
    <v>49.93</v>
    <v>49.28</v>
    <v>49.43</v>
    <v>49.25</v>
    <v>49.31</v>
    <v>48.84</v>
    <v>48.68</v>
    <v>48.89</v>
    <v>48.31</v>
    <v>48.33</v>
    <v>48.39</v>
    <v>48.3</v>
    <v>48.63</v>
    <v>48.96</v>
    <v>49.25</v>
    <v>49.06</v>
    <v>49.22</v>
    <v>49.43</v>
    <v>50.73</v>
    <v>50.03</v>
    <v>50.21</v>
    <v>50.72</v>
    <v>50.27</v>
    <v>50.52</v>
    <v>50.35</v>
    <v>50.73</v>
    <v>51.01</v>
    <v>50.86</v>
    <v>51.2</v>
    <v>51.64</v>
    <v>51.71</v>
    <v>52.3</v>
    <v>51.71</v>
    <v>51.73</v>
    <v>52.15</v>
    <v>51.63</v>
    <v>51.97</v>
    <v>52.08</v>
    <v>52.85</v>
    <v>51.89</v>
    <v>51.87</v>
    <v>52.55</v>
    <v>52.71</v>
    <v>51.82</v>
    <v>52</v>
    <v>51.94</v>
    <v>51.94</v>
    <v>51.57</v>
    <v>50.9</v>
    <v>49.97</v>
    <v>49.55</v>
    <v>49.77</v>
    <v>50.54</v>
    <v>49.9</v>
    <v>50</v>
    <v>49.76</v>
    <v>49.47</v>
    <v>49.84</v>
    <v>49.39</v>
    <v>50.09</v>
    <v>50.657499999999999</v>
    <v>50.38</v>
    <v>51.13</v>
    <v>51.34</v>
    <v>51.31</v>
    <v>51.45</v>
    <v>49.27</v>
    <v>48.67</v>
    <v>47.94</v>
    <v>50.01</v>
    <v>49.99</v>
    <v>50.63</v>
    <v>51.43</v>
    <v>51.02</v>
    <v>50.46</v>
    <v>51.53</v>
    <v>50.92</v>
    <v>51.73</v>
    <v>51.6</v>
    <v>51.07</v>
    <v>50.94</v>
    <v>50.85</v>
    <v>51.29</v>
    <v>51.57</v>
    <v>51.22</v>
    <v>51.57</v>
    <v>51.59</v>
    <v>51.41</v>
    <v>51.44</v>
    <v>51.26</v>
    <v>51.03</v>
    <v>51.16</v>
    <v>50.54</v>
    <v>50.35</v>
    <v>51.37</v>
    <v>51.96</v>
    <v>52.09</v>
    <v>52.24</v>
    <v>51.58</v>
    <v>51.37</v>
    <v>51.5</v>
    <v>52.05</v>
    <v>51.7</v>
    <v>51.93</v>
    <v>52.43</v>
    <v>52.5</v>
    <v>52.42</v>
    <v>52.11</v>
    <v>51.51</v>
    <v>51.7</v>
    <v>51.56</v>
    <v>51.68</v>
    <v>51.4</v>
    <v>51.65</v>
    <v>51.07</v>
    <v>51.23</v>
    <v>50.83</v>
    <v>50.77</v>
    <v>50.77</v>
    <v>51.45</v>
    <v>51.43</v>
    <v>50.75</v>
    <v>50.65</v>
    <v>50.95</v>
    <v>51.15</v>
    <v>51.71</v>
    <v>51.8</v>
    <v>51.87</v>
    <v>51.81</v>
    <v>51.33</v>
    <v>51.05</v>
    <v>51.16</v>
    <v>51.01</v>
    <v>51.1</v>
    <v>50.58</v>
    <v>50.72</v>
    <v>51.19</v>
    <v>51.06</v>
    <v>51.05</v>
    <v>51.45</v>
    <v>51.53</v>
    <v>51.28</v>
    <v>51.37</v>
    <v>50.93</v>
    <v>51.24</v>
    <v>50.85</v>
    <v>50.44</v>
    <v>50.64</v>
    <v>50.88</v>
    <v>50.66</v>
    <v>51.49</v>
    <v>51.83</v>
    <v>51.98</v>
    <v>52.02</v>
    <v>52.2</v>
    <v>52.11</v>
    <v>51.62</v>
    <v>51.65</v>
    <v>51.71</v>
    <v>52.19</v>
    <v>52.57</v>
    <v>51.96</v>
    <v>51.94</v>
    <v>51.14</v>
    <v>50.87</v>
    <v>51.08</v>
    <v>50.79</v>
    <v>51.13</v>
    <v>51.1</v>
    <v>51.17</v>
    <v>51.25</v>
    <v>51.4</v>
    <v>51.28</v>
    <v>51.39</v>
    <v>50.84</v>
    <v>51.32</v>
    <v>51.19</v>
    <v>50.68</v>
    <v>50.84</v>
    <v>51.17</v>
    <v>50.75</v>
    <v>50.2</v>
    <v>49.74</v>
    <v>49.87</v>
    <v>49.91</v>
    <v>49.57</v>
    <v>49.61</v>
    <v>49.66</v>
    <v>49.84</v>
    <v>49.73</v>
    <v>49.59</v>
    <v>49.64</v>
    <v>49.27</v>
    <v>49.68</v>
    <v>49.46</v>
    <v>49.66</v>
    <v>49.66</v>
    <v>49.48</v>
    <v>50.37</v>
    <v>50.48</v>
    <v>50.1</v>
    <v>50.7</v>
    <v>50.68</v>
    <v>50.5</v>
    <v>50.77</v>
    <v>50.51</v>
    <v>50.35</v>
    <v>50.26</v>
    <v>49.88</v>
    <v>48.91</v>
    <v>48.74</v>
    <v>48.59</v>
    <v>48.4</v>
    <v>48.61</v>
    <v>48.55</v>
    <v>48.21</v>
    <v>48.75</v>
    <v>48.606999999999999</v>
    <v>49.16</v>
    <v>49.13</v>
    <v>49.14</v>
    <v>49.11</v>
    <v>48.76</v>
    <v>48.82</v>
    <v>48.51</v>
    <v>48.94</v>
    <v>49.4</v>
    <v>48.84</v>
    <v>49.59</v>
    <v>50.1</v>
    <v>50.36</v>
    <v>50.29</v>
    <v>50.08</v>
    <v>50.18</v>
    <v>49.9</v>
    <v>49.85</v>
    <v>49.42</v>
    <v>49.56</v>
    <v>49.58</v>
    <v>50</v>
    <v>50.38</v>
    <v>50.5</v>
    <v>50.28</v>
    <v>50.5</v>
    <v>50.15</v>
    <v>49.61</v>
  </a>
  <a r="1" c="22">
    <v>46.45</v>
    <v>45.78</v>
    <v>45.3</v>
    <v>46.63</v>
    <v>46.67</v>
    <v>48.4</v>
    <v>51.21</v>
    <v>52.52</v>
    <v>53.13</v>
    <v>53.07</v>
    <v>51.76</v>
    <v>52.95</v>
    <v>52.71</v>
    <v>55.17</v>
    <v>56.07</v>
    <v>57.62</v>
    <v>56.1</v>
    <v>58.11</v>
    <v>57.73</v>
    <v>60.26</v>
    <v>59.32</v>
    <v>60.93</v>
  </a>
  <a r="1" c="254">
    <v>27.8</v>
    <v>27.81</v>
    <v>26.85</v>
    <v>26.52</v>
    <v>26.92</v>
    <v>26.99</v>
    <v>27.02</v>
    <v>27.14</v>
    <v>26.76</v>
    <v>26.43</v>
    <v>26.33</v>
    <v>26.93</v>
    <v>26.98</v>
    <v>27.24</v>
    <v>27.33</v>
    <v>27.4</v>
    <v>27.61</v>
    <v>26.96</v>
    <v>27.2</v>
    <v>27.96</v>
    <v>28.04</v>
    <v>27.61</v>
    <v>28.04</v>
    <v>28.05</v>
    <v>27.77</v>
    <v>27.91</v>
    <v>27.46</v>
    <v>27.63</v>
    <v>28</v>
    <v>28.72</v>
    <v>28.51</v>
    <v>28.67</v>
    <v>29.22</v>
    <v>29.35</v>
    <v>29.38</v>
    <v>29.03</v>
    <v>29.2</v>
    <v>29</v>
    <v>29.34</v>
    <v>29.46</v>
    <v>29.31</v>
    <v>29.91</v>
    <v>29.81</v>
    <v>29.95</v>
    <v>29.59</v>
    <v>29.44</v>
    <v>28.83</v>
    <v>28.94</v>
    <v>28.4</v>
    <v>28.31</v>
    <v>28.75</v>
    <v>29</v>
    <v>29.77</v>
    <v>29.69</v>
    <v>29.59</v>
    <v>29.11</v>
    <v>29.96</v>
    <v>30.22</v>
    <v>30.74</v>
    <v>30.71</v>
    <v>30.81</v>
    <v>30.85</v>
    <v>30.75</v>
    <v>30.5</v>
    <v>30.02</v>
    <v>29.96</v>
    <v>30.58</v>
    <v>30.53</v>
    <v>31.32</v>
    <v>31</v>
    <v>30.99</v>
    <v>30.63</v>
    <v>30.76</v>
    <v>28.89</v>
    <v>27.08</v>
    <v>27.14</v>
    <v>27.14</v>
    <v>28.06</v>
    <v>28.28</v>
    <v>29.19</v>
    <v>29.38</v>
    <v>29.41</v>
    <v>29.76</v>
    <v>29.55</v>
    <v>29.79</v>
    <v>29.5</v>
    <v>30.56</v>
    <v>30.56</v>
    <v>30.05</v>
    <v>30.19</v>
    <v>29.83</v>
    <v>29.6</v>
    <v>29.39</v>
    <v>29.12</v>
    <v>29.48</v>
    <v>30.22</v>
    <v>29.49</v>
    <v>29.46</v>
    <v>29.8</v>
    <v>29.63</v>
    <v>29.93</v>
    <v>29.25</v>
    <v>29.61</v>
    <v>29.3</v>
    <v>29.42</v>
    <v>30.13</v>
    <v>30.51</v>
    <v>30.03</v>
    <v>30.45</v>
    <v>30.23</v>
    <v>29.98</v>
    <v>30.3</v>
    <v>30</v>
    <v>31.59</v>
    <v>31.44</v>
    <v>31.34</v>
    <v>32.450000000000003</v>
    <v>32.69</v>
    <v>33.39</v>
    <v>33.229999999999997</v>
    <v>32.950000000000003</v>
    <v>33.06</v>
    <v>32.97</v>
    <v>33.03</v>
    <v>33.74</v>
    <v>33.270000000000003</v>
    <v>32.72</v>
    <v>32.96</v>
    <v>32.61</v>
    <v>33.01</v>
    <v>33.340000000000003</v>
    <v>32.619999999999997</v>
    <v>32.81</v>
    <v>32.729999999999997</v>
    <v>33.24</v>
    <v>33.51</v>
    <v>33.43</v>
    <v>33.29</v>
    <v>33</v>
    <v>33.75</v>
    <v>35.03</v>
    <v>34.630000000000003</v>
    <v>34.26</v>
    <v>34.409999999999997</v>
    <v>34.65</v>
    <v>34.61</v>
    <v>35.35</v>
    <v>35.72</v>
    <v>35.69</v>
    <v>35.49</v>
    <v>34.659999999999997</v>
    <v>34.64</v>
    <v>34.659999999999997</v>
    <v>33.51</v>
    <v>33.32</v>
    <v>33.590000000000003</v>
    <v>33.979999999999997</v>
    <v>34.35</v>
    <v>34.35</v>
    <v>34.76</v>
    <v>34.880000000000003</v>
    <v>34.18</v>
    <v>34.409999999999997</v>
    <v>35</v>
    <v>34.5</v>
    <v>34.5</v>
    <v>34.549999999999997</v>
    <v>33.869999999999997</v>
    <v>34.43</v>
    <v>34.61</v>
    <v>35.340000000000003</v>
    <v>35.020000000000003</v>
    <v>35.020000000000003</v>
    <v>34.99</v>
    <v>35.520000000000003</v>
    <v>36.19</v>
    <v>37.15</v>
    <v>37.340000000000003</v>
    <v>36.93</v>
    <v>37.21</v>
    <v>37.51</v>
    <v>37.18</v>
    <v>37.409999999999997</v>
    <v>37.79</v>
    <v>38.340000000000003</v>
    <v>38.76</v>
    <v>38.6</v>
    <v>37.79</v>
    <v>37.99</v>
    <v>39.04</v>
    <v>40.04</v>
    <v>39.96</v>
    <v>39.82</v>
    <v>41.03</v>
    <v>41.86</v>
    <v>42.5</v>
    <v>42.37</v>
    <v>42.91</v>
    <v>42.53</v>
    <v>43.52</v>
    <v>44.06</v>
    <v>43.39</v>
    <v>44.56</v>
    <v>44.71</v>
    <v>45.43</v>
    <v>47.26</v>
    <v>46.8</v>
    <v>48.33</v>
    <v>49.17</v>
    <v>46.99</v>
    <v>47.72</v>
    <v>43.79</v>
    <v>43.88</v>
    <v>44.18</v>
    <v>43.99</v>
    <v>42.4</v>
    <v>42.7</v>
    <v>43.23</v>
    <v>44.34</v>
    <v>44.01</v>
    <v>43.76</v>
    <v>42.74</v>
    <v>43.65</v>
    <v>43.55</v>
    <v>43.92</v>
    <v>45.79</v>
    <v>46.45</v>
    <v>48.32</v>
    <v>47.42</v>
    <v>45.96</v>
    <v>45.47</v>
    <v>46.1</v>
    <v>46.45</v>
    <v>45.78</v>
    <v>45.3</v>
    <v>46.63</v>
    <v>46.67</v>
    <v>48.4</v>
    <v>51.21</v>
    <v>52.52</v>
    <v>53.13</v>
    <v>53.07</v>
    <v>51.76</v>
    <v>52.95</v>
    <v>52.71</v>
    <v>55.17</v>
    <v>56.07</v>
    <v>57.62</v>
    <v>56.1</v>
    <v>58.11</v>
    <v>57.73</v>
    <v>60.26</v>
    <v>59.32</v>
    <v>60.93</v>
  </a>
  <a r="1" c="254">
    <v>144.94999999999999</v>
    <v>142.88</v>
    <v>136.33000000000001</v>
    <v>136.33000000000001</v>
    <v>138.58000000000001</v>
    <v>138.38999999999999</v>
    <v>139.96</v>
    <v>141</v>
    <v>139.44</v>
    <v>137.85</v>
    <v>137.69999999999999</v>
    <v>138.11000000000001</v>
    <v>139.29</v>
    <v>138.91999999999999</v>
    <v>136.72</v>
    <v>137.77000000000001</v>
    <v>133.24</v>
    <v>132.93</v>
    <v>135.06</v>
    <v>138.52000000000001</v>
    <v>140.05000000000001</v>
    <v>141.36000000000001</v>
    <v>144.15</v>
    <v>144.08000000000001</v>
    <v>144.91</v>
    <v>145.63999999999999</v>
    <v>143.79</v>
    <v>145.4</v>
    <v>144.80000000000001</v>
    <v>146.44</v>
    <v>146.19999999999999</v>
    <v>144.31</v>
    <v>143.96</v>
    <v>145.19</v>
    <v>145.84</v>
    <v>144.93</v>
    <v>143.36000000000001</v>
    <v>142.03</v>
    <v>141.35239999999999</v>
    <v>142.88999999999999</v>
    <v>143.44</v>
    <v>143.88999999999999</v>
    <v>143.69</v>
    <v>141.29</v>
    <v>138.43</v>
    <v>137.6</v>
    <v>136.09</v>
    <v>136.75</v>
    <v>135.65</v>
    <v>138.54</v>
    <v>135.96</v>
    <v>130.96</v>
    <v>132.88</v>
    <v>129.69999999999999</v>
    <v>129.32</v>
    <v>123.76</v>
    <v>124.17</v>
    <v>124.45</v>
    <v>122.39</v>
    <v>125.49</v>
    <v>127.96</v>
    <v>127.34</v>
    <v>129.72999999999999</v>
    <v>129.38999999999999</v>
    <v>128.75</v>
    <v>132.12</v>
    <v>132.65</v>
    <v>130.78</v>
    <v>128.74</v>
    <v>125.71</v>
    <v>126.17</v>
    <v>127.23</v>
    <v>129.4905</v>
    <v>118.91</v>
    <v>110.9</v>
    <v>110.08920000000001</v>
    <v>108.52</v>
    <v>119.66</v>
    <v>114.46</v>
    <v>116.23</v>
    <v>118.11</v>
    <v>118.56</v>
    <v>116.12</v>
    <v>117.01</v>
    <v>113.73</v>
    <v>117.74</v>
    <v>119.42</v>
    <v>122.75</v>
    <v>123</v>
    <v>123.2</v>
    <v>124.24</v>
    <v>124.33</v>
    <v>125.03</v>
    <v>128.76</v>
    <v>128.28</v>
    <v>127.51</v>
    <v>128.68</v>
    <v>131.30000000000001</v>
    <v>131.49</v>
    <v>135.82</v>
    <v>137.44999999999999</v>
    <v>137.58000000000001</v>
    <v>137.97999999999999</v>
    <v>139.1</v>
    <v>139.22</v>
    <v>138.22</v>
    <v>134.56</v>
    <v>134.69</v>
    <v>134.21</v>
    <v>137.18</v>
    <v>135.84</v>
    <v>135.52340000000001</v>
    <v>135.08000000000001</v>
    <v>134.88999999999999</v>
    <v>135.4</v>
    <v>135.13999999999999</v>
    <v>135.44</v>
    <v>137.54</v>
    <v>137.25</v>
    <v>136.99</v>
    <v>137.58000000000001</v>
    <v>137.72999999999999</v>
    <v>134.81</v>
    <v>137.0532</v>
    <v>135.48500000000001</v>
    <v>137.21</v>
    <v>137.39250000000001</v>
    <v>138.19999999999999</v>
    <v>141.21</v>
    <v>141.86000000000001</v>
    <v>143.36000000000001</v>
    <v>144.36000000000001</v>
    <v>144.93</v>
    <v>145.94</v>
    <v>148.33000000000001</v>
    <v>149.19900000000001</v>
    <v>148.22</v>
    <v>147.88</v>
    <v>149.4092</v>
    <v>151.49</v>
    <v>150.25</v>
    <v>151.33000000000001</v>
    <v>148.05000000000001</v>
    <v>150.73609999999999</v>
    <v>153.16</v>
    <v>153.52000000000001</v>
    <v>151.87</v>
    <v>152.41</v>
    <v>153.91</v>
    <v>154.83000000000001</v>
    <v>155.52000000000001</v>
    <v>154.68</v>
    <v>154.51</v>
    <v>154.96</v>
    <v>153.06</v>
    <v>149.56</v>
    <v>153</v>
    <v>152.54</v>
    <v>152.41999999999999</v>
    <v>151.43</v>
    <v>152.80000000000001</v>
    <v>153.16999999999999</v>
    <v>156.21</v>
    <v>156.96</v>
    <v>156.36000000000001</v>
    <v>154.35</v>
    <v>154.02000000000001</v>
    <v>152.595</v>
    <v>152.33199999999999</v>
    <v>151.82</v>
    <v>155.94999999999999</v>
    <v>155.22</v>
    <v>156.68</v>
    <v>156.43</v>
    <v>156.19999999999999</v>
    <v>155.58000000000001</v>
    <v>154.04</v>
    <v>153.05000000000001</v>
    <v>154.84</v>
    <v>152.66</v>
    <v>154</v>
    <v>154</v>
    <v>154.30000000000001</v>
    <v>157.83000000000001</v>
    <v>156.41</v>
    <v>155.01</v>
    <v>154.56</v>
    <v>155.16999999999999</v>
    <v>157.38</v>
    <v>156.62</v>
    <v>155.97999999999999</v>
    <v>155.56</v>
    <v>152.99</v>
    <v>152.11000000000001</v>
    <v>153.01</v>
    <v>154.29</v>
    <v>152.85</v>
    <v>150.1</v>
    <v>151.13999999999999</v>
    <v>152.31</v>
    <v>151.94</v>
    <v>151.07499999999999</v>
    <v>151.18</v>
    <v>150.91999999999999</v>
    <v>146.41</v>
    <v>149.26</v>
    <v>151.03</v>
    <v>151.44999999999999</v>
    <v>146.82</v>
    <v>147.15209999999999</v>
    <v>149.16999999999999</v>
    <v>149.81</v>
    <v>148.04</v>
    <v>148.4</v>
    <v>149.9</v>
    <v>151.47</v>
    <v>150.36000000000001</v>
    <v>146.6585</v>
    <v>145.7808</v>
    <v>145.86000000000001</v>
    <v>146.13</v>
    <v>144.68</v>
    <v>145.93799999999999</v>
    <v>145.02000000000001</v>
    <v>146.21879999999999</v>
    <v>147.41</v>
    <v>147.74</v>
    <v>149.1027</v>
    <v>145.48779999999999</v>
    <v>144.60300000000001</v>
    <v>139.87</v>
    <v>140.124</v>
    <v>140.66999999999999</v>
    <v>138.32</v>
    <v>140.15</v>
    <v>141.17500000000001</v>
    <v>143.31</v>
    <v>144.87</v>
    <v>145.80000000000001</v>
    <v>144.26</v>
    <v>143.99</v>
    <v>147.13</v>
    <v>148.18</v>
    <v>149.6942</v>
    <v>149.08000000000001</v>
    <v>151.4873</v>
    <v>153.12</v>
    <v>154.34</v>
    <v>152.02000000000001</v>
    <v>150.69999999999999</v>
    <v>150.62</v>
    <v>149.87</v>
    <v>149.715</v>
    <v>150.92500000000001</v>
  </a>
  <a r="1" c="22">
    <v>140.66999999999999</v>
    <v>138.32</v>
    <v>140.15</v>
    <v>141.17500000000001</v>
    <v>143.31</v>
    <v>144.87</v>
    <v>145.80000000000001</v>
    <v>144.26</v>
    <v>143.99</v>
    <v>147.13</v>
    <v>148.18</v>
    <v>149.6942</v>
    <v>149.08000000000001</v>
    <v>151.4873</v>
    <v>153.12</v>
    <v>154.34</v>
    <v>152.02000000000001</v>
    <v>150.69999999999999</v>
    <v>150.62</v>
    <v>149.87</v>
    <v>149.715</v>
    <v>150.92500000000001</v>
  </a>
  <a r="1" c="254">
    <v>106.91</v>
    <v>105.94</v>
    <v>101.18</v>
    <v>101.57</v>
    <v>103.62</v>
    <v>102.92</v>
    <v>104.1</v>
    <v>103.87</v>
    <v>102.28</v>
    <v>100.94</v>
    <v>100.12</v>
    <v>99.91</v>
    <v>101.47</v>
    <v>101.68</v>
    <v>99.19</v>
    <v>99.2</v>
    <v>97.21</v>
    <v>96.36</v>
    <v>97.41</v>
    <v>99.17</v>
    <v>99.35</v>
    <v>100.32</v>
    <v>101.95</v>
    <v>104.11</v>
    <v>104.29</v>
    <v>103.85</v>
    <v>102.13</v>
    <v>104.99</v>
    <v>103.48</v>
    <v>102.76</v>
    <v>102.89</v>
    <v>102.49</v>
    <v>104.31</v>
    <v>104.97</v>
    <v>105.24</v>
    <v>104.62</v>
    <v>106.4</v>
    <v>105.32</v>
    <v>104.96</v>
    <v>106.67</v>
    <v>106.76</v>
    <v>107.83</v>
    <v>105.94</v>
    <v>104</v>
    <v>100.45</v>
    <v>99.2</v>
    <v>97.59</v>
    <v>98.95</v>
    <v>96.33</v>
    <v>97.47</v>
    <v>95.63</v>
    <v>95.44</v>
    <v>97.1</v>
    <v>93.44</v>
    <v>93.42</v>
    <v>88.68</v>
    <v>89.54</v>
    <v>91.33</v>
    <v>88.3</v>
    <v>91.66</v>
    <v>92.87</v>
    <v>91.51</v>
    <v>92.95</v>
    <v>92.57</v>
    <v>93.11</v>
    <v>95.41</v>
    <v>96.37</v>
    <v>94.13</v>
    <v>92.52</v>
    <v>89.87</v>
    <v>88.99</v>
    <v>90.32</v>
    <v>91.52</v>
    <v>86.63</v>
    <v>81.3</v>
    <v>81.25</v>
    <v>80.150000000000006</v>
    <v>89.49</v>
    <v>86.49</v>
    <v>87.2</v>
    <v>87.98</v>
    <v>89.09</v>
    <v>86.94</v>
    <v>86.59</v>
    <v>83.91</v>
    <v>86.16</v>
    <v>88.81</v>
    <v>93.2</v>
    <v>94.76</v>
    <v>94.875</v>
    <v>96.1</v>
    <v>96.07</v>
    <v>97.01</v>
    <v>99.47</v>
    <v>99.37</v>
    <v>97.96</v>
    <v>98.78</v>
    <v>100.41</v>
    <v>99.69</v>
    <v>102.78</v>
    <v>104.73</v>
    <v>104.8</v>
    <v>104.4</v>
    <v>105.16</v>
    <v>104.94</v>
    <v>104.69</v>
    <v>102.17</v>
    <v>102.71</v>
    <v>101.93</v>
    <v>103.8</v>
    <v>103.08</v>
    <v>102.35</v>
    <v>103.65</v>
    <v>103.94</v>
    <v>104.99</v>
    <v>104.8</v>
    <v>104.66</v>
    <v>105.98</v>
    <v>106.13</v>
    <v>105.88</v>
    <v>105.79</v>
    <v>107.04</v>
    <v>106.27</v>
    <v>107.4</v>
    <v>106.65</v>
    <v>106.09</v>
    <v>105.11</v>
    <v>106.37</v>
    <v>108.05</v>
    <v>107.77</v>
    <v>108.71</v>
    <v>107.78</v>
    <v>109.5</v>
    <v>108.24</v>
    <v>108.81</v>
    <v>111.27</v>
    <v>110.71</v>
    <v>111.08</v>
    <v>111.42</v>
    <v>109.15</v>
    <v>107.48</v>
    <v>109.05</v>
    <v>108.99</v>
    <v>109.81</v>
    <v>111.31</v>
    <v>111.06</v>
    <v>111.21</v>
    <v>110.9</v>
    <v>111.81</v>
    <v>112.09</v>
    <v>112.69</v>
    <v>112.88</v>
    <v>113.01</v>
    <v>112.72</v>
    <v>111.66</v>
    <v>108.63</v>
    <v>110.98</v>
    <v>110.55</v>
    <v>111.81</v>
    <v>109.6</v>
    <v>109.63</v>
    <v>108.37</v>
    <v>109.56</v>
    <v>109.54</v>
    <v>108.34</v>
    <v>109.11</v>
    <v>109.41</v>
    <v>106.58</v>
    <v>106.33</v>
    <v>105.96</v>
    <v>107.46</v>
    <v>106.69</v>
    <v>106.57</v>
    <v>107.45</v>
    <v>109.09</v>
    <v>108.1</v>
    <v>107.27</v>
    <v>107.32</v>
    <v>106.84</v>
    <v>108.14</v>
    <v>110.02</v>
    <v>110.52</v>
    <v>112.24</v>
    <v>112.4</v>
    <v>111.67</v>
    <v>112.81</v>
    <v>112.72</v>
    <v>113.22</v>
    <v>115.37</v>
    <v>117.19</v>
    <v>117.79</v>
    <v>116.4</v>
    <v>115.22</v>
    <v>113.895</v>
    <v>114.97</v>
    <v>115.98</v>
    <v>115.01</v>
    <v>115.07</v>
    <v>115.72</v>
    <v>114.83</v>
    <v>115.62</v>
    <v>114.37</v>
    <v>115.69</v>
    <v>115.67</v>
    <v>112.09</v>
    <v>114.64</v>
    <v>113.59</v>
    <v>113.29</v>
    <v>112.8</v>
    <v>112.675</v>
    <v>113.89</v>
    <v>115.01</v>
    <v>113.51</v>
    <v>114.79</v>
    <v>116</v>
    <v>117.08</v>
    <v>116.72</v>
    <v>115.22</v>
    <v>113.97</v>
    <v>115.51</v>
    <v>115.7</v>
    <v>112</v>
    <v>111.75</v>
    <v>109.31</v>
    <v>109.48</v>
    <v>111.78</v>
    <v>111.03</v>
    <v>109.85</v>
    <v>106.84</v>
    <v>107.44</v>
    <v>105.49</v>
    <v>104.41</v>
    <v>103.89</v>
    <v>100.8</v>
    <v>100.92</v>
    <v>102.23</v>
    <v>103.19</v>
    <v>102.97</v>
    <v>104.09</v>
    <v>104.07</v>
    <v>105.22</v>
    <v>106.68</v>
    <v>107.95</v>
    <v>109.46</v>
    <v>109.4</v>
    <v>109.95</v>
    <v>110.08</v>
    <v>109.78</v>
    <v>107.97</v>
    <v>105.39</v>
    <v>106.31</v>
    <v>104.7</v>
    <v>106.18</v>
    <v>107.76</v>
  </a>
  <a r="1" c="22">
    <v>103.89</v>
    <v>100.8</v>
    <v>100.92</v>
    <v>102.23</v>
    <v>103.19</v>
    <v>102.97</v>
    <v>104.09</v>
    <v>104.07</v>
    <v>105.22</v>
    <v>106.68</v>
    <v>107.95</v>
    <v>109.46</v>
    <v>109.4</v>
    <v>109.95</v>
    <v>110.08</v>
    <v>109.78</v>
    <v>107.97</v>
    <v>105.39</v>
    <v>106.31</v>
    <v>104.7</v>
    <v>106.18</v>
    <v>107.76</v>
  </a>
  <a r="1" c="254">
    <v>66.5</v>
    <v>66.41</v>
    <v>65.25</v>
    <v>64.849999999999994</v>
    <v>65.41</v>
    <v>66.06</v>
    <v>66.209999999999994</v>
    <v>66.400000000000006</v>
    <v>66.09</v>
    <v>65.28</v>
    <v>65.349999999999994</v>
    <v>65.44</v>
    <v>66.180000000000007</v>
    <v>66.14</v>
    <v>66.510000000000005</v>
    <v>66.89</v>
    <v>66.33</v>
    <v>67.17</v>
    <v>66.52</v>
    <v>66.739999999999995</v>
    <v>67.09</v>
    <v>66.66</v>
    <v>67.819999999999993</v>
    <v>67.790000000000006</v>
    <v>68.53</v>
    <v>68.709999999999994</v>
    <v>70.08</v>
    <v>69.650000000000006</v>
    <v>69.290000000000006</v>
    <v>70.03</v>
    <v>69.83</v>
    <v>69.930000000000007</v>
    <v>69.8</v>
    <v>70.64</v>
    <v>69.88</v>
    <v>69.5</v>
    <v>69.34</v>
    <v>69.11</v>
    <v>69.069999999999993</v>
    <v>69.36</v>
    <v>68.7</v>
    <v>68.59</v>
    <v>69.5</v>
    <v>69.73</v>
    <v>69.3</v>
    <v>69.739999999999995</v>
    <v>70.06</v>
    <v>69.7</v>
    <v>69.25</v>
    <v>70.040000000000006</v>
    <v>70.150000000000006</v>
    <v>69.48</v>
    <v>70.2</v>
    <v>69.94</v>
    <v>70</v>
    <v>69.16</v>
    <v>68.53</v>
    <v>67.930000000000007</v>
    <v>67.42</v>
    <v>67.98</v>
    <v>68.92</v>
    <v>68.84</v>
    <v>68.98</v>
    <v>68.87</v>
    <v>68.64</v>
    <v>69.17</v>
    <v>68.290000000000006</v>
    <v>67.900000000000006</v>
    <v>68.069999999999993</v>
    <v>67.739999999999995</v>
    <v>68.319999999999993</v>
    <v>67.06</v>
    <v>67.59</v>
    <v>66.87</v>
    <v>63.24</v>
    <v>62.79</v>
    <v>61.94</v>
    <v>64.91</v>
    <v>63</v>
    <v>63.88</v>
    <v>64.72</v>
    <v>64.34</v>
    <v>63.71</v>
    <v>63.45</v>
    <v>62.13</v>
    <v>63.21</v>
    <v>63.61</v>
    <v>64.5</v>
    <v>64.81</v>
    <v>65.05</v>
    <v>65.47</v>
    <v>65.930000000000007</v>
    <v>64.34</v>
    <v>65.290000000000006</v>
    <v>65.09</v>
    <v>63.19</v>
    <v>63.75</v>
    <v>63.26</v>
    <v>62.54</v>
    <v>64.150000000000006</v>
    <v>62.37</v>
    <v>61.03</v>
    <v>61.84</v>
    <v>63.04</v>
    <v>63.56</v>
    <v>63.77</v>
    <v>62.21</v>
    <v>61.77</v>
    <v>61.63</v>
    <v>62.49</v>
    <v>62.1</v>
    <v>62.69</v>
    <v>62.8</v>
    <v>62.92</v>
    <v>63.11</v>
    <v>63.26</v>
    <v>63.21</v>
    <v>63.83</v>
    <v>63.73</v>
    <v>64.45</v>
    <v>64.430000000000007</v>
    <v>64.81</v>
    <v>64.48</v>
    <v>64.34</v>
    <v>63.36</v>
    <v>63.29</v>
    <v>62.75</v>
    <v>62.76</v>
    <v>63.58</v>
    <v>63.56</v>
    <v>63.69</v>
    <v>63.7</v>
    <v>63.95</v>
    <v>64.72</v>
    <v>64.3</v>
    <v>64.33</v>
    <v>63.69</v>
    <v>64.06</v>
    <v>64.41</v>
    <v>64.77</v>
    <v>64.14</v>
    <v>64.239999999999995</v>
    <v>62.98</v>
    <v>63.76</v>
    <v>63.13</v>
    <v>62.65</v>
    <v>62.32</v>
    <v>63.48</v>
    <v>64.739999999999995</v>
    <v>64.44</v>
    <v>64.81</v>
    <v>64.260000000000005</v>
    <v>63.76</v>
    <v>63.77</v>
    <v>62.19</v>
    <v>62.46</v>
    <v>63.37</v>
    <v>63.12</v>
    <v>62.19</v>
    <v>61.56</v>
    <v>62.15</v>
    <v>62.18</v>
    <v>62.74</v>
    <v>63.77</v>
    <v>64.06</v>
    <v>65.06</v>
    <v>64.94</v>
    <v>65.22</v>
    <v>65.56</v>
    <v>65.400000000000006</v>
    <v>66.040000000000006</v>
    <v>65.08</v>
    <v>65.47</v>
    <v>65.55</v>
    <v>65.28</v>
    <v>65.67</v>
    <v>65.87</v>
    <v>65.63</v>
    <v>65.86</v>
    <v>66.209999999999994</v>
    <v>66.11</v>
    <v>66.5</v>
    <v>65.84</v>
    <v>66.95</v>
    <v>66.2</v>
    <v>65.599999999999994</v>
    <v>65.62</v>
    <v>65.77</v>
    <v>66.12</v>
    <v>65.67</v>
    <v>65.72</v>
    <v>65.78</v>
    <v>65.52</v>
    <v>64.459999999999994</v>
    <v>65.209999999999994</v>
    <v>65.430000000000007</v>
    <v>66.87</v>
    <v>68.69</v>
    <v>68.64</v>
    <v>69.400000000000006</v>
    <v>69.11</v>
    <v>69.16</v>
    <v>69.34</v>
    <v>69.25</v>
    <v>68.22</v>
    <v>68.19</v>
    <v>68.39</v>
    <v>68.63</v>
    <v>68.59</v>
    <v>68.900000000000006</v>
    <v>69.709999999999994</v>
    <v>69.78</v>
    <v>70.06</v>
    <v>70.150000000000006</v>
    <v>70.25</v>
    <v>70.5</v>
    <v>70.010000000000005</v>
    <v>69.37</v>
    <v>69.569999999999993</v>
    <v>69.63</v>
    <v>69.62</v>
    <v>69.81</v>
    <v>70.08</v>
    <v>70.14</v>
    <v>70.27</v>
    <v>70.819999999999993</v>
    <v>72.42</v>
    <v>73.27</v>
    <v>73.08</v>
    <v>72.77</v>
    <v>72.75</v>
    <v>73.150000000000006</v>
    <v>73.040000000000006</v>
    <v>72.59</v>
    <v>74.12</v>
    <v>74.69</v>
    <v>76.290000000000006</v>
    <v>76.2</v>
    <v>75.849999999999994</v>
    <v>74.75</v>
    <v>74.290000000000006</v>
    <v>74.72</v>
    <v>74.28</v>
    <v>74.010000000000005</v>
    <v>73.180000000000007</v>
    <v>72.42</v>
    <v>73.34</v>
    <v>73.98</v>
    <v>74.150000000000006</v>
    <v>74.98</v>
    <v>74.09</v>
    <v>73.89</v>
    <v>73.88</v>
    <v>74.22</v>
  </a>
  <a r="1" c="22">
    <v>73.040000000000006</v>
    <v>72.59</v>
    <v>74.12</v>
    <v>74.69</v>
    <v>76.290000000000006</v>
    <v>76.2</v>
    <v>75.849999999999994</v>
    <v>74.75</v>
    <v>74.290000000000006</v>
    <v>74.72</v>
    <v>74.28</v>
    <v>74.010000000000005</v>
    <v>73.180000000000007</v>
    <v>72.42</v>
    <v>73.34</v>
    <v>73.98</v>
    <v>74.150000000000006</v>
    <v>74.98</v>
    <v>74.09</v>
    <v>73.89</v>
    <v>73.88</v>
    <v>74.22</v>
  </a>
  <a r="1" c="22">
    <v>67.08</v>
    <v>66.16</v>
    <v>65.148700000000005</v>
    <v>65.989900000000006</v>
    <v>64.911900000000003</v>
    <v>65.790000000000006</v>
    <v>66.94</v>
    <v>67.36</v>
    <v>65.97</v>
    <v>65.913799999999995</v>
    <v>65.971299999999999</v>
    <v>66.180000000000007</v>
    <v>64.819999999999993</v>
    <v>64.72</v>
    <v>64.56</v>
    <v>63.72</v>
    <v>63.25</v>
    <v>62.4</v>
    <v>60.61</v>
    <v>61.59</v>
    <v>61.35</v>
    <v>61.77</v>
  </a>
  <a r="1" c="254">
    <v>62.115600000000001</v>
    <v>61.22</v>
    <v>60.7759</v>
    <v>60.19</v>
    <v>61.04</v>
    <v>61.225000000000001</v>
    <v>61.82</v>
    <v>61.219099999999997</v>
    <v>61.401000000000003</v>
    <v>62.48</v>
    <v>62.99</v>
    <v>64.239999999999995</v>
    <v>64.400000000000006</v>
    <v>63.68</v>
    <v>63.61</v>
    <v>63.11</v>
    <v>65.046700000000001</v>
    <v>65.84</v>
    <v>66.277600000000007</v>
    <v>68.150000000000006</v>
    <v>66.534899999999993</v>
    <v>66.14</v>
    <v>65.58</v>
    <v>64.5</v>
    <v>64.554400000000001</v>
    <v>64.27</v>
    <v>63.55</v>
    <v>64.22</v>
    <v>63.86</v>
    <v>64.13</v>
    <v>63.99</v>
    <v>65.44</v>
    <v>64.81</v>
    <v>63.52</v>
    <v>64.2</v>
    <v>65.16</v>
    <v>65.22</v>
    <v>66.489999999999995</v>
    <v>64.44</v>
    <v>65.41</v>
    <v>64.680000000000007</v>
    <v>64.900000000000006</v>
    <v>64.94</v>
    <v>64.91</v>
    <v>63.409399999999998</v>
    <v>63.47</v>
    <v>62.09</v>
    <v>61.4</v>
    <v>62.7</v>
    <v>62.506900000000002</v>
    <v>61.39</v>
    <v>61.35</v>
    <v>59.81</v>
    <v>58.66</v>
    <v>58.97</v>
    <v>58.556100000000001</v>
    <v>59.142299999999999</v>
    <v>60.287700000000001</v>
    <v>59.65</v>
    <v>60.2</v>
    <v>61.14</v>
    <v>60.81</v>
    <v>60.85</v>
    <v>61.560499999999998</v>
    <v>61.56</v>
    <v>61.97</v>
    <v>62.101500000000001</v>
    <v>62.77</v>
    <v>63.04</v>
    <v>62.78</v>
    <v>64.249499999999998</v>
    <v>64.610399999999998</v>
    <v>65.453199999999995</v>
    <v>60.535400000000003</v>
    <v>58.19</v>
    <v>56.875599999999999</v>
    <v>55.287300000000002</v>
    <v>57.196899999999999</v>
    <v>55.3874</v>
    <v>56.38</v>
    <v>56.9</v>
    <v>57.024999999999999</v>
    <v>57.580100000000002</v>
    <v>58.71</v>
    <v>58.316699999999997</v>
    <v>58.89</v>
    <v>58.45</v>
    <v>59.18</v>
    <v>59.66</v>
    <v>59.1038</v>
    <v>57.87</v>
    <v>56.922199999999997</v>
    <v>57.801699999999997</v>
    <v>57.211399999999998</v>
    <v>57.13</v>
    <v>58.359699999999997</v>
    <v>57.22</v>
    <v>59.06</v>
    <v>59.622500000000002</v>
    <v>60.28</v>
    <v>61.2408</v>
    <v>61.039400000000001</v>
    <v>60.45</v>
    <v>60.35</v>
    <v>60.307600000000001</v>
    <v>60.82</v>
    <v>60.4178</v>
    <v>60.004899999999999</v>
    <v>59.87</v>
    <v>59.11</v>
    <v>59.173200000000001</v>
    <v>58.733199999999997</v>
    <v>58.15</v>
    <v>59.61</v>
    <v>59.87</v>
    <v>58.71</v>
    <v>59.49</v>
    <v>60.0152</v>
    <v>60.4773</v>
    <v>60.271500000000003</v>
    <v>62.321399999999997</v>
    <v>62.05</v>
    <v>64.040000000000006</v>
    <v>63.98</v>
    <v>65.546899999999994</v>
    <v>66.319999999999993</v>
    <v>67.275000000000006</v>
    <v>63.41</v>
    <v>60.54</v>
    <v>60.244599999999998</v>
    <v>60.48</v>
    <v>60.03</v>
    <v>60.215000000000003</v>
    <v>61.26</v>
    <v>61.6233</v>
    <v>61.65</v>
    <v>62.731099999999998</v>
    <v>63.7</v>
    <v>63.82</v>
    <v>62.753900000000002</v>
    <v>63.830800000000004</v>
    <v>63.13</v>
    <v>63.238799999999998</v>
    <v>62.773400000000002</v>
    <v>63.259300000000003</v>
    <v>62.596499999999999</v>
    <v>62.051900000000003</v>
    <v>61.62</v>
    <v>61.965699999999998</v>
    <v>61.66</v>
    <v>61.182299999999998</v>
    <v>62.769399999999997</v>
    <v>64.803200000000004</v>
    <v>65.708699999999993</v>
    <v>64.385300000000001</v>
    <v>62.692999999999998</v>
    <v>62.404600000000002</v>
    <v>62.191099999999999</v>
    <v>61.85</v>
    <v>61.625100000000003</v>
    <v>61.856900000000003</v>
    <v>61.856400000000001</v>
    <v>61.65</v>
    <v>61.728200000000001</v>
    <v>62.808100000000003</v>
    <v>61.963799999999999</v>
    <v>62.624499999999998</v>
    <v>62.240200000000002</v>
    <v>63.45</v>
    <v>64.185599999999994</v>
    <v>64.478499999999997</v>
    <v>64.59</v>
    <v>63.446599999999997</v>
    <v>63.476799999999997</v>
    <v>64.154200000000003</v>
    <v>63.57</v>
    <v>66.14</v>
    <v>64.98</v>
    <v>64.81</v>
    <v>63.772799999999997</v>
    <v>63.486499999999999</v>
    <v>64.5</v>
    <v>65.040000000000006</v>
    <v>63.8</v>
    <v>64.352000000000004</v>
    <v>65.203699999999998</v>
    <v>66.13</v>
    <v>65.608999999999995</v>
    <v>65.424099999999996</v>
    <v>63.940199999999997</v>
    <v>64.061300000000003</v>
    <v>65.119299999999996</v>
    <v>65.37</v>
    <v>65.510000000000005</v>
    <v>66.209599999999995</v>
    <v>64.680000000000007</v>
    <v>64.487499999999997</v>
    <v>63.211399999999998</v>
    <v>61.96</v>
    <v>62.23</v>
    <v>63.575000000000003</v>
    <v>63.71</v>
    <v>63.816800000000001</v>
    <v>62.85</v>
    <v>60.9</v>
    <v>61.91</v>
    <v>61.016599999999997</v>
    <v>61.63</v>
    <v>60.88</v>
    <v>61.45</v>
    <v>61.38</v>
    <v>61.31</v>
    <v>63.16</v>
    <v>64.52</v>
    <v>64.438900000000004</v>
    <v>64.569900000000004</v>
    <v>64.0852</v>
    <v>65.27</v>
    <v>64.985600000000005</v>
    <v>65.574299999999994</v>
    <v>66.38</v>
    <v>66.400000000000006</v>
    <v>66.069999999999993</v>
    <v>67.849999999999994</v>
    <v>67.430000000000007</v>
    <v>68.118200000000002</v>
    <v>69.584999999999994</v>
    <v>67.67</v>
    <v>67.7</v>
    <v>69.456999999999994</v>
    <v>68.77</v>
    <v>69.234700000000004</v>
    <v>67.08</v>
    <v>66.16</v>
    <v>65.148700000000005</v>
    <v>65.989900000000006</v>
    <v>64.911900000000003</v>
    <v>65.790000000000006</v>
    <v>66.94</v>
    <v>67.36</v>
    <v>65.97</v>
    <v>65.913799999999995</v>
    <v>65.971299999999999</v>
    <v>66.180000000000007</v>
    <v>64.819999999999993</v>
    <v>64.72</v>
    <v>64.56</v>
    <v>63.72</v>
    <v>63.25</v>
    <v>62.4</v>
    <v>60.61</v>
    <v>61.59</v>
    <v>61.35</v>
    <v>61.77</v>
  </a>
  <a r="1" c="254">
    <v>49.45</v>
    <v>49.1</v>
    <v>47.63</v>
    <v>47.8</v>
    <v>48.51</v>
    <v>48.42</v>
    <v>48.99</v>
    <v>49.11</v>
    <v>48.75</v>
    <v>48.28</v>
    <v>48.33</v>
    <v>48.21</v>
    <v>48.59</v>
    <v>48.44</v>
    <v>48.33</v>
    <v>48.49</v>
    <v>47.32</v>
    <v>47.66</v>
    <v>48.25</v>
    <v>49.48</v>
    <v>49.81</v>
    <v>50.23</v>
    <v>50.65</v>
    <v>50.41</v>
    <v>50.7</v>
    <v>50.85</v>
    <v>51.41</v>
    <v>51.32</v>
    <v>51.28</v>
    <v>51.77</v>
    <v>51.47</v>
    <v>51.26</v>
    <v>51.14</v>
    <v>51.68</v>
    <v>52.11</v>
    <v>51.82</v>
    <v>51.41</v>
    <v>51.54</v>
    <v>51.36</v>
    <v>51.7</v>
    <v>51.8</v>
    <v>52.17</v>
    <v>52.19</v>
    <v>51.39</v>
    <v>50.75</v>
    <v>50.97</v>
    <v>50.96</v>
    <v>50.85</v>
    <v>51.13</v>
    <v>52.18</v>
    <v>51.74</v>
    <v>49.92</v>
    <v>50.21</v>
    <v>49.38</v>
    <v>49.12</v>
    <v>48.02</v>
    <v>47.61</v>
    <v>47.68</v>
    <v>47.42</v>
    <v>48.52</v>
    <v>49.09</v>
    <v>49.03</v>
    <v>49.57</v>
    <v>49.64</v>
    <v>49.46</v>
    <v>50.15</v>
    <v>50.43</v>
    <v>50.28</v>
    <v>50.18</v>
    <v>49.21</v>
    <v>49.81</v>
    <v>49.75</v>
    <v>50.16</v>
    <v>47.69</v>
    <v>44.2</v>
    <v>44.09</v>
    <v>43.92</v>
    <v>47.23</v>
    <v>45.91</v>
    <v>46.67</v>
    <v>47.15</v>
    <v>47.27</v>
    <v>46.53</v>
    <v>46.65</v>
    <v>45.65</v>
    <v>47.16</v>
    <v>47.72</v>
    <v>48.25</v>
    <v>48.02</v>
    <v>48.17</v>
    <v>48.67</v>
    <v>48.76</v>
    <v>48.75</v>
    <v>49.76</v>
    <v>49.44</v>
    <v>49.16</v>
    <v>49.45</v>
    <v>49.86</v>
    <v>49.86</v>
    <v>50.87</v>
    <v>51.08</v>
    <v>50.94</v>
    <v>51.28</v>
    <v>51.59</v>
    <v>51.62</v>
    <v>51.34</v>
    <v>50.29</v>
    <v>50.23</v>
    <v>50.05</v>
    <v>50.93</v>
    <v>50.59</v>
    <v>50.85</v>
    <v>50.96</v>
    <v>50.98</v>
    <v>51.08</v>
    <v>50.79</v>
    <v>50.65</v>
    <v>51.28</v>
    <v>51</v>
    <v>51.06</v>
    <v>51</v>
    <v>51</v>
    <v>49.96</v>
    <v>50.53</v>
    <v>50.24</v>
    <v>50.22</v>
    <v>50.36</v>
    <v>50.82</v>
    <v>51.58</v>
    <v>51.41</v>
    <v>51.79</v>
    <v>51.94</v>
    <v>52.37</v>
    <v>52.66</v>
    <v>52.62</v>
    <v>53.19</v>
    <v>52.68</v>
    <v>52.21</v>
    <v>52.4</v>
    <v>52.71</v>
    <v>52.16</v>
    <v>52.55</v>
    <v>51.65</v>
    <v>52.01</v>
    <v>52.51</v>
    <v>52.54</v>
    <v>52.39</v>
    <v>52.68</v>
    <v>53.1</v>
    <v>53.07</v>
    <v>53.44</v>
    <v>53.07</v>
    <v>52.8</v>
    <v>52.7</v>
    <v>52.37</v>
    <v>51.4</v>
    <v>51.91</v>
    <v>51.7</v>
    <v>51.95</v>
    <v>51.37</v>
    <v>51.85</v>
    <v>51.83</v>
    <v>52.46</v>
    <v>52.76</v>
    <v>53.01</v>
    <v>52.46</v>
    <v>52.5</v>
    <v>52.6</v>
    <v>52.87</v>
    <v>52.7</v>
    <v>53.57</v>
    <v>53.26</v>
    <v>53.67</v>
    <v>53.78</v>
    <v>53.85</v>
    <v>53.99</v>
    <v>53.59</v>
    <v>53.5</v>
    <v>54.06</v>
    <v>53.07</v>
    <v>53.11</v>
    <v>53.34</v>
    <v>53.16</v>
    <v>54.03</v>
    <v>53.8</v>
    <v>53.68</v>
    <v>53.56</v>
    <v>54.08</v>
    <v>54.13</v>
    <v>54.25</v>
    <v>54</v>
    <v>53.76</v>
    <v>53.61</v>
    <v>53.47</v>
    <v>53.86</v>
    <v>54.13</v>
    <v>53.87</v>
    <v>53.39</v>
    <v>53.35</v>
    <v>53.72</v>
    <v>53.7</v>
    <v>53.77</v>
    <v>53.51</v>
    <v>53.32</v>
    <v>52.16</v>
    <v>52.66</v>
    <v>53.24</v>
    <v>53.24</v>
    <v>51.76</v>
    <v>52.18</v>
    <v>52.79</v>
    <v>52.73</v>
    <v>52.43</v>
    <v>52.54</v>
    <v>53.11</v>
    <v>53.33</v>
    <v>52.99</v>
    <v>52.09</v>
    <v>52.23</v>
    <v>52.37</v>
    <v>52.15</v>
    <v>52.42</v>
    <v>52.6</v>
    <v>52.41</v>
    <v>52.78</v>
    <v>52.97</v>
    <v>53.21</v>
    <v>53.67</v>
    <v>52.98</v>
    <v>52.45</v>
    <v>51.45</v>
    <v>51.37</v>
    <v>51.56</v>
    <v>51.11</v>
    <v>51.67</v>
    <v>51.89</v>
    <v>52.54</v>
    <v>52.95</v>
    <v>53.33</v>
    <v>52.89</v>
    <v>52.84</v>
    <v>53.55</v>
    <v>53.66</v>
    <v>53.68</v>
    <v>53.48</v>
    <v>53.28</v>
    <v>53.89</v>
    <v>54.87</v>
    <v>54.95</v>
    <v>54.99</v>
    <v>54.64</v>
    <v>54.63</v>
    <v>54.54</v>
    <v>54.84</v>
  </a>
  <a r="1" c="22">
    <v>51.56</v>
    <v>51.11</v>
    <v>51.67</v>
    <v>51.89</v>
    <v>52.54</v>
    <v>52.95</v>
    <v>53.33</v>
    <v>52.89</v>
    <v>52.84</v>
    <v>53.55</v>
    <v>53.66</v>
    <v>53.68</v>
    <v>53.48</v>
    <v>53.28</v>
    <v>53.89</v>
    <v>54.87</v>
    <v>54.95</v>
    <v>54.99</v>
    <v>54.64</v>
    <v>54.63</v>
    <v>54.54</v>
    <v>54.84</v>
  </a>
  <a r="1" c="22">
    <v>76.510000000000005</v>
    <v>77.06</v>
    <v>77.900000000000006</v>
    <v>77</v>
    <v>78.06</v>
    <v>78.91</v>
    <v>79.37</v>
    <v>79.290000000000006</v>
    <v>78.77</v>
    <v>78.83</v>
    <v>78.45</v>
    <v>78.459999999999994</v>
    <v>77.81</v>
    <v>77.989999999999995</v>
    <v>78.22</v>
    <v>78.8</v>
    <v>79.42</v>
    <v>79.64</v>
    <v>79.28</v>
    <v>79.650000000000006</v>
    <v>79.19</v>
    <v>78.78</v>
  </a>
  <a r="1" c="254">
    <v>81.61</v>
    <v>81.47</v>
    <v>80.23</v>
    <v>79.66</v>
    <v>79.94</v>
    <v>78.92</v>
    <v>79.44</v>
    <v>79.69</v>
    <v>79.3</v>
    <v>78.37</v>
    <v>78.61</v>
    <v>78.37</v>
    <v>78.33</v>
    <v>77.510000000000005</v>
    <v>77.239999999999995</v>
    <v>77.38</v>
    <v>76.34</v>
    <v>76.47</v>
    <v>76.489999999999995</v>
    <v>76.23</v>
    <v>76.8</v>
    <v>77.239999999999995</v>
    <v>77.599999999999994</v>
    <v>77.22</v>
    <v>77.5</v>
    <v>77.900000000000006</v>
    <v>80.010000000000005</v>
    <v>78.760000000000005</v>
    <v>78.95</v>
    <v>79.73</v>
    <v>78.98</v>
    <v>79.290000000000006</v>
    <v>78.62</v>
    <v>79.11</v>
    <v>79.47</v>
    <v>79.349999999999994</v>
    <v>79.84</v>
    <v>80.61</v>
    <v>80.55</v>
    <v>81.42</v>
    <v>80.61</v>
    <v>80.900000000000006</v>
    <v>81.55</v>
    <v>81.23</v>
    <v>82.18</v>
    <v>82.43</v>
    <v>83.6</v>
    <v>82</v>
    <v>81.99</v>
    <v>83.08</v>
    <v>83.52</v>
    <v>82.1</v>
    <v>82.44</v>
    <v>82.59</v>
    <v>82.86</v>
    <v>82.68</v>
    <v>81.47</v>
    <v>79.7</v>
    <v>79.33</v>
    <v>79.510000000000005</v>
    <v>80.67</v>
    <v>79.75</v>
    <v>79.75</v>
    <v>79.36</v>
    <v>79.33</v>
    <v>79.400000000000006</v>
    <v>78.680000000000007</v>
    <v>79.900000000000006</v>
    <v>80.81</v>
    <v>80.41</v>
    <v>81.67</v>
    <v>81.790000000000006</v>
    <v>81.55</v>
    <v>82.02</v>
    <v>78.459999999999994</v>
    <v>77.55</v>
    <v>76.349999999999994</v>
    <v>79.31</v>
    <v>79.349999999999994</v>
    <v>80.349999999999994</v>
    <v>81.72</v>
    <v>81.03</v>
    <v>80.16</v>
    <v>81.87</v>
    <v>81.09</v>
    <v>82.24</v>
    <v>81.77</v>
    <v>81.05</v>
    <v>80.84</v>
    <v>80.569999999999993</v>
    <v>81.239999999999995</v>
    <v>81.83</v>
    <v>81.12</v>
    <v>81.56</v>
    <v>81.489999999999995</v>
    <v>81.349999999999994</v>
    <v>81.48</v>
    <v>81.38</v>
    <v>80.91</v>
    <v>81.03</v>
    <v>79.94</v>
    <v>79.510000000000005</v>
    <v>81.14</v>
    <v>82.07</v>
    <v>82.31</v>
    <v>82.6</v>
    <v>81.64</v>
    <v>81.3</v>
    <v>81.599999999999994</v>
    <v>82.34</v>
    <v>81.78</v>
    <v>82.11</v>
    <v>82.83</v>
    <v>82.88</v>
    <v>82.8</v>
    <v>82.22</v>
    <v>81.430000000000007</v>
    <v>81.69</v>
    <v>81.58</v>
    <v>81.760000000000005</v>
    <v>81.48</v>
    <v>81.96</v>
    <v>80.959999999999994</v>
    <v>81.22</v>
    <v>80.53</v>
    <v>80.430000000000007</v>
    <v>81.02</v>
    <v>81.400000000000006</v>
    <v>81.33</v>
    <v>80.239999999999995</v>
    <v>80.17</v>
    <v>80.55</v>
    <v>80.97</v>
    <v>81.98</v>
    <v>82.22</v>
    <v>82.18</v>
    <v>82.11</v>
    <v>81.349999999999994</v>
    <v>80.819999999999993</v>
    <v>81.11</v>
    <v>80.81</v>
    <v>80.88</v>
    <v>80.069999999999993</v>
    <v>80.349999999999994</v>
    <v>81.11</v>
    <v>80.89</v>
    <v>80.88</v>
    <v>81.62</v>
    <v>81.650000000000006</v>
    <v>81.36</v>
    <v>81.5</v>
    <v>80.66</v>
    <v>81.19</v>
    <v>80.47</v>
    <v>79.78</v>
    <v>80.16</v>
    <v>80.55</v>
    <v>80.47</v>
    <v>81.62</v>
    <v>82.24</v>
    <v>82.48</v>
    <v>82.41</v>
    <v>82.63</v>
    <v>82.63</v>
    <v>81.89</v>
    <v>82.02</v>
    <v>81.91</v>
    <v>82.75</v>
    <v>83.22</v>
    <v>82.47</v>
    <v>82.47</v>
    <v>81.06</v>
    <v>80.53</v>
    <v>80.77</v>
    <v>80.260000000000005</v>
    <v>80.78</v>
    <v>80.650000000000006</v>
    <v>80.59</v>
    <v>80.64</v>
    <v>80.87</v>
    <v>80.569999999999993</v>
    <v>80.73</v>
    <v>79.94</v>
    <v>80.59</v>
    <v>80.319999999999993</v>
    <v>79.400000000000006</v>
    <v>79.760000000000005</v>
    <v>80.239999999999995</v>
    <v>79.540000000000006</v>
    <v>79.38</v>
    <v>77.959999999999994</v>
    <v>78.349999999999994</v>
    <v>78.52</v>
    <v>77.77</v>
    <v>77.959999999999994</v>
    <v>78.11</v>
    <v>78.37</v>
    <v>78.25</v>
    <v>77.94</v>
    <v>78.03</v>
    <v>77.459999999999994</v>
    <v>78.180000000000007</v>
    <v>77.790000000000006</v>
    <v>78.040000000000006</v>
    <v>78.099999999999994</v>
    <v>77.84</v>
    <v>79.09</v>
    <v>79.23</v>
    <v>78.680000000000007</v>
    <v>79.73</v>
    <v>79.66</v>
    <v>79.290000000000006</v>
    <v>79.739999999999995</v>
    <v>79.349999999999994</v>
    <v>79.09</v>
    <v>79.22</v>
    <v>78.430000000000007</v>
    <v>76.58</v>
    <v>76.5</v>
    <v>76.28</v>
    <v>75.680000000000007</v>
    <v>75.989999999999995</v>
    <v>75.94</v>
    <v>75.599999999999994</v>
    <v>76.709999999999994</v>
    <v>76.430000000000007</v>
    <v>77.430000000000007</v>
    <v>77.319999999999993</v>
    <v>77.319999999999993</v>
    <v>77.260000000000005</v>
    <v>76.77</v>
    <v>77.099999999999994</v>
    <v>76.510000000000005</v>
    <v>77.06</v>
    <v>77.900000000000006</v>
    <v>77</v>
    <v>78.06</v>
    <v>78.91</v>
    <v>79.37</v>
    <v>79.290000000000006</v>
    <v>78.77</v>
    <v>78.83</v>
    <v>78.45</v>
    <v>78.459999999999994</v>
    <v>77.81</v>
    <v>77.989999999999995</v>
    <v>78.22</v>
    <v>78.8</v>
    <v>79.42</v>
    <v>79.64</v>
    <v>79.28</v>
    <v>79.650000000000006</v>
    <v>79.19</v>
    <v>78.78</v>
  </a>
  <a r="1" c="254">
    <v>132.4</v>
    <v>131.53</v>
    <v>127.09</v>
    <v>125.5</v>
    <v>126.26</v>
    <v>126.81</v>
    <v>128.33000000000001</v>
    <v>128.34</v>
    <v>128.54</v>
    <v>130.63</v>
    <v>132.37</v>
    <v>134.82</v>
    <v>135.57</v>
    <v>135.22999999999999</v>
    <v>136.76</v>
    <v>137.66999999999999</v>
    <v>139.31</v>
    <v>141.91</v>
    <v>142.88999999999999</v>
    <v>145.61000000000001</v>
    <v>145.88</v>
    <v>145.44999999999999</v>
    <v>143.77000000000001</v>
    <v>142.46</v>
    <v>142.69999999999999</v>
    <v>140.74</v>
    <v>138.03</v>
    <v>137.32</v>
    <v>138.13</v>
    <v>137.43</v>
    <v>134.16</v>
    <v>133.91</v>
    <v>137.16</v>
    <v>136.96</v>
    <v>133.91999999999999</v>
    <v>133.25</v>
    <v>138.09</v>
    <v>139.28</v>
    <v>134.79</v>
    <v>135.58000000000001</v>
    <v>136.66999999999999</v>
    <v>138.24</v>
    <v>139.94</v>
    <v>139.69</v>
    <v>135.31</v>
    <v>134.82</v>
    <v>131.63999999999999</v>
    <v>130.51</v>
    <v>129.58000000000001</v>
    <v>130.91</v>
    <v>124.57</v>
    <v>123.87</v>
    <v>121.92</v>
    <v>120.5</v>
    <v>122.56</v>
    <v>122.54</v>
    <v>123.16</v>
    <v>124.44</v>
    <v>122.65</v>
    <v>126.93</v>
    <v>129.51</v>
    <v>130.28</v>
    <v>133.36000000000001</v>
    <v>133.22999999999999</v>
    <v>131.36000000000001</v>
    <v>132.5</v>
    <v>132.54</v>
    <v>133.15</v>
    <v>131.82</v>
    <v>130.68</v>
    <v>131.71</v>
    <v>132.44999999999999</v>
    <v>133.75</v>
    <v>119.46</v>
    <v>106.71</v>
    <v>106.25</v>
    <v>101.91</v>
    <v>113.74</v>
    <v>104.39</v>
    <v>107.57</v>
    <v>107.49</v>
    <v>106.95</v>
    <v>108.89</v>
    <v>111.93</v>
    <v>108.55</v>
    <v>111.22</v>
    <v>111.59</v>
    <v>112.77</v>
    <v>113.38</v>
    <v>114.7</v>
    <v>113.91</v>
    <v>110.71</v>
    <v>112.7</v>
    <v>114.95</v>
    <v>112.96</v>
    <v>113.14</v>
    <v>113.29</v>
    <v>117</v>
    <v>118.84</v>
    <v>123.27</v>
    <v>127.35</v>
    <v>126.73</v>
    <v>125.57</v>
    <v>125.45</v>
    <v>124.16</v>
    <v>123.51</v>
    <v>120.8</v>
    <v>120.73</v>
    <v>120.84</v>
    <v>122.75</v>
    <v>120.64</v>
    <v>121.18</v>
    <v>119.55</v>
    <v>121.12</v>
    <v>123.64</v>
    <v>120.61</v>
    <v>120.31</v>
    <v>123.23</v>
    <v>124.27</v>
    <v>126.1</v>
    <v>128.5</v>
    <v>129.33000000000001</v>
    <v>132.78</v>
    <v>133.1</v>
    <v>134.83000000000001</v>
    <v>133.86000000000001</v>
    <v>134.55000000000001</v>
    <v>128.96</v>
    <v>128.04</v>
    <v>126.14</v>
    <v>127.78</v>
    <v>127.2</v>
    <v>125.8</v>
    <v>126.88</v>
    <v>129.28</v>
    <v>129.16999999999999</v>
    <v>127.75</v>
    <v>131.81</v>
    <v>130.71</v>
    <v>132.29</v>
    <v>133.07</v>
    <v>131.68</v>
    <v>128.84</v>
    <v>126.74</v>
    <v>129.22</v>
    <v>129.41</v>
    <v>126.17</v>
    <v>127.57</v>
    <v>128.46</v>
    <v>128.79</v>
    <v>128.02000000000001</v>
    <v>130.93</v>
    <v>131.78</v>
    <v>129.69999999999999</v>
    <v>128.15</v>
    <v>123.7</v>
    <v>124.09</v>
    <v>125.04</v>
    <v>123.71</v>
    <v>122.54</v>
    <v>122.99</v>
    <v>121.81</v>
    <v>123.27</v>
    <v>124.93</v>
    <v>125.15</v>
    <v>124.52</v>
    <v>123.48</v>
    <v>122.92</v>
    <v>124.11</v>
    <v>124.36</v>
    <v>128.62</v>
    <v>129.96</v>
    <v>129.54</v>
    <v>131.4</v>
    <v>132.78</v>
    <v>133.01</v>
    <v>134.57</v>
    <v>130.84</v>
    <v>132.25</v>
    <v>129.63999999999999</v>
    <v>128.69</v>
    <v>129.03</v>
    <v>131.77000000000001</v>
    <v>131.37</v>
    <v>130.13</v>
    <v>129.34</v>
    <v>133.41999999999999</v>
    <v>133.33000000000001</v>
    <v>132.91999999999999</v>
    <v>130.1</v>
    <v>130.19</v>
    <v>133.24</v>
    <v>135.28</v>
    <v>136.09</v>
    <v>137.24</v>
    <v>133.5</v>
    <v>132.19999999999999</v>
    <v>134.49</v>
    <v>131.87</v>
    <v>133.19</v>
    <v>134.15</v>
    <v>133.72999999999999</v>
    <v>133.91999999999999</v>
    <v>131</v>
    <v>123.96</v>
    <v>127.21</v>
    <v>126.14</v>
    <v>125.93</v>
    <v>123.29</v>
    <v>123.57</v>
    <v>125.27</v>
    <v>124.34</v>
    <v>124.9</v>
    <v>129.66</v>
    <v>128.46</v>
    <v>128.35</v>
    <v>125.83</v>
    <v>126.36</v>
    <v>125.86</v>
    <v>126.82</v>
    <v>127.66</v>
    <v>125.93</v>
    <v>124.74</v>
    <v>126.84</v>
    <v>129.47999999999999</v>
    <v>131.41</v>
    <v>134.13</v>
    <v>132.05000000000001</v>
    <v>131.91999999999999</v>
    <v>134.01</v>
    <v>131.44</v>
    <v>133.49</v>
    <v>131.88</v>
    <v>128.56</v>
    <v>129.74</v>
    <v>130.83000000000001</v>
    <v>130.22</v>
    <v>131.68</v>
    <v>134.02000000000001</v>
    <v>135.08000000000001</v>
    <v>133.05000000000001</v>
    <v>136.47999999999999</v>
    <v>136.47999999999999</v>
    <v>136.69</v>
    <v>134.13</v>
    <v>134.55000000000001</v>
    <v>135.22</v>
    <v>133.01</v>
    <v>131.72999999999999</v>
    <v>129.88</v>
    <v>124.96</v>
    <v>127.9</v>
    <v>125.09</v>
    <v>125.56</v>
  </a>
  <a r="1" c="22">
    <v>131.88</v>
    <v>128.56</v>
    <v>129.74</v>
    <v>130.83000000000001</v>
    <v>130.22</v>
    <v>131.68</v>
    <v>134.02000000000001</v>
    <v>135.08000000000001</v>
    <v>133.05000000000001</v>
    <v>136.47999999999999</v>
    <v>136.47999999999999</v>
    <v>136.69</v>
    <v>134.13</v>
    <v>134.55000000000001</v>
    <v>135.22</v>
    <v>133.01</v>
    <v>131.72999999999999</v>
    <v>129.88</v>
    <v>124.96</v>
    <v>127.9</v>
    <v>125.09</v>
    <v>125.56</v>
  </a>
  <a r="1" c="254">
    <v>98.21</v>
    <v>96.91</v>
    <v>94.65</v>
    <v>95.17</v>
    <v>96.42</v>
    <v>96.68</v>
    <v>97.22</v>
    <v>97.01</v>
    <v>96.74</v>
    <v>96.3</v>
    <v>96.21</v>
    <v>96.68</v>
    <v>97.66</v>
    <v>96.81</v>
    <v>96.68</v>
    <v>96.81</v>
    <v>96.25</v>
    <v>95.33</v>
    <v>96.35</v>
    <v>97.73</v>
    <v>100.02</v>
    <v>100.14</v>
    <v>101.64</v>
    <v>99.61</v>
    <v>99.9</v>
    <v>100.85</v>
    <v>99.05</v>
    <v>97.82</v>
    <v>97.72</v>
    <v>100.15</v>
    <v>99.46</v>
    <v>100.13</v>
    <v>99.29</v>
    <v>100.28</v>
    <v>100.15</v>
    <v>99.93</v>
    <v>101.01</v>
    <v>101.42</v>
    <v>101.28</v>
    <v>101.52</v>
    <v>101.27</v>
    <v>102.15</v>
    <v>102.57</v>
    <v>102.55</v>
    <v>102.6</v>
    <v>102.27</v>
    <v>101.89</v>
    <v>102.15</v>
    <v>100.1</v>
    <v>101.64</v>
    <v>101.88</v>
    <v>100.24</v>
    <v>99.65</v>
    <v>97.57</v>
    <v>99.37</v>
    <v>100.16</v>
    <v>99.26</v>
    <v>98.95</v>
    <v>99.16</v>
    <v>100.93</v>
    <v>101.54</v>
    <v>100.31</v>
    <v>100.56</v>
    <v>100.92</v>
    <v>100.31</v>
    <v>100.39</v>
    <v>98.94</v>
    <v>99.61</v>
    <v>99.61</v>
    <v>100.27</v>
    <v>101.42</v>
    <v>101.75</v>
    <v>102.19</v>
    <v>101.73</v>
    <v>96.09</v>
    <v>94.7</v>
    <v>93.98</v>
    <v>97.8</v>
    <v>97.19</v>
    <v>98.42</v>
    <v>100.21</v>
    <v>100.11</v>
    <v>99.26</v>
    <v>100.23</v>
    <v>97.98</v>
    <v>100.47</v>
    <v>100.69</v>
    <v>100.84</v>
    <v>100.56</v>
    <v>101.27</v>
    <v>101.94</v>
    <v>101.72</v>
    <v>101.96</v>
    <v>102.64</v>
    <v>102.45</v>
    <v>103.49</v>
    <v>103.87</v>
    <v>103.06</v>
    <v>103.21</v>
    <v>102.29</v>
    <v>101.94</v>
    <v>101.55</v>
    <v>103.81</v>
    <v>105.24</v>
    <v>105.74</v>
    <v>106.11</v>
    <v>104.31</v>
    <v>102.94</v>
    <v>104.19</v>
    <v>105.05</v>
    <v>103.63</v>
    <v>104.32</v>
    <v>105.34</v>
    <v>105.71</v>
    <v>105.88</v>
    <v>104.2</v>
    <v>104.04</v>
    <v>104.35</v>
    <v>103.63</v>
    <v>103.87</v>
    <v>103.91</v>
    <v>105.19</v>
    <v>104.57</v>
    <v>103.47</v>
    <v>102.73</v>
    <v>102.95</v>
    <v>103.07</v>
    <v>104.36</v>
    <v>104.79</v>
    <v>103.27</v>
    <v>104.03</v>
    <v>104.16</v>
    <v>104.57</v>
    <v>104.83</v>
    <v>103.84</v>
    <v>104.71</v>
    <v>104.81</v>
    <v>103.7</v>
    <v>104.61</v>
    <v>105.4</v>
    <v>105.29</v>
    <v>105.77</v>
    <v>104.74</v>
    <v>104.81</v>
    <v>105.21</v>
    <v>106.97</v>
    <v>107.14</v>
    <v>108.47</v>
    <v>107.85</v>
    <v>107.8</v>
    <v>108.07</v>
    <v>106.98</v>
    <v>108.39</v>
    <v>108.87</v>
    <v>109.27</v>
    <v>109.3</v>
    <v>111.17</v>
    <v>110.03</v>
    <v>109.21</v>
    <v>110.34</v>
    <v>109.91</v>
    <v>109.7</v>
    <v>109.97</v>
    <v>110.1</v>
    <v>109.33</v>
    <v>109.01</v>
    <v>108.59</v>
    <v>109.69</v>
    <v>109.75</v>
    <v>109.07</v>
    <v>109.6</v>
    <v>108.27</v>
    <v>108.63</v>
    <v>108.81</v>
    <v>107.97</v>
    <v>107.73</v>
    <v>107.27</v>
    <v>107.05</v>
    <v>106.95</v>
    <v>106.48</v>
    <v>105.44</v>
    <v>106.12</v>
    <v>107.64</v>
    <v>108.25</v>
    <v>108.75</v>
    <v>108.8</v>
    <v>106.36</v>
    <v>106.68</v>
    <v>106.83</v>
    <v>107.49</v>
    <v>108.4</v>
    <v>108.93</v>
    <v>109.63</v>
    <v>108.65</v>
    <v>110.28</v>
    <v>110.63</v>
    <v>110.9</v>
    <v>111.71</v>
    <v>111.31</v>
    <v>112.54</v>
    <v>113.47</v>
    <v>113.96</v>
    <v>114.8</v>
    <v>114.41</v>
    <v>113.93</v>
    <v>114.69</v>
    <v>115.56</v>
    <v>116.84</v>
    <v>115.75</v>
    <v>115.4</v>
    <v>115.4</v>
    <v>114.25</v>
    <v>114.06</v>
    <v>113.94</v>
    <v>115.18</v>
    <v>115.35</v>
    <v>113.35</v>
    <v>112.93</v>
    <v>112.62</v>
    <v>111.83</v>
    <v>111.78</v>
    <v>111.55</v>
    <v>111.6</v>
    <v>111.15</v>
    <v>112.53</v>
    <v>112.49</v>
    <v>112.62</v>
    <v>112.79</v>
    <v>111.44</v>
    <v>111.7</v>
    <v>112.56</v>
    <v>112.34</v>
    <v>111.75</v>
    <v>111.24</v>
    <v>111.43</v>
    <v>112.4</v>
    <v>112.15</v>
    <v>113.56</v>
    <v>114.31</v>
    <v>111.81</v>
    <v>111.05</v>
    <v>110.72</v>
    <v>110.48</v>
    <v>109.54</v>
    <v>108.14</v>
    <v>108.09</v>
    <v>108.03</v>
    <v>108.94</v>
    <v>108.59</v>
    <v>109.54</v>
    <v>108.52</v>
    <v>107.77</v>
    <v>108.76</v>
    <v>107.4</v>
  </a>
  <a r="1" c="22">
    <v>111.75</v>
    <v>111.24</v>
    <v>111.43</v>
    <v>112.4</v>
    <v>112.15</v>
    <v>113.56</v>
    <v>114.31</v>
    <v>111.81</v>
    <v>111.05</v>
    <v>110.72</v>
    <v>110.48</v>
    <v>109.54</v>
    <v>108.14</v>
    <v>108.09</v>
    <v>108.03</v>
    <v>108.94</v>
    <v>108.59</v>
    <v>109.54</v>
    <v>108.52</v>
    <v>107.77</v>
    <v>108.76</v>
    <v>107.4</v>
  </a>
  <a r="1" c="254">
    <v>25.04</v>
    <v>24.6</v>
    <v>23.69</v>
    <v>23.43</v>
    <v>23.82</v>
    <v>23.9</v>
    <v>24.1</v>
    <v>24.17</v>
    <v>23.93</v>
    <v>23.82</v>
    <v>23.97</v>
    <v>23.8</v>
    <v>24.1</v>
    <v>23.87</v>
    <v>23.75</v>
    <v>23.72</v>
    <v>23.24</v>
    <v>23.42</v>
    <v>23.59</v>
    <v>23.68</v>
    <v>24.05</v>
    <v>24.02</v>
    <v>24.46</v>
    <v>24.07</v>
    <v>24.26</v>
    <v>24.37</v>
    <v>24.57</v>
    <v>24.35</v>
    <v>24.02</v>
    <v>24.39</v>
    <v>24.32</v>
    <v>24.18</v>
    <v>24.22</v>
    <v>24.55</v>
    <v>24.63</v>
    <v>24.54</v>
    <v>24.58</v>
    <v>24.63</v>
    <v>24.49</v>
    <v>24.81</v>
    <v>24.71</v>
    <v>24.83</v>
    <v>24.78</v>
    <v>24.91</v>
    <v>24.69</v>
    <v>24.73</v>
    <v>24.94</v>
    <v>24.83</v>
    <v>24.86</v>
    <v>24.99</v>
    <v>25.07</v>
    <v>24.88</v>
    <v>25.13</v>
    <v>24.52</v>
    <v>24.66</v>
    <v>24.37</v>
    <v>24.22</v>
    <v>24.23</v>
    <v>23.81</v>
    <v>24.2</v>
    <v>24.6</v>
    <v>24.28</v>
    <v>24.29</v>
    <v>24.27</v>
    <v>24</v>
    <v>24.34</v>
    <v>24.16</v>
    <v>24.24</v>
    <v>24.13</v>
    <v>24.13</v>
    <v>24.26</v>
    <v>24.29</v>
    <v>24.45</v>
    <v>23.71</v>
    <v>22.62</v>
    <v>21.94</v>
    <v>21.59</v>
    <v>22.88</v>
    <v>22.44</v>
    <v>22.75</v>
    <v>23.22</v>
    <v>23.27</v>
    <v>23.32</v>
    <v>23.69</v>
    <v>23.3</v>
    <v>23.69</v>
    <v>23.74</v>
    <v>23.9</v>
    <v>23.88</v>
    <v>24.05</v>
    <v>24.01</v>
    <v>24.17</v>
    <v>24.26</v>
    <v>24.56</v>
    <v>24.54</v>
    <v>24.44</v>
    <v>24.44</v>
    <v>24.3</v>
    <v>24.49</v>
    <v>24.59</v>
    <v>24.34</v>
    <v>24.14</v>
    <v>24.48</v>
    <v>24.76</v>
    <v>24.81</v>
    <v>24.72</v>
    <v>24.19</v>
    <v>24.1</v>
    <v>24.19</v>
    <v>24.58</v>
    <v>24.61</v>
    <v>24.83</v>
    <v>24.85</v>
    <v>24.93</v>
    <v>24.79</v>
    <v>24.83</v>
    <v>24.82</v>
    <v>24.99</v>
    <v>24.99</v>
    <v>25.15</v>
    <v>25.04</v>
    <v>25.16</v>
    <v>24.92</v>
    <v>24.72</v>
    <v>24.7</v>
    <v>24.77</v>
    <v>24.73</v>
    <v>25.01</v>
    <v>25.07</v>
    <v>24.55</v>
    <v>24.61</v>
    <v>24.58</v>
    <v>24.7</v>
    <v>24.86</v>
    <v>24.88</v>
    <v>24.95</v>
    <v>24.74</v>
    <v>24.68</v>
    <v>24.68</v>
    <v>24.78</v>
    <v>24.72</v>
    <v>24.91</v>
    <v>24.6</v>
    <v>24.8</v>
    <v>24.73</v>
    <v>24.77</v>
    <v>24.89</v>
    <v>25.24</v>
    <v>25.26</v>
    <v>25.11</v>
    <v>25.11</v>
    <v>24.74</v>
    <v>25.12</v>
    <v>24.81</v>
    <v>24.46</v>
    <v>24.45</v>
    <v>24.71</v>
    <v>24.86</v>
    <v>24.74</v>
    <v>24.84</v>
    <v>24.72</v>
    <v>24.6</v>
    <v>24.73</v>
    <v>24.96</v>
    <v>24.79</v>
    <v>24.89</v>
    <v>24.7</v>
    <v>25.05</v>
    <v>25.15</v>
    <v>25.05</v>
    <v>25.43</v>
    <v>25.27</v>
    <v>25.24</v>
    <v>25.49</v>
    <v>25.46</v>
    <v>25.58</v>
    <v>25.12</v>
    <v>25.19</v>
    <v>25.35</v>
    <v>25.6</v>
    <v>25.57</v>
    <v>25.51</v>
    <v>25.53</v>
    <v>25.91</v>
    <v>25.86</v>
    <v>25.85</v>
    <v>25.52</v>
    <v>25.42</v>
    <v>25.46</v>
    <v>25.33</v>
    <v>25.37</v>
    <v>25.51</v>
    <v>25.25</v>
    <v>25.16</v>
    <v>25.4</v>
    <v>25.4</v>
    <v>25.56</v>
    <v>25.64</v>
    <v>25.53</v>
    <v>25.68</v>
    <v>25.51</v>
    <v>25.37</v>
    <v>25.23</v>
    <v>25.07</v>
    <v>24.8</v>
    <v>25.01</v>
    <v>25.2</v>
    <v>25.49</v>
    <v>25.48</v>
    <v>25.62</v>
    <v>25.84</v>
    <v>25.7</v>
    <v>25.85</v>
    <v>25.88</v>
    <v>25.93</v>
    <v>26.02</v>
    <v>25.62</v>
    <v>25.11</v>
    <v>25.17</v>
    <v>25.21</v>
    <v>25.23</v>
    <v>25.18</v>
    <v>25.21</v>
    <v>25.18</v>
    <v>25.52</v>
    <v>25.47</v>
    <v>25.69</v>
    <v>25.5</v>
    <v>25.21</v>
    <v>25.2</v>
    <v>25.08</v>
    <v>25.12</v>
    <v>24.95</v>
    <v>24.83</v>
    <v>25.15</v>
    <v>25.12</v>
    <v>25.39</v>
    <v>25.55</v>
    <v>25.66</v>
    <v>25.4</v>
    <v>25.39</v>
    <v>25.42</v>
    <v>25.3</v>
    <v>25.26</v>
    <v>25.04</v>
    <v>24.95</v>
    <v>25.05</v>
    <v>25.12</v>
    <v>25.11</v>
    <v>24.87</v>
    <v>24.72</v>
    <v>24.79</v>
    <v>24.76</v>
    <v>24.71</v>
  </a>
  <a r="1" c="22">
    <v>24.95</v>
    <v>24.83</v>
    <v>25.15</v>
    <v>25.12</v>
    <v>25.39</v>
    <v>25.55</v>
    <v>25.66</v>
    <v>25.4</v>
    <v>25.39</v>
    <v>25.42</v>
    <v>25.3</v>
    <v>25.26</v>
    <v>25.04</v>
    <v>24.95</v>
    <v>25.05</v>
    <v>25.12</v>
    <v>25.11</v>
    <v>24.87</v>
    <v>24.72</v>
    <v>24.79</v>
    <v>24.76</v>
    <v>24.71</v>
  </a>
  <a r="1" c="22">
    <v>179.2336</v>
    <v>175.4</v>
    <v>178.44</v>
    <v>180.82</v>
    <v>184.57</v>
    <v>183.89</v>
    <v>186.39</v>
    <v>184.77</v>
    <v>185.72</v>
    <v>189.39</v>
    <v>191.56</v>
    <v>191.7</v>
    <v>192.923</v>
    <v>194.81</v>
    <v>195.34</v>
    <v>195.8</v>
    <v>192.58</v>
    <v>186.85</v>
    <v>188.535</v>
    <v>187.58</v>
    <v>189.17</v>
    <v>190.71969999999999</v>
  </a>
  <a r="1" c="254">
    <v>203.6</v>
    <v>202.23</v>
    <v>192.62</v>
    <v>191.61</v>
    <v>194.59</v>
    <v>193.25</v>
    <v>195.09</v>
    <v>197.14</v>
    <v>193.08</v>
    <v>190.69</v>
    <v>188.96</v>
    <v>189.46539999999999</v>
    <v>193.85</v>
    <v>194.52</v>
    <v>190.37</v>
    <v>187.93</v>
    <v>183.75</v>
    <v>182.25</v>
    <v>184.75</v>
    <v>189.38</v>
    <v>189.54</v>
    <v>189.82</v>
    <v>193.08</v>
    <v>193.23</v>
    <v>193.87</v>
    <v>193.76</v>
    <v>190.89</v>
    <v>196.49</v>
    <v>193.92</v>
    <v>194.62029999999999</v>
    <v>194.36</v>
    <v>193.57</v>
    <v>196.2</v>
    <v>197.94</v>
    <v>196.85</v>
    <v>195.26</v>
    <v>197.42</v>
    <v>194.47</v>
    <v>194.17</v>
    <v>197.17</v>
    <v>195.44</v>
    <v>195.94</v>
    <v>193.24</v>
    <v>190.35</v>
    <v>184.48</v>
    <v>181.78</v>
    <v>178.48</v>
    <v>179.19</v>
    <v>175.56</v>
    <v>176.15</v>
    <v>171.66</v>
    <v>171.69</v>
    <v>174.62</v>
    <v>168.87</v>
    <v>168.87</v>
    <v>161.41999999999999</v>
    <v>162.05000000000001</v>
    <v>163.86</v>
    <v>159.76</v>
    <v>166.12</v>
    <v>168.73</v>
    <v>166.84</v>
    <v>169.96</v>
    <v>167.39</v>
    <v>167.49</v>
    <v>172.77</v>
    <v>173.71</v>
    <v>169.83</v>
    <v>166.82</v>
    <v>162.22999999999999</v>
    <v>159.86000000000001</v>
    <v>162.49</v>
    <v>164.57</v>
    <v>154.38</v>
    <v>145.87</v>
    <v>145.66</v>
    <v>141.65</v>
    <v>157.88</v>
    <v>151.22999999999999</v>
    <v>152.44</v>
    <v>152.99</v>
    <v>153.57</v>
    <v>150.44569999999999</v>
    <v>150.40180000000001</v>
    <v>145.96719999999999</v>
    <v>150.61000000000001</v>
    <v>155.19999999999999</v>
    <v>160.9999</v>
    <v>163.11600000000001</v>
    <v>163.2028</v>
    <v>164.74</v>
    <v>163.01</v>
    <v>164.51</v>
    <v>167.81</v>
    <v>166.45</v>
    <v>165.42</v>
    <v>167.8</v>
    <v>173.24</v>
    <v>173.13</v>
    <v>179.93</v>
    <v>182.51</v>
    <v>181.93</v>
    <v>180.83</v>
    <v>183.69</v>
    <v>181.7465</v>
    <v>182.41</v>
    <v>177.3</v>
    <v>179.9</v>
    <v>178.06</v>
    <v>181.77</v>
    <v>180.17</v>
    <v>179.12</v>
    <v>179.1</v>
    <v>179.3</v>
    <v>183.02</v>
    <v>185.01</v>
    <v>183.66</v>
    <v>187.03</v>
    <v>187.15</v>
    <v>186.49</v>
    <v>185.55</v>
    <v>183.87</v>
    <v>179.28</v>
    <v>183.41</v>
    <v>181.79</v>
    <v>181.14</v>
    <v>179.53</v>
    <v>181.21</v>
    <v>185.62</v>
    <v>183.46</v>
    <v>187.04</v>
    <v>186.46</v>
    <v>189.82</v>
    <v>189.44</v>
    <v>191.7</v>
    <v>195.67</v>
    <v>193.82</v>
    <v>194.73</v>
    <v>195.53</v>
    <v>192.05</v>
    <v>185.99</v>
    <v>188.05</v>
    <v>186.7765</v>
    <v>188.95</v>
    <v>192.09559999999999</v>
    <v>191.96</v>
    <v>191.49</v>
    <v>192.91650000000001</v>
    <v>194.7072</v>
    <v>193.28129999999999</v>
    <v>193.28270000000001</v>
    <v>193.48650000000001</v>
    <v>191.73</v>
    <v>190.41</v>
    <v>186.91</v>
    <v>180.98</v>
    <v>185.85</v>
    <v>183.3973</v>
    <v>185.37</v>
    <v>181.57</v>
    <v>178.93</v>
    <v>177.48</v>
    <v>180.13</v>
    <v>184.70519999999999</v>
    <v>183.19</v>
    <v>183.99</v>
    <v>186.09889999999999</v>
    <v>182.86600000000001</v>
    <v>182.1087</v>
    <v>182.1</v>
    <v>188.21</v>
    <v>185.92</v>
    <v>185.78</v>
    <v>188.94</v>
    <v>190.85</v>
    <v>190.78</v>
    <v>188.74</v>
    <v>188.01</v>
    <v>187.34</v>
    <v>190.92</v>
    <v>193.51</v>
    <v>194.72</v>
    <v>192.07</v>
    <v>195.41</v>
    <v>194.01300000000001</v>
    <v>195.5583</v>
    <v>197.08</v>
    <v>199.01</v>
    <v>202.35</v>
    <v>201.98</v>
    <v>205.24</v>
    <v>202.87</v>
    <v>201.53219999999999</v>
    <v>197.96</v>
    <v>199.51</v>
    <v>200.84540000000001</v>
    <v>197.76</v>
    <v>196.86</v>
    <v>199.25</v>
    <v>199.44</v>
    <v>201.88399999999999</v>
    <v>198.44</v>
    <v>201.24</v>
    <v>201.87</v>
    <v>194.51750000000001</v>
    <v>199.38</v>
    <v>200.63</v>
    <v>200.82</v>
    <v>196.22739999999999</v>
    <v>195.3355</v>
    <v>199.11</v>
    <v>200.89</v>
    <v>196.57</v>
    <v>198.97499999999999</v>
    <v>202.28219999999999</v>
    <v>203.47</v>
    <v>202.25</v>
    <v>197.77</v>
    <v>196.08199999999999</v>
    <v>198.52930000000001</v>
    <v>198.34</v>
    <v>190.75</v>
    <v>193.9982</v>
    <v>189.83</v>
    <v>191.04</v>
    <v>193</v>
    <v>192.28550000000001</v>
    <v>191.37</v>
    <v>185.35</v>
    <v>184.89</v>
    <v>179.68</v>
    <v>179.79</v>
    <v>179.2336</v>
    <v>175.4</v>
    <v>178.44</v>
    <v>180.82</v>
    <v>184.57</v>
    <v>183.89</v>
    <v>186.39</v>
    <v>184.77</v>
    <v>185.72</v>
    <v>189.39</v>
    <v>191.56</v>
    <v>191.7</v>
    <v>192.923</v>
    <v>194.81</v>
    <v>195.34</v>
    <v>195.8</v>
    <v>192.58</v>
    <v>186.85</v>
    <v>188.535</v>
    <v>187.58</v>
    <v>189.17</v>
    <v>190.71969999999999</v>
  </a>
  <a r="1" c="254">
    <v>137.25</v>
    <v>137.66</v>
    <v>132.32</v>
    <v>131.21</v>
    <v>132.72999999999999</v>
    <v>133.61000000000001</v>
    <v>133.94999999999999</v>
    <v>134.66999999999999</v>
    <v>133.52000000000001</v>
    <v>131.66999999999999</v>
    <v>132.21</v>
    <v>132.91</v>
    <v>134.15</v>
    <v>134.29</v>
    <v>135.47</v>
    <v>134.83000000000001</v>
    <v>132.72999999999999</v>
    <v>134.02000000000001</v>
    <v>131.57</v>
    <v>133.41999999999999</v>
    <v>132.96</v>
    <v>132.65</v>
    <v>136.1</v>
    <v>136.29</v>
    <v>138.25</v>
    <v>137.30000000000001</v>
    <v>138.37</v>
    <v>138.16</v>
    <v>137.49</v>
    <v>138.87</v>
    <v>138.66</v>
    <v>137.85</v>
    <v>138.81</v>
    <v>142.33000000000001</v>
    <v>140.56</v>
    <v>137.66999999999999</v>
    <v>136.15</v>
    <v>134.24</v>
    <v>135.47</v>
    <v>137.04</v>
    <v>136.55000000000001</v>
    <v>137.11000000000001</v>
    <v>138.74</v>
    <v>139.43</v>
    <v>138.91</v>
    <v>138.74</v>
    <v>137.86000000000001</v>
    <v>137.04</v>
    <v>135.47999999999999</v>
    <v>137.03</v>
    <v>134.24</v>
    <v>134.36000000000001</v>
    <v>136.79</v>
    <v>136.21</v>
    <v>136.94999999999999</v>
    <v>135.84</v>
    <v>133.99</v>
    <v>134.25</v>
    <v>133.13999999999999</v>
    <v>134.19</v>
    <v>136.1</v>
    <v>134.09</v>
    <v>134.57</v>
    <v>132.74</v>
    <v>133.58000000000001</v>
    <v>135.31</v>
    <v>132.97</v>
    <v>131.13999999999999</v>
    <v>131.58000000000001</v>
    <v>130.29</v>
    <v>127.9</v>
    <v>124.44</v>
    <v>126.79</v>
    <v>123.79</v>
    <v>117.16</v>
    <v>116.21</v>
    <v>112.02</v>
    <v>118.63</v>
    <v>113.14</v>
    <v>116.96</v>
    <v>120.3</v>
    <v>119.85</v>
    <v>117.79</v>
    <v>118.29</v>
    <v>117.24</v>
    <v>120.43</v>
    <v>122</v>
    <v>124.2</v>
    <v>123.22</v>
    <v>124.62</v>
    <v>124.75</v>
    <v>126.58</v>
    <v>124.88</v>
    <v>126.6</v>
    <v>125.86</v>
    <v>118.6</v>
    <v>119.4</v>
    <v>119.18</v>
    <v>116.63</v>
    <v>122.05</v>
    <v>119.53</v>
    <v>116.92</v>
    <v>119.24</v>
    <v>121.16</v>
    <v>122.51</v>
    <v>124.67</v>
    <v>121.69</v>
    <v>121.42</v>
    <v>121.25</v>
    <v>122.85</v>
    <v>121.91</v>
    <v>124.24</v>
    <v>121.72</v>
    <v>123.71</v>
    <v>124.83</v>
    <v>125.12</v>
    <v>125.06</v>
    <v>126.96</v>
    <v>127.59</v>
    <v>128.79</v>
    <v>127.86</v>
    <v>129</v>
    <v>128</v>
    <v>127.85</v>
    <v>125.32</v>
    <v>125.77</v>
    <v>125.51</v>
    <v>124.94</v>
    <v>127.41</v>
    <v>126.69</v>
    <v>127.01</v>
    <v>126.47</v>
    <v>126.51</v>
    <v>127.63</v>
    <v>129.55000000000001</v>
    <v>130</v>
    <v>128.12</v>
    <v>129.33000000000001</v>
    <v>132.29</v>
    <v>133.65</v>
    <v>131.59</v>
    <v>131.88999999999999</v>
    <v>129.05000000000001</v>
    <v>131.18</v>
    <v>131.74</v>
    <v>129.72999999999999</v>
    <v>129.13</v>
    <v>132.84</v>
    <v>135.41</v>
    <v>135.43</v>
    <v>135.5</v>
    <v>134.11000000000001</v>
    <v>133.86000000000001</v>
    <v>133.69999999999999</v>
    <v>132.76</v>
    <v>133.04</v>
    <v>135.37</v>
    <v>133.41</v>
    <v>131.49</v>
    <v>131.22999999999999</v>
    <v>132.04</v>
    <v>131.74</v>
    <v>134</v>
    <v>137.1</v>
    <v>137.27000000000001</v>
    <v>138.76</v>
    <v>138.38</v>
    <v>137.88999999999999</v>
    <v>138.41999999999999</v>
    <v>138.76</v>
    <v>139.84</v>
    <v>137.07</v>
    <v>138.47</v>
    <v>138.59</v>
    <v>138.21</v>
    <v>138.22</v>
    <v>140.41</v>
    <v>140.36000000000001</v>
    <v>140.35</v>
    <v>143.12</v>
    <v>142.21</v>
    <v>142.94</v>
    <v>140.65</v>
    <v>143.80000000000001</v>
    <v>140.97999999999999</v>
    <v>140.72</v>
    <v>140.94</v>
    <v>141</v>
    <v>143.63</v>
    <v>142.72</v>
    <v>143.41</v>
    <v>142.49</v>
    <v>141.63999999999999</v>
    <v>139.07</v>
    <v>140.96</v>
    <v>142.41</v>
    <v>144.37</v>
    <v>148.51</v>
    <v>149.62</v>
    <v>151</v>
    <v>150.52000000000001</v>
    <v>150.47999999999999</v>
    <v>151.99</v>
    <v>152.05000000000001</v>
    <v>149.94999999999999</v>
    <v>150.94</v>
    <v>151.32</v>
    <v>153.38999999999999</v>
    <v>153.41999999999999</v>
    <v>154.19</v>
    <v>156.49</v>
    <v>156.03</v>
    <v>153.91999999999999</v>
    <v>154.58000000000001</v>
    <v>155.16</v>
    <v>157.11000000000001</v>
    <v>157.66</v>
    <v>156.97</v>
    <v>157.31</v>
    <v>159.38</v>
    <v>157.46</v>
    <v>156.08000000000001</v>
    <v>158.31</v>
    <v>158.43</v>
    <v>157.72</v>
    <v>159.54</v>
    <v>164.14</v>
    <v>164.96</v>
    <v>163.32</v>
    <v>164.19</v>
    <v>165.26</v>
    <v>166.47</v>
    <v>165.22</v>
    <v>164.24</v>
    <v>167.52</v>
    <v>169.71</v>
    <v>172.33</v>
    <v>173.66</v>
    <v>173.83</v>
    <v>170.11</v>
    <v>169.22</v>
    <v>172.23</v>
    <v>172.11</v>
    <v>171.16</v>
    <v>169.95</v>
    <v>167.09</v>
    <v>168.93</v>
    <v>170.28</v>
    <v>169.42</v>
    <v>169.38</v>
    <v>168.11</v>
    <v>167.53</v>
    <v>166.19</v>
    <v>170.2</v>
  </a>
  <a r="1" c="22">
    <v>165.22</v>
    <v>164.24</v>
    <v>167.52</v>
    <v>169.71</v>
    <v>172.33</v>
    <v>173.66</v>
    <v>173.83</v>
    <v>170.11</v>
    <v>169.22</v>
    <v>172.23</v>
    <v>172.11</v>
    <v>171.16</v>
    <v>169.95</v>
    <v>167.09</v>
    <v>168.93</v>
    <v>170.28</v>
    <v>169.42</v>
    <v>169.38</v>
    <v>168.11</v>
    <v>167.53</v>
    <v>166.19</v>
    <v>170.2</v>
  </a>
  <a r="1" c="22">
    <v>106.355</v>
    <v>106.33</v>
    <v>106.27500000000001</v>
    <v>106.36</v>
    <v>106.7</v>
    <v>106.99</v>
    <v>107.09</v>
    <v>107.07</v>
    <v>107.25</v>
    <v>107.61499999999999</v>
    <v>107.45</v>
    <v>107.42</v>
    <v>107.38500000000001</v>
    <v>107.265</v>
    <v>107.87</v>
    <v>108.319</v>
    <v>108.3</v>
    <v>108.44</v>
    <v>108.39</v>
    <v>108.325</v>
    <v>108.15</v>
    <v>108.05</v>
  </a>
  <a r="1" c="254">
    <v>97</v>
    <v>96.84</v>
    <v>95.67</v>
    <v>95.71</v>
    <v>96.31</v>
    <v>96.08</v>
    <v>95.932000000000002</v>
    <v>96.24</v>
    <v>96.284999999999997</v>
    <v>96.0411</v>
    <v>95.66</v>
    <v>94.67</v>
    <v>95.08</v>
    <v>95.87</v>
    <v>95.46</v>
    <v>95.22</v>
    <v>94.54</v>
    <v>94.314999999999998</v>
    <v>95.11</v>
    <v>95.03</v>
    <v>95.06</v>
    <v>94.88</v>
    <v>96.22</v>
    <v>96.13</v>
    <v>96.2</v>
    <v>96.93</v>
    <v>96.88</v>
    <v>96.36</v>
    <v>96.18</v>
    <v>96.15</v>
    <v>95.83</v>
    <v>95.01</v>
    <v>95.835099999999997</v>
    <v>96</v>
    <v>95.88</v>
    <v>95.314999999999998</v>
    <v>95.140100000000004</v>
    <v>95.66</v>
    <v>95.931100000000001</v>
    <v>96.58</v>
    <v>96.866799999999998</v>
    <v>96.48</v>
    <v>96.27</v>
    <v>96.96</v>
    <v>96.58</v>
    <v>96.66</v>
    <v>97.13</v>
    <v>96.86</v>
    <v>96.1</v>
    <v>95.84</v>
    <v>96.73</v>
    <v>97.93</v>
    <v>99.59</v>
    <v>99.56</v>
    <v>100.1</v>
    <v>100.01</v>
    <v>100.83</v>
    <v>100.55</v>
    <v>100.15</v>
    <v>100.49</v>
    <v>100.85</v>
    <v>101.09</v>
    <v>100.63</v>
    <v>100.22</v>
    <v>99.9</v>
    <v>99.78</v>
    <v>99.72</v>
    <v>99.32</v>
    <v>99.7</v>
    <v>99.97</v>
    <v>99.9</v>
    <v>99.56</v>
    <v>100.13</v>
    <v>101.49</v>
    <v>100.97</v>
    <v>100.69</v>
    <v>101.11</v>
    <v>100.96</v>
    <v>103.47</v>
    <v>104.73</v>
    <v>104.84</v>
    <v>104.18</v>
    <v>105.14</v>
    <v>105.02</v>
    <v>106.36</v>
    <v>105.49</v>
    <v>104.62</v>
    <v>105.13</v>
    <v>104.91</v>
    <v>105.51</v>
    <v>105.12</v>
    <v>104.63</v>
    <v>104.17</v>
    <v>104.31</v>
    <v>104.43</v>
    <v>104.97</v>
    <v>104.38</v>
    <v>103.63</v>
    <v>103.91</v>
    <v>102.35</v>
    <v>103.25</v>
    <v>103.04</v>
    <v>103.18</v>
    <v>102.87</v>
    <v>103.76</v>
    <v>104.13</v>
    <v>104.49</v>
    <v>104.08</v>
    <v>104.89</v>
    <v>104.64</v>
    <v>104.24</v>
    <v>104.95</v>
    <v>104.87</v>
    <v>105.59</v>
    <v>104.92</v>
    <v>105.3</v>
    <v>105.55</v>
    <v>105.18</v>
    <v>105.43</v>
    <v>105.49</v>
    <v>105.96</v>
    <v>106.83</v>
    <v>106.62</v>
    <v>106.68</v>
    <v>106.02</v>
    <v>105.9</v>
    <v>106.3</v>
    <v>106.89</v>
    <v>107.21</v>
    <v>107.64</v>
    <v>108.07</v>
    <v>108.1</v>
    <v>108.79</v>
    <v>108.8</v>
    <v>108.91</v>
    <v>108.49</v>
    <v>108.15</v>
    <v>108.21</v>
    <v>108.17</v>
    <v>107.91</v>
    <v>107.85</v>
    <v>107.69</v>
    <v>107.05</v>
    <v>107.39</v>
    <v>107.02</v>
    <v>107.22</v>
    <v>107.89</v>
    <v>108.48</v>
    <v>108.66</v>
    <v>108.53</v>
    <v>108.42</v>
    <v>106.99</v>
    <v>106.59</v>
    <v>105.43</v>
    <v>105.31</v>
    <v>106.69</v>
    <v>106.73</v>
    <v>106.75</v>
    <v>107.54</v>
    <v>107.5</v>
    <v>107.42</v>
    <v>107.06</v>
    <v>107.73</v>
    <v>107.95099999999999</v>
    <v>107.47</v>
    <v>107.96</v>
    <v>107.65</v>
    <v>107.46</v>
    <v>107.52</v>
    <v>107.06</v>
    <v>108.19</v>
    <v>107.16</v>
    <v>107.47</v>
    <v>107.395</v>
    <v>107.8</v>
    <v>107.995</v>
    <v>107.42</v>
    <v>107.59</v>
    <v>107.48</v>
    <v>108.14</v>
    <v>108.53</v>
    <v>108.02</v>
    <v>107.96</v>
    <v>108.29</v>
    <v>108.32</v>
    <v>108.6</v>
    <v>109.49</v>
    <v>109.12</v>
    <v>108.73</v>
    <v>108.4</v>
    <v>108.89</v>
    <v>109.05</v>
    <v>108.33</v>
    <v>107.59</v>
    <v>108.02</v>
    <v>108.22</v>
    <v>108.37</v>
    <v>108.205</v>
    <v>108.07</v>
    <v>108.28</v>
    <v>108</v>
    <v>107.46</v>
    <v>107.25</v>
    <v>106.62</v>
    <v>107.16</v>
    <v>106.72</v>
    <v>107.071</v>
    <v>107.43</v>
    <v>107.86</v>
    <v>107.7</v>
    <v>107.42</v>
    <v>107.04</v>
    <v>107.11499999999999</v>
    <v>107.205</v>
    <v>107.36</v>
    <v>107.52</v>
    <v>107.54</v>
    <v>107.05</v>
    <v>106.72</v>
    <v>106.37</v>
    <v>106.25</v>
    <v>105.9</v>
    <v>105.96</v>
    <v>106.5</v>
    <v>106.66500000000001</v>
    <v>106.685</v>
    <v>106.869</v>
    <v>106.92</v>
    <v>107.34</v>
    <v>107.2</v>
    <v>106.925</v>
    <v>106.855</v>
    <v>106.355</v>
    <v>106.33</v>
    <v>106.27500000000001</v>
    <v>106.36</v>
    <v>106.7</v>
    <v>106.99</v>
    <v>107.09</v>
    <v>107.07</v>
    <v>107.25</v>
    <v>107.61499999999999</v>
    <v>107.45</v>
    <v>107.42</v>
    <v>107.38500000000001</v>
    <v>107.265</v>
    <v>107.87</v>
    <v>108.319</v>
    <v>108.3</v>
    <v>108.44</v>
    <v>108.39</v>
    <v>108.325</v>
    <v>108.15</v>
    <v>108.05</v>
  </a>
  <a r="1" c="22">
    <v>152.33000000000001</v>
    <v>151.41999999999999</v>
    <v>154.61000000000001</v>
    <v>155.26</v>
    <v>158.77000000000001</v>
    <v>158.41999999999999</v>
    <v>157.65</v>
    <v>155.29</v>
    <v>154.36000000000001</v>
    <v>155.08000000000001</v>
    <v>153.9</v>
    <v>153.26</v>
    <v>151.43</v>
    <v>149.96</v>
    <v>152.13999999999999</v>
    <v>153.58000000000001</v>
    <v>154.06</v>
    <v>156.1</v>
    <v>154.07</v>
    <v>153.79</v>
    <v>153.91</v>
    <v>154.94</v>
  </a>
  <a r="1" c="254">
    <v>139.31</v>
    <v>139.21</v>
    <v>137.32</v>
    <v>136.28</v>
    <v>138</v>
    <v>138.75</v>
    <v>139.32</v>
    <v>139.6</v>
    <v>138.94999999999999</v>
    <v>137.24</v>
    <v>137.57</v>
    <v>137.61000000000001</v>
    <v>138.96</v>
    <v>139.02000000000001</v>
    <v>139.71</v>
    <v>140.43</v>
    <v>139.63999999999999</v>
    <v>141.46</v>
    <v>140</v>
    <v>140.57</v>
    <v>141.13</v>
    <v>140.18</v>
    <v>142.5</v>
    <v>142.18</v>
    <v>144.08000000000001</v>
    <v>144.31</v>
    <v>147.55000000000001</v>
    <v>146.52000000000001</v>
    <v>145.66</v>
    <v>147.34</v>
    <v>146.87</v>
    <v>147.44</v>
    <v>147.04</v>
    <v>148.44999999999999</v>
    <v>147.12</v>
    <v>146.43</v>
    <v>146.30000000000001</v>
    <v>146.03</v>
    <v>145.82</v>
    <v>146.38999999999999</v>
    <v>144.80000000000001</v>
    <v>144.52000000000001</v>
    <v>146.4</v>
    <v>147.22</v>
    <v>146.43</v>
    <v>147.62</v>
    <v>148.88999999999999</v>
    <v>147.82</v>
    <v>147.22</v>
    <v>148.93</v>
    <v>149.58000000000001</v>
    <v>148.19</v>
    <v>149.68</v>
    <v>149.27000000000001</v>
    <v>149.28</v>
    <v>147.66999999999999</v>
    <v>146.06</v>
    <v>144.6</v>
    <v>143.83000000000001</v>
    <v>144.93</v>
    <v>146.77000000000001</v>
    <v>146.84</v>
    <v>146.91999999999999</v>
    <v>147.01</v>
    <v>146.6</v>
    <v>147.15</v>
    <v>145.27000000000001</v>
    <v>144.74</v>
    <v>144.97</v>
    <v>144.52000000000001</v>
    <v>146.01</v>
    <v>143.34</v>
    <v>144.30000000000001</v>
    <v>143.13</v>
    <v>135.28</v>
    <v>134.47</v>
    <v>132.97999999999999</v>
    <v>138.76</v>
    <v>134.88999999999999</v>
    <v>136.87</v>
    <v>138.54</v>
    <v>137.69</v>
    <v>136.29</v>
    <v>135.49</v>
    <v>132.57</v>
    <v>135.06</v>
    <v>135.72999999999999</v>
    <v>137.38999999999999</v>
    <v>138.05000000000001</v>
    <v>138.6</v>
    <v>139.28</v>
    <v>140.47</v>
    <v>136.63999999999999</v>
    <v>138.53</v>
    <v>138.13999999999999</v>
    <v>134.33000000000001</v>
    <v>135.36000000000001</v>
    <v>134.13999999999999</v>
    <v>132.68</v>
    <v>135.96</v>
    <v>131.87</v>
    <v>128.77000000000001</v>
    <v>130.46</v>
    <v>133.09</v>
    <v>134.37</v>
    <v>134.69999999999999</v>
    <v>131.58000000000001</v>
    <v>130.55000000000001</v>
    <v>130.34</v>
    <v>132.16</v>
    <v>131.47999999999999</v>
    <v>132.36000000000001</v>
    <v>132.63999999999999</v>
    <v>132.72</v>
    <v>133.03</v>
    <v>133.29</v>
    <v>133.11000000000001</v>
    <v>134.38</v>
    <v>134.15</v>
    <v>135.68</v>
    <v>135.75</v>
    <v>136.81</v>
    <v>136.13</v>
    <v>135.71</v>
    <v>133.47</v>
    <v>133.24</v>
    <v>132.6</v>
    <v>132.16</v>
    <v>133.78</v>
    <v>133.9</v>
    <v>134.22</v>
    <v>133.93</v>
    <v>134.79</v>
    <v>136.71</v>
    <v>135.36000000000001</v>
    <v>135.5</v>
    <v>134.36000000000001</v>
    <v>134.97</v>
    <v>135.49</v>
    <v>136.32</v>
    <v>135.19</v>
    <v>135.03</v>
    <v>132.6</v>
    <v>134.25</v>
    <v>132.72</v>
    <v>131.84</v>
    <v>131.09</v>
    <v>133.53</v>
    <v>136.27000000000001</v>
    <v>135.76</v>
    <v>136.47999999999999</v>
    <v>135.29</v>
    <v>134.43</v>
    <v>134.19</v>
    <v>130.43</v>
    <v>131.13</v>
    <v>133.01</v>
    <v>132.5</v>
    <v>130.51</v>
    <v>129.01</v>
    <v>130.16</v>
    <v>130.29</v>
    <v>131.19</v>
    <v>133.29</v>
    <v>133.96</v>
    <v>136.21</v>
    <v>135.88999999999999</v>
    <v>136.76</v>
    <v>137.5</v>
    <v>137.04</v>
    <v>138.16999999999999</v>
    <v>136.19999999999999</v>
    <v>137.05000000000001</v>
    <v>136.97</v>
    <v>136.43</v>
    <v>137.43</v>
    <v>137.56</v>
    <v>136.91</v>
    <v>137.43</v>
    <v>137.9</v>
    <v>137.85</v>
    <v>138.59</v>
    <v>137.33000000000001</v>
    <v>139.72</v>
    <v>138.11000000000001</v>
    <v>136.93</v>
    <v>136.93</v>
    <v>137.19999999999999</v>
    <v>137.47</v>
    <v>137.29</v>
    <v>136.63</v>
    <v>136.94</v>
    <v>136.38999999999999</v>
    <v>134.13</v>
    <v>135.5</v>
    <v>135.9</v>
    <v>139.16999999999999</v>
    <v>143.47</v>
    <v>143.19</v>
    <v>144.82</v>
    <v>144.12</v>
    <v>144.22999999999999</v>
    <v>144.51</v>
    <v>144.19</v>
    <v>142.11000000000001</v>
    <v>141.94999999999999</v>
    <v>142.34</v>
    <v>142.56</v>
    <v>142.32</v>
    <v>143.27000000000001</v>
    <v>144.79</v>
    <v>145.13</v>
    <v>145.96</v>
    <v>146.04</v>
    <v>146.03</v>
    <v>146.37</v>
    <v>145.44999999999999</v>
    <v>143.97999999999999</v>
    <v>144.30000000000001</v>
    <v>144.25</v>
    <v>144.44999999999999</v>
    <v>145.1</v>
    <v>145.66</v>
    <v>145.94</v>
    <v>146.13999999999999</v>
    <v>147.28</v>
    <v>150.68</v>
    <v>152.82</v>
    <v>152.74</v>
    <v>151.83000000000001</v>
    <v>151.69999999999999</v>
    <v>152.59</v>
    <v>152.33000000000001</v>
    <v>151.41999999999999</v>
    <v>154.61000000000001</v>
    <v>155.26</v>
    <v>158.77000000000001</v>
    <v>158.41999999999999</v>
    <v>157.65</v>
    <v>155.29</v>
    <v>154.36000000000001</v>
    <v>155.08000000000001</v>
    <v>153.9</v>
    <v>153.26</v>
    <v>151.43</v>
    <v>149.96</v>
    <v>152.13999999999999</v>
    <v>153.58000000000001</v>
    <v>154.06</v>
    <v>156.1</v>
    <v>154.07</v>
    <v>153.79</v>
    <v>153.91</v>
    <v>154.94</v>
  </a>
  <a r="1" c="256">
    <v>30.52</v>
    <v>30.06</v>
    <v>30.065000000000001</v>
    <v>30.58</v>
    <v>30.885000000000002</v>
    <v>30.61</v>
    <v>30.645</v>
    <v>29.684999999999999</v>
    <v>29.734999999999999</v>
    <v>29.51</v>
    <v>29.01</v>
    <v>28.95</v>
    <v>28.895</v>
    <v>30.065000000000001</v>
    <v>30.48</v>
    <v>31.094999999999999</v>
    <v>30.95</v>
    <v>31.295000000000002</v>
    <v>31.085000000000001</v>
    <v>30.58</v>
    <v>29.99</v>
    <v>29.715</v>
    <v>29.285</v>
    <v>29.535</v>
    <v>29.465</v>
    <v>30.3</v>
    <v>30.87</v>
    <v>31.225000000000001</v>
    <v>31.48</v>
    <v>30.8</v>
    <v>29.87</v>
    <v>30.574999999999999</v>
    <v>30.984999999999999</v>
    <v>31.184999999999999</v>
    <v>31.47</v>
    <v>31.414999999999999</v>
    <v>31.614999999999998</v>
    <v>32.299999999999997</v>
    <v>31.914999999999999</v>
    <v>31.524999999999999</v>
    <v>31.324999999999999</v>
    <v>32.03</v>
    <v>31.125</v>
    <v>30.125</v>
    <v>29.87</v>
    <v>29.76</v>
    <v>29.3</v>
    <v>29.385000000000002</v>
    <v>29.015000000000001</v>
    <v>28.89</v>
    <v>28.2</v>
    <v>27.63</v>
    <v>27.704999999999998</v>
    <v>28.34</v>
    <v>28.45</v>
    <v>28.63</v>
    <v>28.434999999999999</v>
    <v>28.3</v>
    <v>28.18</v>
    <v>27.79</v>
    <v>28.545000000000002</v>
    <v>27.86</v>
    <v>27.835000000000001</v>
    <v>27.77</v>
    <v>28.66</v>
    <v>28.08</v>
    <v>28.18</v>
    <v>28.434999999999999</v>
    <v>27.625</v>
    <v>28.175000000000001</v>
    <v>28.02</v>
    <v>28.425000000000001</v>
    <v>27.855</v>
    <v>27.35</v>
    <v>26.33</v>
    <v>25.78</v>
    <v>26.11</v>
    <v>25.96</v>
    <v>26.364999999999998</v>
    <v>26.01</v>
    <v>26.15</v>
    <v>26.795000000000002</v>
    <v>27.12</v>
    <v>27.21</v>
    <v>27.4</v>
    <v>27.975000000000001</v>
    <v>27.65</v>
    <v>27.91</v>
    <v>27.965</v>
    <v>27.8</v>
    <v>27.69</v>
    <v>27.625</v>
    <v>27.8</v>
    <v>27.225000000000001</v>
    <v>27.25</v>
    <v>27.37</v>
    <v>27.315000000000001</v>
    <v>28.295000000000002</v>
    <v>28.125</v>
    <v>28.04</v>
    <v>27.97</v>
    <v>28.745000000000001</v>
    <v>28.234999999999999</v>
    <v>28.015000000000001</v>
    <v>28.12</v>
    <v>27.875</v>
    <v>27.414999999999999</v>
    <v>27.375</v>
    <v>27.364999999999998</v>
    <v>27.97</v>
    <v>27.95</v>
    <v>28.265000000000001</v>
    <v>28.22</v>
    <v>28.515000000000001</v>
    <v>28.274999999999999</v>
    <v>28.245000000000001</v>
    <v>28.585000000000001</v>
    <v>28.94</v>
    <v>28.89</v>
    <v>29.135000000000002</v>
    <v>28.87</v>
    <v>28.515000000000001</v>
    <v>29.045000000000002</v>
    <v>29.44</v>
    <v>29.3</v>
    <v>29.515000000000001</v>
    <v>29.375</v>
    <v>29.51</v>
    <v>28.984999999999999</v>
    <v>28.914999999999999</v>
    <v>28.65</v>
    <v>28.184999999999999</v>
    <v>27.72</v>
    <v>27.47</v>
    <v>27.59</v>
    <v>27.585000000000001</v>
    <v>27.245000000000001</v>
    <v>27.46</v>
    <v>27.6</v>
    <v>27.824999999999999</v>
    <v>27.495000000000001</v>
    <v>27.465</v>
    <v>26.344999999999999</v>
    <v>26.175000000000001</v>
    <v>26.5</v>
    <v>27.32</v>
    <v>27.05</v>
    <v>26.905000000000001</v>
    <v>27.08</v>
    <v>26.754999999999999</v>
    <v>27.074999999999999</v>
    <v>26.84</v>
    <v>27.195</v>
    <v>26.98</v>
    <v>27.175000000000001</v>
    <v>27.445</v>
    <v>27.085000000000001</v>
    <v>27.52</v>
    <v>28.114999999999998</v>
    <v>27.664999999999999</v>
    <v>27.355</v>
    <v>27.26</v>
    <v>27.695</v>
    <v>27.69</v>
    <v>27.31</v>
    <v>26.795000000000002</v>
    <v>27.16</v>
    <v>27.094999999999999</v>
    <v>26.975000000000001</v>
    <v>27.105</v>
    <v>27.37</v>
    <v>27.475000000000001</v>
    <v>27.864999999999998</v>
    <v>28.66</v>
    <v>28.355</v>
    <v>28.4</v>
    <v>28.515000000000001</v>
    <v>28.734999999999999</v>
    <v>28.344999999999999</v>
    <v>28.655000000000001</v>
    <v>28.905000000000001</v>
    <v>28.574999999999999</v>
    <v>28.68</v>
    <v>28.96</v>
    <v>29.12</v>
    <v>29.24</v>
    <v>29.04</v>
    <v>28.74</v>
    <v>28.55</v>
    <v>28.57</v>
    <v>28.545000000000002</v>
    <v>29.05</v>
    <v>29.335000000000001</v>
    <v>29.14</v>
    <v>29.635000000000002</v>
    <v>29.965</v>
    <v>29.83</v>
    <v>29.42</v>
    <v>29.065000000000001</v>
    <v>28.614999999999998</v>
    <v>28.625</v>
    <v>28.57</v>
    <v>28.61</v>
    <v>28.765000000000001</v>
    <v>28.54</v>
    <v>27.83</v>
    <v>28.23</v>
    <v>27.565000000000001</v>
    <v>27.655000000000001</v>
    <v>27.524999999999999</v>
    <v>27.295000000000002</v>
    <v>27.29</v>
    <v>27.65</v>
    <v>27.52</v>
    <v>27.48</v>
    <v>27.37</v>
    <v>27.094999999999999</v>
    <v>26.88</v>
    <v>26.78</v>
    <v>27.065000000000001</v>
    <v>27.335000000000001</v>
    <v>26.965</v>
    <v>27.135000000000002</v>
    <v>26.934999999999999</v>
    <v>26.555</v>
    <v>26.34</v>
    <v>26.86</v>
    <v>27.704999999999998</v>
    <v>27.295000000000002</v>
    <v>26.204999999999998</v>
    <v>26.26</v>
    <v>26.48</v>
    <v>26.055</v>
    <v>26.31</v>
    <v>26.605</v>
    <v>26.12</v>
    <v>26.18</v>
    <v>26.27</v>
    <v>26.824999999999999</v>
    <v>26.95</v>
    <v>27.094999999999999</v>
    <v>26.79</v>
    <v>26.574999999999999</v>
    <v>26.76</v>
    <v>26.95</v>
    <v>27.245000000000001</v>
    <v>27.17</v>
    <v>26.91</v>
    <v>27.27</v>
    <v>27.6</v>
    <v>27.795000000000002</v>
    <v>27.245000000000001</v>
    <v>27.68</v>
    <v>27.344999999999999</v>
    <v>27.46</v>
    <v>27.65</v>
  </a>
  <a r="1" c="23">
    <v>26.31</v>
    <v>26.605</v>
    <v>26.12</v>
    <v>26.18</v>
    <v>26.27</v>
    <v>26.824999999999999</v>
    <v>26.95</v>
    <v>27.094999999999999</v>
    <v>26.79</v>
    <v>26.574999999999999</v>
    <v>26.76</v>
    <v>26.95</v>
    <v>27.245000000000001</v>
    <v>27.17</v>
    <v>26.91</v>
    <v>27.27</v>
    <v>27.6</v>
    <v>27.795000000000002</v>
    <v>27.245000000000001</v>
    <v>27.68</v>
    <v>27.344999999999999</v>
    <v>27.46</v>
    <v>27.65</v>
  </a>
  <a r="1" c="254">
    <v>106.95</v>
    <v>106</v>
    <v>102.24</v>
    <v>102.17</v>
    <v>103.48</v>
    <v>104.55</v>
    <v>105.75</v>
    <v>105.77</v>
    <v>104.35</v>
    <v>102.95</v>
    <v>102.09</v>
    <v>102.26</v>
    <v>103.89</v>
    <v>105.61</v>
    <v>103.58</v>
    <v>103.29</v>
    <v>101.43</v>
    <v>100.66</v>
    <v>100.74</v>
    <v>102.98</v>
    <v>102.45</v>
    <v>103.92</v>
    <v>104.95</v>
    <v>107.05</v>
    <v>107.44</v>
    <v>106.94</v>
    <v>102.3</v>
    <v>104.93</v>
    <v>104.31</v>
    <v>105.15</v>
    <v>105</v>
    <v>103.99</v>
    <v>105.63</v>
    <v>106.16</v>
    <v>106.33</v>
    <v>105.36</v>
    <v>106.82</v>
    <v>106.53</v>
    <v>106.34</v>
    <v>107.8</v>
    <v>108.11</v>
    <v>108.46</v>
    <v>108.17</v>
    <v>107.4</v>
    <v>104.41</v>
    <v>102.81</v>
    <v>101.09</v>
    <v>102.18</v>
    <v>98.76</v>
    <v>100.09</v>
    <v>97.24</v>
    <v>97.15</v>
    <v>98.82</v>
    <v>95.41</v>
    <v>96.47</v>
    <v>92.15</v>
    <v>92.17</v>
    <v>93.77</v>
    <v>91.68</v>
    <v>94.39</v>
    <v>95.03</v>
    <v>93.24</v>
    <v>94.62</v>
    <v>94.07</v>
    <v>94.55</v>
    <v>96.66</v>
    <v>97.21</v>
    <v>94.76</v>
    <v>93.6</v>
    <v>90.81</v>
    <v>90.67</v>
    <v>91.57</v>
    <v>92.21</v>
    <v>85.77</v>
    <v>80.569999999999993</v>
    <v>81.16</v>
    <v>79.8</v>
    <v>90.3</v>
    <v>85.95</v>
    <v>87.3</v>
    <v>87.83</v>
    <v>88.08</v>
    <v>85.44</v>
    <v>85.03</v>
    <v>82.88</v>
    <v>85.08</v>
    <v>87.61</v>
    <v>90.89</v>
    <v>92.28</v>
    <v>92.28</v>
    <v>92.68</v>
    <v>92.62</v>
    <v>94.19</v>
    <v>96.13</v>
    <v>95.74</v>
    <v>94.92</v>
    <v>95.23</v>
    <v>96.25</v>
    <v>96.02</v>
    <v>100.45</v>
    <v>102.67</v>
    <v>103.53</v>
    <v>103.32</v>
    <v>103.54</v>
    <v>103.46</v>
    <v>102.97</v>
    <v>101.58</v>
    <v>101.86</v>
    <v>100.72</v>
    <v>103.13</v>
    <v>102.77</v>
    <v>102.76</v>
    <v>102.66</v>
    <v>103.59</v>
    <v>104.68</v>
    <v>105.38</v>
    <v>105.19</v>
    <v>106.32</v>
    <v>106.66</v>
    <v>107.25</v>
    <v>107.01</v>
    <v>107.45</v>
    <v>105.95</v>
    <v>107.74</v>
    <v>107.07</v>
    <v>106.98</v>
    <v>106.11</v>
    <v>107.25</v>
    <v>109.24</v>
    <v>109.96</v>
    <v>111.19</v>
    <v>111.35</v>
    <v>112.34</v>
    <v>110.96</v>
    <v>111.99</v>
    <v>113.45</v>
    <v>112.55</v>
    <v>112.73</v>
    <v>113.61</v>
    <v>113.04</v>
    <v>112.42</v>
    <v>112.75</v>
    <v>113.26</v>
    <v>113.55</v>
    <v>114.6</v>
    <v>114.42</v>
    <v>115.11</v>
    <v>114.01</v>
    <v>114.53</v>
    <v>114.88</v>
    <v>115.19</v>
    <v>116</v>
    <v>115.86</v>
    <v>116.11</v>
    <v>115.93</v>
    <v>113.41</v>
    <v>116.01</v>
    <v>115.02</v>
    <v>116.7</v>
    <v>116.56</v>
    <v>117.67</v>
    <v>117.03</v>
    <v>119.02</v>
    <v>118.87</v>
    <v>118.6</v>
    <v>118.07</v>
    <v>118.07</v>
    <v>115.88</v>
    <v>115.07</v>
    <v>114.68</v>
    <v>116.71</v>
    <v>116.65</v>
    <v>117.05</v>
    <v>117.49</v>
    <v>118.93</v>
    <v>117.25</v>
    <v>116.36</v>
    <v>117.88</v>
    <v>118.74</v>
    <v>119.46</v>
    <v>120.25</v>
    <v>120.83</v>
    <v>122.12</v>
    <v>122.44</v>
    <v>122.38</v>
    <v>124.07</v>
    <v>123.94</v>
    <v>123.62</v>
    <v>125.49</v>
    <v>126.54</v>
    <v>127.67</v>
    <v>126.57</v>
    <v>125.63</v>
    <v>125.06</v>
    <v>125.43</v>
    <v>125.76</v>
    <v>125.95</v>
    <v>126.81</v>
    <v>127.65</v>
    <v>127.08</v>
    <v>128.5</v>
    <v>127.47</v>
    <v>129.46</v>
    <v>129.36000000000001</v>
    <v>124.25</v>
    <v>127.7</v>
    <v>126.32</v>
    <v>127.84</v>
    <v>127.61</v>
    <v>127.81</v>
    <v>129.49</v>
    <v>129.15</v>
    <v>127.57</v>
    <v>129.15</v>
    <v>131.13999999999999</v>
    <v>133.6</v>
    <v>134.52000000000001</v>
    <v>135.72</v>
    <v>133.66</v>
    <v>133.86000000000001</v>
    <v>134.03</v>
    <v>130.49</v>
    <v>131.56</v>
    <v>129.41999999999999</v>
    <v>128.77000000000001</v>
    <v>132.02000000000001</v>
    <v>131.12</v>
    <v>131.11000000000001</v>
    <v>127.52</v>
    <v>127.81</v>
    <v>126.39</v>
    <v>124.88</v>
    <v>125.94</v>
    <v>122.31</v>
    <v>123.06</v>
    <v>127.19</v>
    <v>128.08000000000001</v>
    <v>129.22999999999999</v>
    <v>130.44999999999999</v>
    <v>129.81</v>
    <v>130.96</v>
    <v>131.35</v>
    <v>131.77000000000001</v>
    <v>132.77000000000001</v>
    <v>133.1</v>
    <v>133.59</v>
    <v>134.22</v>
    <v>133.43</v>
    <v>129.41999999999999</v>
    <v>127.85</v>
    <v>128.04</v>
    <v>125.15</v>
    <v>127.12</v>
    <v>129.5</v>
  </a>
  <a r="1" c="22">
    <v>125.94</v>
    <v>122.31</v>
    <v>123.06</v>
    <v>127.19</v>
    <v>128.08000000000001</v>
    <v>129.22999999999999</v>
    <v>130.44999999999999</v>
    <v>129.81</v>
    <v>130.96</v>
    <v>131.35</v>
    <v>131.77000000000001</v>
    <v>132.77000000000001</v>
    <v>133.1</v>
    <v>133.59</v>
    <v>134.22</v>
    <v>133.43</v>
    <v>129.41999999999999</v>
    <v>127.85</v>
    <v>128.04</v>
    <v>125.15</v>
    <v>127.12</v>
    <v>129.5</v>
  </a>
  <a r="1" c="254">
    <v>111.9</v>
    <v>109.46</v>
    <v>107.1187</v>
    <v>107.4222</v>
    <v>108.91</v>
    <v>108.17</v>
    <v>109.5184</v>
    <v>110.34059999999999</v>
    <v>108.2623</v>
    <v>107.01260000000001</v>
    <v>107.04</v>
    <v>107.55</v>
    <v>109.07</v>
    <v>108.95569999999999</v>
    <v>107.12</v>
    <v>107.1</v>
    <v>105.2735</v>
    <v>104.13</v>
    <v>104.935</v>
    <v>107.11499999999999</v>
    <v>107.09</v>
    <v>108.2701</v>
    <v>110.78</v>
    <v>111.99</v>
    <v>112.07</v>
    <v>112.01</v>
    <v>104.68</v>
    <v>105.84</v>
    <v>105.37</v>
    <v>106.72</v>
    <v>107.6841</v>
    <v>107.18</v>
    <v>108.85</v>
    <v>111.11</v>
    <v>112.51</v>
    <v>111.6797</v>
    <v>112.88</v>
    <v>110.8087</v>
    <v>109.6707</v>
    <v>112.14109999999999</v>
    <v>112.0838</v>
    <v>112.3126</v>
    <v>112.40430000000001</v>
    <v>111.8293</v>
    <v>109.1695</v>
    <v>107.94</v>
    <v>106.7068</v>
    <v>108.54</v>
    <v>106.74</v>
    <v>107.33</v>
    <v>104.8092</v>
    <v>104.4609</v>
    <v>106.5</v>
    <v>104.12430000000001</v>
    <v>105.3629</v>
    <v>100.85</v>
    <v>100.94</v>
    <v>101.04</v>
    <v>99.49</v>
    <v>102.41</v>
    <v>103.76</v>
    <v>102.77</v>
    <v>103.88939999999999</v>
    <v>103.37</v>
    <v>103.3103</v>
    <v>106.38</v>
    <v>105.616</v>
    <v>103.9311</v>
    <v>102.78</v>
    <v>100.58</v>
    <v>99.949799999999996</v>
    <v>99.99</v>
    <v>101.21</v>
    <v>94.13</v>
    <v>88.62</v>
    <v>88.85</v>
    <v>86.93</v>
    <v>94.760999999999996</v>
    <v>91.403599999999997</v>
    <v>91.921800000000005</v>
    <v>92.636799999999994</v>
    <v>93.225899999999996</v>
    <v>91.344999999999999</v>
    <v>91.64</v>
    <v>88.61</v>
    <v>90.2</v>
    <v>92.287400000000005</v>
    <v>94.814700000000002</v>
    <v>95.010999999999996</v>
    <v>96.18</v>
    <v>96.610699999999994</v>
    <v>96.48</v>
    <v>98.51</v>
    <v>99.14</v>
    <v>98.39</v>
    <v>99.14</v>
    <v>99.51</v>
    <v>99.41</v>
    <v>100.5673</v>
    <v>104.33</v>
    <v>105.16</v>
    <v>104.75</v>
    <v>105.59</v>
    <v>105.92</v>
    <v>105.47</v>
    <v>105.17</v>
    <v>103.1181</v>
    <v>103.19</v>
    <v>102.47</v>
    <v>104.98</v>
    <v>104.14</v>
    <v>102.985</v>
    <v>102.1454</v>
    <v>103.035</v>
    <v>104.92189999999999</v>
    <v>105.30249999999999</v>
    <v>105.3</v>
    <v>106.52</v>
    <v>108.08</v>
    <v>108.119</v>
    <v>107.4794</v>
    <v>108.29</v>
    <v>106.2015</v>
    <v>108.40940000000001</v>
    <v>107.12</v>
    <v>108.6597</v>
    <v>109.59180000000001</v>
    <v>112.0124</v>
    <v>114.6987</v>
    <v>114.6957</v>
    <v>116.05589999999999</v>
    <v>116.32389999999999</v>
    <v>117.3124</v>
    <v>117.42</v>
    <v>117.9915</v>
    <v>119.5874</v>
    <v>118.38</v>
    <v>117.9804</v>
    <v>118.2</v>
    <v>118.38</v>
    <v>117.3416</v>
    <v>118.3818</v>
    <v>118.0693</v>
    <v>119.21</v>
    <v>121.39</v>
    <v>120.93810000000001</v>
    <v>120.7664</v>
    <v>120.26</v>
    <v>122.35760000000001</v>
    <v>120.82</v>
    <v>120.378</v>
    <v>120.7116</v>
    <v>120.1392</v>
    <v>120.3956</v>
    <v>120.2651</v>
    <v>117.3712</v>
    <v>123.616</v>
    <v>123.07810000000001</v>
    <v>126.4217</v>
    <v>124.60939999999999</v>
    <v>125.77119999999999</v>
    <v>125.3501</v>
    <v>128.51249999999999</v>
    <v>129.28149999999999</v>
    <v>126.343</v>
    <v>126.49979999999999</v>
    <v>128.22</v>
    <v>126.02</v>
    <v>125.62820000000001</v>
    <v>126.07</v>
    <v>129.62</v>
    <v>130.49590000000001</v>
    <v>131.95519999999999</v>
    <v>133.11969999999999</v>
    <v>134.49</v>
    <v>133.77000000000001</v>
    <v>132.62</v>
    <v>132.4228</v>
    <v>135.51</v>
    <v>135.66399999999999</v>
    <v>135.601</v>
    <v>136.35</v>
    <v>138.142</v>
    <v>140.33000000000001</v>
    <v>137.77000000000001</v>
    <v>140.35</v>
    <v>138.88</v>
    <v>139.28</v>
    <v>140.96</v>
    <v>140.54599999999999</v>
    <v>141.85</v>
    <v>141.76580000000001</v>
    <v>138.99</v>
    <v>138.61000000000001</v>
    <v>138.82</v>
    <v>139.11609999999999</v>
    <v>139.91999999999999</v>
    <v>142.14490000000001</v>
    <v>144.95590000000001</v>
    <v>146.2885</v>
    <v>149.47</v>
    <v>148.02000000000001</v>
    <v>152.05000000000001</v>
    <v>152.30000000000001</v>
    <v>145.3229</v>
    <v>149.66999999999999</v>
    <v>151.6</v>
    <v>152.6653</v>
    <v>149.69999999999999</v>
    <v>147.83000000000001</v>
    <v>149.51</v>
    <v>148.29</v>
    <v>144.82</v>
    <v>147.35</v>
    <v>150.18</v>
    <v>153.4</v>
    <v>153.04</v>
    <v>152.82</v>
    <v>153.83000000000001</v>
    <v>155.49</v>
    <v>152.75</v>
    <v>147.6</v>
    <v>150.36000000000001</v>
    <v>145.66999999999999</v>
    <v>144.97999999999999</v>
    <v>146.46</v>
    <v>145.30000000000001</v>
    <v>144.91499999999999</v>
    <v>140.53</v>
    <v>141.35</v>
    <v>138.13999999999999</v>
    <v>139.07</v>
    <v>139.08410000000001</v>
    <v>132.63</v>
    <v>135.43819999999999</v>
    <v>141.81280000000001</v>
    <v>143.6</v>
    <v>145.72389999999999</v>
    <v>146.40530000000001</v>
    <v>144.21279999999999</v>
    <v>145.87</v>
    <v>147.69</v>
    <v>150.03</v>
    <v>151.02000000000001</v>
    <v>152.51</v>
    <v>153.47999999999999</v>
    <v>156.54159999999999</v>
    <v>159.7705</v>
    <v>152.97999999999999</v>
    <v>149.41999999999999</v>
    <v>148.72</v>
    <v>143.89500000000001</v>
    <v>146.79</v>
    <v>152.56</v>
  </a>
  <a r="1" c="22">
    <v>139.08410000000001</v>
    <v>132.63</v>
    <v>135.43819999999999</v>
    <v>141.81280000000001</v>
    <v>143.6</v>
    <v>145.72389999999999</v>
    <v>146.40530000000001</v>
    <v>144.21279999999999</v>
    <v>145.87</v>
    <v>147.69</v>
    <v>150.03</v>
    <v>151.02000000000001</v>
    <v>152.51</v>
    <v>153.47999999999999</v>
    <v>156.54159999999999</v>
    <v>159.7705</v>
    <v>152.97999999999999</v>
    <v>149.41999999999999</v>
    <v>148.72</v>
    <v>143.89500000000001</v>
    <v>146.79</v>
    <v>152.56</v>
  </a>
  <a r="1" c="22">
    <v>281.61</v>
    <v>268.10000000000002</v>
    <v>270.83</v>
    <v>282.7</v>
    <v>283.58</v>
    <v>291.39</v>
    <v>296.74</v>
    <v>296.92</v>
    <v>302.83999999999997</v>
    <v>309.36</v>
    <v>306.27999999999997</v>
    <v>309.39999999999998</v>
    <v>312.76</v>
    <v>312.18</v>
    <v>316.33</v>
    <v>314.52</v>
    <v>299.48</v>
    <v>298.01</v>
    <v>296.2</v>
    <v>285.23</v>
    <v>292.04000000000002</v>
    <v>299.81</v>
  </a>
  <a r="1" c="254">
    <v>227.44</v>
    <v>223.87</v>
    <v>215.59</v>
    <v>211.97</v>
    <v>214.82</v>
    <v>221.32</v>
    <v>223.6</v>
    <v>223.53</v>
    <v>221.64</v>
    <v>217.28</v>
    <v>215.49</v>
    <v>216.82</v>
    <v>222.47</v>
    <v>228.91</v>
    <v>225.79</v>
    <v>223.54</v>
    <v>218.2</v>
    <v>217.53</v>
    <v>218.96</v>
    <v>223.21</v>
    <v>223.54</v>
    <v>229.74</v>
    <v>232.45</v>
    <v>235.81</v>
    <v>235.37</v>
    <v>230.64</v>
    <v>212.55</v>
    <v>213.5</v>
    <v>214.38</v>
    <v>218.74</v>
    <v>218.13</v>
    <v>214.2</v>
    <v>216.4</v>
    <v>220.59</v>
    <v>220.3</v>
    <v>216.87</v>
    <v>219.7</v>
    <v>219.9</v>
    <v>220.14</v>
    <v>222.84</v>
    <v>223.07</v>
    <v>226.76</v>
    <v>230.53</v>
    <v>231.07</v>
    <v>223.98</v>
    <v>218.72</v>
    <v>214.21</v>
    <v>217.94</v>
    <v>205.25</v>
    <v>208.52</v>
    <v>201.15</v>
    <v>202.27</v>
    <v>206.63</v>
    <v>198.04</v>
    <v>203.85</v>
    <v>194.42</v>
    <v>192.12</v>
    <v>196.08</v>
    <v>195.1</v>
    <v>201.12</v>
    <v>204.44</v>
    <v>201.47</v>
    <v>203.11</v>
    <v>201.49</v>
    <v>199.38</v>
    <v>205.3</v>
    <v>204.19</v>
    <v>198.47</v>
    <v>194.56</v>
    <v>188.68</v>
    <v>188.17</v>
    <v>188.27</v>
    <v>189.48</v>
    <v>170.36</v>
    <v>157.63</v>
    <v>161.27000000000001</v>
    <v>154.86000000000001</v>
    <v>183.62</v>
    <v>168.61</v>
    <v>172.26</v>
    <v>173.4</v>
    <v>174.11</v>
    <v>167.39</v>
    <v>166.55</v>
    <v>163.63999999999999</v>
    <v>166.82</v>
    <v>173.07</v>
    <v>183.03</v>
    <v>184.81</v>
    <v>184.48</v>
    <v>182.51</v>
    <v>183.84</v>
    <v>183.59</v>
    <v>190.03</v>
    <v>188.57</v>
    <v>186.77</v>
    <v>190.04</v>
    <v>191.74</v>
    <v>193.94</v>
    <v>207.87</v>
    <v>213.76</v>
    <v>214.79</v>
    <v>213.41</v>
    <v>213.13</v>
    <v>211.85</v>
    <v>211.54</v>
    <v>207.67</v>
    <v>205.75</v>
    <v>202.56</v>
    <v>209.29</v>
    <v>208.24</v>
    <v>209.09</v>
    <v>204.94</v>
    <v>208.03</v>
    <v>213.62</v>
    <v>216.8</v>
    <v>215.89</v>
    <v>217.34</v>
    <v>222.46</v>
    <v>227.32</v>
    <v>226.56</v>
    <v>226.87</v>
    <v>220.96</v>
    <v>227.44</v>
    <v>225.64</v>
    <v>226.56</v>
    <v>225.11</v>
    <v>226.51</v>
    <v>235.1</v>
    <v>237.21</v>
    <v>239.07</v>
    <v>238.86</v>
    <v>238.7</v>
    <v>237.62</v>
    <v>242.14</v>
    <v>243.34</v>
    <v>238.78</v>
    <v>243.34</v>
    <v>244.12</v>
    <v>246.55</v>
    <v>246.17</v>
    <v>243.83</v>
    <v>246.26</v>
    <v>245.59</v>
    <v>246.53</v>
    <v>246.73</v>
    <v>246.95</v>
    <v>243.54</v>
    <v>242.06</v>
    <v>241.56</v>
    <v>241.54</v>
    <v>245.75</v>
    <v>246.19</v>
    <v>247.95</v>
    <v>240.03</v>
    <v>237.24</v>
    <v>240.4</v>
    <v>238.73</v>
    <v>236.93</v>
    <v>240.84</v>
    <v>242.87</v>
    <v>242.41</v>
    <v>250.16</v>
    <v>253.88</v>
    <v>254.14</v>
    <v>248.32</v>
    <v>249.05</v>
    <v>245.15</v>
    <v>243.74</v>
    <v>242.36</v>
    <v>249.09</v>
    <v>248.51</v>
    <v>250.85</v>
    <v>251.34</v>
    <v>252.55</v>
    <v>245.32</v>
    <v>242.83</v>
    <v>241.68</v>
    <v>244.17</v>
    <v>247.05</v>
    <v>248.85</v>
    <v>249.06</v>
    <v>253.45</v>
    <v>255.19</v>
    <v>255.64</v>
    <v>257.8</v>
    <v>258.58</v>
    <v>258.52999999999997</v>
    <v>267.57</v>
    <v>265.86</v>
    <v>269.83</v>
    <v>269.51</v>
    <v>269.10000000000002</v>
    <v>268.24</v>
    <v>268.83</v>
    <v>268.93</v>
    <v>271.12</v>
    <v>276.33999999999997</v>
    <v>281.69</v>
    <v>279.95999999999998</v>
    <v>288.36</v>
    <v>281.91000000000003</v>
    <v>291.54000000000002</v>
    <v>290.19</v>
    <v>271.99</v>
    <v>284.87</v>
    <v>279.02999999999997</v>
    <v>287.64</v>
    <v>288.98</v>
    <v>288.17</v>
    <v>292.97000000000003</v>
    <v>291.33</v>
    <v>284.13</v>
    <v>291.06</v>
    <v>295.86</v>
    <v>304.08</v>
    <v>304.45</v>
    <v>309.60000000000002</v>
    <v>305.41000000000003</v>
    <v>306.55</v>
    <v>308.38</v>
    <v>296.26</v>
    <v>305.47000000000003</v>
    <v>297.5</v>
    <v>294.38</v>
    <v>302</v>
    <v>295.14999999999998</v>
    <v>299.67</v>
    <v>289.38</v>
    <v>288.52</v>
    <v>283.56</v>
    <v>276.98</v>
    <v>281.61</v>
    <v>268.10000000000002</v>
    <v>270.83</v>
    <v>282.7</v>
    <v>283.58</v>
    <v>291.39</v>
    <v>296.74</v>
    <v>296.92</v>
    <v>302.83999999999997</v>
    <v>309.36</v>
    <v>306.27999999999997</v>
    <v>309.39999999999998</v>
    <v>312.76</v>
    <v>312.18</v>
    <v>316.33</v>
    <v>314.52</v>
    <v>299.48</v>
    <v>298.01</v>
    <v>296.2</v>
    <v>285.23</v>
    <v>292.04000000000002</v>
    <v>299.81</v>
  </a>
  <a r="1" c="254">
    <v>68.81</v>
    <v>68.8</v>
    <v>66</v>
    <v>66.254499999999993</v>
    <v>67.22</v>
    <v>67.533500000000004</v>
    <v>67.463300000000004</v>
    <v>67.846699999999998</v>
    <v>67.328900000000004</v>
    <v>66.485699999999994</v>
    <v>66.528599999999997</v>
    <v>67.107200000000006</v>
    <v>67.625299999999996</v>
    <v>67.625799999999998</v>
    <v>68.008700000000005</v>
    <v>68.924300000000002</v>
    <v>67.88</v>
    <v>69.197000000000003</v>
    <v>67.48</v>
    <v>68.275899999999993</v>
    <v>67.84</v>
    <v>67.675600000000003</v>
    <v>69.0779</v>
    <v>68.83</v>
    <v>69.239999999999995</v>
    <v>69.044300000000007</v>
    <v>69.468100000000007</v>
    <v>69.349999999999994</v>
    <v>69.450699999999998</v>
    <v>69.769900000000007</v>
    <v>69.364900000000006</v>
    <v>68.846599999999995</v>
    <v>69.05</v>
    <v>70.342100000000002</v>
    <v>69.539000000000001</v>
    <v>67.870699999999999</v>
    <v>67.624700000000004</v>
    <v>66.873199999999997</v>
    <v>67.621099999999998</v>
    <v>68.205799999999996</v>
    <v>67.971699999999998</v>
    <v>67.850700000000003</v>
    <v>68.366799999999998</v>
    <v>68.356399999999994</v>
    <v>68.110900000000001</v>
    <v>67.644000000000005</v>
    <v>66.906099999999995</v>
    <v>66.23</v>
    <v>65.776600000000002</v>
    <v>66.712400000000002</v>
    <v>65.491399999999999</v>
    <v>65.261399999999995</v>
    <v>65.532200000000003</v>
    <v>65.36</v>
    <v>65.934600000000003</v>
    <v>66.31</v>
    <v>65.732200000000006</v>
    <v>65.533100000000005</v>
    <v>64.687600000000003</v>
    <v>65.599999999999994</v>
    <v>66.235699999999994</v>
    <v>65.56</v>
    <v>66.110699999999994</v>
    <v>65.72</v>
    <v>66.260000000000005</v>
    <v>67.000600000000006</v>
    <v>66.28</v>
    <v>64.89</v>
    <v>64.849999999999994</v>
    <v>64.150000000000006</v>
    <v>63.44</v>
    <v>62.09</v>
    <v>63.295999999999999</v>
    <v>61.78</v>
    <v>59.047400000000003</v>
    <v>58.570999999999998</v>
    <v>56.005200000000002</v>
    <v>59.582599999999999</v>
    <v>56.584600000000002</v>
    <v>58.231299999999997</v>
    <v>59.778599999999997</v>
    <v>59.971800000000002</v>
    <v>59.036000000000001</v>
    <v>59.031700000000001</v>
    <v>58.477200000000003</v>
    <v>59.719799999999999</v>
    <v>60.24</v>
    <v>61.111899999999999</v>
    <v>61.080100000000002</v>
    <v>61.5441</v>
    <v>61.710099999999997</v>
    <v>62.28</v>
    <v>61.6663</v>
    <v>62.631700000000002</v>
    <v>62.279499999999999</v>
    <v>59.8917</v>
    <v>60.330500000000001</v>
    <v>60.4786</v>
    <v>59.584600000000002</v>
    <v>62.048000000000002</v>
    <v>60.5182</v>
    <v>59.87</v>
    <v>60.843899999999998</v>
    <v>62.309199999999997</v>
    <v>62.828299999999999</v>
    <v>63.339199999999998</v>
    <v>61.9495</v>
    <v>61.698</v>
    <v>61.73</v>
    <v>62.965299999999999</v>
    <v>62.622799999999998</v>
    <v>63.410400000000003</v>
    <v>62.61</v>
    <v>63.6051</v>
    <v>64.103700000000003</v>
    <v>64.411500000000004</v>
    <v>64.326599999999999</v>
    <v>65.332800000000006</v>
    <v>65.430000000000007</v>
    <v>65.09</v>
    <v>64.632900000000006</v>
    <v>64.745699999999999</v>
    <v>63.944299999999998</v>
    <v>64.524100000000004</v>
    <v>63.823599999999999</v>
    <v>63.920900000000003</v>
    <v>63.68</v>
    <v>63.375999999999998</v>
    <v>64.374499999999998</v>
    <v>63.89</v>
    <v>64.069999999999993</v>
    <v>64.38</v>
    <v>64.099999999999994</v>
    <v>64.36</v>
    <v>65.430000000000007</v>
    <v>65.664900000000003</v>
    <v>64.534199999999998</v>
    <v>65.194000000000003</v>
    <v>66.703699999999998</v>
    <v>67.305999999999997</v>
    <v>66.143100000000004</v>
    <v>66.912999999999997</v>
    <v>65.384200000000007</v>
    <v>66.260000000000005</v>
    <v>65.618200000000002</v>
    <v>64.296099999999996</v>
    <v>63.997500000000002</v>
    <v>65.287300000000002</v>
    <v>66.78</v>
    <v>66.665599999999998</v>
    <v>66.591300000000004</v>
    <v>65.849999999999994</v>
    <v>65.9255</v>
    <v>65.849400000000003</v>
    <v>65.3005</v>
    <v>65.540599999999998</v>
    <v>66.516199999999998</v>
    <v>66.041499999999999</v>
    <v>65.137699999999995</v>
    <v>64.9495</v>
    <v>64.936400000000006</v>
    <v>64.95</v>
    <v>66.040000000000006</v>
    <v>67.673599999999993</v>
    <v>67.179299999999998</v>
    <v>67.805000000000007</v>
    <v>67.676599999999993</v>
    <v>67.680000000000007</v>
    <v>68.068600000000004</v>
    <v>68.28</v>
    <v>68.838399999999993</v>
    <v>67.58</v>
    <v>67.86</v>
    <v>68.459999999999994</v>
    <v>68.197800000000001</v>
    <v>68.451099999999997</v>
    <v>70.59</v>
    <v>70.585599999999999</v>
    <v>70.263000000000005</v>
    <v>70.986000000000004</v>
    <v>70.772000000000006</v>
    <v>70.95</v>
    <v>69.955500000000001</v>
    <v>71.438299999999998</v>
    <v>70.131399999999999</v>
    <v>69.599999999999994</v>
    <v>69.680000000000007</v>
    <v>69.574799999999996</v>
    <v>71.031999999999996</v>
    <v>70.52</v>
    <v>70.367800000000003</v>
    <v>69.912000000000006</v>
    <v>69.136899999999997</v>
    <v>67.849999999999994</v>
    <v>68.58</v>
    <v>69.150000000000006</v>
    <v>69.87</v>
    <v>71.638099999999994</v>
    <v>72.010000000000005</v>
    <v>72.708299999999994</v>
    <v>72.563800000000001</v>
    <v>71.930000000000007</v>
    <v>72.045299999999997</v>
    <v>71.55</v>
    <v>70.359099999999998</v>
    <v>70.669899999999998</v>
    <v>70.709999999999994</v>
    <v>71.618600000000001</v>
    <v>71.740499999999997</v>
    <v>72.227000000000004</v>
    <v>73.170699999999997</v>
    <v>73.361000000000004</v>
    <v>72.777699999999996</v>
    <v>73.208799999999997</v>
    <v>73.428299999999993</v>
    <v>73.83</v>
    <v>73.882599999999996</v>
    <v>72.796599999999998</v>
    <v>73.220100000000002</v>
    <v>74.830399999999997</v>
    <v>74.686199999999999</v>
    <v>73.760300000000001</v>
    <v>76.761600000000001</v>
    <v>76.3262</v>
    <v>76.12</v>
    <v>75.989999999999995</v>
    <v>77.972899999999996</v>
    <v>78.439599999999999</v>
    <v>77.6357</v>
    <v>77.77</v>
    <v>77.575500000000005</v>
    <v>78.115600000000001</v>
    <v>77.900000000000006</v>
    <v>78.318700000000007</v>
    <v>80.131799999999998</v>
    <v>81.393900000000002</v>
    <v>82.83</v>
    <v>83.49</v>
    <v>83.325100000000006</v>
    <v>81.510000000000005</v>
    <v>81.520399999999995</v>
    <v>82.11</v>
    <v>82.063999999999993</v>
    <v>81.729200000000006</v>
    <v>80.421199999999999</v>
    <v>79.655699999999996</v>
    <v>80.338800000000006</v>
    <v>80.515199999999993</v>
    <v>80.565899999999999</v>
    <v>81.11</v>
    <v>80.2971</v>
    <v>80.148700000000005</v>
    <v>79.936400000000006</v>
    <v>82.705200000000005</v>
  </a>
  <a r="1" c="22">
    <v>77.900000000000006</v>
    <v>78.318700000000007</v>
    <v>80.131799999999998</v>
    <v>81.393900000000002</v>
    <v>82.83</v>
    <v>83.49</v>
    <v>83.325100000000006</v>
    <v>81.510000000000005</v>
    <v>81.520399999999995</v>
    <v>82.11</v>
    <v>82.063999999999993</v>
    <v>81.729200000000006</v>
    <v>80.421199999999999</v>
    <v>79.655699999999996</v>
    <v>80.338800000000006</v>
    <v>80.515199999999993</v>
    <v>80.565899999999999</v>
    <v>81.11</v>
    <v>80.2971</v>
    <v>80.148700000000005</v>
    <v>79.936400000000006</v>
    <v>82.705200000000005</v>
  </a>
  <a r="1" c="254">
    <v>61.49</v>
    <v>61.13</v>
    <v>59.26</v>
    <v>59.22</v>
    <v>59.3</v>
    <v>59.74</v>
    <v>60.34</v>
    <v>60.22</v>
    <v>59.67</v>
    <v>59.01</v>
    <v>58.7</v>
    <v>59.08</v>
    <v>59.68</v>
    <v>60.67</v>
    <v>59.98</v>
    <v>59.62</v>
    <v>58.92</v>
    <v>58.72</v>
    <v>58.3</v>
    <v>59.5</v>
    <v>59.21</v>
    <v>59.69</v>
    <v>60.31</v>
    <v>60.57</v>
    <v>61.16</v>
    <v>61.74</v>
    <v>61.69</v>
    <v>62.34</v>
    <v>62.55</v>
    <v>62.85</v>
    <v>63.07</v>
    <v>63.13</v>
    <v>63.91</v>
    <v>62.97</v>
    <v>63.23</v>
    <v>63.03</v>
    <v>63.35</v>
    <v>63.33</v>
    <v>63.43</v>
    <v>63.8</v>
    <v>64.13</v>
    <v>63.51</v>
    <v>63.3</v>
    <v>62.88</v>
    <v>61.84</v>
    <v>61.63</v>
    <v>60.67</v>
    <v>60.86</v>
    <v>59.92</v>
    <v>60.74</v>
    <v>59.95</v>
    <v>59.44</v>
    <v>60.3</v>
    <v>59.13</v>
    <v>59.44</v>
    <v>57.47</v>
    <v>56.86</v>
    <v>57.32</v>
    <v>55.97</v>
    <v>56.97</v>
    <v>57.32</v>
    <v>56.38</v>
    <v>57.12</v>
    <v>56.98</v>
    <v>57.33</v>
    <v>58.41</v>
    <v>59.12</v>
    <v>58.3</v>
    <v>57.86</v>
    <v>56.045000000000002</v>
    <v>56.26</v>
    <v>56.61</v>
    <v>56.64</v>
    <v>53.91</v>
    <v>50.92</v>
    <v>51.14</v>
    <v>50.44</v>
    <v>55.25</v>
    <v>53.12</v>
    <v>53.57</v>
    <v>53.67</v>
    <v>53.59</v>
    <v>52.37</v>
    <v>52.63</v>
    <v>51.38</v>
    <v>52.67</v>
    <v>53.71</v>
    <v>54.8</v>
    <v>55.27</v>
    <v>55.48</v>
    <v>55.81</v>
    <v>55.55</v>
    <v>56.17</v>
    <v>57.25</v>
    <v>57.36</v>
    <v>57.18</v>
    <v>56.78</v>
    <v>57.03</v>
    <v>57.06</v>
    <v>58.79</v>
    <v>59.37</v>
    <v>60.01</v>
    <v>59.86</v>
    <v>60.23</v>
    <v>60.22</v>
    <v>59.96</v>
    <v>59.73</v>
    <v>59.77</v>
    <v>59.38</v>
    <v>60.55</v>
    <v>60.4</v>
    <v>60.12</v>
    <v>60.41</v>
    <v>60.79</v>
    <v>60.52</v>
    <v>61.18</v>
    <v>61.18</v>
    <v>62.16</v>
    <v>62.17</v>
    <v>62.96</v>
    <v>62.69</v>
    <v>62.22</v>
    <v>61.61</v>
    <v>62.77</v>
    <v>62.2</v>
    <v>62.18</v>
    <v>61.28</v>
    <v>61.92</v>
    <v>62.82</v>
    <v>62.76</v>
    <v>63.67</v>
    <v>64.45</v>
    <v>64.81</v>
    <v>64.33</v>
    <v>64.36</v>
    <v>64.78</v>
    <v>64.23</v>
    <v>64.099999999999994</v>
    <v>64.400000000000006</v>
    <v>64.38</v>
    <v>63.98</v>
    <v>64.650000000000006</v>
    <v>64.16</v>
    <v>64.239999999999995</v>
    <v>64.55</v>
    <v>64.55</v>
    <v>65.44</v>
    <v>65.459999999999994</v>
    <v>65.87</v>
    <v>65.87</v>
    <v>65.53</v>
    <v>65.42</v>
    <v>64.819999999999993</v>
    <v>65</v>
    <v>66.31</v>
    <v>64.989999999999995</v>
    <v>66.62</v>
    <v>66.05</v>
    <v>66.5</v>
    <v>65.930000000000007</v>
    <v>66.03</v>
    <v>66.099999999999994</v>
    <v>67.33</v>
    <v>67.56</v>
    <v>67.67</v>
    <v>67.81</v>
    <v>67.52</v>
    <v>66.87</v>
    <v>66.55</v>
    <v>66.400000000000006</v>
    <v>67.56</v>
    <v>67.819999999999993</v>
    <v>67.72</v>
    <v>67.760000000000005</v>
    <v>68.25</v>
    <v>68.150000000000006</v>
    <v>67.94</v>
    <v>69.38</v>
    <v>69.95</v>
    <v>70.28</v>
    <v>70.349999999999994</v>
    <v>70.989999999999995</v>
    <v>70.39</v>
    <v>71</v>
    <v>71.150000000000006</v>
    <v>72.3</v>
    <v>72.31</v>
    <v>72.45</v>
    <v>72.59</v>
    <v>72.59</v>
    <v>72.209999999999994</v>
    <v>71.91</v>
    <v>71.33</v>
    <v>70.95</v>
    <v>71.3</v>
    <v>71.36</v>
    <v>70.97</v>
    <v>70.3</v>
    <v>70.42</v>
    <v>70.180000000000007</v>
    <v>70.48</v>
    <v>69.989999999999995</v>
    <v>70</v>
    <v>69.84</v>
    <v>68.25</v>
    <v>69.3</v>
    <v>69.7</v>
    <v>70.47</v>
    <v>69.790000000000006</v>
    <v>70.099999999999994</v>
    <v>70.98</v>
    <v>70.83</v>
    <v>70.2</v>
    <v>70.19</v>
    <v>70.819999999999993</v>
    <v>72.09</v>
    <v>71.900000000000006</v>
    <v>72.16</v>
    <v>70.489999999999995</v>
    <v>70.650000000000006</v>
    <v>70.040000000000006</v>
    <v>69.14</v>
    <v>69.680000000000007</v>
    <v>69.069999999999993</v>
    <v>68.900000000000006</v>
    <v>70.09</v>
    <v>70.42</v>
    <v>69.760000000000005</v>
    <v>68.58</v>
    <v>68.150000000000006</v>
    <v>68.260000000000005</v>
    <v>68.44</v>
    <v>68.39</v>
    <v>67.5</v>
    <v>68.75</v>
    <v>70.41</v>
    <v>71.66</v>
    <v>71.569999999999993</v>
    <v>72.25</v>
    <v>71.8</v>
    <v>72.08</v>
    <v>72.069999999999993</v>
    <v>72.73</v>
    <v>73.5</v>
    <v>72.92</v>
    <v>72.91</v>
    <v>73.22</v>
    <v>73.06</v>
    <v>72.484999999999999</v>
    <v>72.28</v>
    <v>72.55</v>
    <v>71.75</v>
    <v>72.5</v>
    <v>72.48</v>
  </a>
  <a r="1" c="22">
    <v>68.39</v>
    <v>67.5</v>
    <v>68.75</v>
    <v>70.41</v>
    <v>71.66</v>
    <v>71.569999999999993</v>
    <v>72.25</v>
    <v>71.8</v>
    <v>72.08</v>
    <v>72.069999999999993</v>
    <v>72.73</v>
    <v>73.5</v>
    <v>72.92</v>
    <v>72.91</v>
    <v>73.22</v>
    <v>73.06</v>
    <v>72.484999999999999</v>
    <v>72.28</v>
    <v>72.55</v>
    <v>71.75</v>
    <v>72.5</v>
    <v>72.48</v>
  </a>
</arrayData>
</file>

<file path=xl/richData/rdrichvalue.xml><?xml version="1.0" encoding="utf-8"?>
<rvData xmlns="http://schemas.microsoft.com/office/spreadsheetml/2017/richdata" count="21658">
  <rv s="0">
    <fb>680.59</fb>
    <v>0</v>
  </rv>
  <rv s="0">
    <fb>617.04999999999995</fb>
    <v>0</v>
  </rv>
  <rv s="0">
    <fb>481.15</fb>
    <v>0</v>
  </rv>
  <rv s="0">
    <fb>250.79</fb>
    <v>0</v>
  </rv>
  <rv s="0">
    <fb>192.88</fb>
    <v>0</v>
  </rv>
  <rv s="0">
    <fb>103.27</fb>
    <v>0</v>
  </rv>
  <rv s="0">
    <fb>41.203200000000002</fb>
    <v>0</v>
  </rv>
  <rv s="0">
    <fb>611.57000000000005</fb>
    <v>0</v>
  </rv>
  <rv s="0">
    <fb>184.45</fb>
    <v>0</v>
  </rv>
  <rv s="0">
    <fb>329.61</fb>
    <v>0</v>
  </rv>
  <rv s="0">
    <fb>116.52</fb>
    <v>0</v>
  </rv>
  <rv s="0">
    <fb>121.85</fb>
    <v>0</v>
  </rv>
  <rv s="0">
    <fb>78.78</fb>
    <v>0</v>
  </rv>
  <rv s="0">
    <fb>44.13</fb>
    <v>0</v>
  </rv>
  <rv s="0">
    <fb>54.84</fb>
    <v>0</v>
  </rv>
  <rv s="0">
    <fb>154.94</fb>
    <v>0</v>
  </rv>
  <rv s="0">
    <fb>155.86000000000001</fb>
    <v>0</v>
  </rv>
  <rv s="0">
    <fb>45.37</fb>
    <v>0</v>
  </rv>
  <rv s="0">
    <fb>40.33</fb>
    <v>0</v>
  </rv>
  <rv s="0">
    <fb>144.6</fb>
    <v>0</v>
  </rv>
  <rv s="0">
    <fb>42.63</fb>
    <v>0</v>
  </rv>
  <rv s="0">
    <fb>299.81</fb>
    <v>0</v>
  </rv>
  <rv s="0">
    <fb>399.02</fb>
    <v>0</v>
  </rv>
  <rv s="0">
    <fb>356.23</fb>
    <v>0</v>
  </rv>
  <rv s="0">
    <fb>60.93</fb>
    <v>0</v>
  </rv>
  <rv s="0">
    <fb>327.17</fb>
    <v>0</v>
  </rv>
  <rv s="0">
    <fb>12.19</fb>
    <v>0</v>
  </rv>
  <rv s="0">
    <fb>107.76</fb>
    <v>0</v>
  </rv>
  <rv s="0">
    <fb>68.03</fb>
    <v>0</v>
  </rv>
  <rv s="0">
    <fb>190.71969999999999</fb>
    <v>0</v>
  </rv>
  <rv s="0">
    <fb>26.2</fb>
    <v>0</v>
  </rv>
  <rv s="0">
    <fb>129.5</fb>
    <v>0</v>
  </rv>
  <rv s="0">
    <fb>17.790500000000002</fb>
    <v>0</v>
  </rv>
  <rv s="0">
    <fb>755.54</fb>
    <v>0</v>
  </rv>
  <rv s="0">
    <fb>22.64</fb>
    <v>0</v>
  </rv>
  <rv s="0">
    <fb>69.8</fb>
    <v>0</v>
  </rv>
  <rv s="0">
    <fb>156.06</fb>
    <v>0</v>
  </rv>
  <rv s="0">
    <fb>73.12</fb>
    <v>0</v>
  </rv>
  <rv s="0">
    <fb>45.89</fb>
    <v>0</v>
  </rv>
  <rv s="0">
    <fb>35.96</fb>
    <v>0</v>
  </rv>
  <rv s="0">
    <fb>61.77</fb>
    <v>0</v>
  </rv>
  <rv s="0">
    <fb>50.73</fb>
    <v>0</v>
  </rv>
  <rv s="0">
    <fb>33.6</fb>
    <v>0</v>
  </rv>
  <rv s="0">
    <fb>152.56</fb>
    <v>0</v>
  </rv>
  <rv s="0">
    <fb>16.3</fb>
    <v>0</v>
  </rv>
  <rv s="1">
    <fb t="e">#N/A</fb>
    <v>6</v>
    <v>1</v>
  </rv>
  <rv s="0">
    <fb>191.6</fb>
    <v>0</v>
  </rv>
  <rv s="0">
    <fb>27.46</fb>
    <v>1</v>
  </rv>
  <rv s="0">
    <fb>72.48</fb>
    <v>0</v>
  </rv>
  <rv s="0">
    <fb>84.69</fb>
    <v>0</v>
  </rv>
  <rv s="0">
    <fb>270.37</fb>
    <v>0</v>
  </rv>
  <rv s="0">
    <fb>22.01</fb>
    <v>0</v>
  </rv>
  <rv s="0">
    <fb>55.134099999999997</fb>
    <v>0</v>
  </rv>
  <rv s="0">
    <fb>19.98</fb>
    <v>0</v>
  </rv>
  <rv s="0">
    <fb>87.51</fb>
    <v>0</v>
  </rv>
  <rv s="0">
    <fb>22.85</fb>
    <v>0</v>
  </rv>
  <rv s="0">
    <fb>75.491299999999995</fb>
    <v>0</v>
  </rv>
  <rv s="0">
    <fb>66.09</fb>
    <v>0</v>
  </rv>
  <rv s="0">
    <fb>77.319699999999997</fb>
    <v>0</v>
  </rv>
  <rv s="0">
    <fb>58.46</fb>
    <v>1</v>
  </rv>
  <rv s="0">
    <fb>38.43</fb>
    <v>0</v>
  </rv>
  <rv s="0">
    <fb>98.18</fb>
    <v>0</v>
  </rv>
  <rv s="0">
    <fb>64.62</fb>
    <v>0</v>
  </rv>
  <rv s="0">
    <fb>105.07</fb>
    <v>0</v>
  </rv>
  <rv s="0">
    <fb>13.18</fb>
    <v>1</v>
  </rv>
  <rv s="0">
    <fb>61.69</fb>
    <v>0</v>
  </rv>
  <rv s="0">
    <fb>45.16</fb>
    <v>0</v>
  </rv>
  <rv s="0">
    <fb>212.94</fb>
    <v>0</v>
  </rv>
  <rv s="0">
    <fb>10.166</fb>
    <v>1</v>
  </rv>
  <rv s="0">
    <fb>49.61</fb>
    <v>0</v>
  </rv>
  <rv s="0">
    <fb>38.6</fb>
    <v>0</v>
  </rv>
  <rv s="0">
    <fb>64.86</fb>
    <v>0</v>
  </rv>
  <rv s="0">
    <fb>53.72</fb>
    <v>0</v>
  </rv>
  <rv s="0">
    <fb>45.601100000000002</fb>
    <v>0</v>
  </rv>
  <rv s="0">
    <fb>80.58</fb>
    <v>0</v>
  </rv>
  <rv s="0">
    <fb>183.5</fb>
    <v>0</v>
  </rv>
  <rv s="0">
    <fb>43.54</fb>
    <v>0</v>
  </rv>
  <rv s="0">
    <fb>54.79</fb>
    <v>0</v>
  </rv>
  <rv s="0">
    <fb>31.17</fb>
    <v>0</v>
  </rv>
  <rv s="0">
    <fb>107.4</fb>
    <v>0</v>
  </rv>
  <rv s="0">
    <fb>41.94</fb>
    <v>0</v>
  </rv>
  <rv s="0">
    <fb>46.55</fb>
    <v>0</v>
  </rv>
  <rv s="0">
    <fb>61.64</fb>
    <v>0</v>
  </rv>
  <rv s="0">
    <fb>123.39</fb>
    <v>0</v>
  </rv>
  <rv s="0">
    <fb>21.61</fb>
    <v>0</v>
  </rv>
  <rv s="0">
    <fb>125.56</fb>
    <v>0</v>
  </rv>
  <rv s="0">
    <fb>54.21</fb>
    <v>0</v>
  </rv>
  <rv s="0">
    <fb>88.42</fb>
    <v>0</v>
  </rv>
  <rv s="0">
    <fb>68.849999999999994</fb>
    <v>0</v>
  </rv>
  <rv s="0">
    <fb>285.39</fb>
    <v>0</v>
  </rv>
  <rv s="0">
    <fb>26.14</fb>
    <v>0</v>
  </rv>
  <rv s="0">
    <fb>40.97</fb>
    <v>0</v>
  </rv>
  <rv s="0">
    <fb>17.21</fb>
    <v>0</v>
  </rv>
  <rv s="0">
    <fb>170.2</fb>
    <v>0</v>
  </rv>
  <rv s="0">
    <fb>91.34</fb>
    <v>0</v>
  </rv>
  <rv s="0">
    <fb>123.43</fb>
    <v>0</v>
  </rv>
  <rv s="0">
    <fb>25.88</fb>
    <v>0</v>
  </rv>
  <rv s="0">
    <fb>82.705200000000005</fb>
    <v>0</v>
  </rv>
  <rv s="0">
    <fb>27.2</fb>
    <v>0</v>
  </rv>
  <rv s="0">
    <fb>26.46</fb>
    <v>0</v>
  </rv>
  <rv s="0">
    <fb>26.93</fb>
    <v>0</v>
  </rv>
  <rv s="0">
    <fb>62.63</fb>
    <v>0</v>
  </rv>
  <rv s="0">
    <fb>53.68</fb>
    <v>0</v>
  </rv>
  <rv s="0">
    <fb>88.92</fb>
    <v>0</v>
  </rv>
  <rv s="0">
    <fb>53.45</fb>
    <v>0</v>
  </rv>
  <rv s="0">
    <fb>108.3133</fb>
    <v>0</v>
  </rv>
  <rv s="0">
    <fb>67.599999999999994</fb>
    <v>0</v>
  </rv>
  <rv s="0">
    <fb>56.21</fb>
    <v>0</v>
  </rv>
  <rv s="0">
    <fb>59.57</fb>
    <v>0</v>
  </rv>
  <rv s="0">
    <fb>74.22</fb>
    <v>0</v>
  </rv>
  <rv s="0">
    <fb>28.07</fb>
    <v>0</v>
  </rv>
  <rv s="0">
    <fb>36.840000000000003</fb>
    <v>0</v>
  </rv>
  <rv s="0">
    <fb>108.05</fb>
    <v>0</v>
  </rv>
  <rv s="0">
    <fb>62.62</fb>
    <v>0</v>
  </rv>
  <rv s="0">
    <fb>58.3</fb>
    <v>0</v>
  </rv>
  <rv s="0">
    <fb>67.239999999999995</fb>
    <v>0</v>
  </rv>
  <rv s="0">
    <fb>128.63570000000001</fb>
    <v>0</v>
  </rv>
  <rv s="0">
    <fb>56.01</fb>
    <v>0</v>
  </rv>
  <rv s="0">
    <fb>65.478399999999993</fb>
    <v>0</v>
  </rv>
  <rv s="0">
    <fb>60.94</fb>
    <v>0</v>
  </rv>
  <rv s="0">
    <fb>111.16500000000001</fb>
    <v>0</v>
  </rv>
  <rv s="0">
    <fb>180.12</fb>
    <v>0</v>
  </rv>
  <rv s="0">
    <fb>70.8125</fb>
    <v>0</v>
  </rv>
  <rv s="0">
    <fb>150.92500000000001</fb>
    <v>0</v>
  </rv>
  <rv s="0">
    <fb>49.91</fb>
    <v>0</v>
  </rv>
  <rv s="0">
    <fb>92.13</fb>
    <v>0</v>
  </rv>
  <rv s="0">
    <fb>133.63999999999999</fb>
    <v>0</v>
  </rv>
  <rv s="0">
    <fb>87.55</fb>
    <v>0</v>
  </rv>
  <rv s="0">
    <fb>213.91</fb>
    <v>0</v>
  </rv>
  <rv s="0">
    <fb>74.040000000000006</fb>
    <v>0</v>
  </rv>
  <rv s="0">
    <fb>156.24</fb>
    <v>0</v>
  </rv>
  <rv s="0">
    <fb>82.76</fb>
    <v>0</v>
  </rv>
  <rv s="0">
    <fb>241.28</fb>
    <v>0</v>
  </rv>
  <rv s="0">
    <fb>96.24</fb>
    <v>0</v>
  </rv>
  <rv s="0">
    <fb>75.03</fb>
    <v>0</v>
  </rv>
  <rv s="0">
    <fb>100.28</fb>
    <v>0</v>
  </rv>
  <rv s="0">
    <fb>93.1</fb>
    <v>0</v>
  </rv>
  <rv s="0">
    <fb>119.34</fb>
    <v>0</v>
  </rv>
  <rv s="0">
    <fb>299.75</fb>
    <v>0</v>
  </rv>
  <rv s="0">
    <fb>101.62</fb>
    <v>0</v>
  </rv>
  <rv s="0">
    <fb>82.79</fb>
    <v>0</v>
  </rv>
  <rv s="0">
    <fb>99.84</fb>
    <v>0</v>
  </rv>
  <rv s="0">
    <fb>105.17</fb>
    <v>0</v>
  </rv>
  <rv s="0">
    <fb>106.71</fb>
    <v>0</v>
  </rv>
  <rv s="0">
    <fb>87.79</fb>
    <v>0</v>
  </rv>
  <rv s="0">
    <fb>23.02</fb>
    <v>0</v>
  </rv>
  <rv s="0">
    <fb>84.73</fb>
    <v>0</v>
  </rv>
  <rv s="0">
    <fb>52.8</fb>
    <v>0</v>
  </rv>
  <rv s="0">
    <fb>37.26</fb>
    <v>0</v>
  </rv>
  <rv s="0">
    <fb>53.8</fb>
    <v>0</v>
  </rv>
  <rv s="0">
    <fb>207.31</fb>
    <v>0</v>
  </rv>
  <rv s="0">
    <fb>88.59</fb>
    <v>0</v>
  </rv>
  <rv s="0">
    <fb>93.02</fb>
    <v>0</v>
  </rv>
  <rv s="0">
    <fb>24.71</fb>
    <v>0</v>
  </rv>
  <rv s="0">
    <fb>28.680299999999999</fb>
    <v>0</v>
  </rv>
  <rv s="0">
    <fb>45.645800000000001</fb>
    <v>0</v>
  </rv>
  <rv s="0">
    <fb>20.7</fb>
    <v>0</v>
  </rv>
  <rv s="0">
    <fb>23.87</fb>
    <v>0</v>
  </rv>
  <rv s="2">
    <v>https://www.bing.com/financeapi/forcetrigger?t=a23hqh&amp;q=ARCX%3aSPY&amp;form=skydnc</v>
    <v>Learn more on Bing</v>
  </rv>
  <rv s="3">
    <v>2</v>
    <v>SPDR S&amp;P 500 (ARCX:SPY)</v>
    <v>4</v>
    <v>5</v>
    <v>Finance</v>
    <v>6</v>
    <v>en-US</v>
    <v>a23hqh</v>
    <v>268435456</v>
    <v>1</v>
    <v>Powered by Refinitiv</v>
    <v>689.7</v>
    <v>481.8</v>
    <v>0.99829999999999997</v>
    <v>6.1130000000000004</v>
    <v>9.0629999999999999E-3</v>
    <v>USD</v>
    <v>NYSE Arca</v>
    <v>ARCX</v>
    <v>8.9999999999999998E-4</v>
    <v>681.09</v>
    <v>ETF</v>
    <v>46010.963319988281</v>
    <v>158</v>
    <v>676.47</v>
    <v>700621538993.57996</v>
    <v>SPDR S&amp;P 500</v>
    <v>676.59</v>
    <v>674.47699999999998</v>
    <v>680.59</v>
    <v>SPY</v>
    <v>SPDR S&amp;P 500 (ARCX:SPY)</v>
    <v>86174</v>
    <v>84863931</v>
  </rv>
  <rv s="4">
    <v>159</v>
  </rv>
  <rv s="0">
    <fb>662.63</fb>
    <v>0</v>
  </rv>
  <rv s="0">
    <fb>652.53</fb>
    <v>0</v>
  </rv>
  <rv s="0">
    <fb>659.03</fb>
    <v>0</v>
  </rv>
  <rv s="0">
    <fb>668.73</fb>
    <v>0</v>
  </rv>
  <rv s="0">
    <fb>675.02</fb>
    <v>0</v>
  </rv>
  <rv s="0">
    <fb>679.68</fb>
    <v>0</v>
  </rv>
  <rv s="0">
    <fb>683.39</fb>
    <v>0</v>
  </rv>
  <rv s="0">
    <fb>680.27</fb>
    <v>0</v>
  </rv>
  <rv s="0">
    <fb>681.53</fb>
    <v>0</v>
  </rv>
  <rv s="0">
    <fb>683.89</fb>
    <v>0</v>
  </rv>
  <rv s="0">
    <fb>684.39</fb>
    <v>0</v>
  </rv>
  <rv s="0">
    <fb>685.69</fb>
    <v>0</v>
  </rv>
  <rv s="0">
    <fb>683.63</fb>
    <v>0</v>
  </rv>
  <rv s="0">
    <fb>683.04</fb>
    <v>0</v>
  </rv>
  <rv s="0">
    <fb>687.57</fb>
    <v>0</v>
  </rv>
  <rv s="0">
    <fb>689.17</fb>
    <v>0</v>
  </rv>
  <rv s="0">
    <fb>681.76</fb>
    <v>0</v>
  </rv>
  <rv s="0">
    <fb>680.73</fb>
    <v>0</v>
  </rv>
  <rv s="0">
    <fb>678.87</fb>
    <v>0</v>
  </rv>
  <rv s="0">
    <fb>671.4</fb>
    <v>0</v>
  </rv>
  <rv s="0">
    <fb>676.47</fb>
    <v>0</v>
  </rv>
  <rv s="2">
    <v>https://www.bing.com/financeapi/forcetrigger?t=a21mim&amp;q=XNAS%3aQQQ&amp;form=skydnc</v>
    <v>Learn more on Bing</v>
  </rv>
  <rv s="3">
    <v>2</v>
    <v>Invesco QQQ Trust 1 (XNAS:QQQ)</v>
    <v>4</v>
    <v>5</v>
    <v>Finance</v>
    <v>6</v>
    <v>en-US</v>
    <v>a21mim</v>
    <v>268435456</v>
    <v>1</v>
    <v>Powered by Refinitiv</v>
    <v>637.01</v>
    <v>402.39</v>
    <v>1.0303</v>
    <v>7.94</v>
    <v>1.3035000000000001E-2</v>
    <v>USD</v>
    <v>Nasdaq Stock Market</v>
    <v>XNAS</v>
    <v>2E-3</v>
    <v>617.62</v>
    <v>ETF</v>
    <v>46010.954875856252</v>
    <v>182</v>
    <v>611.87</v>
    <v>403022848719.20001</v>
    <v>Invesco QQQ Trust 1</v>
    <v>611.95000000000005</v>
    <v>609.11</v>
    <v>617.04999999999995</v>
    <v>QQQ</v>
    <v>Invesco QQQ Trust 1 (XNAS:QQQ)</v>
    <v>173565</v>
    <v>61731196</v>
  </rv>
  <rv s="4">
    <v>183</v>
  </rv>
  <rv s="0">
    <fb>599.87</fb>
    <v>0</v>
  </rv>
  <rv s="0">
    <fb>585.66999999999996</fb>
    <v>0</v>
  </rv>
  <rv s="0">
    <fb>590.07000000000005</fb>
    <v>0</v>
  </rv>
  <rv s="0">
    <fb>605.16</fb>
    <v>0</v>
  </rv>
  <rv s="0">
    <fb>608.89</fb>
    <v>0</v>
  </rv>
  <rv s="0">
    <fb>614.27</fb>
    <v>0</v>
  </rv>
  <rv s="0">
    <fb>619.25</fb>
    <v>0</v>
  </rv>
  <rv s="0">
    <fb>617.16999999999996</fb>
    <v>0</v>
  </rv>
  <rv s="0">
    <fb>622</fb>
    <v>0</v>
  </rv>
  <rv s="0">
    <fb>623.52</fb>
    <v>0</v>
  </rv>
  <rv s="0">
    <fb>622.94000000000005</fb>
    <v>0</v>
  </rv>
  <rv s="0">
    <fb>625.48</fb>
    <v>0</v>
  </rv>
  <rv s="0">
    <fb>624.28</fb>
    <v>0</v>
  </rv>
  <rv s="0">
    <fb>625.04999999999995</fb>
    <v>0</v>
  </rv>
  <rv s="0">
    <fb>627.61</fb>
    <v>0</v>
  </rv>
  <rv s="0">
    <fb>625.58000000000004</fb>
    <v>0</v>
  </rv>
  <rv s="0">
    <fb>613.62</fb>
    <v>0</v>
  </rv>
  <rv s="0">
    <fb>610.54</fb>
    <v>0</v>
  </rv>
  <rv s="0">
    <fb>611.75</fb>
    <v>0</v>
  </rv>
  <rv s="0">
    <fb>600.41</fb>
    <v>0</v>
  </rv>
  <rv s="0">
    <fb>609.11</fb>
    <v>0</v>
  </rv>
  <rv s="2">
    <v>https://www.bing.com/financeapi/forcetrigger?t=a1r2c7&amp;q=ARCX%3aDIA&amp;form=skydnc</v>
    <v>Learn more on Bing</v>
  </rv>
  <rv s="3">
    <v>2</v>
    <v>SPDR Dow Jones Indus Avg (ARCX:DIA)</v>
    <v>4</v>
    <v>5</v>
    <v>Finance</v>
    <v>6</v>
    <v>en-US</v>
    <v>a1r2c7</v>
    <v>268435456</v>
    <v>1</v>
    <v>Powered by Refinitiv</v>
    <v>489.66</v>
    <v>366.32</v>
    <v>0.89710000000000001</v>
    <v>1.7143999999999999</v>
    <v>3.5759999999999998E-3</v>
    <v>USD</v>
    <v>NYSE Arca</v>
    <v>ARCX</v>
    <v>1.6000000000000001E-3</v>
    <v>482.8</v>
    <v>ETF</v>
    <v>46010.985354733595</v>
    <v>206</v>
    <v>480.43</v>
    <v>41848774640.599998</v>
    <v>SPDR Dow Jones Indus Avg</v>
    <v>480.62</v>
    <v>479.46559999999999</v>
    <v>481.18</v>
    <v>DIA</v>
    <v>SPDR Dow Jones Indus Avg (ARCX:DIA)</v>
    <v>10109</v>
    <v>6374057</v>
  </rv>
  <rv s="4">
    <v>207</v>
  </rv>
  <rv s="0">
    <fb>461.76</fb>
    <v>0</v>
  </rv>
  <rv s="0">
    <fb>458.1</fb>
    <v>0</v>
  </rv>
  <rv s="0">
    <fb>462.57</fb>
    <v>0</v>
  </rv>
  <rv s="0">
    <fb>464.44</fb>
    <v>0</v>
  </rv>
  <rv s="0">
    <fb>471.18</fb>
    <v>0</v>
  </rv>
  <rv s="0">
    <fb>474.35</fb>
    <v>0</v>
  </rv>
  <rv s="0">
    <fb>477.18</fb>
    <v>0</v>
  </rv>
  <rv s="0">
    <fb>473.32</fb>
    <v>0</v>
  </rv>
  <rv s="0">
    <fb>475.26</fb>
    <v>0</v>
  </rv>
  <rv s="0">
    <fb>479.41</fb>
    <v>0</v>
  </rv>
  <rv s="0">
    <fb>479.07</fb>
    <v>0</v>
  </rv>
  <rv s="0">
    <fb>480.03</fb>
    <v>0</v>
  </rv>
  <rv s="0">
    <fb>478.15</fb>
    <v>0</v>
  </rv>
  <rv s="0">
    <fb>476.42</fb>
    <v>0</v>
  </rv>
  <rv s="0">
    <fb>481.35</fb>
    <v>0</v>
  </rv>
  <rv s="0">
    <fb>487.87</fb>
    <v>0</v>
  </rv>
  <rv s="0">
    <fb>485.4</fb>
    <v>0</v>
  </rv>
  <rv s="0">
    <fb>485.17</fb>
    <v>0</v>
  </rv>
  <rv s="0">
    <fb>481.98</fb>
    <v>0</v>
  </rv>
  <rv s="0">
    <fb>479.8</fb>
    <v>0</v>
  </rv>
  <rv s="0">
    <fb>480.51</fb>
    <v>0</v>
  </rv>
  <rv s="2">
    <v>https://www.bing.com/financeapi/forcetrigger?t=a1vxfr&amp;q=ARCX%3aIWM&amp;form=skydnc</v>
    <v>Learn more on Bing</v>
  </rv>
  <rv s="3">
    <v>2</v>
    <v>iShares:Russ 2000 ETF (ARCX:IWM)</v>
    <v>4</v>
    <v>5</v>
    <v>Finance</v>
    <v>6</v>
    <v>en-US</v>
    <v>a1vxfr</v>
    <v>268435456</v>
    <v>1</v>
    <v>Powered by Refinitiv</v>
    <v>258.2</v>
    <v>171.73</v>
    <v>0.99909999999999999</v>
    <v>2.1</v>
    <v>8.4440000000000001E-3</v>
    <v>USD</v>
    <v>NYSE Arca</v>
    <v>ARCX</v>
    <v>1.9E-3</v>
    <v>251.3999</v>
    <v>ETF</v>
    <v>46010.999581885939</v>
    <v>230</v>
    <v>249.06</v>
    <v>72480933964.770004</v>
    <v>iShares:Russ 2000 ETF</v>
    <v>249.28</v>
    <v>248.71</v>
    <v>250.81</v>
    <v>IWM</v>
    <v>iShares:Russ 2000 ETF (ARCX:IWM)</v>
    <v>81604</v>
    <v>47309043</v>
  </rv>
  <rv s="4">
    <v>231</v>
  </rv>
  <rv s="0">
    <fb>233.43</fb>
    <v>0</v>
  </rv>
  <rv s="0">
    <fb>229.11</fb>
    <v>0</v>
  </rv>
  <rv s="0">
    <fb>235.6</fb>
    <v>0</v>
  </rv>
  <rv s="0">
    <fb>239.9</fb>
    <v>0</v>
  </rv>
  <rv s="0">
    <fb>245.13</fb>
    <v>0</v>
  </rv>
  <rv s="0">
    <fb>247.3</fb>
    <v>0</v>
  </rv>
  <rv s="0">
    <fb>248.75</fb>
    <v>0</v>
  </rv>
  <rv s="0">
    <fb>245.62</fb>
    <v>0</v>
  </rv>
  <rv s="0">
    <fb>245.17</fb>
    <v>0</v>
  </rv>
  <rv s="0">
    <fb>249.63</fb>
    <v>0</v>
  </rv>
  <rv s="0">
    <fb>251.82</fb>
    <v>0</v>
  </rv>
  <rv s="0">
    <fb>250.77</fb>
    <v>0</v>
  </rv>
  <rv s="0">
    <fb>250.87</fb>
    <v>0</v>
  </rv>
  <rv s="0">
    <fb>251.39</fb>
    <v>0</v>
  </rv>
  <rv s="0">
    <fb>254.81</fb>
    <v>0</v>
  </rv>
  <rv s="0">
    <fb>257.8</fb>
    <v>0</v>
  </rv>
  <rv s="0">
    <fb>253.85</fb>
    <v>0</v>
  </rv>
  <rv s="0">
    <fb>251.93</fb>
    <v>0</v>
  </rv>
  <rv s="0">
    <fb>249.9</fb>
    <v>0</v>
  </rv>
  <rv s="0">
    <fb>247.24</fb>
    <v>0</v>
  </rv>
  <rv s="0">
    <fb>248.71</fb>
    <v>0</v>
  </rv>
  <rv s="2">
    <v>https://www.bing.com/financeapi/forcetrigger?t=a229vh&amp;q=ARCX%3aRSP&amp;form=skydnc</v>
    <v>Learn more on Bing</v>
  </rv>
  <rv s="3">
    <v>2</v>
    <v>Invesco S&amp;P500 EWght (ARCX:RSP)</v>
    <v>4</v>
    <v>5</v>
    <v>Finance</v>
    <v>7</v>
    <v>en-US</v>
    <v>a229vh</v>
    <v>268435456</v>
    <v>1</v>
    <v>Powered by Refinitiv</v>
    <v>195.465</v>
    <v>150.35</v>
    <v>0.87880000000000003</v>
    <v>0.67500000000000004</v>
    <v>3.5119999999999999E-3</v>
    <v>USD</v>
    <v>NYSE Arca</v>
    <v>ARCX</v>
    <v>2E-3</v>
    <v>193.52</v>
    <v>ETF</v>
    <v>46010.956590231253</v>
    <v>254</v>
    <v>192.07</v>
    <v>75172820460</v>
    <v>Invesco S&amp;P500 EWght</v>
    <v>192.24</v>
    <v>192.18</v>
    <v>192.85499999999999</v>
    <v>RSP</v>
    <v>Invesco S&amp;P500 EWght (ARCX:RSP)</v>
    <v>45</v>
    <v>20734887</v>
  </rv>
  <rv s="4">
    <v>255</v>
  </rv>
  <rv s="0">
    <fb>184.43</fb>
    <v>0</v>
  </rv>
  <rv s="0">
    <fb>182.18</fb>
    <v>0</v>
  </rv>
  <rv s="0">
    <fb>185.76</fb>
    <v>0</v>
  </rv>
  <rv s="0">
    <fb>186.53</fb>
    <v>0</v>
  </rv>
  <rv s="0">
    <fb>189.18</fb>
    <v>0</v>
  </rv>
  <rv s="0">
    <fb>190.5</fb>
    <v>0</v>
  </rv>
  <rv s="0">
    <fb>191.53</fb>
    <v>0</v>
  </rv>
  <rv s="0">
    <fb>190.22</fb>
    <v>0</v>
  </rv>
  <rv s="0">
    <fb>190.04</fb>
    <v>0</v>
  </rv>
  <rv s="0">
    <fb>191.49</fb>
    <v>0</v>
  </rv>
  <rv s="0">
    <fb>191.55</fb>
    <v>0</v>
  </rv>
  <rv s="0">
    <fb>192</fb>
    <v>0</v>
  </rv>
  <rv s="0">
    <fb>190.85</fb>
    <v>0</v>
  </rv>
  <rv s="0">
    <fb>190.49</fb>
    <v>0</v>
  </rv>
  <rv s="0">
    <fb>193.17</fb>
    <v>0</v>
  </rv>
  <rv s="0">
    <fb>194.73</fb>
    <v>0</v>
  </rv>
  <rv s="0">
    <fb>193.41</fb>
    <v>0</v>
  </rv>
  <rv s="0">
    <fb>193.65</fb>
    <v>0</v>
  </rv>
  <rv s="0">
    <fb>192.29</fb>
    <v>0</v>
  </rv>
  <rv s="0">
    <fb>191.77</fb>
    <v>0</v>
  </rv>
  <rv s="0">
    <fb>192.18</fb>
    <v>0</v>
  </rv>
  <rv s="2">
    <v>https://www.bing.com/financeapi/forcetrigger?t=a21moc&amp;q=ARCX%3aQQQE&amp;form=skydnc</v>
    <v>Learn more on Bing</v>
  </rv>
  <rv s="3">
    <v>2</v>
    <v>Direxion:NASDAQ-100 EWI (XNAS:QQQE)</v>
    <v>4</v>
    <v>5</v>
    <v>Finance</v>
    <v>7</v>
    <v>en-US</v>
    <v>a21moc</v>
    <v>268435456</v>
    <v>1</v>
    <v>Powered by Refinitiv</v>
    <v>105.37</v>
    <v>75.069999999999993</v>
    <v>1.0670999999999999</v>
    <v>0.78</v>
    <v>7.6100000000000004E-3</v>
    <v>USD</v>
    <v>Nasdaq Stock Market</v>
    <v>XNAS</v>
    <v>3.4999999999999996E-3</v>
    <v>103.7</v>
    <v>ETF</v>
    <v>46011.021848599215</v>
    <v>278</v>
    <v>102.64</v>
    <v>1251637163.47</v>
    <v>Direxion:NASDAQ-100 EWI</v>
    <v>102.64</v>
    <v>102.49</v>
    <v>103.27</v>
    <v>QQQE</v>
    <v>Direxion:NASDAQ-100 EWI (XNAS:QQQE)</v>
    <v>133326</v>
    <v>230682</v>
  </rv>
  <rv s="4">
    <v>279</v>
  </rv>
  <rv s="0">
    <fb>99.05</fb>
    <v>0</v>
  </rv>
  <rv s="0">
    <fb>96.91</fb>
    <v>0</v>
  </rv>
  <rv s="0">
    <fb>98.42</fb>
    <v>0</v>
  </rv>
  <rv s="0">
    <fb>99.58</fb>
    <v>0</v>
  </rv>
  <rv s="0">
    <fb>100.61</fb>
    <v>0</v>
  </rv>
  <rv s="0">
    <fb>101.22</fb>
    <v>0</v>
  </rv>
  <rv s="0">
    <fb>102.15</fb>
    <v>0</v>
  </rv>
  <rv s="0">
    <fb>101.78</fb>
    <v>0</v>
  </rv>
  <rv s="0">
    <fb>102.78</fb>
    <v>0</v>
  </rv>
  <rv s="0">
    <fb>103.92</fb>
    <v>0</v>
  </rv>
  <rv s="0">
    <fb>103.59</fb>
    <v>0</v>
  </rv>
  <rv s="0">
    <fb>104.08</fb>
    <v>0</v>
  </rv>
  <rv s="0">
    <fb>103.55</fb>
    <v>0</v>
  </rv>
  <rv s="0">
    <fb>103.46</fb>
    <v>0</v>
  </rv>
  <rv s="0">
    <fb>104.44</fb>
    <v>0</v>
  </rv>
  <rv s="0">
    <fb>104.43</fb>
    <v>0</v>
  </rv>
  <rv s="0">
    <fb>103.24</fb>
    <v>0</v>
  </rv>
  <rv s="0">
    <fb>103.03</fb>
    <v>0</v>
  </rv>
  <rv s="0">
    <fb>102.8</fb>
    <v>0</v>
  </rv>
  <rv s="0">
    <fb>101.55</fb>
    <v>0</v>
  </rv>
  <rv s="0">
    <fb>102.49</fb>
    <v>0</v>
  </rv>
  <rv s="2">
    <v>https://www.bing.com/financeapi/forcetrigger?t=a1rnsm&amp;q=ARCX%3aEDOW&amp;form=skydnc</v>
    <v>Learn more on Bing</v>
  </rv>
  <rv s="3">
    <v>2</v>
    <v>FT:Dow 30 Equal Weight (ARCX:EDOW)</v>
    <v>4</v>
    <v>5</v>
    <v>Finance</v>
    <v>7</v>
    <v>en-US</v>
    <v>a1rnsm</v>
    <v>268435456</v>
    <v>1</v>
    <v>Powered by Refinitiv</v>
    <v>41.809899999999999</v>
    <v>31.524899999999999</v>
    <v>0.89059999999999995</v>
    <v>-5.7000000000000002E-3</v>
    <v>-1.383E-4</v>
    <v>USD</v>
    <v>NYSE Arca</v>
    <v>ARCX</v>
    <v>5.0000000000000001E-3</v>
    <v>41.36</v>
    <v>ETF</v>
    <v>46010.881990914066</v>
    <v>302</v>
    <v>41.15</v>
    <v>230924601.66</v>
    <v>FT:Dow 30 Equal Weight</v>
    <v>41.15</v>
    <v>41.2089</v>
    <v>41.203200000000002</v>
    <v>EDOW</v>
    <v>FT:Dow 30 Equal Weight (ARCX:EDOW)</v>
    <v>5</v>
    <v>12903</v>
  </rv>
  <rv s="4">
    <v>303</v>
  </rv>
  <rv s="0">
    <fb>40.037500000000001</fb>
    <v>0</v>
  </rv>
  <rv s="0">
    <fb>39.72</fb>
    <v>0</v>
  </rv>
  <rv s="0">
    <fb>40.204599999999999</fb>
    <v>0</v>
  </rv>
  <rv s="0">
    <fb>40.284999999999997</fb>
    <v>0</v>
  </rv>
  <rv s="0">
    <fb>40.828200000000002</fb>
    <v>0</v>
  </rv>
  <rv s="0">
    <fb>41.054099999999998</fb>
    <v>0</v>
  </rv>
  <rv s="0">
    <fb>41.235999999999997</fb>
    <v>0</v>
  </rv>
  <rv s="0">
    <fb>40.999299999999998</fb>
    <v>0</v>
  </rv>
  <rv s="0">
    <fb>41.13</fb>
    <v>0</v>
  </rv>
  <rv s="0">
    <fb>41.47</fb>
    <v>0</v>
  </rv>
  <rv s="0">
    <fb>41.356699999999996</fb>
    <v>0</v>
  </rv>
  <rv s="0">
    <fb>41.322699999999998</fb>
    <v>0</v>
  </rv>
  <rv s="0">
    <fb>41.097200000000001</fb>
    <v>0</v>
  </rv>
  <rv s="0">
    <fb>40.99</fb>
    <v>0</v>
  </rv>
  <rv s="0">
    <fb>41.39</fb>
    <v>0</v>
  </rv>
  <rv s="0">
    <fb>41.7455</fb>
    <v>0</v>
  </rv>
  <rv s="0">
    <fb>41.62</fb>
    <v>0</v>
  </rv>
  <rv s="0">
    <fb>41.63</fb>
    <v>0</v>
  </rv>
  <rv s="0">
    <fb>41.36</fb>
    <v>0</v>
  </rv>
  <rv s="0">
    <fb>41.23</fb>
    <v>0</v>
  </rv>
  <rv s="0">
    <fb>41.2089</fb>
    <v>0</v>
  </rv>
  <rv s="2">
    <v>https://www.bing.com/financeapi/forcetrigger?t=a1xghw&amp;q=ARCX%3aMDY&amp;form=skydnc</v>
    <v>Learn more on Bing</v>
  </rv>
  <rv s="3">
    <v>2</v>
    <v>SPDR S&amp;P MidCap 400 (ARCX:MDY)</v>
    <v>4</v>
    <v>5</v>
    <v>Finance</v>
    <v>7</v>
    <v>en-US</v>
    <v>a1xghw</v>
    <v>268435456</v>
    <v>1</v>
    <v>Powered by Refinitiv</v>
    <v>622.79</v>
    <v>458.82</v>
    <v>0.99399999999999999</v>
    <v>5.6840000000000002</v>
    <v>9.3810000000000004E-3</v>
    <v>USD</v>
    <v>NYSE Arca</v>
    <v>ARCX</v>
    <v>2.3E-3</v>
    <v>611.79999999999995</v>
    <v>ETF</v>
    <v>46010.91920650391</v>
    <v>326</v>
    <v>606.26499999999999</v>
    <v>23517470181.080002</v>
    <v>SPDR S&amp;P MidCap 400</v>
    <v>606.51</v>
    <v>605.88599999999997</v>
    <v>611.57000000000005</v>
    <v>MDY</v>
    <v>SPDR S&amp;P MidCap 400 (ARCX:MDY)</v>
    <v>1143130</v>
    <v>1069047</v>
  </rv>
  <rv s="4">
    <v>327</v>
  </rv>
  <rv s="0">
    <fb>577.89</fb>
    <v>0</v>
  </rv>
  <rv s="0">
    <fb>568.63</fb>
    <v>0</v>
  </rv>
  <rv s="0">
    <fb>582.32000000000005</fb>
    <v>0</v>
  </rv>
  <rv s="0">
    <fb>587.80999999999995</fb>
    <v>0</v>
  </rv>
  <rv s="0">
    <fb>598.88</fb>
    <v>0</v>
  </rv>
  <rv s="0">
    <fb>602.5</fb>
    <v>0</v>
  </rv>
  <rv s="0">
    <fb>605.48</fb>
    <v>0</v>
  </rv>
  <rv s="0">
    <fb>602.20000000000005</fb>
    <v>0</v>
  </rv>
  <rv s="0">
    <fb>600.02</fb>
    <v>0</v>
  </rv>
  <rv s="0">
    <fb>604.19000000000005</fb>
    <v>0</v>
  </rv>
  <rv s="0">
    <fb>607.15</fb>
    <v>0</v>
  </rv>
  <rv s="0">
    <fb>607.38</fb>
    <v>0</v>
  </rv>
  <rv s="0">
    <fb>604.34</fb>
    <v>0</v>
  </rv>
  <rv s="0">
    <fb>603.9</fb>
    <v>0</v>
  </rv>
  <rv s="0">
    <fb>615.37</fb>
    <v>0</v>
  </rv>
  <rv s="0">
    <fb>621.24</fb>
    <v>0</v>
  </rv>
  <rv s="0">
    <fb>613.11</fb>
    <v>0</v>
  </rv>
  <rv s="0">
    <fb>611.94000000000005</fb>
    <v>0</v>
  </rv>
  <rv s="0">
    <fb>608.15</fb>
    <v>0</v>
  </rv>
  <rv s="0">
    <fb>605.4</fb>
    <v>0</v>
  </rv>
  <rv s="0">
    <fb>608.07000000000005</fb>
    <v>0</v>
  </rv>
  <rv s="2">
    <v>https://www.bing.com/financeapi/forcetrigger?t=a1vxim&amp;q=ARCX%3aIWN&amp;form=skydnc</v>
    <v>Learn more on Bing</v>
  </rv>
  <rv s="3">
    <v>2</v>
    <v>iShares:Russ 2000 Vl ETF (ARCX:IWN)</v>
    <v>4</v>
    <v>5</v>
    <v>Finance</v>
    <v>7</v>
    <v>en-US</v>
    <v>a1vxim</v>
    <v>268435456</v>
    <v>1</v>
    <v>Powered by Refinitiv</v>
    <v>190.2</v>
    <v>129.38</v>
    <v>0.99829999999999997</v>
    <v>0.03</v>
    <v>1.627E-4</v>
    <v>USD</v>
    <v>NYSE Arca</v>
    <v>ARCX</v>
    <v>2.3999999999999998E-3</v>
    <v>185.48</v>
    <v>ETF</v>
    <v>46010.890032626565</v>
    <v>350</v>
    <v>184.07</v>
    <v>11834733932.629999</v>
    <v>iShares:Russ 2000 Vl ETF</v>
    <v>184.75</v>
    <v>184.42</v>
    <v>184.45</v>
    <v>IWN</v>
    <v>iShares:Russ 2000 Vl ETF (ARCX:IWN)</v>
    <v>1101579</v>
    <v>821211</v>
  </rv>
  <rv s="4">
    <v>351</v>
  </rv>
  <rv s="0">
    <fb>171.2</fb>
    <v>0</v>
  </rv>
  <rv s="0">
    <fb>168.85</fb>
    <v>0</v>
  </rv>
  <rv s="0">
    <fb>173.85</fb>
    <v>0</v>
  </rv>
  <rv s="0">
    <fb>175.94</fb>
    <v>0</v>
  </rv>
  <rv s="0">
    <fb>180.15</fb>
    <v>0</v>
  </rv>
  <rv s="0">
    <fb>181.53</fb>
    <v>0</v>
  </rv>
  <rv s="0">
    <fb>182.23</fb>
    <v>0</v>
  </rv>
  <rv s="0">
    <fb>181.03</fb>
    <v>0</v>
  </rv>
  <rv s="0">
    <fb>180.29</fb>
    <v>0</v>
  </rv>
  <rv s="0">
    <fb>183.63</fb>
    <v>0</v>
  </rv>
  <rv s="0">
    <fb>183.97</fb>
    <v>0</v>
  </rv>
  <rv s="0">
    <fb>183.77</fb>
    <v>0</v>
  </rv>
  <rv s="0">
    <fb>183.52</fb>
    <v>0</v>
  </rv>
  <rv s="0">
    <fb>184.11</fb>
    <v>0</v>
  </rv>
  <rv s="0">
    <fb>187.68</fb>
    <v>0</v>
  </rv>
  <rv s="0">
    <fb>189.45</fb>
    <v>0</v>
  </rv>
  <rv s="0">
    <fb>187.43</fb>
    <v>0</v>
  </rv>
  <rv s="0">
    <fb>186.67</fb>
    <v>0</v>
  </rv>
  <rv s="0">
    <fb>184.41</fb>
    <v>0</v>
  </rv>
  <rv s="0">
    <fb>183.65</fb>
    <v>0</v>
  </rv>
  <rv s="0">
    <fb>184.42</fb>
    <v>0</v>
  </rv>
  <rv s="2">
    <v>https://www.bing.com/financeapi/forcetrigger?t=a1vxlh&amp;q=ARCX%3aIWO&amp;form=skydnc</v>
    <v>Learn more on Bing</v>
  </rv>
  <rv s="3">
    <v>2</v>
    <v>iShares:Russ 2000 Gr (ARCX:IWO)</v>
    <v>4</v>
    <v>5</v>
    <v>Finance</v>
    <v>7</v>
    <v>en-US</v>
    <v>a1vxlh</v>
    <v>268435456</v>
    <v>1</v>
    <v>Powered by Refinitiv</v>
    <v>339.82</v>
    <v>219.19</v>
    <v>0.99950000000000006</v>
    <v>5.33</v>
    <v>1.6435999999999999E-2</v>
    <v>USD</v>
    <v>NYSE Arca</v>
    <v>ARCX</v>
    <v>2.3999999999999998E-3</v>
    <v>330.05</v>
    <v>ETF</v>
    <v>46010.942906122655</v>
    <v>374</v>
    <v>324.93</v>
    <v>13225292029.1</v>
    <v>iShares:Russ 2000 Gr</v>
    <v>324.93</v>
    <v>324.27999999999997</v>
    <v>329.61</v>
    <v>IWO</v>
    <v>iShares:Russ 2000 Gr (ARCX:IWO)</v>
    <v>2348</v>
    <v>430964</v>
  </rv>
  <rv s="4">
    <v>375</v>
  </rv>
  <rv s="0">
    <fb>307.97000000000003</fb>
    <v>0</v>
  </rv>
  <rv s="0">
    <fb>300.69</fb>
    <v>0</v>
  </rv>
  <rv s="0">
    <fb>308.52</fb>
    <v>0</v>
  </rv>
  <rv s="0">
    <fb>316.08</fb>
    <v>0</v>
  </rv>
  <rv s="0">
    <fb>322.47000000000003</fb>
    <v>0</v>
  </rv>
  <rv s="0">
    <fb>325.72000000000003</fb>
    <v>0</v>
  </rv>
  <rv s="0">
    <fb>328.12</fb>
    <v>0</v>
  </rv>
  <rv s="0">
    <fb>322.27999999999997</fb>
    <v>0</v>
  </rv>
  <rv s="0">
    <fb>322.63</fb>
    <v>0</v>
  </rv>
  <rv s="0">
    <fb>328.46</fb>
    <v>0</v>
  </rv>
  <rv s="0">
    <fb>333.15</fb>
    <v>0</v>
  </rv>
  <rv s="0">
    <fb>331.15</fb>
    <v>0</v>
  </rv>
  <rv s="0">
    <fb>331.46</fb>
    <v>0</v>
  </rv>
  <rv s="0">
    <fb>331.66</fb>
    <v>0</v>
  </rv>
  <rv s="0">
    <fb>334.44</fb>
    <v>0</v>
  </rv>
  <rv s="0">
    <fb>339.33</fb>
    <v>0</v>
  </rv>
  <rv s="0">
    <fb>332.92</fb>
    <v>0</v>
  </rv>
  <rv s="0">
    <fb>329.04</fb>
    <v>0</v>
  </rv>
  <rv s="0">
    <fb>327.47000000000003</fb>
    <v>0</v>
  </rv>
  <rv s="0">
    <fb>321.75</fb>
    <v>0</v>
  </rv>
  <rv s="0">
    <fb>324.27999999999997</fb>
    <v>0</v>
  </rv>
  <rv s="2">
    <v>https://www.bing.com/financeapi/forcetrigger?t=b1hbp2&amp;q=ARCX%3aXLC&amp;form=skydnc</v>
    <v>Learn more on Bing</v>
  </rv>
  <rv s="5">
    <v>8</v>
    <v>Sel Sctr:ComS SS SPDR (ARCX:XLC)</v>
    <v>4</v>
    <v>9</v>
    <v>Finance</v>
    <v>10</v>
    <v>en-US</v>
    <v>b1hbp2</v>
    <v>268435456</v>
    <v>1</v>
    <v>Powered by Refinitiv</v>
    <v>119.55</v>
    <v>84.02</v>
    <v>1.0515000000000001</v>
    <v>0.04</v>
    <v>3.434E-4</v>
    <v>USD</v>
    <v>NYSE Arca</v>
    <v>ARCX</v>
    <v>8.0000000000000004E-4</v>
    <v>117.18</v>
    <v>ETF</v>
    <v>46010.921833726563</v>
    <v>398</v>
    <v>116.36</v>
    <v>26188310190.950001</v>
    <v>Sel Sctr:ComS SS SPDR</v>
    <v>116.55</v>
    <v>116.47</v>
    <v>116.51</v>
    <v>116.52</v>
    <v>XLC</v>
    <v>Sel Sctr:ComS SS SPDR (ARCX:XLC)</v>
    <v>28</v>
    <v>5815085</v>
  </rv>
  <rv s="4">
    <v>399</v>
  </rv>
  <rv s="0">
    <fb>111.19</fb>
    <v>0</v>
  </rv>
  <rv s="0">
    <fb>109.97</fb>
    <v>0</v>
  </rv>
  <rv s="0">
    <fb>111.9</fb>
    <v>0</v>
  </rv>
  <rv s="0">
    <fb>113.01</fb>
    <v>0</v>
  </rv>
  <rv s="0">
    <fb>114.3</fb>
    <v>0</v>
  </rv>
  <rv s="0">
    <fb>114.46</fb>
    <v>0</v>
  </rv>
  <rv s="0">
    <fb>115.39</fb>
    <v>0</v>
  </rv>
  <rv s="0">
    <fb>114.85</fb>
    <v>0</v>
  </rv>
  <rv s="0">
    <fb>115.23</fb>
    <v>0</v>
  </rv>
  <rv s="0">
    <fb>115.13</fb>
    <v>0</v>
  </rv>
  <rv s="0">
    <fb>115.79</fb>
    <v>0</v>
  </rv>
  <rv s="0">
    <fb>117.13</fb>
    <v>0</v>
  </rv>
  <rv s="0">
    <fb>116.26</fb>
    <v>0</v>
  </rv>
  <rv s="0">
    <fb>116.39</fb>
    <v>0</v>
  </rv>
  <rv s="0">
    <fb>117.07</fb>
    <v>0</v>
  </rv>
  <rv s="0">
    <fb>116.81</fb>
    <v>0</v>
  </rv>
  <rv s="0">
    <fb>116.55</fb>
    <v>0</v>
  </rv>
  <rv s="0">
    <fb>116.57</fb>
    <v>0</v>
  </rv>
  <rv s="0">
    <fb>116.65</fb>
    <v>0</v>
  </rv>
  <rv s="0">
    <fb>115.81</fb>
    <v>0</v>
  </rv>
  <rv s="0">
    <fb>116.47</fb>
    <v>0</v>
  </rv>
  <rv s="2">
    <v>https://www.bing.com/financeapi/forcetrigger?t=a268kr&amp;q=ARCX%3aXLY&amp;form=skydnc</v>
    <v>Learn more on Bing</v>
  </rv>
  <rv s="3">
    <v>2</v>
    <v>Sel Sctr:C D SS SPDR In (ARCX:XLY)</v>
    <v>4</v>
    <v>5</v>
    <v>Finance</v>
    <v>7</v>
    <v>en-US</v>
    <v>a268kr</v>
    <v>268435456</v>
    <v>1</v>
    <v>Powered by Refinitiv</v>
    <v>123.63</v>
    <v>86.5501</v>
    <v>0.9627</v>
    <v>-0.51</v>
    <v>-4.169E-3</v>
    <v>USD</v>
    <v>NYSE Arca</v>
    <v>ARCX</v>
    <v>8.0000000000000004E-4</v>
    <v>122.42</v>
    <v>ETF</v>
    <v>46010.99793924766</v>
    <v>422</v>
    <v>121.74</v>
    <v>23263233251.540001</v>
    <v>Sel Sctr:C D SS SPDR In</v>
    <v>122.37</v>
    <v>122.34</v>
    <v>121.83</v>
    <v>XLY</v>
    <v>Sel Sctr:C D SS SPDR In (ARCX:XLY)</v>
    <v>18</v>
    <v>12046049</v>
  </rv>
  <rv s="4">
    <v>423</v>
  </rv>
  <rv s="0">
    <fb>224.51</fb>
    <v>0</v>
  </rv>
  <rv s="0">
    <fb>221.16</fb>
    <v>0</v>
  </rv>
  <rv s="0">
    <fb>225.5</fb>
    <v>0</v>
  </rv>
  <rv s="0">
    <fb>228.51</fb>
    <v>0</v>
  </rv>
  <rv s="0">
    <fb>233.4</fb>
    <v>0</v>
  </rv>
  <rv s="0">
    <fb>235</fb>
    <v>0</v>
  </rv>
  <rv s="0">
    <fb>236.46</fb>
    <v>0</v>
  </rv>
  <rv s="0">
    <fb>236.6</fb>
    <v>0</v>
  </rv>
  <rv s="0">
    <fb>118.22</fb>
    <v>0</v>
  </rv>
  <rv s="0">
    <fb>119.495</fb>
    <v>0</v>
  </rv>
  <rv s="0">
    <fb>119.07</fb>
    <v>0</v>
  </rv>
  <rv s="0">
    <fb>119.73</fb>
    <v>0</v>
  </rv>
  <rv s="0">
    <fb>117.99</fb>
    <v>0</v>
  </rv>
  <rv s="0">
    <fb>117.98</fb>
    <v>0</v>
  </rv>
  <rv s="0">
    <fb>119.71</fb>
    <v>0</v>
  </rv>
  <rv s="0">
    <fb>120.18</fb>
    <v>0</v>
  </rv>
  <rv s="0">
    <fb>120.7</fb>
    <v>0</v>
  </rv>
  <rv s="0">
    <fb>121.73</fb>
    <v>0</v>
  </rv>
  <rv s="0">
    <fb>121.93</fb>
    <v>0</v>
  </rv>
  <rv s="0">
    <fb>120.52</fb>
    <v>0</v>
  </rv>
  <rv s="0">
    <fb>122.34</fb>
    <v>0</v>
  </rv>
  <rv s="2">
    <v>https://www.bing.com/financeapi/forcetrigger?t=a2686h&amp;q=ARCX%3aXLP&amp;form=skydnc</v>
    <v>Learn more on Bing</v>
  </rv>
  <rv s="3">
    <v>2</v>
    <v>Sel Sector:C SSS SPDR I (ARCX:XLP)</v>
    <v>4</v>
    <v>5</v>
    <v>Finance</v>
    <v>7</v>
    <v>en-US</v>
    <v>a2686h</v>
    <v>268435456</v>
    <v>1</v>
    <v>Powered by Refinitiv</v>
    <v>84.35</v>
    <v>75.16</v>
    <v>0.96440000000000003</v>
    <v>-0.41</v>
    <v>-5.1770000000000002E-3</v>
    <v>USD</v>
    <v>NYSE Arca</v>
    <v>ARCX</v>
    <v>8.0000000000000004E-4</v>
    <v>79.155000000000001</v>
    <v>ETF</v>
    <v>46010.963324282035</v>
    <v>446</v>
    <v>78.754999999999995</v>
    <v>15474956278.84</v>
    <v>Sel Sector:C SSS SPDR I</v>
    <v>79.12</v>
    <v>79.19</v>
    <v>78.78</v>
    <v>XLP</v>
    <v>Sel Sector:C SSS SPDR I (ARCX:XLP)</v>
    <v>796</v>
    <v>15341474</v>
  </rv>
  <rv s="4">
    <v>447</v>
  </rv>
  <rv s="0">
    <fb>76.510000000000005</fb>
    <v>0</v>
  </rv>
  <rv s="0">
    <fb>77.06</fb>
    <v>0</v>
  </rv>
  <rv s="0">
    <fb>77.900000000000006</fb>
    <v>0</v>
  </rv>
  <rv s="0">
    <fb>77</fb>
    <v>0</v>
  </rv>
  <rv s="0">
    <fb>78.06</fb>
    <v>0</v>
  </rv>
  <rv s="0">
    <fb>78.91</fb>
    <v>0</v>
  </rv>
  <rv s="0">
    <fb>79.37</fb>
    <v>0</v>
  </rv>
  <rv s="0">
    <fb>79.290000000000006</fb>
    <v>0</v>
  </rv>
  <rv s="0">
    <fb>78.77</fb>
    <v>0</v>
  </rv>
  <rv s="0">
    <fb>78.83</fb>
    <v>0</v>
  </rv>
  <rv s="0">
    <fb>78.45</fb>
    <v>0</v>
  </rv>
  <rv s="0">
    <fb>78.459999999999994</fb>
    <v>0</v>
  </rv>
  <rv s="0">
    <fb>77.81</fb>
    <v>0</v>
  </rv>
  <rv s="0">
    <fb>77.989999999999995</fb>
    <v>0</v>
  </rv>
  <rv s="0">
    <fb>78.22</fb>
    <v>0</v>
  </rv>
  <rv s="0">
    <fb>78.8</fb>
    <v>0</v>
  </rv>
  <rv s="0">
    <fb>79.42</fb>
    <v>0</v>
  </rv>
  <rv s="0">
    <fb>79.64</fb>
    <v>0</v>
  </rv>
  <rv s="0">
    <fb>79.28</fb>
    <v>0</v>
  </rv>
  <rv s="0">
    <fb>79.650000000000006</fb>
    <v>0</v>
  </rv>
  <rv s="0">
    <fb>79.19</fb>
    <v>0</v>
  </rv>
  <rv s="2">
    <v>https://www.bing.com/financeapi/forcetrigger?t=a267oc&amp;q=ARCX%3aXLE&amp;form=skydnc</v>
    <v>Learn more on Bing</v>
  </rv>
  <rv s="3">
    <v>2</v>
    <v>Sel Sector:Enrgy SS SPDR (ARCX:XLE)</v>
    <v>4</v>
    <v>5</v>
    <v>Finance</v>
    <v>6</v>
    <v>en-US</v>
    <v>a267oc</v>
    <v>268435456</v>
    <v>1</v>
    <v>Powered by Refinitiv</v>
    <v>47.41</v>
    <v>37.244999999999997</v>
    <v>1.1328</v>
    <v>0</v>
    <v>0</v>
    <v>USD</v>
    <v>NYSE Arca</v>
    <v>ARCX</v>
    <v>8.0000000000000004E-4</v>
    <v>44.53</v>
    <v>ETF</v>
    <v>46010.919223483594</v>
    <v>470</v>
    <v>44.024999999999999</v>
    <v>27197337712.919998</v>
    <v>Sel Sector:Enrgy SS SPDR</v>
    <v>44.25</v>
    <v>44.13</v>
    <v>44.13</v>
    <v>XLE</v>
    <v>Sel Sector:Enrgy SS SPDR (ARCX:XLE)</v>
    <v>68509</v>
    <v>31670180</v>
  </rv>
  <rv s="4">
    <v>471</v>
  </rv>
  <rv s="0">
    <fb>89.88</fb>
    <v>0</v>
  </rv>
  <rv s="0">
    <fb>88.86</fb>
    <v>0</v>
  </rv>
  <rv s="0">
    <fb>89.42</fb>
    <v>0</v>
  </rv>
  <rv s="0">
    <fb>89.17</fb>
    <v>0</v>
  </rv>
  <rv s="0">
    <fb>88.61</fb>
    <v>0</v>
  </rv>
  <rv s="0">
    <fb>89.28</fb>
    <v>0</v>
  </rv>
  <rv s="0">
    <fb>90.45</fb>
    <v>0</v>
  </rv>
  <rv s="0">
    <fb>91.32</fb>
    <v>0</v>
  </rv>
  <rv s="0">
    <fb>45.07</fb>
    <v>0</v>
  </rv>
  <rv s="0">
    <fb>45.914999999999999</fb>
    <v>0</v>
  </rv>
  <rv s="0">
    <fb>46.11</fb>
    <v>0</v>
  </rv>
  <rv s="0">
    <fb>45.92</fb>
    <v>0</v>
  </rv>
  <rv s="0">
    <fb>45.42</fb>
    <v>0</v>
  </rv>
  <rv s="0">
    <fb>45.7</fb>
    <v>0</v>
  </rv>
  <rv s="0">
    <fb>46.18</fb>
    <v>0</v>
  </rv>
  <rv s="0">
    <fb>45.96</fb>
    <v>0</v>
  </rv>
  <rv s="0">
    <fb>45.51</fb>
    <v>0</v>
  </rv>
  <rv s="0">
    <fb>45.19</fb>
    <v>0</v>
  </rv>
  <rv s="0">
    <fb>43.81</fb>
    <v>0</v>
  </rv>
  <rv s="0">
    <fb>44.78</fb>
    <v>0</v>
  </rv>
  <rv s="2">
    <v>https://www.bing.com/financeapi/forcetrigger?t=a267r7&amp;q=ARCX%3aXLF&amp;form=skydnc</v>
    <v>Learn more on Bing</v>
  </rv>
  <rv s="3">
    <v>2</v>
    <v>Sel Sector:Fin SS SPDR I (ARCX:XLF)</v>
    <v>4</v>
    <v>5</v>
    <v>Finance</v>
    <v>7</v>
    <v>en-US</v>
    <v>a267r7</v>
    <v>268435456</v>
    <v>1</v>
    <v>Powered by Refinitiv</v>
    <v>55.305</v>
    <v>42.21</v>
    <v>0.99780000000000002</v>
    <v>0.3</v>
    <v>5.5010000000000007E-3</v>
    <v>USD</v>
    <v>NYSE Arca</v>
    <v>ARCX</v>
    <v>8.0000000000000004E-4</v>
    <v>55.02</v>
    <v>ETF</v>
    <v>46010.963323691409</v>
    <v>493</v>
    <v>54.56</v>
    <v>51866570146.839996</v>
    <v>Sel Sector:Fin SS SPDR I</v>
    <v>54.56</v>
    <v>54.54</v>
    <v>54.84</v>
    <v>XLF</v>
    <v>Sel Sector:Fin SS SPDR I (ARCX:XLF)</v>
    <v>18426</v>
    <v>44208448</v>
  </rv>
  <rv s="4">
    <v>494</v>
  </rv>
  <rv s="0">
    <fb>51.56</fb>
    <v>0</v>
  </rv>
  <rv s="0">
    <fb>51.11</fb>
    <v>0</v>
  </rv>
  <rv s="0">
    <fb>51.67</fb>
    <v>0</v>
  </rv>
  <rv s="0">
    <fb>51.89</fb>
    <v>0</v>
  </rv>
  <rv s="0">
    <fb>52.54</fb>
    <v>0</v>
  </rv>
  <rv s="0">
    <fb>52.95</fb>
    <v>0</v>
  </rv>
  <rv s="0">
    <fb>53.33</fb>
    <v>0</v>
  </rv>
  <rv s="0">
    <fb>52.89</fb>
    <v>0</v>
  </rv>
  <rv s="0">
    <fb>52.84</fb>
    <v>0</v>
  </rv>
  <rv s="0">
    <fb>53.55</fb>
    <v>0</v>
  </rv>
  <rv s="0">
    <fb>53.66</fb>
    <v>0</v>
  </rv>
  <rv s="0">
    <fb>53.48</fb>
    <v>0</v>
  </rv>
  <rv s="0">
    <fb>53.28</fb>
    <v>0</v>
  </rv>
  <rv s="0">
    <fb>53.89</fb>
    <v>0</v>
  </rv>
  <rv s="0">
    <fb>54.87</fb>
    <v>0</v>
  </rv>
  <rv s="0">
    <fb>54.95</fb>
    <v>0</v>
  </rv>
  <rv s="0">
    <fb>54.99</fb>
    <v>0</v>
  </rv>
  <rv s="0">
    <fb>54.64</fb>
    <v>0</v>
  </rv>
  <rv s="0">
    <fb>54.63</fb>
    <v>0</v>
  </rv>
  <rv s="0">
    <fb>54.54</fb>
    <v>0</v>
  </rv>
  <rv s="2">
    <v>https://www.bing.com/financeapi/forcetrigger?t=a268hw&amp;q=ARCX%3aXLV&amp;form=skydnc</v>
    <v>Learn more on Bing</v>
  </rv>
  <rv s="3">
    <v>2</v>
    <v>Sel Sector:HC SS SPDR (ARCX:XLV)</v>
    <v>4</v>
    <v>5</v>
    <v>Finance</v>
    <v>6</v>
    <v>en-US</v>
    <v>a268hw</v>
    <v>268435456</v>
    <v>1</v>
    <v>Powered by Refinitiv</v>
    <v>158.94999999999999</v>
    <v>127.35</v>
    <v>0.99929999999999997</v>
    <v>1.03</v>
    <v>6.692E-3</v>
    <v>USD</v>
    <v>NYSE Arca</v>
    <v>ARCX</v>
    <v>8.0000000000000004E-4</v>
    <v>155.77000000000001</v>
    <v>ETF</v>
    <v>46010.96332430547</v>
    <v>516</v>
    <v>153.91999999999999</v>
    <v>40836890645.5</v>
    <v>Sel Sector:HC SS SPDR</v>
    <v>153.91999999999999</v>
    <v>153.91</v>
    <v>154.94</v>
    <v>XLV</v>
    <v>Sel Sector:HC SS SPDR (ARCX:XLV)</v>
    <v>467</v>
    <v>15338704</v>
  </rv>
  <rv s="4">
    <v>517</v>
  </rv>
  <rv s="0">
    <fb>152.33000000000001</fb>
    <v>0</v>
  </rv>
  <rv s="0">
    <fb>151.41999999999999</fb>
    <v>0</v>
  </rv>
  <rv s="0">
    <fb>154.61000000000001</fb>
    <v>0</v>
  </rv>
  <rv s="0">
    <fb>155.26</fb>
    <v>0</v>
  </rv>
  <rv s="0">
    <fb>158.77000000000001</fb>
    <v>0</v>
  </rv>
  <rv s="0">
    <fb>158.41999999999999</fb>
    <v>0</v>
  </rv>
  <rv s="0">
    <fb>157.65</fb>
    <v>0</v>
  </rv>
  <rv s="0">
    <fb>155.29</fb>
    <v>0</v>
  </rv>
  <rv s="0">
    <fb>154.36000000000001</fb>
    <v>0</v>
  </rv>
  <rv s="0">
    <fb>155.08000000000001</fb>
    <v>0</v>
  </rv>
  <rv s="0">
    <fb>153.9</fb>
    <v>0</v>
  </rv>
  <rv s="0">
    <fb>153.26</fb>
    <v>0</v>
  </rv>
  <rv s="0">
    <fb>151.43</fb>
    <v>0</v>
  </rv>
  <rv s="0">
    <fb>149.96</fb>
    <v>0</v>
  </rv>
  <rv s="0">
    <fb>152.13999999999999</fb>
    <v>0</v>
  </rv>
  <rv s="0">
    <fb>153.58000000000001</fb>
    <v>0</v>
  </rv>
  <rv s="0">
    <fb>154.06</fb>
    <v>0</v>
  </rv>
  <rv s="0">
    <fb>156.1</fb>
    <v>0</v>
  </rv>
  <rv s="0">
    <fb>154.07</fb>
    <v>0</v>
  </rv>
  <rv s="0">
    <fb>153.79</fb>
    <v>0</v>
  </rv>
  <rv s="0">
    <fb>153.91</fb>
    <v>0</v>
  </rv>
  <rv s="2">
    <v>https://www.bing.com/financeapi/forcetrigger?t=a267ww&amp;q=ARCX%3aXLI&amp;form=skydnc</v>
    <v>Learn more on Bing</v>
  </rv>
  <rv s="3">
    <v>2</v>
    <v>Sel Sector:Ind SS SPDR (ARCX:XLI)</v>
    <v>4</v>
    <v>5</v>
    <v>Finance</v>
    <v>7</v>
    <v>en-US</v>
    <v>a267ww</v>
    <v>268435456</v>
    <v>1</v>
    <v>Powered by Refinitiv</v>
    <v>158.46</v>
    <v>112.75</v>
    <v>0.99980000000000002</v>
    <v>1.33</v>
    <v>8.6070000000000001E-3</v>
    <v>USD</v>
    <v>NYSE Arca</v>
    <v>ARCX</v>
    <v>8.0000000000000004E-4</v>
    <v>156.11500000000001</v>
    <v>ETF</v>
    <v>46010.97504356406</v>
    <v>540</v>
    <v>154.59</v>
    <v>24254049133.889999</v>
    <v>Sel Sector:Ind SS SPDR</v>
    <v>154.69</v>
    <v>154.53</v>
    <v>155.86000000000001</v>
    <v>XLI</v>
    <v>Sel Sector:Ind SS SPDR (ARCX:XLI)</v>
    <v>27</v>
    <v>12193172</v>
  </rv>
  <rv s="4">
    <v>541</v>
  </rv>
  <rv s="0">
    <fb>150.35</fb>
    <v>0</v>
  </rv>
  <rv s="0">
    <fb>147.83000000000001</fb>
    <v>0</v>
  </rv>
  <rv s="0">
    <fb>149.63</fb>
    <v>0</v>
  </rv>
  <rv s="0">
    <fb>150</fb>
    <v>0</v>
  </rv>
  <rv s="0">
    <fb>151.91999999999999</fb>
    <v>0</v>
  </rv>
  <rv s="0">
    <fb>152.80000000000001</fb>
    <v>0</v>
  </rv>
  <rv s="0">
    <fb>153.69</fb>
    <v>0</v>
  </rv>
  <rv s="0">
    <fb>151.44</fb>
    <v>0</v>
  </rv>
  <rv s="0">
    <fb>152.76</fb>
    <v>0</v>
  </rv>
  <rv s="0">
    <fb>154.21</fb>
    <v>0</v>
  </rv>
  <rv s="0">
    <fb>155.01</fb>
    <v>0</v>
  </rv>
  <rv s="0">
    <fb>154.58000000000001</fb>
    <v>0</v>
  </rv>
  <rv s="0">
    <fb>154.38999999999999</fb>
    <v>0</v>
  </rv>
  <rv s="0">
    <fb>157.72999999999999</fb>
    <v>0</v>
  </rv>
  <rv s="0">
    <fb>156.74</fb>
    <v>0</v>
  </rv>
  <rv s="0">
    <fb>156.99</fb>
    <v>0</v>
  </rv>
  <rv s="0">
    <fb>153.53</fb>
    <v>0</v>
  </rv>
  <rv s="0">
    <fb>154.53</fb>
    <v>0</v>
  </rv>
  <rv s="2">
    <v>https://www.bing.com/financeapi/forcetrigger?t=a267lh&amp;q=ARCX%3aXLB&amp;form=skydnc</v>
    <v>Learn more on Bing</v>
  </rv>
  <rv s="3">
    <v>2</v>
    <v>Sel Sector:Mat SS SPDR (ARCX:XLB)</v>
    <v>4</v>
    <v>5</v>
    <v>Finance</v>
    <v>7</v>
    <v>en-US</v>
    <v>a267lh</v>
    <v>268435456</v>
    <v>1</v>
    <v>Powered by Refinitiv</v>
    <v>46.43</v>
    <v>36.56</v>
    <v>0.99299999999999999</v>
    <v>0.2</v>
    <v>4.4280000000000005E-3</v>
    <v>USD</v>
    <v>NYSE Arca</v>
    <v>ARCX</v>
    <v>8.0000000000000004E-4</v>
    <v>45.534999999999997</v>
    <v>ETF</v>
    <v>46010.990119224218</v>
    <v>561</v>
    <v>45.09</v>
    <v>5164596302.2799997</v>
    <v>Sel Sector:Mat SS SPDR</v>
    <v>45.2</v>
    <v>45.17</v>
    <v>45.37</v>
    <v>XLB</v>
    <v>Sel Sector:Mat SS SPDR (ARCX:XLB)</v>
    <v>305</v>
    <v>12660534</v>
  </rv>
  <rv s="4">
    <v>562</v>
  </rv>
  <rv s="0">
    <fb>85.74</fb>
    <v>0</v>
  </rv>
  <rv s="0">
    <fb>84.46</fb>
    <v>0</v>
  </rv>
  <rv s="0">
    <fb>86.35</fb>
    <v>0</v>
  </rv>
  <rv s="0">
    <fb>86.52</fb>
    <v>0</v>
  </rv>
  <rv s="0">
    <fb>87.81</fb>
    <v>0</v>
  </rv>
  <rv s="0">
    <fb>88.89</fb>
    <v>0</v>
  </rv>
  <rv s="0">
    <fb>89.4</fb>
    <v>0</v>
  </rv>
  <rv s="0">
    <fb>89.18</fb>
    <v>0</v>
  </rv>
  <rv s="0">
    <fb>44.185000000000002</fb>
    <v>0</v>
  </rv>
  <rv s="0">
    <fb>44.494999999999997</fb>
    <v>0</v>
  </rv>
  <rv s="0">
    <fb>44.234999999999999</fb>
    <v>0</v>
  </rv>
  <rv s="0">
    <fb>44.09</fb>
    <v>0</v>
  </rv>
  <rv s="0">
    <fb>43.48</fb>
    <v>0</v>
  </rv>
  <rv s="0">
    <fb>43.39</fb>
    <v>0</v>
  </rv>
  <rv s="0">
    <fb>44.24</fb>
    <v>0</v>
  </rv>
  <rv s="0">
    <fb>45.12</fb>
    <v>0</v>
  </rv>
  <rv s="0">
    <fb>45.15</fb>
    <v>0</v>
  </rv>
  <rv s="0">
    <fb>45</fb>
    <v>0</v>
  </rv>
  <rv s="0">
    <fb>45.17</fb>
    <v>0</v>
  </rv>
  <rv s="2">
    <v>https://www.bing.com/financeapi/forcetrigger?t=a2689c&amp;q=ARCX%3aXLRE&amp;form=skydnc</v>
    <v>Learn more on Bing</v>
  </rv>
  <rv s="3">
    <v>2</v>
    <v>Sel Sector:RE SS SPDR In (ARCX:XLRE)</v>
    <v>4</v>
    <v>5</v>
    <v>Finance</v>
    <v>7</v>
    <v>en-US</v>
    <v>a2689c</v>
    <v>268435456</v>
    <v>1</v>
    <v>Powered by Refinitiv</v>
    <v>43.8613</v>
    <v>35.76</v>
    <v>1.0188999999999999</v>
    <v>-0.15</v>
    <v>-3.7059999999999997E-3</v>
    <v>USD</v>
    <v>NYSE Arca</v>
    <v>ARCX</v>
    <v>8.0000000000000004E-4</v>
    <v>40.616399999999999</v>
    <v>ETF</v>
    <v>46010.919220277341</v>
    <v>583</v>
    <v>40.314999999999998</v>
    <v>7571924616.6800003</v>
    <v>Sel Sector:RE SS SPDR In</v>
    <v>40.369999999999997</v>
    <v>40.479999999999997</v>
    <v>40.33</v>
    <v>XLRE</v>
    <v>Sel Sector:RE SS SPDR In (ARCX:XLRE)</v>
    <v>634</v>
    <v>6903655</v>
  </rv>
  <rv s="4">
    <v>584</v>
  </rv>
  <rv s="0">
    <fb>40.51</fb>
    <v>0</v>
  </rv>
  <rv s="0">
    <fb>40.369999999999997</fb>
    <v>0</v>
  </rv>
  <rv s="0">
    <fb>40.9</fb>
    <v>0</v>
  </rv>
  <rv s="0">
    <fb>40.96</fb>
    <v>0</v>
  </rv>
  <rv s="0">
    <fb>41.29</fb>
    <v>0</v>
  </rv>
  <rv s="0">
    <fb>41.67</fb>
    <v>0</v>
  </rv>
  <rv s="0">
    <fb>41.09</fb>
    <v>0</v>
  </rv>
  <rv s="0">
    <fb>41.07</fb>
    <v>0</v>
  </rv>
  <rv s="0">
    <fb>41</fb>
    <v>0</v>
  </rv>
  <rv s="0">
    <fb>40.74</fb>
    <v>0</v>
  </rv>
  <rv s="0">
    <fb>40.5</fb>
    <v>0</v>
  </rv>
  <rv s="0">
    <fb>40.58</fb>
    <v>0</v>
  </rv>
  <rv s="0">
    <fb>40.799999999999997</fb>
    <v>0</v>
  </rv>
  <rv s="0">
    <fb>40.75</fb>
    <v>0</v>
  </rv>
  <rv s="0">
    <fb>40.909999999999997</fb>
    <v>0</v>
  </rv>
  <rv s="0">
    <fb>40.549999999999997</fb>
    <v>0</v>
  </rv>
  <rv s="0">
    <fb>40.729999999999997</fb>
    <v>0</v>
  </rv>
  <rv s="0">
    <fb>40.479999999999997</fb>
    <v>0</v>
  </rv>
  <rv s="2">
    <v>https://www.bing.com/financeapi/forcetrigger?t=a267zr&amp;q=ARCX%3aXLK&amp;form=skydnc</v>
    <v>Learn more on Bing</v>
  </rv>
  <rv s="3">
    <v>2</v>
    <v>Sel Sector:Tech SPDR (ARCX:XLK)</v>
    <v>4</v>
    <v>5</v>
    <v>Finance</v>
    <v>7</v>
    <v>en-US</v>
    <v>a267zr</v>
    <v>268435456</v>
    <v>1</v>
    <v>Powered by Refinitiv</v>
    <v>152.995</v>
    <v>86.224999999999994</v>
    <v>0.9748</v>
    <v>3.06</v>
    <v>2.1619000000000003E-2</v>
    <v>USD</v>
    <v>NYSE Arca</v>
    <v>ARCX</v>
    <v>8.0000000000000004E-4</v>
    <v>144.62</v>
    <v>ETF</v>
    <v>46010.96333153906</v>
    <v>604</v>
    <v>142.57</v>
    <v>93463550336.529999</v>
    <v>Sel Sector:Tech SPDR</v>
    <v>142.59</v>
    <v>141.54</v>
    <v>144.6</v>
    <v>XLK</v>
    <v>Sel Sector:Tech SPDR (ARCX:XLK)</v>
    <v>4970</v>
    <v>18389742</v>
  </rv>
  <rv s="4">
    <v>605</v>
  </rv>
  <rv s="0">
    <fb>280.97000000000003</fb>
    <v>0</v>
  </rv>
  <rv s="0">
    <fb>272.14999999999998</fb>
    <v>0</v>
  </rv>
  <rv s="0">
    <fb>273.2</fb>
    <v>0</v>
  </rv>
  <rv s="0">
    <fb>279.70999999999998</fb>
    <v>0</v>
  </rv>
  <rv s="0">
    <fb>280.45999999999998</fb>
    <v>0</v>
  </rv>
  <rv s="0">
    <fb>283.77999999999997</fb>
    <v>0</v>
  </rv>
  <rv s="0">
    <fb>286.22000000000003</fb>
    <v>0</v>
  </rv>
  <rv s="0">
    <fb>286.35000000000002</fb>
    <v>0</v>
  </rv>
  <rv s="0">
    <fb>144.65</fb>
    <v>0</v>
  </rv>
  <rv s="0">
    <fb>144.995</fb>
    <v>0</v>
  </rv>
  <rv s="0">
    <fb>145.535</fb>
    <v>0</v>
  </rv>
  <rv s="0">
    <fb>146.6</fb>
    <v>0</v>
  </rv>
  <rv s="0">
    <fb>147.63</fb>
    <v>0</v>
  </rv>
  <rv s="0">
    <fb>148.02000000000001</fb>
    <v>0</v>
  </rv>
  <rv s="0">
    <fb>148.72999999999999</fb>
    <v>0</v>
  </rv>
  <rv s="0">
    <fb>147.97</fb>
    <v>0</v>
  </rv>
  <rv s="0">
    <fb>143.69</fb>
    <v>0</v>
  </rv>
  <rv s="0">
    <fb>142.30000000000001</fb>
    <v>0</v>
  </rv>
  <rv s="0">
    <fb>142.56</fb>
    <v>0</v>
  </rv>
  <rv s="0">
    <fb>139.38999999999999</fb>
    <v>0</v>
  </rv>
  <rv s="0">
    <fb>141.54</fb>
    <v>0</v>
  </rv>
  <rv s="2">
    <v>https://www.bing.com/financeapi/forcetrigger?t=a268f2&amp;q=ARCX%3aXLU&amp;form=skydnc</v>
    <v>Learn more on Bing</v>
  </rv>
  <rv s="3">
    <v>2</v>
    <v>Sel Sector:Utl SS SPDR (ARCX:XLU)</v>
    <v>4</v>
    <v>5</v>
    <v>Finance</v>
    <v>6</v>
    <v>en-US</v>
    <v>a268f2</v>
    <v>268435456</v>
    <v>1</v>
    <v>Powered by Refinitiv</v>
    <v>46.884999999999998</v>
    <v>35.51</v>
    <v>0.99719999999999998</v>
    <v>-0.55000000000000004</v>
    <v>-1.2737E-2</v>
    <v>USD</v>
    <v>NYSE Arca</v>
    <v>ARCX</v>
    <v>8.0000000000000004E-4</v>
    <v>43.37</v>
    <v>ETF</v>
    <v>46010.963313575783</v>
    <v>628</v>
    <v>42.6</v>
    <v>22544009041.57</v>
    <v>Sel Sector:Utl SS SPDR</v>
    <v>43.12</v>
    <v>43.18</v>
    <v>42.63</v>
    <v>XLU</v>
    <v>Sel Sector:Utl SS SPDR (ARCX:XLU)</v>
    <v>9440</v>
    <v>20868256</v>
  </rv>
  <rv s="4">
    <v>629</v>
  </rv>
  <rv s="0">
    <fb>88.47</fb>
    <v>0</v>
  </rv>
  <rv s="0">
    <fb>88.02</fb>
    <v>0</v>
  </rv>
  <rv s="0">
    <fb>88.15</fb>
    <v>0</v>
  </rv>
  <rv s="0">
    <fb>89.15</fb>
    <v>0</v>
  </rv>
  <rv s="0">
    <fb>88.81</fb>
    <v>0</v>
  </rv>
  <rv s="0">
    <fb>89.99</fb>
    <v>0</v>
  </rv>
  <rv s="0">
    <fb>90.63</fb>
    <v>0</v>
  </rv>
  <rv s="0">
    <fb>88.51</fb>
    <v>0</v>
  </rv>
  <rv s="0">
    <fb>43.94</fb>
    <v>0</v>
  </rv>
  <rv s="0">
    <fb>43.8</fb>
    <v>0</v>
  </rv>
  <rv s="0">
    <fb>43.71</fb>
    <v>0</v>
  </rv>
  <rv s="0">
    <fb>43.3</fb>
    <v>0</v>
  </rv>
  <rv s="0">
    <fb>42.72</fb>
    <v>0</v>
  </rv>
  <rv s="0">
    <fb>42.75</fb>
    <v>0</v>
  </rv>
  <rv s="0">
    <fb>42.73</fb>
    <v>0</v>
  </rv>
  <rv s="0">
    <fb>43.04</fb>
    <v>0</v>
  </rv>
  <rv s="0">
    <fb>42.83</fb>
    <v>0</v>
  </rv>
  <rv s="0">
    <fb>43.22</fb>
    <v>0</v>
  </rv>
  <rv s="0">
    <fb>42.76</fb>
    <v>0</v>
  </rv>
  <rv s="0">
    <fb>43.18</fb>
    <v>0</v>
  </rv>
  <rv s="2">
    <v>https://www.bing.com/financeapi/forcetrigger?t=a23bxm&amp;q=XNAS%3aSOXX&amp;form=skydnc</v>
    <v>Learn more on Bing</v>
  </rv>
  <rv s="3">
    <v>2</v>
    <v>iShares:Semiconductor (XNAS:SOXX)</v>
    <v>4</v>
    <v>5</v>
    <v>Finance</v>
    <v>6</v>
    <v>en-US</v>
    <v>a23bxm</v>
    <v>268435456</v>
    <v>1</v>
    <v>Powered by Refinitiv</v>
    <v>317.35000000000002</v>
    <v>148.31</v>
    <v>1.4493</v>
    <v>7.77</v>
    <v>2.6606000000000001E-2</v>
    <v>USD</v>
    <v>Nasdaq Stock Market</v>
    <v>XNAS</v>
    <v>3.4000000000000002E-3</v>
    <v>301.69</v>
    <v>ETF</v>
    <v>46010.964105740626</v>
    <v>651</v>
    <v>294.5</v>
    <v>16704412690.17</v>
    <v>iShares:Semiconductor</v>
    <v>294.67</v>
    <v>292.04000000000002</v>
    <v>299.81</v>
    <v>SOXX</v>
    <v>iShares:Semiconductor (XNAS:SOXX)</v>
    <v>18078</v>
    <v>6977129</v>
  </rv>
  <rv s="4">
    <v>652</v>
  </rv>
  <rv s="0">
    <fb>281.61</fb>
    <v>0</v>
  </rv>
  <rv s="0">
    <fb>268.10000000000002</fb>
    <v>0</v>
  </rv>
  <rv s="0">
    <fb>270.83</fb>
    <v>0</v>
  </rv>
  <rv s="0">
    <fb>282.7</fb>
    <v>0</v>
  </rv>
  <rv s="0">
    <fb>283.58</fb>
    <v>0</v>
  </rv>
  <rv s="0">
    <fb>291.39</fb>
    <v>0</v>
  </rv>
  <rv s="0">
    <fb>296.74</fb>
    <v>0</v>
  </rv>
  <rv s="0">
    <fb>296.92</fb>
    <v>0</v>
  </rv>
  <rv s="0">
    <fb>302.83999999999997</fb>
    <v>0</v>
  </rv>
  <rv s="0">
    <fb>309.36</fb>
    <v>0</v>
  </rv>
  <rv s="0">
    <fb>306.27999999999997</fb>
    <v>0</v>
  </rv>
  <rv s="0">
    <fb>309.39999999999998</fb>
    <v>0</v>
  </rv>
  <rv s="0">
    <fb>312.76</fb>
    <v>0</v>
  </rv>
  <rv s="0">
    <fb>312.18</fb>
    <v>0</v>
  </rv>
  <rv s="0">
    <fb>316.33</fb>
    <v>0</v>
  </rv>
  <rv s="0">
    <fb>314.52</fb>
    <v>0</v>
  </rv>
  <rv s="0">
    <fb>299.48</fb>
    <v>0</v>
  </rv>
  <rv s="0">
    <fb>298.01</fb>
    <v>0</v>
  </rv>
  <rv s="0">
    <fb>296.2</fb>
    <v>0</v>
  </rv>
  <rv s="0">
    <fb>285.23</fb>
    <v>0</v>
  </rv>
  <rv s="0">
    <fb>292.04000000000002</fb>
    <v>0</v>
  </rv>
  <rv s="2">
    <v>https://www.bing.com/financeapi/forcetrigger?t=a235f2&amp;q=XNAS%3aSMH&amp;form=skydnc</v>
    <v>Learn more on Bing</v>
  </rv>
  <rv s="3">
    <v>2</v>
    <v>VanEck:Semiconductor (XNAS:SMH)</v>
    <v>4</v>
    <v>5</v>
    <v>Finance</v>
    <v>6</v>
    <v>en-US</v>
    <v>a235f2</v>
    <v>268435456</v>
    <v>1</v>
    <v>Powered by Refinitiv</v>
    <v>375.59</v>
    <v>170.11</v>
    <v>1.2787999999999999</v>
    <v>8.98</v>
    <v>2.5859999999999998E-2</v>
    <v>USD</v>
    <v>Nasdaq Stock Market</v>
    <v>XNAS</v>
    <v>3.4999999999999996E-3</v>
    <v>358.53</v>
    <v>ETF</v>
    <v>46010.964109015622</v>
    <v>675</v>
    <v>350.31</v>
    <v>35601859398.910004</v>
    <v>VanEck:Semiconductor</v>
    <v>350.31</v>
    <v>347.25</v>
    <v>356.23</v>
    <v>SMH</v>
    <v>VanEck:Semiconductor (XNAS:SMH)</v>
    <v>21458</v>
    <v>8114142</v>
  </rv>
  <rv s="4">
    <v>676</v>
  </rv>
  <rv s="0">
    <fb>339.44</fb>
    <v>0</v>
  </rv>
  <rv s="0">
    <fb>325.10000000000002</fb>
    <v>0</v>
  </rv>
  <rv s="0">
    <fb>326.13</fb>
    <v>0</v>
  </rv>
  <rv s="0">
    <fb>339.12</fb>
    <v>0</v>
  </rv>
  <rv s="0">
    <fb>340.01</fb>
    <v>0</v>
  </rv>
  <rv s="0">
    <fb>347.71</fb>
    <v>0</v>
  </rv>
  <rv s="0">
    <fb>352.28</fb>
    <v>0</v>
  </rv>
  <rv s="0">
    <fb>352.96</fb>
    <v>0</v>
  </rv>
  <rv s="0">
    <fb>359.43</fb>
    <v>0</v>
  </rv>
  <rv s="0">
    <fb>364.37</fb>
    <v>0</v>
  </rv>
  <rv s="0">
    <fb>361.6</fb>
    <v>0</v>
  </rv>
  <rv s="0">
    <fb>364.42</fb>
    <v>0</v>
  </rv>
  <rv s="0">
    <fb>368.55</fb>
    <v>0</v>
  </rv>
  <rv s="0">
    <fb>369</fb>
    <v>0</v>
  </rv>
  <rv s="0">
    <fb>374.1</fb>
    <v>0</v>
  </rv>
  <rv s="0">
    <fb>370.89</fb>
    <v>0</v>
  </rv>
  <rv s="0">
    <fb>354.12</fb>
    <v>0</v>
  </rv>
  <rv s="0">
    <fb>352.9</fb>
    <v>0</v>
  </rv>
  <rv s="0">
    <fb>351.94</fb>
    <v>0</v>
  </rv>
  <rv s="0">
    <fb>339.24</fb>
    <v>0</v>
  </rv>
  <rv s="0">
    <fb>347.25</fb>
    <v>0</v>
  </rv>
  <rv s="2">
    <v>https://www.bing.com/financeapi/forcetrigger?t=a26aur&amp;q=ARCX%3aXSD&amp;form=skydnc</v>
    <v>Learn more on Bing</v>
  </rv>
  <rv s="3">
    <v>2</v>
    <v>SS SPDR S&amp;P Semiconductr (ARCX:XSD)</v>
    <v>4</v>
    <v>5</v>
    <v>Finance</v>
    <v>7</v>
    <v>en-US</v>
    <v>a26aur</v>
    <v>268435456</v>
    <v>1</v>
    <v>Powered by Refinitiv</v>
    <v>358.86250000000001</v>
    <v>156.77500000000001</v>
    <v>1.6007</v>
    <v>8.1</v>
    <v>2.5386000000000002E-2</v>
    <v>USD</v>
    <v>NYSE Arca</v>
    <v>ARCX</v>
    <v>3.4999999999999996E-3</v>
    <v>328.23</v>
    <v>ETF</v>
    <v>46010.940771527341</v>
    <v>699</v>
    <v>321.32</v>
    <v>1599332404.95</v>
    <v>SS SPDR S&amp;P Semiconductr</v>
    <v>321.32</v>
    <v>319.07</v>
    <v>327.17</v>
    <v>XSD</v>
    <v>SS SPDR S&amp;P Semiconductr (ARCX:XSD)</v>
    <v>2806</v>
    <v>47161</v>
  </rv>
  <rv s="4">
    <v>700</v>
  </rv>
  <rv s="0">
    <fb>299.57</fb>
    <v>0</v>
  </rv>
  <rv s="0">
    <fb>287.85000000000002</fb>
    <v>0</v>
  </rv>
  <rv s="0">
    <fb>295.41000000000003</fb>
    <v>0</v>
  </rv>
  <rv s="0">
    <fb>308.25</fb>
    <v>0</v>
  </rv>
  <rv s="0">
    <fb>310.55</fb>
    <v>0</v>
  </rv>
  <rv s="0">
    <fb>315.85000000000002</fb>
    <v>0</v>
  </rv>
  <rv s="0">
    <fb>321.33999999999997</fb>
    <v>0</v>
  </rv>
  <rv s="0">
    <fb>317.44</fb>
    <v>0</v>
  </rv>
  <rv s="0">
    <fb>325.32</fb>
    <v>0</v>
  </rv>
  <rv s="0">
    <fb>337.33</fb>
    <v>0</v>
  </rv>
  <rv s="0">
    <fb>338.81</fb>
    <v>0</v>
  </rv>
  <rv s="0">
    <fb>341.96</fb>
    <v>0</v>
  </rv>
  <rv s="0">
    <fb>344.07</fb>
    <v>0</v>
  </rv>
  <rv s="0">
    <fb>343.01</fb>
    <v>0</v>
  </rv>
  <rv s="0">
    <fb>345.35</fb>
    <v>0</v>
  </rv>
  <rv s="0">
    <fb>344.74</fb>
    <v>0</v>
  </rv>
  <rv s="0">
    <fb>328.13</fb>
    <v>0</v>
  </rv>
  <rv s="0">
    <fb>324.54000000000002</fb>
    <v>0</v>
  </rv>
  <rv s="0">
    <fb>322.85000000000002</fb>
    <v>0</v>
  </rv>
  <rv s="0">
    <fb>313.77</fb>
    <v>0</v>
  </rv>
  <rv s="0">
    <fb>319.07</fb>
    <v>0</v>
  </rv>
  <rv s="2">
    <v>https://www.bing.com/financeapi/forcetrigger?t=a1vekr&amp;q=BATS%3aIGV&amp;form=skydnc</v>
    <v>Learn more on Bing</v>
  </rv>
  <rv s="3">
    <v>2</v>
    <v>iShares:Expand Tch-Sftwr (BATS:IGV)</v>
    <v>4</v>
    <v>5</v>
    <v>Finance</v>
    <v>11</v>
    <v>en-US</v>
    <v>a1vekr</v>
    <v>268435456</v>
    <v>1</v>
    <v>Powered by Refinitiv</v>
    <v>117.99</v>
    <v>76.680000000000007</v>
    <v>0.94920000000000004</v>
    <v>1.58</v>
    <v>1.4879999999999999E-2</v>
    <v>USD</v>
    <v>CBOE BZX Exchange</v>
    <v>BATS</v>
    <v>3.9000000000000003E-3</v>
    <v>108.035</v>
    <v>ETF</v>
    <v>46010.963317777343</v>
    <v>723</v>
    <v>106.75</v>
    <v>8193525578.71</v>
    <v>iShares:Expand Tch-Sftwr</v>
    <v>106.95</v>
    <v>106.18</v>
    <v>107.76</v>
    <v>IGV</v>
    <v>iShares:Expand Tch-Sftwr (BATS:IGV)</v>
    <v>112</v>
    <v>5575008</v>
  </rv>
  <rv s="4">
    <v>724</v>
  </rv>
  <rv s="0">
    <fb>103.89</fb>
    <v>0</v>
  </rv>
  <rv s="0">
    <fb>100.8</fb>
    <v>0</v>
  </rv>
  <rv s="0">
    <fb>100.92</fb>
    <v>0</v>
  </rv>
  <rv s="0">
    <fb>102.23</fb>
    <v>0</v>
  </rv>
  <rv s="0">
    <fb>103.19</fb>
    <v>0</v>
  </rv>
  <rv s="0">
    <fb>102.97</fb>
    <v>0</v>
  </rv>
  <rv s="0">
    <fb>104.09</fb>
    <v>0</v>
  </rv>
  <rv s="0">
    <fb>104.07</fb>
    <v>0</v>
  </rv>
  <rv s="0">
    <fb>105.22</fb>
    <v>0</v>
  </rv>
  <rv s="0">
    <fb>106.68</fb>
    <v>0</v>
  </rv>
  <rv s="0">
    <fb>107.95</fb>
    <v>0</v>
  </rv>
  <rv s="0">
    <fb>109.46</fb>
    <v>0</v>
  </rv>
  <rv s="0">
    <fb>109.4</fb>
    <v>0</v>
  </rv>
  <rv s="0">
    <fb>109.95</fb>
    <v>0</v>
  </rv>
  <rv s="0">
    <fb>110.08</fb>
    <v>0</v>
  </rv>
  <rv s="0">
    <fb>109.78</fb>
    <v>0</v>
  </rv>
  <rv s="0">
    <fb>107.97</fb>
    <v>0</v>
  </rv>
  <rv s="0">
    <fb>105.39</fb>
    <v>0</v>
  </rv>
  <rv s="0">
    <fb>106.31</fb>
    <v>0</v>
  </rv>
  <rv s="0">
    <fb>104.7</fb>
    <v>0</v>
  </rv>
  <rv s="0">
    <fb>106.18</fb>
    <v>0</v>
  </rv>
  <rv s="2">
    <v>https://www.bing.com/financeapi/forcetrigger?t=a26ba2&amp;q=ARCX%3aXSW&amp;form=skydnc</v>
    <v>Learn more on Bing</v>
  </rv>
  <rv s="3">
    <v>2</v>
    <v>SS SPDR S&amp;P Sftwre &amp; Svc (ARCX:XSW)</v>
    <v>4</v>
    <v>5</v>
    <v>Finance</v>
    <v>6</v>
    <v>en-US</v>
    <v>a26ba2</v>
    <v>268435456</v>
    <v>1</v>
    <v>Powered by Refinitiv</v>
    <v>205.76</v>
    <v>137.55000000000001</v>
    <v>1.0288999999999999</v>
    <v>1.5497000000000001</v>
    <v>8.1919999999999996E-3</v>
    <v>USD</v>
    <v>NYSE Arca</v>
    <v>ARCX</v>
    <v>3.4999999999999996E-3</v>
    <v>191.1499</v>
    <v>ETF</v>
    <v>46010.969002013284</v>
    <v>747</v>
    <v>190.04</v>
    <v>434161749.68000001</v>
    <v>SS SPDR S&amp;P Sftwre &amp; Svc</v>
    <v>190.17</v>
    <v>189.17</v>
    <v>190.71969999999999</v>
    <v>XSW</v>
    <v>SS SPDR S&amp;P Sftwre &amp; Svc (ARCX:XSW)</v>
    <v>9442</v>
    <v>9783</v>
  </rv>
  <rv s="4">
    <v>748</v>
  </rv>
  <rv s="0">
    <fb>179.2336</fb>
    <v>0</v>
  </rv>
  <rv s="0">
    <fb>175.4</fb>
    <v>0</v>
  </rv>
  <rv s="0">
    <fb>178.44</fb>
    <v>0</v>
  </rv>
  <rv s="0">
    <fb>180.82</fb>
    <v>0</v>
  </rv>
  <rv s="0">
    <fb>184.57</fb>
    <v>0</v>
  </rv>
  <rv s="0">
    <fb>183.89</fb>
    <v>0</v>
  </rv>
  <rv s="0">
    <fb>186.39</fb>
    <v>0</v>
  </rv>
  <rv s="0">
    <fb>184.77</fb>
    <v>0</v>
  </rv>
  <rv s="0">
    <fb>185.72</fb>
    <v>0</v>
  </rv>
  <rv s="0">
    <fb>189.39</fb>
    <v>0</v>
  </rv>
  <rv s="0">
    <fb>191.56</fb>
    <v>0</v>
  </rv>
  <rv s="0">
    <fb>191.7</fb>
    <v>0</v>
  </rv>
  <rv s="0">
    <fb>192.923</fb>
    <v>0</v>
  </rv>
  <rv s="0">
    <fb>194.81</fb>
    <v>0</v>
  </rv>
  <rv s="0">
    <fb>195.34</fb>
    <v>0</v>
  </rv>
  <rv s="0">
    <fb>195.8</fb>
    <v>0</v>
  </rv>
  <rv s="0">
    <fb>192.58</fb>
    <v>0</v>
  </rv>
  <rv s="0">
    <fb>186.85</fb>
    <v>0</v>
  </rv>
  <rv s="0">
    <fb>188.535</fb>
    <v>0</v>
  </rv>
  <rv s="0">
    <fb>187.58</fb>
    <v>0</v>
  </rv>
  <rv s="0">
    <fb>189.17</fb>
    <v>0</v>
  </rv>
  <rv s="2">
    <v>https://www.bing.com/financeapi/forcetrigger?t=a1ve3m&amp;q=ARCX%3aIGM&amp;form=skydnc</v>
    <v>Learn more on Bing</v>
  </rv>
  <rv s="3">
    <v>2</v>
    <v>iShares:Exp Tech Sector (ARCX:IGM)</v>
    <v>4</v>
    <v>5</v>
    <v>Finance</v>
    <v>7</v>
    <v>en-US</v>
    <v>a1ve3m</v>
    <v>268435456</v>
    <v>1</v>
    <v>Powered by Refinitiv</v>
    <v>135.81</v>
    <v>76.260000000000005</v>
    <v>1.1579999999999999</v>
    <v>2.4500000000000002</v>
    <v>1.9272999999999998E-2</v>
    <v>USD</v>
    <v>NYSE Arca</v>
    <v>ARCX</v>
    <v>3.9000000000000003E-3</v>
    <v>129.57</v>
    <v>ETF</v>
    <v>46010.976004918753</v>
    <v>771</v>
    <v>127.83</v>
    <v>8983144818.8299999</v>
    <v>iShares:Exp Tech Sector</v>
    <v>127.83</v>
    <v>127.12</v>
    <v>129.57</v>
    <v>IGM</v>
    <v>iShares:Exp Tech Sector (ARCX:IGM)</v>
    <v>66</v>
    <v>1037420</v>
  </rv>
  <rv s="4">
    <v>772</v>
  </rv>
  <rv s="0">
    <fb>125.94</fb>
    <v>0</v>
  </rv>
  <rv s="0">
    <fb>122.31</fb>
    <v>0</v>
  </rv>
  <rv s="0">
    <fb>123.06</fb>
    <v>0</v>
  </rv>
  <rv s="0">
    <fb>127.19</fb>
    <v>0</v>
  </rv>
  <rv s="0">
    <fb>128.08000000000001</fb>
    <v>0</v>
  </rv>
  <rv s="0">
    <fb>129.22999999999999</fb>
    <v>0</v>
  </rv>
  <rv s="0">
    <fb>130.44999999999999</fb>
    <v>0</v>
  </rv>
  <rv s="0">
    <fb>129.81</fb>
    <v>0</v>
  </rv>
  <rv s="0">
    <fb>130.96</fb>
    <v>0</v>
  </rv>
  <rv s="0">
    <fb>131.35</fb>
    <v>0</v>
  </rv>
  <rv s="0">
    <fb>131.77000000000001</fb>
    <v>0</v>
  </rv>
  <rv s="0">
    <fb>132.77000000000001</fb>
    <v>0</v>
  </rv>
  <rv s="0">
    <fb>133.1</fb>
    <v>0</v>
  </rv>
  <rv s="0">
    <fb>133.59</fb>
    <v>0</v>
  </rv>
  <rv s="0">
    <fb>134.22</fb>
    <v>0</v>
  </rv>
  <rv s="0">
    <fb>133.43</fb>
    <v>0</v>
  </rv>
  <rv s="0">
    <fb>129.41999999999999</fb>
    <v>0</v>
  </rv>
  <rv s="0">
    <fb>127.85</fb>
    <v>0</v>
  </rv>
  <rv s="0">
    <fb>128.04</fb>
    <v>0</v>
  </rv>
  <rv s="0">
    <fb>125.15</fb>
    <v>0</v>
  </rv>
  <rv s="0">
    <fb>127.12</fb>
    <v>0</v>
  </rv>
  <rv s="2">
    <v>https://www.bing.com/financeapi/forcetrigger?t=a25bf2&amp;q=ARCX%3aVGT&amp;form=skydnc</v>
    <v>Learn more on Bing</v>
  </rv>
  <rv s="3">
    <v>2</v>
    <v>Vanguard InfoTch Idx;ETF (ARCX:VGT)</v>
    <v>4</v>
    <v>5</v>
    <v>Finance</v>
    <v>7</v>
    <v>en-US</v>
    <v>a25bf2</v>
    <v>268435456</v>
    <v>1</v>
    <v>Powered by Refinitiv</v>
    <v>806.99</v>
    <v>451</v>
    <v>0.99080000000000001</v>
    <v>14.92</v>
    <v>2.0145E-2</v>
    <v>USD</v>
    <v>NYSE Arca</v>
    <v>ARCX</v>
    <v>8.9999999999999998E-4</v>
    <v>756.09</v>
    <v>ETF</v>
    <v>46010.881944444445</v>
    <v>795</v>
    <v>745.95939999999996</v>
    <v>112034972943</v>
    <v>Vanguard InfoTch Idx;ETF</v>
    <v>746.25</v>
    <v>740.62</v>
    <v>755.54</v>
    <v>VGT</v>
    <v>Vanguard InfoTch Idx;ETF (ARCX:VGT)</v>
    <v>98</v>
    <v>550348</v>
  </rv>
  <rv s="4">
    <v>796</v>
  </rv>
  <rv s="0">
    <fb>737.57</fb>
    <v>0</v>
  </rv>
  <rv s="0">
    <fb>715.7</fb>
    <v>0</v>
  </rv>
  <rv s="0">
    <fb>718.89</fb>
    <v>0</v>
  </rv>
  <rv s="0">
    <fb>736.95</fb>
    <v>0</v>
  </rv>
  <rv s="0">
    <fb>739.21</fb>
    <v>0</v>
  </rv>
  <rv s="0">
    <fb>746.93</fb>
    <v>0</v>
  </rv>
  <rv s="0">
    <fb>752.2</fb>
    <v>0</v>
  </rv>
  <rv s="0">
    <fb>751.89</fb>
    <v>0</v>
  </rv>
  <rv s="0">
    <fb>759.71</fb>
    <v>0</v>
  </rv>
  <rv s="0">
    <fb>761.12</fb>
    <v>0</v>
  </rv>
  <rv s="0">
    <fb>764.65</fb>
    <v>0</v>
  </rv>
  <rv s="0">
    <fb>767.97</fb>
    <v>0</v>
  </rv>
  <rv s="0">
    <fb>774.68</fb>
    <v>0</v>
  </rv>
  <rv s="0">
    <fb>776.36</fb>
    <v>0</v>
  </rv>
  <rv s="0">
    <fb>779.16</fb>
    <v>0</v>
  </rv>
  <rv s="0">
    <fb>776.34</fb>
    <v>0</v>
  </rv>
  <rv s="0">
    <fb>753.93</fb>
    <v>0</v>
  </rv>
  <rv s="0">
    <fb>745.51</fb>
    <v>0</v>
  </rv>
  <rv s="0">
    <fb>746.68</fb>
    <v>0</v>
  </rv>
  <rv s="0">
    <fb>730.42</fb>
    <v>0</v>
  </rv>
  <rv s="0">
    <fb>740.62</fb>
    <v>0</v>
  </rv>
  <rv s="2">
    <v>https://www.bing.com/financeapi/forcetrigger?t=a26bcw&amp;q=XNAS%3aXT&amp;form=skydnc</v>
    <v>Learn more on Bing</v>
  </rv>
  <rv s="3">
    <v>2</v>
    <v>iShares:Fut Exp Tch (XNAS:XT)</v>
    <v>4</v>
    <v>5</v>
    <v>Finance</v>
    <v>7</v>
    <v>en-US</v>
    <v>a26bcw</v>
    <v>268435456</v>
    <v>1</v>
    <v>Powered by Refinitiv</v>
    <v>76.288700000000006</v>
    <v>49.01</v>
    <v>0.94899999999999995</v>
    <v>0.74</v>
    <v>1.0714999999999999E-2</v>
    <v>USD</v>
    <v>Nasdaq Stock Market</v>
    <v>XNAS</v>
    <v>4.6999999999999993E-3</v>
    <v>70.03</v>
    <v>ETF</v>
    <v>46010.894643680469</v>
    <v>819</v>
    <v>69.39</v>
    <v>3681007539.8699999</v>
    <v>iShares:Fut Exp Tch</v>
    <v>69.39</v>
    <v>69.06</v>
    <v>69.8</v>
    <v>XT</v>
    <v>iShares:Fut Exp Tch (XNAS:XT)</v>
    <v>2</v>
    <v>91798</v>
  </rv>
  <rv s="4">
    <v>820</v>
  </rv>
  <rv s="0">
    <fb>72.25</fb>
    <v>0</v>
  </rv>
  <rv s="0">
    <fb>70.59</fb>
    <v>0</v>
  </rv>
  <rv s="0">
    <fb>71.132599999999996</fb>
    <v>0</v>
  </rv>
  <rv s="0">
    <fb>72.247500000000002</fb>
    <v>0</v>
  </rv>
  <rv s="0">
    <fb>73.150000000000006</fb>
    <v>0</v>
  </rv>
  <rv s="0">
    <fb>73.736000000000004</fb>
    <v>0</v>
  </rv>
  <rv s="0">
    <fb>74.430000000000007</fb>
    <v>0</v>
  </rv>
  <rv s="0">
    <fb>73.786299999999997</fb>
    <v>0</v>
  </rv>
  <rv s="0">
    <fb>74.28</fb>
    <v>0</v>
  </rv>
  <rv s="0">
    <fb>74.88</fb>
    <v>0</v>
  </rv>
  <rv s="0">
    <fb>74.9666</fb>
    <v>0</v>
  </rv>
  <rv s="0">
    <fb>75.321299999999994</fb>
    <v>0</v>
  </rv>
  <rv s="0">
    <fb>75.290000000000006</fb>
    <v>0</v>
  </rv>
  <rv s="0">
    <fb>75.168400000000005</fb>
    <v>0</v>
  </rv>
  <rv s="0">
    <fb>76.0946</fb>
    <v>0</v>
  </rv>
  <rv s="0">
    <fb>75.959999999999994</fb>
    <v>0</v>
  </rv>
  <rv s="0">
    <fb>74.98</fb>
    <v>0</v>
  </rv>
  <rv s="0">
    <fb>74.857299999999995</fb>
    <v>0</v>
  </rv>
  <rv s="0">
    <fb>69.180000000000007</fb>
    <v>0</v>
  </rv>
  <rv s="0">
    <fb>68.239999999999995</fb>
    <v>0</v>
  </rv>
  <rv s="0">
    <fb>69.06</fb>
    <v>0</v>
  </rv>
  <rv s="2">
    <v>https://www.bing.com/financeapi/forcetrigger?t=a1ppec&amp;q=XNAS%3aCIBR&amp;form=skydnc</v>
    <v>Learn more on Bing</v>
  </rv>
  <rv s="3">
    <v>2</v>
    <v>FT II:Nsdq Cybersecurity (XNAS:CIBR)</v>
    <v>4</v>
    <v>5</v>
    <v>Finance</v>
    <v>7</v>
    <v>en-US</v>
    <v>a1ppec</v>
    <v>268435456</v>
    <v>1</v>
    <v>Powered by Refinitiv</v>
    <v>78.34</v>
    <v>55.02</v>
    <v>0.70979999999999999</v>
    <v>0.76</v>
    <v>1.0503E-2</v>
    <v>USD</v>
    <v>Nasdaq Stock Market</v>
    <v>XNAS</v>
    <v>5.8999999999999999E-3</v>
    <v>76.06</v>
    <v>ETF</v>
    <v>46010.963331608596</v>
    <v>843</v>
    <v>72.48</v>
    <v>11085984564.76</v>
    <v>FT II:Nsdq Cybersecurity</v>
    <v>72.52</v>
    <v>72.36</v>
    <v>73.12</v>
    <v>CIBR</v>
    <v>FT II:Nsdq Cybersecurity (XNAS:CIBR)</v>
    <v>48</v>
    <v>762932</v>
  </rv>
  <rv s="4">
    <v>844</v>
  </rv>
  <rv s="0">
    <fb>73.38</fb>
    <v>0</v>
  </rv>
  <rv s="0">
    <fb>71.5</fb>
    <v>0</v>
  </rv>
  <rv s="0">
    <fb>71.56</fb>
    <v>0</v>
  </rv>
  <rv s="0">
    <fb>72.45</fb>
    <v>0</v>
  </rv>
  <rv s="0">
    <fb>73.61</fb>
    <v>0</v>
  </rv>
  <rv s="0">
    <fb>72.959999999999994</fb>
    <v>0</v>
  </rv>
  <rv s="0">
    <fb>73.650000000000006</fb>
    <v>0</v>
  </rv>
  <rv s="0">
    <fb>72.790000000000006</fb>
    <v>0</v>
  </rv>
  <rv s="0">
    <fb>73.260000000000005</fb>
    <v>0</v>
  </rv>
  <rv s="0">
    <fb>74.239999999999995</fb>
    <v>0</v>
  </rv>
  <rv s="0">
    <fb>74.709999999999994</fb>
    <v>0</v>
  </rv>
  <rv s="0">
    <fb>75.209999999999994</fb>
    <v>0</v>
  </rv>
  <rv s="0">
    <fb>75.64</fb>
    <v>0</v>
  </rv>
  <rv s="0">
    <fb>76.099999999999994</fb>
    <v>0</v>
  </rv>
  <rv s="0">
    <fb>75.760000000000005</fb>
    <v>0</v>
  </rv>
  <rv s="0">
    <fb>73.89</fb>
    <v>0</v>
  </rv>
  <rv s="0">
    <fb>72.52</fb>
    <v>0</v>
  </rv>
  <rv s="0">
    <fb>72.459999999999994</fb>
    <v>0</v>
  </rv>
  <rv s="0">
    <fb>71.34</fb>
    <v>0</v>
  </rv>
  <rv s="0">
    <fb>72.36</fb>
    <v>0</v>
  </rv>
  <rv s="2">
    <v>https://www.bing.com/financeapi/forcetrigger?t=a1or9c&amp;q=XNAS%3aBOTZ&amp;form=skydnc</v>
    <v>Learn more on Bing</v>
  </rv>
  <rv s="3">
    <v>2</v>
    <v>Glbl X Rob &amp; Art Intel (XNAS:BOTZ)</v>
    <v>4</v>
    <v>5</v>
    <v>Finance</v>
    <v>6</v>
    <v>en-US</v>
    <v>a1or9c</v>
    <v>268435456</v>
    <v>1</v>
    <v>Powered by Refinitiv</v>
    <v>38.348599999999998</v>
    <v>23.815000000000001</v>
    <v>1.1189</v>
    <v>0.6</v>
    <v>1.6968E-2</v>
    <v>USD</v>
    <v>Nasdaq Stock Market</v>
    <v>XNAS</v>
    <v>6.8000000000000005E-3</v>
    <v>35.99</v>
    <v>ETF</v>
    <v>46010.885416666664</v>
    <v>866</v>
    <v>35.57</v>
    <v>3010412974.1100001</v>
    <v>Glbl X Rob &amp; Art Intel</v>
    <v>35.69</v>
    <v>35.36</v>
    <v>35.96</v>
    <v>BOTZ</v>
    <v>Glbl X Rob &amp; Art Intel (XNAS:BOTZ)</v>
    <v>2018</v>
    <v>842078</v>
  </rv>
  <rv s="4">
    <v>867</v>
  </rv>
  <rv s="0">
    <fb>33.840000000000003</fb>
    <v>0</v>
  </rv>
  <rv s="0">
    <fb>33.08</fb>
    <v>0</v>
  </rv>
  <rv s="0">
    <fb>33.49</fb>
    <v>0</v>
  </rv>
  <rv s="0">
    <fb>34.07</fb>
    <v>0</v>
  </rv>
  <rv s="0">
    <fb>34.549999999999997</fb>
    <v>0</v>
  </rv>
  <rv s="0">
    <fb>34.869999999999997</fb>
    <v>0</v>
  </rv>
  <rv s="0">
    <fb>35.17</fb>
    <v>0</v>
  </rv>
  <rv s="0">
    <fb>35.25</fb>
    <v>0</v>
  </rv>
  <rv s="0">
    <fb>35.15</fb>
    <v>0</v>
  </rv>
  <rv s="0">
    <fb>35.51</fb>
    <v>0</v>
  </rv>
  <rv s="0">
    <fb>36.880000000000003</fb>
    <v>0</v>
  </rv>
  <rv s="0">
    <fb>36.770000000000003</fb>
    <v>0</v>
  </rv>
  <rv s="0">
    <fb>36.89</fb>
    <v>0</v>
  </rv>
  <rv s="0">
    <fb>37.03</fb>
    <v>0</v>
  </rv>
  <rv s="0">
    <fb>36.93</fb>
    <v>0</v>
  </rv>
  <rv s="0">
    <fb>36.380000000000003</fb>
    <v>0</v>
  </rv>
  <rv s="0">
    <fb>36.14</fb>
    <v>0</v>
  </rv>
  <rv s="0">
    <fb>35.79</fb>
    <v>0</v>
  </rv>
  <rv s="0">
    <fb>35</fb>
    <v>0</v>
  </rv>
  <rv s="0">
    <fb>35.36</fb>
    <v>0</v>
  </rv>
  <rv s="2">
    <v>https://www.bing.com/financeapi/forcetrigger?t=azzpyc&amp;q=XNAS%3aAIQ&amp;form=skydnc</v>
    <v>Learn more on Bing</v>
  </rv>
  <rv s="3">
    <v>2</v>
    <v>Glbl X AI &amp; Technology (XNAS:AIQ)</v>
    <v>4</v>
    <v>5</v>
    <v>Finance</v>
    <v>7</v>
    <v>en-US</v>
    <v>azzpyc</v>
    <v>268435456</v>
    <v>1</v>
    <v>Powered by Refinitiv</v>
    <v>53.75</v>
    <v>30.6</v>
    <v>1.1184000000000001</v>
    <v>0.93</v>
    <v>1.8675000000000001E-2</v>
    <v>USD</v>
    <v>Nasdaq Stock Market</v>
    <v>XNAS</v>
    <v>6.8000000000000005E-3</v>
    <v>50.845799999999997</v>
    <v>ETF</v>
    <v>46011.040989895315</v>
    <v>889</v>
    <v>50.045000000000002</v>
    <v>6965926316.0799999</v>
    <v>Glbl X AI &amp; Technology</v>
    <v>50.14</v>
    <v>49.8</v>
    <v>50.73</v>
    <v>AIQ</v>
    <v>Glbl X AI &amp; Technology (XNAS:AIQ)</v>
    <v>603</v>
    <v>1845916</v>
  </rv>
  <rv s="4">
    <v>890</v>
  </rv>
  <rv s="0">
    <fb>48.79</fb>
    <v>0</v>
  </rv>
  <rv s="0">
    <fb>47.33</fb>
    <v>0</v>
  </rv>
  <rv s="0">
    <fb>47.6</fb>
    <v>0</v>
  </rv>
  <rv s="0">
    <fb>49.11</fb>
    <v>0</v>
  </rv>
  <rv s="0">
    <fb>49.25</fb>
    <v>0</v>
  </rv>
  <rv s="0">
    <fb>49.67</fb>
    <v>0</v>
  </rv>
  <rv s="0">
    <fb>50.14</fb>
    <v>0</v>
  </rv>
  <rv s="0">
    <fb>50.13</fb>
    <v>0</v>
  </rv>
  <rv s="0">
    <fb>50.44</fb>
    <v>0</v>
  </rv>
  <rv s="0">
    <fb>50.84</fb>
    <v>0</v>
  </rv>
  <rv s="0">
    <fb>50.95</fb>
    <v>0</v>
  </rv>
  <rv s="0">
    <fb>51.48</fb>
    <v>0</v>
  </rv>
  <rv s="0">
    <fb>51.52</fb>
    <v>0</v>
  </rv>
  <rv s="0">
    <fb>52.07</fb>
    <v>0</v>
  </rv>
  <rv s="0">
    <fb>51.68</fb>
    <v>0</v>
  </rv>
  <rv s="0">
    <fb>50.52</fb>
    <v>0</v>
  </rv>
  <rv s="0">
    <fb>49.88</fb>
    <v>0</v>
  </rv>
  <rv s="0">
    <fb>49.87</fb>
    <v>0</v>
  </rv>
  <rv s="0">
    <fb>48.97</fb>
    <v>0</v>
  </rv>
  <rv s="0">
    <fb>49.8</fb>
    <v>0</v>
  </rv>
  <rv s="2">
    <v>https://www.bing.com/financeapi/forcetrigger?t=a26bim&amp;q=ARCX%3aXTL&amp;form=skydnc</v>
    <v>Learn more on Bing</v>
  </rv>
  <rv s="3">
    <v>2</v>
    <v>SS SPDR S&amp;P Telecom (ARCX:XTL)</v>
    <v>4</v>
    <v>5</v>
    <v>Finance</v>
    <v>7</v>
    <v>en-US</v>
    <v>a26bim</v>
    <v>268435456</v>
    <v>1</v>
    <v>Powered by Refinitiv</v>
    <v>160.07589999999999</v>
    <v>84.68</v>
    <v>0.86529999999999996</v>
    <v>5.77</v>
    <v>3.9308000000000003E-2</v>
    <v>USD</v>
    <v>NYSE Arca</v>
    <v>ARCX</v>
    <v>3.4999999999999996E-3</v>
    <v>152.74</v>
    <v>ETF</v>
    <v>46010.881944444445</v>
    <v>912</v>
    <v>148.16999999999999</v>
    <v>197753839.24000001</v>
    <v>SS SPDR S&amp;P Telecom</v>
    <v>148.16999999999999</v>
    <v>146.79</v>
    <v>152.56</v>
    <v>XTL</v>
    <v>SS SPDR S&amp;P Telecom (ARCX:XTL)</v>
    <v>30802</v>
    <v>15426</v>
  </rv>
  <rv s="4">
    <v>913</v>
  </rv>
  <rv s="0">
    <fb>139.08410000000001</fb>
    <v>0</v>
  </rv>
  <rv s="0">
    <fb>132.63</fb>
    <v>0</v>
  </rv>
  <rv s="0">
    <fb>135.43819999999999</fb>
    <v>0</v>
  </rv>
  <rv s="0">
    <fb>141.81280000000001</fb>
    <v>0</v>
  </rv>
  <rv s="0">
    <fb>143.6</fb>
    <v>0</v>
  </rv>
  <rv s="0">
    <fb>145.72389999999999</fb>
    <v>0</v>
  </rv>
  <rv s="0">
    <fb>146.40530000000001</fb>
    <v>0</v>
  </rv>
  <rv s="0">
    <fb>144.21279999999999</fb>
    <v>0</v>
  </rv>
  <rv s="0">
    <fb>145.87</fb>
    <v>0</v>
  </rv>
  <rv s="0">
    <fb>147.69</fb>
    <v>0</v>
  </rv>
  <rv s="0">
    <fb>150.03</fb>
    <v>0</v>
  </rv>
  <rv s="0">
    <fb>151.02000000000001</fb>
    <v>0</v>
  </rv>
  <rv s="0">
    <fb>152.51</fb>
    <v>0</v>
  </rv>
  <rv s="0">
    <fb>153.47999999999999</fb>
    <v>0</v>
  </rv>
  <rv s="0">
    <fb>156.54159999999999</fb>
    <v>0</v>
  </rv>
  <rv s="0">
    <fb>159.7705</fb>
    <v>0</v>
  </rv>
  <rv s="0">
    <fb>152.97999999999999</fb>
    <v>0</v>
  </rv>
  <rv s="0">
    <fb>149.41999999999999</fb>
    <v>0</v>
  </rv>
  <rv s="0">
    <fb>148.72</fb>
    <v>0</v>
  </rv>
  <rv s="0">
    <fb>143.89500000000001</fb>
    <v>0</v>
  </rv>
  <rv s="0">
    <fb>146.79</fb>
    <v>0</v>
  </rv>
  <rv s="2">
    <v>https://www.bing.com/financeapi/forcetrigger?t=a25hxm&amp;q=ARCX%3aVOX&amp;form=skydnc</v>
    <v>Learn more on Bing</v>
  </rv>
  <rv s="3">
    <v>2</v>
    <v>Vanguard Comm Indx;ETF (ARCX:VOX)</v>
    <v>4</v>
    <v>5</v>
    <v>Finance</v>
    <v>7</v>
    <v>en-US</v>
    <v>a25hxm</v>
    <v>268435456</v>
    <v>1</v>
    <v>Powered by Refinitiv</v>
    <v>195.25</v>
    <v>129.33000000000001</v>
    <v>1.105</v>
    <v>0.28999999999999998</v>
    <v>1.5160000000000002E-3</v>
    <v>USD</v>
    <v>NYSE Arca</v>
    <v>ARCX</v>
    <v>8.9999999999999998E-4</v>
    <v>192.74</v>
    <v>ETF</v>
    <v>46010.881944444445</v>
    <v>936</v>
    <v>191.29</v>
    <v>6115819627</v>
    <v>Vanguard Comm Indx;ETF</v>
    <v>191.72</v>
    <v>191.31</v>
    <v>191.6</v>
    <v>VOX</v>
    <v>Vanguard Comm Indx;ETF (ARCX:VOX)</v>
    <v>182978</v>
    <v>251550</v>
  </rv>
  <rv s="4">
    <v>937</v>
  </rv>
  <rv s="0">
    <fb>180.93</fb>
    <v>0</v>
  </rv>
  <rv s="0">
    <fb>178.55</fb>
    <v>0</v>
  </rv>
  <rv s="0">
    <fb>181.95</fb>
    <v>0</v>
  </rv>
  <rv s="0">
    <fb>186.32</fb>
    <v>0</v>
  </rv>
  <rv s="0">
    <fb>189.53</fb>
    <v>0</v>
  </rv>
  <rv s="0">
    <fb>189.29</fb>
    <v>0</v>
  </rv>
  <rv s="0">
    <fb>191.21</fb>
    <v>0</v>
  </rv>
  <rv s="0">
    <fb>189.94</fb>
    <v>0</v>
  </rv>
  <rv s="0">
    <fb>190.65</fb>
    <v>0</v>
  </rv>
  <rv s="0">
    <fb>190.67</fb>
    <v>0</v>
  </rv>
  <rv s="0">
    <fb>192.4</fb>
    <v>0</v>
  </rv>
  <rv s="0">
    <fb>194.59</fb>
    <v>0</v>
  </rv>
  <rv s="0">
    <fb>193.01</fb>
    <v>0</v>
  </rv>
  <rv s="0">
    <fb>192.91</fb>
    <v>0</v>
  </rv>
  <rv s="0">
    <fb>193.69</fb>
    <v>0</v>
  </rv>
  <rv s="0">
    <fb>193.29</fb>
    <v>0</v>
  </rv>
  <rv s="0">
    <fb>191.78</fb>
    <v>0</v>
  </rv>
  <rv s="0">
    <fb>191.26</fb>
    <v>0</v>
  </rv>
  <rv s="0">
    <fb>192.06</fb>
    <v>0</v>
  </rv>
  <rv s="0">
    <fb>191.31</fb>
    <v>0</v>
  </rv>
  <rv s="2">
    <v>https://www.bing.com/financeapi/forcetrigger?t=a1sok2&amp;q=ARCX%3aFCOM&amp;form=skydnc</v>
    <v>Learn more on Bing</v>
  </rv>
  <rv s="3">
    <v>2</v>
    <v>Fidelity MSCI Comm Svc (ARCX:FCOM)</v>
    <v>4</v>
    <v>5</v>
    <v>Finance</v>
    <v>7</v>
    <v>en-US</v>
    <v>a1sok2</v>
    <v>268435456</v>
    <v>1</v>
    <v>Powered by Refinitiv</v>
    <v>73.816199999999995</v>
    <v>48.96</v>
    <v>1.1114999999999999</v>
    <v>0.126</v>
    <v>1.7419999999999998E-3</v>
    <v>USD</v>
    <v>NYSE Arca</v>
    <v>ARCX</v>
    <v>8.4000000000000003E-4</v>
    <v>72.91</v>
    <v>ETF</v>
    <v>46010.921086157032</v>
    <v>959</v>
    <v>72.38</v>
    <v>1871774871.21</v>
    <v>Fidelity MSCI Comm Svc</v>
    <v>72.540000000000006</v>
    <v>72.343999999999994</v>
    <v>72.47</v>
    <v>FCOM</v>
    <v>Fidelity MSCI Comm Svc (ARCX:FCOM)</v>
    <v>66626</v>
    <v>136809</v>
  </rv>
  <rv s="4">
    <v>960</v>
  </rv>
  <rv s="0">
    <fb>68.39</fb>
    <v>0</v>
  </rv>
  <rv s="0">
    <fb>67.5</fb>
    <v>0</v>
  </rv>
  <rv s="0">
    <fb>68.75</fb>
    <v>0</v>
  </rv>
  <rv s="0">
    <fb>70.41</fb>
    <v>0</v>
  </rv>
  <rv s="0">
    <fb>71.66</fb>
    <v>0</v>
  </rv>
  <rv s="0">
    <fb>71.569999999999993</fb>
    <v>0</v>
  </rv>
  <rv s="0">
    <fb>71.8</fb>
    <v>0</v>
  </rv>
  <rv s="0">
    <fb>72.08</fb>
    <v>0</v>
  </rv>
  <rv s="0">
    <fb>72.069999999999993</fb>
    <v>0</v>
  </rv>
  <rv s="0">
    <fb>72.73</fb>
    <v>0</v>
  </rv>
  <rv s="0">
    <fb>73.5</fb>
    <v>0</v>
  </rv>
  <rv s="0">
    <fb>72.92</fb>
    <v>0</v>
  </rv>
  <rv s="0">
    <fb>72.91</fb>
    <v>0</v>
  </rv>
  <rv s="0">
    <fb>73.22</fb>
    <v>0</v>
  </rv>
  <rv s="0">
    <fb>73.06</fb>
    <v>0</v>
  </rv>
  <rv s="0">
    <fb>72.484999999999999</fb>
    <v>0</v>
  </rv>
  <rv s="0">
    <fb>72.28</fb>
    <v>0</v>
  </rv>
  <rv s="0">
    <fb>72.55</fb>
    <v>0</v>
  </rv>
  <rv s="0">
    <fb>71.75</fb>
    <v>0</v>
  </rv>
  <rv s="0">
    <fb>72.5</fb>
    <v>0</v>
  </rv>
  <rv s="2">
    <v>https://www.bing.com/financeapi/forcetrigger?t=a1sq4c&amp;q=ARCX%3aFDN&amp;form=skydnc</v>
    <v>Learn more on Bing</v>
  </rv>
  <rv s="3">
    <v>2</v>
    <v>FT:DJ Internet Index Fd (ARCX:FDN)</v>
    <v>4</v>
    <v>5</v>
    <v>Finance</v>
    <v>6</v>
    <v>en-US</v>
    <v>a1sq4c</v>
    <v>268435456</v>
    <v>1</v>
    <v>Powered by Refinitiv</v>
    <v>287.81</v>
    <v>191.37</v>
    <v>1.0839000000000001</v>
    <v>2.61</v>
    <v>9.7400000000000004E-3</v>
    <v>USD</v>
    <v>NYSE Arca</v>
    <v>ARCX</v>
    <v>4.8999999999999998E-3</v>
    <v>271.75</v>
    <v>ETF</v>
    <v>46010.949271666403</v>
    <v>982</v>
    <v>268.56200000000001</v>
    <v>6942480314.9899998</v>
    <v>FT:DJ Internet Index Fd</v>
    <v>268.57</v>
    <v>267.97000000000003</v>
    <v>270.58</v>
    <v>FDN</v>
    <v>FT:DJ Internet Index Fd (ARCX:FDN)</v>
    <v>29</v>
    <v>687142</v>
  </rv>
  <rv s="4">
    <v>983</v>
  </rv>
  <rv s="0">
    <fb>262.81</fb>
    <v>0</v>
  </rv>
  <rv s="0">
    <fb>255.62</fb>
    <v>0</v>
  </rv>
  <rv s="0">
    <fb>257.45</fb>
    <v>0</v>
  </rv>
  <rv s="0">
    <fb>263.45999999999998</fb>
    <v>0</v>
  </rv>
  <rv s="0">
    <fb>267.67</fb>
    <v>0</v>
  </rv>
  <rv s="0">
    <fb>266.82</fb>
    <v>0</v>
  </rv>
  <rv s="0">
    <fb>270.16000000000003</fb>
    <v>0</v>
  </rv>
  <rv s="0">
    <fb>269.39999999999998</fb>
    <v>0</v>
  </rv>
  <rv s="0">
    <fb>271.64</fb>
    <v>0</v>
  </rv>
  <rv s="0">
    <fb>271.56</fb>
    <v>0</v>
  </rv>
  <rv s="0">
    <fb>271.52999999999997</fb>
    <v>0</v>
  </rv>
  <rv s="0">
    <fb>273</fb>
    <v>0</v>
  </rv>
  <rv s="0">
    <fb>272.5</fb>
    <v>0</v>
  </rv>
  <rv s="0">
    <fb>273.38</fb>
    <v>0</v>
  </rv>
  <rv s="0">
    <fb>273.42</fb>
    <v>0</v>
  </rv>
  <rv s="0">
    <fb>273.32</fb>
    <v>0</v>
  </rv>
  <rv s="0">
    <fb>269.61</fb>
    <v>0</v>
  </rv>
  <rv s="0">
    <fb>267.35000000000002</fb>
    <v>0</v>
  </rv>
  <rv s="0">
    <fb>267.94</fb>
    <v>0</v>
  </rv>
  <rv s="0">
    <fb>264.86</fb>
    <v>0</v>
  </rv>
  <rv s="0">
    <fb>267.97000000000003</fb>
    <v>0</v>
  </rv>
  <rv s="2">
    <v>https://www.bing.com/financeapi/forcetrigger?t=a23a8m&amp;q=XNAS%3aSOCL&amp;form=skydnc</v>
    <v>Learn more on Bing</v>
  </rv>
  <rv s="3">
    <v>2</v>
    <v>Glbl X Social Media (XNAS:SOCL)</v>
    <v>4</v>
    <v>5</v>
    <v>Finance</v>
    <v>6</v>
    <v>en-US</v>
    <v>a23a8m</v>
    <v>268435456</v>
    <v>1</v>
    <v>Powered by Refinitiv</v>
    <v>63.93</v>
    <v>37.5</v>
    <v>0.52629999999999999</v>
    <v>0.64200000000000002</v>
    <v>1.1781999999999999E-2</v>
    <v>USD</v>
    <v>Nasdaq Stock Market</v>
    <v>XNAS</v>
    <v>6.5000000000000006E-3</v>
    <v>55.34</v>
    <v>ETF</v>
    <v>46010.885416793753</v>
    <v>1006</v>
    <v>54.99</v>
    <v>138572568.50999999</v>
    <v>Glbl X Social Media</v>
    <v>55.064</v>
    <v>54.492100000000001</v>
    <v>55.134099999999997</v>
    <v>SOCL</v>
    <v>Glbl X Social Media (XNAS:SOCL)</v>
    <v>3238</v>
    <v>8419</v>
  </rv>
  <rv s="4">
    <v>1007</v>
  </rv>
  <rv s="0">
    <fb>53.305</fb>
    <v>0</v>
  </rv>
  <rv s="0">
    <fb>52.318199999999997</fb>
    <v>0</v>
  </rv>
  <rv s="0">
    <fb>53.268999999999998</fb>
    <v>0</v>
  </rv>
  <rv s="0">
    <fb>54.895000000000003</fb>
    <v>0</v>
  </rv>
  <rv s="0">
    <fb>55.69</fb>
    <v>0</v>
  </rv>
  <rv s="0">
    <fb>55.399799999999999</fb>
    <v>0</v>
  </rv>
  <rv s="0">
    <fb>55.436500000000002</fb>
    <v>0</v>
  </rv>
  <rv s="0">
    <fb>55.612900000000003</fb>
    <v>0</v>
  </rv>
  <rv s="0">
    <fb>55.491599999999998</fb>
    <v>0</v>
  </rv>
  <rv s="0">
    <fb>55.24</fb>
    <v>0</v>
  </rv>
  <rv s="0">
    <fb>55.3446</fb>
    <v>0</v>
  </rv>
  <rv s="0">
    <fb>56.2331</fb>
    <v>0</v>
  </rv>
  <rv s="0">
    <fb>55.945700000000002</fb>
    <v>0</v>
  </rv>
  <rv s="0">
    <fb>55.765000000000001</fb>
    <v>0</v>
  </rv>
  <rv s="0">
    <fb>56.006300000000003</fb>
    <v>0</v>
  </rv>
  <rv s="0">
    <fb>55.420400000000001</fb>
    <v>0</v>
  </rv>
  <rv s="0">
    <fb>54.73</fb>
    <v>0</v>
  </rv>
  <rv s="0">
    <fb>54.136800000000001</fb>
    <v>0</v>
  </rv>
  <rv s="0">
    <fb>54.034999999999997</fb>
    <v>0</v>
  </rv>
  <rv s="0">
    <fb>53.657499999999999</fb>
    <v>0</v>
  </rv>
  <rv s="0">
    <fb>54.492100000000001</fb>
    <v>0</v>
  </rv>
  <rv s="2">
    <v>https://www.bing.com/financeapi/forcetrigger?t=a26ap2&amp;q=ARCX%3aXRT&amp;form=skydnc</v>
    <v>Learn more on Bing</v>
  </rv>
  <rv s="3">
    <v>2</v>
    <v>SS SPDR S&amp;P Retail (ARCX:XRT)</v>
    <v>4</v>
    <v>5</v>
    <v>Finance</v>
    <v>7</v>
    <v>en-US</v>
    <v>a26ap2</v>
    <v>268435456</v>
    <v>1</v>
    <v>Powered by Refinitiv</v>
    <v>89.41</v>
    <v>61.33</v>
    <v>1.3223</v>
    <v>0.22</v>
    <v>2.5200000000000001E-3</v>
    <v>USD</v>
    <v>NYSE Arca</v>
    <v>ARCX</v>
    <v>3.4999999999999996E-3</v>
    <v>87.56</v>
    <v>ETF</v>
    <v>46010.978488714842</v>
    <v>1030</v>
    <v>86.89</v>
    <v>459686001.13</v>
    <v>SS SPDR S&amp;P Retail</v>
    <v>87.45</v>
    <v>87.29</v>
    <v>87.51</v>
    <v>XRT</v>
    <v>SS SPDR S&amp;P Retail (ARCX:XRT)</v>
    <v>46</v>
    <v>5189510</v>
  </rv>
  <rv s="4">
    <v>1031</v>
  </rv>
  <rv s="0">
    <fb>78.33</fb>
    <v>0</v>
  </rv>
  <rv s="0">
    <fb>77.28</fb>
    <v>0</v>
  </rv>
  <rv s="0">
    <fb>79.94</fb>
    <v>0</v>
  </rv>
  <rv s="0">
    <fb>79.56</fb>
    <v>0</v>
  </rv>
  <rv s="0">
    <fb>83.18</fb>
    <v>0</v>
  </rv>
  <rv s="0">
    <fb>84.42</fb>
    <v>0</v>
  </rv>
  <rv s="0">
    <fb>84.35</fb>
    <v>0</v>
  </rv>
  <rv s="0">
    <fb>84.64</fb>
    <v>0</v>
  </rv>
  <rv s="0">
    <fb>84.27</fb>
    <v>0</v>
  </rv>
  <rv s="0">
    <fb>85.47</fb>
    <v>0</v>
  </rv>
  <rv s="0">
    <fb>85.17</fb>
    <v>0</v>
  </rv>
  <rv s="0">
    <fb>86.23</fb>
    <v>0</v>
  </rv>
  <rv s="0">
    <fb>85.84</fb>
    <v>0</v>
  </rv>
  <rv s="0">
    <fb>86.73</fb>
    <v>0</v>
  </rv>
  <rv s="0">
    <fb>87.93</fb>
    <v>0</v>
  </rv>
  <rv s="0">
    <fb>88.76</fb>
    <v>0</v>
  </rv>
  <rv s="0">
    <fb>87.89</fb>
    <v>0</v>
  </rv>
  <rv s="0">
    <fb>87.71</fb>
    <v>0</v>
  </rv>
  <rv s="0">
    <fb>87.32</fb>
    <v>0</v>
  </rv>
  <rv s="0">
    <fb>87.24</fb>
    <v>0</v>
  </rv>
  <rv s="0">
    <fb>87.29</fb>
    <v>0</v>
  </rv>
  <rv s="2">
    <v>https://www.bing.com/financeapi/forcetrigger?t=a1v7mw&amp;q=ARCX%3aIBUY&amp;form=skydnc</v>
    <v>Learn more on Bing</v>
  </rv>
  <rv s="3">
    <v>2</v>
    <v>Amplify Online Retail (ARCX:IBUY)</v>
    <v>4</v>
    <v>5</v>
    <v>Finance</v>
    <v>7</v>
    <v>en-US</v>
    <v>a1v7mw</v>
    <v>268435456</v>
    <v>1</v>
    <v>Powered by Refinitiv</v>
    <v>79.054599999999994</v>
    <v>51.6</v>
    <v>1.3607</v>
    <v>0.35510000000000003</v>
    <v>4.7260000000000002E-3</v>
    <v>USD</v>
    <v>NYSE Arca</v>
    <v>ARCX</v>
    <v>6.5000000000000006E-3</v>
    <v>75.685599999999994</v>
    <v>ETF</v>
    <v>46010.882120485934</v>
    <v>1054</v>
    <v>75.47</v>
    <v>143549571.87</v>
    <v>Amplify Online Retail</v>
    <v>75.477500000000006</v>
    <v>75.136200000000002</v>
    <v>75.491299999999995</v>
    <v>IBUY</v>
    <v>Amplify Online Retail (ARCX:IBUY)</v>
    <v>2437</v>
    <v>13130</v>
  </rv>
  <rv s="4">
    <v>1055</v>
  </rv>
  <rv s="0">
    <fb>70.163499999999999</fb>
    <v>0</v>
  </rv>
  <rv s="0">
    <fb>68.069999999999993</fb>
    <v>0</v>
  </rv>
  <rv s="0">
    <fb>70.060500000000005</fb>
    <v>0</v>
  </rv>
  <rv s="0">
    <fb>70.751400000000004</fb>
    <v>0</v>
  </rv>
  <rv s="0">
    <fb>72.350099999999998</fb>
    <v>0</v>
  </rv>
  <rv s="0">
    <fb>73.03</fb>
    <v>0</v>
  </rv>
  <rv s="0">
    <fb>73.7</fb>
    <v>0</v>
  </rv>
  <rv s="0">
    <fb>73.609300000000005</fb>
    <v>0</v>
  </rv>
  <rv s="0">
    <fb>73.522199999999998</fb>
    <v>0</v>
  </rv>
  <rv s="0">
    <fb>73.867999999999995</fb>
    <v>0</v>
  </rv>
  <rv s="0">
    <fb>73.765699999999995</fb>
    <v>0</v>
  </rv>
  <rv s="0">
    <fb>74.385099999999994</fb>
    <v>0</v>
  </rv>
  <rv s="0">
    <fb>74.232200000000006</fb>
    <v>0</v>
  </rv>
  <rv s="0">
    <fb>74.974900000000005</fb>
    <v>0</v>
  </rv>
  <rv s="0">
    <fb>75.566800000000001</fb>
    <v>0</v>
  </rv>
  <rv s="0">
    <fb>75.9499</fb>
    <v>0</v>
  </rv>
  <rv s="0">
    <fb>75.573400000000007</fb>
    <v>0</v>
  </rv>
  <rv s="0">
    <fb>74.979500000000002</fb>
    <v>0</v>
  </rv>
  <rv s="0">
    <fb>75.433300000000003</fb>
    <v>0</v>
  </rv>
  <rv s="0">
    <fb>74.351600000000005</fb>
    <v>0</v>
  </rv>
  <rv s="0">
    <fb>75.136200000000002</fb>
    <v>0</v>
  </rv>
  <rv s="2">
    <v>https://www.bing.com/financeapi/forcetrigger?t=a1p7fr&amp;q=XNAS%3aCARZ&amp;form=skydnc</v>
    <v>Learn more on Bing</v>
  </rv>
  <rv s="3">
    <v>2</v>
    <v>FT II:SNet Fut Vhc &amp; Tch (XNAS:CARZ)</v>
    <v>4</v>
    <v>5</v>
    <v>Finance</v>
    <v>7</v>
    <v>en-US</v>
    <v>a1p7fr</v>
    <v>268435456</v>
    <v>1</v>
    <v>Powered by Refinitiv</v>
    <v>80.34</v>
    <v>41.1</v>
    <v>1.1962999999999999</v>
    <v>1.425</v>
    <v>1.8776000000000001E-2</v>
    <v>USD</v>
    <v>Nasdaq Stock Market</v>
    <v>XNAS</v>
    <v>7.0999999999999995E-3</v>
    <v>77.513000000000005</v>
    <v>ETF</v>
    <v>46010.885416793753</v>
    <v>1078</v>
    <v>76.95</v>
    <v>41816871.18</v>
    <v>FT II:SNet Fut Vhc &amp; Tch</v>
    <v>77.314999999999998</v>
    <v>75.8947</v>
    <v>77.319699999999997</v>
    <v>CARZ</v>
    <v>FT II:SNet Fut Vhc &amp; Tch (XNAS:CARZ)</v>
    <v>2014</v>
    <v>4894</v>
  </rv>
  <rv s="4">
    <v>1079</v>
  </rv>
  <rv s="0">
    <fb>73.406499999999994</fb>
    <v>0</v>
  </rv>
  <rv s="0">
    <fb>70.971299999999999</fb>
    <v>0</v>
  </rv>
  <rv s="0">
    <fb>71.77</fb>
    <v>0</v>
  </rv>
  <rv s="0">
    <fb>73.59</fb>
    <v>0</v>
  </rv>
  <rv s="0">
    <fb>74.129300000000001</fb>
    <v>0</v>
  </rv>
  <rv s="0">
    <fb>75.191400000000002</fb>
    <v>0</v>
  </rv>
  <rv s="0">
    <fb>76.103399999999993</fb>
    <v>0</v>
  </rv>
  <rv s="0">
    <fb>75.793099999999995</fb>
    <v>0</v>
  </rv>
  <rv s="0">
    <fb>76.463300000000004</fb>
    <v>0</v>
  </rv>
  <rv s="0">
    <fb>77.396799999999999</fb>
    <v>0</v>
  </rv>
  <rv s="0">
    <fb>77.529499999999999</fb>
    <v>0</v>
  </rv>
  <rv s="0">
    <fb>78.390299999999996</fb>
    <v>0</v>
  </rv>
  <rv s="0">
    <fb>78.733800000000002</fb>
    <v>0</v>
  </rv>
  <rv s="0">
    <fb>78.9529</fb>
    <v>0</v>
  </rv>
  <rv s="0">
    <fb>79.903199999999998</fb>
    <v>0</v>
  </rv>
  <rv s="0">
    <fb>79.476100000000002</fb>
    <v>0</v>
  </rv>
  <rv s="0">
    <fb>76.702200000000005</fb>
    <v>0</v>
  </rv>
  <rv s="0">
    <fb>76.398700000000005</fb>
    <v>0</v>
  </rv>
  <rv s="0">
    <fb>76.041200000000003</fb>
    <v>0</v>
  </rv>
  <rv s="0">
    <fb>74.559799999999996</fb>
    <v>0</v>
  </rv>
  <rv s="0">
    <fb>75.8947</fb>
    <v>0</v>
  </rv>
  <rv s="2">
    <v>https://www.bing.com/financeapi/forcetrigger?t=bpryww&amp;q=ARCX%3aIDRV&amp;form=skydnc</v>
    <v>Learn more on Bing</v>
  </rv>
  <rv s="3">
    <v>2</v>
    <v>iShares:Self-Dri EV&amp;Tech (ARCX:IDRV)</v>
    <v>4</v>
    <v>5</v>
    <v>Finance</v>
    <v>7</v>
    <v>en-US</v>
    <v>bpryww</v>
    <v>268435456</v>
    <v>1</v>
    <v>Powered by Refinitiv</v>
    <v>39.649900000000002</v>
    <v>24.48</v>
    <v>0.94199999999999995</v>
    <v>0.72540000000000004</v>
    <v>1.9238999999999999E-2</v>
    <v>USD</v>
    <v>NYSE Arca</v>
    <v>ARCX</v>
    <v>4.7999999999999996E-3</v>
    <v>38.5901</v>
    <v>ETF</v>
    <v>46010.984412696096</v>
    <v>1102</v>
    <v>38.090000000000003</v>
    <v>167816504.72</v>
    <v>iShares:Self-Dri EV&amp;Tech</v>
    <v>38.090000000000003</v>
    <v>37.704599999999999</v>
    <v>38.43</v>
    <v>IDRV</v>
    <v>iShares:Self-Dri EV&amp;Tech (ARCX:IDRV)</v>
    <v>16401</v>
    <v>29599</v>
  </rv>
  <rv s="4">
    <v>1103</v>
  </rv>
  <rv s="0">
    <fb>37.32</fb>
    <v>0</v>
  </rv>
  <rv s="0">
    <fb>36.03</fb>
    <v>0</v>
  </rv>
  <rv s="0">
    <fb>36.4</fb>
    <v>0</v>
  </rv>
  <rv s="0">
    <fb>36.57</fb>
    <v>0</v>
  </rv>
  <rv s="0">
    <fb>37.130000000000003</fb>
    <v>0</v>
  </rv>
  <rv s="0">
    <fb>37.799999999999997</fb>
    <v>0</v>
  </rv>
  <rv s="0">
    <fb>38.042900000000003</fb>
    <v>0</v>
  </rv>
  <rv s="0">
    <fb>37.74</fb>
    <v>0</v>
  </rv>
  <rv s="0">
    <fb>37.863399999999999</fb>
    <v>0</v>
  </rv>
  <rv s="0">
    <fb>37.94</fb>
    <v>0</v>
  </rv>
  <rv s="0">
    <fb>38.033000000000001</fb>
    <v>0</v>
  </rv>
  <rv s="0">
    <fb>38.450000000000003</fb>
    <v>0</v>
  </rv>
  <rv s="0">
    <fb>38.518000000000001</fb>
    <v>0</v>
  </rv>
  <rv s="0">
    <fb>38.956699999999998</fb>
    <v>0</v>
  </rv>
  <rv s="0">
    <fb>38.802</fb>
    <v>0</v>
  </rv>
  <rv s="0">
    <fb>38.536999999999999</fb>
    <v>0</v>
  </rv>
  <rv s="0">
    <fb>38.39</fb>
    <v>0</v>
  </rv>
  <rv s="0">
    <fb>37.65</fb>
    <v>0</v>
  </rv>
  <rv s="0">
    <fb>37.409999999999997</fb>
    <v>0</v>
  </rv>
  <rv s="0">
    <fb>37.704599999999999</fb>
    <v>0</v>
  </rv>
  <rv s="2">
    <v>https://www.bing.com/financeapi/forcetrigger?t=a1vtu2&amp;q=BATS%3aITB&amp;form=skydnc</v>
    <v>Learn more on Bing</v>
  </rv>
  <rv s="3">
    <v>2</v>
    <v>iShares:US Home Cons ETF (BATS:ITB)</v>
    <v>4</v>
    <v>5</v>
    <v>Finance</v>
    <v>11</v>
    <v>en-US</v>
    <v>a1vtu2</v>
    <v>268435456</v>
    <v>1</v>
    <v>Powered by Refinitiv</v>
    <v>118</v>
    <v>82.254499999999993</v>
    <v>1.4510000000000001</v>
    <v>-1.64</v>
    <v>-1.6417999999999999E-2</v>
    <v>USD</v>
    <v>CBOE BZX Exchange</v>
    <v>BATS</v>
    <v>3.8E-3</v>
    <v>99.4</v>
    <v>ETF</v>
    <v>46010.967875150003</v>
    <v>1125</v>
    <v>97.5</v>
    <v>2641130350.75</v>
    <v>iShares:US Home Cons ETF</v>
    <v>99.18</v>
    <v>99.89</v>
    <v>98.25</v>
    <v>ITB</v>
    <v>iShares:US Home Cons ETF (BATS:ITB)</v>
    <v>28</v>
    <v>2233945</v>
  </rv>
  <rv s="4">
    <v>1126</v>
  </rv>
  <rv s="0">
    <fb>93.82</fb>
    <v>0</v>
  </rv>
  <rv s="0">
    <fb>93.78</fb>
    <v>0</v>
  </rv>
  <rv s="0">
    <fb>98.46</fb>
    <v>0</v>
  </rv>
  <rv s="0">
    <fb>97.95</fb>
    <v>0</v>
  </rv>
  <rv s="0">
    <fb>102.59</fb>
    <v>0</v>
  </rv>
  <rv s="0">
    <fb>103.91</fb>
    <v>0</v>
  </rv>
  <rv s="0">
    <fb>103.64</fb>
    <v>0</v>
  </rv>
  <rv s="0">
    <fb>105.59</fb>
    <v>0</v>
  </rv>
  <rv s="0">
    <fb>103.34</fb>
    <v>0</v>
  </rv>
  <rv s="0">
    <fb>102.71</fb>
    <v>0</v>
  </rv>
  <rv s="0">
    <fb>100.59</fb>
    <v>0</v>
  </rv>
  <rv s="0">
    <fb>99.01</fb>
    <v>0</v>
  </rv>
  <rv s="0">
    <fb>102.17</fb>
    <v>0</v>
  </rv>
  <rv s="0">
    <fb>102.82</fb>
    <v>0</v>
  </rv>
  <rv s="0">
    <fb>102.53</fb>
    <v>0</v>
  </rv>
  <rv s="0">
    <fb>102.29</fb>
    <v>0</v>
  </rv>
  <rv s="0">
    <fb>101.04</fb>
    <v>0</v>
  </rv>
  <rv s="0">
    <fb>99.87</fb>
    <v>0</v>
  </rv>
  <rv s="0">
    <fb>99.89</fb>
    <v>0</v>
  </rv>
  <rv s="2">
    <v>https://www.bing.com/financeapi/forcetrigger?t=a266rw&amp;q=ARCX%3aXHB&amp;form=skydnc</v>
    <v>Learn more on Bing</v>
  </rv>
  <rv s="3">
    <v>2</v>
    <v>SS SPDR S&amp;P Homebuilders (ARCX:XHB)</v>
    <v>4</v>
    <v>5</v>
    <v>Finance</v>
    <v>6</v>
    <v>en-US</v>
    <v>a266rw</v>
    <v>268435456</v>
    <v>1</v>
    <v>Powered by Refinitiv</v>
    <v>120.57989999999999</v>
    <v>84.48</v>
    <v>1.4025000000000001</v>
    <v>-1.3</v>
    <v>-1.2225E-2</v>
    <v>USD</v>
    <v>NYSE Arca</v>
    <v>ARCX</v>
    <v>3.4999999999999996E-3</v>
    <v>105.61</v>
    <v>ETF</v>
    <v>46010.942893703126</v>
    <v>1147</v>
    <v>104.31</v>
    <v>1720907976.8</v>
    <v>SS SPDR S&amp;P Homebuilders</v>
    <v>105.44</v>
    <v>106.34</v>
    <v>105.04</v>
    <v>XHB</v>
    <v>SS SPDR S&amp;P Homebuilders (ARCX:XHB)</v>
    <v>1695881</v>
    <v>1769987</v>
  </rv>
  <rv s="4">
    <v>1148</v>
  </rv>
  <rv s="0">
    <fb>99.82</fb>
    <v>0</v>
  </rv>
  <rv s="0">
    <fb>99.48</fb>
    <v>0</v>
  </rv>
  <rv s="0">
    <fb>104.14</fb>
    <v>0</v>
  </rv>
  <rv s="0">
    <fb>103.45</fb>
    <v>0</v>
  </rv>
  <rv s="0">
    <fb>107.81</fb>
    <v>0</v>
  </rv>
  <rv s="0">
    <fb>109.18</fb>
    <v>0</v>
  </rv>
  <rv s="0">
    <fb>108.88</fb>
    <v>0</v>
  </rv>
  <rv s="0">
    <fb>108.58</fb>
    <v>0</v>
  </rv>
  <rv s="0">
    <fb>108.25</fb>
    <v>0</v>
  </rv>
  <rv s="0">
    <fb>109.59</fb>
    <v>0</v>
  </rv>
  <rv s="0">
    <fb>107.67</fb>
    <v>0</v>
  </rv>
  <rv s="0">
    <fb>107.41</fb>
    <v>0</v>
  </rv>
  <rv s="0">
    <fb>105.74</fb>
    <v>0</v>
  </rv>
  <rv s="0">
    <fb>107.9</fb>
    <v>0</v>
  </rv>
  <rv s="0">
    <fb>109.02</fb>
    <v>0</v>
  </rv>
  <rv s="0">
    <fb>107.88</fb>
    <v>0</v>
  </rv>
  <rv s="0">
    <fb>107.59</fb>
    <v>0</v>
  </rv>
  <rv s="0">
    <fb>106.66</fb>
    <v>0</v>
  </rv>
  <rv s="0">
    <fb>105.61</fb>
    <v>0</v>
  </rv>
  <rv s="0">
    <fb>106.34</fb>
    <v>0</v>
  </rv>
  <rv s="2">
    <v>https://www.bing.com/financeapi/forcetrigger?t=a1zorw&amp;q=ARCX%3aPEJ&amp;form=skydnc</v>
    <v>Learn more on Bing</v>
  </rv>
  <rv s="6">
    <v>12</v>
    <v>Invesco Leisure and Ent (ARCX:PEJ)</v>
    <v>4</v>
    <v>13</v>
    <v>Finance</v>
    <v>14</v>
    <v>en-US</v>
    <v>a1zorw</v>
    <v>268435456</v>
    <v>1</v>
    <v>Powered by Refinitiv</v>
    <v>62.665100000000002</v>
    <v>41.08</v>
    <v>1.3287</v>
    <v>USD</v>
    <v>NYSE Arca</v>
    <v>ARCX</v>
    <v>5.6999999999999993E-3</v>
    <v>62</v>
    <v>ETF</v>
    <v>46010.968896562503</v>
    <v>1170</v>
    <v>61.3</v>
    <v>258131621.69999999</v>
    <v>Invesco Leisure and Ent</v>
    <v>61.3</v>
    <v>61.69</v>
    <v>PEJ</v>
    <v>Invesco Leisure and Ent (ARCX:PEJ)</v>
    <v>20318</v>
    <v>97175</v>
  </rv>
  <rv s="4">
    <v>1171</v>
  </rv>
  <rv s="0">
    <fb>57.02</fb>
    <v>0</v>
  </rv>
  <rv s="0">
    <fb>55.74</fb>
    <v>0</v>
  </rv>
  <rv s="0">
    <fb>57.04</fb>
    <v>0</v>
  </rv>
  <rv s="0">
    <fb>56.58</fb>
    <v>0</v>
  </rv>
  <rv s="0">
    <fb>58.09</fb>
    <v>0</v>
  </rv>
  <rv s="0">
    <fb>58.63</fb>
    <v>0</v>
  </rv>
  <rv s="0">
    <fb>59.19</fb>
    <v>0</v>
  </rv>
  <rv s="0">
    <fb>59.37</fb>
    <v>0</v>
  </rv>
  <rv s="0">
    <fb>59.63</fb>
    <v>0</v>
  </rv>
  <rv s="0">
    <fb>59.53</fb>
    <v>0</v>
  </rv>
  <rv s="0">
    <fb>59.6</fb>
    <v>0</v>
  </rv>
  <rv s="0">
    <fb>59.89</fb>
    <v>0</v>
  </rv>
  <rv s="0">
    <fb>60.32</fb>
    <v>0</v>
  </rv>
  <rv s="0">
    <fb>60.58</fb>
    <v>0</v>
  </rv>
  <rv s="0">
    <fb>61.48</fb>
    <v>0</v>
  </rv>
  <rv s="0">
    <fb>61.4</fb>
    <v>0</v>
  </rv>
  <rv s="0">
    <fb>61.3</fb>
    <v>0</v>
  </rv>
  <rv s="0">
    <fb>61.23</fb>
    <v>0</v>
  </rv>
  <rv s="0">
    <fb>60.73</fb>
    <v>0</v>
  </rv>
  <rv s="0">
    <fb>61.22</fb>
    <v>0</v>
  </rv>
  <rv s="2">
    <v>https://www.bing.com/financeapi/forcetrigger?t=a258pr&amp;q=ARCX%3aVDC&amp;form=skydnc</v>
    <v>Learn more on Bing</v>
  </rv>
  <rv s="3">
    <v>2</v>
    <v>Vanguard Cnsmr Stp;ETF (ARCX:VDC)</v>
    <v>4</v>
    <v>5</v>
    <v>Finance</v>
    <v>7</v>
    <v>en-US</v>
    <v>a258pr</v>
    <v>268435456</v>
    <v>1</v>
    <v>Powered by Refinitiv</v>
    <v>226.7252</v>
    <v>202.95500000000001</v>
    <v>0.95840000000000003</v>
    <v>-1.1100000000000001</v>
    <v>-5.1859999999999996E-3</v>
    <v>USD</v>
    <v>NYSE Arca</v>
    <v>ARCX</v>
    <v>8.9999999999999998E-4</v>
    <v>213.9</v>
    <v>ETF</v>
    <v>46010.881944444445</v>
    <v>1193</v>
    <v>212.88</v>
    <v>7349886072</v>
    <v>Vanguard Cnsmr Stp;ETF</v>
    <v>213.9</v>
    <v>214.05</v>
    <v>212.94</v>
    <v>VDC</v>
    <v>Vanguard Cnsmr Stp;ETF (ARCX:VDC)</v>
    <v>6</v>
    <v>150508</v>
  </rv>
  <rv s="4">
    <v>1194</v>
  </rv>
  <rv s="0">
    <fb>208.19</fb>
    <v>0</v>
  </rv>
  <rv s="0">
    <fb>210.07</fb>
    <v>0</v>
  </rv>
  <rv s="0">
    <fb>211.98</fb>
    <v>0</v>
  </rv>
  <rv s="0">
    <fb>209.5</fb>
    <v>0</v>
  </rv>
  <rv s="0">
    <fb>212.73</fb>
    <v>0</v>
  </rv>
  <rv s="0">
    <fb>214.98</fb>
    <v>0</v>
  </rv>
  <rv s="0">
    <fb>216.04</fb>
    <v>0</v>
  </rv>
  <rv s="0">
    <fb>215.97</fb>
    <v>0</v>
  </rv>
  <rv s="0">
    <fb>214.87</fb>
    <v>0</v>
  </rv>
  <rv s="0">
    <fb>215.38</fb>
    <v>0</v>
  </rv>
  <rv s="0">
    <fb>214.22</fb>
    <v>0</v>
  </rv>
  <rv s="0">
    <fb>213.85</fb>
    <v>0</v>
  </rv>
  <rv s="0">
    <fb>211.95</fb>
    <v>0</v>
  </rv>
  <rv s="0">
    <fb>212.67</fb>
    <v>0</v>
  </rv>
  <rv s="0">
    <fb>212.76</fb>
    <v>0</v>
  </rv>
  <rv s="0">
    <fb>214.62</fb>
    <v>0</v>
  </rv>
  <rv s="0">
    <fb>216.28</fb>
    <v>0</v>
  </rv>
  <rv s="0">
    <fb>216.74</fb>
    <v>0</v>
  </rv>
  <rv s="0">
    <fb>215.77</fb>
    <v>0</v>
  </rv>
  <rv s="0">
    <fb>215.51</fb>
    <v>0</v>
  </rv>
  <rv s="0">
    <fb>214.05</fb>
    <v>0</v>
  </rv>
  <rv s="2">
    <v>https://www.bing.com/financeapi/forcetrigger?t=a1tear&amp;q=ARCX%3aFSTA&amp;form=skydnc</v>
    <v>Learn more on Bing</v>
  </rv>
  <rv s="3">
    <v>2</v>
    <v>Fidelity MSCI Cons Stpls (ARCX:FSTA)</v>
    <v>4</v>
    <v>5</v>
    <v>Finance</v>
    <v>7</v>
    <v>en-US</v>
    <v>a1tear</v>
    <v>268435456</v>
    <v>1</v>
    <v>Powered by Refinitiv</v>
    <v>52.959699999999998</v>
    <v>47.45</v>
    <v>0.95760000000000001</v>
    <v>-0.23799999999999999</v>
    <v>-4.7749999999999997E-3</v>
    <v>USD</v>
    <v>NYSE Arca</v>
    <v>ARCX</v>
    <v>8.4000000000000003E-4</v>
    <v>49.81</v>
    <v>ETF</v>
    <v>46010.909937198434</v>
    <v>1217</v>
    <v>49.6</v>
    <v>1328913757.77</v>
    <v>Fidelity MSCI Cons Stpls</v>
    <v>49.81</v>
    <v>49.847999999999999</v>
    <v>49.61</v>
    <v>FSTA</v>
    <v>Fidelity MSCI Cons Stpls (ARCX:FSTA)</v>
    <v>135520</v>
    <v>139303</v>
  </rv>
  <rv s="4">
    <v>1218</v>
  </rv>
  <rv s="0">
    <fb>48.51</fb>
    <v>0</v>
  </rv>
  <rv s="0">
    <fb>48.94</fb>
    <v>0</v>
  </rv>
  <rv s="0">
    <fb>49.4</fb>
    <v>0</v>
  </rv>
  <rv s="0">
    <fb>48.84</fb>
    <v>0</v>
  </rv>
  <rv s="0">
    <fb>49.59</fb>
    <v>0</v>
  </rv>
  <rv s="0">
    <fb>50.1</fb>
    <v>0</v>
  </rv>
  <rv s="0">
    <fb>50.36</fb>
    <v>0</v>
  </rv>
  <rv s="0">
    <fb>50.29</fb>
    <v>0</v>
  </rv>
  <rv s="0">
    <fb>50.08</fb>
    <v>0</v>
  </rv>
  <rv s="0">
    <fb>50.18</fb>
    <v>0</v>
  </rv>
  <rv s="0">
    <fb>49.9</fb>
    <v>0</v>
  </rv>
  <rv s="0">
    <fb>49.85</fb>
    <v>0</v>
  </rv>
  <rv s="0">
    <fb>49.42</fb>
    <v>0</v>
  </rv>
  <rv s="0">
    <fb>49.56</fb>
    <v>0</v>
  </rv>
  <rv s="0">
    <fb>49.58</fb>
    <v>0</v>
  </rv>
  <rv s="0">
    <fb>50</fb>
    <v>0</v>
  </rv>
  <rv s="0">
    <fb>50.38</fb>
    <v>0</v>
  </rv>
  <rv s="0">
    <fb>50.5</fb>
    <v>0</v>
  </rv>
  <rv s="0">
    <fb>50.28</fb>
    <v>0</v>
  </rv>
  <rv s="0">
    <fb>50.15</fb>
    <v>0</v>
  </rv>
  <rv s="2">
    <v>https://www.bing.com/financeapi/forcetrigger?t=a1wpjc&amp;q=ARCX%3aKXI&amp;form=skydnc</v>
    <v>Learn more on Bing</v>
  </rv>
  <rv s="3">
    <v>2</v>
    <v>iShares:Glbl Con Staples (ARCX:KXI)</v>
    <v>4</v>
    <v>5</v>
    <v>Finance</v>
    <v>7</v>
    <v>en-US</v>
    <v>a1wpjc</v>
    <v>268435456</v>
    <v>1</v>
    <v>Powered by Refinitiv</v>
    <v>67.63</v>
    <v>58.34</v>
    <v>0.94989999999999997</v>
    <v>-0.3</v>
    <v>-4.6039999999999996E-3</v>
    <v>USD</v>
    <v>NYSE Arca</v>
    <v>ARCX</v>
    <v>3.9000000000000003E-3</v>
    <v>65.069999999999993</v>
    <v>ETF</v>
    <v>46010.964090960159</v>
    <v>1240</v>
    <v>64.8</v>
    <v>901193455.13999999</v>
    <v>iShares:Glbl Con Staples</v>
    <v>65.069999999999993</v>
    <v>65.16</v>
    <v>64.86</v>
    <v>KXI</v>
    <v>iShares:Glbl Con Staples (ARCX:KXI)</v>
    <v>53685</v>
    <v>95850</v>
  </rv>
  <rv s="4">
    <v>1241</v>
  </rv>
  <rv s="0">
    <fb>63.78</fb>
    <v>0</v>
  </rv>
  <rv s="0">
    <fb>64.06</fb>
    <v>0</v>
  </rv>
  <rv s="0">
    <fb>65.010000000000005</fb>
    <v>0</v>
  </rv>
  <rv s="0">
    <fb>64.349999999999994</fb>
    <v>0</v>
  </rv>
  <rv s="0">
    <fb>65.099999999999994</fb>
    <v>0</v>
  </rv>
  <rv s="0">
    <fb>65.650000000000006</fb>
    <v>0</v>
  </rv>
  <rv s="0">
    <fb>65.97</fb>
    <v>0</v>
  </rv>
  <rv s="0">
    <fb>65.95</fb>
    <v>0</v>
  </rv>
  <rv s="0">
    <fb>65.73</fb>
    <v>0</v>
  </rv>
  <rv s="0">
    <fb>65.64</fb>
    <v>0</v>
  </rv>
  <rv s="0">
    <fb>65.319999999999993</fb>
    <v>0</v>
  </rv>
  <rv s="0">
    <fb>65.290000000000006</fb>
    <v>0</v>
  </rv>
  <rv s="0">
    <fb>64.78</fb>
    <v>0</v>
  </rv>
  <rv s="0">
    <fb>64.855000000000004</fb>
    <v>0</v>
  </rv>
  <rv s="0">
    <fb>65.17</fb>
    <v>0</v>
  </rv>
  <rv s="0">
    <fb>65.87</fb>
    <v>0</v>
  </rv>
  <rv s="0">
    <fb>66.19</fb>
    <v>0</v>
  </rv>
  <rv s="0">
    <fb>65.16</fb>
    <v>0</v>
  </rv>
  <rv s="0">
    <fb>65.33</fb>
    <v>0</v>
  </rv>
  <rv s="2">
    <v>https://www.bing.com/financeapi/forcetrigger?t=a1ziqh&amp;q=ARCX%3aPBJ&amp;form=skydnc</v>
    <v>Learn more on Bing</v>
  </rv>
  <rv s="3">
    <v>2</v>
    <v>Invesco Food &amp; Beverage (ARCX:PBJ)</v>
    <v>4</v>
    <v>5</v>
    <v>Finance</v>
    <v>6</v>
    <v>en-US</v>
    <v>a1ziqh</v>
    <v>268435456</v>
    <v>1</v>
    <v>Powered by Refinitiv</v>
    <v>49.33</v>
    <v>42.570099999999996</v>
    <v>0.87070000000000003</v>
    <v>-8.8900000000000007E-2</v>
    <v>-1.946E-3</v>
    <v>USD</v>
    <v>NYSE Arca</v>
    <v>ARCX</v>
    <v>6.0999999999999995E-3</v>
    <v>45.78</v>
    <v>ETF</v>
    <v>46010.948557592186</v>
    <v>1262</v>
    <v>45.58</v>
    <v>100818806.8</v>
    <v>Invesco Food &amp; Beverage</v>
    <v>45.58</v>
    <v>45.69</v>
    <v>45.601100000000002</v>
    <v>PBJ</v>
    <v>Invesco Food &amp; Beverage (ARCX:PBJ)</v>
    <v>7641</v>
    <v>12693</v>
  </rv>
  <rv s="4">
    <v>1263</v>
  </rv>
  <rv s="0">
    <fb>43.877200000000002</fb>
    <v>0</v>
  </rv>
  <rv s="0">
    <fb>43.47</fb>
    <v>0</v>
  </rv>
  <rv s="0">
    <fb>44.185699999999997</fb>
    <v>0</v>
  </rv>
  <rv s="0">
    <fb>44.218299999999999</fb>
    <v>0</v>
  </rv>
  <rv s="0">
    <fb>45.0488</fb>
    <v>0</v>
  </rv>
  <rv s="0">
    <fb>45.565899999999999</fb>
    <v>0</v>
  </rv>
  <rv s="0">
    <fb>45.630600000000001</fb>
    <v>0</v>
  </rv>
  <rv s="0">
    <fb>45.444600000000001</fb>
    <v>0</v>
  </rv>
  <rv s="0">
    <fb>45.278599999999997</fb>
    <v>0</v>
  </rv>
  <rv s="0">
    <fb>45.168799999999997</fb>
    <v>0</v>
  </rv>
  <rv s="0">
    <fb>44.95</fb>
    <v>0</v>
  </rv>
  <rv s="0">
    <fb>44.76</fb>
    <v>0</v>
  </rv>
  <rv s="0">
    <fb>44.602499999999999</fb>
    <v>0</v>
  </rv>
  <rv s="0">
    <fb>44.62</fb>
    <v>0</v>
  </rv>
  <rv s="0">
    <fb>44.73</fb>
    <v>0</v>
  </rv>
  <rv s="0">
    <fb>45.2</fb>
    <v>0</v>
  </rv>
  <rv s="0">
    <fb>45.49</fb>
    <v>0</v>
  </rv>
  <rv s="0">
    <fb>45.69</fb>
    <v>0</v>
  </rv>
  <rv s="0">
    <fb>45.47</fb>
    <v>0</v>
  </rv>
  <rv s="0">
    <fb>45.62</fb>
    <v>0</v>
  </rv>
  <rv s="2">
    <v>https://www.bing.com/financeapi/forcetrigger?t=a25icw&amp;q=ARCX%3aVPU&amp;form=skydnc</v>
    <v>Learn more on Bing</v>
  </rv>
  <rv s="3">
    <v>2</v>
    <v>Vanguard Util Indx;ETF (ARCX:VPU)</v>
    <v>4</v>
    <v>5</v>
    <v>Finance</v>
    <v>7</v>
    <v>en-US</v>
    <v>a25icw</v>
    <v>268435456</v>
    <v>1</v>
    <v>Powered by Refinitiv</v>
    <v>203.15</v>
    <v>154</v>
    <v>0.98619999999999997</v>
    <v>-2.48</v>
    <v>-1.3335E-2</v>
    <v>USD</v>
    <v>NYSE Arca</v>
    <v>ARCX</v>
    <v>8.9999999999999998E-4</v>
    <v>186.68</v>
    <v>ETF</v>
    <v>46010.881944444445</v>
    <v>1285</v>
    <v>183.49</v>
    <v>8255005938</v>
    <v>Vanguard Util Indx;ETF</v>
    <v>185.89</v>
    <v>185.98</v>
    <v>183.5</v>
    <v>VPU</v>
    <v>Vanguard Util Indx;ETF (ARCX:VPU)</v>
    <v>21</v>
    <v>191181</v>
  </rv>
  <rv s="4">
    <v>1286</v>
  </rv>
  <rv s="0">
    <fb>191.76</fb>
    <v>0</v>
  </rv>
  <rv s="0">
    <fb>190.7</fb>
    <v>0</v>
  </rv>
  <rv s="0">
    <fb>190.96</fb>
    <v>0</v>
  </rv>
  <rv s="0">
    <fb>193.19</fb>
    <v>0</v>
  </rv>
  <rv s="0">
    <fb>192.57</fb>
    <v>0</v>
  </rv>
  <rv s="0">
    <fb>194.98</fb>
    <v>0</v>
  </rv>
  <rv s="0">
    <fb>196.45</fb>
    <v>0</v>
  </rv>
  <rv s="0">
    <fb>191.98</fb>
    <v>0</v>
  </rv>
  <rv s="0">
    <fb>189.92</fb>
    <v>0</v>
  </rv>
  <rv s="0">
    <fb>189.73</fb>
    <v>0</v>
  </rv>
  <rv s="0">
    <fb>187.79</fb>
    <v>0</v>
  </rv>
  <rv s="0">
    <fb>185.63</fb>
    <v>0</v>
  </rv>
  <rv s="0">
    <fb>185.64</fb>
    <v>0</v>
  </rv>
  <rv s="0">
    <fb>185.46</fb>
    <v>0</v>
  </rv>
  <rv s="0">
    <fb>187.04</fb>
    <v>0</v>
  </rv>
  <rv s="0">
    <fb>186.01</fb>
    <v>0</v>
  </rv>
  <rv s="0">
    <fb>187.52</fb>
    <v>0</v>
  </rv>
  <rv s="0">
    <fb>186.9</fb>
    <v>0</v>
  </rv>
  <rv s="0">
    <fb>184.06</fb>
    <v>0</v>
  </rv>
  <rv s="0">
    <fb>185.98</fb>
    <v>0</v>
  </rv>
  <rv s="2">
    <v>https://www.bing.com/financeapi/forcetrigger?t=a1tiar&amp;q=ARCX%3aFUTY&amp;form=skydnc</v>
    <v>Learn more on Bing</v>
  </rv>
  <rv s="3">
    <v>2</v>
    <v>Fidelity MSCI Utilities (ARCX:FUTY)</v>
    <v>4</v>
    <v>5</v>
    <v>Finance</v>
    <v>7</v>
    <v>en-US</v>
    <v>a1tiar</v>
    <v>268435456</v>
    <v>1</v>
    <v>Powered by Refinitiv</v>
    <v>60.56</v>
    <v>45.94</v>
    <v>0.98699999999999999</v>
    <v>-0.748</v>
    <v>-1.3472999999999999E-2</v>
    <v>USD</v>
    <v>NYSE Arca</v>
    <v>ARCX</v>
    <v>8.4000000000000003E-4</v>
    <v>55.664999999999999</v>
    <v>ETF</v>
    <v>46010.883396145313</v>
    <v>1308</v>
    <v>54.76</v>
    <v>2245999539.5900002</v>
    <v>Fidelity MSCI Utilities</v>
    <v>55.46</v>
    <v>55.518000000000001</v>
    <v>54.77</v>
    <v>FUTY</v>
    <v>Fidelity MSCI Utilities (ARCX:FUTY)</v>
    <v>100</v>
    <v>232969</v>
  </rv>
  <rv s="4">
    <v>1309</v>
  </rv>
  <rv s="0">
    <fb>57.17</fb>
    <v>0</v>
  </rv>
  <rv s="0">
    <fb>56.85</fb>
    <v>0</v>
  </rv>
  <rv s="0">
    <fb>56.95</fb>
    <v>0</v>
  </rv>
  <rv s="0">
    <fb>57.6</fb>
    <v>0</v>
  </rv>
  <rv s="0">
    <fb>57.42</fb>
    <v>0</v>
  </rv>
  <rv s="0">
    <fb>58.16</fb>
    <v>0</v>
  </rv>
  <rv s="0">
    <fb>58.55</fb>
    <v>0</v>
  </rv>
  <rv s="0">
    <fb>57.28</fb>
    <v>0</v>
  </rv>
  <rv s="0">
    <fb>56.82</fb>
    <v>0</v>
  </rv>
  <rv s="0">
    <fb>56.65</fb>
    <v>0</v>
  </rv>
  <rv s="0">
    <fb>56.57</fb>
    <v>0</v>
  </rv>
  <rv s="0">
    <fb>55.35</fb>
    <v>0</v>
  </rv>
  <rv s="0">
    <fb>55.31</fb>
    <v>0</v>
  </rv>
  <rv s="0">
    <fb>55.76</fb>
    <v>0</v>
  </rv>
  <rv s="0">
    <fb>55.47</fb>
    <v>0</v>
  </rv>
  <rv s="0">
    <fb>55.91</fb>
    <v>0</v>
  </rv>
  <rv s="0">
    <fb>55.71</fb>
    <v>0</v>
  </rv>
  <rv s="0">
    <fb>55.87</fb>
    <v>0</v>
  </rv>
  <rv s="2">
    <v>https://www.bing.com/financeapi/forcetrigger?t=a1vatc&amp;q=ARCX%3aIDU&amp;form=skydnc</v>
    <v>Learn more on Bing</v>
  </rv>
  <rv s="3">
    <v>2</v>
    <v>iShares:US Utl (ARCX:IDU)</v>
    <v>4</v>
    <v>5</v>
    <v>Finance</v>
    <v>6</v>
    <v>en-US</v>
    <v>a1vatc</v>
    <v>268435456</v>
    <v>1</v>
    <v>Powered by Refinitiv</v>
    <v>117.74</v>
    <v>91.9101</v>
    <v>0.94569999999999999</v>
    <v>-1.36</v>
    <v>-1.2504999999999999E-2</v>
    <v>USD</v>
    <v>NYSE Arca</v>
    <v>ARCX</v>
    <v>3.8E-3</v>
    <v>109.12990000000001</v>
    <v>ETF</v>
    <v>46010.911872187498</v>
    <v>1329</v>
    <v>107.36</v>
    <v>1926874388.6300001</v>
    <v>iShares:US Utl</v>
    <v>108.62</v>
    <v>108.76</v>
    <v>107.4</v>
    <v>IDU</v>
    <v>iShares:US Utl (ARCX:IDU)</v>
    <v>114946</v>
    <v>159680</v>
  </rv>
  <rv s="4">
    <v>1330</v>
  </rv>
  <rv s="0">
    <fb>111.75</fb>
    <v>0</v>
  </rv>
  <rv s="0">
    <fb>111.24</fb>
    <v>0</v>
  </rv>
  <rv s="0">
    <fb>111.43</fb>
    <v>0</v>
  </rv>
  <rv s="0">
    <fb>112.4</fb>
    <v>0</v>
  </rv>
  <rv s="0">
    <fb>112.15</fb>
    <v>0</v>
  </rv>
  <rv s="0">
    <fb>113.56</fb>
    <v>0</v>
  </rv>
  <rv s="0">
    <fb>114.31</fb>
    <v>0</v>
  </rv>
  <rv s="0">
    <fb>111.81</fb>
    <v>0</v>
  </rv>
  <rv s="0">
    <fb>111.05</fb>
    <v>0</v>
  </rv>
  <rv s="0">
    <fb>110.72</fb>
    <v>0</v>
  </rv>
  <rv s="0">
    <fb>110.48</fb>
    <v>0</v>
  </rv>
  <rv s="0">
    <fb>109.54</fb>
    <v>0</v>
  </rv>
  <rv s="0">
    <fb>108.14</fb>
    <v>0</v>
  </rv>
  <rv s="0">
    <fb>108.09</fb>
    <v>0</v>
  </rv>
  <rv s="0">
    <fb>108.03</fb>
    <v>0</v>
  </rv>
  <rv s="0">
    <fb>108.94</fb>
    <v>0</v>
  </rv>
  <rv s="0">
    <fb>108.59</fb>
    <v>0</v>
  </rv>
  <rv s="0">
    <fb>108.52</fb>
    <v>0</v>
  </rv>
  <rv s="0">
    <fb>107.77</fb>
    <v>0</v>
  </rv>
  <rv s="0">
    <fb>108.76</fb>
    <v>0</v>
  </rv>
  <rv s="2">
    <v>https://www.bing.com/financeapi/forcetrigger?t=a1vyw7&amp;q=ARCX%3aIYE&amp;form=skydnc</v>
    <v>Learn more on Bing</v>
  </rv>
  <rv s="3">
    <v>2</v>
    <v>iShares:US Energy (ARCX:IYE)</v>
    <v>4</v>
    <v>5</v>
    <v>Finance</v>
    <v>7</v>
    <v>en-US</v>
    <v>a1vyw7</v>
    <v>268435456</v>
    <v>1</v>
    <v>Powered by Refinitiv</v>
    <v>50.1051</v>
    <v>39.35</v>
    <v>1.1021000000000001</v>
    <v>0.04</v>
    <v>8.5999999999999998E-4</v>
    <v>USD</v>
    <v>NYSE Arca</v>
    <v>ARCX</v>
    <v>3.8E-3</v>
    <v>46.95</v>
    <v>ETF</v>
    <v>46010.891611250001</v>
    <v>1352</v>
    <v>46.46</v>
    <v>1141004061.4100001</v>
    <v>iShares:US Energy</v>
    <v>46.62</v>
    <v>46.51</v>
    <v>46.55</v>
    <v>IYE</v>
    <v>iShares:US Energy (ARCX:IYE)</v>
    <v>1148196</v>
    <v>1162584</v>
  </rv>
  <rv s="4">
    <v>1353</v>
  </rv>
  <rv s="0">
    <fb>47.76</fb>
    <v>0</v>
  </rv>
  <rv s="0">
    <fb>47.21</fb>
    <v>0</v>
  </rv>
  <rv s="0">
    <fb>47.49</fb>
    <v>0</v>
  </rv>
  <rv s="0">
    <fb>47.4</fb>
    <v>0</v>
  </rv>
  <rv s="0">
    <fb>47.14</fb>
    <v>0</v>
  </rv>
  <rv s="0">
    <fb>47.52</fb>
    <v>0</v>
  </rv>
  <rv s="0">
    <fb>48.16</fb>
    <v>0</v>
  </rv>
  <rv s="0">
    <fb>48.56</fb>
    <v>0</v>
  </rv>
  <rv s="0">
    <fb>47.92</fb>
    <v>0</v>
  </rv>
  <rv s="0">
    <fb>48.81</fb>
    <v>0</v>
  </rv>
  <rv s="0">
    <fb>49</fb>
    <v>0</v>
  </rv>
  <rv s="0">
    <fb>48.27</fb>
    <v>0</v>
  </rv>
  <rv s="0">
    <fb>48.53</fb>
    <v>0</v>
  </rv>
  <rv s="0">
    <fb>49.02</fb>
    <v>0</v>
  </rv>
  <rv s="0">
    <fb>48.8</fb>
    <v>0</v>
  </rv>
  <rv s="0">
    <fb>48.31</fb>
    <v>0</v>
  </rv>
  <rv s="0">
    <fb>47.96</fb>
    <v>0</v>
  </rv>
  <rv s="0">
    <fb>46.22</fb>
    <v>0</v>
  </rv>
  <rv s="0">
    <fb>47.17</fb>
    <v>0</v>
  </rv>
  <rv s="0">
    <fb>46.51</fb>
    <v>0</v>
  </rv>
  <rv s="2">
    <v>https://www.bing.com/financeapi/forcetrigger?t=a258sm&amp;q=ARCX%3aVDE&amp;form=skydnc</v>
    <v>Learn more on Bing</v>
  </rv>
  <rv s="3">
    <v>2</v>
    <v>Vanguard Energy Idx;ETF (ARCX:VDE)</v>
    <v>4</v>
    <v>5</v>
    <v>Finance</v>
    <v>7</v>
    <v>en-US</v>
    <v>a258sm</v>
    <v>268435456</v>
    <v>1</v>
    <v>Powered by Refinitiv</v>
    <v>133.18</v>
    <v>103.065</v>
    <v>1.1212</v>
    <v>0.28000000000000003</v>
    <v>2.274E-3</v>
    <v>USD</v>
    <v>NYSE Arca</v>
    <v>ARCX</v>
    <v>8.9999999999999998E-4</v>
    <v>124.36</v>
    <v>ETF</v>
    <v>46010.881944444445</v>
    <v>1375</v>
    <v>123.12</v>
    <v>7133132536</v>
    <v>Vanguard Energy Idx;ETF</v>
    <v>123.5</v>
    <v>123.11</v>
    <v>123.39</v>
    <v>VDE</v>
    <v>Vanguard Energy Idx;ETF (ARCX:VDE)</v>
    <v>6</v>
    <v>588300</v>
  </rv>
  <rv s="4">
    <v>1376</v>
  </rv>
  <rv s="0">
    <fb>126.63</fb>
    <v>0</v>
  </rv>
  <rv s="0">
    <fb>125.06</fb>
    <v>0</v>
  </rv>
  <rv s="0">
    <fb>125.79</fb>
    <v>0</v>
  </rv>
  <rv s="0">
    <fb>125.67</fb>
    <v>0</v>
  </rv>
  <rv s="0">
    <fb>125.97</fb>
    <v>0</v>
  </rv>
  <rv s="0">
    <fb>127.67</fb>
    <v>0</v>
  </rv>
  <rv s="0">
    <fb>128.77000000000001</fb>
    <v>0</v>
  </rv>
  <rv s="0">
    <fb>127.21</fb>
    <v>0</v>
  </rv>
  <rv s="0">
    <fb>129.85</fb>
    <v>0</v>
  </rv>
  <rv s="0">
    <fb>130.41</fb>
    <v>0</v>
  </rv>
  <rv s="0">
    <fb>129.79</fb>
    <v>0</v>
  </rv>
  <rv s="0">
    <fb>128.35</fb>
    <v>0</v>
  </rv>
  <rv s="0">
    <fb>129.16</fb>
    <v>0</v>
  </rv>
  <rv s="0">
    <fb>130.26</fb>
    <v>0</v>
  </rv>
  <rv s="0">
    <fb>129.72</fb>
    <v>0</v>
  </rv>
  <rv s="0">
    <fb>128.30000000000001</fb>
    <v>0</v>
  </rv>
  <rv s="0">
    <fb>127.27</fb>
    <v>0</v>
  </rv>
  <rv s="0">
    <fb>124.88</fb>
    <v>0</v>
  </rv>
  <rv s="0">
    <fb>123.11</fb>
    <v>0</v>
  </rv>
  <rv s="2">
    <v>https://www.bing.com/financeapi/forcetrigger?t=a269pr&amp;q=ARCX%3aXOP&amp;form=skydnc</v>
    <v>Learn more on Bing</v>
  </rv>
  <rv s="3">
    <v>2</v>
    <v>SS SPDR S&amp;P Oil&amp;Gas Exp (ARCX:XOP)</v>
    <v>4</v>
    <v>5</v>
    <v>Finance</v>
    <v>7</v>
    <v>en-US</v>
    <v>a269pr</v>
    <v>268435456</v>
    <v>1</v>
    <v>Powered by Refinitiv</v>
    <v>146.56</v>
    <v>99.01</v>
    <v>1.1636</v>
    <v>0.44</v>
    <v>3.5170000000000002E-3</v>
    <v>USD</v>
    <v>NYSE Arca</v>
    <v>ARCX</v>
    <v>3.4999999999999996E-3</v>
    <v>126.85</v>
    <v>ETF</v>
    <v>46010.983490392966</v>
    <v>1397</v>
    <v>125.25</v>
    <v>1789485556.8499999</v>
    <v>SS SPDR S&amp;P Oil&amp;Gas Exp</v>
    <v>125.25</v>
    <v>125.09</v>
    <v>125.53</v>
    <v>XOP</v>
    <v>SS SPDR S&amp;P Oil&amp;Gas Exp (ARCX:XOP)</v>
    <v>783</v>
    <v>2613040</v>
  </rv>
  <rv s="4">
    <v>1398</v>
  </rv>
  <rv s="0">
    <fb>131.88</fb>
    <v>0</v>
  </rv>
  <rv s="0">
    <fb>128.56</fb>
    <v>0</v>
  </rv>
  <rv s="0">
    <fb>129.74</fb>
    <v>0</v>
  </rv>
  <rv s="0">
    <fb>130.83000000000001</fb>
    <v>0</v>
  </rv>
  <rv s="0">
    <fb>130.22</fb>
    <v>0</v>
  </rv>
  <rv s="0">
    <fb>131.68</fb>
    <v>0</v>
  </rv>
  <rv s="0">
    <fb>134.02000000000001</fb>
    <v>0</v>
  </rv>
  <rv s="0">
    <fb>135.08000000000001</fb>
    <v>0</v>
  </rv>
  <rv s="0">
    <fb>133.05000000000001</fb>
    <v>0</v>
  </rv>
  <rv s="0">
    <fb>136.47999999999999</fb>
    <v>0</v>
  </rv>
  <rv s="0">
    <fb>136.69</fb>
    <v>0</v>
  </rv>
  <rv s="0">
    <fb>134.13</fb>
    <v>0</v>
  </rv>
  <rv s="0">
    <fb>134.55000000000001</fb>
    <v>0</v>
  </rv>
  <rv s="0">
    <fb>135.22</fb>
    <v>0</v>
  </rv>
  <rv s="0">
    <fb>133.01</fb>
    <v>0</v>
  </rv>
  <rv s="0">
    <fb>131.72999999999999</fb>
    <v>0</v>
  </rv>
  <rv s="0">
    <fb>129.88</fb>
    <v>0</v>
  </rv>
  <rv s="0">
    <fb>124.96</fb>
    <v>0</v>
  </rv>
  <rv s="0">
    <fb>127.9</fb>
    <v>0</v>
  </rv>
  <rv s="0">
    <fb>125.09</fb>
    <v>0</v>
  </rv>
  <rv s="2">
    <v>https://www.bing.com/financeapi/forcetrigger?t=a1vbmw&amp;q=BATS%3aIEO&amp;form=skydnc</v>
    <v>Learn more on Bing</v>
  </rv>
  <rv s="3">
    <v>2</v>
    <v>iShares:US O&amp;G E&amp;P ETF (BATS:IEO)</v>
    <v>4</v>
    <v>5</v>
    <v>Finance</v>
    <v>11</v>
    <v>en-US</v>
    <v>a1vbmw</v>
    <v>268435456</v>
    <v>1</v>
    <v>Powered by Refinitiv</v>
    <v>99.42</v>
    <v>73.17</v>
    <v>1.1151</v>
    <v>0.15</v>
    <v>1.699E-3</v>
    <v>USD</v>
    <v>CBOE BZX Exchange</v>
    <v>BATS</v>
    <v>3.8E-3</v>
    <v>89.31</v>
    <v>ETF</v>
    <v>46010.942902685158</v>
    <v>1420</v>
    <v>88.25</v>
    <v>445788313.85000002</v>
    <v>iShares:US O&amp;G E&amp;P ETF</v>
    <v>88.65</v>
    <v>88.27</v>
    <v>88.42</v>
    <v>IEO</v>
    <v>iShares:US O&amp;G E&amp;P ETF (BATS:IEO)</v>
    <v>1</v>
    <v>63816</v>
  </rv>
  <rv s="4">
    <v>1421</v>
  </rv>
  <rv s="0">
    <fb>92.57</fb>
    <v>0</v>
  </rv>
  <rv s="0">
    <fb>90.57</fb>
    <v>0</v>
  </rv>
  <rv s="0">
    <fb>91.31</fb>
    <v>0</v>
  </rv>
  <rv s="0">
    <fb>91.74</fb>
    <v>0</v>
  </rv>
  <rv s="0">
    <fb>91.08</fb>
    <v>0</v>
  </rv>
  <rv s="0">
    <fb>92.26</fb>
    <v>0</v>
  </rv>
  <rv s="0">
    <fb>93.87</fb>
    <v>0</v>
  </rv>
  <rv s="0">
    <fb>94.864999999999995</fb>
    <v>0</v>
  </rv>
  <rv s="0">
    <fb>93.52</fb>
    <v>0</v>
  </rv>
  <rv s="0">
    <fb>95.69</fb>
    <v>0</v>
  </rv>
  <rv s="0">
    <fb>95.92</fb>
    <v>0</v>
  </rv>
  <rv s="0">
    <fb>96.08</fb>
    <v>0</v>
  </rv>
  <rv s="0">
    <fb>94.78</fb>
    <v>0</v>
  </rv>
  <rv s="0">
    <fb>94.82</fb>
    <v>0</v>
  </rv>
  <rv s="0">
    <fb>96.01</fb>
    <v>0</v>
  </rv>
  <rv s="0">
    <fb>94.63</fb>
    <v>0</v>
  </rv>
  <rv s="0">
    <fb>93.57</fb>
    <v>0</v>
  </rv>
  <rv s="0">
    <fb>92.45</fb>
    <v>0</v>
  </rv>
  <rv s="0">
    <fb>88.18</fb>
    <v>0</v>
  </rv>
  <rv s="0">
    <fb>90.51</fb>
    <v>0</v>
  </rv>
  <rv s="0">
    <fb>88.27</fb>
    <v>0</v>
  </rv>
  <rv s="2">
    <v>https://www.bing.com/financeapi/forcetrigger?t=a1z5r7&amp;q=ARCX%3aOIH&amp;form=skydnc</v>
    <v>Learn more on Bing</v>
  </rv>
  <rv s="3">
    <v>2</v>
    <v>VanEck:Oil Services (ARCX:OIH)</v>
    <v>4</v>
    <v>5</v>
    <v>Finance</v>
    <v>7</v>
    <v>en-US</v>
    <v>a1z5r7</v>
    <v>268435456</v>
    <v>1</v>
    <v>Powered by Refinitiv</v>
    <v>311.49</v>
    <v>191.21</v>
    <v>1.4837</v>
    <v>2.93</v>
    <v>1.0369E-2</v>
    <v>USD</v>
    <v>NYSE Arca</v>
    <v>ARCX</v>
    <v>3.4999999999999996E-3</v>
    <v>286.89</v>
    <v>ETF</v>
    <v>46010.894543957809</v>
    <v>1444</v>
    <v>283.66000000000003</v>
    <v>1173530138.99</v>
    <v>VanEck:Oil Services</v>
    <v>283.66000000000003</v>
    <v>282.57</v>
    <v>285.5</v>
    <v>OIH</v>
    <v>VanEck:Oil Services (ARCX:OIH)</v>
    <v>4</v>
    <v>392377</v>
  </rv>
  <rv s="4">
    <v>1445</v>
  </rv>
  <rv s="0">
    <fb>282.57</fb>
    <v>0</v>
  </rv>
  <rv s="0">
    <fb>274.41000000000003</fb>
    <v>0</v>
  </rv>
  <rv s="0">
    <fb>281.05</fb>
    <v>0</v>
  </rv>
  <rv s="0">
    <fb>282.61</fb>
    <v>0</v>
  </rv>
  <rv s="0">
    <fb>285.06</fb>
    <v>0</v>
  </rv>
  <rv s="0">
    <fb>285.85000000000002</fb>
    <v>0</v>
  </rv>
  <rv s="0">
    <fb>289.61</fb>
    <v>0</v>
  </rv>
  <rv s="0">
    <fb>293.01</fb>
    <v>0</v>
  </rv>
  <rv s="0">
    <fb>292.14</fb>
    <v>0</v>
  </rv>
  <rv s="0">
    <fb>304.93</fb>
    <v>0</v>
  </rv>
  <rv s="0">
    <fb>307.33999999999997</fb>
    <v>0</v>
  </rv>
  <rv s="0">
    <fb>306.19</fb>
    <v>0</v>
  </rv>
  <rv s="0">
    <fb>302.01</fb>
    <v>0</v>
  </rv>
  <rv s="0">
    <fb>304.70999999999998</fb>
    <v>0</v>
  </rv>
  <rv s="0">
    <fb>308.13</fb>
    <v>0</v>
  </rv>
  <rv s="0">
    <fb>308.66000000000003</fb>
    <v>0</v>
  </rv>
  <rv s="0">
    <fb>299.61</fb>
    <v>0</v>
  </rv>
  <rv s="0">
    <fb>296.70999999999998</fb>
    <v>0</v>
  </rv>
  <rv s="0">
    <fb>283.76</fb>
    <v>0</v>
  </rv>
  <rv s="0">
    <fb>286.82</fb>
    <v>0</v>
  </rv>
  <rv s="2">
    <v>https://www.bing.com/financeapi/forcetrigger?t=a1vy9c&amp;q=ARCX%3aIXC&amp;form=skydnc</v>
    <v>Learn more on Bing</v>
  </rv>
  <rv s="3">
    <v>2</v>
    <v>iShares:Glbl Energy (ARCX:IXC)</v>
    <v>4</v>
    <v>5</v>
    <v>Finance</v>
    <v>7</v>
    <v>en-US</v>
    <v>a1vy9c</v>
    <v>268435456</v>
    <v>1</v>
    <v>Powered by Refinitiv</v>
    <v>43.87</v>
    <v>33.89</v>
    <v>1.002</v>
    <v>0.14000000000000001</v>
    <v>3.4329999999999999E-3</v>
    <v>USD</v>
    <v>NYSE Arca</v>
    <v>ARCX</v>
    <v>4.0000000000000001E-3</v>
    <v>41.22</v>
    <v>ETF</v>
    <v>46010.917877835156</v>
    <v>1467</v>
    <v>40.9</v>
    <v>1884556832.5999999</v>
    <v>iShares:Glbl Energy</v>
    <v>41</v>
    <v>40.78</v>
    <v>40.92</v>
    <v>IXC</v>
    <v>iShares:Glbl Energy (ARCX:IXC)</v>
    <v>374</v>
    <v>430720</v>
  </rv>
  <rv s="4">
    <v>1468</v>
  </rv>
  <rv s="0">
    <fb>42.74</fb>
    <v>0</v>
  </rv>
  <rv s="0">
    <fb>42.36</fb>
    <v>0</v>
  </rv>
  <rv s="0">
    <fb>42.45</fb>
    <v>0</v>
  </rv>
  <rv s="0">
    <fb>42.26</fb>
    <v>0</v>
  </rv>
  <rv s="0">
    <fb>42.15</fb>
    <v>0</v>
  </rv>
  <rv s="0">
    <fb>42.5</fb>
    <v>0</v>
  </rv>
  <rv s="0">
    <fb>42.93</fb>
    <v>0</v>
  </rv>
  <rv s="0">
    <fb>43.19</fb>
    <v>0</v>
  </rv>
  <rv s="0">
    <fb>42.79</fb>
    <v>0</v>
  </rv>
  <rv s="0">
    <fb>43.51</fb>
    <v>0</v>
  </rv>
  <rv s="0">
    <fb>43.62</fb>
    <v>0</v>
  </rv>
  <rv s="0">
    <fb>43.23</fb>
    <v>0</v>
  </rv>
  <rv s="0">
    <fb>42.95</fb>
    <v>0</v>
  </rv>
  <rv s="0">
    <fb>43.02</fb>
    <v>0</v>
  </rv>
  <rv s="0">
    <fb>43.37</fb>
    <v>0</v>
  </rv>
  <rv s="0">
    <fb>43.25</fb>
    <v>0</v>
  </rv>
  <rv s="0">
    <fb>42.89</fb>
    <v>0</v>
  </rv>
  <rv s="0">
    <fb>42.69</fb>
    <v>0</v>
  </rv>
  <rv s="0">
    <fb>41.26</fb>
    <v>0</v>
  </rv>
  <rv s="0">
    <fb>40.78</fb>
    <v>0</v>
  </rv>
  <rv s="2">
    <v>https://www.bing.com/financeapi/forcetrigger?t=a1v4jc&amp;q=XNAS%3aIBB&amp;form=skydnc</v>
    <v>Learn more on Bing</v>
  </rv>
  <rv s="3">
    <v>2</v>
    <v>iShares:Biotechnology (XNAS:IBB)</v>
    <v>4</v>
    <v>5</v>
    <v>Finance</v>
    <v>7</v>
    <v>en-US</v>
    <v>a1v4jc</v>
    <v>268435456</v>
    <v>1</v>
    <v>Powered by Refinitiv</v>
    <v>174.4</v>
    <v>107.43</v>
    <v>1.0102</v>
    <v>4.01</v>
    <v>2.4129000000000001E-2</v>
    <v>USD</v>
    <v>Nasdaq Stock Market</v>
    <v>XNAS</v>
    <v>4.4000000000000003E-3</v>
    <v>170.74</v>
    <v>ETF</v>
    <v>46011.002100786718</v>
    <v>1490</v>
    <v>166.75</v>
    <v>8796011867.5100002</v>
    <v>iShares:Biotechnology</v>
    <v>166.93</v>
    <v>166.19</v>
    <v>170.2</v>
    <v>IBB</v>
    <v>iShares:Biotechnology (XNAS:IBB)</v>
    <v>86</v>
    <v>2161111</v>
  </rv>
  <rv s="4">
    <v>1491</v>
  </rv>
  <rv s="0">
    <fb>165.22</fb>
    <v>0</v>
  </rv>
  <rv s="0">
    <fb>164.24</fb>
    <v>0</v>
  </rv>
  <rv s="0">
    <fb>167.52</fb>
    <v>0</v>
  </rv>
  <rv s="0">
    <fb>169.71</fb>
    <v>0</v>
  </rv>
  <rv s="0">
    <fb>172.33</fb>
    <v>0</v>
  </rv>
  <rv s="0">
    <fb>173.66</fb>
    <v>0</v>
  </rv>
  <rv s="0">
    <fb>173.83</fb>
    <v>0</v>
  </rv>
  <rv s="0">
    <fb>170.11</fb>
    <v>0</v>
  </rv>
  <rv s="0">
    <fb>169.22</fb>
    <v>0</v>
  </rv>
  <rv s="0">
    <fb>172.23</fb>
    <v>0</v>
  </rv>
  <rv s="0">
    <fb>172.11</fb>
    <v>0</v>
  </rv>
  <rv s="0">
    <fb>171.16</fb>
    <v>0</v>
  </rv>
  <rv s="0">
    <fb>169.95</fb>
    <v>0</v>
  </rv>
  <rv s="0">
    <fb>167.09</fb>
    <v>0</v>
  </rv>
  <rv s="0">
    <fb>168.93</fb>
    <v>0</v>
  </rv>
  <rv s="0">
    <fb>170.28</fb>
    <v>0</v>
  </rv>
  <rv s="0">
    <fb>169.42</fb>
    <v>0</v>
  </rv>
  <rv s="0">
    <fb>169.38</fb>
    <v>0</v>
  </rv>
  <rv s="0">
    <fb>168.11</fb>
    <v>0</v>
  </rv>
  <rv s="0">
    <fb>167.53</fb>
    <v>0</v>
  </rv>
  <rv s="0">
    <fb>166.19</fb>
    <v>0</v>
  </rv>
  <rv s="2">
    <v>https://www.bing.com/financeapi/forcetrigger?t=a265h7&amp;q=ARCX%3aXBI&amp;form=skydnc</v>
    <v>Learn more on Bing</v>
  </rv>
  <rv s="3">
    <v>2</v>
    <v>SS SPDR S&amp;P Biotech (ARCX:XBI)</v>
    <v>4</v>
    <v>5</v>
    <v>Finance</v>
    <v>7</v>
    <v>en-US</v>
    <v>a265h7</v>
    <v>268435456</v>
    <v>1</v>
    <v>Powered by Refinitiv</v>
    <v>125.87</v>
    <v>66.66</v>
    <v>0.90280000000000005</v>
    <v>3.48</v>
    <v>2.8997999999999999E-2</v>
    <v>USD</v>
    <v>NYSE Arca</v>
    <v>ARCX</v>
    <v>3.4999999999999996E-3</v>
    <v>124.02500000000001</v>
    <v>ETF</v>
    <v>46010.974961226566</v>
    <v>1514</v>
    <v>120.74</v>
    <v>8334585610.3100004</v>
    <v>SS SPDR S&amp;P Biotech</v>
    <v>120.74</v>
    <v>120.01</v>
    <v>123.49</v>
    <v>XBI</v>
    <v>SS SPDR S&amp;P Biotech (ARCX:XBI)</v>
    <v>2008</v>
    <v>10289084</v>
  </rv>
  <rv s="4">
    <v>1515</v>
  </rv>
  <rv s="0">
    <fb>114.5</fb>
    <v>0</v>
  </rv>
  <rv s="0">
    <fb>113.83</fb>
    <v>0</v>
  </rv>
  <rv s="0">
    <fb>119.58</fb>
    <v>0</v>
  </rv>
  <rv s="0">
    <fb>121.37</fb>
    <v>0</v>
  </rv>
  <rv s="0">
    <fb>122.85</fb>
    <v>0</v>
  </rv>
  <rv s="0">
    <fb>123.16</fb>
    <v>0</v>
  </rv>
  <rv s="0">
    <fb>119.85</fb>
    <v>0</v>
  </rv>
  <rv s="0">
    <fb>118.46</fb>
    <v>0</v>
  </rv>
  <rv s="0">
    <fb>121.83</fb>
    <v>0</v>
  </rv>
  <rv s="0">
    <fb>123.25</fb>
    <v>0</v>
  </rv>
  <rv s="0">
    <fb>123.41</fb>
    <v>0</v>
  </rv>
  <rv s="0">
    <fb>123.66</fb>
    <v>0</v>
  </rv>
  <rv s="0">
    <fb>121.19</fb>
    <v>0</v>
  </rv>
  <rv s="0">
    <fb>122.05</fb>
    <v>0</v>
  </rv>
  <rv s="0">
    <fb>123.02</fb>
    <v>0</v>
  </rv>
  <rv s="0">
    <fb>123.13</fb>
    <v>0</v>
  </rv>
  <rv s="0">
    <fb>122.84</fb>
    <v>0</v>
  </rv>
  <rv s="0">
    <fb>122.01</fb>
    <v>0</v>
  </rv>
  <rv s="0">
    <fb>120.94</fb>
    <v>0</v>
  </rv>
  <rv s="0">
    <fb>120.01</fb>
    <v>0</v>
  </rv>
  <rv s="2">
    <v>https://www.bing.com/financeapi/forcetrigger?t=a1zhzr&amp;q=ARCX%3aPBE&amp;form=skydnc</v>
    <v>Learn more on Bing</v>
  </rv>
  <rv s="3">
    <v>2</v>
    <v>Invesco Biotech &amp; Genome (ARCX:PBE)</v>
    <v>4</v>
    <v>5</v>
    <v>Finance</v>
    <v>7</v>
    <v>en-US</v>
    <v>a1zhzr</v>
    <v>268435456</v>
    <v>1</v>
    <v>Powered by Refinitiv</v>
    <v>83.593999999999994</v>
    <v>54.520899999999997</v>
    <v>0.69259999999999999</v>
    <v>2.7688000000000001</v>
    <v>3.4638000000000002E-2</v>
    <v>USD</v>
    <v>NYSE Arca</v>
    <v>ARCX</v>
    <v>5.7999999999999996E-3</v>
    <v>83</v>
    <v>ETF</v>
    <v>46010.881992187497</v>
    <v>1537</v>
    <v>80.97</v>
    <v>262659229.19999999</v>
    <v>Invesco Biotech &amp; Genome</v>
    <v>80.97</v>
    <v>79.936400000000006</v>
    <v>82.705200000000005</v>
    <v>PBE</v>
    <v>Invesco Biotech &amp; Genome (ARCX:PBE)</v>
    <v>7215</v>
    <v>5931</v>
  </rv>
  <rv s="4">
    <v>1538</v>
  </rv>
  <rv s="0">
    <fb>78.318700000000007</fb>
    <v>0</v>
  </rv>
  <rv s="0">
    <fb>80.131799999999998</fb>
    <v>0</v>
  </rv>
  <rv s="0">
    <fb>81.393900000000002</fb>
    <v>0</v>
  </rv>
  <rv s="0">
    <fb>82.83</fb>
    <v>0</v>
  </rv>
  <rv s="0">
    <fb>83.49</fb>
    <v>0</v>
  </rv>
  <rv s="0">
    <fb>83.325100000000006</fb>
    <v>0</v>
  </rv>
  <rv s="0">
    <fb>81.510000000000005</fb>
    <v>0</v>
  </rv>
  <rv s="0">
    <fb>81.520399999999995</fb>
    <v>0</v>
  </rv>
  <rv s="0">
    <fb>82.11</fb>
    <v>0</v>
  </rv>
  <rv s="0">
    <fb>82.063999999999993</fb>
    <v>0</v>
  </rv>
  <rv s="0">
    <fb>81.729200000000006</fb>
    <v>0</v>
  </rv>
  <rv s="0">
    <fb>80.421199999999999</fb>
    <v>0</v>
  </rv>
  <rv s="0">
    <fb>79.655699999999996</fb>
    <v>0</v>
  </rv>
  <rv s="0">
    <fb>80.338800000000006</fb>
    <v>0</v>
  </rv>
  <rv s="0">
    <fb>80.515199999999993</fb>
    <v>0</v>
  </rv>
  <rv s="0">
    <fb>80.565899999999999</fb>
    <v>0</v>
  </rv>
  <rv s="0">
    <fb>81.11</fb>
    <v>0</v>
  </rv>
  <rv s="0">
    <fb>80.2971</fb>
    <v>0</v>
  </rv>
  <rv s="0">
    <fb>80.148700000000005</fb>
    <v>0</v>
  </rv>
  <rv s="0">
    <fb>79.936400000000006</fb>
    <v>0</v>
  </rv>
  <rv s="2">
    <v>https://www.bing.com/financeapi/forcetrigger?t=bqf94c&amp;q=ARCX%3aIDNA&amp;form=skydnc</v>
    <v>Learn more on Bing</v>
  </rv>
  <rv s="3">
    <v>2</v>
    <v>iShares:Gen Immu &amp; HC (ARCX:IDNA)</v>
    <v>4</v>
    <v>5</v>
    <v>Finance</v>
    <v>7</v>
    <v>en-US</v>
    <v>bqf94c</v>
    <v>268435456</v>
    <v>1</v>
    <v>Powered by Refinitiv</v>
    <v>27.65</v>
    <v>17.260000000000002</v>
    <v>0.86809999999999998</v>
    <v>0.64</v>
    <v>2.4787E-2</v>
    <v>USD</v>
    <v>NYSE Arca</v>
    <v>ARCX</v>
    <v>4.6999999999999993E-3</v>
    <v>26.591999999999999</v>
    <v>ETF</v>
    <v>46010.881991469534</v>
    <v>1560</v>
    <v>25.975000000000001</v>
    <v>133556143.06999999</v>
    <v>iShares:Gen Immu &amp; HC</v>
    <v>26.05</v>
    <v>25.82</v>
    <v>26.46</v>
    <v>IDNA</v>
    <v>iShares:Gen Immu &amp; HC (ARCX:IDNA)</v>
    <v>17608</v>
    <v>26345</v>
  </rv>
  <rv s="4">
    <v>1561</v>
  </rv>
  <rv s="0">
    <fb>25.94</fb>
    <v>0</v>
  </rv>
  <rv s="0">
    <fb>25.831099999999999</fb>
    <v>0</v>
  </rv>
  <rv s="0">
    <fb>26.425000000000001</fb>
    <v>0</v>
  </rv>
  <rv s="0">
    <fb>26.77</fb>
    <v>0</v>
  </rv>
  <rv s="0">
    <fb>27.25</fb>
    <v>0</v>
  </rv>
  <rv s="0">
    <fb>27.5</fb>
    <v>0</v>
  </rv>
  <rv s="0">
    <fb>27.55</fb>
    <v>0</v>
  </rv>
  <rv s="0">
    <fb>26.76</fb>
    <v>0</v>
  </rv>
  <rv s="0">
    <fb>26.1</fb>
    <v>0</v>
  </rv>
  <rv s="0">
    <fb>26.78</fb>
    <v>0</v>
  </rv>
  <rv s="0">
    <fb>27.01</fb>
    <v>0</v>
  </rv>
  <rv s="0">
    <fb>26.95</fb>
    <v>0</v>
  </rv>
  <rv s="0">
    <fb>26.31</fb>
    <v>0</v>
  </rv>
  <rv s="0">
    <fb>26.68</fb>
    <v>0</v>
  </rv>
  <rv s="0">
    <fb>26.69</fb>
    <v>0</v>
  </rv>
  <rv s="0">
    <fb>26.41</fb>
    <v>0</v>
  </rv>
  <rv s="0">
    <fb>26.5</fb>
    <v>0</v>
  </rv>
  <rv s="0">
    <fb>26.11</fb>
    <v>0</v>
  </rv>
  <rv s="0">
    <fb>25.84</fb>
    <v>0</v>
  </rv>
  <rv s="0">
    <fb>25.82</fb>
    <v>0</v>
  </rv>
  <rv s="2">
    <v>https://www.bing.com/financeapi/forcetrigger?t=a1vf8m&amp;q=ARCX%3aIHI&amp;form=skydnc</v>
    <v>Learn more on Bing</v>
  </rv>
  <rv s="3">
    <v>2</v>
    <v>iShares:US Med Dev ETF (ARCX:IHI)</v>
    <v>4</v>
    <v>5</v>
    <v>Finance</v>
    <v>7</v>
    <v>en-US</v>
    <v>a1vf8m</v>
    <v>268435456</v>
    <v>1</v>
    <v>Powered by Refinitiv</v>
    <v>65.180000000000007</v>
    <v>52.904699999999998</v>
    <v>1.2133</v>
    <v>0.28999999999999998</v>
    <v>4.6519999999999999E-3</v>
    <v>USD</v>
    <v>NYSE Arca</v>
    <v>ARCX</v>
    <v>3.8E-3</v>
    <v>62.814999999999998</v>
    <v>ETF</v>
    <v>46010.965983147653</v>
    <v>1583</v>
    <v>62.37</v>
    <v>4347918644.3199997</v>
    <v>iShares:US Med Dev ETF</v>
    <v>62.4</v>
    <v>62.34</v>
    <v>62.63</v>
    <v>IHI</v>
    <v>iShares:US Med Dev ETF (ARCX:IHI)</v>
    <v>1469786</v>
    <v>1229593</v>
  </rv>
  <rv s="4">
    <v>1584</v>
  </rv>
  <rv s="0">
    <fb>61.92</fb>
    <v>0</v>
  </rv>
  <rv s="0">
    <fb>61.14</fb>
    <v>0</v>
  </rv>
  <rv s="0">
    <fb>62.7</fb>
    <v>0</v>
  </rv>
  <rv s="0">
    <fb>63.35</fb>
    <v>0</v>
  </rv>
  <rv s="0">
    <fb>64.47</fb>
    <v>0</v>
  </rv>
  <rv s="0">
    <fb>64.33</fb>
    <v>0</v>
  </rv>
  <rv s="0">
    <fb>64.36</fb>
    <v>0</v>
  </rv>
  <rv s="0">
    <fb>63.62</fb>
    <v>0</v>
  </rv>
  <rv s="0">
    <fb>63.17</fb>
    <v>0</v>
  </rv>
  <rv s="0">
    <fb>63.22</fb>
    <v>0</v>
  </rv>
  <rv s="0">
    <fb>63.31</fb>
    <v>0</v>
  </rv>
  <rv s="0">
    <fb>63.48</fb>
    <v>0</v>
  </rv>
  <rv s="0">
    <fb>62.28</fb>
    <v>0</v>
  </rv>
  <rv s="0">
    <fb>61.74</fb>
    <v>0</v>
  </rv>
  <rv s="0">
    <fb>62.31</fb>
    <v>0</v>
  </rv>
  <rv s="0">
    <fb>62.25</fb>
    <v>0</v>
  </rv>
  <rv s="0">
    <fb>62.19</fb>
    <v>0</v>
  </rv>
  <rv s="0">
    <fb>62.68</fb>
    <v>0</v>
  </rv>
  <rv s="0">
    <fb>62.16</fb>
    <v>0</v>
  </rv>
  <rv s="0">
    <fb>62.29</fb>
    <v>0</v>
  </rv>
  <rv s="0">
    <fb>62.34</fb>
    <v>0</v>
  </rv>
  <rv s="2">
    <v>https://www.bing.com/financeapi/forcetrigger?t=a266ur&amp;q=ARCX%3aXHE&amp;form=skydnc</v>
    <v>Learn more on Bing</v>
  </rv>
  <rv s="3">
    <v>2</v>
    <v>SS SPDR S&amp;P Hlth Care Eq (ARCX:XHE)</v>
    <v>4</v>
    <v>5</v>
    <v>Finance</v>
    <v>7</v>
    <v>en-US</v>
    <v>a266ur</v>
    <v>268435456</v>
    <v>1</v>
    <v>Powered by Refinitiv</v>
    <v>97.099900000000005</v>
    <v>71.25</v>
    <v>1.0204</v>
    <v>0.16500000000000001</v>
    <v>1.8590000000000002E-3</v>
    <v>USD</v>
    <v>NYSE Arca</v>
    <v>ARCX</v>
    <v>3.4999999999999996E-3</v>
    <v>89.101200000000006</v>
    <v>ETF</v>
    <v>46010.881993182811</v>
    <v>1607</v>
    <v>88.860900000000001</v>
    <v>153449587.02000001</v>
    <v>SS SPDR S&amp;P Hlth Care Eq</v>
    <v>88.954999999999998</v>
    <v>88.754999999999995</v>
    <v>88.92</v>
    <v>XHE</v>
    <v>SS SPDR S&amp;P Hlth Care Eq (ARCX:XHE)</v>
    <v>5099</v>
    <v>20811</v>
  </rv>
  <rv s="4">
    <v>1608</v>
  </rv>
  <rv s="0">
    <fb>81.84</fb>
    <v>0</v>
  </rv>
  <rv s="0">
    <fb>81.33</fb>
    <v>0</v>
  </rv>
  <rv s="0">
    <fb>87.48</fb>
    <v>0</v>
  </rv>
  <rv s="0">
    <fb>89.59</fb>
    <v>0</v>
  </rv>
  <rv s="0">
    <fb>89.05</fb>
    <v>0</v>
  </rv>
  <rv s="0">
    <fb>87.86</fb>
    <v>0</v>
  </rv>
  <rv s="0">
    <fb>87.19</fb>
    <v>0</v>
  </rv>
  <rv s="0">
    <fb>88.16</fb>
    <v>0</v>
  </rv>
  <rv s="0">
    <fb>89.39</fb>
    <v>0</v>
  </rv>
  <rv s="0">
    <fb>89.34</fb>
    <v>0</v>
  </rv>
  <rv s="0">
    <fb>89.63</fb>
    <v>0</v>
  </rv>
  <rv s="0">
    <fb>89.8</fb>
    <v>0</v>
  </rv>
  <rv s="0">
    <fb>89.36</fb>
    <v>0</v>
  </rv>
  <rv s="0">
    <fb>89.01</fb>
    <v>0</v>
  </rv>
  <rv s="0">
    <fb>88.77</fb>
    <v>0</v>
  </rv>
  <rv s="0">
    <fb>88.754999999999995</fb>
    <v>0</v>
  </rv>
  <rv s="2">
    <v>https://www.bing.com/financeapi/forcetrigger?t=a2671h&amp;q=ARCX%3aXHS&amp;form=skydnc</v>
    <v>Learn more on Bing</v>
  </rv>
  <rv s="3">
    <v>2</v>
    <v>SS SPDR S&amp;P Hlth Cr Svc (ARCX:XHS)</v>
    <v>4</v>
    <v>5</v>
    <v>Finance</v>
    <v>7</v>
    <v>en-US</v>
    <v>a2671h</v>
    <v>268435456</v>
    <v>1</v>
    <v>Powered by Refinitiv</v>
    <v>111.5</v>
    <v>87.64</v>
    <v>0.92569999999999997</v>
    <v>0.58430000000000004</v>
    <v>5.424E-3</v>
    <v>USD</v>
    <v>NYSE Arca</v>
    <v>ARCX</v>
    <v>3.4999999999999996E-3</v>
    <v>108.69</v>
    <v>ETF</v>
    <v>46010.881993182811</v>
    <v>1626</v>
    <v>108.12</v>
    <v>87540827.810000002</v>
    <v>SS SPDR S&amp;P Hlth Cr Svc</v>
    <v>108.33</v>
    <v>107.729</v>
    <v>108.3133</v>
    <v>XHS</v>
    <v>SS SPDR S&amp;P Hlth Cr Svc (ARCX:XHS)</v>
    <v>5548</v>
    <v>6301</v>
  </rv>
  <rv s="4">
    <v>1627</v>
  </rv>
  <rv s="0">
    <fb>101.708</fb>
    <v>0</v>
  </rv>
  <rv s="0">
    <fb>106.23</fb>
    <v>0</v>
  </rv>
  <rv s="0">
    <fb>108.69</fb>
    <v>0</v>
  </rv>
  <rv s="0">
    <fb>111.2</fb>
    <v>0</v>
  </rv>
  <rv s="0">
    <fb>110.99460000000001</fb>
    <v>0</v>
  </rv>
  <rv s="0">
    <fb>110.9226</fb>
    <v>0</v>
  </rv>
  <rv s="0">
    <fb>109.5</fb>
    <v>0</v>
  </rv>
  <rv s="0">
    <fb>108.4194</fb>
    <v>0</v>
  </rv>
  <rv s="0">
    <fb>107.92</fb>
    <v>0</v>
  </rv>
  <rv s="0">
    <fb>108.2</fb>
    <v>0</v>
  </rv>
  <rv s="0">
    <fb>107.1585</fb>
    <v>0</v>
  </rv>
  <rv s="0">
    <fb>106.6793</fb>
    <v>0</v>
  </rv>
  <rv s="0">
    <fb>107.5264</fb>
    <v>0</v>
  </rv>
  <rv s="0">
    <fb>109.23</fb>
    <v>0</v>
  </rv>
  <rv s="0">
    <fb>109.6</fb>
    <v>0</v>
  </rv>
  <rv s="0">
    <fb>109.39</fb>
    <v>0</v>
  </rv>
  <rv s="0">
    <fb>107.9653</fb>
    <v>0</v>
  </rv>
  <rv s="0">
    <fb>107.6</fb>
    <v>0</v>
  </rv>
  <rv s="0">
    <fb>107.729</fb>
    <v>0</v>
  </rv>
  <rv s="2">
    <v>https://www.bing.com/financeapi/forcetrigger?t=a269yc&amp;q=ARCX%3aXPH&amp;form=skydnc</v>
    <v>Learn more on Bing</v>
  </rv>
  <rv s="3">
    <v>2</v>
    <v>SS SPDR S&amp;P Pharm (ARCX:XPH)</v>
    <v>4</v>
    <v>5</v>
    <v>Finance</v>
    <v>7</v>
    <v>en-US</v>
    <v>a269yc</v>
    <v>268435456</v>
    <v>1</v>
    <v>Powered by Refinitiv</v>
    <v>57.244</v>
    <v>35.222700000000003</v>
    <v>1.0857000000000001</v>
    <v>0.95</v>
    <v>1.7191000000000001E-2</v>
    <v>USD</v>
    <v>NYSE Arca</v>
    <v>ARCX</v>
    <v>3.4999999999999996E-3</v>
    <v>56.45</v>
    <v>ETF</v>
    <v>46010.939758402346</v>
    <v>1648</v>
    <v>55.3</v>
    <v>207988588.62</v>
    <v>SS SPDR S&amp;P Pharm</v>
    <v>55.3</v>
    <v>55.26</v>
    <v>56.21</v>
    <v>XPH</v>
    <v>SS SPDR S&amp;P Pharm (ARCX:XPH)</v>
    <v>60</v>
    <v>54465</v>
  </rv>
  <rv s="4">
    <v>1649</v>
  </rv>
  <rv s="0">
    <fb>52.17</fb>
    <v>0</v>
  </rv>
  <rv s="0">
    <fb>51.16</fb>
    <v>0</v>
  </rv>
  <rv s="0">
    <fb>52.19</fb>
    <v>0</v>
  </rv>
  <rv s="0">
    <fb>53.29</fb>
    <v>0</v>
  </rv>
  <rv s="0">
    <fb>54.78</fb>
    <v>0</v>
  </rv>
  <rv s="0">
    <fb>54.8</fb>
    <v>0</v>
  </rv>
  <rv s="0">
    <fb>53.78</fb>
    <v>0</v>
  </rv>
  <rv s="0">
    <fb>52.65</fb>
    <v>0</v>
  </rv>
  <rv s="0">
    <fb>54.09</fb>
    <v>0</v>
  </rv>
  <rv s="0">
    <fb>54.29</fb>
    <v>0</v>
  </rv>
  <rv s="0">
    <fb>54.36</fb>
    <v>0</v>
  </rv>
  <rv s="0">
    <fb>56.48</fb>
    <v>0</v>
  </rv>
  <rv s="0">
    <fb>55.93</fb>
    <v>0</v>
  </rv>
  <rv s="0">
    <fb>56.56</fb>
    <v>0</v>
  </rv>
  <rv s="0">
    <fb>56.4</fb>
    <v>0</v>
  </rv>
  <rv s="0">
    <fb>56.25</fb>
    <v>0</v>
  </rv>
  <rv s="0">
    <fb>56.17</fb>
    <v>0</v>
  </rv>
  <rv s="0">
    <fb>55.75</fb>
    <v>0</v>
  </rv>
  <rv s="0">
    <fb>55.26</fb>
    <v>0</v>
  </rv>
  <rv s="2">
    <v>https://www.bing.com/financeapi/forcetrigger?t=a1sv3m&amp;q=ARCX%3aFHLC&amp;form=skydnc</v>
    <v>Learn more on Bing</v>
  </rv>
  <rv s="6">
    <v>12</v>
    <v>Fidelity MSCI Hlth Care (ARCX:FHLC)</v>
    <v>4</v>
    <v>13</v>
    <v>Finance</v>
    <v>14</v>
    <v>en-US</v>
    <v>a1sv3m</v>
    <v>268435456</v>
    <v>1</v>
    <v>Powered by Refinitiv</v>
    <v>76.38</v>
    <v>60.35</v>
    <v>1.0068999999999999</v>
    <v>USD</v>
    <v>NYSE Arca</v>
    <v>ARCX</v>
    <v>8.4000000000000003E-4</v>
    <v>74.569999999999993</v>
    <v>ETF</v>
    <v>46010.989629536722</v>
    <v>1670</v>
    <v>73.599999999999994</v>
    <v>2883205520.4099998</v>
    <v>Fidelity MSCI Hlth Care</v>
    <v>73.599999999999994</v>
    <v>74.22</v>
    <v>FHLC</v>
    <v>Fidelity MSCI Hlth Care (ARCX:FHLC)</v>
    <v>123376</v>
    <v>141826</v>
  </rv>
  <rv s="4">
    <v>1671</v>
  </rv>
  <rv s="0">
    <fb>73.040000000000006</fb>
    <v>0</v>
  </rv>
  <rv s="0">
    <fb>72.59</fb>
    <v>0</v>
  </rv>
  <rv s="0">
    <fb>74.12</fb>
    <v>0</v>
  </rv>
  <rv s="0">
    <fb>74.69</fb>
    <v>0</v>
  </rv>
  <rv s="0">
    <fb>76.290000000000006</fb>
    <v>0</v>
  </rv>
  <rv s="0">
    <fb>76.2</fb>
    <v>0</v>
  </rv>
  <rv s="0">
    <fb>75.849999999999994</fb>
    <v>0</v>
  </rv>
  <rv s="0">
    <fb>74.75</fb>
    <v>0</v>
  </rv>
  <rv s="0">
    <fb>74.290000000000006</fb>
    <v>0</v>
  </rv>
  <rv s="0">
    <fb>74.72</fb>
    <v>0</v>
  </rv>
  <rv s="0">
    <fb>74.010000000000005</fb>
    <v>0</v>
  </rv>
  <rv s="0">
    <fb>73.180000000000007</fb>
    <v>0</v>
  </rv>
  <rv s="0">
    <fb>72.42</fb>
    <v>0</v>
  </rv>
  <rv s="0">
    <fb>73.34</fb>
    <v>0</v>
  </rv>
  <rv s="0">
    <fb>73.98</fb>
    <v>0</v>
  </rv>
  <rv s="0">
    <fb>74.150000000000006</fb>
    <v>0</v>
  </rv>
  <rv s="0">
    <fb>74.09</fb>
    <v>0</v>
  </rv>
  <rv s="0">
    <fb>73.88</fb>
    <v>0</v>
  </rv>
  <rv s="2">
    <v>https://www.bing.com/financeapi/forcetrigger?t=c3od27&amp;q=ARCX%3aPINK&amp;form=skydnc</v>
    <v>Learn more on Bing</v>
  </rv>
  <rv s="3">
    <v>2</v>
    <v>Simplify:Health Care (ARCX:PINK)</v>
    <v>4</v>
    <v>5</v>
    <v>Finance</v>
    <v>7</v>
    <v>en-US</v>
    <v>c3od27</v>
    <v>268435456</v>
    <v>1</v>
    <v>Powered by Refinitiv</v>
    <v>38.020000000000003</v>
    <v>26.097999999999999</v>
    <v>1.0853999999999999</v>
    <v>0.34</v>
    <v>9.3150000000000004E-3</v>
    <v>USD</v>
    <v>NYSE Arca</v>
    <v>ARCX</v>
    <v>5.1000000000000004E-3</v>
    <v>37.008699999999997</v>
    <v>ETF</v>
    <v>46010.904123448439</v>
    <v>1691</v>
    <v>36.61</v>
    <v>317618237.17000002</v>
    <v>Simplify:Health Care</v>
    <v>36.61</v>
    <v>36.5</v>
    <v>36.840000000000003</v>
    <v>PINK</v>
    <v>Simplify:Health Care (ARCX:PINK)</v>
    <v>232617</v>
    <v>245860</v>
  </rv>
  <rv s="4">
    <v>1692</v>
  </rv>
  <rv s="0">
    <fb>36.58</fb>
    <v>0</v>
  </rv>
  <rv s="0">
    <fb>36.409999999999997</fb>
    <v>0</v>
  </rv>
  <rv s="0">
    <fb>37.24</fb>
    <v>0</v>
  </rv>
  <rv s="0">
    <fb>37.72</fb>
    <v>0</v>
  </rv>
  <rv s="0">
    <fb>37.96</fb>
    <v>0</v>
  </rv>
  <rv s="0">
    <fb>37.85</fb>
    <v>0</v>
  </rv>
  <rv s="0">
    <fb>36.85</fb>
    <v>0</v>
  </rv>
  <rv s="0">
    <fb>36.369999999999997</fb>
    <v>0</v>
  </rv>
  <rv s="0">
    <fb>36.799999999999997</fb>
    <v>0</v>
  </rv>
  <rv s="0">
    <fb>36.950000000000003</fb>
    <v>0</v>
  </rv>
  <rv s="0">
    <fb>36.729999999999997</fb>
    <v>0</v>
  </rv>
  <rv s="0">
    <fb>36.590000000000003</fb>
    <v>0</v>
  </rv>
  <rv s="0">
    <fb>36.9</fb>
    <v>0</v>
  </rv>
  <rv s="0">
    <fb>37.270000000000003</fb>
    <v>0</v>
  </rv>
  <rv s="0">
    <fb>37.1</fb>
    <v>0</v>
  </rv>
  <rv s="0">
    <fb>37.06</fb>
    <v>0</v>
  </rv>
  <rv s="0">
    <fb>36.5</fb>
    <v>0</v>
  </rv>
  <rv s="2">
    <v>https://www.bing.com/financeapi/forcetrigger?t=a1wer7&amp;q=ARCX%3aKBE&amp;form=skydnc</v>
    <v>Learn more on Bing</v>
  </rv>
  <rv s="3">
    <v>2</v>
    <v>SS SPDR S&amp;P Bank ETF (ARCX:KBE)</v>
    <v>4</v>
    <v>5</v>
    <v>Finance</v>
    <v>7</v>
    <v>en-US</v>
    <v>a1wer7</v>
    <v>268435456</v>
    <v>1</v>
    <v>Powered by Refinitiv</v>
    <v>63.28</v>
    <v>44.34</v>
    <v>0.98129999999999995</v>
    <v>-0.14000000000000001</v>
    <v>-2.2309999999999999E-3</v>
    <v>USD</v>
    <v>NYSE Arca</v>
    <v>ARCX</v>
    <v>3.4999999999999996E-3</v>
    <v>63.1</v>
    <v>ETF</v>
    <v>46010.924034200783</v>
    <v>1711</v>
    <v>62.34</v>
    <v>1383241229.53</v>
    <v>SS SPDR S&amp;P Bank ETF</v>
    <v>62.77</v>
    <v>62.76</v>
    <v>62.62</v>
    <v>KBE</v>
    <v>SS SPDR S&amp;P Bank ETF (ARCX:KBE)</v>
    <v>18</v>
    <v>1589460</v>
  </rv>
  <rv s="4">
    <v>1712</v>
  </rv>
  <rv s="0">
    <fb>56.19</fb>
    <v>0</v>
  </rv>
  <rv s="0">
    <fb>55.95</fb>
    <v>0</v>
  </rv>
  <rv s="0">
    <fb>57.66</fb>
    <v>0</v>
  </rv>
  <rv s="0">
    <fb>57.74</fb>
    <v>0</v>
  </rv>
  <rv s="0">
    <fb>59.32</fb>
    <v>0</v>
  </rv>
  <rv s="0">
    <fb>59.16</fb>
    <v>0</v>
  </rv>
  <rv s="0">
    <fb>58.98</fb>
    <v>0</v>
  </rv>
  <rv s="0">
    <fb>59.48</fb>
    <v>0</v>
  </rv>
  <rv s="0">
    <fb>59.13</fb>
    <v>0</v>
  </rv>
  <rv s="0">
    <fb>60.27</fb>
    <v>0</v>
  </rv>
  <rv s="0">
    <fb>60.46</fb>
    <v>0</v>
  </rv>
  <rv s="0">
    <fb>60.42</fb>
    <v>0</v>
  </rv>
  <rv s="0">
    <fb>60.38</fb>
    <v>0</v>
  </rv>
  <rv s="0">
    <fb>62.36</fb>
    <v>0</v>
  </rv>
  <rv s="0">
    <fb>62.79</fb>
    <v>0</v>
  </rv>
  <rv s="0">
    <fb>62.48</fb>
    <v>0</v>
  </rv>
  <rv s="0">
    <fb>62.66</fb>
    <v>0</v>
  </rv>
  <rv s="0">
    <fb>62.41</fb>
    <v>0</v>
  </rv>
  <rv s="0">
    <fb>62.59</fb>
    <v>0</v>
  </rv>
  <rv s="0">
    <fb>62.76</fb>
    <v>0</v>
  </rv>
  <rv s="2">
    <v>https://www.bing.com/financeapi/forcetrigger?t=a1wn3m&amp;q=ARCX%3aKRE&amp;form=skydnc</v>
    <v>Learn more on Bing</v>
  </rv>
  <rv s="3">
    <v>2</v>
    <v>SS SPDR S&amp;P Reg Banking (ARCX:KRE)</v>
    <v>4</v>
    <v>5</v>
    <v>Finance</v>
    <v>7</v>
    <v>en-US</v>
    <v>a1wn3m</v>
    <v>268435456</v>
    <v>1</v>
    <v>Powered by Refinitiv</v>
    <v>68.084999999999994</v>
    <v>47.06</v>
    <v>1.1397999999999999</v>
    <v>-0.21</v>
    <v>-3.1119999999999997E-3</v>
    <v>USD</v>
    <v>NYSE Arca</v>
    <v>ARCX</v>
    <v>3.4999999999999996E-3</v>
    <v>67.86</v>
    <v>ETF</v>
    <v>46010.997814745315</v>
    <v>1734</v>
    <v>66.894999999999996</v>
    <v>3453496732.54</v>
    <v>SS SPDR S&amp;P Reg Banking</v>
    <v>67.31</v>
    <v>67.48</v>
    <v>67.27</v>
    <v>KRE</v>
    <v>SS SPDR S&amp;P Reg Banking (ARCX:KRE)</v>
    <v>89</v>
    <v>14723248</v>
  </rv>
  <rv s="4">
    <v>1735</v>
  </rv>
  <rv s="0">
    <fb>59.79</fb>
    <v>0</v>
  </rv>
  <rv s="0">
    <fb>59.59</fb>
    <v>0</v>
  </rv>
  <rv s="0">
    <fb>61.61</fb>
    <v>0</v>
  </rv>
  <rv s="0">
    <fb>61.66</fb>
    <v>0</v>
  </rv>
  <rv s="0">
    <fb>63.41</fb>
    <v>0</v>
  </rv>
  <rv s="0">
    <fb>62.99</fb>
    <v>0</v>
  </rv>
  <rv s="0">
    <fb>63.68</fb>
    <v>0</v>
  </rv>
  <rv s="0">
    <fb>63.33</fb>
    <v>0</v>
  </rv>
  <rv s="0">
    <fb>64.650000000000006</fb>
    <v>0</v>
  </rv>
  <rv s="0">
    <fb>64.87</fb>
    <v>0</v>
  </rv>
  <rv s="0">
    <fb>64.72</fb>
    <v>0</v>
  </rv>
  <rv s="0">
    <fb>64.94</fb>
    <v>0</v>
  </rv>
  <rv s="0">
    <fb>64.81</fb>
    <v>0</v>
  </rv>
  <rv s="0">
    <fb>67.05</fb>
    <v>0</v>
  </rv>
  <rv s="0">
    <fb>67.400000000000006</fb>
    <v>0</v>
  </rv>
  <rv s="0">
    <fb>67.08</fb>
    <v>0</v>
  </rv>
  <rv s="0">
    <fb>67.260000000000005</fb>
    <v>0</v>
  </rv>
  <rv s="0">
    <fb>67</fb>
    <v>0</v>
  </rv>
  <rv s="0">
    <fb>67.290000000000006</fb>
    <v>0</v>
  </rv>
  <rv s="0">
    <fb>67.48</fb>
    <v>0</v>
  </rv>
  <rv s="2">
    <v>https://www.bing.com/financeapi/forcetrigger?t=a1v4ar&amp;q=ARCX%3aIAT&amp;form=skydnc</v>
    <v>Learn more on Bing</v>
  </rv>
  <rv s="3">
    <v>2</v>
    <v>iShares:US Rgnl Bnks (ARCX:IAT)</v>
    <v>4</v>
    <v>5</v>
    <v>Finance</v>
    <v>7</v>
    <v>en-US</v>
    <v>a1v4ar</v>
    <v>268435456</v>
    <v>1</v>
    <v>Powered by Refinitiv</v>
    <v>56.77</v>
    <v>38.299999999999997</v>
    <v>1.1146</v>
    <v>0.19</v>
    <v>3.4039999999999999E-3</v>
    <v>USD</v>
    <v>NYSE Arca</v>
    <v>ARCX</v>
    <v>3.8E-3</v>
    <v>56.18</v>
    <v>ETF</v>
    <v>46010.881991435155</v>
    <v>1757</v>
    <v>55.82</v>
    <v>539336510.45000005</v>
    <v>iShares:US Rgnl Bnks</v>
    <v>55.86</v>
    <v>55.82</v>
    <v>56.01</v>
    <v>IAT</v>
    <v>iShares:US Rgnl Bnks (ARCX:IAT)</v>
    <v>170370</v>
    <v>253945</v>
  </rv>
  <rv s="4">
    <v>1758</v>
  </rv>
  <rv s="0">
    <fb>49.57</fb>
    <v>0</v>
  </rv>
  <rv s="0">
    <fb>49.39</fb>
    <v>0</v>
  </rv>
  <rv s="0">
    <fb>50.79</fb>
    <v>0</v>
  </rv>
  <rv s="0">
    <fb>50.82</fb>
    <v>0</v>
  </rv>
  <rv s="0">
    <fb>51.97</fb>
    <v>0</v>
  </rv>
  <rv s="0">
    <fb>51.88</fb>
    <v>0</v>
  </rv>
  <rv s="0">
    <fb>52.35</fb>
    <v>0</v>
  </rv>
  <rv s="0">
    <fb>52.23</fb>
    <v>0</v>
  </rv>
  <rv s="0">
    <fb>53.49</fb>
    <v>0</v>
  </rv>
  <rv s="0">
    <fb>53.77</fb>
    <v>0</v>
  </rv>
  <rv s="0">
    <fb>53.7</fb>
    <v>0</v>
  </rv>
  <rv s="0">
    <fb>53.79</fb>
    <v>0</v>
  </rv>
  <rv s="0">
    <fb>54.05</fb>
    <v>0</v>
  </rv>
  <rv s="0">
    <fb>56.45</fb>
    <v>0</v>
  </rv>
  <rv s="0">
    <fb>56.23</fb>
    <v>0</v>
  </rv>
  <rv s="0">
    <fb>56.26</fb>
    <v>0</v>
  </rv>
  <rv s="0">
    <fb>55.52</fb>
    <v>0</v>
  </rv>
  <rv s="0">
    <fb>55.86</fb>
    <v>0</v>
  </rv>
  <rv s="0">
    <fb>55.82</fb>
    <v>0</v>
  </rv>
  <rv s="2">
    <v>https://www.bing.com/financeapi/forcetrigger?t=a1wicw&amp;q=ARCX%3aKIE&amp;form=skydnc</v>
    <v>Learn more on Bing</v>
  </rv>
  <rv s="3">
    <v>2</v>
    <v>SS SPDR S&amp;P Insurance (ARCX:KIE)</v>
    <v>4</v>
    <v>5</v>
    <v>Finance</v>
    <v>7</v>
    <v>en-US</v>
    <v>a1wicw</v>
    <v>268435456</v>
    <v>1</v>
    <v>Powered by Refinitiv</v>
    <v>61.27</v>
    <v>52.37</v>
    <v>1.026</v>
    <v>-7.0000000000000007E-2</v>
    <v>-1.147E-3</v>
    <v>USD</v>
    <v>NYSE Arca</v>
    <v>ARCX</v>
    <v>3.4999999999999996E-3</v>
    <v>61.164999999999999</v>
    <v>ETF</v>
    <v>46010.963314825778</v>
    <v>1779</v>
    <v>60.66</v>
    <v>662811975.25</v>
    <v>SS SPDR S&amp;P Insurance</v>
    <v>60.88</v>
    <v>61.01</v>
    <v>60.94</v>
    <v>KIE</v>
    <v>SS SPDR S&amp;P Insurance (ARCX:KIE)</v>
    <v>1</v>
    <v>2043899</v>
  </rv>
  <rv s="4">
    <v>1780</v>
  </rv>
  <rv s="0">
    <fb>58.19</fb>
    <v>0</v>
  </rv>
  <rv s="0">
    <fb>58.18</fb>
    <v>0</v>
  </rv>
  <rv s="0">
    <fb>58.99</fb>
    <v>0</v>
  </rv>
  <rv s="0">
    <fb>59.11</fb>
    <v>0</v>
  </rv>
  <rv s="0">
    <fb>59.8</fb>
    <v>0</v>
  </rv>
  <rv s="0">
    <fb>60.02</fb>
    <v>0</v>
  </rv>
  <rv s="0">
    <fb>60.01</fb>
    <v>0</v>
  </rv>
  <rv s="0">
    <fb>59.1</fb>
    <v>0</v>
  </rv>
  <rv s="0">
    <fb>58.96</fb>
    <v>0</v>
  </rv>
  <rv s="0">
    <fb>59.09</fb>
    <v>0</v>
  </rv>
  <rv s="0">
    <fb>58.73</fb>
    <v>0</v>
  </rv>
  <rv s="0">
    <fb>58.2</fb>
    <v>0</v>
  </rv>
  <rv s="0">
    <fb>58.54</fb>
    <v>0</v>
  </rv>
  <rv s="0">
    <fb>58.75</fb>
    <v>0</v>
  </rv>
  <rv s="0">
    <fb>60.16</fb>
    <v>0</v>
  </rv>
  <rv s="0">
    <fb>60.53</fb>
    <v>0</v>
  </rv>
  <rv s="0">
    <fb>60.88</fb>
    <v>0</v>
  </rv>
  <rv s="0">
    <fb>60.54</fb>
    <v>0</v>
  </rv>
  <rv s="0">
    <fb>60.66</fb>
    <v>0</v>
  </rv>
  <rv s="0">
    <fb>61.01</fb>
    <v>0</v>
  </rv>
  <rv s="2">
    <v>https://www.bing.com/financeapi/forcetrigger?t=a1v3yc&amp;q=ARCX%3aIAI&amp;form=skydnc</v>
    <v>Learn more on Bing</v>
  </rv>
  <rv s="3">
    <v>2</v>
    <v>iShares:US BD &amp; SE ETF (ARCX:IAI)</v>
    <v>4</v>
    <v>5</v>
    <v>Finance</v>
    <v>7</v>
    <v>en-US</v>
    <v>a1v3yc</v>
    <v>268435456</v>
    <v>1</v>
    <v>Powered by Refinitiv</v>
    <v>182.87870000000001</v>
    <v>116.88</v>
    <v>1.1101000000000001</v>
    <v>2.78</v>
    <v>1.5676000000000002E-2</v>
    <v>USD</v>
    <v>NYSE Arca</v>
    <v>ARCX</v>
    <v>3.8E-3</v>
    <v>180.58</v>
    <v>ETF</v>
    <v>46010.943345115622</v>
    <v>1802</v>
    <v>178.25</v>
    <v>1512896130.23</v>
    <v>iShares:US BD &amp; SE ETF</v>
    <v>178.25</v>
    <v>177.34</v>
    <v>180.12</v>
    <v>IAI</v>
    <v>iShares:US BD &amp; SE ETF (ARCX:IAI)</v>
    <v>4</v>
    <v>114863</v>
  </rv>
  <rv s="4">
    <v>1803</v>
  </rv>
  <rv s="0">
    <fb>170.04</fb>
    <v>0</v>
  </rv>
  <rv s="0">
    <fb>166.79</fb>
    <v>0</v>
  </rv>
  <rv s="0">
    <fb>167.49</fb>
    <v>0</v>
  </rv>
  <rv s="0">
    <fb>169.67</fb>
    <v>0</v>
  </rv>
  <rv s="0">
    <fb>171.75</fb>
    <v>0</v>
  </rv>
  <rv s="0">
    <fb>174.47</fb>
    <v>0</v>
  </rv>
  <rv s="0">
    <fb>175.77</fb>
    <v>0</v>
  </rv>
  <rv s="0">
    <fb>173.78</fb>
    <v>0</v>
  </rv>
  <rv s="0">
    <fb>177.18</fb>
    <v>0</v>
  </rv>
  <rv s="0">
    <fb>178.16</fb>
    <v>0</v>
  </rv>
  <rv s="0">
    <fb>178.6</fb>
    <v>0</v>
  </rv>
  <rv s="0">
    <fb>178.94</fb>
    <v>0</v>
  </rv>
  <rv s="0">
    <fb>180.06</fb>
    <v>0</v>
  </rv>
  <rv s="0">
    <fb>181.29</fb>
    <v>0</v>
  </rv>
  <rv s="0">
    <fb>182.22</fb>
    <v>0</v>
  </rv>
  <rv s="0">
    <fb>180.49</fb>
    <v>0</v>
  </rv>
  <rv s="0">
    <fb>178.86</fb>
    <v>0</v>
  </rv>
  <rv s="0">
    <fb>178.41</fb>
    <v>0</v>
  </rv>
  <rv s="0">
    <fb>177.96</fb>
    <v>0</v>
  </rv>
  <rv s="0">
    <fb>177.34</fb>
    <v>0</v>
  </rv>
  <rv s="2">
    <v>https://www.bing.com/financeapi/forcetrigger?t=a1wfqh&amp;q=ARCX%3aKCE&amp;form=skydnc</v>
    <v>Learn more on Bing</v>
  </rv>
  <rv s="3">
    <v>2</v>
    <v>SS SPDR S&amp;P Cap Mkts (ARCX:KCE)</v>
    <v>4</v>
    <v>5</v>
    <v>Finance</v>
    <v>7</v>
    <v>en-US</v>
    <v>a1wfqh</v>
    <v>268435456</v>
    <v>1</v>
    <v>Powered by Refinitiv</v>
    <v>158.41999999999999</v>
    <v>104.46</v>
    <v>1.1653</v>
    <v>1.21</v>
    <v>8.0820000000000006E-3</v>
    <v>USD</v>
    <v>NYSE Arca</v>
    <v>ARCX</v>
    <v>3.4999999999999996E-3</v>
    <v>151.25</v>
    <v>ETF</v>
    <v>46010.96790695547</v>
    <v>1825</v>
    <v>150.13999999999999</v>
    <v>520912504.38</v>
    <v>SS SPDR S&amp;P Cap Mkts</v>
    <v>150.13999999999999</v>
    <v>149.715</v>
    <v>150.92500000000001</v>
    <v>KCE</v>
    <v>SS SPDR S&amp;P Cap Mkts (ARCX:KCE)</v>
    <v>14913</v>
    <v>30702</v>
  </rv>
  <rv s="4">
    <v>1826</v>
  </rv>
  <rv s="0">
    <fb>140.66999999999999</fb>
    <v>0</v>
  </rv>
  <rv s="0">
    <fb>138.32</fb>
    <v>0</v>
  </rv>
  <rv s="0">
    <fb>140.15</fb>
    <v>0</v>
  </rv>
  <rv s="0">
    <fb>141.17500000000001</fb>
    <v>0</v>
  </rv>
  <rv s="0">
    <fb>143.31</fb>
    <v>0</v>
  </rv>
  <rv s="0">
    <fb>144.87</fb>
    <v>0</v>
  </rv>
  <rv s="0">
    <fb>145.80000000000001</fb>
    <v>0</v>
  </rv>
  <rv s="0">
    <fb>144.26</fb>
    <v>0</v>
  </rv>
  <rv s="0">
    <fb>143.99</fb>
    <v>0</v>
  </rv>
  <rv s="0">
    <fb>147.13</fb>
    <v>0</v>
  </rv>
  <rv s="0">
    <fb>148.18</fb>
    <v>0</v>
  </rv>
  <rv s="0">
    <fb>149.6942</fb>
    <v>0</v>
  </rv>
  <rv s="0">
    <fb>149.08000000000001</fb>
    <v>0</v>
  </rv>
  <rv s="0">
    <fb>151.4873</fb>
    <v>0</v>
  </rv>
  <rv s="0">
    <fb>153.12</fb>
    <v>0</v>
  </rv>
  <rv s="0">
    <fb>154.34</fb>
    <v>0</v>
  </rv>
  <rv s="0">
    <fb>152.02000000000001</fb>
    <v>0</v>
  </rv>
  <rv s="0">
    <fb>150.69999999999999</fb>
    <v>0</v>
  </rv>
  <rv s="0">
    <fb>150.62</fb>
    <v>0</v>
  </rv>
  <rv s="0">
    <fb>149.87</fb>
    <v>0</v>
  </rv>
  <rv s="0">
    <fb>149.715</fb>
    <v>0</v>
  </rv>
  <rv s="2">
    <v>https://www.bing.com/financeapi/forcetrigger?t=a1vz2w&amp;q=ARCX%3aIYG&amp;form=skydnc</v>
    <v>Learn more on Bing</v>
  </rv>
  <rv s="3">
    <v>2</v>
    <v>iShares:US Fnl Svc (ARCX:IYG)</v>
    <v>4</v>
    <v>5</v>
    <v>Finance</v>
    <v>7</v>
    <v>en-US</v>
    <v>a1vz2w</v>
    <v>268435456</v>
    <v>1</v>
    <v>Powered by Refinitiv</v>
    <v>93.06</v>
    <v>65.979500000000002</v>
    <v>1.1015999999999999</v>
    <v>0.59</v>
    <v>6.4449999999999993E-3</v>
    <v>USD</v>
    <v>NYSE Arca</v>
    <v>ARCX</v>
    <v>3.8E-3</v>
    <v>92.43</v>
    <v>ETF</v>
    <v>46010.881944444445</v>
    <v>1849</v>
    <v>91.72</v>
    <v>1893214949.3299999</v>
    <v>iShares:US Fnl Svc</v>
    <v>91.72</v>
    <v>91.54</v>
    <v>92.13</v>
    <v>IYG</v>
    <v>iShares:US Fnl Svc (ARCX:IYG)</v>
    <v>69790</v>
    <v>136686</v>
  </rv>
  <rv s="4">
    <v>1850</v>
  </rv>
  <rv s="0">
    <fb>86.34</fb>
    <v>0</v>
  </rv>
  <rv s="0">
    <fb>85.33</fb>
    <v>0</v>
  </rv>
  <rv s="0">
    <fb>86.33</fb>
    <v>0</v>
  </rv>
  <rv s="0">
    <fb>86.93</fb>
    <v>0</v>
  </rv>
  <rv s="0">
    <fb>88.09</fb>
    <v>0</v>
  </rv>
  <rv s="0">
    <fb>88.82</fb>
    <v>0</v>
  </rv>
  <rv s="0">
    <fb>89.49</fb>
    <v>0</v>
  </rv>
  <rv s="0">
    <fb>88.79</fb>
    <v>0</v>
  </rv>
  <rv s="0">
    <fb>90.14</fb>
    <v>0</v>
  </rv>
  <rv s="0">
    <fb>90.39</fb>
    <v>0</v>
  </rv>
  <rv s="0">
    <fb>90.52</fb>
    <v>0</v>
  </rv>
  <rv s="0">
    <fb>90.2</fb>
    <v>0</v>
  </rv>
  <rv s="0">
    <fb>89.82</fb>
    <v>0</v>
  </rv>
  <rv s="0">
    <fb>91.066000000000003</fb>
    <v>0</v>
  </rv>
  <rv s="0">
    <fb>92.575000000000003</fb>
    <v>0</v>
  </rv>
  <rv s="0">
    <fb>92.47</fb>
    <v>0</v>
  </rv>
  <rv s="0">
    <fb>91.64</fb>
    <v>0</v>
  </rv>
  <rv s="0">
    <fb>91.61</fb>
    <v>0</v>
  </rv>
  <rv s="0">
    <fb>91.54</fb>
    <v>0</v>
  </rv>
  <rv s="2">
    <v>https://www.bing.com/financeapi/forcetrigger?t=a25aim&amp;q=ARCX%3aVFH&amp;form=skydnc</v>
    <v>Learn more on Bing</v>
  </rv>
  <rv s="3">
    <v>2</v>
    <v>Vanguard Finl Indx;ETF (ARCX:VFH)</v>
    <v>4</v>
    <v>5</v>
    <v>Finance</v>
    <v>7</v>
    <v>en-US</v>
    <v>a25aim</v>
    <v>268435456</v>
    <v>1</v>
    <v>Powered by Refinitiv</v>
    <v>135.27000000000001</v>
    <v>100.87</v>
    <v>1.069</v>
    <v>0.73</v>
    <v>5.4949999999999999E-3</v>
    <v>USD</v>
    <v>NYSE Arca</v>
    <v>ARCX</v>
    <v>8.9999999999999998E-4</v>
    <v>133.97999999999999</v>
    <v>ETF</v>
    <v>46010.941675508591</v>
    <v>1871</v>
    <v>132.94</v>
    <v>13004836331</v>
    <v>Vanguard Finl Indx;ETF</v>
    <v>132.94</v>
    <v>132.86000000000001</v>
    <v>133.59</v>
    <v>VFH</v>
    <v>Vanguard Finl Indx;ETF (ARCX:VFH)</v>
    <v>48</v>
    <v>690067</v>
  </rv>
  <rv s="4">
    <v>1872</v>
  </rv>
  <rv s="0">
    <fb>125.47</fb>
    <v>0</v>
  </rv>
  <rv s="0">
    <fb>124.33</fb>
    <v>0</v>
  </rv>
  <rv s="0">
    <fb>125.95</fb>
    <v>0</v>
  </rv>
  <rv s="0">
    <fb>126.47</fb>
    <v>0</v>
  </rv>
  <rv s="0">
    <fb>129.22</fb>
    <v>0</v>
  </rv>
  <rv s="0">
    <fb>130</fb>
    <v>0</v>
  </rv>
  <rv s="0">
    <fb>129.15</fb>
    <v>0</v>
  </rv>
  <rv s="0">
    <fb>128.94999999999999</fb>
    <v>0</v>
  </rv>
  <rv s="0">
    <fb>130.76</fb>
    <v>0</v>
  </rv>
  <rv s="0">
    <fb>131.07</fb>
    <v>0</v>
  </rv>
  <rv s="0">
    <fb>131.02000000000001</fb>
    <v>0</v>
  </rv>
  <rv s="0">
    <fb>130.59</fb>
    <v>0</v>
  </rv>
  <rv s="0">
    <fb>130.32</fb>
    <v>0</v>
  </rv>
  <rv s="0">
    <fb>132.06</fb>
    <v>0</v>
  </rv>
  <rv s="0">
    <fb>134.37</fb>
    <v>0</v>
  </rv>
  <rv s="0">
    <fb>134.38999999999999</fb>
    <v>0</v>
  </rv>
  <rv s="0">
    <fb>134.44</fb>
    <v>0</v>
  </rv>
  <rv s="0">
    <fb>133.69</fb>
    <v>0</v>
  </rv>
  <rv s="0">
    <fb>132.88</fb>
    <v>0</v>
  </rv>
  <rv s="0">
    <fb>132.86000000000001</fb>
    <v>0</v>
  </rv>
  <rv s="2">
    <v>https://www.bing.com/financeapi/forcetrigger?t=a1vtr7&amp;q=BATS%3aITA&amp;form=skydnc</v>
    <v>Learn more on Bing</v>
  </rv>
  <rv s="3">
    <v>2</v>
    <v>iShares:US Aer&amp;Def ETF (BATS:ITA)</v>
    <v>4</v>
    <v>5</v>
    <v>Finance</v>
    <v>6</v>
    <v>en-US</v>
    <v>a1vtr7</v>
    <v>268435456</v>
    <v>1</v>
    <v>Powered by Refinitiv</v>
    <v>220.79</v>
    <v>129.13999999999999</v>
    <v>0.93079999999999996</v>
    <v>5.82</v>
    <v>2.7947000000000003E-2</v>
    <v>USD</v>
    <v>CBOE BZX Exchange</v>
    <v>BATS</v>
    <v>3.8E-3</v>
    <v>214.66</v>
    <v>ETF</v>
    <v>46010.963317904687</v>
    <v>1894</v>
    <v>209.09</v>
    <v>12037121081.129999</v>
    <v>iShares:US Aer&amp;Def ETF</v>
    <v>209.2</v>
    <v>208.25</v>
    <v>214.07</v>
    <v>ITA</v>
    <v>iShares:US Aer&amp;Def ETF (BATS:ITA)</v>
    <v>256</v>
    <v>514863</v>
  </rv>
  <rv s="4">
    <v>1895</v>
  </rv>
  <rv s="0">
    <fb>203.13</fb>
    <v>0</v>
  </rv>
  <rv s="0">
    <fb>198.77</fb>
    <v>0</v>
  </rv>
  <rv s="0">
    <fb>198.23</fb>
    <v>0</v>
  </rv>
  <rv s="0">
    <fb>200.69</fb>
    <v>0</v>
  </rv>
  <rv s="0">
    <fb>202.4</fb>
    <v>0</v>
  </rv>
  <rv s="0">
    <fb>203.7</fb>
    <v>0</v>
  </rv>
  <rv s="0">
    <fb>205.1</fb>
    <v>0</v>
  </rv>
  <rv s="0">
    <fb>199.24</fb>
    <v>0</v>
  </rv>
  <rv s="0">
    <fb>201.31</fb>
    <v>0</v>
  </rv>
  <rv s="0">
    <fb>201.62</fb>
    <v>0</v>
  </rv>
  <rv s="0">
    <fb>204.67</fb>
    <v>0</v>
  </rv>
  <rv s="0">
    <fb>202.41</fb>
    <v>0</v>
  </rv>
  <rv s="0">
    <fb>204.35</fb>
    <v>0</v>
  </rv>
  <rv s="0">
    <fb>202.63</fb>
    <v>0</v>
  </rv>
  <rv s="0">
    <fb>204.44</fb>
    <v>0</v>
  </rv>
  <rv s="0">
    <fb>208.27</fb>
    <v>0</v>
  </rv>
  <rv s="0">
    <fb>209.41</fb>
    <v>0</v>
  </rv>
  <rv s="0">
    <fb>209.64</fb>
    <v>0</v>
  </rv>
  <rv s="0">
    <fb>207.95</fb>
    <v>0</v>
  </rv>
  <rv s="0">
    <fb>204.8</fb>
    <v>0</v>
  </rv>
  <rv s="0">
    <fb>208.25</fb>
    <v>0</v>
  </rv>
  <rv s="2">
    <v>https://www.bing.com/financeapi/forcetrigger?t=a2145r&amp;q=ARCX%3aPPA&amp;form=skydnc</v>
    <v>Learn more on Bing</v>
  </rv>
  <rv s="3">
    <v>2</v>
    <v>Invesco Aerospace (ARCX:PPA)</v>
    <v>4</v>
    <v>5</v>
    <v>Finance</v>
    <v>7</v>
    <v>en-US</v>
    <v>a2145r</v>
    <v>268435456</v>
    <v>1</v>
    <v>Powered by Refinitiv</v>
    <v>160.37</v>
    <v>100.39</v>
    <v>0.80220000000000002</v>
    <v>3.57</v>
    <v>2.3376000000000001E-2</v>
    <v>USD</v>
    <v>NYSE Arca</v>
    <v>ARCX</v>
    <v>5.7999999999999996E-3</v>
    <v>156.69970000000001</v>
    <v>ETF</v>
    <v>46010.999664212497</v>
    <v>1918</v>
    <v>153.09</v>
    <v>6551638105</v>
    <v>Invesco Aerospace</v>
    <v>153.09</v>
    <v>152.72</v>
    <v>156.29</v>
    <v>PPA</v>
    <v>Invesco Aerospace (ARCX:PPA)</v>
    <v>5</v>
    <v>156393</v>
  </rv>
  <rv s="4">
    <v>1919</v>
  </rv>
  <rv s="0">
    <fb>148.94999999999999</fb>
    <v>0</v>
  </rv>
  <rv s="0">
    <fb>146.12</fb>
    <v>0</v>
  </rv>
  <rv s="0">
    <fb>146.28</fb>
    <v>0</v>
  </rv>
  <rv s="0">
    <fb>147.62</fb>
    <v>0</v>
  </rv>
  <rv s="0">
    <fb>149.33000000000001</fb>
    <v>0</v>
  </rv>
  <rv s="0">
    <fb>150.15</fb>
    <v>0</v>
  </rv>
  <rv s="0">
    <fb>151.31</fb>
    <v>0</v>
  </rv>
  <rv s="0">
    <fb>147.55000000000001</fb>
    <v>0</v>
  </rv>
  <rv s="0">
    <fb>149.13</fb>
    <v>0</v>
  </rv>
  <rv s="0">
    <fb>149.84</fb>
    <v>0</v>
  </rv>
  <rv s="0">
    <fb>151.85</fb>
    <v>0</v>
  </rv>
  <rv s="0">
    <fb>152</fb>
    <v>0</v>
  </rv>
  <rv s="0">
    <fb>150.85</fb>
    <v>0</v>
  </rv>
  <rv s="0">
    <fb>152.37</fb>
    <v>0</v>
  </rv>
  <rv s="0">
    <fb>154.63</fb>
    <v>0</v>
  </rv>
  <rv s="0">
    <fb>154.1</fb>
    <v>0</v>
  </rv>
  <rv s="0">
    <fb>154.31</fb>
    <v>0</v>
  </rv>
  <rv s="0">
    <fb>153.16999999999999</fb>
    <v>0</v>
  </rv>
  <rv s="0">
    <fb>151.38</fb>
    <v>0</v>
  </rv>
  <rv s="0">
    <fb>152.72</fb>
    <v>0</v>
  </rv>
  <rv s="2">
    <v>https://www.bing.com/financeapi/forcetrigger?t=a265ec&amp;q=ARCX%3aXAR&amp;form=skydnc</v>
    <v>Learn more on Bing</v>
  </rv>
  <rv s="3">
    <v>2</v>
    <v>SS SPDR S&amp;P Aero&amp;Def (ARCX:XAR)</v>
    <v>4</v>
    <v>5</v>
    <v>Finance</v>
    <v>7</v>
    <v>en-US</v>
    <v>a265ec</v>
    <v>268435456</v>
    <v>1</v>
    <v>Powered by Refinitiv</v>
    <v>254.08500000000001</v>
    <v>137.0942</v>
    <v>1.1028</v>
    <v>8.14</v>
    <v>3.4915000000000002E-2</v>
    <v>USD</v>
    <v>NYSE Arca</v>
    <v>ARCX</v>
    <v>3.4999999999999996E-3</v>
    <v>242.03</v>
    <v>ETF</v>
    <v>46010.881944444445</v>
    <v>1941</v>
    <v>234.23</v>
    <v>4449015161.2200003</v>
    <v>SS SPDR S&amp;P Aero&amp;Def</v>
    <v>234.23</v>
    <v>233.14</v>
    <v>241.28</v>
    <v>XAR</v>
    <v>SS SPDR S&amp;P Aero&amp;Def (ARCX:XAR)</v>
    <v>37</v>
    <v>117697</v>
  </rv>
  <rv s="4">
    <v>1942</v>
  </rv>
  <rv s="0">
    <fb>224.19</fb>
    <v>0</v>
  </rv>
  <rv s="0">
    <fb>218.75</fb>
    <v>0</v>
  </rv>
  <rv s="0">
    <fb>220.08</fb>
    <v>0</v>
  </rv>
  <rv s="0">
    <fb>223.63</fb>
    <v>0</v>
  </rv>
  <rv s="0">
    <fb>227.65</fb>
    <v>0</v>
  </rv>
  <rv s="0">
    <fb>229.3</fb>
    <v>0</v>
  </rv>
  <rv s="0">
    <fb>230.29</fb>
    <v>0</v>
  </rv>
  <rv s="0">
    <fb>224.26</fb>
    <v>0</v>
  </rv>
  <rv s="0">
    <fb>225.86</fb>
    <v>0</v>
  </rv>
  <rv s="0">
    <fb>227.91</fb>
    <v>0</v>
  </rv>
  <rv s="0">
    <fb>233.65</fb>
    <v>0</v>
  </rv>
  <rv s="0">
    <fb>230.82</fb>
    <v>0</v>
  </rv>
  <rv s="0">
    <fb>233.15</fb>
    <v>0</v>
  </rv>
  <rv s="0">
    <fb>231.15</fb>
    <v>0</v>
  </rv>
  <rv s="0">
    <fb>233.75</fb>
    <v>0</v>
  </rv>
  <rv s="0">
    <fb>239.28</fb>
    <v>0</v>
  </rv>
  <rv s="0">
    <fb>236.69</fb>
    <v>0</v>
  </rv>
  <rv s="0">
    <fb>234.34</fb>
    <v>0</v>
  </rv>
  <rv s="0">
    <fb>232.85</fb>
    <v>0</v>
  </rv>
  <rv s="0">
    <fb>228.93</fb>
    <v>0</v>
  </rv>
  <rv s="0">
    <fb>233.14</fb>
    <v>0</v>
  </rv>
  <rv s="2">
    <v>https://www.bing.com/financeapi/forcetrigger?t=a1vzmw&amp;q=BATS%3aIYT&amp;form=skydnc</v>
    <v>Learn more on Bing</v>
  </rv>
  <rv s="3">
    <v>2</v>
    <v>iShares:US Transportatn (BATS:IYT)</v>
    <v>4</v>
    <v>5</v>
    <v>Finance</v>
    <v>11</v>
    <v>en-US</v>
    <v>a1vzmw</v>
    <v>268435456</v>
    <v>1</v>
    <v>Powered by Refinitiv</v>
    <v>77.150000000000006</v>
    <v>54.02</v>
    <v>0.96989999999999998</v>
    <v>0.01</v>
    <v>1.3329999999999999E-4</v>
    <v>USD</v>
    <v>CBOE BZX Exchange</v>
    <v>BATS</v>
    <v>3.8E-3</v>
    <v>75.059899999999999</v>
    <v>ETF</v>
    <v>46010.963312846878</v>
    <v>1965</v>
    <v>74.23</v>
    <v>802514478.13999999</v>
    <v>iShares:US Transportatn</v>
    <v>74.92</v>
    <v>75.02</v>
    <v>75.03</v>
    <v>IYT</v>
    <v>iShares:US Transportatn (BATS:IYT)</v>
    <v>7</v>
    <v>603979</v>
  </rv>
  <rv s="4">
    <v>1966</v>
  </rv>
  <rv s="0">
    <fb>69.73</fb>
    <v>0</v>
  </rv>
  <rv s="0">
    <fb>68.14</fb>
    <v>0</v>
  </rv>
  <rv s="0">
    <fb>70.03</fb>
    <v>0</v>
  </rv>
  <rv s="0">
    <fb>70.180000000000007</fb>
    <v>0</v>
  </rv>
  <rv s="0">
    <fb>71.45</fb>
    <v>0</v>
  </rv>
  <rv s="0">
    <fb>72.44</fb>
    <v>0</v>
  </rv>
  <rv s="0">
    <fb>72.98</fb>
    <v>0</v>
  </rv>
  <rv s="0">
    <fb>72.84</fb>
    <v>0</v>
  </rv>
  <rv s="0">
    <fb>73.41</fb>
    <v>0</v>
  </rv>
  <rv s="0">
    <fb>75.27</fb>
    <v>0</v>
  </rv>
  <rv s="0">
    <fb>75.39</fb>
    <v>0</v>
  </rv>
  <rv s="0">
    <fb>75.790000000000006</fb>
    <v>0</v>
  </rv>
  <rv s="0">
    <fb>75.88</fb>
    <v>0</v>
  </rv>
  <rv s="0">
    <fb>75.06</fb>
    <v>0</v>
  </rv>
  <rv s="0">
    <fb>75.83</fb>
    <v>0</v>
  </rv>
  <rv s="0">
    <fb>76.45</fb>
    <v>0</v>
  </rv>
  <rv s="0">
    <fb>76.38</fb>
    <v>0</v>
  </rv>
  <rv s="0">
    <fb>75.72</fb>
    <v>0</v>
  </rv>
  <rv s="0">
    <fb>75.319999999999993</fb>
    <v>0</v>
  </rv>
  <rv s="0">
    <fb>74.61</fb>
    <v>0</v>
  </rv>
  <rv s="0">
    <fb>75.02</fb>
    <v>0</v>
  </rv>
  <rv s="2">
    <v>https://www.bing.com/financeapi/forcetrigger?t=a26boc&amp;q=ARCX%3aXTN&amp;form=skydnc</v>
    <v>Learn more on Bing</v>
  </rv>
  <rv s="3">
    <v>2</v>
    <v>SPDR S&amp;P Trans (ARCX:XTN)</v>
    <v>4</v>
    <v>5</v>
    <v>Finance</v>
    <v>6</v>
    <v>en-US</v>
    <v>a26boc</v>
    <v>268435456</v>
    <v>1</v>
    <v>Powered by Refinitiv</v>
    <v>95.66</v>
    <v>61.95</v>
    <v>1.2783</v>
    <v>-0.2442</v>
    <v>-2.6159999999999998E-3</v>
    <v>USD</v>
    <v>NYSE Arca</v>
    <v>ARCX</v>
    <v>3.4999999999999996E-3</v>
    <v>93.24</v>
    <v>ETF</v>
    <v>46010.88199321719</v>
    <v>1989</v>
    <v>92.26</v>
    <v>139746310.31</v>
    <v>SPDR S&amp;P Trans</v>
    <v>93.09</v>
    <v>93.344200000000001</v>
    <v>93.1</v>
    <v>XTN</v>
    <v>SPDR S&amp;P Trans (ARCX:XTN)</v>
    <v>9644</v>
    <v>15353</v>
  </rv>
  <rv s="4">
    <v>1990</v>
  </rv>
  <rv s="0">
    <fb>80.547700000000006</fb>
    <v>0</v>
  </rv>
  <rv s="0">
    <fb>79.2</fb>
    <v>0</v>
  </rv>
  <rv s="0">
    <fb>82.2</fb>
    <v>0</v>
  </rv>
  <rv s="0">
    <fb>82.97</fb>
    <v>0</v>
  </rv>
  <rv s="0">
    <fb>85.308700000000002</fb>
    <v>0</v>
  </rv>
  <rv s="0">
    <fb>86.307199999999995</fb>
    <v>0</v>
  </rv>
  <rv s="0">
    <fb>86.823999999999998</fb>
    <v>0</v>
  </rv>
  <rv s="0">
    <fb>86.9</fb>
    <v>0</v>
  </rv>
  <rv s="0">
    <fb>88.14</fb>
    <v>0</v>
  </rv>
  <rv s="0">
    <fb>90.62</fb>
    <v>0</v>
  </rv>
  <rv s="0">
    <fb>90.81</fb>
    <v>0</v>
  </rv>
  <rv s="0">
    <fb>92</fb>
    <v>0</v>
  </rv>
  <rv s="0">
    <fb>91.88</fb>
    <v>0</v>
  </rv>
  <rv s="0">
    <fb>94.11</fb>
    <v>0</v>
  </rv>
  <rv s="0">
    <fb>94.559200000000004</fb>
    <v>0</v>
  </rv>
  <rv s="0">
    <fb>94.06</fb>
    <v>0</v>
  </rv>
  <rv s="0">
    <fb>93.614500000000007</fb>
    <v>0</v>
  </rv>
  <rv s="0">
    <fb>93.587100000000007</fb>
    <v>0</v>
  </rv>
  <rv s="0">
    <fb>93.344200000000001</fb>
    <v>0</v>
  </rv>
  <rv s="2">
    <v>https://www.bing.com/financeapi/forcetrigger?t=a25d7w&amp;q=ARCX%3aVIS&amp;form=skydnc</v>
    <v>Learn more on Bing</v>
  </rv>
  <rv s="3">
    <v>2</v>
    <v>Vanguard Indus Idx;ETF (ARCX:VIS)</v>
    <v>4</v>
    <v>5</v>
    <v>Finance</v>
    <v>7</v>
    <v>en-US</v>
    <v>a25d7w</v>
    <v>268435456</v>
    <v>1</v>
    <v>Powered by Refinitiv</v>
    <v>306.49</v>
    <v>213.25649999999999</v>
    <v>1.0663</v>
    <v>2.75</v>
    <v>9.2589999999999999E-3</v>
    <v>USD</v>
    <v>NYSE Arca</v>
    <v>ARCX</v>
    <v>8.9999999999999998E-4</v>
    <v>300.26</v>
    <v>ETF</v>
    <v>46010.916849872658</v>
    <v>2011</v>
    <v>297.73</v>
    <v>6311815205</v>
    <v>Vanguard Indus Idx;ETF</v>
    <v>297.73</v>
    <v>297</v>
    <v>299.75</v>
    <v>VIS</v>
    <v>Vanguard Indus Idx;ETF (ARCX:VIS)</v>
    <v>64986</v>
    <v>63821</v>
  </rv>
  <rv s="4">
    <v>2012</v>
  </rv>
  <rv s="0">
    <fb>288.48</fb>
    <v>0</v>
  </rv>
  <rv s="0">
    <fb>283.32</fb>
    <v>0</v>
  </rv>
  <rv s="0">
    <fb>287.32</fb>
    <v>0</v>
  </rv>
  <rv s="0">
    <fb>288.83999999999997</fb>
    <v>0</v>
  </rv>
  <rv s="0">
    <fb>293.23</fb>
    <v>0</v>
  </rv>
  <rv s="0">
    <fb>295.11</fb>
    <v>0</v>
  </rv>
  <rv s="0">
    <fb>296.95</fb>
    <v>0</v>
  </rv>
  <rv s="0">
    <fb>292.86</fb>
    <v>0</v>
  </rv>
  <rv s="0">
    <fb>294.81</fb>
    <v>0</v>
  </rv>
  <rv s="0">
    <fb>297.64</fb>
    <v>0</v>
  </rv>
  <rv s="0">
    <fb>299.83999999999997</fb>
    <v>0</v>
  </rv>
  <rv s="0">
    <fb>299.14999999999998</fb>
    <v>0</v>
  </rv>
  <rv s="0">
    <fb>298.49</fb>
    <v>0</v>
  </rv>
  <rv s="0">
    <fb>296.02</fb>
    <v>0</v>
  </rv>
  <rv s="0">
    <fb>301.87</fb>
    <v>0</v>
  </rv>
  <rv s="0">
    <fb>305.47000000000003</fb>
    <v>0</v>
  </rv>
  <rv s="0">
    <fb>302.2</fb>
    <v>0</v>
  </rv>
  <rv s="0">
    <fb>302.37</fb>
    <v>0</v>
  </rv>
  <rv s="0">
    <fb>300.64999999999998</fb>
    <v>0</v>
  </rv>
  <rv s="0">
    <fb>294.76</fb>
    <v>0</v>
  </rv>
  <rv s="0">
    <fb>297</fb>
    <v>0</v>
  </rv>
  <rv s="2">
    <v>https://www.bing.com/financeapi/forcetrigger?t=a1svqh&amp;q=ARCX%3aFIDU&amp;form=skydnc</v>
    <v>Learn more on Bing</v>
  </rv>
  <rv s="3">
    <v>2</v>
    <v>Fidelity MSCI Industrial (ARCX:FIDU)</v>
    <v>4</v>
    <v>5</v>
    <v>Finance</v>
    <v>7</v>
    <v>en-US</v>
    <v>a1svqh</v>
    <v>268435456</v>
    <v>1</v>
    <v>Powered by Refinitiv</v>
    <v>84.596299999999999</v>
    <v>59.160899999999998</v>
    <v>1.0584</v>
    <v>0.78300000000000003</v>
    <v>9.5479999999999992E-3</v>
    <v>USD</v>
    <v>NYSE Arca</v>
    <v>ARCX</v>
    <v>8.4000000000000003E-4</v>
    <v>82.919899999999998</v>
    <v>ETF</v>
    <v>46010.881991099217</v>
    <v>2035</v>
    <v>82.18</v>
    <v>1496531741.1800001</v>
    <v>Fidelity MSCI Industrial</v>
    <v>82.2</v>
    <v>82.007000000000005</v>
    <v>82.79</v>
    <v>FIDU</v>
    <v>Fidelity MSCI Industrial (ARCX:FIDU)</v>
    <v>46</v>
    <v>58930</v>
  </rv>
  <rv s="4">
    <v>2036</v>
  </rv>
  <rv s="0">
    <fb>79.849999999999994</fb>
    <v>0</v>
  </rv>
  <rv s="0">
    <fb>78.27</fb>
    <v>0</v>
  </rv>
  <rv s="0">
    <fb>79.87</fb>
    <v>0</v>
  </rv>
  <rv s="0">
    <fb>81.010000000000005</fb>
    <v>0</v>
  </rv>
  <rv s="0">
    <fb>81.56</fb>
    <v>0</v>
  </rv>
  <rv s="0">
    <fb>81.98</fb>
    <v>0</v>
  </rv>
  <rv s="0">
    <fb>80.819999999999993</fb>
    <v>0</v>
  </rv>
  <rv s="0">
    <fb>81.42</fb>
    <v>0</v>
  </rv>
  <rv s="0">
    <fb>82.86</fb>
    <v>0</v>
  </rv>
  <rv s="0">
    <fb>82.54</fb>
    <v>0</v>
  </rv>
  <rv s="0">
    <fb>82.4</fb>
    <v>0</v>
  </rv>
  <rv s="0">
    <fb>81.75</fb>
    <v>0</v>
  </rv>
  <rv s="0">
    <fb>83.303299999999993</fb>
    <v>0</v>
  </rv>
  <rv s="0">
    <fb>84.33</fb>
    <v>0</v>
  </rv>
  <rv s="0">
    <fb>83.427000000000007</fb>
    <v>0</v>
  </rv>
  <rv s="0">
    <fb>83.37</fb>
    <v>0</v>
  </rv>
  <rv s="0">
    <fb>81.496300000000005</fb>
    <v>0</v>
  </rv>
  <rv s="0">
    <fb>82.15</fb>
    <v>0</v>
  </rv>
  <rv s="2">
    <v>https://www.bing.com/financeapi/forcetrigger?t=a268nm&amp;q=ARCX%3aXME&amp;form=skydnc</v>
    <v>Learn more on Bing</v>
  </rv>
  <rv s="3">
    <v>2</v>
    <v>SS SPDR S&amp;P Metals&amp;Mng (ARCX:XME)</v>
    <v>4</v>
    <v>5</v>
    <v>Finance</v>
    <v>7</v>
    <v>en-US</v>
    <v>a268nm</v>
    <v>268435456</v>
    <v>1</v>
    <v>Powered by Refinitiv</v>
    <v>111.08710000000001</v>
    <v>45.89</v>
    <v>1.0634999999999999</v>
    <v>2.84</v>
    <v>2.7753E-2</v>
    <v>USD</v>
    <v>NYSE Arca</v>
    <v>ARCX</v>
    <v>3.4999999999999996E-3</v>
    <v>106.26</v>
    <v>ETF</v>
    <v>46010.963317303125</v>
    <v>2056</v>
    <v>102.05</v>
    <v>2673302463.5500002</v>
    <v>SS SPDR S&amp;P Metals&amp;Mng</v>
    <v>102.05</v>
    <v>102.33</v>
    <v>105.17</v>
    <v>XME</v>
    <v>SS SPDR S&amp;P Metals&amp;Mng (ARCX:XME)</v>
    <v>439</v>
    <v>2273787</v>
  </rv>
  <rv s="4">
    <v>2057</v>
  </rv>
  <rv s="0">
    <fb>91.33</fb>
    <v>0</v>
  </rv>
  <rv s="0">
    <fb>87.44</fb>
    <v>0</v>
  </rv>
  <rv s="0">
    <fb>88.68</fb>
    <v>0</v>
  </rv>
  <rv s="0">
    <fb>91.42</fb>
    <v>0</v>
  </rv>
  <rv s="0">
    <fb>92.89</fb>
    <v>0</v>
  </rv>
  <rv s="0">
    <fb>95.34</fb>
    <v>0</v>
  </rv>
  <rv s="0">
    <fb>97.09</fb>
    <v>0</v>
  </rv>
  <rv s="0">
    <fb>95.81</fb>
    <v>0</v>
  </rv>
  <rv s="0">
    <fb>96.6</fb>
    <v>0</v>
  </rv>
  <rv s="0">
    <fb>99.67</fb>
    <v>0</v>
  </rv>
  <rv s="0">
    <fb>99.74</fb>
    <v>0</v>
  </rv>
  <rv s="0">
    <fb>98.2</fb>
    <v>0</v>
  </rv>
  <rv s="0">
    <fb>99.47</fb>
    <v>0</v>
  </rv>
  <rv s="0">
    <fb>100.15</fb>
    <v>0</v>
  </rv>
  <rv s="0">
    <fb>104.88</fb>
    <v>0</v>
  </rv>
  <rv s="0">
    <fb>102.14</fb>
    <v>0</v>
  </rv>
  <rv s="0">
    <fb>100.85</fb>
    <v>0</v>
  </rv>
  <rv s="0">
    <fb>100.91</fb>
    <v>0</v>
  </rv>
  <rv s="0">
    <fb>101.03</fb>
    <v>0</v>
  </rv>
  <rv s="0">
    <fb>102.33</fb>
    <v>0</v>
  </rv>
  <rv s="2">
    <v>https://www.bing.com/financeapi/forcetrigger?t=a1tqp2&amp;q=ARCX%3aGDX&amp;form=skydnc</v>
    <v>Learn more on Bing</v>
  </rv>
  <rv s="3">
    <v>2</v>
    <v>VanEck:Gold Miners (ARCX:GDX)</v>
    <v>4</v>
    <v>5</v>
    <v>Finance</v>
    <v>6</v>
    <v>en-US</v>
    <v>a1tqp2</v>
    <v>268435456</v>
    <v>1</v>
    <v>Powered by Refinitiv</v>
    <v>88.69</v>
    <v>33.42</v>
    <v>0.94540000000000002</v>
    <v>2.12</v>
    <v>2.4746000000000001E-2</v>
    <v>USD</v>
    <v>NYSE Arca</v>
    <v>ARCX</v>
    <v>5.1000000000000004E-3</v>
    <v>88.69</v>
    <v>ETF</v>
    <v>46010.963321435156</v>
    <v>2079</v>
    <v>85.56</v>
    <v>24371933660.580002</v>
    <v>VanEck:Gold Miners</v>
    <v>85.58</v>
    <v>85.67</v>
    <v>87.79</v>
    <v>GDX</v>
    <v>VanEck:Gold Miners (ARCX:GDX)</v>
    <v>108657</v>
    <v>22362882</v>
  </rv>
  <rv s="4">
    <v>2080</v>
  </rv>
  <rv s="0">
    <fb>76.39</fb>
    <v>0</v>
  </rv>
  <rv s="0">
    <fb>72.97</fb>
    <v>0</v>
  </rv>
  <rv s="0">
    <fb>77.959999999999994</fb>
    <v>0</v>
  </rv>
  <rv s="0">
    <fb>77.8</fb>
    <v>0</v>
  </rv>
  <rv s="0">
    <fb>81.55</fb>
    <v>0</v>
  </rv>
  <rv s="0">
    <fb>83.23</fb>
    <v>0</v>
  </rv>
  <rv s="0">
    <fb>82.82</fb>
    <v>0</v>
  </rv>
  <rv s="0">
    <fb>81.61</fb>
    <v>0</v>
  </rv>
  <rv s="0">
    <fb>81.06</fb>
    <v>0</v>
  </rv>
  <rv s="0">
    <fb>81.39</fb>
    <v>0</v>
  </rv>
  <rv s="0">
    <fb>81.03</fb>
    <v>0</v>
  </rv>
  <rv s="0">
    <fb>79.16</fb>
    <v>0</v>
  </rv>
  <rv s="0">
    <fb>81.94</fb>
    <v>0</v>
  </rv>
  <rv s="0">
    <fb>83.32</fb>
    <v>0</v>
  </rv>
  <rv s="0">
    <fb>86.26</fb>
    <v>0</v>
  </rv>
  <rv s="0">
    <fb>85.66</fb>
    <v>0</v>
  </rv>
  <rv s="0">
    <fb>84.85</fb>
    <v>0</v>
  </rv>
  <rv s="0">
    <fb>84.83</fb>
    <v>0</v>
  </rv>
  <rv s="0">
    <fb>85.83</fb>
    <v>0</v>
  </rv>
  <rv s="0">
    <fb>85.67</fb>
    <v>0</v>
  </rv>
  <rv s="2">
    <v>https://www.bing.com/financeapi/forcetrigger?t=a22yp2&amp;q=ARCX%3aSIL&amp;form=skydnc</v>
    <v>Learn more on Bing</v>
  </rv>
  <rv s="3">
    <v>2</v>
    <v>Glbl X Silver Miners ETF (ARCX:SIL)</v>
    <v>4</v>
    <v>5</v>
    <v>Finance</v>
    <v>7</v>
    <v>en-US</v>
    <v>a22yp2</v>
    <v>268435456</v>
    <v>1</v>
    <v>Powered by Refinitiv</v>
    <v>85.62</v>
    <v>31.37</v>
    <v>0.90739999999999998</v>
    <v>2.77</v>
    <v>3.3797000000000001E-2</v>
    <v>USD</v>
    <v>NYSE Arca</v>
    <v>ARCX</v>
    <v>6.5000000000000006E-3</v>
    <v>85.61</v>
    <v>ETF</v>
    <v>46010.881944444445</v>
    <v>2102</v>
    <v>82.24</v>
    <v>4151362229.0999999</v>
    <v>Glbl X Silver Miners ETF</v>
    <v>82.27</v>
    <v>81.96</v>
    <v>84.73</v>
    <v>SIL</v>
    <v>Glbl X Silver Miners ETF (ARCX:SIL)</v>
    <v>2912</v>
    <v>2179410</v>
  </rv>
  <rv s="4">
    <v>2103</v>
  </rv>
  <rv s="0">
    <fb>68.42</fb>
    <v>0</v>
  </rv>
  <rv s="0">
    <fb>64.73</fb>
    <v>0</v>
  </rv>
  <rv s="0">
    <fb>65</fb>
    <v>0</v>
  </rv>
  <rv s="0">
    <fb>68.650000000000006</fb>
    <v>0</v>
  </rv>
  <rv s="0">
    <fb>69.36</fb>
    <v>0</v>
  </rv>
  <rv s="0">
    <fb>73.400000000000006</fb>
    <v>0</v>
  </rv>
  <rv s="0">
    <fb>77.66</fb>
    <v>0</v>
  </rv>
  <rv s="0">
    <fb>78.069999999999993</fb>
    <v>0</v>
  </rv>
  <rv s="0">
    <fb>77.11</fb>
    <v>0</v>
  </rv>
  <rv s="0">
    <fb>76.459999999999994</fb>
    <v>0</v>
  </rv>
  <rv s="0">
    <fb>76.069999999999993</fb>
    <v>0</v>
  </rv>
  <rv s="0">
    <fb>74.739999999999995</fb>
    <v>0</v>
  </rv>
  <rv s="0">
    <fb>78.47</fb>
    <v>0</v>
  </rv>
  <rv s="0">
    <fb>79.760000000000005</fb>
    <v>0</v>
  </rv>
  <rv s="0">
    <fb>82.48</fb>
    <v>0</v>
  </rv>
  <rv s="0">
    <fb>82.24</fb>
    <v>0</v>
  </rv>
  <rv s="0">
    <fb>81.790000000000006</fb>
    <v>0</v>
  </rv>
  <rv s="0">
    <fb>82.6</fb>
    <v>0</v>
  </rv>
  <rv s="0">
    <fb>81.96</fb>
    <v>0</v>
  </rv>
  <rv s="2">
    <v>https://www.bing.com/financeapi/forcetrigger?t=a2344c&amp;q=ARCX%3aSLX&amp;form=skydnc</v>
    <v>Learn more on Bing</v>
  </rv>
  <rv s="3">
    <v>2</v>
    <v>VanEck:Steel (ARCX:SLX)</v>
    <v>4</v>
    <v>5</v>
    <v>Finance</v>
    <v>7</v>
    <v>en-US</v>
    <v>a2344c</v>
    <v>268435456</v>
    <v>1</v>
    <v>Powered by Refinitiv</v>
    <v>86.33</v>
    <v>51.69</v>
    <v>1.1369</v>
    <v>-0.17</v>
    <v>-2.003E-3</v>
    <v>USD</v>
    <v>NYSE Arca</v>
    <v>ARCX</v>
    <v>5.6000000000000008E-3</v>
    <v>85.28</v>
    <v>ETF</v>
    <v>46010.881944444445</v>
    <v>2124</v>
    <v>84.27</v>
    <v>125665510.34</v>
    <v>VanEck:Steel</v>
    <v>84.98</v>
    <v>84.86</v>
    <v>84.69</v>
    <v>SLX</v>
    <v>VanEck:Steel (ARCX:SLX)</v>
    <v>46796</v>
    <v>43836</v>
  </rv>
  <rv s="4">
    <v>2125</v>
  </rv>
  <rv s="0">
    <fb>77.034000000000006</fb>
    <v>0</v>
  </rv>
  <rv s="0">
    <fb>75.822500000000005</fb>
    <v>0</v>
  </rv>
  <rv s="0">
    <fb>77.36</fb>
    <v>0</v>
  </rv>
  <rv s="0">
    <fb>77.97</fb>
    <v>0</v>
  </rv>
  <rv s="0">
    <fb>79.77</fb>
    <v>0</v>
  </rv>
  <rv s="0">
    <fb>80.930000000000007</fb>
    <v>0</v>
  </rv>
  <rv s="0">
    <fb>80.86</fb>
    <v>0</v>
  </rv>
  <rv s="0">
    <fb>81.09</fb>
    <v>0</v>
  </rv>
  <rv s="0">
    <fb>81.290000000000006</fb>
    <v>0</v>
  </rv>
  <rv s="0">
    <fb>83.51</fb>
    <v>0</v>
  </rv>
  <rv s="0">
    <fb>81.691199999999995</fb>
    <v>0</v>
  </rv>
  <rv s="0">
    <fb>81.349999999999994</fb>
    <v>0</v>
  </rv>
  <rv s="0">
    <fb>81.5</fb>
    <v>0</v>
  </rv>
  <rv s="0">
    <fb>83.87</fb>
    <v>0</v>
  </rv>
  <rv s="0">
    <fb>85.8</fb>
    <v>0</v>
  </rv>
  <rv s="0">
    <fb>85.16</fb>
    <v>0</v>
  </rv>
  <rv s="0">
    <fb>85.05</fb>
    <v>0</v>
  </rv>
  <rv s="0">
    <fb>84.79</fb>
    <v>0</v>
  </rv>
  <rv s="0">
    <fb>85.1</fb>
    <v>0</v>
  </rv>
  <rv s="0">
    <fb>84.86</fb>
    <v>0</v>
  </rv>
  <rv s="2">
    <v>https://www.bing.com/financeapi/forcetrigger?t=a1zvec&amp;q=BATS%3aPICK&amp;form=skydnc</v>
    <v>Learn more on Bing</v>
  </rv>
  <rv s="3">
    <v>2</v>
    <v>iShares:MSCI Gl M&amp;MP (BATS:PICK)</v>
    <v>4</v>
    <v>5</v>
    <v>Finance</v>
    <v>11</v>
    <v>en-US</v>
    <v>a1zvec</v>
    <v>268435456</v>
    <v>1</v>
    <v>Powered by Refinitiv</v>
    <v>50.85</v>
    <v>29.8047</v>
    <v>0.62609999999999999</v>
    <v>0.5</v>
    <v>1.0119E-2</v>
    <v>USD</v>
    <v>CBOE BZX Exchange</v>
    <v>BATS</v>
    <v>3.9000000000000003E-3</v>
    <v>50.08</v>
    <v>ETF</v>
    <v>46010.883807314065</v>
    <v>2147</v>
    <v>49.3934</v>
    <v>885803955.65999997</v>
    <v>iShares:MSCI Gl M&amp;MP</v>
    <v>49.63</v>
    <v>49.41</v>
    <v>49.91</v>
    <v>PICK</v>
    <v>iShares:MSCI Gl M&amp;MP (BATS:PICK)</v>
    <v>39</v>
    <v>398495</v>
  </rv>
  <rv s="4">
    <v>2148</v>
  </rv>
  <rv s="0">
    <fb>44.57</fb>
    <v>0</v>
  </rv>
  <rv s="0">
    <fb>44.91</fb>
    <v>0</v>
  </rv>
  <rv s="0">
    <fb>45.63</fb>
    <v>0</v>
  </rv>
  <rv s="0">
    <fb>46.094999999999999</fb>
    <v>0</v>
  </rv>
  <rv s="0">
    <fb>46.96</fb>
    <v>0</v>
  </rv>
  <rv s="0">
    <fb>47.81</fb>
    <v>0</v>
  </rv>
  <rv s="0">
    <fb>49.05</fb>
    <v>0</v>
  </rv>
  <rv s="0">
    <fb>49.09</fb>
    <v>0</v>
  </rv>
  <rv s="0">
    <fb>49.16</fb>
    <v>0</v>
  </rv>
  <rv s="0">
    <fb>48.89</fb>
    <v>0</v>
  </rv>
  <rv s="0">
    <fb>48.72</fb>
    <v>0</v>
  </rv>
  <rv s="0">
    <fb>49.84</fb>
    <v>0</v>
  </rv>
  <rv s="0">
    <fb>50.39</fb>
    <v>0</v>
  </rv>
  <rv s="0">
    <fb>49.74</fb>
    <v>0</v>
  </rv>
  <rv s="0">
    <fb>49.75</fb>
    <v>0</v>
  </rv>
  <rv s="0">
    <fb>48.78</fb>
    <v>0</v>
  </rv>
  <rv s="0">
    <fb>49.2</fb>
    <v>0</v>
  </rv>
  <rv s="0">
    <fb>49.41</fb>
    <v>0</v>
  </rv>
  <rv s="2">
    <v>https://www.bing.com/financeapi/forcetrigger?t=a256zr&amp;q=ARCX%3aVAW&amp;form=skydnc</v>
    <v>Learn more on Bing</v>
  </rv>
  <rv s="3">
    <v>2</v>
    <v>Vanguard Mtrls Idx;ETF (ARCX:VAW)</v>
    <v>4</v>
    <v>5</v>
    <v>Finance</v>
    <v>7</v>
    <v>en-US</v>
    <v>a256zr</v>
    <v>268435456</v>
    <v>1</v>
    <v>Powered by Refinitiv</v>
    <v>210.34</v>
    <v>161.43</v>
    <v>1.0293000000000001</v>
    <v>0.81</v>
    <v>3.9229999999999994E-3</v>
    <v>USD</v>
    <v>NYSE Arca</v>
    <v>ARCX</v>
    <v>8.9999999999999998E-4</v>
    <v>208.32499999999999</v>
    <v>ETF</v>
    <v>46010.944647128905</v>
    <v>2168</v>
    <v>206.56</v>
    <v>2793154450</v>
    <v>Vanguard Mtrls Idx;ETF</v>
    <v>206.56</v>
    <v>206.5</v>
    <v>207.31</v>
    <v>VAW</v>
    <v>Vanguard Mtrls Idx;ETF (ARCX:VAW)</v>
    <v>39825</v>
    <v>50439</v>
  </rv>
  <rv s="4">
    <v>2169</v>
  </rv>
  <rv s="0">
    <fb>193.48</fb>
    <v>0</v>
  </rv>
  <rv s="0">
    <fb>190.36</fb>
    <v>0</v>
  </rv>
  <rv s="0">
    <fb>194.54</fb>
    <v>0</v>
  </rv>
  <rv s="0">
    <fb>195.84</fb>
    <v>0</v>
  </rv>
  <rv s="0">
    <fb>198.92</fb>
    <v>0</v>
  </rv>
  <rv s="0">
    <fb>201.57</fb>
    <v>0</v>
  </rv>
  <rv s="0">
    <fb>203.05</fb>
    <v>0</v>
  </rv>
  <rv s="0">
    <fb>202.66</fb>
    <v>0</v>
  </rv>
  <rv s="0">
    <fb>201.1</fb>
    <v>0</v>
  </rv>
  <rv s="0">
    <fb>202.88</fb>
    <v>0</v>
  </rv>
  <rv s="0">
    <fb>201.98</fb>
    <v>0</v>
  </rv>
  <rv s="0">
    <fb>201.37</fb>
    <v>0</v>
  </rv>
  <rv s="0">
    <fb>198.95</fb>
    <v>0</v>
  </rv>
  <rv s="0">
    <fb>198.845</fb>
    <v>0</v>
  </rv>
  <rv s="0">
    <fb>202.51</fb>
    <v>0</v>
  </rv>
  <rv s="0">
    <fb>207.35</fb>
    <v>0</v>
  </rv>
  <rv s="0">
    <fb>207.07</fb>
    <v>0</v>
  </rv>
  <rv s="0">
    <fb>206.9</fb>
    <v>0</v>
  </rv>
  <rv s="0">
    <fb>206.47</fb>
    <v>0</v>
  </rv>
  <rv s="0">
    <fb>206.16</fb>
    <v>0</v>
  </rv>
  <rv s="0">
    <fb>206.5</fb>
    <v>0</v>
  </rv>
  <rv s="2">
    <v>https://www.bing.com/financeapi/forcetrigger?t=a25gmw&amp;q=ARCX%3aVNQ&amp;form=skydnc</v>
    <v>Learn more on Bing</v>
  </rv>
  <rv s="3">
    <v>2</v>
    <v>Vanguard RE Idx;ETF (ARCX:VNQ)</v>
    <v>4</v>
    <v>5</v>
    <v>Finance</v>
    <v>7</v>
    <v>en-US</v>
    <v>a25gmw</v>
    <v>268435456</v>
    <v>1</v>
    <v>Powered by Refinitiv</v>
    <v>94.95</v>
    <v>76.92</v>
    <v>1.0354000000000001</v>
    <v>-0.35</v>
    <v>-3.9360000000000003E-3</v>
    <v>USD</v>
    <v>NYSE Arca</v>
    <v>ARCX</v>
    <v>1.2999999999999999E-3</v>
    <v>89.169899999999998</v>
    <v>ETF</v>
    <v>46010.988309120316</v>
    <v>2192</v>
    <v>88.55</v>
    <v>34383364216</v>
    <v>Vanguard RE Idx;ETF</v>
    <v>88.67</v>
    <v>88.93</v>
    <v>88.58</v>
    <v>VNQ</v>
    <v>Vanguard RE Idx;ETF (ARCX:VNQ)</v>
    <v>5881</v>
    <v>3925750</v>
  </rv>
  <rv s="4">
    <v>2193</v>
  </rv>
  <rv s="0">
    <fb>89.57</fb>
    <v>0</v>
  </rv>
  <rv s="0">
    <fb>89.81</fb>
    <v>0</v>
  </rv>
  <rv s="0">
    <fb>90.64</fb>
    <v>0</v>
  </rv>
  <rv s="0">
    <fb>91.04</fb>
    <v>0</v>
  </rv>
  <rv s="0">
    <fb>90.29</fb>
    <v>0</v>
  </rv>
  <rv s="0">
    <fb>89.97</fb>
    <v>0</v>
  </rv>
  <rv s="0">
    <fb>89.98</fb>
    <v>0</v>
  </rv>
  <rv s="0">
    <fb>89.19</fb>
    <v>0</v>
  </rv>
  <rv s="0">
    <fb>88.85</fb>
    <v>0</v>
  </rv>
  <rv s="0">
    <fb>89.56</fb>
    <v>0</v>
  </rv>
  <rv s="0">
    <fb>89.45</fb>
    <v>0</v>
  </rv>
  <rv s="0">
    <fb>89.73</fb>
    <v>0</v>
  </rv>
  <rv s="0">
    <fb>89.07</fb>
    <v>0</v>
  </rv>
  <rv s="0">
    <fb>88.93</fb>
    <v>0</v>
  </rv>
  <rv s="2">
    <v>https://www.bing.com/financeapi/forcetrigger?t=a1vzk2&amp;q=ARCX%3aIYR&amp;form=skydnc</v>
    <v>Learn more on Bing</v>
  </rv>
  <rv s="3">
    <v>2</v>
    <v>iShares:US Rl Est ETF (ARCX:IYR)</v>
    <v>4</v>
    <v>5</v>
    <v>Finance</v>
    <v>7</v>
    <v>en-US</v>
    <v>a1vzk2</v>
    <v>268435456</v>
    <v>1</v>
    <v>Powered by Refinitiv</v>
    <v>99.619</v>
    <v>81.53</v>
    <v>1.0229999999999999</v>
    <v>-0.31</v>
    <v>-3.3219999999999999E-3</v>
    <v>USD</v>
    <v>NYSE Arca</v>
    <v>ARCX</v>
    <v>3.8E-3</v>
    <v>93.65</v>
    <v>ETF</v>
    <v>46010.963313378903</v>
    <v>2209</v>
    <v>92.99</v>
    <v>4276059560.4499998</v>
    <v>iShares:US Rl Est ETF</v>
    <v>93.15</v>
    <v>93.33</v>
    <v>93.02</v>
    <v>IYR</v>
    <v>iShares:US Rl Est ETF (ARCX:IYR)</v>
    <v>7238241</v>
    <v>6799641</v>
  </rv>
  <rv s="4">
    <v>2210</v>
  </rv>
  <rv s="0">
    <fb>93.95</fb>
    <v>0</v>
  </rv>
  <rv s="0">
    <fb>93.63</fb>
    <v>0</v>
  </rv>
  <rv s="0">
    <fb>95.07</fb>
    <v>0</v>
  </rv>
  <rv s="0">
    <fb>95.2</fb>
    <v>0</v>
  </rv>
  <rv s="0">
    <fb>96.09</fb>
    <v>0</v>
  </rv>
  <rv s="0">
    <fb>96.52</fb>
    <v>0</v>
  </rv>
  <rv s="0">
    <fb>96.9</fb>
    <v>0</v>
  </rv>
  <rv s="0">
    <fb>95.79</fb>
    <v>0</v>
  </rv>
  <rv s="0">
    <fb>95.49</fb>
    <v>0</v>
  </rv>
  <rv s="0">
    <fb>95.77</fb>
    <v>0</v>
  </rv>
  <rv s="0">
    <fb>95.53</fb>
    <v>0</v>
  </rv>
  <rv s="0">
    <fb>95.47</fb>
    <v>0</v>
  </rv>
  <rv s="0">
    <fb>94.65</fb>
    <v>0</v>
  </rv>
  <rv s="0">
    <fb>94.16</fb>
    <v>0</v>
  </rv>
  <rv s="0">
    <fb>94.51</fb>
    <v>0</v>
  </rv>
  <rv s="0">
    <fb>94.89</fb>
    <v>0</v>
  </rv>
  <rv s="0">
    <fb>94.76</fb>
    <v>0</v>
  </rv>
  <rv s="0">
    <fb>95.08</fb>
    <v>0</v>
  </rv>
  <rv s="0">
    <fb>93.42</fb>
    <v>0</v>
  </rv>
  <rv s="0">
    <fb>93.85</fb>
    <v>0</v>
  </rv>
  <rv s="0">
    <fb>93.33</fb>
    <v>0</v>
  </rv>
  <rv s="2">
    <v>https://www.bing.com/financeapi/forcetrigger?t=a21u1h&amp;q=ARCX%3aREET&amp;form=skydnc</v>
    <v>Learn more on Bing</v>
  </rv>
  <rv s="3">
    <v>2</v>
    <v>iShares:Global REIT (ARCX:REET)</v>
    <v>4</v>
    <v>5</v>
    <v>Finance</v>
    <v>7</v>
    <v>en-US</v>
    <v>a21u1h</v>
    <v>268435456</v>
    <v>1</v>
    <v>Powered by Refinitiv</v>
    <v>26.069900000000001</v>
    <v>20.96</v>
    <v>1.0056</v>
    <v>-0.05</v>
    <v>-2.019E-3</v>
    <v>USD</v>
    <v>NYSE Arca</v>
    <v>ARCX</v>
    <v>1.4000000000000002E-3</v>
    <v>24.85</v>
    <v>ETF</v>
    <v>46010.88222765</v>
    <v>2233</v>
    <v>24.69</v>
    <v>4038084864.8499999</v>
    <v>iShares:Global REIT</v>
    <v>24.73</v>
    <v>24.76</v>
    <v>24.71</v>
    <v>REET</v>
    <v>iShares:Global REIT (ARCX:REET)</v>
    <v>1</v>
    <v>2173947</v>
  </rv>
  <rv s="4">
    <v>2234</v>
  </rv>
  <rv s="0">
    <fb>24.95</fb>
    <v>0</v>
  </rv>
  <rv s="0">
    <fb>24.83</fb>
    <v>0</v>
  </rv>
  <rv s="0">
    <fb>25.15</fb>
    <v>0</v>
  </rv>
  <rv s="0">
    <fb>25.12</fb>
    <v>0</v>
  </rv>
  <rv s="0">
    <fb>25.39</fb>
    <v>0</v>
  </rv>
  <rv s="0">
    <fb>25.55</fb>
    <v>0</v>
  </rv>
  <rv s="0">
    <fb>25.66</fb>
    <v>0</v>
  </rv>
  <rv s="0">
    <fb>25.4</fb>
    <v>0</v>
  </rv>
  <rv s="0">
    <fb>25.42</fb>
    <v>0</v>
  </rv>
  <rv s="0">
    <fb>25.3</fb>
    <v>0</v>
  </rv>
  <rv s="0">
    <fb>25.26</fb>
    <v>0</v>
  </rv>
  <rv s="0">
    <fb>25.04</fb>
    <v>0</v>
  </rv>
  <rv s="0">
    <fb>25.05</fb>
    <v>0</v>
  </rv>
  <rv s="0">
    <fb>25.11</fb>
    <v>0</v>
  </rv>
  <rv s="0">
    <fb>24.87</fb>
    <v>0</v>
  </rv>
  <rv s="0">
    <fb>24.72</fb>
    <v>0</v>
  </rv>
  <rv s="0">
    <fb>24.79</fb>
    <v>0</v>
  </rv>
  <rv s="0">
    <fb>24.76</fb>
    <v>0</v>
  </rv>
  <rv s="2">
    <v>https://www.bing.com/financeapi/forcetrigger?t=b11727&amp;q=ARCX%3aSRVR&amp;form=skydnc</v>
    <v>Learn more on Bing</v>
  </rv>
  <rv s="3">
    <v>2</v>
    <v>Pacer Data &amp; Infra RE (ARCX:SRVR)</v>
    <v>4</v>
    <v>5</v>
    <v>Finance</v>
    <v>7</v>
    <v>en-US</v>
    <v>b11727</v>
    <v>268435456</v>
    <v>1</v>
    <v>Powered by Refinitiv</v>
    <v>33.669899999999998</v>
    <v>26</v>
    <v>0.85819999999999996</v>
    <v>0.18</v>
    <v>6.3080000000000002E-3</v>
    <v>USD</v>
    <v>NYSE Arca</v>
    <v>ARCX</v>
    <v>5.5000000000000005E-3</v>
    <v>28.83</v>
    <v>ETF</v>
    <v>46010.881992707815</v>
    <v>2254</v>
    <v>28.5</v>
    <v>395283944.17000002</v>
    <v>Pacer Data &amp; Infra RE</v>
    <v>28.5</v>
    <v>28.535</v>
    <v>28.715</v>
    <v>SRVR</v>
    <v>Pacer Data &amp; Infra RE (ARCX:SRVR)</v>
    <v>81300</v>
    <v>118376</v>
  </rv>
  <rv s="4">
    <v>2255</v>
  </rv>
  <rv s="0">
    <fb>28.77</fb>
    <v>0</v>
  </rv>
  <rv s="0">
    <fb>28.56</fb>
    <v>0</v>
  </rv>
  <rv s="0">
    <fb>28.74</fb>
    <v>0</v>
  </rv>
  <rv s="0">
    <fb>28.98</fb>
    <v>0</v>
  </rv>
  <rv s="0">
    <fb>28.96</fb>
    <v>0</v>
  </rv>
  <rv s="0">
    <fb>29.1691</fb>
    <v>0</v>
  </rv>
  <rv s="0">
    <fb>29.305</fb>
    <v>0</v>
  </rv>
  <rv s="0">
    <fb>28.81</fb>
    <v>0</v>
  </rv>
  <rv s="0">
    <fb>28.687000000000001</fb>
    <v>0</v>
  </rv>
  <rv s="0">
    <fb>28.85</fb>
    <v>0</v>
  </rv>
  <rv s="0">
    <fb>28.99</fb>
    <v>0</v>
  </rv>
  <rv s="0">
    <fb>29.55</fb>
    <v>0</v>
  </rv>
  <rv s="0">
    <fb>29.684999999999999</fb>
    <v>0</v>
  </rv>
  <rv s="0">
    <fb>29.606100000000001</fb>
    <v>0</v>
  </rv>
  <rv s="0">
    <fb>29.53</fb>
    <v>0</v>
  </rv>
  <rv s="0">
    <fb>29.82</fb>
    <v>0</v>
  </rv>
  <rv s="0">
    <fb>29.41</fb>
    <v>0</v>
  </rv>
  <rv s="0">
    <fb>29.35</fb>
    <v>0</v>
  </rv>
  <rv s="0">
    <fb>29.02</fb>
    <v>0</v>
  </rv>
  <rv s="0">
    <fb>28.725000000000001</fb>
    <v>0</v>
  </rv>
  <rv s="0">
    <fb>28.535</fb>
    <v>0</v>
  </rv>
  <rv s="2">
    <v>https://www.bing.com/financeapi/forcetrigger?t=bpidu2&amp;q=ARCX%3aHOMZ&amp;form=skydnc</v>
    <v>Learn more on Bing</v>
  </rv>
  <rv s="3">
    <v>2</v>
    <v>Hoya Capital Housing (ARCX:HOMZ)</v>
    <v>4</v>
    <v>5</v>
    <v>Finance</v>
    <v>7</v>
    <v>en-US</v>
    <v>bpidu2</v>
    <v>268435456</v>
    <v>1</v>
    <v>Powered by Refinitiv</v>
    <v>49.799900000000001</v>
    <v>39.28</v>
    <v>1.2467999999999999</v>
    <v>-0.54390000000000005</v>
    <v>-1.1775000000000001E-2</v>
    <v>USD</v>
    <v>NYSE Arca</v>
    <v>ARCX</v>
    <v>3.0000000000000001E-3</v>
    <v>45.704999999999998</v>
    <v>ETF</v>
    <v>46010.881987580469</v>
    <v>2278</v>
    <v>45.629600000000003</v>
    <v>37413286.609999999</v>
    <v>Hoya Capital Housing</v>
    <v>45.704999999999998</v>
    <v>46.189700000000002</v>
    <v>45.645800000000001</v>
    <v>HOMZ</v>
    <v>Hoya Capital Housing (ARCX:HOMZ)</v>
    <v>1217</v>
    <v>1871</v>
  </rv>
  <rv s="4">
    <v>2279</v>
  </rv>
  <rv s="0">
    <fb>43.604399999999998</fb>
    <v>0</v>
  </rv>
  <rv s="0">
    <fb>43.529299999999999</fb>
    <v>0</v>
  </rv>
  <rv s="0">
    <fb>45.1496</fb>
    <v>0</v>
  </rv>
  <rv s="0">
    <fb>45.142600000000002</fb>
    <v>0</v>
  </rv>
  <rv s="0">
    <fb>46.500100000000003</fb>
    <v>0</v>
  </rv>
  <rv s="0">
    <fb>46.862099999999998</fb>
    <v>0</v>
  </rv>
  <rv s="0">
    <fb>46.8065</fb>
    <v>0</v>
  </rv>
  <rv s="0">
    <fb>46.73</fb>
    <v>0</v>
  </rv>
  <rv s="0">
    <fb>46.602899999999998</fb>
    <v>0</v>
  </rv>
  <rv s="0">
    <fb>46.966000000000001</fb>
    <v>0</v>
  </rv>
  <rv s="0">
    <fb>46.349600000000002</fb>
    <v>0</v>
  </rv>
  <rv s="0">
    <fb>46.195500000000003</fb>
    <v>0</v>
  </rv>
  <rv s="0">
    <fb>45.622599999999998</fb>
    <v>0</v>
  </rv>
  <rv s="0">
    <fb>45.287300000000002</fb>
    <v>0</v>
  </rv>
  <rv s="0">
    <fb>46.26</fb>
    <v>0</v>
  </rv>
  <rv s="0">
    <fb>46.587499999999999</fb>
    <v>0</v>
  </rv>
  <rv s="0">
    <fb>46.444800000000001</fb>
    <v>0</v>
  </rv>
  <rv s="0">
    <fb>46.423499999999997</fb>
    <v>0</v>
  </rv>
  <rv s="0">
    <fb>46.0336</fb>
    <v>0</v>
  </rv>
  <rv s="0">
    <fb>46.120699999999999</fb>
    <v>0</v>
  </rv>
  <rv s="0">
    <fb>46.189700000000002</fb>
    <v>0</v>
  </rv>
  <rv s="2">
    <v>https://www.bing.com/financeapi/forcetrigger?t=a22mdm&amp;q=ARCX%3aSCHH&amp;form=skydnc</v>
    <v>Learn more on Bing</v>
  </rv>
  <rv s="3">
    <v>2</v>
    <v>Schwab Str:US REIT (ARCX:SCHH)</v>
    <v>4</v>
    <v>5</v>
    <v>Finance</v>
    <v>7</v>
    <v>en-US</v>
    <v>a22mdm</v>
    <v>268435456</v>
    <v>1</v>
    <v>Powered by Refinitiv</v>
    <v>22.405000000000001</v>
    <v>18.25</v>
    <v>1.0113000000000001</v>
    <v>-9.5000000000000001E-2</v>
    <v>-4.5669999999999999E-3</v>
    <v>USD</v>
    <v>NYSE Arca</v>
    <v>ARCX</v>
    <v>7.000000000000001E-4</v>
    <v>20.855</v>
    <v>ETF</v>
    <v>46010.993218332813</v>
    <v>2302</v>
    <v>20.7</v>
    <v>8476067371.3299999</v>
    <v>Schwab Str:US REIT</v>
    <v>20.754999999999999</v>
    <v>20.8</v>
    <v>20.704999999999998</v>
    <v>SCHH</v>
    <v>Schwab Str:US REIT (ARCX:SCHH)</v>
    <v>10674543</v>
    <v>11591884</v>
  </rv>
  <rv s="4">
    <v>2303</v>
  </rv>
  <rv s="0">
    <fb>20.99</fb>
    <v>0</v>
  </rv>
  <rv s="0">
    <fb>20.92</fb>
    <v>0</v>
  </rv>
  <rv s="0">
    <fb>21.21</fb>
    <v>0</v>
  </rv>
  <rv s="0">
    <fb>21.23</fb>
    <v>0</v>
  </rv>
  <rv s="0">
    <fb>21.39</fb>
    <v>0</v>
  </rv>
  <rv s="0">
    <fb>21.5</fb>
    <v>0</v>
  </rv>
  <rv s="0">
    <fb>21.57</fb>
    <v>0</v>
  </rv>
  <rv s="0">
    <fb>21.34</fb>
    <v>0</v>
  </rv>
  <rv s="0">
    <fb>21.28</fb>
    <v>0</v>
  </rv>
  <rv s="0">
    <fb>21.3</fb>
    <v>0</v>
  </rv>
  <rv s="0">
    <fb>21.25</fb>
    <v>0</v>
  </rv>
  <rv s="0">
    <fb>21.22</fb>
    <v>0</v>
  </rv>
  <rv s="0">
    <fb>21.09</fb>
    <v>0</v>
  </rv>
  <rv s="0">
    <fb>20.97</fb>
    <v>0</v>
  </rv>
  <rv s="0">
    <fb>20.85</fb>
    <v>0</v>
  </rv>
  <rv s="0">
    <fb>20.9</fb>
    <v>0</v>
  </rv>
  <rv s="0">
    <fb>20.89</fb>
    <v>0</v>
  </rv>
  <rv s="0">
    <fb>21.02</fb>
    <v>0</v>
  </rv>
  <rv s="0">
    <fb>20.84</fb>
    <v>0</v>
  </rv>
  <rv s="0">
    <fb>20.8</fb>
    <v>0</v>
  </rv>
  <rv s="2">
    <v>https://www.bing.com/financeapi/forcetrigger?t=bpie9c&amp;q=ARCX%3aNETL&amp;form=skydnc</v>
    <v>Learn more on Bing</v>
  </rv>
  <rv s="3">
    <v>2</v>
    <v>Colterpoint Nt Ls Rl Est (ARCX:NETL)</v>
    <v>4</v>
    <v>5</v>
    <v>Finance</v>
    <v>7</v>
    <v>en-US</v>
    <v>bpie9c</v>
    <v>268435456</v>
    <v>1</v>
    <v>Powered by Refinitiv</v>
    <v>25.98</v>
    <v>21.630099999999999</v>
    <v>0.99939999999999996</v>
    <v>-0.249</v>
    <v>-1.0324E-2</v>
    <v>USD</v>
    <v>NYSE Arca</v>
    <v>ARCX</v>
    <v>6.0000000000000001E-3</v>
    <v>24.07</v>
    <v>ETF</v>
    <v>46010.881992001559</v>
    <v>2325</v>
    <v>23.87</v>
    <v>40581933.82</v>
    <v>Colterpoint Nt Ls Rl Est</v>
    <v>24.03</v>
    <v>24.119</v>
    <v>23.87</v>
    <v>NETL</v>
    <v>Colterpoint Nt Ls Rl Est (ARCX:NETL)</v>
    <v>7551</v>
    <v>9406</v>
  </rv>
  <rv s="4">
    <v>2326</v>
  </rv>
  <rv s="0">
    <fb>23.789899999999999</fb>
    <v>0</v>
  </rv>
  <rv s="0">
    <fb>23.58</fb>
    <v>0</v>
  </rv>
  <rv s="0">
    <fb>24.035799999999998</fb>
    <v>0</v>
  </rv>
  <rv s="0">
    <fb>24.051300000000001</fb>
    <v>0</v>
  </rv>
  <rv s="0">
    <fb>24.125800000000002</fb>
    <v>0</v>
  </rv>
  <rv s="0">
    <fb>24.191199999999998</fb>
    <v>0</v>
  </rv>
  <rv s="0">
    <fb>24.220199999999998</fb>
    <v>0</v>
  </rv>
  <rv s="0">
    <fb>24.148499999999999</fb>
    <v>0</v>
  </rv>
  <rv s="0">
    <fb>23.9574</fb>
    <v>0</v>
  </rv>
  <rv s="0">
    <fb>24.079899999999999</fb>
    <v>0</v>
  </rv>
  <rv s="0">
    <fb>23.935600000000001</fb>
    <v>0</v>
  </rv>
  <rv s="0">
    <fb>23.8322</fb>
    <v>0</v>
  </rv>
  <rv s="0">
    <fb>23.69</fb>
    <v>0</v>
  </rv>
  <rv s="0">
    <fb>23.671600000000002</fb>
    <v>0</v>
  </rv>
  <rv s="0">
    <fb>23.809699999999999</fb>
    <v>0</v>
  </rv>
  <rv s="0">
    <fb>23.7837</fb>
    <v>0</v>
  </rv>
  <rv s="0">
    <fb>23.9923</fb>
    <v>0</v>
  </rv>
  <rv s="0">
    <fb>24.103200000000001</fb>
    <v>0</v>
  </rv>
  <rv s="0">
    <fb>24.024000000000001</fb>
    <v>0</v>
  </rv>
  <rv s="0">
    <fb>24.24</fb>
    <v>0</v>
  </rv>
  <rv s="0">
    <fb>24.119</fb>
    <v>0</v>
  </rv>
  <rv s="2">
    <v>https://www.bing.com/financeapi/forcetrigger?t=a1twnm&amp;q=ARCX%3aGLD&amp;form=skydnc</v>
    <v>Learn more on Bing</v>
  </rv>
  <rv s="3">
    <v>2</v>
    <v>SPDR Gold (ARCX:GLD)</v>
    <v>4</v>
    <v>5</v>
    <v>Finance</v>
    <v>6</v>
    <v>en-US</v>
    <v>a1twnm</v>
    <v>268435456</v>
    <v>1</v>
    <v>Powered by Refinitiv</v>
    <v>403.3</v>
    <v>239.58</v>
    <v>0.82979999999999998</v>
    <v>0.45</v>
    <v>1.129E-3</v>
    <v>USD</v>
    <v>NYSE Arca</v>
    <v>ARCX</v>
    <v>4.0000000000000001E-3</v>
    <v>400.63</v>
    <v>ETF</v>
    <v>46010.964116816409</v>
    <v>2349</v>
    <v>397.17</v>
    <v>140823605262.75</v>
    <v>SPDR Gold</v>
    <v>397.92</v>
    <v>398.57</v>
    <v>399.02</v>
    <v>GLD</v>
    <v>SPDR Gold (ARCX:GLD)</v>
    <v>33693</v>
    <v>9777929</v>
  </rv>
  <rv s="4">
    <v>2350</v>
  </rv>
  <rv s="0">
    <fb>374.96</fb>
    <v>0</v>
  </rv>
  <rv s="0">
    <fb>374.85</fb>
    <v>0</v>
  </rv>
  <rv s="0">
    <fb>374.27</fb>
    <v>0</v>
  </rv>
  <rv s="0">
    <fb>380.2</fb>
    <v>0</v>
  </rv>
  <rv s="0">
    <fb>380.08</fb>
    <v>0</v>
  </rv>
  <rv s="0">
    <fb>383.12</fb>
    <v>0</v>
  </rv>
  <rv s="0">
    <fb>387.88</fb>
    <v>0</v>
  </rv>
  <rv s="0">
    <fb>389.75</fb>
    <v>0</v>
  </rv>
  <rv s="0">
    <fb>387.24</fb>
    <v>0</v>
  </rv>
  <rv s="0">
    <fb>386.88</fb>
    <v>0</v>
  </rv>
  <rv s="0">
    <fb>387.13</fb>
    <v>0</v>
  </rv>
  <rv s="0">
    <fb>386.44</fb>
    <v>0</v>
  </rv>
  <rv s="0">
    <fb>385.42</fb>
    <v>0</v>
  </rv>
  <rv s="0">
    <fb>387.4</fb>
    <v>0</v>
  </rv>
  <rv s="0">
    <fb>389.05</fb>
    <v>0</v>
  </rv>
  <rv s="0">
    <fb>393.24</fb>
    <v>0</v>
  </rv>
  <rv s="0">
    <fb>395.44</fb>
    <v>0</v>
  </rv>
  <rv s="0">
    <fb>395.8</fb>
    <v>0</v>
  </rv>
  <rv s="0">
    <fb>395.89</fb>
    <v>0</v>
  </rv>
  <rv s="0">
    <fb>399.29</fb>
    <v>0</v>
  </rv>
  <rv s="0">
    <fb>398.57</fb>
    <v>0</v>
  </rv>
  <rv s="2">
    <v>https://www.bing.com/financeapi/forcetrigger?t=a233ur&amp;q=ARCX%3aSLV&amp;form=skydnc</v>
    <v>Learn more on Bing</v>
  </rv>
  <rv s="3">
    <v>2</v>
    <v>IShares:Silver Trust (ARCX:SLV)</v>
    <v>4</v>
    <v>5</v>
    <v>Finance</v>
    <v>6</v>
    <v>en-US</v>
    <v>a233ur</v>
    <v>268435456</v>
    <v>1</v>
    <v>Powered by Refinitiv</v>
    <v>61.16</v>
    <v>26.22</v>
    <v>1.4114</v>
    <v>1.61</v>
    <v>2.7141000000000002E-2</v>
    <v>USD</v>
    <v>NYSE Arca</v>
    <v>ARCX</v>
    <v>5.0000000000000001E-3</v>
    <v>61.16</v>
    <v>ETF</v>
    <v>46010.944863506251</v>
    <v>2373</v>
    <v>59.69</v>
    <v>27047493981.68</v>
    <v>IShares:Silver Trust</v>
    <v>59.79</v>
    <v>59.32</v>
    <v>60.93</v>
    <v>SLV</v>
    <v>IShares:Silver Trust (ARCX:SLV)</v>
    <v>635613</v>
    <v>40794031</v>
  </rv>
  <rv s="4">
    <v>2374</v>
  </rv>
  <rv s="0">
    <fb>46.45</fb>
    <v>0</v>
  </rv>
  <rv s="0">
    <fb>45.78</fb>
    <v>0</v>
  </rv>
  <rv s="0">
    <fb>45.3</fb>
    <v>0</v>
  </rv>
  <rv s="0">
    <fb>46.63</fb>
    <v>0</v>
  </rv>
  <rv s="0">
    <fb>46.67</fb>
    <v>0</v>
  </rv>
  <rv s="0">
    <fb>48.4</fb>
    <v>0</v>
  </rv>
  <rv s="0">
    <fb>51.21</fb>
    <v>0</v>
  </rv>
  <rv s="0">
    <fb>52.52</fb>
    <v>0</v>
  </rv>
  <rv s="0">
    <fb>53.13</fb>
    <v>0</v>
  </rv>
  <rv s="0">
    <fb>53.07</fb>
    <v>0</v>
  </rv>
  <rv s="0">
    <fb>51.76</fb>
    <v>0</v>
  </rv>
  <rv s="0">
    <fb>52.71</fb>
    <v>0</v>
  </rv>
  <rv s="0">
    <fb>55.17</fb>
    <v>0</v>
  </rv>
  <rv s="0">
    <fb>56.07</fb>
    <v>0</v>
  </rv>
  <rv s="0">
    <fb>57.62</fb>
    <v>0</v>
  </rv>
  <rv s="0">
    <fb>56.1</fb>
    <v>0</v>
  </rv>
  <rv s="0">
    <fb>58.11</fb>
    <v>0</v>
  </rv>
  <rv s="0">
    <fb>57.73</fb>
    <v>0</v>
  </rv>
  <rv s="0">
    <fb>60.26</fb>
    <v>0</v>
  </rv>
  <rv s="2">
    <v>https://www.bing.com/financeapi/forcetrigger?t=a24xim&amp;q=ARCX%3aUNG&amp;form=skydnc</v>
    <v>Learn more on Bing</v>
  </rv>
  <rv s="3">
    <v>2</v>
    <v>United States Nat Gas (ARCX:UNG)</v>
    <v>4</v>
    <v>5</v>
    <v>Finance</v>
    <v>6</v>
    <v>en-US</v>
    <v>a24xim</v>
    <v>268435456</v>
    <v>1</v>
    <v>Powered by Refinitiv</v>
    <v>24.33</v>
    <v>11.55</v>
    <v>3.0143</v>
    <v>0.16</v>
    <v>1.3300000000000001E-2</v>
    <v>USD</v>
    <v>NYSE Arca</v>
    <v>ARCX</v>
    <v>1.24E-2</v>
    <v>12.23</v>
    <v>ETF</v>
    <v>46010.943760346876</v>
    <v>2395</v>
    <v>11.968500000000001</v>
    <v>540631184.23000002</v>
    <v>United States Nat Gas</v>
    <v>12.08</v>
    <v>12.03</v>
    <v>12.19</v>
    <v>UNG</v>
    <v>United States Nat Gas (ARCX:UNG)</v>
    <v>33170</v>
    <v>13654609</v>
  </rv>
  <rv s="4">
    <v>2396</v>
  </rv>
  <rv s="0">
    <fb>14.7</fb>
    <v>0</v>
  </rv>
  <rv s="0">
    <fb>14.42</fb>
    <v>0</v>
  </rv>
  <rv s="0">
    <fb>14.65</fb>
    <v>0</v>
  </rv>
  <rv s="0">
    <fb>14.41</fb>
    <v>0</v>
  </rv>
  <rv s="0">
    <fb>13.83</fb>
    <v>0</v>
  </rv>
  <rv s="0">
    <fb>14.25</fb>
    <v>0</v>
  </rv>
  <rv s="0">
    <fb>14.73</fb>
    <v>0</v>
  </rv>
  <rv s="0">
    <fb>15.21</fb>
    <v>0</v>
  </rv>
  <rv s="0">
    <fb>14.96</fb>
    <v>0</v>
  </rv>
  <rv s="0">
    <fb>15.47</fb>
    <v>0</v>
  </rv>
  <rv s="0">
    <fb>15.66</fb>
    <v>0</v>
  </rv>
  <rv s="0">
    <fb>16.37</fb>
    <v>0</v>
  </rv>
  <rv s="0">
    <fb>15.07</fb>
    <v>0</v>
  </rv>
  <rv s="0">
    <fb>14.1</fb>
    <v>0</v>
  </rv>
  <rv s="0">
    <fb>14.26</fb>
    <v>0</v>
  </rv>
  <rv s="0">
    <fb>13.08</fb>
    <v>0</v>
  </rv>
  <rv s="0">
    <fb>12.73</fb>
    <v>0</v>
  </rv>
  <rv s="0">
    <fb>12.46</fb>
    <v>0</v>
  </rv>
  <rv s="0">
    <fb>12.1</fb>
    <v>0</v>
  </rv>
  <rv s="0">
    <fb>12.64</fb>
    <v>0</v>
  </rv>
  <rv s="0">
    <fb>12.03</fb>
    <v>0</v>
  </rv>
  <rv s="2">
    <v>https://www.bing.com/financeapi/forcetrigger?t=a253hw&amp;q=ARCX%3aUSO&amp;form=skydnc</v>
    <v>Learn more on Bing</v>
  </rv>
  <rv s="3">
    <v>2</v>
    <v>United States Oil Fund (ARCX:USO)</v>
    <v>4</v>
    <v>5</v>
    <v>Finance</v>
    <v>6</v>
    <v>en-US</v>
    <v>a253hw</v>
    <v>268435456</v>
    <v>1</v>
    <v>Powered by Refinitiv</v>
    <v>84.58</v>
    <v>60.67</v>
    <v>1.0381</v>
    <v>0.84</v>
    <v>1.2501999999999999E-2</v>
    <v>USD</v>
    <v>NYSE Arca</v>
    <v>ARCX</v>
    <v>8.199999999999999E-3</v>
    <v>68.2</v>
    <v>ETF</v>
    <v>46010.963317707814</v>
    <v>2419</v>
    <v>67.435000000000002</v>
    <v>925906649.38999999</v>
    <v>United States Oil Fund</v>
    <v>67.739999999999995</v>
    <v>67.19</v>
    <v>68.03</v>
    <v>USO</v>
    <v>United States Oil Fund (ARCX:USO)</v>
    <v>51265</v>
    <v>5093666</v>
  </rv>
  <rv s="4">
    <v>2420</v>
  </rv>
  <rv s="0">
    <fb>70.88</fb>
    <v>0</v>
  </rv>
  <rv s="0">
    <fb>70.150000000000006</fb>
    <v>0</v>
  </rv>
  <rv s="0">
    <fb>69.3</fb>
    <v>0</v>
  </rv>
  <rv s="0">
    <fb>70.42</fb>
    <v>0</v>
  </rv>
  <rv s="0">
    <fb>69.25</fb>
    <v>0</v>
  </rv>
  <rv s="0">
    <fb>70.040000000000006</fb>
    <v>0</v>
  </rv>
  <rv s="0">
    <fb>71.069999999999993</fb>
    <v>0</v>
  </rv>
  <rv s="0">
    <fb>71.06</fb>
    <v>0</v>
  </rv>
  <rv s="0">
    <fb>70.2</fb>
    <v>0</v>
  </rv>
  <rv s="0">
    <fb>70.66</fb>
    <v>0</v>
  </rv>
  <rv s="0">
    <fb>71.39</fb>
    <v>0</v>
  </rv>
  <rv s="0">
    <fb>71.92</fb>
    <v>0</v>
  </rv>
  <rv s="0">
    <fb>70.489999999999995</fb>
    <v>0</v>
  </rv>
  <rv s="0">
    <fb>69.86</fb>
    <v>0</v>
  </rv>
  <rv s="0">
    <fb>70.540000000000006</fb>
    <v>0</v>
  </rv>
  <rv s="0">
    <fb>68.81</fb>
    <v>0</v>
  </rv>
  <rv s="0">
    <fb>67.89</fb>
    <v>0</v>
  </rv>
  <rv s="0">
    <fb>66.17</fb>
    <v>0</v>
  </rv>
  <rv s="0">
    <fb>67.98</fb>
    <v>0</v>
  </rv>
  <rv s="0">
    <fb>67.19</fb>
    <v>0</v>
  </rv>
  <rv s="2">
    <v>https://www.bing.com/financeapi/forcetrigger?t=a1qr27&amp;q=ARCX%3aDBA&amp;form=skydnc</v>
    <v>Learn more on Bing</v>
  </rv>
  <rv s="3">
    <v>2</v>
    <v>Invesco DB MS Agri (ARCX:DBA)</v>
    <v>4</v>
    <v>5</v>
    <v>Finance</v>
    <v>7</v>
    <v>en-US</v>
    <v>a1qr27</v>
    <v>268435456</v>
    <v>1</v>
    <v>Powered by Refinitiv</v>
    <v>28.484999999999999</v>
    <v>25.27</v>
    <v>0.61819999999999997</v>
    <v>0.05</v>
    <v>1.9120000000000001E-3</v>
    <v>USD</v>
    <v>NYSE Arca</v>
    <v>ARCX</v>
    <v>8.5000000000000006E-3</v>
    <v>26.25</v>
    <v>ETF</v>
    <v>46010.881990775</v>
    <v>2442</v>
    <v>26.125</v>
    <v>754250948</v>
    <v>Invesco DB MS Agri</v>
    <v>26.14</v>
    <v>26.15</v>
    <v>26.2</v>
    <v>DBA</v>
    <v>Invesco DB MS Agri (ARCX:DBA)</v>
    <v>175</v>
    <v>208136</v>
  </rv>
  <rv s="4">
    <v>2443</v>
  </rv>
  <rv s="0">
    <fb>26.09</fb>
    <v>0</v>
  </rv>
  <rv s="0">
    <fb>25.68</fb>
    <v>0</v>
  </rv>
  <rv s="0">
    <fb>25.85</fb>
    <v>0</v>
  </rv>
  <rv s="0">
    <fb>26.13</fb>
    <v>0</v>
  </rv>
  <rv s="0">
    <fb>26.42</fb>
    <v>0</v>
  </rv>
  <rv s="0">
    <fb>26.29</fb>
    <v>0</v>
  </rv>
  <rv s="0">
    <fb>26.38</fb>
    <v>0</v>
  </rv>
  <rv s="0">
    <fb>26.52</fb>
    <v>0</v>
  </rv>
  <rv s="0">
    <fb>26.4</fb>
    <v>0</v>
  </rv>
  <rv s="0">
    <fb>26.49</fb>
    <v>0</v>
  </rv>
  <rv s="0">
    <fb>26.64</fb>
    <v>0</v>
  </rv>
  <rv s="0">
    <fb>26.34</fb>
    <v>0</v>
  </rv>
  <rv s="0">
    <fb>26.25</fb>
    <v>0</v>
  </rv>
  <rv s="0">
    <fb>26.15</fb>
    <v>0</v>
  </rv>
  <rv s="2">
    <v>https://www.bing.com/financeapi/forcetrigger?t=a1q62w&amp;q=ARCX%3aCORN&amp;form=skydnc</v>
    <v>Learn more on Bing</v>
  </rv>
  <rv s="3">
    <v>2</v>
    <v>Teucrium:Corn (ARCX:CORN)</v>
    <v>4</v>
    <v>5</v>
    <v>Finance</v>
    <v>7</v>
    <v>en-US</v>
    <v>a1q62w</v>
    <v>268435456</v>
    <v>1</v>
    <v>Powered by Refinitiv</v>
    <v>20.69</v>
    <v>16.61</v>
    <v>0.69220000000000004</v>
    <v>-4.9500000000000002E-2</v>
    <v>-2.7750000000000001E-3</v>
    <v>USD</v>
    <v>NYSE Arca</v>
    <v>ARCX</v>
    <v>3.27E-2</v>
    <v>17.86</v>
    <v>ETF</v>
    <v>46010.952741700785</v>
    <v>2459</v>
    <v>17.78</v>
    <v>50845608.630000003</v>
    <v>Teucrium:Corn</v>
    <v>17.86</v>
    <v>17.84</v>
    <v>17.790500000000002</v>
    <v>CORN</v>
    <v>Teucrium:Corn (ARCX:CORN)</v>
    <v>8</v>
    <v>54096</v>
  </rv>
  <rv s="4">
    <v>2460</v>
  </rv>
  <rv s="0">
    <fb>17.745000000000001</fb>
    <v>0</v>
  </rv>
  <rv s="0">
    <fb>17.600000000000001</fb>
    <v>0</v>
  </rv>
  <rv s="0">
    <fb>17.59</fb>
    <v>0</v>
  </rv>
  <rv s="0">
    <fb>17.6419</fb>
    <v>0</v>
  </rv>
  <rv s="0">
    <fb>17.940000000000001</fb>
    <v>0</v>
  </rv>
  <rv s="0">
    <fb>17.9726</fb>
    <v>0</v>
  </rv>
  <rv s="0">
    <fb>17.907299999999999</fb>
    <v>0</v>
  </rv>
  <rv s="0">
    <fb>18.05</fb>
    <v>0</v>
  </rv>
  <rv s="0">
    <fb>17.809999999999999</fb>
    <v>0</v>
  </rv>
  <rv s="0">
    <fb>17.89</fb>
    <v>0</v>
  </rv>
  <rv s="0">
    <fb>17.850000000000001</fb>
    <v>0</v>
  </rv>
  <rv s="0">
    <fb>17.837599999999998</fb>
    <v>0</v>
  </rv>
  <rv s="0">
    <fb>17.95</fb>
    <v>0</v>
  </rv>
  <rv s="0">
    <fb>17.825900000000001</fb>
    <v>0</v>
  </rv>
  <rv s="0">
    <fb>17.899999999999999</fb>
    <v>0</v>
  </rv>
  <rv s="0">
    <fb>17.75</fb>
    <v>0</v>
  </rv>
  <rv s="0">
    <fb>17.702100000000002</fb>
    <v>0</v>
  </rv>
  <rv s="0">
    <fb>17.71</fb>
    <v>0</v>
  </rv>
  <rv s="0">
    <fb>17.84</fb>
    <v>0</v>
  </rv>
  <rv s="2">
    <v>https://www.bing.com/financeapi/forcetrigger?t=a1qrar&amp;q=ARCX%3aDBB&amp;form=skydnc</v>
    <v>Learn more on Bing</v>
  </rv>
  <rv s="3">
    <v>2</v>
    <v>Invesco DB MS BMtl (ARCX:DBB)</v>
    <v>4</v>
    <v>5</v>
    <v>Finance</v>
    <v>7</v>
    <v>en-US</v>
    <v>a1qrar</v>
    <v>268435456</v>
    <v>1</v>
    <v>Powered by Refinitiv</v>
    <v>22.7</v>
    <v>17.125</v>
    <v>0.94189999999999996</v>
    <v>0.25</v>
    <v>1.1166000000000001E-2</v>
    <v>USD</v>
    <v>NYSE Arca</v>
    <v>ARCX</v>
    <v>7.4999999999999997E-3</v>
    <v>22.69</v>
    <v>ETF</v>
    <v>46010.914707892967</v>
    <v>2481</v>
    <v>22.62</v>
    <v>143431999.40000001</v>
    <v>Invesco DB MS BMtl</v>
    <v>22.63</v>
    <v>22.39</v>
    <v>22.64</v>
    <v>DBB</v>
    <v>Invesco DB MS BMtl (ARCX:DBB)</v>
    <v>2172</v>
    <v>195029</v>
  </rv>
  <rv s="4">
    <v>2482</v>
  </rv>
  <rv s="0">
    <fb>21.43</fb>
    <v>0</v>
  </rv>
  <rv s="0">
    <fb>21.31</fb>
    <v>0</v>
  </rv>
  <rv s="0">
    <fb>21.4</fb>
    <v>0</v>
  </rv>
  <rv s="0">
    <fb>21.46</fb>
    <v>0</v>
  </rv>
  <rv s="0">
    <fb>21.74</fb>
    <v>0</v>
  </rv>
  <rv s="0">
    <fb>21.98</fb>
    <v>0</v>
  </rv>
  <rv s="0">
    <fb>21.89</fb>
    <v>0</v>
  </rv>
  <rv s="0">
    <fb>22.24</fb>
    <v>0</v>
  </rv>
  <rv s="0">
    <fb>22.21</fb>
    <v>0</v>
  </rv>
  <rv s="0">
    <fb>22.43</fb>
    <v>0</v>
  </rv>
  <rv s="0">
    <fb>22.46</fb>
    <v>0</v>
  </rv>
  <rv s="0">
    <fb>22.06</fb>
    <v>0</v>
  </rv>
  <rv s="0">
    <fb>22.23</fb>
    <v>0</v>
  </rv>
  <rv s="0">
    <fb>22.49</fb>
    <v>0</v>
  </rv>
  <rv s="0">
    <fb>22.18</fb>
    <v>0</v>
  </rv>
  <rv s="0">
    <fb>22.22</fb>
    <v>0</v>
  </rv>
  <rv s="0">
    <fb>22.13</fb>
    <v>0</v>
  </rv>
  <rv s="0">
    <fb>22.33</fb>
    <v>0</v>
  </rv>
  <rv s="0">
    <fb>22.39</fb>
    <v>0</v>
  </rv>
  <rv s="2">
    <v>https://www.bing.com/financeapi/forcetrigger?t=a1zgdm&amp;q=ARCX%3aPALL&amp;form=skydnc</v>
    <v>Learn more on Bing</v>
  </rv>
  <rv s="3">
    <v>2</v>
    <v>abrdn:Physical Palladium (ARCX:PALL)</v>
    <v>4</v>
    <v>5</v>
    <v>Finance</v>
    <v>7</v>
    <v>en-US</v>
    <v>a1zgdm</v>
    <v>268435456</v>
    <v>1</v>
    <v>Powered by Refinitiv</v>
    <v>156.58000000000001</v>
    <v>82.39</v>
    <v>0.34520000000000001</v>
    <v>1.62</v>
    <v>1.0522E-2</v>
    <v>USD</v>
    <v>NYSE Arca</v>
    <v>ARCX</v>
    <v>6.0000000000000001E-3</v>
    <v>156.58000000000001</v>
    <v>ETF</v>
    <v>46010.991097325779</v>
    <v>2503</v>
    <v>152.9</v>
    <v>852073292.32000005</v>
    <v>abrdn:Physical Palladium</v>
    <v>153.06</v>
    <v>153.96</v>
    <v>155.58000000000001</v>
    <v>PALL</v>
    <v>abrdn:Physical Palladium (ARCX:PALL)</v>
    <v>24422</v>
    <v>376656</v>
  </rv>
  <rv s="4">
    <v>2504</v>
  </rv>
  <rv s="0">
    <fb>126.26</fb>
    <v>0</v>
  </rv>
  <rv s="0">
    <fb>125.27</fb>
    <v>0</v>
  </rv>
  <rv s="0">
    <fb>124.7</fb>
    <v>0</v>
  </rv>
  <rv s="0">
    <fb>127.2</fb>
    <v>0</v>
  </rv>
  <rv s="0">
    <fb>126.79</fb>
    <v>0</v>
  </rv>
  <rv s="0">
    <fb>129.55000000000001</fb>
    <v>0</v>
  </rv>
  <rv s="0">
    <fb>132.43</fb>
    <v>0</v>
  </rv>
  <rv s="0">
    <fb>133.93</fb>
    <v>0</v>
  </rv>
  <rv s="0">
    <fb>134.68</fb>
    <v>0</v>
  </rv>
  <rv s="0">
    <fb>132.28</fb>
    <v>0</v>
  </rv>
  <rv s="0">
    <fb>133</fb>
    <v>0</v>
  </rv>
  <rv s="0">
    <fb>133.91999999999999</fb>
    <v>0</v>
  </rv>
  <rv s="0">
    <fb>137.38999999999999</fb>
    <v>0</v>
  </rv>
  <rv s="0">
    <fb>134.46</fb>
    <v>0</v>
  </rv>
  <rv s="0">
    <fb>136.47</fb>
    <v>0</v>
  </rv>
  <rv s="0">
    <fb>136.5</fb>
    <v>0</v>
  </rv>
  <rv s="0">
    <fb>143.38999999999999</fb>
    <v>0</v>
  </rv>
  <rv s="0">
    <fb>146.11000000000001</fb>
    <v>0</v>
  </rv>
  <rv s="0">
    <fb>149.47999999999999</fb>
    <v>0</v>
  </rv>
  <rv s="0">
    <fb>153.96</fb>
    <v>0</v>
  </rv>
  <rv s="2">
    <v>https://www.bing.com/financeapi/forcetrigger?t=a24yz2&amp;q=ARCX%3aURA&amp;form=skydnc</v>
    <v>Learn more on Bing</v>
  </rv>
  <rv s="6">
    <v>12</v>
    <v>Glbl X Uranium ETF (ARCX:URA)</v>
    <v>4</v>
    <v>13</v>
    <v>Finance</v>
    <v>15</v>
    <v>en-US</v>
    <v>a24yz2</v>
    <v>268435456</v>
    <v>1</v>
    <v>Powered by Refinitiv</v>
    <v>60.505000000000003</v>
    <v>19.5</v>
    <v>0.42549999999999999</v>
    <v>USD</v>
    <v>NYSE Arca</v>
    <v>ARCX</v>
    <v>6.8999999999999999E-3</v>
    <v>46.39</v>
    <v>ETF</v>
    <v>46010.881944444445</v>
    <v>2526</v>
    <v>44.15</v>
    <v>5209355519.75</v>
    <v>Glbl X Uranium ETF</v>
    <v>44.15</v>
    <v>45.89</v>
    <v>URA</v>
    <v>Glbl X Uranium ETF (ARCX:URA)</v>
    <v>7829</v>
    <v>4421681</v>
  </rv>
  <rv s="4">
    <v>2527</v>
  </rv>
  <rv s="0">
    <fb>45.14</fb>
    <v>0</v>
  </rv>
  <rv s="0">
    <fb>42.11</fb>
    <v>0</v>
  </rv>
  <rv s="0">
    <fb>41.59</fb>
    <v>0</v>
  </rv>
  <rv s="0">
    <fb>43.29</fb>
    <v>0</v>
  </rv>
  <rv s="0">
    <fb>43.91</fb>
    <v>0</v>
  </rv>
  <rv s="0">
    <fb>44.79</fb>
    <v>0</v>
  </rv>
  <rv s="0">
    <fb>45.28</fb>
    <v>0</v>
  </rv>
  <rv s="0">
    <fb>44.2</fb>
    <v>0</v>
  </rv>
  <rv s="0">
    <fb>45.26</fb>
    <v>0</v>
  </rv>
  <rv s="0">
    <fb>46.62</fb>
    <v>0</v>
  </rv>
  <rv s="0">
    <fb>48.13</fb>
    <v>0</v>
  </rv>
  <rv s="0">
    <fb>47.69</fb>
    <v>0</v>
  </rv>
  <rv s="0">
    <fb>46.05</fb>
    <v>0</v>
  </rv>
  <rv s="0">
    <fb>44.63</fb>
    <v>0</v>
  </rv>
  <rv s="0">
    <fb>44.27</fb>
    <v>0</v>
  </rv>
  <rv s="0">
    <fb>42.71</fb>
    <v>0</v>
  </rv>
  <rv s="0">
    <fb>43.96</fb>
    <v>0</v>
  </rv>
  <rv s="2">
    <v>https://www.bing.com/financeapi/forcetrigger?t=a24uhw&amp;q=ARCX%3aUGA&amp;form=skydnc</v>
    <v>Learn more on Bing</v>
  </rv>
  <rv s="3">
    <v>2</v>
    <v>United States Gas (ARCX:UGA)</v>
    <v>4</v>
    <v>5</v>
    <v>Finance</v>
    <v>7</v>
    <v>en-US</v>
    <v>a24uhw</v>
    <v>268435456</v>
    <v>1</v>
    <v>Powered by Refinitiv</v>
    <v>69.87</v>
    <v>52.8</v>
    <v>0.68759999999999999</v>
    <v>0.42</v>
    <v>6.8459999999999997E-3</v>
    <v>USD</v>
    <v>NYSE Arca</v>
    <v>ARCX</v>
    <v>1.0200000000000001E-2</v>
    <v>61.86</v>
    <v>ETF</v>
    <v>46010.881944444445</v>
    <v>2546</v>
    <v>61.421599999999998</v>
    <v>72213685.269999996</v>
    <v>United States Gas</v>
    <v>61.770200000000003</v>
    <v>61.35</v>
    <v>61.77</v>
    <v>UGA</v>
    <v>United States Gas (ARCX:UGA)</v>
    <v>11377</v>
    <v>16836</v>
  </rv>
  <rv s="4">
    <v>2547</v>
  </rv>
  <rv s="0">
    <fb>66.16</fb>
    <v>0</v>
  </rv>
  <rv s="0">
    <fb>65.148700000000005</fb>
    <v>0</v>
  </rv>
  <rv s="0">
    <fb>65.989900000000006</fb>
    <v>0</v>
  </rv>
  <rv s="0">
    <fb>64.911900000000003</fb>
    <v>0</v>
  </rv>
  <rv s="0">
    <fb>65.790000000000006</fb>
    <v>0</v>
  </rv>
  <rv s="0">
    <fb>66.94</fb>
    <v>0</v>
  </rv>
  <rv s="0">
    <fb>67.36</fb>
    <v>0</v>
  </rv>
  <rv s="0">
    <fb>65.913799999999995</fb>
    <v>0</v>
  </rv>
  <rv s="0">
    <fb>65.971299999999999</fb>
    <v>0</v>
  </rv>
  <rv s="0">
    <fb>66.180000000000007</fb>
    <v>0</v>
  </rv>
  <rv s="0">
    <fb>64.819999999999993</fb>
    <v>0</v>
  </rv>
  <rv s="0">
    <fb>64.56</fb>
    <v>0</v>
  </rv>
  <rv s="0">
    <fb>63.72</fb>
    <v>0</v>
  </rv>
  <rv s="0">
    <fb>63.25</fb>
    <v>0</v>
  </rv>
  <rv s="0">
    <fb>62.4</fb>
    <v>0</v>
  </rv>
  <rv s="0">
    <fb>60.61</fb>
    <v>0</v>
  </rv>
  <rv s="0">
    <fb>61.59</fb>
    <v>0</v>
  </rv>
  <rv s="0">
    <fb>61.35</fb>
    <v>0</v>
  </rv>
  <rv s="2">
    <v>https://www.bing.com/financeapi/forcetrigger?t=a1q7rw&amp;q=ARCX%3aCPER&amp;form=skydnc</v>
    <v>Learn more on Bing</v>
  </rv>
  <rv s="3">
    <v>2</v>
    <v>United States Copper Idx (ARCX:CPER)</v>
    <v>4</v>
    <v>5</v>
    <v>Finance</v>
    <v>6</v>
    <v>en-US</v>
    <v>a1q7rw</v>
    <v>268435456</v>
    <v>1</v>
    <v>Powered by Refinitiv</v>
    <v>36.69</v>
    <v>25.1</v>
    <v>1.0111000000000001</v>
    <v>0.34</v>
    <v>1.0222E-2</v>
    <v>USD</v>
    <v>NYSE Arca</v>
    <v>ARCX</v>
    <v>1.06E-2</v>
    <v>34.01</v>
    <v>ETF</v>
    <v>46010.881944444445</v>
    <v>2567</v>
    <v>33.54</v>
    <v>326888664.08999997</v>
    <v>United States Copper Idx</v>
    <v>33.83</v>
    <v>33.26</v>
    <v>33.6</v>
    <v>CPER</v>
    <v>United States Copper Idx (ARCX:CPER)</v>
    <v>979</v>
    <v>460536</v>
  </rv>
  <rv s="4">
    <v>2568</v>
  </rv>
  <rv s="0">
    <fb>31.13</fb>
    <v>0</v>
  </rv>
  <rv s="0">
    <fb>30.77</fb>
    <v>0</v>
  </rv>
  <rv s="0">
    <fb>31.07</fb>
    <v>0</v>
  </rv>
  <rv s="0">
    <fb>31.11</fb>
    <v>0</v>
  </rv>
  <rv s="0">
    <fb>31.18</fb>
    <v>0</v>
  </rv>
  <rv s="0">
    <fb>31.84</fb>
    <v>0</v>
  </rv>
  <rv s="0">
    <fb>32.28</fb>
    <v>0</v>
  </rv>
  <rv s="0">
    <fb>32.29</fb>
    <v>0</v>
  </rv>
  <rv s="0">
    <fb>32.14</fb>
    <v>0</v>
  </rv>
  <rv s="0">
    <fb>33.03</fb>
    <v>0</v>
  </rv>
  <rv s="0">
    <fb>32.840000000000003</fb>
    <v>0</v>
  </rv>
  <rv s="0">
    <fb>33.35</fb>
    <v>0</v>
  </rv>
  <rv s="0">
    <fb>33.24</fb>
    <v>0</v>
  </rv>
  <rv s="0">
    <fb>32.65</fb>
    <v>0</v>
  </rv>
  <rv s="0">
    <fb>33.07</fb>
    <v>0</v>
  </rv>
  <rv s="0">
    <fb>33.61</fb>
    <v>0</v>
  </rv>
  <rv s="0">
    <fb>32.83</fb>
    <v>0</v>
  </rv>
  <rv s="0">
    <fb>33.15</fb>
    <v>0</v>
  </rv>
  <rv s="0">
    <fb>32.89</fb>
    <v>0</v>
  </rv>
  <rv s="0">
    <fb>33.229999999999997</fb>
    <v>0</v>
  </rv>
  <rv s="0">
    <fb>33.26</fb>
    <v>0</v>
  </rv>
  <rv s="2">
    <v>https://www.bing.com/financeapi/forcetrigger?t=ao6wjc&amp;q=XLON%3aCATL&amp;form=skydnc</v>
    <v>Learn more on Bing</v>
  </rv>
  <rv s="7">
    <v>16</v>
    <v>WT Live Cattle (XLON:CATL)</v>
    <v>4</v>
    <v>17</v>
    <v>Finance</v>
    <v>18</v>
    <v>en-US</v>
    <v>ao6wjc</v>
    <v>268435456</v>
    <v>1</v>
    <v>Powered by Refinitiv</v>
    <v>10.234999999999999</v>
    <v>7.1029999999999998</v>
    <v>5.9299999999999999E-2</v>
    <v>7.3749999999999996E-2</v>
    <v>7.7520000000000002E-3</v>
    <v>USD</v>
    <v>London Stock Exchange</v>
    <v>XLON</v>
    <v>9.8999999999999991E-3</v>
    <v>9.5875000000000004</v>
    <v>ETF</v>
    <v>46013.357527071094</v>
    <v>2591</v>
    <v>9.4425000000000008</v>
    <v>2569576.86</v>
    <v>WT Live Cattle</v>
    <v>9.4425000000000008</v>
    <v>9.5137999999999998</v>
    <v>9.5875000000000004</v>
    <v>CATL</v>
    <v>WT Live Cattle (XLON:CATL)</v>
    <v>3195</v>
  </rv>
  <rv s="4">
    <v>2592</v>
  </rv>
  <rv s="0">
    <fb>16.329999999999998</fb>
    <v>0</v>
  </rv>
  <rv s="0">
    <fb>15.13</fb>
    <v>0</v>
  </rv>
  <rv s="0">
    <fb>15.11</fb>
    <v>0</v>
  </rv>
  <rv s="0">
    <fb>15.045</fb>
    <v>0</v>
  </rv>
  <rv s="0">
    <fb>15</fb>
    <v>0</v>
  </rv>
  <rv s="0">
    <fb>15.1</fb>
    <v>0</v>
  </rv>
  <rv s="0">
    <fb>15.2</fb>
    <v>0</v>
  </rv>
  <rv s="0">
    <fb>15.57</fb>
    <v>0</v>
  </rv>
  <rv s="0">
    <fb>15.31</fb>
    <v>0</v>
  </rv>
  <rv s="0">
    <fb>15.28</fb>
    <v>0</v>
  </rv>
  <rv s="0">
    <fb>15.55</fb>
    <v>0</v>
  </rv>
  <rv s="0">
    <fb>15.6</fb>
    <v>0</v>
  </rv>
  <rv s="0">
    <fb>16.170000000000002</fb>
    <v>0</v>
  </rv>
  <rv s="0">
    <fb>15.9</fb>
    <v>0</v>
  </rv>
  <rv s="0">
    <fb>16.13</fb>
    <v>0</v>
  </rv>
  <rv s="0">
    <fb>16.38</fb>
    <v>0</v>
  </rv>
  <rv s="0">
    <fb>16.579999999999998</fb>
    <v>0</v>
  </rv>
  <rv s="0">
    <fb>16.32</fb>
    <v>0</v>
  </rv>
  <rv s="0">
    <fb>16.25</fb>
    <v>0</v>
  </rv>
  <rv s="2">
    <v>https://www.bing.com/financeapi/forcetrigger?t=ao9eyc&amp;q=XLON%3aHOGS&amp;form=skydnc</v>
    <v>Learn more on Bing</v>
  </rv>
  <rv s="8">
    <v>19</v>
    <v>ETFS LEAN HOGS ETC (XLON:HOGS)</v>
    <v>4</v>
    <v>20</v>
    <v>Finance</v>
    <v>18</v>
    <v>en-US</v>
    <v>ao9eyc</v>
    <v>268435456</v>
    <v>1</v>
    <v>Powered by Refinitiv</v>
    <v>35.36</v>
    <v>28.19</v>
    <v>0.17499999999999999</v>
    <v>5.4300000000000008E-3</v>
    <v>USD</v>
    <v>London Stock Exchange</v>
    <v>XLON</v>
    <v>32.200000000000003</v>
    <v>ETF</v>
    <v>46010.60403415469</v>
    <v>2613</v>
    <v>32.200000000000003</v>
    <v>ETFS LEAN HOGS ETC</v>
    <v>32.200000000000003</v>
    <v>32.229999999999997</v>
    <v>32.405000000000001</v>
    <v>HOGS</v>
    <v>ETFS LEAN HOGS ETC (XLON:HOGS)</v>
    <v>247</v>
  </rv>
  <rv s="4">
    <v>2614</v>
  </rv>
  <rv s="0">
    <fb>26.31</fb>
    <v>1</v>
  </rv>
  <rv s="0">
    <fb>26.605</fb>
    <v>1</v>
  </rv>
  <rv s="0">
    <fb>26.12</fb>
    <v>1</v>
  </rv>
  <rv s="0">
    <fb>26.18</fb>
    <v>1</v>
  </rv>
  <rv s="0">
    <fb>26.27</fb>
    <v>1</v>
  </rv>
  <rv s="0">
    <fb>26.824999999999999</fb>
    <v>1</v>
  </rv>
  <rv s="0">
    <fb>26.95</fb>
    <v>1</v>
  </rv>
  <rv s="0">
    <fb>27.094999999999999</fb>
    <v>1</v>
  </rv>
  <rv s="0">
    <fb>26.79</fb>
    <v>1</v>
  </rv>
  <rv s="0">
    <fb>26.574999999999999</fb>
    <v>1</v>
  </rv>
  <rv s="0">
    <fb>26.76</fb>
    <v>1</v>
  </rv>
  <rv s="0">
    <fb>27.245000000000001</fb>
    <v>1</v>
  </rv>
  <rv s="0">
    <fb>27.17</fb>
    <v>1</v>
  </rv>
  <rv s="0">
    <fb>26.91</fb>
    <v>1</v>
  </rv>
  <rv s="0">
    <fb>27.27</fb>
    <v>1</v>
  </rv>
  <rv s="0">
    <fb>27.6</fb>
    <v>1</v>
  </rv>
  <rv s="0">
    <fb>27.795000000000002</fb>
    <v>1</v>
  </rv>
  <rv s="0">
    <fb>27.68</fb>
    <v>1</v>
  </rv>
  <rv s="0">
    <fb>27.344999999999999</fb>
    <v>1</v>
  </rv>
  <rv s="0">
    <fb>27.65</fb>
    <v>1</v>
  </rv>
  <rv s="2">
    <v>https://www.bing.com/financeapi/forcetrigger?t=a23c1h&amp;q=ARCX%3aSOYB&amp;form=skydnc</v>
    <v>Learn more on Bing</v>
  </rv>
  <rv s="3">
    <v>2</v>
    <v>Teucrium:Soybean (ARCX:SOYB)</v>
    <v>4</v>
    <v>5</v>
    <v>Finance</v>
    <v>7</v>
    <v>en-US</v>
    <v>a23c1h</v>
    <v>268435456</v>
    <v>1</v>
    <v>Powered by Refinitiv</v>
    <v>23.86</v>
    <v>20.59</v>
    <v>1.1173999999999999</v>
    <v>-7.0000000000000007E-2</v>
    <v>-3.1700000000000001E-3</v>
    <v>USD</v>
    <v>NYSE Arca</v>
    <v>ARCX</v>
    <v>3.56E-2</v>
    <v>22.094999999999999</v>
    <v>ETF</v>
    <v>46010.941753321094</v>
    <v>2636</v>
    <v>22.01</v>
    <v>60232034.780000001</v>
    <v>Teucrium:Soybean</v>
    <v>22.08</v>
    <v>22.08</v>
    <v>22.01</v>
    <v>SOYB</v>
    <v>Teucrium:Soybean (ARCX:SOYB)</v>
    <v>17</v>
    <v>193768</v>
  </rv>
  <rv s="4">
    <v>2637</v>
  </rv>
  <rv s="0">
    <fb>23.47</fb>
    <v>0</v>
  </rv>
  <rv s="0">
    <fb>23.34</fb>
    <v>0</v>
  </rv>
  <rv s="0">
    <fb>23.38</fb>
    <v>0</v>
  </rv>
  <rv s="0">
    <fb>23.32</fb>
    <v>0</v>
  </rv>
  <rv s="0">
    <fb>23.35</fb>
    <v>0</v>
  </rv>
  <rv s="0">
    <fb>23.6</fb>
    <v>0</v>
  </rv>
  <rv s="0">
    <fb>23.43</fb>
    <v>0</v>
  </rv>
  <rv s="0">
    <fb>23.28</fb>
    <v>0</v>
  </rv>
  <rv s="0">
    <fb>23.3</fb>
    <v>0</v>
  </rv>
  <rv s="0">
    <fb>23.03</fb>
    <v>0</v>
  </rv>
  <rv s="0">
    <fb>22.87</fb>
    <v>0</v>
  </rv>
  <rv s="0">
    <fb>22.73</fb>
    <v>0</v>
  </rv>
  <rv s="0">
    <fb>22.78</fb>
    <v>0</v>
  </rv>
  <rv s="0">
    <fb>22.82</fb>
    <v>0</v>
  </rv>
  <rv s="0">
    <fb>22.52</fb>
    <v>0</v>
  </rv>
  <rv s="0">
    <fb>22.48</fb>
    <v>0</v>
  </rv>
  <rv s="0">
    <fb>22.29</fb>
    <v>0</v>
  </rv>
  <rv s="0">
    <fb>22.08</fb>
    <v>0</v>
  </rv>
  <rv s="2">
    <v>https://www.bing.com/financeapi/forcetrigger?t=a25sbh&amp;q=ARCX%3aWEAT&amp;form=skydnc</v>
    <v>Learn more on Bing</v>
  </rv>
  <rv s="3">
    <v>2</v>
    <v>Teucrium:Wheat (ARCX:WEAT)</v>
    <v>4</v>
    <v>5</v>
    <v>Finance</v>
    <v>7</v>
    <v>en-US</v>
    <v>a25sbh</v>
    <v>268435456</v>
    <v>1</v>
    <v>Powered by Refinitiv</v>
    <v>26.75</v>
    <v>19.809999999999999</v>
    <v>0.99990000000000001</v>
    <v>0.04</v>
    <v>2.006E-3</v>
    <v>USD</v>
    <v>NYSE Arca</v>
    <v>ARCX</v>
    <v>3.2000000000000001E-2</v>
    <v>20.04</v>
    <v>ETF</v>
    <v>46010.881944444445</v>
    <v>2657</v>
    <v>19.86</v>
    <v>119513809</v>
    <v>Teucrium:Wheat</v>
    <v>19.920000000000002</v>
    <v>19.940000000000001</v>
    <v>19.98</v>
    <v>WEAT</v>
    <v>Teucrium:Wheat (ARCX:WEAT)</v>
    <v>1656</v>
    <v>171419</v>
  </rv>
  <rv s="4">
    <v>2658</v>
  </rv>
  <rv s="0">
    <fb>20.95</fb>
    <v>0</v>
  </rv>
  <rv s="0">
    <fb>20.96</fb>
    <v>0</v>
  </rv>
  <rv s="0">
    <fb>20.74</fb>
    <v>0</v>
  </rv>
  <rv s="0">
    <fb>20.91</fb>
    <v>0</v>
  </rv>
  <rv s="0">
    <fb>20.87</fb>
    <v>0</v>
  </rv>
  <rv s="0">
    <fb>20.68</fb>
    <v>0</v>
  </rv>
  <rv s="0">
    <fb>20.65</fb>
    <v>0</v>
  </rv>
  <rv s="0">
    <fb>20.51</fb>
    <v>0</v>
  </rv>
  <rv s="0">
    <fb>20.67</fb>
    <v>0</v>
  </rv>
  <rv s="0">
    <fb>20.53</fb>
    <v>0</v>
  </rv>
  <rv s="0">
    <fb>20.25</fb>
    <v>0</v>
  </rv>
  <rv s="0">
    <fb>19.93</fb>
    <v>0</v>
  </rv>
  <rv s="0">
    <fb>19.88</fb>
    <v>0</v>
  </rv>
  <rv s="0">
    <fb>19.940000000000001</fb>
    <v>0</v>
  </rv>
  <rv s="2">
    <v>https://www.bing.com/financeapi/forcetrigger?t=a1qrgh&amp;q=ARCX%3aDBC&amp;form=skydnc</v>
    <v>Learn more on Bing</v>
  </rv>
  <rv s="3">
    <v>2</v>
    <v>Invesco DB Cm Idx (ARCX:DBC)</v>
    <v>4</v>
    <v>5</v>
    <v>Finance</v>
    <v>7</v>
    <v>en-US</v>
    <v>a1qrgh</v>
    <v>268435456</v>
    <v>1</v>
    <v>Powered by Refinitiv</v>
    <v>23.44</v>
    <v>19.8443</v>
    <v>0.44850000000000001</v>
    <v>0.16</v>
    <v>7.0520000000000001E-3</v>
    <v>USD</v>
    <v>NYSE Arca</v>
    <v>ARCX</v>
    <v>8.3999999999999995E-3</v>
    <v>22.880099999999999</v>
    <v>ETF</v>
    <v>46010.961965566406</v>
    <v>2674</v>
    <v>22.72</v>
    <v>1258487989</v>
    <v>Invesco DB Cm Idx</v>
    <v>22.77</v>
    <v>22.69</v>
    <v>22.85</v>
    <v>DBC</v>
    <v>Invesco DB Cm Idx (ARCX:DBC)</v>
    <v>140</v>
    <v>454349</v>
  </rv>
  <rv s="4">
    <v>2675</v>
  </rv>
  <rv s="0">
    <fb>22.9</fb>
    <v>0</v>
  </rv>
  <rv s="0">
    <fb>22.68</fb>
    <v>0</v>
  </rv>
  <rv s="0">
    <fb>22.53</fb>
    <v>0</v>
  </rv>
  <rv s="0">
    <fb>22.76</fb>
    <v>0</v>
  </rv>
  <rv s="0">
    <fb>23.06</fb>
    <v>0</v>
  </rv>
  <rv s="0">
    <fb>23.12</fb>
    <v>0</v>
  </rv>
  <rv s="0">
    <fb>23.13</fb>
    <v>0</v>
  </rv>
  <rv s="0">
    <fb>23.19</fb>
    <v>0</v>
  </rv>
  <rv s="0">
    <fb>23.33</fb>
    <v>0</v>
  </rv>
  <rv s="0">
    <fb>23.04</fb>
    <v>0</v>
  </rv>
  <rv s="0">
    <fb>22.99</fb>
    <v>0</v>
  </rv>
  <rv s="0">
    <fb>23.11</fb>
    <v>0</v>
  </rv>
  <rv s="0">
    <fb>22.92</fb>
    <v>0</v>
  </rv>
  <rv s="0">
    <fb>22.81</fb>
    <v>0</v>
  </rv>
  <rv s="0">
    <fb>22.58</fb>
    <v>0</v>
  </rv>
  <rv s="0">
    <fb>22.69</fb>
    <v>0</v>
  </rv>
  <rv s="2">
    <v>https://www.bing.com/financeapi/forcetrigger?t=a1vbk2&amp;q=ARCX%3aIEMG&amp;form=skydnc</v>
    <v>Learn more on Bing</v>
  </rv>
  <rv s="3">
    <v>2</v>
    <v>iShares:Core MSCI EmMkts (ARCX:IEMG)</v>
    <v>4</v>
    <v>5</v>
    <v>Finance</v>
    <v>7</v>
    <v>en-US</v>
    <v>a1vbk2</v>
    <v>268435456</v>
    <v>1</v>
    <v>Powered by Refinitiv</v>
    <v>69.465000000000003</v>
    <v>47.29</v>
    <v>0.94810000000000005</v>
    <v>0.68</v>
    <v>1.0398000000000001E-2</v>
    <v>USD</v>
    <v>NYSE Arca</v>
    <v>ARCX</v>
    <v>8.9999999999999998E-4</v>
    <v>66.260000000000005</v>
    <v>ETF</v>
    <v>46010.887591457809</v>
    <v>2693</v>
    <v>65.814999999999998</v>
    <v>116976575469.25999</v>
    <v>iShares:Core MSCI EmMkts</v>
    <v>65.900000000000006</v>
    <v>65.400000000000006</v>
    <v>66.08</v>
    <v>IEMG</v>
    <v>iShares:Core MSCI EmMkts (ARCX:IEMG)</v>
    <v>110</v>
    <v>13776421</v>
  </rv>
  <rv s="4">
    <v>2694</v>
  </rv>
  <rv s="0">
    <fb>66.5</fb>
    <v>0</v>
  </rv>
  <rv s="0">
    <fb>65.58</fb>
    <v>0</v>
  </rv>
  <rv s="0">
    <fb>66.25</fb>
    <v>0</v>
  </rv>
  <rv s="0">
    <fb>66.459999999999994</fb>
    <v>0</v>
  </rv>
  <rv s="0">
    <fb>66.930000000000007</fb>
    <v>0</v>
  </rv>
  <rv s="0">
    <fb>67.099999999999994</fb>
    <v>0</v>
  </rv>
  <rv s="0">
    <fb>67.040000000000006</fb>
    <v>0</v>
  </rv>
  <rv s="0">
    <fb>67.069999999999993</fb>
    <v>0</v>
  </rv>
  <rv s="0">
    <fb>67.430000000000007</fb>
    <v>0</v>
  </rv>
  <rv s="0">
    <fb>67.349999999999994</fb>
    <v>0</v>
  </rv>
  <rv s="0">
    <fb>67.28</fb>
    <v>0</v>
  </rv>
  <rv s="0">
    <fb>67.930000000000007</fb>
    <v>0</v>
  </rv>
  <rv s="0">
    <fb>67.650000000000006</fb>
    <v>0</v>
  </rv>
  <rv s="0">
    <fb>66.89</fb>
    <v>0</v>
  </rv>
  <rv s="0">
    <fb>66.72</fb>
    <v>0</v>
  </rv>
  <rv s="0">
    <fb>65.150000000000006</fb>
    <v>0</v>
  </rv>
  <rv s="0">
    <fb>65.400000000000006</fb>
    <v>0</v>
  </rv>
  <rv s="2">
    <v>https://www.bing.com/financeapi/forcetrigger?t=ajf3fr&amp;q=XMIL%3aEUE&amp;form=skydnc</v>
    <v>Learn more on Bing</v>
  </rv>
  <rv s="7">
    <v>16</v>
    <v>iShs Cr EUR STXX 50 ETFEURD (XMIL:EUE)</v>
    <v>4</v>
    <v>21</v>
    <v>Finance</v>
    <v>22</v>
    <v>en-US</v>
    <v>ajf3fr</v>
    <v>268435456</v>
    <v>1</v>
    <v>Powered by Refinitiv</v>
    <v>59.11</v>
    <v>46.3</v>
    <v>1.1623000000000001</v>
    <v>-0.19</v>
    <v>-3.2379999999999996E-3</v>
    <v>EUR</v>
    <v>Borsa Italiana</v>
    <v>XMIL</v>
    <v>1E-3</v>
    <v>58.7</v>
    <v>ETF</v>
    <v>46013.474039351851</v>
    <v>2713</v>
    <v>58.48</v>
    <v>4837424585.0699997</v>
    <v>iShs Cr EUR STXX 50 ETFEURD</v>
    <v>58.69</v>
    <v>58.67</v>
    <v>58.48</v>
    <v>EUE</v>
    <v>iShs Cr EUR STXX 50 ETFEURD (XMIL:EUE)</v>
    <v>15320</v>
  </rv>
  <rv s="4">
    <v>2714</v>
  </rv>
  <rv s="0">
    <fb>56.41</fb>
    <v>1</v>
  </rv>
  <rv s="0">
    <fb>56.66</fb>
    <v>1</v>
  </rv>
  <rv s="0">
    <fb>56.03</fb>
    <v>1</v>
  </rv>
  <rv s="0">
    <fb>56.27</fb>
    <v>1</v>
  </rv>
  <rv s="0">
    <fb>56.71</fb>
    <v>1</v>
  </rv>
  <rv s="0">
    <fb>57.49</fb>
    <v>1</v>
  </rv>
  <rv s="0">
    <fb>57.56</fb>
    <v>1</v>
  </rv>
  <rv s="0">
    <fb>57.7</fb>
    <v>1</v>
  </rv>
  <rv s="0">
    <fb>57.72</fb>
    <v>1</v>
  </rv>
  <rv s="0">
    <fb>57.93</fb>
    <v>1</v>
  </rv>
  <rv s="0">
    <fb>58.01</fb>
    <v>1</v>
  </rv>
  <rv s="0">
    <fb>58.25</fb>
    <v>1</v>
  </rv>
  <rv s="0">
    <fb>58.29</fb>
    <v>1</v>
  </rv>
  <rv s="0">
    <fb>58.3</fb>
    <v>1</v>
  </rv>
  <rv s="0">
    <fb>58.13</fb>
    <v>1</v>
  </rv>
  <rv s="0">
    <fb>58.57</fb>
    <v>1</v>
  </rv>
  <rv s="0">
    <fb>58.31</fb>
    <v>1</v>
  </rv>
  <rv s="0">
    <fb>58.53</fb>
    <v>1</v>
  </rv>
  <rv s="0">
    <fb>58.23</fb>
    <v>1</v>
  </rv>
  <rv s="0">
    <fb>57.86</fb>
    <v>1</v>
  </rv>
  <rv s="0">
    <fb>58.67</fb>
    <v>1</v>
  </rv>
  <rv s="2">
    <v>https://www.bing.com/financeapi/forcetrigger?t=ae7zjc&amp;q=XPAR%3aC6E&amp;form=skydnc</v>
    <v>Learn more on Bing</v>
  </rv>
  <rv s="7">
    <v>16</v>
    <v>Amundi StoxxEupe600 ESG UETF A (XPAR:C6E)</v>
    <v>4</v>
    <v>21</v>
    <v>Finance</v>
    <v>23</v>
    <v>en-US</v>
    <v>ae7zjc</v>
    <v>268435456</v>
    <v>1</v>
    <v>Powered by Refinitiv</v>
    <v>147.15</v>
    <v>114.14</v>
    <v>1.0157</v>
    <v>-0.31590000000000001</v>
    <v>-2.147E-3</v>
    <v>EUR</v>
    <v>Euronext Paris</v>
    <v>XPAR</v>
    <v>1.8E-3</v>
    <v>147.06800000000001</v>
    <v>ETF</v>
    <v>46013.474131944444</v>
    <v>2737</v>
    <v>146.72059999999999</v>
    <v>1365307093.5899999</v>
    <v>Amundi StoxxEupe600 ESG UETF A</v>
    <v>146.96250000000001</v>
    <v>147.13200000000001</v>
    <v>146.81610000000001</v>
    <v>C6E</v>
    <v>Amundi StoxxEupe600 ESG UETF A (XPAR:C6E)</v>
    <v>3886</v>
  </rv>
  <rv s="4">
    <v>2738</v>
  </rv>
  <rv s="0">
    <fb>140.00110000000001</fb>
    <v>1</v>
  </rv>
  <rv s="0">
    <fb>140.35429999999999</fb>
    <v>1</v>
  </rv>
  <rv s="0">
    <fb>140.3535</fb>
    <v>1</v>
  </rv>
  <rv s="0">
    <fb>140.75110000000001</fb>
    <v>1</v>
  </rv>
  <rv s="0">
    <fb>142.07679999999999</fb>
    <v>1</v>
  </rv>
  <rv s="0">
    <fb>143.67910000000001</fb>
    <v>1</v>
  </rv>
  <rv s="0">
    <fb>143.80099999999999</fb>
    <v>1</v>
  </rv>
  <rv s="0">
    <fb>144.17750000000001</fb>
    <v>1</v>
  </rv>
  <rv s="9">
    <fb t="e">#N/A</fb>
    <v>6</v>
    <v>4</v>
  </rv>
  <rv s="0">
    <fb>144.32</fb>
    <v>1</v>
  </rv>
  <rv s="0">
    <fb>144.74</fb>
    <v>1</v>
  </rv>
  <rv s="0">
    <fb>145.32</fb>
    <v>1</v>
  </rv>
  <rv s="0">
    <fb>144.28</fb>
    <v>1</v>
  </rv>
  <rv s="0">
    <fb>144.34</fb>
    <v>1</v>
  </rv>
  <rv s="0">
    <fb>144.13999999999999</fb>
    <v>1</v>
  </rv>
  <rv s="0">
    <fb>145.1</fb>
    <v>1</v>
  </rv>
  <rv s="0">
    <fb>144.76</fb>
    <v>1</v>
  </rv>
  <rv s="0">
    <fb>145.69999999999999</fb>
    <v>1</v>
  </rv>
  <rv s="0">
    <fb>145.96</fb>
    <v>1</v>
  </rv>
  <rv s="0">
    <fb>145.74</fb>
    <v>1</v>
  </rv>
  <rv s="0">
    <fb>147.08000000000001</fb>
    <v>1</v>
  </rv>
  <rv s="2">
    <v>https://www.bing.com/financeapi/forcetrigger?t=a1ssk2&amp;q=ARCX%3aFEZ&amp;form=skydnc</v>
    <v>Learn more on Bing</v>
  </rv>
  <rv s="3">
    <v>2</v>
    <v>SPDR EURO STOXX 50 (ARCX:FEZ)</v>
    <v>4</v>
    <v>5</v>
    <v>Finance</v>
    <v>7</v>
    <v>en-US</v>
    <v>a1ssk2</v>
    <v>268435456</v>
    <v>1</v>
    <v>Powered by Refinitiv</v>
    <v>65.045000000000002</v>
    <v>47.63</v>
    <v>1.1000000000000001</v>
    <v>0.3</v>
    <v>4.666E-3</v>
    <v>USD</v>
    <v>NYSE Arca</v>
    <v>ARCX</v>
    <v>2.8999999999999998E-3</v>
    <v>64.844999999999999</v>
    <v>ETF</v>
    <v>46010.987444617967</v>
    <v>2761</v>
    <v>64.543499999999995</v>
    <v>4758355004.04</v>
    <v>SPDR EURO STOXX 50</v>
    <v>64.62</v>
    <v>64.290000000000006</v>
    <v>64.59</v>
    <v>FEZ</v>
    <v>SPDR EURO STOXX 50 (ARCX:FEZ)</v>
    <v>11</v>
    <v>1264721</v>
  </rv>
  <rv s="4">
    <v>2762</v>
  </rv>
  <rv s="0">
    <fb>61.33</fb>
    <v>0</v>
  </rv>
  <rv s="0">
    <fb>61.06</fb>
    <v>0</v>
  </rv>
  <rv s="0">
    <fb>60.98</fb>
    <v>0</v>
  </rv>
  <rv s="0">
    <fb>61.97</fb>
    <v>0</v>
  </rv>
  <rv s="0">
    <fb>62.73</fb>
    <v>0</v>
  </rv>
  <rv s="0">
    <fb>63.08</fb>
    <v>0</v>
  </rv>
  <rv s="0">
    <fb>62.98</fb>
    <v>0</v>
  </rv>
  <rv s="0">
    <fb>63.88</fb>
    <v>0</v>
  </rv>
  <rv s="0">
    <fb>63.83</fb>
    <v>0</v>
  </rv>
  <rv s="0">
    <fb>63.84</fb>
    <v>0</v>
  </rv>
  <rv s="0">
    <fb>63.8</fb>
    <v>0</v>
  </rv>
  <rv s="0">
    <fb>64.28</fb>
    <v>0</v>
  </rv>
  <rv s="0">
    <fb>64.95</fb>
    <v>0</v>
  </rv>
  <rv s="0">
    <fb>64.44</fb>
    <v>0</v>
  </rv>
  <rv s="0">
    <fb>64.540000000000006</fb>
    <v>0</v>
  </rv>
  <rv s="0">
    <fb>64.290000000000006</fb>
    <v>0</v>
  </rv>
  <rv s="2">
    <v>https://www.bing.com/financeapi/forcetrigger?t=ae8ehw&amp;q=XPAR%3aE40&amp;form=skydnc</v>
    <v>Learn more on Bing</v>
  </rv>
  <rv s="7">
    <v>16</v>
    <v>BNPP Easy CAC 40 ESG UCITS ETF (XPAR:E40)</v>
    <v>4</v>
    <v>21</v>
    <v>Finance</v>
    <v>23</v>
    <v>en-US</v>
    <v>ae8ehw</v>
    <v>268435456</v>
    <v>1</v>
    <v>Powered by Refinitiv</v>
    <v>13.85</v>
    <v>10.88</v>
    <v>1.0582</v>
    <v>-4.5999999999999999E-2</v>
    <v>-3.4920000000000003E-3</v>
    <v>EUR</v>
    <v>Euronext Paris</v>
    <v>XPAR</v>
    <v>2.5000000000000001E-3</v>
    <v>13.173999999999999</v>
    <v>ETF</v>
    <v>46013.473981481482</v>
    <v>2780</v>
    <v>13.12</v>
    <v>210369572.63</v>
    <v>BNPP Easy CAC 40 ESG UCITS ETF</v>
    <v>13.173999999999999</v>
    <v>13.173999999999999</v>
    <v>13.128</v>
    <v>E40</v>
    <v>BNPP Easy CAC 40 ESG UCITS ETF (XPAR:E40)</v>
    <v>2247</v>
  </rv>
  <rv s="4">
    <v>2781</v>
  </rv>
  <rv s="0">
    <fb>12.85</fb>
    <v>1</v>
  </rv>
  <rv s="0">
    <fb>12.894</fb>
    <v>1</v>
  </rv>
  <rv s="0">
    <fb>12.907999999999999</fb>
    <v>1</v>
  </rv>
  <rv s="0">
    <fb>12.84</fb>
    <v>1</v>
  </rv>
  <rv s="0">
    <fb>12.986000000000001</fb>
    <v>1</v>
  </rv>
  <rv s="0">
    <fb>13.054</fb>
    <v>1</v>
  </rv>
  <rv s="0">
    <fb>13.064</fb>
    <v>1</v>
  </rv>
  <rv s="0">
    <fb>13.141999999999999</fb>
    <v>1</v>
  </rv>
  <rv s="0">
    <fb>13.068</fb>
    <v>1</v>
  </rv>
  <rv s="0">
    <fb>13.02</fb>
    <v>1</v>
  </rv>
  <rv s="0">
    <fb>13.076000000000001</fb>
    <v>1</v>
  </rv>
  <rv s="0">
    <fb>13.122</fb>
    <v>1</v>
  </rv>
  <rv s="0">
    <fb>13.098000000000001</fb>
    <v>1</v>
  </rv>
  <rv s="0">
    <fb>12.981999999999999</fb>
    <v>1</v>
  </rv>
  <rv s="0">
    <fb>13.154</fb>
    <v>1</v>
  </rv>
  <rv s="0">
    <fb>13.144</fb>
    <v>1</v>
  </rv>
  <rv s="0">
    <fb>13.173999999999999</fb>
    <v>1</v>
  </rv>
  <rv s="2">
    <v>https://www.bing.com/financeapi/forcetrigger?t=a1qqvh&amp;q=XNAS%3aDAX&amp;form=skydnc</v>
    <v>Learn more on Bing</v>
  </rv>
  <rv s="5">
    <v>8</v>
    <v>Glbl X DAX Germany (XNAS:DAX)</v>
    <v>4</v>
    <v>9</v>
    <v>Finance</v>
    <v>10</v>
    <v>en-US</v>
    <v>a1qqvh</v>
    <v>268435456</v>
    <v>1</v>
    <v>Powered by Refinitiv</v>
    <v>46.088799999999999</v>
    <v>33.01</v>
    <v>1.1052</v>
    <v>0.2</v>
    <v>4.4479999999999997E-3</v>
    <v>USD</v>
    <v>Nasdaq Stock Market</v>
    <v>XNAS</v>
    <v>2E-3</v>
    <v>45.379899999999999</v>
    <v>ETF</v>
    <v>46010.885416724217</v>
    <v>2800</v>
    <v>45.16</v>
    <v>266374830.41</v>
    <v>Glbl X DAX Germany</v>
    <v>45.19</v>
    <v>44.96</v>
    <v>45.16</v>
    <v>45.22</v>
    <v>DAX</v>
    <v>Glbl X DAX Germany (XNAS:DAX)</v>
    <v>1</v>
    <v>47366</v>
  </rv>
  <rv s="4">
    <v>2801</v>
  </rv>
  <rv s="0">
    <fb>42.615299999999998</fb>
    <v>0</v>
  </rv>
  <rv s="0">
    <fb>42.034999999999997</fb>
    <v>0</v>
  </rv>
  <rv s="0">
    <fb>42.552399999999999</fb>
    <v>0</v>
  </rv>
  <rv s="0">
    <fb>42.595100000000002</fb>
    <v>0</v>
  </rv>
  <rv s="0">
    <fb>43.31</fb>
    <v>0</v>
  </rv>
  <rv s="0">
    <fb>43.744999999999997</fb>
    <v>0</v>
  </rv>
  <rv s="0">
    <fb>44.014099999999999</fb>
    <v>0</v>
  </rv>
  <rv s="0">
    <fb>43.515000000000001</fb>
    <v>0</v>
  </rv>
  <rv s="0">
    <fb>43.87</fb>
    <v>0</v>
  </rv>
  <rv s="0">
    <fb>44.11</fb>
    <v>0</v>
  </rv>
  <rv s="0">
    <fb>44.219000000000001</fb>
    <v>0</v>
  </rv>
  <rv s="0">
    <fb>44.490400000000001</fb>
    <v>0</v>
  </rv>
  <rv s="0">
    <fb>44.4</fb>
    <v>0</v>
  </rv>
  <rv s="0">
    <fb>44.59</fb>
    <v>0</v>
  </rv>
  <rv s="0">
    <fb>45.005000000000003</fb>
    <v>0</v>
  </rv>
  <rv s="0">
    <fb>45.56</fb>
    <v>0</v>
  </rv>
  <rv s="0">
    <fb>45.25</fb>
    <v>0</v>
  </rv>
  <rv s="0">
    <fb>45.22</fb>
    <v>0</v>
  </rv>
  <rv s="0">
    <fb>45.085000000000001</fb>
    <v>0</v>
  </rv>
  <rv s="0">
    <fb>44.6511</fb>
    <v>0</v>
  </rv>
  <rv s="0">
    <fb>44.96</fb>
    <v>0</v>
  </rv>
  <rv s="2">
    <v>https://www.bing.com/financeapi/forcetrigger?t=ajflsm&amp;q=XMIL%3aISF&amp;form=skydnc</v>
    <v>Learn more on Bing</v>
  </rv>
  <rv s="7">
    <v>16</v>
    <v>iShs Cr FTSE 100 ETF GBPD (XMIL:ISF)</v>
    <v>4</v>
    <v>21</v>
    <v>Finance</v>
    <v>22</v>
    <v>en-US</v>
    <v>ajflsm</v>
    <v>268435456</v>
    <v>1</v>
    <v>Powered by Refinitiv</v>
    <v>10.99</v>
    <v>8.6199999999999992</v>
    <v>1.0004999999999999</v>
    <v>-6.0000000000000001E-3</v>
    <v>-5.4609999999999999E-4</v>
    <v>EUR</v>
    <v>Borsa Italiana</v>
    <v>XMIL</v>
    <v>7.000000000000001E-4</v>
    <v>10.99</v>
    <v>ETF</v>
    <v>46013.473958333336</v>
    <v>2824</v>
    <v>10.954000000000001</v>
    <v>13589826616.67</v>
    <v>iShs Cr FTSE 100 ETF GBPD</v>
    <v>10.965999999999999</v>
    <v>10.988</v>
    <v>10.981999999999999</v>
    <v>ISF</v>
    <v>iShs Cr FTSE 100 ETF GBPD (XMIL:ISF)</v>
    <v>15258</v>
  </rv>
  <rv s="4">
    <v>2825</v>
  </rv>
  <rv s="0">
    <fb>10.528</fb>
    <v>1</v>
  </rv>
  <rv s="0">
    <fb>10.566000000000001</fb>
    <v>1</v>
  </rv>
  <rv s="0">
    <fb>10.593999999999999</fb>
    <v>1</v>
  </rv>
  <rv s="0">
    <fb>10.61</fb>
    <v>1</v>
  </rv>
  <rv s="0">
    <fb>10.7</fb>
    <v>1</v>
  </rv>
  <rv s="0">
    <fb>10.81</fb>
    <v>1</v>
  </rv>
  <rv s="0">
    <fb>10.824</fb>
    <v>1</v>
  </rv>
  <rv s="0">
    <fb>10.852</fb>
    <v>1</v>
  </rv>
  <rv s="0">
    <fb>10.804</fb>
    <v>1</v>
  </rv>
  <rv s="0">
    <fb>10.786</fb>
    <v>1</v>
  </rv>
  <rv s="0">
    <fb>10.85</fb>
    <v>1</v>
  </rv>
  <rv s="0">
    <fb>10.9</fb>
    <v>1</v>
  </rv>
  <rv s="0">
    <fb>10.848000000000001</fb>
    <v>1</v>
  </rv>
  <rv s="0">
    <fb>10.162000000000001</fb>
    <v>1</v>
  </rv>
  <rv s="0">
    <fb>10.134</fb>
    <v>1</v>
  </rv>
  <rv s="0">
    <fb>10.108000000000001</fb>
    <v>1</v>
  </rv>
  <rv s="0">
    <fb>10.074</fb>
    <v>1</v>
  </rv>
  <rv s="0">
    <fb>9.9819999999999993</fb>
    <v>1</v>
  </rv>
  <rv s="0">
    <fb>10.118</fb>
    <v>1</v>
  </rv>
  <rv s="0">
    <fb>10.034000000000001</fb>
    <v>1</v>
  </rv>
  <rv s="0">
    <fb>10.15</fb>
    <v>1</v>
  </rv>
  <rv s="0">
    <fb>10.254</fb>
    <v>1</v>
  </rv>
  <rv s="2">
    <v>https://www.bing.com/financeapi/forcetrigger?t=a1tkf2&amp;q=ARCX%3aFXI&amp;form=skydnc</v>
    <v>Learn more on Bing</v>
  </rv>
  <rv s="3">
    <v>2</v>
    <v>iShares:China Large Cp (ARCX:FXI)</v>
    <v>4</v>
    <v>5</v>
    <v>Finance</v>
    <v>6</v>
    <v>en-US</v>
    <v>a1tkf2</v>
    <v>268435456</v>
    <v>1</v>
    <v>Powered by Refinitiv</v>
    <v>42</v>
    <v>28.41</v>
    <v>1.1406000000000001</v>
    <v>0.39</v>
    <v>1.0206999999999999E-2</v>
    <v>USD</v>
    <v>NYSE Arca</v>
    <v>ARCX</v>
    <v>7.3000000000000001E-3</v>
    <v>38.71</v>
    <v>ETF</v>
    <v>46010.964115207811</v>
    <v>2849</v>
    <v>38.395000000000003</v>
    <v>6586023115.1700001</v>
    <v>iShares:China Large Cp</v>
    <v>38.435000000000002</v>
    <v>38.21</v>
    <v>38.6</v>
    <v>FXI</v>
    <v>iShares:China Large Cp (ARCX:FXI)</v>
    <v>73296</v>
    <v>30401515</v>
  </rv>
  <rv s="4">
    <v>2850</v>
  </rv>
  <rv s="0">
    <fb>39.11</fb>
    <v>0</v>
  </rv>
  <rv s="0">
    <fb>38.58</fb>
    <v>0</v>
  </rv>
  <rv s="0">
    <fb>38.72</fb>
    <v>0</v>
  </rv>
  <rv s="0">
    <fb>39.35</fb>
    <v>0</v>
  </rv>
  <rv s="0">
    <fb>39.6</fb>
    <v>0</v>
  </rv>
  <rv s="0">
    <fb>39.369999999999997</fb>
    <v>0</v>
  </rv>
  <rv s="0">
    <fb>39.53</fb>
    <v>0</v>
  </rv>
  <rv s="0">
    <fb>39.64</fb>
    <v>0</v>
  </rv>
  <rv s="0">
    <fb>39.49</fb>
    <v>0</v>
  </rv>
  <rv s="0">
    <fb>39.21</fb>
    <v>0</v>
  </rv>
  <rv s="0">
    <fb>39.31</fb>
    <v>0</v>
  </rv>
  <rv s="0">
    <fb>39.89</fb>
    <v>0</v>
  </rv>
  <rv s="0">
    <fb>39.47</fb>
    <v>0</v>
  </rv>
  <rv s="0">
    <fb>38.82</fb>
    <v>0</v>
  </rv>
  <rv s="0">
    <fb>39.090000000000003</fb>
    <v>0</v>
  </rv>
  <rv s="0">
    <fb>39.19</fb>
    <v>0</v>
  </rv>
  <rv s="0">
    <fb>39.08</fb>
    <v>0</v>
  </rv>
  <rv s="0">
    <fb>38.74</fb>
    <v>0</v>
  </rv>
  <rv s="0">
    <fb>38.21</fb>
    <v>0</v>
  </rv>
  <rv s="2">
    <v>https://www.bing.com/financeapi/forcetrigger?t=a1rour&amp;q=ARCX%3aEEM&amp;form=skydnc</v>
    <v>Learn more on Bing</v>
  </rv>
  <rv s="3">
    <v>2</v>
    <v>iShares:MSCI Em Mkts (ARCX:EEM)</v>
    <v>4</v>
    <v>5</v>
    <v>Finance</v>
    <v>7</v>
    <v>en-US</v>
    <v>a1rour</v>
    <v>268435456</v>
    <v>1</v>
    <v>Powered by Refinitiv</v>
    <v>56.31</v>
    <v>38.19</v>
    <v>0.9849</v>
    <v>0.52</v>
    <v>9.7739999999999997E-3</v>
    <v>USD</v>
    <v>NYSE Arca</v>
    <v>ARCX</v>
    <v>7.1999999999999998E-3</v>
    <v>53.89</v>
    <v>ETF</v>
    <v>46010.964109085158</v>
    <v>2871</v>
    <v>53.5</v>
    <v>20580734961.779999</v>
    <v>iShares:MSCI Em Mkts</v>
    <v>53.54</v>
    <v>53.2</v>
    <v>53.72</v>
    <v>EEM</v>
    <v>iShares:MSCI Em Mkts (ARCX:EEM)</v>
    <v>11691</v>
    <v>26409394</v>
  </rv>
  <rv s="4">
    <v>2872</v>
  </rv>
  <rv s="0">
    <fb>53.85</fb>
    <v>0</v>
  </rv>
  <rv s="0">
    <fb>53.11</fb>
    <v>0</v>
  </rv>
  <rv s="0">
    <fb>53.1</fb>
    <v>0</v>
  </rv>
  <rv s="0">
    <fb>54.24</fb>
    <v>0</v>
  </rv>
  <rv s="0">
    <fb>54.32</fb>
    <v>0</v>
  </rv>
  <rv s="0">
    <fb>54.28</fb>
    <v>0</v>
  </rv>
  <rv s="0">
    <fb>54.3</fb>
    <v>0</v>
  </rv>
  <rv s="0">
    <fb>54.34</fb>
    <v>0</v>
  </rv>
  <rv s="0">
    <fb>54.33</fb>
    <v>0</v>
  </rv>
  <rv s="0">
    <fb>54.74</fb>
    <v>0</v>
  </rv>
  <rv s="0">
    <fb>54.62</fb>
    <v>0</v>
  </rv>
  <rv s="0">
    <fb>54.53</fb>
    <v>0</v>
  </rv>
  <rv s="0">
    <fb>55.14</fb>
    <v>0</v>
  </rv>
  <rv s="0">
    <fb>54.88</fb>
    <v>0</v>
  </rv>
  <rv s="0">
    <fb>54.08</fb>
    <v>0</v>
  </rv>
  <rv s="0">
    <fb>52.98</fb>
    <v>0</v>
  </rv>
  <rv s="0">
    <fb>52.6</fb>
    <v>0</v>
  </rv>
  <rv s="0">
    <fb>53.2</fb>
    <v>0</v>
  </rv>
  <rv s="2">
    <v>https://www.bing.com/financeapi/forcetrigger?t=a1sfkr&amp;q=ARCX%3aEWJ&amp;form=skydnc</v>
    <v>Learn more on Bing</v>
  </rv>
  <rv s="3">
    <v>2</v>
    <v>iShares:MSCI Japan (ARCX:EWJ)</v>
    <v>4</v>
    <v>5</v>
    <v>Finance</v>
    <v>6</v>
    <v>en-US</v>
    <v>a1sfkr</v>
    <v>268435456</v>
    <v>1</v>
    <v>Powered by Refinitiv</v>
    <v>85.31</v>
    <v>59.84</v>
    <v>0.99709999999999999</v>
    <v>0.61</v>
    <v>7.6280000000000002E-3</v>
    <v>USD</v>
    <v>NYSE Arca</v>
    <v>ARCX</v>
    <v>4.8999999999999998E-3</v>
    <v>80.8</v>
    <v>ETF</v>
    <v>46010.963323784374</v>
    <v>2892</v>
    <v>80.400000000000006</v>
    <v>15849571611.280001</v>
    <v>iShares:MSCI Japan</v>
    <v>80.459999999999994</v>
    <v>79.97</v>
    <v>80.58</v>
    <v>EWJ</v>
    <v>iShares:MSCI Japan (ARCX:EWJ)</v>
    <v>1804</v>
    <v>5568968</v>
  </rv>
  <rv s="4">
    <v>2893</v>
  </rv>
  <rv s="0">
    <fb>80.680000000000007</fb>
    <v>0</v>
  </rv>
  <rv s="0">
    <fb>79.489999999999995</fb>
    <v>0</v>
  </rv>
  <rv s="0">
    <fb>81.19</fb>
    <v>0</v>
  </rv>
  <rv s="0">
    <fb>81.739999999999995</fb>
    <v>0</v>
  </rv>
  <rv s="0">
    <fb>81.92</fb>
    <v>0</v>
  </rv>
  <rv s="0">
    <fb>83.26</fb>
    <v>0</v>
  </rv>
  <rv s="0">
    <fb>83.01</fb>
    <v>0</v>
  </rv>
  <rv s="0">
    <fb>82.53</fb>
    <v>0</v>
  </rv>
  <rv s="0">
    <fb>82.47</fb>
    <v>0</v>
  </rv>
  <rv s="0">
    <fb>82.61</fb>
    <v>0</v>
  </rv>
  <rv s="0">
    <fb>83.62</fb>
    <v>0</v>
  </rv>
  <rv s="0">
    <fb>83.7</fb>
    <v>0</v>
  </rv>
  <rv s="0">
    <fb>83.19</fb>
    <v>0</v>
  </rv>
  <rv s="0">
    <fb>83.31</fb>
    <v>0</v>
  </rv>
  <rv s="0">
    <fb>83.91</fb>
    <v>0</v>
  </rv>
  <rv s="0">
    <fb>84.22</fb>
    <v>0</v>
  </rv>
  <rv s="0">
    <fb>84</fb>
    <v>0</v>
  </rv>
  <rv s="0">
    <fb>84.87</fb>
    <v>0</v>
  </rv>
  <rv s="0">
    <fb>80.849999999999994</fb>
    <v>0</v>
  </rv>
  <rv s="0">
    <fb>79.739999999999995</fb>
    <v>0</v>
  </rv>
  <rv s="0">
    <fb>79.97</fb>
    <v>0</v>
  </rv>
  <rv s="2">
    <v>https://www.bing.com/financeapi/forcetrigger?t=a1sgmw&amp;q=ARCX%3aEWU&amp;form=skydnc</v>
    <v>Learn more on Bing</v>
  </rv>
  <rv s="3">
    <v>2</v>
    <v>iShares:MSCI UK (ARCX:EWU)</v>
    <v>4</v>
    <v>5</v>
    <v>Finance</v>
    <v>7</v>
    <v>en-US</v>
    <v>a1sgmw</v>
    <v>268435456</v>
    <v>1</v>
    <v>Powered by Refinitiv</v>
    <v>43.86</v>
    <v>32.76</v>
    <v>0.82989999999999997</v>
    <v>0.41</v>
    <v>9.5060000000000006E-3</v>
    <v>USD</v>
    <v>NYSE Arca</v>
    <v>ARCX</v>
    <v>5.0000000000000001E-3</v>
    <v>43.7</v>
    <v>ETF</v>
    <v>46010.941677025003</v>
    <v>2916</v>
    <v>43.32</v>
    <v>2747702503.4400001</v>
    <v>iShares:MSCI UK</v>
    <v>43.34</v>
    <v>43.13</v>
    <v>43.54</v>
    <v>EWU</v>
    <v>iShares:MSCI UK (ARCX:EWU)</v>
    <v>12</v>
    <v>2250439</v>
  </rv>
  <rv s="4">
    <v>2917</v>
  </rv>
  <rv s="0">
    <fb>41.73</fb>
    <v>0</v>
  </rv>
  <rv s="0">
    <fb>41.34</fb>
    <v>0</v>
  </rv>
  <rv s="0">
    <fb>42.06</fb>
    <v>0</v>
  </rv>
  <rv s="0">
    <fb>41.92</fb>
    <v>0</v>
  </rv>
  <rv s="0">
    <fb>42.52</fb>
    <v>0</v>
  </rv>
  <rv s="0">
    <fb>42.99</fb>
    <v>0</v>
  </rv>
  <rv s="0">
    <fb>43.15</fb>
    <v>0</v>
  </rv>
  <rv s="0">
    <fb>43.01</fb>
    <v>0</v>
  </rv>
  <rv s="0">
    <fb>43.46</fb>
    <v>0</v>
  </rv>
  <rv s="0">
    <fb>43.42</fb>
    <v>0</v>
  </rv>
  <rv s="0">
    <fb>43.08</fb>
    <v>0</v>
  </rv>
  <rv s="0">
    <fb>42.88</fb>
    <v>0</v>
  </rv>
  <rv s="0">
    <fb>43.65</fb>
    <v>0</v>
  </rv>
  <rv s="0">
    <fb>43.28</fb>
    <v>0</v>
  </rv>
  <rv s="0">
    <fb>43.75</fb>
    <v>0</v>
  </rv>
  <rv s="0">
    <fb>42.94</fb>
    <v>0</v>
  </rv>
  <rv s="0">
    <fb>43.13</fb>
    <v>0</v>
  </rv>
  <rv s="2">
    <v>https://www.bing.com/financeapi/forcetrigger?t=a1sh52&amp;q=ARCX%3aEWZ&amp;form=skydnc</v>
    <v>Learn more on Bing</v>
  </rv>
  <rv s="3">
    <v>2</v>
    <v>iShares:MSCI Brazil (ARCX:EWZ)</v>
    <v>4</v>
    <v>5</v>
    <v>Finance</v>
    <v>7</v>
    <v>en-US</v>
    <v>a1sh52</v>
    <v>268435456</v>
    <v>1</v>
    <v>Powered by Refinitiv</v>
    <v>34.799999999999997</v>
    <v>22.26</v>
    <v>1.1181000000000001</v>
    <v>0</v>
    <v>0</v>
    <v>USD</v>
    <v>NYSE Arca</v>
    <v>ARCX</v>
    <v>5.8999999999999999E-3</v>
    <v>31.57</v>
    <v>ETF</v>
    <v>46010.964117117968</v>
    <v>2936</v>
    <v>31.09</v>
    <v>6587795937.1199999</v>
    <v>iShares:MSCI Brazil</v>
    <v>31.45</v>
    <v>31.17</v>
    <v>31.17</v>
    <v>EWZ</v>
    <v>iShares:MSCI Brazil (ARCX:EWZ)</v>
    <v>184</v>
    <v>34833541</v>
  </rv>
  <rv s="4">
    <v>2937</v>
  </rv>
  <rv s="0">
    <fb>32.49</fb>
    <v>0</v>
  </rv>
  <rv s="0">
    <fb>31.9</fb>
    <v>0</v>
  </rv>
  <rv s="0">
    <fb>32.03</fb>
    <v>0</v>
  </rv>
  <rv s="0">
    <fb>32.200000000000003</fb>
    <v>0</v>
  </rv>
  <rv s="0">
    <fb>32.549999999999997</fb>
    <v>0</v>
  </rv>
  <rv s="0">
    <fb>33.47</fb>
    <v>0</v>
  </rv>
  <rv s="0">
    <fb>33.4</fb>
    <v>0</v>
  </rv>
  <rv s="0">
    <fb>34.03</fb>
    <v>0</v>
  </rv>
  <rv s="0">
    <fb>34.200000000000003</fb>
    <v>0</v>
  </rv>
  <rv s="0">
    <fb>34.72</fb>
    <v>0</v>
  </rv>
  <rv s="0">
    <fb>32.53</fb>
    <v>0</v>
  </rv>
  <rv s="0">
    <fb>32.75</fb>
    <v>0</v>
  </rv>
  <rv s="0">
    <fb>32.74</fb>
    <v>0</v>
  </rv>
  <rv s="0">
    <fb>32.770000000000003</fb>
    <v>0</v>
  </rv>
  <rv s="0">
    <fb>33.159999999999997</fb>
    <v>0</v>
  </rv>
  <rv s="0">
    <fb>33.32</fb>
    <v>0</v>
  </rv>
  <rv s="0">
    <fb>33.58</fb>
    <v>0</v>
  </rv>
  <rv s="0">
    <fb>31.6</fb>
    <v>0</v>
  </rv>
  <rv s="0">
    <fb>31</fb>
    <v>0</v>
  </rv>
  <rv s="2">
    <v>https://www.bing.com/financeapi/forcetrigger?t=a1sf9c&amp;q=ARCX%3aEWG&amp;form=skydnc</v>
    <v>Learn more on Bing</v>
  </rv>
  <rv s="3">
    <v>2</v>
    <v>iShares:MSCI Germany (ARCX:EWG)</v>
    <v>4</v>
    <v>5</v>
    <v>Finance</v>
    <v>7</v>
    <v>en-US</v>
    <v>a1sf9c</v>
    <v>268435456</v>
    <v>1</v>
    <v>Powered by Refinitiv</v>
    <v>43.31</v>
    <v>31.484999999999999</v>
    <v>1.1624000000000001</v>
    <v>0.17</v>
    <v>4.0530000000000002E-3</v>
    <v>USD</v>
    <v>NYSE Arca</v>
    <v>ARCX</v>
    <v>4.8999999999999998E-3</v>
    <v>42.284999999999997</v>
    <v>ETF</v>
    <v>46010.917019733592</v>
    <v>2958</v>
    <v>42.091500000000003</v>
    <v>1751473758.73</v>
    <v>iShares:MSCI Germany</v>
    <v>42.15</v>
    <v>41.94</v>
    <v>42.11</v>
    <v>EWG</v>
    <v>iShares:MSCI Germany (ARCX:EWG)</v>
    <v>320</v>
    <v>2072132</v>
  </rv>
  <rv s="4">
    <v>2959</v>
  </rv>
  <rv s="0">
    <fb>40.520000000000003</fb>
    <v>0</v>
  </rv>
  <rv s="0">
    <fb>40.89</fb>
    <v>0</v>
  </rv>
  <rv s="0">
    <fb>40.950000000000003</fb>
    <v>0</v>
  </rv>
  <rv s="0">
    <fb>41.14</fb>
    <v>0</v>
  </rv>
  <rv s="0">
    <fb>41.41</fb>
    <v>0</v>
  </rv>
  <rv s="0">
    <fb>41.53</fb>
    <v>0</v>
  </rv>
  <rv s="0">
    <fb>42.39</fb>
    <v>0</v>
  </rv>
  <rv s="0">
    <fb>42.18</fb>
    <v>0</v>
  </rv>
  <rv s="0">
    <fb>42.1</fb>
    <v>0</v>
  </rv>
  <rv s="0">
    <fb>42.03</fb>
    <v>0</v>
  </rv>
  <rv s="0">
    <fb>41.61</fb>
    <v>0</v>
  </rv>
  <rv s="2">
    <v>https://www.bing.com/financeapi/forcetrigger?t=a1sgk2&amp;q=ARCX%3aEWT&amp;form=skydnc</v>
    <v>Learn more on Bing</v>
  </rv>
  <rv s="3">
    <v>2</v>
    <v>iShares:MSCI Taiwan (ARCX:EWT)</v>
    <v>4</v>
    <v>5</v>
    <v>Finance</v>
    <v>7</v>
    <v>en-US</v>
    <v>a1sgk2</v>
    <v>268435456</v>
    <v>1</v>
    <v>Powered by Refinitiv</v>
    <v>67.58</v>
    <v>39.44</v>
    <v>0.94630000000000003</v>
    <v>0.77</v>
    <v>1.265E-2</v>
    <v>USD</v>
    <v>NYSE Arca</v>
    <v>ARCX</v>
    <v>5.8999999999999999E-3</v>
    <v>61.86</v>
    <v>ETF</v>
    <v>46010.963311017971</v>
    <v>2972</v>
    <v>61.34</v>
    <v>6975999506.0600004</v>
    <v>iShares:MSCI Taiwan</v>
    <v>61.34</v>
    <v>60.87</v>
    <v>61.64</v>
    <v>EWT</v>
    <v>iShares:MSCI Taiwan (ARCX:EWT)</v>
    <v>2</v>
    <v>4368314</v>
  </rv>
  <rv s="4">
    <v>2973</v>
  </rv>
  <rv s="0">
    <fb>62.5</fb>
    <v>0</v>
  </rv>
  <rv s="0">
    <fb>61.68</fb>
    <v>0</v>
  </rv>
  <rv s="0">
    <fb>61.8</fb>
    <v>0</v>
  </rv>
  <rv s="0">
    <fb>62.51</fb>
    <v>0</v>
  </rv>
  <rv s="0">
    <fb>62.8</fb>
    <v>0</v>
  </rv>
  <rv s="0">
    <fb>63.66</fb>
    <v>0</v>
  </rv>
  <rv s="0">
    <fb>64.510000000000005</fb>
    <v>0</v>
  </rv>
  <rv s="0">
    <fb>64.13</fb>
    <v>0</v>
  </rv>
  <rv s="0">
    <fb>64.63</fb>
    <v>0</v>
  </rv>
  <rv s="0">
    <fb>64.849999999999994</fb>
    <v>0</v>
  </rv>
  <rv s="0">
    <fb>65.349999999999994</fb>
    <v>0</v>
  </rv>
  <rv s="0">
    <fb>65.569999999999993</fb>
    <v>0</v>
  </rv>
  <rv s="0">
    <fb>65.72</fb>
    <v>0</v>
  </rv>
  <rv s="0">
    <fb>66.8</fb>
    <v>0</v>
  </rv>
  <rv s="0">
    <fb>65.92</fb>
    <v>0</v>
  </rv>
  <rv s="0">
    <fb>64.099999999999994</fb>
    <v>0</v>
  </rv>
  <rv s="0">
    <fb>64.11</fb>
    <v>0</v>
  </rv>
  <rv s="0">
    <fb>61.12</fb>
    <v>0</v>
  </rv>
  <rv s="0">
    <fb>60.03</fb>
    <v>0</v>
  </rv>
  <rv s="0">
    <fb>60.87</fb>
    <v>0</v>
  </rv>
  <rv s="2">
    <v>https://www.bing.com/financeapi/forcetrigger?t=a1sff2&amp;q=ARCX%3aEWH&amp;form=skydnc</v>
    <v>Learn more on Bing</v>
  </rv>
  <rv s="3">
    <v>2</v>
    <v>iShares:MSCI Hong Kong (ARCX:EWH)</v>
    <v>4</v>
    <v>5</v>
    <v>Finance</v>
    <v>7</v>
    <v>en-US</v>
    <v>a1sff2</v>
    <v>268435456</v>
    <v>1</v>
    <v>Powered by Refinitiv</v>
    <v>23.14</v>
    <v>15.035</v>
    <v>0.80279999999999996</v>
    <v>0.17</v>
    <v>7.9290000000000003E-3</v>
    <v>USD</v>
    <v>NYSE Arca</v>
    <v>ARCX</v>
    <v>5.0000000000000001E-3</v>
    <v>21.67</v>
    <v>ETF</v>
    <v>46010.881991017966</v>
    <v>2995</v>
    <v>21.55</v>
    <v>681460797.69000006</v>
    <v>iShares:MSCI Hong Kong</v>
    <v>21.55</v>
    <v>21.44</v>
    <v>21.61</v>
    <v>EWH</v>
    <v>iShares:MSCI Hong Kong (ARCX:EWH)</v>
    <v>12</v>
    <v>2502509</v>
  </rv>
  <rv s="4">
    <v>2996</v>
  </rv>
  <rv s="0">
    <fb>21.64</fb>
    <v>0</v>
  </rv>
  <rv s="0">
    <fb>21.7</fb>
    <v>0</v>
  </rv>
  <rv s="0">
    <fb>22.15</fb>
    <v>0</v>
  </rv>
  <rv s="0">
    <fb>22.16</fb>
    <v>0</v>
  </rv>
  <rv s="0">
    <fb>22.26</fb>
    <v>0</v>
  </rv>
  <rv s="0">
    <fb>22.05</fb>
    <v>0</v>
  </rv>
  <rv s="0">
    <fb>21.82</fb>
    <v>0</v>
  </rv>
  <rv s="0">
    <fb>21.69</fb>
    <v>0</v>
  </rv>
  <rv s="0">
    <fb>21.91</fb>
    <v>0</v>
  </rv>
  <rv s="0">
    <fb>21.87</fb>
    <v>0</v>
  </rv>
  <rv s="0">
    <fb>22.02</fb>
    <v>0</v>
  </rv>
  <rv s="0">
    <fb>21.14</fb>
    <v>0</v>
  </rv>
  <rv s="0">
    <fb>21.07</fb>
    <v>0</v>
  </rv>
  <rv s="0">
    <fb>21.44</fb>
    <v>0</v>
  </rv>
  <rv s="2">
    <v>https://www.bing.com/financeapi/forcetrigger?t=a1sfhw&amp;q=ARCX%3aEWI&amp;form=skydnc</v>
    <v>Learn more on Bing</v>
  </rv>
  <rv s="3">
    <v>2</v>
    <v>iShares:MSCI Italy (ARCX:EWI)</v>
    <v>4</v>
    <v>5</v>
    <v>Finance</v>
    <v>7</v>
    <v>en-US</v>
    <v>a1sfhw</v>
    <v>268435456</v>
    <v>1</v>
    <v>Powered by Refinitiv</v>
    <v>54.53</v>
    <v>35.454999999999998</v>
    <v>1.1233</v>
    <v>0.4</v>
    <v>7.4339999999999996E-3</v>
    <v>USD</v>
    <v>NYSE Arca</v>
    <v>ARCX</v>
    <v>5.0000000000000001E-3</v>
    <v>54.395000000000003</v>
    <v>ETF</v>
    <v>46010.903930277345</v>
    <v>3012</v>
    <v>54.18</v>
    <v>666873171.89999998</v>
    <v>iShares:MSCI Italy</v>
    <v>54.25</v>
    <v>53.81</v>
    <v>54.21</v>
    <v>EWI</v>
    <v>iShares:MSCI Italy (ARCX:EWI)</v>
    <v>199491</v>
    <v>458910</v>
  </rv>
  <rv s="4">
    <v>3013</v>
  </rv>
  <rv s="0">
    <fb>51.34</fb>
    <v>0</v>
  </rv>
  <rv s="0">
    <fb>50.81</fb>
    <v>0</v>
  </rv>
  <rv s="0">
    <fb>51.47</fb>
    <v>0</v>
  </rv>
  <rv s="0">
    <fb>51.19</fb>
    <v>0</v>
  </rv>
  <rv s="0">
    <fb>52.16</fb>
    <v>0</v>
  </rv>
  <rv s="0">
    <fb>52.93</fb>
    <v>0</v>
  </rv>
  <rv s="0">
    <fb>52.66</fb>
    <v>0</v>
  </rv>
  <rv s="0">
    <fb>53</fb>
    <v>0</v>
  </rv>
  <rv s="0">
    <fb>53.15</fb>
    <v>0</v>
  </rv>
  <rv s="0">
    <fb>53.02</fb>
    <v>0</v>
  </rv>
  <rv s="0">
    <fb>53.95</fb>
    <v>0</v>
  </rv>
  <rv s="0">
    <fb>54.35</fb>
    <v>0</v>
  </rv>
  <rv s="0">
    <fb>53.58</fb>
    <v>0</v>
  </rv>
  <rv s="0">
    <fb>53.51</fb>
    <v>0</v>
  </rv>
  <rv s="0">
    <fb>53.81</fb>
    <v>0</v>
  </rv>
  <rv s="2">
    <v>https://www.bing.com/financeapi/forcetrigger?t=a1sgvh&amp;q=ARCX%3aEWW&amp;form=skydnc</v>
    <v>Learn more on Bing</v>
  </rv>
  <rv s="3">
    <v>2</v>
    <v>iShares:MSCI Mexico (ARCX:EWW)</v>
    <v>4</v>
    <v>5</v>
    <v>Finance</v>
    <v>7</v>
    <v>en-US</v>
    <v>a1sgvh</v>
    <v>268435456</v>
    <v>1</v>
    <v>Powered by Refinitiv</v>
    <v>71.599999999999994</v>
    <v>46.41</v>
    <v>0.84599999999999997</v>
    <v>0.1</v>
    <v>1.4549999999999999E-3</v>
    <v>USD</v>
    <v>NYSE Arca</v>
    <v>ARCX</v>
    <v>5.0000000000000001E-3</v>
    <v>69.52</v>
    <v>ETF</v>
    <v>46010.963321608593</v>
    <v>3030</v>
    <v>68.709999999999994</v>
    <v>1949672951.9400001</v>
    <v>iShares:MSCI Mexico</v>
    <v>68.930000000000007</v>
    <v>68.75</v>
    <v>68.849999999999994</v>
    <v>EWW</v>
    <v>iShares:MSCI Mexico (ARCX:EWW)</v>
    <v>15</v>
    <v>1470842</v>
  </rv>
  <rv s="4">
    <v>3031</v>
  </rv>
  <rv s="0">
    <fb>66.77</fb>
    <v>0</v>
  </rv>
  <rv s="0">
    <fb>66.02</fb>
    <v>0</v>
  </rv>
  <rv s="0">
    <fb>66.040000000000006</fb>
    <v>0</v>
  </rv>
  <rv s="0">
    <fb>66.55</fb>
    <v>0</v>
  </rv>
  <rv s="0">
    <fb>67.75</fb>
    <v>0</v>
  </rv>
  <rv s="0">
    <fb>67.88</fb>
    <v>0</v>
  </rv>
  <rv s="0">
    <fb>68.459999999999994</fb>
    <v>0</v>
  </rv>
  <rv s="0">
    <fb>68.709999999999994</fb>
    <v>0</v>
  </rv>
  <rv s="0">
    <fb>68.430000000000007</fb>
    <v>0</v>
  </rv>
  <rv s="0">
    <fb>68.819999999999993</fb>
    <v>0</v>
  </rv>
  <rv s="0">
    <fb>68.680000000000007</fb>
    <v>0</v>
  </rv>
  <rv s="0">
    <fb>68.64</fb>
    <v>0</v>
  </rv>
  <rv s="0">
    <fb>69.27</fb>
    <v>0</v>
  </rv>
  <rv s="0">
    <fb>69.040000000000006</fb>
    <v>0</v>
  </rv>
  <rv s="0">
    <fb>70.69</fb>
    <v>0</v>
  </rv>
  <rv s="0">
    <fb>70.48</fb>
    <v>0</v>
  </rv>
  <rv s="0">
    <fb>68.28</fb>
    <v>0</v>
  </rv>
  <rv s="0">
    <fb>67.45</fb>
    <v>0</v>
  </rv>
  <rv s="2">
    <v>https://www.bing.com/financeapi/forcetrigger?t=a1zvyc&amp;q=ARCX%3aPIN&amp;form=skydnc</v>
    <v>Learn more on Bing</v>
  </rv>
  <rv s="3">
    <v>2</v>
    <v>Invesco India (ARCX:PIN)</v>
    <v>4</v>
    <v>5</v>
    <v>Finance</v>
    <v>7</v>
    <v>en-US</v>
    <v>a1zvyc</v>
    <v>268435456</v>
    <v>1</v>
    <v>Powered by Refinitiv</v>
    <v>27.202999999999999</v>
    <v>23.0701</v>
    <v>0.83240000000000003</v>
    <v>0.44</v>
    <v>1.7127E-2</v>
    <v>USD</v>
    <v>NYSE Arca</v>
    <v>ARCX</v>
    <v>7.8000000000000005E-3</v>
    <v>26.305</v>
    <v>ETF</v>
    <v>46010.91359950156</v>
    <v>3051</v>
    <v>25.94</v>
    <v>202259425.40000001</v>
    <v>Invesco India</v>
    <v>25.94</v>
    <v>25.69</v>
    <v>26.13</v>
    <v>PIN</v>
    <v>Invesco India (ARCX:PIN)</v>
    <v>40</v>
    <v>45735</v>
  </rv>
  <rv s="4">
    <v>3052</v>
  </rv>
  <rv s="0">
    <fb>26.48</fb>
    <v>0</v>
  </rv>
  <rv s="0">
    <fb>26.139299999999999</fb>
    <v>0</v>
  </rv>
  <rv s="0">
    <fb>26.1311</fb>
    <v>0</v>
  </rv>
  <rv s="0">
    <fb>26.28</fb>
    <v>0</v>
  </rv>
  <rv s="0">
    <fb>26.45</fb>
    <v>0</v>
  </rv>
  <rv s="0">
    <fb>25.975000000000001</fb>
    <v>0</v>
  </rv>
  <rv s="0">
    <fb>25.71</fb>
    <v>0</v>
  </rv>
  <rv s="0">
    <fb>25.96</fb>
    <v>0</v>
  </rv>
  <rv s="0">
    <fb>26.03</fb>
    <v>0</v>
  </rv>
  <rv s="0">
    <fb>25.590499999999999</fb>
    <v>0</v>
  </rv>
  <rv s="0">
    <fb>25.67</fb>
    <v>0</v>
  </rv>
  <rv s="0">
    <fb>25.741499999999998</fb>
    <v>0</v>
  </rv>
  <rv s="0">
    <fb>25.75</fb>
    <v>0</v>
  </rv>
  <rv s="0">
    <fb>25.57</fb>
    <v>0</v>
  </rv>
  <rv s="0">
    <fb>25.6</fb>
    <v>0</v>
  </rv>
  <rv s="0">
    <fb>25.5</fb>
    <v>0</v>
  </rv>
  <rv s="0">
    <fb>25.51</fb>
    <v>0</v>
  </rv>
  <rv s="0">
    <fb>25.69</fb>
    <v>0</v>
  </rv>
  <rv s="2">
    <v>https://www.bing.com/financeapi/forcetrigger?t=a1vaz2&amp;q=ARCX%3aIDX&amp;form=skydnc</v>
    <v>Learn more on Bing</v>
  </rv>
  <rv s="3">
    <v>2</v>
    <v>VanEck:Indonesia Index (ARCX:IDX)</v>
    <v>4</v>
    <v>5</v>
    <v>Finance</v>
    <v>7</v>
    <v>en-US</v>
    <v>a1vaz2</v>
    <v>268435456</v>
    <v>1</v>
    <v>Powered by Refinitiv</v>
    <v>17.55</v>
    <v>10.93</v>
    <v>0.78369999999999995</v>
    <v>0.01</v>
    <v>5.8139999999999993E-4</v>
    <v>USD</v>
    <v>NYSE Arca</v>
    <v>ARCX</v>
    <v>5.6999999999999993E-3</v>
    <v>17.248999999999999</v>
    <v>ETF</v>
    <v>46010.881991469534</v>
    <v>3072</v>
    <v>17.170000000000002</v>
    <v>37327877.710000001</v>
    <v>VanEck:Indonesia Index</v>
    <v>17.22</v>
    <v>17.2</v>
    <v>17.21</v>
    <v>IDX</v>
    <v>VanEck:Indonesia Index (ARCX:IDX)</v>
    <v>45026</v>
    <v>76695</v>
  </rv>
  <rv s="4">
    <v>3073</v>
  </rv>
  <rv s="0">
    <fb>16.68</fb>
    <v>0</v>
  </rv>
  <rv s="0">
    <fb>16.53</fb>
    <v>0</v>
  </rv>
  <rv s="0">
    <fb>16.690000000000001</fb>
    <v>0</v>
  </rv>
  <rv s="0">
    <fb>17.079999999999998</fb>
    <v>0</v>
  </rv>
  <rv s="0">
    <fb>17.010200000000001</fb>
    <v>0</v>
  </rv>
  <rv s="0">
    <fb>17.13</fb>
    <v>0</v>
  </rv>
  <rv s="0">
    <fb>17.010000000000002</fb>
    <v>0</v>
  </rv>
  <rv s="0">
    <fb>17.100000000000001</fb>
    <v>0</v>
  </rv>
  <rv s="0">
    <fb>17.239999999999998</fb>
    <v>0</v>
  </rv>
  <rv s="0">
    <fb>17.14</fb>
    <v>0</v>
  </rv>
  <rv s="0">
    <fb>17.12</fb>
    <v>0</v>
  </rv>
  <rv s="0">
    <fb>17.25</fb>
    <v>0</v>
  </rv>
  <rv s="0">
    <fb>17.11</fb>
    <v>0</v>
  </rv>
  <rv s="0">
    <fb>17.29</fb>
    <v>0</v>
  </rv>
  <rv s="0">
    <fb>17.149999999999999</fb>
    <v>0</v>
  </rv>
  <rv s="0">
    <fb>17.18</fb>
    <v>0</v>
  </rv>
  <rv s="0">
    <fb>17.3</fb>
    <v>0</v>
  </rv>
  <rv s="0">
    <fb>17.170000000000002</fb>
    <v>0</v>
  </rv>
  <rv s="0">
    <fb>17.2</fb>
    <v>0</v>
  </rv>
  <rv s="2">
    <v>https://www.bing.com/financeapi/forcetrigger?t=a1sh27&amp;q=ARCX%3aEWY&amp;form=skydnc</v>
    <v>Learn more on Bing</v>
  </rv>
  <rv s="3">
    <v>2</v>
    <v>iShares:MSCI S Korea (ARCX:EWY)</v>
    <v>4</v>
    <v>5</v>
    <v>Finance</v>
    <v>7</v>
    <v>en-US</v>
    <v>a1sh27</v>
    <v>268435456</v>
    <v>1</v>
    <v>Powered by Refinitiv</v>
    <v>100.785</v>
    <v>48.49</v>
    <v>1.5810999999999999</v>
    <v>1.27</v>
    <v>1.41E-2</v>
    <v>USD</v>
    <v>NYSE Arca</v>
    <v>ARCX</v>
    <v>5.8999999999999999E-3</v>
    <v>91.42</v>
    <v>ETF</v>
    <v>46010.963324375</v>
    <v>3094</v>
    <v>90.14</v>
    <v>7017292406.1099997</v>
    <v>iShares:MSCI S Korea</v>
    <v>90.254999999999995</v>
    <v>90.07</v>
    <v>91.34</v>
    <v>EWY</v>
    <v>iShares:MSCI S Korea (ARCX:EWY)</v>
    <v>4339</v>
    <v>7221061</v>
  </rv>
  <rv s="4">
    <v>3095</v>
  </rv>
  <rv s="0">
    <fb>90.56</fb>
    <v>0</v>
  </rv>
  <rv s="0">
    <fb>88.53</fb>
    <v>0</v>
  </rv>
  <rv s="0">
    <fb>89.22</fb>
    <v>0</v>
  </rv>
  <rv s="0">
    <fb>90.3</fb>
    <v>0</v>
  </rv>
  <rv s="0">
    <fb>89.79</fb>
    <v>0</v>
  </rv>
  <rv s="0">
    <fb>91.55</fb>
    <v>0</v>
  </rv>
  <rv s="0">
    <fb>90.87</fb>
    <v>0</v>
  </rv>
  <rv s="0">
    <fb>92.07</fb>
    <v>0</v>
  </rv>
  <rv s="0">
    <fb>93</fb>
    <v>0</v>
  </rv>
  <rv s="0">
    <fb>91.87</fb>
    <v>0</v>
  </rv>
  <rv s="0">
    <fb>94.3</fb>
    <v>0</v>
  </rv>
  <rv s="0">
    <fb>95.57</fb>
    <v>0</v>
  </rv>
  <rv s="0">
    <fb>96.75</fb>
    <v>0</v>
  </rv>
  <rv s="0">
    <fb>94.96</fb>
    <v>0</v>
  </rv>
  <rv s="0">
    <fb>92.67</fb>
    <v>0</v>
  </rv>
  <rv s="0">
    <fb>92.73</fb>
    <v>0</v>
  </rv>
  <rv s="0">
    <fb>89.52</fb>
    <v>0</v>
  </rv>
  <rv s="0">
    <fb>88.58</fb>
    <v>0</v>
  </rv>
  <rv s="0">
    <fb>90.07</fb>
    <v>0</v>
  </rv>
  <rv s="2">
    <v>https://www.bing.com/financeapi/forcetrigger?t=a1seu2&amp;q=ARCX%3aEWA&amp;form=skydnc</v>
    <v>Learn more on Bing</v>
  </rv>
  <rv s="3">
    <v>2</v>
    <v>iShares:MSCI Australia (ARCX:EWA)</v>
    <v>4</v>
    <v>5</v>
    <v>Finance</v>
    <v>7</v>
    <v>en-US</v>
    <v>a1seu2</v>
    <v>268435456</v>
    <v>1</v>
    <v>Powered by Refinitiv</v>
    <v>27.57</v>
    <v>20.504999999999999</v>
    <v>1.2323</v>
    <v>8.5000000000000006E-2</v>
    <v>3.2929999999999999E-3</v>
    <v>USD</v>
    <v>NYSE Arca</v>
    <v>ARCX</v>
    <v>5.0000000000000001E-3</v>
    <v>26.039899999999999</v>
    <v>ETF</v>
    <v>46010.944019988281</v>
    <v>3116</v>
    <v>25.844999999999999</v>
    <v>1314818443.8599999</v>
    <v>iShares:MSCI Australia</v>
    <v>25.87</v>
    <v>25.81</v>
    <v>25.895</v>
    <v>EWA</v>
    <v>iShares:MSCI Australia (ARCX:EWA)</v>
    <v>21</v>
    <v>4790849</v>
  </rv>
  <rv s="4">
    <v>3117</v>
  </rv>
  <rv s="0">
    <fb>25.33</fb>
    <v>0</v>
  </rv>
  <rv s="0">
    <fb>25.44</fb>
    <v>0</v>
  </rv>
  <rv s="0">
    <fb>25.62</fb>
    <v>0</v>
  </rv>
  <rv s="0">
    <fb>25.73</fb>
    <v>0</v>
  </rv>
  <rv s="0">
    <fb>25.93</fb>
    <v>0</v>
  </rv>
  <rv s="0">
    <fb>26.24</fb>
    <v>0</v>
  </rv>
  <rv s="0">
    <fb>26.35</fb>
    <v>0</v>
  </rv>
  <rv s="0">
    <fb>26.65</fb>
    <v>0</v>
  </rv>
  <rv s="0">
    <fb>25.58</fb>
    <v>0</v>
  </rv>
  <rv s="0">
    <fb>25.81</fb>
    <v>0</v>
  </rv>
  <rv s="2">
    <v>https://www.bing.com/financeapi/forcetrigger?t=a1sftc&amp;q=ARCX%3aEWM&amp;form=skydnc</v>
    <v>Learn more on Bing</v>
  </rv>
  <rv s="3">
    <v>2</v>
    <v>iShares:MSCI Malaysia (ARCX:EWM)</v>
    <v>4</v>
    <v>5</v>
    <v>Finance</v>
    <v>7</v>
    <v>en-US</v>
    <v>a1sftc</v>
    <v>268435456</v>
    <v>1</v>
    <v>Powered by Refinitiv</v>
    <v>27.22</v>
    <v>20.802</v>
    <v>0.69479999999999997</v>
    <v>0.32</v>
    <v>1.1904999999999999E-2</v>
    <v>USD</v>
    <v>NYSE Arca</v>
    <v>ARCX</v>
    <v>5.0000000000000001E-3</v>
    <v>27.22</v>
    <v>ETF</v>
    <v>46010.941675404691</v>
    <v>3129</v>
    <v>27.149799999999999</v>
    <v>271014767.29000002</v>
    <v>iShares:MSCI Malaysia</v>
    <v>27.21</v>
    <v>26.88</v>
    <v>27.2</v>
    <v>EWM</v>
    <v>iShares:MSCI Malaysia (ARCX:EWM)</v>
    <v>5</v>
    <v>307786</v>
  </rv>
  <rv s="4">
    <v>3130</v>
  </rv>
  <rv s="0">
    <fb>26.33</fb>
    <v>0</v>
  </rv>
  <rv s="0">
    <fb>26.05</fb>
    <v>0</v>
  </rv>
  <rv s="0">
    <fb>26.47</fb>
    <v>0</v>
  </rv>
  <rv s="0">
    <fb>26.43</fb>
    <v>0</v>
  </rv>
  <rv s="0">
    <fb>26.6</fb>
    <v>0</v>
  </rv>
  <rv s="0">
    <fb>26.67</fb>
    <v>0</v>
  </rv>
  <rv s="0">
    <fb>26.73</fb>
    <v>0</v>
  </rv>
  <rv s="0">
    <fb>26.59</fb>
    <v>0</v>
  </rv>
  <rv s="0">
    <fb>26.32</fb>
    <v>0</v>
  </rv>
  <rv s="0">
    <fb>26.37</fb>
    <v>0</v>
  </rv>
  <rv s="0">
    <fb>26.87</fb>
    <v>0</v>
  </rv>
  <rv s="0">
    <fb>26.98</fb>
    <v>0</v>
  </rv>
  <rv s="0">
    <fb>27.09</fb>
    <v>0</v>
  </rv>
  <rv s="0">
    <fb>26.79</fb>
    <v>0</v>
  </rv>
  <rv s="0">
    <fb>26.88</fb>
    <v>0</v>
  </rv>
  <rv s="2">
    <v>https://www.bing.com/financeapi/forcetrigger?t=a1sgec&amp;q=ARCX%3aEWS&amp;form=skydnc</v>
    <v>Learn more on Bing</v>
  </rv>
  <rv s="3">
    <v>2</v>
    <v>iShares:MSCI Singapore (ARCX:EWS)</v>
    <v>4</v>
    <v>5</v>
    <v>Finance</v>
    <v>7</v>
    <v>en-US</v>
    <v>a1sgec</v>
    <v>268435456</v>
    <v>1</v>
    <v>Powered by Refinitiv</v>
    <v>29.65</v>
    <v>20.079999999999998</v>
    <v>0.86639999999999995</v>
    <v>0.06</v>
    <v>2.2330000000000002E-3</v>
    <v>USD</v>
    <v>NYSE Arca</v>
    <v>ARCX</v>
    <v>5.0000000000000001E-3</v>
    <v>27.01</v>
    <v>ETF</v>
    <v>46010.882411203122</v>
    <v>3147</v>
    <v>26.905000000000001</v>
    <v>835326357.25</v>
    <v>iShares:MSCI Singapore</v>
    <v>26.95</v>
    <v>26.87</v>
    <v>26.93</v>
    <v>EWS</v>
    <v>iShares:MSCI Singapore (ARCX:EWS)</v>
    <v>52</v>
    <v>882201</v>
  </rv>
  <rv s="4">
    <v>3148</v>
  </rv>
  <rv s="0">
    <fb>28.22</fb>
    <v>0</v>
  </rv>
  <rv s="0">
    <fb>27.58</fb>
    <v>0</v>
  </rv>
  <rv s="0">
    <fb>27.62</fb>
    <v>0</v>
  </rv>
  <rv s="0">
    <fb>27.89</fb>
    <v>0</v>
  </rv>
  <rv s="0">
    <fb>27.99</fb>
    <v>0</v>
  </rv>
  <rv s="0">
    <fb>28.12</fb>
    <v>0</v>
  </rv>
  <rv s="0">
    <fb>28.39</fb>
    <v>0</v>
  </rv>
  <rv s="0">
    <fb>28.2</fb>
    <v>0</v>
  </rv>
  <rv s="0">
    <fb>28.15</fb>
    <v>0</v>
  </rv>
  <rv s="0">
    <fb>28.02</fb>
    <v>0</v>
  </rv>
  <rv s="0">
    <fb>27.82</fb>
    <v>0</v>
  </rv>
  <rv s="0">
    <fb>27.48</fb>
    <v>0</v>
  </rv>
  <rv s="0">
    <fb>27.49</fb>
    <v>0</v>
  </rv>
  <rv s="0">
    <fb>27.77</fb>
    <v>0</v>
  </rv>
  <rv s="0">
    <fb>27.74</fb>
    <v>0</v>
  </rv>
  <rv s="0">
    <fb>27.73</fb>
    <v>0</v>
  </rv>
  <rv s="0">
    <fb>27.08</fb>
    <v>0</v>
  </rv>
  <rv s="0">
    <fb>26.71</fb>
    <v>0</v>
  </rv>
  <rv s="2">
    <v>https://www.bing.com/financeapi/forcetrigger?t=a1sezr&amp;q=ARCX%3aEWC&amp;form=skydnc</v>
    <v>Learn more on Bing</v>
  </rv>
  <rv s="3">
    <v>2</v>
    <v>iShares:MSCI Canada (ARCX:EWC)</v>
    <v>4</v>
    <v>5</v>
    <v>Finance</v>
    <v>7</v>
    <v>en-US</v>
    <v>a1sezr</v>
    <v>268435456</v>
    <v>1</v>
    <v>Powered by Refinitiv</v>
    <v>54.32</v>
    <v>36.700000000000003</v>
    <v>1.1968000000000001</v>
    <v>0.46</v>
    <v>8.6429999999999996E-3</v>
    <v>USD</v>
    <v>NYSE Arca</v>
    <v>ARCX</v>
    <v>5.0000000000000001E-3</v>
    <v>53.914999999999999</v>
    <v>ETF</v>
    <v>46010.958146446093</v>
    <v>3168</v>
    <v>53.37</v>
    <v>3498492390.7800002</v>
    <v>iShares:MSCI Canada</v>
    <v>53.43</v>
    <v>53.22</v>
    <v>53.68</v>
    <v>EWC</v>
    <v>iShares:MSCI Canada (ARCX:EWC)</v>
    <v>2599073</v>
    <v>1839343</v>
  </rv>
  <rv s="4">
    <v>3169</v>
  </rv>
  <rv s="0">
    <fb>50.62</fb>
    <v>0</v>
  </rv>
  <rv s="0">
    <fb>50.43</fb>
    <v>0</v>
  </rv>
  <rv s="0">
    <fb>51.05</fb>
    <v>0</v>
  </rv>
  <rv s="0">
    <fb>52.25</fb>
    <v>0</v>
  </rv>
  <rv s="0">
    <fb>52.7</fb>
    <v>0</v>
  </rv>
  <rv s="0">
    <fb>52.18</fb>
    <v>0</v>
  </rv>
  <rv s="0">
    <fb>52.14</fb>
    <v>0</v>
  </rv>
  <rv s="0">
    <fb>52.47</fb>
    <v>0</v>
  </rv>
  <rv s="0">
    <fb>52.81</fb>
    <v>0</v>
  </rv>
  <rv s="0">
    <fb>53.22</fb>
    <v>0</v>
  </rv>
  <rv s="2">
    <v>https://www.bing.com/financeapi/forcetrigger?t=a1sg5r&amp;q=ARCX%3aEWP&amp;form=skydnc</v>
    <v>Learn more on Bing</v>
  </rv>
  <rv s="3">
    <v>2</v>
    <v>iShares:MSCI Spain (ARCX:EWP)</v>
    <v>4</v>
    <v>5</v>
    <v>Finance</v>
    <v>7</v>
    <v>en-US</v>
    <v>a1sg5r</v>
    <v>268435456</v>
    <v>1</v>
    <v>Powered by Refinitiv</v>
    <v>54.105600000000003</v>
    <v>30.64</v>
    <v>1.1463000000000001</v>
    <v>0.26</v>
    <v>4.8859999999999997E-3</v>
    <v>USD</v>
    <v>NYSE Arca</v>
    <v>ARCX</v>
    <v>5.0000000000000001E-3</v>
    <v>53.66</v>
    <v>ETF</v>
    <v>46010.917349907031</v>
    <v>3181</v>
    <v>53.435000000000002</v>
    <v>1561080009.8</v>
    <v>iShares:MSCI Spain</v>
    <v>53.66</v>
    <v>53.21</v>
    <v>53.47</v>
    <v>EWP</v>
    <v>iShares:MSCI Spain (ARCX:EWP)</v>
    <v>1</v>
    <v>787410</v>
  </rv>
  <rv s="4">
    <v>3182</v>
  </rv>
  <rv s="0">
    <fb>49.37</fb>
    <v>0</v>
  </rv>
  <rv s="0">
    <fb>49.73</fb>
    <v>0</v>
  </rv>
  <rv s="0">
    <fb>49.94</fb>
    <v>0</v>
  </rv>
  <rv s="0">
    <fb>51.59</fb>
    <v>0</v>
  </rv>
  <rv s="0">
    <fb>51.66</fb>
    <v>0</v>
  </rv>
  <rv s="0">
    <fb>51.57</fb>
    <v>0</v>
  </rv>
  <rv s="0">
    <fb>52.02</fb>
    <v>0</v>
  </rv>
  <rv s="0">
    <fb>52.41</fb>
    <v>0</v>
  </rv>
  <rv s="0">
    <fb>52.49</fb>
    <v>0</v>
  </rv>
  <rv s="0">
    <fb>52.29</fb>
    <v>0</v>
  </rv>
  <rv s="0">
    <fb>52.31</fb>
    <v>0</v>
  </rv>
  <rv s="0">
    <fb>52.36</fb>
    <v>0</v>
  </rv>
  <rv s="0">
    <fb>53.06</fb>
    <v>0</v>
  </rv>
  <rv s="0">
    <fb>53.36</fb>
    <v>0</v>
  </rv>
  <rv s="0">
    <fb>54.01</fb>
    <v>0</v>
  </rv>
  <rv s="0">
    <fb>52.88</fb>
    <v>0</v>
  </rv>
  <rv s="0">
    <fb>53.21</fb>
    <v>0</v>
  </rv>
  <rv s="2">
    <v>https://www.bing.com/financeapi/forcetrigger?t=a1sjf2&amp;q=ARCX%3aEZA&amp;form=skydnc</v>
    <v>Learn more on Bing</v>
  </rv>
  <rv s="3">
    <v>2</v>
    <v>iShares:MSCI S Africa (ARCX:EZA)</v>
    <v>4</v>
    <v>5</v>
    <v>Finance</v>
    <v>7</v>
    <v>en-US</v>
    <v>a1sjf2</v>
    <v>268435456</v>
    <v>1</v>
    <v>Powered by Refinitiv</v>
    <v>70.11</v>
    <v>39.74</v>
    <v>0.47189999999999999</v>
    <v>0.11</v>
    <v>1.6289999999999998E-3</v>
    <v>USD</v>
    <v>NYSE Arca</v>
    <v>ARCX</v>
    <v>5.8999999999999999E-3</v>
    <v>68.05</v>
    <v>ETF</v>
    <v>46010.968089571092</v>
    <v>3201</v>
    <v>67.52</v>
    <v>560104519.25999999</v>
    <v>iShares:MSCI S Africa</v>
    <v>67.52</v>
    <v>67.510000000000005</v>
    <v>67.62</v>
    <v>EZA</v>
    <v>iShares:MSCI S Africa (ARCX:EZA)</v>
    <v>23</v>
    <v>275408</v>
  </rv>
  <rv s="4">
    <v>3202</v>
  </rv>
  <rv s="0">
    <fb>66.569999999999993</fb>
    <v>0</v>
  </rv>
  <rv s="0">
    <fb>64.930000000000007</fb>
    <v>0</v>
  </rv>
  <rv s="0">
    <fb>65.89</fb>
    <v>0</v>
  </rv>
  <rv s="0">
    <fb>66.3</fb>
    <v>0</v>
  </rv>
  <rv s="0">
    <fb>67.83</fb>
    <v>0</v>
  </rv>
  <rv s="0">
    <fb>66.739999999999995</fb>
    <v>0</v>
  </rv>
  <rv s="0">
    <fb>66.92</fb>
    <v>0</v>
  </rv>
  <rv s="0">
    <fb>66.39</fb>
    <v>0</v>
  </rv>
  <rv s="0">
    <fb>66.91</fb>
    <v>0</v>
  </rv>
  <rv s="0">
    <fb>68.180000000000007</fb>
    <v>0</v>
  </rv>
  <rv s="0">
    <fb>69.5</fb>
    <v>0</v>
  </rv>
  <rv s="0">
    <fb>68.63</fb>
    <v>0</v>
  </rv>
  <rv s="0">
    <fb>69.61</fb>
    <v>0</v>
  </rv>
  <rv s="0">
    <fb>65.7</fb>
    <v>0</v>
  </rv>
  <rv s="0">
    <fb>66.64</fb>
    <v>0</v>
  </rv>
  <rv s="0">
    <fb>67.510000000000005</fb>
    <v>0</v>
  </rv>
  <rv s="2">
    <v>https://www.bing.com/financeapi/forcetrigger?t=a1sfqh&amp;q=ARCX%3aEWL&amp;form=skydnc</v>
    <v>Learn more on Bing</v>
  </rv>
  <rv s="3">
    <v>2</v>
    <v>iShares:MSCI Switzerland (ARCX:EWL)</v>
    <v>4</v>
    <v>5</v>
    <v>Finance</v>
    <v>7</v>
    <v>en-US</v>
    <v>a1sfqh</v>
    <v>268435456</v>
    <v>1</v>
    <v>Powered by Refinitiv</v>
    <v>59.825000000000003</v>
    <v>45.8</v>
    <v>1.0318000000000001</v>
    <v>0.1</v>
    <v>1.6819999999999999E-3</v>
    <v>USD</v>
    <v>NYSE Arca</v>
    <v>ARCX</v>
    <v>5.0000000000000001E-3</v>
    <v>59.825000000000003</v>
    <v>ETF</v>
    <v>46010.924005219531</v>
    <v>3220</v>
    <v>59.465000000000003</v>
    <v>1473078648.75</v>
    <v>iShares:MSCI Switzerland</v>
    <v>59.5</v>
    <v>59.47</v>
    <v>59.57</v>
    <v>EWL</v>
    <v>iShares:MSCI Switzerland (ARCX:EWL)</v>
    <v>102</v>
    <v>556231</v>
  </rv>
  <rv s="4">
    <v>3221</v>
  </rv>
  <rv s="0">
    <fb>56.36</fb>
    <v>0</v>
  </rv>
  <rv s="0">
    <fb>56.69</fb>
    <v>0</v>
  </rv>
  <rv s="0">
    <fb>56.39</fb>
    <v>0</v>
  </rv>
  <rv s="0">
    <fb>57.26</fb>
    <v>0</v>
  </rv>
  <rv s="0">
    <fb>57.55</fb>
    <v>0</v>
  </rv>
  <rv s="0">
    <fb>57.82</fb>
    <v>0</v>
  </rv>
  <rv s="0">
    <fb>57.94</fb>
    <v>0</v>
  </rv>
  <rv s="0">
    <fb>58.07</fb>
    <v>0</v>
  </rv>
  <rv s="0">
    <fb>57.91</fb>
    <v>0</v>
  </rv>
  <rv s="0">
    <fb>58.03</fb>
    <v>0</v>
  </rv>
  <rv s="0">
    <fb>57.76</fb>
    <v>0</v>
  </rv>
  <rv s="0">
    <fb>57.69</fb>
    <v>0</v>
  </rv>
  <rv s="0">
    <fb>58.38</fb>
    <v>0</v>
  </rv>
  <rv s="0">
    <fb>58.49</fb>
    <v>0</v>
  </rv>
  <rv s="0">
    <fb>58.37</fb>
    <v>0</v>
  </rv>
  <rv s="0">
    <fb>59.06</fb>
    <v>0</v>
  </rv>
  <rv s="0">
    <fb>59.02</fb>
    <v>0</v>
  </rv>
  <rv s="0">
    <fb>58.84</fb>
    <v>0</v>
  </rv>
  <rv s="0">
    <fb>59.47</fb>
    <v>0</v>
  </rv>
  <rv s="2">
    <v>https://www.bing.com/financeapi/forcetrigger?t=a2557w&amp;q=ARCX%3aUUP&amp;form=skydnc</v>
    <v>Learn more on Bing</v>
  </rv>
  <rv s="3">
    <v>2</v>
    <v>Invesco DB USD Idx Bl (ARCX:UUP)</v>
    <v>4</v>
    <v>5</v>
    <v>Finance</v>
    <v>7</v>
    <v>en-US</v>
    <v>a2557w</v>
    <v>268435456</v>
    <v>1</v>
    <v>Powered by Refinitiv</v>
    <v>29.9</v>
    <v>26.805</v>
    <v>-0.60940000000000005</v>
    <v>0.08</v>
    <v>2.859E-3</v>
    <v>USD</v>
    <v>NYSE Arca</v>
    <v>ARCX</v>
    <v>7.4999999999999997E-3</v>
    <v>28.07</v>
    <v>ETF</v>
    <v>46010.894724027341</v>
    <v>3242</v>
    <v>28.01</v>
    <v>296087151.5</v>
    <v>Invesco DB USD Idx Bl</v>
    <v>28.02</v>
    <v>27.98</v>
    <v>28.06</v>
    <v>UUP</v>
    <v>Invesco DB USD Idx Bl (ARCX:UUP)</v>
    <v>15072</v>
    <v>1339005</v>
  </rv>
  <rv s="4">
    <v>3243</v>
  </rv>
  <rv s="0">
    <fb>28.41</fb>
    <v>0</v>
  </rv>
  <rv s="0">
    <fb>28.31</fb>
    <v>0</v>
  </rv>
  <rv s="0">
    <fb>28.23</fb>
    <v>0</v>
  </rv>
  <rv s="0">
    <fb>28.21</fb>
    <v>0</v>
  </rv>
  <rv s="0">
    <fb>28.19</fb>
    <v>0</v>
  </rv>
  <rv s="0">
    <fb>28.05</fb>
    <v>0</v>
  </rv>
  <rv s="0">
    <fb>28.11</fb>
    <v>0</v>
  </rv>
  <rv s="0">
    <fb>28.08</fb>
    <v>0</v>
  </rv>
  <rv s="0">
    <fb>28.16</fb>
    <v>0</v>
  </rv>
  <rv s="0">
    <fb>28.01</fb>
    <v>0</v>
  </rv>
  <rv s="0">
    <fb>27.91</fb>
    <v>0</v>
  </rv>
  <rv s="0">
    <fb>27.95</fb>
    <v>0</v>
  </rv>
  <rv s="0">
    <fb>27.93</fb>
    <v>0</v>
  </rv>
  <rv s="0">
    <fb>27.9</fb>
    <v>0</v>
  </rv>
  <rv s="0">
    <fb>27.96</fb>
    <v>0</v>
  </rv>
  <rv s="0">
    <fb>27.98</fb>
    <v>0</v>
  </rv>
  <rv s="2">
    <v>https://www.bing.com/financeapi/forcetrigger?t=a1tjww&amp;q=ARCX%3aFXE&amp;form=skydnc</v>
    <v>Learn more on Bing</v>
  </rv>
  <rv s="3">
    <v>2</v>
    <v>Invesco:Euro (ARCX:FXE)</v>
    <v>4</v>
    <v>5</v>
    <v>Finance</v>
    <v>7</v>
    <v>en-US</v>
    <v>a1tjww</v>
    <v>268435456</v>
    <v>1</v>
    <v>Powered by Refinitiv</v>
    <v>110.01</v>
    <v>94.08</v>
    <v>0.59389999999999998</v>
    <v>-0.1</v>
    <v>-9.2460000000000003E-4</v>
    <v>USD</v>
    <v>NYSE Arca</v>
    <v>ARCX</v>
    <v>4.0000000000000001E-3</v>
    <v>108.29</v>
    <v>ETF</v>
    <v>46010.881944444445</v>
    <v>3261</v>
    <v>108.03</v>
    <v>423182069.69999999</v>
    <v>Invesco:Euro</v>
    <v>108.25</v>
    <v>108.15</v>
    <v>108.05</v>
    <v>FXE</v>
    <v>Invesco:Euro (ARCX:FXE)</v>
    <v>48943</v>
    <v>97438</v>
  </rv>
  <rv s="4">
    <v>3262</v>
  </rv>
  <rv s="0">
    <fb>106.355</fb>
    <v>0</v>
  </rv>
  <rv s="0">
    <fb>106.33</fb>
    <v>0</v>
  </rv>
  <rv s="0">
    <fb>106.27500000000001</fb>
    <v>0</v>
  </rv>
  <rv s="0">
    <fb>106.36</fb>
    <v>0</v>
  </rv>
  <rv s="0">
    <fb>106.7</fb>
    <v>0</v>
  </rv>
  <rv s="0">
    <fb>106.99</fb>
    <v>0</v>
  </rv>
  <rv s="0">
    <fb>107.09</fb>
    <v>0</v>
  </rv>
  <rv s="0">
    <fb>107.07</fb>
    <v>0</v>
  </rv>
  <rv s="0">
    <fb>107.25</fb>
    <v>0</v>
  </rv>
  <rv s="0">
    <fb>107.61499999999999</fb>
    <v>0</v>
  </rv>
  <rv s="0">
    <fb>107.45</fb>
    <v>0</v>
  </rv>
  <rv s="0">
    <fb>107.42</fb>
    <v>0</v>
  </rv>
  <rv s="0">
    <fb>107.38500000000001</fb>
    <v>0</v>
  </rv>
  <rv s="0">
    <fb>107.265</fb>
    <v>0</v>
  </rv>
  <rv s="0">
    <fb>107.87</fb>
    <v>0</v>
  </rv>
  <rv s="0">
    <fb>108.319</fb>
    <v>0</v>
  </rv>
  <rv s="0">
    <fb>108.3</fb>
    <v>0</v>
  </rv>
  <rv s="0">
    <fb>108.44</fb>
    <v>0</v>
  </rv>
  <rv s="0">
    <fb>108.39</fb>
    <v>0</v>
  </rv>
  <rv s="0">
    <fb>108.325</fb>
    <v>0</v>
  </rv>
  <rv s="0">
    <fb>108.15</fb>
    <v>0</v>
  </rv>
  <rv s="2">
    <v>https://www.bing.com/financeapi/forcetrigger?t=a1tl8m&amp;q=ARCX%3aFXY&amp;form=skydnc</v>
    <v>Learn more on Bing</v>
  </rv>
  <rv s="3">
    <v>2</v>
    <v>Invesco:Japanese Yen (ARCX:FXY)</v>
    <v>4</v>
    <v>5</v>
    <v>Finance</v>
    <v>7</v>
    <v>en-US</v>
    <v>a1tl8m</v>
    <v>268435456</v>
    <v>1</v>
    <v>Powered by Refinitiv</v>
    <v>65.64</v>
    <v>58.2333</v>
    <v>1.2849999999999999</v>
    <v>-0.78500000000000003</v>
    <v>-1.3283E-2</v>
    <v>USD</v>
    <v>NYSE Arca</v>
    <v>ARCX</v>
    <v>4.4000000000000003E-3</v>
    <v>58.55</v>
    <v>ETF</v>
    <v>46010.885151782029</v>
    <v>3285</v>
    <v>58.3</v>
    <v>462697232.60000002</v>
    <v>Invesco:Japanese Yen</v>
    <v>58.55</v>
    <v>59.1</v>
    <v>58.314999999999998</v>
    <v>FXY</v>
    <v>Invesco:Japanese Yen (ARCX:FXY)</v>
    <v>3212</v>
    <v>171041</v>
  </rv>
  <rv s="4">
    <v>3286</v>
  </rv>
  <rv s="0">
    <fb>58.61</fb>
    <v>0</v>
  </rv>
  <rv s="0">
    <fb>58.33</fb>
    <v>0</v>
  </rv>
  <rv s="0">
    <fb>58.78</fb>
    <v>0</v>
  </rv>
  <rv s="0">
    <fb>58.66</fb>
    <v>0</v>
  </rv>
  <rv s="0">
    <fb>58.91</fb>
    <v>0</v>
  </rv>
  <rv s="0">
    <fb>58.8</fb>
    <v>0</v>
  </rv>
  <rv s="0">
    <fb>58.92</fb>
    <v>0</v>
  </rv>
  <rv s="0">
    <fb>59.2</fb>
    <v>0</v>
  </rv>
  <rv s="0">
    <fb>59.29</fb>
    <v>0</v>
  </rv>
  <rv s="0">
    <fb>59.3</fb>
    <v>0</v>
  </rv>
  <rv s="0">
    <fb>59.244999999999997</fb>
    <v>0</v>
  </rv>
  <rv s="0">
    <fb>58.62</fb>
    <v>0</v>
  </rv>
  <rv s="0">
    <fb>59.25</fb>
    <v>0</v>
  </rv>
  <rv s="0">
    <fb>59.44</fb>
    <v>0</v>
  </rv>
  <rv s="2">
    <v>https://www.bing.com/financeapi/forcetrigger?t=a1tjlh&amp;q=ARCX%3aFXB&amp;form=skydnc</v>
    <v>Learn more on Bing</v>
  </rv>
  <rv s="3">
    <v>2</v>
    <v>Invesco:GBP Sterling (ARCX:FXB)</v>
    <v>4</v>
    <v>5</v>
    <v>Finance</v>
    <v>7</v>
    <v>en-US</v>
    <v>a1tjlh</v>
    <v>268435456</v>
    <v>1</v>
    <v>Powered by Refinitiv</v>
    <v>132.44</v>
    <v>116.7432</v>
    <v>0.57589999999999997</v>
    <v>-9.4299999999999995E-2</v>
    <v>-7.3249999999999997E-4</v>
    <v>USD</v>
    <v>NYSE Arca</v>
    <v>ARCX</v>
    <v>4.0000000000000001E-3</v>
    <v>128.76499999999999</v>
    <v>ETF</v>
    <v>46010.978583703123</v>
    <v>3302</v>
    <v>128.5</v>
    <v>89252089.099999994</v>
    <v>Invesco:GBP Sterling</v>
    <v>128.69999999999999</v>
    <v>128.72999999999999</v>
    <v>128.63570000000001</v>
    <v>FXB</v>
    <v>Invesco:GBP Sterling (ARCX:FXB)</v>
    <v>4156</v>
    <v>9966</v>
  </rv>
  <rv s="4">
    <v>3303</v>
  </rv>
  <rv s="0">
    <fb>125.6992</fb>
    <v>0</v>
  </rv>
  <rv s="0">
    <fb>126.03740000000001</fb>
    <v>0</v>
  </rv>
  <rv s="0">
    <fb>126.12</fb>
    <v>0</v>
  </rv>
  <rv s="0">
    <fb>126.601</fb>
    <v>0</v>
  </rv>
  <rv s="0">
    <fb>127.3402</fb>
    <v>0</v>
  </rv>
  <rv s="0">
    <fb>127.363</fb>
    <v>0</v>
  </rv>
  <rv s="0">
    <fb>126.9161</fb>
    <v>0</v>
  </rv>
  <rv s="0">
    <fb>126.9255</fb>
    <v>0</v>
  </rv>
  <rv s="0">
    <fb>128.25059999999999</fb>
    <v>0</v>
  </rv>
  <rv s="0">
    <fb>128.05770000000001</fb>
    <v>0</v>
  </rv>
  <rv s="0">
    <fb>128.1</fb>
    <v>0</v>
  </rv>
  <rv s="0">
    <fb>128.05000000000001</fb>
    <v>0</v>
  </rv>
  <rv s="0">
    <fb>127.81</fb>
    <v>0</v>
  </rv>
  <rv s="0">
    <fb>128.66</fb>
    <v>0</v>
  </rv>
  <rv s="0">
    <fb>128.71</fb>
    <v>0</v>
  </rv>
  <rv s="0">
    <fb>128.51</fb>
    <v>0</v>
  </rv>
  <rv s="0">
    <fb>128.61000000000001</fb>
    <v>0</v>
  </rv>
  <rv s="0">
    <fb>129.11000000000001</fb>
    <v>0</v>
  </rv>
  <rv s="0">
    <fb>128.72999999999999</fb>
    <v>0</v>
  </rv>
  <rv s="2">
    <v>https://www.bing.com/financeapi/forcetrigger?t=a1tjim&amp;q=ARCX%3aFXA&amp;form=skydnc</v>
    <v>Learn more on Bing</v>
  </rv>
  <rv s="3">
    <v>2</v>
    <v>Invesco:AU Dollar (ARCX:FXA)</v>
    <v>4</v>
    <v>5</v>
    <v>Finance</v>
    <v>7</v>
    <v>en-US</v>
    <v>a1tjim</v>
    <v>268435456</v>
    <v>1</v>
    <v>Powered by Refinitiv</v>
    <v>66.319999999999993</v>
    <v>58.9</v>
    <v>0.77539999999999998</v>
    <v>-4.0000000000000001E-3</v>
    <v>-6.109E-5</v>
    <v>USD</v>
    <v>NYSE Arca</v>
    <v>ARCX</v>
    <v>4.0000000000000001E-3</v>
    <v>65.58</v>
    <v>ETF</v>
    <v>46010.921142904685</v>
    <v>3324</v>
    <v>65.478399999999993</v>
    <v>77949631.549999997</v>
    <v>Invesco:AU Dollar</v>
    <v>65.537999999999997</v>
    <v>65.482399999999998</v>
    <v>65.478399999999993</v>
    <v>FXA</v>
    <v>Invesco:AU Dollar (ARCX:FXA)</v>
    <v>6108</v>
    <v>12755</v>
  </rv>
  <rv s="4">
    <v>3325</v>
  </rv>
  <rv s="0">
    <fb>64.066999999999993</fb>
    <v>0</v>
  </rv>
  <rv s="0">
    <fb>63.826799999999999</fb>
    <v>0</v>
  </rv>
  <rv s="0">
    <fb>63.941699999999997</fb>
    <v>0</v>
  </rv>
  <rv s="0">
    <fb>64.062299999999993</fb>
    <v>0</v>
  </rv>
  <rv s="0">
    <fb>64.070599999999999</fb>
    <v>0</v>
  </rv>
  <rv s="0">
    <fb>64.55</fb>
    <v>0</v>
  </rv>
  <rv s="0">
    <fb>64.8827</fb>
    <v>0</v>
  </rv>
  <rv s="0">
    <fb>64.760300000000001</fb>
    <v>0</v>
  </rv>
  <rv s="0">
    <fb>65.011600000000001</fb>
    <v>0</v>
  </rv>
  <rv s="0">
    <fb>65.364599999999996</fb>
    <v>0</v>
  </rv>
  <rv s="0">
    <fb>65.466200000000001</fb>
    <v>0</v>
  </rv>
  <rv s="0">
    <fb>65.723600000000005</fb>
    <v>0</v>
  </rv>
  <rv s="0">
    <fb>65.595299999999995</fb>
    <v>0</v>
  </rv>
  <rv s="0">
    <fb>65.760099999999994</fb>
    <v>0</v>
  </rv>
  <rv s="0">
    <fb>66.162300000000002</fb>
    <v>0</v>
  </rv>
  <rv s="0">
    <fb>65.985600000000005</fb>
    <v>0</v>
  </rv>
  <rv s="0">
    <fb>65.866</fb>
    <v>0</v>
  </rv>
  <rv s="0">
    <fb>65.77</fb>
    <v>0</v>
  </rv>
  <rv s="0">
    <fb>65.721800000000002</fb>
    <v>0</v>
  </rv>
  <rv s="0">
    <fb>65.417500000000004</fb>
    <v>0</v>
  </rv>
  <rv s="0">
    <fb>65.482399999999998</fb>
    <v>0</v>
  </rv>
  <rv s="2">
    <v>https://www.bing.com/financeapi/forcetrigger?t=a1tk6h&amp;q=ARCX%3aFXF&amp;form=skydnc</v>
    <v>Learn more on Bing</v>
  </rv>
  <rv s="3">
    <v>2</v>
    <v>Invesco:Swiss Franc (ARCX:FXF)</v>
    <v>4</v>
    <v>5</v>
    <v>Finance</v>
    <v>7</v>
    <v>en-US</v>
    <v>a1tk6h</v>
    <v>268435456</v>
    <v>1</v>
    <v>Powered by Refinitiv</v>
    <v>113.12</v>
    <v>96.61</v>
    <v>0.71699999999999997</v>
    <v>-0.185</v>
    <v>-1.6609999999999999E-3</v>
    <v>USD</v>
    <v>NYSE Arca</v>
    <v>ARCX</v>
    <v>4.0000000000000001E-3</v>
    <v>111.33</v>
    <v>ETF</v>
    <v>46010.991706631248</v>
    <v>3348</v>
    <v>111.08</v>
    <v>391183672.5</v>
    <v>Invesco:Swiss Franc</v>
    <v>111.33</v>
    <v>111.35</v>
    <v>111.16500000000001</v>
    <v>FXF</v>
    <v>Invesco:Swiss Franc (ARCX:FXF)</v>
    <v>449</v>
    <v>48865</v>
  </rv>
  <rv s="4">
    <v>3349</v>
  </rv>
  <rv s="0">
    <fb>109.8</fb>
    <v>0</v>
  </rv>
  <rv s="0">
    <fb>109.753</fb>
    <v>0</v>
  </rv>
  <rv s="0">
    <fb>109.55880000000001</fb>
    <v>0</v>
  </rv>
  <rv s="0">
    <fb>109.56</fb>
    <v>0</v>
  </rv>
  <rv s="0">
    <fb>110.12</fb>
    <v>0</v>
  </rv>
  <rv s="0">
    <fb>109.9</fb>
    <v>0</v>
  </rv>
  <rv s="0">
    <fb>110.1502</fb>
    <v>0</v>
  </rv>
  <rv s="0">
    <fb>110.61</fb>
    <v>0</v>
  </rv>
  <rv s="0">
    <fb>110.01300000000001</fb>
    <v>0</v>
  </rv>
  <rv s="0">
    <fb>109.98</fb>
    <v>0</v>
  </rv>
  <rv s="0">
    <fb>109.605</fb>
    <v>0</v>
  </rv>
  <rv s="0">
    <fb>109.73</fb>
    <v>0</v>
  </rv>
  <rv s="0">
    <fb>110.57</fb>
    <v>0</v>
  </rv>
  <rv s="0">
    <fb>111.06</fb>
    <v>0</v>
  </rv>
  <rv s="0">
    <fb>111.03</fb>
    <v>0</v>
  </rv>
  <rv s="0">
    <fb>111.2013</fb>
    <v>0</v>
  </rv>
  <rv s="0">
    <fb>111.14</fb>
    <v>0</v>
  </rv>
  <rv s="0">
    <fb>111.35</fb>
    <v>0</v>
  </rv>
  <rv s="2">
    <v>https://www.bing.com/financeapi/forcetrigger?t=a1tjoc&amp;q=ARCX%3aFXC&amp;form=skydnc</v>
    <v>Learn more on Bing</v>
  </rv>
  <rv s="3">
    <v>2</v>
    <v>Invesco:Canadian Dollar (ARCX:FXC)</v>
    <v>4</v>
    <v>5</v>
    <v>Finance</v>
    <v>7</v>
    <v>en-US</v>
    <v>a1tjoc</v>
    <v>268435456</v>
    <v>1</v>
    <v>Powered by Refinitiv</v>
    <v>72.209999999999994</v>
    <v>66.52</v>
    <v>0.41799999999999998</v>
    <v>-0.1145</v>
    <v>-1.614E-3</v>
    <v>USD</v>
    <v>NYSE Arca</v>
    <v>ARCX</v>
    <v>4.0000000000000001E-3</v>
    <v>71.05</v>
    <v>ETF</v>
    <v>46010.881991191403</v>
    <v>3369</v>
    <v>70.8125</v>
    <v>77124632.680000007</v>
    <v>Invesco:Canadian Dollar</v>
    <v>71.017799999999994</v>
    <v>70.927000000000007</v>
    <v>70.8125</v>
    <v>FXC</v>
    <v>Invesco:Canadian Dollar (ARCX:FXC)</v>
    <v>1214</v>
    <v>21013</v>
  </rv>
  <rv s="4">
    <v>3370</v>
  </rv>
  <rv s="0">
    <fb>69.48</fb>
    <v>0</v>
  </rv>
  <rv s="0">
    <fb>69.305400000000006</fb>
    <v>0</v>
  </rv>
  <rv s="0">
    <fb>69.335400000000007</fb>
    <v>0</v>
  </rv>
  <rv s="0">
    <fb>69.261099999999999</fb>
    <v>0</v>
  </rv>
  <rv s="0">
    <fb>69.287899999999993</fb>
    <v>0</v>
  </rv>
  <rv s="0">
    <fb>69.572999999999993</fb>
    <v>0</v>
  </rv>
  <rv s="0">
    <fb>69.91</fb>
    <v>0</v>
  </rv>
  <rv s="0">
    <fb>69.81</fb>
    <v>0</v>
  </rv>
  <rv s="0">
    <fb>69.92</fb>
    <v>0</v>
  </rv>
  <rv s="0">
    <fb>70.044700000000006</fb>
    <v>0</v>
  </rv>
  <rv s="0">
    <fb>70.67</fb>
    <v>0</v>
  </rv>
  <rv s="0">
    <fb>70.569999999999993</fb>
    <v>0</v>
  </rv>
  <rv s="0">
    <fb>70.849999999999994</fb>
    <v>0</v>
  </rv>
  <rv s="0">
    <fb>70.959999999999994</fb>
    <v>0</v>
  </rv>
  <rv s="0">
    <fb>70.97</fb>
    <v>0</v>
  </rv>
  <rv s="0">
    <fb>70.98</fb>
    <v>0</v>
  </rv>
  <rv s="0">
    <fb>71.03</fb>
    <v>0</v>
  </rv>
  <rv s="0">
    <fb>70.910700000000006</fb>
    <v>0</v>
  </rv>
  <rv s="0">
    <fb>70.927000000000007</fb>
    <v>0</v>
  </rv>
  <rv s="10">
    <v>24</v>
    <v>iShares Bitcoin Trust (XNAS:IBIT)</v>
    <v>25</v>
    <v>26</v>
    <v>Finance</v>
    <v>6</v>
    <v>en-US</v>
    <v>cc5pdm</v>
    <v>268435456</v>
    <v>1</v>
    <v>Powered by Refinitiv</v>
    <v>71.819999999999993</v>
    <v>42.98</v>
    <v>1.95</v>
    <v>4.0659000000000001E-2</v>
    <v>USD</v>
    <v>Nasdaq Stock Market</v>
    <v>XNAS</v>
    <v>2.2000000000000001E-3</v>
    <v>50.71</v>
    <v>ETF</v>
    <v>46010.950128101562</v>
    <v>49.22</v>
    <v>70844288275.470001</v>
    <v>iShares Bitcoin Trust</v>
    <v>49.92</v>
    <v>47.96</v>
    <v>49.91</v>
    <v>IBIT</v>
    <v>iShares Bitcoin Trust (XNAS:IBIT)</v>
    <v>792344</v>
    <v>73410482</v>
  </rv>
  <rv s="4">
    <v>3391</v>
  </rv>
  <rv s="0">
    <fb>48.96</fb>
    <v>0</v>
  </rv>
  <rv s="0">
    <fb>47.97</fb>
    <v>0</v>
  </rv>
  <rv s="0">
    <fb>50.57</fb>
    <v>0</v>
  </rv>
  <rv s="0">
    <fb>51.03</fb>
    <v>0</v>
  </rv>
  <rv s="0">
    <fb>51.55</fb>
    <v>0</v>
  </rv>
  <rv s="0">
    <fb>48.5</fb>
    <v>0</v>
  </rv>
  <rv s="0">
    <fb>52.74</fb>
    <v>0</v>
  </rv>
  <rv s="0">
    <fb>52.51</fb>
    <v>0</v>
  </rv>
  <rv s="0">
    <fb>50.69</fb>
    <v>0</v>
  </rv>
  <rv s="0">
    <fb>52.85</fb>
    <v>0</v>
  </rv>
  <rv s="0">
    <fb>52.1</fb>
    <v>0</v>
  </rv>
  <rv s="0">
    <fb>51.2</fb>
    <v>0</v>
  </rv>
  <rv s="0">
    <fb>48.66</fb>
    <v>0</v>
  </rv>
  <rv s="0">
    <fb>49.71</fb>
    <v>0</v>
  </rv>
  <rv s="0">
    <fb>48.71</fb>
    <v>0</v>
  </rv>
  <rv s="10">
    <v>24</v>
    <v>iShares Ethereum Trust (XNAS:ETHA)</v>
    <v>25</v>
    <v>26</v>
    <v>Finance</v>
    <v>6</v>
    <v>en-US</v>
    <v>ce8mrw</v>
    <v>268435456</v>
    <v>1</v>
    <v>Powered by Refinitiv</v>
    <v>36.799999999999997</v>
    <v>10.99</v>
    <v>1.64</v>
    <v>7.8094999999999998E-2</v>
    <v>USD</v>
    <v>Nasdaq Stock Market</v>
    <v>XNAS</v>
    <v>1.1999999999999999E-3</v>
    <v>22.82</v>
    <v>ETF</v>
    <v>46010.885416666664</v>
    <v>22.19</v>
    <v>11131030744.469999</v>
    <v>iShares Ethereum Trust</v>
    <v>22.36</v>
    <v>21</v>
    <v>22.64</v>
    <v>ETHA</v>
    <v>iShares Ethereum Trust (XNAS:ETHA)</v>
    <v>502769</v>
    <v>51909964</v>
  </rv>
  <rv s="4">
    <v>3408</v>
  </rv>
  <rv s="0">
    <fb>21.41</fb>
    <v>0</v>
  </rv>
  <rv s="0">
    <fb>22.45</fb>
    <v>0</v>
  </rv>
  <rv s="0">
    <fb>22.95</fb>
    <v>0</v>
  </rv>
  <rv s="0">
    <fb>20.77</fb>
    <v>0</v>
  </rv>
  <rv s="0">
    <fb>22.51</fb>
    <v>0</v>
  </rv>
  <rv s="0">
    <fb>23.72</fb>
    <v>0</v>
  </rv>
  <rv s="0">
    <fb>23.77</fb>
    <v>0</v>
  </rv>
  <rv s="0">
    <fb>25.17</fb>
    <v>0</v>
  </rv>
  <rv s="0">
    <fb>24.38</fb>
    <v>0</v>
  </rv>
  <rv s="0">
    <fb>23.27</fb>
    <v>0</v>
  </rv>
  <rv s="0">
    <fb>22.12</fb>
    <v>0</v>
  </rv>
  <rv s="0">
    <fb>22.28</fb>
    <v>0</v>
  </rv>
  <rv s="0">
    <fb>21.32</fb>
    <v>0</v>
  </rv>
  <rv s="0">
    <fb>21</fb>
    <v>0</v>
  </rv>
  <rv s="2">
    <v>https://www.bing.com/financeapi/forcetrigger?t=a24b5r&amp;q=XNAS%3aTLT&amp;form=skydnc</v>
    <v>Learn more on Bing</v>
  </rv>
  <rv s="3">
    <v>2</v>
    <v>iShares:20+ Trs Bd ETF (XNAS:TLT)</v>
    <v>4</v>
    <v>5</v>
    <v>Finance</v>
    <v>6</v>
    <v>en-US</v>
    <v>a24b5r</v>
    <v>268435456</v>
    <v>1</v>
    <v>Powered by Refinitiv</v>
    <v>94.09</v>
    <v>83.295000000000002</v>
    <v>1.0791999999999999</v>
    <v>-0.32800000000000001</v>
    <v>-3.7319999999999996E-3</v>
    <v>USD</v>
    <v>Nasdaq Stock Market</v>
    <v>XNAS</v>
    <v>1.5E-3</v>
    <v>87.76</v>
    <v>ETF</v>
    <v>46010.964105138279</v>
    <v>3424</v>
    <v>87.41</v>
    <v>49704599304.239998</v>
    <v>iShares:20+ Trs Bd ETF</v>
    <v>87.605000000000004</v>
    <v>87.878</v>
    <v>87.55</v>
    <v>TLT</v>
    <v>iShares:20+ Trs Bd ETF (XNAS:TLT)</v>
    <v>116121</v>
    <v>33645014</v>
  </rv>
  <rv s="4">
    <v>3425</v>
  </rv>
  <rv s="0">
    <fb>88.88</fb>
    <v>0</v>
  </rv>
  <rv s="0">
    <fb>89.23</fb>
    <v>0</v>
  </rv>
  <rv s="0">
    <fb>89.5</fb>
    <v>0</v>
  </rv>
  <rv s="0">
    <fb>90.01</fb>
    <v>0</v>
  </rv>
  <rv s="0">
    <fb>90.24</fb>
    <v>0</v>
  </rv>
  <rv s="0">
    <fb>90.21</fb>
    <v>0</v>
  </rv>
  <rv s="0">
    <fb>89.06</fb>
    <v>0</v>
  </rv>
  <rv s="0">
    <fb>88.17</fb>
    <v>0</v>
  </rv>
  <rv s="0">
    <fb>87.88</fb>
    <v>0</v>
  </rv>
  <rv s="0">
    <fb>87.97</fb>
    <v>0</v>
  </rv>
  <rv s="0">
    <fb>88.31</fb>
    <v>0</v>
  </rv>
  <rv s="0">
    <fb>88.19</fb>
    <v>0</v>
  </rv>
  <rv s="0">
    <fb>87.34</fb>
    <v>0</v>
  </rv>
  <rv s="0">
    <fb>87.4</fb>
    <v>0</v>
  </rv>
  <rv s="0">
    <fb>87.8</fb>
    <v>0</v>
  </rv>
  <rv s="0">
    <fb>88.22</fb>
    <v>0</v>
  </rv>
  <rv s="2">
    <v>https://www.bing.com/financeapi/forcetrigger?t=a1oopr&amp;q=XNAS%3aBND&amp;form=skydnc</v>
    <v>Learn more on Bing</v>
  </rv>
  <rv s="3">
    <v>2</v>
    <v>Vanguard Tot Bd;ETF (XNAS:BND)</v>
    <v>4</v>
    <v>5</v>
    <v>Finance</v>
    <v>7</v>
    <v>en-US</v>
    <v>a1oopr</v>
    <v>268435456</v>
    <v>1</v>
    <v>Powered by Refinitiv</v>
    <v>75.150000000000006</v>
    <v>71.1023</v>
    <v>0.98719999999999997</v>
    <v>-0.11</v>
    <v>-1.4829999999999999E-3</v>
    <v>USD</v>
    <v>Nasdaq Stock Market</v>
    <v>XNAS</v>
    <v>2.9999999999999997E-4</v>
    <v>74.13</v>
    <v>ETF</v>
    <v>46010.959432962503</v>
    <v>3443</v>
    <v>74.02</v>
    <v>144957485305</v>
    <v>Vanguard Tot Bd;ETF</v>
    <v>74.069999999999993</v>
    <v>74.150000000000006</v>
    <v>74.040000000000006</v>
    <v>BND</v>
    <v>Vanguard Tot Bd;ETF (XNAS:BND)</v>
    <v>695</v>
    <v>7609037</v>
  </rv>
  <rv s="4">
    <v>3444</v>
  </rv>
  <rv s="0">
    <fb>74.23</fb>
    <v>0</v>
  </rv>
  <rv s="0">
    <fb>74.34</fb>
    <v>0</v>
  </rv>
  <rv s="0">
    <fb>74.52</fb>
    <v>0</v>
  </rv>
  <rv s="0">
    <fb>74.650000000000006</fb>
    <v>0</v>
  </rv>
  <rv s="0">
    <fb>74.819999999999993</fb>
    <v>0</v>
  </rv>
  <rv s="0">
    <fb>74.900000000000006</fb>
    <v>0</v>
  </rv>
  <rv s="0">
    <fb>74.78</fb>
    <v>0</v>
  </rv>
  <rv s="0">
    <fb>74.25</fb>
    <v>0</v>
  </rv>
  <rv s="0">
    <fb>74.319999999999993</fb>
    <v>0</v>
  </rv>
  <rv s="0">
    <fb>74.2</fb>
    <v>0</v>
  </rv>
  <rv s="0">
    <fb>74.260000000000005</fb>
    <v>0</v>
  </rv>
  <rv s="0">
    <fb>74.03</fb>
    <v>0</v>
  </rv>
  <rv s="2">
    <v>https://www.bing.com/financeapi/forcetrigger?t=a22xmw&amp;q=XNAS%3aSHY&amp;form=skydnc</v>
    <v>Learn more on Bing</v>
  </rv>
  <rv s="3">
    <v>2</v>
    <v>iShares:1-3 Trs Bd ETF (XNAS:SHY)</v>
    <v>4</v>
    <v>5</v>
    <v>Finance</v>
    <v>6</v>
    <v>en-US</v>
    <v>a22xmw</v>
    <v>268435456</v>
    <v>1</v>
    <v>Powered by Refinitiv</v>
    <v>83.14</v>
    <v>81.73</v>
    <v>1.0286999999999999</v>
    <v>-1.4999999999999999E-2</v>
    <v>-1.8120000000000001E-4</v>
    <v>USD</v>
    <v>Nasdaq Stock Market</v>
    <v>XNAS</v>
    <v>1.5E-3</v>
    <v>82.77</v>
    <v>ETF</v>
    <v>46010.930285613278</v>
    <v>3458</v>
    <v>82.74</v>
    <v>23862463056.939999</v>
    <v>iShares:1-3 Trs Bd ETF</v>
    <v>82.76</v>
    <v>82.775000000000006</v>
    <v>82.76</v>
    <v>SHY</v>
    <v>iShares:1-3 Trs Bd ETF (XNAS:SHY)</v>
    <v>1682</v>
    <v>4152032</v>
  </rv>
  <rv s="4">
    <v>3459</v>
  </rv>
  <rv s="0">
    <fb>82.93</fb>
    <v>0</v>
  </rv>
  <rv s="0">
    <fb>83.03</fb>
    <v>0</v>
  </rv>
  <rv s="0">
    <fb>83.04</fb>
    <v>0</v>
  </rv>
  <rv s="0">
    <fb>83.09</fb>
    <v>0</v>
  </rv>
  <rv s="0">
    <fb>83.08</fb>
    <v>0</v>
  </rv>
  <rv s="0">
    <fb>82.81</fb>
    <v>0</v>
  </rv>
  <rv s="0">
    <fb>82.8</fb>
    <v>0</v>
  </rv>
  <rv s="0">
    <fb>82.77</fb>
    <v>0</v>
  </rv>
  <rv s="0">
    <fb>82.75</fb>
    <v>0</v>
  </rv>
  <rv s="0">
    <fb>82.71</fb>
    <v>0</v>
  </rv>
  <rv s="0">
    <fb>82.85</fb>
    <v>0</v>
  </rv>
  <rv s="0">
    <fb>82.87</fb>
    <v>0</v>
  </rv>
  <rv s="0">
    <fb>82.92</fb>
    <v>0</v>
  </rv>
  <rv s="0">
    <fb>82.96</fb>
    <v>0</v>
  </rv>
  <rv s="2">
    <v>https://www.bing.com/financeapi/forcetrigger?t=a1vbbh&amp;q=XNAS%3aIEF&amp;form=skydnc</v>
    <v>Learn more on Bing</v>
  </rv>
  <rv s="3">
    <v>2</v>
    <v>iShares:7-10 Trs Bd (XNAS:IEF)</v>
    <v>4</v>
    <v>5</v>
    <v>Finance</v>
    <v>7</v>
    <v>en-US</v>
    <v>a1vbbh</v>
    <v>268435456</v>
    <v>1</v>
    <v>Powered by Refinitiv</v>
    <v>97.77</v>
    <v>91.08</v>
    <v>1.2216</v>
    <v>-0.217</v>
    <v>-2.2500000000000003E-3</v>
    <v>USD</v>
    <v>Nasdaq Stock Market</v>
    <v>XNAS</v>
    <v>1.5E-3</v>
    <v>96.389700000000005</v>
    <v>ETF</v>
    <v>46010.963316608591</v>
    <v>3475</v>
    <v>96.200299999999999</v>
    <v>45408036647.18</v>
    <v>iShares:7-10 Trs Bd</v>
    <v>96.3</v>
    <v>96.456999999999994</v>
    <v>96.24</v>
    <v>IEF</v>
    <v>iShares:7-10 Trs Bd (XNAS:IEF)</v>
    <v>1948</v>
    <v>10494293</v>
  </rv>
  <rv s="4">
    <v>3476</v>
  </rv>
  <rv s="0">
    <fb>96.64</fb>
    <v>0</v>
  </rv>
  <rv s="0">
    <fb>96.87</fb>
    <v>0</v>
  </rv>
  <rv s="0">
    <fb>97.19</fb>
    <v>0</v>
  </rv>
  <rv s="0">
    <fb>97.34</fb>
    <v>0</v>
  </rv>
  <rv s="0">
    <fb>97.59</fb>
    <v>0</v>
  </rv>
  <rv s="0">
    <fb>97.67</fb>
    <v>0</v>
  </rv>
  <rv s="0">
    <fb>97.5</fb>
    <v>0</v>
  </rv>
  <rv s="0">
    <fb>96.69</fb>
    <v>0</v>
  </rv>
  <rv s="0">
    <fb>96.77</fb>
    <v>0</v>
  </rv>
  <rv s="0">
    <fb>96.97</fb>
    <v>0</v>
  </rv>
  <rv s="0">
    <fb>96.67</fb>
    <v>0</v>
  </rv>
  <rv s="0">
    <fb>96.47</fb>
    <v>0</v>
  </rv>
  <rv s="0">
    <fb>96.27</fb>
    <v>0</v>
  </rv>
  <rv s="0">
    <fb>96.13</fb>
    <v>0</v>
  </rv>
  <rv s="0">
    <fb>96.44</fb>
    <v>0</v>
  </rv>
  <rv s="0">
    <fb>96.45</fb>
    <v>0</v>
  </rv>
  <rv s="0">
    <fb>96.19</fb>
    <v>0</v>
  </rv>
  <rv s="0">
    <fb>96.54</fb>
    <v>0</v>
  </rv>
  <rv s="2">
    <v>https://www.bing.com/financeapi/forcetrigger?t=buo152&amp;q=ARCX%3aSGOV&amp;form=skydnc</v>
    <v>Learn more on Bing</v>
  </rv>
  <rv s="3">
    <v>2</v>
    <v>iShares:0-3 Month Trs Bd (ARCX:SGOV)</v>
    <v>4</v>
    <v>5</v>
    <v>Finance</v>
    <v>6</v>
    <v>en-US</v>
    <v>buo152</v>
    <v>268435456</v>
    <v>1</v>
    <v>Powered by Refinitiv</v>
    <v>100.74</v>
    <v>100.21</v>
    <v>0.61140000000000005</v>
    <v>4.2999999999999997E-2</v>
    <v>4.2900000000000002E-4</v>
    <v>USD</v>
    <v>NYSE Arca</v>
    <v>ARCX</v>
    <v>8.9999999999999998E-4</v>
    <v>100.28</v>
    <v>ETF</v>
    <v>46010.915956191406</v>
    <v>3496</v>
    <v>100.27</v>
    <v>64673522313.5</v>
    <v>iShares:0-3 Month Trs Bd</v>
    <v>100.28</v>
    <v>100.23699999999999</v>
    <v>100.28</v>
    <v>SGOV</v>
    <v>iShares:0-3 Month Trs Bd (ARCX:SGOV)</v>
    <v>590119</v>
    <v>16209291</v>
  </rv>
  <rv s="4">
    <v>3497</v>
  </rv>
  <rv s="0">
    <fb>100.56</fb>
    <v>0</v>
  </rv>
  <rv s="0">
    <fb>100.58</fb>
    <v>0</v>
  </rv>
  <rv s="0">
    <fb>100.6</fb>
    <v>0</v>
  </rv>
  <rv s="0">
    <fb>100.63</fb>
    <v>0</v>
  </rv>
  <rv s="0">
    <fb>100.64</fb>
    <v>0</v>
  </rv>
  <rv s="0">
    <fb>100.67</fb>
    <v>0</v>
  </rv>
  <rv s="0">
    <fb>100.38</fb>
    <v>0</v>
  </rv>
  <rv s="0">
    <fb>100.4</fb>
    <v>0</v>
  </rv>
  <rv s="0">
    <fb>100.41</fb>
    <v>0</v>
  </rv>
  <rv s="0">
    <fb>100.43</fb>
    <v>0</v>
  </rv>
  <rv s="0">
    <fb>100.46</fb>
    <v>0</v>
  </rv>
  <rv s="0">
    <fb>100.47</fb>
    <v>0</v>
  </rv>
  <rv s="0">
    <fb>100.49</fb>
    <v>0</v>
  </rv>
  <rv s="0">
    <fb>100.53</fb>
    <v>0</v>
  </rv>
  <rv s="0">
    <fb>100.54</fb>
    <v>0</v>
  </rv>
  <rv s="2">
    <v>https://www.bing.com/financeapi/forcetrigger?t=a1vbh7&amp;q=XNAS%3aIEI&amp;form=skydnc</v>
    <v>Learn more on Bing</v>
  </rv>
  <rv s="5">
    <v>8</v>
    <v>iShares:3-7 Trs Bd (XNAS:IEI)</v>
    <v>4</v>
    <v>9</v>
    <v>Finance</v>
    <v>10</v>
    <v>en-US</v>
    <v>a1vbh7</v>
    <v>268435456</v>
    <v>1</v>
    <v>Powered by Refinitiv</v>
    <v>120.435</v>
    <v>114.51</v>
    <v>1.2336</v>
    <v>-0.13900000000000001</v>
    <v>-1.163E-3</v>
    <v>USD</v>
    <v>Nasdaq Stock Market</v>
    <v>XNAS</v>
    <v>1.5E-3</v>
    <v>119.429</v>
    <v>ETF</v>
    <v>46010.936817267968</v>
    <v>3514</v>
    <v>119.31</v>
    <v>17609997313.080002</v>
    <v>iShares:3-7 Trs Bd</v>
    <v>119.37</v>
    <v>119.479</v>
    <v>119.34</v>
    <v>119.31</v>
    <v>IEI</v>
    <v>iShares:3-7 Trs Bd (XNAS:IEI)</v>
    <v>160</v>
    <v>2227540</v>
  </rv>
  <rv s="4">
    <v>3515</v>
  </rv>
  <rv s="0">
    <fb>119.62</fb>
    <v>0</v>
  </rv>
  <rv s="0">
    <fb>119.82</fb>
    <v>0</v>
  </rv>
  <rv s="0">
    <fb>120.08</fb>
    <v>0</v>
  </rv>
  <rv s="0">
    <fb>120.14</fb>
    <v>0</v>
  </rv>
  <rv s="0">
    <fb>120.35</fb>
    <v>0</v>
  </rv>
  <rv s="0">
    <fb>120.37</fb>
    <v>0</v>
  </rv>
  <rv s="0">
    <fb>120.26</fb>
    <v>0</v>
  </rv>
  <rv s="0">
    <fb>119.56</fb>
    <v>0</v>
  </rv>
  <rv s="0">
    <fb>119.66</fb>
    <v>0</v>
  </rv>
  <rv s="0">
    <fb>119.8</fb>
    <v>0</v>
  </rv>
  <rv s="0">
    <fb>119.59</fb>
    <v>0</v>
  </rv>
  <rv s="0">
    <fb>119.42</fb>
    <v>0</v>
  </rv>
  <rv s="0">
    <fb>119.24</fb>
    <v>0</v>
  </rv>
  <rv s="0">
    <fb>119.11</fb>
    <v>0</v>
  </rv>
  <rv s="0">
    <fb>119.43</fb>
    <v>0</v>
  </rv>
  <rv s="0">
    <fb>119.47</fb>
    <v>0</v>
  </rv>
  <rv s="0">
    <fb>119.36</fb>
    <v>0</v>
  </rv>
  <rv s="0">
    <fb>119.45</fb>
    <v>0</v>
  </rv>
  <rv s="0">
    <fb>119.655</fb>
    <v>0</v>
  </rv>
  <rv s="2">
    <v>https://www.bing.com/financeapi/forcetrigger?t=a24akr&amp;q=ARCX%3aTLH&amp;form=skydnc</v>
    <v>Learn more on Bing</v>
  </rv>
  <rv s="3">
    <v>2</v>
    <v>iShares:10-20 Trs Bd ETF (ARCX:TLH)</v>
    <v>4</v>
    <v>5</v>
    <v>Finance</v>
    <v>7</v>
    <v>en-US</v>
    <v>a24akr</v>
    <v>268435456</v>
    <v>1</v>
    <v>Powered by Refinitiv</v>
    <v>106.8275</v>
    <v>96.74</v>
    <v>0.92110000000000003</v>
    <v>-0.35199999999999998</v>
    <v>-3.4520000000000002E-3</v>
    <v>USD</v>
    <v>NYSE Arca</v>
    <v>ARCX</v>
    <v>1.5E-3</v>
    <v>101.86499999999999</v>
    <v>ETF</v>
    <v>46010.921676400001</v>
    <v>3536</v>
    <v>101.56</v>
    <v>12648059890.4</v>
    <v>iShares:10-20 Trs Bd ETF</v>
    <v>101.74</v>
    <v>101.97199999999999</v>
    <v>101.62</v>
    <v>TLH</v>
    <v>iShares:10-20 Trs Bd ETF (ARCX:TLH)</v>
    <v>1943003</v>
    <v>1476153</v>
  </rv>
  <rv s="4">
    <v>3537</v>
  </rv>
  <rv s="0">
    <fb>103.16</fb>
    <v>0</v>
  </rv>
  <rv s="0">
    <fb>103.42</fb>
    <v>0</v>
  </rv>
  <rv s="0">
    <fb>103.86</fb>
    <v>0</v>
  </rv>
  <rv s="0">
    <fb>104.19</fb>
    <v>0</v>
  </rv>
  <rv s="0">
    <fb>104.46</fb>
    <v>0</v>
  </rv>
  <rv s="0">
    <fb>102.66</fb>
    <v>0</v>
  </rv>
  <rv s="0">
    <fb>102.72</fb>
    <v>0</v>
  </rv>
  <rv s="0">
    <fb>102.99</fb>
    <v>0</v>
  </rv>
  <rv s="0">
    <fb>102.56</fb>
    <v>0</v>
  </rv>
  <rv s="0">
    <fb>101.81</fb>
    <v>0</v>
  </rv>
  <rv s="0">
    <fb>101.83</fb>
    <v>0</v>
  </rv>
  <rv s="0">
    <fb>102.2</fb>
    <v>0</v>
  </rv>
  <rv s="0">
    <fb>101.41</fb>
    <v>0</v>
  </rv>
  <rv s="0">
    <fb>101.57</fb>
    <v>0</v>
  </rv>
  <rv s="0">
    <fb>102.05</fb>
    <v>0</v>
  </rv>
  <rv s="0">
    <fb>101.96</fb>
    <v>0</v>
  </rv>
  <rv s="0">
    <fb>102.35</fb>
    <v>0</v>
  </rv>
  <rv s="2">
    <v>https://www.bing.com/financeapi/forcetrigger?t=a1n26h&amp;q=ARCX%3aAGG&amp;form=skydnc</v>
    <v>Learn more on Bing</v>
  </rv>
  <rv s="3">
    <v>2</v>
    <v>iShares:Core US Agg Bd (ARCX:AGG)</v>
    <v>4</v>
    <v>5</v>
    <v>Finance</v>
    <v>7</v>
    <v>en-US</v>
    <v>a1n26h</v>
    <v>268435456</v>
    <v>1</v>
    <v>Powered by Refinitiv</v>
    <v>101.34990000000001</v>
    <v>95.734999999999999</v>
    <v>0.99839999999999995</v>
    <v>-0.151</v>
    <v>-1.5100000000000001E-3</v>
    <v>USD</v>
    <v>NYSE Arca</v>
    <v>ARCX</v>
    <v>2.9999999999999997E-4</v>
    <v>99.95</v>
    <v>ETF</v>
    <v>46010.884459964844</v>
    <v>3556</v>
    <v>99.8</v>
    <v>135383149234.16</v>
    <v>iShares:Core US Agg Bd</v>
    <v>99.89</v>
    <v>99.986000000000004</v>
    <v>99.834999999999994</v>
    <v>AGG</v>
    <v>iShares:Core US Agg Bd (ARCX:AGG)</v>
    <v>42</v>
    <v>8704365</v>
  </rv>
  <rv s="4">
    <v>3557</v>
  </rv>
  <rv s="0">
    <fb>100.08</fb>
    <v>0</v>
  </rv>
  <rv s="0">
    <fb>100.2</fb>
    <v>0</v>
  </rv>
  <rv s="0">
    <fb>100.44</fb>
    <v>0</v>
  </rv>
  <rv s="0">
    <fb>100.96</fb>
    <v>0</v>
  </rv>
  <rv s="0">
    <fb>100.82</fb>
    <v>0</v>
  </rv>
  <rv s="0">
    <fb>100.06</fb>
    <v>0</v>
  </rv>
  <rv s="0">
    <fb>100.19</fb>
    <v>0</v>
  </rv>
  <rv s="0">
    <fb>100.14</fb>
    <v>0</v>
  </rv>
  <rv s="0">
    <fb>100.03</fb>
    <v>0</v>
  </rv>
  <rv s="0">
    <fb>99.78</fb>
    <v>0</v>
  </rv>
  <rv s="0">
    <fb>100.1</fb>
    <v>0</v>
  </rv>
  <rv s="0">
    <fb>100.12</fb>
    <v>0</v>
  </rv>
  <rv s="0">
    <fb>99.81</fb>
    <v>0</v>
  </rv>
  <rv s="0">
    <fb>99.91</fb>
    <v>0</v>
  </rv>
  <rv s="0">
    <fb>100.07</fb>
    <v>0</v>
  </rv>
  <rv s="0">
    <fb>100.32</fb>
    <v>0</v>
  </rv>
  <rv s="2">
    <v>https://www.bing.com/financeapi/forcetrigger?t=a1y4u2&amp;q=ARCX%3aMUB&amp;form=skydnc</v>
    <v>Learn more on Bing</v>
  </rv>
  <rv s="3">
    <v>2</v>
    <v>iShares:Natl Muni Bond (ARCX:MUB)</v>
    <v>4</v>
    <v>5</v>
    <v>Finance</v>
    <v>7</v>
    <v>en-US</v>
    <v>a1y4u2</v>
    <v>268435456</v>
    <v>1</v>
    <v>Powered by Refinitiv</v>
    <v>107.72</v>
    <v>100.29</v>
    <v>0.9093</v>
    <v>-2.5000000000000001E-2</v>
    <v>-2.342E-4</v>
    <v>USD</v>
    <v>NYSE Arca</v>
    <v>ARCX</v>
    <v>5.0000000000000001E-4</v>
    <v>106.75</v>
    <v>ETF</v>
    <v>46010.963311376559</v>
    <v>3575</v>
    <v>106.65</v>
    <v>41578877664.629997</v>
    <v>iShares:Natl Muni Bond</v>
    <v>106.67</v>
    <v>106.735</v>
    <v>106.71</v>
    <v>MUB</v>
    <v>iShares:Natl Muni Bond (ARCX:MUB)</v>
    <v>2995667</v>
    <v>3791826</v>
  </rv>
  <rv s="4">
    <v>3576</v>
  </rv>
  <rv s="0">
    <fb>107.05</fb>
    <v>0</v>
  </rv>
  <rv s="0">
    <fb>107.12</fb>
    <v>0</v>
  </rv>
  <rv s="0">
    <fb>107.16</fb>
    <v>0</v>
  </rv>
  <rv s="0">
    <fb>107.2</fb>
    <v>0</v>
  </rv>
  <rv s="0">
    <fb>107.43</fb>
    <v>0</v>
  </rv>
  <rv s="0">
    <fb>106.87</fb>
    <v>0</v>
  </rv>
  <rv s="0">
    <fb>106.81</fb>
    <v>0</v>
  </rv>
  <rv s="0">
    <fb>106.86</fb>
    <v>0</v>
  </rv>
  <rv s="0">
    <fb>106.91</fb>
    <v>0</v>
  </rv>
  <rv s="0">
    <fb>106.85</fb>
    <v>0</v>
  </rv>
  <rv s="0">
    <fb>106.79</fb>
    <v>0</v>
  </rv>
  <rv s="0">
    <fb>106.97</fb>
    <v>0</v>
  </rv>
  <rv s="0">
    <fb>106.84</fb>
    <v>0</v>
  </rv>
  <rv s="0">
    <fb>106.96</fb>
    <v>0</v>
  </rv>
  <rv s="0">
    <fb>107.02</fb>
    <v>0</v>
  </rv>
  <rv s="2">
    <v>https://www.bing.com/financeapi/forcetrigger?t=a1u477&amp;q=BATS%3aGOVT&amp;form=skydnc</v>
    <v>Learn more on Bing</v>
  </rv>
  <rv s="3">
    <v>2</v>
    <v>iShares:US Treasury Bond (BATS:GOVT)</v>
    <v>4</v>
    <v>5</v>
    <v>Finance</v>
    <v>11</v>
    <v>en-US</v>
    <v>a1u477</v>
    <v>268435456</v>
    <v>1</v>
    <v>Powered by Refinitiv</v>
    <v>23.36</v>
    <v>22.23</v>
    <v>0.92210000000000003</v>
    <v>-3.32E-2</v>
    <v>-1.4399999999999999E-3</v>
    <v>USD</v>
    <v>CBOE BZX Exchange</v>
    <v>BATS</v>
    <v>5.0000000000000001E-4</v>
    <v>23.05</v>
    <v>ETF</v>
    <v>46010.984396712498</v>
    <v>3593</v>
    <v>23.01</v>
    <v>33452423464.950001</v>
    <v>iShares:US Treasury Bond</v>
    <v>23.03</v>
    <v>23.0532</v>
    <v>23.02</v>
    <v>GOVT</v>
    <v>iShares:US Treasury Bond (BATS:GOVT)</v>
    <v>206</v>
    <v>5954635</v>
  </rv>
  <rv s="4">
    <v>3594</v>
  </rv>
  <rv s="0">
    <fb>23.164999999999999</fb>
    <v>0</v>
  </rv>
  <rv s="0">
    <fb>23.204999999999998</fb>
    <v>0</v>
  </rv>
  <rv s="0">
    <fb>23.23</fb>
    <v>0</v>
  </rv>
  <rv s="0">
    <fb>23.295000000000002</fb>
    <v>0</v>
  </rv>
  <rv s="0">
    <fb>23.105</fb>
    <v>0</v>
  </rv>
  <rv s="0">
    <fb>23.15</fb>
    <v>0</v>
  </rv>
  <rv s="0">
    <fb>23.1</fb>
    <v>0</v>
  </rv>
  <rv s="0">
    <fb>23.07</fb>
    <v>0</v>
  </rv>
  <rv s="0">
    <fb>23.01</fb>
    <v>0</v>
  </rv>
  <rv s="0">
    <fb>23.074999999999999</fb>
    <v>0</v>
  </rv>
  <rv s="0">
    <fb>23.015000000000001</fb>
    <v>0</v>
  </rv>
  <rv s="0">
    <fb>23.09</fb>
    <v>0</v>
  </rv>
  <rv s="0">
    <fb>23.085000000000001</fb>
    <v>0</v>
  </rv>
  <rv s="0">
    <fb>23.125</fb>
    <v>0</v>
  </rv>
  <rv s="2">
    <v>https://www.bing.com/financeapi/forcetrigger?t=a1qesm&amp;q=XNAS%3aIGSB&amp;form=skydnc</v>
    <v>Learn more on Bing</v>
  </rv>
  <rv s="3">
    <v>2</v>
    <v>iShares:1-5 IG Corp Bd (XNAS:IGSB)</v>
    <v>4</v>
    <v>5</v>
    <v>Finance</v>
    <v>7</v>
    <v>en-US</v>
    <v>a1qesm</v>
    <v>268435456</v>
    <v>1</v>
    <v>Powered by Refinitiv</v>
    <v>53.18</v>
    <v>51.39</v>
    <v>0.61470000000000002</v>
    <v>-1.7999999999999999E-2</v>
    <v>-3.4079999999999999E-4</v>
    <v>USD</v>
    <v>Nasdaq Stock Market</v>
    <v>XNAS</v>
    <v>4.0000000000000002E-4</v>
    <v>52.81</v>
    <v>ETF</v>
    <v>46010.919401932813</v>
    <v>3610</v>
    <v>52.79</v>
    <v>21844173395.93</v>
    <v>iShares:1-5 IG Corp Bd</v>
    <v>52.81</v>
    <v>52.817999999999998</v>
    <v>52.8</v>
    <v>IGSB</v>
    <v>iShares:1-5 IG Corp Bd (XNAS:IGSB)</v>
    <v>2180820</v>
    <v>2735305</v>
  </rv>
  <rv s="4">
    <v>3611</v>
  </rv>
  <rv s="0">
    <fb>52.9</fb>
    <v>0</v>
  </rv>
  <rv s="0">
    <fb>52.99</fb>
    <v>0</v>
  </rv>
  <rv s="0">
    <fb>53.01</fb>
    <v>0</v>
  </rv>
  <rv s="0">
    <fb>52.87</fb>
    <v>0</v>
  </rv>
  <rv s="0">
    <fb>52.86</fb>
    <v>0</v>
  </rv>
  <rv s="0">
    <fb>52.83</fb>
    <v>0</v>
  </rv>
  <rv s="0">
    <fb>52.92</fb>
    <v>0</v>
  </rv>
  <rv s="0">
    <fb>52.97</fb>
    <v>0</v>
  </rv>
  <rv s="2">
    <v>https://www.bing.com/financeapi/forcetrigger?t=a252oc&amp;q=BATS%3aUSHY&amp;form=skydnc</v>
    <v>Learn more on Bing</v>
  </rv>
  <rv s="3">
    <v>2</v>
    <v>iShares:Brd USD HY Cp Bd (BATS:USHY)</v>
    <v>4</v>
    <v>5</v>
    <v>Finance</v>
    <v>11</v>
    <v>en-US</v>
    <v>a252oc</v>
    <v>268435456</v>
    <v>1</v>
    <v>Powered by Refinitiv</v>
    <v>37.866500000000002</v>
    <v>34.901299999999999</v>
    <v>1.0179</v>
    <v>-1.7899999999999999E-2</v>
    <v>-4.8020000000000002E-4</v>
    <v>USD</v>
    <v>CBOE BZX Exchange</v>
    <v>BATS</v>
    <v>8.0000000000000004E-4</v>
    <v>37.33</v>
    <v>ETF</v>
    <v>46010.946426596878</v>
    <v>3621</v>
    <v>37.25</v>
    <v>25588694306.080002</v>
    <v>iShares:Brd USD HY Cp Bd</v>
    <v>37.299999999999997</v>
    <v>37.277900000000002</v>
    <v>37.26</v>
    <v>USHY</v>
    <v>iShares:Brd USD HY Cp Bd (BATS:USHY)</v>
    <v>5</v>
    <v>10804093</v>
  </rv>
  <rv s="4">
    <v>3622</v>
  </rv>
  <rv s="0">
    <fb>37.229999999999997</fb>
    <v>0</v>
  </rv>
  <rv s="0">
    <fb>37.22</fb>
    <v>0</v>
  </rv>
  <rv s="0">
    <fb>37.340000000000003</fb>
    <v>0</v>
  </rv>
  <rv s="0">
    <fb>37.44</fb>
    <v>0</v>
  </rv>
  <rv s="0">
    <fb>37.56</fb>
    <v>0</v>
  </rv>
  <rv s="0">
    <fb>37.604999999999997</fb>
    <v>0</v>
  </rv>
  <rv s="0">
    <fb>37.64</fb>
    <v>0</v>
  </rv>
  <rv s="0">
    <fb>37.36</fb>
    <v>0</v>
  </rv>
  <rv s="0">
    <fb>37.414999999999999</fb>
    <v>0</v>
  </rv>
  <rv s="0">
    <fb>37.479999999999997</fb>
    <v>0</v>
  </rv>
  <rv s="0">
    <fb>37.484999999999999</fb>
    <v>0</v>
  </rv>
  <rv s="0">
    <fb>37.4</fb>
    <v>0</v>
  </rv>
  <rv s="0">
    <fb>37.35</fb>
    <v>0</v>
  </rv>
  <rv s="0">
    <fb>37.47</fb>
    <v>0</v>
  </rv>
  <rv s="0">
    <fb>37.380000000000003</fb>
    <v>0</v>
  </rv>
  <rv s="0">
    <fb>37.39</fb>
    <v>0</v>
  </rv>
  <rv s="0">
    <fb>37.49</fb>
    <v>0</v>
  </rv>
  <rv s="2">
    <v>https://www.bing.com/financeapi/forcetrigger?t=a1prfr&amp;q=XNAS%3aIGIB&amp;form=skydnc</v>
    <v>Learn more on Bing</v>
  </rv>
  <rv s="3">
    <v>2</v>
    <v>iShares:5-10 IG Corp Bd (XNAS:IGIB)</v>
    <v>4</v>
    <v>5</v>
    <v>Finance</v>
    <v>7</v>
    <v>en-US</v>
    <v>a1prfr</v>
    <v>268435456</v>
    <v>1</v>
    <v>Powered by Refinitiv</v>
    <v>54.56</v>
    <v>50.52</v>
    <v>1.0051000000000001</v>
    <v>-9.8000000000000004E-2</v>
    <v>-1.818E-3</v>
    <v>USD</v>
    <v>Nasdaq Stock Market</v>
    <v>XNAS</v>
    <v>4.0000000000000002E-4</v>
    <v>53.877800000000001</v>
    <v>ETF</v>
    <v>46010.963312753905</v>
    <v>3641</v>
    <v>53.780500000000004</v>
    <v>16957623039.1</v>
    <v>iShares:5-10 IG Corp Bd</v>
    <v>53.85</v>
    <v>53.898000000000003</v>
    <v>53.8</v>
    <v>IGIB</v>
    <v>iShares:5-10 IG Corp Bd (XNAS:IGIB)</v>
    <v>2270633</v>
    <v>3201550</v>
  </rv>
  <rv s="4">
    <v>3642</v>
  </rv>
  <rv s="0">
    <fb>53.86</fb>
    <v>0</v>
  </rv>
  <rv s="0">
    <fb>54.06</fb>
    <v>0</v>
  </rv>
  <rv s="0">
    <fb>54.14</fb>
    <v>0</v>
  </rv>
  <rv s="0">
    <fb>54.44</fb>
    <v>0</v>
  </rv>
  <rv s="0">
    <fb>54.39</fb>
    <v>0</v>
  </rv>
  <rv s="0">
    <fb>53.96</fb>
    <v>0</v>
  </rv>
  <rv s="0">
    <fb>54.02</fb>
    <v>0</v>
  </rv>
  <rv s="0">
    <fb>54.13</fb>
    <v>0</v>
  </rv>
  <rv s="0">
    <fb>54.04</fb>
    <v>0</v>
  </rv>
  <rv s="0">
    <fb>53.99</fb>
    <v>0</v>
  </rv>
  <rv s="0">
    <fb>53.91</fb>
    <v>0</v>
  </rv>
  <rv s="0">
    <fb>53.84</fb>
    <v>0</v>
  </rv>
  <rv s="0">
    <fb>53.83</fb>
    <v>0</v>
  </rv>
  <rv s="0">
    <fb>53.9</fb>
    <v>0</v>
  </rv>
  <rv s="0">
    <fb>53.97</fb>
    <v>0</v>
  </rv>
  <rv s="0">
    <fb>54.11</fb>
    <v>0</v>
  </rv>
  <rv s="0">
    <fb>606.79</fb>
    <v>0</v>
  </rv>
  <rv s="0">
    <fb>604.29</fb>
    <v>0</v>
  </rv>
  <rv s="0">
    <fb>586.28</fb>
    <v>0</v>
  </rv>
  <rv s="0">
    <fb>586.1</fb>
    <v>0</v>
  </rv>
  <rv s="0">
    <fb>591.15</fb>
    <v>0</v>
  </rv>
  <rv s="0">
    <fb>594.69000000000005</fb>
    <v>0</v>
  </rv>
  <rv s="0">
    <fb>601.29999999999995</fb>
    <v>0</v>
  </rv>
  <rv s="0">
    <fb>601.34</fb>
    <v>0</v>
  </rv>
  <rv s="0">
    <fb>595.01</fb>
    <v>0</v>
  </rv>
  <rv s="0">
    <fb>588.22</fb>
    <v>0</v>
  </rv>
  <rv s="0">
    <fb>586.08000000000004</fb>
    <v>0</v>
  </rv>
  <rv s="0">
    <fb>584.64</fb>
    <v>0</v>
  </rv>
  <rv s="0">
    <fb>591.95000000000005</fb>
    <v>0</v>
  </rv>
  <rv s="0">
    <fb>595.36</fb>
    <v>0</v>
  </rv>
  <rv s="0">
    <fb>588.63</fb>
    <v>0</v>
  </rv>
  <rv s="0">
    <fb>589.49</fb>
    <v>0</v>
  </rv>
  <rv s="0">
    <fb>580.49</fb>
    <v>0</v>
  </rv>
  <rv s="0">
    <fb>581.39</fb>
    <v>0</v>
  </rv>
  <rv s="0">
    <fb>582.19000000000005</fb>
    <v>0</v>
  </rv>
  <rv s="0">
    <fb>592.78</fb>
    <v>0</v>
  </rv>
  <rv s="0">
    <fb>591.64</fb>
    <v>0</v>
  </rv>
  <rv s="0">
    <fb>597.58000000000004</fb>
    <v>0</v>
  </rv>
  <rv s="0">
    <fb>603.04999999999995</fb>
    <v>0</v>
  </rv>
  <rv s="0">
    <fb>606.44000000000005</fb>
    <v>0</v>
  </rv>
  <rv s="0">
    <fb>609.75</fb>
    <v>0</v>
  </rv>
  <rv s="0">
    <fb>607.97</fb>
    <v>0</v>
  </rv>
  <rv s="0">
    <fb>599.37</fb>
    <v>0</v>
  </rv>
  <rv s="0">
    <fb>604.52</fb>
    <v>0</v>
  </rv>
  <rv s="0">
    <fb>601.80999999999995</fb>
    <v>0</v>
  </rv>
  <rv s="0">
    <fb>605.04</fb>
    <v>0</v>
  </rv>
  <rv s="0">
    <fb>601.82000000000005</fb>
    <v>0</v>
  </rv>
  <rv s="0">
    <fb>597.77</fb>
    <v>0</v>
  </rv>
  <rv s="0">
    <fb>601.78</fb>
    <v>0</v>
  </rv>
  <rv s="0">
    <fb>604.22</fb>
    <v>0</v>
  </rv>
  <rv s="0">
    <fb>606.32000000000005</fb>
    <v>0</v>
  </rv>
  <rv s="0">
    <fb>600.77</fb>
    <v>0</v>
  </rv>
  <rv s="0">
    <fb>604.85</fb>
    <v>0</v>
  </rv>
  <rv s="0">
    <fb>605.30999999999995</fb>
    <v>0</v>
  </rv>
  <rv s="0">
    <fb>603.36</fb>
    <v>0</v>
  </rv>
  <rv s="0">
    <fb>609.73</fb>
    <v>0</v>
  </rv>
  <rv s="0">
    <fb>609.70000000000005</fb>
    <v>0</v>
  </rv>
  <rv s="0">
    <fb>611.49</fb>
    <v>0</v>
  </rv>
  <rv s="0">
    <fb>612.92999999999995</fb>
    <v>0</v>
  </rv>
  <rv s="0">
    <fb>610.38</fb>
    <v>0</v>
  </rv>
  <rv s="0">
    <fb>599.94000000000005</fb>
    <v>0</v>
  </rv>
  <rv s="0">
    <fb>597.21</fb>
    <v>0</v>
  </rv>
  <rv s="0">
    <fb>594.24</fb>
    <v>0</v>
  </rv>
  <rv s="0">
    <fb>594.54</fb>
    <v>0</v>
  </rv>
  <rv s="0">
    <fb>585.04999999999995</fb>
    <v>0</v>
  </rv>
  <rv s="0">
    <fb>594.17999999999995</fb>
    <v>0</v>
  </rv>
  <rv s="0">
    <fb>583.77</fb>
    <v>0</v>
  </rv>
  <rv s="0">
    <fb>576.86</fb>
    <v>0</v>
  </rv>
  <rv s="0">
    <fb>583.05999999999995</fb>
    <v>0</v>
  </rv>
  <rv s="0">
    <fb>572.71</fb>
    <v>0</v>
  </rv>
  <rv s="0">
    <fb>575.91999999999996</fb>
    <v>0</v>
  </rv>
  <rv s="0">
    <fb>560.58000000000004</fb>
    <v>0</v>
  </rv>
  <rv s="0">
    <fb>555.91999999999996</fb>
    <v>0</v>
  </rv>
  <rv s="0">
    <fb>558.87</fb>
    <v>0</v>
  </rv>
  <rv s="0">
    <fb>551.41999999999996</fb>
    <v>0</v>
  </rv>
  <rv s="0">
    <fb>562.80999999999995</fb>
    <v>0</v>
  </rv>
  <rv s="0">
    <fb>567.15</fb>
    <v>0</v>
  </rv>
  <rv s="0">
    <fb>561.02</fb>
    <v>0</v>
  </rv>
  <rv s="0">
    <fb>567.13</fb>
    <v>0</v>
  </rv>
  <rv s="0">
    <fb>565.49</fb>
    <v>0</v>
  </rv>
  <rv s="0">
    <fb>563.98</fb>
    <v>0</v>
  </rv>
  <rv s="0">
    <fb>574.08000000000004</fb>
    <v>0</v>
  </rv>
  <rv s="0">
    <fb>575.46</fb>
    <v>0</v>
  </rv>
  <rv s="0">
    <fb>568.59</fb>
    <v>0</v>
  </rv>
  <rv s="0">
    <fb>567.08000000000004</fb>
    <v>0</v>
  </rv>
  <rv s="0">
    <fb>555.66</fb>
    <v>0</v>
  </rv>
  <rv s="0">
    <fb>559.39</fb>
    <v>0</v>
  </rv>
  <rv s="0">
    <fb>560.97</fb>
    <v>0</v>
  </rv>
  <rv s="0">
    <fb>564.52</fb>
    <v>0</v>
  </rv>
  <rv s="0">
    <fb>536.70000000000005</fb>
    <v>0</v>
  </rv>
  <rv s="0">
    <fb>505.28</fb>
    <v>0</v>
  </rv>
  <rv s="0">
    <fb>504.38</fb>
    <v>0</v>
  </rv>
  <rv s="0">
    <fb>496.48</fb>
    <v>0</v>
  </rv>
  <rv s="0">
    <fb>548.62</fb>
    <v>0</v>
  </rv>
  <rv s="0">
    <fb>524.58000000000004</fb>
    <v>0</v>
  </rv>
  <rv s="0">
    <fb>533.94000000000005</fb>
    <v>0</v>
  </rv>
  <rv s="0">
    <fb>539.12</fb>
    <v>0</v>
  </rv>
  <rv s="0">
    <fb>537.61</fb>
    <v>0</v>
  </rv>
  <rv s="0">
    <fb>525.66</fb>
    <v>0</v>
  </rv>
  <rv s="0">
    <fb>526.41</fb>
    <v>0</v>
  </rv>
  <rv s="0">
    <fb>513.88</fb>
    <v>0</v>
  </rv>
  <rv s="0">
    <fb>527.25</fb>
    <v>0</v>
  </rv>
  <rv s="0">
    <fb>535.41999999999996</fb>
    <v>0</v>
  </rv>
  <rv s="0">
    <fb>546.69000000000005</fb>
    <v>0</v>
  </rv>
  <rv s="0">
    <fb>550.64</fb>
    <v>0</v>
  </rv>
  <rv s="0">
    <fb>550.85</fb>
    <v>0</v>
  </rv>
  <rv s="0">
    <fb>554.32000000000005</fb>
    <v>0</v>
  </rv>
  <rv s="0">
    <fb>554.54</fb>
    <v>0</v>
  </rv>
  <rv s="0">
    <fb>558.47</fb>
    <v>0</v>
  </rv>
  <rv s="0">
    <fb>566.76</fb>
    <v>0</v>
  </rv>
  <rv s="0">
    <fb>563.51</fb>
    <v>0</v>
  </rv>
  <rv s="0">
    <fb>558.79999999999995</fb>
    <v>0</v>
  </rv>
  <rv s="0">
    <fb>561.15</fb>
    <v>0</v>
  </rv>
  <rv s="0">
    <fb>565.05999999999995</fb>
    <v>0</v>
  </rv>
  <rv s="0">
    <fb>564.34</fb>
    <v>0</v>
  </rv>
  <rv s="0">
    <fb>582.99</fb>
    <v>0</v>
  </rv>
  <rv s="0">
    <fb>586.84</fb>
    <v>0</v>
  </rv>
  <rv s="0">
    <fb>587.59</fb>
    <v>0</v>
  </rv>
  <rv s="0">
    <fb>590.46</fb>
    <v>0</v>
  </rv>
  <rv s="0">
    <fb>594.20000000000005</fb>
    <v>0</v>
  </rv>
  <rv s="0">
    <fb>594.85</fb>
    <v>0</v>
  </rv>
  <rv s="0">
    <fb>592.85</fb>
    <v>0</v>
  </rv>
  <rv s="0">
    <fb>582.86</fb>
    <v>0</v>
  </rv>
  <rv s="0">
    <fb>583.09</fb>
    <v>0</v>
  </rv>
  <rv s="0">
    <fb>579.11</fb>
    <v>0</v>
  </rv>
  <rv s="0">
    <fb>587.73</fb>
    <v>0</v>
  </rv>
  <rv s="0">
    <fb>590.04999999999995</fb>
    <v>0</v>
  </rv>
  <rv s="0">
    <fb>589.39</fb>
    <v>0</v>
  </rv>
  <rv s="0">
    <fb>592.71</fb>
    <v>0</v>
  </rv>
  <rv s="0">
    <fb>596.09</fb>
    <v>0</v>
  </rv>
  <rv s="0">
    <fb>595.92999999999995</fb>
    <v>0</v>
  </rv>
  <rv s="0">
    <fb>593.04999999999995</fb>
    <v>0</v>
  </rv>
  <rv s="0">
    <fb>599.14</fb>
    <v>0</v>
  </rv>
  <rv s="0">
    <fb>599.67999999999995</fb>
    <v>0</v>
  </rv>
  <rv s="0">
    <fb>603.08000000000004</fb>
    <v>0</v>
  </rv>
  <rv s="0">
    <fb>601.36</fb>
    <v>0</v>
  </rv>
  <rv s="0">
    <fb>603.75</fb>
    <v>0</v>
  </rv>
  <rv s="0">
    <fb>597</fb>
    <v>0</v>
  </rv>
  <rv s="0">
    <fb>602.67999999999995</fb>
    <v>0</v>
  </rv>
  <rv s="0">
    <fb>597.53</fb>
    <v>0</v>
  </rv>
  <rv s="0">
    <fb>597.44000000000005</fb>
    <v>0</v>
  </rv>
  <rv s="0">
    <fb>594.28</fb>
    <v>0</v>
  </rv>
  <rv s="0">
    <fb>600.15</fb>
    <v>0</v>
  </rv>
  <rv s="0">
    <fb>606.78</fb>
    <v>0</v>
  </rv>
  <rv s="0">
    <fb>607.12</fb>
    <v>0</v>
  </rv>
  <rv s="0">
    <fb>611.87</fb>
    <v>0</v>
  </rv>
  <rv s="0">
    <fb>614.91</fb>
    <v>0</v>
  </rv>
  <rv s="0">
    <fb>617.85</fb>
    <v>0</v>
  </rv>
  <rv s="0">
    <fb>617.65</fb>
    <v>0</v>
  </rv>
  <rv s="0">
    <fb>620.45000000000005</fb>
    <v>0</v>
  </rv>
  <rv s="0">
    <fb>625.34</fb>
    <v>0</v>
  </rv>
  <rv s="0">
    <fb>620.67999999999995</fb>
    <v>0</v>
  </rv>
  <rv s="0">
    <fb>620.34</fb>
    <v>0</v>
  </rv>
  <rv s="0">
    <fb>624.05999999999995</fb>
    <v>0</v>
  </rv>
  <rv s="0">
    <fb>625.82000000000005</fb>
    <v>0</v>
  </rv>
  <rv s="0">
    <fb>623.62</fb>
    <v>0</v>
  </rv>
  <rv s="0">
    <fb>624.80999999999995</fb>
    <v>0</v>
  </rv>
  <rv s="0">
    <fb>622.14</fb>
    <v>0</v>
  </rv>
  <rv s="0">
    <fb>624.22</fb>
    <v>0</v>
  </rv>
  <rv s="0">
    <fb>628.04</fb>
    <v>0</v>
  </rv>
  <rv s="0">
    <fb>627.58000000000004</fb>
    <v>0</v>
  </rv>
  <rv s="0">
    <fb>628.77</fb>
    <v>0</v>
  </rv>
  <rv s="0">
    <fb>628.86</fb>
    <v>0</v>
  </rv>
  <rv s="0">
    <fb>634.21</fb>
    <v>0</v>
  </rv>
  <rv s="0">
    <fb>634.41999999999996</fb>
    <v>0</v>
  </rv>
  <rv s="0">
    <fb>637.1</fb>
    <v>0</v>
  </rv>
  <rv s="0">
    <fb>636.94000000000005</fb>
    <v>0</v>
  </rv>
  <rv s="0">
    <fb>635.26</fb>
    <v>0</v>
  </rv>
  <rv s="0">
    <fb>634.46</fb>
    <v>0</v>
  </rv>
  <rv s="0">
    <fb>632.08000000000004</fb>
    <v>0</v>
  </rv>
  <rv s="0">
    <fb>621.72</fb>
    <v>0</v>
  </rv>
  <rv s="0">
    <fb>631.16999999999996</fb>
    <v>0</v>
  </rv>
  <rv s="0">
    <fb>627.97</fb>
    <v>0</v>
  </rv>
  <rv s="0">
    <fb>632.78</fb>
    <v>0</v>
  </rv>
  <rv s="0">
    <fb>632.25</fb>
    <v>0</v>
  </rv>
  <rv s="0">
    <fb>637.17999999999995</fb>
    <v>0</v>
  </rv>
  <rv s="0">
    <fb>635.91999999999996</fb>
    <v>0</v>
  </rv>
  <rv s="0">
    <fb>642.69000000000005</fb>
    <v>0</v>
  </rv>
  <rv s="0">
    <fb>644.89</fb>
    <v>0</v>
  </rv>
  <rv s="0">
    <fb>644.95000000000005</fb>
    <v>0</v>
  </rv>
  <rv s="0">
    <fb>643.44000000000005</fb>
    <v>0</v>
  </rv>
  <rv s="0">
    <fb>643.29999999999995</fb>
    <v>0</v>
  </rv>
  <rv s="0">
    <fb>639.80999999999995</fb>
    <v>0</v>
  </rv>
  <rv s="0">
    <fb>638.11</fb>
    <v>0</v>
  </rv>
  <rv s="0">
    <fb>635.54999999999995</fb>
    <v>0</v>
  </rv>
  <rv s="0">
    <fb>645.30999999999995</fb>
    <v>0</v>
  </rv>
  <rv s="0">
    <fb>642.47</fb>
    <v>0</v>
  </rv>
  <rv s="0">
    <fb>645.16</fb>
    <v>0</v>
  </rv>
  <rv s="0">
    <fb>646.63</fb>
    <v>0</v>
  </rv>
  <rv s="0">
    <fb>648.91999999999996</fb>
    <v>0</v>
  </rv>
  <rv s="0">
    <fb>645.04999999999995</fb>
    <v>0</v>
  </rv>
  <rv s="0">
    <fb>640.27</fb>
    <v>0</v>
  </rv>
  <rv s="0">
    <fb>643.74</fb>
    <v>0</v>
  </rv>
  <rv s="0">
    <fb>649.12</fb>
    <v>0</v>
  </rv>
  <rv s="0">
    <fb>647.24</fb>
    <v>0</v>
  </rv>
  <rv s="0">
    <fb>648.83000000000004</fb>
    <v>0</v>
  </rv>
  <rv s="0">
    <fb>650.33000000000004</fb>
    <v>0</v>
  </rv>
  <rv s="0">
    <fb>652.21</fb>
    <v>0</v>
  </rv>
  <rv s="0">
    <fb>657.63</fb>
    <v>0</v>
  </rv>
  <rv s="0">
    <fb>657.41</fb>
    <v>0</v>
  </rv>
  <rv s="0">
    <fb>660.91</fb>
    <v>0</v>
  </rv>
  <rv s="0">
    <fb>660</fb>
    <v>0</v>
  </rv>
  <rv s="0">
    <fb>659.18</fb>
    <v>0</v>
  </rv>
  <rv s="0">
    <fb>662.26</fb>
    <v>0</v>
  </rv>
  <rv s="0">
    <fb>663.7</fb>
    <v>0</v>
  </rv>
  <rv s="0">
    <fb>666.84</fb>
    <v>0</v>
  </rv>
  <rv s="0">
    <fb>663.21</fb>
    <v>0</v>
  </rv>
  <rv s="0">
    <fb>661.1</fb>
    <v>0</v>
  </rv>
  <rv s="0">
    <fb>658.05</fb>
    <v>0</v>
  </rv>
  <rv s="0">
    <fb>661.82</fb>
    <v>0</v>
  </rv>
  <rv s="0">
    <fb>663.68</fb>
    <v>0</v>
  </rv>
  <rv s="0">
    <fb>666.18</fb>
    <v>0</v>
  </rv>
  <rv s="0">
    <fb>668.45</fb>
    <v>0</v>
  </rv>
  <rv s="0">
    <fb>669.22</fb>
    <v>0</v>
  </rv>
  <rv s="0">
    <fb>669.21</fb>
    <v>0</v>
  </rv>
  <rv s="0">
    <fb>671.61</fb>
    <v>0</v>
  </rv>
  <rv s="0">
    <fb>669.12</fb>
    <v>0</v>
  </rv>
  <rv s="0">
    <fb>673.11</fb>
    <v>0</v>
  </rv>
  <rv s="0">
    <fb>671.16</fb>
    <v>0</v>
  </rv>
  <rv s="0">
    <fb>653.02</fb>
    <v>0</v>
  </rv>
  <rv s="0">
    <fb>663.04</fb>
    <v>0</v>
  </rv>
  <rv s="0">
    <fb>662.23</fb>
    <v>0</v>
  </rv>
  <rv s="0">
    <fb>665.17</fb>
    <v>0</v>
  </rv>
  <rv s="0">
    <fb>660.64</fb>
    <v>0</v>
  </rv>
  <rv s="0">
    <fb>664.39</fb>
    <v>0</v>
  </rv>
  <rv s="0">
    <fb>671.3</fb>
    <v>0</v>
  </rv>
  <rv s="0">
    <fb>671.29</fb>
    <v>0</v>
  </rv>
  <rv s="0">
    <fb>667.8</fb>
    <v>0</v>
  </rv>
  <rv s="0">
    <fb>671.76</fb>
    <v>0</v>
  </rv>
  <rv s="0">
    <fb>677.25</fb>
    <v>0</v>
  </rv>
  <rv s="0">
    <fb>685.24</fb>
    <v>0</v>
  </rv>
  <rv s="0">
    <fb>687.06</fb>
    <v>0</v>
  </rv>
  <rv s="0">
    <fb>687.39</fb>
    <v>0</v>
  </rv>
  <rv s="0">
    <fb>679.83</fb>
    <v>0</v>
  </rv>
  <rv s="0">
    <fb>682.06</fb>
    <v>0</v>
  </rv>
  <rv s="0">
    <fb>683.34</fb>
    <v>0</v>
  </rv>
  <rv s="0">
    <fb>675.24</fb>
    <v>0</v>
  </rv>
  <rv s="0">
    <fb>677.58</fb>
    <v>0</v>
  </rv>
  <rv s="0">
    <fb>670.31</fb>
    <v>0</v>
  </rv>
  <rv s="0">
    <fb>670.97</fb>
    <v>0</v>
  </rv>
  <rv s="0">
    <fb>681.44</fb>
    <v>0</v>
  </rv>
  <rv s="0">
    <fb>683</fb>
    <v>0</v>
  </rv>
  <rv s="0">
    <fb>683.38</fb>
    <v>0</v>
  </rv>
  <rv s="0">
    <fb>672.04</fb>
    <v>0</v>
  </rv>
  <rv s="0">
    <fb>671.93</fb>
    <v>0</v>
  </rv>
  <rv s="0">
    <fb>665.67</fb>
    <v>0</v>
  </rv>
  <rv s="0">
    <fb>660.08</fb>
    <v>0</v>
  </rv>
  <rv s="0">
    <fb>538.16999999999996</fb>
    <v>0</v>
  </rv>
  <rv s="0">
    <fb>535.79999999999995</fb>
    <v>0</v>
  </rv>
  <rv s="0">
    <fb>516.47</fb>
    <v>0</v>
  </rv>
  <rv s="0">
    <fb>514.16999999999996</fb>
    <v>0</v>
  </rv>
  <rv s="0">
    <fb>518.66</fb>
    <v>0</v>
  </rv>
  <rv s="0">
    <fb>522.87</fb>
    <v>0</v>
  </rv>
  <rv s="0">
    <fb>529.96</fb>
    <v>0</v>
  </rv>
  <rv s="0">
    <fb>529.6</fb>
    <v>0</v>
  </rv>
  <rv s="0">
    <fb>522.55999999999995</fb>
    <v>0</v>
  </rv>
  <rv s="0">
    <fb>515.61</fb>
    <v>0</v>
  </rv>
  <rv s="0">
    <fb>511.23</fb>
    <v>0</v>
  </rv>
  <rv s="0">
    <fb>510.23</fb>
    <v>0</v>
  </rv>
  <rv s="0">
    <fb>518.58000000000004</fb>
    <v>0</v>
  </rv>
  <rv s="0">
    <fb>524.54</fb>
    <v>0</v>
  </rv>
  <rv s="0">
    <fb>515.17999999999995</fb>
    <v>0</v>
  </rv>
  <rv s="0">
    <fb>515.27</fb>
    <v>0</v>
  </rv>
  <rv s="0">
    <fb>507.19</fb>
    <v>0</v>
  </rv>
  <rv s="0">
    <fb>505.56</fb>
    <v>0</v>
  </rv>
  <rv s="0">
    <fb>505.08</fb>
    <v>0</v>
  </rv>
  <rv s="0">
    <fb>516.70000000000005</fb>
    <v>0</v>
  </rv>
  <rv s="0">
    <fb>513.08000000000004</fb>
    <v>0</v>
  </rv>
  <rv s="0">
    <fb>521.74</fb>
    <v>0</v>
  </rv>
  <rv s="0">
    <fb>524.79999999999995</fb>
    <v>0</v>
  </rv>
  <rv s="0">
    <fb>531.51</fb>
    <v>0</v>
  </rv>
  <rv s="0">
    <fb>532.64</fb>
    <v>0</v>
  </rv>
  <rv s="0">
    <fb>529.63</fb>
    <v>0</v>
  </rv>
  <rv s="0">
    <fb>514.21</fb>
    <v>0</v>
  </rv>
  <rv s="0">
    <fb>521.80999999999995</fb>
    <v>0</v>
  </rv>
  <rv s="0">
    <fb>520.83000000000004</fb>
    <v>0</v>
  </rv>
  <rv s="0">
    <fb>523.04999999999995</fb>
    <v>0</v>
  </rv>
  <rv s="0">
    <fb>522.29</fb>
    <v>0</v>
  </rv>
  <rv s="0">
    <fb>518.11</fb>
    <v>0</v>
  </rv>
  <rv s="0">
    <fb>524.47</fb>
    <v>0</v>
  </rv>
  <rv s="0">
    <fb>526.85</fb>
    <v>0</v>
  </rv>
  <rv s="0">
    <fb>522.91999999999996</fb>
    <v>0</v>
  </rv>
  <rv s="0">
    <fb>529.25</fb>
    <v>0</v>
  </rv>
  <rv s="0">
    <fb>527.99</fb>
    <v>0</v>
  </rv>
  <rv s="0">
    <fb>528.29999999999995</fb>
    <v>0</v>
  </rv>
  <rv s="0">
    <fb>535.9</fb>
    <v>0</v>
  </rv>
  <rv s="0">
    <fb>538.15</fb>
    <v>0</v>
  </rv>
  <rv s="0">
    <fb>539.37</fb>
    <v>0</v>
  </rv>
  <rv s="0">
    <fb>539.52</fb>
    <v>0</v>
  </rv>
  <rv s="0">
    <fb>537.23</fb>
    <v>0</v>
  </rv>
  <rv s="0">
    <fb>526.08000000000004</fb>
    <v>0</v>
  </rv>
  <rv s="0">
    <fb>519.87</fb>
    <v>0</v>
  </rv>
  <rv s="0">
    <fb>513.32000000000005</fb>
    <v>0</v>
  </rv>
  <rv s="0">
    <fb>514.55999999999995</fb>
    <v>0</v>
  </rv>
  <rv s="0">
    <fb>500.27</fb>
    <v>0</v>
  </rv>
  <rv s="0">
    <fb>508.17</fb>
    <v>0</v>
  </rv>
  <rv s="0">
    <fb>497.05</fb>
    <v>0</v>
  </rv>
  <rv s="0">
    <fb>495.55</fb>
    <v>0</v>
  </rv>
  <rv s="0">
    <fb>502.01</fb>
    <v>0</v>
  </rv>
  <rv s="0">
    <fb>488.2</fb>
    <v>0</v>
  </rv>
  <rv s="0">
    <fb>491.79</fb>
    <v>0</v>
  </rv>
  <rv s="0">
    <fb>472.73</fb>
    <v>0</v>
  </rv>
  <rv s="0">
    <fb>471.6</fb>
    <v>0</v>
  </rv>
  <rv s="0">
    <fb>476.92</fb>
    <v>0</v>
  </rv>
  <rv s="0">
    <fb>468.34</fb>
    <v>0</v>
  </rv>
  <rv s="0">
    <fb>479.66</fb>
    <v>0</v>
  </rv>
  <rv s="0">
    <fb>482.77</fb>
    <v>0</v>
  </rv>
  <rv s="0">
    <fb>474.54</fb>
    <v>0</v>
  </rv>
  <rv s="0">
    <fb>480.89</fb>
    <v>0</v>
  </rv>
  <rv s="0">
    <fb>479.26</fb>
    <v>0</v>
  </rv>
  <rv s="0">
    <fb>480.84</fb>
    <v>0</v>
  </rv>
  <rv s="0">
    <fb>490.66</fb>
    <v>0</v>
  </rv>
  <rv s="0">
    <fb>493.46</fb>
    <v>0</v>
  </rv>
  <rv s="0">
    <fb>484.38</fb>
    <v>0</v>
  </rv>
  <rv s="0">
    <fb>481.62</fb>
    <v>0</v>
  </rv>
  <rv s="0">
    <fb>468.94</fb>
    <v>0</v>
  </rv>
  <rv s="0">
    <fb>468.92</fb>
    <v>0</v>
  </rv>
  <rv s="0">
    <fb>472.7</fb>
    <v>0</v>
  </rv>
  <rv s="0">
    <fb>476.15</fb>
    <v>0</v>
  </rv>
  <rv s="0">
    <fb>450.66</fb>
    <v>0</v>
  </rv>
  <rv s="0">
    <fb>422.67</fb>
    <v>0</v>
  </rv>
  <rv s="0">
    <fb>423.69</fb>
    <v>0</v>
  </rv>
  <rv s="0">
    <fb>416.06</fb>
    <v>0</v>
  </rv>
  <rv s="0">
    <fb>466</fb>
    <v>0</v>
  </rv>
  <rv s="0">
    <fb>446.18</fb>
    <v>0</v>
  </rv>
  <rv s="0">
    <fb>454.4</fb>
    <v>0</v>
  </rv>
  <rv s="0">
    <fb>457.48</fb>
    <v>0</v>
  </rv>
  <rv s="0">
    <fb>457.99</fb>
    <v>0</v>
  </rv>
  <rv s="0">
    <fb>444.18</fb>
    <v>0</v>
  </rv>
  <rv s="0">
    <fb>444.1</fb>
    <v>0</v>
  </rv>
  <rv s="0">
    <fb>433.11</fb>
    <v>0</v>
  </rv>
  <rv s="0">
    <fb>444.48</fb>
    <v>0</v>
  </rv>
  <rv s="0">
    <fb>454.56</fb>
    <v>0</v>
  </rv>
  <rv s="0">
    <fb>467.35</fb>
    <v>0</v>
  </rv>
  <rv s="0">
    <fb>472.56</fb>
    <v>0</v>
  </rv>
  <rv s="0">
    <fb>472.41</fb>
    <v>0</v>
  </rv>
  <rv s="0">
    <fb>475.53</fb>
    <v>0</v>
  </rv>
  <rv s="0">
    <fb>475.47</fb>
    <v>0</v>
  </rv>
  <rv s="0">
    <fb>481.68</fb>
    <v>0</v>
  </rv>
  <rv s="0">
    <fb>488.83</fb>
    <v>0</v>
  </rv>
  <rv s="0">
    <fb>485.93</fb>
    <v>0</v>
  </rv>
  <rv s="0">
    <fb>481.41</fb>
    <v>0</v>
  </rv>
  <rv s="0">
    <fb>483.3</fb>
    <v>0</v>
  </rv>
  <rv s="0">
    <fb>488.29</fb>
    <v>0</v>
  </rv>
  <rv s="0">
    <fb>487.97</fb>
    <v>0</v>
  </rv>
  <rv s="0">
    <fb>507.85</fb>
    <v>0</v>
  </rv>
  <rv s="0">
    <fb>515.59</fb>
    <v>0</v>
  </rv>
  <rv s="0">
    <fb>518.67999999999995</fb>
    <v>0</v>
  </rv>
  <rv s="0">
    <fb>519.25</fb>
    <v>0</v>
  </rv>
  <rv s="0">
    <fb>521.51</fb>
    <v>0</v>
  </rv>
  <rv s="0">
    <fb>522.01</fb>
    <v>0</v>
  </rv>
  <rv s="0">
    <fb>520.27</fb>
    <v>0</v>
  </rv>
  <rv s="0">
    <fb>513.04</fb>
    <v>0</v>
  </rv>
  <rv s="0">
    <fb>514</fb>
    <v>0</v>
  </rv>
  <rv s="0">
    <fb>509.24</fb>
    <v>0</v>
  </rv>
  <rv s="0">
    <fb>521.22</fb>
    <v>0</v>
  </rv>
  <rv s="0">
    <fb>518.91</fb>
    <v>0</v>
  </rv>
  <rv s="0">
    <fb>519.92999999999995</fb>
    <v>0</v>
  </rv>
  <rv s="0">
    <fb>519.11</fb>
    <v>0</v>
  </rv>
  <rv s="0">
    <fb>523.21</fb>
    <v>0</v>
  </rv>
  <rv s="0">
    <fb>527.29999999999995</fb>
    <v>0</v>
  </rv>
  <rv s="0">
    <fb>528.77</fb>
    <v>0</v>
  </rv>
  <rv s="0">
    <fb>524.79</fb>
    <v>0</v>
  </rv>
  <rv s="0">
    <fb>529.91999999999996</fb>
    <v>0</v>
  </rv>
  <rv s="0">
    <fb>530.70000000000005</fb>
    <v>0</v>
  </rv>
  <rv s="0">
    <fb>534.21</fb>
    <v>0</v>
  </rv>
  <rv s="0">
    <fb>532.41</fb>
    <v>0</v>
  </rv>
  <rv s="0">
    <fb>533.66</fb>
    <v>0</v>
  </rv>
  <rv s="0">
    <fb>526.96</fb>
    <v>0</v>
  </rv>
  <rv s="0">
    <fb>534.29</fb>
    <v>0</v>
  </rv>
  <rv s="0">
    <fb>529.08000000000004</fb>
    <v>0</v>
  </rv>
  <rv s="0">
    <fb>528.99</fb>
    <v>0</v>
  </rv>
  <rv s="0">
    <fb>526.83000000000004</fb>
    <v>0</v>
  </rv>
  <rv s="0">
    <fb>531.65</fb>
    <v>0</v>
  </rv>
  <rv s="0">
    <fb>539.78</fb>
    <v>0</v>
  </rv>
  <rv s="0">
    <fb>541.16</fb>
    <v>0</v>
  </rv>
  <rv s="0">
    <fb>546.22</fb>
    <v>0</v>
  </rv>
  <rv s="0">
    <fb>548.09</fb>
    <v>0</v>
  </rv>
  <rv s="0">
    <fb>551.64</fb>
    <v>0</v>
  </rv>
  <rv s="0">
    <fb>546.99</fb>
    <v>0</v>
  </rv>
  <rv s="0">
    <fb>550.79999999999995</fb>
    <v>0</v>
  </rv>
  <rv s="0">
    <fb>556.22</fb>
    <v>0</v>
  </rv>
  <rv s="0">
    <fb>552.03</fb>
    <v>0</v>
  </rv>
  <rv s="0">
    <fb>552.34</fb>
    <v>0</v>
  </rv>
  <rv s="0">
    <fb>556.25</fb>
    <v>0</v>
  </rv>
  <rv s="0">
    <fb>555.45000000000005</fb>
    <v>0</v>
  </rv>
  <rv s="0">
    <fb>554.20000000000005</fb>
    <v>0</v>
  </rv>
  <rv s="0">
    <fb>556.21</fb>
    <v>0</v>
  </rv>
  <rv s="0">
    <fb>556.72</fb>
    <v>0</v>
  </rv>
  <rv s="0">
    <fb>557.29</fb>
    <v>0</v>
  </rv>
  <rv s="0">
    <fb>561.79999999999995</fb>
    <v>0</v>
  </rv>
  <rv s="0">
    <fb>561.26</fb>
    <v>0</v>
  </rv>
  <rv s="0">
    <fb>564.16999999999996</fb>
    <v>0</v>
  </rv>
  <rv s="0">
    <fb>561.25</fb>
    <v>0</v>
  </rv>
  <rv s="0">
    <fb>563.80999999999995</fb>
    <v>0</v>
  </rv>
  <rv s="0">
    <fb>565.01</fb>
    <v>0</v>
  </rv>
  <rv s="0">
    <fb>566.37</fb>
    <v>0</v>
  </rv>
  <rv s="0">
    <fb>568.14</fb>
    <v>0</v>
  </rv>
  <rv s="0">
    <fb>567.26</fb>
    <v>0</v>
  </rv>
  <rv s="0">
    <fb>568.02</fb>
    <v>0</v>
  </rv>
  <rv s="0">
    <fb>553.88</fb>
    <v>0</v>
  </rv>
  <rv s="0">
    <fb>564.1</fb>
    <v>0</v>
  </rv>
  <rv s="0">
    <fb>560.27</fb>
    <v>0</v>
  </rv>
  <rv s="0">
    <fb>567.32000000000005</fb>
    <v>0</v>
  </rv>
  <rv s="0">
    <fb>569.24</fb>
    <v>0</v>
  </rv>
  <rv s="0">
    <fb>574.54999999999995</fb>
    <v>0</v>
  </rv>
  <rv s="0">
    <fb>572.85</fb>
    <v>0</v>
  </rv>
  <rv s="0">
    <fb>580.04999999999995</fb>
    <v>0</v>
  </rv>
  <rv s="0">
    <fb>580.34</fb>
    <v>0</v>
  </rv>
  <rv s="0">
    <fb>579.89</fb>
    <v>0</v>
  </rv>
  <rv s="0">
    <fb>577.34</fb>
    <v>0</v>
  </rv>
  <rv s="0">
    <fb>577.11</fb>
    <v>0</v>
  </rv>
  <rv s="0">
    <fb>569.28</fb>
    <v>0</v>
  </rv>
  <rv s="0">
    <fb>565.9</fb>
    <v>0</v>
  </rv>
  <rv s="0">
    <fb>563.28</fb>
    <v>0</v>
  </rv>
  <rv s="0">
    <fb>571.97</fb>
    <v>0</v>
  </rv>
  <rv s="0">
    <fb>570.32000000000005</fb>
    <v>0</v>
  </rv>
  <rv s="0">
    <fb>572.61</fb>
    <v>0</v>
  </rv>
  <rv s="0">
    <fb>573.49</fb>
    <v>0</v>
  </rv>
  <rv s="0">
    <fb>577.08000000000004</fb>
    <v>0</v>
  </rv>
  <rv s="0">
    <fb>570.4</fb>
    <v>0</v>
  </rv>
  <rv s="0">
    <fb>565.62</fb>
    <v>0</v>
  </rv>
  <rv s="0">
    <fb>570.07000000000005</fb>
    <v>0</v>
  </rv>
  <rv s="0">
    <fb>575.23</fb>
    <v>0</v>
  </rv>
  <rv s="0">
    <fb>576.05999999999995</fb>
    <v>0</v>
  </rv>
  <rv s="0">
    <fb>578.87</fb>
    <v>0</v>
  </rv>
  <rv s="0">
    <fb>580.51</fb>
    <v>0</v>
  </rv>
  <rv s="0">
    <fb>580.70000000000005</fb>
    <v>0</v>
  </rv>
  <rv s="0">
    <fb>584.08000000000004</fb>
    <v>0</v>
  </rv>
  <rv s="0">
    <fb>586.66</fb>
    <v>0</v>
  </rv>
  <rv s="0">
    <fb>591.67999999999995</fb>
    <v>0</v>
  </rv>
  <rv s="0">
    <fb>591.17999999999995</fb>
    <v>0</v>
  </rv>
  <rv s="0">
    <fb>590</fb>
    <v>0</v>
  </rv>
  <rv s="0">
    <fb>595.32000000000005</fb>
    <v>0</v>
  </rv>
  <rv s="0">
    <fb>599.35</fb>
    <v>0</v>
  </rv>
  <rv s="0">
    <fb>598.20000000000005</fb>
    <v>0</v>
  </rv>
  <rv s="0">
    <fb>596.1</fb>
    <v>0</v>
  </rv>
  <rv s="0">
    <fb>593.53</fb>
    <v>0</v>
  </rv>
  <rv s="0">
    <fb>595.97</fb>
    <v>0</v>
  </rv>
  <rv s="0">
    <fb>598.73</fb>
    <v>0</v>
  </rv>
  <rv s="0">
    <fb>600.37</fb>
    <v>0</v>
  </rv>
  <rv s="0">
    <fb>603.25</fb>
    <v>0</v>
  </rv>
  <rv s="0">
    <fb>605.73</fb>
    <v>0</v>
  </rv>
  <rv s="0">
    <fb>603.17999999999995</fb>
    <v>0</v>
  </rv>
  <rv s="0">
    <fb>607.71</fb>
    <v>0</v>
  </rv>
  <rv s="0">
    <fb>604.51</fb>
    <v>0</v>
  </rv>
  <rv s="0">
    <fb>611.44000000000005</fb>
    <v>0</v>
  </rv>
  <rv s="0">
    <fb>610.70000000000005</fb>
    <v>0</v>
  </rv>
  <rv s="0">
    <fb>589.5</fb>
    <v>0</v>
  </rv>
  <rv s="0">
    <fb>602.01</fb>
    <v>0</v>
  </rv>
  <rv s="0">
    <fb>598</fb>
    <v>0</v>
  </rv>
  <rv s="0">
    <fb>602.22</fb>
    <v>0</v>
  </rv>
  <rv s="0">
    <fb>599.99</fb>
    <v>0</v>
  </rv>
  <rv s="0">
    <fb>603.92999999999995</fb>
    <v>0</v>
  </rv>
  <rv s="0">
    <fb>611.54</fb>
    <v>0</v>
  </rv>
  <rv s="0">
    <fb>611.38</fb>
    <v>0</v>
  </rv>
  <rv s="0">
    <fb>605.49</fb>
    <v>0</v>
  </rv>
  <rv s="0">
    <fb>610.58000000000004</fb>
    <v>0</v>
  </rv>
  <rv s="0">
    <fb>617.1</fb>
    <v>0</v>
  </rv>
  <rv s="0">
    <fb>628.09</fb>
    <v>0</v>
  </rv>
  <rv s="0">
    <fb>632.91999999999996</fb>
    <v>0</v>
  </rv>
  <rv s="0">
    <fb>635.77</fb>
    <v>0</v>
  </rv>
  <rv s="0">
    <fb>626.04999999999995</fb>
    <v>0</v>
  </rv>
  <rv s="0">
    <fb>629.07000000000005</fb>
    <v>0</v>
  </rv>
  <rv s="0">
    <fb>623.28</fb>
    <v>0</v>
  </rv>
  <rv s="0">
    <fb>611.66999999999996</fb>
    <v>0</v>
  </rv>
  <rv s="0">
    <fb>609.74</fb>
    <v>0</v>
  </rv>
  <rv s="0">
    <fb>623.23</fb>
    <v>0</v>
  </rv>
  <rv s="0">
    <fb>621.57000000000005</fb>
    <v>0</v>
  </rv>
  <rv s="0">
    <fb>621.08000000000004</fb>
    <v>0</v>
  </rv>
  <rv s="0">
    <fb>608.4</fb>
    <v>0</v>
  </rv>
  <rv s="0">
    <fb>608.86</fb>
    <v>0</v>
  </rv>
  <rv s="0">
    <fb>603.66</fb>
    <v>0</v>
  </rv>
  <rv s="0">
    <fb>596.30999999999995</fb>
    <v>0</v>
  </rv>
  <rv s="0">
    <fb>438.37</fb>
    <v>0</v>
  </rv>
  <rv s="0">
    <fb>435.57</fb>
    <v>0</v>
  </rv>
  <rv s="0">
    <fb>424.22</fb>
    <v>0</v>
  </rv>
  <rv s="0">
    <fb>424.53</fb>
    <v>0</v>
  </rv>
  <rv s="0">
    <fb>428.54</fb>
    <v>0</v>
  </rv>
  <rv s="0">
    <fb>428.89</fb>
    <v>0</v>
  </rv>
  <rv s="0">
    <fb>432.5</fb>
    <v>0</v>
  </rv>
  <rv s="0">
    <fb>433.21</fb>
    <v>0</v>
  </rv>
  <rv s="0">
    <fb>430</fb>
    <v>0</v>
  </rv>
  <rv s="0">
    <fb>425.77</fb>
    <v>0</v>
  </rv>
  <rv s="0">
    <fb>425.5</fb>
    <v>0</v>
  </rv>
  <rv s="0">
    <fb>423.8</fb>
    <v>0</v>
  </rv>
  <rv s="0">
    <fb>427.16</fb>
    <v>0</v>
  </rv>
  <rv s="0">
    <fb>427.13</fb>
    <v>0</v>
  </rv>
  <rv s="0">
    <fb>425.33</fb>
    <v>0</v>
  </rv>
  <rv s="0">
    <fb>426.13</fb>
    <v>0</v>
  </rv>
  <rv s="0">
    <fb>419.33</fb>
    <v>0</v>
  </rv>
  <rv s="0">
    <fb>422.96</fb>
    <v>0</v>
  </rv>
  <rv s="0">
    <fb>425.15</fb>
    <v>0</v>
  </rv>
  <rv s="0">
    <fb>432.24</fb>
    <v>0</v>
  </rv>
  <rv s="0">
    <fb>431.56</fb>
    <v>0</v>
  </rv>
  <rv s="0">
    <fb>434.72</fb>
    <v>0</v>
  </rv>
  <rv s="0">
    <fb>440.1</fb>
    <v>0</v>
  </rv>
  <rv s="0">
    <fb>441.28</fb>
    <v>0</v>
  </rv>
  <rv s="0">
    <fb>445.38</fb>
    <v>0</v>
  </rv>
  <rv s="0">
    <fb>444.12</fb>
    <v>0</v>
  </rv>
  <rv s="0">
    <fb>447.12</fb>
    <v>0</v>
  </rv>
  <rv s="0">
    <fb>448.41</fb>
    <v>0</v>
  </rv>
  <rv s="0">
    <fb>447.18</fb>
    <v>0</v>
  </rv>
  <rv s="0">
    <fb>448.82</fb>
    <v>0</v>
  </rv>
  <rv s="0">
    <fb>445.39</fb>
    <v>0</v>
  </rv>
  <rv s="0">
    <fb>444.27</fb>
    <v>0</v>
  </rv>
  <rv s="0">
    <fb>445.53</fb>
    <v>0</v>
  </rv>
  <rv s="0">
    <fb>448.67</fb>
    <v>0</v>
  </rv>
  <rv s="0">
    <fb>447.36</fb>
    <v>0</v>
  </rv>
  <rv s="0">
    <fb>443.12</fb>
    <v>0</v>
  </rv>
  <rv s="0">
    <fb>444.78</fb>
    <v>0</v>
  </rv>
  <rv s="0">
    <fb>446.11</fb>
    <v>0</v>
  </rv>
  <rv s="0">
    <fb>443.63</fb>
    <v>0</v>
  </rv>
  <rv s="0">
    <fb>447.26</fb>
    <v>0</v>
  </rv>
  <rv s="0">
    <fb>445.79</fb>
    <v>0</v>
  </rv>
  <rv s="0">
    <fb>445.92</fb>
    <v>0</v>
  </rv>
  <rv s="0">
    <fb>446.67</fb>
    <v>0</v>
  </rv>
  <rv s="0">
    <fb>442.39</fb>
    <v>0</v>
  </rv>
  <rv s="0">
    <fb>434.15</fb>
    <v>0</v>
  </rv>
  <rv s="0">
    <fb>434.53</fb>
    <v>0</v>
  </rv>
  <rv s="0">
    <fb>436.13</fb>
    <v>0</v>
  </rv>
  <rv s="0">
    <fb>434.34</fb>
    <v>0</v>
  </rv>
  <rv s="0">
    <fb>432.35</fb>
    <v>0</v>
  </rv>
  <rv s="0">
    <fb>432.09</fb>
    <v>0</v>
  </rv>
  <rv s="0">
    <fb>425.57</fb>
    <v>0</v>
  </rv>
  <rv s="0">
    <fb>430.47</fb>
    <v>0</v>
  </rv>
  <rv s="0">
    <fb>425.9</fb>
    <v>0</v>
  </rv>
  <rv s="0">
    <fb>428.26</fb>
    <v>0</v>
  </rv>
  <rv s="0">
    <fb>419.49</fb>
    <v>0</v>
  </rv>
  <rv s="0">
    <fb>414.74</fb>
    <v>0</v>
  </rv>
  <rv s="0">
    <fb>413.95</fb>
    <v>0</v>
  </rv>
  <rv s="0">
    <fb>408.78</fb>
    <v>0</v>
  </rv>
  <rv s="0">
    <fb>415.36</fb>
    <v>0</v>
  </rv>
  <rv s="0">
    <fb>419.21</fb>
    <v>0</v>
  </rv>
  <rv s="0">
    <fb>416.53</fb>
    <v>0</v>
  </rv>
  <rv s="0">
    <fb>420.42</fb>
    <v>0</v>
  </rv>
  <rv s="0">
    <fb>420.12</fb>
    <v>0</v>
  </rv>
  <rv s="0">
    <fb>419.62</fb>
    <v>0</v>
  </rv>
  <rv s="0">
    <fb>425.49</fb>
    <v>0</v>
  </rv>
  <rv s="0">
    <fb>425.82</fb>
    <v>0</v>
  </rv>
  <rv s="0">
    <fb>424.23</fb>
    <v>0</v>
  </rv>
  <rv s="0">
    <fb>422.94</fb>
    <v>0</v>
  </rv>
  <rv s="0">
    <fb>415.62</fb>
    <v>0</v>
  </rv>
  <rv s="0">
    <fb>419.88</fb>
    <v>0</v>
  </rv>
  <rv s="0">
    <fb>419.59</fb>
    <v>0</v>
  </rv>
  <rv s="0">
    <fb>422.03</fb>
    <v>0</v>
  </rv>
  <rv s="0">
    <fb>405.22</fb>
    <v>0</v>
  </rv>
  <rv s="0">
    <fb>383.22</fb>
    <v>0</v>
  </rv>
  <rv s="0">
    <fb>379.57</fb>
    <v>0</v>
  </rv>
  <rv s="0">
    <fb>376.48</fb>
    <v>0</v>
  </rv>
  <rv s="0">
    <fb>406.08</fb>
    <v>0</v>
  </rv>
  <rv s="0">
    <fb>395.68</fb>
    <v>0</v>
  </rv>
  <rv s="0">
    <fb>401.91</fb>
    <v>0</v>
  </rv>
  <rv s="0">
    <fb>405.42</fb>
    <v>0</v>
  </rv>
  <rv s="0">
    <fb>403.71</fb>
    <v>0</v>
  </rv>
  <rv s="0">
    <fb>396.77</fb>
    <v>0</v>
  </rv>
  <rv s="0">
    <fb>391.36</fb>
    <v>0</v>
  </rv>
  <rv s="0">
    <fb>381.62</fb>
    <v>0</v>
  </rv>
  <rv s="0">
    <fb>391.87</fb>
    <v>0</v>
  </rv>
  <rv s="0">
    <fb>395.91</fb>
    <v>0</v>
  </rv>
  <rv s="0">
    <fb>400.98</fb>
    <v>0</v>
  </rv>
  <rv s="0">
    <fb>401.02</fb>
    <v>0</v>
  </rv>
  <rv s="0">
    <fb>402.27</fb>
    <v>0</v>
  </rv>
  <rv s="0">
    <fb>405.21</fb>
    <v>0</v>
  </rv>
  <rv s="0">
    <fb>406.34</fb>
    <v>0</v>
  </rv>
  <rv s="0">
    <fb>407.42</fb>
    <v>0</v>
  </rv>
  <rv s="0">
    <fb>413.04</fb>
    <v>0</v>
  </rv>
  <rv s="0">
    <fb>412.26</fb>
    <v>0</v>
  </rv>
  <rv s="0">
    <fb>408.24</fb>
    <v>0</v>
  </rv>
  <rv s="0">
    <fb>411.05</fb>
    <v>0</v>
  </rv>
  <rv s="0">
    <fb>413.88</fb>
    <v>0</v>
  </rv>
  <rv s="0">
    <fb>412.42</fb>
    <v>0</v>
  </rv>
  <rv s="0">
    <fb>421.51</fb>
    <v>0</v>
  </rv>
  <rv s="0">
    <fb>420.55</fb>
    <v>0</v>
  </rv>
  <rv s="0">
    <fb>423.48</fb>
    <v>0</v>
  </rv>
  <rv s="0">
    <fb>426.55</fb>
    <v>0</v>
  </rv>
  <rv s="0">
    <fb>428.04</fb>
    <v>0</v>
  </rv>
  <rv s="0">
    <fb>426.97</fb>
    <v>0</v>
  </rv>
  <rv s="0">
    <fb>418.75</fb>
    <v>0</v>
  </rv>
  <rv s="0">
    <fb>418.82</fb>
    <v>0</v>
  </rv>
  <rv s="0">
    <fb>416.33</fb>
    <v>0</v>
  </rv>
  <rv s="0">
    <fb>423.85</fb>
    <v>0</v>
  </rv>
  <rv s="0">
    <fb>421.42</fb>
    <v>0</v>
  </rv>
  <rv s="0">
    <fb>422.46</fb>
    <v>0</v>
  </rv>
  <rv s="0">
    <fb>422.85</fb>
    <v>0</v>
  </rv>
  <rv s="0">
    <fb>423.71</fb>
    <v>0</v>
  </rv>
  <rv s="0">
    <fb>426.01</fb>
    <v>0</v>
  </rv>
  <rv s="0">
    <fb>424.94</fb>
    <v>0</v>
  </rv>
  <rv s="0">
    <fb>423.97</fb>
    <v>0</v>
  </rv>
  <rv s="0">
    <fb>428.38</fb>
    <v>0</v>
  </rv>
  <rv s="0">
    <fb>428.36</fb>
    <v>0</v>
  </rv>
  <rv s="0">
    <fb>429.61</fb>
    <v>0</v>
  </rv>
  <rv s="0">
    <fb>429.6</fb>
    <v>0</v>
  </rv>
  <rv s="0">
    <fb>430.49</fb>
    <v>0</v>
  </rv>
  <rv s="0">
    <fb>422.81</fb>
    <v>0</v>
  </rv>
  <rv s="0">
    <fb>426.28</fb>
    <v>0</v>
  </rv>
  <rv s="0">
    <fb>423.11</fb>
    <v>0</v>
  </rv>
  <rv s="0">
    <fb>422.84</fb>
    <v>0</v>
  </rv>
  <rv s="0">
    <fb>421.76</fb>
    <v>0</v>
  </rv>
  <rv s="0">
    <fb>425.72</fb>
    <v>0</v>
  </rv>
  <rv s="0">
    <fb>430.79</fb>
    <v>0</v>
  </rv>
  <rv s="0">
    <fb>429.86</fb>
    <v>0</v>
  </rv>
  <rv s="0">
    <fb>433.93</fb>
    <v>0</v>
  </rv>
  <rv s="0">
    <fb>438</fb>
    <v>0</v>
  </rv>
  <rv s="0">
    <fb>440.65</fb>
    <v>0</v>
  </rv>
  <rv s="0">
    <fb>444.89</fb>
    <v>0</v>
  </rv>
  <rv s="0">
    <fb>444.71</fb>
    <v>0</v>
  </rv>
  <rv s="0">
    <fb>448.09</fb>
    <v>0</v>
  </rv>
  <rv s="0">
    <fb>444</fb>
    <v>0</v>
  </rv>
  <rv s="0">
    <fb>442.38</fb>
    <v>0</v>
  </rv>
  <rv s="0">
    <fb>444.52</fb>
    <v>0</v>
  </rv>
  <rv s="0">
    <fb>446.5</fb>
    <v>0</v>
  </rv>
  <rv s="0">
    <fb>443.57</fb>
    <v>0</v>
  </rv>
  <rv s="0">
    <fb>444.58</fb>
    <v>0</v>
  </rv>
  <rv s="0">
    <fb>440.15</fb>
    <v>0</v>
  </rv>
  <rv s="0">
    <fb>442.36</fb>
    <v>0</v>
  </rv>
  <rv s="0">
    <fb>445.22</fb>
    <v>0</v>
  </rv>
  <rv s="0">
    <fb>443.26</fb>
    <v>0</v>
  </rv>
  <rv s="0">
    <fb>443.44</fb>
    <v>0</v>
  </rv>
  <rv s="0">
    <fb>444.96</fb>
    <v>0</v>
  </rv>
  <rv s="0">
    <fb>450.21</fb>
    <v>0</v>
  </rv>
  <rv s="0">
    <fb>447.11</fb>
    <v>0</v>
  </rv>
  <rv s="0">
    <fb>449.02</fb>
    <v>0</v>
  </rv>
  <rv s="0">
    <fb>448.34</fb>
    <v>0</v>
  </rv>
  <rv s="0">
    <fb>446.48</fb>
    <v>0</v>
  </rv>
  <rv s="0">
    <fb>444.76</fb>
    <v>0</v>
  </rv>
  <rv s="0">
    <fb>441.33</fb>
    <v>0</v>
  </rv>
  <rv s="0">
    <fb>435.72</fb>
    <v>0</v>
  </rv>
  <rv s="0">
    <fb>441.81</fb>
    <v>0</v>
  </rv>
  <rv s="0">
    <fb>441.14</fb>
    <v>0</v>
  </rv>
  <rv s="0">
    <fb>441.97</fb>
    <v>0</v>
  </rv>
  <rv s="0">
    <fb>439.72</fb>
    <v>0</v>
  </rv>
  <rv s="0">
    <fb>441.92</fb>
    <v>0</v>
  </rv>
  <rv s="0">
    <fb>440.01</fb>
    <v>0</v>
  </rv>
  <rv s="0">
    <fb>444.68</fb>
    <v>0</v>
  </rv>
  <rv s="0">
    <fb>449.42</fb>
    <v>0</v>
  </rv>
  <rv s="0">
    <fb>449.16</fb>
    <v>0</v>
  </rv>
  <rv s="0">
    <fb>449.53</fb>
    <v>0</v>
  </rv>
  <rv s="0">
    <fb>449.05</fb>
    <v>0</v>
  </rv>
  <rv s="0">
    <fb>449.29</fb>
    <v>0</v>
  </rv>
  <rv s="0">
    <fb>449.36</fb>
    <v>0</v>
  </rv>
  <rv s="0">
    <fb>447.95</fb>
    <v>0</v>
  </rv>
  <rv s="0">
    <fb>456.64</fb>
    <v>0</v>
  </rv>
  <rv s="0">
    <fb>453.07</fb>
    <v>0</v>
  </rv>
  <rv s="0">
    <fb>454.49</fb>
    <v>0</v>
  </rv>
  <rv s="0">
    <fb>456.03</fb>
    <v>0</v>
  </rv>
  <rv s="0">
    <fb>456.79</fb>
    <v>0</v>
  </rv>
  <rv s="0">
    <fb>456.09</fb>
    <v>0</v>
  </rv>
  <rv s="0">
    <fb>453.61</fb>
    <v>0</v>
  </rv>
  <rv s="0">
    <fb>453.26</fb>
    <v>0</v>
  </rv>
  <rv s="0">
    <fb>457.05</fb>
    <v>0</v>
  </rv>
  <rv s="0">
    <fb>454.99</fb>
    <v>0</v>
  </rv>
  <rv s="0">
    <fb>456.2</fb>
    <v>0</v>
  </rv>
  <rv s="0">
    <fb>458.01</fb>
    <v>0</v>
  </rv>
  <rv s="0">
    <fb>455.93</fb>
    <v>0</v>
  </rv>
  <rv s="0">
    <fb>461.92</fb>
    <v>0</v>
  </rv>
  <rv s="0">
    <fb>459.32</fb>
    <v>0</v>
  </rv>
  <rv s="0">
    <fb>460.07</fb>
    <v>0</v>
  </rv>
  <rv s="0">
    <fb>458.78</fb>
    <v>0</v>
  </rv>
  <rv s="0">
    <fb>461.26</fb>
    <v>0</v>
  </rv>
  <rv s="0">
    <fb>462.63</fb>
    <v>0</v>
  </rv>
  <rv s="0">
    <fb>462.94</fb>
    <v>0</v>
  </rv>
  <rv s="0">
    <fb>463.67</fb>
    <v>0</v>
  </rv>
  <rv s="0">
    <fb>462.87</fb>
    <v>0</v>
  </rv>
  <rv s="0">
    <fb>461.02</fb>
    <v>0</v>
  </rv>
  <rv s="0">
    <fb>459.43</fb>
    <v>0</v>
  </rv>
  <rv s="0">
    <fb>462.28</fb>
    <v>0</v>
  </rv>
  <rv s="0">
    <fb>463.04</fb>
    <v>0</v>
  </rv>
  <rv s="0">
    <fb>463.74</fb>
    <v>0</v>
  </rv>
  <rv s="0">
    <fb>464.26</fb>
    <v>0</v>
  </rv>
  <rv s="0">
    <fb>465.11</fb>
    <v>0</v>
  </rv>
  <rv s="0">
    <fb>467.51</fb>
    <v>0</v>
  </rv>
  <rv s="0">
    <fb>466.84</fb>
    <v>0</v>
  </rv>
  <rv s="0">
    <fb>465.97</fb>
    <v>0</v>
  </rv>
  <rv s="0">
    <fb>466.07</fb>
    <v>0</v>
  </rv>
  <rv s="0">
    <fb>463.5</fb>
    <v>0</v>
  </rv>
  <rv s="0">
    <fb>454.87</fb>
    <v>0</v>
  </rv>
  <rv s="0">
    <fb>460.68</fb>
    <v>0</v>
  </rv>
  <rv s="0">
    <fb>462.71</fb>
    <v>0</v>
  </rv>
  <rv s="0">
    <fb>459.56</fb>
    <v>0</v>
  </rv>
  <rv s="0">
    <fb>461.78</fb>
    <v>0</v>
  </rv>
  <rv s="0">
    <fb>467.02</fb>
    <v>0</v>
  </rv>
  <rv s="0">
    <fb>469.22</fb>
    <v>0</v>
  </rv>
  <rv s="0">
    <fb>465.78</fb>
    <v>0</v>
  </rv>
  <rv s="0">
    <fb>467.29</fb>
    <v>0</v>
  </rv>
  <rv s="0">
    <fb>472.21</fb>
    <v>0</v>
  </rv>
  <rv s="0">
    <fb>475.35</fb>
    <v>0</v>
  </rv>
  <rv s="0">
    <fb>477.15</fb>
    <v>0</v>
  </rv>
  <rv s="0">
    <fb>476.37</fb>
    <v>0</v>
  </rv>
  <rv s="0">
    <fb>475.01</fb>
    <v>0</v>
  </rv>
  <rv s="0">
    <fb>475.67</fb>
    <v>0</v>
  </rv>
  <rv s="0">
    <fb>473.47</fb>
    <v>0</v>
  </rv>
  <rv s="0">
    <fb>470.9</fb>
    <v>0</v>
  </rv>
  <rv s="0">
    <fb>473.11</fb>
    <v>0</v>
  </rv>
  <rv s="0">
    <fb>469.28</fb>
    <v>0</v>
  </rv>
  <rv s="0">
    <fb>469.86</fb>
    <v>0</v>
  </rv>
  <rv s="0">
    <fb>473.82</fb>
    <v>0</v>
  </rv>
  <rv s="0">
    <fb>482.76</fb>
    <v>0</v>
  </rv>
  <rv s="0">
    <fb>474.74</fb>
    <v>0</v>
  </rv>
  <rv s="0">
    <fb>471.8</fb>
    <v>0</v>
  </rv>
  <rv s="0">
    <fb>466.32</fb>
    <v>0</v>
  </rv>
  <rv s="0">
    <fb>461.3</fb>
    <v>0</v>
  </rv>
  <rv s="0">
    <fb>234.44</fb>
    <v>0</v>
  </rv>
  <rv s="0">
    <fb>231.07</fb>
    <v>0</v>
  </rv>
  <rv s="0">
    <fb>220.84</fb>
    <v>0</v>
  </rv>
  <rv s="0">
    <fb>219.86</fb>
    <v>0</v>
  </rv>
  <rv s="0">
    <fb>221.92</fb>
    <v>0</v>
  </rv>
  <rv s="0">
    <fb>221.41</fb>
    <v>0</v>
  </rv>
  <rv s="0">
    <fb>223.39</fb>
    <v>0</v>
  </rv>
  <rv s="0">
    <fb>225.68</fb>
    <v>0</v>
  </rv>
  <rv s="0">
    <fb>222.39</fb>
    <v>0</v>
  </rv>
  <rv s="0">
    <fb>220.68</fb>
    <v>0</v>
  </rv>
  <rv s="0">
    <fb>220.96</fb>
    <v>0</v>
  </rv>
  <rv s="0">
    <fb>221.14</fb>
    <v>0</v>
  </rv>
  <rv s="0">
    <fb>224.43</fb>
    <v>0</v>
  </rv>
  <rv s="0">
    <fb>224.52</fb>
    <v>0</v>
  </rv>
  <rv s="0">
    <fb>222.72</fb>
    <v>0</v>
  </rv>
  <rv s="0">
    <fb>221.71</fb>
    <v>0</v>
  </rv>
  <rv s="0">
    <fb>216.83</fb>
    <v>0</v>
  </rv>
  <rv s="0">
    <fb>217.25</fb>
    <v>0</v>
  </rv>
  <rv s="0">
    <fb>219.72</fb>
    <v>0</v>
  </rv>
  <rv s="0">
    <fb>224.04</fb>
    <v>0</v>
  </rv>
  <rv s="0">
    <fb>224.49</fb>
    <v>0</v>
  </rv>
  <rv s="0">
    <fb>225.46</fb>
    <v>0</v>
  </rv>
  <rv s="0">
    <fb>229.79</fb>
    <v>0</v>
  </rv>
  <rv s="0">
    <fb>228.29</fb>
    <v>0</v>
  </rv>
  <rv s="0">
    <fb>229.33</fb>
    <v>0</v>
  </rv>
  <rv s="0">
    <fb>228.69</fb>
    <v>0</v>
  </rv>
  <rv s="0">
    <fb>226.5</fb>
    <v>0</v>
  </rv>
  <rv s="0">
    <fb>226.75</fb>
    <v>0</v>
  </rv>
  <rv s="0">
    <fb>226.23</fb>
    <v>0</v>
  </rv>
  <rv s="0">
    <fb>228.53</fb>
    <v>0</v>
  </rv>
  <rv s="0">
    <fb>226.48</fb>
    <v>0</v>
  </rv>
  <rv s="0">
    <fb>223.83</fb>
    <v>0</v>
  </rv>
  <rv s="0">
    <fb>226.93</fb>
    <v>0</v>
  </rv>
  <rv s="0">
    <fb>229.4</fb>
    <v>0</v>
  </rv>
  <rv s="0">
    <fb>228.65</fb>
    <v>0</v>
  </rv>
  <rv s="0">
    <fb>226</fb>
    <v>0</v>
  </rv>
  <rv s="0">
    <fb>227.02</fb>
    <v>0</v>
  </rv>
  <rv s="0">
    <fb>225.7</fb>
    <v>0</v>
  </rv>
  <rv s="0">
    <fb>223.62</fb>
    <v>0</v>
  </rv>
  <rv s="0">
    <fb>226.14</fb>
    <v>0</v>
  </rv>
  <rv s="0">
    <fb>225.97</fb>
    <v>0</v>
  </rv>
  <rv s="0">
    <fb>227.21</fb>
    <v>0</v>
  </rv>
  <rv s="0">
    <fb>226.43</fb>
    <v>0</v>
  </rv>
  <rv s="0">
    <fb>217.8</fb>
    <v>0</v>
  </rv>
  <rv s="0">
    <fb>216.23</fb>
    <v>0</v>
  </rv>
  <rv s="0">
    <fb>215.41</fb>
    <v>0</v>
  </rv>
  <rv s="0">
    <fb>215.68</fb>
    <v>0</v>
  </rv>
  <rv s="0">
    <fb>212.39</fb>
    <v>0</v>
  </rv>
  <rv s="0">
    <fb>214.65</fb>
    <v>0</v>
  </rv>
  <rv s="0">
    <fb>208.78</fb>
    <v>0</v>
  </rv>
  <rv s="0">
    <fb>206.42</fb>
    <v>0</v>
  </rv>
  <rv s="0">
    <fb>208.47</fb>
    <v>0</v>
  </rv>
  <rv s="0">
    <fb>205.28</fb>
    <v>0</v>
  </rv>
  <rv s="0">
    <fb>205.95</fb>
    <v>0</v>
  </rv>
  <rv s="0">
    <fb>200.77</fb>
    <v>0</v>
  </rv>
  <rv s="0">
    <fb>200.75</fb>
    <v>0</v>
  </rv>
  <rv s="0">
    <fb>198.1</fb>
    <v>0</v>
  </rv>
  <rv s="0">
    <fb>202.89</fb>
    <v>0</v>
  </rv>
  <rv s="0">
    <fb>205.45</fb>
    <v>0</v>
  </rv>
  <rv s="0">
    <fb>203.21</fb>
    <v>0</v>
  </rv>
  <rv s="0">
    <fb>206.37</fb>
    <v>0</v>
  </rv>
  <rv s="0">
    <fb>205.06</fb>
    <v>0</v>
  </rv>
  <rv s="0">
    <fb>203.79</fb>
    <v>0</v>
  </rv>
  <rv s="0">
    <fb>208.86</fb>
    <v>0</v>
  </rv>
  <rv s="0">
    <fb>207.7</fb>
    <v>0</v>
  </rv>
  <rv s="0">
    <fb>205.59</fb>
    <v>0</v>
  </rv>
  <rv s="0">
    <fb>204.61</fb>
    <v>0</v>
  </rv>
  <rv s="0">
    <fb>200.45</fb>
    <v>0</v>
  </rv>
  <rv s="0">
    <fb>199.49</fb>
    <v>0</v>
  </rv>
  <rv s="0">
    <fb>199.51</fb>
    <v>0</v>
  </rv>
  <rv s="0">
    <fb>189.65</fb>
    <v>0</v>
  </rv>
  <rv s="0">
    <fb>181.19</fb>
    <v>0</v>
  </rv>
  <rv s="0">
    <fb>179.55</fb>
    <v>0</v>
  </rv>
  <rv s="0">
    <fb>174.82</fb>
    <v>0</v>
  </rv>
  <rv s="0">
    <fb>189.68</fb>
    <v>0</v>
  </rv>
  <rv s="0">
    <fb>181.71</fb>
    <v>0</v>
  </rv>
  <rv s="0">
    <fb>184.36</fb>
    <v>0</v>
  </rv>
  <rv s="0">
    <fb>186.76</fb>
    <v>0</v>
  </rv>
  <rv s="0">
    <fb>184.97</fb>
    <v>0</v>
  </rv>
  <rv s="0">
    <fb>186.48</fb>
    <v>0</v>
  </rv>
  <rv s="0">
    <fb>182.74</fb>
    <v>0</v>
  </rv>
  <rv s="0">
    <fb>187.47</fb>
    <v>0</v>
  </rv>
  <rv s="0">
    <fb>190.25</fb>
    <v>0</v>
  </rv>
  <rv s="0">
    <fb>194.06</fb>
    <v>0</v>
  </rv>
  <rv s="0">
    <fb>194.12</fb>
    <v>0</v>
  </rv>
  <rv s="0">
    <fb>194.94</fb>
    <v>0</v>
  </rv>
  <rv s="0">
    <fb>196.09</fb>
    <v>0</v>
  </rv>
  <rv s="0">
    <fb>194.86</fb>
    <v>0</v>
  </rv>
  <rv s="0">
    <fb>196.07</fb>
    <v>0</v>
  </rv>
  <rv s="0">
    <fb>200.48</fb>
    <v>0</v>
  </rv>
  <rv s="0">
    <fb>198.94</fb>
    <v>0</v>
  </rv>
  <rv s="0">
    <fb>196.77</fb>
    <v>0</v>
  </rv>
  <rv s="0">
    <fb>197.42</fb>
    <v>0</v>
  </rv>
  <rv s="0">
    <fb>201.18</fb>
    <v>0</v>
  </rv>
  <rv s="0">
    <fb>200.81</fb>
    <v>0</v>
  </rv>
  <rv s="0">
    <fb>207.87</fb>
    <v>0</v>
  </rv>
  <rv s="0">
    <fb>208.63</fb>
    <v>0</v>
  </rv>
  <rv s="0">
    <fb>206.78</fb>
    <v>0</v>
  </rv>
  <rv s="0">
    <fb>208.13</fb>
    <v>0</v>
  </rv>
  <rv s="0">
    <fb>209.85</fb>
    <v>0</v>
  </rv>
  <rv s="0">
    <fb>208.97</fb>
    <v>0</v>
  </rv>
  <rv s="0">
    <fb>209.08</fb>
    <v>0</v>
  </rv>
  <rv s="0">
    <fb>203.2</fb>
    <v>0</v>
  </rv>
  <rv s="0">
    <fb>202.56</fb>
    <v>0</v>
  </rv>
  <rv s="0">
    <fb>205.51</fb>
    <v>0</v>
  </rv>
  <rv s="0">
    <fb>206.12</fb>
    <v>0</v>
  </rv>
  <rv s="0">
    <fb>205.07</fb>
    <v>0</v>
  </rv>
  <rv s="0">
    <fb>205.71</fb>
    <v>0</v>
  </rv>
  <rv s="0">
    <fb>209.03</fb>
    <v>0</v>
  </rv>
  <rv s="0">
    <fb>208.44</fb>
    <v>0</v>
  </rv>
  <rv s="0">
    <fb>208.53</fb>
    <v>0</v>
  </rv>
  <rv s="0">
    <fb>211.9</fb>
    <v>0</v>
  </rv>
  <rv s="0">
    <fb>213.36</fb>
    <v>0</v>
  </rv>
  <rv s="0">
    <fb>214.51</fb>
    <v>0</v>
  </rv>
  <rv s="0">
    <fb>213.63</fb>
    <v>0</v>
  </rv>
  <rv s="0">
    <fb>212.78</fb>
    <v>0</v>
  </rv>
  <rv s="0">
    <fb>208.89</fb>
    <v>0</v>
  </rv>
  <rv s="0">
    <fb>210.77</fb>
    <v>0</v>
  </rv>
  <rv s="0">
    <fb>208.55</fb>
    <v>0</v>
  </rv>
  <rv s="0">
    <fb>209.65</fb>
    <v>0</v>
  </rv>
  <rv s="0">
    <fb>209.21</fb>
    <v>0</v>
  </rv>
  <rv s="0">
    <fb>211.77</fb>
    <v>0</v>
  </rv>
  <rv s="0">
    <fb>214.47</fb>
    <v>0</v>
  </rv>
  <rv s="0">
    <fb>211.97</fb>
    <v>0</v>
  </rv>
  <rv s="0">
    <fb>215.48</fb>
    <v>0</v>
  </rv>
  <rv s="0">
    <fb>215.79</fb>
    <v>0</v>
  </rv>
  <rv s="0">
    <fb>218.01</fb>
    <v>0</v>
  </rv>
  <rv s="0">
    <fb>221.03</fb>
    <v>0</v>
  </rv>
  <rv s="0">
    <fb>223.08</fb>
    <v>0</v>
  </rv>
  <rv s="0">
    <fb>219.73</fb>
    <v>0</v>
  </rv>
  <rv s="0">
    <fb>221.25</fb>
    <v>0</v>
  </rv>
  <rv s="0">
    <fb>223.65</fb>
    <v>0</v>
  </rv>
  <rv s="0">
    <fb>224.8</fb>
    <v>0</v>
  </rv>
  <rv s="0">
    <fb>221.7</fb>
    <v>0</v>
  </rv>
  <rv s="0">
    <fb>223.19</fb>
    <v>0</v>
  </rv>
  <rv s="0">
    <fb>218.82</fb>
    <v>0</v>
  </rv>
  <rv s="0">
    <fb>221.02</fb>
    <v>0</v>
  </rv>
  <rv s="0">
    <fb>223.92</fb>
    <v>0</v>
  </rv>
  <rv s="0">
    <fb>222.33</fb>
    <v>0</v>
  </rv>
  <rv s="0">
    <fb>221.43</fb>
    <v>0</v>
  </rv>
  <rv s="0">
    <fb>223.27</fb>
    <v>0</v>
  </rv>
  <rv s="0">
    <fb>226.68</fb>
    <v>0</v>
  </rv>
  <rv s="0">
    <fb>223.55</fb>
    <v>0</v>
  </rv>
  <rv s="0">
    <fb>224.38</fb>
    <v>0</v>
  </rv>
  <rv s="0">
    <fb>224.12</fb>
    <v>0</v>
  </rv>
  <rv s="0">
    <fb>222.69</fb>
    <v>0</v>
  </rv>
  <rv s="0">
    <fb>221.56</fb>
    <v>0</v>
  </rv>
  <rv s="0">
    <fb>219.39</fb>
    <v>0</v>
  </rv>
  <rv s="0">
    <fb>214.92</fb>
    <v>0</v>
  </rv>
  <rv s="0">
    <fb>220.85</fb>
    <v>0</v>
  </rv>
  <rv s="0">
    <fb>220.56</fb>
    <v>0</v>
  </rv>
  <rv s="0">
    <fb>219.84</fb>
    <v>0</v>
  </rv>
  <rv s="0">
    <fb>220.32</fb>
    <v>0</v>
  </rv>
  <rv s="0">
    <fb>220.27</fb>
    <v>0</v>
  </rv>
  <rv s="0">
    <fb>226.81</fb>
    <v>0</v>
  </rv>
  <rv s="0">
    <fb>231.22</fb>
    <v>0</v>
  </rv>
  <rv s="0">
    <fb>228.24</fb>
    <v>0</v>
  </rv>
  <rv s="0">
    <fb>227.13</fb>
    <v>0</v>
  </rv>
  <rv s="0">
    <fb>227.96</fb>
    <v>0</v>
  </rv>
  <rv s="0">
    <fb>226.21</fb>
    <v>0</v>
  </rv>
  <rv s="0">
    <fb>225.41</fb>
    <v>0</v>
  </rv>
  <rv s="0">
    <fb>234.83</fb>
    <v>0</v>
  </rv>
  <rv s="0">
    <fb>232.36</fb>
    <v>0</v>
  </rv>
  <rv s="0">
    <fb>234.28</fb>
    <v>0</v>
  </rv>
  <rv s="0">
    <fb>235.94</fb>
    <v>0</v>
  </rv>
  <rv s="0">
    <fb>236.22</fb>
    <v>0</v>
  </rv>
  <rv s="0">
    <fb>235.17</fb>
    <v>0</v>
  </rv>
  <rv s="0">
    <fb>233.9</fb>
    <v>0</v>
  </rv>
  <rv s="0">
    <fb>233.67</fb>
    <v>0</v>
  </rv>
  <rv s="0">
    <fb>236.59</fb>
    <v>0</v>
  </rv>
  <rv s="0">
    <fb>237.77</fb>
    <v>0</v>
  </rv>
  <rv s="0">
    <fb>238.25</fb>
    <v>0</v>
  </rv>
  <rv s="0">
    <fb>236.85</fb>
    <v>0</v>
  </rv>
  <rv s="0">
    <fb>236.43</fb>
    <v>0</v>
  </rv>
  <rv s="0">
    <fb>240.8</fb>
    <v>0</v>
  </rv>
  <rv s="0">
    <fb>238.34</fb>
    <v>0</v>
  </rv>
  <rv s="0">
    <fb>239.35</fb>
    <v>0</v>
  </rv>
  <rv s="0">
    <fb>238.28</fb>
    <v>0</v>
  </rv>
  <rv s="0">
    <fb>238.89</fb>
    <v>0</v>
  </rv>
  <rv s="0">
    <fb>244.84</fb>
    <v>0</v>
  </rv>
  <rv s="0">
    <fb>242.98</fb>
    <v>0</v>
  </rv>
  <rv s="0">
    <fb>244.39</fb>
    <v>0</v>
  </rv>
  <rv s="0">
    <fb>243.84</fb>
    <v>0</v>
  </rv>
  <rv s="0">
    <fb>241.6</fb>
    <v>0</v>
  </rv>
  <rv s="0">
    <fb>239.29</fb>
    <v>0</v>
  </rv>
  <rv s="0">
    <fb>241.34</fb>
    <v>0</v>
  </rv>
  <rv s="0">
    <fb>241.62</fb>
    <v>0</v>
  </rv>
  <rv s="0">
    <fb>241.96</fb>
    <v>0</v>
  </rv>
  <rv s="0">
    <fb>242.49</fb>
    <v>0</v>
  </rv>
  <rv s="0">
    <fb>244.02</fb>
    <v>0</v>
  </rv>
  <rv s="0">
    <fb>245.83</fb>
    <v>0</v>
  </rv>
  <rv s="0">
    <fb>246.81</fb>
    <v>0</v>
  </rv>
  <rv s="0">
    <fb>244.16</fb>
    <v>0</v>
  </rv>
  <rv s="0">
    <fb>246.72</fb>
    <v>0</v>
  </rv>
  <rv s="0">
    <fb>237.79</fb>
    <v>0</v>
  </rv>
  <rv s="0">
    <fb>244.41</fb>
    <v>0</v>
  </rv>
  <rv s="0">
    <fb>247.9</fb>
    <v>0</v>
  </rv>
  <rv s="0">
    <fb>250.33</fb>
    <v>0</v>
  </rv>
  <rv s="0">
    <fb>245.06</fb>
    <v>0</v>
  </rv>
  <rv s="0">
    <fb>243.41</fb>
    <v>0</v>
  </rv>
  <rv s="0">
    <fb>248.16</fb>
    <v>0</v>
  </rv>
  <rv s="0">
    <fb>246.99</fb>
    <v>0</v>
  </rv>
  <rv s="0">
    <fb>243.34</fb>
    <v>0</v>
  </rv>
  <rv s="0">
    <fb>246.42</fb>
    <v>0</v>
  </rv>
  <rv s="0">
    <fb>249.43</fb>
    <v>0</v>
  </rv>
  <rv s="0">
    <fb>250.3</fb>
    <v>0</v>
  </rv>
  <rv s="0">
    <fb>248.96</fb>
    <v>0</v>
  </rv>
  <rv s="0">
    <fb>246.84</fb>
    <v>0</v>
  </rv>
  <rv s="0">
    <fb>244.85</fb>
    <v>0</v>
  </rv>
  <rv s="0">
    <fb>246.23</fb>
    <v>0</v>
  </rv>
  <rv s="0">
    <fb>245.44</fb>
    <v>0</v>
  </rv>
  <rv s="0">
    <fb>241.2</fb>
    <v>0</v>
  </rv>
  <rv s="0">
    <fb>244.68</fb>
    <v>0</v>
  </rv>
  <rv s="0">
    <fb>240.35</fb>
    <v>0</v>
  </rv>
  <rv s="0">
    <fb>241.61</fb>
    <v>0</v>
  </rv>
  <rv s="0">
    <fb>244.03</fb>
    <v>0</v>
  </rv>
  <rv s="0">
    <fb>244.24</fb>
    <v>0</v>
  </rv>
  <rv s="0">
    <fb>243.64</fb>
    <v>0</v>
  </rv>
  <rv s="0">
    <fb>236.79</fb>
    <v>0</v>
  </rv>
  <rv s="0">
    <fb>237.48</fb>
    <v>0</v>
  </rv>
  <rv s="0">
    <fb>232.76</fb>
    <v>0</v>
  </rv>
  <rv s="0">
    <fb>233.47</fb>
    <v>0</v>
  </rv>
  <rv s="0">
    <fb>181.56</fb>
    <v>0</v>
  </rv>
  <rv s="0">
    <fb>180.13</fb>
    <v>0</v>
  </rv>
  <rv s="0">
    <fb>174.8</fb>
    <v>0</v>
  </rv>
  <rv s="0">
    <fb>174.22</fb>
    <v>0</v>
  </rv>
  <rv s="0">
    <fb>176.66</fb>
    <v>0</v>
  </rv>
  <rv s="0">
    <fb>176.28</fb>
    <v>0</v>
  </rv>
  <rv s="0">
    <fb>177.61</fb>
    <v>0</v>
  </rv>
  <rv s="0">
    <fb>177.9</fb>
    <v>0</v>
  </rv>
  <rv s="0">
    <fb>176.69</fb>
    <v>0</v>
  </rv>
  <rv s="0">
    <fb>174.91</fb>
    <v>0</v>
  </rv>
  <rv s="0">
    <fb>175.23</fb>
    <v>0</v>
  </rv>
  <rv s="0">
    <fb>174.72</fb>
    <v>0</v>
  </rv>
  <rv s="0">
    <fb>176.32</fb>
    <v>0</v>
  </rv>
  <rv s="0">
    <fb>176.2</fb>
    <v>0</v>
  </rv>
  <rv s="0">
    <fb>175.61</fb>
    <v>0</v>
  </rv>
  <rv s="0">
    <fb>175.82</fb>
    <v>0</v>
  </rv>
  <rv s="0">
    <fb>173.25</fb>
    <v>0</v>
  </rv>
  <rv s="0">
    <fb>174.67</fb>
    <v>0</v>
  </rv>
  <rv s="0">
    <fb>176.08</fb>
    <v>0</v>
  </rv>
  <rv s="0">
    <fb>177.77</fb>
    <v>0</v>
  </rv>
  <rv s="0">
    <fb>179.17</fb>
    <v>0</v>
  </rv>
  <rv s="0">
    <fb>180.04</fb>
    <v>0</v>
  </rv>
  <rv s="0">
    <fb>182.13</fb>
    <v>0</v>
  </rv>
  <rv s="0">
    <fb>181.49</fb>
    <v>0</v>
  </rv>
  <rv s="0">
    <fb>182.35</fb>
    <v>0</v>
  </rv>
  <rv s="0">
    <fb>182.19</fb>
    <v>0</v>
  </rv>
  <rv s="0">
    <fb>182.31</fb>
    <v>0</v>
  </rv>
  <rv s="0">
    <fb>181.41</fb>
    <v>0</v>
  </rv>
  <rv s="0">
    <fb>180.81</fb>
    <v>0</v>
  </rv>
  <rv s="0">
    <fb>181.24</fb>
    <v>0</v>
  </rv>
  <rv s="0">
    <fb>180.25</fb>
    <v>0</v>
  </rv>
  <rv s="0">
    <fb>180.47</fb>
    <v>0</v>
  </rv>
  <rv s="0">
    <fb>181.35</fb>
    <v>0</v>
  </rv>
  <rv s="0">
    <fb>181.11</fb>
    <v>0</v>
  </rv>
  <rv s="0">
    <fb>180.22</fb>
    <v>0</v>
  </rv>
  <rv s="0">
    <fb>180.73</fb>
    <v>0</v>
  </rv>
  <rv s="0">
    <fb>180.75</fb>
    <v>0</v>
  </rv>
  <rv s="0">
    <fb>179.7</fb>
    <v>0</v>
  </rv>
  <rv s="0">
    <fb>181.26</fb>
    <v>0</v>
  </rv>
  <rv s="0">
    <fb>181.08</fb>
    <v>0</v>
  </rv>
  <rv s="0">
    <fb>182.47</fb>
    <v>0</v>
  </rv>
  <rv s="0">
    <fb>182.84</fb>
    <v>0</v>
  </rv>
  <rv s="0">
    <fb>182.38</fb>
    <v>0</v>
  </rv>
  <rv s="0">
    <fb>179.82</fb>
    <v>0</v>
  </rv>
  <rv s="0">
    <fb>179.97</fb>
    <v>0</v>
  </rv>
  <rv s="0">
    <fb>179.77</fb>
    <v>0</v>
  </rv>
  <rv s="0">
    <fb>178.2</fb>
    <v>0</v>
  </rv>
  <rv s="0">
    <fb>180.18</fb>
    <v>0</v>
  </rv>
  <rv s="0">
    <fb>178.26</fb>
    <v>0</v>
  </rv>
  <rv s="0">
    <fb>175.38</fb>
    <v>0</v>
  </rv>
  <rv s="0">
    <fb>177.01</fb>
    <v>0</v>
  </rv>
  <rv s="0">
    <fb>175.05</fb>
    <v>0</v>
  </rv>
  <rv s="0">
    <fb>174.2</fb>
    <v>0</v>
  </rv>
  <rv s="0">
    <fb>171.88</fb>
    <v>0</v>
  </rv>
  <rv s="0">
    <fb>171.07</fb>
    <v>0</v>
  </rv>
  <rv s="0">
    <fb>169.43</fb>
    <v>0</v>
  </rv>
  <rv s="0">
    <fb>172.66</fb>
    <v>0</v>
  </rv>
  <rv s="0">
    <fb>174.99</fb>
    <v>0</v>
  </rv>
  <rv s="0">
    <fb>174.08</fb>
    <v>0</v>
  </rv>
  <rv s="0">
    <fb>175.37</fb>
    <v>0</v>
  </rv>
  <rv s="0">
    <fb>174.64</fb>
    <v>0</v>
  </rv>
  <rv s="0">
    <fb>173.84</fb>
    <v>0</v>
  </rv>
  <rv s="0">
    <fb>175.69</fb>
    <v>0</v>
  </rv>
  <rv s="0">
    <fb>175.27</fb>
    <v>0</v>
  </rv>
  <rv s="0">
    <fb>174.94</fb>
    <v>0</v>
  </rv>
  <rv s="0">
    <fb>174.49</fb>
    <v>0</v>
  </rv>
  <rv s="0">
    <fb>171.8</fb>
    <v>0</v>
  </rv>
  <rv s="0">
    <fb>173.23</fb>
    <v>0</v>
  </rv>
  <rv s="0">
    <fb>173.41</fb>
    <v>0</v>
  </rv>
  <rv s="0">
    <fb>174.86</fb>
    <v>0</v>
  </rv>
  <rv s="0">
    <fb>166.53</fb>
    <v>0</v>
  </rv>
  <rv s="0">
    <fb>157.18</fb>
    <v>0</v>
  </rv>
  <rv s="0">
    <fb>155.87</fb>
    <v>0</v>
  </rv>
  <rv s="0">
    <fb>152.93</fb>
    <v>0</v>
  </rv>
  <rv s="0">
    <fb>165.16</fb>
    <v>0</v>
  </rv>
  <rv s="0">
    <fb>159.6</fb>
    <v>0</v>
  </rv>
  <rv s="0">
    <fb>162.02000000000001</fb>
    <v>0</v>
  </rv>
  <rv s="0">
    <fb>164.09</fb>
    <v>0</v>
  </rv>
  <rv s="0">
    <fb>163.56</fb>
    <v>0</v>
  </rv>
  <rv s="0">
    <fb>161.46</fb>
    <v>0</v>
  </rv>
  <rv s="0">
    <fb>162.66</fb>
    <v>0</v>
  </rv>
  <rv s="0">
    <fb>159.38999999999999</fb>
    <v>0</v>
  </rv>
  <rv s="0">
    <fb>163.32</fb>
    <v>0</v>
  </rv>
  <rv s="0">
    <fb>164.9</fb>
    <v>0</v>
  </rv>
  <rv s="0">
    <fb>167.69</fb>
    <v>0</v>
  </rv>
  <rv s="0">
    <fb>167.45</fb>
    <v>0</v>
  </rv>
  <rv s="0">
    <fb>167.92</fb>
    <v>0</v>
  </rv>
  <rv s="0">
    <fb>168.9</fb>
    <v>0</v>
  </rv>
  <rv s="0">
    <fb>169.14</fb>
    <v>0</v>
  </rv>
  <rv s="0">
    <fb>168.91</fb>
    <v>0</v>
  </rv>
  <rv s="0">
    <fb>171.89</fb>
    <v>0</v>
  </rv>
  <rv s="0">
    <fb>171.32</fb>
    <v>0</v>
  </rv>
  <rv s="0">
    <fb>170.05</fb>
    <v>0</v>
  </rv>
  <rv s="0">
    <fb>171.17</fb>
    <v>0</v>
  </rv>
  <rv s="0">
    <fb>172.61</fb>
    <v>0</v>
  </rv>
  <rv s="0">
    <fb>172.57</fb>
    <v>0</v>
  </rv>
  <rv s="0">
    <fb>177.3</fb>
    <v>0</v>
  </rv>
  <rv s="0">
    <fb>177.7</fb>
    <v>0</v>
  </rv>
  <rv s="0">
    <fb>176.63</fb>
    <v>0</v>
  </rv>
  <rv s="0">
    <fb>178.24</fb>
    <v>0</v>
  </rv>
  <rv s="0">
    <fb>179.99</fb>
    <v>0</v>
  </rv>
  <rv s="0">
    <fb>179.5</fb>
    <v>0</v>
  </rv>
  <rv s="0">
    <fb>175.59</fb>
    <v>0</v>
  </rv>
  <rv s="0">
    <fb>175.03</fb>
    <v>0</v>
  </rv>
  <rv s="0">
    <fb>174.33</fb>
    <v>0</v>
  </rv>
  <rv s="0">
    <fb>177.58</fb>
    <v>0</v>
  </rv>
  <rv s="0">
    <fb>176.07</fb>
    <v>0</v>
  </rv>
  <rv s="0">
    <fb>176.5</fb>
    <v>0</v>
  </rv>
  <rv s="0">
    <fb>176.43</fb>
    <v>0</v>
  </rv>
  <rv s="0">
    <fb>176.57</fb>
    <v>0</v>
  </rv>
  <rv s="0">
    <fb>178.04</fb>
    <v>0</v>
  </rv>
  <rv s="0">
    <fb>177.64</fb>
    <v>0</v>
  </rv>
  <rv s="0">
    <fb>177.16</fb>
    <v>0</v>
  </rv>
  <rv s="0">
    <fb>178.69</fb>
    <v>0</v>
  </rv>
  <rv s="0">
    <fb>178.72</fb>
    <v>0</v>
  </rv>
  <rv s="0">
    <fb>179.61</fb>
    <v>0</v>
  </rv>
  <rv s="0">
    <fb>179.1</fb>
    <v>0</v>
  </rv>
  <rv s="0">
    <fb>179.52</fb>
    <v>0</v>
  </rv>
  <rv s="0">
    <fb>177.35</fb>
    <v>0</v>
  </rv>
  <rv s="0">
    <fb>179.06</fb>
    <v>0</v>
  </rv>
  <rv s="0">
    <fb>177.36</fb>
    <v>0</v>
  </rv>
  <rv s="0">
    <fb>177.65</fb>
    <v>0</v>
  </rv>
  <rv s="0">
    <fb>178.49</fb>
    <v>0</v>
  </rv>
  <rv s="0">
    <fb>178.88</fb>
    <v>0</v>
  </rv>
  <rv s="0">
    <fb>180.23</fb>
    <v>0</v>
  </rv>
  <rv s="0">
    <fb>180.89</fb>
    <v>0</v>
  </rv>
  <rv s="0">
    <fb>181.74</fb>
    <v>0</v>
  </rv>
  <rv s="0">
    <fb>183.87</fb>
    <v>0</v>
  </rv>
  <rv s="0">
    <fb>184.29</fb>
    <v>0</v>
  </rv>
  <rv s="0">
    <fb>185.18</fb>
    <v>0</v>
  </rv>
  <rv s="0">
    <fb>183.7</fb>
    <v>0</v>
  </rv>
  <rv s="0">
    <fb>184.16</fb>
    <v>0</v>
  </rv>
  <rv s="0">
    <fb>184.71</fb>
    <v>0</v>
  </rv>
  <rv s="0">
    <fb>185.78</fb>
    <v>0</v>
  </rv>
  <rv s="0">
    <fb>184.61</fb>
    <v>0</v>
  </rv>
  <rv s="0">
    <fb>182.05</fb>
    <v>0</v>
  </rv>
  <rv s="0">
    <fb>182.76</fb>
    <v>0</v>
  </rv>
  <rv s="0">
    <fb>184.25</fb>
    <v>0</v>
  </rv>
  <rv s="0">
    <fb>184.18</fb>
    <v>0</v>
  </rv>
  <rv s="0">
    <fb>183.55</fb>
    <v>0</v>
  </rv>
  <rv s="0">
    <fb>185.89</fb>
    <v>0</v>
  </rv>
  <rv s="0">
    <fb>186.83</fb>
    <v>0</v>
  </rv>
  <rv s="0">
    <fb>187.73</fb>
    <v>0</v>
  </rv>
  <rv s="0">
    <fb>186.62</fb>
    <v>0</v>
  </rv>
  <rv s="0">
    <fb>185.32</fb>
    <v>0</v>
  </rv>
  <rv s="0">
    <fb>183.78</fb>
    <v>0</v>
  </rv>
  <rv s="0">
    <fb>183.27</fb>
    <v>0</v>
  </rv>
  <rv s="0">
    <fb>182.86</fb>
    <v>0</v>
  </rv>
  <rv s="0">
    <fb>182.75</fb>
    <v>0</v>
  </rv>
  <rv s="0">
    <fb>183.08</fb>
    <v>0</v>
  </rv>
  <rv s="0">
    <fb>182.58</fb>
    <v>0</v>
  </rv>
  <rv s="0">
    <fb>184.9</fb>
    <v>0</v>
  </rv>
  <rv s="0">
    <fb>187.54</fb>
    <v>0</v>
  </rv>
  <rv s="0">
    <fb>185.86</fb>
    <v>0</v>
  </rv>
  <rv s="0">
    <fb>185.82</fb>
    <v>0</v>
  </rv>
  <rv s="0">
    <fb>186.69</fb>
    <v>0</v>
  </rv>
  <rv s="0">
    <fb>186.52</fb>
    <v>0</v>
  </rv>
  <rv s="0">
    <fb>185.87</fb>
    <v>0</v>
  </rv>
  <rv s="0">
    <fb>189.49</fb>
    <v>0</v>
  </rv>
  <rv s="0">
    <fb>188.04</fb>
    <v>0</v>
  </rv>
  <rv s="0">
    <fb>188.17</fb>
    <v>0</v>
  </rv>
  <rv s="0">
    <fb>188.85</fb>
    <v>0</v>
  </rv>
  <rv s="0">
    <fb>188.76</fb>
    <v>0</v>
  </rv>
  <rv s="0">
    <fb>188.62</fb>
    <v>0</v>
  </rv>
  <rv s="0">
    <fb>187.13</fb>
    <v>0</v>
  </rv>
  <rv s="0">
    <fb>186.84</fb>
    <v>0</v>
  </rv>
  <rv s="0">
    <fb>188.22</fb>
    <v>0</v>
  </rv>
  <rv s="0">
    <fb>188.44</fb>
    <v>0</v>
  </rv>
  <rv s="0">
    <fb>188.29</fb>
    <v>0</v>
  </rv>
  <rv s="0">
    <fb>187.71</fb>
    <v>0</v>
  </rv>
  <rv s="0">
    <fb>190.33</fb>
    <v>0</v>
  </rv>
  <rv s="0">
    <fb>188.96</fb>
    <v>0</v>
  </rv>
  <rv s="0">
    <fb>188.63</fb>
    <v>0</v>
  </rv>
  <rv s="0">
    <fb>188.13</fb>
    <v>0</v>
  </rv>
  <rv s="0">
    <fb>188.31</fb>
    <v>0</v>
  </rv>
  <rv s="0">
    <fb>189.54</fb>
    <v>0</v>
  </rv>
  <rv s="0">
    <fb>189.21</fb>
    <v>0</v>
  </rv>
  <rv s="0">
    <fb>188.48</fb>
    <v>0</v>
  </rv>
  <rv s="0">
    <fb>188.71</fb>
    <v>0</v>
  </rv>
  <rv s="0">
    <fb>188.27</fb>
    <v>0</v>
  </rv>
  <rv s="0">
    <fb>186.72</fb>
    <v>0</v>
  </rv>
  <rv s="0">
    <fb>188.57</fb>
    <v>0</v>
  </rv>
  <rv s="0">
    <fb>189.2</fb>
    <v>0</v>
  </rv>
  <rv s="0">
    <fb>189.7</fb>
    <v>0</v>
  </rv>
  <rv s="0">
    <fb>190.13</fb>
    <v>0</v>
  </rv>
  <rv s="0">
    <fb>190.58</fb>
    <v>0</v>
  </rv>
  <rv s="0">
    <fb>191.25</fb>
    <v>0</v>
  </rv>
  <rv s="0">
    <fb>191.19</fb>
    <v>0</v>
  </rv>
  <rv s="0">
    <fb>190.35</fb>
    <v>0</v>
  </rv>
  <rv s="0">
    <fb>190.97</fb>
    <v>0</v>
  </rv>
  <rv s="0">
    <fb>185.12</fb>
    <v>0</v>
  </rv>
  <rv s="0">
    <fb>186.92</fb>
    <v>0</v>
  </rv>
  <rv s="0">
    <fb>188.47</fb>
    <v>0</v>
  </rv>
  <rv s="0">
    <fb>187.06</fb>
    <v>0</v>
  </rv>
  <rv s="0">
    <fb>188.01</fb>
    <v>0</v>
  </rv>
  <rv s="0">
    <fb>189.89</fb>
    <v>0</v>
  </rv>
  <rv s="0">
    <fb>190.76</fb>
    <v>0</v>
  </rv>
  <rv s="0">
    <fb>189.84</fb>
    <v>0</v>
  </rv>
  <rv s="0">
    <fb>190.74</fb>
    <v>0</v>
  </rv>
  <rv s="0">
    <fb>192.11</fb>
    <v>0</v>
  </rv>
  <rv s="0">
    <fb>190.46</fb>
    <v>0</v>
  </rv>
  <rv s="0">
    <fb>188.33</fb>
    <v>0</v>
  </rv>
  <rv s="0">
    <fb>187.93</fb>
    <v>0</v>
  </rv>
  <rv s="0">
    <fb>186.23</fb>
    <v>0</v>
  </rv>
  <rv s="0">
    <fb>187.32</fb>
    <v>0</v>
  </rv>
  <rv s="0">
    <fb>186</fb>
    <v>0</v>
  </rv>
  <rv s="0">
    <fb>187.56</fb>
    <v>0</v>
  </rv>
  <rv s="0">
    <fb>188.64</fb>
    <v>0</v>
  </rv>
  <rv s="0">
    <fb>190.18</fb>
    <v>0</v>
  </rv>
  <rv s="0">
    <fb>188.03</fb>
    <v>0</v>
  </rv>
  <rv s="0">
    <fb>187.34</fb>
    <v>0</v>
  </rv>
  <rv s="0">
    <fb>184.88</fb>
    <v>0</v>
  </rv>
  <rv s="0">
    <fb>184.99</fb>
    <v>0</v>
  </rv>
  <rv s="0">
    <fb>94.86</fb>
    <v>0</v>
  </rv>
  <rv s="0">
    <fb>94.32</fb>
    <v>0</v>
  </rv>
  <rv s="0">
    <fb>90.96</fb>
    <v>0</v>
  </rv>
  <rv s="0">
    <fb>90.22</fb>
    <v>0</v>
  </rv>
  <rv s="0">
    <fb>91.15</fb>
    <v>0</v>
  </rv>
  <rv s="0">
    <fb>91.14</fb>
    <v>0</v>
  </rv>
  <rv s="0">
    <fb>92.16</fb>
    <v>0</v>
  </rv>
  <rv s="0">
    <fb>91.28</fb>
    <v>0</v>
  </rv>
  <rv s="0">
    <fb>90.15</fb>
    <v>0</v>
  </rv>
  <rv s="0">
    <fb>89.77</fb>
    <v>0</v>
  </rv>
  <rv s="0">
    <fb>89.72</fb>
    <v>0</v>
  </rv>
  <rv s="0">
    <fb>91.24</fb>
    <v>0</v>
  </rv>
  <rv s="0">
    <fb>91.9</fb>
    <v>0</v>
  </rv>
  <rv s="0">
    <fb>89.66</fb>
    <v>0</v>
  </rv>
  <rv s="0">
    <fb>91.45</fb>
    <v>0</v>
  </rv>
  <rv s="0">
    <fb>91.81</fb>
    <v>0</v>
  </rv>
  <rv s="0">
    <fb>92.9</fb>
    <v>0</v>
  </rv>
  <rv s="0">
    <fb>93.71</fb>
    <v>0</v>
  </rv>
  <rv s="0">
    <fb>94.36</fb>
    <v>0</v>
  </rv>
  <rv s="0">
    <fb>94.49</fb>
    <v>0</v>
  </rv>
  <rv s="0">
    <fb>94.01</fb>
    <v>0</v>
  </rv>
  <rv s="0">
    <fb>93.15</fb>
    <v>0</v>
  </rv>
  <rv s="0">
    <fb>94.18</fb>
    <v>0</v>
  </rv>
  <rv s="0">
    <fb>93.76</fb>
    <v>0</v>
  </rv>
  <rv s="0">
    <fb>94.39</fb>
    <v>0</v>
  </rv>
  <rv s="0">
    <fb>95.33</fb>
    <v>0</v>
  </rv>
  <rv s="0">
    <fb>95.44</fb>
    <v>0</v>
  </rv>
  <rv s="0">
    <fb>94.83</fb>
    <v>0</v>
  </rv>
  <rv s="0">
    <fb>95.66</fb>
    <v>0</v>
  </rv>
  <rv s="0">
    <fb>95.6</fb>
    <v>0</v>
  </rv>
  <rv s="0">
    <fb>96.81</fb>
    <v>0</v>
  </rv>
  <rv s="0">
    <fb>97.98</fb>
    <v>0</v>
  </rv>
  <rv s="0">
    <fb>97.73</fb>
    <v>0</v>
  </rv>
  <rv s="0">
    <fb>97.26</fb>
    <v>0</v>
  </rv>
  <rv s="0">
    <fb>95.39</fb>
    <v>0</v>
  </rv>
  <rv s="0">
    <fb>94.68</fb>
    <v>0</v>
  </rv>
  <rv s="0">
    <fb>93.73</fb>
    <v>0</v>
  </rv>
  <rv s="0">
    <fb>93.77</fb>
    <v>0</v>
  </rv>
  <rv s="0">
    <fb>92.93</fb>
    <v>0</v>
  </rv>
  <rv s="0">
    <fb>91.75</fb>
    <v>0</v>
  </rv>
  <rv s="0">
    <fb>91.13</fb>
    <v>0</v>
  </rv>
  <rv s="0">
    <fb>92.06</fb>
    <v>0</v>
  </rv>
  <rv s="0">
    <fb>89.85</fb>
    <v>0</v>
  </rv>
  <rv s="0">
    <fb>88.06</fb>
    <v>0</v>
  </rv>
  <rv s="0">
    <fb>87.18</fb>
    <v>0</v>
  </rv>
  <rv s="0">
    <fb>86.24</fb>
    <v>0</v>
  </rv>
  <rv s="0">
    <fb>88.13</fb>
    <v>0</v>
  </rv>
  <rv s="0">
    <fb>88.65</fb>
    <v>0</v>
  </rv>
  <rv s="0">
    <fb>89.33</fb>
    <v>0</v>
  </rv>
  <rv s="0">
    <fb>90.73</fb>
    <v>0</v>
  </rv>
  <rv s="0">
    <fb>90.03</fb>
    <v>0</v>
  </rv>
  <rv s="0">
    <fb>87.64</fb>
    <v>0</v>
  </rv>
  <rv s="0">
    <fb>83.92</fb>
    <v>0</v>
  </rv>
  <rv s="0">
    <fb>78.66</fb>
    <v>0</v>
  </rv>
  <rv s="0">
    <fb>78.540000000000006</fb>
    <v>0</v>
  </rv>
  <rv s="0">
    <fb>76.98</fb>
    <v>0</v>
  </rv>
  <rv s="0">
    <fb>82.99</fb>
    <v>0</v>
  </rv>
  <rv s="0">
    <fb>83.59</fb>
    <v>0</v>
  </rv>
  <rv s="0">
    <fb>83.84</fb>
    <v>0</v>
  </rv>
  <rv s="0">
    <fb>82.13</fb>
    <v>0</v>
  </rv>
  <rv s="0">
    <fb>82.46</fb>
    <v>0</v>
  </rv>
  <rv s="0">
    <fb>80.73</fb>
    <v>0</v>
  </rv>
  <rv s="0">
    <fb>82.59</fb>
    <v>0</v>
  </rv>
  <rv s="0">
    <fb>84.04</fb>
    <v>0</v>
  </rv>
  <rv s="0">
    <fb>86.8</fb>
    <v>0</v>
  </rv>
  <rv s="0">
    <fb>87.05</fb>
    <v>0</v>
  </rv>
  <rv s="0">
    <fb>87.58</fb>
    <v>0</v>
  </rv>
  <rv s="0">
    <fb>87.69</fb>
    <v>0</v>
  </rv>
  <rv s="0">
    <fb>87.83</fb>
    <v>0</v>
  </rv>
  <rv s="0">
    <fb>89.27</fb>
    <v>0</v>
  </rv>
  <rv s="0">
    <fb>89.09</fb>
    <v>0</v>
  </rv>
  <rv s="0">
    <fb>90.06</fb>
    <v>0</v>
  </rv>
  <rv s="0">
    <fb>94.27</fb>
    <v>0</v>
  </rv>
  <rv s="0">
    <fb>94.38</fb>
    <v>0</v>
  </rv>
  <rv s="0">
    <fb>94.7</fb>
    <v>0</v>
  </rv>
  <rv s="0">
    <fb>95.38</fb>
    <v>0</v>
  </rv>
  <rv s="0">
    <fb>95.3</fb>
    <v>0</v>
  </rv>
  <rv s="0">
    <fb>93.49</fb>
    <v>0</v>
  </rv>
  <rv s="0">
    <fb>93.51</fb>
    <v>0</v>
  </rv>
  <rv s="0">
    <fb>94.44</fb>
    <v>0</v>
  </rv>
  <rv s="0">
    <fb>94.2</fb>
    <v>0</v>
  </rv>
  <rv s="0">
    <fb>95.15</fb>
    <v>0</v>
  </rv>
  <rv s="0">
    <fb>94.85</fb>
    <v>0</v>
  </rv>
  <rv s="0">
    <fb>95.8</fb>
    <v>0</v>
  </rv>
  <rv s="0">
    <fb>96.62</fb>
    <v>0</v>
  </rv>
  <rv s="0">
    <fb>96.37</fb>
    <v>0</v>
  </rv>
  <rv s="0">
    <fb>96.43</fb>
    <v>0</v>
  </rv>
  <rv s="0">
    <fb>94.84</fb>
    <v>0</v>
  </rv>
  <rv s="0">
    <fb>96.28</fb>
    <v>0</v>
  </rv>
  <rv s="0">
    <fb>95.09</fb>
    <v>0</v>
  </rv>
  <rv s="0">
    <fb>95.14</fb>
    <v>0</v>
  </rv>
  <rv s="0">
    <fb>94.88</fb>
    <v>0</v>
  </rv>
  <rv s="0">
    <fb>97.12</fb>
    <v>0</v>
  </rv>
  <rv s="0">
    <fb>96.63</fb>
    <v>0</v>
  </rv>
  <rv s="0">
    <fb>97.32</fb>
    <v>0</v>
  </rv>
  <rv s="0">
    <fb>97.51</fb>
    <v>0</v>
  </rv>
  <rv s="0">
    <fb>98.31</fb>
    <v>0</v>
  </rv>
  <rv s="0">
    <fb>98.35</fb>
    <v>0</v>
  </rv>
  <rv s="0">
    <fb>98.71</fb>
    <v>0</v>
  </rv>
  <rv s="0">
    <fb>99.45</fb>
    <v>0</v>
  </rv>
  <rv s="0">
    <fb>98.66</fb>
    <v>0</v>
  </rv>
  <rv s="0">
    <fb>99.11</fb>
    <v>0</v>
  </rv>
  <rv s="0">
    <fb>99.37</fb>
    <v>0</v>
  </rv>
  <rv s="0">
    <fb>98.96</fb>
    <v>0</v>
  </rv>
  <rv s="0">
    <fb>98.47</fb>
    <v>0</v>
  </rv>
  <rv s="0">
    <fb>98.81</fb>
    <v>0</v>
  </rv>
  <rv s="0">
    <fb>98.26</fb>
    <v>0</v>
  </rv>
  <rv s="0">
    <fb>99.18</fb>
    <v>0</v>
  </rv>
  <rv s="0">
    <fb>99.13</fb>
    <v>0</v>
  </rv>
  <rv s="0">
    <fb>99.54</fb>
    <v>0</v>
  </rv>
  <rv s="0">
    <fb>100.26</fb>
    <v>0</v>
  </rv>
  <rv s="0">
    <fb>99.96</fb>
    <v>0</v>
  </rv>
  <rv s="0">
    <fb>98.36</fb>
    <v>0</v>
  </rv>
  <rv s="0">
    <fb>96.83</fb>
    <v>0</v>
  </rv>
  <rv s="0">
    <fb>98.39</fb>
    <v>0</v>
  </rv>
  <rv s="0">
    <fb>97.58</fb>
    <v>0</v>
  </rv>
  <rv s="0">
    <fb>97.97</fb>
    <v>0</v>
  </rv>
  <rv s="0">
    <fb>97.84</fb>
    <v>0</v>
  </rv>
  <rv s="0">
    <fb>97.65</fb>
    <v>0</v>
  </rv>
  <rv s="0">
    <fb>97.18</fb>
    <v>0</v>
  </rv>
  <rv s="0">
    <fb>98.37</fb>
    <v>0</v>
  </rv>
  <rv s="0">
    <fb>99.22</fb>
    <v>0</v>
  </rv>
  <rv s="0">
    <fb>98.59</fb>
    <v>0</v>
  </rv>
  <rv s="0">
    <fb>98.28</fb>
    <v>0</v>
  </rv>
  <rv s="0">
    <fb>98.44</fb>
    <v>0</v>
  </rv>
  <rv s="0">
    <fb>97.9</fb>
    <v>0</v>
  </rv>
  <rv s="0">
    <fb>97.64</fb>
    <v>0</v>
  </rv>
  <rv s="0">
    <fb>97.22</fb>
    <v>0</v>
  </rv>
  <rv s="0">
    <fb>98.9</fb>
    <v>0</v>
  </rv>
  <rv s="0">
    <fb>98.05</fb>
    <v>0</v>
  </rv>
  <rv s="0">
    <fb>98.08</fb>
    <v>0</v>
  </rv>
  <rv s="0">
    <fb>98.78</fb>
    <v>0</v>
  </rv>
  <rv s="0">
    <fb>97.23</fb>
    <v>0</v>
  </rv>
  <rv s="0">
    <fb>97.77</fb>
    <v>0</v>
  </rv>
  <rv s="0">
    <fb>97.94</fb>
    <v>0</v>
  </rv>
  <rv s="0">
    <fb>98.32</fb>
    <v>0</v>
  </rv>
  <rv s="0">
    <fb>98.57</fb>
    <v>0</v>
  </rv>
  <rv s="0">
    <fb>97.75</fb>
    <v>0</v>
  </rv>
  <rv s="0">
    <fb>99.07</fb>
    <v>0</v>
  </rv>
  <rv s="0">
    <fb>98.98</fb>
    <v>0</v>
  </rv>
  <rv s="0">
    <fb>99.29</fb>
    <v>0</v>
  </rv>
  <rv s="0">
    <fb>99.26</fb>
    <v>0</v>
  </rv>
  <rv s="0">
    <fb>99.76</fb>
    <v>0</v>
  </rv>
  <rv s="0">
    <fb>100.88</fb>
    <v>0</v>
  </rv>
  <rv s="0">
    <fb>100.84</fb>
    <v>0</v>
  </rv>
  <rv s="0">
    <fb>101.3</fb>
    <v>0</v>
  </rv>
  <rv s="0">
    <fb>100.69</fb>
    <v>0</v>
  </rv>
  <rv s="0">
    <fb>100.05</fb>
    <v>0</v>
  </rv>
  <rv s="0">
    <fb>101.02</fb>
    <v>0</v>
  </rv>
  <rv s="0">
    <fb>101.71</fb>
    <v>0</v>
  </rv>
  <rv s="0">
    <fb>101.61</fb>
    <v>0</v>
  </rv>
  <rv s="0">
    <fb>102.18</fb>
    <v>0</v>
  </rv>
  <rv s="0">
    <fb>102.73</fb>
    <v>0</v>
  </rv>
  <rv s="0">
    <fb>102.76</fb>
    <v>0</v>
  </rv>
  <rv s="0">
    <fb>103.12</fb>
    <v>0</v>
  </rv>
  <rv s="0">
    <fb>102.42</fb>
    <v>0</v>
  </rv>
  <rv s="0">
    <fb>103.5</fb>
    <v>0</v>
  </rv>
  <rv s="0">
    <fb>102.95</fb>
    <v>0</v>
  </rv>
  <rv s="0">
    <fb>99.77</fb>
    <v>0</v>
  </rv>
  <rv s="0">
    <fb>101.35</fb>
    <v>0</v>
  </rv>
  <rv s="0">
    <fb>101.47</fb>
    <v>0</v>
  </rv>
  <rv s="0">
    <fb>101.85</fb>
    <v>0</v>
  </rv>
  <rv s="0">
    <fb>101.28</fb>
    <v>0</v>
  </rv>
  <rv s="0">
    <fb>101.86</fb>
    <v>0</v>
  </rv>
  <rv s="0">
    <fb>103.77</fb>
    <v>0</v>
  </rv>
  <rv s="0">
    <fb>102.84</fb>
    <v>0</v>
  </rv>
  <rv s="0">
    <fb>103.54</fb>
    <v>0</v>
  </rv>
  <rv s="0">
    <fb>103.99</fb>
    <v>0</v>
  </rv>
  <rv s="0">
    <fb>105.23</fb>
    <v>0</v>
  </rv>
  <rv s="0">
    <fb>104.95</fb>
    <v>0</v>
  </rv>
  <rv s="0">
    <fb>104</fb>
    <v>0</v>
  </rv>
  <rv s="0">
    <fb>103.7</fb>
    <v>0</v>
  </rv>
  <rv s="0">
    <fb>103.57</fb>
    <v>0</v>
  </rv>
  <rv s="0">
    <fb>101.88</fb>
    <v>0</v>
  </rv>
  <rv s="0">
    <fb>102.65</fb>
    <v>0</v>
  </rv>
  <rv s="0">
    <fb>101.09</fb>
    <v>0</v>
  </rv>
  <rv s="0">
    <fb>101.08</fb>
    <v>0</v>
  </rv>
  <rv s="0">
    <fb>102.19</fb>
    <v>0</v>
  </rv>
  <rv s="0">
    <fb>102.39</fb>
    <v>0</v>
  </rv>
  <rv s="0">
    <fb>102.45</fb>
    <v>0</v>
  </rv>
  <rv s="0">
    <fb>99.51</fb>
    <v>0</v>
  </rv>
  <rv s="0">
    <fb>99.02</fb>
    <v>0</v>
  </rv>
  <rv s="0">
    <fb>37.129399999999997</fb>
    <v>0</v>
  </rv>
  <rv s="0">
    <fb>36.9754</fb>
    <v>0</v>
  </rv>
  <rv s="0">
    <fb>36.228200000000001</fb>
    <v>0</v>
  </rv>
  <rv s="0">
    <fb>36.543300000000002</fb>
    <v>0</v>
  </rv>
  <rv s="0">
    <fb>36.589799999999997</fb>
    <v>0</v>
  </rv>
  <rv s="0">
    <fb>36.862099999999998</fb>
    <v>0</v>
  </rv>
  <rv s="0">
    <fb>36.9499</fb>
    <v>0</v>
  </rv>
  <rv s="0">
    <fb>36.649700000000003</fb>
    <v>0</v>
  </rv>
  <rv s="0">
    <fb>36.384399999999999</fb>
    <v>0</v>
  </rv>
  <rv s="0">
    <fb>36.270000000000003</fb>
    <v>0</v>
  </rv>
  <rv s="0">
    <fb>36.197800000000001</fb>
    <v>0</v>
  </rv>
  <rv s="0">
    <fb>36.356200000000001</fb>
    <v>0</v>
  </rv>
  <rv s="0">
    <fb>36.42</fb>
    <v>0</v>
  </rv>
  <rv s="0">
    <fb>36.251199999999997</fb>
    <v>0</v>
  </rv>
  <rv s="0">
    <fb>36.298900000000003</fb>
    <v>0</v>
  </rv>
  <rv s="0">
    <fb>35.8157</fb>
    <v>0</v>
  </rv>
  <rv s="0">
    <fb>36.0383</fb>
    <v>0</v>
  </rv>
  <rv s="0">
    <fb>36.08</fb>
    <v>0</v>
  </rv>
  <rv s="0">
    <fb>36.520000000000003</fb>
    <v>0</v>
  </rv>
  <rv s="0">
    <fb>36.6053</fb>
    <v>0</v>
  </rv>
  <rv s="0">
    <fb>36.850700000000003</fb>
    <v>0</v>
  </rv>
  <rv s="0">
    <fb>37.21</fb>
    <v>0</v>
  </rv>
  <rv s="0">
    <fb>37.31</fb>
    <v>0</v>
  </rv>
  <rv s="0">
    <fb>37.590000000000003</fb>
    <v>0</v>
  </rv>
  <rv s="0">
    <fb>37.81</fb>
    <v>0</v>
  </rv>
  <rv s="0">
    <fb>37.869999999999997</fb>
    <v>0</v>
  </rv>
  <rv s="0">
    <fb>37.840000000000003</fb>
    <v>0</v>
  </rv>
  <rv s="0">
    <fb>38.0565</fb>
    <v>0</v>
  </rv>
  <rv s="0">
    <fb>37.76</fb>
    <v>0</v>
  </rv>
  <rv s="0">
    <fb>37.979999999999997</fb>
    <v>0</v>
  </rv>
  <rv s="0">
    <fb>37.86</fb>
    <v>0</v>
  </rv>
  <rv s="0">
    <fb>37.684199999999997</fb>
    <v>0</v>
  </rv>
  <rv s="0">
    <fb>37.71</fb>
    <v>0</v>
  </rv>
  <rv s="0">
    <fb>38.159999999999997</fb>
    <v>0</v>
  </rv>
  <rv s="0">
    <fb>38.04</fb>
    <v>0</v>
  </rv>
  <rv s="0">
    <fb>38.090000000000003</fb>
    <v>0</v>
  </rv>
  <rv s="0">
    <fb>38.24</fb>
    <v>0</v>
  </rv>
  <rv s="0">
    <fb>37.962299999999999</fb>
    <v>0</v>
  </rv>
  <rv s="0">
    <fb>37.57</fb>
    <v>0</v>
  </rv>
  <rv s="0">
    <fb>37.700000000000003</fb>
    <v>0</v>
  </rv>
  <rv s="0">
    <fb>37.69</fb>
    <v>0</v>
  </rv>
  <rv s="0">
    <fb>37.555</fb>
    <v>0</v>
  </rv>
  <rv s="0">
    <fb>37.9529</fb>
    <v>0</v>
  </rv>
  <rv s="0">
    <fb>37.503599999999999</fb>
    <v>0</v>
  </rv>
  <rv s="0">
    <fb>36.913499999999999</fb>
    <v>0</v>
  </rv>
  <rv s="0">
    <fb>37.2438</fb>
    <v>0</v>
  </rv>
  <rv s="0">
    <fb>36.907699999999998</fb>
    <v>0</v>
  </rv>
  <rv s="0">
    <fb>37.2121</fb>
    <v>0</v>
  </rv>
  <rv s="0">
    <fb>36.549999999999997</fb>
    <v>0</v>
  </rv>
  <rv s="0">
    <fb>36.051299999999998</fb>
    <v>0</v>
  </rv>
  <rv s="0">
    <fb>35.942900000000002</fb>
    <v>0</v>
  </rv>
  <rv s="0">
    <fb>35.5764</fb>
    <v>0</v>
  </rv>
  <rv s="0">
    <fb>36.090000000000003</fb>
    <v>0</v>
  </rv>
  <rv s="0">
    <fb>36.4253</fb>
    <v>0</v>
  </rv>
  <rv s="0">
    <fb>36.172600000000003</fb>
    <v>0</v>
  </rv>
  <rv s="0">
    <fb>36.501199999999997</fb>
    <v>0</v>
  </rv>
  <rv s="0">
    <fb>36.470500000000001</fb>
    <v>0</v>
  </rv>
  <rv s="0">
    <fb>36.357399999999998</fb>
    <v>0</v>
  </rv>
  <rv s="0">
    <fb>36.810299999999998</fb>
    <v>0</v>
  </rv>
  <rv s="0">
    <fb>36.76</fb>
    <v>0</v>
  </rv>
  <rv s="0">
    <fb>36.6417</fb>
    <v>0</v>
  </rv>
  <rv s="0">
    <fb>36.463200000000001</fb>
    <v>0</v>
  </rv>
  <rv s="0">
    <fb>35.8718</fb>
    <v>0</v>
  </rv>
  <rv s="0">
    <fb>36.2239</fb>
    <v>0</v>
  </rv>
  <rv s="0">
    <fb>36.145299999999999</fb>
    <v>0</v>
  </rv>
  <rv s="0">
    <fb>36.29</fb>
    <v>0</v>
  </rv>
  <rv s="0">
    <fb>34.793300000000002</fb>
    <v>0</v>
  </rv>
  <rv s="0">
    <fb>32.886800000000001</fb>
    <v>0</v>
  </rv>
  <rv s="0">
    <fb>32.566699999999997</fb>
    <v>0</v>
  </rv>
  <rv s="0">
    <fb>32.19</fb>
    <v>0</v>
  </rv>
  <rv s="0">
    <fb>34.643099999999997</fb>
    <v>0</v>
  </rv>
  <rv s="0">
    <fb>33.783999999999999</fb>
    <v>0</v>
  </rv>
  <rv s="0">
    <fb>34.400599999999997</fb>
    <v>0</v>
  </rv>
  <rv s="0">
    <fb>34.634900000000002</fb>
    <v>0</v>
  </rv>
  <rv s="0">
    <fb>34.51</fb>
    <v>0</v>
  </rv>
  <rv s="0">
    <fb>33.880000000000003</fb>
    <v>0</v>
  </rv>
  <rv s="0">
    <fb>33.14</fb>
    <v>0</v>
  </rv>
  <rv s="0">
    <fb>33.954700000000003</fb>
    <v>0</v>
  </rv>
  <rv s="0">
    <fb>34.294199999999996</fb>
    <v>0</v>
  </rv>
  <rv s="0">
    <fb>34.659599999999998</fb>
    <v>0</v>
  </rv>
  <rv s="0">
    <fb>34.680599999999998</fb>
    <v>0</v>
  </rv>
  <rv s="0">
    <fb>34.815899999999999</fb>
    <v>0</v>
  </rv>
  <rv s="0">
    <fb>35.06</fb>
    <v>0</v>
  </rv>
  <rv s="0">
    <fb>35.18</fb>
    <v>0</v>
  </rv>
  <rv s="0">
    <fb>35.185299999999998</fb>
    <v>0</v>
  </rv>
  <rv s="0">
    <fb>35.6539</fb>
    <v>0</v>
  </rv>
  <rv s="0">
    <fb>35.5411</fb>
    <v>0</v>
  </rv>
  <rv s="0">
    <fb>35.302999999999997</fb>
    <v>0</v>
  </rv>
  <rv s="0">
    <fb>35.617100000000001</fb>
    <v>0</v>
  </rv>
  <rv s="0">
    <fb>35.794600000000003</fb>
    <v>0</v>
  </rv>
  <rv s="0">
    <fb>35.689300000000003</fb>
    <v>0</v>
  </rv>
  <rv s="0">
    <fb>36.671199999999999</fb>
    <v>0</v>
  </rv>
  <rv s="0">
    <fb>36.630600000000001</fb>
    <v>0</v>
  </rv>
  <rv s="0">
    <fb>36.5379</fb>
    <v>0</v>
  </rv>
  <rv s="0">
    <fb>37.159399999999998</fb>
    <v>0</v>
  </rv>
  <rv s="0">
    <fb>37.2196</fb>
    <v>0</v>
  </rv>
  <rv s="0">
    <fb>37.159599999999998</fb>
    <v>0</v>
  </rv>
  <rv s="0">
    <fb>36.549599999999998</fb>
    <v>0</v>
  </rv>
  <rv s="0">
    <fb>36.545699999999997</fb>
    <v>0</v>
  </rv>
  <rv s="0">
    <fb>36.372399999999999</fb>
    <v>0</v>
  </rv>
  <rv s="0">
    <fb>36.923400000000001</fb>
    <v>0</v>
  </rv>
  <rv s="0">
    <fb>36.713700000000003</fb>
    <v>0</v>
  </rv>
  <rv s="0">
    <fb>36.847299999999997</fb>
    <v>0</v>
  </rv>
  <rv s="0">
    <fb>36.942799999999998</fb>
    <v>0</v>
  </rv>
  <rv s="0">
    <fb>36.986400000000003</fb>
    <v>0</v>
  </rv>
  <rv s="0">
    <fb>37.215699999999998</fb>
    <v>0</v>
  </rv>
  <rv s="0">
    <fb>37.149299999999997</fb>
    <v>0</v>
  </rv>
  <rv s="0">
    <fb>36.967700000000001</fb>
    <v>0</v>
  </rv>
  <rv s="0">
    <fb>37.389200000000002</fb>
    <v>0</v>
  </rv>
  <rv s="0">
    <fb>37.405500000000004</fb>
    <v>0</v>
  </rv>
  <rv s="0">
    <fb>37.444200000000002</fb>
    <v>0</v>
  </rv>
  <rv s="0">
    <fb>36.856200000000001</fb>
    <v>0</v>
  </rv>
  <rv s="0">
    <fb>37.167000000000002</fb>
    <v>0</v>
  </rv>
  <rv s="0">
    <fb>36.83</fb>
    <v>0</v>
  </rv>
  <rv s="0">
    <fb>36.833300000000001</fb>
    <v>0</v>
  </rv>
  <rv s="0">
    <fb>36.879300000000001</fb>
    <v>0</v>
  </rv>
  <rv s="0">
    <fb>37.196300000000001</fb>
    <v>0</v>
  </rv>
  <rv s="0">
    <fb>37.581299999999999</fb>
    <v>0</v>
  </rv>
  <rv s="0">
    <fb>37.447200000000002</fb>
    <v>0</v>
  </rv>
  <rv s="0">
    <fb>37.603999999999999</fb>
    <v>0</v>
  </rv>
  <rv s="0">
    <fb>38.126199999999997</fb>
    <v>0</v>
  </rv>
  <rv s="0">
    <fb>38.330100000000002</fb>
    <v>0</v>
  </rv>
  <rv s="0">
    <fb>38.7074</fb>
    <v>0</v>
  </rv>
  <rv s="0">
    <fb>38.9846</fb>
    <v>0</v>
  </rv>
  <rv s="0">
    <fb>38.630099999999999</fb>
    <v>0</v>
  </rv>
  <rv s="0">
    <fb>38.570099999999996</fb>
    <v>0</v>
  </rv>
  <rv s="0">
    <fb>38.7333</fb>
    <v>0</v>
  </rv>
  <rv s="0">
    <fb>38.845500000000001</fb>
    <v>0</v>
  </rv>
  <rv s="0">
    <fb>38.595799999999997</fb>
    <v>0</v>
  </rv>
  <rv s="0">
    <fb>38.629399999999997</fb>
    <v>0</v>
  </rv>
  <rv s="0">
    <fb>38.348799999999997</fb>
    <v>0</v>
  </rv>
  <rv s="0">
    <fb>38.5002</fb>
    <v>0</v>
  </rv>
  <rv s="0">
    <fb>38.714500000000001</fb>
    <v>0</v>
  </rv>
  <rv s="0">
    <fb>38.5749</fb>
    <v>0</v>
  </rv>
  <rv s="0">
    <fb>38.8279</fb>
    <v>0</v>
  </rv>
  <rv s="0">
    <fb>39.205199999999998</fb>
    <v>0</v>
  </rv>
  <rv s="0">
    <fb>38.950000000000003</fb>
    <v>0</v>
  </rv>
  <rv s="0">
    <fb>39.114400000000003</fb>
    <v>0</v>
  </rv>
  <rv s="0">
    <fb>39.057400000000001</fb>
    <v>0</v>
  </rv>
  <rv s="0">
    <fb>38.921799999999998</fb>
    <v>0</v>
  </rv>
  <rv s="0">
    <fb>38.706400000000002</fb>
    <v>0</v>
  </rv>
  <rv s="0">
    <fb>38.298499999999997</fb>
    <v>0</v>
  </rv>
  <rv s="0">
    <fb>37.957000000000001</fb>
    <v>0</v>
  </rv>
  <rv s="0">
    <fb>38.401400000000002</fb>
    <v>0</v>
  </rv>
  <rv s="0">
    <fb>38.415500000000002</fb>
    <v>0</v>
  </rv>
  <rv s="0">
    <fb>38.529200000000003</fb>
    <v>0</v>
  </rv>
  <rv s="0">
    <fb>38.406799999999997</fb>
    <v>0</v>
  </rv>
  <rv s="0">
    <fb>38.648200000000003</fb>
    <v>0</v>
  </rv>
  <rv s="0">
    <fb>38.474800000000002</fb>
    <v>0</v>
  </rv>
  <rv s="0">
    <fb>38.799799999999998</fb>
    <v>0</v>
  </rv>
  <rv s="0">
    <fb>39.2333</fb>
    <v>0</v>
  </rv>
  <rv s="0">
    <fb>39.166699999999999</fb>
    <v>0</v>
  </rv>
  <rv s="0">
    <fb>39.180199999999999</fb>
    <v>0</v>
  </rv>
  <rv s="0">
    <fb>39.229999999999997</fb>
    <v>0</v>
  </rv>
  <rv s="0">
    <fb>39.280299999999997</fb>
    <v>0</v>
  </rv>
  <rv s="0">
    <fb>39.154299999999999</fb>
    <v>0</v>
  </rv>
  <rv s="0">
    <fb>39.745399999999997</fb>
    <v>0</v>
  </rv>
  <rv s="0">
    <fb>39.506999999999998</fb>
    <v>0</v>
  </rv>
  <rv s="0">
    <fb>39.5822</fb>
    <v>0</v>
  </rv>
  <rv s="0">
    <fb>39.671599999999998</fb>
    <v>0</v>
  </rv>
  <rv s="0">
    <fb>39.734499999999997</fb>
    <v>0</v>
  </rv>
  <rv s="0">
    <fb>39.652799999999999</fb>
    <v>0</v>
  </rv>
  <rv s="0">
    <fb>39.4694</fb>
    <v>0</v>
  </rv>
  <rv s="0">
    <fb>39.413600000000002</fb>
    <v>0</v>
  </rv>
  <rv s="0">
    <fb>39.713299999999997</fb>
    <v>0</v>
  </rv>
  <rv s="0">
    <fb>39.61</fb>
    <v>0</v>
  </rv>
  <rv s="0">
    <fb>39.572000000000003</fb>
    <v>0</v>
  </rv>
  <rv s="0">
    <fb>39.694899999999997</fb>
    <v>0</v>
  </rv>
  <rv s="0">
    <fb>39.5124</fb>
    <v>0</v>
  </rv>
  <rv s="0">
    <fb>39.951900000000002</fb>
    <v>0</v>
  </rv>
  <rv s="0">
    <fb>39.695</fb>
    <v>0</v>
  </rv>
  <rv s="0">
    <fb>39.629100000000001</fb>
    <v>0</v>
  </rv>
  <rv s="0">
    <fb>39.612499999999997</fb>
    <v>0</v>
  </rv>
  <rv s="0">
    <fb>39.754300000000001</fb>
    <v>0</v>
  </rv>
  <rv s="0">
    <fb>39.783499999999997</fb>
    <v>0</v>
  </rv>
  <rv s="0">
    <fb>39.891599999999997</fb>
    <v>0</v>
  </rv>
  <rv s="0">
    <fb>39.930300000000003</fb>
    <v>0</v>
  </rv>
  <rv s="0">
    <fb>39.844000000000001</fb>
    <v>0</v>
  </rv>
  <rv s="0">
    <fb>39.7318</fb>
    <v>0</v>
  </rv>
  <rv s="0">
    <fb>39.448300000000003</fb>
    <v>0</v>
  </rv>
  <rv s="0">
    <fb>39.660200000000003</fb>
    <v>0</v>
  </rv>
  <rv s="0">
    <fb>39.713700000000003</fb>
    <v>0</v>
  </rv>
  <rv s="0">
    <fb>39.94</fb>
    <v>0</v>
  </rv>
  <rv s="0">
    <fb>40.094999999999999</fb>
    <v>0</v>
  </rv>
  <rv s="0">
    <fb>40.121400000000001</fb>
    <v>0</v>
  </rv>
  <rv s="0">
    <fb>40.247999999999998</fb>
    <v>0</v>
  </rv>
  <rv s="0">
    <fb>40.125100000000003</fb>
    <v>0</v>
  </rv>
  <rv s="0">
    <fb>40.0349</fb>
    <v>0</v>
  </rv>
  <rv s="0">
    <fb>40.020000000000003</fb>
    <v>0</v>
  </rv>
  <rv s="0">
    <fb>39.854500000000002</fb>
    <v>0</v>
  </rv>
  <rv s="0">
    <fb>39.125999999999998</fb>
    <v>0</v>
  </rv>
  <rv s="0">
    <fb>39.527799999999999</fb>
    <v>0</v>
  </rv>
  <rv s="0">
    <fb>39.7273</fb>
    <v>0</v>
  </rv>
  <rv s="0">
    <fb>39.710500000000003</fb>
    <v>0</v>
  </rv>
  <rv s="0">
    <fb>39.492800000000003</fb>
    <v>0</v>
  </rv>
  <rv s="0">
    <fb>39.803100000000001</fb>
    <v>0</v>
  </rv>
  <rv s="0">
    <fb>40.225700000000003</fb>
    <v>0</v>
  </rv>
  <rv s="0">
    <fb>40.298400000000001</fb>
    <v>0</v>
  </rv>
  <rv s="0">
    <fb>40.362499999999997</fb>
    <v>0</v>
  </rv>
  <rv s="0">
    <fb>40.620699999999999</fb>
    <v>0</v>
  </rv>
  <rv s="0">
    <fb>40.864400000000003</fb>
    <v>0</v>
  </rv>
  <rv s="0">
    <fb>40.966900000000003</fb>
    <v>0</v>
  </rv>
  <rv s="0">
    <fb>40.731699999999996</fb>
    <v>0</v>
  </rv>
  <rv s="0">
    <fb>40.659999999999997</fb>
    <v>0</v>
  </rv>
  <rv s="0">
    <fb>40.8322</fb>
    <v>0</v>
  </rv>
  <rv s="0">
    <fb>40.5456</fb>
    <v>0</v>
  </rv>
  <rv s="0">
    <fb>40.297199999999997</fb>
    <v>0</v>
  </rv>
  <rv s="0">
    <fb>40.524000000000001</fb>
    <v>0</v>
  </rv>
  <rv s="0">
    <fb>40.225900000000003</fb>
    <v>0</v>
  </rv>
  <rv s="0">
    <fb>40.291499999999999</fb>
    <v>0</v>
  </rv>
  <rv s="0">
    <fb>40.609200000000001</fb>
    <v>0</v>
  </rv>
  <rv s="0">
    <fb>41.1556</fb>
    <v>0</v>
  </rv>
  <rv s="0">
    <fb>41.376600000000003</fb>
    <v>0</v>
  </rv>
  <rv s="0">
    <fb>40.917099999999998</fb>
    <v>0</v>
  </rv>
  <rv s="0">
    <fb>40.728299999999997</fb>
    <v>0</v>
  </rv>
  <rv s="0">
    <fb>40.323</fb>
    <v>0</v>
  </rv>
  <rv s="0">
    <fb>40.0779</fb>
    <v>0</v>
  </rv>
  <rv s="0">
    <fb>599.27</fb>
    <v>0</v>
  </rv>
  <rv s="0">
    <fb>592.24</fb>
    <v>0</v>
  </rv>
  <rv s="0">
    <fb>569.27</fb>
    <v>0</v>
  </rv>
  <rv s="0">
    <fb>568.22</fb>
    <v>0</v>
  </rv>
  <rv s="0">
    <fb>570.23</fb>
    <v>0</v>
  </rv>
  <rv s="0">
    <fb>571.6</fb>
    <v>0</v>
  </rv>
  <rv s="0">
    <fb>575.63</fb>
    <v>0</v>
  </rv>
  <rv s="0">
    <fb>572.23</fb>
    <v>0</v>
  </rv>
  <rv s="0">
    <fb>568.28</fb>
    <v>0</v>
  </rv>
  <rv s="0">
    <fb>569.58000000000004</fb>
    <v>0</v>
  </rv>
  <rv s="0">
    <fb>575.11</fb>
    <v>0</v>
  </rv>
  <rv s="0">
    <fb>576.02</fb>
    <v>0</v>
  </rv>
  <rv s="0">
    <fb>573.73</fb>
    <v>0</v>
  </rv>
  <rv s="0">
    <fb>565.61</fb>
    <v>0</v>
  </rv>
  <rv s="0">
    <fb>570.20000000000005</fb>
    <v>0</v>
  </rv>
  <rv s="0">
    <fb>576.69000000000005</fb>
    <v>0</v>
  </rv>
  <rv s="0">
    <fb>584.24</fb>
    <v>0</v>
  </rv>
  <rv s="0">
    <fb>588.6</fb>
    <v>0</v>
  </rv>
  <rv s="0">
    <fb>591.11</fb>
    <v>0</v>
  </rv>
  <rv s="0">
    <fb>601.17999999999995</fb>
    <v>0</v>
  </rv>
  <rv s="0">
    <fb>598.55999999999995</fb>
    <v>0</v>
  </rv>
  <rv s="0">
    <fb>598.53</fb>
    <v>0</v>
  </rv>
  <rv s="0">
    <fb>597.49</fb>
    <v>0</v>
  </rv>
  <rv s="0">
    <fb>591.29999999999995</fb>
    <v>0</v>
  </rv>
  <rv s="0">
    <fb>592.03</fb>
    <v>0</v>
  </rv>
  <rv s="0">
    <fb>589.67999999999995</fb>
    <v>0</v>
  </rv>
  <rv s="0">
    <fb>596.41</fb>
    <v>0</v>
  </rv>
  <rv s="0">
    <fb>590.67999999999995</fb>
    <v>0</v>
  </rv>
  <rv s="0">
    <fb>587.49</fb>
    <v>0</v>
  </rv>
  <rv s="0">
    <fb>593.04</fb>
    <v>0</v>
  </rv>
  <rv s="0">
    <fb>592.76</fb>
    <v>0</v>
  </rv>
  <rv s="0">
    <fb>585.37</fb>
    <v>0</v>
  </rv>
  <rv s="0">
    <fb>585.97</fb>
    <v>0</v>
  </rv>
  <rv s="0">
    <fb>583.12</fb>
    <v>0</v>
  </rv>
  <rv s="0">
    <fb>584.32000000000005</fb>
    <v>0</v>
  </rv>
  <rv s="0">
    <fb>583.99</fb>
    <v>0</v>
  </rv>
  <rv s="0">
    <fb>589.24</fb>
    <v>0</v>
  </rv>
  <rv s="0">
    <fb>586.02</fb>
    <v>0</v>
  </rv>
  <rv s="0">
    <fb>580.29</fb>
    <v>0</v>
  </rv>
  <rv s="0">
    <fb>566.5</fb>
    <v>0</v>
  </rv>
  <rv s="0">
    <fb>565.76</fb>
    <v>0</v>
  </rv>
  <rv s="0">
    <fb>565.54999999999995</fb>
    <v>0</v>
  </rv>
  <rv s="0">
    <fb>566.84</fb>
    <v>0</v>
  </rv>
  <rv s="0">
    <fb>559.66</fb>
    <v>0</v>
  </rv>
  <rv s="0">
    <fb>565.79999999999995</fb>
    <v>0</v>
  </rv>
  <rv s="0">
    <fb>552.91</fb>
    <v>0</v>
  </rv>
  <rv s="0">
    <fb>544.36</fb>
    <v>0</v>
  </rv>
  <rv s="0">
    <fb>551.08000000000004</fb>
    <v>0</v>
  </rv>
  <rv s="0">
    <fb>542.35</fb>
    <v>0</v>
  </rv>
  <rv s="0">
    <fb>546.20000000000005</fb>
    <v>0</v>
  </rv>
  <rv s="0">
    <fb>534.63</fb>
    <v>0</v>
  </rv>
  <rv s="0">
    <fb>531.63</fb>
    <v>0</v>
  </rv>
  <rv s="0">
    <fb>531.33000000000004</fb>
    <v>0</v>
  </rv>
  <rv s="0">
    <fb>522.96</fb>
    <v>0</v>
  </rv>
  <rv s="0">
    <fb>535.74</fb>
    <v>0</v>
  </rv>
  <rv s="0">
    <fb>543.73</fb>
    <v>0</v>
  </rv>
  <rv s="0">
    <fb>539.23</fb>
    <v>0</v>
  </rv>
  <rv s="0">
    <fb>545.97</fb>
    <v>0</v>
  </rv>
  <rv s="0">
    <fb>542.12</fb>
    <v>0</v>
  </rv>
  <rv s="0">
    <fb>537.89</fb>
    <v>0</v>
  </rv>
  <rv s="0">
    <fb>551.07000000000005</fb>
    <v>0</v>
  </rv>
  <rv s="0">
    <fb>549.46</fb>
    <v>0</v>
  </rv>
  <rv s="0">
    <fb>546.02</fb>
    <v>0</v>
  </rv>
  <rv s="0">
    <fb>542.05999999999995</fb>
    <v>0</v>
  </rv>
  <rv s="0">
    <fb>532.23</fb>
    <v>0</v>
  </rv>
  <rv s="0">
    <fb>533.48</fb>
    <v>0</v>
  </rv>
  <rv s="0">
    <fb>536.37</fb>
    <v>0</v>
  </rv>
  <rv s="0">
    <fb>544.86</fb>
    <v>0</v>
  </rv>
  <rv s="0">
    <fb>508.5</fb>
    <v>0</v>
  </rv>
  <rv s="0">
    <fb>483.74</fb>
    <v>0</v>
  </rv>
  <rv s="0">
    <fb>478.59</fb>
    <v>0</v>
  </rv>
  <rv s="0">
    <fb>468.22</fb>
    <v>0</v>
  </rv>
  <rv s="0">
    <fb>512.02</fb>
    <v>0</v>
  </rv>
  <rv s="0">
    <fb>490.62</fb>
    <v>0</v>
  </rv>
  <rv s="0">
    <fb>497.47</fb>
    <v>0</v>
  </rv>
  <rv s="0">
    <fb>503.76</fb>
    <v>0</v>
  </rv>
  <rv s="0">
    <fb>502.98</fb>
    <v>0</v>
  </rv>
  <rv s="0">
    <fb>497.37</fb>
    <v>0</v>
  </rv>
  <rv s="0">
    <fb>501.78</fb>
    <v>0</v>
  </rv>
  <rv s="0">
    <fb>490.29</fb>
    <v>0</v>
  </rv>
  <rv s="0">
    <fb>502.61</fb>
    <v>0</v>
  </rv>
  <rv s="0">
    <fb>509.03</fb>
    <v>0</v>
  </rv>
  <rv s="0">
    <fb>519.89</fb>
    <v>0</v>
  </rv>
  <rv s="0">
    <fb>517.51</fb>
    <v>0</v>
  </rv>
  <rv s="0">
    <fb>519.41</fb>
    <v>0</v>
  </rv>
  <rv s="0">
    <fb>521.88</fb>
    <v>0</v>
  </rv>
  <rv s="0">
    <fb>520.79999999999995</fb>
    <v>0</v>
  </rv>
  <rv s="0">
    <fb>523.66</fb>
    <v>0</v>
  </rv>
  <rv s="0">
    <fb>535.98</fb>
    <v>0</v>
  </rv>
  <rv s="0">
    <fb>534.96</fb>
    <v>0</v>
  </rv>
  <rv s="0">
    <fb>531.07000000000005</fb>
    <v>0</v>
  </rv>
  <rv s="0">
    <fb>539.24</fb>
    <v>0</v>
  </rv>
  <rv s="0">
    <fb>538.59</fb>
    <v>0</v>
  </rv>
  <rv s="0">
    <fb>557.54999999999995</fb>
    <v>0</v>
  </rv>
  <rv s="0">
    <fb>559.29</fb>
    <v>0</v>
  </rv>
  <rv s="0">
    <fb>557.51</fb>
    <v>0</v>
  </rv>
  <rv s="0">
    <fb>558.84</fb>
    <v>0</v>
  </rv>
  <rv s="0">
    <fb>564.92999999999995</fb>
    <v>0</v>
  </rv>
  <rv s="0">
    <fb>562.76</fb>
    <v>0</v>
  </rv>
  <rv s="0">
    <fb>561.21</fb>
    <v>0</v>
  </rv>
  <rv s="0">
    <fb>545.55999999999995</fb>
    <v>0</v>
  </rv>
  <rv s="0">
    <fb>544.66</fb>
    <v>0</v>
  </rv>
  <rv s="0">
    <fb>556.70000000000005</fb>
    <v>0</v>
  </rv>
  <rv s="0">
    <fb>549.41999999999996</fb>
    <v>0</v>
  </rv>
  <rv s="0">
    <fb>550.97</fb>
    <v>0</v>
  </rv>
  <rv s="0">
    <fb>548.72</fb>
    <v>0</v>
  </rv>
  <rv s="0">
    <fb>548.24</fb>
    <v>0</v>
  </rv>
  <rv s="0">
    <fb>555.01</fb>
    <v>0</v>
  </rv>
  <rv s="0">
    <fb>553.75</fb>
    <v>0</v>
  </rv>
  <rv s="0">
    <fb>552.9</fb>
    <v>0</v>
  </rv>
  <rv s="0">
    <fb>558.36</fb>
    <v>0</v>
  </rv>
  <rv s="0">
    <fb>559.85</fb>
    <v>0</v>
  </rv>
  <rv s="0">
    <fb>561.63</fb>
    <v>0</v>
  </rv>
  <rv s="0">
    <fb>558.70000000000005</fb>
    <v>0</v>
  </rv>
  <rv s="0">
    <fb>559.19000000000005</fb>
    <v>0</v>
  </rv>
  <rv s="0">
    <fb>550.57000000000005</fb>
    <v>0</v>
  </rv>
  <rv s="0">
    <fb>556.83000000000004</fb>
    <v>0</v>
  </rv>
  <rv s="0">
    <fb>552.01</fb>
    <v>0</v>
  </rv>
  <rv s="0">
    <fb>554.12</fb>
    <v>0</v>
  </rv>
  <rv s="0">
    <fb>552.11</fb>
    <v>0</v>
  </rv>
  <rv s="0">
    <fb>557.09</fb>
    <v>0</v>
  </rv>
  <rv s="0">
    <fb>562.22</fb>
    <v>0</v>
  </rv>
  <rv s="0">
    <fb>557.66999999999996</fb>
    <v>0</v>
  </rv>
  <rv s="0">
    <fb>565.24</fb>
    <v>0</v>
  </rv>
  <rv s="0">
    <fb>566.51</fb>
    <v>0</v>
  </rv>
  <rv s="0">
    <fb>566.48</fb>
    <v>0</v>
  </rv>
  <rv s="0">
    <fb>573.66</fb>
    <v>0</v>
  </rv>
  <rv s="0">
    <fb>579.34</fb>
    <v>0</v>
  </rv>
  <rv s="0">
    <fb>582.42999999999995</fb>
    <v>0</v>
  </rv>
  <rv s="0">
    <fb>576.82000000000005</fb>
    <v>0</v>
  </rv>
  <rv s="0">
    <fb>579.25</fb>
    <v>0</v>
  </rv>
  <rv s="0">
    <fb>581.66</fb>
    <v>0</v>
  </rv>
  <rv s="0">
    <fb>584.4</fb>
    <v>0</v>
  </rv>
  <rv s="0">
    <fb>579.23</fb>
    <v>0</v>
  </rv>
  <rv s="0">
    <fb>581.19000000000005</fb>
    <v>0</v>
  </rv>
  <rv s="0">
    <fb>571.03</fb>
    <v>0</v>
  </rv>
  <rv s="0">
    <fb>573.72</fb>
    <v>0</v>
  </rv>
  <rv s="0">
    <fb>579.96</fb>
    <v>0</v>
  </rv>
  <rv s="0">
    <fb>579.41999999999996</fb>
    <v>0</v>
  </rv>
  <rv s="0">
    <fb>575.80999999999995</fb>
    <v>0</v>
  </rv>
  <rv s="0">
    <fb>583.26</fb>
    <v>0</v>
  </rv>
  <rv s="0">
    <fb>588.03</fb>
    <v>0</v>
  </rv>
  <rv s="0">
    <fb>582.49</fb>
    <v>0</v>
  </rv>
  <rv s="0">
    <fb>587.77</fb>
    <v>0</v>
  </rv>
  <rv s="0">
    <fb>586.47</fb>
    <v>0</v>
  </rv>
  <rv s="0">
    <fb>585.67999999999995</fb>
    <v>0</v>
  </rv>
  <rv s="0">
    <fb>582.16</fb>
    <v>0</v>
  </rv>
  <rv s="0">
    <fb>575.62</fb>
    <v>0</v>
  </rv>
  <rv s="0">
    <fb>567.09</fb>
    <v>0</v>
  </rv>
  <rv s="0">
    <fb>574.39</fb>
    <v>0</v>
  </rv>
  <rv s="0">
    <fb>574.1</fb>
    <v>0</v>
  </rv>
  <rv s="0">
    <fb>572.45000000000005</fb>
    <v>0</v>
  </rv>
  <rv s="0">
    <fb>571.21</fb>
    <v>0</v>
  </rv>
  <rv s="0">
    <fb>571.12</fb>
    <v>0</v>
  </rv>
  <rv s="0">
    <fb>568.9</fb>
    <v>0</v>
  </rv>
  <rv s="0">
    <fb>581.95000000000005</fb>
    <v>0</v>
  </rv>
  <rv s="0">
    <fb>590.92999999999995</fb>
    <v>0</v>
  </rv>
  <rv s="0">
    <fb>583.04</fb>
    <v>0</v>
  </rv>
  <rv s="0">
    <fb>581.64</fb>
    <v>0</v>
  </rv>
  <rv s="0">
    <fb>582.70000000000005</fb>
    <v>0</v>
  </rv>
  <rv s="0">
    <fb>580.23</fb>
    <v>0</v>
  </rv>
  <rv s="0">
    <fb>579.53</fb>
    <v>0</v>
  </rv>
  <rv s="0">
    <fb>595.55999999999995</fb>
    <v>0</v>
  </rv>
  <rv s="0">
    <fb>590.69000000000005</fb>
    <v>0</v>
  </rv>
  <rv s="0">
    <fb>593.46</fb>
    <v>0</v>
  </rv>
  <rv s="0">
    <fb>597.27</fb>
    <v>0</v>
  </rv>
  <rv s="0">
    <fb>598.04</fb>
    <v>0</v>
  </rv>
  <rv s="0">
    <fb>595.16</fb>
    <v>0</v>
  </rv>
  <rv s="0">
    <fb>592.51</fb>
    <v>0</v>
  </rv>
  <rv s="0">
    <fb>591.51</fb>
    <v>0</v>
  </rv>
  <rv s="0">
    <fb>600.07000000000005</fb>
    <v>0</v>
  </rv>
  <rv s="0">
    <fb>602.89</fb>
    <v>0</v>
  </rv>
  <rv s="0">
    <fb>603.04</fb>
    <v>0</v>
  </rv>
  <rv s="0">
    <fb>597.54</fb>
    <v>0</v>
  </rv>
  <rv s="0">
    <fb>597.29</fb>
    <v>0</v>
  </rv>
  <rv s="0">
    <fb>607.37</fb>
    <v>0</v>
  </rv>
  <rv s="0">
    <fb>600.62</fb>
    <v>0</v>
  </rv>
  <rv s="0">
    <fb>600.46</fb>
    <v>0</v>
  </rv>
  <rv s="0">
    <fb>598.80999999999995</fb>
    <v>0</v>
  </rv>
  <rv s="0">
    <fb>598.29</fb>
    <v>0</v>
  </rv>
  <rv s="0">
    <fb>605.62</fb>
    <v>0</v>
  </rv>
  <rv s="0">
    <fb>599.41999999999996</fb>
    <v>0</v>
  </rv>
  <rv s="0">
    <fb>598.92999999999995</fb>
    <v>0</v>
  </rv>
  <rv s="0">
    <fb>598.62</fb>
    <v>0</v>
  </rv>
  <rv s="0">
    <fb>594.03</fb>
    <v>0</v>
  </rv>
  <rv s="0">
    <fb>590.71</fb>
    <v>0</v>
  </rv>
  <rv s="0">
    <fb>596.67999999999995</fb>
    <v>0</v>
  </rv>
  <rv s="0">
    <fb>595.34</fb>
    <v>0</v>
  </rv>
  <rv s="0">
    <fb>596.03</fb>
    <v>0</v>
  </rv>
  <rv s="0">
    <fb>597.97</fb>
    <v>0</v>
  </rv>
  <rv s="0">
    <fb>598.75</fb>
    <v>0</v>
  </rv>
  <rv s="0">
    <fb>600.67999999999995</fb>
    <v>0</v>
  </rv>
  <rv s="0">
    <fb>601.57000000000005</fb>
    <v>0</v>
  </rv>
  <rv s="0">
    <fb>595.07000000000005</fb>
    <v>0</v>
  </rv>
  <rv s="0">
    <fb>600.97</fb>
    <v>0</v>
  </rv>
  <rv s="0">
    <fb>594.42999999999995</fb>
    <v>0</v>
  </rv>
  <rv s="0">
    <fb>577.77</fb>
    <v>0</v>
  </rv>
  <rv s="0">
    <fb>588.91999999999996</fb>
    <v>0</v>
  </rv>
  <rv s="0">
    <fb>594.38</fb>
    <v>0</v>
  </rv>
  <rv s="0">
    <fb>594.91999999999996</fb>
    <v>0</v>
  </rv>
  <rv s="0">
    <fb>587.61</fb>
    <v>0</v>
  </rv>
  <rv s="0">
    <fb>588.86</fb>
    <v>0</v>
  </rv>
  <rv s="0">
    <fb>595.95000000000005</fb>
    <v>0</v>
  </rv>
  <rv s="0">
    <fb>598.04999999999995</fb>
    <v>0</v>
  </rv>
  <rv s="0">
    <fb>591.26</fb>
    <v>0</v>
  </rv>
  <rv s="0">
    <fb>599.29</fb>
    <v>0</v>
  </rv>
  <rv s="0">
    <fb>602.47</fb>
    <v>0</v>
  </rv>
  <rv s="0">
    <fb>604.78</fb>
    <v>0</v>
  </rv>
  <rv s="0">
    <fb>599.47</fb>
    <v>0</v>
  </rv>
  <rv s="0">
    <fb>595.66</fb>
    <v>0</v>
  </rv>
  <rv s="0">
    <fb>592.98</fb>
    <v>0</v>
  </rv>
  <rv s="0">
    <fb>592.70000000000005</fb>
    <v>0</v>
  </rv>
  <rv s="0">
    <fb>591.42999999999995</fb>
    <v>0</v>
  </rv>
  <rv s="0">
    <fb>586.01</fb>
    <v>0</v>
  </rv>
  <rv s="0">
    <fb>596.55999999999995</fb>
    <v>0</v>
  </rv>
  <rv s="0">
    <fb>596.54</fb>
    <v>0</v>
  </rv>
  <rv s="0">
    <fb>598.63</fb>
    <v>0</v>
  </rv>
  <rv s="0">
    <fb>587.38</fb>
    <v>0</v>
  </rv>
  <rv s="0">
    <fb>586.16</fb>
    <v>0</v>
  </rv>
  <rv s="0">
    <fb>575.29999999999995</fb>
    <v>0</v>
  </rv>
  <rv s="0">
    <fb>577.19000000000005</fb>
    <v>0</v>
  </rv>
  <rv s="0">
    <fb>174.56</fb>
    <v>0</v>
  </rv>
  <rv s="0">
    <fb>171.36</fb>
    <v>0</v>
  </rv>
  <rv s="0">
    <fb>163.81</fb>
    <v>0</v>
  </rv>
  <rv s="0">
    <fb>162.69</fb>
    <v>0</v>
  </rv>
  <rv s="0">
    <fb>164.11</fb>
    <v>0</v>
  </rv>
  <rv s="0">
    <fb>163.86</fb>
    <v>0</v>
  </rv>
  <rv s="0">
    <fb>165.33</fb>
    <v>0</v>
  </rv>
  <rv s="0">
    <fb>166.71</fb>
    <v>0</v>
  </rv>
  <rv s="0">
    <fb>164.4</fb>
    <v>0</v>
  </rv>
  <rv s="0">
    <fb>163.69999999999999</fb>
    <v>0</v>
  </rv>
  <rv s="0">
    <fb>164.17</fb>
    <v>0</v>
  </rv>
  <rv s="0">
    <fb>163.92</fb>
    <v>0</v>
  </rv>
  <rv s="0">
    <fb>165.71</fb>
    <v>0</v>
  </rv>
  <rv s="0">
    <fb>165.3</fb>
    <v>0</v>
  </rv>
  <rv s="0">
    <fb>164.21</fb>
    <v>0</v>
  </rv>
  <rv s="0">
    <fb>163.59</fb>
    <v>0</v>
  </rv>
  <rv s="0">
    <fb>159.94999999999999</fb>
    <v>0</v>
  </rv>
  <rv s="0">
    <fb>160.75</fb>
    <v>0</v>
  </rv>
  <rv s="0">
    <fb>163.21</fb>
    <v>0</v>
  </rv>
  <rv s="0">
    <fb>166.38</fb>
    <v>0</v>
  </rv>
  <rv s="0">
    <fb>166.29</fb>
    <v>0</v>
  </rv>
  <rv s="0">
    <fb>166.95</fb>
    <v>0</v>
  </rv>
  <rv s="0">
    <fb>169.4</fb>
    <v>0</v>
  </rv>
  <rv s="0">
    <fb>167.76</fb>
    <v>0</v>
  </rv>
  <rv s="0">
    <fb>168.2</fb>
    <v>0</v>
  </rv>
  <rv s="0">
    <fb>168.28</fb>
    <v>0</v>
  </rv>
  <rv s="0">
    <fb>168.63</fb>
    <v>0</v>
  </rv>
  <rv s="0">
    <fb>167.96</fb>
    <v>0</v>
  </rv>
  <rv s="0">
    <fb>167.28</fb>
    <v>0</v>
  </rv>
  <rv s="0">
    <fb>169.03</fb>
    <v>0</v>
  </rv>
  <rv s="0">
    <fb>167.47</fb>
    <v>0</v>
  </rv>
  <rv s="0">
    <fb>165.19</fb>
    <v>0</v>
  </rv>
  <rv s="0">
    <fb>169.13</fb>
    <v>0</v>
  </rv>
  <rv s="0">
    <fb>169.06</fb>
    <v>0</v>
  </rv>
  <rv s="0">
    <fb>167.62</fb>
    <v>0</v>
  </rv>
  <rv s="0">
    <fb>165.84</fb>
    <v>0</v>
  </rv>
  <rv s="0">
    <fb>167.5</fb>
    <v>0</v>
  </rv>
  <rv s="0">
    <fb>167.48</fb>
    <v>0</v>
  </rv>
  <rv s="0">
    <fb>168.17</fb>
    <v>0</v>
  </rv>
  <rv s="0">
    <fb>167.32</fb>
    <v>0</v>
  </rv>
  <rv s="0">
    <fb>165.92</fb>
    <v>0</v>
  </rv>
  <rv s="0">
    <fb>162.22999999999999</fb>
    <v>0</v>
  </rv>
  <rv s="0">
    <fb>161.38</fb>
    <v>0</v>
  </rv>
  <rv s="0">
    <fb>161.55000000000001</fb>
    <v>0</v>
  </rv>
  <rv s="0">
    <fb>161.28</fb>
    <v>0</v>
  </rv>
  <rv s="0">
    <fb>159.77000000000001</fb>
    <v>0</v>
  </rv>
  <rv s="0">
    <fb>161.1</fb>
    <v>0</v>
  </rv>
  <rv s="0">
    <fb>157.72</fb>
    <v>0</v>
  </rv>
  <rv s="0">
    <fb>155.4</fb>
    <v>0</v>
  </rv>
  <rv s="0">
    <fb>156.66</fb>
    <v>0</v>
  </rv>
  <rv s="0">
    <fb>154.96</fb>
    <v>0</v>
  </rv>
  <rv s="0">
    <fb>155.51</fb>
    <v>0</v>
  </rv>
  <rv s="0">
    <fb>151.54</fb>
    <v>0</v>
  </rv>
  <rv s="0">
    <fb>151.26</fb>
    <v>0</v>
  </rv>
  <rv s="0">
    <fb>151.32</fb>
    <v>0</v>
  </rv>
  <rv s="0">
    <fb>149.27000000000001</fb>
    <v>0</v>
  </rv>
  <rv s="0">
    <fb>152.75</fb>
    <v>0</v>
  </rv>
  <rv s="0">
    <fb>153.1</fb>
    <v>0</v>
  </rv>
  <rv s="0">
    <fb>155.03</fb>
    <v>0</v>
  </rv>
  <rv s="0">
    <fb>154.26</fb>
    <v>0</v>
  </rv>
  <rv s="0">
    <fb>153.11000000000001</fb>
    <v>0</v>
  </rv>
  <rv s="0">
    <fb>156.36000000000001</fb>
    <v>0</v>
  </rv>
  <rv s="0">
    <fb>154.35</fb>
    <v>0</v>
  </rv>
  <rv s="0">
    <fb>151.22</fb>
    <v>0</v>
  </rv>
  <rv s="0">
    <fb>150.97999999999999</fb>
    <v>0</v>
  </rv>
  <rv s="0">
    <fb>150.96</fb>
    <v>0</v>
  </rv>
  <rv s="0">
    <fb>152.94</fb>
    <v>0</v>
  </rv>
  <rv s="0">
    <fb>142.93</fb>
    <v>0</v>
  </rv>
  <rv s="0">
    <fb>137.1</fb>
    <v>0</v>
  </rv>
  <rv s="0">
    <fb>135.15</fb>
    <v>0</v>
  </rv>
  <rv s="0">
    <fb>131.84</fb>
    <v>0</v>
  </rv>
  <rv s="0">
    <fb>141.80000000000001</fb>
    <v>0</v>
  </rv>
  <rv s="0">
    <fb>135.97999999999999</fb>
    <v>0</v>
  </rv>
  <rv s="0">
    <fb>137.35</fb>
    <v>0</v>
  </rv>
  <rv s="0">
    <fb>138.88999999999999</fb>
    <v>0</v>
  </rv>
  <rv s="0">
    <fb>139.33000000000001</fb>
    <v>0</v>
  </rv>
  <rv s="0">
    <fb>138.75</fb>
    <v>0</v>
  </rv>
  <rv s="0">
    <fb>140.07</fb>
    <v>0</v>
  </rv>
  <rv s="0">
    <fb>137.78</fb>
    <v>0</v>
  </rv>
  <rv s="0">
    <fb>141.26</fb>
    <v>0</v>
  </rv>
  <rv s="0">
    <fb>142.69</fb>
    <v>0</v>
  </rv>
  <rv s="0">
    <fb>144.93</fb>
    <v>0</v>
  </rv>
  <rv s="0">
    <fb>145.30000000000001</fb>
    <v>0</v>
  </rv>
  <rv s="0">
    <fb>145.88999999999999</fb>
    <v>0</v>
  </rv>
  <rv s="0">
    <fb>144.80000000000001</fb>
    <v>0</v>
  </rv>
  <rv s="0">
    <fb>145.59</fb>
    <v>0</v>
  </rv>
  <rv s="0">
    <fb>148.65</fb>
    <v>0</v>
  </rv>
  <rv s="0">
    <fb>147.43</fb>
    <v>0</v>
  </rv>
  <rv s="0">
    <fb>146.30000000000001</fb>
    <v>0</v>
  </rv>
  <rv s="0">
    <fb>146.65</fb>
    <v>0</v>
  </rv>
  <rv s="0">
    <fb>149.11000000000001</fb>
    <v>0</v>
  </rv>
  <rv s="0">
    <fb>149.24</fb>
    <v>0</v>
  </rv>
  <rv s="0">
    <fb>153.97</fb>
    <v>0</v>
  </rv>
  <rv s="0">
    <fb>154.33000000000001</fb>
    <v>0</v>
  </rv>
  <rv s="0">
    <fb>152.86000000000001</fb>
    <v>0</v>
  </rv>
  <rv s="0">
    <fb>154.04</fb>
    <v>0</v>
  </rv>
  <rv s="0">
    <fb>154.27000000000001</fb>
    <v>0</v>
  </rv>
  <rv s="0">
    <fb>154.13999999999999</fb>
    <v>0</v>
  </rv>
  <rv s="0">
    <fb>149.37</fb>
    <v>0</v>
  </rv>
  <rv s="0">
    <fb>148.91</fb>
    <v>0</v>
  </rv>
  <rv s="0">
    <fb>152.71</fb>
    <v>0</v>
  </rv>
  <rv s="0">
    <fb>150.91</fb>
    <v>0</v>
  </rv>
  <rv s="0">
    <fb>151.75</fb>
    <v>0</v>
  </rv>
  <rv s="0">
    <fb>150.83000000000001</fb>
    <v>0</v>
  </rv>
  <rv s="0">
    <fb>150.71</fb>
    <v>0</v>
  </rv>
  <rv s="0">
    <fb>153.01</fb>
    <v>0</v>
  </rv>
  <rv s="0">
    <fb>152.22</fb>
    <v>0</v>
  </rv>
  <rv s="0">
    <fb>155.88999999999999</fb>
    <v>0</v>
  </rv>
  <rv s="0">
    <fb>157.32</fb>
    <v>0</v>
  </rv>
  <rv s="0">
    <fb>156.63</fb>
    <v>0</v>
  </rv>
  <rv s="0">
    <fb>156.19999999999999</fb>
    <v>0</v>
  </rv>
  <rv s="0">
    <fb>153.47</fb>
    <v>0</v>
  </rv>
  <rv s="0">
    <fb>154.19999999999999</fb>
    <v>0</v>
  </rv>
  <rv s="0">
    <fb>152.68</fb>
    <v>0</v>
  </rv>
  <rv s="0">
    <fb>153.51</fb>
    <v>0</v>
  </rv>
  <rv s="0">
    <fb>153.19</fb>
    <v>0</v>
  </rv>
  <rv s="0">
    <fb>155.44</fb>
    <v>0</v>
  </rv>
  <rv s="0">
    <fb>156.78</fb>
    <v>0</v>
  </rv>
  <rv s="0">
    <fb>155.13</fb>
    <v>0</v>
  </rv>
  <rv s="0">
    <fb>157.63999999999999</fb>
    <v>0</v>
  </rv>
  <rv s="0">
    <fb>157.69</fb>
    <v>0</v>
  </rv>
  <rv s="0">
    <fb>157.76</fb>
    <v>0</v>
  </rv>
  <rv s="0">
    <fb>161.05000000000001</fb>
    <v>0</v>
  </rv>
  <rv s="0">
    <fb>163.76</fb>
    <v>0</v>
  </rv>
  <rv s="0">
    <fb>164.95</fb>
    <v>0</v>
  </rv>
  <rv s="0">
    <fb>162.41</fb>
    <v>0</v>
  </rv>
  <rv s="0">
    <fb>163.9</fb>
    <v>0</v>
  </rv>
  <rv s="0">
    <fb>166.68</fb>
    <v>0</v>
  </rv>
  <rv s="0">
    <fb>164.96</fb>
    <v>0</v>
  </rv>
  <rv s="0">
    <fb>165.43</fb>
    <v>0</v>
  </rv>
  <rv s="0">
    <fb>161.47999999999999</fb>
    <v>0</v>
  </rv>
  <rv s="0">
    <fb>162.52000000000001</fb>
    <v>0</v>
  </rv>
  <rv s="0">
    <fb>164.33</fb>
    <v>0</v>
  </rv>
  <rv s="0">
    <fb>163.34</fb>
    <v>0</v>
  </rv>
  <rv s="0">
    <fb>163.31</fb>
    <v>0</v>
  </rv>
  <rv s="0">
    <fb>165.74</fb>
    <v>0</v>
  </rv>
  <rv s="0">
    <fb>167.78</fb>
    <v>0</v>
  </rv>
  <rv s="0">
    <fb>165.37</fb>
    <v>0</v>
  </rv>
  <rv s="0">
    <fb>165.62</fb>
    <v>0</v>
  </rv>
  <rv s="0">
    <fb>165.39</fb>
    <v>0</v>
  </rv>
  <rv s="0">
    <fb>164.29</fb>
    <v>0</v>
  </rv>
  <rv s="0">
    <fb>162.19</fb>
    <v>0</v>
  </rv>
  <rv s="0">
    <fb>160.38999999999999</fb>
    <v>0</v>
  </rv>
  <rv s="0">
    <fb>157.1</fb>
    <v>0</v>
  </rv>
  <rv s="0">
    <fb>159.84</fb>
    <v>0</v>
  </rv>
  <rv s="0">
    <fb>160.99</fb>
    <v>0</v>
  </rv>
  <rv s="0">
    <fb>160.76</fb>
    <v>0</v>
  </rv>
  <rv s="0">
    <fb>161.07</fb>
    <v>0</v>
  </rv>
  <rv s="0">
    <fb>160.84</fb>
    <v>0</v>
  </rv>
  <rv s="0">
    <fb>165.93</fb>
    <v>0</v>
  </rv>
  <rv s="0">
    <fb>169.62</fb>
    <v>0</v>
  </rv>
  <rv s="0">
    <fb>166.61</fb>
    <v>0</v>
  </rv>
  <rv s="0">
    <fb>167.14</fb>
    <v>0</v>
  </rv>
  <rv s="0">
    <fb>167.07</fb>
    <v>0</v>
  </rv>
  <rv s="0">
    <fb>166.34</fb>
    <v>0</v>
  </rv>
  <rv s="0">
    <fb>166.33</fb>
    <v>0</v>
  </rv>
  <rv s="0">
    <fb>173.5</fb>
    <v>0</v>
  </rv>
  <rv s="0">
    <fb>172.1</fb>
    <v>0</v>
  </rv>
  <rv s="0">
    <fb>173.07</fb>
    <v>0</v>
  </rv>
  <rv s="0">
    <fb>174.53</fb>
    <v>0</v>
  </rv>
  <rv s="0">
    <fb>174.07</fb>
    <v>0</v>
  </rv>
  <rv s="0">
    <fb>173.15</fb>
    <v>0</v>
  </rv>
  <rv s="0">
    <fb>173.01</fb>
    <v>0</v>
  </rv>
  <rv s="0">
    <fb>175.21</fb>
    <v>0</v>
  </rv>
  <rv s="0">
    <fb>176</fb>
    <v>0</v>
  </rv>
  <rv s="0">
    <fb>175.95</fb>
    <v>0</v>
  </rv>
  <rv s="0">
    <fb>174.71</fb>
    <v>0</v>
  </rv>
  <rv s="0">
    <fb>174.65</fb>
    <v>0</v>
  </rv>
  <rv s="0">
    <fb>177.48</fb>
    <v>0</v>
  </rv>
  <rv s="0">
    <fb>175.55</fb>
    <v>0</v>
  </rv>
  <rv s="0">
    <fb>176.23</fb>
    <v>0</v>
  </rv>
  <rv s="0">
    <fb>175.07</fb>
    <v>0</v>
  </rv>
  <rv s="0">
    <fb>176.9</fb>
    <v>0</v>
  </rv>
  <rv s="0">
    <fb>177.46</fb>
    <v>0</v>
  </rv>
  <rv s="0">
    <fb>176.86</fb>
    <v>0</v>
  </rv>
  <rv s="0">
    <fb>175.1</fb>
    <v>0</v>
  </rv>
  <rv s="0">
    <fb>176.56</fb>
    <v>0</v>
  </rv>
  <rv s="0">
    <fb>176.81</fb>
    <v>0</v>
  </rv>
  <rv s="0">
    <fb>177.55</fb>
    <v>0</v>
  </rv>
  <rv s="0">
    <fb>179.44</fb>
    <v>0</v>
  </rv>
  <rv s="0">
    <fb>179.8</fb>
    <v>0</v>
  </rv>
  <rv s="0">
    <fb>179.13</fb>
    <v>0</v>
  </rv>
  <rv s="0">
    <fb>177.69</fb>
    <v>0</v>
  </rv>
  <rv s="0">
    <fb>172.34</fb>
    <v>0</v>
  </rv>
  <rv s="0">
    <fb>176.09</fb>
    <v>0</v>
  </rv>
  <rv s="0">
    <fb>180.84</fb>
    <v>0</v>
  </rv>
  <rv s="0">
    <fb>176.83</fb>
    <v>0</v>
  </rv>
  <rv s="0">
    <fb>176.53</fb>
    <v>0</v>
  </rv>
  <rv s="0">
    <fb>180.11</fb>
    <v>0</v>
  </rv>
  <rv s="0">
    <fb>179.34</fb>
    <v>0</v>
  </rv>
  <rv s="0">
    <fb>177.71</fb>
    <v>0</v>
  </rv>
  <rv s="0">
    <fb>179.31</fb>
    <v>0</v>
  </rv>
  <rv s="0">
    <fb>181.51</fb>
    <v>0</v>
  </rv>
  <rv s="0">
    <fb>178</fb>
    <v>0</v>
  </rv>
  <rv s="0">
    <fb>176.74</fb>
    <v>0</v>
  </rv>
  <rv s="0">
    <fb>177.13</fb>
    <v>0</v>
  </rv>
  <rv s="0">
    <fb>177.19</fb>
    <v>0</v>
  </rv>
  <rv s="0">
    <fb>174.85</fb>
    <v>0</v>
  </rv>
  <rv s="0">
    <fb>176.95</fb>
    <v>0</v>
  </rv>
  <rv s="0">
    <fb>175.79</fb>
    <v>0</v>
  </rv>
  <rv s="0">
    <fb>177.15</fb>
    <v>0</v>
  </rv>
  <rv s="0">
    <fb>177.83</fb>
    <v>0</v>
  </rv>
  <rv s="0">
    <fb>174.41</fb>
    <v>0</v>
  </rv>
  <rv s="0">
    <fb>170.9</fb>
    <v>0</v>
  </rv>
  <rv s="0">
    <fb>171.7</fb>
    <v>0</v>
  </rv>
  <rv s="0">
    <fb>306.26</fb>
    <v>0</v>
  </rv>
  <rv s="0">
    <fb>301.73</fb>
    <v>0</v>
  </rv>
  <rv s="0">
    <fb>289.01</fb>
    <v>0</v>
  </rv>
  <rv s="0">
    <fb>287.89999999999998</fb>
    <v>0</v>
  </rv>
  <rv s="0">
    <fb>290.85000000000002</fb>
    <v>0</v>
  </rv>
  <rv s="0">
    <fb>289.81</fb>
    <v>0</v>
  </rv>
  <rv s="0">
    <fb>292.69</fb>
    <v>0</v>
  </rv>
  <rv s="0">
    <fb>296.17</fb>
    <v>0</v>
  </rv>
  <rv s="0">
    <fb>290.94</fb>
    <v>0</v>
  </rv>
  <rv s="0">
    <fb>288.33</fb>
    <v>0</v>
  </rv>
  <rv s="0">
    <fb>287.82</fb>
    <v>0</v>
  </rv>
  <rv s="0">
    <fb>288.8</fb>
    <v>0</v>
  </rv>
  <rv s="0">
    <fb>294.77999999999997</fb>
    <v>0</v>
  </rv>
  <rv s="0">
    <fb>295.17</fb>
    <v>0</v>
  </rv>
  <rv s="0">
    <fb>293.02</fb>
    <v>0</v>
  </rv>
  <rv s="0">
    <fb>291.25</fb>
    <v>0</v>
  </rv>
  <rv s="0">
    <fb>284.83999999999997</fb>
    <v>0</v>
  </rv>
  <rv s="0">
    <fb>284.37</fb>
    <v>0</v>
  </rv>
  <rv s="0">
    <fb>286.7</fb>
    <v>0</v>
  </rv>
  <rv s="0">
    <fb>292.61</fb>
    <v>0</v>
  </rv>
  <rv s="0">
    <fb>293.41000000000003</fb>
    <v>0</v>
  </rv>
  <rv s="0">
    <fb>294.66000000000003</fb>
    <v>0</v>
  </rv>
  <rv s="0">
    <fb>301.77999999999997</fb>
    <v>0</v>
  </rv>
  <rv s="0">
    <fb>300.98</fb>
    <v>0</v>
  </rv>
  <rv s="0">
    <fb>302.92</fb>
    <v>0</v>
  </rv>
  <rv s="0">
    <fb>300.73</fb>
    <v>0</v>
  </rv>
  <rv s="0">
    <fb>296.57</fb>
    <v>0</v>
  </rv>
  <rv s="0">
    <fb>296.18</fb>
    <v>0</v>
  </rv>
  <rv s="0">
    <fb>299.67</fb>
    <v>0</v>
  </rv>
  <rv s="0">
    <fb>296.91000000000003</fb>
    <v>0</v>
  </rv>
  <rv s="0">
    <fb>294.01</fb>
    <v>0</v>
  </rv>
  <rv s="0">
    <fb>297.55</fb>
    <v>0</v>
  </rv>
  <rv s="0">
    <fb>301.20999999999998</fb>
    <v>0</v>
  </rv>
  <rv s="0">
    <fb>299.52999999999997</fb>
    <v>0</v>
  </rv>
  <rv s="0">
    <fb>297.57</fb>
    <v>0</v>
  </rv>
  <rv s="0">
    <fb>293.74</fb>
    <v>0</v>
  </rv>
  <rv s="0">
    <fb>292.13</fb>
    <v>0</v>
  </rv>
  <rv s="0">
    <fb>295.67</fb>
    <v>0</v>
  </rv>
  <rv s="0">
    <fb>295.57</fb>
    <v>0</v>
  </rv>
  <rv s="0">
    <fb>297.31</fb>
    <v>0</v>
  </rv>
  <rv s="0">
    <fb>296.62</fb>
    <v>0</v>
  </rv>
  <rv s="0">
    <fb>293.76</fb>
    <v>0</v>
  </rv>
  <rv s="0">
    <fb>283.19</fb>
    <v>0</v>
  </rv>
  <rv s="0">
    <fb>280.5</fb>
    <v>0</v>
  </rv>
  <rv s="0">
    <fb>278.20999999999998</fb>
    <v>0</v>
  </rv>
  <rv s="0">
    <fb>279.3</fb>
    <v>0</v>
  </rv>
  <rv s="0">
    <fb>273.56</fb>
    <v>0</v>
  </rv>
  <rv s="0">
    <fb>276.8</fb>
    <v>0</v>
  </rv>
  <rv s="0">
    <fb>267.60000000000002</fb>
    <v>0</v>
  </rv>
  <rv s="0">
    <fb>265.67</fb>
    <v>0</v>
  </rv>
  <rv s="0">
    <fb>268.98</fb>
    <v>0</v>
  </rv>
  <rv s="0">
    <fb>263.23</fb>
    <v>0</v>
  </rv>
  <rv s="0">
    <fb>264.3</fb>
    <v>0</v>
  </rv>
  <rv s="0">
    <fb>257.55</fb>
    <v>0</v>
  </rv>
  <rv s="0">
    <fb>258.62</fb>
    <v>0</v>
  </rv>
  <rv s="0">
    <fb>259.08</fb>
    <v>0</v>
  </rv>
  <rv s="0">
    <fb>254.58</fb>
    <v>0</v>
  </rv>
  <rv s="0">
    <fb>261.24</fb>
    <v>0</v>
  </rv>
  <rv s="0">
    <fb>264.74</fb>
    <v>0</v>
  </rv>
  <rv s="0">
    <fb>261.27999999999997</fb>
    <v>0</v>
  </rv>
  <rv s="0">
    <fb>266.32</fb>
    <v>0</v>
  </rv>
  <rv s="0">
    <fb>264.26</fb>
    <v>0</v>
  </rv>
  <rv s="0">
    <fb>262.95999999999998</fb>
    <v>0</v>
  </rv>
  <rv s="0">
    <fb>270.57</fb>
    <v>0</v>
  </rv>
  <rv s="0">
    <fb>269.43</fb>
    <v>0</v>
  </rv>
  <rv s="0">
    <fb>264.82</fb>
    <v>0</v>
  </rv>
  <rv s="0">
    <fb>263.14</fb>
    <v>0</v>
  </rv>
  <rv s="0">
    <fb>257.60000000000002</fb>
    <v>0</v>
  </rv>
  <rv s="0">
    <fb>255.53</fb>
    <v>0</v>
  </rv>
  <rv s="0">
    <fb>255.66</fb>
    <v>0</v>
  </rv>
  <rv s="0">
    <fb>260.51</fb>
    <v>0</v>
  </rv>
  <rv s="0">
    <fb>243.75</fb>
    <v>0</v>
  </rv>
  <rv s="0">
    <fb>232.32</fb>
    <v>0</v>
  </rv>
  <rv s="0">
    <fb>230.8</fb>
    <v>0</v>
  </rv>
  <rv s="0">
    <fb>224.16</fb>
    <v>0</v>
  </rv>
  <rv s="0">
    <fb>245.49</fb>
    <v>0</v>
  </rv>
  <rv s="0">
    <fb>235.53</fb>
    <v>0</v>
  </rv>
  <rv s="0">
    <fb>239.98</fb>
    <v>0</v>
  </rv>
  <rv s="0">
    <fb>242.51</fb>
    <v>0</v>
  </rv>
  <rv s="0">
    <fb>242.55</fb>
    <v>0</v>
  </rv>
  <rv s="0">
    <fb>239.16</fb>
    <v>0</v>
  </rv>
  <rv s="0">
    <fb>240.86</fb>
    <v>0</v>
  </rv>
  <rv s="0">
    <fb>234.76</fb>
    <v>0</v>
  </rv>
  <rv s="0">
    <fb>241.05</fb>
    <v>0</v>
  </rv>
  <rv s="0">
    <fb>245.89</fb>
    <v>0</v>
  </rv>
  <rv s="0">
    <fb>251.66</fb>
    <v>0</v>
  </rv>
  <rv s="0">
    <fb>252.41</fb>
    <v>0</v>
  </rv>
  <rv s="0">
    <fb>253.28</fb>
    <v>0</v>
  </rv>
  <rv s="0">
    <fb>255.04</fb>
    <v>0</v>
  </rv>
  <rv s="0">
    <fb>253.55</fb>
    <v>0</v>
  </rv>
  <rv s="0">
    <fb>255.32</fb>
    <v>0</v>
  </rv>
  <rv s="0">
    <fb>261.57</fb>
    <v>0</v>
  </rv>
  <rv s="0">
    <fb>259.99</fb>
    <v>0</v>
  </rv>
  <rv s="0">
    <fb>256.27</fb>
    <v>0</v>
  </rv>
  <rv s="0">
    <fb>257.19</fb>
    <v>0</v>
  </rv>
  <rv s="0">
    <fb>262.45999999999998</fb>
    <v>0</v>
  </rv>
  <rv s="0">
    <fb>261.67</fb>
    <v>0</v>
  </rv>
  <rv s="0">
    <fb>271.60000000000002</fb>
    <v>0</v>
  </rv>
  <rv s="0">
    <fb>272.95</fb>
    <v>0</v>
  </rv>
  <rv s="0">
    <fb>271.11</fb>
    <v>0</v>
  </rv>
  <rv s="0">
    <fb>271.98</fb>
    <v>0</v>
  </rv>
  <rv s="0">
    <fb>275.16000000000003</fb>
    <v>0</v>
  </rv>
  <rv s="0">
    <fb>273.97000000000003</fb>
    <v>0</v>
  </rv>
  <rv s="0">
    <fb>274.70999999999998</fb>
    <v>0</v>
  </rv>
  <rv s="0">
    <fb>267.07</fb>
    <v>0</v>
  </rv>
  <rv s="0">
    <fb>267.23</fb>
    <v>0</v>
  </rv>
  <rv s="0">
    <fb>266.73</fb>
    <v>0</v>
  </rv>
  <rv s="0">
    <fb>273.06</fb>
    <v>0</v>
  </rv>
  <rv s="0">
    <fb>270.58999999999997</fb>
    <v>0</v>
  </rv>
  <rv s="0">
    <fb>270.8</fb>
    <v>0</v>
  </rv>
  <rv s="0">
    <fb>269.62</fb>
    <v>0</v>
  </rv>
  <rv s="0">
    <fb>271.72000000000003</fb>
    <v>0</v>
  </rv>
  <rv s="0">
    <fb>276.33</fb>
    <v>0</v>
  </rv>
  <rv s="0">
    <fb>275.8</fb>
    <v>0</v>
  </rv>
  <rv s="0">
    <fb>276.20999999999998</fb>
    <v>0</v>
  </rv>
  <rv s="0">
    <fb>280.58</fb>
    <v>0</v>
  </rv>
  <rv s="0">
    <fb>281.89</fb>
    <v>0</v>
  </rv>
  <rv s="0">
    <fb>282.70999999999998</fb>
    <v>0</v>
  </rv>
  <rv s="0">
    <fb>281.95999999999998</fb>
    <v>0</v>
  </rv>
  <rv s="0">
    <fb>280.52999999999997</fb>
    <v>0</v>
  </rv>
  <rv s="0">
    <fb>274.97000000000003</fb>
    <v>0</v>
  </rv>
  <rv s="0">
    <fb>278.33</fb>
    <v>0</v>
  </rv>
  <rv s="0">
    <fb>275.32</fb>
    <v>0</v>
  </rv>
  <rv s="0">
    <fb>276.83999999999997</fb>
    <v>0</v>
  </rv>
  <rv s="0">
    <fb>276.14999999999998</fb>
    <v>0</v>
  </rv>
  <rv s="0">
    <fb>278.91000000000003</fb>
    <v>0</v>
  </rv>
  <rv s="0">
    <fb>283.60000000000002</fb>
    <v>0</v>
  </rv>
  <rv s="0">
    <fb>280.10000000000002</fb>
    <v>0</v>
  </rv>
  <rv s="0">
    <fb>284.60000000000002</fb>
    <v>0</v>
  </rv>
  <rv s="0">
    <fb>285.01</fb>
    <v>0</v>
  </rv>
  <rv s="0">
    <fb>285.86</fb>
    <v>0</v>
  </rv>
  <rv s="0">
    <fb>288.52999999999997</fb>
    <v>0</v>
  </rv>
  <rv s="0">
    <fb>292.05</fb>
    <v>0</v>
  </rv>
  <rv s="0">
    <fb>287.8</fb>
    <v>0</v>
  </rv>
  <rv s="0">
    <fb>289.13</fb>
    <v>0</v>
  </rv>
  <rv s="0">
    <fb>292.94</fb>
    <v>0</v>
  </rv>
  <rv s="0">
    <fb>293.25</fb>
    <v>0</v>
  </rv>
  <rv s="0">
    <fb>288.64999999999998</fb>
    <v>0</v>
  </rv>
  <rv s="0">
    <fb>291.33</fb>
    <v>0</v>
  </rv>
  <rv s="0">
    <fb>287.06</fb>
    <v>0</v>
  </rv>
  <rv s="0">
    <fb>290.82</fb>
    <v>0</v>
  </rv>
  <rv s="0">
    <fb>294.86</fb>
    <v>0</v>
  </rv>
  <rv s="0">
    <fb>292.76</fb>
    <v>0</v>
  </rv>
  <rv s="0">
    <fb>290.47000000000003</fb>
    <v>0</v>
  </rv>
  <rv s="0">
    <fb>291.02</fb>
    <v>0</v>
  </rv>
  <rv s="0">
    <fb>296.16000000000003</fb>
    <v>0</v>
  </rv>
  <rv s="0">
    <fb>292.77</fb>
    <v>0</v>
  </rv>
  <rv s="0">
    <fb>294</fb>
    <v>0</v>
  </rv>
  <rv s="0">
    <fb>293.92</fb>
    <v>0</v>
  </rv>
  <rv s="0">
    <fb>291.95</fb>
    <v>0</v>
  </rv>
  <rv s="0">
    <fb>292.91000000000003</fb>
    <v>0</v>
  </rv>
  <rv s="0">
    <fb>290.14999999999998</fb>
    <v>0</v>
  </rv>
  <rv s="0">
    <fb>284.45</fb>
    <v>0</v>
  </rv>
  <rv s="0">
    <fb>291.64</fb>
    <v>0</v>
  </rv>
  <rv s="0">
    <fb>292.98</fb>
    <v>0</v>
  </rv>
  <rv s="0">
    <fb>291.82</fb>
    <v>0</v>
  </rv>
  <rv s="0">
    <fb>291.06</fb>
    <v>0</v>
  </rv>
  <rv s="0">
    <fb>291.54000000000002</fb>
    <v>0</v>
  </rv>
  <rv s="0">
    <fb>291.73</fb>
    <v>0</v>
  </rv>
  <rv s="0">
    <fb>299.54000000000002</fb>
    <v>0</v>
  </rv>
  <rv s="0">
    <fb>304.81</fb>
    <v>0</v>
  </rv>
  <rv s="0">
    <fb>300.45</fb>
    <v>0</v>
  </rv>
  <rv s="0">
    <fb>299.36</fb>
    <v>0</v>
  </rv>
  <rv s="0">
    <fb>300.81</fb>
    <v>0</v>
  </rv>
  <rv s="0">
    <fb>296.60000000000002</fb>
    <v>0</v>
  </rv>
  <rv s="0">
    <fb>295.62</fb>
    <v>0</v>
  </rv>
  <rv s="0">
    <fb>297.12</fb>
    <v>0</v>
  </rv>
  <rv s="0">
    <fb>307.27999999999997</fb>
    <v>0</v>
  </rv>
  <rv s="0">
    <fb>304.02</fb>
    <v>0</v>
  </rv>
  <rv s="0">
    <fb>306.67</fb>
    <v>0</v>
  </rv>
  <rv s="0">
    <fb>308.58999999999997</fb>
    <v>0</v>
  </rv>
  <rv s="0">
    <fb>310.32</fb>
    <v>0</v>
  </rv>
  <rv s="0">
    <fb>307.7</fb>
    <v>0</v>
  </rv>
  <rv s="0">
    <fb>305.89999999999998</fb>
    <v>0</v>
  </rv>
  <rv s="0">
    <fb>305.54000000000002</fb>
    <v>0</v>
  </rv>
  <rv s="0">
    <fb>309.12</fb>
    <v>0</v>
  </rv>
  <rv s="0">
    <fb>310.83</fb>
    <v>0</v>
  </rv>
  <rv s="0">
    <fb>312.06</fb>
    <v>0</v>
  </rv>
  <rv s="0">
    <fb>310.82</fb>
    <v>0</v>
  </rv>
  <rv s="0">
    <fb>309.69</fb>
    <v>0</v>
  </rv>
  <rv s="0">
    <fb>315.70999999999998</fb>
    <v>0</v>
  </rv>
  <rv s="0">
    <fb>312.87</fb>
    <v>0</v>
  </rv>
  <rv s="0">
    <fb>314.37</fb>
    <v>0</v>
  </rv>
  <rv s="0">
    <fb>314.12</fb>
    <v>0</v>
  </rv>
  <rv s="0">
    <fb>315.01</fb>
    <v>0</v>
  </rv>
  <rv s="0">
    <fb>323.85000000000002</fb>
    <v>0</v>
  </rv>
  <rv s="0">
    <fb>322.41000000000003</fb>
    <v>0</v>
  </rv>
  <rv s="0">
    <fb>324.95</fb>
    <v>0</v>
  </rv>
  <rv s="0">
    <fb>324.07</fb>
    <v>0</v>
  </rv>
  <rv s="0">
    <fb>319.38</fb>
    <v>0</v>
  </rv>
  <rv s="0">
    <fb>316.12</fb>
    <v>0</v>
  </rv>
  <rv s="0">
    <fb>319.19</fb>
    <v>0</v>
  </rv>
  <rv s="0">
    <fb>319.87</fb>
    <v>0</v>
  </rv>
  <rv s="0">
    <fb>320.04000000000002</fb>
    <v>0</v>
  </rv>
  <rv s="0">
    <fb>320.05</fb>
    <v>0</v>
  </rv>
  <rv s="0">
    <fb>323.5</fb>
    <v>0</v>
  </rv>
  <rv s="0">
    <fb>325.45999999999998</fb>
    <v>0</v>
  </rv>
  <rv s="0">
    <fb>327.74</fb>
    <v>0</v>
  </rv>
  <rv s="0">
    <fb>324.23</fb>
    <v>0</v>
  </rv>
  <rv s="0">
    <fb>327.97</fb>
    <v>0</v>
  </rv>
  <rv s="0">
    <fb>326.74</fb>
    <v>0</v>
  </rv>
  <rv s="0">
    <fb>317.33</fb>
    <v>0</v>
  </rv>
  <rv s="0">
    <fb>327.49</fb>
    <v>0</v>
  </rv>
  <rv s="0">
    <fb>330.34</fb>
    <v>0</v>
  </rv>
  <rv s="0">
    <fb>335</fb>
    <v>0</v>
  </rv>
  <rv s="0">
    <fb>327.87</fb>
    <v>0</v>
  </rv>
  <rv s="0">
    <fb>324.02999999999997</fb>
    <v>0</v>
  </rv>
  <rv s="0">
    <fb>330.33</fb>
    <v>0</v>
  </rv>
  <rv s="0">
    <fb>329.03</fb>
    <v>0</v>
  </rv>
  <rv s="0">
    <fb>322.26</fb>
    <v>0</v>
  </rv>
  <rv s="0">
    <fb>327.18</fb>
    <v>0</v>
  </rv>
  <rv s="0">
    <fb>333.65</fb>
    <v>0</v>
  </rv>
  <rv s="0">
    <fb>331.8</fb>
    <v>0</v>
  </rv>
  <rv s="0">
    <fb>330.87</fb>
    <v>0</v>
  </rv>
  <rv s="0">
    <fb>327.37</fb>
    <v>0</v>
  </rv>
  <rv s="0">
    <fb>330.69</fb>
    <v>0</v>
  </rv>
  <rv s="0">
    <fb>328.51</fb>
    <v>0</v>
  </rv>
  <rv s="0">
    <fb>321.18</fb>
    <v>0</v>
  </rv>
  <rv s="0">
    <fb>326.89999999999998</fb>
    <v>0</v>
  </rv>
  <rv s="0">
    <fb>319.89999999999998</fb>
    <v>0</v>
  </rv>
  <rv s="0">
    <fb>321.04000000000002</fb>
    <v>0</v>
  </rv>
  <rv s="0">
    <fb>324.95999999999998</fb>
    <v>0</v>
  </rv>
  <rv s="0">
    <fb>324.14</fb>
    <v>0</v>
  </rv>
  <rv s="0">
    <fb>322.82</fb>
    <v>0</v>
  </rv>
  <rv s="0">
    <fb>310.75</fb>
    <v>0</v>
  </rv>
  <rv s="0">
    <fb>312.12</fb>
    <v>0</v>
  </rv>
  <rv s="0">
    <fb>306.58</fb>
    <v>0</v>
  </rv>
  <rv s="0">
    <fb>306.95999999999998</fb>
    <v>0</v>
  </rv>
  <rv s="0">
    <fb>101.33</fb>
    <v>0</v>
  </rv>
  <rv s="0">
    <fb>100.57</fb>
    <v>0</v>
  </rv>
  <rv s="0">
    <fb>97.7</fb>
    <v>0</v>
  </rv>
  <rv s="0">
    <fb>97.43</fb>
    <v>0</v>
  </rv>
  <rv s="0">
    <fb>97.96</fb>
    <v>0</v>
  </rv>
  <rv s="0">
    <fb>98.24</fb>
    <v>0</v>
  </rv>
  <rv s="0">
    <fb>99.17</fb>
    <v>0</v>
  </rv>
  <rv s="0">
    <fb>99.04</fb>
    <v>0</v>
  </rv>
  <rv s="0">
    <fb>98.16</fb>
    <v>0</v>
  </rv>
  <rv s="0">
    <fb>97.13</fb>
    <v>0</v>
  </rv>
  <rv s="0">
    <fb>97.28</fb>
    <v>0</v>
  </rv>
  <rv s="0">
    <fb>97.88</fb>
    <v>0</v>
  </rv>
  <rv s="0">
    <fb>98.94</fb>
    <v>0</v>
  </rv>
  <rv s="0">
    <fb>95.85</fb>
    <v>0</v>
  </rv>
  <rv s="0">
    <fb>97.1</fb>
    <v>0</v>
  </rv>
  <rv s="0">
    <fb>96.55</fb>
    <v>0</v>
  </rv>
  <rv s="0">
    <fb>97.39</fb>
    <v>0</v>
  </rv>
  <rv s="0">
    <fb>98.27</fb>
    <v>0</v>
  </rv>
  <rv s="0">
    <fb>99.25</fb>
    <v>0</v>
  </rv>
  <rv s="0">
    <fb>100.93</fb>
    <v>0</v>
  </rv>
  <rv s="0">
    <fb>101.42</fb>
    <v>0</v>
  </rv>
  <rv s="0">
    <fb>101.87</fb>
    <v>0</v>
  </rv>
  <rv s="0">
    <fb>101.97</fb>
    <v>0</v>
  </rv>
  <rv s="0">
    <fb>102.38</fb>
    <v>0</v>
  </rv>
  <rv s="0">
    <fb>102.6</fb>
    <v>0</v>
  </rv>
  <rv s="0">
    <fb>103.52</fb>
    <v>0</v>
  </rv>
  <rv s="0">
    <fb>102.52</fb>
    <v>0</v>
  </rv>
  <rv s="0">
    <fb>102.96</fb>
    <v>0</v>
  </rv>
  <rv s="0">
    <fb>102.74</fb>
    <v>0</v>
  </rv>
  <rv s="0">
    <fb>103.2</fb>
    <v>0</v>
  </rv>
  <rv s="0">
    <fb>103.37</fb>
    <v>0</v>
  </rv>
  <rv s="0">
    <fb>103.48</fb>
    <v>0</v>
  </rv>
  <rv s="0">
    <fb>104.67</fb>
    <v>0</v>
  </rv>
  <rv s="0">
    <fb>105.31</fb>
    <v>0</v>
  </rv>
  <rv s="0">
    <fb>104.82</fb>
    <v>0</v>
  </rv>
  <rv s="0">
    <fb>104.94</fb>
    <v>0</v>
  </rv>
  <rv s="0">
    <fb>104.45</fb>
    <v>0</v>
  </rv>
  <rv s="0">
    <fb>103.02</fb>
    <v>0</v>
  </rv>
  <rv s="0">
    <fb>103.22</fb>
    <v>0</v>
  </rv>
  <rv s="0">
    <fb>101.69</fb>
    <v>0</v>
  </rv>
  <rv s="0">
    <fb>101.51</fb>
    <v>0</v>
  </rv>
  <rv s="0">
    <fb>102</fb>
    <v>0</v>
  </rv>
  <rv s="0">
    <fb>100.98</fb>
    <v>0</v>
  </rv>
  <rv s="0">
    <fb>100.18</fb>
    <v>0</v>
  </rv>
  <rv s="0">
    <fb>99.65</fb>
    <v>0</v>
  </rv>
  <rv s="0">
    <fb>100.29</fb>
    <v>0</v>
  </rv>
  <rv s="0">
    <fb>97.79</fb>
    <v>0</v>
  </rv>
  <rv s="0">
    <fb>96.35</fb>
    <v>0</v>
  </rv>
  <rv s="0">
    <fb>96.58</fb>
    <v>0</v>
  </rv>
  <rv s="0">
    <fb>97.27</fb>
    <v>0</v>
  </rv>
  <rv s="0">
    <fb>95.91</fb>
    <v>0</v>
  </rv>
  <rv s="0">
    <fb>97.05</fb>
    <v>0</v>
  </rv>
  <rv s="0">
    <fb>96.84</fb>
    <v>0</v>
  </rv>
  <rv s="0">
    <fb>97.6</fb>
    <v>0</v>
  </rv>
  <rv s="0">
    <fb>98.69</fb>
    <v>0</v>
  </rv>
  <rv s="0">
    <fb>99.94</fb>
    <v>0</v>
  </rv>
  <rv s="0">
    <fb>99.09</fb>
    <v>0</v>
  </rv>
  <rv s="0">
    <fb>98.65</fb>
    <v>0</v>
  </rv>
  <rv s="0">
    <fb>95.74</fb>
    <v>0</v>
  </rv>
  <rv s="0">
    <fb>96.51</fb>
    <v>0</v>
  </rv>
  <rv s="0">
    <fb>96.85</fb>
    <v>0</v>
  </rv>
  <rv s="0">
    <fb>92.53</fb>
    <v>0</v>
  </rv>
  <rv s="0">
    <fb>87.23</fb>
    <v>0</v>
  </rv>
  <rv s="0">
    <fb>87.35</fb>
    <v>0</v>
  </rv>
  <rv s="0">
    <fb>86.13</fb>
    <v>0</v>
  </rv>
  <rv s="0">
    <fb>93.74</fb>
    <v>0</v>
  </rv>
  <rv s="0">
    <fb>90.5</fb>
    <v>0</v>
  </rv>
  <rv s="0">
    <fb>91.27</fb>
    <v>0</v>
  </rv>
  <rv s="0">
    <fb>92.11</fb>
    <v>0</v>
  </rv>
  <rv s="0">
    <fb>90.48</fb>
    <v>0</v>
  </rv>
  <rv s="0">
    <fb>91.93</fb>
    <v>0</v>
  </rv>
  <rv s="0">
    <fb>94.72</fb>
    <v>0</v>
  </rv>
  <rv s="0">
    <fb>95.41</fb>
    <v>0</v>
  </rv>
  <rv s="0">
    <fb>95.93</fb>
    <v>0</v>
  </rv>
  <rv s="0">
    <fb>97.42</fb>
    <v>0</v>
  </rv>
  <rv s="0">
    <fb>97.63</fb>
    <v>0</v>
  </rv>
  <rv s="0">
    <fb>97.45</fb>
    <v>0</v>
  </rv>
  <rv s="0">
    <fb>97.68</fb>
    <v>0</v>
  </rv>
  <rv s="0">
    <fb>99.2</fb>
    <v>0</v>
  </rv>
  <rv s="0">
    <fb>100.17</fb>
    <v>0</v>
  </rv>
  <rv s="0">
    <fb>101.63</fb>
    <v>0</v>
  </rv>
  <rv s="0">
    <fb>100.87</fb>
    <v>0</v>
  </rv>
  <rv s="0">
    <fb>100.65</fb>
    <v>0</v>
  </rv>
  <rv s="0">
    <fb>101.82</fb>
    <v>0</v>
  </rv>
  <rv s="0">
    <fb>101.8</fb>
    <v>0</v>
  </rv>
  <rv s="0">
    <fb>101.4</fb>
    <v>0</v>
  </rv>
  <rv s="0">
    <fb>101.9</fb>
    <v>0</v>
  </rv>
  <rv s="0">
    <fb>102.26</fb>
    <v>0</v>
  </rv>
  <rv s="0">
    <fb>102.4</fb>
    <v>0</v>
  </rv>
  <rv s="0">
    <fb>103.71</fb>
    <v>0</v>
  </rv>
  <rv s="0">
    <fb>103.41</fb>
    <v>0</v>
  </rv>
  <rv s="0">
    <fb>104.72</fb>
    <v>0</v>
  </rv>
  <rv s="0">
    <fb>104.48</fb>
    <v>0</v>
  </rv>
  <rv s="0">
    <fb>103.63</fb>
    <v>0</v>
  </rv>
  <rv s="0">
    <fb>102.58</fb>
    <v>0</v>
  </rv>
  <rv s="0">
    <fb>104.34</fb>
    <v>0</v>
  </rv>
  <rv s="0">
    <fb>103.47</fb>
    <v>0</v>
  </rv>
  <rv s="0">
    <fb>105.21</fb>
    <v>0</v>
  </rv>
  <rv s="0">
    <fb>106.43</fb>
    <v>0</v>
  </rv>
  <rv s="0">
    <fb>107.68</fb>
    <v>0</v>
  </rv>
  <rv s="0">
    <fb>108.53</fb>
    <v>0</v>
  </rv>
  <rv s="0">
    <fb>108.04</fb>
    <v>0</v>
  </rv>
  <rv s="0">
    <fb>107</fb>
    <v>0</v>
  </rv>
  <rv s="0">
    <fb>106.78</fb>
    <v>0</v>
  </rv>
  <rv s="0">
    <fb>107.06</fb>
    <v>0</v>
  </rv>
  <rv s="0">
    <fb>106.01</fb>
    <v>0</v>
  </rv>
  <rv s="0">
    <fb>105.99</fb>
    <v>0</v>
  </rv>
  <rv s="0">
    <fb>106.19</fb>
    <v>0</v>
  </rv>
  <rv s="0">
    <fb>107.61</fb>
    <v>0</v>
  </rv>
  <rv s="0">
    <fb>107.86</fb>
    <v>0</v>
  </rv>
  <rv s="0">
    <fb>108.45</fb>
    <v>0</v>
  </rv>
  <rv s="0">
    <fb>108.63</fb>
    <v>0</v>
  </rv>
  <rv s="0">
    <fb>107.62</fb>
    <v>0</v>
  </rv>
  <rv s="0">
    <fb>107.04</fb>
    <v>0</v>
  </rv>
  <rv s="0">
    <fb>106.12</fb>
    <v>0</v>
  </rv>
  <rv s="0">
    <fb>106.45</fb>
    <v>0</v>
  </rv>
  <rv s="0">
    <fb>108.16</fb>
    <v>0</v>
  </rv>
  <rv s="0">
    <fb>107.32</fb>
    <v>0</v>
  </rv>
  <rv s="0">
    <fb>107.73</fb>
    <v>0</v>
  </rv>
  <rv s="0">
    <fb>107.27</fb>
    <v>0</v>
  </rv>
  <rv s="0">
    <fb>107.63</fb>
    <v>0</v>
  </rv>
  <rv s="0">
    <fb>108.18</fb>
    <v>0</v>
  </rv>
  <rv s="0">
    <fb>110.25</fb>
    <v>0</v>
  </rv>
  <rv s="0">
    <fb>111.11</fb>
    <v>0</v>
  </rv>
  <rv s="0">
    <fb>111.48</fb>
    <v>0</v>
  </rv>
  <rv s="0">
    <fb>110.8</fb>
    <v>0</v>
  </rv>
  <rv s="0">
    <fb>110.18</fb>
    <v>0</v>
  </rv>
  <rv s="0">
    <fb>109.85</fb>
    <v>0</v>
  </rv>
  <rv s="0">
    <fb>111.31</fb>
    <v>0</v>
  </rv>
  <rv s="0">
    <fb>111.49</fb>
    <v>0</v>
  </rv>
  <rv s="0">
    <fb>111</fb>
    <v>0</v>
  </rv>
  <rv s="0">
    <fb>111.61</fb>
    <v>0</v>
  </rv>
  <rv s="0">
    <fb>111.39</fb>
    <v>0</v>
  </rv>
  <rv s="0">
    <fb>113.06</fb>
    <v>0</v>
  </rv>
  <rv s="0">
    <fb>114.08</fb>
    <v>0</v>
  </rv>
  <rv s="0">
    <fb>114.69</fb>
    <v>0</v>
  </rv>
  <rv s="0">
    <fb>114.82</fb>
    <v>0</v>
  </rv>
  <rv s="0">
    <fb>115.47</fb>
    <v>0</v>
  </rv>
  <rv s="0">
    <fb>114.62</fb>
    <v>0</v>
  </rv>
  <rv s="0">
    <fb>116.38</fb>
    <v>0</v>
  </rv>
  <rv s="0">
    <fb>117.35</fb>
    <v>0</v>
  </rv>
  <rv s="0">
    <fb>119</fb>
    <v>0</v>
  </rv>
  <rv s="0">
    <fb>118.52</fb>
    <v>0</v>
  </rv>
  <rv s="0">
    <fb>118.83</fb>
    <v>0</v>
  </rv>
  <rv s="0">
    <fb>118.92</fb>
    <v>0</v>
  </rv>
  <rv s="0">
    <fb>119.41</fb>
    <v>0</v>
  </rv>
  <rv s="0">
    <fb>118.58</fb>
    <v>0</v>
  </rv>
  <rv s="0">
    <fb>118.41</fb>
    <v>0</v>
  </rv>
  <rv s="0">
    <fb>117.43</fb>
    <v>0</v>
  </rv>
  <rv s="0">
    <fb>117.03</fb>
    <v>0</v>
  </rv>
  <rv s="0">
    <fb>118.17</fb>
    <v>0</v>
  </rv>
  <rv s="0">
    <fb>118.55</fb>
    <v>0</v>
  </rv>
  <rv s="0">
    <fb>118.37</fb>
    <v>0</v>
  </rv>
  <rv s="0">
    <fb>116.71</fb>
    <v>0</v>
  </rv>
  <rv s="0">
    <fb>116.45</fb>
    <v>0</v>
  </rv>
  <rv s="0">
    <fb>116.51</fb>
    <v>0</v>
  </rv>
  <rv s="0">
    <fb>116.06</fb>
    <v>0</v>
  </rv>
  <rv s="0">
    <fb>115.58</fb>
    <v>0</v>
  </rv>
  <rv s="0">
    <fb>114.92</fb>
    <v>0</v>
  </rv>
  <rv s="0">
    <fb>112.8</fb>
    <v>0</v>
  </rv>
  <rv s="0">
    <fb>113.84</fb>
    <v>0</v>
  </rv>
  <rv s="0">
    <fb>114.59</fb>
    <v>0</v>
  </rv>
  <rv s="0">
    <fb>115.4</fb>
    <v>0</v>
  </rv>
  <rv s="0">
    <fb>114.17</fb>
    <v>0</v>
  </rv>
  <rv s="0">
    <fb>114.94</fb>
    <v>0</v>
  </rv>
  <rv s="0">
    <fb>116.24</fb>
    <v>0</v>
  </rv>
  <rv s="0">
    <fb>115.64</fb>
    <v>0</v>
  </rv>
  <rv s="0">
    <fb>115.25</fb>
    <v>0</v>
  </rv>
  <rv s="0">
    <fb>115.55</fb>
    <v>0</v>
  </rv>
  <rv s="0">
    <fb>117.16</fb>
    <v>0</v>
  </rv>
  <rv s="0">
    <fb>116.58</fb>
    <v>0</v>
  </rv>
  <rv s="0">
    <fb>116.29</fb>
    <v>0</v>
  </rv>
  <rv s="0">
    <fb>114.32</fb>
    <v>0</v>
  </rv>
  <rv s="0">
    <fb>114.81</fb>
    <v>0</v>
  </rv>
  <rv s="0">
    <fb>113.59</fb>
    <v>0</v>
  </rv>
  <rv s="0">
    <fb>112.81</fb>
    <v>0</v>
  </rv>
  <rv s="0">
    <fb>113.42</fb>
    <v>0</v>
  </rv>
  <rv s="0">
    <fb>112.11</fb>
    <v>0</v>
  </rv>
  <rv s="0">
    <fb>113.28</fb>
    <v>0</v>
  </rv>
  <rv s="0">
    <fb>114.2</fb>
    <v>0</v>
  </rv>
  <rv s="0">
    <fb>113.54</fb>
    <v>0</v>
  </rv>
  <rv s="0">
    <fb>111.93</fb>
    <v>0</v>
  </rv>
  <rv s="0">
    <fb>111.33</fb>
    <v>0</v>
  </rv>
  <rv s="0">
    <fb>111.18</fb>
    <v>0</v>
  </rv>
  <rv s="0">
    <fb>238.68</fb>
    <v>0</v>
  </rv>
  <rv s="0">
    <fb>239.43</fb>
    <v>0</v>
  </rv>
  <rv s="0">
    <fb>228.64</fb>
    <v>0</v>
  </rv>
  <rv s="0">
    <fb>228.33</fb>
    <v>0</v>
  </rv>
  <rv s="0">
    <fb>228.91</fb>
    <v>0</v>
  </rv>
  <rv s="0">
    <fb>229.17</fb>
    <v>0</v>
  </rv>
  <rv s="0">
    <fb>234.47</fb>
    <v>0</v>
  </rv>
  <rv s="0">
    <fb>233.6</fb>
    <v>0</v>
  </rv>
  <rv s="0">
    <fb>229.74</fb>
    <v>0</v>
  </rv>
  <rv s="0">
    <fb>226.05</fb>
    <v>0</v>
  </rv>
  <rv s="0">
    <fb>224.35</fb>
    <v>0</v>
  </rv>
  <rv s="0">
    <fb>221.4</fb>
    <v>0</v>
  </rv>
  <rv s="0">
    <fb>225.88</fb>
    <v>0</v>
  </rv>
  <rv s="0">
    <fb>226.77</fb>
    <v>0</v>
  </rv>
  <rv s="0">
    <fb>222.38</fb>
    <v>0</v>
  </rv>
  <rv s="0">
    <fb>223.01</fb>
    <v>0</v>
  </rv>
  <rv s="0">
    <fb>220.82</fb>
    <v>0</v>
  </rv>
  <rv s="0">
    <fb>222.07</fb>
    <v>0</v>
  </rv>
  <rv s="0">
    <fb>221.64</fb>
    <v>0</v>
  </rv>
  <rv s="0">
    <fb>227.28</fb>
    <v>0</v>
  </rv>
  <rv s="0">
    <fb>229.22</fb>
    <v>0</v>
  </rv>
  <rv s="0">
    <fb>230.9</fb>
    <v>0</v>
  </rv>
  <rv s="0">
    <fb>230.03</fb>
    <v>0</v>
  </rv>
  <rv s="0">
    <fb>231.42</fb>
    <v>0</v>
  </rv>
  <rv s="0">
    <fb>230.01</fb>
    <v>0</v>
  </rv>
  <rv s="0">
    <fb>231.32</fb>
    <v>0</v>
  </rv>
  <rv s="0">
    <fb>231.6</fb>
    <v>0</v>
  </rv>
  <rv s="0">
    <fb>230.94</fb>
    <v>0</v>
  </rv>
  <rv s="0">
    <fb>233.2</fb>
    <v>0</v>
  </rv>
  <rv s="0">
    <fb>232.17</fb>
    <v>0</v>
  </rv>
  <rv s="0">
    <fb>229.1</fb>
    <v>0</v>
  </rv>
  <rv s="0">
    <fb>231.8</fb>
    <v>0</v>
  </rv>
  <rv s="0">
    <fb>230.08</fb>
    <v>0</v>
  </rv>
  <rv s="0">
    <fb>225.58</fb>
    <v>0</v>
  </rv>
  <rv s="0">
    <fb>226.35</fb>
    <v>0</v>
  </rv>
  <rv s="0">
    <fb>223.78</fb>
    <v>0</v>
  </rv>
  <rv s="0">
    <fb>223.74</fb>
    <v>0</v>
  </rv>
  <rv s="0">
    <fb>227.1</fb>
    <v>0</v>
  </rv>
  <rv s="0">
    <fb>227</fb>
    <v>0</v>
  </rv>
  <rv s="0">
    <fb>226.37</fb>
    <v>0</v>
  </rv>
  <rv s="0">
    <fb>226.24</fb>
    <v>0</v>
  </rv>
  <rv s="0">
    <fb>224.29</fb>
    <v>0</v>
  </rv>
  <rv s="0">
    <fb>218.39</fb>
    <v>0</v>
  </rv>
  <rv s="0">
    <fb>217.57</fb>
    <v>0</v>
  </rv>
  <rv s="0">
    <fb>216.43</fb>
    <v>0</v>
  </rv>
  <rv s="0">
    <fb>215.54</fb>
    <v>0</v>
  </rv>
  <rv s="0">
    <fb>212.43</fb>
    <v>0</v>
  </rv>
  <rv s="0">
    <fb>215.96</fb>
    <v>0</v>
  </rv>
  <rv s="0">
    <fb>208.24</fb>
    <v>0</v>
  </rv>
  <rv s="0">
    <fb>211.41</fb>
    <v>0</v>
  </rv>
  <rv s="0">
    <fb>206.05</fb>
    <v>0</v>
  </rv>
  <rv s="0">
    <fb>205.67</fb>
    <v>0</v>
  </rv>
  <rv s="0">
    <fb>198.33</fb>
    <v>0</v>
  </rv>
  <rv s="0">
    <fb>196.39</fb>
    <v>0</v>
  </rv>
  <rv s="0">
    <fb>197.53</fb>
    <v>0</v>
  </rv>
  <rv s="0">
    <fb>192.6</fb>
    <v>0</v>
  </rv>
  <rv s="0">
    <fb>196.7</fb>
    <v>0</v>
  </rv>
  <rv s="0">
    <fb>197.01</fb>
    <v>0</v>
  </rv>
  <rv s="0">
    <fb>193.5</fb>
    <v>0</v>
  </rv>
  <rv s="0">
    <fb>197.21</fb>
    <v>0</v>
  </rv>
  <rv s="0">
    <fb>196.74</fb>
    <v>0</v>
  </rv>
  <rv s="0">
    <fb>197.45</fb>
    <v>0</v>
  </rv>
  <rv s="0">
    <fb>204.29</fb>
    <v>0</v>
  </rv>
  <rv s="0">
    <fb>205.92</fb>
    <v>0</v>
  </rv>
  <rv s="0">
    <fb>203.23</fb>
    <v>0</v>
  </rv>
  <rv s="0">
    <fb>203.36</fb>
    <v>0</v>
  </rv>
  <rv s="0">
    <fb>197.04</fb>
    <v>0</v>
  </rv>
  <rv s="0">
    <fb>197.46</fb>
    <v>0</v>
  </rv>
  <rv s="0">
    <fb>199.52</fb>
    <v>0</v>
  </rv>
  <rv s="0">
    <fb>203.31</fb>
    <v>0</v>
  </rv>
  <rv s="0">
    <fb>191.03</fb>
    <v>0</v>
  </rv>
  <rv s="0">
    <fb>182.79</fb>
    <v>0</v>
  </rv>
  <rv s="0">
    <fb>180.63</fb>
    <v>0</v>
  </rv>
  <rv s="0">
    <fb>176.34</fb>
    <v>0</v>
  </rv>
  <rv s="0">
    <fb>195.54</fb>
    <v>0</v>
  </rv>
  <rv s="0">
    <fb>187.9</fb>
    <v>0</v>
  </rv>
  <rv s="0">
    <fb>189.72</fb>
    <v>0</v>
  </rv>
  <rv s="0">
    <fb>190.27</fb>
    <v>0</v>
  </rv>
  <rv s="0">
    <fb>188.9</fb>
    <v>0</v>
  </rv>
  <rv s="0">
    <fb>184.24</fb>
    <v>0</v>
  </rv>
  <rv s="0">
    <fb>185.4</fb>
    <v>0</v>
  </rv>
  <rv s="0">
    <fb>180.45</fb>
    <v>0</v>
  </rv>
  <rv s="0">
    <fb>186.16</fb>
    <v>0</v>
  </rv>
  <rv s="0">
    <fb>190.32</fb>
    <v>0</v>
  </rv>
  <rv s="0">
    <fb>194.11</fb>
    <v>0</v>
  </rv>
  <rv s="0">
    <fb>197.6</fb>
    <v>0</v>
  </rv>
  <rv s="0">
    <fb>197.67</fb>
    <v>0</v>
  </rv>
  <rv s="0">
    <fb>199.07</fb>
    <v>0</v>
  </rv>
  <rv s="0">
    <fb>197.26</fb>
    <v>0</v>
  </rv>
  <rv s="0">
    <fb>198.35</fb>
    <v>0</v>
  </rv>
  <rv s="0">
    <fb>201.43</fb>
    <v>0</v>
  </rv>
  <rv s="0">
    <fb>199.29</fb>
    <v>0</v>
  </rv>
  <rv s="0">
    <fb>197.55</fb>
    <v>0</v>
  </rv>
  <rv s="0">
    <fb>199.09</fb>
    <v>0</v>
  </rv>
  <rv s="0">
    <fb>201.44</fb>
    <v>0</v>
  </rv>
  <rv s="0">
    <fb>212.47</fb>
    <v>0</v>
  </rv>
  <rv s="0">
    <fb>215.28</fb>
    <v>0</v>
  </rv>
  <rv s="0">
    <fb>216.11</fb>
    <v>0</v>
  </rv>
  <rv s="0">
    <fb>215.63</fb>
    <v>0</v>
  </rv>
  <rv s="0">
    <fb>217.67</fb>
    <v>0</v>
  </rv>
  <rv s="0">
    <fb>217.16</fb>
    <v>0</v>
  </rv>
  <rv s="0">
    <fb>216.03</fb>
    <v>0</v>
  </rv>
  <rv s="0">
    <fb>211.65</fb>
    <v>0</v>
  </rv>
  <rv s="0">
    <fb>212.56</fb>
    <v>0</v>
  </rv>
  <rv s="0">
    <fb>210.65</fb>
    <v>0</v>
  </rv>
  <rv s="0">
    <fb>216.87</fb>
    <v>0</v>
  </rv>
  <rv s="0">
    <fb>214.88</fb>
    <v>0</v>
  </rv>
  <rv s="0">
    <fb>214.97</fb>
    <v>0</v>
  </rv>
  <rv s="0">
    <fb>213.8</fb>
    <v>0</v>
  </rv>
  <rv s="0">
    <fb>214.3</fb>
    <v>0</v>
  </rv>
  <rv s="0">
    <fb>215.44</fb>
    <v>0</v>
  </rv>
  <rv s="0">
    <fb>209.45</fb>
    <v>0</v>
  </rv>
  <rv s="0">
    <fb>212.17</fb>
    <v>0</v>
  </rv>
  <rv s="0">
    <fb>213.87</fb>
    <v>0</v>
  </rv>
  <rv s="0">
    <fb>214.72</fb>
    <v>0</v>
  </rv>
  <rv s="0">
    <fb>213.71</fb>
    <v>0</v>
  </rv>
  <rv s="0">
    <fb>211.74</fb>
    <v>0</v>
  </rv>
  <rv s="0">
    <fb>214.02</fb>
    <v>0</v>
  </rv>
  <rv s="0">
    <fb>210.33</fb>
    <v>0</v>
  </rv>
  <rv s="0">
    <fb>210.43</fb>
    <v>0</v>
  </rv>
  <rv s="0">
    <fb>210.68</fb>
    <v>0</v>
  </rv>
  <rv s="0">
    <fb>214.4</fb>
    <v>0</v>
  </rv>
  <rv s="0">
    <fb>215.59</fb>
    <v>0</v>
  </rv>
  <rv s="0">
    <fb>213.05</fb>
    <v>0</v>
  </rv>
  <rv s="0">
    <fb>215.01</fb>
    <v>0</v>
  </rv>
  <rv s="0">
    <fb>218.59</fb>
    <v>0</v>
  </rv>
  <rv s="0">
    <fb>217.33</fb>
    <v>0</v>
  </rv>
  <rv s="0">
    <fb>218.26</fb>
    <v>0</v>
  </rv>
  <rv s="0">
    <fb>220.01</fb>
    <v>0</v>
  </rv>
  <rv s="0">
    <fb>221.21</fb>
    <v>0</v>
  </rv>
  <rv s="0">
    <fb>218.4</fb>
    <v>0</v>
  </rv>
  <rv s="0">
    <fb>217.66</fb>
    <v>0</v>
  </rv>
  <rv s="0">
    <fb>218.95</fb>
    <v>0</v>
  </rv>
  <rv s="0">
    <fb>221.37</fb>
    <v>0</v>
  </rv>
  <rv s="0">
    <fb>222.25</fb>
    <v>0</v>
  </rv>
  <rv s="0">
    <fb>219.07</fb>
    <v>0</v>
  </rv>
  <rv s="0">
    <fb>219.47</fb>
    <v>0</v>
  </rv>
  <rv s="0">
    <fb>220.22</fb>
    <v>0</v>
  </rv>
  <rv s="0">
    <fb>222.17</fb>
    <v>0</v>
  </rv>
  <rv s="0">
    <fb>223.22</fb>
    <v>0</v>
  </rv>
  <rv s="0">
    <fb>225.48</fb>
    <v>0</v>
  </rv>
  <rv s="0">
    <fb>226.55</fb>
    <v>0</v>
  </rv>
  <rv s="0">
    <fb>222.8</fb>
    <v>0</v>
  </rv>
  <rv s="0">
    <fb>224.87</fb>
    <v>0</v>
  </rv>
  <rv s="0">
    <fb>226.18</fb>
    <v>0</v>
  </rv>
  <rv s="0">
    <fb>224.62</fb>
    <v>0</v>
  </rv>
  <rv s="0">
    <fb>223.2</fb>
    <v>0</v>
  </rv>
  <rv s="0">
    <fb>216.09</fb>
    <v>0</v>
  </rv>
  <rv s="0">
    <fb>218.63</fb>
    <v>0</v>
  </rv>
  <rv s="0">
    <fb>218.91</fb>
    <v>0</v>
  </rv>
  <rv s="0">
    <fb>223.46</fb>
    <v>0</v>
  </rv>
  <rv s="0">
    <fb>224.36</fb>
    <v>0</v>
  </rv>
  <rv s="0">
    <fb>226.74</fb>
    <v>0</v>
  </rv>
  <rv s="0">
    <fb>229.85</fb>
    <v>0</v>
  </rv>
  <rv s="0">
    <fb>229.59</fb>
    <v>0</v>
  </rv>
  <rv s="0">
    <fb>229.04</fb>
    <v>0</v>
  </rv>
  <rv s="0">
    <fb>229.96</fb>
    <v>0</v>
  </rv>
  <rv s="0">
    <fb>227.58</fb>
    <v>0</v>
  </rv>
  <rv s="0">
    <fb>233.1</fb>
    <v>0</v>
  </rv>
  <rv s="0">
    <fb>232.63</fb>
    <v>0</v>
  </rv>
  <rv s="0">
    <fb>233.7</fb>
    <v>0</v>
  </rv>
  <rv s="0">
    <fb>234.15</fb>
    <v>0</v>
  </rv>
  <rv s="0">
    <fb>231.74</fb>
    <v>0</v>
  </rv>
  <rv s="0">
    <fb>235.16</fb>
    <v>0</v>
  </rv>
  <rv s="0">
    <fb>235.11</fb>
    <v>0</v>
  </rv>
  <rv s="0">
    <fb>236.02</fb>
    <v>0</v>
  </rv>
  <rv s="0">
    <fb>235.69</fb>
    <v>0</v>
  </rv>
  <rv s="0">
    <fb>232.87</fb>
    <v>0</v>
  </rv>
  <rv s="0">
    <fb>237.4</fb>
    <v>0</v>
  </rv>
  <rv s="0">
    <fb>238.63</fb>
    <v>0</v>
  </rv>
  <rv s="0">
    <fb>240.7</fb>
    <v>0</v>
  </rv>
  <rv s="0">
    <fb>242.18</fb>
    <v>0</v>
  </rv>
  <rv s="0">
    <fb>241.57</fb>
    <v>0</v>
  </rv>
  <rv s="0">
    <fb>240.48</fb>
    <v>0</v>
  </rv>
  <rv s="0">
    <fb>241.39</fb>
    <v>0</v>
  </rv>
  <rv s="0">
    <fb>240.18</fb>
    <v>0</v>
  </rv>
  <rv s="0">
    <fb>237.92</fb>
    <v>0</v>
  </rv>
  <rv s="0">
    <fb>239.6</fb>
    <v>0</v>
  </rv>
  <rv s="0">
    <fb>239.71</fb>
    <v>0</v>
  </rv>
  <rv s="0">
    <fb>240.76</fb>
    <v>0</v>
  </rv>
  <rv s="0">
    <fb>239.64</fb>
    <v>0</v>
  </rv>
  <rv s="0">
    <fb>241.14</fb>
    <v>0</v>
  </rv>
  <rv s="0">
    <fb>239.4</fb>
    <v>0</v>
  </rv>
  <rv s="0">
    <fb>237.86</fb>
    <v>0</v>
  </rv>
  <rv s="0">
    <fb>235.7</fb>
    <v>0</v>
  </rv>
  <rv s="0">
    <fb>236.4</fb>
    <v>0</v>
  </rv>
  <rv s="0">
    <fb>235.22</fb>
    <v>0</v>
  </rv>
  <rv s="0">
    <fb>228.75</fb>
    <v>0</v>
  </rv>
  <rv s="0">
    <fb>233.86</fb>
    <v>0</v>
  </rv>
  <rv s="0">
    <fb>234.35</fb>
    <v>0</v>
  </rv>
  <rv s="0">
    <fb>234.69</fb>
    <v>0</v>
  </rv>
  <rv s="0">
    <fb>232.42</fb>
    <v>0</v>
  </rv>
  <rv s="0">
    <fb>234.42</fb>
    <v>0</v>
  </rv>
  <rv s="0">
    <fb>236.28</fb>
    <v>0</v>
  </rv>
  <rv s="0">
    <fb>239.17</fb>
    <v>0</v>
  </rv>
  <rv s="0">
    <fb>237.3</fb>
    <v>0</v>
  </rv>
  <rv s="0">
    <fb>238.37</fb>
    <v>0</v>
  </rv>
  <rv s="0">
    <fb>237.66</fb>
    <v>0</v>
  </rv>
  <rv s="0">
    <fb>241.08</fb>
    <v>0</v>
  </rv>
  <rv s="0">
    <fb>239.15</fb>
    <v>0</v>
  </rv>
  <rv s="0">
    <fb>239.93</fb>
    <v>0</v>
  </rv>
  <rv s="0">
    <fb>238.16</fb>
    <v>0</v>
  </rv>
  <rv s="0">
    <fb>241.06</fb>
    <v>0</v>
  </rv>
  <rv s="0">
    <fb>235.49</fb>
    <v>0</v>
  </rv>
  <rv s="0">
    <fb>235.86</fb>
    <v>0</v>
  </rv>
  <rv s="0">
    <fb>238.96</fb>
    <v>0</v>
  </rv>
  <rv s="0">
    <fb>239.55</fb>
    <v>0</v>
  </rv>
  <rv s="0">
    <fb>237.94</fb>
    <v>0</v>
  </rv>
  <rv s="0">
    <fb>232</fb>
    <v>0</v>
  </rv>
  <rv s="0">
    <fb>230.89</fb>
    <v>0</v>
  </rv>
  <rv s="0">
    <fb>228.72</fb>
    <v>0</v>
  </rv>
  <rv s="0">
    <fb>224.5</fb>
    <v>0</v>
  </rv>
  <rv s="0">
    <fb>81.47</fb>
    <v>0</v>
  </rv>
  <rv s="0">
    <fb>80.23</fb>
    <v>0</v>
  </rv>
  <rv s="0">
    <fb>79.66</fb>
    <v>0</v>
  </rv>
  <rv s="0">
    <fb>78.92</fb>
    <v>0</v>
  </rv>
  <rv s="0">
    <fb>79.44</fb>
    <v>0</v>
  </rv>
  <rv s="0">
    <fb>79.69</fb>
    <v>0</v>
  </rv>
  <rv s="0">
    <fb>79.3</fb>
    <v>0</v>
  </rv>
  <rv s="0">
    <fb>78.37</fb>
    <v>0</v>
  </rv>
  <rv s="0">
    <fb>78.61</fb>
    <v>0</v>
  </rv>
  <rv s="0">
    <fb>77.510000000000005</fb>
    <v>0</v>
  </rv>
  <rv s="0">
    <fb>77.239999999999995</fb>
    <v>0</v>
  </rv>
  <rv s="0">
    <fb>77.38</fb>
    <v>0</v>
  </rv>
  <rv s="0">
    <fb>76.34</fb>
    <v>0</v>
  </rv>
  <rv s="0">
    <fb>76.47</fb>
    <v>0</v>
  </rv>
  <rv s="0">
    <fb>76.489999999999995</fb>
    <v>0</v>
  </rv>
  <rv s="0">
    <fb>76.23</fb>
    <v>0</v>
  </rv>
  <rv s="0">
    <fb>76.8</fb>
    <v>0</v>
  </rv>
  <rv s="0">
    <fb>77.599999999999994</fb>
    <v>0</v>
  </rv>
  <rv s="0">
    <fb>77.22</fb>
    <v>0</v>
  </rv>
  <rv s="0">
    <fb>77.5</fb>
    <v>0</v>
  </rv>
  <rv s="0">
    <fb>80.010000000000005</fb>
    <v>0</v>
  </rv>
  <rv s="0">
    <fb>78.760000000000005</fb>
    <v>0</v>
  </rv>
  <rv s="0">
    <fb>78.95</fb>
    <v>0</v>
  </rv>
  <rv s="0">
    <fb>79.73</fb>
    <v>0</v>
  </rv>
  <rv s="0">
    <fb>78.98</fb>
    <v>0</v>
  </rv>
  <rv s="0">
    <fb>78.62</fb>
    <v>0</v>
  </rv>
  <rv s="0">
    <fb>79.11</fb>
    <v>0</v>
  </rv>
  <rv s="0">
    <fb>79.47</fb>
    <v>0</v>
  </rv>
  <rv s="0">
    <fb>79.349999999999994</fb>
    <v>0</v>
  </rv>
  <rv s="0">
    <fb>79.84</fb>
    <v>0</v>
  </rv>
  <rv s="0">
    <fb>80.61</fb>
    <v>0</v>
  </rv>
  <rv s="0">
    <fb>80.55</fb>
    <v>0</v>
  </rv>
  <rv s="0">
    <fb>80.900000000000006</fb>
    <v>0</v>
  </rv>
  <rv s="0">
    <fb>81.23</fb>
    <v>0</v>
  </rv>
  <rv s="0">
    <fb>82.18</fb>
    <v>0</v>
  </rv>
  <rv s="0">
    <fb>82.43</fb>
    <v>0</v>
  </rv>
  <rv s="0">
    <fb>83.6</fb>
    <v>0</v>
  </rv>
  <rv s="0">
    <fb>82</fb>
    <v>0</v>
  </rv>
  <rv s="0">
    <fb>81.99</fb>
    <v>0</v>
  </rv>
  <rv s="0">
    <fb>83.52</fb>
    <v>0</v>
  </rv>
  <rv s="0">
    <fb>82.1</fb>
    <v>0</v>
  </rv>
  <rv s="0">
    <fb>82.44</fb>
    <v>0</v>
  </rv>
  <rv s="0">
    <fb>82.68</fb>
    <v>0</v>
  </rv>
  <rv s="0">
    <fb>79.7</fb>
    <v>0</v>
  </rv>
  <rv s="0">
    <fb>79.33</fb>
    <v>0</v>
  </rv>
  <rv s="0">
    <fb>79.510000000000005</fb>
    <v>0</v>
  </rv>
  <rv s="0">
    <fb>80.67</fb>
    <v>0</v>
  </rv>
  <rv s="0">
    <fb>79.75</fb>
    <v>0</v>
  </rv>
  <rv s="0">
    <fb>79.36</fb>
    <v>0</v>
  </rv>
  <rv s="0">
    <fb>79.400000000000006</fb>
    <v>0</v>
  </rv>
  <rv s="0">
    <fb>78.680000000000007</fb>
    <v>0</v>
  </rv>
  <rv s="0">
    <fb>79.900000000000006</fb>
    <v>0</v>
  </rv>
  <rv s="0">
    <fb>80.81</fb>
    <v>0</v>
  </rv>
  <rv s="0">
    <fb>80.41</fb>
    <v>0</v>
  </rv>
  <rv s="0">
    <fb>81.67</fb>
    <v>0</v>
  </rv>
  <rv s="0">
    <fb>82.02</fb>
    <v>0</v>
  </rv>
  <rv s="0">
    <fb>77.55</fb>
    <v>0</v>
  </rv>
  <rv s="0">
    <fb>76.349999999999994</fb>
    <v>0</v>
  </rv>
  <rv s="0">
    <fb>79.31</fb>
    <v>0</v>
  </rv>
  <rv s="0">
    <fb>80.349999999999994</fb>
    <v>0</v>
  </rv>
  <rv s="0">
    <fb>81.72</fb>
    <v>0</v>
  </rv>
  <rv s="0">
    <fb>80.16</fb>
    <v>0</v>
  </rv>
  <rv s="0">
    <fb>81.87</fb>
    <v>0</v>
  </rv>
  <rv s="0">
    <fb>81.77</fb>
    <v>0</v>
  </rv>
  <rv s="0">
    <fb>81.05</fb>
    <v>0</v>
  </rv>
  <rv s="0">
    <fb>80.84</fb>
    <v>0</v>
  </rv>
  <rv s="0">
    <fb>80.569999999999993</fb>
    <v>0</v>
  </rv>
  <rv s="0">
    <fb>81.239999999999995</fb>
    <v>0</v>
  </rv>
  <rv s="0">
    <fb>81.83</fb>
    <v>0</v>
  </rv>
  <rv s="0">
    <fb>81.12</fb>
    <v>0</v>
  </rv>
  <rv s="0">
    <fb>81.489999999999995</fb>
    <v>0</v>
  </rv>
  <rv s="0">
    <fb>81.48</fb>
    <v>0</v>
  </rv>
  <rv s="0">
    <fb>81.38</fb>
    <v>0</v>
  </rv>
  <rv s="0">
    <fb>80.91</fb>
    <v>0</v>
  </rv>
  <rv s="0">
    <fb>81.14</fb>
    <v>0</v>
  </rv>
  <rv s="0">
    <fb>82.07</fb>
    <v>0</v>
  </rv>
  <rv s="0">
    <fb>82.31</fb>
    <v>0</v>
  </rv>
  <rv s="0">
    <fb>81.64</fb>
    <v>0</v>
  </rv>
  <rv s="0">
    <fb>81.3</fb>
    <v>0</v>
  </rv>
  <rv s="0">
    <fb>81.599999999999994</fb>
    <v>0</v>
  </rv>
  <rv s="0">
    <fb>82.34</fb>
    <v>0</v>
  </rv>
  <rv s="0">
    <fb>81.78</fb>
    <v>0</v>
  </rv>
  <rv s="0">
    <fb>82.88</fb>
    <v>0</v>
  </rv>
  <rv s="0">
    <fb>82.22</fb>
    <v>0</v>
  </rv>
  <rv s="0">
    <fb>81.430000000000007</fb>
    <v>0</v>
  </rv>
  <rv s="0">
    <fb>81.69</fb>
    <v>0</v>
  </rv>
  <rv s="0">
    <fb>81.58</fb>
    <v>0</v>
  </rv>
  <rv s="0">
    <fb>81.760000000000005</fb>
    <v>0</v>
  </rv>
  <rv s="0">
    <fb>80.959999999999994</fb>
    <v>0</v>
  </rv>
  <rv s="0">
    <fb>81.22</fb>
    <v>0</v>
  </rv>
  <rv s="0">
    <fb>80.53</fb>
    <v>0</v>
  </rv>
  <rv s="0">
    <fb>80.430000000000007</fb>
    <v>0</v>
  </rv>
  <rv s="0">
    <fb>81.02</fb>
    <v>0</v>
  </rv>
  <rv s="0">
    <fb>81.400000000000006</fb>
    <v>0</v>
  </rv>
  <rv s="0">
    <fb>80.239999999999995</fb>
    <v>0</v>
  </rv>
  <rv s="0">
    <fb>80.17</fb>
    <v>0</v>
  </rv>
  <rv s="0">
    <fb>80.97</fb>
    <v>0</v>
  </rv>
  <rv s="0">
    <fb>80.88</fb>
    <v>0</v>
  </rv>
  <rv s="0">
    <fb>80.069999999999993</fb>
    <v>0</v>
  </rv>
  <rv s="0">
    <fb>80.89</fb>
    <v>0</v>
  </rv>
  <rv s="0">
    <fb>81.62</fb>
    <v>0</v>
  </rv>
  <rv s="0">
    <fb>81.650000000000006</fb>
    <v>0</v>
  </rv>
  <rv s="0">
    <fb>81.36</fb>
    <v>0</v>
  </rv>
  <rv s="0">
    <fb>80.66</fb>
    <v>0</v>
  </rv>
  <rv s="0">
    <fb>80.47</fb>
    <v>0</v>
  </rv>
  <rv s="0">
    <fb>79.78</fb>
    <v>0</v>
  </rv>
  <rv s="0">
    <fb>82.41</fb>
    <v>0</v>
  </rv>
  <rv s="0">
    <fb>82.63</fb>
    <v>0</v>
  </rv>
  <rv s="0">
    <fb>81.89</fb>
    <v>0</v>
  </rv>
  <rv s="0">
    <fb>81.91</fb>
    <v>0</v>
  </rv>
  <rv s="0">
    <fb>83.22</fb>
    <v>0</v>
  </rv>
  <rv s="0">
    <fb>80.77</fb>
    <v>0</v>
  </rv>
  <rv s="0">
    <fb>80.260000000000005</fb>
    <v>0</v>
  </rv>
  <rv s="0">
    <fb>80.78</fb>
    <v>0</v>
  </rv>
  <rv s="0">
    <fb>80.650000000000006</fb>
    <v>0</v>
  </rv>
  <rv s="0">
    <fb>80.59</fb>
    <v>0</v>
  </rv>
  <rv s="0">
    <fb>80.64</fb>
    <v>0</v>
  </rv>
  <rv s="0">
    <fb>80.87</fb>
    <v>0</v>
  </rv>
  <rv s="0">
    <fb>80.319999999999993</fb>
    <v>0</v>
  </rv>
  <rv s="0">
    <fb>79.540000000000006</fb>
    <v>0</v>
  </rv>
  <rv s="0">
    <fb>79.38</fb>
    <v>0</v>
  </rv>
  <rv s="0">
    <fb>78.349999999999994</fb>
    <v>0</v>
  </rv>
  <rv s="0">
    <fb>78.52</fb>
    <v>0</v>
  </rv>
  <rv s="0">
    <fb>77.77</fb>
    <v>0</v>
  </rv>
  <rv s="0">
    <fb>78.11</fb>
    <v>0</v>
  </rv>
  <rv s="0">
    <fb>78.25</fb>
    <v>0</v>
  </rv>
  <rv s="0">
    <fb>77.94</fb>
    <v>0</v>
  </rv>
  <rv s="0">
    <fb>78.03</fb>
    <v>0</v>
  </rv>
  <rv s="0">
    <fb>77.459999999999994</fb>
    <v>0</v>
  </rv>
  <rv s="0">
    <fb>78.180000000000007</fb>
    <v>0</v>
  </rv>
  <rv s="0">
    <fb>77.790000000000006</fb>
    <v>0</v>
  </rv>
  <rv s="0">
    <fb>78.040000000000006</fb>
    <v>0</v>
  </rv>
  <rv s="0">
    <fb>78.099999999999994</fb>
    <v>0</v>
  </rv>
  <rv s="0">
    <fb>77.84</fb>
    <v>0</v>
  </rv>
  <rv s="0">
    <fb>79.09</fb>
    <v>0</v>
  </rv>
  <rv s="0">
    <fb>79.23</fb>
    <v>0</v>
  </rv>
  <rv s="0">
    <fb>79.22</fb>
    <v>0</v>
  </rv>
  <rv s="0">
    <fb>78.430000000000007</fb>
    <v>0</v>
  </rv>
  <rv s="0">
    <fb>76.58</fb>
    <v>0</v>
  </rv>
  <rv s="0">
    <fb>76.5</fb>
    <v>0</v>
  </rv>
  <rv s="0">
    <fb>76.28</fb>
    <v>0</v>
  </rv>
  <rv s="0">
    <fb>75.680000000000007</fb>
    <v>0</v>
  </rv>
  <rv s="0">
    <fb>75.989999999999995</fb>
    <v>0</v>
  </rv>
  <rv s="0">
    <fb>75.94</fb>
    <v>0</v>
  </rv>
  <rv s="0">
    <fb>75.599999999999994</fb>
    <v>0</v>
  </rv>
  <rv s="0">
    <fb>76.709999999999994</fb>
    <v>0</v>
  </rv>
  <rv s="0">
    <fb>76.430000000000007</fb>
    <v>0</v>
  </rv>
  <rv s="0">
    <fb>77.430000000000007</fb>
    <v>0</v>
  </rv>
  <rv s="0">
    <fb>77.319999999999993</fb>
    <v>0</v>
  </rv>
  <rv s="0">
    <fb>77.260000000000005</fb>
    <v>0</v>
  </rv>
  <rv s="0">
    <fb>76.77</fb>
    <v>0</v>
  </rv>
  <rv s="0">
    <fb>77.099999999999994</fb>
    <v>0</v>
  </rv>
  <rv s="0">
    <fb>87.26</fb>
    <v>0</v>
  </rv>
  <rv s="0">
    <fb>86.61</fb>
    <v>0</v>
  </rv>
  <rv s="0">
    <fb>84.05</fb>
    <v>0</v>
  </rv>
  <rv s="0">
    <fb>84.14</fb>
    <v>0</v>
  </rv>
  <rv s="0">
    <fb>83.93</fb>
    <v>0</v>
  </rv>
  <rv s="0">
    <fb>84.57</fb>
    <v>0</v>
  </rv>
  <rv s="0">
    <fb>84.56</fb>
    <v>0</v>
  </rv>
  <rv s="0">
    <fb>84.55</fb>
    <v>0</v>
  </rv>
  <rv s="0">
    <fb>86.66</fb>
    <v>0</v>
  </rv>
  <rv s="0">
    <fb>87.47</fb>
    <v>0</v>
  </rv>
  <rv s="0">
    <fb>87.07</fb>
    <v>0</v>
  </rv>
  <rv s="0">
    <fb>87.94</fb>
    <v>0</v>
  </rv>
  <rv s="0">
    <fb>88.03</fb>
    <v>0</v>
  </rv>
  <rv s="0">
    <fb>88.39</fb>
    <v>0</v>
  </rv>
  <rv s="0">
    <fb>90.25</fb>
    <v>0</v>
  </rv>
  <rv s="0">
    <fb>91.22</fb>
    <v>0</v>
  </rv>
  <rv s="0">
    <fb>93.24</fb>
    <v>0</v>
  </rv>
  <rv s="0">
    <fb>93.96</fb>
    <v>0</v>
  </rv>
  <rv s="0">
    <fb>93.48</fb>
    <v>0</v>
  </rv>
  <rv s="0">
    <fb>91.78</fb>
    <v>0</v>
  </rv>
  <rv s="0">
    <fb>92.2</fb>
    <v>0</v>
  </rv>
  <rv s="0">
    <fb>90.36</fb>
    <v>0</v>
  </rv>
  <rv s="0">
    <fb>89.7</fb>
    <v>0</v>
  </rv>
  <rv s="0">
    <fb>90.16</fb>
    <v>0</v>
  </rv>
  <rv s="0">
    <fb>90.04</fb>
    <v>0</v>
  </rv>
  <rv s="0">
    <fb>90.23</fb>
    <v>0</v>
  </rv>
  <rv s="0">
    <fb>88.57</fb>
    <v>0</v>
  </rv>
  <rv s="0">
    <fb>88.56</fb>
    <v>0</v>
  </rv>
  <rv s="0">
    <fb>89.04</fb>
    <v>0</v>
  </rv>
  <rv s="0">
    <fb>89.71</fb>
    <v>0</v>
  </rv>
  <rv s="0">
    <fb>91.3</fb>
    <v>0</v>
  </rv>
  <rv s="0">
    <fb>92.02</fb>
    <v>0</v>
  </rv>
  <rv s="0">
    <fb>92.86</fb>
    <v>0</v>
  </rv>
  <rv s="0">
    <fb>90.93</fb>
    <v>0</v>
  </rv>
  <rv s="0">
    <fb>90.95</fb>
    <v>0</v>
  </rv>
  <rv s="0">
    <fb>89.64</fb>
    <v>0</v>
  </rv>
  <rv s="0">
    <fb>89.13</fb>
    <v>0</v>
  </rv>
  <rv s="0">
    <fb>89.61</fb>
    <v>0</v>
  </rv>
  <rv s="0">
    <fb>91</fb>
    <v>0</v>
  </rv>
  <rv s="0">
    <fb>87.82</fb>
    <v>0</v>
  </rv>
  <rv s="0">
    <fb>86.97</fb>
    <v>0</v>
  </rv>
  <rv s="0">
    <fb>85.7</fb>
    <v>0</v>
  </rv>
  <rv s="0">
    <fb>85.96</fb>
    <v>0</v>
  </rv>
  <rv s="0">
    <fb>87.43</fb>
    <v>0</v>
  </rv>
  <rv s="0">
    <fb>88.08</fb>
    <v>0</v>
  </rv>
  <rv s="0">
    <fb>87.38</fb>
    <v>0</v>
  </rv>
  <rv s="0">
    <fb>87.78</fb>
    <v>0</v>
  </rv>
  <rv s="0">
    <fb>89.76</fb>
    <v>0</v>
  </rv>
  <rv s="0">
    <fb>91.19</fb>
    <v>0</v>
  </rv>
  <rv s="0">
    <fb>92.83</fb>
    <v>0</v>
  </rv>
  <rv s="0">
    <fb>93.17</fb>
    <v>0</v>
  </rv>
  <rv s="0">
    <fb>92.52</fb>
    <v>0</v>
  </rv>
  <rv s="0">
    <fb>92.85</fb>
    <v>0</v>
  </rv>
  <rv s="0">
    <fb>93.23</fb>
    <v>0</v>
  </rv>
  <rv s="0">
    <fb>92.87</fb>
    <v>0</v>
  </rv>
  <rv s="0">
    <fb>92.43</fb>
    <v>0</v>
  </rv>
  <rv s="0">
    <fb>93.45</fb>
    <v>0</v>
  </rv>
  <rv s="0">
    <fb>94</fb>
    <v>0</v>
  </rv>
  <rv s="0">
    <fb>94.13</fb>
    <v>0</v>
  </rv>
  <rv s="0">
    <fb>86.74</fb>
    <v>0</v>
  </rv>
  <rv s="0">
    <fb>76.44</fb>
    <v>0</v>
  </rv>
  <rv s="0">
    <fb>82.36</fb>
    <v>0</v>
  </rv>
  <rv s="0">
    <fb>78.89</fb>
    <v>0</v>
  </rv>
  <rv s="0">
    <fb>79.17</fb>
    <v>0</v>
  </rv>
  <rv s="0">
    <fb>79.05</fb>
    <v>0</v>
  </rv>
  <rv s="0">
    <fb>82.39</fb>
    <v>0</v>
  </rv>
  <rv s="0">
    <fb>82.73</fb>
    <v>0</v>
  </rv>
  <rv s="0">
    <fb>80.5</fb>
    <v>0</v>
  </rv>
  <rv s="0">
    <fb>80.8</fb>
    <v>0</v>
  </rv>
  <rv s="0">
    <fb>80.52</fb>
    <v>0</v>
  </rv>
  <rv s="0">
    <fb>84.58</fb>
    <v>0</v>
  </rv>
  <rv s="0">
    <fb>85.77</fb>
    <v>0</v>
  </rv>
  <rv s="0">
    <fb>85.25</fb>
    <v>0</v>
  </rv>
  <rv s="0">
    <fb>85.61</fb>
    <v>0</v>
  </rv>
  <rv s="0">
    <fb>85.48</fb>
    <v>0</v>
  </rv>
  <rv s="0">
    <fb>84.37</fb>
    <v>0</v>
  </rv>
  <rv s="0">
    <fb>82.05</fb>
    <v>0</v>
  </rv>
  <rv s="0">
    <fb>81.73</fb>
    <v>0</v>
  </rv>
  <rv s="0">
    <fb>82.7</fb>
    <v>0</v>
  </rv>
  <rv s="0">
    <fb>82.26</fb>
    <v>0</v>
  </rv>
  <rv s="0">
    <fb>81.53</fb>
    <v>0</v>
  </rv>
  <rv s="0">
    <fb>83.58</fb>
    <v>0</v>
  </rv>
  <rv s="0">
    <fb>81.95</fb>
    <v>0</v>
  </rv>
  <rv s="0">
    <fb>83.41</fb>
    <v>0</v>
  </rv>
  <rv s="0">
    <fb>83.57</fb>
    <v>0</v>
  </rv>
  <rv s="0">
    <fb>85.06</fb>
    <v>0</v>
  </rv>
  <rv s="0">
    <fb>86.29</fb>
    <v>0</v>
  </rv>
  <rv s="0">
    <fb>86.59</fb>
    <v>0</v>
  </rv>
  <rv s="0">
    <fb>88.1</fb>
    <v>0</v>
  </rv>
  <rv s="0">
    <fb>87.84</fb>
    <v>0</v>
  </rv>
  <rv s="0">
    <fb>88.66</fb>
    <v>0</v>
  </rv>
  <rv s="0">
    <fb>88.98</fb>
    <v>0</v>
  </rv>
  <rv s="0">
    <fb>86.03</fb>
    <v>0</v>
  </rv>
  <rv s="0">
    <fb>84.91</fb>
    <v>0</v>
  </rv>
  <rv s="0">
    <fb>84.54</fb>
    <v>0</v>
  </rv>
  <rv s="0">
    <fb>85.75</fb>
    <v>0</v>
  </rv>
  <rv s="0">
    <fb>85.3</fb>
    <v>0</v>
  </rv>
  <rv s="0">
    <fb>84.81</fb>
    <v>0</v>
  </rv>
  <rv s="0">
    <fb>85.46</fb>
    <v>0</v>
  </rv>
  <rv s="0">
    <fb>87.03</fb>
    <v>0</v>
  </rv>
  <rv s="0">
    <fb>86.19</fb>
    <v>0</v>
  </rv>
  <rv s="0">
    <fb>88.73</fb>
    <v>0</v>
  </rv>
  <rv s="0">
    <fb>86.88</fb>
    <v>0</v>
  </rv>
  <rv s="0">
    <fb>85.07</fb>
    <v>0</v>
  </rv>
  <rv s="0">
    <fb>86.81</fb>
    <v>0</v>
  </rv>
  <rv s="0">
    <fb>87.1</fb>
    <v>0</v>
  </rv>
  <rv s="0">
    <fb>88.95</fb>
    <v>0</v>
  </rv>
  <rv s="0">
    <fb>87.68</fb>
    <v>0</v>
  </rv>
  <rv s="0">
    <fb>87.21</fb>
    <v>0</v>
  </rv>
  <rv s="0">
    <fb>85.59</fb>
    <v>0</v>
  </rv>
  <rv s="0">
    <fb>85.4</fb>
    <v>0</v>
  </rv>
  <rv s="0">
    <fb>85.51</fb>
    <v>0</v>
  </rv>
  <rv s="0">
    <fb>84.72</fb>
    <v>0</v>
  </rv>
  <rv s="0">
    <fb>84.39</fb>
    <v>0</v>
  </rv>
  <rv s="0">
    <fb>84.93</fb>
    <v>0</v>
  </rv>
  <rv s="0">
    <fb>84.25</fb>
    <v>0</v>
  </rv>
  <rv s="0">
    <fb>84.66</fb>
    <v>0</v>
  </rv>
  <rv s="0">
    <fb>85.64</fb>
    <v>0</v>
  </rv>
  <rv s="0">
    <fb>85.56</fb>
    <v>0</v>
  </rv>
  <rv s="0">
    <fb>85.08</fb>
    <v>0</v>
  </rv>
  <rv s="0">
    <fb>85.79</fb>
    <v>0</v>
  </rv>
  <rv s="0">
    <fb>86.38</fb>
    <v>0</v>
  </rv>
  <rv s="0">
    <fb>88.37</fb>
    <v>0</v>
  </rv>
  <rv s="0">
    <fb>88.23</fb>
    <v>0</v>
  </rv>
  <rv s="0">
    <fb>89.9</fb>
    <v>0</v>
  </rv>
  <rv s="0">
    <fb>88.49</fb>
    <v>0</v>
  </rv>
  <rv s="0">
    <fb>89.08</fb>
    <v>0</v>
  </rv>
  <rv s="0">
    <fb>87.36</fb>
    <v>0</v>
  </rv>
  <rv s="0">
    <fb>87.16</fb>
    <v>0</v>
  </rv>
  <rv s="0">
    <fb>89.11</fb>
    <v>0</v>
  </rv>
  <rv s="0">
    <fb>88.6</fb>
    <v>0</v>
  </rv>
  <rv s="0">
    <fb>88.3</fb>
    <v>0</v>
  </rv>
  <rv s="0">
    <fb>89.78</fb>
    <v>0</v>
  </rv>
  <rv s="0">
    <fb>88.52</fb>
    <v>0</v>
  </rv>
  <rv s="0">
    <fb>87.67</fb>
    <v>0</v>
  </rv>
  <rv s="0">
    <fb>90.34</fb>
    <v>0</v>
  </rv>
  <rv s="0">
    <fb>91.99</fb>
    <v>0</v>
  </rv>
  <rv s="0">
    <fb>88.44</fb>
    <v>0</v>
  </rv>
  <rv s="0">
    <fb>88.91</fb>
    <v>0</v>
  </rv>
  <rv s="0">
    <fb>89.35</fb>
    <v>0</v>
  </rv>
  <rv s="0">
    <fb>88.97</fb>
    <v>0</v>
  </rv>
  <rv s="0">
    <fb>87.76</fb>
    <v>0</v>
  </rv>
  <rv s="0">
    <fb>85.22</fb>
    <v>0</v>
  </rv>
  <rv s="0">
    <fb>86.37</fb>
    <v>0</v>
  </rv>
  <rv s="0">
    <fb>86.32</fb>
    <v>0</v>
  </rv>
  <rv s="0">
    <fb>85.28</fb>
    <v>0</v>
  </rv>
  <rv s="0">
    <fb>85.98</fb>
    <v>0</v>
  </rv>
  <rv s="0">
    <fb>86.89</fb>
    <v>0</v>
  </rv>
  <rv s="0">
    <fb>86.69</fb>
    <v>0</v>
  </rv>
  <rv s="0">
    <fb>88.07</fb>
    <v>0</v>
  </rv>
  <rv s="0">
    <fb>88.28</fb>
    <v>0</v>
  </rv>
  <rv s="0">
    <fb>88.01</fb>
    <v>0</v>
  </rv>
  <rv s="0">
    <fb>87.49</fb>
    <v>0</v>
  </rv>
  <rv s="0">
    <fb>87.42</fb>
    <v>0</v>
  </rv>
  <rv s="0">
    <fb>89.54</fb>
    <v>0</v>
  </rv>
  <rv s="0">
    <fb>90.35</fb>
    <v>0</v>
  </rv>
  <rv s="0">
    <fb>91.53</fb>
    <v>0</v>
  </rv>
  <rv s="0">
    <fb>91.06</fb>
    <v>0</v>
  </rv>
  <rv s="0">
    <fb>49.45</fb>
    <v>0</v>
  </rv>
  <rv s="0">
    <fb>49.1</fb>
    <v>0</v>
  </rv>
  <rv s="0">
    <fb>47.63</fb>
    <v>0</v>
  </rv>
  <rv s="0">
    <fb>47.8</fb>
    <v>0</v>
  </rv>
  <rv s="0">
    <fb>48.42</fb>
    <v>0</v>
  </rv>
  <rv s="0">
    <fb>48.99</fb>
    <v>0</v>
  </rv>
  <rv s="0">
    <fb>48.75</fb>
    <v>0</v>
  </rv>
  <rv s="0">
    <fb>48.28</fb>
    <v>0</v>
  </rv>
  <rv s="0">
    <fb>48.33</fb>
    <v>0</v>
  </rv>
  <rv s="0">
    <fb>48.21</fb>
    <v>0</v>
  </rv>
  <rv s="0">
    <fb>48.59</fb>
    <v>0</v>
  </rv>
  <rv s="0">
    <fb>48.44</fb>
    <v>0</v>
  </rv>
  <rv s="0">
    <fb>48.49</fb>
    <v>0</v>
  </rv>
  <rv s="0">
    <fb>47.32</fb>
    <v>0</v>
  </rv>
  <rv s="0">
    <fb>47.66</fb>
    <v>0</v>
  </rv>
  <rv s="0">
    <fb>48.25</fb>
    <v>0</v>
  </rv>
  <rv s="0">
    <fb>49.48</fb>
    <v>0</v>
  </rv>
  <rv s="0">
    <fb>49.81</fb>
    <v>0</v>
  </rv>
  <rv s="0">
    <fb>50.23</fb>
    <v>0</v>
  </rv>
  <rv s="0">
    <fb>50.65</fb>
    <v>0</v>
  </rv>
  <rv s="0">
    <fb>50.41</fb>
    <v>0</v>
  </rv>
  <rv s="0">
    <fb>50.7</fb>
    <v>0</v>
  </rv>
  <rv s="0">
    <fb>50.85</fb>
    <v>0</v>
  </rv>
  <rv s="0">
    <fb>51.41</fb>
    <v>0</v>
  </rv>
  <rv s="0">
    <fb>51.32</fb>
    <v>0</v>
  </rv>
  <rv s="0">
    <fb>51.28</fb>
    <v>0</v>
  </rv>
  <rv s="0">
    <fb>51.77</fb>
    <v>0</v>
  </rv>
  <rv s="0">
    <fb>51.26</fb>
    <v>0</v>
  </rv>
  <rv s="0">
    <fb>51.14</fb>
    <v>0</v>
  </rv>
  <rv s="0">
    <fb>52.11</fb>
    <v>0</v>
  </rv>
  <rv s="0">
    <fb>51.82</fb>
    <v>0</v>
  </rv>
  <rv s="0">
    <fb>51.54</fb>
    <v>0</v>
  </rv>
  <rv s="0">
    <fb>51.36</fb>
    <v>0</v>
  </rv>
  <rv s="0">
    <fb>51.7</fb>
    <v>0</v>
  </rv>
  <rv s="0">
    <fb>51.8</fb>
    <v>0</v>
  </rv>
  <rv s="0">
    <fb>51.39</fb>
    <v>0</v>
  </rv>
  <rv s="0">
    <fb>50.75</fb>
    <v>0</v>
  </rv>
  <rv s="0">
    <fb>50.97</fb>
    <v>0</v>
  </rv>
  <rv s="0">
    <fb>50.96</fb>
    <v>0</v>
  </rv>
  <rv s="0">
    <fb>51.13</fb>
    <v>0</v>
  </rv>
  <rv s="0">
    <fb>51.74</fb>
    <v>0</v>
  </rv>
  <rv s="0">
    <fb>49.92</fb>
    <v>0</v>
  </rv>
  <rv s="0">
    <fb>50.21</fb>
    <v>0</v>
  </rv>
  <rv s="0">
    <fb>49.38</fb>
    <v>0</v>
  </rv>
  <rv s="0">
    <fb>49.12</fb>
    <v>0</v>
  </rv>
  <rv s="0">
    <fb>48.02</fb>
    <v>0</v>
  </rv>
  <rv s="0">
    <fb>47.61</fb>
    <v>0</v>
  </rv>
  <rv s="0">
    <fb>47.68</fb>
    <v>0</v>
  </rv>
  <rv s="0">
    <fb>47.42</fb>
    <v>0</v>
  </rv>
  <rv s="0">
    <fb>48.52</fb>
    <v>0</v>
  </rv>
  <rv s="0">
    <fb>49.03</fb>
    <v>0</v>
  </rv>
  <rv s="0">
    <fb>49.64</fb>
    <v>0</v>
  </rv>
  <rv s="0">
    <fb>49.46</fb>
    <v>0</v>
  </rv>
  <rv s="0">
    <fb>49.21</fb>
    <v>0</v>
  </rv>
  <rv s="0">
    <fb>50.16</fb>
    <v>0</v>
  </rv>
  <rv s="0">
    <fb>43.92</fb>
    <v>0</v>
  </rv>
  <rv s="0">
    <fb>47.23</fb>
    <v>0</v>
  </rv>
  <rv s="0">
    <fb>45.91</fb>
    <v>0</v>
  </rv>
  <rv s="0">
    <fb>47.15</fb>
    <v>0</v>
  </rv>
  <rv s="0">
    <fb>47.27</fb>
    <v>0</v>
  </rv>
  <rv s="0">
    <fb>46.53</fb>
    <v>0</v>
  </rv>
  <rv s="0">
    <fb>46.65</fb>
    <v>0</v>
  </rv>
  <rv s="0">
    <fb>45.65</fb>
    <v>0</v>
  </rv>
  <rv s="0">
    <fb>47.16</fb>
    <v>0</v>
  </rv>
  <rv s="0">
    <fb>47.72</fb>
    <v>0</v>
  </rv>
  <rv s="0">
    <fb>48.17</fb>
    <v>0</v>
  </rv>
  <rv s="0">
    <fb>48.67</fb>
    <v>0</v>
  </rv>
  <rv s="0">
    <fb>48.76</fb>
    <v>0</v>
  </rv>
  <rv s="0">
    <fb>49.76</fb>
    <v>0</v>
  </rv>
  <rv s="0">
    <fb>49.44</fb>
    <v>0</v>
  </rv>
  <rv s="0">
    <fb>49.86</fb>
    <v>0</v>
  </rv>
  <rv s="0">
    <fb>50.87</fb>
    <v>0</v>
  </rv>
  <rv s="0">
    <fb>51.08</fb>
    <v>0</v>
  </rv>
  <rv s="0">
    <fb>50.94</fb>
    <v>0</v>
  </rv>
  <rv s="0">
    <fb>51.62</fb>
    <v>0</v>
  </rv>
  <rv s="0">
    <fb>50.05</fb>
    <v>0</v>
  </rv>
  <rv s="0">
    <fb>50.93</fb>
    <v>0</v>
  </rv>
  <rv s="0">
    <fb>50.59</fb>
    <v>0</v>
  </rv>
  <rv s="0">
    <fb>50.98</fb>
    <v>0</v>
  </rv>
  <rv s="0">
    <fb>51</fb>
    <v>0</v>
  </rv>
  <rv s="0">
    <fb>51.06</fb>
    <v>0</v>
  </rv>
  <rv s="0">
    <fb>49.96</fb>
    <v>0</v>
  </rv>
  <rv s="0">
    <fb>50.53</fb>
    <v>0</v>
  </rv>
  <rv s="0">
    <fb>50.24</fb>
    <v>0</v>
  </rv>
  <rv s="0">
    <fb>50.22</fb>
    <v>0</v>
  </rv>
  <rv s="0">
    <fb>51.58</fb>
    <v>0</v>
  </rv>
  <rv s="0">
    <fb>51.79</fb>
    <v>0</v>
  </rv>
  <rv s="0">
    <fb>51.94</fb>
    <v>0</v>
  </rv>
  <rv s="0">
    <fb>52.37</fb>
    <v>0</v>
  </rv>
  <rv s="0">
    <fb>52.62</fb>
    <v>0</v>
  </rv>
  <rv s="0">
    <fb>53.19</fb>
    <v>0</v>
  </rv>
  <rv s="0">
    <fb>52.68</fb>
    <v>0</v>
  </rv>
  <rv s="0">
    <fb>52.21</fb>
    <v>0</v>
  </rv>
  <rv s="0">
    <fb>52.4</fb>
    <v>0</v>
  </rv>
  <rv s="0">
    <fb>52.55</fb>
    <v>0</v>
  </rv>
  <rv s="0">
    <fb>51.65</fb>
    <v>0</v>
  </rv>
  <rv s="0">
    <fb>52.01</fb>
    <v>0</v>
  </rv>
  <rv s="0">
    <fb>52.39</fb>
    <v>0</v>
  </rv>
  <rv s="0">
    <fb>53.44</fb>
    <v>0</v>
  </rv>
  <rv s="0">
    <fb>51.4</fb>
    <v>0</v>
  </rv>
  <rv s="0">
    <fb>51.91</fb>
    <v>0</v>
  </rv>
  <rv s="0">
    <fb>51.95</fb>
    <v>0</v>
  </rv>
  <rv s="0">
    <fb>51.37</fb>
    <v>0</v>
  </rv>
  <rv s="0">
    <fb>51.85</fb>
    <v>0</v>
  </rv>
  <rv s="0">
    <fb>51.83</fb>
    <v>0</v>
  </rv>
  <rv s="0">
    <fb>52.46</fb>
    <v>0</v>
  </rv>
  <rv s="0">
    <fb>52.76</fb>
    <v>0</v>
  </rv>
  <rv s="0">
    <fb>52.5</fb>
    <v>0</v>
  </rv>
  <rv s="0">
    <fb>53.57</fb>
    <v>0</v>
  </rv>
  <rv s="0">
    <fb>53.26</fb>
    <v>0</v>
  </rv>
  <rv s="0">
    <fb>53.67</fb>
    <v>0</v>
  </rv>
  <rv s="0">
    <fb>53.59</fb>
    <v>0</v>
  </rv>
  <rv s="0">
    <fb>53.5</fb>
    <v>0</v>
  </rv>
  <rv s="0">
    <fb>53.34</fb>
    <v>0</v>
  </rv>
  <rv s="0">
    <fb>53.16</fb>
    <v>0</v>
  </rv>
  <rv s="0">
    <fb>54.03</fb>
    <v>0</v>
  </rv>
  <rv s="0">
    <fb>53.56</fb>
    <v>0</v>
  </rv>
  <rv s="0">
    <fb>54.25</fb>
    <v>0</v>
  </rv>
  <rv s="0">
    <fb>54</fb>
    <v>0</v>
  </rv>
  <rv s="0">
    <fb>53.76</fb>
    <v>0</v>
  </rv>
  <rv s="0">
    <fb>53.61</fb>
    <v>0</v>
  </rv>
  <rv s="0">
    <fb>53.47</fb>
    <v>0</v>
  </rv>
  <rv s="0">
    <fb>53.87</fb>
    <v>0</v>
  </rv>
  <rv s="0">
    <fb>53.39</fb>
    <v>0</v>
  </rv>
  <rv s="0">
    <fb>53.35</fb>
    <v>0</v>
  </rv>
  <rv s="0">
    <fb>53.32</fb>
    <v>0</v>
  </rv>
  <rv s="0">
    <fb>53.24</fb>
    <v>0</v>
  </rv>
  <rv s="0">
    <fb>52.79</fb>
    <v>0</v>
  </rv>
  <rv s="0">
    <fb>52.73</fb>
    <v>0</v>
  </rv>
  <rv s="0">
    <fb>52.43</fb>
    <v>0</v>
  </rv>
  <rv s="0">
    <fb>52.09</fb>
    <v>0</v>
  </rv>
  <rv s="0">
    <fb>52.15</fb>
    <v>0</v>
  </rv>
  <rv s="0">
    <fb>52.42</fb>
    <v>0</v>
  </rv>
  <rv s="0">
    <fb>52.78</fb>
    <v>0</v>
  </rv>
  <rv s="0">
    <fb>52.45</fb>
    <v>0</v>
  </rv>
  <rv s="0">
    <fb>51.45</fb>
    <v>0</v>
  </rv>
  <rv s="0">
    <fb>139.31</fb>
    <v>0</v>
  </rv>
  <rv s="0">
    <fb>139.21</fb>
    <v>0</v>
  </rv>
  <rv s="0">
    <fb>137.32</fb>
    <v>0</v>
  </rv>
  <rv s="0">
    <fb>136.28</fb>
    <v>0</v>
  </rv>
  <rv s="0">
    <fb>138</fb>
    <v>0</v>
  </rv>
  <rv s="0">
    <fb>139.32</fb>
    <v>0</v>
  </rv>
  <rv s="0">
    <fb>139.6</fb>
    <v>0</v>
  </rv>
  <rv s="0">
    <fb>138.94999999999999</fb>
    <v>0</v>
  </rv>
  <rv s="0">
    <fb>137.24</fb>
    <v>0</v>
  </rv>
  <rv s="0">
    <fb>137.57</fb>
    <v>0</v>
  </rv>
  <rv s="0">
    <fb>137.61000000000001</fb>
    <v>0</v>
  </rv>
  <rv s="0">
    <fb>138.96</fb>
    <v>0</v>
  </rv>
  <rv s="0">
    <fb>139.02000000000001</fb>
    <v>0</v>
  </rv>
  <rv s="0">
    <fb>139.71</fb>
    <v>0</v>
  </rv>
  <rv s="0">
    <fb>140.43</fb>
    <v>0</v>
  </rv>
  <rv s="0">
    <fb>139.63999999999999</fb>
    <v>0</v>
  </rv>
  <rv s="0">
    <fb>141.46</fb>
    <v>0</v>
  </rv>
  <rv s="0">
    <fb>140</fb>
    <v>0</v>
  </rv>
  <rv s="0">
    <fb>140.57</fb>
    <v>0</v>
  </rv>
  <rv s="0">
    <fb>141.13</fb>
    <v>0</v>
  </rv>
  <rv s="0">
    <fb>140.18</fb>
    <v>0</v>
  </rv>
  <rv s="0">
    <fb>142.5</fb>
    <v>0</v>
  </rv>
  <rv s="0">
    <fb>142.18</fb>
    <v>0</v>
  </rv>
  <rv s="0">
    <fb>144.08000000000001</fb>
    <v>0</v>
  </rv>
  <rv s="0">
    <fb>144.31</fb>
    <v>0</v>
  </rv>
  <rv s="0">
    <fb>146.52000000000001</fb>
    <v>0</v>
  </rv>
  <rv s="0">
    <fb>145.66</fb>
    <v>0</v>
  </rv>
  <rv s="0">
    <fb>147.34</fb>
    <v>0</v>
  </rv>
  <rv s="0">
    <fb>146.87</fb>
    <v>0</v>
  </rv>
  <rv s="0">
    <fb>147.44</fb>
    <v>0</v>
  </rv>
  <rv s="0">
    <fb>147.04</fb>
    <v>0</v>
  </rv>
  <rv s="0">
    <fb>148.44999999999999</fb>
    <v>0</v>
  </rv>
  <rv s="0">
    <fb>147.12</fb>
    <v>0</v>
  </rv>
  <rv s="0">
    <fb>146.43</fb>
    <v>0</v>
  </rv>
  <rv s="0">
    <fb>146.03</fb>
    <v>0</v>
  </rv>
  <rv s="0">
    <fb>145.82</fb>
    <v>0</v>
  </rv>
  <rv s="0">
    <fb>146.38999999999999</fb>
    <v>0</v>
  </rv>
  <rv s="0">
    <fb>144.52000000000001</fb>
    <v>0</v>
  </rv>
  <rv s="0">
    <fb>146.4</fb>
    <v>0</v>
  </rv>
  <rv s="0">
    <fb>147.22</fb>
    <v>0</v>
  </rv>
  <rv s="0">
    <fb>148.88999999999999</fb>
    <v>0</v>
  </rv>
  <rv s="0">
    <fb>147.82</fb>
    <v>0</v>
  </rv>
  <rv s="0">
    <fb>148.93</fb>
    <v>0</v>
  </rv>
  <rv s="0">
    <fb>149.58000000000001</fb>
    <v>0</v>
  </rv>
  <rv s="0">
    <fb>148.19</fb>
    <v>0</v>
  </rv>
  <rv s="0">
    <fb>149.68</fb>
    <v>0</v>
  </rv>
  <rv s="0">
    <fb>149.28</fb>
    <v>0</v>
  </rv>
  <rv s="0">
    <fb>147.66999999999999</fb>
    <v>0</v>
  </rv>
  <rv s="0">
    <fb>146.06</fb>
    <v>0</v>
  </rv>
  <rv s="0">
    <fb>143.83000000000001</fb>
    <v>0</v>
  </rv>
  <rv s="0">
    <fb>146.77000000000001</fb>
    <v>0</v>
  </rv>
  <rv s="0">
    <fb>146.84</fb>
    <v>0</v>
  </rv>
  <rv s="0">
    <fb>146.91999999999999</fb>
    <v>0</v>
  </rv>
  <rv s="0">
    <fb>147.01</fb>
    <v>0</v>
  </rv>
  <rv s="0">
    <fb>147.15</fb>
    <v>0</v>
  </rv>
  <rv s="0">
    <fb>145.27000000000001</fb>
    <v>0</v>
  </rv>
  <rv s="0">
    <fb>144.74</fb>
    <v>0</v>
  </rv>
  <rv s="0">
    <fb>144.97</fb>
    <v>0</v>
  </rv>
  <rv s="0">
    <fb>146.01</fb>
    <v>0</v>
  </rv>
  <rv s="0">
    <fb>143.34</fb>
    <v>0</v>
  </rv>
  <rv s="0">
    <fb>144.30000000000001</fb>
    <v>0</v>
  </rv>
  <rv s="0">
    <fb>143.13</fb>
    <v>0</v>
  </rv>
  <rv s="0">
    <fb>135.28</fb>
    <v>0</v>
  </rv>
  <rv s="0">
    <fb>134.47</fb>
    <v>0</v>
  </rv>
  <rv s="0">
    <fb>132.97999999999999</fb>
    <v>0</v>
  </rv>
  <rv s="0">
    <fb>138.76</fb>
    <v>0</v>
  </rv>
  <rv s="0">
    <fb>134.88999999999999</fb>
    <v>0</v>
  </rv>
  <rv s="0">
    <fb>136.87</fb>
    <v>0</v>
  </rv>
  <rv s="0">
    <fb>138.54</fb>
    <v>0</v>
  </rv>
  <rv s="0">
    <fb>137.69</fb>
    <v>0</v>
  </rv>
  <rv s="0">
    <fb>136.29</fb>
    <v>0</v>
  </rv>
  <rv s="0">
    <fb>135.49</fb>
    <v>0</v>
  </rv>
  <rv s="0">
    <fb>132.57</fb>
    <v>0</v>
  </rv>
  <rv s="0">
    <fb>135.06</fb>
    <v>0</v>
  </rv>
  <rv s="0">
    <fb>135.72999999999999</fb>
    <v>0</v>
  </rv>
  <rv s="0">
    <fb>138.05000000000001</fb>
    <v>0</v>
  </rv>
  <rv s="0">
    <fb>138.6</fb>
    <v>0</v>
  </rv>
  <rv s="0">
    <fb>139.28</fb>
    <v>0</v>
  </rv>
  <rv s="0">
    <fb>140.47</fb>
    <v>0</v>
  </rv>
  <rv s="0">
    <fb>136.63999999999999</fb>
    <v>0</v>
  </rv>
  <rv s="0">
    <fb>138.53</fb>
    <v>0</v>
  </rv>
  <rv s="0">
    <fb>138.13999999999999</fb>
    <v>0</v>
  </rv>
  <rv s="0">
    <fb>134.33000000000001</fb>
    <v>0</v>
  </rv>
  <rv s="0">
    <fb>135.36000000000001</fb>
    <v>0</v>
  </rv>
  <rv s="0">
    <fb>134.13999999999999</fb>
    <v>0</v>
  </rv>
  <rv s="0">
    <fb>132.68</fb>
    <v>0</v>
  </rv>
  <rv s="0">
    <fb>135.96</fb>
    <v>0</v>
  </rv>
  <rv s="0">
    <fb>131.87</fb>
    <v>0</v>
  </rv>
  <rv s="0">
    <fb>130.46</fb>
    <v>0</v>
  </rv>
  <rv s="0">
    <fb>133.09</fb>
    <v>0</v>
  </rv>
  <rv s="0">
    <fb>134.69999999999999</fb>
    <v>0</v>
  </rv>
  <rv s="0">
    <fb>131.58000000000001</fb>
    <v>0</v>
  </rv>
  <rv s="0">
    <fb>130.55000000000001</fb>
    <v>0</v>
  </rv>
  <rv s="0">
    <fb>130.34</fb>
    <v>0</v>
  </rv>
  <rv s="0">
    <fb>132.16</fb>
    <v>0</v>
  </rv>
  <rv s="0">
    <fb>131.47999999999999</fb>
    <v>0</v>
  </rv>
  <rv s="0">
    <fb>132.36000000000001</fb>
    <v>0</v>
  </rv>
  <rv s="0">
    <fb>132.63999999999999</fb>
    <v>0</v>
  </rv>
  <rv s="0">
    <fb>132.72</fb>
    <v>0</v>
  </rv>
  <rv s="0">
    <fb>133.03</fb>
    <v>0</v>
  </rv>
  <rv s="0">
    <fb>133.29</fb>
    <v>0</v>
  </rv>
  <rv s="0">
    <fb>133.11000000000001</fb>
    <v>0</v>
  </rv>
  <rv s="0">
    <fb>134.38</fb>
    <v>0</v>
  </rv>
  <rv s="0">
    <fb>134.15</fb>
    <v>0</v>
  </rv>
  <rv s="0">
    <fb>135.68</fb>
    <v>0</v>
  </rv>
  <rv s="0">
    <fb>135.75</fb>
    <v>0</v>
  </rv>
  <rv s="0">
    <fb>136.81</fb>
    <v>0</v>
  </rv>
  <rv s="0">
    <fb>136.13</fb>
    <v>0</v>
  </rv>
  <rv s="0">
    <fb>135.71</fb>
    <v>0</v>
  </rv>
  <rv s="0">
    <fb>133.47</fb>
    <v>0</v>
  </rv>
  <rv s="0">
    <fb>133.24</fb>
    <v>0</v>
  </rv>
  <rv s="0">
    <fb>132.6</fb>
    <v>0</v>
  </rv>
  <rv s="0">
    <fb>133.78</fb>
    <v>0</v>
  </rv>
  <rv s="0">
    <fb>133.9</fb>
    <v>0</v>
  </rv>
  <rv s="0">
    <fb>134.79</fb>
    <v>0</v>
  </rv>
  <rv s="0">
    <fb>136.71</fb>
    <v>0</v>
  </rv>
  <rv s="0">
    <fb>135.5</fb>
    <v>0</v>
  </rv>
  <rv s="0">
    <fb>134.36000000000001</fb>
    <v>0</v>
  </rv>
  <rv s="0">
    <fb>134.97</fb>
    <v>0</v>
  </rv>
  <rv s="0">
    <fb>136.32</fb>
    <v>0</v>
  </rv>
  <rv s="0">
    <fb>135.19</fb>
    <v>0</v>
  </rv>
  <rv s="0">
    <fb>135.03</fb>
    <v>0</v>
  </rv>
  <rv s="0">
    <fb>134.25</fb>
    <v>0</v>
  </rv>
  <rv s="0">
    <fb>131.09</fb>
    <v>0</v>
  </rv>
  <rv s="0">
    <fb>133.53</fb>
    <v>0</v>
  </rv>
  <rv s="0">
    <fb>136.27000000000001</fb>
    <v>0</v>
  </rv>
  <rv s="0">
    <fb>135.76</fb>
    <v>0</v>
  </rv>
  <rv s="0">
    <fb>135.29</fb>
    <v>0</v>
  </rv>
  <rv s="0">
    <fb>134.43</fb>
    <v>0</v>
  </rv>
  <rv s="0">
    <fb>134.19</fb>
    <v>0</v>
  </rv>
  <rv s="0">
    <fb>130.43</fb>
    <v>0</v>
  </rv>
  <rv s="0">
    <fb>131.13</fb>
    <v>0</v>
  </rv>
  <rv s="0">
    <fb>132.5</fb>
    <v>0</v>
  </rv>
  <rv s="0">
    <fb>130.51</fb>
    <v>0</v>
  </rv>
  <rv s="0">
    <fb>129.01</fb>
    <v>0</v>
  </rv>
  <rv s="0">
    <fb>130.16</fb>
    <v>0</v>
  </rv>
  <rv s="0">
    <fb>130.29</fb>
    <v>0</v>
  </rv>
  <rv s="0">
    <fb>131.19</fb>
    <v>0</v>
  </rv>
  <rv s="0">
    <fb>133.96</fb>
    <v>0</v>
  </rv>
  <rv s="0">
    <fb>136.21</fb>
    <v>0</v>
  </rv>
  <rv s="0">
    <fb>135.88999999999999</fb>
    <v>0</v>
  </rv>
  <rv s="0">
    <fb>136.76</fb>
    <v>0</v>
  </rv>
  <rv s="0">
    <fb>137.5</fb>
    <v>0</v>
  </rv>
  <rv s="0">
    <fb>137.04</fb>
    <v>0</v>
  </rv>
  <rv s="0">
    <fb>138.16999999999999</fb>
    <v>0</v>
  </rv>
  <rv s="0">
    <fb>136.19999999999999</fb>
    <v>0</v>
  </rv>
  <rv s="0">
    <fb>137.05000000000001</fb>
    <v>0</v>
  </rv>
  <rv s="0">
    <fb>136.97</fb>
    <v>0</v>
  </rv>
  <rv s="0">
    <fb>136.43</fb>
    <v>0</v>
  </rv>
  <rv s="0">
    <fb>137.43</fb>
    <v>0</v>
  </rv>
  <rv s="0">
    <fb>137.56</fb>
    <v>0</v>
  </rv>
  <rv s="0">
    <fb>136.91</fb>
    <v>0</v>
  </rv>
  <rv s="0">
    <fb>137.9</fb>
    <v>0</v>
  </rv>
  <rv s="0">
    <fb>137.85</fb>
    <v>0</v>
  </rv>
  <rv s="0">
    <fb>138.59</fb>
    <v>0</v>
  </rv>
  <rv s="0">
    <fb>137.33000000000001</fb>
    <v>0</v>
  </rv>
  <rv s="0">
    <fb>139.72</fb>
    <v>0</v>
  </rv>
  <rv s="0">
    <fb>138.11000000000001</fb>
    <v>0</v>
  </rv>
  <rv s="0">
    <fb>136.93</fb>
    <v>0</v>
  </rv>
  <rv s="0">
    <fb>137.19999999999999</fb>
    <v>0</v>
  </rv>
  <rv s="0">
    <fb>137.47</fb>
    <v>0</v>
  </rv>
  <rv s="0">
    <fb>137.29</fb>
    <v>0</v>
  </rv>
  <rv s="0">
    <fb>136.63</fb>
    <v>0</v>
  </rv>
  <rv s="0">
    <fb>136.94</fb>
    <v>0</v>
  </rv>
  <rv s="0">
    <fb>136.38999999999999</fb>
    <v>0</v>
  </rv>
  <rv s="0">
    <fb>135.9</fb>
    <v>0</v>
  </rv>
  <rv s="0">
    <fb>139.16999999999999</fb>
    <v>0</v>
  </rv>
  <rv s="0">
    <fb>143.47</fb>
    <v>0</v>
  </rv>
  <rv s="0">
    <fb>143.19</fb>
    <v>0</v>
  </rv>
  <rv s="0">
    <fb>144.82</fb>
    <v>0</v>
  </rv>
  <rv s="0">
    <fb>144.12</fb>
    <v>0</v>
  </rv>
  <rv s="0">
    <fb>144.22999999999999</fb>
    <v>0</v>
  </rv>
  <rv s="0">
    <fb>144.51</fb>
    <v>0</v>
  </rv>
  <rv s="0">
    <fb>144.19</fb>
    <v>0</v>
  </rv>
  <rv s="0">
    <fb>142.11000000000001</fb>
    <v>0</v>
  </rv>
  <rv s="0">
    <fb>141.94999999999999</fb>
    <v>0</v>
  </rv>
  <rv s="0">
    <fb>142.34</fb>
    <v>0</v>
  </rv>
  <rv s="0">
    <fb>142.32</fb>
    <v>0</v>
  </rv>
  <rv s="0">
    <fb>143.27000000000001</fb>
    <v>0</v>
  </rv>
  <rv s="0">
    <fb>144.79</fb>
    <v>0</v>
  </rv>
  <rv s="0">
    <fb>145.13</fb>
    <v>0</v>
  </rv>
  <rv s="0">
    <fb>145.96</fb>
    <v>0</v>
  </rv>
  <rv s="0">
    <fb>146.04</fb>
    <v>0</v>
  </rv>
  <rv s="0">
    <fb>146.37</fb>
    <v>0</v>
  </rv>
  <rv s="0">
    <fb>145.44999999999999</fb>
    <v>0</v>
  </rv>
  <rv s="0">
    <fb>143.97999999999999</fb>
    <v>0</v>
  </rv>
  <rv s="0">
    <fb>144.25</fb>
    <v>0</v>
  </rv>
  <rv s="0">
    <fb>144.44999999999999</fb>
    <v>0</v>
  </rv>
  <rv s="0">
    <fb>145.1</fb>
    <v>0</v>
  </rv>
  <rv s="0">
    <fb>145.94</fb>
    <v>0</v>
  </rv>
  <rv s="0">
    <fb>146.13999999999999</fb>
    <v>0</v>
  </rv>
  <rv s="0">
    <fb>147.28</fb>
    <v>0</v>
  </rv>
  <rv s="0">
    <fb>150.68</fb>
    <v>0</v>
  </rv>
  <rv s="0">
    <fb>152.82</fb>
    <v>0</v>
  </rv>
  <rv s="0">
    <fb>152.74</fb>
    <v>0</v>
  </rv>
  <rv s="0">
    <fb>151.83000000000001</fb>
    <v>0</v>
  </rv>
  <rv s="0">
    <fb>151.69999999999999</fb>
    <v>0</v>
  </rv>
  <rv s="0">
    <fb>152.59</fb>
    <v>0</v>
  </rv>
  <rv s="0">
    <fb>137.55000000000001</fb>
    <v>0</v>
  </rv>
  <rv s="0">
    <fb>132.44</fb>
    <v>0</v>
  </rv>
  <rv s="0">
    <fb>132.27000000000001</fb>
    <v>0</v>
  </rv>
  <rv s="0">
    <fb>133.82</fb>
    <v>0</v>
  </rv>
  <rv s="0">
    <fb>133.12</fb>
    <v>0</v>
  </rv>
  <rv s="0">
    <fb>134.16</fb>
    <v>0</v>
  </rv>
  <rv s="0">
    <fb>134.26</fb>
    <v>0</v>
  </rv>
  <rv s="0">
    <fb>133.26</fb>
    <v>0</v>
  </rv>
  <rv s="0">
    <fb>131.91999999999999</fb>
    <v>0</v>
  </rv>
  <rv s="0">
    <fb>131.76</fb>
    <v>0</v>
  </rv>
  <rv s="0">
    <fb>131.30000000000001</fb>
    <v>0</v>
  </rv>
  <rv s="0">
    <fb>132.30000000000001</fb>
    <v>0</v>
  </rv>
  <rv s="0">
    <fb>132.82</fb>
    <v>0</v>
  </rv>
  <rv s="0">
    <fb>131.33000000000001</fb>
    <v>0</v>
  </rv>
  <rv s="0">
    <fb>132.87</fb>
    <v>0</v>
  </rv>
  <rv s="0">
    <fb>137.75</fb>
    <v>0</v>
  </rv>
  <rv s="0">
    <fb>140.58000000000001</fb>
    <v>0</v>
  </rv>
  <rv s="0">
    <fb>140.25</fb>
    <v>0</v>
  </rv>
  <rv s="0">
    <fb>141.66999999999999</fb>
    <v>0</v>
  </rv>
  <rv s="0">
    <fb>141.07</fb>
    <v>0</v>
  </rv>
  <rv s="0">
    <fb>139.18</fb>
    <v>0</v>
  </rv>
  <rv s="0">
    <fb>138.26</fb>
    <v>0</v>
  </rv>
  <rv s="0">
    <fb>137.79</fb>
    <v>0</v>
  </rv>
  <rv s="0">
    <fb>138.35</fb>
    <v>0</v>
  </rv>
  <rv s="0">
    <fb>136.97999999999999</fb>
    <v>0</v>
  </rv>
  <rv s="0">
    <fb>137.02000000000001</fb>
    <v>0</v>
  </rv>
  <rv s="0">
    <fb>137.12</fb>
    <v>0</v>
  </rv>
  <rv s="0">
    <fb>137.74</fb>
    <v>0</v>
  </rv>
  <rv s="0">
    <fb>138.56</fb>
    <v>0</v>
  </rv>
  <rv s="0">
    <fb>138.61000000000001</fb>
    <v>0</v>
  </rv>
  <rv s="0">
    <fb>137.88999999999999</fb>
    <v>0</v>
  </rv>
  <rv s="0">
    <fb>138.63</fb>
    <v>0</v>
  </rv>
  <rv s="0">
    <fb>138.77000000000001</fb>
    <v>0</v>
  </rv>
  <rv s="0">
    <fb>137.86000000000001</fb>
    <v>0</v>
  </rv>
  <rv s="0">
    <fb>134.84</fb>
    <v>0</v>
  </rv>
  <rv s="0">
    <fb>134.22999999999999</fb>
    <v>0</v>
  </rv>
  <rv s="0">
    <fb>134.91999999999999</fb>
    <v>0</v>
  </rv>
  <rv s="0">
    <fb>135</fb>
    <v>0</v>
  </rv>
  <rv s="0">
    <fb>134.53</fb>
    <v>0</v>
  </rv>
  <rv s="0">
    <fb>136.33000000000001</fb>
    <v>0</v>
  </rv>
  <rv s="0">
    <fb>133.85</fb>
    <v>0</v>
  </rv>
  <rv s="0">
    <fb>132.69999999999999</fb>
    <v>0</v>
  </rv>
  <rv s="0">
    <fb>132.15</fb>
    <v>0</v>
  </rv>
  <rv s="0">
    <fb>130.12</fb>
    <v>0</v>
  </rv>
  <rv s="0">
    <fb>130.11000000000001</fb>
    <v>0</v>
  </rv>
  <rv s="0">
    <fb>128.78</fb>
    <v>0</v>
  </rv>
  <rv s="0">
    <fb>132.94</fb>
    <v>0</v>
  </rv>
  <rv s="0">
    <fb>133.63</fb>
    <v>0</v>
  </rv>
  <rv s="0">
    <fb>132.96</fb>
    <v>0</v>
  </rv>
  <rv s="0">
    <fb>132.25</fb>
    <v>0</v>
  </rv>
  <rv s="0">
    <fb>134.29</fb>
    <v>0</v>
  </rv>
  <rv s="0">
    <fb>134.49</fb>
    <v>0</v>
  </rv>
  <rv s="0">
    <fb>133.6</fb>
    <v>0</v>
  </rv>
  <rv s="0">
    <fb>132.88999999999999</fb>
    <v>0</v>
  </rv>
  <rv s="0">
    <fb>130.15</fb>
    <v>0</v>
  </rv>
  <rv s="0">
    <fb>131.81</fb>
    <v>0</v>
  </rv>
  <rv s="0">
    <fb>125.85</fb>
    <v>0</v>
  </rv>
  <rv s="0">
    <fb>117.94</fb>
    <v>0</v>
  </rv>
  <rv s="0">
    <fb>117.39</fb>
    <v>0</v>
  </rv>
  <rv s="0">
    <fb>116.42</fb>
    <v>0</v>
  </rv>
  <rv s="0">
    <fb>126.76</fb>
    <v>0</v>
  </rv>
  <rv s="0">
    <fb>123.49</fb>
    <v>0</v>
  </rv>
  <rv s="0">
    <fb>126.98</fb>
    <v>0</v>
  </rv>
  <rv s="0">
    <fb>126.35</fb>
    <v>0</v>
  </rv>
  <rv s="0">
    <fb>124.62</fb>
    <v>0</v>
  </rv>
  <rv s="0">
    <fb>125.3</fb>
    <v>0</v>
  </rv>
  <rv s="0">
    <fb>122.49</fb>
    <v>0</v>
  </rv>
  <rv s="0">
    <fb>124.63</fb>
    <v>0</v>
  </rv>
  <rv s="0">
    <fb>126.19</fb>
    <v>0</v>
  </rv>
  <rv s="0">
    <fb>129.02000000000001</fb>
    <v>0</v>
  </rv>
  <rv s="0">
    <fb>129.44</fb>
    <v>0</v>
  </rv>
  <rv s="0">
    <fb>130.28</fb>
    <v>0</v>
  </rv>
  <rv s="0">
    <fb>131.22</fb>
    <v>0</v>
  </rv>
  <rv s="0">
    <fb>132.21</fb>
    <v>0</v>
  </rv>
  <rv s="0">
    <fb>134.58000000000001</fb>
    <v>0</v>
  </rv>
  <rv s="0">
    <fb>134.65</fb>
    <v>0</v>
  </rv>
  <rv s="0">
    <fb>136</fb>
    <v>0</v>
  </rv>
  <rv s="0">
    <fb>136.11000000000001</fb>
    <v>0</v>
  </rv>
  <rv s="0">
    <fb>140.30000000000001</fb>
    <v>0</v>
  </rv>
  <rv s="0">
    <fb>141.28</fb>
    <v>0</v>
  </rv>
  <rv s="0">
    <fb>140.6</fb>
    <v>0</v>
  </rv>
  <rv s="0">
    <fb>142.16</fb>
    <v>0</v>
  </rv>
  <rv s="0">
    <fb>143.78</fb>
    <v>0</v>
  </rv>
  <rv s="0">
    <fb>144.27000000000001</fb>
    <v>0</v>
  </rv>
  <rv s="0">
    <fb>143.75</fb>
    <v>0</v>
  </rv>
  <rv s="0">
    <fb>141.32</fb>
    <v>0</v>
  </rv>
  <rv s="0">
    <fb>141.29</fb>
    <v>0</v>
  </rv>
  <rv s="0">
    <fb>140.83000000000001</fb>
    <v>0</v>
  </rv>
  <rv s="0">
    <fb>142.6</fb>
    <v>0</v>
  </rv>
  <rv s="0">
    <fb>142.72999999999999</fb>
    <v>0</v>
  </rv>
  <rv s="0">
    <fb>142.82</fb>
    <v>0</v>
  </rv>
  <rv s="0">
    <fb>142.63999999999999</fb>
    <v>0</v>
  </rv>
  <rv s="0">
    <fb>143.74</fb>
    <v>0</v>
  </rv>
  <rv s="0">
    <fb>143.82</fb>
    <v>0</v>
  </rv>
  <rv s="0">
    <fb>143.72</fb>
    <v>0</v>
  </rv>
  <rv s="0">
    <fb>144.16999999999999</fb>
    <v>0</v>
  </rv>
  <rv s="0">
    <fb>144.24</fb>
    <v>0</v>
  </rv>
  <rv s="0">
    <fb>143.86000000000001</fb>
    <v>0</v>
  </rv>
  <rv s="0">
    <fb>142.65</fb>
    <v>0</v>
  </rv>
  <rv s="0">
    <fb>143.63</fb>
    <v>0</v>
  </rv>
  <rv s="0">
    <fb>142.55000000000001</fb>
    <v>0</v>
  </rv>
  <rv s="0">
    <fb>142.21</fb>
    <v>0</v>
  </rv>
  <rv s="0">
    <fb>142.37</fb>
    <v>0</v>
  </rv>
  <rv s="0">
    <fb>145.06</fb>
    <v>0</v>
  </rv>
  <rv s="0">
    <fb>145.34</fb>
    <v>0</v>
  </rv>
  <rv s="0">
    <fb>147.52000000000001</fb>
    <v>0</v>
  </rv>
  <rv s="0">
    <fb>148.01</fb>
    <v>0</v>
  </rv>
  <rv s="0">
    <fb>148.16</fb>
    <v>0</v>
  </rv>
  <rv s="0">
    <fb>148.9</fb>
    <v>0</v>
  </rv>
  <rv s="0">
    <fb>148.86000000000001</fb>
    <v>0</v>
  </rv>
  <rv s="0">
    <fb>149.9</fb>
    <v>0</v>
  </rv>
  <rv s="0">
    <fb>150.74</fb>
    <v>0</v>
  </rv>
  <rv s="0">
    <fb>150.19999999999999</fb>
    <v>0</v>
  </rv>
  <rv s="0">
    <fb>151.01</fb>
    <v>0</v>
  </rv>
  <rv s="0">
    <fb>149.88</fb>
    <v>0</v>
  </rv>
  <rv s="0">
    <fb>150.41</fb>
    <v>0</v>
  </rv>
  <rv s="0">
    <fb>151.80000000000001</fb>
    <v>0</v>
  </rv>
  <rv s="0">
    <fb>151.46</fb>
    <v>0</v>
  </rv>
  <rv s="0">
    <fb>150.66</fb>
    <v>0</v>
  </rv>
  <rv s="0">
    <fb>153.72999999999999</fb>
    <v>0</v>
  </rv>
  <rv s="0">
    <fb>154.99</fb>
    <v>0</v>
  </rv>
  <rv s="0">
    <fb>154.51</fb>
    <v>0</v>
  </rv>
  <rv s="0">
    <fb>152.01</fb>
    <v>0</v>
  </rv>
  <rv s="0">
    <fb>149.74</fb>
    <v>0</v>
  </rv>
  <rv s="0">
    <fb>151.12</fb>
    <v>0</v>
  </rv>
  <rv s="0">
    <fb>150.81</fb>
    <v>0</v>
  </rv>
  <rv s="0">
    <fb>150.93</fb>
    <v>0</v>
  </rv>
  <rv s="0">
    <fb>150.34</fb>
    <v>0</v>
  </rv>
  <rv s="0">
    <fb>151.9</fb>
    <v>0</v>
  </rv>
  <rv s="0">
    <fb>152.47999999999999</fb>
    <v>0</v>
  </rv>
  <rv s="0">
    <fb>151.13</fb>
    <v>0</v>
  </rv>
  <rv s="0">
    <fb>150.44</fb>
    <v>0</v>
  </rv>
  <rv s="0">
    <fb>151.03</fb>
    <v>0</v>
  </rv>
  <rv s="0">
    <fb>151.36000000000001</fb>
    <v>0</v>
  </rv>
  <rv s="0">
    <fb>153.13999999999999</fb>
    <v>0</v>
  </rv>
  <rv s="0">
    <fb>151.61000000000001</fb>
    <v>0</v>
  </rv>
  <rv s="0">
    <fb>153.15</fb>
    <v>0</v>
  </rv>
  <rv s="0">
    <fb>153.41999999999999</fb>
    <v>0</v>
  </rv>
  <rv s="0">
    <fb>150.56</fb>
    <v>0</v>
  </rv>
  <rv s="0">
    <fb>149.80000000000001</fb>
    <v>0</v>
  </rv>
  <rv s="0">
    <fb>151.49</fb>
    <v>0</v>
  </rv>
  <rv s="0">
    <fb>151.27000000000001</fb>
    <v>0</v>
  </rv>
  <rv s="0">
    <fb>150.25</fb>
    <v>0</v>
  </rv>
  <rv s="0">
    <fb>151.58000000000001</fb>
    <v>0</v>
  </rv>
  <rv s="0">
    <fb>152.28</fb>
    <v>0</v>
  </rv>
  <rv s="0">
    <fb>151.13999999999999</fb>
    <v>0</v>
  </rv>
  <rv s="0">
    <fb>153</fb>
    <v>0</v>
  </rv>
  <rv s="0">
    <fb>153.04</fb>
    <v>0</v>
  </rv>
  <rv s="0">
    <fb>152.25</fb>
    <v>0</v>
  </rv>
  <rv s="0">
    <fb>152.58000000000001</fb>
    <v>0</v>
  </rv>
  <rv s="0">
    <fb>153.05000000000001</fb>
    <v>0</v>
  </rv>
  <rv s="0">
    <fb>154.22999999999999</fb>
    <v>0</v>
  </rv>
  <rv s="0">
    <fb>153.80000000000001</fb>
    <v>0</v>
  </rv>
  <rv s="0">
    <fb>154.41</fb>
    <v>0</v>
  </rv>
  <rv s="0">
    <fb>154.25</fb>
    <v>0</v>
  </rv>
  <rv s="0">
    <fb>155.59</fb>
    <v>0</v>
  </rv>
  <rv s="0">
    <fb>153.29</fb>
    <v>0</v>
  </rv>
  <rv s="0">
    <fb>153.24</fb>
    <v>0</v>
  </rv>
  <rv s="0">
    <fb>152.6</fb>
    <v>0</v>
  </rv>
  <rv s="0">
    <fb>151.6</fb>
    <v>0</v>
  </rv>
  <rv s="0">
    <fb>151.72999999999999</fb>
    <v>0</v>
  </rv>
  <rv s="0">
    <fb>153.52000000000001</fb>
    <v>0</v>
  </rv>
  <rv s="0">
    <fb>154.88</fb>
    <v>0</v>
  </rv>
  <rv s="0">
    <fb>152.87</fb>
    <v>0</v>
  </rv>
  <rv s="0">
    <fb>154.78</fb>
    <v>0</v>
  </rv>
  <rv s="0">
    <fb>154.91</fb>
    <v>0</v>
  </rv>
  <rv s="0">
    <fb>155.79</fb>
    <v>0</v>
  </rv>
  <rv s="0">
    <fb>154.68</fb>
    <v>0</v>
  </rv>
  <rv s="0">
    <fb>154.69</fb>
    <v>0</v>
  </rv>
  <rv s="0">
    <fb>155.06</fb>
    <v>0</v>
  </rv>
  <rv s="0">
    <fb>154.4</fb>
    <v>0</v>
  </rv>
  <rv s="0">
    <fb>152.61000000000001</fb>
    <v>0</v>
  </rv>
  <rv s="0">
    <fb>153.19999999999999</fb>
    <v>0</v>
  </rv>
  <rv s="0">
    <fb>153.33000000000001</fb>
    <v>0</v>
  </rv>
  <rv s="0">
    <fb>154.24</fb>
    <v>0</v>
  </rv>
  <rv s="0">
    <fb>150.52000000000001</fb>
    <v>0</v>
  </rv>
  <rv s="0">
    <fb>149.85</fb>
    <v>0</v>
  </rv>
  <rv s="0">
    <fb>87.95</fb>
    <v>0</v>
  </rv>
  <rv s="0">
    <fb>85.45</fb>
    <v>0</v>
  </rv>
  <rv s="0">
    <fb>84.53</fb>
    <v>0</v>
  </rv>
  <rv s="0">
    <fb>85.58</fb>
    <v>0</v>
  </rv>
  <rv s="0">
    <fb>85.53</fb>
    <v>0</v>
  </rv>
  <rv s="0">
    <fb>84.94</fb>
    <v>0</v>
  </rv>
  <rv s="0">
    <fb>83.8</fb>
    <v>0</v>
  </rv>
  <rv s="0">
    <fb>83.21</fb>
    <v>0</v>
  </rv>
  <rv s="0">
    <fb>83.75</fb>
    <v>0</v>
  </rv>
  <rv s="0">
    <fb>84.16</fb>
    <v>0</v>
  </rv>
  <rv s="0">
    <fb>83.3</fb>
    <v>0</v>
  </rv>
  <rv s="0">
    <fb>86.22</fb>
    <v>0</v>
  </rv>
  <rv s="0">
    <fb>87.04</fb>
    <v>0</v>
  </rv>
  <rv s="0">
    <fb>88.33</fb>
    <v>0</v>
  </rv>
  <rv s="0">
    <fb>89.46</fb>
    <v>0</v>
  </rv>
  <rv s="0">
    <fb>88.74</fb>
    <v>0</v>
  </rv>
  <rv s="0">
    <fb>89</fb>
    <v>0</v>
  </rv>
  <rv s="0">
    <fb>89.44</fb>
    <v>0</v>
  </rv>
  <rv s="0">
    <fb>89.14</fb>
    <v>0</v>
  </rv>
  <rv s="0">
    <fb>89.38</fb>
    <v>0</v>
  </rv>
  <rv s="0">
    <fb>88.29</fb>
    <v>0</v>
  </rv>
  <rv s="0">
    <fb>89.26</fb>
    <v>0</v>
  </rv>
  <rv s="0">
    <fb>88.62</fb>
    <v>0</v>
  </rv>
  <rv s="0">
    <fb>90.99</fb>
    <v>0</v>
  </rv>
  <rv s="0">
    <fb>89.92</fb>
    <v>0</v>
  </rv>
  <rv s="0">
    <fb>86.98</fb>
    <v>0</v>
  </rv>
  <rv s="0">
    <fb>88.04</fb>
    <v>0</v>
  </rv>
  <rv s="0">
    <fb>85.99</fb>
    <v>0</v>
  </rv>
  <rv s="0">
    <fb>87.06</fb>
    <v>0</v>
  </rv>
  <rv s="0">
    <fb>86.91</fb>
    <v>0</v>
  </rv>
  <rv s="0">
    <fb>87.2</fb>
    <v>0</v>
  </rv>
  <rv s="0">
    <fb>86.65</fb>
    <v>0</v>
  </rv>
  <rv s="0">
    <fb>86.54</fb>
    <v>0</v>
  </rv>
  <rv s="0">
    <fb>86.68</fb>
    <v>0</v>
  </rv>
  <rv s="0">
    <fb>86.64</fb>
    <v>0</v>
  </rv>
  <rv s="0">
    <fb>86.3</fb>
    <v>0</v>
  </rv>
  <rv s="0">
    <fb>87.01</fb>
    <v>0</v>
  </rv>
  <rv s="0">
    <fb>77.88</fb>
    <v>0</v>
  </rv>
  <rv s="0">
    <fb>76.63</fb>
    <v>0</v>
  </rv>
  <rv s="0">
    <fb>74.27</fb>
    <v>0</v>
  </rv>
  <rv s="0">
    <fb>80.760000000000005</fb>
    <v>0</v>
  </rv>
  <rv s="0">
    <fb>80.83</fb>
    <v>0</v>
  </rv>
  <rv s="0">
    <fb>80.2</fb>
    <v>0</v>
  </rv>
  <rv s="0">
    <fb>80.75</fb>
    <v>0</v>
  </rv>
  <rv s="0">
    <fb>79.52</fb>
    <v>0</v>
  </rv>
  <rv s="0">
    <fb>83.24</fb>
    <v>0</v>
  </rv>
  <rv s="0">
    <fb>82.62</fb>
    <v>0</v>
  </rv>
  <rv s="0">
    <fb>83.46</fb>
    <v>0</v>
  </rv>
  <rv s="0">
    <fb>83.89</fb>
    <v>0</v>
  </rv>
  <rv s="0">
    <fb>84.3</fb>
    <v>0</v>
  </rv>
  <rv s="0">
    <fb>83.69</fb>
    <v>0</v>
  </rv>
  <rv s="0">
    <fb>84.34</fb>
    <v>0</v>
  </rv>
  <rv s="0">
    <fb>86.09</fb>
    <v>0</v>
  </rv>
  <rv s="0">
    <fb>86.17</fb>
    <v>0</v>
  </rv>
  <rv s="0">
    <fb>87.27</fb>
    <v>0</v>
  </rv>
  <rv s="0">
    <fb>87.12</fb>
    <v>0</v>
  </rv>
  <rv s="0">
    <fb>85.87</fb>
    <v>0</v>
  </rv>
  <rv s="0">
    <fb>86.01</fb>
    <v>0</v>
  </rv>
  <rv s="0">
    <fb>86.85</fb>
    <v>0</v>
  </rv>
  <rv s="0">
    <fb>87.74</fb>
    <v>0</v>
  </rv>
  <rv s="0">
    <fb>88.41</fb>
    <v>0</v>
  </rv>
  <rv s="0">
    <fb>88.12</fb>
    <v>0</v>
  </rv>
  <rv s="0">
    <fb>86.42</fb>
    <v>0</v>
  </rv>
  <rv s="0">
    <fb>86.94</fb>
    <v>0</v>
  </rv>
  <rv s="0">
    <fb>87.66</fb>
    <v>0</v>
  </rv>
  <rv s="0">
    <fb>86.82</fb>
    <v>0</v>
  </rv>
  <rv s="0">
    <fb>90.08</fb>
    <v>0</v>
  </rv>
  <rv s="0">
    <fb>91.43</fb>
    <v>0</v>
  </rv>
  <rv s="0">
    <fb>91.37</fb>
    <v>0</v>
  </rv>
  <rv s="0">
    <fb>90.49</fb>
    <v>0</v>
  </rv>
  <rv s="0">
    <fb>91.23</fb>
    <v>0</v>
  </rv>
  <rv s="0">
    <fb>92.27</fb>
    <v>0</v>
  </rv>
  <rv s="0">
    <fb>91.52</fb>
    <v>0</v>
  </rv>
  <rv s="0">
    <fb>91.01</fb>
    <v>0</v>
  </rv>
  <rv s="0">
    <fb>90.68</fb>
    <v>0</v>
  </rv>
  <rv s="0">
    <fb>92.24</fb>
    <v>0</v>
  </rv>
  <rv s="0">
    <fb>91.29</fb>
    <v>0</v>
  </rv>
  <rv s="0">
    <fb>92.37</fb>
    <v>0</v>
  </rv>
  <rv s="0">
    <fb>91.03</fb>
    <v>0</v>
  </rv>
  <rv s="0">
    <fb>87.73</fb>
    <v>0</v>
  </rv>
  <rv s="0">
    <fb>86.72</fb>
    <v>0</v>
  </rv>
  <rv s="0">
    <fb>87.87</fb>
    <v>0</v>
  </rv>
  <rv s="0">
    <fb>87.53</fb>
    <v>0</v>
  </rv>
  <rv s="0">
    <fb>87.91</fb>
    <v>0</v>
  </rv>
  <rv s="0">
    <fb>88.35</fb>
    <v>0</v>
  </rv>
  <rv s="0">
    <fb>89.3</fb>
    <v>0</v>
  </rv>
  <rv s="0">
    <fb>90.98</fb>
    <v>0</v>
  </rv>
  <rv s="0">
    <fb>89.51</fb>
    <v>0</v>
  </rv>
  <rv s="0">
    <fb>90.05</fb>
    <v>0</v>
  </rv>
  <rv s="0">
    <fb>90.12</fb>
    <v>0</v>
  </rv>
  <rv s="0">
    <fb>92.18</fb>
    <v>0</v>
  </rv>
  <rv s="0">
    <fb>91.67</fb>
    <v>0</v>
  </rv>
  <rv s="0">
    <fb>91.92</fb>
    <v>0</v>
  </rv>
  <rv s="0">
    <fb>92.15</fb>
    <v>0</v>
  </rv>
  <rv s="0">
    <fb>92.28</fb>
    <v>0</v>
  </rv>
  <rv s="0">
    <fb>91.59</fb>
    <v>0</v>
  </rv>
  <rv s="0">
    <fb>90.97</fb>
    <v>0</v>
  </rv>
  <rv s="0">
    <fb>91.96</fb>
    <v>0</v>
  </rv>
  <rv s="0">
    <fb>92.04</fb>
    <v>0</v>
  </rv>
  <rv s="0">
    <fb>90.54</fb>
    <v>0</v>
  </rv>
  <rv s="0">
    <fb>90.71</fb>
    <v>0</v>
  </rv>
  <rv s="0">
    <fb>92.61</fb>
    <v>0</v>
  </rv>
  <rv s="0">
    <fb>91.68</fb>
    <v>0</v>
  </rv>
  <rv s="0">
    <fb>90.94</fb>
    <v>0</v>
  </rv>
  <rv s="0">
    <fb>90.66</fb>
    <v>0</v>
  </rv>
  <rv s="0">
    <fb>90.83</fb>
    <v>0</v>
  </rv>
  <rv s="0">
    <fb>90.37</fb>
    <v>0</v>
  </rv>
  <rv s="0">
    <fb>88.84</fb>
    <v>0</v>
  </rv>
  <rv s="0">
    <fb>89.62</fb>
    <v>0</v>
  </rv>
  <rv s="0">
    <fb>89.86</fb>
    <v>0</v>
  </rv>
  <rv s="0">
    <fb>88.67</fb>
    <v>0</v>
  </rv>
  <rv s="0">
    <fb>88.71</fb>
    <v>0</v>
  </rv>
  <rv s="0">
    <fb>88.05</fb>
    <v>0</v>
  </rv>
  <rv s="0">
    <fb>88.32</fb>
    <v>0</v>
  </rv>
  <rv s="0">
    <fb>85.14</fb>
    <v>0</v>
  </rv>
  <rv s="0">
    <fb>84.8</fb>
    <v>0</v>
  </rv>
  <rv s="0">
    <fb>85.82</fb>
    <v>0</v>
  </rv>
  <rv s="0">
    <fb>86.63</fb>
    <v>0</v>
  </rv>
  <rv s="0">
    <fb>87.57</fb>
    <v>0</v>
  </rv>
  <rv s="0">
    <fb>86.77</fb>
    <v>0</v>
  </rv>
  <rv s="0">
    <fb>85.52</fb>
    <v>0</v>
  </rv>
  <rv s="0">
    <fb>42.61</fb>
    <v>0</v>
  </rv>
  <rv s="0">
    <fb>42.42</fb>
    <v>0</v>
  </rv>
  <rv s="0">
    <fb>40.76</fb>
    <v>0</v>
  </rv>
  <rv s="0">
    <fb>40.06</fb>
    <v>0</v>
  </rv>
  <rv s="0">
    <fb>40.79</fb>
    <v>0</v>
  </rv>
  <rv s="0">
    <fb>40.54</fb>
    <v>0</v>
  </rv>
  <rv s="0">
    <fb>40.81</fb>
    <v>0</v>
  </rv>
  <rv s="0">
    <fb>40.869999999999997</fb>
    <v>0</v>
  </rv>
  <rv s="0">
    <fb>40.35</fb>
    <v>0</v>
  </rv>
  <rv s="0">
    <fb>40.67</fb>
    <v>0</v>
  </rv>
  <rv s="0">
    <fb>40.29</fb>
    <v>0</v>
  </rv>
  <rv s="0">
    <fb>40.840000000000003</fb>
    <v>0</v>
  </rv>
  <rv s="0">
    <fb>40.28</fb>
    <v>0</v>
  </rv>
  <rv s="0">
    <fb>39.979999999999997</fb>
    <v>0</v>
  </rv>
  <rv s="0">
    <fb>40.15</fb>
    <v>0</v>
  </rv>
  <rv s="0">
    <fb>39.18</fb>
    <v>0</v>
  </rv>
  <rv s="0">
    <fb>39.68</fb>
    <v>0</v>
  </rv>
  <rv s="0">
    <fb>40.19</fb>
    <v>0</v>
  </rv>
  <rv s="0">
    <fb>41.08</fb>
    <v>0</v>
  </rv>
  <rv s="0">
    <fb>41.83</fb>
    <v>0</v>
  </rv>
  <rv s="0">
    <fb>41.1</fb>
    <v>0</v>
  </rv>
  <rv s="0">
    <fb>41.43</fb>
    <v>0</v>
  </rv>
  <rv s="0">
    <fb>41.55</fb>
    <v>0</v>
  </rv>
  <rv s="0">
    <fb>41.96</fb>
    <v>0</v>
  </rv>
  <rv s="0">
    <fb>41.45</fb>
    <v>0</v>
  </rv>
  <rv s="0">
    <fb>41.51</fb>
    <v>0</v>
  </rv>
  <rv s="0">
    <fb>41.42</fb>
    <v>0</v>
  </rv>
  <rv s="0">
    <fb>41.35</fb>
    <v>0</v>
  </rv>
  <rv s="0">
    <fb>42</fb>
    <v>0</v>
  </rv>
  <rv s="0">
    <fb>42.12</fb>
    <v>0</v>
  </rv>
  <rv s="0">
    <fb>41.97</fb>
    <v>0</v>
  </rv>
  <rv s="0">
    <fb>41.9</fb>
    <v>0</v>
  </rv>
  <rv s="0">
    <fb>42.23</fb>
    <v>0</v>
  </rv>
  <rv s="0">
    <fb>42.21</fb>
    <v>0</v>
  </rv>
  <rv s="0">
    <fb>42.29</fb>
    <v>0</v>
  </rv>
  <rv s="0">
    <fb>42.58</fb>
    <v>0</v>
  </rv>
  <rv s="0">
    <fb>42.87</fb>
    <v>0</v>
  </rv>
  <rv s="0">
    <fb>42.66</fb>
    <v>0</v>
  </rv>
  <rv s="0">
    <fb>42.85</fb>
    <v>0</v>
  </rv>
  <rv s="0">
    <fb>43.52</fb>
    <v>0</v>
  </rv>
  <rv s="0">
    <fb>42.47</fb>
    <v>0</v>
  </rv>
  <rv s="0">
    <fb>41.82</fb>
    <v>0</v>
  </rv>
  <rv s="0">
    <fb>41.32</fb>
    <v>0</v>
  </rv>
  <rv s="0">
    <fb>41.85</fb>
    <v>0</v>
  </rv>
  <rv s="0">
    <fb>41.88</fb>
    <v>0</v>
  </rv>
  <rv s="0">
    <fb>42.08</fb>
    <v>0</v>
  </rv>
  <rv s="0">
    <fb>40.82</fb>
    <v>0</v>
  </rv>
  <rv s="0">
    <fb>38.96</fb>
    <v>0</v>
  </rv>
  <rv s="0">
    <fb>38.020000000000003</fb>
    <v>0</v>
  </rv>
  <rv s="0">
    <fb>37.08</fb>
    <v>0</v>
  </rv>
  <rv s="0">
    <fb>38.380000000000003</fb>
    <v>0</v>
  </rv>
  <rv s="0">
    <fb>38.92</fb>
    <v>0</v>
  </rv>
  <rv s="0">
    <fb>39.78</fb>
    <v>0</v>
  </rv>
  <rv s="0">
    <fb>39.840000000000003</fb>
    <v>0</v>
  </rv>
  <rv s="0">
    <fb>39.82</fb>
    <v>0</v>
  </rv>
  <rv s="0">
    <fb>40.450000000000003</fb>
    <v>0</v>
  </rv>
  <rv s="0">
    <fb>40.42</fb>
    <v>0</v>
  </rv>
  <rv s="0">
    <fb>40.47</fb>
    <v>0</v>
  </rv>
  <rv s="0">
    <fb>40.590000000000003</fb>
    <v>0</v>
  </rv>
  <rv s="0">
    <fb>40.53</fb>
    <v>0</v>
  </rv>
  <rv s="0">
    <fb>41.11</fb>
    <v>0</v>
  </rv>
  <rv s="0">
    <fb>41.3</fb>
    <v>0</v>
  </rv>
  <rv s="0">
    <fb>41.93</fb>
    <v>0</v>
  </rv>
  <rv s="0">
    <fb>41.56</fb>
    <v>0</v>
  </rv>
  <rv s="0">
    <fb>41.65</fb>
    <v>0</v>
  </rv>
  <rv s="0">
    <fb>41.49</fb>
    <v>0</v>
  </rv>
  <rv s="0">
    <fb>42.01</fb>
    <v>0</v>
  </rv>
  <rv s="0">
    <fb>40.770000000000003</fb>
    <v>0</v>
  </rv>
  <rv s="0">
    <fb>40.630000000000003</fb>
    <v>0</v>
  </rv>
  <rv s="0">
    <fb>40.64</fb>
    <v>0</v>
  </rv>
  <rv s="0">
    <fb>41.31</fb>
    <v>0</v>
  </rv>
  <rv s="0">
    <fb>41.69</fb>
    <v>0</v>
  </rv>
  <rv s="0">
    <fb>41.79</fb>
    <v>0</v>
  </rv>
  <rv s="0">
    <fb>41.64</fb>
    <v>0</v>
  </rv>
  <rv s="0">
    <fb>41.77</fb>
    <v>0</v>
  </rv>
  <rv s="0">
    <fb>41.76</fb>
    <v>0</v>
  </rv>
  <rv s="0">
    <fb>41.86</fb>
    <v>0</v>
  </rv>
  <rv s="0">
    <fb>41.89</fb>
    <v>0</v>
  </rv>
  <rv s="0">
    <fb>41.84</fb>
    <v>0</v>
  </rv>
  <rv s="0">
    <fb>41.12</fb>
    <v>0</v>
  </rv>
  <rv s="0">
    <fb>41.7</fb>
    <v>0</v>
  </rv>
  <rv s="0">
    <fb>41.78</fb>
    <v>0</v>
  </rv>
  <rv s="0">
    <fb>41.8</fb>
    <v>0</v>
  </rv>
  <rv s="0">
    <fb>41.48</fb>
    <v>0</v>
  </rv>
  <rv s="0">
    <fb>41.4</fb>
    <v>0</v>
  </rv>
  <rv s="0">
    <fb>41.57</fb>
    <v>0</v>
  </rv>
  <rv s="0">
    <fb>41.72</fb>
    <v>0</v>
  </rv>
  <rv s="0">
    <fb>42.05</fb>
    <v>0</v>
  </rv>
  <rv s="0">
    <fb>41.25</fb>
    <v>0</v>
  </rv>
  <rv s="0">
    <fb>41.01</fb>
    <v>0</v>
  </rv>
  <rv s="0">
    <fb>41.06</fb>
    <v>0</v>
  </rv>
  <rv s="0">
    <fb>41.33</fb>
    <v>0</v>
  </rv>
  <rv s="0">
    <fb>40.94</fb>
    <v>0</v>
  </rv>
  <rv s="0">
    <fb>41.68</fb>
    <v>0</v>
  </rv>
  <rv s="0">
    <fb>42.34</fb>
    <v>0</v>
  </rv>
  <rv s="0">
    <fb>42.13</fb>
    <v>0</v>
  </rv>
  <rv s="0">
    <fb>42.19</fb>
    <v>0</v>
  </rv>
  <rv s="0">
    <fb>42.31</fb>
    <v>0</v>
  </rv>
  <rv s="0">
    <fb>42.54</fb>
    <v>0</v>
  </rv>
  <rv s="0">
    <fb>42.35</fb>
    <v>0</v>
  </rv>
  <rv s="0">
    <fb>42.3</fb>
    <v>0</v>
  </rv>
  <rv s="0">
    <fb>41.91</fb>
    <v>0</v>
  </rv>
  <rv s="0">
    <fb>41.66</fb>
    <v>0</v>
  </rv>
  <rv s="0">
    <fb>40.68</fb>
    <v>0</v>
  </rv>
  <rv s="0">
    <fb>42.04</fb>
    <v>0</v>
  </rv>
  <rv s="0">
    <fb>42.48</fb>
    <v>0</v>
  </rv>
  <rv s="0">
    <fb>42.65</fb>
    <v>0</v>
  </rv>
  <rv s="0">
    <fb>40.65</fb>
    <v>0</v>
  </rv>
  <rv s="0">
    <fb>40.880000000000003</fb>
    <v>0</v>
  </rv>
  <rv s="0">
    <fb>40.83</fb>
    <v>0</v>
  </rv>
  <rv s="0">
    <fb>40.93</fb>
    <v>0</v>
  </rv>
  <rv s="0">
    <fb>41.27</fb>
    <v>0</v>
  </rv>
  <rv s="0">
    <fb>41.24</fb>
    <v>0</v>
  </rv>
  <rv s="0">
    <fb>41.37</fb>
    <v>0</v>
  </rv>
  <rv s="0">
    <fb>241.44</fb>
    <v>0</v>
  </rv>
  <rv s="0">
    <fb>232.24</fb>
    <v>0</v>
  </rv>
  <rv s="0">
    <fb>232.49</fb>
    <v>0</v>
  </rv>
  <rv s="0">
    <fb>235.96</fb>
    <v>0</v>
  </rv>
  <rv s="0">
    <fb>238.07</fb>
    <v>0</v>
  </rv>
  <rv s="0">
    <fb>240.53</fb>
    <v>0</v>
  </rv>
  <rv s="0">
    <fb>240.69</fb>
    <v>0</v>
  </rv>
  <rv s="0">
    <fb>237.49</fb>
    <v>0</v>
  </rv>
  <rv s="0">
    <fb>232.52</fb>
    <v>0</v>
  </rv>
  <rv s="0">
    <fb>231.97</fb>
    <v>0</v>
  </rv>
  <rv s="0">
    <fb>235.75</fb>
    <v>0</v>
  </rv>
  <rv s="0">
    <fb>238.75</fb>
    <v>0</v>
  </rv>
  <rv s="0">
    <fb>233.96</fb>
    <v>0</v>
  </rv>
  <rv s="0">
    <fb>233.88</fb>
    <v>0</v>
  </rv>
  <rv s="0">
    <fb>228.78</fb>
    <v>0</v>
  </rv>
  <rv s="0">
    <fb>227.16</fb>
    <v>0</v>
  </rv>
  <rv s="0">
    <fb>227.76</fb>
    <v>0</v>
  </rv>
  <rv s="0">
    <fb>232.29</fb>
    <v>0</v>
  </rv>
  <rv s="0">
    <fb>230.5</fb>
    <v>0</v>
  </rv>
  <rv s="0">
    <fb>234.11</fb>
    <v>0</v>
  </rv>
  <rv s="0">
    <fb>236.06</fb>
    <v>0</v>
  </rv>
  <rv s="0">
    <fb>241.82</fb>
    <v>0</v>
  </rv>
  <rv s="0">
    <fb>239.3</fb>
    <v>0</v>
  </rv>
  <rv s="0">
    <fb>227.57</fb>
    <v>0</v>
  </rv>
  <rv s="0">
    <fb>233.64</fb>
    <v>0</v>
  </rv>
  <rv s="0">
    <fb>230.81</fb>
    <v>0</v>
  </rv>
  <rv s="0">
    <fb>227.7</fb>
    <v>0</v>
  </rv>
  <rv s="0">
    <fb>230.98</fb>
    <v>0</v>
  </rv>
  <rv s="0">
    <fb>234.19</fb>
    <v>0</v>
  </rv>
  <rv s="0">
    <fb>232.82</fb>
    <v>0</v>
  </rv>
  <rv s="0">
    <fb>236.33</fb>
    <v>0</v>
  </rv>
  <rv s="0">
    <fb>235.82</fb>
    <v>0</v>
  </rv>
  <rv s="0">
    <fb>239.97</fb>
    <v>0</v>
  </rv>
  <rv s="0">
    <fb>242.16</fb>
    <v>0</v>
  </rv>
  <rv s="0">
    <fb>241.41</fb>
    <v>0</v>
  </rv>
  <rv s="0">
    <fb>234.87</fb>
    <v>0</v>
  </rv>
  <rv s="0">
    <fb>231.51</fb>
    <v>0</v>
  </rv>
  <rv s="0">
    <fb>231</fb>
    <v>0</v>
  </rv>
  <rv s="0">
    <fb>222.59</fb>
    <v>0</v>
  </rv>
  <rv s="0">
    <fb>225.53</fb>
    <v>0</v>
  </rv>
  <rv s="0">
    <fb>218.67</fb>
    <v>0</v>
  </rv>
  <rv s="0">
    <fb>218.5</fb>
    <v>0</v>
  </rv>
  <rv s="0">
    <fb>221.57</fb>
    <v>0</v>
  </rv>
  <rv s="0">
    <fb>215.42</fb>
    <v>0</v>
  </rv>
  <rv s="0">
    <fb>218.54</fb>
    <v>0</v>
  </rv>
  <rv s="0">
    <fb>209.25</fb>
    <v>0</v>
  </rv>
  <rv s="0">
    <fb>208.4</fb>
    <v>0</v>
  </rv>
  <rv s="0">
    <fb>211.68</fb>
    <v>0</v>
  </rv>
  <rv s="0">
    <fb>207.66</fb>
    <v>0</v>
  </rv>
  <rv s="0">
    <fb>213.94</fb>
    <v>0</v>
  </rv>
  <rv s="0">
    <fb>215.43</fb>
    <v>0</v>
  </rv>
  <rv s="0">
    <fb>212.15</fb>
    <v>0</v>
  </rv>
  <rv s="0">
    <fb>214.91</fb>
    <v>0</v>
  </rv>
  <rv s="0">
    <fb>213.38</fb>
    <v>0</v>
  </rv>
  <rv s="0">
    <fb>213.96</fb>
    <v>0</v>
  </rv>
  <rv s="0">
    <fb>217.63</fb>
    <v>0</v>
  </rv>
  <rv s="0">
    <fb>218.35</fb>
    <v>0</v>
  </rv>
  <rv s="0">
    <fb>213.48</fb>
    <v>0</v>
  </rv>
  <rv s="0">
    <fb>211.51</fb>
    <v>0</v>
  </rv>
  <rv s="0">
    <fb>206.38</fb>
    <v>0</v>
  </rv>
  <rv s="0">
    <fb>206.48</fb>
    <v>0</v>
  </rv>
  <rv s="0">
    <fb>207.99</fb>
    <v>0</v>
  </rv>
  <rv s="0">
    <fb>209.53</fb>
    <v>0</v>
  </rv>
  <rv s="0">
    <fb>195.23</fb>
    <v>0</v>
  </rv>
  <rv s="0">
    <fb>182.37</fb>
    <v>0</v>
  </rv>
  <rv s="0">
    <fb>183.46</fb>
    <v>0</v>
  </rv>
  <rv s="0">
    <fb>179.73</fb>
    <v>0</v>
  </rv>
  <rv s="0">
    <fb>203.86</fb>
    <v>0</v>
  </rv>
  <rv s="0">
    <fb>194.37</fb>
    <v>0</v>
  </rv>
  <rv s="0">
    <fb>200.16</fb>
    <v>0</v>
  </rv>
  <rv s="0">
    <fb>200.89</fb>
    <v>0</v>
  </rv>
  <rv s="0">
    <fb>193.91</fb>
    <v>0</v>
  </rv>
  <rv s="0">
    <fb>192.86</fb>
    <v>0</v>
  </rv>
  <rv s="0">
    <fb>187.88</fb>
    <v>0</v>
  </rv>
  <rv s="0">
    <fb>192.46</fb>
    <v>0</v>
  </rv>
  <rv s="0">
    <fb>198.04</fb>
    <v>0</v>
  </rv>
  <rv s="0">
    <fb>205.43</fb>
    <v>0</v>
  </rv>
  <rv s="0">
    <fb>209.1</fb>
    <v>0</v>
  </rv>
  <rv s="0">
    <fb>209.97</fb>
    <v>0</v>
  </rv>
  <rv s="0">
    <fb>216.61</fb>
    <v>0</v>
  </rv>
  <rv s="0">
    <fb>215.46</fb>
    <v>0</v>
  </rv>
  <rv s="0">
    <fb>213.67</fb>
    <v>0</v>
  </rv>
  <rv s="0">
    <fb>215.81</fb>
    <v>0</v>
  </rv>
  <rv s="0">
    <fb>217.87</fb>
    <v>0</v>
  </rv>
  <rv s="0">
    <fb>217.6</fb>
    <v>0</v>
  </rv>
  <rv s="0">
    <fb>232.62</fb>
    <v>0</v>
  </rv>
  <rv s="0">
    <fb>234.13</fb>
    <v>0</v>
  </rv>
  <rv s="0">
    <fb>234.45</fb>
    <v>0</v>
  </rv>
  <rv s="0">
    <fb>234.89</fb>
    <v>0</v>
  </rv>
  <rv s="0">
    <fb>234.55</fb>
    <v>0</v>
  </rv>
  <rv s="0">
    <fb>229.28</fb>
    <v>0</v>
  </rv>
  <rv s="0">
    <fb>229.34</fb>
    <v>0</v>
  </rv>
  <rv s="0">
    <fb>232.2</fb>
    <v>0</v>
  </rv>
  <rv s="0">
    <fb>231.24</fb>
    <v>0</v>
  </rv>
  <rv s="0">
    <fb>231.63</fb>
    <v>0</v>
  </rv>
  <rv s="0">
    <fb>230.91</fb>
    <v>0</v>
  </rv>
  <rv s="0">
    <fb>232.95</fb>
    <v>0</v>
  </rv>
  <rv s="0">
    <fb>236.45</fb>
    <v>0</v>
  </rv>
  <rv s="0">
    <fb>236.8</fb>
    <v>0</v>
  </rv>
  <rv s="0">
    <fb>236.13</fb>
    <v>0</v>
  </rv>
  <rv s="0">
    <fb>238.36</fb>
    <v>0</v>
  </rv>
  <rv s="0">
    <fb>239.53</fb>
    <v>0</v>
  </rv>
  <rv s="0">
    <fb>240.87</fb>
    <v>0</v>
  </rv>
  <rv s="0">
    <fb>240.34</fb>
    <v>0</v>
  </rv>
  <rv s="0">
    <fb>242.57</fb>
    <v>0</v>
  </rv>
  <rv s="0">
    <fb>243.04</fb>
    <v>0</v>
  </rv>
  <rv s="0">
    <fb>241.32</fb>
    <v>0</v>
  </rv>
  <rv s="0">
    <fb>240.54</fb>
    <v>0</v>
  </rv>
  <rv s="0">
    <fb>242.88</fb>
    <v>0</v>
  </rv>
  <rv s="0">
    <fb>249.35</fb>
    <v>0</v>
  </rv>
  <rv s="0">
    <fb>251.07</fb>
    <v>0</v>
  </rv>
  <rv s="0">
    <fb>253.23</fb>
    <v>0</v>
  </rv>
  <rv s="0">
    <fb>250.97</fb>
    <v>0</v>
  </rv>
  <rv s="0">
    <fb>253.62</fb>
    <v>0</v>
  </rv>
  <rv s="0">
    <fb>256.95999999999998</fb>
    <v>0</v>
  </rv>
  <rv s="0">
    <fb>254.92</fb>
    <v>0</v>
  </rv>
  <rv s="0">
    <fb>256.29000000000002</fb>
    <v>0</v>
  </rv>
  <rv s="0">
    <fb>257.83</fb>
    <v>0</v>
  </rv>
  <rv s="0">
    <fb>256.98</fb>
    <v>0</v>
  </rv>
  <rv s="0">
    <fb>255.85</fb>
    <v>0</v>
  </rv>
  <rv s="0">
    <fb>255.64</fb>
    <v>0</v>
  </rv>
  <rv s="0">
    <fb>257.91000000000003</fb>
    <v>0</v>
  </rv>
  <rv s="0">
    <fb>258.70999999999998</fb>
    <v>0</v>
  </rv>
  <rv s="0">
    <fb>261.06</fb>
    <v>0</v>
  </rv>
  <rv s="0">
    <fb>260.89</fb>
    <v>0</v>
  </rv>
  <rv s="0">
    <fb>261.23</fb>
    <v>0</v>
  </rv>
  <rv s="0">
    <fb>258.81</fb>
    <v>0</v>
  </rv>
  <rv s="0">
    <fb>260.29000000000002</fb>
    <v>0</v>
  </rv>
  <rv s="0">
    <fb>261.39</fb>
    <v>0</v>
  </rv>
  <rv s="0">
    <fb>261.99</fb>
    <v>0</v>
  </rv>
  <rv s="0">
    <fb>264.08</fb>
    <v>0</v>
  </rv>
  <rv s="0">
    <fb>264.08999999999997</fb>
    <v>0</v>
  </rv>
  <rv s="0">
    <fb>264.68</fb>
    <v>0</v>
  </rv>
  <rv s="0">
    <fb>262.74</fb>
    <v>0</v>
  </rv>
  <rv s="0">
    <fb>257.07</fb>
    <v>0</v>
  </rv>
  <rv s="0">
    <fb>262.29000000000002</fb>
    <v>0</v>
  </rv>
  <rv s="0">
    <fb>260.12</fb>
    <v>0</v>
  </rv>
  <rv s="0">
    <fb>263.05</fb>
    <v>0</v>
  </rv>
  <rv s="0">
    <fb>263.29000000000002</fb>
    <v>0</v>
  </rv>
  <rv s="0">
    <fb>265.92</fb>
    <v>0</v>
  </rv>
  <rv s="0">
    <fb>264.12</fb>
    <v>0</v>
  </rv>
  <rv s="0">
    <fb>268.20999999999998</fb>
    <v>0</v>
  </rv>
  <rv s="0">
    <fb>268.31</fb>
    <v>0</v>
  </rv>
  <rv s="0">
    <fb>267.73</fb>
    <v>0</v>
  </rv>
  <rv s="0">
    <fb>265.7</fb>
    <v>0</v>
  </rv>
  <rv s="0">
    <fb>266.27</fb>
    <v>0</v>
  </rv>
  <rv s="0">
    <fb>261.62</fb>
    <v>0</v>
  </rv>
  <rv s="0">
    <fb>259.85000000000002</fb>
    <v>0</v>
  </rv>
  <rv s="0">
    <fb>258.91000000000003</fb>
    <v>0</v>
  </rv>
  <rv s="0">
    <fb>262.42</fb>
    <v>0</v>
  </rv>
  <rv s="0">
    <fb>261.83</fb>
    <v>0</v>
  </rv>
  <rv s="0">
    <fb>263.02999999999997</fb>
    <v>0</v>
  </rv>
  <rv s="0">
    <fb>264.45</fb>
    <v>0</v>
  </rv>
  <rv s="0">
    <fb>266.54000000000002</fb>
    <v>0</v>
  </rv>
  <rv s="0">
    <fb>262.45</fb>
    <v>0</v>
  </rv>
  <rv s="0">
    <fb>259.8</fb>
    <v>0</v>
  </rv>
  <rv s="0">
    <fb>261.35000000000002</fb>
    <v>0</v>
  </rv>
  <rv s="0">
    <fb>262.64</fb>
    <v>0</v>
  </rv>
  <rv s="0">
    <fb>262.86</fb>
    <v>0</v>
  </rv>
  <rv s="0">
    <fb>264.83</fb>
    <v>0</v>
  </rv>
  <rv s="0">
    <fb>265.33999999999997</fb>
    <v>0</v>
  </rv>
  <rv s="0">
    <fb>270.14999999999998</fb>
    <v>0</v>
  </rv>
  <rv s="0">
    <fb>271.06</fb>
    <v>0</v>
  </rv>
  <rv s="0">
    <fb>270.88</fb>
    <v>0</v>
  </rv>
  <rv s="0">
    <fb>272.37</fb>
    <v>0</v>
  </rv>
  <rv s="0">
    <fb>271.43</fb>
    <v>0</v>
  </rv>
  <rv s="0">
    <fb>276.12</fb>
    <v>0</v>
  </rv>
  <rv s="0">
    <fb>278.92</fb>
    <v>0</v>
  </rv>
  <rv s="0">
    <fb>282.66000000000003</fb>
    <v>0</v>
  </rv>
  <rv s="0">
    <fb>280.22000000000003</fb>
    <v>0</v>
  </rv>
  <rv s="0">
    <fb>278.49</fb>
    <v>0</v>
  </rv>
  <rv s="0">
    <fb>278</fb>
    <v>0</v>
  </rv>
  <rv s="0">
    <fb>278.83999999999997</fb>
    <v>0</v>
  </rv>
  <rv s="0">
    <fb>280.33</fb>
    <v>0</v>
  </rv>
  <rv s="0">
    <fb>281.86</fb>
    <v>0</v>
  </rv>
  <rv s="0">
    <fb>284.62</fb>
    <v>0</v>
  </rv>
  <rv s="0">
    <fb>286.16000000000003</fb>
    <v>0</v>
  </rv>
  <rv s="0">
    <fb>284.72000000000003</fb>
    <v>0</v>
  </rv>
  <rv s="0">
    <fb>287.60000000000002</fb>
    <v>0</v>
  </rv>
  <rv s="0">
    <fb>285.68</fb>
    <v>0</v>
  </rv>
  <rv s="0">
    <fb>290.69</fb>
    <v>0</v>
  </rv>
  <rv s="0">
    <fb>290.2</fb>
    <v>0</v>
  </rv>
  <rv s="0">
    <fb>278.39</fb>
    <v>0</v>
  </rv>
  <rv s="0">
    <fb>285.17</fb>
    <v>0</v>
  </rv>
  <rv s="0">
    <fb>281.51</fb>
    <v>0</v>
  </rv>
  <rv s="0">
    <fb>284.3</fb>
    <v>0</v>
  </rv>
  <rv s="0">
    <fb>284.51</fb>
    <v>0</v>
  </rv>
  <rv s="0">
    <fb>288.19</fb>
    <v>0</v>
  </rv>
  <rv s="0">
    <fb>288.33999999999997</fb>
    <v>0</v>
  </rv>
  <rv s="0">
    <fb>285.49</fb>
    <v>0</v>
  </rv>
  <rv s="0">
    <fb>289.08999999999997</fb>
    <v>0</v>
  </rv>
  <rv s="0">
    <fb>293.58</fb>
    <v>0</v>
  </rv>
  <rv s="0">
    <fb>299</fb>
    <v>0</v>
  </rv>
  <rv s="0">
    <fb>301.95999999999998</fb>
    <v>0</v>
  </rv>
  <rv s="0">
    <fb>304.13</fb>
    <v>0</v>
  </rv>
  <rv s="0">
    <fb>300.39</fb>
    <v>0</v>
  </rv>
  <rv s="0">
    <fb>300.68</fb>
    <v>0</v>
  </rv>
  <rv s="0">
    <fb>301.91000000000003</fb>
    <v>0</v>
  </rv>
  <rv s="0">
    <fb>293.94</fb>
    <v>0</v>
  </rv>
  <rv s="0">
    <fb>295.08999999999997</fb>
    <v>0</v>
  </rv>
  <rv s="0">
    <fb>289.16000000000003</fb>
    <v>0</v>
  </rv>
  <rv s="0">
    <fb>288.16000000000003</fb>
    <v>0</v>
  </rv>
  <rv s="0">
    <fb>295.52999999999997</fb>
    <v>0</v>
  </rv>
  <rv s="0">
    <fb>286.58999999999997</fb>
    <v>0</v>
  </rv>
  <rv s="0">
    <fb>288.14999999999998</fb>
    <v>0</v>
  </rv>
  <rv s="0">
    <fb>283.64</fb>
    <v>0</v>
  </rv>
  <rv s="0">
    <fb>279.02999999999997</fb>
    <v>0</v>
  </rv>
  <rv s="0">
    <fb>77.02</fb>
    <v>0</v>
  </rv>
  <rv s="0">
    <fb>76.7</fb>
    <v>0</v>
  </rv>
  <rv s="0">
    <fb>74.89</fb>
    <v>0</v>
  </rv>
  <rv s="0">
    <fb>75.23</fb>
    <v>0</v>
  </rv>
  <rv s="0">
    <fb>76.06</fb>
    <v>0</v>
  </rv>
  <rv s="0">
    <fb>76.48</fb>
    <v>0</v>
  </rv>
  <rv s="0">
    <fb>76.3</fb>
    <v>0</v>
  </rv>
  <rv s="0">
    <fb>76.08</fb>
    <v>0</v>
  </rv>
  <rv s="0">
    <fb>75.69</fb>
    <v>0</v>
  </rv>
  <rv s="0">
    <fb>76.27</fb>
    <v>0</v>
  </rv>
  <rv s="0">
    <fb>77.08</fb>
    <v>0</v>
  </rv>
  <rv s="0">
    <fb>76.22</fb>
    <v>0</v>
  </rv>
  <rv s="0">
    <fb>76.03</fb>
    <v>0</v>
  </rv>
  <rv s="0">
    <fb>76.010000000000005</fb>
    <v>0</v>
  </rv>
  <rv s="0">
    <fb>75.58</fb>
    <v>0</v>
  </rv>
  <rv s="0">
    <fb>74.7</fb>
    <v>0</v>
  </rv>
  <rv s="0">
    <fb>76.790000000000006</fb>
    <v>0</v>
  </rv>
  <rv s="0">
    <fb>78.73</fb>
    <v>0</v>
  </rv>
  <rv s="0">
    <fb>78.84</fb>
    <v>0</v>
  </rv>
  <rv s="0">
    <fb>80.05</fb>
    <v>0</v>
  </rv>
  <rv s="0">
    <fb>78.319999999999993</fb>
    <v>0</v>
  </rv>
  <rv s="0">
    <fb>78.69</fb>
    <v>0</v>
  </rv>
  <rv s="0">
    <fb>77.650000000000006</fb>
    <v>0</v>
  </rv>
  <rv s="0">
    <fb>76.739999999999995</fb>
    <v>0</v>
  </rv>
  <rv s="0">
    <fb>78.34</fb>
    <v>0</v>
  </rv>
  <rv s="0">
    <fb>78.3</fb>
    <v>0</v>
  </rv>
  <rv s="0">
    <fb>77.61</fb>
    <v>0</v>
  </rv>
  <rv s="0">
    <fb>78.39</fb>
    <v>0</v>
  </rv>
  <rv s="0">
    <fb>78.14</fb>
    <v>0</v>
  </rv>
  <rv s="0">
    <fb>78.989999999999995</fb>
    <v>0</v>
  </rv>
  <rv s="0">
    <fb>79.39</fb>
    <v>0</v>
  </rv>
  <rv s="0">
    <fb>79.25</fb>
    <v>0</v>
  </rv>
  <rv s="0">
    <fb>79.430000000000007</fb>
    <v>0</v>
  </rv>
  <rv s="0">
    <fb>79.099999999999994</fb>
    <v>0</v>
  </rv>
  <rv s="0">
    <fb>80.25</fb>
    <v>0</v>
  </rv>
  <rv s="0">
    <fb>80.27</fb>
    <v>0</v>
  </rv>
  <rv s="0">
    <fb>79.8</fb>
    <v>0</v>
  </rv>
  <rv s="0">
    <fb>77.489999999999995</fb>
    <v>0</v>
  </rv>
  <rv s="0">
    <fb>77.290000000000006</fb>
    <v>0</v>
  </rv>
  <rv s="0">
    <fb>77.41</fb>
    <v>0</v>
  </rv>
  <rv s="0">
    <fb>77.17</fb>
    <v>0</v>
  </rv>
  <rv s="0">
    <fb>78.87</fb>
    <v>0</v>
  </rv>
  <rv s="0">
    <fb>78.650000000000006</fb>
    <v>0</v>
  </rv>
  <rv s="0">
    <fb>78.94</fb>
    <v>0</v>
  </rv>
  <rv s="0">
    <fb>79.260000000000005</fb>
    <v>0</v>
  </rv>
  <rv s="0">
    <fb>78.75</fb>
    <v>0</v>
  </rv>
  <rv s="0">
    <fb>78.17</fb>
    <v>0</v>
  </rv>
  <rv s="0">
    <fb>76.92</fb>
    <v>0</v>
  </rv>
  <rv s="0">
    <fb>77.98</fb>
    <v>0</v>
  </rv>
  <rv s="0">
    <fb>78.849999999999994</fb>
    <v>0</v>
  </rv>
  <rv s="0">
    <fb>74.53</fb>
    <v>0</v>
  </rv>
  <rv s="0">
    <fb>73.39</fb>
    <v>0</v>
  </rv>
  <rv s="0">
    <fb>73.09</fb>
    <v>0</v>
  </rv>
  <rv s="0">
    <fb>75.97</fb>
    <v>0</v>
  </rv>
  <rv s="0">
    <fb>75.400000000000006</fb>
    <v>0</v>
  </rv>
  <rv s="0">
    <fb>76.319999999999993</fb>
    <v>0</v>
  </rv>
  <rv s="0">
    <fb>77.69</fb>
    <v>0</v>
  </rv>
  <rv s="0">
    <fb>77.680000000000007</fb>
    <v>0</v>
  </rv>
  <rv s="0">
    <fb>75.930000000000007</fb>
    <v>0</v>
  </rv>
  <rv s="0">
    <fb>78</fb>
    <v>0</v>
  </rv>
  <rv s="0">
    <fb>78.209999999999994</fb>
    <v>0</v>
  </rv>
  <rv s="0">
    <fb>78.900000000000006</fb>
    <v>0</v>
  </rv>
  <rv s="0">
    <fb>79.13</fb>
    <v>0</v>
  </rv>
  <rv s="0">
    <fb>79.55</fb>
    <v>0</v>
  </rv>
  <rv s="0">
    <fb>80.099999999999994</fb>
    <v>0</v>
  </rv>
  <rv s="0">
    <fb>80.989999999999995</fb>
    <v>0</v>
  </rv>
  <rv s="0">
    <fb>81.260000000000005</fb>
    <v>0</v>
  </rv>
  <rv s="0">
    <fb>80.56</fb>
    <v>0</v>
  </rv>
  <rv s="0">
    <fb>81.59</fb>
    <v>0</v>
  </rv>
  <rv s="0">
    <fb>81.17</fb>
    <v>0</v>
  </rv>
  <rv s="0">
    <fb>81.66</fb>
    <v>0</v>
  </rv>
  <rv s="0">
    <fb>82.01</fb>
    <v>0</v>
  </rv>
  <rv s="0">
    <fb>81.900000000000006</fb>
    <v>0</v>
  </rv>
  <rv s="0">
    <fb>82.57</fb>
    <v>0</v>
  </rv>
  <rv s="0">
    <fb>82.45</fb>
    <v>0</v>
  </rv>
  <rv s="0">
    <fb>82.78</fb>
    <v>0</v>
  </rv>
  <rv s="0">
    <fb>82.03</fb>
    <v>0</v>
  </rv>
  <rv s="0">
    <fb>82.37</fb>
    <v>0</v>
  </rv>
  <rv s="0">
    <fb>84.02</fb>
    <v>0</v>
  </rv>
  <rv s="0">
    <fb>84.41</fb>
    <v>0</v>
  </rv>
  <rv s="0">
    <fb>84.52</fb>
    <v>0</v>
  </rv>
  <rv s="0">
    <fb>85.21</fb>
    <v>0</v>
  </rv>
  <rv s="0">
    <fb>86.39</fb>
    <v>0</v>
  </rv>
  <rv s="0">
    <fb>85.62</fb>
    <v>0</v>
  </rv>
  <rv s="0">
    <fb>86.55</fb>
    <v>0</v>
  </rv>
  <rv s="0">
    <fb>86.18</fb>
    <v>0</v>
  </rv>
  <rv s="0">
    <fb>85.91</fb>
    <v>0</v>
  </rv>
  <rv s="0">
    <fb>86.28</fb>
    <v>0</v>
  </rv>
  <rv s="0">
    <fb>86.47</fb>
    <v>0</v>
  </rv>
  <rv s="0">
    <fb>86.08</fb>
    <v>0</v>
  </rv>
  <rv s="0">
    <fb>86.04</fb>
    <v>0</v>
  </rv>
  <rv s="0">
    <fb>85.26</fb>
    <v>0</v>
  </rv>
  <rv s="0">
    <fb>84.63</fb>
    <v>0</v>
  </rv>
  <rv s="0">
    <fb>84.32</fb>
    <v>0</v>
  </rv>
  <rv s="0">
    <fb>83.83</fb>
    <v>0</v>
  </rv>
  <rv s="0">
    <fb>83.73</fb>
    <v>0</v>
  </rv>
  <rv s="0">
    <fb>83.47</fb>
    <v>0</v>
  </rv>
  <rv s="0">
    <fb>84.62</fb>
    <v>0</v>
  </rv>
  <rv s="0">
    <fb>85.5</fb>
    <v>0</v>
  </rv>
  <rv s="0">
    <fb>84.95</fb>
    <v>0</v>
  </rv>
  <rv s="0">
    <fb>85.2</fb>
    <v>0</v>
  </rv>
  <rv s="0">
    <fb>86.25</fb>
    <v>0</v>
  </rv>
  <rv s="0">
    <fb>85.42</fb>
    <v>0</v>
  </rv>
  <rv s="0">
    <fb>90.18</fb>
    <v>0</v>
  </rv>
  <rv s="0">
    <fb>90.8</fb>
    <v>0</v>
  </rv>
  <rv s="0">
    <fb>90.89</fb>
    <v>0</v>
  </rv>
  <rv s="0">
    <fb>91.7</fb>
    <v>0</v>
  </rv>
  <rv s="0">
    <fb>91.89</fb>
    <v>0</v>
  </rv>
  <rv s="0">
    <fb>91.57</fb>
    <v>0</v>
  </rv>
  <rv s="0">
    <fb>90.61</fb>
    <v>0</v>
  </rv>
  <rv s="0">
    <fb>90.4</fb>
    <v>0</v>
  </rv>
  <rv s="0">
    <fb>90.33</fb>
    <v>0</v>
  </rv>
  <rv s="0">
    <fb>91.39</fb>
    <v>0</v>
  </rv>
  <rv s="0">
    <fb>90.13</fb>
    <v>0</v>
  </rv>
  <rv s="0">
    <fb>90.1</fb>
    <v>0</v>
  </rv>
  <rv s="0">
    <fb>89.1</fb>
    <v>0</v>
  </rv>
  <rv s="0">
    <fb>88.83</fb>
    <v>0</v>
  </rv>
  <rv s="0">
    <fb>88.46</fb>
    <v>0</v>
  </rv>
  <rv s="0">
    <fb>89.69</fb>
    <v>0</v>
  </rv>
  <rv s="0">
    <fb>227.44</fb>
    <v>0</v>
  </rv>
  <rv s="0">
    <fb>223.87</fb>
    <v>0</v>
  </rv>
  <rv s="0">
    <fb>214.82</fb>
    <v>0</v>
  </rv>
  <rv s="0">
    <fb>221.32</fb>
    <v>0</v>
  </rv>
  <rv s="0">
    <fb>223.6</fb>
    <v>0</v>
  </rv>
  <rv s="0">
    <fb>223.53</fb>
    <v>0</v>
  </rv>
  <rv s="0">
    <fb>217.28</fb>
    <v>0</v>
  </rv>
  <rv s="0">
    <fb>215.49</fb>
    <v>0</v>
  </rv>
  <rv s="0">
    <fb>216.82</fb>
    <v>0</v>
  </rv>
  <rv s="0">
    <fb>222.47</fb>
    <v>0</v>
  </rv>
  <rv s="0">
    <fb>225.79</fb>
    <v>0</v>
  </rv>
  <rv s="0">
    <fb>223.54</fb>
    <v>0</v>
  </rv>
  <rv s="0">
    <fb>218.2</fb>
    <v>0</v>
  </rv>
  <rv s="0">
    <fb>217.53</fb>
    <v>0</v>
  </rv>
  <rv s="0">
    <fb>218.96</fb>
    <v>0</v>
  </rv>
  <rv s="0">
    <fb>223.21</fb>
    <v>0</v>
  </rv>
  <rv s="0">
    <fb>232.45</fb>
    <v>0</v>
  </rv>
  <rv s="0">
    <fb>235.81</fb>
    <v>0</v>
  </rv>
  <rv s="0">
    <fb>235.37</fb>
    <v>0</v>
  </rv>
  <rv s="0">
    <fb>230.64</fb>
    <v>0</v>
  </rv>
  <rv s="0">
    <fb>212.55</fb>
    <v>0</v>
  </rv>
  <rv s="0">
    <fb>213.5</fb>
    <v>0</v>
  </rv>
  <rv s="0">
    <fb>214.38</fb>
    <v>0</v>
  </rv>
  <rv s="0">
    <fb>218.74</fb>
    <v>0</v>
  </rv>
  <rv s="0">
    <fb>218.13</fb>
    <v>0</v>
  </rv>
  <rv s="0">
    <fb>214.2</fb>
    <v>0</v>
  </rv>
  <rv s="0">
    <fb>216.4</fb>
    <v>0</v>
  </rv>
  <rv s="0">
    <fb>220.59</fb>
    <v>0</v>
  </rv>
  <rv s="0">
    <fb>220.3</fb>
    <v>0</v>
  </rv>
  <rv s="0">
    <fb>219.7</fb>
    <v>0</v>
  </rv>
  <rv s="0">
    <fb>219.9</fb>
    <v>0</v>
  </rv>
  <rv s="0">
    <fb>220.14</fb>
    <v>0</v>
  </rv>
  <rv s="0">
    <fb>222.84</fb>
    <v>0</v>
  </rv>
  <rv s="0">
    <fb>223.07</fb>
    <v>0</v>
  </rv>
  <rv s="0">
    <fb>226.76</fb>
    <v>0</v>
  </rv>
  <rv s="0">
    <fb>230.53</fb>
    <v>0</v>
  </rv>
  <rv s="0">
    <fb>223.98</fb>
    <v>0</v>
  </rv>
  <rv s="0">
    <fb>218.72</fb>
    <v>0</v>
  </rv>
  <rv s="0">
    <fb>214.21</fb>
    <v>0</v>
  </rv>
  <rv s="0">
    <fb>217.94</fb>
    <v>0</v>
  </rv>
  <rv s="0">
    <fb>205.25</fb>
    <v>0</v>
  </rv>
  <rv s="0">
    <fb>208.52</fb>
    <v>0</v>
  </rv>
  <rv s="0">
    <fb>201.15</fb>
    <v>0</v>
  </rv>
  <rv s="0">
    <fb>202.27</fb>
    <v>0</v>
  </rv>
  <rv s="0">
    <fb>206.63</fb>
    <v>0</v>
  </rv>
  <rv s="0">
    <fb>203.85</fb>
    <v>0</v>
  </rv>
  <rv s="0">
    <fb>194.42</fb>
    <v>0</v>
  </rv>
  <rv s="0">
    <fb>192.12</fb>
    <v>0</v>
  </rv>
  <rv s="0">
    <fb>196.08</fb>
    <v>0</v>
  </rv>
  <rv s="0">
    <fb>195.1</fb>
    <v>0</v>
  </rv>
  <rv s="0">
    <fb>201.12</fb>
    <v>0</v>
  </rv>
  <rv s="0">
    <fb>201.47</fb>
    <v>0</v>
  </rv>
  <rv s="0">
    <fb>203.11</fb>
    <v>0</v>
  </rv>
  <rv s="0">
    <fb>201.49</fb>
    <v>0</v>
  </rv>
  <rv s="0">
    <fb>199.38</fb>
    <v>0</v>
  </rv>
  <rv s="0">
    <fb>205.3</fb>
    <v>0</v>
  </rv>
  <rv s="0">
    <fb>204.19</fb>
    <v>0</v>
  </rv>
  <rv s="0">
    <fb>198.47</fb>
    <v>0</v>
  </rv>
  <rv s="0">
    <fb>194.56</fb>
    <v>0</v>
  </rv>
  <rv s="0">
    <fb>188.68</fb>
    <v>0</v>
  </rv>
  <rv s="0">
    <fb>189.48</fb>
    <v>0</v>
  </rv>
  <rv s="0">
    <fb>170.36</fb>
    <v>0</v>
  </rv>
  <rv s="0">
    <fb>157.63</fb>
    <v>0</v>
  </rv>
  <rv s="0">
    <fb>161.27000000000001</fb>
    <v>0</v>
  </rv>
  <rv s="0">
    <fb>154.86000000000001</fb>
    <v>0</v>
  </rv>
  <rv s="0">
    <fb>183.62</fb>
    <v>0</v>
  </rv>
  <rv s="0">
    <fb>168.61</fb>
    <v>0</v>
  </rv>
  <rv s="0">
    <fb>172.26</fb>
    <v>0</v>
  </rv>
  <rv s="0">
    <fb>173.4</fb>
    <v>0</v>
  </rv>
  <rv s="0">
    <fb>174.11</fb>
    <v>0</v>
  </rv>
  <rv s="0">
    <fb>167.39</fb>
    <v>0</v>
  </rv>
  <rv s="0">
    <fb>166.55</fb>
    <v>0</v>
  </rv>
  <rv s="0">
    <fb>163.63999999999999</fb>
    <v>0</v>
  </rv>
  <rv s="0">
    <fb>166.82</fb>
    <v>0</v>
  </rv>
  <rv s="0">
    <fb>183.03</fb>
    <v>0</v>
  </rv>
  <rv s="0">
    <fb>184.81</fb>
    <v>0</v>
  </rv>
  <rv s="0">
    <fb>184.48</fb>
    <v>0</v>
  </rv>
  <rv s="0">
    <fb>182.51</fb>
    <v>0</v>
  </rv>
  <rv s="0">
    <fb>183.84</fb>
    <v>0</v>
  </rv>
  <rv s="0">
    <fb>183.59</fb>
    <v>0</v>
  </rv>
  <rv s="0">
    <fb>190.03</fb>
    <v>0</v>
  </rv>
  <rv s="0">
    <fb>186.77</fb>
    <v>0</v>
  </rv>
  <rv s="0">
    <fb>191.74</fb>
    <v>0</v>
  </rv>
  <rv s="0">
    <fb>193.94</fb>
    <v>0</v>
  </rv>
  <rv s="0">
    <fb>213.76</fb>
    <v>0</v>
  </rv>
  <rv s="0">
    <fb>214.79</fb>
    <v>0</v>
  </rv>
  <rv s="0">
    <fb>213.41</fb>
    <v>0</v>
  </rv>
  <rv s="0">
    <fb>213.13</fb>
    <v>0</v>
  </rv>
  <rv s="0">
    <fb>211.85</fb>
    <v>0</v>
  </rv>
  <rv s="0">
    <fb>211.54</fb>
    <v>0</v>
  </rv>
  <rv s="0">
    <fb>207.67</fb>
    <v>0</v>
  </rv>
  <rv s="0">
    <fb>205.75</fb>
    <v>0</v>
  </rv>
  <rv s="0">
    <fb>209.29</fb>
    <v>0</v>
  </rv>
  <rv s="0">
    <fb>209.09</fb>
    <v>0</v>
  </rv>
  <rv s="0">
    <fb>204.94</fb>
    <v>0</v>
  </rv>
  <rv s="0">
    <fb>208.03</fb>
    <v>0</v>
  </rv>
  <rv s="0">
    <fb>213.62</fb>
    <v>0</v>
  </rv>
  <rv s="0">
    <fb>216.8</fb>
    <v>0</v>
  </rv>
  <rv s="0">
    <fb>215.89</fb>
    <v>0</v>
  </rv>
  <rv s="0">
    <fb>217.34</fb>
    <v>0</v>
  </rv>
  <rv s="0">
    <fb>222.46</fb>
    <v>0</v>
  </rv>
  <rv s="0">
    <fb>227.32</fb>
    <v>0</v>
  </rv>
  <rv s="0">
    <fb>226.56</fb>
    <v>0</v>
  </rv>
  <rv s="0">
    <fb>226.87</fb>
    <v>0</v>
  </rv>
  <rv s="0">
    <fb>225.64</fb>
    <v>0</v>
  </rv>
  <rv s="0">
    <fb>225.11</fb>
    <v>0</v>
  </rv>
  <rv s="0">
    <fb>226.51</fb>
    <v>0</v>
  </rv>
  <rv s="0">
    <fb>235.1</fb>
    <v>0</v>
  </rv>
  <rv s="0">
    <fb>237.21</fb>
    <v>0</v>
  </rv>
  <rv s="0">
    <fb>239.07</fb>
    <v>0</v>
  </rv>
  <rv s="0">
    <fb>238.86</fb>
    <v>0</v>
  </rv>
  <rv s="0">
    <fb>238.7</fb>
    <v>0</v>
  </rv>
  <rv s="0">
    <fb>237.62</fb>
    <v>0</v>
  </rv>
  <rv s="0">
    <fb>242.14</fb>
    <v>0</v>
  </rv>
  <rv s="0">
    <fb>238.78</fb>
    <v>0</v>
  </rv>
  <rv s="0">
    <fb>244.12</fb>
    <v>0</v>
  </rv>
  <rv s="0">
    <fb>246.55</fb>
    <v>0</v>
  </rv>
  <rv s="0">
    <fb>246.17</fb>
    <v>0</v>
  </rv>
  <rv s="0">
    <fb>243.83</fb>
    <v>0</v>
  </rv>
  <rv s="0">
    <fb>246.26</fb>
    <v>0</v>
  </rv>
  <rv s="0">
    <fb>245.59</fb>
    <v>0</v>
  </rv>
  <rv s="0">
    <fb>246.53</fb>
    <v>0</v>
  </rv>
  <rv s="0">
    <fb>246.73</fb>
    <v>0</v>
  </rv>
  <rv s="0">
    <fb>246.95</fb>
    <v>0</v>
  </rv>
  <rv s="0">
    <fb>243.54</fb>
    <v>0</v>
  </rv>
  <rv s="0">
    <fb>242.06</fb>
    <v>0</v>
  </rv>
  <rv s="0">
    <fb>241.56</fb>
    <v>0</v>
  </rv>
  <rv s="0">
    <fb>241.54</fb>
    <v>0</v>
  </rv>
  <rv s="0">
    <fb>245.75</fb>
    <v>0</v>
  </rv>
  <rv s="0">
    <fb>246.19</fb>
    <v>0</v>
  </rv>
  <rv s="0">
    <fb>247.95</fb>
    <v>0</v>
  </rv>
  <rv s="0">
    <fb>240.03</fb>
    <v>0</v>
  </rv>
  <rv s="0">
    <fb>237.24</fb>
    <v>0</v>
  </rv>
  <rv s="0">
    <fb>240.4</fb>
    <v>0</v>
  </rv>
  <rv s="0">
    <fb>238.73</fb>
    <v>0</v>
  </rv>
  <rv s="0">
    <fb>236.93</fb>
    <v>0</v>
  </rv>
  <rv s="0">
    <fb>240.84</fb>
    <v>0</v>
  </rv>
  <rv s="0">
    <fb>242.87</fb>
    <v>0</v>
  </rv>
  <rv s="0">
    <fb>242.41</fb>
    <v>0</v>
  </rv>
  <rv s="0">
    <fb>250.16</fb>
    <v>0</v>
  </rv>
  <rv s="0">
    <fb>253.88</fb>
    <v>0</v>
  </rv>
  <rv s="0">
    <fb>254.14</fb>
    <v>0</v>
  </rv>
  <rv s="0">
    <fb>248.32</fb>
    <v>0</v>
  </rv>
  <rv s="0">
    <fb>249.05</fb>
    <v>0</v>
  </rv>
  <rv s="0">
    <fb>245.15</fb>
    <v>0</v>
  </rv>
  <rv s="0">
    <fb>243.74</fb>
    <v>0</v>
  </rv>
  <rv s="0">
    <fb>242.36</fb>
    <v>0</v>
  </rv>
  <rv s="0">
    <fb>249.09</fb>
    <v>0</v>
  </rv>
  <rv s="0">
    <fb>248.51</fb>
    <v>0</v>
  </rv>
  <rv s="0">
    <fb>250.85</fb>
    <v>0</v>
  </rv>
  <rv s="0">
    <fb>251.34</fb>
    <v>0</v>
  </rv>
  <rv s="0">
    <fb>252.55</fb>
    <v>0</v>
  </rv>
  <rv s="0">
    <fb>245.32</fb>
    <v>0</v>
  </rv>
  <rv s="0">
    <fb>242.83</fb>
    <v>0</v>
  </rv>
  <rv s="0">
    <fb>241.68</fb>
    <v>0</v>
  </rv>
  <rv s="0">
    <fb>244.17</fb>
    <v>0</v>
  </rv>
  <rv s="0">
    <fb>247.05</fb>
    <v>0</v>
  </rv>
  <rv s="0">
    <fb>248.85</fb>
    <v>0</v>
  </rv>
  <rv s="0">
    <fb>249.06</fb>
    <v>0</v>
  </rv>
  <rv s="0">
    <fb>253.45</fb>
    <v>0</v>
  </rv>
  <rv s="0">
    <fb>255.19</fb>
    <v>0</v>
  </rv>
  <rv s="0">
    <fb>258.58</fb>
    <v>0</v>
  </rv>
  <rv s="0">
    <fb>258.52999999999997</fb>
    <v>0</v>
  </rv>
  <rv s="0">
    <fb>267.57</fb>
    <v>0</v>
  </rv>
  <rv s="0">
    <fb>265.86</fb>
    <v>0</v>
  </rv>
  <rv s="0">
    <fb>269.83</fb>
    <v>0</v>
  </rv>
  <rv s="0">
    <fb>269.51</fb>
    <v>0</v>
  </rv>
  <rv s="0">
    <fb>269.10000000000002</fb>
    <v>0</v>
  </rv>
  <rv s="0">
    <fb>268.24</fb>
    <v>0</v>
  </rv>
  <rv s="0">
    <fb>268.83</fb>
    <v>0</v>
  </rv>
  <rv s="0">
    <fb>268.93</fb>
    <v>0</v>
  </rv>
  <rv s="0">
    <fb>271.12</fb>
    <v>0</v>
  </rv>
  <rv s="0">
    <fb>276.33999999999997</fb>
    <v>0</v>
  </rv>
  <rv s="0">
    <fb>281.69</fb>
    <v>0</v>
  </rv>
  <rv s="0">
    <fb>279.95999999999998</fb>
    <v>0</v>
  </rv>
  <rv s="0">
    <fb>288.36</fb>
    <v>0</v>
  </rv>
  <rv s="0">
    <fb>281.91000000000003</fb>
    <v>0</v>
  </rv>
  <rv s="0">
    <fb>290.19</fb>
    <v>0</v>
  </rv>
  <rv s="0">
    <fb>271.99</fb>
    <v>0</v>
  </rv>
  <rv s="0">
    <fb>284.87</fb>
    <v>0</v>
  </rv>
  <rv s="0">
    <fb>287.64</fb>
    <v>0</v>
  </rv>
  <rv s="0">
    <fb>288.98</fb>
    <v>0</v>
  </rv>
  <rv s="0">
    <fb>288.17</fb>
    <v>0</v>
  </rv>
  <rv s="0">
    <fb>292.97000000000003</fb>
    <v>0</v>
  </rv>
  <rv s="0">
    <fb>284.13</fb>
    <v>0</v>
  </rv>
  <rv s="0">
    <fb>295.86</fb>
    <v>0</v>
  </rv>
  <rv s="0">
    <fb>304.08</fb>
    <v>0</v>
  </rv>
  <rv s="0">
    <fb>304.45</fb>
    <v>0</v>
  </rv>
  <rv s="0">
    <fb>309.60000000000002</fb>
    <v>0</v>
  </rv>
  <rv s="0">
    <fb>305.41000000000003</fb>
    <v>0</v>
  </rv>
  <rv s="0">
    <fb>306.55</fb>
    <v>0</v>
  </rv>
  <rv s="0">
    <fb>308.38</fb>
    <v>0</v>
  </rv>
  <rv s="0">
    <fb>296.26</fb>
    <v>0</v>
  </rv>
  <rv s="0">
    <fb>297.5</fb>
    <v>0</v>
  </rv>
  <rv s="0">
    <fb>294.38</fb>
    <v>0</v>
  </rv>
  <rv s="0">
    <fb>302</fb>
    <v>0</v>
  </rv>
  <rv s="0">
    <fb>295.14999999999998</fb>
    <v>0</v>
  </rv>
  <rv s="0">
    <fb>289.38</fb>
    <v>0</v>
  </rv>
  <rv s="0">
    <fb>288.52</fb>
    <v>0</v>
  </rv>
  <rv s="0">
    <fb>283.56</fb>
    <v>0</v>
  </rv>
  <rv s="0">
    <fb>276.98</fb>
    <v>0</v>
  </rv>
  <rv s="0">
    <fb>253.25</fb>
    <v>0</v>
  </rv>
  <rv s="0">
    <fb>249.96</fb>
    <v>0</v>
  </rv>
  <rv s="0">
    <fb>241.99</fb>
    <v>0</v>
  </rv>
  <rv s="0">
    <fb>238.87</fb>
    <v>0</v>
  </rv>
  <rv s="0">
    <fb>242.71</fb>
    <v>0</v>
  </rv>
  <rv s="0">
    <fb>249.22</fb>
    <v>0</v>
  </rv>
  <rv s="0">
    <fb>251.37</fb>
    <v>0</v>
  </rv>
  <rv s="0">
    <fb>250.93</fb>
    <v>0</v>
  </rv>
  <rv s="0">
    <fb>248.4</fb>
    <v>0</v>
  </rv>
  <rv s="0">
    <fb>244.66</fb>
    <v>0</v>
  </rv>
  <rv s="0">
    <fb>242.17</fb>
    <v>0</v>
  </rv>
  <rv s="0">
    <fb>244.79</fb>
    <v>0</v>
  </rv>
  <rv s="0">
    <fb>251.88</fb>
    <v>0</v>
  </rv>
  <rv s="0">
    <fb>260.23</fb>
    <v>0</v>
  </rv>
  <rv s="0">
    <fb>254.04</fb>
    <v>0</v>
  </rv>
  <rv s="0">
    <fb>252.23</fb>
    <v>0</v>
  </rv>
  <rv s="0">
    <fb>247.18</fb>
    <v>0</v>
  </rv>
  <rv s="0">
    <fb>244.64</fb>
    <v>0</v>
  </rv>
  <rv s="0">
    <fb>251.21</fb>
    <v>0</v>
  </rv>
  <rv s="0">
    <fb>252.29</fb>
    <v>0</v>
  </rv>
  <rv s="0">
    <fb>258.25</fb>
    <v>0</v>
  </rv>
  <rv s="0">
    <fb>262.39</fb>
    <v>0</v>
  </rv>
  <rv s="0">
    <fb>267.17</fb>
    <v>0</v>
  </rv>
  <rv s="0">
    <fb>266.85000000000002</fb>
    <v>0</v>
  </rv>
  <rv s="0">
    <fb>261.52999999999997</fb>
    <v>0</v>
  </rv>
  <rv s="0">
    <fb>240.45</fb>
    <v>0</v>
  </rv>
  <rv s="0">
    <fb>243.62</fb>
    <v>0</v>
  </rv>
  <rv s="0">
    <fb>241.47</fb>
    <v>0</v>
  </rv>
  <rv s="0">
    <fb>247.14</fb>
    <v>0</v>
  </rv>
  <rv s="0">
    <fb>248.35</fb>
    <v>0</v>
  </rv>
  <rv s="0">
    <fb>245</fb>
    <v>0</v>
  </rv>
  <rv s="0">
    <fb>249.62</fb>
    <v>0</v>
  </rv>
  <rv s="0">
    <fb>249.87</fb>
    <v>0</v>
  </rv>
  <rv s="0">
    <fb>251.92</fb>
    <v>0</v>
  </rv>
  <rv s="0">
    <fb>252.58</fb>
    <v>0</v>
  </rv>
  <rv s="0">
    <fb>256.22000000000003</fb>
    <v>0</v>
  </rv>
  <rv s="0">
    <fb>257.33999999999997</fb>
    <v>0</v>
  </rv>
  <rv s="0">
    <fb>249.99</fb>
    <v>0</v>
  </rv>
  <rv s="0">
    <fb>243.42</fb>
    <v>0</v>
  </rv>
  <rv s="0">
    <fb>243.82</fb>
    <v>0</v>
  </rv>
  <rv s="0">
    <fb>228.79</fb>
    <v>0</v>
  </rv>
  <rv s="0">
    <fb>232.77</fb>
    <v>0</v>
  </rv>
  <rv s="0">
    <fb>225.23</fb>
    <v>0</v>
  </rv>
  <rv s="0">
    <fb>219.78</fb>
    <v>0</v>
  </rv>
  <rv s="0">
    <fb>225.09</fb>
    <v>0</v>
  </rv>
  <rv s="0">
    <fb>214.53</fb>
    <v>0</v>
  </rv>
  <rv s="0">
    <fb>220.52</fb>
    <v>0</v>
  </rv>
  <rv s="0">
    <fb>219.55</fb>
    <v>0</v>
  </rv>
  <rv s="0">
    <fb>226.57</fb>
    <v>0</v>
  </rv>
  <rv s="0">
    <fb>228.96</fb>
    <v>0</v>
  </rv>
  <rv s="0">
    <fb>225.42</fb>
    <v>0</v>
  </rv>
  <rv s="0">
    <fb>227.41</fb>
    <v>0</v>
  </rv>
  <rv s="0">
    <fb>227.05</fb>
    <v>0</v>
  </rv>
  <rv s="0">
    <fb>224.77</fb>
    <v>0</v>
  </rv>
  <rv s="0">
    <fb>230.63</fb>
    <v>0</v>
  </rv>
  <rv s="0">
    <fb>229.65</fb>
    <v>0</v>
  </rv>
  <rv s="0">
    <fb>222.01</fb>
    <v>0</v>
  </rv>
  <rv s="0">
    <fb>217.75</fb>
    <v>0</v>
  </rv>
  <rv s="0">
    <fb>211.47</fb>
    <v>0</v>
  </rv>
  <rv s="0">
    <fb>212.49</fb>
    <v>0</v>
  </rv>
  <rv s="0">
    <fb>214.09</fb>
    <v>0</v>
  </rv>
  <rv s="0">
    <fb>195.57</fb>
    <v>0</v>
  </rv>
  <rv s="0">
    <fb>180.8</fb>
    <v>0</v>
  </rv>
  <rv s="0">
    <fb>179.95</fb>
    <v>0</v>
  </rv>
  <rv s="0">
    <fb>210.83</fb>
    <v>0</v>
  </rv>
  <rv s="0">
    <fb>196.21</fb>
    <v>0</v>
  </rv>
  <rv s="0">
    <fb>201.61</fb>
    <v>0</v>
  </rv>
  <rv s="0">
    <fb>202.92</fb>
    <v>0</v>
  </rv>
  <rv s="0">
    <fb>194.35</fb>
    <v>0</v>
  </rv>
  <rv s="0">
    <fb>192.53</fb>
    <v>0</v>
  </rv>
  <rv s="0">
    <fb>187.83</fb>
    <v>0</v>
  </rv>
  <rv s="0">
    <fb>191.9</fb>
    <v>0</v>
  </rv>
  <rv s="0">
    <fb>198.91</fb>
    <v>0</v>
  </rv>
  <rv s="0">
    <fb>210.29</fb>
    <v>0</v>
  </rv>
  <rv s="0">
    <fb>211.28</fb>
    <v>0</v>
  </rv>
  <rv s="0">
    <fb>212.3</fb>
    <v>0</v>
  </rv>
  <rv s="0">
    <fb>219.03</fb>
    <v>0</v>
  </rv>
  <rv s="0">
    <fb>217.61</fb>
    <v>0</v>
  </rv>
  <rv s="0">
    <fb>220.02</fb>
    <v>0</v>
  </rv>
  <rv s="0">
    <fb>221.95</fb>
    <v>0</v>
  </rv>
  <rv s="0">
    <fb>223.4</fb>
    <v>0</v>
  </rv>
  <rv s="0">
    <fb>237.41</fb>
    <v>0</v>
  </rv>
  <rv s="0">
    <fb>245.56</fb>
    <v>0</v>
  </rv>
  <rv s="0">
    <fb>247.99</fb>
    <v>0</v>
  </rv>
  <rv s="0">
    <fb>247.13</fb>
    <v>0</v>
  </rv>
  <rv s="0">
    <fb>246.01</fb>
    <v>0</v>
  </rv>
  <rv s="0">
    <fb>245.54</fb>
    <v>0</v>
  </rv>
  <rv s="0">
    <fb>240.81</fb>
    <v>0</v>
  </rv>
  <rv s="0">
    <fb>237.44</fb>
    <v>0</v>
  </rv>
  <rv s="0">
    <fb>244.97</fb>
    <v>0</v>
  </rv>
  <rv s="0">
    <fb>244.08</fb>
    <v>0</v>
  </rv>
  <rv s="0">
    <fb>239.75</fb>
    <v>0</v>
  </rv>
  <rv s="0">
    <fb>243.3</fb>
    <v>0</v>
  </rv>
  <rv s="0">
    <fb>248.79</fb>
    <v>0</v>
  </rv>
  <rv s="0">
    <fb>251.75</fb>
    <v>0</v>
  </rv>
  <rv s="0">
    <fb>251.3</fb>
    <v>0</v>
  </rv>
  <rv s="0">
    <fb>252.73</fb>
    <v>0</v>
  </rv>
  <rv s="0">
    <fb>262.07</fb>
    <v>0</v>
  </rv>
  <rv s="0">
    <fb>261.88</fb>
    <v>0</v>
  </rv>
  <rv s="0">
    <fb>263.14999999999998</fb>
    <v>0</v>
  </rv>
  <rv s="0">
    <fb>256.99</fb>
    <v>0</v>
  </rv>
  <rv s="0">
    <fb>263.38</fb>
    <v>0</v>
  </rv>
  <rv s="0">
    <fb>261.58999999999997</fb>
    <v>0</v>
  </rv>
  <rv s="0">
    <fb>262.58999999999997</fb>
    <v>0</v>
  </rv>
  <rv s="0">
    <fb>260.27</fb>
    <v>0</v>
  </rv>
  <rv s="0">
    <fb>261.92</fb>
    <v>0</v>
  </rv>
  <rv s="0">
    <fb>271.54000000000002</fb>
    <v>0</v>
  </rv>
  <rv s="0">
    <fb>275.2</fb>
    <v>0</v>
  </rv>
  <rv s="0">
    <fb>277.2</fb>
    <v>0</v>
  </rv>
  <rv s="0">
    <fb>278.42</fb>
    <v>0</v>
  </rv>
  <rv s="0">
    <fb>278.88</fb>
    <v>0</v>
  </rv>
  <rv s="0">
    <fb>275.83999999999997</fb>
    <v>0</v>
  </rv>
  <rv s="0">
    <fb>281.25</fb>
    <v>0</v>
  </rv>
  <rv s="0">
    <fb>283.62</fb>
    <v>0</v>
  </rv>
  <rv s="0">
    <fb>279.76</fb>
    <v>0</v>
  </rv>
  <rv s="0">
    <fb>283.48</fb>
    <v>0</v>
  </rv>
  <rv s="0">
    <fb>285.42</fb>
    <v>0</v>
  </rv>
  <rv s="0">
    <fb>287.52</fb>
    <v>0</v>
  </rv>
  <rv s="0">
    <fb>287.49</fb>
    <v>0</v>
  </rv>
  <rv s="0">
    <fb>285.32</fb>
    <v>0</v>
  </rv>
  <rv s="0">
    <fb>290.8</fb>
    <v>0</v>
  </rv>
  <rv s="0">
    <fb>289.27999999999997</fb>
    <v>0</v>
  </rv>
  <rv s="0">
    <fb>291.70999999999998</fb>
    <v>0</v>
  </rv>
  <rv s="0">
    <fb>290.31</fb>
    <v>0</v>
  </rv>
  <rv s="0">
    <fb>290.51</fb>
    <v>0</v>
  </rv>
  <rv s="0">
    <fb>285.37</fb>
    <v>0</v>
  </rv>
  <rv s="0">
    <fb>286.61</fb>
    <v>0</v>
  </rv>
  <rv s="0">
    <fb>291.41000000000003</fb>
    <v>0</v>
  </rv>
  <rv s="0">
    <fb>292.89999999999998</fb>
    <v>0</v>
  </rv>
  <rv s="0">
    <fb>288.77999999999997</fb>
    <v>0</v>
  </rv>
  <rv s="0">
    <fb>283.95</fb>
    <v>0</v>
  </rv>
  <rv s="0">
    <fb>287.10000000000002</fb>
    <v>0</v>
  </rv>
  <rv s="0">
    <fb>286.62</fb>
    <v>0</v>
  </rv>
  <rv s="0">
    <fb>291.12</fb>
    <v>0</v>
  </rv>
  <rv s="0">
    <fb>293.52999999999997</fb>
    <v>0</v>
  </rv>
  <rv s="0">
    <fb>293.39999999999998</fb>
    <v>0</v>
  </rv>
  <rv s="0">
    <fb>300.10000000000002</fb>
    <v>0</v>
  </rv>
  <rv s="0">
    <fb>301.27999999999997</fb>
    <v>0</v>
  </rv>
  <rv s="0">
    <fb>301.92</fb>
    <v>0</v>
  </rv>
  <rv s="0">
    <fb>295.64999999999998</fb>
    <v>0</v>
  </rv>
  <rv s="0">
    <fb>296.86</fb>
    <v>0</v>
  </rv>
  <rv s="0">
    <fb>290.87</fb>
    <v>0</v>
  </rv>
  <rv s="0">
    <fb>288.95999999999998</fb>
    <v>0</v>
  </rv>
  <rv s="0">
    <fb>287.45999999999998</fb>
    <v>0</v>
  </rv>
  <rv s="0">
    <fb>293.64</fb>
    <v>0</v>
  </rv>
  <rv s="0">
    <fb>296.75</fb>
    <v>0</v>
  </rv>
  <rv s="0">
    <fb>297.66000000000003</fb>
    <v>0</v>
  </rv>
  <rv s="0">
    <fb>298.88</fb>
    <v>0</v>
  </rv>
  <rv s="0">
    <fb>290.29000000000002</fb>
    <v>0</v>
  </rv>
  <rv s="0">
    <fb>286.48</fb>
    <v>0</v>
  </rv>
  <rv s="0">
    <fb>286.43</fb>
    <v>0</v>
  </rv>
  <rv s="0">
    <fb>289.86</fb>
    <v>0</v>
  </rv>
  <rv s="0">
    <fb>293.27999999999997</fb>
    <v>0</v>
  </rv>
  <rv s="0">
    <fb>296.52</fb>
    <v>0</v>
  </rv>
  <rv s="0">
    <fb>297.81</fb>
    <v>0</v>
  </rv>
  <rv s="0">
    <fb>300.83</fb>
    <v>0</v>
  </rv>
  <rv s="0">
    <fb>303.93</fb>
    <v>0</v>
  </rv>
  <rv s="0">
    <fb>304.32</fb>
    <v>0</v>
  </rv>
  <rv s="0">
    <fb>307.17</fb>
    <v>0</v>
  </rv>
  <rv s="0">
    <fb>307.20999999999998</fb>
    <v>0</v>
  </rv>
  <rv s="0">
    <fb>305.25</fb>
    <v>0</v>
  </rv>
  <rv s="0">
    <fb>316.97000000000003</fb>
    <v>0</v>
  </rv>
  <rv s="0">
    <fb>322.17</fb>
    <v>0</v>
  </rv>
  <rv s="0">
    <fb>321.7</fb>
    <v>0</v>
  </rv>
  <rv s="0">
    <fb>321.11</fb>
    <v>0</v>
  </rv>
  <rv s="0">
    <fb>321.06</fb>
    <v>0</v>
  </rv>
  <rv s="0">
    <fb>321.82</fb>
    <v>0</v>
  </rv>
  <rv s="0">
    <fb>322.66000000000003</fb>
    <v>0</v>
  </rv>
  <rv s="0">
    <fb>326.36</fb>
    <v>0</v>
  </rv>
  <rv s="0">
    <fb>333.69</fb>
    <v>0</v>
  </rv>
  <rv s="0">
    <fb>338.24</fb>
    <v>0</v>
  </rv>
  <rv s="0">
    <fb>336.68</fb>
    <v>0</v>
  </rv>
  <rv s="0">
    <fb>343.38</fb>
    <v>0</v>
  </rv>
  <rv s="0">
    <fb>337.05</fb>
    <v>0</v>
  </rv>
  <rv s="0">
    <fb>346.07</fb>
    <v>0</v>
  </rv>
  <rv s="0">
    <fb>345.21</fb>
    <v>0</v>
  </rv>
  <rv s="0">
    <fb>325.33999999999997</fb>
    <v>0</v>
  </rv>
  <rv s="0">
    <fb>339.75</fb>
    <v>0</v>
  </rv>
  <rv s="0">
    <fb>333.5</fb>
    <v>0</v>
  </rv>
  <rv s="0">
    <fb>341.78</fb>
    <v>0</v>
  </rv>
  <rv s="0">
    <fb>343.3</fb>
    <v>0</v>
  </rv>
  <rv s="0">
    <fb>342.83</fb>
    <v>0</v>
  </rv>
  <rv s="0">
    <fb>347.22</fb>
    <v>0</v>
  </rv>
  <rv s="0">
    <fb>345.3</fb>
    <v>0</v>
  </rv>
  <rv s="0">
    <fb>338.6</fb>
    <v>0</v>
  </rv>
  <rv s="0">
    <fb>344.8</fb>
    <v>0</v>
  </rv>
  <rv s="0">
    <fb>351.14</fb>
    <v>0</v>
  </rv>
  <rv s="0">
    <fb>359.94</fb>
    <v>0</v>
  </rv>
  <rv s="0">
    <fb>363.11</fb>
    <v>0</v>
  </rv>
  <rv s="0">
    <fb>368.61</fb>
    <v>0</v>
  </rv>
  <rv s="0">
    <fb>363.73</fb>
    <v>0</v>
  </rv>
  <rv s="0">
    <fb>363.02</fb>
    <v>0</v>
  </rv>
  <rv s="0">
    <fb>366.1</fb>
    <v>0</v>
  </rv>
  <rv s="0">
    <fb>352.76</fb>
    <v>0</v>
  </rv>
  <rv s="0">
    <fb>359.5</fb>
    <v>0</v>
  </rv>
  <rv s="0">
    <fb>351.09</fb>
    <v>0</v>
  </rv>
  <rv s="0">
    <fb>348.12</fb>
    <v>0</v>
  </rv>
  <rv s="0">
    <fb>358.79</fb>
    <v>0</v>
  </rv>
  <rv s="0">
    <fb>351.05</fb>
    <v>0</v>
  </rv>
  <rv s="0">
    <fb>355.53</fb>
    <v>0</v>
  </rv>
  <rv s="0">
    <fb>344.82</fb>
    <v>0</v>
  </rv>
  <rv s="0">
    <fb>344.98</fb>
    <v>0</v>
  </rv>
  <rv s="0">
    <fb>340.3</fb>
    <v>0</v>
  </rv>
  <rv s="0">
    <fb>333.29</fb>
    <v>0</v>
  </rv>
  <rv s="0">
    <fb>265.16000000000003</fb>
    <v>0</v>
  </rv>
  <rv s="0">
    <fb>259.3</fb>
    <v>0</v>
  </rv>
  <rv s="0">
    <fb>247.79</fb>
    <v>0</v>
  </rv>
  <rv s="0">
    <fb>245.1</fb>
    <v>0</v>
  </rv>
  <rv s="0">
    <fb>248.46</fb>
    <v>0</v>
  </rv>
  <rv s="0">
    <fb>254.68</fb>
    <v>0</v>
  </rv>
  <rv s="0">
    <fb>257.70999999999998</fb>
    <v>0</v>
  </rv>
  <rv s="0">
    <fb>259.81</fb>
    <v>0</v>
  </rv>
  <rv s="0">
    <fb>256.2</fb>
    <v>0</v>
  </rv>
  <rv s="0">
    <fb>248.45</fb>
    <v>0</v>
  </rv>
  <rv s="0">
    <fb>252.06</fb>
    <v>0</v>
  </rv>
  <rv s="0">
    <fb>258.8</fb>
    <v>0</v>
  </rv>
  <rv s="0">
    <fb>264.77999999999997</fb>
    <v>0</v>
  </rv>
  <rv s="0">
    <fb>260.45</fb>
    <v>0</v>
  </rv>
  <rv s="0">
    <fb>255.95</fb>
    <v>0</v>
  </rv>
  <rv s="0">
    <fb>250.02</fb>
    <v>0</v>
  </rv>
  <rv s="0">
    <fb>247.75</fb>
    <v>0</v>
  </rv>
  <rv s="0">
    <fb>249.55</fb>
    <v>0</v>
  </rv>
  <rv s="0">
    <fb>257.88</fb>
    <v>0</v>
  </rv>
  <rv s="0">
    <fb>255.74</fb>
    <v>0</v>
  </rv>
  <rv s="0">
    <fb>264.39</fb>
    <v>0</v>
  </rv>
  <rv s="0">
    <fb>268.42</fb>
    <v>0</v>
  </rv>
  <rv s="0">
    <fb>269.41000000000003</fb>
    <v>0</v>
  </rv>
  <rv s="0">
    <fb>270.08</fb>
    <v>0</v>
  </rv>
  <rv s="0">
    <fb>263.55</fb>
    <v>0</v>
  </rv>
  <rv s="0">
    <fb>242.93</fb>
    <v>0</v>
  </rv>
  <rv s="0">
    <fb>247.92</fb>
    <v>0</v>
  </rv>
  <rv s="0">
    <fb>253.84</fb>
    <v>0</v>
  </rv>
  <rv s="0">
    <fb>246.93</fb>
    <v>0</v>
  </rv>
  <rv s="0">
    <fb>242.25</fb>
    <v>0</v>
  </rv>
  <rv s="0">
    <fb>239.83</fb>
    <v>0</v>
  </rv>
  <rv s="0">
    <fb>237.75</fb>
    <v>0</v>
  </rv>
  <rv s="0">
    <fb>238.46</fb>
    <v>0</v>
  </rv>
  <rv s="0">
    <fb>241.77</fb>
    <v>0</v>
  </rv>
  <rv s="0">
    <fb>243.91</fb>
    <v>0</v>
  </rv>
  <rv s="0">
    <fb>254.84</fb>
    <v>0</v>
  </rv>
  <rv s="0">
    <fb>246.62</fb>
    <v>0</v>
  </rv>
  <rv s="0">
    <fb>240.28</fb>
    <v>0</v>
  </rv>
  <rv s="0">
    <fb>237.91</fb>
    <v>0</v>
  </rv>
  <rv s="0">
    <fb>222.3</fb>
    <v>0</v>
  </rv>
  <rv s="0">
    <fb>217.93</fb>
    <v>0</v>
  </rv>
  <rv s="0">
    <fb>218.44</fb>
    <v>0</v>
  </rv>
  <rv s="0">
    <fb>222.93</fb>
    <v>0</v>
  </rv>
  <rv s="0">
    <fb>222.92</fb>
    <v>0</v>
  </rv>
  <rv s="0">
    <fb>211.59</fb>
    <v>0</v>
  </rv>
  <rv s="0">
    <fb>209.19</fb>
    <v>0</v>
  </rv>
  <rv s="0">
    <fb>212.02</fb>
    <v>0</v>
  </rv>
  <rv s="0">
    <fb>219.1</fb>
    <v>0</v>
  </rv>
  <rv s="0">
    <fb>223.06</fb>
    <v>0</v>
  </rv>
  <rv s="0">
    <fb>219.6</fb>
    <v>0</v>
  </rv>
  <rv s="0">
    <fb>222.06</fb>
    <v>0</v>
  </rv>
  <rv s="0">
    <fb>217.44</fb>
    <v>0</v>
  </rv>
  <rv s="0">
    <fb>224.47</fb>
    <v>0</v>
  </rv>
  <rv s="0">
    <fb>216.9</fb>
    <v>0</v>
  </rv>
  <rv s="0">
    <fb>211.58</fb>
    <v>0</v>
  </rv>
  <rv s="0">
    <fb>202.1</fb>
    <v>0</v>
  </rv>
  <rv s="0">
    <fb>201.58</fb>
    <v>0</v>
  </rv>
  <rv s="0">
    <fb>204.24</fb>
    <v>0</v>
  </rv>
  <rv s="0">
    <fb>179.94</fb>
    <v>0</v>
  </rv>
  <rv s="0">
    <fb>170.37</fb>
    <v>0</v>
  </rv>
  <rv s="0">
    <fb>160.63</fb>
    <v>0</v>
  </rv>
  <rv s="0">
    <fb>192.51</fb>
    <v>0</v>
  </rv>
  <rv s="0">
    <fb>174.62</fb>
    <v>0</v>
  </rv>
  <rv s="0">
    <fb>176.77</fb>
    <v>0</v>
  </rv>
  <rv s="0">
    <fb>178.99</fb>
    <v>0</v>
  </rv>
  <rv s="0">
    <fb>178.56</fb>
    <v>0</v>
  </rv>
  <rv s="0">
    <fb>172.93</fb>
    <v>0</v>
  </rv>
  <rv s="0">
    <fb>172.8</fb>
    <v>0</v>
  </rv>
  <rv s="0">
    <fb>169.65</fb>
    <v>0</v>
  </rv>
  <rv s="0">
    <fb>173.7</fb>
    <v>0</v>
  </rv>
  <rv s="0">
    <fb>180.74</fb>
    <v>0</v>
  </rv>
  <rv s="0">
    <fb>192.28</fb>
    <v>0</v>
  </rv>
  <rv s="0">
    <fb>194.68</fb>
    <v>0</v>
  </rv>
  <rv s="0">
    <fb>194.6</fb>
    <v>0</v>
  </rv>
  <rv s="0">
    <fb>192.96</fb>
    <v>0</v>
  </rv>
  <rv s="0">
    <fb>195.35</fb>
    <v>0</v>
  </rv>
  <rv s="0">
    <fb>204.1</fb>
    <v>0</v>
  </rv>
  <rv s="0">
    <fb>199.86</fb>
    <v>0</v>
  </rv>
  <rv s="0">
    <fb>201.74</fb>
    <v>0</v>
  </rv>
  <rv s="0">
    <fb>207.2</fb>
    <v>0</v>
  </rv>
  <rv s="0">
    <fb>210.7</fb>
    <v>0</v>
  </rv>
  <rv s="0">
    <fb>227.66</fb>
    <v>0</v>
  </rv>
  <rv s="0">
    <fb>236.03</fb>
    <v>0</v>
  </rv>
  <rv s="0">
    <fb>234.71</fb>
    <v>0</v>
  </rv>
  <rv s="0">
    <fb>235.59</fb>
    <v>0</v>
  </rv>
  <rv s="0">
    <fb>232.46</fb>
    <v>0</v>
  </rv>
  <rv s="0">
    <fb>224.99</fb>
    <v>0</v>
  </rv>
  <rv s="0">
    <fb>226.41</fb>
    <v>0</v>
  </rv>
  <rv s="0">
    <fb>223.15</fb>
    <v>0</v>
  </rv>
  <rv s="0">
    <fb>230.21</fb>
    <v>0</v>
  </rv>
  <rv s="0">
    <fb>227.51</fb>
    <v>0</v>
  </rv>
  <rv s="0">
    <fb>227.04</fb>
    <v>0</v>
  </rv>
  <rv s="0">
    <fb>221.13</fb>
    <v>0</v>
  </rv>
  <rv s="0">
    <fb>232.48</fb>
    <v>0</v>
  </rv>
  <rv s="0">
    <fb>236.47</fb>
    <v>0</v>
  </rv>
  <rv s="0">
    <fb>232.58</fb>
    <v>0</v>
  </rv>
  <rv s="0">
    <fb>235.3</fb>
    <v>0</v>
  </rv>
  <rv s="0">
    <fb>241.19</fb>
    <v>0</v>
  </rv>
  <rv s="0">
    <fb>245.79</fb>
    <v>0</v>
  </rv>
  <rv s="0">
    <fb>245.12</fb>
    <v>0</v>
  </rv>
  <rv s="0">
    <fb>237.25</fb>
    <v>0</v>
  </rv>
  <rv s="0">
    <fb>245.76</fb>
    <v>0</v>
  </rv>
  <rv s="0">
    <fb>242.01</fb>
    <v>0</v>
  </rv>
  <rv s="0">
    <fb>245.48</fb>
    <v>0</v>
  </rv>
  <rv s="0">
    <fb>244.21</fb>
    <v>0</v>
  </rv>
  <rv s="0">
    <fb>244.25</fb>
    <v>0</v>
  </rv>
  <rv s="0">
    <fb>253.81</fb>
    <v>0</v>
  </rv>
  <rv s="0">
    <fb>254.36</fb>
    <v>0</v>
  </rv>
  <rv s="0">
    <fb>257.77999999999997</fb>
    <v>0</v>
  </rv>
  <rv s="0">
    <fb>256.08999999999997</fb>
    <v>0</v>
  </rv>
  <rv s="0">
    <fb>256.51</fb>
    <v>0</v>
  </rv>
  <rv s="0">
    <fb>256.20999999999998</fb>
    <v>0</v>
  </rv>
  <rv s="0">
    <fb>261.81</fb>
    <v>0</v>
  </rv>
  <rv s="0">
    <fb>265.08999999999997</fb>
    <v>0</v>
  </rv>
  <rv s="0">
    <fb>257.98</fb>
    <v>0</v>
  </rv>
  <rv s="0">
    <fb>263.52999999999997</fb>
    <v>0</v>
  </rv>
  <rv s="0">
    <fb>266.43</fb>
    <v>0</v>
  </rv>
  <rv s="0">
    <fb>267.49</fb>
    <v>0</v>
  </rv>
  <rv s="0">
    <fb>264.64</fb>
    <v>0</v>
  </rv>
  <rv s="0">
    <fb>261.77999999999997</fb>
    <v>0</v>
  </rv>
  <rv s="0">
    <fb>262.62</fb>
    <v>0</v>
  </rv>
  <rv s="0">
    <fb>265.07</fb>
    <v>0</v>
  </rv>
  <rv s="0">
    <fb>268.94</fb>
    <v>0</v>
  </rv>
  <rv s="0">
    <fb>270.52</fb>
    <v>0</v>
  </rv>
  <rv s="0">
    <fb>271.61</fb>
    <v>0</v>
  </rv>
  <rv s="0">
    <fb>267.7</fb>
    <v>0</v>
  </rv>
  <rv s="0">
    <fb>267.12</fb>
    <v>0</v>
  </rv>
  <rv s="0">
    <fb>265.61</fb>
    <v>0</v>
  </rv>
  <rv s="0">
    <fb>265.45999999999998</fb>
    <v>0</v>
  </rv>
  <rv s="0">
    <fb>270.26</fb>
    <v>0</v>
  </rv>
  <rv s="0">
    <fb>268.99</fb>
    <v>0</v>
  </rv>
  <rv s="0">
    <fb>270.33</fb>
    <v>0</v>
  </rv>
  <rv s="0">
    <fb>265.35000000000002</fb>
    <v>0</v>
  </rv>
  <rv s="0">
    <fb>261.69</fb>
    <v>0</v>
  </rv>
  <rv s="0">
    <fb>267.56</fb>
    <v>0</v>
  </rv>
  <rv s="0">
    <fb>266.13</fb>
    <v>0</v>
  </rv>
  <rv s="0">
    <fb>270.11</fb>
    <v>0</v>
  </rv>
  <rv s="0">
    <fb>269.19</fb>
    <v>0</v>
  </rv>
  <rv s="0">
    <fb>281.79000000000002</fb>
    <v>0</v>
  </rv>
  <rv s="0">
    <fb>286.19</fb>
    <v>0</v>
  </rv>
  <rv s="0">
    <fb>284.89</fb>
    <v>0</v>
  </rv>
  <rv s="0">
    <fb>280.79000000000002</fb>
    <v>0</v>
  </rv>
  <rv s="0">
    <fb>283.64999999999998</fb>
    <v>0</v>
  </rv>
  <rv s="0">
    <fb>275.61</fb>
    <v>0</v>
  </rv>
  <rv s="0">
    <fb>273.89</fb>
    <v>0</v>
  </rv>
  <rv s="0">
    <fb>274.48</fb>
    <v>0</v>
  </rv>
  <rv s="0">
    <fb>286.02999999999997</fb>
    <v>0</v>
  </rv>
  <rv s="0">
    <fb>283.31</fb>
    <v>0</v>
  </rv>
  <rv s="0">
    <fb>287.91000000000003</fb>
    <v>0</v>
  </rv>
  <rv s="0">
    <fb>288.74</fb>
    <v>0</v>
  </rv>
  <rv s="0">
    <fb>293.29000000000002</fb>
    <v>0</v>
  </rv>
  <rv s="0">
    <fb>286.18</fb>
    <v>0</v>
  </rv>
  <rv s="0">
    <fb>282.76</fb>
    <v>0</v>
  </rv>
  <rv s="0">
    <fb>282.02</fb>
    <v>0</v>
  </rv>
  <rv s="0">
    <fb>289.62</fb>
    <v>0</v>
  </rv>
  <rv s="0">
    <fb>293.27</fb>
    <v>0</v>
  </rv>
  <rv s="0">
    <fb>294.14999999999998</fb>
    <v>0</v>
  </rv>
  <rv s="0">
    <fb>296.87</fb>
    <v>0</v>
  </rv>
  <rv s="0">
    <fb>299.64999999999998</fb>
    <v>0</v>
  </rv>
  <rv s="0">
    <fb>298.75</fb>
    <v>0</v>
  </rv>
  <rv s="0">
    <fb>303.17</fb>
    <v>0</v>
  </rv>
  <rv s="0">
    <fb>306.05</fb>
    <v>0</v>
  </rv>
  <rv s="0">
    <fb>308.41000000000003</fb>
    <v>0</v>
  </rv>
  <rv s="0">
    <fb>320.83</fb>
    <v>0</v>
  </rv>
  <rv s="0">
    <fb>318.72000000000003</fb>
    <v>0</v>
  </rv>
  <rv s="0">
    <fb>323.54000000000002</fb>
    <v>0</v>
  </rv>
  <rv s="0">
    <fb>322.39999999999998</fb>
    <v>0</v>
  </rv>
  <rv s="0">
    <fb>319.94</fb>
    <v>0</v>
  </rv>
  <rv s="0">
    <fb>317.92</fb>
    <v>0</v>
  </rv>
  <rv s="0">
    <fb>318.16000000000003</fb>
    <v>0</v>
  </rv>
  <rv s="0">
    <fb>316.06</fb>
    <v>0</v>
  </rv>
  <rv s="0">
    <fb>319.12</fb>
    <v>0</v>
  </rv>
  <rv s="0">
    <fb>329.87</fb>
    <v>0</v>
  </rv>
  <rv s="0">
    <fb>336.78</fb>
    <v>0</v>
  </rv>
  <rv s="0">
    <fb>330.18</fb>
    <v>0</v>
  </rv>
  <rv s="0">
    <fb>339.15</fb>
    <v>0</v>
  </rv>
  <rv s="0">
    <fb>339.06</fb>
    <v>0</v>
  </rv>
  <rv s="0">
    <fb>315.61</fb>
    <v>0</v>
  </rv>
  <rv s="0">
    <fb>338.92</fb>
    <v>0</v>
  </rv>
  <rv s="0">
    <fb>349.74</fb>
    <v>0</v>
  </rv>
  <rv s="0">
    <fb>347.77</fb>
    <v>0</v>
  </rv>
  <rv s="0">
    <fb>343.17</fb>
    <v>0</v>
  </rv>
  <rv s="0">
    <fb>350.41</fb>
    <v>0</v>
  </rv>
  <rv s="0">
    <fb>344.64</fb>
    <v>0</v>
  </rv>
  <rv s="0">
    <fb>331.67</fb>
    <v>0</v>
  </rv>
  <rv s="0">
    <fb>343.86</fb>
    <v>0</v>
  </rv>
  <rv s="0">
    <fb>345.28</fb>
    <v>0</v>
  </rv>
  <rv s="0">
    <fb>353.65</fb>
    <v>0</v>
  </rv>
  <rv s="0">
    <fb>350.42</fb>
    <v>0</v>
  </rv>
  <rv s="0">
    <fb>353.56</fb>
    <v>0</v>
  </rv>
  <rv s="0">
    <fb>348.28</fb>
    <v>0</v>
  </rv>
  <rv s="0">
    <fb>352.27</fb>
    <v>0</v>
  </rv>
  <rv s="0">
    <fb>328.9</fb>
    <v>0</v>
  </rv>
  <rv s="0">
    <fb>339</fb>
    <v>0</v>
  </rv>
  <rv s="0">
    <fb>332.38</fb>
    <v>0</v>
  </rv>
  <rv s="0">
    <fb>326.72000000000003</fb>
    <v>0</v>
  </rv>
  <rv s="0">
    <fb>334.19</fb>
    <v>0</v>
  </rv>
  <rv s="0">
    <fb>325.70999999999998</fb>
    <v>0</v>
  </rv>
  <rv s="0">
    <fb>326.20999999999998</fb>
    <v>0</v>
  </rv>
  <rv s="0">
    <fb>311.32</fb>
    <v>0</v>
  </rv>
  <rv s="0">
    <fb>309.99</fb>
    <v>0</v>
  </rv>
  <rv s="0">
    <fb>301.39999999999998</fb>
    <v>0</v>
  </rv>
  <rv s="0">
    <fb>296.43</fb>
    <v>0</v>
  </rv>
  <rv s="0">
    <fb>105.94</fb>
    <v>0</v>
  </rv>
  <rv s="0">
    <fb>101.18</fb>
    <v>0</v>
  </rv>
  <rv s="0">
    <fb>103.62</fb>
    <v>0</v>
  </rv>
  <rv s="0">
    <fb>102.92</fb>
    <v>0</v>
  </rv>
  <rv s="0">
    <fb>104.1</fb>
    <v>0</v>
  </rv>
  <rv s="0">
    <fb>103.87</fb>
    <v>0</v>
  </rv>
  <rv s="0">
    <fb>102.28</fb>
    <v>0</v>
  </rv>
  <rv s="0">
    <fb>100.94</fb>
    <v>0</v>
  </rv>
  <rv s="0">
    <fb>101.68</fb>
    <v>0</v>
  </rv>
  <rv s="0">
    <fb>99.19</fb>
    <v>0</v>
  </rv>
  <rv s="0">
    <fb>97.21</fb>
    <v>0</v>
  </rv>
  <rv s="0">
    <fb>96.36</fb>
    <v>0</v>
  </rv>
  <rv s="0">
    <fb>97.41</fb>
    <v>0</v>
  </rv>
  <rv s="0">
    <fb>99.35</fb>
    <v>0</v>
  </rv>
  <rv s="0">
    <fb>101.95</fb>
    <v>0</v>
  </rv>
  <rv s="0">
    <fb>104.11</fb>
    <v>0</v>
  </rv>
  <rv s="0">
    <fb>104.29</fb>
    <v>0</v>
  </rv>
  <rv s="0">
    <fb>103.85</fb>
    <v>0</v>
  </rv>
  <rv s="0">
    <fb>102.13</fb>
    <v>0</v>
  </rv>
  <rv s="0">
    <fb>104.99</fb>
    <v>0</v>
  </rv>
  <rv s="0">
    <fb>102.89</fb>
    <v>0</v>
  </rv>
  <rv s="0">
    <fb>104.31</fb>
    <v>0</v>
  </rv>
  <rv s="0">
    <fb>104.97</fb>
    <v>0</v>
  </rv>
  <rv s="0">
    <fb>105.24</fb>
    <v>0</v>
  </rv>
  <rv s="0">
    <fb>104.62</fb>
    <v>0</v>
  </rv>
  <rv s="0">
    <fb>106.4</fb>
    <v>0</v>
  </rv>
  <rv s="0">
    <fb>105.32</fb>
    <v>0</v>
  </rv>
  <rv s="0">
    <fb>104.96</fb>
    <v>0</v>
  </rv>
  <rv s="0">
    <fb>106.67</fb>
    <v>0</v>
  </rv>
  <rv s="0">
    <fb>106.76</fb>
    <v>0</v>
  </rv>
  <rv s="0">
    <fb>107.83</fb>
    <v>0</v>
  </rv>
  <rv s="0">
    <fb>100.45</fb>
    <v>0</v>
  </rv>
  <rv s="0">
    <fb>98.95</fb>
    <v>0</v>
  </rv>
  <rv s="0">
    <fb>96.33</fb>
    <v>0</v>
  </rv>
  <rv s="0">
    <fb>97.47</fb>
    <v>0</v>
  </rv>
  <rv s="0">
    <fb>95.63</fb>
    <v>0</v>
  </rv>
  <rv s="0">
    <fb>93.44</fb>
    <v>0</v>
  </rv>
  <rv s="0">
    <fb>91.66</fb>
    <v>0</v>
  </rv>
  <rv s="0">
    <fb>91.51</fb>
    <v>0</v>
  </rv>
  <rv s="0">
    <fb>92.95</fb>
    <v>0</v>
  </rv>
  <rv s="0">
    <fb>93.11</fb>
    <v>0</v>
  </rv>
  <rv s="0">
    <fb>89.87</fb>
    <v>0</v>
  </rv>
  <rv s="0">
    <fb>88.99</fb>
    <v>0</v>
  </rv>
  <rv s="0">
    <fb>90.32</fb>
    <v>0</v>
  </rv>
  <rv s="0">
    <fb>81.25</fb>
    <v>0</v>
  </rv>
  <rv s="0">
    <fb>80.150000000000006</fb>
    <v>0</v>
  </rv>
  <rv s="0">
    <fb>86.49</fb>
    <v>0</v>
  </rv>
  <rv s="0">
    <fb>87.98</fb>
    <v>0</v>
  </rv>
  <rv s="0">
    <fb>86.16</fb>
    <v>0</v>
  </rv>
  <rv s="0">
    <fb>93.2</fb>
    <v>0</v>
  </rv>
  <rv s="0">
    <fb>94.875</fb>
    <v>0</v>
  </rv>
  <rv s="0">
    <fb>96.1</fb>
    <v>0</v>
  </rv>
  <rv s="0">
    <fb>96.07</fb>
    <v>0</v>
  </rv>
  <rv s="0">
    <fb>97.01</fb>
    <v>0</v>
  </rv>
  <rv s="0">
    <fb>99.69</fb>
    <v>0</v>
  </rv>
  <rv s="0">
    <fb>104.73</fb>
    <v>0</v>
  </rv>
  <rv s="0">
    <fb>104.8</fb>
    <v>0</v>
  </rv>
  <rv s="0">
    <fb>104.4</fb>
    <v>0</v>
  </rv>
  <rv s="0">
    <fb>105.16</fb>
    <v>0</v>
  </rv>
  <rv s="0">
    <fb>104.69</fb>
    <v>0</v>
  </rv>
  <rv s="0">
    <fb>101.93</fb>
    <v>0</v>
  </rv>
  <rv s="0">
    <fb>103.8</fb>
    <v>0</v>
  </rv>
  <rv s="0">
    <fb>103.08</fb>
    <v>0</v>
  </rv>
  <rv s="0">
    <fb>103.65</fb>
    <v>0</v>
  </rv>
  <rv s="0">
    <fb>103.94</fb>
    <v>0</v>
  </rv>
  <rv s="0">
    <fb>104.66</fb>
    <v>0</v>
  </rv>
  <rv s="0">
    <fb>105.98</fb>
    <v>0</v>
  </rv>
  <rv s="0">
    <fb>106.13</fb>
    <v>0</v>
  </rv>
  <rv s="0">
    <fb>105.88</fb>
    <v>0</v>
  </rv>
  <rv s="0">
    <fb>105.79</fb>
    <v>0</v>
  </rv>
  <rv s="0">
    <fb>106.27</fb>
    <v>0</v>
  </rv>
  <rv s="0">
    <fb>106.65</fb>
    <v>0</v>
  </rv>
  <rv s="0">
    <fb>106.09</fb>
    <v>0</v>
  </rv>
  <rv s="0">
    <fb>105.11</fb>
    <v>0</v>
  </rv>
  <rv s="0">
    <fb>106.37</fb>
    <v>0</v>
  </rv>
  <rv s="0">
    <fb>108.71</fb>
    <v>0</v>
  </rv>
  <rv s="0">
    <fb>107.78</fb>
    <v>0</v>
  </rv>
  <rv s="0">
    <fb>108.24</fb>
    <v>0</v>
  </rv>
  <rv s="0">
    <fb>108.81</fb>
    <v>0</v>
  </rv>
  <rv s="0">
    <fb>111.27</fb>
    <v>0</v>
  </rv>
  <rv s="0">
    <fb>110.71</fb>
    <v>0</v>
  </rv>
  <rv s="0">
    <fb>111.08</fb>
    <v>0</v>
  </rv>
  <rv s="0">
    <fb>111.42</fb>
    <v>0</v>
  </rv>
  <rv s="0">
    <fb>109.15</fb>
    <v>0</v>
  </rv>
  <rv s="0">
    <fb>107.48</fb>
    <v>0</v>
  </rv>
  <rv s="0">
    <fb>109.05</fb>
    <v>0</v>
  </rv>
  <rv s="0">
    <fb>108.99</fb>
    <v>0</v>
  </rv>
  <rv s="0">
    <fb>109.81</fb>
    <v>0</v>
  </rv>
  <rv s="0">
    <fb>111.21</fb>
    <v>0</v>
  </rv>
  <rv s="0">
    <fb>110.9</fb>
    <v>0</v>
  </rv>
  <rv s="0">
    <fb>112.09</fb>
    <v>0</v>
  </rv>
  <rv s="0">
    <fb>112.69</fb>
    <v>0</v>
  </rv>
  <rv s="0">
    <fb>112.88</fb>
    <v>0</v>
  </rv>
  <rv s="0">
    <fb>112.72</fb>
    <v>0</v>
  </rv>
  <rv s="0">
    <fb>111.66</fb>
    <v>0</v>
  </rv>
  <rv s="0">
    <fb>110.98</fb>
    <v>0</v>
  </rv>
  <rv s="0">
    <fb>110.55</fb>
    <v>0</v>
  </rv>
  <rv s="0">
    <fb>109.63</fb>
    <v>0</v>
  </rv>
  <rv s="0">
    <fb>108.37</fb>
    <v>0</v>
  </rv>
  <rv s="0">
    <fb>108.34</fb>
    <v>0</v>
  </rv>
  <rv s="0">
    <fb>109.11</fb>
    <v>0</v>
  </rv>
  <rv s="0">
    <fb>109.41</fb>
    <v>0</v>
  </rv>
  <rv s="0">
    <fb>106.58</fb>
    <v>0</v>
  </rv>
  <rv s="0">
    <fb>105.96</fb>
    <v>0</v>
  </rv>
  <rv s="0">
    <fb>107.46</fb>
    <v>0</v>
  </rv>
  <rv s="0">
    <fb>106.69</fb>
    <v>0</v>
  </rv>
  <rv s="0">
    <fb>106.57</fb>
    <v>0</v>
  </rv>
  <rv s="0">
    <fb>109.09</fb>
    <v>0</v>
  </rv>
  <rv s="0">
    <fb>108.1</fb>
    <v>0</v>
  </rv>
  <rv s="0">
    <fb>110.02</fb>
    <v>0</v>
  </rv>
  <rv s="0">
    <fb>110.52</fb>
    <v>0</v>
  </rv>
  <rv s="0">
    <fb>112.24</fb>
    <v>0</v>
  </rv>
  <rv s="0">
    <fb>111.67</fb>
    <v>0</v>
  </rv>
  <rv s="0">
    <fb>113.22</fb>
    <v>0</v>
  </rv>
  <rv s="0">
    <fb>115.37</fb>
    <v>0</v>
  </rv>
  <rv s="0">
    <fb>117.19</fb>
    <v>0</v>
  </rv>
  <rv s="0">
    <fb>117.79</fb>
    <v>0</v>
  </rv>
  <rv s="0">
    <fb>116.4</fb>
    <v>0</v>
  </rv>
  <rv s="0">
    <fb>115.22</fb>
    <v>0</v>
  </rv>
  <rv s="0">
    <fb>113.895</fb>
    <v>0</v>
  </rv>
  <rv s="0">
    <fb>114.97</fb>
    <v>0</v>
  </rv>
  <rv s="0">
    <fb>115.98</fb>
    <v>0</v>
  </rv>
  <rv s="0">
    <fb>115.01</fb>
    <v>0</v>
  </rv>
  <rv s="0">
    <fb>115.07</fb>
    <v>0</v>
  </rv>
  <rv s="0">
    <fb>115.72</fb>
    <v>0</v>
  </rv>
  <rv s="0">
    <fb>114.83</fb>
    <v>0</v>
  </rv>
  <rv s="0">
    <fb>115.62</fb>
    <v>0</v>
  </rv>
  <rv s="0">
    <fb>114.37</fb>
    <v>0</v>
  </rv>
  <rv s="0">
    <fb>115.69</fb>
    <v>0</v>
  </rv>
  <rv s="0">
    <fb>115.67</fb>
    <v>0</v>
  </rv>
  <rv s="0">
    <fb>114.64</fb>
    <v>0</v>
  </rv>
  <rv s="0">
    <fb>113.29</fb>
    <v>0</v>
  </rv>
  <rv s="0">
    <fb>112.675</fb>
    <v>0</v>
  </rv>
  <rv s="0">
    <fb>113.89</fb>
    <v>0</v>
  </rv>
  <rv s="0">
    <fb>113.51</fb>
    <v>0</v>
  </rv>
  <rv s="0">
    <fb>114.79</fb>
    <v>0</v>
  </rv>
  <rv s="0">
    <fb>116</fb>
    <v>0</v>
  </rv>
  <rv s="0">
    <fb>117.08</fb>
    <v>0</v>
  </rv>
  <rv s="0">
    <fb>116.72</fb>
    <v>0</v>
  </rv>
  <rv s="0">
    <fb>113.97</fb>
    <v>0</v>
  </rv>
  <rv s="0">
    <fb>115.51</fb>
    <v>0</v>
  </rv>
  <rv s="0">
    <fb>115.7</fb>
    <v>0</v>
  </rv>
  <rv s="0">
    <fb>112</fb>
    <v>0</v>
  </rv>
  <rv s="0">
    <fb>109.31</fb>
    <v>0</v>
  </rv>
  <rv s="0">
    <fb>109.48</fb>
    <v>0</v>
  </rv>
  <rv s="0">
    <fb>111.78</fb>
    <v>0</v>
  </rv>
  <rv s="0">
    <fb>107.44</fb>
    <v>0</v>
  </rv>
  <rv s="0">
    <fb>105.49</fb>
    <v>0</v>
  </rv>
  <rv s="0">
    <fb>104.41</fb>
    <v>0</v>
  </rv>
  <rv s="0">
    <fb>203.6</fb>
    <v>0</v>
  </rv>
  <rv s="0">
    <fb>202.23</fb>
    <v>0</v>
  </rv>
  <rv s="0">
    <fb>192.62</fb>
    <v>0</v>
  </rv>
  <rv s="0">
    <fb>191.61</fb>
    <v>0</v>
  </rv>
  <rv s="0">
    <fb>193.25</fb>
    <v>0</v>
  </rv>
  <rv s="0">
    <fb>195.09</fb>
    <v>0</v>
  </rv>
  <rv s="0">
    <fb>197.14</fb>
    <v>0</v>
  </rv>
  <rv s="0">
    <fb>193.08</fb>
    <v>0</v>
  </rv>
  <rv s="0">
    <fb>190.69</fb>
    <v>0</v>
  </rv>
  <rv s="0">
    <fb>189.46539999999999</fb>
    <v>0</v>
  </rv>
  <rv s="0">
    <fb>193.85</fb>
    <v>0</v>
  </rv>
  <rv s="0">
    <fb>194.52</fb>
    <v>0</v>
  </rv>
  <rv s="0">
    <fb>190.37</fb>
    <v>0</v>
  </rv>
  <rv s="0">
    <fb>183.75</fb>
    <v>0</v>
  </rv>
  <rv s="0">
    <fb>182.25</fb>
    <v>0</v>
  </rv>
  <rv s="0">
    <fb>184.75</fb>
    <v>0</v>
  </rv>
  <rv s="0">
    <fb>189.38</fb>
    <v>0</v>
  </rv>
  <rv s="0">
    <fb>189.82</fb>
    <v>0</v>
  </rv>
  <rv s="0">
    <fb>193.23</fb>
    <v>0</v>
  </rv>
  <rv s="0">
    <fb>193.87</fb>
    <v>0</v>
  </rv>
  <rv s="0">
    <fb>193.76</fb>
    <v>0</v>
  </rv>
  <rv s="0">
    <fb>190.89</fb>
    <v>0</v>
  </rv>
  <rv s="0">
    <fb>196.49</fb>
    <v>0</v>
  </rv>
  <rv s="0">
    <fb>193.92</fb>
    <v>0</v>
  </rv>
  <rv s="0">
    <fb>194.62029999999999</fb>
    <v>0</v>
  </rv>
  <rv s="0">
    <fb>194.36</fb>
    <v>0</v>
  </rv>
  <rv s="0">
    <fb>193.57</fb>
    <v>0</v>
  </rv>
  <rv s="0">
    <fb>196.2</fb>
    <v>0</v>
  </rv>
  <rv s="0">
    <fb>197.94</fb>
    <v>0</v>
  </rv>
  <rv s="0">
    <fb>196.85</fb>
    <v>0</v>
  </rv>
  <rv s="0">
    <fb>195.26</fb>
    <v>0</v>
  </rv>
  <rv s="0">
    <fb>194.47</fb>
    <v>0</v>
  </rv>
  <rv s="0">
    <fb>194.17</fb>
    <v>0</v>
  </rv>
  <rv s="0">
    <fb>197.17</fb>
    <v>0</v>
  </rv>
  <rv s="0">
    <fb>195.44</fb>
    <v>0</v>
  </rv>
  <rv s="0">
    <fb>195.94</fb>
    <v>0</v>
  </rv>
  <rv s="0">
    <fb>193.24</fb>
    <v>0</v>
  </rv>
  <rv s="0">
    <fb>181.78</fb>
    <v>0</v>
  </rv>
  <rv s="0">
    <fb>178.48</fb>
    <v>0</v>
  </rv>
  <rv s="0">
    <fb>179.19</fb>
    <v>0</v>
  </rv>
  <rv s="0">
    <fb>175.56</fb>
    <v>0</v>
  </rv>
  <rv s="0">
    <fb>176.15</fb>
    <v>0</v>
  </rv>
  <rv s="0">
    <fb>171.66</fb>
    <v>0</v>
  </rv>
  <rv s="0">
    <fb>171.69</fb>
    <v>0</v>
  </rv>
  <rv s="0">
    <fb>168.87</fb>
    <v>0</v>
  </rv>
  <rv s="0">
    <fb>161.41999999999999</fb>
    <v>0</v>
  </rv>
  <rv s="0">
    <fb>162.05000000000001</fb>
    <v>0</v>
  </rv>
  <rv s="0">
    <fb>159.76</fb>
    <v>0</v>
  </rv>
  <rv s="0">
    <fb>166.12</fb>
    <v>0</v>
  </rv>
  <rv s="0">
    <fb>168.73</fb>
    <v>0</v>
  </rv>
  <rv s="0">
    <fb>166.84</fb>
    <v>0</v>
  </rv>
  <rv s="0">
    <fb>169.96</fb>
    <v>0</v>
  </rv>
  <rv s="0">
    <fb>172.77</fb>
    <v>0</v>
  </rv>
  <rv s="0">
    <fb>173.71</fb>
    <v>0</v>
  </rv>
  <rv s="0">
    <fb>169.83</fb>
    <v>0</v>
  </rv>
  <rv s="0">
    <fb>159.86000000000001</fb>
    <v>0</v>
  </rv>
  <rv s="0">
    <fb>162.49</fb>
    <v>0</v>
  </rv>
  <rv s="0">
    <fb>164.57</fb>
    <v>0</v>
  </rv>
  <rv s="0">
    <fb>154.38</fb>
    <v>0</v>
  </rv>
  <rv s="0">
    <fb>141.65</fb>
    <v>0</v>
  </rv>
  <rv s="0">
    <fb>157.88</fb>
    <v>0</v>
  </rv>
  <rv s="0">
    <fb>151.22999999999999</fb>
    <v>0</v>
  </rv>
  <rv s="0">
    <fb>152.44</fb>
    <v>0</v>
  </rv>
  <rv s="0">
    <fb>152.99</fb>
    <v>0</v>
  </rv>
  <rv s="0">
    <fb>153.57</fb>
    <v>0</v>
  </rv>
  <rv s="0">
    <fb>150.44569999999999</fb>
    <v>0</v>
  </rv>
  <rv s="0">
    <fb>150.40180000000001</fb>
    <v>0</v>
  </rv>
  <rv s="0">
    <fb>145.96719999999999</fb>
    <v>0</v>
  </rv>
  <rv s="0">
    <fb>150.61000000000001</fb>
    <v>0</v>
  </rv>
  <rv s="0">
    <fb>155.19999999999999</fb>
    <v>0</v>
  </rv>
  <rv s="0">
    <fb>160.9999</fb>
    <v>0</v>
  </rv>
  <rv s="0">
    <fb>163.11600000000001</fb>
    <v>0</v>
  </rv>
  <rv s="0">
    <fb>163.2028</fb>
    <v>0</v>
  </rv>
  <rv s="0">
    <fb>164.74</fb>
    <v>0</v>
  </rv>
  <rv s="0">
    <fb>163.01</fb>
    <v>0</v>
  </rv>
  <rv s="0">
    <fb>164.51</fb>
    <v>0</v>
  </rv>
  <rv s="0">
    <fb>167.81</fb>
    <v>0</v>
  </rv>
  <rv s="0">
    <fb>166.45</fb>
    <v>0</v>
  </rv>
  <rv s="0">
    <fb>165.42</fb>
    <v>0</v>
  </rv>
  <rv s="0">
    <fb>167.8</fb>
    <v>0</v>
  </rv>
  <rv s="0">
    <fb>173.24</fb>
    <v>0</v>
  </rv>
  <rv s="0">
    <fb>173.13</fb>
    <v>0</v>
  </rv>
  <rv s="0">
    <fb>179.93</fb>
    <v>0</v>
  </rv>
  <rv s="0">
    <fb>181.93</fb>
    <v>0</v>
  </rv>
  <rv s="0">
    <fb>180.83</fb>
    <v>0</v>
  </rv>
  <rv s="0">
    <fb>183.69</fb>
    <v>0</v>
  </rv>
  <rv s="0">
    <fb>181.7465</fb>
    <v>0</v>
  </rv>
  <rv s="0">
    <fb>182.41</fb>
    <v>0</v>
  </rv>
  <rv s="0">
    <fb>179.9</fb>
    <v>0</v>
  </rv>
  <rv s="0">
    <fb>178.06</fb>
    <v>0</v>
  </rv>
  <rv s="0">
    <fb>181.77</fb>
    <v>0</v>
  </rv>
  <rv s="0">
    <fb>180.17</fb>
    <v>0</v>
  </rv>
  <rv s="0">
    <fb>179.12</fb>
    <v>0</v>
  </rv>
  <rv s="0">
    <fb>179.3</fb>
    <v>0</v>
  </rv>
  <rv s="0">
    <fb>183.02</fb>
    <v>0</v>
  </rv>
  <rv s="0">
    <fb>185.01</fb>
    <v>0</v>
  </rv>
  <rv s="0">
    <fb>183.66</fb>
    <v>0</v>
  </rv>
  <rv s="0">
    <fb>187.03</fb>
    <v>0</v>
  </rv>
  <rv s="0">
    <fb>187.15</fb>
    <v>0</v>
  </rv>
  <rv s="0">
    <fb>186.49</fb>
    <v>0</v>
  </rv>
  <rv s="0">
    <fb>185.55</fb>
    <v>0</v>
  </rv>
  <rv s="0">
    <fb>179.28</fb>
    <v>0</v>
  </rv>
  <rv s="0">
    <fb>183.41</fb>
    <v>0</v>
  </rv>
  <rv s="0">
    <fb>181.79</fb>
    <v>0</v>
  </rv>
  <rv s="0">
    <fb>181.14</fb>
    <v>0</v>
  </rv>
  <rv s="0">
    <fb>179.53</fb>
    <v>0</v>
  </rv>
  <rv s="0">
    <fb>181.21</fb>
    <v>0</v>
  </rv>
  <rv s="0">
    <fb>185.62</fb>
    <v>0</v>
  </rv>
  <rv s="0">
    <fb>186.46</fb>
    <v>0</v>
  </rv>
  <rv s="0">
    <fb>189.44</fb>
    <v>0</v>
  </rv>
  <rv s="0">
    <fb>195.67</fb>
    <v>0</v>
  </rv>
  <rv s="0">
    <fb>193.82</fb>
    <v>0</v>
  </rv>
  <rv s="0">
    <fb>195.53</fb>
    <v>0</v>
  </rv>
  <rv s="0">
    <fb>192.05</fb>
    <v>0</v>
  </rv>
  <rv s="0">
    <fb>185.99</fb>
    <v>0</v>
  </rv>
  <rv s="0">
    <fb>188.05</fb>
    <v>0</v>
  </rv>
  <rv s="0">
    <fb>186.7765</fb>
    <v>0</v>
  </rv>
  <rv s="0">
    <fb>188.95</fb>
    <v>0</v>
  </rv>
  <rv s="0">
    <fb>192.09559999999999</fb>
    <v>0</v>
  </rv>
  <rv s="0">
    <fb>191.96</fb>
    <v>0</v>
  </rv>
  <rv s="0">
    <fb>192.91650000000001</fb>
    <v>0</v>
  </rv>
  <rv s="0">
    <fb>194.7072</fb>
    <v>0</v>
  </rv>
  <rv s="0">
    <fb>193.28129999999999</fb>
    <v>0</v>
  </rv>
  <rv s="0">
    <fb>193.28270000000001</fb>
    <v>0</v>
  </rv>
  <rv s="0">
    <fb>193.48650000000001</fb>
    <v>0</v>
  </rv>
  <rv s="0">
    <fb>191.73</fb>
    <v>0</v>
  </rv>
  <rv s="0">
    <fb>190.41</fb>
    <v>0</v>
  </rv>
  <rv s="0">
    <fb>186.91</fb>
    <v>0</v>
  </rv>
  <rv s="0">
    <fb>180.98</fb>
    <v>0</v>
  </rv>
  <rv s="0">
    <fb>185.85</fb>
    <v>0</v>
  </rv>
  <rv s="0">
    <fb>183.3973</fb>
    <v>0</v>
  </rv>
  <rv s="0">
    <fb>185.37</fb>
    <v>0</v>
  </rv>
  <rv s="0">
    <fb>181.57</fb>
    <v>0</v>
  </rv>
  <rv s="0">
    <fb>178.93</fb>
    <v>0</v>
  </rv>
  <rv s="0">
    <fb>184.70519999999999</fb>
    <v>0</v>
  </rv>
  <rv s="0">
    <fb>183.19</fb>
    <v>0</v>
  </rv>
  <rv s="0">
    <fb>183.99</fb>
    <v>0</v>
  </rv>
  <rv s="0">
    <fb>186.09889999999999</fb>
    <v>0</v>
  </rv>
  <rv s="0">
    <fb>182.86600000000001</fb>
    <v>0</v>
  </rv>
  <rv s="0">
    <fb>182.1087</fb>
    <v>0</v>
  </rv>
  <rv s="0">
    <fb>182.1</fb>
    <v>0</v>
  </rv>
  <rv s="0">
    <fb>188.21</fb>
    <v>0</v>
  </rv>
  <rv s="0">
    <fb>185.92</fb>
    <v>0</v>
  </rv>
  <rv s="0">
    <fb>188.94</fb>
    <v>0</v>
  </rv>
  <rv s="0">
    <fb>190.78</fb>
    <v>0</v>
  </rv>
  <rv s="0">
    <fb>188.74</fb>
    <v>0</v>
  </rv>
  <rv s="0">
    <fb>190.92</fb>
    <v>0</v>
  </rv>
  <rv s="0">
    <fb>193.51</fb>
    <v>0</v>
  </rv>
  <rv s="0">
    <fb>194.72</fb>
    <v>0</v>
  </rv>
  <rv s="0">
    <fb>192.07</fb>
    <v>0</v>
  </rv>
  <rv s="0">
    <fb>195.41</fb>
    <v>0</v>
  </rv>
  <rv s="0">
    <fb>194.01300000000001</fb>
    <v>0</v>
  </rv>
  <rv s="0">
    <fb>195.5583</fb>
    <v>0</v>
  </rv>
  <rv s="0">
    <fb>197.08</fb>
    <v>0</v>
  </rv>
  <rv s="0">
    <fb>199.01</fb>
    <v>0</v>
  </rv>
  <rv s="0">
    <fb>202.35</fb>
    <v>0</v>
  </rv>
  <rv s="0">
    <fb>205.24</fb>
    <v>0</v>
  </rv>
  <rv s="0">
    <fb>202.87</fb>
    <v>0</v>
  </rv>
  <rv s="0">
    <fb>201.53219999999999</fb>
    <v>0</v>
  </rv>
  <rv s="0">
    <fb>197.96</fb>
    <v>0</v>
  </rv>
  <rv s="0">
    <fb>200.84540000000001</fb>
    <v>0</v>
  </rv>
  <rv s="0">
    <fb>197.76</fb>
    <v>0</v>
  </rv>
  <rv s="0">
    <fb>196.86</fb>
    <v>0</v>
  </rv>
  <rv s="0">
    <fb>199.25</fb>
    <v>0</v>
  </rv>
  <rv s="0">
    <fb>199.44</fb>
    <v>0</v>
  </rv>
  <rv s="0">
    <fb>201.88399999999999</fb>
    <v>0</v>
  </rv>
  <rv s="0">
    <fb>198.44</fb>
    <v>0</v>
  </rv>
  <rv s="0">
    <fb>201.24</fb>
    <v>0</v>
  </rv>
  <rv s="0">
    <fb>201.87</fb>
    <v>0</v>
  </rv>
  <rv s="0">
    <fb>194.51750000000001</fb>
    <v>0</v>
  </rv>
  <rv s="0">
    <fb>200.63</fb>
    <v>0</v>
  </rv>
  <rv s="0">
    <fb>200.82</fb>
    <v>0</v>
  </rv>
  <rv s="0">
    <fb>196.22739999999999</fb>
    <v>0</v>
  </rv>
  <rv s="0">
    <fb>195.3355</fb>
    <v>0</v>
  </rv>
  <rv s="0">
    <fb>199.11</fb>
    <v>0</v>
  </rv>
  <rv s="0">
    <fb>196.57</fb>
    <v>0</v>
  </rv>
  <rv s="0">
    <fb>198.97499999999999</fb>
    <v>0</v>
  </rv>
  <rv s="0">
    <fb>202.28219999999999</fb>
    <v>0</v>
  </rv>
  <rv s="0">
    <fb>203.47</fb>
    <v>0</v>
  </rv>
  <rv s="0">
    <fb>202.25</fb>
    <v>0</v>
  </rv>
  <rv s="0">
    <fb>197.77</fb>
    <v>0</v>
  </rv>
  <rv s="0">
    <fb>196.08199999999999</fb>
    <v>0</v>
  </rv>
  <rv s="0">
    <fb>198.52930000000001</fb>
    <v>0</v>
  </rv>
  <rv s="0">
    <fb>198.34</fb>
    <v>0</v>
  </rv>
  <rv s="0">
    <fb>190.75</fb>
    <v>0</v>
  </rv>
  <rv s="0">
    <fb>193.9982</fb>
    <v>0</v>
  </rv>
  <rv s="0">
    <fb>189.83</fb>
    <v>0</v>
  </rv>
  <rv s="0">
    <fb>191.04</fb>
    <v>0</v>
  </rv>
  <rv s="0">
    <fb>193</fb>
    <v>0</v>
  </rv>
  <rv s="0">
    <fb>192.28550000000001</fb>
    <v>0</v>
  </rv>
  <rv s="0">
    <fb>191.37</fb>
    <v>0</v>
  </rv>
  <rv s="0">
    <fb>185.35</fb>
    <v>0</v>
  </rv>
  <rv s="0">
    <fb>184.89</fb>
    <v>0</v>
  </rv>
  <rv s="0">
    <fb>179.68</fb>
    <v>0</v>
  </rv>
  <rv s="0">
    <fb>179.79</fb>
    <v>0</v>
  </rv>
  <rv s="0">
    <fb>106.95</fb>
    <v>0</v>
  </rv>
  <rv s="0">
    <fb>106</fb>
    <v>0</v>
  </rv>
  <rv s="0">
    <fb>102.24</fb>
    <v>0</v>
  </rv>
  <rv s="0">
    <fb>104.55</fb>
    <v>0</v>
  </rv>
  <rv s="0">
    <fb>105.75</fb>
    <v>0</v>
  </rv>
  <rv s="0">
    <fb>105.77</fb>
    <v>0</v>
  </rv>
  <rv s="0">
    <fb>104.35</fb>
    <v>0</v>
  </rv>
  <rv s="0">
    <fb>102.09</fb>
    <v>0</v>
  </rv>
  <rv s="0">
    <fb>103.58</fb>
    <v>0</v>
  </rv>
  <rv s="0">
    <fb>103.29</fb>
    <v>0</v>
  </rv>
  <rv s="0">
    <fb>101.43</fb>
    <v>0</v>
  </rv>
  <rv s="0">
    <fb>100.66</fb>
    <v>0</v>
  </rv>
  <rv s="0">
    <fb>100.74</fb>
    <v>0</v>
  </rv>
  <rv s="0">
    <fb>102.98</fb>
    <v>0</v>
  </rv>
  <rv s="0">
    <fb>106.94</fb>
    <v>0</v>
  </rv>
  <rv s="0">
    <fb>102.3</fb>
    <v>0</v>
  </rv>
  <rv s="0">
    <fb>104.93</fb>
    <v>0</v>
  </rv>
  <rv s="0">
    <fb>105.15</fb>
    <v>0</v>
  </rv>
  <rv s="0">
    <fb>105</fb>
    <v>0</v>
  </rv>
  <rv s="0">
    <fb>105.63</fb>
    <v>0</v>
  </rv>
  <rv s="0">
    <fb>106.16</fb>
    <v>0</v>
  </rv>
  <rv s="0">
    <fb>105.36</fb>
    <v>0</v>
  </rv>
  <rv s="0">
    <fb>106.82</fb>
    <v>0</v>
  </rv>
  <rv s="0">
    <fb>106.53</fb>
    <v>0</v>
  </rv>
  <rv s="0">
    <fb>107.8</fb>
    <v>0</v>
  </rv>
  <rv s="0">
    <fb>108.11</fb>
    <v>0</v>
  </rv>
  <rv s="0">
    <fb>108.46</fb>
    <v>0</v>
  </rv>
  <rv s="0">
    <fb>108.17</fb>
    <v>0</v>
  </rv>
  <rv s="0">
    <fb>102.81</fb>
    <v>0</v>
  </rv>
  <rv s="0">
    <fb>98.76</fb>
    <v>0</v>
  </rv>
  <rv s="0">
    <fb>100.09</fb>
    <v>0</v>
  </rv>
  <rv s="0">
    <fb>97.24</fb>
    <v>0</v>
  </rv>
  <rv s="0">
    <fb>97.15</fb>
    <v>0</v>
  </rv>
  <rv s="0">
    <fb>98.82</fb>
    <v>0</v>
  </rv>
  <rv s="0">
    <fb>92.17</fb>
    <v>0</v>
  </rv>
  <rv s="0">
    <fb>95.03</fb>
    <v>0</v>
  </rv>
  <rv s="0">
    <fb>94.62</fb>
    <v>0</v>
  </rv>
  <rv s="0">
    <fb>94.07</fb>
    <v>0</v>
  </rv>
  <rv s="0">
    <fb>94.55</fb>
    <v>0</v>
  </rv>
  <rv s="0">
    <fb>96.66</fb>
    <v>0</v>
  </rv>
  <rv s="0">
    <fb>93.6</fb>
    <v>0</v>
  </rv>
  <rv s="0">
    <fb>90.67</fb>
    <v>0</v>
  </rv>
  <rv s="0">
    <fb>92.21</fb>
    <v>0</v>
  </rv>
  <rv s="0">
    <fb>81.16</fb>
    <v>0</v>
  </rv>
  <rv s="0">
    <fb>85.95</fb>
    <v>0</v>
  </rv>
  <rv s="0">
    <fb>87.3</fb>
    <v>0</v>
  </rv>
  <rv s="0">
    <fb>85.44</fb>
    <v>0</v>
  </rv>
  <rv s="0">
    <fb>85.03</fb>
    <v>0</v>
  </rv>
  <rv s="0">
    <fb>87.61</fb>
    <v>0</v>
  </rv>
  <rv s="0">
    <fb>92.68</fb>
    <v>0</v>
  </rv>
  <rv s="0">
    <fb>92.62</fb>
    <v>0</v>
  </rv>
  <rv s="0">
    <fb>94.19</fb>
    <v>0</v>
  </rv>
  <rv s="0">
    <fb>94.92</fb>
    <v>0</v>
  </rv>
  <rv s="0">
    <fb>95.23</fb>
    <v>0</v>
  </rv>
  <rv s="0">
    <fb>96.25</fb>
    <v>0</v>
  </rv>
  <rv s="0">
    <fb>96.02</fb>
    <v>0</v>
  </rv>
  <rv s="0">
    <fb>102.67</fb>
    <v>0</v>
  </rv>
  <rv s="0">
    <fb>103.53</fb>
    <v>0</v>
  </rv>
  <rv s="0">
    <fb>103.32</fb>
    <v>0</v>
  </rv>
  <rv s="0">
    <fb>101.58</fb>
    <v>0</v>
  </rv>
  <rv s="0">
    <fb>100.72</fb>
    <v>0</v>
  </rv>
  <rv s="0">
    <fb>103.13</fb>
    <v>0</v>
  </rv>
  <rv s="0">
    <fb>102.77</fb>
    <v>0</v>
  </rv>
  <rv s="0">
    <fb>104.68</fb>
    <v>0</v>
  </rv>
  <rv s="0">
    <fb>105.38</fb>
    <v>0</v>
  </rv>
  <rv s="0">
    <fb>105.19</fb>
    <v>0</v>
  </rv>
  <rv s="0">
    <fb>106.32</fb>
    <v>0</v>
  </rv>
  <rv s="0">
    <fb>107.01</fb>
    <v>0</v>
  </rv>
  <rv s="0">
    <fb>105.95</fb>
    <v>0</v>
  </rv>
  <rv s="0">
    <fb>107.74</fb>
    <v>0</v>
  </rv>
  <rv s="0">
    <fb>106.98</fb>
    <v>0</v>
  </rv>
  <rv s="0">
    <fb>106.11</fb>
    <v>0</v>
  </rv>
  <rv s="0">
    <fb>109.24</fb>
    <v>0</v>
  </rv>
  <rv s="0">
    <fb>109.96</fb>
    <v>0</v>
  </rv>
  <rv s="0">
    <fb>112.34</fb>
    <v>0</v>
  </rv>
  <rv s="0">
    <fb>110.96</fb>
    <v>0</v>
  </rv>
  <rv s="0">
    <fb>111.99</fb>
    <v>0</v>
  </rv>
  <rv s="0">
    <fb>113.45</fb>
    <v>0</v>
  </rv>
  <rv s="0">
    <fb>112.55</fb>
    <v>0</v>
  </rv>
  <rv s="0">
    <fb>112.73</fb>
    <v>0</v>
  </rv>
  <rv s="0">
    <fb>113.61</fb>
    <v>0</v>
  </rv>
  <rv s="0">
    <fb>113.04</fb>
    <v>0</v>
  </rv>
  <rv s="0">
    <fb>112.42</fb>
    <v>0</v>
  </rv>
  <rv s="0">
    <fb>112.75</fb>
    <v>0</v>
  </rv>
  <rv s="0">
    <fb>113.26</fb>
    <v>0</v>
  </rv>
  <rv s="0">
    <fb>113.55</fb>
    <v>0</v>
  </rv>
  <rv s="0">
    <fb>114.6</fb>
    <v>0</v>
  </rv>
  <rv s="0">
    <fb>114.42</fb>
    <v>0</v>
  </rv>
  <rv s="0">
    <fb>115.11</fb>
    <v>0</v>
  </rv>
  <rv s="0">
    <fb>114.01</fb>
    <v>0</v>
  </rv>
  <rv s="0">
    <fb>114.53</fb>
    <v>0</v>
  </rv>
  <rv s="0">
    <fb>114.88</fb>
    <v>0</v>
  </rv>
  <rv s="0">
    <fb>115.19</fb>
    <v>0</v>
  </rv>
  <rv s="0">
    <fb>115.86</fb>
    <v>0</v>
  </rv>
  <rv s="0">
    <fb>116.11</fb>
    <v>0</v>
  </rv>
  <rv s="0">
    <fb>115.93</fb>
    <v>0</v>
  </rv>
  <rv s="0">
    <fb>113.41</fb>
    <v>0</v>
  </rv>
  <rv s="0">
    <fb>116.01</fb>
    <v>0</v>
  </rv>
  <rv s="0">
    <fb>115.02</fb>
    <v>0</v>
  </rv>
  <rv s="0">
    <fb>116.7</fb>
    <v>0</v>
  </rv>
  <rv s="0">
    <fb>116.56</fb>
    <v>0</v>
  </rv>
  <rv s="0">
    <fb>117.67</fb>
    <v>0</v>
  </rv>
  <rv s="0">
    <fb>119.02</fb>
    <v>0</v>
  </rv>
  <rv s="0">
    <fb>118.87</fb>
    <v>0</v>
  </rv>
  <rv s="0">
    <fb>118.6</fb>
    <v>0</v>
  </rv>
  <rv s="0">
    <fb>118.07</fb>
    <v>0</v>
  </rv>
  <rv s="0">
    <fb>115.88</fb>
    <v>0</v>
  </rv>
  <rv s="0">
    <fb>114.68</fb>
    <v>0</v>
  </rv>
  <rv s="0">
    <fb>117.05</fb>
    <v>0</v>
  </rv>
  <rv s="0">
    <fb>117.49</fb>
    <v>0</v>
  </rv>
  <rv s="0">
    <fb>118.93</fb>
    <v>0</v>
  </rv>
  <rv s="0">
    <fb>117.25</fb>
    <v>0</v>
  </rv>
  <rv s="0">
    <fb>116.36</fb>
    <v>0</v>
  </rv>
  <rv s="0">
    <fb>117.88</fb>
    <v>0</v>
  </rv>
  <rv s="0">
    <fb>118.74</fb>
    <v>0</v>
  </rv>
  <rv s="0">
    <fb>119.46</fb>
    <v>0</v>
  </rv>
  <rv s="0">
    <fb>120.25</fb>
    <v>0</v>
  </rv>
  <rv s="0">
    <fb>120.83</fb>
    <v>0</v>
  </rv>
  <rv s="0">
    <fb>122.12</fb>
    <v>0</v>
  </rv>
  <rv s="0">
    <fb>122.44</fb>
    <v>0</v>
  </rv>
  <rv s="0">
    <fb>122.38</fb>
    <v>0</v>
  </rv>
  <rv s="0">
    <fb>124.07</fb>
    <v>0</v>
  </rv>
  <rv s="0">
    <fb>123.94</fb>
    <v>0</v>
  </rv>
  <rv s="0">
    <fb>123.62</fb>
    <v>0</v>
  </rv>
  <rv s="0">
    <fb>125.49</fb>
    <v>0</v>
  </rv>
  <rv s="0">
    <fb>126.54</fb>
    <v>0</v>
  </rv>
  <rv s="0">
    <fb>126.57</fb>
    <v>0</v>
  </rv>
  <rv s="0">
    <fb>125.63</fb>
    <v>0</v>
  </rv>
  <rv s="0">
    <fb>125.43</fb>
    <v>0</v>
  </rv>
  <rv s="0">
    <fb>125.76</fb>
    <v>0</v>
  </rv>
  <rv s="0">
    <fb>126.81</fb>
    <v>0</v>
  </rv>
  <rv s="0">
    <fb>127.65</fb>
    <v>0</v>
  </rv>
  <rv s="0">
    <fb>127.08</fb>
    <v>0</v>
  </rv>
  <rv s="0">
    <fb>128.5</fb>
    <v>0</v>
  </rv>
  <rv s="0">
    <fb>127.47</fb>
    <v>0</v>
  </rv>
  <rv s="0">
    <fb>129.46</fb>
    <v>0</v>
  </rv>
  <rv s="0">
    <fb>129.36000000000001</fb>
    <v>0</v>
  </rv>
  <rv s="0">
    <fb>124.25</fb>
    <v>0</v>
  </rv>
  <rv s="0">
    <fb>127.7</fb>
    <v>0</v>
  </rv>
  <rv s="0">
    <fb>126.32</fb>
    <v>0</v>
  </rv>
  <rv s="0">
    <fb>127.84</fb>
    <v>0</v>
  </rv>
  <rv s="0">
    <fb>127.61</fb>
    <v>0</v>
  </rv>
  <rv s="0">
    <fb>129.49</fb>
    <v>0</v>
  </rv>
  <rv s="0">
    <fb>127.57</fb>
    <v>0</v>
  </rv>
  <rv s="0">
    <fb>131.13999999999999</fb>
    <v>0</v>
  </rv>
  <rv s="0">
    <fb>134.52000000000001</fb>
    <v>0</v>
  </rv>
  <rv s="0">
    <fb>135.72</fb>
    <v>0</v>
  </rv>
  <rv s="0">
    <fb>133.66</fb>
    <v>0</v>
  </rv>
  <rv s="0">
    <fb>133.86000000000001</fb>
    <v>0</v>
  </rv>
  <rv s="0">
    <fb>134.03</fb>
    <v>0</v>
  </rv>
  <rv s="0">
    <fb>130.49</fb>
    <v>0</v>
  </rv>
  <rv s="0">
    <fb>131.56</fb>
    <v>0</v>
  </rv>
  <rv s="0">
    <fb>132.02000000000001</fb>
    <v>0</v>
  </rv>
  <rv s="0">
    <fb>131.12</fb>
    <v>0</v>
  </rv>
  <rv s="0">
    <fb>131.11000000000001</fb>
    <v>0</v>
  </rv>
  <rv s="0">
    <fb>127.52</fb>
    <v>0</v>
  </rv>
  <rv s="0">
    <fb>126.39</fb>
    <v>0</v>
  </rv>
  <rv s="0">
    <fb>647.97</fb>
    <v>0</v>
  </rv>
  <rv s="0">
    <fb>643.98</fb>
    <v>0</v>
  </rv>
  <rv s="0">
    <fb>621.26</fb>
    <v>0</v>
  </rv>
  <rv s="0">
    <fb>621.79</fb>
    <v>0</v>
  </rv>
  <rv s="0">
    <fb>631.61</fb>
    <v>0</v>
  </rv>
  <rv s="0">
    <fb>637.45000000000005</fb>
    <v>0</v>
  </rv>
  <rv s="0">
    <fb>644.45000000000005</fb>
    <v>0</v>
  </rv>
  <rv s="0">
    <fb>645.57000000000005</fb>
    <v>0</v>
  </rv>
  <rv s="0">
    <fb>635.5</fb>
    <v>0</v>
  </rv>
  <rv s="0">
    <fb>627.57000000000005</fb>
    <v>0</v>
  </rv>
  <rv s="0">
    <fb>621.79999999999995</fb>
    <v>0</v>
  </rv>
  <rv s="0">
    <fb>621.34</fb>
    <v>0</v>
  </rv>
  <rv s="0">
    <fb>632.9</fb>
    <v>0</v>
  </rv>
  <rv s="0">
    <fb>641.58000000000004</fb>
    <v>0</v>
  </rv>
  <rv s="0">
    <fb>627.47</fb>
    <v>0</v>
  </rv>
  <rv s="0">
    <fb>626.79999999999995</fb>
    <v>0</v>
  </rv>
  <rv s="0">
    <fb>613.44000000000005</fb>
    <v>0</v>
  </rv>
  <rv s="0">
    <fb>608.41999999999996</fb>
    <v>0</v>
  </rv>
  <rv s="0">
    <fb>609.87</fb>
    <v>0</v>
  </rv>
  <rv s="0">
    <fb>623.39</fb>
    <v>0</v>
  </rv>
  <rv s="0">
    <fb>618.16</fb>
    <v>0</v>
  </rv>
  <rv s="0">
    <fb>632.6</fb>
    <v>0</v>
  </rv>
  <rv s="0">
    <fb>645.27</fb>
    <v>0</v>
  </rv>
  <rv s="0">
    <fb>646.34</fb>
    <v>0</v>
  </rv>
  <rv s="0">
    <fb>640.13</fb>
    <v>0</v>
  </rv>
  <rv s="0">
    <fb>625.71</fb>
    <v>0</v>
  </rv>
  <rv s="0">
    <fb>619.84</fb>
    <v>0</v>
  </rv>
  <rv s="0">
    <fb>619.9</fb>
    <v>0</v>
  </rv>
  <rv s="0">
    <fb>616.61</fb>
    <v>0</v>
  </rv>
  <rv s="0">
    <fb>607.85</fb>
    <v>0</v>
  </rv>
  <rv s="0">
    <fb>616</fb>
    <v>0</v>
  </rv>
  <rv s="0">
    <fb>624.69000000000005</fb>
    <v>0</v>
  </rv>
  <rv s="0">
    <fb>627.03</fb>
    <v>0</v>
  </rv>
  <rv s="0">
    <fb>621.04999999999995</fb>
    <v>0</v>
  </rv>
  <rv s="0">
    <fb>627.22</fb>
    <v>0</v>
  </rv>
  <rv s="0">
    <fb>636.95000000000005</fb>
    <v>0</v>
  </rv>
  <rv s="0">
    <fb>639.87</fb>
    <v>0</v>
  </rv>
  <rv s="0">
    <fb>644.1</fb>
    <v>0</v>
  </rv>
  <rv s="0">
    <fb>643.66</fb>
    <v>0</v>
  </rv>
  <rv s="0">
    <fb>641.51</fb>
    <v>0</v>
  </rv>
  <rv s="0">
    <fb>624.14</fb>
    <v>0</v>
  </rv>
  <rv s="0">
    <fb>615.04</fb>
    <v>0</v>
  </rv>
  <rv s="0">
    <fb>605.95000000000005</fb>
    <v>0</v>
  </rv>
  <rv s="0">
    <fb>610.47</fb>
    <v>0</v>
  </rv>
  <rv s="0">
    <fb>588.97</fb>
    <v>0</v>
  </rv>
  <rv s="0">
    <fb>598.48</fb>
    <v>0</v>
  </rv>
  <rv s="0">
    <fb>578.36</fb>
    <v>0</v>
  </rv>
  <rv s="0">
    <fb>578.20000000000005</fb>
    <v>0</v>
  </rv>
  <rv s="0">
    <fb>586.91999999999996</fb>
    <v>0</v>
  </rv>
  <rv s="0">
    <fb>568.86</fb>
    <v>0</v>
  </rv>
  <rv s="0">
    <fb>575.87</fb>
    <v>0</v>
  </rv>
  <rv s="0">
    <fb>550.07000000000005</fb>
    <v>0</v>
  </rv>
  <rv s="0">
    <fb>548.37</fb>
    <v>0</v>
  </rv>
  <rv s="0">
    <fb>556.46</fb>
    <v>0</v>
  </rv>
  <rv s="0">
    <fb>546.44000000000005</fb>
    <v>0</v>
  </rv>
  <rv s="0">
    <fb>563.01</fb>
    <v>0</v>
  </rv>
  <rv s="0">
    <fb>566.35</fb>
    <v>0</v>
  </rv>
  <rv s="0">
    <fb>558.30999999999995</fb>
    <v>0</v>
  </rv>
  <rv s="0">
    <fb>565.88</fb>
    <v>0</v>
  </rv>
  <rv s="0">
    <fb>562.71</fb>
    <v>0</v>
  </rv>
  <rv s="0">
    <fb>564.61</fb>
    <v>0</v>
  </rv>
  <rv s="0">
    <fb>575.39</fb>
    <v>0</v>
  </rv>
  <rv s="0">
    <fb>563.20000000000005</fb>
    <v>0</v>
  </rv>
  <rv s="0">
    <fb>557.24</fb>
    <v>0</v>
  </rv>
  <rv s="0">
    <fb>543.24</fb>
    <v>0</v>
  </rv>
  <rv s="0">
    <fb>542.38</fb>
    <v>0</v>
  </rv>
  <rv s="0">
    <fb>546.94000000000005</fb>
    <v>0</v>
  </rv>
  <rv s="0">
    <fb>551.44000000000005</fb>
    <v>0</v>
  </rv>
  <rv s="0">
    <fb>511.5</fb>
    <v>0</v>
  </rv>
  <rv s="0">
    <fb>478.6</fb>
    <v>0</v>
  </rv>
  <rv s="0">
    <fb>479.96</fb>
    <v>0</v>
  </rv>
  <rv s="0">
    <fb>470.37</fb>
    <v>0</v>
  </rv>
  <rv s="0">
    <fb>533.78</fb>
    <v>0</v>
  </rv>
  <rv s="0">
    <fb>509.77</fb>
    <v>0</v>
  </rv>
  <rv s="0">
    <fb>520.14</fb>
    <v>0</v>
  </rv>
  <rv s="0">
    <fb>523.80999999999995</fb>
    <v>0</v>
  </rv>
  <rv s="0">
    <fb>525.79</fb>
    <v>0</v>
  </rv>
  <rv s="0">
    <fb>507.75</fb>
    <v>0</v>
  </rv>
  <rv s="0">
    <fb>505.53</fb>
    <v>0</v>
  </rv>
  <rv s="0">
    <fb>491.75</fb>
    <v>0</v>
  </rv>
  <rv s="0">
    <fb>503.85</fb>
    <v>0</v>
  </rv>
  <rv s="0">
    <fb>518.88</fb>
    <v>0</v>
  </rv>
  <rv s="0">
    <fb>538.39</fb>
    <v>0</v>
  </rv>
  <rv s="0">
    <fb>546.54999999999995</fb>
    <v>0</v>
  </rv>
  <rv s="0">
    <fb>545.51</fb>
    <v>0</v>
  </rv>
  <rv s="0">
    <fb>548.15</fb>
    <v>0</v>
  </rv>
  <rv s="0">
    <fb>549.45000000000005</fb>
    <v>0</v>
  </rv>
  <rv s="0">
    <fb>559.15</fb>
    <v>0</v>
  </rv>
  <rv s="0">
    <fb>567.54</fb>
    <v>0</v>
  </rv>
  <rv s="0">
    <fb>563.70000000000005</fb>
    <v>0</v>
  </rv>
  <rv s="0">
    <fb>558.92999999999995</fb>
    <v>0</v>
  </rv>
  <rv s="0">
    <fb>564.51</fb>
    <v>0</v>
  </rv>
  <rv s="0">
    <fb>571.17999999999995</fb>
    <v>0</v>
  </rv>
  <rv s="0">
    <fb>571.20000000000005</fb>
    <v>0</v>
  </rv>
  <rv s="0">
    <fb>598.19000000000005</fb>
    <v>0</v>
  </rv>
  <rv s="0">
    <fb>615.83000000000004</fb>
    <v>0</v>
  </rv>
  <rv s="0">
    <fb>615.54999999999995</fb>
    <v>0</v>
  </rv>
  <rv s="0">
    <fb>616.71</fb>
    <v>0</v>
  </rv>
  <rv s="0">
    <fb>615.08000000000004</fb>
    <v>0</v>
  </rv>
  <rv s="0">
    <fb>612.91999999999996</fb>
    <v>0</v>
  </rv>
  <rv s="0">
    <fb>602.19000000000005</fb>
    <v>0</v>
  </rv>
  <rv s="0">
    <fb>595.09</fb>
    <v>0</v>
  </rv>
  <rv s="0">
    <fb>609.71</fb>
    <v>0</v>
  </rv>
  <rv s="0">
    <fb>606.95000000000005</fb>
    <v>0</v>
  </rv>
  <rv s="0">
    <fb>609.13</fb>
    <v>0</v>
  </rv>
  <rv s="0">
    <fb>606.37</fb>
    <v>0</v>
  </rv>
  <rv s="0">
    <fb>611.88</fb>
    <v>0</v>
  </rv>
  <rv s="0">
    <fb>621.63</fb>
    <v>0</v>
  </rv>
  <rv s="0">
    <fb>623.30999999999995</fb>
    <v>0</v>
  </rv>
  <rv s="0">
    <fb>620.52</fb>
    <v>0</v>
  </rv>
  <rv s="0">
    <fb>626.41999999999996</fb>
    <v>0</v>
  </rv>
  <rv s="0">
    <fb>629.14</fb>
    <v>0</v>
  </rv>
  <rv s="0">
    <fb>631.77</fb>
    <v>0</v>
  </rv>
  <rv s="0">
    <fb>629.27</fb>
    <v>0</v>
  </rv>
  <rv s="0">
    <fb>633.79</fb>
    <v>0</v>
  </rv>
  <rv s="0">
    <fb>623.29</fb>
    <v>0</v>
  </rv>
  <rv s="0">
    <fb>633.85</fb>
    <v>0</v>
  </rv>
  <rv s="0">
    <fb>629.19000000000005</fb>
    <v>0</v>
  </rv>
  <rv s="0">
    <fb>631.19000000000005</fb>
    <v>0</v>
  </rv>
  <rv s="0">
    <fb>628.48</fb>
    <v>0</v>
  </rv>
  <rv s="0">
    <fb>635.15</fb>
    <v>0</v>
  </rv>
  <rv s="0">
    <fb>646.58000000000004</fb>
    <v>0</v>
  </rv>
  <rv s="0">
    <fb>652.02</fb>
    <v>0</v>
  </rv>
  <rv s="0">
    <fb>656.93</fb>
    <v>0</v>
  </rv>
  <rv s="0">
    <fb>656.54</fb>
    <v>0</v>
  </rv>
  <rv s="0">
    <fb>663.28</fb>
    <v>0</v>
  </rv>
  <rv s="0">
    <fb>656.44</fb>
    <v>0</v>
  </rv>
  <rv s="0">
    <fb>664.77</fb>
    <v>0</v>
  </rv>
  <rv s="0">
    <fb>674.02</fb>
    <v>0</v>
  </rv>
  <rv s="0">
    <fb>668.08</fb>
    <v>0</v>
  </rv>
  <rv s="0">
    <fb>671.23</fb>
    <v>0</v>
  </rv>
  <rv s="0">
    <fb>676.85</fb>
    <v>0</v>
  </rv>
  <rv s="0">
    <fb>674.58</fb>
    <v>0</v>
  </rv>
  <rv s="0">
    <fb>670.33</fb>
    <v>0</v>
  </rv>
  <rv s="0">
    <fb>670.36</fb>
    <v>0</v>
  </rv>
  <rv s="0">
    <fb>676.05</fb>
    <v>0</v>
  </rv>
  <rv s="0">
    <fb>679.05</fb>
    <v>0</v>
  </rv>
  <rv s="0">
    <fb>685.92</fb>
    <v>0</v>
  </rv>
  <rv s="0">
    <fb>685.53</fb>
    <v>0</v>
  </rv>
  <rv s="0">
    <fb>686.49</fb>
    <v>0</v>
  </rv>
  <rv s="0">
    <fb>679.79</fb>
    <v>0</v>
  </rv>
  <rv s="0">
    <fb>685.19</fb>
    <v>0</v>
  </rv>
  <rv s="0">
    <fb>687.13</fb>
    <v>0</v>
  </rv>
  <rv s="0">
    <fb>688.69</fb>
    <v>0</v>
  </rv>
  <rv s="0">
    <fb>694.14</fb>
    <v>0</v>
  </rv>
  <rv s="0">
    <fb>692.93</fb>
    <v>0</v>
  </rv>
  <rv s="0">
    <fb>694.45</fb>
    <v>0</v>
  </rv>
  <rv s="0">
    <fb>690.47</fb>
    <v>0</v>
  </rv>
  <rv s="0">
    <fb>674.4</fb>
    <v>0</v>
  </rv>
  <rv s="0">
    <fb>689.73</fb>
    <v>0</v>
  </rv>
  <rv s="0">
    <fb>683.55</fb>
    <v>0</v>
  </rv>
  <rv s="0">
    <fb>691.85</fb>
    <v>0</v>
  </rv>
  <rv s="0">
    <fb>693.2</fb>
    <v>0</v>
  </rv>
  <rv s="0">
    <fb>699.35</fb>
    <v>0</v>
  </rv>
  <rv s="0">
    <fb>695.26</fb>
    <v>0</v>
  </rv>
  <rv s="0">
    <fb>706.07</fb>
    <v>0</v>
  </rv>
  <rv s="0">
    <fb>707.29</fb>
    <v>0</v>
  </rv>
  <rv s="0">
    <fb>704.47</fb>
    <v>0</v>
  </rv>
  <rv s="0">
    <fb>700.05</fb>
    <v>0</v>
  </rv>
  <rv s="0">
    <fb>702.08</fb>
    <v>0</v>
  </rv>
  <rv s="0">
    <fb>688.81</fb>
    <v>0</v>
  </rv>
  <rv s="0">
    <fb>682.08</fb>
    <v>0</v>
  </rv>
  <rv s="0">
    <fb>694.17</fb>
    <v>0</v>
  </rv>
  <rv s="0">
    <fb>692.48</fb>
    <v>0</v>
  </rv>
  <rv s="0">
    <fb>696.03</fb>
    <v>0</v>
  </rv>
  <rv s="0">
    <fb>700.92</fb>
    <v>0</v>
  </rv>
  <rv s="0">
    <fb>707.87</fb>
    <v>0</v>
  </rv>
  <rv s="0">
    <fb>697.02</fb>
    <v>0</v>
  </rv>
  <rv s="0">
    <fb>689.81</fb>
    <v>0</v>
  </rv>
  <rv s="0">
    <fb>692.9</fb>
    <v>0</v>
  </rv>
  <rv s="0">
    <fb>697.54</fb>
    <v>0</v>
  </rv>
  <rv s="0">
    <fb>698.79</fb>
    <v>0</v>
  </rv>
  <rv s="0">
    <fb>704.92</fb>
    <v>0</v>
  </rv>
  <rv s="0">
    <fb>705.75</fb>
    <v>0</v>
  </rv>
  <rv s="0">
    <fb>714.93</fb>
    <v>0</v>
  </rv>
  <rv s="0">
    <fb>718.77</fb>
    <v>0</v>
  </rv>
  <rv s="0">
    <fb>719.57</fb>
    <v>0</v>
  </rv>
  <rv s="0">
    <fb>726.63</fb>
    <v>0</v>
  </rv>
  <rv s="0">
    <fb>724.17</fb>
    <v>0</v>
  </rv>
  <rv s="0">
    <fb>721.5</fb>
    <v>0</v>
  </rv>
  <rv s="0">
    <fb>734.31</fb>
    <v>0</v>
  </rv>
  <rv s="0">
    <fb>741.17</fb>
    <v>0</v>
  </rv>
  <rv s="0">
    <fb>753.15</fb>
    <v>0</v>
  </rv>
  <rv s="0">
    <fb>745.41</fb>
    <v>0</v>
  </rv>
  <rv s="0">
    <fb>739.06</fb>
    <v>0</v>
  </rv>
  <rv s="0">
    <fb>736.83</fb>
    <v>0</v>
  </rv>
  <rv s="0">
    <fb>738.7</fb>
    <v>0</v>
  </rv>
  <rv s="0">
    <fb>743.16</fb>
    <v>0</v>
  </rv>
  <rv s="0">
    <fb>746.63</fb>
    <v>0</v>
  </rv>
  <rv s="0">
    <fb>752.52</fb>
    <v>0</v>
  </rv>
  <rv s="0">
    <fb>757.99</fb>
    <v>0</v>
  </rv>
  <rv s="0">
    <fb>755.67</fb>
    <v>0</v>
  </rv>
  <rv s="0">
    <fb>762.18</fb>
    <v>0</v>
  </rv>
  <rv s="0">
    <fb>755.19</fb>
    <v>0</v>
  </rv>
  <rv s="0">
    <fb>768.02</fb>
    <v>0</v>
  </rv>
  <rv s="0">
    <fb>767.64</fb>
    <v>0</v>
  </rv>
  <rv s="0">
    <fb>736.33</fb>
    <v>0</v>
  </rv>
  <rv s="0">
    <fb>755.49</fb>
    <v>0</v>
  </rv>
  <rv s="0">
    <fb>745.84</fb>
    <v>0</v>
  </rv>
  <rv s="0">
    <fb>752.77</fb>
    <v>0</v>
  </rv>
  <rv s="0">
    <fb>750.35</fb>
    <v>0</v>
  </rv>
  <rv s="0">
    <fb>752.16</fb>
    <v>0</v>
  </rv>
  <rv s="0">
    <fb>761.41</fb>
    <v>0</v>
  </rv>
  <rv s="0">
    <fb>752.41</fb>
    <v>0</v>
  </rv>
  <rv s="0">
    <fb>762.26</fb>
    <v>0</v>
  </rv>
  <rv s="0">
    <fb>774.14</fb>
    <v>0</v>
  </rv>
  <rv s="0">
    <fb>788.01</fb>
    <v>0</v>
  </rv>
  <rv s="0">
    <fb>796.14</fb>
    <v>0</v>
  </rv>
  <rv s="0">
    <fb>801.52</fb>
    <v>0</v>
  </rv>
  <rv s="0">
    <fb>790.95</fb>
    <v>0</v>
  </rv>
  <rv s="0">
    <fb>793.21</fb>
    <v>0</v>
  </rv>
  <rv s="0">
    <fb>795.95</fb>
    <v>0</v>
  </rv>
  <rv s="0">
    <fb>774.45</fb>
    <v>0</v>
  </rv>
  <rv s="0">
    <fb>777.66</fb>
    <v>0</v>
  </rv>
  <rv s="0">
    <fb>762.4</fb>
    <v>0</v>
  </rv>
  <rv s="0">
    <fb>761.37</fb>
    <v>0</v>
  </rv>
  <rv s="0">
    <fb>780.37</fb>
    <v>0</v>
  </rv>
  <rv s="0">
    <fb>773.3</fb>
    <v>0</v>
  </rv>
  <rv s="0">
    <fb>774.17</fb>
    <v>0</v>
  </rv>
  <rv s="0">
    <fb>752.36</fb>
    <v>0</v>
  </rv>
  <rv s="0">
    <fb>756.26</fb>
    <v>0</v>
  </rv>
  <rv s="0">
    <fb>743.7</fb>
    <v>0</v>
  </rv>
  <rv s="0">
    <fb>732.59</fb>
    <v>0</v>
  </rv>
  <rv s="0">
    <fb>62.24</fb>
    <v>0</v>
  </rv>
  <rv s="0">
    <fb>61.78</fb>
    <v>0</v>
  </rv>
  <rv s="0">
    <fb>59.74</fb>
    <v>0</v>
  </rv>
  <rv s="0">
    <fb>59.62</fb>
    <v>0</v>
  </rv>
  <rv s="0">
    <fb>60.4</fb>
    <v>0</v>
  </rv>
  <rv s="0">
    <fb>60.77</fb>
    <v>0</v>
  </rv>
  <rv s="0">
    <fb>61.1</fb>
    <v>0</v>
  </rv>
  <rv s="0">
    <fb>61.16</fb>
    <v>0</v>
  </rv>
  <rv s="0">
    <fb>60.68</fb>
    <v>0</v>
  </rv>
  <rv s="0">
    <fb>59.92</fb>
    <v>0</v>
  </rv>
  <rv s="0">
    <fb>59.66</fb>
    <v>0</v>
  </rv>
  <rv s="0">
    <fb>60.31</fb>
    <v>0</v>
  </rv>
  <rv s="0">
    <fb>59.15</fb>
    <v>0</v>
  </rv>
  <rv s="0">
    <fb>59.49</fb>
    <v>0</v>
  </rv>
  <rv s="0">
    <fb>60.3</fb>
    <v>0</v>
  </rv>
  <rv s="0">
    <fb>61.19</fb>
    <v>0</v>
  </rv>
  <rv s="0">
    <fb>62.03</fb>
    <v>0</v>
  </rv>
  <rv s="0">
    <fb>62.57</fb>
    <v>0</v>
  </rv>
  <rv s="0">
    <fb>62.49</fb>
    <v>0</v>
  </rv>
  <rv s="0">
    <fb>61.5</fb>
    <v>0</v>
  </rv>
  <rv s="0">
    <fb>62.08</fb>
    <v>0</v>
  </rv>
  <rv s="0">
    <fb>61.79</fb>
    <v>0</v>
  </rv>
  <rv s="0">
    <fb>62.32</fb>
    <v>0</v>
  </rv>
  <rv s="0">
    <fb>62.06</fb>
    <v>0</v>
  </rv>
  <rv s="0">
    <fb>61.29</fb>
    <v>0</v>
  </rv>
  <rv s="0">
    <fb>62.17</fb>
    <v>0</v>
  </rv>
  <rv s="0">
    <fb>62.71</fb>
    <v>0</v>
  </rv>
  <rv s="0">
    <fb>62.35</fb>
    <v>0</v>
  </rv>
  <rv s="0">
    <fb>62.94</fb>
    <v>0</v>
  </rv>
  <rv s="0">
    <fb>62.82</fb>
    <v>0</v>
  </rv>
  <rv s="0">
    <fb>63.43</fb>
    <v>0</v>
  </rv>
  <rv s="0">
    <fb>63.38</fb>
    <v>0</v>
  </rv>
  <rv s="0">
    <fb>63.86</fb>
    <v>0</v>
  </rv>
  <rv s="0">
    <fb>63.95</fb>
    <v>0</v>
  </rv>
  <rv s="0">
    <fb>64</fb>
    <v>0</v>
  </rv>
  <rv s="0">
    <fb>62.97</fb>
    <v>0</v>
  </rv>
  <rv s="0">
    <fb>62.55</fb>
    <v>0</v>
  </rv>
  <rv s="0">
    <fb>61.07</fb>
    <v>0</v>
  </rv>
  <rv s="0">
    <fb>61.2</fb>
    <v>0</v>
  </rv>
  <rv s="0">
    <fb>60.35</fb>
    <v>0</v>
  </rv>
  <rv s="0">
    <fb>61.53</fb>
    <v>0</v>
  </rv>
  <rv s="0">
    <fb>60.29</fb>
    <v>0</v>
  </rv>
  <rv s="0">
    <fb>58.97</fb>
    <v>0</v>
  </rv>
  <rv s="0">
    <fb>58.45</fb>
    <v>0</v>
  </rv>
  <rv s="0">
    <fb>59.81</fb>
    <v>0</v>
  </rv>
  <rv s="0">
    <fb>60.76</fb>
    <v>0</v>
  </rv>
  <rv s="0">
    <fb>60.19</fb>
    <v>0</v>
  </rv>
  <rv s="0">
    <fb>59.87</fb>
    <v>0</v>
  </rv>
  <rv s="0">
    <fb>60.44</fb>
    <v>0</v>
  </rv>
  <rv s="0">
    <fb>60.45</fb>
    <v>0</v>
  </rv>
  <rv s="0">
    <fb>59.5</fb>
    <v>0</v>
  </rv>
  <rv s="0">
    <fb>57.93</fb>
    <v>0</v>
  </rv>
  <rv s="0">
    <fb>57.56</fb>
    <v>0</v>
  </rv>
  <rv s="0">
    <fb>57.59</fb>
    <v>0</v>
  </rv>
  <rv s="0">
    <fb>58.05</fb>
    <v>0</v>
  </rv>
  <rv s="0">
    <fb>55.54</fb>
    <v>0</v>
  </rv>
  <rv s="0">
    <fb>51.87</fb>
    <v>0</v>
  </rv>
  <rv s="0">
    <fb>52.69</fb>
    <v>0</v>
  </rv>
  <rv s="0">
    <fb>54.1</fb>
    <v>0</v>
  </rv>
  <rv s="0">
    <fb>54.85</fb>
    <v>0</v>
  </rv>
  <rv s="0">
    <fb>54.97</fb>
    <v>0</v>
  </rv>
  <rv s="0">
    <fb>54.2</fb>
    <v>0</v>
  </rv>
  <rv s="0">
    <fb>54.37</fb>
    <v>0</v>
  </rv>
  <rv s="0">
    <fb>53.6</fb>
    <v>0</v>
  </rv>
  <rv s="0">
    <fb>54.83</fb>
    <v>0</v>
  </rv>
  <rv s="0">
    <fb>57.23</fb>
    <v>0</v>
  </rv>
  <rv s="0">
    <fb>57.65</fb>
    <v>0</v>
  </rv>
  <rv s="0">
    <fb>57.63</fb>
    <v>0</v>
  </rv>
  <rv s="0">
    <fb>57.8</fb>
    <v>0</v>
  </rv>
  <rv s="0">
    <fb>59.14</fb>
    <v>0</v>
  </rv>
  <rv s="0">
    <fb>58.56</fb>
    <v>0</v>
  </rv>
  <rv s="0">
    <fb>58.954999999999998</fb>
    <v>0</v>
  </rv>
  <rv s="0">
    <fb>61.08</fb>
    <v>0</v>
  </rv>
  <rv s="0">
    <fb>61.42</fb>
    <v>0</v>
  </rv>
  <rv s="0">
    <fb>61.54</fb>
    <v>0</v>
  </rv>
  <rv s="0">
    <fb>61.82</fb>
    <v>0</v>
  </rv>
  <rv s="0">
    <fb>61.76</fb>
    <v>0</v>
  </rv>
  <rv s="0">
    <fb>61.99</fb>
    <v>0</v>
  </rv>
  <rv s="0">
    <fb>60.91</fb>
    <v>0</v>
  </rv>
  <rv s="0">
    <fb>61.98</fb>
    <v>0</v>
  </rv>
  <rv s="0">
    <fb>61.56</fb>
    <v>0</v>
  </rv>
  <rv s="0">
    <fb>61.62</fb>
    <v>0</v>
  </rv>
  <rv s="0">
    <fb>62.69</fb>
    <v>0</v>
  </rv>
  <rv s="0">
    <fb>62.81</fb>
    <v>0</v>
  </rv>
  <rv s="0">
    <fb>63.47</fb>
    <v>0</v>
  </rv>
  <rv s="0">
    <fb>63.87</fb>
    <v>0</v>
  </rv>
  <rv s="0">
    <fb>63.98</fb>
    <v>0</v>
  </rv>
  <rv s="0">
    <fb>63.7</fb>
    <v>0</v>
  </rv>
  <rv s="0">
    <fb>62.91</fb>
    <v>0</v>
  </rv>
  <rv s="0">
    <fb>62.93</fb>
    <v>0</v>
  </rv>
  <rv s="0">
    <fb>63.1</fb>
    <v>0</v>
  </rv>
  <rv s="0">
    <fb>64.42</fb>
    <v>0</v>
  </rv>
  <rv s="0">
    <fb>64.489999999999995</fb>
    <v>0</v>
  </rv>
  <rv s="0">
    <fb>64.989999999999995</fb>
    <v>0</v>
  </rv>
  <rv s="0">
    <fb>65.25</fb>
    <v>0</v>
  </rv>
  <rv s="0">
    <fb>65.040000000000006</fb>
    <v>0</v>
  </rv>
  <rv s="0">
    <fb>65.599999999999994</fb>
    <v>0</v>
  </rv>
  <rv s="0">
    <fb>66.36</fb>
    <v>0</v>
  </rv>
  <rv s="0">
    <fb>65.52</fb>
    <v>0</v>
  </rv>
  <rv s="0">
    <fb>65.94</fb>
    <v>0</v>
  </rv>
  <rv s="0">
    <fb>66.33</fb>
    <v>0</v>
  </rv>
  <rv s="0">
    <fb>65.59</fb>
    <v>0</v>
  </rv>
  <rv s="0">
    <fb>65.45</fb>
    <v>0</v>
  </rv>
  <rv s="0">
    <fb>65.739999999999995</fb>
    <v>0</v>
  </rv>
  <rv s="0">
    <fb>66.31</fb>
    <v>0</v>
  </rv>
  <rv s="0">
    <fb>66.4131</fb>
    <v>0</v>
  </rv>
  <rv s="0">
    <fb>66.646500000000003</fb>
    <v>0</v>
  </rv>
  <rv s="0">
    <fb>67.63</fb>
    <v>0</v>
  </rv>
  <rv s="0">
    <fb>67.39</fb>
    <v>0</v>
  </rv>
  <rv s="0">
    <fb>67.44</fb>
    <v>0</v>
  </rv>
  <rv s="0">
    <fb>67.209999999999994</fb>
    <v>0</v>
  </rv>
  <rv s="0">
    <fb>67.010000000000005</fb>
    <v>0</v>
  </rv>
  <rv s="0">
    <fb>66.69</fb>
    <v>0</v>
  </rv>
  <rv s="0">
    <fb>65.22</fb>
    <v>0</v>
  </rv>
  <rv s="0">
    <fb>66.069999999999993</fb>
    <v>0</v>
  </rv>
  <rv s="0">
    <fb>65.812799999999996</fb>
    <v>0</v>
  </rv>
  <rv s="0">
    <fb>65.84</fb>
    <v>0</v>
  </rv>
  <rv s="0">
    <fb>65.709999999999994</fb>
    <v>0</v>
  </rv>
  <rv s="0">
    <fb>65.489999999999995</fb>
    <v>0</v>
  </rv>
  <rv s="0">
    <fb>66.27</fb>
    <v>0</v>
  </rv>
  <rv s="0">
    <fb>67.22</fb>
    <v>0</v>
  </rv>
  <rv s="0">
    <fb>66.790000000000006</fb>
    <v>0</v>
  </rv>
  <rv s="0">
    <fb>66.510000000000005</fb>
    <v>0</v>
  </rv>
  <rv s="0">
    <fb>66.260000000000005</fb>
    <v>0</v>
  </rv>
  <rv s="0">
    <fb>67.819999999999993</fb>
    <v>0</v>
  </rv>
  <rv s="0">
    <fb>67.31</fb>
    <v>0</v>
  </rv>
  <rv s="0">
    <fb>67.81</fb>
    <v>0</v>
  </rv>
  <rv s="0">
    <fb>68.11</fb>
    <v>0</v>
  </rv>
  <rv s="0">
    <fb>68.53</fb>
    <v>0</v>
  </rv>
  <rv s="0">
    <fb>68.2</fb>
    <v>0</v>
  </rv>
  <rv s="0">
    <fb>67.66</fb>
    <v>0</v>
  </rv>
  <rv s="0">
    <fb>68.92</fb>
    <v>0</v>
  </rv>
  <rv s="0">
    <fb>69.7</fb>
    <v>0</v>
  </rv>
  <rv s="0">
    <fb>69.680000000000007</fb>
    <v>0</v>
  </rv>
  <rv s="0">
    <fb>69.09</fb>
    <v>0</v>
  </rv>
  <rv s="0">
    <fb>69.87</fb>
    <v>0</v>
  </rv>
  <rv s="0">
    <fb>69.38</fb>
    <v>0</v>
  </rv>
  <rv s="0">
    <fb>69.888900000000007</fb>
    <v>0</v>
  </rv>
  <rv s="0">
    <fb>70.155100000000004</fb>
    <v>0</v>
  </rv>
  <rv s="0">
    <fb>70.349999999999994</fb>
    <v>0</v>
  </rv>
  <rv s="0">
    <fb>71.540000000000006</fb>
    <v>0</v>
  </rv>
  <rv s="0">
    <fb>71.430000000000007</fb>
    <v>0</v>
  </rv>
  <rv s="0">
    <fb>71.97</fb>
    <v>0</v>
  </rv>
  <rv s="0">
    <fb>71.38</fb>
    <v>0</v>
  </rv>
  <rv s="0">
    <fb>71.264600000000002</fb>
    <v>0</v>
  </rv>
  <rv s="0">
    <fb>70.790000000000006</fb>
    <v>0</v>
  </rv>
  <rv s="0">
    <fb>70.877200000000002</fb>
    <v>0</v>
  </rv>
  <rv s="0">
    <fb>71.940600000000003</fb>
    <v>0</v>
  </rv>
  <rv s="0">
    <fb>73.075299999999999</fb>
    <v>0</v>
  </rv>
  <rv s="0">
    <fb>73.599999999999994</fb>
    <v>0</v>
  </rv>
  <rv s="0">
    <fb>73.557000000000002</fb>
    <v>0</v>
  </rv>
  <rv s="0">
    <fb>74.268699999999995</fb>
    <v>0</v>
  </rv>
  <rv s="0">
    <fb>73.319999999999993</fb>
    <v>0</v>
  </rv>
  <rv s="0">
    <fb>74.010900000000007</fb>
    <v>0</v>
  </rv>
  <rv s="0">
    <fb>71.459999999999994</fb>
    <v>0</v>
  </rv>
  <rv s="0">
    <fb>72.890600000000006</fb>
    <v>0</v>
  </rv>
  <rv s="0">
    <fb>72.360299999999995</fb>
    <v>0</v>
  </rv>
  <rv s="0">
    <fb>72.989999999999995</fb>
    <v>0</v>
  </rv>
  <rv s="0">
    <fb>72.866</fb>
    <v>0</v>
  </rv>
  <rv s="0">
    <fb>72.968699999999998</fb>
    <v>0</v>
  </rv>
  <rv s="0">
    <fb>73.896500000000003</fb>
    <v>0</v>
  </rv>
  <rv s="0">
    <fb>73.84</fb>
    <v>0</v>
  </rv>
  <rv s="0">
    <fb>73.209999999999994</fb>
    <v>0</v>
  </rv>
  <rv s="0">
    <fb>74.039599999999993</fb>
    <v>0</v>
  </rv>
  <rv s="0">
    <fb>75.44</fb>
    <v>0</v>
  </rv>
  <rv s="0">
    <fb>75.37</fb>
    <v>0</v>
  </rv>
  <rv s="0">
    <fb>75.223600000000005</fb>
    <v>0</v>
  </rv>
  <rv s="0">
    <fb>74.614000000000004</fb>
    <v>0</v>
  </rv>
  <rv s="0">
    <fb>75.19</fb>
    <v>0</v>
  </rv>
  <rv s="0">
    <fb>75.468900000000005</fb>
    <v>0</v>
  </rv>
  <rv s="0">
    <fb>73.86</fb>
    <v>0</v>
  </rv>
  <rv s="0">
    <fb>74.689899999999994</fb>
    <v>0</v>
  </rv>
  <rv s="0">
    <fb>73.723200000000006</fb>
    <v>0</v>
  </rv>
  <rv s="0">
    <fb>73.523200000000003</fb>
    <v>0</v>
  </rv>
  <rv s="0">
    <fb>74.94</fb>
    <v>0</v>
  </rv>
  <rv s="0">
    <fb>75.08</fb>
    <v>0</v>
  </rv>
  <rv s="0">
    <fb>75.131900000000002</fb>
    <v>0</v>
  </rv>
  <rv s="0">
    <fb>73.829599999999999</fb>
    <v>0</v>
  </rv>
  <rv s="0">
    <fb>73.709999999999994</fb>
    <v>0</v>
  </rv>
  <rv s="0">
    <fb>72.994200000000006</fb>
    <v>0</v>
  </rv>
  <rv s="0">
    <fb>72.314599999999999</fb>
    <v>0</v>
  </rv>
  <rv s="0">
    <fb>66.290000000000006</fb>
    <v>0</v>
  </rv>
  <rv s="0">
    <fb>63.24</fb>
    <v>0</v>
  </rv>
  <rv s="0">
    <fb>64.040000000000006</fb>
    <v>0</v>
  </rv>
  <rv s="0">
    <fb>65.05</fb>
    <v>0</v>
  </rv>
  <rv s="0">
    <fb>65.3</fb>
    <v>0</v>
  </rv>
  <rv s="0">
    <fb>63.81</fb>
    <v>0</v>
  </rv>
  <rv s="0">
    <fb>63.45</fb>
    <v>0</v>
  </rv>
  <rv s="0">
    <fb>63.75</fb>
    <v>0</v>
  </rv>
  <rv s="0">
    <fb>64.77</fb>
    <v>0</v>
  </rv>
  <rv s="0">
    <fb>64.16</fb>
    <v>0</v>
  </rv>
  <rv s="0">
    <fb>63.53</fb>
    <v>0</v>
  </rv>
  <rv s="0">
    <fb>63.21</fb>
    <v>0</v>
  </rv>
  <rv s="0">
    <fb>63.65</fb>
    <v>0</v>
  </rv>
  <rv s="0">
    <fb>64.709999999999994</fb>
    <v>0</v>
  </rv>
  <rv s="0">
    <fb>64.739999999999995</fb>
    <v>0</v>
  </rv>
  <rv s="0">
    <fb>66.22</fb>
    <v>0</v>
  </rv>
  <rv s="0">
    <fb>66.709999999999994</fb>
    <v>0</v>
  </rv>
  <rv s="0">
    <fb>65.36</fb>
    <v>0</v>
  </rv>
  <rv s="0">
    <fb>66.62</fb>
    <v>0</v>
  </rv>
  <rv s="0">
    <fb>67.64</fb>
    <v>0</v>
  </rv>
  <rv s="0">
    <fb>69.31</fb>
    <v>0</v>
  </rv>
  <rv s="0">
    <fb>68.900000000000006</fb>
    <v>0</v>
  </rv>
  <rv s="0">
    <fb>69.42</fb>
    <v>0</v>
  </rv>
  <rv s="0">
    <fb>70.33</fb>
    <v>0</v>
  </rv>
  <rv s="0">
    <fb>71.67</fb>
    <v>0</v>
  </rv>
  <rv s="0">
    <fb>70.22</fb>
    <v>0</v>
  </rv>
  <rv s="0">
    <fb>67.69</fb>
    <v>0</v>
  </rv>
  <rv s="0">
    <fb>67.06</fb>
    <v>0</v>
  </rv>
  <rv s="0">
    <fb>65.56</fb>
    <v>0</v>
  </rv>
  <rv s="0">
    <fb>66.11</fb>
    <v>0</v>
  </rv>
  <rv s="0">
    <fb>65.42</fb>
    <v>0</v>
  </rv>
  <rv s="0">
    <fb>66.44</fb>
    <v>0</v>
  </rv>
  <rv s="0">
    <fb>65.930000000000007</fb>
    <v>0</v>
  </rv>
  <rv s="0">
    <fb>63.28</fb>
    <v>0</v>
  </rv>
  <rv s="0">
    <fb>64.19</fb>
    <v>0</v>
  </rv>
  <rv s="0">
    <fb>62.72</fb>
    <v>0</v>
  </rv>
  <rv s="0">
    <fb>65.8</fb>
    <v>0</v>
  </rv>
  <rv s="0">
    <fb>65.08</fb>
    <v>0</v>
  </rv>
  <rv s="0">
    <fb>64.98</fb>
    <v>0</v>
  </rv>
  <rv s="0">
    <fb>66.03</fb>
    <v>0</v>
  </rv>
  <rv s="0">
    <fb>66.78</fb>
    <v>0</v>
  </rv>
  <rv s="0">
    <fb>65.62</fb>
    <v>0</v>
  </rv>
  <rv s="0">
    <fb>64.61</fb>
    <v>0</v>
  </rv>
  <rv s="0">
    <fb>63.39</fb>
    <v>0</v>
  </rv>
  <rv s="0">
    <fb>63</fb>
    <v>0</v>
  </rv>
  <rv s="0">
    <fb>63.52</fb>
    <v>0</v>
  </rv>
  <rv s="0">
    <fb>64.45</fb>
    <v>0</v>
  </rv>
  <rv s="0">
    <fb>61.27</fb>
    <v>0</v>
  </rv>
  <rv s="0">
    <fb>57.54</fb>
    <v>0</v>
  </rv>
  <rv s="0">
    <fb>57.71</fb>
    <v>0</v>
  </rv>
  <rv s="0">
    <fb>57.46</fb>
    <v>0</v>
  </rv>
  <rv s="0">
    <fb>62.56</fb>
    <v>0</v>
  </rv>
  <rv s="0">
    <fb>62.75</fb>
    <v>0</v>
  </rv>
  <rv s="0">
    <fb>62.23</fb>
    <v>0</v>
  </rv>
  <rv s="0">
    <fb>60.22</fb>
    <v>0</v>
  </rv>
  <rv s="0">
    <fb>61.31</fb>
    <v>0</v>
  </rv>
  <rv s="0">
    <fb>64.7</fb>
    <v>0</v>
  </rv>
  <rv s="0">
    <fb>65.31</fb>
    <v>0</v>
  </rv>
  <rv s="0">
    <fb>65.53</fb>
    <v>0</v>
  </rv>
  <rv s="0">
    <fb>66.489999999999995</fb>
    <v>0</v>
  </rv>
  <rv s="0">
    <fb>66.540000000000006</fb>
    <v>0</v>
  </rv>
  <rv s="0">
    <fb>67.680000000000007</fb>
    <v>0</v>
  </rv>
  <rv s="0">
    <fb>68</fb>
    <v>0</v>
  </rv>
  <rv s="0">
    <fb>68.08</fb>
    <v>0</v>
  </rv>
  <rv s="0">
    <fb>68.150000000000006</fb>
    <v>0</v>
  </rv>
  <rv s="0">
    <fb>68.510000000000005</fb>
    <v>0</v>
  </rv>
  <rv s="0">
    <fb>67.91</fb>
    <v>0</v>
  </rv>
  <rv s="0">
    <fb>70.08</fb>
    <v>0</v>
  </rv>
  <rv s="0">
    <fb>70.75</fb>
    <v>0</v>
  </rv>
  <rv s="0">
    <fb>70.3</fb>
    <v>0</v>
  </rv>
  <rv s="0">
    <fb>71.02</fb>
    <v>0</v>
  </rv>
  <rv s="0">
    <fb>71.42</fb>
    <v>0</v>
  </rv>
  <rv s="0">
    <fb>71.650000000000006</fb>
    <v>0</v>
  </rv>
  <rv s="0">
    <fb>71.81</fb>
    <v>0</v>
  </rv>
  <rv s="0">
    <fb>71.52</fb>
    <v>0</v>
  </rv>
  <rv s="0">
    <fb>71.05</fb>
    <v>0</v>
  </rv>
  <rv s="0">
    <fb>71.41</fb>
    <v>0</v>
  </rv>
  <rv s="0">
    <fb>71.819999999999993</fb>
    <v>0</v>
  </rv>
  <rv s="0">
    <fb>73.3</fb>
    <v>0</v>
  </rv>
  <rv s="0">
    <fb>72.94</fb>
    <v>0</v>
  </rv>
  <rv s="0">
    <fb>73.290000000000006</fb>
    <v>0</v>
  </rv>
  <rv s="0">
    <fb>73.48</fb>
    <v>0</v>
  </rv>
  <rv s="0">
    <fb>72.78</fb>
    <v>0</v>
  </rv>
  <rv s="0">
    <fb>73.11</fb>
    <v>0</v>
  </rv>
  <rv s="0">
    <fb>72.400000000000006</fb>
    <v>0</v>
  </rv>
  <rv s="0">
    <fb>73.25</fb>
    <v>0</v>
  </rv>
  <rv s="0">
    <fb>72.930000000000007</fb>
    <v>0</v>
  </rv>
  <rv s="0">
    <fb>72.17</fb>
    <v>0</v>
  </rv>
  <rv s="0">
    <fb>73.52</fb>
    <v>0</v>
  </rv>
  <rv s="0">
    <fb>73.87</fb>
    <v>0</v>
  </rv>
  <rv s="0">
    <fb>74.97</fb>
    <v>0</v>
  </rv>
  <rv s="0">
    <fb>74.59</fb>
    <v>0</v>
  </rv>
  <rv s="0">
    <fb>74.42</fb>
    <v>0</v>
  </rv>
  <rv s="0">
    <fb>72.58</fb>
    <v>0</v>
  </rv>
  <rv s="0">
    <fb>74.05</fb>
    <v>0</v>
  </rv>
  <rv s="0">
    <fb>74.209999999999994</fb>
    <v>0</v>
  </rv>
  <rv s="0">
    <fb>74.099999999999994</fb>
    <v>0</v>
  </rv>
  <rv s="0">
    <fb>74.38</fb>
    <v>0</v>
  </rv>
  <rv s="0">
    <fb>74.66</fb>
    <v>0</v>
  </rv>
  <rv s="0">
    <fb>74.31</fb>
    <v>0</v>
  </rv>
  <rv s="0">
    <fb>74.47</fb>
    <v>0</v>
  </rv>
  <rv s="0">
    <fb>72.69</fb>
    <v>0</v>
  </rv>
  <rv s="0">
    <fb>71.53</fb>
    <v>0</v>
  </rv>
  <rv s="0">
    <fb>72.86</fb>
    <v>0</v>
  </rv>
  <rv s="0">
    <fb>71.95</fb>
    <v>0</v>
  </rv>
  <rv s="0">
    <fb>71.19</fb>
    <v>0</v>
  </rv>
  <rv s="0">
    <fb>71.12</fb>
    <v>0</v>
  </rv>
  <rv s="0">
    <fb>72.3</fb>
    <v>0</v>
  </rv>
  <rv s="0">
    <fb>71.73</fb>
    <v>0</v>
  </rv>
  <rv s="0">
    <fb>71.98</fb>
    <v>0</v>
  </rv>
  <rv s="0">
    <fb>72.150000000000006</fb>
    <v>0</v>
  </rv>
  <rv s="0">
    <fb>71.900000000000006</fb>
    <v>0</v>
  </rv>
  <rv s="0">
    <fb>71.59</fb>
    <v>0</v>
  </rv>
  <rv s="0">
    <fb>72.23</fb>
    <v>0</v>
  </rv>
  <rv s="0">
    <fb>73.92</fb>
    <v>0</v>
  </rv>
  <rv s="0">
    <fb>73.14</fb>
    <v>0</v>
  </rv>
  <rv s="0">
    <fb>72.33</fb>
    <v>0</v>
  </rv>
  <rv s="0">
    <fb>72.2</fb>
    <v>0</v>
  </rv>
  <rv s="0">
    <fb>72.349999999999994</fb>
    <v>0</v>
  </rv>
  <rv s="0">
    <fb>73.510000000000005</fb>
    <v>0</v>
  </rv>
  <rv s="0">
    <fb>74.56</fb>
    <v>0</v>
  </rv>
  <rv s="0">
    <fb>75</fb>
    <v>0</v>
  </rv>
  <rv s="0">
    <fb>75.59</fb>
    <v>0</v>
  </rv>
  <rv s="0">
    <fb>75.709999999999994</fb>
    <v>0</v>
  </rv>
  <rv s="0">
    <fb>75.239999999999995</fb>
    <v>0</v>
  </rv>
  <rv s="0">
    <fb>76.959999999999994</fb>
    <v>0</v>
  </rv>
  <rv s="0">
    <fb>76.91</fb>
    <v>0</v>
  </rv>
  <rv s="0">
    <fb>76.900000000000006</fb>
    <v>0</v>
  </rv>
  <rv s="0">
    <fb>76.150000000000006</fb>
    <v>0</v>
  </rv>
  <rv s="0">
    <fb>75.81</fb>
    <v>0</v>
  </rv>
  <rv s="0">
    <fb>76.11</fb>
    <v>0</v>
  </rv>
  <rv s="0">
    <fb>76.53</fb>
    <v>0</v>
  </rv>
  <rv s="0">
    <fb>77.09</fb>
    <v>0</v>
  </rv>
  <rv s="0">
    <fb>77.37</fb>
    <v>0</v>
  </rv>
  <rv s="0">
    <fb>76.239999999999995</fb>
    <v>0</v>
  </rv>
  <rv s="0">
    <fb>75.48</fb>
    <v>0</v>
  </rv>
  <rv s="0">
    <fb>76.95</fb>
    <v>0</v>
  </rv>
  <rv s="0">
    <fb>75.12</fb>
    <v>0</v>
  </rv>
  <rv s="0">
    <fb>77.48</fb>
    <v>0</v>
  </rv>
  <rv s="0">
    <fb>78.08</fb>
    <v>0</v>
  </rv>
  <rv s="0">
    <fb>76.33</fb>
    <v>0</v>
  </rv>
  <rv s="0">
    <fb>77.3</fb>
    <v>0</v>
  </rv>
  <rv s="0">
    <fb>75.42</fb>
    <v>0</v>
  </rv>
  <rv s="0">
    <fb>75.569999999999993</fb>
    <v>0</v>
  </rv>
  <rv s="0">
    <fb>74.62</fb>
    <v>0</v>
  </rv>
  <rv s="0">
    <fb>75.38</fb>
    <v>0</v>
  </rv>
  <rv s="0">
    <fb>76.73</fb>
    <v>0</v>
  </rv>
  <rv s="0">
    <fb>76.86</fb>
    <v>0</v>
  </rv>
  <rv s="0">
    <fb>74.760000000000005</fb>
    <v>0</v>
  </rv>
  <rv s="0">
    <fb>73.760000000000005</fb>
    <v>0</v>
  </rv>
  <rv s="0">
    <fb>73.23</fb>
    <v>0</v>
  </rv>
  <rv s="0">
    <fb>33.25</fb>
    <v>0</v>
  </rv>
  <rv s="0">
    <fb>33.119999999999997</fb>
    <v>0</v>
  </rv>
  <rv s="0">
    <fb>32.06</fb>
    <v>0</v>
  </rv>
  <rv s="0">
    <fb>31.8</fb>
    <v>0</v>
  </rv>
  <rv s="0">
    <fb>32.380000000000003</fb>
    <v>0</v>
  </rv>
  <rv s="0">
    <fb>32.64</fb>
    <v>0</v>
  </rv>
  <rv s="0">
    <fb>32.92</fb>
    <v>0</v>
  </rv>
  <rv s="0">
    <fb>32.520000000000003</fb>
    <v>0</v>
  </rv>
  <rv s="0">
    <fb>32.22</fb>
    <v>0</v>
  </rv>
  <rv s="0">
    <fb>31.95</fb>
    <v>0</v>
  </rv>
  <rv s="0">
    <fb>32.33</fb>
    <v>0</v>
  </rv>
  <rv s="0">
    <fb>32.950000000000003</fb>
    <v>0</v>
  </rv>
  <rv s="0">
    <fb>33.18</fb>
    <v>0</v>
  </rv>
  <rv s="0">
    <fb>32.56</fb>
    <v>0</v>
  </rv>
  <rv s="0">
    <fb>32.39</fb>
    <v>0</v>
  </rv>
  <rv s="0">
    <fb>31.79</fb>
    <v>0</v>
  </rv>
  <rv s="0">
    <fb>31.46</fb>
    <v>0</v>
  </rv>
  <rv s="0">
    <fb>31.49</fb>
    <v>0</v>
  </rv>
  <rv s="0">
    <fb>32.590000000000003</fb>
    <v>0</v>
  </rv>
  <rv s="0">
    <fb>33.979999999999997</fb>
    <v>0</v>
  </rv>
  <rv s="0">
    <fb>34.380000000000003</fb>
    <v>0</v>
  </rv>
  <rv s="0">
    <fb>34.53</fb>
    <v>0</v>
  </rv>
  <rv s="0">
    <fb>34.49</fb>
    <v>0</v>
  </rv>
  <rv s="0">
    <fb>33.01</fb>
    <v>0</v>
  </rv>
  <rv s="0">
    <fb>33.78</fb>
    <v>0</v>
  </rv>
  <rv s="0">
    <fb>33.33</fb>
    <v>0</v>
  </rv>
  <rv s="0">
    <fb>33.450000000000003</fb>
    <v>0</v>
  </rv>
  <rv s="0">
    <fb>32.619999999999997</fb>
    <v>0</v>
  </rv>
  <rv s="0">
    <fb>33.549999999999997</fb>
    <v>0</v>
  </rv>
  <rv s="0">
    <fb>33.56</fb>
    <v>0</v>
  </rv>
  <rv s="0">
    <fb>34.270000000000003</fb>
    <v>0</v>
  </rv>
  <rv s="0">
    <fb>34.020000000000003</fb>
    <v>0</v>
  </rv>
  <rv s="0">
    <fb>34.14</fb>
    <v>0</v>
  </rv>
  <rv s="0">
    <fb>33.96</fb>
    <v>0</v>
  </rv>
  <rv s="0">
    <fb>33.82</fb>
    <v>0</v>
  </rv>
  <rv s="0">
    <fb>34.33</fb>
    <v>0</v>
  </rv>
  <rv s="0">
    <fb>34.32</fb>
    <v>0</v>
  </rv>
  <rv s="0">
    <fb>33.630000000000003</fb>
    <v>0</v>
  </rv>
  <rv s="0">
    <fb>33.020000000000003</fb>
    <v>0</v>
  </rv>
  <rv s="0">
    <fb>32.979999999999997</fb>
    <v>0</v>
  </rv>
  <rv s="0">
    <fb>32.07</fb>
    <v>0</v>
  </rv>
  <rv s="0">
    <fb>31.28</fb>
    <v>0</v>
  </rv>
  <rv s="0">
    <fb>31.23</fb>
    <v>0</v>
  </rv>
  <rv s="0">
    <fb>31.89</fb>
    <v>0</v>
  </rv>
  <rv s="0">
    <fb>30.96</fb>
    <v>0</v>
  </rv>
  <rv s="0">
    <fb>31.24</fb>
    <v>0</v>
  </rv>
  <rv s="0">
    <fb>29.99</fb>
    <v>0</v>
  </rv>
  <rv s="0">
    <fb>30.18</fb>
    <v>0</v>
  </rv>
  <rv s="0">
    <fb>30.6</fb>
    <v>0</v>
  </rv>
  <rv s="0">
    <fb>29.75</fb>
    <v>0</v>
  </rv>
  <rv s="0">
    <fb>30.66</fb>
    <v>0</v>
  </rv>
  <rv s="0">
    <fb>30.88</fb>
    <v>0</v>
  </rv>
  <rv s="0">
    <fb>30.5</fb>
    <v>0</v>
  </rv>
  <rv s="0">
    <fb>30.83</fb>
    <v>0</v>
  </rv>
  <rv s="0">
    <fb>30.53</fb>
    <v>0</v>
  </rv>
  <rv s="0">
    <fb>30.34</fb>
    <v>0</v>
  </rv>
  <rv s="0">
    <fb>30.68</fb>
    <v>0</v>
  </rv>
  <rv s="0">
    <fb>30.74</fb>
    <v>0</v>
  </rv>
  <rv s="0">
    <fb>30.04</fb>
    <v>0</v>
  </rv>
  <rv s="0">
    <fb>29.86</fb>
    <v>0</v>
  </rv>
  <rv s="0">
    <fb>28.95</fb>
    <v>0</v>
  </rv>
  <rv s="0">
    <fb>28.46</fb>
    <v>0</v>
  </rv>
  <rv s="0">
    <fb>28.63</fb>
    <v>0</v>
  </rv>
  <rv s="0">
    <fb>28.93</fb>
    <v>0</v>
  </rv>
  <rv s="0">
    <fb>27.24</fb>
    <v>0</v>
  </rv>
  <rv s="0">
    <fb>25.38</fb>
    <v>0</v>
  </rv>
  <rv s="0">
    <fb>24.8</fb>
    <v>0</v>
  </rv>
  <rv s="0">
    <fb>24.51</fb>
    <v>0</v>
  </rv>
  <rv s="0">
    <fb>27.04</fb>
    <v>0</v>
  </rv>
  <rv s="0">
    <fb>27.1</fb>
    <v>0</v>
  </rv>
  <rv s="0">
    <fb>26.51</fb>
    <v>0</v>
  </rv>
  <rv s="0">
    <fb>26.62</fb>
    <v>0</v>
  </rv>
  <rv s="0">
    <fb>26.17</fb>
    <v>0</v>
  </rv>
  <rv s="0">
    <fb>28.59</fb>
    <v>0</v>
  </rv>
  <rv s="0">
    <fb>28.51</fb>
    <v>0</v>
  </rv>
  <rv s="0">
    <fb>28.64</fb>
    <v>0</v>
  </rv>
  <rv s="0">
    <fb>28.71</fb>
    <v>0</v>
  </rv>
  <rv s="0">
    <fb>29.28</fb>
    <v>0</v>
  </rv>
  <rv s="0">
    <fb>29.27</fb>
    <v>0</v>
  </rv>
  <rv s="0">
    <fb>29.24</fb>
    <v>0</v>
  </rv>
  <rv s="0">
    <fb>29.12</fb>
    <v>0</v>
  </rv>
  <rv s="0">
    <fb>29.49</fb>
    <v>0</v>
  </rv>
  <rv s="0">
    <fb>29.34</fb>
    <v>0</v>
  </rv>
  <rv s="0">
    <fb>30.61</fb>
    <v>0</v>
  </rv>
  <rv s="0">
    <fb>31.03</fb>
    <v>0</v>
  </rv>
  <rv s="0">
    <fb>31.09</fb>
    <v>0</v>
  </rv>
  <rv s="0">
    <fb>31.05</fb>
    <v>0</v>
  </rv>
  <rv s="0">
    <fb>31.204999999999998</fb>
    <v>0</v>
  </rv>
  <rv s="0">
    <fb>30.99</fb>
    <v>0</v>
  </rv>
  <rv s="0">
    <fb>31.19</fb>
    <v>0</v>
  </rv>
  <rv s="0">
    <fb>30.75</fb>
    <v>0</v>
  </rv>
  <rv s="0">
    <fb>30.57</fb>
    <v>0</v>
  </rv>
  <rv s="0">
    <fb>31.51</fb>
    <v>0</v>
  </rv>
  <rv s="0">
    <fb>31.08</fb>
    <v>0</v>
  </rv>
  <rv s="0">
    <fb>31.31</fb>
    <v>0</v>
  </rv>
  <rv s="0">
    <fb>30.9</fb>
    <v>0</v>
  </rv>
  <rv s="0">
    <fb>30.97</fb>
    <v>0</v>
  </rv>
  <rv s="0">
    <fb>31.3</fb>
    <v>0</v>
  </rv>
  <rv s="0">
    <fb>31.4</fb>
    <v>0</v>
  </rv>
  <rv s="0">
    <fb>31.53</fb>
    <v>0</v>
  </rv>
  <rv s="0">
    <fb>31.41</fb>
    <v>0</v>
  </rv>
  <rv s="0">
    <fb>30.91</fb>
    <v>0</v>
  </rv>
  <rv s="0">
    <fb>31.27</fb>
    <v>0</v>
  </rv>
  <rv s="0">
    <fb>30.79</fb>
    <v>0</v>
  </rv>
  <rv s="0">
    <fb>31.04</fb>
    <v>0</v>
  </rv>
  <rv s="0">
    <fb>30.45</fb>
    <v>0</v>
  </rv>
  <rv s="0">
    <fb>31.44</fb>
    <v>0</v>
  </rv>
  <rv s="0">
    <fb>31.54</fb>
    <v>0</v>
  </rv>
  <rv s="0">
    <fb>32.79</fb>
    <v>0</v>
  </rv>
  <rv s="0">
    <fb>32.159999999999997</fb>
    <v>0</v>
  </rv>
  <rv s="0">
    <fb>32.36</fb>
    <v>0</v>
  </rv>
  <rv s="0">
    <fb>32.54</fb>
    <v>0</v>
  </rv>
  <rv s="0">
    <fb>32.270000000000003</fb>
    <v>0</v>
  </rv>
  <rv s="0">
    <fb>33.22</fb>
    <v>0</v>
  </rv>
  <rv s="0">
    <fb>32.880000000000003</fb>
    <v>0</v>
  </rv>
  <rv s="0">
    <fb>34.26</fb>
    <v>0</v>
  </rv>
  <rv s="0">
    <fb>33.86</fb>
    <v>0</v>
  </rv>
  <rv s="0">
    <fb>33.700000000000003</fb>
    <v>0</v>
  </rv>
  <rv s="0">
    <fb>33.97</fb>
    <v>0</v>
  </rv>
  <rv s="0">
    <fb>33.93</fb>
    <v>0</v>
  </rv>
  <rv s="0">
    <fb>33.43</fb>
    <v>0</v>
  </rv>
  <rv s="0">
    <fb>33.31</fb>
    <v>0</v>
  </rv>
  <rv s="0">
    <fb>33.909999999999997</fb>
    <v>0</v>
  </rv>
  <rv s="0">
    <fb>34.08</fb>
    <v>0</v>
  </rv>
  <rv s="0">
    <fb>33.479999999999997</fb>
    <v>0</v>
  </rv>
  <rv s="0">
    <fb>32.869999999999997</fb>
    <v>0</v>
  </rv>
  <rv s="0">
    <fb>33.81</fb>
    <v>0</v>
  </rv>
  <rv s="0">
    <fb>33.67</fb>
    <v>0</v>
  </rv>
  <rv s="0">
    <fb>33.799999999999997</fb>
    <v>0</v>
  </rv>
  <rv s="0">
    <fb>33.299999999999997</fb>
    <v>0</v>
  </rv>
  <rv s="0">
    <fb>33.17</fb>
    <v>0</v>
  </rv>
  <rv s="0">
    <fb>34.11</fb>
    <v>0</v>
  </rv>
  <rv s="0">
    <fb>33.729999999999997</fb>
    <v>0</v>
  </rv>
  <rv s="0">
    <fb>34.21</fb>
    <v>0</v>
  </rv>
  <rv s="0">
    <fb>34.04</fb>
    <v>0</v>
  </rv>
  <rv s="0">
    <fb>34.409999999999997</fb>
    <v>0</v>
  </rv>
  <rv s="0">
    <fb>34.46</fb>
    <v>0</v>
  </rv>
  <rv s="0">
    <fb>34.369999999999997</fb>
    <v>0</v>
  </rv>
  <rv s="0">
    <fb>35.03</fb>
    <v>0</v>
  </rv>
  <rv s="0">
    <fb>35.659999999999997</fb>
    <v>0</v>
  </rv>
  <rv s="0">
    <fb>35.11</fb>
    <v>0</v>
  </rv>
  <rv s="0">
    <fb>34.89</fb>
    <v>0</v>
  </rv>
  <rv s="0">
    <fb>34.85</fb>
    <v>0</v>
  </rv>
  <rv s="0">
    <fb>35.08</fb>
    <v>0</v>
  </rv>
  <rv s="0">
    <fb>35.43</fb>
    <v>0</v>
  </rv>
  <rv s="0">
    <fb>35.71</fb>
    <v>0</v>
  </rv>
  <rv s="0">
    <fb>36.31</fb>
    <v>0</v>
  </rv>
  <rv s="0">
    <fb>36.75</fb>
    <v>0</v>
  </rv>
  <rv s="0">
    <fb>36.81</fb>
    <v>0</v>
  </rv>
  <rv s="0">
    <fb>37.299999999999997</fb>
    <v>0</v>
  </rv>
  <rv s="0">
    <fb>35.65</fb>
    <v>0</v>
  </rv>
  <rv s="0">
    <fb>36.47</fb>
    <v>0</v>
  </rv>
  <rv s="0">
    <fb>36.86</fb>
    <v>0</v>
  </rv>
  <rv s="0">
    <fb>36.49</fb>
    <v>0</v>
  </rv>
  <rv s="0">
    <fb>36.049999999999997</fb>
    <v>0</v>
  </rv>
  <rv s="0">
    <fb>37.729999999999997</fb>
    <v>0</v>
  </rv>
  <rv s="0">
    <fb>38.18</fb>
    <v>0</v>
  </rv>
  <rv s="0">
    <fb>38.06</fb>
    <v>0</v>
  </rv>
  <rv s="0">
    <fb>37.405000000000001</fb>
    <v>0</v>
  </rv>
  <rv s="0">
    <fb>37.83</fb>
    <v>0</v>
  </rv>
  <rv s="0">
    <fb>38.25</fb>
    <v>0</v>
  </rv>
  <rv s="0">
    <fb>37</fb>
    <v>0</v>
  </rv>
  <rv s="0">
    <fb>35.979999999999997</fb>
    <v>0</v>
  </rv>
  <rv s="0">
    <fb>36</fb>
    <v>0</v>
  </rv>
  <rv s="0">
    <fb>36.19</fb>
    <v>0</v>
  </rv>
  <rv s="0">
    <fb>35.299999999999997</fb>
    <v>0</v>
  </rv>
  <rv s="0">
    <fb>40.57</fb>
    <v>0</v>
  </rv>
  <rv s="0">
    <fb>39</fb>
    <v>0</v>
  </rv>
  <rv s="0">
    <fb>38.97</fb>
    <v>0</v>
  </rv>
  <rv s="0">
    <fb>39.25</fb>
    <v>0</v>
  </rv>
  <rv s="0">
    <fb>39.5</fb>
    <v>0</v>
  </rv>
  <rv s="0">
    <fb>39.950000000000003</fb>
    <v>0</v>
  </rv>
  <rv s="0">
    <fb>39.93</fb>
    <v>0</v>
  </rv>
  <rv s="0">
    <fb>39.409999999999997</fb>
    <v>0</v>
  </rv>
  <rv s="0">
    <fb>38.880000000000003</fb>
    <v>0</v>
  </rv>
  <rv s="0">
    <fb>38.64</fb>
    <v>0</v>
  </rv>
  <rv s="0">
    <fb>38.46</fb>
    <v>0</v>
  </rv>
  <rv s="0">
    <fb>39.130000000000003</fb>
    <v>0</v>
  </rv>
  <rv s="0">
    <fb>39.590000000000003</fb>
    <v>0</v>
  </rv>
  <rv s="0">
    <fb>38.200000000000003</fb>
    <v>0</v>
  </rv>
  <rv s="0">
    <fb>38</fb>
    <v>0</v>
  </rv>
  <rv s="0">
    <fb>38.1</fb>
    <v>0</v>
  </rv>
  <rv s="0">
    <fb>39.46</fb>
    <v>0</v>
  </rv>
  <rv s="0">
    <fb>40.08</fb>
    <v>0</v>
  </rv>
  <rv s="0">
    <fb>39.659999999999997</fb>
    <v>0</v>
  </rv>
  <rv s="0">
    <fb>40.4</fb>
    <v>0</v>
  </rv>
  <rv s="0">
    <fb>40.159999999999997</fb>
    <v>0</v>
  </rv>
  <rv s="0">
    <fb>40.61</fb>
    <v>0</v>
  </rv>
  <rv s="0">
    <fb>41.02</fb>
    <v>0</v>
  </rv>
  <rv s="0">
    <fb>41.16</fb>
    <v>0</v>
  </rv>
  <rv s="0">
    <fb>42.17</fb>
    <v>0</v>
  </rv>
  <rv s="0">
    <fb>42.41</fb>
    <v>0</v>
  </rv>
  <rv s="0">
    <fb>42.77</fb>
    <v>0</v>
  </rv>
  <rv s="0">
    <fb>40.31</fb>
    <v>0</v>
  </rv>
  <rv s="0">
    <fb>39.76</fb>
    <v>0</v>
  </rv>
  <rv s="0">
    <fb>40.090000000000003</fb>
    <v>0</v>
  </rv>
  <rv s="0">
    <fb>38.93</fb>
    <v>0</v>
  </rv>
  <rv s="0">
    <fb>39.07</fb>
    <v>0</v>
  </rv>
  <rv s="0">
    <fb>38.26</fb>
    <v>0</v>
  </rv>
  <rv s="0">
    <fb>38.29</fb>
    <v>0</v>
  </rv>
  <rv s="0">
    <fb>39.24</fb>
    <v>0</v>
  </rv>
  <rv s="0">
    <fb>38.049999999999997</fb>
    <v>0</v>
  </rv>
  <rv s="0">
    <fb>36.61</fb>
    <v>0</v>
  </rv>
  <rv s="0">
    <fb>37.46</fb>
    <v>0</v>
  </rv>
  <rv s="0">
    <fb>36.630000000000003</fb>
    <v>0</v>
  </rv>
  <rv s="0">
    <fb>38.299999999999997</fb>
    <v>0</v>
  </rv>
  <rv s="0">
    <fb>38.15</fb>
    <v>0</v>
  </rv>
  <rv s="0">
    <fb>37.75</fb>
    <v>0</v>
  </rv>
  <rv s="0">
    <fb>38.69</fb>
    <v>0</v>
  </rv>
  <rv s="0">
    <fb>37.92</fb>
    <v>0</v>
  </rv>
  <rv s="0">
    <fb>37.619999999999997</fb>
    <v>0</v>
  </rv>
  <rv s="0">
    <fb>36.54</fb>
    <v>0</v>
  </rv>
  <rv s="0">
    <fb>36.72</fb>
    <v>0</v>
  </rv>
  <rv s="0">
    <fb>36.99</fb>
    <v>0</v>
  </rv>
  <rv s="0">
    <fb>34.83</fb>
    <v>0</v>
  </rv>
  <rv s="0">
    <fb>32.4</fb>
    <v>0</v>
  </rv>
  <rv s="0">
    <fb>32.17</fb>
    <v>0</v>
  </rv>
  <rv s="0">
    <fb>31.5</fb>
    <v>0</v>
  </rv>
  <rv s="0">
    <fb>35.340000000000003</fb>
    <v>0</v>
  </rv>
  <rv s="0">
    <fb>34.450000000000003</fb>
    <v>0</v>
  </rv>
  <rv s="0">
    <fb>34.729999999999997</fb>
    <v>0</v>
  </rv>
  <rv s="0">
    <fb>34.86</fb>
    <v>0</v>
  </rv>
  <rv s="0">
    <fb>33.9</fb>
    <v>0</v>
  </rv>
  <rv s="0">
    <fb>35.090000000000003</fb>
    <v>0</v>
  </rv>
  <rv s="0">
    <fb>36.200000000000003</fb>
    <v>0</v>
  </rv>
  <rv s="0">
    <fb>36.869999999999997</fb>
    <v>0</v>
  </rv>
  <rv s="0">
    <fb>37.17</fb>
    <v>0</v>
  </rv>
  <rv s="0">
    <fb>37.78</fb>
    <v>0</v>
  </rv>
  <rv s="0">
    <fb>37.89</fb>
    <v>0</v>
  </rv>
  <rv s="0">
    <fb>38.31</fb>
    <v>0</v>
  </rv>
  <rv s="0">
    <fb>38.32</fb>
    <v>0</v>
  </rv>
  <rv s="0">
    <fb>39.92</fb>
    <v>0</v>
  </rv>
  <rv s="0">
    <fb>40.71</fb>
    <v>0</v>
  </rv>
  <rv s="0">
    <fb>40.72</fb>
    <v>0</v>
  </rv>
  <rv s="0">
    <fb>40.22</fb>
    <v>0</v>
  </rv>
  <rv s="0">
    <fb>40.299999999999997</fb>
    <v>0</v>
  </rv>
  <rv s="0">
    <fb>41.2</fb>
    <v>0</v>
  </rv>
  <rv s="0">
    <fb>41.6</fb>
    <v>0</v>
  </rv>
  <rv s="0">
    <fb>42.32</fb>
    <v>0</v>
  </rv>
  <rv s="0">
    <fb>41.5</fb>
    <v>0</v>
  </rv>
  <rv s="0">
    <fb>43.1</fb>
    <v>0</v>
  </rv>
  <rv s="0">
    <fb>43.69</fb>
    <v>0</v>
  </rv>
  <rv s="0">
    <fb>43.2</fb>
    <v>0</v>
  </rv>
  <rv s="0">
    <fb>43.49</fb>
    <v>0</v>
  </rv>
  <rv s="0">
    <fb>44</fb>
    <v>0</v>
  </rv>
  <rv s="0">
    <fb>43.68</fb>
    <v>0</v>
  </rv>
  <rv s="0">
    <fb>43.77</fb>
    <v>0</v>
  </rv>
  <rv s="0">
    <fb>43.79</fb>
    <v>0</v>
  </rv>
  <rv s="0">
    <fb>43.98</fb>
    <v>0</v>
  </rv>
  <rv s="0">
    <fb>44.43</fb>
    <v>0</v>
  </rv>
  <rv s="0">
    <fb>44.36</fb>
    <v>0</v>
  </rv>
  <rv s="0">
    <fb>44.53</fb>
    <v>0</v>
  </rv>
  <rv s="0">
    <fb>44.18</fb>
    <v>0</v>
  </rv>
  <rv s="0">
    <fb>44.77</fb>
    <v>0</v>
  </rv>
  <rv s="0">
    <fb>44.74</fb>
    <v>0</v>
  </rv>
  <rv s="0">
    <fb>44.93</fb>
    <v>0</v>
  </rv>
  <rv s="0">
    <fb>44.88</fb>
    <v>0</v>
  </rv>
  <rv s="0">
    <fb>44.82</fb>
    <v>0</v>
  </rv>
  <rv s="0">
    <fb>44.33</fb>
    <v>0</v>
  </rv>
  <rv s="0">
    <fb>44.17</fb>
    <v>0</v>
  </rv>
  <rv s="0">
    <fb>44.64</fb>
    <v>0</v>
  </rv>
  <rv s="0">
    <fb>44.71</fb>
    <v>0</v>
  </rv>
  <rv s="0">
    <fb>44.68</fb>
    <v>0</v>
  </rv>
  <rv s="0">
    <fb>45.34</fb>
    <v>0</v>
  </rv>
  <rv s="0">
    <fb>45.59</fb>
    <v>0</v>
  </rv>
  <rv s="0">
    <fb>45.23</fb>
    <v>0</v>
  </rv>
  <rv s="0">
    <fb>44.49</fb>
    <v>0</v>
  </rv>
  <rv s="0">
    <fb>44.14</fb>
    <v>0</v>
  </rv>
  <rv s="0">
    <fb>43.88</fb>
    <v>0</v>
  </rv>
  <rv s="0">
    <fb>44.94</fb>
    <v>0</v>
  </rv>
  <rv s="0">
    <fb>44.98</fb>
    <v>0</v>
  </rv>
  <rv s="0">
    <fb>45.01</fb>
    <v>0</v>
  </rv>
  <rv s="0">
    <fb>45.53</fb>
    <v>0</v>
  </rv>
  <rv s="0">
    <fb>45.08</fb>
    <v>0</v>
  </rv>
  <rv s="0">
    <fb>45.06</fb>
    <v>0</v>
  </rv>
  <rv s="0">
    <fb>45.46</fb>
    <v>0</v>
  </rv>
  <rv s="0">
    <fb>46.47</fb>
    <v>0</v>
  </rv>
  <rv s="0">
    <fb>46.83</fb>
    <v>0</v>
  </rv>
  <rv s="0">
    <fb>47.2</fb>
    <v>0</v>
  </rv>
  <rv s="0">
    <fb>47.34</fb>
    <v>0</v>
  </rv>
  <rv s="0">
    <fb>48.19</fb>
    <v>0</v>
  </rv>
  <rv s="0">
    <fb>48.24</fb>
    <v>0</v>
  </rv>
  <rv s="0">
    <fb>49.14</fb>
    <v>0</v>
  </rv>
  <rv s="0">
    <fb>49.66</fb>
    <v>0</v>
  </rv>
  <rv s="0">
    <fb>49.23</fb>
    <v>0</v>
  </rv>
  <rv s="0">
    <fb>49.24</fb>
    <v>0</v>
  </rv>
  <rv s="0">
    <fb>48.92</fb>
    <v>0</v>
  </rv>
  <rv s="0">
    <fb>49.34</fb>
    <v>0</v>
  </rv>
  <rv s="0">
    <fb>49.89</fb>
    <v>0</v>
  </rv>
  <rv s="0">
    <fb>50.32</fb>
    <v>0</v>
  </rv>
  <rv s="0">
    <fb>50.56</fb>
    <v>0</v>
  </rv>
  <rv s="0">
    <fb>51.27</fb>
    <v>0</v>
  </rv>
  <rv s="0">
    <fb>48.93</fb>
    <v>0</v>
  </rv>
  <rv s="0">
    <fb>50.55</fb>
    <v>0</v>
  </rv>
  <rv s="0">
    <fb>51.29</fb>
    <v>0</v>
  </rv>
  <rv s="0">
    <fb>51.02</fb>
    <v>0</v>
  </rv>
  <rv s="0">
    <fb>50.4</fb>
    <v>0</v>
  </rv>
  <rv s="0">
    <fb>53.09</fb>
    <v>0</v>
  </rv>
  <rv s="0">
    <fb>53.08</fb>
    <v>0</v>
  </rv>
  <rv s="0">
    <fb>52.12</fb>
    <v>0</v>
  </rv>
  <rv s="0">
    <fb>51.1</fb>
    <v>0</v>
  </rv>
  <rv s="0">
    <fb>50.68</fb>
    <v>0</v>
  </rv>
  <rv s="0">
    <fb>51.64</fb>
    <v>0</v>
  </rv>
  <rv s="0">
    <fb>50.2</fb>
    <v>0</v>
  </rv>
  <rv s="0">
    <fb>49.5</fb>
    <v>0</v>
  </rv>
  <rv s="0">
    <fb>107.1187</fb>
    <v>0</v>
  </rv>
  <rv s="0">
    <fb>107.4222</fb>
    <v>0</v>
  </rv>
  <rv s="0">
    <fb>108.91</fb>
    <v>0</v>
  </rv>
  <rv s="0">
    <fb>109.5184</fb>
    <v>0</v>
  </rv>
  <rv s="0">
    <fb>110.34059999999999</fb>
    <v>0</v>
  </rv>
  <rv s="0">
    <fb>108.2623</fb>
    <v>0</v>
  </rv>
  <rv s="0">
    <fb>107.01260000000001</fb>
    <v>0</v>
  </rv>
  <rv s="0">
    <fb>107.55</fb>
    <v>0</v>
  </rv>
  <rv s="0">
    <fb>109.07</fb>
    <v>0</v>
  </rv>
  <rv s="0">
    <fb>108.95569999999999</fb>
    <v>0</v>
  </rv>
  <rv s="0">
    <fb>107.1</fb>
    <v>0</v>
  </rv>
  <rv s="0">
    <fb>105.2735</fb>
    <v>0</v>
  </rv>
  <rv s="0">
    <fb>104.13</fb>
    <v>0</v>
  </rv>
  <rv s="0">
    <fb>104.935</fb>
    <v>0</v>
  </rv>
  <rv s="0">
    <fb>107.11499999999999</fb>
    <v>0</v>
  </rv>
  <rv s="0">
    <fb>108.2701</fb>
    <v>0</v>
  </rv>
  <rv s="0">
    <fb>110.78</fb>
    <v>0</v>
  </rv>
  <rv s="0">
    <fb>112.07</fb>
    <v>0</v>
  </rv>
  <rv s="0">
    <fb>112.01</fb>
    <v>0</v>
  </rv>
  <rv s="0">
    <fb>105.84</fb>
    <v>0</v>
  </rv>
  <rv s="0">
    <fb>105.37</fb>
    <v>0</v>
  </rv>
  <rv s="0">
    <fb>106.72</fb>
    <v>0</v>
  </rv>
  <rv s="0">
    <fb>107.6841</fb>
    <v>0</v>
  </rv>
  <rv s="0">
    <fb>107.18</fb>
    <v>0</v>
  </rv>
  <rv s="0">
    <fb>108.85</fb>
    <v>0</v>
  </rv>
  <rv s="0">
    <fb>112.51</fb>
    <v>0</v>
  </rv>
  <rv s="0">
    <fb>111.6797</fb>
    <v>0</v>
  </rv>
  <rv s="0">
    <fb>110.8087</fb>
    <v>0</v>
  </rv>
  <rv s="0">
    <fb>109.6707</fb>
    <v>0</v>
  </rv>
  <rv s="0">
    <fb>112.14109999999999</fb>
    <v>0</v>
  </rv>
  <rv s="0">
    <fb>112.0838</fb>
    <v>0</v>
  </rv>
  <rv s="0">
    <fb>112.3126</fb>
    <v>0</v>
  </rv>
  <rv s="0">
    <fb>112.40430000000001</fb>
    <v>0</v>
  </rv>
  <rv s="0">
    <fb>111.8293</fb>
    <v>0</v>
  </rv>
  <rv s="0">
    <fb>109.1695</fb>
    <v>0</v>
  </rv>
  <rv s="0">
    <fb>107.94</fb>
    <v>0</v>
  </rv>
  <rv s="0">
    <fb>106.7068</fb>
    <v>0</v>
  </rv>
  <rv s="0">
    <fb>108.54</fb>
    <v>0</v>
  </rv>
  <rv s="0">
    <fb>106.74</fb>
    <v>0</v>
  </rv>
  <rv s="0">
    <fb>107.33</fb>
    <v>0</v>
  </rv>
  <rv s="0">
    <fb>104.8092</fb>
    <v>0</v>
  </rv>
  <rv s="0">
    <fb>104.4609</fb>
    <v>0</v>
  </rv>
  <rv s="0">
    <fb>106.5</fb>
    <v>0</v>
  </rv>
  <rv s="0">
    <fb>104.12430000000001</fb>
    <v>0</v>
  </rv>
  <rv s="0">
    <fb>105.3629</fb>
    <v>0</v>
  </rv>
  <rv s="0">
    <fb>99.49</fb>
    <v>0</v>
  </rv>
  <rv s="0">
    <fb>102.41</fb>
    <v>0</v>
  </rv>
  <rv s="0">
    <fb>103.76</fb>
    <v>0</v>
  </rv>
  <rv s="0">
    <fb>103.88939999999999</fb>
    <v>0</v>
  </rv>
  <rv s="0">
    <fb>103.3103</fb>
    <v>0</v>
  </rv>
  <rv s="0">
    <fb>106.38</fb>
    <v>0</v>
  </rv>
  <rv s="0">
    <fb>105.616</fb>
    <v>0</v>
  </rv>
  <rv s="0">
    <fb>103.9311</fb>
    <v>0</v>
  </rv>
  <rv s="0">
    <fb>99.949799999999996</fb>
    <v>0</v>
  </rv>
  <rv s="0">
    <fb>99.99</fb>
    <v>0</v>
  </rv>
  <rv s="0">
    <fb>101.21</fb>
    <v>0</v>
  </rv>
  <rv s="0">
    <fb>94.760999999999996</fb>
    <v>0</v>
  </rv>
  <rv s="0">
    <fb>91.403599999999997</fb>
    <v>0</v>
  </rv>
  <rv s="0">
    <fb>91.921800000000005</fb>
    <v>0</v>
  </rv>
  <rv s="0">
    <fb>92.636799999999994</fb>
    <v>0</v>
  </rv>
  <rv s="0">
    <fb>93.225899999999996</fb>
    <v>0</v>
  </rv>
  <rv s="0">
    <fb>91.344999999999999</fb>
    <v>0</v>
  </rv>
  <rv s="0">
    <fb>92.287400000000005</fb>
    <v>0</v>
  </rv>
  <rv s="0">
    <fb>94.814700000000002</fb>
    <v>0</v>
  </rv>
  <rv s="0">
    <fb>95.010999999999996</fb>
    <v>0</v>
  </rv>
  <rv s="0">
    <fb>96.18</fb>
    <v>0</v>
  </rv>
  <rv s="0">
    <fb>96.610699999999994</fb>
    <v>0</v>
  </rv>
  <rv s="0">
    <fb>96.48</fb>
    <v>0</v>
  </rv>
  <rv s="0">
    <fb>98.51</fb>
    <v>0</v>
  </rv>
  <rv s="0">
    <fb>99.14</fb>
    <v>0</v>
  </rv>
  <rv s="0">
    <fb>99.41</fb>
    <v>0</v>
  </rv>
  <rv s="0">
    <fb>100.5673</fb>
    <v>0</v>
  </rv>
  <rv s="0">
    <fb>104.33</fb>
    <v>0</v>
  </rv>
  <rv s="0">
    <fb>104.75</fb>
    <v>0</v>
  </rv>
  <rv s="0">
    <fb>105.92</fb>
    <v>0</v>
  </rv>
  <rv s="0">
    <fb>105.47</fb>
    <v>0</v>
  </rv>
  <rv s="0">
    <fb>103.1181</fb>
    <v>0</v>
  </rv>
  <rv s="0">
    <fb>102.47</fb>
    <v>0</v>
  </rv>
  <rv s="0">
    <fb>104.98</fb>
    <v>0</v>
  </rv>
  <rv s="0">
    <fb>102.985</fb>
    <v>0</v>
  </rv>
  <rv s="0">
    <fb>102.1454</fb>
    <v>0</v>
  </rv>
  <rv s="0">
    <fb>103.035</fb>
    <v>0</v>
  </rv>
  <rv s="0">
    <fb>104.92189999999999</fb>
    <v>0</v>
  </rv>
  <rv s="0">
    <fb>105.30249999999999</fb>
    <v>0</v>
  </rv>
  <rv s="0">
    <fb>105.3</fb>
    <v>0</v>
  </rv>
  <rv s="0">
    <fb>106.52</fb>
    <v>0</v>
  </rv>
  <rv s="0">
    <fb>108.08</fb>
    <v>0</v>
  </rv>
  <rv s="0">
    <fb>108.119</fb>
    <v>0</v>
  </rv>
  <rv s="0">
    <fb>107.4794</fb>
    <v>0</v>
  </rv>
  <rv s="0">
    <fb>108.29</fb>
    <v>0</v>
  </rv>
  <rv s="0">
    <fb>106.2015</fb>
    <v>0</v>
  </rv>
  <rv s="0">
    <fb>108.40940000000001</fb>
    <v>0</v>
  </rv>
  <rv s="0">
    <fb>108.6597</fb>
    <v>0</v>
  </rv>
  <rv s="0">
    <fb>109.59180000000001</fb>
    <v>0</v>
  </rv>
  <rv s="0">
    <fb>112.0124</fb>
    <v>0</v>
  </rv>
  <rv s="0">
    <fb>114.6987</fb>
    <v>0</v>
  </rv>
  <rv s="0">
    <fb>114.6957</fb>
    <v>0</v>
  </rv>
  <rv s="0">
    <fb>116.05589999999999</fb>
    <v>0</v>
  </rv>
  <rv s="0">
    <fb>116.32389999999999</fb>
    <v>0</v>
  </rv>
  <rv s="0">
    <fb>117.3124</fb>
    <v>0</v>
  </rv>
  <rv s="0">
    <fb>117.42</fb>
    <v>0</v>
  </rv>
  <rv s="0">
    <fb>117.9915</fb>
    <v>0</v>
  </rv>
  <rv s="0">
    <fb>119.5874</fb>
    <v>0</v>
  </rv>
  <rv s="0">
    <fb>118.38</fb>
    <v>0</v>
  </rv>
  <rv s="0">
    <fb>117.9804</fb>
    <v>0</v>
  </rv>
  <rv s="0">
    <fb>118.2</fb>
    <v>0</v>
  </rv>
  <rv s="0">
    <fb>117.3416</fb>
    <v>0</v>
  </rv>
  <rv s="0">
    <fb>118.3818</fb>
    <v>0</v>
  </rv>
  <rv s="0">
    <fb>118.0693</fb>
    <v>0</v>
  </rv>
  <rv s="0">
    <fb>119.21</fb>
    <v>0</v>
  </rv>
  <rv s="0">
    <fb>121.39</fb>
    <v>0</v>
  </rv>
  <rv s="0">
    <fb>120.93810000000001</fb>
    <v>0</v>
  </rv>
  <rv s="0">
    <fb>120.7664</fb>
    <v>0</v>
  </rv>
  <rv s="0">
    <fb>122.35760000000001</fb>
    <v>0</v>
  </rv>
  <rv s="0">
    <fb>120.82</fb>
    <v>0</v>
  </rv>
  <rv s="0">
    <fb>120.378</fb>
    <v>0</v>
  </rv>
  <rv s="0">
    <fb>120.7116</fb>
    <v>0</v>
  </rv>
  <rv s="0">
    <fb>120.1392</fb>
    <v>0</v>
  </rv>
  <rv s="0">
    <fb>120.3956</fb>
    <v>0</v>
  </rv>
  <rv s="0">
    <fb>120.2651</fb>
    <v>0</v>
  </rv>
  <rv s="0">
    <fb>117.3712</fb>
    <v>0</v>
  </rv>
  <rv s="0">
    <fb>123.616</fb>
    <v>0</v>
  </rv>
  <rv s="0">
    <fb>123.07810000000001</fb>
    <v>0</v>
  </rv>
  <rv s="0">
    <fb>126.4217</fb>
    <v>0</v>
  </rv>
  <rv s="0">
    <fb>124.60939999999999</fb>
    <v>0</v>
  </rv>
  <rv s="0">
    <fb>125.77119999999999</fb>
    <v>0</v>
  </rv>
  <rv s="0">
    <fb>125.3501</fb>
    <v>0</v>
  </rv>
  <rv s="0">
    <fb>128.51249999999999</fb>
    <v>0</v>
  </rv>
  <rv s="0">
    <fb>129.28149999999999</fb>
    <v>0</v>
  </rv>
  <rv s="0">
    <fb>126.343</fb>
    <v>0</v>
  </rv>
  <rv s="0">
    <fb>126.49979999999999</fb>
    <v>0</v>
  </rv>
  <rv s="0">
    <fb>128.22</fb>
    <v>0</v>
  </rv>
  <rv s="0">
    <fb>126.02</fb>
    <v>0</v>
  </rv>
  <rv s="0">
    <fb>125.62820000000001</fb>
    <v>0</v>
  </rv>
  <rv s="0">
    <fb>126.07</fb>
    <v>0</v>
  </rv>
  <rv s="0">
    <fb>129.62</fb>
    <v>0</v>
  </rv>
  <rv s="0">
    <fb>130.49590000000001</fb>
    <v>0</v>
  </rv>
  <rv s="0">
    <fb>131.95519999999999</fb>
    <v>0</v>
  </rv>
  <rv s="0">
    <fb>133.11969999999999</fb>
    <v>0</v>
  </rv>
  <rv s="0">
    <fb>133.77000000000001</fb>
    <v>0</v>
  </rv>
  <rv s="0">
    <fb>132.62</fb>
    <v>0</v>
  </rv>
  <rv s="0">
    <fb>132.4228</fb>
    <v>0</v>
  </rv>
  <rv s="0">
    <fb>135.51</fb>
    <v>0</v>
  </rv>
  <rv s="0">
    <fb>135.66399999999999</fb>
    <v>0</v>
  </rv>
  <rv s="0">
    <fb>135.601</fb>
    <v>0</v>
  </rv>
  <rv s="0">
    <fb>136.35</fb>
    <v>0</v>
  </rv>
  <rv s="0">
    <fb>138.142</fb>
    <v>0</v>
  </rv>
  <rv s="0">
    <fb>140.33000000000001</fb>
    <v>0</v>
  </rv>
  <rv s="0">
    <fb>137.77000000000001</fb>
    <v>0</v>
  </rv>
  <rv s="0">
    <fb>140.35</fb>
    <v>0</v>
  </rv>
  <rv s="0">
    <fb>138.88</fb>
    <v>0</v>
  </rv>
  <rv s="0">
    <fb>140.96</fb>
    <v>0</v>
  </rv>
  <rv s="0">
    <fb>140.54599999999999</fb>
    <v>0</v>
  </rv>
  <rv s="0">
    <fb>141.85</fb>
    <v>0</v>
  </rv>
  <rv s="0">
    <fb>141.76580000000001</fb>
    <v>0</v>
  </rv>
  <rv s="0">
    <fb>138.99</fb>
    <v>0</v>
  </rv>
  <rv s="0">
    <fb>138.82</fb>
    <v>0</v>
  </rv>
  <rv s="0">
    <fb>139.11609999999999</fb>
    <v>0</v>
  </rv>
  <rv s="0">
    <fb>139.91999999999999</fb>
    <v>0</v>
  </rv>
  <rv s="0">
    <fb>142.14490000000001</fb>
    <v>0</v>
  </rv>
  <rv s="0">
    <fb>144.95590000000001</fb>
    <v>0</v>
  </rv>
  <rv s="0">
    <fb>146.2885</fb>
    <v>0</v>
  </rv>
  <rv s="0">
    <fb>149.47</fb>
    <v>0</v>
  </rv>
  <rv s="0">
    <fb>152.05000000000001</fb>
    <v>0</v>
  </rv>
  <rv s="0">
    <fb>152.30000000000001</fb>
    <v>0</v>
  </rv>
  <rv s="0">
    <fb>145.3229</fb>
    <v>0</v>
  </rv>
  <rv s="0">
    <fb>149.66999999999999</fb>
    <v>0</v>
  </rv>
  <rv s="0">
    <fb>152.6653</fb>
    <v>0</v>
  </rv>
  <rv s="0">
    <fb>149.69999999999999</fb>
    <v>0</v>
  </rv>
  <rv s="0">
    <fb>149.51</fb>
    <v>0</v>
  </rv>
  <rv s="0">
    <fb>148.29</fb>
    <v>0</v>
  </rv>
  <rv s="0">
    <fb>147.35</fb>
    <v>0</v>
  </rv>
  <rv s="0">
    <fb>150.18</fb>
    <v>0</v>
  </rv>
  <rv s="0">
    <fb>153.4</fb>
    <v>0</v>
  </rv>
  <rv s="0">
    <fb>153.83000000000001</fb>
    <v>0</v>
  </rv>
  <rv s="0">
    <fb>155.49</fb>
    <v>0</v>
  </rv>
  <rv s="0">
    <fb>147.6</fb>
    <v>0</v>
  </rv>
  <rv s="0">
    <fb>150.36000000000001</fb>
    <v>0</v>
  </rv>
  <rv s="0">
    <fb>145.66999999999999</fb>
    <v>0</v>
  </rv>
  <rv s="0">
    <fb>144.97999999999999</fb>
    <v>0</v>
  </rv>
  <rv s="0">
    <fb>146.46</fb>
    <v>0</v>
  </rv>
  <rv s="0">
    <fb>144.91499999999999</fb>
    <v>0</v>
  </rv>
  <rv s="0">
    <fb>140.53</fb>
    <v>0</v>
  </rv>
  <rv s="0">
    <fb>141.35</fb>
    <v>0</v>
  </rv>
  <rv s="0">
    <fb>139.07</fb>
    <v>0</v>
  </rv>
  <rv s="0">
    <fb>162.33000000000001</fb>
    <v>0</v>
  </rv>
  <rv s="0">
    <fb>161.25</fb>
    <v>0</v>
  </rv>
  <rv s="0">
    <fb>156.16999999999999</fb>
    <v>0</v>
  </rv>
  <rv s="0">
    <fb>155.72</fb>
    <v>0</v>
  </rv>
  <rv s="0">
    <fb>156.30000000000001</fb>
    <v>0</v>
  </rv>
  <rv s="0">
    <fb>157.75</fb>
    <v>0</v>
  </rv>
  <rv s="0">
    <fb>159.28</fb>
    <v>0</v>
  </rv>
  <rv s="0">
    <fb>159.08000000000001</fb>
    <v>0</v>
  </rv>
  <rv s="0">
    <fb>157.29</fb>
    <v>0</v>
  </rv>
  <rv s="0">
    <fb>156.04</fb>
    <v>0</v>
  </rv>
  <rv s="0">
    <fb>157.51</fb>
    <v>0</v>
  </rv>
  <rv s="0">
    <fb>160.22999999999999</fb>
    <v>0</v>
  </rv>
  <rv s="0">
    <fb>158.1</fb>
    <v>0</v>
  </rv>
  <rv s="0">
    <fb>157.26</fb>
    <v>0</v>
  </rv>
  <rv s="0">
    <fb>155.13999999999999</fb>
    <v>0</v>
  </rv>
  <rv s="0">
    <fb>154.6</fb>
    <v>0</v>
  </rv>
  <rv s="0">
    <fb>153.69999999999999</fb>
    <v>0</v>
  </rv>
  <rv s="0">
    <fb>157.21</fb>
    <v>0</v>
  </rv>
  <rv s="0">
    <fb>156.07</fb>
    <v>0</v>
  </rv>
  <rv s="0">
    <fb>159.06</fb>
    <v>0</v>
  </rv>
  <rv s="0">
    <fb>159.94</fb>
    <v>0</v>
  </rv>
  <rv s="0">
    <fb>162.94</fb>
    <v>0</v>
  </rv>
  <rv s="0">
    <fb>163.1</fb>
    <v>0</v>
  </rv>
  <rv s="0">
    <fb>164.31</fb>
    <v>0</v>
  </rv>
  <rv s="0">
    <fb>165.14</fb>
    <v>0</v>
  </rv>
  <rv s="0">
    <fb>165.97</fb>
    <v>0</v>
  </rv>
  <rv s="0">
    <fb>166.24</fb>
    <v>0</v>
  </rv>
  <rv s="0">
    <fb>166.5</fb>
    <v>0</v>
  </rv>
  <rv s="0">
    <fb>168.54</fb>
    <v>0</v>
  </rv>
  <rv s="0">
    <fb>165.99</fb>
    <v>0</v>
  </rv>
  <rv s="0">
    <fb>166.56</fb>
    <v>0</v>
  </rv>
  <rv s="0">
    <fb>166.04</fb>
    <v>0</v>
  </rv>
  <rv s="0">
    <fb>167.31</fb>
    <v>0</v>
  </rv>
  <rv s="0">
    <fb>168.36</fb>
    <v>0</v>
  </rv>
  <rv s="0">
    <fb>169.24</fb>
    <v>0</v>
  </rv>
  <rv s="0">
    <fb>167.59</fb>
    <v>0</v>
  </rv>
  <rv s="0">
    <fb>167.08</fb>
    <v>0</v>
  </rv>
  <rv s="0">
    <fb>162.91</fb>
    <v>0</v>
  </rv>
  <rv s="0">
    <fb>162.53</fb>
    <v>0</v>
  </rv>
  <rv s="0">
    <fb>160.16999999999999</fb>
    <v>0</v>
  </rv>
  <rv s="0">
    <fb>160.27000000000001</fb>
    <v>0</v>
  </rv>
  <rv s="0">
    <fb>158.19999999999999</fb>
    <v>0</v>
  </rv>
  <rv s="0">
    <fb>160.13999999999999</fb>
    <v>0</v>
  </rv>
  <rv s="0">
    <fb>158.13</fb>
    <v>0</v>
  </rv>
  <rv s="0">
    <fb>156.88</fb>
    <v>0</v>
  </rv>
  <rv s="0">
    <fb>159.16</fb>
    <v>0</v>
  </rv>
  <rv s="0">
    <fb>156.12</fb>
    <v>0</v>
  </rv>
  <rv s="0">
    <fb>150.04</fb>
    <v>0</v>
  </rv>
  <rv s="0">
    <fb>147.72999999999999</fb>
    <v>0</v>
  </rv>
  <rv s="0">
    <fb>150.58000000000001</fb>
    <v>0</v>
  </rv>
  <rv s="0">
    <fb>151.4</fb>
    <v>0</v>
  </rv>
  <rv s="0">
    <fb>148.91999999999999</fb>
    <v>0</v>
  </rv>
  <rv s="0">
    <fb>150.79</fb>
    <v>0</v>
  </rv>
  <rv s="0">
    <fb>150.47999999999999</fb>
    <v>0</v>
  </rv>
  <rv s="0">
    <fb>151.76</fb>
    <v>0</v>
  </rv>
  <rv s="0">
    <fb>154.56</fb>
    <v>0</v>
  </rv>
  <rv s="0">
    <fb>155.94999999999999</fb>
    <v>0</v>
  </rv>
  <rv s="0">
    <fb>148.1</fb>
    <v>0</v>
  </rv>
  <rv s="0">
    <fb>148.38999999999999</fb>
    <v>0</v>
  </rv>
  <rv s="0">
    <fb>149.38</fb>
    <v>0</v>
  </rv>
  <rv s="0">
    <fb>149.54</fb>
    <v>0</v>
  </rv>
  <rv s="0">
    <fb>142.19999999999999</fb>
    <v>0</v>
  </rv>
  <rv s="0">
    <fb>135.04</fb>
    <v>0</v>
  </rv>
  <rv s="0">
    <fb>145.75</fb>
    <v>0</v>
  </rv>
  <rv s="0">
    <fb>140.11000000000001</fb>
    <v>0</v>
  </rv>
  <rv s="0">
    <fb>141.38</fb>
    <v>0</v>
  </rv>
  <rv s="0">
    <fb>141.83000000000001</fb>
    <v>0</v>
  </rv>
  <rv s="0">
    <fb>141.58000000000001</fb>
    <v>0</v>
  </rv>
  <rv s="0">
    <fb>138.78</fb>
    <v>0</v>
  </rv>
  <rv s="0">
    <fb>135.62</fb>
    <v>0</v>
  </rv>
  <rv s="0">
    <fb>138.97</fb>
    <v>0</v>
  </rv>
  <rv s="0">
    <fb>141.87</fb>
    <v>0</v>
  </rv>
  <rv s="0">
    <fb>145.91</fb>
    <v>0</v>
  </rv>
  <rv s="0">
    <fb>147.41</fb>
    <v>0</v>
  </rv>
  <rv s="0">
    <fb>146.69</fb>
    <v>0</v>
  </rv>
  <rv s="0">
    <fb>148.25</fb>
    <v>0</v>
  </rv>
  <rv s="0">
    <fb>151.25</fb>
    <v>0</v>
  </rv>
  <rv s="0">
    <fb>151.47</fb>
    <v>0</v>
  </rv>
  <rv s="0">
    <fb>149.83000000000001</fb>
    <v>0</v>
  </rv>
  <rv s="0">
    <fb>150.57</fb>
    <v>0</v>
  </rv>
  <rv s="0">
    <fb>156.71</fb>
    <v>0</v>
  </rv>
  <rv s="0">
    <fb>158.30000000000001</fb>
    <v>0</v>
  </rv>
  <rv s="0">
    <fb>159.03</fb>
    <v>0</v>
  </rv>
  <rv s="0">
    <fb>158.94</fb>
    <v>0</v>
  </rv>
  <rv s="0">
    <fb>158.28</fb>
    <v>0</v>
  </rv>
  <rv s="0">
    <fb>157.74</fb>
    <v>0</v>
  </rv>
  <rv s="0">
    <fb>156.75</fb>
    <v>0</v>
  </rv>
  <rv s="0">
    <fb>159.72999999999999</fb>
    <v>0</v>
  </rv>
  <rv s="0">
    <fb>159.36000000000001</fb>
    <v>0</v>
  </rv>
  <rv s="0">
    <fb>158.68</fb>
    <v>0</v>
  </rv>
  <rv s="0">
    <fb>160.33000000000001</fb>
    <v>0</v>
  </rv>
  <rv s="0">
    <fb>159.66</fb>
    <v>0</v>
  </rv>
  <rv s="0">
    <fb>161.35</fb>
    <v>0</v>
  </rv>
  <rv s="0">
    <fb>161.33000000000001</fb>
    <v>0</v>
  </rv>
  <rv s="0">
    <fb>163.96</fb>
    <v>0</v>
  </rv>
  <rv s="0">
    <fb>164.08</fb>
    <v>0</v>
  </rv>
  <rv s="0">
    <fb>166.14</fb>
    <v>0</v>
  </rv>
  <rv s="0">
    <fb>165.28</fb>
    <v>0</v>
  </rv>
  <rv s="0">
    <fb>164.04</fb>
    <v>0</v>
  </rv>
  <rv s="0">
    <fb>162.44</fb>
    <v>0</v>
  </rv>
  <rv s="0">
    <fb>165.47</fb>
    <v>0</v>
  </rv>
  <rv s="0">
    <fb>163.91</fb>
    <v>0</v>
  </rv>
  <rv s="0">
    <fb>161.97999999999999</fb>
    <v>0</v>
  </rv>
  <rv s="0">
    <fb>163.69</fb>
    <v>0</v>
  </rv>
  <rv s="0">
    <fb>165.87</fb>
    <v>0</v>
  </rv>
  <rv s="0">
    <fb>167.79</fb>
    <v>0</v>
  </rv>
  <rv s="0">
    <fb>171.03</fb>
    <v>0</v>
  </rv>
  <rv s="0">
    <fb>169.7</fb>
    <v>0</v>
  </rv>
  <rv s="0">
    <fb>169.85</fb>
    <v>0</v>
  </rv>
  <rv s="0">
    <fb>170.84</fb>
    <v>0</v>
  </rv>
  <rv s="0">
    <fb>169.58</fb>
    <v>0</v>
  </rv>
  <rv s="0">
    <fb>169.17</fb>
    <v>0</v>
  </rv>
  <rv s="0">
    <fb>170.06</fb>
    <v>0</v>
  </rv>
  <rv s="0">
    <fb>169.84</fb>
    <v>0</v>
  </rv>
  <rv s="0">
    <fb>169</fb>
    <v>0</v>
  </rv>
  <rv s="0">
    <fb>170.58</fb>
    <v>0</v>
  </rv>
  <rv s="0">
    <fb>169.31</fb>
    <v>0</v>
  </rv>
  <rv s="0">
    <fb>170.38</fb>
    <v>0</v>
  </rv>
  <rv s="0">
    <fb>172.53</fb>
    <v>0</v>
  </rv>
  <rv s="0">
    <fb>172.64</fb>
    <v>0</v>
  </rv>
  <rv s="0">
    <fb>173.65</fb>
    <v>0</v>
  </rv>
  <rv s="0">
    <fb>173.86</fb>
    <v>0</v>
  </rv>
  <rv s="0">
    <fb>172.85</fb>
    <v>0</v>
  </rv>
  <rv s="0">
    <fb>172.48</fb>
    <v>0</v>
  </rv>
  <rv s="0">
    <fb>171</fb>
    <v>0</v>
  </rv>
  <rv s="0">
    <fb>171.51</fb>
    <v>0</v>
  </rv>
  <rv s="0">
    <fb>171.49</fb>
    <v>0</v>
  </rv>
  <rv s="0">
    <fb>175.53</fb>
    <v>0</v>
  </rv>
  <rv s="0">
    <fb>174.09</fb>
    <v>0</v>
  </rv>
  <rv s="0">
    <fb>175.26</fb>
    <v>0</v>
  </rv>
  <rv s="0">
    <fb>173.97</fb>
    <v>0</v>
  </rv>
  <rv s="0">
    <fb>174.6</fb>
    <v>0</v>
  </rv>
  <rv s="0">
    <fb>177.81</fb>
    <v>0</v>
  </rv>
  <rv s="0">
    <fb>178.68</fb>
    <v>0</v>
  </rv>
  <rv s="0">
    <fb>178.81</fb>
    <v>0</v>
  </rv>
  <rv s="0">
    <fb>178.43</fb>
    <v>0</v>
  </rv>
  <rv s="0">
    <fb>176.72</fb>
    <v>0</v>
  </rv>
  <rv s="0">
    <fb>175.83</fb>
    <v>0</v>
  </rv>
  <rv s="0">
    <fb>175.47</fb>
    <v>0</v>
  </rv>
  <rv s="0">
    <fb>178.51</fb>
    <v>0</v>
  </rv>
  <rv s="0">
    <fb>179.14</fb>
    <v>0</v>
  </rv>
  <rv s="0">
    <fb>179.04</fb>
    <v>0</v>
  </rv>
  <rv s="0">
    <fb>179.22</fb>
    <v>0</v>
  </rv>
  <rv s="0">
    <fb>180.39</fb>
    <v>0</v>
  </rv>
  <rv s="0">
    <fb>180.19</fb>
    <v>0</v>
  </rv>
  <rv s="0">
    <fb>179.66</fb>
    <v>0</v>
  </rv>
  <rv s="0">
    <fb>183.39</fb>
    <v>0</v>
  </rv>
  <rv s="0">
    <fb>184.76</fb>
    <v>0</v>
  </rv>
  <rv s="0">
    <fb>185.8</fb>
    <v>0</v>
  </rv>
  <rv s="0">
    <fb>185.88</fb>
    <v>0</v>
  </rv>
  <rv s="0">
    <fb>191.14</fb>
    <v>0</v>
  </rv>
  <rv s="0">
    <fb>191.1</fb>
    <v>0</v>
  </rv>
  <rv s="0">
    <fb>191.36</fb>
    <v>0</v>
  </rv>
  <rv s="0">
    <fb>191.85</fb>
    <v>0</v>
  </rv>
  <rv s="0">
    <fb>192.17</fb>
    <v>0</v>
  </rv>
  <rv s="0">
    <fb>191.23</fb>
    <v>0</v>
  </rv>
  <rv s="0">
    <fb>190.39</fb>
    <v>0</v>
  </rv>
  <rv s="0">
    <fb>188.56</fb>
    <v>0</v>
  </rv>
  <rv s="0">
    <fb>187.55</fb>
    <v>0</v>
  </rv>
  <rv s="0">
    <fb>188.35</fb>
    <v>0</v>
  </rv>
  <rv s="0">
    <fb>188.6</fb>
    <v>0</v>
  </rv>
  <rv s="0">
    <fb>185.67</fb>
    <v>0</v>
  </rv>
  <rv s="0">
    <fb>186.13</fb>
    <v>0</v>
  </rv>
  <rv s="0">
    <fb>186.45</fb>
    <v>0</v>
  </rv>
  <rv s="0">
    <fb>184.96</fb>
    <v>0</v>
  </rv>
  <rv s="0">
    <fb>184.92</fb>
    <v>0</v>
  </rv>
  <rv s="0">
    <fb>184.59</fb>
    <v>0</v>
  </rv>
  <rv s="0">
    <fb>180.26</fb>
    <v>0</v>
  </rv>
  <rv s="0">
    <fb>183.14</fb>
    <v>0</v>
  </rv>
  <rv s="0">
    <fb>184.2</fb>
    <v>0</v>
  </rv>
  <rv s="0">
    <fb>186.18</fb>
    <v>0</v>
  </rv>
  <rv s="0">
    <fb>185.15</fb>
    <v>0</v>
  </rv>
  <rv s="0">
    <fb>187.65</fb>
    <v>0</v>
  </rv>
  <rv s="0">
    <fb>187.2</fb>
    <v>0</v>
  </rv>
  <rv s="0">
    <fb>185.54</fb>
    <v>0</v>
  </rv>
  <rv s="0">
    <fb>187.14</fb>
    <v>0</v>
  </rv>
  <rv s="0">
    <fb>190.54</fb>
    <v>0</v>
  </rv>
  <rv s="0">
    <fb>190.02</fb>
    <v>0</v>
  </rv>
  <rv s="0">
    <fb>190.8</fb>
    <v>0</v>
  </rv>
  <rv s="0">
    <fb>186.22</fb>
    <v>0</v>
  </rv>
  <rv s="0">
    <fb>186.65</fb>
    <v>0</v>
  </rv>
  <rv s="0">
    <fb>185.31</fb>
    <v>0</v>
  </rv>
  <rv s="0">
    <fb>182.8</fb>
    <v>0</v>
  </rv>
  <rv s="0">
    <fb>184.27</fb>
    <v>0</v>
  </rv>
  <rv s="0">
    <fb>182.72</fb>
    <v>0</v>
  </rv>
  <rv s="0">
    <fb>182.33</fb>
    <v>0</v>
  </rv>
  <rv s="0">
    <fb>185.42</fb>
    <v>0</v>
  </rv>
  <rv s="0">
    <fb>186.29</fb>
    <v>0</v>
  </rv>
  <rv s="0">
    <fb>184.62</fb>
    <v>0</v>
  </rv>
  <rv s="0">
    <fb>181.4</fb>
    <v>0</v>
  </rv>
  <rv s="0">
    <fb>180.51</fb>
    <v>0</v>
  </rv>
  <rv s="0">
    <fb>180.96</fb>
    <v>0</v>
  </rv>
  <rv s="0">
    <fb>61.49</fb>
    <v>0</v>
  </rv>
  <rv s="0">
    <fb>61.13</fb>
    <v>0</v>
  </rv>
  <rv s="0">
    <fb>59.26</fb>
    <v>0</v>
  </rv>
  <rv s="0">
    <fb>59.22</fb>
    <v>0</v>
  </rv>
  <rv s="0">
    <fb>60.34</fb>
    <v>0</v>
  </rv>
  <rv s="0">
    <fb>59.67</fb>
    <v>0</v>
  </rv>
  <rv s="0">
    <fb>59.01</fb>
    <v>0</v>
  </rv>
  <rv s="0">
    <fb>58.7</fb>
    <v>0</v>
  </rv>
  <rv s="0">
    <fb>59.08</fb>
    <v>0</v>
  </rv>
  <rv s="0">
    <fb>59.68</fb>
    <v>0</v>
  </rv>
  <rv s="0">
    <fb>60.67</fb>
    <v>0</v>
  </rv>
  <rv s="0">
    <fb>59.98</fb>
    <v>0</v>
  </rv>
  <rv s="0">
    <fb>58.72</fb>
    <v>0</v>
  </rv>
  <rv s="0">
    <fb>59.21</fb>
    <v>0</v>
  </rv>
  <rv s="0">
    <fb>59.69</fb>
    <v>0</v>
  </rv>
  <rv s="0">
    <fb>60.57</fb>
    <v>0</v>
  </rv>
  <rv s="0">
    <fb>62.85</fb>
    <v>0</v>
  </rv>
  <rv s="0">
    <fb>63.07</fb>
    <v>0</v>
  </rv>
  <rv s="0">
    <fb>63.13</fb>
    <v>0</v>
  </rv>
  <rv s="0">
    <fb>63.91</fb>
    <v>0</v>
  </rv>
  <rv s="0">
    <fb>63.23</fb>
    <v>0</v>
  </rv>
  <rv s="0">
    <fb>63.03</fb>
    <v>0</v>
  </rv>
  <rv s="0">
    <fb>63.51</fb>
    <v>0</v>
  </rv>
  <rv s="0">
    <fb>63.3</fb>
    <v>0</v>
  </rv>
  <rv s="0">
    <fb>62.88</fb>
    <v>0</v>
  </rv>
  <rv s="0">
    <fb>61.84</fb>
    <v>0</v>
  </rv>
  <rv s="0">
    <fb>61.63</fb>
    <v>0</v>
  </rv>
  <rv s="0">
    <fb>60.86</fb>
    <v>0</v>
  </rv>
  <rv s="0">
    <fb>60.74</fb>
    <v>0</v>
  </rv>
  <rv s="0">
    <fb>59.95</fb>
    <v>0</v>
  </rv>
  <rv s="0">
    <fb>57.47</fb>
    <v>0</v>
  </rv>
  <rv s="0">
    <fb>56.86</fb>
    <v>0</v>
  </rv>
  <rv s="0">
    <fb>57.32</fb>
    <v>0</v>
  </rv>
  <rv s="0">
    <fb>55.97</fb>
    <v>0</v>
  </rv>
  <rv s="0">
    <fb>56.97</fb>
    <v>0</v>
  </rv>
  <rv s="0">
    <fb>56.38</fb>
    <v>0</v>
  </rv>
  <rv s="0">
    <fb>57.12</fb>
    <v>0</v>
  </rv>
  <rv s="0">
    <fb>56.98</fb>
    <v>0</v>
  </rv>
  <rv s="0">
    <fb>57.33</fb>
    <v>0</v>
  </rv>
  <rv s="0">
    <fb>58.41</fb>
    <v>0</v>
  </rv>
  <rv s="0">
    <fb>59.12</fb>
    <v>0</v>
  </rv>
  <rv s="0">
    <fb>57.86</fb>
    <v>0</v>
  </rv>
  <rv s="0">
    <fb>56.045000000000002</fb>
    <v>0</v>
  </rv>
  <rv s="0">
    <fb>56.61</fb>
    <v>0</v>
  </rv>
  <rv s="0">
    <fb>56.64</fb>
    <v>0</v>
  </rv>
  <rv s="0">
    <fb>50.92</fb>
    <v>0</v>
  </rv>
  <rv s="0">
    <fb>55.25</fb>
    <v>0</v>
  </rv>
  <rv s="0">
    <fb>53.12</fb>
    <v>0</v>
  </rv>
  <rv s="0">
    <fb>52.63</fb>
    <v>0</v>
  </rv>
  <rv s="0">
    <fb>51.38</fb>
    <v>0</v>
  </rv>
  <rv s="0">
    <fb>52.67</fb>
    <v>0</v>
  </rv>
  <rv s="0">
    <fb>53.71</fb>
    <v>0</v>
  </rv>
  <rv s="0">
    <fb>55.27</fb>
    <v>0</v>
  </rv>
  <rv s="0">
    <fb>55.48</fb>
    <v>0</v>
  </rv>
  <rv s="0">
    <fb>55.81</fb>
    <v>0</v>
  </rv>
  <rv s="0">
    <fb>55.55</fb>
    <v>0</v>
  </rv>
  <rv s="0">
    <fb>57.25</fb>
    <v>0</v>
  </rv>
  <rv s="0">
    <fb>57.36</fb>
    <v>0</v>
  </rv>
  <rv s="0">
    <fb>57.18</fb>
    <v>0</v>
  </rv>
  <rv s="0">
    <fb>56.78</fb>
    <v>0</v>
  </rv>
  <rv s="0">
    <fb>57.03</fb>
    <v>0</v>
  </rv>
  <rv s="0">
    <fb>57.06</fb>
    <v>0</v>
  </rv>
  <rv s="0">
    <fb>58.79</fb>
    <v>0</v>
  </rv>
  <rv s="0">
    <fb>59.86</fb>
    <v>0</v>
  </rv>
  <rv s="0">
    <fb>60.23</fb>
    <v>0</v>
  </rv>
  <rv s="0">
    <fb>59.96</fb>
    <v>0</v>
  </rv>
  <rv s="0">
    <fb>59.73</fb>
    <v>0</v>
  </rv>
  <rv s="0">
    <fb>59.77</fb>
    <v>0</v>
  </rv>
  <rv s="0">
    <fb>59.38</fb>
    <v>0</v>
  </rv>
  <rv s="0">
    <fb>60.55</fb>
    <v>0</v>
  </rv>
  <rv s="0">
    <fb>60.12</fb>
    <v>0</v>
  </rv>
  <rv s="0">
    <fb>60.41</fb>
    <v>0</v>
  </rv>
  <rv s="0">
    <fb>60.79</fb>
    <v>0</v>
  </rv>
  <rv s="0">
    <fb>60.52</fb>
    <v>0</v>
  </rv>
  <rv s="0">
    <fb>61.18</fb>
    <v>0</v>
  </rv>
  <rv s="0">
    <fb>62.96</fb>
    <v>0</v>
  </rv>
  <rv s="0">
    <fb>62.22</fb>
    <v>0</v>
  </rv>
  <rv s="0">
    <fb>62.77</fb>
    <v>0</v>
  </rv>
  <rv s="0">
    <fb>62.2</fb>
    <v>0</v>
  </rv>
  <rv s="0">
    <fb>62.18</fb>
    <v>0</v>
  </rv>
  <rv s="0">
    <fb>61.28</fb>
    <v>0</v>
  </rv>
  <rv s="0">
    <fb>63.67</fb>
    <v>0</v>
  </rv>
  <rv s="0">
    <fb>64.23</fb>
    <v>0</v>
  </rv>
  <rv s="0">
    <fb>64.400000000000006</fb>
    <v>0</v>
  </rv>
  <rv s="0">
    <fb>64.38</fb>
    <v>0</v>
  </rv>
  <rv s="0">
    <fb>64.239999999999995</fb>
    <v>0</v>
  </rv>
  <rv s="0">
    <fb>65.44</fb>
    <v>0</v>
  </rv>
  <rv s="0">
    <fb>65.459999999999994</fb>
    <v>0</v>
  </rv>
  <rv s="0">
    <fb>66.05</fb>
    <v>0</v>
  </rv>
  <rv s="0">
    <fb>66.099999999999994</fb>
    <v>0</v>
  </rv>
  <rv s="0">
    <fb>67.33</fb>
    <v>0</v>
  </rv>
  <rv s="0">
    <fb>67.56</fb>
    <v>0</v>
  </rv>
  <rv s="0">
    <fb>67.67</fb>
    <v>0</v>
  </rv>
  <rv s="0">
    <fb>67.52</fb>
    <v>0</v>
  </rv>
  <rv s="0">
    <fb>66.87</fb>
    <v>0</v>
  </rv>
  <rv s="0">
    <fb>66.400000000000006</fb>
    <v>0</v>
  </rv>
  <rv s="0">
    <fb>67.72</fb>
    <v>0</v>
  </rv>
  <rv s="0">
    <fb>67.760000000000005</fb>
    <v>0</v>
  </rv>
  <rv s="0">
    <fb>68.25</fb>
    <v>0</v>
  </rv>
  <rv s="0">
    <fb>67.94</fb>
    <v>0</v>
  </rv>
  <rv s="0">
    <fb>69.95</fb>
    <v>0</v>
  </rv>
  <rv s="0">
    <fb>70.28</fb>
    <v>0</v>
  </rv>
  <rv s="0">
    <fb>70.989999999999995</fb>
    <v>0</v>
  </rv>
  <rv s="0">
    <fb>70.39</fb>
    <v>0</v>
  </rv>
  <rv s="0">
    <fb>71</fb>
    <v>0</v>
  </rv>
  <rv s="0">
    <fb>71.150000000000006</fb>
    <v>0</v>
  </rv>
  <rv s="0">
    <fb>72.31</fb>
    <v>0</v>
  </rv>
  <rv s="0">
    <fb>72.209999999999994</fb>
    <v>0</v>
  </rv>
  <rv s="0">
    <fb>71.91</fb>
    <v>0</v>
  </rv>
  <rv s="0">
    <fb>71.33</fb>
    <v>0</v>
  </rv>
  <rv s="0">
    <fb>70.95</fb>
    <v>0</v>
  </rv>
  <rv s="0">
    <fb>71.3</fb>
    <v>0</v>
  </rv>
  <rv s="0">
    <fb>71.36</fb>
    <v>0</v>
  </rv>
  <rv s="0">
    <fb>69.989999999999995</fb>
    <v>0</v>
  </rv>
  <rv s="0">
    <fb>70</fb>
    <v>0</v>
  </rv>
  <rv s="0">
    <fb>69.84</fb>
    <v>0</v>
  </rv>
  <rv s="0">
    <fb>70.47</fb>
    <v>0</v>
  </rv>
  <rv s="0">
    <fb>69.790000000000006</fb>
    <v>0</v>
  </rv>
  <rv s="0">
    <fb>70.099999999999994</fb>
    <v>0</v>
  </rv>
  <rv s="0">
    <fb>70.83</fb>
    <v>0</v>
  </rv>
  <rv s="0">
    <fb>70.19</fb>
    <v>0</v>
  </rv>
  <rv s="0">
    <fb>70.819999999999993</fb>
    <v>0</v>
  </rv>
  <rv s="0">
    <fb>72.09</fb>
    <v>0</v>
  </rv>
  <rv s="0">
    <fb>72.16</fb>
    <v>0</v>
  </rv>
  <rv s="0">
    <fb>70.650000000000006</fb>
    <v>0</v>
  </rv>
  <rv s="0">
    <fb>69.14</fb>
    <v>0</v>
  </rv>
  <rv s="0">
    <fb>69.069999999999993</fb>
    <v>0</v>
  </rv>
  <rv s="0">
    <fb>70.09</fb>
    <v>0</v>
  </rv>
  <rv s="0">
    <fb>69.760000000000005</fb>
    <v>0</v>
  </rv>
  <rv s="0">
    <fb>68.58</fb>
    <v>0</v>
  </rv>
  <rv s="0">
    <fb>68.260000000000005</fb>
    <v>0</v>
  </rv>
  <rv s="0">
    <fb>68.44</fb>
    <v>0</v>
  </rv>
  <rv s="0">
    <fb>257.24</fb>
    <v>0</v>
  </rv>
  <rv s="0">
    <fb>255.98</fb>
    <v>0</v>
  </rv>
  <rv s="0">
    <fb>245.53</fb>
    <v>0</v>
  </rv>
  <rv s="0">
    <fb>246.45</fb>
    <v>0</v>
  </rv>
  <rv s="0">
    <fb>249.48</fb>
    <v>0</v>
  </rv>
  <rv s="0">
    <fb>249.68</fb>
    <v>0</v>
  </rv>
  <rv s="0">
    <fb>252.18</fb>
    <v>0</v>
  </rv>
  <rv s="0">
    <fb>248.15</fb>
    <v>0</v>
  </rv>
  <rv s="0">
    <fb>245.43</fb>
    <v>0</v>
  </rv>
  <rv s="0">
    <fb>243.17</fb>
    <v>0</v>
  </rv>
  <rv s="0">
    <fb>243.68</fb>
    <v>0</v>
  </rv>
  <rv s="0">
    <fb>246.32</fb>
    <v>0</v>
  </rv>
  <rv s="0">
    <fb>249.77</fb>
    <v>0</v>
  </rv>
  <rv s="0">
    <fb>245.82</fb>
    <v>0</v>
  </rv>
  <rv s="0">
    <fb>243.07</fb>
    <v>0</v>
  </rv>
  <rv s="0">
    <fb>242.03</fb>
    <v>0</v>
  </rv>
  <rv s="0">
    <fb>242.33</fb>
    <v>0</v>
  </rv>
  <rv s="0">
    <fb>246.79</fb>
    <v>0</v>
  </rv>
  <rv s="0">
    <fb>246.76</fb>
    <v>0</v>
  </rv>
  <rv s="0">
    <fb>249.54</fb>
    <v>0</v>
  </rv>
  <rv s="0">
    <fb>251.67</fb>
    <v>0</v>
  </rv>
  <rv s="0">
    <fb>256.26</fb>
    <v>0</v>
  </rv>
  <rv s="0">
    <fb>258.49</fb>
    <v>0</v>
  </rv>
  <rv s="0">
    <fb>258.5</fb>
    <v>0</v>
  </rv>
  <rv s="0">
    <fb>255.25</fb>
    <v>0</v>
  </rv>
  <rv s="0">
    <fb>260.82</fb>
    <v>0</v>
  </rv>
  <rv s="0">
    <fb>260.35000000000002</fb>
    <v>0</v>
  </rv>
  <rv s="0">
    <fb>261.47000000000003</fb>
    <v>0</v>
  </rv>
  <rv s="0">
    <fb>262.88</fb>
    <v>0</v>
  </rv>
  <rv s="0">
    <fb>262.27</fb>
    <v>0</v>
  </rv>
  <rv s="0">
    <fb>264.17</fb>
    <v>0</v>
  </rv>
  <rv s="0">
    <fb>264.2</fb>
    <v>0</v>
  </rv>
  <rv s="0">
    <fb>263.62</fb>
    <v>0</v>
  </rv>
  <rv s="0">
    <fb>262.20999999999998</fb>
    <v>0</v>
  </rv>
  <rv s="0">
    <fb>263.2</fb>
    <v>0</v>
  </rv>
  <rv s="0">
    <fb>265.41000000000003</fb>
    <v>0</v>
  </rv>
  <rv s="0">
    <fb>266.98</fb>
    <v>0</v>
  </rv>
  <rv s="0">
    <fb>266.08</fb>
    <v>0</v>
  </rv>
  <rv s="0">
    <fb>262.97000000000003</fb>
    <v>0</v>
  </rv>
  <rv s="0">
    <fb>258.83</fb>
    <v>0</v>
  </rv>
  <rv s="0">
    <fb>251.57</fb>
    <v>0</v>
  </rv>
  <rv s="0">
    <fb>248.7</fb>
    <v>0</v>
  </rv>
  <rv s="0">
    <fb>245.64</fb>
    <v>0</v>
  </rv>
  <rv s="0">
    <fb>248.27</fb>
    <v>0</v>
  </rv>
  <rv s="0">
    <fb>242.74</fb>
    <v>0</v>
  </rv>
  <rv s="0">
    <fb>246.33</fb>
    <v>0</v>
  </rv>
  <rv s="0">
    <fb>234.24</fb>
    <v>0</v>
  </rv>
  <rv s="0">
    <fb>233.76</fb>
    <v>0</v>
  </rv>
  <rv s="0">
    <fb>224.09</fb>
    <v>0</v>
  </rv>
  <rv s="0">
    <fb>225.2</fb>
    <v>0</v>
  </rv>
  <rv s="0">
    <fb>228.17</fb>
    <v>0</v>
  </rv>
  <rv s="0">
    <fb>221.38</fb>
    <v>0</v>
  </rv>
  <rv s="0">
    <fb>227.56</fb>
    <v>0</v>
  </rv>
  <rv s="0">
    <fb>229.93</fb>
    <v>0</v>
  </rv>
  <rv s="0">
    <fb>225.82</fb>
    <v>0</v>
  </rv>
  <rv s="0">
    <fb>229.55</fb>
    <v>0</v>
  </rv>
  <rv s="0">
    <fb>228.73</fb>
    <v>0</v>
  </rv>
  <rv s="0">
    <fb>230.38</fb>
    <v>0</v>
  </rv>
  <rv s="0">
    <fb>236.42</fb>
    <v>0</v>
  </rv>
  <rv s="0">
    <fb>238.54</fb>
    <v>0</v>
  </rv>
  <rv s="0">
    <fb>233.22</fb>
    <v>0</v>
  </rv>
  <rv s="0">
    <fb>231.08</fb>
    <v>0</v>
  </rv>
  <rv s="0">
    <fb>223.37</fb>
    <v>0</v>
  </rv>
  <rv s="0">
    <fb>222.15</fb>
    <v>0</v>
  </rv>
  <rv s="0">
    <fb>212.14</fb>
    <v>0</v>
  </rv>
  <rv s="0">
    <fb>200.64</fb>
    <v>0</v>
  </rv>
  <rv s="0">
    <fb>202.22</fb>
    <v>0</v>
  </rv>
  <rv s="0">
    <fb>200.29</fb>
    <v>0</v>
  </rv>
  <rv s="0">
    <fb>213.31</fb>
    <v>0</v>
  </rv>
  <rv s="0">
    <fb>215.57</fb>
    <v>0</v>
  </rv>
  <rv s="0">
    <fb>215.73</fb>
    <v>0</v>
  </rv>
  <rv s="0">
    <fb>216.59</fb>
    <v>0</v>
  </rv>
  <rv s="0">
    <fb>211.93</fb>
    <v>0</v>
  </rv>
  <rv s="0">
    <fb>206.33</fb>
    <v>0</v>
  </rv>
  <rv s="0">
    <fb>229.19</fb>
    <v>0</v>
  </rv>
  <rv s="0">
    <fb>228.95</fb>
    <v>0</v>
  </rv>
  <rv s="0">
    <fb>231.13</fb>
    <v>0</v>
  </rv>
  <rv s="0">
    <fb>238.84</fb>
    <v>0</v>
  </rv>
  <rv s="0">
    <fb>235.8</fb>
    <v>0</v>
  </rv>
  <rv s="0">
    <fb>237.17</fb>
    <v>0</v>
  </rv>
  <rv s="0">
    <fb>246.67</fb>
    <v>0</v>
  </rv>
  <rv s="0">
    <fb>250.68</fb>
    <v>0</v>
  </rv>
  <rv s="0">
    <fb>252.26</fb>
    <v>0</v>
  </rv>
  <rv s="0">
    <fb>251.55</fb>
    <v>0</v>
  </rv>
  <rv s="0">
    <fb>253.31</fb>
    <v>0</v>
  </rv>
  <rv s="0">
    <fb>253.22</fb>
    <v>0</v>
  </rv>
  <rv s="0">
    <fb>251.63</fb>
    <v>0</v>
  </rv>
  <rv s="0">
    <fb>249.33</fb>
    <v>0</v>
  </rv>
  <rv s="0">
    <fb>251.27</fb>
    <v>0</v>
  </rv>
  <rv s="0">
    <fb>247.55</fb>
    <v>0</v>
  </rv>
  <rv s="0">
    <fb>251.74</fb>
    <v>0</v>
  </rv>
  <rv s="0">
    <fb>249.57</fb>
    <v>0</v>
  </rv>
  <rv s="0">
    <fb>251.2</fb>
    <v>0</v>
  </rv>
  <rv s="0">
    <fb>253.09</fb>
    <v>0</v>
  </rv>
  <rv s="0">
    <fb>254.25</fb>
    <v>0</v>
  </rv>
  <rv s="0">
    <fb>256.8</fb>
    <v>0</v>
  </rv>
  <rv s="0">
    <fb>257.62</fb>
    <v>0</v>
  </rv>
  <rv s="0">
    <fb>260.81</fb>
    <v>0</v>
  </rv>
  <rv s="0">
    <fb>260.42</fb>
    <v>0</v>
  </rv>
  <rv s="0">
    <fb>259.76</fb>
    <v>0</v>
  </rv>
  <rv s="0">
    <fb>258.07</fb>
    <v>0</v>
  </rv>
  <rv s="0">
    <fb>254.1</fb>
    <v>0</v>
  </rv>
  <rv s="0">
    <fb>258.36</fb>
    <v>0</v>
  </rv>
  <rv s="0">
    <fb>256.48</fb>
    <v>0</v>
  </rv>
  <rv s="0">
    <fb>253.63</fb>
    <v>0</v>
  </rv>
  <rv s="0">
    <fb>256.58999999999997</fb>
    <v>0</v>
  </rv>
  <rv s="0">
    <fb>261.07</fb>
    <v>0</v>
  </rv>
  <rv s="0">
    <fb>260.33999999999997</fb>
    <v>0</v>
  </rv>
  <rv s="0">
    <fb>264.37</fb>
    <v>0</v>
  </rv>
  <rv s="0">
    <fb>267.25</fb>
    <v>0</v>
  </rv>
  <rv s="0">
    <fb>269.33</fb>
    <v>0</v>
  </rv>
  <rv s="0">
    <fb>265.87</fb>
    <v>0</v>
  </rv>
  <rv s="0">
    <fb>265.89</fb>
    <v>0</v>
  </rv>
  <rv s="0">
    <fb>269.02</fb>
    <v>0</v>
  </rv>
  <rv s="0">
    <fb>269.25</fb>
    <v>0</v>
  </rv>
  <rv s="0">
    <fb>266</fb>
    <v>0</v>
  </rv>
  <rv s="0">
    <fb>264.06</fb>
    <v>0</v>
  </rv>
  <rv s="0">
    <fb>266.77999999999997</fb>
    <v>0</v>
  </rv>
  <rv s="0">
    <fb>265.42</fb>
    <v>0</v>
  </rv>
  <rv s="0">
    <fb>265.64999999999998</fb>
    <v>0</v>
  </rv>
  <rv s="0">
    <fb>268.05</fb>
    <v>0</v>
  </rv>
  <rv s="0">
    <fb>268.54000000000002</fb>
    <v>0</v>
  </rv>
  <rv s="0">
    <fb>270.27999999999997</fb>
    <v>0</v>
  </rv>
  <rv s="0">
    <fb>269.05</fb>
    <v>0</v>
  </rv>
  <rv s="0">
    <fb>270.05</fb>
    <v>0</v>
  </rv>
  <rv s="0">
    <fb>270.73</fb>
    <v>0</v>
  </rv>
  <rv s="0">
    <fb>272.41000000000003</fb>
    <v>0</v>
  </rv>
  <rv s="0">
    <fb>272.75</fb>
    <v>0</v>
  </rv>
  <rv s="0">
    <fb>270.79000000000002</fb>
    <v>0</v>
  </rv>
  <rv s="0">
    <fb>273.83</fb>
    <v>0</v>
  </rv>
  <rv s="0">
    <fb>264.73</fb>
    <v>0</v>
  </rv>
  <rv s="0">
    <fb>269.64999999999998</fb>
    <v>0</v>
  </rv>
  <rv s="0">
    <fb>266.88</fb>
    <v>0</v>
  </rv>
  <rv s="0">
    <fb>274.07</fb>
    <v>0</v>
  </rv>
  <rv s="0">
    <fb>271.67</fb>
    <v>0</v>
  </rv>
  <rv s="0">
    <fb>270.77999999999997</fb>
    <v>0</v>
  </rv>
  <rv s="0">
    <fb>268.56</fb>
    <v>0</v>
  </rv>
  <rv s="0">
    <fb>271.75</fb>
    <v>0</v>
  </rv>
  <rv s="0">
    <fb>271.16000000000003</fb>
    <v>0</v>
  </rv>
  <rv s="0">
    <fb>273.36</fb>
    <v>0</v>
  </rv>
  <rv s="0">
    <fb>269.7</fb>
    <v>0</v>
  </rv>
  <rv s="0">
    <fb>268.5</fb>
    <v>0</v>
  </rv>
  <rv s="0">
    <fb>267.86</fb>
    <v>0</v>
  </rv>
  <rv s="0">
    <fb>272.67</fb>
    <v>0</v>
  </rv>
  <rv s="0">
    <fb>272.7</fb>
    <v>0</v>
  </rv>
  <rv s="0">
    <fb>272.97000000000003</fb>
    <v>0</v>
  </rv>
  <rv s="0">
    <fb>274.02</fb>
    <v>0</v>
  </rv>
  <rv s="0">
    <fb>278.38</fb>
    <v>0</v>
  </rv>
  <rv s="0">
    <fb>276.52999999999997</fb>
    <v>0</v>
  </rv>
  <rv s="0">
    <fb>273.83999999999997</fb>
    <v>0</v>
  </rv>
  <rv s="0">
    <fb>277.64</fb>
    <v>0</v>
  </rv>
  <rv s="0">
    <fb>280.31</fb>
    <v>0</v>
  </rv>
  <rv s="0">
    <fb>280.66000000000003</fb>
    <v>0</v>
  </rv>
  <rv s="0">
    <fb>284.99</fb>
    <v>0</v>
  </rv>
  <rv s="0">
    <fb>283.01</fb>
    <v>0</v>
  </rv>
  <rv s="0">
    <fb>283.43</fb>
    <v>0</v>
  </rv>
  <rv s="0">
    <fb>279.7</fb>
    <v>0</v>
  </rv>
  <rv s="0">
    <fb>283.95999999999998</fb>
    <v>0</v>
  </rv>
  <rv s="0">
    <fb>283.04000000000002</fb>
    <v>0</v>
  </rv>
  <rv s="0">
    <fb>284.36</fb>
    <v>0</v>
  </rv>
  <rv s="0">
    <fb>285.94</fb>
    <v>0</v>
  </rv>
  <rv s="0">
    <fb>287.33999999999997</fb>
    <v>0</v>
  </rv>
  <rv s="0">
    <fb>283.3</fb>
    <v>0</v>
  </rv>
  <rv s="0">
    <fb>282.17</fb>
    <v>0</v>
  </rv>
  <rv s="0">
    <fb>280.63</fb>
    <v>0</v>
  </rv>
  <rv s="0">
    <fb>281.44</fb>
    <v>0</v>
  </rv>
  <rv s="0">
    <fb>279.83999999999997</fb>
    <v>0</v>
  </rv>
  <rv s="0">
    <fb>278.45999999999998</fb>
    <v>0</v>
  </rv>
  <rv s="0">
    <fb>279.91000000000003</fb>
    <v>0</v>
  </rv>
  <rv s="0">
    <fb>277.91000000000003</fb>
    <v>0</v>
  </rv>
  <rv s="0">
    <fb>281.19</fb>
    <v>0</v>
  </rv>
  <rv s="0">
    <fb>279.07</fb>
    <v>0</v>
  </rv>
  <rv s="0">
    <fb>283.35000000000002</fb>
    <v>0</v>
  </rv>
  <rv s="0">
    <fb>276</fb>
    <v>0</v>
  </rv>
  <rv s="0">
    <fb>279.79000000000002</fb>
    <v>0</v>
  </rv>
  <rv s="0">
    <fb>278.64</fb>
    <v>0</v>
  </rv>
  <rv s="0">
    <fb>279.51</fb>
    <v>0</v>
  </rv>
  <rv s="0">
    <fb>276.87</fb>
    <v>0</v>
  </rv>
  <rv s="0">
    <fb>277.66000000000003</fb>
    <v>0</v>
  </rv>
  <rv s="0">
    <fb>282.55</fb>
    <v>0</v>
  </rv>
  <rv s="0">
    <fb>284.43</fb>
    <v>0</v>
  </rv>
  <rv s="0">
    <fb>278.27999999999997</fb>
    <v>0</v>
  </rv>
  <rv s="0">
    <fb>280.23</fb>
    <v>0</v>
  </rv>
  <rv s="0">
    <fb>285.64</fb>
    <v>0</v>
  </rv>
  <rv s="0">
    <fb>285.7</fb>
    <v>0</v>
  </rv>
  <rv s="0">
    <fb>285.66000000000003</fb>
    <v>0</v>
  </rv>
  <rv s="0">
    <fb>278.54000000000002</fb>
    <v>0</v>
  </rv>
  <rv s="0">
    <fb>283.94</fb>
    <v>0</v>
  </rv>
  <rv s="0">
    <fb>284</fb>
    <v>0</v>
  </rv>
  <rv s="0">
    <fb>277.02</fb>
    <v>0</v>
  </rv>
  <rv s="0">
    <fb>276.44</fb>
    <v>0</v>
  </rv>
  <rv s="0">
    <fb>270.95</fb>
    <v>0</v>
  </rv>
  <rv s="0">
    <fb>272.47000000000003</fb>
    <v>0</v>
  </rv>
  <rv s="0">
    <fb>277.14999999999998</fb>
    <v>0</v>
  </rv>
  <rv s="0">
    <fb>277.39999999999998</fb>
    <v>0</v>
  </rv>
  <rv s="0">
    <fb>276.05</fb>
    <v>0</v>
  </rv>
  <rv s="0">
    <fb>270.52999999999997</fb>
    <v>0</v>
  </rv>
  <rv s="0">
    <fb>266.23</fb>
    <v>0</v>
  </rv>
  <rv s="0">
    <fb>44.65</fb>
    <v>0</v>
  </rv>
  <rv s="0">
    <fb>44.55</fb>
    <v>0</v>
  </rv>
  <rv s="0">
    <fb>43.35</fb>
    <v>0</v>
  </rv>
  <rv s="0">
    <fb>43.72</fb>
    <v>0</v>
  </rv>
  <rv s="0">
    <fb>43.41</fb>
    <v>0</v>
  </rv>
  <rv s="0">
    <fb>43.95</fb>
    <v>0</v>
  </rv>
  <rv s="0">
    <fb>43.73</fb>
    <v>0</v>
  </rv>
  <rv s="0">
    <fb>43.26</fb>
    <v>0</v>
  </rv>
  <rv s="0">
    <fb>42.64</fb>
    <v>0</v>
  </rv>
  <rv s="0">
    <fb>43.27</fb>
    <v>0</v>
  </rv>
  <rv s="0">
    <fb>42.56</fb>
    <v>0</v>
  </rv>
  <rv s="0">
    <fb>43.33</fb>
    <v>0</v>
  </rv>
  <rv s="0">
    <fb>43</fb>
    <v>0</v>
  </rv>
  <rv s="0">
    <fb>43.38</fb>
    <v>0</v>
  </rv>
  <rv s="0">
    <fb>43.53</fb>
    <v>0</v>
  </rv>
  <rv s="0">
    <fb>43.6</fb>
    <v>0</v>
  </rv>
  <rv s="0">
    <fb>45.4</fb>
    <v>0</v>
  </rv>
  <rv s="0">
    <fb>45.45</fb>
    <v>0</v>
  </rv>
  <rv s="0">
    <fb>46.3</fb>
    <v>0</v>
  </rv>
  <rv s="0">
    <fb>46.14</fb>
    <v>0</v>
  </rv>
  <rv s="0">
    <fb>45.98</fb>
    <v>0</v>
  </rv>
  <rv s="0">
    <fb>47.57</fb>
    <v>0</v>
  </rv>
  <rv s="0">
    <fb>47.37</fb>
    <v>0</v>
  </rv>
  <rv s="0">
    <fb>47.74</fb>
    <v>0</v>
  </rv>
  <rv s="0">
    <fb>48.48</fb>
    <v>0</v>
  </rv>
  <rv s="0">
    <fb>49.3</fb>
    <v>0</v>
  </rv>
  <rv s="0">
    <fb>49.755000000000003</fb>
    <v>0</v>
  </rv>
  <rv s="0">
    <fb>49.803400000000003</fb>
    <v>0</v>
  </rv>
  <rv s="0">
    <fb>48.91</fb>
    <v>0</v>
  </rv>
  <rv s="0">
    <fb>49.04</fb>
    <v>0</v>
  </rv>
  <rv s="0">
    <fb>47.5</fb>
    <v>0</v>
  </rv>
  <rv s="0">
    <fb>47.99</fb>
    <v>0</v>
  </rv>
  <rv s="0">
    <fb>46.85</fb>
    <v>0</v>
  </rv>
  <rv s="0">
    <fb>46.56</fb>
    <v>0</v>
  </rv>
  <rv s="0">
    <fb>45.73</fb>
    <v>0</v>
  </rv>
  <rv s="0">
    <fb>47.44</fb>
    <v>0</v>
  </rv>
  <rv s="0">
    <fb>47.25</fb>
    <v>0</v>
  </rv>
  <rv s="0">
    <fb>47.05</fb>
    <v>0</v>
  </rv>
  <rv s="0">
    <fb>45.03</fb>
    <v>0</v>
  </rv>
  <rv s="0">
    <fb>46.284999999999997</fb>
    <v>0</v>
  </rv>
  <rv s="0">
    <fb>46.39</fb>
    <v>0</v>
  </rv>
  <rv s="0">
    <fb>46.41</fb>
    <v>0</v>
  </rv>
  <rv s="0">
    <fb>46.54</fb>
    <v>0</v>
  </rv>
  <rv s="0">
    <fb>45.72</fb>
    <v>0</v>
  </rv>
  <rv s="0">
    <fb>45.81</fb>
    <v>0</v>
  </rv>
  <rv s="0">
    <fb>46.2</fb>
    <v>0</v>
  </rv>
  <rv s="0">
    <fb>45.57</fb>
    <v>0</v>
  </rv>
  <rv s="0">
    <fb>45.71</fb>
    <v>0</v>
  </rv>
  <rv s="0">
    <fb>44.12</fb>
    <v>0</v>
  </rv>
  <rv s="0">
    <fb>43.84</fb>
    <v>0</v>
  </rv>
  <rv s="0">
    <fb>44.58</fb>
    <v>0</v>
  </rv>
  <rv s="0">
    <fb>43.16</fb>
    <v>0</v>
  </rv>
  <rv s="0">
    <fb>40.24</fb>
    <v>0</v>
  </rv>
  <rv s="0">
    <fb>38.99</fb>
    <v>0</v>
  </rv>
  <rv s="0">
    <fb>41.71</fb>
    <v>0</v>
  </rv>
  <rv s="0">
    <fb>40.17</fb>
    <v>0</v>
  </rv>
  <rv s="0">
    <fb>40.295000000000002</fb>
    <v>0</v>
  </rv>
  <rv s="0">
    <fb>40.6</fb>
    <v>0</v>
  </rv>
  <rv s="0">
    <fb>42.6</fb>
    <v>0</v>
  </rv>
  <rv s="0">
    <fb>43.58</fb>
    <v>0</v>
  </rv>
  <rv s="0">
    <fb>43.61</fb>
    <v>0</v>
  </rv>
  <rv s="0">
    <fb>45.05</fb>
    <v>0</v>
  </rv>
  <rv s="0">
    <fb>44.87</fb>
    <v>0</v>
  </rv>
  <rv s="0">
    <fb>44.335000000000001</fb>
    <v>0</v>
  </rv>
  <rv s="0">
    <fb>46.07</fb>
    <v>0</v>
  </rv>
  <rv s="0">
    <fb>46.16</fb>
    <v>0</v>
  </rv>
  <rv s="0">
    <fb>46.8</fb>
    <v>0</v>
  </rv>
  <rv s="0">
    <fb>46.74</fb>
    <v>0</v>
  </rv>
  <rv s="0">
    <fb>46.72</fb>
    <v>0</v>
  </rv>
  <rv s="0">
    <fb>46.59</fb>
    <v>0</v>
  </rv>
  <rv s="0">
    <fb>46.29</fb>
    <v>0</v>
  </rv>
  <rv s="0">
    <fb>45.99</fb>
    <v>0</v>
  </rv>
  <rv s="0">
    <fb>46.04</fb>
    <v>0</v>
  </rv>
  <rv s="0">
    <fb>46.89</fb>
    <v>0</v>
  </rv>
  <rv s="0">
    <fb>46.86</fb>
    <v>0</v>
  </rv>
  <rv s="0">
    <fb>46.57</fb>
    <v>0</v>
  </rv>
  <rv s="0">
    <fb>47.35</fb>
    <v>0</v>
  </rv>
  <rv s="0">
    <fb>47.39</fb>
    <v>0</v>
  </rv>
  <rv s="0">
    <fb>48.26</fb>
    <v>0</v>
  </rv>
  <rv s="0">
    <fb>48.58</fb>
    <v>0</v>
  </rv>
  <rv s="0">
    <fb>49.32</fb>
    <v>0</v>
  </rv>
  <rv s="0">
    <fb>49.98</fb>
    <v>0</v>
  </rv>
  <rv s="0">
    <fb>50.17</fb>
    <v>0</v>
  </rv>
  <rv s="0">
    <fb>49.52</fb>
    <v>0</v>
  </rv>
  <rv s="0">
    <fb>51.23</fb>
    <v>0</v>
  </rv>
  <rv s="0">
    <fb>51.6</fb>
    <v>0</v>
  </rv>
  <rv s="0">
    <fb>53.43</fb>
    <v>0</v>
  </rv>
  <rv s="0">
    <fb>53.53</fb>
    <v>0</v>
  </rv>
  <rv s="0">
    <fb>53.42</fb>
    <v>0</v>
  </rv>
  <rv s="0">
    <fb>53.709699999999998</fb>
    <v>0</v>
  </rv>
  <rv s="0">
    <fb>53.992899999999999</fb>
    <v>0</v>
  </rv>
  <rv s="0">
    <fb>54.106900000000003</fb>
    <v>0</v>
  </rv>
  <rv s="0">
    <fb>54.604999999999997</fb>
    <v>0</v>
  </rv>
  <rv s="0">
    <fb>54.734999999999999</fb>
    <v>0</v>
  </rv>
  <rv s="0">
    <fb>55.29</fb>
    <v>0</v>
  </rv>
  <rv s="0">
    <fb>54.82</fb>
    <v>0</v>
  </rv>
  <rv s="0">
    <fb>54.494300000000003</fb>
    <v>0</v>
  </rv>
  <rv s="0">
    <fb>54.31</fb>
    <v>0</v>
  </rv>
  <rv s="0">
    <fb>53.73</fb>
    <v>0</v>
  </rv>
  <rv s="0">
    <fb>55.06</fb>
    <v>0</v>
  </rv>
  <rv s="0">
    <fb>54.201500000000003</fb>
    <v>0</v>
  </rv>
  <rv s="0">
    <fb>56.08</fb>
    <v>0</v>
  </rv>
  <rv s="0">
    <fb>56.92</fb>
    <v>0</v>
  </rv>
  <rv s="0">
    <fb>57.024799999999999</fb>
    <v>0</v>
  </rv>
  <rv s="0">
    <fb>56.625</fb>
    <v>0</v>
  </rv>
  <rv s="0">
    <fb>56.314999999999998</fb>
    <v>0</v>
  </rv>
  <rv s="0">
    <fb>56.93</fb>
    <v>0</v>
  </rv>
  <rv s="0">
    <fb>58.48</fb>
    <v>0</v>
  </rv>
  <rv s="0">
    <fb>58.173999999999999</fb>
    <v>0</v>
  </rv>
  <rv s="0">
    <fb>58.85</fb>
    <v>0</v>
  </rv>
  <rv s="0">
    <fb>58.517699999999998</fb>
    <v>0</v>
  </rv>
  <rv s="0">
    <fb>57.4572</fb>
    <v>0</v>
  </rv>
  <rv s="0">
    <fb>56.96</fb>
    <v>0</v>
  </rv>
  <rv s="0">
    <fb>58.045000000000002</fb>
    <v>0</v>
  </rv>
  <rv s="0">
    <fb>58.149700000000003</fb>
    <v>0</v>
  </rv>
  <rv s="0">
    <fb>58.209699999999998</fb>
    <v>0</v>
  </rv>
  <rv s="0">
    <fb>57.98</fb>
    <v>0</v>
  </rv>
  <rv s="0">
    <fb>57.49</fb>
    <v>0</v>
  </rv>
  <rv s="0">
    <fb>56.91</fb>
    <v>0</v>
  </rv>
  <rv s="0">
    <fb>57.300899999999999</fb>
    <v>0</v>
  </rv>
  <rv s="0">
    <fb>57.38</fb>
    <v>0</v>
  </rv>
  <rv s="0">
    <fb>58.68</fb>
    <v>0</v>
  </rv>
  <rv s="0">
    <fb>59.484999999999999</fb>
    <v>0</v>
  </rv>
  <rv s="0">
    <fb>60.1</fb>
    <v>0</v>
  </rv>
  <rv s="0">
    <fb>60.450899999999997</fb>
    <v>0</v>
  </rv>
  <rv s="0">
    <fb>61.44</fb>
    <v>0</v>
  </rv>
  <rv s="0">
    <fb>61.86</fb>
    <v>0</v>
  </rv>
  <rv s="0">
    <fb>62.625300000000003</fb>
    <v>0</v>
  </rv>
  <rv s="0">
    <fb>62.559800000000003</fb>
    <v>0</v>
  </rv>
  <rv s="0">
    <fb>60.21</fb>
    <v>0</v>
  </rv>
  <rv s="0">
    <fb>60.482799999999997</fb>
    <v>0</v>
  </rv>
  <rv s="0">
    <fb>60.24</fb>
    <v>0</v>
  </rv>
  <rv s="0">
    <fb>60.752299999999998</fb>
    <v>0</v>
  </rv>
  <rv s="0">
    <fb>59.93</fb>
    <v>0</v>
  </rv>
  <rv s="0">
    <fb>60.59</fb>
    <v>0</v>
  </rv>
  <rv s="0">
    <fb>60.559600000000003</fb>
    <v>0</v>
  </rv>
  <rv s="0">
    <fb>59.97</fb>
    <v>0</v>
  </rv>
  <rv s="0">
    <fb>57.4</fb>
    <v>0</v>
  </rv>
  <rv s="0">
    <fb>58.575000000000003</fb>
    <v>0</v>
  </rv>
  <rv s="0">
    <fb>57.558500000000002</fb>
    <v>0</v>
  </rv>
  <rv s="0">
    <fb>57.965699999999998</fb>
    <v>0</v>
  </rv>
  <rv s="0">
    <fb>57.685000000000002</fb>
    <v>0</v>
  </rv>
  <rv s="0">
    <fb>57.320599999999999</fb>
    <v>0</v>
  </rv>
  <rv s="0">
    <fb>58.310200000000002</fb>
    <v>0</v>
  </rv>
  <rv s="0">
    <fb>58.270499999999998</fb>
    <v>0</v>
  </rv>
  <rv s="0">
    <fb>57.523099999999999</fb>
    <v>0</v>
  </rv>
  <rv s="0">
    <fb>57.78</fb>
    <v>0</v>
  </rv>
  <rv s="0">
    <fb>59.685000000000002</fb>
    <v>0</v>
  </rv>
  <rv s="0">
    <fb>59.385599999999997</fb>
    <v>0</v>
  </rv>
  <rv s="0">
    <fb>57.515599999999999</fb>
    <v>0</v>
  </rv>
  <rv s="0">
    <fb>57.992600000000003</fb>
    <v>0</v>
  </rv>
  <rv s="0">
    <fb>58.067300000000003</fb>
    <v>0</v>
  </rv>
  <rv s="0">
    <fb>56.734299999999998</fb>
    <v>0</v>
  </rv>
  <rv s="0">
    <fb>56.819200000000002</fb>
    <v>0</v>
  </rv>
  <rv s="0">
    <fb>56.03</fb>
    <v>0</v>
  </rv>
  <rv s="0">
    <fb>55.68</fb>
    <v>0</v>
  </rv>
  <rv s="0">
    <fb>57.047499999999999</fb>
    <v>0</v>
  </rv>
  <rv s="0">
    <fb>57.115000000000002</fb>
    <v>0</v>
  </rv>
  <rv s="0">
    <fb>56.664999999999999</fb>
    <v>0</v>
  </rv>
  <rv s="0">
    <fb>55.277099999999997</fb>
    <v>0</v>
  </rv>
  <rv s="0">
    <fb>54.795000000000002</fb>
    <v>0</v>
  </rv>
  <rv s="0">
    <fb>53.906500000000001</fb>
    <v>0</v>
  </rv>
  <rv s="0">
    <fb>53.6676</fb>
    <v>0</v>
  </rv>
  <rv s="0">
    <fb>83.55</fb>
    <v>0</v>
  </rv>
  <rv s="0">
    <fb>80.38</fb>
    <v>0</v>
  </rv>
  <rv s="0">
    <fb>81.2</fb>
    <v>0</v>
  </rv>
  <rv s="0">
    <fb>80.14</fb>
    <v>0</v>
  </rv>
  <rv s="0">
    <fb>80.72</fb>
    <v>0</v>
  </rv>
  <rv s="0">
    <fb>79.59</fb>
    <v>0</v>
  </rv>
  <rv s="0">
    <fb>79.680000000000007</fb>
    <v>0</v>
  </rv>
  <rv s="0">
    <fb>79.98</fb>
    <v>0</v>
  </rv>
  <rv s="0">
    <fb>79.41</fb>
    <v>0</v>
  </rv>
  <rv s="0">
    <fb>79.27</fb>
    <v>0</v>
  </rv>
  <rv s="0">
    <fb>78.28</fb>
    <v>0</v>
  </rv>
  <rv s="0">
    <fb>78.260000000000005</fb>
    <v>0</v>
  </rv>
  <rv s="0">
    <fb>79.150000000000006</fb>
    <v>0</v>
  </rv>
  <rv s="0">
    <fb>80.33</fb>
    <v>0</v>
  </rv>
  <rv s="0">
    <fb>80.95</fb>
    <v>0</v>
  </rv>
  <rv s="0">
    <fb>80.03</fb>
    <v>0</v>
  </rv>
  <rv s="0">
    <fb>79.010000000000005</fb>
    <v>0</v>
  </rv>
  <rv s="0">
    <fb>78.58</fb>
    <v>0</v>
  </rv>
  <rv s="0">
    <fb>79.53</fb>
    <v>0</v>
  </rv>
  <rv s="0">
    <fb>78.739999999999995</fb>
    <v>0</v>
  </rv>
  <rv s="0">
    <fb>77.73</fb>
    <v>0</v>
  </rv>
  <rv s="0">
    <fb>75.53</fb>
    <v>0</v>
  </rv>
  <rv s="0">
    <fb>74.930000000000007</fb>
    <v>0</v>
  </rv>
  <rv s="0">
    <fb>73.430000000000007</fb>
    <v>0</v>
  </rv>
  <rv s="0">
    <fb>74.14</fb>
    <v>0</v>
  </rv>
  <rv s="0">
    <fb>71.400000000000006</fb>
    <v>0</v>
  </rv>
  <rv s="0">
    <fb>71.739999999999995</fb>
    <v>0</v>
  </rv>
  <rv s="0">
    <fb>69.02</fb>
    <v>0</v>
  </rv>
  <rv s="0">
    <fb>67.53</fb>
    <v>0</v>
  </rv>
  <rv s="0">
    <fb>69.290000000000006</fb>
    <v>0</v>
  </rv>
  <rv s="0">
    <fb>70.55</fb>
    <v>0</v>
  </rv>
  <rv s="0">
    <fb>70.319999999999993</fb>
    <v>0</v>
  </rv>
  <rv s="0">
    <fb>70.17</fb>
    <v>0</v>
  </rv>
  <rv s="0">
    <fb>68.540000000000006</fb>
    <v>0</v>
  </rv>
  <rv s="0">
    <fb>69.89</fb>
    <v>0</v>
  </rv>
  <rv s="0">
    <fb>65.67</fb>
    <v>0</v>
  </rv>
  <rv s="0">
    <fb>64.89</fb>
    <v>0</v>
  </rv>
  <rv s="0">
    <fb>64.53</fb>
    <v>0</v>
  </rv>
  <rv s="0">
    <fb>62.11</fb>
    <v>0</v>
  </rv>
  <rv s="0">
    <fb>65.69</fb>
    <v>0</v>
  </rv>
  <rv s="0">
    <fb>68.48</fb>
    <v>0</v>
  </rv>
  <rv s="0">
    <fb>68.67</fb>
    <v>0</v>
  </rv>
  <rv s="0">
    <fb>69</fb>
    <v>0</v>
  </rv>
  <rv s="0">
    <fb>68.7</fb>
    <v>0</v>
  </rv>
  <rv s="0">
    <fb>69.08</fb>
    <v>0</v>
  </rv>
  <rv s="0">
    <fb>70.58</fb>
    <v>0</v>
  </rv>
  <rv s="0">
    <fb>70.23</fb>
    <v>0</v>
  </rv>
  <rv s="0">
    <fb>69.62</fb>
    <v>0</v>
  </rv>
  <rv s="0">
    <fb>70.12</fb>
    <v>0</v>
  </rv>
  <rv s="0">
    <fb>71.209999999999994</fb>
    <v>0</v>
  </rv>
  <rv s="0">
    <fb>70.38</fb>
    <v>0</v>
  </rv>
  <rv s="0">
    <fb>74.55</fb>
    <v>0</v>
  </rv>
  <rv s="0">
    <fb>74.510000000000005</fb>
    <v>0</v>
  </rv>
  <rv s="0">
    <fb>74.33</fb>
    <v>0</v>
  </rv>
  <rv s="0">
    <fb>76.55</fb>
    <v>0</v>
  </rv>
  <rv s="0">
    <fb>74.680000000000007</fb>
    <v>0</v>
  </rv>
  <rv s="0">
    <fb>76.42</fb>
    <v>0</v>
  </rv>
  <rv s="0">
    <fb>76.37</fb>
    <v>0</v>
  </rv>
  <rv s="0">
    <fb>76.19</fb>
    <v>0</v>
  </rv>
  <rv s="0">
    <fb>77.540000000000006</fb>
    <v>0</v>
  </rv>
  <rv s="0">
    <fb>78.790000000000006</fb>
    <v>0</v>
  </rv>
  <rv s="0">
    <fb>77.95</fb>
    <v>0</v>
  </rv>
  <rv s="0">
    <fb>75.349999999999994</fb>
    <v>0</v>
  </rv>
  <rv s="0">
    <fb>77.010000000000005</fb>
    <v>0</v>
  </rv>
  <rv s="0">
    <fb>77.349999999999994</fb>
    <v>0</v>
  </rv>
  <rv s="0">
    <fb>80.63</fb>
    <v>0</v>
  </rv>
  <rv s="0">
    <fb>80.19</fb>
    <v>0</v>
  </rv>
  <rv s="0">
    <fb>80.94</fb>
    <v>0</v>
  </rv>
  <rv s="0">
    <fb>79.06</fb>
    <v>0</v>
  </rv>
  <rv s="0">
    <fb>79.48</fb>
    <v>0</v>
  </rv>
  <rv s="0">
    <fb>79.67</fb>
    <v>0</v>
  </rv>
  <rv s="0">
    <fb>80.39</fb>
    <v>0</v>
  </rv>
  <rv s="0">
    <fb>82.67</fb>
    <v>0</v>
  </rv>
  <rv s="0">
    <fb>82.9</fb>
    <v>0</v>
  </rv>
  <rv s="0">
    <fb>77.849999999999994</fb>
    <v>0</v>
  </rv>
  <rv s="0">
    <fb>79.58</fb>
    <v>0</v>
  </rv>
  <rv s="0">
    <fb>83.78</fb>
    <v>0</v>
  </rv>
  <rv s="0">
    <fb>84.6</fb>
    <v>0</v>
  </rv>
  <rv s="0">
    <fb>85.31</fb>
    <v>0</v>
  </rv>
  <rv s="0">
    <fb>84.19</fb>
    <v>0</v>
  </rv>
  <rv s="0">
    <fb>84.77</fb>
    <v>0</v>
  </rv>
  <rv s="0">
    <fb>86.71</fb>
    <v>0</v>
  </rv>
  <rv s="0">
    <fb>86.44</fb>
    <v>0</v>
  </rv>
  <rv s="0">
    <fb>87.56</fb>
    <v>0</v>
  </rv>
  <rv s="0">
    <fb>87.15</fb>
    <v>0</v>
  </rv>
  <rv s="0">
    <fb>86.56</fb>
    <v>0</v>
  </rv>
  <rv s="0">
    <fb>86.78</fb>
    <v>0</v>
  </rv>
  <rv s="0">
    <fb>86.99</fb>
    <v>0</v>
  </rv>
  <rv s="0">
    <fb>85.35</fb>
    <v>0</v>
  </rv>
  <rv s="0">
    <fb>84.12</fb>
    <v>0</v>
  </rv>
  <rv s="0">
    <fb>84.51</fb>
    <v>0</v>
  </rv>
  <rv s="0">
    <fb>83.54</fb>
    <v>0</v>
  </rv>
  <rv s="0">
    <fb>83.63</fb>
    <v>0</v>
  </rv>
  <rv s="0">
    <fb>85.19</fb>
    <v>0</v>
  </rv>
  <rv s="0">
    <fb>83.96</fb>
    <v>0</v>
  </rv>
  <rv s="0">
    <fb>84.82</fb>
    <v>0</v>
  </rv>
  <rv s="0">
    <fb>85.12</fb>
    <v>0</v>
  </rv>
  <rv s="0">
    <fb>85.43</fb>
    <v>0</v>
  </rv>
  <rv s="0">
    <fb>81.180000000000007</fb>
    <v>0</v>
  </rv>
  <rv s="0">
    <fb>78.81</fb>
    <v>0</v>
  </rv>
  <rv s="0">
    <fb>81</fb>
    <v>0</v>
  </rv>
  <rv s="0">
    <fb>78.7</fb>
    <v>0</v>
  </rv>
  <rv s="0">
    <fb>69.22</fb>
    <v>0</v>
  </rv>
  <rv s="0">
    <fb>68.38</fb>
    <v>0</v>
  </rv>
  <rv s="0">
    <fb>65.1541</fb>
    <v>0</v>
  </rv>
  <rv s="0">
    <fb>64.807400000000001</fb>
    <v>0</v>
  </rv>
  <rv s="0">
    <fb>65.398700000000005</fb>
    <v>0</v>
  </rv>
  <rv s="0">
    <fb>65.9559</fb>
    <v>0</v>
  </rv>
  <rv s="0">
    <fb>66.379199999999997</fb>
    <v>0</v>
  </rv>
  <rv s="0">
    <fb>66.583100000000002</fb>
    <v>0</v>
  </rv>
  <rv s="0">
    <fb>65.620500000000007</fb>
    <v>0</v>
  </rv>
  <rv s="0">
    <fb>64.969399999999993</fb>
    <v>0</v>
  </rv>
  <rv s="0">
    <fb>65.929400000000001</fb>
    <v>0</v>
  </rv>
  <rv s="0">
    <fb>66.48</fb>
    <v>0</v>
  </rv>
  <rv s="0">
    <fb>65.795299999999997</fb>
    <v>0</v>
  </rv>
  <rv s="0">
    <fb>65.428299999999993</fb>
    <v>0</v>
  </rv>
  <rv s="0">
    <fb>63.652900000000002</fb>
    <v>0</v>
  </rv>
  <rv s="0">
    <fb>63.984200000000001</fb>
    <v>0</v>
  </rv>
  <rv s="0">
    <fb>65.61</fb>
    <v>0</v>
  </rv>
  <rv s="0">
    <fb>66.426100000000005</fb>
    <v>0</v>
  </rv>
  <rv s="0">
    <fb>66.903800000000004</fb>
    <v>0</v>
  </rv>
  <rv s="0">
    <fb>66.641999999999996</fb>
    <v>0</v>
  </rv>
  <rv s="0">
    <fb>67.38</fb>
    <v>0</v>
  </rv>
  <rv s="0">
    <fb>67.569999999999993</fb>
    <v>0</v>
  </rv>
  <rv s="0">
    <fb>67.62</fb>
    <v>0</v>
  </rv>
  <rv s="0">
    <fb>68.37</fb>
    <v>0</v>
  </rv>
  <rv s="0">
    <fb>68.55</fb>
    <v>0</v>
  </rv>
  <rv s="0">
    <fb>67.78</fb>
    <v>0</v>
  </rv>
  <rv s="0">
    <fb>68.599999999999994</fb>
    <v>0</v>
  </rv>
  <rv s="0">
    <fb>69.260000000000005</fb>
    <v>0</v>
  </rv>
  <rv s="0">
    <fb>69.66</fb>
    <v>0</v>
  </rv>
  <rv s="0">
    <fb>70.733400000000003</fb>
    <v>0</v>
  </rv>
  <rv s="0">
    <fb>73.08</fb>
    <v>0</v>
  </rv>
  <rv s="0">
    <fb>72.27</fb>
    <v>0</v>
  </rv>
  <rv s="0">
    <fb>69.099999999999994</fb>
    <v>0</v>
  </rv>
  <rv s="0">
    <fb>68.843800000000002</fb>
    <v>0</v>
  </rv>
  <rv s="0">
    <fb>67.709999999999994</fb>
    <v>0</v>
  </rv>
  <rv s="0">
    <fb>67.84</fb>
    <v>0</v>
  </rv>
  <rv s="0">
    <fb>66.34</fb>
    <v>0</v>
  </rv>
  <rv s="0">
    <fb>66.86</fb>
    <v>0</v>
  </rv>
  <rv s="0">
    <fb>64.959999999999994</fb>
    <v>0</v>
  </rv>
  <rv s="0">
    <fb>64.02</fb>
    <v>0</v>
  </rv>
  <rv s="0">
    <fb>62.9</fb>
    <v>0</v>
  </rv>
  <rv s="0">
    <fb>63.4</fb>
    <v>0</v>
  </rv>
  <rv s="0">
    <fb>61.177900000000001</fb>
    <v>0</v>
  </rv>
  <rv s="0">
    <fb>60.8</fb>
    <v>0</v>
  </rv>
  <rv s="0">
    <fb>60.78</fb>
    <v>0</v>
  </rv>
  <rv s="0">
    <fb>60.51</fb>
    <v>0</v>
  </rv>
  <rv s="0">
    <fb>61.634799999999998</fb>
    <v>0</v>
  </rv>
  <rv s="0">
    <fb>61.440399999999997</fb>
    <v>0</v>
  </rv>
  <rv s="0">
    <fb>61.143300000000004</fb>
    <v>0</v>
  </rv>
  <rv s="0">
    <fb>61.55</fb>
    <v>0</v>
  </rv>
  <rv s="0">
    <fb>63.527799999999999</fb>
    <v>0</v>
  </rv>
  <rv s="0">
    <fb>63.5428</fb>
    <v>0</v>
  </rv>
  <rv s="0">
    <fb>62.075000000000003</fb>
    <v>0</v>
  </rv>
  <rv s="0">
    <fb>60.255099999999999</fb>
    <v>0</v>
  </rv>
  <rv s="0">
    <fb>60.146599999999999</fb>
    <v>0</v>
  </rv>
  <rv s="0">
    <fb>60.64</fb>
    <v>0</v>
  </rv>
  <rv s="0">
    <fb>54.22</fb>
    <v>0</v>
  </rv>
  <rv s="0">
    <fb>58.563400000000001</fb>
    <v>0</v>
  </rv>
  <rv s="0">
    <fb>57.207700000000003</fb>
    <v>0</v>
  </rv>
  <rv s="0">
    <fb>57.505299999999998</fb>
    <v>0</v>
  </rv>
  <rv s="0">
    <fb>57.864400000000003</fb>
    <v>0</v>
  </rv>
  <rv s="0">
    <fb>56.81</fb>
    <v>0</v>
  </rv>
  <rv s="0">
    <fb>57.499099999999999</fb>
    <v>0</v>
  </rv>
  <rv s="0">
    <fb>56.301400000000001</fb>
    <v>0</v>
  </rv>
  <rv s="0">
    <fb>57.929000000000002</fb>
    <v>0</v>
  </rv>
  <rv s="0">
    <fb>58.82</fb>
    <v>0</v>
  </rv>
  <rv s="0">
    <fb>60.295499999999997</fb>
    <v>0</v>
  </rv>
  <rv s="0">
    <fb>60.663699999999999</fb>
    <v>0</v>
  </rv>
  <rv s="0">
    <fb>60.649099999999997</fb>
    <v>0</v>
  </rv>
  <rv s="0">
    <fb>61.489400000000003</fb>
    <v>0</v>
  </rv>
  <rv s="0">
    <fb>61.481699999999996</fb>
    <v>0</v>
  </rv>
  <rv s="0">
    <fb>63.268500000000003</fb>
    <v>0</v>
  </rv>
  <rv s="0">
    <fb>63.335000000000001</fb>
    <v>0</v>
  </rv>
  <rv s="0">
    <fb>63.864899999999999</fb>
    <v>0</v>
  </rv>
  <rv s="0">
    <fb>64.155100000000004</fb>
    <v>0</v>
  </rv>
  <rv s="0">
    <fb>65.02</fb>
    <v>0</v>
  </rv>
  <rv s="0">
    <fb>68.171400000000006</fb>
    <v>0</v>
  </rv>
  <rv s="0">
    <fb>67.17</fb>
    <v>0</v>
  </rv>
  <rv s="0">
    <fb>68.06</fb>
    <v>0</v>
  </rv>
  <rv s="0">
    <fb>67.95</fb>
    <v>0</v>
  </rv>
  <rv s="0">
    <fb>66.156099999999995</fb>
    <v>0</v>
  </rv>
  <rv s="0">
    <fb>66.56</fb>
    <v>0</v>
  </rv>
  <rv s="0">
    <fb>66.077699999999993</fb>
    <v>0</v>
  </rv>
  <rv s="0">
    <fb>67.489999999999995</fb>
    <v>0</v>
  </rv>
  <rv s="0">
    <fb>66.944100000000006</fb>
    <v>0</v>
  </rv>
  <rv s="0">
    <fb>67.186999999999998</fb>
    <v>0</v>
  </rv>
  <rv s="0">
    <fb>68.739999999999995</fb>
    <v>0</v>
  </rv>
  <rv s="0">
    <fb>68.8</fb>
    <v>0</v>
  </rv>
  <rv s="0">
    <fb>69.373400000000004</fb>
    <v>0</v>
  </rv>
  <rv s="0">
    <fb>69.871499999999997</fb>
    <v>0</v>
  </rv>
  <rv s="0">
    <fb>69.599999999999994</fb>
    <v>0</v>
  </rv>
  <rv s="0">
    <fb>68.31</fb>
    <v>0</v>
  </rv>
  <rv s="0">
    <fb>66.373000000000005</fb>
    <v>0</v>
  </rv>
  <rv s="0">
    <fb>67.540000000000006</fb>
    <v>0</v>
  </rv>
  <rv s="0">
    <fb>66.61</fb>
    <v>0</v>
  </rv>
  <rv s="0">
    <fb>66.804100000000005</fb>
    <v>0</v>
  </rv>
  <rv s="0">
    <fb>66.729900000000001</fb>
    <v>0</v>
  </rv>
  <rv s="0">
    <fb>66.28</fb>
    <v>0</v>
  </rv>
  <rv s="0">
    <fb>67.92</fb>
    <v>0</v>
  </rv>
  <rv s="0">
    <fb>66.918000000000006</fb>
    <v>0</v>
  </rv>
  <rv s="0">
    <fb>67.793099999999995</fb>
    <v>0</v>
  </rv>
  <rv s="0">
    <fb>68.36</fb>
    <v>0</v>
  </rv>
  <rv s="0">
    <fb>69.03</fb>
    <v>0</v>
  </rv>
  <rv s="0">
    <fb>69.598600000000005</fb>
    <v>0</v>
  </rv>
  <rv s="0">
    <fb>70.61</fb>
    <v>0</v>
  </rv>
  <rv s="0">
    <fb>69.849999999999994</fb>
    <v>0</v>
  </rv>
  <rv s="0">
    <fb>69.349999999999994</fb>
    <v>0</v>
  </rv>
  <rv s="0">
    <fb>69.266300000000001</fb>
    <v>0</v>
  </rv>
  <rv s="0">
    <fb>69.899600000000007</fb>
    <v>0</v>
  </rv>
  <rv s="0">
    <fb>69.896900000000002</fb>
    <v>0</v>
  </rv>
  <rv s="0">
    <fb>69.939800000000005</fb>
    <v>0</v>
  </rv>
  <rv s="0">
    <fb>71.817400000000006</fb>
    <v>0</v>
  </rv>
  <rv s="0">
    <fb>72.704599999999999</fb>
    <v>0</v>
  </rv>
  <rv s="0">
    <fb>72.009600000000006</fb>
    <v>0</v>
  </rv>
  <rv s="0">
    <fb>72.195300000000003</fb>
    <v>0</v>
  </rv>
  <rv s="0">
    <fb>72.099999999999994</fb>
    <v>0</v>
  </rv>
  <rv s="0">
    <fb>70.836600000000004</fb>
    <v>0</v>
  </rv>
  <rv s="0">
    <fb>70.560400000000001</fb>
    <v>0</v>
  </rv>
  <rv s="0">
    <fb>70.765500000000003</fb>
    <v>0</v>
  </rv>
  <rv s="0">
    <fb>69.245500000000007</fb>
    <v>0</v>
  </rv>
  <rv s="0">
    <fb>71.308800000000005</fb>
    <v>0</v>
  </rv>
  <rv s="0">
    <fb>70.905900000000003</fb>
    <v>0</v>
  </rv>
  <rv s="0">
    <fb>71.678600000000003</fb>
    <v>0</v>
  </rv>
  <rv s="0">
    <fb>71.665000000000006</fb>
    <v>0</v>
  </rv>
  <rv s="0">
    <fb>71.510000000000005</fb>
    <v>0</v>
  </rv>
  <rv s="0">
    <fb>70.940399999999997</fb>
    <v>0</v>
  </rv>
  <rv s="0">
    <fb>72.485699999999994</fb>
    <v>0</v>
  </rv>
  <rv s="0">
    <fb>74</fb>
    <v>0</v>
  </rv>
  <rv s="0">
    <fb>73.427800000000005</fb>
    <v>0</v>
  </rv>
  <rv s="0">
    <fb>73.540000000000006</fb>
    <v>0</v>
  </rv>
  <rv s="0">
    <fb>73.978099999999998</fb>
    <v>0</v>
  </rv>
  <rv s="0">
    <fb>73.269400000000005</fb>
    <v>0</v>
  </rv>
  <rv s="0">
    <fb>72.913600000000002</fb>
    <v>0</v>
  </rv>
  <rv s="0">
    <fb>72.560199999999995</fb>
    <v>0</v>
  </rv>
  <rv s="0">
    <fb>74.473799999999997</fb>
    <v>0</v>
  </rv>
  <rv s="0">
    <fb>73.6327</fb>
    <v>0</v>
  </rv>
  <rv s="0">
    <fb>73.496600000000001</fb>
    <v>0</v>
  </rv>
  <rv s="0">
    <fb>73.342699999999994</fb>
    <v>0</v>
  </rv>
  <rv s="0">
    <fb>73.400199999999998</fb>
    <v>0</v>
  </rv>
  <rv s="0">
    <fb>73.362899999999996</fb>
    <v>0</v>
  </rv>
  <rv s="0">
    <fb>72.554599999999994</fb>
    <v>0</v>
  </rv>
  <rv s="0">
    <fb>73.399299999999997</fb>
    <v>0</v>
  </rv>
  <rv s="0">
    <fb>74.820800000000006</fb>
    <v>0</v>
  </rv>
  <rv s="0">
    <fb>75.001900000000006</fb>
    <v>0</v>
  </rv>
  <rv s="0">
    <fb>75.545000000000002</fb>
    <v>0</v>
  </rv>
  <rv s="0">
    <fb>75.198999999999998</fb>
    <v>0</v>
  </rv>
  <rv s="0">
    <fb>76.040000000000006</fb>
    <v>0</v>
  </rv>
  <rv s="0">
    <fb>75.611900000000006</fb>
    <v>0</v>
  </rv>
  <rv s="0">
    <fb>77.209999999999994</fb>
    <v>0</v>
  </rv>
  <rv s="0">
    <fb>76.989999999999995</fb>
    <v>0</v>
  </rv>
  <rv s="0">
    <fb>77.827200000000005</fb>
    <v>0</v>
  </rv>
  <rv s="0">
    <fb>78.710899999999995</fb>
    <v>0</v>
  </rv>
  <rv s="0">
    <fb>78.5</fb>
    <v>0</v>
  </rv>
  <rv s="0">
    <fb>76.543400000000005</fb>
    <v>0</v>
  </rv>
  <rv s="0">
    <fb>75.939499999999995</fb>
    <v>0</v>
  </rv>
  <rv s="0">
    <fb>76.565799999999996</fb>
    <v>0</v>
  </rv>
  <rv s="0">
    <fb>77.371799999999993</fb>
    <v>0</v>
  </rv>
  <rv s="0">
    <fb>76.172799999999995</fb>
    <v>0</v>
  </rv>
  <rv s="0">
    <fb>76.161799999999999</fb>
    <v>0</v>
  </rv>
  <rv s="0">
    <fb>76.839799999999997</fb>
    <v>0</v>
  </rv>
  <rv s="0">
    <fb>76.597099999999998</fb>
    <v>0</v>
  </rv>
  <rv s="0">
    <fb>76.429699999999997</fb>
    <v>0</v>
  </rv>
  <rv s="0">
    <fb>75.22</fb>
    <v>0</v>
  </rv>
  <rv s="0">
    <fb>75.548299999999998</fb>
    <v>0</v>
  </rv>
  <rv s="0">
    <fb>74.762699999999995</fb>
    <v>0</v>
  </rv>
  <rv s="0">
    <fb>73.450699999999998</fb>
    <v>0</v>
  </rv>
  <rv s="0">
    <fb>73.663499999999999</fb>
    <v>0</v>
  </rv>
  <rv s="0">
    <fb>73.236599999999996</fb>
    <v>0</v>
  </rv>
  <rv s="0">
    <fb>74.553399999999996</fb>
    <v>0</v>
  </rv>
  <rv s="0">
    <fb>75.388400000000004</fb>
    <v>0</v>
  </rv>
  <rv s="0">
    <fb>74.963200000000001</fb>
    <v>0</v>
  </rv>
  <rv s="0">
    <fb>75.218299999999999</fb>
    <v>0</v>
  </rv>
  <rv s="0">
    <fb>75.680800000000005</fb>
    <v>0</v>
  </rv>
  <rv s="0">
    <fb>76.503699999999995</fb>
    <v>0</v>
  </rv>
  <rv s="0">
    <fb>75.129300000000001</fb>
    <v>0</v>
  </rv>
  <rv s="0">
    <fb>73.441000000000003</fb>
    <v>0</v>
  </rv>
  <rv s="0">
    <fb>73.394999999999996</fb>
    <v>0</v>
  </rv>
  <rv s="0">
    <fb>71.72</fb>
    <v>0</v>
  </rv>
  <rv s="0">
    <fb>72.34</fb>
    <v>0</v>
  </rv>
  <rv s="0">
    <fb>72.394800000000004</fb>
    <v>0</v>
  </rv>
  <rv s="0">
    <fb>74.243799999999993</fb>
    <v>0</v>
  </rv>
  <rv s="0">
    <fb>74.569999999999993</fb>
    <v>0</v>
  </rv>
  <rv s="0">
    <fb>72.721699999999998</fb>
    <v>0</v>
  </rv>
  <rv s="0">
    <fb>72.036299999999997</fb>
    <v>0</v>
  </rv>
  <rv s="0">
    <fb>70.56</fb>
    <v>0</v>
  </rv>
  <rv s="0">
    <fb>70.299499999999995</fb>
    <v>0</v>
  </rv>
  <rv s="2">
    <v>https://www.bing.com/financeapi/forcetrigger?t=a1tem7&amp;q=XNYS%3aFT&amp;form=skydnc</v>
    <v>Learn more on Bing</v>
  </rv>
  <rv s="3">
    <v>2</v>
    <v>Franklin Universal Trust (XNYS:FT)</v>
    <v>4</v>
    <v>5</v>
    <v>Finance</v>
    <v>7</v>
    <v>en-US</v>
    <v>a1tem7</v>
    <v>268435456</v>
    <v>1</v>
    <v>Powered by Refinitiv</v>
    <v>8.1999999999999993</v>
    <v>6.71</v>
    <v>1.3385</v>
    <v>0.01</v>
    <v>1.2640000000000001E-3</v>
    <v>USD</v>
    <v>New York Stock Exchange</v>
    <v>XNYS</v>
    <v>2.9900000000000003E-2</v>
    <v>7.95</v>
    <v>ETF</v>
    <v>46010.881991168753</v>
    <v>10739</v>
    <v>7.91</v>
    <v>219601109.80000001</v>
    <v>Franklin Universal Trust</v>
    <v>7.95</v>
    <v>7.91</v>
    <v>7.92</v>
    <v>FT</v>
    <v>Franklin Universal Trust (XNYS:FT)</v>
    <v>26343</v>
    <v>50163</v>
  </rv>
  <rv s="4">
    <v>10740</v>
  </rv>
  <rv s="0">
    <fb>7.46</fb>
    <v>0</v>
  </rv>
  <rv s="0">
    <fb>7.35</fb>
    <v>0</v>
  </rv>
  <rv s="0">
    <fb>7.28</fb>
    <v>0</v>
  </rv>
  <rv s="0">
    <fb>7.22</fb>
    <v>0</v>
  </rv>
  <rv s="0">
    <fb>7.26</fb>
    <v>0</v>
  </rv>
  <rv s="0">
    <fb>7.31</fb>
    <v>0</v>
  </rv>
  <rv s="0">
    <fb>7.39</fb>
    <v>0</v>
  </rv>
  <rv s="0">
    <fb>7.34</fb>
    <v>0</v>
  </rv>
  <rv s="0">
    <fb>7.27</fb>
    <v>0</v>
  </rv>
  <rv s="0">
    <fb>7.32</fb>
    <v>0</v>
  </rv>
  <rv s="0">
    <fb>7.33</fb>
    <v>0</v>
  </rv>
  <rv s="0">
    <fb>7.282</fb>
    <v>0</v>
  </rv>
  <rv s="0">
    <fb>7.25</fb>
    <v>0</v>
  </rv>
  <rv s="0">
    <fb>7.2850000000000001</fb>
    <v>0</v>
  </rv>
  <rv s="0">
    <fb>7.53</fb>
    <v>0</v>
  </rv>
  <rv s="0">
    <fb>7.56</fb>
    <v>0</v>
  </rv>
  <rv s="0">
    <fb>7.55</fb>
    <v>0</v>
  </rv>
  <rv s="0">
    <fb>7.5</fb>
    <v>0</v>
  </rv>
  <rv s="0">
    <fb>7.52</fb>
    <v>0</v>
  </rv>
  <rv s="0">
    <fb>7.44</fb>
    <v>0</v>
  </rv>
  <rv s="0">
    <fb>7.45</fb>
    <v>0</v>
  </rv>
  <rv s="0">
    <fb>7.47</fb>
    <v>0</v>
  </rv>
  <rv s="0">
    <fb>7.59</fb>
    <v>0</v>
  </rv>
  <rv s="0">
    <fb>7.61</fb>
    <v>0</v>
  </rv>
  <rv s="0">
    <fb>7.64</fb>
    <v>0</v>
  </rv>
  <rv s="0">
    <fb>7.57</fb>
    <v>0</v>
  </rv>
  <rv s="0">
    <fb>7.6</fb>
    <v>0</v>
  </rv>
  <rv s="0">
    <fb>7.577</fb>
    <v>0</v>
  </rv>
  <rv s="0">
    <fb>7.66</fb>
    <v>0</v>
  </rv>
  <rv s="0">
    <fb>7.62</fb>
    <v>0</v>
  </rv>
  <rv s="0">
    <fb>7.5830000000000002</fb>
    <v>0</v>
  </rv>
  <rv s="0">
    <fb>7.49</fb>
    <v>0</v>
  </rv>
  <rv s="0">
    <fb>7.54</fb>
    <v>0</v>
  </rv>
  <rv s="0">
    <fb>7.51</fb>
    <v>0</v>
  </rv>
  <rv s="0">
    <fb>7.4691999999999998</fb>
    <v>0</v>
  </rv>
  <rv s="0">
    <fb>7.16</fb>
    <v>0</v>
  </rv>
  <rv s="0">
    <fb>6.96</fb>
    <v>0</v>
  </rv>
  <rv s="0">
    <fb>6.95</fb>
    <v>0</v>
  </rv>
  <rv s="0">
    <fb>7.04</fb>
    <v>0</v>
  </rv>
  <rv s="0">
    <fb>7.06</fb>
    <v>0</v>
  </rv>
  <rv s="0">
    <fb>7.17</fb>
    <v>0</v>
  </rv>
  <rv s="0">
    <fb>7.2249999999999996</fb>
    <v>0</v>
  </rv>
  <rv s="0">
    <fb>7.18</fb>
    <v>0</v>
  </rv>
  <rv s="0">
    <fb>7.24</fb>
    <v>0</v>
  </rv>
  <rv s="0">
    <fb>7.11</fb>
    <v>0</v>
  </rv>
  <rv s="0">
    <fb>7.23</fb>
    <v>0</v>
  </rv>
  <rv s="0">
    <fb>7.3</fb>
    <v>0</v>
  </rv>
  <rv s="0">
    <fb>7.2904</fb>
    <v>0</v>
  </rv>
  <rv s="0">
    <fb>7.3550000000000004</fb>
    <v>0</v>
  </rv>
  <rv s="0">
    <fb>7.41</fb>
    <v>0</v>
  </rv>
  <rv s="0">
    <fb>7.42</fb>
    <v>0</v>
  </rv>
  <rv s="0">
    <fb>7.4532999999999996</fb>
    <v>0</v>
  </rv>
  <rv s="0">
    <fb>7.5049999999999999</fb>
    <v>0</v>
  </rv>
  <rv s="0">
    <fb>7.48</fb>
    <v>0</v>
  </rv>
  <rv s="0">
    <fb>7.38</fb>
    <v>0</v>
  </rv>
  <rv s="0">
    <fb>7.4500999999999999</fb>
    <v>0</v>
  </rv>
  <rv s="0">
    <fb>7.4749999999999996</fb>
    <v>0</v>
  </rv>
  <rv s="0">
    <fb>7.4850000000000003</fb>
    <v>0</v>
  </rv>
  <rv s="0">
    <fb>7.43</fb>
    <v>0</v>
  </rv>
  <rv s="0">
    <fb>7.69</fb>
    <v>0</v>
  </rv>
  <rv s="0">
    <fb>7.6749999999999998</fb>
    <v>0</v>
  </rv>
  <rv s="0">
    <fb>7.63</fb>
    <v>0</v>
  </rv>
  <rv s="0">
    <fb>7.74</fb>
    <v>0</v>
  </rv>
  <rv s="0">
    <fb>7.68</fb>
    <v>0</v>
  </rv>
  <rv s="0">
    <fb>7.73</fb>
    <v>0</v>
  </rv>
  <rv s="0">
    <fb>7.71</fb>
    <v>0</v>
  </rv>
  <rv s="0">
    <fb>7.78</fb>
    <v>0</v>
  </rv>
  <rv s="0">
    <fb>7.76</fb>
    <v>0</v>
  </rv>
  <rv s="0">
    <fb>7.8250000000000002</fb>
    <v>0</v>
  </rv>
  <rv s="0">
    <fb>7.8</fb>
    <v>0</v>
  </rv>
  <rv s="0">
    <fb>7.8105000000000002</fb>
    <v>0</v>
  </rv>
  <rv s="0">
    <fb>7.81</fb>
    <v>0</v>
  </rv>
  <rv s="0">
    <fb>7.83</fb>
    <v>0</v>
  </rv>
  <rv s="0">
    <fb>7.82</fb>
    <v>0</v>
  </rv>
  <rv s="0">
    <fb>7.835</fb>
    <v>0</v>
  </rv>
  <rv s="0">
    <fb>7.89</fb>
    <v>0</v>
  </rv>
  <rv s="0">
    <fb>7.92</fb>
    <v>0</v>
  </rv>
  <rv s="0">
    <fb>7.96</fb>
    <v>0</v>
  </rv>
  <rv s="0">
    <fb>7.98</fb>
    <v>0</v>
  </rv>
  <rv s="0">
    <fb>8</fb>
    <v>0</v>
  </rv>
  <rv s="0">
    <fb>8.0399999999999991</fb>
    <v>0</v>
  </rv>
  <rv s="0">
    <fb>8.01</fb>
    <v>0</v>
  </rv>
  <rv s="0">
    <fb>7.95</fb>
    <v>0</v>
  </rv>
  <rv s="0">
    <fb>7.97</fb>
    <v>0</v>
  </rv>
  <rv s="0">
    <fb>7.87</fb>
    <v>0</v>
  </rv>
  <rv s="0">
    <fb>7.93</fb>
    <v>0</v>
  </rv>
  <rv s="0">
    <fb>7.9</fb>
    <v>0</v>
  </rv>
  <rv s="0">
    <fb>7.91</fb>
    <v>0</v>
  </rv>
  <rv s="0">
    <fb>7.84</fb>
    <v>0</v>
  </rv>
  <rv s="0">
    <fb>7.9349999999999996</fb>
    <v>0</v>
  </rv>
  <rv s="0">
    <fb>7.94</fb>
    <v>0</v>
  </rv>
  <rv s="0">
    <fb>7.88</fb>
    <v>0</v>
  </rv>
  <rv s="0">
    <fb>7.9499000000000004</fb>
    <v>0</v>
  </rv>
  <rv s="0">
    <fb>7.9699</fb>
    <v>0</v>
  </rv>
  <rv s="0">
    <fb>7.8550000000000004</fb>
    <v>0</v>
  </rv>
  <rv s="0">
    <fb>7.8449999999999998</fb>
    <v>0</v>
  </rv>
  <rv s="0">
    <fb>8.0299999999999994</fb>
    <v>0</v>
  </rv>
  <rv s="0">
    <fb>7.99</fb>
    <v>0</v>
  </rv>
  <rv s="0">
    <fb>8.0500000000000007</fb>
    <v>0</v>
  </rv>
  <rv s="0">
    <fb>8.0749999999999993</fb>
    <v>0</v>
  </rv>
  <rv s="0">
    <fb>8.1300000000000008</fb>
    <v>0</v>
  </rv>
  <rv s="0">
    <fb>8.11</fb>
    <v>0</v>
  </rv>
  <rv s="0">
    <fb>8.14</fb>
    <v>0</v>
  </rv>
  <rv s="0">
    <fb>8.1199999999999992</fb>
    <v>0</v>
  </rv>
  <rv s="0">
    <fb>8.1</fb>
    <v>0</v>
  </rv>
  <rv s="0">
    <fb>8.02</fb>
    <v>0</v>
  </rv>
  <rv s="0">
    <fb>8.0229999999999997</fb>
    <v>0</v>
  </rv>
  <rv s="0">
    <fb>8.07</fb>
    <v>0</v>
  </rv>
  <rv s="0">
    <fb>7.86</fb>
    <v>0</v>
  </rv>
  <rv s="0">
    <fb>7.85</fb>
    <v>0</v>
  </rv>
  <rv s="0">
    <fb>8.06</fb>
    <v>0</v>
  </rv>
  <rv s="0">
    <fb>30.600999999999999</fb>
    <v>0</v>
  </rv>
  <rv s="0">
    <fb>30.4</fb>
    <v>0</v>
  </rv>
  <rv s="0">
    <fb>29.43</fb>
    <v>0</v>
  </rv>
  <rv s="0">
    <fb>29.47</fb>
    <v>0</v>
  </rv>
  <rv s="0">
    <fb>29.8</fb>
    <v>0</v>
  </rv>
  <rv s="0">
    <fb>29.92</fb>
    <v>0</v>
  </rv>
  <rv s="0">
    <fb>30.24</fb>
    <v>0</v>
  </rv>
  <rv s="0">
    <fb>30.55</fb>
    <v>0</v>
  </rv>
  <rv s="0">
    <fb>29.45</fb>
    <v>0</v>
  </rv>
  <rv s="0">
    <fb>29.23</fb>
    <v>0</v>
  </rv>
  <rv s="0">
    <fb>29.020099999999999</fb>
    <v>0</v>
  </rv>
  <rv s="0">
    <fb>30</fb>
    <v>0</v>
  </rv>
  <rv s="0">
    <fb>30.26</fb>
    <v>0</v>
  </rv>
  <rv s="0">
    <fb>29.79</fb>
    <v>0</v>
  </rv>
  <rv s="0">
    <fb>29</fb>
    <v>0</v>
  </rv>
  <rv s="0">
    <fb>28.9</fb>
    <v>0</v>
  </rv>
  <rv s="0">
    <fb>29.74</fb>
    <v>0</v>
  </rv>
  <rv s="0">
    <fb>30.13</fb>
    <v>0</v>
  </rv>
  <rv s="0">
    <fb>30.47</fb>
    <v>0</v>
  </rv>
  <rv s="0">
    <fb>30.12</fb>
    <v>0</v>
  </rv>
  <rv s="0">
    <fb>30.02</fb>
    <v>0</v>
  </rv>
  <rv s="0">
    <fb>30.15</fb>
    <v>0</v>
  </rv>
  <rv s="0">
    <fb>29.9</fb>
    <v>0</v>
  </rv>
  <rv s="0">
    <fb>29.81</fb>
    <v>0</v>
  </rv>
  <rv s="0">
    <fb>30.3</fb>
    <v>0</v>
  </rv>
  <rv s="0">
    <fb>29.77</fb>
    <v>0</v>
  </rv>
  <rv s="0">
    <fb>29.08</fb>
    <v>0</v>
  </rv>
  <rv s="0">
    <fb>29.69</fb>
    <v>0</v>
  </rv>
  <rv s="0">
    <fb>29.54</fb>
    <v>0</v>
  </rv>
  <rv s="0">
    <fb>29.89</fb>
    <v>0</v>
  </rv>
  <rv s="0">
    <fb>29.73</fb>
    <v>0</v>
  </rv>
  <rv s="0">
    <fb>29.94</fb>
    <v>0</v>
  </rv>
  <rv s="0">
    <fb>29.22</fb>
    <v>0</v>
  </rv>
  <rv s="0">
    <fb>29.63</fb>
    <v>0</v>
  </rv>
  <rv s="0">
    <fb>30.67</fb>
    <v>0</v>
  </rv>
  <rv s="0">
    <fb>31.15</fb>
    <v>0</v>
  </rv>
  <rv s="0">
    <fb>31.29</fb>
    <v>0</v>
  </rv>
  <rv s="0">
    <fb>31.16</fb>
    <v>0</v>
  </rv>
  <rv s="0">
    <fb>31.22</fb>
    <v>0</v>
  </rv>
  <rv s="0">
    <fb>30.98</fb>
    <v>0</v>
  </rv>
  <rv s="0">
    <fb>30.87</fb>
    <v>0</v>
  </rv>
  <rv s="0">
    <fb>31.43</fb>
    <v>0</v>
  </rv>
  <rv s="0">
    <fb>31.2</fb>
    <v>0</v>
  </rv>
  <rv s="0">
    <fb>29.66</fb>
    <v>0</v>
  </rv>
  <rv s="0">
    <fb>29.475000000000001</fb>
    <v>0</v>
  </rv>
  <rv s="0">
    <fb>30.69</fb>
    <v>0</v>
  </rv>
  <rv s="0">
    <fb>30.44</fb>
    <v>0</v>
  </rv>
  <rv s="0">
    <fb>30.73</fb>
    <v>0</v>
  </rv>
  <rv s="0">
    <fb>31.06</fb>
    <v>0</v>
  </rv>
  <rv s="0">
    <fb>31.45</fb>
    <v>0</v>
  </rv>
  <rv s="0">
    <fb>31.59</fb>
    <v>0</v>
  </rv>
  <rv s="0">
    <fb>30.94</fb>
    <v>0</v>
  </rv>
  <rv s="0">
    <fb>31.1</fb>
    <v>0</v>
  </rv>
  <rv s="0">
    <fb>31.01</fb>
    <v>0</v>
  </rv>
  <rv s="0">
    <fb>30.85</fb>
    <v>0</v>
  </rv>
  <rv s="0">
    <fb>30.51</fb>
    <v>0</v>
  </rv>
  <rv s="0">
    <fb>29.59</fb>
    <v>0</v>
  </rv>
  <rv s="0">
    <fb>29.39</fb>
    <v>0</v>
  </rv>
  <rv s="0">
    <fb>29.51</fb>
    <v>0</v>
  </rv>
  <rv s="0">
    <fb>28.27</fb>
    <v>0</v>
  </rv>
  <rv s="0">
    <fb>26.72</fb>
    <v>0</v>
  </rv>
  <rv s="0">
    <fb>25.83</fb>
    <v>0</v>
  </rv>
  <rv s="0">
    <fb>24.69</fb>
    <v>0</v>
  </rv>
  <rv s="0">
    <fb>27.18</fb>
    <v>0</v>
  </rv>
  <rv s="0">
    <fb>27.32</fb>
    <v>0</v>
  </rv>
  <rv s="0">
    <fb>27.8</fb>
    <v>0</v>
  </rv>
  <rv s="0">
    <fb>27.53</fb>
    <v>0</v>
  </rv>
  <rv s="0">
    <fb>26.94</fb>
    <v>0</v>
  </rv>
  <rv s="0">
    <fb>27.13</fb>
    <v>0</v>
  </rv>
  <rv s="0">
    <fb>26.84</fb>
    <v>0</v>
  </rv>
  <rv s="0">
    <fb>27.67</fb>
    <v>0</v>
  </rv>
  <rv s="0">
    <fb>28.36</fb>
    <v>0</v>
  </rv>
  <rv s="0">
    <fb>29.1</fb>
    <v>0</v>
  </rv>
  <rv s="0">
    <fb>29.3</fb>
    <v>0</v>
  </rv>
  <rv s="0">
    <fb>29.33</fb>
    <v>0</v>
  </rv>
  <rv s="0">
    <fb>29.93</fb>
    <v>0</v>
  </rv>
  <rv s="0">
    <fb>30.33</fb>
    <v>0</v>
  </rv>
  <rv s="0">
    <fb>31.37</fb>
    <v>0</v>
  </rv>
  <rv s="0">
    <fb>31.64</fb>
    <v>0</v>
  </rv>
  <rv s="0">
    <fb>31.47</fb>
    <v>0</v>
  </rv>
  <rv s="0">
    <fb>31.57</fb>
    <v>0</v>
  </rv>
  <rv s="0">
    <fb>31.34</fb>
    <v>0</v>
  </rv>
  <rv s="0">
    <fb>31.36</fb>
    <v>0</v>
  </rv>
  <rv s="0">
    <fb>31.38</fb>
    <v>0</v>
  </rv>
  <rv s="0">
    <fb>30.8</fb>
    <v>0</v>
  </rv>
  <rv s="0">
    <fb>30.62</fb>
    <v>0</v>
  </rv>
  <rv s="0">
    <fb>30.71</fb>
    <v>0</v>
  </rv>
  <rv s="0">
    <fb>30.03</fb>
    <v>0</v>
  </rv>
  <rv s="0">
    <fb>29.85</fb>
    <v>0</v>
  </rv>
  <rv s="0">
    <fb>30.23</fb>
    <v>0</v>
  </rv>
  <rv s="0">
    <fb>30.16</fb>
    <v>0</v>
  </rv>
  <rv s="0">
    <fb>31.12</fb>
    <v>0</v>
  </rv>
  <rv s="0">
    <fb>30.36</fb>
    <v>0</v>
  </rv>
  <rv s="0">
    <fb>29.64</fb>
    <v>0</v>
  </rv>
  <rv s="0">
    <fb>30.43</fb>
    <v>0</v>
  </rv>
  <rv s="0">
    <fb>30.82</fb>
    <v>0</v>
  </rv>
  <rv s="0">
    <fb>30.58</fb>
    <v>0</v>
  </rv>
  <rv s="0">
    <fb>31.452000000000002</fb>
    <v>0</v>
  </rv>
  <rv s="0">
    <fb>31.85</fb>
    <v>0</v>
  </rv>
  <rv s="0">
    <fb>31.149899999999999</fb>
    <v>0</v>
  </rv>
  <rv s="0">
    <fb>31.81</fb>
    <v>0</v>
  </rv>
  <rv s="0">
    <fb>32.46</fb>
    <v>0</v>
  </rv>
  <rv s="0">
    <fb>32.729999999999997</fb>
    <v>0</v>
  </rv>
  <rv s="0">
    <fb>32.409999999999997</fb>
    <v>0</v>
  </rv>
  <rv s="0">
    <fb>33.54</fb>
    <v>0</v>
  </rv>
  <rv s="0">
    <fb>33.69</fb>
    <v>0</v>
  </rv>
  <rv s="0">
    <fb>34.56</fb>
    <v>0</v>
  </rv>
  <rv s="0">
    <fb>34.82</fb>
    <v>0</v>
  </rv>
  <rv s="0">
    <fb>34.93</fb>
    <v>0</v>
  </rv>
  <rv s="0">
    <fb>34.42</fb>
    <v>0</v>
  </rv>
  <rv s="0">
    <fb>32.917000000000002</fb>
    <v>0</v>
  </rv>
  <rv s="0">
    <fb>32.130000000000003</fb>
    <v>0</v>
  </rv>
  <rv s="0">
    <fb>32.43</fb>
    <v>0</v>
  </rv>
  <rv s="0">
    <fb>32.69</fb>
    <v>0</v>
  </rv>
  <rv s="0">
    <fb>33.65</fb>
    <v>0</v>
  </rv>
  <rv s="0">
    <fb>34.520000000000003</fb>
    <v>0</v>
  </rv>
  <rv s="0">
    <fb>34.92</fb>
    <v>0</v>
  </rv>
  <rv s="0">
    <fb>34.75</fb>
    <v>0</v>
  </rv>
  <rv s="0">
    <fb>34.68</fb>
    <v>0</v>
  </rv>
  <rv s="0">
    <fb>35.97</fb>
    <v>0</v>
  </rv>
  <rv s="0">
    <fb>35.549999999999997</fb>
    <v>0</v>
  </rv>
  <rv s="0">
    <fb>36.006999999999998</fb>
    <v>0</v>
  </rv>
  <rv s="0">
    <fb>35.81</fb>
    <v>0</v>
  </rv>
  <rv s="0">
    <fb>35.729999999999997</fb>
    <v>0</v>
  </rv>
  <rv s="0">
    <fb>34.880000000000003</fb>
    <v>0</v>
  </rv>
  <rv s="0">
    <fb>35.619999999999997</fb>
    <v>0</v>
  </rv>
  <rv s="0">
    <fb>35.252000000000002</fb>
    <v>0</v>
  </rv>
  <rv s="0">
    <fb>34.54</fb>
    <v>0</v>
  </rv>
  <rv s="0">
    <fb>35.22</fb>
    <v>0</v>
  </rv>
  <rv s="0">
    <fb>35.966000000000001</fb>
    <v>0</v>
  </rv>
  <rv s="0">
    <fb>36.304000000000002</fb>
    <v>0</v>
  </rv>
  <rv s="0">
    <fb>36.832000000000001</fb>
    <v>0</v>
  </rv>
  <rv s="0">
    <fb>36.53</fb>
    <v>0</v>
  </rv>
  <rv s="0">
    <fb>36.65</fb>
    <v>0</v>
  </rv>
  <rv s="0">
    <fb>36.6</fb>
    <v>0</v>
  </rv>
  <rv s="0">
    <fb>36.67</fb>
    <v>0</v>
  </rv>
  <rv s="0">
    <fb>37.283999999999999</fb>
    <v>0</v>
  </rv>
  <rv s="0">
    <fb>37.564</fb>
    <v>0</v>
  </rv>
  <rv s="0">
    <fb>37.520000000000003</fb>
    <v>0</v>
  </rv>
  <rv s="0">
    <fb>37.700800000000001</fb>
    <v>0</v>
  </rv>
  <rv s="0">
    <fb>35.132599999999996</fb>
    <v>0</v>
  </rv>
  <rv s="0">
    <fb>36.759799999999998</fb>
    <v>0</v>
  </rv>
  <rv s="0">
    <fb>36.960599999999999</fb>
    <v>0</v>
  </rv>
  <rv s="0">
    <fb>37.53</fb>
    <v>0</v>
  </rv>
  <rv s="0">
    <fb>37.238900000000001</fb>
    <v>0</v>
  </rv>
  <rv s="0">
    <fb>37.049999999999997</fb>
    <v>0</v>
  </rv>
  <rv s="0">
    <fb>37.61</fb>
    <v>0</v>
  </rv>
  <rv s="0">
    <fb>38.56</fb>
    <v>0</v>
  </rv>
  <rv s="0">
    <fb>38.624499999999998</fb>
    <v>0</v>
  </rv>
  <rv s="0">
    <fb>38.8598</fb>
    <v>0</v>
  </rv>
  <rv s="0">
    <fb>39.082099999999997</fb>
    <v>0</v>
  </rv>
  <rv s="0">
    <fb>38.549999999999997</fb>
    <v>0</v>
  </rv>
  <rv s="0">
    <fb>38.914999999999999</fb>
    <v>0</v>
  </rv>
  <rv s="0">
    <fb>38.67</fb>
    <v>0</v>
  </rv>
  <rv s="0">
    <fb>38.409999999999997</fb>
    <v>0</v>
  </rv>
  <rv s="0">
    <fb>37.79</fb>
    <v>0</v>
  </rv>
  <rv s="0">
    <fb>37.82</fb>
    <v>0</v>
  </rv>
  <rv s="0">
    <fb>38.9</fb>
    <v>0</v>
  </rv>
  <rv s="0">
    <fb>39.237299999999998</fb>
    <v>0</v>
  </rv>
  <rv s="0">
    <fb>38.796799999999998</fb>
    <v>0</v>
  </rv>
  <rv s="0">
    <fb>38.372199999999999</fb>
    <v>0</v>
  </rv>
  <rv s="0">
    <fb>37.6</fb>
    <v>0</v>
  </rv>
  <rv s="0">
    <fb>110.6037</fb>
    <v>0</v>
  </rv>
  <rv s="0">
    <fb>109.5055</fb>
    <v>0</v>
  </rv>
  <rv s="0">
    <fb>105.0236</fb>
    <v>0</v>
  </rv>
  <rv s="0">
    <fb>102.3126</fb>
    <v>0</v>
  </rv>
  <rv s="0">
    <fb>103.401</fb>
    <v>0</v>
  </rv>
  <rv s="0">
    <fb>103.37130000000001</fb>
    <v>0</v>
  </rv>
  <rv s="0">
    <fb>103.8561</fb>
    <v>0</v>
  </rv>
  <rv s="0">
    <fb>103.83629999999999</fb>
    <v>0</v>
  </rv>
  <rv s="0">
    <fb>102.7381</fb>
    <v>0</v>
  </rv>
  <rv s="0">
    <fb>102.2137</fb>
    <v>0</v>
  </rv>
  <rv s="0">
    <fb>102.2929</fb>
    <v>0</v>
  </rv>
  <rv s="0">
    <fb>100.977</fb>
    <v>0</v>
  </rv>
  <rv s="0">
    <fb>101.907</fb>
    <v>0</v>
  </rv>
  <rv s="0">
    <fb>100.512</fb>
    <v>0</v>
  </rv>
  <rv s="0">
    <fb>101.6893</fb>
    <v>0</v>
  </rv>
  <rv s="0">
    <fb>99.591800000000006</fb>
    <v>0</v>
  </rv>
  <rv s="0">
    <fb>101.2441</fb>
    <v>0</v>
  </rv>
  <rv s="0">
    <fb>104.1925</fb>
    <v>0</v>
  </rv>
  <rv s="0">
    <fb>106.83410000000001</fb>
    <v>0</v>
  </rv>
  <rv s="0">
    <fb>107.6553</fb>
    <v>0</v>
  </rv>
  <rv s="0">
    <fb>108.0808</fb>
    <v>0</v>
  </rv>
  <rv s="0">
    <fb>108.0412</fb>
    <v>0</v>
  </rv>
  <rv s="0">
    <fb>108.5557</fb>
    <v>0</v>
  </rv>
  <rv s="0">
    <fb>108.61499999999999</fb>
    <v>0</v>
  </rv>
  <rv s="0">
    <fb>107.60590000000001</fb>
    <v>0</v>
  </rv>
  <rv s="0">
    <fb>110.26730000000001</fb>
    <v>0</v>
  </rv>
  <rv s="0">
    <fb>108.0115</fb>
    <v>0</v>
  </rv>
  <rv s="0">
    <fb>106.2405</fb>
    <v>0</v>
  </rv>
  <rv s="0">
    <fb>108.9415</fb>
    <v>0</v>
  </rv>
  <rv s="0">
    <fb>106.11190000000001</fb>
    <v>0</v>
  </rv>
  <rv s="0">
    <fb>103.3317</fb>
    <v>0</v>
  </rv>
  <rv s="0">
    <fb>104.3211</fb>
    <v>0</v>
  </rv>
  <rv s="0">
    <fb>105.3797</fb>
    <v>0</v>
  </rv>
  <rv s="0">
    <fb>104.8653</fb>
    <v>0</v>
  </rv>
  <rv s="0">
    <fb>102.0455</fb>
    <v>0</v>
  </rv>
  <rv s="0">
    <fb>102.5501</fb>
    <v>0</v>
  </rv>
  <rv s="0">
    <fb>100.6307</fb>
    <v>0</v>
  </rv>
  <rv s="0">
    <fb>101.8377</fb>
    <v>0</v>
  </rv>
  <rv s="0">
    <fb>102.23350000000001</fb>
    <v>0</v>
  </rv>
  <rv s="0">
    <fb>101.01649999999999</fb>
    <v>0</v>
  </rv>
  <rv s="0">
    <fb>99.453299999999999</fb>
    <v>0</v>
  </rv>
  <rv s="0">
    <fb>99.720399999999998</fb>
    <v>0</v>
  </rv>
  <rv s="0">
    <fb>97.266800000000003</fb>
    <v>0</v>
  </rv>
  <rv s="0">
    <fb>96.811599999999999</fb>
    <v>0</v>
  </rv>
  <rv s="0">
    <fb>99.928200000000004</fb>
    <v>0</v>
  </rv>
  <rv s="0">
    <fb>98.721199999999996</fb>
    <v>0</v>
  </rv>
  <rv s="0">
    <fb>97.3459</fb>
    <v>0</v>
  </rv>
  <rv s="0">
    <fb>97.7911</fb>
    <v>0</v>
  </rv>
  <rv s="0">
    <fb>96.099299999999999</fb>
    <v>0</v>
  </rv>
  <rv s="0">
    <fb>95.545199999999994</fb>
    <v>0</v>
  </rv>
  <rv s="0">
    <fb>97.890100000000004</fb>
    <v>0</v>
  </rv>
  <rv s="0">
    <fb>99.146600000000007</fb>
    <v>0</v>
  </rv>
  <rv s="0">
    <fb>98.879499999999993</fb>
    <v>0</v>
  </rv>
  <rv s="0">
    <fb>98.562899999999999</fb>
    <v>0</v>
  </rv>
  <rv s="0">
    <fb>96.396100000000004</fb>
    <v>0</v>
  </rv>
  <rv s="0">
    <fb>95.3078</fb>
    <v>0</v>
  </rv>
  <rv s="0">
    <fb>92.864000000000004</fb>
    <v>0</v>
  </rv>
  <rv s="0">
    <fb>94.397499999999994</fb>
    <v>0</v>
  </rv>
  <rv s="0">
    <fb>94.941699999999997</fb>
    <v>0</v>
  </rv>
  <rv s="0">
    <fb>94.4268</fb>
    <v>0</v>
  </rv>
  <rv s="0">
    <fb>95.948400000000007</fb>
    <v>0</v>
  </rv>
  <rv s="0">
    <fb>95.918599999999998</fb>
    <v>0</v>
  </rv>
  <rv s="0">
    <fb>94.307500000000005</fb>
    <v>0</v>
  </rv>
  <rv s="0">
    <fb>97.052300000000002</fb>
    <v>0</v>
  </rv>
  <rv s="0">
    <fb>96.584900000000005</fb>
    <v>0</v>
  </rv>
  <rv s="0">
    <fb>96.425799999999995</fb>
    <v>0</v>
  </rv>
  <rv s="0">
    <fb>96.306399999999996</fb>
    <v>0</v>
  </rv>
  <rv s="0">
    <fb>94.685400000000001</fb>
    <v>0</v>
  </rv>
  <rv s="0">
    <fb>94.695300000000003</fb>
    <v>0</v>
  </rv>
  <rv s="0">
    <fb>96.077699999999993</fb>
    <v>0</v>
  </rv>
  <rv s="0">
    <fb>90.259900000000002</fb>
    <v>0</v>
  </rv>
  <rv s="0">
    <fb>88.241100000000003</fb>
    <v>0</v>
  </rv>
  <rv s="0">
    <fb>85.0488</fb>
    <v>0</v>
  </rv>
  <rv s="0">
    <fb>90.498599999999996</fb>
    <v>0</v>
  </rv>
  <rv s="0">
    <fb>87.813500000000005</fb>
    <v>0</v>
  </rv>
  <rv s="0">
    <fb>88.7483</fb>
    <v>0</v>
  </rv>
  <rv s="0">
    <fb>89.474299999999999</fb>
    <v>0</v>
  </rv>
  <rv s="0">
    <fb>88.638900000000007</fb>
    <v>0</v>
  </rv>
  <rv s="0">
    <fb>86.799099999999996</fb>
    <v>0</v>
  </rv>
  <rv s="0">
    <fb>88.5792</fb>
    <v>0</v>
  </rv>
  <rv s="0">
    <fb>86.998000000000005</fb>
    <v>0</v>
  </rv>
  <rv s="0">
    <fb>90.140600000000006</fb>
    <v>0</v>
  </rv>
  <rv s="0">
    <fb>90.011300000000006</fb>
    <v>0</v>
  </rv>
  <rv s="0">
    <fb>91.642300000000006</fb>
    <v>0</v>
  </rv>
  <rv s="0">
    <fb>90.757199999999997</fb>
    <v>0</v>
  </rv>
  <rv s="0">
    <fb>90.906300000000002</fb>
    <v>0</v>
  </rv>
  <rv s="0">
    <fb>91.085300000000004</fb>
    <v>0</v>
  </rv>
  <rv s="0">
    <fb>91.582599999999999</fb>
    <v>0</v>
  </rv>
  <rv s="0">
    <fb>91.358800000000002</fb>
    <v>0</v>
  </rv>
  <rv s="0">
    <fb>93.143900000000002</fb>
    <v>0</v>
  </rv>
  <rv s="0">
    <fb>92.378200000000007</fb>
    <v>0</v>
  </rv>
  <rv s="0">
    <fb>90.448899999999995</fb>
    <v>0</v>
  </rv>
  <rv s="0">
    <fb>90.627899999999997</fb>
    <v>0</v>
  </rv>
  <rv s="0">
    <fb>92.209100000000007</fb>
    <v>0</v>
  </rv>
  <rv s="0">
    <fb>91.5428</fb>
    <v>0</v>
  </rv>
  <rv s="0">
    <fb>95.461100000000002</fb>
    <v>0</v>
  </rv>
  <rv s="0">
    <fb>95.610299999999995</fb>
    <v>0</v>
  </rv>
  <rv s="0">
    <fb>92.746099999999998</fb>
    <v>0</v>
  </rv>
  <rv s="0">
    <fb>93.531800000000004</fb>
    <v>0</v>
  </rv>
  <rv s="0">
    <fb>94.894199999999998</fb>
    <v>0</v>
  </rv>
  <rv s="0">
    <fb>93.999200000000002</fb>
    <v>0</v>
  </rv>
  <rv s="0">
    <fb>92.636700000000005</fb>
    <v>0</v>
  </rv>
  <rv s="0">
    <fb>90.051100000000005</fb>
    <v>0</v>
  </rv>
  <rv s="0">
    <fb>89.653300000000002</fb>
    <v>0</v>
  </rv>
  <rv s="0">
    <fb>89.245500000000007</fb>
    <v>0</v>
  </rv>
  <rv s="0">
    <fb>91.065399999999997</fb>
    <v>0</v>
  </rv>
  <rv s="0">
    <fb>88.559299999999993</fb>
    <v>0</v>
  </rv>
  <rv s="0">
    <fb>89.215699999999998</fb>
    <v>0</v>
  </rv>
  <rv s="0">
    <fb>88.986999999999995</fb>
    <v>0</v>
  </rv>
  <rv s="0">
    <fb>88.0124</fb>
    <v>0</v>
  </rv>
  <rv s="0">
    <fb>89.444400000000002</fb>
    <v>0</v>
  </rv>
  <rv s="0">
    <fb>91.314099999999996</fb>
    <v>0</v>
  </rv>
  <rv s="0">
    <fb>91.244500000000002</fb>
    <v>0</v>
  </rv>
  <rv s="0">
    <fb>90.170400000000001</fb>
    <v>0</v>
  </rv>
  <rv s="0">
    <fb>91.194699999999997</fb>
    <v>0</v>
  </rv>
  <rv s="0">
    <fb>93.6511</fb>
    <v>0</v>
  </rv>
  <rv s="0">
    <fb>91.970399999999998</fb>
    <v>0</v>
  </rv>
  <rv s="0">
    <fb>92.527299999999997</fb>
    <v>0</v>
  </rv>
  <rv s="0">
    <fb>89.812399999999997</fb>
    <v>0</v>
  </rv>
  <rv s="0">
    <fb>89.635000000000005</fb>
    <v>0</v>
  </rv>
  <rv s="0">
    <fb>91.83</fb>
    <v>0</v>
  </rv>
  <rv s="0">
    <fb>98.07</fb>
    <v>0</v>
  </rv>
  <rv s="0">
    <fb>95.1</fb>
    <v>0</v>
  </rv>
  <rv s="0">
    <fb>95.76</fb>
    <v>0</v>
  </rv>
  <rv s="0">
    <fb>99.21</fb>
    <v>0</v>
  </rv>
  <rv s="0">
    <fb>100.23</fb>
    <v>0</v>
  </rv>
  <rv s="0">
    <fb>98.75</fb>
    <v>0</v>
  </rv>
  <rv s="0">
    <fb>98.02</fb>
    <v>0</v>
  </rv>
  <rv s="0">
    <fb>94.81</fb>
    <v>0</v>
  </rv>
  <rv s="0">
    <fb>102.04</fb>
    <v>0</v>
  </rv>
  <rv s="0">
    <fb>98.17</fb>
    <v>0</v>
  </rv>
  <rv s="0">
    <fb>100.01</fb>
    <v>0</v>
  </rv>
  <rv s="0">
    <fb>103.31</fb>
    <v>0</v>
  </rv>
  <rv s="0">
    <fb>103.18</fb>
    <v>0</v>
  </rv>
  <rv s="0">
    <fb>106.46</fb>
    <v>0</v>
  </rv>
  <rv s="0">
    <fb>109.62</fb>
    <v>0</v>
  </rv>
  <rv s="0">
    <fb>111.07</fb>
    <v>0</v>
  </rv>
  <rv s="0">
    <fb>107.28</fb>
    <v>0</v>
  </rv>
  <rv s="0">
    <fb>112.92</fb>
    <v>0</v>
  </rv>
  <rv s="0">
    <fb>111.53</fb>
    <v>0</v>
  </rv>
  <rv s="0">
    <fb>110.88</fb>
    <v>0</v>
  </rv>
  <rv s="0">
    <fb>110.7</fb>
    <v>0</v>
  </rv>
  <rv s="0">
    <fb>110.85</fb>
    <v>0</v>
  </rv>
  <rv s="0">
    <fb>117.14</fb>
    <v>0</v>
  </rv>
  <rv s="0">
    <fb>115.91</fb>
    <v>0</v>
  </rv>
  <rv s="0">
    <fb>113.68</fb>
    <v>0</v>
  </rv>
  <rv s="0">
    <fb>112.16</fb>
    <v>0</v>
  </rv>
  <rv s="0">
    <fb>111.6</fb>
    <v>0</v>
  </rv>
  <rv s="0">
    <fb>110.41</fb>
    <v>0</v>
  </rv>
  <rv s="0">
    <fb>110.69</fb>
    <v>0</v>
  </rv>
  <rv s="0">
    <fb>108.83</fb>
    <v>0</v>
  </rv>
  <rv s="0">
    <fb>107.03</fb>
    <v>0</v>
  </rv>
  <rv s="0">
    <fb>107.13</fb>
    <v>0</v>
  </rv>
  <rv s="0">
    <fb>105.5</fb>
    <v>0</v>
  </rv>
  <rv s="0">
    <fb>106.93</fb>
    <v>0</v>
  </rv>
  <rv s="0">
    <fb>108.13</fb>
    <v>0</v>
  </rv>
  <rv s="0">
    <fb>108.26</fb>
    <v>0</v>
  </rv>
  <rv s="0">
    <fb>103.74</fb>
    <v>0</v>
  </rv>
  <rv s="0">
    <fb>103.79</fb>
    <v>0</v>
  </rv>
  <rv s="0">
    <fb>100.24</fb>
    <v>0</v>
  </rv>
  <rv s="0">
    <fb>103.39</fb>
    <v>0</v>
  </rv>
  <rv s="0">
    <fb>103.36</fb>
    <v>0</v>
  </rv>
  <rv s="0">
    <fb>103.88</fb>
    <v>0</v>
  </rv>
  <rv s="0">
    <fb>105.7</fb>
    <v>0</v>
  </rv>
  <rv s="0">
    <fb>103.82</fb>
    <v>0</v>
  </rv>
  <rv s="0">
    <fb>103.97</fb>
    <v>0</v>
  </rv>
  <rv s="0">
    <fb>104.16</fb>
    <v>0</v>
  </rv>
  <rv s="0">
    <fb>103.75</fb>
    <v>0</v>
  </rv>
  <rv s="0">
    <fb>100.235</fb>
    <v>0</v>
  </rv>
  <rv s="0">
    <fb>100.42</fb>
    <v>0</v>
  </rv>
  <rv s="0">
    <fb>98.7</fb>
    <v>0</v>
  </rv>
  <rv s="0">
    <fb>98.84</fb>
    <v>0</v>
  </rv>
  <rv s="0">
    <fb>98.284999999999997</fb>
    <v>0</v>
  </rv>
  <rv s="0">
    <fb>98.68</fb>
    <v>0</v>
  </rv>
  <rv s="0">
    <fb>99.73</fb>
    <v>0</v>
  </rv>
  <rv s="0">
    <fb>99.43</fb>
    <v>0</v>
  </rv>
  <rv s="0">
    <fb>97.11</fb>
    <v>0</v>
  </rv>
  <rv s="0">
    <fb>94.09</fb>
    <v>0</v>
  </rv>
  <rv s="0">
    <fb>93.81</fb>
    <v>0</v>
  </rv>
  <rv s="0">
    <fb>104.65</fb>
    <v>0</v>
  </rv>
  <rv s="0">
    <fb>106.24</fb>
    <v>0</v>
  </rv>
  <rv s="0">
    <fb>104.5</fb>
    <v>0</v>
  </rv>
  <rv s="0">
    <fb>104.77</fb>
    <v>0</v>
  </rv>
  <rv s="0">
    <fb>103.26</fb>
    <v>0</v>
  </rv>
  <rv s="0">
    <fb>109.38</fb>
    <v>0</v>
  </rv>
  <rv s="0">
    <fb>110.21</fb>
    <v>0</v>
  </rv>
  <rv s="0">
    <fb>110.67</fb>
    <v>0</v>
  </rv>
  <rv s="0">
    <fb>111.54</fb>
    <v>0</v>
  </rv>
  <rv s="0">
    <fb>111.91</fb>
    <v>0</v>
  </rv>
  <rv s="0">
    <fb>111.17</fb>
    <v>0</v>
  </rv>
  <rv s="0">
    <fb>112.45</fb>
    <v>0</v>
  </rv>
  <rv s="0">
    <fb>110.6</fb>
    <v>0</v>
  </rv>
  <rv s="0">
    <fb>108.73</fb>
    <v>0</v>
  </rv>
  <rv s="0">
    <fb>110.93</fb>
    <v>0</v>
  </rv>
  <rv s="0">
    <fb>108.4</fb>
    <v>0</v>
  </rv>
  <rv s="0">
    <fb>105.69</fb>
    <v>0</v>
  </rv>
  <rv s="0">
    <fb>106.51</fb>
    <v>0</v>
  </rv>
  <rv s="0">
    <fb>107.65</fb>
    <v>0</v>
  </rv>
  <rv s="0">
    <fb>104.89</fb>
    <v>0</v>
  </rv>
  <rv s="0">
    <fb>105.48</fb>
    <v>0</v>
  </rv>
  <rv s="0">
    <fb>101.11</fb>
    <v>0</v>
  </rv>
  <rv s="0">
    <fb>102.37</fb>
    <v>0</v>
  </rv>
  <rv s="0">
    <fb>101.39</fb>
    <v>0</v>
  </rv>
  <rv s="0">
    <fb>98.99</fb>
    <v>0</v>
  </rv>
  <rv s="0">
    <fb>98.19</fb>
    <v>0</v>
  </rv>
  <rv s="0">
    <fb>101.48</fb>
    <v>0</v>
  </rv>
  <rv s="0">
    <fb>101.23</fb>
    <v>0</v>
  </rv>
  <rv s="0">
    <fb>98.01</fb>
    <v>0</v>
  </rv>
  <rv s="0">
    <fb>98.38</fb>
    <v>0</v>
  </rv>
  <rv s="0">
    <fb>97.83</fb>
    <v>0</v>
  </rv>
  <rv s="0">
    <fb>99.61</fb>
    <v>0</v>
  </rv>
  <rv s="0">
    <fb>97.2</fb>
    <v>0</v>
  </rv>
  <rv s="0">
    <fb>91.82</fb>
    <v>0</v>
  </rv>
  <rv s="0">
    <fb>86.79</fb>
    <v>0</v>
  </rv>
  <rv s="0">
    <fb>91.1</fb>
    <v>0</v>
  </rv>
  <rv s="0">
    <fb>89.03</fb>
    <v>0</v>
  </rv>
  <rv s="0">
    <fb>90.85</fb>
    <v>0</v>
  </rv>
  <rv s="0">
    <fb>92.19</fb>
    <v>0</v>
  </rv>
  <rv s="0">
    <fb>92.05</fb>
    <v>0</v>
  </rv>
  <rv s="0">
    <fb>94.35</fb>
    <v>0</v>
  </rv>
  <rv s="0">
    <fb>93.61</fb>
    <v>0</v>
  </rv>
  <rv s="0">
    <fb>93.9</fb>
    <v>0</v>
  </rv>
  <rv s="0">
    <fb>95.18</fb>
    <v>0</v>
  </rv>
  <rv s="0">
    <fb>96.59</fb>
    <v>0</v>
  </rv>
  <rv s="0">
    <fb>94.94</fb>
    <v>0</v>
  </rv>
  <rv s="0">
    <fb>96.39</fb>
    <v>0</v>
  </rv>
  <rv s="0">
    <fb>100.86</fb>
    <v>0</v>
  </rv>
  <rv s="0">
    <fb>100.89</fb>
    <v>0</v>
  </rv>
  <rv s="0">
    <fb>99.75</fb>
    <v>0</v>
  </rv>
  <rv s="0">
    <fb>98.67</fb>
    <v>0</v>
  </rv>
  <rv s="0">
    <fb>95.58</fb>
    <v>0</v>
  </rv>
  <rv s="0">
    <fb>96.73</fb>
    <v>0</v>
  </rv>
  <rv s="0">
    <fb>94.23</fb>
    <v>0</v>
  </rv>
  <rv s="0">
    <fb>94.93</fb>
    <v>0</v>
  </rv>
  <rv s="0">
    <fb>94.26</fb>
    <v>0</v>
  </rv>
  <rv s="0">
    <fb>93.07</fb>
    <v>0</v>
  </rv>
  <rv s="0">
    <fb>94.69</fb>
    <v>0</v>
  </rv>
  <rv s="0">
    <fb>95.13</fb>
    <v>0</v>
  </rv>
  <rv s="0">
    <fb>96.21</fb>
    <v>0</v>
  </rv>
  <rv s="0">
    <fb>98.06</fb>
    <v>0</v>
  </rv>
  <rv s="0">
    <fb>96.8</fb>
    <v>0</v>
  </rv>
  <rv s="0">
    <fb>95.32</fb>
    <v>0</v>
  </rv>
  <rv s="0">
    <fb>93.14</fb>
    <v>0</v>
  </rv>
  <rv s="0">
    <fb>93.26</fb>
    <v>0</v>
  </rv>
  <rv s="0">
    <fb>97.4</fb>
    <v>0</v>
  </rv>
  <rv s="0">
    <fb>103.72</fb>
    <v>0</v>
  </rv>
  <rv s="0">
    <fb>101.17</fb>
    <v>0</v>
  </rv>
  <rv s="0">
    <fb>106.06</fb>
    <v>0</v>
  </rv>
  <rv s="0">
    <fb>104.02</fb>
    <v>0</v>
  </rv>
  <rv s="0">
    <fb>101.01</fb>
    <v>0</v>
  </rv>
  <rv s="0">
    <fb>101.05</fb>
    <v>0</v>
  </rv>
  <rv s="0">
    <fb>107.7</fb>
    <v>0</v>
  </rv>
  <rv s="0">
    <fb>105.55</fb>
    <v>0</v>
  </rv>
  <rv s="0">
    <fb>106.6</fb>
    <v>0</v>
  </rv>
  <rv s="0">
    <fb>105.42</fb>
    <v>0</v>
  </rv>
  <rv s="0">
    <fb>101.91</fb>
    <v>0</v>
  </rv>
  <rv s="0">
    <fb>105.71</fb>
    <v>0</v>
  </rv>
  <rv s="0">
    <fb>107.26</fb>
    <v>0</v>
  </rv>
  <rv s="0">
    <fb>107.52</fb>
    <v>0</v>
  </rv>
  <rv s="0">
    <fb>111.4</fb>
    <v>0</v>
  </rv>
  <rv s="0">
    <fb>115.73</fb>
    <v>0</v>
  </rv>
  <rv s="0">
    <fb>113.66</fb>
    <v>0</v>
  </rv>
  <rv s="0">
    <fb>113.34</fb>
    <v>0</v>
  </rv>
  <rv s="0">
    <fb>113.14</fb>
    <v>0</v>
  </rv>
  <rv s="0">
    <fb>112.32</fb>
    <v>0</v>
  </rv>
  <rv s="0">
    <fb>117</fb>
    <v>0</v>
  </rv>
  <rv s="0">
    <fb>114.93</fb>
    <v>0</v>
  </rv>
  <rv s="0">
    <fb>114.4</fb>
    <v>0</v>
  </rv>
  <rv s="0">
    <fb>114</fb>
    <v>0</v>
  </rv>
  <rv s="0">
    <fb>113</fb>
    <v>0</v>
  </rv>
  <rv s="0">
    <fb>113.62</fb>
    <v>0</v>
  </rv>
  <rv s="0">
    <fb>117.21</fb>
    <v>0</v>
  </rv>
  <rv s="0">
    <fb>116.07</fb>
    <v>0</v>
  </rv>
  <rv s="0">
    <fb>115.76</fb>
    <v>0</v>
  </rv>
  <rv s="0">
    <fb>118.77</fb>
    <v>0</v>
  </rv>
  <rv s="0">
    <fb>116.16</fb>
    <v>0</v>
  </rv>
  <rv s="0">
    <fb>115.46</fb>
    <v>0</v>
  </rv>
  <rv s="0">
    <fb>113.85</fb>
    <v>0</v>
  </rv>
  <rv s="0">
    <fb>114.56</fb>
    <v>0</v>
  </rv>
  <rv s="0">
    <fb>113.02</fb>
    <v>0</v>
  </rv>
  <rv s="0">
    <fb>111.13</fb>
    <v>0</v>
  </rv>
  <rv s="0">
    <fb>111.32</fb>
    <v>0</v>
  </rv>
  <rv s="0">
    <fb>110.64</fb>
    <v>0</v>
  </rv>
  <rv s="0">
    <fb>109.12</fb>
    <v>0</v>
  </rv>
  <rv s="0">
    <fb>110.4</fb>
    <v>0</v>
  </rv>
  <rv s="0">
    <fb>110.63</fb>
    <v>0</v>
  </rv>
  <rv s="0">
    <fb>111.56</fb>
    <v>0</v>
  </rv>
  <rv s="0">
    <fb>111.64</fb>
    <v>0</v>
  </rv>
  <rv s="0">
    <fb>112.12</fb>
    <v>0</v>
  </rv>
  <rv s="0">
    <fb>109.82</fb>
    <v>0</v>
  </rv>
  <rv s="0">
    <fb>107.79</fb>
    <v>0</v>
  </rv>
  <rv s="0">
    <fb>108.6</fb>
    <v>0</v>
  </rv>
  <rv s="0">
    <fb>110.31</fb>
    <v>0</v>
  </rv>
  <rv s="0">
    <fb>108.86</fb>
    <v>0</v>
  </rv>
  <rv s="0">
    <fb>108.82</fb>
    <v>0</v>
  </rv>
  <rv s="0">
    <fb>108.28</fb>
    <v>0</v>
  </rv>
  <rv s="0">
    <fb>105.26</fb>
    <v>0</v>
  </rv>
  <rv s="0">
    <fb>104.53</fb>
    <v>0</v>
  </rv>
  <rv s="0">
    <fb>105.03</fb>
    <v>0</v>
  </rv>
  <rv s="0">
    <fb>104.17</fb>
    <v>0</v>
  </rv>
  <rv s="0">
    <fb>105.56</fb>
    <v>0</v>
  </rv>
  <rv s="0">
    <fb>106.15</fb>
    <v>0</v>
  </rv>
  <rv s="0">
    <fb>104.12</fb>
    <v>0</v>
  </rv>
  <rv s="0">
    <fb>100.11</fb>
    <v>0</v>
  </rv>
  <rv s="0">
    <fb>54.23</fb>
    <v>0</v>
  </rv>
  <rv s="0">
    <fb>51.61</fb>
    <v>0</v>
  </rv>
  <rv s="0">
    <fb>53.05</fb>
    <v>0</v>
  </rv>
  <rv s="0">
    <fb>53.18</fb>
    <v>0</v>
  </rv>
  <rv s="0">
    <fb>52.56</fb>
    <v>0</v>
  </rv>
  <rv s="0">
    <fb>52.2</fb>
    <v>0</v>
  </rv>
  <rv s="0">
    <fb>52.64</fb>
    <v>0</v>
  </rv>
  <rv s="0">
    <fb>54.07</fb>
    <v>0</v>
  </rv>
  <rv s="0">
    <fb>55.73</fb>
    <v>0</v>
  </rv>
  <rv s="0">
    <fb>56.33</fb>
    <v>0</v>
  </rv>
  <rv s="0">
    <fb>56.74</fb>
    <v>0</v>
  </rv>
  <rv s="0">
    <fb>56.77</fb>
    <v>0</v>
  </rv>
  <rv s="0">
    <fb>56.47</fb>
    <v>0</v>
  </rv>
  <rv s="0">
    <fb>56.59</fb>
    <v>0</v>
  </rv>
  <rv s="0">
    <fb>56.94</fb>
    <v>0</v>
  </rv>
  <rv s="0">
    <fb>57.354700000000001</fb>
    <v>0</v>
  </rv>
  <rv s="0">
    <fb>57.72</fb>
    <v>0</v>
  </rv>
  <rv s="0">
    <fb>55.43</fb>
    <v>0</v>
  </rv>
  <rv s="0">
    <fb>54.76</fb>
    <v>0</v>
  </rv>
  <rv s="0">
    <fb>54.65</fb>
    <v>0</v>
  </rv>
  <rv s="0">
    <fb>53.3</fb>
    <v>0</v>
  </rv>
  <rv s="0">
    <fb>52.48</fb>
    <v>0</v>
  </rv>
  <rv s="0">
    <fb>50.58</fb>
    <v>0</v>
  </rv>
  <rv s="0">
    <fb>46.78</fb>
    <v>0</v>
  </rv>
  <rv s="0">
    <fb>48.37</fb>
    <v>0</v>
  </rv>
  <rv s="0">
    <fb>49.7</fb>
    <v>0</v>
  </rv>
  <rv s="0">
    <fb>49.6</fb>
    <v>0</v>
  </rv>
  <rv s="0">
    <fb>51.18</fb>
    <v>0</v>
  </rv>
  <rv s="0">
    <fb>50.72</fb>
    <v>0</v>
  </rv>
  <rv s="0">
    <fb>48.7</fb>
    <v>0</v>
  </rv>
  <rv s="0">
    <fb>48.65</fb>
    <v>0</v>
  </rv>
  <rv s="0">
    <fb>43.34</fb>
    <v>0</v>
  </rv>
  <rv s="0">
    <fb>42.84</fb>
    <v>0</v>
  </rv>
  <rv s="0">
    <fb>45.48</fb>
    <v>0</v>
  </rv>
  <rv s="0">
    <fb>46.02</fb>
    <v>0</v>
  </rv>
  <rv s="0">
    <fb>46.27</fb>
    <v>0</v>
  </rv>
  <rv s="0">
    <fb>46.64</fb>
    <v>0</v>
  </rv>
  <rv s="0">
    <fb>46.7</fb>
    <v>0</v>
  </rv>
  <rv s="0">
    <fb>46.98</fb>
    <v>0</v>
  </rv>
  <rv s="0">
    <fb>47.67</fb>
    <v>0</v>
  </rv>
  <rv s="0">
    <fb>48.18</fb>
    <v>0</v>
  </rv>
  <rv s="0">
    <fb>48.3</fb>
    <v>0</v>
  </rv>
  <rv s="0">
    <fb>48.36</fb>
    <v>0</v>
  </rv>
  <rv s="0">
    <fb>48.01</fb>
    <v>0</v>
  </rv>
  <rv s="0">
    <fb>49.43</fb>
    <v>0</v>
  </rv>
  <rv s="0">
    <fb>50.06</fb>
    <v>0</v>
  </rv>
  <rv s="0">
    <fb>52.53</fb>
    <v>0</v>
  </rv>
  <rv s="0">
    <fb>53.25</fb>
    <v>0</v>
  </rv>
  <rv s="0">
    <fb>51.35</fb>
    <v>0</v>
  </rv>
  <rv s="0">
    <fb>53.31</fb>
    <v>0</v>
  </rv>
  <rv s="0">
    <fb>53.65</fb>
    <v>0</v>
  </rv>
  <rv s="0">
    <fb>53.92</fb>
    <v>0</v>
  </rv>
  <rv s="0">
    <fb>54.5</fb>
    <v>0</v>
  </rv>
  <rv s="0">
    <fb>53.98</fb>
    <v>0</v>
  </rv>
  <rv s="0">
    <fb>53.94</fb>
    <v>0</v>
  </rv>
  <rv s="0">
    <fb>54.16</fb>
    <v>0</v>
  </rv>
  <rv s="0">
    <fb>55</fb>
    <v>0</v>
  </rv>
  <rv s="0">
    <fb>55.7</fb>
    <v>0</v>
  </rv>
  <rv s="0">
    <fb>56.75</fb>
    <v>0</v>
  </rv>
  <rv s="0">
    <fb>56.9</fb>
    <v>0</v>
  </rv>
  <rv s="0">
    <fb>57.08</fb>
    <v>0</v>
  </rv>
  <rv s="0">
    <fb>57.5</fb>
    <v>0</v>
  </rv>
  <rv s="0">
    <fb>57.81</fb>
    <v>0</v>
  </rv>
  <rv s="0">
    <fb>57.45</fb>
    <v>0</v>
  </rv>
  <rv s="0">
    <fb>57.53</fb>
    <v>0</v>
  </rv>
  <rv s="0">
    <fb>58.43</fb>
    <v>0</v>
  </rv>
  <rv s="0">
    <fb>57.77</fb>
    <v>0</v>
  </rv>
  <rv s="0">
    <fb>58.58</fb>
    <v>0</v>
  </rv>
  <rv s="0">
    <fb>58.69</fb>
    <v>0</v>
  </rv>
  <rv s="0">
    <fb>59.35</fb>
    <v>0</v>
  </rv>
  <rv s="0">
    <fb>58.42</fb>
    <v>0</v>
  </rv>
  <rv s="0">
    <fb>58.76</fb>
    <v>0</v>
  </rv>
  <rv s="0">
    <fb>57.85</fb>
    <v>0</v>
  </rv>
  <rv s="0">
    <fb>58.36</fb>
    <v>0</v>
  </rv>
  <rv s="0">
    <fb>56.83</fb>
    <v>0</v>
  </rv>
  <rv s="0">
    <fb>56.42</fb>
    <v>0</v>
  </rv>
  <rv s="0">
    <fb>56.53</fb>
    <v>0</v>
  </rv>
  <rv s="0">
    <fb>57.97</fb>
    <v>0</v>
  </rv>
  <rv s="0">
    <fb>58.74</fb>
    <v>0</v>
  </rv>
  <rv s="0">
    <fb>58.32</fb>
    <v>0</v>
  </rv>
  <rv s="0">
    <fb>58.25</fb>
    <v>0</v>
  </rv>
  <rv s="0">
    <fb>59.54</fb>
    <v>0</v>
  </rv>
  <rv s="0">
    <fb>59.64</fb>
    <v>0</v>
  </rv>
  <rv s="0">
    <fb>59.4</fb>
    <v>0</v>
  </rv>
  <rv s="0">
    <fb>59.88</fb>
    <v>0</v>
  </rv>
  <rv s="0">
    <fb>59.75</fb>
    <v>0</v>
  </rv>
  <rv s="0">
    <fb>61.88</fb>
    <v>0</v>
  </rv>
  <rv s="0">
    <fb>61.91</fb>
    <v>0</v>
  </rv>
  <rv s="0">
    <fb>61.51</fb>
    <v>0</v>
  </rv>
  <rv s="0">
    <fb>61.83</fb>
    <v>0</v>
  </rv>
  <rv s="0">
    <fb>61.7</fb>
    <v>0</v>
  </rv>
  <rv s="0">
    <fb>58.93</fb>
    <v>0</v>
  </rv>
  <rv s="0">
    <fb>58.21</fb>
    <v>0</v>
  </rv>
  <rv s="0">
    <fb>58.1</fb>
    <v>0</v>
  </rv>
  <rv s="0">
    <fb>57.89</fb>
    <v>0</v>
  </rv>
  <rv s="0">
    <fb>59.61</fb>
    <v>0</v>
  </rv>
  <rv s="0">
    <fb>60.08</fb>
    <v>0</v>
  </rv>
  <rv s="0">
    <fb>58.26</fb>
    <v>0</v>
  </rv>
  <rv s="0">
    <fb>58.22</fb>
    <v>0</v>
  </rv>
  <rv s="0">
    <fb>57.61</fb>
    <v>0</v>
  </rv>
  <rv s="0">
    <fb>57.84</fb>
    <v>0</v>
  </rv>
  <rv s="0">
    <fb>57.9</fb>
    <v>0</v>
  </rv>
  <rv s="0">
    <fb>56.76</fb>
    <v>0</v>
  </rv>
  <rv s="0">
    <fb>220.78</fb>
    <v>0</v>
  </rv>
  <rv s="0">
    <fb>219.96</fb>
    <v>0</v>
  </rv>
  <rv s="0">
    <fb>214.96</fb>
    <v>0</v>
  </rv>
  <rv s="0">
    <fb>213.79</fb>
    <v>0</v>
  </rv>
  <rv s="0">
    <fb>213.83</fb>
    <v>0</v>
  </rv>
  <rv s="0">
    <fb>214.32</fb>
    <v>0</v>
  </rv>
  <rv s="0">
    <fb>214.93</fb>
    <v>0</v>
  </rv>
  <rv s="0">
    <fb>213.78</fb>
    <v>0</v>
  </rv>
  <rv s="0">
    <fb>210.96</fb>
    <v>0</v>
  </rv>
  <rv s="0">
    <fb>211.38</fb>
    <v>0</v>
  </rv>
  <rv s="0">
    <fb>210.8</fb>
    <v>0</v>
  </rv>
  <rv s="0">
    <fb>211.14</fb>
    <v>0</v>
  </rv>
  <rv s="0">
    <fb>209.06</fb>
    <v>0</v>
  </rv>
  <rv s="0">
    <fb>206.68</fb>
    <v>0</v>
  </rv>
  <rv s="0">
    <fb>206.82</fb>
    <v>0</v>
  </rv>
  <rv s="0">
    <fb>206.98</fb>
    <v>0</v>
  </rv>
  <rv s="0">
    <fb>206.54</fb>
    <v>0</v>
  </rv>
  <rv s="0">
    <fb>208</fb>
    <v>0</v>
  </rv>
  <rv s="0">
    <fb>209.43</fb>
    <v>0</v>
  </rv>
  <rv s="0">
    <fb>210.66</fb>
    <v>0</v>
  </rv>
  <rv s="0">
    <fb>209.72</fb>
    <v>0</v>
  </rv>
  <rv s="0">
    <fb>210.79</fb>
    <v>0</v>
  </rv>
  <rv s="0">
    <fb>211.61</fb>
    <v>0</v>
  </rv>
  <rv s="0">
    <fb>217.04</fb>
    <v>0</v>
  </rv>
  <rv s="0">
    <fb>213.99</fb>
    <v>0</v>
  </rv>
  <rv s="0">
    <fb>214.6</fb>
    <v>0</v>
  </rv>
  <rv s="0">
    <fb>216.91</fb>
    <v>0</v>
  </rv>
  <rv s="0">
    <fb>215.33</fb>
    <v>0</v>
  </rv>
  <rv s="0">
    <fb>216.38</fb>
    <v>0</v>
  </rv>
  <rv s="0">
    <fb>215.36</fb>
    <v>0</v>
  </rv>
  <rv s="0">
    <fb>216.99</fb>
    <v>0</v>
  </rv>
  <rv s="0">
    <fb>218.36</fb>
    <v>0</v>
  </rv>
  <rv s="0">
    <fb>221.05</fb>
    <v>0</v>
  </rv>
  <rv s="0">
    <fb>221.46</fb>
    <v>0</v>
  </rv>
  <rv s="0">
    <fb>223.73</fb>
    <v>0</v>
  </rv>
  <rv s="0">
    <fb>221.15</fb>
    <v>0</v>
  </rv>
  <rv s="0">
    <fb>221.48</fb>
    <v>0</v>
  </rv>
  <rv s="0">
    <fb>220.76</fb>
    <v>0</v>
  </rv>
  <rv s="0">
    <fb>222.7</fb>
    <v>0</v>
  </rv>
  <rv s="0">
    <fb>226.16</fb>
    <v>0</v>
  </rv>
  <rv s="0">
    <fb>222.27</fb>
    <v>0</v>
  </rv>
  <rv s="0">
    <fb>224.91</fb>
    <v>0</v>
  </rv>
  <rv s="0">
    <fb>225.31</fb>
    <v>0</v>
  </rv>
  <rv s="0">
    <fb>221.77</fb>
    <v>0</v>
  </rv>
  <rv s="0">
    <fb>222.34</fb>
    <v>0</v>
  </rv>
  <rv s="0">
    <fb>222.52</fb>
    <v>0</v>
  </rv>
  <rv s="0">
    <fb>221.01</fb>
    <v>0</v>
  </rv>
  <rv s="0">
    <fb>217.97</fb>
    <v>0</v>
  </rv>
  <rv s="0">
    <fb>212.13</fb>
    <v>0</v>
  </rv>
  <rv s="0">
    <fb>213.16</fb>
    <v>0</v>
  </rv>
  <rv s="0">
    <fb>213.92</fb>
    <v>0</v>
  </rv>
  <rv s="0">
    <fb>212.96</fb>
    <v>0</v>
  </rv>
  <rv s="0">
    <fb>212.91</fb>
    <v>0</v>
  </rv>
  <rv s="0">
    <fb>211.6</fb>
    <v>0</v>
  </rv>
  <rv s="0">
    <fb>214.24</fb>
    <v>0</v>
  </rv>
  <rv s="0">
    <fb>216.66</fb>
    <v>0</v>
  </rv>
  <rv s="0">
    <fb>215.53</fb>
    <v>0</v>
  </rv>
  <rv s="0">
    <fb>219.66</fb>
    <v>0</v>
  </rv>
  <rv s="0">
    <fb>219.43</fb>
    <v>0</v>
  </rv>
  <rv s="0">
    <fb>219.89</fb>
    <v>0</v>
  </rv>
  <rv s="0">
    <fb>210.74</fb>
    <v>0</v>
  </rv>
  <rv s="0">
    <fb>208.01</fb>
    <v>0</v>
  </rv>
  <rv s="0">
    <fb>204.89</fb>
    <v>0</v>
  </rv>
  <rv s="0">
    <fb>213.97</fb>
    <v>0</v>
  </rv>
  <rv s="0">
    <fb>220.25</fb>
    <v>0</v>
  </rv>
  <rv s="0">
    <fb>218.23</fb>
    <v>0</v>
  </rv>
  <rv s="0">
    <fb>215.72</fb>
    <v>0</v>
  </rv>
  <rv s="0">
    <fb>220.35</fb>
    <v>0</v>
  </rv>
  <rv s="0">
    <fb>217.86</fb>
    <v>0</v>
  </rv>
  <rv s="0">
    <fb>220.42</fb>
    <v>0</v>
  </rv>
  <rv s="0">
    <fb>218.49</fb>
    <v>0</v>
  </rv>
  <rv s="0">
    <fb>219.53</fb>
    <v>0</v>
  </rv>
  <rv s="0">
    <fb>220.86</fb>
    <v>0</v>
  </rv>
  <rv s="0">
    <fb>218.99</fb>
    <v>0</v>
  </rv>
  <rv s="0">
    <fb>220.57</fb>
    <v>0</v>
  </rv>
  <rv s="0">
    <fb>220.72</fb>
    <v>0</v>
  </rv>
  <rv s="0">
    <fb>220.15</fb>
    <v>0</v>
  </rv>
  <rv s="0">
    <fb>219.41</fb>
    <v>0</v>
  </rv>
  <rv s="0">
    <fb>218.27</fb>
    <v>0</v>
  </rv>
  <rv s="0">
    <fb>218.93</fb>
    <v>0</v>
  </rv>
  <rv s="0">
    <fb>216.24</fb>
    <v>0</v>
  </rv>
  <rv s="0">
    <fb>215.45</fb>
    <v>0</v>
  </rv>
  <rv s="0">
    <fb>219.69</fb>
    <v>0</v>
  </rv>
  <rv s="0">
    <fb>222.43</fb>
    <v>0</v>
  </rv>
  <rv s="0">
    <fb>223.02</fb>
    <v>0</v>
  </rv>
  <rv s="0">
    <fb>223.64</fb>
    <v>0</v>
  </rv>
  <rv s="0">
    <fb>220.46</fb>
    <v>0</v>
  </rv>
  <rv s="0">
    <fb>222.73</fb>
    <v>0</v>
  </rv>
  <rv s="0">
    <fb>221.26</fb>
    <v>0</v>
  </rv>
  <rv s="0">
    <fb>224.56</fb>
    <v>0</v>
  </rv>
  <rv s="0">
    <fb>224.73</fb>
    <v>0</v>
  </rv>
  <rv s="0">
    <fb>224.37</fb>
    <v>0</v>
  </rv>
  <rv s="0">
    <fb>223.09</fb>
    <v>0</v>
  </rv>
  <rv s="0">
    <fb>221.23</fb>
    <v>0</v>
  </rv>
  <rv s="0">
    <fb>220.24</fb>
    <v>0</v>
  </rv>
  <rv s="0">
    <fb>221.29</fb>
    <v>0</v>
  </rv>
  <rv s="0">
    <fb>218.73</fb>
    <v>0</v>
  </rv>
  <rv s="0">
    <fb>219.32</fb>
    <v>0</v>
  </rv>
  <rv s="0">
    <fb>217.65</fb>
    <v>0</v>
  </rv>
  <rv s="0">
    <fb>217.32</fb>
    <v>0</v>
  </rv>
  <rv s="0">
    <fb>218.48</fb>
    <v>0</v>
  </rv>
  <rv s="0">
    <fb>221.49</fb>
    <v>0</v>
  </rv>
  <rv s="0">
    <fb>218.57</fb>
    <v>0</v>
  </rv>
  <rv s="0">
    <fb>216.94</fb>
    <v>0</v>
  </rv>
  <rv s="0">
    <fb>219</fb>
    <v>0</v>
  </rv>
  <rv s="0">
    <fb>221.55</fb>
    <v>0</v>
  </rv>
  <rv s="0">
    <fb>221.89</fb>
    <v>0</v>
  </rv>
  <rv s="0">
    <fb>221.98</fb>
    <v>0</v>
  </rv>
  <rv s="0">
    <fb>219.74</fb>
    <v>0</v>
  </rv>
  <rv s="0">
    <fb>218.66</fb>
    <v>0</v>
  </rv>
  <rv s="0">
    <fb>219.14</fb>
    <v>0</v>
  </rv>
  <rv s="0">
    <fb>218.42</fb>
    <v>0</v>
  </rv>
  <rv s="0">
    <fb>216.57</fb>
    <v>0</v>
  </rv>
  <rv s="0">
    <fb>217.15</fb>
    <v>0</v>
  </rv>
  <rv s="0">
    <fb>219.31</fb>
    <v>0</v>
  </rv>
  <rv s="0">
    <fb>218.61</fb>
    <v>0</v>
  </rv>
  <rv s="0">
    <fb>218.58</fb>
    <v>0</v>
  </rv>
  <rv s="0">
    <fb>220.31</fb>
    <v>0</v>
  </rv>
  <rv s="0">
    <fb>220.7</fb>
    <v>0</v>
  </rv>
  <rv s="0">
    <fb>219.51</fb>
    <v>0</v>
  </rv>
  <rv s="0">
    <fb>217.78</fb>
    <v>0</v>
  </rv>
  <rv s="0">
    <fb>216.12</fb>
    <v>0</v>
  </rv>
  <rv s="0">
    <fb>216.86</fb>
    <v>0</v>
  </rv>
  <rv s="0">
    <fb>218</fb>
    <v>0</v>
  </rv>
  <rv s="0">
    <fb>217.17</fb>
    <v>0</v>
  </rv>
  <rv s="0">
    <fb>220.61</fb>
    <v>0</v>
  </rv>
  <rv s="0">
    <fb>222.05</fb>
    <v>0</v>
  </rv>
  <rv s="0">
    <fb>222.66</fb>
    <v>0</v>
  </rv>
  <rv s="0">
    <fb>222.89</fb>
    <v>0</v>
  </rv>
  <rv s="0">
    <fb>223.28</fb>
    <v>0</v>
  </rv>
  <rv s="0">
    <fb>221.39</fb>
    <v>0</v>
  </rv>
  <rv s="0">
    <fb>221.5</fb>
    <v>0</v>
  </rv>
  <rv s="0">
    <fb>221.66</fb>
    <v>0</v>
  </rv>
  <rv s="0">
    <fb>225.25</fb>
    <v>0</v>
  </rv>
  <rv s="0">
    <fb>219.28</fb>
    <v>0</v>
  </rv>
  <rv s="0">
    <fb>218.14</fb>
    <v>0</v>
  </rv>
  <rv s="0">
    <fb>217.72</fb>
    <v>0</v>
  </rv>
  <rv s="0">
    <fb>219.09</fb>
    <v>0</v>
  </rv>
  <rv s="0">
    <fb>219.18</fb>
    <v>0</v>
  </rv>
  <rv s="0">
    <fb>219.25</fb>
    <v>0</v>
  </rv>
  <rv s="0">
    <fb>220.41</fb>
    <v>0</v>
  </rv>
  <rv s="0">
    <fb>217.96</fb>
    <v>0</v>
  </rv>
  <rv s="0">
    <fb>220.07</fb>
    <v>0</v>
  </rv>
  <rv s="0">
    <fb>219.45</fb>
    <v>0</v>
  </rv>
  <rv s="0">
    <fb>217.89</fb>
    <v>0</v>
  </rv>
  <rv s="0">
    <fb>219.56</fb>
    <v>0</v>
  </rv>
  <rv s="0">
    <fb>217.51</fb>
    <v>0</v>
  </rv>
  <rv s="0">
    <fb>216.54</fb>
    <v>0</v>
  </rv>
  <rv s="0">
    <fb>215.09</fb>
    <v>0</v>
  </rv>
  <rv s="0">
    <fb>214.11</fb>
    <v>0</v>
  </rv>
  <rv s="0">
    <fb>212.64</fb>
    <v>0</v>
  </rv>
  <rv s="0">
    <fb>212.75</fb>
    <v>0</v>
  </rv>
  <rv s="0">
    <fb>213.14</fb>
    <v>0</v>
  </rv>
  <rv s="0">
    <fb>213.73</fb>
    <v>0</v>
  </rv>
  <rv s="0">
    <fb>213.25</fb>
    <v>0</v>
  </rv>
  <rv s="0">
    <fb>212.52</fb>
    <v>0</v>
  </rv>
  <rv s="0">
    <fb>212.84</fb>
    <v>0</v>
  </rv>
  <rv s="0">
    <fb>211.27</fb>
    <v>0</v>
  </rv>
  <rv s="0">
    <fb>213.07</fb>
    <v>0</v>
  </rv>
  <rv s="0">
    <fb>212.09</fb>
    <v>0</v>
  </rv>
  <rv s="0">
    <fb>212.97</fb>
    <v>0</v>
  </rv>
  <rv s="0">
    <fb>212.82</fb>
    <v>0</v>
  </rv>
  <rv s="0">
    <fb>212.25</fb>
    <v>0</v>
  </rv>
  <rv s="0">
    <fb>215.87</fb>
    <v>0</v>
  </rv>
  <rv s="0">
    <fb>214.8</fb>
    <v>0</v>
  </rv>
  <rv s="0">
    <fb>217.49</fb>
    <v>0</v>
  </rv>
  <rv s="0">
    <fb>217.2</fb>
    <v>0</v>
  </rv>
  <rv s="0">
    <fb>216.67</fb>
    <v>0</v>
  </rv>
  <rv s="0">
    <fb>216.76</fb>
    <v>0</v>
  </rv>
  <rv s="0">
    <fb>215.52</fb>
    <v>0</v>
  </rv>
  <rv s="0">
    <fb>209.67</fb>
    <v>0</v>
  </rv>
  <rv s="0">
    <fb>208.96</fb>
    <v>0</v>
  </rv>
  <rv s="0">
    <fb>208.11</fb>
    <v>0</v>
  </rv>
  <rv s="0">
    <fb>207.46</fb>
    <v>0</v>
  </rv>
  <rv s="0">
    <fb>208.3</fb>
    <v>0</v>
  </rv>
  <rv s="0">
    <fb>207.98</fb>
    <v>0</v>
  </rv>
  <rv s="0">
    <fb>206.7</fb>
    <v>0</v>
  </rv>
  <rv s="0">
    <fb>209.12</fb>
    <v>0</v>
  </rv>
  <rv s="0">
    <fb>210.99</fb>
    <v>0</v>
  </rv>
  <rv s="0">
    <fb>210.75</fb>
    <v>0</v>
  </rv>
  <rv s="0">
    <fb>210.6</fb>
    <v>0</v>
  </rv>
  <rv s="0">
    <fb>209.15</fb>
    <v>0</v>
  </rv>
  <rv s="0">
    <fb>51.51</fb>
    <v>0</v>
  </rv>
  <rv s="0">
    <fb>50.54</fb>
    <v>0</v>
  </rv>
  <rv s="0">
    <fb>49.97</fb>
    <v>0</v>
  </rv>
  <rv s="0">
    <fb>50.11</fb>
    <v>0</v>
  </rv>
  <rv s="0">
    <fb>49.93</fb>
    <v>0</v>
  </rv>
  <rv s="0">
    <fb>49.28</fb>
    <v>0</v>
  </rv>
  <rv s="0">
    <fb>49.31</fb>
    <v>0</v>
  </rv>
  <rv s="0">
    <fb>48.68</fb>
    <v>0</v>
  </rv>
  <rv s="0">
    <fb>48.39</fb>
    <v>0</v>
  </rv>
  <rv s="0">
    <fb>48.63</fb>
    <v>0</v>
  </rv>
  <rv s="0">
    <fb>49.06</fb>
    <v>0</v>
  </rv>
  <rv s="0">
    <fb>49.22</fb>
    <v>0</v>
  </rv>
  <rv s="0">
    <fb>50.03</fb>
    <v>0</v>
  </rv>
  <rv s="0">
    <fb>50.27</fb>
    <v>0</v>
  </rv>
  <rv s="0">
    <fb>50.35</fb>
    <v>0</v>
  </rv>
  <rv s="0">
    <fb>51.01</fb>
    <v>0</v>
  </rv>
  <rv s="0">
    <fb>50.86</fb>
    <v>0</v>
  </rv>
  <rv s="0">
    <fb>51.71</fb>
    <v>0</v>
  </rv>
  <rv s="0">
    <fb>52.3</fb>
    <v>0</v>
  </rv>
  <rv s="0">
    <fb>51.73</fb>
    <v>0</v>
  </rv>
  <rv s="0">
    <fb>51.63</fb>
    <v>0</v>
  </rv>
  <rv s="0">
    <fb>52.08</fb>
    <v>0</v>
  </rv>
  <rv s="0">
    <fb>52</fb>
    <v>0</v>
  </rv>
  <rv s="0">
    <fb>50.9</fb>
    <v>0</v>
  </rv>
  <rv s="0">
    <fb>49.55</fb>
    <v>0</v>
  </rv>
  <rv s="0">
    <fb>49.77</fb>
    <v>0</v>
  </rv>
  <rv s="0">
    <fb>49.47</fb>
    <v>0</v>
  </rv>
  <rv s="0">
    <fb>50.09</fb>
    <v>0</v>
  </rv>
  <rv s="0">
    <fb>50.657499999999999</fb>
    <v>0</v>
  </rv>
  <rv s="0">
    <fb>51.31</fb>
    <v>0</v>
  </rv>
  <rv s="0">
    <fb>49.27</fb>
    <v>0</v>
  </rv>
  <rv s="0">
    <fb>47.94</fb>
    <v>0</v>
  </rv>
  <rv s="0">
    <fb>50.01</fb>
    <v>0</v>
  </rv>
  <rv s="0">
    <fb>49.99</fb>
    <v>0</v>
  </rv>
  <rv s="0">
    <fb>50.63</fb>
    <v>0</v>
  </rv>
  <rv s="0">
    <fb>51.43</fb>
    <v>0</v>
  </rv>
  <rv s="0">
    <fb>50.46</fb>
    <v>0</v>
  </rv>
  <rv s="0">
    <fb>51.53</fb>
    <v>0</v>
  </rv>
  <rv s="0">
    <fb>51.07</fb>
    <v>0</v>
  </rv>
  <rv s="0">
    <fb>51.22</fb>
    <v>0</v>
  </rv>
  <rv s="0">
    <fb>51.44</fb>
    <v>0</v>
  </rv>
  <rv s="0">
    <fb>51.96</fb>
    <v>0</v>
  </rv>
  <rv s="0">
    <fb>52.24</fb>
    <v>0</v>
  </rv>
  <rv s="0">
    <fb>51.5</fb>
    <v>0</v>
  </rv>
  <rv s="0">
    <fb>52.05</fb>
    <v>0</v>
  </rv>
  <rv s="0">
    <fb>51.93</fb>
    <v>0</v>
  </rv>
  <rv s="0">
    <fb>50.83</fb>
    <v>0</v>
  </rv>
  <rv s="0">
    <fb>50.77</fb>
    <v>0</v>
  </rv>
  <rv s="0">
    <fb>51.15</fb>
    <v>0</v>
  </rv>
  <rv s="0">
    <fb>51.81</fb>
    <v>0</v>
  </rv>
  <rv s="0">
    <fb>51.33</fb>
    <v>0</v>
  </rv>
  <rv s="0">
    <fb>51.24</fb>
    <v>0</v>
  </rv>
  <rv s="0">
    <fb>50.64</fb>
    <v>0</v>
  </rv>
  <rv s="0">
    <fb>50.88</fb>
    <v>0</v>
  </rv>
  <rv s="0">
    <fb>50.66</fb>
    <v>0</v>
  </rv>
  <rv s="0">
    <fb>51.49</fb>
    <v>0</v>
  </rv>
  <rv s="0">
    <fb>51.98</fb>
    <v>0</v>
  </rv>
  <rv s="0">
    <fb>52.57</fb>
    <v>0</v>
  </rv>
  <rv s="0">
    <fb>51.17</fb>
    <v>0</v>
  </rv>
  <rv s="0">
    <fb>51.25</fb>
    <v>0</v>
  </rv>
  <rv s="0">
    <fb>49.68</fb>
    <v>0</v>
  </rv>
  <rv s="0">
    <fb>50.37</fb>
    <v>0</v>
  </rv>
  <rv s="0">
    <fb>50.48</fb>
    <v>0</v>
  </rv>
  <rv s="0">
    <fb>50.51</fb>
    <v>0</v>
  </rv>
  <rv s="0">
    <fb>50.26</fb>
    <v>0</v>
  </rv>
  <rv s="0">
    <fb>48.74</fb>
    <v>0</v>
  </rv>
  <rv s="0">
    <fb>48.61</fb>
    <v>0</v>
  </rv>
  <rv s="0">
    <fb>48.55</fb>
    <v>0</v>
  </rv>
  <rv s="0">
    <fb>48.606999999999999</fb>
    <v>0</v>
  </rv>
  <rv s="0">
    <fb>49.13</fb>
    <v>0</v>
  </rv>
  <rv s="0">
    <fb>48.82</fb>
    <v>0</v>
  </rv>
  <rv s="0">
    <fb>62.07</fb>
    <v>0</v>
  </rv>
  <rv s="0">
    <fb>61</fb>
    <v>0</v>
  </rv>
  <rv s="0">
    <fb>60.75</fb>
    <v>0</v>
  </rv>
  <rv s="0">
    <fb>60.81</fb>
    <v>0</v>
  </rv>
  <rv s="0">
    <fb>60.95</fb>
    <v>0</v>
  </rv>
  <rv s="0">
    <fb>61.11</fb>
    <v>0</v>
  </rv>
  <rv s="0">
    <fb>60.15</fb>
    <v>0</v>
  </rv>
  <rv s="0">
    <fb>60.04</fb>
    <v>0</v>
  </rv>
  <rv s="0">
    <fb>59.58</fb>
    <v>0</v>
  </rv>
  <rv s="0">
    <fb>58.57</fb>
    <v>0</v>
  </rv>
  <rv s="0">
    <fb>59.03</fb>
    <v>0</v>
  </rv>
  <rv s="0">
    <fb>59.46</fb>
    <v>0</v>
  </rv>
  <rv s="0">
    <fb>60.39</fb>
    <v>0</v>
  </rv>
  <rv s="0">
    <fb>61.95</fb>
    <v>0</v>
  </rv>
  <rv s="0">
    <fb>61.89</fb>
    <v>0</v>
  </rv>
  <rv s="0">
    <fb>61.34</fb>
    <v>0</v>
  </rv>
  <rv s="0">
    <fb>62.13</fb>
    <v>0</v>
  </rv>
  <rv s="0">
    <fb>62.15</fb>
    <v>0</v>
  </rv>
  <rv s="0">
    <fb>63.37</fb>
    <v>0</v>
  </rv>
  <rv s="0">
    <fb>62.87</fb>
    <v>0</v>
  </rv>
  <rv s="0">
    <fb>62.84</fb>
    <v>0</v>
  </rv>
  <rv s="0">
    <fb>63.05</fb>
    <v>0</v>
  </rv>
  <rv s="0">
    <fb>63.61</fb>
    <v>0</v>
  </rv>
  <rv s="0">
    <fb>63.64</fb>
    <v>0</v>
  </rv>
  <rv s="0">
    <fb>64.22</fb>
    <v>0</v>
  </rv>
  <rv s="0">
    <fb>64.69</fb>
    <v>0</v>
  </rv>
  <rv s="0">
    <fb>64.180000000000007</fb>
    <v>0</v>
  </rv>
  <rv s="0">
    <fb>64.66</fb>
    <v>0</v>
  </rv>
  <rv s="0">
    <fb>64.67</fb>
    <v>0</v>
  </rv>
  <rv s="0">
    <fb>64.760000000000005</fb>
    <v>0</v>
  </rv>
  <rv s="0">
    <fb>64.459999999999994</fb>
    <v>0</v>
  </rv>
  <rv s="0">
    <fb>63.79</fb>
    <v>0</v>
  </rv>
  <rv s="0">
    <fb>63.63</fb>
    <v>0</v>
  </rv>
  <rv s="0">
    <fb>63.04</fb>
    <v>0</v>
  </rv>
  <rv s="0">
    <fb>62.95</fb>
    <v>0</v>
  </rv>
  <rv s="0">
    <fb>62.83</fb>
    <v>0</v>
  </rv>
  <rv s="0">
    <fb>63.58</fb>
    <v>0</v>
  </rv>
  <rv s="0">
    <fb>64.05</fb>
    <v>0</v>
  </rv>
  <rv s="0">
    <fb>64.14</fb>
    <v>0</v>
  </rv>
  <rv s="0">
    <fb>65.09</fb>
    <v>0</v>
  </rv>
  <rv s="0">
    <fb>62.39</fb>
    <v>0</v>
  </rv>
  <rv s="0">
    <fb>63.32</fb>
    <v>0</v>
  </rv>
  <rv s="0">
    <fb>63.34</fb>
    <v>0</v>
  </rv>
  <rv s="0">
    <fb>65.88</fb>
    <v>0</v>
  </rv>
  <rv s="0">
    <fb>66.37</fb>
    <v>0</v>
  </rv>
  <rv s="0">
    <fb>66.08</fb>
    <v>0</v>
  </rv>
  <rv s="0">
    <fb>65.510000000000005</fb>
    <v>0</v>
  </rv>
  <rv s="0">
    <fb>65.209999999999994</fb>
    <v>0</v>
  </rv>
  <rv s="0">
    <fb>65.55</fb>
    <v>0</v>
  </rv>
  <rv s="0">
    <fb>66.14</fb>
    <v>0</v>
  </rv>
  <rv s="0">
    <fb>66.209999999999994</fb>
    <v>0</v>
  </rv>
  <rv s="0">
    <fb>65.680000000000007</fb>
    <v>0</v>
  </rv>
  <rv s="0">
    <fb>64.12</fb>
    <v>0</v>
  </rv>
  <rv s="0">
    <fb>65.900000000000006</fb>
    <v>0</v>
  </rv>
  <rv s="0">
    <fb>66.47</fb>
    <v>0</v>
  </rv>
  <rv s="0">
    <fb>67.150000000000006</fb>
    <v>0</v>
  </rv>
  <rv s="0">
    <fb>66.42</fb>
    <v>0</v>
  </rv>
  <rv s="0">
    <fb>66.45</fb>
    <v>0</v>
  </rv>
  <rv s="0">
    <fb>66.900000000000006</fb>
    <v>0</v>
  </rv>
  <rv s="0">
    <fb>66.150000000000006</fb>
    <v>0</v>
  </rv>
  <rv s="0">
    <fb>65.37</fb>
    <v>0</v>
  </rv>
  <rv s="0">
    <fb>64.84</fb>
    <v>0</v>
  </rv>
  <rv s="0">
    <fb>64.900000000000006</fb>
    <v>0</v>
  </rv>
  <rv s="0">
    <fb>65.66</fb>
    <v>0</v>
  </rv>
  <rv s="0">
    <fb>65.38</fb>
    <v>0</v>
  </rv>
  <rv s="0">
    <fb>65.98</fb>
    <v>0</v>
  </rv>
  <rv s="0">
    <fb>66.010000000000005</fb>
    <v>0</v>
  </rv>
  <rv s="0">
    <fb>65.849999999999994</fb>
    <v>0</v>
  </rv>
  <rv s="0">
    <fb>65.41</fb>
    <v>0</v>
  </rv>
  <rv s="0">
    <fb>64.91</fb>
    <v>0</v>
  </rv>
  <rv s="0">
    <fb>65.13</fb>
    <v>0</v>
  </rv>
  <rv s="0">
    <fb>64.41</fb>
    <v>0</v>
  </rv>
  <rv s="0">
    <fb>65.03</fb>
    <v>0</v>
  </rv>
  <rv s="0">
    <fb>64.904799999999994</fb>
    <v>0</v>
  </rv>
  <rv s="0">
    <fb>64.319999999999993</fb>
    <v>0</v>
  </rv>
  <rv s="0">
    <fb>63.76</fb>
    <v>0</v>
  </rv>
  <rv s="0">
    <fb>65.430000000000007</fb>
    <v>0</v>
  </rv>
  <rv s="0">
    <fb>66.2</fb>
    <v>0</v>
  </rv>
  <rv s="0">
    <fb>66.319999999999993</fb>
    <v>0</v>
  </rv>
  <rv s="0">
    <fb>65.86</fb>
    <v>0</v>
  </rv>
  <rv s="0">
    <fb>66.06</fb>
    <v>0</v>
  </rv>
  <rv s="0">
    <fb>66.680000000000007</fb>
    <v>0</v>
  </rv>
  <rv s="0">
    <fb>67.459999999999994</fb>
    <v>0</v>
  </rv>
  <rv s="0">
    <fb>65.989999999999995</fb>
    <v>0</v>
  </rv>
  <rv s="0">
    <fb>65.63</fb>
    <v>0</v>
  </rv>
  <rv s="0">
    <fb>65.23</fb>
    <v>0</v>
  </rv>
  <rv s="0">
    <fb>64.34</fb>
    <v>0</v>
  </rv>
  <rv s="0">
    <fb>64.52</fb>
    <v>0</v>
  </rv>
  <rv s="0">
    <fb>64.260000000000005</fb>
    <v>0</v>
  </rv>
  <rv s="0">
    <fb>63.994999999999997</fb>
    <v>0</v>
  </rv>
  <rv s="0">
    <fb>64.37</fb>
    <v>0</v>
  </rv>
  <rv s="0">
    <fb>64.03</fb>
    <v>0</v>
  </rv>
  <rv s="0">
    <fb>64.3</fb>
    <v>0</v>
  </rv>
  <rv s="0">
    <fb>64.069999999999993</fb>
    <v>0</v>
  </rv>
  <rv s="0">
    <fb>66.239999999999995</fb>
    <v>0</v>
  </rv>
  <rv s="0">
    <fb>65.75</fb>
    <v>0</v>
  </rv>
  <rv s="0">
    <fb>63.85</fb>
    <v>0</v>
  </rv>
  <rv s="0">
    <fb>63.77</fb>
    <v>0</v>
  </rv>
  <rv s="0">
    <fb>63.5</fb>
    <v>0</v>
  </rv>
  <rv s="0">
    <fb>63.375</fb>
    <v>0</v>
  </rv>
  <rv s="0">
    <fb>63.59</fb>
    <v>0</v>
  </rv>
  <rv s="0">
    <fb>63.74</fb>
    <v>0</v>
  </rv>
  <rv s="0">
    <fb>48.516199999999998</fb>
    <v>0</v>
  </rv>
  <rv s="0">
    <fb>48.29</fb>
    <v>0</v>
  </rv>
  <rv s="0">
    <fb>46.92</fb>
    <v>0</v>
  </rv>
  <rv s="0">
    <fb>47.023699999999998</fb>
    <v>0</v>
  </rv>
  <rv s="0">
    <fb>46.986400000000003</fb>
    <v>0</v>
  </rv>
  <rv s="0">
    <fb>46.664299999999997</fb>
    <v>0</v>
  </rv>
  <rv s="0">
    <fb>46.329700000000003</fb>
    <v>0</v>
  </rv>
  <rv s="0">
    <fb>46.476500000000001</fb>
    <v>0</v>
  </rv>
  <rv s="0">
    <fb>46.768000000000001</fb>
    <v>0</v>
  </rv>
  <rv s="0">
    <fb>46.991</fb>
    <v>0</v>
  </rv>
  <rv s="0">
    <fb>45.9</fb>
    <v>0</v>
  </rv>
  <rv s="0">
    <fb>46.32</fb>
    <v>0</v>
  </rv>
  <rv s="0">
    <fb>45.21</fb>
    <v>0</v>
  </rv>
  <rv s="0">
    <fb>45.9542</fb>
    <v>0</v>
  </rv>
  <rv s="0">
    <fb>46.009099999999997</fb>
    <v>0</v>
  </rv>
  <rv s="0">
    <fb>46.367199999999997</fb>
    <v>0</v>
  </rv>
  <rv s="0">
    <fb>46.69</fb>
    <v>0</v>
  </rv>
  <rv s="0">
    <fb>46.84</fb>
    <v>0</v>
  </rv>
  <rv s="0">
    <fb>46.38</fb>
    <v>0</v>
  </rv>
  <rv s="0">
    <fb>46.75</fb>
    <v>0</v>
  </rv>
  <rv s="0">
    <fb>47.51</fb>
    <v>0</v>
  </rv>
  <rv s="0">
    <fb>47.91</fb>
    <v>0</v>
  </rv>
  <rv s="0">
    <fb>48.43</fb>
    <v>0</v>
  </rv>
  <rv s="0">
    <fb>47.806199999999997</fb>
    <v>0</v>
  </rv>
  <rv s="0">
    <fb>47.43</fb>
    <v>0</v>
  </rv>
  <rv s="0">
    <fb>47.36</fb>
    <v>0</v>
  </rv>
  <rv s="0">
    <fb>47.19</fb>
    <v>0</v>
  </rv>
  <rv s="0">
    <fb>48.003900000000002</fb>
    <v>0</v>
  </rv>
  <rv s="0">
    <fb>47.723399999999998</fb>
    <v>0</v>
  </rv>
  <rv s="0">
    <fb>47.644599999999997</fb>
    <v>0</v>
  </rv>
  <rv s="0">
    <fb>47.855600000000003</fb>
    <v>0</v>
  </rv>
  <rv s="0">
    <fb>47.7226</fb>
    <v>0</v>
  </rv>
  <rv s="0">
    <fb>47.465899999999998</fb>
    <v>0</v>
  </rv>
  <rv s="0">
    <fb>47.441600000000001</fb>
    <v>0</v>
  </rv>
  <rv s="0">
    <fb>47.56</fb>
    <v>0</v>
  </rv>
  <rv s="0">
    <fb>47.09</fb>
    <v>0</v>
  </rv>
  <rv s="0">
    <fb>46.6496</fb>
    <v>0</v>
  </rv>
  <rv s="0">
    <fb>47.190800000000003</fb>
    <v>0</v>
  </rv>
  <rv s="0">
    <fb>46.590499999999999</fb>
    <v>0</v>
  </rv>
  <rv s="0">
    <fb>45.882100000000001</fb>
    <v>0</v>
  </rv>
  <rv s="0">
    <fb>45.781500000000001</fb>
    <v>0</v>
  </rv>
  <rv s="0">
    <fb>45.24</fb>
    <v>0</v>
  </rv>
  <rv s="0">
    <fb>45.9343</fb>
    <v>0</v>
  </rv>
  <rv s="0">
    <fb>45.31</fb>
    <v>0</v>
  </rv>
  <rv s="0">
    <fb>45.04</fb>
    <v>0</v>
  </rv>
  <rv s="0">
    <fb>44.148000000000003</fb>
    <v>0</v>
  </rv>
  <rv s="0">
    <fb>44.7</fb>
    <v>0</v>
  </rv>
  <rv s="0">
    <fb>45.552700000000002</fb>
    <v>0</v>
  </rv>
  <rv s="0">
    <fb>45.129399999999997</fb>
    <v>0</v>
  </rv>
  <rv s="0">
    <fb>45.342199999999998</fb>
    <v>0</v>
  </rv>
  <rv s="0">
    <fb>45.111400000000003</fb>
    <v>0</v>
  </rv>
  <rv s="0">
    <fb>44.994199999999999</fb>
    <v>0</v>
  </rv>
  <rv s="0">
    <fb>45.466299999999997</fb>
    <v>0</v>
  </rv>
  <rv s="0">
    <fb>45.412300000000002</fb>
    <v>0</v>
  </rv>
  <rv s="0">
    <fb>45.626300000000001</fb>
    <v>0</v>
  </rv>
  <rv s="0">
    <fb>45.327599999999997</fb>
    <v>0</v>
  </rv>
  <rv s="0">
    <fb>45.968800000000002</fb>
    <v>0</v>
  </rv>
  <rv s="0">
    <fb>46.619900000000001</fb>
    <v>0</v>
  </rv>
  <rv s="0">
    <fb>46.12</fb>
    <v>0</v>
  </rv>
  <rv s="0">
    <fb>44.08</fb>
    <v>0</v>
  </rv>
  <rv s="0">
    <fb>43.725299999999997</fb>
    <v>0</v>
  </rv>
  <rv s="0">
    <fb>43.17</fb>
    <v>0</v>
  </rv>
  <rv s="0">
    <fb>45.476900000000001</fb>
    <v>0</v>
  </rv>
  <rv s="0">
    <fb>45.082799999999999</fb>
    <v>0</v>
  </rv>
  <rv s="0">
    <fb>45.592700000000001</fb>
    <v>0</v>
  </rv>
  <rv s="0">
    <fb>46.122199999999999</fb>
    <v>0</v>
  </rv>
  <rv s="0">
    <fb>45.715800000000002</fb>
    <v>0</v>
  </rv>
  <rv s="0">
    <fb>45.464100000000002</fb>
    <v>0</v>
  </rv>
  <rv s="0">
    <fb>45.669899999999998</fb>
    <v>0</v>
  </rv>
  <rv s="0">
    <fb>46.633899999999997</fb>
    <v>0</v>
  </rv>
  <rv s="0">
    <fb>46.776000000000003</fb>
    <v>0</v>
  </rv>
  <rv s="0">
    <fb>46.68</fb>
    <v>0</v>
  </rv>
  <rv s="0">
    <fb>46.785899999999998</fb>
    <v>0</v>
  </rv>
  <rv s="0">
    <fb>47.26</fb>
    <v>0</v>
  </rv>
  <rv s="0">
    <fb>46.901499999999999</fb>
    <v>0</v>
  </rv>
  <rv s="0">
    <fb>47.478000000000002</fb>
    <v>0</v>
  </rv>
  <rv s="0">
    <fb>47.456699999999998</fb>
    <v>0</v>
  </rv>
  <rv s="0">
    <fb>47.161799999999999</fb>
    <v>0</v>
  </rv>
  <rv s="0">
    <fb>47.064399999999999</fb>
    <v>0</v>
  </rv>
  <rv s="0">
    <fb>46.847900000000003</fb>
    <v>0</v>
  </rv>
  <rv s="0">
    <fb>47.254399999999997</fb>
    <v>0</v>
  </rv>
  <rv s="0">
    <fb>47.2089</fb>
    <v>0</v>
  </rv>
  <rv s="0">
    <fb>46.971899999999998</fb>
    <v>0</v>
  </rv>
  <rv s="0">
    <fb>47.0443</fb>
    <v>0</v>
  </rv>
  <rv s="0">
    <fb>47.777099999999997</fb>
    <v>0</v>
  </rv>
  <rv s="0">
    <fb>48.519199999999998</fb>
    <v>0</v>
  </rv>
  <rv s="0">
    <fb>48.371499999999997</fb>
    <v>0</v>
  </rv>
  <rv s="0">
    <fb>48.529499999999999</fb>
    <v>0</v>
  </rv>
  <rv s="0">
    <fb>47.920299999999997</fb>
    <v>0</v>
  </rv>
  <rv s="0">
    <fb>47.58</fb>
    <v>0</v>
  </rv>
  <rv s="0">
    <fb>47.7669</fb>
    <v>0</v>
  </rv>
  <rv s="0">
    <fb>48.150199999999998</fb>
    <v>0</v>
  </rv>
  <rv s="0">
    <fb>47.9377</fb>
    <v>0</v>
  </rv>
  <rv s="0">
    <fb>48.032899999999998</fb>
    <v>0</v>
  </rv>
  <rv s="0">
    <fb>48.513300000000001</fb>
    <v>0</v>
  </rv>
  <rv s="0">
    <fb>48.453200000000002</fb>
    <v>0</v>
  </rv>
  <rv s="0">
    <fb>48.0792</fb>
    <v>0</v>
  </rv>
  <rv s="0">
    <fb>47.283200000000001</fb>
    <v>0</v>
  </rv>
  <rv s="0">
    <fb>47.5246</fb>
    <v>0</v>
  </rv>
  <rv s="0">
    <fb>47.019199999999998</fb>
    <v>0</v>
  </rv>
  <rv s="0">
    <fb>46.741700000000002</fb>
    <v>0</v>
  </rv>
  <rv s="0">
    <fb>47.039200000000001</fb>
    <v>0</v>
  </rv>
  <rv s="0">
    <fb>47.188699999999997</fb>
    <v>0</v>
  </rv>
  <rv s="0">
    <fb>46.918500000000002</fb>
    <v>0</v>
  </rv>
  <rv s="0">
    <fb>46.879199999999997</fb>
    <v>0</v>
  </rv>
  <rv s="0">
    <fb>47.31</fb>
    <v>0</v>
  </rv>
  <rv s="0">
    <fb>46.6357</fb>
    <v>0</v>
  </rv>
  <rv s="0">
    <fb>46.763599999999997</fb>
    <v>0</v>
  </rv>
  <rv s="0">
    <fb>46.973700000000001</fb>
    <v>0</v>
  </rv>
  <rv s="0">
    <fb>47.87</fb>
    <v>0</v>
  </rv>
  <rv s="0">
    <fb>48.048099999999998</fb>
    <v>0</v>
  </rv>
  <rv s="0">
    <fb>48.049799999999998</fb>
    <v>0</v>
  </rv>
  <rv s="0">
    <fb>48.15</fb>
    <v>0</v>
  </rv>
  <rv s="0">
    <fb>47.769500000000001</fb>
    <v>0</v>
  </rv>
  <rv s="0">
    <fb>47.695500000000003</fb>
    <v>0</v>
  </rv>
  <rv s="0">
    <fb>47.868499999999997</fb>
    <v>0</v>
  </rv>
  <rv s="0">
    <fb>47.71</fb>
    <v>0</v>
  </rv>
  <rv s="0">
    <fb>48</fb>
    <v>0</v>
  </rv>
  <rv s="0">
    <fb>47.3</fb>
    <v>0</v>
  </rv>
  <rv s="0">
    <fb>47.7851</fb>
    <v>0</v>
  </rv>
  <rv s="0">
    <fb>48.358800000000002</fb>
    <v>0</v>
  </rv>
  <rv s="0">
    <fb>48.125</fb>
    <v>0</v>
  </rv>
  <rv s="0">
    <fb>48.151899999999998</fb>
    <v>0</v>
  </rv>
  <rv s="0">
    <fb>49.012799999999999</fb>
    <v>0</v>
  </rv>
  <rv s="0">
    <fb>48.503900000000002</fb>
    <v>0</v>
  </rv>
  <rv s="0">
    <fb>48.669499999999999</fb>
    <v>0</v>
  </rv>
  <rv s="0">
    <fb>48.047600000000003</fb>
    <v>0</v>
  </rv>
  <rv s="0">
    <fb>48.073</fb>
    <v>0</v>
  </rv>
  <rv s="0">
    <fb>48.232300000000002</fb>
    <v>0</v>
  </rv>
  <rv s="0">
    <fb>47.79</fb>
    <v>0</v>
  </rv>
  <rv s="0">
    <fb>47.7425</fb>
    <v>0</v>
  </rv>
  <rv s="0">
    <fb>47.881999999999998</fb>
    <v>0</v>
  </rv>
  <rv s="0">
    <fb>47.436199999999999</fb>
    <v>0</v>
  </rv>
  <rv s="0">
    <fb>47.893999999999998</fb>
    <v>0</v>
  </rv>
  <rv s="0">
    <fb>47.915500000000002</fb>
    <v>0</v>
  </rv>
  <rv s="0">
    <fb>48.122500000000002</fb>
    <v>0</v>
  </rv>
  <rv s="0">
    <fb>47.953699999999998</fb>
    <v>0</v>
  </rv>
  <rv s="0">
    <fb>48.230800000000002</fb>
    <v>0</v>
  </rv>
  <rv s="0">
    <fb>48.129300000000001</fb>
    <v>0</v>
  </rv>
  <rv s="0">
    <fb>47.462299999999999</fb>
    <v>0</v>
  </rv>
  <rv s="0">
    <fb>47.563400000000001</fb>
    <v>0</v>
  </rv>
  <rv s="0">
    <fb>47.741300000000003</fb>
    <v>0</v>
  </rv>
  <rv s="0">
    <fb>47.917400000000001</fb>
    <v>0</v>
  </rv>
  <rv s="0">
    <fb>48.203899999999997</fb>
    <v>0</v>
  </rv>
  <rv s="0">
    <fb>48.106000000000002</fb>
    <v>0</v>
  </rv>
  <rv s="0">
    <fb>48.4056</fb>
    <v>0</v>
  </rv>
  <rv s="0">
    <fb>47.857300000000002</fb>
    <v>0</v>
  </rv>
  <rv s="0">
    <fb>47.4955</fb>
    <v>0</v>
  </rv>
  <rv s="0">
    <fb>47.558799999999998</fb>
    <v>0</v>
  </rv>
  <rv s="0">
    <fb>47.273499999999999</fb>
    <v>0</v>
  </rv>
  <rv s="0">
    <fb>47.426200000000001</fb>
    <v>0</v>
  </rv>
  <rv s="0">
    <fb>47.475900000000003</fb>
    <v>0</v>
  </rv>
  <rv s="0">
    <fb>47.401200000000003</fb>
    <v>0</v>
  </rv>
  <rv s="0">
    <fb>47.4636</fb>
    <v>0</v>
  </rv>
  <rv s="0">
    <fb>47.412100000000002</fb>
    <v>0</v>
  </rv>
  <rv s="0">
    <fb>47.092599999999997</fb>
    <v>0</v>
  </rv>
  <rv s="0">
    <fb>46.753999999999998</fb>
    <v>0</v>
  </rv>
  <rv s="0">
    <fb>47.277099999999997</fb>
    <v>0</v>
  </rv>
  <rv s="0">
    <fb>47.265000000000001</fb>
    <v>0</v>
  </rv>
  <rv s="0">
    <fb>46.553100000000001</fb>
    <v>0</v>
  </rv>
  <rv s="0">
    <fb>46.839700000000001</fb>
    <v>0</v>
  </rv>
  <rv s="0">
    <fb>46.82</fb>
    <v>0</v>
  </rv>
  <rv s="0">
    <fb>46.791200000000003</fb>
    <v>0</v>
  </rv>
  <rv s="0">
    <fb>46.235900000000001</fb>
    <v>0</v>
  </rv>
  <rv s="0">
    <fb>45.719900000000003</fb>
    <v>0</v>
  </rv>
  <rv s="0">
    <fb>45.785499999999999</fb>
    <v>0</v>
  </rv>
  <rv s="0">
    <fb>45.186</fb>
    <v>0</v>
  </rv>
  <rv s="0">
    <fb>45.635599999999997</fb>
    <v>0</v>
  </rv>
  <rv s="0">
    <fb>45.527000000000001</fb>
    <v>0</v>
  </rv>
  <rv s="0">
    <fb>45.86</fb>
    <v>0</v>
  </rv>
  <rv s="0">
    <fb>45.75</fb>
    <v>0</v>
  </rv>
  <rv s="0">
    <fb>46.0032</fb>
    <v>0</v>
  </rv>
  <rv s="0">
    <fb>45.66</fb>
    <v>0</v>
  </rv>
  <rv s="0">
    <fb>45.838799999999999</fb>
    <v>0</v>
  </rv>
  <rv s="0">
    <fb>45.837200000000003</fb>
    <v>0</v>
  </rv>
  <rv s="0">
    <fb>45.43</fb>
    <v>0</v>
  </rv>
  <rv s="0">
    <fb>45.159199999999998</fb>
    <v>0</v>
  </rv>
  <rv s="0">
    <fb>45.103900000000003</fb>
    <v>0</v>
  </rv>
  <rv s="0">
    <fb>45.875700000000002</fb>
    <v>0</v>
  </rv>
  <rv s="0">
    <fb>45.944600000000001</fb>
    <v>0</v>
  </rv>
  <rv s="0">
    <fb>45.52</fb>
    <v>0</v>
  </rv>
  <rv s="0">
    <fb>45.888500000000001</fb>
    <v>0</v>
  </rv>
  <rv s="0">
    <fb>45.874499999999998</fb>
    <v>0</v>
  </rv>
  <rv s="0">
    <fb>45.430399999999999</fb>
    <v>0</v>
  </rv>
  <rv s="0">
    <fb>45.4985</fb>
    <v>0</v>
  </rv>
  <rv s="0">
    <fb>45.194400000000002</fb>
    <v>0</v>
  </rv>
  <rv s="0">
    <fb>44.905999999999999</fb>
    <v>0</v>
  </rv>
  <rv s="0">
    <fb>44.967500000000001</fb>
    <v>0</v>
  </rv>
  <rv s="0">
    <fb>43.972499999999997</fb>
    <v>0</v>
  </rv>
  <rv s="0">
    <fb>43.327100000000002</fb>
    <v>0</v>
  </rv>
  <rv s="0">
    <fb>43.277200000000001</fb>
    <v>0</v>
  </rv>
  <rv s="0">
    <fb>43.525599999999997</fb>
    <v>0</v>
  </rv>
  <rv s="0">
    <fb>42.710500000000003</fb>
    <v>0</v>
  </rv>
  <rv s="0">
    <fb>43.385100000000001</fb>
    <v>0</v>
  </rv>
  <rv s="0">
    <fb>43.99</fb>
    <v>0</v>
  </rv>
  <rv s="0">
    <fb>43.587000000000003</fb>
    <v>0</v>
  </rv>
  <rv s="0">
    <fb>44.061700000000002</fb>
    <v>0</v>
  </rv>
  <rv s="0">
    <fb>166.6</fb>
    <v>0</v>
  </rv>
  <rv s="0">
    <fb>160.52000000000001</fb>
    <v>0</v>
  </rv>
  <rv s="0">
    <fb>161.34</fb>
    <v>0</v>
  </rv>
  <rv s="0">
    <fb>164.22</fb>
    <v>0</v>
  </rv>
  <rv s="0">
    <fb>165.03</fb>
    <v>0</v>
  </rv>
  <rv s="0">
    <fb>164.67</fb>
    <v>0</v>
  </rv>
  <rv s="0">
    <fb>164.23</fb>
    <v>0</v>
  </rv>
  <rv s="0">
    <fb>163.41999999999999</fb>
    <v>0</v>
  </rv>
  <rv s="0">
    <fb>164.52</fb>
    <v>0</v>
  </rv>
  <rv s="0">
    <fb>166.3</fb>
    <v>0</v>
  </rv>
  <rv s="0">
    <fb>164.53</fb>
    <v>0</v>
  </rv>
  <rv s="0">
    <fb>164.05</fb>
    <v>0</v>
  </rv>
  <rv s="0">
    <fb>162.97</fb>
    <v>0</v>
  </rv>
  <rv s="0">
    <fb>161.24</fb>
    <v>0</v>
  </rv>
  <rv s="0">
    <fb>163.46</fb>
    <v>0</v>
  </rv>
  <rv s="0">
    <fb>169.89</fb>
    <v>0</v>
  </rv>
  <rv s="0">
    <fb>170.17</fb>
    <v>0</v>
  </rv>
  <rv s="0">
    <fb>172.59</fb>
    <v>0</v>
  </rv>
  <rv s="0">
    <fb>169.04</fb>
    <v>0</v>
  </rv>
  <rv s="0">
    <fb>169.61</fb>
    <v>0</v>
  </rv>
  <rv s="0">
    <fb>171.27</fb>
    <v>0</v>
  </rv>
  <rv s="0">
    <fb>167.65</fb>
    <v>0</v>
  </rv>
  <rv s="0">
    <fb>165.36</fb>
    <v>0</v>
  </rv>
  <rv s="0">
    <fb>165.69</fb>
    <v>0</v>
  </rv>
  <rv s="0">
    <fb>168.06</fb>
    <v>0</v>
  </rv>
  <rv s="0">
    <fb>169.07</fb>
    <v>0</v>
  </rv>
  <rv s="0">
    <fb>167.61</fb>
    <v>0</v>
  </rv>
  <rv s="0">
    <fb>169.3</fb>
    <v>0</v>
  </rv>
  <rv s="0">
    <fb>169.27</fb>
    <v>0</v>
  </rv>
  <rv s="0">
    <fb>168.67</fb>
    <v>0</v>
  </rv>
  <rv s="0">
    <fb>170.48</fb>
    <v>0</v>
  </rv>
  <rv s="0">
    <fb>171.35</fb>
    <v>0</v>
  </rv>
  <rv s="0">
    <fb>171.48</fb>
    <v>0</v>
  </rv>
  <rv s="0">
    <fb>170.69</fb>
    <v>0</v>
  </rv>
  <rv s="0">
    <fb>172.63</fb>
    <v>0</v>
  </rv>
  <rv s="0">
    <fb>173.27</fb>
    <v>0</v>
  </rv>
  <rv s="0">
    <fb>173.33</fb>
    <v>0</v>
  </rv>
  <rv s="0">
    <fb>173.28</fb>
    <v>0</v>
  </rv>
  <rv s="0">
    <fb>171.95</fb>
    <v>0</v>
  </rv>
  <rv s="0">
    <fb>171.47</fb>
    <v>0</v>
  </rv>
  <rv s="0">
    <fb>171.72</fb>
    <v>0</v>
  </rv>
  <rv s="0">
    <fb>167.84</fb>
    <v>0</v>
  </rv>
  <rv s="0">
    <fb>164.44</fb>
    <v>0</v>
  </rv>
  <rv s="0">
    <fb>169.12</fb>
    <v>0</v>
  </rv>
  <rv s="0">
    <fb>167.74</fb>
    <v>0</v>
  </rv>
  <rv s="0">
    <fb>167.05</fb>
    <v>0</v>
  </rv>
  <rv s="0">
    <fb>167.58</fb>
    <v>0</v>
  </rv>
  <rv s="0">
    <fb>170.8</fb>
    <v>0</v>
  </rv>
  <rv s="0">
    <fb>171.62</fb>
    <v>0</v>
  </rv>
  <rv s="0">
    <fb>170.42</fb>
    <v>0</v>
  </rv>
  <rv s="0">
    <fb>170.94</fb>
    <v>0</v>
  </rv>
  <rv s="0">
    <fb>171.64</fb>
    <v>0</v>
  </rv>
  <rv s="0">
    <fb>170.39</fb>
    <v>0</v>
  </rv>
  <rv s="0">
    <fb>170.53</fb>
    <v>0</v>
  </rv>
  <rv s="0">
    <fb>166.74</fb>
    <v>0</v>
  </rv>
  <rv s="0">
    <fb>170.81</fb>
    <v>0</v>
  </rv>
  <rv s="0">
    <fb>171.33</fb>
    <v>0</v>
  </rv>
  <rv s="0">
    <fb>171.04</fb>
    <v>0</v>
  </rv>
  <rv s="0">
    <fb>161.69999999999999</fb>
    <v>0</v>
  </rv>
  <rv s="0">
    <fb>159.32</fb>
    <v>0</v>
  </rv>
  <rv s="0">
    <fb>158.36000000000001</fb>
    <v>0</v>
  </rv>
  <rv s="0">
    <fb>164.49</fb>
    <v>0</v>
  </rv>
  <rv s="0">
    <fb>163.38999999999999</fb>
    <v>0</v>
  </rv>
  <rv s="0">
    <fb>165.48</fb>
    <v>0</v>
  </rv>
  <rv s="0">
    <fb>168.34</fb>
    <v>0</v>
  </rv>
  <rv s="0">
    <fb>168.47</fb>
    <v>0</v>
  </rv>
  <rv s="0">
    <fb>166.94</fb>
    <v>0</v>
  </rv>
  <rv s="0">
    <fb>168.78</fb>
    <v>0</v>
  </rv>
  <rv s="0">
    <fb>164.82</fb>
    <v>0</v>
  </rv>
  <rv s="0">
    <fb>169.23</fb>
    <v>0</v>
  </rv>
  <rv s="0">
    <fb>170</fb>
    <v>0</v>
  </rv>
  <rv s="0">
    <fb>169.35</fb>
    <v>0</v>
  </rv>
  <rv s="0">
    <fb>170.57</fb>
    <v>0</v>
  </rv>
  <rv s="0">
    <fb>170.99</fb>
    <v>0</v>
  </rv>
  <rv s="0">
    <fb>171.52</fb>
    <v>0</v>
  </rv>
  <rv s="0">
    <fb>174.79</fb>
    <v>0</v>
  </rv>
  <rv s="0">
    <fb>173.39</fb>
    <v>0</v>
  </rv>
  <rv s="0">
    <fb>173.52</fb>
    <v>0</v>
  </rv>
  <rv s="0">
    <fb>172.03</fb>
    <v>0</v>
  </rv>
  <rv s="0">
    <fb>175.11</fb>
    <v>0</v>
  </rv>
  <rv s="0">
    <fb>177.57</fb>
    <v>0</v>
  </rv>
  <rv s="0">
    <fb>178.39</fb>
    <v>0</v>
  </rv>
  <rv s="0">
    <fb>178.82</fb>
    <v>0</v>
  </rv>
  <rv s="0">
    <fb>175.48</fb>
    <v>0</v>
  </rv>
  <rv s="0">
    <fb>173.06</fb>
    <v>0</v>
  </rv>
  <rv s="0">
    <fb>176.67</fb>
    <v>0</v>
  </rv>
  <rv s="0">
    <fb>174</fb>
    <v>0</v>
  </rv>
  <rv s="0">
    <fb>176.96</fb>
    <v>0</v>
  </rv>
  <rv s="0">
    <fb>177.52</fb>
    <v>0</v>
  </rv>
  <rv s="0">
    <fb>177.89</fb>
    <v>0</v>
  </rv>
  <rv s="0">
    <fb>175.3</fb>
    <v>0</v>
  </rv>
  <rv s="0">
    <fb>174.43</fb>
    <v>0</v>
  </rv>
  <rv s="0">
    <fb>176.05</fb>
    <v>0</v>
  </rv>
  <rv s="0">
    <fb>173.94</fb>
    <v>0</v>
  </rv>
  <rv s="0">
    <fb>174.46</fb>
    <v>0</v>
  </rv>
  <rv s="0">
    <fb>174.74</fb>
    <v>0</v>
  </rv>
  <rv s="0">
    <fb>177</fb>
    <v>0</v>
  </rv>
  <rv s="0">
    <fb>175.29</fb>
    <v>0</v>
  </rv>
  <rv s="0">
    <fb>175.45</fb>
    <v>0</v>
  </rv>
  <rv s="0">
    <fb>175.86</fb>
    <v>0</v>
  </rv>
  <rv s="0">
    <fb>176.51</fb>
    <v>0</v>
  </rv>
  <rv s="0">
    <fb>175.62</fb>
    <v>0</v>
  </rv>
  <rv s="0">
    <fb>176.97</fb>
    <v>0</v>
  </rv>
  <rv s="0">
    <fb>177.17</fb>
    <v>0</v>
  </rv>
  <rv s="0">
    <fb>175.42</fb>
    <v>0</v>
  </rv>
  <rv s="0">
    <fb>178.95</fb>
    <v>0</v>
  </rv>
  <rv s="0">
    <fb>177.11</fb>
    <v>0</v>
  </rv>
  <rv s="0">
    <fb>177.29</fb>
    <v>0</v>
  </rv>
  <rv s="0">
    <fb>177.92</fb>
    <v>0</v>
  </rv>
  <rv s="0">
    <fb>181.1</fb>
    <v>0</v>
  </rv>
  <rv s="0">
    <fb>181.59</fb>
    <v>0</v>
  </rv>
  <rv s="0">
    <fb>183.76</fb>
    <v>0</v>
  </rv>
  <rv s="0">
    <fb>182.52</fb>
    <v>0</v>
  </rv>
  <rv s="0">
    <fb>182.66</fb>
    <v>0</v>
  </rv>
  <rv s="0">
    <fb>182.78</fb>
    <v>0</v>
  </rv>
  <rv s="0">
    <fb>184.1</fb>
    <v>0</v>
  </rv>
  <rv s="0">
    <fb>185.24</fb>
    <v>0</v>
  </rv>
  <rv s="0">
    <fb>185.3</fb>
    <v>0</v>
  </rv>
  <rv s="0">
    <fb>188.61</fb>
    <v>0</v>
  </rv>
  <rv s="0">
    <fb>186.74</fb>
    <v>0</v>
  </rv>
  <rv s="0">
    <fb>185.22</fb>
    <v>0</v>
  </rv>
  <rv s="0">
    <fb>186.28</fb>
    <v>0</v>
  </rv>
  <rv s="0">
    <fb>185.75</fb>
    <v>0</v>
  </rv>
  <rv s="0">
    <fb>186.61</fb>
    <v>0</v>
  </rv>
  <rv s="0">
    <fb>187.07</fb>
    <v>0</v>
  </rv>
  <rv s="0">
    <fb>185.79</fb>
    <v>0</v>
  </rv>
  <rv s="0">
    <fb>184.33</fb>
    <v>0</v>
  </rv>
  <rv s="0">
    <fb>186.1</fb>
    <v>0</v>
  </rv>
  <rv s="0">
    <fb>186.24</fb>
    <v>0</v>
  </rv>
  <rv s="0">
    <fb>185.05</fb>
    <v>0</v>
  </rv>
  <rv s="0">
    <fb>186.15</fb>
    <v>0</v>
  </rv>
  <rv s="0">
    <fb>184.8</fb>
    <v>0</v>
  </rv>
  <rv s="0">
    <fb>182.69</fb>
    <v>0</v>
  </rv>
  <rv s="0">
    <fb>182.07</fb>
    <v>0</v>
  </rv>
  <rv s="0">
    <fb>181.48</fb>
    <v>0</v>
  </rv>
  <rv s="0">
    <fb>181.07</fb>
    <v>0</v>
  </rv>
  <rv s="0">
    <fb>179.16</fb>
    <v>0</v>
  </rv>
  <rv s="0">
    <fb>180.42</fb>
    <v>0</v>
  </rv>
  <rv s="0">
    <fb>183.2</fb>
    <v>0</v>
  </rv>
  <rv s="0">
    <fb>185.17</fb>
    <v>0</v>
  </rv>
  <rv s="0">
    <fb>182.5</fb>
    <v>0</v>
  </rv>
  <rv s="0">
    <fb>183.36</fb>
    <v>0</v>
  </rv>
  <rv s="0">
    <fb>184.91</fb>
    <v>0</v>
  </rv>
  <rv s="0">
    <fb>186.5</fb>
    <v>0</v>
  </rv>
  <rv s="0">
    <fb>187.51</fb>
    <v>0</v>
  </rv>
  <rv s="0">
    <fb>187.4</fb>
    <v>0</v>
  </rv>
  <rv s="0">
    <fb>185.61</fb>
    <v>0</v>
  </rv>
  <rv s="0">
    <fb>188.25</fb>
    <v>0</v>
  </rv>
  <rv s="0">
    <fb>188.91</fb>
    <v>0</v>
  </rv>
  <rv s="0">
    <fb>189.41</fb>
    <v>0</v>
  </rv>
  <rv s="0">
    <fb>192.83</fb>
    <v>0</v>
  </rv>
  <rv s="0">
    <fb>194.75</fb>
    <v>0</v>
  </rv>
  <rv s="0">
    <fb>195.5</fb>
    <v>0</v>
  </rv>
  <rv s="0">
    <fb>196.94</fb>
    <v>0</v>
  </rv>
  <rv s="0">
    <fb>197.28</fb>
    <v>0</v>
  </rv>
  <rv s="0">
    <fb>198.99</fb>
    <v>0</v>
  </rv>
  <rv s="0">
    <fb>201.45</fb>
    <v>0</v>
  </rv>
  <rv s="0">
    <fb>199.33</fb>
    <v>0</v>
  </rv>
  <rv s="0">
    <fb>198.69</fb>
    <v>0</v>
  </rv>
  <rv s="0">
    <fb>198.78</fb>
    <v>0</v>
  </rv>
  <rv s="0">
    <fb>196.44</fb>
    <v>0</v>
  </rv>
  <rv s="0">
    <fb>195.65</fb>
    <v>0</v>
  </rv>
  <rv s="0">
    <fb>198.11</fb>
    <v>0</v>
  </rv>
  <rv s="0">
    <fb>198.63</fb>
    <v>0</v>
  </rv>
  <rv s="0">
    <fb>195.43</fb>
    <v>0</v>
  </rv>
  <rv s="0">
    <fb>195.37</fb>
    <v>0</v>
  </rv>
  <rv s="0">
    <fb>194.31</fb>
    <v>0</v>
  </rv>
  <rv s="0">
    <fb>193.06</fb>
    <v>0</v>
  </rv>
  <rv s="0">
    <fb>192.73</fb>
    <v>0</v>
  </rv>
  <rv s="0">
    <fb>194.39</fb>
    <v>0</v>
  </rv>
  <rv s="0">
    <fb>194.43</fb>
    <v>0</v>
  </rv>
  <rv s="0">
    <fb>194.88</fb>
    <v>0</v>
  </rv>
  <rv s="0">
    <fb>192.27</fb>
    <v>0</v>
  </rv>
  <rv s="0">
    <fb>192.35</fb>
    <v>0</v>
  </rv>
  <rv s="0">
    <fb>48.98</fb>
    <v>0</v>
  </rv>
  <rv s="0">
    <fb>49.26</fb>
    <v>0</v>
  </rv>
  <rv s="0">
    <fb>48.77</fb>
    <v>0</v>
  </rv>
  <rv s="0">
    <fb>49.07</fb>
    <v>0</v>
  </rv>
  <rv s="0">
    <fb>48.6</fb>
    <v>0</v>
  </rv>
  <rv s="0">
    <fb>48.73</fb>
    <v>0</v>
  </rv>
  <rv s="0">
    <fb>50.74</fb>
    <v>0</v>
  </rv>
  <rv s="0">
    <fb>51.09</fb>
    <v>0</v>
  </rv>
  <rv s="0">
    <fb>49.35</fb>
    <v>0</v>
  </rv>
  <rv s="0">
    <fb>50.02</fb>
    <v>0</v>
  </rv>
  <rv s="0">
    <fb>50.89</fb>
    <v>0</v>
  </rv>
  <rv s="0">
    <fb>51.46</fb>
    <v>0</v>
  </rv>
  <rv s="0">
    <fb>51.69</fb>
    <v>0</v>
  </rv>
  <rv s="0">
    <fb>51.72</fb>
    <v>0</v>
  </rv>
  <rv s="0">
    <fb>50.42</fb>
    <v>0</v>
  </rv>
  <rv s="0">
    <fb>50.04</fb>
    <v>0</v>
  </rv>
  <rv s="0">
    <fb>49.95</fb>
    <v>0</v>
  </rv>
  <rv s="0">
    <fb>50.47</fb>
    <v>0</v>
  </rv>
  <rv s="0">
    <fb>51.3</fb>
    <v>0</v>
  </rv>
  <rv s="0">
    <fb>48.2</fb>
    <v>0</v>
  </rv>
  <rv s="0">
    <fb>47.46</fb>
    <v>0</v>
  </rv>
  <rv s="0">
    <fb>47.29</fb>
    <v>0</v>
  </rv>
  <rv s="0">
    <fb>50.25</fb>
    <v>0</v>
  </rv>
  <rv s="0">
    <fb>50.31</fb>
    <v>0</v>
  </rv>
  <rv s="0">
    <fb>50.45</fb>
    <v>0</v>
  </rv>
  <rv s="0">
    <fb>51.75</fb>
    <v>0</v>
  </rv>
  <rv s="0">
    <fb>51.42</fb>
    <v>0</v>
  </rv>
  <rv s="0">
    <fb>51.92</fb>
    <v>0</v>
  </rv>
  <rv s="0">
    <fb>52.27</fb>
    <v>0</v>
  </rv>
  <rv s="0">
    <fb>52.06</fb>
    <v>0</v>
  </rv>
  <rv s="0">
    <fb>51.78</fb>
    <v>0</v>
  </rv>
  <rv s="0">
    <fb>52.77</fb>
    <v>0</v>
  </rv>
  <rv s="0">
    <fb>52.75</fb>
    <v>0</v>
  </rv>
  <rv s="0">
    <fb>52.82</fb>
    <v>0</v>
  </rv>
  <rv s="0">
    <fb>53.37</fb>
    <v>0</v>
  </rv>
  <rv s="0">
    <fb>54.12</fb>
    <v>0</v>
  </rv>
  <rv s="0">
    <fb>54.4</fb>
    <v>0</v>
  </rv>
  <rv s="0">
    <fb>54.49</fb>
    <v>0</v>
  </rv>
  <rv s="0">
    <fb>54.55</fb>
    <v>0</v>
  </rv>
  <rv s="0">
    <fb>54.93</fb>
    <v>0</v>
  </rv>
  <rv s="0">
    <fb>55.23</fb>
    <v>0</v>
  </rv>
  <rv s="0">
    <fb>55.77</fb>
    <v>0</v>
  </rv>
  <rv s="0">
    <fb>55.66</fb>
    <v>0</v>
  </rv>
  <rv s="0">
    <fb>55.8</fb>
    <v>0</v>
  </rv>
  <rv s="0">
    <fb>55.4</fb>
    <v>0</v>
  </rv>
  <rv s="0">
    <fb>55.22</fb>
    <v>0</v>
  </rv>
  <rv s="0">
    <fb>55.19</fb>
    <v>0</v>
  </rv>
  <rv s="0">
    <fb>55.53</fb>
    <v>0</v>
  </rv>
  <rv s="0">
    <fb>54.91</fb>
    <v>0</v>
  </rv>
  <rv s="0">
    <fb>55.01</fb>
    <v>0</v>
  </rv>
  <rv s="0">
    <fb>55.11</fb>
    <v>0</v>
  </rv>
  <rv s="0">
    <fb>54.72</fb>
    <v>0</v>
  </rv>
  <rv s="0">
    <fb>54.52</fb>
    <v>0</v>
  </rv>
  <rv s="0">
    <fb>54.96</fb>
    <v>0</v>
  </rv>
  <rv s="0">
    <fb>55.39</fb>
    <v>0</v>
  </rv>
  <rv s="0">
    <fb>54.43</fb>
    <v>0</v>
  </rv>
  <rv s="0">
    <fb>54.59</fb>
    <v>0</v>
  </rv>
  <rv s="0">
    <fb>54.66</fb>
    <v>0</v>
  </rv>
  <rv s="0">
    <fb>55.56</fb>
    <v>0</v>
  </rv>
  <rv s="0">
    <fb>55.88</fb>
    <v>0</v>
  </rv>
  <rv s="0">
    <fb>55.32</fb>
    <v>0</v>
  </rv>
  <rv s="0">
    <fb>56.12</fb>
    <v>0</v>
  </rv>
  <rv s="0">
    <fb>56.34</fb>
    <v>0</v>
  </rv>
  <rv s="0">
    <fb>56.88</fb>
    <v>0</v>
  </rv>
  <rv s="0">
    <fb>58.28</fb>
    <v>0</v>
  </rv>
  <rv s="0">
    <fb>58.71</fb>
    <v>0</v>
  </rv>
  <rv s="0">
    <fb>58.81</fb>
    <v>0</v>
  </rv>
  <rv s="0">
    <fb>60.06</fb>
    <v>0</v>
  </rv>
  <rv s="0">
    <fb>59.24</fb>
    <v>0</v>
  </rv>
  <rv s="0">
    <fb>59.23</fb>
    <v>0</v>
  </rv>
  <rv s="0">
    <fb>58.53</fb>
    <v>0</v>
  </rv>
  <rv s="0">
    <fb>58.29</fb>
    <v>0</v>
  </rv>
  <rv s="0">
    <fb>57.96</fb>
    <v>0</v>
  </rv>
  <rv s="0">
    <fb>57.57</fb>
    <v>0</v>
  </rv>
  <rv s="0">
    <fb>57.58</fb>
    <v>0</v>
  </rv>
  <rv s="0">
    <fb>57.39</fb>
    <v>0</v>
  </rv>
  <rv s="0">
    <fb>57.44</fb>
    <v>0</v>
  </rv>
  <rv s="0">
    <fb>57.16</fb>
    <v>0</v>
  </rv>
  <rv s="0">
    <fb>57.95</fb>
    <v>0</v>
  </rv>
  <rv s="0">
    <fb>58.08</fb>
    <v>0</v>
  </rv>
  <rv s="0">
    <fb>57.31</fb>
    <v>0</v>
  </rv>
  <rv s="0">
    <fb>57.79</fb>
    <v>0</v>
  </rv>
  <rv s="0">
    <fb>98.21</fb>
    <v>0</v>
  </rv>
  <rv s="0">
    <fb>95.17</fb>
    <v>0</v>
  </rv>
  <rv s="0">
    <fb>96.42</fb>
    <v>0</v>
  </rv>
  <rv s="0">
    <fb>96.68</fb>
    <v>0</v>
  </rv>
  <rv s="0">
    <fb>96.74</fb>
    <v>0</v>
  </rv>
  <rv s="0">
    <fb>96.3</fb>
    <v>0</v>
  </rv>
  <rv s="0">
    <fb>97.66</fb>
    <v>0</v>
  </rv>
  <rv s="0">
    <fb>100.02</fb>
    <v>0</v>
  </rv>
  <rv s="0">
    <fb>101.64</fb>
    <v>0</v>
  </rv>
  <rv s="0">
    <fb>99.9</fb>
    <v>0</v>
  </rv>
  <rv s="0">
    <fb>97.82</fb>
    <v>0</v>
  </rv>
  <rv s="0">
    <fb>97.72</fb>
    <v>0</v>
  </rv>
  <rv s="0">
    <fb>99.46</fb>
    <v>0</v>
  </rv>
  <rv s="0">
    <fb>100.13</fb>
    <v>0</v>
  </rv>
  <rv s="0">
    <fb>99.93</fb>
    <v>0</v>
  </rv>
  <rv s="0">
    <fb>101.52</fb>
    <v>0</v>
  </rv>
  <rv s="0">
    <fb>101.27</fb>
    <v>0</v>
  </rv>
  <rv s="0">
    <fb>102.57</fb>
    <v>0</v>
  </rv>
  <rv s="0">
    <fb>102.55</fb>
    <v>0</v>
  </rv>
  <rv s="0">
    <fb>102.27</fb>
    <v>0</v>
  </rv>
  <rv s="0">
    <fb>101.89</fb>
    <v>0</v>
  </rv>
  <rv s="0">
    <fb>97.57</fb>
    <v>0</v>
  </rv>
  <rv s="0">
    <fb>100.16</fb>
    <v>0</v>
  </rv>
  <rv s="0">
    <fb>99.16</fb>
    <v>0</v>
  </rv>
  <rv s="0">
    <fb>101.54</fb>
    <v>0</v>
  </rv>
  <rv s="0">
    <fb>100.31</fb>
    <v>0</v>
  </rv>
  <rv s="0">
    <fb>100.39</fb>
    <v>0</v>
  </rv>
  <rv s="0">
    <fb>100.27</fb>
    <v>0</v>
  </rv>
  <rv s="0">
    <fb>101.75</fb>
    <v>0</v>
  </rv>
  <rv s="0">
    <fb>101.73</fb>
    <v>0</v>
  </rv>
  <rv s="0">
    <fb>93.98</fb>
    <v>0</v>
  </rv>
  <rv s="0">
    <fb>97.8</fb>
    <v>0</v>
  </rv>
  <rv s="0">
    <fb>100.21</fb>
    <v>0</v>
  </rv>
  <rv s="0">
    <fb>101.94</fb>
    <v>0</v>
  </rv>
  <rv s="0">
    <fb>101.72</fb>
    <v>0</v>
  </rv>
  <rv s="0">
    <fb>102.64</fb>
    <v>0</v>
  </rv>
  <rv s="0">
    <fb>103.49</fb>
    <v>0</v>
  </rv>
  <rv s="0">
    <fb>103.06</fb>
    <v>0</v>
  </rv>
  <rv s="0">
    <fb>103.21</fb>
    <v>0</v>
  </rv>
  <rv s="0">
    <fb>103.81</fb>
    <v>0</v>
  </rv>
  <rv s="0">
    <fb>102.94</fb>
    <v>0</v>
  </rv>
  <rv s="0">
    <fb>105.05</fb>
    <v>0</v>
  </rv>
  <rv s="0">
    <fb>104.32</fb>
    <v>0</v>
  </rv>
  <rv s="0">
    <fb>105.34</fb>
    <v>0</v>
  </rv>
  <rv s="0">
    <fb>104.2</fb>
    <v>0</v>
  </rv>
  <rv s="0">
    <fb>104.04</fb>
    <v>0</v>
  </rv>
  <rv s="0">
    <fb>104.57</fb>
    <v>0</v>
  </rv>
  <rv s="0">
    <fb>103.07</fb>
    <v>0</v>
  </rv>
  <rv s="0">
    <fb>104.36</fb>
    <v>0</v>
  </rv>
  <rv s="0">
    <fb>104.79</fb>
    <v>0</v>
  </rv>
  <rv s="0">
    <fb>104.03</fb>
    <v>0</v>
  </rv>
  <rv s="0">
    <fb>104.83</fb>
    <v>0</v>
  </rv>
  <rv s="0">
    <fb>103.84</fb>
    <v>0</v>
  </rv>
  <rv s="0">
    <fb>104.71</fb>
    <v>0</v>
  </rv>
  <rv s="0">
    <fb>104.81</fb>
    <v>0</v>
  </rv>
  <rv s="0">
    <fb>104.61</fb>
    <v>0</v>
  </rv>
  <rv s="0">
    <fb>105.4</fb>
    <v>0</v>
  </rv>
  <rv s="0">
    <fb>105.29</fb>
    <v>0</v>
  </rv>
  <rv s="0">
    <fb>104.74</fb>
    <v>0</v>
  </rv>
  <rv s="0">
    <fb>107.14</fb>
    <v>0</v>
  </rv>
  <rv s="0">
    <fb>108.47</fb>
    <v>0</v>
  </rv>
  <rv s="0">
    <fb>107.85</fb>
    <v>0</v>
  </rv>
  <rv s="0">
    <fb>108.07</fb>
    <v>0</v>
  </rv>
  <rv s="0">
    <fb>108.87</fb>
    <v>0</v>
  </rv>
  <rv s="0">
    <fb>109.27</fb>
    <v>0</v>
  </rv>
  <rv s="0">
    <fb>109.3</fb>
    <v>0</v>
  </rv>
  <rv s="0">
    <fb>110.03</fb>
    <v>0</v>
  </rv>
  <rv s="0">
    <fb>109.21</fb>
    <v>0</v>
  </rv>
  <rv s="0">
    <fb>110.34</fb>
    <v>0</v>
  </rv>
  <rv s="0">
    <fb>109.91</fb>
    <v>0</v>
  </rv>
  <rv s="0">
    <fb>109.7</fb>
    <v>0</v>
  </rv>
  <rv s="0">
    <fb>110.1</fb>
    <v>0</v>
  </rv>
  <rv s="0">
    <fb>109.33</fb>
    <v>0</v>
  </rv>
  <rv s="0">
    <fb>109.01</fb>
    <v>0</v>
  </rv>
  <rv s="0">
    <fb>109.69</fb>
    <v>0</v>
  </rv>
  <rv s="0">
    <fb>109.75</fb>
    <v>0</v>
  </rv>
  <rv s="0">
    <fb>108.27</fb>
    <v>0</v>
  </rv>
  <rv s="0">
    <fb>106.48</fb>
    <v>0</v>
  </rv>
  <rv s="0">
    <fb>105.44</fb>
    <v>0</v>
  </rv>
  <rv s="0">
    <fb>107.64</fb>
    <v>0</v>
  </rv>
  <rv s="0">
    <fb>108.75</fb>
    <v>0</v>
  </rv>
  <rv s="0">
    <fb>108.8</fb>
    <v>0</v>
  </rv>
  <rv s="0">
    <fb>106.83</fb>
    <v>0</v>
  </rv>
  <rv s="0">
    <fb>107.49</fb>
    <v>0</v>
  </rv>
  <rv s="0">
    <fb>108.93</fb>
    <v>0</v>
  </rv>
  <rv s="0">
    <fb>108.65</fb>
    <v>0</v>
  </rv>
  <rv s="0">
    <fb>110.28</fb>
    <v>0</v>
  </rv>
  <rv s="0">
    <fb>111.71</fb>
    <v>0</v>
  </rv>
  <rv s="0">
    <fb>112.54</fb>
    <v>0</v>
  </rv>
  <rv s="0">
    <fb>113.47</fb>
    <v>0</v>
  </rv>
  <rv s="0">
    <fb>113.96</fb>
    <v>0</v>
  </rv>
  <rv s="0">
    <fb>114.8</fb>
    <v>0</v>
  </rv>
  <rv s="0">
    <fb>114.41</fb>
    <v>0</v>
  </rv>
  <rv s="0">
    <fb>113.93</fb>
    <v>0</v>
  </rv>
  <rv s="0">
    <fb>115.56</fb>
    <v>0</v>
  </rv>
  <rv s="0">
    <fb>116.84</fb>
    <v>0</v>
  </rv>
  <rv s="0">
    <fb>115.75</fb>
    <v>0</v>
  </rv>
  <rv s="0">
    <fb>114.25</fb>
    <v>0</v>
  </rv>
  <rv s="0">
    <fb>114.06</fb>
    <v>0</v>
  </rv>
  <rv s="0">
    <fb>113.94</fb>
    <v>0</v>
  </rv>
  <rv s="0">
    <fb>115.18</fb>
    <v>0</v>
  </rv>
  <rv s="0">
    <fb>115.35</fb>
    <v>0</v>
  </rv>
  <rv s="0">
    <fb>113.35</fb>
    <v>0</v>
  </rv>
  <rv s="0">
    <fb>112.93</fb>
    <v>0</v>
  </rv>
  <rv s="0">
    <fb>112.62</fb>
    <v>0</v>
  </rv>
  <rv s="0">
    <fb>111.83</fb>
    <v>0</v>
  </rv>
  <rv s="0">
    <fb>111.55</fb>
    <v>0</v>
  </rv>
  <rv s="0">
    <fb>111.15</fb>
    <v>0</v>
  </rv>
  <rv s="0">
    <fb>112.53</fb>
    <v>0</v>
  </rv>
  <rv s="0">
    <fb>112.49</fb>
    <v>0</v>
  </rv>
  <rv s="0">
    <fb>112.79</fb>
    <v>0</v>
  </rv>
  <rv s="0">
    <fb>111.44</fb>
    <v>0</v>
  </rv>
  <rv s="0">
    <fb>111.7</fb>
    <v>0</v>
  </rv>
  <rv s="0">
    <fb>112.56</fb>
    <v>0</v>
  </rv>
  <rv s="0">
    <fb>46.33</fb>
    <v>0</v>
  </rv>
  <rv s="0">
    <fb>44.35</fb>
    <v>0</v>
  </rv>
  <rv s="0">
    <fb>43.93</fb>
    <v>0</v>
  </rv>
  <rv s="0">
    <fb>44.41</fb>
    <v>0</v>
  </rv>
  <rv s="0">
    <fb>46.87</fb>
    <v>0</v>
  </rv>
  <rv s="0">
    <fb>47.01</fb>
    <v>0</v>
  </rv>
  <rv s="0">
    <fb>49.63</fb>
    <v>0</v>
  </rv>
  <rv s="0">
    <fb>48.86</fb>
    <v>0</v>
  </rv>
  <rv s="0">
    <fb>48.41</fb>
    <v>0</v>
  </rv>
  <rv s="0">
    <fb>47.84</fb>
    <v>0</v>
  </rv>
  <rv s="0">
    <fb>47.38</fb>
    <v>0</v>
  </rv>
  <rv s="0">
    <fb>47.47</fb>
    <v>0</v>
  </rv>
  <rv s="0">
    <fb>47.77</fb>
    <v>0</v>
  </rv>
  <rv s="0">
    <fb>46.46</fb>
    <v>0</v>
  </rv>
  <rv s="0">
    <fb>46.76</fb>
    <v>0</v>
  </rv>
  <rv s="0">
    <fb>46.94</fb>
    <v>0</v>
  </rv>
  <rv s="0">
    <fb>47.06</fb>
    <v>0</v>
  </rv>
  <rv s="0">
    <fb>49.08</fb>
    <v>0</v>
  </rv>
  <rv s="0">
    <fb>48.05</fb>
    <v>0</v>
  </rv>
  <rv s="0">
    <fb>47.1</fb>
    <v>0</v>
  </rv>
  <rv s="0">
    <fb>47.22</fb>
    <v>0</v>
  </rv>
  <rv s="0">
    <fb>46.24</fb>
    <v>0</v>
  </rv>
  <rv s="0">
    <fb>45.82</fb>
    <v>0</v>
  </rv>
  <rv s="0">
    <fb>48.57</fb>
    <v>0</v>
  </rv>
  <rv s="0">
    <fb>49.18</fb>
    <v>0</v>
  </rv>
  <rv s="0">
    <fb>49.54</fb>
    <v>0</v>
  </rv>
  <rv s="0">
    <fb>40.36</fb>
    <v>0</v>
  </rv>
  <rv s="0">
    <fb>43.56</fb>
    <v>0</v>
  </rv>
  <rv s="0">
    <fb>42.98</fb>
    <v>0</v>
  </rv>
  <rv s="0">
    <fb>43.67</fb>
    <v>0</v>
  </rv>
  <rv s="0">
    <fb>43.66</fb>
    <v>0</v>
  </rv>
  <rv s="0">
    <fb>42.7</fb>
    <v>0</v>
  </rv>
  <rv s="0">
    <fb>45.54</fb>
    <v>0</v>
  </rv>
  <rv s="0">
    <fb>45.41</fb>
    <v>0</v>
  </rv>
  <rv s="0">
    <fb>44.83</fb>
    <v>0</v>
  </rv>
  <rv s="0">
    <fb>44.44</fb>
    <v>0</v>
  </rv>
  <rv s="0">
    <fb>43.43</fb>
    <v>0</v>
  </rv>
  <rv s="0">
    <fb>43.7</fb>
    <v>0</v>
  </rv>
  <rv s="0">
    <fb>44.47</fb>
    <v>0</v>
  </rv>
  <rv s="0">
    <fb>43.64</fb>
    <v>0</v>
  </rv>
  <rv s="0">
    <fb>44.45</fb>
    <v>0</v>
  </rv>
  <rv s="0">
    <fb>45.88</fb>
    <v>0</v>
  </rv>
  <rv s="0">
    <fb>46.06</fb>
    <v>0</v>
  </rv>
  <rv s="0">
    <fb>46.77</fb>
    <v>0</v>
  </rv>
  <rv s="0">
    <fb>46.48</fb>
    <v>0</v>
  </rv>
  <rv s="0">
    <fb>46.9</fb>
    <v>0</v>
  </rv>
  <rv s="0">
    <fb>46.37</fb>
    <v>0</v>
  </rv>
  <rv s="0">
    <fb>47.02</fb>
    <v>0</v>
  </rv>
  <rv s="0">
    <fb>46.17</fb>
    <v>0</v>
  </rv>
  <rv s="0">
    <fb>45.74</fb>
    <v>0</v>
  </rv>
  <rv s="0">
    <fb>46.03</fb>
    <v>0</v>
  </rv>
  <rv s="0">
    <fb>45.77</fb>
    <v>0</v>
  </rv>
  <rv s="0">
    <fb>46.42</fb>
    <v>0</v>
  </rv>
  <rv s="0">
    <fb>46.23</fb>
    <v>0</v>
  </rv>
  <rv s="0">
    <fb>46.35</fb>
    <v>0</v>
  </rv>
  <rv s="0">
    <fb>45.13</fb>
    <v>0</v>
  </rv>
  <rv s="0">
    <fb>45.18</fb>
    <v>0</v>
  </rv>
  <rv s="0">
    <fb>45.33</fb>
    <v>0</v>
  </rv>
  <rv s="0">
    <fb>45.32</fb>
    <v>0</v>
  </rv>
  <rv s="0">
    <fb>45.97</fb>
    <v>0</v>
  </rv>
  <rv s="0">
    <fb>46.91</fb>
    <v>0</v>
  </rv>
  <rv s="0">
    <fb>47.04</fb>
    <v>0</v>
  </rv>
  <rv s="0">
    <fb>47.45</fb>
    <v>0</v>
  </rv>
  <rv s="0">
    <fb>48.03</fb>
    <v>0</v>
  </rv>
  <rv s="0">
    <fb>48.12</fb>
    <v>0</v>
  </rv>
  <rv s="0">
    <fb>47.12</fb>
    <v>0</v>
  </rv>
  <rv s="0">
    <fb>46.99</fb>
    <v>0</v>
  </rv>
  <rv s="0">
    <fb>46.71</fb>
    <v>0</v>
  </rv>
  <rv s="0">
    <fb>48.08</fb>
    <v>0</v>
  </rv>
  <rv s="0">
    <fb>47.55</fb>
    <v>0</v>
  </rv>
  <rv s="0">
    <fb>47.62</fb>
    <v>0</v>
  </rv>
  <rv s="0">
    <fb>45.39</fb>
    <v>0</v>
  </rv>
  <rv s="0">
    <fb>45.95</fb>
    <v>0</v>
  </rv>
  <rv s="0">
    <fb>46.01</fb>
    <v>0</v>
  </rv>
  <rv s="0">
    <fb>46.19</fb>
    <v>0</v>
  </rv>
  <rv s="0">
    <fb>46.08</fb>
    <v>0</v>
  </rv>
  <rv s="0">
    <fb>47.28</fb>
    <v>0</v>
  </rv>
  <rv s="0">
    <fb>46.81</fb>
    <v>0</v>
  </rv>
  <rv s="0">
    <fb>46.97</fb>
    <v>0</v>
  </rv>
  <rv s="0">
    <fb>47.95</fb>
    <v>0</v>
  </rv>
  <rv s="0">
    <fb>123.1</fb>
    <v>0</v>
  </rv>
  <rv s="0">
    <fb>122.1</fb>
    <v>0</v>
  </rv>
  <rv s="0">
    <fb>117.74</fb>
    <v>0</v>
  </rv>
  <rv s="0">
    <fb>116.67</fb>
    <v>0</v>
  </rv>
  <rv s="0">
    <fb>119.37</fb>
    <v>0</v>
  </rv>
  <rv s="0">
    <fb>119.25</fb>
    <v>0</v>
  </rv>
  <rv s="0">
    <fb>119.27</fb>
    <v>0</v>
  </rv>
  <rv s="0">
    <fb>119.65</fb>
    <v>0</v>
  </rv>
  <rv s="0">
    <fb>121.31</fb>
    <v>0</v>
  </rv>
  <rv s="0">
    <fb>122.78</fb>
    <v>0</v>
  </rv>
  <rv s="0">
    <fb>123.83</fb>
    <v>0</v>
  </rv>
  <rv s="0">
    <fb>123.4</fb>
    <v>0</v>
  </rv>
  <rv s="0">
    <fb>124.55</fb>
    <v>0</v>
  </rv>
  <rv s="0">
    <fb>125.02</fb>
    <v>0</v>
  </rv>
  <rv s="0">
    <fb>127.69</fb>
    <v>0</v>
  </rv>
  <rv s="0">
    <fb>130.99</fb>
    <v>0</v>
  </rv>
  <rv s="0">
    <fb>131.85</fb>
    <v>0</v>
  </rv>
  <rv s="0">
    <fb>132.76</fb>
    <v>0</v>
  </rv>
  <rv s="0">
    <fb>131.93</fb>
    <v>0</v>
  </rv>
  <rv s="0">
    <fb>129.56</fb>
    <v>0</v>
  </rv>
  <rv s="0">
    <fb>130.04</fb>
    <v>0</v>
  </rv>
  <rv s="0">
    <fb>128.86000000000001</fb>
    <v>0</v>
  </rv>
  <rv s="0">
    <fb>126.03</fb>
    <v>0</v>
  </rv>
  <rv s="0">
    <fb>126.28</fb>
    <v>0</v>
  </rv>
  <rv s="0">
    <fb>126.83</fb>
    <v>0</v>
  </rv>
  <rv s="0">
    <fb>123.63</fb>
    <v>0</v>
  </rv>
  <rv s="0">
    <fb>124.09</fb>
    <v>0</v>
  </rv>
  <rv s="0">
    <fb>126.75</fb>
    <v>0</v>
  </rv>
  <rv s="0">
    <fb>126.94</fb>
    <v>0</v>
  </rv>
  <rv s="0">
    <fb>124.54</fb>
    <v>0</v>
  </rv>
  <rv s="0">
    <fb>124.46</fb>
    <v>0</v>
  </rv>
  <rv s="0">
    <fb>127.3</fb>
    <v>0</v>
  </rv>
  <rv s="0">
    <fb>128.15</fb>
    <v>0</v>
  </rv>
  <rv s="0">
    <fb>124.98</fb>
    <v>0</v>
  </rv>
  <rv s="0">
    <fb>126.31</fb>
    <v>0</v>
  </rv>
  <rv s="0">
    <fb>127</fb>
    <v>0</v>
  </rv>
  <rv s="0">
    <fb>126.91</fb>
    <v>0</v>
  </rv>
  <rv s="0">
    <fb>124.93</fb>
    <v>0</v>
  </rv>
  <rv s="0">
    <fb>124.66</fb>
    <v>0</v>
  </rv>
  <rv s="0">
    <fb>126.6</fb>
    <v>0</v>
  </rv>
  <rv s="0">
    <fb>121.82</fb>
    <v>0</v>
  </rv>
  <rv s="0">
    <fb>120.85</fb>
    <v>0</v>
  </rv>
  <rv s="0">
    <fb>119.14</fb>
    <v>0</v>
  </rv>
  <rv s="0">
    <fb>119.3</fb>
    <v>0</v>
  </rv>
  <rv s="0">
    <fb>121.24</fb>
    <v>0</v>
  </rv>
  <rv s="0">
    <fb>121.81</fb>
    <v>0</v>
  </rv>
  <rv s="0">
    <fb>121.12</fb>
    <v>0</v>
  </rv>
  <rv s="0">
    <fb>120.86</fb>
    <v>0</v>
  </rv>
  <rv s="0">
    <fb>124.38</fb>
    <v>0</v>
  </rv>
  <rv s="0">
    <fb>126.5</fb>
    <v>0</v>
  </rv>
  <rv s="0">
    <fb>128.97999999999999</fb>
    <v>0</v>
  </rv>
  <rv s="0">
    <fb>129.37</fb>
    <v>0</v>
  </rv>
  <rv s="0">
    <fb>128.38999999999999</fb>
    <v>0</v>
  </rv>
  <rv s="0">
    <fb>129.97999999999999</fb>
    <v>0</v>
  </rv>
  <rv s="0">
    <fb>130.25</fb>
    <v>0</v>
  </rv>
  <rv s="0">
    <fb>128.4</fb>
    <v>0</v>
  </rv>
  <rv s="0">
    <fb>129.71</fb>
    <v>0</v>
  </rv>
  <rv s="0">
    <fb>130.35</fb>
    <v>0</v>
  </rv>
  <rv s="0">
    <fb>130.56</fb>
    <v>0</v>
  </rv>
  <rv s="0">
    <fb>120.29</fb>
    <v>0</v>
  </rv>
  <rv s="0">
    <fb>105.87</fb>
    <v>0</v>
  </rv>
  <rv s="0">
    <fb>110.79</fb>
    <v>0</v>
  </rv>
  <rv s="0">
    <fb>113.43</fb>
    <v>0</v>
  </rv>
  <rv s="0">
    <fb>112.87</fb>
    <v>0</v>
  </rv>
  <rv s="0">
    <fb>114.65</fb>
    <v>0</v>
  </rv>
  <rv s="0">
    <fb>114.63</fb>
    <v>0</v>
  </rv>
  <rv s="0">
    <fb>115.44</fb>
    <v>0</v>
  </rv>
  <rv s="0">
    <fb>114.99</fb>
    <v>0</v>
  </rv>
  <rv s="0">
    <fb>111.92</fb>
    <v>0</v>
  </rv>
  <rv s="0">
    <fb>112.65</fb>
    <v>0</v>
  </rv>
  <rv s="0">
    <fb>112.37</fb>
    <v>0</v>
  </rv>
  <rv s="0">
    <fb>114.18</fb>
    <v>0</v>
  </rv>
  <rv s="0">
    <fb>115.31</fb>
    <v>0</v>
  </rv>
  <rv s="0">
    <fb>119.94</fb>
    <v>0</v>
  </rv>
  <rv s="0">
    <fb>119.32</fb>
    <v>0</v>
  </rv>
  <rv s="0">
    <fb>117.85</fb>
    <v>0</v>
  </rv>
  <rv s="0">
    <fb>116.78</fb>
    <v>0</v>
  </rv>
  <rv s="0">
    <fb>114.19</fb>
    <v>0</v>
  </rv>
  <rv s="0">
    <fb>115.74</fb>
    <v>0</v>
  </rv>
  <rv s="0">
    <fb>115.09</fb>
    <v>0</v>
  </rv>
  <rv s="0">
    <fb>114.21</fb>
    <v>0</v>
  </rv>
  <rv s="0">
    <fb>117.22</fb>
    <v>0</v>
  </rv>
  <rv s="0">
    <fb>115.04</fb>
    <v>0</v>
  </rv>
  <rv s="0">
    <fb>117.34</fb>
    <v>0</v>
  </rv>
  <rv s="0">
    <fb>121.58</fb>
    <v>0</v>
  </rv>
  <rv s="0">
    <fb>123.76</fb>
    <v>0</v>
  </rv>
  <rv s="0">
    <fb>123.47</fb>
    <v>0</v>
  </rv>
  <rv s="0">
    <fb>123.88</fb>
    <v>0</v>
  </rv>
  <rv s="0">
    <fb>121.64</fb>
    <v>0</v>
  </rv>
  <rv s="0">
    <fb>120.31</fb>
    <v>0</v>
  </rv>
  <rv s="0">
    <fb>119.64</fb>
    <v>0</v>
  </rv>
  <rv s="0">
    <fb>120.38</fb>
    <v>0</v>
  </rv>
  <rv s="0">
    <fb>119.79</fb>
    <v>0</v>
  </rv>
  <rv s="0">
    <fb>119.12</fb>
    <v>0</v>
  </rv>
  <rv s="0">
    <fb>121.98</fb>
    <v>0</v>
  </rv>
  <rv s="0">
    <fb>122.22</fb>
    <v>0</v>
  </rv>
  <rv s="0">
    <fb>120.96</fb>
    <v>0</v>
  </rv>
  <rv s="0">
    <fb>124.11</fb>
    <v>0</v>
  </rv>
  <rv s="0">
    <fb>124.42</fb>
    <v>0</v>
  </rv>
  <rv s="0">
    <fb>123.8</fb>
    <v>0</v>
  </rv>
  <rv s="0">
    <fb>121.91</fb>
    <v>0</v>
  </rv>
  <rv s="0">
    <fb>120.76</fb>
    <v>0</v>
  </rv>
  <rv s="0">
    <fb>121.63</fb>
    <v>0</v>
  </rv>
  <rv s="0">
    <fb>120.89</fb>
    <v>0</v>
  </rv>
  <rv s="0">
    <fb>119.96</fb>
    <v>0</v>
  </rv>
  <rv s="0">
    <fb>121.92</fb>
    <v>0</v>
  </rv>
  <rv s="0">
    <fb>122.83</fb>
    <v>0</v>
  </rv>
  <rv s="0">
    <fb>122.23</fb>
    <v>0</v>
  </rv>
  <rv s="0">
    <fb>123.75</fb>
    <v>0</v>
  </rv>
  <rv s="0">
    <fb>124.87</fb>
    <v>0</v>
  </rv>
  <rv s="0">
    <fb>122.45</fb>
    <v>0</v>
  </rv>
  <rv s="0">
    <fb>120.13</fb>
    <v>0</v>
  </rv>
  <rv s="0">
    <fb>120.24</fb>
    <v>0</v>
  </rv>
  <rv s="0">
    <fb>119.19</fb>
    <v>0</v>
  </rv>
  <rv s="0">
    <fb>118.67</fb>
    <v>0</v>
  </rv>
  <rv s="0">
    <fb>119.28</fb>
    <v>0</v>
  </rv>
  <rv s="0">
    <fb>119.09</fb>
    <v>0</v>
  </rv>
  <rv s="0">
    <fb>120.36</fb>
    <v>0</v>
  </rv>
  <rv s="0">
    <fb>120.23</fb>
    <v>0</v>
  </rv>
  <rv s="0">
    <fb>120.07</fb>
    <v>0</v>
  </rv>
  <rv s="0">
    <fb>119.29</fb>
    <v>0</v>
  </rv>
  <rv s="0">
    <fb>121.23</fb>
    <v>0</v>
  </rv>
  <rv s="0">
    <fb>123.78</fb>
    <v>0</v>
  </rv>
  <rv s="0">
    <fb>124.17</fb>
    <v>0</v>
  </rv>
  <rv s="0">
    <fb>123.96</fb>
    <v>0</v>
  </rv>
  <rv s="0">
    <fb>125.35</fb>
    <v>0</v>
  </rv>
  <rv s="0">
    <fb>126.89</fb>
    <v>0</v>
  </rv>
  <rv s="0">
    <fb>127.17</fb>
    <v>0</v>
  </rv>
  <rv s="0">
    <fb>124.48</fb>
    <v>0</v>
  </rv>
  <rv s="0">
    <fb>125.36</fb>
    <v>0</v>
  </rv>
  <rv s="0">
    <fb>122.71</fb>
    <v>0</v>
  </rv>
  <rv s="0">
    <fb>123.32</fb>
    <v>0</v>
  </rv>
  <rv s="0">
    <fb>125.48</fb>
    <v>0</v>
  </rv>
  <rv s="0">
    <fb>125.46</fb>
    <v>0</v>
  </rv>
  <rv s="0">
    <fb>126.49</fb>
    <v>0</v>
  </rv>
  <rv s="0">
    <fb>126.7</fb>
    <v>0</v>
  </rv>
  <rv s="0">
    <fb>126.38</fb>
    <v>0</v>
  </rv>
  <rv s="0">
    <fb>124.64</fb>
    <v>0</v>
  </rv>
  <rv s="0">
    <fb>127.44</fb>
    <v>0</v>
  </rv>
  <rv s="0">
    <fb>129.65</fb>
    <v>0</v>
  </rv>
  <rv s="0">
    <fb>125.86</fb>
    <v>0</v>
  </rv>
  <rv s="0">
    <fb>126.05</fb>
    <v>0</v>
  </rv>
  <rv s="0">
    <fb>124.72</fb>
    <v>0</v>
  </rv>
  <rv s="0">
    <fb>125.57</fb>
    <v>0</v>
  </rv>
  <rv s="0">
    <fb>126.42</fb>
    <v>0</v>
  </rv>
  <rv s="0">
    <fb>125.92</fb>
    <v>0</v>
  </rv>
  <rv s="0">
    <fb>122.33</fb>
    <v>0</v>
  </rv>
  <rv s="0">
    <fb>122.15</fb>
    <v>0</v>
  </rv>
  <rv s="0">
    <fb>122.24</fb>
    <v>0</v>
  </rv>
  <rv s="0">
    <fb>120.61</fb>
    <v>0</v>
  </rv>
  <rv s="0">
    <fb>121.36</fb>
    <v>0</v>
  </rv>
  <rv s="0">
    <fb>123.77</fb>
    <v>0</v>
  </rv>
  <rv s="0">
    <fb>125.73</fb>
    <v>0</v>
  </rv>
  <rv s="0">
    <fb>124.6</fb>
    <v>0</v>
  </rv>
  <rv s="0">
    <fb>124.83</fb>
    <v>0</v>
  </rv>
  <rv s="0">
    <fb>123.65</fb>
    <v>0</v>
  </rv>
  <rv s="0">
    <fb>123.86</fb>
    <v>0</v>
  </rv>
  <rv s="0">
    <fb>123.17</fb>
    <v>0</v>
  </rv>
  <rv s="0">
    <fb>123.34</fb>
    <v>0</v>
  </rv>
  <rv s="0">
    <fb>126.16</fb>
    <v>0</v>
  </rv>
  <rv s="0">
    <fb>127.37</fb>
    <v>0</v>
  </rv>
  <rv s="0">
    <fb>129</fb>
    <v>0</v>
  </rv>
  <rv s="0">
    <fb>127.28</fb>
    <v>0</v>
  </rv>
  <rv s="0">
    <fb>129.34</fb>
    <v>0</v>
  </rv>
  <rv s="0">
    <fb>127.05</fb>
    <v>0</v>
  </rv>
  <rv s="0">
    <fb>132.4</fb>
    <v>0</v>
  </rv>
  <rv s="0">
    <fb>131.53</fb>
    <v>0</v>
  </rv>
  <rv s="0">
    <fb>127.09</fb>
    <v>0</v>
  </rv>
  <rv s="0">
    <fb>125.5</fb>
    <v>0</v>
  </rv>
  <rv s="0">
    <fb>128.33000000000001</fb>
    <v>0</v>
  </rv>
  <rv s="0">
    <fb>128.34</fb>
    <v>0</v>
  </rv>
  <rv s="0">
    <fb>128.54</fb>
    <v>0</v>
  </rv>
  <rv s="0">
    <fb>130.63</fb>
    <v>0</v>
  </rv>
  <rv s="0">
    <fb>132.37</fb>
    <v>0</v>
  </rv>
  <rv s="0">
    <fb>134.82</fb>
    <v>0</v>
  </rv>
  <rv s="0">
    <fb>135.57</fb>
    <v>0</v>
  </rv>
  <rv s="0">
    <fb>135.22999999999999</fb>
    <v>0</v>
  </rv>
  <rv s="0">
    <fb>137.66999999999999</fb>
    <v>0</v>
  </rv>
  <rv s="0">
    <fb>141.91</fb>
    <v>0</v>
  </rv>
  <rv s="0">
    <fb>142.88999999999999</fb>
    <v>0</v>
  </rv>
  <rv s="0">
    <fb>145.61000000000001</fb>
    <v>0</v>
  </rv>
  <rv s="0">
    <fb>145.88</fb>
    <v>0</v>
  </rv>
  <rv s="0">
    <fb>143.77000000000001</fb>
    <v>0</v>
  </rv>
  <rv s="0">
    <fb>142.46</fb>
    <v>0</v>
  </rv>
  <rv s="0">
    <fb>142.69999999999999</fb>
    <v>0</v>
  </rv>
  <rv s="0">
    <fb>140.74</fb>
    <v>0</v>
  </rv>
  <rv s="0">
    <fb>138.03</fb>
    <v>0</v>
  </rv>
  <rv s="0">
    <fb>138.13</fb>
    <v>0</v>
  </rv>
  <rv s="0">
    <fb>133.91</fb>
    <v>0</v>
  </rv>
  <rv s="0">
    <fb>137.16</fb>
    <v>0</v>
  </rv>
  <rv s="0">
    <fb>136.96</fb>
    <v>0</v>
  </rv>
  <rv s="0">
    <fb>133.25</fb>
    <v>0</v>
  </rv>
  <rv s="0">
    <fb>138.09</fb>
    <v>0</v>
  </rv>
  <rv s="0">
    <fb>135.58000000000001</fb>
    <v>0</v>
  </rv>
  <rv s="0">
    <fb>136.66999999999999</fb>
    <v>0</v>
  </rv>
  <rv s="0">
    <fb>138.24</fb>
    <v>0</v>
  </rv>
  <rv s="0">
    <fb>139.94</fb>
    <v>0</v>
  </rv>
  <rv s="0">
    <fb>139.69</fb>
    <v>0</v>
  </rv>
  <rv s="0">
    <fb>135.31</fb>
    <v>0</v>
  </rv>
  <rv s="0">
    <fb>131.63999999999999</fb>
    <v>0</v>
  </rv>
  <rv s="0">
    <fb>129.58000000000001</fb>
    <v>0</v>
  </rv>
  <rv s="0">
    <fb>130.91</fb>
    <v>0</v>
  </rv>
  <rv s="0">
    <fb>124.57</fb>
    <v>0</v>
  </rv>
  <rv s="0">
    <fb>123.87</fb>
    <v>0</v>
  </rv>
  <rv s="0">
    <fb>120.5</fb>
    <v>0</v>
  </rv>
  <rv s="0">
    <fb>122.56</fb>
    <v>0</v>
  </rv>
  <rv s="0">
    <fb>122.54</fb>
    <v>0</v>
  </rv>
  <rv s="0">
    <fb>124.44</fb>
    <v>0</v>
  </rv>
  <rv s="0">
    <fb>122.65</fb>
    <v>0</v>
  </rv>
  <rv s="0">
    <fb>126.93</fb>
    <v>0</v>
  </rv>
  <rv s="0">
    <fb>129.51</fb>
    <v>0</v>
  </rv>
  <rv s="0">
    <fb>133.36000000000001</fb>
    <v>0</v>
  </rv>
  <rv s="0">
    <fb>133.22999999999999</fb>
    <v>0</v>
  </rv>
  <rv s="0">
    <fb>131.36000000000001</fb>
    <v>0</v>
  </rv>
  <rv s="0">
    <fb>132.54</fb>
    <v>0</v>
  </rv>
  <rv s="0">
    <fb>133.15</fb>
    <v>0</v>
  </rv>
  <rv s="0">
    <fb>131.82</fb>
    <v>0</v>
  </rv>
  <rv s="0">
    <fb>130.68</fb>
    <v>0</v>
  </rv>
  <rv s="0">
    <fb>131.71</fb>
    <v>0</v>
  </rv>
  <rv s="0">
    <fb>132.44999999999999</fb>
    <v>0</v>
  </rv>
  <rv s="0">
    <fb>133.75</fb>
    <v>0</v>
  </rv>
  <rv s="0">
    <fb>106.25</fb>
    <v>0</v>
  </rv>
  <rv s="0">
    <fb>113.74</fb>
    <v>0</v>
  </rv>
  <rv s="0">
    <fb>104.39</fb>
    <v>0</v>
  </rv>
  <rv s="0">
    <fb>107.57</fb>
    <v>0</v>
  </rv>
  <rv s="0">
    <fb>108.89</fb>
    <v>0</v>
  </rv>
  <rv s="0">
    <fb>108.55</fb>
    <v>0</v>
  </rv>
  <rv s="0">
    <fb>111.22</fb>
    <v>0</v>
  </rv>
  <rv s="0">
    <fb>111.59</fb>
    <v>0</v>
  </rv>
  <rv s="0">
    <fb>112.77</fb>
    <v>0</v>
  </rv>
  <rv s="0">
    <fb>113.38</fb>
    <v>0</v>
  </rv>
  <rv s="0">
    <fb>114.7</fb>
    <v>0</v>
  </rv>
  <rv s="0">
    <fb>113.91</fb>
    <v>0</v>
  </rv>
  <rv s="0">
    <fb>112.7</fb>
    <v>0</v>
  </rv>
  <rv s="0">
    <fb>114.95</fb>
    <v>0</v>
  </rv>
  <rv s="0">
    <fb>112.96</fb>
    <v>0</v>
  </rv>
  <rv s="0">
    <fb>118.84</fb>
    <v>0</v>
  </rv>
  <rv s="0">
    <fb>123.27</fb>
    <v>0</v>
  </rv>
  <rv s="0">
    <fb>127.35</fb>
    <v>0</v>
  </rv>
  <rv s="0">
    <fb>126.73</fb>
    <v>0</v>
  </rv>
  <rv s="0">
    <fb>125.45</fb>
    <v>0</v>
  </rv>
  <rv s="0">
    <fb>124.16</fb>
    <v>0</v>
  </rv>
  <rv s="0">
    <fb>123.51</fb>
    <v>0</v>
  </rv>
  <rv s="0">
    <fb>120.8</fb>
    <v>0</v>
  </rv>
  <rv s="0">
    <fb>120.73</fb>
    <v>0</v>
  </rv>
  <rv s="0">
    <fb>120.84</fb>
    <v>0</v>
  </rv>
  <rv s="0">
    <fb>122.75</fb>
    <v>0</v>
  </rv>
  <rv s="0">
    <fb>120.64</fb>
    <v>0</v>
  </rv>
  <rv s="0">
    <fb>121.18</fb>
    <v>0</v>
  </rv>
  <rv s="0">
    <fb>119.55</fb>
    <v>0</v>
  </rv>
  <rv s="0">
    <fb>123.64</fb>
    <v>0</v>
  </rv>
  <rv s="0">
    <fb>123.23</fb>
    <v>0</v>
  </rv>
  <rv s="0">
    <fb>124.27</fb>
    <v>0</v>
  </rv>
  <rv s="0">
    <fb>126.1</fb>
    <v>0</v>
  </rv>
  <rv s="0">
    <fb>129.33000000000001</fb>
    <v>0</v>
  </rv>
  <rv s="0">
    <fb>132.78</fb>
    <v>0</v>
  </rv>
  <rv s="0">
    <fb>134.83000000000001</fb>
    <v>0</v>
  </rv>
  <rv s="0">
    <fb>128.96</fb>
    <v>0</v>
  </rv>
  <rv s="0">
    <fb>126.14</fb>
    <v>0</v>
  </rv>
  <rv s="0">
    <fb>127.78</fb>
    <v>0</v>
  </rv>
  <rv s="0">
    <fb>125.8</fb>
    <v>0</v>
  </rv>
  <rv s="0">
    <fb>126.88</fb>
    <v>0</v>
  </rv>
  <rv s="0">
    <fb>129.28</fb>
    <v>0</v>
  </rv>
  <rv s="0">
    <fb>129.16999999999999</fb>
    <v>0</v>
  </rv>
  <rv s="0">
    <fb>127.75</fb>
    <v>0</v>
  </rv>
  <rv s="0">
    <fb>130.71</fb>
    <v>0</v>
  </rv>
  <rv s="0">
    <fb>132.29</fb>
    <v>0</v>
  </rv>
  <rv s="0">
    <fb>133.07</fb>
    <v>0</v>
  </rv>
  <rv s="0">
    <fb>128.84</fb>
    <v>0</v>
  </rv>
  <rv s="0">
    <fb>126.74</fb>
    <v>0</v>
  </rv>
  <rv s="0">
    <fb>129.41</fb>
    <v>0</v>
  </rv>
  <rv s="0">
    <fb>126.17</fb>
    <v>0</v>
  </rv>
  <rv s="0">
    <fb>128.46</fb>
    <v>0</v>
  </rv>
  <rv s="0">
    <fb>128.79</fb>
    <v>0</v>
  </rv>
  <rv s="0">
    <fb>128.02000000000001</fb>
    <v>0</v>
  </rv>
  <rv s="0">
    <fb>130.93</fb>
    <v>0</v>
  </rv>
  <rv s="0">
    <fb>131.78</fb>
    <v>0</v>
  </rv>
  <rv s="0">
    <fb>129.69999999999999</fb>
    <v>0</v>
  </rv>
  <rv s="0">
    <fb>123.7</fb>
    <v>0</v>
  </rv>
  <rv s="0">
    <fb>125.04</fb>
    <v>0</v>
  </rv>
  <rv s="0">
    <fb>123.71</fb>
    <v>0</v>
  </rv>
  <rv s="0">
    <fb>122.99</fb>
    <v>0</v>
  </rv>
  <rv s="0">
    <fb>124.52</fb>
    <v>0</v>
  </rv>
  <rv s="0">
    <fb>123.48</fb>
    <v>0</v>
  </rv>
  <rv s="0">
    <fb>122.92</fb>
    <v>0</v>
  </rv>
  <rv s="0">
    <fb>124.36</fb>
    <v>0</v>
  </rv>
  <rv s="0">
    <fb>128.62</fb>
    <v>0</v>
  </rv>
  <rv s="0">
    <fb>129.96</fb>
    <v>0</v>
  </rv>
  <rv s="0">
    <fb>129.54</fb>
    <v>0</v>
  </rv>
  <rv s="0">
    <fb>131.4</fb>
    <v>0</v>
  </rv>
  <rv s="0">
    <fb>134.57</fb>
    <v>0</v>
  </rv>
  <rv s="0">
    <fb>130.84</fb>
    <v>0</v>
  </rv>
  <rv s="0">
    <fb>129.63999999999999</fb>
    <v>0</v>
  </rv>
  <rv s="0">
    <fb>128.69</fb>
    <v>0</v>
  </rv>
  <rv s="0">
    <fb>129.03</fb>
    <v>0</v>
  </rv>
  <rv s="0">
    <fb>131.37</fb>
    <v>0</v>
  </rv>
  <rv s="0">
    <fb>130.13</fb>
    <v>0</v>
  </rv>
  <rv s="0">
    <fb>133.41999999999999</fb>
    <v>0</v>
  </rv>
  <rv s="0">
    <fb>133.33000000000001</fb>
    <v>0</v>
  </rv>
  <rv s="0">
    <fb>132.91999999999999</fb>
    <v>0</v>
  </rv>
  <rv s="0">
    <fb>130.1</fb>
    <v>0</v>
  </rv>
  <rv s="0">
    <fb>130.19</fb>
    <v>0</v>
  </rv>
  <rv s="0">
    <fb>136.09</fb>
    <v>0</v>
  </rv>
  <rv s="0">
    <fb>133.5</fb>
    <v>0</v>
  </rv>
  <rv s="0">
    <fb>132.19999999999999</fb>
    <v>0</v>
  </rv>
  <rv s="0">
    <fb>133.19</fb>
    <v>0</v>
  </rv>
  <rv s="0">
    <fb>133.72999999999999</fb>
    <v>0</v>
  </rv>
  <rv s="0">
    <fb>131</fb>
    <v>0</v>
  </rv>
  <rv s="0">
    <fb>125.93</fb>
    <v>0</v>
  </rv>
  <rv s="0">
    <fb>123.29</fb>
    <v>0</v>
  </rv>
  <rv s="0">
    <fb>123.57</fb>
    <v>0</v>
  </rv>
  <rv s="0">
    <fb>124.34</fb>
    <v>0</v>
  </rv>
  <rv s="0">
    <fb>124.9</fb>
    <v>0</v>
  </rv>
  <rv s="0">
    <fb>129.66</fb>
    <v>0</v>
  </rv>
  <rv s="0">
    <fb>125.83</fb>
    <v>0</v>
  </rv>
  <rv s="0">
    <fb>126.36</fb>
    <v>0</v>
  </rv>
  <rv s="0">
    <fb>126.82</fb>
    <v>0</v>
  </rv>
  <rv s="0">
    <fb>127.66</fb>
    <v>0</v>
  </rv>
  <rv s="0">
    <fb>124.74</fb>
    <v>0</v>
  </rv>
  <rv s="0">
    <fb>126.84</fb>
    <v>0</v>
  </rv>
  <rv s="0">
    <fb>129.47999999999999</fb>
    <v>0</v>
  </rv>
  <rv s="0">
    <fb>131.41</fb>
    <v>0</v>
  </rv>
  <rv s="0">
    <fb>132.05000000000001</fb>
    <v>0</v>
  </rv>
  <rv s="0">
    <fb>134.01</fb>
    <v>0</v>
  </rv>
  <rv s="0">
    <fb>131.44</fb>
    <v>0</v>
  </rv>
  <rv s="0">
    <fb>133.49</fb>
    <v>0</v>
  </rv>
  <rv s="0">
    <fb>88.94</fb>
    <v>0</v>
  </rv>
  <rv s="0">
    <fb>86.12</fb>
    <v>0</v>
  </rv>
  <rv s="0">
    <fb>86.48</fb>
    <v>0</v>
  </rv>
  <rv s="0">
    <fb>87.31</fb>
    <v>0</v>
  </rv>
  <rv s="0">
    <fb>87.39</fb>
    <v>0</v>
  </rv>
  <rv s="0">
    <fb>92.76</fb>
    <v>0</v>
  </rv>
  <rv s="0">
    <fb>93.39</fb>
    <v>0</v>
  </rv>
  <rv s="0">
    <fb>96.2</fb>
    <v>0</v>
  </rv>
  <rv s="0">
    <fb>97.06</fb>
    <v>0</v>
  </rv>
  <rv s="0">
    <fb>99.12</fb>
    <v>0</v>
  </rv>
  <rv s="0">
    <fb>98.15</fb>
    <v>0</v>
  </rv>
  <rv s="0">
    <fb>97.16</fb>
    <v>0</v>
  </rv>
  <rv s="0">
    <fb>96.46</fb>
    <v>0</v>
  </rv>
  <rv s="0">
    <fb>95.12</fb>
    <v>0</v>
  </rv>
  <rv s="0">
    <fb>94.37</fb>
    <v>0</v>
  </rv>
  <rv s="0">
    <fb>94.91</fb>
    <v>0</v>
  </rv>
  <rv s="0">
    <fb>92.66</fb>
    <v>0</v>
  </rv>
  <rv s="0">
    <fb>93.03</fb>
    <v>0</v>
  </rv>
  <rv s="0">
    <fb>92.39</fb>
    <v>0</v>
  </rv>
  <rv s="0">
    <fb>95.16</fb>
    <v>0</v>
  </rv>
  <rv s="0">
    <fb>93.32</fb>
    <v>0</v>
  </rv>
  <rv s="0">
    <fb>93.62</fb>
    <v>0</v>
  </rv>
  <rv s="0">
    <fb>95.48</fb>
    <v>0</v>
  </rv>
  <rv s="0">
    <fb>94.31</fb>
    <v>0</v>
  </rv>
  <rv s="0">
    <fb>92.56</fb>
    <v>0</v>
  </rv>
  <rv s="0">
    <fb>91.86</fb>
    <v>0</v>
  </rv>
  <rv s="0">
    <fb>92.91</fb>
    <v>0</v>
  </rv>
  <rv s="0">
    <fb>88.69</fb>
    <v>0</v>
  </rv>
  <rv s="0">
    <fb>86.02</fb>
    <v>0</v>
  </rv>
  <rv s="0">
    <fb>88.11</fb>
    <v>0</v>
  </rv>
  <rv s="0">
    <fb>88.63</fb>
    <v>0</v>
  </rv>
  <rv s="0">
    <fb>94.43</fb>
    <v>0</v>
  </rv>
  <rv s="0">
    <fb>93.29</fb>
    <v>0</v>
  </rv>
  <rv s="0">
    <fb>94.59</fb>
    <v>0</v>
  </rv>
  <rv s="0">
    <fb>95.06</fb>
    <v>0</v>
  </rv>
  <rv s="0">
    <fb>93.97</fb>
    <v>0</v>
  </rv>
  <rv s="0">
    <fb>94.58</fb>
    <v>0</v>
  </rv>
  <rv s="0">
    <fb>86.15</fb>
    <v>0</v>
  </rv>
  <rv s="0">
    <fb>77.53</fb>
    <v>0</v>
  </rv>
  <rv s="0">
    <fb>74.87</fb>
    <v>0</v>
  </rv>
  <rv s="0">
    <fb>82.58</fb>
    <v>0</v>
  </rv>
  <rv s="0">
    <fb>78.53</fb>
    <v>0</v>
  </rv>
  <rv s="0">
    <fb>78.56</fb>
    <v>0</v>
  </rv>
  <rv s="0">
    <fb>78.13</fb>
    <v>0</v>
  </rv>
  <rv s="0">
    <fb>79.040000000000006</fb>
    <v>0</v>
  </rv>
  <rv s="0">
    <fb>81.680000000000007</fb>
    <v>0</v>
  </rv>
  <rv s="0">
    <fb>83.02</fb>
    <v>0</v>
  </rv>
  <rv s="0">
    <fb>84.01</fb>
    <v>0</v>
  </rv>
  <rv s="0">
    <fb>83.42</fb>
    <v>0</v>
  </rv>
  <rv s="0">
    <fb>82.32</fb>
    <v>0</v>
  </rv>
  <rv s="0">
    <fb>82.17</fb>
    <v>0</v>
  </rv>
  <rv s="0">
    <fb>82.19</fb>
    <v>0</v>
  </rv>
  <rv s="0">
    <fb>90.65</fb>
    <v>0</v>
  </rv>
  <rv s="0">
    <fb>89.93</fb>
    <v>0</v>
  </rv>
  <rv s="0">
    <fb>89.75</fb>
    <v>0</v>
  </rv>
  <rv s="0">
    <fb>86.11</fb>
    <v>0</v>
  </rv>
  <rv s="0">
    <fb>85.72</fb>
    <v>0</v>
  </rv>
  <rv s="0">
    <fb>86.51</fb>
    <v>0</v>
  </rv>
  <rv s="0">
    <fb>85.27</fb>
    <v>0</v>
  </rv>
  <rv s="0">
    <fb>85.97</fb>
    <v>0</v>
  </rv>
  <rv s="0">
    <fb>85.41</fb>
    <v>0</v>
  </rv>
  <rv s="0">
    <fb>85.18</fb>
    <v>0</v>
  </rv>
  <rv s="0">
    <fb>87.46</fb>
    <v>0</v>
  </rv>
  <rv s="0">
    <fb>91.17</fb>
    <v>0</v>
  </rv>
  <rv s="0">
    <fb>93.36</fb>
    <v>0</v>
  </rv>
  <rv s="0">
    <fb>92.51</fb>
    <v>0</v>
  </rv>
  <rv s="0">
    <fb>92.69</fb>
    <v>0</v>
  </rv>
  <rv s="0">
    <fb>88.72</fb>
    <v>0</v>
  </rv>
  <rv s="0">
    <fb>89.31</fb>
    <v>0</v>
  </rv>
  <rv s="0">
    <fb>89.58</fb>
    <v>0</v>
  </rv>
  <rv s="0">
    <fb>93.01</fb>
    <v>0</v>
  </rv>
  <rv s="0">
    <fb>92.14</fb>
    <v>0</v>
  </rv>
  <rv s="0">
    <fb>90.17</fb>
    <v>0</v>
  </rv>
  <rv s="0">
    <fb>91.6</fb>
    <v>0</v>
  </rv>
  <rv s="0">
    <fb>91.11</fb>
    <v>0</v>
  </rv>
  <rv s="0">
    <fb>87.9</fb>
    <v>0</v>
  </rv>
  <rv s="0">
    <fb>88.43</fb>
    <v>0</v>
  </rv>
  <rv s="0">
    <fb>88.5</fb>
    <v>0</v>
  </rv>
  <rv s="0">
    <fb>88.2</fb>
    <v>0</v>
  </rv>
  <rv s="0">
    <fb>91.63</fb>
    <v>0</v>
  </rv>
  <rv s="0">
    <fb>91.47</fb>
    <v>0</v>
  </rv>
  <rv s="0">
    <fb>92.55</fb>
    <v>0</v>
  </rv>
  <rv s="0">
    <fb>93.5</fb>
    <v>0</v>
  </rv>
  <rv s="0">
    <fb>93.75</fb>
    <v>0</v>
  </rv>
  <rv s="0">
    <fb>94.5</fb>
    <v>0</v>
  </rv>
  <rv s="0">
    <fb>91.71</fb>
    <v>0</v>
  </rv>
  <rv s="0">
    <fb>92.58</fb>
    <v>0</v>
  </rv>
  <rv s="0">
    <fb>90.26</fb>
    <v>0</v>
  </rv>
  <rv s="0">
    <fb>92.01</fb>
    <v>0</v>
  </rv>
  <rv s="0">
    <fb>91.56</fb>
    <v>0</v>
  </rv>
  <rv s="0">
    <fb>90.41</fb>
    <v>0</v>
  </rv>
  <rv s="0">
    <fb>93.86</fb>
    <v>0</v>
  </rv>
  <rv s="0">
    <fb>92.6</fb>
    <v>0</v>
  </rv>
  <rv s="0">
    <fb>92.1</fb>
    <v>0</v>
  </rv>
  <rv s="0">
    <fb>92.54</fb>
    <v>0</v>
  </rv>
  <rv s="0">
    <fb>93.12</fb>
    <v>0</v>
  </rv>
  <rv s="0">
    <fb>87.09</fb>
    <v>0</v>
  </rv>
  <rv s="0">
    <fb>88.36</fb>
    <v>0</v>
  </rv>
  <rv s="0">
    <fb>88.26</fb>
    <v>0</v>
  </rv>
  <rv s="0">
    <fb>88.9</fb>
    <v>0</v>
  </rv>
  <rv s="0">
    <fb>88.64</fb>
    <v>0</v>
  </rv>
  <rv s="0">
    <fb>91.02</fb>
    <v>0</v>
  </rv>
  <rv s="0">
    <fb>92.23</fb>
    <v>0</v>
  </rv>
  <rv s="0">
    <fb>94.24</fb>
    <v>0</v>
  </rv>
  <rv s="0">
    <fb>94.6</fb>
    <v>0</v>
  </rv>
  <rv s="0">
    <fb>92.77</fb>
    <v>0</v>
  </rv>
  <rv s="0">
    <fb>93.88</fb>
    <v>0</v>
  </rv>
  <rv s="0">
    <fb>280.35000000000002</fb>
    <v>0</v>
  </rv>
  <rv s="0">
    <fb>276.45</fb>
    <v>0</v>
  </rv>
  <rv s="0">
    <fb>266.48</fb>
    <v>0</v>
  </rv>
  <rv s="0">
    <fb>263.91000000000003</fb>
    <v>0</v>
  </rv>
  <rv s="0">
    <fb>264.85000000000002</fb>
    <v>0</v>
  </rv>
  <rv s="0">
    <fb>260.95999999999998</fb>
    <v>0</v>
  </rv>
  <rv s="0">
    <fb>263.64</fb>
    <v>0</v>
  </rv>
  <rv s="0">
    <fb>265.02999999999997</fb>
    <v>0</v>
  </rv>
  <rv s="0">
    <fb>264.94</fb>
    <v>0</v>
  </rv>
  <rv s="0">
    <fb>271.23</fb>
    <v>0</v>
  </rv>
  <rv s="0">
    <fb>276.18</fb>
    <v>0</v>
  </rv>
  <rv s="0">
    <fb>279.31</fb>
    <v>0</v>
  </rv>
  <rv s="0">
    <fb>279.74</fb>
    <v>0</v>
  </rv>
  <rv s="0">
    <fb>283.85000000000002</fb>
    <v>0</v>
  </rv>
  <rv s="0">
    <fb>279.8</fb>
    <v>0</v>
  </rv>
  <rv s="0">
    <fb>278.95</fb>
    <v>0</v>
  </rv>
  <rv s="0">
    <fb>284.70999999999998</fb>
    <v>0</v>
  </rv>
  <rv s="0">
    <fb>287.23</fb>
    <v>0</v>
  </rv>
  <rv s="0">
    <fb>293.64999999999998</fb>
    <v>0</v>
  </rv>
  <rv s="0">
    <fb>299.51</fb>
    <v>0</v>
  </rv>
  <rv s="0">
    <fb>299.62</fb>
    <v>0</v>
  </rv>
  <rv s="0">
    <fb>290.99</fb>
    <v>0</v>
  </rv>
  <rv s="0">
    <fb>290.18</fb>
    <v>0</v>
  </rv>
  <rv s="0">
    <fb>284.95999999999998</fb>
    <v>0</v>
  </rv>
  <rv s="0">
    <fb>279.98</fb>
    <v>0</v>
  </rv>
  <rv s="0">
    <fb>278.27</fb>
    <v>0</v>
  </rv>
  <rv s="0">
    <fb>279.36</fb>
    <v>0</v>
  </rv>
  <rv s="0">
    <fb>276.95999999999998</fb>
    <v>0</v>
  </rv>
  <rv s="0">
    <fb>275.94</fb>
    <v>0</v>
  </rv>
  <rv s="0">
    <fb>283.08</fb>
    <v>0</v>
  </rv>
  <rv s="0">
    <fb>285.29000000000002</fb>
    <v>0</v>
  </rv>
  <rv s="0">
    <fb>275.44</fb>
    <v>0</v>
  </rv>
  <rv s="0">
    <fb>283.39999999999998</fb>
    <v>0</v>
  </rv>
  <rv s="0">
    <fb>285.13</fb>
    <v>0</v>
  </rv>
  <rv s="0">
    <fb>282.05</fb>
    <v>0</v>
  </rv>
  <rv s="0">
    <fb>280.02</fb>
    <v>0</v>
  </rv>
  <rv s="0">
    <fb>284.68</fb>
    <v>0</v>
  </rv>
  <rv s="0">
    <fb>280.37</fb>
    <v>0</v>
  </rv>
  <rv s="0">
    <fb>281.10000000000002</fb>
    <v>0</v>
  </rv>
  <rv s="0">
    <fb>272.83</fb>
    <v>0</v>
  </rv>
  <rv s="0">
    <fb>271.51</fb>
    <v>0</v>
  </rv>
  <rv s="0">
    <fb>267.01</fb>
    <v>0</v>
  </rv>
  <rv s="0">
    <fb>263.83999999999997</fb>
    <v>0</v>
  </rv>
  <rv s="0">
    <fb>264.19</fb>
    <v>0</v>
  </rv>
  <rv s="0">
    <fb>266.38</fb>
    <v>0</v>
  </rv>
  <rv s="0">
    <fb>252.35</fb>
    <v>0</v>
  </rv>
  <rv s="0">
    <fb>247.98</fb>
    <v>0</v>
  </rv>
  <rv s="0">
    <fb>247.88</fb>
    <v>0</v>
  </rv>
  <rv s="0">
    <fb>247.62</fb>
    <v>0</v>
  </rv>
  <rv s="0">
    <fb>255.91</fb>
    <v>0</v>
  </rv>
  <rv s="0">
    <fb>249.42</fb>
    <v>0</v>
  </rv>
  <rv s="0">
    <fb>248.61</fb>
    <v>0</v>
  </rv>
  <rv s="0">
    <fb>246.39</fb>
    <v>0</v>
  </rv>
  <rv s="0">
    <fb>254.12</fb>
    <v>0</v>
  </rv>
  <rv s="0">
    <fb>257.75</fb>
    <v>0</v>
  </rv>
  <rv s="0">
    <fb>257.93</fb>
    <v>0</v>
  </rv>
  <rv s="0">
    <fb>260.88</fb>
    <v>0</v>
  </rv>
  <rv s="0">
    <fb>261.74</fb>
    <v>0</v>
  </rv>
  <rv s="0">
    <fb>259</fb>
    <v>0</v>
  </rv>
  <rv s="0">
    <fb>263.7</fb>
    <v>0</v>
  </rv>
  <rv s="0">
    <fb>266.8</fb>
    <v>0</v>
  </rv>
  <rv s="0">
    <fb>264.81</fb>
    <v>0</v>
  </rv>
  <rv s="0">
    <fb>261.36</fb>
    <v>0</v>
  </rv>
  <rv s="0">
    <fb>262.12</fb>
    <v>0</v>
  </rv>
  <rv s="0">
    <fb>266.11</fb>
    <v>0</v>
  </rv>
  <rv s="0">
    <fb>236.83</fb>
    <v>0</v>
  </rv>
  <rv s="0">
    <fb>207.77</fb>
    <v>0</v>
  </rv>
  <rv s="0">
    <fb>206.09</fb>
    <v>0</v>
  </rv>
  <rv s="0">
    <fb>196.72</fb>
    <v>0</v>
  </rv>
  <rv s="0">
    <fb>202.68</fb>
    <v>0</v>
  </rv>
  <rv s="0">
    <fb>210.28</fb>
    <v>0</v>
  </rv>
  <rv s="0">
    <fb>211.31</fb>
    <v>0</v>
  </rv>
  <rv s="0">
    <fb>218.84</fb>
    <v>0</v>
  </rv>
  <rv s="0">
    <fb>212.98</fb>
    <v>0</v>
  </rv>
  <rv s="0">
    <fb>215.95</fb>
    <v>0</v>
  </rv>
  <rv s="0">
    <fb>214.76</fb>
    <v>0</v>
  </rv>
  <rv s="0">
    <fb>214.78</fb>
    <v>0</v>
  </rv>
  <rv s="0">
    <fb>220.36</fb>
    <v>0</v>
  </rv>
  <rv s="0">
    <fb>215.06</fb>
    <v>0</v>
  </rv>
  <rv s="0">
    <fb>215.04</fb>
    <v>0</v>
  </rv>
  <rv s="0">
    <fb>213.19</fb>
    <v>0</v>
  </rv>
  <rv s="0">
    <fb>219.35</fb>
    <v>0</v>
  </rv>
  <rv s="0">
    <fb>221.87</fb>
    <v>0</v>
  </rv>
  <rv s="0">
    <fb>230.61</fb>
    <v>0</v>
  </rv>
  <rv s="0">
    <fb>231.5</fb>
    <v>0</v>
  </rv>
  <rv s="0">
    <fb>231.86</fb>
    <v>0</v>
  </rv>
  <rv s="0">
    <fb>229.05</fb>
    <v>0</v>
  </rv>
  <rv s="0">
    <fb>228.26</fb>
    <v>0</v>
  </rv>
  <rv s="0">
    <fb>224.9</fb>
    <v>0</v>
  </rv>
  <rv s="0">
    <fb>216.08</fb>
    <v>0</v>
  </rv>
  <rv s="0">
    <fb>216.26</fb>
    <v>0</v>
  </rv>
  <rv s="0">
    <fb>219.99</fb>
    <v>0</v>
  </rv>
  <rv s="0">
    <fb>218.77</fb>
    <v>0</v>
  </rv>
  <rv s="0">
    <fb>216.64</fb>
    <v>0</v>
  </rv>
  <rv s="0">
    <fb>227.36</fb>
    <v>0</v>
  </rv>
  <rv s="0">
    <fb>229.88</fb>
    <v>0</v>
  </rv>
  <rv s="0">
    <fb>233.5</fb>
    <v>0</v>
  </rv>
  <rv s="0">
    <fb>241.42</fb>
    <v>0</v>
  </rv>
  <rv s="0">
    <fb>244.47</fb>
    <v>0</v>
  </rv>
  <rv s="0">
    <fb>243.7</fb>
    <v>0</v>
  </rv>
  <rv s="0">
    <fb>247.39</fb>
    <v>0</v>
  </rv>
  <rv s="0">
    <fb>245.73</fb>
    <v>0</v>
  </rv>
  <rv s="0">
    <fb>247.54</fb>
    <v>0</v>
  </rv>
  <rv s="0">
    <fb>244.69</fb>
    <v>0</v>
  </rv>
  <rv s="0">
    <fb>231.62</fb>
    <v>0</v>
  </rv>
  <rv s="0">
    <fb>231.17</fb>
    <v>0</v>
  </rv>
  <rv s="0">
    <fb>236.94</fb>
    <v>0</v>
  </rv>
  <rv s="0">
    <fb>242.97</fb>
    <v>0</v>
  </rv>
  <rv s="0">
    <fb>241.58</fb>
    <v>0</v>
  </rv>
  <rv s="0">
    <fb>238.39</fb>
    <v>0</v>
  </rv>
  <rv s="0">
    <fb>249.83</fb>
    <v>0</v>
  </rv>
  <rv s="0">
    <fb>247.93</fb>
    <v>0</v>
  </rv>
  <rv s="0">
    <fb>244.61</fb>
    <v>0</v>
  </rv>
  <rv s="0">
    <fb>236.82</fb>
    <v>0</v>
  </rv>
  <rv s="0">
    <fb>233</fb>
    <v>0</v>
  </rv>
  <rv s="0">
    <fb>233.38</fb>
    <v>0</v>
  </rv>
  <rv s="0">
    <fb>232.86</fb>
    <v>0</v>
  </rv>
  <rv s="0">
    <fb>238.1</fb>
    <v>0</v>
  </rv>
  <rv s="0">
    <fb>250.92</fb>
    <v>0</v>
  </rv>
  <rv s="0">
    <fb>253.04</fb>
    <v>0</v>
  </rv>
  <rv s="0">
    <fb>256.64</fb>
    <v>0</v>
  </rv>
  <rv s="0">
    <fb>255.61</fb>
    <v>0</v>
  </rv>
  <rv s="0">
    <fb>248.34</fb>
    <v>0</v>
  </rv>
  <rv s="0">
    <fb>243.72</fb>
    <v>0</v>
  </rv>
  <rv s="0">
    <fb>235.02</fb>
    <v>0</v>
  </rv>
  <rv s="0">
    <fb>238.95</fb>
    <v>0</v>
  </rv>
  <rv s="0">
    <fb>235.79</fb>
    <v>0</v>
  </rv>
  <rv s="0">
    <fb>237.51</fb>
    <v>0</v>
  </rv>
  <rv s="0">
    <fb>233.61</fb>
    <v>0</v>
  </rv>
  <rv s="0">
    <fb>237.22</fb>
    <v>0</v>
  </rv>
  <rv s="0">
    <fb>240.36</fb>
    <v>0</v>
  </rv>
  <rv s="0">
    <fb>239.63</fb>
    <v>0</v>
  </rv>
  <rv s="0">
    <fb>236.66</fb>
    <v>0</v>
  </rv>
  <rv s="0">
    <fb>239.02</fb>
    <v>0</v>
  </rv>
  <rv s="0">
    <fb>237.65</fb>
    <v>0</v>
  </rv>
  <rv s="0">
    <fb>236.51</fb>
    <v>0</v>
  </rv>
  <rv s="0">
    <fb>240.14</fb>
    <v>0</v>
  </rv>
  <rv s="0">
    <fb>252.19</fb>
    <v>0</v>
  </rv>
  <rv s="0">
    <fb>251.9</fb>
    <v>0</v>
  </rv>
  <rv s="0">
    <fb>249.13</fb>
    <v>0</v>
  </rv>
  <rv s="0">
    <fb>253.51</fb>
    <v>0</v>
  </rv>
  <rv s="0">
    <fb>256.11</fb>
    <v>0</v>
  </rv>
  <rv s="0">
    <fb>256.85000000000002</fb>
    <v>0</v>
  </rv>
  <rv s="0">
    <fb>254.73</fb>
    <v>0</v>
  </rv>
  <rv s="0">
    <fb>257.83999999999997</fb>
    <v>0</v>
  </rv>
  <rv s="0">
    <fb>255.13</fb>
    <v>0</v>
  </rv>
  <rv s="0">
    <fb>255.28</fb>
    <v>0</v>
  </rv>
  <rv s="0">
    <fb>254.01</fb>
    <v>0</v>
  </rv>
  <rv s="0">
    <fb>260.07</fb>
    <v>0</v>
  </rv>
  <rv s="0">
    <fb>260.17</fb>
    <v>0</v>
  </rv>
  <rv s="0">
    <fb>255.03</fb>
    <v>0</v>
  </rv>
  <rv s="0">
    <fb>260.20999999999998</fb>
    <v>0</v>
  </rv>
  <rv s="0">
    <fb>256.41000000000003</fb>
    <v>0</v>
  </rv>
  <rv s="0">
    <fb>258.37</fb>
    <v>0</v>
  </rv>
  <rv s="0">
    <fb>254.52</fb>
    <v>0</v>
  </rv>
  <rv s="0">
    <fb>254.82</fb>
    <v>0</v>
  </rv>
  <rv s="0">
    <fb>263.61</fb>
    <v>0</v>
  </rv>
  <rv s="0">
    <fb>263.25</fb>
    <v>0</v>
  </rv>
  <rv s="0">
    <fb>268.01</fb>
    <v>0</v>
  </rv>
  <rv s="0">
    <fb>264.60000000000002</fb>
    <v>0</v>
  </rv>
  <rv s="0">
    <fb>259.91000000000003</fb>
    <v>0</v>
  </rv>
  <rv s="0">
    <fb>260.2</fb>
    <v>0</v>
  </rv>
  <rv s="0">
    <fb>262.73</fb>
    <v>0</v>
  </rv>
  <rv s="0">
    <fb>265.31</fb>
    <v>0</v>
  </rv>
  <rv s="0">
    <fb>264</fb>
    <v>0</v>
  </rv>
  <rv s="0">
    <fb>262.89999999999998</fb>
    <v>0</v>
  </rv>
  <rv s="0">
    <fb>257.08</fb>
    <v>0</v>
  </rv>
  <rv s="0">
    <fb>242.45</fb>
    <v>0</v>
  </rv>
  <rv s="0">
    <fb>249.56</fb>
    <v>0</v>
  </rv>
  <rv s="0">
    <fb>248.81</fb>
    <v>0</v>
  </rv>
  <rv s="0">
    <fb>251.79</fb>
    <v>0</v>
  </rv>
  <rv s="0">
    <fb>249.64</fb>
    <v>0</v>
  </rv>
  <rv s="0">
    <fb>251.56</fb>
    <v>0</v>
  </rv>
  <rv s="0">
    <fb>256.83999999999997</fb>
    <v>0</v>
  </rv>
  <rv s="0">
    <fb>259.68</fb>
    <v>0</v>
  </rv>
  <rv s="0">
    <fb>265.36</fb>
    <v>0</v>
  </rv>
  <rv s="0">
    <fb>276.95</fb>
    <v>0</v>
  </rv>
  <rv s="0">
    <fb>277.22000000000003</fb>
    <v>0</v>
  </rv>
  <rv s="0">
    <fb>277.95999999999998</fb>
    <v>0</v>
  </rv>
  <rv s="0">
    <fb>286.29000000000002</fb>
    <v>0</v>
  </rv>
  <rv s="0">
    <fb>286.56</fb>
    <v>0</v>
  </rv>
  <rv s="0">
    <fb>283.69</fb>
    <v>0</v>
  </rv>
  <rv s="0">
    <fb>290</fb>
    <v>0</v>
  </rv>
  <rv s="0">
    <fb>281.58</fb>
    <v>0</v>
  </rv>
  <rv s="0">
    <fb>283.49</fb>
    <v>0</v>
  </rv>
  <rv s="0">
    <fb>283.52999999999997</fb>
    <v>0</v>
  </rv>
  <rv s="0">
    <fb>289.68</fb>
    <v>0</v>
  </rv>
  <rv s="0">
    <fb>294.48</fb>
    <v>0</v>
  </rv>
  <rv s="0">
    <fb>282.52999999999997</fb>
    <v>0</v>
  </rv>
  <rv s="0">
    <fb>287.3</fb>
    <v>0</v>
  </rv>
  <rv s="0">
    <fb>281.52999999999997</fb>
    <v>0</v>
  </rv>
  <rv s="0">
    <fb>283.25</fb>
    <v>0</v>
  </rv>
  <rv s="0">
    <fb>39.17</fb>
    <v>0</v>
  </rv>
  <rv s="0">
    <fb>39.01</fb>
    <v>0</v>
  </rv>
  <rv s="0">
    <fb>39.33</fb>
    <v>0</v>
  </rv>
  <rv s="0">
    <fb>39.340000000000003</fb>
    <v>0</v>
  </rv>
  <rv s="0">
    <fb>39.85</fb>
    <v>0</v>
  </rv>
  <rv s="0">
    <fb>40.200000000000003</fb>
    <v>0</v>
  </rv>
  <rv s="0">
    <fb>40.44</fb>
    <v>0</v>
  </rv>
  <rv s="0">
    <fb>40.619999999999997</fb>
    <v>0</v>
  </rv>
  <rv s="0">
    <fb>40.26</fb>
    <v>0</v>
  </rv>
  <rv s="0">
    <fb>39.99</fb>
    <v>0</v>
  </rv>
  <rv s="0">
    <fb>39.619999999999997</fb>
    <v>0</v>
  </rv>
  <rv s="0">
    <fb>39.65</fb>
    <v>0</v>
  </rv>
  <rv s="0">
    <fb>39.049999999999997</fb>
    <v>0</v>
  </rv>
  <rv s="0">
    <fb>40</fb>
    <v>0</v>
  </rv>
  <rv s="0">
    <fb>39.56</fb>
    <v>0</v>
  </rv>
  <rv s="0">
    <fb>39.57</fb>
    <v>0</v>
  </rv>
  <rv s="0">
    <fb>39.9</fb>
    <v>0</v>
  </rv>
  <rv s="0">
    <fb>40.25</fb>
    <v>0</v>
  </rv>
  <rv s="0">
    <fb>39.75</fb>
    <v>0</v>
  </rv>
  <rv s="0">
    <fb>39.729999999999997</fb>
    <v>0</v>
  </rv>
  <rv s="0">
    <fb>40.14</fb>
    <v>0</v>
  </rv>
  <rv s="0">
    <fb>39.04</fb>
    <v>0</v>
  </rv>
  <rv s="0">
    <fb>38.479999999999997</fb>
    <v>0</v>
  </rv>
  <rv s="0">
    <fb>38.5</fb>
    <v>0</v>
  </rv>
  <rv s="0">
    <fb>39.1</fb>
    <v>0</v>
  </rv>
  <rv s="0">
    <fb>39.29</fb>
    <v>0</v>
  </rv>
  <rv s="0">
    <fb>42.16</fb>
    <v>0</v>
  </rv>
  <rv s="0">
    <fb>41.99</fb>
    <v>0</v>
  </rv>
  <rv s="0">
    <fb>42.07</fb>
    <v>0</v>
  </rv>
  <rv s="0">
    <fb>35.68</fb>
    <v>0</v>
  </rv>
  <rv s="0">
    <fb>34.69</fb>
    <v>0</v>
  </rv>
  <rv s="0">
    <fb>37.14</fb>
    <v>0</v>
  </rv>
  <rv s="0">
    <fb>35.07</fb>
    <v>0</v>
  </rv>
  <rv s="0">
    <fb>35.99</fb>
    <v>0</v>
  </rv>
  <rv s="0">
    <fb>36.22</fb>
    <v>0</v>
  </rv>
  <rv s="0">
    <fb>37.369999999999997</fb>
    <v>0</v>
  </rv>
  <rv s="0">
    <fb>37.93</fb>
    <v>0</v>
  </rv>
  <rv s="0">
    <fb>37.880000000000003</fb>
    <v>0</v>
  </rv>
  <rv s="0">
    <fb>37.11</fb>
    <v>0</v>
  </rv>
  <rv s="0">
    <fb>37.19</fb>
    <v>0</v>
  </rv>
  <rv s="0">
    <fb>37.54</fb>
    <v>0</v>
  </rv>
  <rv s="0">
    <fb>39.03</fb>
    <v>0</v>
  </rv>
  <rv s="0">
    <fb>38.68</fb>
    <v>0</v>
  </rv>
  <rv s="0">
    <fb>38.51</fb>
    <v>0</v>
  </rv>
  <rv s="0">
    <fb>38.07</fb>
    <v>0</v>
  </rv>
  <rv s="0">
    <fb>38.35</fb>
    <v>0</v>
  </rv>
  <rv s="0">
    <fb>37.950000000000003</fb>
    <v>0</v>
  </rv>
  <rv s="0">
    <fb>38.85</fb>
    <v>0</v>
  </rv>
  <rv s="0">
    <fb>40.46</fb>
    <v>0</v>
  </rv>
  <rv s="0">
    <fb>40.340000000000003</fb>
    <v>0</v>
  </rv>
  <rv s="0">
    <fb>39.700000000000003</fb>
    <v>0</v>
  </rv>
  <rv s="0">
    <fb>39.119999999999997</fb>
    <v>0</v>
  </rv>
  <rv s="0">
    <fb>39.54</fb>
    <v>0</v>
  </rv>
  <rv s="0">
    <fb>39.58</fb>
    <v>0</v>
  </rv>
  <rv s="0">
    <fb>40.39</fb>
    <v>0</v>
  </rv>
  <rv s="0">
    <fb>40.04</fb>
    <v>0</v>
  </rv>
  <rv s="0">
    <fb>39.869999999999997</fb>
    <v>0</v>
  </rv>
  <rv s="0">
    <fb>39.97</fb>
    <v>0</v>
  </rv>
  <rv s="0">
    <fb>39.69</fb>
    <v>0</v>
  </rv>
  <rv s="0">
    <fb>39.450000000000003</fb>
    <v>0</v>
  </rv>
  <rv s="0">
    <fb>40.43</fb>
    <v>0</v>
  </rv>
  <rv s="0">
    <fb>39.74</fb>
    <v>0</v>
  </rv>
  <rv s="0">
    <fb>40.119999999999997</fb>
    <v>0</v>
  </rv>
  <rv s="0">
    <fb>39.86</fb>
    <v>0</v>
  </rv>
  <rv s="0">
    <fb>40.18</fb>
    <v>0</v>
  </rv>
  <rv s="0">
    <fb>41.18</fb>
    <v>0</v>
  </rv>
  <rv s="0">
    <fb>41.81</fb>
    <v>0</v>
  </rv>
  <rv s="0">
    <fb>41.19</fb>
    <v>0</v>
  </rv>
  <rv s="0">
    <fb>41.87</fb>
    <v>0</v>
  </rv>
  <rv s="0">
    <fb>41.22</fb>
    <v>0</v>
  </rv>
  <rv s="0">
    <fb>42.57</fb>
    <v>0</v>
  </rv>
  <rv s="0">
    <fb>41.75</fb>
    <v>0</v>
  </rv>
  <rv s="0">
    <fb>41.44</fb>
    <v>0</v>
  </rv>
  <rv s="0">
    <fb>40.229999999999997</fb>
    <v>0</v>
  </rv>
  <rv s="0">
    <fb>41.28</fb>
    <v>0</v>
  </rv>
  <rv s="0">
    <fb>42.44</fb>
    <v>0</v>
  </rv>
  <rv s="0">
    <fb>43.4</fb>
    <v>0</v>
  </rv>
  <rv s="0">
    <fb>42.96</fb>
    <v>0</v>
  </rv>
  <rv s="0">
    <fb>43.21</fb>
    <v>0</v>
  </rv>
  <rv s="0">
    <fb>137.25</fb>
    <v>0</v>
  </rv>
  <rv s="0">
    <fb>137.66</fb>
    <v>0</v>
  </rv>
  <rv s="0">
    <fb>132.32</fb>
    <v>0</v>
  </rv>
  <rv s="0">
    <fb>131.21</fb>
    <v>0</v>
  </rv>
  <rv s="0">
    <fb>132.72999999999999</fb>
    <v>0</v>
  </rv>
  <rv s="0">
    <fb>133.61000000000001</fb>
    <v>0</v>
  </rv>
  <rv s="0">
    <fb>133.94999999999999</fb>
    <v>0</v>
  </rv>
  <rv s="0">
    <fb>134.66999999999999</fb>
    <v>0</v>
  </rv>
  <rv s="0">
    <fb>133.52000000000001</fb>
    <v>0</v>
  </rv>
  <rv s="0">
    <fb>131.66999999999999</fb>
    <v>0</v>
  </rv>
  <rv s="0">
    <fb>132.91</fb>
    <v>0</v>
  </rv>
  <rv s="0">
    <fb>135.47</fb>
    <v>0</v>
  </rv>
  <rv s="0">
    <fb>131.57</fb>
    <v>0</v>
  </rv>
  <rv s="0">
    <fb>132.65</fb>
    <v>0</v>
  </rv>
  <rv s="0">
    <fb>136.1</fb>
    <v>0</v>
  </rv>
  <rv s="0">
    <fb>138.25</fb>
    <v>0</v>
  </rv>
  <rv s="0">
    <fb>137.30000000000001</fb>
    <v>0</v>
  </rv>
  <rv s="0">
    <fb>138.37</fb>
    <v>0</v>
  </rv>
  <rv s="0">
    <fb>138.16</fb>
    <v>0</v>
  </rv>
  <rv s="0">
    <fb>137.49</fb>
    <v>0</v>
  </rv>
  <rv s="0">
    <fb>138.87</fb>
    <v>0</v>
  </rv>
  <rv s="0">
    <fb>138.66</fb>
    <v>0</v>
  </rv>
  <rv s="0">
    <fb>138.81</fb>
    <v>0</v>
  </rv>
  <rv s="0">
    <fb>142.33000000000001</fb>
    <v>0</v>
  </rv>
  <rv s="0">
    <fb>140.56</fb>
    <v>0</v>
  </rv>
  <rv s="0">
    <fb>136.15</fb>
    <v>0</v>
  </rv>
  <rv s="0">
    <fb>134.24</fb>
    <v>0</v>
  </rv>
  <rv s="0">
    <fb>136.55000000000001</fb>
    <v>0</v>
  </rv>
  <rv s="0">
    <fb>137.11000000000001</fb>
    <v>0</v>
  </rv>
  <rv s="0">
    <fb>138.74</fb>
    <v>0</v>
  </rv>
  <rv s="0">
    <fb>139.43</fb>
    <v>0</v>
  </rv>
  <rv s="0">
    <fb>138.91</fb>
    <v>0</v>
  </rv>
  <rv s="0">
    <fb>135.47999999999999</fb>
    <v>0</v>
  </rv>
  <rv s="0">
    <fb>137.03</fb>
    <v>0</v>
  </rv>
  <rv s="0">
    <fb>136.79</fb>
    <v>0</v>
  </rv>
  <rv s="0">
    <fb>136.94999999999999</fb>
    <v>0</v>
  </rv>
  <rv s="0">
    <fb>135.84</fb>
    <v>0</v>
  </rv>
  <rv s="0">
    <fb>133.99</fb>
    <v>0</v>
  </rv>
  <rv s="0">
    <fb>133.13999999999999</fb>
    <v>0</v>
  </rv>
  <rv s="0">
    <fb>134.09</fb>
    <v>0</v>
  </rv>
  <rv s="0">
    <fb>132.74</fb>
    <v>0</v>
  </rv>
  <rv s="0">
    <fb>133.58000000000001</fb>
    <v>0</v>
  </rv>
  <rv s="0">
    <fb>132.97</fb>
    <v>0</v>
  </rv>
  <rv s="0">
    <fb>123.79</fb>
    <v>0</v>
  </rv>
  <rv s="0">
    <fb>116.21</fb>
    <v>0</v>
  </rv>
  <rv s="0">
    <fb>112.02</fb>
    <v>0</v>
  </rv>
  <rv s="0">
    <fb>118.63</fb>
    <v>0</v>
  </rv>
  <rv s="0">
    <fb>116.96</fb>
    <v>0</v>
  </rv>
  <rv s="0">
    <fb>120.3</fb>
    <v>0</v>
  </rv>
  <rv s="0">
    <fb>118.29</fb>
    <v>0</v>
  </rv>
  <rv s="0">
    <fb>117.24</fb>
    <v>0</v>
  </rv>
  <rv s="0">
    <fb>120.43</fb>
    <v>0</v>
  </rv>
  <rv s="0">
    <fb>122</fb>
    <v>0</v>
  </rv>
  <rv s="0">
    <fb>124.2</fb>
    <v>0</v>
  </rv>
  <rv s="0">
    <fb>123.22</fb>
    <v>0</v>
  </rv>
  <rv s="0">
    <fb>124.75</fb>
    <v>0</v>
  </rv>
  <rv s="0">
    <fb>126.58</fb>
    <v>0</v>
  </rv>
  <rv s="0">
    <fb>119.4</fb>
    <v>0</v>
  </rv>
  <rv s="0">
    <fb>119.18</fb>
    <v>0</v>
  </rv>
  <rv s="0">
    <fb>116.63</fb>
    <v>0</v>
  </rv>
  <rv s="0">
    <fb>119.53</fb>
    <v>0</v>
  </rv>
  <rv s="0">
    <fb>116.92</fb>
    <v>0</v>
  </rv>
  <rv s="0">
    <fb>121.16</fb>
    <v>0</v>
  </rv>
  <rv s="0">
    <fb>122.51</fb>
    <v>0</v>
  </rv>
  <rv s="0">
    <fb>124.67</fb>
    <v>0</v>
  </rv>
  <rv s="0">
    <fb>121.69</fb>
    <v>0</v>
  </rv>
  <rv s="0">
    <fb>121.42</fb>
    <v>0</v>
  </rv>
  <rv s="0">
    <fb>121.25</fb>
    <v>0</v>
  </rv>
  <rv s="0">
    <fb>124.24</fb>
    <v>0</v>
  </rv>
  <rv s="0">
    <fb>121.72</fb>
    <v>0</v>
  </rv>
  <rv s="0">
    <fb>125.12</fb>
    <v>0</v>
  </rv>
  <rv s="0">
    <fb>126.96</fb>
    <v>0</v>
  </rv>
  <rv s="0">
    <fb>127.59</fb>
    <v>0</v>
  </rv>
  <rv s="0">
    <fb>127.86</fb>
    <v>0</v>
  </rv>
  <rv s="0">
    <fb>128</fb>
    <v>0</v>
  </rv>
  <rv s="0">
    <fb>125.32</fb>
    <v>0</v>
  </rv>
  <rv s="0">
    <fb>125.77</fb>
    <v>0</v>
  </rv>
  <rv s="0">
    <fb>125.51</fb>
    <v>0</v>
  </rv>
  <rv s="0">
    <fb>124.94</fb>
    <v>0</v>
  </rv>
  <rv s="0">
    <fb>127.41</fb>
    <v>0</v>
  </rv>
  <rv s="0">
    <fb>126.69</fb>
    <v>0</v>
  </rv>
  <rv s="0">
    <fb>127.01</fb>
    <v>0</v>
  </rv>
  <rv s="0">
    <fb>126.51</fb>
    <v>0</v>
  </rv>
  <rv s="0">
    <fb>127.63</fb>
    <v>0</v>
  </rv>
  <rv s="0">
    <fb>128.12</fb>
    <v>0</v>
  </rv>
  <rv s="0">
    <fb>133.65</fb>
    <v>0</v>
  </rv>
  <rv s="0">
    <fb>131.59</fb>
    <v>0</v>
  </rv>
  <rv s="0">
    <fb>131.88999999999999</fb>
    <v>0</v>
  </rv>
  <rv s="0">
    <fb>129.05000000000001</fb>
    <v>0</v>
  </rv>
  <rv s="0">
    <fb>131.18</fb>
    <v>0</v>
  </rv>
  <rv s="0">
    <fb>131.74</fb>
    <v>0</v>
  </rv>
  <rv s="0">
    <fb>129.72999999999999</fb>
    <v>0</v>
  </rv>
  <rv s="0">
    <fb>129.13</fb>
    <v>0</v>
  </rv>
  <rv s="0">
    <fb>132.84</fb>
    <v>0</v>
  </rv>
  <rv s="0">
    <fb>135.41</fb>
    <v>0</v>
  </rv>
  <rv s="0">
    <fb>135.43</fb>
    <v>0</v>
  </rv>
  <rv s="0">
    <fb>134.11000000000001</fb>
    <v>0</v>
  </rv>
  <rv s="0">
    <fb>133.69999999999999</fb>
    <v>0</v>
  </rv>
  <rv s="0">
    <fb>133.04</fb>
    <v>0</v>
  </rv>
  <rv s="0">
    <fb>135.37</fb>
    <v>0</v>
  </rv>
  <rv s="0">
    <fb>133.41</fb>
    <v>0</v>
  </rv>
  <rv s="0">
    <fb>131.49</fb>
    <v>0</v>
  </rv>
  <rv s="0">
    <fb>131.22999999999999</fb>
    <v>0</v>
  </rv>
  <rv s="0">
    <fb>132.04</fb>
    <v>0</v>
  </rv>
  <rv s="0">
    <fb>134</fb>
    <v>0</v>
  </rv>
  <rv s="0">
    <fb>137.27000000000001</fb>
    <v>0</v>
  </rv>
  <rv s="0">
    <fb>138.38</fb>
    <v>0</v>
  </rv>
  <rv s="0">
    <fb>138.41999999999999</fb>
    <v>0</v>
  </rv>
  <rv s="0">
    <fb>139.84</fb>
    <v>0</v>
  </rv>
  <rv s="0">
    <fb>137.07</fb>
    <v>0</v>
  </rv>
  <rv s="0">
    <fb>138.47</fb>
    <v>0</v>
  </rv>
  <rv s="0">
    <fb>138.21</fb>
    <v>0</v>
  </rv>
  <rv s="0">
    <fb>138.22</fb>
    <v>0</v>
  </rv>
  <rv s="0">
    <fb>140.41</fb>
    <v>0</v>
  </rv>
  <rv s="0">
    <fb>140.36000000000001</fb>
    <v>0</v>
  </rv>
  <rv s="0">
    <fb>143.12</fb>
    <v>0</v>
  </rv>
  <rv s="0">
    <fb>142.94</fb>
    <v>0</v>
  </rv>
  <rv s="0">
    <fb>140.65</fb>
    <v>0</v>
  </rv>
  <rv s="0">
    <fb>143.80000000000001</fb>
    <v>0</v>
  </rv>
  <rv s="0">
    <fb>140.97999999999999</fb>
    <v>0</v>
  </rv>
  <rv s="0">
    <fb>140.72</fb>
    <v>0</v>
  </rv>
  <rv s="0">
    <fb>140.94</fb>
    <v>0</v>
  </rv>
  <rv s="0">
    <fb>141</fb>
    <v>0</v>
  </rv>
  <rv s="0">
    <fb>142.72</fb>
    <v>0</v>
  </rv>
  <rv s="0">
    <fb>143.41</fb>
    <v>0</v>
  </rv>
  <rv s="0">
    <fb>142.49</fb>
    <v>0</v>
  </rv>
  <rv s="0">
    <fb>141.63999999999999</fb>
    <v>0</v>
  </rv>
  <rv s="0">
    <fb>142.41</fb>
    <v>0</v>
  </rv>
  <rv s="0">
    <fb>144.37</fb>
    <v>0</v>
  </rv>
  <rv s="0">
    <fb>148.51</fb>
    <v>0</v>
  </rv>
  <rv s="0">
    <fb>149.62</fb>
    <v>0</v>
  </rv>
  <rv s="0">
    <fb>151</fb>
    <v>0</v>
  </rv>
  <rv s="0">
    <fb>151.99</fb>
    <v>0</v>
  </rv>
  <rv s="0">
    <fb>149.94999999999999</fb>
    <v>0</v>
  </rv>
  <rv s="0">
    <fb>150.94</fb>
    <v>0</v>
  </rv>
  <rv s="0">
    <fb>153.38999999999999</fb>
    <v>0</v>
  </rv>
  <rv s="0">
    <fb>154.19</fb>
    <v>0</v>
  </rv>
  <rv s="0">
    <fb>156.49</fb>
    <v>0</v>
  </rv>
  <rv s="0">
    <fb>156.03</fb>
    <v>0</v>
  </rv>
  <rv s="0">
    <fb>153.91999999999999</fb>
    <v>0</v>
  </rv>
  <rv s="0">
    <fb>155.16</fb>
    <v>0</v>
  </rv>
  <rv s="0">
    <fb>157.11000000000001</fb>
    <v>0</v>
  </rv>
  <rv s="0">
    <fb>157.66</fb>
    <v>0</v>
  </rv>
  <rv s="0">
    <fb>156.97</fb>
    <v>0</v>
  </rv>
  <rv s="0">
    <fb>157.31</fb>
    <v>0</v>
  </rv>
  <rv s="0">
    <fb>159.38</fb>
    <v>0</v>
  </rv>
  <rv s="0">
    <fb>157.46</fb>
    <v>0</v>
  </rv>
  <rv s="0">
    <fb>156.08000000000001</fb>
    <v>0</v>
  </rv>
  <rv s="0">
    <fb>158.31</fb>
    <v>0</v>
  </rv>
  <rv s="0">
    <fb>158.43</fb>
    <v>0</v>
  </rv>
  <rv s="0">
    <fb>159.54</fb>
    <v>0</v>
  </rv>
  <rv s="0">
    <fb>164.14</fb>
    <v>0</v>
  </rv>
  <rv s="0">
    <fb>164.19</fb>
    <v>0</v>
  </rv>
  <rv s="0">
    <fb>165.26</fb>
    <v>0</v>
  </rv>
  <rv s="0">
    <fb>166.47</fb>
    <v>0</v>
  </rv>
  <rv s="0">
    <fb>91.98</fb>
    <v>0</v>
  </rv>
  <rv s="0">
    <fb>92.65</fb>
    <v>0</v>
  </rv>
  <rv s="0">
    <fb>91.35</fb>
    <v>0</v>
  </rv>
  <rv s="0">
    <fb>89.89</fb>
    <v>0</v>
  </rv>
  <rv s="0">
    <fb>92.41</fb>
    <v>0</v>
  </rv>
  <rv s="0">
    <fb>92.31</fb>
    <v>0</v>
  </rv>
  <rv s="0">
    <fb>88.55</fb>
    <v>0</v>
  </rv>
  <rv s="0">
    <fb>91.21</fb>
    <v>0</v>
  </rv>
  <rv s="0">
    <fb>92.98</fb>
    <v>0</v>
  </rv>
  <rv s="0">
    <fb>92.46</fb>
    <v>0</v>
  </rv>
  <rv s="0">
    <fb>93.18</fb>
    <v>0</v>
  </rv>
  <rv s="0">
    <fb>93.54</fb>
    <v>0</v>
  </rv>
  <rv s="0">
    <fb>93.37</fb>
    <v>0</v>
  </rv>
  <rv s="0">
    <fb>90.77</fb>
    <v>0</v>
  </rv>
  <rv s="0">
    <fb>91.41</fb>
    <v>0</v>
  </rv>
  <rv s="0">
    <fb>92.72</fb>
    <v>0</v>
  </rv>
  <rv s="0">
    <fb>90.11</fb>
    <v>0</v>
  </rv>
  <rv s="0">
    <fb>88.25</fb>
    <v>0</v>
  </rv>
  <rv s="0">
    <fb>85.6</fb>
    <v>0</v>
  </rv>
  <rv s="0">
    <fb>87.13</fb>
    <v>0</v>
  </rv>
  <rv s="0">
    <fb>87.08</fb>
    <v>0</v>
  </rv>
  <rv s="0">
    <fb>84.4</fb>
    <v>0</v>
  </rv>
  <rv s="0">
    <fb>81.099999999999994</fb>
    <v>0</v>
  </rv>
  <rv s="0">
    <fb>78.16</fb>
    <v>0</v>
  </rv>
  <rv s="0">
    <fb>73.66</fb>
    <v>0</v>
  </rv>
  <rv s="0">
    <fb>71.61</fb>
    <v>0</v>
  </rv>
  <rv s="0">
    <fb>76.540000000000006</fb>
    <v>0</v>
  </rv>
  <rv s="0">
    <fb>75.13</fb>
    <v>0</v>
  </rv>
  <rv s="0">
    <fb>75.510000000000005</fb>
    <v>0</v>
  </rv>
  <rv s="0">
    <fb>77.64</fb>
    <v>0</v>
  </rv>
  <rv s="0">
    <fb>81.37</fb>
    <v>0</v>
  </rv>
  <rv s="0">
    <fb>81.88</fb>
    <v>0</v>
  </rv>
  <rv s="0">
    <fb>82.95</fb>
    <v>0</v>
  </rv>
  <rv s="0">
    <fb>82.5</fb>
    <v>0</v>
  </rv>
  <rv s="0">
    <fb>83.5</fb>
    <v>0</v>
  </rv>
  <rv s="0">
    <fb>82.65</fb>
    <v>0</v>
  </rv>
  <rv s="0">
    <fb>79.45</fb>
    <v>0</v>
  </rv>
  <rv s="0">
    <fb>77.58</fb>
    <v>0</v>
  </rv>
  <rv s="0">
    <fb>79.02</fb>
    <v>0</v>
  </rv>
  <rv s="0">
    <fb>79.72</fb>
    <v>0</v>
  </rv>
  <rv s="0">
    <fb>80.459999999999994</fb>
    <v>0</v>
  </rv>
  <rv s="0">
    <fb>82.56</fb>
    <v>0</v>
  </rv>
  <rv s="0">
    <fb>84.26</fb>
    <v>0</v>
  </rv>
  <rv s="0">
    <fb>84.36</fb>
    <v>0</v>
  </rv>
  <rv s="0">
    <fb>82.66</fb>
    <v>0</v>
  </rv>
  <rv s="0">
    <fb>82.38</fb>
    <v>0</v>
  </rv>
  <rv s="0">
    <fb>82.27</fb>
    <v>0</v>
  </rv>
  <rv s="0">
    <fb>83.82</fb>
    <v>0</v>
  </rv>
  <rv s="0">
    <fb>83.27</fb>
    <v>0</v>
  </rv>
  <rv s="0">
    <fb>83.68</fb>
    <v>0</v>
  </rv>
  <rv s="0">
    <fb>85.24</fb>
    <v>0</v>
  </rv>
  <rv s="0">
    <fb>84.71</fb>
    <v>0</v>
  </rv>
  <rv s="0">
    <fb>88.38</fb>
    <v>0</v>
  </rv>
  <rv s="0">
    <fb>87.02</fb>
    <v>0</v>
  </rv>
  <rv s="0">
    <fb>86.27</fb>
    <v>0</v>
  </rv>
  <rv s="0">
    <fb>86.57</fb>
    <v>0</v>
  </rv>
  <rv s="0">
    <fb>85.93</fb>
    <v>0</v>
  </rv>
  <rv s="0">
    <fb>85.32</fb>
    <v>0</v>
  </rv>
  <rv s="0">
    <fb>86.92</fb>
    <v>0</v>
  </rv>
  <rv s="0">
    <fb>88.8</fb>
    <v>0</v>
  </rv>
  <rv s="0">
    <fb>90.92</fb>
    <v>0</v>
  </rv>
  <rv s="0">
    <fb>92.88</fb>
    <v>0</v>
  </rv>
  <rv s="0">
    <fb>93.65</fb>
    <v>0</v>
  </rv>
  <rv s="0">
    <fb>93.47</fb>
    <v>0</v>
  </rv>
  <rv s="0">
    <fb>94.98</fb>
    <v>0</v>
  </rv>
  <rv s="0">
    <fb>95.7</fb>
    <v>0</v>
  </rv>
  <rv s="0">
    <fb>94.12</fb>
    <v>0</v>
  </rv>
  <rv s="0">
    <fb>93.43</fb>
    <v>0</v>
  </rv>
  <rv s="0">
    <fb>97.3</fb>
    <v>0</v>
  </rv>
  <rv s="0">
    <fb>97.44</fb>
    <v>0</v>
  </rv>
  <rv s="0">
    <fb>95.86</fb>
    <v>0</v>
  </rv>
  <rv s="0">
    <fb>99.4</fb>
    <v>0</v>
  </rv>
  <rv s="0">
    <fb>103.6</fb>
    <v>0</v>
  </rv>
  <rv s="0">
    <fb>103.68</fb>
    <v>0</v>
  </rv>
  <rv s="0">
    <fb>105.27</fb>
    <v>0</v>
  </rv>
  <rv s="0">
    <fb>105.12</fb>
    <v>0</v>
  </rv>
  <rv s="0">
    <fb>107.91</fb>
    <v>0</v>
  </rv>
  <rv s="0">
    <fb>110.17</fb>
    <v>0</v>
  </rv>
  <rv s="0">
    <fb>107.56</fb>
    <v>0</v>
  </rv>
  <rv s="0">
    <fb>112.71</fb>
    <v>0</v>
  </rv>
  <rv s="0">
    <fb>109.86</fb>
    <v>0</v>
  </rv>
  <rv s="0">
    <fb>109.29</fb>
    <v>0</v>
  </rv>
  <rv s="0">
    <fb>108.96</fb>
    <v>0</v>
  </rv>
  <rv s="0">
    <fb>110.09</fb>
    <v>0</v>
  </rv>
  <rv s="0">
    <fb>114.11</fb>
    <v>0</v>
  </rv>
  <rv s="0">
    <fb>66</fb>
    <v>0</v>
  </rv>
  <rv s="0">
    <fb>66.254499999999993</fb>
    <v>0</v>
  </rv>
  <rv s="0">
    <fb>67.533500000000004</fb>
    <v>0</v>
  </rv>
  <rv s="0">
    <fb>67.463300000000004</fb>
    <v>0</v>
  </rv>
  <rv s="0">
    <fb>67.846699999999998</fb>
    <v>0</v>
  </rv>
  <rv s="0">
    <fb>67.328900000000004</fb>
    <v>0</v>
  </rv>
  <rv s="0">
    <fb>66.485699999999994</fb>
    <v>0</v>
  </rv>
  <rv s="0">
    <fb>66.528599999999997</fb>
    <v>0</v>
  </rv>
  <rv s="0">
    <fb>67.107200000000006</fb>
    <v>0</v>
  </rv>
  <rv s="0">
    <fb>67.625299999999996</fb>
    <v>0</v>
  </rv>
  <rv s="0">
    <fb>67.625799999999998</fb>
    <v>0</v>
  </rv>
  <rv s="0">
    <fb>68.008700000000005</fb>
    <v>0</v>
  </rv>
  <rv s="0">
    <fb>68.924300000000002</fb>
    <v>0</v>
  </rv>
  <rv s="0">
    <fb>69.197000000000003</fb>
    <v>0</v>
  </rv>
  <rv s="0">
    <fb>68.275899999999993</fb>
    <v>0</v>
  </rv>
  <rv s="0">
    <fb>67.675600000000003</fb>
    <v>0</v>
  </rv>
  <rv s="0">
    <fb>69.0779</fb>
    <v>0</v>
  </rv>
  <rv s="0">
    <fb>68.83</fb>
    <v>0</v>
  </rv>
  <rv s="0">
    <fb>69.239999999999995</fb>
    <v>0</v>
  </rv>
  <rv s="0">
    <fb>69.044300000000007</fb>
    <v>0</v>
  </rv>
  <rv s="0">
    <fb>69.468100000000007</fb>
    <v>0</v>
  </rv>
  <rv s="0">
    <fb>69.450699999999998</fb>
    <v>0</v>
  </rv>
  <rv s="0">
    <fb>69.769900000000007</fb>
    <v>0</v>
  </rv>
  <rv s="0">
    <fb>69.364900000000006</fb>
    <v>0</v>
  </rv>
  <rv s="0">
    <fb>68.846599999999995</fb>
    <v>0</v>
  </rv>
  <rv s="0">
    <fb>69.05</fb>
    <v>0</v>
  </rv>
  <rv s="0">
    <fb>70.342100000000002</fb>
    <v>0</v>
  </rv>
  <rv s="0">
    <fb>69.539000000000001</fb>
    <v>0</v>
  </rv>
  <rv s="0">
    <fb>67.870699999999999</fb>
    <v>0</v>
  </rv>
  <rv s="0">
    <fb>67.624700000000004</fb>
    <v>0</v>
  </rv>
  <rv s="0">
    <fb>66.873199999999997</fb>
    <v>0</v>
  </rv>
  <rv s="0">
    <fb>67.621099999999998</fb>
    <v>0</v>
  </rv>
  <rv s="0">
    <fb>68.205799999999996</fb>
    <v>0</v>
  </rv>
  <rv s="0">
    <fb>67.971699999999998</fb>
    <v>0</v>
  </rv>
  <rv s="0">
    <fb>67.850700000000003</fb>
    <v>0</v>
  </rv>
  <rv s="0">
    <fb>68.366799999999998</fb>
    <v>0</v>
  </rv>
  <rv s="0">
    <fb>68.356399999999994</fb>
    <v>0</v>
  </rv>
  <rv s="0">
    <fb>68.110900000000001</fb>
    <v>0</v>
  </rv>
  <rv s="0">
    <fb>67.644000000000005</fb>
    <v>0</v>
  </rv>
  <rv s="0">
    <fb>66.906099999999995</fb>
    <v>0</v>
  </rv>
  <rv s="0">
    <fb>66.23</fb>
    <v>0</v>
  </rv>
  <rv s="0">
    <fb>65.776600000000002</fb>
    <v>0</v>
  </rv>
  <rv s="0">
    <fb>66.712400000000002</fb>
    <v>0</v>
  </rv>
  <rv s="0">
    <fb>65.491399999999999</fb>
    <v>0</v>
  </rv>
  <rv s="0">
    <fb>65.261399999999995</fb>
    <v>0</v>
  </rv>
  <rv s="0">
    <fb>65.532200000000003</fb>
    <v>0</v>
  </rv>
  <rv s="0">
    <fb>65.934600000000003</fb>
    <v>0</v>
  </rv>
  <rv s="0">
    <fb>65.732200000000006</fb>
    <v>0</v>
  </rv>
  <rv s="0">
    <fb>65.533100000000005</fb>
    <v>0</v>
  </rv>
  <rv s="0">
    <fb>64.687600000000003</fb>
    <v>0</v>
  </rv>
  <rv s="0">
    <fb>66.235699999999994</fb>
    <v>0</v>
  </rv>
  <rv s="0">
    <fb>66.110699999999994</fb>
    <v>0</v>
  </rv>
  <rv s="0">
    <fb>67.000600000000006</fb>
    <v>0</v>
  </rv>
  <rv s="0">
    <fb>64.150000000000006</fb>
    <v>0</v>
  </rv>
  <rv s="0">
    <fb>63.44</fb>
    <v>0</v>
  </rv>
  <rv s="0">
    <fb>62.09</fb>
    <v>0</v>
  </rv>
  <rv s="0">
    <fb>63.295999999999999</fb>
    <v>0</v>
  </rv>
  <rv s="0">
    <fb>59.047400000000003</fb>
    <v>0</v>
  </rv>
  <rv s="0">
    <fb>58.570999999999998</fb>
    <v>0</v>
  </rv>
  <rv s="0">
    <fb>56.005200000000002</fb>
    <v>0</v>
  </rv>
  <rv s="0">
    <fb>59.582599999999999</fb>
    <v>0</v>
  </rv>
  <rv s="0">
    <fb>56.584600000000002</fb>
    <v>0</v>
  </rv>
  <rv s="0">
    <fb>58.231299999999997</fb>
    <v>0</v>
  </rv>
  <rv s="0">
    <fb>59.778599999999997</fb>
    <v>0</v>
  </rv>
  <rv s="0">
    <fb>59.971800000000002</fb>
    <v>0</v>
  </rv>
  <rv s="0">
    <fb>59.036000000000001</fb>
    <v>0</v>
  </rv>
  <rv s="0">
    <fb>59.031700000000001</fb>
    <v>0</v>
  </rv>
  <rv s="0">
    <fb>58.477200000000003</fb>
    <v>0</v>
  </rv>
  <rv s="0">
    <fb>59.719799999999999</fb>
    <v>0</v>
  </rv>
  <rv s="0">
    <fb>61.111899999999999</fb>
    <v>0</v>
  </rv>
  <rv s="0">
    <fb>61.080100000000002</fb>
    <v>0</v>
  </rv>
  <rv s="0">
    <fb>61.5441</fb>
    <v>0</v>
  </rv>
  <rv s="0">
    <fb>61.710099999999997</fb>
    <v>0</v>
  </rv>
  <rv s="0">
    <fb>61.6663</fb>
    <v>0</v>
  </rv>
  <rv s="0">
    <fb>62.631700000000002</fb>
    <v>0</v>
  </rv>
  <rv s="0">
    <fb>62.279499999999999</fb>
    <v>0</v>
  </rv>
  <rv s="0">
    <fb>59.8917</fb>
    <v>0</v>
  </rv>
  <rv s="0">
    <fb>60.330500000000001</fb>
    <v>0</v>
  </rv>
  <rv s="0">
    <fb>60.4786</fb>
    <v>0</v>
  </rv>
  <rv s="0">
    <fb>59.584600000000002</fb>
    <v>0</v>
  </rv>
  <rv s="0">
    <fb>62.048000000000002</fb>
    <v>0</v>
  </rv>
  <rv s="0">
    <fb>60.5182</fb>
    <v>0</v>
  </rv>
  <rv s="0">
    <fb>60.843899999999998</fb>
    <v>0</v>
  </rv>
  <rv s="0">
    <fb>62.309199999999997</fb>
    <v>0</v>
  </rv>
  <rv s="0">
    <fb>62.828299999999999</fb>
    <v>0</v>
  </rv>
  <rv s="0">
    <fb>63.339199999999998</fb>
    <v>0</v>
  </rv>
  <rv s="0">
    <fb>61.9495</fb>
    <v>0</v>
  </rv>
  <rv s="0">
    <fb>61.698</fb>
    <v>0</v>
  </rv>
  <rv s="0">
    <fb>61.73</fb>
    <v>0</v>
  </rv>
  <rv s="0">
    <fb>62.965299999999999</fb>
    <v>0</v>
  </rv>
  <rv s="0">
    <fb>62.622799999999998</fb>
    <v>0</v>
  </rv>
  <rv s="0">
    <fb>63.410400000000003</fb>
    <v>0</v>
  </rv>
  <rv s="0">
    <fb>62.61</fb>
    <v>0</v>
  </rv>
  <rv s="0">
    <fb>63.6051</fb>
    <v>0</v>
  </rv>
  <rv s="0">
    <fb>64.103700000000003</fb>
    <v>0</v>
  </rv>
  <rv s="0">
    <fb>64.411500000000004</fb>
    <v>0</v>
  </rv>
  <rv s="0">
    <fb>64.326599999999999</fb>
    <v>0</v>
  </rv>
  <rv s="0">
    <fb>65.332800000000006</fb>
    <v>0</v>
  </rv>
  <rv s="0">
    <fb>64.632900000000006</fb>
    <v>0</v>
  </rv>
  <rv s="0">
    <fb>64.745699999999999</fb>
    <v>0</v>
  </rv>
  <rv s="0">
    <fb>63.944299999999998</fb>
    <v>0</v>
  </rv>
  <rv s="0">
    <fb>64.524100000000004</fb>
    <v>0</v>
  </rv>
  <rv s="0">
    <fb>63.823599999999999</fb>
    <v>0</v>
  </rv>
  <rv s="0">
    <fb>63.920900000000003</fb>
    <v>0</v>
  </rv>
  <rv s="0">
    <fb>63.375999999999998</fb>
    <v>0</v>
  </rv>
  <rv s="0">
    <fb>64.374499999999998</fb>
    <v>0</v>
  </rv>
  <rv s="0">
    <fb>63.89</fb>
    <v>0</v>
  </rv>
  <rv s="0">
    <fb>65.664900000000003</fb>
    <v>0</v>
  </rv>
  <rv s="0">
    <fb>64.534199999999998</fb>
    <v>0</v>
  </rv>
  <rv s="0">
    <fb>65.194000000000003</fb>
    <v>0</v>
  </rv>
  <rv s="0">
    <fb>66.703699999999998</fb>
    <v>0</v>
  </rv>
  <rv s="0">
    <fb>67.305999999999997</fb>
    <v>0</v>
  </rv>
  <rv s="0">
    <fb>66.143100000000004</fb>
    <v>0</v>
  </rv>
  <rv s="0">
    <fb>66.912999999999997</fb>
    <v>0</v>
  </rv>
  <rv s="0">
    <fb>65.384200000000007</fb>
    <v>0</v>
  </rv>
  <rv s="0">
    <fb>65.618200000000002</fb>
    <v>0</v>
  </rv>
  <rv s="0">
    <fb>64.296099999999996</fb>
    <v>0</v>
  </rv>
  <rv s="0">
    <fb>63.997500000000002</fb>
    <v>0</v>
  </rv>
  <rv s="0">
    <fb>65.287300000000002</fb>
    <v>0</v>
  </rv>
  <rv s="0">
    <fb>66.665599999999998</fb>
    <v>0</v>
  </rv>
  <rv s="0">
    <fb>66.591300000000004</fb>
    <v>0</v>
  </rv>
  <rv s="0">
    <fb>65.9255</fb>
    <v>0</v>
  </rv>
  <rv s="0">
    <fb>65.849400000000003</fb>
    <v>0</v>
  </rv>
  <rv s="0">
    <fb>65.3005</fb>
    <v>0</v>
  </rv>
  <rv s="0">
    <fb>65.540599999999998</fb>
    <v>0</v>
  </rv>
  <rv s="0">
    <fb>66.516199999999998</fb>
    <v>0</v>
  </rv>
  <rv s="0">
    <fb>66.041499999999999</fb>
    <v>0</v>
  </rv>
  <rv s="0">
    <fb>65.137699999999995</fb>
    <v>0</v>
  </rv>
  <rv s="0">
    <fb>64.9495</fb>
    <v>0</v>
  </rv>
  <rv s="0">
    <fb>64.936400000000006</fb>
    <v>0</v>
  </rv>
  <rv s="0">
    <fb>67.673599999999993</fb>
    <v>0</v>
  </rv>
  <rv s="0">
    <fb>67.179299999999998</fb>
    <v>0</v>
  </rv>
  <rv s="0">
    <fb>67.805000000000007</fb>
    <v>0</v>
  </rv>
  <rv s="0">
    <fb>67.676599999999993</fb>
    <v>0</v>
  </rv>
  <rv s="0">
    <fb>68.068600000000004</fb>
    <v>0</v>
  </rv>
  <rv s="0">
    <fb>68.838399999999993</fb>
    <v>0</v>
  </rv>
  <rv s="0">
    <fb>67.58</fb>
    <v>0</v>
  </rv>
  <rv s="0">
    <fb>67.86</fb>
    <v>0</v>
  </rv>
  <rv s="0">
    <fb>68.197800000000001</fb>
    <v>0</v>
  </rv>
  <rv s="0">
    <fb>68.451099999999997</fb>
    <v>0</v>
  </rv>
  <rv s="0">
    <fb>70.585599999999999</fb>
    <v>0</v>
  </rv>
  <rv s="0">
    <fb>70.263000000000005</fb>
    <v>0</v>
  </rv>
  <rv s="0">
    <fb>70.986000000000004</fb>
    <v>0</v>
  </rv>
  <rv s="0">
    <fb>70.772000000000006</fb>
    <v>0</v>
  </rv>
  <rv s="0">
    <fb>69.955500000000001</fb>
    <v>0</v>
  </rv>
  <rv s="0">
    <fb>71.438299999999998</fb>
    <v>0</v>
  </rv>
  <rv s="0">
    <fb>70.131399999999999</fb>
    <v>0</v>
  </rv>
  <rv s="0">
    <fb>69.574799999999996</fb>
    <v>0</v>
  </rv>
  <rv s="0">
    <fb>71.031999999999996</fb>
    <v>0</v>
  </rv>
  <rv s="0">
    <fb>70.52</fb>
    <v>0</v>
  </rv>
  <rv s="0">
    <fb>70.367800000000003</fb>
    <v>0</v>
  </rv>
  <rv s="0">
    <fb>69.912000000000006</fb>
    <v>0</v>
  </rv>
  <rv s="0">
    <fb>69.136899999999997</fb>
    <v>0</v>
  </rv>
  <rv s="0">
    <fb>67.849999999999994</fb>
    <v>0</v>
  </rv>
  <rv s="0">
    <fb>69.150000000000006</fb>
    <v>0</v>
  </rv>
  <rv s="0">
    <fb>71.638099999999994</fb>
    <v>0</v>
  </rv>
  <rv s="0">
    <fb>72.010000000000005</fb>
    <v>0</v>
  </rv>
  <rv s="0">
    <fb>72.708299999999994</fb>
    <v>0</v>
  </rv>
  <rv s="0">
    <fb>72.563800000000001</fb>
    <v>0</v>
  </rv>
  <rv s="0">
    <fb>71.930000000000007</fb>
    <v>0</v>
  </rv>
  <rv s="0">
    <fb>72.045299999999997</fb>
    <v>0</v>
  </rv>
  <rv s="0">
    <fb>71.55</fb>
    <v>0</v>
  </rv>
  <rv s="0">
    <fb>70.359099999999998</fb>
    <v>0</v>
  </rv>
  <rv s="0">
    <fb>70.669899999999998</fb>
    <v>0</v>
  </rv>
  <rv s="0">
    <fb>70.709999999999994</fb>
    <v>0</v>
  </rv>
  <rv s="0">
    <fb>71.618600000000001</fb>
    <v>0</v>
  </rv>
  <rv s="0">
    <fb>71.740499999999997</fb>
    <v>0</v>
  </rv>
  <rv s="0">
    <fb>72.227000000000004</fb>
    <v>0</v>
  </rv>
  <rv s="0">
    <fb>73.170699999999997</fb>
    <v>0</v>
  </rv>
  <rv s="0">
    <fb>73.361000000000004</fb>
    <v>0</v>
  </rv>
  <rv s="0">
    <fb>72.777699999999996</fb>
    <v>0</v>
  </rv>
  <rv s="0">
    <fb>73.208799999999997</fb>
    <v>0</v>
  </rv>
  <rv s="0">
    <fb>73.428299999999993</fb>
    <v>0</v>
  </rv>
  <rv s="0">
    <fb>73.83</fb>
    <v>0</v>
  </rv>
  <rv s="0">
    <fb>73.882599999999996</fb>
    <v>0</v>
  </rv>
  <rv s="0">
    <fb>72.796599999999998</fb>
    <v>0</v>
  </rv>
  <rv s="0">
    <fb>73.220100000000002</fb>
    <v>0</v>
  </rv>
  <rv s="0">
    <fb>74.830399999999997</fb>
    <v>0</v>
  </rv>
  <rv s="0">
    <fb>74.686199999999999</fb>
    <v>0</v>
  </rv>
  <rv s="0">
    <fb>73.760300000000001</fb>
    <v>0</v>
  </rv>
  <rv s="0">
    <fb>76.761600000000001</fb>
    <v>0</v>
  </rv>
  <rv s="0">
    <fb>76.3262</fb>
    <v>0</v>
  </rv>
  <rv s="0">
    <fb>76.12</fb>
    <v>0</v>
  </rv>
  <rv s="0">
    <fb>77.972899999999996</fb>
    <v>0</v>
  </rv>
  <rv s="0">
    <fb>78.439599999999999</fb>
    <v>0</v>
  </rv>
  <rv s="0">
    <fb>77.6357</fb>
    <v>0</v>
  </rv>
  <rv s="0">
    <fb>77.575500000000005</fb>
    <v>0</v>
  </rv>
  <rv s="0">
    <fb>78.115600000000001</fb>
    <v>0</v>
  </rv>
  <rv s="0">
    <fb>23.44</fb>
    <v>0</v>
  </rv>
  <rv s="0">
    <fb>23.31</fb>
    <v>0</v>
  </rv>
  <rv s="0">
    <fb>22.4</fb>
    <v>0</v>
  </rv>
  <rv s="0">
    <fb>22.38</fb>
    <v>0</v>
  </rv>
  <rv s="0">
    <fb>22.79</fb>
    <v>0</v>
  </rv>
  <rv s="0">
    <fb>22.83</fb>
    <v>0</v>
  </rv>
  <rv s="0">
    <fb>22.96</fb>
    <v>0</v>
  </rv>
  <rv s="0">
    <fb>22.63</fb>
    <v>0</v>
  </rv>
  <rv s="0">
    <fb>23</fb>
    <v>0</v>
  </rv>
  <rv s="0">
    <fb>23.17</fb>
    <v>0</v>
  </rv>
  <rv s="0">
    <fb>23.63</fb>
    <v>0</v>
  </rv>
  <rv s="0">
    <fb>23.21</fb>
    <v>0</v>
  </rv>
  <rv s="0">
    <fb>21.95</fb>
    <v>0</v>
  </rv>
  <rv s="0">
    <fb>21.56</fb>
    <v>0</v>
  </rv>
  <rv s="0">
    <fb>21.92</fb>
    <v>0</v>
  </rv>
  <rv s="0">
    <fb>21.9</fb>
    <v>0</v>
  </rv>
  <rv s="0">
    <fb>22.97</fb>
    <v>0</v>
  </rv>
  <rv s="0">
    <fb>22.8</fb>
    <v>0</v>
  </rv>
  <rv s="0">
    <fb>22.3</fb>
    <v>0</v>
  </rv>
  <rv s="0">
    <fb>22.41</fb>
    <v>0</v>
  </rv>
  <rv s="0">
    <fb>22.5</fb>
    <v>0</v>
  </rv>
  <rv s="0">
    <fb>22.47</fb>
    <v>0</v>
  </rv>
  <rv s="0">
    <fb>22.35</fb>
    <v>0</v>
  </rv>
  <rv s="0">
    <fb>22.74</fb>
    <v>0</v>
  </rv>
  <rv s="0">
    <fb>22.91</fb>
    <v>0</v>
  </rv>
  <rv s="0">
    <fb>22.457599999999999</fb>
    <v>0</v>
  </rv>
  <rv s="0">
    <fb>22.023199999999999</fb>
    <v>0</v>
  </rv>
  <rv s="0">
    <fb>22.55</fb>
    <v>0</v>
  </rv>
  <rv s="0">
    <fb>22.36</fb>
    <v>0</v>
  </rv>
  <rv s="0">
    <fb>22.519400000000001</fb>
    <v>0</v>
  </rv>
  <rv s="0">
    <fb>21.7774</fb>
    <v>0</v>
  </rv>
  <rv s="0">
    <fb>21.97</fb>
    <v>0</v>
  </rv>
  <rv s="0">
    <fb>21.76</fb>
    <v>0</v>
  </rv>
  <rv s="0">
    <fb>21.71</fb>
    <v>0</v>
  </rv>
  <rv s="0">
    <fb>21.793099999999999</fb>
    <v>0</v>
  </rv>
  <rv s="0">
    <fb>21.53</fb>
    <v>0</v>
  </rv>
  <rv s="0">
    <fb>21.17</fb>
    <v>0</v>
  </rv>
  <rv s="0">
    <fb>20.49</fb>
    <v>0</v>
  </rv>
  <rv s="0">
    <fb>19.975000000000001</fb>
    <v>0</v>
  </rv>
  <rv s="0">
    <fb>20.39</fb>
    <v>0</v>
  </rv>
  <rv s="0">
    <fb>19.91</fb>
    <v>0</v>
  </rv>
  <rv s="0">
    <fb>18.829999999999998</fb>
    <v>0</v>
  </rv>
  <rv s="0">
    <fb>18.5</fb>
    <v>0</v>
  </rv>
  <rv s="0">
    <fb>17.920000000000002</fb>
    <v>0</v>
  </rv>
  <rv s="0">
    <fb>18.97</fb>
    <v>0</v>
  </rv>
  <rv s="0">
    <fb>18.149999999999999</fb>
    <v>0</v>
  </rv>
  <rv s="0">
    <fb>19.02</fb>
    <v>0</v>
  </rv>
  <rv s="0">
    <fb>19.54</fb>
    <v>0</v>
  </rv>
  <rv s="0">
    <fb>19.46</fb>
    <v>0</v>
  </rv>
  <rv s="0">
    <fb>19.16</fb>
    <v>0</v>
  </rv>
  <rv s="0">
    <fb>19.32</fb>
    <v>0</v>
  </rv>
  <rv s="0">
    <fb>19.36</fb>
    <v>0</v>
  </rv>
  <rv s="0">
    <fb>20</fb>
    <v>0</v>
  </rv>
  <rv s="0">
    <fb>20.27</fb>
    <v>0</v>
  </rv>
  <rv s="0">
    <fb>20.69</fb>
    <v>0</v>
  </rv>
  <rv s="0">
    <fb>20.420000000000002</fb>
    <v>0</v>
  </rv>
  <rv s="0">
    <fb>20.76</fb>
    <v>0</v>
  </rv>
  <rv s="0">
    <fb>21.06</fb>
    <v>0</v>
  </rv>
  <rv s="0">
    <fb>19.62</fb>
    <v>0</v>
  </rv>
  <rv s="0">
    <fb>19.510999999999999</fb>
    <v>0</v>
  </rv>
  <rv s="0">
    <fb>19.59</fb>
    <v>0</v>
  </rv>
  <rv s="0">
    <fb>19.760000000000002</fb>
    <v>0</v>
  </rv>
  <rv s="0">
    <fb>19.13</fb>
    <v>0</v>
  </rv>
  <rv s="0">
    <fb>19.510000000000002</fb>
    <v>0</v>
  </rv>
  <rv s="0">
    <fb>19.809999999999999</fb>
    <v>0</v>
  </rv>
  <rv s="0">
    <fb>20.059999999999999</fb>
    <v>0</v>
  </rv>
  <rv s="0">
    <fb>20.177700000000002</fb>
    <v>0</v>
  </rv>
  <rv s="0">
    <fb>20.079999999999998</fb>
    <v>0</v>
  </rv>
  <rv s="0">
    <fb>20.2</fb>
    <v>0</v>
  </rv>
  <rv s="0">
    <fb>19.989999999999998</fb>
    <v>0</v>
  </rv>
  <rv s="0">
    <fb>20.43</fb>
    <v>0</v>
  </rv>
  <rv s="0">
    <fb>20.23</fb>
    <v>0</v>
  </rv>
  <rv s="0">
    <fb>20.502300000000002</fb>
    <v>0</v>
  </rv>
  <rv s="0">
    <fb>20.78</fb>
    <v>0</v>
  </rv>
  <rv s="0">
    <fb>20.86</fb>
    <v>0</v>
  </rv>
  <rv s="0">
    <fb>20.75</fb>
    <v>0</v>
  </rv>
  <rv s="0">
    <fb>21.1</fb>
    <v>0</v>
  </rv>
  <rv s="0">
    <fb>21.332999999999998</fb>
    <v>0</v>
  </rv>
  <rv s="0">
    <fb>21.45</fb>
    <v>0</v>
  </rv>
  <rv s="0">
    <fb>21.497399999999999</fb>
    <v>0</v>
  </rv>
  <rv s="0">
    <fb>21.16</fb>
    <v>0</v>
  </rv>
  <rv s="0">
    <fb>20.54</fb>
    <v>0</v>
  </rv>
  <rv s="0">
    <fb>20.433</fb>
    <v>0</v>
  </rv>
  <rv s="0">
    <fb>20.71</fb>
    <v>0</v>
  </rv>
  <rv s="0">
    <fb>20.45</fb>
    <v>0</v>
  </rv>
  <rv s="0">
    <fb>20.64</fb>
    <v>0</v>
  </rv>
  <rv s="0">
    <fb>20.946899999999999</fb>
    <v>0</v>
  </rv>
  <rv s="0">
    <fb>21.52</fb>
    <v>0</v>
  </rv>
  <rv s="0">
    <fb>21.19</fb>
    <v>0</v>
  </rv>
  <rv s="0">
    <fb>21.36</fb>
    <v>0</v>
  </rv>
  <rv s="0">
    <fb>20.93</fb>
    <v>0</v>
  </rv>
  <rv s="0">
    <fb>21.37</fb>
    <v>0</v>
  </rv>
  <rv s="0">
    <fb>21.307200000000002</fb>
    <v>0</v>
  </rv>
  <rv s="0">
    <fb>21.83</fb>
    <v>0</v>
  </rv>
  <rv s="0">
    <fb>22.266100000000002</fb>
    <v>0</v>
  </rv>
  <rv s="0">
    <fb>22.2</fb>
    <v>0</v>
  </rv>
  <rv s="0">
    <fb>21.85</fb>
    <v>0</v>
  </rv>
  <rv s="0">
    <fb>21.15</fb>
    <v>0</v>
  </rv>
  <rv s="0">
    <fb>21.579899999999999</fb>
    <v>0</v>
  </rv>
  <rv s="0">
    <fb>21.351299999999998</fb>
    <v>0</v>
  </rv>
  <rv s="0">
    <fb>21.151599999999998</fb>
    <v>0</v>
  </rv>
  <rv s="0">
    <fb>21.054500000000001</fb>
    <v>0</v>
  </rv>
  <rv s="0">
    <fb>21.65</fb>
    <v>0</v>
  </rv>
  <rv s="0">
    <fb>22.88</fb>
    <v>0</v>
  </rv>
  <rv s="0">
    <fb>22.792999999999999</fb>
    <v>0</v>
  </rv>
  <rv s="0">
    <fb>22.5425</fb>
    <v>0</v>
  </rv>
  <rv s="0">
    <fb>22.37</fb>
    <v>0</v>
  </rv>
  <rv s="0">
    <fb>22.384</fb>
    <v>0</v>
  </rv>
  <rv s="0">
    <fb>22.34</fb>
    <v>0</v>
  </rv>
  <rv s="0">
    <fb>22.157599999999999</fb>
    <v>0</v>
  </rv>
  <rv s="0">
    <fb>22.3462</fb>
    <v>0</v>
  </rv>
  <rv s="0">
    <fb>22.626999999999999</fb>
    <v>0</v>
  </rv>
  <rv s="0">
    <fb>22.57</fb>
    <v>0</v>
  </rv>
  <rv s="0">
    <fb>22.811199999999999</fb>
    <v>0</v>
  </rv>
  <rv s="0">
    <fb>22.75</fb>
    <v>0</v>
  </rv>
  <rv s="0">
    <fb>22.645</fb>
    <v>0</v>
  </rv>
  <rv s="0">
    <fb>22.746600000000001</fb>
    <v>0</v>
  </rv>
  <rv s="0">
    <fb>22.72</fb>
    <v>0</v>
  </rv>
  <rv s="0">
    <fb>23.2</fb>
    <v>0</v>
  </rv>
  <rv s="0">
    <fb>22.94</fb>
    <v>0</v>
  </rv>
  <rv s="0">
    <fb>23.05</fb>
    <v>0</v>
  </rv>
  <rv s="0">
    <fb>23.614599999999999</fb>
    <v>0</v>
  </rv>
  <rv s="0">
    <fb>24.33</fb>
    <v>0</v>
  </rv>
  <rv s="0">
    <fb>24.46</fb>
    <v>0</v>
  </rv>
  <rv s="0">
    <fb>24.64</fb>
    <v>0</v>
  </rv>
  <rv s="0">
    <fb>24.54</fb>
    <v>0</v>
  </rv>
  <rv s="0">
    <fb>24.48</fb>
    <v>0</v>
  </rv>
  <rv s="0">
    <fb>24.82</fb>
    <v>0</v>
  </rv>
  <rv s="0">
    <fb>24.56</fb>
    <v>0</v>
  </rv>
  <rv s="0">
    <fb>24.02</fb>
    <v>0</v>
  </rv>
  <rv s="0">
    <fb>24.32</fb>
    <v>0</v>
  </rv>
  <rv s="0">
    <fb>24.611599999999999</fb>
    <v>0</v>
  </rv>
  <rv s="0">
    <fb>24.98</fb>
    <v>0</v>
  </rv>
  <rv s="0">
    <fb>24.55</fb>
    <v>0</v>
  </rv>
  <rv s="0">
    <fb>24.531300000000002</fb>
    <v>0</v>
  </rv>
  <rv s="0">
    <fb>24.89</fb>
    <v>0</v>
  </rv>
  <rv s="0">
    <fb>25.43</fb>
    <v>0</v>
  </rv>
  <rv s="0">
    <fb>25.357099999999999</fb>
    <v>0</v>
  </rv>
  <rv s="0">
    <fb>25.09</fb>
    <v>0</v>
  </rv>
  <rv s="0">
    <fb>25.21</fb>
    <v>0</v>
  </rv>
  <rv s="0">
    <fb>25.355</fb>
    <v>0</v>
  </rv>
  <rv s="0">
    <fb>24.93</fb>
    <v>0</v>
  </rv>
  <rv s="0">
    <fb>24.62</fb>
    <v>0</v>
  </rv>
  <rv s="0">
    <fb>24.99</fb>
    <v>0</v>
  </rv>
  <rv s="0">
    <fb>24.77</fb>
    <v>0</v>
  </rv>
  <rv s="0">
    <fb>25.18</fb>
    <v>0</v>
  </rv>
  <rv s="0">
    <fb>26.08</fb>
    <v>0</v>
  </rv>
  <rv s="0">
    <fb>59.42</fb>
    <v>0</v>
  </rv>
  <rv s="0">
    <fb>57.92</fb>
    <v>0</v>
  </rv>
  <rv s="0">
    <fb>58.87</fb>
    <v>0</v>
  </rv>
  <rv s="0">
    <fb>59.56</fb>
    <v>0</v>
  </rv>
  <rv s="0">
    <fb>58.46</fb>
    <v>0</v>
  </rv>
  <rv s="0">
    <fb>58.35</fb>
    <v>0</v>
  </rv>
  <rv s="0">
    <fb>59.51</fb>
    <v>0</v>
  </rv>
  <rv s="0">
    <fb>59.85</fb>
    <v>0</v>
  </rv>
  <rv s="0">
    <fb>59.7</fb>
    <v>0</v>
  </rv>
  <rv s="0">
    <fb>60.62</fb>
    <v>0</v>
  </rv>
  <rv s="0">
    <fb>64.17</fb>
    <v>0</v>
  </rv>
  <rv s="0">
    <fb>64.25</fb>
    <v>0</v>
  </rv>
  <rv s="0">
    <fb>63.16</fb>
    <v>0</v>
  </rv>
  <rv s="0">
    <fb>63.92</fb>
    <v>0</v>
  </rv>
  <rv s="0">
    <fb>63.11</fb>
    <v>0</v>
  </rv>
  <rv s="0">
    <fb>60.36</fb>
    <v>0</v>
  </rv>
  <rv s="0">
    <fb>59.34</fb>
    <v>0</v>
  </rv>
  <rv s="0">
    <fb>59.17</fb>
    <v>0</v>
  </rv>
  <rv s="0">
    <fb>59.52</fb>
    <v>0</v>
  </rv>
  <rv s="0">
    <fb>59.99</fb>
    <v>0</v>
  </rv>
  <rv s="0">
    <fb>55.38</fb>
    <v>0</v>
  </rv>
  <rv s="0">
    <fb>54.27</fb>
    <v>0</v>
  </rv>
  <rv s="0">
    <fb>58.14</fb>
    <v>0</v>
  </rv>
  <rv s="0">
    <fb>55.89</fb>
    <v>0</v>
  </rv>
  <rv s="0">
    <fb>57.07</fb>
    <v>0</v>
  </rv>
  <rv s="0">
    <fb>59.27</fb>
    <v>0</v>
  </rv>
  <rv s="0">
    <fb>60.47</fb>
    <v>0</v>
  </rv>
  <rv s="0">
    <fb>60.05</fb>
    <v>0</v>
  </rv>
  <rv s="0">
    <fb>60.72</fb>
    <v>0</v>
  </rv>
  <rv s="0">
    <fb>62.02</fb>
    <v>0</v>
  </rv>
  <rv s="0">
    <fb>61.67</fb>
    <v>0</v>
  </rv>
  <rv s="0">
    <fb>63.01</fb>
    <v>0</v>
  </rv>
  <rv s="0">
    <fb>61.32</fb>
    <v>0</v>
  </rv>
  <rv s="0">
    <fb>60.71</fb>
    <v>0</v>
  </rv>
  <rv s="0">
    <fb>61.9</fb>
    <v>0</v>
  </rv>
  <rv s="0">
    <fb>61.6</fb>
    <v>0</v>
  </rv>
  <rv s="0">
    <fb>61.87</fb>
    <v>0</v>
  </rv>
  <rv s="0">
    <fb>61.21</fb>
    <v>0</v>
  </rv>
  <rv s="0">
    <fb>60.82</fb>
    <v>0</v>
  </rv>
  <rv s="0">
    <fb>62.64</fb>
    <v>0</v>
  </rv>
  <rv s="0">
    <fb>62.3</fb>
    <v>0</v>
  </rv>
  <rv s="0">
    <fb>60.97</fb>
    <v>0</v>
  </rv>
  <rv s="0">
    <fb>61.43</fb>
    <v>0</v>
  </rv>
  <rv s="0">
    <fb>61.17</fb>
    <v>0</v>
  </rv>
  <rv s="0">
    <fb>61.46</fb>
    <v>0</v>
  </rv>
  <rv s="0">
    <fb>59.78</fb>
    <v>0</v>
  </rv>
  <rv s="0">
    <fb>62.21</fb>
    <v>0</v>
  </rv>
  <rv s="0">
    <fb>62.44</fb>
    <v>0</v>
  </rv>
  <rv s="0">
    <fb>62.53</fb>
    <v>0</v>
  </rv>
  <rv s="0">
    <fb>60.9</fb>
    <v>0</v>
  </rv>
  <rv s="0">
    <fb>60.33</fb>
    <v>0</v>
  </rv>
  <rv s="0">
    <fb>60.63</fb>
    <v>0</v>
  </rv>
  <rv s="0">
    <fb>58.83</fb>
    <v>0</v>
  </rv>
  <rv s="0">
    <fb>58.86</fb>
    <v>0</v>
  </rv>
  <rv s="0">
    <fb>59.45</fb>
    <v>0</v>
  </rv>
  <rv s="0">
    <fb>59.82</fb>
    <v>0</v>
  </rv>
  <rv s="0">
    <fb>60.69</fb>
    <v>0</v>
  </rv>
  <rv s="0">
    <fb>61.03</fb>
    <v>0</v>
  </rv>
  <rv s="0">
    <fb>60.6</fb>
    <v>0</v>
  </rv>
  <rv s="0">
    <fb>61.26</fb>
    <v>0</v>
  </rv>
  <rv s="0">
    <fb>63.18</fb>
    <v>0</v>
  </rv>
  <rv s="0">
    <fb>88.248000000000005</fb>
    <v>0</v>
  </rv>
  <rv s="0">
    <fb>88.099900000000005</fb>
    <v>0</v>
  </rv>
  <rv s="0">
    <fb>89.6</fb>
    <v>0</v>
  </rv>
  <rv s="0">
    <fb>89.96</fb>
    <v>0</v>
  </rv>
  <rv s="0">
    <fb>91.5</fb>
    <v>0</v>
  </rv>
  <rv s="0">
    <fb>91.94</fb>
    <v>0</v>
  </rv>
  <rv s="0">
    <fb>90.7</fb>
    <v>0</v>
  </rv>
  <rv s="0">
    <fb>90.9</fb>
    <v>0</v>
  </rv>
  <rv s="0">
    <fb>92.12</fb>
    <v>0</v>
  </rv>
  <rv s="0">
    <fb>94.29</fb>
    <v>0</v>
  </rv>
  <rv s="0">
    <fb>95.67</fb>
    <v>0</v>
  </rv>
  <rv s="0">
    <fb>93.900300000000001</fb>
    <v>0</v>
  </rv>
  <rv s="0">
    <fb>94.71</fb>
    <v>0</v>
  </rv>
  <rv s="0">
    <fb>95.725200000000001</fb>
    <v>0</v>
  </rv>
  <rv s="0">
    <fb>93.93</fb>
    <v>0</v>
  </rv>
  <rv s="0">
    <fb>92.75</fb>
    <v>0</v>
  </rv>
  <rv s="0">
    <fb>91.36</fb>
    <v>0</v>
  </rv>
  <rv s="0">
    <fb>90.02</fb>
    <v>0</v>
  </rv>
  <rv s="0">
    <fb>88.186800000000005</fb>
    <v>0</v>
  </rv>
  <rv s="0">
    <fb>88.552199999999999</fb>
    <v>0</v>
  </rv>
  <rv s="0">
    <fb>87.2607</fb>
    <v>0</v>
  </rv>
  <rv s="0">
    <fb>87.009100000000004</fb>
    <v>0</v>
  </rv>
  <rv s="0">
    <fb>85.23</fb>
    <v>0</v>
  </rv>
  <rv s="0">
    <fb>85.89</fb>
    <v>0</v>
  </rv>
  <rv s="0">
    <fb>83.65</fb>
    <v>0</v>
  </rv>
  <rv s="0">
    <fb>81.045000000000002</fb>
    <v>0</v>
  </rv>
  <rv s="0">
    <fb>82.456999999999994</fb>
    <v>0</v>
  </rv>
  <rv s="0">
    <fb>83.97</fb>
    <v>0</v>
  </rv>
  <rv s="0">
    <fb>83.1447</fb>
    <v>0</v>
  </rv>
  <rv s="0">
    <fb>84.014399999999995</fb>
    <v>0</v>
  </rv>
  <rv s="0">
    <fb>82.94</fb>
    <v>0</v>
  </rv>
  <rv s="0">
    <fb>84.806700000000006</fb>
    <v>0</v>
  </rv>
  <rv s="0">
    <fb>84.03</fb>
    <v>0</v>
  </rv>
  <rv s="0">
    <fb>83.143699999999995</fb>
    <v>0</v>
  </rv>
  <rv s="0">
    <fb>81.849999999999994</fb>
    <v>0</v>
  </rv>
  <rv s="0">
    <fb>83</fb>
    <v>0</v>
  </rv>
  <rv s="0">
    <fb>75.11</fb>
    <v>0</v>
  </rv>
  <rv s="0">
    <fb>75.17</fb>
    <v>0</v>
  </rv>
  <rv s="0">
    <fb>77.709999999999994</fb>
    <v>0</v>
  </rv>
  <rv s="0">
    <fb>74.534000000000006</fb>
    <v>0</v>
  </rv>
  <rv s="0">
    <fb>76.603200000000001</fb>
    <v>0</v>
  </rv>
  <rv s="0">
    <fb>75.56</fb>
    <v>0</v>
  </rv>
  <rv s="0">
    <fb>74.91</fb>
    <v>0</v>
  </rv>
  <rv s="0">
    <fb>75.430000000000007</fb>
    <v>0</v>
  </rv>
  <rv s="0">
    <fb>74.349999999999994</fb>
    <v>0</v>
  </rv>
  <rv s="0">
    <fb>79.611199999999997</fb>
    <v>0</v>
  </rv>
  <rv s="0">
    <fb>79.992999999999995</fb>
    <v>0</v>
  </rv>
  <rv s="0">
    <fb>79.056899999999999</fb>
    <v>0</v>
  </rv>
  <rv s="0">
    <fb>78.965500000000006</fb>
    <v>0</v>
  </rv>
  <rv s="0">
    <fb>81.815600000000003</fb>
    <v>0</v>
  </rv>
  <rv s="0">
    <fb>82.326400000000007</fb>
    <v>0</v>
  </rv>
  <rv s="0">
    <fb>83.4</fb>
    <v>0</v>
  </rv>
  <rv s="0">
    <fb>83.3339</fb>
    <v>0</v>
  </rv>
  <rv s="0">
    <fb>80.411299999999997</fb>
    <v>0</v>
  </rv>
  <rv s="0">
    <fb>80.003799999999998</fb>
    <v>0</v>
  </rv>
  <rv s="0">
    <fb>82.324399999999997</fb>
    <v>0</v>
  </rv>
  <rv s="0">
    <fb>81.694999999999993</fb>
    <v>0</v>
  </rv>
  <rv s="0">
    <fb>81.721100000000007</fb>
    <v>0</v>
  </rv>
  <rv s="0">
    <fb>80.180000000000007</fb>
    <v>0</v>
  </rv>
  <rv s="0">
    <fb>81.540199999999999</fb>
    <v>0</v>
  </rv>
  <rv s="0">
    <fb>81.650999999999996</fb>
    <v>0</v>
  </rv>
  <rv s="0">
    <fb>82.21</fb>
    <v>0</v>
  </rv>
  <rv s="0">
    <fb>83.245000000000005</fb>
    <v>0</v>
  </rv>
  <rv s="0">
    <fb>82.29</fb>
    <v>0</v>
  </rv>
  <rv s="0">
    <fb>80.081000000000003</fb>
    <v>0</v>
  </rv>
  <rv s="0">
    <fb>79.239999999999995</fb>
    <v>0</v>
  </rv>
  <rv s="0">
    <fb>80.952799999999996</fb>
    <v>0</v>
  </rv>
  <rv s="0">
    <fb>81.209999999999994</fb>
    <v>0</v>
  </rv>
  <rv s="0">
    <fb>81.853800000000007</fb>
    <v>0</v>
  </rv>
  <rv s="0">
    <fb>79.938000000000002</fb>
    <v>0</v>
  </rv>
  <rv s="0">
    <fb>79.95</fb>
    <v>0</v>
  </rv>
  <rv s="0">
    <fb>78.150000000000006</fb>
    <v>0</v>
  </rv>
  <rv s="0">
    <fb>77.89</fb>
    <v>0</v>
  </rv>
  <rv s="0">
    <fb>76.61</fb>
    <v>0</v>
  </rv>
  <rv s="0">
    <fb>78.055000000000007</fb>
    <v>0</v>
  </rv>
  <rv s="0">
    <fb>80</fb>
    <v>0</v>
  </rv>
  <rv s="0">
    <fb>78.709999999999994</fb>
    <v>0</v>
  </rv>
  <rv s="0">
    <fb>78.97</fb>
    <v>0</v>
  </rv>
  <rv s="0">
    <fb>76.201599999999999</fb>
    <v>0</v>
  </rv>
  <rv s="0">
    <fb>76.475899999999996</fb>
    <v>0</v>
  </rv>
  <rv s="0">
    <fb>78.198300000000003</fb>
    <v>0</v>
  </rv>
  <rv s="0">
    <fb>78.074299999999994</fb>
    <v>0</v>
  </rv>
  <rv s="0">
    <fb>76.724000000000004</fb>
    <v>0</v>
  </rv>
  <rv s="0">
    <fb>77.16</fb>
    <v>0</v>
  </rv>
  <rv s="0">
    <fb>77.972700000000003</fb>
    <v>0</v>
  </rv>
  <rv s="0">
    <fb>77.991399999999999</fb>
    <v>0</v>
  </rv>
  <rv s="0">
    <fb>79.410200000000003</fb>
    <v>0</v>
  </rv>
  <rv s="0">
    <fb>81.150999999999996</fb>
    <v>0</v>
  </rv>
  <rv s="0">
    <fb>80.232900000000001</fb>
    <v>0</v>
  </rv>
  <rv s="0">
    <fb>80.486900000000006</fb>
    <v>0</v>
  </rv>
  <rv s="0">
    <fb>83.34</fb>
    <v>0</v>
  </rv>
  <rv s="0">
    <fb>81.709999999999994</fb>
    <v>0</v>
  </rv>
  <rv s="0">
    <fb>82.140699999999995</fb>
    <v>0</v>
  </rv>
  <rv s="0">
    <fb>82.3</fb>
    <v>0</v>
  </rv>
  <rv s="0">
    <fb>81.881100000000004</fb>
    <v>0</v>
  </rv>
  <rv s="0">
    <fb>82.126999999999995</fb>
    <v>0</v>
  </rv>
  <rv s="0">
    <fb>82.764700000000005</fb>
    <v>0</v>
  </rv>
  <rv s="0">
    <fb>82.25</fb>
    <v>0</v>
  </rv>
  <rv s="0">
    <fb>80.62</fb>
    <v>0</v>
  </rv>
  <rv s="0">
    <fb>79.709999999999994</fb>
    <v>0</v>
  </rv>
  <rv s="0">
    <fb>79.86</fb>
    <v>0</v>
  </rv>
  <rv s="0">
    <fb>79.868899999999996</fb>
    <v>0</v>
  </rv>
  <rv s="0">
    <fb>79.124600000000001</fb>
    <v>0</v>
  </rv>
  <rv s="0">
    <fb>77.4696</fb>
    <v>0</v>
  </rv>
  <rv s="0">
    <fb>78.023300000000006</fb>
    <v>0</v>
  </rv>
  <rv s="0">
    <fb>77.985299999999995</fb>
    <v>0</v>
  </rv>
  <rv s="0">
    <fb>78.756399999999999</fb>
    <v>0</v>
  </rv>
  <rv s="0">
    <fb>78.6952</fb>
    <v>0</v>
  </rv>
  <rv s="0">
    <fb>80.7791</fb>
    <v>0</v>
  </rv>
  <rv s="0">
    <fb>79.207400000000007</fb>
    <v>0</v>
  </rv>
  <rv s="0">
    <fb>80.412800000000004</fb>
    <v>0</v>
  </rv>
  <rv s="0">
    <fb>79.840699999999998</fb>
    <v>0</v>
  </rv>
  <rv s="0">
    <fb>77.194999999999993</fb>
    <v>0</v>
  </rv>
  <rv s="0">
    <fb>77.736999999999995</fb>
    <v>0</v>
  </rv>
  <rv s="0">
    <fb>78.694100000000006</fb>
    <v>0</v>
  </rv>
  <rv s="0">
    <fb>78.884200000000007</fb>
    <v>0</v>
  </rv>
  <rv s="0">
    <fb>79.5</fb>
    <v>0</v>
  </rv>
  <rv s="0">
    <fb>81.027000000000001</fb>
    <v>0</v>
  </rv>
  <rv s="0">
    <fb>81.436599999999999</fb>
    <v>0</v>
  </rv>
  <rv s="0">
    <fb>81.769000000000005</fb>
    <v>0</v>
  </rv>
  <rv s="0">
    <fb>81.34</fb>
    <v>0</v>
  </rv>
  <rv s="0">
    <fb>81.763000000000005</fb>
    <v>0</v>
  </rv>
  <rv s="0">
    <fb>81.138099999999994</fb>
    <v>0</v>
  </rv>
  <rv s="0">
    <fb>79.790000000000006</fb>
    <v>0</v>
  </rv>
  <rv s="0">
    <fb>80.400000000000006</fb>
    <v>0</v>
  </rv>
  <rv s="0">
    <fb>83.964600000000004</fb>
    <v>0</v>
  </rv>
  <rv s="0">
    <fb>84.006500000000003</fb>
    <v>0</v>
  </rv>
  <rv s="0">
    <fb>82.841999999999999</fb>
    <v>0</v>
  </rv>
  <rv s="0">
    <fb>81.353999999999999</fb>
    <v>0</v>
  </rv>
  <rv s="0">
    <fb>81.424999999999997</fb>
    <v>0</v>
  </rv>
  <rv s="0">
    <fb>94.299300000000002</fb>
    <v>0</v>
  </rv>
  <rv s="0">
    <fb>89.607900000000001</fb>
    <v>0</v>
  </rv>
  <rv s="0">
    <fb>90.540400000000005</fb>
    <v>0</v>
  </rv>
  <rv s="0">
    <fb>90.815399999999997</fb>
    <v>0</v>
  </rv>
  <rv s="0">
    <fb>91.495699999999999</fb>
    <v>0</v>
  </rv>
  <rv s="0">
    <fb>90.872100000000003</fb>
    <v>0</v>
  </rv>
  <rv s="0">
    <fb>90.137600000000006</fb>
    <v>0</v>
  </rv>
  <rv s="0">
    <fb>90.181899999999999</fb>
    <v>0</v>
  </rv>
  <rv s="0">
    <fb>90.568200000000004</fb>
    <v>0</v>
  </rv>
  <rv s="0">
    <fb>92.004599999999996</fb>
    <v>0</v>
  </rv>
  <rv s="0">
    <fb>92.327100000000002</fb>
    <v>0</v>
  </rv>
  <rv s="0">
    <fb>93.569800000000001</fb>
    <v>0</v>
  </rv>
  <rv s="0">
    <fb>94.362200000000001</fb>
    <v>0</v>
  </rv>
  <rv s="0">
    <fb>92.9726</fb>
    <v>0</v>
  </rv>
  <rv s="0">
    <fb>95</fb>
    <v>0</v>
  </rv>
  <rv s="0">
    <fb>94.706599999999995</fb>
    <v>0</v>
  </rv>
  <rv s="0">
    <fb>95.347800000000007</fb>
    <v>0</v>
  </rv>
  <rv s="0">
    <fb>95.757000000000005</fb>
    <v>0</v>
  </rv>
  <rv s="0">
    <fb>96.336200000000005</fb>
    <v>0</v>
  </rv>
  <rv s="0">
    <fb>98.930099999999996</fb>
    <v>0</v>
  </rv>
  <rv s="0">
    <fb>98.995900000000006</fb>
    <v>0</v>
  </rv>
  <rv s="0">
    <fb>100.49679999999999</fb>
    <v>0</v>
  </rv>
  <rv s="0">
    <fb>100.7184</fb>
    <v>0</v>
  </rv>
  <rv s="0">
    <fb>102.16</fb>
    <v>0</v>
  </rv>
  <rv s="0">
    <fb>101.8805</fb>
    <v>0</v>
  </rv>
  <rv s="0">
    <fb>102.10420000000001</fb>
    <v>0</v>
  </rv>
  <rv s="0">
    <fb>101.81189999999999</fb>
    <v>0</v>
  </rv>
  <rv s="0">
    <fb>102.1044</fb>
    <v>0</v>
  </rv>
  <rv s="0">
    <fb>102.477</fb>
    <v>0</v>
  </rv>
  <rv s="0">
    <fb>99.478499999999997</fb>
    <v>0</v>
  </rv>
  <rv s="0">
    <fb>98.749399999999994</fb>
    <v>0</v>
  </rv>
  <rv s="0">
    <fb>99.466700000000003</fb>
    <v>0</v>
  </rv>
  <rv s="0">
    <fb>101.34</fb>
    <v>0</v>
  </rv>
  <rv s="0">
    <fb>103</fb>
    <v>0</v>
  </rv>
  <rv s="0">
    <fb>102.02</fb>
    <v>0</v>
  </rv>
  <rv s="0">
    <fb>98.310299999999998</fb>
    <v>0</v>
  </rv>
  <rv s="0">
    <fb>98.776300000000006</fb>
    <v>0</v>
  </rv>
  <rv s="0">
    <fb>98.163200000000003</fb>
    <v>0</v>
  </rv>
  <rv s="0">
    <fb>97.661600000000007</fb>
    <v>0</v>
  </rv>
  <rv s="0">
    <fb>96.128399999999999</fb>
    <v>0</v>
  </rv>
  <rv s="0">
    <fb>96.441100000000006</fb>
    <v>0</v>
  </rv>
  <rv s="0">
    <fb>97.86</fb>
    <v>0</v>
  </rv>
  <rv s="0">
    <fb>96.611599999999996</fb>
    <v>0</v>
  </rv>
  <rv s="0">
    <fb>96.995800000000003</fb>
    <v>0</v>
  </rv>
  <rv s="0">
    <fb>95.085999999999999</fb>
    <v>0</v>
  </rv>
  <rv s="0">
    <fb>95.225300000000004</fb>
    <v>0</v>
  </rv>
  <rv s="0">
    <fb>94.548599999999993</fb>
    <v>0</v>
  </rv>
  <rv s="0">
    <fb>93.556700000000006</fb>
    <v>0</v>
  </rv>
  <rv s="0">
    <fb>95.31</fb>
    <v>0</v>
  </rv>
  <rv s="0">
    <fb>96.98</fb>
    <v>0</v>
  </rv>
  <rv s="0">
    <fb>97.710999999999999</fb>
    <v>0</v>
  </rv>
  <rv s="0">
    <fb>96.96</fb>
    <v>0</v>
  </rv>
  <rv s="0">
    <fb>98.734899999999996</fb>
    <v>0</v>
  </rv>
  <rv s="0">
    <fb>98.188500000000005</fb>
    <v>0</v>
  </rv>
  <rv s="0">
    <fb>98.389700000000005</fb>
    <v>0</v>
  </rv>
  <rv s="0">
    <fb>97.394499999999994</fb>
    <v>0</v>
  </rv>
  <rv s="0">
    <fb>98.118600000000001</fb>
    <v>0</v>
  </rv>
  <rv s="0">
    <fb>97.764899999999997</fb>
    <v>0</v>
  </rv>
  <rv s="0">
    <fb>98.217500000000001</fb>
    <v>0</v>
  </rv>
  <rv s="0">
    <fb>97.320099999999996</fb>
    <v>0</v>
  </rv>
  <rv s="0">
    <fb>94.002200000000002</fb>
    <v>0</v>
  </rv>
  <rv s="0">
    <fb>92.906700000000001</fb>
    <v>0</v>
  </rv>
  <rv s="0">
    <fb>97.61</fb>
    <v>0</v>
  </rv>
  <rv s="0">
    <fb>96.252499999999998</fb>
    <v>0</v>
  </rv>
  <rv s="0">
    <fb>96.810199999999995</fb>
    <v>0</v>
  </rv>
  <rv s="0">
    <fb>97.5608</fb>
    <v>0</v>
  </rv>
  <rv s="0">
    <fb>96.871700000000004</fb>
    <v>0</v>
  </rv>
  <rv s="0">
    <fb>95.936499999999995</fb>
    <v>0</v>
  </rv>
  <rv s="0">
    <fb>92.230400000000003</fb>
    <v>0</v>
  </rv>
  <rv s="0">
    <fb>94.950900000000004</fb>
    <v>0</v>
  </rv>
  <rv s="0">
    <fb>95.55</fb>
    <v>0</v>
  </rv>
  <rv s="0">
    <fb>95.880600000000001</fb>
    <v>0</v>
  </rv>
  <rv s="0">
    <fb>95.572199999999995</fb>
    <v>0</v>
  </rv>
  <rv s="0">
    <fb>96.956199999999995</fb>
    <v>0</v>
  </rv>
  <rv s="0">
    <fb>96.801900000000003</fb>
    <v>0</v>
  </rv>
  <rv s="0">
    <fb>97.614599999999996</fb>
    <v>0</v>
  </rv>
  <rv s="0">
    <fb>98.204700000000003</fb>
    <v>0</v>
  </rv>
  <rv s="0">
    <fb>97.36</fb>
    <v>0</v>
  </rv>
  <rv s="0">
    <fb>98.91</fb>
    <v>0</v>
  </rv>
  <rv s="0">
    <fb>97.37</fb>
    <v>0</v>
  </rv>
  <rv s="0">
    <fb>100.76</fb>
    <v>0</v>
  </rv>
  <rv s="0">
    <fb>100.26819999999999</fb>
    <v>0</v>
  </rv>
  <rv s="0">
    <fb>100.59610000000001</fb>
    <v>0</v>
  </rv>
  <rv s="0">
    <fb>97.827100000000002</fb>
    <v>0</v>
  </rv>
  <rv s="0">
    <fb>95.851699999999994</fb>
    <v>0</v>
  </rv>
  <rv s="0">
    <fb>95.489699999999999</fb>
    <v>0</v>
  </rv>
  <rv s="0">
    <fb>96.254999999999995</fb>
    <v>0</v>
  </rv>
  <rv s="0">
    <fb>97.69</fb>
    <v>0</v>
  </rv>
  <rv s="0">
    <fb>97.539500000000004</fb>
    <v>0</v>
  </rv>
  <rv s="0">
    <fb>97.48</fb>
    <v>0</v>
  </rv>
  <rv s="0">
    <fb>98.52</fb>
    <v>0</v>
  </rv>
  <rv s="0">
    <fb>97.770700000000005</fb>
    <v>0</v>
  </rv>
  <rv s="0">
    <fb>97.592299999999994</fb>
    <v>0</v>
  </rv>
  <rv s="0">
    <fb>97.08</fb>
    <v>0</v>
  </rv>
  <rv s="0">
    <fb>97.066299999999998</fb>
    <v>0</v>
  </rv>
  <rv s="0">
    <fb>96.5</fb>
    <v>0</v>
  </rv>
  <rv s="0">
    <fb>97.71</fb>
    <v>0</v>
  </rv>
  <rv s="0">
    <fb>96.99</fb>
    <v>0</v>
  </rv>
  <rv s="0">
    <fb>98.29</fb>
    <v>0</v>
  </rv>
  <rv s="0">
    <fb>98.97</fb>
    <v>0</v>
  </rv>
  <rv s="0">
    <fb>99.55</fb>
    <v>0</v>
  </rv>
  <rv s="0">
    <fb>99.71</fb>
    <v>0</v>
  </rv>
  <rv s="0">
    <fb>96.444999999999993</fb>
    <v>0</v>
  </rv>
  <rv s="0">
    <fb>96.828000000000003</fb>
    <v>0</v>
  </rv>
  <rv s="0">
    <fb>95.754999999999995</fb>
    <v>0</v>
  </rv>
  <rv s="0">
    <fb>96.841700000000003</fb>
    <v>0</v>
  </rv>
  <rv s="0">
    <fb>96.902799999999999</fb>
    <v>0</v>
  </rv>
  <rv s="0">
    <fb>96.233400000000003</fb>
    <v>0</v>
  </rv>
  <rv s="0">
    <fb>94.678600000000003</fb>
    <v>0</v>
  </rv>
  <rv s="0">
    <fb>95.099299999999999</fb>
    <v>0</v>
  </rv>
  <rv s="0">
    <fb>93.201999999999998</fb>
    <v>0</v>
  </rv>
  <rv s="0">
    <fb>93.209500000000006</fb>
    <v>0</v>
  </rv>
  <rv s="0">
    <fb>90.958500000000001</fb>
    <v>0</v>
  </rv>
  <rv s="0">
    <fb>93.4148</fb>
    <v>0</v>
  </rv>
  <rv s="0">
    <fb>90.351100000000002</fb>
    <v>0</v>
  </rv>
  <rv s="0">
    <fb>90.769900000000007</fb>
    <v>0</v>
  </rv>
  <rv s="0">
    <fb>90.785399999999996</fb>
    <v>0</v>
  </rv>
  <rv s="0">
    <fb>90.31</fb>
    <v>0</v>
  </rv>
  <rv s="0">
    <fb>91.503100000000003</fb>
    <v>0</v>
  </rv>
  <rv s="0">
    <fb>88</fb>
    <v>0</v>
  </rv>
  <rv s="0">
    <fb>89.917699999999996</fb>
    <v>0</v>
  </rv>
  <rv s="0">
    <fb>88.888599999999997</fb>
    <v>0</v>
  </rv>
  <rv s="0">
    <fb>88.8142</fb>
    <v>0</v>
  </rv>
  <rv s="0">
    <fb>91.132599999999996</fb>
    <v>0</v>
  </rv>
  <rv s="0">
    <fb>92.801199999999994</fb>
    <v>0</v>
  </rv>
  <rv s="0">
    <fb>95.125</fb>
    <v>0</v>
  </rv>
  <rv s="0">
    <fb>95.121799999999993</fb>
    <v>0</v>
  </rv>
  <rv s="0">
    <fb>95.774199999999993</fb>
    <v>0</v>
  </rv>
  <rv s="0">
    <fb>95.933700000000002</fb>
    <v>0</v>
  </rv>
  <rv s="0">
    <fb>96.328999999999994</fb>
    <v>0</v>
  </rv>
  <rv s="0">
    <fb>96.690299999999993</fb>
    <v>0</v>
  </rv>
  <rv s="0">
    <fb>97.159099999999995</fb>
    <v>0</v>
  </rv>
  <rv s="0">
    <fb>98.827200000000005</fb>
    <v>0</v>
  </rv>
  <rv s="0">
    <fb>97.487899999999996</fb>
    <v>0</v>
  </rv>
  <rv s="0">
    <fb>97.4268</fb>
    <v>0</v>
  </rv>
  <rv s="0">
    <fb>98.33</fb>
    <v>0</v>
  </rv>
  <rv s="0">
    <fb>98.376599999999996</fb>
    <v>0</v>
  </rv>
  <rv s="0">
    <fb>99.36</fb>
    <v>0</v>
  </rv>
  <rv s="0">
    <fb>99.491200000000006</fb>
    <v>0</v>
  </rv>
  <rv s="0">
    <fb>98.945300000000003</fb>
    <v>0</v>
  </rv>
  <rv s="0">
    <fb>99.319000000000003</fb>
    <v>0</v>
  </rv>
  <rv s="0">
    <fb>99.519000000000005</fb>
    <v>0</v>
  </rv>
  <rv s="0">
    <fb>99.801299999999998</fb>
    <v>0</v>
  </rv>
  <rv s="0">
    <fb>99.503500000000003</fb>
    <v>0</v>
  </rv>
  <rv s="0">
    <fb>97.799899999999994</fb>
    <v>0</v>
  </rv>
  <rv s="0">
    <fb>100.0381</fb>
    <v>0</v>
  </rv>
  <rv s="0">
    <fb>98.845799999999997</fb>
    <v>0</v>
  </rv>
  <rv s="0">
    <fb>97.953900000000004</fb>
    <v>0</v>
  </rv>
  <rv s="0">
    <fb>97.278999999999996</fb>
    <v>0</v>
  </rv>
  <rv s="0">
    <fb>97.91</fb>
    <v>0</v>
  </rv>
  <rv s="0">
    <fb>99.6892</fb>
    <v>0</v>
  </rv>
  <rv s="0">
    <fb>98.708299999999994</fb>
    <v>0</v>
  </rv>
  <rv s="0">
    <fb>100.139</fb>
    <v>0</v>
  </rv>
  <rv s="0">
    <fb>100.1418</fb>
    <v>0</v>
  </rv>
  <rv s="0">
    <fb>100.7088</fb>
    <v>0</v>
  </rv>
  <rv s="0">
    <fb>99.426199999999994</fb>
    <v>0</v>
  </rv>
  <rv s="0">
    <fb>101.13</fb>
    <v>0</v>
  </rv>
  <rv s="0">
    <fb>100.93429999999999</fb>
    <v>0</v>
  </rv>
  <rv s="0">
    <fb>101.56489999999999</fb>
    <v>0</v>
  </rv>
  <rv s="0">
    <fb>101.2529</fb>
    <v>0</v>
  </rv>
  <rv s="0">
    <fb>101.48690000000001</fb>
    <v>0</v>
  </rv>
  <rv s="0">
    <fb>102.0466</fb>
    <v>0</v>
  </rv>
  <rv s="0">
    <fb>102.33799999999999</fb>
    <v>0</v>
  </rv>
  <rv s="0">
    <fb>102.91</fb>
    <v>0</v>
  </rv>
  <rv s="0">
    <fb>99.825299999999999</fb>
    <v>0</v>
  </rv>
  <rv s="0">
    <fb>100.1541</fb>
    <v>0</v>
  </rv>
  <rv s="0">
    <fb>102.4098</fb>
    <v>0</v>
  </rv>
  <rv s="0">
    <fb>102.07</fb>
    <v>0</v>
  </rv>
  <rv s="0">
    <fb>101.69329999999999</fb>
    <v>0</v>
  </rv>
  <rv s="0">
    <fb>103.9482</fb>
    <v>0</v>
  </rv>
  <rv s="0">
    <fb>104.1641</fb>
    <v>0</v>
  </rv>
  <rv s="0">
    <fb>104.0095</fb>
    <v>0</v>
  </rv>
  <rv s="0">
    <fb>104.01</fb>
    <v>0</v>
  </rv>
  <rv s="0">
    <fb>105.68</fb>
    <v>0</v>
  </rv>
  <rv s="0">
    <fb>105.62</fb>
    <v>0</v>
  </rv>
  <rv s="0">
    <fb>105.1142</fb>
    <v>0</v>
  </rv>
  <rv s="0">
    <fb>104.7668</fb>
    <v>0</v>
  </rv>
  <rv s="0">
    <fb>103.099</fb>
    <v>0</v>
  </rv>
  <rv s="0">
    <fb>102.67610000000001</fb>
    <v>0</v>
  </rv>
  <rv s="0">
    <fb>103.6662</fb>
    <v>0</v>
  </rv>
  <rv s="0">
    <fb>104.59</fb>
    <v>0</v>
  </rv>
  <rv s="0">
    <fb>104.8584</fb>
    <v>0</v>
  </rv>
  <rv s="0">
    <fb>103.08880000000001</fb>
    <v>0</v>
  </rv>
  <rv s="0">
    <fb>103.5737</fb>
    <v>0</v>
  </rv>
  <rv s="0">
    <fb>103.845</fb>
    <v>0</v>
  </rv>
  <rv s="0">
    <fb>103.5438</fb>
    <v>0</v>
  </rv>
  <rv s="0">
    <fb>101.79</fb>
    <v>0</v>
  </rv>
  <rv s="0">
    <fb>101.608</fb>
    <v>0</v>
  </rv>
  <rv s="0">
    <fb>101.5171</fb>
    <v>0</v>
  </rv>
  <rv s="0">
    <fb>44.34</fb>
    <v>0</v>
  </rv>
  <rv s="0">
    <fb>44.66</fb>
    <v>0</v>
  </rv>
  <rv s="0">
    <fb>44.04</fb>
    <v>0</v>
  </rv>
  <rv s="0">
    <fb>42.82</fb>
    <v>0</v>
  </rv>
  <rv s="0">
    <fb>43.06</fb>
    <v>0</v>
  </rv>
  <rv s="0">
    <fb>43.85</fb>
    <v>0</v>
  </rv>
  <rv s="0">
    <fb>44.5</fb>
    <v>0</v>
  </rv>
  <rv s="0">
    <fb>45.61</fb>
    <v>0</v>
  </rv>
  <rv s="0">
    <fb>45.76</fb>
    <v>0</v>
  </rv>
  <rv s="0">
    <fb>44.56</fb>
    <v>0</v>
  </rv>
  <rv s="0">
    <fb>44.75</fb>
    <v>0</v>
  </rv>
  <rv s="0">
    <fb>44.89</fb>
    <v>0</v>
  </rv>
  <rv s="0">
    <fb>45.58</fb>
    <v>0</v>
  </rv>
  <rv s="0">
    <fb>44.86</fb>
    <v>0</v>
  </rv>
  <rv s="0">
    <fb>44.31</fb>
    <v>0</v>
  </rv>
  <rv s="0">
    <fb>43.76</fb>
    <v>0</v>
  </rv>
  <rv s="0">
    <fb>44.19</fb>
    <v>0</v>
  </rv>
  <rv s="0">
    <fb>43.83</fb>
    <v>0</v>
  </rv>
  <rv s="0">
    <fb>43.12</fb>
    <v>0</v>
  </rv>
  <rv s="0">
    <fb>42.59</fb>
    <v>0</v>
  </rv>
  <rv s="0">
    <fb>44.05</fb>
    <v>0</v>
  </rv>
  <rv s="0">
    <fb>44.03</fb>
    <v>0</v>
  </rv>
  <rv s="0">
    <fb>44.29</fb>
    <v>0</v>
  </rv>
  <rv s="0">
    <fb>42.2</fb>
    <v>0</v>
  </rv>
  <rv s="0">
    <fb>40.69</fb>
    <v>0</v>
  </rv>
  <rv s="0">
    <fb>36.82</fb>
    <v>0</v>
  </rv>
  <rv s="0">
    <fb>38.86</fb>
    <v>0</v>
  </rv>
  <rv s="0">
    <fb>37.659999999999997</fb>
    <v>0</v>
  </rv>
  <rv s="0">
    <fb>38.270000000000003</fb>
    <v>0</v>
  </rv>
  <rv s="0">
    <fb>38.42</fb>
    <v>0</v>
  </rv>
  <rv s="0">
    <fb>38.03</fb>
    <v>0</v>
  </rv>
  <rv s="0">
    <fb>38.909999999999997</fb>
    <v>0</v>
  </rv>
  <rv s="0">
    <fb>39.200000000000003</fb>
    <v>0</v>
  </rv>
  <rv s="0">
    <fb>41.21</fb>
    <v>0</v>
  </rv>
  <rv s="0">
    <fb>40.32</fb>
    <v>0</v>
  </rv>
  <rv s="0">
    <fb>41.03</fb>
    <v>0</v>
  </rv>
  <rv s="0">
    <fb>39.799999999999997</fb>
    <v>0</v>
  </rv>
  <rv s="0">
    <fb>40.56</fb>
    <v>0</v>
  </rv>
  <rv s="0">
    <fb>41.179000000000002</fb>
    <v>0</v>
  </rv>
  <rv s="0">
    <fb>41.04</fb>
    <v>0</v>
  </rv>
  <rv s="0">
    <fb>42.37</fb>
    <v>0</v>
  </rv>
  <rv s="0">
    <fb>42.68</fb>
    <v>0</v>
  </rv>
  <rv s="0">
    <fb>42.27</fb>
    <v>0</v>
  </rv>
  <rv s="0">
    <fb>42.62</fb>
    <v>0</v>
  </rv>
  <rv s="0">
    <fb>42.09</fb>
    <v>0</v>
  </rv>
  <rv s="0">
    <fb>42.51</fb>
    <v>0</v>
  </rv>
  <rv s="0">
    <fb>42.86</fb>
    <v>0</v>
  </rv>
  <rv s="0">
    <fb>42.49</fb>
    <v>0</v>
  </rv>
  <rv s="0">
    <fb>42.38</fb>
    <v>0</v>
  </rv>
  <rv s="0">
    <fb>43.63</fb>
    <v>0</v>
  </rv>
  <rv s="0">
    <fb>44.6</fb>
    <v>0</v>
  </rv>
  <rv s="0">
    <fb>45.64</fb>
    <v>0</v>
  </rv>
  <rv s="0">
    <fb>45.87</fb>
    <v>0</v>
  </rv>
  <rv s="0">
    <fb>45.94</fb>
    <v>0</v>
  </rv>
  <rv s="0">
    <fb>46.28</fb>
    <v>0</v>
  </rv>
  <rv s="0">
    <fb>47.85</fb>
    <v>0</v>
  </rv>
  <rv s="0">
    <fb>46.5</fb>
    <v>0</v>
  </rv>
  <rv s="0">
    <fb>46</fb>
    <v>0</v>
  </rv>
  <rv s="0">
    <fb>47.11</fb>
    <v>0</v>
  </rv>
  <rv s="0">
    <fb>48.54</fb>
    <v>0</v>
  </rv>
  <rv s="0">
    <fb>48.34</fb>
    <v>0</v>
  </rv>
  <rv s="0">
    <fb>48.64</fb>
    <v>0</v>
  </rv>
  <rv s="0">
    <fb>49.15</fb>
    <v>0</v>
  </rv>
  <rv s="0">
    <fb>48.88</fb>
    <v>0</v>
  </rv>
  <rv s="0">
    <fb>50.91</fb>
    <v>0</v>
  </rv>
  <rv s="0">
    <fb>50.76</fb>
    <v>0</v>
  </rv>
  <rv s="0">
    <fb>66.41</fb>
    <v>0</v>
  </rv>
  <rv s="0">
    <fb>65.28</fb>
    <v>0</v>
  </rv>
  <rv s="0">
    <fb>66.52</fb>
    <v>0</v>
  </rv>
  <rv s="0">
    <fb>67.09</fb>
    <v>0</v>
  </rv>
  <rv s="0">
    <fb>66.66</fb>
    <v>0</v>
  </rv>
  <rv s="0">
    <fb>67.790000000000006</fb>
    <v>0</v>
  </rv>
  <rv s="0">
    <fb>69.650000000000006</fb>
    <v>0</v>
  </rv>
  <rv s="0">
    <fb>69.83</fb>
    <v>0</v>
  </rv>
  <rv s="0">
    <fb>69.930000000000007</fb>
    <v>0</v>
  </rv>
  <rv s="0">
    <fb>70.64</fb>
    <v>0</v>
  </rv>
  <rv s="0">
    <fb>69.88</fb>
    <v>0</v>
  </rv>
  <rv s="0">
    <fb>69.34</fb>
    <v>0</v>
  </rv>
  <rv s="0">
    <fb>69.11</fb>
    <v>0</v>
  </rv>
  <rv s="0">
    <fb>68.59</fb>
    <v>0</v>
  </rv>
  <rv s="0">
    <fb>69.739999999999995</fb>
    <v>0</v>
  </rv>
  <rv s="0">
    <fb>70.06</fb>
    <v>0</v>
  </rv>
  <rv s="0">
    <fb>69.94</fb>
    <v>0</v>
  </rv>
  <rv s="0">
    <fb>69.16</fb>
    <v>0</v>
  </rv>
  <rv s="0">
    <fb>67.42</fb>
    <v>0</v>
  </rv>
  <rv s="0">
    <fb>68.84</fb>
    <v>0</v>
  </rv>
  <rv s="0">
    <fb>68.98</fb>
    <v>0</v>
  </rv>
  <rv s="0">
    <fb>68.87</fb>
    <v>0</v>
  </rv>
  <rv s="0">
    <fb>69.17</fb>
    <v>0</v>
  </rv>
  <rv s="0">
    <fb>68.290000000000006</fb>
    <v>0</v>
  </rv>
  <rv s="0">
    <fb>67.900000000000006</fb>
    <v>0</v>
  </rv>
  <rv s="0">
    <fb>67.739999999999995</fb>
    <v>0</v>
  </rv>
  <rv s="0">
    <fb>68.319999999999993</fb>
    <v>0</v>
  </rv>
  <rv s="0">
    <fb>67.59</fb>
    <v>0</v>
  </rv>
  <rv s="0">
    <fb>61.94</fb>
    <v>0</v>
  </rv>
  <rv s="0">
    <fb>63.71</fb>
    <v>0</v>
  </rv>
  <rv s="0">
    <fb>64.5</fb>
    <v>0</v>
  </rv>
  <rv s="0">
    <fb>65.47</fb>
    <v>0</v>
  </rv>
  <rv s="0">
    <fb>63.19</fb>
    <v>0</v>
  </rv>
  <rv s="0">
    <fb>63.26</fb>
    <v>0</v>
  </rv>
  <rv s="0">
    <fb>62.54</fb>
    <v>0</v>
  </rv>
  <rv s="0">
    <fb>62.37</fb>
    <v>0</v>
  </rv>
  <rv s="0">
    <fb>63.56</fb>
    <v>0</v>
  </rv>
  <rv s="0">
    <fb>62.1</fb>
    <v>0</v>
  </rv>
  <rv s="0">
    <fb>62.92</fb>
    <v>0</v>
  </rv>
  <rv s="0">
    <fb>63.73</fb>
    <v>0</v>
  </rv>
  <rv s="0">
    <fb>64.430000000000007</fb>
    <v>0</v>
  </rv>
  <rv s="0">
    <fb>64.48</fb>
    <v>0</v>
  </rv>
  <rv s="0">
    <fb>63.36</fb>
    <v>0</v>
  </rv>
  <rv s="0">
    <fb>63.29</fb>
    <v>0</v>
  </rv>
  <rv s="0">
    <fb>63.69</fb>
    <v>0</v>
  </rv>
  <rv s="0">
    <fb>62.65</fb>
    <v>0</v>
  </rv>
  <rv s="0">
    <fb>62.46</fb>
    <v>0</v>
  </rv>
  <rv s="0">
    <fb>63.12</fb>
    <v>0</v>
  </rv>
  <rv s="0">
    <fb>62.74</fb>
    <v>0</v>
  </rv>
  <rv s="0">
    <fb>65.06</fb>
    <v>0</v>
  </rv>
  <rv s="0">
    <fb>66.95</fb>
    <v>0</v>
  </rv>
  <rv s="0">
    <fb>66.12</fb>
    <v>0</v>
  </rv>
  <rv s="0">
    <fb>65.78</fb>
    <v>0</v>
  </rv>
  <rv s="0">
    <fb>68.69</fb>
    <v>0</v>
  </rv>
  <rv s="0">
    <fb>69.400000000000006</fb>
    <v>0</v>
  </rv>
  <rv s="0">
    <fb>68.22</fb>
    <v>0</v>
  </rv>
  <rv s="0">
    <fb>68.19</fb>
    <v>0</v>
  </rv>
  <rv s="0">
    <fb>69.709999999999994</fb>
    <v>0</v>
  </rv>
  <rv s="0">
    <fb>69.78</fb>
    <v>0</v>
  </rv>
  <rv s="0">
    <fb>70.25</fb>
    <v>0</v>
  </rv>
  <rv s="0">
    <fb>70.5</fb>
    <v>0</v>
  </rv>
  <rv s="0">
    <fb>70.010000000000005</fb>
    <v>0</v>
  </rv>
  <rv s="0">
    <fb>69.37</fb>
    <v>0</v>
  </rv>
  <rv s="0">
    <fb>69.569999999999993</fb>
    <v>0</v>
  </rv>
  <rv s="0">
    <fb>69.63</fb>
    <v>0</v>
  </rv>
  <rv s="0">
    <fb>70.14</fb>
    <v>0</v>
  </rv>
  <rv s="0">
    <fb>70.27</fb>
    <v>0</v>
  </rv>
  <rv s="0">
    <fb>73.27</fb>
    <v>0</v>
  </rv>
  <rv s="0">
    <fb>72.77</fb>
    <v>0</v>
  </rv>
  <rv s="0">
    <fb>72.75</fb>
    <v>0</v>
  </rv>
  <rv s="0">
    <fb>30.42</fb>
    <v>0</v>
  </rv>
  <rv s="0">
    <fb>30.59</fb>
    <v>0</v>
  </rv>
  <rv s="0">
    <fb>30.11</fb>
    <v>0</v>
  </rv>
  <rv s="0">
    <fb>30.2148</fb>
    <v>0</v>
  </rv>
  <rv s="0">
    <fb>30.48</fb>
    <v>0</v>
  </rv>
  <rv s="0">
    <fb>30.1294</fb>
    <v>0</v>
  </rv>
  <rv s="0">
    <fb>29.95</fb>
    <v>0</v>
  </rv>
  <rv s="0">
    <fb>30.49</fb>
    <v>0</v>
  </rv>
  <rv s="0">
    <fb>30.52</fb>
    <v>0</v>
  </rv>
  <rv s="0">
    <fb>30.35</fb>
    <v>0</v>
  </rv>
  <rv s="0">
    <fb>29.46</fb>
    <v>0</v>
  </rv>
  <rv s="0">
    <fb>29.71</fb>
    <v>0</v>
  </rv>
  <rv s="0">
    <fb>30.209499999999998</fb>
    <v>0</v>
  </rv>
  <rv s="0">
    <fb>30.407</fb>
    <v>0</v>
  </rv>
  <rv s="0">
    <fb>30.258900000000001</fb>
    <v>0</v>
  </rv>
  <rv s="0">
    <fb>30.31</fb>
    <v>0</v>
  </rv>
  <rv s="0">
    <fb>29.88</fb>
    <v>0</v>
  </rv>
  <rv s="0">
    <fb>29.76</fb>
    <v>0</v>
  </rv>
  <rv s="0">
    <fb>29.6389</fb>
    <v>0</v>
  </rv>
  <rv s="0">
    <fb>29.98</fb>
    <v>0</v>
  </rv>
  <rv s="0">
    <fb>30.0154</fb>
    <v>0</v>
  </rv>
  <rv s="0">
    <fb>30.1</fb>
    <v>0</v>
  </rv>
  <rv s="0">
    <fb>30.194900000000001</fb>
    <v>0</v>
  </rv>
  <rv s="0">
    <fb>30.46</fb>
    <v>0</v>
  </rv>
  <rv s="0">
    <fb>30.25</fb>
    <v>0</v>
  </rv>
  <rv s="0">
    <fb>30.07</fb>
    <v>0</v>
  </rv>
  <rv s="0">
    <fb>28.87</fb>
    <v>0</v>
  </rv>
  <rv s="0">
    <fb>29.11</fb>
    <v>0</v>
  </rv>
  <rv s="0">
    <fb>29.67</fb>
    <v>0</v>
  </rv>
  <rv s="0">
    <fb>29.78</fb>
    <v>0</v>
  </rv>
  <rv s="0">
    <fb>29.31</fb>
    <v>0</v>
  </rv>
  <rv s="0">
    <fb>28.76</fb>
    <v>0</v>
  </rv>
  <rv s="0">
    <fb>28.97</fb>
    <v>0</v>
  </rv>
  <rv s="0">
    <fb>27.42</fb>
    <v>0</v>
  </rv>
  <rv s="0">
    <fb>27.26</fb>
    <v>0</v>
  </rv>
  <rv s="0">
    <fb>26.92</fb>
    <v>0</v>
  </rv>
  <rv s="0">
    <fb>28.1783</fb>
    <v>0</v>
  </rv>
  <rv s="0">
    <fb>27.34</fb>
    <v>0</v>
  </rv>
  <rv s="0">
    <fb>28.33</fb>
    <v>0</v>
  </rv>
  <rv s="0">
    <fb>27.47</fb>
    <v>0</v>
  </rv>
  <rv s="0">
    <fb>28.262</fb>
    <v>0</v>
  </rv>
  <rv s="0">
    <fb>28.49</fb>
    <v>0</v>
  </rv>
  <rv s="0">
    <fb>29.07</fb>
    <v>0</v>
  </rv>
  <rv s="0">
    <fb>29.5</fb>
    <v>0</v>
  </rv>
  <rv s="0">
    <fb>29.01</fb>
    <v>0</v>
  </rv>
  <rv s="0">
    <fb>29.57</fb>
    <v>0</v>
  </rv>
  <rv s="0">
    <fb>29.42</fb>
    <v>0</v>
  </rv>
  <rv s="0">
    <fb>28.47</fb>
    <v>0</v>
  </rv>
  <rv s="0">
    <fb>28.66</fb>
    <v>0</v>
  </rv>
  <rv s="0">
    <fb>28.137699999999999</fb>
    <v>0</v>
  </rv>
  <rv s="0">
    <fb>27.777200000000001</fb>
    <v>0</v>
  </rv>
  <rv s="0">
    <fb>28.1</fb>
    <v>0</v>
  </rv>
  <rv s="0">
    <fb>28.720199999999998</fb>
    <v>0</v>
  </rv>
  <rv s="0">
    <fb>28.91</fb>
    <v>0</v>
  </rv>
  <rv s="0">
    <fb>28.940999999999999</fb>
    <v>0</v>
  </rv>
  <rv s="0">
    <fb>28.202400000000001</fb>
    <v>0</v>
  </rv>
  <rv s="0">
    <fb>28.13</fb>
    <v>0</v>
  </rv>
  <rv s="0">
    <fb>28.29</fb>
    <v>0</v>
  </rv>
  <rv s="0">
    <fb>28.45</fb>
    <v>0</v>
  </rv>
  <rv s="0">
    <fb>28.5547</fb>
    <v>0</v>
  </rv>
  <rv s="0">
    <fb>28.515000000000001</fb>
    <v>0</v>
  </rv>
  <rv s="0">
    <fb>28.72</fb>
    <v>0</v>
  </rv>
  <rv s="0">
    <fb>28.811199999999999</fb>
    <v>0</v>
  </rv>
  <rv s="0">
    <fb>28.69</fb>
    <v>0</v>
  </rv>
  <rv s="0">
    <fb>29.09</fb>
    <v>0</v>
  </rv>
  <rv s="0">
    <fb>29.753799999999998</fb>
    <v>0</v>
  </rv>
  <rv s="0">
    <fb>29.769400000000001</fb>
    <v>0</v>
  </rv>
  <rv s="0">
    <fb>29.72</fb>
    <v>0</v>
  </rv>
  <rv s="0">
    <fb>29.533300000000001</fb>
    <v>0</v>
  </rv>
  <rv s="0">
    <fb>29.434999999999999</fb>
    <v>0</v>
  </rv>
  <rv s="0">
    <fb>30.045000000000002</fb>
    <v>0</v>
  </rv>
  <rv s="0">
    <fb>29.83</fb>
    <v>0</v>
  </rv>
  <rv s="0">
    <fb>30.01</fb>
    <v>0</v>
  </rv>
  <rv s="0">
    <fb>30.083500000000001</fb>
    <v>0</v>
  </rv>
  <rv s="0">
    <fb>29.954799999999999</fb>
    <v>0</v>
  </rv>
  <rv s="0">
    <fb>30.19</fb>
    <v>0</v>
  </rv>
  <rv s="0">
    <fb>30.1083</fb>
    <v>0</v>
  </rv>
  <rv s="0">
    <fb>30.085000000000001</fb>
    <v>0</v>
  </rv>
  <rv s="0">
    <fb>29.756499999999999</fb>
    <v>0</v>
  </rv>
  <rv s="0">
    <fb>29.765000000000001</fb>
    <v>0</v>
  </rv>
  <rv s="0">
    <fb>30.145</fb>
    <v>0</v>
  </rv>
  <rv s="0">
    <fb>29.795000000000002</fb>
    <v>0</v>
  </rv>
  <rv s="0">
    <fb>29.6768</fb>
    <v>0</v>
  </rv>
  <rv s="0">
    <fb>29.755600000000001</fb>
    <v>0</v>
  </rv>
  <rv s="0">
    <fb>29.14</fb>
    <v>0</v>
  </rv>
  <rv s="0">
    <fb>29.2</fb>
    <v>0</v>
  </rv>
  <rv s="0">
    <fb>29.62</fb>
    <v>0</v>
  </rv>
  <rv s="0">
    <fb>29.271100000000001</fb>
    <v>0</v>
  </rv>
  <rv s="0">
    <fb>28.44</fb>
    <v>0</v>
  </rv>
  <rv s="0">
    <fb>28.65</fb>
    <v>0</v>
  </rv>
  <rv s="0">
    <fb>29.0839</fb>
    <v>0</v>
  </rv>
  <rv s="0">
    <fb>29.6</fb>
    <v>0</v>
  </rv>
  <rv s="0">
    <fb>29.614999999999998</fb>
    <v>0</v>
  </rv>
  <rv s="0">
    <fb>30.09</fb>
    <v>0</v>
  </rv>
  <rv s="0">
    <fb>30.2</fb>
    <v>0</v>
  </rv>
  <rv s="0">
    <fb>29.914999999999999</fb>
    <v>0</v>
  </rv>
  <rv s="0">
    <fb>30.391500000000001</fb>
    <v>0</v>
  </rv>
  <rv s="0">
    <fb>30.56</fb>
    <v>0</v>
  </rv>
  <rv s="0">
    <fb>30.498699999999999</fb>
    <v>0</v>
  </rv>
  <rv s="0">
    <fb>30.8751</fb>
    <v>0</v>
  </rv>
  <rv s="0">
    <fb>30.93</fb>
    <v>0</v>
  </rv>
  <rv s="0">
    <fb>31.26</fb>
    <v>0</v>
  </rv>
  <rv s="0">
    <fb>30.89</fb>
    <v>0</v>
  </rv>
  <rv s="0">
    <fb>30.92</fb>
    <v>0</v>
  </rv>
  <rv s="0">
    <fb>31.5581</fb>
    <v>0</v>
  </rv>
  <rv s="0">
    <fb>31.42</fb>
    <v>0</v>
  </rv>
  <rv s="0">
    <fb>30.65</fb>
    <v>0</v>
  </rv>
  <rv s="0">
    <fb>31.71</fb>
    <v>0</v>
  </rv>
  <rv s="0">
    <fb>32.340000000000003</fb>
    <v>0</v>
  </rv>
  <rv s="0">
    <fb>32.700000000000003</fb>
    <v>0</v>
  </rv>
  <rv s="0">
    <fb>32.72</fb>
    <v>0</v>
  </rv>
  <rv s="0">
    <fb>32.78</fb>
    <v>0</v>
  </rv>
  <rv s="0">
    <fb>32.85</fb>
    <v>0</v>
  </rv>
  <rv s="0">
    <fb>32.799999999999997</fb>
    <v>0</v>
  </rv>
  <rv s="0">
    <fb>33.1</fb>
    <v>0</v>
  </rv>
  <rv s="0">
    <fb>33.36</fb>
    <v>0</v>
  </rv>
  <rv s="0">
    <fb>33</fb>
    <v>0</v>
  </rv>
  <rv s="0">
    <fb>33.19</fb>
    <v>0</v>
  </rv>
  <rv s="0">
    <fb>33.380000000000003</fb>
    <v>0</v>
  </rv>
  <rv s="0">
    <fb>32.9</fb>
    <v>0</v>
  </rv>
  <rv s="0">
    <fb>32.67</fb>
    <v>0</v>
  </rv>
  <rv s="0">
    <fb>33.06</fb>
    <v>0</v>
  </rv>
  <rv s="0">
    <fb>33.75</fb>
    <v>0</v>
  </rv>
  <rv s="0">
    <fb>34.44</fb>
    <v>0</v>
  </rv>
  <rv s="0">
    <fb>34.79</fb>
    <v>0</v>
  </rv>
  <rv s="0">
    <fb>34.43</fb>
    <v>0</v>
  </rv>
  <rv s="0">
    <fb>58.17</fb>
    <v>0</v>
  </rv>
  <rv s="0">
    <fb>55.84</fb>
    <v>0</v>
  </rv>
  <rv s="0">
    <fb>55.61</fb>
    <v>0</v>
  </rv>
  <rv s="0">
    <fb>55.72</fb>
    <v>0</v>
  </rv>
  <rv s="0">
    <fb>55.49</fb>
    <v>0</v>
  </rv>
  <rv s="0">
    <fb>55.65</fb>
    <v>0</v>
  </rv>
  <rv s="0">
    <fb>55.67</fb>
    <v>0</v>
  </rv>
  <rv s="0">
    <fb>55.2</fb>
    <v>0</v>
  </rv>
  <rv s="0">
    <fb>55.21</fb>
    <v>0</v>
  </rv>
  <rv s="0">
    <fb>54.19</fb>
    <v>0</v>
  </rv>
  <rv s="0">
    <fb>55.98</fb>
    <v>0</v>
  </rv>
  <rv s="0">
    <fb>57.09</fb>
    <v>0</v>
  </rv>
  <rv s="0">
    <fb>58.5</fb>
    <v>0</v>
  </rv>
  <rv s="0">
    <fb>58.64</fb>
    <v>0</v>
  </rv>
  <rv s="0">
    <fb>58.12</fb>
    <v>0</v>
  </rv>
  <rv s="0">
    <fb>59.05</fb>
    <v>0</v>
  </rv>
  <rv s="0">
    <fb>56.29</fb>
    <v>0</v>
  </rv>
  <rv s="0">
    <fb>56.35</fb>
    <v>0</v>
  </rv>
  <rv s="0">
    <fb>56.46</fb>
    <v>0</v>
  </rv>
  <rv s="0">
    <fb>53.74</fb>
    <v>0</v>
  </rv>
  <rv s="0">
    <fb>52.96</fb>
    <v>0</v>
  </rv>
  <rv s="0">
    <fb>53.52</fb>
    <v>0</v>
  </rv>
  <rv s="0">
    <fb>48.62</fb>
    <v>0</v>
  </rv>
  <rv s="0">
    <fb>46.58</fb>
    <v>0</v>
  </rv>
  <rv s="0">
    <fb>45.85</fb>
    <v>0</v>
  </rv>
  <rv s="0">
    <fb>46.31</fb>
    <v>0</v>
  </rv>
  <rv s="0">
    <fb>48.09</fb>
    <v>0</v>
  </rv>
  <rv s="0">
    <fb>50.3</fb>
    <v>0</v>
  </rv>
  <rv s="0">
    <fb>52.38</fb>
    <v>0</v>
  </rv>
  <rv s="0">
    <fb>52.91</fb>
    <v>0</v>
  </rv>
  <rv s="0">
    <fb>55.09</fb>
    <v>0</v>
  </rv>
  <rv s="0">
    <fb>52.94</fb>
    <v>0</v>
  </rv>
  <rv s="0">
    <fb>53.41</fb>
    <v>0</v>
  </rv>
  <rv s="0">
    <fb>55.78</fb>
    <v>0</v>
  </rv>
  <rv s="0">
    <fb>57.37</fb>
    <v>0</v>
  </rv>
  <rv s="0">
    <fb>58.06</fb>
    <v>0</v>
  </rv>
  <rv s="0">
    <fb>58.15</fb>
    <v>0</v>
  </rv>
  <rv s="0">
    <fb>57.29</fb>
    <v>0</v>
  </rv>
  <rv s="0">
    <fb>58.34</fb>
    <v>0</v>
  </rv>
  <rv s="0">
    <fb>58.44</fb>
    <v>0</v>
  </rv>
  <rv s="0">
    <fb>57.75</fb>
    <v>0</v>
  </rv>
  <rv s="0">
    <fb>57.52</fb>
    <v>0</v>
  </rv>
  <rv s="0">
    <fb>56.22</fb>
    <v>0</v>
  </rv>
  <rv s="0">
    <fb>56.27</fb>
    <v>0</v>
  </rv>
  <rv s="0">
    <fb>55.5</fb>
    <v>0</v>
  </rv>
  <rv s="0">
    <fb>56.06</fb>
    <v>0</v>
  </rv>
  <rv s="0">
    <fb>55.99</fb>
    <v>0</v>
  </rv>
  <rv s="0">
    <fb>58.13</fb>
    <v>0</v>
  </rv>
  <rv s="0">
    <fb>61.05</fb>
    <v>0</v>
  </rv>
  <rv s="0">
    <fb>60.65</fb>
    <v>0</v>
  </rv>
  <rv s="0">
    <fb>60.99</fb>
    <v>0</v>
  </rv>
  <rv s="0">
    <fb>59.94</fb>
    <v>0</v>
  </rv>
  <rv s="0">
    <fb>59.84</fb>
    <v>0</v>
  </rv>
  <rv s="0">
    <fb>59.07</fb>
    <v>0</v>
  </rv>
  <rv s="0">
    <fb>58.88</fb>
    <v>0</v>
  </rv>
  <rv s="0">
    <fb>59.28</fb>
    <v>0</v>
  </rv>
  <rv s="0">
    <fb>59.33</fb>
    <v>0</v>
  </rv>
  <rv s="0">
    <fb>57.15</fb>
    <v>0</v>
  </rv>
  <rv s="0">
    <fb>56.73</fb>
    <v>0</v>
  </rv>
  <rv s="0">
    <fb>56.7</fb>
    <v>0</v>
  </rv>
  <rv s="0">
    <fb>57.68</fb>
    <v>0</v>
  </rv>
  <rv s="0">
    <fb>55.64</fb>
    <v>0</v>
  </rv>
  <rv s="0">
    <fb>61.04</fb>
    <v>0</v>
  </rv>
  <rv s="0">
    <fb>60.11</fb>
    <v>0</v>
  </rv>
  <rv s="0">
    <fb>60.09</fb>
    <v>0</v>
  </rv>
  <rv s="0">
    <fb>58.31</fb>
    <v>0</v>
  </rv>
  <rv s="0">
    <fb>59.18</fb>
    <v>0</v>
  </rv>
  <rv s="0">
    <fb>62.14</fb>
    <v>0</v>
  </rv>
  <rv s="0">
    <fb>63.09</fb>
    <v>0</v>
  </rv>
  <rv s="0">
    <fb>62.86</fb>
    <v>0</v>
  </rv>
  <rv s="0">
    <fb>64.75</fb>
    <v>0</v>
  </rv>
  <rv s="0">
    <fb>65.5</fb>
    <v>0</v>
  </rv>
  <rv s="0">
    <fb>63.06</fb>
    <v>0</v>
  </rv>
  <rv s="0">
    <fb>59.04</fb>
    <v>0</v>
  </rv>
  <rv s="0">
    <fb>55.41</fb>
    <v>0</v>
  </rv>
  <rv s="0">
    <fb>55.13</fb>
    <v>0</v>
  </rv>
  <rv s="0">
    <fb>57.13</fb>
    <v>0</v>
  </rv>
  <rv s="0">
    <fb>58.01</fb>
    <v>0</v>
  </rv>
  <rv s="0">
    <fb>56.41</fb>
    <v>0</v>
  </rv>
  <rv s="0">
    <fb>57.22</fb>
    <v>0</v>
  </rv>
  <rv s="0">
    <fb>50.12</fb>
    <v>0</v>
  </rv>
  <rv s="0">
    <fb>54.45</fb>
    <v>0</v>
  </rv>
  <rv s="0">
    <fb>56.24</fb>
    <v>0</v>
  </rv>
  <rv s="0">
    <fb>56.04</fb>
    <v>0</v>
  </rv>
  <rv s="0">
    <fb>55.46</fb>
    <v>0</v>
  </rv>
  <rv s="0">
    <fb>55.51</fb>
    <v>0</v>
  </rv>
  <rv s="0">
    <fb>59</fb>
    <v>0</v>
  </rv>
  <rv s="0">
    <fb>56.8</fb>
    <v>0</v>
  </rv>
  <rv s="0">
    <fb>57.35</fb>
    <v>0</v>
  </rv>
  <rv s="0">
    <fb>56.6</fb>
    <v>0</v>
  </rv>
  <rv s="0">
    <fb>58.02</fb>
    <v>0</v>
  </rv>
  <rv s="0">
    <fb>56.49</fb>
    <v>0</v>
  </rv>
  <rv s="0">
    <fb>55.79</fb>
    <v>0</v>
  </rv>
  <rv s="0">
    <fb>57.87</fb>
    <v>0</v>
  </rv>
  <rv s="0">
    <fb>59.39</fb>
    <v>0</v>
  </rv>
  <rv s="0">
    <fb>62.58</fb>
    <v>0</v>
  </rv>
  <rv s="0">
    <fb>63.15</fb>
    <v>0</v>
  </rv>
  <rv s="0">
    <fb>63.57</fb>
    <v>0</v>
  </rv>
  <rv s="0">
    <fb>62.89</fb>
    <v>0</v>
  </rv>
  <rv s="0">
    <fb>63.6</fb>
    <v>0</v>
  </rv>
  <rv s="0">
    <fb>61.37</fb>
    <v>0</v>
  </rv>
  <rv s="0">
    <fb>63.27</fb>
    <v>0</v>
  </rv>
  <rv s="0">
    <fb>61.93</fb>
    <v>0</v>
  </rv>
  <rv s="0">
    <fb>61.58</fb>
    <v>0</v>
  </rv>
  <rv s="0">
    <fb>59.65</fb>
    <v>0</v>
  </rv>
  <rv s="0">
    <fb>62.6</fb>
    <v>0</v>
  </rv>
  <rv s="0">
    <fb>62.04</fb>
    <v>0</v>
  </rv>
  <rv s="0">
    <fb>66.13</fb>
    <v>0</v>
  </rv>
  <rv s="0">
    <fb>64.92</fb>
    <v>0</v>
  </rv>
  <rv s="0">
    <fb>65.34</fb>
    <v>0</v>
  </rv>
  <rv s="0">
    <fb>63.93</fb>
    <v>0</v>
  </rv>
  <rv s="0">
    <fb>64.09</fb>
    <v>0</v>
  </rv>
  <rv s="0">
    <fb>60.18</fb>
    <v>0</v>
  </rv>
  <rv s="0">
    <fb>60.92</fb>
    <v>0</v>
  </rv>
  <rv s="0">
    <fb>60</fb>
    <v>0</v>
  </rv>
  <rv s="0">
    <fb>60.14</fb>
    <v>0</v>
  </rv>
  <rv s="0">
    <fb>60.56</fb>
    <v>0</v>
  </rv>
  <rv s="0">
    <fb>61.45</fb>
    <v>0</v>
  </rv>
  <rv s="0">
    <fb>51.04</fb>
    <v>0</v>
  </rv>
  <rv s="0">
    <fb>50.33</fb>
    <v>0</v>
  </rv>
  <rv s="0">
    <fb>50.67</fb>
    <v>0</v>
  </rv>
  <rv s="0">
    <fb>52.58</fb>
    <v>0</v>
  </rv>
  <rv s="0">
    <fb>53.46</fb>
    <v>0</v>
  </rv>
  <rv s="0">
    <fb>53.14</fb>
    <v>0</v>
  </rv>
  <rv s="0">
    <fb>52.03</fb>
    <v>0</v>
  </rv>
  <rv s="0">
    <fb>48.23</fb>
    <v>0</v>
  </rv>
  <rv s="0">
    <fb>45.67</fb>
    <v>0</v>
  </rv>
  <rv s="0">
    <fb>45.11</fb>
    <v>0</v>
  </rv>
  <rv s="0">
    <fb>45.44</fb>
    <v>0</v>
  </rv>
  <rv s="0">
    <fb>44.81</fb>
    <v>0</v>
  </rv>
  <rv s="0">
    <fb>46.1</fb>
    <v>0</v>
  </rv>
  <rv s="0">
    <fb>46.44</fb>
    <v>0</v>
  </rv>
  <rv s="0">
    <fb>46.93</fb>
    <v>0</v>
  </rv>
  <rv s="0">
    <fb>47.07</fb>
    <v>0</v>
  </rv>
  <rv s="0">
    <fb>40.049999999999997</fb>
    <v>0</v>
  </rv>
  <rv s="0">
    <fb>39.71</fb>
    <v>0</v>
  </rv>
  <rv s="0">
    <fb>42.24</fb>
    <v>0</v>
  </rv>
  <rv s="0">
    <fb>43.07</fb>
    <v>0</v>
  </rv>
  <rv s="0">
    <fb>43.86</fb>
    <v>0</v>
  </rv>
  <rv s="0">
    <fb>45.84</fb>
    <v>0</v>
  </rv>
  <rv s="0">
    <fb>46.25</fb>
    <v>0</v>
  </rv>
  <rv s="0">
    <fb>46.43</fb>
    <v>0</v>
  </rv>
  <rv s="0">
    <fb>46.52</fb>
    <v>0</v>
  </rv>
  <rv s="0">
    <fb>47.88</fb>
    <v>0</v>
  </rv>
  <rv s="0">
    <fb>49.36</fb>
    <v>0</v>
  </rv>
  <rv s="0">
    <fb>51.9</fb>
    <v>0</v>
  </rv>
  <rv s="0">
    <fb>51.12</fb>
    <v>0</v>
  </rv>
  <rv s="0">
    <fb>51.84</fb>
    <v>0</v>
  </rv>
  <rv s="0">
    <fb>52.33</fb>
    <v>0</v>
  </rv>
  <rv s="0">
    <fb>51.86</fb>
    <v>0</v>
  </rv>
  <rv s="0">
    <fb>49.33</fb>
    <v>0</v>
  </rv>
  <rv s="0">
    <fb>53.23</fb>
    <v>0</v>
  </rv>
  <rv s="0">
    <fb>52.296999999999997</fb>
    <v>0</v>
  </rv>
  <rv s="0">
    <fb>49.69</fb>
    <v>0</v>
  </rv>
  <rv s="0">
    <fb>49.72</fb>
    <v>0</v>
  </rv>
  <rv s="0">
    <fb>56.09</fb>
    <v>0</v>
  </rv>
  <rv s="0">
    <fb>56.52</fb>
    <v>0</v>
  </rv>
  <rv s="0">
    <fb>56.13</fb>
    <v>0</v>
  </rv>
  <rv s="0">
    <fb>55.96</fb>
    <v>0</v>
  </rv>
  <rv s="0">
    <fb>54.7</fb>
    <v>0</v>
  </rv>
  <rv s="0">
    <fb>56.84</fb>
    <v>0</v>
  </rv>
  <rv s="0">
    <fb>58</fb>
    <v>0</v>
  </rv>
  <rv s="0">
    <fb>57.24</fb>
    <v>0</v>
  </rv>
  <rv s="0">
    <fb>57</fb>
    <v>0</v>
  </rv>
  <rv s="0">
    <fb>57.83</fb>
    <v>0</v>
  </rv>
  <rv s="0">
    <fb>58.52</fb>
    <v>0</v>
  </rv>
  <rv s="0">
    <fb>60.07</fb>
    <v>0</v>
  </rv>
  <rv s="0">
    <fb>58.27</fb>
    <v>0</v>
  </rv>
  <rv s="0">
    <fb>60.5</fb>
    <v>0</v>
  </rv>
  <rv s="0">
    <fb>53.63</fb>
    <v>0</v>
  </rv>
  <rv s="0">
    <fb>55.92</fb>
    <v>0</v>
  </rv>
  <rv s="0">
    <fb>56.43</fb>
    <v>0</v>
  </rv>
  <rv s="0">
    <fb>56.71</fb>
    <v>0</v>
  </rv>
  <rv s="0">
    <fb>55.1</fb>
    <v>0</v>
  </rv>
  <rv s="0">
    <fb>56.55</fb>
    <v>0</v>
  </rv>
  <rv s="0">
    <fb>57.3</fb>
    <v>0</v>
  </rv>
  <rv s="0">
    <fb>57.2</fb>
    <v>0</v>
  </rv>
  <rv s="0">
    <fb>56.62</fb>
    <v>0</v>
  </rv>
  <rv s="0">
    <fb>59.72</fb>
    <v>0</v>
  </rv>
  <rv s="0">
    <fb>58.89</fb>
    <v>0</v>
  </rv>
  <rv s="0">
    <fb>58.24</fb>
    <v>0</v>
  </rv>
  <rv s="0">
    <fb>56.51</fb>
    <v>0</v>
  </rv>
  <rv s="0">
    <fb>57.64</fb>
    <v>0</v>
  </rv>
  <rv s="0">
    <fb>57.05</fb>
    <v>0</v>
  </rv>
  <rv s="0">
    <fb>56.18</fb>
    <v>0</v>
  </rv>
  <rv s="0">
    <fb>58.95</fb>
    <v>0</v>
  </rv>
  <rv s="0">
    <fb>58.9</fb>
    <v>0</v>
  </rv>
  <rv s="0">
    <fb>59.91</fb>
    <v>0</v>
  </rv>
  <rv s="0">
    <fb>58.39</fb>
    <v>0</v>
  </rv>
  <rv s="0">
    <fb>57.41</fb>
    <v>0</v>
  </rv>
  <rv s="0">
    <fb>58.6</fb>
    <v>0</v>
  </rv>
  <rv s="0">
    <fb>58.67</fb>
    <v>0</v>
  </rv>
  <rv s="0">
    <fb>148.12</fb>
    <v>0</v>
  </rv>
  <rv s="0">
    <fb>142.1</fb>
    <v>0</v>
  </rv>
  <rv s="0">
    <fb>141.81</fb>
    <v>0</v>
  </rv>
  <rv s="0">
    <fb>144.06</fb>
    <v>0</v>
  </rv>
  <rv s="0">
    <fb>144.57</fb>
    <v>0</v>
  </rv>
  <rv s="0">
    <fb>146.78</fb>
    <v>0</v>
  </rv>
  <rv s="0">
    <fb>147.22999999999999</fb>
    <v>0</v>
  </rv>
  <rv s="0">
    <fb>144.38</fb>
    <v>0</v>
  </rv>
  <rv s="0">
    <fb>144.1</fb>
    <v>0</v>
  </rv>
  <rv s="0">
    <fb>146.05000000000001</fb>
    <v>0</v>
  </rv>
  <rv s="0">
    <fb>141.31</fb>
    <v>0</v>
  </rv>
  <rv s="0">
    <fb>141.22999999999999</fb>
    <v>0</v>
  </rv>
  <rv s="0">
    <fb>147.38</fb>
    <v>0</v>
  </rv>
  <rv s="0">
    <fb>150.06</fb>
    <v>0</v>
  </rv>
  <rv s="0">
    <fb>155.66999999999999</fb>
    <v>0</v>
  </rv>
  <rv s="0">
    <fb>155.41999999999999</fb>
    <v>0</v>
  </rv>
  <rv s="0">
    <fb>155.22999999999999</fb>
    <v>0</v>
  </rv>
  <rv s="0">
    <fb>157.15</fb>
    <v>0</v>
  </rv>
  <rv s="0">
    <fb>156.44</fb>
    <v>0</v>
  </rv>
  <rv s="0">
    <fb>155.44999999999999</fb>
    <v>0</v>
  </rv>
  <rv s="0">
    <fb>155.07</fb>
    <v>0</v>
  </rv>
  <rv s="0">
    <fb>156.34</fb>
    <v>0</v>
  </rv>
  <rv s="0">
    <fb>158.05000000000001</fb>
    <v>0</v>
  </rv>
  <rv s="0">
    <fb>157.85</fb>
    <v>0</v>
  </rv>
  <rv s="0">
    <fb>156.26</fb>
    <v>0</v>
  </rv>
  <rv s="0">
    <fb>156.55000000000001</fb>
    <v>0</v>
  </rv>
  <rv s="0">
    <fb>158.99</fb>
    <v>0</v>
  </rv>
  <rv s="0">
    <fb>158.94999999999999</fb>
    <v>0</v>
  </rv>
  <rv s="0">
    <fb>159.30000000000001</fb>
    <v>0</v>
  </rv>
  <rv s="0">
    <fb>159.13999999999999</fb>
    <v>0</v>
  </rv>
  <rv s="0">
    <fb>155.68</fb>
    <v>0</v>
  </rv>
  <rv s="0">
    <fb>152.69999999999999</fb>
    <v>0</v>
  </rv>
  <rv s="0">
    <fb>151.66</fb>
    <v>0</v>
  </rv>
  <rv s="0">
    <fb>150.59</fb>
    <v>0</v>
  </rv>
  <rv s="0">
    <fb>149.44</fb>
    <v>0</v>
  </rv>
  <rv s="0">
    <fb>152.77000000000001</fb>
    <v>0</v>
  </rv>
  <rv s="0">
    <fb>149.99</fb>
    <v>0</v>
  </rv>
  <rv s="0">
    <fb>147.09</fb>
    <v>0</v>
  </rv>
  <rv s="0">
    <fb>143.38</fb>
    <v>0</v>
  </rv>
  <rv s="0">
    <fb>142.08000000000001</fb>
    <v>0</v>
  </rv>
  <rv s="0">
    <fb>135.66</fb>
    <v>0</v>
  </rv>
  <rv s="0">
    <fb>135.66999999999999</fb>
    <v>0</v>
  </rv>
  <rv s="0">
    <fb>136.74</fb>
    <v>0</v>
  </rv>
  <rv s="0">
    <fb>140.91</fb>
    <v>0</v>
  </rv>
  <rv s="0">
    <fb>139.91</fb>
    <v>0</v>
  </rv>
  <rv s="0">
    <fb>141.9</fb>
    <v>0</v>
  </rv>
  <rv s="0">
    <fb>142.26</fb>
    <v>0</v>
  </rv>
  <rv s="0">
    <fb>142</fb>
    <v>0</v>
  </rv>
  <rv s="0">
    <fb>145.52000000000001</fb>
    <v>0</v>
  </rv>
  <rv s="0">
    <fb>146.74</fb>
    <v>0</v>
  </rv>
  <rv s="0">
    <fb>144.4</fb>
    <v>0</v>
  </rv>
  <rv s="0">
    <fb>142.28</fb>
    <v>0</v>
  </rv>
  <rv s="0">
    <fb>139.41</fb>
    <v>0</v>
  </rv>
  <rv s="0">
    <fb>140.46</fb>
    <v>0</v>
  </rv>
  <rv s="0">
    <fb>133.81</fb>
    <v>0</v>
  </rv>
  <rv s="0">
    <fb>123.93</fb>
    <v>0</v>
  </rv>
  <rv s="0">
    <fb>122.86</fb>
    <v>0</v>
  </rv>
  <rv s="0">
    <fb>122.04</fb>
    <v>0</v>
  </rv>
  <rv s="0">
    <fb>131.63</fb>
    <v>0</v>
  </rv>
  <rv s="0">
    <fb>133.32</fb>
    <v>0</v>
  </rv>
  <rv s="0">
    <fb>132.12</fb>
    <v>0</v>
  </rv>
  <rv s="0">
    <fb>128.97</fb>
    <v>0</v>
  </rv>
  <rv s="0">
    <fb>138.31</fb>
    <v>0</v>
  </rv>
  <rv s="0">
    <fb>140.41999999999999</fb>
    <v>0</v>
  </rv>
  <rv s="0">
    <fb>140.87</fb>
    <v>0</v>
  </rv>
  <rv s="0">
    <fb>141.34</fb>
    <v>0</v>
  </rv>
  <rv s="0">
    <fb>144.69</fb>
    <v>0</v>
  </rv>
  <rv s="0">
    <fb>143.06</fb>
    <v>0</v>
  </rv>
  <rv s="0">
    <fb>144.41</fb>
    <v>0</v>
  </rv>
  <rv s="0">
    <fb>146.86000000000001</fb>
    <v>0</v>
  </rv>
  <rv s="0">
    <fb>147.29</fb>
    <v>0</v>
  </rv>
  <rv s="0">
    <fb>153.94</fb>
    <v>0</v>
  </rv>
  <rv s="0">
    <fb>156.59</fb>
    <v>0</v>
  </rv>
  <rv s="0">
    <fb>156.6</fb>
    <v>0</v>
  </rv>
  <rv s="0">
    <fb>152.81</fb>
    <v>0</v>
  </rv>
  <rv s="0">
    <fb>153.77000000000001</fb>
    <v>0</v>
  </rv>
  <rv s="0">
    <fb>154.29</fb>
    <v>0</v>
  </rv>
  <rv s="0">
    <fb>154.57</fb>
    <v>0</v>
  </rv>
  <rv s="0">
    <fb>154.55000000000001</fb>
    <v>0</v>
  </rv>
  <rv s="0">
    <fb>154.74</fb>
    <v>0</v>
  </rv>
  <rv s="0">
    <fb>157.13999999999999</fb>
    <v>0</v>
  </rv>
  <rv s="0">
    <fb>156.29</fb>
    <v>0</v>
  </rv>
  <rv s="0">
    <fb>155.84</fb>
    <v>0</v>
  </rv>
  <rv s="0">
    <fb>156.69999999999999</fb>
    <v>0</v>
  </rv>
  <rv s="0">
    <fb>156.31</fb>
    <v>0</v>
  </rv>
  <rv s="0">
    <fb>156.61000000000001</fb>
    <v>0</v>
  </rv>
  <rv s="0">
    <fb>155.66</fb>
    <v>0</v>
  </rv>
  <rv s="0">
    <fb>158.47999999999999</fb>
    <v>0</v>
  </rv>
  <rv s="0">
    <fb>158.78</fb>
    <v>0</v>
  </rv>
  <rv s="0">
    <fb>160.19999999999999</fb>
    <v>0</v>
  </rv>
  <rv s="0">
    <fb>163.44999999999999</fb>
    <v>0</v>
  </rv>
  <rv s="0">
    <fb>164.84</fb>
    <v>0</v>
  </rv>
  <rv s="0">
    <fb>166.57</fb>
    <v>0</v>
  </rv>
  <rv s="0">
    <fb>170.95</fb>
    <v>0</v>
  </rv>
  <rv s="0">
    <fb>171.42</fb>
    <v>0</v>
  </rv>
  <rv s="0">
    <fb>168.99</fb>
    <v>0</v>
  </rv>
  <rv s="0">
    <fb>170.67</fb>
    <v>0</v>
  </rv>
  <rv s="0">
    <fb>172.65</fb>
    <v>0</v>
  </rv>
  <rv s="0">
    <fb>171.26</fb>
    <v>0</v>
  </rv>
  <rv s="0">
    <fb>172.89</fb>
    <v>0</v>
  </rv>
  <rv s="0">
    <fb>170.44</fb>
    <v>0</v>
  </rv>
  <rv s="0">
    <fb>171.73</fb>
    <v>0</v>
  </rv>
  <rv s="0">
    <fb>173.44</fb>
    <v>0</v>
  </rv>
  <rv s="0">
    <fb>174.63</fb>
    <v>0</v>
  </rv>
  <rv s="0">
    <fb>173.18</fb>
    <v>0</v>
  </rv>
  <rv s="0">
    <fb>173.14</fb>
    <v>0</v>
  </rv>
  <rv s="0">
    <fb>174.89</fb>
    <v>0</v>
  </rv>
  <rv s="0">
    <fb>175.08</fb>
    <v>0</v>
  </rv>
  <rv s="0">
    <fb>176.39</fb>
    <v>0</v>
  </rv>
  <rv s="0">
    <fb>175.64</fb>
    <v>0</v>
  </rv>
  <rv s="0">
    <fb>170.97</fb>
    <v>0</v>
  </rv>
  <rv s="0">
    <fb>174.97</fb>
    <v>0</v>
  </rv>
  <rv s="0">
    <fb>173.45</fb>
    <v>0</v>
  </rv>
  <rv s="0">
    <fb>173.46</fb>
    <v>0</v>
  </rv>
  <rv s="0">
    <fb>176.78</fb>
    <v>0</v>
  </rv>
  <rv s="0">
    <fb>175.93</fb>
    <v>0</v>
  </rv>
  <rv s="0">
    <fb>176.4</fb>
    <v>0</v>
  </rv>
  <rv s="0">
    <fb>174.3</fb>
    <v>0</v>
  </rv>
  <rv s="0">
    <fb>173.96</fb>
    <v>0</v>
  </rv>
  <rv s="0">
    <fb>172.37</fb>
    <v>0</v>
  </rv>
  <rv s="0">
    <fb>172.05</fb>
    <v>0</v>
  </rv>
  <rv s="0">
    <fb>175.33</fb>
    <v>0</v>
  </rv>
  <rv s="0">
    <fb>174.36</fb>
    <v>0</v>
  </rv>
  <rv s="0">
    <fb>175.63</fb>
    <v>0</v>
  </rv>
  <rv s="0">
    <fb>174.57</fb>
    <v>0</v>
  </rv>
  <rv s="0">
    <fb>174.18</fb>
    <v>0</v>
  </rv>
  <rv s="0">
    <fb>173.9</fb>
    <v>0</v>
  </rv>
  <rv s="0">
    <fb>170.73</fb>
    <v>0</v>
  </rv>
  <rv s="0">
    <fb>173.8</fb>
    <v>0</v>
  </rv>
  <rv s="0">
    <fb>178.7</fb>
    <v>0</v>
  </rv>
  <rv s="0">
    <fb>177.4</fb>
    <v>0</v>
  </rv>
  <rv s="0">
    <fb>176.6</fb>
    <v>0</v>
  </rv>
  <rv s="0">
    <fb>175.72</fb>
    <v>0</v>
  </rv>
  <rv s="0">
    <fb>176.38</fb>
    <v>0</v>
  </rv>
  <rv s="0">
    <fb>176.64</fb>
    <v>0</v>
  </rv>
  <rv s="0">
    <fb>176.92</fb>
    <v>0</v>
  </rv>
  <rv s="0">
    <fb>176.14</fb>
    <v>0</v>
  </rv>
  <rv s="0">
    <fb>174.13</fb>
    <v>0</v>
  </rv>
  <rv s="0">
    <fb>176.88</fb>
    <v>0</v>
  </rv>
  <rv s="0">
    <fb>175.89</fb>
    <v>0</v>
  </rv>
  <rv s="0">
    <fb>176.18</fb>
    <v>0</v>
  </rv>
  <rv s="0">
    <fb>171.6</fb>
    <v>0</v>
  </rv>
  <rv s="0">
    <fb>172.52</fb>
    <v>0</v>
  </rv>
  <rv s="0">
    <fb>173.49</fb>
    <v>0</v>
  </rv>
  <rv s="0">
    <fb>170.22</fb>
    <v>0</v>
  </rv>
  <rv s="0">
    <fb>170.35</fb>
    <v>0</v>
  </rv>
  <rv s="0">
    <fb>172.75</fb>
    <v>0</v>
  </rv>
  <rv s="0">
    <fb>170.45</fb>
    <v>0</v>
  </rv>
  <rv s="0">
    <fb>171.87</fb>
    <v>0</v>
  </rv>
  <rv s="0">
    <fb>177.67</fb>
    <v>0</v>
  </rv>
  <rv s="0">
    <fb>173.17</fb>
    <v>0</v>
  </rv>
  <rv s="0">
    <fb>173.69</fb>
    <v>0</v>
  </rv>
  <rv s="0">
    <fb>175.09</fb>
    <v>0</v>
  </rv>
  <rv s="0">
    <fb>175.02</fb>
    <v>0</v>
  </rv>
  <rv s="0">
    <fb>173.93</fb>
    <v>0</v>
  </rv>
  <rv s="0">
    <fb>174.98</fb>
    <v>0</v>
  </rv>
  <rv s="0">
    <fb>172.87</fb>
    <v>0</v>
  </rv>
  <rv s="0">
    <fb>174.51</fb>
    <v>0</v>
  </rv>
  <rv s="0">
    <fb>179.29</fb>
    <v>0</v>
  </rv>
  <rv s="0">
    <fb>175.04</fb>
    <v>0</v>
  </rv>
  <rv s="0">
    <fb>169.09</fb>
    <v>0</v>
  </rv>
  <rv s="0">
    <fb>144.94999999999999</fb>
    <v>0</v>
  </rv>
  <rv s="0">
    <fb>142.88</fb>
    <v>0</v>
  </rv>
  <rv s="0">
    <fb>138.58000000000001</fb>
    <v>0</v>
  </rv>
  <rv s="0">
    <fb>138.38999999999999</fb>
    <v>0</v>
  </rv>
  <rv s="0">
    <fb>139.96</fb>
    <v>0</v>
  </rv>
  <rv s="0">
    <fb>139.44</fb>
    <v>0</v>
  </rv>
  <rv s="0">
    <fb>137.69999999999999</fb>
    <v>0</v>
  </rv>
  <rv s="0">
    <fb>139.29</fb>
    <v>0</v>
  </rv>
  <rv s="0">
    <fb>138.91999999999999</fb>
    <v>0</v>
  </rv>
  <rv s="0">
    <fb>136.72</fb>
    <v>0</v>
  </rv>
  <rv s="0">
    <fb>132.93</fb>
    <v>0</v>
  </rv>
  <rv s="0">
    <fb>138.52000000000001</fb>
    <v>0</v>
  </rv>
  <rv s="0">
    <fb>140.05000000000001</fb>
    <v>0</v>
  </rv>
  <rv s="0">
    <fb>141.36000000000001</fb>
    <v>0</v>
  </rv>
  <rv s="0">
    <fb>144.15</fb>
    <v>0</v>
  </rv>
  <rv s="0">
    <fb>144.91</fb>
    <v>0</v>
  </rv>
  <rv s="0">
    <fb>145.63999999999999</fb>
    <v>0</v>
  </rv>
  <rv s="0">
    <fb>143.79</fb>
    <v>0</v>
  </rv>
  <rv s="0">
    <fb>145.4</fb>
    <v>0</v>
  </rv>
  <rv s="0">
    <fb>146.44</fb>
    <v>0</v>
  </rv>
  <rv s="0">
    <fb>146.19999999999999</fb>
    <v>0</v>
  </rv>
  <rv s="0">
    <fb>143.96</fb>
    <v>0</v>
  </rv>
  <rv s="0">
    <fb>145.19</fb>
    <v>0</v>
  </rv>
  <rv s="0">
    <fb>145.84</fb>
    <v>0</v>
  </rv>
  <rv s="0">
    <fb>143.36000000000001</fb>
    <v>0</v>
  </rv>
  <rv s="0">
    <fb>142.03</fb>
    <v>0</v>
  </rv>
  <rv s="0">
    <fb>141.35239999999999</fb>
    <v>0</v>
  </rv>
  <rv s="0">
    <fb>143.44</fb>
    <v>0</v>
  </rv>
  <rv s="0">
    <fb>143.88999999999999</fb>
    <v>0</v>
  </rv>
  <rv s="0">
    <fb>138.43</fb>
    <v>0</v>
  </rv>
  <rv s="0">
    <fb>137.6</fb>
    <v>0</v>
  </rv>
  <rv s="0">
    <fb>136.75</fb>
    <v>0</v>
  </rv>
  <rv s="0">
    <fb>135.65</fb>
    <v>0</v>
  </rv>
  <rv s="0">
    <fb>129.32</fb>
    <v>0</v>
  </rv>
  <rv s="0">
    <fb>124.45</fb>
    <v>0</v>
  </rv>
  <rv s="0">
    <fb>122.39</fb>
    <v>0</v>
  </rv>
  <rv s="0">
    <fb>127.96</fb>
    <v>0</v>
  </rv>
  <rv s="0">
    <fb>127.34</fb>
    <v>0</v>
  </rv>
  <rv s="0">
    <fb>129.38999999999999</fb>
    <v>0</v>
  </rv>
  <rv s="0">
    <fb>128.75</fb>
    <v>0</v>
  </rv>
  <rv s="0">
    <fb>130.78</fb>
    <v>0</v>
  </rv>
  <rv s="0">
    <fb>128.74</fb>
    <v>0</v>
  </rv>
  <rv s="0">
    <fb>125.71</fb>
    <v>0</v>
  </rv>
  <rv s="0">
    <fb>127.23</fb>
    <v>0</v>
  </rv>
  <rv s="0">
    <fb>129.4905</fb>
    <v>0</v>
  </rv>
  <rv s="0">
    <fb>118.91</fb>
    <v>0</v>
  </rv>
  <rv s="0">
    <fb>110.08920000000001</fb>
    <v>0</v>
  </rv>
  <rv s="0">
    <fb>116.23</fb>
    <v>0</v>
  </rv>
  <rv s="0">
    <fb>118.11</fb>
    <v>0</v>
  </rv>
  <rv s="0">
    <fb>118.56</fb>
    <v>0</v>
  </rv>
  <rv s="0">
    <fb>116.12</fb>
    <v>0</v>
  </rv>
  <rv s="0">
    <fb>117.01</fb>
    <v>0</v>
  </rv>
  <rv s="0">
    <fb>113.73</fb>
    <v>0</v>
  </rv>
  <rv s="0">
    <fb>123</fb>
    <v>0</v>
  </rv>
  <rv s="0">
    <fb>123.2</fb>
    <v>0</v>
  </rv>
  <rv s="0">
    <fb>125.03</fb>
    <v>0</v>
  </rv>
  <rv s="0">
    <fb>128.76</fb>
    <v>0</v>
  </rv>
  <rv s="0">
    <fb>128.28</fb>
    <v>0</v>
  </rv>
  <rv s="0">
    <fb>127.51</fb>
    <v>0</v>
  </rv>
  <rv s="0">
    <fb>128.68</fb>
    <v>0</v>
  </rv>
  <rv s="0">
    <fb>135.82</fb>
    <v>0</v>
  </rv>
  <rv s="0">
    <fb>137.44999999999999</fb>
    <v>0</v>
  </rv>
  <rv s="0">
    <fb>137.58000000000001</fb>
    <v>0</v>
  </rv>
  <rv s="0">
    <fb>137.97999999999999</fb>
    <v>0</v>
  </rv>
  <rv s="0">
    <fb>139.1</fb>
    <v>0</v>
  </rv>
  <rv s="0">
    <fb>139.22</fb>
    <v>0</v>
  </rv>
  <rv s="0">
    <fb>134.56</fb>
    <v>0</v>
  </rv>
  <rv s="0">
    <fb>134.69</fb>
    <v>0</v>
  </rv>
  <rv s="0">
    <fb>134.21</fb>
    <v>0</v>
  </rv>
  <rv s="0">
    <fb>137.18</fb>
    <v>0</v>
  </rv>
  <rv s="0">
    <fb>135.52340000000001</fb>
    <v>0</v>
  </rv>
  <rv s="0">
    <fb>135.4</fb>
    <v>0</v>
  </rv>
  <rv s="0">
    <fb>135.13999999999999</fb>
    <v>0</v>
  </rv>
  <rv s="0">
    <fb>135.44</fb>
    <v>0</v>
  </rv>
  <rv s="0">
    <fb>137.54</fb>
    <v>0</v>
  </rv>
  <rv s="0">
    <fb>136.99</fb>
    <v>0</v>
  </rv>
  <rv s="0">
    <fb>137.72999999999999</fb>
    <v>0</v>
  </rv>
  <rv s="0">
    <fb>134.81</fb>
    <v>0</v>
  </rv>
  <rv s="0">
    <fb>137.0532</fb>
    <v>0</v>
  </rv>
  <rv s="0">
    <fb>135.48500000000001</fb>
    <v>0</v>
  </rv>
  <rv s="0">
    <fb>137.21</fb>
    <v>0</v>
  </rv>
  <rv s="0">
    <fb>137.39250000000001</fb>
    <v>0</v>
  </rv>
  <rv s="0">
    <fb>138.19999999999999</fb>
    <v>0</v>
  </rv>
  <rv s="0">
    <fb>141.21</fb>
    <v>0</v>
  </rv>
  <rv s="0">
    <fb>141.86000000000001</fb>
    <v>0</v>
  </rv>
  <rv s="0">
    <fb>144.36000000000001</fb>
    <v>0</v>
  </rv>
  <rv s="0">
    <fb>148.33000000000001</fb>
    <v>0</v>
  </rv>
  <rv s="0">
    <fb>149.19900000000001</fb>
    <v>0</v>
  </rv>
  <rv s="0">
    <fb>148.22</fb>
    <v>0</v>
  </rv>
  <rv s="0">
    <fb>147.88</fb>
    <v>0</v>
  </rv>
  <rv s="0">
    <fb>149.4092</fb>
    <v>0</v>
  </rv>
  <rv s="0">
    <fb>151.33000000000001</fb>
    <v>0</v>
  </rv>
  <rv s="0">
    <fb>148.05000000000001</fb>
    <v>0</v>
  </rv>
  <rv s="0">
    <fb>150.73609999999999</fb>
    <v>0</v>
  </rv>
  <rv s="0">
    <fb>153.16</fb>
    <v>0</v>
  </rv>
  <rv s="0">
    <fb>151.87</fb>
    <v>0</v>
  </rv>
  <rv s="0">
    <fb>152.41</fb>
    <v>0</v>
  </rv>
  <rv s="0">
    <fb>154.83000000000001</fb>
    <v>0</v>
  </rv>
  <rv s="0">
    <fb>155.52000000000001</fb>
    <v>0</v>
  </rv>
  <rv s="0">
    <fb>153.06</fb>
    <v>0</v>
  </rv>
  <rv s="0">
    <fb>149.56</fb>
    <v>0</v>
  </rv>
  <rv s="0">
    <fb>152.54</fb>
    <v>0</v>
  </rv>
  <rv s="0">
    <fb>152.41999999999999</fb>
    <v>0</v>
  </rv>
  <rv s="0">
    <fb>156.21</fb>
    <v>0</v>
  </rv>
  <rv s="0">
    <fb>156.96</fb>
    <v>0</v>
  </rv>
  <rv s="0">
    <fb>154.02000000000001</fb>
    <v>0</v>
  </rv>
  <rv s="0">
    <fb>152.595</fb>
    <v>0</v>
  </rv>
  <rv s="0">
    <fb>152.33199999999999</fb>
    <v>0</v>
  </rv>
  <rv s="0">
    <fb>151.82</fb>
    <v>0</v>
  </rv>
  <rv s="0">
    <fb>155.22</fb>
    <v>0</v>
  </rv>
  <rv s="0">
    <fb>156.68</fb>
    <v>0</v>
  </rv>
  <rv s="0">
    <fb>156.43</fb>
    <v>0</v>
  </rv>
  <rv s="0">
    <fb>155.58000000000001</fb>
    <v>0</v>
  </rv>
  <rv s="0">
    <fb>154.84</fb>
    <v>0</v>
  </rv>
  <rv s="0">
    <fb>152.66</fb>
    <v>0</v>
  </rv>
  <rv s="0">
    <fb>154</fb>
    <v>0</v>
  </rv>
  <rv s="0">
    <fb>154.30000000000001</fb>
    <v>0</v>
  </rv>
  <rv s="0">
    <fb>157.83000000000001</fb>
    <v>0</v>
  </rv>
  <rv s="0">
    <fb>156.41</fb>
    <v>0</v>
  </rv>
  <rv s="0">
    <fb>155.16999999999999</fb>
    <v>0</v>
  </rv>
  <rv s="0">
    <fb>157.38</fb>
    <v>0</v>
  </rv>
  <rv s="0">
    <fb>156.62</fb>
    <v>0</v>
  </rv>
  <rv s="0">
    <fb>155.97999999999999</fb>
    <v>0</v>
  </rv>
  <rv s="0">
    <fb>155.56</fb>
    <v>0</v>
  </rv>
  <rv s="0">
    <fb>152.11000000000001</fb>
    <v>0</v>
  </rv>
  <rv s="0">
    <fb>152.85</fb>
    <v>0</v>
  </rv>
  <rv s="0">
    <fb>150.1</fb>
    <v>0</v>
  </rv>
  <rv s="0">
    <fb>152.31</fb>
    <v>0</v>
  </rv>
  <rv s="0">
    <fb>151.94</fb>
    <v>0</v>
  </rv>
  <rv s="0">
    <fb>151.07499999999999</fb>
    <v>0</v>
  </rv>
  <rv s="0">
    <fb>151.18</fb>
    <v>0</v>
  </rv>
  <rv s="0">
    <fb>150.91999999999999</fb>
    <v>0</v>
  </rv>
  <rv s="0">
    <fb>146.41</fb>
    <v>0</v>
  </rv>
  <rv s="0">
    <fb>149.26</fb>
    <v>0</v>
  </rv>
  <rv s="0">
    <fb>151.44999999999999</fb>
    <v>0</v>
  </rv>
  <rv s="0">
    <fb>146.82</fb>
    <v>0</v>
  </rv>
  <rv s="0">
    <fb>147.15209999999999</fb>
    <v>0</v>
  </rv>
  <rv s="0">
    <fb>149.16999999999999</fb>
    <v>0</v>
  </rv>
  <rv s="0">
    <fb>149.81</fb>
    <v>0</v>
  </rv>
  <rv s="0">
    <fb>148.04</fb>
    <v>0</v>
  </rv>
  <rv s="0">
    <fb>148.4</fb>
    <v>0</v>
  </rv>
  <rv s="0">
    <fb>146.6585</fb>
    <v>0</v>
  </rv>
  <rv s="0">
    <fb>145.7808</fb>
    <v>0</v>
  </rv>
  <rv s="0">
    <fb>145.86000000000001</fb>
    <v>0</v>
  </rv>
  <rv s="0">
    <fb>146.13</fb>
    <v>0</v>
  </rv>
  <rv s="0">
    <fb>144.68</fb>
    <v>0</v>
  </rv>
  <rv s="0">
    <fb>145.93799999999999</fb>
    <v>0</v>
  </rv>
  <rv s="0">
    <fb>145.02000000000001</fb>
    <v>0</v>
  </rv>
  <rv s="0">
    <fb>146.21879999999999</fb>
    <v>0</v>
  </rv>
  <rv s="0">
    <fb>147.74</fb>
    <v>0</v>
  </rv>
  <rv s="0">
    <fb>149.1027</fb>
    <v>0</v>
  </rv>
  <rv s="0">
    <fb>145.48779999999999</fb>
    <v>0</v>
  </rv>
  <rv s="0">
    <fb>144.60300000000001</fb>
    <v>0</v>
  </rv>
  <rv s="0">
    <fb>139.87</fb>
    <v>0</v>
  </rv>
  <rv s="0">
    <fb>140.124</fb>
    <v>0</v>
  </rv>
  <rv s="0">
    <fb>79.045000000000002</fb>
    <v>0</v>
  </rv>
  <rv s="0">
    <fb>76.36</fb>
    <v>0</v>
  </rv>
  <rv s="0">
    <fb>76.650000000000006</fb>
    <v>0</v>
  </rv>
  <rv s="0">
    <fb>77.78</fb>
    <v>0</v>
  </rv>
  <rv s="0">
    <fb>79.169899999999998</fb>
    <v>0</v>
  </rv>
  <rv s="0">
    <fb>77.739999999999995</fb>
    <v>0</v>
  </rv>
  <rv s="0">
    <fb>77.63</fb>
    <v>0</v>
  </rv>
  <rv s="0">
    <fb>78.42</fb>
    <v>0</v>
  </rv>
  <rv s="0">
    <fb>78.31</fb>
    <v>0</v>
  </rv>
  <rv s="0">
    <fb>78.010000000000005</fb>
    <v>0</v>
  </rv>
  <rv s="0">
    <fb>76.209999999999994</fb>
    <v>0</v>
  </rv>
  <rv s="0">
    <fb>80.13</fb>
    <v>0</v>
  </rv>
  <rv s="0">
    <fb>80.510000000000005</fb>
    <v>0</v>
  </rv>
  <rv s="0">
    <fb>82.84</fb>
    <v>0</v>
  </rv>
  <rv s="0">
    <fb>83.35</fb>
    <v>0</v>
  </rv>
  <rv s="0">
    <fb>83.33</fb>
    <v>0</v>
  </rv>
  <rv s="0">
    <fb>84.1</fb>
    <v>0</v>
  </rv>
  <rv s="0">
    <fb>83.13</fb>
    <v>0</v>
  </rv>
  <rv s="0">
    <fb>83.07</fb>
    <v>0</v>
  </rv>
  <rv s="0">
    <fb>83.9</fb>
    <v>0</v>
  </rv>
  <rv s="0">
    <fb>84.65</fb>
    <v>0</v>
  </rv>
  <rv s="0">
    <fb>84.13</fb>
    <v>0</v>
  </rv>
  <rv s="0">
    <fb>83.67</fb>
    <v>0</v>
  </rv>
  <rv s="0">
    <fb>83.25</fb>
    <v>0</v>
  </rv>
  <rv s="0">
    <fb>83.98</fb>
    <v>0</v>
  </rv>
  <rv s="0">
    <fb>83.12</fb>
    <v>0</v>
  </rv>
  <rv s="0">
    <fb>83.56</fb>
    <v>0</v>
  </rv>
  <rv s="0">
    <fb>82.52</fb>
    <v>0</v>
  </rv>
  <rv s="0">
    <fb>79.915000000000006</fb>
    <v>0</v>
  </rv>
  <rv s="0">
    <fb>75.47</fb>
    <v>0</v>
  </rv>
  <rv s="0">
    <fb>75.3</fb>
    <v>0</v>
  </rv>
  <rv s="0">
    <fb>74.599999999999994</fb>
    <v>0</v>
  </rv>
  <rv s="0">
    <fb>77.45</fb>
    <v>0</v>
  </rv>
  <rv s="0">
    <fb>77.13</fb>
    <v>0</v>
  </rv>
  <rv s="0">
    <fb>78.290000000000006</fb>
    <v>0</v>
  </rv>
  <rv s="0">
    <fb>77.67</fb>
    <v>0</v>
  </rv>
  <rv s="0">
    <fb>78.55</fb>
    <v>0</v>
  </rv>
  <rv s="0">
    <fb>79.319999999999993</fb>
    <v>0</v>
  </rv>
  <rv s="0">
    <fb>74.41</fb>
    <v>0</v>
  </rv>
  <rv s="0">
    <fb>69.23</fb>
    <v>0</v>
  </rv>
  <rv s="0">
    <fb>73.05</fb>
    <v>0</v>
  </rv>
  <rv s="0">
    <fb>73.569999999999993</fb>
    <v>0</v>
  </rv>
  <rv s="0">
    <fb>71.989999999999995</fb>
    <v>0</v>
  </rv>
  <rv s="0">
    <fb>77.7</fb>
    <v>0</v>
  </rv>
  <rv s="0">
    <fb>78.36</fb>
    <v>0</v>
  </rv>
  <rv s="0">
    <fb>82.35</fb>
    <v>0</v>
  </rv>
  <rv s="0">
    <fb>82.89</fb>
    <v>0</v>
  </rv>
  <rv s="0">
    <fb>82.28</fb>
    <v>0</v>
  </rv>
  <rv s="0">
    <fb>81.86</fb>
    <v>0</v>
  </rv>
  <rv s="0">
    <fb>82.91</fb>
    <v>0</v>
  </rv>
  <rv s="0">
    <fb>81.150000000000006</fb>
    <v>0</v>
  </rv>
  <rv s="0">
    <fb>81.540000000000006</fb>
    <v>0</v>
  </rv>
  <rv s="0">
    <fb>83.86</fb>
    <v>0</v>
  </rv>
  <rv s="0">
    <fb>84.59</fb>
    <v>0</v>
  </rv>
  <rv s="0">
    <fb>86.75</fb>
    <v>0</v>
  </rv>
  <rv s="0">
    <fb>86.95</fb>
    <v>0</v>
  </rv>
  <rv s="0">
    <fb>86.2</fb>
    <v>0</v>
  </rv>
  <rv s="0">
    <fb>86.7</fb>
    <v>0</v>
  </rv>
  <rv s="0">
    <fb>85.29</fb>
    <v>0</v>
  </rv>
  <rv s="0">
    <fb>85.88</fb>
    <v>0</v>
  </rv>
  <rv s="0">
    <fb>86.83</fb>
    <v>0</v>
  </rv>
  <rv s="0">
    <fb>86</fb>
    <v>0</v>
  </rv>
  <rv s="0">
    <fb>87.14</fb>
    <v>0</v>
  </rv>
  <rv s="0">
    <fb>89.570800000000006</fb>
    <v>0</v>
  </rv>
  <rv s="0">
    <fb>89.02</fb>
    <v>0</v>
  </rv>
  <rv s="0">
    <fb>89.84</fb>
    <v>0</v>
  </rv>
  <rv s="0">
    <fb>89.25</fb>
    <v>0</v>
  </rv>
  <rv s="0">
    <fb>89.447999999999993</fb>
    <v>0</v>
  </rv>
  <rv s="0">
    <fb>88.674999999999997</fb>
    <v>0</v>
  </rv>
  <rv s="0">
    <fb>87.33</fb>
    <v>0</v>
  </rv>
  <rv s="0">
    <fb>86.84</fb>
    <v>0</v>
  </rv>
  <rv s="0">
    <fb>87.92</fb>
    <v>0</v>
  </rv>
  <rv s="0">
    <fb>87.54</fb>
    <v>0</v>
  </rv>
  <rv s="0">
    <fb>87.62</fb>
    <v>0</v>
  </rv>
  <rv s="0">
    <fb>85.775000000000006</fb>
    <v>0</v>
  </rv>
  <rv s="0">
    <fb>121.99</fb>
    <v>0</v>
  </rv>
  <rv s="0">
    <fb>116.48</fb>
    <v>0</v>
  </rv>
  <rv s="0">
    <fb>118.1</fb>
    <v>0</v>
  </rv>
  <rv s="0">
    <fb>118.36</fb>
    <v>0</v>
  </rv>
  <rv s="0">
    <fb>119.86</fb>
    <v>0</v>
  </rv>
  <rv s="0">
    <fb>120.11</fb>
    <v>0</v>
  </rv>
  <rv s="0">
    <fb>118.05</fb>
    <v>0</v>
  </rv>
  <rv s="0">
    <fb>117.83</fb>
    <v>0</v>
  </rv>
  <rv s="0">
    <fb>118.9</fb>
    <v>0</v>
  </rv>
  <rv s="0">
    <fb>118.27</fb>
    <v>0</v>
  </rv>
  <rv s="0">
    <fb>116.19</fb>
    <v>0</v>
  </rv>
  <rv s="0">
    <fb>117.95</fb>
    <v>0</v>
  </rv>
  <rv s="0">
    <fb>121.06</fb>
    <v>0</v>
  </rv>
  <rv s="0">
    <fb>121.67</fb>
    <v>0</v>
  </rv>
  <rv s="0">
    <fb>122.8</fb>
    <v>0</v>
  </rv>
  <rv s="0">
    <fb>123.98</fb>
    <v>0</v>
  </rv>
  <rv s="0">
    <fb>124.12</fb>
    <v>0</v>
  </rv>
  <rv s="0">
    <fb>124.43</fb>
    <v>0</v>
  </rv>
  <rv s="0">
    <fb>125.41</fb>
    <v>0</v>
  </rv>
  <rv s="0">
    <fb>125.88</fb>
    <v>0</v>
  </rv>
  <rv s="0">
    <fb>125.13</fb>
    <v>0</v>
  </rv>
  <rv s="0">
    <fb>125.01</fb>
    <v>0</v>
  </rv>
  <rv s="0">
    <fb>126.66</fb>
    <v>0</v>
  </rv>
  <rv s="0">
    <fb>125.61</fb>
    <v>0</v>
  </rv>
  <rv s="0">
    <fb>125.28</fb>
    <v>0</v>
  </rv>
  <rv s="0">
    <fb>126.48</fb>
    <v>0</v>
  </rv>
  <rv s="0">
    <fb>125.14</fb>
    <v>0</v>
  </rv>
  <rv s="0">
    <fb>123.14</fb>
    <v>0</v>
  </rv>
  <rv s="0">
    <fb>123.09</fb>
    <v>0</v>
  </rv>
  <rv s="0">
    <fb>126.11</fb>
    <v>0</v>
  </rv>
  <rv s="0">
    <fb>124.89</fb>
    <v>0</v>
  </rv>
  <rv s="0">
    <fb>119.17</fb>
    <v>0</v>
  </rv>
  <rv s="0">
    <fb>118.69</fb>
    <v>0</v>
  </rv>
  <rv s="0">
    <fb>114.55</fb>
    <v>0</v>
  </rv>
  <rv s="0">
    <fb>114.89</fb>
    <v>0</v>
  </rv>
  <rv s="0">
    <fb>114.07</fb>
    <v>0</v>
  </rv>
  <rv s="0">
    <fb>118.25</fb>
    <v>0</v>
  </rv>
  <rv s="0">
    <fb>117.96</fb>
    <v>0</v>
  </rv>
  <rv s="0">
    <fb>119.38</fb>
    <v>0</v>
  </rv>
  <rv s="0">
    <fb>121.33</fb>
    <v>0</v>
  </rv>
  <rv s="0">
    <fb>121.44</fb>
    <v>0</v>
  </rv>
  <rv s="0">
    <fb>120.91</fb>
    <v>0</v>
  </rv>
  <rv s="0">
    <fb>120.51</fb>
    <v>0</v>
  </rv>
  <rv s="0">
    <fb>118.03</fb>
    <v>0</v>
  </rv>
  <rv s="0">
    <fb>120.56</fb>
    <v>0</v>
  </rv>
  <rv s="0">
    <fb>105.35</fb>
    <v>0</v>
  </rv>
  <rv s="0">
    <fb>104.87</fb>
    <v>0</v>
  </rv>
  <rv s="0">
    <fb>113.09</fb>
    <v>0</v>
  </rv>
  <rv s="0">
    <fb>112.89</fb>
    <v>0</v>
  </rv>
  <rv s="0">
    <fb>109.17</fb>
    <v>0</v>
  </rv>
  <rv s="0">
    <fb>112.83</fb>
    <v>0</v>
  </rv>
  <rv s="0">
    <fb>114.22</fb>
    <v>0</v>
  </rv>
  <rv s="0">
    <fb>115.61</fb>
    <v>0</v>
  </rv>
  <rv s="0">
    <fb>116.75</fb>
    <v>0</v>
  </rv>
  <rv s="0">
    <fb>116.77</fb>
    <v>0</v>
  </rv>
  <rv s="0">
    <fb>118.7</fb>
    <v>0</v>
  </rv>
  <rv s="0">
    <fb>118.02</fb>
    <v>0</v>
  </rv>
  <rv s="0">
    <fb>119.99</fb>
    <v>0</v>
  </rv>
  <rv s="0">
    <fb>122.76</fb>
    <v>0</v>
  </rv>
  <rv s="0">
    <fb>123.44</fb>
    <v>0</v>
  </rv>
  <rv s="0">
    <fb>123.18</fb>
    <v>0</v>
  </rv>
  <rv s="0">
    <fb>124.69</fb>
    <v>0</v>
  </rv>
  <rv s="0">
    <fb>124.03</fb>
    <v>0</v>
  </rv>
  <rv s="0">
    <fb>121.17</fb>
    <v>0</v>
  </rv>
  <rv s="0">
    <fb>120.77</fb>
    <v>0</v>
  </rv>
  <rv s="0">
    <fb>123.05</fb>
    <v>0</v>
  </rv>
  <rv s="0">
    <fb>122.11</fb>
    <v>0</v>
  </rv>
  <rv s="0">
    <fb>122.73</fb>
    <v>0</v>
  </rv>
  <rv s="0">
    <fb>122.88</fb>
    <v>0</v>
  </rv>
  <rv s="0">
    <fb>122.77</fb>
    <v>0</v>
  </rv>
  <rv s="0">
    <fb>122.47</fb>
    <v>0</v>
  </rv>
  <rv s="0">
    <fb>124.19</fb>
    <v>0</v>
  </rv>
  <rv s="0">
    <fb>123.61</fb>
    <v>0</v>
  </rv>
  <rv s="0">
    <fb>123.72</fb>
    <v>0</v>
  </rv>
  <rv s="0">
    <fb>123.59</fb>
    <v>0</v>
  </rv>
  <rv s="0">
    <fb>123.56</fb>
    <v>0</v>
  </rv>
  <rv s="0">
    <fb>120.97</fb>
    <v>0</v>
  </rv>
  <rv s="0">
    <fb>122.42</fb>
    <v>0</v>
  </rv>
  <rv s="0">
    <fb>121.53</fb>
    <v>0</v>
  </rv>
  <rv s="0">
    <fb>121.76</fb>
    <v>0</v>
  </rv>
  <rv s="0">
    <fb>128.13</fb>
    <v>0</v>
  </rv>
  <rv s="0">
    <fb>128.44</fb>
    <v>0</v>
  </rv>
  <rv s="0">
    <fb>127.42</fb>
    <v>0</v>
  </rv>
  <rv s="0">
    <fb>127.32</fb>
    <v>0</v>
  </rv>
  <rv s="0">
    <fb>126</fb>
    <v>0</v>
  </rv>
  <rv s="0">
    <fb>127.06</fb>
    <v>0</v>
  </rv>
  <rv s="0">
    <fb>128.47</fb>
    <v>0</v>
  </rv>
  <rv s="0">
    <fb>128.06</fb>
    <v>0</v>
  </rv>
  <rv s="0">
    <fb>129.61000000000001</fb>
    <v>0</v>
  </rv>
  <rv s="0">
    <fb>130.30000000000001</fb>
    <v>0</v>
  </rv>
  <rv s="0">
    <fb>125.23</fb>
    <v>0</v>
  </rv>
  <rv s="0">
    <fb>126.78</fb>
    <v>0</v>
  </rv>
  <rv s="0">
    <fb>126.3</fb>
    <v>0</v>
  </rv>
  <rv s="0">
    <fb>125.54</fb>
    <v>0</v>
  </rv>
  <rv s="0">
    <fb>126.64</fb>
    <v>0</v>
  </rv>
  <rv s="0">
    <fb>129.18</fb>
    <v>0</v>
  </rv>
  <rv s="0">
    <fb>128.49</fb>
    <v>0</v>
  </rv>
  <rv s="0">
    <fb>129.04</fb>
    <v>0</v>
  </rv>
  <rv s="0">
    <fb>128.63</fb>
    <v>0</v>
  </rv>
  <rv s="0">
    <fb>131.16</fb>
    <v>0</v>
  </rv>
  <rv s="0">
    <fb>130.44</fb>
    <v>0</v>
  </rv>
  <rv s="0">
    <fb>131.38999999999999</fb>
    <v>0</v>
  </rv>
  <rv s="0">
    <fb>131.72</fb>
    <v>0</v>
  </rv>
  <rv s="0">
    <fb>131.97</fb>
    <v>0</v>
  </rv>
  <rv s="0">
    <fb>130.97</fb>
    <v>0</v>
  </rv>
  <rv s="0">
    <fb>130.75</fb>
    <v>0</v>
  </rv>
  <rv s="0">
    <fb>130.21</fb>
    <v>0</v>
  </rv>
  <rv s="0">
    <fb>130.69</fb>
    <v>0</v>
  </rv>
  <rv s="0">
    <fb>131.66</fb>
    <v>0</v>
  </rv>
  <rv s="0">
    <fb>131.38</fb>
    <v>0</v>
  </rv>
  <rv s="0">
    <fb>130.97999999999999</fb>
    <v>0</v>
  </rv>
  <rv s="0">
    <fb>132.71</fb>
    <v>0</v>
  </rv>
  <rv s="0">
    <fb>132.58000000000001</fb>
    <v>0</v>
  </rv>
  <rv s="0">
    <fb>131.99</fb>
    <v>0</v>
  </rv>
  <rv s="0">
    <fb>131.01</fb>
    <v>0</v>
  </rv>
  <rv s="0">
    <fb>132</fb>
    <v>0</v>
  </rv>
  <rv s="0">
    <fb>131.24</fb>
    <v>0</v>
  </rv>
  <rv s="0">
    <fb>130.05000000000001</fb>
    <v>0</v>
  </rv>
  <rv s="0">
    <fb>130.03</fb>
    <v>0</v>
  </rv>
  <rv s="0">
    <fb>130.86000000000001</fb>
    <v>0</v>
  </rv>
  <rv s="0">
    <fb>130.94999999999999</fb>
    <v>0</v>
  </rv>
  <rv s="0">
    <fb>129.87</fb>
    <v>0</v>
  </rv>
  <rv s="0">
    <fb>128.19</fb>
    <v>0</v>
  </rv>
  <rv s="0">
    <fb>129.9</fb>
    <v>0</v>
  </rv>
  <rv s="0">
    <fb>129.6</fb>
    <v>0</v>
  </rv>
  <rv s="0">
    <fb>125.75</fb>
    <v>0</v>
  </rv>
  <rv s="0">
    <fb>128.44999999999999</fb>
    <v>0</v>
  </rv>
  <rv s="0">
    <fb>127.73</fb>
    <v>0</v>
  </rv>
  <rv s="0">
    <fb>127.98</fb>
    <v>0</v>
  </rv>
  <rv s="0">
    <fb>129.91</fb>
    <v>0</v>
  </rv>
  <rv s="0">
    <fb>129.12</fb>
    <v>0</v>
  </rv>
  <rv s="0">
    <fb>126.87</fb>
    <v>0</v>
  </rv>
  <rv s="0">
    <fb>127.1</fb>
    <v>0</v>
  </rv>
  <rv s="0">
    <fb>127.11</fb>
    <v>0</v>
  </rv>
  <rv s="0">
    <fb>127.64</fb>
    <v>0</v>
  </rv>
  <rv s="0">
    <fb>128.16</fb>
    <v>0</v>
  </rv>
  <rv s="0">
    <fb>127.58</fb>
    <v>0</v>
  </rv>
  <rv s="0">
    <fb>128.58000000000001</fb>
    <v>0</v>
  </rv>
  <rv s="0">
    <fb>127.71</fb>
    <v>0</v>
  </rv>
  <rv s="0">
    <fb>124.97</fb>
    <v>0</v>
  </rv>
  <rv s="0">
    <fb>147.86000000000001</fb>
    <v>0</v>
  </rv>
  <rv s="0">
    <fb>143.03</fb>
    <v>0</v>
  </rv>
  <rv s="0">
    <fb>146.32</fb>
    <v>0</v>
  </rv>
  <rv s="0">
    <fb>146.51</fb>
    <v>0</v>
  </rv>
  <rv s="0">
    <fb>145.71</fb>
    <v>0</v>
  </rv>
  <rv s="0">
    <fb>145.35</fb>
    <v>0</v>
  </rv>
  <rv s="0">
    <fb>144.86000000000001</fb>
    <v>0</v>
  </rv>
  <rv s="0">
    <fb>144.84</fb>
    <v>0</v>
  </rv>
  <rv s="0">
    <fb>146</fb>
    <v>0</v>
  </rv>
  <rv s="0">
    <fb>145.08000000000001</fb>
    <v>0</v>
  </rv>
  <rv s="0">
    <fb>148.08000000000001</fb>
    <v>0</v>
  </rv>
  <rv s="0">
    <fb>151.62</fb>
    <v>0</v>
  </rv>
  <rv s="0">
    <fb>156.5</fb>
    <v>0</v>
  </rv>
  <rv s="0">
    <fb>158.5</fb>
    <v>0</v>
  </rv>
  <rv s="0">
    <fb>156.72</fb>
    <v>0</v>
  </rv>
  <rv s="0">
    <fb>155.02000000000001</fb>
    <v>0</v>
  </rv>
  <rv s="0">
    <fb>154.93</fb>
    <v>0</v>
  </rv>
  <rv s="0">
    <fb>157.22</fb>
    <v>0</v>
  </rv>
  <rv s="0">
    <fb>156.58000000000001</fb>
    <v>0</v>
  </rv>
  <rv s="0">
    <fb>156.79</fb>
    <v>0</v>
  </rv>
  <rv s="0">
    <fb>155.83000000000001</fb>
    <v>0</v>
  </rv>
  <rv s="0">
    <fb>157.03</fb>
    <v>0</v>
  </rv>
  <rv s="0">
    <fb>156.44999999999999</fb>
    <v>0</v>
  </rv>
  <rv s="0">
    <fb>157.47999999999999</fb>
    <v>0</v>
  </rv>
  <rv s="0">
    <fb>155.05000000000001</fb>
    <v>0</v>
  </rv>
  <rv s="0">
    <fb>153.55000000000001</fb>
    <v>0</v>
  </rv>
  <rv s="0">
    <fb>154.37</fb>
    <v>0</v>
  </rv>
  <rv s="0">
    <fb>152.91999999999999</fb>
    <v>0</v>
  </rv>
  <rv s="0">
    <fb>149.35</fb>
    <v>0</v>
  </rv>
  <rv s="0">
    <fb>149.59</fb>
    <v>0</v>
  </rv>
  <rv s="0">
    <fb>150.44999999999999</fb>
    <v>0</v>
  </rv>
  <rv s="0">
    <fb>154.79</fb>
    <v>0</v>
  </rv>
  <rv s="0">
    <fb>152.52000000000001</fb>
    <v>0</v>
  </rv>
  <rv s="0">
    <fb>149.43</fb>
    <v>0</v>
  </rv>
  <rv s="0">
    <fb>151.24</fb>
    <v>0</v>
  </rv>
  <rv s="0">
    <fb>153.43</fb>
    <v>0</v>
  </rv>
  <rv s="0">
    <fb>152.72999999999999</fb>
    <v>0</v>
  </rv>
  <rv s="0">
    <fb>156.38</fb>
    <v>0</v>
  </rv>
  <rv s="0">
    <fb>158.12</fb>
    <v>0</v>
  </rv>
  <rv s="0">
    <fb>159.5</fb>
    <v>0</v>
  </rv>
  <rv s="0">
    <fb>157.13</fb>
    <v>0</v>
  </rv>
  <rv s="0">
    <fb>156.37</fb>
    <v>0</v>
  </rv>
  <rv s="0">
    <fb>153.22999999999999</fb>
    <v>0</v>
  </rv>
  <rv s="0">
    <fb>147.78</fb>
    <v>0</v>
  </rv>
  <rv s="0">
    <fb>135.80000000000001</fb>
    <v>0</v>
  </rv>
  <rv s="0">
    <fb>137.4</fb>
    <v>0</v>
  </rv>
  <rv s="0">
    <fb>147.08000000000001</fb>
    <v>0</v>
  </rv>
  <rv s="0">
    <fb>150.87</fb>
    <v>0</v>
  </rv>
  <rv s="0">
    <fb>150.31</fb>
    <v>0</v>
  </rv>
  <rv s="0">
    <fb>149.66</fb>
    <v>0</v>
  </rv>
  <rv s="0">
    <fb>149.55000000000001</fb>
    <v>0</v>
  </rv>
  <rv s="0">
    <fb>146.16</fb>
    <v>0</v>
  </rv>
  <rv s="0">
    <fb>150.24</fb>
    <v>0</v>
  </rv>
  <rv s="0">
    <fb>154.72999999999999</fb>
    <v>0</v>
  </rv>
  <rv s="0">
    <fb>156.91</fb>
    <v>0</v>
  </rv>
  <rv s="0">
    <fb>158.55000000000001</fb>
    <v>0</v>
  </rv>
  <rv s="0">
    <fb>161.36000000000001</fb>
    <v>0</v>
  </rv>
  <rv s="0">
    <fb>160.13</fb>
    <v>0</v>
  </rv>
  <rv s="0">
    <fb>160.31</fb>
    <v>0</v>
  </rv>
  <rv s="0">
    <fb>163.44</fb>
    <v>0</v>
  </rv>
  <rv s="0">
    <fb>163.33000000000001</fb>
    <v>0</v>
  </rv>
  <rv s="0">
    <fb>165.64</fb>
    <v>0</v>
  </rv>
  <rv s="0">
    <fb>167.12</fb>
    <v>0</v>
  </rv>
  <rv s="0">
    <fb>171.94</fb>
    <v>0</v>
  </rv>
  <rv s="0">
    <fb>173.3</fb>
    <v>0</v>
  </rv>
  <rv s="0">
    <fb>170.79</fb>
    <v>0</v>
  </rv>
  <rv s="0">
    <fb>171.05</fb>
    <v>0</v>
  </rv>
  <rv s="0">
    <fb>175.28</fb>
    <v>0</v>
  </rv>
  <rv s="0">
    <fb>175.5</fb>
    <v>0</v>
  </rv>
  <rv s="0">
    <fb>176.31</fb>
    <v>0</v>
  </rv>
  <rv s="0">
    <fb>177.24</fb>
    <v>0</v>
  </rv>
  <rv s="0">
    <fb>179.35</fb>
    <v>0</v>
  </rv>
  <rv s="0">
    <fb>180.14</fb>
    <v>0</v>
  </rv>
  <rv s="0">
    <fb>180.24</fb>
    <v>0</v>
  </rv>
  <rv s="0">
    <fb>181.96</fb>
    <v>0</v>
  </rv>
  <rv s="0">
    <fb>182.64</fb>
    <v>0</v>
  </rv>
  <rv s="0">
    <fb>180.69</fb>
    <v>0</v>
  </rv>
  <rv s="0">
    <fb>179.47</fb>
    <v>0</v>
  </rv>
  <rv s="0">
    <fb>179.98</fb>
    <v>0</v>
  </rv>
  <rv s="0">
    <fb>178.78</fb>
    <v>0</v>
  </rv>
  <rv s="0">
    <fb>180.44</fb>
    <v>0</v>
  </rv>
  <rv s="0">
    <fb>183.01</fb>
    <v>0</v>
  </rv>
  <rv s="0">
    <fb>181.75</fb>
    <v>0</v>
  </rv>
  <rv s="0">
    <fb>182.04</fb>
    <v>0</v>
  </rv>
  <rv s="0">
    <fb>184.5</fb>
    <v>0</v>
  </rv>
  <rv s="0">
    <fb>184.73</fb>
    <v>0</v>
  </rv>
  <rv s="0">
    <fb>186.86</fb>
    <v>0</v>
  </rv>
  <rv s="0">
    <fb>188.07</fb>
    <v>0</v>
  </rv>
  <rv s="0">
    <fb>188.65</fb>
    <v>0</v>
  </rv>
  <rv s="0">
    <fb>189.78</fb>
    <v>0</v>
  </rv>
  <rv s="0">
    <fb>193.64</fb>
    <v>0</v>
  </rv>
  <rv s="0">
    <fb>193.22</fb>
    <v>0</v>
  </rv>
  <rv s="0">
    <fb>195.86</fb>
    <v>0</v>
  </rv>
  <rv s="0">
    <fb>196.11</fb>
    <v>0</v>
  </rv>
  <rv s="0">
    <fb>194.65</fb>
    <v>0</v>
  </rv>
  <rv s="0">
    <fb>196.89</fb>
    <v>0</v>
  </rv>
  <rv s="0">
    <fb>196.84</fb>
    <v>0</v>
  </rv>
  <rv s="0">
    <fb>198.27</fb>
    <v>0</v>
  </rv>
  <rv s="0">
    <fb>198.05</fb>
    <v>0</v>
  </rv>
  <rv s="0">
    <fb>197.23</fb>
    <v>0</v>
  </rv>
  <rv s="0">
    <fb>198.64</fb>
    <v>0</v>
  </rv>
  <rv s="0">
    <fb>196.6</fb>
    <v>0</v>
  </rv>
  <rv s="0">
    <fb>195.78</fb>
    <v>0</v>
  </rv>
  <rv s="0">
    <fb>197.91</fb>
    <v>0</v>
  </rv>
  <rv s="0">
    <fb>197.54</fb>
    <v>0</v>
  </rv>
  <rv s="0">
    <fb>197.41</fb>
    <v>0</v>
  </rv>
  <rv s="0">
    <fb>196.96</fb>
    <v>0</v>
  </rv>
  <rv s="0">
    <fb>196.26</fb>
    <v>0</v>
  </rv>
  <rv s="0">
    <fb>198.24</fb>
    <v>0</v>
  </rv>
  <rv s="0">
    <fb>196.81</fb>
    <v>0</v>
  </rv>
  <rv s="0">
    <fb>195.99</fb>
    <v>0</v>
  </rv>
  <rv s="0">
    <fb>195.08</fb>
    <v>0</v>
  </rv>
  <rv s="0">
    <fb>195.93</fb>
    <v>0</v>
  </rv>
  <rv s="0">
    <fb>194.96</fb>
    <v>0</v>
  </rv>
  <rv s="0">
    <fb>195.81</fb>
    <v>0</v>
  </rv>
  <rv s="0">
    <fb>195.36</fb>
    <v>0</v>
  </rv>
  <rv s="0">
    <fb>199.98</fb>
    <v>0</v>
  </rv>
  <rv s="0">
    <fb>198.42</fb>
    <v>0</v>
  </rv>
  <rv s="0">
    <fb>198.5</fb>
    <v>0</v>
  </rv>
  <rv s="0">
    <fb>198.52</fb>
    <v>0</v>
  </rv>
  <rv s="0">
    <fb>198.13</fb>
    <v>0</v>
  </rv>
  <rv s="0">
    <fb>197.65</fb>
    <v>0</v>
  </rv>
  <rv s="0">
    <fb>196.23</fb>
    <v>0</v>
  </rv>
  <rv s="0">
    <fb>198.9</fb>
    <v>0</v>
  </rv>
  <rv s="0">
    <fb>200.07</fb>
    <v>0</v>
  </rv>
  <rv s="0">
    <fb>199.42</fb>
    <v>0</v>
  </rv>
  <rv s="0">
    <fb>201.82</fb>
    <v>0</v>
  </rv>
  <rv s="0">
    <fb>201.89</fb>
    <v>0</v>
  </rv>
  <rv s="0">
    <fb>200.52</fb>
    <v>0</v>
  </rv>
  <rv s="0">
    <fb>202.97</fb>
    <v>0</v>
  </rv>
  <rv s="0">
    <fb>203.4</fb>
    <v>0</v>
  </rv>
  <rv s="0">
    <fb>203.67</fb>
    <v>0</v>
  </rv>
  <rv s="0">
    <fb>205.7</fb>
    <v>0</v>
  </rv>
  <rv s="0">
    <fb>205.44</fb>
    <v>0</v>
  </rv>
  <rv s="0">
    <fb>209.26</fb>
    <v>0</v>
  </rv>
  <rv s="0">
    <fb>209.38</fb>
    <v>0</v>
  </rv>
  <rv s="0">
    <fb>209.55</fb>
    <v>0</v>
  </rv>
  <rv s="0">
    <fb>215.16</fb>
    <v>0</v>
  </rv>
  <rv s="0">
    <fb>211.24</fb>
    <v>0</v>
  </rv>
  <rv s="0">
    <fb>206.04</fb>
    <v>0</v>
  </rv>
  <rv s="0">
    <fb>207.68</fb>
    <v>0</v>
  </rv>
  <rv s="0">
    <fb>206.25</fb>
    <v>0</v>
  </rv>
  <rv s="0">
    <fb>205.93</fb>
    <v>0</v>
  </rv>
  <rv s="0">
    <fb>209.61</fb>
    <v>0</v>
  </rv>
  <rv s="0">
    <fb>210.54</fb>
    <v>0</v>
  </rv>
  <rv s="0">
    <fb>218.9</fb>
    <v>0</v>
  </rv>
  <rv s="0">
    <fb>217.54</fb>
    <v>0</v>
  </rv>
  <rv s="0">
    <fb>217.45</fb>
    <v>0</v>
  </rv>
  <rv s="0">
    <fb>215.31</fb>
    <v>0</v>
  </rv>
  <rv s="0">
    <fb>211.76</fb>
    <v>0</v>
  </rv>
  <rv s="0">
    <fb>209.47</fb>
    <v>0</v>
  </rv>
  <rv s="0">
    <fb>207.57</fb>
    <v>0</v>
  </rv>
  <rv s="0">
    <fb>209.04</fb>
    <v>0</v>
  </rv>
  <rv s="0">
    <fb>210.97</fb>
    <v>0</v>
  </rv>
  <rv s="0">
    <fb>210.51</fb>
    <v>0</v>
  </rv>
  <rv s="0">
    <fb>205.04</fb>
    <v>0</v>
  </rv>
  <rv s="0">
    <fb>205.94</fb>
    <v>0</v>
  </rv>
  <rv s="0">
    <fb>203.81</fb>
    <v>0</v>
  </rv>
  <rv s="0">
    <fb>202.76</fb>
    <v>0</v>
  </rv>
  <rv s="0">
    <fb>117.53</fb>
    <v>0</v>
  </rv>
  <rv s="0">
    <fb>115.99</fb>
    <v>0</v>
  </rv>
  <rv s="0">
    <fb>116.86</fb>
    <v>0</v>
  </rv>
  <rv s="0">
    <fb>117.27</fb>
    <v>0</v>
  </rv>
  <rv s="0">
    <fb>116.27</fb>
    <v>0</v>
  </rv>
  <rv s="0">
    <fb>114.73</fb>
    <v>0</v>
  </rv>
  <rv s="0">
    <fb>114.47</fb>
    <v>0</v>
  </rv>
  <rv s="0">
    <fb>114.15</fb>
    <v>0</v>
  </rv>
  <rv s="0">
    <fb>115.71</fb>
    <v>0</v>
  </rv>
  <rv s="0">
    <fb>117.1</fb>
    <v>0</v>
  </rv>
  <rv s="0">
    <fb>117.52</fb>
    <v>0</v>
  </rv>
  <rv s="0">
    <fb>119.51</fb>
    <v>0</v>
  </rv>
  <rv s="0">
    <fb>123.07</fb>
    <v>0</v>
  </rv>
  <rv s="0">
    <fb>122.68</fb>
    <v>0</v>
  </rv>
  <rv s="0">
    <fb>122.21</fb>
    <v>0</v>
  </rv>
  <rv s="0">
    <fb>118.65</fb>
    <v>0</v>
  </rv>
  <rv s="0">
    <fb>120.87</fb>
    <v>0</v>
  </rv>
  <rv s="0">
    <fb>120.59</fb>
    <v>0</v>
  </rv>
  <rv s="0">
    <fb>120.33</fb>
    <v>0</v>
  </rv>
  <rv s="0">
    <fb>120.92</fb>
    <v>0</v>
  </rv>
  <rv s="0">
    <fb>120.1</fb>
    <v>0</v>
  </rv>
  <rv s="0">
    <fb>117.92</fb>
    <v>0</v>
  </rv>
  <rv s="0">
    <fb>116.98</fb>
    <v>0</v>
  </rv>
  <rv s="0">
    <fb>118.08</fb>
    <v>0</v>
  </rv>
  <rv s="0">
    <fb>117.7</fb>
    <v>0</v>
  </rv>
  <rv s="0">
    <fb>116.59</fb>
    <v>0</v>
  </rv>
  <rv s="0">
    <fb>114.09</fb>
    <v>0</v>
  </rv>
  <rv s="0">
    <fb>115.16</fb>
    <v>0</v>
  </rv>
  <rv s="0">
    <fb>115.3</fb>
    <v>0</v>
  </rv>
  <rv s="0">
    <fb>114.36</fb>
    <v>0</v>
  </rv>
  <rv s="0">
    <fb>115.78</fb>
    <v>0</v>
  </rv>
  <rv s="0">
    <fb>114.26</fb>
    <v>0</v>
  </rv>
  <rv s="0">
    <fb>113.86</fb>
    <v>0</v>
  </rv>
  <rv s="0">
    <fb>117.36</fb>
    <v>0</v>
  </rv>
  <rv s="0">
    <fb>118.26</fb>
    <v>0</v>
  </rv>
  <rv s="0">
    <fb>119.91</fb>
    <v>0</v>
  </rv>
  <rv s="0">
    <fb>121.01</fb>
    <v>0</v>
  </rv>
  <rv s="0">
    <fb>117.3</fb>
    <v>0</v>
  </rv>
  <rv s="0">
    <fb>118.82</fb>
    <v>0</v>
  </rv>
  <rv s="0">
    <fb>105.2</fb>
    <v>0</v>
  </rv>
  <rv s="0">
    <fb>105.33</fb>
    <v>0</v>
  </rv>
  <rv s="0">
    <fb>115.32</fb>
    <v>0</v>
  </rv>
  <rv s="0">
    <fb>116.61</fb>
    <v>0</v>
  </rv>
  <rv s="0">
    <fb>115.8</fb>
    <v>0</v>
  </rv>
  <rv s="0">
    <fb>113.33</fb>
    <v>0</v>
  </rv>
  <rv s="0">
    <fb>113.4</fb>
    <v>0</v>
  </rv>
  <rv s="0">
    <fb>116.1</fb>
    <v>0</v>
  </rv>
  <rv s="0">
    <fb>118.57</fb>
    <v>0</v>
  </rv>
  <rv s="0">
    <fb>121.77</fb>
    <v>0</v>
  </rv>
  <rv s="0">
    <fb>124.95</fb>
    <v>0</v>
  </rv>
  <rv s="0">
    <fb>126.56</fb>
    <v>0</v>
  </rv>
  <rv s="0">
    <fb>128.66999999999999</fb>
    <v>0</v>
  </rv>
  <rv s="0">
    <fb>128.26</fb>
    <v>0</v>
  </rv>
  <rv s="0">
    <fb>130.62</fb>
    <v>0</v>
  </rv>
  <rv s="0">
    <fb>132.26</fb>
    <v>0</v>
  </rv>
  <rv s="0">
    <fb>132.38</fb>
    <v>0</v>
  </rv>
  <rv s="0">
    <fb>129.99</fb>
    <v>0</v>
  </rv>
  <rv s="0">
    <fb>132.51</fb>
    <v>0</v>
  </rv>
  <rv s="0">
    <fb>133.72</fb>
    <v>0</v>
  </rv>
  <rv s="0">
    <fb>134.88</fb>
    <v>0</v>
  </rv>
  <rv s="0">
    <fb>135.30000000000001</fb>
    <v>0</v>
  </rv>
  <rv s="0">
    <fb>136.26</fb>
    <v>0</v>
  </rv>
  <rv s="0">
    <fb>135.87</fb>
    <v>0</v>
  </rv>
  <rv s="0">
    <fb>135.88</fb>
    <v>0</v>
  </rv>
  <rv s="0">
    <fb>134.96</fb>
    <v>0</v>
  </rv>
  <rv s="0">
    <fb>135.54</fb>
    <v>0</v>
  </rv>
  <rv s="0">
    <fb>136.83000000000001</fb>
    <v>0</v>
  </rv>
  <rv s="0">
    <fb>136.46</fb>
    <v>0</v>
  </rv>
  <rv s="0">
    <fb>136.80000000000001</fb>
    <v>0</v>
  </rv>
  <rv s="0">
    <fb>141.69</fb>
    <v>0</v>
  </rv>
  <rv s="0">
    <fb>139.82</fb>
    <v>0</v>
  </rv>
  <rv s="0">
    <fb>140.22999999999999</fb>
    <v>0</v>
  </rv>
  <rv s="0">
    <fb>141.76</fb>
    <v>0</v>
  </rv>
  <rv s="0">
    <fb>141.41</fb>
    <v>0</v>
  </rv>
  <rv s="0">
    <fb>142.80000000000001</fb>
    <v>0</v>
  </rv>
  <rv s="0">
    <fb>144.46</fb>
    <v>0</v>
  </rv>
  <rv s="0">
    <fb>145.13999999999999</fb>
    <v>0</v>
  </rv>
  <rv s="0">
    <fb>146.81</fb>
    <v>0</v>
  </rv>
  <rv s="0">
    <fb>146.54</fb>
    <v>0</v>
  </rv>
  <rv s="0">
    <fb>145.57</fb>
    <v>0</v>
  </rv>
  <rv s="0">
    <fb>144.02000000000001</fb>
    <v>0</v>
  </rv>
  <rv s="0">
    <fb>146.85</fb>
    <v>0</v>
  </rv>
  <rv s="0">
    <fb>146.38</fb>
    <v>0</v>
  </rv>
  <rv s="0">
    <fb>147.37</fb>
    <v>0</v>
  </rv>
  <rv s="0">
    <fb>147.19</fb>
    <v>0</v>
  </rv>
  <rv s="0">
    <fb>146.26</fb>
    <v>0</v>
  </rv>
  <rv s="0">
    <fb>147.02000000000001</fb>
    <v>0</v>
  </rv>
  <rv s="0">
    <fb>146.94</fb>
    <v>0</v>
  </rv>
  <rv s="0">
    <fb>147.27000000000001</fb>
    <v>0</v>
  </rv>
  <rv s="0">
    <fb>146.36000000000001</fb>
    <v>0</v>
  </rv>
  <rv s="0">
    <fb>147.75</fb>
    <v>0</v>
  </rv>
  <rv s="0">
    <fb>147.94</fb>
    <v>0</v>
  </rv>
  <rv s="0">
    <fb>146.93</fb>
    <v>0</v>
  </rv>
  <rv s="0">
    <fb>146.22999999999999</fb>
    <v>0</v>
  </rv>
  <rv s="0">
    <fb>145.53</fb>
    <v>0</v>
  </rv>
  <rv s="0">
    <fb>149.19999999999999</fb>
    <v>0</v>
  </rv>
  <rv s="0">
    <fb>149.34</fb>
    <v>0</v>
  </rv>
  <rv s="0">
    <fb>147.87</fb>
    <v>0</v>
  </rv>
  <rv s="0">
    <fb>146.53</fb>
    <v>0</v>
  </rv>
  <rv s="0">
    <fb>147.25</fb>
    <v>0</v>
  </rv>
  <rv s="0">
    <fb>147.44999999999999</fb>
    <v>0</v>
  </rv>
  <rv s="0">
    <fb>147.5</fb>
    <v>0</v>
  </rv>
  <rv s="0">
    <fb>148.71</fb>
    <v>0</v>
  </rv>
  <rv s="0">
    <fb>149.69</fb>
    <v>0</v>
  </rv>
  <rv s="0">
    <fb>149.22</fb>
    <v>0</v>
  </rv>
  <rv s="0">
    <fb>150.19</fb>
    <v>0</v>
  </rv>
  <rv s="0">
    <fb>151.47999999999999</fb>
    <v>0</v>
  </rv>
  <rv s="0">
    <fb>151.16</fb>
    <v>0</v>
  </rv>
  <rv s="0">
    <fb>150.72</fb>
    <v>0</v>
  </rv>
  <rv s="0">
    <fb>152.55000000000001</fb>
    <v>0</v>
  </rv>
  <rv s="0">
    <fb>152.63</fb>
    <v>0</v>
  </rv>
  <rv s="0">
    <fb>155.72999999999999</fb>
    <v>0</v>
  </rv>
  <rv s="0">
    <fb>156.13999999999999</fb>
    <v>0</v>
  </rv>
  <rv s="0">
    <fb>159.55000000000001</fb>
    <v>0</v>
  </rv>
  <rv s="0">
    <fb>152.83000000000001</fb>
    <v>0</v>
  </rv>
  <rv s="0">
    <fb>155.19</fb>
    <v>0</v>
  </rv>
  <rv s="0">
    <fb>153.97999999999999</fb>
    <v>0</v>
  </rv>
  <rv s="0">
    <fb>152.36000000000001</fb>
    <v>0</v>
  </rv>
  <rv s="0">
    <fb>158.9</fb>
    <v>0</v>
  </rv>
  <rv s="0">
    <fb>159.53</fb>
    <v>0</v>
  </rv>
  <rv s="0">
    <fb>159.01</fb>
    <v>0</v>
  </rv>
  <rv s="0">
    <fb>158.61000000000001</fb>
    <v>0</v>
  </rv>
  <rv s="0">
    <fb>157.87</fb>
    <v>0</v>
  </rv>
  <rv s="0">
    <fb>153.99</fb>
    <v>0</v>
  </rv>
  <rv s="0">
    <fb>152.57</fb>
    <v>0</v>
  </rv>
  <rv s="0">
    <fb>153.34</fb>
    <v>0</v>
  </rv>
  <rv s="0">
    <fb>154.87</fb>
    <v>0</v>
  </rv>
  <rv s="0">
    <fb>154.81</fb>
    <v>0</v>
  </rv>
  <rv s="0">
    <fb>150.5</fb>
    <v>0</v>
  </rv>
  <rv s="0">
    <fb>149.01</fb>
    <v>0</v>
  </rv>
  <rv s="0">
    <fb>169.68</fb>
    <v>0</v>
  </rv>
  <rv s="0">
    <fb>162.35</fb>
    <v>0</v>
  </rv>
  <rv s="0">
    <fb>166.35</fb>
    <v>0</v>
  </rv>
  <rv s="0">
    <fb>165.73</fb>
    <v>0</v>
  </rv>
  <rv s="0">
    <fb>168.79</fb>
    <v>0</v>
  </rv>
  <rv s="0">
    <fb>170.55</fb>
    <v>0</v>
  </rv>
  <rv s="0">
    <fb>169.01</fb>
    <v>0</v>
  </rv>
  <rv s="0">
    <fb>166.49</fb>
    <v>0</v>
  </rv>
  <rv s="0">
    <fb>165.82</fb>
    <v>0</v>
  </rv>
  <rv s="0">
    <fb>169.51</fb>
    <v>0</v>
  </rv>
  <rv s="0">
    <fb>168.12</fb>
    <v>0</v>
  </rv>
  <rv s="0">
    <fb>166</fb>
    <v>0</v>
  </rv>
  <rv s="0">
    <fb>166.1</fb>
    <v>0</v>
  </rv>
  <rv s="0">
    <fb>168.43</fb>
    <v>0</v>
  </rv>
  <rv s="0">
    <fb>170.5</fb>
    <v>0</v>
  </rv>
  <rv s="0">
    <fb>180.76</fb>
    <v>0</v>
  </rv>
  <rv s="0">
    <fb>179.09</fb>
    <v>0</v>
  </rv>
  <rv s="0">
    <fb>180.77</fb>
    <v>0</v>
  </rv>
  <rv s="0">
    <fb>174.9</fb>
    <v>0</v>
  </rv>
  <rv s="0">
    <fb>175.44</fb>
    <v>0</v>
  </rv>
  <rv s="0">
    <fb>175.46</fb>
    <v>0</v>
  </rv>
  <rv s="0">
    <fb>174.87</fb>
    <v>0</v>
  </rv>
  <rv s="0">
    <fb>174.75</fb>
    <v>0</v>
  </rv>
  <rv s="0">
    <fb>173.37</fb>
    <v>0</v>
  </rv>
  <rv s="0">
    <fb>175.78</fb>
    <v>0</v>
  </rv>
  <rv s="0">
    <fb>173.88</fb>
    <v>0</v>
  </rv>
  <rv s="0">
    <fb>170.03</fb>
    <v>0</v>
  </rv>
  <rv s="0">
    <fb>168.77</fb>
    <v>0</v>
  </rv>
  <rv s="0">
    <fb>161.63</fb>
    <v>0</v>
  </rv>
  <rv s="0">
    <fb>161.78</fb>
    <v>0</v>
  </rv>
  <rv s="0">
    <fb>163.5</fb>
    <v>0</v>
  </rv>
  <rv s="0">
    <fb>163.36000000000001</fb>
    <v>0</v>
  </rv>
  <rv s="0">
    <fb>166.26</fb>
    <v>0</v>
  </rv>
  <rv s="0">
    <fb>162.63</fb>
    <v>0</v>
  </rv>
  <rv s="0">
    <fb>160.06</fb>
    <v>0</v>
  </rv>
  <rv s="0">
    <fb>164.6</fb>
    <v>0</v>
  </rv>
  <rv s="0">
    <fb>160.68</fb>
    <v>0</v>
  </rv>
  <rv s="0">
    <fb>160.97</fb>
    <v>0</v>
  </rv>
  <rv s="0">
    <fb>157.71</fb>
    <v>0</v>
  </rv>
  <rv s="0">
    <fb>158.22999999999999</fb>
    <v>0</v>
  </rv>
  <rv s="0">
    <fb>158.66</fb>
    <v>0</v>
  </rv>
  <rv s="0">
    <fb>161.79</fb>
    <v>0</v>
  </rv>
  <rv s="0">
    <fb>164.1</fb>
    <v>0</v>
  </rv>
  <rv s="0">
    <fb>162.99</fb>
    <v>0</v>
  </rv>
  <rv s="0">
    <fb>164.91</fb>
    <v>0</v>
  </rv>
  <rv s="0">
    <fb>168.95</fb>
    <v>0</v>
  </rv>
  <rv s="0">
    <fb>166.72</fb>
    <v>0</v>
  </rv>
  <rv s="0">
    <fb>161.88999999999999</fb>
    <v>0</v>
  </rv>
  <rv s="0">
    <fb>160.69</fb>
    <v>0</v>
  </rv>
  <rv s="0">
    <fb>161.94</fb>
    <v>0</v>
  </rv>
  <rv s="0">
    <fb>156.94</fb>
    <v>0</v>
  </rv>
  <rv s="0">
    <fb>144.94</fb>
    <v>0</v>
  </rv>
  <rv s="0">
    <fb>147.51</fb>
    <v>0</v>
  </rv>
  <rv s="0">
    <fb>162.15</fb>
    <v>0</v>
  </rv>
  <rv s="0">
    <fb>159.13</fb>
    <v>0</v>
  </rv>
  <rv s="0">
    <fb>162.4</fb>
    <v>0</v>
  </rv>
  <rv s="0">
    <fb>163.87</fb>
    <v>0</v>
  </rv>
  <rv s="0">
    <fb>163.62</fb>
    <v>0</v>
  </rv>
  <rv s="0">
    <fb>162.86000000000001</fb>
    <v>0</v>
  </rv>
  <rv s="0">
    <fb>159.04</fb>
    <v>0</v>
  </rv>
  <rv s="0">
    <fb>159.88</fb>
    <v>0</v>
  </rv>
  <rv s="0">
    <fb>163.57</fb>
    <v>0</v>
  </rv>
  <rv s="0">
    <fb>167.91</fb>
    <v>0</v>
  </rv>
  <rv s="0">
    <fb>170.33</fb>
    <v>0</v>
  </rv>
  <rv s="0">
    <fb>171.84</fb>
    <v>0</v>
  </rv>
  <rv s="0">
    <fb>170.96</fb>
    <v>0</v>
  </rv>
  <rv s="0">
    <fb>178.73</fb>
    <v>0</v>
  </rv>
  <rv s="0">
    <fb>180.09</fb>
    <v>0</v>
  </rv>
  <rv s="0">
    <fb>182.98</fb>
    <v>0</v>
  </rv>
  <rv s="0">
    <fb>189.28</fb>
    <v>0</v>
  </rv>
  <rv s="0">
    <fb>188.5</fb>
    <v>0</v>
  </rv>
  <rv s="0">
    <fb>184.79</fb>
    <v>0</v>
  </rv>
  <rv s="0">
    <fb>184.93</fb>
    <v>0</v>
  </rv>
  <rv s="0">
    <fb>186.09</fb>
    <v>0</v>
  </rv>
  <rv s="0">
    <fb>191.54</fb>
    <v>0</v>
  </rv>
  <rv s="0">
    <fb>191.28</fb>
    <v>0</v>
  </rv>
  <rv s="0">
    <fb>194.24</fb>
    <v>0</v>
  </rv>
  <rv s="0">
    <fb>195.29</fb>
    <v>0</v>
  </rv>
  <rv s="0">
    <fb>200.74</fb>
    <v>0</v>
  </rv>
  <rv s="0">
    <fb>198.58</fb>
    <v>0</v>
  </rv>
  <rv s="0">
    <fb>197.83</fb>
    <v>0</v>
  </rv>
  <rv s="0">
    <fb>197.7</fb>
    <v>0</v>
  </rv>
  <rv s="0">
    <fb>196.56</fb>
    <v>0</v>
  </rv>
  <rv s="0">
    <fb>198.65</fb>
    <v>0</v>
  </rv>
  <rv s="0">
    <fb>206.97</fb>
    <v>0</v>
  </rv>
  <rv s="0">
    <fb>209.81</fb>
    <v>0</v>
  </rv>
  <rv s="0">
    <fb>210.94</fb>
    <v>0</v>
  </rv>
  <rv s="0">
    <fb>205.84</fb>
    <v>0</v>
  </rv>
  <rv s="0">
    <fb>208.93</fb>
    <v>0</v>
  </rv>
  <rv s="0">
    <fb>209.7</fb>
    <v>0</v>
  </rv>
  <rv s="0">
    <fb>208.18</fb>
    <v>0</v>
  </rv>
  <rv s="0">
    <fb>210</fb>
    <v>0</v>
  </rv>
  <rv s="0">
    <fb>209.74</fb>
    <v>0</v>
  </rv>
  <rv s="0">
    <fb>212.04</fb>
    <v>0</v>
  </rv>
  <rv s="0">
    <fb>216.07</fb>
    <v>0</v>
  </rv>
  <rv s="0">
    <fb>214.7</fb>
    <v>0</v>
  </rv>
  <rv s="0">
    <fb>217.46</fb>
    <v>0</v>
  </rv>
  <rv s="0">
    <fb>222.95</fb>
    <v>0</v>
  </rv>
  <rv s="0">
    <fb>222.35</fb>
    <v>0</v>
  </rv>
  <rv s="0">
    <fb>219.57</fb>
    <v>0</v>
  </rv>
  <rv s="0">
    <fb>220.48</fb>
    <v>0</v>
  </rv>
  <rv s="0">
    <fb>220.29</fb>
    <v>0</v>
  </rv>
  <rv s="0">
    <fb>217.98</fb>
    <v>0</v>
  </rv>
  <rv s="0">
    <fb>214.28</fb>
    <v>0</v>
  </rv>
  <rv s="0">
    <fb>218.08</fb>
    <v>0</v>
  </rv>
  <rv s="0">
    <fb>216.84</fb>
    <v>0</v>
  </rv>
  <rv s="0">
    <fb>215.32</fb>
    <v>0</v>
  </rv>
  <rv s="0">
    <fb>214.39</fb>
    <v>0</v>
  </rv>
  <rv s="0">
    <fb>218.46</fb>
    <v>0</v>
  </rv>
  <rv s="0">
    <fb>218.98</fb>
    <v>0</v>
  </rv>
  <rv s="0">
    <fb>216.56</fb>
    <v>0</v>
  </rv>
  <rv s="0">
    <fb>216.58</fb>
    <v>0</v>
  </rv>
  <rv s="0">
    <fb>211.91</fb>
    <v>0</v>
  </rv>
  <rv s="0">
    <fb>212.06</fb>
    <v>0</v>
  </rv>
  <rv s="0">
    <fb>213.37</fb>
    <v>0</v>
  </rv>
  <rv s="0">
    <fb>216.15</fb>
    <v>0</v>
  </rv>
  <rv s="0">
    <fb>216.2</fb>
    <v>0</v>
  </rv>
  <rv s="0">
    <fb>219.58</fb>
    <v>0</v>
  </rv>
  <rv s="0">
    <fb>217.71</fb>
    <v>0</v>
  </rv>
  <rv s="0">
    <fb>215.29</fb>
    <v>0</v>
  </rv>
  <rv s="0">
    <fb>215.5</fb>
    <v>0</v>
  </rv>
  <rv s="0">
    <fb>227.15</fb>
    <v>0</v>
  </rv>
  <rv s="0">
    <fb>226.91</fb>
    <v>0</v>
  </rv>
  <rv s="0">
    <fb>227.83</fb>
    <v>0</v>
  </rv>
  <rv s="0">
    <fb>230.12</fb>
    <v>0</v>
  </rv>
  <rv s="0">
    <fb>226.47</fb>
    <v>0</v>
  </rv>
  <rv s="0">
    <fb>226.06</fb>
    <v>0</v>
  </rv>
  <rv s="0">
    <fb>230.33</fb>
    <v>0</v>
  </rv>
  <rv s="0">
    <fb>230.96</fb>
    <v>0</v>
  </rv>
  <rv s="0">
    <fb>234.96</fb>
    <v>0</v>
  </rv>
  <rv s="0">
    <fb>236.5</fb>
    <v>0</v>
  </rv>
  <rv s="0">
    <fb>240.67</fb>
    <v>0</v>
  </rv>
  <rv s="0">
    <fb>247.03</fb>
    <v>0</v>
  </rv>
  <rv s="0">
    <fb>238.93</fb>
    <v>0</v>
  </rv>
  <rv s="0">
    <fb>243.94</fb>
    <v>0</v>
  </rv>
  <rv s="0">
    <fb>246.1</fb>
    <v>0</v>
  </rv>
  <rv s="0">
    <fb>242</fb>
    <v>0</v>
  </rv>
  <rv s="0">
    <fb>238.15</fb>
    <v>0</v>
  </rv>
  <rv s="0">
    <fb>235.42</fb>
    <v>0</v>
  </rv>
  <rv s="0">
    <fb>241.35</fb>
    <v>0</v>
  </rv>
  <rv s="0">
    <fb>243.71</fb>
    <v>0</v>
  </rv>
  <rv s="0">
    <fb>246.24</fb>
    <v>0</v>
  </rv>
  <rv s="0">
    <fb>250.04</fb>
    <v>0</v>
  </rv>
  <rv s="0">
    <fb>251.24</fb>
    <v>0</v>
  </rv>
  <rv s="0">
    <fb>250.43</fb>
    <v>0</v>
  </rv>
  <rv s="0">
    <fb>250.82</fb>
    <v>0</v>
  </rv>
  <rv s="0">
    <fb>247.65</fb>
    <v>0</v>
  </rv>
  <rv s="0">
    <fb>248.55</fb>
    <v>0</v>
  </rv>
  <rv s="0">
    <fb>247.69</fb>
    <v>0</v>
  </rv>
  <rv s="0">
    <fb>241.97</fb>
    <v>0</v>
  </rv>
  <rv s="0">
    <fb>238.53</fb>
    <v>0</v>
  </rv>
  <rv s="0">
    <fb>232.97</fb>
    <v>0</v>
  </rv>
  <rv s="0">
    <fb>234.33</fb>
    <v>0</v>
  </rv>
  <rv s="0">
    <fb>237.09</fb>
    <v>0</v>
  </rv>
  <rv s="0">
    <fb>236.11</fb>
    <v>0</v>
  </rv>
  <rv s="0">
    <fb>234.92</fb>
    <v>0</v>
  </rv>
  <rv s="0">
    <fb>228.04</fb>
    <v>0</v>
  </rv>
  <rv s="0">
    <fb>224.3</fb>
    <v>0</v>
  </rv>
  <rv s="0">
    <fb>223.52</fb>
    <v>0</v>
  </rv>
  <rv s="0">
    <fb>69.819999999999993</fb>
    <v>0</v>
  </rv>
  <rv s="0">
    <fb>68.23</fb>
    <v>0</v>
  </rv>
  <rv s="0">
    <fb>69.19</fb>
    <v>0</v>
  </rv>
  <rv s="0">
    <fb>68.77</fb>
    <v>0</v>
  </rv>
  <rv s="0">
    <fb>69.540000000000006</fb>
    <v>0</v>
  </rv>
  <rv s="0">
    <fb>70.290000000000006</fb>
    <v>0</v>
  </rv>
  <rv s="0">
    <fb>71.290000000000006</fb>
    <v>0</v>
  </rv>
  <rv s="0">
    <fb>71.86</fb>
    <v>0</v>
  </rv>
  <rv s="0">
    <fb>72.12</fb>
    <v>0</v>
  </rv>
  <rv s="0">
    <fb>72.290000000000006</fb>
    <v>0</v>
  </rv>
  <rv s="0">
    <fb>70.739999999999995</fb>
    <v>0</v>
  </rv>
  <rv s="0">
    <fb>70.16</fb>
    <v>0</v>
  </rv>
  <rv s="0">
    <fb>68.959999999999994</fb>
    <v>0</v>
  </rv>
  <rv s="0">
    <fb>70.05</fb>
    <v>0</v>
  </rv>
  <rv s="0">
    <fb>71.09</fb>
    <v>0</v>
  </rv>
  <rv s="0">
    <fb>72.02</fb>
    <v>0</v>
  </rv>
  <rv s="0">
    <fb>72.19</fb>
    <v>0</v>
  </rv>
  <rv s="0">
    <fb>72.56</fb>
    <v>0</v>
  </rv>
  <rv s="0">
    <fb>69.59</fb>
    <v>0</v>
  </rv>
  <rv s="0">
    <fb>69.489999999999995</fb>
    <v>0</v>
  </rv>
  <rv s="0">
    <fb>69.52</fb>
    <v>0</v>
  </rv>
  <rv s="0">
    <fb>68.78</fb>
    <v>0</v>
  </rv>
  <rv s="0">
    <fb>68.45</fb>
    <v>0</v>
  </rv>
  <rv s="0">
    <fb>68.400000000000006</fb>
    <v>0</v>
  </rv>
  <rv s="0">
    <fb>65.39</fb>
    <v>0</v>
  </rv>
  <rv s="0">
    <fb>64.97</fb>
    <v>0</v>
  </rv>
  <rv s="0">
    <fb>58.4</fb>
    <v>0</v>
  </rv>
  <rv s="0">
    <fb>59.734999999999999</fb>
    <v>0</v>
  </rv>
  <rv s="0">
    <fb>61.09</fb>
    <v>0</v>
  </rv>
  <rv s="0">
    <fb>60.83</fb>
    <v>0</v>
  </rv>
  <rv s="0">
    <fb>63.005000000000003</fb>
    <v>0</v>
  </rv>
  <rv s="0">
    <fb>68.12</fb>
    <v>0</v>
  </rv>
  <rv s="0">
    <fb>68.41</fb>
    <v>0</v>
  </rv>
  <rv s="0">
    <fb>67.61</fb>
    <v>0</v>
  </rv>
  <rv s="0">
    <fb>65.644999999999996</fb>
    <v>0</v>
  </rv>
  <rv s="0">
    <fb>66.599999999999994</fb>
    <v>0</v>
  </rv>
  <rv s="0">
    <fb>65.674999999999997</fb>
    <v>0</v>
  </rv>
  <rv s="0">
    <fb>65.48</fb>
    <v>0</v>
  </rv>
  <rv s="0">
    <fb>67.765000000000001</fb>
    <v>0</v>
  </rv>
  <rv s="0">
    <fb>65.260000000000005</fb>
    <v>0</v>
  </rv>
  <rv s="0">
    <fb>65.069999999999993</fb>
    <v>0</v>
  </rv>
  <rv s="0">
    <fb>68.010000000000005</fb>
    <v>0</v>
  </rv>
  <rv s="0">
    <fb>70.78</fb>
    <v>0</v>
  </rv>
  <rv s="0">
    <fb>72.540000000000006</fb>
    <v>0</v>
  </rv>
  <rv s="0">
    <fb>71.7</fb>
    <v>0</v>
  </rv>
  <rv s="0">
    <fb>71.284999999999997</fb>
    <v>0</v>
  </rv>
  <rv s="0">
    <fb>70.260000000000005</fb>
    <v>0</v>
  </rv>
  <rv s="0">
    <fb>71.37</fb>
    <v>0</v>
  </rv>
  <rv s="0">
    <fb>71.239999999999995</fb>
    <v>0</v>
  </rv>
  <rv s="0">
    <fb>71.13</fb>
    <v>0</v>
  </rv>
  <rv s="0">
    <fb>69.125</fb>
    <v>0</v>
  </rv>
  <rv s="0">
    <fb>68.88</fb>
    <v>0</v>
  </rv>
  <rv s="0">
    <fb>68.760000000000005</fb>
    <v>0</v>
  </rv>
  <rv s="0">
    <fb>70.62</fb>
    <v>0</v>
  </rv>
  <rv s="0">
    <fb>70.37</fb>
    <v>0</v>
  </rv>
  <rv s="0">
    <fb>72.7</fb>
    <v>0</v>
  </rv>
  <rv s="0">
    <fb>71.319999999999993</fb>
    <v>0</v>
  </rv>
  <rv s="0">
    <fb>71.314999999999998</fb>
    <v>0</v>
  </rv>
  <rv s="0">
    <fb>70.81</fb>
    <v>0</v>
  </rv>
  <rv s="0">
    <fb>70.510000000000005</fb>
    <v>0</v>
  </rv>
  <rv s="0">
    <fb>70.239999999999995</fb>
    <v>0</v>
  </rv>
  <rv s="0">
    <fb>71.180000000000007</fb>
    <v>0</v>
  </rv>
  <rv s="0">
    <fb>70.02</fb>
    <v>0</v>
  </rv>
  <rv s="0">
    <fb>70.8</fb>
    <v>0</v>
  </rv>
  <rv s="0">
    <fb>71.349999999999994</fb>
    <v>0</v>
  </rv>
  <rv s="0">
    <fb>71.58</fb>
    <v>0</v>
  </rv>
  <rv s="0">
    <fb>71.22</fb>
    <v>0</v>
  </rv>
  <rv s="0">
    <fb>72.319999999999993</fb>
    <v>0</v>
  </rv>
  <rv s="0">
    <fb>71.709999999999994</fb>
    <v>0</v>
  </rv>
  <rv s="0">
    <fb>72.05</fb>
    <v>0</v>
  </rv>
  <rv s="0">
    <fb>72.72</fb>
    <v>0</v>
  </rv>
  <rv s="0">
    <fb>69.44</fb>
    <v>0</v>
  </rv>
  <rv s="0">
    <fb>71.040000000000006</fb>
    <v>0</v>
  </rv>
  <rv s="0">
    <fb>70.84</fb>
    <v>0</v>
  </rv>
  <rv s="0">
    <fb>70.92</fb>
    <v>0</v>
  </rv>
  <rv s="0">
    <fb>71.094999999999999</fb>
    <v>0</v>
  </rv>
  <rv s="0">
    <fb>71.489999999999995</fb>
    <v>0</v>
  </rv>
  <rv s="0">
    <fb>71.47</fb>
    <v>0</v>
  </rv>
  <rv s="0">
    <fb>72.040000000000006</fb>
    <v>0</v>
  </rv>
  <rv s="0">
    <fb>72.38</fb>
    <v>0</v>
  </rv>
  <rv s="0">
    <fb>70.400000000000006</fb>
    <v>0</v>
  </rv>
  <rv s="0">
    <fb>87.350800000000007</fb>
    <v>0</v>
  </rv>
  <rv s="0">
    <fb>86.67</fb>
    <v>0</v>
  </rv>
  <rv s="0">
    <fb>88.24</fb>
    <v>0</v>
  </rv>
  <rv s="0">
    <fb>91.18</fb>
    <v>0</v>
  </rv>
  <rv s="0">
    <fb>90.75</fb>
    <v>0</v>
  </rv>
  <rv s="0">
    <fb>90.55</fb>
    <v>0</v>
  </rv>
  <rv s="0">
    <fb>88.475099999999998</fb>
    <v>0</v>
  </rv>
  <rv s="0">
    <fb>87.63</fb>
    <v>0</v>
  </rv>
  <rv s="0">
    <fb>84.06</fb>
    <v>0</v>
  </rv>
  <rv s="0">
    <fb>83.53</fb>
    <v>0</v>
  </rv>
  <rv s="0">
    <fb>83.363500000000002</fb>
    <v>0</v>
  </rv>
  <rv s="0">
    <fb>83.273200000000003</fb>
    <v>0</v>
  </rv>
  <rv s="0">
    <fb>79.610500000000002</fb>
    <v>0</v>
  </rv>
  <rv s="0">
    <fb>80.5137</fb>
    <v>0</v>
  </rv>
  <rv s="0">
    <fb>79.421999999999997</fb>
    <v>0</v>
  </rv>
  <rv s="0">
    <fb>73.28</fb>
    <v>0</v>
  </rv>
  <rv s="0">
    <fb>75.540000000000006</fb>
    <v>0</v>
  </rv>
  <rv s="0">
    <fb>75.34</fb>
    <v>0</v>
  </rv>
  <rv s="0">
    <fb>76.849999999999994</fb>
    <v>0</v>
  </rv>
  <rv s="0">
    <fb>76.044399999999996</fb>
    <v>0</v>
  </rv>
  <rv s="0">
    <fb>74.069999999999993</fb>
    <v>0</v>
  </rv>
  <rv s="0">
    <fb>73.739699999999999</fb>
    <v>0</v>
  </rv>
  <rv s="0">
    <fb>75.552899999999994</fb>
    <v>0</v>
  </rv>
  <rv s="0">
    <fb>67.982399999999998</fb>
    <v>0</v>
  </rv>
  <rv s="0">
    <fb>70.760000000000005</fb>
    <v>0</v>
  </rv>
  <rv s="0">
    <fb>66.81</fb>
    <v>0</v>
  </rv>
  <rv s="0">
    <fb>67.3</fb>
    <v>0</v>
  </rv>
  <rv s="0">
    <fb>68.73</fb>
    <v>0</v>
  </rv>
  <rv s="0">
    <fb>70.596599999999995</fb>
    <v>0</v>
  </rv>
  <rv s="0">
    <fb>71.760000000000005</fb>
    <v>0</v>
  </rv>
  <rv s="0">
    <fb>70.36</fb>
    <v>0</v>
  </rv>
  <rv s="0">
    <fb>70.900000000000006</fb>
    <v>0</v>
  </rv>
  <rv s="0">
    <fb>73.33</fb>
    <v>0</v>
  </rv>
  <rv s="0">
    <fb>78.489999999999995</fb>
    <v>0</v>
  </rv>
  <rv s="0">
    <fb>78.558400000000006</fb>
    <v>0</v>
  </rv>
  <rv s="0">
    <fb>79.125</fb>
    <v>0</v>
  </rv>
  <rv s="0">
    <fb>75.902000000000001</fb>
    <v>0</v>
  </rv>
  <rv s="0">
    <fb>75.336699999999993</fb>
    <v>0</v>
  </rv>
  <rv s="0">
    <fb>77.75</fb>
    <v>0</v>
  </rv>
  <rv s="0">
    <fb>77.381100000000004</fb>
    <v>0</v>
  </rv>
  <rv s="0">
    <fb>76.521000000000001</fb>
    <v>0</v>
  </rv>
  <rv s="0">
    <fb>78.09</fb>
    <v>0</v>
  </rv>
  <rv s="0">
    <fb>78.05</fb>
    <v>0</v>
  </rv>
  <rv s="0">
    <fb>80.06</fb>
    <v>0</v>
  </rv>
  <rv s="0">
    <fb>80.02</fb>
    <v>0</v>
  </rv>
  <rv s="0">
    <fb>84.08</fb>
    <v>0</v>
  </rv>
  <rv s="0">
    <fb>84.070099999999996</fb>
    <v>0</v>
  </rv>
  <rv s="0">
    <fb>84.832800000000006</fb>
    <v>0</v>
  </rv>
  <rv s="0">
    <fb>86.14</fb>
    <v>0</v>
  </rv>
  <rv s="0">
    <fb>85.15</fb>
    <v>0</v>
  </rv>
  <rv s="0">
    <fb>87.649299999999997</fb>
    <v>0</v>
  </rv>
  <rv s="0">
    <fb>86.6935</fb>
    <v>0</v>
  </rv>
  <rv s="0">
    <fb>87.578999999999994</fb>
    <v>0</v>
  </rv>
  <rv s="0">
    <fb>85.446200000000005</fb>
    <v>0</v>
  </rv>
  <rv s="0">
    <fb>83.025999999999996</fb>
    <v>0</v>
  </rv>
  <rv s="0">
    <fb>83.253699999999995</fb>
    <v>0</v>
  </rv>
  <rv s="0">
    <fb>80.203599999999994</fb>
    <v>0</v>
  </rv>
  <rv s="0">
    <fb>86.06</fb>
    <v>0</v>
  </rv>
  <rv s="0">
    <fb>84.718500000000006</fb>
    <v>0</v>
  </rv>
  <rv s="0">
    <fb>85.234099999999998</fb>
    <v>0</v>
  </rv>
  <rv s="0">
    <fb>83.39</fb>
    <v>0</v>
  </rv>
  <rv s="0">
    <fb>83.285300000000007</fb>
    <v>0</v>
  </rv>
  <rv s="0">
    <fb>85.85</fb>
    <v>0</v>
  </rv>
  <rv s="0">
    <fb>86.404499999999999</fb>
    <v>0</v>
  </rv>
  <rv s="0">
    <fb>86.1417</fb>
    <v>0</v>
  </rv>
  <rv s="0">
    <fb>86.129800000000003</fb>
    <v>0</v>
  </rv>
  <rv s="0">
    <fb>85.57</fb>
    <v>0</v>
  </rv>
  <rv s="0">
    <fb>85.36</fb>
    <v>0</v>
  </rv>
  <rv s="0">
    <fb>85.569800000000001</fb>
    <v>0</v>
  </rv>
  <rv s="0">
    <fb>85.710700000000003</fb>
    <v>0</v>
  </rv>
  <rv s="0">
    <fb>84.909499999999994</fb>
    <v>0</v>
  </rv>
  <rv s="0">
    <fb>84.7</fb>
    <v>0</v>
  </rv>
  <rv s="0">
    <fb>85.81</fb>
    <v>0</v>
  </rv>
  <rv s="0">
    <fb>85.108000000000004</fb>
    <v>0</v>
  </rv>
  <rv s="0">
    <fb>85.38</fb>
    <v>0</v>
  </rv>
  <rv s="0">
    <fb>84.954999999999998</fb>
    <v>0</v>
  </rv>
  <rv s="0">
    <fb>84.74</fb>
    <v>0</v>
  </rv>
  <rv s="0">
    <fb>84.051299999999998</fb>
    <v>0</v>
  </rv>
  <rv s="0">
    <fb>84.45</fb>
    <v>0</v>
  </rv>
  <rv s="0">
    <fb>83.85</fb>
    <v>0</v>
  </rv>
  <rv s="0">
    <fb>83.263900000000007</fb>
    <v>0</v>
  </rv>
  <rv s="0">
    <fb>84.171000000000006</fb>
    <v>0</v>
  </rv>
  <rv s="0">
    <fb>85.04</fb>
    <v>0</v>
  </rv>
  <rv s="0">
    <fb>86.026700000000005</fb>
    <v>0</v>
  </rv>
  <rv s="0">
    <fb>85.922899999999998</fb>
    <v>0</v>
  </rv>
  <rv s="0">
    <fb>84.48</fb>
    <v>0</v>
  </rv>
  <rv s="0">
    <fb>84.332800000000006</fb>
    <v>0</v>
  </rv>
  <rv s="0">
    <fb>84.425799999999995</fb>
    <v>0</v>
  </rv>
  <rv s="0">
    <fb>85.132199999999997</fb>
    <v>0</v>
  </rv>
  <rv s="0">
    <fb>84.727800000000002</fb>
    <v>0</v>
  </rv>
  <rv s="0">
    <fb>86.111800000000002</fb>
    <v>0</v>
  </rv>
  <rv s="0">
    <fb>86.712999999999994</fb>
    <v>0</v>
  </rv>
  <rv s="0">
    <fb>84.978700000000003</fb>
    <v>0</v>
  </rv>
  <rv s="0">
    <fb>84.229399999999998</fb>
    <v>0</v>
  </rv>
  <rv s="0">
    <fb>84.923199999999994</fb>
    <v>0</v>
  </rv>
  <rv s="0">
    <fb>83.449799999999996</fb>
    <v>0</v>
  </rv>
  <rv s="0">
    <fb>83.471299999999999</fb>
    <v>0</v>
  </rv>
  <rv s="0">
    <fb>83.252399999999994</fb>
    <v>0</v>
  </rv>
  <rv s="0">
    <fb>84.496700000000004</fb>
    <v>0</v>
  </rv>
  <rv s="0">
    <fb>84.136600000000001</fb>
    <v>0</v>
  </rv>
  <rv s="0">
    <fb>85.585099999999997</fb>
    <v>0</v>
  </rv>
  <rv s="0">
    <fb>84.002899999999997</fb>
    <v>0</v>
  </rv>
  <rv s="0">
    <fb>85.495199999999997</fb>
    <v>0</v>
  </rv>
  <rv s="0">
    <fb>85.305000000000007</fb>
    <v>0</v>
  </rv>
  <rv s="0">
    <fb>84.07</fb>
    <v>0</v>
  </rv>
  <rv s="0">
    <fb>83.2286</fb>
    <v>0</v>
  </rv>
  <rv s="0">
    <fb>81.28</fb>
    <v>0</v>
  </rv>
  <rv s="0">
    <fb>263.8</fb>
    <v>0</v>
  </rv>
  <rv s="0">
    <fb>255.01</fb>
    <v>0</v>
  </rv>
  <rv s="0">
    <fb>254.51</fb>
    <v>0</v>
  </rv>
  <rv s="0">
    <fb>257.02</fb>
    <v>0</v>
  </rv>
  <rv s="0">
    <fb>256.89999999999998</fb>
    <v>0</v>
  </rv>
  <rv s="0">
    <fb>258.93</fb>
    <v>0</v>
  </rv>
  <rv s="0">
    <fb>257.33</fb>
    <v>0</v>
  </rv>
  <rv s="0">
    <fb>254.83</fb>
    <v>0</v>
  </rv>
  <rv s="0">
    <fb>254.3905</fb>
    <v>0</v>
  </rv>
  <rv s="0">
    <fb>253.83</fb>
    <v>0</v>
  </rv>
  <rv s="0">
    <fb>257.08999999999997</fb>
    <v>0</v>
  </rv>
  <rv s="0">
    <fb>256.05</fb>
    <v>0</v>
  </rv>
  <rv s="0">
    <fb>256.92</fb>
    <v>0</v>
  </rv>
  <rv s="0">
    <fb>254</fb>
    <v>0</v>
  </rv>
  <rv s="0">
    <fb>256.73</fb>
    <v>0</v>
  </rv>
  <rv s="0">
    <fb>260.04000000000002</fb>
    <v>0</v>
  </rv>
  <rv s="0">
    <fb>262.2</fb>
    <v>0</v>
  </rv>
  <rv s="0">
    <fb>266.49</fb>
    <v>0</v>
  </rv>
  <rv s="0">
    <fb>272.45</fb>
    <v>0</v>
  </rv>
  <rv s="0">
    <fb>271.77999999999997</fb>
    <v>0</v>
  </rv>
  <rv s="0">
    <fb>273.99</fb>
    <v>0</v>
  </rv>
  <rv s="0">
    <fb>272.35000000000002</fb>
    <v>0</v>
  </rv>
  <rv s="0">
    <fb>267.70999999999998</fb>
    <v>0</v>
  </rv>
  <rv s="0">
    <fb>265.95999999999998</fb>
    <v>0</v>
  </rv>
  <rv s="0">
    <fb>265.37</fb>
    <v>0</v>
  </rv>
  <rv s="0">
    <fb>268.61</fb>
    <v>0</v>
  </rv>
  <rv s="0">
    <fb>266.45999999999998</fb>
    <v>0</v>
  </rv>
  <rv s="0">
    <fb>264.05</fb>
    <v>0</v>
  </rv>
  <rv s="0">
    <fb>263.92</fb>
    <v>0</v>
  </rv>
  <rv s="0">
    <fb>264.70999999999998</fb>
    <v>0</v>
  </rv>
  <rv s="0">
    <fb>265.77999999999997</fb>
    <v>0</v>
  </rv>
  <rv s="0">
    <fb>264.93</fb>
    <v>0</v>
  </rv>
  <rv s="0">
    <fb>267.27999999999997</fb>
    <v>0</v>
  </rv>
  <rv s="0">
    <fb>266.86</fb>
    <v>0</v>
  </rv>
  <rv s="0">
    <fb>264.51</fb>
    <v>0</v>
  </rv>
  <rv s="0">
    <fb>264.36</fb>
    <v>0</v>
  </rv>
  <rv s="0">
    <fb>264.11</fb>
    <v>0</v>
  </rv>
  <rv s="0">
    <fb>265.98</fb>
    <v>0</v>
  </rv>
  <rv s="0">
    <fb>265.73</fb>
    <v>0</v>
  </rv>
  <rv s="0">
    <fb>263.77</fb>
    <v>0</v>
  </rv>
  <rv s="0">
    <fb>256</fb>
    <v>0</v>
  </rv>
  <rv s="0">
    <fb>257.35000000000002</fb>
    <v>0</v>
  </rv>
  <rv s="0">
    <fb>258.14999999999998</fb>
    <v>0</v>
  </rv>
  <rv s="0">
    <fb>256.42</fb>
    <v>0</v>
  </rv>
  <rv s="0">
    <fb>259.52999999999997</fb>
    <v>0</v>
  </rv>
  <rv s="0">
    <fb>254.74</fb>
    <v>0</v>
  </rv>
  <rv s="0">
    <fb>250.42</fb>
    <v>0</v>
  </rv>
  <rv s="0">
    <fb>254.17</fb>
    <v>0</v>
  </rv>
  <rv s="0">
    <fb>251.5</fb>
    <v>0</v>
  </rv>
  <rv s="0">
    <fb>254.22</fb>
    <v>0</v>
  </rv>
  <rv s="0">
    <fb>246.64</fb>
    <v>0</v>
  </rv>
  <rv s="0">
    <fb>246.4</fb>
    <v>0</v>
  </rv>
  <rv s="0">
    <fb>249.74</fb>
    <v>0</v>
  </rv>
  <rv s="0">
    <fb>251.95</fb>
    <v>0</v>
  </rv>
  <rv s="0">
    <fb>250.2</fb>
    <v>0</v>
  </rv>
  <rv s="0">
    <fb>252.78</fb>
    <v>0</v>
  </rv>
  <rv s="0">
    <fb>251.62</fb>
    <v>0</v>
  </rv>
  <rv s="0">
    <fb>249.18</fb>
    <v>0</v>
  </rv>
  <rv s="0">
    <fb>251.85</fb>
    <v>0</v>
  </rv>
  <rv s="0">
    <fb>237.58</fb>
    <v>0</v>
  </rv>
  <rv s="0">
    <fb>224</fb>
    <v>0</v>
  </rv>
  <rv s="0">
    <fb>222.28</fb>
    <v>0</v>
  </rv>
  <rv s="0">
    <fb>220.04</fb>
    <v>0</v>
  </rv>
  <rv s="0">
    <fb>233.41</fb>
    <v>0</v>
  </rv>
  <rv s="0">
    <fb>237.31</fb>
    <v>0</v>
  </rv>
  <rv s="0">
    <fb>240.01</fb>
    <v>0</v>
  </rv>
  <rv s="0">
    <fb>238.81</fb>
    <v>0</v>
  </rv>
  <rv s="0">
    <fb>235.39</fb>
    <v>0</v>
  </rv>
  <rv s="0">
    <fb>236.9</fb>
    <v>0</v>
  </rv>
  <rv s="0">
    <fb>231.16</fb>
    <v>0</v>
  </rv>
  <rv s="0">
    <fb>235.57</fb>
    <v>0</v>
  </rv>
  <rv s="0">
    <fb>238.6</fb>
    <v>0</v>
  </rv>
  <rv s="0">
    <fb>244.33</fb>
    <v>0</v>
  </rv>
  <rv s="0">
    <fb>244.2</fb>
    <v>0</v>
  </rv>
  <rv s="0">
    <fb>244.82</fb>
    <v>0</v>
  </rv>
  <rv s="0">
    <fb>247.83</fb>
    <v>0</v>
  </rv>
  <rv s="0">
    <fb>249.65</fb>
    <v>0</v>
  </rv>
  <rv s="0">
    <fb>254.59</fb>
    <v>0</v>
  </rv>
  <rv s="0">
    <fb>254.5</fb>
    <v>0</v>
  </rv>
  <rv s="0">
    <fb>252.66</fb>
    <v>0</v>
  </rv>
  <rv s="0">
    <fb>253.72</fb>
    <v>0</v>
  </rv>
  <rv s="0">
    <fb>257.51</fb>
    <v>0</v>
  </rv>
  <rv s="0">
    <fb>257.81</fb>
    <v>0</v>
  </rv>
  <rv s="0">
    <fb>266.18</fb>
    <v>0</v>
  </rv>
  <rv s="0">
    <fb>268.07</fb>
    <v>0</v>
  </rv>
  <rv s="0">
    <fb>266.89999999999998</fb>
    <v>0</v>
  </rv>
  <rv s="0">
    <fb>269.58999999999997</fb>
    <v>0</v>
  </rv>
  <rv s="0">
    <fb>272.36</fb>
    <v>0</v>
  </rv>
  <rv s="0">
    <fb>272.94</fb>
    <v>0</v>
  </rv>
  <rv s="0">
    <fb>272.06</fb>
    <v>0</v>
  </rv>
  <rv s="0">
    <fb>266.92</fb>
    <v>0</v>
  </rv>
  <rv s="0">
    <fb>266.69</fb>
    <v>0</v>
  </rv>
  <rv s="0">
    <fb>269.56</fb>
    <v>0</v>
  </rv>
  <rv s="0">
    <fb>269.39</fb>
    <v>0</v>
  </rv>
  <rv s="0">
    <fb>272.02</fb>
    <v>0</v>
  </rv>
  <rv s="0">
    <fb>272.16000000000003</fb>
    <v>0</v>
  </rv>
  <rv s="0">
    <fb>272.04000000000002</fb>
    <v>0</v>
  </rv>
  <rv s="0">
    <fb>273.54000000000002</fb>
    <v>0</v>
  </rv>
  <rv s="0">
    <fb>273.43</fb>
    <v>0</v>
  </rv>
  <rv s="0">
    <fb>272.86</fb>
    <v>0</v>
  </rv>
  <rv s="0">
    <fb>272.29000000000002</fb>
    <v>0</v>
  </rv>
  <rv s="0">
    <fb>269.89</fb>
    <v>0</v>
  </rv>
  <rv s="0">
    <fb>270.02</fb>
    <v>0</v>
  </rv>
  <rv s="0">
    <fb>273.52</fb>
    <v>0</v>
  </rv>
  <rv s="0">
    <fb>276.37</fb>
    <v>0</v>
  </rv>
  <rv s="0">
    <fb>273.79000000000002</fb>
    <v>0</v>
  </rv>
  <rv s="0">
    <fb>276.32</fb>
    <v>0</v>
  </rv>
  <rv s="0">
    <fb>280.07</fb>
    <v>0</v>
  </rv>
  <rv s="0">
    <fb>281.16000000000003</fb>
    <v>0</v>
  </rv>
  <rv s="0">
    <fb>282.14</fb>
    <v>0</v>
  </rv>
  <rv s="0">
    <fb>284.46559999999999</fb>
    <v>0</v>
  </rv>
  <rv s="0">
    <fb>285.43</fb>
    <v>0</v>
  </rv>
  <rv s="0">
    <fb>286.85000000000002</fb>
    <v>0</v>
  </rv>
  <rv s="0">
    <fb>285.74</fb>
    <v>0</v>
  </rv>
  <rv s="0">
    <fb>287.20999999999998</fb>
    <v>0</v>
  </rv>
  <rv s="0">
    <fb>284.54000000000002</fb>
    <v>0</v>
  </rv>
  <rv s="0">
    <fb>285.87</fb>
    <v>0</v>
  </rv>
  <rv s="0">
    <fb>289.04000000000002</fb>
    <v>0</v>
  </rv>
  <rv s="0">
    <fb>286.69</fb>
    <v>0</v>
  </rv>
  <rv s="0">
    <fb>287.31</fb>
    <v>0</v>
  </rv>
  <rv s="0">
    <fb>292.43</fb>
    <v>0</v>
  </rv>
  <rv s="0">
    <fb>295.5</fb>
    <v>0</v>
  </rv>
  <rv s="0">
    <fb>294.61</fb>
    <v>0</v>
  </rv>
  <rv s="0">
    <fb>291.77</fb>
    <v>0</v>
  </rv>
  <rv s="0">
    <fb>289.98</fb>
    <v>0</v>
  </rv>
  <rv s="0">
    <fb>285.39999999999998</fb>
    <v>0</v>
  </rv>
  <rv s="0">
    <fb>288.41000000000003</fb>
    <v>0</v>
  </rv>
  <rv s="0">
    <fb>288.2</fb>
    <v>0</v>
  </rv>
  <rv s="0">
    <fb>287.76</fb>
    <v>0</v>
  </rv>
  <rv s="0">
    <fb>286.92</fb>
    <v>0</v>
  </rv>
  <rv s="0">
    <fb>292.48</fb>
    <v>0</v>
  </rv>
  <rv s="0">
    <fb>289.57</fb>
    <v>0</v>
  </rv>
  <rv s="0">
    <fb>288.11</fb>
    <v>0</v>
  </rv>
  <rv s="0">
    <fb>289.48</fb>
    <v>0</v>
  </rv>
  <rv s="0">
    <fb>289.64999999999998</fb>
    <v>0</v>
  </rv>
  <rv s="0">
    <fb>288.81</fb>
    <v>0</v>
  </rv>
  <rv s="0">
    <fb>293.60000000000002</fb>
    <v>0</v>
  </rv>
  <rv s="0">
    <fb>293.7</fb>
    <v>0</v>
  </rv>
  <rv s="0">
    <fb>294.17</fb>
    <v>0</v>
  </rv>
  <rv s="0">
    <fb>291.31</fb>
    <v>0</v>
  </rv>
  <rv s="0">
    <fb>288.89999999999998</fb>
    <v>0</v>
  </rv>
  <rv s="0">
    <fb>287.42</fb>
    <v>0</v>
  </rv>
  <rv s="0">
    <fb>290.68</fb>
    <v>0</v>
  </rv>
  <rv s="0">
    <fb>290.16000000000003</fb>
    <v>0</v>
  </rv>
  <rv s="0">
    <fb>290.58</fb>
    <v>0</v>
  </rv>
  <rv s="0">
    <fb>288.08</fb>
    <v>0</v>
  </rv>
  <rv s="0">
    <fb>293.45</fb>
    <v>0</v>
  </rv>
  <rv s="0">
    <fb>290.92</fb>
    <v>0</v>
  </rv>
  <rv s="0">
    <fb>292.20999999999998</fb>
    <v>0</v>
  </rv>
  <rv s="0">
    <fb>291.57</fb>
    <v>0</v>
  </rv>
  <rv s="0">
    <fb>290.14</fb>
    <v>0</v>
  </rv>
  <rv s="0">
    <fb>294.03100000000001</fb>
    <v>0</v>
  </rv>
  <rv s="0">
    <fb>294.25</fb>
    <v>0</v>
  </rv>
  <rv s="0">
    <fb>295.61</fb>
    <v>0</v>
  </rv>
  <rv s="0">
    <fb>295.14</fb>
    <v>0</v>
  </rv>
  <rv s="0">
    <fb>292.31</fb>
    <v>0</v>
  </rv>
  <rv s="0">
    <fb>290.33999999999997</fb>
    <v>0</v>
  </rv>
  <rv s="0">
    <fb>292.83</fb>
    <v>0</v>
  </rv>
  <rv s="0">
    <fb>293.63</fb>
    <v>0</v>
  </rv>
  <rv s="0">
    <fb>296.29000000000002</fb>
    <v>0</v>
  </rv>
  <rv s="0">
    <fb>295.87</fb>
    <v>0</v>
  </rv>
  <rv s="0">
    <fb>296.99</fb>
    <v>0</v>
  </rv>
  <rv s="0">
    <fb>299.22000000000003</fb>
    <v>0</v>
  </rv>
  <rv s="0">
    <fb>297.27999999999997</fb>
    <v>0</v>
  </rv>
  <rv s="0">
    <fb>300.22000000000003</fb>
    <v>0</v>
  </rv>
  <rv s="0">
    <fb>295.93</fb>
    <v>0</v>
  </rv>
  <rv s="0">
    <fb>289.12</fb>
    <v>0</v>
  </rv>
  <rv s="0">
    <fb>295.68</fb>
    <v>0</v>
  </rv>
  <rv s="0">
    <fb>293.52</fb>
    <v>0</v>
  </rv>
  <rv s="0">
    <fb>293.07</fb>
    <v>0</v>
  </rv>
  <rv s="0">
    <fb>296.98</fb>
    <v>0</v>
  </rv>
  <rv s="0">
    <fb>299.25</fb>
    <v>0</v>
  </rv>
  <rv s="0">
    <fb>294.74</fb>
    <v>0</v>
  </rv>
  <rv s="0">
    <fb>299.2</fb>
    <v>0</v>
  </rv>
  <rv s="0">
    <fb>300.375</fb>
    <v>0</v>
  </rv>
  <rv s="0">
    <fb>301.69</fb>
    <v>0</v>
  </rv>
  <rv s="0">
    <fb>299.66000000000003</fb>
    <v>0</v>
  </rv>
  <rv s="0">
    <fb>299.29500000000002</fb>
    <v>0</v>
  </rv>
  <rv s="0">
    <fb>299.13</fb>
    <v>0</v>
  </rv>
  <rv s="0">
    <fb>294.95</fb>
    <v>0</v>
  </rv>
  <rv s="0">
    <fb>296.83</fb>
    <v>0</v>
  </rv>
  <rv s="0">
    <fb>294.35000000000002</fb>
    <v>0</v>
  </rv>
  <rv s="0">
    <fb>295.88</fb>
    <v>0</v>
  </rv>
  <rv s="0">
    <fb>298.04000000000002</fb>
    <v>0</v>
  </rv>
  <rv s="0">
    <fb>297.52999999999997</fb>
    <v>0</v>
  </rv>
  <rv s="0">
    <fb>297.7</fb>
    <v>0</v>
  </rv>
  <rv s="0">
    <fb>291.91000000000003</fb>
    <v>0</v>
  </rv>
  <rv s="0">
    <fb>292.17</fb>
    <v>0</v>
  </rv>
  <rv s="0">
    <fb>288.27999999999997</fb>
    <v>0</v>
  </rv>
  <rv s="0">
    <fb>287.22000000000003</fb>
    <v>0</v>
  </rv>
  <rv s="0">
    <fb>73.8</fb>
    <v>0</v>
  </rv>
  <rv s="0">
    <fb>71.599999999999994</fb>
    <v>0</v>
  </rv>
  <rv s="0">
    <fb>70.31</fb>
    <v>0</v>
  </rv>
  <rv s="0">
    <fb>69.98</fb>
    <v>0</v>
  </rv>
  <rv s="0">
    <fb>71.010000000000005</fb>
    <v>0</v>
  </rv>
  <rv s="0">
    <fb>70.930000000000007</fb>
    <v>0</v>
  </rv>
  <rv s="0">
    <fb>70.834999999999994</fb>
    <v>0</v>
  </rv>
  <rv s="0">
    <fb>72.39</fb>
    <v>0</v>
  </rv>
  <rv s="0">
    <fb>75.14</fb>
    <v>0</v>
  </rv>
  <rv s="0">
    <fb>75.040000000000006</fb>
    <v>0</v>
  </rv>
  <rv s="0">
    <fb>75.16</fb>
    <v>0</v>
  </rv>
  <rv s="0">
    <fb>73.37</fb>
    <v>0</v>
  </rv>
  <rv s="0">
    <fb>72.849999999999994</fb>
    <v>0</v>
  </rv>
  <rv s="0">
    <fb>73.069999999999993</fb>
    <v>0</v>
  </rv>
  <rv s="0">
    <fb>73.349999999999994</fb>
    <v>0</v>
  </rv>
  <rv s="0">
    <fb>73.62</fb>
    <v>0</v>
  </rv>
  <rv s="0">
    <fb>73.56</fb>
    <v>0</v>
  </rv>
  <rv s="0">
    <fb>72.95</fb>
    <v>0</v>
  </rv>
  <rv s="0">
    <fb>73.55</fb>
    <v>0</v>
  </rv>
  <rv s="0">
    <fb>73.44</fb>
    <v>0</v>
  </rv>
  <rv s="0">
    <fb>71.27</fb>
    <v>0</v>
  </rv>
  <rv s="0">
    <fb>69.45</fb>
    <v>0</v>
  </rv>
  <rv s="0">
    <fb>69.674999999999997</fb>
    <v>0</v>
  </rv>
  <rv s="0">
    <fb>70.459999999999994</fb>
    <v>0</v>
  </rv>
  <rv s="0">
    <fb>69.64</fb>
    <v>0</v>
  </rv>
  <rv s="0">
    <fb>68.47</fb>
    <v>0</v>
  </rv>
  <rv s="0">
    <fb>68.97</fb>
    <v>0</v>
  </rv>
  <rv s="0">
    <fb>61.96</fb>
    <v>0</v>
  </rv>
  <rv s="0">
    <fb>65.760000000000005</fb>
    <v>0</v>
  </rv>
  <rv s="0">
    <fb>65.239999999999995</fb>
    <v>0</v>
  </rv>
  <rv s="0">
    <fb>67.77</fb>
    <v>0</v>
  </rv>
  <rv s="0">
    <fb>74.19</fb>
    <v>0</v>
  </rv>
  <rv s="0">
    <fb>73.900000000000006</fb>
    <v>0</v>
  </rv>
  <rv s="0">
    <fb>75.62</fb>
    <v>0</v>
  </rv>
  <rv s="0">
    <fb>75.36</fb>
    <v>0</v>
  </rv>
  <rv s="0">
    <fb>73.97</fb>
    <v>0</v>
  </rv>
  <rv s="0">
    <fb>75.09</fb>
    <v>0</v>
  </rv>
  <rv s="0">
    <fb>74.639499999999998</fb>
    <v>0</v>
  </rv>
  <rv s="0">
    <fb>74.67</fb>
    <v>0</v>
  </rv>
  <rv s="0">
    <fb>75.31</fb>
    <v>0</v>
  </rv>
  <rv s="0">
    <fb>75.73</fb>
    <v>0</v>
  </rv>
  <rv s="0">
    <fb>75.659000000000006</fb>
    <v>0</v>
  </rv>
  <rv s="0">
    <fb>74.790400000000005</fb>
    <v>0</v>
  </rv>
  <rv s="0">
    <fb>77.31</fb>
    <v>0</v>
  </rv>
  <rv s="0">
    <fb>77.92</fb>
    <v>0</v>
  </rv>
  <rv s="0">
    <fb>78.126999999999995</fb>
    <v>0</v>
  </rv>
  <rv s="0">
    <fb>78.44</fb>
    <v>0</v>
  </rv>
  <rv s="0">
    <fb>79.08</fb>
    <v>0</v>
  </rv>
  <rv s="0">
    <fb>79.069999999999993</fb>
    <v>0</v>
  </rv>
  <rv s="0">
    <fb>79.989999999999995</fb>
    <v>0</v>
  </rv>
  <rv s="0">
    <fb>80.42</fb>
    <v>0</v>
  </rv>
  <rv s="0">
    <fb>79.930000000000007</fb>
    <v>0</v>
  </rv>
  <rv s="0">
    <fb>79.81</fb>
    <v>0</v>
  </rv>
  <rv s="0">
    <fb>79.454999999999998</fb>
    <v>0</v>
  </rv>
  <rv s="0">
    <fb>80.599999999999994</fb>
    <v>0</v>
  </rv>
  <rv s="0">
    <fb>79.599999999999994</fb>
    <v>0</v>
  </rv>
  <rv s="0">
    <fb>80.11</fb>
    <v>0</v>
  </rv>
  <rv s="0">
    <fb>79.88</fb>
    <v>0</v>
  </rv>
  <rv s="0">
    <fb>79.62</fb>
    <v>0</v>
  </rv>
  <rv s="0">
    <fb>81.13</fb>
    <v>0</v>
  </rv>
  <rv s="0">
    <fb>81.245000000000005</fb>
    <v>0</v>
  </rv>
  <rv s="0">
    <fb>81.364000000000004</fb>
    <v>0</v>
  </rv>
  <rv s="0">
    <fb>80.540000000000006</fb>
    <v>0</v>
  </rv>
  <rv s="0">
    <fb>80.290000000000006</fb>
    <v>0</v>
  </rv>
  <rv s="0">
    <fb>80.28</fb>
    <v>0</v>
  </rv>
  <rv s="0">
    <fb>80.469899999999996</fb>
    <v>0</v>
  </rv>
  <rv s="0">
    <fb>80.674999999999997</fb>
    <v>0</v>
  </rv>
  <rv s="0">
    <fb>80.814599999999999</fb>
    <v>0</v>
  </rv>
  <rv s="0">
    <fb>82.16</fb>
    <v>0</v>
  </rv>
  <rv s="0">
    <fb>83.06</fb>
    <v>0</v>
  </rv>
  <rv s="0">
    <fb>82.904799999999994</fb>
    <v>0</v>
  </rv>
  <rv s="0">
    <fb>81.665999999999997</fb>
    <v>0</v>
  </rv>
  <rv s="0">
    <fb>82.06</fb>
    <v>0</v>
  </rv>
  <rv s="0">
    <fb>82.23</fb>
    <v>0</v>
  </rv>
  <rv s="0">
    <fb>80.739999999999995</fb>
    <v>0</v>
  </rv>
  <rv s="0">
    <fb>79.819999999999993</fb>
    <v>0</v>
  </rv>
  <rv s="0">
    <fb>61.15</fb>
    <v>0</v>
  </rv>
  <rv s="0">
    <fb>57.1</fb>
    <v>0</v>
  </rv>
  <rv s="0">
    <fb>57.27</fb>
    <v>0</v>
  </rv>
  <rv s="0">
    <fb>58.23</fb>
    <v>0</v>
  </rv>
  <rv s="0">
    <fb>60.43</fb>
    <v>0</v>
  </rv>
  <rv s="0">
    <fb>60.25</fb>
    <v>0</v>
  </rv>
  <rv s="0">
    <fb>61.24</fb>
    <v>0</v>
  </rv>
  <rv s="0">
    <fb>58.65</fb>
    <v>0</v>
  </rv>
  <rv s="0">
    <fb>57.7</fb>
    <v>0</v>
  </rv>
  <rv s="0">
    <fb>56.54</fb>
    <v>0</v>
  </rv>
  <rv s="0">
    <fb>57.43</fb>
    <v>0</v>
  </rv>
  <rv s="0">
    <fb>64.790000000000006</fb>
    <v>0</v>
  </rv>
  <rv s="0">
    <fb>66.760000000000005</fb>
    <v>0</v>
  </rv>
  <rv s="0">
    <fb>66.38</fb>
    <v>0</v>
  </rv>
  <rv s="0">
    <fb>67.16</fb>
    <v>0</v>
  </rv>
  <rv s="0">
    <fb>70.069999999999993</fb>
    <v>0</v>
  </rv>
  <rv s="0">
    <fb>68.62</fb>
    <v>0</v>
  </rv>
  <rv s="0">
    <fb>68.489999999999995</fb>
    <v>0</v>
  </rv>
  <rv s="0">
    <fb>72.14</fb>
    <v>0</v>
  </rv>
  <rv s="0">
    <fb>73.13</fb>
    <v>0</v>
  </rv>
  <rv s="0">
    <fb>72.63</fb>
    <v>0</v>
  </rv>
  <rv s="0">
    <fb>74.64</fb>
    <v>0</v>
  </rv>
  <rv s="0">
    <fb>75.180000000000007</fb>
    <v>0</v>
  </rv>
  <rv s="0">
    <fb>78.12</fb>
    <v>0</v>
  </rv>
  <rv s="0">
    <fb>78.400000000000006</fb>
    <v>0</v>
  </rv>
  <rv s="0">
    <fb>72.41</fb>
    <v>0</v>
  </rv>
  <rv s="0">
    <fb>73.81</fb>
    <v>0</v>
  </rv>
  <rv s="0">
    <fb>75.41</fb>
    <v>0</v>
  </rv>
  <rv s="0">
    <fb>77.44</fb>
    <v>0</v>
  </rv>
  <rv s="0">
    <fb>82.33</fb>
    <v>0</v>
  </rv>
  <rv s="0">
    <fb>81.569999999999993</fb>
    <v>0</v>
  </rv>
  <rv s="0">
    <fb>83.36</fb>
    <v>0</v>
  </rv>
  <rv s="0">
    <fb>84.88</fb>
    <v>0</v>
  </rv>
  <rv s="0">
    <fb>87.75</fb>
    <v>0</v>
  </rv>
  <rv s="0">
    <fb>93.19</fb>
    <v>0</v>
  </rv>
  <rv s="0">
    <fb>97.56</fb>
    <v>0</v>
  </rv>
  <rv s="0">
    <fb>98.23</fb>
    <v>0</v>
  </rv>
  <rv s="0">
    <fb>102.36</fb>
    <v>0</v>
  </rv>
  <rv s="0">
    <fb>107.93</fb>
    <v>0</v>
  </rv>
  <rv s="0">
    <fb>106.61</fb>
    <v>0</v>
  </rv>
  <rv s="0">
    <fb>107.3</fb>
    <v>0</v>
  </rv>
  <rv s="0">
    <fb>97.29</fb>
    <v>0</v>
  </rv>
  <rv s="0">
    <fb>98.3</fb>
    <v>0</v>
  </rv>
  <rv s="0">
    <fb>94.73</fb>
    <v>0</v>
  </rv>
  <rv s="0">
    <fb>90.84</fb>
    <v>0</v>
  </rv>
  <rv s="0">
    <fb>93.56</fb>
    <v>0</v>
  </rv>
  <rv s="0">
    <fb>95.24</fb>
    <v>0</v>
  </rv>
  <rv s="0">
    <fb>96.38</fb>
    <v>0</v>
  </rv>
  <rv s="0">
    <fb>91.84</fb>
    <v>0</v>
  </rv>
  <rv s="0">
    <fb>34.39</fb>
    <v>0</v>
  </rv>
  <rv s="0">
    <fb>34.47</fb>
    <v>0</v>
  </rv>
  <rv s="0">
    <fb>33.770000000000003</fb>
    <v>0</v>
  </rv>
  <rv s="0">
    <fb>34.58</fb>
    <v>0</v>
  </rv>
  <rv s="0">
    <fb>35.049999999999997</fb>
    <v>0</v>
  </rv>
  <rv s="0">
    <fb>35.9</fb>
    <v>0</v>
  </rv>
  <rv s="0">
    <fb>35.380000000000003</fb>
    <v>0</v>
  </rv>
  <rv s="0">
    <fb>36.32</fb>
    <v>0</v>
  </rv>
  <rv s="0">
    <fb>36.619999999999997</fb>
    <v>0</v>
  </rv>
  <rv s="0">
    <fb>37.5</fb>
    <v>0</v>
  </rv>
  <rv s="0">
    <fb>37.9</fb>
    <v>0</v>
  </rv>
  <rv s="0">
    <fb>39.42</fb>
    <v>0</v>
  </rv>
  <rv s="0">
    <fb>40.03</fb>
    <v>0</v>
  </rv>
  <rv s="0">
    <fb>40.86</fb>
    <v>0</v>
  </rv>
  <rv s="0">
    <fb>41.54</fb>
    <v>0</v>
  </rv>
  <rv s="0">
    <fb>40.380000000000003</fb>
    <v>0</v>
  </rv>
  <rv s="0">
    <fb>44.85</fb>
    <v>0</v>
  </rv>
  <rv s="0">
    <fb>44.25</fb>
    <v>0</v>
  </rv>
  <rv s="0">
    <fb>45.02</fb>
    <v>0</v>
  </rv>
  <rv s="0">
    <fb>44.67</fb>
    <v>0</v>
  </rv>
  <rv s="0">
    <fb>45.8</fb>
    <v>0</v>
  </rv>
  <rv s="0">
    <fb>44.99</fb>
    <v>0</v>
  </rv>
  <rv s="0">
    <fb>49.01</fb>
    <v>0</v>
  </rv>
  <rv s="0">
    <fb>47.08</fb>
    <v>0</v>
  </rv>
  <rv s="0">
    <fb>49.82</fb>
    <v>0</v>
  </rv>
  <rv s="0">
    <fb>45.55</fb>
    <v>0</v>
  </rv>
  <rv s="0">
    <fb>46.49</fb>
    <v>0</v>
  </rv>
  <rv s="0">
    <fb>52.13</fb>
    <v>0</v>
  </rv>
  <rv s="0">
    <fb>54.46</fb>
    <v>0</v>
  </rv>
  <rv s="0">
    <fb>52.04</fb>
    <v>0</v>
  </rv>
  <rv s="0">
    <fb>53.17</fb>
    <v>0</v>
  </rv>
  <rv s="0">
    <fb>54.48</fb>
    <v>0</v>
  </rv>
  <rv s="0">
    <fb>52.59</fb>
    <v>0</v>
  </rv>
  <rv s="0">
    <fb>54.94</fb>
    <v>0</v>
  </rv>
  <rv s="0">
    <fb>64.8</fb>
    <v>0</v>
  </rv>
  <rv s="0">
    <fb>65.2</fb>
    <v>0</v>
  </rv>
  <rv s="0">
    <fb>64.569999999999993</fb>
    <v>0</v>
  </rv>
  <rv s="0">
    <fb>66.849999999999994</fb>
    <v>0</v>
  </rv>
  <rv s="0">
    <fb>68.5</fb>
    <v>0</v>
  </rv>
  <rv s="0">
    <fb>69.75</fb>
    <v>0</v>
  </rv>
  <rv s="0">
    <fb>68.66</fb>
    <v>0</v>
  </rv>
  <rv s="0">
    <fb>68.790000000000006</fb>
    <v>0</v>
  </rv>
  <rv s="0">
    <fb>76.400000000000006</fb>
    <v>0</v>
  </rv>
  <rv s="0">
    <fb>76.97</fb>
    <v>0</v>
  </rv>
  <rv s="0">
    <fb>75.61</fb>
    <v>0</v>
  </rv>
  <rv s="0">
    <fb>75.78</fb>
    <v>0</v>
  </rv>
  <rv s="0">
    <fb>84.44</fb>
    <v>0</v>
  </rv>
  <rv s="0">
    <fb>80.36</fb>
    <v>0</v>
  </rv>
  <rv s="0">
    <fb>73.790000000000006</fb>
    <v>0</v>
  </rv>
  <rv s="0">
    <fb>72.8</fb>
    <v>0</v>
  </rv>
  <rv s="0">
    <fb>72.900000000000006</fb>
    <v>0</v>
  </rv>
  <rv s="0">
    <fb>72.06</fb>
    <v>0</v>
  </rv>
  <rv s="0">
    <fb>75.98</fb>
    <v>0</v>
  </rv>
  <rv s="0">
    <fb>77.05</fb>
    <v>0</v>
  </rv>
  <rv s="0">
    <fb>76.16</fb>
    <v>0</v>
  </rv>
  <rv s="0">
    <fb>74.95</fb>
    <v>0</v>
  </rv>
  <rv s="0">
    <fb>75.63</fb>
    <v>0</v>
  </rv>
  <rv s="0">
    <fb>35.39</fb>
    <v>0</v>
  </rv>
  <rv s="0">
    <fb>33.85</fb>
    <v>0</v>
  </rv>
  <rv s="0">
    <fb>31.61</fb>
    <v>0</v>
  </rv>
  <rv s="0">
    <fb>31.77</fb>
    <v>0</v>
  </rv>
  <rv s="0">
    <fb>32.58</fb>
    <v>0</v>
  </rv>
  <rv s="0">
    <fb>32.909999999999997</fb>
    <v>0</v>
  </rv>
  <rv s="0">
    <fb>32.81</fb>
    <v>0</v>
  </rv>
  <rv s="0">
    <fb>31.91</fb>
    <v>0</v>
  </rv>
  <rv s="0">
    <fb>33.520000000000003</fb>
    <v>0</v>
  </rv>
  <rv s="0">
    <fb>33.090000000000003</fb>
    <v>0</v>
  </rv>
  <rv s="0">
    <fb>33.79</fb>
    <v>0</v>
  </rv>
  <rv s="0">
    <fb>33.68</fb>
    <v>0</v>
  </rv>
  <rv s="0">
    <fb>35.270000000000003</fb>
    <v>0</v>
  </rv>
  <rv s="0">
    <fb>34.590000000000003</fb>
    <v>0</v>
  </rv>
  <rv s="0">
    <fb>35.700000000000003</fb>
    <v>0</v>
  </rv>
  <rv s="0">
    <fb>36.51</fb>
    <v>0</v>
  </rv>
  <rv s="0">
    <fb>36.450000000000003</fb>
    <v>0</v>
  </rv>
  <rv s="0">
    <fb>36.06</fb>
    <v>0</v>
  </rv>
  <rv s="0">
    <fb>36.69</fb>
    <v>0</v>
  </rv>
  <rv s="0">
    <fb>36.18</fb>
    <v>0</v>
  </rv>
  <rv s="0">
    <fb>37.159999999999997</fb>
    <v>0</v>
  </rv>
  <rv s="0">
    <fb>37.090000000000003</fb>
    <v>0</v>
  </rv>
  <rv s="0">
    <fb>35.479999999999997</fb>
    <v>0</v>
  </rv>
  <rv s="0">
    <fb>35.630000000000003</fb>
    <v>0</v>
  </rv>
  <rv s="0">
    <fb>35.130000000000003</fb>
    <v>0</v>
  </rv>
  <rv s="0">
    <fb>35.909999999999997</fb>
    <v>0</v>
  </rv>
  <rv s="0">
    <fb>34.57</fb>
    <v>0</v>
  </rv>
  <rv s="0">
    <fb>34.9</fb>
    <v>0</v>
  </rv>
  <rv s="0">
    <fb>36.43</fb>
    <v>0</v>
  </rv>
  <rv s="0">
    <fb>35.49</fb>
    <v>0</v>
  </rv>
  <rv s="0">
    <fb>37.119999999999997</fb>
    <v>0</v>
  </rv>
  <rv s="0">
    <fb>38.75</fb>
    <v>0</v>
  </rv>
  <rv s="0">
    <fb>39.22</fb>
    <v>0</v>
  </rv>
  <rv s="0">
    <fb>39.51</fb>
    <v>0</v>
  </rv>
  <rv s="0">
    <fb>39.270000000000003</fb>
    <v>0</v>
  </rv>
  <rv s="0">
    <fb>34.5</fb>
    <v>0</v>
  </rv>
  <rv s="0">
    <fb>36.979999999999997</fb>
    <v>0</v>
  </rv>
  <rv s="0">
    <fb>38.14</fb>
    <v>0</v>
  </rv>
  <rv s="0">
    <fb>39.909999999999997</fb>
    <v>0</v>
  </rv>
  <rv s="0">
    <fb>39.43</fb>
    <v>0</v>
  </rv>
  <rv s="0">
    <fb>42.97</fb>
    <v>0</v>
  </rv>
  <rv s="0">
    <fb>48.85</fb>
    <v>0</v>
  </rv>
  <rv s="0">
    <fb>47.86</fb>
    <v>0</v>
  </rv>
  <rv s="0">
    <fb>48.69</fb>
    <v>0</v>
  </rv>
  <rv s="0">
    <fb>48.14</fb>
    <v>0</v>
  </rv>
  <rv s="0">
    <fb>54.57</fb>
    <v>0</v>
  </rv>
  <rv s="0">
    <fb>54.26</fb>
    <v>0</v>
  </rv>
  <rv s="0">
    <fb>55.33</fb>
    <v>0</v>
  </rv>
  <rv s="0">
    <fb>54.98</fb>
    <v>0</v>
  </rv>
  <rv s="0">
    <fb>71.63</fb>
    <v>0</v>
  </rv>
  <rv s="0">
    <fb>71.89</fb>
    <v>0</v>
  </rv>
  <rv s="0">
    <fb>71.25</fb>
    <v>0</v>
  </rv>
  <rv s="0">
    <fb>71.08</fb>
    <v>0</v>
  </rv>
  <rv s="0">
    <fb>73.95</fb>
    <v>0</v>
  </rv>
  <rv s="0">
    <fb>70.89</fb>
    <v>0</v>
  </rv>
  <rv s="0">
    <fb>73.72</fb>
    <v>0</v>
  </rv>
  <rv s="0">
    <fb>67.959999999999994</fb>
    <v>0</v>
  </rv>
  <rv s="0">
    <fb>68.099999999999994</fb>
    <v>0</v>
  </rv>
  <rv s="0">
    <fb>70.430000000000007</fb>
    <v>0</v>
  </rv>
  <rv s="0">
    <fb>69.28</fb>
    <v>0</v>
  </rv>
  <rv s="0">
    <fb>68.3</fb>
    <v>0</v>
  </rv>
  <rv s="0">
    <fb>60.89</fb>
    <v>0</v>
  </rv>
  <rv s="0">
    <fb>58.713900000000002</fb>
    <v>0</v>
  </rv>
  <rv s="0">
    <fb>59.116399999999999</fb>
    <v>0</v>
  </rv>
  <rv s="0">
    <fb>59.002899999999997</fb>
    <v>0</v>
  </rv>
  <rv s="0">
    <fb>57.798900000000003</fb>
    <v>0</v>
  </rv>
  <rv s="0">
    <fb>58.77</fb>
    <v>0</v>
  </rv>
  <rv s="0">
    <fb>60.37</fb>
    <v>0</v>
  </rv>
  <rv s="0">
    <fb>61.47</fb>
    <v>0</v>
  </rv>
  <rv s="0">
    <fb>61.564799999999998</fb>
    <v>0</v>
  </rv>
  <rv s="0">
    <fb>61.85</fb>
    <v>0</v>
  </rv>
  <rv s="0">
    <fb>62.605499999999999</fb>
    <v>0</v>
  </rv>
  <rv s="0">
    <fb>63.42</fb>
    <v>0</v>
  </rv>
  <rv s="0">
    <fb>62.906100000000002</fb>
    <v>0</v>
  </rv>
  <rv s="0">
    <fb>64.64</fb>
    <v>0</v>
  </rv>
  <rv s="0">
    <fb>63.02</fb>
    <v>0</v>
  </rv>
  <rv s="0">
    <fb>62.52</fb>
    <v>0</v>
  </rv>
  <rv s="0">
    <fb>64.010000000000005</fb>
    <v>0</v>
  </rv>
  <rv s="0">
    <fb>64.175299999999993</fb>
    <v>0</v>
  </rv>
  <rv s="0">
    <fb>63.762099999999997</fb>
    <v>0</v>
  </rv>
  <rv s="0">
    <fb>64.27</fb>
    <v>0</v>
  </rv>
  <rv s="0">
    <fb>63.99</fb>
    <v>0</v>
  </rv>
  <rv s="0">
    <fb>55.204999999999998</fb>
    <v>0</v>
  </rv>
  <rv s="0">
    <fb>56.802500000000002</fb>
    <v>0</v>
  </rv>
  <rv s="0">
    <fb>56.87</fb>
    <v>0</v>
  </rv>
  <rv s="0">
    <fb>56.99</fb>
    <v>0</v>
  </rv>
  <rv s="0">
    <fb>55.892000000000003</fb>
    <v>0</v>
  </rv>
  <rv s="0">
    <fb>60.13</fb>
    <v>0</v>
  </rv>
  <rv s="0">
    <fb>61.7089</fb>
    <v>0</v>
  </rv>
  <rv s="0">
    <fb>63.2179</fb>
    <v>0</v>
  </rv>
  <rv s="0">
    <fb>63.494999999999997</fb>
    <v>0</v>
  </rv>
  <rv s="0">
    <fb>62.182400000000001</fb>
    <v>0</v>
  </rv>
  <rv s="0">
    <fb>61.873899999999999</fb>
    <v>0</v>
  </rv>
  <rv s="0">
    <fb>64.398399999999995</fb>
    <v>0</v>
  </rv>
  <rv s="0">
    <fb>64.332899999999995</fb>
    <v>0</v>
  </rv>
  <rv s="0">
    <fb>65.965699999999998</fb>
    <v>0</v>
  </rv>
  <rv s="0">
    <fb>64.876400000000004</fb>
    <v>0</v>
  </rv>
  <rv s="0">
    <fb>65.27</fb>
    <v>0</v>
  </rv>
  <rv s="0">
    <fb>64.963300000000004</fb>
    <v>0</v>
  </rv>
  <rv s="0">
    <fb>64.83</fb>
    <v>0</v>
  </rv>
  <rv s="0">
    <fb>66.53</fb>
    <v>0</v>
  </rv>
  <rv s="0">
    <fb>67.180000000000007</fb>
    <v>0</v>
  </rv>
  <rv s="0">
    <fb>70.193799999999996</fb>
    <v>0</v>
  </rv>
  <rv s="0">
    <fb>68.989999999999995</fb>
    <v>0</v>
  </rv>
  <rv s="0">
    <fb>71.380200000000002</fb>
    <v>0</v>
  </rv>
  <rv s="0">
    <fb>74.16</fb>
    <v>0</v>
  </rv>
  <rv s="0">
    <fb>72.430000000000007</fb>
    <v>0</v>
  </rv>
  <rv s="0">
    <fb>69.69</fb>
    <v>0</v>
  </rv>
  <rv s="0">
    <fb>66.97</fb>
    <v>0</v>
  </rv>
  <rv s="0">
    <fb>66.73</fb>
    <v>0</v>
  </rv>
  <rv s="0">
    <fb>67.37</fb>
    <v>0</v>
  </rv>
  <rv s="0">
    <fb>66.921199999999999</fb>
    <v>0</v>
  </rv>
  <rv s="0">
    <fb>69.47</fb>
    <v>0</v>
  </rv>
  <rv s="0">
    <fb>69.293999999999997</fb>
    <v>0</v>
  </rv>
  <rv s="0">
    <fb>68.721400000000003</fb>
    <v>0</v>
  </rv>
  <rv s="0">
    <fb>71.026399999999995</fb>
    <v>0</v>
  </rv>
  <rv s="0">
    <fb>71.076999999999998</fb>
    <v>0</v>
  </rv>
  <rv s="0">
    <fb>70.835300000000004</fb>
    <v>0</v>
  </rv>
  <rv s="0">
    <fb>71.003299999999996</fb>
    <v>0</v>
  </rv>
  <rv s="0">
    <fb>71.376000000000005</fb>
    <v>0</v>
  </rv>
  <rv s="0">
    <fb>71.092500000000001</fb>
    <v>0</v>
  </rv>
  <rv s="0">
    <fb>69.900000000000006</fb>
    <v>0</v>
  </rv>
  <rv s="0">
    <fb>69.72</fb>
    <v>0</v>
  </rv>
  <rv s="0">
    <fb>71.488399999999999</fb>
    <v>0</v>
  </rv>
  <rv s="0">
    <fb>70.209999999999994</fb>
    <v>0</v>
  </rv>
  <rv s="0">
    <fb>71.529899999999998</fb>
    <v>0</v>
  </rv>
  <rv s="0">
    <fb>72.848299999999995</fb>
    <v>0</v>
  </rv>
  <rv s="0">
    <fb>72.205500000000001</fb>
    <v>0</v>
  </rv>
  <rv s="0">
    <fb>72.363299999999995</fb>
    <v>0</v>
  </rv>
  <rv s="0">
    <fb>72.057100000000005</fb>
    <v>0</v>
  </rv>
  <rv s="0">
    <fb>71.894999999999996</fb>
    <v>0</v>
  </rv>
  <rv s="0">
    <fb>72.510000000000005</fb>
    <v>0</v>
  </rv>
  <rv s="0">
    <fb>74.36</fb>
    <v>0</v>
  </rv>
  <rv s="0">
    <fb>74.117400000000004</fb>
    <v>0</v>
  </rv>
  <rv s="0">
    <fb>75.734999999999999</fb>
    <v>0</v>
  </rv>
  <rv s="0">
    <fb>76.52</fb>
    <v>0</v>
  </rv>
  <rv s="0">
    <fb>75.52</fb>
    <v>0</v>
  </rv>
  <rv s="0">
    <fb>77.86</fb>
    <v>0</v>
  </rv>
  <rv s="0">
    <fb>77.150000000000006</fb>
    <v>0</v>
  </rv>
  <rv s="0">
    <fb>80.259799999999998</fb>
    <v>0</v>
  </rv>
  <rv s="0">
    <fb>78.836100000000002</fb>
    <v>0</v>
  </rv>
  <rv s="0">
    <fb>77.400000000000006</fb>
    <v>0</v>
  </rv>
  <rv s="0">
    <fb>77.25</fb>
    <v>0</v>
  </rv>
  <rv s="0">
    <fb>37.335599999999999</fb>
    <v>0</v>
  </rv>
  <rv s="0">
    <fb>36.420400000000001</fb>
    <v>0</v>
  </rv>
  <rv s="0">
    <fb>35.017699999999998</fb>
    <v>0</v>
  </rv>
  <rv s="0">
    <fb>34.808799999999998</fb>
    <v>0</v>
  </rv>
  <rv s="0">
    <fb>35.107199999999999</fb>
    <v>0</v>
  </rv>
  <rv s="0">
    <fb>35.186799999999998</fb>
    <v>0</v>
  </rv>
  <rv s="0">
    <fb>35.246499999999997</fb>
    <v>0</v>
  </rv>
  <rv s="0">
    <fb>35.365900000000003</fb>
    <v>0</v>
  </rv>
  <rv s="0">
    <fb>35.077399999999997</fb>
    <v>0</v>
  </rv>
  <rv s="0">
    <fb>34.679400000000001</fb>
    <v>0</v>
  </rv>
  <rv s="0">
    <fb>34.9679</fb>
    <v>0</v>
  </rv>
  <rv s="0">
    <fb>34.928100000000001</fb>
    <v>0</v>
  </rv>
  <rv s="0">
    <fb>35.226599999999998</fb>
    <v>0</v>
  </rv>
  <rv s="0">
    <fb>34.938099999999999</fb>
    <v>0</v>
  </rv>
  <rv s="0">
    <fb>34.749099999999999</fb>
    <v>0</v>
  </rv>
  <rv s="0">
    <fb>34.9878</fb>
    <v>0</v>
  </rv>
  <rv s="0">
    <fb>35.306199999999997</fb>
    <v>0</v>
  </rv>
  <rv s="0">
    <fb>35.713999999999999</fb>
    <v>0</v>
  </rv>
  <rv s="0">
    <fb>35.674199999999999</fb>
    <v>0</v>
  </rv>
  <rv s="0">
    <fb>36.121899999999997</fb>
    <v>0</v>
  </rv>
  <rv s="0">
    <fb>36.529800000000002</fb>
    <v>0</v>
  </rv>
  <rv s="0">
    <fb>35.883200000000002</fb>
    <v>0</v>
  </rv>
  <rv s="0">
    <fb>35.952800000000003</fb>
    <v>0</v>
  </rv>
  <rv s="0">
    <fb>36.151800000000001</fb>
    <v>0</v>
  </rv>
  <rv s="0">
    <fb>35.634500000000003</fb>
    <v>0</v>
  </rv>
  <rv s="0">
    <fb>35.166899999999998</fb>
    <v>0</v>
  </rv>
  <rv s="0">
    <fb>35.335999999999999</fb>
    <v>0</v>
  </rv>
  <rv s="0">
    <fb>35.833399999999997</fb>
    <v>0</v>
  </rv>
  <rv s="0">
    <fb>35.286299999999997</fb>
    <v>0</v>
  </rv>
  <rv s="0">
    <fb>35.0276</fb>
    <v>0</v>
  </rv>
  <rv s="0">
    <fb>35.813499999999998</fb>
    <v>0</v>
  </rv>
  <rv s="0">
    <fb>36.032400000000003</fb>
    <v>0</v>
  </rv>
  <rv s="0">
    <fb>36.509900000000002</fb>
    <v>0</v>
  </rv>
  <rv s="0">
    <fb>36.559600000000003</fb>
    <v>0</v>
  </rv>
  <rv s="0">
    <fb>36.967500000000001</fb>
    <v>0</v>
  </rv>
  <rv s="0">
    <fb>36.320900000000002</fb>
    <v>0</v>
  </rv>
  <rv s="0">
    <fb>36.4602</fb>
    <v>0</v>
  </rv>
  <rv s="0">
    <fb>37.345500000000001</fb>
    <v>0</v>
  </rv>
  <rv s="0">
    <fb>37.186399999999999</fb>
    <v>0</v>
  </rv>
  <rv s="0">
    <fb>37.509700000000002</fb>
    <v>0</v>
  </rv>
  <rv s="0">
    <fb>36.808300000000003</fb>
    <v>0</v>
  </rv>
  <rv s="0">
    <fb>37.5047</fb>
    <v>0</v>
  </rv>
  <rv s="0">
    <fb>36.6541</fb>
    <v>0</v>
  </rv>
  <rv s="0">
    <fb>36.430300000000003</fb>
    <v>0</v>
  </rv>
  <rv s="0">
    <fb>36.290999999999997</fb>
    <v>0</v>
  </rv>
  <rv s="0">
    <fb>35.704099999999997</fb>
    <v>0</v>
  </rv>
  <rv s="0">
    <fb>35.534999999999997</fb>
    <v>0</v>
  </rv>
  <rv s="0">
    <fb>35.4255</fb>
    <v>0</v>
  </rv>
  <rv s="0">
    <fb>37.067</fb>
    <v>0</v>
  </rv>
  <rv s="0">
    <fb>36.997399999999999</fb>
    <v>0</v>
  </rv>
  <rv s="0">
    <fb>35.982599999999998</fb>
    <v>0</v>
  </rv>
  <rv s="0">
    <fb>36.360700000000001</fb>
    <v>0</v>
  </rv>
  <rv s="0">
    <fb>36.470100000000002</fb>
    <v>0</v>
  </rv>
  <rv s="0">
    <fb>37.823099999999997</fb>
    <v>0</v>
  </rv>
  <rv s="0">
    <fb>38.012099999999997</fb>
    <v>0</v>
  </rv>
  <rv s="0">
    <fb>38.151299999999999</fb>
    <v>0</v>
  </rv>
  <rv s="0">
    <fb>37.743499999999997</fb>
    <v>0</v>
  </rv>
  <rv s="0">
    <fb>37.1068</fb>
    <v>0</v>
  </rv>
  <rv s="0">
    <fb>37.872799999999998</fb>
    <v>0</v>
  </rv>
  <rv s="0">
    <fb>37.405200000000001</fb>
    <v>0</v>
  </rv>
  <rv s="0">
    <fb>37.156500000000001</fb>
    <v>0</v>
  </rv>
  <rv s="0">
    <fb>36.221400000000003</fb>
    <v>0</v>
  </rv>
  <rv s="0">
    <fb>35.694099999999999</fb>
    <v>0</v>
  </rv>
  <rv s="0">
    <fb>35.853299999999997</fb>
    <v>0</v>
  </rv>
  <rv s="0">
    <fb>33.883600000000001</fb>
    <v>0</v>
  </rv>
  <rv s="0">
    <fb>31.058299999999999</fb>
    <v>0</v>
  </rv>
  <rv s="0">
    <fb>30.9389</fb>
    <v>0</v>
  </rv>
  <rv s="0">
    <fb>30.073399999999999</fb>
    <v>0</v>
  </rv>
  <rv s="0">
    <fb>32.838999999999999</fb>
    <v>0</v>
  </rv>
  <rv s="0">
    <fb>32.013300000000001</fb>
    <v>0</v>
  </rv>
  <rv s="0">
    <fb>33.286700000000003</fb>
    <v>0</v>
  </rv>
  <rv s="0">
    <fb>33.784100000000002</fb>
    <v>0</v>
  </rv>
  <rv s="0">
    <fb>33.664700000000003</fb>
    <v>0</v>
  </rv>
  <rv s="0">
    <fb>33.515500000000003</fb>
    <v>0</v>
  </rv>
  <rv s="0">
    <fb>33.823900000000002</fb>
    <v>0</v>
  </rv>
  <rv s="0">
    <fb>33.833799999999997</fb>
    <v>0</v>
  </rv>
  <rv s="0">
    <fb>34.490400000000001</fb>
    <v>0</v>
  </rv>
  <rv s="0">
    <fb>34.997799999999998</fb>
    <v>0</v>
  </rv>
  <rv s="0">
    <fb>35.912999999999997</fb>
    <v>0</v>
  </rv>
  <rv s="0">
    <fb>35.584699999999998</fb>
    <v>0</v>
  </rv>
  <rv s="0">
    <fb>34.977899999999998</fb>
    <v>0</v>
  </rv>
  <rv s="0">
    <fb>35.087299999999999</fb>
    <v>0</v>
  </rv>
  <rv s="0">
    <fb>35.863300000000002</fb>
    <v>0</v>
  </rv>
  <rv s="0">
    <fb>35.664299999999997</fb>
    <v>0</v>
  </rv>
  <rv s="0">
    <fb>35.375799999999998</fb>
    <v>0</v>
  </rv>
  <rv s="0">
    <fb>35.485199999999999</fb>
    <v>0</v>
  </rv>
  <rv s="0">
    <fb>36.499899999999997</fb>
    <v>0</v>
  </rv>
  <rv s="0">
    <fb>36.887900000000002</fb>
    <v>0</v>
  </rv>
  <rv s="0">
    <fb>36.738700000000001</fb>
    <v>0</v>
  </rv>
  <rv s="0">
    <fb>36.778500000000001</fb>
    <v>0</v>
  </rv>
  <rv s="0">
    <fb>36.6691</fb>
    <v>0</v>
  </rv>
  <rv s="0">
    <fb>36.390500000000003</fb>
    <v>0</v>
  </rv>
  <rv s="0">
    <fb>36.748699999999999</fb>
    <v>0</v>
  </rv>
  <rv s="0">
    <fb>36.987400000000001</fb>
    <v>0</v>
  </rv>
  <rv s="0">
    <fb>36.609400000000001</fb>
    <v>0</v>
  </rv>
  <rv s="0">
    <fb>36.783499999999997</fb>
    <v>0</v>
  </rv>
  <rv s="0">
    <fb>36.6492</fb>
    <v>0</v>
  </rv>
  <rv s="0">
    <fb>36.9178</fb>
    <v>0</v>
  </rv>
  <rv s="0">
    <fb>36.698900000000002</fb>
    <v>0</v>
  </rv>
  <rv s="0">
    <fb>37.146599999999999</fb>
    <v>0</v>
  </rv>
  <rv s="0">
    <fb>37.4848</fb>
    <v>0</v>
  </rv>
  <rv s="0">
    <fb>37.554499999999997</fb>
    <v>0</v>
  </rv>
  <rv s="0">
    <fb>37.922499999999999</fb>
    <v>0</v>
  </rv>
  <rv s="0">
    <fb>38.041899999999998</fb>
    <v>0</v>
  </rv>
  <rv s="0">
    <fb>37.6937</fb>
    <v>0</v>
  </rv>
  <rv s="0">
    <fb>37.246099999999998</fb>
    <v>0</v>
  </rv>
  <rv s="0">
    <fb>37.115000000000002</fb>
    <v>0</v>
  </rv>
  <rv s="0">
    <fb>36.56</fb>
    <v>0</v>
  </rv>
  <rv s="0">
    <fb>36.15</fb>
    <v>0</v>
  </rv>
  <rv s="0">
    <fb>39.14</fb>
    <v>0</v>
  </rv>
  <rv s="0">
    <fb>38.81</fb>
    <v>0</v>
  </rv>
  <rv s="0">
    <fb>38.57</fb>
    <v>0</v>
  </rv>
  <rv s="0">
    <fb>39.32</fb>
    <v>0</v>
  </rv>
  <rv s="0">
    <fb>39.479999999999997</fb>
    <v>0</v>
  </rv>
  <rv s="0">
    <fb>38.49</fb>
    <v>0</v>
  </rv>
  <rv s="0">
    <fb>38.619999999999997</fb>
    <v>0</v>
  </rv>
  <rv s="0">
    <fb>39.15</fb>
    <v>0</v>
  </rv>
  <rv s="0">
    <fb>39.744999999999997</fb>
    <v>0</v>
  </rv>
  <rv s="0">
    <fb>40.130000000000003</fb>
    <v>0</v>
  </rv>
  <rv s="0">
    <fb>41.05</fb>
    <v>0</v>
  </rv>
  <rv s="0">
    <fb>42.9</fb>
    <v>0</v>
  </rv>
  <rv s="0">
    <fb>42.55</fb>
    <v>0</v>
  </rv>
  <rv s="0">
    <fb>43.03</fb>
    <v>0</v>
  </rv>
  <rv s="0">
    <fb>43.073</fb>
    <v>0</v>
  </rv>
  <rv s="0">
    <fb>44.52</fb>
    <v>0</v>
  </rv>
  <rv s="0">
    <fb>44.92</fb>
    <v>0</v>
  </rv>
  <rv s="0">
    <fb>46.13</fb>
    <v>0</v>
  </rv>
  <rv s="0">
    <fb>44.3</fb>
    <v>0</v>
  </rv>
  <rv s="0">
    <fb>46.6</fb>
    <v>0</v>
  </rv>
  <rv s="0">
    <fb>44.61</fb>
    <v>0</v>
  </rv>
  <rv s="0">
    <fb>45.38</fb>
    <v>0</v>
  </rv>
  <rv s="0">
    <fb>46.95</fb>
    <v>0</v>
  </rv>
  <rv s="0">
    <fb>45.5</fb>
    <v>0</v>
  </rv>
  <rv s="0">
    <fb>198.38</fb>
    <v>0</v>
  </rv>
  <rv s="0">
    <fb>196.79</fb>
    <v>0</v>
  </rv>
  <rv s="0">
    <fb>189.69</fb>
    <v>0</v>
  </rv>
  <rv s="0">
    <fb>189.62</fb>
    <v>0</v>
  </rv>
  <rv s="0">
    <fb>189.34</fb>
    <v>0</v>
  </rv>
  <rv s="0">
    <fb>187.84</fb>
    <v>0</v>
  </rv>
  <rv s="0">
    <fb>185.94</fb>
    <v>0</v>
  </rv>
  <rv s="0">
    <fb>185.96</fb>
    <v>0</v>
  </rv>
  <rv s="0">
    <fb>186.81</fb>
    <v>0</v>
  </rv>
  <rv s="0">
    <fb>187.61</fb>
    <v>0</v>
  </rv>
  <rv s="0">
    <fb>185.71</fb>
    <v>0</v>
  </rv>
  <rv s="0">
    <fb>189.52</fb>
    <v>0</v>
  </rv>
  <rv s="0">
    <fb>191.88</fb>
    <v>0</v>
  </rv>
  <rv s="0">
    <fb>195.47</fb>
    <v>0</v>
  </rv>
  <rv s="0">
    <fb>198.01</fb>
    <v>0</v>
  </rv>
  <rv s="0">
    <fb>198.75</fb>
    <v>0</v>
  </rv>
  <rv s="0">
    <fb>198.51</fb>
    <v>0</v>
  </rv>
  <rv s="0">
    <fb>198</fb>
    <v>0</v>
  </rv>
  <rv s="0">
    <fb>197.58</fb>
    <v>0</v>
  </rv>
  <rv s="0">
    <fb>198.88</fb>
    <v>0</v>
  </rv>
  <rv s="0">
    <fb>197.33</fb>
    <v>0</v>
  </rv>
  <rv s="0">
    <fb>197.71</fb>
    <v>0</v>
  </rv>
  <rv s="0">
    <fb>198.08</fb>
    <v>0</v>
  </rv>
  <rv s="0">
    <fb>200.37</fb>
    <v>0</v>
  </rv>
  <rv s="0">
    <fb>199.78</fb>
    <v>0</v>
  </rv>
  <rv s="0">
    <fb>202.46</fb>
    <v>0</v>
  </rv>
  <rv s="0">
    <fb>199.79</fb>
    <v>0</v>
  </rv>
  <rv s="0">
    <fb>194.9</fb>
    <v>0</v>
  </rv>
  <rv s="0">
    <fb>196.36</fb>
    <v>0</v>
  </rv>
  <rv s="0">
    <fb>196.24</fb>
    <v>0</v>
  </rv>
  <rv s="0">
    <fb>194.69</fb>
    <v>0</v>
  </rv>
  <rv s="0">
    <fb>196.53</fb>
    <v>0</v>
  </rv>
  <rv s="0">
    <fb>192.32</fb>
    <v>0</v>
  </rv>
  <rv s="0">
    <fb>189.24</fb>
    <v>0</v>
  </rv>
  <rv s="0">
    <fb>194.74</fb>
    <v>0</v>
  </rv>
  <rv s="0">
    <fb>193.58</fb>
    <v>0</v>
  </rv>
  <rv s="0">
    <fb>193.8</fb>
    <v>0</v>
  </rv>
  <rv s="0">
    <fb>188.43</fb>
    <v>0</v>
  </rv>
  <rv s="0">
    <fb>187.3</fb>
    <v>0</v>
  </rv>
  <rv s="0">
    <fb>192.3</fb>
    <v>0</v>
  </rv>
  <rv s="0">
    <fb>192.03</fb>
    <v>0</v>
  </rv>
  <rv s="0">
    <fb>192.87</fb>
    <v>0</v>
  </rv>
  <rv s="0">
    <fb>191.48</fb>
    <v>0</v>
  </rv>
  <rv s="0">
    <fb>189.26679999999999</fb>
    <v>0</v>
  </rv>
  <rv s="0">
    <fb>192.24</fb>
    <v>0</v>
  </rv>
  <rv s="0">
    <fb>191.44</fb>
    <v>0</v>
  </rv>
  <rv s="0">
    <fb>191.35</fb>
    <v>0</v>
  </rv>
  <rv s="0">
    <fb>191.02</fb>
    <v>0</v>
  </rv>
  <rv s="0">
    <fb>187.1</fb>
    <v>0</v>
  </rv>
  <rv s="0">
    <fb>188.81</fb>
    <v>0</v>
  </rv>
  <rv s="0">
    <fb>189.37</fb>
    <v>0</v>
  </rv>
  <rv s="0">
    <fb>191.22</fb>
    <v>0</v>
  </rv>
  <rv s="0">
    <fb>182.14</fb>
    <v>0</v>
  </rv>
  <rv s="0">
    <fb>171.02</fb>
    <v>0</v>
  </rv>
  <rv s="0">
    <fb>163.82</fb>
    <v>0</v>
  </rv>
  <rv s="0">
    <fb>178.28</fb>
    <v>0</v>
  </rv>
  <rv s="0">
    <fb>172.68</fb>
    <v>0</v>
  </rv>
  <rv s="0">
    <fb>177.51</fb>
    <v>0</v>
  </rv>
  <rv s="0">
    <fb>179.56</fb>
    <v>0</v>
  </rv>
  <rv s="0">
    <fb>177.06</fb>
    <v>0</v>
  </rv>
  <rv s="0">
    <fb>178.07</fb>
    <v>0</v>
  </rv>
  <rv s="0">
    <fb>179.32</fb>
    <v>0</v>
  </rv>
  <rv s="0">
    <fb>180.05</fb>
    <v>0</v>
  </rv>
  <rv s="0">
    <fb>184.02</fb>
    <v>0</v>
  </rv>
  <rv s="0">
    <fb>182.85</fb>
    <v>0</v>
  </rv>
  <rv s="0">
    <fb>183.47</fb>
    <v>0</v>
  </rv>
  <rv s="0">
    <fb>184.94</fb>
    <v>0</v>
  </rv>
  <rv s="0">
    <fb>185.48</fb>
    <v>0</v>
  </rv>
  <rv s="0">
    <fb>186.78</fb>
    <v>0</v>
  </rv>
  <rv s="0">
    <fb>185.47</fb>
    <v>0</v>
  </rv>
  <rv s="0">
    <fb>184.08</fb>
    <v>0</v>
  </rv>
  <rv s="0">
    <fb>186.63</fb>
    <v>0</v>
  </rv>
  <rv s="0">
    <fb>190.42</fb>
    <v>0</v>
  </rv>
  <rv s="0">
    <fb>190.52</fb>
    <v>0</v>
  </rv>
  <rv s="0">
    <fb>192.39</fb>
    <v>0</v>
  </rv>
  <rv s="0">
    <fb>192.98</fb>
    <v>0</v>
  </rv>
  <rv s="0">
    <fb>189.61</fb>
    <v>0</v>
  </rv>
  <rv s="0">
    <fb>189.47</fb>
    <v>0</v>
  </rv>
  <rv s="0">
    <fb>190.77</fb>
    <v>0</v>
  </rv>
  <rv s="0">
    <fb>190.6</fb>
    <v>0</v>
  </rv>
  <rv s="0">
    <fb>191.57</fb>
    <v>0</v>
  </rv>
  <rv s="0">
    <fb>194.4</fb>
    <v>0</v>
  </rv>
  <rv s="0">
    <fb>193.88</fb>
    <v>0</v>
  </rv>
  <rv s="0">
    <fb>195.68</fb>
    <v>0</v>
  </rv>
  <rv s="0">
    <fb>196.64</fb>
    <v>0</v>
  </rv>
  <rv s="0">
    <fb>194.63</fb>
    <v>0</v>
  </rv>
  <rv s="0">
    <fb>192.64</fb>
    <v>0</v>
  </rv>
  <rv s="0">
    <fb>194.2</fb>
    <v>0</v>
  </rv>
  <rv s="0">
    <fb>190.68</fb>
    <v>0</v>
  </rv>
  <rv s="0">
    <fb>193.3</fb>
    <v>0</v>
  </rv>
  <rv s="0">
    <fb>194.83</fb>
    <v>0</v>
  </rv>
  <rv s="0">
    <fb>193.18</fb>
    <v>0</v>
  </rv>
  <rv s="0">
    <fb>194.7</fb>
    <v>0</v>
  </rv>
  <rv s="0">
    <fb>194.77</fb>
    <v>0</v>
  </rv>
  <rv s="0">
    <fb>199.27</fb>
    <v>0</v>
  </rv>
  <rv s="0">
    <fb>202.17</fb>
    <v>0</v>
  </rv>
  <rv s="0">
    <fb>200.14</fb>
    <v>0</v>
  </rv>
  <rv s="0">
    <fb>201.27</fb>
    <v>0</v>
  </rv>
  <rv s="0">
    <fb>203.89</fb>
    <v>0</v>
  </rv>
  <rv s="0">
    <fb>202.32</fb>
    <v>0</v>
  </rv>
  <rv s="0">
    <fb>197.97</fb>
    <v>0</v>
  </rv>
  <rv s="0">
    <fb>199.57</fb>
    <v>0</v>
  </rv>
  <rv s="0">
    <fb>200.08</fb>
    <v>0</v>
  </rv>
  <rv s="0">
    <fb>200.94</fb>
    <v>0</v>
  </rv>
  <rv s="0">
    <fb>204.3</fb>
    <v>0</v>
  </rv>
  <rv s="0">
    <fb>202.45</fb>
    <v>0</v>
  </rv>
  <rv s="0">
    <fb>204.69</fb>
    <v>0</v>
  </rv>
  <rv s="0">
    <fb>201.81</fb>
    <v>0</v>
  </rv>
  <rv s="0">
    <fb>201</fb>
    <v>0</v>
  </rv>
  <rv s="0">
    <fb>197.12</fb>
    <v>0</v>
  </rv>
  <rv s="0">
    <fb>194.82</fb>
    <v>0</v>
  </rv>
  <rv s="0">
    <fb>193.21</fb>
    <v>0</v>
  </rv>
  <rv s="0">
    <fb>197.8</fb>
    <v>0</v>
  </rv>
  <rv s="0">
    <fb>196.35</fb>
    <v>0</v>
  </rv>
  <rv s="0">
    <fb>198.6</fb>
    <v>0</v>
  </rv>
  <rv s="0">
    <fb>199.77</fb>
    <v>0</v>
  </rv>
  <rv s="0">
    <fb>202.13</fb>
    <v>0</v>
  </rv>
  <rv s="0">
    <fb>205.85</fb>
    <v>0</v>
  </rv>
  <rv s="0">
    <fb>203.82</fb>
    <v>0</v>
  </rv>
  <rv s="0">
    <fb>203.71</fb>
    <v>0</v>
  </rv>
  <rv s="0">
    <fb>203.54</fb>
    <v>0</v>
  </rv>
  <rv s="0">
    <fb>203.5</fb>
    <v>0</v>
  </rv>
  <rv s="0">
    <fb>203.94</fb>
    <v>0</v>
  </rv>
  <rv s="0">
    <fb>208.15</fb>
    <v>0</v>
  </rv>
  <rv s="0">
    <fb>207.04</fb>
    <v>0</v>
  </rv>
  <rv s="0">
    <fb>207.76</fb>
    <v>0</v>
  </rv>
  <rv s="0">
    <fb>208.14</fb>
    <v>0</v>
  </rv>
  <rv s="0">
    <fb>208.36</fb>
    <v>0</v>
  </rv>
  <rv s="0">
    <fb>206.73</fb>
    <v>0</v>
  </rv>
  <rv s="0">
    <fb>205.49</fb>
    <v>0</v>
  </rv>
  <rv s="0">
    <fb>206.32</fb>
    <v>0</v>
  </rv>
  <rv s="0">
    <fb>208.16</fb>
    <v>0</v>
  </rv>
  <rv s="0">
    <fb>208.51</fb>
    <v>0</v>
  </rv>
  <rv s="0">
    <fb>210.15</fb>
    <v>0</v>
  </rv>
  <rv s="0">
    <fb>207.22</fb>
    <v>0</v>
  </rv>
  <rv s="0">
    <fb>206.01</fb>
    <v>0</v>
  </rv>
  <rv s="0">
    <fb>206.35</fb>
    <v>0</v>
  </rv>
  <rv s="0">
    <fb>206.59</fb>
    <v>0</v>
  </rv>
  <rv s="0">
    <fb>206.62</fb>
    <v>0</v>
  </rv>
  <rv s="0">
    <fb>206.69</fb>
    <v>0</v>
  </rv>
  <rv s="0">
    <fb>202.26</fb>
    <v>0</v>
  </rv>
  <rv s="0">
    <fb>200.26</fb>
    <v>0</v>
  </rv>
  <rv s="0">
    <fb>202.6</fb>
    <v>0</v>
  </rv>
  <rv s="0">
    <fb>203.16</fb>
    <v>0</v>
  </rv>
  <rv s="0">
    <fb>204.86</fb>
    <v>0</v>
  </rv>
  <rv s="0">
    <fb>203.28</fb>
    <v>0</v>
  </rv>
  <rv s="0">
    <fb>205.18</fb>
    <v>0</v>
  </rv>
  <rv s="0">
    <fb>205.29</fb>
    <v>0</v>
  </rv>
  <rv s="0">
    <fb>204.2</fb>
    <v>0</v>
  </rv>
  <rv s="0">
    <fb>205.97669999999999</fb>
    <v>0</v>
  </rv>
  <rv s="0">
    <fb>202.74</fb>
    <v>0</v>
  </rv>
  <rv s="0">
    <fb>199.04</fb>
    <v>0</v>
  </rv>
  <rv s="0">
    <fb>202.82</fb>
    <v>0</v>
  </rv>
  <rv s="0">
    <fb>204.83</fb>
    <v>0</v>
  </rv>
  <rv s="0">
    <fb>203.92</fb>
    <v>0</v>
  </rv>
  <rv s="0">
    <fb>202.64</fb>
    <v>0</v>
  </rv>
  <rv s="0">
    <fb>204.36</fb>
    <v>0</v>
  </rv>
  <rv s="0">
    <fb>202.61</fb>
    <v>0</v>
  </rv>
  <rv s="0">
    <fb>201.35</fb>
    <v>0</v>
  </rv>
  <rv s="0">
    <fb>203.46</fb>
    <v>0</v>
  </rv>
  <rv s="0">
    <fb>202.94</fb>
    <v>0</v>
  </rv>
  <rv s="0">
    <fb>202.36</fb>
    <v>0</v>
  </rv>
  <rv s="0">
    <fb>195.14</fb>
    <v>0</v>
  </rv>
  <rv s="0">
    <fb>192.26</fb>
    <v>0</v>
  </rv>
  <rv s="0">
    <fb>193.09</fb>
    <v>0</v>
  </rv>
  <rv s="0">
    <fb>192.4469</fb>
    <v>0</v>
  </rv>
  <rv s="0">
    <fb>196.73</fb>
    <v>0</v>
  </rv>
  <rv s="0">
    <fb>198.17</fb>
    <v>0</v>
  </rv>
  <rv s="0">
    <fb>199.72</fb>
    <v>0</v>
  </rv>
  <rv s="0">
    <fb>198.06</fb>
    <v>0</v>
  </rv>
  <rv s="0">
    <fb>192.7</fb>
    <v>0</v>
  </rv>
  <rv s="0">
    <fb>87.85</fb>
    <v>0</v>
  </rv>
  <rv s="0">
    <fb>89.41</fb>
    <v>0</v>
  </rv>
  <rv s="0">
    <fb>89.65</fb>
    <v>0</v>
  </rv>
  <rv s="0">
    <fb>88.75</fb>
    <v>0</v>
  </rv>
  <rv s="0">
    <fb>85.55</fb>
    <v>0</v>
  </rv>
  <rv s="0">
    <fb>86.6</fb>
    <v>0</v>
  </rv>
  <rv s="0">
    <fb>89.74</fb>
    <v>0</v>
  </rv>
  <rv s="0">
    <fb>90.43</fb>
    <v>0</v>
  </rv>
  <rv s="0">
    <fb>93.13</fb>
    <v>0</v>
  </rv>
  <rv s="0">
    <fb>92.74</fb>
    <v>0</v>
  </rv>
  <rv s="0">
    <fb>94.34</fb>
    <v>0</v>
  </rv>
  <rv s="0">
    <fb>93.25</fb>
    <v>0</v>
  </rv>
  <rv s="0">
    <fb>92.42</fb>
    <v>0</v>
  </rv>
  <rv s="0">
    <fb>90.46</fb>
    <v>0</v>
  </rv>
  <rv s="0">
    <fb>88.4</fb>
    <v>0</v>
  </rv>
  <rv s="0">
    <fb>90.27</fb>
    <v>0</v>
  </rv>
  <rv s="0">
    <fb>89.83</fb>
    <v>0</v>
  </rv>
  <rv s="0">
    <fb>90.58</fb>
    <v>0</v>
  </rv>
  <rv s="0">
    <fb>84.2</fb>
    <v>0</v>
  </rv>
  <rv s="0">
    <fb>89.16</fb>
    <v>0</v>
  </rv>
  <rv s="0">
    <fb>87.59</fb>
    <v>0</v>
  </rv>
  <rv s="0">
    <fb>87</fb>
    <v>0</v>
  </rv>
  <rv s="0">
    <fb>89.32</fb>
    <v>0</v>
  </rv>
  <rv s="0">
    <fb>90.76</fb>
    <v>0</v>
  </rv>
  <rv s="0">
    <fb>89.12</fb>
    <v>0</v>
  </rv>
  <rv s="0">
    <fb>89.94</fb>
    <v>0</v>
  </rv>
  <rv s="0">
    <fb>91.72</fb>
    <v>0</v>
  </rv>
  <rv s="0">
    <fb>91.73</fb>
    <v>0</v>
  </rv>
  <rv s="0">
    <fb>89.67</fb>
    <v>0</v>
  </rv>
  <rv s="0">
    <fb>90.44</fb>
    <v>0</v>
  </rv>
  <rv s="0">
    <fb>91.65</fb>
    <v>0</v>
  </rv>
  <rv s="0">
    <fb>91.44</fb>
    <v>0</v>
  </rv>
  <rv s="0">
    <fb>92.81</fb>
    <v>0</v>
  </rv>
  <rv s="0">
    <fb>92.25</fb>
    <v>0</v>
  </rv>
  <rv s="0">
    <fb>91.05</fb>
    <v>0</v>
  </rv>
  <rv s="0">
    <fb>92.09</fb>
    <v>0</v>
  </rv>
  <rv s="0">
    <fb>92.22</fb>
    <v>0</v>
  </rv>
  <rv s="0">
    <fb>89.2</fb>
    <v>0</v>
  </rv>
  <rv s="0">
    <fb>89.21</fb>
    <v>0</v>
  </rv>
  <rv s="0">
    <fb>97.33</fb>
    <v>0</v>
  </rv>
  <rv s="0">
    <fb>96.06</fb>
    <v>0</v>
  </rv>
  <rv s="0">
    <fb>90.74</fb>
    <v>0</v>
  </rv>
  <rv s="0">
    <fb>92.79</fb>
    <v>0</v>
  </rv>
  <rv s="0">
    <fb>93.41</fb>
    <v>0</v>
  </rv>
  <rv s="0">
    <fb>93.06</fb>
    <v>0</v>
  </rv>
  <rv s="0">
    <fb>92.29</fb>
    <v>0</v>
  </rv>
  <rv s="0">
    <fb>91.48</fb>
    <v>0</v>
  </rv>
  <rv s="0">
    <fb>91.46</fb>
    <v>0</v>
  </rv>
  <rv s="0">
    <fb>95.65</fb>
    <v>0</v>
  </rv>
  <rv s="0">
    <fb>96.04</fb>
    <v>0</v>
  </rv>
  <rv s="0">
    <fb>94.64</fb>
    <v>0</v>
  </rv>
  <rv s="0">
    <fb>95.94</fb>
    <v>0</v>
  </rv>
  <rv s="0">
    <fb>96.34</fb>
    <v>0</v>
  </rv>
  <rv s="0">
    <fb>96.61</fb>
    <v>0</v>
  </rv>
  <rv s="0">
    <fb>98.41</fb>
    <v>0</v>
  </rv>
  <rv s="0">
    <fb>96.05</fb>
    <v>0</v>
  </rv>
  <rv s="0">
    <fb>94.54</fb>
    <v>0</v>
  </rv>
  <rv s="0">
    <fb>96.12</fb>
    <v>0</v>
  </rv>
  <rv s="0">
    <fb>94.42</fb>
    <v>0</v>
  </rv>
  <rv s="0">
    <fb>95.72</fb>
    <v>0</v>
  </rv>
  <rv s="0">
    <fb>94.66</fb>
    <v>0</v>
  </rv>
  <rv s="0">
    <fb>94.74</fb>
    <v>0</v>
  </rv>
  <rv s="0">
    <fb>95.75</fb>
    <v>0</v>
  </rv>
  <rv s="0">
    <fb>96.22</fb>
    <v>0</v>
  </rv>
  <rv s="0">
    <fb>90.59</fb>
    <v>0</v>
  </rv>
  <rv s="0">
    <fb>92.33</fb>
    <v>0</v>
  </rv>
  <rv s="0">
    <fb>93.69</fb>
    <v>0</v>
  </rv>
  <rv s="0">
    <fb>94.15</fb>
    <v>0</v>
  </rv>
  <rv s="0">
    <fb>94.4</fb>
    <v>0</v>
  </rv>
  <rv s="0">
    <fb>94.57</fb>
    <v>0</v>
  </rv>
  <rv s="0">
    <fb>95.9</fb>
    <v>0</v>
  </rv>
  <rv s="0">
    <fb>95.87</fb>
    <v>0</v>
  </rv>
  <rv s="0">
    <fb>94.77</fb>
    <v>0</v>
  </rv>
  <rv s="0">
    <fb>95.71</fb>
    <v>0</v>
  </rv>
  <rv s="0">
    <fb>95.02</fb>
    <v>0</v>
  </rv>
  <rv s="0">
    <fb>95.64</fb>
    <v>0</v>
  </rv>
  <rv s="0">
    <fb>95.51</fb>
    <v>0</v>
  </rv>
  <rv s="0">
    <fb>97.76</fb>
    <v>0</v>
  </rv>
  <rv s="0">
    <fb>97.74</fb>
    <v>0</v>
  </rv>
  <rv s="0">
    <fb>96.31</fb>
    <v>0</v>
  </rv>
  <rv s="0">
    <fb>94.75</fb>
    <v>0</v>
  </rv>
  <rv s="0">
    <fb>95.95</fb>
    <v>0</v>
  </rv>
  <rv s="0">
    <fb>95.27</fb>
    <v>0</v>
  </rv>
  <rv s="0">
    <fb>94.8</fb>
    <v>0</v>
  </rv>
  <rv s="0">
    <fb>95.29</fb>
    <v>0</v>
  </rv>
  <rv s="0">
    <fb>96.41</fb>
    <v>0</v>
  </rv>
  <rv s="0">
    <fb>95.99</fb>
    <v>0</v>
  </rv>
  <rv s="0">
    <fb>95.97</fb>
    <v>0</v>
  </rv>
  <rv s="0">
    <fb>96.03</fb>
    <v>0</v>
  </rv>
  <rv s="0">
    <fb>96.71</fb>
    <v>0</v>
  </rv>
  <rv s="0">
    <fb>97.99</fb>
    <v>0</v>
  </rv>
  <rv s="0">
    <fb>96.16</fb>
    <v>0</v>
  </rv>
  <rv s="0">
    <fb>95.84</fb>
    <v>0</v>
  </rv>
  <rv s="0">
    <fb>96.56</fb>
    <v>0</v>
  </rv>
  <rv s="0">
    <fb>96.65</fb>
    <v>0</v>
  </rv>
  <rv s="0">
    <fb>97.04</fb>
    <v>0</v>
  </rv>
  <rv s="0">
    <fb>96</fb>
    <v>0</v>
  </rv>
  <rv s="0">
    <fb>95.73</fb>
    <v>0</v>
  </rv>
  <rv s="0">
    <fb>96.32</fb>
    <v>0</v>
  </rv>
  <rv s="0">
    <fb>96.95</fb>
    <v>0</v>
  </rv>
  <rv s="0">
    <fb>97.62</fb>
    <v>0</v>
  </rv>
  <rv s="0">
    <fb>98.5</fb>
    <v>0</v>
  </rv>
  <rv s="0">
    <fb>93.99</fb>
    <v>0</v>
  </rv>
  <rv s="0">
    <fb>94.56</fb>
    <v>0</v>
  </rv>
  <rv s="0">
    <fb>95.83</fb>
    <v>0</v>
  </rv>
  <rv s="0">
    <fb>24.6</fb>
    <v>0</v>
  </rv>
  <rv s="0">
    <fb>23.82</fb>
    <v>0</v>
  </rv>
  <rv s="0">
    <fb>23.9</fb>
    <v>0</v>
  </rv>
  <rv s="0">
    <fb>24.1</fb>
    <v>0</v>
  </rv>
  <rv s="0">
    <fb>24.17</fb>
    <v>0</v>
  </rv>
  <rv s="0">
    <fb>23.93</fb>
    <v>0</v>
  </rv>
  <rv s="0">
    <fb>23.97</fb>
    <v>0</v>
  </rv>
  <rv s="0">
    <fb>23.8</fb>
    <v>0</v>
  </rv>
  <rv s="0">
    <fb>23.75</fb>
    <v>0</v>
  </rv>
  <rv s="0">
    <fb>23.24</fb>
    <v>0</v>
  </rv>
  <rv s="0">
    <fb>23.42</fb>
    <v>0</v>
  </rv>
  <rv s="0">
    <fb>23.59</fb>
    <v>0</v>
  </rv>
  <rv s="0">
    <fb>23.68</fb>
    <v>0</v>
  </rv>
  <rv s="0">
    <fb>24.05</fb>
    <v>0</v>
  </rv>
  <rv s="0">
    <fb>24.07</fb>
    <v>0</v>
  </rv>
  <rv s="0">
    <fb>24.26</fb>
    <v>0</v>
  </rv>
  <rv s="0">
    <fb>24.37</fb>
    <v>0</v>
  </rv>
  <rv s="0">
    <fb>24.57</fb>
    <v>0</v>
  </rv>
  <rv s="0">
    <fb>24.35</fb>
    <v>0</v>
  </rv>
  <rv s="0">
    <fb>24.39</fb>
    <v>0</v>
  </rv>
  <rv s="0">
    <fb>24.18</fb>
    <v>0</v>
  </rv>
  <rv s="0">
    <fb>24.22</fb>
    <v>0</v>
  </rv>
  <rv s="0">
    <fb>24.63</fb>
    <v>0</v>
  </rv>
  <rv s="0">
    <fb>24.58</fb>
    <v>0</v>
  </rv>
  <rv s="0">
    <fb>24.49</fb>
    <v>0</v>
  </rv>
  <rv s="0">
    <fb>24.81</fb>
    <v>0</v>
  </rv>
  <rv s="0">
    <fb>24.78</fb>
    <v>0</v>
  </rv>
  <rv s="0">
    <fb>24.91</fb>
    <v>0</v>
  </rv>
  <rv s="0">
    <fb>24.73</fb>
    <v>0</v>
  </rv>
  <rv s="0">
    <fb>24.94</fb>
    <v>0</v>
  </rv>
  <rv s="0">
    <fb>24.86</fb>
    <v>0</v>
  </rv>
  <rv s="0">
    <fb>25.07</fb>
    <v>0</v>
  </rv>
  <rv s="0">
    <fb>24.88</fb>
    <v>0</v>
  </rv>
  <rv s="0">
    <fb>25.13</fb>
    <v>0</v>
  </rv>
  <rv s="0">
    <fb>24.52</fb>
    <v>0</v>
  </rv>
  <rv s="0">
    <fb>24.66</fb>
    <v>0</v>
  </rv>
  <rv s="0">
    <fb>24.23</fb>
    <v>0</v>
  </rv>
  <rv s="0">
    <fb>23.81</fb>
    <v>0</v>
  </rv>
  <rv s="0">
    <fb>24.2</fb>
    <v>0</v>
  </rv>
  <rv s="0">
    <fb>24.28</fb>
    <v>0</v>
  </rv>
  <rv s="0">
    <fb>24.29</fb>
    <v>0</v>
  </rv>
  <rv s="0">
    <fb>24.27</fb>
    <v>0</v>
  </rv>
  <rv s="0">
    <fb>24</fb>
    <v>0</v>
  </rv>
  <rv s="0">
    <fb>24.34</fb>
    <v>0</v>
  </rv>
  <rv s="0">
    <fb>24.16</fb>
    <v>0</v>
  </rv>
  <rv s="0">
    <fb>24.13</fb>
    <v>0</v>
  </rv>
  <rv s="0">
    <fb>24.45</fb>
    <v>0</v>
  </rv>
  <rv s="0">
    <fb>23.71</fb>
    <v>0</v>
  </rv>
  <rv s="0">
    <fb>22.62</fb>
    <v>0</v>
  </rv>
  <rv s="0">
    <fb>21.94</fb>
    <v>0</v>
  </rv>
  <rv s="0">
    <fb>21.59</fb>
    <v>0</v>
  </rv>
  <rv s="0">
    <fb>22.44</fb>
    <v>0</v>
  </rv>
  <rv s="0">
    <fb>23.22</fb>
    <v>0</v>
  </rv>
  <rv s="0">
    <fb>23.74</fb>
    <v>0</v>
  </rv>
  <rv s="0">
    <fb>23.88</fb>
    <v>0</v>
  </rv>
  <rv s="0">
    <fb>24.01</fb>
    <v>0</v>
  </rv>
  <rv s="0">
    <fb>24.44</fb>
    <v>0</v>
  </rv>
  <rv s="0">
    <fb>24.3</fb>
    <v>0</v>
  </rv>
  <rv s="0">
    <fb>24.59</fb>
    <v>0</v>
  </rv>
  <rv s="0">
    <fb>24.14</fb>
    <v>0</v>
  </rv>
  <rv s="0">
    <fb>24.19</fb>
    <v>0</v>
  </rv>
  <rv s="0">
    <fb>24.61</fb>
    <v>0</v>
  </rv>
  <rv s="0">
    <fb>24.85</fb>
    <v>0</v>
  </rv>
  <rv s="0">
    <fb>25.16</fb>
    <v>0</v>
  </rv>
  <rv s="0">
    <fb>24.92</fb>
    <v>0</v>
  </rv>
  <rv s="0">
    <fb>24.7</fb>
    <v>0</v>
  </rv>
  <rv s="0">
    <fb>25.01</fb>
    <v>0</v>
  </rv>
  <rv s="0">
    <fb>24.74</fb>
    <v>0</v>
  </rv>
  <rv s="0">
    <fb>24.68</fb>
    <v>0</v>
  </rv>
  <rv s="0">
    <fb>25.24</fb>
    <v>0</v>
  </rv>
  <rv s="0">
    <fb>24.84</fb>
    <v>0</v>
  </rv>
  <rv s="0">
    <fb>24.96</fb>
    <v>0</v>
  </rv>
  <rv s="0">
    <fb>25.27</fb>
    <v>0</v>
  </rv>
  <rv s="0">
    <fb>25.49</fb>
    <v>0</v>
  </rv>
  <rv s="0">
    <fb>25.46</fb>
    <v>0</v>
  </rv>
  <rv s="0">
    <fb>25.19</fb>
    <v>0</v>
  </rv>
  <rv s="0">
    <fb>25.35</fb>
    <v>0</v>
  </rv>
  <rv s="0">
    <fb>25.53</fb>
    <v>0</v>
  </rv>
  <rv s="0">
    <fb>25.91</fb>
    <v>0</v>
  </rv>
  <rv s="0">
    <fb>25.86</fb>
    <v>0</v>
  </rv>
  <rv s="0">
    <fb>25.52</fb>
    <v>0</v>
  </rv>
  <rv s="0">
    <fb>25.37</fb>
    <v>0</v>
  </rv>
  <rv s="0">
    <fb>25.25</fb>
    <v>0</v>
  </rv>
  <rv s="0">
    <fb>25.56</fb>
    <v>0</v>
  </rv>
  <rv s="0">
    <fb>25.64</fb>
    <v>0</v>
  </rv>
  <rv s="0">
    <fb>25.23</fb>
    <v>0</v>
  </rv>
  <rv s="0">
    <fb>25.2</fb>
    <v>0</v>
  </rv>
  <rv s="0">
    <fb>25.48</fb>
    <v>0</v>
  </rv>
  <rv s="0">
    <fb>25.7</fb>
    <v>0</v>
  </rv>
  <rv s="0">
    <fb>26.02</fb>
    <v>0</v>
  </rv>
  <rv s="0">
    <fb>25.47</fb>
    <v>0</v>
  </rv>
  <rv s="0">
    <fb>25.08</fb>
    <v>0</v>
  </rv>
  <rv s="0">
    <fb>30.76</fb>
    <v>0</v>
  </rv>
  <rv s="0">
    <fb>30.645</fb>
    <v>0</v>
  </rv>
  <rv s="0">
    <fb>29.68</fb>
    <v>0</v>
  </rv>
  <rv s="0">
    <fb>29.800999999999998</fb>
    <v>0</v>
  </rv>
  <rv s="0">
    <fb>29.87</fb>
    <v>0</v>
  </rv>
  <rv s="0">
    <fb>30.21</fb>
    <v>0</v>
  </rv>
  <rv s="0">
    <fb>30.22</fb>
    <v>0</v>
  </rv>
  <rv s="0">
    <fb>30.669</fb>
    <v>0</v>
  </rv>
  <rv s="0">
    <fb>30.06</fb>
    <v>0</v>
  </rv>
  <rv s="0">
    <fb>30.385000000000002</fb>
    <v>0</v>
  </rv>
  <rv s="0">
    <fb>29.785</fb>
    <v>0</v>
  </rv>
  <rv s="0">
    <fb>29.38</fb>
    <v>0</v>
  </rv>
  <rv s="0">
    <fb>29.457599999999999</fb>
    <v>0</v>
  </rv>
  <rv s="0">
    <fb>30.17</fb>
    <v>0</v>
  </rv>
  <rv s="0">
    <fb>30.660599999999999</fb>
    <v>0</v>
  </rv>
  <rv s="0">
    <fb>31.94</fb>
    <v>0</v>
  </rv>
  <rv s="0">
    <fb>31.518599999999999</fb>
    <v>0</v>
  </rv>
  <rv s="0">
    <fb>30.7</fb>
    <v>0</v>
  </rv>
  <rv s="0">
    <fb>30.295000000000002</fb>
    <v>0</v>
  </rv>
  <rv s="0">
    <fb>30.39</fb>
    <v>0</v>
  </rv>
  <rv s="0">
    <fb>30.64</fb>
    <v>0</v>
  </rv>
  <rv s="0">
    <fb>29.58</fb>
    <v>0</v>
  </rv>
  <rv s="0">
    <fb>29.52</fb>
    <v>0</v>
  </rv>
  <rv s="0">
    <fb>27.94</fb>
    <v>0</v>
  </rv>
  <rv s="0">
    <fb>27.16</fb>
    <v>0</v>
  </rv>
  <rv s="0">
    <fb>26.53</fb>
    <v>0</v>
  </rv>
  <rv s="0">
    <fb>28.18</fb>
    <v>0</v>
  </rv>
  <rv s="0">
    <fb>27.68</fb>
    <v>0</v>
  </rv>
  <rv s="0">
    <fb>28.6</fb>
    <v>0</v>
  </rv>
  <rv s="0">
    <fb>29.17</fb>
    <v>0</v>
  </rv>
  <rv s="0">
    <fb>29.06</fb>
    <v>0</v>
  </rv>
  <rv s="0">
    <fb>30.95</fb>
    <v>0</v>
  </rv>
  <rv s="0">
    <fb>31.74</fb>
    <v>0</v>
  </rv>
  <rv s="0">
    <fb>31.39</fb>
    <v>0</v>
  </rv>
  <rv s="0">
    <fb>31.175000000000001</fb>
    <v>0</v>
  </rv>
  <rv s="0">
    <fb>31.4633</fb>
    <v>0</v>
  </rv>
  <rv s="0">
    <fb>31.56</fb>
    <v>0</v>
  </rv>
  <rv s="0">
    <fb>31.520399999999999</fb>
    <v>0</v>
  </rv>
  <rv s="0">
    <fb>31.4679</fb>
    <v>0</v>
  </rv>
  <rv s="0">
    <fb>31.365600000000001</fb>
    <v>0</v>
  </rv>
  <rv s="0">
    <fb>31.812999999999999</fb>
    <v>0</v>
  </rv>
  <rv s="0">
    <fb>31.75</fb>
    <v>0</v>
  </rv>
  <rv s="0">
    <fb>31.62</fb>
    <v>0</v>
  </rv>
  <rv s="0">
    <fb>31.99</fb>
    <v>0</v>
  </rv>
  <rv s="0">
    <fb>32.04</fb>
    <v>0</v>
  </rv>
  <rv s="0">
    <fb>31.96</fb>
    <v>0</v>
  </rv>
  <rv s="0">
    <fb>31.55</fb>
    <v>0</v>
  </rv>
  <rv s="0">
    <fb>32.32</fb>
    <v>0</v>
  </rv>
  <rv s="0">
    <fb>32.316000000000003</fb>
    <v>0</v>
  </rv>
  <rv s="0">
    <fb>32.439900000000002</fb>
    <v>0</v>
  </rv>
  <rv s="0">
    <fb>32.588900000000002</fb>
    <v>0</v>
  </rv>
  <rv s="0">
    <fb>32.15</fb>
    <v>0</v>
  </rv>
  <rv s="0">
    <fb>32</fb>
    <v>0</v>
  </rv>
  <rv s="0">
    <fb>32.1</fb>
    <v>0</v>
  </rv>
  <rv s="0">
    <fb>31.88</fb>
    <v>0</v>
  </rv>
  <rv s="0">
    <fb>32.234999999999999</fb>
    <v>0</v>
  </rv>
  <rv s="0">
    <fb>32.31</fb>
    <v>0</v>
  </rv>
  <rv s="0">
    <fb>32.673000000000002</fb>
    <v>0</v>
  </rv>
  <rv s="0">
    <fb>32.93</fb>
    <v>0</v>
  </rv>
  <rv s="0">
    <fb>33.073099999999997</fb>
    <v>0</v>
  </rv>
  <rv s="0">
    <fb>33.6188</fb>
    <v>0</v>
  </rv>
  <rv s="0">
    <fb>32.450000000000003</fb>
    <v>0</v>
  </rv>
  <rv s="0">
    <fb>32.003</fb>
    <v>0</v>
  </rv>
  <rv s="0">
    <fb>31.4983</fb>
    <v>0</v>
  </rv>
  <rv s="0">
    <fb>31.67</fb>
    <v>0</v>
  </rv>
  <rv s="0">
    <fb>31.414000000000001</fb>
    <v>0</v>
  </rv>
  <rv s="0">
    <fb>31.040700000000001</fb>
    <v>0</v>
  </rv>
  <rv s="0">
    <fb>31.635000000000002</fb>
    <v>0</v>
  </rv>
  <rv s="0">
    <fb>30.675000000000001</fb>
    <v>0</v>
  </rv>
  <rv s="0">
    <fb>30.395</fb>
    <v>0</v>
  </rv>
  <rv s="0">
    <fb>31.590499999999999</fb>
    <v>0</v>
  </rv>
  <rv s="0">
    <fb>31.72</fb>
    <v>0</v>
  </rv>
  <rv s="0">
    <fb>31.605</fb>
    <v>0</v>
  </rv>
  <rv s="0">
    <fb>31.814900000000002</fb>
    <v>0</v>
  </rv>
  <rv s="0">
    <fb>31.989000000000001</fb>
    <v>0</v>
  </rv>
  <rv s="0">
    <fb>31.87</fb>
    <v>0</v>
  </rv>
  <rv s="0">
    <fb>31.69</fb>
    <v>0</v>
  </rv>
  <rv s="0">
    <fb>31.567699999999999</fb>
    <v>0</v>
  </rv>
  <rv s="0">
    <fb>31.7</fb>
    <v>0</v>
  </rv>
  <rv s="0">
    <fb>31.63</fb>
    <v>0</v>
  </rv>
  <rv s="0">
    <fb>31.68</fb>
    <v>0</v>
  </rv>
  <rv s="0">
    <fb>31.8459</fb>
    <v>0</v>
  </rv>
  <rv s="0">
    <fb>31.585000000000001</fb>
    <v>0</v>
  </rv>
  <rv s="0">
    <fb>31.561</fb>
    <v>0</v>
  </rv>
  <rv s="0">
    <fb>31.0626</fb>
    <v>0</v>
  </rv>
  <rv s="0">
    <fb>31.7197</fb>
    <v>0</v>
  </rv>
  <rv s="0">
    <fb>31.5792</fb>
    <v>0</v>
  </rv>
  <rv s="0">
    <fb>31.730799999999999</fb>
    <v>0</v>
  </rv>
  <rv s="0">
    <fb>31.5078</fb>
    <v>0</v>
  </rv>
  <rv s="0">
    <fb>32.125</fb>
    <v>0</v>
  </rv>
  <rv s="0">
    <fb>31.497599999999998</fb>
    <v>0</v>
  </rv>
  <rv s="0">
    <fb>31.036300000000001</fb>
    <v>0</v>
  </rv>
  <rv s="0">
    <fb>31.1037</fb>
    <v>0</v>
  </rv>
  <rv s="0">
    <fb>31.1751</fb>
    <v>0</v>
  </rv>
  <rv s="0">
    <fb>30.985499999999998</fb>
    <v>0</v>
  </rv>
  <rv s="0">
    <fb>30.825500000000002</fb>
    <v>0</v>
  </rv>
  <rv s="0">
    <fb>30.609000000000002</fb>
    <v>0</v>
  </rv>
  <rv s="0">
    <fb>30.064299999999999</fb>
    <v>0</v>
  </rv>
  <rv s="0">
    <fb>29.25</fb>
    <v>0</v>
  </rv>
  <rv s="0">
    <fb>28.94</fb>
    <v>0</v>
  </rv>
  <rv s="0">
    <fb>47.720799999999997</fb>
    <v>0</v>
  </rv>
  <rv s="0">
    <fb>45.827500000000001</fb>
    <v>0</v>
  </rv>
  <rv s="0">
    <fb>44.977200000000003</fb>
    <v>0</v>
  </rv>
  <rv s="0">
    <fb>45.68</fb>
    <v>0</v>
  </rv>
  <rv s="0">
    <fb>45.544199999999996</fb>
    <v>0</v>
  </rv>
  <rv s="0">
    <fb>45.9373</fb>
    <v>0</v>
  </rv>
  <rv s="0">
    <fb>45.936599999999999</fb>
    <v>0</v>
  </rv>
  <rv s="0">
    <fb>45.344000000000001</fb>
    <v>0</v>
  </rv>
  <rv s="0">
    <fb>45.105699999999999</fb>
    <v>0</v>
  </rv>
  <rv s="0">
    <fb>45.3063</fb>
    <v>0</v>
  </rv>
  <rv s="0">
    <fb>44.931100000000001</fb>
    <v>0</v>
  </rv>
  <rv s="0">
    <fb>45.4651</fb>
    <v>0</v>
  </rv>
  <rv s="0">
    <fb>44.849499999999999</fb>
    <v>0</v>
  </rv>
  <rv s="0">
    <fb>44.324599999999997</fb>
    <v>0</v>
  </rv>
  <rv s="0">
    <fb>44.595399999999998</fb>
    <v>0</v>
  </rv>
  <rv s="0">
    <fb>43.758499999999998</fb>
    <v>0</v>
  </rv>
  <rv s="0">
    <fb>45.256599999999999</fb>
    <v>0</v>
  </rv>
  <rv s="0">
    <fb>46.084800000000001</fb>
    <v>0</v>
  </rv>
  <rv s="0">
    <fb>46.562199999999997</fb>
    <v>0</v>
  </rv>
  <rv s="0">
    <fb>46.722499999999997</fb>
    <v>0</v>
  </rv>
  <rv s="0">
    <fb>47.097000000000001</fb>
    <v>0</v>
  </rv>
  <rv s="0">
    <fb>46.591799999999999</fb>
    <v>0</v>
  </rv>
  <rv s="0">
    <fb>46.594900000000003</fb>
    <v>0</v>
  </rv>
  <rv s="0">
    <fb>46.61</fb>
    <v>0</v>
  </rv>
  <rv s="0">
    <fb>47.579900000000002</fb>
    <v>0</v>
  </rv>
  <rv s="0">
    <fb>46.567399999999999</fb>
    <v>0</v>
  </rv>
  <rv s="0">
    <fb>47.261800000000001</fb>
    <v>0</v>
  </rv>
  <rv s="0">
    <fb>46.083399999999997</fb>
    <v>0</v>
  </rv>
  <rv s="0">
    <fb>46.353499999999997</fb>
    <v>0</v>
  </rv>
  <rv s="0">
    <fb>47.005600000000001</fb>
    <v>0</v>
  </rv>
  <rv s="0">
    <fb>46.231699999999996</fb>
    <v>0</v>
  </rv>
  <rv s="0">
    <fb>46.361800000000002</fb>
    <v>0</v>
  </rv>
  <rv s="0">
    <fb>45.9178</fb>
    <v>0</v>
  </rv>
  <rv s="0">
    <fb>46.318800000000003</fb>
    <v>0</v>
  </rv>
  <rv s="0">
    <fb>46.776899999999998</fb>
    <v>0</v>
  </rv>
  <rv s="0">
    <fb>46.595300000000002</fb>
    <v>0</v>
  </rv>
  <rv s="0">
    <fb>46.235300000000002</fb>
    <v>0</v>
  </rv>
  <rv s="0">
    <fb>46.2714</fb>
    <v>0</v>
  </rv>
  <rv s="0">
    <fb>45.428800000000003</fb>
    <v>0</v>
  </rv>
  <rv s="0">
    <fb>45.542999999999999</fb>
    <v>0</v>
  </rv>
  <rv s="0">
    <fb>46.4895</fb>
    <v>0</v>
  </rv>
  <rv s="0">
    <fb>46.123899999999999</fb>
    <v>0</v>
  </rv>
  <rv s="0">
    <fb>45.905099999999997</fb>
    <v>0</v>
  </rv>
  <rv s="0">
    <fb>45.834400000000002</fb>
    <v>0</v>
  </rv>
  <rv s="0">
    <fb>45.262599999999999</fb>
    <v>0</v>
  </rv>
  <rv s="0">
    <fb>45.770299999999999</fb>
    <v>0</v>
  </rv>
  <rv s="0">
    <fb>45.537700000000001</fb>
    <v>0</v>
  </rv>
  <rv s="0">
    <fb>45.705199999999998</fb>
    <v>0</v>
  </rv>
  <rv s="0">
    <fb>45.402299999999997</fb>
    <v>0</v>
  </rv>
  <rv s="0">
    <fb>44.69</fb>
    <v>0</v>
  </rv>
  <rv s="0">
    <fb>44.32</fb>
    <v>0</v>
  </rv>
  <rv s="0">
    <fb>43.595700000000001</fb>
    <v>0</v>
  </rv>
  <rv s="0">
    <fb>44.405299999999997</fb>
    <v>0</v>
  </rv>
  <rv s="0">
    <fb>44.988399999999999</fb>
    <v>0</v>
  </rv>
  <rv s="0">
    <fb>44.622500000000002</fb>
    <v>0</v>
  </rv>
  <rv s="0">
    <fb>44.880200000000002</fb>
    <v>0</v>
  </rv>
  <rv s="0">
    <fb>45.001100000000001</fb>
    <v>0</v>
  </rv>
  <rv s="0">
    <fb>44.446800000000003</fb>
    <v>0</v>
  </rv>
  <rv s="0">
    <fb>45.433500000000002</fb>
    <v>0</v>
  </rv>
  <rv s="0">
    <fb>45.123800000000003</fb>
    <v>0</v>
  </rv>
  <rv s="0">
    <fb>45.140999999999998</fb>
    <v>0</v>
  </rv>
  <rv s="0">
    <fb>44.448099999999997</fb>
    <v>0</v>
  </rv>
  <rv s="0">
    <fb>44.706299999999999</fb>
    <v>0</v>
  </rv>
  <rv s="0">
    <fb>44.831899999999997</fb>
    <v>0</v>
  </rv>
  <rv s="0">
    <fb>45.363300000000002</fb>
    <v>0</v>
  </rv>
  <rv s="0">
    <fb>43.263399999999997</fb>
    <v>0</v>
  </rv>
  <rv s="0">
    <fb>42.005000000000003</fb>
    <v>0</v>
  </rv>
  <rv s="0">
    <fb>40.790799999999997</fb>
    <v>0</v>
  </rv>
  <rv s="0">
    <fb>39.481299999999997</fb>
    <v>0</v>
  </rv>
  <rv s="0">
    <fb>42.043399999999998</fb>
    <v>0</v>
  </rv>
  <rv s="0">
    <fb>40.700000000000003</fb>
    <v>0</v>
  </rv>
  <rv s="0">
    <fb>40.960299999999997</fb>
    <v>0</v>
  </rv>
  <rv s="0">
    <fb>41.654200000000003</fb>
    <v>0</v>
  </rv>
  <rv s="0">
    <fb>41.418799999999997</fb>
    <v>0</v>
  </rv>
  <rv s="0">
    <fb>40.886099999999999</fb>
    <v>0</v>
  </rv>
  <rv s="0">
    <fb>41.488500000000002</fb>
    <v>0</v>
  </rv>
  <rv s="0">
    <fb>40.622500000000002</fb>
    <v>0</v>
  </rv>
  <rv s="0">
    <fb>41.913800000000002</fb>
    <v>0</v>
  </rv>
  <rv s="0">
    <fb>41.996600000000001</fb>
    <v>0</v>
  </rv>
  <rv s="0">
    <fb>42.414499999999997</fb>
    <v>0</v>
  </rv>
  <rv s="0">
    <fb>42.22</fb>
    <v>0</v>
  </rv>
  <rv s="0">
    <fb>42.663200000000003</fb>
    <v>0</v>
  </rv>
  <rv s="0">
    <fb>42.929400000000001</fb>
    <v>0</v>
  </rv>
  <rv s="0">
    <fb>42.92</fb>
    <v>0</v>
  </rv>
  <rv s="0">
    <fb>43.834899999999998</fb>
    <v>0</v>
  </rv>
  <rv s="0">
    <fb>42.831099999999999</fb>
    <v>0</v>
  </rv>
  <rv s="0">
    <fb>43.116</fb>
    <v>0</v>
  </rv>
  <rv s="0">
    <fb>42.990099999999998</fb>
    <v>0</v>
  </rv>
  <rv s="0">
    <fb>43.918300000000002</fb>
    <v>0</v>
  </rv>
  <rv s="0">
    <fb>43.207999999999998</fb>
    <v>0</v>
  </rv>
  <rv s="0">
    <fb>43.763100000000001</fb>
    <v>0</v>
  </rv>
  <rv s="0">
    <fb>44.3264</fb>
    <v>0</v>
  </rv>
  <rv s="0">
    <fb>44.046399999999998</fb>
    <v>0</v>
  </rv>
  <rv s="0">
    <fb>43.6785</fb>
    <v>0</v>
  </rv>
  <rv s="0">
    <fb>42.279499999999999</fb>
    <v>0</v>
  </rv>
  <rv s="0">
    <fb>42.6693</fb>
    <v>0</v>
  </rv>
  <rv s="0">
    <fb>42.148099999999999</fb>
    <v>0</v>
  </rv>
  <rv s="0">
    <fb>42.447099999999999</fb>
    <v>0</v>
  </rv>
  <rv s="0">
    <fb>42.4405</fb>
    <v>0</v>
  </rv>
  <rv s="0">
    <fb>42.499400000000001</fb>
    <v>0</v>
  </rv>
  <rv s="0">
    <fb>42.691899999999997</fb>
    <v>0</v>
  </rv>
  <rv s="0">
    <fb>42.720999999999997</fb>
    <v>0</v>
  </rv>
  <rv s="0">
    <fb>43.080500000000001</fb>
    <v>0</v>
  </rv>
  <rv s="0">
    <fb>43.760100000000001</fb>
    <v>0</v>
  </rv>
  <rv s="0">
    <fb>43.288400000000003</fb>
    <v>0</v>
  </rv>
  <rv s="0">
    <fb>43.478999999999999</fb>
    <v>0</v>
  </rv>
  <rv s="0">
    <fb>41.983699999999999</fb>
    <v>0</v>
  </rv>
  <rv s="0">
    <fb>42.131399999999999</fb>
    <v>0</v>
  </rv>
  <rv s="0">
    <fb>42.497100000000003</fb>
    <v>0</v>
  </rv>
  <rv s="0">
    <fb>43.3108</fb>
    <v>0</v>
  </rv>
  <rv s="0">
    <fb>43.24</fb>
    <v>0</v>
  </rv>
  <rv s="0">
    <fb>44.469099999999997</fb>
    <v>0</v>
  </rv>
  <rv s="0">
    <fb>44.771000000000001</fb>
    <v>0</v>
  </rv>
  <rv s="0">
    <fb>44.129199999999997</fb>
    <v>0</v>
  </rv>
  <rv s="0">
    <fb>44.321800000000003</fb>
    <v>0</v>
  </rv>
  <rv s="0">
    <fb>45.3765</fb>
    <v>0</v>
  </rv>
  <rv s="0">
    <fb>45.020400000000002</fb>
    <v>0</v>
  </rv>
  <rv s="0">
    <fb>44.902000000000001</fb>
    <v>0</v>
  </rv>
  <rv s="0">
    <fb>43.625100000000003</fb>
    <v>0</v>
  </rv>
  <rv s="0">
    <fb>44.288899999999998</fb>
    <v>0</v>
  </rv>
  <rv s="0">
    <fb>44.23</fb>
    <v>0</v>
  </rv>
  <rv s="0">
    <fb>45.807600000000001</fb>
    <v>0</v>
  </rv>
  <rv s="0">
    <fb>45.983800000000002</fb>
    <v>0</v>
  </rv>
  <rv s="0">
    <fb>45.258800000000001</fb>
    <v>0</v>
  </rv>
  <rv s="0">
    <fb>45.446199999999997</fb>
    <v>0</v>
  </rv>
  <rv s="0">
    <fb>45.185299999999998</fb>
    <v>0</v>
  </rv>
  <rv s="0">
    <fb>45.350499999999997</fb>
    <v>0</v>
  </rv>
  <rv s="0">
    <fb>44.426200000000001</fb>
    <v>0</v>
  </rv>
  <rv s="0">
    <fb>43.854799999999997</fb>
    <v>0</v>
  </rv>
  <rv s="0">
    <fb>44.184699999999999</fb>
    <v>0</v>
  </rv>
  <rv s="0">
    <fb>44.9313</fb>
    <v>0</v>
  </rv>
  <rv s="0">
    <fb>45.388599999999997</fb>
    <v>0</v>
  </rv>
  <rv s="0">
    <fb>45.455800000000004</fb>
    <v>0</v>
  </rv>
  <rv s="0">
    <fb>45.425400000000003</fb>
    <v>0</v>
  </rv>
  <rv s="0">
    <fb>45.195799999999998</fb>
    <v>0</v>
  </rv>
  <rv s="0">
    <fb>46.252600000000001</fb>
    <v>0</v>
  </rv>
  <rv s="0">
    <fb>47.743400000000001</fb>
    <v>0</v>
  </rv>
  <rv s="0">
    <fb>47.163699999999999</fb>
    <v>0</v>
  </rv>
  <rv s="0">
    <fb>47.0764</fb>
    <v>0</v>
  </rv>
  <rv s="0">
    <fb>46.776200000000003</fb>
    <v>0</v>
  </rv>
  <rv s="0">
    <fb>46.843400000000003</fb>
    <v>0</v>
  </rv>
  <rv s="0">
    <fb>46.5319</fb>
    <v>0</v>
  </rv>
  <rv s="0">
    <fb>48.423699999999997</fb>
    <v>0</v>
  </rv>
  <rv s="0">
    <fb>47.9221</fb>
    <v>0</v>
  </rv>
  <rv s="0">
    <fb>47.793599999999998</fb>
    <v>0</v>
  </rv>
  <rv s="0">
    <fb>47.9373</fb>
    <v>0</v>
  </rv>
  <rv s="0">
    <fb>47.762300000000003</fb>
    <v>0</v>
  </rv>
  <rv s="0">
    <fb>47.835000000000001</fb>
    <v>0</v>
  </rv>
  <rv s="0">
    <fb>47.188899999999997</fb>
    <v>0</v>
  </rv>
  <rv s="0">
    <fb>47.495399999999997</fb>
    <v>0</v>
  </rv>
  <rv s="0">
    <fb>48.606900000000003</fb>
    <v>0</v>
  </rv>
  <rv s="0">
    <fb>49.445799999999998</fb>
    <v>0</v>
  </rv>
  <rv s="0">
    <fb>49.398200000000003</fb>
    <v>0</v>
  </rv>
  <rv s="0">
    <fb>48.561</fb>
    <v>0</v>
  </rv>
  <rv s="0">
    <fb>48.310600000000001</fb>
    <v>0</v>
  </rv>
  <rv s="0">
    <fb>49.334899999999998</fb>
    <v>0</v>
  </rv>
  <rv s="0">
    <fb>48.334600000000002</fb>
    <v>0</v>
  </rv>
  <rv s="0">
    <fb>47.993299999999998</fb>
    <v>0</v>
  </rv>
  <rv s="0">
    <fb>48.073099999999997</fb>
    <v>0</v>
  </rv>
  <rv s="0">
    <fb>47.495800000000003</fb>
    <v>0</v>
  </rv>
  <rv s="0">
    <fb>47.186100000000003</fb>
    <v>0</v>
  </rv>
  <rv s="0">
    <fb>47.2074</fb>
    <v>0</v>
  </rv>
  <rv s="0">
    <fb>47.037700000000001</fb>
    <v>0</v>
  </rv>
  <rv s="0">
    <fb>46.610700000000001</fb>
    <v>0</v>
  </rv>
  <rv s="0">
    <fb>47.120899999999999</fb>
    <v>0</v>
  </rv>
  <rv s="0">
    <fb>47.142000000000003</fb>
    <v>0</v>
  </rv>
  <rv s="0">
    <fb>47.044499999999999</fb>
    <v>0</v>
  </rv>
  <rv s="0">
    <fb>47.161000000000001</fb>
    <v>0</v>
  </rv>
  <rv s="0">
    <fb>47.077399999999997</fb>
    <v>0</v>
  </rv>
  <rv s="0">
    <fb>47.353000000000002</fb>
    <v>0</v>
  </rv>
  <rv s="0">
    <fb>46.494500000000002</fb>
    <v>0</v>
  </rv>
  <rv s="0">
    <fb>45.752699999999997</fb>
    <v>0</v>
  </rv>
  <rv s="0">
    <fb>45.8123</fb>
    <v>0</v>
  </rv>
  <rv s="0">
    <fb>45.054900000000004</fb>
    <v>0</v>
  </rv>
  <rv s="0">
    <fb>44.424599999999998</fb>
    <v>0</v>
  </rv>
  <rv s="0">
    <fb>44.652900000000002</fb>
    <v>0</v>
  </rv>
  <rv s="0">
    <fb>45.674300000000002</fb>
    <v>0</v>
  </rv>
  <rv s="0">
    <fb>45.636800000000001</fb>
    <v>0</v>
  </rv>
  <rv s="0">
    <fb>45.387999999999998</fb>
    <v>0</v>
  </rv>
  <rv s="0">
    <fb>45.575800000000001</fb>
    <v>0</v>
  </rv>
  <rv s="0">
    <fb>45.922600000000003</fb>
    <v>0</v>
  </rv>
  <rv s="0">
    <fb>46.232500000000002</fb>
    <v>0</v>
  </rv>
  <rv s="0">
    <fb>45.961599999999997</fb>
    <v>0</v>
  </rv>
  <rv s="0">
    <fb>46.035600000000002</fb>
    <v>0</v>
  </rv>
  <rv s="0">
    <fb>46.120800000000003</fb>
    <v>0</v>
  </rv>
  <rv s="0">
    <fb>46.159700000000001</fb>
    <v>0</v>
  </rv>
  <rv s="0">
    <fb>46.064599999999999</fb>
    <v>0</v>
  </rv>
  <rv s="0">
    <fb>44.816200000000002</fb>
    <v>0</v>
  </rv>
  <rv s="0">
    <fb>44.792299999999997</fb>
    <v>0</v>
  </rv>
  <rv s="0">
    <fb>44.394500000000001</fb>
    <v>0</v>
  </rv>
  <rv s="0">
    <fb>44.678100000000001</fb>
    <v>0</v>
  </rv>
  <rv s="0">
    <fb>44.638800000000003</fb>
    <v>0</v>
  </rv>
  <rv s="0">
    <fb>44.184600000000003</fb>
    <v>0</v>
  </rv>
  <rv s="0">
    <fb>44.733400000000003</fb>
    <v>0</v>
  </rv>
  <rv s="0">
    <fb>44.836599999999997</fb>
    <v>0</v>
  </rv>
  <rv s="0">
    <fb>45.396599999999999</fb>
    <v>0</v>
  </rv>
  <rv s="0">
    <fb>45.304400000000001</fb>
    <v>0</v>
  </rv>
  <rv s="0">
    <fb>44.735300000000002</fb>
    <v>0</v>
  </rv>
  <rv s="0">
    <fb>44.599600000000002</fb>
    <v>0</v>
  </rv>
  <rv s="0">
    <fb>43.701099999999997</fb>
    <v>0</v>
  </rv>
  <rv s="0">
    <fb>21.75</fb>
    <v>0</v>
  </rv>
  <rv s="0">
    <fb>20.55</fb>
    <v>0</v>
  </rv>
  <rv s="0">
    <fb>20.94</fb>
    <v>0</v>
  </rv>
  <rv s="0">
    <fb>21.12</fb>
    <v>0</v>
  </rv>
  <rv s="0">
    <fb>20.79</fb>
    <v>0</v>
  </rv>
  <rv s="0">
    <fb>20.47</fb>
    <v>0</v>
  </rv>
  <rv s="0">
    <fb>21.13</fb>
    <v>0</v>
  </rv>
  <rv s="0">
    <fb>21.48</fb>
    <v>0</v>
  </rv>
  <rv s="0">
    <fb>21.24</fb>
    <v>0</v>
  </rv>
  <rv s="0">
    <fb>21.33</fb>
    <v>0</v>
  </rv>
  <rv s="0">
    <fb>21.6</fb>
    <v>0</v>
  </rv>
  <rv s="0">
    <fb>21.03</fb>
    <v>0</v>
  </rv>
  <rv s="0">
    <fb>21.55</fb>
    <v>0</v>
  </rv>
  <rv s="0">
    <fb>21.49</fb>
    <v>0</v>
  </rv>
  <rv s="0">
    <fb>21.62</fb>
    <v>0</v>
  </rv>
  <rv s="0">
    <fb>21.63</fb>
    <v>0</v>
  </rv>
  <rv s="0">
    <fb>21.72</fb>
    <v>0</v>
  </rv>
  <rv s="0">
    <fb>21.58</fb>
    <v>0</v>
  </rv>
  <rv s="0">
    <fb>21.93</fb>
    <v>0</v>
  </rv>
  <rv s="0">
    <fb>21.81</fb>
    <v>0</v>
  </rv>
  <rv s="0">
    <fb>21.67</fb>
    <v>0</v>
  </rv>
  <rv s="0">
    <fb>20.88</fb>
    <v>0</v>
  </rv>
  <rv s="0">
    <fb>21.27</fb>
    <v>0</v>
  </rv>
  <rv s="0">
    <fb>21.51</fb>
    <v>0</v>
  </rv>
  <rv s="0">
    <fb>20.010000000000002</fb>
    <v>0</v>
  </rv>
  <rv s="0">
    <fb>19.43</fb>
    <v>0</v>
  </rv>
  <rv s="0">
    <fb>18.940000000000001</fb>
    <v>0</v>
  </rv>
  <rv s="0">
    <fb>19.61</fb>
    <v>0</v>
  </rv>
  <rv s="0">
    <fb>20.28</fb>
    <v>0</v>
  </rv>
  <rv s="0">
    <fb>20.34</fb>
    <v>0</v>
  </rv>
  <rv s="0">
    <fb>20.37</fb>
    <v>0</v>
  </rv>
  <rv s="0">
    <fb>20.63</fb>
    <v>0</v>
  </rv>
  <rv s="0">
    <fb>20.62</fb>
    <v>0</v>
  </rv>
  <rv s="0">
    <fb>20.82</fb>
    <v>0</v>
  </rv>
  <rv s="0">
    <fb>21.08</fb>
    <v>0</v>
  </rv>
  <rv s="0">
    <fb>20.81</fb>
    <v>0</v>
  </rv>
  <rv s="0">
    <fb>20.72</fb>
    <v>0</v>
  </rv>
  <rv s="0">
    <fb>20.73</fb>
    <v>0</v>
  </rv>
  <rv s="0">
    <fb>21.29</fb>
    <v>0</v>
  </rv>
  <rv s="0">
    <fb>21.38</fb>
    <v>0</v>
  </rv>
  <rv s="0">
    <fb>21.35</fb>
    <v>0</v>
  </rv>
  <rv s="0">
    <fb>21.77</fb>
    <v>0</v>
  </rv>
  <rv s="0">
    <fb>21.66</fb>
    <v>0</v>
  </rv>
  <rv s="0">
    <fb>20.83</fb>
    <v>0</v>
  </rv>
  <rv s="0">
    <fb>21.47</fb>
    <v>0</v>
  </rv>
  <rv s="0">
    <fb>21.78</fb>
    <v>0</v>
  </rv>
  <rv s="0">
    <fb>21.42</fb>
    <v>0</v>
  </rv>
  <rv s="0">
    <fb>21.73</fb>
    <v>0</v>
  </rv>
  <rv s="0">
    <fb>21.86</fb>
    <v>0</v>
  </rv>
  <rv s="0">
    <fb>21.05</fb>
    <v>0</v>
  </rv>
  <rv s="0">
    <fb>21.2</fb>
    <v>0</v>
  </rv>
  <rv s="0">
    <fb>24.812100000000001</fb>
    <v>0</v>
  </rv>
  <rv s="0">
    <fb>24.684899999999999</fb>
    <v>0</v>
  </rv>
  <rv s="0">
    <fb>23.7195</fb>
    <v>0</v>
  </rv>
  <rv s="0">
    <fb>23.414000000000001</fb>
    <v>0</v>
  </rv>
  <rv s="0">
    <fb>23.488199999999999</fb>
    <v>0</v>
  </rv>
  <rv s="0">
    <fb>23.478100000000001</fb>
    <v>0</v>
  </rv>
  <rv s="0">
    <fb>23.6295</fb>
    <v>0</v>
  </rv>
  <rv s="0">
    <fb>23.6816</fb>
    <v>0</v>
  </rv>
  <rv s="0">
    <fb>23.4145</fb>
    <v>0</v>
  </rv>
  <rv s="0">
    <fb>23.525400000000001</fb>
    <v>0</v>
  </rv>
  <rv s="0">
    <fb>23.337900000000001</fb>
    <v>0</v>
  </rv>
  <rv s="0">
    <fb>23.62</fb>
    <v>0</v>
  </rv>
  <rv s="0">
    <fb>23.377500000000001</fb>
    <v>0</v>
  </rv>
  <rv s="0">
    <fb>23.16</fb>
    <v>0</v>
  </rv>
  <rv s="0">
    <fb>23.258800000000001</fb>
    <v>0</v>
  </rv>
  <rv s="0">
    <fb>23.729299999999999</fb>
    <v>0</v>
  </rv>
  <rv s="0">
    <fb>23.729900000000001</fb>
    <v>0</v>
  </rv>
  <rv s="0">
    <fb>24.0961</fb>
    <v>0</v>
  </rv>
  <rv s="0">
    <fb>23.84</fb>
    <v>0</v>
  </rv>
  <rv s="0">
    <fb>23.64</fb>
    <v>0</v>
  </rv>
  <rv s="0">
    <fb>23.65</fb>
    <v>0</v>
  </rv>
  <rv s="0">
    <fb>23.645199999999999</fb>
    <v>0</v>
  </rv>
  <rv s="0">
    <fb>23.694700000000001</fb>
    <v>0</v>
  </rv>
  <rv s="0">
    <fb>23.871600000000001</fb>
    <v>0</v>
  </rv>
  <rv s="0">
    <fb>23.9617</fb>
    <v>0</v>
  </rv>
  <rv s="0">
    <fb>23.790400000000002</fb>
    <v>0</v>
  </rv>
  <rv s="0">
    <fb>23.690999999999999</fb>
    <v>0</v>
  </rv>
  <rv s="0">
    <fb>23.857199999999999</fb>
    <v>0</v>
  </rv>
  <rv s="0">
    <fb>23.661999999999999</fb>
    <v>0</v>
  </rv>
  <rv s="0">
    <fb>24.131</fb>
    <v>0</v>
  </rv>
  <rv s="0">
    <fb>23.8992</fb>
    <v>0</v>
  </rv>
  <rv s="0">
    <fb>24.038</fb>
    <v>0</v>
  </rv>
  <rv s="0">
    <fb>24.073799999999999</fb>
    <v>0</v>
  </rv>
  <rv s="0">
    <fb>24.2288</fb>
    <v>0</v>
  </rv>
  <rv s="0">
    <fb>24.296900000000001</fb>
    <v>0</v>
  </rv>
  <rv s="0">
    <fb>24.529900000000001</fb>
    <v>0</v>
  </rv>
  <rv s="0">
    <fb>24.865200000000002</fb>
    <v>0</v>
  </rv>
  <rv s="0">
    <fb>24.729600000000001</fb>
    <v>0</v>
  </rv>
  <rv s="0">
    <fb>24.859300000000001</fb>
    <v>0</v>
  </rv>
  <rv s="0">
    <fb>25.105</fb>
    <v>0</v>
  </rv>
  <rv s="0">
    <fb>25.45</fb>
    <v>0</v>
  </rv>
  <rv s="0">
    <fb>25.3794</fb>
    <v>0</v>
  </rv>
  <rv s="0">
    <fb>25.32</fb>
    <v>0</v>
  </rv>
  <rv s="0">
    <fb>24.9986</fb>
    <v>0</v>
  </rv>
  <rv s="0">
    <fb>24.485800000000001</fb>
    <v>0</v>
  </rv>
  <rv s="0">
    <fb>25.054099999999998</fb>
    <v>0</v>
  </rv>
  <rv s="0">
    <fb>24.962700000000002</fb>
    <v>0</v>
  </rv>
  <rv s="0">
    <fb>24.8338</fb>
    <v>0</v>
  </rv>
  <rv s="0">
    <fb>24.8124</fb>
    <v>0</v>
  </rv>
  <rv s="0">
    <fb>24.487100000000002</fb>
    <v>0</v>
  </rv>
  <rv s="0">
    <fb>24.7669</fb>
    <v>0</v>
  </rv>
  <rv s="0">
    <fb>24.5808</fb>
    <v>0</v>
  </rv>
  <rv s="0">
    <fb>24.848400000000002</fb>
    <v>0</v>
  </rv>
  <rv s="0">
    <fb>24.733699999999999</fb>
    <v>0</v>
  </rv>
  <rv s="0">
    <fb>24.760300000000001</fb>
    <v>0</v>
  </rv>
  <rv s="0">
    <fb>25.043099999999999</fb>
    <v>0</v>
  </rv>
  <rv s="0">
    <fb>24.971399999999999</fb>
    <v>0</v>
  </rv>
  <rv s="0">
    <fb>24.9055</fb>
    <v>0</v>
  </rv>
  <rv s="0">
    <fb>24.401299999999999</fb>
    <v>0</v>
  </rv>
  <rv s="0">
    <fb>23.7225</fb>
    <v>0</v>
  </rv>
  <rv s="0">
    <fb>22.7</fb>
    <v>0</v>
  </rv>
  <rv s="0">
    <fb>22.033799999999999</fb>
    <v>0</v>
  </rv>
  <rv s="0">
    <fb>23.0731</fb>
    <v>0</v>
  </rv>
  <rv s="0">
    <fb>22.6036</fb>
    <v>0</v>
  </rv>
  <rv s="0">
    <fb>22.982299999999999</fb>
    <v>0</v>
  </rv>
  <rv s="0">
    <fb>23.543800000000001</fb>
    <v>0</v>
  </rv>
  <rv s="0">
    <fb>23.7973</fb>
    <v>0</v>
  </rv>
  <rv s="0">
    <fb>23.9773</fb>
    <v>0</v>
  </rv>
  <rv s="0">
    <fb>24.25</fb>
    <v>0</v>
  </rv>
  <rv s="0">
    <fb>23.985800000000001</fb>
    <v>0</v>
  </rv>
  <rv s="0">
    <fb>24.282</fb>
    <v>0</v>
  </rv>
  <rv s="0">
    <fb>24.094200000000001</fb>
    <v>0</v>
  </rv>
  <rv s="0">
    <fb>23.89</fb>
    <v>0</v>
  </rv>
  <rv s="0">
    <fb>23.756699999999999</fb>
    <v>0</v>
  </rv>
  <rv s="0">
    <fb>23.916499999999999</fb>
    <v>0</v>
  </rv>
  <rv s="0">
    <fb>23.904399999999999</fb>
    <v>0</v>
  </rv>
  <rv s="0">
    <fb>24.036300000000001</fb>
    <v>0</v>
  </rv>
  <rv s="0">
    <fb>23.930399999999999</fb>
    <v>0</v>
  </rv>
  <rv s="0">
    <fb>24.011700000000001</fb>
    <v>0</v>
  </rv>
  <rv s="0">
    <fb>23.890999999999998</fb>
    <v>0</v>
  </rv>
  <rv s="0">
    <fb>23.845400000000001</fb>
    <v>0</v>
  </rv>
  <rv s="0">
    <fb>23.870200000000001</fb>
    <v>0</v>
  </rv>
  <rv s="0">
    <fb>23.845199999999998</fb>
    <v>0</v>
  </rv>
  <rv s="0">
    <fb>24.0458</fb>
    <v>0</v>
  </rv>
  <rv s="0">
    <fb>24.013999999999999</fb>
    <v>0</v>
  </rv>
  <rv s="0">
    <fb>23.94</fb>
    <v>0</v>
  </rv>
  <rv s="0">
    <fb>24.253699999999998</fb>
    <v>0</v>
  </rv>
  <rv s="0">
    <fb>24.2713</fb>
    <v>0</v>
  </rv>
  <rv s="0">
    <fb>23.712900000000001</fb>
    <v>0</v>
  </rv>
  <rv s="0">
    <fb>23.612500000000001</fb>
    <v>0</v>
  </rv>
  <rv s="0">
    <fb>23.715800000000002</fb>
    <v>0</v>
  </rv>
  <rv s="0">
    <fb>24.133700000000001</fb>
    <v>0</v>
  </rv>
  <rv s="0">
    <fb>24.099599999999999</fb>
    <v>0</v>
  </rv>
  <rv s="0">
    <fb>24.1173</fb>
    <v>0</v>
  </rv>
  <rv s="0">
    <fb>24.206199999999999</fb>
    <v>0</v>
  </rv>
  <rv s="0">
    <fb>24.204899999999999</fb>
    <v>0</v>
  </rv>
  <rv s="0">
    <fb>24.1647</fb>
    <v>0</v>
  </rv>
  <rv s="0">
    <fb>24.144600000000001</fb>
    <v>0</v>
  </rv>
  <rv s="0">
    <fb>24.076000000000001</fb>
    <v>0</v>
  </rv>
  <rv s="0">
    <fb>24.241700000000002</fb>
    <v>0</v>
  </rv>
  <rv s="0">
    <fb>24.523099999999999</fb>
    <v>0</v>
  </rv>
  <rv s="0">
    <fb>24.6326</fb>
    <v>0</v>
  </rv>
  <rv s="0">
    <fb>24.595099999999999</fb>
    <v>0</v>
  </rv>
  <rv s="0">
    <fb>24.588899999999999</fb>
    <v>0</v>
  </rv>
  <rv s="0">
    <fb>24.3446</fb>
    <v>0</v>
  </rv>
  <rv s="0">
    <fb>24.266300000000001</fb>
    <v>0</v>
  </rv>
  <rv s="0">
    <fb>24.396599999999999</fb>
    <v>0</v>
  </rv>
  <rv s="0">
    <fb>24.571000000000002</fb>
    <v>0</v>
  </rv>
  <rv s="0">
    <fb>24.53</fb>
    <v>0</v>
  </rv>
  <rv s="0">
    <fb>24.955300000000001</fb>
    <v>0</v>
  </rv>
  <rv s="0">
    <fb>24.8171</fb>
    <v>0</v>
  </rv>
  <rv s="0">
    <fb>24.2667</fb>
    <v>0</v>
  </rv>
  <rv s="0">
    <fb>24.384699999999999</fb>
    <v>0</v>
  </rv>
  <rv s="0">
    <fb>24.300999999999998</fb>
    <v>0</v>
  </rv>
  <rv s="0">
    <fb>24.414100000000001</fb>
    <v>0</v>
  </rv>
  <rv s="0">
    <fb>24.692399999999999</fb>
    <v>0</v>
  </rv>
  <rv s="0">
    <fb>24.7254</fb>
    <v>0</v>
  </rv>
  <rv s="0">
    <fb>24.7575</fb>
    <v>0</v>
  </rv>
  <rv s="0">
    <fb>24.436299999999999</fb>
    <v>0</v>
  </rv>
  <rv s="0">
    <fb>24.402100000000001</fb>
    <v>0</v>
  </rv>
  <rv s="0">
    <fb>24.317</fb>
    <v>0</v>
  </rv>
  <rv s="0">
    <fb>24.499099999999999</fb>
    <v>0</v>
  </rv>
  <rv s="0">
    <fb>24.526700000000002</fb>
    <v>0</v>
  </rv>
  <rv s="0">
    <fb>24.7913</fb>
    <v>0</v>
  </rv>
  <rv s="0">
    <fb>24.243300000000001</fb>
    <v>0</v>
  </rv>
  <rv s="0">
    <fb>24.121400000000001</fb>
    <v>0</v>
  </rv>
  <rv s="0">
    <fb>24.0715</fb>
    <v>0</v>
  </rv>
  <rv s="0">
    <fb>24.489100000000001</fb>
    <v>0</v>
  </rv>
  <rv s="0">
    <fb>24.384499999999999</fb>
    <v>0</v>
  </rv>
  <rv s="0">
    <fb>24.335999999999999</fb>
    <v>0</v>
  </rv>
  <rv s="0">
    <fb>24.020399999999999</fb>
    <v>0</v>
  </rv>
  <rv s="0">
    <fb>24.3599</fb>
    <v>0</v>
  </rv>
  <rv s="0">
    <fb>23.860600000000002</fb>
    <v>0</v>
  </rv>
  <rv s="0">
    <fb>23.7057</fb>
    <v>0</v>
  </rv>
  <rv s="0">
    <fb>23.854500000000002</fb>
    <v>0</v>
  </rv>
  <rv s="0">
    <fb>24.226299999999998</fb>
    <v>0</v>
  </rv>
  <rv s="0">
    <fb>24.208200000000001</fb>
    <v>0</v>
  </rv>
  <rv s="0">
    <fb>23.945499999999999</fb>
    <v>0</v>
  </rv>
  <rv s="0">
    <fb>24.047799999999999</fb>
    <v>0</v>
  </rv>
  <rv s="0">
    <fb>24.048100000000002</fb>
    <v>0</v>
  </rv>
  <rv s="0">
    <fb>23.95</fb>
    <v>0</v>
  </rv>
  <rv s="0">
    <fb>24.1813</fb>
    <v>0</v>
  </rv>
  <rv s="0">
    <fb>24.462299999999999</fb>
    <v>0</v>
  </rv>
  <rv s="0">
    <fb>24.1843</fb>
    <v>0</v>
  </rv>
  <rv s="0">
    <fb>24.1812</fb>
    <v>0</v>
  </rv>
  <rv s="0">
    <fb>24.045500000000001</fb>
    <v>0</v>
  </rv>
  <rv s="0">
    <fb>24.530100000000001</fb>
    <v>0</v>
  </rv>
  <rv s="0">
    <fb>24.790600000000001</fb>
    <v>0</v>
  </rv>
  <rv s="0">
    <fb>24.695</fb>
    <v>0</v>
  </rv>
  <rv s="0">
    <fb>24.9101</fb>
    <v>0</v>
  </rv>
  <rv s="0">
    <fb>24.818300000000001</fb>
    <v>0</v>
  </rv>
  <rv s="0">
    <fb>24.735800000000001</fb>
    <v>0</v>
  </rv>
  <rv s="0">
    <fb>24.9819</fb>
    <v>0</v>
  </rv>
  <rv s="0">
    <fb>24.788599999999999</fb>
    <v>0</v>
  </rv>
  <rv s="0">
    <fb>24.9999</fb>
    <v>0</v>
  </rv>
  <rv s="0">
    <fb>24.631599999999999</fb>
    <v>0</v>
  </rv>
  <rv s="0">
    <fb>24.721800000000002</fb>
    <v>0</v>
  </rv>
  <rv s="0">
    <fb>24.831800000000001</fb>
    <v>0</v>
  </rv>
  <rv s="0">
    <fb>25.071100000000001</fb>
    <v>0</v>
  </rv>
  <rv s="0">
    <fb>24.927900000000001</fb>
    <v>0</v>
  </rv>
  <rv s="0">
    <fb>24.9529</fb>
    <v>0</v>
  </rv>
  <rv s="0">
    <fb>24.872699999999998</fb>
    <v>0</v>
  </rv>
  <rv s="0">
    <fb>25.184200000000001</fb>
    <v>0</v>
  </rv>
  <rv s="0">
    <fb>25.153500000000001</fb>
    <v>0</v>
  </rv>
  <rv s="0">
    <fb>24.8749</fb>
    <v>0</v>
  </rv>
  <rv s="0">
    <fb>24.936900000000001</fb>
    <v>0</v>
  </rv>
  <rv s="0">
    <fb>24.743200000000002</fb>
    <v>0</v>
  </rv>
  <rv s="0">
    <fb>24.575800000000001</fb>
    <v>0</v>
  </rv>
  <rv s="0">
    <fb>24.669799999999999</fb>
    <v>0</v>
  </rv>
  <rv s="0">
    <fb>24.489599999999999</fb>
    <v>0</v>
  </rv>
  <rv s="0">
    <fb>24.430800000000001</fb>
    <v>0</v>
  </rv>
  <rv s="0">
    <fb>24.609200000000001</fb>
    <v>0</v>
  </rv>
  <rv s="0">
    <fb>24.424700000000001</fb>
    <v>0</v>
  </rv>
  <rv s="0">
    <fb>24.633299999999998</fb>
    <v>0</v>
  </rv>
  <rv s="0">
    <fb>24.905000000000001</fb>
    <v>0</v>
  </rv>
  <rv s="0">
    <fb>24.788499999999999</fb>
    <v>0</v>
  </rv>
  <rv s="0">
    <fb>24.517399999999999</fb>
    <v>0</v>
  </rv>
  <rv s="0">
    <fb>24.418500000000002</fb>
    <v>0</v>
  </rv>
  <rv s="0">
    <fb>24.256399999999999</fb>
    <v>0</v>
  </rv>
  <rv s="0">
    <fb>24.12</fb>
    <v>0</v>
  </rv>
  <rv s="0">
    <fb>23.9405</fb>
    <v>0</v>
  </rv>
  <rv s="0">
    <fb>24.634599999999999</fb>
    <v>0</v>
  </rv>
  <rv s="0">
    <fb>24.5</fb>
    <v>0</v>
  </rv>
  <rv s="0">
    <fb>24.690899999999999</fb>
    <v>0</v>
  </rv>
  <rv s="0">
    <fb>24.930299999999999</fb>
    <v>0</v>
  </rv>
  <rv s="0">
    <fb>24.7483</fb>
    <v>0</v>
  </rv>
  <rv s="0">
    <fb>24.770600000000002</fb>
    <v>0</v>
  </rv>
  <rv s="0">
    <fb>24.7837</fb>
    <v>0</v>
  </rv>
  <rv s="0">
    <fb>24.395</fb>
    <v>0</v>
  </rv>
  <rv s="0">
    <fb>23.954999999999998</fb>
    <v>0</v>
  </rv>
  <rv s="0">
    <fb>23.782299999999999</fb>
    <v>0</v>
  </rv>
  <rv s="0">
    <fb>23.9008</fb>
    <v>0</v>
  </rv>
  <rv s="0">
    <fb>23.9922</fb>
    <v>0</v>
  </rv>
  <rv s="0">
    <fb>23.79</fb>
    <v>0</v>
  </rv>
  <rv s="0">
    <fb>23.907800000000002</fb>
    <v>0</v>
  </rv>
  <rv s="0">
    <fb>23.700800000000001</fb>
    <v>0</v>
  </rv>
  <rv s="0">
    <fb>24.088799999999999</fb>
    <v>0</v>
  </rv>
  <rv s="0">
    <fb>24.032900000000001</fb>
    <v>0</v>
  </rv>
  <rv s="0">
    <fb>24.3062</fb>
    <v>0</v>
  </rv>
  <rv s="0">
    <fb>24.079499999999999</fb>
    <v>0</v>
  </rv>
  <rv s="0">
    <fb>24.096699999999998</fb>
    <v>0</v>
  </rv>
  <rv s="0">
    <fb>24.1328</fb>
    <v>0</v>
  </rv>
  <rv s="0">
    <fb>24.026</fb>
    <v>0</v>
  </rv>
  <rv s="0">
    <fb>24.067799999999998</fb>
    <v>0</v>
  </rv>
  <rv s="0">
    <fb>244.88</fb>
    <v>0</v>
  </rv>
  <rv s="0">
    <fb>239.26</fb>
    <v>0</v>
  </rv>
  <rv s="0">
    <fb>242.1</fb>
    <v>0</v>
  </rv>
  <rv s="0">
    <fb>240.96</fb>
    <v>0</v>
  </rv>
  <rv s="0">
    <fb>241.4</fb>
    <v>0</v>
  </rv>
  <rv s="0">
    <fb>240.63</fb>
    <v>0</v>
  </rv>
  <rv s="0">
    <fb>242.13</fb>
    <v>0</v>
  </rv>
  <rv s="0">
    <fb>245.42</fb>
    <v>0</v>
  </rv>
  <rv s="0">
    <fb>243.49</fb>
    <v>0</v>
  </rv>
  <rv s="0">
    <fb>243.19</fb>
    <v>0</v>
  </rv>
  <rv s="0">
    <fb>244.56</fb>
    <v>0</v>
  </rv>
  <rv s="0">
    <fb>245.86</fb>
    <v>0</v>
  </rv>
  <rv s="0">
    <fb>248.21</fb>
    <v>0</v>
  </rv>
  <rv s="0">
    <fb>245.74</fb>
    <v>0</v>
  </rv>
  <rv s="0">
    <fb>248.88</fb>
    <v>0</v>
  </rv>
  <rv s="0">
    <fb>250.6</fb>
    <v>0</v>
  </rv>
  <rv s="0">
    <fb>249.27</fb>
    <v>0</v>
  </rv>
  <rv s="0">
    <fb>253.13</fb>
    <v>0</v>
  </rv>
  <rv s="0">
    <fb>254.43</fb>
    <v>0</v>
  </rv>
  <rv s="0">
    <fb>254.07</fb>
    <v>0</v>
  </rv>
  <rv s="0">
    <fb>255.65</fb>
    <v>0</v>
  </rv>
  <rv s="0">
    <fb>252.99</fb>
    <v>0</v>
  </rv>
  <rv s="0">
    <fb>255.18</fb>
    <v>0</v>
  </rv>
  <rv s="0">
    <fb>254.2</fb>
    <v>0</v>
  </rv>
  <rv s="0">
    <fb>258.05</fb>
    <v>0</v>
  </rv>
  <rv s="0">
    <fb>258.56</fb>
    <v>0</v>
  </rv>
  <rv s="0">
    <fb>259.94</fb>
    <v>0</v>
  </rv>
  <rv s="0">
    <fb>262.5</fb>
    <v>0</v>
  </rv>
  <rv s="0">
    <fb>264.13</fb>
    <v>0</v>
  </rv>
  <rv s="0">
    <fb>263.43</fb>
    <v>0</v>
  </rv>
  <rv s="0">
    <fb>263.89999999999998</fb>
    <v>0</v>
  </rv>
  <rv s="0">
    <fb>268.37</fb>
    <v>0</v>
  </rv>
  <rv s="0">
    <fb>267.39</fb>
    <v>0</v>
  </rv>
  <rv s="0">
    <fb>270.31</fb>
    <v>0</v>
  </rv>
  <rv s="0">
    <fb>266.29000000000002</fb>
    <v>0</v>
  </rv>
  <rv s="0">
    <fb>270.7</fb>
    <v>0</v>
  </rv>
  <rv s="0">
    <fb>270.85000000000002</fb>
    <v>0</v>
  </rv>
  <rv s="0">
    <fb>270.99</fb>
    <v>0</v>
  </rv>
  <rv s="0">
    <fb>270.74</fb>
    <v>0</v>
  </rv>
  <rv s="0">
    <fb>272.20999999999998</fb>
    <v>0</v>
  </rv>
  <rv s="0">
    <fb>268.62</fb>
    <v>0</v>
  </rv>
  <rv s="0">
    <fb>269.02999999999997</fb>
    <v>0</v>
  </rv>
  <rv s="0">
    <fb>263.27</fb>
    <v>0</v>
  </rv>
  <rv s="0">
    <fb>266.74</fb>
    <v>0</v>
  </rv>
  <rv s="0">
    <fb>269.06</fb>
    <v>0</v>
  </rv>
  <rv s="0">
    <fb>268.25</fb>
    <v>0</v>
  </rv>
  <rv s="0">
    <fb>268.39</fb>
    <v>0</v>
  </rv>
  <rv s="0">
    <fb>266.04000000000002</fb>
    <v>0</v>
  </rv>
  <rv s="0">
    <fb>269.16000000000003</fb>
    <v>0</v>
  </rv>
  <rv s="0">
    <fb>275.13</fb>
    <v>0</v>
  </rv>
  <rv s="0">
    <fb>275.24</fb>
    <v>0</v>
  </rv>
  <rv s="0">
    <fb>276.73</fb>
    <v>0</v>
  </rv>
  <rv s="0">
    <fb>281.11</fb>
    <v>0</v>
  </rv>
  <rv s="0">
    <fb>280.75</fb>
    <v>0</v>
  </rv>
  <rv s="0">
    <fb>277.25</fb>
    <v>0</v>
  </rv>
  <rv s="0">
    <fb>278.47000000000003</fb>
    <v>0</v>
  </rv>
  <rv s="0">
    <fb>278.24</fb>
    <v>0</v>
  </rv>
  <rv s="0">
    <fb>281.97000000000003</fb>
    <v>0</v>
  </rv>
  <rv s="0">
    <fb>284.06</fb>
    <v>0</v>
  </rv>
  <rv s="0">
    <fb>288.14</fb>
    <v>0</v>
  </rv>
  <rv s="0">
    <fb>287.57</fb>
    <v>0</v>
  </rv>
  <rv s="0">
    <fb>286.42</fb>
    <v>0</v>
  </rv>
  <rv s="0">
    <fb>279.72000000000003</fb>
    <v>0</v>
  </rv>
  <rv s="0">
    <fb>273.70999999999998</fb>
    <v>0</v>
  </rv>
  <rv s="0">
    <fb>285.38</fb>
    <v>0</v>
  </rv>
  <rv s="0">
    <fb>292.35000000000002</fb>
    <v>0</v>
  </rv>
  <rv s="0">
    <fb>297.93</fb>
    <v>0</v>
  </rv>
  <rv s="0">
    <fb>296.23</fb>
    <v>0</v>
  </rv>
  <rv s="0">
    <fb>297.77999999999997</fb>
    <v>0</v>
  </rv>
  <rv s="0">
    <fb>307.47000000000003</fb>
    <v>0</v>
  </rv>
  <rv s="0">
    <fb>306.12</fb>
    <v>0</v>
  </rv>
  <rv s="0">
    <fb>315.58999999999997</fb>
    <v>0</v>
  </rv>
  <rv s="0">
    <fb>311.11</fb>
    <v>0</v>
  </rv>
  <rv s="0">
    <fb>303.64999999999998</fb>
    <v>0</v>
  </rv>
  <rv s="0">
    <fb>308.07</fb>
    <v>0</v>
  </rv>
  <rv s="0">
    <fb>304.73</fb>
    <v>0</v>
  </rv>
  <rv s="0">
    <fb>309.07</fb>
    <v>0</v>
  </rv>
  <rv s="0">
    <fb>306.06</fb>
    <v>0</v>
  </rv>
  <rv s="0">
    <fb>303.77</fb>
    <v>0</v>
  </rv>
  <rv s="0">
    <fb>297.45999999999998</fb>
    <v>0</v>
  </rv>
  <rv s="0">
    <fb>297.98</fb>
    <v>0</v>
  </rv>
  <rv s="0">
    <fb>306.88</fb>
    <v>0</v>
  </rv>
  <rv s="0">
    <fb>315.48</fb>
    <v>0</v>
  </rv>
  <rv s="0">
    <fb>304.63</fb>
    <v>0</v>
  </rv>
  <rv s="0">
    <fb>306.83999999999997</fb>
    <v>0</v>
  </rv>
  <rv s="0">
    <fb>298.19</fb>
    <v>0</v>
  </rv>
  <rv s="0">
    <fb>299.45999999999998</fb>
    <v>0</v>
  </rv>
  <rv s="0">
    <fb>293.16000000000003</fb>
    <v>0</v>
  </rv>
  <rv s="0">
    <fb>297.83999999999997</fb>
    <v>0</v>
  </rv>
  <rv s="0">
    <fb>294.24</fb>
    <v>0</v>
  </rv>
  <rv s="0">
    <fb>298.02999999999997</fb>
    <v>0</v>
  </rv>
  <rv s="0">
    <fb>303.58</fb>
    <v>0</v>
  </rv>
  <rv s="0">
    <fb>305.82</fb>
    <v>0</v>
  </rv>
  <rv s="0">
    <fb>303.11</fb>
    <v>0</v>
  </rv>
  <rv s="0">
    <fb>309.75</fb>
    <v>0</v>
  </rv>
  <rv s="0">
    <fb>304.5</fb>
    <v>0</v>
  </rv>
  <rv s="0">
    <fb>303.81</fb>
    <v>0</v>
  </rv>
  <rv s="0">
    <fb>305.61</fb>
    <v>0</v>
  </rv>
  <rv s="0">
    <fb>303.60000000000002</fb>
    <v>0</v>
  </rv>
  <rv s="0">
    <fb>311.67</fb>
    <v>0</v>
  </rv>
  <rv s="0">
    <fb>308.91000000000003</fb>
    <v>0</v>
  </rv>
  <rv s="0">
    <fb>310.89999999999998</fb>
    <v>0</v>
  </rv>
  <rv s="0">
    <fb>309.33</fb>
    <v>0</v>
  </rv>
  <rv s="0">
    <fb>305.18</fb>
    <v>0</v>
  </rv>
  <rv s="0">
    <fb>306.62</fb>
    <v>0</v>
  </rv>
  <rv s="0">
    <fb>306.70999999999998</fb>
    <v>0</v>
  </rv>
  <rv s="0">
    <fb>308.37</fb>
    <v>0</v>
  </rv>
  <rv s="0">
    <fb>312.2</fb>
    <v>0</v>
  </rv>
  <rv s="0">
    <fb>316.29000000000002</fb>
    <v>0</v>
  </rv>
  <rv s="0">
    <fb>311.77999999999997</fb>
    <v>0</v>
  </rv>
  <rv s="0">
    <fb>311.94</fb>
    <v>0</v>
  </rv>
  <rv s="0">
    <fb>310.26</fb>
    <v>0</v>
  </rv>
  <rv s="0">
    <fb>310.13</fb>
    <v>0</v>
  </rv>
  <rv s="0">
    <fb>311.08</fb>
    <v>0</v>
  </rv>
  <rv s="0">
    <fb>307.12</fb>
    <v>0</v>
  </rv>
  <rv s="0">
    <fb>306.77999999999997</fb>
    <v>0</v>
  </rv>
  <rv s="0">
    <fb>301.22000000000003</fb>
    <v>0</v>
  </rv>
  <rv s="0">
    <fb>304.83</fb>
    <v>0</v>
  </rv>
  <rv s="0">
    <fb>307.55</fb>
    <v>0</v>
  </rv>
  <rv s="0">
    <fb>309.25</fb>
    <v>0</v>
  </rv>
  <rv s="0">
    <fb>307.14</fb>
    <v>0</v>
  </rv>
  <rv s="0">
    <fb>307.37</fb>
    <v>0</v>
  </rv>
  <rv s="0">
    <fb>304.16000000000003</fb>
    <v>0</v>
  </rv>
  <rv s="0">
    <fb>305.52</fb>
    <v>0</v>
  </rv>
  <rv s="0">
    <fb>306.2</fb>
    <v>0</v>
  </rv>
  <rv s="0">
    <fb>309.14</fb>
    <v>0</v>
  </rv>
  <rv s="0">
    <fb>308.01</fb>
    <v>0</v>
  </rv>
  <rv s="0">
    <fb>306.73</fb>
    <v>0</v>
  </rv>
  <rv s="0">
    <fb>308.26</fb>
    <v>0</v>
  </rv>
  <rv s="0">
    <fb>307.58999999999997</fb>
    <v>0</v>
  </rv>
  <rv s="0">
    <fb>308.39</fb>
    <v>0</v>
  </rv>
  <rv s="0">
    <fb>313.13</fb>
    <v>0</v>
  </rv>
  <rv s="0">
    <fb>316.10000000000002</fb>
    <v>0</v>
  </rv>
  <rv s="0">
    <fb>310.27</fb>
    <v>0</v>
  </rv>
  <rv s="0">
    <fb>307.39999999999998</fb>
    <v>0</v>
  </rv>
  <rv s="0">
    <fb>306.25</fb>
    <v>0</v>
  </rv>
  <rv s="0">
    <fb>300.95999999999998</fb>
    <v>0</v>
  </rv>
  <rv s="0">
    <fb>302.95999999999998</fb>
    <v>0</v>
  </rv>
  <rv s="0">
    <fb>309.11</fb>
    <v>0</v>
  </rv>
  <rv s="0">
    <fb>310.91000000000003</fb>
    <v>0</v>
  </rv>
  <rv s="0">
    <fb>311.16000000000003</fb>
    <v>0</v>
  </rv>
  <rv s="0">
    <fb>310.5</fb>
    <v>0</v>
  </rv>
  <rv s="0">
    <fb>313.12</fb>
    <v>0</v>
  </rv>
  <rv s="0">
    <fb>313.05</fb>
    <v>0</v>
  </rv>
  <rv s="0">
    <fb>308.55</fb>
    <v>0</v>
  </rv>
  <rv s="0">
    <fb>308.27</fb>
    <v>0</v>
  </rv>
  <rv s="0">
    <fb>309.20999999999998</fb>
    <v>0</v>
  </rv>
  <rv s="0">
    <fb>307.25</fb>
    <v>0</v>
  </rv>
  <rv s="0">
    <fb>307.43</fb>
    <v>0</v>
  </rv>
  <rv s="0">
    <fb>306.95</fb>
    <v>0</v>
  </rv>
  <rv s="0">
    <fb>305.27</fb>
    <v>0</v>
  </rv>
  <rv s="0">
    <fb>308.36</fb>
    <v>0</v>
  </rv>
  <rv s="0">
    <fb>307.29000000000002</fb>
    <v>0</v>
  </rv>
  <rv s="0">
    <fb>310.58</fb>
    <v>0</v>
  </rv>
  <rv s="0">
    <fb>309.83</fb>
    <v>0</v>
  </rv>
  <rv s="0">
    <fb>312.08</fb>
    <v>0</v>
  </rv>
  <rv s="0">
    <fb>312.70999999999998</fb>
    <v>0</v>
  </rv>
  <rv s="0">
    <fb>315.02999999999997</fb>
    <v>0</v>
  </rv>
  <rv s="0">
    <fb>318.07</fb>
    <v>0</v>
  </rv>
  <rv s="0">
    <fb>325.58999999999997</fb>
    <v>0</v>
  </rv>
  <rv s="0">
    <fb>328.14</fb>
    <v>0</v>
  </rv>
  <rv s="0">
    <fb>326.69</fb>
    <v>0</v>
  </rv>
  <rv s="0">
    <fb>331.05</fb>
    <v>0</v>
  </rv>
  <rv s="0">
    <fb>334.82</fb>
    <v>0</v>
  </rv>
  <rv s="0">
    <fb>334.06</fb>
    <v>0</v>
  </rv>
  <rv s="0">
    <fb>335.26</fb>
    <v>0</v>
  </rv>
  <rv s="0">
    <fb>334.76</fb>
    <v>0</v>
  </rv>
  <rv s="0">
    <fb>335.42</fb>
    <v>0</v>
  </rv>
  <rv s="0">
    <fb>338.91</fb>
    <v>0</v>
  </rv>
  <rv s="0">
    <fb>339.59</fb>
    <v>0</v>
  </rv>
  <rv s="0">
    <fb>336.97</fb>
    <v>0</v>
  </rv>
  <rv s="0">
    <fb>335.62</fb>
    <v>0</v>
  </rv>
  <rv s="0">
    <fb>339.18</fb>
    <v>0</v>
  </rv>
  <rv s="0">
    <fb>345.05</fb>
    <v>0</v>
  </rv>
  <rv s="0">
    <fb>346.46</fb>
    <v>0</v>
  </rv>
  <rv s="0">
    <fb>343.32</fb>
    <v>0</v>
  </rv>
  <rv s="0">
    <fb>344.75</fb>
    <v>0</v>
  </rv>
  <rv s="0">
    <fb>346.74</fb>
    <v>0</v>
  </rv>
  <rv s="0">
    <fb>352.46</fb>
    <v>0</v>
  </rv>
  <rv s="0">
    <fb>355.47</fb>
    <v>0</v>
  </rv>
  <rv s="0">
    <fb>356.03</fb>
    <v>0</v>
  </rv>
  <rv s="0">
    <fb>354.79</fb>
    <v>0</v>
  </rv>
  <rv s="0">
    <fb>357.64</fb>
    <v>0</v>
  </rv>
  <rv s="0">
    <fb>364.38</fb>
    <v>0</v>
  </rv>
  <rv s="0">
    <fb>366.26</fb>
    <v>0</v>
  </rv>
  <rv s="0">
    <fb>372.3</fb>
    <v>0</v>
  </rv>
  <rv s="0">
    <fb>365.43</fb>
    <v>0</v>
  </rv>
  <rv s="0">
    <fb>369.12</fb>
    <v>0</v>
  </rv>
  <rv s="0">
    <fb>378.09</fb>
    <v>0</v>
  </rv>
  <rv s="0">
    <fb>380.79</fb>
    <v>0</v>
  </rv>
  <rv s="0">
    <fb>387.39</fb>
    <v>0</v>
  </rv>
  <rv s="0">
    <fb>396.45</fb>
    <v>0</v>
  </rv>
  <rv s="0">
    <fb>388.99</fb>
    <v>0</v>
  </rv>
  <rv s="0">
    <fb>403.15</fb>
    <v>0</v>
  </rv>
  <rv s="0">
    <fb>377.24</fb>
    <v>0</v>
  </rv>
  <rv s="0">
    <fb>377.28</fb>
    <v>0</v>
  </rv>
  <rv s="0">
    <fb>378.79</fb>
    <v>0</v>
  </rv>
  <rv s="0">
    <fb>377.52</fb>
    <v>0</v>
  </rv>
  <rv s="0">
    <fb>367.01</fb>
    <v>0</v>
  </rv>
  <rv s="0">
    <fb>363</fb>
    <v>0</v>
  </rv>
  <rv s="0">
    <fb>370.13</fb>
    <v>0</v>
  </rv>
  <rv s="0">
    <fb>368.12</fb>
    <v>0</v>
  </rv>
  <rv s="0">
    <fb>368.78</fb>
    <v>0</v>
  </rv>
  <rv s="0">
    <fb>362.32</fb>
    <v>0</v>
  </rv>
  <rv s="0">
    <fb>366.51</fb>
    <v>0</v>
  </rv>
  <rv s="0">
    <fb>366.07</fb>
    <v>0</v>
  </rv>
  <rv s="0">
    <fb>368.31</fb>
    <v>0</v>
  </rv>
  <rv s="0">
    <fb>378.38</fb>
    <v>0</v>
  </rv>
  <rv s="0">
    <fb>379.87</fb>
    <v>0</v>
  </rv>
  <rv s="0">
    <fb>385.99</fb>
    <v>0</v>
  </rv>
  <rv s="0">
    <fb>382.87</fb>
    <v>0</v>
  </rv>
  <rv s="0">
    <fb>375.96</fb>
    <v>0</v>
  </rv>
  <rv s="0">
    <fb>371.65</fb>
    <v>0</v>
  </rv>
  <rv s="0">
    <fb>374.35</fb>
    <v>0</v>
  </rv>
  <rv s="0">
    <fb>27.81</fb>
    <v>0</v>
  </rv>
  <rv s="0">
    <fb>26.85</fb>
    <v>0</v>
  </rv>
  <rv s="0">
    <fb>26.99</fb>
    <v>0</v>
  </rv>
  <rv s="0">
    <fb>27.02</fb>
    <v>0</v>
  </rv>
  <rv s="0">
    <fb>27.14</fb>
    <v>0</v>
  </rv>
  <rv s="0">
    <fb>27.33</fb>
    <v>0</v>
  </rv>
  <rv s="0">
    <fb>27.4</fb>
    <v>0</v>
  </rv>
  <rv s="0">
    <fb>27.61</fb>
    <v>0</v>
  </rv>
  <rv s="0">
    <fb>26.96</fb>
    <v>0</v>
  </rv>
  <rv s="0">
    <fb>28.04</fb>
    <v>0</v>
  </rv>
  <rv s="0">
    <fb>27.46</fb>
    <v>0</v>
  </rv>
  <rv s="0">
    <fb>27.63</fb>
    <v>0</v>
  </rv>
  <rv s="0">
    <fb>28</fb>
    <v>0</v>
  </rv>
  <rv s="0">
    <fb>28.67</fb>
    <v>0</v>
  </rv>
  <rv s="0">
    <fb>29.03</fb>
    <v>0</v>
  </rv>
  <rv s="0">
    <fb>29.91</fb>
    <v>0</v>
  </rv>
  <rv s="0">
    <fb>29.44</fb>
    <v>0</v>
  </rv>
  <rv s="0">
    <fb>28.83</fb>
    <v>0</v>
  </rv>
  <rv s="0">
    <fb>28.4</fb>
    <v>0</v>
  </rv>
  <rv s="0">
    <fb>28.75</fb>
    <v>0</v>
  </rv>
  <rv s="0">
    <fb>29.96</fb>
    <v>0</v>
  </rv>
  <rv s="0">
    <fb>30.81</fb>
    <v>0</v>
  </rv>
  <rv s="0">
    <fb>31.32</fb>
    <v>0</v>
  </rv>
  <rv s="0">
    <fb>30.63</fb>
    <v>0</v>
  </rv>
  <rv s="0">
    <fb>28.89</fb>
    <v>0</v>
  </rv>
  <rv s="0">
    <fb>28.06</fb>
    <v>0</v>
  </rv>
  <rv s="0">
    <fb>28.28</fb>
    <v>0</v>
  </rv>
  <rv s="0">
    <fb>29.19</fb>
    <v>0</v>
  </rv>
  <rv s="0">
    <fb>30.05</fb>
    <v>0</v>
  </rv>
  <rv s="0">
    <fb>29.48</fb>
    <v>0</v>
  </rv>
  <rv s="0">
    <fb>29.61</fb>
    <v>0</v>
  </rv>
  <rv s="0">
    <fb>33.39</fb>
    <v>0</v>
  </rv>
  <rv s="0">
    <fb>32.97</fb>
    <v>0</v>
  </rv>
  <rv s="0">
    <fb>33.74</fb>
    <v>0</v>
  </rv>
  <rv s="0">
    <fb>33.270000000000003</fb>
    <v>0</v>
  </rv>
  <rv s="0">
    <fb>32.96</fb>
    <v>0</v>
  </rv>
  <rv s="0">
    <fb>32.61</fb>
    <v>0</v>
  </rv>
  <rv s="0">
    <fb>33.340000000000003</fb>
    <v>0</v>
  </rv>
  <rv s="0">
    <fb>33.51</fb>
    <v>0</v>
  </rv>
  <rv s="0">
    <fb>33.29</fb>
    <v>0</v>
  </rv>
  <rv s="0">
    <fb>34.630000000000003</fb>
    <v>0</v>
  </rv>
  <rv s="0">
    <fb>34.65</fb>
    <v>0</v>
  </rv>
  <rv s="0">
    <fb>34.61</fb>
    <v>0</v>
  </rv>
  <rv s="0">
    <fb>35.35</fb>
    <v>0</v>
  </rv>
  <rv s="0">
    <fb>35.72</fb>
    <v>0</v>
  </rv>
  <rv s="0">
    <fb>35.69</fb>
    <v>0</v>
  </rv>
  <rv s="0">
    <fb>34.659999999999997</fb>
    <v>0</v>
  </rv>
  <rv s="0">
    <fb>34.64</fb>
    <v>0</v>
  </rv>
  <rv s="0">
    <fb>33.590000000000003</fb>
    <v>0</v>
  </rv>
  <rv s="0">
    <fb>34.35</fb>
    <v>0</v>
  </rv>
  <rv s="0">
    <fb>34.76</fb>
    <v>0</v>
  </rv>
  <rv s="0">
    <fb>34.18</fb>
    <v>0</v>
  </rv>
  <rv s="0">
    <fb>33.869999999999997</fb>
    <v>0</v>
  </rv>
  <rv s="0">
    <fb>35.020000000000003</fb>
    <v>0</v>
  </rv>
  <rv s="0">
    <fb>34.99</fb>
    <v>0</v>
  </rv>
  <rv s="0">
    <fb>35.520000000000003</fb>
    <v>0</v>
  </rv>
  <rv s="0">
    <fb>37.15</fb>
    <v>0</v>
  </rv>
  <rv s="0">
    <fb>37.51</fb>
    <v>0</v>
  </rv>
  <rv s="0">
    <fb>37.18</fb>
    <v>0</v>
  </rv>
  <rv s="0">
    <fb>38.340000000000003</fb>
    <v>0</v>
  </rv>
  <rv s="0">
    <fb>38.76</fb>
    <v>0</v>
  </rv>
  <rv s="0">
    <fb>37.99</fb>
    <v>0</v>
  </rv>
  <rv s="0">
    <fb>39.96</fb>
    <v>0</v>
  </rv>
  <rv s="0">
    <fb>42.91</fb>
    <v>0</v>
  </rv>
  <rv s="0">
    <fb>42.53</fb>
    <v>0</v>
  </rv>
  <rv s="0">
    <fb>44.06</fb>
    <v>0</v>
  </rv>
  <rv s="0">
    <fb>49.17</fb>
    <v>0</v>
  </rv>
  <rv s="0">
    <fb>42.4</fb>
    <v>0</v>
  </rv>
  <rv s="0">
    <fb>44.01</fb>
    <v>0</v>
  </rv>
  <rv s="0">
    <fb>43.55</fb>
    <v>0</v>
  </rv>
  <rv s="0">
    <fb>45.79</fb>
    <v>0</v>
  </rv>
  <rv s="0">
    <fb>48.32</fb>
    <v>0</v>
  </rv>
  <rv s="0">
    <fb>13.95</fb>
    <v>0</v>
  </rv>
  <rv s="0">
    <fb>14.46</fb>
    <v>0</v>
  </rv>
  <rv s="0">
    <fb>14.54</fb>
    <v>0</v>
  </rv>
  <rv s="0">
    <fb>15.4</fb>
    <v>0</v>
  </rv>
  <rv s="0">
    <fb>15.87</fb>
    <v>0</v>
  </rv>
  <rv s="0">
    <fb>15.63</fb>
    <v>0</v>
  </rv>
  <rv s="0">
    <fb>16.14</fb>
    <v>0</v>
  </rv>
  <rv s="0">
    <fb>15.37</fb>
    <v>0</v>
  </rv>
  <rv s="0">
    <fb>15.76</fb>
    <v>0</v>
  </rv>
  <rv s="0">
    <fb>18.03</fb>
    <v>0</v>
  </rv>
  <rv s="0">
    <fb>16.809999999999999</fb>
    <v>0</v>
  </rv>
  <rv s="0">
    <fb>15.59</fb>
    <v>0</v>
  </rv>
  <rv s="0">
    <fb>17.16</fb>
    <v>0</v>
  </rv>
  <rv s="0">
    <fb>15.99</fb>
    <v>0</v>
  </rv>
  <rv s="0">
    <fb>18.420000000000002</fb>
    <v>0</v>
  </rv>
  <rv s="0">
    <fb>18.22</fb>
    <v>0</v>
  </rv>
  <rv s="0">
    <fb>18.47</fb>
    <v>0</v>
  </rv>
  <rv s="0">
    <fb>19.12</fb>
    <v>0</v>
  </rv>
  <rv s="0">
    <fb>18.34</fb>
    <v>0</v>
  </rv>
  <rv s="0">
    <fb>17.73</fb>
    <v>0</v>
  </rv>
  <rv s="0">
    <fb>18.54</fb>
    <v>0</v>
  </rv>
  <rv s="0">
    <fb>18.25</fb>
    <v>0</v>
  </rv>
  <rv s="0">
    <fb>18.12</fb>
    <v>0</v>
  </rv>
  <rv s="0">
    <fb>16.29</fb>
    <v>0</v>
  </rv>
  <rv s="0">
    <fb>16.760000000000002</fb>
    <v>0</v>
  </rv>
  <rv s="0">
    <fb>16.190000000000001</fb>
    <v>0</v>
  </rv>
  <rv s="0">
    <fb>17.64</fb>
    <v>0</v>
  </rv>
  <rv s="0">
    <fb>17.07</fb>
    <v>0</v>
  </rv>
  <rv s="0">
    <fb>17.8</fb>
    <v>0</v>
  </rv>
  <rv s="0">
    <fb>17.48</fb>
    <v>0</v>
  </rv>
  <rv s="0">
    <fb>18.21</fb>
    <v>0</v>
  </rv>
  <rv s="0">
    <fb>18.579999999999998</fb>
    <v>0</v>
  </rv>
  <rv s="0">
    <fb>18.79</fb>
    <v>0</v>
  </rv>
  <rv s="0">
    <fb>19.149999999999999</fb>
    <v>0</v>
  </rv>
  <rv s="0">
    <fb>19.649999999999999</fb>
    <v>0</v>
  </rv>
  <rv s="0">
    <fb>22.61</fb>
    <v>0</v>
  </rv>
  <rv s="0">
    <fb>22.09</fb>
    <v>0</v>
  </rv>
  <rv s="0">
    <fb>22.77</fb>
    <v>0</v>
  </rv>
  <rv s="0">
    <fb>23.83</fb>
    <v>0</v>
  </rv>
  <rv s="0">
    <fb>21.79</fb>
    <v>0</v>
  </rv>
  <rv s="0">
    <fb>20.66</fb>
    <v>0</v>
  </rv>
  <rv s="0">
    <fb>20.329999999999998</fb>
    <v>0</v>
  </rv>
  <rv s="0">
    <fb>20.14</fb>
    <v>0</v>
  </rv>
  <rv s="0">
    <fb>20.41</fb>
    <v>0</v>
  </rv>
  <rv s="0">
    <fb>20.04</fb>
    <v>0</v>
  </rv>
  <rv s="0">
    <fb>19.07</fb>
    <v>0</v>
  </rv>
  <rv s="0">
    <fb>18.28</fb>
    <v>0</v>
  </rv>
  <rv s="0">
    <fb>18.63</fb>
    <v>0</v>
  </rv>
  <rv s="0">
    <fb>17.510000000000002</fb>
    <v>0</v>
  </rv>
  <rv s="0">
    <fb>17.36</fb>
    <v>0</v>
  </rv>
  <rv s="0">
    <fb>17.03</fb>
    <v>0</v>
  </rv>
  <rv s="0">
    <fb>16.02</fb>
    <v>0</v>
  </rv>
  <rv s="0">
    <fb>15.78</fb>
    <v>0</v>
  </rv>
  <rv s="0">
    <fb>15.73</fb>
    <v>0</v>
  </rv>
  <rv s="0">
    <fb>15.5</fb>
    <v>0</v>
  </rv>
  <rv s="0">
    <fb>15.7</fb>
    <v>0</v>
  </rv>
  <rv s="0">
    <fb>16.62</fb>
    <v>0</v>
  </rv>
  <rv s="0">
    <fb>16.88</fb>
    <v>0</v>
  </rv>
  <rv s="0">
    <fb>16.739999999999998</fb>
    <v>0</v>
  </rv>
  <rv s="0">
    <fb>17.32</fb>
    <v>0</v>
  </rv>
  <rv s="0">
    <fb>18.32</fb>
    <v>0</v>
  </rv>
  <rv s="0">
    <fb>17.98</fb>
    <v>0</v>
  </rv>
  <rv s="0">
    <fb>17.37</fb>
    <v>0</v>
  </rv>
  <rv s="0">
    <fb>18.170000000000002</fb>
    <v>0</v>
  </rv>
  <rv s="0">
    <fb>18.07</fb>
    <v>0</v>
  </rv>
  <rv s="0">
    <fb>18.98</fb>
    <v>0</v>
  </rv>
  <rv s="0">
    <fb>18.350000000000001</fb>
    <v>0</v>
  </rv>
  <rv s="0">
    <fb>18.190000000000001</fb>
    <v>0</v>
  </rv>
  <rv s="0">
    <fb>17.399999999999999</fb>
    <v>0</v>
  </rv>
  <rv s="0">
    <fb>16.8</fb>
    <v>0</v>
  </rv>
  <rv s="0">
    <fb>16.71</fb>
    <v>0</v>
  </rv>
  <rv s="0">
    <fb>15.65</fb>
    <v>0</v>
  </rv>
  <rv s="0">
    <fb>16.989999999999998</fb>
    <v>0</v>
  </rv>
  <rv s="0">
    <fb>16.920000000000002</fb>
    <v>0</v>
  </rv>
  <rv s="0">
    <fb>16.649999999999999</fb>
    <v>0</v>
  </rv>
  <rv s="0">
    <fb>16.829999999999998</fb>
    <v>0</v>
  </rv>
  <rv s="0">
    <fb>16.149999999999999</fb>
    <v>0</v>
  </rv>
  <rv s="0">
    <fb>15.71</fb>
    <v>0</v>
  </rv>
  <rv s="0">
    <fb>16.87</fb>
    <v>0</v>
  </rv>
  <rv s="0">
    <fb>16.96</fb>
    <v>0</v>
  </rv>
  <rv s="0">
    <fb>16.91</fb>
    <v>0</v>
  </rv>
  <rv s="0">
    <fb>16.7</fb>
    <v>0</v>
  </rv>
  <rv s="0">
    <fb>16.559999999999999</fb>
    <v>0</v>
  </rv>
  <rv s="0">
    <fb>16.059999999999999</fb>
    <v>0</v>
  </rv>
  <rv s="0">
    <fb>15.95</fb>
    <v>0</v>
  </rv>
  <rv s="0">
    <fb>16.07</fb>
    <v>0</v>
  </rv>
  <rv s="0">
    <fb>16.36</fb>
    <v>0</v>
  </rv>
  <rv s="0">
    <fb>16.98</fb>
    <v>0</v>
  </rv>
  <rv s="0">
    <fb>17.579999999999998</fb>
    <v>0</v>
  </rv>
  <rv s="0">
    <fb>18.079999999999998</fb>
    <v>0</v>
  </rv>
  <rv s="0">
    <fb>17.66</fb>
    <v>0</v>
  </rv>
  <rv s="0">
    <fb>16.84</fb>
    <v>0</v>
  </rv>
  <rv s="0">
    <fb>15.85</fb>
    <v>0</v>
  </rv>
  <rv s="0">
    <fb>16.54</fb>
    <v>0</v>
  </rv>
  <rv s="0">
    <fb>15.42</fb>
    <v>0</v>
  </rv>
  <rv s="0">
    <fb>15.25</fb>
    <v>0</v>
  </rv>
  <rv s="0">
    <fb>14.83</fb>
    <v>0</v>
  </rv>
  <rv s="0">
    <fb>14.2</fb>
    <v>0</v>
  </rv>
  <rv s="0">
    <fb>14.75</fb>
    <v>0</v>
  </rv>
  <rv s="0">
    <fb>14.92</fb>
    <v>0</v>
  </rv>
  <rv s="0">
    <fb>15.29</fb>
    <v>0</v>
  </rv>
  <rv s="0">
    <fb>15.54</fb>
    <v>0</v>
  </rv>
  <rv s="0">
    <fb>15.8</fb>
    <v>0</v>
  </rv>
  <rv s="0">
    <fb>14.68</fb>
    <v>0</v>
  </rv>
  <rv s="0">
    <fb>14.47</fb>
    <v>0</v>
  </rv>
  <rv s="0">
    <fb>13.71</fb>
    <v>0</v>
  </rv>
  <rv s="0">
    <fb>13.86</fb>
    <v>0</v>
  </rv>
  <rv s="0">
    <fb>13.67</fb>
    <v>0</v>
  </rv>
  <rv s="0">
    <fb>13.91</fb>
    <v>0</v>
  </rv>
  <rv s="0">
    <fb>13.35</fb>
    <v>0</v>
  </rv>
  <rv s="0">
    <fb>13.59</fb>
    <v>0</v>
  </rv>
  <rv s="0">
    <fb>13.62</fb>
    <v>0</v>
  </rv>
  <rv s="0">
    <fb>12.96</fb>
    <v>0</v>
  </rv>
  <rv s="0">
    <fb>13.19</fb>
    <v>0</v>
  </rv>
  <rv s="0">
    <fb>13.54</fb>
    <v>0</v>
  </rv>
  <rv s="0">
    <fb>13.53</fb>
    <v>0</v>
  </rv>
  <rv s="0">
    <fb>13.2</fb>
    <v>0</v>
  </rv>
  <rv s="0">
    <fb>13.07</fb>
    <v>0</v>
  </rv>
  <rv s="0">
    <fb>12.28</fb>
    <v>0</v>
  </rv>
  <rv s="0">
    <fb>12.4</fb>
    <v>0</v>
  </rv>
  <rv s="0">
    <fb>12.51</fb>
    <v>0</v>
  </rv>
  <rv s="0">
    <fb>12.83</fb>
    <v>0</v>
  </rv>
  <rv s="0">
    <fb>12.72</fb>
    <v>0</v>
  </rv>
  <rv s="0">
    <fb>12.16</fb>
    <v>0</v>
  </rv>
  <rv s="0">
    <fb>12.13</fb>
    <v>0</v>
  </rv>
  <rv s="0">
    <fb>11.91</fb>
    <v>0</v>
  </rv>
  <rv s="0">
    <fb>11.95</fb>
    <v>0</v>
  </rv>
  <rv s="0">
    <fb>11.97</fb>
    <v>0</v>
  </rv>
  <rv s="0">
    <fb>12.57</fb>
    <v>0</v>
  </rv>
  <rv s="0">
    <fb>12.78</fb>
    <v>0</v>
  </rv>
  <rv s="0">
    <fb>13.06</fb>
    <v>0</v>
  </rv>
  <rv s="0">
    <fb>13.1</fb>
    <v>0</v>
  </rv>
  <rv s="0">
    <fb>12.94</fb>
    <v>0</v>
  </rv>
  <rv s="0">
    <fb>13.16</fb>
    <v>0</v>
  </rv>
  <rv s="0">
    <fb>13.26</fb>
    <v>0</v>
  </rv>
  <rv s="0">
    <fb>12.88</fb>
    <v>0</v>
  </rv>
  <rv s="0">
    <fb>12.42</fb>
    <v>0</v>
  </rv>
  <rv s="0">
    <fb>12.91</fb>
    <v>0</v>
  </rv>
  <rv s="0">
    <fb>13.22</fb>
    <v>0</v>
  </rv>
  <rv s="0">
    <fb>12.67</fb>
    <v>0</v>
  </rv>
  <rv s="0">
    <fb>12.15</fb>
    <v>0</v>
  </rv>
  <rv s="0">
    <fb>12.36</fb>
    <v>0</v>
  </rv>
  <rv s="0">
    <fb>12.59</fb>
    <v>0</v>
  </rv>
  <rv s="0">
    <fb>12.47</fb>
    <v>0</v>
  </rv>
  <rv s="0">
    <fb>12.82</fb>
    <v>0</v>
  </rv>
  <rv s="0">
    <fb>13.45</fb>
    <v>0</v>
  </rv>
  <rv s="0">
    <fb>13.05</fb>
    <v>0</v>
  </rv>
  <rv s="0">
    <fb>13.3</fb>
    <v>0</v>
  </rv>
  <rv s="0">
    <fb>13.78</fb>
    <v>0</v>
  </rv>
  <rv s="0">
    <fb>12.74</fb>
    <v>0</v>
  </rv>
  <rv s="0">
    <fb>12.33</fb>
    <v>0</v>
  </rv>
  <rv s="0">
    <fb>12.18</fb>
    <v>0</v>
  </rv>
  <rv s="0">
    <fb>11.88</fb>
    <v>0</v>
  </rv>
  <rv s="0">
    <fb>11.58</fb>
    <v>0</v>
  </rv>
  <rv s="0">
    <fb>11.87</fb>
    <v>0</v>
  </rv>
  <rv s="0">
    <fb>12.93</fb>
    <v>0</v>
  </rv>
  <rv s="0">
    <fb>13.15</fb>
    <v>0</v>
  </rv>
  <rv s="0">
    <fb>12.97</fb>
    <v>0</v>
  </rv>
  <rv s="0">
    <fb>12.89</fb>
    <v>0</v>
  </rv>
  <rv s="0">
    <fb>12.34</fb>
    <v>0</v>
  </rv>
  <rv s="0">
    <fb>12.21</fb>
    <v>0</v>
  </rv>
  <rv s="0">
    <fb>13.25</fb>
    <v>0</v>
  </rv>
  <rv s="0">
    <fb>13.76</fb>
    <v>0</v>
  </rv>
  <rv s="0">
    <fb>13.93</fb>
    <v>0</v>
  </rv>
  <rv s="0">
    <fb>13.63</fb>
    <v>0</v>
  </rv>
  <rv s="0">
    <fb>14.17</fb>
    <v>0</v>
  </rv>
  <rv s="0">
    <fb>14.56</fb>
    <v>0</v>
  </rv>
  <rv s="0">
    <fb>14.81</fb>
    <v>0</v>
  </rv>
  <rv s="0">
    <fb>14.12</fb>
    <v>0</v>
  </rv>
  <rv s="0">
    <fb>14.22</fb>
    <v>0</v>
  </rv>
  <rv s="0">
    <fb>72.61</fb>
    <v>0</v>
  </rv>
  <rv s="0">
    <fb>73.099999999999994</fb>
    <v>0</v>
  </rv>
  <rv s="0">
    <fb>73.849999999999994</fb>
    <v>0</v>
  </rv>
  <rv s="0">
    <fb>75.55</fb>
    <v>0</v>
  </rv>
  <rv s="0">
    <fb>76.930000000000007</fb>
    <v>0</v>
  </rv>
  <rv s="0">
    <fb>79.209999999999994</fb>
    <v>0</v>
  </rv>
  <rv s="0">
    <fb>77.930000000000007</fb>
    <v>0</v>
  </rv>
  <rv s="0">
    <fb>78.86</fb>
    <v>0</v>
  </rv>
  <rv s="0">
    <fb>78.02</fb>
    <v>0</v>
  </rv>
  <rv s="0">
    <fb>77.819999999999993</fb>
    <v>0</v>
  </rv>
  <rv s="0">
    <fb>76.09</fb>
    <v>0</v>
  </rv>
  <rv s="0">
    <fb>75.45</fb>
    <v>0</v>
  </rv>
  <rv s="0">
    <fb>75.86</fb>
    <v>0</v>
  </rv>
  <rv s="0">
    <fb>75.819999999999993</fb>
    <v>0</v>
  </rv>
  <rv s="0">
    <fb>77.760000000000005</fb>
    <v>0</v>
  </rv>
  <rv s="0">
    <fb>74.13</fb>
    <v>0</v>
  </rv>
  <rv s="0">
    <fb>75.28</fb>
    <v>0</v>
  </rv>
  <rv s="0">
    <fb>73.31</fb>
    <v>0</v>
  </rv>
  <rv s="0">
    <fb>71.62</fb>
    <v>0</v>
  </rv>
  <rv s="0">
    <fb>72.709999999999994</fb>
    <v>0</v>
  </rv>
  <rv s="0">
    <fb>73.73</fb>
    <v>0</v>
  </rv>
  <rv s="0">
    <fb>74.77</fb>
    <v>0</v>
  </rv>
  <rv s="0">
    <fb>77.33</fb>
    <v>0</v>
  </rv>
  <rv s="0">
    <fb>68.05</fb>
    <v>0</v>
  </rv>
  <rv s="0">
    <fb>64.599999999999994</fb>
    <v>0</v>
  </rv>
  <rv s="0">
    <fb>67.14</fb>
    <v>0</v>
  </rv>
  <rv s="0">
    <fb>67.989999999999995</fb>
    <v>0</v>
  </rv>
  <rv s="0">
    <fb>69.55</fb>
    <v>0</v>
  </rv>
  <rv s="0">
    <fb>75.05</fb>
    <v>0</v>
  </rv>
  <rv s="0">
    <fb>80.22</fb>
    <v>0</v>
  </rv>
  <rv s="0">
    <fb>78.59</fb>
    <v>0</v>
  </rv>
  <rv s="0">
    <fb>76.41</fb>
    <v>0</v>
  </rv>
  <rv s="0">
    <fb>73</fb>
    <v>0</v>
  </rv>
  <rv s="0">
    <fb>73.930000000000007</fb>
    <v>0</v>
  </rv>
  <rv s="0">
    <fb>75.260000000000005</fb>
    <v>0</v>
  </rv>
  <rv s="0">
    <fb>74.849999999999994</fb>
    <v>0</v>
  </rv>
  <rv s="0">
    <fb>81.040000000000006</fb>
    <v>0</v>
  </rv>
  <rv s="0">
    <fb>73.42</fb>
    <v>0</v>
  </rv>
  <rv s="0">
    <fb>73.739999999999995</fb>
    <v>0</v>
  </rv>
  <rv s="0">
    <fb>73.17</fb>
    <v>0</v>
  </rv>
  <rv s="0">
    <fb>75.75</fb>
    <v>0</v>
  </rv>
  <rv s="0">
    <fb>74.84</fb>
    <v>0</v>
  </rv>
  <rv s="0">
    <fb>76.760000000000005</fb>
    <v>0</v>
  </rv>
  <rv s="0">
    <fb>74.83</fb>
    <v>0</v>
  </rv>
  <rv s="0">
    <fb>74.180000000000007</fb>
    <v>0</v>
  </rv>
  <rv s="0">
    <fb>75.67</fb>
    <v>0</v>
  </rv>
  <rv s="0">
    <fb>73.45</fb>
    <v>0</v>
  </rv>
  <rv s="0">
    <fb>73.75</fb>
    <v>0</v>
  </rv>
  <rv s="0">
    <fb>72.87</fb>
    <v>0</v>
  </rv>
  <rv s="0">
    <fb>73.2</fb>
    <v>0</v>
  </rv>
  <rv s="0">
    <fb>73.53</fb>
    <v>0</v>
  </rv>
  <rv s="0">
    <fb>69.39</fb>
    <v>0</v>
  </rv>
  <rv s="0">
    <fb>68.27</fb>
    <v>0</v>
  </rv>
  <rv s="0">
    <fb>70.63</fb>
    <v>0</v>
  </rv>
  <rv s="0">
    <fb>72.739999999999995</fb>
    <v>0</v>
  </rv>
  <rv s="0">
    <fb>71.260000000000005</fb>
    <v>0</v>
  </rv>
  <rv s="0">
    <fb>71.680000000000007</fb>
    <v>0</v>
  </rv>
  <rv s="0">
    <fb>27.76</fb>
    <v>0</v>
  </rv>
  <rv s="0">
    <fb>27.71</fb>
    <v>0</v>
  </rv>
  <rv s="0">
    <fb>27.83</fb>
    <v>0</v>
  </rv>
  <rv s="0">
    <fb>27.6</fb>
    <v>0</v>
  </rv>
  <rv s="0">
    <fb>26.39</fb>
    <v>0</v>
  </rv>
  <rv s="0">
    <fb>26.27</fb>
    <v>0</v>
  </rv>
  <rv s="0">
    <fb>26.36</fb>
    <v>0</v>
  </rv>
  <rv s="0">
    <fb>26.75</fb>
    <v>0</v>
  </rv>
  <rv s="0">
    <fb>26.66</fb>
    <v>0</v>
  </rv>
  <rv s="0">
    <fb>27.22</fb>
    <v>0</v>
  </rv>
  <rv s="0">
    <fb>27.36</fb>
    <v>0</v>
  </rv>
  <rv s="0">
    <fb>27.56</fb>
    <v>0</v>
  </rv>
  <rv s="0">
    <fb>27.92</fb>
    <v>0</v>
  </rv>
  <rv s="0">
    <fb>27.72</fb>
    <v>0</v>
  </rv>
  <rv s="0">
    <fb>27.64</fb>
    <v>0</v>
  </rv>
  <rv s="0">
    <fb>27.87</fb>
    <v>0</v>
  </rv>
  <rv s="0">
    <fb>27.57</fb>
    <v>0</v>
  </rv>
  <rv s="0">
    <fb>27.97</fb>
    <v>0</v>
  </rv>
  <rv s="0">
    <fb>28.17</fb>
    <v>0</v>
  </rv>
  <rv s="0">
    <fb>28.38</fb>
    <v>0</v>
  </rv>
  <rv s="0">
    <fb>27.03</fb>
    <v>0</v>
  </rv>
  <rv s="0">
    <fb>27.06</fb>
    <v>0</v>
  </rv>
  <rv s="0">
    <fb>27.12</fb>
    <v>0</v>
  </rv>
  <rv s="0">
    <fb>26.81</fb>
    <v>0</v>
  </rv>
  <rv s="0">
    <fb>26.19</fb>
    <v>0</v>
  </rv>
  <rv s="0">
    <fb>26.63</fb>
    <v>0</v>
  </rv>
  <rv s="0">
    <fb>26.58</fb>
    <v>0</v>
  </rv>
  <rv s="0">
    <fb>26.86</fb>
    <v>0</v>
  </rv>
  <rv s="0">
    <fb>26.9</fb>
    <v>0</v>
  </rv>
  <rv s="0">
    <fb>26.74</fb>
    <v>0</v>
  </rv>
  <rv s="0">
    <fb>26.57</fb>
    <v>0</v>
  </rv>
  <rv s="0">
    <fb>25.76</fb>
    <v>0</v>
  </rv>
  <rv s="0">
    <fb>26.97</fb>
    <v>0</v>
  </rv>
  <rv s="0">
    <fb>27.29</fb>
    <v>0</v>
  </rv>
  <rv s="0">
    <fb>26.91</fb>
    <v>0</v>
  </rv>
  <rv s="0">
    <fb>27.38</fb>
    <v>0</v>
  </rv>
  <rv s="0">
    <fb>27.23</fb>
    <v>0</v>
  </rv>
  <rv s="0">
    <fb>27.65</fb>
    <v>0</v>
  </rv>
  <rv s="0">
    <fb>26.7</fb>
    <v>0</v>
  </rv>
  <rv s="0">
    <fb>27.39</fb>
    <v>0</v>
  </rv>
  <rv s="0">
    <fb>27.07</fb>
    <v>0</v>
  </rv>
  <rv s="0">
    <fb>27.05</fb>
    <v>0</v>
  </rv>
  <rv s="0">
    <fb>27.17</fb>
    <v>0</v>
  </rv>
  <rv s="0">
    <fb>26.89</fb>
    <v>0</v>
  </rv>
  <rv s="0">
    <fb>25.65</fb>
    <v>0</v>
  </rv>
  <rv s="0">
    <fb>25.87</fb>
    <v>0</v>
  </rv>
  <rv s="0">
    <fb>25.89</fb>
    <v>0</v>
  </rv>
  <rv s="0">
    <fb>25.74</fb>
    <v>0</v>
  </rv>
  <rv s="0">
    <fb>25.77</fb>
    <v>0</v>
  </rv>
  <rv s="0">
    <fb>25.78</fb>
    <v>0</v>
  </rv>
  <rv s="0">
    <fb>25.9</fb>
    <v>0</v>
  </rv>
  <rv s="0">
    <fb>25.97</fb>
    <v>0</v>
  </rv>
  <rv s="0">
    <fb>26.23</fb>
    <v>0</v>
  </rv>
  <rv s="0">
    <fb>26.01</fb>
    <v>0</v>
  </rv>
  <rv s="0">
    <fb>25.92</fb>
    <v>0</v>
  </rv>
  <rv s="0">
    <fb>25.99</fb>
    <v>0</v>
  </rv>
  <rv s="0">
    <fb>26.21</fb>
    <v>0</v>
  </rv>
  <rv s="0">
    <fb>27.28</fb>
    <v>0</v>
  </rv>
  <rv s="0">
    <fb>27.59</fb>
    <v>0</v>
  </rv>
  <rv s="0">
    <fb>27.52</fb>
    <v>0</v>
  </rv>
  <rv s="0">
    <fb>27.45</fb>
    <v>0</v>
  </rv>
  <rv s="0">
    <fb>27.21</fb>
    <v>0</v>
  </rv>
  <rv s="0">
    <fb>27.41</fb>
    <v>0</v>
  </rv>
  <rv s="0">
    <fb>26.54</fb>
    <v>0</v>
  </rv>
  <rv s="0">
    <fb>26.83</fb>
    <v>0</v>
  </rv>
  <rv s="0">
    <fb>26.16</fb>
    <v>0</v>
  </rv>
  <rv s="0">
    <fb>26.26</fb>
    <v>0</v>
  </rv>
  <rv s="0">
    <fb>26.55</fb>
    <v>0</v>
  </rv>
  <rv s="0">
    <fb>26.61</fb>
    <v>0</v>
  </rv>
  <rv s="0">
    <fb>18.36</fb>
    <v>0</v>
  </rv>
  <rv s="0">
    <fb>18.09</fb>
    <v>0</v>
  </rv>
  <rv s="0">
    <fb>18.260000000000002</fb>
    <v>0</v>
  </rv>
  <rv s="0">
    <fb>18.37</fb>
    <v>0</v>
  </rv>
  <rv s="0">
    <fb>18.360499999999998</fb>
    <v>0</v>
  </rv>
  <rv s="0">
    <fb>18.57</fb>
    <v>0</v>
  </rv>
  <rv s="0">
    <fb>18.77</fb>
    <v>0</v>
  </rv>
  <rv s="0">
    <fb>18.89</fb>
    <v>0</v>
  </rv>
  <rv s="0">
    <fb>18.52</fb>
    <v>0</v>
  </rv>
  <rv s="0">
    <fb>18.78</fb>
    <v>0</v>
  </rv>
  <rv s="0">
    <fb>18.649999999999999</fb>
    <v>0</v>
  </rv>
  <rv s="0">
    <fb>19.23</fb>
    <v>0</v>
  </rv>
  <rv s="0">
    <fb>19.5</fb>
    <v>0</v>
  </rv>
  <rv s="0">
    <fb>19.55</fb>
    <v>0</v>
  </rv>
  <rv s="0">
    <fb>19.28</fb>
    <v>0</v>
  </rv>
  <rv s="0">
    <fb>19.86</fb>
    <v>0</v>
  </rv>
  <rv s="0">
    <fb>19.7</fb>
    <v>0</v>
  </rv>
  <rv s="0">
    <fb>19.63</fb>
    <v>0</v>
  </rv>
  <rv s="0">
    <fb>19.79</fb>
    <v>0</v>
  </rv>
  <rv s="0">
    <fb>20.18</fb>
    <v>0</v>
  </rv>
  <rv s="0">
    <fb>20.05</fb>
    <v>0</v>
  </rv>
  <rv s="0">
    <fb>20.149999999999999</fb>
    <v>0</v>
  </rv>
  <rv s="0">
    <fb>20.170000000000002</fb>
    <v>0</v>
  </rv>
  <rv s="0">
    <fb>19.97</fb>
    <v>0</v>
  </rv>
  <rv s="0">
    <fb>20.22</fb>
    <v>0</v>
  </rv>
  <rv s="0">
    <fb>20.32</fb>
    <v>0</v>
  </rv>
  <rv s="0">
    <fb>20.6</fb>
    <v>0</v>
  </rv>
  <rv s="0">
    <fb>20.474</fb>
    <v>0</v>
  </rv>
  <rv s="0">
    <fb>20.237100000000002</fb>
    <v>0</v>
  </rv>
  <rv s="0">
    <fb>19.87</fb>
    <v>0</v>
  </rv>
  <rv s="0">
    <fb>18.68</fb>
    <v>0</v>
  </rv>
  <rv s="0">
    <fb>18.875</fb>
    <v>0</v>
  </rv>
  <rv s="0">
    <fb>19.18</fb>
    <v>0</v>
  </rv>
  <rv s="0">
    <fb>19.059999999999999</fb>
    <v>0</v>
  </rv>
  <rv s="0">
    <fb>18.96</fb>
    <v>0</v>
  </rv>
  <rv s="0">
    <fb>18.87</fb>
    <v>0</v>
  </rv>
  <rv s="0">
    <fb>18.88</fb>
    <v>0</v>
  </rv>
  <rv s="0">
    <fb>18.93</fb>
    <v>0</v>
  </rv>
  <rv s="0">
    <fb>18.559999999999999</fb>
    <v>0</v>
  </rv>
  <rv s="0">
    <fb>18.510000000000002</fb>
    <v>0</v>
  </rv>
  <rv s="0">
    <fb>18.461400000000001</fb>
    <v>0</v>
  </rv>
  <rv s="0">
    <fb>18.72</fb>
    <v>0</v>
  </rv>
  <rv s="0">
    <fb>18.7</fb>
    <v>0</v>
  </rv>
  <rv s="0">
    <fb>18.739999999999998</fb>
    <v>0</v>
  </rv>
  <rv s="0">
    <fb>19.05</fb>
    <v>0</v>
  </rv>
  <rv s="0">
    <fb>19.579999999999998</fb>
    <v>0</v>
  </rv>
  <rv s="0">
    <fb>19.420000000000002</fb>
    <v>0</v>
  </rv>
  <rv s="0">
    <fb>19.09</fb>
    <v>0</v>
  </rv>
  <rv s="0">
    <fb>19.128299999999999</fb>
    <v>0</v>
  </rv>
  <rv s="0">
    <fb>19.170000000000002</fb>
    <v>0</v>
  </rv>
  <rv s="0">
    <fb>18.809999999999999</fb>
    <v>0</v>
  </rv>
  <rv s="0">
    <fb>18.27</fb>
    <v>0</v>
  </rv>
  <rv s="0">
    <fb>18.16</fb>
    <v>0</v>
  </rv>
  <rv s="0">
    <fb>18.239999999999998</fb>
    <v>0</v>
  </rv>
  <rv s="0">
    <fb>18.3</fb>
    <v>0</v>
  </rv>
  <rv s="0">
    <fb>18.18</fb>
    <v>0</v>
  </rv>
  <rv s="0">
    <fb>18.13</fb>
    <v>0</v>
  </rv>
  <rv s="0">
    <fb>18.11</fb>
    <v>0</v>
  </rv>
  <rv s="0">
    <fb>18.71</fb>
    <v>0</v>
  </rv>
  <rv s="0">
    <fb>18.61</fb>
    <v>0</v>
  </rv>
  <rv s="0">
    <fb>18.38</fb>
    <v>0</v>
  </rv>
  <rv s="0">
    <fb>18.02</fb>
    <v>0</v>
  </rv>
  <rv s="0">
    <fb>18.62</fb>
    <v>0</v>
  </rv>
  <rv s="0">
    <fb>18.309999999999999</fb>
    <v>0</v>
  </rv>
  <rv s="0">
    <fb>18.39</fb>
    <v>0</v>
  </rv>
  <rv s="0">
    <fb>18.23</fb>
    <v>0</v>
  </rv>
  <rv s="0">
    <fb>18.399999999999999</fb>
    <v>0</v>
  </rv>
  <rv s="0">
    <fb>17.96</fb>
    <v>0</v>
  </rv>
  <rv s="0">
    <fb>17.559999999999999</fb>
    <v>0</v>
  </rv>
  <rv s="0">
    <fb>17.72</fb>
    <v>0</v>
  </rv>
  <rv s="0">
    <fb>17.696000000000002</fb>
    <v>0</v>
  </rv>
  <rv s="0">
    <fb>18.010000000000002</fb>
    <v>0</v>
  </rv>
  <rv s="0">
    <fb>17.54</fb>
    <v>0</v>
  </rv>
  <rv s="0">
    <fb>17.34</fb>
    <v>0</v>
  </rv>
  <rv s="0">
    <fb>17.39</fb>
    <v>0</v>
  </rv>
  <rv s="0">
    <fb>17.27</fb>
    <v>0</v>
  </rv>
  <rv s="0">
    <fb>17.46</fb>
    <v>0</v>
  </rv>
  <rv s="0">
    <fb>17.625</fb>
    <v>0</v>
  </rv>
  <rv s="0">
    <fb>17.55</fb>
    <v>0</v>
  </rv>
  <rv s="0">
    <fb>17.47</fb>
    <v>0</v>
  </rv>
  <rv s="0">
    <fb>17.57</fb>
    <v>0</v>
  </rv>
  <rv s="0">
    <fb>17.489999999999998</fb>
    <v>0</v>
  </rv>
  <rv s="0">
    <fb>17.332999999999998</fb>
    <v>0</v>
  </rv>
  <rv s="0">
    <fb>17.263999999999999</fb>
    <v>0</v>
  </rv>
  <rv s="0">
    <fb>16.899999999999999</fb>
    <v>0</v>
  </rv>
  <rv s="0">
    <fb>16.917000000000002</fb>
    <v>0</v>
  </rv>
  <rv s="0">
    <fb>17.04</fb>
    <v>0</v>
  </rv>
  <rv s="0">
    <fb>16.77</fb>
    <v>0</v>
  </rv>
  <rv s="0">
    <fb>17.091699999999999</fb>
    <v>0</v>
  </rv>
  <rv s="0">
    <fb>17.100200000000001</fb>
    <v>0</v>
  </rv>
  <rv s="0">
    <fb>16.992799999999999</fb>
    <v>0</v>
  </rv>
  <rv s="0">
    <fb>17.309999999999999</fb>
    <v>0</v>
  </rv>
  <rv s="0">
    <fb>17.350000000000001</fb>
    <v>0</v>
  </rv>
  <rv s="0">
    <fb>17.22</fb>
    <v>0</v>
  </rv>
  <rv s="0">
    <fb>17.260000000000002</fb>
    <v>0</v>
  </rv>
  <rv s="0">
    <fb>17.53</fb>
    <v>0</v>
  </rv>
  <rv s="0">
    <fb>17.78</fb>
    <v>0</v>
  </rv>
  <rv s="0">
    <fb>17.88</fb>
    <v>0</v>
  </rv>
  <rv s="0">
    <fb>17.739999999999998</fb>
    <v>0</v>
  </rv>
  <rv s="0">
    <fb>17.61</fb>
    <v>0</v>
  </rv>
  <rv s="0">
    <fb>17.62</fb>
    <v>0</v>
  </rv>
  <rv s="0">
    <fb>17.63</fb>
    <v>0</v>
  </rv>
  <rv s="0">
    <fb>17.45</fb>
    <v>0</v>
  </rv>
  <rv s="0">
    <fb>17.670000000000002</fb>
    <v>0</v>
  </rv>
  <rv s="0">
    <fb>17.509399999999999</fb>
    <v>0</v>
  </rv>
  <rv s="0">
    <fb>17.420000000000002</fb>
    <v>0</v>
  </rv>
  <rv s="0">
    <fb>17.614999999999998</fb>
    <v>0</v>
  </rv>
  <rv s="0">
    <fb>17.87</fb>
    <v>0</v>
  </rv>
  <rv s="0">
    <fb>17.91</fb>
    <v>0</v>
  </rv>
  <rv s="0">
    <fb>17.916599999999999</fb>
    <v>0</v>
  </rv>
  <rv s="0">
    <fb>17.829999999999998</fb>
    <v>0</v>
  </rv>
  <rv s="0">
    <fb>17.7943</fb>
    <v>0</v>
  </rv>
  <rv s="0">
    <fb>17.97</fb>
    <v>0</v>
  </rv>
  <rv s="0">
    <fb>17.7654</fb>
    <v>0</v>
  </rv>
  <rv s="0">
    <fb>17.880600000000001</fb>
    <v>0</v>
  </rv>
  <rv s="0">
    <fb>18.026499999999999</fb>
    <v>0</v>
  </rv>
  <rv s="0">
    <fb>18.018000000000001</fb>
    <v>0</v>
  </rv>
  <rv s="0">
    <fb>19.89</fb>
    <v>0</v>
  </rv>
  <rv s="0">
    <fb>19.739999999999998</fb>
    <v>0</v>
  </rv>
  <rv s="0">
    <fb>18.91</fb>
    <v>0</v>
  </rv>
  <rv s="0">
    <fb>19.04</fb>
    <v>0</v>
  </rv>
  <rv s="0">
    <fb>18.850000000000001</fb>
    <v>0</v>
  </rv>
  <rv s="0">
    <fb>18.55</fb>
    <v>0</v>
  </rv>
  <rv s="0">
    <fb>18.66</fb>
    <v>0</v>
  </rv>
  <rv s="0">
    <fb>18.8</fb>
    <v>0</v>
  </rv>
  <rv s="0">
    <fb>18.86</fb>
    <v>0</v>
  </rv>
  <rv s="0">
    <fb>19.350000000000001</fb>
    <v>0</v>
  </rv>
  <rv s="0">
    <fb>19.27</fb>
    <v>0</v>
  </rv>
  <rv s="0">
    <fb>19.100000000000001</fb>
    <v>0</v>
  </rv>
  <rv s="0">
    <fb>19.079999999999998</fb>
    <v>0</v>
  </rv>
  <rv s="0">
    <fb>18.920000000000002</fb>
    <v>0</v>
  </rv>
  <rv s="0">
    <fb>19</fb>
    <v>0</v>
  </rv>
  <rv s="0">
    <fb>19.11</fb>
    <v>0</v>
  </rv>
  <rv s="0">
    <fb>19.25</fb>
    <v>0</v>
  </rv>
  <rv s="0">
    <fb>19.309999999999999</fb>
    <v>0</v>
  </rv>
  <rv s="0">
    <fb>19.22</fb>
    <v>0</v>
  </rv>
  <rv s="0">
    <fb>19.45</fb>
    <v>0</v>
  </rv>
  <rv s="0">
    <fb>19.489999999999998</fb>
    <v>0</v>
  </rv>
  <rv s="0">
    <fb>19.3</fb>
    <v>0</v>
  </rv>
  <rv s="0">
    <fb>19.239999999999998</fb>
    <v>0</v>
  </rv>
  <rv s="0">
    <fb>19.77</fb>
    <v>0</v>
  </rv>
  <rv s="0">
    <fb>19.8</fb>
    <v>0</v>
  </rv>
  <rv s="0">
    <fb>19.95</fb>
    <v>0</v>
  </rv>
  <rv s="0">
    <fb>19.920000000000002</fb>
    <v>0</v>
  </rv>
  <rv s="0">
    <fb>19.78</fb>
    <v>0</v>
  </rv>
  <rv s="0">
    <fb>19.73</fb>
    <v>0</v>
  </rv>
  <rv s="0">
    <fb>19.47</fb>
    <v>0</v>
  </rv>
  <rv s="0">
    <fb>19.29</fb>
    <v>0</v>
  </rv>
  <rv s="0">
    <fb>19.190000000000001</fb>
    <v>0</v>
  </rv>
  <rv s="0">
    <fb>17.23</fb>
    <v>0</v>
  </rv>
  <rv s="0">
    <fb>18.114999999999998</fb>
    <v>0</v>
  </rv>
  <rv s="0">
    <fb>18.059999999999999</fb>
    <v>0</v>
  </rv>
  <rv s="0">
    <fb>17.9819</fb>
    <v>0</v>
  </rv>
  <rv s="0">
    <fb>18.2273</fb>
    <v>0</v>
  </rv>
  <rv s="0">
    <fb>17.994900000000001</fb>
    <v>0</v>
  </rv>
  <rv s="0">
    <fb>18.2849</fb>
    <v>0</v>
  </rv>
  <rv s="0">
    <fb>18.714700000000001</fb>
    <v>0</v>
  </rv>
  <rv s="0">
    <fb>18.899999999999999</fb>
    <v>0</v>
  </rv>
  <rv s="0">
    <fb>18.75</fb>
    <v>0</v>
  </rv>
  <rv s="0">
    <fb>18.46</fb>
    <v>0</v>
  </rv>
  <rv s="0">
    <fb>18.7074</fb>
    <v>0</v>
  </rv>
  <rv s="0">
    <fb>18.690000000000001</fb>
    <v>0</v>
  </rv>
  <rv s="0">
    <fb>18.509599999999999</fb>
    <v>0</v>
  </rv>
  <rv s="0">
    <fb>18.3902</fb>
    <v>0</v>
  </rv>
  <rv s="0">
    <fb>18.73</fb>
    <v>0</v>
  </rv>
  <rv s="0">
    <fb>18.545000000000002</fb>
    <v>0</v>
  </rv>
  <rv s="0">
    <fb>18.708100000000002</fb>
    <v>0</v>
  </rv>
  <rv s="0">
    <fb>18.726500000000001</fb>
    <v>0</v>
  </rv>
  <rv s="0">
    <fb>18.760000000000002</fb>
    <v>0</v>
  </rv>
  <rv s="0">
    <fb>18.824999999999999</fb>
    <v>0</v>
  </rv>
  <rv s="0">
    <fb>19.008199999999999</fb>
    <v>0</v>
  </rv>
  <rv s="0">
    <fb>19.094999999999999</fb>
    <v>0</v>
  </rv>
  <rv s="0">
    <fb>19.41</fb>
    <v>0</v>
  </rv>
  <rv s="0">
    <fb>19.37</fb>
    <v>0</v>
  </rv>
  <rv s="0">
    <fb>19.329999999999998</fb>
    <v>0</v>
  </rv>
  <rv s="0">
    <fb>19.399999999999999</fb>
    <v>0</v>
  </rv>
  <rv s="0">
    <fb>19.168900000000001</fb>
    <v>0</v>
  </rv>
  <rv s="0">
    <fb>19.1904</fb>
    <v>0</v>
  </rv>
  <rv s="0">
    <fb>19.03</fb>
    <v>0</v>
  </rv>
  <rv s="0">
    <fb>19.236899999999999</fb>
    <v>0</v>
  </rv>
  <rv s="0">
    <fb>19.72</fb>
    <v>0</v>
  </rv>
  <rv s="0">
    <fb>19.84</fb>
    <v>0</v>
  </rv>
  <rv s="0">
    <fb>19.52</fb>
    <v>0</v>
  </rv>
  <rv s="0">
    <fb>19.260000000000002</fb>
    <v>0</v>
  </rv>
  <rv s="0">
    <fb>19.2</fb>
    <v>0</v>
  </rv>
  <rv s="0">
    <fb>19.559999999999999</fb>
    <v>0</v>
  </rv>
  <rv s="0">
    <fb>19.747</fb>
    <v>0</v>
  </rv>
  <rv s="0">
    <fb>19.437000000000001</fb>
    <v>0</v>
  </rv>
  <rv s="0">
    <fb>19.64</fb>
    <v>0</v>
  </rv>
  <rv s="0">
    <fb>19.603899999999999</fb>
    <v>0</v>
  </rv>
  <rv s="0">
    <fb>19.71</fb>
    <v>0</v>
  </rv>
  <rv s="0">
    <fb>19.899999999999999</fb>
    <v>0</v>
  </rv>
  <rv s="0">
    <fb>20.56</fb>
    <v>0</v>
  </rv>
  <rv s="0">
    <fb>20.239999999999998</fb>
    <v>0</v>
  </rv>
  <rv s="0">
    <fb>20.21</fb>
    <v>0</v>
  </rv>
  <rv s="0">
    <fb>20.09</fb>
    <v>0</v>
  </rv>
  <rv s="0">
    <fb>20.57</fb>
    <v>0</v>
  </rv>
  <rv s="0">
    <fb>21.01</fb>
    <v>0</v>
  </rv>
  <rv s="0">
    <fb>21.1113</fb>
    <v>0</v>
  </rv>
  <rv s="0">
    <fb>21.8</fb>
    <v>0</v>
  </rv>
  <rv s="0">
    <fb>83.43</fb>
    <v>0</v>
  </rv>
  <rv s="0">
    <fb>84.21</fb>
    <v>0</v>
  </rv>
  <rv s="0">
    <fb>86.649199999999993</fb>
    <v>0</v>
  </rv>
  <rv s="0">
    <fb>82.725800000000007</fb>
    <v>0</v>
  </rv>
  <rv s="0">
    <fb>84.43</fb>
    <v>0</v>
  </rv>
  <rv s="0">
    <fb>85.09</fb>
    <v>0</v>
  </rv>
  <rv s="0">
    <fb>86.21</fb>
    <v>0</v>
  </rv>
  <rv s="0">
    <fb>90.28</fb>
    <v>0</v>
  </rv>
  <rv s="0">
    <fb>87.37</fb>
    <v>0</v>
  </rv>
  <rv s="0">
    <fb>89.48</fb>
    <v>0</v>
  </rv>
  <rv s="0">
    <fb>84.9</fb>
    <v>0</v>
  </rv>
  <rv s="0">
    <fb>84.11</fb>
    <v>0</v>
  </rv>
  <rv s="0">
    <fb>84.5</fb>
    <v>0</v>
  </rv>
  <rv s="0">
    <fb>85.73</fb>
    <v>0</v>
  </rv>
  <rv s="0">
    <fb>86.96</fb>
    <v>0</v>
  </rv>
  <rv s="0">
    <fb>86.4</fb>
    <v>0</v>
  </rv>
  <rv s="0">
    <fb>84.84</fb>
    <v>0</v>
  </rv>
  <rv s="0">
    <fb>85.68</fb>
    <v>0</v>
  </rv>
  <rv s="0">
    <fb>85.76</fb>
    <v>0</v>
  </rv>
  <rv s="0">
    <fb>92.97</fb>
    <v>0</v>
  </rv>
  <rv s="0">
    <fb>92.08</fb>
    <v>0</v>
  </rv>
  <rv s="0">
    <fb>91.2</fb>
    <v>0</v>
  </rv>
  <rv s="0">
    <fb>88.45</fb>
    <v>0</v>
  </rv>
  <rv s="0">
    <fb>88.78</fb>
    <v>0</v>
  </rv>
  <rv s="0">
    <fb>98.6</fb>
    <v>0</v>
  </rv>
  <rv s="0">
    <fb>94.41</fb>
    <v>0</v>
  </rv>
  <rv s="0">
    <fb>101.16</fb>
    <v>0</v>
  </rv>
  <rv s="0">
    <fb>106.05</fb>
    <v>0</v>
  </rv>
  <rv s="0">
    <fb>101.46</fb>
    <v>0</v>
  </rv>
  <rv s="0">
    <fb>101.2</fb>
    <v>0</v>
  </rv>
  <rv s="0">
    <fb>101.25</fb>
    <v>0</v>
  </rv>
  <rv s="0">
    <fb>104.9</fb>
    <v>0</v>
  </rv>
  <rv s="0">
    <fb>109.13</fb>
    <v>0</v>
  </rv>
  <rv s="0">
    <fb>116.95</fb>
    <v>0</v>
  </rv>
  <rv s="0">
    <fb>117.02</fb>
    <v>0</v>
  </rv>
  <rv s="0">
    <fb>111.73</fb>
    <v>0</v>
  </rv>
  <rv s="0">
    <fb>112.47</fb>
    <v>0</v>
  </rv>
  <rv s="0">
    <fb>114.51</fb>
    <v>0</v>
  </rv>
  <rv s="0">
    <fb>108.42</fb>
    <v>0</v>
  </rv>
  <rv s="0">
    <fb>108.66</fb>
    <v>0</v>
  </rv>
  <rv s="0">
    <fb>110.11</fb>
    <v>0</v>
  </rv>
  <rv s="0">
    <fb>107.39</fb>
    <v>0</v>
  </rv>
  <rv s="0">
    <fb>105.66</fb>
    <v>0</v>
  </rv>
  <rv s="0">
    <fb>102.83</fb>
    <v>0</v>
  </rv>
  <rv s="0">
    <fb>100.22</fb>
    <v>0</v>
  </rv>
  <rv s="0">
    <fb>99.79</fb>
    <v>0</v>
  </rv>
  <rv s="0">
    <fb>104.64</fb>
    <v>0</v>
  </rv>
  <rv s="0">
    <fb>103.98</fb>
    <v>0</v>
  </rv>
  <rv s="0">
    <fb>110.66</fb>
    <v>0</v>
  </rv>
  <rv s="0">
    <fb>109.36</fb>
    <v>0</v>
  </rv>
  <rv s="0">
    <fb>104.85</fb>
    <v>0</v>
  </rv>
  <rv s="0">
    <fb>108.36</fb>
    <v>0</v>
  </rv>
  <rv s="0">
    <fb>111.79</fb>
    <v>0</v>
  </rv>
  <rv s="0">
    <fb>115.03</fb>
    <v>0</v>
  </rv>
  <rv s="0">
    <fb>115.68</fb>
    <v>0</v>
  </rv>
  <rv s="0">
    <fb>122.96</fb>
    <v>0</v>
  </rv>
  <rv s="0">
    <fb>134.28</fb>
    <v>0</v>
  </rv>
  <rv s="0">
    <fb>129.43</fb>
    <v>0</v>
  </rv>
  <rv s="0">
    <fb>129.53</fb>
    <v>0</v>
  </rv>
  <rv s="0">
    <fb>140.86000000000001</fb>
    <v>0</v>
  </rv>
  <rv s="0">
    <fb>137.93</fb>
    <v>0</v>
  </rv>
  <rv s="0">
    <fb>127.88</fb>
    <v>0</v>
  </rv>
  <rv s="0">
    <fb>127.91</fb>
    <v>0</v>
  </rv>
  <rv s="0">
    <fb>125.44</fb>
    <v>0</v>
  </rv>
  <rv s="0">
    <fb>132.22</fb>
    <v>0</v>
  </rv>
  <rv s="0">
    <fb>130.01</fb>
    <v>0</v>
  </rv>
  <rv s="0">
    <fb>28.26</fb>
    <v>0</v>
  </rv>
  <rv s="0">
    <fb>28.09</fb>
    <v>0</v>
  </rv>
  <rv s="0">
    <fb>28.84</fb>
    <v>0</v>
  </rv>
  <rv s="0">
    <fb>27.84</fb>
    <v>0</v>
  </rv>
  <rv s="0">
    <fb>28.03</fb>
    <v>0</v>
  </rv>
  <rv s="0">
    <fb>29.18</fb>
    <v>0</v>
  </rv>
  <rv s="0">
    <fb>28.92</fb>
    <v>0</v>
  </rv>
  <rv s="0">
    <fb>26.06</fb>
    <v>0</v>
  </rv>
  <rv s="0">
    <fb>23.49</fb>
    <v>0</v>
  </rv>
  <rv s="0">
    <fb>24.67</fb>
    <v>0</v>
  </rv>
  <rv s="0">
    <fb>23.66</fb>
    <v>0</v>
  </rv>
  <rv s="0">
    <fb>23.51</fb>
    <v>0</v>
  </rv>
  <rv s="0">
    <fb>25</fb>
    <v>0</v>
  </rv>
  <rv s="0">
    <fb>23.08</fb>
    <v>0</v>
  </rv>
  <rv s="0">
    <fb>20.260000000000002</fb>
    <v>0</v>
  </rv>
  <rv s="0">
    <fb>22.65</fb>
    <v>0</v>
  </rv>
  <rv s="0">
    <fb>22.84</fb>
    <v>0</v>
  </rv>
  <rv s="0">
    <fb>22.71</fb>
    <v>0</v>
  </rv>
  <rv s="0">
    <fb>22.66</fb>
    <v>0</v>
  </rv>
  <rv s="0">
    <fb>25.31</fb>
    <v>0</v>
  </rv>
  <rv s="0">
    <fb>28.52</fb>
    <v>0</v>
  </rv>
  <rv s="0">
    <fb>31.83</fb>
    <v>0</v>
  </rv>
  <rv s="0">
    <fb>32.26</fb>
    <v>0</v>
  </rv>
  <rv s="0">
    <fb>32.01</fb>
    <v>0</v>
  </rv>
  <rv s="0">
    <fb>33.64</fb>
    <v>0</v>
  </rv>
  <rv s="0">
    <fb>34.049999999999997</fb>
    <v>0</v>
  </rv>
  <rv s="0">
    <fb>35.869999999999997</fb>
    <v>0</v>
  </rv>
  <rv s="0">
    <fb>36.01</fb>
    <v>0</v>
  </rv>
  <rv s="0">
    <fb>36.130000000000003</fb>
    <v>0</v>
  </rv>
  <rv s="0">
    <fb>37.770000000000003</fb>
    <v>0</v>
  </rv>
  <rv s="0">
    <fb>38.71</fb>
    <v>0</v>
  </rv>
  <rv s="0">
    <fb>37.42</fb>
    <v>0</v>
  </rv>
  <rv s="0">
    <fb>37.020000000000003</fb>
    <v>0</v>
  </rv>
  <rv s="0">
    <fb>39.36</fb>
    <v>0</v>
  </rv>
  <rv s="0">
    <fb>38.22</fb>
    <v>0</v>
  </rv>
  <rv s="0">
    <fb>39.630000000000003</fb>
    <v>0</v>
  </rv>
  <rv s="0">
    <fb>40.409999999999997</fb>
    <v>0</v>
  </rv>
  <rv s="0">
    <fb>36.96</fb>
    <v>0</v>
  </rv>
  <rv s="0">
    <fb>39.44</fb>
    <v>0</v>
  </rv>
  <rv s="0">
    <fb>40.98</fb>
    <v>0</v>
  </rv>
  <rv s="0">
    <fb>55.02</fb>
    <v>0</v>
  </rv>
  <rv s="0">
    <fb>55.12</fb>
    <v>0</v>
  </rv>
  <rv s="0">
    <fb>47.82</fb>
    <v>0</v>
  </rv>
  <rv s="0">
    <fb>48.9</fb>
    <v>0</v>
  </rv>
  <rv s="0">
    <fb>47.64</fb>
    <v>0</v>
  </rv>
  <rv s="0">
    <fb>62.115600000000001</fb>
    <v>0</v>
  </rv>
  <rv s="0">
    <fb>60.7759</fb>
    <v>0</v>
  </rv>
  <rv s="0">
    <fb>61.225000000000001</fb>
    <v>0</v>
  </rv>
  <rv s="0">
    <fb>61.219099999999997</fb>
    <v>0</v>
  </rv>
  <rv s="0">
    <fb>61.401000000000003</fb>
    <v>0</v>
  </rv>
  <rv s="0">
    <fb>65.046700000000001</fb>
    <v>0</v>
  </rv>
  <rv s="0">
    <fb>66.277600000000007</fb>
    <v>0</v>
  </rv>
  <rv s="0">
    <fb>66.534899999999993</fb>
    <v>0</v>
  </rv>
  <rv s="0">
    <fb>64.554400000000001</fb>
    <v>0</v>
  </rv>
  <rv s="0">
    <fb>63.55</fb>
    <v>0</v>
  </rv>
  <rv s="0">
    <fb>64.2</fb>
    <v>0</v>
  </rv>
  <rv s="0">
    <fb>64.680000000000007</fb>
    <v>0</v>
  </rv>
  <rv s="0">
    <fb>63.409399999999998</fb>
    <v>0</v>
  </rv>
  <rv s="0">
    <fb>62.506900000000002</fb>
    <v>0</v>
  </rv>
  <rv s="0">
    <fb>61.39</fb>
    <v>0</v>
  </rv>
  <rv s="0">
    <fb>58.556100000000001</fb>
    <v>0</v>
  </rv>
  <rv s="0">
    <fb>59.142299999999999</fb>
    <v>0</v>
  </rv>
  <rv s="0">
    <fb>60.287700000000001</fb>
    <v>0</v>
  </rv>
  <rv s="0">
    <fb>60.2</fb>
    <v>0</v>
  </rv>
  <rv s="0">
    <fb>60.85</fb>
    <v>0</v>
  </rv>
  <rv s="0">
    <fb>61.560499999999998</fb>
    <v>0</v>
  </rv>
  <rv s="0">
    <fb>62.101500000000001</fb>
    <v>0</v>
  </rv>
  <rv s="0">
    <fb>62.78</fb>
    <v>0</v>
  </rv>
  <rv s="0">
    <fb>64.249499999999998</fb>
    <v>0</v>
  </rv>
  <rv s="0">
    <fb>64.610399999999998</fb>
    <v>0</v>
  </rv>
  <rv s="0">
    <fb>65.453199999999995</fb>
    <v>0</v>
  </rv>
  <rv s="0">
    <fb>60.535400000000003</fb>
    <v>0</v>
  </rv>
  <rv s="0">
    <fb>56.875599999999999</fb>
    <v>0</v>
  </rv>
  <rv s="0">
    <fb>55.287300000000002</fb>
    <v>0</v>
  </rv>
  <rv s="0">
    <fb>57.196899999999999</fb>
    <v>0</v>
  </rv>
  <rv s="0">
    <fb>55.3874</fb>
    <v>0</v>
  </rv>
  <rv s="0">
    <fb>57.024999999999999</fb>
    <v>0</v>
  </rv>
  <rv s="0">
    <fb>57.580100000000002</fb>
    <v>0</v>
  </rv>
  <rv s="0">
    <fb>58.316699999999997</fb>
    <v>0</v>
  </rv>
  <rv s="0">
    <fb>59.1038</fb>
    <v>0</v>
  </rv>
  <rv s="0">
    <fb>56.922199999999997</fb>
    <v>0</v>
  </rv>
  <rv s="0">
    <fb>57.801699999999997</fb>
    <v>0</v>
  </rv>
  <rv s="0">
    <fb>57.211399999999998</fb>
    <v>0</v>
  </rv>
  <rv s="0">
    <fb>58.359699999999997</fb>
    <v>0</v>
  </rv>
  <rv s="0">
    <fb>59.622500000000002</fb>
    <v>0</v>
  </rv>
  <rv s="0">
    <fb>60.28</fb>
    <v>0</v>
  </rv>
  <rv s="0">
    <fb>61.2408</fb>
    <v>0</v>
  </rv>
  <rv s="0">
    <fb>61.039400000000001</fb>
    <v>0</v>
  </rv>
  <rv s="0">
    <fb>60.307600000000001</fb>
    <v>0</v>
  </rv>
  <rv s="0">
    <fb>60.4178</fb>
    <v>0</v>
  </rv>
  <rv s="0">
    <fb>60.004899999999999</fb>
    <v>0</v>
  </rv>
  <rv s="0">
    <fb>59.173200000000001</fb>
    <v>0</v>
  </rv>
  <rv s="0">
    <fb>58.733199999999997</fb>
    <v>0</v>
  </rv>
  <rv s="0">
    <fb>60.0152</fb>
    <v>0</v>
  </rv>
  <rv s="0">
    <fb>60.4773</fb>
    <v>0</v>
  </rv>
  <rv s="0">
    <fb>60.271500000000003</fb>
    <v>0</v>
  </rv>
  <rv s="0">
    <fb>62.321399999999997</fb>
    <v>0</v>
  </rv>
  <rv s="0">
    <fb>62.05</fb>
    <v>0</v>
  </rv>
  <rv s="0">
    <fb>65.546899999999994</fb>
    <v>0</v>
  </rv>
  <rv s="0">
    <fb>67.275000000000006</fb>
    <v>0</v>
  </rv>
  <rv s="0">
    <fb>60.244599999999998</fb>
    <v>0</v>
  </rv>
  <rv s="0">
    <fb>60.48</fb>
    <v>0</v>
  </rv>
  <rv s="0">
    <fb>60.215000000000003</fb>
    <v>0</v>
  </rv>
  <rv s="0">
    <fb>61.6233</fb>
    <v>0</v>
  </rv>
  <rv s="0">
    <fb>61.65</fb>
    <v>0</v>
  </rv>
  <rv s="0">
    <fb>62.731099999999998</fb>
    <v>0</v>
  </rv>
  <rv s="0">
    <fb>63.82</fb>
    <v>0</v>
  </rv>
  <rv s="0">
    <fb>62.753900000000002</fb>
    <v>0</v>
  </rv>
  <rv s="0">
    <fb>63.830800000000004</fb>
    <v>0</v>
  </rv>
  <rv s="0">
    <fb>63.238799999999998</fb>
    <v>0</v>
  </rv>
  <rv s="0">
    <fb>62.773400000000002</fb>
    <v>0</v>
  </rv>
  <rv s="0">
    <fb>63.259300000000003</fb>
    <v>0</v>
  </rv>
  <rv s="0">
    <fb>62.596499999999999</fb>
    <v>0</v>
  </rv>
  <rv s="0">
    <fb>62.051900000000003</fb>
    <v>0</v>
  </rv>
  <rv s="0">
    <fb>61.965699999999998</fb>
    <v>0</v>
  </rv>
  <rv s="0">
    <fb>61.182299999999998</fb>
    <v>0</v>
  </rv>
  <rv s="0">
    <fb>62.769399999999997</fb>
    <v>0</v>
  </rv>
  <rv s="0">
    <fb>64.803200000000004</fb>
    <v>0</v>
  </rv>
  <rv s="0">
    <fb>65.708699999999993</fb>
    <v>0</v>
  </rv>
  <rv s="0">
    <fb>64.385300000000001</fb>
    <v>0</v>
  </rv>
  <rv s="0">
    <fb>62.692999999999998</fb>
    <v>0</v>
  </rv>
  <rv s="0">
    <fb>62.404600000000002</fb>
    <v>0</v>
  </rv>
  <rv s="0">
    <fb>62.191099999999999</fb>
    <v>0</v>
  </rv>
  <rv s="0">
    <fb>61.625100000000003</fb>
    <v>0</v>
  </rv>
  <rv s="0">
    <fb>61.856900000000003</fb>
    <v>0</v>
  </rv>
  <rv s="0">
    <fb>61.856400000000001</fb>
    <v>0</v>
  </rv>
  <rv s="0">
    <fb>61.728200000000001</fb>
    <v>0</v>
  </rv>
  <rv s="0">
    <fb>62.808100000000003</fb>
    <v>0</v>
  </rv>
  <rv s="0">
    <fb>61.963799999999999</fb>
    <v>0</v>
  </rv>
  <rv s="0">
    <fb>62.624499999999998</fb>
    <v>0</v>
  </rv>
  <rv s="0">
    <fb>62.240200000000002</fb>
    <v>0</v>
  </rv>
  <rv s="0">
    <fb>64.185599999999994</fb>
    <v>0</v>
  </rv>
  <rv s="0">
    <fb>64.478499999999997</fb>
    <v>0</v>
  </rv>
  <rv s="0">
    <fb>64.59</fb>
    <v>0</v>
  </rv>
  <rv s="0">
    <fb>63.446599999999997</fb>
    <v>0</v>
  </rv>
  <rv s="0">
    <fb>63.476799999999997</fb>
    <v>0</v>
  </rv>
  <rv s="0">
    <fb>64.154200000000003</fb>
    <v>0</v>
  </rv>
  <rv s="0">
    <fb>63.772799999999997</fb>
    <v>0</v>
  </rv>
  <rv s="0">
    <fb>63.486499999999999</fb>
    <v>0</v>
  </rv>
  <rv s="0">
    <fb>64.352000000000004</fb>
    <v>0</v>
  </rv>
  <rv s="0">
    <fb>65.203699999999998</fb>
    <v>0</v>
  </rv>
  <rv s="0">
    <fb>65.608999999999995</fb>
    <v>0</v>
  </rv>
  <rv s="0">
    <fb>65.424099999999996</fb>
    <v>0</v>
  </rv>
  <rv s="0">
    <fb>63.940199999999997</fb>
    <v>0</v>
  </rv>
  <rv s="0">
    <fb>64.061300000000003</fb>
    <v>0</v>
  </rv>
  <rv s="0">
    <fb>65.119299999999996</fb>
    <v>0</v>
  </rv>
  <rv s="0">
    <fb>66.209599999999995</fb>
    <v>0</v>
  </rv>
  <rv s="0">
    <fb>64.487499999999997</fb>
    <v>0</v>
  </rv>
  <rv s="0">
    <fb>63.211399999999998</fb>
    <v>0</v>
  </rv>
  <rv s="0">
    <fb>63.575000000000003</fb>
    <v>0</v>
  </rv>
  <rv s="0">
    <fb>63.816800000000001</fb>
    <v>0</v>
  </rv>
  <rv s="0">
    <fb>61.016599999999997</fb>
    <v>0</v>
  </rv>
  <rv s="0">
    <fb>61.38</fb>
    <v>0</v>
  </rv>
  <rv s="0">
    <fb>64.438900000000004</fb>
    <v>0</v>
  </rv>
  <rv s="0">
    <fb>64.569900000000004</fb>
    <v>0</v>
  </rv>
  <rv s="0">
    <fb>64.0852</fb>
    <v>0</v>
  </rv>
  <rv s="0">
    <fb>64.985600000000005</fb>
    <v>0</v>
  </rv>
  <rv s="0">
    <fb>65.574299999999994</fb>
    <v>0</v>
  </rv>
  <rv s="0">
    <fb>68.118200000000002</fb>
    <v>0</v>
  </rv>
  <rv s="0">
    <fb>69.584999999999994</fb>
    <v>0</v>
  </rv>
  <rv s="0">
    <fb>67.7</fb>
    <v>0</v>
  </rv>
  <rv s="0">
    <fb>69.456999999999994</fb>
    <v>0</v>
  </rv>
  <rv s="0">
    <fb>69.234700000000004</fb>
    <v>0</v>
  </rv>
  <rv s="0">
    <fb>25.63</fb>
    <v>0</v>
  </rv>
  <rv s="0">
    <fb>25.59</fb>
    <v>0</v>
  </rv>
  <rv s="0">
    <fb>25.79</fb>
    <v>0</v>
  </rv>
  <rv s="0">
    <fb>26</fb>
    <v>0</v>
  </rv>
  <rv s="0">
    <fb>27.75</fb>
    <v>0</v>
  </rv>
  <rv s="0">
    <fb>27</fb>
    <v>0</v>
  </rv>
  <rv s="0">
    <fb>27.15</fb>
    <v>0</v>
  </rv>
  <rv s="0">
    <fb>28.88</fb>
    <v>0</v>
  </rv>
  <rv s="0">
    <fb>28.57</fb>
    <v>0</v>
  </rv>
  <rv s="0">
    <fb>30.08</fb>
    <v>0</v>
  </rv>
  <rv s="0">
    <fb>30.78</fb>
    <v>0</v>
  </rv>
  <rv s="0">
    <fb>32.68</fb>
    <v>0</v>
  </rv>
  <rv s="0">
    <fb>31.52</fb>
    <v>0</v>
  </rv>
  <rv s="0">
    <fb>25.72</fb>
    <v>0</v>
  </rv>
  <rv s="0">
    <fb>29.4</fb>
    <v>0</v>
  </rv>
  <rv s="0">
    <fb>29.32</fb>
    <v>0</v>
  </rv>
  <rv s="0">
    <fb>30.38</fb>
    <v>0</v>
  </rv>
  <rv s="0">
    <fb>30.37</fb>
    <v>0</v>
  </rv>
  <rv s="0">
    <fb>28.54</fb>
    <v>0</v>
  </rv>
  <rv s="0">
    <fb>28.82</fb>
    <v>0</v>
  </rv>
  <rv s="0">
    <fb>28.58</fb>
    <v>0</v>
  </rv>
  <rv s="0">
    <fb>28.61</fb>
    <v>0</v>
  </rv>
  <rv s="0">
    <fb>29.21</fb>
    <v>0</v>
  </rv>
  <rv s="0">
    <fb>29.65</fb>
    <v>0</v>
  </rv>
  <rv s="0">
    <fb>29.16</fb>
    <v>0</v>
  </rv>
  <rv s="0">
    <fb>29.36</fb>
    <v>0</v>
  </rv>
  <rv s="0">
    <fb>30.29</fb>
    <v>0</v>
  </rv>
  <rv s="0">
    <fb>30.86</fb>
    <v>0</v>
  </rv>
  <rv s="0">
    <fb>32.24</fb>
    <v>0</v>
  </rv>
  <rv s="0">
    <fb>34.299999999999997</fb>
    <v>0</v>
  </rv>
  <rv s="0">
    <fb>34.799999999999997</fb>
    <v>0</v>
  </rv>
  <rv s="0">
    <fb>34.28</fb>
    <v>0</v>
  </rv>
  <rv s="0">
    <fb>34.31</fb>
    <v>0</v>
  </rv>
  <rv s="0">
    <fb>34.15</fb>
    <v>0</v>
  </rv>
  <rv s="0">
    <fb>34.94</fb>
    <v>0</v>
  </rv>
  <rv s="0">
    <fb>35.5</fb>
    <v>0</v>
  </rv>
  <rv s="0">
    <fb>36.1</fb>
    <v>0</v>
  </rv>
  <rv s="0">
    <fb>36.17</fb>
    <v>0</v>
  </rv>
  <rv s="0">
    <fb>35.840000000000003</fb>
    <v>0</v>
  </rv>
  <rv s="0">
    <fb>28.24</fb>
    <v>0</v>
  </rv>
  <rv s="0">
    <fb>27.69</fb>
    <v>0</v>
  </rv>
  <rv s="0">
    <fb>27.66</fb>
    <v>0</v>
  </rv>
  <rv s="0">
    <fb>27.86</fb>
    <v>0</v>
  </rv>
  <rv s="0">
    <fb>28.8</fb>
    <v>0</v>
  </rv>
  <rv s="0">
    <fb>28.42</fb>
    <v>0</v>
  </rv>
  <rv s="0">
    <fb>28.34</fb>
    <v>0</v>
  </rv>
  <rv s="0">
    <fb>28.62</fb>
    <v>0</v>
  </rv>
  <rv s="0">
    <fb>29.7</fb>
    <v>0</v>
  </rv>
  <rv s="0">
    <fb>29.37</fb>
    <v>0</v>
  </rv>
  <rv s="0">
    <fb>30.27</fb>
    <v>0</v>
  </rv>
  <rv s="0">
    <fb>30.84</fb>
    <v>0</v>
  </rv>
  <rv s="0">
    <fb>30.54</fb>
    <v>0</v>
  </rv>
  <rv s="0">
    <fb>11.31</fb>
    <v>0</v>
  </rv>
  <rv s="0">
    <fb>13</fb>
    <v>0</v>
  </rv>
  <rv s="0">
    <fb>12.08</fb>
    <v>0</v>
  </rv>
  <rv s="0">
    <fb>12.05</fb>
    <v>0</v>
  </rv>
  <rv s="0">
    <fb>12.25</fb>
    <v>0</v>
  </rv>
  <rv s="0">
    <fb>14</fb>
    <v>0</v>
  </rv>
  <rv s="0">
    <fb>14.5</fb>
    <v>0</v>
  </rv>
  <rv s="0">
    <fb>13.75</fb>
    <v>0</v>
  </rv>
  <rv s="0">
    <fb>14.32</fb>
    <v>0</v>
  </rv>
  <rv s="0">
    <fb>14.64</fb>
    <v>0</v>
  </rv>
  <rv s="0">
    <fb>13.47</fb>
    <v>0</v>
  </rv>
  <rv s="0">
    <fb>12.85</fb>
    <v>0</v>
  </rv>
  <rv s="0">
    <fb>12.775</fb>
    <v>0</v>
  </rv>
  <rv s="0">
    <fb>13.21</fb>
    <v>0</v>
  </rv>
  <rv s="0">
    <fb>12.7</fb>
    <v>0</v>
  </rv>
  <rv s="0">
    <fb>13.37</fb>
    <v>0</v>
  </rv>
  <rv s="0">
    <fb>13.52</fb>
    <v>0</v>
  </rv>
  <rv s="0">
    <fb>12.891999999999999</fb>
    <v>0</v>
  </rv>
  <rv s="0">
    <fb>13.505000000000001</fb>
    <v>0</v>
  </rv>
  <rv s="0">
    <fb>13.28</fb>
    <v>0</v>
  </rv>
  <rv s="0">
    <fb>13.01</fb>
    <v>0</v>
  </rv>
  <rv s="0">
    <fb>13.11</fb>
    <v>0</v>
  </rv>
  <rv s="0">
    <fb>13.61</fb>
    <v>0</v>
  </rv>
  <rv s="0">
    <fb>13.31</fb>
    <v>0</v>
  </rv>
  <rv s="0">
    <fb>13.56</fb>
    <v>0</v>
  </rv>
  <rv s="0">
    <fb>13.36</fb>
    <v>0</v>
  </rv>
  <rv s="0">
    <fb>13.82</fb>
    <v>0</v>
  </rv>
  <rv s="0">
    <fb>13.79</fb>
    <v>0</v>
  </rv>
  <rv s="0">
    <fb>13.6</fb>
    <v>0</v>
  </rv>
  <rv s="0">
    <fb>13.87</fb>
    <v>0</v>
  </rv>
  <rv s="0">
    <fb>15.08</fb>
    <v>0</v>
  </rv>
  <rv s="0">
    <fb>15.39</fb>
    <v>0</v>
  </rv>
  <rv s="0">
    <fb>16.2</fb>
    <v>0</v>
  </rv>
  <rv s="0">
    <fb>16.5</fb>
    <v>0</v>
  </rv>
  <rv s="0">
    <fb>16.420000000000002</fb>
    <v>0</v>
  </rv>
  <rv s="0">
    <fb>16.11</fb>
    <v>0</v>
  </rv>
  <rv s="0">
    <fb>17.649999999999999</fb>
    <v>0</v>
  </rv>
  <rv s="0">
    <fb>18.315000000000001</fb>
    <v>0</v>
  </rv>
  <rv s="0">
    <fb>19.75</fb>
    <v>0</v>
  </rv>
  <rv s="0">
    <fb>18.64</fb>
    <v>0</v>
  </rv>
  <rv s="0">
    <fb>17.05</fb>
    <v>0</v>
  </rv>
  <rv s="0">
    <fb>17.440000000000001</fb>
    <v>0</v>
  </rv>
  <rv s="0">
    <fb>17.690000000000001</fb>
    <v>0</v>
  </rv>
  <rv s="0">
    <fb>18.04</fb>
    <v>0</v>
  </rv>
  <rv s="0">
    <fb>17.02</fb>
    <v>0</v>
  </rv>
  <rv s="0">
    <fb>16.100000000000001</fb>
    <v>0</v>
  </rv>
  <rv s="0">
    <fb>30.52</fb>
    <v>1</v>
  </rv>
  <rv s="0">
    <fb>30.06</fb>
    <v>1</v>
  </rv>
  <rv s="0">
    <fb>30.065000000000001</fb>
    <v>1</v>
  </rv>
  <rv s="0">
    <fb>30.58</fb>
    <v>1</v>
  </rv>
  <rv s="0">
    <fb>30.885000000000002</fb>
    <v>1</v>
  </rv>
  <rv s="0">
    <fb>30.61</fb>
    <v>1</v>
  </rv>
  <rv s="0">
    <fb>30.645</fb>
    <v>1</v>
  </rv>
  <rv s="0">
    <fb>29.684999999999999</fb>
    <v>1</v>
  </rv>
  <rv s="0">
    <fb>29.734999999999999</fb>
    <v>1</v>
  </rv>
  <rv s="0">
    <fb>29.51</fb>
    <v>1</v>
  </rv>
  <rv s="0">
    <fb>29.01</fb>
    <v>1</v>
  </rv>
  <rv s="0">
    <fb>28.95</fb>
    <v>1</v>
  </rv>
  <rv s="0">
    <fb>28.895</fb>
    <v>1</v>
  </rv>
  <rv s="0">
    <fb>30.48</fb>
    <v>1</v>
  </rv>
  <rv s="0">
    <fb>31.094999999999999</fb>
    <v>1</v>
  </rv>
  <rv s="0">
    <fb>30.95</fb>
    <v>1</v>
  </rv>
  <rv s="0">
    <fb>31.295000000000002</fb>
    <v>1</v>
  </rv>
  <rv s="0">
    <fb>31.085000000000001</fb>
    <v>1</v>
  </rv>
  <rv s="0">
    <fb>29.99</fb>
    <v>1</v>
  </rv>
  <rv s="0">
    <fb>29.715</fb>
    <v>1</v>
  </rv>
  <rv s="0">
    <fb>29.285</fb>
    <v>1</v>
  </rv>
  <rv s="0">
    <fb>29.535</fb>
    <v>1</v>
  </rv>
  <rv s="0">
    <fb>29.465</fb>
    <v>1</v>
  </rv>
  <rv s="0">
    <fb>30.3</fb>
    <v>1</v>
  </rv>
  <rv s="0">
    <fb>30.87</fb>
    <v>1</v>
  </rv>
  <rv s="0">
    <fb>31.225000000000001</fb>
    <v>1</v>
  </rv>
  <rv s="0">
    <fb>31.48</fb>
    <v>1</v>
  </rv>
  <rv s="0">
    <fb>30.8</fb>
    <v>1</v>
  </rv>
  <rv s="0">
    <fb>29.87</fb>
    <v>1</v>
  </rv>
  <rv s="0">
    <fb>30.574999999999999</fb>
    <v>1</v>
  </rv>
  <rv s="0">
    <fb>30.984999999999999</fb>
    <v>1</v>
  </rv>
  <rv s="0">
    <fb>31.184999999999999</fb>
    <v>1</v>
  </rv>
  <rv s="0">
    <fb>31.47</fb>
    <v>1</v>
  </rv>
  <rv s="0">
    <fb>31.414999999999999</fb>
    <v>1</v>
  </rv>
  <rv s="0">
    <fb>31.614999999999998</fb>
    <v>1</v>
  </rv>
  <rv s="0">
    <fb>32.299999999999997</fb>
    <v>1</v>
  </rv>
  <rv s="0">
    <fb>31.914999999999999</fb>
    <v>1</v>
  </rv>
  <rv s="0">
    <fb>31.524999999999999</fb>
    <v>1</v>
  </rv>
  <rv s="0">
    <fb>31.324999999999999</fb>
    <v>1</v>
  </rv>
  <rv s="0">
    <fb>32.03</fb>
    <v>1</v>
  </rv>
  <rv s="0">
    <fb>31.125</fb>
    <v>1</v>
  </rv>
  <rv s="0">
    <fb>30.125</fb>
    <v>1</v>
  </rv>
  <rv s="0">
    <fb>29.76</fb>
    <v>1</v>
  </rv>
  <rv s="0">
    <fb>29.3</fb>
    <v>1</v>
  </rv>
  <rv s="0">
    <fb>29.385000000000002</fb>
    <v>1</v>
  </rv>
  <rv s="0">
    <fb>29.015000000000001</fb>
    <v>1</v>
  </rv>
  <rv s="0">
    <fb>28.89</fb>
    <v>1</v>
  </rv>
  <rv s="0">
    <fb>28.2</fb>
    <v>1</v>
  </rv>
  <rv s="0">
    <fb>27.63</fb>
    <v>1</v>
  </rv>
  <rv s="0">
    <fb>27.704999999999998</fb>
    <v>1</v>
  </rv>
  <rv s="0">
    <fb>28.34</fb>
    <v>1</v>
  </rv>
  <rv s="0">
    <fb>28.45</fb>
    <v>1</v>
  </rv>
  <rv s="0">
    <fb>28.63</fb>
    <v>1</v>
  </rv>
  <rv s="0">
    <fb>28.434999999999999</fb>
    <v>1</v>
  </rv>
  <rv s="0">
    <fb>28.3</fb>
    <v>1</v>
  </rv>
  <rv s="0">
    <fb>28.18</fb>
    <v>1</v>
  </rv>
  <rv s="0">
    <fb>27.79</fb>
    <v>1</v>
  </rv>
  <rv s="0">
    <fb>28.545000000000002</fb>
    <v>1</v>
  </rv>
  <rv s="0">
    <fb>27.86</fb>
    <v>1</v>
  </rv>
  <rv s="0">
    <fb>27.835000000000001</fb>
    <v>1</v>
  </rv>
  <rv s="0">
    <fb>27.77</fb>
    <v>1</v>
  </rv>
  <rv s="0">
    <fb>28.66</fb>
    <v>1</v>
  </rv>
  <rv s="0">
    <fb>28.08</fb>
    <v>1</v>
  </rv>
  <rv s="0">
    <fb>27.625</fb>
    <v>1</v>
  </rv>
  <rv s="0">
    <fb>28.175000000000001</fb>
    <v>1</v>
  </rv>
  <rv s="0">
    <fb>28.02</fb>
    <v>1</v>
  </rv>
  <rv s="0">
    <fb>28.425000000000001</fb>
    <v>1</v>
  </rv>
  <rv s="0">
    <fb>27.855</fb>
    <v>1</v>
  </rv>
  <rv s="0">
    <fb>27.35</fb>
    <v>1</v>
  </rv>
  <rv s="0">
    <fb>26.33</fb>
    <v>1</v>
  </rv>
  <rv s="0">
    <fb>25.78</fb>
    <v>1</v>
  </rv>
  <rv s="0">
    <fb>26.11</fb>
    <v>1</v>
  </rv>
  <rv s="0">
    <fb>25.96</fb>
    <v>1</v>
  </rv>
  <rv s="0">
    <fb>26.364999999999998</fb>
    <v>1</v>
  </rv>
  <rv s="0">
    <fb>26.01</fb>
    <v>1</v>
  </rv>
  <rv s="0">
    <fb>26.15</fb>
    <v>1</v>
  </rv>
  <rv s="0">
    <fb>26.795000000000002</fb>
    <v>1</v>
  </rv>
  <rv s="0">
    <fb>27.12</fb>
    <v>1</v>
  </rv>
  <rv s="0">
    <fb>27.21</fb>
    <v>1</v>
  </rv>
  <rv s="0">
    <fb>27.4</fb>
    <v>1</v>
  </rv>
  <rv s="0">
    <fb>27.975000000000001</fb>
    <v>1</v>
  </rv>
  <rv s="0">
    <fb>27.91</fb>
    <v>1</v>
  </rv>
  <rv s="0">
    <fb>27.965</fb>
    <v>1</v>
  </rv>
  <rv s="0">
    <fb>27.8</fb>
    <v>1</v>
  </rv>
  <rv s="0">
    <fb>27.69</fb>
    <v>1</v>
  </rv>
  <rv s="0">
    <fb>27.225000000000001</fb>
    <v>1</v>
  </rv>
  <rv s="0">
    <fb>27.25</fb>
    <v>1</v>
  </rv>
  <rv s="0">
    <fb>27.37</fb>
    <v>1</v>
  </rv>
  <rv s="0">
    <fb>27.315000000000001</fb>
    <v>1</v>
  </rv>
  <rv s="0">
    <fb>28.295000000000002</fb>
    <v>1</v>
  </rv>
  <rv s="0">
    <fb>28.125</fb>
    <v>1</v>
  </rv>
  <rv s="0">
    <fb>28.04</fb>
    <v>1</v>
  </rv>
  <rv s="0">
    <fb>27.97</fb>
    <v>1</v>
  </rv>
  <rv s="0">
    <fb>28.745000000000001</fb>
    <v>1</v>
  </rv>
  <rv s="0">
    <fb>28.234999999999999</fb>
    <v>1</v>
  </rv>
  <rv s="0">
    <fb>28.015000000000001</fb>
    <v>1</v>
  </rv>
  <rv s="0">
    <fb>28.12</fb>
    <v>1</v>
  </rv>
  <rv s="0">
    <fb>27.875</fb>
    <v>1</v>
  </rv>
  <rv s="0">
    <fb>27.414999999999999</fb>
    <v>1</v>
  </rv>
  <rv s="0">
    <fb>27.375</fb>
    <v>1</v>
  </rv>
  <rv s="0">
    <fb>27.364999999999998</fb>
    <v>1</v>
  </rv>
  <rv s="0">
    <fb>27.95</fb>
    <v>1</v>
  </rv>
  <rv s="0">
    <fb>28.265000000000001</fb>
    <v>1</v>
  </rv>
  <rv s="0">
    <fb>28.22</fb>
    <v>1</v>
  </rv>
  <rv s="0">
    <fb>28.515000000000001</fb>
    <v>1</v>
  </rv>
  <rv s="0">
    <fb>28.274999999999999</fb>
    <v>1</v>
  </rv>
  <rv s="0">
    <fb>28.245000000000001</fb>
    <v>1</v>
  </rv>
  <rv s="0">
    <fb>28.585000000000001</fb>
    <v>1</v>
  </rv>
  <rv s="0">
    <fb>28.94</fb>
    <v>1</v>
  </rv>
  <rv s="0">
    <fb>29.135000000000002</fb>
    <v>1</v>
  </rv>
  <rv s="0">
    <fb>28.87</fb>
    <v>1</v>
  </rv>
  <rv s="0">
    <fb>29.045000000000002</fb>
    <v>1</v>
  </rv>
  <rv s="0">
    <fb>29.44</fb>
    <v>1</v>
  </rv>
  <rv s="0">
    <fb>29.515000000000001</fb>
    <v>1</v>
  </rv>
  <rv s="0">
    <fb>29.375</fb>
    <v>1</v>
  </rv>
  <rv s="0">
    <fb>28.984999999999999</fb>
    <v>1</v>
  </rv>
  <rv s="0">
    <fb>28.914999999999999</fb>
    <v>1</v>
  </rv>
  <rv s="0">
    <fb>28.65</fb>
    <v>1</v>
  </rv>
  <rv s="0">
    <fb>28.184999999999999</fb>
    <v>1</v>
  </rv>
  <rv s="0">
    <fb>27.72</fb>
    <v>1</v>
  </rv>
  <rv s="0">
    <fb>27.47</fb>
    <v>1</v>
  </rv>
  <rv s="0">
    <fb>27.59</fb>
    <v>1</v>
  </rv>
  <rv s="0">
    <fb>27.585000000000001</fb>
    <v>1</v>
  </rv>
  <rv s="0">
    <fb>27.824999999999999</fb>
    <v>1</v>
  </rv>
  <rv s="0">
    <fb>27.495000000000001</fb>
    <v>1</v>
  </rv>
  <rv s="0">
    <fb>27.465</fb>
    <v>1</v>
  </rv>
  <rv s="0">
    <fb>26.344999999999999</fb>
    <v>1</v>
  </rv>
  <rv s="0">
    <fb>26.175000000000001</fb>
    <v>1</v>
  </rv>
  <rv s="0">
    <fb>26.5</fb>
    <v>1</v>
  </rv>
  <rv s="0">
    <fb>27.32</fb>
    <v>1</v>
  </rv>
  <rv s="0">
    <fb>27.05</fb>
    <v>1</v>
  </rv>
  <rv s="0">
    <fb>26.905000000000001</fb>
    <v>1</v>
  </rv>
  <rv s="0">
    <fb>27.08</fb>
    <v>1</v>
  </rv>
  <rv s="0">
    <fb>26.754999999999999</fb>
    <v>1</v>
  </rv>
  <rv s="0">
    <fb>27.074999999999999</fb>
    <v>1</v>
  </rv>
  <rv s="0">
    <fb>26.84</fb>
    <v>1</v>
  </rv>
  <rv s="0">
    <fb>27.195</fb>
    <v>1</v>
  </rv>
  <rv s="0">
    <fb>26.98</fb>
    <v>1</v>
  </rv>
  <rv s="0">
    <fb>27.175000000000001</fb>
    <v>1</v>
  </rv>
  <rv s="0">
    <fb>27.445</fb>
    <v>1</v>
  </rv>
  <rv s="0">
    <fb>27.085000000000001</fb>
    <v>1</v>
  </rv>
  <rv s="0">
    <fb>27.52</fb>
    <v>1</v>
  </rv>
  <rv s="0">
    <fb>28.114999999999998</fb>
    <v>1</v>
  </rv>
  <rv s="0">
    <fb>27.664999999999999</fb>
    <v>1</v>
  </rv>
  <rv s="0">
    <fb>27.355</fb>
    <v>1</v>
  </rv>
  <rv s="0">
    <fb>27.26</fb>
    <v>1</v>
  </rv>
  <rv s="0">
    <fb>27.695</fb>
    <v>1</v>
  </rv>
  <rv s="0">
    <fb>27.31</fb>
    <v>1</v>
  </rv>
  <rv s="0">
    <fb>27.16</fb>
    <v>1</v>
  </rv>
  <rv s="0">
    <fb>26.975000000000001</fb>
    <v>1</v>
  </rv>
  <rv s="0">
    <fb>27.105</fb>
    <v>1</v>
  </rv>
  <rv s="0">
    <fb>27.475000000000001</fb>
    <v>1</v>
  </rv>
  <rv s="0">
    <fb>27.864999999999998</fb>
    <v>1</v>
  </rv>
  <rv s="0">
    <fb>28.355</fb>
    <v>1</v>
  </rv>
  <rv s="0">
    <fb>28.4</fb>
    <v>1</v>
  </rv>
  <rv s="0">
    <fb>28.734999999999999</fb>
    <v>1</v>
  </rv>
  <rv s="0">
    <fb>28.344999999999999</fb>
    <v>1</v>
  </rv>
  <rv s="0">
    <fb>28.655000000000001</fb>
    <v>1</v>
  </rv>
  <rv s="0">
    <fb>28.905000000000001</fb>
    <v>1</v>
  </rv>
  <rv s="0">
    <fb>28.574999999999999</fb>
    <v>1</v>
  </rv>
  <rv s="0">
    <fb>28.68</fb>
    <v>1</v>
  </rv>
  <rv s="0">
    <fb>28.96</fb>
    <v>1</v>
  </rv>
  <rv s="0">
    <fb>29.12</fb>
    <v>1</v>
  </rv>
  <rv s="0">
    <fb>29.24</fb>
    <v>1</v>
  </rv>
  <rv s="0">
    <fb>29.04</fb>
    <v>1</v>
  </rv>
  <rv s="0">
    <fb>28.74</fb>
    <v>1</v>
  </rv>
  <rv s="0">
    <fb>28.55</fb>
    <v>1</v>
  </rv>
  <rv s="0">
    <fb>28.57</fb>
    <v>1</v>
  </rv>
  <rv s="0">
    <fb>29.05</fb>
    <v>1</v>
  </rv>
  <rv s="0">
    <fb>29.335000000000001</fb>
    <v>1</v>
  </rv>
  <rv s="0">
    <fb>29.14</fb>
    <v>1</v>
  </rv>
  <rv s="0">
    <fb>29.635000000000002</fb>
    <v>1</v>
  </rv>
  <rv s="0">
    <fb>29.965</fb>
    <v>1</v>
  </rv>
  <rv s="0">
    <fb>29.83</fb>
    <v>1</v>
  </rv>
  <rv s="0">
    <fb>29.42</fb>
    <v>1</v>
  </rv>
  <rv s="0">
    <fb>29.065000000000001</fb>
    <v>1</v>
  </rv>
  <rv s="0">
    <fb>28.614999999999998</fb>
    <v>1</v>
  </rv>
  <rv s="0">
    <fb>28.625</fb>
    <v>1</v>
  </rv>
  <rv s="0">
    <fb>28.61</fb>
    <v>1</v>
  </rv>
  <rv s="0">
    <fb>28.765000000000001</fb>
    <v>1</v>
  </rv>
  <rv s="0">
    <fb>28.54</fb>
    <v>1</v>
  </rv>
  <rv s="0">
    <fb>27.83</fb>
    <v>1</v>
  </rv>
  <rv s="0">
    <fb>28.23</fb>
    <v>1</v>
  </rv>
  <rv s="0">
    <fb>27.565000000000001</fb>
    <v>1</v>
  </rv>
  <rv s="0">
    <fb>27.655000000000001</fb>
    <v>1</v>
  </rv>
  <rv s="0">
    <fb>27.524999999999999</fb>
    <v>1</v>
  </rv>
  <rv s="0">
    <fb>27.295000000000002</fb>
    <v>1</v>
  </rv>
  <rv s="0">
    <fb>27.29</fb>
    <v>1</v>
  </rv>
  <rv s="0">
    <fb>27.48</fb>
    <v>1</v>
  </rv>
  <rv s="0">
    <fb>26.88</fb>
    <v>1</v>
  </rv>
  <rv s="0">
    <fb>26.78</fb>
    <v>1</v>
  </rv>
  <rv s="0">
    <fb>27.065000000000001</fb>
    <v>1</v>
  </rv>
  <rv s="0">
    <fb>27.335000000000001</fb>
    <v>1</v>
  </rv>
  <rv s="0">
    <fb>26.965</fb>
    <v>1</v>
  </rv>
  <rv s="0">
    <fb>27.135000000000002</fb>
    <v>1</v>
  </rv>
  <rv s="0">
    <fb>26.934999999999999</fb>
    <v>1</v>
  </rv>
  <rv s="0">
    <fb>26.555</fb>
    <v>1</v>
  </rv>
  <rv s="0">
    <fb>26.34</fb>
    <v>1</v>
  </rv>
  <rv s="0">
    <fb>26.86</fb>
    <v>1</v>
  </rv>
  <rv s="0">
    <fb>26.204999999999998</fb>
    <v>1</v>
  </rv>
  <rv s="0">
    <fb>26.26</fb>
    <v>1</v>
  </rv>
  <rv s="0">
    <fb>26.48</fb>
    <v>1</v>
  </rv>
  <rv s="0">
    <fb>26.055</fb>
    <v>1</v>
  </rv>
  <rv s="0">
    <fb>20.743400000000001</fb>
    <v>0</v>
  </rv>
  <rv s="0">
    <fb>20.46</fb>
    <v>0</v>
  </rv>
  <rv s="0">
    <fb>20.734999999999999</fb>
    <v>0</v>
  </rv>
  <rv s="0">
    <fb>20.760100000000001</fb>
    <v>0</v>
  </rv>
  <rv s="0">
    <fb>21.144600000000001</fb>
    <v>0</v>
  </rv>
  <rv s="0">
    <fb>21.069700000000001</fb>
    <v>0</v>
  </rv>
  <rv s="0">
    <fb>22.25</fb>
    <v>0</v>
  </rv>
  <rv s="0">
    <fb>22.11</fb>
    <v>0</v>
  </rv>
  <rv s="0">
    <fb>22.04</fb>
    <v>0</v>
  </rv>
  <rv s="0">
    <fb>22.42</fb>
    <v>0</v>
  </rv>
  <rv s="0">
    <fb>22.27</fb>
    <v>0</v>
  </rv>
  <rv s="0">
    <fb>22.19</fb>
    <v>0</v>
  </rv>
  <rv s="0">
    <fb>22.07</fb>
    <v>0</v>
  </rv>
  <rv s="0">
    <fb>22.0548</fb>
    <v>0</v>
  </rv>
  <rv s="0">
    <fb>21.504999999999999</fb>
    <v>0</v>
  </rv>
  <rv s="0">
    <fb>21.515000000000001</fb>
    <v>0</v>
  </rv>
  <rv s="0">
    <fb>21.04</fb>
    <v>0</v>
  </rv>
  <rv s="0">
    <fb>21.465</fb>
    <v>0</v>
  </rv>
  <rv s="0">
    <fb>21.285</fb>
    <v>0</v>
  </rv>
  <rv s="0">
    <fb>21.18</fb>
    <v>0</v>
  </rv>
  <rv s="0">
    <fb>21.381</fb>
    <v>0</v>
  </rv>
  <rv s="0">
    <fb>21.4802</fb>
    <v>0</v>
  </rv>
  <rv s="0">
    <fb>21.6982</fb>
    <v>0</v>
  </rv>
  <rv s="0">
    <fb>21.364999999999998</fb>
    <v>0</v>
  </rv>
  <rv s="0">
    <fb>20.750399999999999</fb>
    <v>0</v>
  </rv>
  <rv s="0">
    <fb>20.59</fb>
    <v>0</v>
  </rv>
  <rv s="0">
    <fb>21.68</fb>
    <v>0</v>
  </rv>
  <rv s="0">
    <fb>21.607900000000001</fb>
    <v>0</v>
  </rv>
  <rv s="0">
    <fb>21.622</fb>
    <v>0</v>
  </rv>
  <rv s="0">
    <fb>21.5809</fb>
    <v>0</v>
  </rv>
  <rv s="0">
    <fb>21.695</fb>
    <v>0</v>
  </rv>
  <rv s="0">
    <fb>21.877700000000001</fb>
    <v>0</v>
  </rv>
  <rv s="0">
    <fb>22.265499999999999</fb>
    <v>0</v>
  </rv>
  <rv s="0">
    <fb>21.774999999999999</fb>
    <v>0</v>
  </rv>
  <rv s="0">
    <fb>21.919</fb>
    <v>0</v>
  </rv>
  <rv s="0">
    <fb>22.074999999999999</fb>
    <v>0</v>
  </rv>
  <rv s="0">
    <fb>22.130099999999999</fb>
    <v>0</v>
  </rv>
  <rv s="0">
    <fb>22.110299999999999</fb>
    <v>0</v>
  </rv>
  <rv s="0">
    <fb>21.99</fb>
    <v>0</v>
  </rv>
  <rv s="0">
    <fb>22.56</fb>
    <v>0</v>
  </rv>
  <rv s="0">
    <fb>22.14</fb>
    <v>0</v>
  </rv>
  <rv s="0">
    <fb>21.950099999999999</fb>
    <v>0</v>
  </rv>
  <rv s="0">
    <fb>21.574999999999999</fb>
    <v>0</v>
  </rv>
  <rv s="0">
    <fb>21.570399999999999</fb>
    <v>0</v>
  </rv>
  <rv s="0">
    <fb>21.431699999999999</fb>
    <v>0</v>
  </rv>
  <rv s="0">
    <fb>21.549700000000001</fb>
    <v>0</v>
  </rv>
  <rv s="0">
    <fb>21.345600000000001</fb>
    <v>0</v>
  </rv>
  <rv s="0">
    <fb>21.682600000000001</fb>
    <v>0</v>
  </rv>
  <rv s="0">
    <fb>21.84</fb>
    <v>0</v>
  </rv>
  <rv s="0">
    <fb>21.984400000000001</fb>
    <v>0</v>
  </rv>
  <rv s="0">
    <fb>21.864000000000001</fb>
    <v>0</v>
  </rv>
  <rv s="0">
    <fb>21.88</fb>
    <v>0</v>
  </rv>
  <rv s="0">
    <fb>21.761700000000001</fb>
    <v>0</v>
  </rv>
  <rv s="0">
    <fb>21.533000000000001</fb>
    <v>0</v>
  </rv>
  <rv s="0">
    <fb>21.213999999999999</fb>
    <v>0</v>
  </rv>
  <rv s="0">
    <fb>21.3553</fb>
    <v>0</v>
  </rv>
  <rv s="0">
    <fb>21.974</fb>
    <v>0</v>
  </rv>
  <rv s="0">
    <fb>22.31</fb>
    <v>0</v>
  </rv>
  <rv s="0">
    <fb>22.312999999999999</fb>
    <v>0</v>
  </rv>
  <rv s="0">
    <fb>22.32</fb>
    <v>0</v>
  </rv>
  <rv s="0">
    <fb>22.17</fb>
    <v>0</v>
  </rv>
  <rv s="0">
    <fb>21.96</fb>
    <v>0</v>
  </rv>
  <rv s="0">
    <fb>21.555</fb>
    <v>0</v>
  </rv>
  <rv s="0">
    <fb>21.824000000000002</fb>
    <v>0</v>
  </rv>
  <rv s="0">
    <fb>22.03</fb>
    <v>0</v>
  </rv>
  <rv s="0">
    <fb>22.254000000000001</fb>
    <v>0</v>
  </rv>
  <rv s="0">
    <fb>23.14</fb>
    <v>0</v>
  </rv>
  <rv s="0">
    <fb>23.18</fb>
    <v>0</v>
  </rv>
  <rv s="0">
    <fb>22.98</fb>
    <v>0</v>
  </rv>
  <rv s="0">
    <fb>23.36</fb>
    <v>0</v>
  </rv>
  <rv s="0">
    <fb>23.45</fb>
    <v>0</v>
  </rv>
  <rv s="0">
    <fb>23.73</fb>
    <v>0</v>
  </rv>
  <rv s="0">
    <fb>23.7</fb>
    <v>0</v>
  </rv>
  <rv s="0">
    <fb>23.5</fb>
    <v>0</v>
  </rv>
  <rv s="0">
    <fb>23.85</fb>
    <v>0</v>
  </rv>
  <rv s="0">
    <fb>23.55</fb>
    <v>0</v>
  </rv>
  <rv s="0">
    <fb>24.15</fb>
    <v>0</v>
  </rv>
  <rv s="0">
    <fb>24.65</fb>
    <v>0</v>
  </rv>
  <rv s="0">
    <fb>24.9</fb>
    <v>0</v>
  </rv>
  <rv s="0">
    <fb>24.75</fb>
    <v>0</v>
  </rv>
  <rv s="0">
    <fb>23.4</fb>
    <v>0</v>
  </rv>
  <rv s="0">
    <fb>22.6</fb>
    <v>0</v>
  </rv>
  <rv s="0">
    <fb>22.1</fb>
    <v>0</v>
  </rv>
  <rv s="0">
    <fb>20.5</fb>
    <v>0</v>
  </rv>
  <rv s="0">
    <fb>20.399999999999999</fb>
    <v>0</v>
  </rv>
  <rv s="0">
    <fb>21.625</fb>
    <v>0</v>
  </rv>
  <rv s="0">
    <fb>20.98</fb>
    <v>0</v>
  </rv>
  <rv s="0">
    <fb>22.67</fb>
    <v>0</v>
  </rv>
  <rv s="0">
    <fb>22</fb>
    <v>0</v>
  </rv>
  <rv s="0">
    <fb>20.16</fb>
    <v>0</v>
  </rv>
  <rv s="0">
    <fb>21.26</fb>
    <v>0</v>
  </rv>
  <rv s="0">
    <fb>23.26</fb>
    <v>0</v>
  </rv>
  <rv s="0">
    <fb>22.54</fb>
    <v>0</v>
  </rv>
  <rv s="0">
    <fb>22.59</fb>
    <v>0</v>
  </rv>
  <rv s="0">
    <fb>22.89</fb>
    <v>0</v>
  </rv>
  <rv s="0">
    <fb>52.22</fb>
    <v>0</v>
  </rv>
  <rv s="0">
    <fb>53.69</fb>
    <v>0</v>
  </rv>
  <rv s="0">
    <fb>53.64</fb>
    <v>0</v>
  </rv>
  <rv s="0">
    <fb>55.3</fb>
    <v>0</v>
  </rv>
  <rv s="0">
    <fb>54.15</fb>
    <v>0</v>
  </rv>
  <rv s="0">
    <fb>53.4</fb>
    <v>0</v>
  </rv>
  <rv s="0">
    <fb>54.89</fb>
    <v>0</v>
  </rv>
  <rv s="0">
    <fb>55.03</fb>
    <v>0</v>
  </rv>
  <rv s="0">
    <fb>55.94</fb>
    <v>0</v>
  </rv>
  <rv s="0">
    <fb>55.08</fb>
    <v>0</v>
  </rv>
  <rv s="0">
    <fb>55.16</fb>
    <v>0</v>
  </rv>
  <rv s="0">
    <fb>55.07</fb>
    <v>0</v>
  </rv>
  <rv s="0">
    <fb>53.27</fb>
    <v>0</v>
  </rv>
  <rv s="0">
    <fb>54.17</fb>
    <v>0</v>
  </rv>
  <rv s="0">
    <fb>56.16</fb>
    <v>0</v>
  </rv>
  <rv s="0">
    <fb>57.48</fb>
    <v>0</v>
  </rv>
  <rv s="0">
    <fb>57.34</fb>
    <v>0</v>
  </rv>
  <rv s="0">
    <fb>57.19</fb>
    <v>0</v>
  </rv>
  <rv s="0">
    <fb>59.31</fb>
    <v>0</v>
  </rv>
  <rv s="0">
    <fb>59.55</fb>
    <v>0</v>
  </rv>
  <rv s="0">
    <fb>60.17</fb>
    <v>0</v>
  </rv>
  <rv s="0">
    <fb>59.9</fb>
    <v>0</v>
  </rv>
  <rv s="0">
    <fb>61.41</fb>
    <v>0</v>
  </rv>
  <rv s="0">
    <fb>62.12</fb>
    <v>0</v>
  </rv>
  <rv s="0">
    <fb>62</fb>
    <v>0</v>
  </rv>
  <rv s="0">
    <fb>62.38</fb>
    <v>0</v>
  </rv>
  <rv s="0">
    <fb>65.83</fb>
    <v>0</v>
  </rv>
  <rv s="0">
    <fb>65.19</fb>
    <v>0</v>
  </rv>
  <rv s="0">
    <fb>66.75</fb>
    <v>0</v>
  </rv>
  <rv s="0">
    <fb>67.23</fb>
    <v>0</v>
  </rv>
  <rv s="0">
    <fb>66.58</fb>
    <v>0</v>
  </rv>
  <rv s="0">
    <fb>66.989999999999995</fb>
    <v>0</v>
  </rv>
  <rv s="0">
    <fb>67.8</fb>
    <v>0</v>
  </rv>
  <rv s="0">
    <fb>68.040000000000006</fb>
    <v>0</v>
  </rv>
  <rv s="0">
    <fb>67.87</fb>
    <v>0</v>
  </rv>
  <rv s="0">
    <fb>66.7</fb>
    <v>0</v>
  </rv>
  <rv s="0">
    <fb>50.22</fb>
    <v>1</v>
  </rv>
  <rv s="0">
    <fb>50.17</fb>
    <v>1</v>
  </rv>
  <rv s="0">
    <fb>50.36</fb>
    <v>1</v>
  </rv>
  <rv s="0">
    <fb>49.545000000000002</fb>
    <v>1</v>
  </rv>
  <rv s="0">
    <fb>49.365000000000002</fb>
    <v>1</v>
  </rv>
  <rv s="0">
    <fb>49.234999999999999</fb>
    <v>1</v>
  </rv>
  <rv s="0">
    <fb>49.68</fb>
    <v>1</v>
  </rv>
  <rv s="0">
    <fb>49.405000000000001</fb>
    <v>1</v>
  </rv>
  <rv s="0">
    <fb>49.93</fb>
    <v>1</v>
  </rv>
  <rv s="0">
    <fb>49.49</fb>
    <v>1</v>
  </rv>
  <rv s="0">
    <fb>50.68</fb>
    <v>1</v>
  </rv>
  <rv s="0">
    <fb>50.98</fb>
    <v>1</v>
  </rv>
  <rv s="0">
    <fb>50.79</fb>
    <v>1</v>
  </rv>
  <rv s="0">
    <fb>51</fb>
    <v>1</v>
  </rv>
  <rv s="0">
    <fb>50.59</fb>
    <v>1</v>
  </rv>
  <rv s="0">
    <fb>50.34</fb>
    <v>1</v>
  </rv>
  <rv s="0">
    <fb>50.6</fb>
    <v>1</v>
  </rv>
  <rv s="0">
    <fb>51.21</fb>
    <v>1</v>
  </rv>
  <rv s="0">
    <fb>51.94</fb>
    <v>1</v>
  </rv>
  <rv s="0">
    <fb>52.37</fb>
    <v>1</v>
  </rv>
  <rv s="0">
    <fb>52.56</fb>
    <v>1</v>
  </rv>
  <rv s="0">
    <fb>52.57</fb>
    <v>1</v>
  </rv>
  <rv s="0">
    <fb>52.97</fb>
    <v>1</v>
  </rv>
  <rv s="0">
    <fb>53.13</fb>
    <v>1</v>
  </rv>
  <rv s="0">
    <fb>53.08</fb>
    <v>1</v>
  </rv>
  <rv s="0">
    <fb>52.8</fb>
    <v>1</v>
  </rv>
  <rv s="0">
    <fb>52.89</fb>
    <v>1</v>
  </rv>
  <rv s="0">
    <fb>53.2</fb>
    <v>1</v>
  </rv>
  <rv s="0">
    <fb>53.77</fb>
    <v>1</v>
  </rv>
  <rv s="0">
    <fb>53.75</fb>
    <v>1</v>
  </rv>
  <rv s="0">
    <fb>53.03</fb>
    <v>1</v>
  </rv>
  <rv s="0">
    <fb>53.61</fb>
    <v>1</v>
  </rv>
  <rv s="0">
    <fb>53.65</fb>
    <v>1</v>
  </rv>
  <rv s="0">
    <fb>54.52</fb>
    <v>1</v>
  </rv>
  <rv s="0">
    <fb>54.11</fb>
    <v>1</v>
  </rv>
  <rv s="0">
    <fb>54.6</fb>
    <v>1</v>
  </rv>
  <rv s="0">
    <fb>54.87</fb>
    <v>1</v>
  </rv>
  <rv s="0">
    <fb>55</fb>
    <v>1</v>
  </rv>
  <rv s="0">
    <fb>55.81</fb>
    <v>1</v>
  </rv>
  <rv s="0">
    <fb>55.76</fb>
    <v>1</v>
  </rv>
  <rv s="0">
    <fb>56.09</fb>
    <v>1</v>
  </rv>
  <rv s="0">
    <fb>56.29</fb>
    <v>1</v>
  </rv>
  <rv s="0">
    <fb>55.46</fb>
    <v>1</v>
  </rv>
  <rv s="0">
    <fb>55.5</fb>
    <v>1</v>
  </rv>
  <rv s="0">
    <fb>55.56</fb>
    <v>1</v>
  </rv>
  <rv s="0">
    <fb>55.37</fb>
    <v>1</v>
  </rv>
  <rv s="0">
    <fb>55.3</fb>
    <v>1</v>
  </rv>
  <rv s="0">
    <fb>56.18</fb>
    <v>1</v>
  </rv>
  <rv s="0">
    <fb>55.6</fb>
    <v>1</v>
  </rv>
  <rv s="0">
    <fb>55.52</fb>
    <v>1</v>
  </rv>
  <rv s="0">
    <fb>56.32</fb>
    <v>1</v>
  </rv>
  <rv s="0">
    <fb>54.73</fb>
    <v>1</v>
  </rv>
  <rv s="0">
    <fb>55.88</fb>
    <v>1</v>
  </rv>
  <rv s="0">
    <fb>56.08</fb>
    <v>1</v>
  </rv>
  <rv s="0">
    <fb>55.51</fb>
    <v>1</v>
  </rv>
  <rv s="0">
    <fb>54.68</fb>
    <v>1</v>
  </rv>
  <rv s="0">
    <fb>53.94</fb>
    <v>1</v>
  </rv>
  <rv s="0">
    <fb>54.46</fb>
    <v>1</v>
  </rv>
  <rv s="0">
    <fb>54.13</fb>
    <v>1</v>
  </rv>
  <rv s="0">
    <fb>54.85</fb>
    <v>1</v>
  </rv>
  <rv s="0">
    <fb>55.74</fb>
    <v>1</v>
  </rv>
  <rv s="0">
    <fb>55.98</fb>
    <v>1</v>
  </rv>
  <rv s="0">
    <fb>55.32</fb>
    <v>1</v>
  </rv>
  <rv s="0">
    <fb>55.18</fb>
    <v>1</v>
  </rv>
  <rv s="0">
    <fb>55.05</fb>
    <v>1</v>
  </rv>
  <rv s="0">
    <fb>55.68</fb>
    <v>1</v>
  </rv>
  <rv s="0">
    <fb>55.01</fb>
    <v>1</v>
  </rv>
  <rv s="0">
    <fb>54.69</fb>
    <v>1</v>
  </rv>
  <rv s="0">
    <fb>54.2</fb>
    <v>1</v>
  </rv>
  <rv s="0">
    <fb>53.43</fb>
    <v>1</v>
  </rv>
  <rv s="0">
    <fb>53.9</fb>
    <v>1</v>
  </rv>
  <rv s="0">
    <fb>52.02</fb>
    <v>1</v>
  </rv>
  <rv s="0">
    <fb>49.645000000000003</fb>
    <v>1</v>
  </rv>
  <rv s="0">
    <fb>47.42</fb>
    <v>1</v>
  </rv>
  <rv s="0">
    <fb>48.575000000000003</fb>
    <v>1</v>
  </rv>
  <rv s="0">
    <fb>47.09</fb>
    <v>1</v>
  </rv>
  <rv s="0">
    <fb>49.18</fb>
    <v>1</v>
  </rv>
  <rv s="0">
    <fb>48.814999999999998</fb>
    <v>1</v>
  </rv>
  <rv s="0">
    <fb>49.96</fb>
    <v>1</v>
  </rv>
  <rv s="0">
    <fb>50.7</fb>
    <v>1</v>
  </rv>
  <rv s="0">
    <fb>50.58</fb>
    <v>1</v>
  </rv>
  <rv s="0">
    <fb>50.32</fb>
    <v>1</v>
  </rv>
  <rv s="0">
    <fb>50.69</fb>
    <v>1</v>
  </rv>
  <rv s="0">
    <fb>52.03</fb>
    <v>1</v>
  </rv>
  <rv s="0">
    <fb>52.28</fb>
    <v>1</v>
  </rv>
  <rv s="0">
    <fb>52.73</fb>
    <v>1</v>
  </rv>
  <rv s="0">
    <fb>52.85</fb>
    <v>1</v>
  </rv>
  <rv s="0">
    <fb>52.83</fb>
    <v>1</v>
  </rv>
  <rv s="0">
    <fb>54.07</fb>
    <v>1</v>
  </rv>
  <rv s="0">
    <fb>54.27</fb>
    <v>1</v>
  </rv>
  <rv s="0">
    <fb>54.05</fb>
    <v>1</v>
  </rv>
  <rv s="0">
    <fb>53.76</fb>
    <v>1</v>
  </rv>
  <rv s="0">
    <fb>54.36</fb>
    <v>1</v>
  </rv>
  <rv s="0">
    <fb>54.63</fb>
    <v>1</v>
  </rv>
  <rv s="0">
    <fb>55.85</fb>
    <v>1</v>
  </rv>
  <rv s="0">
    <fb>55.69</fb>
    <v>1</v>
  </rv>
  <rv s="0">
    <fb>55.64</fb>
    <v>1</v>
  </rv>
  <rv s="0">
    <fb>55.99</fb>
    <v>1</v>
  </rv>
  <rv s="0">
    <fb>55.67</fb>
    <v>1</v>
  </rv>
  <rv s="0">
    <fb>54.66</fb>
    <v>1</v>
  </rv>
  <rv s="0">
    <fb>55.39</fb>
    <v>1</v>
  </rv>
  <rv s="0">
    <fb>55.26</fb>
    <v>1</v>
  </rv>
  <rv s="0">
    <fb>55.24</fb>
    <v>1</v>
  </rv>
  <rv s="0">
    <fb>55.1</fb>
    <v>1</v>
  </rv>
  <rv s="0">
    <fb>55.19</fb>
    <v>1</v>
  </rv>
  <rv s="0">
    <fb>55.57</fb>
    <v>1</v>
  </rv>
  <rv s="0">
    <fb>55.7</fb>
    <v>1</v>
  </rv>
  <rv s="0">
    <fb>55.71</fb>
    <v>1</v>
  </rv>
  <rv s="0">
    <fb>54.34</fb>
    <v>1</v>
  </rv>
  <rv s="0">
    <fb>54.83</fb>
    <v>1</v>
  </rv>
  <rv s="0">
    <fb>54.15</fb>
    <v>1</v>
  </rv>
  <rv s="0">
    <fb>53.44</fb>
    <v>1</v>
  </rv>
  <rv s="0">
    <fb>53.74</fb>
    <v>1</v>
  </rv>
  <rv s="0">
    <fb>53.67</fb>
    <v>1</v>
  </rv>
  <rv s="0">
    <fb>54.47</fb>
    <v>1</v>
  </rv>
  <rv s="0">
    <fb>54.01</fb>
    <v>1</v>
  </rv>
  <rv s="0">
    <fb>53.91</fb>
    <v>1</v>
  </rv>
  <rv s="0">
    <fb>54.77</fb>
    <v>1</v>
  </rv>
  <rv s="0">
    <fb>54.53</fb>
    <v>1</v>
  </rv>
  <rv s="0">
    <fb>54.31</fb>
    <v>1</v>
  </rv>
  <rv s="0">
    <fb>54.65</fb>
    <v>1</v>
  </rv>
  <rv s="0">
    <fb>54.94</fb>
    <v>1</v>
  </rv>
  <rv s="0">
    <fb>54.39</fb>
    <v>1</v>
  </rv>
  <rv s="0">
    <fb>54.9</fb>
    <v>1</v>
  </rv>
  <rv s="0">
    <fb>56.02</fb>
    <v>1</v>
  </rv>
  <rv s="0">
    <fb>55.92</fb>
    <v>1</v>
  </rv>
  <rv s="0">
    <fb>55.38</fb>
    <v>1</v>
  </rv>
  <rv s="0">
    <fb>55.25</fb>
    <v>1</v>
  </rv>
  <rv s="0">
    <fb>55.07</fb>
    <v>1</v>
  </rv>
  <rv s="0">
    <fb>54.49</fb>
    <v>1</v>
  </rv>
  <rv s="0">
    <fb>55.12</fb>
    <v>1</v>
  </rv>
  <rv s="0">
    <fb>54.98</fb>
    <v>1</v>
  </rv>
  <rv s="0">
    <fb>54.41</fb>
    <v>1</v>
  </rv>
  <rv s="0">
    <fb>55.15</fb>
    <v>1</v>
  </rv>
  <rv s="0">
    <fb>55.14</fb>
    <v>1</v>
  </rv>
  <rv s="0">
    <fb>55.54</fb>
    <v>1</v>
  </rv>
  <rv s="0">
    <fb>54.8</fb>
    <v>1</v>
  </rv>
  <rv s="0">
    <fb>53.96</fb>
    <v>1</v>
  </rv>
  <rv s="0">
    <fb>54.09</fb>
    <v>1</v>
  </rv>
  <rv s="0">
    <fb>54.91</fb>
    <v>1</v>
  </rv>
  <rv s="0">
    <fb>55.49</fb>
    <v>1</v>
  </rv>
  <rv s="0">
    <fb>55.73</fb>
    <v>1</v>
  </rv>
  <rv s="0">
    <fb>55.58</fb>
    <v>1</v>
  </rv>
  <rv s="0">
    <fb>55.78</fb>
    <v>1</v>
  </rv>
  <rv s="0">
    <fb>55.29</fb>
    <v>1</v>
  </rv>
  <rv s="0">
    <fb>54.7</fb>
    <v>1</v>
  </rv>
  <rv s="0">
    <fb>54.78</fb>
    <v>1</v>
  </rv>
  <rv s="0">
    <fb>54.5</fb>
    <v>1</v>
  </rv>
  <rv s="0">
    <fb>54.12</fb>
    <v>1</v>
  </rv>
  <rv s="0">
    <fb>54.3</fb>
    <v>1</v>
  </rv>
  <rv s="0">
    <fb>54.56</fb>
    <v>1</v>
  </rv>
  <rv s="0">
    <fb>54.42</fb>
    <v>1</v>
  </rv>
  <rv s="0">
    <fb>54.71</fb>
    <v>1</v>
  </rv>
  <rv s="0">
    <fb>55.27</fb>
    <v>1</v>
  </rv>
  <rv s="0">
    <fb>54.51</fb>
    <v>1</v>
  </rv>
  <rv s="0">
    <fb>55.53</fb>
    <v>1</v>
  </rv>
  <rv s="0">
    <fb>55.22</fb>
    <v>1</v>
  </rv>
  <rv s="0">
    <fb>56.07</fb>
    <v>1</v>
  </rv>
  <rv s="0">
    <fb>56.19</fb>
    <v>1</v>
  </rv>
  <rv s="0">
    <fb>56.76</fb>
    <v>1</v>
  </rv>
  <rv s="0">
    <fb>57.48</fb>
    <v>1</v>
  </rv>
  <rv s="0">
    <fb>57.27</fb>
    <v>1</v>
  </rv>
  <rv s="0">
    <fb>57.08</fb>
    <v>1</v>
  </rv>
  <rv s="0">
    <fb>57.52</fb>
    <v>1</v>
  </rv>
  <rv s="0">
    <fb>56.3</fb>
    <v>1</v>
  </rv>
  <rv s="0">
    <fb>56.58</fb>
    <v>1</v>
  </rv>
  <rv s="0">
    <fb>56.46</fb>
    <v>1</v>
  </rv>
  <rv s="0">
    <fb>57.04</fb>
    <v>1</v>
  </rv>
  <rv s="0">
    <fb>57.46</fb>
    <v>1</v>
  </rv>
  <rv s="0">
    <fb>57.06</fb>
    <v>1</v>
  </rv>
  <rv s="0">
    <fb>57.85</fb>
    <v>1</v>
  </rv>
  <rv s="0">
    <fb>57.83</fb>
    <v>1</v>
  </rv>
  <rv s="0">
    <fb>57.34</fb>
    <v>1</v>
  </rv>
  <rv s="0">
    <fb>57.61</fb>
    <v>1</v>
  </rv>
  <rv s="0">
    <fb>57.71</fb>
    <v>1</v>
  </rv>
  <rv s="0">
    <fb>58.09</fb>
    <v>1</v>
  </rv>
  <rv s="0">
    <fb>58</fb>
    <v>1</v>
  </rv>
  <rv s="0">
    <fb>57.98</fb>
    <v>1</v>
  </rv>
  <rv s="0">
    <fb>57.6</fb>
    <v>1</v>
  </rv>
  <rv s="0">
    <fb>57.75</fb>
    <v>1</v>
  </rv>
  <rv s="0">
    <fb>57.59</fb>
    <v>1</v>
  </rv>
  <rv s="0">
    <fb>57.15</fb>
    <v>1</v>
  </rv>
  <rv s="0">
    <fb>56.65</fb>
    <v>1</v>
  </rv>
  <rv s="0">
    <fb>57.73</fb>
    <v>1</v>
  </rv>
  <rv s="0">
    <fb>58.92</fb>
    <v>1</v>
  </rv>
  <rv s="0">
    <fb>58.36</fb>
    <v>1</v>
  </rv>
  <rv s="0">
    <fb>57.84</fb>
    <v>1</v>
  </rv>
  <rv s="0">
    <fb>57.32</fb>
    <v>1</v>
  </rv>
  <rv s="0">
    <fb>56.23</fb>
    <v>1</v>
  </rv>
  <rv s="0">
    <fb>127.057</fb>
    <v>1</v>
  </rv>
  <rv s="0">
    <fb>126.6155</fb>
    <v>1</v>
  </rv>
  <rv s="0">
    <fb>126.74769999999999</fb>
    <v>1</v>
  </rv>
  <rv s="0">
    <fb>124.7517</fb>
    <v>1</v>
  </rv>
  <rv s="0">
    <fb>123.524</fb>
    <v>1</v>
  </rv>
  <rv s="0">
    <fb>123.70480000000001</fb>
    <v>1</v>
  </rv>
  <rv s="0">
    <fb>124.24590000000001</fb>
    <v>1</v>
  </rv>
  <rv s="0">
    <fb>124.97499999999999</fb>
    <v>1</v>
  </rv>
  <rv s="0">
    <fb>124.1597</fb>
    <v>1</v>
  </rv>
  <rv s="0">
    <fb>125.4468</fb>
    <v>1</v>
  </rv>
  <rv s="0">
    <fb>125.7381</fb>
    <v>1</v>
  </rv>
  <rv s="0">
    <fb>124.858</fb>
    <v>1</v>
  </rv>
  <rv s="0">
    <fb>126.3018</fb>
    <v>1</v>
  </rv>
  <rv s="0">
    <fb>126.5622</fb>
    <v>1</v>
  </rv>
  <rv s="0">
    <fb>126.28149999999999</fb>
    <v>1</v>
  </rv>
  <rv s="0">
    <fb>126.8805</fb>
    <v>1</v>
  </rv>
  <rv s="0">
    <fb>125.7148</fb>
    <v>1</v>
  </rv>
  <rv s="0">
    <fb>125.03700000000001</fb>
    <v>1</v>
  </rv>
  <rv s="0">
    <fb>124.8847</fb>
    <v>1</v>
  </rv>
  <rv s="0">
    <fb>126.79179999999999</fb>
    <v>1</v>
  </rv>
  <rv s="0">
    <fb>127.998</fb>
    <v>1</v>
  </rv>
  <rv s="0">
    <fb>128.7098</fb>
    <v>1</v>
  </rv>
  <rv s="0">
    <fb>128.88800000000001</fb>
    <v>1</v>
  </rv>
  <rv s="0">
    <fb>129.38480000000001</fb>
    <v>1</v>
  </rv>
  <rv s="0">
    <fb>129.84</fb>
    <v>1</v>
  </rv>
  <rv s="0">
    <fb>130.4624</fb>
    <v>1</v>
  </rv>
  <rv s="0">
    <fb>130.42420000000001</fb>
    <v>1</v>
  </rv>
  <rv s="0">
    <fb>130.3648</fb>
    <v>1</v>
  </rv>
  <rv s="0">
    <fb>130.7944</fb>
    <v>1</v>
  </rv>
  <rv s="0">
    <fb>131.58779999999999</fb>
    <v>1</v>
  </rv>
  <rv s="0">
    <fb>132.64259999999999</fb>
    <v>1</v>
  </rv>
  <rv s="0">
    <fb>132.60730000000001</fb>
    <v>1</v>
  </rv>
  <rv s="0">
    <fb>131.3349</fb>
    <v>1</v>
  </rv>
  <rv s="0">
    <fb>131.7055</fb>
    <v>1</v>
  </rv>
  <rv s="0">
    <fb>132.26349999999999</fb>
    <v>1</v>
  </rv>
  <rv s="0">
    <fb>134.18279999999999</fb>
    <v>1</v>
  </rv>
  <rv s="0">
    <fb>133.45320000000001</fb>
    <v>1</v>
  </rv>
  <rv s="0">
    <fb>134.40100000000001</fb>
    <v>1</v>
  </rv>
  <rv s="0">
    <fb>134.76</fb>
    <v>1</v>
  </rv>
  <rv s="0">
    <fb>134.8845</fb>
    <v>1</v>
  </rv>
  <rv s="0">
    <fb>136.4442</fb>
    <v>1</v>
  </rv>
  <rv s="0">
    <fb>135.97810000000001</fb>
    <v>1</v>
  </rv>
  <rv s="0">
    <fb>136.70609999999999</fb>
    <v>1</v>
  </rv>
  <rv s="0">
    <fb>137.11709999999999</fb>
    <v>1</v>
  </rv>
  <rv s="0">
    <fb>135.69329999999999</fb>
    <v>1</v>
  </rv>
  <rv s="0">
    <fb>135.72139999999999</fb>
    <v>1</v>
  </rv>
  <rv s="0">
    <fb>136.7371</fb>
    <v>1</v>
  </rv>
  <rv s="0">
    <fb>136.4819</fb>
    <v>1</v>
  </rv>
  <rv s="0">
    <fb>136.61850000000001</fb>
    <v>1</v>
  </rv>
  <rv s="0">
    <fb>138.0566</fb>
    <v>1</v>
  </rv>
  <rv s="0">
    <fb>137.17250000000001</fb>
    <v>1</v>
  </rv>
  <rv s="0">
    <fb>137.38130000000001</fb>
    <v>1</v>
  </rv>
  <rv s="0">
    <fb>138.3219</fb>
    <v>1</v>
  </rv>
  <rv s="0">
    <fb>135.31</fb>
    <v>1</v>
  </rv>
  <rv s="0">
    <fb>136.5735</fb>
    <v>1</v>
  </rv>
  <rv s="0">
    <fb>136.59</fb>
    <v>1</v>
  </rv>
  <rv s="0">
    <fb>136.31100000000001</fb>
    <v>1</v>
  </rv>
  <rv s="0">
    <fb>134.10730000000001</fb>
    <v>1</v>
  </rv>
  <rv s="0">
    <fb>131.90190000000001</fb>
    <v>1</v>
  </rv>
  <rv s="0">
    <fb>133.2105</fb>
    <v>1</v>
  </rv>
  <rv s="0">
    <fb>132.59</fb>
    <v>1</v>
  </rv>
  <rv s="0">
    <fb>133.91239999999999</fb>
    <v>1</v>
  </rv>
  <rv s="0">
    <fb>135.01750000000001</fb>
    <v>1</v>
  </rv>
  <rv s="0">
    <fb>135.86969999999999</fb>
    <v>1</v>
  </rv>
  <rv s="0">
    <fb>136.2362</fb>
    <v>1</v>
  </rv>
  <rv s="0">
    <fb>135.5992</fb>
    <v>1</v>
  </rv>
  <rv s="0">
    <fb>134.95660000000001</fb>
    <v>1</v>
  </rv>
  <rv s="0">
    <fb>134.79140000000001</fb>
    <v>1</v>
  </rv>
  <rv s="0">
    <fb>135.5205</fb>
    <v>1</v>
  </rv>
  <rv s="0">
    <fb>134.44999999999999</fb>
    <v>1</v>
  </rv>
  <rv s="0">
    <fb>133.96180000000001</fb>
    <v>1</v>
  </rv>
  <rv s="0">
    <fb>133.02529999999999</fb>
    <v>1</v>
  </rv>
  <rv s="0">
    <fb>131.04409999999999</fb>
    <v>1</v>
  </rv>
  <rv s="0">
    <fb>132.34880000000001</fb>
    <v>1</v>
  </rv>
  <rv s="0">
    <fb>131.61529999999999</fb>
    <v>1</v>
  </rv>
  <rv s="0">
    <fb>128.15190000000001</fb>
    <v>1</v>
  </rv>
  <rv s="0">
    <fb>121.9</fb>
    <v>1</v>
  </rv>
  <rv s="0">
    <fb>116.37</fb>
    <v>1</v>
  </rv>
  <rv s="0">
    <fb>119.9023</fb>
    <v>1</v>
  </rv>
  <rv s="0">
    <fb>115.6811</fb>
    <v>1</v>
  </rv>
  <rv s="0">
    <fb>120.3045</fb>
    <v>1</v>
  </rv>
  <rv s="0">
    <fb>120.316</fb>
    <v>1</v>
  </rv>
  <rv s="0">
    <fb>123.5466</fb>
    <v>1</v>
  </rv>
  <rv s="0">
    <fb>125.5881</fb>
    <v>1</v>
  </rv>
  <rv s="0">
    <fb>125.2948</fb>
    <v>1</v>
  </rv>
  <rv s="0">
    <fb>124.8511</fb>
    <v>1</v>
  </rv>
  <rv s="0">
    <fb>125.9872</fb>
    <v>1</v>
  </rv>
  <rv s="0">
    <fb>128.1482</fb>
    <v>1</v>
  </rv>
  <rv s="0">
    <fb>128.6925</fb>
    <v>1</v>
  </rv>
  <rv s="0">
    <fb>129.03270000000001</fb>
    <v>1</v>
  </rv>
  <rv s="0">
    <fb>129.768</fb>
    <v>1</v>
  </rv>
  <rv s="0">
    <fb>130.2253</fb>
    <v>1</v>
  </rv>
  <rv s="0">
    <fb>131.0256</fb>
    <v>1</v>
  </rv>
  <rv s="0">
    <fb>133.41630000000001</fb>
    <v>1</v>
  </rv>
  <rv s="0">
    <fb>133.7773</fb>
    <v>1</v>
  </rv>
  <rv s="0">
    <fb>133.1687</fb>
    <v>1</v>
  </rv>
  <rv s="0">
    <fb>132.56649999999999</fb>
    <v>1</v>
  </rv>
  <rv s="0">
    <fb>133.0213</fb>
    <v>1</v>
  </rv>
  <rv s="0">
    <fb>133.72630000000001</fb>
    <v>1</v>
  </rv>
  <rv s="0">
    <fb>135.67009999999999</fb>
    <v>1</v>
  </rv>
  <rv s="0">
    <fb>135.65729999999999</fb>
    <v>1</v>
  </rv>
  <rv s="0">
    <fb>135.3218</fb>
    <v>1</v>
  </rv>
  <rv s="0">
    <fb>136.28309999999999</fb>
    <v>1</v>
  </rv>
  <rv s="0">
    <fb>136.89019999999999</fb>
    <v>1</v>
  </rv>
  <rv s="0">
    <fb>137.22739999999999</fb>
    <v>1</v>
  </rv>
  <rv s="0">
    <fb>138.3698</fb>
    <v>1</v>
  </rv>
  <rv s="0">
    <fb>138.3236</fb>
    <v>1</v>
  </rv>
  <rv s="0">
    <fb>137.36099999999999</fb>
    <v>1</v>
  </rv>
  <rv s="0">
    <fb>136.0249</fb>
    <v>1</v>
  </rv>
  <rv s="0">
    <fb>138.12370000000001</fb>
    <v>1</v>
  </rv>
  <rv s="0">
    <fb>137.83619999999999</fb>
    <v>1</v>
  </rv>
  <rv s="0">
    <fb>136.8142</fb>
    <v>1</v>
  </rv>
  <rv s="0">
    <fb>136.6498</fb>
    <v>1</v>
  </rv>
  <rv s="0">
    <fb>136.99420000000001</fb>
    <v>1</v>
  </rv>
  <rv s="0">
    <fb>136.57220000000001</fb>
    <v>1</v>
  </rv>
  <rv s="0">
    <fb>136.6173</fb>
    <v>1</v>
  </rv>
  <rv s="0">
    <fb>137.25839999999999</fb>
    <v>1</v>
  </rv>
  <rv s="0">
    <fb>137.5326</fb>
    <v>1</v>
  </rv>
  <rv s="0">
    <fb>138.05359999999999</fb>
    <v>1</v>
  </rv>
  <rv s="0">
    <fb>137.91249999999999</fb>
    <v>1</v>
  </rv>
  <rv s="0">
    <fb>138.00030000000001</fb>
    <v>1</v>
  </rv>
  <rv s="0">
    <fb>137.4478</fb>
    <v>1</v>
  </rv>
  <rv s="0">
    <fb>136.9118</fb>
    <v>1</v>
  </rv>
  <rv s="0">
    <fb>135.53980000000001</fb>
    <v>1</v>
  </rv>
  <rv s="0">
    <fb>136.0359</fb>
    <v>1</v>
  </rv>
  <rv s="0">
    <fb>134.6858</fb>
    <v>1</v>
  </rv>
  <rv s="0">
    <fb>134.09540000000001</fb>
    <v>1</v>
  </rv>
  <rv s="0">
    <fb>132.94309999999999</fb>
    <v>1</v>
  </rv>
  <rv s="0">
    <fb>133.0557</fb>
    <v>1</v>
  </rv>
  <rv s="0">
    <fb>132.75620000000001</fb>
    <v>1</v>
  </rv>
  <rv s="0">
    <fb>134.7157</fb>
    <v>1</v>
  </rv>
  <rv s="0">
    <fb>133.53139999999999</fb>
    <v>1</v>
  </rv>
  <rv s="0">
    <fb>133.42930000000001</fb>
    <v>1</v>
  </rv>
  <rv s="0">
    <fb>135.17330000000001</fb>
    <v>1</v>
  </rv>
  <rv s="0">
    <fb>134.45419999999999</fb>
    <v>1</v>
  </rv>
  <rv s="0">
    <fb>134.4854</fb>
    <v>1</v>
  </rv>
  <rv s="0">
    <fb>134.59530000000001</fb>
    <v>1</v>
  </rv>
  <rv s="0">
    <fb>135.2294</fb>
    <v>1</v>
  </rv>
  <rv s="0">
    <fb>134.4624</fb>
    <v>1</v>
  </rv>
  <rv s="0">
    <fb>135.18770000000001</fb>
    <v>1</v>
  </rv>
  <rv s="0">
    <fb>135.65110000000001</fb>
    <v>1</v>
  </rv>
  <rv s="0">
    <fb>136.73410000000001</fb>
    <v>1</v>
  </rv>
  <rv s="0">
    <fb>137.26900000000001</fb>
    <v>1</v>
  </rv>
  <rv s="0">
    <fb>135.54660000000001</fb>
    <v>1</v>
  </rv>
  <rv s="0">
    <fb>135.51</fb>
    <v>1</v>
  </rv>
  <rv s="0">
    <fb>135.03540000000001</fb>
    <v>1</v>
  </rv>
  <rv s="0">
    <fb>134.06639999999999</fb>
    <v>1</v>
  </rv>
  <rv s="0">
    <fb>135.57910000000001</fb>
    <v>1</v>
  </rv>
  <rv s="0">
    <fb>135.3663</fb>
    <v>1</v>
  </rv>
  <rv s="0">
    <fb>135.24250000000001</fb>
    <v>1</v>
  </rv>
  <rv s="0">
    <fb>134.88999999999999</fb>
    <v>1</v>
  </rv>
  <rv s="0">
    <fb>136.38210000000001</fb>
    <v>1</v>
  </rv>
  <rv s="0">
    <fb>136.8252</fb>
    <v>1</v>
  </rv>
  <rv s="0">
    <fb>136.37100000000001</fb>
    <v>1</v>
  </rv>
  <rv s="0">
    <fb>136.18549999999999</fb>
    <v>1</v>
  </rv>
  <rv s="0">
    <fb>136.36959999999999</fb>
    <v>1</v>
  </rv>
  <rv s="0">
    <fb>136.4212</fb>
    <v>1</v>
  </rv>
  <rv s="0">
    <fb>135.18129999999999</fb>
    <v>1</v>
  </rv>
  <rv s="0">
    <fb>131.76740000000001</fb>
    <v>1</v>
  </rv>
  <rv s="0">
    <fb>133.7313</fb>
    <v>1</v>
  </rv>
  <rv s="0">
    <fb>133.75239999999999</fb>
    <v>1</v>
  </rv>
  <rv s="0">
    <fb>133.59010000000001</fb>
    <v>1</v>
  </rv>
  <rv s="0">
    <fb>135.32490000000001</fb>
    <v>1</v>
  </rv>
  <rv s="0">
    <fb>135.6336</fb>
    <v>1</v>
  </rv>
  <rv s="0">
    <fb>135.6867</fb>
    <v>1</v>
  </rv>
  <rv s="0">
    <fb>135.84010000000001</fb>
    <v>1</v>
  </rv>
  <rv s="0">
    <fb>136.8409</fb>
    <v>1</v>
  </rv>
  <rv s="0">
    <fb>137.55000000000001</fb>
    <v>1</v>
  </rv>
  <rv s="0">
    <fb>137.73349999999999</fb>
    <v>1</v>
  </rv>
  <rv s="0">
    <fb>137.72</fb>
    <v>1</v>
  </rv>
  <rv s="0">
    <fb>139.12639999999999</fb>
    <v>1</v>
  </rv>
  <rv s="0">
    <fb>139.36699999999999</fb>
    <v>1</v>
  </rv>
  <rv s="0">
    <fb>139.20779999999999</fb>
    <v>1</v>
  </rv>
  <rv s="0">
    <fb>139.81209999999999</fb>
    <v>1</v>
  </rv>
  <rv s="0">
    <fb>138.96780000000001</fb>
    <v>1</v>
  </rv>
  <rv s="0">
    <fb>137.83009999999999</fb>
    <v>1</v>
  </rv>
  <rv s="0">
    <fb>137.9221</fb>
    <v>1</v>
  </rv>
  <rv s="0">
    <fb>137.78319999999999</fb>
    <v>1</v>
  </rv>
  <rv s="0">
    <fb>136.69290000000001</fb>
    <v>1</v>
  </rv>
  <rv s="0">
    <fb>136.8603</fb>
    <v>1</v>
  </rv>
  <rv s="0">
    <fb>134.88249999999999</fb>
    <v>1</v>
  </rv>
  <rv s="0">
    <fb>135.83750000000001</fb>
    <v>1</v>
  </rv>
  <rv s="0">
    <fb>136.77860000000001</fb>
    <v>1</v>
  </rv>
  <rv s="0">
    <fb>136.83439999999999</fb>
    <v>1</v>
  </rv>
  <rv s="0">
    <fb>137.39699999999999</fb>
    <v>1</v>
  </rv>
  <rv s="0">
    <fb>137.34450000000001</fb>
    <v>1</v>
  </rv>
  <rv s="0">
    <fb>137.1634</fb>
    <v>1</v>
  </rv>
  <rv s="0">
    <fb>137.73070000000001</fb>
    <v>1</v>
  </rv>
  <rv s="0">
    <fb>137.60579999999999</fb>
    <v>1</v>
  </rv>
  <rv s="0">
    <fb>138.1918</fb>
    <v>1</v>
  </rv>
  <rv s="0">
    <fb>136.59010000000001</fb>
    <v>1</v>
  </rv>
  <rv s="0">
    <fb>136.61060000000001</fb>
    <v>1</v>
  </rv>
  <rv s="0">
    <fb>137.89420000000001</fb>
    <v>1</v>
  </rv>
  <rv s="0">
    <fb>137.73159999999999</fb>
    <v>1</v>
  </rv>
  <rv s="0">
    <fb>137.4496</fb>
    <v>1</v>
  </rv>
  <rv s="0">
    <fb>137.8417</fb>
    <v>1</v>
  </rv>
  <rv s="0">
    <fb>137.26949999999999</fb>
    <v>1</v>
  </rv>
  <rv s="0">
    <fb>136.3056</fb>
    <v>1</v>
  </rv>
  <rv s="0">
    <fb>137.36279999999999</fb>
    <v>1</v>
  </rv>
  <rv s="0">
    <fb>137.69</fb>
    <v>1</v>
  </rv>
  <rv s="0">
    <fb>138.42400000000001</fb>
    <v>1</v>
  </rv>
  <rv s="0">
    <fb>140.44820000000001</fb>
    <v>1</v>
  </rv>
  <rv s="0">
    <fb>141.17420000000001</fb>
    <v>1</v>
  </rv>
  <rv s="0">
    <fb>141.8553</fb>
    <v>1</v>
  </rv>
  <rv s="0">
    <fb>141.8948</fb>
    <v>1</v>
  </rv>
  <rv s="0">
    <fb>141.61279999999999</fb>
    <v>1</v>
  </rv>
  <rv s="0">
    <fb>142.73509999999999</fb>
    <v>1</v>
  </rv>
  <rv s="0">
    <fb>141.97749999999999</fb>
    <v>1</v>
  </rv>
  <rv s="0">
    <fb>140.3836</fb>
    <v>1</v>
  </rv>
  <rv s="0">
    <fb>141.09520000000001</fb>
    <v>1</v>
  </rv>
  <rv s="0">
    <fb>140.63999999999999</fb>
    <v>1</v>
  </rv>
  <rv s="0">
    <fb>141.5788</fb>
    <v>1</v>
  </rv>
  <rv s="0">
    <fb>142.5599</fb>
    <v>1</v>
  </rv>
  <rv s="0">
    <fb>141.49279999999999</fb>
    <v>1</v>
  </rv>
  <rv s="0">
    <fb>142.74709999999999</fb>
    <v>1</v>
  </rv>
  <rv s="0">
    <fb>143.04259999999999</fb>
    <v>1</v>
  </rv>
  <rv s="0">
    <fb>142.7381</fb>
    <v>1</v>
  </rv>
  <rv s="0">
    <fb>143.03919999999999</fb>
    <v>1</v>
  </rv>
  <rv s="0">
    <fb>143.3134</fb>
    <v>1</v>
  </rv>
  <rv s="0">
    <fb>143.8306</fb>
    <v>1</v>
  </rv>
  <rv s="0">
    <fb>143.41139999999999</fb>
    <v>1</v>
  </rv>
  <rv s="0">
    <fb>143.12520000000001</fb>
    <v>1</v>
  </rv>
  <rv s="0">
    <fb>143.07550000000001</fb>
    <v>1</v>
  </rv>
  <rv s="0">
    <fb>142.2868</fb>
    <v>1</v>
  </rv>
  <rv s="0">
    <fb>142.25200000000001</fb>
    <v>1</v>
  </rv>
  <rv s="0">
    <fb>141.9161</fb>
    <v>1</v>
  </rv>
  <rv s="0">
    <fb>142.35650000000001</fb>
    <v>1</v>
  </rv>
  <rv s="0">
    <fb>141.2765</fb>
    <v>1</v>
  </rv>
  <rv s="0">
    <fb>140.45910000000001</fb>
    <v>1</v>
  </rv>
  <rv s="0">
    <fb>142.52699999999999</fb>
    <v>1</v>
  </rv>
  <rv s="0">
    <fb>144.4325</fb>
    <v>1</v>
  </rv>
  <rv s="0">
    <fb>145.5479</fb>
    <v>1</v>
  </rv>
  <rv s="0">
    <fb>144.71039999999999</fb>
    <v>1</v>
  </rv>
  <rv s="0">
    <fb>143.2056</fb>
    <v>1</v>
  </rv>
  <rv s="0">
    <fb>142.28819999999999</fb>
    <v>1</v>
  </rv>
  <rv s="0">
    <fb>139.8305</fb>
    <v>1</v>
  </rv>
  <rv s="0">
    <fb>48.38</fb>
    <v>0</v>
  </rv>
  <rv s="0">
    <fb>52.26</fb>
    <v>0</v>
  </rv>
  <rv s="0">
    <fb>55.28</fb>
    <v>0</v>
  </rv>
  <rv s="0">
    <fb>54.41</fb>
    <v>0</v>
  </rv>
  <rv s="0">
    <fb>48.22</fb>
    <v>0</v>
  </rv>
  <rv s="0">
    <fb>54.58</fb>
    <v>0</v>
  </rv>
  <rv s="0">
    <fb>56.3</fb>
    <v>0</v>
  </rv>
  <rv s="0">
    <fb>57.21</fb>
    <v>0</v>
  </rv>
  <rv s="0">
    <fb>58.94</fb>
    <v>0</v>
  </rv>
  <rv s="0">
    <fb>58.51</fb>
    <v>0</v>
  </rv>
  <rv s="0">
    <fb>60.96</fb>
    <v>0</v>
  </rv>
  <rv s="0">
    <fb>63.46</fb>
    <v>0</v>
  </rv>
  <rv s="0">
    <fb>62.43</fb>
    <v>0</v>
  </rv>
  <rv s="0">
    <fb>63.49</fb>
    <v>0</v>
  </rv>
  <rv s="0">
    <fb>64.209999999999994</fb>
    <v>0</v>
  </rv>
  <rv s="0">
    <fb>11.82</fb>
    <v>1</v>
  </rv>
  <rv s="0">
    <fb>11.852</fb>
    <v>1</v>
  </rv>
  <rv s="0">
    <fb>11.885999999999999</fb>
    <v>1</v>
  </rv>
  <rv s="0">
    <fb>11.736000000000001</fb>
    <v>1</v>
  </rv>
  <rv s="0">
    <fb>11.651999999999999</fb>
    <v>1</v>
  </rv>
  <rv s="0">
    <fb>11.698</fb>
    <v>1</v>
  </rv>
  <rv s="0">
    <fb>11.708</fb>
    <v>1</v>
  </rv>
  <rv s="0">
    <fb>11.856</fb>
    <v>1</v>
  </rv>
  <rv s="0">
    <fb>11.682</fb>
    <v>1</v>
  </rv>
  <rv s="0">
    <fb>11.86</fb>
    <v>1</v>
  </rv>
  <rv s="0">
    <fb>11.88</fb>
    <v>1</v>
  </rv>
  <rv s="0">
    <fb>11.688000000000001</fb>
    <v>1</v>
  </rv>
  <rv s="0">
    <fb>11.936</fb>
    <v>1</v>
  </rv>
  <rv s="0">
    <fb>12.013999999999999</fb>
    <v>1</v>
  </rv>
  <rv s="0">
    <fb>11.94</fb>
    <v>1</v>
  </rv>
  <rv s="0">
    <fb>12.01</fb>
    <v>1</v>
  </rv>
  <rv s="0">
    <fb>11.901999999999999</fb>
    <v>1</v>
  </rv>
  <rv s="0">
    <fb>11.853999999999999</fb>
    <v>1</v>
  </rv>
  <rv s="0">
    <fb>11.896000000000001</fb>
    <v>1</v>
  </rv>
  <rv s="0">
    <fb>11.984</fb>
    <v>1</v>
  </rv>
  <rv s="0">
    <fb>12.224</fb>
    <v>1</v>
  </rv>
  <rv s="0">
    <fb>12.26</fb>
    <v>1</v>
  </rv>
  <rv s="0">
    <fb>12.316000000000001</fb>
    <v>1</v>
  </rv>
  <rv s="0">
    <fb>12.456</fb>
    <v>1</v>
  </rv>
  <rv s="0">
    <fb>12.566000000000001</fb>
    <v>1</v>
  </rv>
  <rv s="0">
    <fb>12.618</fb>
    <v>1</v>
  </rv>
  <rv s="0">
    <fb>12.704000000000001</fb>
    <v>1</v>
  </rv>
  <rv s="0">
    <fb>12.662000000000001</fb>
    <v>1</v>
  </rv>
  <rv s="0">
    <fb>12.64</fb>
    <v>1</v>
  </rv>
  <rv s="0">
    <fb>12.596</fb>
    <v>1</v>
  </rv>
  <rv s="0">
    <fb>12.71</fb>
    <v>1</v>
  </rv>
  <rv s="0">
    <fb>12.722</fb>
    <v>1</v>
  </rv>
  <rv s="0">
    <fb>12.568</fb>
    <v>1</v>
  </rv>
  <rv s="0">
    <fb>12.603999999999999</fb>
    <v>1</v>
  </rv>
  <rv s="0">
    <fb>12.555999999999999</fb>
    <v>1</v>
  </rv>
  <rv s="0">
    <fb>12.756</fb>
    <v>1</v>
  </rv>
  <rv s="0">
    <fb>12.694000000000001</fb>
    <v>1</v>
  </rv>
  <rv s="0">
    <fb>12.762</fb>
    <v>1</v>
  </rv>
  <rv s="0">
    <fb>12.794</fb>
    <v>1</v>
  </rv>
  <rv s="0">
    <fb>12.811999999999999</fb>
    <v>1</v>
  </rv>
  <rv s="0">
    <fb>12.984</fb>
    <v>1</v>
  </rv>
  <rv s="0">
    <fb>13.004</fb>
    <v>1</v>
  </rv>
  <rv s="0">
    <fb>12.964</fb>
    <v>1</v>
  </rv>
  <rv s="0">
    <fb>12.824</fb>
    <v>1</v>
  </rv>
  <rv s="0">
    <fb>12.846</fb>
    <v>1</v>
  </rv>
  <rv s="0">
    <fb>12.944000000000001</fb>
    <v>1</v>
  </rv>
  <rv s="0">
    <fb>12.816000000000001</fb>
    <v>1</v>
  </rv>
  <rv s="0">
    <fb>12.778</fb>
    <v>1</v>
  </rv>
  <rv s="0">
    <fb>12.946</fb>
    <v>1</v>
  </rv>
  <rv s="0">
    <fb>12.916</fb>
    <v>1</v>
  </rv>
  <rv s="0">
    <fb>12.926</fb>
    <v>1</v>
  </rv>
  <rv s="0">
    <fb>13.044</fb>
    <v>1</v>
  </rv>
  <rv s="0">
    <fb>12.862</fb>
    <v>1</v>
  </rv>
  <rv s="0">
    <fb>13.066000000000001</fb>
    <v>1</v>
  </rv>
  <rv s="0">
    <fb>13.186</fb>
    <v>1</v>
  </rv>
  <rv s="0">
    <fb>12.992000000000001</fb>
    <v>1</v>
  </rv>
  <rv s="0">
    <fb>12.891999999999999</fb>
    <v>1</v>
  </rv>
  <rv s="0">
    <fb>12.728</fb>
    <v>1</v>
  </rv>
  <rv s="0">
    <fb>12.696</fb>
    <v>1</v>
  </rv>
  <rv s="0">
    <fb>12.832000000000001</fb>
    <v>1</v>
  </rv>
  <rv s="0">
    <fb>12.96</fb>
    <v>1</v>
  </rv>
  <rv s="0">
    <fb>13.087999999999999</fb>
    <v>1</v>
  </rv>
  <rv s="0">
    <fb>12.958</fb>
    <v>1</v>
  </rv>
  <rv s="0">
    <fb>12.843999999999999</fb>
    <v>1</v>
  </rv>
  <rv s="0">
    <fb>12.834</fb>
    <v>1</v>
  </rv>
  <rv s="0">
    <fb>12.917999999999999</fb>
    <v>1</v>
  </rv>
  <rv s="0">
    <fb>12.686</fb>
    <v>1</v>
  </rv>
  <rv s="0">
    <fb>12.622</fb>
    <v>1</v>
  </rv>
  <rv s="0">
    <fb>12.416</fb>
    <v>1</v>
  </rv>
  <rv s="0">
    <fb>12.513999999999999</fb>
    <v>1</v>
  </rv>
  <rv s="0">
    <fb>12.507999999999999</fb>
    <v>1</v>
  </rv>
  <rv s="0">
    <fb>12.166</fb>
    <v>1</v>
  </rv>
  <rv s="0">
    <fb>11.667999999999999</fb>
    <v>1</v>
  </rv>
  <rv s="0">
    <fb>11.108000000000001</fb>
    <v>1</v>
  </rv>
  <rv s="0">
    <fb>11.364000000000001</fb>
    <v>1</v>
  </rv>
  <rv s="0">
    <fb>11.038</fb>
    <v>1</v>
  </rv>
  <rv s="0">
    <fb>11.486000000000001</fb>
    <v>1</v>
  </rv>
  <rv s="0">
    <fb>11.41</fb>
    <v>1</v>
  </rv>
  <rv s="0">
    <fb>11.731999999999999</fb>
    <v>1</v>
  </rv>
  <rv s="0">
    <fb>11.83</fb>
    <v>1</v>
  </rv>
  <rv s="0">
    <fb>11.792</fb>
    <v>1</v>
  </rv>
  <rv s="0">
    <fb>11.742000000000001</fb>
    <v>1</v>
  </rv>
  <rv s="0">
    <fb>11.842000000000001</fb>
    <v>1</v>
  </rv>
  <rv s="0">
    <fb>12.106</fb>
    <v>1</v>
  </rv>
  <rv s="0">
    <fb>12.167999999999999</fb>
    <v>1</v>
  </rv>
  <rv s="0">
    <fb>12.231999999999999</fb>
    <v>1</v>
  </rv>
  <rv s="0">
    <fb>12.298</fb>
    <v>1</v>
  </rv>
  <rv s="0">
    <fb>12.27</fb>
    <v>1</v>
  </rv>
  <rv s="0">
    <fb>12.375999999999999</fb>
    <v>1</v>
  </rv>
  <rv s="0">
    <fb>12.67</fb>
    <v>1</v>
  </rv>
  <rv s="0">
    <fb>12.646000000000001</fb>
    <v>1</v>
  </rv>
  <rv s="0">
    <fb>12.516</fb>
    <v>1</v>
  </rv>
  <rv s="0">
    <fb>12.608000000000001</fb>
    <v>1</v>
  </rv>
  <rv s="0">
    <fb>12.932</fb>
    <v>1</v>
  </rv>
  <rv s="0">
    <fb>12.888</fb>
    <v>1</v>
  </rv>
  <rv s="0">
    <fb>12.904</fb>
    <v>1</v>
  </rv>
  <rv s="0">
    <fb>13.135999999999999</fb>
    <v>1</v>
  </rv>
  <rv s="0">
    <fb>13.092000000000001</fb>
    <v>1</v>
  </rv>
  <rv s="0">
    <fb>12.98</fb>
    <v>1</v>
  </rv>
  <rv s="0">
    <fb>12.837999999999999</fb>
    <v>1</v>
  </rv>
  <rv s="0">
    <fb>13.002000000000001</fb>
    <v>1</v>
  </rv>
  <rv s="0">
    <fb>13.026</fb>
    <v>1</v>
  </rv>
  <rv s="0">
    <fb>12.962</fb>
    <v>1</v>
  </rv>
  <rv s="0">
    <fb>12.988</fb>
    <v>1</v>
  </rv>
  <rv s="0">
    <fb>13.006</fb>
    <v>1</v>
  </rv>
  <rv s="0">
    <fb>12.856</fb>
    <v>1</v>
  </rv>
  <rv s="0">
    <fb>12.87</fb>
    <v>1</v>
  </rv>
  <rv s="0">
    <fb>12.757999999999999</fb>
    <v>1</v>
  </rv>
  <rv s="0">
    <fb>12.868</fb>
    <v>1</v>
  </rv>
  <rv s="0">
    <fb>12.742000000000001</fb>
    <v>1</v>
  </rv>
  <rv s="0">
    <fb>12.706</fb>
    <v>1</v>
  </rv>
  <rv s="0">
    <fb>12.51</fb>
    <v>1</v>
  </rv>
  <rv s="0">
    <fb>12.58</fb>
    <v>1</v>
  </rv>
  <rv s="0">
    <fb>12.506</fb>
    <v>1</v>
  </rv>
  <rv s="0">
    <fb>12.666</fb>
    <v>1</v>
  </rv>
  <rv s="0">
    <fb>12.56</fb>
    <v>1</v>
  </rv>
  <rv s="0">
    <fb>12.548</fb>
    <v>1</v>
  </rv>
  <rv s="0">
    <fb>12.744</fb>
    <v>1</v>
  </rv>
  <rv s="0">
    <fb>12.77</fb>
    <v>1</v>
  </rv>
  <rv s="0">
    <fb>12.714</fb>
    <v>1</v>
  </rv>
  <rv s="0">
    <fb>12.878</fb>
    <v>1</v>
  </rv>
  <rv s="0">
    <fb>12.885999999999999</fb>
    <v>1</v>
  </rv>
  <rv s="0">
    <fb>12.826000000000001</fb>
    <v>1</v>
  </rv>
  <rv s="0">
    <fb>12.88</fb>
    <v>1</v>
  </rv>
  <rv s="0">
    <fb>12.9</fb>
    <v>1</v>
  </rv>
  <rv s="0">
    <fb>13.118</fb>
    <v>1</v>
  </rv>
  <rv s="0">
    <fb>13.16</fb>
    <v>1</v>
  </rv>
  <rv s="0">
    <fb>12.976000000000001</fb>
    <v>1</v>
  </rv>
  <rv s="0">
    <fb>12.928000000000001</fb>
    <v>1</v>
  </rv>
  <rv s="0">
    <fb>12.906000000000001</fb>
    <v>1</v>
  </rv>
  <rv s="0">
    <fb>13.018000000000001</fb>
    <v>1</v>
  </rv>
  <rv s="0">
    <fb>12.997999999999999</fb>
    <v>1</v>
  </rv>
  <rv s="0">
    <fb>13.086</fb>
    <v>1</v>
  </rv>
  <rv s="0">
    <fb>13.052</fb>
    <v>1</v>
  </rv>
  <rv s="0">
    <fb>13.055999999999999</fb>
    <v>1</v>
  </rv>
  <rv s="0">
    <fb>12.577999999999999</fb>
    <v>1</v>
  </rv>
  <rv s="0">
    <fb>12.672000000000001</fb>
    <v>1</v>
  </rv>
  <rv s="0">
    <fb>12.673999999999999</fb>
    <v>1</v>
  </rv>
  <rv s="0">
    <fb>12.818</fb>
    <v>1</v>
  </rv>
  <rv s="0">
    <fb>12.798</fb>
    <v>1</v>
  </rv>
  <rv s="0">
    <fb>13.032</fb>
    <v>1</v>
  </rv>
  <rv s="0">
    <fb>13.102</fb>
    <v>1</v>
  </rv>
  <rv s="0">
    <fb>13.27</fb>
    <v>1</v>
  </rv>
  <rv s="0">
    <fb>13.2</fb>
    <v>1</v>
  </rv>
  <rv s="0">
    <fb>13.188000000000001</fb>
    <v>1</v>
  </rv>
  <rv s="0">
    <fb>13.246</fb>
    <v>1</v>
  </rv>
  <rv s="0">
    <fb>13.012</fb>
    <v>1</v>
  </rv>
  <rv s="0">
    <fb>12.858000000000001</fb>
    <v>1</v>
  </rv>
  <rv s="0">
    <fb>12.747999999999999</fb>
    <v>1</v>
  </rv>
  <rv s="0">
    <fb>12.66</fb>
    <v>1</v>
  </rv>
  <rv s="0">
    <fb>12.8</fb>
    <v>1</v>
  </rv>
  <rv s="0">
    <fb>12.795999999999999</fb>
    <v>1</v>
  </rv>
  <rv s="0">
    <fb>12.864000000000001</fb>
    <v>1</v>
  </rv>
  <rv s="0">
    <fb>13.013999999999999</fb>
    <v>1</v>
  </rv>
  <rv s="0">
    <fb>13.038</fb>
    <v>1</v>
  </rv>
  <rv s="0">
    <fb>13.128</fb>
    <v>1</v>
  </rv>
  <rv s="0">
    <fb>12.93</fb>
    <v>1</v>
  </rv>
  <rv s="0">
    <fb>13.034000000000001</fb>
    <v>1</v>
  </rv>
  <rv s="0">
    <fb>13.116</fb>
    <v>1</v>
  </rv>
  <rv s="0">
    <fb>12.99</fb>
    <v>1</v>
  </rv>
  <rv s="0">
    <fb>13.093999999999999</fb>
    <v>1</v>
  </rv>
  <rv s="0">
    <fb>13.166</fb>
    <v>1</v>
  </rv>
  <rv s="0">
    <fb>13.282</fb>
    <v>1</v>
  </rv>
  <rv s="0">
    <fb>13.436</fb>
    <v>1</v>
  </rv>
  <rv s="0">
    <fb>13.51</fb>
    <v>1</v>
  </rv>
  <rv s="0">
    <fb>13.334</fb>
    <v>1</v>
  </rv>
  <rv s="0">
    <fb>13.353999999999999</fb>
    <v>1</v>
  </rv>
  <rv s="0">
    <fb>13.481999999999999</fb>
    <v>1</v>
  </rv>
  <rv s="0">
    <fb>13.454000000000001</fb>
    <v>1</v>
  </rv>
  <rv s="0">
    <fb>13.272</fb>
    <v>1</v>
  </rv>
  <rv s="0">
    <fb>13.31</fb>
    <v>1</v>
  </rv>
  <rv s="0">
    <fb>13.263999999999999</fb>
    <v>1</v>
  </rv>
  <rv s="0">
    <fb>13.532</fb>
    <v>1</v>
  </rv>
  <rv s="0">
    <fb>13.714</fb>
    <v>1</v>
  </rv>
  <rv s="0">
    <fb>13.68</fb>
    <v>1</v>
  </rv>
  <rv s="0">
    <fb>13.7</fb>
    <v>1</v>
  </rv>
  <rv s="0">
    <fb>13.853999999999999</fb>
    <v>1</v>
  </rv>
  <rv s="0">
    <fb>13.75</fb>
    <v>1</v>
  </rv>
  <rv s="0">
    <fb>13.756</fb>
    <v>1</v>
  </rv>
  <rv s="0">
    <fb>13.795999999999999</fb>
    <v>1</v>
  </rv>
  <rv s="0">
    <fb>13.766</fb>
    <v>1</v>
  </rv>
  <rv s="0">
    <fb>13.722</fb>
    <v>1</v>
  </rv>
  <rv s="0">
    <fb>13.603999999999999</fb>
    <v>1</v>
  </rv>
  <rv s="0">
    <fb>13.526</fb>
    <v>1</v>
  </rv>
  <rv s="0">
    <fb>13.497999999999999</fb>
    <v>1</v>
  </rv>
  <rv s="0">
    <fb>13.4</fb>
    <v>1</v>
  </rv>
  <rv s="0">
    <fb>13.496</fb>
    <v>1</v>
  </rv>
  <rv s="0">
    <fb>13.278</fb>
    <v>1</v>
  </rv>
  <rv s="0">
    <fb>13.208</fb>
    <v>1</v>
  </rv>
  <rv s="0">
    <fb>13.43</fb>
    <v>1</v>
  </rv>
  <rv s="0">
    <fb>13.582000000000001</fb>
    <v>1</v>
  </rv>
  <rv s="0">
    <fb>13.324</fb>
    <v>1</v>
  </rv>
  <rv s="0">
    <fb>13.342000000000001</fb>
    <v>1</v>
  </rv>
  <rv s="0">
    <fb>13.24</fb>
    <v>1</v>
  </rv>
  <rv s="0">
    <fb>34.700600000000001</fb>
    <v>0</v>
  </rv>
  <rv s="0">
    <fb>34.466000000000001</fb>
    <v>0</v>
  </rv>
  <rv s="0">
    <fb>33.686999999999998</fb>
    <v>0</v>
  </rv>
  <rv s="0">
    <fb>34.119999999999997</fb>
    <v>0</v>
  </rv>
  <rv s="0">
    <fb>33.319000000000003</fb>
    <v>0</v>
  </rv>
  <rv s="0">
    <fb>33.130000000000003</fb>
    <v>0</v>
  </rv>
  <rv s="0">
    <fb>34.06</fb>
    <v>0</v>
  </rv>
  <rv s="0">
    <fb>33.57</fb>
    <v>0</v>
  </rv>
  <rv s="0">
    <fb>34.6</fb>
    <v>0</v>
  </rv>
  <rv s="0">
    <fb>35.82</fb>
    <v>0</v>
  </rv>
  <rv s="0">
    <fb>35.929900000000004</fb>
    <v>0</v>
  </rv>
  <rv s="0">
    <fb>36.39</fb>
    <v>0</v>
  </rv>
  <rv s="0">
    <fb>36.408799999999999</fb>
    <v>0</v>
  </rv>
  <rv s="0">
    <fb>36.299999999999997</fb>
    <v>0</v>
  </rv>
  <rv s="0">
    <fb>35.712800000000001</fb>
    <v>0</v>
  </rv>
  <rv s="0">
    <fb>36.07</fb>
    <v>0</v>
  </rv>
  <rv s="0">
    <fb>36.46</fb>
    <v>0</v>
  </rv>
  <rv s="0">
    <fb>38.215000000000003</fb>
    <v>0</v>
  </rv>
  <rv s="0">
    <fb>38.799999999999997</fb>
    <v>0</v>
  </rv>
  <rv s="0">
    <fb>37.963900000000002</fb>
    <v>0</v>
  </rv>
  <rv s="0">
    <fb>38.47</fb>
    <v>0</v>
  </rv>
  <rv s="0">
    <fb>40.1</fb>
    <v>0</v>
  </rv>
  <rv s="0">
    <fb>40.49</fb>
    <v>0</v>
  </rv>
  <rv s="0">
    <fb>39.380000000000003</fb>
    <v>0</v>
  </rv>
  <rv s="0">
    <fb>35.21</fb>
    <v>0</v>
  </rv>
  <rv s="0">
    <fb>34.840000000000003</fb>
    <v>0</v>
  </rv>
  <rv s="0">
    <fb>38.590000000000003</fb>
    <v>0</v>
  </rv>
  <rv s="0">
    <fb>38.979999999999997</fb>
    <v>0</v>
  </rv>
  <rv s="0">
    <fb>41.46</fb>
    <v>0</v>
  </rv>
  <rv s="0">
    <fb>42.33</fb>
    <v>0</v>
  </rv>
  <rv s="0">
    <fb>42.81</fb>
    <v>0</v>
  </rv>
  <rv s="0">
    <fb>42.825000000000003</fb>
    <v>0</v>
  </rv>
  <rv s="0">
    <fb>43.814999999999998</fb>
    <v>0</v>
  </rv>
  <rv s="0">
    <fb>44.72</fb>
    <v>0</v>
  </rv>
  <rv s="0">
    <fb>44.42</fb>
    <v>0</v>
  </rv>
  <rv s="0">
    <fb>43.14</fb>
    <v>0</v>
  </rv>
  <rv s="0">
    <fb>44.46</fb>
    <v>0</v>
  </rv>
  <rv s="0">
    <fb>44.84</fb>
    <v>0</v>
  </rv>
  <rv s="0">
    <fb>44.51</fb>
    <v>0</v>
  </rv>
  <rv s="0">
    <fb>45.6</fb>
    <v>0</v>
  </rv>
  <rv s="0">
    <fb>44.9</fb>
    <v>0</v>
  </rv>
  <rv s="0">
    <fb>45.104999999999997</fb>
    <v>0</v>
  </rv>
  <rv s="0">
    <fb>45.3048</fb>
    <v>0</v>
  </rv>
  <rv s="0">
    <fb>43.750100000000003</fb>
    <v>0</v>
  </rv>
  <rv s="0">
    <fb>44.099600000000002</fb>
    <v>0</v>
  </rv>
  <rv s="0">
    <fb>44.39</fb>
    <v>0</v>
  </rv>
  <rv s="0">
    <fb>44.26</fb>
    <v>0</v>
  </rv>
  <rv s="0">
    <fb>44.449599999999997</fb>
    <v>0</v>
  </rv>
  <rv s="0">
    <fb>44.151600000000002</fb>
    <v>0</v>
  </rv>
  <rv s="0">
    <fb>44.21</fb>
    <v>0</v>
  </rv>
  <rv s="0">
    <fb>44.28</fb>
    <v>0</v>
  </rv>
  <rv s="0">
    <fb>44.210700000000003</fb>
    <v>0</v>
  </rv>
  <rv s="0">
    <fb>45.195500000000003</fb>
    <v>0</v>
  </rv>
  <rv s="0">
    <fb>45.550899999999999</fb>
    <v>0</v>
  </rv>
  <rv s="0">
    <fb>45.288899999999998</fb>
    <v>0</v>
  </rv>
  <rv s="0">
    <fb>44.667499999999997</fb>
    <v>0</v>
  </rv>
  <rv s="0">
    <fb>44.9694</fb>
    <v>0</v>
  </rv>
  <rv s="0">
    <fb>44.8</fb>
    <v>0</v>
  </rv>
  <rv s="0">
    <fb>44.889299999999999</fb>
    <v>0</v>
  </rv>
  <rv s="0">
    <fb>44.715000000000003</fb>
    <v>0</v>
  </rv>
  <rv s="0">
    <fb>44.765900000000002</fb>
    <v>0</v>
  </rv>
  <rv s="0">
    <fb>44.981000000000002</fb>
    <v>0</v>
  </rv>
  <rv s="0">
    <fb>44.890700000000002</fb>
    <v>0</v>
  </rv>
  <rv s="0">
    <fb>44.2819</fb>
    <v>0</v>
  </rv>
  <rv s="0">
    <fb>44.213700000000003</fb>
    <v>0</v>
  </rv>
  <rv s="0">
    <fb>43.59</fb>
    <v>0</v>
  </rv>
  <rv s="0">
    <fb>44.015000000000001</fb>
    <v>0</v>
  </rv>
  <rv s="0">
    <fb>43.5794</fb>
    <v>0</v>
  </rv>
  <rv s="0">
    <fb>43.707000000000001</fb>
    <v>0</v>
  </rv>
  <rv s="0">
    <fb>44.545000000000002</fb>
    <v>0</v>
  </rv>
  <rv s="0">
    <fb>45.09</fb>
    <v>0</v>
  </rv>
  <rv s="0">
    <fb>44.531700000000001</fb>
    <v>0</v>
  </rv>
  <rv s="0">
    <fb>44.1</fb>
    <v>0</v>
  </rv>
  <rv s="0">
    <fb>42.67</fb>
    <v>0</v>
  </rv>
  <rv s="0">
    <fb>9.6780000000000008</fb>
    <v>1</v>
  </rv>
  <rv s="0">
    <fb>9.6259999999999994</fb>
    <v>1</v>
  </rv>
  <rv s="0">
    <fb>9.6300000000000008</fb>
    <v>1</v>
  </rv>
  <rv s="0">
    <fb>9.5120000000000005</fb>
    <v>1</v>
  </rv>
  <rv s="0">
    <fb>9.49</fb>
    <v>1</v>
  </rv>
  <rv s="0">
    <fb>9.4619999999999997</fb>
    <v>1</v>
  </rv>
  <rv s="0">
    <fb>9.5380000000000003</fb>
    <v>1</v>
  </rv>
  <rv s="0">
    <fb>9.5109999999999992</fb>
    <v>1</v>
  </rv>
  <rv s="0">
    <fb>9.6760000000000002</fb>
    <v>1</v>
  </rv>
  <rv s="0">
    <fb>9.6449999999999996</fb>
    <v>1</v>
  </rv>
  <rv s="0">
    <fb>9.6750000000000007</fb>
    <v>1</v>
  </rv>
  <rv s="0">
    <fb>9.6709999999999994</fb>
    <v>1</v>
  </rv>
  <rv s="0">
    <fb>9.6199999999999992</fb>
    <v>1</v>
  </rv>
  <rv s="0">
    <fb>9.6549999999999994</fb>
    <v>1</v>
  </rv>
  <rv s="0">
    <fb>9.5630000000000006</fb>
    <v>1</v>
  </rv>
  <rv s="0">
    <fb>9.5250000000000004</fb>
    <v>1</v>
  </rv>
  <rv s="0">
    <fb>9.4459999999999997</fb>
    <v>1</v>
  </rv>
  <rv s="0">
    <fb>9.5950000000000006</fb>
    <v>1</v>
  </rv>
  <rv s="0">
    <fb>9.6850000000000005</fb>
    <v>1</v>
  </rv>
  <rv s="0">
    <fb>9.7829999999999995</fb>
    <v>1</v>
  </rv>
  <rv s="0">
    <fb>9.7940000000000005</fb>
    <v>1</v>
  </rv>
  <rv s="0">
    <fb>9.8350000000000009</fb>
    <v>1</v>
  </rv>
  <rv s="0">
    <fb>9.8239999999999998</fb>
    <v>1</v>
  </rv>
  <rv s="0">
    <fb>9.8780000000000001</fb>
    <v>1</v>
  </rv>
  <rv s="0">
    <fb>9.82</fb>
    <v>1</v>
  </rv>
  <rv s="0">
    <fb>9.8290000000000006</fb>
    <v>1</v>
  </rv>
  <rv s="0">
    <fb>9.8970000000000002</fb>
    <v>1</v>
  </rv>
  <rv s="0">
    <fb>9.93</fb>
    <v>1</v>
  </rv>
  <rv s="0">
    <fb>10.06</fb>
    <v>1</v>
  </rv>
  <rv s="0">
    <fb>10.09</fb>
    <v>1</v>
  </rv>
  <rv s="0">
    <fb>10.048</fb>
    <v>1</v>
  </rv>
  <rv s="0">
    <fb>10.028</fb>
    <v>1</v>
  </rv>
  <rv s="0">
    <fb>10.071999999999999</fb>
    <v>1</v>
  </rv>
  <rv s="0">
    <fb>10.192</fb>
    <v>1</v>
  </rv>
  <rv s="0">
    <fb>10.154</fb>
    <v>1</v>
  </rv>
  <rv s="0">
    <fb>10.252000000000001</fb>
    <v>1</v>
  </rv>
  <rv s="0">
    <fb>10.263999999999999</fb>
    <v>1</v>
  </rv>
  <rv s="0">
    <fb>10.247999999999999</fb>
    <v>1</v>
  </rv>
  <rv s="0">
    <fb>10.204000000000001</fb>
    <v>1</v>
  </rv>
  <rv s="0">
    <fb>10.27</fb>
    <v>1</v>
  </rv>
  <rv s="0">
    <fb>10.288</fb>
    <v>1</v>
  </rv>
  <rv s="0">
    <fb>10.231999999999999</fb>
    <v>1</v>
  </rv>
  <rv s="0">
    <fb>10.19</fb>
    <v>1</v>
  </rv>
  <rv s="0">
    <fb>10.212</fb>
    <v>1</v>
  </rv>
  <rv s="0">
    <fb>10.183999999999999</fb>
    <v>1</v>
  </rv>
  <rv s="0">
    <fb>10.18</fb>
    <v>1</v>
  </rv>
  <rv s="0">
    <fb>10.286</fb>
    <v>1</v>
  </rv>
  <rv s="0">
    <fb>10.356</fb>
    <v>1</v>
  </rv>
  <rv s="0">
    <fb>10.388</fb>
    <v>1</v>
  </rv>
  <rv s="0">
    <fb>10.476000000000001</fb>
    <v>1</v>
  </rv>
  <rv s="0">
    <fb>10.318</fb>
    <v>1</v>
  </rv>
  <rv s="0">
    <fb>10.11</fb>
    <v>1</v>
  </rv>
  <rv s="0">
    <fb>10.01</fb>
    <v>1</v>
  </rv>
  <rv s="0">
    <fb>9.843</fb>
    <v>1</v>
  </rv>
  <rv s="0">
    <fb>9.9429999999999996</fb>
    <v>1</v>
  </rv>
  <rv s="0">
    <fb>9.9220000000000006</fb>
    <v>1</v>
  </rv>
  <rv s="0">
    <fb>9.9960000000000004</fb>
    <v>1</v>
  </rv>
  <rv s="0">
    <fb>10.066000000000001</fb>
    <v>1</v>
  </rv>
  <rv s="0">
    <fb>10.082000000000001</fb>
    <v>1</v>
  </rv>
  <rv s="0">
    <fb>10.132</fb>
    <v>1</v>
  </rv>
  <rv s="0">
    <fb>10.141999999999999</fb>
    <v>1</v>
  </rv>
  <rv s="0">
    <fb>10.068</fb>
    <v>1</v>
  </rv>
  <rv s="0">
    <fb>10.130000000000001</fb>
    <v>1</v>
  </rv>
  <rv s="0">
    <fb>10.151999999999999</fb>
    <v>1</v>
  </rv>
  <rv s="0">
    <fb>10.013999999999999</fb>
    <v>1</v>
  </rv>
  <rv s="0">
    <fb>10.077999999999999</fb>
    <v>1</v>
  </rv>
  <rv s="0">
    <fb>10.023999999999999</fb>
    <v>1</v>
  </rv>
  <rv s="0">
    <fb>9.798</fb>
    <v>1</v>
  </rv>
  <rv s="0">
    <fb>9.2629999999999999</fb>
    <v>1</v>
  </rv>
  <rv s="0">
    <fb>8.7949999999999999</fb>
    <v>1</v>
  </rv>
  <rv s="0">
    <fb>9.0190000000000001</fb>
    <v>1</v>
  </rv>
  <rv s="0">
    <fb>8.6669999999999998</fb>
    <v>1</v>
  </rv>
  <rv s="0">
    <fb>8.9920000000000009</fb>
    <v>1</v>
  </rv>
  <rv s="0">
    <fb>8.9860000000000007</fb>
    <v>1</v>
  </rv>
  <rv s="0">
    <fb>9.2279999999999998</fb>
    <v>1</v>
  </rv>
  <rv s="0">
    <fb>9.4710000000000001</fb>
    <v>1</v>
  </rv>
  <rv s="0">
    <fb>9.4610000000000003</fb>
    <v>1</v>
  </rv>
  <rv s="0">
    <fb>9.484</fb>
    <v>1</v>
  </rv>
  <rv s="0">
    <fb>9.5329999999999995</fb>
    <v>1</v>
  </rv>
  <rv s="0">
    <fb>9.6340000000000003</fb>
    <v>1</v>
  </rv>
  <rv s="0">
    <fb>9.6809999999999992</fb>
    <v>1</v>
  </rv>
  <rv s="0">
    <fb>9.7330000000000005</fb>
    <v>1</v>
  </rv>
  <rv s="0">
    <fb>9.782</fb>
    <v>1</v>
  </rv>
  <rv s="0">
    <fb>9.9120000000000008</fb>
    <v>1</v>
  </rv>
  <rv s="0">
    <fb>9.9359999999999999</fb>
    <v>1</v>
  </rv>
  <rv s="0">
    <fb>9.9510000000000005</fb>
    <v>1</v>
  </rv>
  <rv s="0">
    <fb>9.8919999999999995</fb>
    <v>1</v>
  </rv>
  <rv s="0">
    <fb>9.9049999999999994</fb>
    <v>1</v>
  </rv>
  <rv s="0">
    <fb>9.9260000000000002</fb>
    <v>1</v>
  </rv>
  <rv s="0">
    <fb>10.044</fb>
    <v>1</v>
  </rv>
  <rv s="0">
    <fb>10.055999999999999</fb>
    <v>1</v>
  </rv>
  <rv s="0">
    <fb>10.006</fb>
    <v>1</v>
  </rv>
  <rv s="0">
    <fb>10.1</fb>
    <v>1</v>
  </rv>
  <rv s="0">
    <fb>10.16</fb>
    <v>1</v>
  </rv>
  <rv s="0">
    <fb>10.266</fb>
    <v>1</v>
  </rv>
  <rv s="0">
    <fb>10.256</fb>
    <v>1</v>
  </rv>
  <rv s="0">
    <fb>10.228</fb>
    <v>1</v>
  </rv>
  <rv s="0">
    <fb>10.220000000000001</fb>
    <v>1</v>
  </rv>
  <rv s="0">
    <fb>10.311999999999999</fb>
    <v>1</v>
  </rv>
  <rv s="0">
    <fb>10.308</fb>
    <v>1</v>
  </rv>
  <rv s="0">
    <fb>10.224</fb>
    <v>1</v>
  </rv>
  <rv s="0">
    <fb>10.268000000000001</fb>
    <v>1</v>
  </rv>
  <rv s="0">
    <fb>10.278</fb>
    <v>1</v>
  </rv>
  <rv s="0">
    <fb>10.31</fb>
    <v>1</v>
  </rv>
  <rv s="0">
    <fb>10.321999999999999</fb>
    <v>1</v>
  </rv>
  <rv s="0">
    <fb>10.334</fb>
    <v>1</v>
  </rv>
  <rv s="0">
    <fb>10.36</fb>
    <v>1</v>
  </rv>
  <rv s="0">
    <fb>10.368</fb>
    <v>1</v>
  </rv>
  <rv s="0">
    <fb>10.337999999999999</fb>
    <v>1</v>
  </rv>
  <rv s="0">
    <fb>10.164</fb>
    <v>1</v>
  </rv>
  <rv s="0">
    <fb>10.146000000000001</fb>
    <v>1</v>
  </rv>
  <rv s="0">
    <fb>10.07</fb>
    <v>1</v>
  </rv>
  <rv s="0">
    <fb>9.9990000000000006</fb>
    <v>1</v>
  </rv>
  <rv s="0">
    <fb>9.9920000000000009</fb>
    <v>1</v>
  </rv>
  <rv s="0">
    <fb>10.02</fb>
    <v>1</v>
  </rv>
  <rv s="0">
    <fb>9.9710000000000001</fb>
    <v>1</v>
  </rv>
  <rv s="0">
    <fb>9.98</fb>
    <v>1</v>
  </rv>
  <rv s="0">
    <fb>9.9809999999999999</fb>
    <v>1</v>
  </rv>
  <rv s="0">
    <fb>9.891</fb>
    <v>1</v>
  </rv>
  <rv s="0">
    <fb>9.9610000000000003</fb>
    <v>1</v>
  </rv>
  <rv s="0">
    <fb>9.9939999999999998</fb>
    <v>1</v>
  </rv>
  <rv s="0">
    <fb>10.038</fb>
    <v>1</v>
  </rv>
  <rv s="0">
    <fb>10.167999999999999</fb>
    <v>1</v>
  </rv>
  <rv s="0">
    <fb>10.096</fb>
    <v>1</v>
  </rv>
  <rv s="0">
    <fb>10.054</fb>
    <v>1</v>
  </rv>
  <rv s="0">
    <fb>10.125999999999999</fb>
    <v>1</v>
  </rv>
  <rv s="0">
    <fb>10.106</fb>
    <v>1</v>
  </rv>
  <rv s="0">
    <fb>10.122</fb>
    <v>1</v>
  </rv>
  <rv s="0">
    <fb>10.116</fb>
    <v>1</v>
  </rv>
  <rv s="0">
    <fb>10.242000000000001</fb>
    <v>1</v>
  </rv>
  <rv s="0">
    <fb>10.176</fb>
    <v>1</v>
  </rv>
  <rv s="0">
    <fb>10.196</fb>
    <v>1</v>
  </rv>
  <rv s="0">
    <fb>10.3</fb>
    <v>1</v>
  </rv>
  <rv s="0">
    <fb>10.302</fb>
    <v>1</v>
  </rv>
  <rv s="0">
    <fb>10.295999999999999</fb>
    <v>1</v>
  </rv>
  <rv s="0">
    <fb>10.218</fb>
    <v>1</v>
  </rv>
  <rv s="0">
    <fb>10.234</fb>
    <v>1</v>
  </rv>
  <rv s="0">
    <fb>10.244</fb>
    <v>1</v>
  </rv>
  <rv s="0">
    <fb>10.246</fb>
    <v>1</v>
  </rv>
  <rv s="0">
    <fb>10.305999999999999</fb>
    <v>1</v>
  </rv>
  <rv s="0">
    <fb>10.372</fb>
    <v>1</v>
  </rv>
  <rv s="0">
    <fb>10.452</fb>
    <v>1</v>
  </rv>
  <rv s="0">
    <fb>10.39</fb>
    <v>1</v>
  </rv>
  <rv s="0">
    <fb>10.428000000000001</fb>
    <v>1</v>
  </rv>
  <rv s="0">
    <fb>10.522</fb>
    <v>1</v>
  </rv>
  <rv s="0">
    <fb>10.542</fb>
    <v>1</v>
  </rv>
  <rv s="0">
    <fb>10.555999999999999</fb>
    <v>1</v>
  </rv>
  <rv s="0">
    <fb>10.532</fb>
    <v>1</v>
  </rv>
  <rv s="0">
    <fb>10.502000000000001</fb>
    <v>1</v>
  </rv>
  <rv s="0">
    <fb>10.474</fb>
    <v>1</v>
  </rv>
  <rv s="0">
    <fb>10.417999999999999</fb>
    <v>1</v>
  </rv>
  <rv s="0">
    <fb>10.433999999999999</fb>
    <v>1</v>
  </rv>
  <rv s="0">
    <fb>10.273999999999999</fb>
    <v>1</v>
  </rv>
  <rv s="0">
    <fb>10.442</fb>
    <v>1</v>
  </rv>
  <rv s="0">
    <fb>10.41</fb>
    <v>1</v>
  </rv>
  <rv s="0">
    <fb>10.43</fb>
    <v>1</v>
  </rv>
  <rv s="0">
    <fb>10.464</fb>
    <v>1</v>
  </rv>
  <rv s="0">
    <fb>10.454000000000001</fb>
    <v>1</v>
  </rv>
  <rv s="0">
    <fb>10.45</fb>
    <v>1</v>
  </rv>
  <rv s="0">
    <fb>10.326000000000001</fb>
    <v>1</v>
  </rv>
  <rv s="0">
    <fb>10.324</fb>
    <v>1</v>
  </rv>
  <rv s="0">
    <fb>10.28</fb>
    <v>1</v>
  </rv>
  <rv s="0">
    <fb>10.23</fb>
    <v>1</v>
  </rv>
  <rv s="0">
    <fb>10.336</fb>
    <v>1</v>
  </rv>
  <rv s="0">
    <fb>10.366</fb>
    <v>1</v>
  </rv>
  <rv s="0">
    <fb>10.414</fb>
    <v>1</v>
  </rv>
  <rv s="0">
    <fb>10.56</fb>
    <v>1</v>
  </rv>
  <rv s="0">
    <fb>10.587999999999999</fb>
    <v>1</v>
  </rv>
  <rv s="0">
    <fb>10.612</fb>
    <v>1</v>
  </rv>
  <rv s="0">
    <fb>10.62</fb>
    <v>1</v>
  </rv>
  <rv s="0">
    <fb>10.72</fb>
    <v>1</v>
  </rv>
  <rv s="0">
    <fb>10.641999999999999</fb>
    <v>1</v>
  </rv>
  <rv s="0">
    <fb>10.534000000000001</fb>
    <v>1</v>
  </rv>
  <rv s="0">
    <fb>10.552</fb>
    <v>1</v>
  </rv>
  <rv s="0">
    <fb>10.458</fb>
    <v>1</v>
  </rv>
  <rv s="0">
    <fb>10.558</fb>
    <v>1</v>
  </rv>
  <rv s="0">
    <fb>10.68</fb>
    <v>1</v>
  </rv>
  <rv s="0">
    <fb>10.747999999999999</fb>
    <v>1</v>
  </rv>
  <rv s="0">
    <fb>10.776</fb>
    <v>1</v>
  </rv>
  <rv s="0">
    <fb>10.778</fb>
    <v>1</v>
  </rv>
  <rv s="0">
    <fb>10.792</fb>
    <v>1</v>
  </rv>
  <rv s="0">
    <fb>10.814</fb>
    <v>1</v>
  </rv>
  <rv s="0">
    <fb>10.79</fb>
    <v>1</v>
  </rv>
  <rv s="0">
    <fb>10.74</fb>
    <v>1</v>
  </rv>
  <rv s="0">
    <fb>10.826000000000001</fb>
    <v>1</v>
  </rv>
  <rv s="0">
    <fb>10.772</fb>
    <v>1</v>
  </rv>
  <rv s="0">
    <fb>10.724</fb>
    <v>1</v>
  </rv>
  <rv s="0">
    <fb>10.868</fb>
    <v>1</v>
  </rv>
  <rv s="0">
    <fb>10.964</fb>
    <v>1</v>
  </rv>
  <rv s="0">
    <fb>10.938000000000001</fb>
    <v>1</v>
  </rv>
  <rv s="0">
    <fb>10.726000000000001</fb>
    <v>1</v>
  </rv>
  <rv s="0">
    <fb>10.728</fb>
    <v>1</v>
  </rv>
  <rv s="0">
    <fb>10.574</fb>
    <v>1</v>
  </rv>
  <rv s="0">
    <fb>28.79</fb>
    <v>0</v>
  </rv>
  <rv s="0">
    <fb>30.41</fb>
    <v>0</v>
  </rv>
  <rv s="0">
    <fb>32.47</fb>
    <v>0</v>
  </rv>
  <rv s="0">
    <fb>31.93</fb>
    <v>0</v>
  </rv>
  <rv s="0">
    <fb>33.619999999999997</fb>
    <v>0</v>
  </rv>
  <rv s="0">
    <fb>34.17</fb>
    <v>0</v>
  </rv>
  <rv s="0">
    <fb>34.159999999999997</fb>
    <v>0</v>
  </rv>
  <rv s="0">
    <fb>35.04</fb>
    <v>0</v>
  </rv>
  <rv s="0">
    <fb>36.24</fb>
    <v>0</v>
  </rv>
  <rv s="0">
    <fb>36.44</fb>
    <v>0</v>
  </rv>
  <rv s="0">
    <fb>35.229999999999997</fb>
    <v>0</v>
  </rv>
  <rv s="0">
    <fb>36.79</fb>
    <v>0</v>
  </rv>
  <rv s="0">
    <fb>36.97</fb>
    <v>0</v>
  </rv>
  <rv s="0">
    <fb>36.35</fb>
    <v>0</v>
  </rv>
  <rv s="0">
    <fb>38.33</fb>
    <v>0</v>
  </rv>
  <rv s="0">
    <fb>36.68</fb>
    <v>0</v>
  </rv>
  <rv s="0">
    <fb>35.76</fb>
    <v>0</v>
  </rv>
  <rv s="0">
    <fb>35.54</fb>
    <v>0</v>
  </rv>
  <rv s="0">
    <fb>32.94</fb>
    <v>0</v>
  </rv>
  <rv s="0">
    <fb>33.369999999999997</fb>
    <v>0</v>
  </rv>
  <rv s="0">
    <fb>32.42</fb>
    <v>0</v>
  </rv>
  <rv s="0">
    <fb>33.46</fb>
    <v>0</v>
  </rv>
  <rv s="0">
    <fb>33.83</fb>
    <v>0</v>
  </rv>
  <rv s="0">
    <fb>34</fb>
    <v>0</v>
  </rv>
  <rv s="0">
    <fb>34.909999999999997</fb>
    <v>0</v>
  </rv>
  <rv s="0">
    <fb>36.04</fb>
    <v>0</v>
  </rv>
  <rv s="0">
    <fb>35.74</fb>
    <v>0</v>
  </rv>
  <rv s="0">
    <fb>35.75</fb>
    <v>0</v>
  </rv>
  <rv s="0">
    <fb>35.64</fb>
    <v>0</v>
  </rv>
  <rv s="0">
    <fb>35.86</fb>
    <v>0</v>
  </rv>
  <rv s="0">
    <fb>36.26</fb>
    <v>0</v>
  </rv>
  <rv s="0">
    <fb>35.6</fb>
    <v>0</v>
  </rv>
  <rv s="0">
    <fb>35.24</fb>
    <v>0</v>
  </rv>
  <rv s="0">
    <fb>36.479999999999997</fb>
    <v>0</v>
  </rv>
  <rv s="0">
    <fb>36.909999999999997</fb>
    <v>0</v>
  </rv>
  <rv s="0">
    <fb>38.65</fb>
    <v>0</v>
  </rv>
  <rv s="0">
    <fb>37.67</fb>
    <v>0</v>
  </rv>
  <rv s="0">
    <fb>37.33</fb>
    <v>0</v>
  </rv>
  <rv s="0">
    <fb>38.369999999999997</fb>
    <v>0</v>
  </rv>
  <rv s="0">
    <fb>39.26</fb>
    <v>0</v>
  </rv>
  <rv s="0">
    <fb>41.38</fb>
    <v>0</v>
  </rv>
  <rv s="0">
    <fb>39.4</fb>
    <v>0</v>
  </rv>
  <rv s="0">
    <fb>39.83</fb>
    <v>0</v>
  </rv>
  <rv s="0">
    <fb>39.770000000000003</fb>
    <v>0</v>
  </rv>
  <rv s="0">
    <fb>39.67</fb>
    <v>0</v>
  </rv>
  <rv s="0">
    <fb>44.07</fb>
    <v>0</v>
  </rv>
  <rv s="0">
    <fb>44.48</fb>
    <v>0</v>
  </rv>
  <rv s="0">
    <fb>43.36</fb>
    <v>0</v>
  </rv>
  <rv s="0">
    <fb>43.78</fb>
    <v>0</v>
  </rv>
  <rv s="0">
    <fb>44.38</fb>
    <v>0</v>
  </rv>
  <rv s="0">
    <fb>43.9</fb>
    <v>0</v>
  </rv>
  <rv s="0">
    <fb>38.520000000000003</fb>
    <v>0</v>
  </rv>
  <rv s="0">
    <fb>43.45</fb>
    <v>0</v>
  </rv>
  <rv s="0">
    <fb>46.36</fb>
    <v>0</v>
  </rv>
  <rv s="0">
    <fb>47.59</fb>
    <v>0</v>
  </rv>
  <rv s="0">
    <fb>48.07</fb>
    <v>0</v>
  </rv>
  <rv s="0">
    <fb>49.19</fb>
    <v>0</v>
  </rv>
  <rv s="0">
    <fb>49.51</fb>
    <v>0</v>
  </rv>
  <rv s="0">
    <fb>50.34</fb>
    <v>0</v>
  </rv>
  <rv s="0">
    <fb>53.03</fb>
    <v>0</v>
  </rv>
  <rv s="0">
    <fb>53.82</fb>
    <v>0</v>
  </rv>
  <rv s="0">
    <fb>53.93</fb>
    <v>0</v>
  </rv>
  <rv s="0">
    <fb>54.18</fb>
    <v>0</v>
  </rv>
  <rv s="0">
    <fb>54.92</fb>
    <v>0</v>
  </rv>
  <rv s="0">
    <fb>54.71</fb>
    <v>0</v>
  </rv>
  <rv s="0">
    <fb>55.57</fb>
    <v>0</v>
  </rv>
  <rv s="0">
    <fb>55.58</fb>
    <v>0</v>
  </rv>
  <rv s="0">
    <fb>67.73</fb>
    <v>0</v>
  </rv>
  <rv s="0">
    <fb>67.27</fb>
    <v>0</v>
  </rv>
  <rv s="0">
    <fb>67.25</fb>
    <v>0</v>
  </rv>
  <rv s="0">
    <fb>69.12</fb>
    <v>0</v>
  </rv>
  <rv s="0">
    <fb>68.02</fb>
    <v>0</v>
  </rv>
  <rv s="0">
    <fb>69.510000000000005</fb>
    <v>0</v>
  </rv>
  <rv s="0">
    <fb>69.209999999999994</fb>
    <v>0</v>
  </rv>
  <rv s="0">
    <fb>71.17</fb>
    <v>0</v>
  </rv>
  <rv s="0">
    <fb>68.56</fb>
    <v>0</v>
  </rv>
  <rv s="0">
    <fb>65.819999999999993</fb>
    <v>0</v>
  </rv>
  <rv s="0">
    <fb>70.77</fb>
    <v>0</v>
  </rv>
  <rv s="0">
    <fb>71.83</fb>
    <v>0</v>
  </rv>
  <rv s="0">
    <fb>72.489999999999995</fb>
    <v>0</v>
  </rv>
  <rv s="0">
    <fb>72.569999999999993</fb>
    <v>0</v>
  </rv>
  <rv s="0">
    <fb>72.37</fb>
    <v>0</v>
  </rv>
  <rv s="0">
    <fb>74.08</fb>
    <v>0</v>
  </rv>
  <rv s="0">
    <fb>73.819999999999993</fb>
    <v>0</v>
  </rv>
  <rv s="0">
    <fb>73.67</fb>
    <v>0</v>
  </rv>
  <rv s="0">
    <fb>74.459999999999994</fb>
    <v>0</v>
  </rv>
  <rv s="0">
    <fb>72.819999999999993</fb>
    <v>0</v>
  </rv>
  <rv s="0">
    <fb>73.19</fb>
    <v>0</v>
  </rv>
  <rv s="0">
    <fb>71.69</fb>
    <v>0</v>
  </rv>
  <rv s="0">
    <fb>76.62</fb>
    <v>0</v>
  </rv>
  <rv s="0">
    <fb>80.3</fb>
    <v>0</v>
  </rv>
  <rv s="0">
    <fb>78.63</fb>
    <v>0</v>
  </rv>
  <rv s="0">
    <fb>79.180000000000007</fb>
    <v>0</v>
  </rv>
  <rv s="0">
    <fb>81.319999999999993</fb>
    <v>0</v>
  </rv>
  <rv s="0">
    <fb>80.790000000000006</fb>
    <v>0</v>
  </rv>
  <rv s="0">
    <fb>80.44</fb>
    <v>0</v>
  </rv>
  <rv s="0">
    <fb>80.209999999999994</fb>
    <v>0</v>
  </rv>
  <rv s="0">
    <fb>80.040000000000006</fb>
    <v>0</v>
  </rv>
  <rv s="0">
    <fb>83.45</fb>
    <v>0</v>
  </rv>
  <rv s="0">
    <fb>83.64</fb>
    <v>0</v>
  </rv>
  <rv s="0">
    <fb>83.29</fb>
    <v>0</v>
  </rv>
  <rv s="0">
    <fb>34.1</fb>
    <v>0</v>
  </rv>
  <rv s="0">
    <fb>34.130000000000003</fb>
    <v>0</v>
  </rv>
  <rv s="0">
    <fb>35.159999999999997</fb>
    <v>0</v>
  </rv>
  <rv s="0">
    <fb>35.409999999999997</fb>
    <v>0</v>
  </rv>
  <rv s="0">
    <fb>35.33</fb>
    <v>0</v>
  </rv>
  <rv s="0">
    <fb>35.61</fb>
    <v>0</v>
  </rv>
  <rv s="0">
    <fb>35.28</fb>
    <v>0</v>
  </rv>
  <rv s="0">
    <fb>35.89</fb>
    <v>0</v>
  </rv>
  <rv s="0">
    <fb>36.64</fb>
    <v>0</v>
  </rv>
  <rv s="0">
    <fb>36.36</fb>
    <v>0</v>
  </rv>
  <rv s="0">
    <fb>36.700000000000003</fb>
    <v>0</v>
  </rv>
  <rv s="0">
    <fb>37.04</fb>
    <v>0</v>
  </rv>
  <rv s="0">
    <fb>37.549999999999997</fb>
    <v>0</v>
  </rv>
  <rv s="0">
    <fb>37.25</fb>
    <v>0</v>
  </rv>
  <rv s="0">
    <fb>37.97</fb>
    <v>0</v>
  </rv>
  <rv s="0">
    <fb>37.28</fb>
    <v>0</v>
  </rv>
  <rv s="0">
    <fb>34.619999999999997</fb>
    <v>0</v>
  </rv>
  <rv s="0">
    <fb>34.67</fb>
    <v>0</v>
  </rv>
  <rv s="0">
    <fb>35.57</fb>
    <v>0</v>
  </rv>
  <rv s="0">
    <fb>37.58</fb>
    <v>0</v>
  </rv>
  <rv s="0">
    <fb>38.19</fb>
    <v>0</v>
  </rv>
  <rv s="0">
    <fb>38.11</fb>
    <v>0</v>
  </rv>
  <rv s="0">
    <fb>39.880000000000003</fb>
    <v>0</v>
  </rv>
  <rv s="0">
    <fb>40.07</fb>
    <v>0</v>
  </rv>
  <rv s="0">
    <fb>39.79</fb>
    <v>0</v>
  </rv>
  <rv s="0">
    <fb>39.28</fb>
    <v>0</v>
  </rv>
  <rv s="0">
    <fb>40.01</fb>
    <v>0</v>
  </rv>
  <rv s="0">
    <fb>40.270000000000003</fb>
    <v>0</v>
  </rv>
  <rv s="0">
    <fb>39.81</fb>
    <v>0</v>
  </rv>
  <rv s="0">
    <fb>40.21</fb>
    <v>0</v>
  </rv>
  <rv s="0">
    <fb>41.74</fb>
    <v>0</v>
  </rv>
  <rv s="0">
    <fb>41.58</fb>
    <v>0</v>
  </rv>
  <rv s="0">
    <fb>42.02</fb>
    <v>0</v>
  </rv>
  <rv s="0">
    <fb>42.78</fb>
    <v>0</v>
  </rv>
  <rv s="0">
    <fb>43.44</fb>
    <v>0</v>
  </rv>
  <rv s="0">
    <fb>23.78</fb>
    <v>0</v>
  </rv>
  <rv s="0">
    <fb>23.37</fb>
    <v>0</v>
  </rv>
  <rv s="0">
    <fb>24.21</fb>
    <v>0</v>
  </rv>
  <rv s="0">
    <fb>25.22</fb>
    <v>0</v>
  </rv>
  <rv s="0">
    <fb>25.34</fb>
    <v>0</v>
  </rv>
  <rv s="0">
    <fb>25.06</fb>
    <v>0</v>
  </rv>
  <rv s="0">
    <fb>25.28</fb>
    <v>0</v>
  </rv>
  <rv s="0">
    <fb>24.11</fb>
    <v>0</v>
  </rv>
  <rv s="0">
    <fb>23.91</fb>
    <v>0</v>
  </rv>
  <rv s="0">
    <fb>26.3</fb>
    <v>0</v>
  </rv>
  <rv s="0">
    <fb>27.7</fb>
    <v>0</v>
  </rv>
  <rv s="0">
    <fb>27.27</fb>
    <v>0</v>
  </rv>
  <rv s="0">
    <fb>27.44</fb>
    <v>0</v>
  </rv>
  <rv s="0">
    <fb>28.14</fb>
    <v>0</v>
  </rv>
  <rv s="0">
    <fb>27.31</fb>
    <v>0</v>
  </rv>
  <rv s="0">
    <fb>32.299999999999997</fb>
    <v>0</v>
  </rv>
  <rv s="0">
    <fb>32.71</fb>
    <v>0</v>
  </rv>
  <rv s="0">
    <fb>50.71</fb>
    <v>0</v>
  </rv>
  <rv s="0">
    <fb>47.48</fb>
    <v>0</v>
  </rv>
  <rv s="0">
    <fb>43.82</fb>
    <v>0</v>
  </rv>
  <rv s="0">
    <fb>43.32</fb>
    <v>0</v>
  </rv>
  <rv s="0">
    <fb>44.22</fb>
    <v>0</v>
  </rv>
  <rv s="0">
    <fb>46.34</fb>
    <v>0</v>
  </rv>
  <rv s="0">
    <fb>55.83</fb>
    <v>0</v>
  </rv>
  <rv s="0">
    <fb>55.85</fb>
    <v>0</v>
  </rv>
  <rv s="0">
    <fb>55.18</fb>
    <v>0</v>
  </rv>
  <rv s="0">
    <fb>59.36</fb>
    <v>0</v>
  </rv>
  <rv s="0">
    <fb>59.43</fb>
    <v>0</v>
  </rv>
  <rv s="0">
    <fb>66.98</fb>
    <v>0</v>
  </rv>
  <rv s="0">
    <fb>67.13</fb>
    <v>0</v>
  </rv>
  <rv s="0">
    <fb>66.650000000000006</fb>
    <v>0</v>
  </rv>
  <rv s="0">
    <fb>62.67</fb>
    <v>0</v>
  </rv>
  <rv s="0">
    <fb>16.41</fb>
    <v>0</v>
  </rv>
  <rv s="0">
    <fb>16.46</fb>
    <v>0</v>
  </rv>
  <rv s="0">
    <fb>16.63</fb>
    <v>0</v>
  </rv>
  <rv s="0">
    <fb>16.66</fb>
    <v>0</v>
  </rv>
  <rv s="0">
    <fb>16.399999999999999</fb>
    <v>0</v>
  </rv>
  <rv s="0">
    <fb>16.47</fb>
    <v>0</v>
  </rv>
  <rv s="0">
    <fb>16.28</fb>
    <v>0</v>
  </rv>
  <rv s="0">
    <fb>15.83</fb>
    <v>0</v>
  </rv>
  <rv s="0">
    <fb>15.89</fb>
    <v>0</v>
  </rv>
  <rv s="0">
    <fb>16.09</fb>
    <v>0</v>
  </rv>
  <rv s="0">
    <fb>16.12</fb>
    <v>0</v>
  </rv>
  <rv s="0">
    <fb>16.510000000000002</fb>
    <v>0</v>
  </rv>
  <rv s="0">
    <fb>16.39</fb>
    <v>0</v>
  </rv>
  <rv s="0">
    <fb>16.43</fb>
    <v>0</v>
  </rv>
  <rv s="0">
    <fb>16.440000000000001</fb>
    <v>0</v>
  </rv>
  <rv s="0">
    <fb>16.309999999999999</fb>
    <v>0</v>
  </rv>
  <rv s="0">
    <fb>16.21</fb>
    <v>0</v>
  </rv>
  <rv s="0">
    <fb>16.34</fb>
    <v>0</v>
  </rv>
  <rv s="0">
    <fb>16.18</fb>
    <v>0</v>
  </rv>
  <rv s="0">
    <fb>16.89</fb>
    <v>0</v>
  </rv>
  <rv s="0">
    <fb>17.190000000000001</fb>
    <v>0</v>
  </rv>
  <rv s="0">
    <fb>17.38</fb>
    <v>0</v>
  </rv>
  <rv s="0">
    <fb>17.79</fb>
    <v>0</v>
  </rv>
  <rv s="0">
    <fb>15.68</fb>
    <v>0</v>
  </rv>
  <rv s="0">
    <fb>15.79</fb>
    <v>0</v>
  </rv>
  <rv s="0">
    <fb>15.77</fb>
    <v>0</v>
  </rv>
  <rv s="0">
    <fb>15.97</fb>
    <v>0</v>
  </rv>
  <rv s="0">
    <fb>16.350000000000001</fb>
    <v>0</v>
  </rv>
  <rv s="0">
    <fb>16.86</fb>
    <v>0</v>
  </rv>
  <rv s="0">
    <fb>17.52</fb>
    <v>0</v>
  </rv>
  <rv s="0">
    <fb>18.84</fb>
    <v>0</v>
  </rv>
  <rv s="0">
    <fb>18.82</fb>
    <v>0</v>
  </rv>
  <rv s="0">
    <fb>19.38</fb>
    <v>0</v>
  </rv>
  <rv s="0">
    <fb>19.48</fb>
    <v>0</v>
  </rv>
  <rv s="0">
    <fb>19.96</fb>
    <v>0</v>
  </rv>
  <rv s="0">
    <fb>19.39</fb>
    <v>0</v>
  </rv>
  <rv s="0">
    <fb>20.11</fb>
    <v>0</v>
  </rv>
  <rv s="0">
    <fb>19.82</fb>
    <v>0</v>
  </rv>
  <rv s="0">
    <fb>20.309999999999999</fb>
    <v>0</v>
  </rv>
  <rv s="0">
    <fb>21.11</fb>
    <v>0</v>
  </rv>
  <rv s="0">
    <fb>21.54</fb>
    <v>0</v>
  </rv>
  <rv s="0">
    <fb>35.67</fb>
    <v>0</v>
  </rv>
  <rv s="0">
    <fb>36.33</fb>
    <v>0</v>
  </rv>
  <rv s="0">
    <fb>38.4</fb>
    <v>0</v>
  </rv>
  <rv s="0">
    <fb>38.700000000000003</fb>
    <v>0</v>
  </rv>
  <rv s="0">
    <fb>38.83</fb>
    <v>0</v>
  </rv>
  <rv s="0">
    <fb>38.869999999999997</fb>
    <v>0</v>
  </rv>
  <rv s="0">
    <fb>42.8</fb>
    <v>0</v>
  </rv>
  <rv s="0">
    <fb>42.46</fb>
    <v>0</v>
  </rv>
  <rv s="0">
    <fb>40.92</fb>
    <v>0</v>
  </rv>
  <rv s="0">
    <fb>45.36</fb>
    <v>0</v>
  </rv>
  <rv s="0">
    <fb>47.65</fb>
    <v>0</v>
  </rv>
  <rv s="0">
    <fb>47.54</fb>
    <v>0</v>
  </rv>
  <rv s="0">
    <fb>47.98</fb>
    <v>0</v>
  </rv>
  <rv s="0">
    <fb>47.93</fb>
    <v>0</v>
  </rv>
  <rv s="0">
    <fb>47.75</fb>
    <v>0</v>
  </rv>
  <rv s="0">
    <fb>47.83</fb>
    <v>0</v>
  </rv>
  <rv s="0">
    <fb>52.34</fb>
    <v>0</v>
  </rv>
  <rv s="0">
    <fb>52.61</fb>
    <v>0</v>
  </rv>
  <rv s="0">
    <fb>53.75</fb>
    <v>0</v>
  </rv>
  <rv s="0">
    <fb>49.62</fb>
    <v>0</v>
  </rv>
  <rv s="0">
    <fb>48.45</fb>
    <v>0</v>
  </rv>
  <rv s="0">
    <fb>48.87</fb>
    <v>0</v>
  </rv>
  <rv s="0">
    <fb>49.29</fb>
    <v>0</v>
  </rv>
  <rv s="0">
    <fb>49.65</fb>
    <v>0</v>
  </rv>
  <rv s="0">
    <fb>51.99</fb>
    <v>0</v>
  </rv>
  <rv s="0">
    <fb>48.06</fb>
    <v>0</v>
  </rv>
  <rv s="0">
    <fb>56.67</fb>
    <v>0</v>
  </rv>
  <rv s="0">
    <fb>56.68</fb>
    <v>0</v>
  </rv>
  <rv s="0">
    <fb>59.83</fb>
    <v>0</v>
  </rv>
  <rv s="0">
    <fb>61.36</fb>
    <v>0</v>
  </rv>
  <rv s="0">
    <fb>61.57</fb>
    <v>0</v>
  </rv>
  <rv s="0">
    <fb>62.33</fb>
    <v>0</v>
  </rv>
  <rv s="0">
    <fb>61.25</fb>
    <v>0</v>
  </rv>
  <rv s="0">
    <fb>61.71</fb>
    <v>0</v>
  </rv>
  <rv s="0">
    <fb>68.209999999999994</fb>
    <v>0</v>
  </rv>
  <rv s="0">
    <fb>64.39</fb>
    <v>0</v>
  </rv>
  <rv s="0">
    <fb>68.16</fb>
    <v>0</v>
  </rv>
  <rv s="0">
    <fb>66.67</fb>
    <v>0</v>
  </rv>
  <rv s="0">
    <fb>26.07</fb>
    <v>0</v>
  </rv>
  <rv s="0">
    <fb>26.069199999999999</fb>
    <v>0</v>
  </rv>
  <rv s="0">
    <fb>26.22</fb>
    <v>0</v>
  </rv>
  <rv s="0">
    <fb>25.1</fb>
    <v>0</v>
  </rv>
  <rv s="0">
    <fb>24.97</fb>
    <v>0</v>
  </rv>
  <rv s="0">
    <fb>24.4373</fb>
    <v>0</v>
  </rv>
  <rv s="0">
    <fb>23.934999999999999</fb>
    <v>0</v>
  </rv>
  <rv s="0">
    <fb>23.815000000000001</fb>
    <v>0</v>
  </rv>
  <rv s="0">
    <fb>23.274100000000001</fb>
    <v>0</v>
  </rv>
  <rv s="0">
    <fb>23.86</fb>
    <v>0</v>
  </rv>
  <rv s="0">
    <fb>23.52</fb>
    <v>0</v>
  </rv>
  <rv s="0">
    <fb>23.822099999999999</fb>
    <v>0</v>
  </rv>
  <rv s="0">
    <fb>25.41</fb>
    <v>0</v>
  </rv>
  <rv s="0">
    <fb>25.392199999999999</fb>
    <v>0</v>
  </rv>
  <rv s="0">
    <fb>24.42</fb>
    <v>0</v>
  </rv>
  <rv s="0">
    <fb>25.36</fb>
    <v>0</v>
  </rv>
  <rv s="0">
    <fb>25.98</fb>
    <v>0</v>
  </rv>
  <rv s="0">
    <fb>25.728899999999999</fb>
    <v>0</v>
  </rv>
  <rv s="0">
    <fb>26.283000000000001</fb>
    <v>0</v>
  </rv>
  <rv s="0">
    <fb>26.684999999999999</fb>
    <v>0</v>
  </rv>
  <rv s="0">
    <fb>26.893699999999999</fb>
    <v>0</v>
  </rv>
  <rv s="0">
    <fb>26.180599999999998</fb>
    <v>0</v>
  </rv>
  <rv s="0">
    <fb>27.015000000000001</fb>
    <v>0</v>
  </rv>
  <rv s="0">
    <fb>27.118300000000001</fb>
    <v>0</v>
  </rv>
  <rv s="0">
    <fb>27.11</fb>
    <v>0</v>
  </rv>
  <rv s="0">
    <fb>26.640699999999999</fb>
    <v>0</v>
  </rv>
  <rv s="0">
    <fb>26.617999999999999</fb>
    <v>0</v>
  </rv>
  <rv s="0">
    <fb>26.44</fb>
    <v>0</v>
  </rv>
  <rv s="0">
    <fb>26.518999999999998</fb>
    <v>0</v>
  </rv>
  <rv s="0">
    <fb>26.065000000000001</fb>
    <v>0</v>
  </rv>
  <rv s="0">
    <fb>25.8</fb>
    <v>0</v>
  </rv>
  <rv s="0">
    <fb>25.54</fb>
    <v>0</v>
  </rv>
  <rv s="0">
    <fb>25.614999999999998</fb>
    <v>0</v>
  </rv>
  <rv s="0">
    <fb>25.251999999999999</fb>
    <v>0</v>
  </rv>
  <rv s="0">
    <fb>25.459700000000002</fb>
    <v>0</v>
  </rv>
  <rv s="0">
    <fb>25.95</fb>
    <v>0</v>
  </rv>
  <rv s="0">
    <fb>26.073</fb>
    <v>0</v>
  </rv>
  <rv s="0">
    <fb>25.448</fb>
    <v>0</v>
  </rv>
  <rv s="0">
    <fb>25.2822</fb>
    <v>0</v>
  </rv>
  <rv s="0">
    <fb>25.454999999999998</fb>
    <v>0</v>
  </rv>
  <rv s="0">
    <fb>25.484999999999999</fb>
    <v>0</v>
  </rv>
  <rv s="0">
    <fb>25.7179</fb>
    <v>0</v>
  </rv>
  <rv s="0">
    <fb>25.709</fb>
    <v>0</v>
  </rv>
  <rv s="0">
    <fb>25.800999999999998</fb>
    <v>0</v>
  </rv>
  <rv s="0">
    <fb>25.965</fb>
    <v>0</v>
  </rv>
  <rv s="0">
    <fb>25.169</fb>
    <v>0</v>
  </rv>
  <rv s="0">
    <fb>25.258700000000001</fb>
    <v>0</v>
  </rv>
  <rv s="0">
    <fb>25.209499999999998</fb>
    <v>0</v>
  </rv>
  <rv s="0">
    <fb>25.469000000000001</fb>
    <v>0</v>
  </rv>
  <rv s="0">
    <fb>26.429500000000001</fb>
    <v>0</v>
  </rv>
  <rv s="0">
    <fb>26.289000000000001</fb>
    <v>0</v>
  </rv>
  <rv s="0">
    <fb>26.154299999999999</fb>
    <v>0</v>
  </rv>
  <rv s="0">
    <fb>26.273</fb>
    <v>0</v>
  </rv>
  <rv s="0">
    <fb>26.18</fb>
    <v>0</v>
  </rv>
  <rv s="0">
    <fb>26.185199999999998</fb>
    <v>0</v>
  </rv>
  <rv s="0">
    <fb>15.86</fb>
    <v>0</v>
  </rv>
  <rv s="0">
    <fb>15.34</fb>
    <v>0</v>
  </rv>
  <rv s="0">
    <fb>14.84</fb>
    <v>0</v>
  </rv>
  <rv s="0">
    <fb>15.09</fb>
    <v>0</v>
  </rv>
  <rv s="0">
    <fb>14.94</fb>
    <v>0</v>
  </rv>
  <rv s="0">
    <fb>14.865</fb>
    <v>0</v>
  </rv>
  <rv s="0">
    <fb>14.93</fb>
    <v>0</v>
  </rv>
  <rv s="0">
    <fb>14.77</fb>
    <v>0</v>
  </rv>
  <rv s="0">
    <fb>14.87</fb>
    <v>0</v>
  </rv>
  <rv s="0">
    <fb>14.8</fb>
    <v>0</v>
  </rv>
  <rv s="0">
    <fb>15.04</fb>
    <v>0</v>
  </rv>
  <rv s="0">
    <fb>15.18</fb>
    <v>0</v>
  </rv>
  <rv s="0">
    <fb>14.9816</fb>
    <v>0</v>
  </rv>
  <rv s="0">
    <fb>14.95</fb>
    <v>0</v>
  </rv>
  <rv s="0">
    <fb>14.91</fb>
    <v>0</v>
  </rv>
  <rv s="0">
    <fb>14.82</fb>
    <v>0</v>
  </rv>
  <rv s="0">
    <fb>14.61</fb>
    <v>0</v>
  </rv>
  <rv s="0">
    <fb>15.06</fb>
    <v>0</v>
  </rv>
  <rv s="0">
    <fb>14.9</fb>
    <v>0</v>
  </rv>
  <rv s="0">
    <fb>14.57</fb>
    <v>0</v>
  </rv>
  <rv s="0">
    <fb>14.38</fb>
    <v>0</v>
  </rv>
  <rv s="0">
    <fb>14.62</fb>
    <v>0</v>
  </rv>
  <rv s="0">
    <fb>14.13</fb>
    <v>0</v>
  </rv>
  <rv s="0">
    <fb>13.58</fb>
    <v>0</v>
  </rv>
  <rv s="0">
    <fb>13.4</fb>
    <v>0</v>
  </rv>
  <rv s="0">
    <fb>14.11</fb>
    <v>0</v>
  </rv>
  <rv s="0">
    <fb>13.96</fb>
    <v>0</v>
  </rv>
  <rv s="0">
    <fb>13.845599999999999</fb>
    <v>0</v>
  </rv>
  <rv s="0">
    <fb>13.287000000000001</fb>
    <v>0</v>
  </rv>
  <rv s="0">
    <fb>12.86</fb>
    <v>0</v>
  </rv>
  <rv s="0">
    <fb>12.49</fb>
    <v>0</v>
  </rv>
  <rv s="0">
    <fb>13.04</fb>
    <v>0</v>
  </rv>
  <rv s="0">
    <fb>13.33</fb>
    <v>0</v>
  </rv>
  <rv s="0">
    <fb>13.46</fb>
    <v>0</v>
  </rv>
  <rv s="0">
    <fb>13.0701</fb>
    <v>0</v>
  </rv>
  <rv s="0">
    <fb>12.84</fb>
    <v>0</v>
  </rv>
  <rv s="0">
    <fb>12.9961</fb>
    <v>0</v>
  </rv>
  <rv s="0">
    <fb>13.0047</fb>
    <v>0</v>
  </rv>
  <rv s="0">
    <fb>12.26</fb>
    <v>0</v>
  </rv>
  <rv s="0">
    <fb>12.41</fb>
    <v>0</v>
  </rv>
  <rv s="0">
    <fb>12.4832</fb>
    <v>0</v>
  </rv>
  <rv s="0">
    <fb>12</fb>
    <v>0</v>
  </rv>
  <rv s="0">
    <fb>12.09</fb>
    <v>0</v>
  </rv>
  <rv s="0">
    <fb>12.5</fb>
    <v>0</v>
  </rv>
  <rv s="0">
    <fb>12.53</fb>
    <v>0</v>
  </rv>
  <rv s="0">
    <fb>12.54</fb>
    <v>0</v>
  </rv>
  <rv s="0">
    <fb>12.2948</fb>
    <v>0</v>
  </rv>
  <rv s="0">
    <fb>11.62</fb>
    <v>0</v>
  </rv>
  <rv s="0">
    <fb>11.645</fb>
    <v>0</v>
  </rv>
  <rv s="0">
    <fb>11.03</fb>
    <v>0</v>
  </rv>
  <rv s="0">
    <fb>11.9</fb>
    <v>0</v>
  </rv>
  <rv s="0">
    <fb>11.84</fb>
    <v>0</v>
  </rv>
  <rv s="0">
    <fb>12.356</fb>
    <v>0</v>
  </rv>
  <rv s="0">
    <fb>12.4712</fb>
    <v>0</v>
  </rv>
  <rv s="0">
    <fb>12.9354</fb>
    <v>0</v>
  </rv>
  <rv s="0">
    <fb>13.03</fb>
    <v>0</v>
  </rv>
  <rv s="0">
    <fb>13.17</fb>
    <v>0</v>
  </rv>
  <rv s="0">
    <fb>13.29</fb>
    <v>0</v>
  </rv>
  <rv s="0">
    <fb>13.5</fb>
    <v>0</v>
  </rv>
  <rv s="0">
    <fb>14.04</fb>
    <v>0</v>
  </rv>
  <rv s="0">
    <fb>13.92</fb>
    <v>0</v>
  </rv>
  <rv s="0">
    <fb>13.74</fb>
    <v>0</v>
  </rv>
  <rv s="0">
    <fb>13.824999999999999</fb>
    <v>0</v>
  </rv>
  <rv s="0">
    <fb>13.89</fb>
    <v>0</v>
  </rv>
  <rv s="0">
    <fb>14.36</fb>
    <v>0</v>
  </rv>
  <rv s="0">
    <fb>14.58</fb>
    <v>0</v>
  </rv>
  <rv s="0">
    <fb>14.66</fb>
    <v>0</v>
  </rv>
  <rv s="0">
    <fb>14.855</fb>
    <v>0</v>
  </rv>
  <rv s="0">
    <fb>14.74</fb>
    <v>0</v>
  </rv>
  <rv s="0">
    <fb>14.76</fb>
    <v>0</v>
  </rv>
  <rv s="0">
    <fb>14.53</fb>
    <v>0</v>
  </rv>
  <rv s="0">
    <fb>14.79</fb>
    <v>0</v>
  </rv>
  <rv s="0">
    <fb>14.785</fb>
    <v>0</v>
  </rv>
  <rv s="0">
    <fb>14.8591</fb>
    <v>0</v>
  </rv>
  <rv s="0">
    <fb>15.15</fb>
    <v>0</v>
  </rv>
  <rv s="0">
    <fb>15.138199999999999</fb>
    <v>0</v>
  </rv>
  <rv s="0">
    <fb>14.885</fb>
    <v>0</v>
  </rv>
  <rv s="0">
    <fb>14.88</fb>
    <v>0</v>
  </rv>
  <rv s="0">
    <fb>14.164899999999999</fb>
    <v>0</v>
  </rv>
  <rv s="0">
    <fb>14.382999999999999</fb>
    <v>0</v>
  </rv>
  <rv s="0">
    <fb>14.545</fb>
    <v>0</v>
  </rv>
  <rv s="0">
    <fb>14.39</fb>
    <v>0</v>
  </rv>
  <rv s="0">
    <fb>14.433999999999999</fb>
    <v>0</v>
  </rv>
  <rv s="0">
    <fb>14.723699999999999</fb>
    <v>0</v>
  </rv>
  <rv s="0">
    <fb>14.984999999999999</fb>
    <v>0</v>
  </rv>
  <rv s="0">
    <fb>15.16</fb>
    <v>0</v>
  </rv>
  <rv s="0">
    <fb>15.23</fb>
    <v>0</v>
  </rv>
  <rv s="0">
    <fb>15.36</fb>
    <v>0</v>
  </rv>
  <rv s="0">
    <fb>15.265499999999999</fb>
    <v>0</v>
  </rv>
  <rv s="0">
    <fb>15.24</fb>
    <v>0</v>
  </rv>
  <rv s="0">
    <fb>15.44</fb>
    <v>0</v>
  </rv>
  <rv s="0">
    <fb>15.05</fb>
    <v>0</v>
  </rv>
  <rv s="0">
    <fb>15.17</fb>
    <v>0</v>
  </rv>
  <rv s="0">
    <fb>16.22</fb>
    <v>0</v>
  </rv>
  <rv s="0">
    <fb>16.52</fb>
    <v>0</v>
  </rv>
  <rv s="0">
    <fb>16.3932</fb>
    <v>0</v>
  </rv>
  <rv s="0">
    <fb>16.335000000000001</fb>
    <v>0</v>
  </rv>
  <rv s="0">
    <fb>16.04</fb>
    <v>0</v>
  </rv>
  <rv s="0">
    <fb>16.245000000000001</fb>
    <v>0</v>
  </rv>
  <rv s="0">
    <fb>16.148700000000002</fb>
    <v>0</v>
  </rv>
  <rv s="0">
    <fb>16.1051</fb>
    <v>0</v>
  </rv>
  <rv s="0">
    <fb>15.875</fb>
    <v>0</v>
  </rv>
  <rv s="0">
    <fb>15.9993</fb>
    <v>0</v>
  </rv>
  <rv s="0">
    <fb>15.7402</fb>
    <v>0</v>
  </rv>
  <rv s="0">
    <fb>15.72</fb>
    <v>0</v>
  </rv>
  <rv s="0">
    <fb>15.96</fb>
    <v>0</v>
  </rv>
  <rv s="0">
    <fb>16.05</fb>
    <v>0</v>
  </rv>
  <rv s="0">
    <fb>16.079699999999999</fb>
    <v>0</v>
  </rv>
  <rv s="0">
    <fb>16.064800000000002</fb>
    <v>0</v>
  </rv>
  <rv s="0">
    <fb>16.068100000000001</fb>
    <v>0</v>
  </rv>
  <rv s="0">
    <fb>16.03</fb>
    <v>0</v>
  </rv>
  <rv s="0">
    <fb>15.7996</fb>
    <v>0</v>
  </rv>
  <rv s="0">
    <fb>16.233499999999999</fb>
    <v>0</v>
  </rv>
  <rv s="0">
    <fb>16</fb>
    <v>0</v>
  </rv>
  <rv s="0">
    <fb>15.984999999999999</fb>
    <v>0</v>
  </rv>
  <rv s="0">
    <fb>16.16</fb>
    <v>0</v>
  </rv>
  <rv s="0">
    <fb>16.079999999999998</fb>
    <v>0</v>
  </rv>
  <rv s="0">
    <fb>16.195699999999999</fb>
    <v>0</v>
  </rv>
  <rv s="0">
    <fb>16.409800000000001</fb>
    <v>0</v>
  </rv>
  <rv s="0">
    <fb>16.524999999999999</fb>
    <v>0</v>
  </rv>
  <rv s="0">
    <fb>16.305299999999999</fb>
    <v>0</v>
  </rv>
  <rv s="0">
    <fb>16.260000000000002</fb>
    <v>0</v>
  </rv>
  <rv s="0">
    <fb>16.325299999999999</fb>
    <v>0</v>
  </rv>
  <rv s="0">
    <fb>16.622</fb>
    <v>0</v>
  </rv>
  <rv s="0">
    <fb>16.750699999999998</fb>
    <v>0</v>
  </rv>
  <rv s="0">
    <fb>16.8002</fb>
    <v>0</v>
  </rv>
  <rv s="0">
    <fb>16.740200000000002</fb>
    <v>0</v>
  </rv>
  <rv s="0">
    <fb>16.670000000000002</fb>
    <v>0</v>
  </rv>
  <rv s="0">
    <fb>16.64</fb>
    <v>0</v>
  </rv>
  <rv s="0">
    <fb>16.59</fb>
    <v>0</v>
  </rv>
  <rv s="0">
    <fb>56.11</fb>
    <v>0</v>
  </rv>
  <rv s="0">
    <fb>55.9</fb>
    <v>0</v>
  </rv>
  <rv s="0">
    <fb>54.42</fb>
    <v>0</v>
  </rv>
  <rv s="0">
    <fb>53.38</fb>
    <v>0</v>
  </rv>
  <rv s="0">
    <fb>54.67</fb>
    <v>0</v>
  </rv>
  <rv s="0">
    <fb>56.05</fb>
    <v>0</v>
  </rv>
  <rv s="0">
    <fb>54.69</fb>
    <v>0</v>
  </rv>
  <rv s="0">
    <fb>56.14</fb>
    <v>0</v>
  </rv>
  <rv s="0">
    <fb>50.78</fb>
    <v>0</v>
  </rv>
  <rv s="0">
    <fb>54.38</fb>
    <v>0</v>
  </rv>
  <rv s="0">
    <fb>54.81</fb>
    <v>0</v>
  </rv>
  <rv s="0">
    <fb>55.6</fb>
    <v>0</v>
  </rv>
  <rv s="0">
    <fb>58.04</fb>
    <v>0</v>
  </rv>
  <rv s="0">
    <fb>66.63</fb>
    <v>0</v>
  </rv>
  <rv s="0">
    <fb>72.650000000000006</fb>
    <v>0</v>
  </rv>
  <rv s="0">
    <fb>71.94</fb>
    <v>0</v>
  </rv>
  <rv s="0">
    <fb>71.78</fb>
    <v>0</v>
  </rv>
  <rv s="0">
    <fb>71.64</fb>
    <v>0</v>
  </rv>
  <rv s="0">
    <fb>72.89</fb>
    <v>0</v>
  </rv>
  <rv s="0">
    <fb>73.489999999999995</fb>
    <v>0</v>
  </rv>
  <rv s="0">
    <fb>73.680000000000007</fb>
    <v>0</v>
  </rv>
  <rv s="0">
    <fb>72.81</fb>
    <v>0</v>
  </rv>
  <rv s="0">
    <fb>71.44</fb>
    <v>0</v>
  </rv>
  <rv s="0">
    <fb>72.47</fb>
    <v>0</v>
  </rv>
  <rv s="0">
    <fb>73.64</fb>
    <v>0</v>
  </rv>
  <rv s="0">
    <fb>72.239999999999995</fb>
    <v>0</v>
  </rv>
  <rv s="0">
    <fb>73.63</fb>
    <v>0</v>
  </rv>
  <rv s="0">
    <fb>74.92</fb>
    <v>0</v>
  </rv>
  <rv s="0">
    <fb>80.69</fb>
    <v>0</v>
  </rv>
  <rv s="0">
    <fb>79.83</fb>
    <v>0</v>
  </rv>
  <rv s="0">
    <fb>81.45</fb>
    <v>0</v>
  </rv>
  <rv s="0">
    <fb>79.89</fb>
    <v>0</v>
  </rv>
  <rv s="0">
    <fb>84.78</fb>
    <v>0</v>
  </rv>
  <rv s="0">
    <fb>82.69</fb>
    <v>0</v>
  </rv>
  <rv s="0">
    <fb>94.45</fb>
    <v>0</v>
  </rv>
  <rv s="0">
    <fb>95.26</fb>
    <v>0</v>
  </rv>
  <rv s="0">
    <fb>97</fb>
    <v>0</v>
  </rv>
  <rv s="0">
    <fb>100.78</fb>
    <v>0</v>
  </rv>
  <rv s="0">
    <fb>91.8</fb>
    <v>0</v>
  </rv>
  <rv s="0">
    <fb>23.98</fb>
    <v>0</v>
  </rv>
  <rv s="0">
    <fb>24.06</fb>
    <v>0</v>
  </rv>
  <rv s="0">
    <fb>24.36</fb>
    <v>0</v>
  </rv>
  <rv s="0">
    <fb>23.99</fb>
    <v>0</v>
  </rv>
  <rv s="0">
    <fb>23.92</fb>
    <v>0</v>
  </rv>
  <rv s="0">
    <fb>24.41</fb>
    <v>0</v>
  </rv>
  <rv s="0">
    <fb>23.53</fb>
    <v>0</v>
  </rv>
  <rv s="0">
    <fb>23.25</fb>
    <v>0</v>
  </rv>
  <rv s="0">
    <fb>23.29</fb>
    <v>0</v>
  </rv>
  <rv s="0">
    <fb>23.61</fb>
    <v>0</v>
  </rv>
  <rv s="0">
    <fb>23.48</fb>
    <v>0</v>
  </rv>
  <rv s="0">
    <fb>23.96</fb>
    <v>0</v>
  </rv>
  <rv s="0">
    <fb>26.82</fb>
    <v>0</v>
  </rv>
  <rv s="0">
    <fb>27.43</fb>
    <v>0</v>
  </rv>
  <rv s="0">
    <fb>27.19</fb>
    <v>0</v>
  </rv>
  <rv s="0">
    <fb>27.37</fb>
    <v>0</v>
  </rv>
  <rv s="0">
    <fb>24.31</fb>
    <v>0</v>
  </rv>
  <rv s="0">
    <fb>23.76</fb>
    <v>0</v>
  </rv>
  <rv s="0">
    <fb>24.04</fb>
    <v>0</v>
  </rv>
  <rv s="0">
    <fb>24.09</fb>
    <v>0</v>
  </rv>
  <rv s="0">
    <fb>24.43</fb>
    <v>0</v>
  </rv>
  <rv s="0">
    <fb>23.67</fb>
    <v>0</v>
  </rv>
  <rv s="0">
    <fb>23.39</fb>
    <v>0</v>
  </rv>
  <rv s="0">
    <fb>24.47</fb>
    <v>0</v>
  </rv>
  <rv s="0">
    <fb>23.41</fb>
    <v>0</v>
  </rv>
  <rv s="0">
    <fb>24.08</fb>
    <v>0</v>
  </rv>
  <rv s="0">
    <fb>24.03</fb>
    <v>0</v>
  </rv>
  <rv s="0">
    <fb>24.4</fb>
    <v>0</v>
  </rv>
  <rv s="0">
    <fb>25.03</fb>
    <v>0</v>
  </rv>
  <rv s="0">
    <fb>22.93</fb>
    <v>0</v>
  </rv>
  <rv s="0">
    <fb>23.57</fb>
    <v>0</v>
  </rv>
  <rv s="0">
    <fb>26.56</fb>
    <v>0</v>
  </rv>
  <rv s="0">
    <fb>27.35</fb>
    <v>0</v>
  </rv>
  <rv s="0">
    <fb>28.53</fb>
    <v>0</v>
  </rv>
  <rv s="0">
    <fb>29.15</fb>
    <v>0</v>
  </rv>
  <rv s="0">
    <fb>28.73</fb>
    <v>0</v>
  </rv>
  <rv s="0">
    <fb>28.35</fb>
    <v>0</v>
  </rv>
  <rv s="0">
    <fb>28.7</fb>
    <v>0</v>
  </rv>
  <rv s="0">
    <fb>28.43</fb>
    <v>0</v>
  </rv>
  <rv s="0">
    <fb>28.68</fb>
    <v>0</v>
  </rv>
  <rv s="0">
    <fb>28.78</fb>
    <v>0</v>
  </rv>
  <rv s="0">
    <fb>39.299999999999997</fb>
    <v>0</v>
  </rv>
  <rv s="0">
    <fb>40.11</fb>
    <v>0</v>
  </rv>
  <rv s="0">
    <fb>41.52</fb>
    <v>0</v>
  </rv>
  <rv s="0">
    <fb>43.89</fb>
    <v>0</v>
  </rv>
  <rv s="0">
    <fb>45.1</fb>
    <v>0</v>
  </rv>
  <rv s="0">
    <fb>46.79</fb>
    <v>0</v>
  </rv>
  <rv s="0">
    <fb>47.73</fb>
    <v>0</v>
  </rv>
  <rv s="0">
    <fb>47</fb>
    <v>0</v>
  </rv>
  <rv s="0">
    <fb>48.46</fb>
    <v>0</v>
  </rv>
  <rv s="0">
    <fb>30.72</fb>
    <v>0</v>
  </rv>
  <rv s="0">
    <fb>31.02</fb>
    <v>0</v>
  </rv>
  <rv s="0">
    <fb>31.58</fb>
    <v>0</v>
  </rv>
  <rv s="0">
    <fb>31.48</fb>
    <v>0</v>
  </rv>
  <rv s="0">
    <fb>31.76</fb>
    <v>0</v>
  </rv>
  <rv s="0">
    <fb>31.98</fb>
    <v>0</v>
  </rv>
  <rv s="0">
    <fb>32.99</fb>
    <v>0</v>
  </rv>
  <rv s="0">
    <fb>32.35</fb>
    <v>0</v>
  </rv>
  <rv s="0">
    <fb>33.94</fb>
    <v>0</v>
  </rv>
  <rv s="0">
    <fb>34.25</fb>
    <v>0</v>
  </rv>
  <rv s="0">
    <fb>35.19</fb>
    <v>0</v>
  </rv>
  <rv s="0">
    <fb>35.53</fb>
    <v>0</v>
  </rv>
  <rv s="0">
    <fb>35.200000000000003</fb>
    <v>0</v>
  </rv>
  <rv s="0">
    <fb>35.46</fb>
    <v>0</v>
  </rv>
  <rv s="0">
    <fb>38.44</fb>
    <v>0</v>
  </rv>
  <rv s="0">
    <fb>38.17</fb>
    <v>0</v>
  </rv>
  <rv s="0">
    <fb>38.79</fb>
    <v>0</v>
  </rv>
  <rv s="0">
    <fb>38.729999999999997</fb>
    <v>0</v>
  </rv>
  <rv s="0">
    <fb>38.89</fb>
    <v>0</v>
  </rv>
  <rv s="0">
    <fb>40.85</fb>
    <v>0</v>
  </rv>
  <rv s="0">
    <fb>41.17</fb>
    <v>0</v>
  </rv>
  <rv s="0">
    <fb>41.15</fb>
    <v>0</v>
  </rv>
  <rv s="0">
    <fb>43.5</fb>
    <v>0</v>
  </rv>
  <rv s="0">
    <fb>43.97</fb>
    <v>0</v>
  </rv>
  <rv s="0">
    <fb>43.09</fb>
    <v>0</v>
  </rv>
  <rv s="0">
    <fb>44.16</fb>
    <v>0</v>
  </rv>
  <rv s="0">
    <fb>45.35</fb>
    <v>0</v>
  </rv>
  <rv s="0">
    <fb>44.97</fb>
    <v>0</v>
  </rv>
  <rv s="0">
    <fb>48.47</fb>
    <v>0</v>
  </rv>
  <rv s="0">
    <fb>48.95</fb>
    <v>0</v>
  </rv>
  <rv s="0">
    <fb>48.83</fb>
    <v>0</v>
  </rv>
  <rv s="0">
    <fb>50.6</fb>
    <v>0</v>
  </rv>
  <rv s="0">
    <fb>42.43</fb>
    <v>0</v>
  </rv>
  <rv s="0">
    <fb>46.21</fb>
    <v>0</v>
  </rv>
  <rv s="0">
    <fb>44.54</fb>
    <v>0</v>
  </rv>
  <rv s="0">
    <fb>48.1</fb>
    <v>0</v>
  </rv>
  <rv s="0">
    <fb>47.9</fb>
    <v>0</v>
  </rv>
  <rv s="0">
    <fb>50.19</fb>
    <v>0</v>
  </rv>
  <rv s="0">
    <fb>54.77</fb>
    <v>0</v>
  </rv>
  <rv s="0">
    <fb>53.04</fb>
    <v>0</v>
  </rv>
  <rv s="0">
    <fb>55.44</fb>
    <v>0</v>
  </rv>
  <rv s="0">
    <fb>55.05</fb>
    <v>0</v>
  </rv>
  <rv s="0">
    <fb>56.66</fb>
    <v>0</v>
  </rv>
  <rv s="0">
    <fb>57.11</fb>
    <v>0</v>
  </rv>
  <rv s="0">
    <fb>57.67</fb>
    <v>0</v>
  </rv>
  <rv s="0">
    <fb>65.180000000000007</fb>
    <v>0</v>
  </rv>
  <rv s="0">
    <fb>47.24</fb>
    <v>0</v>
  </rv>
  <rv s="0">
    <fb>48.35</fb>
    <v>0</v>
  </rv>
  <rv s="0">
    <fb>54.47</fb>
    <v>0</v>
  </rv>
  <rv s="0">
    <fb>55.04</fb>
    <v>0</v>
  </rv>
  <rv s="0">
    <fb>54.9</fb>
    <v>0</v>
  </rv>
  <rv s="0">
    <fb>55.62</fb>
    <v>0</v>
  </rv>
  <rv s="0">
    <fb>55.45</fb>
    <v>0</v>
  </rv>
  <rv s="0">
    <fb>54.51</fb>
    <v>0</v>
  </rv>
  <rv s="0">
    <fb>56.2</fb>
    <v>0</v>
  </rv>
  <rv s="0">
    <fb>52.72</fb>
    <v>0</v>
  </rv>
  <rv s="0">
    <fb>56.02</fb>
    <v>0</v>
  </rv>
  <rv s="0">
    <fb>56.72</fb>
    <v>0</v>
  </rv>
  <rv s="0">
    <fb>57.14</fb>
    <v>0</v>
  </rv>
  <rv s="0">
    <fb>55.36</fb>
    <v>0</v>
  </rv>
  <rv s="0">
    <fb>29.29</fb>
    <v>0</v>
  </rv>
  <rv s="0">
    <fb>29.26</fb>
    <v>0</v>
  </rv>
  <rv s="0">
    <fb>29.05</fb>
    <v>0</v>
  </rv>
  <rv s="0">
    <fb>28.5</fb>
    <v>0</v>
  </rv>
  <rv s="0">
    <fb>28.48</fb>
    <v>0</v>
  </rv>
  <rv s="0">
    <fb>28.25</fb>
    <v>0</v>
  </rv>
  <rv s="0">
    <fb>28.32</fb>
    <v>0</v>
  </rv>
  <rv s="0">
    <fb>28.55</fb>
    <v>0</v>
  </rv>
  <rv s="0">
    <fb>27.51</fb>
    <v>0</v>
  </rv>
  <rv s="0">
    <fb>27.3</fb>
    <v>0</v>
  </rv>
  <rv s="0">
    <fb>27.88</fb>
    <v>0</v>
  </rv>
  <rv s="0">
    <fb>27.54</fb>
    <v>0</v>
  </rv>
  <rv s="0">
    <fb>27.78</fb>
    <v>0</v>
  </rv>
  <rv s="0">
    <fb>95.932000000000002</fb>
    <v>0</v>
  </rv>
  <rv s="0">
    <fb>96.284999999999997</fb>
    <v>0</v>
  </rv>
  <rv s="0">
    <fb>96.0411</fb>
    <v>0</v>
  </rv>
  <rv s="0">
    <fb>94.67</fb>
    <v>0</v>
  </rv>
  <rv s="0">
    <fb>95.46</fb>
    <v>0</v>
  </rv>
  <rv s="0">
    <fb>95.22</fb>
    <v>0</v>
  </rv>
  <rv s="0">
    <fb>94.314999999999998</fb>
    <v>0</v>
  </rv>
  <rv s="0">
    <fb>95.11</fb>
    <v>0</v>
  </rv>
  <rv s="0">
    <fb>96.93</fb>
    <v>0</v>
  </rv>
  <rv s="0">
    <fb>96.88</fb>
    <v>0</v>
  </rv>
  <rv s="0">
    <fb>96.15</fb>
    <v>0</v>
  </rv>
  <rv s="0">
    <fb>95.01</fb>
    <v>0</v>
  </rv>
  <rv s="0">
    <fb>95.835099999999997</fb>
    <v>0</v>
  </rv>
  <rv s="0">
    <fb>95.88</fb>
    <v>0</v>
  </rv>
  <rv s="0">
    <fb>95.314999999999998</fb>
    <v>0</v>
  </rv>
  <rv s="0">
    <fb>95.140100000000004</fb>
    <v>0</v>
  </rv>
  <rv s="0">
    <fb>95.931100000000001</fb>
    <v>0</v>
  </rv>
  <rv s="0">
    <fb>96.866799999999998</fb>
    <v>0</v>
  </rv>
  <rv s="0">
    <fb>96.86</fb>
    <v>0</v>
  </rv>
  <rv s="0">
    <fb>97.93</fb>
    <v>0</v>
  </rv>
  <rv s="0">
    <fb>99.59</fb>
    <v>0</v>
  </rv>
  <rv s="0">
    <fb>99.56</fb>
    <v>0</v>
  </rv>
  <rv s="0">
    <fb>100.83</fb>
    <v>0</v>
  </rv>
  <rv s="0">
    <fb>100.55</fb>
    <v>0</v>
  </rv>
  <rv s="0">
    <fb>99.72</fb>
    <v>0</v>
  </rv>
  <rv s="0">
    <fb>99.32</fb>
    <v>0</v>
  </rv>
  <rv s="0">
    <fb>99.7</fb>
    <v>0</v>
  </rv>
  <rv s="0">
    <fb>99.97</fb>
    <v>0</v>
  </rv>
  <rv s="0">
    <fb>101.49</fb>
    <v>0</v>
  </rv>
  <rv s="0">
    <fb>100.97</fb>
    <v>0</v>
  </rv>
  <rv s="0">
    <fb>104.84</fb>
    <v>0</v>
  </rv>
  <rv s="0">
    <fb>104.18</fb>
    <v>0</v>
  </rv>
  <rv s="0">
    <fb>105.14</fb>
    <v>0</v>
  </rv>
  <rv s="0">
    <fb>105.02</fb>
    <v>0</v>
  </rv>
  <rv s="0">
    <fb>105.13</fb>
    <v>0</v>
  </rv>
  <rv s="0">
    <fb>104.91</fb>
    <v>0</v>
  </rv>
  <rv s="0">
    <fb>105.51</fb>
    <v>0</v>
  </rv>
  <rv s="0">
    <fb>104.63</fb>
    <v>0</v>
  </rv>
  <rv s="0">
    <fb>104.38</fb>
    <v>0</v>
  </rv>
  <rv s="0">
    <fb>103.25</fb>
    <v>0</v>
  </rv>
  <rv s="0">
    <fb>103.04</fb>
    <v>0</v>
  </rv>
  <rv s="0">
    <fb>102.87</fb>
    <v>0</v>
  </rv>
  <rv s="0">
    <fb>104.49</fb>
    <v>0</v>
  </rv>
  <rv s="0">
    <fb>104.24</fb>
    <v>0</v>
  </rv>
  <rv s="0">
    <fb>104.92</fb>
    <v>0</v>
  </rv>
  <rv s="0">
    <fb>105.18</fb>
    <v>0</v>
  </rv>
  <rv s="0">
    <fb>105.43</fb>
    <v>0</v>
  </rv>
  <rv s="0">
    <fb>106.62</fb>
    <v>0</v>
  </rv>
  <rv s="0">
    <fb>106.02</fb>
    <v>0</v>
  </rv>
  <rv s="0">
    <fb>105.9</fb>
    <v>0</v>
  </rv>
  <rv s="0">
    <fb>106.3</fb>
    <v>0</v>
  </rv>
  <rv s="0">
    <fb>106.89</fb>
    <v>0</v>
  </rv>
  <rv s="0">
    <fb>107.21</fb>
    <v>0</v>
  </rv>
  <rv s="0">
    <fb>108.79</fb>
    <v>0</v>
  </rv>
  <rv s="0">
    <fb>108.49</fb>
    <v>0</v>
  </rv>
  <rv s="0">
    <fb>108.21</fb>
    <v>0</v>
  </rv>
  <rv s="0">
    <fb>107.69</fb>
    <v>0</v>
  </rv>
  <rv s="0">
    <fb>107.22</fb>
    <v>0</v>
  </rv>
  <rv s="0">
    <fb>107.89</fb>
    <v>0</v>
  </rv>
  <rv s="0">
    <fb>108.48</fb>
    <v>0</v>
  </rv>
  <rv s="0">
    <fb>106.59</fb>
    <v>0</v>
  </rv>
  <rv s="0">
    <fb>106.73</fb>
    <v>0</v>
  </rv>
  <rv s="0">
    <fb>106.75</fb>
    <v>0</v>
  </rv>
  <rv s="0">
    <fb>107.54</fb>
    <v>0</v>
  </rv>
  <rv s="0">
    <fb>107.5</fb>
    <v>0</v>
  </rv>
  <rv s="0">
    <fb>107.95099999999999</fb>
    <v>0</v>
  </rv>
  <rv s="0">
    <fb>107.47</fb>
    <v>0</v>
  </rv>
  <rv s="0">
    <fb>107.96</fb>
    <v>0</v>
  </rv>
  <rv s="0">
    <fb>108.19</fb>
    <v>0</v>
  </rv>
  <rv s="0">
    <fb>107.395</fb>
    <v>0</v>
  </rv>
  <rv s="0">
    <fb>107.995</fb>
    <v>0</v>
  </rv>
  <rv s="0">
    <fb>108.02</fb>
    <v>0</v>
  </rv>
  <rv s="0">
    <fb>108.32</fb>
    <v>0</v>
  </rv>
  <rv s="0">
    <fb>109.49</fb>
    <v>0</v>
  </rv>
  <rv s="0">
    <fb>108.33</fb>
    <v>0</v>
  </rv>
  <rv s="0">
    <fb>108.22</fb>
    <v>0</v>
  </rv>
  <rv s="0">
    <fb>108.205</fb>
    <v>0</v>
  </rv>
  <rv s="0">
    <fb>108</fb>
    <v>0</v>
  </rv>
  <rv s="0">
    <fb>107.071</fb>
    <v>0</v>
  </rv>
  <rv s="0">
    <fb>107.205</fb>
    <v>0</v>
  </rv>
  <rv s="0">
    <fb>107.36</fb>
    <v>0</v>
  </rv>
  <rv s="0">
    <fb>106.66500000000001</fb>
    <v>0</v>
  </rv>
  <rv s="0">
    <fb>106.685</fb>
    <v>0</v>
  </rv>
  <rv s="0">
    <fb>106.869</fb>
    <v>0</v>
  </rv>
  <rv s="0">
    <fb>106.92</fb>
    <v>0</v>
  </rv>
  <rv s="0">
    <fb>107.34</fb>
    <v>0</v>
  </rv>
  <rv s="0">
    <fb>106.925</fb>
    <v>0</v>
  </rv>
  <rv s="0">
    <fb>106.855</fb>
    <v>0</v>
  </rv>
  <rv s="0">
    <fb>59.405000000000001</fb>
    <v>0</v>
  </rv>
  <rv s="0">
    <fb>60.49</fb>
    <v>0</v>
  </rv>
  <rv s="0">
    <fb>59.76</fb>
    <v>0</v>
  </rv>
  <rv s="0">
    <fb>62.42</fb>
    <v>0</v>
  </rv>
  <rv s="0">
    <fb>62.435000000000002</fb>
    <v>0</v>
  </rv>
  <rv s="0">
    <fb>62.47</fb>
    <v>0</v>
  </rv>
  <rv s="0">
    <fb>61.52</fb>
    <v>0</v>
  </rv>
  <rv s="0">
    <fb>65.14</fb>
    <v>0</v>
  </rv>
  <rv s="0">
    <fb>64.88</fb>
    <v>0</v>
  </rv>
  <rv s="0">
    <fb>63.97</fb>
    <v>0</v>
  </rv>
  <rv s="0">
    <fb>63.9</fb>
    <v>0</v>
  </rv>
  <rv s="0">
    <fb>64.58</fb>
    <v>0</v>
  </rv>
  <rv s="0">
    <fb>63.94</fb>
    <v>0</v>
  </rv>
  <rv s="0">
    <fb>62.645000000000003</fb>
    <v>0</v>
  </rv>
  <rv s="0">
    <fb>62.27</fb>
    <v>0</v>
  </rv>
  <rv s="0">
    <fb>62.01</fb>
    <v>0</v>
  </rv>
  <rv s="0">
    <fb>59.41</fb>
    <v>0</v>
  </rv>
  <rv s="0">
    <fb>122.00069999999999</fb>
    <v>0</v>
  </rv>
  <rv s="0">
    <fb>122.2063</fb>
    <v>0</v>
  </rv>
  <rv s="0">
    <fb>120.9406</fb>
    <v>0</v>
  </rv>
  <rv s="0">
    <fb>120.2683</fb>
    <v>0</v>
  </rv>
  <rv s="0">
    <fb>120.9841</fb>
    <v>0</v>
  </rv>
  <rv s="0">
    <fb>120.47</fb>
    <v>0</v>
  </rv>
  <rv s="0">
    <fb>120.6</fb>
    <v>0</v>
  </rv>
  <rv s="0">
    <fb>121.0705</fb>
    <v>0</v>
  </rv>
  <rv s="0">
    <fb>120.80159999999999</fb>
    <v>0</v>
  </rv>
  <rv s="0">
    <fb>120.5487</fb>
    <v>0</v>
  </rv>
  <rv s="0">
    <fb>118.935</fb>
    <v>0</v>
  </rv>
  <rv s="0">
    <fb>119.3737</fb>
    <v>0</v>
  </rv>
  <rv s="0">
    <fb>119.94029999999999</fb>
    <v>0</v>
  </rv>
  <rv s="0">
    <fb>118.79</fb>
    <v>0</v>
  </rv>
  <rv s="0">
    <fb>117.37</fb>
    <v>0</v>
  </rv>
  <rv s="0">
    <fb>117.06399999999999</fb>
    <v>0</v>
  </rv>
  <rv s="0">
    <fb>117.7437</fb>
    <v>0</v>
  </rv>
  <rv s="0">
    <fb>117.6343</fb>
    <v>0</v>
  </rv>
  <rv s="0">
    <fb>118.7063</fb>
    <v>0</v>
  </rv>
  <rv s="0">
    <fb>118.54300000000001</fb>
    <v>0</v>
  </rv>
  <rv s="0">
    <fb>118.87869999999999</fb>
    <v>0</v>
  </rv>
  <rv s="0">
    <fb>120.1562</fb>
    <v>0</v>
  </rv>
  <rv s="0">
    <fb>120.22</fb>
    <v>0</v>
  </rv>
  <rv s="0">
    <fb>119.74</fb>
    <v>0</v>
  </rv>
  <rv s="0">
    <fb>119.77670000000001</fb>
    <v>0</v>
  </rv>
  <rv s="0">
    <fb>119.71129999999999</fb>
    <v>0</v>
  </rv>
  <rv s="0">
    <fb>119.36190000000001</fb>
    <v>0</v>
  </rv>
  <rv s="0">
    <fb>119.2</fb>
    <v>0</v>
  </rv>
  <rv s="0">
    <fb>119.65470000000001</fb>
    <v>0</v>
  </rv>
  <rv s="0">
    <fb>119.66500000000001</fb>
    <v>0</v>
  </rv>
  <rv s="0">
    <fb>121.02070000000001</fb>
    <v>0</v>
  </rv>
  <rv s="0">
    <fb>121.24420000000001</fb>
    <v>0</v>
  </rv>
  <rv s="0">
    <fb>121.0776</fb>
    <v>0</v>
  </rv>
  <rv s="0">
    <fb>121.899</fb>
    <v>0</v>
  </rv>
  <rv s="0">
    <fb>121.5228</fb>
    <v>0</v>
  </rv>
  <rv s="0">
    <fb>121.46380000000001</fb>
    <v>0</v>
  </rv>
  <rv s="0">
    <fb>121.94029999999999</fb>
    <v>0</v>
  </rv>
  <rv s="0">
    <fb>122.00060000000001</fb>
    <v>0</v>
  </rv>
  <rv s="0">
    <fb>121.36709999999999</fb>
    <v>0</v>
  </rv>
  <rv s="0">
    <fb>121.1123</fb>
    <v>0</v>
  </rv>
  <rv s="0">
    <fb>122.03</fb>
    <v>0</v>
  </rv>
  <rv s="0">
    <fb>122.8758</fb>
    <v>0</v>
  </rv>
  <rv s="0">
    <fb>123.989</fb>
    <v>0</v>
  </rv>
  <rv s="0">
    <fb>123.795</fb>
    <v>0</v>
  </rv>
  <rv s="0">
    <fb>124.2283</fb>
    <v>0</v>
  </rv>
  <rv s="0">
    <fb>123.76990000000001</fb>
    <v>0</v>
  </rv>
  <rv s="0">
    <fb>124.53</fb>
    <v>0</v>
  </rv>
  <rv s="0">
    <fb>124.67489999999999</fb>
    <v>0</v>
  </rv>
  <rv s="0">
    <fb>124.4969</fb>
    <v>0</v>
  </rv>
  <rv s="0">
    <fb>124.39</fb>
    <v>0</v>
  </rv>
  <rv s="0">
    <fb>125.1079</fb>
    <v>0</v>
  </rv>
  <rv s="0">
    <fb>125.0309</fb>
    <v>0</v>
  </rv>
  <rv s="0">
    <fb>124.77</fb>
    <v>0</v>
  </rv>
  <rv s="0">
    <fb>124.59</fb>
    <v>0</v>
  </rv>
  <rv s="0">
    <fb>124.08</fb>
    <v>0</v>
  </rv>
  <rv s="0">
    <fb>124.6219</fb>
    <v>0</v>
  </rv>
  <rv s="0">
    <fb>124.4015</fb>
    <v>0</v>
  </rv>
  <rv s="0">
    <fb>124.125</fb>
    <v>0</v>
  </rv>
  <rv s="0">
    <fb>124.7312</fb>
    <v>0</v>
  </rv>
  <rv s="0">
    <fb>122.78489999999999</fb>
    <v>0</v>
  </rv>
  <rv s="0">
    <fb>123.1358</fb>
    <v>0</v>
  </rv>
  <rv s="0">
    <fb>124.6173</fb>
    <v>0</v>
  </rv>
  <rv s="0">
    <fb>125.68</fb>
    <v>0</v>
  </rv>
  <rv s="0">
    <fb>127.21429999999999</fb>
    <v>0</v>
  </rv>
  <rv s="0">
    <fb>127.61490000000001</fb>
    <v>0</v>
  </rv>
  <rv s="0">
    <fb>127.68</fb>
    <v>0</v>
  </rv>
  <rv s="0">
    <fb>129.4</fb>
    <v>0</v>
  </rv>
  <rv s="0">
    <fb>129.06</fb>
    <v>0</v>
  </rv>
  <rv s="0">
    <fb>127.6</fb>
    <v>0</v>
  </rv>
  <rv s="0">
    <fb>127.5835</fb>
    <v>0</v>
  </rv>
  <rv s="0">
    <fb>126.71</fb>
    <v>0</v>
  </rv>
  <rv s="0">
    <fb>127.93</fb>
    <v>0</v>
  </rv>
  <rv s="0">
    <fb>127.55</fb>
    <v>0</v>
  </rv>
  <rv s="0">
    <fb>127.8</fb>
    <v>0</v>
  </rv>
  <rv s="0">
    <fb>127.72</fb>
    <v>0</v>
  </rv>
  <rv s="0">
    <fb>128.49209999999999</fb>
    <v>0</v>
  </rv>
  <rv s="0">
    <fb>128.83000000000001</fb>
    <v>0</v>
  </rv>
  <rv s="0">
    <fb>129.1</fb>
    <v>0</v>
  </rv>
  <rv s="0">
    <fb>129.93</fb>
    <v>0</v>
  </rv>
  <rv s="0">
    <fb>130.18</fb>
    <v>0</v>
  </rv>
  <rv s="0">
    <fb>130.19999999999999</fb>
    <v>0</v>
  </rv>
  <rv s="0">
    <fb>130.07</fb>
    <v>0</v>
  </rv>
  <rv s="0">
    <fb>130.37</fb>
    <v>0</v>
  </rv>
  <rv s="0">
    <fb>129.82</fb>
    <v>0</v>
  </rv>
  <rv s="0">
    <fb>130.16999999999999</fb>
    <v>0</v>
  </rv>
  <rv s="0">
    <fb>130.80000000000001</fb>
    <v>0</v>
  </rv>
  <rv s="0">
    <fb>130.57</fb>
    <v>0</v>
  </rv>
  <rv s="0">
    <fb>129.31</fb>
    <v>0</v>
  </rv>
  <rv s="0">
    <fb>132.19</fb>
    <v>0</v>
  </rv>
  <rv s="0">
    <fb>131.94999999999999</fb>
    <v>0</v>
  </rv>
  <rv s="0">
    <fb>131.00530000000001</fb>
    <v>0</v>
  </rv>
  <rv s="0">
    <fb>131.19999999999999</fb>
    <v>0</v>
  </rv>
  <rv s="0">
    <fb>130.61000000000001</fb>
    <v>0</v>
  </rv>
  <rv s="0">
    <fb>129.75880000000001</fb>
    <v>0</v>
  </rv>
  <rv s="0">
    <fb>129.09</fb>
    <v>0</v>
  </rv>
  <rv s="0">
    <fb>128.73159999999999</fb>
    <v>0</v>
  </rv>
  <rv s="0">
    <fb>128.99</fb>
    <v>0</v>
  </rv>
  <rv s="0">
    <fb>129.73670000000001</fb>
    <v>0</v>
  </rv>
  <rv s="0">
    <fb>130.66030000000001</fb>
    <v>0</v>
  </rv>
  <rv s="0">
    <fb>129.9999</fb>
    <v>0</v>
  </rv>
  <rv s="0">
    <fb>129.27330000000001</fb>
    <v>0</v>
  </rv>
  <rv s="0">
    <fb>128.56200000000001</fb>
    <v>0</v>
  </rv>
  <rv s="0">
    <fb>127.45</fb>
    <v>0</v>
  </rv>
  <rv s="0">
    <fb>127.4481</fb>
    <v>0</v>
  </rv>
  <rv s="0">
    <fb>127.5253</fb>
    <v>0</v>
  </rv>
  <rv s="0">
    <fb>127.7598</fb>
    <v>0</v>
  </rv>
  <rv s="0">
    <fb>128.35599999999999</fb>
    <v>0</v>
  </rv>
  <rv s="0">
    <fb>129.13419999999999</fb>
    <v>0</v>
  </rv>
  <rv s="0">
    <fb>129.2568</fb>
    <v>0</v>
  </rv>
  <rv s="0">
    <fb>129.04570000000001</fb>
    <v>0</v>
  </rv>
  <rv s="0">
    <fb>129.72730000000001</fb>
    <v>0</v>
  </rv>
  <rv s="0">
    <fb>130.47559999999999</fb>
    <v>0</v>
  </rv>
  <rv s="0">
    <fb>129.86000000000001</fb>
    <v>0</v>
  </rv>
  <rv s="0">
    <fb>129.38499999999999</fb>
    <v>0</v>
  </rv>
  <rv s="0">
    <fb>130.01499999999999</fb>
    <v>0</v>
  </rv>
  <rv s="0">
    <fb>130.04839999999999</fb>
    <v>0</v>
  </rv>
  <rv s="0">
    <fb>128.6378</fb>
    <v>0</v>
  </rv>
  <rv s="0">
    <fb>129.74850000000001</fb>
    <v>0</v>
  </rv>
  <rv s="0">
    <fb>130.2217</fb>
    <v>0</v>
  </rv>
  <rv s="0">
    <fb>129.94589999999999</fb>
    <v>0</v>
  </rv>
  <rv s="0">
    <fb>130.0455</fb>
    <v>0</v>
  </rv>
  <rv s="0">
    <fb>130.38</fb>
    <v>0</v>
  </rv>
  <rv s="0">
    <fb>131.13140000000001</fb>
    <v>0</v>
  </rv>
  <rv s="0">
    <fb>130.29220000000001</fb>
    <v>0</v>
  </rv>
  <rv s="0">
    <fb>129.59</fb>
    <v>0</v>
  </rv>
  <rv s="0">
    <fb>130.02780000000001</fb>
    <v>0</v>
  </rv>
  <rv s="0">
    <fb>130.11660000000001</fb>
    <v>0</v>
  </rv>
  <rv s="0">
    <fb>129.345</fb>
    <v>0</v>
  </rv>
  <rv s="0">
    <fb>128.37</fb>
    <v>0</v>
  </rv>
  <rv s="0">
    <fb>129.1619</fb>
    <v>0</v>
  </rv>
  <rv s="0">
    <fb>128.73439999999999</fb>
    <v>0</v>
  </rv>
  <rv s="0">
    <fb>129.19999999999999</fb>
    <v>0</v>
  </rv>
  <rv s="0">
    <fb>129.21209999999999</fb>
    <v>0</v>
  </rv>
  <rv s="0">
    <fb>128.94</fb>
    <v>0</v>
  </rv>
  <rv s="0">
    <fb>128.626</fb>
    <v>0</v>
  </rv>
  <rv s="0">
    <fb>128.1739</fb>
    <v>0</v>
  </rv>
  <rv s="0">
    <fb>128.06229999999999</fb>
    <v>0</v>
  </rv>
  <rv s="0">
    <fb>128.32839999999999</fb>
    <v>0</v>
  </rv>
  <rv s="0">
    <fb>127.7303</fb>
    <v>0</v>
  </rv>
  <rv s="0">
    <fb>126.4943</fb>
    <v>0</v>
  </rv>
  <rv s="0">
    <fb>126.44</fb>
    <v>0</v>
  </rv>
  <rv s="0">
    <fb>126.2296</fb>
    <v>0</v>
  </rv>
  <rv s="0">
    <fb>125.0776</fb>
    <v>0</v>
  </rv>
  <rv s="0">
    <fb>126.21</fb>
    <v>0</v>
  </rv>
  <rv s="0">
    <fb>126.4842</fb>
    <v>0</v>
  </rv>
  <rv s="0">
    <fb>126.2238</fb>
    <v>0</v>
  </rv>
  <rv s="0">
    <fb>126.75409999999999</fb>
    <v>0</v>
  </rv>
  <rv s="0">
    <fb>126.59310000000001</fb>
    <v>0</v>
  </rv>
  <rv s="0">
    <fb>126.4759</fb>
    <v>0</v>
  </rv>
  <rv s="0">
    <fb>126.43</fb>
    <v>0</v>
  </rv>
  <rv s="0">
    <fb>63.079799999999999</fb>
    <v>0</v>
  </rv>
  <rv s="0">
    <fb>62.7318</fb>
    <v>0</v>
  </rv>
  <rv s="0">
    <fb>61.819699999999997</fb>
    <v>0</v>
  </rv>
  <rv s="0">
    <fb>61.936100000000003</fb>
    <v>0</v>
  </rv>
  <rv s="0">
    <fb>61.72</fb>
    <v>0</v>
  </rv>
  <rv s="0">
    <fb>61.590299999999999</fb>
    <v>0</v>
  </rv>
  <rv s="0">
    <fb>61.6676</fb>
    <v>0</v>
  </rv>
  <rv s="0">
    <fb>61.412700000000001</fb>
    <v>0</v>
  </rv>
  <rv s="0">
    <fb>61.5687</fb>
    <v>0</v>
  </rv>
  <rv s="0">
    <fb>61.798900000000003</fb>
    <v>0</v>
  </rv>
  <rv s="0">
    <fb>61.6997</fb>
    <v>0</v>
  </rv>
  <rv s="0">
    <fb>60.862699999999997</fb>
    <v>0</v>
  </rv>
  <rv s="0">
    <fb>61.290399999999998</fb>
    <v>0</v>
  </rv>
  <rv s="0">
    <fb>61.495899999999999</fb>
    <v>0</v>
  </rv>
  <rv s="0">
    <fb>62.1434</fb>
    <v>0</v>
  </rv>
  <rv s="0">
    <fb>62.2639</fb>
    <v>0</v>
  </rv>
  <rv s="0">
    <fb>62.308</fb>
    <v>0</v>
  </rv>
  <rv s="0">
    <fb>61.9726</fb>
    <v>0</v>
  </rv>
  <rv s="0">
    <fb>61.603200000000001</fb>
    <v>0</v>
  </rv>
  <rv s="0">
    <fb>61.588900000000002</fb>
    <v>0</v>
  </rv>
  <rv s="0">
    <fb>62.085900000000002</fb>
    <v>0</v>
  </rv>
  <rv s="0">
    <fb>62.2288</fb>
    <v>0</v>
  </rv>
  <rv s="0">
    <fb>62.587699999999998</fb>
    <v>0</v>
  </rv>
  <rv s="0">
    <fb>62.902200000000001</fb>
    <v>0</v>
  </rv>
  <rv s="0">
    <fb>62.870800000000003</fb>
    <v>0</v>
  </rv>
  <rv s="0">
    <fb>63.423999999999999</fb>
    <v>0</v>
  </rv>
  <rv s="0">
    <fb>62.865699999999997</fb>
    <v>0</v>
  </rv>
  <rv s="0">
    <fb>62.4298</fb>
    <v>0</v>
  </rv>
  <rv s="0">
    <fb>61.81</fb>
    <v>0</v>
  </rv>
  <rv s="0">
    <fb>61.569099999999999</fb>
    <v>0</v>
  </rv>
  <rv s="0">
    <fb>62.788400000000003</fb>
    <v>0</v>
  </rv>
  <rv s="0">
    <fb>62.209200000000003</fb>
    <v>0</v>
  </rv>
  <rv s="0">
    <fb>62.402700000000003</fb>
    <v>0</v>
  </rv>
  <rv s="0">
    <fb>62.5749</fb>
    <v>0</v>
  </rv>
  <rv s="0">
    <fb>62.240600000000001</fb>
    <v>0</v>
  </rv>
  <rv s="0">
    <fb>62.665100000000002</fb>
    <v>0</v>
  </rv>
  <rv s="0">
    <fb>63.0244</fb>
    <v>0</v>
  </rv>
  <rv s="0">
    <fb>62.912500000000001</fb>
    <v>0</v>
  </rv>
  <rv s="0">
    <fb>62.45</fb>
    <v>0</v>
  </rv>
  <rv s="0">
    <fb>62.329500000000003</fb>
    <v>0</v>
  </rv>
  <rv s="0">
    <fb>62.281500000000001</fb>
    <v>0</v>
  </rv>
  <rv s="0">
    <fb>61.917999999999999</fb>
    <v>0</v>
  </rv>
  <rv s="0">
    <fb>62.110100000000003</fb>
    <v>0</v>
  </rv>
  <rv s="0">
    <fb>62.324800000000003</fb>
    <v>0</v>
  </rv>
  <rv s="0">
    <fb>59.189900000000002</fb>
    <v>0</v>
  </rv>
  <rv s="0">
    <fb>60.821800000000003</fb>
    <v>0</v>
  </rv>
  <rv s="0">
    <fb>62.330300000000001</fb>
    <v>0</v>
  </rv>
  <rv s="0">
    <fb>63.293999999999997</fb>
    <v>0</v>
  </rv>
  <rv s="0">
    <fb>63.044499999999999</fb>
    <v>0</v>
  </rv>
  <rv s="0">
    <fb>63.026299999999999</fb>
    <v>0</v>
  </rv>
  <rv s="0">
    <fb>63.471699999999998</fb>
    <v>0</v>
  </rv>
  <rv s="0">
    <fb>63.420200000000001</fb>
    <v>0</v>
  </rv>
  <rv s="0">
    <fb>63.216900000000003</fb>
    <v>0</v>
  </rv>
  <rv s="0">
    <fb>64.060199999999995</fb>
    <v>0</v>
  </rv>
  <rv s="0">
    <fb>64.368399999999994</fb>
    <v>0</v>
  </rv>
  <rv s="0">
    <fb>63.709000000000003</fb>
    <v>0</v>
  </rv>
  <rv s="0">
    <fb>63.490200000000002</fb>
    <v>0</v>
  </rv>
  <rv s="0">
    <fb>63.0837</fb>
    <v>0</v>
  </rv>
  <rv s="0">
    <fb>63.671399999999998</fb>
    <v>0</v>
  </rv>
  <rv s="0">
    <fb>63.450200000000002</fb>
    <v>0</v>
  </rv>
  <rv s="0">
    <fb>63.895000000000003</fb>
    <v>0</v>
  </rv>
  <rv s="0">
    <fb>63.878999999999998</fb>
    <v>0</v>
  </rv>
  <rv s="0">
    <fb>63.992600000000003</fb>
    <v>0</v>
  </rv>
  <rv s="0">
    <fb>64.31</fb>
    <v>0</v>
  </rv>
  <rv s="0">
    <fb>64.365700000000004</fb>
    <v>0</v>
  </rv>
  <rv s="0">
    <fb>64.140299999999996</fb>
    <v>0</v>
  </rv>
  <rv s="0">
    <fb>63.9574</fb>
    <v>0</v>
  </rv>
  <rv s="0">
    <fb>64.502499999999998</fb>
    <v>0</v>
  </rv>
  <rv s="0">
    <fb>64.6434</fb>
    <v>0</v>
  </rv>
  <rv s="0">
    <fb>65.211699999999993</fb>
    <v>0</v>
  </rv>
  <rv s="0">
    <fb>65.11</fb>
    <v>0</v>
  </rv>
  <rv s="0">
    <fb>65.069199999999995</fb>
    <v>0</v>
  </rv>
  <rv s="0">
    <fb>64.649299999999997</fb>
    <v>0</v>
  </rv>
  <rv s="0">
    <fb>65.244100000000003</fb>
    <v>0</v>
  </rv>
  <rv s="0">
    <fb>65.119500000000002</fb>
    <v>0</v>
  </rv>
  <rv s="0">
    <fb>64.643100000000004</fb>
    <v>0</v>
  </rv>
  <rv s="0">
    <fb>64.285399999999996</fb>
    <v>0</v>
  </rv>
  <rv s="0">
    <fb>64.420599999999993</fb>
    <v>0</v>
  </rv>
  <rv s="0">
    <fb>64.599500000000006</fb>
    <v>0</v>
  </rv>
  <rv s="0">
    <fb>64.893799999999999</fb>
    <v>0</v>
  </rv>
  <rv s="0">
    <fb>65.360600000000005</fb>
    <v>0</v>
  </rv>
  <rv s="0">
    <fb>65.301299999999998</fb>
    <v>0</v>
  </rv>
  <rv s="0">
    <fb>64.991500000000002</fb>
    <v>0</v>
  </rv>
  <rv s="0">
    <fb>64.504900000000006</fb>
    <v>0</v>
  </rv>
  <rv s="0">
    <fb>63.641500000000001</fb>
    <v>0</v>
  </rv>
  <rv s="0">
    <fb>64.019800000000004</fb>
    <v>0</v>
  </rv>
  <rv s="0">
    <fb>64.359700000000004</fb>
    <v>0</v>
  </rv>
  <rv s="0">
    <fb>64.460300000000004</fb>
    <v>0</v>
  </rv>
  <rv s="0">
    <fb>64.633300000000006</fb>
    <v>0</v>
  </rv>
  <rv s="0">
    <fb>64.7774</fb>
    <v>0</v>
  </rv>
  <rv s="0">
    <fb>64.320800000000006</fb>
    <v>0</v>
  </rv>
  <rv s="0">
    <fb>64.430300000000003</fb>
    <v>0</v>
  </rv>
  <rv s="0">
    <fb>64.305099999999996</fb>
    <v>0</v>
  </rv>
  <rv s="0">
    <fb>63.891100000000002</fb>
    <v>0</v>
  </rv>
  <rv s="0">
    <fb>63.706499999999998</fb>
    <v>0</v>
  </rv>
  <rv s="0">
    <fb>63.576300000000003</fb>
    <v>0</v>
  </rv>
  <rv s="0">
    <fb>64.232699999999994</fb>
    <v>0</v>
  </rv>
  <rv s="0">
    <fb>64.165300000000002</fb>
    <v>0</v>
  </rv>
  <rv s="0">
    <fb>64.302000000000007</fb>
    <v>0</v>
  </rv>
  <rv s="0">
    <fb>64.451999999999998</fb>
    <v>0</v>
  </rv>
  <rv s="0">
    <fb>64.674700000000001</fb>
    <v>0</v>
  </rv>
  <rv s="0">
    <fb>64.507499999999993</fb>
    <v>0</v>
  </rv>
  <rv s="0">
    <fb>64.729500000000002</fb>
    <v>0</v>
  </rv>
  <rv s="0">
    <fb>64.490799999999993</fb>
    <v>0</v>
  </rv>
  <rv s="0">
    <fb>65.248500000000007</fb>
    <v>0</v>
  </rv>
  <rv s="0">
    <fb>65.138300000000001</fb>
    <v>0</v>
  </rv>
  <rv s="0">
    <fb>65.484999999999999</fb>
    <v>0</v>
  </rv>
  <rv s="0">
    <fb>65.953000000000003</fb>
    <v>0</v>
  </rv>
  <rv s="0">
    <fb>65.839600000000004</fb>
    <v>0</v>
  </rv>
  <rv s="0">
    <fb>66.0441</fb>
    <v>0</v>
  </rv>
  <rv s="0">
    <fb>66.134299999999996</fb>
    <v>0</v>
  </rv>
  <rv s="0">
    <fb>65.474199999999996</fb>
    <v>0</v>
  </rv>
  <rv s="0">
    <fb>65.304000000000002</fb>
    <v>0</v>
  </rv>
  <rv s="0">
    <fb>65.378200000000007</fb>
    <v>0</v>
  </rv>
  <rv s="0">
    <fb>65.3476</fb>
    <v>0</v>
  </rv>
  <rv s="0">
    <fb>65.168599999999998</fb>
    <v>0</v>
  </rv>
  <rv s="0">
    <fb>64.729799999999997</fb>
    <v>0</v>
  </rv>
  <rv s="0">
    <fb>64.886300000000006</fb>
    <v>0</v>
  </rv>
  <rv s="0">
    <fb>65.159300000000002</fb>
    <v>0</v>
  </rv>
  <rv s="0">
    <fb>65.522800000000004</fb>
    <v>0</v>
  </rv>
  <rv s="0">
    <fb>65.270099999999999</fb>
    <v>0</v>
  </rv>
  <rv s="0">
    <fb>65.364400000000003</fb>
    <v>0</v>
  </rv>
  <rv s="0">
    <fb>65.131100000000004</fb>
    <v>0</v>
  </rv>
  <rv s="0">
    <fb>65.204499999999996</fb>
    <v>0</v>
  </rv>
  <rv s="0">
    <fb>64.852699999999999</fb>
    <v>0</v>
  </rv>
  <rv s="0">
    <fb>64.173000000000002</fb>
    <v>0</v>
  </rv>
  <rv s="0">
    <fb>64.507199999999997</fb>
    <v>0</v>
  </rv>
  <rv s="0">
    <fb>64.194100000000006</fb>
    <v>0</v>
  </rv>
  <rv s="0">
    <fb>64.433700000000002</fb>
    <v>0</v>
  </rv>
  <rv s="0">
    <fb>64.201300000000003</fb>
    <v>0</v>
  </rv>
  <rv s="0">
    <fb>64.258399999999995</fb>
    <v>0</v>
  </rv>
  <rv s="0">
    <fb>64.486400000000003</fb>
    <v>0</v>
  </rv>
  <rv s="0">
    <fb>64.475399999999993</fb>
    <v>0</v>
  </rv>
  <rv s="0">
    <fb>65.200100000000006</fb>
    <v>0</v>
  </rv>
  <rv s="0">
    <fb>65.079700000000003</fb>
    <v>0</v>
  </rv>
  <rv s="0">
    <fb>64.840500000000006</fb>
    <v>0</v>
  </rv>
  <rv s="0">
    <fb>64.806799999999996</fb>
    <v>0</v>
  </rv>
  <rv s="0">
    <fb>64.721000000000004</fb>
    <v>0</v>
  </rv>
  <rv s="0">
    <fb>64.205600000000004</fb>
    <v>0</v>
  </rv>
  <rv s="0">
    <fb>64.408299999999997</fb>
    <v>0</v>
  </rv>
  <rv s="0">
    <fb>64.134900000000002</fb>
    <v>0</v>
  </rv>
  <rv s="0">
    <fb>64.317499999999995</fb>
    <v>0</v>
  </rv>
  <rv s="0">
    <fb>64.716999999999999</fb>
    <v>0</v>
  </rv>
  <rv s="0">
    <fb>64.658500000000004</fb>
    <v>0</v>
  </rv>
  <rv s="0">
    <fb>64.785399999999996</fb>
    <v>0</v>
  </rv>
  <rv s="0">
    <fb>64.639600000000002</fb>
    <v>0</v>
  </rv>
  <rv s="0">
    <fb>64.716399999999993</fb>
    <v>0</v>
  </rv>
  <rv s="0">
    <fb>64.290499999999994</fb>
    <v>0</v>
  </rv>
  <rv s="0">
    <fb>99.38</fb>
    <v>0</v>
  </rv>
  <rv s="0">
    <fb>99.5017</fb>
    <v>0</v>
  </rv>
  <rv s="0">
    <fb>98.640299999999996</fb>
    <v>0</v>
  </rv>
  <rv s="0">
    <fb>98.898700000000005</fb>
    <v>0</v>
  </rv>
  <rv s="0">
    <fb>98.811199999999999</fb>
    <v>0</v>
  </rv>
  <rv s="0">
    <fb>98.602400000000003</fb>
    <v>0</v>
  </rv>
  <rv s="0">
    <fb>98.803399999999996</fb>
    <v>0</v>
  </rv>
  <rv s="0">
    <fb>98.450900000000004</fb>
    <v>0</v>
  </rv>
  <rv s="0">
    <fb>97.860799999999998</fb>
    <v>0</v>
  </rv>
  <rv s="0">
    <fb>97.293599999999998</fb>
    <v>0</v>
  </rv>
  <rv s="0">
    <fb>97.728700000000003</fb>
    <v>0</v>
  </rv>
  <rv s="0">
    <fb>98.174400000000006</fb>
    <v>0</v>
  </rv>
  <rv s="0">
    <fb>97.459400000000002</fb>
    <v>0</v>
  </rv>
  <rv s="0">
    <fb>96.870999999999995</fb>
    <v>0</v>
  </rv>
  <rv s="0">
    <fb>96.738200000000006</fb>
    <v>0</v>
  </rv>
  <rv s="0">
    <fb>97.312799999999996</fb>
    <v>0</v>
  </rv>
  <rv s="0">
    <fb>98</fb>
    <v>0</v>
  </rv>
  <rv s="0">
    <fb>97.92</fb>
    <v>0</v>
  </rv>
  <rv s="0">
    <fb>97.841999999999999</fb>
    <v>0</v>
  </rv>
  <rv s="0">
    <fb>98.209800000000001</fb>
    <v>0</v>
  </rv>
  <rv s="0">
    <fb>97.857699999999994</fb>
    <v>0</v>
  </rv>
  <rv s="0">
    <fb>97.627600000000001</fb>
    <v>0</v>
  </rv>
  <rv s="0">
    <fb>97.496300000000005</fb>
    <v>0</v>
  </rv>
  <rv s="0">
    <fb>98.119900000000001</fb>
    <v>0</v>
  </rv>
  <rv s="0">
    <fb>98.535600000000002</fb>
    <v>0</v>
  </rv>
  <rv s="0">
    <fb>98.127899999999997</fb>
    <v>0</v>
  </rv>
  <rv s="0">
    <fb>97.424099999999996</fb>
    <v>0</v>
  </rv>
  <rv s="0">
    <fb>97.2209</fb>
    <v>0</v>
  </rv>
  <rv s="0">
    <fb>97.230699999999999</fb>
    <v>0</v>
  </rv>
  <rv s="0">
    <fb>98.686999999999998</fb>
    <v>0</v>
  </rv>
  <rv s="0">
    <fb>98.25</fb>
    <v>0</v>
  </rv>
  <rv s="0">
    <fb>98.202299999999994</fb>
    <v>0</v>
  </rv>
  <rv s="0">
    <fb>99.529899999999998</fb>
    <v>0</v>
  </rv>
  <rv s="0">
    <fb>99.347099999999998</fb>
    <v>0</v>
  </rv>
  <rv s="0">
    <fb>98.77</fb>
    <v>0</v>
  </rv>
  <rv s="0">
    <fb>98.343500000000006</fb>
    <v>0</v>
  </rv>
  <rv s="0">
    <fb>99.08</fb>
    <v>0</v>
  </rv>
  <rv s="0">
    <fb>99.98</fb>
    <v>0</v>
  </rv>
  <rv s="0">
    <fb>100.99</fb>
    <v>0</v>
  </rv>
  <rv s="0">
    <fb>100.6846</fb>
    <v>0</v>
  </rv>
  <rv s="0">
    <fb>100.36</fb>
    <v>0</v>
  </rv>
  <rv s="0">
    <fb>101.36</fb>
    <v>0</v>
  </rv>
  <rv s="0">
    <fb>101.15</fb>
    <v>0</v>
  </rv>
  <rv s="0">
    <fb>100.71</fb>
    <v>0</v>
  </rv>
  <rv s="0">
    <fb>103.3</fb>
    <v>0</v>
  </rv>
  <rv s="0">
    <fb>103.05</fb>
    <v>0</v>
  </rv>
  <rv s="0">
    <fb>103.56</fb>
    <v>0</v>
  </rv>
  <rv s="0">
    <fb>107.66</fb>
    <v>0</v>
  </rv>
  <rv s="0">
    <fb>109.08</fb>
    <v>0</v>
  </rv>
  <rv s="0">
    <fb>109.88</fb>
    <v>0</v>
  </rv>
  <rv s="0">
    <fb>107.31</fb>
    <v>0</v>
  </rv>
  <rv s="0">
    <fb>107.71</fb>
    <v>0</v>
  </rv>
  <rv s="0">
    <fb>106.8</fb>
    <v>0</v>
  </rv>
  <rv s="0">
    <fb>104.93559999999999</fb>
    <v>0</v>
  </rv>
  <rv s="0">
    <fb>106.17</fb>
    <v>0</v>
  </rv>
  <rv s="0">
    <fb>107.7444</fb>
    <v>0</v>
  </rv>
  <rv s="0">
    <fb>107.82</fb>
    <v>0</v>
  </rv>
  <rv s="0">
    <fb>107.97499999999999</fb>
    <v>0</v>
  </rv>
  <rv s="0">
    <fb>109.37</fb>
    <v>0</v>
  </rv>
  <rv s="0">
    <fb>108.92</fb>
    <v>0</v>
  </rv>
  <rv s="0">
    <fb>109.26</fb>
    <v>0</v>
  </rv>
  <rv s="0">
    <fb>110.82</fb>
    <v>0</v>
  </rv>
  <rv s="0">
    <fb>110.87</fb>
    <v>0</v>
  </rv>
  <rv s="0">
    <fb>111.8</fb>
    <v>0</v>
  </rv>
  <rv s="0">
    <fb>111.94</fb>
    <v>0</v>
  </rv>
  <rv s="0">
    <fb>112.08</fb>
    <v>0</v>
  </rv>
  <rv s="0">
    <fb>111.09</fb>
    <v>0</v>
  </rv>
  <rv s="0">
    <fb>111.57</fb>
    <v>0</v>
  </rv>
  <rv s="0">
    <fb>111.26</fb>
    <v>0</v>
  </rv>
  <rv s="0">
    <fb>111.25</fb>
    <v>0</v>
  </rv>
  <rv s="0">
    <fb>110.2</fb>
    <v>0</v>
  </rv>
  <rv s="0">
    <fb>110.54</fb>
    <v>0</v>
  </rv>
  <rv s="0">
    <fb>111.04</fb>
    <v>0</v>
  </rv>
  <rv s="0">
    <fb>111.51</fb>
    <v>0</v>
  </rv>
  <rv s="0">
    <fb>111.46</fb>
    <v>0</v>
  </rv>
  <rv s="0">
    <fb>110.3</fb>
    <v>0</v>
  </rv>
  <rv s="0">
    <fb>108.84</fb>
    <v>0</v>
  </rv>
  <rv s="0">
    <fb>109.06</fb>
    <v>0</v>
  </rv>
  <rv s="0">
    <fb>110.05</fb>
    <v>0</v>
  </rv>
  <rv s="0">
    <fb>109.66</fb>
    <v>0</v>
  </rv>
  <rv s="0">
    <fb>109.89</fb>
    <v>0</v>
  </rv>
  <rv s="0">
    <fb>109.68170000000001</fb>
    <v>0</v>
  </rv>
  <rv s="0">
    <fb>109.65600000000001</fb>
    <v>0</v>
  </rv>
  <rv s="0">
    <fb>109.45</fb>
    <v>0</v>
  </rv>
  <rv s="0">
    <fb>109.77</fb>
    <v>0</v>
  </rv>
  <rv s="0">
    <fb>110.46</fb>
    <v>0</v>
  </rv>
  <rv s="0">
    <fb>110.06</fb>
    <v>0</v>
  </rv>
  <rv s="0">
    <fb>110.16</fb>
    <v>0</v>
  </rv>
  <rv s="0">
    <fb>109.93</fb>
    <v>0</v>
  </rv>
  <rv s="0">
    <fb>110.94</fb>
    <v>0</v>
  </rv>
  <rv s="0">
    <fb>111.08499999999999</fb>
    <v>0</v>
  </rv>
  <rv s="0">
    <fb>110.84</fb>
    <v>0</v>
  </rv>
  <rv s="0">
    <fb>111.30500000000001</fb>
    <v>0</v>
  </rv>
  <rv s="0">
    <fb>111.28</fb>
    <v>0</v>
  </rv>
  <rv s="0">
    <fb>112.68980000000001</fb>
    <v>0</v>
  </rv>
  <rv s="0">
    <fb>112.36</fb>
    <v>0</v>
  </rv>
  <rv s="0">
    <fb>111.68</fb>
    <v>0</v>
  </rv>
  <rv s="0">
    <fb>111.38</fb>
    <v>0</v>
  </rv>
  <rv s="0">
    <fb>111.23</fb>
    <v>0</v>
  </rv>
  <rv s="0">
    <fb>110.97</fb>
    <v>0</v>
  </rv>
  <rv s="0">
    <fb>110.4294</fb>
    <v>0</v>
  </rv>
  <rv s="0">
    <fb>110.51</fb>
    <v>0</v>
  </rv>
  <rv s="0">
    <fb>110.07</fb>
    <v>0</v>
  </rv>
  <rv s="0">
    <fb>110.55670000000001</fb>
    <v>0</v>
  </rv>
  <rv s="0">
    <fb>111.63</fb>
    <v>0</v>
  </rv>
  <rv s="0">
    <fb>111.72499999999999</fb>
    <v>0</v>
  </rv>
  <rv s="0">
    <fb>111.755</fb>
    <v>0</v>
  </rv>
  <rv s="0">
    <fb>111.1909</fb>
    <v>0</v>
  </rv>
  <rv s="0">
    <fb>111.1596</fb>
    <v>0</v>
  </rv>
  <rv s="0">
    <fb>111.58</fb>
    <v>0</v>
  </rv>
  <rv s="0">
    <fb>109.16</fb>
    <v>0</v>
  </rv>
  <rv s="0">
    <fb>109.19</fb>
    <v>0</v>
  </rv>
  <rv s="0">
    <fb>109.74</fb>
    <v>0</v>
  </rv>
  <rv s="0">
    <fb>109.9778</fb>
    <v>0</v>
  </rv>
  <rv s="0">
    <fb>110.53</fb>
    <v>0</v>
  </rv>
  <rv s="0">
    <fb>111.45</fb>
    <v>0</v>
  </rv>
  <rv s="0">
    <fb>68.33</fb>
    <v>0</v>
  </rv>
  <rv s="0">
    <fb>68.09</fb>
    <v>0</v>
  </rv>
  <rv s="0">
    <fb>68.072199999999995</fb>
    <v>0</v>
  </rv>
  <rv s="0">
    <fb>68.034999999999997</fb>
    <v>0</v>
  </rv>
  <rv s="0">
    <fb>68.149299999999997</fb>
    <v>0</v>
  </rv>
  <rv s="0">
    <fb>67.944999999999993</fb>
    <v>0</v>
  </rv>
  <rv s="0">
    <fb>67.879099999999994</fb>
    <v>0</v>
  </rv>
  <rv s="0">
    <fb>67.889799999999994</fb>
    <v>0</v>
  </rv>
  <rv s="0">
    <fb>67.939899999999994</fb>
    <v>0</v>
  </rv>
  <rv s="0">
    <fb>68.004599999999996</fb>
    <v>0</v>
  </rv>
  <rv s="0">
    <fb>68.144800000000004</fb>
    <v>0</v>
  </rv>
  <rv s="0">
    <fb>67.319999999999993</fb>
    <v>0</v>
  </rv>
  <rv s="0">
    <fb>67.12</fb>
    <v>0</v>
  </rv>
  <rv s="0">
    <fb>68.287499999999994</fb>
    <v>0</v>
  </rv>
  <rv s="0">
    <fb>68.344999999999999</fb>
    <v>0</v>
  </rv>
  <rv s="0">
    <fb>68.34</fb>
    <v>0</v>
  </rv>
  <rv s="0">
    <fb>68.430800000000005</fb>
    <v>0</v>
  </rv>
  <rv s="0">
    <fb>68.94</fb>
    <v>0</v>
  </rv>
  <rv s="0">
    <fb>68.178799999999995</fb>
    <v>0</v>
  </rv>
  <rv s="0">
    <fb>67.334999999999994</fb>
    <v>0</v>
  </rv>
  <rv s="0">
    <fb>67.504999999999995</fb>
    <v>0</v>
  </rv>
  <rv s="0">
    <fb>68.325000000000003</fb>
    <v>0</v>
  </rv>
  <rv s="0">
    <fb>68.025899999999993</fb>
    <v>0</v>
  </rv>
  <rv s="0">
    <fb>67.689499999999995</fb>
    <v>0</v>
  </rv>
  <rv s="0">
    <fb>67.848399999999998</fb>
    <v>0</v>
  </rv>
  <rv s="0">
    <fb>68.003</fb>
    <v>0</v>
  </rv>
  <rv s="0">
    <fb>67.752300000000005</fb>
    <v>0</v>
  </rv>
  <rv s="0">
    <fb>68.063199999999995</fb>
    <v>0</v>
  </rv>
  <rv s="0">
    <fb>68.440100000000001</fb>
    <v>0</v>
  </rv>
  <rv s="0">
    <fb>68.249899999999997</fb>
    <v>0</v>
  </rv>
  <rv s="0">
    <fb>69.936400000000006</fb>
    <v>0</v>
  </rv>
  <rv s="0">
    <fb>69.999600000000001</fb>
    <v>0</v>
  </rv>
  <rv s="0">
    <fb>70.72</fb>
    <v>0</v>
  </rv>
  <rv s="0">
    <fb>69.885000000000005</fb>
    <v>0</v>
  </rv>
  <rv s="0">
    <fb>71.232299999999995</fb>
    <v>0</v>
  </rv>
  <rv s="0">
    <fb>70.680000000000007</fb>
    <v>0</v>
  </rv>
  <rv s="0">
    <fb>71.48</fb>
    <v>0</v>
  </rv>
  <rv s="0">
    <fb>71.87</fb>
    <v>0</v>
  </rv>
  <rv s="0">
    <fb>72.03</fb>
    <v>0</v>
  </rv>
  <rv s="0">
    <fb>71.11</fb>
    <v>0</v>
  </rv>
  <rv s="0">
    <fb>71.23</fb>
    <v>0</v>
  </rv>
  <rv s="0">
    <fb>71.2</fb>
    <v>0</v>
  </rv>
  <rv s="0">
    <fb>71.849999999999994</fb>
    <v>0</v>
  </rv>
  <rv s="0">
    <fb>70.7</fb>
    <v>0</v>
  </rv>
  <rv s="0">
    <fb>70.894999999999996</fb>
    <v>0</v>
  </rv>
  <rv s="0">
    <fb>70.999700000000004</fb>
    <v>0</v>
  </rv>
  <rv s="0">
    <fb>70.749700000000004</fb>
    <v>0</v>
  </rv>
  <rv s="0">
    <fb>70.661199999999994</fb>
    <v>0</v>
  </rv>
  <rv s="0">
    <fb>70.86</fb>
    <v>0</v>
  </rv>
  <rv s="0">
    <fb>71.066900000000004</fb>
    <v>0</v>
  </rv>
  <rv s="0">
    <fb>71.177400000000006</fb>
    <v>0</v>
  </rv>
  <rv s="0">
    <fb>70.87</fb>
    <v>0</v>
  </rv>
  <rv s="0">
    <fb>70.519499999999994</fb>
    <v>0</v>
  </rv>
  <rv s="0">
    <fb>70.646000000000001</fb>
    <v>0</v>
  </rv>
  <rv s="0">
    <fb>70.581500000000005</fb>
    <v>0</v>
  </rv>
  <rv s="0">
    <fb>71.070800000000006</fb>
    <v>0</v>
  </rv>
  <rv s="0">
    <fb>70.962500000000006</fb>
    <v>0</v>
  </rv>
  <rv s="0">
    <fb>70.844999999999999</fb>
    <v>0</v>
  </rv>
  <rv s="0">
    <fb>70.898600000000002</fb>
    <v>0</v>
  </rv>
  <rv s="0">
    <fb>70.344099999999997</fb>
    <v>0</v>
  </rv>
  <rv s="0">
    <fb>70.223200000000006</fb>
    <v>0</v>
  </rv>
  <rv s="0">
    <fb>70.103700000000003</fb>
    <v>0</v>
  </rv>
  <rv s="0">
    <fb>70.025800000000004</fb>
    <v>0</v>
  </rv>
  <rv s="0">
    <fb>69.670199999999994</fb>
    <v>0</v>
  </rv>
  <rv s="0">
    <fb>69.801900000000003</fb>
    <v>0</v>
  </rv>
  <rv s="0">
    <fb>69.583200000000005</fb>
    <v>0</v>
  </rv>
  <rv s="0">
    <fb>69.564700000000002</fb>
    <v>0</v>
  </rv>
  <rv s="0">
    <fb>69.768000000000001</fb>
    <v>0</v>
  </rv>
  <rv s="0">
    <fb>69.7209</fb>
    <v>0</v>
  </rv>
  <rv s="0">
    <fb>69.811999999999998</fb>
    <v>0</v>
  </rv>
  <rv s="0">
    <fb>69.314999999999998</fb>
    <v>0</v>
  </rv>
  <rv s="0">
    <fb>69.265000000000001</fb>
    <v>0</v>
  </rv>
  <rv s="0">
    <fb>69.647000000000006</fb>
    <v>0</v>
  </rv>
  <rv s="0">
    <fb>69.709299999999999</fb>
    <v>0</v>
  </rv>
  <rv s="0">
    <fb>69.733800000000002</fb>
    <v>0</v>
  </rv>
  <rv s="0">
    <fb>69.784199999999998</fb>
    <v>0</v>
  </rv>
  <rv s="0">
    <fb>69.653400000000005</fb>
    <v>0</v>
  </rv>
  <rv s="0">
    <fb>69.539599999999993</fb>
    <v>0</v>
  </rv>
  <rv s="0">
    <fb>55.37</fb>
    <v>0</v>
  </rv>
  <rv s="0">
    <fb>47.7</fb>
    <v>0</v>
  </rv>
  <rv s="0">
    <fb>53.88</fb>
    <v>0</v>
  </rv>
  <rv s="0">
    <fb>54.68</fb>
    <v>0</v>
  </rv>
  <rv s="0">
    <fb>57.88</fb>
    <v>0</v>
  </rv>
  <rv s="0">
    <fb>60.7</fb>
    <v>0</v>
  </rv>
  <rv s="0">
    <fb>61.274999999999999</fb>
    <v>0</v>
  </rv>
  <rv s="0">
    <fb>66.83</fb>
    <v>0</v>
  </rv>
  <rv s="0">
    <fb>67.03</fb>
    <v>0</v>
  </rv>
  <rv s="0">
    <fb>69.13</fb>
    <v>0</v>
  </rv>
  <rv s="0">
    <fb>65.81</fb>
    <v>0</v>
  </rv>
  <rv s="0">
    <fb>55.59</fb>
    <v>0</v>
  </rv>
  <rv s="0">
    <fb>53.475000000000001</fb>
    <v>0</v>
  </rv>
  <rv s="0">
    <fb>25.29</fb>
    <v>0</v>
  </rv>
  <rv s="0">
    <fb>20.715</fb>
    <v>0</v>
  </rv>
  <rv s="0">
    <fb>20.61</fb>
    <v>0</v>
  </rv>
  <rv s="0">
    <fb>20.350000000000001</fb>
    <v>0</v>
  </rv>
  <rv s="0">
    <fb>20.29</fb>
    <v>0</v>
  </rv>
  <rv s="0">
    <fb>16.79</fb>
    <v>0</v>
  </rv>
  <rv s="0">
    <fb>13.98</fb>
    <v>0</v>
  </rv>
  <rv s="0">
    <fb>14.69</fb>
    <v>0</v>
  </rv>
  <rv s="0">
    <fb>15.38</fb>
    <v>0</v>
  </rv>
  <rv s="0">
    <fb>14.16</fb>
    <v>0</v>
  </rv>
  <rv s="0">
    <fb>13.51</fb>
    <v>0</v>
  </rv>
  <rv s="0">
    <fb>13.7</fb>
    <v>0</v>
  </rv>
  <rv s="0">
    <fb>11.63</fb>
    <v>0</v>
  </rv>
  <rv s="0">
    <fb>11.07</fb>
    <v>0</v>
  </rv>
  <rv s="0">
    <fb>11.43</fb>
    <v>0</v>
  </rv>
  <rv s="0">
    <fb>11.85</fb>
    <v>0</v>
  </rv>
  <rv s="0">
    <fb>12.01</fb>
    <v>0</v>
  </rv>
  <rv s="0">
    <fb>11.98</fb>
    <v>0</v>
  </rv>
  <rv s="0">
    <fb>11.92</fb>
    <v>0</v>
  </rv>
  <rv s="0">
    <fb>13.55</fb>
    <v>0</v>
  </rv>
  <rv s="0">
    <fb>17.68</fb>
    <v>0</v>
  </rv>
  <rv s="0">
    <fb>20.38</fb>
    <v>0</v>
  </rv>
  <rv s="0">
    <fb>19.14</fb>
    <v>0</v>
  </rv>
  <rv s="0">
    <fb>18.45</fb>
    <v>0</v>
  </rv>
  <rv s="0">
    <fb>32.25</fb>
    <v>0</v>
  </rv>
  <rv s="0">
    <fb>32.82</fb>
    <v>0</v>
  </rv>
  <rv s="0">
    <fb>32.475000000000001</fb>
    <v>0</v>
  </rv>
  <rv s="0">
    <fb>34.01</fb>
    <v>0</v>
  </rv>
  <rv s="0">
    <fb>32.18</fb>
    <v>0</v>
  </rv>
  <rv s="0">
    <fb>30.14</fb>
    <v>0</v>
  </rv>
  <rv s="0">
    <fb>30.28</fb>
    <v>0</v>
  </rv>
  <rv s="0">
    <fb>90.42</fb>
    <v>0</v>
  </rv>
  <rv s="0">
    <fb>87.5</fb>
    <v>0</v>
  </rv>
  <rv s="0">
    <fb>85.92</fb>
    <v>0</v>
  </rv>
  <rv s="0">
    <fb>86.76</fb>
    <v>0</v>
  </rv>
  <rv s="0">
    <fb>87.22</fb>
    <v>0</v>
  </rv>
  <rv s="0">
    <fb>88.34</fb>
    <v>0</v>
  </rv>
  <rv s="0">
    <fb>88.21</fb>
    <v>0</v>
  </rv>
  <rv s="0">
    <fb>88.54</fb>
    <v>0</v>
  </rv>
  <rv s="0">
    <fb>91.49</fb>
    <v>0</v>
  </rv>
  <rv s="0">
    <fb>91.85</fb>
    <v>0</v>
  </rv>
  <rv s="0">
    <fb>88.87</fb>
    <v>0</v>
  </rv>
  <rv s="0">
    <fb>89.47</fb>
    <v>0</v>
  </rv>
  <rv s="0">
    <fb>86.07</fb>
    <v>0</v>
  </rv>
  <rv s="0">
    <fb>86.05</fb>
    <v>0</v>
  </rv>
  <rv s="0">
    <fb>85.01</fb>
    <v>0</v>
  </rv>
  <rv s="0">
    <fb>86.45</fb>
    <v>0</v>
  </rv>
  <rv s="0">
    <fb>87.17</fb>
    <v>0</v>
  </rv>
  <rv s="0">
    <fb>86.5</fb>
    <v>0</v>
  </rv>
  <rv s="0">
    <fb>85.13</fb>
    <v>0</v>
  </rv>
  <rv s="0">
    <fb>85.11</fb>
    <v>0</v>
  </rv>
  <rv s="0">
    <fb>86.43</fb>
    <v>0</v>
  </rv>
  <rv s="0">
    <fb>86.87</fb>
    <v>0</v>
  </rv>
  <rv s="0">
    <fb>86.41</fb>
    <v>0</v>
  </rv>
  <rv s="0">
    <fb>85.63</fb>
    <v>0</v>
  </rv>
  <rv s="0">
    <fb>89.95</fb>
    <v>0</v>
  </rv>
  <rv s="0">
    <fb>88.7</fb>
    <v>0</v>
  </rv>
  <rv s="0">
    <fb>89.37</fb>
    <v>0</v>
  </rv>
  <rv s="0">
    <fb>89.29</fb>
    <v>0</v>
  </rv>
  <rv s="0">
    <fb>89.55</fb>
    <v>0</v>
  </rv>
  <rv s="0">
    <fb>90.86</fb>
    <v>0</v>
  </rv>
  <rv s="0">
    <fb>91.09</fb>
    <v>0</v>
  </rv>
  <rv s="0">
    <fb>88.96</fb>
    <v>0</v>
  </rv>
  <rv s="0">
    <fb>72.760000000000005</fb>
    <v>0</v>
  </rv>
  <rv s="0">
    <fb>71.790000000000006</fb>
    <v>0</v>
  </rv>
  <rv s="0">
    <fb>72.64</fb>
    <v>0</v>
  </rv>
  <rv s="0">
    <fb>72.53</fb>
    <v>0</v>
  </rv>
  <rv s="0">
    <fb>72.260000000000005</fb>
    <v>0</v>
  </rv>
  <rv s="0">
    <fb>72.765000000000001</fb>
    <v>0</v>
  </rv>
  <rv s="0">
    <fb>72.680000000000007</fb>
    <v>0</v>
  </rv>
  <rv s="0">
    <fb>73.36</fb>
    <v>0</v>
  </rv>
  <rv s="0">
    <fb>72.599999999999994</fb>
    <v>0</v>
  </rv>
  <rv s="0">
    <fb>71.88</fb>
    <v>0</v>
  </rv>
  <rv s="0">
    <fb>72.204999999999998</fb>
    <v>0</v>
  </rv>
  <rv s="0">
    <fb>72.83</fb>
    <v>0</v>
  </rv>
  <rv s="0">
    <fb>72.88</fb>
    <v>0</v>
  </rv>
  <rv s="0">
    <fb>73.58</fb>
    <v>0</v>
  </rv>
  <rv s="0">
    <fb>73.47</fb>
    <v>0</v>
  </rv>
  <rv s="0">
    <fb>74.37</fb>
    <v>0</v>
  </rv>
  <rv s="0">
    <fb>74.5</fb>
    <v>0</v>
  </rv>
  <rv s="0">
    <fb>74.400000000000006</fb>
    <v>0</v>
  </rv>
  <rv s="0">
    <fb>74.44</fb>
    <v>0</v>
  </rv>
  <rv s="0">
    <fb>75.069999999999993</fb>
    <v>0</v>
  </rv>
  <rv s="0">
    <fb>75.099999999999994</fb>
    <v>0</v>
  </rv>
  <rv s="0">
    <fb>74.73</fb>
    <v>0</v>
  </rv>
  <rv s="0">
    <fb>74.58</fb>
    <v>0</v>
  </rv>
  <rv s="0">
    <fb>74.489999999999995</fb>
    <v>0</v>
  </rv>
  <rv s="0">
    <fb>81.81</fb>
    <v>0</v>
  </rv>
  <rv s="0">
    <fb>81.93</fb>
    <v>0</v>
  </rv>
  <rv s="0">
    <fb>82.08</fb>
    <v>0</v>
  </rv>
  <rv s="0">
    <fb>82.09</fb>
    <v>0</v>
  </rv>
  <rv s="0">
    <fb>82.14</fb>
    <v>0</v>
  </rv>
  <rv s="0">
    <fb>82.04</fb>
    <v>0</v>
  </rv>
  <rv s="0">
    <fb>81.97</fb>
    <v>0</v>
  </rv>
  <rv s="0">
    <fb>82.42</fb>
    <v>0</v>
  </rv>
  <rv s="0">
    <fb>82.51</fb>
    <v>0</v>
  </rv>
  <rv s="0">
    <fb>82.64</fb>
    <v>0</v>
  </rv>
  <rv s="0">
    <fb>82.72</fb>
    <v>0</v>
  </rv>
  <rv s="0">
    <fb>82.49</fb>
    <v>0</v>
  </rv>
  <rv s="0">
    <fb>82.55</fb>
    <v>0</v>
  </rv>
  <rv s="0">
    <fb>82.715000000000003</fb>
    <v>0</v>
  </rv>
  <rv s="0">
    <fb>82.375</fb>
    <v>0</v>
  </rv>
  <rv s="0">
    <fb>82.534999999999997</fb>
    <v>0</v>
  </rv>
  <rv s="0">
    <fb>82.74</fb>
    <v>0</v>
  </rv>
  <rv s="0">
    <fb>82.805000000000007</fb>
    <v>0</v>
  </rv>
  <rv s="0">
    <fb>82.98</fb>
    <v>0</v>
  </rv>
  <rv s="0">
    <fb>83.1</fb>
    <v>0</v>
  </rv>
  <rv s="0">
    <fb>83.084999999999994</fb>
    <v>0</v>
  </rv>
  <rv s="0">
    <fb>83.11</fb>
    <v>0</v>
  </rv>
  <rv s="0">
    <fb>82.935000000000002</fb>
    <v>0</v>
  </rv>
  <rv s="0">
    <fb>93.72</fb>
    <v>0</v>
  </rv>
  <rv s="0">
    <fb>92.32</fb>
    <v>0</v>
  </rv>
  <rv s="0">
    <fb>92.5</fb>
    <v>0</v>
  </rv>
  <rv s="0">
    <fb>92.35</fb>
    <v>0</v>
  </rv>
  <rv s="0">
    <fb>92.38</fb>
    <v>0</v>
  </rv>
  <rv s="0">
    <fb>93.08</fb>
    <v>0</v>
  </rv>
  <rv s="0">
    <fb>92.82</fb>
    <v>0</v>
  </rv>
  <rv s="0">
    <fb>93.16</fb>
    <v>0</v>
  </rv>
  <rv s="0">
    <fb>93.91</fb>
    <v>0</v>
  </rv>
  <rv s="0">
    <fb>95.05</fb>
    <v>0</v>
  </rv>
  <rv s="0">
    <fb>94.48</fb>
    <v>0</v>
  </rv>
  <rv s="0">
    <fb>94.47</fb>
    <v>0</v>
  </rv>
  <rv s="0">
    <fb>94.33</fb>
    <v>0</v>
  </rv>
  <rv s="0">
    <fb>95.37</fb>
    <v>0</v>
  </rv>
  <rv s="0">
    <fb>95.4</fb>
    <v>0</v>
  </rv>
  <rv s="0">
    <fb>96.29</fb>
    <v>0</v>
  </rv>
  <rv s="0">
    <fb>94.04</fb>
    <v>0</v>
  </rv>
  <rv s="0">
    <fb>94.95</fb>
    <v>0</v>
  </rv>
  <rv s="0">
    <fb>94.17</fb>
    <v>0</v>
  </rv>
  <rv s="0">
    <fb>95.21</fb>
    <v>0</v>
  </rv>
  <rv s="0">
    <fb>95.59</fb>
    <v>0</v>
  </rv>
  <rv s="0">
    <fb>94.53</fb>
    <v>0</v>
  </rv>
  <rv s="0">
    <fb>94.28</fb>
    <v>0</v>
  </rv>
  <rv s="0">
    <fb>93.68</fb>
    <v>0</v>
  </rv>
  <rv s="0">
    <fb>93.94</fb>
    <v>0</v>
  </rv>
  <rv s="0">
    <fb>93.92</fb>
    <v>0</v>
  </rv>
  <rv s="0">
    <fb>93.8</fb>
    <v>0</v>
  </rv>
  <rv s="0">
    <fb>93.84</fb>
    <v>0</v>
  </rv>
  <rv s="0">
    <fb>94.02</fb>
    <v>0</v>
  </rv>
  <rv s="0">
    <fb>94.46</fb>
    <v>0</v>
  </rv>
  <rv s="0">
    <fb>94.14</fb>
    <v>0</v>
  </rv>
  <rv s="0">
    <fb>94.52</fb>
    <v>0</v>
  </rv>
  <rv s="0">
    <fb>94.9</fb>
    <v>0</v>
  </rv>
  <rv s="0">
    <fb>95.68</fb>
    <v>0</v>
  </rv>
  <rv s="0">
    <fb>95.42</fb>
    <v>0</v>
  </rv>
  <rv s="0">
    <fb>95.52</fb>
    <v>0</v>
  </rv>
  <rv s="0">
    <fb>96.23</fb>
    <v>0</v>
  </rv>
  <rv s="0">
    <fb>96.78</fb>
    <v>0</v>
  </rv>
  <rv s="0">
    <fb>97.14</fb>
    <v>0</v>
  </rv>
  <rv s="0">
    <fb>96.49</fb>
    <v>0</v>
  </rv>
  <rv s="0">
    <fb>96.4</fb>
    <v>0</v>
  </rv>
  <rv s="0">
    <fb>97.55</fb>
    <v>0</v>
  </rv>
  <rv s="0">
    <fb>97.52</fb>
    <v>0</v>
  </rv>
  <rv s="0">
    <fb>97.49</fb>
    <v>0</v>
  </rv>
  <rv s="0">
    <fb>100.51</fb>
    <v>0</v>
  </rv>
  <rv s="0">
    <fb>100.25</fb>
    <v>0</v>
  </rv>
  <rv s="0">
    <fb>100.34</fb>
    <v>0</v>
  </rv>
  <rv s="0">
    <fb>100.37</fb>
    <v>0</v>
  </rv>
  <rv s="0">
    <fb>100.48</fb>
    <v>0</v>
  </rv>
  <rv s="0">
    <fb>100.68</fb>
    <v>0</v>
  </rv>
  <rv s="0">
    <fb>100.5</fb>
    <v>0</v>
  </rv>
  <rv s="0">
    <fb>100.52</fb>
    <v>0</v>
  </rv>
  <rv s="0">
    <fb>100.35</fb>
    <v>0</v>
  </rv>
  <rv s="0">
    <fb>100.62</fb>
    <v>0</v>
  </rv>
  <rv s="0">
    <fb>100.7</fb>
    <v>0</v>
  </rv>
  <rv s="0">
    <fb>116.2</fb>
    <v>0</v>
  </rv>
  <rv s="0">
    <fb>115.21</fb>
    <v>0</v>
  </rv>
  <rv s="0">
    <fb>115.34</fb>
    <v>0</v>
  </rv>
  <rv s="0">
    <fb>115.08</fb>
    <v>0</v>
  </rv>
  <rv s="0">
    <fb>115.2</fb>
    <v>0</v>
  </rv>
  <rv s="0">
    <fb>115.1</fb>
    <v>0</v>
  </rv>
  <rv s="0">
    <fb>115.54</fb>
    <v>0</v>
  </rv>
  <rv s="0">
    <fb>115.41</fb>
    <v>0</v>
  </rv>
  <rv s="0">
    <fb>115.29</fb>
    <v>0</v>
  </rv>
  <rv s="0">
    <fb>114.57</fb>
    <v>0</v>
  </rv>
  <rv s="0">
    <fb>115.65</fb>
    <v>0</v>
  </rv>
  <rv s="0">
    <fb>116.13</fb>
    <v>0</v>
  </rv>
  <rv s="0">
    <fb>116.03</fb>
    <v>0</v>
  </rv>
  <rv s="0">
    <fb>116.17</fb>
    <v>0</v>
  </rv>
  <rv s="0">
    <fb>115.89</fb>
    <v>0</v>
  </rv>
  <rv s="0">
    <fb>115.28</fb>
    <v>0</v>
  </rv>
  <rv s="0">
    <fb>116.04</fb>
    <v>0</v>
  </rv>
  <rv s="0">
    <fb>115.92</fb>
    <v>0</v>
  </rv>
  <rv s="0">
    <fb>116.46</fb>
    <v>0</v>
  </rv>
  <rv s="0">
    <fb>117.17</fb>
    <v>0</v>
  </rv>
  <rv s="0">
    <fb>117.72</fb>
    <v>0</v>
  </rv>
  <rv s="0">
    <fb>117.61</fb>
    <v>0</v>
  </rv>
  <rv s="0">
    <fb>117.18</fb>
    <v>0</v>
  </rv>
  <rv s="0">
    <fb>117.23</fb>
    <v>0</v>
  </rv>
  <rv s="0">
    <fb>117.15</fb>
    <v>0</v>
  </rv>
  <rv s="0">
    <fb>117.69</fb>
    <v>0</v>
  </rv>
  <rv s="0">
    <fb>117.47</fb>
    <v>0</v>
  </rv>
  <rv s="0">
    <fb>117.26</fb>
    <v>0</v>
  </rv>
  <rv s="0">
    <fb>117.54</fb>
    <v>0</v>
  </rv>
  <rv s="0">
    <fb>117.33</fb>
    <v>0</v>
  </rv>
  <rv s="0">
    <fb>117.6</fb>
    <v>0</v>
  </rv>
  <rv s="0">
    <fb>117.73</fb>
    <v>0</v>
  </rv>
  <rv s="0">
    <fb>117.76</fb>
    <v>0</v>
  </rv>
  <rv s="0">
    <fb>117.4</fb>
    <v>0</v>
  </rv>
  <rv s="0">
    <fb>118.13500000000001</fb>
    <v>0</v>
  </rv>
  <rv s="0">
    <fb>118.01</fb>
    <v>0</v>
  </rv>
  <rv s="0">
    <fb>117.87</fb>
    <v>0</v>
  </rv>
  <rv s="0">
    <fb>119.1</fb>
    <v>0</v>
  </rv>
  <rv s="0">
    <fb>118.31</fb>
    <v>0</v>
  </rv>
  <rv s="0">
    <fb>118.19</fb>
    <v>0</v>
  </rv>
  <rv s="0">
    <fb>117.68</fb>
    <v>0</v>
  </rv>
  <rv s="0">
    <fb>116.99</fb>
    <v>0</v>
  </rv>
  <rv s="0">
    <fb>117.66</fb>
    <v>0</v>
  </rv>
  <rv s="0">
    <fb>118.23</fb>
    <v>0</v>
  </rv>
  <rv s="0">
    <fb>118.14</fb>
    <v>0</v>
  </rv>
  <rv s="0">
    <fb>117.93</fb>
    <v>0</v>
  </rv>
  <rv s="0">
    <fb>117.82</fb>
    <v>0</v>
  </rv>
  <rv s="0">
    <fb>118.5</fb>
    <v>0</v>
  </rv>
  <rv s="0">
    <fb>118.85</fb>
    <v>0</v>
  </rv>
  <rv s="0">
    <fb>119.39</fb>
    <v>0</v>
  </rv>
  <rv s="0">
    <fb>118.62</fb>
    <v>0</v>
  </rv>
  <rv s="0">
    <fb>118.06</fb>
    <v>0</v>
  </rv>
  <rv s="0">
    <fb>118.32</fb>
    <v>0</v>
  </rv>
  <rv s="0">
    <fb>117.71</fb>
    <v>0</v>
  </rv>
  <rv s="0">
    <fb>117.78</fb>
    <v>0</v>
  </rv>
  <rv s="0">
    <fb>117.2</fb>
    <v>0</v>
  </rv>
  <rv s="0">
    <fb>116.93</fb>
    <v>0</v>
  </rv>
  <rv s="0">
    <fb>117.44</fb>
    <v>0</v>
  </rv>
  <rv s="0">
    <fb>117.51</fb>
    <v>0</v>
  </rv>
  <rv s="0">
    <fb>117.48</fb>
    <v>0</v>
  </rv>
  <rv s="0">
    <fb>117.12</fb>
    <v>0</v>
  </rv>
  <rv s="0">
    <fb>117.56</fb>
    <v>0</v>
  </rv>
  <rv s="0">
    <fb>117.77</fb>
    <v>0</v>
  </rv>
  <rv s="0">
    <fb>117.59</fb>
    <v>0</v>
  </rv>
  <rv s="0">
    <fb>117.58</fb>
    <v>0</v>
  </rv>
  <rv s="0">
    <fb>117.11</fb>
    <v>0</v>
  </rv>
  <rv s="0">
    <fb>117.32</fb>
    <v>0</v>
  </rv>
  <rv s="0">
    <fb>117.9</fb>
    <v>0</v>
  </rv>
  <rv s="0">
    <fb>118.4</fb>
    <v>0</v>
  </rv>
  <rv s="0">
    <fb>118.64</fb>
    <v>0</v>
  </rv>
  <rv s="0">
    <fb>118.72</fb>
    <v>0</v>
  </rv>
  <rv s="0">
    <fb>119.01</fb>
    <v>0</v>
  </rv>
  <rv s="0">
    <fb>118.49</fb>
    <v>0</v>
  </rv>
  <rv s="0">
    <fb>118.39</fb>
    <v>0</v>
  </rv>
  <rv s="0">
    <fb>117.97</fb>
    <v>0</v>
  </rv>
  <rv s="0">
    <fb>118.21</fb>
    <v>0</v>
  </rv>
  <rv s="0">
    <fb>118.18</fb>
    <v>0</v>
  </rv>
  <rv s="0">
    <fb>117.65</fb>
    <v>0</v>
  </rv>
  <rv s="0">
    <fb>118.13</fb>
    <v>0</v>
  </rv>
  <rv s="0">
    <fb>118.35</fb>
    <v>0</v>
  </rv>
  <rv s="0">
    <fb>118.53</fb>
    <v>0</v>
  </rv>
  <rv s="0">
    <fb>118.54</fb>
    <v>0</v>
  </rv>
  <rv s="0">
    <fb>118.28</fb>
    <v>0</v>
  </rv>
  <rv s="0">
    <fb>119.08</fb>
    <v>0</v>
  </rv>
  <rv s="0">
    <fb>118.98</fb>
    <v>0</v>
  </rv>
  <rv s="0">
    <fb>118.72499999999999</fb>
    <v>0</v>
  </rv>
  <rv s="0">
    <fb>118.75</fb>
    <v>0</v>
  </rv>
  <rv s="0">
    <fb>118.76</fb>
    <v>0</v>
  </rv>
  <rv s="0">
    <fb>118.71</fb>
    <v>0</v>
  </rv>
  <rv s="0">
    <fb>118.88</fb>
    <v>0</v>
  </rv>
  <rv s="0">
    <fb>118.96</fb>
    <v>0</v>
  </rv>
  <rv s="0">
    <fb>118.73</fb>
    <v>0</v>
  </rv>
  <rv s="0">
    <fb>119.54</fb>
    <v>0</v>
  </rv>
  <rv s="0">
    <fb>119.61</fb>
    <v>0</v>
  </rv>
  <rv s="0">
    <fb>119.69</fb>
    <v>0</v>
  </rv>
  <rv s="0">
    <fb>119.6</fb>
    <v>0</v>
  </rv>
  <rv s="0">
    <fb>119.89</fb>
    <v>0</v>
  </rv>
  <rv s="0">
    <fb>119.98</fb>
    <v>0</v>
  </rv>
  <rv s="0">
    <fb>119.84</fb>
    <v>0</v>
  </rv>
  <rv s="0">
    <fb>119.97</fb>
    <v>0</v>
  </rv>
  <rv s="0">
    <fb>120.06</fb>
    <v>0</v>
  </rv>
  <rv s="0">
    <fb>119.68</fb>
    <v>0</v>
  </rv>
  <rv s="0">
    <fb>119.57</fb>
    <v>0</v>
  </rv>
  <rv s="0">
    <fb>119.52</fb>
    <v>0</v>
  </rv>
  <rv s="0">
    <fb>119.35</fb>
    <v>0</v>
  </rv>
  <rv s="0">
    <fb>119.33</fb>
    <v>0</v>
  </rv>
  <rv s="0">
    <fb>119.78</fb>
    <v>0</v>
  </rv>
  <rv s="0">
    <fb>120.12</fb>
    <v>0</v>
  </rv>
  <rv s="0">
    <fb>120.2</fb>
    <v>0</v>
  </rv>
  <rv s="0">
    <fb>120.19</fb>
    <v>0</v>
  </rv>
  <rv s="0">
    <fb>119.75</fb>
    <v>0</v>
  </rv>
  <rv s="0">
    <fb>119.13</fb>
    <v>0</v>
  </rv>
  <rv s="0">
    <fb>119.72</fb>
    <v>0</v>
  </rv>
  <rv s="0">
    <fb>119.7</fb>
    <v>0</v>
  </rv>
  <rv s="0">
    <fb>119.5</fb>
    <v>0</v>
  </rv>
  <rv s="0">
    <fb>102.03</fb>
    <v>0</v>
  </rv>
  <rv s="0">
    <fb>102.08</fb>
    <v>0</v>
  </rv>
  <rv s="0">
    <fb>99.63</fb>
    <v>0</v>
  </rv>
  <rv s="0">
    <fb>100.04</fb>
    <v>0</v>
  </rv>
  <rv s="0">
    <fb>99.85</fb>
    <v>0</v>
  </rv>
  <rv s="0">
    <fb>98.4</fb>
    <v>0</v>
  </rv>
  <rv s="0">
    <fb>97.25</fb>
    <v>0</v>
  </rv>
  <rv s="0">
    <fb>98.74</fb>
    <v>0</v>
  </rv>
  <rv s="0">
    <fb>99.24</fb>
    <v>0</v>
  </rv>
  <rv s="0">
    <fb>99.57</fb>
    <v>0</v>
  </rv>
  <rv s="0">
    <fb>99.06</fb>
    <v>0</v>
  </rv>
  <rv s="0">
    <fb>99.39</fb>
    <v>0</v>
  </rv>
  <rv s="0">
    <fb>101.92</fb>
    <v>0</v>
  </rv>
  <rv s="0">
    <fb>101.24</fb>
    <v>0</v>
  </rv>
  <rv s="0">
    <fb>99.53</fb>
    <v>0</v>
  </rv>
  <rv s="0">
    <fb>100.81</fb>
    <v>0</v>
  </rv>
  <rv s="0">
    <fb>103.95</fb>
    <v>0</v>
  </rv>
  <rv s="0">
    <fb>102.61</fb>
    <v>0</v>
  </rv>
  <rv s="0">
    <fb>103.23</fb>
    <v>0</v>
  </rv>
  <rv s="0">
    <fb>103.66</fb>
    <v>0</v>
  </rv>
  <rv s="0">
    <fb>103.83</fb>
    <v>0</v>
  </rv>
  <rv s="0">
    <fb>102.51</fb>
    <v>0</v>
  </rv>
  <rv s="0">
    <fb>102.63</fb>
    <v>0</v>
  </rv>
  <rv s="0">
    <fb>103.14</fb>
    <v>0</v>
  </rv>
  <rv s="0">
    <fb>104.05</fb>
    <v>0</v>
  </rv>
  <rv s="0">
    <fb>102.88</fb>
    <v>0</v>
  </rv>
  <rv s="0">
    <fb>101.19</fb>
    <v>0</v>
  </rv>
  <rv s="0">
    <fb>101.06</fb>
    <v>0</v>
  </rv>
  <rv s="0">
    <fb>99.27</fb>
    <v>0</v>
  </rv>
  <rv s="0">
    <fb>99.03</fb>
    <v>0</v>
  </rv>
  <rv s="0">
    <fb>98.63</fb>
    <v>0</v>
  </rv>
  <rv s="0">
    <fb>98.48</fb>
    <v>0</v>
  </rv>
  <rv s="0">
    <fb>98.61</fb>
    <v>0</v>
  </rv>
  <rv s="0">
    <fb>101.31</fb>
    <v>0</v>
  </rv>
  <rv s="0">
    <fb>101.6</fb>
    <v>0</v>
  </rv>
  <rv s="0">
    <fb>100.73</fb>
    <v>0</v>
  </rv>
  <rv s="0">
    <fb>99.28</fb>
    <v>0</v>
  </rv>
  <rv s="0">
    <fb>99.15</fb>
    <v>0</v>
  </rv>
  <rv s="0">
    <fb>101.7</fb>
    <v>0</v>
  </rv>
  <rv s="0">
    <fb>101.12</fb>
    <v>0</v>
  </rv>
  <rv s="0">
    <fb>100.79</fb>
    <v>0</v>
  </rv>
  <rv s="0">
    <fb>103.93</fb>
    <v>0</v>
  </rv>
  <rv s="0">
    <fb>102.48</fb>
    <v>0</v>
  </rv>
  <rv s="0">
    <fb>102.75</fb>
    <v>0</v>
  </rv>
  <rv s="0">
    <fb>102.9</fb>
    <v>0</v>
  </rv>
  <rv s="0">
    <fb>104.86</fb>
    <v>0</v>
  </rv>
  <rv s="0">
    <fb>105.28</fb>
    <v>0</v>
  </rv>
  <rv s="0">
    <fb>103.51</fb>
    <v>0</v>
  </rv>
  <rv s="0">
    <fb>103.11</fb>
    <v>0</v>
  </rv>
  <rv s="0">
    <fb>102.69</fb>
    <v>0</v>
  </rv>
  <rv s="0">
    <fb>96.7</fb>
    <v>0</v>
  </rv>
  <rv s="0">
    <fb>97.02</fb>
    <v>0</v>
  </rv>
  <rv s="0">
    <fb>96.92</fb>
    <v>0</v>
  </rv>
  <rv s="0">
    <fb>97.46</fb>
    <v>0</v>
  </rv>
  <rv s="0">
    <fb>97.17</fb>
    <v>0</v>
  </rv>
  <rv s="0">
    <fb>97.35</fb>
    <v>0</v>
  </rv>
  <rv s="0">
    <fb>97.87</fb>
    <v>0</v>
  </rv>
  <rv s="0">
    <fb>96.76</fb>
    <v>0</v>
  </rv>
  <rv s="0">
    <fb>97.31</fb>
    <v>0</v>
  </rv>
  <rv s="0">
    <fb>98.8</fb>
    <v>0</v>
  </rv>
  <rv s="0">
    <fb>98.86</fb>
    <v>0</v>
  </rv>
  <rv s="0">
    <fb>98.45</fb>
    <v>0</v>
  </rv>
  <rv s="0">
    <fb>98.73</fb>
    <v>0</v>
  </rv>
  <rv s="0">
    <fb>98.92</fb>
    <v>0</v>
  </rv>
  <rv s="0">
    <fb>98.85</fb>
    <v>0</v>
  </rv>
  <rv s="0">
    <fb>97.81</fb>
    <v>0</v>
  </rv>
  <rv s="0">
    <fb>98.12</fb>
    <v>0</v>
  </rv>
  <rv s="0">
    <fb>98.87</fb>
    <v>0</v>
  </rv>
  <rv s="0">
    <fb>98.43</fb>
    <v>0</v>
  </rv>
  <rv s="0">
    <fb>97.78</fb>
    <v>0</v>
  </rv>
  <rv s="0">
    <fb>96.82</fb>
    <v>0</v>
  </rv>
  <rv s="0">
    <fb>98.1</fb>
    <v>0</v>
  </rv>
  <rv s="0">
    <fb>98.03</fb>
    <v>0</v>
  </rv>
  <rv s="0">
    <fb>98.13</fb>
    <v>0</v>
  </rv>
  <rv s="0">
    <fb>98.22</fb>
    <v>0</v>
  </rv>
  <rv s="0">
    <fb>98.79</fb>
    <v>0</v>
  </rv>
  <rv s="0">
    <fb>98.49</fb>
    <v>0</v>
  </rv>
  <rv s="0">
    <fb>98.04</fb>
    <v>0</v>
  </rv>
  <rv s="0">
    <fb>97.89</fb>
    <v>0</v>
  </rv>
  <rv s="0">
    <fb>98.11</fb>
    <v>0</v>
  </rv>
  <rv s="0">
    <fb>98.62</fb>
    <v>0</v>
  </rv>
  <rv s="0">
    <fb>98.83</fb>
    <v>0</v>
  </rv>
  <rv s="0">
    <fb>99.23</fb>
    <v>0</v>
  </rv>
  <rv s="0">
    <fb>100.75</fb>
    <v>0</v>
  </rv>
  <rv s="0">
    <fb>100.33</fb>
    <v>0</v>
  </rv>
  <rv s="0">
    <fb>100</fb>
    <v>0</v>
  </rv>
  <rv s="0">
    <fb>101.1</fb>
    <v>0</v>
  </rv>
  <rv s="0">
    <fb>101.14</fb>
    <v>0</v>
  </rv>
  <rv s="0">
    <fb>105.78</fb>
    <v>0</v>
  </rv>
  <rv s="0">
    <fb>106.2</fb>
    <v>0</v>
  </rv>
  <rv s="0">
    <fb>106.55</fb>
    <v>0</v>
  </rv>
  <rv s="0">
    <fb>106.64</fb>
    <v>0</v>
  </rv>
  <rv s="0">
    <fb>106.1</fb>
    <v>0</v>
  </rv>
  <rv s="0">
    <fb>105.65</fb>
    <v>0</v>
  </rv>
  <rv s="0">
    <fb>105.93</fb>
    <v>0</v>
  </rv>
  <rv s="0">
    <fb>106.29</fb>
    <v>0</v>
  </rv>
  <rv s="0">
    <fb>106.54</fb>
    <v>0</v>
  </rv>
  <rv s="0">
    <fb>107.08</fb>
    <v>0</v>
  </rv>
  <rv s="0">
    <fb>106.41</fb>
    <v>0</v>
  </rv>
  <rv s="0">
    <fb>105.81</fb>
    <v>0</v>
  </rv>
  <rv s="0">
    <fb>105.86</fb>
    <v>0</v>
  </rv>
  <rv s="0">
    <fb>106.03</fb>
    <v>0</v>
  </rv>
  <rv s="0">
    <fb>105.83</fb>
    <v>0</v>
  </rv>
  <rv s="0">
    <fb>105.54</fb>
    <v>0</v>
  </rv>
  <rv s="0">
    <fb>105.8</fb>
    <v>0</v>
  </rv>
  <rv s="0">
    <fb>102.31</fb>
    <v>0</v>
  </rv>
  <rv s="0">
    <fb>104.25</fb>
    <v>0</v>
  </rv>
  <rv s="0">
    <fb>104.28</fb>
    <v>0</v>
  </rv>
  <rv s="0">
    <fb>104.21</fb>
    <v>0</v>
  </rv>
  <rv s="0">
    <fb>104.51</fb>
    <v>0</v>
  </rv>
  <rv s="0">
    <fb>103.28</fb>
    <v>0</v>
  </rv>
  <rv s="0">
    <fb>103.44</fb>
    <v>0</v>
  </rv>
  <rv s="0">
    <fb>103.96</fb>
    <v>0</v>
  </rv>
  <rv s="0">
    <fb>104.27</fb>
    <v>0</v>
  </rv>
  <rv s="0">
    <fb>104.26</fb>
    <v>0</v>
  </rv>
  <rv s="0">
    <fb>104.15</fb>
    <v>0</v>
  </rv>
  <rv s="0">
    <fb>104.22</fb>
    <v>0</v>
  </rv>
  <rv s="0">
    <fb>104.06</fb>
    <v>0</v>
  </rv>
  <rv s="0">
    <fb>104.23</fb>
    <v>0</v>
  </rv>
  <rv s="0">
    <fb>104.54</fb>
    <v>0</v>
  </rv>
  <rv s="0">
    <fb>105.25</fb>
    <v>0</v>
  </rv>
  <rv s="0">
    <fb>105.67</fb>
    <v>0</v>
  </rv>
  <rv s="0">
    <fb>106.63</fb>
    <v>0</v>
  </rv>
  <rv s="0">
    <fb>106.47</fb>
    <v>0</v>
  </rv>
  <rv s="0">
    <fb>106.35</fb>
    <v>0</v>
  </rv>
  <rv s="0">
    <fb>106.26</fb>
    <v>0</v>
  </rv>
  <rv s="0">
    <fb>106.42</fb>
    <v>0</v>
  </rv>
  <rv s="0">
    <fb>106.49</fb>
    <v>0</v>
  </rv>
  <rv s="0">
    <fb>106.39</fb>
    <v>0</v>
  </rv>
  <rv s="0">
    <fb>106.56</fb>
    <v>0</v>
  </rv>
  <rv s="0">
    <fb>107.51</fb>
    <v>0</v>
  </rv>
  <rv s="0">
    <fb>107.58</fb>
    <v>0</v>
  </rv>
  <rv s="0">
    <fb>107.53</fb>
    <v>0</v>
  </rv>
  <rv s="0">
    <fb>107.23</fb>
    <v>0</v>
  </rv>
  <rv s="0">
    <fb>107.37</fb>
    <v>0</v>
  </rv>
  <rv s="0">
    <fb>107.19</fb>
    <v>0</v>
  </rv>
  <rv s="0">
    <fb>22.675000000000001</fb>
    <v>0</v>
  </rv>
  <rv s="0">
    <fb>22.684999999999999</fb>
    <v>0</v>
  </rv>
  <rv s="0">
    <fb>22.484999999999999</fb>
    <v>0</v>
  </rv>
  <rv s="0">
    <fb>22.465</fb>
    <v>0</v>
  </rv>
  <rv s="0">
    <fb>22.405000000000001</fb>
    <v>0</v>
  </rv>
  <rv s="0">
    <fb>22.434999999999999</fb>
    <v>0</v>
  </rv>
  <rv s="0">
    <fb>22.475000000000001</fb>
    <v>0</v>
  </rv>
  <rv s="0">
    <fb>22.375</fb>
    <v>0</v>
  </rv>
  <rv s="0">
    <fb>22.254999999999999</fb>
    <v>0</v>
  </rv>
  <rv s="0">
    <fb>22.454999999999998</fb>
    <v>0</v>
  </rv>
  <rv s="0">
    <fb>22.515000000000001</fb>
    <v>0</v>
  </rv>
  <rv s="0">
    <fb>22.585000000000001</fb>
    <v>0</v>
  </rv>
  <rv s="0">
    <fb>22.565000000000001</fb>
    <v>0</v>
  </rv>
  <rv s="0">
    <fb>22.555</fb>
    <v>0</v>
  </rv>
  <rv s="0">
    <fb>22.625</fb>
    <v>0</v>
  </rv>
  <rv s="0">
    <fb>22.535</fb>
    <v>0</v>
  </rv>
  <rv s="0">
    <fb>22.594999999999999</fb>
    <v>0</v>
  </rv>
  <rv s="0">
    <fb>22.695</fb>
    <v>0</v>
  </rv>
  <rv s="0">
    <fb>22.734999999999999</fb>
    <v>0</v>
  </rv>
  <rv s="0">
    <fb>22.864999999999998</fb>
    <v>0</v>
  </rv>
  <rv s="0">
    <fb>22.895</fb>
    <v>0</v>
  </rv>
  <rv s="0">
    <fb>22.984999999999999</fb>
    <v>0</v>
  </rv>
  <rv s="0">
    <fb>22.835000000000001</fb>
    <v>0</v>
  </rv>
  <rv s="0">
    <fb>22.805</fb>
    <v>0</v>
  </rv>
  <rv s="0">
    <fb>22.925000000000001</fb>
    <v>0</v>
  </rv>
  <rv s="0">
    <fb>22.914999999999999</fb>
    <v>0</v>
  </rv>
  <rv s="0">
    <fb>22.934999999999999</fb>
    <v>0</v>
  </rv>
  <rv s="0">
    <fb>22.795000000000002</fb>
    <v>0</v>
  </rv>
  <rv s="0">
    <fb>22.86</fb>
    <v>0</v>
  </rv>
  <rv s="0">
    <fb>22.715</fb>
    <v>0</v>
  </rv>
  <rv s="0">
    <fb>22.844999999999999</fb>
    <v>0</v>
  </rv>
  <rv s="0">
    <fb>22.605</fb>
    <v>0</v>
  </rv>
  <rv s="0">
    <fb>22.655000000000001</fb>
    <v>0</v>
  </rv>
  <rv s="0">
    <fb>22.664999999999999</fb>
    <v>0</v>
  </rv>
  <rv s="0">
    <fb>22.754999999999999</fb>
    <v>0</v>
  </rv>
  <rv s="0">
    <fb>22.945</fb>
    <v>0</v>
  </rv>
  <rv s="0">
    <fb>22.885000000000002</fb>
    <v>0</v>
  </rv>
  <rv s="0">
    <fb>22.704999999999998</fb>
    <v>0</v>
  </rv>
  <rv s="0">
    <fb>22.785</fb>
    <v>0</v>
  </rv>
  <rv s="0">
    <fb>22.635000000000002</fb>
    <v>0</v>
  </rv>
  <rv s="0">
    <fb>22.815000000000001</fb>
    <v>0</v>
  </rv>
  <rv s="0">
    <fb>22.765000000000001</fb>
    <v>0</v>
  </rv>
  <rv s="0">
    <fb>22.745000000000001</fb>
    <v>0</v>
  </rv>
  <rv s="0">
    <fb>22.965</fb>
    <v>0</v>
  </rv>
  <rv s="0">
    <fb>22.954999999999998</fb>
    <v>0</v>
  </rv>
  <rv s="0">
    <fb>22.855</fb>
    <v>0</v>
  </rv>
  <rv s="0">
    <fb>22.905000000000001</fb>
    <v>0</v>
  </rv>
  <rv s="0">
    <fb>23.004999999999999</fb>
    <v>0</v>
  </rv>
  <rv s="0">
    <fb>23.184999999999999</fb>
    <v>0</v>
  </rv>
  <rv s="0">
    <fb>23.135000000000002</fb>
    <v>0</v>
  </rv>
  <rv s="0">
    <fb>23.175000000000001</fb>
    <v>0</v>
  </rv>
  <rv s="0">
    <fb>23.195</fb>
    <v>0</v>
  </rv>
  <rv s="0">
    <fb>23.114999999999998</fb>
    <v>0</v>
  </rv>
  <rv s="0">
    <fb>23.094999999999999</fb>
    <v>0</v>
  </rv>
  <rv s="0">
    <fb>23.065000000000001</fb>
    <v>0</v>
  </rv>
  <rv s="0">
    <fb>23.215</fb>
    <v>0</v>
  </rv>
  <rv s="0">
    <fb>23.254999999999999</fb>
    <v>0</v>
  </rv>
  <rv s="0">
    <fb>23.315000000000001</fb>
    <v>0</v>
  </rv>
  <rv s="0">
    <fb>23.344999999999999</fb>
    <v>0</v>
  </rv>
  <rv s="0">
    <fb>23.305</fb>
    <v>0</v>
  </rv>
  <rv s="0">
    <fb>23.145</fb>
    <v>0</v>
  </rv>
  <rv s="0">
    <fb>52.28</fb>
    <v>0</v>
  </rv>
  <rv s="0">
    <fb>52.32</fb>
    <v>0</v>
  </rv>
  <rv s="0">
    <fb>36.674999999999997</fb>
    <v>0</v>
  </rv>
  <rv s="0">
    <fb>36.78</fb>
    <v>0</v>
  </rv>
  <rv s="0">
    <fb>36.71</fb>
    <v>0</v>
  </rv>
  <rv s="0">
    <fb>37.29</fb>
    <v>0</v>
  </rv>
  <rv s="0">
    <fb>37.344999999999999</fb>
    <v>0</v>
  </rv>
  <rv s="0">
    <fb>37.450000000000003</fb>
    <v>0</v>
  </rv>
  <rv s="0">
    <fb>37.01</fb>
    <v>0</v>
  </rv>
  <rv s="0">
    <fb>36.94</fb>
    <v>0</v>
  </rv>
  <rv s="0">
    <fb>36.814999999999998</fb>
    <v>0</v>
  </rv>
  <rv s="0">
    <fb>36.74</fb>
    <v>0</v>
  </rv>
  <rv s="0">
    <fb>35.4</fb>
    <v>0</v>
  </rv>
  <rv s="0">
    <fb>36.21</fb>
    <v>0</v>
  </rv>
  <rv s="0">
    <fb>36.020000000000003</fb>
    <v>0</v>
  </rv>
  <rv s="0">
    <fb>36.92</fb>
    <v>0</v>
  </rv>
  <rv s="0">
    <fb>36.755000000000003</fb>
    <v>0</v>
  </rv>
  <rv s="0">
    <fb>36.914999999999999</fb>
    <v>0</v>
  </rv>
  <rv s="0">
    <fb>37.215000000000003</fb>
    <v>0</v>
  </rv>
  <rv s="0">
    <fb>37.365000000000002</fb>
    <v>0</v>
  </rv>
  <rv s="0">
    <fb>37.200000000000003</fb>
    <v>0</v>
  </rv>
  <rv s="0">
    <fb>37.265000000000001</fb>
    <v>0</v>
  </rv>
  <rv s="0">
    <fb>37.43</fb>
    <v>0</v>
  </rv>
  <rv s="0">
    <fb>37.435000000000002</fb>
    <v>0</v>
  </rv>
  <rv s="0">
    <fb>37.325000000000003</fb>
    <v>0</v>
  </rv>
  <rv s="0">
    <fb>37.384999999999998</fb>
    <v>0</v>
  </rv>
  <rv s="0">
    <fb>37.634999999999998</fb>
    <v>0</v>
  </rv>
  <rv s="0">
    <fb>37.68</fb>
    <v>0</v>
  </rv>
  <rv s="0">
    <fb>37.630000000000003</fb>
    <v>0</v>
  </rv>
  <rv s="0">
    <fb>37.454999999999998</fb>
    <v>0</v>
  </rv>
  <rv s="0">
    <fb>37.695</fb>
    <v>0</v>
  </rv>
  <rv s="0">
    <fb>37.594999999999999</fb>
    <v>0</v>
  </rv>
  <rv s="0">
    <fb>37.234999999999999</fb>
    <v>0</v>
  </rv>
  <rv s="0">
    <fb>37.494999999999997</fb>
    <v>0</v>
  </rv>
  <rv s="0">
    <fb>52.195</fb>
    <v>0</v>
  </rv>
  <rv s="0">
    <fb>52.44</fb>
    <v>0</v>
  </rv>
  <rv s="0">
    <fb>53.62</fb>
    <v>0</v>
  </rv>
  <rv s="0">
    <fb>53.715000000000003</fb>
    <v>0</v>
  </rv>
  <rv s="11">
    <v>27</v>
    <v>IGIB</v>
    <v>Daily</v>
    <v>45980</v>
    <v>46013</v>
    <v>0</v>
    <v>1</v>
    <v>639016992000000000,639019766542904896,0</v>
    <v>0</v>
    <v>a1prfr</v>
    <v/>
    <v>1</v>
  </rv>
  <rv s="11">
    <v>27</v>
    <v>IGIB</v>
    <v>Daily</v>
    <v>45642</v>
    <v>46013</v>
    <v>0</v>
    <v>1</v>
    <v>639016992000000000,639019766546291012,0</v>
    <v>2</v>
    <v>a1prfr</v>
    <v/>
    <v>3</v>
  </rv>
  <rv s="11">
    <v>27</v>
    <v>FXY</v>
    <v>Daily</v>
    <v>45642</v>
    <v>46013</v>
    <v>0</v>
    <v>1</v>
    <v>639016992000000000,639019766521169761,0</v>
    <v>2</v>
    <v>a1tl8m</v>
    <v/>
    <v>4</v>
  </rv>
  <rv s="11">
    <v>27</v>
    <v>FXY</v>
    <v>Daily</v>
    <v>45980</v>
    <v>46013</v>
    <v>0</v>
    <v>1</v>
    <v>639016992000000000,639019766540323090,0</v>
    <v>0</v>
    <v>a1tl8m</v>
    <v/>
    <v>5</v>
  </rv>
  <rv s="11">
    <v>27</v>
    <v>SGOV</v>
    <v>Daily</v>
    <v>45642</v>
    <v>46013</v>
    <v>0</v>
    <v>1</v>
    <v>639016992000000000,639019766521993356,0</v>
    <v>2</v>
    <v>buo152</v>
    <v/>
    <v>6</v>
  </rv>
  <rv s="11">
    <v>27</v>
    <v>SGOV</v>
    <v>Daily</v>
    <v>45980</v>
    <v>46013</v>
    <v>0</v>
    <v>1</v>
    <v>639016992000000000,639019766541801967,0</v>
    <v>0</v>
    <v>buo152</v>
    <v/>
    <v>7</v>
  </rv>
  <rv s="11">
    <v>27</v>
    <v>IXC</v>
    <v>Daily</v>
    <v>45980</v>
    <v>46013</v>
    <v>0</v>
    <v>1</v>
    <v>639016992000000000,639019766521569934,0</v>
    <v>0</v>
    <v>a1vy9c</v>
    <v/>
    <v>8</v>
  </rv>
  <rv s="11">
    <v>27</v>
    <v>IXC</v>
    <v>Daily</v>
    <v>45642</v>
    <v>46013</v>
    <v>0</v>
    <v>1</v>
    <v>639016992000000000,639019766534951109,0</v>
    <v>2</v>
    <v>a1vy9c</v>
    <v/>
    <v>9</v>
  </rv>
  <rv s="11">
    <v>27</v>
    <v>ETHA</v>
    <v>Daily</v>
    <v>45980</v>
    <v>46013</v>
    <v>0</v>
    <v>1</v>
    <v>639016992000000000,639019766545466494,0</v>
    <v>0</v>
    <v>ce8mrw</v>
    <v>XNAS:ETHA</v>
    <v>10</v>
  </rv>
  <rv s="11">
    <v>27</v>
    <v>ETHA</v>
    <v>Daily</v>
    <v>45642</v>
    <v>46013</v>
    <v>0</v>
    <v>1</v>
    <v>639016992000000000,639019766546084833,0</v>
    <v>2</v>
    <v>ce8mrw</v>
    <v>XNAS:ETHA</v>
    <v>11</v>
  </rv>
  <rv s="11">
    <v>27</v>
    <v>CARZ</v>
    <v>Daily</v>
    <v>45980</v>
    <v>46013</v>
    <v>0</v>
    <v>1</v>
    <v>639016992000000000,639019766542686004,0</v>
    <v>0</v>
    <v>a1p7fr</v>
    <v/>
    <v>12</v>
  </rv>
  <rv s="11">
    <v>27</v>
    <v>DBA</v>
    <v>Daily</v>
    <v>45642</v>
    <v>46013</v>
    <v>0</v>
    <v>1</v>
    <v>639016992000000000,639019766520763622,0</v>
    <v>2</v>
    <v>a1qr27</v>
    <v/>
    <v>13</v>
  </rv>
  <rv s="11">
    <v>27</v>
    <v>DBA</v>
    <v>Daily</v>
    <v>45980</v>
    <v>46013</v>
    <v>0</v>
    <v>1</v>
    <v>639016992000000000,639019766537639114,0</v>
    <v>0</v>
    <v>a1qr27</v>
    <v/>
    <v>14</v>
  </rv>
  <rv s="11">
    <v>27</v>
    <v>USO</v>
    <v>Daily</v>
    <v>45642</v>
    <v>46013</v>
    <v>0</v>
    <v>1</v>
    <v>639016992000000000,639019766546855050,0</v>
    <v>2</v>
    <v>a253hw</v>
    <v/>
    <v>15</v>
  </rv>
  <rv s="11">
    <v>27</v>
    <v>USO</v>
    <v>Daily</v>
    <v>45980</v>
    <v>46013</v>
    <v>0</v>
    <v>1</v>
    <v>639016992000000000,639019766551589730,0</v>
    <v>0</v>
    <v>a253hw</v>
    <v/>
    <v>16</v>
  </rv>
  <rv s="11">
    <v>27</v>
    <v>IEI</v>
    <v>Daily</v>
    <v>45980</v>
    <v>46013</v>
    <v>0</v>
    <v>1</v>
    <v>639016992000000000,639019766521830887,0</v>
    <v>0</v>
    <v>a1vbh7</v>
    <v/>
    <v>17</v>
  </rv>
  <rv s="11">
    <v>27</v>
    <v>IEI</v>
    <v>Daily</v>
    <v>45642</v>
    <v>46013</v>
    <v>0</v>
    <v>1</v>
    <v>639016992000000000,639019766546176867,0</v>
    <v>2</v>
    <v>a1vbh7</v>
    <v/>
    <v>18</v>
  </rv>
  <rv s="11">
    <v>27</v>
    <v>MUB</v>
    <v>Daily</v>
    <v>45980</v>
    <v>46013</v>
    <v>0</v>
    <v>1</v>
    <v>639016992000000000,639019766522008183,0</v>
    <v>0</v>
    <v>a1y4u2</v>
    <v/>
    <v>19</v>
  </rv>
  <rv s="11">
    <v>27</v>
    <v>MUB</v>
    <v>Daily</v>
    <v>45642</v>
    <v>46013</v>
    <v>0</v>
    <v>1</v>
    <v>639016992000000000,639019766546239612,0</v>
    <v>2</v>
    <v>a1y4u2</v>
    <v/>
    <v>20</v>
  </rv>
  <rv s="11">
    <v>28</v>
    <v>ISF</v>
    <v>Daily</v>
    <v>45642</v>
    <v>46013</v>
    <v>0</v>
    <v>1</v>
    <v>639016992000000000,639019766523272393,0</v>
    <v>21</v>
    <v>ajflsm</v>
    <v/>
    <v>22</v>
  </rv>
  <rv s="11">
    <v>28</v>
    <v>ISF</v>
    <v>Daily</v>
    <v>45980</v>
    <v>46013</v>
    <v>0</v>
    <v>1</v>
    <v>639016992000000000,639019766536867749,0</v>
    <v>23</v>
    <v>ajflsm</v>
    <v/>
    <v>24</v>
  </rv>
  <rv s="11">
    <v>27</v>
    <v>TLT</v>
    <v>Daily</v>
    <v>45642</v>
    <v>46013</v>
    <v>0</v>
    <v>1</v>
    <v>639016992000000000,639019766521721161,0</v>
    <v>2</v>
    <v>a24b5r</v>
    <v/>
    <v>25</v>
  </rv>
  <rv s="11">
    <v>27</v>
    <v>TLT</v>
    <v>Daily</v>
    <v>45980</v>
    <v>46013</v>
    <v>0</v>
    <v>1</v>
    <v>639016992000000000,639019766523851529,0</v>
    <v>0</v>
    <v>a24b5r</v>
    <v/>
    <v>26</v>
  </rv>
  <rv s="11">
    <v>27</v>
    <v>SHY</v>
    <v>Daily</v>
    <v>45642</v>
    <v>46013</v>
    <v>0</v>
    <v>1</v>
    <v>639016992000000000,639019766521861939,0</v>
    <v>2</v>
    <v>a22xmw</v>
    <v/>
    <v>27</v>
  </rv>
  <rv s="11">
    <v>27</v>
    <v>SHY</v>
    <v>Daily</v>
    <v>45980</v>
    <v>46013</v>
    <v>0</v>
    <v>1</v>
    <v>639016992000000000,639019766521665941,0</v>
    <v>0</v>
    <v>a22xmw</v>
    <v/>
    <v>28</v>
  </rv>
  <rv s="11">
    <v>27</v>
    <v>FUTY</v>
    <v>Daily</v>
    <v>45980</v>
    <v>46013</v>
    <v>0</v>
    <v>1</v>
    <v>639016992000000000,639019766521523704,0</v>
    <v>0</v>
    <v>a1tiar</v>
    <v/>
    <v>29</v>
  </rv>
  <rv s="11">
    <v>27</v>
    <v>FUTY</v>
    <v>Daily</v>
    <v>45642</v>
    <v>46013</v>
    <v>0</v>
    <v>1</v>
    <v>639016992000000000,639019766541237266,0</v>
    <v>2</v>
    <v>a1tiar</v>
    <v/>
    <v>30</v>
  </rv>
  <rv s="11">
    <v>27</v>
    <v>IWO</v>
    <v>Daily</v>
    <v>45642</v>
    <v>46013</v>
    <v>0</v>
    <v>1</v>
    <v>639016992000000000,639019766523612861,0</v>
    <v>2</v>
    <v>a1vxlh</v>
    <v/>
    <v>31</v>
  </rv>
  <rv s="11">
    <v>27</v>
    <v>IWO</v>
    <v>Daily</v>
    <v>45980</v>
    <v>46013</v>
    <v>0</v>
    <v>1</v>
    <v>639016992000000000,639019766534408191,0</v>
    <v>0</v>
    <v>a1vxlh</v>
    <v/>
    <v>32</v>
  </rv>
  <rv s="11">
    <v>27</v>
    <v>IGSB</v>
    <v>Daily</v>
    <v>45980</v>
    <v>46013</v>
    <v>0</v>
    <v>1</v>
    <v>639016992000000000,639019766542536704,0</v>
    <v>0</v>
    <v>a1qesm</v>
    <v/>
    <v>33</v>
  </rv>
  <rv s="11">
    <v>27</v>
    <v>IGSB</v>
    <v>Daily</v>
    <v>45642</v>
    <v>46013</v>
    <v>0</v>
    <v>1</v>
    <v>639016992000000000,639019766546275970,0</v>
    <v>2</v>
    <v>a1qesm</v>
    <v/>
    <v>34</v>
  </rv>
  <rv s="11">
    <v>27</v>
    <v>IBIT</v>
    <v>Daily</v>
    <v>45642</v>
    <v>46013</v>
    <v>0</v>
    <v>1</v>
    <v>639016992000000000,639019766521588838,0</v>
    <v>2</v>
    <v>cc5pdm</v>
    <v>XNAS:IBIT</v>
    <v>35</v>
  </rv>
  <rv s="11">
    <v>27</v>
    <v>IBIT</v>
    <v>Daily</v>
    <v>45980</v>
    <v>46013</v>
    <v>0</v>
    <v>1</v>
    <v>639016992000000000,639019766541064386,0</v>
    <v>0</v>
    <v>cc5pdm</v>
    <v>XNAS:IBIT</v>
    <v>36</v>
  </rv>
  <rv s="11">
    <v>27</v>
    <v>USHY</v>
    <v>Daily</v>
    <v>45642</v>
    <v>46013</v>
    <v>0</v>
    <v>1</v>
    <v>639016992000000000,639019766520680634,0</v>
    <v>2</v>
    <v>a252oc</v>
    <v/>
    <v>37</v>
  </rv>
  <rv s="11">
    <v>27</v>
    <v>USHY</v>
    <v>Daily</v>
    <v>45980</v>
    <v>46013</v>
    <v>0</v>
    <v>1</v>
    <v>639016992000000000,639019766522175290,0</v>
    <v>0</v>
    <v>a252oc</v>
    <v/>
    <v>38</v>
  </rv>
  <rv s="11">
    <v>27</v>
    <v>MDY</v>
    <v>Daily</v>
    <v>45642</v>
    <v>46013</v>
    <v>0</v>
    <v>1</v>
    <v>639016992000000000,639019766523767545,0</v>
    <v>2</v>
    <v>a1xghw</v>
    <v/>
    <v>39</v>
  </rv>
  <rv s="11">
    <v>27</v>
    <v>MDY</v>
    <v>Daily</v>
    <v>45980</v>
    <v>46013</v>
    <v>0</v>
    <v>1</v>
    <v>639016992000000000,639019766534331970,0</v>
    <v>0</v>
    <v>a1xghw</v>
    <v/>
    <v>40</v>
  </rv>
  <rv s="11">
    <v>27</v>
    <v>XLE</v>
    <v>Daily</v>
    <v>45980</v>
    <v>46013</v>
    <v>0</v>
    <v>1</v>
    <v>639016992000000000,639019766534516704,0</v>
    <v>0</v>
    <v>a267oc</v>
    <v/>
    <v>41</v>
  </rv>
  <rv s="11">
    <v>27</v>
    <v>XLE</v>
    <v>Daily</v>
    <v>45642</v>
    <v>46013</v>
    <v>0</v>
    <v>1</v>
    <v>639016992000000000,639019766551971408,0</v>
    <v>2</v>
    <v>a267oc</v>
    <v/>
    <v>42</v>
  </rv>
  <rv s="11">
    <v>27</v>
    <v>UUP</v>
    <v>Daily</v>
    <v>45642</v>
    <v>46013</v>
    <v>0</v>
    <v>1</v>
    <v>639016992000000000,639019766521024498,0</v>
    <v>2</v>
    <v>a2557w</v>
    <v/>
    <v>43</v>
  </rv>
  <rv s="11">
    <v>27</v>
    <v>UUP</v>
    <v>Daily</v>
    <v>45980</v>
    <v>46013</v>
    <v>0</v>
    <v>1</v>
    <v>639016992000000000,639019766545157309,0</v>
    <v>0</v>
    <v>a2557w</v>
    <v/>
    <v>44</v>
  </rv>
  <rv s="11">
    <v>27</v>
    <v>EZA</v>
    <v>Daily</v>
    <v>45642</v>
    <v>46013</v>
    <v>0</v>
    <v>1</v>
    <v>639016992000000000,639019766520886794,0</v>
    <v>2</v>
    <v>a1sjf2</v>
    <v/>
    <v>45</v>
  </rv>
  <rv s="11">
    <v>27</v>
    <v>EZA</v>
    <v>Daily</v>
    <v>45980</v>
    <v>46013</v>
    <v>0</v>
    <v>1</v>
    <v>639016992000000000,639019766522880939,0</v>
    <v>0</v>
    <v>a1sjf2</v>
    <v/>
    <v>46</v>
  </rv>
  <rv s="11">
    <v>27</v>
    <v>EEM</v>
    <v>Daily</v>
    <v>45642</v>
    <v>46013</v>
    <v>0</v>
    <v>1</v>
    <v>639016992000000000,639019766523792511,0</v>
    <v>2</v>
    <v>a1rour</v>
    <v/>
    <v>47</v>
  </rv>
  <rv s="11">
    <v>27</v>
    <v>EEM</v>
    <v>Daily</v>
    <v>45980</v>
    <v>46013</v>
    <v>0</v>
    <v>1</v>
    <v>639016992000000000,639019766543265046,0</v>
    <v>0</v>
    <v>a1rour</v>
    <v/>
    <v>48</v>
  </rv>
  <rv s="11">
    <v>27</v>
    <v>AGG</v>
    <v>Daily</v>
    <v>45980</v>
    <v>46013</v>
    <v>0</v>
    <v>1</v>
    <v>639016992000000000,639019766542174723,0</v>
    <v>0</v>
    <v>a1n26h</v>
    <v/>
    <v>49</v>
  </rv>
  <rv s="11">
    <v>27</v>
    <v>AGG</v>
    <v>Daily</v>
    <v>45642</v>
    <v>46013</v>
    <v>0</v>
    <v>1</v>
    <v>639016992000000000,639019766546207045,0</v>
    <v>2</v>
    <v>a1n26h</v>
    <v/>
    <v>50</v>
  </rv>
  <rv s="11">
    <v>27</v>
    <v>IEF</v>
    <v>Daily</v>
    <v>45980</v>
    <v>46013</v>
    <v>0</v>
    <v>1</v>
    <v>639016992000000000,639019766545623367,0</v>
    <v>0</v>
    <v>a1vbbh</v>
    <v/>
    <v>51</v>
  </rv>
  <rv s="11">
    <v>27</v>
    <v>IEF</v>
    <v>Daily</v>
    <v>45642</v>
    <v>46013</v>
    <v>0</v>
    <v>1</v>
    <v>639016992000000000,639019766546153572,0</v>
    <v>2</v>
    <v>a1vbbh</v>
    <v/>
    <v>52</v>
  </rv>
  <rv s="11">
    <v>27</v>
    <v>GOVT</v>
    <v>Daily</v>
    <v>45642</v>
    <v>46013</v>
    <v>0</v>
    <v>1</v>
    <v>639016992000000000,639019766520652206,0</v>
    <v>2</v>
    <v>a1u477</v>
    <v/>
    <v>53</v>
  </rv>
  <rv s="11">
    <v>27</v>
    <v>GOVT</v>
    <v>Daily</v>
    <v>45980</v>
    <v>46013</v>
    <v>0</v>
    <v>1</v>
    <v>639016992000000000,639019766545928491,0</v>
    <v>0</v>
    <v>a1u477</v>
    <v/>
    <v>54</v>
  </rv>
  <rv s="11">
    <v>27</v>
    <v>EWS</v>
    <v>Daily</v>
    <v>45980</v>
    <v>46013</v>
    <v>0</v>
    <v>1</v>
    <v>639016992000000000,639019766522637698,0</v>
    <v>0</v>
    <v>a1sgec</v>
    <v/>
    <v>55</v>
  </rv>
  <rv s="11">
    <v>27</v>
    <v>EWS</v>
    <v>Daily</v>
    <v>45642</v>
    <v>46013</v>
    <v>0</v>
    <v>1</v>
    <v>639016992000000000,639019766546896808,0</v>
    <v>2</v>
    <v>a1sgec</v>
    <v/>
    <v>56</v>
  </rv>
  <rv s="11">
    <v>27</v>
    <v>EWT</v>
    <v>Daily</v>
    <v>45980</v>
    <v>46013</v>
    <v>0</v>
    <v>1</v>
    <v>639016992000000000,639019766521927093,0</v>
    <v>0</v>
    <v>a1sgk2</v>
    <v/>
    <v>57</v>
  </rv>
  <rv s="11">
    <v>27</v>
    <v>EWT</v>
    <v>Daily</v>
    <v>45642</v>
    <v>46013</v>
    <v>0</v>
    <v>1</v>
    <v>639016992000000000,639019766546262462,0</v>
    <v>2</v>
    <v>a1sgk2</v>
    <v/>
    <v>58</v>
  </rv>
  <rv s="11">
    <v>27</v>
    <v>FXF</v>
    <v>Daily</v>
    <v>45642</v>
    <v>46013</v>
    <v>0</v>
    <v>1</v>
    <v>639016992000000000,639019766521431412,0</v>
    <v>2</v>
    <v>a1tk6h</v>
    <v/>
    <v>59</v>
  </rv>
  <rv s="11">
    <v>27</v>
    <v>FXF</v>
    <v>Daily</v>
    <v>45980</v>
    <v>46013</v>
    <v>0</v>
    <v>1</v>
    <v>639016992000000000,639019766545306642,0</v>
    <v>0</v>
    <v>a1tk6h</v>
    <v/>
    <v>60</v>
  </rv>
  <rv s="11">
    <v>27</v>
    <v>EWG</v>
    <v>Daily</v>
    <v>45642</v>
    <v>46013</v>
    <v>0</v>
    <v>1</v>
    <v>639016992000000000,639019766524822741,0</v>
    <v>61</v>
    <v>a1sf9c</v>
    <v/>
    <v>62</v>
  </rv>
  <rv s="11">
    <v>27</v>
    <v>EWG</v>
    <v>Daily</v>
    <v>45980</v>
    <v>46013</v>
    <v>0</v>
    <v>1</v>
    <v>639016992000000000,639019766537132373,0</v>
    <v>23</v>
    <v>a1sf9c</v>
    <v/>
    <v>63</v>
  </rv>
  <rv s="11">
    <v>27</v>
    <v>EWL</v>
    <v>Daily</v>
    <v>45980</v>
    <v>46013</v>
    <v>0</v>
    <v>1</v>
    <v>639016992000000000,639019766539962210,0</v>
    <v>0</v>
    <v>a1sfqh</v>
    <v/>
    <v>64</v>
  </rv>
  <rv s="11">
    <v>27</v>
    <v>EWL</v>
    <v>Daily</v>
    <v>45642</v>
    <v>46013</v>
    <v>0</v>
    <v>1</v>
    <v>639016992000000000,639019766547164789,0</v>
    <v>2</v>
    <v>a1sfqh</v>
    <v/>
    <v>65</v>
  </rv>
  <rv s="11">
    <v>27</v>
    <v>EWP</v>
    <v>Daily</v>
    <v>45980</v>
    <v>46013</v>
    <v>0</v>
    <v>1</v>
    <v>639016992000000000,639019766545002085,0</v>
    <v>0</v>
    <v>a1sg5r</v>
    <v/>
    <v>66</v>
  </rv>
  <rv s="11">
    <v>27</v>
    <v>EWP</v>
    <v>Daily</v>
    <v>45642</v>
    <v>46013</v>
    <v>0</v>
    <v>1</v>
    <v>639016992000000000,639019766547035194,0</v>
    <v>2</v>
    <v>a1sg5r</v>
    <v/>
    <v>67</v>
  </rv>
  <rv s="11">
    <v>27</v>
    <v>FXC</v>
    <v>Daily</v>
    <v>45980</v>
    <v>46013</v>
    <v>0</v>
    <v>1</v>
    <v>639016992000000000,639019766523607838,0</v>
    <v>0</v>
    <v>a1tjoc</v>
    <v/>
    <v>68</v>
  </rv>
  <rv s="11">
    <v>27</v>
    <v>FXC</v>
    <v>Daily</v>
    <v>45642</v>
    <v>46013</v>
    <v>0</v>
    <v>1</v>
    <v>639016992000000000,639019766546046033,0</v>
    <v>2</v>
    <v>a1tjoc</v>
    <v/>
    <v>69</v>
  </rv>
  <rv s="11">
    <v>27</v>
    <v>IEMG</v>
    <v>Daily</v>
    <v>45980</v>
    <v>46013</v>
    <v>0</v>
    <v>1</v>
    <v>639016992000000000,639019766536607172,0</v>
    <v>0</v>
    <v>a1vbk2</v>
    <v/>
    <v>70</v>
  </rv>
  <rv s="11">
    <v>27</v>
    <v>IEMG</v>
    <v>Daily</v>
    <v>45642</v>
    <v>46013</v>
    <v>0</v>
    <v>1</v>
    <v>639016992000000000,639019766546643083,0</v>
    <v>2</v>
    <v>a1vbk2</v>
    <v/>
    <v>71</v>
  </rv>
  <rv s="11">
    <v>28</v>
    <v>C6E</v>
    <v>Daily</v>
    <v>45642</v>
    <v>46013</v>
    <v>0</v>
    <v>1</v>
    <v>639016992000000000,639019766521673207,0</v>
    <v>72</v>
    <v>bnewf2</v>
    <v/>
    <v>73</v>
  </rv>
  <rv s="11">
    <v>28</v>
    <v>C6E</v>
    <v>Daily</v>
    <v>45980</v>
    <v>46013</v>
    <v>0</v>
    <v>1</v>
    <v>639016992000000000,639019766543199511,0</v>
    <v>23</v>
    <v>ae7zjc</v>
    <v/>
    <v>74</v>
  </rv>
  <rv s="11">
    <v>27</v>
    <v>ITB</v>
    <v>Daily</v>
    <v>45642</v>
    <v>46013</v>
    <v>0</v>
    <v>1</v>
    <v>639016992000000000,639019766531186043,0</v>
    <v>2</v>
    <v>a1vtu2</v>
    <v/>
    <v>75</v>
  </rv>
  <rv s="11">
    <v>27</v>
    <v>ITB</v>
    <v>Daily</v>
    <v>45980</v>
    <v>46013</v>
    <v>0</v>
    <v>1</v>
    <v>639016992000000000,639019766534888495,0</v>
    <v>0</v>
    <v>a1vtu2</v>
    <v/>
    <v>76</v>
  </rv>
  <rv s="11">
    <v>27</v>
    <v>PALL</v>
    <v>Daily</v>
    <v>45980</v>
    <v>46013</v>
    <v>0</v>
    <v>1</v>
    <v>639016992000000000,639019766537804785,0</v>
    <v>0</v>
    <v>a1zgdm</v>
    <v/>
    <v>77</v>
  </rv>
  <rv s="11">
    <v>27</v>
    <v>PALL</v>
    <v>Daily</v>
    <v>45642</v>
    <v>46013</v>
    <v>0</v>
    <v>1</v>
    <v>639016992000000000,639019766547193089,0</v>
    <v>2</v>
    <v>a1zgdm</v>
    <v/>
    <v>78</v>
  </rv>
  <rv s="11">
    <v>27</v>
    <v>FXI</v>
    <v>Daily</v>
    <v>45980</v>
    <v>46013</v>
    <v>0</v>
    <v>1</v>
    <v>639016992000000000,639019766520933886,0</v>
    <v>0</v>
    <v>a1tkf2</v>
    <v/>
    <v>79</v>
  </rv>
  <rv s="11">
    <v>27</v>
    <v>FXI</v>
    <v>Daily</v>
    <v>45642</v>
    <v>46013</v>
    <v>0</v>
    <v>1</v>
    <v>639016992000000000,639019766547067030,0</v>
    <v>2</v>
    <v>a1tkf2</v>
    <v/>
    <v>80</v>
  </rv>
  <rv s="11">
    <v>27</v>
    <v>DAX</v>
    <v>Daily</v>
    <v>45980</v>
    <v>46013</v>
    <v>0</v>
    <v>1</v>
    <v>639016992000000000,639019766543228123,0</v>
    <v>0</v>
    <v>a1qqvh</v>
    <v/>
    <v>81</v>
  </rv>
  <rv s="11">
    <v>27</v>
    <v>DAX</v>
    <v>Daily</v>
    <v>45642</v>
    <v>46013</v>
    <v>0</v>
    <v>1</v>
    <v>639016992000000000,639019766546969131,0</v>
    <v>2</v>
    <v>a1qqvh</v>
    <v/>
    <v>82</v>
  </rv>
  <rv s="11">
    <v>27</v>
    <v>IDX</v>
    <v>Daily</v>
    <v>45980</v>
    <v>46013</v>
    <v>0</v>
    <v>1</v>
    <v>639016992000000000,639019766537404135,0</v>
    <v>0</v>
    <v>a1vaz2</v>
    <v/>
    <v>83</v>
  </rv>
  <rv s="11">
    <v>27</v>
    <v>IDX</v>
    <v>Daily</v>
    <v>45642</v>
    <v>46013</v>
    <v>0</v>
    <v>1</v>
    <v>639016992000000000,639019766546643470,0</v>
    <v>2</v>
    <v>a1vaz2</v>
    <v/>
    <v>84</v>
  </rv>
  <rv s="11">
    <v>27</v>
    <v>FEZ</v>
    <v>Daily</v>
    <v>45980</v>
    <v>46013</v>
    <v>0</v>
    <v>1</v>
    <v>639016992000000000,639019766536732169,0</v>
    <v>0</v>
    <v>a1ssk2</v>
    <v/>
    <v>85</v>
  </rv>
  <rv s="11">
    <v>27</v>
    <v>FEZ</v>
    <v>Daily</v>
    <v>45642</v>
    <v>46013</v>
    <v>0</v>
    <v>1</v>
    <v>639016992000000000,639019766546857963,0</v>
    <v>2</v>
    <v>a1ssk2</v>
    <v/>
    <v>86</v>
  </rv>
  <rv s="11">
    <v>27</v>
    <v>EWJ</v>
    <v>Daily</v>
    <v>45980</v>
    <v>46013</v>
    <v>0</v>
    <v>1</v>
    <v>639016992000000000,639019766536999334,0</v>
    <v>0</v>
    <v>a1sfkr</v>
    <v/>
    <v>87</v>
  </rv>
  <rv s="11">
    <v>27</v>
    <v>EWJ</v>
    <v>Daily</v>
    <v>45642</v>
    <v>46013</v>
    <v>0</v>
    <v>1</v>
    <v>639016992000000000,639019766547172545,0</v>
    <v>2</v>
    <v>a1sfkr</v>
    <v/>
    <v>88</v>
  </rv>
  <rv s="11">
    <v>28</v>
    <v>E40</v>
    <v>Daily</v>
    <v>45642</v>
    <v>46013</v>
    <v>0</v>
    <v>1</v>
    <v>639016992000000000,639019766522760131,0</v>
    <v>72</v>
    <v>ae8ehw</v>
    <v/>
    <v>89</v>
  </rv>
  <rv s="11">
    <v>28</v>
    <v>E40</v>
    <v>Daily</v>
    <v>45980</v>
    <v>46013</v>
    <v>0</v>
    <v>1</v>
    <v>639016992000000000,639019766520902647,0</v>
    <v>23</v>
    <v>ae8ehw</v>
    <v/>
    <v>90</v>
  </rv>
  <rv s="11">
    <v>27</v>
    <v>CPER</v>
    <v>Daily</v>
    <v>45642</v>
    <v>46013</v>
    <v>0</v>
    <v>1</v>
    <v>639016992000000000,639019766521159027,0</v>
    <v>2</v>
    <v>a1q7rw</v>
    <v/>
    <v>91</v>
  </rv>
  <rv s="11">
    <v>27</v>
    <v>CPER</v>
    <v>Daily</v>
    <v>45980</v>
    <v>46013</v>
    <v>0</v>
    <v>1</v>
    <v>639016992000000000,639019766537968028,0</v>
    <v>0</v>
    <v>a1q7rw</v>
    <v/>
    <v>92</v>
  </rv>
  <rv s="11">
    <v>27</v>
    <v>EWY</v>
    <v>Daily</v>
    <v>45642</v>
    <v>46013</v>
    <v>0</v>
    <v>1</v>
    <v>639016992000000000,639019766526369766,0</v>
    <v>2</v>
    <v>a1sh27</v>
    <v/>
    <v>93</v>
  </rv>
  <rv s="11">
    <v>27</v>
    <v>EWY</v>
    <v>Daily</v>
    <v>45980</v>
    <v>46013</v>
    <v>0</v>
    <v>1</v>
    <v>639016992000000000,639019766522402091,0</v>
    <v>0</v>
    <v>a1sh27</v>
    <v/>
    <v>94</v>
  </rv>
  <rv s="11">
    <v>27</v>
    <v>DBB</v>
    <v>Daily</v>
    <v>45642</v>
    <v>46013</v>
    <v>0</v>
    <v>1</v>
    <v>639016992000000000,639019766520889114,0</v>
    <v>2</v>
    <v>a1qrar</v>
    <v/>
    <v>95</v>
  </rv>
  <rv s="11">
    <v>27</v>
    <v>DBB</v>
    <v>Daily</v>
    <v>45980</v>
    <v>46013</v>
    <v>0</v>
    <v>1</v>
    <v>639016992000000000,639019766551622447,0</v>
    <v>0</v>
    <v>a1qrar</v>
    <v/>
    <v>96</v>
  </rv>
  <rv s="11">
    <v>27</v>
    <v>EWA</v>
    <v>Daily</v>
    <v>45980</v>
    <v>46013</v>
    <v>0</v>
    <v>1</v>
    <v>639016992000000000,639019766544835854,0</v>
    <v>0</v>
    <v>a1seu2</v>
    <v/>
    <v>97</v>
  </rv>
  <rv s="11">
    <v>27</v>
    <v>EWA</v>
    <v>Daily</v>
    <v>45642</v>
    <v>46013</v>
    <v>0</v>
    <v>1</v>
    <v>639016992000000000,639019766546767367,0</v>
    <v>2</v>
    <v>a1seu2</v>
    <v/>
    <v>98</v>
  </rv>
  <rv s="11">
    <v>27</v>
    <v>FXB</v>
    <v>Daily</v>
    <v>45642</v>
    <v>46013</v>
    <v>0</v>
    <v>1</v>
    <v>639016992000000000,639019766521301979,0</v>
    <v>2</v>
    <v>a1tjlh</v>
    <v/>
    <v>99</v>
  </rv>
  <rv s="11">
    <v>27</v>
    <v>FXB</v>
    <v>Daily</v>
    <v>45980</v>
    <v>46013</v>
    <v>0</v>
    <v>1</v>
    <v>639016992000000000,639019766523370762,0</v>
    <v>0</v>
    <v>a1tjlh</v>
    <v/>
    <v>100</v>
  </rv>
  <rv s="11">
    <v>27</v>
    <v>EWM</v>
    <v>Daily</v>
    <v>45642</v>
    <v>46013</v>
    <v>0</v>
    <v>1</v>
    <v>639016992000000000,639019766526893289,0</v>
    <v>2</v>
    <v>a1sftc</v>
    <v/>
    <v>101</v>
  </rv>
  <rv s="11">
    <v>27</v>
    <v>EWM</v>
    <v>Daily</v>
    <v>45980</v>
    <v>46013</v>
    <v>0</v>
    <v>1</v>
    <v>639016992000000000,639019766537541882,0</v>
    <v>0</v>
    <v>a1sftc</v>
    <v/>
    <v>102</v>
  </rv>
  <rv s="11">
    <v>27</v>
    <v>IWM</v>
    <v>Daily</v>
    <v>45642</v>
    <v>46013</v>
    <v>0</v>
    <v>1</v>
    <v>639016992000000000,639019766523934983,0</v>
    <v>2</v>
    <v>a1vxfr</v>
    <v/>
    <v>103</v>
  </rv>
  <rv s="11">
    <v>27</v>
    <v>IWM</v>
    <v>Daily</v>
    <v>45980</v>
    <v>46013</v>
    <v>0</v>
    <v>1</v>
    <v>639016992000000000,639019766535978255,0</v>
    <v>0</v>
    <v>a1vxfr</v>
    <v/>
    <v>104</v>
  </rv>
  <rv s="11">
    <v>27</v>
    <v>GLD</v>
    <v>Daily</v>
    <v>45642</v>
    <v>46013</v>
    <v>0</v>
    <v>1</v>
    <v>639016992000000000,639019766520386635,0</v>
    <v>2</v>
    <v>a1twnm</v>
    <v/>
    <v>105</v>
  </rv>
  <rv s="11">
    <v>27</v>
    <v>GLD</v>
    <v>Daily</v>
    <v>45980</v>
    <v>46013</v>
    <v>0</v>
    <v>1</v>
    <v>639016992000000000,639019766546318356,0</v>
    <v>0</v>
    <v>a1twnm</v>
    <v/>
    <v>106</v>
  </rv>
  <rv s="11">
    <v>27</v>
    <v>EWW</v>
    <v>Daily</v>
    <v>45642</v>
    <v>46013</v>
    <v>0</v>
    <v>1</v>
    <v>639016992000000000,639019766525858950,0</v>
    <v>2</v>
    <v>a1sgvh</v>
    <v/>
    <v>107</v>
  </rv>
  <rv s="11">
    <v>27</v>
    <v>EWW</v>
    <v>Daily</v>
    <v>45980</v>
    <v>46013</v>
    <v>0</v>
    <v>1</v>
    <v>639016992000000000,639019766522162500,0</v>
    <v>0</v>
    <v>a1sgvh</v>
    <v/>
    <v>108</v>
  </rv>
  <rv s="11">
    <v>27</v>
    <v>IYG</v>
    <v>Daily</v>
    <v>45642</v>
    <v>46013</v>
    <v>0</v>
    <v>1</v>
    <v>639016992000000000,639019766522432918,0</v>
    <v>2</v>
    <v>a1vz2w</v>
    <v/>
    <v>109</v>
  </rv>
  <rv s="11">
    <v>27</v>
    <v>IYG</v>
    <v>Daily</v>
    <v>45980</v>
    <v>46013</v>
    <v>0</v>
    <v>1</v>
    <v>639016992000000000,639019766534629736,0</v>
    <v>0</v>
    <v>a1vz2w</v>
    <v/>
    <v>110</v>
  </rv>
  <rv s="11">
    <v>27</v>
    <v>PEJ</v>
    <v>Daily</v>
    <v>45642</v>
    <v>46013</v>
    <v>0</v>
    <v>1</v>
    <v>639016992000000000,639019766536493316,0</v>
    <v>2</v>
    <v>a1zorw</v>
    <v/>
    <v>111</v>
  </rv>
  <rv s="11">
    <v>27</v>
    <v>PEJ</v>
    <v>Daily</v>
    <v>45980</v>
    <v>46013</v>
    <v>0</v>
    <v>1</v>
    <v>639016992000000000,639019766543096143,0</v>
    <v>0</v>
    <v>a1zorw</v>
    <v/>
    <v>112</v>
  </rv>
  <rv s="11">
    <v>27</v>
    <v>BND</v>
    <v>Daily</v>
    <v>45980</v>
    <v>46013</v>
    <v>0</v>
    <v>1</v>
    <v>639016992000000000,639019766541433325,0</v>
    <v>0</v>
    <v>a1oopr</v>
    <v/>
    <v>113</v>
  </rv>
  <rv s="11">
    <v>27</v>
    <v>BND</v>
    <v>Daily</v>
    <v>45642</v>
    <v>46013</v>
    <v>0</v>
    <v>1</v>
    <v>639016992000000000,639019766546120639,0</v>
    <v>2</v>
    <v>a1oopr</v>
    <v/>
    <v>114</v>
  </rv>
  <rv s="11">
    <v>27</v>
    <v>QQQ</v>
    <v>Daily</v>
    <v>45642</v>
    <v>46013</v>
    <v>0</v>
    <v>1</v>
    <v>639016992000000000,639019766524091028,0</v>
    <v>2</v>
    <v>a21mim</v>
    <v/>
    <v>115</v>
  </rv>
  <rv s="11">
    <v>27</v>
    <v>QQQ</v>
    <v>Daily</v>
    <v>45980</v>
    <v>46013</v>
    <v>0</v>
    <v>1</v>
    <v>639016992000000000,639019766535634461,0</v>
    <v>0</v>
    <v>a21mim</v>
    <v/>
    <v>116</v>
  </rv>
  <rv s="11">
    <v>27</v>
    <v>HOMZ</v>
    <v>Daily</v>
    <v>45642</v>
    <v>46013</v>
    <v>0</v>
    <v>1</v>
    <v>639016992000000000,639019766533863874,0</v>
    <v>2</v>
    <v>bpidu2</v>
    <v/>
    <v>117</v>
  </rv>
  <rv s="11">
    <v>27</v>
    <v>HOMZ</v>
    <v>Daily</v>
    <v>45980</v>
    <v>46013</v>
    <v>0</v>
    <v>1</v>
    <v>639016992000000000,639019766551821592,0</v>
    <v>0</v>
    <v>bpidu2</v>
    <v/>
    <v>118</v>
  </rv>
  <rv s="11">
    <v>27</v>
    <v>IAT</v>
    <v>Daily</v>
    <v>45980</v>
    <v>46013</v>
    <v>0</v>
    <v>1</v>
    <v>639016992000000000,639019766534386117,0</v>
    <v>0</v>
    <v>a1v4ar</v>
    <v/>
    <v>119</v>
  </rv>
  <rv s="11">
    <v>27</v>
    <v>IAT</v>
    <v>Daily</v>
    <v>45642</v>
    <v>46013</v>
    <v>0</v>
    <v>1</v>
    <v>639016992000000000,639019766541796414,0</v>
    <v>2</v>
    <v>a1v4ar</v>
    <v/>
    <v>120</v>
  </rv>
  <rv s="11">
    <v>28</v>
    <v>EUE</v>
    <v>Daily</v>
    <v>45980</v>
    <v>46013</v>
    <v>0</v>
    <v>1</v>
    <v>639016992000000000,639019766520881023,0</v>
    <v>23</v>
    <v>ajf3fr</v>
    <v/>
    <v>121</v>
  </rv>
  <rv s="11">
    <v>28</v>
    <v>EUE</v>
    <v>Daily</v>
    <v>45642</v>
    <v>46013</v>
    <v>0</v>
    <v>1</v>
    <v>639016992000000000,639019766546754376,0</v>
    <v>21</v>
    <v>ajf3fr</v>
    <v/>
    <v>122</v>
  </rv>
  <rv s="11">
    <v>27</v>
    <v>VGT</v>
    <v>Daily</v>
    <v>45980</v>
    <v>46013</v>
    <v>0</v>
    <v>1</v>
    <v>639016992000000000,639019766531299578,0</v>
    <v>0</v>
    <v>a25bf2</v>
    <v/>
    <v>123</v>
  </rv>
  <rv s="11">
    <v>27</v>
    <v>VGT</v>
    <v>Daily</v>
    <v>45642</v>
    <v>46013</v>
    <v>0</v>
    <v>1</v>
    <v>639016992000000000,639019766552028081,0</v>
    <v>2</v>
    <v>a25bf2</v>
    <v/>
    <v>124</v>
  </rv>
  <rv s="11">
    <v>27</v>
    <v>PINK</v>
    <v>Daily</v>
    <v>45642</v>
    <v>46013</v>
    <v>0</v>
    <v>1</v>
    <v>639016992000000000,639019766523390366,0</v>
    <v>2</v>
    <v>c3od27</v>
    <v/>
    <v>125</v>
  </rv>
  <rv s="11">
    <v>27</v>
    <v>PINK</v>
    <v>Daily</v>
    <v>45980</v>
    <v>46013</v>
    <v>0</v>
    <v>1</v>
    <v>639016992000000000,639019766534140258,0</v>
    <v>0</v>
    <v>c3od27</v>
    <v/>
    <v>126</v>
  </rv>
  <rv s="11">
    <v>27</v>
    <v>XBI</v>
    <v>Daily</v>
    <v>45980</v>
    <v>46013</v>
    <v>0</v>
    <v>1</v>
    <v>639016992000000000,639019766533653700,0</v>
    <v>0</v>
    <v>a265h7</v>
    <v/>
    <v>127</v>
  </rv>
  <rv s="11">
    <v>27</v>
    <v>XBI</v>
    <v>Daily</v>
    <v>45642</v>
    <v>46013</v>
    <v>0</v>
    <v>1</v>
    <v>639016992000000000,639019766534617346,0</v>
    <v>2</v>
    <v>a265h7</v>
    <v/>
    <v>128</v>
  </rv>
  <rv s="11">
    <v>27</v>
    <v>VNQ</v>
    <v>Daily</v>
    <v>45642</v>
    <v>46013</v>
    <v>0</v>
    <v>1</v>
    <v>639016992000000000,639019766541643395,0</v>
    <v>2</v>
    <v>a25gmw</v>
    <v/>
    <v>129</v>
  </rv>
  <rv s="11">
    <v>27</v>
    <v>VNQ</v>
    <v>Daily</v>
    <v>45980</v>
    <v>46013</v>
    <v>0</v>
    <v>1</v>
    <v>639016992000000000,639019766551788164,0</v>
    <v>0</v>
    <v>a25gmw</v>
    <v/>
    <v>130</v>
  </rv>
  <rv s="11">
    <v>27</v>
    <v>VDC</v>
    <v>Daily</v>
    <v>45642</v>
    <v>46013</v>
    <v>0</v>
    <v>1</v>
    <v>639016992000000000,639019766524107729,0</v>
    <v>2</v>
    <v>a258pr</v>
    <v/>
    <v>131</v>
  </rv>
  <rv s="11">
    <v>27</v>
    <v>VDC</v>
    <v>Daily</v>
    <v>45980</v>
    <v>46013</v>
    <v>0</v>
    <v>1</v>
    <v>639016992000000000,639019766532938551,0</v>
    <v>0</v>
    <v>a258pr</v>
    <v/>
    <v>132</v>
  </rv>
  <rv s="11">
    <v>27</v>
    <v>CORN</v>
    <v>Daily</v>
    <v>45980</v>
    <v>46013</v>
    <v>0</v>
    <v>1</v>
    <v>639016992000000000,639019766520743342,0</v>
    <v>0</v>
    <v>a1q62w</v>
    <v/>
    <v>133</v>
  </rv>
  <rv s="11">
    <v>27</v>
    <v>CORN</v>
    <v>Daily</v>
    <v>45642</v>
    <v>46013</v>
    <v>0</v>
    <v>1</v>
    <v>639016992000000000,639019766547025190,0</v>
    <v>2</v>
    <v>a1q62w</v>
    <v/>
    <v>134</v>
  </rv>
  <rv s="11">
    <v>27</v>
    <v>IYR</v>
    <v>Daily</v>
    <v>45642</v>
    <v>46013</v>
    <v>0</v>
    <v>1</v>
    <v>639016992000000000,639019766534241439,0</v>
    <v>2</v>
    <v>a1vzk2</v>
    <v/>
    <v>135</v>
  </rv>
  <rv s="11">
    <v>27</v>
    <v>IYR</v>
    <v>Daily</v>
    <v>45980</v>
    <v>46013</v>
    <v>0</v>
    <v>1</v>
    <v>639016992000000000,639019766532583706,0</v>
    <v>0</v>
    <v>a1vzk2</v>
    <v/>
    <v>136</v>
  </rv>
  <rv s="11">
    <v>27</v>
    <v>IBUY</v>
    <v>Daily</v>
    <v>45980</v>
    <v>46013</v>
    <v>0</v>
    <v>1</v>
    <v>639016992000000000,639019766531380488,0</v>
    <v>0</v>
    <v>a1v7mw</v>
    <v/>
    <v>137</v>
  </rv>
  <rv s="11">
    <v>27</v>
    <v>IBUY</v>
    <v>Daily</v>
    <v>45642</v>
    <v>46013</v>
    <v>0</v>
    <v>1</v>
    <v>639016992000000000,639019766551399900,0</v>
    <v>2</v>
    <v>a1v7mw</v>
    <v/>
    <v>138</v>
  </rv>
  <rv s="11">
    <v>27</v>
    <v>EWI</v>
    <v>Daily</v>
    <v>45980</v>
    <v>46013</v>
    <v>0</v>
    <v>1</v>
    <v>639016992000000000,639019766537269815,0</v>
    <v>0</v>
    <v>a1sfhw</v>
    <v/>
    <v>139</v>
  </rv>
  <rv s="11">
    <v>27</v>
    <v>EWI</v>
    <v>Daily</v>
    <v>45642</v>
    <v>46013</v>
    <v>0</v>
    <v>1</v>
    <v>639016992000000000,639019766546401546,0</v>
    <v>2</v>
    <v>a1sfhw</v>
    <v/>
    <v>140</v>
  </rv>
  <rv s="11">
    <v>27</v>
    <v>IDNA</v>
    <v>Daily</v>
    <v>45980</v>
    <v>46013</v>
    <v>0</v>
    <v>1</v>
    <v>639016992000000000,639019766521593647,0</v>
    <v>0</v>
    <v>bqf94c</v>
    <v/>
    <v>141</v>
  </rv>
  <rv s="11">
    <v>27</v>
    <v>IDNA</v>
    <v>Daily</v>
    <v>45642</v>
    <v>46013</v>
    <v>0</v>
    <v>1</v>
    <v>639016992000000000,639019766532774602,0</v>
    <v>2</v>
    <v>bqf94c</v>
    <v/>
    <v>142</v>
  </rv>
  <rv s="11">
    <v>27</v>
    <v>CATL</v>
    <v>Daily</v>
    <v>45980</v>
    <v>46013</v>
    <v>0</v>
    <v>1</v>
    <v>639016992000000000,639019766536335839,0</v>
    <v>0</v>
    <v>chaiim</v>
    <v>OTCM:CYATY</v>
    <v>143</v>
  </rv>
  <rv s="11">
    <v>27</v>
    <v>CATL</v>
    <v>Daily</v>
    <v>45642</v>
    <v>46013</v>
    <v>0</v>
    <v>1</v>
    <v>639016992000000000,639019766546444278,0</v>
    <v>144</v>
    <v>chaiim</v>
    <v>OTCM:CYATY</v>
    <v>145</v>
  </rv>
  <rv s="11">
    <v>27</v>
    <v>XLI</v>
    <v>Daily</v>
    <v>45642</v>
    <v>46013</v>
    <v>0</v>
    <v>1</v>
    <v>639016992000000000,639019766523136910,0</v>
    <v>2</v>
    <v>a267ww</v>
    <v/>
    <v>146</v>
  </rv>
  <rv s="11">
    <v>27</v>
    <v>XLI</v>
    <v>Daily</v>
    <v>45980</v>
    <v>46013</v>
    <v>0</v>
    <v>1</v>
    <v>639016992000000000,639019766534708446,0</v>
    <v>0</v>
    <v>a267ww</v>
    <v/>
    <v>147</v>
  </rv>
  <rv s="11">
    <v>27</v>
    <v>CIBR</v>
    <v>Daily</v>
    <v>45980</v>
    <v>46013</v>
    <v>0</v>
    <v>1</v>
    <v>639016992000000000,639019766534818709,0</v>
    <v>0</v>
    <v>a1ppec</v>
    <v/>
    <v>148</v>
  </rv>
  <rv s="11">
    <v>27</v>
    <v>CIBR</v>
    <v>Daily</v>
    <v>45642</v>
    <v>46013</v>
    <v>0</v>
    <v>1</v>
    <v>639016992000000000,639019766551930179,0</v>
    <v>2</v>
    <v>a1ppec</v>
    <v/>
    <v>149</v>
  </rv>
  <rv s="11">
    <v>27</v>
    <v>XLU</v>
    <v>Daily</v>
    <v>45642</v>
    <v>46013</v>
    <v>0</v>
    <v>1</v>
    <v>639016992000000000,639019766522823422,0</v>
    <v>2</v>
    <v>a268f2</v>
    <v/>
    <v>150</v>
  </rv>
  <rv s="11">
    <v>27</v>
    <v>XLU</v>
    <v>Daily</v>
    <v>45980</v>
    <v>46013</v>
    <v>0</v>
    <v>1</v>
    <v>639016992000000000,639019766531278901,0</v>
    <v>0</v>
    <v>a268f2</v>
    <v/>
    <v>151</v>
  </rv>
  <rv s="11">
    <v>27</v>
    <v>KIE</v>
    <v>Daily</v>
    <v>45642</v>
    <v>46013</v>
    <v>0</v>
    <v>1</v>
    <v>639016992000000000,639019766522916487,0</v>
    <v>2</v>
    <v>a1wicw</v>
    <v/>
    <v>152</v>
  </rv>
  <rv s="11">
    <v>27</v>
    <v>KIE</v>
    <v>Daily</v>
    <v>45980</v>
    <v>46013</v>
    <v>0</v>
    <v>1</v>
    <v>639016992000000000,639019766544178739,0</v>
    <v>0</v>
    <v>a1wicw</v>
    <v/>
    <v>153</v>
  </rv>
  <rv s="11">
    <v>27</v>
    <v>XLY</v>
    <v>Daily</v>
    <v>45642</v>
    <v>46013</v>
    <v>0</v>
    <v>1</v>
    <v>639016992000000000,639019766523456938,0</v>
    <v>2</v>
    <v>a268kr</v>
    <v/>
    <v>154</v>
  </rv>
  <rv s="11">
    <v>27</v>
    <v>XLY</v>
    <v>Daily</v>
    <v>45980</v>
    <v>46013</v>
    <v>0</v>
    <v>1</v>
    <v>639016992000000000,639019766534454101,0</v>
    <v>0</v>
    <v>a268kr</v>
    <v/>
    <v>155</v>
  </rv>
  <rv s="11">
    <v>27</v>
    <v>QQQE</v>
    <v>Daily</v>
    <v>45980</v>
    <v>46013</v>
    <v>0</v>
    <v>1</v>
    <v>639016992000000000,639019766534263916,0</v>
    <v>0</v>
    <v>a21moc</v>
    <v/>
    <v>156</v>
  </rv>
  <rv s="11">
    <v>27</v>
    <v>QQQE</v>
    <v>Daily</v>
    <v>45642</v>
    <v>46013</v>
    <v>0</v>
    <v>1</v>
    <v>639016992000000000,639019766552378206,0</v>
    <v>2</v>
    <v>a21moc</v>
    <v/>
    <v>157</v>
  </rv>
  <rv s="11">
    <v>27</v>
    <v>NETL</v>
    <v>Daily</v>
    <v>45642</v>
    <v>46013</v>
    <v>0</v>
    <v>1</v>
    <v>639016992000000000,639019766533482698,0</v>
    <v>2</v>
    <v>bpie9c</v>
    <v/>
    <v>158</v>
  </rv>
  <rv s="11">
    <v>27</v>
    <v>NETL</v>
    <v>Daily</v>
    <v>45980</v>
    <v>46013</v>
    <v>0</v>
    <v>1</v>
    <v>639016992000000000,639019766546507340,0</v>
    <v>0</v>
    <v>bpie9c</v>
    <v/>
    <v>159</v>
  </rv>
  <rv s="11">
    <v>27</v>
    <v>SOCL</v>
    <v>Daily</v>
    <v>45642</v>
    <v>46013</v>
    <v>0</v>
    <v>1</v>
    <v>639016992000000000,639019766523571449,0</v>
    <v>2</v>
    <v>a23a8m</v>
    <v/>
    <v>160</v>
  </rv>
  <rv s="11">
    <v>27</v>
    <v>SOCL</v>
    <v>Daily</v>
    <v>45980</v>
    <v>46013</v>
    <v>0</v>
    <v>1</v>
    <v>639016992000000000,639019766521444052,0</v>
    <v>0</v>
    <v>a23a8m</v>
    <v/>
    <v>161</v>
  </rv>
  <rv s="11">
    <v>27</v>
    <v>PICK</v>
    <v>Daily</v>
    <v>45642</v>
    <v>46013</v>
    <v>0</v>
    <v>1</v>
    <v>639016992000000000,639019766534614045,0</v>
    <v>2</v>
    <v>a1zvec</v>
    <v/>
    <v>162</v>
  </rv>
  <rv s="11">
    <v>27</v>
    <v>PICK</v>
    <v>Daily</v>
    <v>45980</v>
    <v>46013</v>
    <v>0</v>
    <v>1</v>
    <v>639016992000000000,639019766543093200,0</v>
    <v>0</v>
    <v>a1zvec</v>
    <v/>
    <v>163</v>
  </rv>
  <rv s="11">
    <v>27</v>
    <v>EWH</v>
    <v>Daily</v>
    <v>45642</v>
    <v>46013</v>
    <v>0</v>
    <v>1</v>
    <v>639016992000000000,639019766525338836,0</v>
    <v>2</v>
    <v>a1sff2</v>
    <v/>
    <v>164</v>
  </rv>
  <rv s="11">
    <v>27</v>
    <v>EWH</v>
    <v>Daily</v>
    <v>45980</v>
    <v>46013</v>
    <v>0</v>
    <v>1</v>
    <v>639016992000000000,639019766543325752,0</v>
    <v>0</v>
    <v>a1sff2</v>
    <v/>
    <v>165</v>
  </rv>
  <rv s="11">
    <v>27</v>
    <v>SMH</v>
    <v>Daily</v>
    <v>45642</v>
    <v>46013</v>
    <v>0</v>
    <v>1</v>
    <v>639016992000000000,639019766526119242,0</v>
    <v>2</v>
    <v>a235f2</v>
    <v/>
    <v>166</v>
  </rv>
  <rv s="11">
    <v>27</v>
    <v>SMH</v>
    <v>Daily</v>
    <v>45980</v>
    <v>46013</v>
    <v>0</v>
    <v>1</v>
    <v>639016992000000000,639019766542047247,0</v>
    <v>0</v>
    <v>a235f2</v>
    <v/>
    <v>167</v>
  </rv>
  <rv s="11">
    <v>27</v>
    <v>GDX</v>
    <v>Daily</v>
    <v>45642</v>
    <v>46013</v>
    <v>0</v>
    <v>1</v>
    <v>639016992000000000,639019766534990469,0</v>
    <v>2</v>
    <v>a1tqp2</v>
    <v/>
    <v>168</v>
  </rv>
  <rv s="11">
    <v>27</v>
    <v>GDX</v>
    <v>Daily</v>
    <v>45980</v>
    <v>46013</v>
    <v>0</v>
    <v>1</v>
    <v>639016992000000000,639019766545992354,0</v>
    <v>0</v>
    <v>a1tqp2</v>
    <v/>
    <v>169</v>
  </rv>
  <rv s="11">
    <v>27</v>
    <v>IAI</v>
    <v>Daily</v>
    <v>45980</v>
    <v>46013</v>
    <v>0</v>
    <v>1</v>
    <v>639016992000000000,639019766551682681,0</v>
    <v>0</v>
    <v>a1v3yc</v>
    <v/>
    <v>170</v>
  </rv>
  <rv s="11">
    <v>27</v>
    <v>IAI</v>
    <v>Daily</v>
    <v>45642</v>
    <v>46013</v>
    <v>0</v>
    <v>1</v>
    <v>639016992000000000,639019766551182199,0</v>
    <v>2</v>
    <v>a1v3yc</v>
    <v/>
    <v>171</v>
  </rv>
  <rv s="11">
    <v>27</v>
    <v>EDOW</v>
    <v>Daily</v>
    <v>45642</v>
    <v>46013</v>
    <v>0</v>
    <v>1</v>
    <v>639016992000000000,639019766531208801,0</v>
    <v>2</v>
    <v>a1rnsm</v>
    <v/>
    <v>172</v>
  </rv>
  <rv s="11">
    <v>27</v>
    <v>EDOW</v>
    <v>Daily</v>
    <v>45980</v>
    <v>46013</v>
    <v>0</v>
    <v>1</v>
    <v>639016992000000000,639019766534302396,0</v>
    <v>0</v>
    <v>a1rnsm</v>
    <v/>
    <v>173</v>
  </rv>
  <rv s="11">
    <v>27</v>
    <v>FDN</v>
    <v>Daily</v>
    <v>45980</v>
    <v>46013</v>
    <v>0</v>
    <v>1</v>
    <v>639016992000000000,639019766542524041,0</v>
    <v>0</v>
    <v>a1sq4c</v>
    <v/>
    <v>174</v>
  </rv>
  <rv s="11">
    <v>27</v>
    <v>FDN</v>
    <v>Daily</v>
    <v>45642</v>
    <v>46013</v>
    <v>0</v>
    <v>1</v>
    <v>639016992000000000,639019766551600366,0</v>
    <v>2</v>
    <v>a1sq4c</v>
    <v/>
    <v>175</v>
  </rv>
  <rv s="11">
    <v>27</v>
    <v>SIL</v>
    <v>Daily</v>
    <v>45642</v>
    <v>46013</v>
    <v>0</v>
    <v>1</v>
    <v>639016992000000000,639019766522848939,0</v>
    <v>2</v>
    <v>a22yp2</v>
    <v/>
    <v>176</v>
  </rv>
  <rv s="11">
    <v>27</v>
    <v>SIL</v>
    <v>Daily</v>
    <v>45980</v>
    <v>46013</v>
    <v>0</v>
    <v>1</v>
    <v>639016992000000000,639019766551758297,0</v>
    <v>0</v>
    <v>a22yp2</v>
    <v/>
    <v>177</v>
  </rv>
  <rv s="11">
    <v>27</v>
    <v>VOX</v>
    <v>Daily</v>
    <v>45980</v>
    <v>46013</v>
    <v>0</v>
    <v>1</v>
    <v>639016992000000000,639019766534837516,0</v>
    <v>0</v>
    <v>a25hxm</v>
    <v/>
    <v>178</v>
  </rv>
  <rv s="11">
    <v>27</v>
    <v>VOX</v>
    <v>Daily</v>
    <v>45642</v>
    <v>46013</v>
    <v>0</v>
    <v>1</v>
    <v>639016992000000000,639019766551716631,0</v>
    <v>2</v>
    <v>a25hxm</v>
    <v/>
    <v>179</v>
  </rv>
  <rv s="11">
    <v>27</v>
    <v>XLC</v>
    <v>Daily</v>
    <v>45980</v>
    <v>46013</v>
    <v>0</v>
    <v>1</v>
    <v>639016992000000000,639019766534418502,0</v>
    <v>0</v>
    <v>b1hbp2</v>
    <v/>
    <v>180</v>
  </rv>
  <rv s="11">
    <v>27</v>
    <v>XLC</v>
    <v>Daily</v>
    <v>45642</v>
    <v>46013</v>
    <v>0</v>
    <v>1</v>
    <v>639016992000000000,639019766552111906,0</v>
    <v>2</v>
    <v>b1hbp2</v>
    <v/>
    <v>181</v>
  </rv>
  <rv s="11">
    <v>27</v>
    <v>VPU</v>
    <v>Daily</v>
    <v>45642</v>
    <v>46013</v>
    <v>0</v>
    <v>1</v>
    <v>639016992000000000,639019766523868302,0</v>
    <v>2</v>
    <v>a25icw</v>
    <v/>
    <v>182</v>
  </rv>
  <rv s="11">
    <v>27</v>
    <v>VPU</v>
    <v>Daily</v>
    <v>45980</v>
    <v>46013</v>
    <v>0</v>
    <v>1</v>
    <v>639016992000000000,639019766533177706,0</v>
    <v>0</v>
    <v>a25icw</v>
    <v/>
    <v>183</v>
  </rv>
  <rv s="11">
    <v>27</v>
    <v>VDE</v>
    <v>Daily</v>
    <v>45980</v>
    <v>46013</v>
    <v>0</v>
    <v>1</v>
    <v>639016992000000000,639019766521544302,0</v>
    <v>0</v>
    <v>a258sm</v>
    <v/>
    <v>184</v>
  </rv>
  <rv s="11">
    <v>27</v>
    <v>VDE</v>
    <v>Daily</v>
    <v>45642</v>
    <v>46013</v>
    <v>0</v>
    <v>1</v>
    <v>639016992000000000,639019766541886691,0</v>
    <v>2</v>
    <v>a258sm</v>
    <v/>
    <v>185</v>
  </rv>
  <rv s="11">
    <v>27</v>
    <v>XHS</v>
    <v>Daily</v>
    <v>45642</v>
    <v>46013</v>
    <v>0</v>
    <v>1</v>
    <v>639016992000000000,639019766532696920,0</v>
    <v>2</v>
    <v>a2671h</v>
    <v/>
    <v>186</v>
  </rv>
  <rv s="11">
    <v>27</v>
    <v>XHS</v>
    <v>Daily</v>
    <v>45980</v>
    <v>46013</v>
    <v>0</v>
    <v>1</v>
    <v>639016992000000000,639019766543771499,0</v>
    <v>0</v>
    <v>a2671h</v>
    <v/>
    <v>187</v>
  </rv>
  <rv s="11">
    <v>27</v>
    <v>WEAT</v>
    <v>Daily</v>
    <v>45980</v>
    <v>46013</v>
    <v>0</v>
    <v>1</v>
    <v>639016992000000000,639019766520838326,0</v>
    <v>0</v>
    <v>a25sbh</v>
    <v/>
    <v>188</v>
  </rv>
  <rv s="11">
    <v>27</v>
    <v>WEAT</v>
    <v>Daily</v>
    <v>45642</v>
    <v>46013</v>
    <v>0</v>
    <v>1</v>
    <v>639016992000000000,639019766546553798,0</v>
    <v>2</v>
    <v>a25sbh</v>
    <v/>
    <v>189</v>
  </rv>
  <rv s="11">
    <v>27</v>
    <v>XHB</v>
    <v>Daily</v>
    <v>45642</v>
    <v>46013</v>
    <v>0</v>
    <v>1</v>
    <v>639016992000000000,639019766524346682,0</v>
    <v>2</v>
    <v>a266rw</v>
    <v/>
    <v>190</v>
  </rv>
  <rv s="11">
    <v>27</v>
    <v>XHB</v>
    <v>Daily</v>
    <v>45980</v>
    <v>46013</v>
    <v>0</v>
    <v>1</v>
    <v>639016992000000000,639019766531403823,0</v>
    <v>0</v>
    <v>a266rw</v>
    <v/>
    <v>191</v>
  </rv>
  <rv s="11">
    <v>27</v>
    <v>IDRV</v>
    <v>Daily</v>
    <v>45642</v>
    <v>46013</v>
    <v>0</v>
    <v>1</v>
    <v>639016992000000000,639019766522852289,0</v>
    <v>2</v>
    <v>bpryww</v>
    <v/>
    <v>192</v>
  </rv>
  <rv s="11">
    <v>27</v>
    <v>IDRV</v>
    <v>Daily</v>
    <v>45980</v>
    <v>46013</v>
    <v>0</v>
    <v>1</v>
    <v>639016992000000000,639019766521468394,0</v>
    <v>0</v>
    <v>bpryww</v>
    <v/>
    <v>193</v>
  </rv>
  <rv s="11">
    <v>27</v>
    <v>XRT</v>
    <v>Daily</v>
    <v>45980</v>
    <v>46013</v>
    <v>0</v>
    <v>1</v>
    <v>639016992000000000,639019766534868153,0</v>
    <v>0</v>
    <v>a26ap2</v>
    <v/>
    <v>194</v>
  </rv>
  <rv s="11">
    <v>27</v>
    <v>XRT</v>
    <v>Daily</v>
    <v>45642</v>
    <v>46013</v>
    <v>0</v>
    <v>1</v>
    <v>639016992000000000,639019766551498192,0</v>
    <v>2</v>
    <v>a26ap2</v>
    <v/>
    <v>195</v>
  </rv>
  <rv s="11">
    <v>27</v>
    <v>EWZ</v>
    <v>Daily</v>
    <v>45980</v>
    <v>46013</v>
    <v>0</v>
    <v>1</v>
    <v>639016992000000000,639019766543291641,0</v>
    <v>0</v>
    <v>a1sh52</v>
    <v/>
    <v>196</v>
  </rv>
  <rv s="11">
    <v>27</v>
    <v>EWZ</v>
    <v>Daily</v>
    <v>45642</v>
    <v>46013</v>
    <v>0</v>
    <v>1</v>
    <v>639016992000000000,639019766547270329,0</v>
    <v>2</v>
    <v>a1sh52</v>
    <v/>
    <v>197</v>
  </rv>
  <rv s="11">
    <v>27</v>
    <v>IYE</v>
    <v>Daily</v>
    <v>45642</v>
    <v>46013</v>
    <v>0</v>
    <v>1</v>
    <v>639016992000000000,639019766536116414,0</v>
    <v>2</v>
    <v>a1vyw7</v>
    <v/>
    <v>198</v>
  </rv>
  <rv s="11">
    <v>27</v>
    <v>IYE</v>
    <v>Daily</v>
    <v>45980</v>
    <v>46013</v>
    <v>0</v>
    <v>1</v>
    <v>639016992000000000,639019766543366187,0</v>
    <v>0</v>
    <v>a1vyw7</v>
    <v/>
    <v>199</v>
  </rv>
  <rv s="11">
    <v>27</v>
    <v>KXI</v>
    <v>Daily</v>
    <v>45980</v>
    <v>46013</v>
    <v>0</v>
    <v>1</v>
    <v>639016992000000000,639019766536525769,0</v>
    <v>0</v>
    <v>a1wpjc</v>
    <v/>
    <v>200</v>
  </rv>
  <rv s="11">
    <v>27</v>
    <v>KXI</v>
    <v>Daily</v>
    <v>45642</v>
    <v>46013</v>
    <v>0</v>
    <v>1</v>
    <v>639016992000000000,639019766551291318,0</v>
    <v>2</v>
    <v>a1wpjc</v>
    <v/>
    <v>201</v>
  </rv>
  <rv s="11">
    <v>27</v>
    <v>XTN</v>
    <v>Daily</v>
    <v>45642</v>
    <v>46013</v>
    <v>0</v>
    <v>1</v>
    <v>639016992000000000,639019766535368941,0</v>
    <v>2</v>
    <v>a26boc</v>
    <v/>
    <v>202</v>
  </rv>
  <rv s="11">
    <v>27</v>
    <v>XTN</v>
    <v>Daily</v>
    <v>45980</v>
    <v>46013</v>
    <v>0</v>
    <v>1</v>
    <v>639016992000000000,639019766551741456,0</v>
    <v>0</v>
    <v>a26boc</v>
    <v/>
    <v>203</v>
  </rv>
  <rv s="11">
    <v>27</v>
    <v>AIQ</v>
    <v>Daily</v>
    <v>45980</v>
    <v>46013</v>
    <v>0</v>
    <v>1</v>
    <v>639016992000000000,639019766542362320,0</v>
    <v>0</v>
    <v>azzpyc</v>
    <v/>
    <v>204</v>
  </rv>
  <rv s="11">
    <v>27</v>
    <v>AIQ</v>
    <v>Daily</v>
    <v>45642</v>
    <v>46013</v>
    <v>0</v>
    <v>1</v>
    <v>639016992000000000,639019766551822055,0</v>
    <v>2</v>
    <v>azzpyc</v>
    <v/>
    <v>205</v>
  </rv>
  <rv s="11">
    <v>27</v>
    <v>XT</v>
    <v>Daily</v>
    <v>45642</v>
    <v>46013</v>
    <v>0</v>
    <v>1</v>
    <v>639016992000000000,639019766525026514,0</v>
    <v>2</v>
    <v>a26bcw</v>
    <v/>
    <v>206</v>
  </rv>
  <rv s="11">
    <v>27</v>
    <v>XT</v>
    <v>Daily</v>
    <v>45980</v>
    <v>46013</v>
    <v>0</v>
    <v>1</v>
    <v>639016992000000000,639019766521393597,0</v>
    <v>0</v>
    <v>a26bcw</v>
    <v/>
    <v>207</v>
  </rv>
  <rv s="11">
    <v>27</v>
    <v>SPY</v>
    <v>Daily</v>
    <v>45980</v>
    <v>46013</v>
    <v>0</v>
    <v>1</v>
    <v>639016992000000000,639019766551847903,0</v>
    <v>0</v>
    <v>a23hqh</v>
    <v/>
    <v>208</v>
  </rv>
  <rv s="11">
    <v>27</v>
    <v>SPY</v>
    <v>Daily</v>
    <v>45642</v>
    <v>46013</v>
    <v>0</v>
    <v>1</v>
    <v>639016992000000000,639019766552509095,0</v>
    <v>2</v>
    <v>a23hqh</v>
    <v/>
    <v>209</v>
  </rv>
  <rv s="11">
    <v>27</v>
    <v>BOTZ</v>
    <v>Daily</v>
    <v>45642</v>
    <v>46013</v>
    <v>0</v>
    <v>1</v>
    <v>639016992000000000,639019766524668689,0</v>
    <v>2</v>
    <v>a1or9c</v>
    <v/>
    <v>210</v>
  </rv>
  <rv s="11">
    <v>27</v>
    <v>BOTZ</v>
    <v>Daily</v>
    <v>45980</v>
    <v>46013</v>
    <v>0</v>
    <v>1</v>
    <v>639016992000000000,639019766531323240,0</v>
    <v>0</v>
    <v>a1or9c</v>
    <v/>
    <v>211</v>
  </rv>
  <rv s="11">
    <v>27</v>
    <v>RSP</v>
    <v>Daily</v>
    <v>45642</v>
    <v>46013</v>
    <v>0</v>
    <v>1</v>
    <v>639016992000000000,639019766531237229,0</v>
    <v>2</v>
    <v>a229vh</v>
    <v/>
    <v>212</v>
  </rv>
  <rv s="11">
    <v>27</v>
    <v>RSP</v>
    <v>Daily</v>
    <v>45980</v>
    <v>46013</v>
    <v>0</v>
    <v>1</v>
    <v>639016992000000000,639019766536142937,0</v>
    <v>0</v>
    <v>a229vh</v>
    <v/>
    <v>213</v>
  </rv>
  <rv s="11">
    <v>27</v>
    <v>XLB</v>
    <v>Daily</v>
    <v>45980</v>
    <v>46013</v>
    <v>0</v>
    <v>1</v>
    <v>639016992000000000,639019766534724668,0</v>
    <v>0</v>
    <v>a267lh</v>
    <v/>
    <v>214</v>
  </rv>
  <rv s="11">
    <v>27</v>
    <v>XLB</v>
    <v>Daily</v>
    <v>45642</v>
    <v>46013</v>
    <v>0</v>
    <v>1</v>
    <v>639016992000000000,639019766551709543,0</v>
    <v>2</v>
    <v>a267lh</v>
    <v/>
    <v>215</v>
  </rv>
  <rv s="11">
    <v>27</v>
    <v>XLK</v>
    <v>Daily</v>
    <v>45980</v>
    <v>46013</v>
    <v>0</v>
    <v>1</v>
    <v>639016992000000000,639019766534745404,0</v>
    <v>0</v>
    <v>a267zr</v>
    <v/>
    <v>216</v>
  </rv>
  <rv s="11">
    <v>27</v>
    <v>XLK</v>
    <v>Daily</v>
    <v>45642</v>
    <v>46013</v>
    <v>0</v>
    <v>1</v>
    <v>639016992000000000,639019766551567890,0</v>
    <v>2</v>
    <v>a267zr</v>
    <v/>
    <v>217</v>
  </rv>
  <rv s="11">
    <v>27</v>
    <v>UNG</v>
    <v>Daily</v>
    <v>45642</v>
    <v>46013</v>
    <v>0</v>
    <v>1</v>
    <v>639016992000000000,639019766520624584,0</v>
    <v>2</v>
    <v>a24xim</v>
    <v/>
    <v>218</v>
  </rv>
  <rv s="11">
    <v>27</v>
    <v>UNG</v>
    <v>Daily</v>
    <v>45980</v>
    <v>46013</v>
    <v>0</v>
    <v>1</v>
    <v>639016992000000000,639019766520723432,0</v>
    <v>0</v>
    <v>a24xim</v>
    <v/>
    <v>219</v>
  </rv>
  <rv s="11">
    <v>27</v>
    <v>EWU</v>
    <v>Daily</v>
    <v>45642</v>
    <v>46013</v>
    <v>0</v>
    <v>1</v>
    <v>639016992000000000,639019766524306462,0</v>
    <v>2</v>
    <v>a1sgmw</v>
    <v/>
    <v>220</v>
  </rv>
  <rv s="11">
    <v>27</v>
    <v>EWU</v>
    <v>Daily</v>
    <v>45980</v>
    <v>46013</v>
    <v>0</v>
    <v>1</v>
    <v>639016992000000000,639019766521682902,0</v>
    <v>0</v>
    <v>a1sgmw</v>
    <v/>
    <v>221</v>
  </rv>
  <rv s="11">
    <v>27</v>
    <v>SRVR</v>
    <v>Daily</v>
    <v>45642</v>
    <v>46013</v>
    <v>0</v>
    <v>1</v>
    <v>639016992000000000,639019766541623476,0</v>
    <v>2</v>
    <v>b11727</v>
    <v/>
    <v>222</v>
  </rv>
  <rv s="11">
    <v>27</v>
    <v>SRVR</v>
    <v>Daily</v>
    <v>45980</v>
    <v>46013</v>
    <v>0</v>
    <v>1</v>
    <v>639016992000000000,639019766546331599,0</v>
    <v>0</v>
    <v>b11727</v>
    <v/>
    <v>223</v>
  </rv>
  <rv s="11">
    <v>27</v>
    <v>FT</v>
    <v>Daily</v>
    <v>45642</v>
    <v>46013</v>
    <v>0</v>
    <v>1</v>
    <v>639016992000000000,639019766523216220,0</v>
    <v>2</v>
    <v>a1tem7</v>
    <v/>
    <v>224</v>
  </rv>
  <rv s="11">
    <v>27</v>
    <v>FXA</v>
    <v>Daily</v>
    <v>45980</v>
    <v>46013</v>
    <v>0</v>
    <v>1</v>
    <v>639016992000000000,639019766540697440,0</v>
    <v>0</v>
    <v>a1tjim</v>
    <v/>
    <v>225</v>
  </rv>
  <rv s="11">
    <v>27</v>
    <v>FXA</v>
    <v>Daily</v>
    <v>45642</v>
    <v>46013</v>
    <v>0</v>
    <v>1</v>
    <v>639016992000000000,639019766547427881,0</v>
    <v>2</v>
    <v>a1tjim</v>
    <v/>
    <v>226</v>
  </rv>
  <rv s="11">
    <v>27</v>
    <v>DIA</v>
    <v>Daily</v>
    <v>45642</v>
    <v>46013</v>
    <v>0</v>
    <v>1</v>
    <v>639016992000000000,639019766531248622,0</v>
    <v>2</v>
    <v>a1r2c7</v>
    <v/>
    <v>227</v>
  </rv>
  <rv s="11">
    <v>27</v>
    <v>DIA</v>
    <v>Daily</v>
    <v>45980</v>
    <v>46013</v>
    <v>0</v>
    <v>1</v>
    <v>639016992000000000,639019766535810218,0</v>
    <v>0</v>
    <v>a1r2c7</v>
    <v/>
    <v>228</v>
  </rv>
  <rv s="11">
    <v>27</v>
    <v>IHI</v>
    <v>Daily</v>
    <v>45642</v>
    <v>46013</v>
    <v>0</v>
    <v>1</v>
    <v>639016992000000000,639019766532750550,0</v>
    <v>2</v>
    <v>a1vf8m</v>
    <v/>
    <v>229</v>
  </rv>
  <rv s="11">
    <v>27</v>
    <v>IHI</v>
    <v>Daily</v>
    <v>45980</v>
    <v>46013</v>
    <v>0</v>
    <v>1</v>
    <v>639016992000000000,639019766537176720,0</v>
    <v>0</v>
    <v>a1vf8m</v>
    <v/>
    <v>230</v>
  </rv>
  <rv s="11">
    <v>27</v>
    <v>SCHH</v>
    <v>Daily</v>
    <v>45642</v>
    <v>46013</v>
    <v>0</v>
    <v>1</v>
    <v>639016992000000000,639019766522341864,0</v>
    <v>2</v>
    <v>a22mdm</v>
    <v/>
    <v>231</v>
  </rv>
  <rv s="11">
    <v>27</v>
    <v>SCHH</v>
    <v>Daily</v>
    <v>45980</v>
    <v>46013</v>
    <v>0</v>
    <v>1</v>
    <v>639016992000000000,639019766532607691,0</v>
    <v>0</v>
    <v>a22mdm</v>
    <v/>
    <v>232</v>
  </rv>
  <rv s="11">
    <v>27</v>
    <v>SLX</v>
    <v>Daily</v>
    <v>45980</v>
    <v>46013</v>
    <v>0</v>
    <v>1</v>
    <v>639016992000000000,639019766532553835,0</v>
    <v>0</v>
    <v>a2344c</v>
    <v/>
    <v>233</v>
  </rv>
  <rv s="11">
    <v>27</v>
    <v>SLX</v>
    <v>Daily</v>
    <v>45642</v>
    <v>46013</v>
    <v>0</v>
    <v>1</v>
    <v>639016992000000000,639019766541676643,0</v>
    <v>2</v>
    <v>a2344c</v>
    <v/>
    <v>234</v>
  </rv>
  <rv s="11">
    <v>27</v>
    <v>PIN</v>
    <v>Daily</v>
    <v>45980</v>
    <v>46013</v>
    <v>0</v>
    <v>1</v>
    <v>639016992000000000,639019766544676565,0</v>
    <v>0</v>
    <v>a1zvyc</v>
    <v/>
    <v>235</v>
  </rv>
  <rv s="11">
    <v>27</v>
    <v>PIN</v>
    <v>Daily</v>
    <v>45642</v>
    <v>46013</v>
    <v>0</v>
    <v>1</v>
    <v>639016992000000000,639019766546518457,0</v>
    <v>2</v>
    <v>a1zvyc</v>
    <v/>
    <v>236</v>
  </rv>
  <rv s="11">
    <v>27</v>
    <v>URA</v>
    <v>Daily</v>
    <v>45642</v>
    <v>46013</v>
    <v>0</v>
    <v>1</v>
    <v>639016992000000000,639019766521019623,0</v>
    <v>2</v>
    <v>a24yz2</v>
    <v/>
    <v>237</v>
  </rv>
  <rv s="11">
    <v>27</v>
    <v>URA</v>
    <v>Daily</v>
    <v>45980</v>
    <v>46013</v>
    <v>0</v>
    <v>1</v>
    <v>639016992000000000,639019766551649436,0</v>
    <v>0</v>
    <v>a24yz2</v>
    <v/>
    <v>238</v>
  </rv>
  <rv s="11">
    <v>27</v>
    <v>FIDU</v>
    <v>Daily</v>
    <v>45642</v>
    <v>46013</v>
    <v>0</v>
    <v>1</v>
    <v>639016992000000000,639019766523018162,0</v>
    <v>2</v>
    <v>a1svqh</v>
    <v/>
    <v>239</v>
  </rv>
  <rv s="11">
    <v>27</v>
    <v>FIDU</v>
    <v>Daily</v>
    <v>45980</v>
    <v>46013</v>
    <v>0</v>
    <v>1</v>
    <v>639016992000000000,639019766535122017,0</v>
    <v>0</v>
    <v>a1svqh</v>
    <v/>
    <v>240</v>
  </rv>
  <rv s="11">
    <v>27</v>
    <v>KBE</v>
    <v>Daily</v>
    <v>45642</v>
    <v>46013</v>
    <v>0</v>
    <v>1</v>
    <v>639016992000000000,639019766541822346,0</v>
    <v>2</v>
    <v>a1wer7</v>
    <v/>
    <v>241</v>
  </rv>
  <rv s="11">
    <v>27</v>
    <v>KBE</v>
    <v>Daily</v>
    <v>45980</v>
    <v>46013</v>
    <v>0</v>
    <v>1</v>
    <v>639016992000000000,639019766543900924,0</v>
    <v>0</v>
    <v>a1wer7</v>
    <v/>
    <v>242</v>
  </rv>
  <rv s="11">
    <v>27</v>
    <v>SOYB</v>
    <v>Daily</v>
    <v>45642</v>
    <v>46013</v>
    <v>0</v>
    <v>1</v>
    <v>639016992000000000,639019766521404378,0</v>
    <v>2</v>
    <v>a23c1h</v>
    <v/>
    <v>243</v>
  </rv>
  <rv s="11">
    <v>27</v>
    <v>SOYB</v>
    <v>Daily</v>
    <v>45980</v>
    <v>46013</v>
    <v>0</v>
    <v>1</v>
    <v>639016992000000000,639019766536468177,0</v>
    <v>0</v>
    <v>a23c1h</v>
    <v/>
    <v>244</v>
  </rv>
  <rv s="11">
    <v>27</v>
    <v>XAR</v>
    <v>Daily</v>
    <v>45642</v>
    <v>46013</v>
    <v>0</v>
    <v>1</v>
    <v>639016992000000000,639019766523184974,0</v>
    <v>2</v>
    <v>a265ec</v>
    <v/>
    <v>245</v>
  </rv>
  <rv s="11">
    <v>27</v>
    <v>XAR</v>
    <v>Daily</v>
    <v>45980</v>
    <v>46013</v>
    <v>0</v>
    <v>1</v>
    <v>639016992000000000,639019766534874200,0</v>
    <v>0</v>
    <v>a265ec</v>
    <v/>
    <v>246</v>
  </rv>
  <rv s="11">
    <v>27</v>
    <v>XPH</v>
    <v>Daily</v>
    <v>45980</v>
    <v>46013</v>
    <v>0</v>
    <v>1</v>
    <v>639016992000000000,639019766533110060,0</v>
    <v>0</v>
    <v>a269yc</v>
    <v/>
    <v>247</v>
  </rv>
  <rv s="11">
    <v>27</v>
    <v>XPH</v>
    <v>Daily</v>
    <v>45642</v>
    <v>46013</v>
    <v>0</v>
    <v>1</v>
    <v>639016992000000000,639019766532675809,0</v>
    <v>2</v>
    <v>a269yc</v>
    <v/>
    <v>248</v>
  </rv>
  <rv s="11">
    <v>27</v>
    <v>IYT</v>
    <v>Daily</v>
    <v>45642</v>
    <v>46013</v>
    <v>0</v>
    <v>1</v>
    <v>639016992000000000,639019766541736383,0</v>
    <v>2</v>
    <v>a1vzmw</v>
    <v/>
    <v>249</v>
  </rv>
  <rv s="11">
    <v>27</v>
    <v>IYT</v>
    <v>Daily</v>
    <v>45980</v>
    <v>46013</v>
    <v>0</v>
    <v>1</v>
    <v>639016992000000000,639019766543040656,0</v>
    <v>0</v>
    <v>a1vzmw</v>
    <v/>
    <v>250</v>
  </rv>
  <rv s="11">
    <v>27</v>
    <v>PBJ</v>
    <v>Daily</v>
    <v>45642</v>
    <v>46013</v>
    <v>0</v>
    <v>1</v>
    <v>639016992000000000,639019766541396483,0</v>
    <v>2</v>
    <v>a1ziqh</v>
    <v/>
    <v>251</v>
  </rv>
  <rv s="11">
    <v>27</v>
    <v>PBJ</v>
    <v>Daily</v>
    <v>45980</v>
    <v>46013</v>
    <v>0</v>
    <v>1</v>
    <v>639016992000000000,639019766543225584,0</v>
    <v>0</v>
    <v>a1ziqh</v>
    <v/>
    <v>252</v>
  </rv>
  <rv s="11">
    <v>27</v>
    <v>XHE</v>
    <v>Daily</v>
    <v>45980</v>
    <v>46013</v>
    <v>0</v>
    <v>1</v>
    <v>639016992000000000,639019766533907098,0</v>
    <v>0</v>
    <v>a266ur</v>
    <v/>
    <v>253</v>
  </rv>
  <rv s="11">
    <v>27</v>
    <v>XHE</v>
    <v>Daily</v>
    <v>45642</v>
    <v>46013</v>
    <v>0</v>
    <v>1</v>
    <v>639016992000000000,639019766532723449,0</v>
    <v>2</v>
    <v>a266ur</v>
    <v/>
    <v>254</v>
  </rv>
  <rv s="11">
    <v>27</v>
    <v>VFH</v>
    <v>Daily</v>
    <v>45642</v>
    <v>46013</v>
    <v>0</v>
    <v>1</v>
    <v>639016992000000000,639019766522196093,0</v>
    <v>2</v>
    <v>a25aim</v>
    <v/>
    <v>255</v>
  </rv>
  <rv s="11">
    <v>27</v>
    <v>VFH</v>
    <v>Daily</v>
    <v>45980</v>
    <v>46013</v>
    <v>0</v>
    <v>1</v>
    <v>639016992000000000,639019766544318141,0</v>
    <v>0</v>
    <v>a25aim</v>
    <v/>
    <v>256</v>
  </rv>
  <rv s="11">
    <v>27</v>
    <v>DBC</v>
    <v>Daily</v>
    <v>45642</v>
    <v>46013</v>
    <v>0</v>
    <v>1</v>
    <v>639016992000000000,639019766521542251,0</v>
    <v>2</v>
    <v>a1qrgh</v>
    <v/>
    <v>257</v>
  </rv>
  <rv s="11">
    <v>27</v>
    <v>DBC</v>
    <v>Daily</v>
    <v>45980</v>
    <v>46013</v>
    <v>0</v>
    <v>1</v>
    <v>639016992000000000,639019766543161085,0</v>
    <v>0</v>
    <v>a1qrgh</v>
    <v/>
    <v>258</v>
  </rv>
  <rv s="11">
    <v>27</v>
    <v>VIS</v>
    <v>Daily</v>
    <v>45642</v>
    <v>46013</v>
    <v>0</v>
    <v>1</v>
    <v>639016992000000000,639019766541709957,0</v>
    <v>2</v>
    <v>a25d7w</v>
    <v/>
    <v>259</v>
  </rv>
  <rv s="11">
    <v>27</v>
    <v>VIS</v>
    <v>Daily</v>
    <v>45980</v>
    <v>46013</v>
    <v>0</v>
    <v>1</v>
    <v>639016992000000000,639019766545820754,0</v>
    <v>0</v>
    <v>a25d7w</v>
    <v/>
    <v>260</v>
  </rv>
  <rv s="11">
    <v>27</v>
    <v>XME</v>
    <v>Daily</v>
    <v>45642</v>
    <v>46013</v>
    <v>0</v>
    <v>1</v>
    <v>639016992000000000,639019766541700000,0</v>
    <v>2</v>
    <v>a268nm</v>
    <v/>
    <v>261</v>
  </rv>
  <rv s="11">
    <v>27</v>
    <v>XME</v>
    <v>Daily</v>
    <v>45980</v>
    <v>46013</v>
    <v>0</v>
    <v>1</v>
    <v>639016992000000000,639019766543064026,0</v>
    <v>0</v>
    <v>a268nm</v>
    <v/>
    <v>262</v>
  </rv>
  <rv s="11">
    <v>27</v>
    <v>PPA</v>
    <v>Daily</v>
    <v>45642</v>
    <v>46013</v>
    <v>0</v>
    <v>1</v>
    <v>639016992000000000,639019766535751112,0</v>
    <v>2</v>
    <v>a2145r</v>
    <v/>
    <v>263</v>
  </rv>
  <rv s="11">
    <v>27</v>
    <v>PPA</v>
    <v>Daily</v>
    <v>45980</v>
    <v>46013</v>
    <v>0</v>
    <v>1</v>
    <v>639016992000000000,639019766545649633,0</v>
    <v>0</v>
    <v>a2145r</v>
    <v/>
    <v>264</v>
  </rv>
  <rv s="11">
    <v>27</v>
    <v>IWN</v>
    <v>Daily</v>
    <v>45980</v>
    <v>46013</v>
    <v>0</v>
    <v>1</v>
    <v>639016992000000000,639019766534371553,0</v>
    <v>0</v>
    <v>a1vxim</v>
    <v/>
    <v>265</v>
  </rv>
  <rv s="11">
    <v>27</v>
    <v>IWN</v>
    <v>Daily</v>
    <v>45642</v>
    <v>46013</v>
    <v>0</v>
    <v>1</v>
    <v>639016992000000000,639019766552244907,0</v>
    <v>2</v>
    <v>a1vxim</v>
    <v/>
    <v>266</v>
  </rv>
  <rv s="11">
    <v>27</v>
    <v>VAW</v>
    <v>Daily</v>
    <v>45642</v>
    <v>46013</v>
    <v>0</v>
    <v>1</v>
    <v>639016992000000000,639019766522684781,0</v>
    <v>2</v>
    <v>a256zr</v>
    <v/>
    <v>267</v>
  </rv>
  <rv s="11">
    <v>27</v>
    <v>VAW</v>
    <v>Daily</v>
    <v>45980</v>
    <v>46013</v>
    <v>0</v>
    <v>1</v>
    <v>639016992000000000,639019766546162341,0</v>
    <v>0</v>
    <v>a256zr</v>
    <v/>
    <v>268</v>
  </rv>
  <rv s="11">
    <v>27</v>
    <v>KRE</v>
    <v>Daily</v>
    <v>45642</v>
    <v>46013</v>
    <v>0</v>
    <v>1</v>
    <v>639016992000000000,639019766523151901,0</v>
    <v>2</v>
    <v>a1wn3m</v>
    <v/>
    <v>269</v>
  </rv>
  <rv s="11">
    <v>27</v>
    <v>KRE</v>
    <v>Daily</v>
    <v>45980</v>
    <v>46013</v>
    <v>0</v>
    <v>1</v>
    <v>639016992000000000,639019766544039362,0</v>
    <v>0</v>
    <v>a1wn3m</v>
    <v/>
    <v>270</v>
  </rv>
  <rv s="11">
    <v>27</v>
    <v>TLH</v>
    <v>Daily</v>
    <v>45642</v>
    <v>46013</v>
    <v>0</v>
    <v>1</v>
    <v>639016992000000000,639019766522128996,0</v>
    <v>2</v>
    <v>a24akr</v>
    <v/>
    <v>271</v>
  </rv>
  <rv s="11">
    <v>27</v>
    <v>TLH</v>
    <v>Daily</v>
    <v>45980</v>
    <v>46013</v>
    <v>0</v>
    <v>1</v>
    <v>639016992000000000,639019766545775140,0</v>
    <v>0</v>
    <v>a24akr</v>
    <v/>
    <v>272</v>
  </rv>
  <rv s="11">
    <v>27</v>
    <v>XSD</v>
    <v>Daily</v>
    <v>45980</v>
    <v>46013</v>
    <v>0</v>
    <v>1</v>
    <v>639016992000000000,639019766534765875,0</v>
    <v>0</v>
    <v>a26aur</v>
    <v/>
    <v>273</v>
  </rv>
  <rv s="11">
    <v>27</v>
    <v>XSD</v>
    <v>Daily</v>
    <v>45642</v>
    <v>46013</v>
    <v>0</v>
    <v>1</v>
    <v>639016992000000000,639019766551302615,0</v>
    <v>2</v>
    <v>a26aur</v>
    <v/>
    <v>274</v>
  </rv>
  <rv s="11">
    <v>27</v>
    <v>XLRE</v>
    <v>Daily</v>
    <v>45642</v>
    <v>46013</v>
    <v>0</v>
    <v>1</v>
    <v>639016992000000000,639019766522984356,0</v>
    <v>2</v>
    <v>a2689c</v>
    <v/>
    <v>275</v>
  </rv>
  <rv s="11">
    <v>27</v>
    <v>XLRE</v>
    <v>Daily</v>
    <v>45980</v>
    <v>46013</v>
    <v>0</v>
    <v>1</v>
    <v>639016992000000000,639019766541884422,0</v>
    <v>0</v>
    <v>a2689c</v>
    <v/>
    <v>276</v>
  </rv>
  <rv s="11">
    <v>27</v>
    <v>ITA</v>
    <v>Daily</v>
    <v>45642</v>
    <v>46013</v>
    <v>0</v>
    <v>1</v>
    <v>639016992000000000,639019766541772827,0</v>
    <v>2</v>
    <v>a1vtr7</v>
    <v/>
    <v>277</v>
  </rv>
  <rv s="11">
    <v>27</v>
    <v>ITA</v>
    <v>Daily</v>
    <v>45980</v>
    <v>46013</v>
    <v>0</v>
    <v>1</v>
    <v>639016992000000000,639019766551708499,0</v>
    <v>0</v>
    <v>a1vtr7</v>
    <v/>
    <v>278</v>
  </rv>
  <rv s="11">
    <v>27</v>
    <v>EWC</v>
    <v>Daily</v>
    <v>45642</v>
    <v>46013</v>
    <v>0</v>
    <v>1</v>
    <v>639016992000000000,639019766527409317,0</v>
    <v>2</v>
    <v>a1sezr</v>
    <v/>
    <v>279</v>
  </rv>
  <rv s="11">
    <v>27</v>
    <v>EWC</v>
    <v>Daily</v>
    <v>45980</v>
    <v>46013</v>
    <v>0</v>
    <v>1</v>
    <v>639016992000000000,639019766539592134,0</v>
    <v>0</v>
    <v>a1sezr</v>
    <v/>
    <v>280</v>
  </rv>
  <rv s="11">
    <v>27</v>
    <v>OIH</v>
    <v>Daily</v>
    <v>45642</v>
    <v>46013</v>
    <v>0</v>
    <v>1</v>
    <v>639016992000000000,639019766535113275,0</v>
    <v>2</v>
    <v>a1z5r7</v>
    <v/>
    <v>281</v>
  </rv>
  <rv s="11">
    <v>27</v>
    <v>OIH</v>
    <v>Daily</v>
    <v>45980</v>
    <v>46013</v>
    <v>0</v>
    <v>1</v>
    <v>639016992000000000,639019766543501722,0</v>
    <v>0</v>
    <v>a1z5r7</v>
    <v/>
    <v>282</v>
  </rv>
  <rv s="11">
    <v>27</v>
    <v>IEO</v>
    <v>Daily</v>
    <v>45980</v>
    <v>46013</v>
    <v>0</v>
    <v>1</v>
    <v>639016992000000000,639019766533416807,0</v>
    <v>0</v>
    <v>a1vbmw</v>
    <v/>
    <v>283</v>
  </rv>
  <rv s="11">
    <v>27</v>
    <v>IEO</v>
    <v>Daily</v>
    <v>45642</v>
    <v>46013</v>
    <v>0</v>
    <v>1</v>
    <v>639016992000000000,639019766535293547,0</v>
    <v>2</v>
    <v>a1vbmw</v>
    <v/>
    <v>284</v>
  </rv>
  <rv s="11">
    <v>27</v>
    <v>FSTA</v>
    <v>Daily</v>
    <v>45980</v>
    <v>46013</v>
    <v>0</v>
    <v>1</v>
    <v>639016992000000000,639019766521495574,0</v>
    <v>0</v>
    <v>a1tear</v>
    <v/>
    <v>285</v>
  </rv>
  <rv s="11">
    <v>27</v>
    <v>FSTA</v>
    <v>Daily</v>
    <v>45642</v>
    <v>46013</v>
    <v>0</v>
    <v>1</v>
    <v>639016992000000000,639019766541552846,0</v>
    <v>2</v>
    <v>a1tear</v>
    <v/>
    <v>286</v>
  </rv>
  <rv s="11">
    <v>27</v>
    <v>SLV</v>
    <v>Daily</v>
    <v>45980</v>
    <v>46013</v>
    <v>0</v>
    <v>1</v>
    <v>639016992000000000,639019766537480742,0</v>
    <v>0</v>
    <v>a233ur</v>
    <v/>
    <v>287</v>
  </rv>
  <rv s="11">
    <v>27</v>
    <v>SLV</v>
    <v>Daily</v>
    <v>45642</v>
    <v>46013</v>
    <v>0</v>
    <v>1</v>
    <v>639016992000000000,639019766546675505,0</v>
    <v>2</v>
    <v>a233ur</v>
    <v/>
    <v>288</v>
  </rv>
  <rv s="11">
    <v>27</v>
    <v>KCE</v>
    <v>Daily</v>
    <v>45642</v>
    <v>46013</v>
    <v>0</v>
    <v>1</v>
    <v>639016992000000000,639019766522677522,0</v>
    <v>2</v>
    <v>a1wfqh</v>
    <v/>
    <v>289</v>
  </rv>
  <rv s="11">
    <v>27</v>
    <v>KCE</v>
    <v>Daily</v>
    <v>45980</v>
    <v>46013</v>
    <v>0</v>
    <v>1</v>
    <v>639016992000000000,639019766546077837,0</v>
    <v>0</v>
    <v>a1wfqh</v>
    <v/>
    <v>290</v>
  </rv>
  <rv s="11">
    <v>27</v>
    <v>IGV</v>
    <v>Daily</v>
    <v>45642</v>
    <v>46013</v>
    <v>0</v>
    <v>1</v>
    <v>639016992000000000,639019766525752944,0</v>
    <v>2</v>
    <v>a1vekr</v>
    <v/>
    <v>291</v>
  </rv>
  <rv s="11">
    <v>27</v>
    <v>IGV</v>
    <v>Daily</v>
    <v>45980</v>
    <v>46013</v>
    <v>0</v>
    <v>1</v>
    <v>639016992000000000,639019766521365517,0</v>
    <v>0</v>
    <v>a1vekr</v>
    <v/>
    <v>292</v>
  </rv>
  <rv s="11">
    <v>27</v>
    <v>FHLC</v>
    <v>Daily</v>
    <v>45642</v>
    <v>46013</v>
    <v>0</v>
    <v>1</v>
    <v>639016992000000000,639019766532643802,0</v>
    <v>2</v>
    <v>a1sv3m</v>
    <v/>
    <v>293</v>
  </rv>
  <rv s="11">
    <v>27</v>
    <v>FHLC</v>
    <v>Daily</v>
    <v>45980</v>
    <v>46013</v>
    <v>0</v>
    <v>1</v>
    <v>639016992000000000,639019766537334796,0</v>
    <v>0</v>
    <v>a1sv3m</v>
    <v/>
    <v>294</v>
  </rv>
  <rv s="11">
    <v>27</v>
    <v>UGA</v>
    <v>Daily</v>
    <v>45980</v>
    <v>46013</v>
    <v>0</v>
    <v>1</v>
    <v>639016992000000000,639019766520780426,0</v>
    <v>0</v>
    <v>a24uhw</v>
    <v/>
    <v>295</v>
  </rv>
  <rv s="11">
    <v>27</v>
    <v>UGA</v>
    <v>Daily</v>
    <v>45642</v>
    <v>46013</v>
    <v>0</v>
    <v>1</v>
    <v>639016992000000000,639019766546333134,0</v>
    <v>2</v>
    <v>a24uhw</v>
    <v/>
    <v>296</v>
  </rv>
  <rv s="11">
    <v>27</v>
    <v>XLF</v>
    <v>Daily</v>
    <v>45642</v>
    <v>46013</v>
    <v>0</v>
    <v>1</v>
    <v>639016992000000000,639019766523299597,0</v>
    <v>2</v>
    <v>a267r7</v>
    <v/>
    <v>297</v>
  </rv>
  <rv s="11">
    <v>27</v>
    <v>XLF</v>
    <v>Daily</v>
    <v>45980</v>
    <v>46013</v>
    <v>0</v>
    <v>1</v>
    <v>639016992000000000,639019766534554543,0</v>
    <v>0</v>
    <v>a267r7</v>
    <v/>
    <v>298</v>
  </rv>
  <rv s="11">
    <v>27</v>
    <v>XLP</v>
    <v>Daily</v>
    <v>45980</v>
    <v>46013</v>
    <v>0</v>
    <v>1</v>
    <v>639016992000000000,639019766534487272,0</v>
    <v>0</v>
    <v>a2686h</v>
    <v/>
    <v>299</v>
  </rv>
  <rv s="11">
    <v>27</v>
    <v>XLP</v>
    <v>Daily</v>
    <v>45642</v>
    <v>46013</v>
    <v>0</v>
    <v>1</v>
    <v>639016992000000000,639019766541713512,0</v>
    <v>2</v>
    <v>a2686h</v>
    <v/>
    <v>300</v>
  </rv>
  <rv s="11">
    <v>27</v>
    <v>XOP</v>
    <v>Daily</v>
    <v>45642</v>
    <v>46013</v>
    <v>0</v>
    <v>1</v>
    <v>639016992000000000,639019766535462480,0</v>
    <v>2</v>
    <v>a269pr</v>
    <v/>
    <v>301</v>
  </rv>
  <rv s="11">
    <v>27</v>
    <v>XOP</v>
    <v>Daily</v>
    <v>45980</v>
    <v>46013</v>
    <v>0</v>
    <v>1</v>
    <v>639016992000000000,639019766536846589,0</v>
    <v>0</v>
    <v>a269pr</v>
    <v/>
    <v>302</v>
  </rv>
  <rv s="11">
    <v>27</v>
    <v>IDU</v>
    <v>Daily</v>
    <v>45642</v>
    <v>46013</v>
    <v>0</v>
    <v>1</v>
    <v>639016992000000000,639019766523629309,0</v>
    <v>2</v>
    <v>a1vatc</v>
    <v/>
    <v>303</v>
  </rv>
  <rv s="11">
    <v>27</v>
    <v>IDU</v>
    <v>Daily</v>
    <v>45980</v>
    <v>46013</v>
    <v>0</v>
    <v>1</v>
    <v>639016992000000000,639019766536683310,0</v>
    <v>0</v>
    <v>a1vatc</v>
    <v/>
    <v>304</v>
  </rv>
  <rv s="11">
    <v>27</v>
    <v>REET</v>
    <v>Daily</v>
    <v>45642</v>
    <v>46013</v>
    <v>0</v>
    <v>1</v>
    <v>639016992000000000,639019766522512243,0</v>
    <v>2</v>
    <v>a21u1h</v>
    <v/>
    <v>305</v>
  </rv>
  <rv s="11">
    <v>27</v>
    <v>REET</v>
    <v>Daily</v>
    <v>45980</v>
    <v>46013</v>
    <v>0</v>
    <v>1</v>
    <v>639016992000000000,639019766543129242,0</v>
    <v>0</v>
    <v>a21u1h</v>
    <v/>
    <v>306</v>
  </rv>
  <rv s="11">
    <v>27</v>
    <v>XSW</v>
    <v>Daily</v>
    <v>45980</v>
    <v>46013</v>
    <v>0</v>
    <v>1</v>
    <v>639016992000000000,639019766542206428,0</v>
    <v>0</v>
    <v>a26ba2</v>
    <v/>
    <v>307</v>
  </rv>
  <rv s="11">
    <v>27</v>
    <v>XSW</v>
    <v>Daily</v>
    <v>45642</v>
    <v>46013</v>
    <v>0</v>
    <v>1</v>
    <v>639016992000000000,639019766552132762,0</v>
    <v>2</v>
    <v>a26ba2</v>
    <v/>
    <v>308</v>
  </rv>
  <rv s="11">
    <v>27</v>
    <v>IBB</v>
    <v>Daily</v>
    <v>45642</v>
    <v>46013</v>
    <v>0</v>
    <v>1</v>
    <v>639016992000000000,639019766534788463,0</v>
    <v>2</v>
    <v>a1v4jc</v>
    <v/>
    <v>309</v>
  </rv>
  <rv s="11">
    <v>27</v>
    <v>IBB</v>
    <v>Daily</v>
    <v>45980</v>
    <v>46013</v>
    <v>0</v>
    <v>1</v>
    <v>639016992000000000,639019766537010201,0</v>
    <v>0</v>
    <v>a1v4jc</v>
    <v/>
    <v>310</v>
  </rv>
  <rv s="11">
    <v>27</v>
    <v>FXE</v>
    <v>Daily</v>
    <v>45980</v>
    <v>46013</v>
    <v>0</v>
    <v>1</v>
    <v>639016992000000000,639019766523120239,0</v>
    <v>0</v>
    <v>a1tjww</v>
    <v/>
    <v>311</v>
  </rv>
  <rv s="11">
    <v>27</v>
    <v>FXE</v>
    <v>Daily</v>
    <v>45642</v>
    <v>46013</v>
    <v>0</v>
    <v>1</v>
    <v>639016992000000000,639019766547295056,0</v>
    <v>2</v>
    <v>a1tjww</v>
    <v/>
    <v>312</v>
  </rv>
  <rv s="11">
    <v>27</v>
    <v>XLV</v>
    <v>Daily</v>
    <v>45980</v>
    <v>46013</v>
    <v>0</v>
    <v>1</v>
    <v>639016992000000000,639019766534678597,0</v>
    <v>0</v>
    <v>a268hw</v>
    <v/>
    <v>313</v>
  </rv>
  <rv s="11">
    <v>27</v>
    <v>XLV</v>
    <v>Daily</v>
    <v>45642</v>
    <v>46013</v>
    <v>0</v>
    <v>1</v>
    <v>639016992000000000,639019766551836104,0</v>
    <v>2</v>
    <v>a268hw</v>
    <v/>
    <v>314</v>
  </rv>
  <rv s="11">
    <v>28</v>
    <v>HOGS</v>
    <v>Daily</v>
    <v>45642</v>
    <v>46013</v>
    <v>0</v>
    <v>1</v>
    <v>639016992000000000,639019766521285559,0</v>
    <v>21</v>
    <v>ao9eyc</v>
    <v/>
    <v>315</v>
  </rv>
  <rv s="11">
    <v>28</v>
    <v>HOGS</v>
    <v>Daily</v>
    <v>45980</v>
    <v>46013</v>
    <v>0</v>
    <v>1</v>
    <v>639016992000000000,639019766520810307,0</v>
    <v>23</v>
    <v>ajfep2</v>
    <v/>
    <v>316</v>
  </rv>
  <rv s="11">
    <v>27</v>
    <v>IGM</v>
    <v>Daily</v>
    <v>45642</v>
    <v>46013</v>
    <v>0</v>
    <v>1</v>
    <v>639016992000000000,639019766525386596,0</v>
    <v>2</v>
    <v>a1ve3m</v>
    <v/>
    <v>317</v>
  </rv>
  <rv s="11">
    <v>27</v>
    <v>IGM</v>
    <v>Daily</v>
    <v>45980</v>
    <v>46013</v>
    <v>0</v>
    <v>1</v>
    <v>639016992000000000,639019766534788463,0</v>
    <v>0</v>
    <v>a1ve3m</v>
    <v/>
    <v>318</v>
  </rv>
  <rv s="11">
    <v>27</v>
    <v>XTL</v>
    <v>Daily</v>
    <v>45642</v>
    <v>46013</v>
    <v>0</v>
    <v>1</v>
    <v>639016992000000000,639019766524299338,0</v>
    <v>2</v>
    <v>a26bim</v>
    <v/>
    <v>319</v>
  </rv>
  <rv s="11">
    <v>27</v>
    <v>XTL</v>
    <v>Daily</v>
    <v>45980</v>
    <v>46013</v>
    <v>0</v>
    <v>1</v>
    <v>639016992000000000,639019766521415215,0</v>
    <v>0</v>
    <v>a26bim</v>
    <v/>
    <v>320</v>
  </rv>
  <rv s="11">
    <v>27</v>
    <v>SOXX</v>
    <v>Daily</v>
    <v>45980</v>
    <v>46013</v>
    <v>0</v>
    <v>1</v>
    <v>639016992000000000,639019766524242047,0</v>
    <v>0</v>
    <v>a23bxm</v>
    <v/>
    <v>321</v>
  </rv>
  <rv s="11">
    <v>27</v>
    <v>SOXX</v>
    <v>Daily</v>
    <v>45642</v>
    <v>46013</v>
    <v>0</v>
    <v>1</v>
    <v>639016992000000000,639019766551433775,0</v>
    <v>2</v>
    <v>a23bxm</v>
    <v/>
    <v>322</v>
  </rv>
  <rv s="11">
    <v>27</v>
    <v>PBE</v>
    <v>Daily</v>
    <v>45642</v>
    <v>46013</v>
    <v>0</v>
    <v>1</v>
    <v>639016992000000000,639019766532801248,0</v>
    <v>2</v>
    <v>a1zhzr</v>
    <v/>
    <v>323</v>
  </rv>
  <rv s="11">
    <v>27</v>
    <v>PBE</v>
    <v>Daily</v>
    <v>45980</v>
    <v>46013</v>
    <v>0</v>
    <v>1</v>
    <v>639016992000000000,639019766543633785,0</v>
    <v>0</v>
    <v>a1zhzr</v>
    <v/>
    <v>324</v>
  </rv>
  <rv s="11">
    <v>27</v>
    <v>FCOM</v>
    <v>Daily</v>
    <v>45642</v>
    <v>46013</v>
    <v>0</v>
    <v>1</v>
    <v>639016992000000000,639019766523936267,0</v>
    <v>2</v>
    <v>a1sok2</v>
    <v/>
    <v>325</v>
  </rv>
  <rv s="11">
    <v>27</v>
    <v>FCOM</v>
    <v>Daily</v>
    <v>45980</v>
    <v>46013</v>
    <v>0</v>
    <v>1</v>
    <v>639016992000000000,639019766531348187,0</v>
    <v>0</v>
    <v>a1sok2</v>
    <v/>
    <v>326</v>
  </rv>
</rvData>
</file>

<file path=xl/richData/rdrichvaluestructure.xml><?xml version="1.0" encoding="utf-8"?>
<rvStructures xmlns="http://schemas.microsoft.com/office/spreadsheetml/2017/richdata" count="12">
  <s t="_formattednumber">
    <k n="_Format" t="spb"/>
  </s>
  <s t="_error">
    <k n="errorType" t="i"/>
    <k n="propagated" t="b"/>
  </s>
  <s t="_hyperlink">
    <k n="Address" t="s"/>
    <k n="Text" t="s"/>
  </s>
  <s t="_linkedentitycore">
    <k n="_Display" t="spb"/>
    <k n="_DisplayString" t="s"/>
    <k n="_Flags" t="spb"/>
    <k n="_Format" t="spb"/>
    <k n="_Icon" t="s"/>
    <k n="_SubLabel" t="spb"/>
    <k n="%EntityCulture" t="s"/>
    <k n="%EntityId" t="s"/>
    <k n="%EntityServiceId"/>
    <k n="%IsRefreshable" t="b"/>
    <k n="%ProviderInfo" t="s"/>
    <k n="52 week high"/>
    <k n="52 week low"/>
    <k n="Beta"/>
    <k n="Change"/>
    <k n="Change (%)"/>
    <k n="Currency" t="s"/>
    <k n="Exchange" t="s"/>
    <k n="Exchange abbreviation" t="s"/>
    <k n="Expense ratio"/>
    <k n="High"/>
    <k n="Instrument type" t="s"/>
    <k n="Last trade time"/>
    <k n="LearnMoreOnLink" t="r"/>
    <k n="Low"/>
    <k n="Market cap"/>
    <k n="Name" t="s"/>
    <k n="Open"/>
    <k n="Previous close"/>
    <k n="Price"/>
    <k n="Ticker symbol" t="s"/>
    <k n="UniqueName" t="s"/>
    <k n="Volume"/>
    <k n="Volume average"/>
  </s>
  <s t="_linkedentity">
    <k n="%cvi" t="r"/>
  </s>
  <s t="_linkedentitycore">
    <k n="_Display" t="spb"/>
    <k n="_DisplayString" t="s"/>
    <k n="_Flags" t="spb"/>
    <k n="_Format" t="spb"/>
    <k n="_Icon" t="s"/>
    <k n="_SubLabel" t="spb"/>
    <k n="%EntityCulture" t="s"/>
    <k n="%EntityId" t="s"/>
    <k n="%EntityServiceId"/>
    <k n="%IsRefreshable" t="b"/>
    <k n="%ProviderInfo" t="s"/>
    <k n="52 week high"/>
    <k n="52 week low"/>
    <k n="Beta"/>
    <k n="Change"/>
    <k n="Change (%)"/>
    <k n="Currency" t="s"/>
    <k n="Exchange" t="s"/>
    <k n="Exchange abbreviation" t="s"/>
    <k n="Expense ratio"/>
    <k n="High"/>
    <k n="Instrument type" t="s"/>
    <k n="Last trade time"/>
    <k n="LearnMoreOnLink" t="r"/>
    <k n="Low"/>
    <k n="Market cap"/>
    <k n="Name" t="s"/>
    <k n="Open"/>
    <k n="Previous close"/>
    <k n="Price"/>
    <k n="Price (Extended hours)"/>
    <k n="Ticker symbol" t="s"/>
    <k n="UniqueName" t="s"/>
    <k n="Volume"/>
    <k n="Volume average"/>
  </s>
  <s t="_linkedentitycore">
    <k n="_Display" t="spb"/>
    <k n="_DisplayString" t="s"/>
    <k n="_Flags" t="spb"/>
    <k n="_Format" t="spb"/>
    <k n="_Icon" t="s"/>
    <k n="_SubLabel" t="spb"/>
    <k n="%EntityCulture" t="s"/>
    <k n="%EntityId" t="s"/>
    <k n="%EntityServiceId"/>
    <k n="%IsRefreshable" t="b"/>
    <k n="%ProviderInfo" t="s"/>
    <k n="52 week high"/>
    <k n="52 week low"/>
    <k n="Beta"/>
    <k n="Currency" t="s"/>
    <k n="Exchange" t="s"/>
    <k n="Exchange abbreviation" t="s"/>
    <k n="Expense ratio"/>
    <k n="High"/>
    <k n="Instrument type" t="s"/>
    <k n="Last trade time"/>
    <k n="LearnMoreOnLink" t="r"/>
    <k n="Low"/>
    <k n="Market cap"/>
    <k n="Name" t="s"/>
    <k n="Open"/>
    <k n="Price"/>
    <k n="Ticker symbol" t="s"/>
    <k n="UniqueName" t="s"/>
    <k n="Volume"/>
    <k n="Volume average"/>
  </s>
  <s t="_linkedentitycore">
    <k n="_Display" t="spb"/>
    <k n="_DisplayString" t="s"/>
    <k n="_Flags" t="spb"/>
    <k n="_Format" t="spb"/>
    <k n="_Icon" t="s"/>
    <k n="_SubLabel" t="spb"/>
    <k n="%EntityCulture" t="s"/>
    <k n="%EntityId" t="s"/>
    <k n="%EntityServiceId"/>
    <k n="%IsRefreshable" t="b"/>
    <k n="%ProviderInfo" t="s"/>
    <k n="52 week high"/>
    <k n="52 week low"/>
    <k n="Beta"/>
    <k n="Change"/>
    <k n="Change (%)"/>
    <k n="Currency" t="s"/>
    <k n="Exchange" t="s"/>
    <k n="Exchange abbreviation" t="s"/>
    <k n="Expense ratio"/>
    <k n="High"/>
    <k n="Instrument type" t="s"/>
    <k n="Last trade time"/>
    <k n="LearnMoreOnLink" t="r"/>
    <k n="Low"/>
    <k n="Market cap"/>
    <k n="Name" t="s"/>
    <k n="Open"/>
    <k n="Previous close"/>
    <k n="Price"/>
    <k n="Ticker symbol" t="s"/>
    <k n="UniqueName" t="s"/>
    <k n="Volume"/>
  </s>
  <s t="_linkedentitycore">
    <k n="_Display" t="spb"/>
    <k n="_DisplayString" t="s"/>
    <k n="_Flags" t="spb"/>
    <k n="_Format" t="spb"/>
    <k n="_Icon" t="s"/>
    <k n="_SubLabel" t="spb"/>
    <k n="%EntityCulture" t="s"/>
    <k n="%EntityId" t="s"/>
    <k n="%EntityServiceId"/>
    <k n="%IsRefreshable" t="b"/>
    <k n="%ProviderInfo" t="s"/>
    <k n="52 week high"/>
    <k n="52 week low"/>
    <k n="Change"/>
    <k n="Change (%)"/>
    <k n="Currency" t="s"/>
    <k n="Exchange" t="s"/>
    <k n="Exchange abbreviation" t="s"/>
    <k n="High"/>
    <k n="Instrument type" t="s"/>
    <k n="Last trade time"/>
    <k n="LearnMoreOnLink" t="r"/>
    <k n="Low"/>
    <k n="Name" t="s"/>
    <k n="Open"/>
    <k n="Previous close"/>
    <k n="Price"/>
    <k n="Ticker symbol" t="s"/>
    <k n="UniqueName" t="s"/>
    <k n="Volume"/>
  </s>
  <s t="_error">
    <k n="errorType" t="i"/>
    <k n="subType" t="i"/>
  </s>
  <s t="_linkedentitycore">
    <k n="_Display" t="spb"/>
    <k n="_DisplayString" t="s"/>
    <k n="_Flags" t="spb"/>
    <k n="_Format" t="spb"/>
    <k n="_Icon" t="s"/>
    <k n="_SubLabel" t="spb"/>
    <k n="%EntityCulture" t="s"/>
    <k n="%EntityId" t="s"/>
    <k n="%EntityServiceId"/>
    <k n="%IsRefreshable" t="b"/>
    <k n="%ProviderInfo" t="s"/>
    <k n="52 week high"/>
    <k n="52 week low"/>
    <k n="Change"/>
    <k n="Change (%)"/>
    <k n="Currency" t="s"/>
    <k n="Exchange" t="s"/>
    <k n="Exchange abbreviation" t="s"/>
    <k n="Expense ratio"/>
    <k n="High"/>
    <k n="Instrument type" t="s"/>
    <k n="Last trade time"/>
    <k n="Low"/>
    <k n="Market cap"/>
    <k n="Name" t="s"/>
    <k n="Open"/>
    <k n="Previous close"/>
    <k n="Price"/>
    <k n="Ticker symbol" t="s"/>
    <k n="UniqueName" t="s"/>
    <k n="Volume"/>
    <k n="Volume average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Arrays count="6">
    <a count="34">
      <v t="s">%EntityServiceId</v>
      <v t="s">_Format</v>
      <v t="s">%IsRefreshable</v>
      <v t="s">%EntityCulture</v>
      <v t="s">%EntityId</v>
      <v t="s">_Icon</v>
      <v t="s">_Display</v>
      <v t="s">Name</v>
      <v t="s">_SubLabel</v>
      <v t="s">Price</v>
      <v t="s">Exchange</v>
      <v t="s">Last trade time</v>
      <v t="s">Ticker symbol</v>
      <v t="s">Exchange abbreviation</v>
      <v t="s">Change</v>
      <v t="s">Expense ratio</v>
      <v t="s">Change (%)</v>
      <v t="s">Currency</v>
      <v t="s">Previous close</v>
      <v t="s">Open</v>
      <v t="s">High</v>
      <v t="s">Low</v>
      <v t="s">52 week high</v>
      <v t="s">52 week low</v>
      <v t="s">Volume</v>
      <v t="s">Volume average</v>
      <v t="s">Market cap</v>
      <v t="s">Beta</v>
      <v t="s">Instrument type</v>
      <v t="s">_Flags</v>
      <v t="s">UniqueName</v>
      <v t="s">_DisplayString</v>
      <v t="s">LearnMoreOnLink</v>
      <v t="s">%ProviderInfo</v>
    </a>
    <a count="35">
      <v t="s">%EntityServiceId</v>
      <v t="s">_Format</v>
      <v t="s">%IsRefreshable</v>
      <v t="s">%EntityCulture</v>
      <v t="s">%EntityId</v>
      <v t="s">_Icon</v>
      <v t="s">_Display</v>
      <v t="s">Name</v>
      <v t="s">_SubLabel</v>
      <v t="s">Price</v>
      <v t="s">Price (Extended hours)</v>
      <v t="s">Exchange</v>
      <v t="s">Last trade time</v>
      <v t="s">Ticker symbol</v>
      <v t="s">Exchange abbreviation</v>
      <v t="s">Change</v>
      <v t="s">Expense ratio</v>
      <v t="s">Change (%)</v>
      <v t="s">Currency</v>
      <v t="s">Previous close</v>
      <v t="s">Open</v>
      <v t="s">High</v>
      <v t="s">Low</v>
      <v t="s">52 week high</v>
      <v t="s">52 week low</v>
      <v t="s">Volume</v>
      <v t="s">Volume average</v>
      <v t="s">Market cap</v>
      <v t="s">Beta</v>
      <v t="s">Instrument type</v>
      <v t="s">_Flags</v>
      <v t="s">UniqueName</v>
      <v t="s">_DisplayString</v>
      <v t="s">LearnMoreOnLink</v>
      <v t="s">%ProviderInfo</v>
    </a>
    <a count="31">
      <v t="s">%EntityServiceId</v>
      <v t="s">_Format</v>
      <v t="s">%IsRefreshable</v>
      <v t="s">%EntityCulture</v>
      <v t="s">%EntityId</v>
      <v t="s">_Icon</v>
      <v t="s">_Display</v>
      <v t="s">Name</v>
      <v t="s">_SubLabel</v>
      <v t="s">Price</v>
      <v t="s">Exchange</v>
      <v t="s">Last trade time</v>
      <v t="s">Ticker symbol</v>
      <v t="s">Exchange abbreviation</v>
      <v t="s">Expense ratio</v>
      <v t="s">Currency</v>
      <v t="s">Open</v>
      <v t="s">High</v>
      <v t="s">Low</v>
      <v t="s">52 week high</v>
      <v t="s">52 week low</v>
      <v t="s">Volume</v>
      <v t="s">Volume average</v>
      <v t="s">Market cap</v>
      <v t="s">Beta</v>
      <v t="s">Instrument type</v>
      <v t="s">_Flags</v>
      <v t="s">UniqueName</v>
      <v t="s">_DisplayString</v>
      <v t="s">LearnMoreOnLink</v>
      <v t="s">%ProviderInfo</v>
    </a>
    <a count="33">
      <v t="s">%EntityServiceId</v>
      <v t="s">_Format</v>
      <v t="s">%IsRefreshable</v>
      <v t="s">%EntityCulture</v>
      <v t="s">%EntityId</v>
      <v t="s">_Icon</v>
      <v t="s">_Display</v>
      <v t="s">Name</v>
      <v t="s">_SubLabel</v>
      <v t="s">Price</v>
      <v t="s">Exchange</v>
      <v t="s">Last trade time</v>
      <v t="s">Ticker symbol</v>
      <v t="s">Exchange abbreviation</v>
      <v t="s">Change</v>
      <v t="s">Expense ratio</v>
      <v t="s">Change (%)</v>
      <v t="s">Currency</v>
      <v t="s">Previous close</v>
      <v t="s">Open</v>
      <v t="s">High</v>
      <v t="s">Low</v>
      <v t="s">52 week high</v>
      <v t="s">52 week low</v>
      <v t="s">Volume</v>
      <v t="s">Market cap</v>
      <v t="s">Beta</v>
      <v t="s">Instrument type</v>
      <v t="s">_Flags</v>
      <v t="s">UniqueName</v>
      <v t="s">_DisplayString</v>
      <v t="s">LearnMoreOnLink</v>
      <v t="s">%ProviderInfo</v>
    </a>
    <a count="30">
      <v t="s">%EntityServiceId</v>
      <v t="s">_Format</v>
      <v t="s">%IsRefreshable</v>
      <v t="s">%EntityCulture</v>
      <v t="s">%EntityId</v>
      <v t="s">_Icon</v>
      <v t="s">_Display</v>
      <v t="s">Name</v>
      <v t="s">_SubLabel</v>
      <v t="s">Price</v>
      <v t="s">Exchange</v>
      <v t="s">Last trade time</v>
      <v t="s">Ticker symbol</v>
      <v t="s">Exchange abbreviation</v>
      <v t="s">Change</v>
      <v t="s">Change (%)</v>
      <v t="s">Currency</v>
      <v t="s">Previous close</v>
      <v t="s">Open</v>
      <v t="s">High</v>
      <v t="s">Low</v>
      <v t="s">52 week high</v>
      <v t="s">52 week low</v>
      <v t="s">Volume</v>
      <v t="s">Instrument type</v>
      <v t="s">_Flags</v>
      <v t="s">UniqueName</v>
      <v t="s">_DisplayString</v>
      <v t="s">LearnMoreOnLink</v>
      <v t="s">%ProviderInfo</v>
    </a>
    <a count="32">
      <v t="s">%EntityServiceId</v>
      <v t="s">_Format</v>
      <v t="s">%IsRefreshable</v>
      <v t="s">%EntityCulture</v>
      <v t="s">%EntityId</v>
      <v t="s">_Icon</v>
      <v t="s">_Display</v>
      <v t="s">Name</v>
      <v t="s">_SubLabel</v>
      <v t="s">Price</v>
      <v t="s">Exchange</v>
      <v t="s">Last trade time</v>
      <v t="s">Ticker symbol</v>
      <v t="s">Exchange abbreviation</v>
      <v t="s">Change</v>
      <v t="s">Expense ratio</v>
      <v t="s">Change (%)</v>
      <v t="s">Currency</v>
      <v t="s">Previous close</v>
      <v t="s">Open</v>
      <v t="s">High</v>
      <v t="s">Low</v>
      <v t="s">52 week high</v>
      <v t="s">52 week low</v>
      <v t="s">Volume</v>
      <v t="s">Volume average</v>
      <v t="s">Market cap</v>
      <v t="s">Instrument type</v>
      <v t="s">_Flags</v>
      <v t="s">UniqueName</v>
      <v t="s">_DisplayString</v>
      <v t="s">%ProviderInfo</v>
    </a>
  </spbArrays>
  <spbData count="29">
    <spb s="0">
      <v>1</v>
    </spb>
    <spb s="0">
      <v>2</v>
    </spb>
    <spb s="1">
      <v>0</v>
      <v>Name</v>
      <v>LearnMoreOnLink</v>
    </spb>
    <spb s="2">
      <v>0</v>
      <v>0</v>
      <v>0</v>
    </spb>
    <spb s="3">
      <v>3</v>
      <v>3</v>
      <v>3</v>
    </spb>
    <spb s="4">
      <v>1</v>
      <v>3</v>
      <v>1</v>
      <v>4</v>
      <v>1</v>
      <v>1</v>
      <v>1</v>
      <v>5</v>
      <v>6</v>
      <v>7</v>
      <v>1</v>
      <v>1</v>
      <v>6</v>
      <v>1</v>
      <v>5</v>
      <v>8</v>
      <v>9</v>
    </spb>
    <spb s="5">
      <v>Real-Time Nasdaq Last Sale</v>
      <v>from previous close</v>
      <v>Source: Nasdaq Last Sale</v>
      <v>from previous close</v>
      <v>GMT</v>
    </spb>
    <spb s="5">
      <v>Delayed 15 minutes</v>
      <v>from previous close</v>
      <v>Source: Nasdaq</v>
      <v>from previous close</v>
      <v>GMT</v>
    </spb>
    <spb s="1">
      <v>1</v>
      <v>Name</v>
      <v>LearnMoreOnLink</v>
    </spb>
    <spb s="6">
      <v>1</v>
      <v>3</v>
      <v>1</v>
      <v>4</v>
      <v>1</v>
      <v>1</v>
      <v>1</v>
      <v>5</v>
      <v>6</v>
      <v>7</v>
      <v>1</v>
      <v>1</v>
      <v>6</v>
      <v>1</v>
      <v>5</v>
      <v>8</v>
      <v>9</v>
      <v>1</v>
    </spb>
    <spb s="7">
      <v>at close</v>
      <v>from previous close</v>
      <v>Source: Nasdaq</v>
      <v>from previous close</v>
      <v>GMT</v>
      <v>Delayed 15 minutes</v>
    </spb>
    <spb s="8">
      <v>BATS BZX Real-Time Last Price</v>
      <v>from previous close</v>
      <v>from previous close</v>
      <v>GMT</v>
    </spb>
    <spb s="1">
      <v>2</v>
      <v>Name</v>
      <v>LearnMoreOnLink</v>
    </spb>
    <spb s="9">
      <v>1</v>
      <v>3</v>
      <v>1</v>
      <v>4</v>
      <v>1</v>
      <v>1</v>
      <v>5</v>
      <v>7</v>
      <v>1</v>
      <v>1</v>
      <v>6</v>
      <v>5</v>
      <v>8</v>
      <v>9</v>
    </spb>
    <spb s="10">
      <v>Delayed 15 minutes</v>
      <v>Source: Nasdaq</v>
      <v>GMT</v>
    </spb>
    <spb s="10">
      <v>Real-Time Nasdaq Last Sale</v>
      <v>Source: Nasdaq Last Sale</v>
      <v>GMT</v>
    </spb>
    <spb s="1">
      <v>3</v>
      <v>Name</v>
      <v>LearnMoreOnLink</v>
    </spb>
    <spb s="11">
      <v>1</v>
      <v>3</v>
      <v>1</v>
      <v>4</v>
      <v>1</v>
      <v>1</v>
      <v>1</v>
      <v>5</v>
      <v>6</v>
      <v>7</v>
      <v>1</v>
      <v>1</v>
      <v>6</v>
      <v>1</v>
      <v>8</v>
      <v>9</v>
    </spb>
    <spb s="5">
      <v>Delayed 15 minutes</v>
      <v>from previous close</v>
      <v>LSE</v>
      <v>from previous close</v>
      <v>GMT</v>
    </spb>
    <spb s="1">
      <v>4</v>
      <v>Name</v>
      <v>LearnMoreOnLink</v>
    </spb>
    <spb s="12">
      <v>1</v>
      <v>1</v>
      <v>4</v>
      <v>1</v>
      <v>1</v>
      <v>1</v>
      <v>5</v>
      <v>6</v>
      <v>1</v>
      <v>1</v>
      <v>1</v>
      <v>8</v>
      <v>9</v>
    </spb>
    <spb s="11">
      <v>2</v>
      <v>3</v>
      <v>2</v>
      <v>4</v>
      <v>2</v>
      <v>2</v>
      <v>2</v>
      <v>5</v>
      <v>6</v>
      <v>10</v>
      <v>2</v>
      <v>2</v>
      <v>6</v>
      <v>2</v>
      <v>8</v>
      <v>9</v>
    </spb>
    <spb s="5">
      <v>Delayed 15 minutes</v>
      <v>from previous close</v>
      <v>Borsa Italia</v>
      <v>from previous close</v>
      <v>GMT</v>
    </spb>
    <spb s="8">
      <v>Delayed 15 minutes</v>
      <v>from previous close</v>
      <v>from previous close</v>
      <v>GMT</v>
    </spb>
    <spb s="13">
      <v>5</v>
      <v>Name</v>
    </spb>
    <spb s="14">
      <v>3</v>
      <v>3</v>
    </spb>
    <spb s="15">
      <v>1</v>
      <v>1</v>
      <v>4</v>
      <v>1</v>
      <v>1</v>
      <v>1</v>
      <v>5</v>
      <v>6</v>
      <v>7</v>
      <v>1</v>
      <v>1</v>
      <v>6</v>
      <v>1</v>
      <v>5</v>
      <v>8</v>
      <v>9</v>
    </spb>
    <spb s="16">
      <v>11</v>
      <v>1</v>
    </spb>
    <spb s="16">
      <v>11</v>
      <v>2</v>
    </spb>
  </spbData>
</supportingPropertyBags>
</file>

<file path=xl/richData/rdsupportingpropertybagstructure.xml><?xml version="1.0" encoding="utf-8"?>
<spbStructures xmlns="http://schemas.microsoft.com/office/spreadsheetml/2017/richdata2" count="17">
  <s>
    <k n="_Self" t="i"/>
  </s>
  <s>
    <k n="^Order" t="spba"/>
    <k n="TitleProperty" t="s"/>
    <k n="SubTitleProperty" t="s"/>
  </s>
  <s>
    <k n="ShowInCardView" t="b"/>
    <k n="ShowInDotNotation" t="b"/>
    <k n="ShowInAutoComplete" t="b"/>
  </s>
  <s>
    <k n="UniqueName" t="spb"/>
    <k n="`%ProviderInfo" t="spb"/>
    <k n="LearnMoreOnLink" t="spb"/>
  </s>
  <s>
    <k n="Low" t="i"/>
    <k n="Beta" t="i"/>
    <k n="High" t="i"/>
    <k n="Name" t="i"/>
    <k n="Open" t="i"/>
    <k n="Price" t="i"/>
    <k n="Change" t="i"/>
    <k n="Volume" t="i"/>
    <k n="Change (%)" t="i"/>
    <k n="Market cap" t="i"/>
    <k n="52 week low" t="i"/>
    <k n="52 week high" t="i"/>
    <k n="Expense ratio" t="i"/>
    <k n="Previous close" t="i"/>
    <k n="Volume average" t="i"/>
    <k n="Last trade time" t="i"/>
    <k n="`%EntityServiceId" t="i"/>
  </s>
  <s>
    <k n="Price" t="s"/>
    <k n="Change" t="s"/>
    <k n="Exchange" t="s"/>
    <k n="Change (%)" t="s"/>
    <k n="Last trade time" t="s"/>
  </s>
  <s>
    <k n="Low" t="i"/>
    <k n="Beta" t="i"/>
    <k n="High" t="i"/>
    <k n="Name" t="i"/>
    <k n="Open" t="i"/>
    <k n="Price" t="i"/>
    <k n="Change" t="i"/>
    <k n="Volume" t="i"/>
    <k n="Change (%)" t="i"/>
    <k n="Market cap" t="i"/>
    <k n="52 week low" t="i"/>
    <k n="52 week high" t="i"/>
    <k n="Expense ratio" t="i"/>
    <k n="Previous close" t="i"/>
    <k n="Volume average" t="i"/>
    <k n="Last trade time" t="i"/>
    <k n="`%EntityServiceId" t="i"/>
    <k n="Price (Extended hours)" t="i"/>
  </s>
  <s>
    <k n="Price" t="s"/>
    <k n="Change" t="s"/>
    <k n="Exchange" t="s"/>
    <k n="Change (%)" t="s"/>
    <k n="Last trade time" t="s"/>
    <k n="Price (Extended hours)" t="s"/>
  </s>
  <s>
    <k n="Price" t="s"/>
    <k n="Change" t="s"/>
    <k n="Change (%)" t="s"/>
    <k n="Last trade time" t="s"/>
  </s>
  <s>
    <k n="Low" t="i"/>
    <k n="Beta" t="i"/>
    <k n="High" t="i"/>
    <k n="Name" t="i"/>
    <k n="Open" t="i"/>
    <k n="Price" t="i"/>
    <k n="Volume" t="i"/>
    <k n="Market cap" t="i"/>
    <k n="52 week low" t="i"/>
    <k n="52 week high" t="i"/>
    <k n="Expense ratio" t="i"/>
    <k n="Volume average" t="i"/>
    <k n="Last trade time" t="i"/>
    <k n="`%EntityServiceId" t="i"/>
  </s>
  <s>
    <k n="Price" t="s"/>
    <k n="Exchange" t="s"/>
    <k n="Last trade time" t="s"/>
  </s>
  <s>
    <k n="Low" t="i"/>
    <k n="Beta" t="i"/>
    <k n="High" t="i"/>
    <k n="Name" t="i"/>
    <k n="Open" t="i"/>
    <k n="Price" t="i"/>
    <k n="Change" t="i"/>
    <k n="Volume" t="i"/>
    <k n="Change (%)" t="i"/>
    <k n="Market cap" t="i"/>
    <k n="52 week low" t="i"/>
    <k n="52 week high" t="i"/>
    <k n="Expense ratio" t="i"/>
    <k n="Previous close" t="i"/>
    <k n="Last trade time" t="i"/>
    <k n="`%EntityServiceId" t="i"/>
  </s>
  <s>
    <k n="Low" t="i"/>
    <k n="High" t="i"/>
    <k n="Name" t="i"/>
    <k n="Open" t="i"/>
    <k n="Price" t="i"/>
    <k n="Change" t="i"/>
    <k n="Volume" t="i"/>
    <k n="Change (%)" t="i"/>
    <k n="52 week low" t="i"/>
    <k n="52 week high" t="i"/>
    <k n="Previous close" t="i"/>
    <k n="Last trade time" t="i"/>
    <k n="`%EntityServiceId" t="i"/>
  </s>
  <s>
    <k n="^Order" t="spba"/>
    <k n="TitleProperty" t="s"/>
  </s>
  <s>
    <k n="UniqueName" t="spb"/>
    <k n="`%ProviderInfo" t="spb"/>
  </s>
  <s>
    <k n="Low" t="i"/>
    <k n="High" t="i"/>
    <k n="Name" t="i"/>
    <k n="Open" t="i"/>
    <k n="Price" t="i"/>
    <k n="Change" t="i"/>
    <k n="Volume" t="i"/>
    <k n="Change (%)" t="i"/>
    <k n="Market cap" t="i"/>
    <k n="52 week low" t="i"/>
    <k n="52 week high" t="i"/>
    <k n="Expense ratio" t="i"/>
    <k n="Previous close" t="i"/>
    <k n="Volume average" t="i"/>
    <k n="Last trade time" t="i"/>
    <k n="`%EntityServiceId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7">
    <x:dxf>
      <x:numFmt numFmtId="2" formatCode="0.00"/>
    </x:dxf>
    <x:dxf>
      <x:numFmt numFmtId="0" formatCode="General"/>
    </x:dxf>
    <x:dxf>
      <x:numFmt numFmtId="27" formatCode="m/d/yy\ h:mm"/>
    </x:dxf>
    <x:dxf>
      <x:numFmt numFmtId="14" formatCode="0.00%"/>
    </x:dxf>
    <x:dxf>
      <x:numFmt numFmtId="3" formatCode="#,##0"/>
    </x:dxf>
    <x:dxf>
      <x:numFmt numFmtId="4" formatCode="#,##0.00"/>
    </x:dxf>
    <x:dxf>
      <x:numFmt numFmtId="19" formatCode="m/d/yy"/>
    </x:dxf>
  </dxfs>
  <richProperties>
    <rPr n="NumberFormat" t="s"/>
    <rPr n="IsTitleField" t="b"/>
  </richProperties>
  <richStyles>
    <rSty dxfid="1">
      <rpv i="0">_([$$-en-US]* #,##0.00_);_([$$-en-US]* (#,##0.00);_([$$-en-US]* "-"??_);_(@_)</rpv>
    </rSty>
    <rSty dxfid="1">
      <rpv i="0">_([$€-x-euro2] * #,##0.00_);_([$€-x-euro2] * (#,##0.00);_([$€-x-euro2] * "-"??_);_(@_)</rpv>
    </rSty>
    <rSty dxfid="5">
      <rpv i="0">#,##0.00</rpv>
    </rSty>
    <rSty>
      <rpv i="1">1</rpv>
    </rSty>
    <rSty dxfid="4">
      <rpv i="0">#,##0</rpv>
    </rSty>
    <rSty dxfid="3"/>
    <rSty dxfid="1">
      <rpv i="0">_([$$-en-US]* #,##0_);_([$$-en-US]* (#,##0);_([$$-en-US]* "-"_);_(@_)</rpv>
    </rSty>
    <rSty dxfid="2"/>
    <rSty dxfid="0">
      <rpv i="0">0.00</rpv>
    </rSty>
    <rSty dxfid="1">
      <rpv i="0">_([$€-x-euro2] * #,##0_);_([$€-x-euro2] * (#,##0);_([$€-x-euro2] * "-"_);_(@_)</rpv>
    </rSty>
    <rSty dxfid="6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34"/>
  <sheetViews>
    <sheetView tabSelected="1" zoomScaleNormal="100" workbookViewId="0">
      <selection activeCell="AG29" sqref="AG29"/>
    </sheetView>
  </sheetViews>
  <sheetFormatPr baseColWidth="10" defaultColWidth="8.83203125" defaultRowHeight="15" outlineLevelRow="1" x14ac:dyDescent="0.2"/>
  <cols>
    <col min="1" max="1" width="7.5" customWidth="1"/>
    <col min="2" max="2" width="25.83203125" customWidth="1"/>
    <col min="3" max="3" width="9.5" customWidth="1"/>
    <col min="4" max="4" width="18.83203125" customWidth="1"/>
    <col min="5" max="8" width="10.5" customWidth="1"/>
    <col min="17" max="17" width="25.83203125" customWidth="1"/>
    <col min="19" max="19" width="18.83203125" customWidth="1"/>
    <col min="22" max="22" width="8.83203125" customWidth="1"/>
  </cols>
  <sheetData>
    <row r="1" spans="1:29" s="21" customFormat="1" ht="30" customHeight="1" x14ac:dyDescent="0.2">
      <c r="A1" s="91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3"/>
    </row>
    <row r="2" spans="1:29" ht="16" thickBot="1" x14ac:dyDescent="0.25">
      <c r="A2" s="5" t="s">
        <v>303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6"/>
    </row>
    <row r="3" spans="1:29" ht="16" thickBot="1" x14ac:dyDescent="0.25">
      <c r="A3" s="99" t="s">
        <v>1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1"/>
      <c r="O3" s="42"/>
      <c r="P3" s="66" t="s">
        <v>177</v>
      </c>
      <c r="Q3" s="67"/>
      <c r="R3" s="68"/>
      <c r="S3" s="111"/>
      <c r="T3" s="66" t="s">
        <v>201</v>
      </c>
      <c r="U3" s="67"/>
      <c r="V3" s="68"/>
      <c r="W3" s="111"/>
      <c r="X3" s="53" t="s">
        <v>207</v>
      </c>
      <c r="Y3" s="54"/>
      <c r="Z3" s="54"/>
      <c r="AA3" s="96"/>
      <c r="AB3" s="18" t="s">
        <v>219</v>
      </c>
      <c r="AC3" s="6"/>
    </row>
    <row r="4" spans="1:29" x14ac:dyDescent="0.2">
      <c r="A4" s="34" t="s">
        <v>8</v>
      </c>
      <c r="B4" s="36" t="s">
        <v>9</v>
      </c>
      <c r="C4" s="36" t="s">
        <v>10</v>
      </c>
      <c r="D4" s="36" t="s">
        <v>12</v>
      </c>
      <c r="E4" s="36" t="s">
        <v>101</v>
      </c>
      <c r="F4" s="36" t="s">
        <v>102</v>
      </c>
      <c r="G4" s="36" t="s">
        <v>103</v>
      </c>
      <c r="H4" s="36" t="s">
        <v>104</v>
      </c>
      <c r="I4" s="36" t="s">
        <v>11</v>
      </c>
      <c r="J4" s="36" t="s">
        <v>98</v>
      </c>
      <c r="K4" s="36" t="s">
        <v>96</v>
      </c>
      <c r="L4" s="36" t="s">
        <v>99</v>
      </c>
      <c r="M4" s="36" t="s">
        <v>100</v>
      </c>
      <c r="N4" s="37" t="s">
        <v>97</v>
      </c>
      <c r="O4" s="112"/>
      <c r="P4" s="69" t="s">
        <v>178</v>
      </c>
      <c r="Q4" s="70"/>
      <c r="R4" s="2"/>
      <c r="S4" s="111"/>
      <c r="T4" s="87" t="s">
        <v>199</v>
      </c>
      <c r="U4" s="88"/>
      <c r="V4" s="19">
        <v>14.91</v>
      </c>
      <c r="W4" s="111"/>
      <c r="X4" s="87" t="s">
        <v>208</v>
      </c>
      <c r="Y4" s="88"/>
      <c r="Z4" s="88"/>
      <c r="AA4" s="88"/>
      <c r="AB4" s="2">
        <v>1.5</v>
      </c>
      <c r="AC4" s="6"/>
    </row>
    <row r="5" spans="1:29" x14ac:dyDescent="0.2">
      <c r="A5" s="10" t="s">
        <v>14</v>
      </c>
      <c r="B5" s="1" t="s">
        <v>2</v>
      </c>
      <c r="C5" s="1" vm="1">
        <f ca="1">Data!Y1</f>
        <v>680.59</v>
      </c>
      <c r="D5" s="1"/>
      <c r="E5" s="27"/>
      <c r="F5" s="1">
        <v>56</v>
      </c>
      <c r="G5" s="1">
        <v>65</v>
      </c>
      <c r="H5" s="1">
        <v>73</v>
      </c>
      <c r="I5" s="24">
        <f ca="1">(Price!IW1 - Price!IV1) / Price!IV1</f>
        <v>6.0904400786435534E-3</v>
      </c>
      <c r="J5" s="24">
        <f ca="1">(Price!IW1 - Price!IR1) / Price!IR1</f>
        <v>-1.716146444496537E-3</v>
      </c>
      <c r="K5" s="30">
        <f ca="1">(Price!IW1 - Price!IB1) / Price!IB1</f>
        <v>2.710411541886126E-2</v>
      </c>
      <c r="L5" s="24">
        <f ca="1">(Price!IW1 - Price!GL1) / Price!GL1</f>
        <v>2.0619638893887588E-2</v>
      </c>
      <c r="M5" s="24">
        <f ca="1">(Price!IW1 - Price!DZ1) / Price!DZ1</f>
        <v>0.14523456956316899</v>
      </c>
      <c r="N5" s="31">
        <f ca="1">(Price!IW1 - Price!D1) / Price!D1</f>
        <v>0.12162362596614985</v>
      </c>
      <c r="O5" s="112"/>
      <c r="P5" s="71" t="s">
        <v>182</v>
      </c>
      <c r="Q5" s="72"/>
      <c r="R5" s="3" t="s">
        <v>183</v>
      </c>
      <c r="S5" s="111"/>
      <c r="T5" s="87" t="s">
        <v>200</v>
      </c>
      <c r="U5" s="88"/>
      <c r="V5" s="19">
        <v>0.85299999999999998</v>
      </c>
      <c r="W5" s="111"/>
      <c r="X5" s="87" t="s">
        <v>209</v>
      </c>
      <c r="Y5" s="88"/>
      <c r="Z5" s="88"/>
      <c r="AA5" s="88"/>
      <c r="AB5" s="2">
        <v>2</v>
      </c>
      <c r="AC5" s="6"/>
    </row>
    <row r="6" spans="1:29" x14ac:dyDescent="0.2">
      <c r="A6" s="10" t="s">
        <v>15</v>
      </c>
      <c r="B6" s="1" t="s">
        <v>3</v>
      </c>
      <c r="C6" s="1" vm="2">
        <f ca="1">Data!Y2</f>
        <v>617.04999999999995</v>
      </c>
      <c r="D6" s="1"/>
      <c r="E6" s="26">
        <f ca="1">PERCENTRANK(Data!AA2:'Data'!AV2,Data!AV2)</f>
        <v>0.57099999999999995</v>
      </c>
      <c r="F6" s="1">
        <v>42</v>
      </c>
      <c r="G6" s="1">
        <v>66</v>
      </c>
      <c r="H6" s="1">
        <v>76</v>
      </c>
      <c r="I6" s="24">
        <f ca="1">(Price!IW2 - Price!IV2) / Price!IV2</f>
        <v>1.3035412322897245E-2</v>
      </c>
      <c r="J6" s="24">
        <f ca="1">(Price!IW2 - Price!IR2) / Price!IR2</f>
        <v>5.5897786903946253E-3</v>
      </c>
      <c r="K6" s="30">
        <f ca="1">(Price!IW2 - Price!IB2) / Price!IB2</f>
        <v>2.8639538566689365E-2</v>
      </c>
      <c r="L6" s="24">
        <f ca="1">(Price!IW2 - Price!GL2) / Price!GL2</f>
        <v>2.4659581534373809E-2</v>
      </c>
      <c r="M6" s="24">
        <f ca="1">(Price!IW2 - Price!DZ2) / Price!DZ2</f>
        <v>0.17125068807774788</v>
      </c>
      <c r="N6" s="31">
        <f ca="1">(Price!IW2 - Price!D2) / Price!D2</f>
        <v>0.1465707861828047</v>
      </c>
      <c r="O6" s="112"/>
      <c r="P6" s="73" t="s">
        <v>179</v>
      </c>
      <c r="Q6" s="74"/>
      <c r="R6" s="3"/>
      <c r="S6" s="111"/>
      <c r="T6" s="87" t="s">
        <v>202</v>
      </c>
      <c r="U6" s="88"/>
      <c r="V6" s="44" t="s">
        <v>290</v>
      </c>
      <c r="W6" s="111"/>
      <c r="X6" s="87" t="s">
        <v>210</v>
      </c>
      <c r="Y6" s="88"/>
      <c r="Z6" s="88"/>
      <c r="AA6" s="88"/>
      <c r="AB6" s="2">
        <v>2</v>
      </c>
      <c r="AC6" s="6"/>
    </row>
    <row r="7" spans="1:29" x14ac:dyDescent="0.2">
      <c r="A7" s="10" t="s">
        <v>16</v>
      </c>
      <c r="B7" s="1" t="s">
        <v>18</v>
      </c>
      <c r="C7" s="1" vm="3">
        <f ca="1">Data!Y3</f>
        <v>481.15</v>
      </c>
      <c r="D7" s="1"/>
      <c r="E7" s="26">
        <f ca="1">PERCENTRANK(Data!AA3:'Data'!AV3,Data!AV3)</f>
        <v>0.71399999999999997</v>
      </c>
      <c r="F7" s="1">
        <v>71</v>
      </c>
      <c r="G7" s="1">
        <v>71</v>
      </c>
      <c r="H7" s="1">
        <v>70</v>
      </c>
      <c r="I7" s="24">
        <f ca="1">(Price!IW3 - Price!IV3) / Price!IV3</f>
        <v>1.3319181702773852E-3</v>
      </c>
      <c r="J7" s="24">
        <f ca="1">(Price!IW3 - Price!IR3) / Price!IR3</f>
        <v>-8.7556654305727243E-3</v>
      </c>
      <c r="K7" s="30">
        <f ca="1">(Price!IW3 - Price!IB3) / Price!IB3</f>
        <v>4.199151074151071E-2</v>
      </c>
      <c r="L7" s="24">
        <f ca="1">(Price!IW3 - Price!GL3) / Price!GL3</f>
        <v>3.7699225742446052E-2</v>
      </c>
      <c r="M7" s="24">
        <f ca="1">(Price!IW3 - Price!DZ3) / Price!DZ3</f>
        <v>0.14081468133535657</v>
      </c>
      <c r="N7" s="31">
        <f ca="1">(Price!IW3 - Price!D3) / Price!D3</f>
        <v>9.7588794853662369E-2</v>
      </c>
      <c r="O7" s="112"/>
      <c r="P7" s="75" t="s">
        <v>180</v>
      </c>
      <c r="Q7" s="76"/>
      <c r="R7" s="2"/>
      <c r="S7" s="111"/>
      <c r="T7" s="87" t="s">
        <v>7</v>
      </c>
      <c r="U7" s="88"/>
      <c r="V7" s="19">
        <v>98.72</v>
      </c>
      <c r="W7" s="111"/>
      <c r="X7" s="87" t="s">
        <v>211</v>
      </c>
      <c r="Y7" s="88"/>
      <c r="Z7" s="88"/>
      <c r="AA7" s="88"/>
      <c r="AB7" s="2">
        <v>1.5</v>
      </c>
      <c r="AC7" s="6"/>
    </row>
    <row r="8" spans="1:29" ht="16" thickBot="1" x14ac:dyDescent="0.25">
      <c r="A8" s="10" t="s">
        <v>17</v>
      </c>
      <c r="B8" s="1" t="s">
        <v>4</v>
      </c>
      <c r="C8" s="1" vm="4">
        <f ca="1">Data!Y4</f>
        <v>250.79</v>
      </c>
      <c r="D8" s="1"/>
      <c r="E8" s="26">
        <f ca="1">PERCENTRANK(Data!AA4:'Data'!AV4,Data!AV4)</f>
        <v>0.80900000000000005</v>
      </c>
      <c r="F8" s="1">
        <v>64</v>
      </c>
      <c r="G8" s="1">
        <v>74</v>
      </c>
      <c r="H8" s="1">
        <v>73</v>
      </c>
      <c r="I8" s="24">
        <f ca="1">(Price!IW4 - Price!IV4) / Price!IV4</f>
        <v>8.3631538739897225E-3</v>
      </c>
      <c r="J8" s="24">
        <f ca="1">(Price!IW4 - Price!IR4) / Price!IR4</f>
        <v>-1.2054362812684665E-2</v>
      </c>
      <c r="K8" s="30">
        <f ca="1">(Price!IW4 - Price!IB4) / Price!IB4</f>
        <v>7.4369189907038447E-2</v>
      </c>
      <c r="L8" s="24">
        <f ca="1">(Price!IW4 - Price!GL4) / Price!GL4</f>
        <v>2.6187650885879151E-2</v>
      </c>
      <c r="M8" s="24">
        <f ca="1">(Price!IW4 - Price!DZ4) / Price!DZ4</f>
        <v>0.19874766980545855</v>
      </c>
      <c r="N8" s="31">
        <f ca="1">(Price!IW4 - Price!D4) / Price!D4</f>
        <v>6.9740658590684165E-2</v>
      </c>
      <c r="O8" s="112"/>
      <c r="P8" s="77" t="s">
        <v>181</v>
      </c>
      <c r="Q8" s="78"/>
      <c r="R8" s="4"/>
      <c r="S8" s="111"/>
      <c r="T8" s="10" t="s">
        <v>214</v>
      </c>
      <c r="U8" s="1"/>
      <c r="V8" s="2">
        <v>5</v>
      </c>
      <c r="W8" s="111"/>
      <c r="X8" s="87" t="s">
        <v>212</v>
      </c>
      <c r="Y8" s="88"/>
      <c r="Z8" s="88"/>
      <c r="AA8" s="88"/>
      <c r="AB8" s="2">
        <v>1.5</v>
      </c>
      <c r="AC8" s="6"/>
    </row>
    <row r="9" spans="1:29" ht="16" thickBot="1" x14ac:dyDescent="0.25">
      <c r="A9" s="10" t="s">
        <v>19</v>
      </c>
      <c r="B9" s="1" t="s">
        <v>21</v>
      </c>
      <c r="C9" s="1" vm="5">
        <f ca="1">Data!Y5</f>
        <v>192.88</v>
      </c>
      <c r="D9" s="1"/>
      <c r="E9" s="26">
        <f ca="1">PERCENTRANK(Data!AA5:'Data'!AV5,Data!AV5)</f>
        <v>0.80900000000000005</v>
      </c>
      <c r="F9" s="1">
        <v>67</v>
      </c>
      <c r="G9" s="1">
        <v>59</v>
      </c>
      <c r="H9" s="1">
        <v>59</v>
      </c>
      <c r="I9" s="24">
        <f ca="1">(Price!IW5 - Price!IV5) / Price!IV5</f>
        <v>3.6424185659277167E-3</v>
      </c>
      <c r="J9" s="24">
        <f ca="1">(Price!IW5 - Price!IR5) / Price!IR5</f>
        <v>-2.7402926425727789E-3</v>
      </c>
      <c r="K9" s="30">
        <f ca="1">(Price!IW5 - Price!IB5) / Price!IB5</f>
        <v>4.5816841077915678E-2</v>
      </c>
      <c r="L9" s="24">
        <f ca="1">(Price!IW5 - Price!GL5) / Price!GL5</f>
        <v>2.3344651952461833E-2</v>
      </c>
      <c r="M9" s="24">
        <f ca="1">(Price!IW5 - Price!DZ5) / Price!DZ5</f>
        <v>8.5730368702504861E-2</v>
      </c>
      <c r="N9" s="31">
        <f ca="1">(Price!IW5 - Price!D5) / Price!D5</f>
        <v>6.2348534919585773E-2</v>
      </c>
      <c r="O9" s="112"/>
      <c r="P9" s="111"/>
      <c r="Q9" s="111"/>
      <c r="R9" s="6"/>
      <c r="S9" s="111"/>
      <c r="T9" s="10" t="s">
        <v>292</v>
      </c>
      <c r="U9" s="1"/>
      <c r="V9" s="19">
        <v>2.6</v>
      </c>
      <c r="W9" s="111"/>
      <c r="X9" s="97" t="s">
        <v>213</v>
      </c>
      <c r="Y9" s="98"/>
      <c r="Z9" s="98"/>
      <c r="AA9" s="98"/>
      <c r="AB9" s="20">
        <v>8.5</v>
      </c>
      <c r="AC9" s="6"/>
    </row>
    <row r="10" spans="1:29" ht="16" thickBot="1" x14ac:dyDescent="0.25">
      <c r="A10" s="10" t="s">
        <v>20</v>
      </c>
      <c r="B10" s="1" t="s">
        <v>22</v>
      </c>
      <c r="C10" s="1" vm="6">
        <f ca="1">Data!Y6</f>
        <v>103.27</v>
      </c>
      <c r="D10" s="1"/>
      <c r="E10" s="26">
        <f ca="1">PERCENTRANK(Data!AA6:'Data'!AV6,Data!AV6)</f>
        <v>0.85699999999999998</v>
      </c>
      <c r="F10" s="1">
        <v>56</v>
      </c>
      <c r="G10" s="1">
        <v>56</v>
      </c>
      <c r="H10" s="1">
        <v>65</v>
      </c>
      <c r="I10" s="24">
        <f ca="1">(Price!IW6 - Price!IV6) / Price!IV6</f>
        <v>7.6104985852278387E-3</v>
      </c>
      <c r="J10" s="24">
        <f ca="1">(Price!IW6 - Price!IR6) / Price!IR6</f>
        <v>2.9058504455638451E-4</v>
      </c>
      <c r="K10" s="30">
        <f ca="1">(Price!IW6 - Price!IB6) / Price!IB6</f>
        <v>4.26047450782433E-2</v>
      </c>
      <c r="L10" s="24">
        <f ca="1">(Price!IW6 - Price!GL6) / Price!GL6</f>
        <v>1.9447186574531084E-2</v>
      </c>
      <c r="M10" s="24">
        <f ca="1">(Price!IW6 - Price!DZ6) / Price!DZ6</f>
        <v>8.8427487352445211E-2</v>
      </c>
      <c r="N10" s="31">
        <f ca="1">(Price!IW6 - Price!D6) / Price!D6</f>
        <v>8.865696816360949E-2</v>
      </c>
      <c r="O10" s="112"/>
      <c r="P10" s="66" t="s">
        <v>5</v>
      </c>
      <c r="Q10" s="67"/>
      <c r="R10" s="68"/>
      <c r="S10" s="111"/>
      <c r="T10" s="10" t="s">
        <v>293</v>
      </c>
      <c r="U10" s="1"/>
      <c r="V10" s="19">
        <v>1.1000000000000001</v>
      </c>
      <c r="W10" s="111"/>
      <c r="X10" s="111"/>
      <c r="Y10" s="111"/>
      <c r="Z10" s="111"/>
      <c r="AA10" s="111"/>
      <c r="AB10" s="111"/>
      <c r="AC10" s="6"/>
    </row>
    <row r="11" spans="1:29" x14ac:dyDescent="0.2">
      <c r="A11" s="10" t="s">
        <v>23</v>
      </c>
      <c r="B11" s="1" t="s">
        <v>24</v>
      </c>
      <c r="C11" s="1" vm="7">
        <f ca="1">Data!Y7</f>
        <v>41.203200000000002</v>
      </c>
      <c r="D11" s="1"/>
      <c r="E11" s="26">
        <f ca="1">PERCENTRANK(Data!AA7:'Data'!AV7,Data!AV7)</f>
        <v>0.57099999999999995</v>
      </c>
      <c r="F11" s="1">
        <v>69</v>
      </c>
      <c r="G11" s="1">
        <v>67</v>
      </c>
      <c r="H11" s="1">
        <v>68</v>
      </c>
      <c r="I11" s="24">
        <f ca="1">(Price!IW7 - Price!IV7) / Price!IV7</f>
        <v>-1.383196348361003E-4</v>
      </c>
      <c r="J11" s="24">
        <f ca="1">(Price!IW7 - Price!IR7) / Price!IR7</f>
        <v>-1.0014416146083492E-2</v>
      </c>
      <c r="K11" s="30">
        <f ca="1">(Price!IW7 - Price!IB7) / Price!IB7</f>
        <v>2.9115204495785228E-2</v>
      </c>
      <c r="L11" s="24">
        <f ca="1">(Price!IW7 - Price!GL7) / Price!GL7</f>
        <v>3.187804749776485E-2</v>
      </c>
      <c r="M11" s="24">
        <f ca="1">(Price!IW7 - Price!DZ7) / Price!DZ7</f>
        <v>0.11724463316820009</v>
      </c>
      <c r="N11" s="31">
        <f ca="1">(Price!IW7 - Price!D7) / Price!D7</f>
        <v>0.1097189828006918</v>
      </c>
      <c r="O11" s="112"/>
      <c r="P11" s="79" t="s">
        <v>187</v>
      </c>
      <c r="Q11" s="80"/>
      <c r="R11" s="17"/>
      <c r="S11" s="111"/>
      <c r="T11" s="10" t="s">
        <v>294</v>
      </c>
      <c r="U11" s="1"/>
      <c r="V11" s="19">
        <v>1.2</v>
      </c>
      <c r="W11" s="111"/>
      <c r="X11" s="53" t="s">
        <v>220</v>
      </c>
      <c r="Y11" s="54"/>
      <c r="Z11" s="54"/>
      <c r="AA11" s="54"/>
      <c r="AB11" s="55"/>
      <c r="AC11" s="6"/>
    </row>
    <row r="12" spans="1:29" ht="15" customHeight="1" x14ac:dyDescent="0.2">
      <c r="A12" s="10" t="s">
        <v>25</v>
      </c>
      <c r="B12" s="1" t="s">
        <v>30</v>
      </c>
      <c r="C12" s="1" vm="8">
        <f ca="1">Data!Y8</f>
        <v>611.57000000000005</v>
      </c>
      <c r="D12" s="1"/>
      <c r="E12" s="26">
        <f ca="1">PERCENTRANK(Data!AA8:'Data'!AV8,Data!AV8)</f>
        <v>0.76100000000000001</v>
      </c>
      <c r="F12" s="1">
        <v>68</v>
      </c>
      <c r="G12" s="1">
        <v>62</v>
      </c>
      <c r="H12" s="1">
        <v>59</v>
      </c>
      <c r="I12" s="24">
        <f ca="1">(Price!IW8 - Price!IV8) / Price!IV8</f>
        <v>5.7559162596411591E-3</v>
      </c>
      <c r="J12" s="24">
        <f ca="1">(Price!IW8 - Price!IR8) / Price!IR8</f>
        <v>-2.5117841822837068E-3</v>
      </c>
      <c r="K12" s="30">
        <f ca="1">(Price!IW8 - Price!IB8) / Price!IB8</f>
        <v>5.8280987731229236E-2</v>
      </c>
      <c r="L12" s="24">
        <f ca="1">(Price!IW8 - Price!GL8) / Price!GL8</f>
        <v>2.1104302673100532E-2</v>
      </c>
      <c r="M12" s="24">
        <f ca="1">(Price!IW8 - Price!DZ8) / Price!DZ8</f>
        <v>0.10769593015884522</v>
      </c>
      <c r="N12" s="31">
        <f ca="1">(Price!IW8 - Price!D8) / Price!D8</f>
        <v>2.0524972049326795E-2</v>
      </c>
      <c r="O12" s="112"/>
      <c r="P12" s="81" t="s">
        <v>184</v>
      </c>
      <c r="Q12" s="82"/>
      <c r="R12" s="17" t="s">
        <v>183</v>
      </c>
      <c r="S12" s="111"/>
      <c r="T12" s="10" t="s">
        <v>296</v>
      </c>
      <c r="U12" s="1"/>
      <c r="V12" s="19">
        <v>1.4</v>
      </c>
      <c r="W12" s="111"/>
      <c r="X12" s="56" t="s">
        <v>300</v>
      </c>
      <c r="Y12" s="57"/>
      <c r="Z12" s="57"/>
      <c r="AA12" s="57"/>
      <c r="AB12" s="58"/>
      <c r="AC12" s="6"/>
    </row>
    <row r="13" spans="1:29" x14ac:dyDescent="0.2">
      <c r="A13" s="10" t="s">
        <v>26</v>
      </c>
      <c r="B13" s="1" t="s">
        <v>29</v>
      </c>
      <c r="C13" s="1" vm="9">
        <f ca="1">Data!Y9</f>
        <v>184.45</v>
      </c>
      <c r="D13" s="1"/>
      <c r="E13" s="26">
        <f ca="1">PERCENTRANK(Data!AA9:'Data'!AV9,Data!AV9)</f>
        <v>0.66600000000000004</v>
      </c>
      <c r="F13" s="1">
        <v>75</v>
      </c>
      <c r="G13" s="1">
        <v>77</v>
      </c>
      <c r="H13" s="1">
        <v>75</v>
      </c>
      <c r="I13" s="24">
        <f ca="1">(Price!IW9 - Price!IV9) / Price!IV9</f>
        <v>1.6267216137079026E-4</v>
      </c>
      <c r="J13" s="24">
        <f ca="1">(Price!IW9 - Price!IR9) / Price!IR9</f>
        <v>-1.589926906044933E-2</v>
      </c>
      <c r="K13" s="30">
        <f ca="1">(Price!IW9 - Price!IB9) / Price!IB9</f>
        <v>7.7394859813084124E-2</v>
      </c>
      <c r="L13" s="24">
        <f ca="1">(Price!IW9 - Price!GL9) / Price!GL9</f>
        <v>3.9389158120139642E-2</v>
      </c>
      <c r="M13" s="24">
        <f ca="1">(Price!IW9 - Price!DZ9) / Price!DZ9</f>
        <v>0.20406031725308435</v>
      </c>
      <c r="N13" s="31">
        <f ca="1">(Price!IW9 - Price!D9) / Price!D9</f>
        <v>5.6656736938588373E-2</v>
      </c>
      <c r="O13" s="112"/>
      <c r="P13" s="83" t="s">
        <v>188</v>
      </c>
      <c r="Q13" s="84"/>
      <c r="R13" s="2"/>
      <c r="S13" s="111"/>
      <c r="T13" s="10" t="s">
        <v>295</v>
      </c>
      <c r="U13" s="1"/>
      <c r="V13" s="19">
        <v>1</v>
      </c>
      <c r="W13" s="111"/>
      <c r="X13" s="56"/>
      <c r="Y13" s="57"/>
      <c r="Z13" s="57"/>
      <c r="AA13" s="57"/>
      <c r="AB13" s="58"/>
      <c r="AC13" s="6"/>
    </row>
    <row r="14" spans="1:29" ht="16" thickBot="1" x14ac:dyDescent="0.25">
      <c r="A14" s="11" t="s">
        <v>27</v>
      </c>
      <c r="B14" s="12" t="s">
        <v>28</v>
      </c>
      <c r="C14" s="1" vm="10">
        <f ca="1">Data!Y10</f>
        <v>329.61</v>
      </c>
      <c r="D14" s="12"/>
      <c r="E14" s="28">
        <f ca="1">PERCENTRANK(Data!AA10:'Data'!AV10,Data!AV10)</f>
        <v>0.71399999999999997</v>
      </c>
      <c r="F14" s="12">
        <v>41</v>
      </c>
      <c r="G14" s="12">
        <v>70</v>
      </c>
      <c r="H14" s="12">
        <v>73</v>
      </c>
      <c r="I14" s="29">
        <f ca="1">(Price!IW10 - Price!IV10) / Price!IV10</f>
        <v>1.6436412976440242E-2</v>
      </c>
      <c r="J14" s="29">
        <f ca="1">(Price!IW10 - Price!IR10) / Price!IR10</f>
        <v>-9.9423284873242888E-3</v>
      </c>
      <c r="K14" s="32">
        <f ca="1">(Price!IW10 - Price!IB10) / Price!IB10</f>
        <v>7.0266584407572122E-2</v>
      </c>
      <c r="L14" s="29">
        <f ca="1">(Price!IW10 - Price!GL10) / Price!GL10</f>
        <v>1.4340667795045468E-2</v>
      </c>
      <c r="M14" s="29">
        <f ca="1">(Price!IW10 - Price!DZ10) / Price!DZ10</f>
        <v>0.19359043997827283</v>
      </c>
      <c r="N14" s="33">
        <f ca="1">(Price!IW10 - Price!D10) / Price!D10</f>
        <v>7.6242408411153997E-2</v>
      </c>
      <c r="O14" s="112"/>
      <c r="P14" s="104" t="s">
        <v>185</v>
      </c>
      <c r="Q14" s="105"/>
      <c r="R14" s="2"/>
      <c r="S14" s="111"/>
      <c r="T14" s="11" t="s">
        <v>298</v>
      </c>
      <c r="U14" s="12"/>
      <c r="V14" s="20">
        <v>1.4</v>
      </c>
      <c r="W14" s="111"/>
      <c r="X14" s="56"/>
      <c r="Y14" s="57"/>
      <c r="Z14" s="57"/>
      <c r="AA14" s="57"/>
      <c r="AB14" s="58"/>
      <c r="AC14" s="6"/>
    </row>
    <row r="15" spans="1:29" ht="16" thickBot="1" x14ac:dyDescent="0.25">
      <c r="A15" s="5"/>
      <c r="B15" s="111"/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2"/>
      <c r="P15" s="64" t="s">
        <v>189</v>
      </c>
      <c r="Q15" s="65"/>
      <c r="R15" s="2"/>
      <c r="S15" s="111"/>
      <c r="T15" s="111"/>
      <c r="U15" s="111"/>
      <c r="V15" s="111"/>
      <c r="W15" s="111"/>
      <c r="X15" s="56"/>
      <c r="Y15" s="57"/>
      <c r="Z15" s="57"/>
      <c r="AA15" s="57"/>
      <c r="AB15" s="58"/>
      <c r="AC15" s="6"/>
    </row>
    <row r="16" spans="1:29" ht="16" thickBot="1" x14ac:dyDescent="0.25">
      <c r="A16" s="66" t="s">
        <v>31</v>
      </c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8"/>
      <c r="O16" s="112"/>
      <c r="P16" s="102" t="s">
        <v>186</v>
      </c>
      <c r="Q16" s="103"/>
      <c r="R16" s="4"/>
      <c r="S16" s="111"/>
      <c r="T16" s="53" t="s">
        <v>206</v>
      </c>
      <c r="U16" s="54"/>
      <c r="V16" s="55"/>
      <c r="W16" s="111"/>
      <c r="X16" s="59"/>
      <c r="Y16" s="60"/>
      <c r="Z16" s="60"/>
      <c r="AA16" s="60"/>
      <c r="AB16" s="61"/>
      <c r="AC16" s="6"/>
    </row>
    <row r="17" spans="1:29" ht="16" thickBot="1" x14ac:dyDescent="0.25">
      <c r="A17" s="8" t="s">
        <v>8</v>
      </c>
      <c r="B17" s="7" t="s">
        <v>9</v>
      </c>
      <c r="C17" s="7" t="s">
        <v>10</v>
      </c>
      <c r="D17" s="7" t="s">
        <v>12</v>
      </c>
      <c r="E17" s="7" t="s">
        <v>13</v>
      </c>
      <c r="F17" s="7" t="s">
        <v>102</v>
      </c>
      <c r="G17" s="7" t="s">
        <v>103</v>
      </c>
      <c r="H17" s="7" t="s">
        <v>104</v>
      </c>
      <c r="I17" s="7" t="s">
        <v>11</v>
      </c>
      <c r="J17" s="7" t="s">
        <v>98</v>
      </c>
      <c r="K17" s="7" t="s">
        <v>96</v>
      </c>
      <c r="L17" s="7" t="s">
        <v>99</v>
      </c>
      <c r="M17" s="7" t="s">
        <v>100</v>
      </c>
      <c r="N17" s="9" t="s">
        <v>97</v>
      </c>
      <c r="O17" s="112"/>
      <c r="P17" s="111"/>
      <c r="Q17" s="111"/>
      <c r="R17" s="6"/>
      <c r="S17" s="111"/>
      <c r="T17" s="14" t="s">
        <v>203</v>
      </c>
      <c r="U17" s="1"/>
      <c r="V17" s="2">
        <v>3.88</v>
      </c>
      <c r="W17" s="111"/>
      <c r="X17" s="111"/>
      <c r="Y17" s="111"/>
      <c r="Z17" s="111"/>
      <c r="AA17" s="111"/>
      <c r="AB17" s="111"/>
      <c r="AC17" s="6"/>
    </row>
    <row r="18" spans="1:29" x14ac:dyDescent="0.2">
      <c r="A18" s="10" t="s">
        <v>32</v>
      </c>
      <c r="B18" s="1" t="s">
        <v>43</v>
      </c>
      <c r="C18" s="1" vm="11">
        <f ca="1">Data!Y11</f>
        <v>116.52</v>
      </c>
      <c r="D18" s="1"/>
      <c r="E18" s="26">
        <f ca="1">PERCENTRANK(Data!AA11:'Data'!AV11,Data!AV11)</f>
        <v>0.80900000000000005</v>
      </c>
      <c r="F18" s="1">
        <v>65</v>
      </c>
      <c r="G18" s="1">
        <v>67</v>
      </c>
      <c r="H18" s="1">
        <v>70</v>
      </c>
      <c r="I18" s="24">
        <f ca="1">(Price!IW11 - Price!IV11) / Price!IV11</f>
        <v>4.2929509744996271E-4</v>
      </c>
      <c r="J18" s="24">
        <f ca="1">(Price!IW11 - Price!IR11) / Price!IR11</f>
        <v>-2.5740025740026714E-4</v>
      </c>
      <c r="K18" s="30">
        <f ca="1">(Price!IW11 - Price!IB11) / Price!IB11</f>
        <v>4.7935965464520176E-2</v>
      </c>
      <c r="L18" s="24">
        <f ca="1">(Price!IW11 - Price!GL11) / Price!GL11</f>
        <v>-1.7372238151458951E-2</v>
      </c>
      <c r="M18" s="24">
        <f ca="1">(Price!IW11 - Price!DZ11) / Price!DZ11</f>
        <v>0.13302217036172687</v>
      </c>
      <c r="N18" s="31">
        <f ca="1">(Price!IW11 - Price!D11) / Price!D11</f>
        <v>0.14990624691601695</v>
      </c>
      <c r="O18" s="112"/>
      <c r="P18" s="66" t="s">
        <v>190</v>
      </c>
      <c r="Q18" s="67"/>
      <c r="R18" s="68"/>
      <c r="S18" s="111"/>
      <c r="T18" s="10" t="s">
        <v>204</v>
      </c>
      <c r="U18" s="1"/>
      <c r="V18" s="2">
        <v>22.3</v>
      </c>
      <c r="W18" s="111"/>
      <c r="X18" s="53" t="s">
        <v>289</v>
      </c>
      <c r="Y18" s="54"/>
      <c r="Z18" s="54"/>
      <c r="AA18" s="54"/>
      <c r="AB18" s="55"/>
      <c r="AC18" s="6"/>
    </row>
    <row r="19" spans="1:29" ht="16" customHeight="1" outlineLevel="1" thickBot="1" x14ac:dyDescent="0.25">
      <c r="A19" s="10" t="s">
        <v>33</v>
      </c>
      <c r="B19" s="1" t="s">
        <v>44</v>
      </c>
      <c r="C19" s="1" vm="12">
        <f ca="1">Data!Y12</f>
        <v>121.85</v>
      </c>
      <c r="D19" s="1"/>
      <c r="E19" s="26">
        <f ca="1">PERCENTRANK(Data!AA12:'Data'!AV12,Data!AV12)</f>
        <v>0.47599999999999998</v>
      </c>
      <c r="F19" s="1">
        <v>78</v>
      </c>
      <c r="G19" s="1">
        <v>76</v>
      </c>
      <c r="H19" s="1">
        <v>70</v>
      </c>
      <c r="I19" s="24">
        <f ca="1">(Price!IW12 - Price!IV12) / Price!IV12</f>
        <v>-4.0052313225438048E-3</v>
      </c>
      <c r="J19" s="24">
        <f ca="1">(Price!IW12 - Price!IR12) / Price!IR12</f>
        <v>9.5277547638773115E-3</v>
      </c>
      <c r="K19" s="30">
        <f ca="1">(Price!IW12 - Price!IB12) / Price!IB12</f>
        <v>-0.45726248274018977</v>
      </c>
      <c r="L19" s="24">
        <f ca="1">(Price!IW12 - Price!GL12) / Price!GL12</f>
        <v>-0.49267216254475815</v>
      </c>
      <c r="M19" s="24">
        <f ca="1">(Price!IW12 - Price!DZ12) / Price!DZ12</f>
        <v>-0.42163470666413522</v>
      </c>
      <c r="N19" s="31">
        <f ca="1">(Price!IW12 - Price!D12) / Price!D12</f>
        <v>-0.48948382771912186</v>
      </c>
      <c r="O19" s="112"/>
      <c r="P19" s="87" t="s">
        <v>191</v>
      </c>
      <c r="Q19" s="88"/>
      <c r="R19" s="19" t="s">
        <v>196</v>
      </c>
      <c r="S19" s="111"/>
      <c r="T19" s="11" t="s">
        <v>205</v>
      </c>
      <c r="U19" s="12"/>
      <c r="V19" s="4">
        <v>4.1500000000000004</v>
      </c>
      <c r="W19" s="111"/>
      <c r="X19" s="108" t="s">
        <v>287</v>
      </c>
      <c r="Y19" s="107"/>
      <c r="Z19" s="57" t="s">
        <v>301</v>
      </c>
      <c r="AA19" s="57"/>
      <c r="AB19" s="58"/>
      <c r="AC19" s="6"/>
    </row>
    <row r="20" spans="1:29" ht="16" thickBot="1" x14ac:dyDescent="0.25">
      <c r="A20" s="10" t="s">
        <v>34</v>
      </c>
      <c r="B20" s="1" t="s">
        <v>45</v>
      </c>
      <c r="C20" s="1" vm="13">
        <f ca="1">Data!Y13</f>
        <v>78.78</v>
      </c>
      <c r="D20" s="1"/>
      <c r="E20" s="26">
        <f ca="1">PERCENTRANK(Data!AA13:'Data'!AV13,Data!AV13)</f>
        <v>0.52300000000000002</v>
      </c>
      <c r="F20" s="1">
        <v>67</v>
      </c>
      <c r="G20" s="1">
        <v>35</v>
      </c>
      <c r="H20" s="1">
        <v>34</v>
      </c>
      <c r="I20" s="24">
        <f ca="1">(Price!IW13 - Price!IV13) / Price!IV13</f>
        <v>-5.1774213915898046E-3</v>
      </c>
      <c r="J20" s="24">
        <f ca="1">(Price!IW13 - Price!IR13) / Price!IR13</f>
        <v>-8.058423570888951E-3</v>
      </c>
      <c r="K20" s="30">
        <f ca="1">(Price!IW13 - Price!IB13) / Price!IB13</f>
        <v>2.9669324271337026E-2</v>
      </c>
      <c r="L20" s="24">
        <f ca="1">(Price!IW13 - Price!GL13) / Price!GL13</f>
        <v>1.0518214468958537E-2</v>
      </c>
      <c r="M20" s="24">
        <f ca="1">(Price!IW13 - Price!DZ13) / Price!DZ13</f>
        <v>-2.7647494445815785E-2</v>
      </c>
      <c r="N20" s="31">
        <f ca="1">(Price!IW13 - Price!D13) / Price!D13</f>
        <v>-3.4677122901605177E-2</v>
      </c>
      <c r="O20" s="112"/>
      <c r="P20" s="87" t="s">
        <v>192</v>
      </c>
      <c r="Q20" s="88"/>
      <c r="R20" s="19" t="s">
        <v>196</v>
      </c>
      <c r="S20" s="111"/>
      <c r="T20" s="111"/>
      <c r="U20" s="111"/>
      <c r="V20" s="111"/>
      <c r="W20" s="111"/>
      <c r="X20" s="108"/>
      <c r="Y20" s="107"/>
      <c r="Z20" s="57"/>
      <c r="AA20" s="57"/>
      <c r="AB20" s="58"/>
      <c r="AC20" s="6"/>
    </row>
    <row r="21" spans="1:29" ht="16" customHeight="1" x14ac:dyDescent="0.2">
      <c r="A21" s="10" t="s">
        <v>35</v>
      </c>
      <c r="B21" s="1" t="s">
        <v>46</v>
      </c>
      <c r="C21" s="1" vm="14">
        <f ca="1">Data!Y14</f>
        <v>44.13</v>
      </c>
      <c r="D21" s="1"/>
      <c r="E21" s="26">
        <f ca="1">PERCENTRANK(Data!AA14:'Data'!AV14,Data!AV14)</f>
        <v>4.7E-2</v>
      </c>
      <c r="F21" s="1">
        <v>37</v>
      </c>
      <c r="G21" s="1">
        <v>33</v>
      </c>
      <c r="H21" s="1">
        <v>39</v>
      </c>
      <c r="I21" s="24">
        <f ca="1">(Price!IW14 - Price!IV14) / Price!IV14</f>
        <v>0</v>
      </c>
      <c r="J21" s="24">
        <f ca="1">(Price!IW14 - Price!IR14) / Price!IR14</f>
        <v>-3.032300593276193E-2</v>
      </c>
      <c r="K21" s="30">
        <f ca="1">(Price!IW14 - Price!IB14) / Price!IB14</f>
        <v>-0.50901201602136181</v>
      </c>
      <c r="L21" s="24">
        <f ca="1">(Price!IW14 - Price!GL14) / Price!GL14</f>
        <v>-0.49663510893121932</v>
      </c>
      <c r="M21" s="24">
        <f ca="1">(Price!IW14 - Price!DZ14) / Price!DZ14</f>
        <v>-0.50404585300067428</v>
      </c>
      <c r="N21" s="31">
        <f ca="1">(Price!IW14 - Price!D14) / Price!D14</f>
        <v>-0.49426999770799906</v>
      </c>
      <c r="O21" s="112"/>
      <c r="P21" s="87" t="s">
        <v>194</v>
      </c>
      <c r="Q21" s="88"/>
      <c r="R21" s="19" t="s">
        <v>196</v>
      </c>
      <c r="S21" s="111"/>
      <c r="T21" s="53" t="s">
        <v>6</v>
      </c>
      <c r="U21" s="54"/>
      <c r="V21" s="55"/>
      <c r="W21" s="111"/>
      <c r="X21" s="108"/>
      <c r="Y21" s="107"/>
      <c r="Z21" s="57"/>
      <c r="AA21" s="57"/>
      <c r="AB21" s="58"/>
      <c r="AC21" s="6"/>
    </row>
    <row r="22" spans="1:29" ht="15" customHeight="1" x14ac:dyDescent="0.2">
      <c r="A22" s="10" t="s">
        <v>36</v>
      </c>
      <c r="B22" s="1" t="s">
        <v>47</v>
      </c>
      <c r="C22" s="1" vm="15">
        <f ca="1">Data!Y15</f>
        <v>54.84</v>
      </c>
      <c r="D22" s="1"/>
      <c r="E22" s="26">
        <f ca="1">PERCENTRANK(Data!AA15:'Data'!AV15,Data!AV15)</f>
        <v>0.80900000000000005</v>
      </c>
      <c r="F22" s="1">
        <v>75</v>
      </c>
      <c r="G22" s="1">
        <v>61</v>
      </c>
      <c r="H22" s="1">
        <v>62</v>
      </c>
      <c r="I22" s="24">
        <f ca="1">(Price!IW15 - Price!IV15) / Price!IV15</f>
        <v>5.500550055005579E-3</v>
      </c>
      <c r="J22" s="24">
        <f ca="1">(Price!IW15 - Price!IR15) / Price!IR15</f>
        <v>-2.0018198362147304E-3</v>
      </c>
      <c r="K22" s="30">
        <f ca="1">(Price!IW15 - Price!IB15) / Price!IB15</f>
        <v>6.3615205585725393E-2</v>
      </c>
      <c r="L22" s="24">
        <f ca="1">(Price!IW15 - Price!GL15) / Price!GL15</f>
        <v>1.5555555555555619E-2</v>
      </c>
      <c r="M22" s="24">
        <f ca="1">(Price!IW15 - Price!DZ15) / Price!DZ15</f>
        <v>8.895949166004774E-2</v>
      </c>
      <c r="N22" s="31">
        <f ca="1">(Price!IW15 - Price!D15) / Price!D15</f>
        <v>0.1089989888776542</v>
      </c>
      <c r="O22" s="112"/>
      <c r="P22" s="87" t="s">
        <v>193</v>
      </c>
      <c r="Q22" s="88"/>
      <c r="R22" s="19" t="s">
        <v>196</v>
      </c>
      <c r="S22" s="111"/>
      <c r="T22" s="10" t="s">
        <v>218</v>
      </c>
      <c r="U22" s="1"/>
      <c r="V22" s="35">
        <v>0.5</v>
      </c>
      <c r="W22" s="111"/>
      <c r="X22" s="108" t="s">
        <v>288</v>
      </c>
      <c r="Y22" s="107"/>
      <c r="Z22" s="57" t="s">
        <v>302</v>
      </c>
      <c r="AA22" s="57"/>
      <c r="AB22" s="58"/>
      <c r="AC22" s="6"/>
    </row>
    <row r="23" spans="1:29" ht="16" thickBot="1" x14ac:dyDescent="0.25">
      <c r="A23" s="10" t="s">
        <v>37</v>
      </c>
      <c r="B23" s="1" t="s">
        <v>48</v>
      </c>
      <c r="C23" s="1" vm="16">
        <f ca="1">Data!Y16</f>
        <v>154.94</v>
      </c>
      <c r="D23" s="1"/>
      <c r="E23" s="26">
        <f ca="1">PERCENTRANK(Data!AA16:'Data'!AV16,Data!AV16)</f>
        <v>0.52300000000000002</v>
      </c>
      <c r="F23" s="1">
        <v>80</v>
      </c>
      <c r="G23" s="1">
        <v>81</v>
      </c>
      <c r="H23" s="1">
        <v>73</v>
      </c>
      <c r="I23" s="24">
        <f ca="1">(Price!IW16 - Price!IV16) / Price!IV16</f>
        <v>6.6922227275680668E-3</v>
      </c>
      <c r="J23" s="24">
        <f ca="1">(Price!IW16 - Price!IR16) / Price!IR16</f>
        <v>5.7120602362715532E-3</v>
      </c>
      <c r="K23" s="30">
        <f ca="1">(Price!IW16 - Price!IB16) / Price!IB16</f>
        <v>1.7133854132475448E-2</v>
      </c>
      <c r="L23" s="24">
        <f ca="1">(Price!IW16 - Price!GL16) / Price!GL16</f>
        <v>0.13401156407816733</v>
      </c>
      <c r="M23" s="24">
        <f ca="1">(Price!IW16 - Price!DZ16) / Price!DZ16</f>
        <v>0.16847662141779793</v>
      </c>
      <c r="N23" s="31">
        <f ca="1">(Price!IW16 - Price!D16) / Price!D16</f>
        <v>0.11219582226688676</v>
      </c>
      <c r="O23" s="112"/>
      <c r="P23" s="89" t="s">
        <v>195</v>
      </c>
      <c r="Q23" s="90"/>
      <c r="R23" s="20" t="s">
        <v>196</v>
      </c>
      <c r="S23" s="111"/>
      <c r="T23" s="10" t="s">
        <v>215</v>
      </c>
      <c r="U23" s="1"/>
      <c r="V23" s="35">
        <v>0.55000000000000004</v>
      </c>
      <c r="W23" s="111"/>
      <c r="X23" s="108"/>
      <c r="Y23" s="107"/>
      <c r="Z23" s="57"/>
      <c r="AA23" s="57"/>
      <c r="AB23" s="58"/>
      <c r="AC23" s="6"/>
    </row>
    <row r="24" spans="1:29" ht="16" thickBot="1" x14ac:dyDescent="0.25">
      <c r="A24" s="10" t="s">
        <v>38</v>
      </c>
      <c r="B24" s="1" t="s">
        <v>49</v>
      </c>
      <c r="C24" s="1" vm="17">
        <f ca="1">Data!Y17</f>
        <v>155.86000000000001</v>
      </c>
      <c r="D24" s="1"/>
      <c r="E24" s="26">
        <f ca="1">PERCENTRANK(Data!AA17:'Data'!AV17,Data!AV17)</f>
        <v>0.85699999999999998</v>
      </c>
      <c r="F24" s="1">
        <v>59</v>
      </c>
      <c r="G24" s="1">
        <v>52</v>
      </c>
      <c r="H24" s="1">
        <v>68</v>
      </c>
      <c r="I24" s="24">
        <f ca="1">(Price!IW17 - Price!IV17) / Price!IV17</f>
        <v>8.6067430272439814E-3</v>
      </c>
      <c r="J24" s="24">
        <f ca="1">(Price!IW17 - Price!IR17) / Price!IR17</f>
        <v>-5.6143932627280551E-3</v>
      </c>
      <c r="K24" s="30">
        <f ca="1">(Price!IW17 - Price!IB17) / Price!IB17</f>
        <v>3.6647821749251873E-2</v>
      </c>
      <c r="L24" s="24">
        <f ca="1">(Price!IW17 - Price!GL17) / Price!GL17</f>
        <v>1.8692810457516428E-2</v>
      </c>
      <c r="M24" s="24">
        <f ca="1">(Price!IW17 - Price!DZ17) / Price!DZ17</f>
        <v>9.475310809861634E-2</v>
      </c>
      <c r="N24" s="31">
        <f ca="1">(Price!IW17 - Price!D17) / Price!D17</f>
        <v>0.1331152308251545</v>
      </c>
      <c r="O24" s="112"/>
      <c r="P24" s="111"/>
      <c r="Q24" s="111"/>
      <c r="R24" s="6"/>
      <c r="S24" s="111"/>
      <c r="T24" s="10" t="s">
        <v>216</v>
      </c>
      <c r="U24" s="1"/>
      <c r="V24" s="35">
        <v>0.53</v>
      </c>
      <c r="W24" s="111"/>
      <c r="X24" s="109"/>
      <c r="Y24" s="110"/>
      <c r="Z24" s="60"/>
      <c r="AA24" s="60"/>
      <c r="AB24" s="61"/>
      <c r="AC24" s="6"/>
    </row>
    <row r="25" spans="1:29" ht="15" customHeight="1" x14ac:dyDescent="0.2">
      <c r="A25" s="10" t="s">
        <v>39</v>
      </c>
      <c r="B25" s="1" t="s">
        <v>50</v>
      </c>
      <c r="C25" s="1" vm="18">
        <f ca="1">Data!Y18</f>
        <v>45.37</v>
      </c>
      <c r="D25" s="1"/>
      <c r="E25" s="26">
        <f ca="1">PERCENTRANK(Data!AA18:'Data'!AV18,Data!AV18)</f>
        <v>0.52300000000000002</v>
      </c>
      <c r="F25" s="1">
        <v>71</v>
      </c>
      <c r="G25" s="1">
        <v>52</v>
      </c>
      <c r="H25" s="1">
        <v>51</v>
      </c>
      <c r="I25" s="24">
        <f ca="1">(Price!IW18 - Price!IV18) / Price!IV18</f>
        <v>4.4277175116226638E-3</v>
      </c>
      <c r="J25" s="24">
        <f ca="1">(Price!IW18 - Price!IR18) / Price!IR18</f>
        <v>4.8726467331118243E-3</v>
      </c>
      <c r="K25" s="30">
        <f ca="1">(Price!IW18 - Price!IB18) / Price!IB18</f>
        <v>-0.47084208070912059</v>
      </c>
      <c r="L25" s="24">
        <f ca="1">(Price!IW18 - Price!GL18) / Price!GL18</f>
        <v>-0.49795286046254295</v>
      </c>
      <c r="M25" s="24">
        <f ca="1">(Price!IW18 - Price!DZ18) / Price!DZ18</f>
        <v>-0.4750057856977552</v>
      </c>
      <c r="N25" s="31">
        <f ca="1">(Price!IW18 - Price!D18) / Price!D18</f>
        <v>-0.48699683401175942</v>
      </c>
      <c r="O25" s="112"/>
      <c r="P25" s="53" t="s">
        <v>291</v>
      </c>
      <c r="Q25" s="54"/>
      <c r="R25" s="55"/>
      <c r="S25" s="111"/>
      <c r="T25" s="49" t="s">
        <v>217</v>
      </c>
      <c r="U25" s="1"/>
      <c r="V25" s="35">
        <v>0.64</v>
      </c>
      <c r="W25" s="111"/>
      <c r="X25" s="111"/>
      <c r="Y25" s="111"/>
      <c r="Z25" s="111"/>
      <c r="AA25" s="111"/>
      <c r="AB25" s="111"/>
      <c r="AC25" s="6"/>
    </row>
    <row r="26" spans="1:29" ht="16" thickBot="1" x14ac:dyDescent="0.25">
      <c r="A26" s="10" t="s">
        <v>40</v>
      </c>
      <c r="B26" s="1" t="s">
        <v>51</v>
      </c>
      <c r="C26" s="1" vm="19">
        <f ca="1">Data!Y19</f>
        <v>40.33</v>
      </c>
      <c r="D26" s="1"/>
      <c r="E26" s="26">
        <f ca="1">PERCENTRANK(Data!AA19:'Data'!AV19,Data!AV19)</f>
        <v>9.5000000000000001E-2</v>
      </c>
      <c r="F26" s="1">
        <v>32</v>
      </c>
      <c r="G26" s="1">
        <v>28</v>
      </c>
      <c r="H26" s="1">
        <v>30</v>
      </c>
      <c r="I26" s="24">
        <f ca="1">(Price!IW19 - Price!IV19) / Price!IV19</f>
        <v>-3.7055335968379098E-3</v>
      </c>
      <c r="J26" s="24">
        <f ca="1">(Price!IW19 - Price!IR19) / Price!IR19</f>
        <v>-1.0306748466257711E-2</v>
      </c>
      <c r="K26" s="30">
        <f ca="1">(Price!IW19 - Price!IB19) / Price!IB19</f>
        <v>-4.443347321648969E-3</v>
      </c>
      <c r="L26" s="24">
        <f ca="1">(Price!IW19 - Price!GL19) / Price!GL19</f>
        <v>-3.2157427405807619E-2</v>
      </c>
      <c r="M26" s="24">
        <f ca="1">(Price!IW19 - Price!DZ19) / Price!DZ19</f>
        <v>-3.5859431030360989E-2</v>
      </c>
      <c r="N26" s="31">
        <f ca="1">(Price!IW19 - Price!D19) / Price!D19</f>
        <v>-5.350856606430418E-2</v>
      </c>
      <c r="O26" s="112"/>
      <c r="P26" s="94" t="s">
        <v>197</v>
      </c>
      <c r="Q26" s="95"/>
      <c r="R26" s="19">
        <v>44</v>
      </c>
      <c r="S26" s="111"/>
      <c r="T26" s="11" t="s">
        <v>297</v>
      </c>
      <c r="U26" s="12"/>
      <c r="V26" s="50">
        <v>0.42</v>
      </c>
      <c r="W26" s="111"/>
      <c r="X26" s="111"/>
      <c r="Y26" s="111"/>
      <c r="Z26" s="111"/>
      <c r="AA26" s="111"/>
      <c r="AB26" s="111"/>
      <c r="AC26" s="6"/>
    </row>
    <row r="27" spans="1:29" ht="15" customHeight="1" x14ac:dyDescent="0.2">
      <c r="A27" s="10" t="s">
        <v>41</v>
      </c>
      <c r="B27" s="1" t="s">
        <v>52</v>
      </c>
      <c r="C27" s="1" vm="20">
        <f ca="1">Data!Y20</f>
        <v>144.6</v>
      </c>
      <c r="D27" s="1"/>
      <c r="E27" s="26">
        <f ca="1">PERCENTRANK(Data!AA20:'Data'!AV20,Data!AV20)</f>
        <v>0.33300000000000002</v>
      </c>
      <c r="F27" s="1">
        <v>34</v>
      </c>
      <c r="G27" s="1">
        <v>64</v>
      </c>
      <c r="H27" s="1">
        <v>79</v>
      </c>
      <c r="I27" s="24">
        <f ca="1">(Price!IW20 - Price!IV20) / Price!IV20</f>
        <v>2.1619330224671489E-2</v>
      </c>
      <c r="J27" s="24">
        <f ca="1">(Price!IW20 - Price!IR20) / Price!IR20</f>
        <v>6.3330781543600575E-3</v>
      </c>
      <c r="K27" s="30">
        <f ca="1">(Price!IW20 - Price!IB20) / Price!IB20</f>
        <v>-0.48535430828914128</v>
      </c>
      <c r="L27" s="24">
        <f ca="1">(Price!IW20 - Price!GL20) / Price!GL20</f>
        <v>-0.48843133092761626</v>
      </c>
      <c r="M27" s="24">
        <f ca="1">(Price!IW20 - Price!DZ20) / Price!DZ20</f>
        <v>-0.39885258169119481</v>
      </c>
      <c r="N27" s="31">
        <f ca="1">(Price!IW20 - Price!D20) / Price!D20</f>
        <v>-0.40109343936381714</v>
      </c>
      <c r="O27" s="112"/>
      <c r="P27" s="94" t="s">
        <v>198</v>
      </c>
      <c r="Q27" s="95"/>
      <c r="R27" s="19">
        <v>165</v>
      </c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6"/>
    </row>
    <row r="28" spans="1:29" ht="16" thickBot="1" x14ac:dyDescent="0.25">
      <c r="A28" s="11" t="s">
        <v>42</v>
      </c>
      <c r="B28" s="12" t="s">
        <v>53</v>
      </c>
      <c r="C28" s="12" vm="21">
        <f ca="1">Data!Y21</f>
        <v>42.63</v>
      </c>
      <c r="D28" s="12"/>
      <c r="E28" s="28">
        <f ca="1">PERCENTRANK(Data!AA21:'Data'!AV21,Data!AV21)</f>
        <v>0.19</v>
      </c>
      <c r="F28" s="12">
        <v>31</v>
      </c>
      <c r="G28" s="12">
        <v>45</v>
      </c>
      <c r="H28" s="12">
        <v>62</v>
      </c>
      <c r="I28" s="29">
        <f ca="1">(Price!IW21 - Price!IV21) / Price!IV21</f>
        <v>-1.2737378415933236E-2</v>
      </c>
      <c r="J28" s="29">
        <f ca="1">(Price!IW21 - Price!IR21) / Price!IR21</f>
        <v>-4.6696240952602318E-3</v>
      </c>
      <c r="K28" s="32">
        <f ca="1">(Price!IW21 - Price!IB21) / Price!IB21</f>
        <v>-0.51814174296371651</v>
      </c>
      <c r="L28" s="29">
        <f ca="1">(Price!IW21 - Price!GL21) / Price!GL21</f>
        <v>-0.49964788732394366</v>
      </c>
      <c r="M28" s="29">
        <f ca="1">(Price!IW21 - Price!DZ21) / Price!DZ21</f>
        <v>-0.47227036395147309</v>
      </c>
      <c r="N28" s="31">
        <f ca="1">(Price!IW21 - Price!D21) / Price!D21</f>
        <v>-0.44650740067514927</v>
      </c>
      <c r="O28" s="16"/>
      <c r="P28" s="85" t="s">
        <v>299</v>
      </c>
      <c r="Q28" s="86"/>
      <c r="R28" s="106">
        <v>1393</v>
      </c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52"/>
    </row>
    <row r="29" spans="1:29" ht="16" thickBot="1" x14ac:dyDescent="0.25">
      <c r="A29" s="51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</row>
    <row r="30" spans="1:29" ht="16" thickBot="1" x14ac:dyDescent="0.25">
      <c r="A30" s="62" t="s">
        <v>54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43"/>
      <c r="P30" s="62" t="s">
        <v>54</v>
      </c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</row>
    <row r="31" spans="1:29" x14ac:dyDescent="0.2">
      <c r="A31" s="34" t="s">
        <v>8</v>
      </c>
      <c r="B31" s="36" t="s">
        <v>9</v>
      </c>
      <c r="C31" s="36" t="s">
        <v>10</v>
      </c>
      <c r="D31" s="36" t="s">
        <v>12</v>
      </c>
      <c r="E31" s="36" t="s">
        <v>13</v>
      </c>
      <c r="F31" s="36" t="s">
        <v>102</v>
      </c>
      <c r="G31" s="36" t="s">
        <v>103</v>
      </c>
      <c r="H31" s="36" t="s">
        <v>104</v>
      </c>
      <c r="I31" s="36" t="s">
        <v>11</v>
      </c>
      <c r="J31" s="36" t="s">
        <v>98</v>
      </c>
      <c r="K31" s="36" t="s">
        <v>96</v>
      </c>
      <c r="L31" s="36" t="s">
        <v>99</v>
      </c>
      <c r="M31" s="36" t="s">
        <v>100</v>
      </c>
      <c r="N31" s="37" t="s">
        <v>97</v>
      </c>
      <c r="O31" s="42"/>
      <c r="P31" s="34" t="s">
        <v>8</v>
      </c>
      <c r="Q31" s="36" t="s">
        <v>9</v>
      </c>
      <c r="R31" s="36" t="s">
        <v>10</v>
      </c>
      <c r="S31" s="36" t="s">
        <v>12</v>
      </c>
      <c r="T31" s="36" t="s">
        <v>13</v>
      </c>
      <c r="U31" s="36" t="s">
        <v>102</v>
      </c>
      <c r="V31" s="36" t="s">
        <v>103</v>
      </c>
      <c r="W31" s="36" t="s">
        <v>104</v>
      </c>
      <c r="X31" s="36" t="s">
        <v>11</v>
      </c>
      <c r="Y31" s="36" t="s">
        <v>98</v>
      </c>
      <c r="Z31" s="36" t="s">
        <v>96</v>
      </c>
      <c r="AA31" s="36" t="s">
        <v>99</v>
      </c>
      <c r="AB31" s="36" t="s">
        <v>100</v>
      </c>
      <c r="AC31" s="37" t="s">
        <v>97</v>
      </c>
    </row>
    <row r="32" spans="1:29" x14ac:dyDescent="0.2">
      <c r="A32" s="10" t="s">
        <v>55</v>
      </c>
      <c r="B32" s="1" t="str">
        <f ca="1">Data!C22</f>
        <v>iShares:Semiconductor</v>
      </c>
      <c r="C32" s="1" vm="22">
        <f ca="1">Data!Y22</f>
        <v>299.81</v>
      </c>
      <c r="D32" s="1"/>
      <c r="E32" s="26">
        <f ca="1">PERCENTRANK(Data!AA22:'Data'!AV22,Data!AV22)</f>
        <v>0.61899999999999999</v>
      </c>
      <c r="F32" s="1">
        <v>46</v>
      </c>
      <c r="G32" s="1">
        <v>81</v>
      </c>
      <c r="H32" s="1">
        <v>87</v>
      </c>
      <c r="I32" s="24">
        <f ca="1">(Price!IW22 - Price!IV22) / Price!IV22</f>
        <v>2.6605944391179227E-2</v>
      </c>
      <c r="J32" s="24">
        <f ca="1">(Price!IW22 - Price!IR22) / Price!IR22</f>
        <v>1.101909977293923E-3</v>
      </c>
      <c r="K32" s="30">
        <f ca="1">(Price!IW22 - Price!IB22) / Price!IB22</f>
        <v>6.4628386776037744E-2</v>
      </c>
      <c r="L32" s="24">
        <f ca="1">(Price!IW22 - Price!GL22) / Price!GL22</f>
        <v>0.11110699329207287</v>
      </c>
      <c r="M32" s="24">
        <f ca="1">(Price!IW22 - Price!DZ22) / Price!DZ22</f>
        <v>0.33183776820221217</v>
      </c>
      <c r="N32" s="31">
        <f ca="1">(Price!IW22 - Price!D22) / Price!D22</f>
        <v>0.31819380935631375</v>
      </c>
      <c r="O32" s="46"/>
      <c r="P32" s="10" t="s">
        <v>222</v>
      </c>
      <c r="Q32" s="1" t="str">
        <f ca="1">Data!C96</f>
        <v>SPDR Gold</v>
      </c>
      <c r="R32" s="1" vm="23">
        <f ca="1">Data!Y96</f>
        <v>399.02</v>
      </c>
      <c r="S32" s="1"/>
      <c r="T32" s="25">
        <f ca="1">PERCENTRANK(Data!AA96:'Data'!AV96,Data!AV96)</f>
        <v>0.90400000000000003</v>
      </c>
      <c r="U32" s="1">
        <v>84</v>
      </c>
      <c r="V32" s="1">
        <v>89</v>
      </c>
      <c r="W32" s="1">
        <v>90</v>
      </c>
      <c r="X32" s="30">
        <f ca="1">(Price!IW96 - Price!IV96) / Price!IV96</f>
        <v>1.1290363047895943E-3</v>
      </c>
      <c r="Y32" s="24">
        <f ca="1">(Price!IW96 - Price!IR96) / Price!IR96</f>
        <v>9.0532065547238114E-3</v>
      </c>
      <c r="Z32" s="24">
        <f ca="1">(Price!IW96 - Price!IB96) / Price!IB96</f>
        <v>6.4166844463409436E-2</v>
      </c>
      <c r="AA32" s="24">
        <f ca="1">(Price!IW96 - Price!GL96) / Price!GL96</f>
        <v>0.1564121141863497</v>
      </c>
      <c r="AB32" s="24">
        <f ca="1">(Price!IW96 - Price!DZ96) / Price!DZ96</f>
        <v>0.2866217392706284</v>
      </c>
      <c r="AC32" s="31">
        <f ca="1">(Price!IW96 - Price!D96) / Price!D96</f>
        <v>0.62945115975171506</v>
      </c>
    </row>
    <row r="33" spans="1:29" x14ac:dyDescent="0.2">
      <c r="A33" s="10" t="s">
        <v>56</v>
      </c>
      <c r="B33" s="1" t="str">
        <f ca="1">Data!C23</f>
        <v>VanEck:Semiconductor</v>
      </c>
      <c r="C33" s="1" vm="24">
        <f ca="1">Data!Y23</f>
        <v>356.23</v>
      </c>
      <c r="D33" s="1"/>
      <c r="E33" s="26">
        <f ca="1">PERCENTRANK(Data!AA23:'Data'!AV23,Data!AV23)</f>
        <v>0.61899999999999999</v>
      </c>
      <c r="F33" s="1">
        <v>47</v>
      </c>
      <c r="G33" s="1">
        <v>82</v>
      </c>
      <c r="H33" s="1">
        <v>89</v>
      </c>
      <c r="I33" s="24">
        <f ca="1">(Price!IW23 - Price!IV23) / Price!IV23</f>
        <v>2.5860331173506172E-2</v>
      </c>
      <c r="J33" s="24">
        <f ca="1">(Price!IW23 - Price!IR23) / Price!IR23</f>
        <v>5.958432169885953E-3</v>
      </c>
      <c r="K33" s="30">
        <f ca="1">(Price!IW23 - Price!IB23) / Price!IB23</f>
        <v>4.9463822766910269E-2</v>
      </c>
      <c r="L33" s="24">
        <f ca="1">(Price!IW23 - Price!GL23) / Price!GL23</f>
        <v>0.10572058230126952</v>
      </c>
      <c r="M33" s="24">
        <f ca="1">(Price!IW23 - Price!DZ23) / Price!DZ23</f>
        <v>0.36869404848810866</v>
      </c>
      <c r="N33" s="31">
        <f ca="1">(Price!IW23 - Price!D23) / Price!D23</f>
        <v>0.40663376110562693</v>
      </c>
      <c r="O33" s="45"/>
      <c r="P33" s="10" t="s">
        <v>223</v>
      </c>
      <c r="Q33" s="1" t="str">
        <f ca="1">Data!C97</f>
        <v>IShares:Silver Trust</v>
      </c>
      <c r="R33" s="1" vm="25">
        <f ca="1">Data!Y97</f>
        <v>60.93</v>
      </c>
      <c r="S33" s="1"/>
      <c r="T33" s="25">
        <f ca="1">PERCENTRANK(Data!AA97:'Data'!AV97,Data!AV97)</f>
        <v>0.95199999999999996</v>
      </c>
      <c r="U33" s="1">
        <v>97</v>
      </c>
      <c r="V33" s="1">
        <v>97</v>
      </c>
      <c r="W33" s="1">
        <v>96</v>
      </c>
      <c r="X33" s="30">
        <f ca="1">(Price!IW97 - Price!IV97) / Price!IV97</f>
        <v>2.7140930546190146E-2</v>
      </c>
      <c r="Y33" s="24">
        <f ca="1">(Price!IW97 - Price!IR97) / Price!IR97</f>
        <v>8.6096256684491945E-2</v>
      </c>
      <c r="Z33" s="24">
        <f ca="1">(Price!IW97 - Price!IB97) / Price!IB97</f>
        <v>0.31173304628632931</v>
      </c>
      <c r="AA33" s="24">
        <f ca="1">(Price!IW97 - Price!GL97) / Price!GL97</f>
        <v>0.52172827172827174</v>
      </c>
      <c r="AB33" s="24">
        <f ca="1">(Price!IW97 - Price!DZ97) / Price!DZ97</f>
        <v>0.86216381418092913</v>
      </c>
      <c r="AC33" s="31">
        <f ca="1">(Price!IW97 - Price!D97) / Price!D97</f>
        <v>1.1917266187050357</v>
      </c>
    </row>
    <row r="34" spans="1:29" x14ac:dyDescent="0.2">
      <c r="A34" s="10" t="s">
        <v>66</v>
      </c>
      <c r="B34" s="1" t="str">
        <f ca="1">Data!C24</f>
        <v>SS SPDR S&amp;P Semiconductr</v>
      </c>
      <c r="C34" s="1" vm="26">
        <f ca="1">Data!Y24</f>
        <v>327.17</v>
      </c>
      <c r="D34" s="1"/>
      <c r="E34" s="26">
        <f ca="1">PERCENTRANK(Data!AA24:'Data'!AV24,Data!AV24)</f>
        <v>0.61899999999999999</v>
      </c>
      <c r="F34" s="1">
        <v>25</v>
      </c>
      <c r="G34" s="1">
        <v>76</v>
      </c>
      <c r="H34" s="1">
        <v>84</v>
      </c>
      <c r="I34" s="24">
        <f ca="1">(Price!IW24 - Price!IV24) / Price!IV24</f>
        <v>2.5386278872974653E-2</v>
      </c>
      <c r="J34" s="24">
        <f ca="1">(Price!IW24 - Price!IR24) / Price!IR24</f>
        <v>-2.9256697040806372E-3</v>
      </c>
      <c r="K34" s="30">
        <f ca="1">(Price!IW24 - Price!IB24) / Price!IB24</f>
        <v>9.2132055946857236E-2</v>
      </c>
      <c r="L34" s="24">
        <f ca="1">(Price!IW24 - Price!GL24) / Price!GL24</f>
        <v>1.1219632812017046E-2</v>
      </c>
      <c r="M34" s="24">
        <f ca="1">(Price!IW24 - Price!DZ24) / Price!DZ24</f>
        <v>0.33970762868023424</v>
      </c>
      <c r="N34" s="31">
        <f ca="1">(Price!IW24 - Price!D24) / Price!D24</f>
        <v>0.23385880223261421</v>
      </c>
      <c r="O34" s="45"/>
      <c r="P34" s="10" t="s">
        <v>224</v>
      </c>
      <c r="Q34" s="1" t="str">
        <f ca="1">Data!C98</f>
        <v>United States Nat Gas</v>
      </c>
      <c r="R34" s="1" vm="27">
        <f ca="1">Data!Y98</f>
        <v>12.19</v>
      </c>
      <c r="S34" s="1"/>
      <c r="T34" s="25">
        <f ca="1">PERCENTRANK(Data!AA98:'Data'!AV98,Data!AV98)</f>
        <v>9.5000000000000001E-2</v>
      </c>
      <c r="U34" s="1">
        <v>15</v>
      </c>
      <c r="V34" s="1">
        <v>13</v>
      </c>
      <c r="W34" s="1">
        <v>14</v>
      </c>
      <c r="X34" s="30">
        <f ca="1">(Price!IW98 - Price!IV98) / Price!IV98</f>
        <v>1.3300083125519547E-2</v>
      </c>
      <c r="Y34" s="24">
        <f ca="1">(Price!IW98 - Price!IR98) / Price!IR98</f>
        <v>-4.2419481539670144E-2</v>
      </c>
      <c r="Z34" s="24">
        <f ca="1">(Price!IW98 - Price!IB98) / Price!IB98</f>
        <v>-0.17074829931972788</v>
      </c>
      <c r="AA34" s="24">
        <f ca="1">(Price!IW98 - Price!GL98) / Price!GL98</f>
        <v>3.2921810699587774E-3</v>
      </c>
      <c r="AB34" s="24">
        <f ca="1">(Price!IW98 - Price!DZ98) / Price!DZ98</f>
        <v>-0.30973952434881091</v>
      </c>
      <c r="AC34" s="31">
        <f ca="1">(Price!IW98 - Price!D98) / Price!D98</f>
        <v>-0.12616487455197131</v>
      </c>
    </row>
    <row r="35" spans="1:29" x14ac:dyDescent="0.2">
      <c r="A35" s="10" t="s">
        <v>57</v>
      </c>
      <c r="B35" s="1" t="str">
        <f ca="1">Data!C25</f>
        <v>iShares:Expand Tch-Sftwr</v>
      </c>
      <c r="C35" s="1" vm="28">
        <f ca="1">Data!Y25</f>
        <v>107.76</v>
      </c>
      <c r="D35" s="1"/>
      <c r="E35" s="26">
        <f ca="1">PERCENTRANK(Data!AA25:'Data'!AV25,Data!AV25)</f>
        <v>0.71399999999999997</v>
      </c>
      <c r="F35" s="1">
        <v>24</v>
      </c>
      <c r="G35" s="1">
        <v>25</v>
      </c>
      <c r="H35" s="1">
        <v>45</v>
      </c>
      <c r="I35" s="24">
        <f ca="1">(Price!IW25 - Price!IV25) / Price!IV25</f>
        <v>1.4880391787530591E-2</v>
      </c>
      <c r="J35" s="24">
        <f ca="1">(Price!IW25 - Price!IR25) / Price!IR25</f>
        <v>-1.9449847179771581E-3</v>
      </c>
      <c r="K35" s="30">
        <f ca="1">(Price!IW25 - Price!IB25) / Price!IB25</f>
        <v>3.7250938492636484E-2</v>
      </c>
      <c r="L35" s="24">
        <f ca="1">(Price!IW25 - Price!GL25) / Price!GL25</f>
        <v>-8.5151540877833443E-2</v>
      </c>
      <c r="M35" s="24">
        <f ca="1">(Price!IW25 - Price!DZ25) / Price!DZ25</f>
        <v>2.5211682998763255E-2</v>
      </c>
      <c r="N35" s="31">
        <f ca="1">(Price!IW25 - Price!D25) / Price!D25</f>
        <v>7.9506126648583725E-3</v>
      </c>
      <c r="O35" s="45"/>
      <c r="P35" s="10" t="s">
        <v>225</v>
      </c>
      <c r="Q35" s="1" t="str">
        <f ca="1">Data!C99</f>
        <v>United States Oil Fund</v>
      </c>
      <c r="R35" s="1" vm="29">
        <f ca="1">Data!Y99</f>
        <v>68.03</v>
      </c>
      <c r="S35" s="1"/>
      <c r="T35" s="25">
        <f ca="1">PERCENTRANK(Data!AA99:'Data'!AV99,Data!AV99)</f>
        <v>0.14199999999999999</v>
      </c>
      <c r="U35" s="1">
        <v>22</v>
      </c>
      <c r="V35" s="1">
        <v>16</v>
      </c>
      <c r="W35" s="1">
        <v>21</v>
      </c>
      <c r="X35" s="30">
        <f ca="1">(Price!IW99 - Price!IV99) / Price!IV99</f>
        <v>1.2501860395892296E-2</v>
      </c>
      <c r="Y35" s="24">
        <f ca="1">(Price!IW99 - Price!IR99) / Price!IR99</f>
        <v>-1.1335561691614607E-2</v>
      </c>
      <c r="Z35" s="24">
        <f ca="1">(Price!IW99 - Price!IB99) / Price!IB99</f>
        <v>-4.0208803611738071E-2</v>
      </c>
      <c r="AA35" s="24">
        <f ca="1">(Price!IW99 - Price!GL99) / Price!GL99</f>
        <v>-7.3791695030633098E-2</v>
      </c>
      <c r="AB35" s="24">
        <f ca="1">(Price!IW99 - Price!DZ99) / Price!DZ99</f>
        <v>-0.1815447545717036</v>
      </c>
      <c r="AC35" s="31">
        <f ca="1">(Price!IW99 - Price!D99) / Price!D99</f>
        <v>-7.6933514246947096E-2</v>
      </c>
    </row>
    <row r="36" spans="1:29" x14ac:dyDescent="0.2">
      <c r="A36" s="10" t="s">
        <v>63</v>
      </c>
      <c r="B36" s="1" t="str">
        <f ca="1">Data!C26</f>
        <v>SS SPDR S&amp;P Sftwre &amp; Svc</v>
      </c>
      <c r="C36" s="1" vm="30">
        <f ca="1">Data!Y26</f>
        <v>190.71969999999999</v>
      </c>
      <c r="D36" s="1"/>
      <c r="E36" s="26">
        <f ca="1">PERCENTRANK(Data!AA26:'Data'!AV26,Data!AV26)</f>
        <v>0.76100000000000001</v>
      </c>
      <c r="F36" s="1">
        <v>30</v>
      </c>
      <c r="G36" s="1">
        <v>32</v>
      </c>
      <c r="H36" s="1">
        <v>45</v>
      </c>
      <c r="I36" s="24">
        <f ca="1">(Price!IW26 - Price!IV26) / Price!IV26</f>
        <v>8.1921023418089628E-3</v>
      </c>
      <c r="J36" s="24">
        <f ca="1">(Price!IW26 - Price!IR26) / Price!IR26</f>
        <v>-9.6598816076436979E-3</v>
      </c>
      <c r="K36" s="30">
        <f ca="1">(Price!IW26 - Price!IB26) / Price!IB26</f>
        <v>6.4084524330259462E-2</v>
      </c>
      <c r="L36" s="24">
        <f ca="1">(Price!IW26 - Price!GL26) / Price!GL26</f>
        <v>-7.0747904891834051E-2</v>
      </c>
      <c r="M36" s="24">
        <f ca="1">(Price!IW26 - Price!DZ26) / Price!DZ26</f>
        <v>6.2327744666629464E-2</v>
      </c>
      <c r="N36" s="31">
        <f ca="1">(Price!IW26 - Price!D26) / Price!D26</f>
        <v>-6.3262770137524585E-2</v>
      </c>
      <c r="O36" s="45"/>
      <c r="P36" s="10" t="s">
        <v>226</v>
      </c>
      <c r="Q36" s="1" t="str">
        <f ca="1">Data!C100</f>
        <v>Invesco DB MS Agri</v>
      </c>
      <c r="R36" s="1" vm="31">
        <f ca="1">Data!Y100</f>
        <v>26.2</v>
      </c>
      <c r="S36" s="1"/>
      <c r="T36" s="25">
        <f ca="1">PERCENTRANK(Data!AA100:'Data'!AV100,Data!AV100)</f>
        <v>0.14199999999999999</v>
      </c>
      <c r="U36" s="1">
        <v>35</v>
      </c>
      <c r="V36" s="1">
        <v>30</v>
      </c>
      <c r="W36" s="1">
        <v>30</v>
      </c>
      <c r="X36" s="30">
        <f ca="1">(Price!IW100 - Price!IV100) / Price!IV100</f>
        <v>1.9120458891013657E-3</v>
      </c>
      <c r="Y36" s="24">
        <f ca="1">(Price!IW100 - Price!IR100) / Price!IR100</f>
        <v>-1.2066365007541489E-2</v>
      </c>
      <c r="Z36" s="24">
        <f ca="1">(Price!IW100 - Price!IB100) / Price!IB100</f>
        <v>4.2161747796090237E-3</v>
      </c>
      <c r="AA36" s="24">
        <f ca="1">(Price!IW100 - Price!GL100) / Price!GL100</f>
        <v>-2.4208566108007527E-2</v>
      </c>
      <c r="AB36" s="24">
        <f ca="1">(Price!IW100 - Price!DZ100) / Price!DZ100</f>
        <v>-7.9515335100341106E-3</v>
      </c>
      <c r="AC36" s="31">
        <f ca="1">(Price!IW100 - Price!D100) / Price!D100</f>
        <v>-5.6195965417867512E-2</v>
      </c>
    </row>
    <row r="37" spans="1:29" x14ac:dyDescent="0.2">
      <c r="A37" s="10" t="s">
        <v>64</v>
      </c>
      <c r="B37" s="1" t="str">
        <f ca="1">Data!C27</f>
        <v>iShares:Exp Tech Sector</v>
      </c>
      <c r="C37" s="1" vm="32">
        <f ca="1">Data!Y27</f>
        <v>129.5</v>
      </c>
      <c r="D37" s="1"/>
      <c r="E37" s="26">
        <f ca="1">PERCENTRANK(Data!AA27:'Data'!AV27,Data!AV27)</f>
        <v>0.52300000000000002</v>
      </c>
      <c r="F37" s="1">
        <v>33</v>
      </c>
      <c r="G37" s="1">
        <v>68</v>
      </c>
      <c r="H37" s="1">
        <v>80</v>
      </c>
      <c r="I37" s="24">
        <f ca="1">(Price!IW27 - Price!IV27) / Price!IV27</f>
        <v>1.8722466960352388E-2</v>
      </c>
      <c r="J37" s="24">
        <f ca="1">(Price!IW27 - Price!IR27) / Price!IR27</f>
        <v>6.1814248184216124E-4</v>
      </c>
      <c r="K37" s="30">
        <f ca="1">(Price!IW27 - Price!IB27) / Price!IB27</f>
        <v>2.8267428934413232E-2</v>
      </c>
      <c r="L37" s="24">
        <f ca="1">(Price!IW27 - Price!GL27) / Price!GL27</f>
        <v>1.4333829403931998E-2</v>
      </c>
      <c r="M37" s="24">
        <f ca="1">(Price!IW27 - Price!DZ27) / Price!DZ27</f>
        <v>0.22043162755630949</v>
      </c>
      <c r="N37" s="31">
        <f ca="1">(Price!IW27 - Price!D27) / Price!D27</f>
        <v>0.21084618980832162</v>
      </c>
      <c r="O37" s="45"/>
      <c r="P37" s="10" t="s">
        <v>227</v>
      </c>
      <c r="Q37" s="1" t="str">
        <f ca="1">Data!C101</f>
        <v>Teucrium:Corn</v>
      </c>
      <c r="R37" s="1" vm="33">
        <f ca="1">Data!Y101</f>
        <v>17.790500000000002</v>
      </c>
      <c r="S37" s="1"/>
      <c r="T37" s="25">
        <f ca="1">PERCENTRANK(Data!AA101:'Data'!AV101,Data!AV101)</f>
        <v>0.42799999999999999</v>
      </c>
      <c r="U37" s="1">
        <v>49</v>
      </c>
      <c r="V37" s="1">
        <v>48</v>
      </c>
      <c r="W37" s="1">
        <v>32</v>
      </c>
      <c r="X37" s="30">
        <f ca="1">(Price!IW101 - Price!IV101) / Price!IV101</f>
        <v>-2.7746636771299508E-3</v>
      </c>
      <c r="Y37" s="24">
        <f ca="1">(Price!IW101 - Price!IR101) / Price!IR101</f>
        <v>2.281690140845157E-3</v>
      </c>
      <c r="Z37" s="24">
        <f ca="1">(Price!IW101 - Price!IB101) / Price!IB101</f>
        <v>2.5641025641025945E-3</v>
      </c>
      <c r="AA37" s="24">
        <f ca="1">(Price!IW101 - Price!GL101) / Price!GL101</f>
        <v>1.0249858035207388E-2</v>
      </c>
      <c r="AB37" s="24">
        <f ca="1">(Price!IW101 - Price!DZ101) / Price!DZ101</f>
        <v>-2.9961832061068613E-2</v>
      </c>
      <c r="AC37" s="31">
        <f ca="1">(Price!IW101 - Price!D101) / Price!D101</f>
        <v>-3.1018518518518404E-2</v>
      </c>
    </row>
    <row r="38" spans="1:29" x14ac:dyDescent="0.2">
      <c r="A38" s="10" t="s">
        <v>58</v>
      </c>
      <c r="B38" s="1" t="str">
        <f ca="1">Data!C28</f>
        <v>Vanguard InfoTch Idx;ETF</v>
      </c>
      <c r="C38" s="1" vm="34">
        <f ca="1">Data!Y28</f>
        <v>755.54</v>
      </c>
      <c r="D38" s="1"/>
      <c r="E38" s="26">
        <f ca="1">PERCENTRANK(Data!AA28:'Data'!AV28,Data!AV28)</f>
        <v>0.57099999999999995</v>
      </c>
      <c r="F38" s="1">
        <v>30</v>
      </c>
      <c r="G38" s="1">
        <v>60</v>
      </c>
      <c r="H38" s="1">
        <v>78</v>
      </c>
      <c r="I38" s="24">
        <f ca="1">(Price!IW28 - Price!IV28) / Price!IV28</f>
        <v>2.0145283681239988E-2</v>
      </c>
      <c r="J38" s="24">
        <f ca="1">(Price!IW28 - Price!IR28) / Price!IR28</f>
        <v>2.1354767684002678E-3</v>
      </c>
      <c r="K38" s="30">
        <f ca="1">(Price!IW28 - Price!IB28) / Price!IB28</f>
        <v>2.4363789199669066E-2</v>
      </c>
      <c r="L38" s="24">
        <f ca="1">(Price!IW28 - Price!GL28) / Price!GL28</f>
        <v>3.173338644360335E-3</v>
      </c>
      <c r="M38" s="24">
        <f ca="1">(Price!IW28 - Price!DZ28) / Price!DZ28</f>
        <v>0.20217031568228097</v>
      </c>
      <c r="N38" s="31">
        <f ca="1">(Price!IW28 - Price!D28) / Price!D28</f>
        <v>0.16601077210364668</v>
      </c>
      <c r="O38" s="45"/>
      <c r="P38" s="10" t="s">
        <v>228</v>
      </c>
      <c r="Q38" s="1" t="str">
        <f ca="1">Data!C102</f>
        <v>Invesco DB MS BMtl</v>
      </c>
      <c r="R38" s="1" vm="35">
        <f ca="1">Data!Y102</f>
        <v>22.64</v>
      </c>
      <c r="S38" s="1"/>
      <c r="T38" s="25">
        <f ca="1">PERCENTRANK(Data!AA102:'Data'!AV102,Data!AV102)</f>
        <v>1</v>
      </c>
      <c r="U38" s="1">
        <v>80</v>
      </c>
      <c r="V38" s="1">
        <v>81</v>
      </c>
      <c r="W38" s="1">
        <v>78</v>
      </c>
      <c r="X38" s="30">
        <f ca="1">(Price!IW102 - Price!IV102) / Price!IV102</f>
        <v>1.1165698972755694E-2</v>
      </c>
      <c r="Y38" s="24">
        <f ca="1">(Price!IW102 - Price!IR102) / Price!IR102</f>
        <v>2.0739404869251618E-2</v>
      </c>
      <c r="Z38" s="24">
        <f ca="1">(Price!IW102 - Price!IB102) / Price!IB102</f>
        <v>5.6462902473168493E-2</v>
      </c>
      <c r="AA38" s="24">
        <f ca="1">(Price!IW102 - Price!GL102) / Price!GL102</f>
        <v>0.12692882030861127</v>
      </c>
      <c r="AB38" s="24">
        <f ca="1">(Price!IW102 - Price!DZ102) / Price!DZ102</f>
        <v>0.19851773425092642</v>
      </c>
      <c r="AC38" s="31">
        <f ca="1">(Price!IW102 - Price!D102) / Price!D102</f>
        <v>0.12917705735660848</v>
      </c>
    </row>
    <row r="39" spans="1:29" x14ac:dyDescent="0.2">
      <c r="A39" s="10" t="s">
        <v>60</v>
      </c>
      <c r="B39" s="1" t="str">
        <f ca="1">Data!C29</f>
        <v>iShares:Fut Exp Tch</v>
      </c>
      <c r="C39" s="1" vm="36">
        <f ca="1">Data!Y29</f>
        <v>69.8</v>
      </c>
      <c r="D39" s="1"/>
      <c r="E39" s="26">
        <f ca="1">PERCENTRANK(Data!AA29:'Data'!AV29,Data!AV29)</f>
        <v>0.14199999999999999</v>
      </c>
      <c r="F39" s="1">
        <v>20</v>
      </c>
      <c r="G39" s="1">
        <v>31</v>
      </c>
      <c r="H39" s="1">
        <v>62</v>
      </c>
      <c r="I39" s="24">
        <f ca="1">(Price!IW29 - Price!IV29) / Price!IV29</f>
        <v>1.0715320011584055E-2</v>
      </c>
      <c r="J39" s="24">
        <f ca="1">(Price!IW29 - Price!IR29) / Price!IR29</f>
        <v>-6.9085089357161997E-2</v>
      </c>
      <c r="K39" s="30">
        <f ca="1">(Price!IW29 - Price!IB29) / Price!IB29</f>
        <v>-3.3910034602076165E-2</v>
      </c>
      <c r="L39" s="24">
        <f ca="1">(Price!IW29 - Price!GL29) / Price!GL29</f>
        <v>-3.0151451993886365E-2</v>
      </c>
      <c r="M39" s="24">
        <f ca="1">(Price!IW29 - Price!DZ29) / Price!DZ29</f>
        <v>0.11966634584536402</v>
      </c>
      <c r="N39" s="31">
        <f ca="1">(Price!IW29 - Price!D29) / Price!D29</f>
        <v>0.12146529562981997</v>
      </c>
      <c r="O39" s="45"/>
      <c r="P39" s="10" t="s">
        <v>229</v>
      </c>
      <c r="Q39" s="1" t="str">
        <f ca="1">Data!C103</f>
        <v>abrdn:Physical Palladium</v>
      </c>
      <c r="R39" s="1" vm="37">
        <f ca="1">Data!Y103</f>
        <v>156.06</v>
      </c>
      <c r="S39" s="1"/>
      <c r="T39" s="25">
        <f ca="1">PERCENTRANK(Data!AA103:'Data'!AV103,Data!AV103)</f>
        <v>1</v>
      </c>
      <c r="U39" s="1">
        <v>96</v>
      </c>
      <c r="V39" s="1">
        <v>94</v>
      </c>
      <c r="W39" s="1">
        <v>95</v>
      </c>
      <c r="X39" s="30">
        <f ca="1">(Price!IW103 - Price!IV103) / Price!IV103</f>
        <v>1.3639906469212745E-2</v>
      </c>
      <c r="Y39" s="24">
        <f ca="1">(Price!IW103 - Price!IR103) / Price!IR103</f>
        <v>0.14329670329670333</v>
      </c>
      <c r="Z39" s="24">
        <f ca="1">(Price!IW103 - Price!IB103) / Price!IB103</f>
        <v>0.23602090923491206</v>
      </c>
      <c r="AA39" s="24">
        <f ca="1">(Price!IW103 - Price!GL103) / Price!GL103</f>
        <v>0.44019933554817281</v>
      </c>
      <c r="AB39" s="24">
        <f ca="1">(Price!IW103 - Price!DZ103) / Price!DZ103</f>
        <v>0.62732012513034408</v>
      </c>
      <c r="AC39" s="31">
        <f ca="1">(Price!IW103 - Price!D103) / Price!D103</f>
        <v>0.80062305295950154</v>
      </c>
    </row>
    <row r="40" spans="1:29" x14ac:dyDescent="0.2">
      <c r="A40" s="10" t="s">
        <v>221</v>
      </c>
      <c r="B40" s="1" t="str">
        <f ca="1">Data!C30</f>
        <v>FT II:Nsdq Cybersecurity</v>
      </c>
      <c r="C40" s="1" vm="38">
        <f ca="1">Data!Y30</f>
        <v>73.12</v>
      </c>
      <c r="D40" s="1"/>
      <c r="E40" s="26">
        <f ca="1">PERCENTRANK(Data!AA30:'Data'!AV30,Data!AV30)</f>
        <v>0.28499999999999998</v>
      </c>
      <c r="F40" s="1">
        <v>24</v>
      </c>
      <c r="G40" s="1">
        <v>26</v>
      </c>
      <c r="H40" s="1">
        <v>51</v>
      </c>
      <c r="I40" s="24">
        <f ca="1">(Price!IW30 - Price!IV30) / Price!IV30</f>
        <v>1.0503040353786693E-2</v>
      </c>
      <c r="J40" s="24">
        <f ca="1">(Price!IW30 - Price!IR30) / Price!IR30</f>
        <v>-1.0420895926376994E-2</v>
      </c>
      <c r="K40" s="30">
        <f ca="1">(Price!IW30 - Price!IB30) / Price!IB30</f>
        <v>-3.5431997819568126E-3</v>
      </c>
      <c r="L40" s="24">
        <f ca="1">(Price!IW30 - Price!GL30) / Price!GL30</f>
        <v>-4.9154746423927191E-2</v>
      </c>
      <c r="M40" s="24">
        <f ca="1">(Price!IW30 - Price!DZ30) / Price!DZ30</f>
        <v>1.3163364278786237E-2</v>
      </c>
      <c r="N40" s="31">
        <f ca="1">(Price!IW30 - Price!D30) / Price!D30</f>
        <v>9.0692124105011901E-2</v>
      </c>
      <c r="O40" s="45"/>
      <c r="P40" s="10" t="s">
        <v>230</v>
      </c>
      <c r="Q40" s="1" t="str">
        <f ca="1">Data!C104</f>
        <v>Glbl X Uranium ETF</v>
      </c>
      <c r="R40" s="1" vm="39">
        <f ca="1">Data!Y104</f>
        <v>45.89</v>
      </c>
      <c r="S40" s="1"/>
      <c r="T40" s="25">
        <f ca="1">PERCENTRANK(Data!AA104:'Data'!AV104,Data!AV104)</f>
        <v>0.57099999999999995</v>
      </c>
      <c r="U40" s="1">
        <v>14</v>
      </c>
      <c r="V40" s="1">
        <v>48</v>
      </c>
      <c r="W40" s="1">
        <v>88</v>
      </c>
      <c r="X40" s="30">
        <f ca="1">(Price!IW104 - Price!IV104) / Price!IV104</f>
        <v>4.3903548680618736E-2</v>
      </c>
      <c r="Y40" s="24">
        <f ca="1">(Price!IW104 - Price!IR104) / Price!IR104</f>
        <v>-3.4744842562431399E-3</v>
      </c>
      <c r="Z40" s="24">
        <f ca="1">(Price!IW104 - Price!IB104) / Price!IB104</f>
        <v>1.6614975631369072E-2</v>
      </c>
      <c r="AA40" s="24">
        <f ca="1">(Price!IW104 - Price!GL104) / Price!GL104</f>
        <v>-8.9484126984126944E-2</v>
      </c>
      <c r="AB40" s="24">
        <f ca="1">(Price!IW104 - Price!DZ104) / Price!DZ104</f>
        <v>0.2480282839271144</v>
      </c>
      <c r="AC40" s="31">
        <f ca="1">(Price!IW104 - Price!D104) / Price!D104</f>
        <v>0.58734002075406433</v>
      </c>
    </row>
    <row r="41" spans="1:29" x14ac:dyDescent="0.2">
      <c r="A41" s="10" t="s">
        <v>70</v>
      </c>
      <c r="B41" s="1" t="str">
        <f ca="1">Data!C31</f>
        <v>Glbl X Rob &amp; Art Intel</v>
      </c>
      <c r="C41" s="1" vm="40">
        <f ca="1">Data!Y31</f>
        <v>35.96</v>
      </c>
      <c r="D41" s="1"/>
      <c r="E41" s="26">
        <f ca="1">PERCENTRANK(Data!AA31:'Data'!AV31,Data!AV31)</f>
        <v>0.61899999999999999</v>
      </c>
      <c r="F41" s="1">
        <v>31</v>
      </c>
      <c r="G41" s="1">
        <v>55</v>
      </c>
      <c r="H41" s="1">
        <v>68</v>
      </c>
      <c r="I41" s="24">
        <f ca="1">(Price!IW31 - Price!IV31) / Price!IV31</f>
        <v>1.6968325791855244E-2</v>
      </c>
      <c r="J41" s="24">
        <f ca="1">(Price!IW31 - Price!IR31) / Price!IR31</f>
        <v>-1.1544804837823025E-2</v>
      </c>
      <c r="K41" s="30">
        <f ca="1">(Price!IW31 - Price!IB31) / Price!IB31</f>
        <v>6.2647754137115763E-2</v>
      </c>
      <c r="L41" s="24">
        <f ca="1">(Price!IW31 - Price!GL31) / Price!GL31</f>
        <v>0</v>
      </c>
      <c r="M41" s="24">
        <f ca="1">(Price!IW31 - Price!DZ31) / Price!DZ31</f>
        <v>0.180952380952381</v>
      </c>
      <c r="N41" s="31">
        <f ca="1">(Price!IW31 - Price!D31) / Price!D31</f>
        <v>8.1503759398496273E-2</v>
      </c>
      <c r="O41" s="45"/>
      <c r="P41" s="10" t="s">
        <v>237</v>
      </c>
      <c r="Q41" s="1" t="str">
        <f ca="1">Data!C105</f>
        <v>United States Gas</v>
      </c>
      <c r="R41" s="1" vm="41">
        <f ca="1">Data!Y105</f>
        <v>61.77</v>
      </c>
      <c r="S41" s="1"/>
      <c r="T41" s="25">
        <f ca="1">PERCENTRANK(Data!AA105:'Data'!AV105,Data!AV105)</f>
        <v>9.5000000000000001E-2</v>
      </c>
      <c r="U41" s="1">
        <v>22</v>
      </c>
      <c r="V41" s="1">
        <v>22</v>
      </c>
      <c r="W41" s="1">
        <v>28</v>
      </c>
      <c r="X41" s="30">
        <f ca="1">(Price!IW105 - Price!IV105) / Price!IV105</f>
        <v>6.8459657701711767E-3</v>
      </c>
      <c r="Y41" s="24">
        <f ca="1">(Price!IW105 - Price!IR105) / Price!IR105</f>
        <v>-2.3399209486165959E-2</v>
      </c>
      <c r="Z41" s="24">
        <f ca="1">(Price!IW105 - Price!IB105) / Price!IB105</f>
        <v>-7.9159212880143048E-2</v>
      </c>
      <c r="AA41" s="24">
        <f ca="1">(Price!IW105 - Price!GL105) / Price!GL105</f>
        <v>-3.5767304129013924E-2</v>
      </c>
      <c r="AB41" s="24">
        <f ca="1">(Price!IW105 - Price!DZ105) / Price!DZ105</f>
        <v>-8.1828316610925336E-2</v>
      </c>
      <c r="AC41" s="31">
        <f ca="1">(Price!IW105 - Price!D105) / Price!D105</f>
        <v>-5.5638197167860804E-3</v>
      </c>
    </row>
    <row r="42" spans="1:29" x14ac:dyDescent="0.2">
      <c r="A42" s="10" t="s">
        <v>65</v>
      </c>
      <c r="B42" s="1" t="str">
        <f ca="1">Data!C32</f>
        <v>Glbl X AI &amp; Technology</v>
      </c>
      <c r="C42" s="1" vm="42">
        <f ca="1">Data!Y32</f>
        <v>50.73</v>
      </c>
      <c r="D42" s="1"/>
      <c r="E42" s="26">
        <f ca="1">PERCENTRANK(Data!AA32:'Data'!AV32,Data!AV32)</f>
        <v>0.76100000000000001</v>
      </c>
      <c r="F42" s="1">
        <v>34</v>
      </c>
      <c r="G42" s="1">
        <v>72</v>
      </c>
      <c r="H42" s="1">
        <v>81</v>
      </c>
      <c r="I42" s="24">
        <f ca="1">(Price!IW32 - Price!IV32) / Price!IV32</f>
        <v>1.867469879518072E-2</v>
      </c>
      <c r="J42" s="24">
        <f ca="1">(Price!IW32 - Price!IR32) / Price!IR32</f>
        <v>4.1567695961994009E-3</v>
      </c>
      <c r="K42" s="30">
        <f ca="1">(Price!IW32 - Price!IB32) / Price!IB32</f>
        <v>3.9762246361959373E-2</v>
      </c>
      <c r="L42" s="24">
        <f ca="1">(Price!IW32 - Price!GL32) / Price!GL32</f>
        <v>2.1546516310914223E-2</v>
      </c>
      <c r="M42" s="24">
        <f ca="1">(Price!IW32 - Price!DZ32) / Price!DZ32</f>
        <v>0.2224096385542168</v>
      </c>
      <c r="N42" s="31">
        <f ca="1">(Price!IW32 - Price!D32) / Price!D32</f>
        <v>0.25043135321666249</v>
      </c>
      <c r="O42" s="45"/>
      <c r="P42" s="10" t="s">
        <v>231</v>
      </c>
      <c r="Q42" s="1" t="str">
        <f ca="1">Data!C106</f>
        <v>United States Copper Idx</v>
      </c>
      <c r="R42" s="1" vm="43">
        <f ca="1">Data!Y106</f>
        <v>33.6</v>
      </c>
      <c r="S42" s="1"/>
      <c r="T42" s="25">
        <f ca="1">PERCENTRANK(Data!AA106:'Data'!AV106,Data!AV106)</f>
        <v>0.95199999999999996</v>
      </c>
      <c r="U42" s="1">
        <v>84</v>
      </c>
      <c r="V42" s="1">
        <v>80</v>
      </c>
      <c r="W42" s="1">
        <v>80</v>
      </c>
      <c r="X42" s="30">
        <f ca="1">(Price!IW106 - Price!IV106) / Price!IV106</f>
        <v>1.0222489476849171E-2</v>
      </c>
      <c r="Y42" s="24">
        <f ca="1">(Price!IW106 - Price!IR106) / Price!IR106</f>
        <v>2.3454157782516086E-2</v>
      </c>
      <c r="Z42" s="24">
        <f ca="1">(Price!IW106 - Price!IB106) / Price!IB106</f>
        <v>7.9344683584966352E-2</v>
      </c>
      <c r="AA42" s="24">
        <f ca="1">(Price!IW106 - Price!GL106) / Price!GL106</f>
        <v>0.17400419287211741</v>
      </c>
      <c r="AB42" s="24">
        <f ca="1">(Price!IW106 - Price!DZ106) / Price!DZ106</f>
        <v>0.10927698910531536</v>
      </c>
      <c r="AC42" s="31">
        <f ca="1">(Price!IW106 - Price!D106) / Price!D106</f>
        <v>0.28538638102524871</v>
      </c>
    </row>
    <row r="43" spans="1:29" x14ac:dyDescent="0.2">
      <c r="A43" s="14" t="s">
        <v>73</v>
      </c>
      <c r="B43" s="1" t="str">
        <f ca="1">Data!C33</f>
        <v>SS SPDR S&amp;P Telecom</v>
      </c>
      <c r="C43" s="1" vm="44">
        <f ca="1">Data!Y33</f>
        <v>152.56</v>
      </c>
      <c r="D43" s="1"/>
      <c r="E43" s="26">
        <f ca="1">PERCENTRANK(Data!AA33:'Data'!AV33,Data!AV33)</f>
        <v>0.80900000000000005</v>
      </c>
      <c r="F43" s="1">
        <v>39</v>
      </c>
      <c r="G43" s="1">
        <v>81</v>
      </c>
      <c r="H43" s="1">
        <v>86</v>
      </c>
      <c r="I43" s="24">
        <f ca="1">(Price!IW33 - Price!IV33) / Price!IV33</f>
        <v>3.9307854758498607E-2</v>
      </c>
      <c r="J43" s="24">
        <f ca="1">(Price!IW33 - Price!IR33) / Price!IR33</f>
        <v>-2.7454569224734443E-3</v>
      </c>
      <c r="K43" s="30">
        <f ca="1">(Price!IW33 - Price!IB33) / Price!IB33</f>
        <v>9.6890298747304648E-2</v>
      </c>
      <c r="L43" s="24">
        <f ca="1">(Price!IW33 - Price!GL33) / Price!GL33</f>
        <v>7.5502291152626078E-2</v>
      </c>
      <c r="M43" s="24">
        <f ca="1">(Price!IW33 - Price!DZ33) / Price!DZ33</f>
        <v>0.3920749545130201</v>
      </c>
      <c r="N43" s="31">
        <f ca="1">(Price!IW33 - Price!D33) / Price!D33</f>
        <v>0.36336014298480779</v>
      </c>
      <c r="O43" s="45"/>
      <c r="P43" s="10" t="s">
        <v>232</v>
      </c>
      <c r="Q43" s="1" t="str">
        <f ca="1">Data!C107</f>
        <v>WT Live Cattle</v>
      </c>
      <c r="R43" s="1" vm="45">
        <f ca="1">Data!Y107</f>
        <v>16.3</v>
      </c>
      <c r="S43" s="1"/>
      <c r="T43" s="25">
        <f ca="1">PERCENTRANK(Data!AA107:'Data'!AV107,Data!AV107)</f>
        <v>0.80900000000000005</v>
      </c>
      <c r="U43" s="47"/>
      <c r="V43" s="47"/>
      <c r="W43" s="47"/>
      <c r="X43" s="30" t="e">
        <f>(Price!IW107 - Price!IV107) / Price!IV107</f>
        <v>#DIV/0!</v>
      </c>
      <c r="Y43" s="24" t="e">
        <f>(Price!IW107 - Price!IR107) / Price!IR107</f>
        <v>#DIV/0!</v>
      </c>
      <c r="Z43" s="24" t="e">
        <f>(Price!IW107 - Price!IB107) / Price!IB107</f>
        <v>#DIV/0!</v>
      </c>
      <c r="AA43" s="24" t="e">
        <f>(Price!IW107 - Price!GL107) / Price!GL107</f>
        <v>#DIV/0!</v>
      </c>
      <c r="AB43" s="24" t="e">
        <f>(Price!IW107 - Price!DZ107) / Price!DZ107</f>
        <v>#DIV/0!</v>
      </c>
      <c r="AC43" s="31" t="e" vm="46">
        <f ca="1">(Price!IW107 - Price!D107) / Price!D107</f>
        <v>#N/A</v>
      </c>
    </row>
    <row r="44" spans="1:29" x14ac:dyDescent="0.2">
      <c r="A44" s="14" t="s">
        <v>74</v>
      </c>
      <c r="B44" s="1" t="str">
        <f ca="1">Data!C34</f>
        <v>Vanguard Comm Indx;ETF</v>
      </c>
      <c r="C44" s="1" vm="47">
        <f ca="1">Data!Y34</f>
        <v>191.6</v>
      </c>
      <c r="D44" s="1"/>
      <c r="E44" s="26">
        <f ca="1">PERCENTRANK(Data!AA34:'Data'!AV34,Data!AV34)</f>
        <v>0.66600000000000004</v>
      </c>
      <c r="F44" s="1">
        <v>71</v>
      </c>
      <c r="G44" s="1">
        <v>74</v>
      </c>
      <c r="H44" s="1">
        <v>76</v>
      </c>
      <c r="I44" s="24">
        <f ca="1">(Price!IW34 - Price!IV34) / Price!IV34</f>
        <v>1.5158643040091581E-3</v>
      </c>
      <c r="J44" s="24">
        <f ca="1">(Price!IW34 - Price!IR34) / Price!IR34</f>
        <v>-9.3857545103768287E-4</v>
      </c>
      <c r="K44" s="30">
        <f ca="1">(Price!IW34 - Price!IB34) / Price!IB34</f>
        <v>5.8973083512960739E-2</v>
      </c>
      <c r="L44" s="24">
        <f ca="1">(Price!IW34 - Price!GL34) / Price!GL34</f>
        <v>1.9348428593840119E-3</v>
      </c>
      <c r="M44" s="24">
        <f ca="1">(Price!IW34 - Price!DZ34) / Price!DZ34</f>
        <v>0.18286208173848628</v>
      </c>
      <c r="N44" s="31">
        <f ca="1">(Price!IW34 - Price!D34) / Price!D34</f>
        <v>0.18031171071274552</v>
      </c>
      <c r="O44" s="45"/>
      <c r="P44" s="10" t="s">
        <v>233</v>
      </c>
      <c r="Q44" s="1" t="str">
        <f ca="1">Data!C108</f>
        <v>ETFS LEAN HOGS ETC</v>
      </c>
      <c r="R44" s="1" vm="48">
        <f ca="1">Data!Y108</f>
        <v>27.46</v>
      </c>
      <c r="S44" s="1"/>
      <c r="T44" s="25">
        <f ca="1">PERCENTRANK(Data!AA108:'Data'!AV108,Data!AV108)</f>
        <v>0.76100000000000001</v>
      </c>
      <c r="U44" s="47"/>
      <c r="V44" s="47"/>
      <c r="W44" s="47"/>
      <c r="X44" s="30">
        <f ca="1">(Price!IW108 - Price!IV108) / Price!IV108</f>
        <v>-1.2102601156069395E-2</v>
      </c>
      <c r="Y44" s="24">
        <f ca="1">(Price!IW108 - Price!IR108) / Price!IR108</f>
        <v>2.7502750275027244E-3</v>
      </c>
      <c r="Z44" s="24">
        <f ca="1">(Price!IW108 - Price!IB108) / Price!IB108</f>
        <v>4.9510650546919943E-2</v>
      </c>
      <c r="AA44" s="24">
        <f ca="1">(Price!IW108 - Price!GL108) / Price!GL108</f>
        <v>-4.2038885969521905E-2</v>
      </c>
      <c r="AB44" s="24">
        <f ca="1">(Price!IW108 - Price!DZ108) / Price!DZ108</f>
        <v>-6.9106382978723443E-2</v>
      </c>
      <c r="AC44" s="31">
        <f ca="1">(Price!IW108 - Price!D108) / Price!D108</f>
        <v>-0.10403014416775887</v>
      </c>
    </row>
    <row r="45" spans="1:29" x14ac:dyDescent="0.2">
      <c r="A45" s="14" t="s">
        <v>75</v>
      </c>
      <c r="B45" s="1" t="str">
        <f ca="1">Data!C35</f>
        <v>Fidelity MSCI Comm Svc</v>
      </c>
      <c r="C45" s="1" vm="49">
        <f ca="1">Data!Y35</f>
        <v>72.48</v>
      </c>
      <c r="D45" s="1"/>
      <c r="E45" s="26">
        <f ca="1">PERCENTRANK(Data!AA35:'Data'!AV35,Data!AV35)</f>
        <v>0.71399999999999997</v>
      </c>
      <c r="F45" s="1">
        <v>72</v>
      </c>
      <c r="G45" s="1">
        <v>74</v>
      </c>
      <c r="H45" s="1">
        <v>76</v>
      </c>
      <c r="I45" s="24">
        <f ca="1">(Price!IW35 - Price!IV35) / Price!IV35</f>
        <v>-2.7586206896546234E-4</v>
      </c>
      <c r="J45" s="24">
        <f ca="1">(Price!IW35 - Price!IR35) / Price!IR35</f>
        <v>-6.8979788921783158E-5</v>
      </c>
      <c r="K45" s="30">
        <f ca="1">(Price!IW35 - Price!IB35) / Price!IB35</f>
        <v>5.9804064921772239E-2</v>
      </c>
      <c r="L45" s="24">
        <f ca="1">(Price!IW35 - Price!GL35) / Price!GL35</f>
        <v>3.7390943082676949E-3</v>
      </c>
      <c r="M45" s="24">
        <f ca="1">(Price!IW35 - Price!DZ35) / Price!DZ35</f>
        <v>0.18276762402088778</v>
      </c>
      <c r="N45" s="31">
        <f ca="1">(Price!IW35 - Price!D35) / Price!D35</f>
        <v>0.17872824849569038</v>
      </c>
      <c r="O45" s="45"/>
      <c r="P45" s="10" t="s">
        <v>149</v>
      </c>
      <c r="Q45" s="1" t="str">
        <f ca="1">Data!C109</f>
        <v>VanEck:Steel</v>
      </c>
      <c r="R45" s="1" vm="50">
        <f ca="1">Data!Y109</f>
        <v>84.69</v>
      </c>
      <c r="S45" s="1"/>
      <c r="T45" s="25">
        <f ca="1">PERCENTRANK(Data!AA109:'Data'!AV109,Data!AV109)</f>
        <v>0.71399999999999997</v>
      </c>
      <c r="U45" s="1">
        <v>87</v>
      </c>
      <c r="V45" s="1">
        <v>87</v>
      </c>
      <c r="W45" s="1">
        <v>87</v>
      </c>
      <c r="X45" s="30">
        <f ca="1">(Price!IW109 - Price!IV109) / Price!IV109</f>
        <v>-2.0032995522036496E-3</v>
      </c>
      <c r="Y45" s="24">
        <f ca="1">(Price!IW109 - Price!IR109) / Price!IR109</f>
        <v>-5.5190230155002214E-3</v>
      </c>
      <c r="Z45" s="24">
        <f ca="1">(Price!IW109 - Price!IB109) / Price!IB109</f>
        <v>9.938468728094077E-2</v>
      </c>
      <c r="AA45" s="24">
        <f ca="1">(Price!IW109 - Price!GL109) / Price!GL109</f>
        <v>0.17120730189462033</v>
      </c>
      <c r="AB45" s="24">
        <f ca="1">(Price!IW109 - Price!DZ109) / Price!DZ109</f>
        <v>0.33181317817266853</v>
      </c>
      <c r="AC45" s="31">
        <f ca="1">(Price!IW109 - Price!D109) / Price!D109</f>
        <v>0.31465383421297727</v>
      </c>
    </row>
    <row r="46" spans="1:29" x14ac:dyDescent="0.2">
      <c r="A46" s="14" t="s">
        <v>59</v>
      </c>
      <c r="B46" s="1" t="str">
        <f ca="1">Data!C36</f>
        <v>FT:DJ Internet Index Fd</v>
      </c>
      <c r="C46" s="1" vm="51">
        <f ca="1">Data!Y36</f>
        <v>270.37</v>
      </c>
      <c r="D46" s="1"/>
      <c r="E46" s="26">
        <f ca="1">PERCENTRANK(Data!AA36:'Data'!AV36,Data!AV36)</f>
        <v>0.76100000000000001</v>
      </c>
      <c r="F46" s="1">
        <v>29</v>
      </c>
      <c r="G46" s="1">
        <v>29</v>
      </c>
      <c r="H46" s="1">
        <v>53</v>
      </c>
      <c r="I46" s="24">
        <f ca="1">(Price!IW36 - Price!IV36) / Price!IV36</f>
        <v>8.9562264432584884E-3</v>
      </c>
      <c r="J46" s="24">
        <f ca="1">(Price!IW36 - Price!IR36) / Price!IR36</f>
        <v>2.8188865398167387E-3</v>
      </c>
      <c r="K46" s="30">
        <f ca="1">(Price!IW36 - Price!IB36) / Price!IB36</f>
        <v>2.8766028689928093E-2</v>
      </c>
      <c r="L46" s="24">
        <f ca="1">(Price!IW36 - Price!GL36) / Price!GL36</f>
        <v>-5.6662363490457446E-2</v>
      </c>
      <c r="M46" s="24">
        <f ca="1">(Price!IW36 - Price!DZ36) / Price!DZ36</f>
        <v>6.6001655955525804E-2</v>
      </c>
      <c r="N46" s="31">
        <f ca="1">(Price!IW36 - Price!D36) / Price!D36</f>
        <v>5.1041828642512811E-2</v>
      </c>
      <c r="O46" s="45"/>
      <c r="P46" s="10" t="s">
        <v>234</v>
      </c>
      <c r="Q46" s="1" t="str">
        <f ca="1">Data!C110</f>
        <v>Teucrium:Soybean</v>
      </c>
      <c r="R46" s="1" vm="52">
        <f ca="1">Data!Y110</f>
        <v>22.01</v>
      </c>
      <c r="S46" s="1"/>
      <c r="T46" s="25">
        <f ca="1">PERCENTRANK(Data!AA110:'Data'!AV110,Data!AV110)</f>
        <v>0</v>
      </c>
      <c r="U46" s="1">
        <v>28</v>
      </c>
      <c r="V46" s="1">
        <v>32</v>
      </c>
      <c r="W46" s="1">
        <v>48</v>
      </c>
      <c r="X46" s="30">
        <f ca="1">(Price!IW110 - Price!IV110) / Price!IV110</f>
        <v>-3.1702898550723161E-3</v>
      </c>
      <c r="Y46" s="24">
        <f ca="1">(Price!IW110 - Price!IR110) / Price!IR110</f>
        <v>-2.2646536412078064E-2</v>
      </c>
      <c r="Z46" s="24">
        <f ca="1">(Price!IW110 - Price!IB110) / Price!IB110</f>
        <v>-6.2207072858968787E-2</v>
      </c>
      <c r="AA46" s="24">
        <f ca="1">(Price!IW110 - Price!GL110) / Price!GL110</f>
        <v>1.5689893862482686E-2</v>
      </c>
      <c r="AB46" s="24">
        <f ca="1">(Price!IW110 - Price!DZ110) / Price!DZ110</f>
        <v>-1.6971862438588611E-2</v>
      </c>
      <c r="AC46" s="31">
        <f ca="1">(Price!IW110 - Price!D110) / Price!D110</f>
        <v>5.0095419847328279E-2</v>
      </c>
    </row>
    <row r="47" spans="1:29" x14ac:dyDescent="0.2">
      <c r="A47" s="14" t="s">
        <v>77</v>
      </c>
      <c r="B47" s="1" t="str">
        <f ca="1">Data!C37</f>
        <v>Glbl X Social Media</v>
      </c>
      <c r="C47" s="1" vm="53">
        <f ca="1">Data!Y37</f>
        <v>55.134099999999997</v>
      </c>
      <c r="D47" s="1"/>
      <c r="E47" s="26">
        <f ca="1">PERCENTRANK(Data!AA37:'Data'!AV37,Data!AV37)</f>
        <v>0.52300000000000002</v>
      </c>
      <c r="F47" s="1">
        <v>22</v>
      </c>
      <c r="G47" s="1">
        <v>26</v>
      </c>
      <c r="H47" s="1">
        <v>59</v>
      </c>
      <c r="I47" s="24">
        <f ca="1">(Price!IW37 - Price!IV37) / Price!IV37</f>
        <v>1.1781524294347178E-2</v>
      </c>
      <c r="J47" s="24">
        <f ca="1">(Price!IW37 - Price!IR37) / Price!IR37</f>
        <v>7.3835190937328651E-3</v>
      </c>
      <c r="K47" s="30">
        <f ca="1">(Price!IW37 - Price!IB37) / Price!IB37</f>
        <v>3.4313854235062315E-2</v>
      </c>
      <c r="L47" s="24">
        <f ca="1">(Price!IW37 - Price!GL37) / Price!GL37</f>
        <v>-0.10583684722672722</v>
      </c>
      <c r="M47" s="24">
        <f ca="1">(Price!IW37 - Price!DZ37) / Price!DZ37</f>
        <v>6.8490310077519281E-2</v>
      </c>
      <c r="N47" s="31">
        <f ca="1">(Price!IW37 - Price!D37) / Price!D37</f>
        <v>0.2348062709966405</v>
      </c>
      <c r="O47" s="45"/>
      <c r="P47" s="10" t="s">
        <v>235</v>
      </c>
      <c r="Q47" s="1" t="str">
        <f ca="1">Data!C111</f>
        <v>Teucrium:Wheat</v>
      </c>
      <c r="R47" s="1" vm="54">
        <f ca="1">Data!Y111</f>
        <v>19.98</v>
      </c>
      <c r="S47" s="1"/>
      <c r="T47" s="25">
        <f ca="1">PERCENTRANK(Data!AA111:'Data'!AV111,Data!AV111)</f>
        <v>0</v>
      </c>
      <c r="U47" s="1">
        <v>23</v>
      </c>
      <c r="V47" s="1">
        <v>19</v>
      </c>
      <c r="W47" s="1">
        <v>20</v>
      </c>
      <c r="X47" s="30">
        <f ca="1">(Price!IW111 - Price!IV111) / Price!IV111</f>
        <v>2.0060180541624445E-3</v>
      </c>
      <c r="Y47" s="24">
        <f ca="1">(Price!IW111 - Price!IR111) / Price!IR111</f>
        <v>-2.6790063321967886E-2</v>
      </c>
      <c r="Z47" s="24">
        <f ca="1">(Price!IW111 - Price!IB111) / Price!IB111</f>
        <v>-6.1971830985915508E-2</v>
      </c>
      <c r="AA47" s="24">
        <f ca="1">(Price!IW111 - Price!GL111) / Price!GL111</f>
        <v>-3.0097087378640822E-2</v>
      </c>
      <c r="AB47" s="24">
        <f ca="1">(Price!IW111 - Price!DZ111) / Price!DZ111</f>
        <v>-0.16749999999999998</v>
      </c>
      <c r="AC47" s="31">
        <f ca="1">(Price!IW111 - Price!D111) / Price!D111</f>
        <v>-0.16749999999999998</v>
      </c>
    </row>
    <row r="48" spans="1:29" x14ac:dyDescent="0.2">
      <c r="A48" s="14" t="s">
        <v>80</v>
      </c>
      <c r="B48" s="1" t="str">
        <f ca="1">Data!C38</f>
        <v>SS SPDR S&amp;P Retail</v>
      </c>
      <c r="C48" s="1" vm="55">
        <f ca="1">Data!Y38</f>
        <v>87.51</v>
      </c>
      <c r="D48" s="1"/>
      <c r="E48" s="26">
        <f ca="1">PERCENTRANK(Data!AA38:'Data'!AV38,Data!AV38)</f>
        <v>0.71399999999999997</v>
      </c>
      <c r="F48" s="1">
        <v>76</v>
      </c>
      <c r="G48" s="1">
        <v>74</v>
      </c>
      <c r="H48" s="1">
        <v>68</v>
      </c>
      <c r="I48" s="24">
        <f ca="1">(Price!IW38 - Price!IV38) / Price!IV38</f>
        <v>2.5203345171268053E-3</v>
      </c>
      <c r="J48" s="24">
        <f ca="1">(Price!IW38 - Price!IR38) / Price!IR38</f>
        <v>-4.323586301058089E-3</v>
      </c>
      <c r="K48" s="30">
        <f ca="1">(Price!IW38 - Price!IB38) / Price!IB38</f>
        <v>0.11719647644580629</v>
      </c>
      <c r="L48" s="24">
        <f ca="1">(Price!IW38 - Price!GL38) / Price!GL38</f>
        <v>9.5754499307798592E-3</v>
      </c>
      <c r="M48" s="24">
        <f ca="1">(Price!IW38 - Price!DZ38) / Price!DZ38</f>
        <v>0.13634592910011686</v>
      </c>
      <c r="N48" s="31">
        <f ca="1">(Price!IW38 - Price!D38) / Price!D38</f>
        <v>4.7396768402154496E-2</v>
      </c>
      <c r="O48" s="45"/>
      <c r="P48" s="10" t="s">
        <v>236</v>
      </c>
      <c r="Q48" s="1" t="str">
        <f ca="1">Data!C112</f>
        <v>Invesco DB Cm Idx</v>
      </c>
      <c r="R48" s="1" vm="56">
        <f ca="1">Data!Y112</f>
        <v>22.85</v>
      </c>
      <c r="S48" s="1"/>
      <c r="T48" s="25">
        <f ca="1">PERCENTRANK(Data!AA112:'Data'!AV112,Data!AV112)</f>
        <v>0.28499999999999998</v>
      </c>
      <c r="U48" s="1">
        <v>48</v>
      </c>
      <c r="V48" s="1">
        <v>42</v>
      </c>
      <c r="W48" s="1">
        <v>45</v>
      </c>
      <c r="X48" s="30">
        <f ca="1">(Price!IW112 - Price!IV112) / Price!IV112</f>
        <v>7.0515645658880619E-3</v>
      </c>
      <c r="Y48" s="24">
        <f ca="1">(Price!IW112 - Price!IR112) / Price!IR112</f>
        <v>-3.0541012216405007E-3</v>
      </c>
      <c r="Z48" s="24">
        <f ca="1">(Price!IW112 - Price!IB112) / Price!IB112</f>
        <v>-2.1834061135369938E-3</v>
      </c>
      <c r="AA48" s="24">
        <f ca="1">(Price!IW112 - Price!GL112) / Price!GL112</f>
        <v>2.6504941599281212E-2</v>
      </c>
      <c r="AB48" s="24">
        <f ca="1">(Price!IW112 - Price!DZ112) / Price!DZ112</f>
        <v>-1.7626827171109204E-2</v>
      </c>
      <c r="AC48" s="31">
        <f ca="1">(Price!IW112 - Price!D112) / Price!D112</f>
        <v>2.7890238416554251E-2</v>
      </c>
    </row>
    <row r="49" spans="1:29" x14ac:dyDescent="0.2">
      <c r="A49" s="14" t="s">
        <v>81</v>
      </c>
      <c r="B49" s="1" t="str">
        <f ca="1">Data!C39</f>
        <v>Amplify Online Retail</v>
      </c>
      <c r="C49" s="1" vm="57">
        <f ca="1">Data!Y39</f>
        <v>75.491299999999995</v>
      </c>
      <c r="D49" s="1"/>
      <c r="E49" s="26">
        <f ca="1">PERCENTRANK(Data!AA39:'Data'!AV39,Data!AV39)</f>
        <v>0.90400000000000003</v>
      </c>
      <c r="F49" s="1">
        <v>60</v>
      </c>
      <c r="G49" s="1">
        <v>65</v>
      </c>
      <c r="H49" s="1">
        <v>68</v>
      </c>
      <c r="I49" s="24">
        <f ca="1">(Price!IW39 - Price!IV39) / Price!IV39</f>
        <v>4.7260840979447064E-3</v>
      </c>
      <c r="J49" s="24">
        <f ca="1">(Price!IW39 - Price!IR39) / Price!IR39</f>
        <v>-1.0863610741346976E-3</v>
      </c>
      <c r="K49" s="30">
        <f ca="1">(Price!IW39 - Price!IB39) / Price!IB39</f>
        <v>7.5934068283366657E-2</v>
      </c>
      <c r="L49" s="24">
        <f ca="1">(Price!IW39 - Price!GL39) / Price!GL39</f>
        <v>-3.0173432682425588E-2</v>
      </c>
      <c r="M49" s="24">
        <f ca="1">(Price!IW39 - Price!DZ39) / Price!DZ39</f>
        <v>0.13129646530266034</v>
      </c>
      <c r="N49" s="31">
        <f ca="1">(Price!IW39 - Price!D39) / Price!D39</f>
        <v>9.0599537705865305E-2</v>
      </c>
      <c r="O49" s="45"/>
      <c r="P49" s="10" t="s">
        <v>238</v>
      </c>
      <c r="Q49" s="1" t="str">
        <f ca="1">Data!C113</f>
        <v>iShares:Core MSCI EmMkts</v>
      </c>
      <c r="R49" s="1" vm="58">
        <f ca="1">Data!Y113</f>
        <v>66.09</v>
      </c>
      <c r="S49" s="1"/>
      <c r="T49" s="25">
        <f ca="1">PERCENTRANK(Data!AA113:'Data'!AV113,Data!AV113)</f>
        <v>0.14199999999999999</v>
      </c>
      <c r="U49" s="1">
        <v>29</v>
      </c>
      <c r="V49" s="1">
        <v>55</v>
      </c>
      <c r="W49" s="1">
        <v>73</v>
      </c>
      <c r="X49" s="30">
        <f ca="1">(Price!IW113 - Price!IV113) / Price!IV113</f>
        <v>1.0550458715596294E-2</v>
      </c>
      <c r="Y49" s="24">
        <f ca="1">(Price!IW113 - Price!IR113) / Price!IR113</f>
        <v>-1.1959934220361745E-2</v>
      </c>
      <c r="Z49" s="24">
        <f ca="1">(Price!IW113 - Price!IB113) / Price!IB113</f>
        <v>-6.1654135338345354E-3</v>
      </c>
      <c r="AA49" s="24">
        <f ca="1">(Price!IW113 - Price!GL113) / Price!GL113</f>
        <v>2.2747952684259278E-3</v>
      </c>
      <c r="AB49" s="24">
        <f ca="1">(Price!IW113 - Price!DZ113) / Price!DZ113</f>
        <v>0.14799374674309543</v>
      </c>
      <c r="AC49" s="31">
        <f ca="1">(Price!IW113 - Price!D113) / Price!D113</f>
        <v>0.20448332422088586</v>
      </c>
    </row>
    <row r="50" spans="1:29" x14ac:dyDescent="0.2">
      <c r="A50" s="14" t="s">
        <v>83</v>
      </c>
      <c r="B50" s="1" t="str">
        <f ca="1">Data!C40</f>
        <v>FT II:SNet Fut Vhc &amp; Tch</v>
      </c>
      <c r="C50" s="1" vm="59">
        <f ca="1">Data!Y40</f>
        <v>77.319699999999997</v>
      </c>
      <c r="D50" s="1"/>
      <c r="E50" s="26">
        <f ca="1">PERCENTRANK(Data!AA40:'Data'!AV40,Data!AV40)</f>
        <v>0.76100000000000001</v>
      </c>
      <c r="F50" s="1">
        <v>47</v>
      </c>
      <c r="G50" s="1">
        <v>80</v>
      </c>
      <c r="H50" s="1">
        <v>84</v>
      </c>
      <c r="I50" s="24">
        <f ca="1">(Price!IW40 - Price!IV40) / Price!IV40</f>
        <v>1.2642225031605293E-3</v>
      </c>
      <c r="J50" s="24">
        <f ca="1">(Price!IW40 - Price!IR40) / Price!IR40</f>
        <v>7.6335877862594922E-3</v>
      </c>
      <c r="K50" s="30">
        <f ca="1">(Price!IW40 - Price!IB40) / Price!IB40</f>
        <v>7.6335877862594922E-3</v>
      </c>
      <c r="L50" s="24">
        <f ca="1">(Price!IW40 - Price!GL40) / Price!GL40</f>
        <v>5.0761421319797002E-3</v>
      </c>
      <c r="M50" s="24">
        <f ca="1">(Price!IW40 - Price!DZ40) / Price!DZ40</f>
        <v>6.4516129032257993E-2</v>
      </c>
      <c r="N50" s="31">
        <f ca="1">(Price!IW40 - Price!D40) / Price!D40</f>
        <v>6.1662198391420904E-2</v>
      </c>
      <c r="O50" s="45"/>
      <c r="P50" s="10" t="s">
        <v>239</v>
      </c>
      <c r="Q50" s="1" t="str">
        <f ca="1">Data!C114</f>
        <v>iShs Cr EUR STXX 50 ETFEURD</v>
      </c>
      <c r="R50" s="1" vm="60">
        <f ca="1">Data!Y114</f>
        <v>58.46</v>
      </c>
      <c r="S50" s="1"/>
      <c r="T50" s="25">
        <f ca="1">PERCENTRANK(Data!AA114:'Data'!AV114,Data!AV114)</f>
        <v>0.80900000000000005</v>
      </c>
      <c r="U50" s="47"/>
      <c r="V50" s="47"/>
      <c r="W50" s="47"/>
      <c r="X50" s="30">
        <f ca="1">(Price!IW114 - Price!IV114) / Price!IV114</f>
        <v>-6.3541130001716888E-3</v>
      </c>
      <c r="Y50" s="24">
        <f ca="1">(Price!IW114 - Price!IR114) / Price!IR114</f>
        <v>-4.6447617409255655E-3</v>
      </c>
      <c r="Z50" s="24">
        <f ca="1">(Price!IW114 - Price!IB114) / Price!IB114</f>
        <v>2.8988084652320872E-2</v>
      </c>
      <c r="AA50" s="24">
        <f ca="1">(Price!IW114 - Price!GL114) / Price!GL114</f>
        <v>4.2334714465862032E-2</v>
      </c>
      <c r="AB50" s="24">
        <f ca="1">(Price!IW114 - Price!DZ114) / Price!DZ114</f>
        <v>7.6665426125790789E-2</v>
      </c>
      <c r="AC50" s="31">
        <f ca="1">(Price!IW114 - Price!D114) / Price!D114</f>
        <v>0.15213062524890483</v>
      </c>
    </row>
    <row r="51" spans="1:29" x14ac:dyDescent="0.2">
      <c r="A51" s="14" t="s">
        <v>84</v>
      </c>
      <c r="B51" s="1" t="str">
        <f ca="1">Data!C41</f>
        <v>iShares:Self-Dri EV&amp;Tech</v>
      </c>
      <c r="C51" s="1" vm="61">
        <f ca="1">Data!Y41</f>
        <v>38.43</v>
      </c>
      <c r="D51" s="1"/>
      <c r="E51" s="26">
        <f ca="1">PERCENTRANK(Data!AA41:'Data'!AV41,Data!AV41)</f>
        <v>0.90400000000000003</v>
      </c>
      <c r="F51" s="1">
        <v>42</v>
      </c>
      <c r="G51" s="1">
        <v>77</v>
      </c>
      <c r="H51" s="1">
        <v>80</v>
      </c>
      <c r="I51" s="24">
        <f ca="1">(Price!IW41 - Price!IV41) / Price!IV41</f>
        <v>1.9239031842268595E-2</v>
      </c>
      <c r="J51" s="24">
        <f ca="1">(Price!IW41 - Price!IR41) / Price!IR41</f>
        <v>-2.7765524041829751E-3</v>
      </c>
      <c r="K51" s="30">
        <f ca="1">(Price!IW41 - Price!IB41) / Price!IB41</f>
        <v>2.9742765273311881E-2</v>
      </c>
      <c r="L51" s="24">
        <f ca="1">(Price!IW41 - Price!GL41) / Price!GL41</f>
        <v>4.6283691805064059E-2</v>
      </c>
      <c r="M51" s="24">
        <f ca="1">(Price!IW41 - Price!DZ41) / Price!DZ41</f>
        <v>0.30492359932088287</v>
      </c>
      <c r="N51" s="31">
        <f ca="1">(Price!IW41 - Price!D41) / Price!D41</f>
        <v>0.25584131237541258</v>
      </c>
      <c r="O51" s="45"/>
      <c r="P51" s="10" t="s">
        <v>240</v>
      </c>
      <c r="Q51" s="1" t="str">
        <f ca="1">Data!C115</f>
        <v>Amundi StoxxEupe600 ESG UETF A</v>
      </c>
      <c r="R51" s="1" t="e" vm="46">
        <f ca="1">Data!Y115</f>
        <v>#N/A</v>
      </c>
      <c r="S51" s="1"/>
      <c r="T51" s="25" t="e" vm="46">
        <f ca="1">PERCENTRANK(Data!AA115:'Data'!AV115,Data!AV115)</f>
        <v>#N/A</v>
      </c>
      <c r="U51" s="47"/>
      <c r="V51" s="47"/>
      <c r="W51" s="47"/>
      <c r="X51" s="30">
        <f ca="1">(Price!IW115 - Price!IV115) / Price!IV115</f>
        <v>-2.3432115782219395E-3</v>
      </c>
      <c r="Y51" s="24">
        <f ca="1">(Price!IW115 - Price!IR115) / Price!IR115</f>
        <v>-3.8535645472061817E-3</v>
      </c>
      <c r="Z51" s="24">
        <f ca="1">(Price!IW115 - Price!IB115) / Price!IB115</f>
        <v>3.4275352704434578E-4</v>
      </c>
      <c r="AA51" s="24">
        <f ca="1">(Price!IW115 - Price!GL115) / Price!GL115</f>
        <v>5.981326611518685E-2</v>
      </c>
      <c r="AB51" s="24">
        <f ca="1">(Price!IW115 - Price!DZ115) / Price!DZ115</f>
        <v>7.952994659026319E-2</v>
      </c>
      <c r="AC51" s="31">
        <f ca="1">(Price!IW115 - Price!D115) / Price!D115</f>
        <v>0.13933116632692405</v>
      </c>
    </row>
    <row r="52" spans="1:29" x14ac:dyDescent="0.2">
      <c r="A52" s="14" t="s">
        <v>86</v>
      </c>
      <c r="B52" s="1" t="str">
        <f ca="1">Data!C42</f>
        <v>iShares:US Home Cons ETF</v>
      </c>
      <c r="C52" s="1" vm="62">
        <f ca="1">Data!Y42</f>
        <v>98.18</v>
      </c>
      <c r="D52" s="1"/>
      <c r="E52" s="26">
        <f ca="1">PERCENTRANK(Data!AA42:'Data'!AV42,Data!AV42)</f>
        <v>9.5000000000000001E-2</v>
      </c>
      <c r="F52" s="1">
        <v>25</v>
      </c>
      <c r="G52" s="1">
        <v>31</v>
      </c>
      <c r="H52" s="1">
        <v>34</v>
      </c>
      <c r="I52" s="24">
        <f ca="1">(Price!IW42 - Price!IV42) / Price!IV42</f>
        <v>-1.7118830713785102E-2</v>
      </c>
      <c r="J52" s="24">
        <f ca="1">(Price!IW42 - Price!IR42) / Price!IR42</f>
        <v>-4.2426606846776495E-2</v>
      </c>
      <c r="K52" s="30">
        <f ca="1">(Price!IW42 - Price!IB42) / Price!IB42</f>
        <v>4.6471967597527329E-2</v>
      </c>
      <c r="L52" s="24">
        <f ca="1">(Price!IW42 - Price!GL42) / Price!GL42</f>
        <v>-7.9591262773038296E-2</v>
      </c>
      <c r="M52" s="24">
        <f ca="1">(Price!IW42 - Price!DZ42) / Price!DZ42</f>
        <v>9.5331064874212099E-2</v>
      </c>
      <c r="N52" s="31">
        <f ca="1">(Price!IW42 - Price!D42) / Price!D42</f>
        <v>-0.11232626033306296</v>
      </c>
      <c r="O52" s="45"/>
      <c r="P52" s="10" t="s">
        <v>241</v>
      </c>
      <c r="Q52" s="1" t="str">
        <f ca="1">Data!C116</f>
        <v>SPDR EURO STOXX 50</v>
      </c>
      <c r="R52" s="1" vm="63">
        <f ca="1">Data!Y116</f>
        <v>64.62</v>
      </c>
      <c r="S52" s="1"/>
      <c r="T52" s="25">
        <f ca="1">PERCENTRANK(Data!AA116:'Data'!AV116,Data!AV116)</f>
        <v>0.80900000000000005</v>
      </c>
      <c r="U52" s="1">
        <v>71</v>
      </c>
      <c r="V52" s="1">
        <v>72</v>
      </c>
      <c r="W52" s="1">
        <v>76</v>
      </c>
      <c r="X52" s="30">
        <f ca="1">(Price!IW116 - Price!IV116) / Price!IV116</f>
        <v>5.1329911339243776E-3</v>
      </c>
      <c r="Y52" s="24">
        <f ca="1">(Price!IW116 - Price!IR116) / Price!IR116</f>
        <v>2.7932960893855808E-3</v>
      </c>
      <c r="Z52" s="24">
        <f ca="1">(Price!IW116 - Price!IB116) / Price!IB116</f>
        <v>5.3644219794554159E-2</v>
      </c>
      <c r="AA52" s="24">
        <f ca="1">(Price!IW116 - Price!GL116) / Price!GL116</f>
        <v>5.4331864904552218E-2</v>
      </c>
      <c r="AB52" s="24">
        <f ca="1">(Price!IW116 - Price!DZ116) / Price!DZ116</f>
        <v>0.10461538461538469</v>
      </c>
      <c r="AC52" s="31">
        <f ca="1">(Price!IW116 - Price!D116) / Price!D116</f>
        <v>0.30203505943985492</v>
      </c>
    </row>
    <row r="53" spans="1:29" x14ac:dyDescent="0.2">
      <c r="A53" s="14" t="s">
        <v>87</v>
      </c>
      <c r="B53" s="1" t="str">
        <f ca="1">Data!C43</f>
        <v>SS SPDR S&amp;P Homebuilders</v>
      </c>
      <c r="C53" s="1" vm="64">
        <f ca="1">Data!Y43</f>
        <v>105.07</v>
      </c>
      <c r="D53" s="1"/>
      <c r="E53" s="26">
        <f ca="1">PERCENTRANK(Data!AA43:'Data'!AV43,Data!AV43)</f>
        <v>0.14199999999999999</v>
      </c>
      <c r="F53" s="1">
        <v>33</v>
      </c>
      <c r="G53" s="1">
        <v>40</v>
      </c>
      <c r="H53" s="1">
        <v>48</v>
      </c>
      <c r="I53" s="24">
        <f ca="1">(Price!IW43 - Price!IV43) / Price!IV43</f>
        <v>-1.1942824901260205E-2</v>
      </c>
      <c r="J53" s="24">
        <f ca="1">(Price!IW43 - Price!IR43) / Price!IR43</f>
        <v>-2.6047460140897316E-2</v>
      </c>
      <c r="K53" s="30">
        <f ca="1">(Price!IW43 - Price!IB43) / Price!IB43</f>
        <v>5.2594670406732123E-2</v>
      </c>
      <c r="L53" s="24">
        <f ca="1">(Price!IW43 - Price!GL43) / Price!GL43</f>
        <v>-5.4530729775938112E-2</v>
      </c>
      <c r="M53" s="24">
        <f ca="1">(Price!IW43 - Price!DZ43) / Price!DZ43</f>
        <v>0.10821643286573136</v>
      </c>
      <c r="N53" s="31">
        <f ca="1">(Price!IW43 - Price!D43) / Price!D43</f>
        <v>-7.2475282485875772E-2</v>
      </c>
      <c r="O53" s="45"/>
      <c r="P53" s="10" t="s">
        <v>242</v>
      </c>
      <c r="Q53" s="1" t="str">
        <f ca="1">Data!C117</f>
        <v>BNPP Easy CAC 40 ESG UCITS ETF</v>
      </c>
      <c r="R53" s="1" vm="65">
        <f ca="1">Data!Y117</f>
        <v>13.18</v>
      </c>
      <c r="S53" s="1"/>
      <c r="T53" s="25">
        <f ca="1">PERCENTRANK(Data!AA117:'Data'!AV117,Data!AV117)</f>
        <v>0.76100000000000001</v>
      </c>
      <c r="U53" s="47"/>
      <c r="V53" s="47"/>
      <c r="W53" s="47"/>
      <c r="X53" s="30">
        <f ca="1">(Price!IW117 - Price!IV117) / Price!IV117</f>
        <v>0</v>
      </c>
      <c r="Y53" s="24">
        <f ca="1">(Price!IW117 - Price!IR117) / Price!IR117</f>
        <v>-4.11522633744858E-3</v>
      </c>
      <c r="Z53" s="24">
        <f ca="1">(Price!IW117 - Price!IB117) / Price!IB117</f>
        <v>-2.0536651176735189E-2</v>
      </c>
      <c r="AA53" s="24">
        <f ca="1">(Price!IW117 - Price!GL117) / Price!GL117</f>
        <v>4.1493775933610167E-3</v>
      </c>
      <c r="AB53" s="24">
        <f ca="1">(Price!IW117 - Price!DZ117) / Price!DZ117</f>
        <v>2.8490476940028341E-2</v>
      </c>
      <c r="AC53" s="31">
        <f ca="1">(Price!IW117 - Price!D117) / Price!D117</f>
        <v>0.10558375634517761</v>
      </c>
    </row>
    <row r="54" spans="1:29" x14ac:dyDescent="0.2">
      <c r="A54" s="14" t="s">
        <v>89</v>
      </c>
      <c r="B54" s="1" t="str">
        <f ca="1">Data!C44</f>
        <v>Invesco Leisure and Ent</v>
      </c>
      <c r="C54" s="1" vm="66">
        <f ca="1">Data!Y44</f>
        <v>61.69</v>
      </c>
      <c r="D54" s="1"/>
      <c r="E54" s="26">
        <f ca="1">PERCENTRANK(Data!AA44:'Data'!AV44,Data!AV44)</f>
        <v>1</v>
      </c>
      <c r="F54" s="1">
        <v>77</v>
      </c>
      <c r="G54" s="1">
        <v>68</v>
      </c>
      <c r="H54" s="1">
        <v>78</v>
      </c>
      <c r="I54" s="24">
        <f ca="1">(Price!IW44 - Price!IV44) / Price!IV44</f>
        <v>7.6772296635086385E-3</v>
      </c>
      <c r="J54" s="24">
        <f ca="1">(Price!IW44 - Price!IR44) / Price!IR44</f>
        <v>4.7231270358306047E-3</v>
      </c>
      <c r="K54" s="30">
        <f ca="1">(Price!IW44 - Price!IB44) / Price!IB44</f>
        <v>8.1901087337776124E-2</v>
      </c>
      <c r="L54" s="24">
        <f ca="1">(Price!IW44 - Price!GL44) / Price!GL44</f>
        <v>-2.7481409634659182E-3</v>
      </c>
      <c r="M54" s="24">
        <f ca="1">(Price!IW44 - Price!DZ44) / Price!DZ44</f>
        <v>0.13651436993367716</v>
      </c>
      <c r="N54" s="31">
        <f ca="1">(Price!IW44 - Price!D44) / Price!D44</f>
        <v>0.13756223492531811</v>
      </c>
      <c r="O54" s="45"/>
      <c r="P54" s="10" t="s">
        <v>243</v>
      </c>
      <c r="Q54" s="1" t="str">
        <f ca="1">Data!C118</f>
        <v>Glbl X DAX Germany</v>
      </c>
      <c r="R54" s="1" vm="67">
        <f ca="1">Data!Y118</f>
        <v>45.16</v>
      </c>
      <c r="S54" s="1"/>
      <c r="T54" s="25">
        <f ca="1">PERCENTRANK(Data!AA118:'Data'!AV118,Data!AV118)</f>
        <v>0.76100000000000001</v>
      </c>
      <c r="U54" s="1">
        <v>62</v>
      </c>
      <c r="V54" s="1">
        <v>51</v>
      </c>
      <c r="W54" s="1">
        <v>70</v>
      </c>
      <c r="X54" s="30">
        <f ca="1">(Price!IW118 - Price!IV118) / Price!IV118</f>
        <v>4.4483985765123605E-3</v>
      </c>
      <c r="Y54" s="24">
        <f ca="1">(Price!IW118 - Price!IR118) / Price!IR118</f>
        <v>-1.9889502762431691E-3</v>
      </c>
      <c r="Z54" s="24">
        <f ca="1">(Price!IW118 - Price!IB118) / Price!IB118</f>
        <v>5.9713295459611897E-2</v>
      </c>
      <c r="AA54" s="24">
        <f ca="1">(Price!IW118 - Price!GL118) / Price!GL118</f>
        <v>1.9873532068653915E-2</v>
      </c>
      <c r="AB54" s="24">
        <f ca="1">(Price!IW118 - Price!DZ118) / Price!DZ118</f>
        <v>4.3920480813684666E-2</v>
      </c>
      <c r="AC54" s="31">
        <f ca="1">(Price!IW118 - Price!D118) / Price!D118</f>
        <v>0.30141841927805268</v>
      </c>
    </row>
    <row r="55" spans="1:29" x14ac:dyDescent="0.2">
      <c r="A55" s="14" t="s">
        <v>91</v>
      </c>
      <c r="B55" s="1" t="str">
        <f ca="1">Data!C45</f>
        <v>Vanguard Cnsmr Stp;ETF</v>
      </c>
      <c r="C55" s="1" vm="68">
        <f ca="1">Data!Y45</f>
        <v>212.94</v>
      </c>
      <c r="D55" s="1"/>
      <c r="E55" s="26">
        <f ca="1">PERCENTRANK(Data!AA45:'Data'!AV45,Data!AV45)</f>
        <v>0.23799999999999999</v>
      </c>
      <c r="F55" s="1">
        <v>56</v>
      </c>
      <c r="G55" s="1">
        <v>32</v>
      </c>
      <c r="H55" s="1">
        <v>34</v>
      </c>
      <c r="I55" s="24">
        <f ca="1">(Price!IW45 - Price!IV45) / Price!IV45</f>
        <v>-5.185704274702236E-3</v>
      </c>
      <c r="J55" s="24">
        <f ca="1">(Price!IW45 - Price!IR45) / Price!IR45</f>
        <v>-1.5442944331422246E-2</v>
      </c>
      <c r="K55" s="30">
        <f ca="1">(Price!IW45 - Price!IB45) / Price!IB45</f>
        <v>2.2815697199673374E-2</v>
      </c>
      <c r="L55" s="24">
        <f ca="1">(Price!IW45 - Price!GL45) / Price!GL45</f>
        <v>-7.4115508320514775E-3</v>
      </c>
      <c r="M55" s="24">
        <f ca="1">(Price!IW45 - Price!DZ45) / Price!DZ45</f>
        <v>-2.5357012083485866E-2</v>
      </c>
      <c r="N55" s="31">
        <f ca="1">(Price!IW45 - Price!D45) / Price!D45</f>
        <v>-3.5510462904248585E-2</v>
      </c>
      <c r="O55" s="45"/>
      <c r="P55" s="10" t="s">
        <v>244</v>
      </c>
      <c r="Q55" s="1" t="str">
        <f ca="1">Data!C119</f>
        <v>iShs Cr FTSE 100 ETF GBPD</v>
      </c>
      <c r="R55" s="1" vm="69">
        <f ca="1">Data!Y119</f>
        <v>10.166</v>
      </c>
      <c r="S55" s="1"/>
      <c r="T55" s="25">
        <f ca="1">PERCENTRANK(Data!AA119:'Data'!AV119,Data!AV119)</f>
        <v>0.28499999999999998</v>
      </c>
      <c r="U55" s="47"/>
      <c r="V55" s="47"/>
      <c r="W55" s="47"/>
      <c r="X55" s="30">
        <f ca="1">(Price!IW119 - Price!IV119) / Price!IV119</f>
        <v>1.1560693641618462E-2</v>
      </c>
      <c r="Y55" s="24">
        <f ca="1">(Price!IW119 - Price!IR119) / Price!IR119</f>
        <v>4.1551246537395933E-3</v>
      </c>
      <c r="Z55" s="24">
        <f ca="1">(Price!IW119 - Price!IB119) / Price!IB119</f>
        <v>-4.0098354454321875E-2</v>
      </c>
      <c r="AA55" s="24">
        <f ca="1">(Price!IW119 - Price!GL119) / Price!GL119</f>
        <v>-1.2645914396887064E-2</v>
      </c>
      <c r="AB55" s="24">
        <f ca="1">(Price!IW119 - Price!DZ119) / Price!DZ119</f>
        <v>1.5101510151015081E-2</v>
      </c>
      <c r="AC55" s="31">
        <f ca="1">(Price!IW119 - Price!D119) / Price!D119</f>
        <v>4.8770407108906746E-2</v>
      </c>
    </row>
    <row r="56" spans="1:29" x14ac:dyDescent="0.2">
      <c r="A56" s="14" t="s">
        <v>92</v>
      </c>
      <c r="B56" s="1" t="str">
        <f ca="1">Data!C46</f>
        <v>Fidelity MSCI Cons Stpls</v>
      </c>
      <c r="C56" s="1" vm="70">
        <f ca="1">Data!Y46</f>
        <v>49.61</v>
      </c>
      <c r="D56" s="1"/>
      <c r="E56" s="26">
        <f ca="1">PERCENTRANK(Data!AA46:'Data'!AV46,Data!AV46)</f>
        <v>0.23799999999999999</v>
      </c>
      <c r="F56" s="1">
        <v>62</v>
      </c>
      <c r="G56" s="1">
        <v>34</v>
      </c>
      <c r="H56" s="1">
        <v>34</v>
      </c>
      <c r="I56" s="24">
        <f ca="1">(Price!IW46 - Price!IV46) / Price!IV46</f>
        <v>-1.0767696909272166E-2</v>
      </c>
      <c r="J56" s="24">
        <f ca="1">(Price!IW46 - Price!IR46) / Price!IR46</f>
        <v>-1.5283842794759887E-2</v>
      </c>
      <c r="K56" s="30">
        <f ca="1">(Price!IW46 - Price!IB46) / Price!IB46</f>
        <v>2.2675736961451278E-2</v>
      </c>
      <c r="L56" s="24">
        <f ca="1">(Price!IW46 - Price!GL46) / Price!GL46</f>
        <v>-2.6135906714918086E-3</v>
      </c>
      <c r="M56" s="24">
        <f ca="1">(Price!IW46 - Price!DZ46) / Price!DZ46</f>
        <v>-2.2848138664565761E-2</v>
      </c>
      <c r="N56" s="31">
        <f ca="1">(Price!IW46 - Price!D46) / Price!D46</f>
        <v>-3.6886041545330976E-2</v>
      </c>
      <c r="O56" s="45"/>
      <c r="P56" s="10" t="s">
        <v>245</v>
      </c>
      <c r="Q56" s="1" t="str">
        <f ca="1">Data!C120</f>
        <v>iShares:China Large Cp</v>
      </c>
      <c r="R56" s="1" vm="71">
        <f ca="1">Data!Y120</f>
        <v>38.6</v>
      </c>
      <c r="S56" s="1"/>
      <c r="T56" s="25">
        <f ca="1">PERCENTRANK(Data!AA120:'Data'!AV120,Data!AV120)</f>
        <v>0.14199999999999999</v>
      </c>
      <c r="U56" s="1">
        <v>22</v>
      </c>
      <c r="V56" s="1">
        <v>30</v>
      </c>
      <c r="W56" s="1">
        <v>53</v>
      </c>
      <c r="X56" s="30">
        <f ca="1">(Price!IW120 - Price!IV120) / Price!IV120</f>
        <v>1.0206752159120664E-2</v>
      </c>
      <c r="Y56" s="24">
        <f ca="1">(Price!IW120 - Price!IR120) / Price!IR120</f>
        <v>-1.2282497441146288E-2</v>
      </c>
      <c r="Z56" s="24">
        <f ca="1">(Price!IW120 - Price!IB120) / Price!IB120</f>
        <v>-1.3040143185885911E-2</v>
      </c>
      <c r="AA56" s="24">
        <f ca="1">(Price!IW120 - Price!GL120) / Price!GL120</f>
        <v>-5.0430504305042985E-2</v>
      </c>
      <c r="AB56" s="24">
        <f ca="1">(Price!IW120 - Price!DZ120) / Price!DZ120</f>
        <v>8.6711711711711659E-2</v>
      </c>
      <c r="AC56" s="31">
        <f ca="1">(Price!IW120 - Price!D120) / Price!D120</f>
        <v>0.26185027786858456</v>
      </c>
    </row>
    <row r="57" spans="1:29" x14ac:dyDescent="0.2">
      <c r="A57" s="14" t="s">
        <v>93</v>
      </c>
      <c r="B57" s="1" t="str">
        <f ca="1">Data!C47</f>
        <v>iShares:Glbl Con Staples</v>
      </c>
      <c r="C57" s="1" vm="72">
        <f ca="1">Data!Y47</f>
        <v>64.86</v>
      </c>
      <c r="D57" s="1"/>
      <c r="E57" s="26">
        <f ca="1">PERCENTRANK(Data!AA47:'Data'!AV47,Data!AV47)</f>
        <v>0.23799999999999999</v>
      </c>
      <c r="F57" s="1">
        <v>58</v>
      </c>
      <c r="G57" s="1">
        <v>42</v>
      </c>
      <c r="H57" s="1">
        <v>48</v>
      </c>
      <c r="I57" s="24">
        <f ca="1">(Price!IW47 - Price!IV47) / Price!IV47</f>
        <v>-4.6040515653774892E-3</v>
      </c>
      <c r="J57" s="24">
        <f ca="1">(Price!IW47 - Price!IR47) / Price!IR47</f>
        <v>-1.5333232123880446E-2</v>
      </c>
      <c r="K57" s="30">
        <f ca="1">(Price!IW47 - Price!IB47) / Price!IB47</f>
        <v>1.6933207902163662E-2</v>
      </c>
      <c r="L57" s="24">
        <f ca="1">(Price!IW47 - Price!GL47) / Price!GL47</f>
        <v>8.0820640348149824E-3</v>
      </c>
      <c r="M57" s="24">
        <f ca="1">(Price!IW47 - Price!DZ47) / Price!DZ47</f>
        <v>-1.0780840905591773E-3</v>
      </c>
      <c r="N57" s="31">
        <f ca="1">(Price!IW47 - Price!D47) / Price!D47</f>
        <v>2.838116378626921E-2</v>
      </c>
      <c r="O57" s="45"/>
      <c r="P57" s="10" t="s">
        <v>246</v>
      </c>
      <c r="Q57" s="1" t="str">
        <f ca="1">Data!C121</f>
        <v>iShares:MSCI Em Mkts</v>
      </c>
      <c r="R57" s="1" vm="73">
        <f ca="1">Data!Y121</f>
        <v>53.72</v>
      </c>
      <c r="S57" s="1"/>
      <c r="T57" s="25">
        <f ca="1">PERCENTRANK(Data!AA121:'Data'!AV121,Data!AV121)</f>
        <v>0.14199999999999999</v>
      </c>
      <c r="U57" s="1">
        <v>31</v>
      </c>
      <c r="V57" s="1">
        <v>61</v>
      </c>
      <c r="W57" s="1">
        <v>75</v>
      </c>
      <c r="X57" s="30">
        <f ca="1">(Price!IW121 - Price!IV121) / Price!IV121</f>
        <v>9.7744360902254877E-3</v>
      </c>
      <c r="Y57" s="24">
        <f ca="1">(Price!IW121 - Price!IR121) / Price!IR121</f>
        <v>-9.5870206489676087E-3</v>
      </c>
      <c r="Z57" s="24">
        <f ca="1">(Price!IW121 - Price!IB121) / Price!IB121</f>
        <v>-2.4141132776230746E-3</v>
      </c>
      <c r="AA57" s="24">
        <f ca="1">(Price!IW121 - Price!GL121) / Price!GL121</f>
        <v>8.4475314435891822E-3</v>
      </c>
      <c r="AB57" s="24">
        <f ca="1">(Price!IW121 - Price!DZ121) / Price!DZ121</f>
        <v>0.15950787826462337</v>
      </c>
      <c r="AC57" s="31">
        <f ca="1">(Price!IW121 - Price!D121) / Price!D121</f>
        <v>0.22676410139301209</v>
      </c>
    </row>
    <row r="58" spans="1:29" x14ac:dyDescent="0.2">
      <c r="A58" s="14" t="s">
        <v>94</v>
      </c>
      <c r="B58" s="1" t="str">
        <f ca="1">Data!C48</f>
        <v>Invesco Food &amp; Beverage</v>
      </c>
      <c r="C58" s="1" vm="74">
        <f ca="1">Data!Y48</f>
        <v>45.601100000000002</v>
      </c>
      <c r="D58" s="1"/>
      <c r="E58" s="26">
        <f ca="1">PERCENTRANK(Data!AA48:'Data'!AV48,Data!AV48)</f>
        <v>0.76100000000000001</v>
      </c>
      <c r="F58" s="1">
        <v>67</v>
      </c>
      <c r="G58" s="1">
        <v>32</v>
      </c>
      <c r="H58" s="1">
        <v>32</v>
      </c>
      <c r="I58" s="24">
        <f ca="1">(Price!IW48 - Price!IV48) / Price!IV48</f>
        <v>-1.9457211643684684E-3</v>
      </c>
      <c r="J58" s="24">
        <f ca="1">(Price!IW48 - Price!IR48) / Price!IR48</f>
        <v>2.4422950098922933E-3</v>
      </c>
      <c r="K58" s="30">
        <f ca="1">(Price!IW48 - Price!IB48) / Price!IB48</f>
        <v>3.9289198034514514E-2</v>
      </c>
      <c r="L58" s="24">
        <f ca="1">(Price!IW48 - Price!GL48) / Price!GL48</f>
        <v>2.4347444615044963E-4</v>
      </c>
      <c r="M58" s="24">
        <f ca="1">(Price!IW48 - Price!DZ48) / Price!DZ48</f>
        <v>-3.6121327414922848E-2</v>
      </c>
      <c r="N58" s="31">
        <f ca="1">(Price!IW48 - Price!D48) / Price!D48</f>
        <v>-6.008508498192347E-2</v>
      </c>
      <c r="O58" s="45"/>
      <c r="P58" s="10" t="s">
        <v>247</v>
      </c>
      <c r="Q58" s="1" t="str">
        <f ca="1">Data!C122</f>
        <v>iShares:MSCI Japan</v>
      </c>
      <c r="R58" s="1" vm="75">
        <f ca="1">Data!Y122</f>
        <v>80.58</v>
      </c>
      <c r="S58" s="1"/>
      <c r="T58" s="25">
        <f ca="1">PERCENTRANK(Data!AA122:'Data'!AV122,Data!AV122)</f>
        <v>4.7E-2</v>
      </c>
      <c r="U58" s="47"/>
      <c r="V58" s="47"/>
      <c r="W58" s="47"/>
      <c r="X58" s="30">
        <f ca="1">(Price!IW122 - Price!IV122) / Price!IV122</f>
        <v>7.6278604476678682E-3</v>
      </c>
      <c r="Y58" s="24">
        <f ca="1">(Price!IW122 - Price!IR122) / Price!IR122</f>
        <v>-4.0714285714285738E-2</v>
      </c>
      <c r="Z58" s="24">
        <f ca="1">(Price!IW122 - Price!IB122) / Price!IB122</f>
        <v>-1.2394645513139381E-3</v>
      </c>
      <c r="AA58" s="24">
        <f ca="1">(Price!IW122 - Price!GL122) / Price!GL122</f>
        <v>-8.2461538461538666E-3</v>
      </c>
      <c r="AB58" s="24">
        <f ca="1">(Price!IW122 - Price!DZ122) / Price!DZ122</f>
        <v>0.12290969899665541</v>
      </c>
      <c r="AC58" s="31">
        <f ca="1">(Price!IW122 - Price!D122) / Price!D122</f>
        <v>0.16478751084128346</v>
      </c>
    </row>
    <row r="59" spans="1:29" x14ac:dyDescent="0.2">
      <c r="A59" s="14" t="s">
        <v>153</v>
      </c>
      <c r="B59" s="1" t="str">
        <f ca="1">Data!C49</f>
        <v>Vanguard Util Indx;ETF</v>
      </c>
      <c r="C59" s="1" vm="76">
        <f ca="1">Data!Y49</f>
        <v>183.5</v>
      </c>
      <c r="D59" s="1"/>
      <c r="E59" s="26">
        <f ca="1">PERCENTRANK(Data!AA49:'Data'!AV49,Data!AV49)</f>
        <v>0</v>
      </c>
      <c r="F59" s="1">
        <v>28</v>
      </c>
      <c r="G59" s="1">
        <v>39</v>
      </c>
      <c r="H59" s="1">
        <v>62</v>
      </c>
      <c r="I59" s="24">
        <f ca="1">(Price!IW49 - Price!IV49) / Price!IV49</f>
        <v>-1.3334767179266533E-2</v>
      </c>
      <c r="J59" s="24">
        <f ca="1">(Price!IW49 - Price!IR49) / Price!IR49</f>
        <v>-1.349389817751729E-2</v>
      </c>
      <c r="K59" s="30">
        <f ca="1">(Price!IW49 - Price!IB49) / Price!IB49</f>
        <v>-4.3074676679182265E-2</v>
      </c>
      <c r="L59" s="24">
        <f ca="1">(Price!IW49 - Price!GL49) / Price!GL49</f>
        <v>-1.6085790884718499E-2</v>
      </c>
      <c r="M59" s="24">
        <f ca="1">(Price!IW49 - Price!DZ49) / Price!DZ49</f>
        <v>5.0131624127274753E-2</v>
      </c>
      <c r="N59" s="31">
        <f ca="1">(Price!IW49 - Price!D49) / Price!D49</f>
        <v>0.10144057623049224</v>
      </c>
      <c r="O59" s="45"/>
      <c r="P59" s="10" t="s">
        <v>248</v>
      </c>
      <c r="Q59" s="1" t="str">
        <f ca="1">Data!C123</f>
        <v>iShares:MSCI UK</v>
      </c>
      <c r="R59" s="1" vm="77">
        <f ca="1">Data!Y123</f>
        <v>43.54</v>
      </c>
      <c r="S59" s="1"/>
      <c r="T59" s="25">
        <f ca="1">PERCENTRANK(Data!AA123:'Data'!AV123,Data!AV123)</f>
        <v>0.95199999999999996</v>
      </c>
      <c r="U59" s="1">
        <v>64</v>
      </c>
      <c r="V59" s="1">
        <v>66</v>
      </c>
      <c r="W59" s="1">
        <v>75</v>
      </c>
      <c r="X59" s="30">
        <f ca="1">(Price!IW123 - Price!IV123) / Price!IV123</f>
        <v>9.5061442151633795E-3</v>
      </c>
      <c r="Y59" s="24">
        <f ca="1">(Price!IW123 - Price!IR123) / Price!IR123</f>
        <v>6.0073937153419131E-3</v>
      </c>
      <c r="Z59" s="24">
        <f ca="1">(Price!IW123 - Price!IB123) / Price!IB123</f>
        <v>4.3374071411454648E-2</v>
      </c>
      <c r="AA59" s="24">
        <f ca="1">(Price!IW123 - Price!GL123) / Price!GL123</f>
        <v>4.638308099014659E-2</v>
      </c>
      <c r="AB59" s="24">
        <f ca="1">(Price!IW123 - Price!DZ123) / Price!DZ123</f>
        <v>0.11928020565552701</v>
      </c>
      <c r="AC59" s="31">
        <f ca="1">(Price!IW123 - Price!D123) / Price!D123</f>
        <v>0.22890206040079028</v>
      </c>
    </row>
    <row r="60" spans="1:29" x14ac:dyDescent="0.2">
      <c r="A60" s="14" t="s">
        <v>154</v>
      </c>
      <c r="B60" s="1" t="str">
        <f ca="1">Data!C50</f>
        <v>Fidelity MSCI Utilities</v>
      </c>
      <c r="C60" s="1" vm="78">
        <f ca="1">Data!Y50</f>
        <v>54.79</v>
      </c>
      <c r="D60" s="1"/>
      <c r="E60" s="26">
        <f ca="1">PERCENTRANK(Data!AA50:'Data'!AV50,Data!AV50)</f>
        <v>4.7E-2</v>
      </c>
      <c r="F60" s="1">
        <v>32</v>
      </c>
      <c r="G60" s="1">
        <v>46</v>
      </c>
      <c r="H60" s="1">
        <v>62</v>
      </c>
      <c r="I60" s="24">
        <f ca="1">(Price!IW50 - Price!IV50) / Price!IV50</f>
        <v>-1.933058886701268E-2</v>
      </c>
      <c r="J60" s="24">
        <f ca="1">(Price!IW50 - Price!IR50) / Price!IR50</f>
        <v>-1.2258878673156656E-2</v>
      </c>
      <c r="K60" s="30">
        <f ca="1">(Price!IW50 - Price!IB50) / Price!IB50</f>
        <v>-4.1630225642819707E-2</v>
      </c>
      <c r="L60" s="24">
        <f ca="1">(Price!IW50 - Price!GL50) / Price!GL50</f>
        <v>-8.5052479189286802E-3</v>
      </c>
      <c r="M60" s="24">
        <f ca="1">(Price!IW50 - Price!DZ50) / Price!DZ50</f>
        <v>5.8130552336809541E-2</v>
      </c>
      <c r="N60" s="31">
        <f ca="1">(Price!IW50 - Price!D50) / Price!D50</f>
        <v>0.1046370967741935</v>
      </c>
      <c r="O60" s="45"/>
      <c r="P60" s="10" t="s">
        <v>249</v>
      </c>
      <c r="Q60" s="1" t="str">
        <f ca="1">Data!C124</f>
        <v>iShares:MSCI Brazil</v>
      </c>
      <c r="R60" s="1" vm="79">
        <f ca="1">Data!Y124</f>
        <v>31.17</v>
      </c>
      <c r="S60" s="1"/>
      <c r="T60" s="25">
        <f ca="1">PERCENTRANK(Data!AA124:'Data'!AV124,Data!AV124)</f>
        <v>0</v>
      </c>
      <c r="U60" s="1">
        <v>31</v>
      </c>
      <c r="V60" s="1">
        <v>66</v>
      </c>
      <c r="W60" s="1">
        <v>76</v>
      </c>
      <c r="X60" s="30">
        <f ca="1">(Price!IW124 - Price!IV124) / Price!IV124</f>
        <v>0</v>
      </c>
      <c r="Y60" s="24">
        <f ca="1">(Price!IW124 - Price!IR124) / Price!IR124</f>
        <v>-6.4525810324129615E-2</v>
      </c>
      <c r="Z60" s="24">
        <f ca="1">(Price!IW124 - Price!IB124) / Price!IB124</f>
        <v>-4.0627885503231771E-2</v>
      </c>
      <c r="AA60" s="24">
        <f ca="1">(Price!IW124 - Price!GL124) / Price!GL124</f>
        <v>1.2341669373173192E-2</v>
      </c>
      <c r="AB60" s="24">
        <f ca="1">(Price!IW124 - Price!DZ124) / Price!DZ124</f>
        <v>0.12649078424286231</v>
      </c>
      <c r="AC60" s="31">
        <f ca="1">(Price!IW124 - Price!D124) / Price!D124</f>
        <v>0.2619433198380568</v>
      </c>
    </row>
    <row r="61" spans="1:29" x14ac:dyDescent="0.2">
      <c r="A61" s="14" t="s">
        <v>155</v>
      </c>
      <c r="B61" s="1" t="str">
        <f ca="1">Data!C51</f>
        <v>iShares:US Utl</v>
      </c>
      <c r="C61" s="1" vm="80">
        <f ca="1">Data!Y51</f>
        <v>107.4</v>
      </c>
      <c r="D61" s="1"/>
      <c r="E61" s="26">
        <f ca="1">PERCENTRANK(Data!AA51:'Data'!AV51,Data!AV51)</f>
        <v>4.7E-2</v>
      </c>
      <c r="F61" s="1">
        <v>31</v>
      </c>
      <c r="G61" s="1">
        <v>35</v>
      </c>
      <c r="H61" s="1">
        <v>59</v>
      </c>
      <c r="I61" s="24">
        <f ca="1">(Price!IW51 - Price!IV51) / Price!IV51</f>
        <v>-1.2504597278411175E-2</v>
      </c>
      <c r="J61" s="24">
        <f ca="1">(Price!IW51 - Price!IR51) / Price!IR51</f>
        <v>-1.0958651809558869E-2</v>
      </c>
      <c r="K61" s="30">
        <f ca="1">(Price!IW51 - Price!IB51) / Price!IB51</f>
        <v>-3.8926174496644247E-2</v>
      </c>
      <c r="L61" s="24">
        <f ca="1">(Price!IW51 - Price!GL51) / Price!GL51</f>
        <v>-9.2250922509225092E-3</v>
      </c>
      <c r="M61" s="24">
        <f ca="1">(Price!IW51 - Price!DZ51) / Price!DZ51</f>
        <v>4.2010284272824418E-2</v>
      </c>
      <c r="N61" s="31">
        <f ca="1">(Price!IW51 - Price!D51) / Price!D51</f>
        <v>9.3574992363303258E-2</v>
      </c>
      <c r="O61" s="45"/>
      <c r="P61" s="10" t="s">
        <v>250</v>
      </c>
      <c r="Q61" s="1" t="str">
        <f ca="1">Data!C125</f>
        <v>iShares:MSCI Germany</v>
      </c>
      <c r="R61" s="1" vm="81">
        <f ca="1">Data!Y125</f>
        <v>41.94</v>
      </c>
      <c r="S61" s="1"/>
      <c r="T61" s="25" t="e" vm="46">
        <f ca="1">PERCENTRANK(Data!AA125:'Data'!AV125,Data!AV125)</f>
        <v>#N/A</v>
      </c>
      <c r="U61" s="1">
        <v>66</v>
      </c>
      <c r="V61" s="1">
        <v>50</v>
      </c>
      <c r="W61" s="1">
        <v>68</v>
      </c>
      <c r="X61" s="30">
        <f ca="1">(Price!IW125 - Price!IV125) / Price!IV125</f>
        <v>-1</v>
      </c>
      <c r="Y61" s="24">
        <f ca="1">(Price!IW125 - Price!IR125) / Price!IR125</f>
        <v>-1</v>
      </c>
      <c r="Z61" s="24" t="e" vm="46">
        <f ca="1">(Price!IW125 - Price!IB125) / Price!IB125</f>
        <v>#N/A</v>
      </c>
      <c r="AA61" s="24" t="e" vm="46">
        <f ca="1">(Price!IW125 - Price!GL125) / Price!GL125</f>
        <v>#N/A</v>
      </c>
      <c r="AB61" s="24" t="e" vm="46">
        <f ca="1">(Price!IW125 - Price!DZ125) / Price!DZ125</f>
        <v>#N/A</v>
      </c>
      <c r="AC61" s="31" t="e" vm="46">
        <f ca="1">(Price!IW125 - Price!D125) / Price!D125</f>
        <v>#N/A</v>
      </c>
    </row>
    <row r="62" spans="1:29" x14ac:dyDescent="0.2">
      <c r="A62" s="14" t="s">
        <v>158</v>
      </c>
      <c r="B62" s="1" t="str">
        <f ca="1">Data!C52</f>
        <v>iShares:US Energy</v>
      </c>
      <c r="C62" s="1" vm="82">
        <f ca="1">Data!Y52</f>
        <v>46.55</v>
      </c>
      <c r="D62" s="1"/>
      <c r="E62" s="26">
        <f ca="1">PERCENTRANK(Data!AA52:'Data'!AV52,Data!AV52)</f>
        <v>4.7E-2</v>
      </c>
      <c r="F62" s="1">
        <v>32</v>
      </c>
      <c r="G62" s="1">
        <v>30</v>
      </c>
      <c r="H62" s="1">
        <v>39</v>
      </c>
      <c r="I62" s="24">
        <f ca="1">(Price!IW52 - Price!IV52) / Price!IV52</f>
        <v>8.6003010105351854E-4</v>
      </c>
      <c r="J62" s="24">
        <f ca="1">(Price!IW52 - Price!IR52) / Price!IR52</f>
        <v>-3.6431380666528776E-2</v>
      </c>
      <c r="K62" s="30">
        <f ca="1">(Price!IW52 - Price!IB52) / Price!IB52</f>
        <v>-2.5335008375209397E-2</v>
      </c>
      <c r="L62" s="24">
        <f ca="1">(Price!IW52 - Price!GL52) / Price!GL52</f>
        <v>-3.638698630137023E-3</v>
      </c>
      <c r="M62" s="24">
        <f ca="1">(Price!IW52 - Price!DZ52) / Price!DZ52</f>
        <v>-7.4626865671642093E-3</v>
      </c>
      <c r="N62" s="31">
        <f ca="1">(Price!IW52 - Price!D52) / Price!D52</f>
        <v>4.7485430606518213E-3</v>
      </c>
      <c r="O62" s="45"/>
      <c r="P62" s="10" t="s">
        <v>251</v>
      </c>
      <c r="Q62" s="1" t="str">
        <f ca="1">Data!C126</f>
        <v>iShares:MSCI Taiwan</v>
      </c>
      <c r="R62" s="1" vm="83">
        <f ca="1">Data!Y126</f>
        <v>61.64</v>
      </c>
      <c r="S62" s="1"/>
      <c r="T62" s="25">
        <f ca="1">PERCENTRANK(Data!AA126:'Data'!AV126,Data!AV126)</f>
        <v>0.14199999999999999</v>
      </c>
      <c r="U62" s="13">
        <v>21</v>
      </c>
      <c r="V62" s="13">
        <v>30</v>
      </c>
      <c r="W62" s="13">
        <v>65</v>
      </c>
      <c r="X62" s="30">
        <f ca="1">(Price!IW126 - Price!IV126) / Price!IV126</f>
        <v>1.2649909643502598E-2</v>
      </c>
      <c r="Y62" s="24">
        <f ca="1">(Price!IW126 - Price!IR126) / Price!IR126</f>
        <v>-3.8377535101403959E-2</v>
      </c>
      <c r="Z62" s="24">
        <f ca="1">(Price!IW126 - Price!IB126) / Price!IB126</f>
        <v>-1.3759999999999991E-2</v>
      </c>
      <c r="AA62" s="24">
        <f ca="1">(Price!IW126 - Price!GL126) / Price!GL126</f>
        <v>-3.7175882536707207E-2</v>
      </c>
      <c r="AB62" s="24">
        <f ca="1">(Price!IW126 - Price!DZ126) / Price!DZ126</f>
        <v>0.12399708242159002</v>
      </c>
      <c r="AC62" s="31">
        <f ca="1">(Price!IW126 - Price!D126) / Price!D126</f>
        <v>0.13183988248255599</v>
      </c>
    </row>
    <row r="63" spans="1:29" x14ac:dyDescent="0.2">
      <c r="A63" s="14" t="s">
        <v>159</v>
      </c>
      <c r="B63" s="1" t="str">
        <f ca="1">Data!C53</f>
        <v>Vanguard Energy Idx;ETF</v>
      </c>
      <c r="C63" s="1" vm="84">
        <f ca="1">Data!Y53</f>
        <v>123.39</v>
      </c>
      <c r="D63" s="1"/>
      <c r="E63" s="26">
        <f ca="1">PERCENTRANK(Data!AA53:'Data'!AV53,Data!AV53)</f>
        <v>0</v>
      </c>
      <c r="F63" s="1">
        <v>30</v>
      </c>
      <c r="G63" s="1">
        <v>30</v>
      </c>
      <c r="H63" s="1">
        <v>34</v>
      </c>
      <c r="I63" s="24">
        <f ca="1">(Price!IW53 - Price!IV53) / Price!IV53</f>
        <v>2.2743887580212912E-3</v>
      </c>
      <c r="J63" s="24">
        <f ca="1">(Price!IW53 - Price!IR53) / Price!IR53</f>
        <v>-3.8269680436477091E-2</v>
      </c>
      <c r="K63" s="30">
        <f ca="1">(Price!IW53 - Price!IB53) / Price!IB53</f>
        <v>-2.5586353944562861E-2</v>
      </c>
      <c r="L63" s="24">
        <f ca="1">(Price!IW53 - Price!GL53) / Price!GL53</f>
        <v>-1.0028883183568678E-2</v>
      </c>
      <c r="M63" s="24">
        <f ca="1">(Price!IW53 - Price!DZ53) / Price!DZ53</f>
        <v>-1.2326903065716851E-2</v>
      </c>
      <c r="N63" s="31">
        <f ca="1">(Price!IW53 - Price!D53) / Price!D53</f>
        <v>2.3558082859464358E-3</v>
      </c>
      <c r="O63" s="45"/>
      <c r="P63" s="10" t="s">
        <v>252</v>
      </c>
      <c r="Q63" s="1" t="str">
        <f ca="1">Data!C127</f>
        <v>iShares:MSCI Hong Kong</v>
      </c>
      <c r="R63" s="1" vm="85">
        <f ca="1">Data!Y127</f>
        <v>21.61</v>
      </c>
      <c r="S63" s="1"/>
      <c r="T63" s="25">
        <f ca="1">PERCENTRANK(Data!AA127:'Data'!AV127,Data!AV127)</f>
        <v>0.19</v>
      </c>
      <c r="U63" s="1">
        <v>33</v>
      </c>
      <c r="V63" s="1">
        <v>50</v>
      </c>
      <c r="W63" s="1">
        <v>75</v>
      </c>
      <c r="X63" s="30">
        <f ca="1">(Price!IW127 - Price!IV127) / Price!IV127</f>
        <v>7.9291044776118539E-3</v>
      </c>
      <c r="Y63" s="24">
        <f ca="1">(Price!IW127 - Price!IR127) / Price!IR127</f>
        <v>-1.1888431641518132E-2</v>
      </c>
      <c r="Z63" s="24">
        <f ca="1">(Price!IW127 - Price!IB127) / Price!IB127</f>
        <v>-1.2791228871630934E-2</v>
      </c>
      <c r="AA63" s="24">
        <f ca="1">(Price!IW127 - Price!GL127) / Price!GL127</f>
        <v>1.0757717492984117E-2</v>
      </c>
      <c r="AB63" s="24">
        <f ca="1">(Price!IW127 - Price!DZ127) / Price!DZ127</f>
        <v>0.13736842105263156</v>
      </c>
      <c r="AC63" s="31">
        <f ca="1">(Price!IW127 - Price!D127) / Price!D127</f>
        <v>0.26522248243559726</v>
      </c>
    </row>
    <row r="64" spans="1:29" x14ac:dyDescent="0.2">
      <c r="A64" s="14" t="s">
        <v>161</v>
      </c>
      <c r="B64" s="1" t="str">
        <f ca="1">Data!C54</f>
        <v>SS SPDR S&amp;P Oil&amp;Gas Exp</v>
      </c>
      <c r="C64" s="1" vm="86">
        <f ca="1">Data!Y54</f>
        <v>125.56</v>
      </c>
      <c r="D64" s="1"/>
      <c r="E64" s="26">
        <f ca="1">PERCENTRANK(Data!AA54:'Data'!AV54,Data!AV54)</f>
        <v>4.7E-2</v>
      </c>
      <c r="F64" s="1">
        <v>23</v>
      </c>
      <c r="G64" s="1">
        <v>23</v>
      </c>
      <c r="H64" s="1">
        <v>27</v>
      </c>
      <c r="I64" s="24">
        <f ca="1">(Price!IW54 - Price!IV54) / Price!IV54</f>
        <v>3.757294747781588E-3</v>
      </c>
      <c r="J64" s="24">
        <f ca="1">(Price!IW54 - Price!IR54) / Price!IR54</f>
        <v>-4.6838229712290201E-2</v>
      </c>
      <c r="K64" s="30">
        <f ca="1">(Price!IW54 - Price!IB54) / Price!IB54</f>
        <v>-4.7922353654837678E-2</v>
      </c>
      <c r="L64" s="24">
        <f ca="1">(Price!IW54 - Price!GL54) / Price!GL54</f>
        <v>-3.5563407327751713E-2</v>
      </c>
      <c r="M64" s="24">
        <f ca="1">(Price!IW54 - Price!DZ54) / Price!DZ54</f>
        <v>-6.6815310293571226E-2</v>
      </c>
      <c r="N64" s="31">
        <f ca="1">(Price!IW54 - Price!D54) / Price!D54</f>
        <v>-5.1661631419939603E-2</v>
      </c>
      <c r="O64" s="45"/>
      <c r="P64" s="10" t="s">
        <v>253</v>
      </c>
      <c r="Q64" s="1" t="str">
        <f ca="1">Data!C128</f>
        <v>iShares:MSCI Italy</v>
      </c>
      <c r="R64" s="1" vm="87">
        <f ca="1">Data!Y128</f>
        <v>54.21</v>
      </c>
      <c r="S64" s="1"/>
      <c r="T64" s="25">
        <f ca="1">PERCENTRANK(Data!AA128:'Data'!AV128,Data!AV128)</f>
        <v>0.90400000000000003</v>
      </c>
      <c r="U64" s="1">
        <v>75</v>
      </c>
      <c r="V64" s="1">
        <v>76</v>
      </c>
      <c r="W64" s="1">
        <v>84</v>
      </c>
      <c r="X64" s="30">
        <f ca="1">(Price!IW128 - Price!IV128) / Price!IV128</f>
        <v>7.4335625348447973E-3</v>
      </c>
      <c r="Y64" s="24">
        <f ca="1">(Price!IW128 - Price!IR128) / Price!IR128</f>
        <v>1.0249720462169295E-2</v>
      </c>
      <c r="Z64" s="24">
        <f ca="1">(Price!IW128 - Price!IB128) / Price!IB128</f>
        <v>5.5901830931047863E-2</v>
      </c>
      <c r="AA64" s="24">
        <f ca="1">(Price!IW128 - Price!GL128) / Price!GL128</f>
        <v>4.7738693467336661E-2</v>
      </c>
      <c r="AB64" s="24">
        <f ca="1">(Price!IW128 - Price!DZ128) / Price!DZ128</f>
        <v>0.16932700603968942</v>
      </c>
      <c r="AC64" s="31">
        <f ca="1">(Price!IW128 - Price!D128) / Price!D128</f>
        <v>0.44675740592473984</v>
      </c>
    </row>
    <row r="65" spans="1:29" x14ac:dyDescent="0.2">
      <c r="A65" s="14" t="s">
        <v>162</v>
      </c>
      <c r="B65" s="1" t="str">
        <f ca="1">Data!C55</f>
        <v>iShares:US O&amp;G E&amp;P ETF</v>
      </c>
      <c r="C65" s="1" vm="88">
        <f ca="1">Data!Y55</f>
        <v>88.42</v>
      </c>
      <c r="D65" s="1"/>
      <c r="E65" s="26">
        <f ca="1">PERCENTRANK(Data!AA55:'Data'!AV55,Data!AV55)</f>
        <v>4.7E-2</v>
      </c>
      <c r="F65" s="1">
        <v>25</v>
      </c>
      <c r="G65" s="1">
        <v>24</v>
      </c>
      <c r="H65" s="1">
        <v>30</v>
      </c>
      <c r="I65" s="24">
        <f ca="1">(Price!IW55 - Price!IV55) / Price!IV55</f>
        <v>1.6993315962388772E-3</v>
      </c>
      <c r="J65" s="24">
        <f ca="1">(Price!IW55 - Price!IR55) / Price!IR55</f>
        <v>-5.5039008229133185E-2</v>
      </c>
      <c r="K65" s="30">
        <f ca="1">(Price!IW55 - Price!IB55) / Price!IB55</f>
        <v>-4.483093874905468E-2</v>
      </c>
      <c r="L65" s="24">
        <f ca="1">(Price!IW55 - Price!GL55) / Price!GL55</f>
        <v>-2.2010839508903826E-2</v>
      </c>
      <c r="M65" s="24">
        <f ca="1">(Price!IW55 - Price!DZ55) / Price!DZ55</f>
        <v>-5.3217689260092071E-2</v>
      </c>
      <c r="N65" s="31">
        <f ca="1">(Price!IW55 - Price!D55) / Price!D55</f>
        <v>-2.0059847057519696E-2</v>
      </c>
      <c r="O65" s="45"/>
      <c r="P65" s="10" t="s">
        <v>254</v>
      </c>
      <c r="Q65" s="1" t="str">
        <f ca="1">Data!C129</f>
        <v>iShares:MSCI Mexico</v>
      </c>
      <c r="R65" s="1" vm="89">
        <f ca="1">Data!Y129</f>
        <v>68.849999999999994</v>
      </c>
      <c r="S65" s="1"/>
      <c r="T65" s="25">
        <f ca="1">PERCENTRANK(Data!AA129:'Data'!AV129,Data!AV129)</f>
        <v>0.71399999999999997</v>
      </c>
      <c r="U65" s="1">
        <v>69</v>
      </c>
      <c r="V65" s="1">
        <v>77</v>
      </c>
      <c r="W65" s="1">
        <v>84</v>
      </c>
      <c r="X65" s="30">
        <f ca="1">(Price!IW129 - Price!IV129) / Price!IV129</f>
        <v>1.4545454545453718E-3</v>
      </c>
      <c r="Y65" s="24">
        <f ca="1">(Price!IW129 - Price!IR129) / Price!IR129</f>
        <v>-2.6029141321261898E-2</v>
      </c>
      <c r="Z65" s="24">
        <f ca="1">(Price!IW129 - Price!IB129) / Price!IB129</f>
        <v>3.1151714841994884E-2</v>
      </c>
      <c r="AA65" s="24">
        <f ca="1">(Price!IW129 - Price!GL129) / Price!GL129</f>
        <v>2.9147982062780096E-2</v>
      </c>
      <c r="AB65" s="24">
        <f ca="1">(Price!IW129 - Price!DZ129) / Price!DZ129</f>
        <v>0.18482188951987602</v>
      </c>
      <c r="AC65" s="31">
        <f ca="1">(Price!IW129 - Price!D129) / Price!D129</f>
        <v>0.33897316219369877</v>
      </c>
    </row>
    <row r="66" spans="1:29" x14ac:dyDescent="0.2">
      <c r="A66" s="14" t="s">
        <v>164</v>
      </c>
      <c r="B66" s="1" t="str">
        <f ca="1">Data!C56</f>
        <v>VanEck:Oil Services</v>
      </c>
      <c r="C66" s="1" vm="90">
        <f ca="1">Data!Y56</f>
        <v>285.39</v>
      </c>
      <c r="D66" s="1"/>
      <c r="E66" s="26">
        <f ca="1">PERCENTRANK(Data!AA56:'Data'!AV56,Data!AV56)</f>
        <v>9.5000000000000001E-2</v>
      </c>
      <c r="F66" s="1">
        <v>69</v>
      </c>
      <c r="G66" s="1">
        <v>78</v>
      </c>
      <c r="H66" s="1">
        <v>70</v>
      </c>
      <c r="I66" s="24">
        <f ca="1">(Price!IW56 - Price!IV56) / Price!IV56</f>
        <v>9.9798280072194261E-3</v>
      </c>
      <c r="J66" s="24">
        <f ca="1">(Price!IW56 - Price!IR56) / Price!IR56</f>
        <v>-4.7461700210273447E-2</v>
      </c>
      <c r="K66" s="30">
        <f ca="1">(Price!IW56 - Price!IB56) / Price!IB56</f>
        <v>9.9798280072194261E-3</v>
      </c>
      <c r="L66" s="24">
        <f ca="1">(Price!IW56 - Price!GL56) / Price!GL56</f>
        <v>0.11996703555450904</v>
      </c>
      <c r="M66" s="24">
        <f ca="1">(Price!IW56 - Price!DZ56) / Price!DZ56</f>
        <v>0.17507308436612171</v>
      </c>
      <c r="N66" s="31">
        <f ca="1">(Price!IW56 - Price!D56) / Price!D56</f>
        <v>1.797752808988751E-2</v>
      </c>
      <c r="O66" s="45"/>
      <c r="P66" s="10" t="s">
        <v>255</v>
      </c>
      <c r="Q66" s="1" t="str">
        <f ca="1">Data!C130</f>
        <v>Invesco India</v>
      </c>
      <c r="R66" s="1" vm="91">
        <f ca="1">Data!Y130</f>
        <v>26.14</v>
      </c>
      <c r="S66" s="1"/>
      <c r="T66" s="25">
        <f ca="1">PERCENTRANK(Data!AA130:'Data'!AV130,Data!AV130)</f>
        <v>0.61899999999999999</v>
      </c>
      <c r="U66" s="1">
        <v>38</v>
      </c>
      <c r="V66" s="1">
        <v>32</v>
      </c>
      <c r="W66" s="1">
        <v>32</v>
      </c>
      <c r="X66" s="30">
        <f ca="1">(Price!IW130 - Price!IV130) / Price!IV130</f>
        <v>1.7516543402101958E-2</v>
      </c>
      <c r="Y66" s="24">
        <f ca="1">(Price!IW130 - Price!IR130) / Price!IR130</f>
        <v>2.2291748142354333E-2</v>
      </c>
      <c r="Z66" s="24">
        <f ca="1">(Price!IW130 - Price!IB130) / Price!IB130</f>
        <v>-1.2839879154078544E-2</v>
      </c>
      <c r="AA66" s="24">
        <f ca="1">(Price!IW130 - Price!GL130) / Price!GL130</f>
        <v>1.2393493415956634E-2</v>
      </c>
      <c r="AB66" s="24">
        <f ca="1">(Price!IW130 - Price!DZ130) / Price!DZ130</f>
        <v>-1.5507665981680232E-3</v>
      </c>
      <c r="AC66" s="31">
        <f ca="1">(Price!IW130 - Price!D130) / Price!D130</f>
        <v>-0.10601915184678516</v>
      </c>
    </row>
    <row r="67" spans="1:29" x14ac:dyDescent="0.2">
      <c r="A67" s="14" t="s">
        <v>166</v>
      </c>
      <c r="B67" s="1" t="str">
        <f ca="1">Data!C57</f>
        <v>iShares:Glbl Energy</v>
      </c>
      <c r="C67" s="1" vm="92">
        <f ca="1">Data!Y57</f>
        <v>40.97</v>
      </c>
      <c r="D67" s="1"/>
      <c r="E67" s="26">
        <f ca="1">PERCENTRANK(Data!AA57:'Data'!AV57,Data!AV57)</f>
        <v>4.7E-2</v>
      </c>
      <c r="F67" s="1">
        <v>27</v>
      </c>
      <c r="G67" s="1">
        <v>29</v>
      </c>
      <c r="H67" s="1">
        <v>45</v>
      </c>
      <c r="I67" s="24">
        <f ca="1">(Price!IW57 - Price!IV57) / Price!IV57</f>
        <v>4.6591466405099978E-3</v>
      </c>
      <c r="J67" s="24">
        <f ca="1">(Price!IW57 - Price!IR57) / Price!IR57</f>
        <v>-4.4765679645605072E-2</v>
      </c>
      <c r="K67" s="30">
        <f ca="1">(Price!IW57 - Price!IB57) / Price!IB57</f>
        <v>-4.1413196069256038E-2</v>
      </c>
      <c r="L67" s="24">
        <f ca="1">(Price!IW57 - Price!GL57) / Price!GL57</f>
        <v>-7.9903147699757465E-3</v>
      </c>
      <c r="M67" s="24">
        <f ca="1">(Price!IW57 - Price!DZ57) / Price!DZ57</f>
        <v>8.8648116227530022E-3</v>
      </c>
      <c r="N67" s="31">
        <f ca="1">(Price!IW57 - Price!D57) / Price!D57</f>
        <v>4.5953535869287646E-2</v>
      </c>
      <c r="O67" s="45"/>
      <c r="P67" s="10" t="s">
        <v>256</v>
      </c>
      <c r="Q67" s="1" t="str">
        <f ca="1">Data!C131</f>
        <v>VanEck:Indonesia Index</v>
      </c>
      <c r="R67" s="1" vm="93">
        <f ca="1">Data!Y131</f>
        <v>17.21</v>
      </c>
      <c r="S67" s="1"/>
      <c r="T67" s="25">
        <f ca="1">PERCENTRANK(Data!AA131:'Data'!AV131,Data!AV131)</f>
        <v>0.66600000000000004</v>
      </c>
      <c r="U67" s="1">
        <v>79</v>
      </c>
      <c r="V67" s="1">
        <v>78</v>
      </c>
      <c r="W67" s="1">
        <v>81</v>
      </c>
      <c r="X67" s="30">
        <f ca="1">(Price!IW131 - Price!IV131) / Price!IV131</f>
        <v>5.8139534883730026E-4</v>
      </c>
      <c r="Y67" s="24">
        <f ca="1">(Price!IW131 - Price!IR131) / Price!IR131</f>
        <v>1.7462165308498915E-3</v>
      </c>
      <c r="Z67" s="24">
        <f ca="1">(Price!IW131 - Price!IB131) / Price!IB131</f>
        <v>3.1774580335731481E-2</v>
      </c>
      <c r="AA67" s="24">
        <f ca="1">(Price!IW131 - Price!GL131) / Price!GL131</f>
        <v>7.1286290523380244E-2</v>
      </c>
      <c r="AB67" s="24">
        <f ca="1">(Price!IW131 - Price!DZ131) / Price!DZ131</f>
        <v>0.20771929824561408</v>
      </c>
      <c r="AC67" s="31">
        <f ca="1">(Price!IW131 - Price!D131) / Price!D131</f>
        <v>6.6955982641041661E-2</v>
      </c>
    </row>
    <row r="68" spans="1:29" x14ac:dyDescent="0.2">
      <c r="A68" s="10" t="s">
        <v>106</v>
      </c>
      <c r="B68" s="1" t="str">
        <f ca="1">Data!C58</f>
        <v>iShares:Biotechnology</v>
      </c>
      <c r="C68" s="1" vm="94">
        <f ca="1">Data!Y58</f>
        <v>170.2</v>
      </c>
      <c r="D68" s="1"/>
      <c r="E68" s="26">
        <f ca="1">PERCENTRANK(Data!AA58:'Data'!AV58,Data!AV58)</f>
        <v>0.61899999999999999</v>
      </c>
      <c r="F68" s="1">
        <v>80</v>
      </c>
      <c r="G68" s="1">
        <v>87</v>
      </c>
      <c r="H68" s="1">
        <v>85</v>
      </c>
      <c r="I68" s="24">
        <f ca="1">(Price!IW58 - Price!IV58) / Price!IV58</f>
        <v>2.4129008965641682E-2</v>
      </c>
      <c r="J68" s="24">
        <f ca="1">(Price!IW58 - Price!IR58) / Price!IR58</f>
        <v>4.6039428638885681E-3</v>
      </c>
      <c r="K68" s="30">
        <f ca="1">(Price!IW58 - Price!IB58) / Price!IB58</f>
        <v>3.0141629342694529E-2</v>
      </c>
      <c r="L68" s="24">
        <f ca="1">(Price!IW58 - Price!GL58) / Price!GL58</f>
        <v>0.18680705669060729</v>
      </c>
      <c r="M68" s="24">
        <f ca="1">(Price!IW58 - Price!DZ58) / Price!DZ58</f>
        <v>0.35606724563779762</v>
      </c>
      <c r="N68" s="31">
        <f ca="1">(Price!IW58 - Price!D58) / Price!D58</f>
        <v>0.24007285974499082</v>
      </c>
      <c r="O68" s="45"/>
      <c r="P68" s="10" t="s">
        <v>257</v>
      </c>
      <c r="Q68" s="1" t="str">
        <f ca="1">Data!C132</f>
        <v>iShares:MSCI S Korea</v>
      </c>
      <c r="R68" s="1" vm="95">
        <f ca="1">Data!Y132</f>
        <v>91.34</v>
      </c>
      <c r="S68" s="1"/>
      <c r="T68" s="25">
        <f ca="1">PERCENTRANK(Data!AA132:'Data'!AV132,Data!AV132)</f>
        <v>0.28499999999999998</v>
      </c>
      <c r="U68" s="1">
        <v>58</v>
      </c>
      <c r="V68" s="1">
        <v>84</v>
      </c>
      <c r="W68" s="1">
        <v>91</v>
      </c>
      <c r="X68" s="30">
        <f ca="1">(Price!IW132 - Price!IV132) / Price!IV132</f>
        <v>1.4100144332186192E-2</v>
      </c>
      <c r="Y68" s="24">
        <f ca="1">(Price!IW132 - Price!IR132) / Price!IR132</f>
        <v>-1.435200172655658E-2</v>
      </c>
      <c r="Z68" s="24">
        <f ca="1">(Price!IW132 - Price!IB132) / Price!IB132</f>
        <v>8.6130742049470091E-3</v>
      </c>
      <c r="AA68" s="24">
        <f ca="1">(Price!IW132 - Price!GL132) / Price!GL132</f>
        <v>0.11991172143207456</v>
      </c>
      <c r="AB68" s="24">
        <f ca="1">(Price!IW132 - Price!DZ132) / Price!DZ132</f>
        <v>0.33284692835254637</v>
      </c>
      <c r="AC68" s="31">
        <f ca="1">(Price!IW132 - Price!D132) / Price!D132</f>
        <v>0.64339690536164096</v>
      </c>
    </row>
    <row r="69" spans="1:29" x14ac:dyDescent="0.2">
      <c r="A69" s="10" t="s">
        <v>107</v>
      </c>
      <c r="B69" s="1" t="str">
        <f ca="1">Data!C59</f>
        <v>SS SPDR S&amp;P Biotech</v>
      </c>
      <c r="C69" s="1" vm="96">
        <f ca="1">Data!Y59</f>
        <v>123.43</v>
      </c>
      <c r="D69" s="1"/>
      <c r="E69" s="26">
        <f ca="1">PERCENTRANK(Data!AA59:'Data'!AV59,Data!AV59)</f>
        <v>1</v>
      </c>
      <c r="F69" s="1">
        <v>86</v>
      </c>
      <c r="G69" s="1">
        <v>92</v>
      </c>
      <c r="H69" s="1">
        <v>90</v>
      </c>
      <c r="I69" s="24">
        <f ca="1">(Price!IW59 - Price!IV59) / Price!IV59</f>
        <v>2.8497625197900188E-2</v>
      </c>
      <c r="J69" s="24">
        <f ca="1">(Price!IW59 - Price!IR59) / Price!IR59</f>
        <v>2.4364492812475546E-3</v>
      </c>
      <c r="K69" s="30">
        <f ca="1">(Price!IW59 - Price!IB59) / Price!IB59</f>
        <v>7.7991266375545917E-2</v>
      </c>
      <c r="L69" s="24">
        <f ca="1">(Price!IW59 - Price!GL59) / Price!GL59</f>
        <v>0.26855087358684493</v>
      </c>
      <c r="M69" s="24">
        <f ca="1">(Price!IW59 - Price!DZ59) / Price!DZ59</f>
        <v>0.49830055838795839</v>
      </c>
      <c r="N69" s="31">
        <f ca="1">(Price!IW59 - Price!D59) / Price!D59</f>
        <v>0.30255382017728999</v>
      </c>
      <c r="O69" s="45"/>
      <c r="P69" s="10" t="s">
        <v>258</v>
      </c>
      <c r="Q69" s="1" t="str">
        <f ca="1">Data!C133</f>
        <v>iShares:MSCI Australia</v>
      </c>
      <c r="R69" s="1" vm="97">
        <f ca="1">Data!Y133</f>
        <v>25.88</v>
      </c>
      <c r="S69" s="1"/>
      <c r="T69" s="25">
        <f ca="1">PERCENTRANK(Data!AA133:'Data'!AV133,Data!AV133)</f>
        <v>0.19</v>
      </c>
      <c r="U69" s="1">
        <v>28</v>
      </c>
      <c r="V69" s="1">
        <v>27</v>
      </c>
      <c r="W69" s="1">
        <v>48</v>
      </c>
      <c r="X69" s="30">
        <f ca="1">(Price!IW133 - Price!IV133) / Price!IV133</f>
        <v>2.7121270825261638E-3</v>
      </c>
      <c r="Y69" s="24">
        <f ca="1">(Price!IW133 - Price!IR133) / Price!IR133</f>
        <v>-2.4132730015082978E-2</v>
      </c>
      <c r="Z69" s="24">
        <f ca="1">(Price!IW133 - Price!IB133) / Price!IB133</f>
        <v>2.2924901185770685E-2</v>
      </c>
      <c r="AA69" s="24">
        <f ca="1">(Price!IW133 - Price!GL133) / Price!GL133</f>
        <v>-3.8632986627043189E-2</v>
      </c>
      <c r="AB69" s="24">
        <f ca="1">(Price!IW133 - Price!DZ133) / Price!DZ133</f>
        <v>1.2915851272015588E-2</v>
      </c>
      <c r="AC69" s="31">
        <f ca="1">(Price!IW133 - Price!D133) / Price!D133</f>
        <v>2.9025844930417512E-2</v>
      </c>
    </row>
    <row r="70" spans="1:29" x14ac:dyDescent="0.2">
      <c r="A70" s="10" t="s">
        <v>108</v>
      </c>
      <c r="B70" s="1" t="str">
        <f ca="1">Data!C60</f>
        <v>Invesco Biotech &amp; Genome</v>
      </c>
      <c r="C70" s="1" vm="98">
        <f ca="1">Data!Y60</f>
        <v>82.705200000000005</v>
      </c>
      <c r="D70" s="1"/>
      <c r="E70" s="26">
        <f ca="1">PERCENTRANK(Data!AA60:'Data'!AV60,Data!AV60)</f>
        <v>0.76100000000000001</v>
      </c>
      <c r="F70" s="1">
        <v>82</v>
      </c>
      <c r="G70" s="1">
        <v>85</v>
      </c>
      <c r="H70" s="1">
        <v>83</v>
      </c>
      <c r="I70" s="24">
        <f ca="1">(Price!IW60 - Price!IV60) / Price!IV60</f>
        <v>3.4637536841789204E-2</v>
      </c>
      <c r="J70" s="24">
        <f ca="1">(Price!IW60 - Price!IR60) / Price!IR60</f>
        <v>2.6553417761112405E-2</v>
      </c>
      <c r="K70" s="30">
        <f ca="1">(Price!IW60 - Price!IB60) / Price!IB60</f>
        <v>6.1684210526315772E-2</v>
      </c>
      <c r="L70" s="24">
        <f ca="1">(Price!IW60 - Price!GL60) / Price!GL60</f>
        <v>0.17532735143062597</v>
      </c>
      <c r="M70" s="24">
        <f ca="1">(Price!IW60 - Price!DZ60) / Price!DZ60</f>
        <v>0.29876256281407043</v>
      </c>
      <c r="N70" s="31">
        <f ca="1">(Price!IW60 - Price!D60) / Price!D60</f>
        <v>0.20193576515041423</v>
      </c>
      <c r="O70" s="45"/>
      <c r="P70" s="10" t="s">
        <v>259</v>
      </c>
      <c r="Q70" s="1" t="str">
        <f ca="1">Data!C134</f>
        <v>iShares:MSCI Malaysia</v>
      </c>
      <c r="R70" s="1" vm="99">
        <f ca="1">Data!Y134</f>
        <v>27.2</v>
      </c>
      <c r="S70" s="1"/>
      <c r="T70" s="25">
        <f ca="1">PERCENTRANK(Data!AA134:'Data'!AV134,Data!AV134)</f>
        <v>1</v>
      </c>
      <c r="U70" s="1">
        <v>75</v>
      </c>
      <c r="V70" s="1">
        <v>76</v>
      </c>
      <c r="W70" s="1">
        <v>73</v>
      </c>
      <c r="X70" s="30">
        <f ca="1">(Price!IW134 - Price!IV134) / Price!IV134</f>
        <v>1.1904761904761916E-2</v>
      </c>
      <c r="Y70" s="24">
        <f ca="1">(Price!IW134 - Price!IR134) / Price!IR134</f>
        <v>8.1541882876204168E-3</v>
      </c>
      <c r="Z70" s="24">
        <f ca="1">(Price!IW134 - Price!IB134) / Price!IB134</f>
        <v>3.3042157235093086E-2</v>
      </c>
      <c r="AA70" s="24">
        <f ca="1">(Price!IW134 - Price!GL134) / Price!GL134</f>
        <v>5.4672353625436224E-2</v>
      </c>
      <c r="AB70" s="24">
        <f ca="1">(Price!IW134 - Price!DZ134) / Price!DZ134</f>
        <v>0.16189662537377186</v>
      </c>
      <c r="AC70" s="31">
        <f ca="1">(Price!IW134 - Price!D134) / Price!D134</f>
        <v>9.8989898989898961E-2</v>
      </c>
    </row>
    <row r="71" spans="1:29" x14ac:dyDescent="0.2">
      <c r="A71" s="10" t="s">
        <v>109</v>
      </c>
      <c r="B71" s="1" t="str">
        <f ca="1">Data!C61</f>
        <v>iShares:Gen Immu &amp; HC</v>
      </c>
      <c r="C71" s="1" vm="100">
        <f ca="1">Data!Y61</f>
        <v>26.46</v>
      </c>
      <c r="D71" s="1"/>
      <c r="E71" s="26">
        <f ca="1">PERCENTRANK(Data!AA61:'Data'!AV61,Data!AV61)</f>
        <v>0.38</v>
      </c>
      <c r="F71" s="1">
        <v>67</v>
      </c>
      <c r="G71" s="1">
        <v>83</v>
      </c>
      <c r="H71" s="1">
        <v>81</v>
      </c>
      <c r="I71" s="24">
        <f ca="1">(Price!IW61 - Price!IV61) / Price!IV61</f>
        <v>2.4786986831913268E-2</v>
      </c>
      <c r="J71" s="24">
        <f ca="1">(Price!IW61 - Price!IR61) / Price!IR61</f>
        <v>1.893222264293855E-3</v>
      </c>
      <c r="K71" s="30">
        <f ca="1">(Price!IW61 - Price!IB61) / Price!IB61</f>
        <v>2.00462606013878E-2</v>
      </c>
      <c r="L71" s="24">
        <f ca="1">(Price!IW61 - Price!GL61) / Price!GL61</f>
        <v>0.14396887159533084</v>
      </c>
      <c r="M71" s="24">
        <f ca="1">(Price!IW61 - Price!DZ61) / Price!DZ61</f>
        <v>0.29496402877697847</v>
      </c>
      <c r="N71" s="31">
        <f ca="1">(Price!IW61 - Price!D61) / Price!D61</f>
        <v>0.12883959044368598</v>
      </c>
      <c r="O71" s="45"/>
      <c r="P71" s="10" t="s">
        <v>260</v>
      </c>
      <c r="Q71" s="1" t="str">
        <f ca="1">Data!C135</f>
        <v>iShares:MSCI Singapore</v>
      </c>
      <c r="R71" s="1" vm="101">
        <f ca="1">Data!Y135</f>
        <v>26.93</v>
      </c>
      <c r="S71" s="1"/>
      <c r="T71" s="25">
        <f ca="1">PERCENTRANK(Data!AA135:'Data'!AV135,Data!AV135)</f>
        <v>0</v>
      </c>
      <c r="U71" s="1">
        <v>22</v>
      </c>
      <c r="V71" s="1">
        <v>27</v>
      </c>
      <c r="W71" s="1">
        <v>59</v>
      </c>
      <c r="X71" s="30">
        <f ca="1">(Price!IW135 - Price!IV135) / Price!IV135</f>
        <v>2.2329735764792971E-3</v>
      </c>
      <c r="Y71" s="24">
        <f ca="1">(Price!IW135 - Price!IR135) / Price!IR135</f>
        <v>-2.9199711607786547E-2</v>
      </c>
      <c r="Z71" s="24">
        <f ca="1">(Price!IW135 - Price!IB135) / Price!IB135</f>
        <v>-4.5712260807937603E-2</v>
      </c>
      <c r="AA71" s="24">
        <f ca="1">(Price!IW135 - Price!GL135) / Price!GL135</f>
        <v>-6.9132388524023508E-2</v>
      </c>
      <c r="AB71" s="24">
        <f ca="1">(Price!IW135 - Price!DZ135) / Price!DZ135</f>
        <v>7.2908366533864469E-2</v>
      </c>
      <c r="AC71" s="31">
        <f ca="1">(Price!IW135 - Price!D135) / Price!D135</f>
        <v>0.17444395987788924</v>
      </c>
    </row>
    <row r="72" spans="1:29" x14ac:dyDescent="0.2">
      <c r="A72" s="10" t="s">
        <v>111</v>
      </c>
      <c r="B72" s="1" t="str">
        <f ca="1">Data!C62</f>
        <v>iShares:US Med Dev ETF</v>
      </c>
      <c r="C72" s="1" vm="102">
        <f ca="1">Data!Y62</f>
        <v>62.63</v>
      </c>
      <c r="D72" s="1"/>
      <c r="E72" s="26">
        <f ca="1">PERCENTRANK(Data!AA62:'Data'!AV62,Data!AV62)</f>
        <v>0.28499999999999998</v>
      </c>
      <c r="F72" s="1">
        <v>67</v>
      </c>
      <c r="G72" s="1">
        <v>53</v>
      </c>
      <c r="H72" s="1">
        <v>53</v>
      </c>
      <c r="I72" s="24">
        <f ca="1">(Price!IW62 - Price!IV62) / Price!IV62</f>
        <v>4.6519088867500663E-3</v>
      </c>
      <c r="J72" s="24">
        <f ca="1">(Price!IW62 - Price!IR62) / Price!IR62</f>
        <v>7.0750924585947072E-3</v>
      </c>
      <c r="K72" s="30">
        <f ca="1">(Price!IW62 - Price!IB62) / Price!IB62</f>
        <v>1.1466408268733864E-2</v>
      </c>
      <c r="L72" s="24">
        <f ca="1">(Price!IW62 - Price!GL62) / Price!GL62</f>
        <v>3.5035531317137741E-2</v>
      </c>
      <c r="M72" s="24">
        <f ca="1">(Price!IW62 - Price!DZ62) / Price!DZ62</f>
        <v>3.8640132669983507E-2</v>
      </c>
      <c r="N72" s="31">
        <f ca="1">(Price!IW62 - Price!D62) / Price!D62</f>
        <v>5.4022214742510954E-2</v>
      </c>
      <c r="O72" s="45"/>
      <c r="P72" s="10" t="s">
        <v>261</v>
      </c>
      <c r="Q72" s="1" t="str">
        <f ca="1">Data!C136</f>
        <v>iShares:MSCI Canada</v>
      </c>
      <c r="R72" s="1" vm="103">
        <f ca="1">Data!Y136</f>
        <v>53.68</v>
      </c>
      <c r="S72" s="1"/>
      <c r="T72" s="25">
        <f ca="1">PERCENTRANK(Data!AA136:'Data'!AV136,Data!AV136)</f>
        <v>0.90400000000000003</v>
      </c>
      <c r="U72" s="1">
        <v>78</v>
      </c>
      <c r="V72" s="1">
        <v>79</v>
      </c>
      <c r="W72" s="1">
        <v>83</v>
      </c>
      <c r="X72" s="30">
        <f ca="1">(Price!IW136 - Price!IV136) / Price!IV136</f>
        <v>8.6433671552048272E-3</v>
      </c>
      <c r="Y72" s="24">
        <f ca="1">(Price!IW136 - Price!IR136) / Price!IR136</f>
        <v>-3.8968268695490972E-3</v>
      </c>
      <c r="Z72" s="24">
        <f ca="1">(Price!IW136 - Price!IB136) / Price!IB136</f>
        <v>6.0450414855788275E-2</v>
      </c>
      <c r="AA72" s="24">
        <f ca="1">(Price!IW136 - Price!GL136) / Price!GL136</f>
        <v>5.5031446540880442E-2</v>
      </c>
      <c r="AB72" s="24">
        <f ca="1">(Price!IW136 - Price!DZ136) / Price!DZ136</f>
        <v>0.19024390243902434</v>
      </c>
      <c r="AC72" s="31">
        <f ca="1">(Price!IW136 - Price!D136) / Price!D136</f>
        <v>0.28421052631578958</v>
      </c>
    </row>
    <row r="73" spans="1:29" x14ac:dyDescent="0.2">
      <c r="A73" s="10" t="s">
        <v>112</v>
      </c>
      <c r="B73" s="1" t="str">
        <f ca="1">Data!C63</f>
        <v>SS SPDR S&amp;P Hlth Care Eq</v>
      </c>
      <c r="C73" s="1" vm="104">
        <f ca="1">Data!Y63</f>
        <v>88.92</v>
      </c>
      <c r="D73" s="1"/>
      <c r="E73" s="26">
        <f ca="1">PERCENTRANK(Data!AA63:'Data'!AV63,Data!AV63)</f>
        <v>0.61899999999999999</v>
      </c>
      <c r="F73" s="1">
        <v>84</v>
      </c>
      <c r="G73" s="1">
        <v>81</v>
      </c>
      <c r="H73" s="1">
        <v>65</v>
      </c>
      <c r="I73" s="24">
        <f ca="1">(Price!IW63 - Price!IV63) / Price!IV63</f>
        <v>1.8590501943553182E-3</v>
      </c>
      <c r="J73" s="24">
        <f ca="1">(Price!IW63 - Price!IR63) / Price!IR63</f>
        <v>-4.9239033124440215E-3</v>
      </c>
      <c r="K73" s="30">
        <f ca="1">(Price!IW63 - Price!IB63) / Price!IB63</f>
        <v>8.6510263929618747E-2</v>
      </c>
      <c r="L73" s="24">
        <f ca="1">(Price!IW63 - Price!GL63) / Price!GL63</f>
        <v>0.10377358490566037</v>
      </c>
      <c r="M73" s="24">
        <f ca="1">(Price!IW63 - Price!DZ63) / Price!DZ63</f>
        <v>0.12060491493383753</v>
      </c>
      <c r="N73" s="31">
        <f ca="1">(Price!IW63 - Price!D63) / Price!D63</f>
        <v>-2.1674551655847717E-2</v>
      </c>
      <c r="O73" s="45"/>
      <c r="P73" s="10" t="s">
        <v>262</v>
      </c>
      <c r="Q73" s="1" t="str">
        <f ca="1">Data!C137</f>
        <v>iShares:MSCI Spain</v>
      </c>
      <c r="R73" s="1" vm="105">
        <f ca="1">Data!Y137</f>
        <v>53.45</v>
      </c>
      <c r="S73" s="1"/>
      <c r="T73" s="25">
        <f ca="1">PERCENTRANK(Data!AA137:'Data'!AV137,Data!AV137)</f>
        <v>0.85699999999999998</v>
      </c>
      <c r="U73" s="13">
        <v>81</v>
      </c>
      <c r="V73" s="13">
        <v>83</v>
      </c>
      <c r="W73" s="13">
        <v>89</v>
      </c>
      <c r="X73" s="30">
        <f ca="1">(Price!IW137 - Price!IV137) / Price!IV137</f>
        <v>4.5104303702311966E-3</v>
      </c>
      <c r="Y73" s="24">
        <f ca="1">(Price!IW137 - Price!IR137) / Price!IR137</f>
        <v>1.6866566716642317E-3</v>
      </c>
      <c r="Z73" s="24">
        <f ca="1">(Price!IW137 - Price!IB137) / Price!IB137</f>
        <v>7.0927669805650295E-2</v>
      </c>
      <c r="AA73" s="24">
        <f ca="1">(Price!IW137 - Price!GL137) / Price!GL137</f>
        <v>0.10365475944662406</v>
      </c>
      <c r="AB73" s="24">
        <f ca="1">(Price!IW137 - Price!DZ137) / Price!DZ137</f>
        <v>0.2520496603420006</v>
      </c>
      <c r="AC73" s="31">
        <f ca="1">(Price!IW137 - Price!D137) / Price!D137</f>
        <v>0.62758830694275269</v>
      </c>
    </row>
    <row r="74" spans="1:29" x14ac:dyDescent="0.2">
      <c r="A74" s="10" t="s">
        <v>114</v>
      </c>
      <c r="B74" s="1" t="str">
        <f ca="1">Data!C64</f>
        <v>SS SPDR S&amp;P Hlth Cr Svc</v>
      </c>
      <c r="C74" s="1" vm="106">
        <f ca="1">Data!Y64</f>
        <v>108.3133</v>
      </c>
      <c r="D74" s="1"/>
      <c r="E74" s="26">
        <f ca="1">PERCENTRANK(Data!AA64:'Data'!AV64,Data!AV64)</f>
        <v>0.52300000000000002</v>
      </c>
      <c r="F74" s="1">
        <v>77</v>
      </c>
      <c r="G74" s="1">
        <v>79</v>
      </c>
      <c r="H74" s="1">
        <v>75</v>
      </c>
      <c r="I74" s="24">
        <f ca="1">(Price!IW64 - Price!IV64) / Price!IV64</f>
        <v>5.4237948927401067E-3</v>
      </c>
      <c r="J74" s="24">
        <f ca="1">(Price!IW64 - Price!IR64) / Price!IR64</f>
        <v>-1.17399635036496E-2</v>
      </c>
      <c r="K74" s="30">
        <f ca="1">(Price!IW64 - Price!IB64) / Price!IB64</f>
        <v>6.4943760569473388E-2</v>
      </c>
      <c r="L74" s="24">
        <f ca="1">(Price!IW64 - Price!GL64) / Price!GL64</f>
        <v>8.1629534946424498E-2</v>
      </c>
      <c r="M74" s="24">
        <f ca="1">(Price!IW64 - Price!DZ64) / Price!DZ64</f>
        <v>0.12241761658031086</v>
      </c>
      <c r="N74" s="31">
        <f ca="1">(Price!IW64 - Price!D64) / Price!D64</f>
        <v>0.148611919706721</v>
      </c>
      <c r="O74" s="45"/>
      <c r="P74" s="10" t="s">
        <v>263</v>
      </c>
      <c r="Q74" s="1" t="str">
        <f ca="1">Data!C138</f>
        <v>iShares:MSCI S Africa</v>
      </c>
      <c r="R74" s="1" vm="107">
        <f ca="1">Data!Y138</f>
        <v>67.599999999999994</v>
      </c>
      <c r="S74" s="1"/>
      <c r="T74" s="25">
        <f ca="1">PERCENTRANK(Data!AA138:'Data'!AV138,Data!AV138)</f>
        <v>0.66600000000000004</v>
      </c>
      <c r="U74" s="13">
        <v>73</v>
      </c>
      <c r="V74" s="13">
        <v>85</v>
      </c>
      <c r="W74" s="13">
        <v>88</v>
      </c>
      <c r="X74" s="30">
        <f ca="1">(Price!IW138 - Price!IV138) / Price!IV138</f>
        <v>1.3331358317284728E-3</v>
      </c>
      <c r="Y74" s="24">
        <f ca="1">(Price!IW138 - Price!IR138) / Price!IR138</f>
        <v>-1.5008013988051889E-2</v>
      </c>
      <c r="Z74" s="24">
        <f ca="1">(Price!IW138 - Price!IB138) / Price!IB138</f>
        <v>1.547243503079467E-2</v>
      </c>
      <c r="AA74" s="24">
        <f ca="1">(Price!IW138 - Price!GL138) / Price!GL138</f>
        <v>8.229266730707642E-2</v>
      </c>
      <c r="AB74" s="24">
        <f ca="1">(Price!IW138 - Price!DZ138) / Price!DZ138</f>
        <v>0.30678523100715249</v>
      </c>
      <c r="AC74" s="31">
        <f ca="1">(Price!IW138 - Price!D138) / Price!D138</f>
        <v>0.38043700224627314</v>
      </c>
    </row>
    <row r="75" spans="1:29" x14ac:dyDescent="0.2">
      <c r="A75" s="10" t="s">
        <v>116</v>
      </c>
      <c r="B75" s="1" t="str">
        <f ca="1">Data!C65</f>
        <v>SS SPDR S&amp;P Pharm</v>
      </c>
      <c r="C75" s="1" vm="108">
        <f ca="1">Data!Y65</f>
        <v>56.21</v>
      </c>
      <c r="D75" s="1"/>
      <c r="E75" s="26">
        <f ca="1">PERCENTRANK(Data!AA65:'Data'!AV65,Data!AV65)</f>
        <v>0.95199999999999996</v>
      </c>
      <c r="F75" s="1">
        <v>88</v>
      </c>
      <c r="G75" s="1">
        <v>89</v>
      </c>
      <c r="H75" s="1">
        <v>86</v>
      </c>
      <c r="I75" s="24">
        <f ca="1">(Price!IW65 - Price!IV65) / Price!IV65</f>
        <v>1.7191458559536788E-2</v>
      </c>
      <c r="J75" s="24">
        <f ca="1">(Price!IW65 - Price!IR65) / Price!IR65</f>
        <v>-7.1111111111109597E-4</v>
      </c>
      <c r="K75" s="30">
        <f ca="1">(Price!IW65 - Price!IB65) / Price!IB65</f>
        <v>7.743914126892848E-2</v>
      </c>
      <c r="L75" s="24">
        <f ca="1">(Price!IW65 - Price!GL65) / Price!GL65</f>
        <v>0.20389805097451283</v>
      </c>
      <c r="M75" s="24">
        <f ca="1">(Price!IW65 - Price!DZ65) / Price!DZ65</f>
        <v>0.38380108321024137</v>
      </c>
      <c r="N75" s="31">
        <f ca="1">(Price!IW65 - Price!D65) / Price!D65</f>
        <v>0.26770410464591782</v>
      </c>
      <c r="O75" s="45"/>
      <c r="P75" s="10" t="s">
        <v>264</v>
      </c>
      <c r="Q75" s="1" t="str">
        <f ca="1">Data!C139</f>
        <v>iShares:MSCI Switzerland</v>
      </c>
      <c r="R75" s="1" vm="109">
        <f ca="1">Data!Y139</f>
        <v>59.57</v>
      </c>
      <c r="S75" s="1"/>
      <c r="T75" s="25">
        <f ca="1">PERCENTRANK(Data!AA139:'Data'!AV139,Data!AV139)</f>
        <v>0.90400000000000003</v>
      </c>
      <c r="U75" s="13">
        <v>80</v>
      </c>
      <c r="V75" s="13">
        <v>77</v>
      </c>
      <c r="W75" s="13">
        <v>78</v>
      </c>
      <c r="X75" s="30">
        <f ca="1">(Price!IW139 - Price!IV139) / Price!IV139</f>
        <v>1.6815200941651491E-3</v>
      </c>
      <c r="Y75" s="24">
        <f ca="1">(Price!IW139 - Price!IR139) / Price!IR139</f>
        <v>2.0558506081891432E-2</v>
      </c>
      <c r="Z75" s="24">
        <f ca="1">(Price!IW139 - Price!IB139) / Price!IB139</f>
        <v>5.6955287437899238E-2</v>
      </c>
      <c r="AA75" s="24">
        <f ca="1">(Price!IW139 - Price!GL139) / Price!GL139</f>
        <v>7.1981284865934858E-2</v>
      </c>
      <c r="AB75" s="24">
        <f ca="1">(Price!IW139 - Price!DZ139) / Price!DZ139</f>
        <v>0.13078967350037965</v>
      </c>
      <c r="AC75" s="31">
        <f ca="1">(Price!IW139 - Price!D139) / Price!D139</f>
        <v>0.26502442132087484</v>
      </c>
    </row>
    <row r="76" spans="1:29" x14ac:dyDescent="0.2">
      <c r="A76" s="10" t="s">
        <v>118</v>
      </c>
      <c r="B76" s="1" t="str">
        <f ca="1">Data!C66</f>
        <v>Fidelity MSCI Hlth Care</v>
      </c>
      <c r="C76" s="1" vm="110">
        <f ca="1">Data!Y66</f>
        <v>74.22</v>
      </c>
      <c r="D76" s="1"/>
      <c r="E76" s="26">
        <f ca="1">PERCENTRANK(Data!AA66:'Data'!AV66,Data!AV66)</f>
        <v>0.38</v>
      </c>
      <c r="F76" s="1">
        <v>79</v>
      </c>
      <c r="G76" s="1">
        <v>81</v>
      </c>
      <c r="H76" s="1">
        <v>75</v>
      </c>
      <c r="I76" s="24">
        <f ca="1">(Price!IW66 - Price!IV66) / Price!IV66</f>
        <v>4.6020573903627965E-3</v>
      </c>
      <c r="J76" s="24">
        <f ca="1">(Price!IW66 - Price!IR66) / Price!IR66</f>
        <v>9.4403236682391329E-4</v>
      </c>
      <c r="K76" s="30">
        <f ca="1">(Price!IW66 - Price!IB66) / Price!IB66</f>
        <v>1.6155531215772078E-2</v>
      </c>
      <c r="L76" s="24">
        <f ca="1">(Price!IW66 - Price!GL66) / Price!GL66</f>
        <v>0.12933657942787585</v>
      </c>
      <c r="M76" s="24">
        <f ca="1">(Price!IW66 - Price!DZ66) / Price!DZ66</f>
        <v>0.18278884462151393</v>
      </c>
      <c r="N76" s="31">
        <f ca="1">(Price!IW66 - Price!D66) / Price!D66</f>
        <v>0.11609022556390976</v>
      </c>
      <c r="O76" s="45"/>
      <c r="P76" s="10" t="s">
        <v>265</v>
      </c>
      <c r="Q76" s="1" t="str">
        <f ca="1">Data!C140</f>
        <v>Invesco DB USD Idx Bl</v>
      </c>
      <c r="R76" s="1" vm="111">
        <f ca="1">Data!Y140</f>
        <v>28.07</v>
      </c>
      <c r="S76" s="1"/>
      <c r="T76" s="25">
        <f ca="1">PERCENTRANK(Data!AA140:'Data'!AV140,Data!AV140)</f>
        <v>0.47599999999999998</v>
      </c>
      <c r="U76" s="13">
        <v>57</v>
      </c>
      <c r="V76" s="13">
        <v>47</v>
      </c>
      <c r="W76" s="13">
        <v>34</v>
      </c>
      <c r="X76" s="30">
        <f ca="1">(Price!IW140 - Price!IV140) / Price!IV140</f>
        <v>3.2165832737669712E-3</v>
      </c>
      <c r="Y76" s="24">
        <f ca="1">(Price!IW140 - Price!IR140) / Price!IR140</f>
        <v>4.2933810375671202E-3</v>
      </c>
      <c r="Z76" s="24">
        <f ca="1">(Price!IW140 - Price!IB140) / Price!IB140</f>
        <v>-1.1271574498062709E-2</v>
      </c>
      <c r="AA76" s="24">
        <f ca="1">(Price!IW140 - Price!GL140) / Price!GL140</f>
        <v>2.7076472740578193E-2</v>
      </c>
      <c r="AB76" s="24">
        <f ca="1">(Price!IW140 - Price!DZ140) / Price!DZ140</f>
        <v>2.4452554744525613E-2</v>
      </c>
      <c r="AC76" s="31">
        <f ca="1">(Price!IW140 - Price!D140) / Price!D140</f>
        <v>-7.083747103608079E-2</v>
      </c>
    </row>
    <row r="77" spans="1:29" x14ac:dyDescent="0.2">
      <c r="A77" s="14" t="s">
        <v>119</v>
      </c>
      <c r="B77" s="1" t="str">
        <f ca="1">Data!C67</f>
        <v>Simplify:Health Care</v>
      </c>
      <c r="C77" s="1" vm="112">
        <f ca="1">Data!Y67</f>
        <v>36.840000000000003</v>
      </c>
      <c r="D77" s="1"/>
      <c r="E77" s="26">
        <f ca="1">PERCENTRANK(Data!AA67:'Data'!AV67,Data!AV67)</f>
        <v>0.47599999999999998</v>
      </c>
      <c r="F77" s="1">
        <v>83</v>
      </c>
      <c r="G77" s="1">
        <v>86</v>
      </c>
      <c r="H77" s="1">
        <v>84</v>
      </c>
      <c r="I77" s="24">
        <f ca="1">(Price!IW67 - Price!IV67) / Price!IV67</f>
        <v>9.3150684931507782E-3</v>
      </c>
      <c r="J77" s="24">
        <f ca="1">(Price!IW67 - Price!IR67) / Price!IR67</f>
        <v>-7.0080862533692181E-3</v>
      </c>
      <c r="K77" s="30">
        <f ca="1">(Price!IW67 - Price!IB67) / Price!IB67</f>
        <v>7.1077091306726388E-3</v>
      </c>
      <c r="L77" s="24">
        <f ca="1">(Price!IW67 - Price!GL67) / Price!GL67</f>
        <v>0.16952380952380963</v>
      </c>
      <c r="M77" s="24">
        <f ca="1">(Price!IW67 - Price!DZ67) / Price!DZ67</f>
        <v>0.26078028747433279</v>
      </c>
      <c r="N77" s="31">
        <f ca="1">(Price!IW67 - Price!D67) / Price!D67</f>
        <v>0.21104536489151879</v>
      </c>
      <c r="O77" s="45"/>
      <c r="P77" s="10" t="s">
        <v>266</v>
      </c>
      <c r="Q77" s="1" t="str">
        <f ca="1">Data!C141</f>
        <v>Invesco:Euro</v>
      </c>
      <c r="R77" s="1" vm="113">
        <f ca="1">Data!Y141</f>
        <v>108.05</v>
      </c>
      <c r="S77" s="1"/>
      <c r="T77" s="25">
        <f ca="1">PERCENTRANK(Data!AA141:'Data'!AV141,Data!AV141)</f>
        <v>0.57099999999999995</v>
      </c>
      <c r="U77" s="13">
        <v>58</v>
      </c>
      <c r="V77" s="13">
        <v>47</v>
      </c>
      <c r="W77" s="13">
        <v>53</v>
      </c>
      <c r="X77" s="30">
        <f ca="1">(Price!IW141 - Price!IV141) / Price!IV141</f>
        <v>-9.2464170134080924E-4</v>
      </c>
      <c r="Y77" s="24">
        <f ca="1">(Price!IW141 - Price!IR141) / Price!IR141</f>
        <v>-2.3084025854108957E-3</v>
      </c>
      <c r="Z77" s="24">
        <f ca="1">(Price!IW141 - Price!IB141) / Price!IB141</f>
        <v>1.5937191481359532E-2</v>
      </c>
      <c r="AA77" s="24">
        <f ca="1">(Price!IW141 - Price!GL141) / Price!GL141</f>
        <v>-7.7142069978878083E-3</v>
      </c>
      <c r="AB77" s="24">
        <f ca="1">(Price!IW141 - Price!DZ141) / Price!DZ141</f>
        <v>1.6462841015992474E-2</v>
      </c>
      <c r="AC77" s="31">
        <f ca="1">(Price!IW141 - Price!D141) / Price!D141</f>
        <v>0.11391752577319585</v>
      </c>
    </row>
    <row r="78" spans="1:29" x14ac:dyDescent="0.2">
      <c r="A78" s="14" t="s">
        <v>121</v>
      </c>
      <c r="B78" s="1" t="str">
        <f ca="1">Data!C68</f>
        <v>SS SPDR S&amp;P Bank ETF</v>
      </c>
      <c r="C78" s="1" vm="114">
        <f ca="1">Data!Y68</f>
        <v>62.62</v>
      </c>
      <c r="D78" s="1"/>
      <c r="E78" s="26">
        <f ca="1">PERCENTRANK(Data!AA68:'Data'!AV68,Data!AV68)</f>
        <v>0.85699999999999998</v>
      </c>
      <c r="F78" s="1">
        <v>84</v>
      </c>
      <c r="G78" s="1">
        <v>77</v>
      </c>
      <c r="H78" s="1">
        <v>70</v>
      </c>
      <c r="I78" s="24">
        <f ca="1">(Price!IW68 - Price!IV68) / Price!IV68</f>
        <v>-2.2307202039515707E-3</v>
      </c>
      <c r="J78" s="24">
        <f ca="1">(Price!IW68 - Price!IR68) / Price!IR68</f>
        <v>2.2407170294494331E-3</v>
      </c>
      <c r="K78" s="30">
        <f ca="1">(Price!IW68 - Price!IB68) / Price!IB68</f>
        <v>0.11443317316248443</v>
      </c>
      <c r="L78" s="24">
        <f ca="1">(Price!IW68 - Price!GL68) / Price!GL68</f>
        <v>3.7957898226421337E-2</v>
      </c>
      <c r="M78" s="24">
        <f ca="1">(Price!IW68 - Price!DZ68) / Price!DZ68</f>
        <v>0.1724396180490545</v>
      </c>
      <c r="N78" s="31">
        <f ca="1">(Price!IW68 - Price!D68) / Price!D68</f>
        <v>5.4208754208754192E-2</v>
      </c>
      <c r="O78" s="45"/>
      <c r="P78" s="10" t="s">
        <v>267</v>
      </c>
      <c r="Q78" s="1" t="str">
        <f ca="1">Data!C142</f>
        <v>Invesco:Japanese Yen</v>
      </c>
      <c r="R78" s="1" vm="115">
        <f ca="1">Data!Y142</f>
        <v>58.3</v>
      </c>
      <c r="S78" s="1"/>
      <c r="T78" s="25">
        <f ca="1">PERCENTRANK(Data!AA142:'Data'!AV142,Data!AV142)</f>
        <v>0</v>
      </c>
      <c r="U78" s="13">
        <v>32</v>
      </c>
      <c r="V78" s="13">
        <v>25</v>
      </c>
      <c r="W78" s="13">
        <v>28</v>
      </c>
      <c r="X78" s="30">
        <f ca="1">(Price!IW142 - Price!IV142) / Price!IV142</f>
        <v>-1.3536379018612594E-2</v>
      </c>
      <c r="Y78" s="24">
        <f ca="1">(Price!IW142 - Price!IR142) / Price!IR142</f>
        <v>-1.1529331976941332E-2</v>
      </c>
      <c r="Z78" s="24">
        <f ca="1">(Price!IW142 - Price!IB142) / Price!IB142</f>
        <v>-5.289199795256821E-3</v>
      </c>
      <c r="AA78" s="24">
        <f ca="1">(Price!IW142 - Price!GL142) / Price!GL142</f>
        <v>-6.405522555787449E-2</v>
      </c>
      <c r="AB78" s="24">
        <f ca="1">(Price!IW142 - Price!DZ142) / Price!DZ142</f>
        <v>-7.4896858140273026E-2</v>
      </c>
      <c r="AC78" s="31">
        <f ca="1">(Price!IW142 - Price!D142) / Price!D142</f>
        <v>-2.6548672566371737E-2</v>
      </c>
    </row>
    <row r="79" spans="1:29" x14ac:dyDescent="0.2">
      <c r="A79" s="14" t="s">
        <v>122</v>
      </c>
      <c r="B79" s="1" t="str">
        <f ca="1">Data!C69</f>
        <v>SS SPDR S&amp;P Reg Banking</v>
      </c>
      <c r="C79" s="1" vm="116">
        <f ca="1">Data!Y69</f>
        <v>67.239999999999995</v>
      </c>
      <c r="D79" s="1"/>
      <c r="E79" s="26">
        <f ca="1">PERCENTRANK(Data!AA69:'Data'!AV69,Data!AV69)</f>
        <v>0.85699999999999998</v>
      </c>
      <c r="F79" s="1">
        <v>86</v>
      </c>
      <c r="G79" s="1">
        <v>79</v>
      </c>
      <c r="H79" s="1">
        <v>73</v>
      </c>
      <c r="I79" s="24">
        <f ca="1">(Price!IW69 - Price!IV69) / Price!IV69</f>
        <v>-3.5566093657381308E-3</v>
      </c>
      <c r="J79" s="24">
        <f ca="1">(Price!IW69 - Price!IR69) / Price!IR69</f>
        <v>2.3852116875372181E-3</v>
      </c>
      <c r="K79" s="30">
        <f ca="1">(Price!IW69 - Price!IB69) / Price!IB69</f>
        <v>0.12460277638401064</v>
      </c>
      <c r="L79" s="24">
        <f ca="1">(Price!IW69 - Price!GL69) / Price!GL69</f>
        <v>4.833177424384151E-2</v>
      </c>
      <c r="M79" s="24">
        <f ca="1">(Price!IW69 - Price!DZ69) / Price!DZ69</f>
        <v>0.18047752808988754</v>
      </c>
      <c r="N79" s="31">
        <f ca="1">(Price!IW69 - Price!D69) / Price!D69</f>
        <v>3.3031187586418674E-2</v>
      </c>
      <c r="O79" s="45"/>
      <c r="P79" s="10" t="s">
        <v>268</v>
      </c>
      <c r="Q79" s="1" t="str">
        <f ca="1">Data!C143</f>
        <v>Invesco:GBP Sterling</v>
      </c>
      <c r="R79" s="1" vm="117">
        <f ca="1">Data!Y143</f>
        <v>128.63570000000001</v>
      </c>
      <c r="S79" s="1"/>
      <c r="T79" s="25">
        <f ca="1">PERCENTRANK(Data!AA143:'Data'!AV143,Data!AV143)</f>
        <v>0.71399999999999997</v>
      </c>
      <c r="U79" s="13">
        <v>57</v>
      </c>
      <c r="V79" s="13">
        <v>40</v>
      </c>
      <c r="W79" s="13">
        <v>48</v>
      </c>
      <c r="X79" s="30">
        <f ca="1">(Price!IW143 - Price!IV143) / Price!IV143</f>
        <v>-7.3254097723899345E-4</v>
      </c>
      <c r="Y79" s="24">
        <f ca="1">(Price!IW143 - Price!IR143) / Price!IR143</f>
        <v>9.781339973544724E-4</v>
      </c>
      <c r="Z79" s="24">
        <f ca="1">(Price!IW143 - Price!IB143) / Price!IB143</f>
        <v>2.523073244600315E-2</v>
      </c>
      <c r="AA79" s="24">
        <f ca="1">(Price!IW143 - Price!GL143) / Price!GL143</f>
        <v>-1.070617206474307E-2</v>
      </c>
      <c r="AB79" s="24">
        <f ca="1">(Price!IW143 - Price!DZ143) / Price!DZ143</f>
        <v>-5.2146005722681008E-3</v>
      </c>
      <c r="AC79" s="31">
        <f ca="1">(Price!IW143 - Price!D143) / Price!D143</f>
        <v>5.4384933856937046E-2</v>
      </c>
    </row>
    <row r="80" spans="1:29" x14ac:dyDescent="0.2">
      <c r="A80" s="14" t="s">
        <v>123</v>
      </c>
      <c r="B80" s="1" t="str">
        <f ca="1">Data!C70</f>
        <v>iShares:US Rgnl Bnks</v>
      </c>
      <c r="C80" s="1" vm="118">
        <f ca="1">Data!Y70</f>
        <v>56.01</v>
      </c>
      <c r="D80" s="1"/>
      <c r="E80" s="26">
        <f ca="1">PERCENTRANK(Data!AA70:'Data'!AV70,Data!AV70)</f>
        <v>0.80900000000000005</v>
      </c>
      <c r="F80" s="1">
        <v>86</v>
      </c>
      <c r="G80" s="1">
        <v>79</v>
      </c>
      <c r="H80" s="1">
        <v>75</v>
      </c>
      <c r="I80" s="24">
        <f ca="1">(Price!IW70 - Price!IV70) / Price!IV70</f>
        <v>3.4037979218917544E-3</v>
      </c>
      <c r="J80" s="24">
        <f ca="1">(Price!IW70 - Price!IR70) / Price!IR70</f>
        <v>-3.9125022230126066E-3</v>
      </c>
      <c r="K80" s="30">
        <f ca="1">(Price!IW70 - Price!IB70) / Price!IB70</f>
        <v>0.12991728868267091</v>
      </c>
      <c r="L80" s="24">
        <f ca="1">(Price!IW70 - Price!GL70) / Price!GL70</f>
        <v>5.9992429977289825E-2</v>
      </c>
      <c r="M80" s="24">
        <f ca="1">(Price!IW70 - Price!DZ70) / Price!DZ70</f>
        <v>0.19246327443048752</v>
      </c>
      <c r="N80" s="31">
        <f ca="1">(Price!IW70 - Price!D70) / Price!D70</f>
        <v>4.7111609646662854E-2</v>
      </c>
      <c r="O80" s="45"/>
      <c r="P80" s="10" t="s">
        <v>269</v>
      </c>
      <c r="Q80" s="1" t="str">
        <f ca="1">Data!C144</f>
        <v>Invesco:AU Dollar</v>
      </c>
      <c r="R80" s="1" vm="119">
        <f ca="1">Data!Y144</f>
        <v>65.478399999999993</v>
      </c>
      <c r="S80" s="1"/>
      <c r="T80" s="25">
        <f ca="1">PERCENTRANK(Data!AA144:'Data'!AV144,Data!AV144)</f>
        <v>0.52300000000000002</v>
      </c>
      <c r="U80" s="13">
        <v>61</v>
      </c>
      <c r="V80" s="13">
        <v>49</v>
      </c>
      <c r="W80" s="13">
        <v>51</v>
      </c>
      <c r="X80" s="30">
        <f ca="1">(Price!IW144 - Price!IV144) / Price!IV144</f>
        <v>-6.1085116000709935E-5</v>
      </c>
      <c r="Y80" s="24">
        <f ca="1">(Price!IW144 - Price!IR144) / Price!IR144</f>
        <v>-5.8846749461027867E-3</v>
      </c>
      <c r="Z80" s="24">
        <f ca="1">(Price!IW144 - Price!IB144) / Price!IB144</f>
        <v>2.203006227855215E-2</v>
      </c>
      <c r="AA80" s="24">
        <f ca="1">(Price!IW144 - Price!GL144) / Price!GL144</f>
        <v>1.5326209653980492E-3</v>
      </c>
      <c r="AB80" s="24">
        <f ca="1">(Price!IW144 - Price!DZ144) / Price!DZ144</f>
        <v>2.4540760444374855E-2</v>
      </c>
      <c r="AC80" s="31">
        <f ca="1">(Price!IW144 - Price!D144) / Price!D144</f>
        <v>3.8024851061671007E-2</v>
      </c>
    </row>
    <row r="81" spans="1:29" x14ac:dyDescent="0.2">
      <c r="A81" s="14" t="s">
        <v>127</v>
      </c>
      <c r="B81" s="1" t="str">
        <f ca="1">Data!C71</f>
        <v>SS SPDR S&amp;P Insurance</v>
      </c>
      <c r="C81" s="1" vm="120">
        <f ca="1">Data!Y71</f>
        <v>60.94</v>
      </c>
      <c r="D81" s="1"/>
      <c r="E81" s="26">
        <f ca="1">PERCENTRANK(Data!AA71:'Data'!AV71,Data!AV71)</f>
        <v>0.90400000000000003</v>
      </c>
      <c r="F81" s="1">
        <v>80</v>
      </c>
      <c r="G81" s="1">
        <v>68</v>
      </c>
      <c r="H81" s="1">
        <v>56</v>
      </c>
      <c r="I81" s="24">
        <f ca="1">(Price!IW71 - Price!IV71) / Price!IV71</f>
        <v>-1.1473528929683706E-3</v>
      </c>
      <c r="J81" s="24">
        <f ca="1">(Price!IW71 - Price!IR71) / Price!IR71</f>
        <v>6.7735007434329524E-3</v>
      </c>
      <c r="K81" s="30">
        <f ca="1">(Price!IW71 - Price!IB71) / Price!IB71</f>
        <v>4.725897920604915E-2</v>
      </c>
      <c r="L81" s="24">
        <f ca="1">(Price!IW71 - Price!GL71) / Price!GL71</f>
        <v>3.639455782312926E-2</v>
      </c>
      <c r="M81" s="24">
        <f ca="1">(Price!IW71 - Price!DZ71) / Price!DZ71</f>
        <v>3.4810663949736746E-2</v>
      </c>
      <c r="N81" s="31">
        <f ca="1">(Price!IW71 - Price!D71) / Price!D71</f>
        <v>4.49245541838134E-2</v>
      </c>
      <c r="O81" s="45"/>
      <c r="P81" s="10" t="s">
        <v>270</v>
      </c>
      <c r="Q81" s="1" t="str">
        <f ca="1">Data!C145</f>
        <v>Invesco:Swiss Franc</v>
      </c>
      <c r="R81" s="1" vm="121">
        <f ca="1">Data!Y145</f>
        <v>111.16500000000001</v>
      </c>
      <c r="S81" s="1"/>
      <c r="T81" s="25">
        <f ca="1">PERCENTRANK(Data!AA145:'Data'!AV145,Data!AV145)</f>
        <v>0.66600000000000004</v>
      </c>
      <c r="U81" s="13">
        <v>58</v>
      </c>
      <c r="V81" s="13">
        <v>48</v>
      </c>
      <c r="W81" s="13">
        <v>56</v>
      </c>
      <c r="X81" s="30">
        <f ca="1">(Price!IW145 - Price!IV145) / Price!IV145</f>
        <v>-1.661427929950499E-3</v>
      </c>
      <c r="Y81" s="24">
        <f ca="1">(Price!IW145 - Price!IR145) / Price!IR145</f>
        <v>9.4543490005406068E-4</v>
      </c>
      <c r="Z81" s="24">
        <f ca="1">(Price!IW145 - Price!IB145) / Price!IB145</f>
        <v>1.2431693989071121E-2</v>
      </c>
      <c r="AA81" s="24">
        <f ca="1">(Price!IW145 - Price!GL145) / Price!GL145</f>
        <v>-5.6797853309480404E-3</v>
      </c>
      <c r="AB81" s="24">
        <f ca="1">(Price!IW145 - Price!DZ145) / Price!DZ145</f>
        <v>2.5601992803764236E-2</v>
      </c>
      <c r="AC81" s="31">
        <f ca="1">(Price!IW145 - Price!D145) / Price!D145</f>
        <v>0.11858522841618044</v>
      </c>
    </row>
    <row r="82" spans="1:29" x14ac:dyDescent="0.2">
      <c r="A82" s="14" t="s">
        <v>124</v>
      </c>
      <c r="B82" s="1" t="str">
        <f ca="1">Data!C72</f>
        <v>iShares:US BD &amp; SE ETF</v>
      </c>
      <c r="C82" s="1" vm="122">
        <f ca="1">Data!Y72</f>
        <v>180.12</v>
      </c>
      <c r="D82" s="1"/>
      <c r="E82" s="26">
        <f ca="1">PERCENTRANK(Data!AA72:'Data'!AV72,Data!AV72)</f>
        <v>0.90400000000000003</v>
      </c>
      <c r="F82" s="1">
        <v>65</v>
      </c>
      <c r="G82" s="1">
        <v>55</v>
      </c>
      <c r="H82" s="1">
        <v>76</v>
      </c>
      <c r="I82" s="24">
        <f ca="1">(Price!IW72 - Price!IV72) / Price!IV72</f>
        <v>1.5676102402165337E-2</v>
      </c>
      <c r="J82" s="24">
        <f ca="1">(Price!IW72 - Price!IR72) / Price!IR72</f>
        <v>-2.0499750678708213E-3</v>
      </c>
      <c r="K82" s="30">
        <f ca="1">(Price!IW72 - Price!IB72) / Price!IB72</f>
        <v>5.9280169371912571E-2</v>
      </c>
      <c r="L82" s="24">
        <f ca="1">(Price!IW72 - Price!GL72) / Price!GL72</f>
        <v>1.8087271082975455E-2</v>
      </c>
      <c r="M82" s="24">
        <f ca="1">(Price!IW72 - Price!DZ72) / Price!DZ72</f>
        <v>0.13439979846328254</v>
      </c>
      <c r="N82" s="31">
        <f ca="1">(Price!IW72 - Price!D72) / Price!D72</f>
        <v>0.19880199667221302</v>
      </c>
      <c r="O82" s="45"/>
      <c r="P82" s="10" t="s">
        <v>271</v>
      </c>
      <c r="Q82" s="1" t="str">
        <f ca="1">Data!C146</f>
        <v>Invesco:Canadian Dollar</v>
      </c>
      <c r="R82" s="1" vm="123">
        <f ca="1">Data!Y146</f>
        <v>70.8125</v>
      </c>
      <c r="S82" s="1"/>
      <c r="T82" s="25">
        <f ca="1">PERCENTRANK(Data!AA146:'Data'!AV146,Data!AV146)</f>
        <v>0.61899999999999999</v>
      </c>
      <c r="U82" s="13">
        <v>67</v>
      </c>
      <c r="V82" s="13">
        <v>45</v>
      </c>
      <c r="W82" s="13">
        <v>48</v>
      </c>
      <c r="X82" s="30">
        <f ca="1">(Price!IW146 - Price!IV146) / Price!IV146</f>
        <v>-1.6143358664543362E-3</v>
      </c>
      <c r="Y82" s="24">
        <f ca="1">(Price!IW146 - Price!IR146) / Price!IR146</f>
        <v>-2.2192475693955031E-3</v>
      </c>
      <c r="Z82" s="24">
        <f ca="1">(Price!IW146 - Price!IB146) / Price!IB146</f>
        <v>1.9178180771444963E-2</v>
      </c>
      <c r="AA82" s="24">
        <f ca="1">(Price!IW146 - Price!GL146) / Price!GL146</f>
        <v>7.4194460146968452E-4</v>
      </c>
      <c r="AB82" s="24">
        <f ca="1">(Price!IW146 - Price!DZ146) / Price!DZ146</f>
        <v>-4.1836591196737372E-3</v>
      </c>
      <c r="AC82" s="31">
        <f ca="1">(Price!IW146 - Price!D146) / Price!D146</f>
        <v>3.1800961678566296E-2</v>
      </c>
    </row>
    <row r="83" spans="1:29" x14ac:dyDescent="0.2">
      <c r="A83" s="14" t="s">
        <v>128</v>
      </c>
      <c r="B83" s="1" t="str">
        <f ca="1">Data!C73</f>
        <v>SS SPDR S&amp;P Cap Mkts</v>
      </c>
      <c r="C83" s="1" vm="124">
        <f ca="1">Data!Y73</f>
        <v>150.92500000000001</v>
      </c>
      <c r="D83" s="1"/>
      <c r="E83" s="26">
        <f ca="1">PERCENTRANK(Data!AA73:'Data'!AV73,Data!AV73)</f>
        <v>0.71399999999999997</v>
      </c>
      <c r="F83" s="1">
        <v>58</v>
      </c>
      <c r="G83" s="1">
        <v>36</v>
      </c>
      <c r="H83" s="1">
        <v>56</v>
      </c>
      <c r="I83" s="24">
        <f ca="1">(Price!IW73 - Price!IV73) / Price!IV73</f>
        <v>8.082022509434645E-3</v>
      </c>
      <c r="J83" s="24">
        <f ca="1">(Price!IW73 - Price!IR73) / Price!IR73</f>
        <v>-7.2029996053150818E-3</v>
      </c>
      <c r="K83" s="30">
        <f ca="1">(Price!IW73 - Price!IB73) / Price!IB73</f>
        <v>7.2901116087296686E-2</v>
      </c>
      <c r="L83" s="24">
        <f ca="1">(Price!IW73 - Price!GL73) / Price!GL73</f>
        <v>-3.2408001025772397E-2</v>
      </c>
      <c r="M83" s="24">
        <f ca="1">(Price!IW73 - Price!DZ73) / Price!DZ73</f>
        <v>9.8495187146314375E-2</v>
      </c>
      <c r="N83" s="31">
        <f ca="1">(Price!IW73 - Price!D73) / Price!D73</f>
        <v>4.1221110727837344E-2</v>
      </c>
      <c r="O83" s="45"/>
      <c r="P83" s="10" t="s">
        <v>272</v>
      </c>
      <c r="Q83" s="1" t="str">
        <f ca="1">Data!C147</f>
        <v>iShares Bitcoin Trust</v>
      </c>
      <c r="R83" s="1" vm="125">
        <f ca="1">Data!Y147</f>
        <v>49.91</v>
      </c>
      <c r="S83" s="1"/>
      <c r="T83" s="25">
        <f ca="1">PERCENTRANK(Data!AA147:'Data'!AV147,Data!AV147)</f>
        <v>0.28499999999999998</v>
      </c>
      <c r="U83" s="13">
        <v>9</v>
      </c>
      <c r="V83" s="13">
        <v>9</v>
      </c>
      <c r="W83" s="13">
        <v>17</v>
      </c>
      <c r="X83" s="30">
        <f ca="1">(Price!IW147 - Price!IV147) / Price!IV147</f>
        <v>4.0658882402001578E-2</v>
      </c>
      <c r="Y83" s="24">
        <f ca="1">(Price!IW147 - Price!IR147) / Price!IR147</f>
        <v>-2.5195312500000122E-2</v>
      </c>
      <c r="Z83" s="24">
        <f ca="1">(Price!IW147 - Price!IB147) / Price!IB147</f>
        <v>-1.6164005519416526E-2</v>
      </c>
      <c r="AA83" s="24">
        <f ca="1">(Price!IW147 - Price!GL147) / Price!GL147</f>
        <v>-0.2158680282796544</v>
      </c>
      <c r="AB83" s="24">
        <f ca="1">(Price!IW147 - Price!DZ147) / Price!DZ147</f>
        <v>-0.14930969831259597</v>
      </c>
      <c r="AC83" s="31">
        <f ca="1">(Price!IW147 - Price!D147) / Price!D147</f>
        <v>-0.17120557954168056</v>
      </c>
    </row>
    <row r="84" spans="1:29" x14ac:dyDescent="0.2">
      <c r="A84" s="14" t="s">
        <v>125</v>
      </c>
      <c r="B84" s="1" t="str">
        <f ca="1">Data!C74</f>
        <v>iShares:US Fnl Svc</v>
      </c>
      <c r="C84" s="1" vm="126">
        <f ca="1">Data!Y74</f>
        <v>92.13</v>
      </c>
      <c r="D84" s="1"/>
      <c r="E84" s="26">
        <f ca="1">PERCENTRANK(Data!AA74:'Data'!AV74,Data!AV74)</f>
        <v>0.85699999999999998</v>
      </c>
      <c r="F84" s="1">
        <v>76</v>
      </c>
      <c r="G84" s="1">
        <v>67</v>
      </c>
      <c r="H84" s="1">
        <v>70</v>
      </c>
      <c r="I84" s="24">
        <f ca="1">(Price!IW74 - Price!IV74) / Price!IV74</f>
        <v>6.4452698273977406E-3</v>
      </c>
      <c r="J84" s="24">
        <f ca="1">(Price!IW74 - Price!IR74) / Price!IR74</f>
        <v>-3.6768681734617001E-3</v>
      </c>
      <c r="K84" s="30">
        <f ca="1">(Price!IW74 - Price!IB74) / Price!IB74</f>
        <v>6.7060458651841459E-2</v>
      </c>
      <c r="L84" s="24">
        <f ca="1">(Price!IW74 - Price!GL74) / Price!GL74</f>
        <v>1.902444419865058E-2</v>
      </c>
      <c r="M84" s="24">
        <f ca="1">(Price!IW74 - Price!DZ74) / Price!DZ74</f>
        <v>0.12987490802060325</v>
      </c>
      <c r="N84" s="31">
        <f ca="1">(Price!IW74 - Price!D74) / Price!D74</f>
        <v>0.15191297824456101</v>
      </c>
      <c r="O84" s="45"/>
      <c r="P84" s="10" t="s">
        <v>273</v>
      </c>
      <c r="Q84" s="1" t="str">
        <f ca="1">Data!C148</f>
        <v>iShares Ethereum Trust</v>
      </c>
      <c r="R84" s="1" vm="35">
        <f ca="1">Data!Y148</f>
        <v>22.64</v>
      </c>
      <c r="S84" s="1"/>
      <c r="T84" s="25">
        <f ca="1">PERCENTRANK(Data!AA148:'Data'!AV148,Data!AV148)</f>
        <v>0.42799999999999999</v>
      </c>
      <c r="U84" s="13">
        <v>7</v>
      </c>
      <c r="V84" s="13">
        <v>9</v>
      </c>
      <c r="W84" s="13">
        <v>23</v>
      </c>
      <c r="X84" s="30">
        <f ca="1">(Price!IW148 - Price!IV148) / Price!IV148</f>
        <v>7.809523809523812E-2</v>
      </c>
      <c r="Y84" s="24">
        <f ca="1">(Price!IW148 - Price!IR148) / Price!IR148</f>
        <v>-2.7073485174043791E-2</v>
      </c>
      <c r="Z84" s="24">
        <f ca="1">(Price!IW148 - Price!IB148) / Price!IB148</f>
        <v>1.7985611510791463E-2</v>
      </c>
      <c r="AA84" s="24">
        <f ca="1">(Price!IW148 - Price!GL148) / Price!GL148</f>
        <v>-0.27644614892937036</v>
      </c>
      <c r="AB84" s="24">
        <f ca="1">(Price!IW148 - Price!DZ148) / Price!DZ148</f>
        <v>0.23918992884510132</v>
      </c>
      <c r="AC84" s="31">
        <f ca="1">(Price!IW148 - Price!D148) / Price!D148</f>
        <v>-0.26230042359074618</v>
      </c>
    </row>
    <row r="85" spans="1:29" x14ac:dyDescent="0.2">
      <c r="A85" s="14" t="s">
        <v>126</v>
      </c>
      <c r="B85" s="1" t="str">
        <f ca="1">Data!C75</f>
        <v>Vanguard Finl Indx;ETF</v>
      </c>
      <c r="C85" s="1" vm="127">
        <f ca="1">Data!Y75</f>
        <v>133.63999999999999</v>
      </c>
      <c r="D85" s="1"/>
      <c r="E85" s="26">
        <f ca="1">PERCENTRANK(Data!AA75:'Data'!AV75,Data!AV75)</f>
        <v>0.76100000000000001</v>
      </c>
      <c r="F85" s="1">
        <v>74</v>
      </c>
      <c r="G85" s="1">
        <v>59</v>
      </c>
      <c r="H85" s="1">
        <v>62</v>
      </c>
      <c r="I85" s="24">
        <f ca="1">(Price!IW75 - Price!IV75) / Price!IV75</f>
        <v>5.8708414872796376E-3</v>
      </c>
      <c r="J85" s="24">
        <f ca="1">(Price!IW75 - Price!IR75) / Price!IR75</f>
        <v>-5.5807723788972403E-3</v>
      </c>
      <c r="K85" s="30">
        <f ca="1">(Price!IW75 - Price!IB75) / Price!IB75</f>
        <v>6.5115166972184488E-2</v>
      </c>
      <c r="L85" s="24">
        <f ca="1">(Price!IW75 - Price!GL75) / Price!GL75</f>
        <v>7.9951727259011448E-3</v>
      </c>
      <c r="M85" s="24">
        <f ca="1">(Price!IW75 - Price!DZ75) / Price!DZ75</f>
        <v>9.406467458043373E-2</v>
      </c>
      <c r="N85" s="31">
        <f ca="1">(Price!IW75 - Price!D75) / Price!D75</f>
        <v>9.5499631117304626E-2</v>
      </c>
      <c r="O85" s="45"/>
      <c r="P85" s="10" t="s">
        <v>274</v>
      </c>
      <c r="Q85" s="1" t="str">
        <f ca="1">Data!C149</f>
        <v>iShares:20+ Trs Bd ETF</v>
      </c>
      <c r="R85" s="1" vm="128">
        <f ca="1">Data!Y149</f>
        <v>87.55</v>
      </c>
      <c r="S85" s="1"/>
      <c r="T85" s="25">
        <f ca="1">PERCENTRANK(Data!AA149:'Data'!AV149,Data!AV149)</f>
        <v>0.28499999999999998</v>
      </c>
      <c r="U85" s="13">
        <v>34</v>
      </c>
      <c r="V85" s="13">
        <v>36</v>
      </c>
      <c r="W85" s="13">
        <v>34</v>
      </c>
      <c r="X85" s="30">
        <f ca="1">(Price!IW149 - Price!IV149) / Price!IV149</f>
        <v>-7.594649739288163E-3</v>
      </c>
      <c r="Y85" s="24">
        <f ca="1">(Price!IW149 - Price!IR149) / Price!IR149</f>
        <v>2.4043966109456578E-3</v>
      </c>
      <c r="Z85" s="24">
        <f ca="1">(Price!IW149 - Price!IB149) / Price!IB149</f>
        <v>-1.4963996399639946E-2</v>
      </c>
      <c r="AA85" s="24">
        <f ca="1">(Price!IW149 - Price!GL149) / Price!GL149</f>
        <v>-1.2965050732807279E-2</v>
      </c>
      <c r="AB85" s="24">
        <f ca="1">(Price!IW149 - Price!DZ149) / Price!DZ149</f>
        <v>1.2255752110070555E-2</v>
      </c>
      <c r="AC85" s="31">
        <f ca="1">(Price!IW149 - Price!D149) / Price!D149</f>
        <v>-3.1740765317407701E-2</v>
      </c>
    </row>
    <row r="86" spans="1:29" x14ac:dyDescent="0.2">
      <c r="A86" s="14" t="s">
        <v>129</v>
      </c>
      <c r="B86" s="1" t="str">
        <f ca="1">Data!C76</f>
        <v>iShares:US Aer&amp;Def ETF</v>
      </c>
      <c r="C86" s="1" vm="129">
        <f ca="1">Data!Y76</f>
        <v>213.91</v>
      </c>
      <c r="D86" s="1"/>
      <c r="E86" s="26">
        <f ca="1">PERCENTRANK(Data!AA76:'Data'!AV76,Data!AV76)</f>
        <v>1</v>
      </c>
      <c r="F86" s="1">
        <v>61</v>
      </c>
      <c r="G86" s="1">
        <v>67</v>
      </c>
      <c r="H86" s="1">
        <v>84</v>
      </c>
      <c r="I86" s="24">
        <f ca="1">(Price!IW76 - Price!IV76) / Price!IV76</f>
        <v>2.7178871548619431E-2</v>
      </c>
      <c r="J86" s="24">
        <f ca="1">(Price!IW76 - Price!IR76) / Price!IR76</f>
        <v>2.1488945131560099E-2</v>
      </c>
      <c r="K86" s="30">
        <f ca="1">(Price!IW76 - Price!IB76) / Price!IB76</f>
        <v>5.3069462905528483E-2</v>
      </c>
      <c r="L86" s="24">
        <f ca="1">(Price!IW76 - Price!GL76) / Price!GL76</f>
        <v>4.7089921190464561E-2</v>
      </c>
      <c r="M86" s="24">
        <f ca="1">(Price!IW76 - Price!DZ76) / Price!DZ76</f>
        <v>0.18549102194635336</v>
      </c>
      <c r="N86" s="31">
        <f ca="1">(Price!IW76 - Price!D76) / Price!D76</f>
        <v>0.42968854431225767</v>
      </c>
      <c r="O86" s="45"/>
      <c r="P86" s="10" t="s">
        <v>275</v>
      </c>
      <c r="Q86" s="1" t="str">
        <f ca="1">Data!C150</f>
        <v>Vanguard Tot Bd;ETF</v>
      </c>
      <c r="R86" s="1" vm="130">
        <f ca="1">Data!Y150</f>
        <v>74.040000000000006</v>
      </c>
      <c r="S86" s="1"/>
      <c r="T86" s="25">
        <f ca="1">PERCENTRANK(Data!AA150:'Data'!AV150,Data!AV150)</f>
        <v>0.33300000000000002</v>
      </c>
      <c r="U86" s="13">
        <v>42</v>
      </c>
      <c r="V86" s="13">
        <v>42</v>
      </c>
      <c r="W86" s="13">
        <v>45</v>
      </c>
      <c r="X86" s="30">
        <f ca="1">(Price!IW150 - Price!IV150) / Price!IV150</f>
        <v>-1.4834794335805721E-3</v>
      </c>
      <c r="Y86" s="24">
        <f ca="1">(Price!IW150 - Price!IR150) / Price!IR150</f>
        <v>1.350803728218981E-4</v>
      </c>
      <c r="Z86" s="24">
        <f ca="1">(Price!IW150 - Price!IB150) / Price!IB150</f>
        <v>-2.5596120167048057E-3</v>
      </c>
      <c r="AA86" s="24">
        <f ca="1">(Price!IW150 - Price!GL150) / Price!GL150</f>
        <v>-3.3651904697805891E-3</v>
      </c>
      <c r="AB86" s="24">
        <f ca="1">(Price!IW150 - Price!DZ150) / Price!DZ150</f>
        <v>1.5916575192096747E-2</v>
      </c>
      <c r="AC86" s="31">
        <f ca="1">(Price!IW150 - Price!D150) / Price!D150</f>
        <v>1.7731958762886683E-2</v>
      </c>
    </row>
    <row r="87" spans="1:29" x14ac:dyDescent="0.2">
      <c r="A87" s="14" t="s">
        <v>130</v>
      </c>
      <c r="B87" s="1" t="str">
        <f ca="1">Data!C77</f>
        <v>Invesco Aerospace</v>
      </c>
      <c r="C87" s="1" vm="131">
        <f ca="1">Data!Y77</f>
        <v>156.24</v>
      </c>
      <c r="D87" s="1"/>
      <c r="E87" s="26">
        <f ca="1">PERCENTRANK(Data!AA77:'Data'!AV77,Data!AV77)</f>
        <v>1</v>
      </c>
      <c r="F87" s="1">
        <v>45</v>
      </c>
      <c r="G87" s="1">
        <v>57</v>
      </c>
      <c r="H87" s="1">
        <v>80</v>
      </c>
      <c r="I87" s="24">
        <f ca="1">(Price!IW77 - Price!IV77) / Price!IV77</f>
        <v>2.3048716605552712E-2</v>
      </c>
      <c r="J87" s="24">
        <f ca="1">(Price!IW77 - Price!IR77) / Price!IR77</f>
        <v>1.3887086307592569E-2</v>
      </c>
      <c r="K87" s="30">
        <f ca="1">(Price!IW77 - Price!IB77) / Price!IB77</f>
        <v>4.8942598187311316E-2</v>
      </c>
      <c r="L87" s="24">
        <f ca="1">(Price!IW77 - Price!GL77) / Price!GL77</f>
        <v>2.9249011857707494E-2</v>
      </c>
      <c r="M87" s="24">
        <f ca="1">(Price!IW77 - Price!DZ77) / Price!DZ77</f>
        <v>0.15272244355909709</v>
      </c>
      <c r="N87" s="31">
        <f ca="1">(Price!IW77 - Price!D77) / Price!D77</f>
        <v>0.31470885223830364</v>
      </c>
      <c r="O87" s="45"/>
      <c r="P87" s="10" t="s">
        <v>276</v>
      </c>
      <c r="Q87" s="1" t="str">
        <f ca="1">Data!C151</f>
        <v>iShares:1-3 Trs Bd ETF</v>
      </c>
      <c r="R87" s="1" vm="132">
        <f ca="1">Data!Y151</f>
        <v>82.76</v>
      </c>
      <c r="S87" s="1"/>
      <c r="T87" s="25">
        <f ca="1">PERCENTRANK(Data!AA151:'Data'!AV151,Data!AV151)</f>
        <v>0.47599999999999998</v>
      </c>
      <c r="U87" s="13">
        <v>54</v>
      </c>
      <c r="V87" s="13">
        <v>42</v>
      </c>
      <c r="W87" s="13">
        <v>45</v>
      </c>
      <c r="X87" s="30">
        <f ca="1">(Price!IW151 - Price!IV151) / Price!IV151</f>
        <v>-3.2518366855353005E-3</v>
      </c>
      <c r="Y87" s="24">
        <f ca="1">(Price!IW151 - Price!IR151) / Price!IR151</f>
        <v>-1.3273802341015981E-3</v>
      </c>
      <c r="Z87" s="24">
        <f ca="1">(Price!IW151 - Price!IB151) / Price!IB151</f>
        <v>-1.2068549360366198E-3</v>
      </c>
      <c r="AA87" s="24">
        <f ca="1">(Price!IW151 - Price!GL151) / Price!GL151</f>
        <v>-1.9295706705257669E-3</v>
      </c>
      <c r="AB87" s="24">
        <f ca="1">(Price!IW151 - Price!DZ151) / Price!DZ151</f>
        <v>2.6653743639447401E-3</v>
      </c>
      <c r="AC87" s="31">
        <f ca="1">(Price!IW151 - Price!D151) / Price!D151</f>
        <v>8.0389768574909964E-3</v>
      </c>
    </row>
    <row r="88" spans="1:29" x14ac:dyDescent="0.2">
      <c r="A88" s="14" t="s">
        <v>131</v>
      </c>
      <c r="B88" s="1" t="str">
        <f ca="1">Data!C78</f>
        <v>SS SPDR S&amp;P Aero&amp;Def</v>
      </c>
      <c r="C88" s="1" vm="133">
        <f ca="1">Data!Y78</f>
        <v>241.28</v>
      </c>
      <c r="D88" s="1"/>
      <c r="E88" s="26">
        <f ca="1">PERCENTRANK(Data!AA78:'Data'!AV78,Data!AV78)</f>
        <v>1</v>
      </c>
      <c r="F88" s="1">
        <v>40</v>
      </c>
      <c r="G88" s="1">
        <v>67</v>
      </c>
      <c r="H88" s="1">
        <v>84</v>
      </c>
      <c r="I88" s="24">
        <f ca="1">(Price!IW78 - Price!IV78) / Price!IV78</f>
        <v>3.4914643561808421E-2</v>
      </c>
      <c r="J88" s="24">
        <f ca="1">(Price!IW78 - Price!IR78) / Price!IR78</f>
        <v>1.9392454265072471E-2</v>
      </c>
      <c r="K88" s="30">
        <f ca="1">(Price!IW78 - Price!IB78) / Price!IB78</f>
        <v>7.6229983496141684E-2</v>
      </c>
      <c r="L88" s="24">
        <f ca="1">(Price!IW78 - Price!GL78) / Price!GL78</f>
        <v>5.9035245577843072E-2</v>
      </c>
      <c r="M88" s="24">
        <f ca="1">(Price!IW78 - Price!DZ78) / Price!DZ78</f>
        <v>0.21459854014598537</v>
      </c>
      <c r="N88" s="31">
        <f ca="1">(Price!IW78 - Price!D78) / Price!D78</f>
        <v>0.40753704351884273</v>
      </c>
      <c r="O88" s="45"/>
      <c r="P88" s="10" t="s">
        <v>277</v>
      </c>
      <c r="Q88" s="1" t="str">
        <f ca="1">Data!C152</f>
        <v>iShares:7-10 Trs Bd</v>
      </c>
      <c r="R88" s="1" vm="134">
        <f ca="1">Data!Y152</f>
        <v>96.24</v>
      </c>
      <c r="S88" s="1"/>
      <c r="T88" s="25">
        <f ca="1">PERCENTRANK(Data!AA152:'Data'!AV152,Data!AV152)</f>
        <v>0.33300000000000002</v>
      </c>
      <c r="U88" s="13">
        <v>47</v>
      </c>
      <c r="V88" s="13">
        <v>46</v>
      </c>
      <c r="W88" s="13">
        <v>48</v>
      </c>
      <c r="X88" s="30">
        <f ca="1">(Price!IW152 - Price!IV152) / Price!IV152</f>
        <v>-5.4769039991733092E-3</v>
      </c>
      <c r="Y88" s="24">
        <f ca="1">(Price!IW152 - Price!IR152) / Price!IR152</f>
        <v>5.1980455348785896E-4</v>
      </c>
      <c r="Z88" s="24">
        <f ca="1">(Price!IW152 - Price!IB152) / Price!IB152</f>
        <v>-4.1390728476821776E-3</v>
      </c>
      <c r="AA88" s="24">
        <f ca="1">(Price!IW152 - Price!GL152) / Price!GL152</f>
        <v>-2.3841608790297914E-3</v>
      </c>
      <c r="AB88" s="24">
        <f ca="1">(Price!IW152 - Price!DZ152) / Price!DZ152</f>
        <v>1.7336152219873158E-2</v>
      </c>
      <c r="AC88" s="31">
        <f ca="1">(Price!IW152 - Price!D152) / Price!D152</f>
        <v>2.6888604353393044E-2</v>
      </c>
    </row>
    <row r="89" spans="1:29" ht="16" thickBot="1" x14ac:dyDescent="0.25">
      <c r="A89" s="14" t="s">
        <v>132</v>
      </c>
      <c r="B89" s="1" t="str">
        <f ca="1">Data!C79</f>
        <v>iShares:US Transportatn</v>
      </c>
      <c r="C89" s="1" vm="135">
        <f ca="1">Data!Y79</f>
        <v>75.03</v>
      </c>
      <c r="D89" s="1"/>
      <c r="E89" s="26">
        <f ca="1">PERCENTRANK(Data!AA79:'Data'!AV79,Data!AV79)</f>
        <v>0.57099999999999995</v>
      </c>
      <c r="F89" s="1">
        <v>78</v>
      </c>
      <c r="G89" s="1">
        <v>74</v>
      </c>
      <c r="H89" s="1">
        <v>73</v>
      </c>
      <c r="I89" s="24">
        <f ca="1">(Price!IW79 - Price!IV79) / Price!IV79</f>
        <v>1.3329778725679973E-4</v>
      </c>
      <c r="J89" s="24">
        <f ca="1">(Price!IW79 - Price!IR79) / Price!IR79</f>
        <v>-1.7674783974862458E-2</v>
      </c>
      <c r="K89" s="30">
        <f ca="1">(Price!IW79 - Price!IB79) / Price!IB79</f>
        <v>7.6007457335436637E-2</v>
      </c>
      <c r="L89" s="24">
        <f ca="1">(Price!IW79 - Price!GL79) / Price!GL79</f>
        <v>4.8197820620285034E-2</v>
      </c>
      <c r="M89" s="24">
        <f ca="1">(Price!IW79 - Price!DZ79) / Price!DZ79</f>
        <v>0.15306592899953911</v>
      </c>
      <c r="N89" s="31">
        <f ca="1">(Price!IW79 - Price!D79) / Price!D79</f>
        <v>7.4620452592380523E-2</v>
      </c>
      <c r="O89" s="16"/>
      <c r="P89" s="10" t="s">
        <v>278</v>
      </c>
      <c r="Q89" s="1" t="str">
        <f ca="1">Data!C153</f>
        <v>iShares:0-3 Month Trs Bd</v>
      </c>
      <c r="R89" s="1" vm="136">
        <f ca="1">Data!Y153</f>
        <v>100.28</v>
      </c>
      <c r="S89" s="1"/>
      <c r="T89" s="25">
        <f ca="1">PERCENTRANK(Data!AA153:'Data'!AV153,Data!AV153)</f>
        <v>0.42799999999999999</v>
      </c>
      <c r="U89" s="13">
        <v>51</v>
      </c>
      <c r="V89" s="13">
        <v>38</v>
      </c>
      <c r="W89" s="13">
        <v>39</v>
      </c>
      <c r="X89" s="30">
        <f ca="1">(Price!IW153 - Price!IV153) / Price!IV153</f>
        <v>-2.7844073190135357E-3</v>
      </c>
      <c r="Y89" s="24">
        <f ca="1">(Price!IW153 - Price!IR153) / Price!IR153</f>
        <v>-2.4868198547697206E-3</v>
      </c>
      <c r="Z89" s="24">
        <f ca="1">(Price!IW153 - Price!IB153) / Price!IB153</f>
        <v>-2.7844073190135357E-3</v>
      </c>
      <c r="AA89" s="24">
        <f ca="1">(Price!IW153 - Price!GL153) / Price!GL153</f>
        <v>-3.3790498906778313E-3</v>
      </c>
      <c r="AB89" s="24">
        <f ca="1">(Price!IW153 - Price!DZ153) / Price!DZ153</f>
        <v>-3.1809145129223977E-3</v>
      </c>
      <c r="AC89" s="31">
        <f ca="1">(Price!IW153 - Price!D153) / Price!D153</f>
        <v>-2.2883295194508404E-3</v>
      </c>
    </row>
    <row r="90" spans="1:29" x14ac:dyDescent="0.2">
      <c r="A90" s="14" t="s">
        <v>133</v>
      </c>
      <c r="B90" s="1" t="str">
        <f ca="1">Data!C80</f>
        <v>SPDR S&amp;P Trans</v>
      </c>
      <c r="C90" s="1" vm="137">
        <f ca="1">Data!Y80</f>
        <v>93.1</v>
      </c>
      <c r="D90" s="1"/>
      <c r="E90" s="26">
        <f ca="1">PERCENTRANK(Data!AA80:'Data'!AV80,Data!AV80)</f>
        <v>0.66600000000000004</v>
      </c>
      <c r="F90" s="1">
        <v>86</v>
      </c>
      <c r="G90" s="1">
        <v>82</v>
      </c>
      <c r="H90" s="1">
        <v>78</v>
      </c>
      <c r="I90" s="24">
        <f ca="1">(Price!IW80 - Price!IV80) / Price!IV80</f>
        <v>-2.6161239798509861E-3</v>
      </c>
      <c r="J90" s="24">
        <f ca="1">(Price!IW80 - Price!IR80) / Price!IR80</f>
        <v>-1.020625132893906E-2</v>
      </c>
      <c r="K90" s="30">
        <f ca="1">(Price!IW80 - Price!IB80) / Price!IB80</f>
        <v>0.15583685195232125</v>
      </c>
      <c r="L90" s="24">
        <f ca="1">(Price!IW80 - Price!GL80) / Price!GL80</f>
        <v>9.5874286386910673E-2</v>
      </c>
      <c r="M90" s="24">
        <f ca="1">(Price!IW80 - Price!DZ80) / Price!DZ80</f>
        <v>0.21382007822685778</v>
      </c>
      <c r="N90" s="31">
        <f ca="1">(Price!IW80 - Price!D80) / Price!D80</f>
        <v>2.9297954671088904E-2</v>
      </c>
      <c r="O90" s="45"/>
      <c r="P90" s="10" t="s">
        <v>279</v>
      </c>
      <c r="Q90" s="1" t="str">
        <f ca="1">Data!C154</f>
        <v>iShares:3-7 Trs Bd</v>
      </c>
      <c r="R90" s="1" vm="138">
        <f ca="1">Data!Y154</f>
        <v>119.34</v>
      </c>
      <c r="S90" s="1"/>
      <c r="T90" s="25">
        <f ca="1">PERCENTRANK(Data!AA154:'Data'!AV154,Data!AV154)</f>
        <v>0.38</v>
      </c>
      <c r="U90" s="13">
        <v>52</v>
      </c>
      <c r="V90" s="13">
        <v>44</v>
      </c>
      <c r="W90" s="13">
        <v>48</v>
      </c>
      <c r="X90" s="30">
        <f ca="1">(Price!IW154 - Price!IV154) / Price!IV154</f>
        <v>-4.2553191489360948E-3</v>
      </c>
      <c r="Y90" s="24">
        <f ca="1">(Price!IW154 - Price!IR154) / Price!IR154</f>
        <v>-1.6756032171578436E-4</v>
      </c>
      <c r="Z90" s="24">
        <f ca="1">(Price!IW154 - Price!IB154) / Price!IB154</f>
        <v>-2.3407456946998922E-3</v>
      </c>
      <c r="AA90" s="24">
        <f ca="1">(Price!IW154 - Price!GL154) / Price!GL154</f>
        <v>-1.9235594212594278E-3</v>
      </c>
      <c r="AB90" s="24">
        <f ca="1">(Price!IW154 - Price!DZ154) / Price!DZ154</f>
        <v>1.0670731707317117E-2</v>
      </c>
      <c r="AC90" s="31">
        <f ca="1">(Price!IW154 - Price!D154) / Price!D154</f>
        <v>2.7022375215146305E-2</v>
      </c>
    </row>
    <row r="91" spans="1:29" x14ac:dyDescent="0.2">
      <c r="A91" s="14" t="s">
        <v>134</v>
      </c>
      <c r="B91" s="1" t="str">
        <f ca="1">Data!C81</f>
        <v>Vanguard Indus Idx;ETF</v>
      </c>
      <c r="C91" s="1" vm="139">
        <f ca="1">Data!Y81</f>
        <v>299.75</v>
      </c>
      <c r="D91" s="1"/>
      <c r="E91" s="26">
        <f ca="1">PERCENTRANK(Data!AA81:'Data'!AV81,Data!AV81)</f>
        <v>0.80900000000000005</v>
      </c>
      <c r="F91" s="1">
        <v>51</v>
      </c>
      <c r="G91" s="1">
        <v>53</v>
      </c>
      <c r="H91" s="1">
        <v>68</v>
      </c>
      <c r="I91" s="24">
        <f ca="1">(Price!IW81 - Price!IV81) / Price!IV81</f>
        <v>9.2592592592592587E-3</v>
      </c>
      <c r="J91" s="24">
        <f ca="1">(Price!IW81 - Price!IR81) / Price!IR81</f>
        <v>-8.1072137657180309E-3</v>
      </c>
      <c r="K91" s="30">
        <f ca="1">(Price!IW81 - Price!IB81) / Price!IB81</f>
        <v>3.9066833056017686E-2</v>
      </c>
      <c r="L91" s="24">
        <f ca="1">(Price!IW81 - Price!GL81) / Price!GL81</f>
        <v>1.4004938939819309E-2</v>
      </c>
      <c r="M91" s="24">
        <f ca="1">(Price!IW81 - Price!DZ81) / Price!DZ81</f>
        <v>0.1101029553366418</v>
      </c>
      <c r="N91" s="31">
        <f ca="1">(Price!IW81 - Price!D81) / Price!D81</f>
        <v>0.12358497638503647</v>
      </c>
      <c r="O91" s="45"/>
      <c r="P91" s="10" t="s">
        <v>280</v>
      </c>
      <c r="Q91" s="1" t="str">
        <f ca="1">Data!C155</f>
        <v>iShares:10-20 Trs Bd ETF</v>
      </c>
      <c r="R91" s="1" vm="140">
        <f ca="1">Data!Y155</f>
        <v>101.62</v>
      </c>
      <c r="S91" s="1"/>
      <c r="T91" s="25">
        <f ca="1">PERCENTRANK(Data!AA155:'Data'!AV155,Data!AV155)</f>
        <v>0.33300000000000002</v>
      </c>
      <c r="U91" s="13">
        <v>38</v>
      </c>
      <c r="V91" s="13">
        <v>43</v>
      </c>
      <c r="W91" s="13">
        <v>45</v>
      </c>
      <c r="X91" s="30">
        <f ca="1">(Price!IW155 - Price!IV155) / Price!IV155</f>
        <v>-7.1323888617488016E-3</v>
      </c>
      <c r="Y91" s="24">
        <f ca="1">(Price!IW155 - Price!IR155) / Price!IR155</f>
        <v>2.0708016960852772E-3</v>
      </c>
      <c r="Z91" s="24">
        <f ca="1">(Price!IW155 - Price!IB155) / Price!IB155</f>
        <v>-1.1478599221789811E-2</v>
      </c>
      <c r="AA91" s="24">
        <f ca="1">(Price!IW155 - Price!GL155) / Price!GL155</f>
        <v>-8.3918813427010085E-3</v>
      </c>
      <c r="AB91" s="24">
        <f ca="1">(Price!IW155 - Price!DZ155) / Price!DZ155</f>
        <v>1.6911838286800738E-2</v>
      </c>
      <c r="AC91" s="31">
        <f ca="1">(Price!IW155 - Price!D155) / Price!D155</f>
        <v>-4.0184259531510008E-3</v>
      </c>
    </row>
    <row r="92" spans="1:29" x14ac:dyDescent="0.2">
      <c r="A92" s="14" t="s">
        <v>135</v>
      </c>
      <c r="B92" s="1" t="str">
        <f ca="1">Data!C82</f>
        <v>Fidelity MSCI Industrial</v>
      </c>
      <c r="C92" s="1" vm="141">
        <f ca="1">Data!Y82</f>
        <v>82.79</v>
      </c>
      <c r="D92" s="1"/>
      <c r="E92" s="26">
        <f ca="1">PERCENTRANK(Data!AA82:'Data'!AV82,Data!AV82)</f>
        <v>0.80900000000000005</v>
      </c>
      <c r="F92" s="1">
        <v>53</v>
      </c>
      <c r="G92" s="1">
        <v>53</v>
      </c>
      <c r="H92" s="1">
        <v>68</v>
      </c>
      <c r="I92" s="24">
        <f ca="1">(Price!IW82 - Price!IV82) / Price!IV82</f>
        <v>7.790626902008527E-3</v>
      </c>
      <c r="J92" s="24">
        <f ca="1">(Price!IW82 - Price!IR82) / Price!IR82</f>
        <v>-7.6354177904035909E-3</v>
      </c>
      <c r="K92" s="30">
        <f ca="1">(Price!IW82 - Price!IB82) / Price!IB82</f>
        <v>3.6819035691922505E-2</v>
      </c>
      <c r="L92" s="24">
        <f ca="1">(Price!IW82 - Price!GL82) / Price!GL82</f>
        <v>1.5828220858895781E-2</v>
      </c>
      <c r="M92" s="24">
        <f ca="1">(Price!IW82 - Price!DZ82) / Price!DZ82</f>
        <v>0.11082785455521273</v>
      </c>
      <c r="N92" s="31">
        <f ca="1">(Price!IW82 - Price!D82) / Price!D82</f>
        <v>0.1218157181571817</v>
      </c>
      <c r="O92" s="45"/>
      <c r="P92" s="10" t="s">
        <v>281</v>
      </c>
      <c r="Q92" s="1" t="str">
        <f ca="1">Data!C156</f>
        <v>iShares:Core US Agg Bd</v>
      </c>
      <c r="R92" s="1" vm="142">
        <f ca="1">Data!Y156</f>
        <v>99.84</v>
      </c>
      <c r="S92" s="1"/>
      <c r="T92" s="25">
        <f ca="1">PERCENTRANK(Data!AA156:'Data'!AV156,Data!AV156)</f>
        <v>0.33300000000000002</v>
      </c>
      <c r="U92" s="13">
        <v>46</v>
      </c>
      <c r="V92" s="13">
        <v>46</v>
      </c>
      <c r="W92" s="13">
        <v>45</v>
      </c>
      <c r="X92" s="30">
        <f ca="1">(Price!IW156 - Price!IV156) / Price!IV156</f>
        <v>-4.7846889952152093E-3</v>
      </c>
      <c r="Y92" s="24">
        <f ca="1">(Price!IW156 - Price!IR156) / Price!IR156</f>
        <v>3.0057108506162844E-4</v>
      </c>
      <c r="Z92" s="24">
        <f ca="1">(Price!IW156 - Price!IB156) / Price!IB156</f>
        <v>-2.3980815347721313E-3</v>
      </c>
      <c r="AA92" s="24">
        <f ca="1">(Price!IW156 - Price!GL156) / Price!GL156</f>
        <v>-3.294399520814598E-3</v>
      </c>
      <c r="AB92" s="24">
        <f ca="1">(Price!IW156 - Price!DZ156) / Price!DZ156</f>
        <v>1.6493585827733706E-2</v>
      </c>
      <c r="AC92" s="31">
        <f ca="1">(Price!IW156 - Price!D156) / Price!D156</f>
        <v>1.8671564126109562E-2</v>
      </c>
    </row>
    <row r="93" spans="1:29" x14ac:dyDescent="0.2">
      <c r="A93" s="14" t="s">
        <v>146</v>
      </c>
      <c r="B93" s="1" t="str">
        <f ca="1">Data!C83</f>
        <v>SS SPDR S&amp;P Metals&amp;Mng</v>
      </c>
      <c r="C93" s="1" vm="143">
        <f ca="1">Data!Y83</f>
        <v>105.17</v>
      </c>
      <c r="D93" s="1"/>
      <c r="E93" s="26">
        <f ca="1">PERCENTRANK(Data!AA83:'Data'!AV83,Data!AV83)</f>
        <v>1</v>
      </c>
      <c r="F93" s="1">
        <v>82</v>
      </c>
      <c r="G93" s="1">
        <v>91</v>
      </c>
      <c r="H93" s="1">
        <v>93</v>
      </c>
      <c r="I93" s="24">
        <f ca="1">(Price!IW83 - Price!IV83) / Price!IV83</f>
        <v>2.775334701456077E-2</v>
      </c>
      <c r="J93" s="24">
        <f ca="1">(Price!IW83 - Price!IR83) / Price!IR83</f>
        <v>2.9665165459173696E-2</v>
      </c>
      <c r="K93" s="30">
        <f ca="1">(Price!IW83 - Price!IB83) / Price!IB83</f>
        <v>0.15153837731304065</v>
      </c>
      <c r="L93" s="24">
        <f ca="1">(Price!IW83 - Price!GL83) / Price!GL83</f>
        <v>0.15647679788871788</v>
      </c>
      <c r="M93" s="24">
        <f ca="1">(Price!IW83 - Price!DZ83) / Price!DZ83</f>
        <v>0.60491377994811535</v>
      </c>
      <c r="N93" s="31">
        <f ca="1">(Price!IW83 - Price!D83) / Price!D83</f>
        <v>0.719869174161897</v>
      </c>
      <c r="O93" s="45"/>
      <c r="P93" s="10" t="s">
        <v>282</v>
      </c>
      <c r="Q93" s="1" t="str">
        <f ca="1">Data!C157</f>
        <v>iShares:Natl Muni Bond</v>
      </c>
      <c r="R93" s="1" vm="144">
        <f ca="1">Data!Y157</f>
        <v>106.71</v>
      </c>
      <c r="S93" s="1"/>
      <c r="T93" s="25">
        <f ca="1">PERCENTRANK(Data!AA157:'Data'!AV157,Data!AV157)</f>
        <v>0.42799999999999999</v>
      </c>
      <c r="U93" s="13">
        <v>49</v>
      </c>
      <c r="V93" s="13">
        <v>49</v>
      </c>
      <c r="W93" s="13">
        <v>45</v>
      </c>
      <c r="X93" s="30">
        <f ca="1">(Price!IW157 - Price!IV157) / Price!IV157</f>
        <v>-2.8966548308727554E-3</v>
      </c>
      <c r="Y93" s="24">
        <f ca="1">(Price!IW157 - Price!IR157) / Price!IR157</f>
        <v>-1.3102480112307025E-3</v>
      </c>
      <c r="Z93" s="24">
        <f ca="1">(Price!IW157 - Price!IB157) / Price!IB157</f>
        <v>-3.1760859411490276E-3</v>
      </c>
      <c r="AA93" s="24">
        <f ca="1">(Price!IW157 - Price!GL157) / Price!GL157</f>
        <v>2.1600300525919398E-3</v>
      </c>
      <c r="AB93" s="24">
        <f ca="1">(Price!IW157 - Price!DZ157) / Price!DZ157</f>
        <v>2.6452481723739901E-2</v>
      </c>
      <c r="AC93" s="31">
        <f ca="1">(Price!IW157 - Price!D157) / Price!D157</f>
        <v>-7.1641235578713269E-3</v>
      </c>
    </row>
    <row r="94" spans="1:29" x14ac:dyDescent="0.2">
      <c r="A94" s="14" t="s">
        <v>147</v>
      </c>
      <c r="B94" s="1" t="str">
        <f ca="1">Data!C84</f>
        <v>VanEck:Gold Miners</v>
      </c>
      <c r="C94" s="1" vm="145">
        <f ca="1">Data!Y84</f>
        <v>87.79</v>
      </c>
      <c r="D94" s="1"/>
      <c r="E94" s="26">
        <f ca="1">PERCENTRANK(Data!AA84:'Data'!AV84,Data!AV84)</f>
        <v>1</v>
      </c>
      <c r="F94" s="1">
        <v>89</v>
      </c>
      <c r="G94" s="1">
        <v>94</v>
      </c>
      <c r="H94" s="1">
        <v>95</v>
      </c>
      <c r="I94" s="24">
        <f ca="1">(Price!IW84 - Price!IV84) / Price!IV84</f>
        <v>2.4746118828061218E-2</v>
      </c>
      <c r="J94" s="24">
        <f ca="1">(Price!IW84 - Price!IR84) / Price!IR84</f>
        <v>2.486574830726138E-2</v>
      </c>
      <c r="K94" s="30">
        <f ca="1">(Price!IW84 - Price!IB84) / Price!IB84</f>
        <v>0.14923419295719342</v>
      </c>
      <c r="L94" s="24">
        <f ca="1">(Price!IW84 - Price!GL84) / Price!GL84</f>
        <v>0.18108435355845565</v>
      </c>
      <c r="M94" s="24">
        <f ca="1">(Price!IW84 - Price!DZ84) / Price!DZ84</f>
        <v>0.67890610059284773</v>
      </c>
      <c r="N94" s="31">
        <f ca="1">(Price!IW84 - Price!D84) / Price!D84</f>
        <v>1.4104887424492039</v>
      </c>
      <c r="O94" s="45"/>
      <c r="P94" s="10" t="s">
        <v>283</v>
      </c>
      <c r="Q94" s="1" t="str">
        <f ca="1">Data!C158</f>
        <v>iShares:US Treasury Bond</v>
      </c>
      <c r="R94" s="1" vm="146">
        <f ca="1">Data!Y158</f>
        <v>23.02</v>
      </c>
      <c r="S94" s="1"/>
      <c r="T94" s="25">
        <f ca="1">PERCENTRANK(Data!AA158:'Data'!AV158,Data!AV158)</f>
        <v>0.33300000000000002</v>
      </c>
      <c r="U94" s="13">
        <v>45</v>
      </c>
      <c r="V94" s="13">
        <v>44</v>
      </c>
      <c r="W94" s="13">
        <v>45</v>
      </c>
      <c r="X94" s="30">
        <f ca="1">(Price!IW158 - Price!IV158) / Price!IV158</f>
        <v>-4.5405405405405594E-3</v>
      </c>
      <c r="Y94" s="24">
        <f ca="1">(Price!IW158 - Price!IR158) / Price!IR158</f>
        <v>2.1724961981312211E-4</v>
      </c>
      <c r="Z94" s="24">
        <f ca="1">(Price!IW158 - Price!IB158) / Price!IB158</f>
        <v>-4.3252595155709953E-3</v>
      </c>
      <c r="AA94" s="24">
        <f ca="1">(Price!IW158 - Price!GL158) / Price!GL158</f>
        <v>-2.5996533795493381E-3</v>
      </c>
      <c r="AB94" s="24">
        <f ca="1">(Price!IW158 - Price!DZ158) / Price!DZ158</f>
        <v>1.1645792133597037E-2</v>
      </c>
      <c r="AC94" s="31">
        <f ca="1">(Price!IW158 - Price!D158) / Price!D158</f>
        <v>1.5214994487320787E-2</v>
      </c>
    </row>
    <row r="95" spans="1:29" x14ac:dyDescent="0.2">
      <c r="A95" s="14" t="s">
        <v>148</v>
      </c>
      <c r="B95" s="1" t="str">
        <f ca="1">Data!C85</f>
        <v>Glbl X Silver Miners ETF</v>
      </c>
      <c r="C95" s="1" vm="147">
        <f ca="1">Data!Y85</f>
        <v>84.73</v>
      </c>
      <c r="D95" s="1"/>
      <c r="E95" s="26">
        <f ca="1">PERCENTRANK(Data!AA85:'Data'!AV85,Data!AV85)</f>
        <v>1</v>
      </c>
      <c r="F95" s="1">
        <v>92</v>
      </c>
      <c r="G95" s="1">
        <v>95</v>
      </c>
      <c r="H95" s="1">
        <v>96</v>
      </c>
      <c r="I95" s="24">
        <f ca="1">(Price!IW85 - Price!IV85) / Price!IV85</f>
        <v>3.3796974133723894E-2</v>
      </c>
      <c r="J95" s="24">
        <f ca="1">(Price!IW85 - Price!IR85) / Price!IR85</f>
        <v>2.7279340446168768E-2</v>
      </c>
      <c r="K95" s="30">
        <f ca="1">(Price!IW85 - Price!IB85) / Price!IB85</f>
        <v>0.23838059047062266</v>
      </c>
      <c r="L95" s="24">
        <f ca="1">(Price!IW85 - Price!GL85) / Price!GL85</f>
        <v>0.23028895019602147</v>
      </c>
      <c r="M95" s="24">
        <f ca="1">(Price!IW85 - Price!DZ85) / Price!DZ85</f>
        <v>0.78116459953752371</v>
      </c>
      <c r="N95" s="31">
        <f ca="1">(Price!IW85 - Price!D85) / Price!D85</f>
        <v>1.3760515984296133</v>
      </c>
      <c r="O95" s="45"/>
      <c r="P95" s="10" t="s">
        <v>284</v>
      </c>
      <c r="Q95" s="1" t="str">
        <f ca="1">Data!C159</f>
        <v>iShares:1-5 IG Corp Bd</v>
      </c>
      <c r="R95" s="1" vm="148">
        <f ca="1">Data!Y159</f>
        <v>52.8</v>
      </c>
      <c r="S95" s="1"/>
      <c r="T95" s="25">
        <f ca="1">PERCENTRANK(Data!AA159:'Data'!AV159,Data!AV159)</f>
        <v>0.42799999999999999</v>
      </c>
      <c r="U95" s="13">
        <v>52</v>
      </c>
      <c r="V95" s="13">
        <v>42</v>
      </c>
      <c r="W95" s="13">
        <v>45</v>
      </c>
      <c r="X95" s="30">
        <f ca="1">(Price!IW159 - Price!IV159) / Price!IV159</f>
        <v>-4.1493775933611086E-3</v>
      </c>
      <c r="Y95" s="24">
        <f ca="1">(Price!IW159 - Price!IR159) / Price!IR159</f>
        <v>-1.3240022697181822E-3</v>
      </c>
      <c r="Z95" s="24">
        <f ca="1">(Price!IW159 - Price!IB159) / Price!IB159</f>
        <v>-1.5128593040848221E-3</v>
      </c>
      <c r="AA95" s="24">
        <f ca="1">(Price!IW159 - Price!GL159) / Price!GL159</f>
        <v>-4.1493775933611086E-3</v>
      </c>
      <c r="AB95" s="24">
        <f ca="1">(Price!IW159 - Price!DZ159) / Price!DZ159</f>
        <v>6.6730219256433609E-3</v>
      </c>
      <c r="AC95" s="31">
        <f ca="1">(Price!IW159 - Price!D159) / Price!D159</f>
        <v>1.6361886429258791E-2</v>
      </c>
    </row>
    <row r="96" spans="1:29" x14ac:dyDescent="0.2">
      <c r="A96" s="14" t="s">
        <v>149</v>
      </c>
      <c r="B96" s="1" t="str">
        <f ca="1">Data!C86</f>
        <v>VanEck:Steel</v>
      </c>
      <c r="C96" s="1" vm="50">
        <f ca="1">Data!Y86</f>
        <v>84.69</v>
      </c>
      <c r="D96" s="1"/>
      <c r="E96" s="26">
        <f ca="1">PERCENTRANK(Data!AA86:'Data'!AV86,Data!AV86)</f>
        <v>0.71399999999999997</v>
      </c>
      <c r="F96" s="1">
        <v>87</v>
      </c>
      <c r="G96" s="1">
        <v>87</v>
      </c>
      <c r="H96" s="1">
        <v>87</v>
      </c>
      <c r="I96" s="24">
        <f ca="1">(Price!IW86 - Price!IV86) / Price!IV86</f>
        <v>-2.0032995522036496E-3</v>
      </c>
      <c r="J96" s="24">
        <f ca="1">(Price!IW86 - Price!IR86) / Price!IR86</f>
        <v>-5.5190230155002214E-3</v>
      </c>
      <c r="K96" s="30">
        <f ca="1">(Price!IW86 - Price!IB86) / Price!IB86</f>
        <v>9.938468728094077E-2</v>
      </c>
      <c r="L96" s="24">
        <f ca="1">(Price!IW86 - Price!GL86) / Price!GL86</f>
        <v>0.17120730189462033</v>
      </c>
      <c r="M96" s="24">
        <f ca="1">(Price!IW86 - Price!DZ86) / Price!DZ86</f>
        <v>0.33181317817266853</v>
      </c>
      <c r="N96" s="31">
        <f ca="1">(Price!IW86 - Price!D86) / Price!D86</f>
        <v>0.31465383421297727</v>
      </c>
      <c r="O96" s="45"/>
      <c r="P96" s="10" t="s">
        <v>285</v>
      </c>
      <c r="Q96" s="1" t="str">
        <f ca="1">Data!C160</f>
        <v>iShares:Brd USD HY Cp Bd</v>
      </c>
      <c r="R96" s="1" vm="149">
        <f ca="1">Data!Y160</f>
        <v>37.26</v>
      </c>
      <c r="S96" s="1"/>
      <c r="T96" s="25">
        <f ca="1">PERCENTRANK(Data!AA160:'Data'!AV160,Data!AV160)</f>
        <v>0.23799999999999999</v>
      </c>
      <c r="U96" s="13">
        <v>47</v>
      </c>
      <c r="V96" s="13">
        <v>40</v>
      </c>
      <c r="W96" s="13">
        <v>45</v>
      </c>
      <c r="X96" s="30">
        <f ca="1">(Price!IW160 - Price!IV160) / Price!IV160</f>
        <v>-6.1349693251534802E-3</v>
      </c>
      <c r="Y96" s="24">
        <f ca="1">(Price!IW160 - Price!IR160) / Price!IR160</f>
        <v>-3.2102728731943429E-3</v>
      </c>
      <c r="Z96" s="24">
        <f ca="1">(Price!IW160 - Price!IB160) / Price!IB160</f>
        <v>8.0580177276393073E-4</v>
      </c>
      <c r="AA96" s="24">
        <f ca="1">(Price!IW160 - Price!GL160) / Price!GL160</f>
        <v>-1.5587846763540381E-2</v>
      </c>
      <c r="AB96" s="24">
        <f ca="1">(Price!IW160 - Price!DZ160) / Price!DZ160</f>
        <v>3.5012119579853336E-3</v>
      </c>
      <c r="AC96" s="31">
        <f ca="1">(Price!IW160 - Price!D160) / Price!D160</f>
        <v>8.0580177276393073E-4</v>
      </c>
    </row>
    <row r="97" spans="1:39" x14ac:dyDescent="0.2">
      <c r="A97" s="14" t="s">
        <v>150</v>
      </c>
      <c r="B97" s="1" t="str">
        <f ca="1">Data!C87</f>
        <v>iShares:MSCI Gl M&amp;MP</v>
      </c>
      <c r="C97" s="1" vm="125">
        <f ca="1">Data!Y87</f>
        <v>49.91</v>
      </c>
      <c r="D97" s="1"/>
      <c r="E97" s="26">
        <f ca="1">PERCENTRANK(Data!AA87:'Data'!AV87,Data!AV87)</f>
        <v>1</v>
      </c>
      <c r="F97" s="1">
        <v>84</v>
      </c>
      <c r="G97" s="1">
        <v>88</v>
      </c>
      <c r="H97" s="1">
        <v>88</v>
      </c>
      <c r="I97" s="24">
        <f ca="1">(Price!IW87 - Price!IV87) / Price!IV87</f>
        <v>1.0119409026512852E-2</v>
      </c>
      <c r="J97" s="24">
        <f ca="1">(Price!IW87 - Price!IR87) / Price!IR87</f>
        <v>3.417772416566035E-3</v>
      </c>
      <c r="K97" s="30">
        <f ca="1">(Price!IW87 - Price!IB87) / Price!IB87</f>
        <v>9.8855129898722915E-2</v>
      </c>
      <c r="L97" s="24">
        <f ca="1">(Price!IW87 - Price!GL87) / Price!GL87</f>
        <v>0.16096766689927877</v>
      </c>
      <c r="M97" s="24">
        <f ca="1">(Price!IW87 - Price!DZ87) / Price!DZ87</f>
        <v>0.39803921568627432</v>
      </c>
      <c r="N97" s="31">
        <f ca="1">(Price!IW87 - Price!D87) / Price!D87</f>
        <v>0.33679383751700781</v>
      </c>
      <c r="O97" s="45"/>
      <c r="P97" s="10" t="s">
        <v>286</v>
      </c>
      <c r="Q97" s="1" t="str">
        <f ca="1">Data!C161</f>
        <v>iShares:5-10 IG Corp Bd</v>
      </c>
      <c r="R97" s="1" vm="150">
        <f ca="1">Data!Y161</f>
        <v>53.8</v>
      </c>
      <c r="S97" s="1"/>
      <c r="T97" s="25">
        <f ca="1">PERCENTRANK(Data!AA161:'Data'!AV161,Data!AV161)</f>
        <v>0.33300000000000002</v>
      </c>
      <c r="U97" s="13">
        <v>47</v>
      </c>
      <c r="V97" s="13">
        <v>47</v>
      </c>
      <c r="W97" s="13">
        <v>48</v>
      </c>
      <c r="X97" s="30">
        <f ca="1">(Price!IW161 - Price!IV161) / Price!IV161</f>
        <v>-5.7290704121234944E-3</v>
      </c>
      <c r="Y97" s="24">
        <f ca="1">(Price!IW161 - Price!IR161) / Price!IR161</f>
        <v>-5.5731005015792565E-4</v>
      </c>
      <c r="Z97" s="24">
        <f ca="1">(Price!IW161 - Price!IB161) / Price!IB161</f>
        <v>-1.8583906337121567E-4</v>
      </c>
      <c r="AA97" s="24">
        <f ca="1">(Price!IW161 - Price!GL161) / Price!GL161</f>
        <v>-5.9127864005912838E-3</v>
      </c>
      <c r="AB97" s="24">
        <f ca="1">(Price!IW161 - Price!DZ161) / Price!DZ161</f>
        <v>2.2424933485366776E-2</v>
      </c>
      <c r="AC97" s="31">
        <f ca="1">(Price!IW161 - Price!D161) / Price!D161</f>
        <v>3.0453936027580852E-2</v>
      </c>
      <c r="AJ97" s="38" t="s">
        <v>61</v>
      </c>
    </row>
    <row r="98" spans="1:39" x14ac:dyDescent="0.2">
      <c r="A98" s="14" t="s">
        <v>151</v>
      </c>
      <c r="B98" s="1" t="str">
        <f ca="1">Data!C88</f>
        <v>Vanguard Mtrls Idx;ETF</v>
      </c>
      <c r="C98" s="1" vm="151">
        <f ca="1">Data!Y88</f>
        <v>207.31</v>
      </c>
      <c r="D98" s="1"/>
      <c r="E98" s="26">
        <f ca="1">PERCENTRANK(Data!AA88:'Data'!AV88,Data!AV88)</f>
        <v>0.90400000000000003</v>
      </c>
      <c r="F98" s="1">
        <v>72</v>
      </c>
      <c r="G98" s="1">
        <v>59</v>
      </c>
      <c r="H98" s="1">
        <v>56</v>
      </c>
      <c r="I98" s="24">
        <f ca="1">(Price!IW88 - Price!IV88) / Price!IV88</f>
        <v>3.922518159806306E-3</v>
      </c>
      <c r="J98" s="24">
        <f ca="1">(Price!IW88 - Price!IR88) / Price!IR88</f>
        <v>1.1590283479017197E-3</v>
      </c>
      <c r="K98" s="30">
        <f ca="1">(Price!IW88 - Price!IB88) / Price!IB88</f>
        <v>7.1480256357246294E-2</v>
      </c>
      <c r="L98" s="24">
        <f ca="1">(Price!IW88 - Price!GL88) / Price!GL88</f>
        <v>2.999661328559701E-3</v>
      </c>
      <c r="M98" s="24">
        <f ca="1">(Price!IW88 - Price!DZ88) / Price!DZ88</f>
        <v>8.7214180826515608E-2</v>
      </c>
      <c r="N98" s="31">
        <f ca="1">(Price!IW88 - Price!D88) / Price!D88</f>
        <v>4.501461840911386E-2</v>
      </c>
      <c r="O98" s="45"/>
      <c r="P98" s="10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2"/>
      <c r="AJ98" s="38" t="s">
        <v>62</v>
      </c>
    </row>
    <row r="99" spans="1:39" x14ac:dyDescent="0.2">
      <c r="A99" s="14" t="s">
        <v>169</v>
      </c>
      <c r="B99" s="1" t="str">
        <f ca="1">Data!C89</f>
        <v>Vanguard RE Idx;ETF</v>
      </c>
      <c r="C99" s="1" vm="152">
        <f ca="1">Data!Y89</f>
        <v>88.59</v>
      </c>
      <c r="D99" s="1"/>
      <c r="E99" s="26">
        <f ca="1">PERCENTRANK(Data!AA89:'Data'!AV89,Data!AV89)</f>
        <v>0.14199999999999999</v>
      </c>
      <c r="F99" s="1">
        <v>34</v>
      </c>
      <c r="G99" s="1">
        <v>31</v>
      </c>
      <c r="H99" s="1">
        <v>32</v>
      </c>
      <c r="I99" s="24">
        <f ca="1">(Price!IW89 - Price!IV89) / Price!IV89</f>
        <v>-3.8232317553132059E-3</v>
      </c>
      <c r="J99" s="24">
        <f ca="1">(Price!IW89 - Price!IR89) / Price!IR89</f>
        <v>-9.6143096702068134E-3</v>
      </c>
      <c r="K99" s="30">
        <f ca="1">(Price!IW89 - Price!IB89) / Price!IB89</f>
        <v>9.0385267201444238E-4</v>
      </c>
      <c r="L99" s="24">
        <f ca="1">(Price!IW89 - Price!GL89) / Price!GL89</f>
        <v>-3.3598778226246302E-2</v>
      </c>
      <c r="M99" s="24">
        <f ca="1">(Price!IW89 - Price!DZ89) / Price!DZ89</f>
        <v>-1.380385171991534E-2</v>
      </c>
      <c r="N99" s="31">
        <f ca="1">(Price!IW89 - Price!D89) / Price!D89</f>
        <v>-5.2715996578271952E-2</v>
      </c>
      <c r="O99" s="45"/>
      <c r="P99" s="10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2"/>
      <c r="AJ99" s="38" t="s">
        <v>67</v>
      </c>
    </row>
    <row r="100" spans="1:39" x14ac:dyDescent="0.2">
      <c r="A100" s="14" t="s">
        <v>176</v>
      </c>
      <c r="B100" s="1" t="str">
        <f ca="1">Data!C90</f>
        <v>iShares:US Rl Est ETF</v>
      </c>
      <c r="C100" s="1" vm="153">
        <f ca="1">Data!Y90</f>
        <v>93.02</v>
      </c>
      <c r="D100" s="1"/>
      <c r="E100" s="26">
        <f ca="1">PERCENTRANK(Data!AA90:'Data'!AV90,Data!AV90)</f>
        <v>0</v>
      </c>
      <c r="F100" s="1">
        <v>30</v>
      </c>
      <c r="G100" s="1">
        <v>28</v>
      </c>
      <c r="H100" s="1">
        <v>34</v>
      </c>
      <c r="I100" s="24">
        <f ca="1">(Price!IW90 - Price!IV90) / Price!IV90</f>
        <v>-3.3215471981142427E-3</v>
      </c>
      <c r="J100" s="24">
        <f ca="1">(Price!IW90 - Price!IR90) / Price!IR90</f>
        <v>-1.836217813423395E-2</v>
      </c>
      <c r="K100" s="30">
        <f ca="1">(Price!IW90 - Price!IB90) / Price!IB90</f>
        <v>-9.8988823842470122E-3</v>
      </c>
      <c r="L100" s="24">
        <f ca="1">(Price!IW90 - Price!GL90) / Price!GL90</f>
        <v>-3.2653910149750422E-2</v>
      </c>
      <c r="M100" s="24">
        <f ca="1">(Price!IW90 - Price!DZ90) / Price!DZ90</f>
        <v>-1.618191433104179E-2</v>
      </c>
      <c r="N100" s="31">
        <f ca="1">(Price!IW90 - Price!D90) / Price!D90</f>
        <v>-4.4282338436247841E-2</v>
      </c>
      <c r="O100" s="45"/>
      <c r="P100" s="10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2"/>
      <c r="AJ100" s="8" t="s">
        <v>68</v>
      </c>
    </row>
    <row r="101" spans="1:39" x14ac:dyDescent="0.2">
      <c r="A101" s="14" t="s">
        <v>170</v>
      </c>
      <c r="B101" s="1" t="str">
        <f ca="1">Data!C91</f>
        <v>iShares:Global REIT</v>
      </c>
      <c r="C101" s="1" vm="154">
        <f ca="1">Data!Y91</f>
        <v>24.71</v>
      </c>
      <c r="D101" s="1"/>
      <c r="E101" s="26">
        <f ca="1">PERCENTRANK(Data!AA91:'Data'!AV91,Data!AV91)</f>
        <v>0</v>
      </c>
      <c r="F101" s="1">
        <v>30</v>
      </c>
      <c r="G101" s="1">
        <v>30</v>
      </c>
      <c r="H101" s="1">
        <v>39</v>
      </c>
      <c r="I101" s="24">
        <f ca="1">(Price!IW91 - Price!IV91) / Price!IV91</f>
        <v>-2.0193861066236151E-3</v>
      </c>
      <c r="J101" s="24">
        <f ca="1">(Price!IW91 - Price!IR91) / Price!IR91</f>
        <v>-1.5929908403026626E-2</v>
      </c>
      <c r="K101" s="30">
        <f ca="1">(Price!IW91 - Price!IB91) / Price!IB91</f>
        <v>-9.6192384769538449E-3</v>
      </c>
      <c r="L101" s="24">
        <f ca="1">(Price!IW91 - Price!GL91) / Price!GL91</f>
        <v>-2.6014978320851406E-2</v>
      </c>
      <c r="M101" s="24">
        <f ca="1">(Price!IW91 - Price!DZ91) / Price!DZ91</f>
        <v>-8.08734330772324E-4</v>
      </c>
      <c r="N101" s="31">
        <f ca="1">(Price!IW91 - Price!D91) / Price!D91</f>
        <v>-1.3178913738019101E-2</v>
      </c>
      <c r="O101" s="45"/>
      <c r="P101" s="10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2"/>
      <c r="AJ101" s="8" t="s">
        <v>69</v>
      </c>
    </row>
    <row r="102" spans="1:39" x14ac:dyDescent="0.2">
      <c r="A102" s="14" t="s">
        <v>172</v>
      </c>
      <c r="B102" s="1" t="str">
        <f ca="1">Data!C92</f>
        <v>Pacer Data &amp; Infra RE</v>
      </c>
      <c r="C102" s="1" vm="155">
        <f ca="1">Data!Y92</f>
        <v>28.680299999999999</v>
      </c>
      <c r="D102" s="1"/>
      <c r="E102" s="26">
        <f ca="1">PERCENTRANK(Data!AA92:'Data'!AV92,Data!AV92)</f>
        <v>4.7E-2</v>
      </c>
      <c r="F102" s="1">
        <v>20</v>
      </c>
      <c r="G102" s="1">
        <v>17</v>
      </c>
      <c r="H102" s="1">
        <v>23</v>
      </c>
      <c r="I102" s="24">
        <f ca="1">(Price!IW92 - Price!IV92) / Price!IV92</f>
        <v>5.0919922901699272E-3</v>
      </c>
      <c r="J102" s="24">
        <f ca="1">(Price!IW92 - Price!IR92) / Price!IR92</f>
        <v>-2.4811288677320676E-2</v>
      </c>
      <c r="K102" s="30">
        <f ca="1">(Price!IW92 - Price!IB92) / Price!IB92</f>
        <v>-3.1178310740354728E-3</v>
      </c>
      <c r="L102" s="24">
        <f ca="1">(Price!IW92 - Price!GL92) / Price!GL92</f>
        <v>-0.10343242989777741</v>
      </c>
      <c r="M102" s="24">
        <f ca="1">(Price!IW92 - Price!DZ92) / Price!DZ92</f>
        <v>-0.10205698184095185</v>
      </c>
      <c r="N102" s="31">
        <f ca="1">(Price!IW92 - Price!D92) / Price!D92</f>
        <v>-6.7610533159948069E-2</v>
      </c>
      <c r="O102" s="45"/>
      <c r="P102" s="10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2"/>
      <c r="AJ102" s="8" t="s">
        <v>71</v>
      </c>
      <c r="AM102" s="8" t="s">
        <v>79</v>
      </c>
    </row>
    <row r="103" spans="1:39" x14ac:dyDescent="0.2">
      <c r="A103" s="14" t="s">
        <v>173</v>
      </c>
      <c r="B103" s="1" t="str">
        <f ca="1">Data!C93</f>
        <v>Hoya Capital Housing</v>
      </c>
      <c r="C103" s="1" vm="156">
        <f ca="1">Data!Y93</f>
        <v>45.645800000000001</v>
      </c>
      <c r="D103" s="1"/>
      <c r="E103" s="26">
        <f ca="1">PERCENTRANK(Data!AA93:'Data'!AV93,Data!AV93)</f>
        <v>0.19</v>
      </c>
      <c r="F103" s="1">
        <v>48</v>
      </c>
      <c r="G103" s="1">
        <v>51</v>
      </c>
      <c r="H103" s="1">
        <v>45</v>
      </c>
      <c r="I103" s="24">
        <f ca="1">(Price!IW93 - Price!IV93) / Price!IV93</f>
        <v>-1.1775352513655657E-2</v>
      </c>
      <c r="J103" s="24">
        <f ca="1">(Price!IW93 - Price!IR93) / Price!IR93</f>
        <v>-1.7203217583023275E-2</v>
      </c>
      <c r="K103" s="30">
        <f ca="1">(Price!IW93 - Price!IB93) / Price!IB93</f>
        <v>4.6816376328994394E-2</v>
      </c>
      <c r="L103" s="24">
        <f ca="1">(Price!IW93 - Price!GL93) / Price!GL93</f>
        <v>-3.2643087688959287E-2</v>
      </c>
      <c r="M103" s="24">
        <f ca="1">(Price!IW93 - Price!DZ93) / Price!DZ93</f>
        <v>7.4092114520755481E-2</v>
      </c>
      <c r="N103" s="31">
        <f ca="1">(Price!IW93 - Price!D93) / Price!D93</f>
        <v>-5.436503003936196E-2</v>
      </c>
      <c r="O103" s="45"/>
      <c r="P103" s="10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2"/>
      <c r="AJ103" s="8" t="s">
        <v>72</v>
      </c>
      <c r="AM103" s="8" t="s">
        <v>82</v>
      </c>
    </row>
    <row r="104" spans="1:39" x14ac:dyDescent="0.2">
      <c r="A104" s="14" t="s">
        <v>174</v>
      </c>
      <c r="B104" s="1" t="str">
        <f ca="1">Data!C94</f>
        <v>Schwab Str:US REIT</v>
      </c>
      <c r="C104" s="1" vm="157">
        <f ca="1">Data!Y94</f>
        <v>20.7</v>
      </c>
      <c r="D104" s="1"/>
      <c r="E104" s="26">
        <f ca="1">PERCENTRANK(Data!AA94:'Data'!AV94,Data!AV94)</f>
        <v>9.5000000000000001E-2</v>
      </c>
      <c r="F104" s="1">
        <v>31</v>
      </c>
      <c r="G104" s="1">
        <v>28</v>
      </c>
      <c r="H104" s="1">
        <v>32</v>
      </c>
      <c r="I104" s="24">
        <f ca="1">(Price!IW94 - Price!IV94) / Price!IV94</f>
        <v>-4.8076923076923756E-3</v>
      </c>
      <c r="J104" s="24">
        <f ca="1">(Price!IW94 - Price!IR94) / Price!IR94</f>
        <v>-9.0952608903782321E-3</v>
      </c>
      <c r="K104" s="30">
        <f ca="1">(Price!IW94 - Price!IB94) / Price!IB94</f>
        <v>-1.3816102906145744E-2</v>
      </c>
      <c r="L104" s="24">
        <f ca="1">(Price!IW94 - Price!GL94) / Price!GL94</f>
        <v>-3.4514925373134421E-2</v>
      </c>
      <c r="M104" s="24">
        <f ca="1">(Price!IW94 - Price!DZ94) / Price!DZ94</f>
        <v>-2.8169014084507109E-2</v>
      </c>
      <c r="N104" s="31">
        <f ca="1">(Price!IW94 - Price!D94) / Price!D94</f>
        <v>-5.1329055912007378E-2</v>
      </c>
      <c r="O104" s="45"/>
      <c r="P104" s="10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2"/>
      <c r="AJ104" s="8" t="s">
        <v>76</v>
      </c>
    </row>
    <row r="105" spans="1:39" ht="16" thickBot="1" x14ac:dyDescent="0.25">
      <c r="A105" s="41" t="s">
        <v>175</v>
      </c>
      <c r="B105" s="12" t="str">
        <f ca="1">Data!C95</f>
        <v>Colterpoint Nt Ls Rl Est</v>
      </c>
      <c r="C105" s="1" vm="158">
        <f ca="1">Data!Y95</f>
        <v>23.87</v>
      </c>
      <c r="D105" s="12"/>
      <c r="E105" s="28">
        <f ca="1">PERCENTRANK(Data!AA95:'Data'!AV95,Data!AV95)</f>
        <v>0.28499999999999998</v>
      </c>
      <c r="F105" s="12">
        <v>42</v>
      </c>
      <c r="G105" s="12">
        <v>33</v>
      </c>
      <c r="H105" s="12">
        <v>32</v>
      </c>
      <c r="I105" s="29">
        <f ca="1">(Price!IW95 - Price!IV95) / Price!IV95</f>
        <v>-1.0323811103279521E-2</v>
      </c>
      <c r="J105" s="29">
        <f ca="1">(Price!IW95 - Price!IR95) / Price!IR95</f>
        <v>-5.0974687712307364E-3</v>
      </c>
      <c r="K105" s="32">
        <f ca="1">(Price!IW95 - Price!IB95) / Price!IB95</f>
        <v>3.3669750608452164E-3</v>
      </c>
      <c r="L105" s="29">
        <f ca="1">(Price!IW95 - Price!GL95) / Price!GL95</f>
        <v>-2.8719309239170238E-2</v>
      </c>
      <c r="M105" s="29">
        <f ca="1">(Price!IW95 - Price!DZ95) / Price!DZ95</f>
        <v>-2.6905829596412561E-2</v>
      </c>
      <c r="N105" s="33">
        <f ca="1">(Price!IW95 - Price!D95) / Price!D95</f>
        <v>-3.7969377843874559E-2</v>
      </c>
      <c r="O105" s="16"/>
      <c r="P105" s="11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4"/>
      <c r="AJ105" s="8" t="s">
        <v>78</v>
      </c>
    </row>
    <row r="106" spans="1:39" x14ac:dyDescent="0.2">
      <c r="A106" s="40"/>
      <c r="AJ106" s="8" t="s">
        <v>85</v>
      </c>
    </row>
    <row r="107" spans="1:39" x14ac:dyDescent="0.2">
      <c r="A107" s="8"/>
      <c r="AJ107" s="8" t="s">
        <v>88</v>
      </c>
    </row>
    <row r="108" spans="1:39" x14ac:dyDescent="0.2">
      <c r="A108" s="8"/>
      <c r="AJ108" s="8" t="s">
        <v>90</v>
      </c>
    </row>
    <row r="109" spans="1:39" x14ac:dyDescent="0.2">
      <c r="A109" s="8"/>
      <c r="AJ109" s="8" t="s">
        <v>152</v>
      </c>
    </row>
    <row r="110" spans="1:39" x14ac:dyDescent="0.2">
      <c r="A110" s="8"/>
      <c r="AJ110" s="8" t="s">
        <v>156</v>
      </c>
    </row>
    <row r="111" spans="1:39" x14ac:dyDescent="0.2">
      <c r="A111" s="39"/>
      <c r="AJ111" s="8" t="s">
        <v>157</v>
      </c>
    </row>
    <row r="112" spans="1:39" x14ac:dyDescent="0.2">
      <c r="A112" s="39"/>
      <c r="AJ112" s="8" t="s">
        <v>160</v>
      </c>
    </row>
    <row r="113" spans="1:36" x14ac:dyDescent="0.2">
      <c r="A113" s="39"/>
      <c r="AJ113" s="8" t="s">
        <v>163</v>
      </c>
    </row>
    <row r="114" spans="1:36" x14ac:dyDescent="0.2">
      <c r="A114" s="39"/>
      <c r="AJ114" s="8" t="s">
        <v>165</v>
      </c>
    </row>
    <row r="115" spans="1:36" x14ac:dyDescent="0.2">
      <c r="A115" s="39"/>
      <c r="AJ115" s="39" t="s">
        <v>95</v>
      </c>
    </row>
    <row r="116" spans="1:36" x14ac:dyDescent="0.2">
      <c r="A116" s="39"/>
      <c r="AJ116" s="39" t="s">
        <v>105</v>
      </c>
    </row>
    <row r="117" spans="1:36" x14ac:dyDescent="0.2">
      <c r="A117" s="7"/>
      <c r="AJ117" s="39" t="s">
        <v>110</v>
      </c>
    </row>
    <row r="118" spans="1:36" x14ac:dyDescent="0.2">
      <c r="A118" s="39"/>
      <c r="AJ118" s="39" t="s">
        <v>113</v>
      </c>
    </row>
    <row r="119" spans="1:36" x14ac:dyDescent="0.2">
      <c r="A119" s="39"/>
      <c r="AJ119" s="39" t="s">
        <v>115</v>
      </c>
    </row>
    <row r="120" spans="1:36" x14ac:dyDescent="0.2">
      <c r="A120" s="39"/>
      <c r="AJ120" s="39" t="s">
        <v>117</v>
      </c>
    </row>
    <row r="121" spans="1:36" x14ac:dyDescent="0.2">
      <c r="A121" s="39"/>
      <c r="AJ121" s="7" t="s">
        <v>120</v>
      </c>
    </row>
    <row r="122" spans="1:36" x14ac:dyDescent="0.2">
      <c r="A122" s="39"/>
      <c r="AJ122" s="39" t="s">
        <v>136</v>
      </c>
    </row>
    <row r="123" spans="1:36" x14ac:dyDescent="0.2">
      <c r="A123" s="7"/>
      <c r="AJ123" s="39" t="s">
        <v>137</v>
      </c>
    </row>
    <row r="124" spans="1:36" x14ac:dyDescent="0.2">
      <c r="A124" s="7"/>
      <c r="AJ124" s="39" t="s">
        <v>138</v>
      </c>
    </row>
    <row r="125" spans="1:36" x14ac:dyDescent="0.2">
      <c r="A125" s="39"/>
      <c r="AJ125" s="39" t="s">
        <v>139</v>
      </c>
    </row>
    <row r="126" spans="1:36" x14ac:dyDescent="0.2">
      <c r="A126" s="39"/>
      <c r="AJ126" s="39" t="s">
        <v>140</v>
      </c>
    </row>
    <row r="127" spans="1:36" x14ac:dyDescent="0.2">
      <c r="A127" s="7"/>
      <c r="AJ127" s="7" t="s">
        <v>141</v>
      </c>
    </row>
    <row r="128" spans="1:36" x14ac:dyDescent="0.2">
      <c r="A128" s="7"/>
      <c r="AJ128" s="7" t="s">
        <v>142</v>
      </c>
    </row>
    <row r="129" spans="1:36" x14ac:dyDescent="0.2">
      <c r="A129" s="39"/>
      <c r="AJ129" s="39" t="s">
        <v>143</v>
      </c>
    </row>
    <row r="130" spans="1:36" x14ac:dyDescent="0.2">
      <c r="A130" s="39"/>
      <c r="AJ130" s="39" t="s">
        <v>144</v>
      </c>
    </row>
    <row r="131" spans="1:36" x14ac:dyDescent="0.2">
      <c r="AJ131" s="7" t="s">
        <v>145</v>
      </c>
    </row>
    <row r="132" spans="1:36" x14ac:dyDescent="0.2">
      <c r="AJ132" s="7" t="s">
        <v>167</v>
      </c>
    </row>
    <row r="133" spans="1:36" x14ac:dyDescent="0.2">
      <c r="AJ133" s="39" t="s">
        <v>168</v>
      </c>
    </row>
    <row r="134" spans="1:36" x14ac:dyDescent="0.2">
      <c r="AJ134" s="39" t="s">
        <v>171</v>
      </c>
    </row>
  </sheetData>
  <mergeCells count="49">
    <mergeCell ref="P30:AC30"/>
    <mergeCell ref="T4:U4"/>
    <mergeCell ref="T5:U5"/>
    <mergeCell ref="P16:Q16"/>
    <mergeCell ref="P19:Q19"/>
    <mergeCell ref="P20:Q20"/>
    <mergeCell ref="T6:U6"/>
    <mergeCell ref="T7:U7"/>
    <mergeCell ref="P14:Q14"/>
    <mergeCell ref="P18:R18"/>
    <mergeCell ref="A1:AC1"/>
    <mergeCell ref="P26:Q26"/>
    <mergeCell ref="P27:Q27"/>
    <mergeCell ref="X3:AA3"/>
    <mergeCell ref="X8:AA8"/>
    <mergeCell ref="X9:AA9"/>
    <mergeCell ref="X4:AA4"/>
    <mergeCell ref="X5:AA5"/>
    <mergeCell ref="X6:AA6"/>
    <mergeCell ref="X7:AA7"/>
    <mergeCell ref="A16:N16"/>
    <mergeCell ref="A3:N3"/>
    <mergeCell ref="P25:R25"/>
    <mergeCell ref="T3:V3"/>
    <mergeCell ref="A30:N30"/>
    <mergeCell ref="P15:Q15"/>
    <mergeCell ref="P3:R3"/>
    <mergeCell ref="P4:Q4"/>
    <mergeCell ref="P5:Q5"/>
    <mergeCell ref="P6:Q6"/>
    <mergeCell ref="P7:Q7"/>
    <mergeCell ref="P8:Q8"/>
    <mergeCell ref="P10:R10"/>
    <mergeCell ref="P11:Q11"/>
    <mergeCell ref="P12:Q12"/>
    <mergeCell ref="P13:Q13"/>
    <mergeCell ref="P28:Q28"/>
    <mergeCell ref="P21:Q21"/>
    <mergeCell ref="P22:Q22"/>
    <mergeCell ref="P23:Q23"/>
    <mergeCell ref="X11:AB11"/>
    <mergeCell ref="T16:V16"/>
    <mergeCell ref="T21:V21"/>
    <mergeCell ref="X12:AB16"/>
    <mergeCell ref="X18:AB18"/>
    <mergeCell ref="Z19:AB21"/>
    <mergeCell ref="X19:Y21"/>
    <mergeCell ref="X22:Y24"/>
    <mergeCell ref="Z22:AB24"/>
  </mergeCells>
  <conditionalFormatting sqref="E6:E14 E18:E28 E32:E105">
    <cfRule type="colorScale" priority="4">
      <colorScale>
        <cfvo type="percent" val="0"/>
        <cfvo type="percent" val="50"/>
        <cfvo type="percent" val="100"/>
        <color rgb="FFFF0000"/>
        <color rgb="FFFFC000"/>
        <color rgb="FF00B050"/>
      </colorScale>
    </cfRule>
  </conditionalFormatting>
  <conditionalFormatting sqref="E5:H5 F6:H1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8:H28">
    <cfRule type="colorScale" priority="15">
      <colorScale>
        <cfvo type="min"/>
        <cfvo type="num" val="50"/>
        <cfvo type="max"/>
        <color rgb="FFF8696B"/>
        <color rgb="FFFFC000"/>
        <color rgb="FF63BE7B"/>
      </colorScale>
    </cfRule>
  </conditionalFormatting>
  <conditionalFormatting sqref="F32:H42">
    <cfRule type="colorScale" priority="127">
      <colorScale>
        <cfvo type="min"/>
        <cfvo type="num" val="50"/>
        <cfvo type="max"/>
        <color rgb="FFFF0000"/>
        <color rgb="FFFFC000"/>
        <color rgb="FF92D050"/>
      </colorScale>
    </cfRule>
  </conditionalFormatting>
  <conditionalFormatting sqref="F43:H47">
    <cfRule type="colorScale" priority="128">
      <colorScale>
        <cfvo type="min"/>
        <cfvo type="num" val="50"/>
        <cfvo type="max"/>
        <color rgb="FFF8696B"/>
        <color rgb="FFFFC000"/>
        <color rgb="FF63BE7B"/>
      </colorScale>
    </cfRule>
  </conditionalFormatting>
  <conditionalFormatting sqref="F48:H54">
    <cfRule type="colorScale" priority="211">
      <colorScale>
        <cfvo type="min"/>
        <cfvo type="num" val="50"/>
        <cfvo type="max"/>
        <color rgb="FFF8696B"/>
        <color rgb="FFFFC000"/>
        <color rgb="FF63BE7B"/>
      </colorScale>
    </cfRule>
  </conditionalFormatting>
  <conditionalFormatting sqref="F55:H105">
    <cfRule type="colorScale" priority="3">
      <colorScale>
        <cfvo type="percent" val="0"/>
        <cfvo type="percent" val="50"/>
        <cfvo type="percent" val="100"/>
        <color rgb="FFF8696B"/>
        <color rgb="FFFFC000"/>
        <color rgb="FF63BE7B"/>
      </colorScale>
    </cfRule>
  </conditionalFormatting>
  <conditionalFormatting sqref="T32:T97">
    <cfRule type="colorScale" priority="2">
      <colorScale>
        <cfvo type="percent" val="0"/>
        <cfvo type="percent" val="50"/>
        <cfvo type="percent" val="100"/>
        <color rgb="FFFF0000"/>
        <color rgb="FFFFC000"/>
        <color rgb="FF00B050"/>
      </colorScale>
    </cfRule>
  </conditionalFormatting>
  <conditionalFormatting sqref="U32:W97">
    <cfRule type="colorScale" priority="1">
      <colorScale>
        <cfvo type="percent" val="0"/>
        <cfvo type="percent" val="50"/>
        <cfvo type="percent" val="100"/>
        <color rgb="FFF8696B"/>
        <color rgb="FFFFC000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 negative="1" xr2:uid="{8A63C25A-FE78-3048-B78A-4D4D075187C7}">
          <x14:colorSeries rgb="FFC6EFCE"/>
          <x14:colorNegative rgb="FFFFC7CE"/>
          <x14:colorAxis rgb="FF000000"/>
          <x14:colorMarkers rgb="FF8CADD6"/>
          <x14:colorFirst rgb="FFFFDC47"/>
          <x14:colorLast rgb="FFFFEB9C"/>
          <x14:colorHigh rgb="FF60D276"/>
          <x14:colorLow rgb="FFFF5367"/>
          <x14:sparklines>
            <x14:sparkline>
              <xm:f>Data!AA2:AU2</xm:f>
              <xm:sqref>D6</xm:sqref>
            </x14:sparkline>
            <x14:sparkline>
              <xm:f>Data!AA3:AU3</xm:f>
              <xm:sqref>D7</xm:sqref>
            </x14:sparkline>
            <x14:sparkline>
              <xm:f>Data!AA4:AU4</xm:f>
              <xm:sqref>D8</xm:sqref>
            </x14:sparkline>
            <x14:sparkline>
              <xm:f>Data!AA5:AU5</xm:f>
              <xm:sqref>D9</xm:sqref>
            </x14:sparkline>
            <x14:sparkline>
              <xm:f>Data!AA6:AU6</xm:f>
              <xm:sqref>D10</xm:sqref>
            </x14:sparkline>
            <x14:sparkline>
              <xm:f>Data!AA7:AU7</xm:f>
              <xm:sqref>D11</xm:sqref>
            </x14:sparkline>
            <x14:sparkline>
              <xm:f>Data!AA8:AU8</xm:f>
              <xm:sqref>D12</xm:sqref>
            </x14:sparkline>
            <x14:sparkline>
              <xm:f>Data!AA9:AU9</xm:f>
              <xm:sqref>D13</xm:sqref>
            </x14:sparkline>
            <x14:sparkline>
              <xm:f>Data!AA10:AU10</xm:f>
              <xm:sqref>D14</xm:sqref>
            </x14:sparkline>
          </x14:sparklines>
        </x14:sparklineGroup>
        <x14:sparklineGroup type="column" displayEmptyCellsAs="gap" high="1" low="1" negative="1" xr2:uid="{C7BDB7B9-9DC2-9F4A-B24A-43D59B445780}">
          <x14:colorSeries rgb="FFC6EFCE"/>
          <x14:colorNegative rgb="FFFFC7CE"/>
          <x14:colorAxis rgb="FF000000"/>
          <x14:colorMarkers rgb="FF8CADD6"/>
          <x14:colorFirst rgb="FFFFDC47"/>
          <x14:colorLast rgb="FFFFEB9C"/>
          <x14:colorHigh rgb="FF60D276"/>
          <x14:colorLow rgb="FFFF5367"/>
          <x14:sparklines>
            <x14:sparkline>
              <xm:f>Data!AA96:AV96</xm:f>
              <xm:sqref>S32</xm:sqref>
            </x14:sparkline>
            <x14:sparkline>
              <xm:f>Data!AA97:AV97</xm:f>
              <xm:sqref>S33</xm:sqref>
            </x14:sparkline>
            <x14:sparkline>
              <xm:f>Data!AA98:AV98</xm:f>
              <xm:sqref>S34</xm:sqref>
            </x14:sparkline>
            <x14:sparkline>
              <xm:f>Data!AA99:AV99</xm:f>
              <xm:sqref>S35</xm:sqref>
            </x14:sparkline>
            <x14:sparkline>
              <xm:f>Data!AA100:AV100</xm:f>
              <xm:sqref>S36</xm:sqref>
            </x14:sparkline>
            <x14:sparkline>
              <xm:f>Data!AA101:AV101</xm:f>
              <xm:sqref>S37</xm:sqref>
            </x14:sparkline>
            <x14:sparkline>
              <xm:f>Data!AA102:AV102</xm:f>
              <xm:sqref>S38</xm:sqref>
            </x14:sparkline>
            <x14:sparkline>
              <xm:f>Data!AA103:AV103</xm:f>
              <xm:sqref>S39</xm:sqref>
            </x14:sparkline>
            <x14:sparkline>
              <xm:f>Data!AA104:AV104</xm:f>
              <xm:sqref>S40</xm:sqref>
            </x14:sparkline>
            <x14:sparkline>
              <xm:f>Data!AA105:AV105</xm:f>
              <xm:sqref>S41</xm:sqref>
            </x14:sparkline>
            <x14:sparkline>
              <xm:f>Data!AA106:AV106</xm:f>
              <xm:sqref>S42</xm:sqref>
            </x14:sparkline>
            <x14:sparkline>
              <xm:f>Data!AA107:AV107</xm:f>
              <xm:sqref>S43</xm:sqref>
            </x14:sparkline>
            <x14:sparkline>
              <xm:f>Data!AA108:AV108</xm:f>
              <xm:sqref>S44</xm:sqref>
            </x14:sparkline>
            <x14:sparkline>
              <xm:f>Data!AA109:AV109</xm:f>
              <xm:sqref>S45</xm:sqref>
            </x14:sparkline>
            <x14:sparkline>
              <xm:f>Data!AA110:AV110</xm:f>
              <xm:sqref>S46</xm:sqref>
            </x14:sparkline>
            <x14:sparkline>
              <xm:f>Data!AA111:AV111</xm:f>
              <xm:sqref>S47</xm:sqref>
            </x14:sparkline>
            <x14:sparkline>
              <xm:f>Data!AA112:AV112</xm:f>
              <xm:sqref>S48</xm:sqref>
            </x14:sparkline>
            <x14:sparkline>
              <xm:f>Data!AA113:AV113</xm:f>
              <xm:sqref>S49</xm:sqref>
            </x14:sparkline>
            <x14:sparkline>
              <xm:f>Data!AA114:AV114</xm:f>
              <xm:sqref>S50</xm:sqref>
            </x14:sparkline>
            <x14:sparkline>
              <xm:f>Data!AA115:AV115</xm:f>
              <xm:sqref>S51</xm:sqref>
            </x14:sparkline>
            <x14:sparkline>
              <xm:f>Data!AA116:AV116</xm:f>
              <xm:sqref>S52</xm:sqref>
            </x14:sparkline>
            <x14:sparkline>
              <xm:f>Data!AA117:AV117</xm:f>
              <xm:sqref>S53</xm:sqref>
            </x14:sparkline>
            <x14:sparkline>
              <xm:f>Data!AA118:AV118</xm:f>
              <xm:sqref>S54</xm:sqref>
            </x14:sparkline>
            <x14:sparkline>
              <xm:f>Data!AA119:AV119</xm:f>
              <xm:sqref>S55</xm:sqref>
            </x14:sparkline>
            <x14:sparkline>
              <xm:f>Data!AA120:AV120</xm:f>
              <xm:sqref>S56</xm:sqref>
            </x14:sparkline>
            <x14:sparkline>
              <xm:f>Data!AA121:AV121</xm:f>
              <xm:sqref>S57</xm:sqref>
            </x14:sparkline>
            <x14:sparkline>
              <xm:f>Data!AA122:AV122</xm:f>
              <xm:sqref>S58</xm:sqref>
            </x14:sparkline>
            <x14:sparkline>
              <xm:f>Data!AA123:AV123</xm:f>
              <xm:sqref>S59</xm:sqref>
            </x14:sparkline>
            <x14:sparkline>
              <xm:f>Data!AA124:AV124</xm:f>
              <xm:sqref>S60</xm:sqref>
            </x14:sparkline>
            <x14:sparkline>
              <xm:f>Data!AA125:AV125</xm:f>
              <xm:sqref>S61</xm:sqref>
            </x14:sparkline>
            <x14:sparkline>
              <xm:f>Data!AA126:AV126</xm:f>
              <xm:sqref>S62</xm:sqref>
            </x14:sparkline>
            <x14:sparkline>
              <xm:f>Data!AA127:AV127</xm:f>
              <xm:sqref>S63</xm:sqref>
            </x14:sparkline>
            <x14:sparkline>
              <xm:f>Data!AA128:AV128</xm:f>
              <xm:sqref>S64</xm:sqref>
            </x14:sparkline>
            <x14:sparkline>
              <xm:f>Data!AA129:AV129</xm:f>
              <xm:sqref>S65</xm:sqref>
            </x14:sparkline>
            <x14:sparkline>
              <xm:f>Data!AA130:AV130</xm:f>
              <xm:sqref>S66</xm:sqref>
            </x14:sparkline>
            <x14:sparkline>
              <xm:f>Data!AA131:AV131</xm:f>
              <xm:sqref>S67</xm:sqref>
            </x14:sparkline>
            <x14:sparkline>
              <xm:f>Data!AA132:AV132</xm:f>
              <xm:sqref>S68</xm:sqref>
            </x14:sparkline>
            <x14:sparkline>
              <xm:f>Data!AA133:AV133</xm:f>
              <xm:sqref>S69</xm:sqref>
            </x14:sparkline>
            <x14:sparkline>
              <xm:f>Data!AA134:AV134</xm:f>
              <xm:sqref>S70</xm:sqref>
            </x14:sparkline>
            <x14:sparkline>
              <xm:f>Data!AA135:AV135</xm:f>
              <xm:sqref>S71</xm:sqref>
            </x14:sparkline>
            <x14:sparkline>
              <xm:f>Data!AA136:AV136</xm:f>
              <xm:sqref>S72</xm:sqref>
            </x14:sparkline>
            <x14:sparkline>
              <xm:f>Data!AA137:AV137</xm:f>
              <xm:sqref>S73</xm:sqref>
            </x14:sparkline>
            <x14:sparkline>
              <xm:f>Data!AA138:AV138</xm:f>
              <xm:sqref>S74</xm:sqref>
            </x14:sparkline>
            <x14:sparkline>
              <xm:f>Data!AA139:AV139</xm:f>
              <xm:sqref>S75</xm:sqref>
            </x14:sparkline>
            <x14:sparkline>
              <xm:f>Data!AA140:AV140</xm:f>
              <xm:sqref>S76</xm:sqref>
            </x14:sparkline>
            <x14:sparkline>
              <xm:f>Data!AA141:AV141</xm:f>
              <xm:sqref>S77</xm:sqref>
            </x14:sparkline>
            <x14:sparkline>
              <xm:f>Data!AA142:AV142</xm:f>
              <xm:sqref>S78</xm:sqref>
            </x14:sparkline>
            <x14:sparkline>
              <xm:f>Data!AA143:AV143</xm:f>
              <xm:sqref>S79</xm:sqref>
            </x14:sparkline>
            <x14:sparkline>
              <xm:f>Data!AA144:AV144</xm:f>
              <xm:sqref>S80</xm:sqref>
            </x14:sparkline>
            <x14:sparkline>
              <xm:f>Data!AA145:AV145</xm:f>
              <xm:sqref>S81</xm:sqref>
            </x14:sparkline>
            <x14:sparkline>
              <xm:f>Data!AA146:AV146</xm:f>
              <xm:sqref>S82</xm:sqref>
            </x14:sparkline>
            <x14:sparkline>
              <xm:f>Data!AA147:AV147</xm:f>
              <xm:sqref>S83</xm:sqref>
            </x14:sparkline>
            <x14:sparkline>
              <xm:f>Data!AA148:AV148</xm:f>
              <xm:sqref>S84</xm:sqref>
            </x14:sparkline>
            <x14:sparkline>
              <xm:f>Data!AA149:AV149</xm:f>
              <xm:sqref>S85</xm:sqref>
            </x14:sparkline>
            <x14:sparkline>
              <xm:f>Data!AA150:AV150</xm:f>
              <xm:sqref>S86</xm:sqref>
            </x14:sparkline>
            <x14:sparkline>
              <xm:f>Data!AA151:AV151</xm:f>
              <xm:sqref>S87</xm:sqref>
            </x14:sparkline>
            <x14:sparkline>
              <xm:f>Data!AA152:AV152</xm:f>
              <xm:sqref>S88</xm:sqref>
            </x14:sparkline>
            <x14:sparkline>
              <xm:f>Data!AA153:AV153</xm:f>
              <xm:sqref>S89</xm:sqref>
            </x14:sparkline>
            <x14:sparkline>
              <xm:f>Data!AA154:AV154</xm:f>
              <xm:sqref>S90</xm:sqref>
            </x14:sparkline>
            <x14:sparkline>
              <xm:f>Data!AA155:AV155</xm:f>
              <xm:sqref>S91</xm:sqref>
            </x14:sparkline>
            <x14:sparkline>
              <xm:f>Data!AA156:AV156</xm:f>
              <xm:sqref>S92</xm:sqref>
            </x14:sparkline>
            <x14:sparkline>
              <xm:f>Data!AA157:AV157</xm:f>
              <xm:sqref>S93</xm:sqref>
            </x14:sparkline>
            <x14:sparkline>
              <xm:f>Data!AA158:AV158</xm:f>
              <xm:sqref>S94</xm:sqref>
            </x14:sparkline>
            <x14:sparkline>
              <xm:f>Data!AA159:AV159</xm:f>
              <xm:sqref>S95</xm:sqref>
            </x14:sparkline>
            <x14:sparkline>
              <xm:f>Data!AA160:AV160</xm:f>
              <xm:sqref>S96</xm:sqref>
            </x14:sparkline>
            <x14:sparkline>
              <xm:f>Data!AA161:AV161</xm:f>
              <xm:sqref>S97</xm:sqref>
            </x14:sparkline>
          </x14:sparklines>
        </x14:sparklineGroup>
        <x14:sparklineGroup type="column" displayEmptyCellsAs="gap" high="1" low="1" negative="1" xr2:uid="{111CB253-65C5-C74C-80D5-0E77F5902B1D}">
          <x14:colorSeries rgb="FFC6EFCE"/>
          <x14:colorNegative rgb="FFFFC7CE"/>
          <x14:colorAxis rgb="FF000000"/>
          <x14:colorMarkers rgb="FF8CADD6"/>
          <x14:colorFirst rgb="FFFFDC47"/>
          <x14:colorLast rgb="FFFFEB9C"/>
          <x14:colorHigh rgb="FF60D276"/>
          <x14:colorLow rgb="FFFF5367"/>
          <x14:sparklines>
            <x14:sparkline>
              <xm:f>Data!AA22:AU22</xm:f>
              <xm:sqref>D32</xm:sqref>
            </x14:sparkline>
            <x14:sparkline>
              <xm:f>Data!AA23:AU23</xm:f>
              <xm:sqref>D33</xm:sqref>
            </x14:sparkline>
            <x14:sparkline>
              <xm:f>Data!AA24:AU24</xm:f>
              <xm:sqref>D34</xm:sqref>
            </x14:sparkline>
            <x14:sparkline>
              <xm:f>Data!AA25:AU25</xm:f>
              <xm:sqref>D35</xm:sqref>
            </x14:sparkline>
            <x14:sparkline>
              <xm:f>Data!AA26:AU26</xm:f>
              <xm:sqref>D36</xm:sqref>
            </x14:sparkline>
            <x14:sparkline>
              <xm:f>Data!AA27:AU27</xm:f>
              <xm:sqref>D37</xm:sqref>
            </x14:sparkline>
            <x14:sparkline>
              <xm:f>Data!AA28:AU28</xm:f>
              <xm:sqref>D38</xm:sqref>
            </x14:sparkline>
            <x14:sparkline>
              <xm:f>Data!AA29:AU29</xm:f>
              <xm:sqref>D39</xm:sqref>
            </x14:sparkline>
            <x14:sparkline>
              <xm:f>Data!AA30:AU30</xm:f>
              <xm:sqref>D40</xm:sqref>
            </x14:sparkline>
            <x14:sparkline>
              <xm:f>Data!AA31:AU31</xm:f>
              <xm:sqref>D41</xm:sqref>
            </x14:sparkline>
            <x14:sparkline>
              <xm:f>Data!AA32:AU32</xm:f>
              <xm:sqref>D42</xm:sqref>
            </x14:sparkline>
            <x14:sparkline>
              <xm:f>Data!AA33:AU33</xm:f>
              <xm:sqref>D43</xm:sqref>
            </x14:sparkline>
            <x14:sparkline>
              <xm:f>Data!AA34:AU34</xm:f>
              <xm:sqref>D44</xm:sqref>
            </x14:sparkline>
            <x14:sparkline>
              <xm:f>Data!AA35:AU35</xm:f>
              <xm:sqref>D45</xm:sqref>
            </x14:sparkline>
            <x14:sparkline>
              <xm:f>Data!AA36:AU36</xm:f>
              <xm:sqref>D46</xm:sqref>
            </x14:sparkline>
            <x14:sparkline>
              <xm:f>Data!AA37:AU37</xm:f>
              <xm:sqref>D47</xm:sqref>
            </x14:sparkline>
            <x14:sparkline>
              <xm:f>Data!AA38:AU38</xm:f>
              <xm:sqref>D48</xm:sqref>
            </x14:sparkline>
            <x14:sparkline>
              <xm:f>Data!AA39:AU39</xm:f>
              <xm:sqref>D49</xm:sqref>
            </x14:sparkline>
            <x14:sparkline>
              <xm:f>Data!AA40:AU40</xm:f>
              <xm:sqref>D50</xm:sqref>
            </x14:sparkline>
            <x14:sparkline>
              <xm:f>Data!AA41:AU41</xm:f>
              <xm:sqref>D51</xm:sqref>
            </x14:sparkline>
            <x14:sparkline>
              <xm:f>Data!AA42:AU42</xm:f>
              <xm:sqref>D52</xm:sqref>
            </x14:sparkline>
            <x14:sparkline>
              <xm:f>Data!AA43:AU43</xm:f>
              <xm:sqref>D53</xm:sqref>
            </x14:sparkline>
            <x14:sparkline>
              <xm:f>Data!AA44:AU44</xm:f>
              <xm:sqref>D54</xm:sqref>
            </x14:sparkline>
            <x14:sparkline>
              <xm:f>Data!AA45:AU45</xm:f>
              <xm:sqref>D55</xm:sqref>
            </x14:sparkline>
            <x14:sparkline>
              <xm:f>Data!AA46:AU46</xm:f>
              <xm:sqref>D56</xm:sqref>
            </x14:sparkline>
            <x14:sparkline>
              <xm:f>Data!AA47:AU47</xm:f>
              <xm:sqref>D57</xm:sqref>
            </x14:sparkline>
            <x14:sparkline>
              <xm:f>Data!AA48:AU48</xm:f>
              <xm:sqref>D58</xm:sqref>
            </x14:sparkline>
            <x14:sparkline>
              <xm:f>Data!AA49:AU49</xm:f>
              <xm:sqref>D59</xm:sqref>
            </x14:sparkline>
            <x14:sparkline>
              <xm:f>Data!AA50:AU50</xm:f>
              <xm:sqref>D60</xm:sqref>
            </x14:sparkline>
            <x14:sparkline>
              <xm:f>Data!AA51:AU51</xm:f>
              <xm:sqref>D61</xm:sqref>
            </x14:sparkline>
            <x14:sparkline>
              <xm:f>Data!AA52:AU52</xm:f>
              <xm:sqref>D62</xm:sqref>
            </x14:sparkline>
            <x14:sparkline>
              <xm:f>Data!AA53:AU53</xm:f>
              <xm:sqref>D63</xm:sqref>
            </x14:sparkline>
            <x14:sparkline>
              <xm:f>Data!AA54:AU54</xm:f>
              <xm:sqref>D64</xm:sqref>
            </x14:sparkline>
            <x14:sparkline>
              <xm:f>Data!AA55:AU55</xm:f>
              <xm:sqref>D65</xm:sqref>
            </x14:sparkline>
            <x14:sparkline>
              <xm:f>Data!AA56:AU56</xm:f>
              <xm:sqref>D66</xm:sqref>
            </x14:sparkline>
            <x14:sparkline>
              <xm:f>Data!AA57:AU57</xm:f>
              <xm:sqref>D67</xm:sqref>
            </x14:sparkline>
            <x14:sparkline>
              <xm:f>Data!AA58:AU58</xm:f>
              <xm:sqref>D68</xm:sqref>
            </x14:sparkline>
            <x14:sparkline>
              <xm:f>Data!AA59:AU59</xm:f>
              <xm:sqref>D69</xm:sqref>
            </x14:sparkline>
            <x14:sparkline>
              <xm:f>Data!AA60:AU60</xm:f>
              <xm:sqref>D70</xm:sqref>
            </x14:sparkline>
            <x14:sparkline>
              <xm:f>Data!AA61:AU61</xm:f>
              <xm:sqref>D71</xm:sqref>
            </x14:sparkline>
            <x14:sparkline>
              <xm:f>Data!AA62:AU62</xm:f>
              <xm:sqref>D72</xm:sqref>
            </x14:sparkline>
            <x14:sparkline>
              <xm:f>Data!AA63:AU63</xm:f>
              <xm:sqref>D73</xm:sqref>
            </x14:sparkline>
            <x14:sparkline>
              <xm:f>Data!AA64:AU64</xm:f>
              <xm:sqref>D74</xm:sqref>
            </x14:sparkline>
            <x14:sparkline>
              <xm:f>Data!AA65:AU65</xm:f>
              <xm:sqref>D75</xm:sqref>
            </x14:sparkline>
            <x14:sparkline>
              <xm:f>Data!AA66:AU66</xm:f>
              <xm:sqref>D76</xm:sqref>
            </x14:sparkline>
            <x14:sparkline>
              <xm:f>Data!AA67:AU67</xm:f>
              <xm:sqref>D77</xm:sqref>
            </x14:sparkline>
            <x14:sparkline>
              <xm:f>Data!AA68:AU68</xm:f>
              <xm:sqref>D78</xm:sqref>
            </x14:sparkline>
            <x14:sparkline>
              <xm:f>Data!AA69:AU69</xm:f>
              <xm:sqref>D79</xm:sqref>
            </x14:sparkline>
            <x14:sparkline>
              <xm:f>Data!AA70:AU70</xm:f>
              <xm:sqref>D80</xm:sqref>
            </x14:sparkline>
            <x14:sparkline>
              <xm:f>Data!AA71:AU71</xm:f>
              <xm:sqref>D81</xm:sqref>
            </x14:sparkline>
            <x14:sparkline>
              <xm:f>Data!AA72:AU72</xm:f>
              <xm:sqref>D82</xm:sqref>
            </x14:sparkline>
            <x14:sparkline>
              <xm:f>Data!AA73:AU73</xm:f>
              <xm:sqref>D83</xm:sqref>
            </x14:sparkline>
            <x14:sparkline>
              <xm:f>Data!AA74:AU74</xm:f>
              <xm:sqref>D84</xm:sqref>
            </x14:sparkline>
            <x14:sparkline>
              <xm:f>Data!AA75:AU75</xm:f>
              <xm:sqref>D85</xm:sqref>
            </x14:sparkline>
            <x14:sparkline>
              <xm:f>Data!AA76:AU76</xm:f>
              <xm:sqref>D86</xm:sqref>
            </x14:sparkline>
            <x14:sparkline>
              <xm:f>Data!AA77:AU77</xm:f>
              <xm:sqref>D87</xm:sqref>
            </x14:sparkline>
            <x14:sparkline>
              <xm:f>Data!AA78:AU78</xm:f>
              <xm:sqref>D88</xm:sqref>
            </x14:sparkline>
            <x14:sparkline>
              <xm:f>Data!AA79:AU79</xm:f>
              <xm:sqref>D89</xm:sqref>
            </x14:sparkline>
            <x14:sparkline>
              <xm:f>Data!AA80:AU80</xm:f>
              <xm:sqref>D90</xm:sqref>
            </x14:sparkline>
            <x14:sparkline>
              <xm:f>Data!AA81:AU81</xm:f>
              <xm:sqref>D91</xm:sqref>
            </x14:sparkline>
            <x14:sparkline>
              <xm:f>Data!AA82:AU82</xm:f>
              <xm:sqref>D92</xm:sqref>
            </x14:sparkline>
            <x14:sparkline>
              <xm:f>Data!AA83:AU83</xm:f>
              <xm:sqref>D93</xm:sqref>
            </x14:sparkline>
            <x14:sparkline>
              <xm:f>Data!AA84:AU84</xm:f>
              <xm:sqref>D94</xm:sqref>
            </x14:sparkline>
            <x14:sparkline>
              <xm:f>Data!AA85:AU85</xm:f>
              <xm:sqref>D95</xm:sqref>
            </x14:sparkline>
            <x14:sparkline>
              <xm:f>Data!AA86:AU86</xm:f>
              <xm:sqref>D96</xm:sqref>
            </x14:sparkline>
            <x14:sparkline>
              <xm:f>Data!AA87:AU87</xm:f>
              <xm:sqref>D97</xm:sqref>
            </x14:sparkline>
            <x14:sparkline>
              <xm:f>Data!AA88:AU88</xm:f>
              <xm:sqref>D98</xm:sqref>
            </x14:sparkline>
            <x14:sparkline>
              <xm:f>Data!AA89:AU89</xm:f>
              <xm:sqref>D99</xm:sqref>
            </x14:sparkline>
            <x14:sparkline>
              <xm:f>Data!AA90:AU90</xm:f>
              <xm:sqref>D100</xm:sqref>
            </x14:sparkline>
            <x14:sparkline>
              <xm:f>Data!AA91:AU91</xm:f>
              <xm:sqref>D101</xm:sqref>
            </x14:sparkline>
            <x14:sparkline>
              <xm:f>Data!AA92:AU92</xm:f>
              <xm:sqref>D102</xm:sqref>
            </x14:sparkline>
            <x14:sparkline>
              <xm:f>Data!AA93:AU93</xm:f>
              <xm:sqref>D103</xm:sqref>
            </x14:sparkline>
            <x14:sparkline>
              <xm:f>Data!AA94:AU94</xm:f>
              <xm:sqref>D104</xm:sqref>
            </x14:sparkline>
            <x14:sparkline>
              <xm:f>Data!AA95:AU95</xm:f>
              <xm:sqref>D105</xm:sqref>
            </x14:sparkline>
          </x14:sparklines>
        </x14:sparklineGroup>
        <x14:sparklineGroup type="column" displayEmptyCellsAs="gap" high="1" low="1" negative="1" xr2:uid="{8B6BAE8B-9503-E347-A51A-218D8E9CB836}">
          <x14:colorSeries rgb="FFC6EFCE"/>
          <x14:colorNegative rgb="FFFFC7CE"/>
          <x14:colorAxis rgb="FF000000"/>
          <x14:colorMarkers rgb="FF8CADD6"/>
          <x14:colorFirst rgb="FFFFDC47"/>
          <x14:colorLast rgb="FFFFEB9C"/>
          <x14:colorHigh rgb="FF60D276"/>
          <x14:colorLow rgb="FFFF5367"/>
          <x14:sparklines>
            <x14:sparkline>
              <xm:f>Data!AA11:AU11</xm:f>
              <xm:sqref>D18</xm:sqref>
            </x14:sparkline>
            <x14:sparkline>
              <xm:f>Data!AA12:AU12</xm:f>
              <xm:sqref>D19</xm:sqref>
            </x14:sparkline>
            <x14:sparkline>
              <xm:f>Data!AA13:AU13</xm:f>
              <xm:sqref>D20</xm:sqref>
            </x14:sparkline>
            <x14:sparkline>
              <xm:f>Data!AA14:AU14</xm:f>
              <xm:sqref>D21</xm:sqref>
            </x14:sparkline>
            <x14:sparkline>
              <xm:f>Data!AA15:AU15</xm:f>
              <xm:sqref>D22</xm:sqref>
            </x14:sparkline>
            <x14:sparkline>
              <xm:f>Data!AA16:AU16</xm:f>
              <xm:sqref>D23</xm:sqref>
            </x14:sparkline>
            <x14:sparkline>
              <xm:f>Data!AA17:AU17</xm:f>
              <xm:sqref>D24</xm:sqref>
            </x14:sparkline>
            <x14:sparkline>
              <xm:f>Data!AA18:AU18</xm:f>
              <xm:sqref>D25</xm:sqref>
            </x14:sparkline>
            <x14:sparkline>
              <xm:f>Data!AA19:AU19</xm:f>
              <xm:sqref>D26</xm:sqref>
            </x14:sparkline>
            <x14:sparkline>
              <xm:f>Data!AA20:AU20</xm:f>
              <xm:sqref>D27</xm:sqref>
            </x14:sparkline>
            <x14:sparkline>
              <xm:f>Data!AA21:AU21</xm:f>
              <xm:sqref>D28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51695-4F71-3E49-9A34-6A9FD69B2D70}">
  <dimension ref="A1:CY161"/>
  <sheetViews>
    <sheetView topLeftCell="U1" workbookViewId="0">
      <selection activeCell="D1" sqref="D1:Y1"/>
    </sheetView>
  </sheetViews>
  <sheetFormatPr baseColWidth="10" defaultRowHeight="15" x14ac:dyDescent="0.2"/>
  <cols>
    <col min="1" max="1" width="54.1640625" customWidth="1"/>
    <col min="3" max="3" width="37" customWidth="1"/>
  </cols>
  <sheetData>
    <row r="1" spans="1:103" ht="30" customHeight="1" x14ac:dyDescent="0.2">
      <c r="A1" s="22" t="e" vm="159">
        <v>#VALUE!</v>
      </c>
      <c r="B1" s="23" t="str" cm="1">
        <f t="array" aca="1" ref="B1" ca="1">_FV(A1,"ticker symbol",TRUE)</f>
        <v>SPY</v>
      </c>
      <c r="C1" s="23" t="str" cm="1">
        <f t="array" aca="1" ref="C1" ca="1">_FV(A1,"Name")</f>
        <v>SPDR S&amp;P 500</v>
      </c>
      <c r="D1" cm="1" vm="160">
        <f t="array" aca="1" ref="D1:Y1" ca="1">TRANSPOSE(_xlfn.STOCKHISTORY(B1, WORKDAY(TODAY(), -23), TODAY(), 0, 0, 1))</f>
        <v>662.63</v>
      </c>
      <c r="E1" s="23" vm="161">
        <f ca="1"/>
        <v>652.53</v>
      </c>
      <c r="F1" s="23" vm="162">
        <f ca="1"/>
        <v>659.03</v>
      </c>
      <c r="G1" s="23" vm="163">
        <f ca="1"/>
        <v>668.73</v>
      </c>
      <c r="H1" s="23" vm="164">
        <f ca="1"/>
        <v>675.02</v>
      </c>
      <c r="I1" s="23" vm="165">
        <f ca="1"/>
        <v>679.68</v>
      </c>
      <c r="J1" s="23" vm="166">
        <f ca="1"/>
        <v>683.39</v>
      </c>
      <c r="K1" s="23" vm="167">
        <f ca="1"/>
        <v>680.27</v>
      </c>
      <c r="L1" s="23" vm="168">
        <f ca="1"/>
        <v>681.53</v>
      </c>
      <c r="M1" s="23" vm="169">
        <f ca="1"/>
        <v>683.89</v>
      </c>
      <c r="N1" s="23" vm="170">
        <f ca="1"/>
        <v>684.39</v>
      </c>
      <c r="O1" s="23" vm="171">
        <f ca="1"/>
        <v>685.69</v>
      </c>
      <c r="P1" s="23" vm="172">
        <f ca="1"/>
        <v>683.63</v>
      </c>
      <c r="Q1" s="23" vm="173">
        <f ca="1"/>
        <v>683.04</v>
      </c>
      <c r="R1" s="23" vm="174">
        <f ca="1"/>
        <v>687.57</v>
      </c>
      <c r="S1" s="23" vm="175">
        <f ca="1"/>
        <v>689.17</v>
      </c>
      <c r="T1" s="23" vm="176">
        <f ca="1"/>
        <v>681.76</v>
      </c>
      <c r="U1" s="23" vm="177">
        <f ca="1"/>
        <v>680.73</v>
      </c>
      <c r="V1" s="23" vm="178">
        <f ca="1"/>
        <v>678.87</v>
      </c>
      <c r="W1" s="23" vm="179">
        <f ca="1"/>
        <v>671.4</v>
      </c>
      <c r="X1" s="23" vm="180">
        <f ca="1"/>
        <v>676.47</v>
      </c>
      <c r="Y1" s="23" vm="1">
        <f ca="1"/>
        <v>680.59</v>
      </c>
      <c r="Z1" s="23"/>
      <c r="AA1" s="23">
        <v>1</v>
      </c>
      <c r="AB1" s="23">
        <v>2</v>
      </c>
      <c r="AC1" s="23">
        <v>3</v>
      </c>
      <c r="AD1" s="23">
        <v>4</v>
      </c>
      <c r="AE1" s="23">
        <v>5</v>
      </c>
      <c r="AF1" s="23">
        <v>6</v>
      </c>
      <c r="AG1" s="23">
        <v>7</v>
      </c>
      <c r="AH1" s="23">
        <v>8</v>
      </c>
      <c r="AI1" s="23">
        <v>9</v>
      </c>
      <c r="AJ1" s="23">
        <v>10</v>
      </c>
      <c r="AK1" s="23">
        <v>11</v>
      </c>
      <c r="AL1" s="23">
        <v>12</v>
      </c>
      <c r="AM1" s="23">
        <v>13</v>
      </c>
      <c r="AN1" s="23">
        <v>14</v>
      </c>
      <c r="AO1" s="23">
        <v>15</v>
      </c>
      <c r="AP1" s="23">
        <v>16</v>
      </c>
      <c r="AQ1" s="23">
        <v>17</v>
      </c>
      <c r="AR1" s="23">
        <v>18</v>
      </c>
      <c r="AS1" s="23">
        <v>19</v>
      </c>
      <c r="AT1" s="23">
        <v>20</v>
      </c>
      <c r="AU1" s="23">
        <v>21</v>
      </c>
      <c r="AV1" s="23">
        <v>22</v>
      </c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</row>
    <row r="2" spans="1:103" ht="16" x14ac:dyDescent="0.2">
      <c r="A2" s="10" t="e" vm="181">
        <v>#VALUE!</v>
      </c>
      <c r="B2" s="23" t="str" cm="1">
        <f t="array" aca="1" ref="B2" ca="1">_FV(A2,"ticker symbol",TRUE)</f>
        <v>QQQ</v>
      </c>
      <c r="C2" s="23" t="str" cm="1">
        <f t="array" aca="1" ref="C2" ca="1">_FV(A2,"Name")</f>
        <v>Invesco QQQ Trust 1</v>
      </c>
      <c r="D2" cm="1" vm="182">
        <f t="array" aca="1" ref="D2:Y2" ca="1">TRANSPOSE(_xlfn.STOCKHISTORY(B2, WORKDAY(TODAY(), -23), TODAY(), 0, 0, 1))</f>
        <v>599.87</v>
      </c>
      <c r="E2" vm="183">
        <f ca="1"/>
        <v>585.66999999999996</v>
      </c>
      <c r="F2" vm="184">
        <f ca="1"/>
        <v>590.07000000000005</v>
      </c>
      <c r="G2" vm="185">
        <f ca="1"/>
        <v>605.16</v>
      </c>
      <c r="H2" vm="186">
        <f ca="1"/>
        <v>608.89</v>
      </c>
      <c r="I2" vm="187">
        <f ca="1"/>
        <v>614.27</v>
      </c>
      <c r="J2" vm="188">
        <f ca="1"/>
        <v>619.25</v>
      </c>
      <c r="K2" vm="189">
        <f ca="1"/>
        <v>617.16999999999996</v>
      </c>
      <c r="L2" vm="190">
        <f ca="1"/>
        <v>622</v>
      </c>
      <c r="M2" vm="191">
        <f ca="1"/>
        <v>623.52</v>
      </c>
      <c r="N2" vm="192">
        <f ca="1"/>
        <v>622.94000000000005</v>
      </c>
      <c r="O2" vm="193">
        <f ca="1"/>
        <v>625.48</v>
      </c>
      <c r="P2" vm="194">
        <f ca="1"/>
        <v>624.28</v>
      </c>
      <c r="Q2" vm="195">
        <f ca="1"/>
        <v>625.04999999999995</v>
      </c>
      <c r="R2" vm="196">
        <f ca="1"/>
        <v>627.61</v>
      </c>
      <c r="S2" vm="197">
        <f ca="1"/>
        <v>625.58000000000004</v>
      </c>
      <c r="T2" vm="198">
        <f ca="1"/>
        <v>613.62</v>
      </c>
      <c r="U2" vm="199">
        <f ca="1"/>
        <v>610.54</v>
      </c>
      <c r="V2" vm="200">
        <f ca="1"/>
        <v>611.75</v>
      </c>
      <c r="W2" vm="201">
        <f ca="1"/>
        <v>600.41</v>
      </c>
      <c r="X2" vm="202">
        <f ca="1"/>
        <v>609.11</v>
      </c>
      <c r="Y2" vm="2">
        <f ca="1"/>
        <v>617.04999999999995</v>
      </c>
      <c r="AA2">
        <f ca="1">D2/D$1</f>
        <v>0.90528650981694159</v>
      </c>
      <c r="AB2">
        <f t="shared" ref="AB2:AV2" ca="1" si="0">E2/E$1</f>
        <v>0.89753727797955651</v>
      </c>
      <c r="AC2">
        <f t="shared" ca="1" si="0"/>
        <v>0.89536136442954051</v>
      </c>
      <c r="AD2">
        <f t="shared" ca="1" si="0"/>
        <v>0.90493921313534598</v>
      </c>
      <c r="AE2">
        <f t="shared" ca="1" si="0"/>
        <v>0.90203253236941128</v>
      </c>
      <c r="AF2">
        <f t="shared" ca="1" si="0"/>
        <v>0.90376353578154434</v>
      </c>
      <c r="AG2">
        <f t="shared" ca="1" si="0"/>
        <v>0.90614436851578162</v>
      </c>
      <c r="AH2">
        <f t="shared" ca="1" si="0"/>
        <v>0.90724271245240862</v>
      </c>
      <c r="AI2">
        <f t="shared" ca="1" si="0"/>
        <v>0.91265241442049505</v>
      </c>
      <c r="AJ2">
        <f t="shared" ca="1" si="0"/>
        <v>0.91172556990159237</v>
      </c>
      <c r="AK2">
        <f t="shared" ca="1" si="0"/>
        <v>0.91021201361796644</v>
      </c>
      <c r="AL2">
        <f t="shared" ca="1" si="0"/>
        <v>0.91219064008516959</v>
      </c>
      <c r="AM2">
        <f t="shared" ca="1" si="0"/>
        <v>0.91318403229817291</v>
      </c>
      <c r="AN2">
        <f t="shared" ca="1" si="0"/>
        <v>0.91510014054813771</v>
      </c>
      <c r="AO2">
        <f t="shared" ca="1" si="0"/>
        <v>0.91279433366784468</v>
      </c>
      <c r="AP2">
        <f t="shared" ca="1" si="0"/>
        <v>0.9077295877649928</v>
      </c>
      <c r="AQ2">
        <f t="shared" ca="1" si="0"/>
        <v>0.90005280450598457</v>
      </c>
      <c r="AR2">
        <f t="shared" ca="1" si="0"/>
        <v>0.89689010327148788</v>
      </c>
      <c r="AS2">
        <f t="shared" ca="1" si="0"/>
        <v>0.90112981866925923</v>
      </c>
      <c r="AT2">
        <f t="shared" ca="1" si="0"/>
        <v>0.89426571343461425</v>
      </c>
      <c r="AU2">
        <f t="shared" ca="1" si="0"/>
        <v>0.90042426123848807</v>
      </c>
      <c r="AV2">
        <f t="shared" ca="1" si="0"/>
        <v>0.90663982720874525</v>
      </c>
    </row>
    <row r="3" spans="1:103" ht="16" x14ac:dyDescent="0.2">
      <c r="A3" s="10" t="e" vm="203">
        <v>#VALUE!</v>
      </c>
      <c r="B3" s="23" t="str" cm="1">
        <f t="array" aca="1" ref="B3" ca="1">_FV(A3,"ticker symbol",TRUE)</f>
        <v>DIA</v>
      </c>
      <c r="C3" s="23" t="str" cm="1">
        <f t="array" aca="1" ref="C3" ca="1">_FV(A3,"Name")</f>
        <v>SPDR Dow Jones Indus Avg</v>
      </c>
      <c r="D3" cm="1" vm="204">
        <f t="array" aca="1" ref="D3:Y3" ca="1">TRANSPOSE(_xlfn.STOCKHISTORY(B3, WORKDAY(TODAY(), -23), TODAY(), 0, 0, 1))</f>
        <v>461.76</v>
      </c>
      <c r="E3" vm="205">
        <f ca="1"/>
        <v>458.1</v>
      </c>
      <c r="F3" vm="206">
        <f ca="1"/>
        <v>462.57</v>
      </c>
      <c r="G3" vm="207">
        <f ca="1"/>
        <v>464.44</v>
      </c>
      <c r="H3" vm="208">
        <f ca="1"/>
        <v>471.18</v>
      </c>
      <c r="I3" vm="209">
        <f ca="1"/>
        <v>474.35</v>
      </c>
      <c r="J3" vm="210">
        <f ca="1"/>
        <v>477.18</v>
      </c>
      <c r="K3" vm="211">
        <f ca="1"/>
        <v>473.32</v>
      </c>
      <c r="L3" vm="212">
        <f ca="1"/>
        <v>475.26</v>
      </c>
      <c r="M3" vm="213">
        <f ca="1"/>
        <v>479.41</v>
      </c>
      <c r="N3" vm="214">
        <f ca="1"/>
        <v>479.07</v>
      </c>
      <c r="O3" vm="215">
        <f ca="1"/>
        <v>480.03</v>
      </c>
      <c r="P3" vm="216">
        <f ca="1"/>
        <v>478.15</v>
      </c>
      <c r="Q3" vm="217">
        <f ca="1"/>
        <v>476.42</v>
      </c>
      <c r="R3" vm="218">
        <f ca="1"/>
        <v>481.35</v>
      </c>
      <c r="S3" vm="219">
        <f ca="1"/>
        <v>487.87</v>
      </c>
      <c r="T3" vm="220">
        <f ca="1"/>
        <v>485.4</v>
      </c>
      <c r="U3" vm="221">
        <f ca="1"/>
        <v>485.17</v>
      </c>
      <c r="V3" vm="222">
        <f ca="1"/>
        <v>481.98</v>
      </c>
      <c r="W3" vm="223">
        <f ca="1"/>
        <v>479.8</v>
      </c>
      <c r="X3" vm="224">
        <f ca="1"/>
        <v>480.51</v>
      </c>
      <c r="Y3" vm="3">
        <f ca="1"/>
        <v>481.15</v>
      </c>
      <c r="AA3">
        <f t="shared" ref="AA3:AA66" ca="1" si="1">D3/D$1</f>
        <v>0.69685948417668986</v>
      </c>
      <c r="AB3">
        <f t="shared" ref="AB3:AB66" ca="1" si="2">E3/E$1</f>
        <v>0.70203668796836938</v>
      </c>
      <c r="AC3">
        <f t="shared" ref="AC3:AC66" ca="1" si="3">F3/F$1</f>
        <v>0.70189520962626895</v>
      </c>
      <c r="AD3">
        <f t="shared" ref="AD3:AD66" ca="1" si="4">G3/G$1</f>
        <v>0.69451049003334675</v>
      </c>
      <c r="AE3">
        <f t="shared" ref="AE3:AE66" ca="1" si="5">H3/H$1</f>
        <v>0.69802376225889606</v>
      </c>
      <c r="AF3">
        <f t="shared" ref="AF3:AF66" ca="1" si="6">I3/I$1</f>
        <v>0.69790195386064036</v>
      </c>
      <c r="AG3">
        <f t="shared" ref="AG3:AG66" ca="1" si="7">J3/J$1</f>
        <v>0.69825429110756676</v>
      </c>
      <c r="AH3">
        <f t="shared" ref="AH3:AH66" ca="1" si="8">K3/K$1</f>
        <v>0.6957825569259265</v>
      </c>
      <c r="AI3">
        <f t="shared" ref="AI3:AI66" ca="1" si="9">L3/L$1</f>
        <v>0.69734274353293324</v>
      </c>
      <c r="AJ3">
        <f t="shared" ref="AJ3:AJ66" ca="1" si="10">M3/M$1</f>
        <v>0.70100454751495134</v>
      </c>
      <c r="AK3">
        <f t="shared" ref="AK3:AK66" ca="1" si="11">N3/N$1</f>
        <v>0.6999956165344321</v>
      </c>
      <c r="AL3">
        <f t="shared" ref="AL3:AL66" ca="1" si="12">O3/O$1</f>
        <v>0.70006854409426988</v>
      </c>
      <c r="AM3">
        <f t="shared" ref="AM3:AM66" ca="1" si="13">P3/P$1</f>
        <v>0.69942805318666523</v>
      </c>
      <c r="AN3">
        <f t="shared" ref="AN3:AN66" ca="1" si="14">Q3/Q$1</f>
        <v>0.69749941438275953</v>
      </c>
      <c r="AO3">
        <f t="shared" ref="AO3:AO66" ca="1" si="15">R3/R$1</f>
        <v>0.70007417426589291</v>
      </c>
      <c r="AP3">
        <f t="shared" ref="AP3:AP66" ca="1" si="16">S3/S$1</f>
        <v>0.7079095143433406</v>
      </c>
      <c r="AQ3">
        <f t="shared" ref="AQ3:AQ66" ca="1" si="17">T3/T$1</f>
        <v>0.71198075569115227</v>
      </c>
      <c r="AR3">
        <f t="shared" ref="AR3:AR66" ca="1" si="18">U3/U$1</f>
        <v>0.71272016805488225</v>
      </c>
      <c r="AS3">
        <f t="shared" ref="AS3:AS66" ca="1" si="19">V3/V$1</f>
        <v>0.70997392726147868</v>
      </c>
      <c r="AT3">
        <f t="shared" ref="AT3:AT66" ca="1" si="20">W3/W$1</f>
        <v>0.71462615430443854</v>
      </c>
      <c r="AU3">
        <f t="shared" ref="AU3:AU66" ca="1" si="21">X3/X$1</f>
        <v>0.71031974810412879</v>
      </c>
      <c r="AV3">
        <f t="shared" ref="AV3:AV66" ca="1" si="22">Y3/Y$1</f>
        <v>0.70696013752773323</v>
      </c>
    </row>
    <row r="4" spans="1:103" ht="16" x14ac:dyDescent="0.2">
      <c r="A4" s="10" t="e" vm="225">
        <v>#VALUE!</v>
      </c>
      <c r="B4" s="23" t="str" cm="1">
        <f t="array" aca="1" ref="B4" ca="1">_FV(A4,"ticker symbol",TRUE)</f>
        <v>IWM</v>
      </c>
      <c r="C4" s="23" t="str" cm="1">
        <f t="array" aca="1" ref="C4" ca="1">_FV(A4,"Name")</f>
        <v>iShares:Russ 2000 ETF</v>
      </c>
      <c r="D4" cm="1" vm="226">
        <f t="array" aca="1" ref="D4:Y4" ca="1">TRANSPOSE(_xlfn.STOCKHISTORY(B4, WORKDAY(TODAY(), -23), TODAY(), 0, 0, 1))</f>
        <v>233.43</v>
      </c>
      <c r="E4" vm="227">
        <f ca="1"/>
        <v>229.11</v>
      </c>
      <c r="F4" vm="228">
        <f ca="1"/>
        <v>235.6</v>
      </c>
      <c r="G4" vm="229">
        <f ca="1"/>
        <v>239.9</v>
      </c>
      <c r="H4" vm="230">
        <f ca="1"/>
        <v>245.13</v>
      </c>
      <c r="I4" vm="231">
        <f ca="1"/>
        <v>247.3</v>
      </c>
      <c r="J4" vm="232">
        <f ca="1"/>
        <v>248.75</v>
      </c>
      <c r="K4" vm="233">
        <f ca="1"/>
        <v>245.62</v>
      </c>
      <c r="L4" vm="234">
        <f ca="1"/>
        <v>245.17</v>
      </c>
      <c r="M4" vm="235">
        <f ca="1"/>
        <v>249.63</v>
      </c>
      <c r="N4" vm="236">
        <f ca="1"/>
        <v>251.82</v>
      </c>
      <c r="O4" vm="237">
        <f ca="1"/>
        <v>250.77</v>
      </c>
      <c r="P4" vm="238">
        <f ca="1"/>
        <v>250.87</v>
      </c>
      <c r="Q4" vm="239">
        <f ca="1"/>
        <v>251.39</v>
      </c>
      <c r="R4" vm="240">
        <f ca="1"/>
        <v>254.81</v>
      </c>
      <c r="S4" vm="241">
        <f ca="1"/>
        <v>257.8</v>
      </c>
      <c r="T4" vm="242">
        <f ca="1"/>
        <v>253.85</v>
      </c>
      <c r="U4" vm="243">
        <f ca="1"/>
        <v>251.93</v>
      </c>
      <c r="V4" vm="244">
        <f ca="1"/>
        <v>249.9</v>
      </c>
      <c r="W4" vm="245">
        <f ca="1"/>
        <v>247.24</v>
      </c>
      <c r="X4" vm="246">
        <f ca="1"/>
        <v>248.71</v>
      </c>
      <c r="Y4" vm="4">
        <f ca="1"/>
        <v>250.79</v>
      </c>
      <c r="AA4">
        <f t="shared" ca="1" si="1"/>
        <v>0.35227804355371778</v>
      </c>
      <c r="AB4">
        <f t="shared" ca="1" si="2"/>
        <v>0.35111029377959635</v>
      </c>
      <c r="AC4">
        <f t="shared" ca="1" si="3"/>
        <v>0.3574951064443197</v>
      </c>
      <c r="AD4">
        <f t="shared" ca="1" si="4"/>
        <v>0.3587397006265608</v>
      </c>
      <c r="AE4">
        <f t="shared" ca="1" si="5"/>
        <v>0.36314479570975677</v>
      </c>
      <c r="AF4">
        <f t="shared" ca="1" si="6"/>
        <v>0.36384769303201508</v>
      </c>
      <c r="AG4">
        <f t="shared" ca="1" si="7"/>
        <v>0.36399420535858001</v>
      </c>
      <c r="AH4">
        <f t="shared" ca="1" si="8"/>
        <v>0.36106251929380984</v>
      </c>
      <c r="AI4">
        <f t="shared" ca="1" si="9"/>
        <v>0.3597347145393453</v>
      </c>
      <c r="AJ4">
        <f t="shared" ca="1" si="10"/>
        <v>0.36501484156808844</v>
      </c>
      <c r="AK4">
        <f t="shared" ca="1" si="11"/>
        <v>0.36794809976767634</v>
      </c>
      <c r="AL4">
        <f t="shared" ca="1" si="12"/>
        <v>0.36571920255509049</v>
      </c>
      <c r="AM4">
        <f t="shared" ca="1" si="13"/>
        <v>0.3669675116656671</v>
      </c>
      <c r="AN4">
        <f t="shared" ca="1" si="14"/>
        <v>0.36804579526821268</v>
      </c>
      <c r="AO4">
        <f t="shared" ca="1" si="15"/>
        <v>0.37059499396425089</v>
      </c>
      <c r="AP4">
        <f t="shared" ca="1" si="16"/>
        <v>0.37407316046838957</v>
      </c>
      <c r="AQ4">
        <f t="shared" ca="1" si="17"/>
        <v>0.37234510678244542</v>
      </c>
      <c r="AR4">
        <f t="shared" ca="1" si="18"/>
        <v>0.37008799377139245</v>
      </c>
      <c r="AS4">
        <f t="shared" ca="1" si="19"/>
        <v>0.36811171505590173</v>
      </c>
      <c r="AT4">
        <f t="shared" ca="1" si="20"/>
        <v>0.36824545725350016</v>
      </c>
      <c r="AU4">
        <f t="shared" ca="1" si="21"/>
        <v>0.36765858057267875</v>
      </c>
      <c r="AV4">
        <f t="shared" ca="1" si="22"/>
        <v>0.36848910504121424</v>
      </c>
    </row>
    <row r="5" spans="1:103" ht="16" x14ac:dyDescent="0.2">
      <c r="A5" s="10" t="e" vm="247">
        <v>#VALUE!</v>
      </c>
      <c r="B5" s="23" t="str" cm="1">
        <f t="array" aca="1" ref="B5" ca="1">_FV(A5,"ticker symbol",TRUE)</f>
        <v>RSP</v>
      </c>
      <c r="C5" s="23" t="str" cm="1">
        <f t="array" aca="1" ref="C5" ca="1">_FV(A5,"Name")</f>
        <v>Invesco S&amp;P500 EWght</v>
      </c>
      <c r="D5" cm="1" vm="248">
        <f t="array" aca="1" ref="D5:Y5" ca="1">TRANSPOSE(_xlfn.STOCKHISTORY(B5, WORKDAY(TODAY(), -23), TODAY(), 0, 0, 1))</f>
        <v>184.43</v>
      </c>
      <c r="E5" vm="249">
        <f ca="1"/>
        <v>182.18</v>
      </c>
      <c r="F5" vm="250">
        <f ca="1"/>
        <v>185.76</v>
      </c>
      <c r="G5" vm="251">
        <f ca="1"/>
        <v>186.53</v>
      </c>
      <c r="H5" vm="252">
        <f ca="1"/>
        <v>189.18</v>
      </c>
      <c r="I5" vm="253">
        <f ca="1"/>
        <v>190.5</v>
      </c>
      <c r="J5" vm="254">
        <f ca="1"/>
        <v>191.53</v>
      </c>
      <c r="K5" vm="255">
        <f ca="1"/>
        <v>190.22</v>
      </c>
      <c r="L5" vm="256">
        <f ca="1"/>
        <v>190.04</v>
      </c>
      <c r="M5" vm="257">
        <f ca="1"/>
        <v>191.49</v>
      </c>
      <c r="N5" vm="258">
        <f ca="1"/>
        <v>191.55</v>
      </c>
      <c r="O5" vm="259">
        <f ca="1"/>
        <v>192</v>
      </c>
      <c r="P5" vm="260">
        <f ca="1"/>
        <v>190.85</v>
      </c>
      <c r="Q5" vm="261">
        <f ca="1"/>
        <v>190.49</v>
      </c>
      <c r="R5" vm="262">
        <f ca="1"/>
        <v>193.17</v>
      </c>
      <c r="S5" vm="263">
        <f ca="1"/>
        <v>194.73</v>
      </c>
      <c r="T5" vm="264">
        <f ca="1"/>
        <v>193.41</v>
      </c>
      <c r="U5" vm="265">
        <f ca="1"/>
        <v>193.65</v>
      </c>
      <c r="V5" vm="266">
        <f ca="1"/>
        <v>192.29</v>
      </c>
      <c r="W5" vm="267">
        <f ca="1"/>
        <v>191.77</v>
      </c>
      <c r="X5" vm="268">
        <f ca="1"/>
        <v>192.18</v>
      </c>
      <c r="Y5" vm="5">
        <f ca="1"/>
        <v>192.88</v>
      </c>
      <c r="AA5">
        <f t="shared" ca="1" si="1"/>
        <v>0.27833028990537706</v>
      </c>
      <c r="AB5">
        <f t="shared" ca="1" si="2"/>
        <v>0.27919022880174094</v>
      </c>
      <c r="AC5">
        <f t="shared" ca="1" si="3"/>
        <v>0.28186880718631929</v>
      </c>
      <c r="AD5">
        <f t="shared" ca="1" si="4"/>
        <v>0.27893170636878861</v>
      </c>
      <c r="AE5">
        <f t="shared" ca="1" si="5"/>
        <v>0.28025836271517884</v>
      </c>
      <c r="AF5">
        <f t="shared" ca="1" si="6"/>
        <v>0.28027895480225989</v>
      </c>
      <c r="AG5">
        <f t="shared" ca="1" si="7"/>
        <v>0.28026456342644757</v>
      </c>
      <c r="AH5">
        <f t="shared" ca="1" si="8"/>
        <v>0.27962426683522718</v>
      </c>
      <c r="AI5">
        <f t="shared" ca="1" si="9"/>
        <v>0.27884319105541944</v>
      </c>
      <c r="AJ5">
        <f t="shared" ca="1" si="10"/>
        <v>0.2800011697787656</v>
      </c>
      <c r="AK5">
        <f t="shared" ca="1" si="11"/>
        <v>0.27988427650900805</v>
      </c>
      <c r="AL5">
        <f t="shared" ca="1" si="12"/>
        <v>0.28000991701789435</v>
      </c>
      <c r="AM5">
        <f t="shared" ca="1" si="13"/>
        <v>0.27917148164943023</v>
      </c>
      <c r="AN5">
        <f t="shared" ca="1" si="14"/>
        <v>0.27888557039119233</v>
      </c>
      <c r="AO5">
        <f t="shared" ca="1" si="15"/>
        <v>0.28094594004974033</v>
      </c>
      <c r="AP5">
        <f t="shared" ca="1" si="16"/>
        <v>0.28255727904580874</v>
      </c>
      <c r="AQ5">
        <f t="shared" ca="1" si="17"/>
        <v>0.28369220840178361</v>
      </c>
      <c r="AR5">
        <f t="shared" ca="1" si="18"/>
        <v>0.28447402053677667</v>
      </c>
      <c r="AS5">
        <f t="shared" ca="1" si="19"/>
        <v>0.28325010679511542</v>
      </c>
      <c r="AT5">
        <f t="shared" ca="1" si="20"/>
        <v>0.28562704795948768</v>
      </c>
      <c r="AU5">
        <f t="shared" ca="1" si="21"/>
        <v>0.28409242094993126</v>
      </c>
      <c r="AV5">
        <f t="shared" ca="1" si="22"/>
        <v>0.2834011666348315</v>
      </c>
    </row>
    <row r="6" spans="1:103" ht="16" x14ac:dyDescent="0.2">
      <c r="A6" s="10" t="e" vm="269">
        <v>#VALUE!</v>
      </c>
      <c r="B6" s="23" t="str" cm="1">
        <f t="array" aca="1" ref="B6" ca="1">_FV(A6,"ticker symbol",TRUE)</f>
        <v>QQQE</v>
      </c>
      <c r="C6" s="23" t="str" cm="1">
        <f t="array" aca="1" ref="C6" ca="1">_FV(A6,"Name")</f>
        <v>Direxion:NASDAQ-100 EWI</v>
      </c>
      <c r="D6" cm="1" vm="270">
        <f t="array" aca="1" ref="D6:Y6" ca="1">TRANSPOSE(_xlfn.STOCKHISTORY(B6, WORKDAY(TODAY(), -23), TODAY(), 0, 0, 1))</f>
        <v>99.05</v>
      </c>
      <c r="E6" vm="271">
        <f ca="1"/>
        <v>96.91</v>
      </c>
      <c r="F6" vm="272">
        <f ca="1"/>
        <v>98.42</v>
      </c>
      <c r="G6" vm="273">
        <f ca="1"/>
        <v>99.58</v>
      </c>
      <c r="H6" vm="274">
        <f ca="1"/>
        <v>100.61</v>
      </c>
      <c r="I6" vm="275">
        <f ca="1"/>
        <v>101.22</v>
      </c>
      <c r="J6" vm="276">
        <f ca="1"/>
        <v>102.15</v>
      </c>
      <c r="K6" vm="277">
        <f ca="1"/>
        <v>101.78</v>
      </c>
      <c r="L6" vm="278">
        <f ca="1"/>
        <v>102.78</v>
      </c>
      <c r="M6" vm="279">
        <f ca="1"/>
        <v>103.92</v>
      </c>
      <c r="N6" vm="280">
        <f ca="1"/>
        <v>103.59</v>
      </c>
      <c r="O6" vm="281">
        <f ca="1"/>
        <v>104.08</v>
      </c>
      <c r="P6" vm="282">
        <f ca="1"/>
        <v>103.55</v>
      </c>
      <c r="Q6" vm="283">
        <f ca="1"/>
        <v>103.46</v>
      </c>
      <c r="R6" vm="284">
        <f ca="1"/>
        <v>104.44</v>
      </c>
      <c r="S6" vm="285">
        <f ca="1"/>
        <v>104.43</v>
      </c>
      <c r="T6" vm="286">
        <f ca="1"/>
        <v>103.24</v>
      </c>
      <c r="U6" vm="287">
        <f ca="1"/>
        <v>103.03</v>
      </c>
      <c r="V6" vm="288">
        <f ca="1"/>
        <v>102.8</v>
      </c>
      <c r="W6" vm="289">
        <f ca="1"/>
        <v>101.55</v>
      </c>
      <c r="X6" vm="290">
        <f ca="1"/>
        <v>102.49</v>
      </c>
      <c r="Y6" vm="6">
        <f ca="1"/>
        <v>103.27</v>
      </c>
      <c r="AA6">
        <f t="shared" ca="1" si="1"/>
        <v>0.14948010201771728</v>
      </c>
      <c r="AB6">
        <f t="shared" ca="1" si="2"/>
        <v>0.14851424455580586</v>
      </c>
      <c r="AC6">
        <f t="shared" ca="1" si="3"/>
        <v>0.1493406976920626</v>
      </c>
      <c r="AD6">
        <f t="shared" ca="1" si="4"/>
        <v>0.1489091262542431</v>
      </c>
      <c r="AE6">
        <f t="shared" ca="1" si="5"/>
        <v>0.14904743563153686</v>
      </c>
      <c r="AF6">
        <f t="shared" ca="1" si="6"/>
        <v>0.14892302259887005</v>
      </c>
      <c r="AG6">
        <f t="shared" ca="1" si="7"/>
        <v>0.1494754093562973</v>
      </c>
      <c r="AH6">
        <f t="shared" ca="1" si="8"/>
        <v>0.14961706381289783</v>
      </c>
      <c r="AI6">
        <f t="shared" ca="1" si="9"/>
        <v>0.15080774140536735</v>
      </c>
      <c r="AJ6">
        <f t="shared" ca="1" si="10"/>
        <v>0.1519542616502654</v>
      </c>
      <c r="AK6">
        <f t="shared" ca="1" si="11"/>
        <v>0.15136106605882613</v>
      </c>
      <c r="AL6">
        <f t="shared" ca="1" si="12"/>
        <v>0.15178870918345022</v>
      </c>
      <c r="AM6">
        <f t="shared" ca="1" si="13"/>
        <v>0.15147082486140162</v>
      </c>
      <c r="AN6">
        <f t="shared" ca="1" si="14"/>
        <v>0.15146989927383461</v>
      </c>
      <c r="AO6">
        <f t="shared" ca="1" si="15"/>
        <v>0.15189726136975143</v>
      </c>
      <c r="AP6">
        <f t="shared" ca="1" si="16"/>
        <v>0.15153010142635345</v>
      </c>
      <c r="AQ6">
        <f t="shared" ca="1" si="17"/>
        <v>0.15143158882891339</v>
      </c>
      <c r="AR6">
        <f t="shared" ca="1" si="18"/>
        <v>0.15135222481747534</v>
      </c>
      <c r="AS6">
        <f t="shared" ca="1" si="19"/>
        <v>0.15142810847437654</v>
      </c>
      <c r="AT6">
        <f t="shared" ca="1" si="20"/>
        <v>0.15125111706881145</v>
      </c>
      <c r="AU6">
        <f t="shared" ca="1" si="21"/>
        <v>0.15150708826703327</v>
      </c>
      <c r="AV6">
        <f t="shared" ca="1" si="22"/>
        <v>0.15173599377011121</v>
      </c>
    </row>
    <row r="7" spans="1:103" ht="16" x14ac:dyDescent="0.2">
      <c r="A7" s="10" t="e" vm="291">
        <v>#VALUE!</v>
      </c>
      <c r="B7" s="23" t="str" cm="1">
        <f t="array" aca="1" ref="B7" ca="1">_FV(A7,"ticker symbol",TRUE)</f>
        <v>EDOW</v>
      </c>
      <c r="C7" s="23" t="str" cm="1">
        <f t="array" aca="1" ref="C7" ca="1">_FV(A7,"Name")</f>
        <v>FT:Dow 30 Equal Weight</v>
      </c>
      <c r="D7" cm="1" vm="292">
        <f t="array" aca="1" ref="D7:Y7" ca="1">TRANSPOSE(_xlfn.STOCKHISTORY(B7, WORKDAY(TODAY(), -23), TODAY(), 0, 0, 1))</f>
        <v>40.037500000000001</v>
      </c>
      <c r="E7" vm="293">
        <f ca="1"/>
        <v>39.72</v>
      </c>
      <c r="F7" vm="294">
        <f ca="1"/>
        <v>40.204599999999999</v>
      </c>
      <c r="G7" vm="295">
        <f ca="1"/>
        <v>40.284999999999997</v>
      </c>
      <c r="H7" vm="296">
        <f ca="1"/>
        <v>40.828200000000002</v>
      </c>
      <c r="I7" vm="297">
        <f ca="1"/>
        <v>41.054099999999998</v>
      </c>
      <c r="J7" vm="298">
        <f ca="1"/>
        <v>41.235999999999997</v>
      </c>
      <c r="K7" vm="299">
        <f ca="1"/>
        <v>40.999299999999998</v>
      </c>
      <c r="L7" vm="300">
        <f ca="1"/>
        <v>41.13</v>
      </c>
      <c r="M7" vm="301">
        <f ca="1"/>
        <v>41.47</v>
      </c>
      <c r="N7" vm="302">
        <f ca="1"/>
        <v>41.356699999999996</v>
      </c>
      <c r="O7" vm="303">
        <f ca="1"/>
        <v>41.322699999999998</v>
      </c>
      <c r="P7" vm="304">
        <f ca="1"/>
        <v>41.097200000000001</v>
      </c>
      <c r="Q7" vm="305">
        <f ca="1"/>
        <v>40.99</v>
      </c>
      <c r="R7" vm="306">
        <f ca="1"/>
        <v>41.39</v>
      </c>
      <c r="S7" vm="307">
        <f ca="1"/>
        <v>41.7455</v>
      </c>
      <c r="T7" vm="308">
        <f ca="1"/>
        <v>41.62</v>
      </c>
      <c r="U7" vm="309">
        <f ca="1"/>
        <v>41.63</v>
      </c>
      <c r="V7" vm="310">
        <f ca="1"/>
        <v>41.36</v>
      </c>
      <c r="W7" vm="311">
        <f ca="1"/>
        <v>41.23</v>
      </c>
      <c r="X7" vm="312">
        <f ca="1"/>
        <v>41.2089</v>
      </c>
      <c r="Y7" vm="7">
        <f ca="1"/>
        <v>41.203200000000002</v>
      </c>
      <c r="AA7">
        <f t="shared" ca="1" si="1"/>
        <v>6.0422105850927367E-2</v>
      </c>
      <c r="AB7">
        <f t="shared" ca="1" si="2"/>
        <v>6.0870764562548849E-2</v>
      </c>
      <c r="AC7">
        <f t="shared" ca="1" si="3"/>
        <v>6.1005720528655751E-2</v>
      </c>
      <c r="AD7">
        <f t="shared" ca="1" si="4"/>
        <v>6.0241053938061694E-2</v>
      </c>
      <c r="AE7">
        <f t="shared" ca="1" si="5"/>
        <v>6.0484430090960273E-2</v>
      </c>
      <c r="AF7">
        <f t="shared" ca="1" si="6"/>
        <v>6.0402100988700566E-2</v>
      </c>
      <c r="AG7">
        <f t="shared" ca="1" si="7"/>
        <v>6.0340362018759419E-2</v>
      </c>
      <c r="AH7">
        <f t="shared" ca="1" si="8"/>
        <v>6.0269157834389284E-2</v>
      </c>
      <c r="AI7">
        <f t="shared" ca="1" si="9"/>
        <v>6.034950772526522E-2</v>
      </c>
      <c r="AJ7">
        <f t="shared" ca="1" si="10"/>
        <v>6.0638406761321262E-2</v>
      </c>
      <c r="AK7">
        <f t="shared" ca="1" si="11"/>
        <v>6.042855681701953E-2</v>
      </c>
      <c r="AL7">
        <f t="shared" ca="1" si="12"/>
        <v>6.0264405197684077E-2</v>
      </c>
      <c r="AM7">
        <f t="shared" ca="1" si="13"/>
        <v>6.011614469815544E-2</v>
      </c>
      <c r="AN7">
        <f t="shared" ca="1" si="14"/>
        <v>6.0011126727570863E-2</v>
      </c>
      <c r="AO7">
        <f t="shared" ca="1" si="15"/>
        <v>6.0197507162907046E-2</v>
      </c>
      <c r="AP7">
        <f t="shared" ca="1" si="16"/>
        <v>6.0573588519523491E-2</v>
      </c>
      <c r="AQ7">
        <f t="shared" ca="1" si="17"/>
        <v>6.1047876085425952E-2</v>
      </c>
      <c r="AR7">
        <f t="shared" ca="1" si="18"/>
        <v>6.1154936612166352E-2</v>
      </c>
      <c r="AS7">
        <f t="shared" ca="1" si="19"/>
        <v>6.0924772047667448E-2</v>
      </c>
      <c r="AT7">
        <f t="shared" ca="1" si="20"/>
        <v>6.1408996127494786E-2</v>
      </c>
      <c r="AU7">
        <f t="shared" ca="1" si="21"/>
        <v>6.0917557319615061E-2</v>
      </c>
      <c r="AV7">
        <f t="shared" ca="1" si="22"/>
        <v>6.0540413464787904E-2</v>
      </c>
    </row>
    <row r="8" spans="1:103" ht="16" x14ac:dyDescent="0.2">
      <c r="A8" s="10" t="e" vm="313">
        <v>#VALUE!</v>
      </c>
      <c r="B8" s="23" t="str" cm="1">
        <f t="array" aca="1" ref="B8" ca="1">_FV(A8,"ticker symbol",TRUE)</f>
        <v>MDY</v>
      </c>
      <c r="C8" s="23" t="str" cm="1">
        <f t="array" aca="1" ref="C8" ca="1">_FV(A8,"Name")</f>
        <v>SPDR S&amp;P MidCap 400</v>
      </c>
      <c r="D8" cm="1" vm="314">
        <f t="array" aca="1" ref="D8:Y8" ca="1">TRANSPOSE(_xlfn.STOCKHISTORY(B8, WORKDAY(TODAY(), -23), TODAY(), 0, 0, 1))</f>
        <v>577.89</v>
      </c>
      <c r="E8" vm="315">
        <f ca="1"/>
        <v>568.63</v>
      </c>
      <c r="F8" vm="316">
        <f ca="1"/>
        <v>582.32000000000005</v>
      </c>
      <c r="G8" vm="317">
        <f ca="1"/>
        <v>587.80999999999995</v>
      </c>
      <c r="H8" vm="318">
        <f ca="1"/>
        <v>598.88</v>
      </c>
      <c r="I8" vm="319">
        <f ca="1"/>
        <v>602.5</v>
      </c>
      <c r="J8" vm="320">
        <f ca="1"/>
        <v>605.48</v>
      </c>
      <c r="K8" vm="321">
        <f ca="1"/>
        <v>602.20000000000005</v>
      </c>
      <c r="L8" vm="322">
        <f ca="1"/>
        <v>600.02</v>
      </c>
      <c r="M8" vm="323">
        <f ca="1"/>
        <v>604.19000000000005</v>
      </c>
      <c r="N8" vm="324">
        <f ca="1"/>
        <v>607.15</v>
      </c>
      <c r="O8" vm="325">
        <f ca="1"/>
        <v>607.38</v>
      </c>
      <c r="P8" vm="326">
        <f ca="1"/>
        <v>604.34</v>
      </c>
      <c r="Q8" vm="327">
        <f ca="1"/>
        <v>603.9</v>
      </c>
      <c r="R8" vm="328">
        <f ca="1"/>
        <v>615.37</v>
      </c>
      <c r="S8" vm="329">
        <f ca="1"/>
        <v>621.24</v>
      </c>
      <c r="T8" vm="330">
        <f ca="1"/>
        <v>613.11</v>
      </c>
      <c r="U8" vm="331">
        <f ca="1"/>
        <v>611.94000000000005</v>
      </c>
      <c r="V8" vm="332">
        <f ca="1"/>
        <v>608.15</v>
      </c>
      <c r="W8" vm="333">
        <f ca="1"/>
        <v>605.4</v>
      </c>
      <c r="X8" vm="334">
        <f ca="1"/>
        <v>608.07000000000005</v>
      </c>
      <c r="Y8" vm="8">
        <f ca="1"/>
        <v>611.57000000000005</v>
      </c>
      <c r="AA8">
        <f t="shared" ca="1" si="1"/>
        <v>0.87211566032325727</v>
      </c>
      <c r="AB8">
        <f t="shared" ca="1" si="2"/>
        <v>0.87142353608263223</v>
      </c>
      <c r="AC8">
        <f t="shared" ca="1" si="3"/>
        <v>0.88360165698071425</v>
      </c>
      <c r="AD8">
        <f t="shared" ca="1" si="4"/>
        <v>0.87899451198540501</v>
      </c>
      <c r="AE8">
        <f t="shared" ca="1" si="5"/>
        <v>0.8872033421231964</v>
      </c>
      <c r="AF8">
        <f t="shared" ca="1" si="6"/>
        <v>0.88644656308851233</v>
      </c>
      <c r="AG8">
        <f t="shared" ca="1" si="7"/>
        <v>0.88599481994176099</v>
      </c>
      <c r="AH8">
        <f t="shared" ca="1" si="8"/>
        <v>0.88523674423390719</v>
      </c>
      <c r="AI8">
        <f t="shared" ca="1" si="9"/>
        <v>0.88040144967939782</v>
      </c>
      <c r="AJ8">
        <f t="shared" ca="1" si="10"/>
        <v>0.88346079047800097</v>
      </c>
      <c r="AK8">
        <f t="shared" ca="1" si="11"/>
        <v>0.88714037317903538</v>
      </c>
      <c r="AL8">
        <f t="shared" ca="1" si="12"/>
        <v>0.88579387186629521</v>
      </c>
      <c r="AM8">
        <f t="shared" ca="1" si="13"/>
        <v>0.88401620759767718</v>
      </c>
      <c r="AN8">
        <f t="shared" ca="1" si="14"/>
        <v>0.88413562895291642</v>
      </c>
      <c r="AO8">
        <f t="shared" ca="1" si="15"/>
        <v>0.89499250985354217</v>
      </c>
      <c r="AP8">
        <f t="shared" ca="1" si="16"/>
        <v>0.90143215752281736</v>
      </c>
      <c r="AQ8">
        <f t="shared" ca="1" si="17"/>
        <v>0.89930474067120403</v>
      </c>
      <c r="AR8">
        <f t="shared" ca="1" si="18"/>
        <v>0.89894671896346579</v>
      </c>
      <c r="AS8">
        <f t="shared" ca="1" si="19"/>
        <v>0.89582688880050665</v>
      </c>
      <c r="AT8">
        <f t="shared" ca="1" si="20"/>
        <v>0.90169794459338692</v>
      </c>
      <c r="AU8">
        <f t="shared" ca="1" si="21"/>
        <v>0.89888686859727707</v>
      </c>
      <c r="AV8">
        <f t="shared" ca="1" si="22"/>
        <v>0.89858798983235133</v>
      </c>
    </row>
    <row r="9" spans="1:103" ht="16" x14ac:dyDescent="0.2">
      <c r="A9" s="10" t="e" vm="335">
        <v>#VALUE!</v>
      </c>
      <c r="B9" s="23" t="str" cm="1">
        <f t="array" aca="1" ref="B9" ca="1">_FV(A9,"ticker symbol",TRUE)</f>
        <v>IWN</v>
      </c>
      <c r="C9" s="23" t="str" cm="1">
        <f t="array" aca="1" ref="C9" ca="1">_FV(A9,"Name")</f>
        <v>iShares:Russ 2000 Vl ETF</v>
      </c>
      <c r="D9" cm="1" vm="336">
        <f t="array" aca="1" ref="D9:Y9" ca="1">TRANSPOSE(_xlfn.STOCKHISTORY(B9, WORKDAY(TODAY(), -23), TODAY(), 0, 0, 1))</f>
        <v>171.2</v>
      </c>
      <c r="E9" vm="337">
        <f ca="1"/>
        <v>168.85</v>
      </c>
      <c r="F9" vm="338">
        <f ca="1"/>
        <v>173.85</v>
      </c>
      <c r="G9" vm="339">
        <f ca="1"/>
        <v>175.94</v>
      </c>
      <c r="H9" vm="340">
        <f ca="1"/>
        <v>180.15</v>
      </c>
      <c r="I9" vm="341">
        <f ca="1"/>
        <v>181.53</v>
      </c>
      <c r="J9" vm="342">
        <f ca="1"/>
        <v>182.23</v>
      </c>
      <c r="K9" vm="343">
        <f ca="1"/>
        <v>181.03</v>
      </c>
      <c r="L9" vm="344">
        <f ca="1"/>
        <v>180.29</v>
      </c>
      <c r="M9" vm="345">
        <f ca="1"/>
        <v>183.63</v>
      </c>
      <c r="N9" vm="346">
        <f ca="1"/>
        <v>183.97</v>
      </c>
      <c r="O9" vm="347">
        <f ca="1"/>
        <v>183.77</v>
      </c>
      <c r="P9" vm="348">
        <f ca="1"/>
        <v>183.52</v>
      </c>
      <c r="Q9" vm="349">
        <f ca="1"/>
        <v>184.11</v>
      </c>
      <c r="R9" vm="350">
        <f ca="1"/>
        <v>187.68</v>
      </c>
      <c r="S9" vm="351">
        <f ca="1"/>
        <v>189.45</v>
      </c>
      <c r="T9" vm="352">
        <f ca="1"/>
        <v>187.43</v>
      </c>
      <c r="U9" vm="353">
        <f ca="1"/>
        <v>186.67</v>
      </c>
      <c r="V9" vm="354">
        <f ca="1"/>
        <v>184.41</v>
      </c>
      <c r="W9" vm="355">
        <f ca="1"/>
        <v>183.65</v>
      </c>
      <c r="X9" vm="356">
        <f ca="1"/>
        <v>184.42</v>
      </c>
      <c r="Y9" vm="9">
        <f ca="1"/>
        <v>184.45</v>
      </c>
      <c r="AA9">
        <f t="shared" ca="1" si="1"/>
        <v>0.25836439642032505</v>
      </c>
      <c r="AB9">
        <f t="shared" ca="1" si="2"/>
        <v>0.25876204925444041</v>
      </c>
      <c r="AC9">
        <f t="shared" ca="1" si="3"/>
        <v>0.2637967922552843</v>
      </c>
      <c r="AD9">
        <f t="shared" ca="1" si="4"/>
        <v>0.26309571875046728</v>
      </c>
      <c r="AE9">
        <f t="shared" ca="1" si="5"/>
        <v>0.26688098130425769</v>
      </c>
      <c r="AF9">
        <f t="shared" ca="1" si="6"/>
        <v>0.26708156779661019</v>
      </c>
      <c r="AG9">
        <f t="shared" ca="1" si="7"/>
        <v>0.26665593584922226</v>
      </c>
      <c r="AH9">
        <f t="shared" ca="1" si="8"/>
        <v>0.26611492495626737</v>
      </c>
      <c r="AI9">
        <f t="shared" ca="1" si="9"/>
        <v>0.26453714436635217</v>
      </c>
      <c r="AJ9">
        <f t="shared" ca="1" si="10"/>
        <v>0.26850809340683446</v>
      </c>
      <c r="AK9">
        <f t="shared" ca="1" si="11"/>
        <v>0.26880872017416968</v>
      </c>
      <c r="AL9">
        <f t="shared" ca="1" si="12"/>
        <v>0.26800740859572109</v>
      </c>
      <c r="AM9">
        <f t="shared" ca="1" si="13"/>
        <v>0.26844930737387185</v>
      </c>
      <c r="AN9">
        <f t="shared" ca="1" si="14"/>
        <v>0.2695449754040759</v>
      </c>
      <c r="AO9">
        <f t="shared" ca="1" si="15"/>
        <v>0.27296129848597234</v>
      </c>
      <c r="AP9">
        <f t="shared" ca="1" si="16"/>
        <v>0.27489588925809305</v>
      </c>
      <c r="AQ9">
        <f t="shared" ca="1" si="17"/>
        <v>0.27492079324102325</v>
      </c>
      <c r="AR9">
        <f t="shared" ca="1" si="18"/>
        <v>0.27422032230105914</v>
      </c>
      <c r="AS9">
        <f t="shared" ca="1" si="19"/>
        <v>0.27164258252684609</v>
      </c>
      <c r="AT9">
        <f t="shared" ca="1" si="20"/>
        <v>0.27353291629431042</v>
      </c>
      <c r="AU9">
        <f t="shared" ca="1" si="21"/>
        <v>0.27262110662704919</v>
      </c>
      <c r="AV9">
        <f t="shared" ca="1" si="22"/>
        <v>0.27101485475837139</v>
      </c>
    </row>
    <row r="10" spans="1:103" ht="17" thickBot="1" x14ac:dyDescent="0.25">
      <c r="A10" s="11" t="e" vm="357">
        <v>#VALUE!</v>
      </c>
      <c r="B10" s="23" t="str" cm="1">
        <f t="array" aca="1" ref="B10" ca="1">_FV(A10,"ticker symbol",TRUE)</f>
        <v>IWO</v>
      </c>
      <c r="C10" s="23" t="str" cm="1">
        <f t="array" aca="1" ref="C10" ca="1">_FV(A10,"Name")</f>
        <v>iShares:Russ 2000 Gr</v>
      </c>
      <c r="D10" cm="1" vm="358">
        <f t="array" aca="1" ref="D10:Y10" ca="1">TRANSPOSE(_xlfn.STOCKHISTORY(B10, WORKDAY(TODAY(), -23), TODAY(), 0, 0, 1))</f>
        <v>307.97000000000003</v>
      </c>
      <c r="E10" vm="359">
        <f ca="1"/>
        <v>300.69</v>
      </c>
      <c r="F10" vm="360">
        <f ca="1"/>
        <v>308.52</v>
      </c>
      <c r="G10" vm="361">
        <f ca="1"/>
        <v>316.08</v>
      </c>
      <c r="H10" vm="362">
        <f ca="1"/>
        <v>322.47000000000003</v>
      </c>
      <c r="I10" vm="363">
        <f ca="1"/>
        <v>325.72000000000003</v>
      </c>
      <c r="J10" vm="364">
        <f ca="1"/>
        <v>328.12</v>
      </c>
      <c r="K10" vm="365">
        <f ca="1"/>
        <v>322.27999999999997</v>
      </c>
      <c r="L10" vm="366">
        <f ca="1"/>
        <v>322.63</v>
      </c>
      <c r="M10" vm="367">
        <f ca="1"/>
        <v>328.46</v>
      </c>
      <c r="N10" vm="368">
        <f ca="1"/>
        <v>333.15</v>
      </c>
      <c r="O10" vm="369">
        <f ca="1"/>
        <v>331.15</v>
      </c>
      <c r="P10" vm="370">
        <f ca="1"/>
        <v>331.46</v>
      </c>
      <c r="Q10" vm="371">
        <f ca="1"/>
        <v>331.66</v>
      </c>
      <c r="R10" vm="372">
        <f ca="1"/>
        <v>334.44</v>
      </c>
      <c r="S10" vm="373">
        <f ca="1"/>
        <v>339.33</v>
      </c>
      <c r="T10" vm="374">
        <f ca="1"/>
        <v>332.92</v>
      </c>
      <c r="U10" vm="375">
        <f ca="1"/>
        <v>329.04</v>
      </c>
      <c r="V10" vm="376">
        <f ca="1"/>
        <v>327.47000000000003</v>
      </c>
      <c r="W10" vm="377">
        <f ca="1"/>
        <v>321.75</v>
      </c>
      <c r="X10" vm="378">
        <f ca="1"/>
        <v>324.27999999999997</v>
      </c>
      <c r="Y10" vm="10">
        <f ca="1"/>
        <v>329.61</v>
      </c>
      <c r="AA10">
        <f t="shared" ca="1" si="1"/>
        <v>0.46476917736896917</v>
      </c>
      <c r="AB10">
        <f t="shared" ca="1" si="2"/>
        <v>0.46080639970576065</v>
      </c>
      <c r="AC10">
        <f t="shared" ca="1" si="3"/>
        <v>0.46814257317572794</v>
      </c>
      <c r="AD10">
        <f t="shared" ca="1" si="4"/>
        <v>0.47265712619442823</v>
      </c>
      <c r="AE10">
        <f t="shared" ca="1" si="5"/>
        <v>0.47771917869100178</v>
      </c>
      <c r="AF10">
        <f t="shared" ca="1" si="6"/>
        <v>0.47922551789077222</v>
      </c>
      <c r="AG10">
        <f t="shared" ca="1" si="7"/>
        <v>0.48013579361711467</v>
      </c>
      <c r="AH10">
        <f t="shared" ca="1" si="8"/>
        <v>0.47375306863451272</v>
      </c>
      <c r="AI10">
        <f t="shared" ca="1" si="9"/>
        <v>0.47339075315833495</v>
      </c>
      <c r="AJ10">
        <f t="shared" ca="1" si="10"/>
        <v>0.48028191668250741</v>
      </c>
      <c r="AK10">
        <f t="shared" ca="1" si="11"/>
        <v>0.4867838513128479</v>
      </c>
      <c r="AL10">
        <f t="shared" ca="1" si="12"/>
        <v>0.48294418760664432</v>
      </c>
      <c r="AM10">
        <f t="shared" ca="1" si="13"/>
        <v>0.48485291751385978</v>
      </c>
      <c r="AN10">
        <f t="shared" ca="1" si="14"/>
        <v>0.48556453501991104</v>
      </c>
      <c r="AO10">
        <f t="shared" ca="1" si="15"/>
        <v>0.48640865657314886</v>
      </c>
      <c r="AP10">
        <f t="shared" ca="1" si="16"/>
        <v>0.49237488573211252</v>
      </c>
      <c r="AQ10">
        <f t="shared" ca="1" si="17"/>
        <v>0.48832433701009154</v>
      </c>
      <c r="AR10">
        <f t="shared" ca="1" si="18"/>
        <v>0.48336344806310871</v>
      </c>
      <c r="AS10">
        <f t="shared" ca="1" si="19"/>
        <v>0.4823751233667713</v>
      </c>
      <c r="AT10">
        <f t="shared" ca="1" si="20"/>
        <v>0.47922252010723865</v>
      </c>
      <c r="AU10">
        <f t="shared" ca="1" si="21"/>
        <v>0.47937085162682747</v>
      </c>
      <c r="AV10">
        <f t="shared" ca="1" si="22"/>
        <v>0.48430038642942153</v>
      </c>
    </row>
    <row r="11" spans="1:103" ht="16" x14ac:dyDescent="0.2">
      <c r="A11" s="10" t="e" vm="379">
        <v>#VALUE!</v>
      </c>
      <c r="B11" s="23" t="str" cm="1">
        <f t="array" aca="1" ref="B11" ca="1">_FV(A11,"ticker symbol",TRUE)</f>
        <v>XLC</v>
      </c>
      <c r="C11" s="23" t="str" cm="1">
        <f t="array" aca="1" ref="C11" ca="1">_FV(A11,"Name")</f>
        <v>Sel Sctr:ComS SS SPDR</v>
      </c>
      <c r="D11" cm="1" vm="380">
        <f t="array" aca="1" ref="D11:Y11" ca="1">TRANSPOSE(_xlfn.STOCKHISTORY(B11, WORKDAY(TODAY(), -23), TODAY(), 0, 0, 1))</f>
        <v>111.19</v>
      </c>
      <c r="E11" vm="381">
        <f ca="1"/>
        <v>109.97</v>
      </c>
      <c r="F11" vm="382">
        <f ca="1"/>
        <v>111.9</v>
      </c>
      <c r="G11" vm="383">
        <f ca="1"/>
        <v>113.01</v>
      </c>
      <c r="H11" vm="384">
        <f ca="1"/>
        <v>114.3</v>
      </c>
      <c r="I11" vm="385">
        <f ca="1"/>
        <v>114.46</v>
      </c>
      <c r="J11" vm="386">
        <f ca="1"/>
        <v>115.39</v>
      </c>
      <c r="K11" vm="387">
        <f ca="1"/>
        <v>114.85</v>
      </c>
      <c r="L11" vm="388">
        <f ca="1"/>
        <v>115.23</v>
      </c>
      <c r="M11" vm="389">
        <f ca="1"/>
        <v>115.13</v>
      </c>
      <c r="N11" vm="390">
        <f ca="1"/>
        <v>115.79</v>
      </c>
      <c r="O11" vm="391">
        <f ca="1"/>
        <v>117.13</v>
      </c>
      <c r="P11" vm="392">
        <f ca="1"/>
        <v>116.26</v>
      </c>
      <c r="Q11" vm="393">
        <f ca="1"/>
        <v>116.39</v>
      </c>
      <c r="R11" vm="394">
        <f ca="1"/>
        <v>117.07</v>
      </c>
      <c r="S11" vm="395">
        <f ca="1"/>
        <v>116.81</v>
      </c>
      <c r="T11" vm="396">
        <f ca="1"/>
        <v>116.55</v>
      </c>
      <c r="U11" vm="397">
        <f ca="1"/>
        <v>116.57</v>
      </c>
      <c r="V11" vm="398">
        <f ca="1"/>
        <v>116.65</v>
      </c>
      <c r="W11" vm="399">
        <f ca="1"/>
        <v>115.81</v>
      </c>
      <c r="X11" vm="400">
        <f ca="1"/>
        <v>116.47</v>
      </c>
      <c r="Y11" vm="11">
        <f ca="1"/>
        <v>116.52</v>
      </c>
      <c r="AA11">
        <f t="shared" ca="1" si="1"/>
        <v>0.16780103526855109</v>
      </c>
      <c r="AB11">
        <f t="shared" ca="1" si="2"/>
        <v>0.1685286500237537</v>
      </c>
      <c r="AC11">
        <f t="shared" ca="1" si="3"/>
        <v>0.16979500174498885</v>
      </c>
      <c r="AD11">
        <f t="shared" ca="1" si="4"/>
        <v>0.16899196985330403</v>
      </c>
      <c r="AE11">
        <f t="shared" ca="1" si="5"/>
        <v>0.16932831619803856</v>
      </c>
      <c r="AF11">
        <f t="shared" ca="1" si="6"/>
        <v>0.16840277777777779</v>
      </c>
      <c r="AG11">
        <f t="shared" ca="1" si="7"/>
        <v>0.16884941248774493</v>
      </c>
      <c r="AH11">
        <f t="shared" ca="1" si="8"/>
        <v>0.16883002337307246</v>
      </c>
      <c r="AI11">
        <f t="shared" ca="1" si="9"/>
        <v>0.16907546256217629</v>
      </c>
      <c r="AJ11">
        <f t="shared" ca="1" si="10"/>
        <v>0.16834578660310867</v>
      </c>
      <c r="AK11">
        <f t="shared" ca="1" si="11"/>
        <v>0.1691871593681965</v>
      </c>
      <c r="AL11">
        <f t="shared" ca="1" si="12"/>
        <v>0.17082063323076024</v>
      </c>
      <c r="AM11">
        <f t="shared" ca="1" si="13"/>
        <v>0.17006275324371373</v>
      </c>
      <c r="AN11">
        <f t="shared" ca="1" si="14"/>
        <v>0.17039997657531039</v>
      </c>
      <c r="AO11">
        <f t="shared" ca="1" si="15"/>
        <v>0.17026630015852928</v>
      </c>
      <c r="AP11">
        <f t="shared" ca="1" si="16"/>
        <v>0.16949373884527766</v>
      </c>
      <c r="AQ11">
        <f t="shared" ca="1" si="17"/>
        <v>0.17095458812485331</v>
      </c>
      <c r="AR11">
        <f t="shared" ca="1" si="18"/>
        <v>0.17124263658131711</v>
      </c>
      <c r="AS11">
        <f t="shared" ca="1" si="19"/>
        <v>0.17182965810832709</v>
      </c>
      <c r="AT11">
        <f t="shared" ca="1" si="20"/>
        <v>0.17249031873696755</v>
      </c>
      <c r="AU11">
        <f t="shared" ca="1" si="21"/>
        <v>0.17217319319408103</v>
      </c>
      <c r="AV11">
        <f t="shared" ca="1" si="22"/>
        <v>0.17120439618566244</v>
      </c>
    </row>
    <row r="12" spans="1:103" ht="16" x14ac:dyDescent="0.2">
      <c r="A12" s="10" t="e" vm="401">
        <v>#VALUE!</v>
      </c>
      <c r="B12" s="23" t="str" cm="1">
        <f t="array" aca="1" ref="B12" ca="1">_FV(A12,"ticker symbol",TRUE)</f>
        <v>XLY</v>
      </c>
      <c r="C12" s="23" t="str" cm="1">
        <f t="array" aca="1" ref="C12" ca="1">_FV(A12,"Name")</f>
        <v>Sel Sctr:C D SS SPDR In</v>
      </c>
      <c r="D12" cm="1" vm="402">
        <f t="array" aca="1" ref="D12:Y12" ca="1">TRANSPOSE(_xlfn.STOCKHISTORY(B12, WORKDAY(TODAY(), -23), TODAY(), 0, 0, 1))</f>
        <v>224.51</v>
      </c>
      <c r="E12" vm="403">
        <f ca="1"/>
        <v>221.16</v>
      </c>
      <c r="F12" vm="404">
        <f ca="1"/>
        <v>225.5</v>
      </c>
      <c r="G12" vm="405">
        <f ca="1"/>
        <v>228.51</v>
      </c>
      <c r="H12" vm="406">
        <f ca="1"/>
        <v>233.4</v>
      </c>
      <c r="I12" vm="407">
        <f ca="1"/>
        <v>235</v>
      </c>
      <c r="J12" vm="408">
        <f ca="1"/>
        <v>236.46</v>
      </c>
      <c r="K12" vm="409">
        <f ca="1"/>
        <v>236.6</v>
      </c>
      <c r="L12" vm="410">
        <f ca="1"/>
        <v>118.22</v>
      </c>
      <c r="M12" vm="411">
        <f ca="1"/>
        <v>119.495</v>
      </c>
      <c r="N12" vm="412">
        <f ca="1"/>
        <v>119.07</v>
      </c>
      <c r="O12" vm="413">
        <f ca="1"/>
        <v>119.73</v>
      </c>
      <c r="P12" vm="414">
        <f ca="1"/>
        <v>117.99</v>
      </c>
      <c r="Q12" vm="415">
        <f ca="1"/>
        <v>117.98</v>
      </c>
      <c r="R12" vm="416">
        <f ca="1"/>
        <v>119.71</v>
      </c>
      <c r="S12" vm="417">
        <f ca="1"/>
        <v>120.18</v>
      </c>
      <c r="T12" vm="418">
        <f ca="1"/>
        <v>120.7</v>
      </c>
      <c r="U12" vm="419">
        <f ca="1"/>
        <v>121.73</v>
      </c>
      <c r="V12" vm="420">
        <f ca="1"/>
        <v>121.93</v>
      </c>
      <c r="W12" vm="421">
        <f ca="1"/>
        <v>120.52</v>
      </c>
      <c r="X12" vm="422">
        <f ca="1"/>
        <v>122.34</v>
      </c>
      <c r="Y12" vm="12">
        <f ca="1"/>
        <v>121.85</v>
      </c>
      <c r="AA12">
        <f t="shared" ca="1" si="1"/>
        <v>0.33881653411406065</v>
      </c>
      <c r="AB12">
        <f t="shared" ca="1" si="2"/>
        <v>0.33892694588754541</v>
      </c>
      <c r="AC12">
        <f t="shared" ca="1" si="3"/>
        <v>0.34216955222068801</v>
      </c>
      <c r="AD12">
        <f t="shared" ca="1" si="4"/>
        <v>0.34170741554887618</v>
      </c>
      <c r="AE12">
        <f t="shared" ca="1" si="5"/>
        <v>0.34576753281384259</v>
      </c>
      <c r="AF12">
        <f t="shared" ca="1" si="6"/>
        <v>0.34575094161958569</v>
      </c>
      <c r="AG12">
        <f t="shared" ca="1" si="7"/>
        <v>0.34601033085061239</v>
      </c>
      <c r="AH12">
        <f t="shared" ca="1" si="8"/>
        <v>0.34780307818954237</v>
      </c>
      <c r="AI12">
        <f t="shared" ca="1" si="9"/>
        <v>0.17346265021349025</v>
      </c>
      <c r="AJ12">
        <f t="shared" ca="1" si="10"/>
        <v>0.17472839199286436</v>
      </c>
      <c r="AK12">
        <f t="shared" ca="1" si="11"/>
        <v>0.1739797483890764</v>
      </c>
      <c r="AL12">
        <f t="shared" ca="1" si="12"/>
        <v>0.17461243419037756</v>
      </c>
      <c r="AM12">
        <f t="shared" ca="1" si="13"/>
        <v>0.17259336190629435</v>
      </c>
      <c r="AN12">
        <f t="shared" ca="1" si="14"/>
        <v>0.17272780510658237</v>
      </c>
      <c r="AO12">
        <f t="shared" ca="1" si="15"/>
        <v>0.17410590921651611</v>
      </c>
      <c r="AP12">
        <f t="shared" ca="1" si="16"/>
        <v>0.17438367891811893</v>
      </c>
      <c r="AQ12">
        <f t="shared" ca="1" si="17"/>
        <v>0.17704177423140108</v>
      </c>
      <c r="AR12">
        <f t="shared" ca="1" si="18"/>
        <v>0.1788227344174636</v>
      </c>
      <c r="AS12">
        <f t="shared" ca="1" si="19"/>
        <v>0.17960728858249739</v>
      </c>
      <c r="AT12">
        <f t="shared" ca="1" si="20"/>
        <v>0.17950551087280309</v>
      </c>
      <c r="AU12">
        <f t="shared" ca="1" si="21"/>
        <v>0.18085059204399309</v>
      </c>
      <c r="AV12">
        <f t="shared" ca="1" si="22"/>
        <v>0.17903583655357849</v>
      </c>
    </row>
    <row r="13" spans="1:103" ht="16" x14ac:dyDescent="0.2">
      <c r="A13" s="10" t="e" vm="423">
        <v>#VALUE!</v>
      </c>
      <c r="B13" s="23" t="str" cm="1">
        <f t="array" aca="1" ref="B13" ca="1">_FV(A13,"ticker symbol",TRUE)</f>
        <v>XLP</v>
      </c>
      <c r="C13" s="23" t="str" cm="1">
        <f t="array" aca="1" ref="C13" ca="1">_FV(A13,"Name")</f>
        <v>Sel Sector:C SSS SPDR I</v>
      </c>
      <c r="D13" cm="1" vm="424">
        <f t="array" aca="1" ref="D13:Y13" ca="1">TRANSPOSE(_xlfn.STOCKHISTORY(B13, WORKDAY(TODAY(), -23), TODAY(), 0, 0, 1))</f>
        <v>76.510000000000005</v>
      </c>
      <c r="E13" vm="425">
        <f ca="1"/>
        <v>77.06</v>
      </c>
      <c r="F13" vm="426">
        <f ca="1"/>
        <v>77.900000000000006</v>
      </c>
      <c r="G13" vm="427">
        <f ca="1"/>
        <v>77</v>
      </c>
      <c r="H13" vm="428">
        <f ca="1"/>
        <v>78.06</v>
      </c>
      <c r="I13" vm="429">
        <f ca="1"/>
        <v>78.91</v>
      </c>
      <c r="J13" vm="430">
        <f ca="1"/>
        <v>79.37</v>
      </c>
      <c r="K13" vm="431">
        <f ca="1"/>
        <v>79.290000000000006</v>
      </c>
      <c r="L13" vm="432">
        <f ca="1"/>
        <v>78.77</v>
      </c>
      <c r="M13" vm="433">
        <f ca="1"/>
        <v>78.83</v>
      </c>
      <c r="N13" vm="434">
        <f ca="1"/>
        <v>78.45</v>
      </c>
      <c r="O13" vm="435">
        <f ca="1"/>
        <v>78.459999999999994</v>
      </c>
      <c r="P13" vm="436">
        <f ca="1"/>
        <v>77.81</v>
      </c>
      <c r="Q13" vm="437">
        <f ca="1"/>
        <v>77.989999999999995</v>
      </c>
      <c r="R13" vm="438">
        <f ca="1"/>
        <v>78.22</v>
      </c>
      <c r="S13" vm="439">
        <f ca="1"/>
        <v>78.8</v>
      </c>
      <c r="T13" vm="440">
        <f ca="1"/>
        <v>79.42</v>
      </c>
      <c r="U13" vm="441">
        <f ca="1"/>
        <v>79.64</v>
      </c>
      <c r="V13" vm="442">
        <f ca="1"/>
        <v>79.28</v>
      </c>
      <c r="W13" vm="443">
        <f ca="1"/>
        <v>79.650000000000006</v>
      </c>
      <c r="X13" vm="444">
        <f ca="1"/>
        <v>79.19</v>
      </c>
      <c r="Y13" vm="13">
        <f ca="1"/>
        <v>78.78</v>
      </c>
      <c r="AA13">
        <f t="shared" ca="1" si="1"/>
        <v>0.11546413533948056</v>
      </c>
      <c r="AB13">
        <f t="shared" ca="1" si="2"/>
        <v>0.1180941872404334</v>
      </c>
      <c r="AC13">
        <f t="shared" ca="1" si="3"/>
        <v>0.11820402713078314</v>
      </c>
      <c r="AD13">
        <f t="shared" ca="1" si="4"/>
        <v>0.1151436304637148</v>
      </c>
      <c r="AE13">
        <f t="shared" ca="1" si="5"/>
        <v>0.11564101804390982</v>
      </c>
      <c r="AF13">
        <f t="shared" ca="1" si="6"/>
        <v>0.11609875235404897</v>
      </c>
      <c r="AG13">
        <f t="shared" ca="1" si="7"/>
        <v>0.11614158825853467</v>
      </c>
      <c r="AH13">
        <f t="shared" ca="1" si="8"/>
        <v>0.11655666132565012</v>
      </c>
      <c r="AI13">
        <f t="shared" ca="1" si="9"/>
        <v>0.1155781843792643</v>
      </c>
      <c r="AJ13">
        <f t="shared" ca="1" si="10"/>
        <v>0.11526707511441898</v>
      </c>
      <c r="AK13">
        <f t="shared" ca="1" si="11"/>
        <v>0.11462762460000878</v>
      </c>
      <c r="AL13">
        <f t="shared" ca="1" si="12"/>
        <v>0.11442488588137495</v>
      </c>
      <c r="AM13">
        <f t="shared" ca="1" si="13"/>
        <v>0.11381887863317877</v>
      </c>
      <c r="AN13">
        <f t="shared" ca="1" si="14"/>
        <v>0.11418072148044038</v>
      </c>
      <c r="AO13">
        <f t="shared" ca="1" si="15"/>
        <v>0.11376296231656412</v>
      </c>
      <c r="AP13">
        <f t="shared" ca="1" si="16"/>
        <v>0.11434043849848369</v>
      </c>
      <c r="AQ13">
        <f t="shared" ca="1" si="17"/>
        <v>0.11649260736916217</v>
      </c>
      <c r="AR13">
        <f t="shared" ca="1" si="18"/>
        <v>0.11699205264936172</v>
      </c>
      <c r="AS13">
        <f t="shared" ca="1" si="19"/>
        <v>0.11678229999852696</v>
      </c>
      <c r="AT13">
        <f t="shared" ca="1" si="20"/>
        <v>0.11863270777479894</v>
      </c>
      <c r="AU13">
        <f t="shared" ca="1" si="21"/>
        <v>0.117063580055287</v>
      </c>
      <c r="AV13">
        <f t="shared" ca="1" si="22"/>
        <v>0.11575250885261316</v>
      </c>
    </row>
    <row r="14" spans="1:103" ht="16" x14ac:dyDescent="0.2">
      <c r="A14" s="10" t="e" vm="445">
        <v>#VALUE!</v>
      </c>
      <c r="B14" s="23" t="str" cm="1">
        <f t="array" aca="1" ref="B14" ca="1">_FV(A14,"ticker symbol",TRUE)</f>
        <v>XLE</v>
      </c>
      <c r="C14" s="23" t="str" cm="1">
        <f t="array" aca="1" ref="C14" ca="1">_FV(A14,"Name")</f>
        <v>Sel Sector:Enrgy SS SPDR</v>
      </c>
      <c r="D14" cm="1" vm="446">
        <f t="array" aca="1" ref="D14:Y14" ca="1">TRANSPOSE(_xlfn.STOCKHISTORY(B14, WORKDAY(TODAY(), -23), TODAY(), 0, 0, 1))</f>
        <v>89.88</v>
      </c>
      <c r="E14" vm="447">
        <f ca="1"/>
        <v>88.86</v>
      </c>
      <c r="F14" vm="448">
        <f ca="1"/>
        <v>89.42</v>
      </c>
      <c r="G14" vm="449">
        <f ca="1"/>
        <v>89.17</v>
      </c>
      <c r="H14" vm="450">
        <f ca="1"/>
        <v>88.61</v>
      </c>
      <c r="I14" vm="451">
        <f ca="1"/>
        <v>89.28</v>
      </c>
      <c r="J14" vm="452">
        <f ca="1"/>
        <v>90.45</v>
      </c>
      <c r="K14" vm="453">
        <f ca="1"/>
        <v>91.32</v>
      </c>
      <c r="L14" vm="454">
        <f ca="1"/>
        <v>45.07</v>
      </c>
      <c r="M14" vm="455">
        <f ca="1"/>
        <v>45.914999999999999</v>
      </c>
      <c r="N14" vm="456">
        <f ca="1"/>
        <v>46.11</v>
      </c>
      <c r="O14" vm="457">
        <f ca="1"/>
        <v>45.92</v>
      </c>
      <c r="P14" vm="458">
        <f ca="1"/>
        <v>45.42</v>
      </c>
      <c r="Q14" vm="459">
        <f ca="1"/>
        <v>45.7</v>
      </c>
      <c r="R14" vm="460">
        <f ca="1"/>
        <v>46.18</v>
      </c>
      <c r="S14" vm="461">
        <f ca="1"/>
        <v>45.96</v>
      </c>
      <c r="T14" vm="462">
        <f ca="1"/>
        <v>45.51</v>
      </c>
      <c r="U14" vm="463">
        <f ca="1"/>
        <v>45.19</v>
      </c>
      <c r="V14" vm="464">
        <f ca="1"/>
        <v>43.81</v>
      </c>
      <c r="W14" vm="465">
        <f ca="1"/>
        <v>44.78</v>
      </c>
      <c r="X14" vm="14">
        <f ca="1"/>
        <v>44.13</v>
      </c>
      <c r="Y14" vm="14">
        <f ca="1"/>
        <v>44.13</v>
      </c>
      <c r="AA14">
        <f t="shared" ca="1" si="1"/>
        <v>0.13564130812067066</v>
      </c>
      <c r="AB14">
        <f t="shared" ca="1" si="2"/>
        <v>0.13617764700473542</v>
      </c>
      <c r="AC14">
        <f t="shared" ca="1" si="3"/>
        <v>0.13568426323536106</v>
      </c>
      <c r="AD14">
        <f t="shared" ca="1" si="4"/>
        <v>0.13334230556427856</v>
      </c>
      <c r="AE14">
        <f t="shared" ca="1" si="5"/>
        <v>0.13127018458712333</v>
      </c>
      <c r="AF14">
        <f t="shared" ca="1" si="6"/>
        <v>0.13135593220338984</v>
      </c>
      <c r="AG14">
        <f t="shared" ca="1" si="7"/>
        <v>0.13235487788817513</v>
      </c>
      <c r="AH14">
        <f t="shared" ca="1" si="8"/>
        <v>0.13424081614653005</v>
      </c>
      <c r="AI14">
        <f t="shared" ca="1" si="9"/>
        <v>6.613061787448829E-2</v>
      </c>
      <c r="AJ14">
        <f t="shared" ca="1" si="10"/>
        <v>6.7137990027636027E-2</v>
      </c>
      <c r="AK14">
        <f t="shared" ca="1" si="11"/>
        <v>6.7373865778284317E-2</v>
      </c>
      <c r="AL14">
        <f t="shared" ca="1" si="12"/>
        <v>6.6969038486779736E-2</v>
      </c>
      <c r="AM14">
        <f t="shared" ca="1" si="13"/>
        <v>6.6439448239544785E-2</v>
      </c>
      <c r="AN14">
        <f t="shared" ca="1" si="14"/>
        <v>6.6906769735301019E-2</v>
      </c>
      <c r="AO14">
        <f t="shared" ca="1" si="15"/>
        <v>6.7164070567360415E-2</v>
      </c>
      <c r="AP14">
        <f t="shared" ca="1" si="16"/>
        <v>6.6688915652161299E-2</v>
      </c>
      <c r="AQ14">
        <f t="shared" ca="1" si="17"/>
        <v>6.6753696315418914E-2</v>
      </c>
      <c r="AR14">
        <f t="shared" ca="1" si="18"/>
        <v>6.6384616514624004E-2</v>
      </c>
      <c r="AS14">
        <f t="shared" ca="1" si="19"/>
        <v>6.453371043056845E-2</v>
      </c>
      <c r="AT14">
        <f t="shared" ca="1" si="20"/>
        <v>6.6696455168305038E-2</v>
      </c>
      <c r="AU14">
        <f t="shared" ca="1" si="21"/>
        <v>6.5235708900616432E-2</v>
      </c>
      <c r="AV14">
        <f t="shared" ca="1" si="22"/>
        <v>6.4840799894209433E-2</v>
      </c>
    </row>
    <row r="15" spans="1:103" ht="16" x14ac:dyDescent="0.2">
      <c r="A15" s="10" t="e" vm="466">
        <v>#VALUE!</v>
      </c>
      <c r="B15" s="23" t="str" cm="1">
        <f t="array" aca="1" ref="B15" ca="1">_FV(A15,"ticker symbol",TRUE)</f>
        <v>XLF</v>
      </c>
      <c r="C15" s="23" t="str" cm="1">
        <f t="array" aca="1" ref="C15" ca="1">_FV(A15,"Name")</f>
        <v>Sel Sector:Fin SS SPDR I</v>
      </c>
      <c r="D15" cm="1" vm="467">
        <f t="array" aca="1" ref="D15:Y15" ca="1">TRANSPOSE(_xlfn.STOCKHISTORY(B15, WORKDAY(TODAY(), -23), TODAY(), 0, 0, 1))</f>
        <v>51.56</v>
      </c>
      <c r="E15" vm="468">
        <f ca="1"/>
        <v>51.11</v>
      </c>
      <c r="F15" vm="469">
        <f ca="1"/>
        <v>51.67</v>
      </c>
      <c r="G15" vm="470">
        <f ca="1"/>
        <v>51.89</v>
      </c>
      <c r="H15" vm="471">
        <f ca="1"/>
        <v>52.54</v>
      </c>
      <c r="I15" vm="472">
        <f ca="1"/>
        <v>52.95</v>
      </c>
      <c r="J15" vm="473">
        <f ca="1"/>
        <v>53.33</v>
      </c>
      <c r="K15" vm="474">
        <f ca="1"/>
        <v>52.89</v>
      </c>
      <c r="L15" vm="475">
        <f ca="1"/>
        <v>52.84</v>
      </c>
      <c r="M15" vm="476">
        <f ca="1"/>
        <v>53.55</v>
      </c>
      <c r="N15" vm="477">
        <f ca="1"/>
        <v>53.66</v>
      </c>
      <c r="O15" vm="103">
        <f ca="1"/>
        <v>53.68</v>
      </c>
      <c r="P15" vm="478">
        <f ca="1"/>
        <v>53.48</v>
      </c>
      <c r="Q15" vm="479">
        <f ca="1"/>
        <v>53.28</v>
      </c>
      <c r="R15" vm="480">
        <f ca="1"/>
        <v>53.89</v>
      </c>
      <c r="S15" vm="481">
        <f ca="1"/>
        <v>54.87</v>
      </c>
      <c r="T15" vm="482">
        <f ca="1"/>
        <v>54.95</v>
      </c>
      <c r="U15" vm="483">
        <f ca="1"/>
        <v>54.99</v>
      </c>
      <c r="V15" vm="484">
        <f ca="1"/>
        <v>54.64</v>
      </c>
      <c r="W15" vm="485">
        <f ca="1"/>
        <v>54.63</v>
      </c>
      <c r="X15" vm="486">
        <f ca="1"/>
        <v>54.54</v>
      </c>
      <c r="Y15" vm="15">
        <f ca="1"/>
        <v>54.84</v>
      </c>
      <c r="AA15">
        <f t="shared" ca="1" si="1"/>
        <v>7.7811146492009126E-2</v>
      </c>
      <c r="AB15">
        <f t="shared" ca="1" si="2"/>
        <v>7.8325900724870889E-2</v>
      </c>
      <c r="AC15">
        <f t="shared" ca="1" si="3"/>
        <v>7.8403107597529706E-2</v>
      </c>
      <c r="AD15">
        <f t="shared" ca="1" si="4"/>
        <v>7.7594843957950146E-2</v>
      </c>
      <c r="AE15">
        <f t="shared" ca="1" si="5"/>
        <v>7.7834730822790438E-2</v>
      </c>
      <c r="AF15">
        <f t="shared" ca="1" si="6"/>
        <v>7.7904307909604537E-2</v>
      </c>
      <c r="AG15">
        <f t="shared" ca="1" si="7"/>
        <v>7.8037431042303804E-2</v>
      </c>
      <c r="AH15">
        <f t="shared" ca="1" si="8"/>
        <v>7.7748541020477166E-2</v>
      </c>
      <c r="AI15">
        <f t="shared" ca="1" si="9"/>
        <v>7.7531436620544958E-2</v>
      </c>
      <c r="AJ15">
        <f t="shared" ca="1" si="10"/>
        <v>7.8302066121744729E-2</v>
      </c>
      <c r="AK15">
        <f t="shared" ca="1" si="11"/>
        <v>7.8405587457443846E-2</v>
      </c>
      <c r="AL15">
        <f t="shared" ca="1" si="12"/>
        <v>7.8286105966252961E-2</v>
      </c>
      <c r="AM15">
        <f t="shared" ca="1" si="13"/>
        <v>7.8229451603937794E-2</v>
      </c>
      <c r="AN15">
        <f t="shared" ca="1" si="14"/>
        <v>7.8004216444132121E-2</v>
      </c>
      <c r="AO15">
        <f t="shared" ca="1" si="15"/>
        <v>7.837747429352647E-2</v>
      </c>
      <c r="AP15">
        <f t="shared" ca="1" si="16"/>
        <v>7.9617510918931475E-2</v>
      </c>
      <c r="AQ15">
        <f t="shared" ca="1" si="17"/>
        <v>8.0600211218023937E-2</v>
      </c>
      <c r="AR15">
        <f t="shared" ca="1" si="18"/>
        <v>8.0780926358468119E-2</v>
      </c>
      <c r="AS15">
        <f t="shared" ca="1" si="19"/>
        <v>8.0486691119065507E-2</v>
      </c>
      <c r="AT15">
        <f t="shared" ca="1" si="20"/>
        <v>8.1367292225201074E-2</v>
      </c>
      <c r="AU15">
        <f t="shared" ca="1" si="21"/>
        <v>8.0624417934276466E-2</v>
      </c>
      <c r="AV15">
        <f t="shared" ca="1" si="22"/>
        <v>8.0577146299534233E-2</v>
      </c>
    </row>
    <row r="16" spans="1:103" ht="16" x14ac:dyDescent="0.2">
      <c r="A16" s="10" t="e" vm="487">
        <v>#VALUE!</v>
      </c>
      <c r="B16" s="23" t="str" cm="1">
        <f t="array" aca="1" ref="B16" ca="1">_FV(A16,"ticker symbol",TRUE)</f>
        <v>XLV</v>
      </c>
      <c r="C16" s="23" t="str" cm="1">
        <f t="array" aca="1" ref="C16" ca="1">_FV(A16,"Name")</f>
        <v>Sel Sector:HC SS SPDR</v>
      </c>
      <c r="D16" cm="1" vm="488">
        <f t="array" aca="1" ref="D16:Y16" ca="1">TRANSPOSE(_xlfn.STOCKHISTORY(B16, WORKDAY(TODAY(), -23), TODAY(), 0, 0, 1))</f>
        <v>152.33000000000001</v>
      </c>
      <c r="E16" vm="489">
        <f ca="1"/>
        <v>151.41999999999999</v>
      </c>
      <c r="F16" vm="490">
        <f ca="1"/>
        <v>154.61000000000001</v>
      </c>
      <c r="G16" vm="491">
        <f ca="1"/>
        <v>155.26</v>
      </c>
      <c r="H16" vm="492">
        <f ca="1"/>
        <v>158.77000000000001</v>
      </c>
      <c r="I16" vm="493">
        <f ca="1"/>
        <v>158.41999999999999</v>
      </c>
      <c r="J16" vm="494">
        <f ca="1"/>
        <v>157.65</v>
      </c>
      <c r="K16" vm="495">
        <f ca="1"/>
        <v>155.29</v>
      </c>
      <c r="L16" vm="496">
        <f ca="1"/>
        <v>154.36000000000001</v>
      </c>
      <c r="M16" vm="497">
        <f ca="1"/>
        <v>155.08000000000001</v>
      </c>
      <c r="N16" vm="498">
        <f ca="1"/>
        <v>153.9</v>
      </c>
      <c r="O16" vm="499">
        <f ca="1"/>
        <v>153.26</v>
      </c>
      <c r="P16" vm="500">
        <f ca="1"/>
        <v>151.43</v>
      </c>
      <c r="Q16" vm="501">
        <f ca="1"/>
        <v>149.96</v>
      </c>
      <c r="R16" vm="502">
        <f ca="1"/>
        <v>152.13999999999999</v>
      </c>
      <c r="S16" vm="503">
        <f ca="1"/>
        <v>153.58000000000001</v>
      </c>
      <c r="T16" vm="504">
        <f ca="1"/>
        <v>154.06</v>
      </c>
      <c r="U16" vm="505">
        <f ca="1"/>
        <v>156.1</v>
      </c>
      <c r="V16" vm="506">
        <f ca="1"/>
        <v>154.07</v>
      </c>
      <c r="W16" vm="507">
        <f ca="1"/>
        <v>153.79</v>
      </c>
      <c r="X16" vm="508">
        <f ca="1"/>
        <v>153.91</v>
      </c>
      <c r="Y16" vm="16">
        <f ca="1"/>
        <v>154.94</v>
      </c>
      <c r="AA16">
        <f t="shared" ca="1" si="1"/>
        <v>0.22988696557656613</v>
      </c>
      <c r="AB16">
        <f t="shared" ca="1" si="2"/>
        <v>0.23205063368734002</v>
      </c>
      <c r="AC16">
        <f t="shared" ca="1" si="3"/>
        <v>0.23460237015006907</v>
      </c>
      <c r="AD16">
        <f t="shared" ca="1" si="4"/>
        <v>0.23217142942592672</v>
      </c>
      <c r="AE16">
        <f t="shared" ca="1" si="5"/>
        <v>0.23520784569346095</v>
      </c>
      <c r="AF16">
        <f t="shared" ca="1" si="6"/>
        <v>0.23308027306967985</v>
      </c>
      <c r="AG16">
        <f t="shared" ca="1" si="7"/>
        <v>0.23068818683328701</v>
      </c>
      <c r="AH16">
        <f t="shared" ca="1" si="8"/>
        <v>0.22827700765872375</v>
      </c>
      <c r="AI16">
        <f t="shared" ca="1" si="9"/>
        <v>0.22649039660763284</v>
      </c>
      <c r="AJ16">
        <f t="shared" ca="1" si="10"/>
        <v>0.22676161370980716</v>
      </c>
      <c r="AK16">
        <f t="shared" ca="1" si="11"/>
        <v>0.22487178363213958</v>
      </c>
      <c r="AL16">
        <f t="shared" ca="1" si="12"/>
        <v>0.2235120827195963</v>
      </c>
      <c r="AM16">
        <f t="shared" ca="1" si="13"/>
        <v>0.22150871085236168</v>
      </c>
      <c r="AN16">
        <f t="shared" ca="1" si="14"/>
        <v>0.21954790349027878</v>
      </c>
      <c r="AO16">
        <f t="shared" ca="1" si="15"/>
        <v>0.22127201594019513</v>
      </c>
      <c r="AP16">
        <f t="shared" ca="1" si="16"/>
        <v>0.22284777340859296</v>
      </c>
      <c r="AQ16">
        <f t="shared" ca="1" si="17"/>
        <v>0.22597394977704766</v>
      </c>
      <c r="AR16">
        <f t="shared" ca="1" si="18"/>
        <v>0.22931264965551687</v>
      </c>
      <c r="AS16">
        <f t="shared" ca="1" si="19"/>
        <v>0.22695066802185984</v>
      </c>
      <c r="AT16">
        <f t="shared" ca="1" si="20"/>
        <v>0.22905868334822757</v>
      </c>
      <c r="AU16">
        <f t="shared" ca="1" si="21"/>
        <v>0.22751932827767674</v>
      </c>
      <c r="AV16">
        <f t="shared" ca="1" si="22"/>
        <v>0.22765541662381167</v>
      </c>
    </row>
    <row r="17" spans="1:48" ht="16" x14ac:dyDescent="0.2">
      <c r="A17" s="10" t="e" vm="509">
        <v>#VALUE!</v>
      </c>
      <c r="B17" s="23" t="str" cm="1">
        <f t="array" aca="1" ref="B17" ca="1">_FV(A17,"ticker symbol",TRUE)</f>
        <v>XLI</v>
      </c>
      <c r="C17" s="23" t="str" cm="1">
        <f t="array" aca="1" ref="C17" ca="1">_FV(A17,"Name")</f>
        <v>Sel Sector:Ind SS SPDR</v>
      </c>
      <c r="D17" cm="1" vm="510">
        <f t="array" aca="1" ref="D17:Y17" ca="1">TRANSPOSE(_xlfn.STOCKHISTORY(B17, WORKDAY(TODAY(), -23), TODAY(), 0, 0, 1))</f>
        <v>150.35</v>
      </c>
      <c r="E17" vm="511">
        <f ca="1"/>
        <v>147.83000000000001</v>
      </c>
      <c r="F17" vm="512">
        <f ca="1"/>
        <v>149.63</v>
      </c>
      <c r="G17" vm="513">
        <f ca="1"/>
        <v>150</v>
      </c>
      <c r="H17" vm="514">
        <f ca="1"/>
        <v>151.91999999999999</v>
      </c>
      <c r="I17" vm="515">
        <f ca="1"/>
        <v>152.80000000000001</v>
      </c>
      <c r="J17" vm="516">
        <f ca="1"/>
        <v>153.69</v>
      </c>
      <c r="K17" vm="517">
        <f ca="1"/>
        <v>151.44</v>
      </c>
      <c r="L17" vm="518">
        <f ca="1"/>
        <v>152.76</v>
      </c>
      <c r="M17" vm="519">
        <f ca="1"/>
        <v>154.21</v>
      </c>
      <c r="N17" vm="520">
        <f ca="1"/>
        <v>155.01</v>
      </c>
      <c r="O17" vm="521">
        <f ca="1"/>
        <v>154.58000000000001</v>
      </c>
      <c r="P17" vm="522">
        <f ca="1"/>
        <v>154.38999999999999</v>
      </c>
      <c r="Q17" vm="499">
        <f ca="1"/>
        <v>153.26</v>
      </c>
      <c r="R17" vm="37">
        <f ca="1"/>
        <v>156.06</v>
      </c>
      <c r="S17" vm="523">
        <f ca="1"/>
        <v>157.72999999999999</v>
      </c>
      <c r="T17" vm="524">
        <f ca="1"/>
        <v>156.74</v>
      </c>
      <c r="U17" vm="525">
        <f ca="1"/>
        <v>156.99</v>
      </c>
      <c r="V17" vm="37">
        <f ca="1"/>
        <v>156.06</v>
      </c>
      <c r="W17" vm="526">
        <f ca="1"/>
        <v>153.53</v>
      </c>
      <c r="X17" vm="527">
        <f ca="1"/>
        <v>154.53</v>
      </c>
      <c r="Y17" vm="17">
        <f ca="1"/>
        <v>155.86000000000001</v>
      </c>
      <c r="AA17">
        <f t="shared" ca="1" si="1"/>
        <v>0.22689887267404132</v>
      </c>
      <c r="AB17">
        <f t="shared" ca="1" si="2"/>
        <v>0.22654897092853971</v>
      </c>
      <c r="AC17">
        <f t="shared" ca="1" si="3"/>
        <v>0.22704580975069422</v>
      </c>
      <c r="AD17">
        <f t="shared" ca="1" si="4"/>
        <v>0.22430577363061324</v>
      </c>
      <c r="AE17">
        <f t="shared" ca="1" si="5"/>
        <v>0.22505999822227488</v>
      </c>
      <c r="AF17">
        <f t="shared" ca="1" si="6"/>
        <v>0.22481167608286257</v>
      </c>
      <c r="AG17">
        <f t="shared" ca="1" si="7"/>
        <v>0.22489354541330719</v>
      </c>
      <c r="AH17">
        <f t="shared" ca="1" si="8"/>
        <v>0.22261749011421936</v>
      </c>
      <c r="AI17">
        <f t="shared" ca="1" si="9"/>
        <v>0.2241427376637859</v>
      </c>
      <c r="AJ17">
        <f t="shared" ca="1" si="10"/>
        <v>0.22548947930222699</v>
      </c>
      <c r="AK17">
        <f t="shared" ca="1" si="11"/>
        <v>0.22649366589225442</v>
      </c>
      <c r="AL17">
        <f t="shared" ca="1" si="12"/>
        <v>0.22543715089909433</v>
      </c>
      <c r="AM17">
        <f t="shared" ca="1" si="13"/>
        <v>0.22583853839064991</v>
      </c>
      <c r="AN17">
        <f t="shared" ca="1" si="14"/>
        <v>0.22437924572499415</v>
      </c>
      <c r="AO17">
        <f t="shared" ca="1" si="15"/>
        <v>0.22697325363235743</v>
      </c>
      <c r="AP17">
        <f t="shared" ca="1" si="16"/>
        <v>0.228869509700074</v>
      </c>
      <c r="AQ17">
        <f t="shared" ca="1" si="17"/>
        <v>0.22990495188922791</v>
      </c>
      <c r="AR17">
        <f t="shared" ca="1" si="18"/>
        <v>0.2306200696311313</v>
      </c>
      <c r="AS17">
        <f t="shared" ca="1" si="19"/>
        <v>0.22988200981042026</v>
      </c>
      <c r="AT17">
        <f t="shared" ca="1" si="20"/>
        <v>0.22867143282692881</v>
      </c>
      <c r="AU17">
        <f t="shared" ca="1" si="21"/>
        <v>0.22843585081378331</v>
      </c>
      <c r="AV17">
        <f t="shared" ca="1" si="22"/>
        <v>0.22900718494247638</v>
      </c>
    </row>
    <row r="18" spans="1:48" ht="16" x14ac:dyDescent="0.2">
      <c r="A18" s="10" t="e" vm="528">
        <v>#VALUE!</v>
      </c>
      <c r="B18" s="23" t="str" cm="1">
        <f t="array" aca="1" ref="B18" ca="1">_FV(A18,"ticker symbol",TRUE)</f>
        <v>XLB</v>
      </c>
      <c r="C18" s="23" t="str" cm="1">
        <f t="array" aca="1" ref="C18" ca="1">_FV(A18,"Name")</f>
        <v>Sel Sector:Mat SS SPDR</v>
      </c>
      <c r="D18" cm="1" vm="529">
        <f t="array" aca="1" ref="D18:Y18" ca="1">TRANSPOSE(_xlfn.STOCKHISTORY(B18, WORKDAY(TODAY(), -23), TODAY(), 0, 0, 1))</f>
        <v>85.74</v>
      </c>
      <c r="E18" vm="530">
        <f ca="1"/>
        <v>84.46</v>
      </c>
      <c r="F18" vm="531">
        <f ca="1"/>
        <v>86.35</v>
      </c>
      <c r="G18" vm="532">
        <f ca="1"/>
        <v>86.52</v>
      </c>
      <c r="H18" vm="533">
        <f ca="1"/>
        <v>87.81</v>
      </c>
      <c r="I18" vm="534">
        <f ca="1"/>
        <v>88.89</v>
      </c>
      <c r="J18" vm="535">
        <f ca="1"/>
        <v>89.4</v>
      </c>
      <c r="K18" vm="536">
        <f ca="1"/>
        <v>89.18</v>
      </c>
      <c r="L18" vm="537">
        <f ca="1"/>
        <v>44.185000000000002</v>
      </c>
      <c r="M18" vm="538">
        <f ca="1"/>
        <v>44.494999999999997</v>
      </c>
      <c r="N18" vm="539">
        <f ca="1"/>
        <v>44.234999999999999</v>
      </c>
      <c r="O18" vm="540">
        <f ca="1"/>
        <v>44.09</v>
      </c>
      <c r="P18" vm="541">
        <f ca="1"/>
        <v>43.48</v>
      </c>
      <c r="Q18" vm="542">
        <f ca="1"/>
        <v>43.39</v>
      </c>
      <c r="R18" vm="543">
        <f ca="1"/>
        <v>44.24</v>
      </c>
      <c r="S18" vm="544">
        <f ca="1"/>
        <v>45.12</v>
      </c>
      <c r="T18" vm="545">
        <f ca="1"/>
        <v>45.15</v>
      </c>
      <c r="U18" vm="544">
        <f ca="1"/>
        <v>45.12</v>
      </c>
      <c r="V18" vm="546">
        <f ca="1"/>
        <v>45</v>
      </c>
      <c r="W18" vm="463">
        <f ca="1"/>
        <v>45.19</v>
      </c>
      <c r="X18" vm="547">
        <f ca="1"/>
        <v>45.17</v>
      </c>
      <c r="Y18" vm="18">
        <f ca="1"/>
        <v>45.37</v>
      </c>
      <c r="AA18">
        <f t="shared" ca="1" si="1"/>
        <v>0.12939347750630065</v>
      </c>
      <c r="AB18">
        <f t="shared" ca="1" si="2"/>
        <v>0.12943466200787704</v>
      </c>
      <c r="AC18">
        <f t="shared" ca="1" si="3"/>
        <v>0.13102590170401954</v>
      </c>
      <c r="AD18">
        <f t="shared" ca="1" si="4"/>
        <v>0.12937957023013771</v>
      </c>
      <c r="AE18">
        <f t="shared" ca="1" si="5"/>
        <v>0.13008503451749578</v>
      </c>
      <c r="AF18">
        <f t="shared" ca="1" si="6"/>
        <v>0.13078213276836159</v>
      </c>
      <c r="AG18">
        <f t="shared" ca="1" si="7"/>
        <v>0.13081841993590776</v>
      </c>
      <c r="AH18">
        <f t="shared" ca="1" si="8"/>
        <v>0.13109500639451985</v>
      </c>
      <c r="AI18">
        <f t="shared" ca="1" si="9"/>
        <v>6.4832069021172958E-2</v>
      </c>
      <c r="AJ18">
        <f t="shared" ca="1" si="10"/>
        <v>6.506163271871207E-2</v>
      </c>
      <c r="AK18">
        <f t="shared" ca="1" si="11"/>
        <v>6.4634199798360589E-2</v>
      </c>
      <c r="AL18">
        <f t="shared" ca="1" si="12"/>
        <v>6.4300193965202937E-2</v>
      </c>
      <c r="AM18">
        <f t="shared" ca="1" si="13"/>
        <v>6.360165586647748E-2</v>
      </c>
      <c r="AN18">
        <f t="shared" ca="1" si="14"/>
        <v>6.3524830171000232E-2</v>
      </c>
      <c r="AO18">
        <f t="shared" ca="1" si="15"/>
        <v>6.4342539668688276E-2</v>
      </c>
      <c r="AP18">
        <f t="shared" ca="1" si="16"/>
        <v>6.5470058185933808E-2</v>
      </c>
      <c r="AQ18">
        <f t="shared" ca="1" si="17"/>
        <v>6.6225651255573809E-2</v>
      </c>
      <c r="AR18">
        <f t="shared" ca="1" si="18"/>
        <v>6.628178573002512E-2</v>
      </c>
      <c r="AS18">
        <f t="shared" ca="1" si="19"/>
        <v>6.6286623359406077E-2</v>
      </c>
      <c r="AT18">
        <f t="shared" ca="1" si="20"/>
        <v>6.7307119451891564E-2</v>
      </c>
      <c r="AU18">
        <f t="shared" ca="1" si="21"/>
        <v>6.6773101541827432E-2</v>
      </c>
      <c r="AV18">
        <f t="shared" ca="1" si="22"/>
        <v>6.6662748497627058E-2</v>
      </c>
    </row>
    <row r="19" spans="1:48" ht="16" x14ac:dyDescent="0.2">
      <c r="A19" s="10" t="e" vm="548">
        <v>#VALUE!</v>
      </c>
      <c r="B19" s="23" t="str" cm="1">
        <f t="array" aca="1" ref="B19" ca="1">_FV(A19,"ticker symbol",TRUE)</f>
        <v>XLRE</v>
      </c>
      <c r="C19" s="23" t="str" cm="1">
        <f t="array" aca="1" ref="C19" ca="1">_FV(A19,"Name")</f>
        <v>Sel Sector:RE SS SPDR In</v>
      </c>
      <c r="D19" cm="1" vm="549">
        <f t="array" aca="1" ref="D19:Y19" ca="1">TRANSPOSE(_xlfn.STOCKHISTORY(B19, WORKDAY(TODAY(), -23), TODAY(), 0, 0, 1))</f>
        <v>40.51</v>
      </c>
      <c r="E19" vm="550">
        <f ca="1"/>
        <v>40.369999999999997</v>
      </c>
      <c r="F19" vm="551">
        <f ca="1"/>
        <v>40.9</v>
      </c>
      <c r="G19" vm="552">
        <f ca="1"/>
        <v>40.96</v>
      </c>
      <c r="H19" vm="553">
        <f ca="1"/>
        <v>41.29</v>
      </c>
      <c r="I19" vm="301">
        <f ca="1"/>
        <v>41.47</v>
      </c>
      <c r="J19" vm="554">
        <f ca="1"/>
        <v>41.67</v>
      </c>
      <c r="K19" vm="555">
        <f ca="1"/>
        <v>41.09</v>
      </c>
      <c r="L19" vm="305">
        <f ca="1"/>
        <v>40.99</v>
      </c>
      <c r="M19" vm="556">
        <f ca="1"/>
        <v>41.07</v>
      </c>
      <c r="N19" vm="557">
        <f ca="1"/>
        <v>41</v>
      </c>
      <c r="O19" vm="305">
        <f ca="1"/>
        <v>40.99</v>
      </c>
      <c r="P19" vm="558">
        <f ca="1"/>
        <v>40.74</v>
      </c>
      <c r="Q19" vm="559">
        <f ca="1"/>
        <v>40.5</v>
      </c>
      <c r="R19" vm="560">
        <f ca="1"/>
        <v>40.58</v>
      </c>
      <c r="S19" vm="561">
        <f ca="1"/>
        <v>40.799999999999997</v>
      </c>
      <c r="T19" vm="562">
        <f ca="1"/>
        <v>40.75</v>
      </c>
      <c r="U19" vm="563">
        <f ca="1"/>
        <v>40.909999999999997</v>
      </c>
      <c r="V19" vm="564">
        <f ca="1"/>
        <v>40.549999999999997</v>
      </c>
      <c r="W19" vm="565">
        <f ca="1"/>
        <v>40.729999999999997</v>
      </c>
      <c r="X19" vm="566">
        <f ca="1"/>
        <v>40.479999999999997</v>
      </c>
      <c r="Y19" vm="19">
        <f ca="1"/>
        <v>40.33</v>
      </c>
      <c r="AA19">
        <f t="shared" ca="1" si="1"/>
        <v>6.1135173475393503E-2</v>
      </c>
      <c r="AB19">
        <f t="shared" ca="1" si="2"/>
        <v>6.1866887346175653E-2</v>
      </c>
      <c r="AC19">
        <f t="shared" ca="1" si="3"/>
        <v>6.2060907697676887E-2</v>
      </c>
      <c r="AD19">
        <f t="shared" ca="1" si="4"/>
        <v>6.1250429919399461E-2</v>
      </c>
      <c r="AE19">
        <f t="shared" ca="1" si="5"/>
        <v>6.1168557968652781E-2</v>
      </c>
      <c r="AF19">
        <f t="shared" ca="1" si="6"/>
        <v>6.10140065913371E-2</v>
      </c>
      <c r="AG19">
        <f t="shared" ca="1" si="7"/>
        <v>6.0975431305696604E-2</v>
      </c>
      <c r="AH19">
        <f t="shared" ca="1" si="8"/>
        <v>6.0402487247710475E-2</v>
      </c>
      <c r="AI19">
        <f t="shared" ca="1" si="9"/>
        <v>6.0144087567678611E-2</v>
      </c>
      <c r="AJ19">
        <f t="shared" ca="1" si="10"/>
        <v>6.0053517378525788E-2</v>
      </c>
      <c r="AK19">
        <f t="shared" ca="1" si="11"/>
        <v>5.9907362760998846E-2</v>
      </c>
      <c r="AL19">
        <f t="shared" ca="1" si="12"/>
        <v>5.9779200513351512E-2</v>
      </c>
      <c r="AM19">
        <f t="shared" ca="1" si="13"/>
        <v>5.9593639834413355E-2</v>
      </c>
      <c r="AN19">
        <f t="shared" ca="1" si="14"/>
        <v>5.92937456078707E-2</v>
      </c>
      <c r="AO19">
        <f t="shared" ca="1" si="15"/>
        <v>5.9019445292842906E-2</v>
      </c>
      <c r="AP19">
        <f t="shared" ca="1" si="16"/>
        <v>5.9201648359620995E-2</v>
      </c>
      <c r="AQ19">
        <f t="shared" ca="1" si="17"/>
        <v>5.9771767190800282E-2</v>
      </c>
      <c r="AR19">
        <f t="shared" ca="1" si="18"/>
        <v>6.0097248542006369E-2</v>
      </c>
      <c r="AS19">
        <f t="shared" ca="1" si="19"/>
        <v>5.9731612827198133E-2</v>
      </c>
      <c r="AT19">
        <f t="shared" ca="1" si="20"/>
        <v>6.0664283586535597E-2</v>
      </c>
      <c r="AU19">
        <f t="shared" ca="1" si="21"/>
        <v>5.9840052034827847E-2</v>
      </c>
      <c r="AV19">
        <f t="shared" ca="1" si="22"/>
        <v>5.9257409012768325E-2</v>
      </c>
    </row>
    <row r="20" spans="1:48" ht="16" x14ac:dyDescent="0.2">
      <c r="A20" s="10" t="e" vm="567">
        <v>#VALUE!</v>
      </c>
      <c r="B20" s="23" t="str" cm="1">
        <f t="array" aca="1" ref="B20" ca="1">_FV(A20,"ticker symbol",TRUE)</f>
        <v>XLK</v>
      </c>
      <c r="C20" s="23" t="str" cm="1">
        <f t="array" aca="1" ref="C20" ca="1">_FV(A20,"Name")</f>
        <v>Sel Sector:Tech SPDR</v>
      </c>
      <c r="D20" cm="1" vm="568">
        <f t="array" aca="1" ref="D20:Y20" ca="1">TRANSPOSE(_xlfn.STOCKHISTORY(B20, WORKDAY(TODAY(), -23), TODAY(), 0, 0, 1))</f>
        <v>280.97000000000003</v>
      </c>
      <c r="E20" vm="569">
        <f ca="1"/>
        <v>272.14999999999998</v>
      </c>
      <c r="F20" vm="570">
        <f ca="1"/>
        <v>273.2</v>
      </c>
      <c r="G20" vm="571">
        <f ca="1"/>
        <v>279.70999999999998</v>
      </c>
      <c r="H20" vm="572">
        <f ca="1"/>
        <v>280.45999999999998</v>
      </c>
      <c r="I20" vm="573">
        <f ca="1"/>
        <v>283.77999999999997</v>
      </c>
      <c r="J20" vm="574">
        <f ca="1"/>
        <v>286.22000000000003</v>
      </c>
      <c r="K20" vm="575">
        <f ca="1"/>
        <v>286.35000000000002</v>
      </c>
      <c r="L20" vm="576">
        <f ca="1"/>
        <v>144.65</v>
      </c>
      <c r="M20" vm="577">
        <f ca="1"/>
        <v>144.995</v>
      </c>
      <c r="N20" vm="578">
        <f ca="1"/>
        <v>145.535</v>
      </c>
      <c r="O20" vm="579">
        <f ca="1"/>
        <v>146.6</v>
      </c>
      <c r="P20" vm="580">
        <f ca="1"/>
        <v>147.63</v>
      </c>
      <c r="Q20" vm="581">
        <f ca="1"/>
        <v>148.02000000000001</v>
      </c>
      <c r="R20" vm="582">
        <f ca="1"/>
        <v>148.72999999999999</v>
      </c>
      <c r="S20" vm="583">
        <f ca="1"/>
        <v>147.97</v>
      </c>
      <c r="T20" vm="584">
        <f ca="1"/>
        <v>143.69</v>
      </c>
      <c r="U20" vm="585">
        <f ca="1"/>
        <v>142.30000000000001</v>
      </c>
      <c r="V20" vm="586">
        <f ca="1"/>
        <v>142.56</v>
      </c>
      <c r="W20" vm="587">
        <f ca="1"/>
        <v>139.38999999999999</v>
      </c>
      <c r="X20" vm="588">
        <f ca="1"/>
        <v>141.54</v>
      </c>
      <c r="Y20" vm="20">
        <f ca="1"/>
        <v>144.6</v>
      </c>
      <c r="AA20">
        <f t="shared" ca="1" si="1"/>
        <v>0.42402245597090388</v>
      </c>
      <c r="AB20">
        <f t="shared" ca="1" si="2"/>
        <v>0.41706894702159286</v>
      </c>
      <c r="AC20">
        <f t="shared" ca="1" si="3"/>
        <v>0.41454865484120601</v>
      </c>
      <c r="AD20">
        <f t="shared" ca="1" si="4"/>
        <v>0.41827045294812548</v>
      </c>
      <c r="AE20">
        <f t="shared" ca="1" si="5"/>
        <v>0.41548398565968414</v>
      </c>
      <c r="AF20">
        <f t="shared" ca="1" si="6"/>
        <v>0.41752000941619583</v>
      </c>
      <c r="AG20">
        <f t="shared" ca="1" si="7"/>
        <v>0.4188238048552072</v>
      </c>
      <c r="AH20">
        <f t="shared" ca="1" si="8"/>
        <v>0.42093580490099525</v>
      </c>
      <c r="AI20">
        <f t="shared" ca="1" si="9"/>
        <v>0.21224304139216177</v>
      </c>
      <c r="AJ20">
        <f t="shared" ca="1" si="10"/>
        <v>0.21201509014607614</v>
      </c>
      <c r="AK20">
        <f t="shared" ca="1" si="11"/>
        <v>0.21264922047370652</v>
      </c>
      <c r="AL20">
        <f t="shared" ca="1" si="12"/>
        <v>0.21379923872303808</v>
      </c>
      <c r="AM20">
        <f t="shared" ca="1" si="13"/>
        <v>0.21595014847212674</v>
      </c>
      <c r="AN20">
        <f t="shared" ca="1" si="14"/>
        <v>0.21670765987350671</v>
      </c>
      <c r="AO20">
        <f t="shared" ca="1" si="15"/>
        <v>0.21631252090696218</v>
      </c>
      <c r="AP20">
        <f t="shared" ca="1" si="16"/>
        <v>0.21470754675914508</v>
      </c>
      <c r="AQ20">
        <f t="shared" ca="1" si="17"/>
        <v>0.21076331846984275</v>
      </c>
      <c r="AR20">
        <f t="shared" ca="1" si="18"/>
        <v>0.20904029497745069</v>
      </c>
      <c r="AS20">
        <f t="shared" ca="1" si="19"/>
        <v>0.20999602280259844</v>
      </c>
      <c r="AT20">
        <f t="shared" ca="1" si="20"/>
        <v>0.20761096216860292</v>
      </c>
      <c r="AU20">
        <f t="shared" ca="1" si="21"/>
        <v>0.20923322542019598</v>
      </c>
      <c r="AV20">
        <f t="shared" ca="1" si="22"/>
        <v>0.21246271617273246</v>
      </c>
    </row>
    <row r="21" spans="1:48" ht="17" thickBot="1" x14ac:dyDescent="0.25">
      <c r="A21" s="11" t="e" vm="589">
        <v>#VALUE!</v>
      </c>
      <c r="B21" s="23" t="str" cm="1">
        <f t="array" aca="1" ref="B21" ca="1">_FV(A21,"ticker symbol",TRUE)</f>
        <v>XLU</v>
      </c>
      <c r="C21" s="23" t="str" cm="1">
        <f t="array" aca="1" ref="C21" ca="1">_FV(A21,"Name")</f>
        <v>Sel Sector:Utl SS SPDR</v>
      </c>
      <c r="D21" cm="1" vm="590">
        <f t="array" aca="1" ref="D21:Y21" ca="1">TRANSPOSE(_xlfn.STOCKHISTORY(B21, WORKDAY(TODAY(), -23), TODAY(), 0, 0, 1))</f>
        <v>88.47</v>
      </c>
      <c r="E21" vm="591">
        <f ca="1"/>
        <v>88.02</v>
      </c>
      <c r="F21" vm="592">
        <f ca="1"/>
        <v>88.15</v>
      </c>
      <c r="G21" vm="593">
        <f ca="1"/>
        <v>89.15</v>
      </c>
      <c r="H21" vm="594">
        <f ca="1"/>
        <v>88.81</v>
      </c>
      <c r="I21" vm="595">
        <f ca="1"/>
        <v>89.99</v>
      </c>
      <c r="J21" vm="596">
        <f ca="1"/>
        <v>90.63</v>
      </c>
      <c r="K21" vm="597">
        <f ca="1"/>
        <v>88.51</v>
      </c>
      <c r="L21" vm="598">
        <f ca="1"/>
        <v>43.94</v>
      </c>
      <c r="M21" vm="599">
        <f ca="1"/>
        <v>43.8</v>
      </c>
      <c r="N21" vm="600">
        <f ca="1"/>
        <v>43.71</v>
      </c>
      <c r="O21" vm="601">
        <f ca="1"/>
        <v>43.3</v>
      </c>
      <c r="P21" vm="602">
        <f ca="1"/>
        <v>42.72</v>
      </c>
      <c r="Q21" vm="603">
        <f ca="1"/>
        <v>42.75</v>
      </c>
      <c r="R21" vm="604">
        <f ca="1"/>
        <v>42.73</v>
      </c>
      <c r="S21" vm="605">
        <f ca="1"/>
        <v>43.04</v>
      </c>
      <c r="T21" vm="606">
        <f ca="1"/>
        <v>42.83</v>
      </c>
      <c r="U21" vm="607">
        <f ca="1"/>
        <v>43.22</v>
      </c>
      <c r="V21" vm="605">
        <f ca="1"/>
        <v>43.04</v>
      </c>
      <c r="W21" vm="608">
        <f ca="1"/>
        <v>42.76</v>
      </c>
      <c r="X21" vm="609">
        <f ca="1"/>
        <v>43.18</v>
      </c>
      <c r="Y21" vm="21">
        <f ca="1"/>
        <v>42.63</v>
      </c>
      <c r="AA21">
        <f t="shared" ca="1" si="1"/>
        <v>0.13351342378099393</v>
      </c>
      <c r="AB21">
        <f t="shared" ca="1" si="2"/>
        <v>0.13489034986897155</v>
      </c>
      <c r="AC21">
        <f t="shared" ca="1" si="3"/>
        <v>0.13375718859535987</v>
      </c>
      <c r="AD21">
        <f t="shared" ca="1" si="4"/>
        <v>0.13331239812779447</v>
      </c>
      <c r="AE21">
        <f t="shared" ca="1" si="5"/>
        <v>0.13156647210453024</v>
      </c>
      <c r="AF21">
        <f t="shared" ca="1" si="6"/>
        <v>0.13240054143126176</v>
      </c>
      <c r="AG21">
        <f t="shared" ca="1" si="7"/>
        <v>0.13261827067999238</v>
      </c>
      <c r="AH21">
        <f t="shared" ca="1" si="8"/>
        <v>0.13011010334132037</v>
      </c>
      <c r="AI21">
        <f t="shared" ca="1" si="9"/>
        <v>6.4472583745396383E-2</v>
      </c>
      <c r="AJ21">
        <f t="shared" ca="1" si="10"/>
        <v>6.4045387416104924E-2</v>
      </c>
      <c r="AK21">
        <f t="shared" ca="1" si="11"/>
        <v>6.3867093323981938E-2</v>
      </c>
      <c r="AL21">
        <f t="shared" ca="1" si="12"/>
        <v>6.314806982747305E-2</v>
      </c>
      <c r="AM21">
        <f t="shared" ca="1" si="13"/>
        <v>6.2489943390430493E-2</v>
      </c>
      <c r="AN21">
        <f t="shared" ca="1" si="14"/>
        <v>6.258784258608574E-2</v>
      </c>
      <c r="AO21">
        <f t="shared" ca="1" si="15"/>
        <v>6.2146399639309444E-2</v>
      </c>
      <c r="AP21">
        <f t="shared" ca="1" si="16"/>
        <v>6.2451934936227638E-2</v>
      </c>
      <c r="AQ21">
        <f t="shared" ca="1" si="17"/>
        <v>6.2822694203238674E-2</v>
      </c>
      <c r="AR21">
        <f t="shared" ca="1" si="18"/>
        <v>6.349066443376962E-2</v>
      </c>
      <c r="AS21">
        <f t="shared" ca="1" si="19"/>
        <v>6.3399472653085279E-2</v>
      </c>
      <c r="AT21">
        <f t="shared" ca="1" si="20"/>
        <v>6.3687816502829911E-2</v>
      </c>
      <c r="AU21">
        <f t="shared" ca="1" si="21"/>
        <v>6.383135985335639E-2</v>
      </c>
      <c r="AV21">
        <f t="shared" ca="1" si="22"/>
        <v>6.2636829809430056E-2</v>
      </c>
    </row>
    <row r="22" spans="1:48" ht="16" x14ac:dyDescent="0.2">
      <c r="A22" s="10" t="e" vm="610">
        <v>#VALUE!</v>
      </c>
      <c r="B22" s="23" t="str" cm="1">
        <f t="array" aca="1" ref="B22" ca="1">_FV(A22,"ticker symbol",TRUE)</f>
        <v>SOXX</v>
      </c>
      <c r="C22" s="23" t="str" cm="1">
        <f t="array" aca="1" ref="C22" ca="1">_FV(A22,"Name")</f>
        <v>iShares:Semiconductor</v>
      </c>
      <c r="D22" cm="1" vm="611">
        <f t="array" aca="1" ref="D22:Y22" ca="1">TRANSPOSE(_xlfn.STOCKHISTORY(B22, WORKDAY(TODAY(), -23), TODAY(), 0, 0, 1))</f>
        <v>281.61</v>
      </c>
      <c r="E22" vm="612">
        <f ca="1"/>
        <v>268.10000000000002</v>
      </c>
      <c r="F22" vm="613">
        <f ca="1"/>
        <v>270.83</v>
      </c>
      <c r="G22" vm="614">
        <f ca="1"/>
        <v>282.7</v>
      </c>
      <c r="H22" vm="615">
        <f ca="1"/>
        <v>283.58</v>
      </c>
      <c r="I22" vm="616">
        <f ca="1"/>
        <v>291.39</v>
      </c>
      <c r="J22" vm="617">
        <f ca="1"/>
        <v>296.74</v>
      </c>
      <c r="K22" vm="618">
        <f ca="1"/>
        <v>296.92</v>
      </c>
      <c r="L22" vm="619">
        <f ca="1"/>
        <v>302.83999999999997</v>
      </c>
      <c r="M22" vm="620">
        <f ca="1"/>
        <v>309.36</v>
      </c>
      <c r="N22" vm="621">
        <f ca="1"/>
        <v>306.27999999999997</v>
      </c>
      <c r="O22" vm="622">
        <f ca="1"/>
        <v>309.39999999999998</v>
      </c>
      <c r="P22" vm="623">
        <f ca="1"/>
        <v>312.76</v>
      </c>
      <c r="Q22" vm="624">
        <f ca="1"/>
        <v>312.18</v>
      </c>
      <c r="R22" vm="625">
        <f ca="1"/>
        <v>316.33</v>
      </c>
      <c r="S22" vm="626">
        <f ca="1"/>
        <v>314.52</v>
      </c>
      <c r="T22" vm="627">
        <f ca="1"/>
        <v>299.48</v>
      </c>
      <c r="U22" vm="628">
        <f ca="1"/>
        <v>298.01</v>
      </c>
      <c r="V22" vm="629">
        <f ca="1"/>
        <v>296.2</v>
      </c>
      <c r="W22" vm="630">
        <f ca="1"/>
        <v>285.23</v>
      </c>
      <c r="X22" vm="631">
        <f ca="1"/>
        <v>292.04000000000002</v>
      </c>
      <c r="Y22" vm="22">
        <f ca="1"/>
        <v>299.81</v>
      </c>
      <c r="AA22">
        <f t="shared" ca="1" si="1"/>
        <v>0.42498830418182093</v>
      </c>
      <c r="AB22">
        <f t="shared" ca="1" si="2"/>
        <v>0.41086233583130283</v>
      </c>
      <c r="AC22">
        <f t="shared" ca="1" si="3"/>
        <v>0.41095246043427464</v>
      </c>
      <c r="AD22">
        <f t="shared" ca="1" si="4"/>
        <v>0.42274161470249577</v>
      </c>
      <c r="AE22">
        <f t="shared" ca="1" si="5"/>
        <v>0.42010607093123165</v>
      </c>
      <c r="AF22">
        <f t="shared" ca="1" si="6"/>
        <v>0.42871645480225989</v>
      </c>
      <c r="AG22">
        <f t="shared" ca="1" si="7"/>
        <v>0.43421765024363834</v>
      </c>
      <c r="AH22">
        <f t="shared" ca="1" si="8"/>
        <v>0.43647375306863456</v>
      </c>
      <c r="AI22">
        <f t="shared" ca="1" si="9"/>
        <v>0.44435314659662817</v>
      </c>
      <c r="AJ22">
        <f t="shared" ca="1" si="10"/>
        <v>0.45235344865402333</v>
      </c>
      <c r="AK22">
        <f t="shared" ca="1" si="11"/>
        <v>0.44752261137655425</v>
      </c>
      <c r="AL22">
        <f t="shared" ca="1" si="12"/>
        <v>0.45122431419446096</v>
      </c>
      <c r="AM22">
        <f t="shared" ca="1" si="13"/>
        <v>0.45749893948480902</v>
      </c>
      <c r="AN22">
        <f t="shared" ca="1" si="14"/>
        <v>0.4570449754040759</v>
      </c>
      <c r="AO22">
        <f t="shared" ca="1" si="15"/>
        <v>0.46006952019430741</v>
      </c>
      <c r="AP22">
        <f t="shared" ca="1" si="16"/>
        <v>0.45637505985460769</v>
      </c>
      <c r="AQ22">
        <f t="shared" ca="1" si="17"/>
        <v>0.43927481811781277</v>
      </c>
      <c r="AR22">
        <f t="shared" ca="1" si="18"/>
        <v>0.43778003026163087</v>
      </c>
      <c r="AS22">
        <f t="shared" ca="1" si="19"/>
        <v>0.4363132853123573</v>
      </c>
      <c r="AT22">
        <f t="shared" ca="1" si="20"/>
        <v>0.42482871611557943</v>
      </c>
      <c r="AU22">
        <f t="shared" ca="1" si="21"/>
        <v>0.43171167974928676</v>
      </c>
      <c r="AV22">
        <f t="shared" ca="1" si="22"/>
        <v>0.44051484741180447</v>
      </c>
    </row>
    <row r="23" spans="1:48" ht="16" x14ac:dyDescent="0.2">
      <c r="A23" s="10" t="e" vm="632">
        <v>#VALUE!</v>
      </c>
      <c r="B23" s="23" t="str" cm="1">
        <f t="array" aca="1" ref="B23" ca="1">_FV(A23,"ticker symbol",TRUE)</f>
        <v>SMH</v>
      </c>
      <c r="C23" s="23" t="str" cm="1">
        <f t="array" aca="1" ref="C23" ca="1">_FV(A23,"Name")</f>
        <v>VanEck:Semiconductor</v>
      </c>
      <c r="D23" cm="1" vm="633">
        <f t="array" aca="1" ref="D23:Y23" ca="1">TRANSPOSE(_xlfn.STOCKHISTORY(B23, WORKDAY(TODAY(), -23), TODAY(), 0, 0, 1))</f>
        <v>339.44</v>
      </c>
      <c r="E23" vm="634">
        <f ca="1"/>
        <v>325.10000000000002</v>
      </c>
      <c r="F23" vm="635">
        <f ca="1"/>
        <v>326.13</v>
      </c>
      <c r="G23" vm="636">
        <f ca="1"/>
        <v>339.12</v>
      </c>
      <c r="H23" vm="637">
        <f ca="1"/>
        <v>340.01</v>
      </c>
      <c r="I23" vm="638">
        <f ca="1"/>
        <v>347.71</v>
      </c>
      <c r="J23" vm="639">
        <f ca="1"/>
        <v>352.28</v>
      </c>
      <c r="K23" vm="640">
        <f ca="1"/>
        <v>352.96</v>
      </c>
      <c r="L23" vm="641">
        <f ca="1"/>
        <v>359.43</v>
      </c>
      <c r="M23" vm="642">
        <f ca="1"/>
        <v>364.37</v>
      </c>
      <c r="N23" vm="643">
        <f ca="1"/>
        <v>361.6</v>
      </c>
      <c r="O23" vm="644">
        <f ca="1"/>
        <v>364.42</v>
      </c>
      <c r="P23" vm="645">
        <f ca="1"/>
        <v>368.55</v>
      </c>
      <c r="Q23" vm="646">
        <f ca="1"/>
        <v>369</v>
      </c>
      <c r="R23" vm="647">
        <f ca="1"/>
        <v>374.1</v>
      </c>
      <c r="S23" vm="648">
        <f ca="1"/>
        <v>370.89</v>
      </c>
      <c r="T23" vm="649">
        <f ca="1"/>
        <v>354.12</v>
      </c>
      <c r="U23" vm="650">
        <f ca="1"/>
        <v>352.9</v>
      </c>
      <c r="V23" vm="651">
        <f ca="1"/>
        <v>351.94</v>
      </c>
      <c r="W23" vm="652">
        <f ca="1"/>
        <v>339.24</v>
      </c>
      <c r="X23" vm="653">
        <f ca="1"/>
        <v>347.25</v>
      </c>
      <c r="Y23" vm="24">
        <f ca="1"/>
        <v>356.23</v>
      </c>
      <c r="AA23">
        <f t="shared" ca="1" si="1"/>
        <v>0.51226174486515852</v>
      </c>
      <c r="AB23">
        <f t="shared" ca="1" si="2"/>
        <v>0.49821464147242278</v>
      </c>
      <c r="AC23">
        <f t="shared" ca="1" si="3"/>
        <v>0.49486366326267395</v>
      </c>
      <c r="AD23">
        <f t="shared" ca="1" si="4"/>
        <v>0.50711049302409039</v>
      </c>
      <c r="AE23">
        <f t="shared" ca="1" si="5"/>
        <v>0.50370359396758613</v>
      </c>
      <c r="AF23">
        <f t="shared" ca="1" si="6"/>
        <v>0.51157897834274957</v>
      </c>
      <c r="AG23">
        <f t="shared" ca="1" si="7"/>
        <v>0.51548895945214301</v>
      </c>
      <c r="AH23">
        <f t="shared" ca="1" si="8"/>
        <v>0.51885280844370618</v>
      </c>
      <c r="AI23">
        <f t="shared" ca="1" si="9"/>
        <v>0.52738690886681439</v>
      </c>
      <c r="AJ23">
        <f t="shared" ca="1" si="10"/>
        <v>0.5327903610229715</v>
      </c>
      <c r="AK23">
        <f t="shared" ca="1" si="11"/>
        <v>0.52835371644822404</v>
      </c>
      <c r="AL23">
        <f t="shared" ca="1" si="12"/>
        <v>0.53146465603990134</v>
      </c>
      <c r="AM23">
        <f t="shared" ca="1" si="13"/>
        <v>0.53910741190410016</v>
      </c>
      <c r="AN23">
        <f t="shared" ca="1" si="14"/>
        <v>0.54023190442726632</v>
      </c>
      <c r="AO23">
        <f t="shared" ca="1" si="15"/>
        <v>0.54409005628517826</v>
      </c>
      <c r="AP23">
        <f t="shared" ca="1" si="16"/>
        <v>0.5381691019632312</v>
      </c>
      <c r="AQ23">
        <f t="shared" ca="1" si="17"/>
        <v>0.5194203238676367</v>
      </c>
      <c r="AR23">
        <f t="shared" ca="1" si="18"/>
        <v>0.51841405549924346</v>
      </c>
      <c r="AS23">
        <f t="shared" ca="1" si="19"/>
        <v>0.51842031611354167</v>
      </c>
      <c r="AT23">
        <f t="shared" ca="1" si="20"/>
        <v>0.50527256478999105</v>
      </c>
      <c r="AU23">
        <f t="shared" ca="1" si="21"/>
        <v>0.51332653332742029</v>
      </c>
      <c r="AV23">
        <f t="shared" ca="1" si="22"/>
        <v>0.52341350886730631</v>
      </c>
    </row>
    <row r="24" spans="1:48" ht="16" x14ac:dyDescent="0.2">
      <c r="A24" s="10" t="e" vm="654">
        <v>#VALUE!</v>
      </c>
      <c r="B24" s="23" t="str" cm="1">
        <f t="array" aca="1" ref="B24" ca="1">_FV(A24,"ticker symbol",TRUE)</f>
        <v>XSD</v>
      </c>
      <c r="C24" s="23" t="str" cm="1">
        <f t="array" aca="1" ref="C24" ca="1">_FV(A24,"Name")</f>
        <v>SS SPDR S&amp;P Semiconductr</v>
      </c>
      <c r="D24" cm="1" vm="655">
        <f t="array" aca="1" ref="D24:Y24" ca="1">TRANSPOSE(_xlfn.STOCKHISTORY(B24, WORKDAY(TODAY(), -23), TODAY(), 0, 0, 1))</f>
        <v>299.57</v>
      </c>
      <c r="E24" vm="656">
        <f ca="1"/>
        <v>287.85000000000002</v>
      </c>
      <c r="F24" vm="657">
        <f ca="1"/>
        <v>295.41000000000003</v>
      </c>
      <c r="G24" vm="658">
        <f ca="1"/>
        <v>308.25</v>
      </c>
      <c r="H24" vm="659">
        <f ca="1"/>
        <v>310.55</v>
      </c>
      <c r="I24" vm="660">
        <f ca="1"/>
        <v>315.85000000000002</v>
      </c>
      <c r="J24" vm="661">
        <f ca="1"/>
        <v>321.33999999999997</v>
      </c>
      <c r="K24" vm="662">
        <f ca="1"/>
        <v>317.44</v>
      </c>
      <c r="L24" vm="663">
        <f ca="1"/>
        <v>325.32</v>
      </c>
      <c r="M24" vm="664">
        <f ca="1"/>
        <v>337.33</v>
      </c>
      <c r="N24" vm="665">
        <f ca="1"/>
        <v>338.81</v>
      </c>
      <c r="O24" vm="666">
        <f ca="1"/>
        <v>341.96</v>
      </c>
      <c r="P24" vm="667">
        <f ca="1"/>
        <v>344.07</v>
      </c>
      <c r="Q24" vm="668">
        <f ca="1"/>
        <v>343.01</v>
      </c>
      <c r="R24" vm="669">
        <f ca="1"/>
        <v>345.35</v>
      </c>
      <c r="S24" vm="670">
        <f ca="1"/>
        <v>344.74</v>
      </c>
      <c r="T24" vm="671">
        <f ca="1"/>
        <v>328.13</v>
      </c>
      <c r="U24" vm="672">
        <f ca="1"/>
        <v>324.54000000000002</v>
      </c>
      <c r="V24" vm="673">
        <f ca="1"/>
        <v>322.85000000000002</v>
      </c>
      <c r="W24" vm="674">
        <f ca="1"/>
        <v>313.77</v>
      </c>
      <c r="X24" vm="675">
        <f ca="1"/>
        <v>319.07</v>
      </c>
      <c r="Y24" vm="26">
        <f ca="1"/>
        <v>327.17</v>
      </c>
      <c r="AA24">
        <f t="shared" ca="1" si="1"/>
        <v>0.45209241960068214</v>
      </c>
      <c r="AB24">
        <f t="shared" ca="1" si="2"/>
        <v>0.44112914348765581</v>
      </c>
      <c r="AC24">
        <f t="shared" ca="1" si="3"/>
        <v>0.44824970031713279</v>
      </c>
      <c r="AD24">
        <f t="shared" ca="1" si="4"/>
        <v>0.46094836481091023</v>
      </c>
      <c r="AE24">
        <f t="shared" ca="1" si="5"/>
        <v>0.46006044265355106</v>
      </c>
      <c r="AF24">
        <f t="shared" ca="1" si="6"/>
        <v>0.46470397834274962</v>
      </c>
      <c r="AG24">
        <f t="shared" ca="1" si="7"/>
        <v>0.47021466512533105</v>
      </c>
      <c r="AH24">
        <f t="shared" ca="1" si="8"/>
        <v>0.4666382465785644</v>
      </c>
      <c r="AI24">
        <f t="shared" ca="1" si="9"/>
        <v>0.47733775475767759</v>
      </c>
      <c r="AJ24">
        <f t="shared" ca="1" si="10"/>
        <v>0.49325183874599715</v>
      </c>
      <c r="AK24">
        <f t="shared" ca="1" si="11"/>
        <v>0.49505398968424436</v>
      </c>
      <c r="AL24">
        <f t="shared" ca="1" si="12"/>
        <v>0.49870932928874556</v>
      </c>
      <c r="AM24">
        <f t="shared" ca="1" si="13"/>
        <v>0.50329856793879735</v>
      </c>
      <c r="AN24">
        <f t="shared" ca="1" si="14"/>
        <v>0.5021814242211291</v>
      </c>
      <c r="AO24">
        <f t="shared" ca="1" si="15"/>
        <v>0.50227613188475351</v>
      </c>
      <c r="AP24">
        <f t="shared" ca="1" si="16"/>
        <v>0.50022490822293486</v>
      </c>
      <c r="AQ24">
        <f t="shared" ca="1" si="17"/>
        <v>0.4812984041304858</v>
      </c>
      <c r="AR24">
        <f t="shared" ca="1" si="18"/>
        <v>0.47675289762460887</v>
      </c>
      <c r="AS24">
        <f t="shared" ca="1" si="19"/>
        <v>0.47556969670187227</v>
      </c>
      <c r="AT24">
        <f t="shared" ca="1" si="20"/>
        <v>0.46733690795352995</v>
      </c>
      <c r="AU24">
        <f t="shared" ca="1" si="21"/>
        <v>0.47166910579922239</v>
      </c>
      <c r="AV24">
        <f t="shared" ca="1" si="22"/>
        <v>0.48071526175818041</v>
      </c>
    </row>
    <row r="25" spans="1:48" ht="16" x14ac:dyDescent="0.2">
      <c r="A25" s="10" t="e" vm="676">
        <v>#VALUE!</v>
      </c>
      <c r="B25" s="23" t="str" cm="1">
        <f t="array" aca="1" ref="B25" ca="1">_FV(A25,"ticker symbol",TRUE)</f>
        <v>IGV</v>
      </c>
      <c r="C25" s="23" t="str" cm="1">
        <f t="array" aca="1" ref="C25" ca="1">_FV(A25,"Name")</f>
        <v>iShares:Expand Tch-Sftwr</v>
      </c>
      <c r="D25" cm="1" vm="677">
        <f t="array" aca="1" ref="D25:Y25" ca="1">TRANSPOSE(_xlfn.STOCKHISTORY(B25, WORKDAY(TODAY(), -23), TODAY(), 0, 0, 1))</f>
        <v>103.89</v>
      </c>
      <c r="E25" vm="678">
        <f ca="1"/>
        <v>100.8</v>
      </c>
      <c r="F25" vm="679">
        <f ca="1"/>
        <v>100.92</v>
      </c>
      <c r="G25" vm="680">
        <f ca="1"/>
        <v>102.23</v>
      </c>
      <c r="H25" vm="681">
        <f ca="1"/>
        <v>103.19</v>
      </c>
      <c r="I25" vm="682">
        <f ca="1"/>
        <v>102.97</v>
      </c>
      <c r="J25" vm="683">
        <f ca="1"/>
        <v>104.09</v>
      </c>
      <c r="K25" vm="684">
        <f ca="1"/>
        <v>104.07</v>
      </c>
      <c r="L25" vm="685">
        <f ca="1"/>
        <v>105.22</v>
      </c>
      <c r="M25" vm="686">
        <f ca="1"/>
        <v>106.68</v>
      </c>
      <c r="N25" vm="687">
        <f ca="1"/>
        <v>107.95</v>
      </c>
      <c r="O25" vm="688">
        <f ca="1"/>
        <v>109.46</v>
      </c>
      <c r="P25" vm="689">
        <f ca="1"/>
        <v>109.4</v>
      </c>
      <c r="Q25" vm="690">
        <f ca="1"/>
        <v>109.95</v>
      </c>
      <c r="R25" vm="691">
        <f ca="1"/>
        <v>110.08</v>
      </c>
      <c r="S25" vm="692">
        <f ca="1"/>
        <v>109.78</v>
      </c>
      <c r="T25" vm="693">
        <f ca="1"/>
        <v>107.97</v>
      </c>
      <c r="U25" vm="694">
        <f ca="1"/>
        <v>105.39</v>
      </c>
      <c r="V25" vm="695">
        <f ca="1"/>
        <v>106.31</v>
      </c>
      <c r="W25" vm="696">
        <f ca="1"/>
        <v>104.7</v>
      </c>
      <c r="X25" vm="697">
        <f ca="1"/>
        <v>106.18</v>
      </c>
      <c r="Y25" vm="28">
        <f ca="1"/>
        <v>107.76</v>
      </c>
      <c r="AA25">
        <f t="shared" ca="1" si="1"/>
        <v>0.15678432911277787</v>
      </c>
      <c r="AB25">
        <f t="shared" ca="1" si="2"/>
        <v>0.15447565629166476</v>
      </c>
      <c r="AC25">
        <f t="shared" ca="1" si="3"/>
        <v>0.153134151707813</v>
      </c>
      <c r="AD25">
        <f t="shared" ca="1" si="4"/>
        <v>0.15287186158838395</v>
      </c>
      <c r="AE25">
        <f t="shared" ca="1" si="5"/>
        <v>0.15286954460608573</v>
      </c>
      <c r="AF25">
        <f t="shared" ca="1" si="6"/>
        <v>0.151497763653484</v>
      </c>
      <c r="AG25">
        <f t="shared" ca="1" si="7"/>
        <v>0.15231419833477225</v>
      </c>
      <c r="AH25">
        <f t="shared" ca="1" si="8"/>
        <v>0.15298337424846017</v>
      </c>
      <c r="AI25">
        <f t="shared" ca="1" si="9"/>
        <v>0.15438792129473392</v>
      </c>
      <c r="AJ25">
        <f t="shared" ca="1" si="10"/>
        <v>0.1559899983915542</v>
      </c>
      <c r="AK25">
        <f t="shared" ca="1" si="11"/>
        <v>0.15773170268414208</v>
      </c>
      <c r="AL25">
        <f t="shared" ca="1" si="12"/>
        <v>0.15963482039988913</v>
      </c>
      <c r="AM25">
        <f t="shared" ca="1" si="13"/>
        <v>0.16002808536781593</v>
      </c>
      <c r="AN25">
        <f t="shared" ca="1" si="14"/>
        <v>0.16097153900210823</v>
      </c>
      <c r="AO25">
        <f t="shared" ca="1" si="15"/>
        <v>0.1601000625390869</v>
      </c>
      <c r="AP25">
        <f t="shared" ca="1" si="16"/>
        <v>0.15929306266958806</v>
      </c>
      <c r="AQ25">
        <f t="shared" ca="1" si="17"/>
        <v>0.15836951419854495</v>
      </c>
      <c r="AR25">
        <f t="shared" ca="1" si="18"/>
        <v>0.15481909126966639</v>
      </c>
      <c r="AS25">
        <f t="shared" ca="1" si="19"/>
        <v>0.15659846509641021</v>
      </c>
      <c r="AT25">
        <f t="shared" ca="1" si="20"/>
        <v>0.15594280607685435</v>
      </c>
      <c r="AU25">
        <f t="shared" ca="1" si="21"/>
        <v>0.15696187561902228</v>
      </c>
      <c r="AV25">
        <f t="shared" ca="1" si="22"/>
        <v>0.15833321089055086</v>
      </c>
    </row>
    <row r="26" spans="1:48" ht="16" x14ac:dyDescent="0.2">
      <c r="A26" s="10" t="e" vm="698">
        <v>#VALUE!</v>
      </c>
      <c r="B26" s="23" t="str" cm="1">
        <f t="array" aca="1" ref="B26" ca="1">_FV(A26,"ticker symbol",TRUE)</f>
        <v>XSW</v>
      </c>
      <c r="C26" s="23" t="str" cm="1">
        <f t="array" aca="1" ref="C26" ca="1">_FV(A26,"Name")</f>
        <v>SS SPDR S&amp;P Sftwre &amp; Svc</v>
      </c>
      <c r="D26" cm="1" vm="699">
        <f t="array" aca="1" ref="D26:Y26" ca="1">TRANSPOSE(_xlfn.STOCKHISTORY(B26, WORKDAY(TODAY(), -23), TODAY(), 0, 0, 1))</f>
        <v>179.2336</v>
      </c>
      <c r="E26" vm="700">
        <f ca="1"/>
        <v>175.4</v>
      </c>
      <c r="F26" vm="701">
        <f ca="1"/>
        <v>178.44</v>
      </c>
      <c r="G26" vm="702">
        <f ca="1"/>
        <v>180.82</v>
      </c>
      <c r="H26" vm="703">
        <f ca="1"/>
        <v>184.57</v>
      </c>
      <c r="I26" vm="704">
        <f ca="1"/>
        <v>183.89</v>
      </c>
      <c r="J26" vm="705">
        <f ca="1"/>
        <v>186.39</v>
      </c>
      <c r="K26" vm="706">
        <f ca="1"/>
        <v>184.77</v>
      </c>
      <c r="L26" vm="707">
        <f ca="1"/>
        <v>185.72</v>
      </c>
      <c r="M26" vm="708">
        <f ca="1"/>
        <v>189.39</v>
      </c>
      <c r="N26" vm="709">
        <f ca="1"/>
        <v>191.56</v>
      </c>
      <c r="O26" vm="710">
        <f ca="1"/>
        <v>191.7</v>
      </c>
      <c r="P26" vm="711">
        <f ca="1"/>
        <v>192.923</v>
      </c>
      <c r="Q26" vm="712">
        <f ca="1"/>
        <v>194.81</v>
      </c>
      <c r="R26" vm="713">
        <f ca="1"/>
        <v>195.34</v>
      </c>
      <c r="S26" vm="714">
        <f ca="1"/>
        <v>195.8</v>
      </c>
      <c r="T26" vm="715">
        <f ca="1"/>
        <v>192.58</v>
      </c>
      <c r="U26" vm="716">
        <f ca="1"/>
        <v>186.85</v>
      </c>
      <c r="V26" vm="717">
        <f ca="1"/>
        <v>188.535</v>
      </c>
      <c r="W26" vm="718">
        <f ca="1"/>
        <v>187.58</v>
      </c>
      <c r="X26" vm="719">
        <f ca="1"/>
        <v>189.17</v>
      </c>
      <c r="Y26" vm="30">
        <f ca="1"/>
        <v>190.71969999999999</v>
      </c>
      <c r="AA26">
        <f t="shared" ca="1" si="1"/>
        <v>0.270488206087862</v>
      </c>
      <c r="AB26">
        <f t="shared" ca="1" si="2"/>
        <v>0.26879990192021824</v>
      </c>
      <c r="AC26">
        <f t="shared" ca="1" si="3"/>
        <v>0.27076157382820204</v>
      </c>
      <c r="AD26">
        <f t="shared" ca="1" si="4"/>
        <v>0.27039313325258324</v>
      </c>
      <c r="AE26">
        <f t="shared" ca="1" si="5"/>
        <v>0.27342893543894997</v>
      </c>
      <c r="AF26">
        <f t="shared" ca="1" si="6"/>
        <v>0.2705537900188324</v>
      </c>
      <c r="AG26">
        <f t="shared" ca="1" si="7"/>
        <v>0.27274323592677679</v>
      </c>
      <c r="AH26">
        <f t="shared" ca="1" si="8"/>
        <v>0.2716127419995002</v>
      </c>
      <c r="AI26">
        <f t="shared" ca="1" si="9"/>
        <v>0.27250451190703273</v>
      </c>
      <c r="AJ26">
        <f t="shared" ca="1" si="10"/>
        <v>0.2769305005190893</v>
      </c>
      <c r="AK26">
        <f t="shared" ca="1" si="11"/>
        <v>0.27989888806090096</v>
      </c>
      <c r="AL26">
        <f t="shared" ca="1" si="12"/>
        <v>0.27957240152255386</v>
      </c>
      <c r="AM26">
        <f t="shared" ca="1" si="13"/>
        <v>0.28220382370580577</v>
      </c>
      <c r="AN26">
        <f t="shared" ca="1" si="14"/>
        <v>0.28521023658936523</v>
      </c>
      <c r="AO26">
        <f t="shared" ca="1" si="15"/>
        <v>0.28410198234361589</v>
      </c>
      <c r="AP26">
        <f t="shared" ca="1" si="16"/>
        <v>0.2841098712944557</v>
      </c>
      <c r="AQ26">
        <f t="shared" ca="1" si="17"/>
        <v>0.28247477118047409</v>
      </c>
      <c r="AR26">
        <f t="shared" ca="1" si="18"/>
        <v>0.27448474431859915</v>
      </c>
      <c r="AS26">
        <f t="shared" ca="1" si="19"/>
        <v>0.27771885633479165</v>
      </c>
      <c r="AT26">
        <f t="shared" ca="1" si="20"/>
        <v>0.27938635686624963</v>
      </c>
      <c r="AU26">
        <f t="shared" ca="1" si="21"/>
        <v>0.27964285186334942</v>
      </c>
      <c r="AV26">
        <f t="shared" ca="1" si="22"/>
        <v>0.28022700891873226</v>
      </c>
    </row>
    <row r="27" spans="1:48" ht="16" x14ac:dyDescent="0.2">
      <c r="A27" s="10" t="e" vm="720">
        <v>#VALUE!</v>
      </c>
      <c r="B27" s="23" t="str" cm="1">
        <f t="array" aca="1" ref="B27" ca="1">_FV(A27,"ticker symbol",TRUE)</f>
        <v>IGM</v>
      </c>
      <c r="C27" s="23" t="str" cm="1">
        <f t="array" aca="1" ref="C27" ca="1">_FV(A27,"Name")</f>
        <v>iShares:Exp Tech Sector</v>
      </c>
      <c r="D27" cm="1" vm="721">
        <f t="array" aca="1" ref="D27:Y27" ca="1">TRANSPOSE(_xlfn.STOCKHISTORY(B27, WORKDAY(TODAY(), -23), TODAY(), 0, 0, 1))</f>
        <v>125.94</v>
      </c>
      <c r="E27" vm="722">
        <f ca="1"/>
        <v>122.31</v>
      </c>
      <c r="F27" vm="723">
        <f ca="1"/>
        <v>123.06</v>
      </c>
      <c r="G27" vm="724">
        <f ca="1"/>
        <v>127.19</v>
      </c>
      <c r="H27" vm="725">
        <f ca="1"/>
        <v>128.08000000000001</v>
      </c>
      <c r="I27" vm="726">
        <f ca="1"/>
        <v>129.22999999999999</v>
      </c>
      <c r="J27" vm="727">
        <f ca="1"/>
        <v>130.44999999999999</v>
      </c>
      <c r="K27" vm="728">
        <f ca="1"/>
        <v>129.81</v>
      </c>
      <c r="L27" vm="729">
        <f ca="1"/>
        <v>130.96</v>
      </c>
      <c r="M27" vm="730">
        <f ca="1"/>
        <v>131.35</v>
      </c>
      <c r="N27" vm="731">
        <f ca="1"/>
        <v>131.77000000000001</v>
      </c>
      <c r="O27" vm="732">
        <f ca="1"/>
        <v>132.77000000000001</v>
      </c>
      <c r="P27" vm="733">
        <f ca="1"/>
        <v>133.1</v>
      </c>
      <c r="Q27" vm="734">
        <f ca="1"/>
        <v>133.59</v>
      </c>
      <c r="R27" vm="735">
        <f ca="1"/>
        <v>134.22</v>
      </c>
      <c r="S27" vm="736">
        <f ca="1"/>
        <v>133.43</v>
      </c>
      <c r="T27" vm="737">
        <f ca="1"/>
        <v>129.41999999999999</v>
      </c>
      <c r="U27" vm="738">
        <f ca="1"/>
        <v>127.85</v>
      </c>
      <c r="V27" vm="739">
        <f ca="1"/>
        <v>128.04</v>
      </c>
      <c r="W27" vm="740">
        <f ca="1"/>
        <v>125.15</v>
      </c>
      <c r="X27" vm="741">
        <f ca="1"/>
        <v>127.12</v>
      </c>
      <c r="Y27" vm="32">
        <f ca="1"/>
        <v>129.5</v>
      </c>
      <c r="AA27">
        <f t="shared" ca="1" si="1"/>
        <v>0.19006081825453119</v>
      </c>
      <c r="AB27">
        <f t="shared" ca="1" si="2"/>
        <v>0.18743965794676107</v>
      </c>
      <c r="AC27">
        <f t="shared" ca="1" si="3"/>
        <v>0.18672898047129874</v>
      </c>
      <c r="AD27">
        <f t="shared" ca="1" si="4"/>
        <v>0.19019634232051799</v>
      </c>
      <c r="AE27">
        <f t="shared" ca="1" si="5"/>
        <v>0.18974252614737344</v>
      </c>
      <c r="AF27">
        <f t="shared" ca="1" si="6"/>
        <v>0.1901335922787194</v>
      </c>
      <c r="AG27">
        <f t="shared" ca="1" si="7"/>
        <v>0.19088660940312266</v>
      </c>
      <c r="AH27">
        <f t="shared" ca="1" si="8"/>
        <v>0.1908212915460038</v>
      </c>
      <c r="AI27">
        <f t="shared" ca="1" si="9"/>
        <v>0.19215588455387145</v>
      </c>
      <c r="AJ27">
        <f t="shared" ca="1" si="10"/>
        <v>0.19206305107546534</v>
      </c>
      <c r="AK27">
        <f t="shared" ca="1" si="11"/>
        <v>0.19253641929309315</v>
      </c>
      <c r="AL27">
        <f t="shared" ca="1" si="12"/>
        <v>0.1936297743878429</v>
      </c>
      <c r="AM27">
        <f t="shared" ca="1" si="13"/>
        <v>0.19469596126559688</v>
      </c>
      <c r="AN27">
        <f t="shared" ca="1" si="14"/>
        <v>0.19558151791988757</v>
      </c>
      <c r="AO27">
        <f t="shared" ca="1" si="15"/>
        <v>0.19520921506173916</v>
      </c>
      <c r="AP27">
        <f t="shared" ca="1" si="16"/>
        <v>0.19360970442706446</v>
      </c>
      <c r="AQ27">
        <f t="shared" ca="1" si="17"/>
        <v>0.18983219901431586</v>
      </c>
      <c r="AR27">
        <f t="shared" ca="1" si="18"/>
        <v>0.18781308301382338</v>
      </c>
      <c r="AS27">
        <f t="shared" ca="1" si="19"/>
        <v>0.18860753899863006</v>
      </c>
      <c r="AT27">
        <f t="shared" ca="1" si="20"/>
        <v>0.18640154900208522</v>
      </c>
      <c r="AU27">
        <f t="shared" ca="1" si="21"/>
        <v>0.18791668514494361</v>
      </c>
      <c r="AV27">
        <f t="shared" ca="1" si="22"/>
        <v>0.19027608398595336</v>
      </c>
    </row>
    <row r="28" spans="1:48" ht="16" x14ac:dyDescent="0.2">
      <c r="A28" s="10" t="e" vm="742">
        <v>#VALUE!</v>
      </c>
      <c r="B28" s="23" t="str" cm="1">
        <f t="array" aca="1" ref="B28" ca="1">_FV(A28,"ticker symbol",TRUE)</f>
        <v>VGT</v>
      </c>
      <c r="C28" s="23" t="str" cm="1">
        <f t="array" aca="1" ref="C28" ca="1">_FV(A28,"Name")</f>
        <v>Vanguard InfoTch Idx;ETF</v>
      </c>
      <c r="D28" cm="1" vm="743">
        <f t="array" aca="1" ref="D28:Y28" ca="1">TRANSPOSE(_xlfn.STOCKHISTORY(B28, WORKDAY(TODAY(), -23), TODAY(), 0, 0, 1))</f>
        <v>737.57</v>
      </c>
      <c r="E28" vm="744">
        <f ca="1"/>
        <v>715.7</v>
      </c>
      <c r="F28" vm="745">
        <f ca="1"/>
        <v>718.89</v>
      </c>
      <c r="G28" vm="746">
        <f ca="1"/>
        <v>736.95</v>
      </c>
      <c r="H28" vm="747">
        <f ca="1"/>
        <v>739.21</v>
      </c>
      <c r="I28" vm="748">
        <f ca="1"/>
        <v>746.93</v>
      </c>
      <c r="J28" vm="749">
        <f ca="1"/>
        <v>752.2</v>
      </c>
      <c r="K28" vm="750">
        <f ca="1"/>
        <v>751.89</v>
      </c>
      <c r="L28" vm="751">
        <f ca="1"/>
        <v>759.71</v>
      </c>
      <c r="M28" vm="752">
        <f ca="1"/>
        <v>761.12</v>
      </c>
      <c r="N28" vm="753">
        <f ca="1"/>
        <v>764.65</v>
      </c>
      <c r="O28" vm="754">
        <f ca="1"/>
        <v>767.97</v>
      </c>
      <c r="P28" vm="755">
        <f ca="1"/>
        <v>774.68</v>
      </c>
      <c r="Q28" vm="756">
        <f ca="1"/>
        <v>776.36</v>
      </c>
      <c r="R28" vm="757">
        <f ca="1"/>
        <v>779.16</v>
      </c>
      <c r="S28" vm="758">
        <f ca="1"/>
        <v>776.34</v>
      </c>
      <c r="T28" vm="759">
        <f ca="1"/>
        <v>753.93</v>
      </c>
      <c r="U28" vm="760">
        <f ca="1"/>
        <v>745.51</v>
      </c>
      <c r="V28" vm="761">
        <f ca="1"/>
        <v>746.68</v>
      </c>
      <c r="W28" vm="762">
        <f ca="1"/>
        <v>730.42</v>
      </c>
      <c r="X28" vm="763">
        <f ca="1"/>
        <v>740.62</v>
      </c>
      <c r="Y28" vm="34">
        <f ca="1"/>
        <v>755.54</v>
      </c>
      <c r="AA28">
        <f t="shared" ca="1" si="1"/>
        <v>1.1130947889470746</v>
      </c>
      <c r="AB28">
        <f t="shared" ca="1" si="2"/>
        <v>1.0968078096026237</v>
      </c>
      <c r="AC28">
        <f t="shared" ca="1" si="3"/>
        <v>1.090830462953128</v>
      </c>
      <c r="AD28">
        <f t="shared" ca="1" si="4"/>
        <v>1.102014265847203</v>
      </c>
      <c r="AE28">
        <f t="shared" ca="1" si="5"/>
        <v>1.0950934787117419</v>
      </c>
      <c r="AF28">
        <f t="shared" ca="1" si="6"/>
        <v>1.0989436205273069</v>
      </c>
      <c r="AG28">
        <f t="shared" ca="1" si="7"/>
        <v>1.1006892111385886</v>
      </c>
      <c r="AH28">
        <f t="shared" ca="1" si="8"/>
        <v>1.1052817263733519</v>
      </c>
      <c r="AI28">
        <f t="shared" ca="1" si="9"/>
        <v>1.1147124851437209</v>
      </c>
      <c r="AJ28">
        <f t="shared" ca="1" si="10"/>
        <v>1.1129275175832372</v>
      </c>
      <c r="AK28">
        <f t="shared" ca="1" si="11"/>
        <v>1.1172723154926285</v>
      </c>
      <c r="AL28">
        <f t="shared" ca="1" si="12"/>
        <v>1.1199959165220434</v>
      </c>
      <c r="AM28">
        <f t="shared" ca="1" si="13"/>
        <v>1.1331860801895761</v>
      </c>
      <c r="AN28">
        <f t="shared" ca="1" si="14"/>
        <v>1.1366245022253456</v>
      </c>
      <c r="AO28">
        <f t="shared" ca="1" si="15"/>
        <v>1.1332082551594747</v>
      </c>
      <c r="AP28">
        <f t="shared" ca="1" si="16"/>
        <v>1.1264854825369648</v>
      </c>
      <c r="AQ28">
        <f t="shared" ca="1" si="17"/>
        <v>1.1058583665806148</v>
      </c>
      <c r="AR28">
        <f t="shared" ca="1" si="18"/>
        <v>1.0951625460902266</v>
      </c>
      <c r="AS28">
        <f t="shared" ca="1" si="19"/>
        <v>1.0998865762222516</v>
      </c>
      <c r="AT28">
        <f t="shared" ca="1" si="20"/>
        <v>1.0879058683348228</v>
      </c>
      <c r="AU28">
        <f t="shared" ca="1" si="21"/>
        <v>1.0948305172439281</v>
      </c>
      <c r="AV28">
        <f t="shared" ca="1" si="22"/>
        <v>1.1101250385694763</v>
      </c>
    </row>
    <row r="29" spans="1:48" ht="16" x14ac:dyDescent="0.2">
      <c r="A29" s="10" t="e" vm="764">
        <v>#VALUE!</v>
      </c>
      <c r="B29" s="23" t="str" cm="1">
        <f t="array" aca="1" ref="B29" ca="1">_FV(A29,"ticker symbol",TRUE)</f>
        <v>XT</v>
      </c>
      <c r="C29" s="23" t="str" cm="1">
        <f t="array" aca="1" ref="C29" ca="1">_FV(A29,"Name")</f>
        <v>iShares:Fut Exp Tch</v>
      </c>
      <c r="D29" cm="1" vm="765">
        <f t="array" aca="1" ref="D29:Y29" ca="1">TRANSPOSE(_xlfn.STOCKHISTORY(B29, WORKDAY(TODAY(), -23), TODAY(), 0, 0, 1))</f>
        <v>72.25</v>
      </c>
      <c r="E29" vm="766">
        <f ca="1"/>
        <v>70.59</v>
      </c>
      <c r="F29" vm="767">
        <f ca="1"/>
        <v>71.132599999999996</v>
      </c>
      <c r="G29" vm="768">
        <f ca="1"/>
        <v>72.247500000000002</v>
      </c>
      <c r="H29" vm="769">
        <f ca="1"/>
        <v>73.150000000000006</v>
      </c>
      <c r="I29" vm="770">
        <f ca="1"/>
        <v>73.736000000000004</v>
      </c>
      <c r="J29" vm="771">
        <f ca="1"/>
        <v>74.430000000000007</v>
      </c>
      <c r="K29" vm="772">
        <f ca="1"/>
        <v>73.786299999999997</v>
      </c>
      <c r="L29" vm="773">
        <f ca="1"/>
        <v>74.28</v>
      </c>
      <c r="M29" vm="774">
        <f ca="1"/>
        <v>74.88</v>
      </c>
      <c r="N29" vm="775">
        <f ca="1"/>
        <v>74.9666</v>
      </c>
      <c r="O29" vm="776">
        <f ca="1"/>
        <v>75.321299999999994</v>
      </c>
      <c r="P29" vm="777">
        <f ca="1"/>
        <v>75.290000000000006</v>
      </c>
      <c r="Q29" vm="778">
        <f ca="1"/>
        <v>75.168400000000005</v>
      </c>
      <c r="R29" vm="779">
        <f ca="1"/>
        <v>76.0946</v>
      </c>
      <c r="S29" vm="780">
        <f ca="1"/>
        <v>75.959999999999994</v>
      </c>
      <c r="T29" vm="781">
        <f ca="1"/>
        <v>74.98</v>
      </c>
      <c r="U29" vm="782">
        <f ca="1"/>
        <v>74.857299999999995</v>
      </c>
      <c r="V29" vm="783">
        <f ca="1"/>
        <v>69.180000000000007</v>
      </c>
      <c r="W29" vm="784">
        <f ca="1"/>
        <v>68.239999999999995</v>
      </c>
      <c r="X29" vm="785">
        <f ca="1"/>
        <v>69.06</v>
      </c>
      <c r="Y29" vm="36">
        <f ca="1"/>
        <v>69.8</v>
      </c>
      <c r="AA29">
        <f t="shared" ca="1" si="1"/>
        <v>0.10903520818556359</v>
      </c>
      <c r="AB29">
        <f t="shared" ca="1" si="2"/>
        <v>0.10817893430187119</v>
      </c>
      <c r="AC29">
        <f t="shared" ca="1" si="3"/>
        <v>0.10793529884830735</v>
      </c>
      <c r="AD29">
        <f t="shared" ca="1" si="4"/>
        <v>0.10803687586918487</v>
      </c>
      <c r="AE29">
        <f t="shared" ca="1" si="5"/>
        <v>0.10836715949157064</v>
      </c>
      <c r="AF29">
        <f t="shared" ca="1" si="6"/>
        <v>0.10848634651600755</v>
      </c>
      <c r="AG29">
        <f t="shared" ca="1" si="7"/>
        <v>0.10891291941643864</v>
      </c>
      <c r="AH29">
        <f t="shared" ca="1" si="8"/>
        <v>0.10846619724521146</v>
      </c>
      <c r="AI29">
        <f t="shared" ca="1" si="9"/>
        <v>0.10899006646809385</v>
      </c>
      <c r="AJ29">
        <f t="shared" ca="1" si="10"/>
        <v>0.10949129245931363</v>
      </c>
      <c r="AK29">
        <f t="shared" ca="1" si="11"/>
        <v>0.10953783661362673</v>
      </c>
      <c r="AL29">
        <f t="shared" ca="1" si="12"/>
        <v>0.1098474529306246</v>
      </c>
      <c r="AM29">
        <f t="shared" ca="1" si="13"/>
        <v>0.11013267410733878</v>
      </c>
      <c r="AN29">
        <f t="shared" ca="1" si="14"/>
        <v>0.1100497774654486</v>
      </c>
      <c r="AO29">
        <f t="shared" ca="1" si="15"/>
        <v>0.11067178614541064</v>
      </c>
      <c r="AP29">
        <f t="shared" ca="1" si="16"/>
        <v>0.11021953944600026</v>
      </c>
      <c r="AQ29">
        <f t="shared" ca="1" si="17"/>
        <v>0.10998005163107252</v>
      </c>
      <c r="AR29">
        <f t="shared" ca="1" si="18"/>
        <v>0.10996621274220321</v>
      </c>
      <c r="AS29">
        <f t="shared" ca="1" si="19"/>
        <v>0.10190463564452694</v>
      </c>
      <c r="AT29">
        <f t="shared" ca="1" si="20"/>
        <v>0.10163836759011022</v>
      </c>
      <c r="AU29">
        <f t="shared" ca="1" si="21"/>
        <v>0.10208878442502993</v>
      </c>
      <c r="AV29">
        <f t="shared" ca="1" si="22"/>
        <v>0.10255807461173393</v>
      </c>
    </row>
    <row r="30" spans="1:48" ht="16" x14ac:dyDescent="0.2">
      <c r="A30" s="10" t="e" vm="786">
        <v>#VALUE!</v>
      </c>
      <c r="B30" s="23" t="str" cm="1">
        <f t="array" aca="1" ref="B30" ca="1">_FV(A30,"ticker symbol",TRUE)</f>
        <v>CIBR</v>
      </c>
      <c r="C30" s="23" t="str" cm="1">
        <f t="array" aca="1" ref="C30" ca="1">_FV(A30,"Name")</f>
        <v>FT II:Nsdq Cybersecurity</v>
      </c>
      <c r="D30" cm="1" vm="787">
        <f t="array" aca="1" ref="D30:Y30" ca="1">TRANSPOSE(_xlfn.STOCKHISTORY(B30, WORKDAY(TODAY(), -23), TODAY(), 0, 0, 1))</f>
        <v>73.38</v>
      </c>
      <c r="E30" vm="788">
        <f ca="1"/>
        <v>71.5</v>
      </c>
      <c r="F30" vm="789">
        <f ca="1"/>
        <v>71.56</v>
      </c>
      <c r="G30" vm="790">
        <f ca="1"/>
        <v>72.45</v>
      </c>
      <c r="H30" vm="791">
        <f ca="1"/>
        <v>73.61</v>
      </c>
      <c r="I30" vm="792">
        <f ca="1"/>
        <v>72.959999999999994</v>
      </c>
      <c r="J30" vm="793">
        <f ca="1"/>
        <v>73.650000000000006</v>
      </c>
      <c r="K30" vm="794">
        <f ca="1"/>
        <v>72.790000000000006</v>
      </c>
      <c r="L30" vm="795">
        <f ca="1"/>
        <v>73.260000000000005</v>
      </c>
      <c r="M30" vm="796">
        <f ca="1"/>
        <v>74.239999999999995</v>
      </c>
      <c r="N30" vm="797">
        <f ca="1"/>
        <v>74.709999999999994</v>
      </c>
      <c r="O30" vm="781">
        <f ca="1"/>
        <v>74.98</v>
      </c>
      <c r="P30" vm="798">
        <f ca="1"/>
        <v>75.209999999999994</v>
      </c>
      <c r="Q30" vm="799">
        <f ca="1"/>
        <v>75.64</v>
      </c>
      <c r="R30" vm="800">
        <f ca="1"/>
        <v>76.099999999999994</v>
      </c>
      <c r="S30" vm="801">
        <f ca="1"/>
        <v>75.760000000000005</v>
      </c>
      <c r="T30" vm="802">
        <f ca="1"/>
        <v>73.89</v>
      </c>
      <c r="U30" vm="803">
        <f ca="1"/>
        <v>72.52</v>
      </c>
      <c r="V30" vm="804">
        <f ca="1"/>
        <v>72.459999999999994</v>
      </c>
      <c r="W30" vm="805">
        <f ca="1"/>
        <v>71.34</v>
      </c>
      <c r="X30" vm="806">
        <f ca="1"/>
        <v>72.36</v>
      </c>
      <c r="Y30" vm="38">
        <f ca="1"/>
        <v>73.12</v>
      </c>
      <c r="AA30">
        <f t="shared" ca="1" si="1"/>
        <v>0.1107405339329641</v>
      </c>
      <c r="AB30">
        <f t="shared" ca="1" si="2"/>
        <v>0.10957350619894871</v>
      </c>
      <c r="AC30">
        <f t="shared" ca="1" si="3"/>
        <v>0.10858382774684006</v>
      </c>
      <c r="AD30">
        <f t="shared" ca="1" si="4"/>
        <v>0.1083396886635862</v>
      </c>
      <c r="AE30">
        <f t="shared" ca="1" si="5"/>
        <v>0.10904862078160647</v>
      </c>
      <c r="AF30">
        <f t="shared" ca="1" si="6"/>
        <v>0.10734463276836158</v>
      </c>
      <c r="AG30">
        <f t="shared" ca="1" si="7"/>
        <v>0.10777155065189717</v>
      </c>
      <c r="AH30">
        <f t="shared" ca="1" si="8"/>
        <v>0.1070016317050583</v>
      </c>
      <c r="AI30">
        <f t="shared" ca="1" si="9"/>
        <v>0.10749343389139145</v>
      </c>
      <c r="AJ30">
        <f t="shared" ca="1" si="10"/>
        <v>0.10855546944684086</v>
      </c>
      <c r="AK30">
        <f t="shared" ca="1" si="11"/>
        <v>0.10916290419205422</v>
      </c>
      <c r="AL30">
        <f t="shared" ca="1" si="12"/>
        <v>0.10934970613542562</v>
      </c>
      <c r="AM30">
        <f t="shared" ca="1" si="13"/>
        <v>0.11001565174143907</v>
      </c>
      <c r="AN30">
        <f t="shared" ca="1" si="14"/>
        <v>0.11074022019208246</v>
      </c>
      <c r="AO30">
        <f t="shared" ca="1" si="15"/>
        <v>0.11067963989121106</v>
      </c>
      <c r="AP30">
        <f t="shared" ca="1" si="16"/>
        <v>0.10992933528737468</v>
      </c>
      <c r="AQ30">
        <f t="shared" ca="1" si="17"/>
        <v>0.10838124853320817</v>
      </c>
      <c r="AR30">
        <f t="shared" ca="1" si="18"/>
        <v>0.1065326928444464</v>
      </c>
      <c r="AS30">
        <f t="shared" ca="1" si="19"/>
        <v>0.1067361939693903</v>
      </c>
      <c r="AT30">
        <f t="shared" ca="1" si="20"/>
        <v>0.1062555853440572</v>
      </c>
      <c r="AU30">
        <f t="shared" ca="1" si="21"/>
        <v>0.10696704953656481</v>
      </c>
      <c r="AV30">
        <f t="shared" ca="1" si="22"/>
        <v>0.10743619506604564</v>
      </c>
    </row>
    <row r="31" spans="1:48" ht="16" x14ac:dyDescent="0.2">
      <c r="A31" s="10" t="e" vm="807">
        <v>#VALUE!</v>
      </c>
      <c r="B31" s="23" t="str" cm="1">
        <f t="array" aca="1" ref="B31" ca="1">_FV(A31,"ticker symbol",TRUE)</f>
        <v>BOTZ</v>
      </c>
      <c r="C31" s="23" t="str" cm="1">
        <f t="array" aca="1" ref="C31" ca="1">_FV(A31,"Name")</f>
        <v>Glbl X Rob &amp; Art Intel</v>
      </c>
      <c r="D31" cm="1" vm="808">
        <f t="array" aca="1" ref="D31:Y31" ca="1">TRANSPOSE(_xlfn.STOCKHISTORY(B31, WORKDAY(TODAY(), -23), TODAY(), 0, 0, 1))</f>
        <v>33.840000000000003</v>
      </c>
      <c r="E31" vm="809">
        <f ca="1"/>
        <v>33.08</v>
      </c>
      <c r="F31" vm="810">
        <f ca="1"/>
        <v>33.49</v>
      </c>
      <c r="G31" vm="811">
        <f ca="1"/>
        <v>34.07</v>
      </c>
      <c r="H31" vm="812">
        <f ca="1"/>
        <v>34.549999999999997</v>
      </c>
      <c r="I31" vm="813">
        <f ca="1"/>
        <v>34.869999999999997</v>
      </c>
      <c r="J31" vm="814">
        <f ca="1"/>
        <v>35.17</v>
      </c>
      <c r="K31" vm="815">
        <f ca="1"/>
        <v>35.25</v>
      </c>
      <c r="L31" vm="816">
        <f ca="1"/>
        <v>35.15</v>
      </c>
      <c r="M31" vm="817">
        <f ca="1"/>
        <v>35.51</v>
      </c>
      <c r="N31" vm="818">
        <f ca="1"/>
        <v>36.880000000000003</v>
      </c>
      <c r="O31" vm="819">
        <f ca="1"/>
        <v>36.770000000000003</v>
      </c>
      <c r="P31" vm="820">
        <f ca="1"/>
        <v>36.89</v>
      </c>
      <c r="Q31" vm="818">
        <f ca="1"/>
        <v>36.880000000000003</v>
      </c>
      <c r="R31" vm="821">
        <f ca="1"/>
        <v>37.03</v>
      </c>
      <c r="S31" vm="822">
        <f ca="1"/>
        <v>36.93</v>
      </c>
      <c r="T31" vm="823">
        <f ca="1"/>
        <v>36.380000000000003</v>
      </c>
      <c r="U31" vm="824">
        <f ca="1"/>
        <v>36.14</v>
      </c>
      <c r="V31" vm="825">
        <f ca="1"/>
        <v>35.79</v>
      </c>
      <c r="W31" vm="826">
        <f ca="1"/>
        <v>35</v>
      </c>
      <c r="X31" vm="827">
        <f ca="1"/>
        <v>35.36</v>
      </c>
      <c r="Y31" vm="40">
        <f ca="1"/>
        <v>35.96</v>
      </c>
      <c r="AA31">
        <f t="shared" ca="1" si="1"/>
        <v>5.1069224152241827E-2</v>
      </c>
      <c r="AB31">
        <f t="shared" ca="1" si="2"/>
        <v>5.0694987203653473E-2</v>
      </c>
      <c r="AC31">
        <f t="shared" ca="1" si="3"/>
        <v>5.0817109994992643E-2</v>
      </c>
      <c r="AD31">
        <f t="shared" ca="1" si="4"/>
        <v>5.0947318050633288E-2</v>
      </c>
      <c r="AE31">
        <f t="shared" ca="1" si="5"/>
        <v>5.1183668632040533E-2</v>
      </c>
      <c r="AF31">
        <f t="shared" ca="1" si="6"/>
        <v>5.1303554613935973E-2</v>
      </c>
      <c r="AG31">
        <f t="shared" ca="1" si="7"/>
        <v>5.1464024934517627E-2</v>
      </c>
      <c r="AH31">
        <f t="shared" ca="1" si="8"/>
        <v>5.1817660634747971E-2</v>
      </c>
      <c r="AI31">
        <f t="shared" ca="1" si="9"/>
        <v>5.1575132422637303E-2</v>
      </c>
      <c r="AJ31">
        <f t="shared" ca="1" si="10"/>
        <v>5.1923554957668629E-2</v>
      </c>
      <c r="AK31">
        <f t="shared" ca="1" si="11"/>
        <v>5.3887403381113114E-2</v>
      </c>
      <c r="AL31">
        <f t="shared" ca="1" si="12"/>
        <v>5.3624815878895712E-2</v>
      </c>
      <c r="AM31">
        <f t="shared" ca="1" si="13"/>
        <v>5.3961938475491127E-2</v>
      </c>
      <c r="AN31">
        <f t="shared" ca="1" si="14"/>
        <v>5.3993909580698066E-2</v>
      </c>
      <c r="AO31">
        <f t="shared" ca="1" si="15"/>
        <v>5.3856334627746992E-2</v>
      </c>
      <c r="AP31">
        <f t="shared" ca="1" si="16"/>
        <v>5.3586197890215771E-2</v>
      </c>
      <c r="AQ31">
        <f t="shared" ca="1" si="17"/>
        <v>5.3361886881013849E-2</v>
      </c>
      <c r="AR31">
        <f t="shared" ca="1" si="18"/>
        <v>5.309006507719654E-2</v>
      </c>
      <c r="AS31">
        <f t="shared" ca="1" si="19"/>
        <v>5.2719961111847624E-2</v>
      </c>
      <c r="AT31">
        <f t="shared" ca="1" si="20"/>
        <v>5.2129877867143286E-2</v>
      </c>
      <c r="AU31">
        <f t="shared" ca="1" si="21"/>
        <v>5.227134980117374E-2</v>
      </c>
      <c r="AV31">
        <f t="shared" ca="1" si="22"/>
        <v>5.2836509499111062E-2</v>
      </c>
    </row>
    <row r="32" spans="1:48" ht="16" x14ac:dyDescent="0.2">
      <c r="A32" s="10" t="e" vm="828">
        <v>#VALUE!</v>
      </c>
      <c r="B32" s="23" t="str" cm="1">
        <f t="array" aca="1" ref="B32" ca="1">_FV(A32,"ticker symbol",TRUE)</f>
        <v>AIQ</v>
      </c>
      <c r="C32" s="23" t="str" cm="1">
        <f t="array" aca="1" ref="C32" ca="1">_FV(A32,"Name")</f>
        <v>Glbl X AI &amp; Technology</v>
      </c>
      <c r="D32" cm="1" vm="829">
        <f t="array" aca="1" ref="D32:Y32" ca="1">TRANSPOSE(_xlfn.STOCKHISTORY(B32, WORKDAY(TODAY(), -23), TODAY(), 0, 0, 1))</f>
        <v>48.79</v>
      </c>
      <c r="E32" vm="830">
        <f ca="1"/>
        <v>47.33</v>
      </c>
      <c r="F32" vm="831">
        <f ca="1"/>
        <v>47.6</v>
      </c>
      <c r="G32" vm="832">
        <f ca="1"/>
        <v>49.11</v>
      </c>
      <c r="H32" vm="833">
        <f ca="1"/>
        <v>49.25</v>
      </c>
      <c r="I32" vm="834">
        <f ca="1"/>
        <v>49.67</v>
      </c>
      <c r="J32" vm="835">
        <f ca="1"/>
        <v>50.14</v>
      </c>
      <c r="K32" vm="836">
        <f ca="1"/>
        <v>50.13</v>
      </c>
      <c r="L32" vm="837">
        <f ca="1"/>
        <v>50.44</v>
      </c>
      <c r="M32" vm="838">
        <f ca="1"/>
        <v>50.84</v>
      </c>
      <c r="N32" vm="839">
        <f ca="1"/>
        <v>50.95</v>
      </c>
      <c r="O32" vm="840">
        <f ca="1"/>
        <v>51.48</v>
      </c>
      <c r="P32" vm="841">
        <f ca="1"/>
        <v>51.52</v>
      </c>
      <c r="Q32" vm="469">
        <f ca="1"/>
        <v>51.67</v>
      </c>
      <c r="R32" vm="842">
        <f ca="1"/>
        <v>52.07</v>
      </c>
      <c r="S32" vm="843">
        <f ca="1"/>
        <v>51.68</v>
      </c>
      <c r="T32" vm="844">
        <f ca="1"/>
        <v>50.52</v>
      </c>
      <c r="U32" vm="845">
        <f ca="1"/>
        <v>49.88</v>
      </c>
      <c r="V32" vm="846">
        <f ca="1"/>
        <v>49.87</v>
      </c>
      <c r="W32" vm="847">
        <f ca="1"/>
        <v>48.97</v>
      </c>
      <c r="X32" vm="848">
        <f ca="1"/>
        <v>49.8</v>
      </c>
      <c r="Y32" vm="42">
        <f ca="1"/>
        <v>50.73</v>
      </c>
      <c r="AA32">
        <f t="shared" ca="1" si="1"/>
        <v>7.3630834704133521E-2</v>
      </c>
      <c r="AB32">
        <f t="shared" ca="1" si="2"/>
        <v>7.2533063613933454E-2</v>
      </c>
      <c r="AC32">
        <f t="shared" ca="1" si="3"/>
        <v>7.2227364459888019E-2</v>
      </c>
      <c r="AD32">
        <f t="shared" ca="1" si="4"/>
        <v>7.343771028666278E-2</v>
      </c>
      <c r="AE32">
        <f t="shared" ca="1" si="5"/>
        <v>7.296080116144707E-2</v>
      </c>
      <c r="AF32">
        <f t="shared" ca="1" si="6"/>
        <v>7.3078507532956694E-2</v>
      </c>
      <c r="AG32">
        <f t="shared" ca="1" si="7"/>
        <v>7.3369525453986742E-2</v>
      </c>
      <c r="AH32">
        <f t="shared" ca="1" si="8"/>
        <v>7.3691328443118181E-2</v>
      </c>
      <c r="AI32">
        <f t="shared" ca="1" si="9"/>
        <v>7.400994820477455E-2</v>
      </c>
      <c r="AJ32">
        <f t="shared" ca="1" si="10"/>
        <v>7.4339440553305366E-2</v>
      </c>
      <c r="AK32">
        <f t="shared" ca="1" si="11"/>
        <v>7.444585689446076E-2</v>
      </c>
      <c r="AL32">
        <f t="shared" ca="1" si="12"/>
        <v>7.5077659000422917E-2</v>
      </c>
      <c r="AM32">
        <f t="shared" ca="1" si="13"/>
        <v>7.5362403639395587E-2</v>
      </c>
      <c r="AN32">
        <f t="shared" ca="1" si="14"/>
        <v>7.564710705083158E-2</v>
      </c>
      <c r="AO32">
        <f t="shared" ca="1" si="15"/>
        <v>7.573047107930829E-2</v>
      </c>
      <c r="AP32">
        <f t="shared" ca="1" si="16"/>
        <v>7.4988754588853263E-2</v>
      </c>
      <c r="AQ32">
        <f t="shared" ca="1" si="17"/>
        <v>7.4102323398263323E-2</v>
      </c>
      <c r="AR32">
        <f t="shared" ca="1" si="18"/>
        <v>7.3274279082749402E-2</v>
      </c>
      <c r="AS32">
        <f t="shared" ca="1" si="19"/>
        <v>7.3460309042968464E-2</v>
      </c>
      <c r="AT32">
        <f t="shared" ca="1" si="20"/>
        <v>7.2937146261543045E-2</v>
      </c>
      <c r="AU32">
        <f t="shared" ca="1" si="21"/>
        <v>7.3617455319526362E-2</v>
      </c>
      <c r="AV32">
        <f t="shared" ca="1" si="22"/>
        <v>7.4538268267238708E-2</v>
      </c>
    </row>
    <row r="33" spans="1:48" ht="16" x14ac:dyDescent="0.2">
      <c r="A33" s="14" t="e" vm="849">
        <v>#VALUE!</v>
      </c>
      <c r="B33" s="23" t="str" cm="1">
        <f t="array" aca="1" ref="B33" ca="1">_FV(A33,"ticker symbol",TRUE)</f>
        <v>XTL</v>
      </c>
      <c r="C33" s="23" t="str" cm="1">
        <f t="array" aca="1" ref="C33" ca="1">_FV(A33,"Name")</f>
        <v>SS SPDR S&amp;P Telecom</v>
      </c>
      <c r="D33" cm="1" vm="850">
        <f t="array" aca="1" ref="D33:Y33" ca="1">TRANSPOSE(_xlfn.STOCKHISTORY(B33, WORKDAY(TODAY(), -23), TODAY(), 0, 0, 1))</f>
        <v>139.08410000000001</v>
      </c>
      <c r="E33" vm="851">
        <f ca="1"/>
        <v>132.63</v>
      </c>
      <c r="F33" vm="852">
        <f ca="1"/>
        <v>135.43819999999999</v>
      </c>
      <c r="G33" vm="853">
        <f ca="1"/>
        <v>141.81280000000001</v>
      </c>
      <c r="H33" vm="854">
        <f ca="1"/>
        <v>143.6</v>
      </c>
      <c r="I33" vm="855">
        <f ca="1"/>
        <v>145.72389999999999</v>
      </c>
      <c r="J33" vm="856">
        <f ca="1"/>
        <v>146.40530000000001</v>
      </c>
      <c r="K33" vm="857">
        <f ca="1"/>
        <v>144.21279999999999</v>
      </c>
      <c r="L33" vm="858">
        <f ca="1"/>
        <v>145.87</v>
      </c>
      <c r="M33" vm="859">
        <f ca="1"/>
        <v>147.69</v>
      </c>
      <c r="N33" vm="860">
        <f ca="1"/>
        <v>150.03</v>
      </c>
      <c r="O33" vm="861">
        <f ca="1"/>
        <v>151.02000000000001</v>
      </c>
      <c r="P33" vm="862">
        <f ca="1"/>
        <v>152.51</v>
      </c>
      <c r="Q33" vm="863">
        <f ca="1"/>
        <v>153.47999999999999</v>
      </c>
      <c r="R33" vm="864">
        <f ca="1"/>
        <v>156.54159999999999</v>
      </c>
      <c r="S33" vm="865">
        <f ca="1"/>
        <v>159.7705</v>
      </c>
      <c r="T33" vm="866">
        <f ca="1"/>
        <v>152.97999999999999</v>
      </c>
      <c r="U33" vm="867">
        <f ca="1"/>
        <v>149.41999999999999</v>
      </c>
      <c r="V33" vm="868">
        <f ca="1"/>
        <v>148.72</v>
      </c>
      <c r="W33" vm="869">
        <f ca="1"/>
        <v>143.89500000000001</v>
      </c>
      <c r="X33" vm="870">
        <f ca="1"/>
        <v>146.79</v>
      </c>
      <c r="Y33" vm="44">
        <f ca="1"/>
        <v>152.56</v>
      </c>
      <c r="AA33">
        <f t="shared" ca="1" si="1"/>
        <v>0.20989707680002415</v>
      </c>
      <c r="AB33">
        <f t="shared" ca="1" si="2"/>
        <v>0.20325502275757437</v>
      </c>
      <c r="AC33">
        <f t="shared" ca="1" si="3"/>
        <v>0.20551143347040346</v>
      </c>
      <c r="AD33">
        <f t="shared" ca="1" si="4"/>
        <v>0.21206286543148956</v>
      </c>
      <c r="AE33">
        <f t="shared" ca="1" si="5"/>
        <v>0.21273443749814819</v>
      </c>
      <c r="AF33">
        <f t="shared" ca="1" si="6"/>
        <v>0.21440074741054613</v>
      </c>
      <c r="AG33">
        <f t="shared" ca="1" si="7"/>
        <v>0.21423389279913374</v>
      </c>
      <c r="AH33">
        <f t="shared" ca="1" si="8"/>
        <v>0.21199347317976686</v>
      </c>
      <c r="AI33">
        <f t="shared" ca="1" si="9"/>
        <v>0.21403313133684507</v>
      </c>
      <c r="AJ33">
        <f t="shared" ca="1" si="10"/>
        <v>0.21595578236266066</v>
      </c>
      <c r="AK33">
        <f t="shared" ca="1" si="11"/>
        <v>0.219217113049577</v>
      </c>
      <c r="AL33">
        <f t="shared" ca="1" si="12"/>
        <v>0.22024530035438755</v>
      </c>
      <c r="AM33">
        <f t="shared" ca="1" si="13"/>
        <v>0.22308851279200737</v>
      </c>
      <c r="AN33">
        <f t="shared" ca="1" si="14"/>
        <v>0.22470133520730851</v>
      </c>
      <c r="AO33">
        <f t="shared" ca="1" si="15"/>
        <v>0.22767369140596591</v>
      </c>
      <c r="AP33">
        <f t="shared" ca="1" si="16"/>
        <v>0.23183031762845163</v>
      </c>
      <c r="AQ33">
        <f t="shared" ca="1" si="17"/>
        <v>0.22438981459751231</v>
      </c>
      <c r="AR33">
        <f t="shared" ca="1" si="18"/>
        <v>0.21949965478236597</v>
      </c>
      <c r="AS33">
        <f t="shared" ca="1" si="19"/>
        <v>0.21906992502246381</v>
      </c>
      <c r="AT33">
        <f t="shared" ca="1" si="20"/>
        <v>0.21432082216264525</v>
      </c>
      <c r="AU33">
        <f t="shared" ca="1" si="21"/>
        <v>0.21699410173400149</v>
      </c>
      <c r="AV33">
        <f t="shared" ca="1" si="22"/>
        <v>0.22415845075596172</v>
      </c>
    </row>
    <row r="34" spans="1:48" ht="16" x14ac:dyDescent="0.2">
      <c r="A34" s="14" t="e" vm="871">
        <v>#VALUE!</v>
      </c>
      <c r="B34" s="23" t="str" cm="1">
        <f t="array" aca="1" ref="B34" ca="1">_FV(A34,"ticker symbol",TRUE)</f>
        <v>VOX</v>
      </c>
      <c r="C34" s="23" t="str" cm="1">
        <f t="array" aca="1" ref="C34" ca="1">_FV(A34,"Name")</f>
        <v>Vanguard Comm Indx;ETF</v>
      </c>
      <c r="D34" cm="1" vm="872">
        <f t="array" aca="1" ref="D34:Y34" ca="1">TRANSPOSE(_xlfn.STOCKHISTORY(B34, WORKDAY(TODAY(), -23), TODAY(), 0, 0, 1))</f>
        <v>180.93</v>
      </c>
      <c r="E34" vm="873">
        <f ca="1"/>
        <v>178.55</v>
      </c>
      <c r="F34" vm="874">
        <f ca="1"/>
        <v>181.95</v>
      </c>
      <c r="G34" vm="875">
        <f ca="1"/>
        <v>186.32</v>
      </c>
      <c r="H34" vm="876">
        <f ca="1"/>
        <v>189.53</v>
      </c>
      <c r="I34" vm="877">
        <f ca="1"/>
        <v>189.29</v>
      </c>
      <c r="J34" vm="878">
        <f ca="1"/>
        <v>191.21</v>
      </c>
      <c r="K34" vm="879">
        <f ca="1"/>
        <v>189.94</v>
      </c>
      <c r="L34" vm="880">
        <f ca="1"/>
        <v>190.65</v>
      </c>
      <c r="M34" vm="881">
        <f ca="1"/>
        <v>190.67</v>
      </c>
      <c r="N34" vm="882">
        <f ca="1"/>
        <v>192.4</v>
      </c>
      <c r="O34" vm="883">
        <f ca="1"/>
        <v>194.59</v>
      </c>
      <c r="P34" vm="884">
        <f ca="1"/>
        <v>193.01</v>
      </c>
      <c r="Q34" vm="885">
        <f ca="1"/>
        <v>192.91</v>
      </c>
      <c r="R34" vm="886">
        <f ca="1"/>
        <v>193.69</v>
      </c>
      <c r="S34" vm="887">
        <f ca="1"/>
        <v>193.29</v>
      </c>
      <c r="T34" vm="888">
        <f ca="1"/>
        <v>191.78</v>
      </c>
      <c r="U34" vm="889">
        <f ca="1"/>
        <v>191.26</v>
      </c>
      <c r="V34" vm="890">
        <f ca="1"/>
        <v>192.06</v>
      </c>
      <c r="W34" vm="877">
        <f ca="1"/>
        <v>189.29</v>
      </c>
      <c r="X34" vm="891">
        <f ca="1"/>
        <v>191.31</v>
      </c>
      <c r="Y34" vm="47">
        <f ca="1"/>
        <v>191.6</v>
      </c>
      <c r="AA34">
        <f t="shared" ca="1" si="1"/>
        <v>0.27304830750192416</v>
      </c>
      <c r="AB34">
        <f t="shared" ca="1" si="2"/>
        <v>0.27362726617933281</v>
      </c>
      <c r="AC34">
        <f t="shared" ca="1" si="3"/>
        <v>0.27608758326631566</v>
      </c>
      <c r="AD34">
        <f t="shared" ca="1" si="4"/>
        <v>0.27861767828570572</v>
      </c>
      <c r="AE34">
        <f t="shared" ca="1" si="5"/>
        <v>0.28077686587064088</v>
      </c>
      <c r="AF34">
        <f t="shared" ca="1" si="6"/>
        <v>0.27849870527306969</v>
      </c>
      <c r="AG34">
        <f t="shared" ca="1" si="7"/>
        <v>0.27979630957432799</v>
      </c>
      <c r="AH34">
        <f t="shared" ca="1" si="8"/>
        <v>0.27921266555926322</v>
      </c>
      <c r="AI34">
        <f t="shared" ca="1" si="9"/>
        <v>0.2797382360277611</v>
      </c>
      <c r="AJ34">
        <f t="shared" ca="1" si="10"/>
        <v>0.27880214654403485</v>
      </c>
      <c r="AK34">
        <f t="shared" ca="1" si="11"/>
        <v>0.28112625841990679</v>
      </c>
      <c r="AL34">
        <f t="shared" ca="1" si="12"/>
        <v>0.28378713412766698</v>
      </c>
      <c r="AM34">
        <f t="shared" ca="1" si="13"/>
        <v>0.28233108552872166</v>
      </c>
      <c r="AN34">
        <f t="shared" ca="1" si="14"/>
        <v>0.28242855469665029</v>
      </c>
      <c r="AO34">
        <f t="shared" ca="1" si="15"/>
        <v>0.28170222668237416</v>
      </c>
      <c r="AP34">
        <f t="shared" ca="1" si="16"/>
        <v>0.28046780910370445</v>
      </c>
      <c r="AQ34">
        <f t="shared" ca="1" si="17"/>
        <v>0.28130133771415161</v>
      </c>
      <c r="AR34">
        <f t="shared" ca="1" si="18"/>
        <v>0.28096308374832896</v>
      </c>
      <c r="AS34">
        <f t="shared" ca="1" si="19"/>
        <v>0.2829113084979451</v>
      </c>
      <c r="AT34">
        <f t="shared" ca="1" si="20"/>
        <v>0.28193327375633004</v>
      </c>
      <c r="AU34">
        <f t="shared" ca="1" si="21"/>
        <v>0.28280633287507206</v>
      </c>
      <c r="AV34">
        <f t="shared" ca="1" si="22"/>
        <v>0.28152044549581978</v>
      </c>
    </row>
    <row r="35" spans="1:48" ht="16" x14ac:dyDescent="0.2">
      <c r="A35" s="14" t="e" vm="892">
        <v>#VALUE!</v>
      </c>
      <c r="B35" s="23" t="str" cm="1">
        <f t="array" aca="1" ref="B35" ca="1">_FV(A35,"ticker symbol",TRUE)</f>
        <v>FCOM</v>
      </c>
      <c r="C35" s="23" t="str" cm="1">
        <f t="array" aca="1" ref="C35" ca="1">_FV(A35,"Name")</f>
        <v>Fidelity MSCI Comm Svc</v>
      </c>
      <c r="D35" cm="1" vm="893">
        <f t="array" aca="1" ref="D35:Y35" ca="1">TRANSPOSE(_xlfn.STOCKHISTORY(B35, WORKDAY(TODAY(), -23), TODAY(), 0, 0, 1))</f>
        <v>68.39</v>
      </c>
      <c r="E35" vm="894">
        <f ca="1"/>
        <v>67.5</v>
      </c>
      <c r="F35" vm="895">
        <f ca="1"/>
        <v>68.75</v>
      </c>
      <c r="G35" vm="896">
        <f ca="1"/>
        <v>70.41</v>
      </c>
      <c r="H35" vm="897">
        <f ca="1"/>
        <v>71.66</v>
      </c>
      <c r="I35" vm="898">
        <f ca="1"/>
        <v>71.569999999999993</v>
      </c>
      <c r="J35" vm="765">
        <f ca="1"/>
        <v>72.25</v>
      </c>
      <c r="K35" vm="899">
        <f ca="1"/>
        <v>71.8</v>
      </c>
      <c r="L35" vm="900">
        <f ca="1"/>
        <v>72.08</v>
      </c>
      <c r="M35" vm="901">
        <f ca="1"/>
        <v>72.069999999999993</v>
      </c>
      <c r="N35" vm="902">
        <f ca="1"/>
        <v>72.73</v>
      </c>
      <c r="O35" vm="903">
        <f ca="1"/>
        <v>73.5</v>
      </c>
      <c r="P35" vm="904">
        <f ca="1"/>
        <v>72.92</v>
      </c>
      <c r="Q35" vm="905">
        <f ca="1"/>
        <v>72.91</v>
      </c>
      <c r="R35" vm="906">
        <f ca="1"/>
        <v>73.22</v>
      </c>
      <c r="S35" vm="907">
        <f ca="1"/>
        <v>73.06</v>
      </c>
      <c r="T35" vm="908">
        <f ca="1"/>
        <v>72.484999999999999</v>
      </c>
      <c r="U35" vm="909">
        <f ca="1"/>
        <v>72.28</v>
      </c>
      <c r="V35" vm="910">
        <f ca="1"/>
        <v>72.55</v>
      </c>
      <c r="W35" vm="911">
        <f ca="1"/>
        <v>71.75</v>
      </c>
      <c r="X35" vm="912">
        <f ca="1"/>
        <v>72.5</v>
      </c>
      <c r="Y35" vm="49">
        <f ca="1"/>
        <v>72.48</v>
      </c>
      <c r="AA35">
        <f t="shared" ca="1" si="1"/>
        <v>0.10320993616346981</v>
      </c>
      <c r="AB35">
        <f t="shared" ca="1" si="2"/>
        <v>0.10344351983816837</v>
      </c>
      <c r="AC35">
        <f t="shared" ca="1" si="3"/>
        <v>0.10431998543313659</v>
      </c>
      <c r="AD35">
        <f t="shared" ca="1" si="4"/>
        <v>0.10528913014220985</v>
      </c>
      <c r="AE35">
        <f t="shared" ca="1" si="5"/>
        <v>0.10615981748688927</v>
      </c>
      <c r="AF35">
        <f t="shared" ca="1" si="6"/>
        <v>0.1052995527306968</v>
      </c>
      <c r="AG35">
        <f t="shared" ca="1" si="7"/>
        <v>0.105722940048874</v>
      </c>
      <c r="AH35">
        <f t="shared" ca="1" si="8"/>
        <v>0.1055463271936143</v>
      </c>
      <c r="AI35">
        <f t="shared" ca="1" si="9"/>
        <v>0.10576203542030432</v>
      </c>
      <c r="AJ35">
        <f t="shared" ca="1" si="10"/>
        <v>0.10538244454517538</v>
      </c>
      <c r="AK35">
        <f t="shared" ca="1" si="11"/>
        <v>0.10626981691725479</v>
      </c>
      <c r="AL35">
        <f t="shared" ca="1" si="12"/>
        <v>0.10719129635841268</v>
      </c>
      <c r="AM35">
        <f t="shared" ca="1" si="13"/>
        <v>0.10666588651756068</v>
      </c>
      <c r="AN35">
        <f t="shared" ca="1" si="14"/>
        <v>0.10674338252518155</v>
      </c>
      <c r="AO35">
        <f t="shared" ca="1" si="15"/>
        <v>0.10649097546431635</v>
      </c>
      <c r="AP35">
        <f t="shared" ca="1" si="16"/>
        <v>0.10601157914592917</v>
      </c>
      <c r="AQ35">
        <f t="shared" ca="1" si="17"/>
        <v>0.10632040600797935</v>
      </c>
      <c r="AR35">
        <f t="shared" ca="1" si="18"/>
        <v>0.10618013015439308</v>
      </c>
      <c r="AS35">
        <f t="shared" ca="1" si="19"/>
        <v>0.10686876721610912</v>
      </c>
      <c r="AT35">
        <f t="shared" ca="1" si="20"/>
        <v>0.10686624962764374</v>
      </c>
      <c r="AU35">
        <f t="shared" ca="1" si="21"/>
        <v>0.10717400623826628</v>
      </c>
      <c r="AV35">
        <f t="shared" ca="1" si="22"/>
        <v>0.10649583449653977</v>
      </c>
    </row>
    <row r="36" spans="1:48" ht="16" x14ac:dyDescent="0.2">
      <c r="A36" s="14" t="e" vm="913">
        <v>#VALUE!</v>
      </c>
      <c r="B36" s="23" t="str" cm="1">
        <f t="array" aca="1" ref="B36" ca="1">_FV(A36,"ticker symbol",TRUE)</f>
        <v>FDN</v>
      </c>
      <c r="C36" s="23" t="str" cm="1">
        <f t="array" aca="1" ref="C36" ca="1">_FV(A36,"Name")</f>
        <v>FT:DJ Internet Index Fd</v>
      </c>
      <c r="D36" cm="1" vm="914">
        <f t="array" aca="1" ref="D36:Y36" ca="1">TRANSPOSE(_xlfn.STOCKHISTORY(B36, WORKDAY(TODAY(), -23), TODAY(), 0, 0, 1))</f>
        <v>262.81</v>
      </c>
      <c r="E36" vm="915">
        <f ca="1"/>
        <v>255.62</v>
      </c>
      <c r="F36" vm="916">
        <f ca="1"/>
        <v>257.45</v>
      </c>
      <c r="G36" vm="917">
        <f ca="1"/>
        <v>263.45999999999998</v>
      </c>
      <c r="H36" vm="918">
        <f ca="1"/>
        <v>267.67</v>
      </c>
      <c r="I36" vm="919">
        <f ca="1"/>
        <v>266.82</v>
      </c>
      <c r="J36" vm="920">
        <f ca="1"/>
        <v>270.16000000000003</v>
      </c>
      <c r="K36" vm="921">
        <f ca="1"/>
        <v>269.39999999999998</v>
      </c>
      <c r="L36" vm="922">
        <f ca="1"/>
        <v>271.64</v>
      </c>
      <c r="M36" vm="923">
        <f ca="1"/>
        <v>271.56</v>
      </c>
      <c r="N36" vm="924">
        <f ca="1"/>
        <v>271.52999999999997</v>
      </c>
      <c r="O36" vm="925">
        <f ca="1"/>
        <v>273</v>
      </c>
      <c r="P36" vm="926">
        <f ca="1"/>
        <v>272.5</v>
      </c>
      <c r="Q36" vm="927">
        <f ca="1"/>
        <v>273.38</v>
      </c>
      <c r="R36" vm="928">
        <f ca="1"/>
        <v>273.42</v>
      </c>
      <c r="S36" vm="929">
        <f ca="1"/>
        <v>273.32</v>
      </c>
      <c r="T36" vm="930">
        <f ca="1"/>
        <v>269.61</v>
      </c>
      <c r="U36" vm="931">
        <f ca="1"/>
        <v>267.35000000000002</v>
      </c>
      <c r="V36" vm="932">
        <f ca="1"/>
        <v>267.94</v>
      </c>
      <c r="W36" vm="933">
        <f ca="1"/>
        <v>264.86</v>
      </c>
      <c r="X36" vm="934">
        <f ca="1"/>
        <v>267.97000000000003</v>
      </c>
      <c r="Y36" vm="51">
        <f ca="1"/>
        <v>270.37</v>
      </c>
      <c r="AA36">
        <f t="shared" ca="1" si="1"/>
        <v>0.39661651298613104</v>
      </c>
      <c r="AB36">
        <f t="shared" ca="1" si="2"/>
        <v>0.39173677838566812</v>
      </c>
      <c r="AC36">
        <f t="shared" ca="1" si="3"/>
        <v>0.39064989454197835</v>
      </c>
      <c r="AD36">
        <f t="shared" ca="1" si="4"/>
        <v>0.39397066080480908</v>
      </c>
      <c r="AE36">
        <f t="shared" ca="1" si="5"/>
        <v>0.39653639892151349</v>
      </c>
      <c r="AF36">
        <f t="shared" ca="1" si="6"/>
        <v>0.39256709039548027</v>
      </c>
      <c r="AG36">
        <f t="shared" ca="1" si="7"/>
        <v>0.39532331465195575</v>
      </c>
      <c r="AH36">
        <f t="shared" ca="1" si="8"/>
        <v>0.39601922765960573</v>
      </c>
      <c r="AI36">
        <f t="shared" ca="1" si="9"/>
        <v>0.39857379719161301</v>
      </c>
      <c r="AJ36">
        <f t="shared" ca="1" si="10"/>
        <v>0.39708140197985059</v>
      </c>
      <c r="AK36">
        <f t="shared" ca="1" si="11"/>
        <v>0.39674746854863452</v>
      </c>
      <c r="AL36">
        <f t="shared" ca="1" si="12"/>
        <v>0.39813910075981856</v>
      </c>
      <c r="AM36">
        <f t="shared" ca="1" si="13"/>
        <v>0.39860743384579378</v>
      </c>
      <c r="AN36">
        <f t="shared" ca="1" si="14"/>
        <v>0.40024010306863433</v>
      </c>
      <c r="AO36">
        <f t="shared" ca="1" si="15"/>
        <v>0.39766132902831713</v>
      </c>
      <c r="AP36">
        <f t="shared" ca="1" si="16"/>
        <v>0.39659300317773555</v>
      </c>
      <c r="AQ36">
        <f t="shared" ca="1" si="17"/>
        <v>0.39546174606899792</v>
      </c>
      <c r="AR36">
        <f t="shared" ca="1" si="18"/>
        <v>0.39274014660731865</v>
      </c>
      <c r="AS36">
        <f t="shared" ca="1" si="19"/>
        <v>0.39468528584265028</v>
      </c>
      <c r="AT36">
        <f t="shared" ca="1" si="20"/>
        <v>0.39448912719690205</v>
      </c>
      <c r="AU36">
        <f t="shared" ca="1" si="21"/>
        <v>0.39612990967818235</v>
      </c>
      <c r="AV36">
        <f t="shared" ca="1" si="22"/>
        <v>0.39725826121453445</v>
      </c>
    </row>
    <row r="37" spans="1:48" ht="16" x14ac:dyDescent="0.2">
      <c r="A37" s="14" t="e" vm="935">
        <v>#VALUE!</v>
      </c>
      <c r="B37" s="23" t="str" cm="1">
        <f t="array" aca="1" ref="B37" ca="1">_FV(A37,"ticker symbol",TRUE)</f>
        <v>SOCL</v>
      </c>
      <c r="C37" s="23" t="str" cm="1">
        <f t="array" aca="1" ref="C37" ca="1">_FV(A37,"Name")</f>
        <v>Glbl X Social Media</v>
      </c>
      <c r="D37" cm="1" vm="936">
        <f t="array" aca="1" ref="D37:Y37" ca="1">TRANSPOSE(_xlfn.STOCKHISTORY(B37, WORKDAY(TODAY(), -23), TODAY(), 0, 0, 1))</f>
        <v>53.305</v>
      </c>
      <c r="E37" vm="937">
        <f ca="1"/>
        <v>52.318199999999997</v>
      </c>
      <c r="F37" vm="938">
        <f ca="1"/>
        <v>53.268999999999998</v>
      </c>
      <c r="G37" vm="939">
        <f ca="1"/>
        <v>54.895000000000003</v>
      </c>
      <c r="H37" vm="940">
        <f ca="1"/>
        <v>55.69</v>
      </c>
      <c r="I37" vm="941">
        <f ca="1"/>
        <v>55.399799999999999</v>
      </c>
      <c r="J37" vm="942">
        <f ca="1"/>
        <v>55.436500000000002</v>
      </c>
      <c r="K37" vm="943">
        <f ca="1"/>
        <v>55.612900000000003</v>
      </c>
      <c r="L37" vm="944">
        <f ca="1"/>
        <v>55.491599999999998</v>
      </c>
      <c r="M37" vm="945">
        <f ca="1"/>
        <v>55.24</v>
      </c>
      <c r="N37" vm="946">
        <f ca="1"/>
        <v>55.3446</v>
      </c>
      <c r="O37" vm="947">
        <f ca="1"/>
        <v>56.2331</v>
      </c>
      <c r="P37" vm="948">
        <f ca="1"/>
        <v>55.945700000000002</v>
      </c>
      <c r="Q37" vm="949">
        <f ca="1"/>
        <v>55.765000000000001</v>
      </c>
      <c r="R37" vm="950">
        <f ca="1"/>
        <v>56.006300000000003</v>
      </c>
      <c r="S37" vm="951">
        <f ca="1"/>
        <v>55.420400000000001</v>
      </c>
      <c r="T37" vm="952">
        <f ca="1"/>
        <v>54.73</v>
      </c>
      <c r="U37" vm="953">
        <f ca="1"/>
        <v>54.136800000000001</v>
      </c>
      <c r="V37" vm="954">
        <f ca="1"/>
        <v>54.034999999999997</v>
      </c>
      <c r="W37" vm="955">
        <f ca="1"/>
        <v>53.657499999999999</v>
      </c>
      <c r="X37" vm="956">
        <f ca="1"/>
        <v>54.492100000000001</v>
      </c>
      <c r="Y37" vm="53">
        <f ca="1"/>
        <v>55.134099999999997</v>
      </c>
      <c r="AA37">
        <f t="shared" ca="1" si="1"/>
        <v>8.0444592004587784E-2</v>
      </c>
      <c r="AB37">
        <f t="shared" ca="1" si="2"/>
        <v>8.0177463105144592E-2</v>
      </c>
      <c r="AC37">
        <f t="shared" ca="1" si="3"/>
        <v>8.0829400786003675E-2</v>
      </c>
      <c r="AD37">
        <f t="shared" ca="1" si="4"/>
        <v>8.2088436289683431E-2</v>
      </c>
      <c r="AE37">
        <f t="shared" ca="1" si="5"/>
        <v>8.250125922194898E-2</v>
      </c>
      <c r="AF37">
        <f t="shared" ca="1" si="6"/>
        <v>8.1508651129943502E-2</v>
      </c>
      <c r="AG37">
        <f t="shared" ca="1" si="7"/>
        <v>8.1119858353209742E-2</v>
      </c>
      <c r="AH37">
        <f t="shared" ca="1" si="8"/>
        <v>8.1751216428770937E-2</v>
      </c>
      <c r="AI37">
        <f t="shared" ca="1" si="9"/>
        <v>8.1422094405235276E-2</v>
      </c>
      <c r="AJ37">
        <f t="shared" ca="1" si="10"/>
        <v>8.0773223764055629E-2</v>
      </c>
      <c r="AK37">
        <f t="shared" ca="1" si="11"/>
        <v>8.0867049489326256E-2</v>
      </c>
      <c r="AL37">
        <f t="shared" ca="1" si="12"/>
        <v>8.2009508670098721E-2</v>
      </c>
      <c r="AM37">
        <f t="shared" ca="1" si="13"/>
        <v>8.1836227198923403E-2</v>
      </c>
      <c r="AN37">
        <f t="shared" ca="1" si="14"/>
        <v>8.1642363551182956E-2</v>
      </c>
      <c r="AO37">
        <f t="shared" ca="1" si="15"/>
        <v>8.1455415448608862E-2</v>
      </c>
      <c r="AP37">
        <f t="shared" ca="1" si="16"/>
        <v>8.0416152763469112E-2</v>
      </c>
      <c r="AQ37">
        <f t="shared" ca="1" si="17"/>
        <v>8.0277517014785263E-2</v>
      </c>
      <c r="AR37">
        <f t="shared" ca="1" si="18"/>
        <v>7.952756599532855E-2</v>
      </c>
      <c r="AS37">
        <f t="shared" ca="1" si="19"/>
        <v>7.9595504293900152E-2</v>
      </c>
      <c r="AT37">
        <f t="shared" ca="1" si="20"/>
        <v>7.9918826333035445E-2</v>
      </c>
      <c r="AU37">
        <f t="shared" ca="1" si="21"/>
        <v>8.0553609177051455E-2</v>
      </c>
      <c r="AV37">
        <f t="shared" ca="1" si="22"/>
        <v>8.1009271367489963E-2</v>
      </c>
    </row>
    <row r="38" spans="1:48" ht="16" x14ac:dyDescent="0.2">
      <c r="A38" s="14" t="e" vm="957">
        <v>#VALUE!</v>
      </c>
      <c r="B38" s="23" t="str" cm="1">
        <f t="array" aca="1" ref="B38" ca="1">_FV(A38,"ticker symbol",TRUE)</f>
        <v>XRT</v>
      </c>
      <c r="C38" s="23" t="str" cm="1">
        <f t="array" aca="1" ref="C38" ca="1">_FV(A38,"Name")</f>
        <v>SS SPDR S&amp;P Retail</v>
      </c>
      <c r="D38" cm="1" vm="958">
        <f t="array" aca="1" ref="D38:Y38" ca="1">TRANSPOSE(_xlfn.STOCKHISTORY(B38, WORKDAY(TODAY(), -23), TODAY(), 0, 0, 1))</f>
        <v>78.33</v>
      </c>
      <c r="E38" vm="959">
        <f ca="1"/>
        <v>77.28</v>
      </c>
      <c r="F38" vm="960">
        <f ca="1"/>
        <v>79.94</v>
      </c>
      <c r="G38" vm="961">
        <f ca="1"/>
        <v>79.56</v>
      </c>
      <c r="H38" vm="962">
        <f ca="1"/>
        <v>83.18</v>
      </c>
      <c r="I38" vm="963">
        <f ca="1"/>
        <v>84.42</v>
      </c>
      <c r="J38" vm="964">
        <f ca="1"/>
        <v>84.35</v>
      </c>
      <c r="K38" vm="965">
        <f ca="1"/>
        <v>84.64</v>
      </c>
      <c r="L38" vm="966">
        <f ca="1"/>
        <v>84.27</v>
      </c>
      <c r="M38" vm="967">
        <f ca="1"/>
        <v>85.47</v>
      </c>
      <c r="N38" vm="968">
        <f ca="1"/>
        <v>85.17</v>
      </c>
      <c r="O38" vm="969">
        <f ca="1"/>
        <v>86.23</v>
      </c>
      <c r="P38" vm="970">
        <f ca="1"/>
        <v>85.84</v>
      </c>
      <c r="Q38" vm="971">
        <f ca="1"/>
        <v>86.73</v>
      </c>
      <c r="R38" vm="972">
        <f ca="1"/>
        <v>87.93</v>
      </c>
      <c r="S38" vm="973">
        <f ca="1"/>
        <v>88.76</v>
      </c>
      <c r="T38" vm="974">
        <f ca="1"/>
        <v>87.89</v>
      </c>
      <c r="U38" vm="975">
        <f ca="1"/>
        <v>87.71</v>
      </c>
      <c r="V38" vm="976">
        <f ca="1"/>
        <v>87.32</v>
      </c>
      <c r="W38" vm="977">
        <f ca="1"/>
        <v>87.24</v>
      </c>
      <c r="X38" vm="978">
        <f ca="1"/>
        <v>87.29</v>
      </c>
      <c r="Y38" vm="55">
        <f ca="1"/>
        <v>87.51</v>
      </c>
      <c r="AA38">
        <f t="shared" ca="1" si="1"/>
        <v>0.11821076618927606</v>
      </c>
      <c r="AB38">
        <f t="shared" ca="1" si="2"/>
        <v>0.11843133649027632</v>
      </c>
      <c r="AC38">
        <f t="shared" ca="1" si="3"/>
        <v>0.12129948560763547</v>
      </c>
      <c r="AD38">
        <f t="shared" ca="1" si="4"/>
        <v>0.11897178233367726</v>
      </c>
      <c r="AE38">
        <f t="shared" ca="1" si="5"/>
        <v>0.12322597848952625</v>
      </c>
      <c r="AF38">
        <f t="shared" ca="1" si="6"/>
        <v>0.12420550847457629</v>
      </c>
      <c r="AG38">
        <f t="shared" ca="1" si="7"/>
        <v>0.12342878883214563</v>
      </c>
      <c r="AH38">
        <f t="shared" ca="1" si="8"/>
        <v>0.12442118570567569</v>
      </c>
      <c r="AI38">
        <f t="shared" ca="1" si="9"/>
        <v>0.12364826199873813</v>
      </c>
      <c r="AJ38">
        <f t="shared" ca="1" si="10"/>
        <v>0.12497623886882393</v>
      </c>
      <c r="AK38">
        <f t="shared" ca="1" si="11"/>
        <v>0.12444658747205541</v>
      </c>
      <c r="AL38">
        <f t="shared" ca="1" si="12"/>
        <v>0.12575653721069288</v>
      </c>
      <c r="AM38">
        <f t="shared" ca="1" si="13"/>
        <v>0.12556499861035941</v>
      </c>
      <c r="AN38">
        <f t="shared" ca="1" si="14"/>
        <v>0.12697645818692904</v>
      </c>
      <c r="AO38">
        <f t="shared" ca="1" si="15"/>
        <v>0.1278851607836293</v>
      </c>
      <c r="AP38">
        <f t="shared" ca="1" si="16"/>
        <v>0.12879260559803823</v>
      </c>
      <c r="AQ38">
        <f t="shared" ca="1" si="17"/>
        <v>0.12891633419385121</v>
      </c>
      <c r="AR38">
        <f t="shared" ca="1" si="18"/>
        <v>0.12884697310240475</v>
      </c>
      <c r="AS38">
        <f t="shared" ca="1" si="19"/>
        <v>0.12862551003874084</v>
      </c>
      <c r="AT38">
        <f t="shared" ca="1" si="20"/>
        <v>0.12993744414655942</v>
      </c>
      <c r="AU38">
        <f t="shared" ca="1" si="21"/>
        <v>0.12903750351087262</v>
      </c>
      <c r="AV38">
        <f t="shared" ca="1" si="22"/>
        <v>0.12857961474602919</v>
      </c>
    </row>
    <row r="39" spans="1:48" ht="16" x14ac:dyDescent="0.2">
      <c r="A39" s="14" t="e" vm="979">
        <v>#VALUE!</v>
      </c>
      <c r="B39" s="23" t="str" cm="1">
        <f t="array" aca="1" ref="B39" ca="1">_FV(A39,"ticker symbol",TRUE)</f>
        <v>IBUY</v>
      </c>
      <c r="C39" s="23" t="str" cm="1">
        <f t="array" aca="1" ref="C39" ca="1">_FV(A39,"Name")</f>
        <v>Amplify Online Retail</v>
      </c>
      <c r="D39" cm="1" vm="980">
        <f t="array" aca="1" ref="D39:Y39" ca="1">TRANSPOSE(_xlfn.STOCKHISTORY(B39, WORKDAY(TODAY(), -23), TODAY(), 0, 0, 1))</f>
        <v>70.163499999999999</v>
      </c>
      <c r="E39" vm="981">
        <f ca="1"/>
        <v>68.069999999999993</v>
      </c>
      <c r="F39" vm="982">
        <f ca="1"/>
        <v>70.060500000000005</v>
      </c>
      <c r="G39" vm="983">
        <f ca="1"/>
        <v>70.751400000000004</v>
      </c>
      <c r="H39" vm="984">
        <f ca="1"/>
        <v>72.350099999999998</v>
      </c>
      <c r="I39" vm="985">
        <f ca="1"/>
        <v>73.03</v>
      </c>
      <c r="J39" vm="986">
        <f ca="1"/>
        <v>73.7</v>
      </c>
      <c r="K39" vm="987">
        <f ca="1"/>
        <v>73.609300000000005</v>
      </c>
      <c r="L39" vm="988">
        <f ca="1"/>
        <v>73.522199999999998</v>
      </c>
      <c r="M39" vm="989">
        <f ca="1"/>
        <v>73.867999999999995</v>
      </c>
      <c r="N39" vm="990">
        <f ca="1"/>
        <v>73.765699999999995</v>
      </c>
      <c r="O39" vm="991">
        <f ca="1"/>
        <v>74.385099999999994</v>
      </c>
      <c r="P39" vm="992">
        <f ca="1"/>
        <v>74.232200000000006</v>
      </c>
      <c r="Q39" vm="993">
        <f ca="1"/>
        <v>74.974900000000005</v>
      </c>
      <c r="R39" vm="994">
        <f ca="1"/>
        <v>75.566800000000001</v>
      </c>
      <c r="S39" vm="995">
        <f ca="1"/>
        <v>75.9499</v>
      </c>
      <c r="T39" vm="996">
        <f ca="1"/>
        <v>75.573400000000007</v>
      </c>
      <c r="U39" vm="997">
        <f ca="1"/>
        <v>74.979500000000002</v>
      </c>
      <c r="V39" vm="998">
        <f ca="1"/>
        <v>75.433300000000003</v>
      </c>
      <c r="W39" vm="999">
        <f ca="1"/>
        <v>74.351600000000005</v>
      </c>
      <c r="X39" vm="1000">
        <f ca="1"/>
        <v>75.136200000000002</v>
      </c>
      <c r="Y39" vm="57">
        <f ca="1"/>
        <v>75.491299999999995</v>
      </c>
      <c r="AA39">
        <f t="shared" ca="1" si="1"/>
        <v>0.10588639210419087</v>
      </c>
      <c r="AB39">
        <f t="shared" ca="1" si="2"/>
        <v>0.10431704289457955</v>
      </c>
      <c r="AC39">
        <f t="shared" ca="1" si="3"/>
        <v>0.10630851402819297</v>
      </c>
      <c r="AD39">
        <f t="shared" ca="1" si="4"/>
        <v>0.10579965008299314</v>
      </c>
      <c r="AE39">
        <f t="shared" ca="1" si="5"/>
        <v>0.10718215756570175</v>
      </c>
      <c r="AF39">
        <f t="shared" ca="1" si="6"/>
        <v>0.10744762241054615</v>
      </c>
      <c r="AG39">
        <f t="shared" ca="1" si="7"/>
        <v>0.10784471531629085</v>
      </c>
      <c r="AH39">
        <f t="shared" ca="1" si="8"/>
        <v>0.10820600643861997</v>
      </c>
      <c r="AI39">
        <f t="shared" ca="1" si="9"/>
        <v>0.10787815650081435</v>
      </c>
      <c r="AJ39">
        <f t="shared" ca="1" si="10"/>
        <v>0.10801152232084106</v>
      </c>
      <c r="AK39">
        <f t="shared" ca="1" si="11"/>
        <v>0.10778313534680518</v>
      </c>
      <c r="AL39">
        <f t="shared" ca="1" si="12"/>
        <v>0.10848211290816548</v>
      </c>
      <c r="AM39">
        <f t="shared" ca="1" si="13"/>
        <v>0.10858534587423022</v>
      </c>
      <c r="AN39">
        <f t="shared" ca="1" si="14"/>
        <v>0.1097664851253221</v>
      </c>
      <c r="AO39">
        <f t="shared" ca="1" si="15"/>
        <v>0.10990415521328736</v>
      </c>
      <c r="AP39">
        <f t="shared" ca="1" si="16"/>
        <v>0.11020488413598968</v>
      </c>
      <c r="AQ39">
        <f t="shared" ca="1" si="17"/>
        <v>0.11085044590471721</v>
      </c>
      <c r="AR39">
        <f t="shared" ca="1" si="18"/>
        <v>0.1101457259118887</v>
      </c>
      <c r="AS39">
        <f t="shared" ca="1" si="19"/>
        <v>0.11111597213015748</v>
      </c>
      <c r="AT39">
        <f t="shared" ca="1" si="20"/>
        <v>0.11074113792076259</v>
      </c>
      <c r="AU39">
        <f t="shared" ca="1" si="21"/>
        <v>0.11107100093130516</v>
      </c>
      <c r="AV39">
        <f t="shared" ca="1" si="22"/>
        <v>0.11092037790740386</v>
      </c>
    </row>
    <row r="40" spans="1:48" ht="16" x14ac:dyDescent="0.2">
      <c r="A40" s="14" t="e" vm="1001">
        <v>#VALUE!</v>
      </c>
      <c r="B40" s="23" t="str" cm="1">
        <f t="array" aca="1" ref="B40" ca="1">_FV(A40,"ticker symbol",TRUE)</f>
        <v>CARZ</v>
      </c>
      <c r="C40" s="23" t="str" cm="1">
        <f t="array" aca="1" ref="C40" ca="1">_FV(A40,"Name")</f>
        <v>FT II:SNet Fut Vhc &amp; Tch</v>
      </c>
      <c r="D40" cm="1" vm="1002">
        <f t="array" aca="1" ref="D40:Y40" ca="1">TRANSPOSE(_xlfn.STOCKHISTORY(B40, WORKDAY(TODAY(), -23), TODAY(), 0, 0, 1))</f>
        <v>73.406499999999994</v>
      </c>
      <c r="E40" vm="1003">
        <f ca="1"/>
        <v>70.971299999999999</v>
      </c>
      <c r="F40" vm="1004">
        <f ca="1"/>
        <v>71.77</v>
      </c>
      <c r="G40" vm="1005">
        <f ca="1"/>
        <v>73.59</v>
      </c>
      <c r="H40" vm="1006">
        <f ca="1"/>
        <v>74.129300000000001</v>
      </c>
      <c r="I40" vm="1007">
        <f ca="1"/>
        <v>75.191400000000002</v>
      </c>
      <c r="J40" vm="1008">
        <f ca="1"/>
        <v>76.103399999999993</v>
      </c>
      <c r="K40" vm="1009">
        <f ca="1"/>
        <v>75.793099999999995</v>
      </c>
      <c r="L40" vm="1010">
        <f ca="1"/>
        <v>76.463300000000004</v>
      </c>
      <c r="M40" vm="1011">
        <f ca="1"/>
        <v>77.396799999999999</v>
      </c>
      <c r="N40" vm="1012">
        <f ca="1"/>
        <v>77.529499999999999</v>
      </c>
      <c r="O40" vm="1013">
        <f ca="1"/>
        <v>78.390299999999996</v>
      </c>
      <c r="P40" vm="1014">
        <f ca="1"/>
        <v>78.733800000000002</v>
      </c>
      <c r="Q40" vm="1015">
        <f ca="1"/>
        <v>78.9529</v>
      </c>
      <c r="R40" vm="1016">
        <f ca="1"/>
        <v>79.903199999999998</v>
      </c>
      <c r="S40" vm="1017">
        <f ca="1"/>
        <v>79.476100000000002</v>
      </c>
      <c r="T40" vm="1018">
        <f ca="1"/>
        <v>76.702200000000005</v>
      </c>
      <c r="U40" vm="1019">
        <f ca="1"/>
        <v>76.398700000000005</v>
      </c>
      <c r="V40" vm="1020">
        <f ca="1"/>
        <v>76.041200000000003</v>
      </c>
      <c r="W40" vm="1021">
        <f ca="1"/>
        <v>74.559799999999996</v>
      </c>
      <c r="X40" vm="1022">
        <f ca="1"/>
        <v>75.8947</v>
      </c>
      <c r="Y40" vm="59">
        <f ca="1"/>
        <v>77.319699999999997</v>
      </c>
      <c r="AA40">
        <f t="shared" ca="1" si="1"/>
        <v>0.11078052608544738</v>
      </c>
      <c r="AB40">
        <f t="shared" ca="1" si="2"/>
        <v>0.10876327525171257</v>
      </c>
      <c r="AC40">
        <f t="shared" ca="1" si="3"/>
        <v>0.10890247788416309</v>
      </c>
      <c r="AD40">
        <f t="shared" ca="1" si="4"/>
        <v>0.11004441254317886</v>
      </c>
      <c r="AE40">
        <f t="shared" ca="1" si="5"/>
        <v>0.10981793132055347</v>
      </c>
      <c r="AF40">
        <f t="shared" ca="1" si="6"/>
        <v>0.11062764830508476</v>
      </c>
      <c r="AG40">
        <f t="shared" ca="1" si="7"/>
        <v>0.11136159440436647</v>
      </c>
      <c r="AH40">
        <f t="shared" ca="1" si="8"/>
        <v>0.11141620239022741</v>
      </c>
      <c r="AI40">
        <f t="shared" ca="1" si="9"/>
        <v>0.11219359382565698</v>
      </c>
      <c r="AJ40">
        <f t="shared" ca="1" si="10"/>
        <v>0.11317141645586279</v>
      </c>
      <c r="AK40">
        <f t="shared" ca="1" si="11"/>
        <v>0.11328263124826488</v>
      </c>
      <c r="AL40">
        <f t="shared" ca="1" si="12"/>
        <v>0.11432323644795751</v>
      </c>
      <c r="AM40">
        <f t="shared" ca="1" si="13"/>
        <v>0.11517019440340535</v>
      </c>
      <c r="AN40">
        <f t="shared" ca="1" si="14"/>
        <v>0.11559044858280629</v>
      </c>
      <c r="AO40">
        <f t="shared" ca="1" si="15"/>
        <v>0.11621100397050481</v>
      </c>
      <c r="AP40">
        <f t="shared" ca="1" si="16"/>
        <v>0.11532147365671751</v>
      </c>
      <c r="AQ40">
        <f t="shared" ca="1" si="17"/>
        <v>0.1125061605256982</v>
      </c>
      <c r="AR40">
        <f t="shared" ca="1" si="18"/>
        <v>0.11223054661907071</v>
      </c>
      <c r="AS40">
        <f t="shared" ca="1" si="19"/>
        <v>0.11201143075993931</v>
      </c>
      <c r="AT40">
        <f t="shared" ca="1" si="20"/>
        <v>0.11105123622281798</v>
      </c>
      <c r="AU40">
        <f t="shared" ca="1" si="21"/>
        <v>0.11219226277588067</v>
      </c>
      <c r="AV40">
        <f t="shared" ca="1" si="22"/>
        <v>0.11360687050941094</v>
      </c>
    </row>
    <row r="41" spans="1:48" ht="16" x14ac:dyDescent="0.2">
      <c r="A41" s="14" t="e" vm="1023">
        <v>#VALUE!</v>
      </c>
      <c r="B41" s="23" t="str" cm="1">
        <f t="array" aca="1" ref="B41" ca="1">_FV(A41,"ticker symbol",TRUE)</f>
        <v>IDRV</v>
      </c>
      <c r="C41" s="23" t="str" cm="1">
        <f t="array" aca="1" ref="C41" ca="1">_FV(A41,"Name")</f>
        <v>iShares:Self-Dri EV&amp;Tech</v>
      </c>
      <c r="D41" cm="1" vm="1024">
        <f t="array" aca="1" ref="D41:Y41" ca="1">TRANSPOSE(_xlfn.STOCKHISTORY(B41, WORKDAY(TODAY(), -23), TODAY(), 0, 0, 1))</f>
        <v>37.32</v>
      </c>
      <c r="E41" vm="1025">
        <f ca="1"/>
        <v>36.03</v>
      </c>
      <c r="F41" vm="1026">
        <f ca="1"/>
        <v>36.4</v>
      </c>
      <c r="G41" vm="1027">
        <f ca="1"/>
        <v>36.57</v>
      </c>
      <c r="H41" vm="1028">
        <f ca="1"/>
        <v>37.130000000000003</v>
      </c>
      <c r="I41" vm="1029">
        <f ca="1"/>
        <v>37.799999999999997</v>
      </c>
      <c r="J41" vm="1030">
        <f ca="1"/>
        <v>38.042900000000003</v>
      </c>
      <c r="K41" vm="1031">
        <f ca="1"/>
        <v>37.74</v>
      </c>
      <c r="L41" vm="1032">
        <f ca="1"/>
        <v>37.863399999999999</v>
      </c>
      <c r="M41" vm="1033">
        <f ca="1"/>
        <v>37.94</v>
      </c>
      <c r="N41" vm="1034">
        <f ca="1"/>
        <v>38.033000000000001</v>
      </c>
      <c r="O41" vm="1035">
        <f ca="1"/>
        <v>38.450000000000003</v>
      </c>
      <c r="P41" vm="71">
        <f ca="1"/>
        <v>38.6</v>
      </c>
      <c r="Q41" vm="1036">
        <f ca="1"/>
        <v>38.518000000000001</v>
      </c>
      <c r="R41" vm="1037">
        <f ca="1"/>
        <v>38.956699999999998</v>
      </c>
      <c r="S41" vm="1038">
        <f ca="1"/>
        <v>38.802</v>
      </c>
      <c r="T41" vm="1039">
        <f ca="1"/>
        <v>38.536999999999999</v>
      </c>
      <c r="U41" vm="1040">
        <f ca="1"/>
        <v>38.39</v>
      </c>
      <c r="V41" vm="1041">
        <f ca="1"/>
        <v>37.65</v>
      </c>
      <c r="W41" vm="1042">
        <f ca="1"/>
        <v>37.409999999999997</v>
      </c>
      <c r="X41" vm="1043">
        <f ca="1"/>
        <v>37.704599999999999</v>
      </c>
      <c r="Y41" vm="61">
        <f ca="1"/>
        <v>38.43</v>
      </c>
      <c r="AA41">
        <f t="shared" ca="1" si="1"/>
        <v>5.6321023799103573E-2</v>
      </c>
      <c r="AB41">
        <f t="shared" ca="1" si="2"/>
        <v>5.5215852144728982E-2</v>
      </c>
      <c r="AC41">
        <f t="shared" ca="1" si="3"/>
        <v>5.5232690469326128E-2</v>
      </c>
      <c r="AD41">
        <f t="shared" ca="1" si="4"/>
        <v>5.4685747611143511E-2</v>
      </c>
      <c r="AE41">
        <f t="shared" ca="1" si="5"/>
        <v>5.5005777606589437E-2</v>
      </c>
      <c r="AF41">
        <f t="shared" ca="1" si="6"/>
        <v>5.5614406779661014E-2</v>
      </c>
      <c r="AG41">
        <f t="shared" ca="1" si="7"/>
        <v>5.5667920221249952E-2</v>
      </c>
      <c r="AH41">
        <f t="shared" ca="1" si="8"/>
        <v>5.5477971981713149E-2</v>
      </c>
      <c r="AI41">
        <f t="shared" ca="1" si="9"/>
        <v>5.5556468534033718E-2</v>
      </c>
      <c r="AJ41">
        <f t="shared" ca="1" si="10"/>
        <v>5.5476757958151164E-2</v>
      </c>
      <c r="AK41">
        <f t="shared" ca="1" si="11"/>
        <v>5.5572115314367544E-2</v>
      </c>
      <c r="AL41">
        <f t="shared" ca="1" si="12"/>
        <v>5.6074902652802287E-2</v>
      </c>
      <c r="AM41">
        <f t="shared" ca="1" si="13"/>
        <v>5.6463291546596843E-2</v>
      </c>
      <c r="AN41">
        <f t="shared" ca="1" si="14"/>
        <v>5.6392012180838606E-2</v>
      </c>
      <c r="AO41">
        <f t="shared" ca="1" si="15"/>
        <v>5.6658522041392143E-2</v>
      </c>
      <c r="AP41">
        <f t="shared" ca="1" si="16"/>
        <v>5.6302508814951323E-2</v>
      </c>
      <c r="AQ41">
        <f t="shared" ca="1" si="17"/>
        <v>5.6525756864585774E-2</v>
      </c>
      <c r="AR41">
        <f t="shared" ca="1" si="18"/>
        <v>5.639534029644646E-2</v>
      </c>
      <c r="AS41">
        <f t="shared" ca="1" si="19"/>
        <v>5.5459808210703079E-2</v>
      </c>
      <c r="AT41">
        <f t="shared" ca="1" si="20"/>
        <v>5.5719392314566574E-2</v>
      </c>
      <c r="AU41">
        <f t="shared" ca="1" si="21"/>
        <v>5.5737283249811517E-2</v>
      </c>
      <c r="AV41">
        <f t="shared" ca="1" si="22"/>
        <v>5.6465713572047778E-2</v>
      </c>
    </row>
    <row r="42" spans="1:48" ht="16" x14ac:dyDescent="0.2">
      <c r="A42" s="14" t="e" vm="1044">
        <v>#VALUE!</v>
      </c>
      <c r="B42" s="23" t="str" cm="1">
        <f t="array" aca="1" ref="B42" ca="1">_FV(A42,"ticker symbol",TRUE)</f>
        <v>ITB</v>
      </c>
      <c r="C42" s="23" t="str" cm="1">
        <f t="array" aca="1" ref="C42" ca="1">_FV(A42,"Name")</f>
        <v>iShares:US Home Cons ETF</v>
      </c>
      <c r="D42" cm="1" vm="1045">
        <f t="array" aca="1" ref="D42:Y42" ca="1">TRANSPOSE(_xlfn.STOCKHISTORY(B42, WORKDAY(TODAY(), -23), TODAY(), 0, 0, 1))</f>
        <v>93.82</v>
      </c>
      <c r="E42" vm="1046">
        <f ca="1"/>
        <v>93.78</v>
      </c>
      <c r="F42" vm="1047">
        <f ca="1"/>
        <v>98.46</v>
      </c>
      <c r="G42" vm="1048">
        <f ca="1"/>
        <v>97.95</v>
      </c>
      <c r="H42" vm="1049">
        <f ca="1"/>
        <v>102.59</v>
      </c>
      <c r="I42" vm="677">
        <f ca="1"/>
        <v>103.89</v>
      </c>
      <c r="J42" vm="1050">
        <f ca="1"/>
        <v>103.91</v>
      </c>
      <c r="K42" vm="1051">
        <f ca="1"/>
        <v>103.64</v>
      </c>
      <c r="L42" vm="283">
        <f ca="1"/>
        <v>103.46</v>
      </c>
      <c r="M42" vm="1052">
        <f ca="1"/>
        <v>105.59</v>
      </c>
      <c r="N42" vm="1053">
        <f ca="1"/>
        <v>103.34</v>
      </c>
      <c r="O42" vm="1054">
        <f ca="1"/>
        <v>102.71</v>
      </c>
      <c r="P42" vm="1055">
        <f ca="1"/>
        <v>100.59</v>
      </c>
      <c r="Q42" vm="1056">
        <f ca="1"/>
        <v>99.01</v>
      </c>
      <c r="R42" vm="1057">
        <f ca="1"/>
        <v>102.17</v>
      </c>
      <c r="S42" vm="1058">
        <f ca="1"/>
        <v>102.82</v>
      </c>
      <c r="T42" vm="1059">
        <f ca="1"/>
        <v>102.53</v>
      </c>
      <c r="U42" vm="1060">
        <f ca="1"/>
        <v>102.29</v>
      </c>
      <c r="V42" vm="1061">
        <f ca="1"/>
        <v>101.04</v>
      </c>
      <c r="W42" vm="1062">
        <f ca="1"/>
        <v>99.87</v>
      </c>
      <c r="X42" vm="1063">
        <f ca="1"/>
        <v>99.89</v>
      </c>
      <c r="Y42" vm="62">
        <f ca="1"/>
        <v>98.18</v>
      </c>
      <c r="AA42">
        <f t="shared" ca="1" si="1"/>
        <v>0.14158731116912907</v>
      </c>
      <c r="AB42">
        <f t="shared" ca="1" si="2"/>
        <v>0.14371753022849526</v>
      </c>
      <c r="AC42">
        <f t="shared" ca="1" si="3"/>
        <v>0.14940139295631458</v>
      </c>
      <c r="AD42">
        <f t="shared" ca="1" si="4"/>
        <v>0.14647167018079046</v>
      </c>
      <c r="AE42">
        <f t="shared" ca="1" si="5"/>
        <v>0.15198068205386508</v>
      </c>
      <c r="AF42">
        <f t="shared" ca="1" si="6"/>
        <v>0.15285134180790963</v>
      </c>
      <c r="AG42">
        <f t="shared" ca="1" si="7"/>
        <v>0.15205080554295497</v>
      </c>
      <c r="AH42">
        <f t="shared" ca="1" si="8"/>
        <v>0.1523512722889441</v>
      </c>
      <c r="AI42">
        <f t="shared" ca="1" si="9"/>
        <v>0.15180549645650229</v>
      </c>
      <c r="AJ42">
        <f t="shared" ca="1" si="10"/>
        <v>0.15439617482343654</v>
      </c>
      <c r="AK42">
        <f t="shared" ca="1" si="11"/>
        <v>0.15099577726150296</v>
      </c>
      <c r="AL42">
        <f t="shared" ca="1" si="12"/>
        <v>0.1497907217547288</v>
      </c>
      <c r="AM42">
        <f t="shared" ca="1" si="13"/>
        <v>0.14714099732311339</v>
      </c>
      <c r="AN42">
        <f t="shared" ca="1" si="14"/>
        <v>0.144954907472476</v>
      </c>
      <c r="AO42">
        <f t="shared" ca="1" si="15"/>
        <v>0.14859577933883095</v>
      </c>
      <c r="AP42">
        <f t="shared" ca="1" si="16"/>
        <v>0.14919395794941742</v>
      </c>
      <c r="AQ42">
        <f t="shared" ca="1" si="17"/>
        <v>0.15039016662755222</v>
      </c>
      <c r="AR42">
        <f t="shared" ca="1" si="18"/>
        <v>0.15026515652314429</v>
      </c>
      <c r="AS42">
        <f t="shared" ca="1" si="19"/>
        <v>0.14883556498298645</v>
      </c>
      <c r="AT42">
        <f t="shared" ca="1" si="20"/>
        <v>0.14874888293118857</v>
      </c>
      <c r="AU42">
        <f t="shared" ca="1" si="21"/>
        <v>0.1476636066640058</v>
      </c>
      <c r="AV42">
        <f t="shared" ca="1" si="22"/>
        <v>0.14425718861575987</v>
      </c>
    </row>
    <row r="43" spans="1:48" ht="16" x14ac:dyDescent="0.2">
      <c r="A43" s="14" t="e" vm="1064">
        <v>#VALUE!</v>
      </c>
      <c r="B43" s="23" t="str" cm="1">
        <f t="array" aca="1" ref="B43" ca="1">_FV(A43,"ticker symbol",TRUE)</f>
        <v>XHB</v>
      </c>
      <c r="C43" s="23" t="str" cm="1">
        <f t="array" aca="1" ref="C43" ca="1">_FV(A43,"Name")</f>
        <v>SS SPDR S&amp;P Homebuilders</v>
      </c>
      <c r="D43" cm="1" vm="1065">
        <f t="array" aca="1" ref="D43:Y43" ca="1">TRANSPOSE(_xlfn.STOCKHISTORY(B43, WORKDAY(TODAY(), -23), TODAY(), 0, 0, 1))</f>
        <v>99.82</v>
      </c>
      <c r="E43" vm="1066">
        <f ca="1"/>
        <v>99.48</v>
      </c>
      <c r="F43" vm="1067">
        <f ca="1"/>
        <v>104.14</v>
      </c>
      <c r="G43" vm="1068">
        <f ca="1"/>
        <v>103.45</v>
      </c>
      <c r="H43" vm="1069">
        <f ca="1"/>
        <v>107.81</v>
      </c>
      <c r="I43" vm="1070">
        <f ca="1"/>
        <v>109.18</v>
      </c>
      <c r="J43" vm="1071">
        <f ca="1"/>
        <v>108.88</v>
      </c>
      <c r="K43" vm="1072">
        <f ca="1"/>
        <v>108.58</v>
      </c>
      <c r="L43" vm="1073">
        <f ca="1"/>
        <v>108.25</v>
      </c>
      <c r="M43" vm="1074">
        <f ca="1"/>
        <v>109.59</v>
      </c>
      <c r="N43" vm="1075">
        <f ca="1"/>
        <v>107.67</v>
      </c>
      <c r="O43" vm="1076">
        <f ca="1"/>
        <v>107.41</v>
      </c>
      <c r="P43" vm="1077">
        <f ca="1"/>
        <v>105.74</v>
      </c>
      <c r="Q43" vm="696">
        <f ca="1"/>
        <v>104.7</v>
      </c>
      <c r="R43" vm="1078">
        <f ca="1"/>
        <v>107.9</v>
      </c>
      <c r="S43" vm="1079">
        <f ca="1"/>
        <v>109.02</v>
      </c>
      <c r="T43" vm="1080">
        <f ca="1"/>
        <v>107.88</v>
      </c>
      <c r="U43" vm="1081">
        <f ca="1"/>
        <v>107.59</v>
      </c>
      <c r="V43" vm="1082">
        <f ca="1"/>
        <v>106.66</v>
      </c>
      <c r="W43" vm="1083">
        <f ca="1"/>
        <v>105.61</v>
      </c>
      <c r="X43" vm="1084">
        <f ca="1"/>
        <v>106.34</v>
      </c>
      <c r="Y43" vm="64">
        <f ca="1"/>
        <v>105.07</v>
      </c>
      <c r="AA43">
        <f t="shared" ca="1" si="1"/>
        <v>0.15064213814647689</v>
      </c>
      <c r="AB43">
        <f t="shared" ca="1" si="2"/>
        <v>0.15245276079260725</v>
      </c>
      <c r="AC43">
        <f t="shared" ca="1" si="3"/>
        <v>0.15802012048009956</v>
      </c>
      <c r="AD43">
        <f t="shared" ca="1" si="4"/>
        <v>0.15469621521391294</v>
      </c>
      <c r="AE43">
        <f t="shared" ca="1" si="5"/>
        <v>0.15971378625818494</v>
      </c>
      <c r="AF43">
        <f t="shared" ca="1" si="6"/>
        <v>0.16063441619585689</v>
      </c>
      <c r="AG43">
        <f t="shared" ca="1" si="7"/>
        <v>0.15932337318368719</v>
      </c>
      <c r="AH43">
        <f t="shared" ca="1" si="8"/>
        <v>0.15961309480059388</v>
      </c>
      <c r="AI43">
        <f t="shared" ca="1" si="9"/>
        <v>0.15883380041964404</v>
      </c>
      <c r="AJ43">
        <f t="shared" ca="1" si="10"/>
        <v>0.16024506865139132</v>
      </c>
      <c r="AK43">
        <f t="shared" ca="1" si="11"/>
        <v>0.15732257923114015</v>
      </c>
      <c r="AL43">
        <f t="shared" ca="1" si="12"/>
        <v>0.15664513118172935</v>
      </c>
      <c r="AM43">
        <f t="shared" ca="1" si="13"/>
        <v>0.15467431212790544</v>
      </c>
      <c r="AN43">
        <f t="shared" ca="1" si="14"/>
        <v>0.15328531271960646</v>
      </c>
      <c r="AO43">
        <f t="shared" ca="1" si="15"/>
        <v>0.15692947627150688</v>
      </c>
      <c r="AP43">
        <f t="shared" ca="1" si="16"/>
        <v>0.1581902868668108</v>
      </c>
      <c r="AQ43">
        <f t="shared" ca="1" si="17"/>
        <v>0.15823750293358366</v>
      </c>
      <c r="AR43">
        <f t="shared" ca="1" si="18"/>
        <v>0.15805091592848852</v>
      </c>
      <c r="AS43">
        <f t="shared" ca="1" si="19"/>
        <v>0.15711402772253891</v>
      </c>
      <c r="AT43">
        <f t="shared" ca="1" si="20"/>
        <v>0.15729818290140007</v>
      </c>
      <c r="AU43">
        <f t="shared" ca="1" si="21"/>
        <v>0.15719839756382398</v>
      </c>
      <c r="AV43">
        <f t="shared" ca="1" si="22"/>
        <v>0.15438075787184646</v>
      </c>
    </row>
    <row r="44" spans="1:48" ht="16" x14ac:dyDescent="0.2">
      <c r="A44" s="14" t="e" vm="1085">
        <v>#VALUE!</v>
      </c>
      <c r="B44" s="23" t="str" cm="1">
        <f t="array" aca="1" ref="B44" ca="1">_FV(A44,"ticker symbol",TRUE)</f>
        <v>PEJ</v>
      </c>
      <c r="C44" s="23" t="str" cm="1">
        <f t="array" aca="1" ref="C44" ca="1">_FV(A44,"Name")</f>
        <v>Invesco Leisure and Ent</v>
      </c>
      <c r="D44" cm="1" vm="1086">
        <f t="array" aca="1" ref="D44:Y44" ca="1">TRANSPOSE(_xlfn.STOCKHISTORY(B44, WORKDAY(TODAY(), -23), TODAY(), 0, 0, 1))</f>
        <v>57.02</v>
      </c>
      <c r="E44" vm="1087">
        <f ca="1"/>
        <v>55.74</v>
      </c>
      <c r="F44" vm="1088">
        <f ca="1"/>
        <v>57.04</v>
      </c>
      <c r="G44" vm="1089">
        <f ca="1"/>
        <v>56.58</v>
      </c>
      <c r="H44" vm="1090">
        <f ca="1"/>
        <v>58.09</v>
      </c>
      <c r="I44" vm="1091">
        <f ca="1"/>
        <v>58.63</v>
      </c>
      <c r="J44" vm="1092">
        <f ca="1"/>
        <v>59.19</v>
      </c>
      <c r="K44" vm="1092">
        <f ca="1"/>
        <v>59.19</v>
      </c>
      <c r="L44" vm="1093">
        <f ca="1"/>
        <v>59.37</v>
      </c>
      <c r="M44" vm="1094">
        <f ca="1"/>
        <v>59.63</v>
      </c>
      <c r="N44" vm="1095">
        <f ca="1"/>
        <v>59.53</v>
      </c>
      <c r="O44" vm="1096">
        <f ca="1"/>
        <v>59.6</v>
      </c>
      <c r="P44" vm="1097">
        <f ca="1"/>
        <v>59.89</v>
      </c>
      <c r="Q44" vm="1098">
        <f ca="1"/>
        <v>60.32</v>
      </c>
      <c r="R44" vm="1099">
        <f ca="1"/>
        <v>60.58</v>
      </c>
      <c r="S44" vm="1100">
        <f ca="1"/>
        <v>61.48</v>
      </c>
      <c r="T44" vm="1101">
        <f ca="1"/>
        <v>61.4</v>
      </c>
      <c r="U44" vm="1102">
        <f ca="1"/>
        <v>61.3</v>
      </c>
      <c r="V44" vm="1103">
        <f ca="1"/>
        <v>61.23</v>
      </c>
      <c r="W44" vm="1104">
        <f ca="1"/>
        <v>60.73</v>
      </c>
      <c r="X44" vm="1105">
        <f ca="1"/>
        <v>61.22</v>
      </c>
      <c r="Y44" vm="66">
        <f ca="1"/>
        <v>61.69</v>
      </c>
      <c r="AA44">
        <f t="shared" ca="1" si="1"/>
        <v>8.6051039041395661E-2</v>
      </c>
      <c r="AB44">
        <f t="shared" ca="1" si="2"/>
        <v>8.5421359937474142E-2</v>
      </c>
      <c r="AC44">
        <f t="shared" ca="1" si="3"/>
        <v>8.6551446823361605E-2</v>
      </c>
      <c r="AD44">
        <f t="shared" ca="1" si="4"/>
        <v>8.4608137813467307E-2</v>
      </c>
      <c r="AE44">
        <f t="shared" ca="1" si="5"/>
        <v>8.6056709430831685E-2</v>
      </c>
      <c r="AF44">
        <f t="shared" ca="1" si="6"/>
        <v>8.6261181732580045E-2</v>
      </c>
      <c r="AG44">
        <f t="shared" ca="1" si="7"/>
        <v>8.6612329709243624E-2</v>
      </c>
      <c r="AH44">
        <f t="shared" ca="1" si="8"/>
        <v>8.7009569729666156E-2</v>
      </c>
      <c r="AI44">
        <f t="shared" ca="1" si="9"/>
        <v>8.7112819685120246E-2</v>
      </c>
      <c r="AJ44">
        <f t="shared" ca="1" si="10"/>
        <v>8.7192384740236009E-2</v>
      </c>
      <c r="AK44">
        <f t="shared" ca="1" si="11"/>
        <v>8.6982568418591741E-2</v>
      </c>
      <c r="AL44">
        <f t="shared" ca="1" si="12"/>
        <v>8.6919745074304708E-2</v>
      </c>
      <c r="AM44">
        <f t="shared" ca="1" si="13"/>
        <v>8.7605868671649864E-2</v>
      </c>
      <c r="AN44">
        <f t="shared" ca="1" si="14"/>
        <v>8.8311079878191617E-2</v>
      </c>
      <c r="AO44">
        <f t="shared" ca="1" si="15"/>
        <v>8.8107392701833986E-2</v>
      </c>
      <c r="AP44">
        <f t="shared" ca="1" si="16"/>
        <v>8.9208758361507323E-2</v>
      </c>
      <c r="AQ44">
        <f t="shared" ca="1" si="17"/>
        <v>9.0061018540248769E-2</v>
      </c>
      <c r="AR44">
        <f t="shared" ca="1" si="18"/>
        <v>9.0050387084453454E-2</v>
      </c>
      <c r="AS44">
        <f t="shared" ca="1" si="19"/>
        <v>9.0193998851031854E-2</v>
      </c>
      <c r="AT44">
        <f t="shared" ca="1" si="20"/>
        <v>9.0452785224903187E-2</v>
      </c>
      <c r="AU44">
        <f t="shared" ca="1" si="21"/>
        <v>9.0499209129747057E-2</v>
      </c>
      <c r="AV44">
        <f t="shared" ca="1" si="22"/>
        <v>9.0641943020026733E-2</v>
      </c>
    </row>
    <row r="45" spans="1:48" ht="16" x14ac:dyDescent="0.2">
      <c r="A45" s="14" t="e" vm="1106">
        <v>#VALUE!</v>
      </c>
      <c r="B45" s="23" t="str" cm="1">
        <f t="array" aca="1" ref="B45" ca="1">_FV(A45,"ticker symbol",TRUE)</f>
        <v>VDC</v>
      </c>
      <c r="C45" s="23" t="str" cm="1">
        <f t="array" aca="1" ref="C45" ca="1">_FV(A45,"Name")</f>
        <v>Vanguard Cnsmr Stp;ETF</v>
      </c>
      <c r="D45" cm="1" vm="1107">
        <f t="array" aca="1" ref="D45:Y45" ca="1">TRANSPOSE(_xlfn.STOCKHISTORY(B45, WORKDAY(TODAY(), -23), TODAY(), 0, 0, 1))</f>
        <v>208.19</v>
      </c>
      <c r="E45" vm="1108">
        <f ca="1"/>
        <v>210.07</v>
      </c>
      <c r="F45" vm="1109">
        <f ca="1"/>
        <v>211.98</v>
      </c>
      <c r="G45" vm="1110">
        <f ca="1"/>
        <v>209.5</v>
      </c>
      <c r="H45" vm="1111">
        <f ca="1"/>
        <v>212.73</v>
      </c>
      <c r="I45" vm="1112">
        <f ca="1"/>
        <v>214.98</v>
      </c>
      <c r="J45" vm="1113">
        <f ca="1"/>
        <v>216.04</v>
      </c>
      <c r="K45" vm="1114">
        <f ca="1"/>
        <v>215.97</v>
      </c>
      <c r="L45" vm="1115">
        <f ca="1"/>
        <v>214.87</v>
      </c>
      <c r="M45" vm="1116">
        <f ca="1"/>
        <v>215.38</v>
      </c>
      <c r="N45" vm="1117">
        <f ca="1"/>
        <v>214.22</v>
      </c>
      <c r="O45" vm="1118">
        <f ca="1"/>
        <v>213.85</v>
      </c>
      <c r="P45" vm="1119">
        <f ca="1"/>
        <v>211.95</v>
      </c>
      <c r="Q45" vm="1120">
        <f ca="1"/>
        <v>212.67</v>
      </c>
      <c r="R45" vm="1121">
        <f ca="1"/>
        <v>212.76</v>
      </c>
      <c r="S45" vm="1122">
        <f ca="1"/>
        <v>214.62</v>
      </c>
      <c r="T45" vm="1123">
        <f ca="1"/>
        <v>216.28</v>
      </c>
      <c r="U45" vm="1124">
        <f ca="1"/>
        <v>216.74</v>
      </c>
      <c r="V45" vm="1125">
        <f ca="1"/>
        <v>215.77</v>
      </c>
      <c r="W45" vm="1126">
        <f ca="1"/>
        <v>215.51</v>
      </c>
      <c r="X45" vm="1127">
        <f ca="1"/>
        <v>214.05</v>
      </c>
      <c r="Y45" vm="68">
        <f ca="1"/>
        <v>212.94</v>
      </c>
      <c r="AA45">
        <f t="shared" ca="1" si="1"/>
        <v>0.31418740473567452</v>
      </c>
      <c r="AB45">
        <f t="shared" ca="1" si="2"/>
        <v>0.32193155870228191</v>
      </c>
      <c r="AC45">
        <f t="shared" ca="1" si="3"/>
        <v>0.32165455290350969</v>
      </c>
      <c r="AD45">
        <f t="shared" ca="1" si="4"/>
        <v>0.31328039717075651</v>
      </c>
      <c r="AE45">
        <f t="shared" ca="1" si="5"/>
        <v>0.31514621788984032</v>
      </c>
      <c r="AF45">
        <f t="shared" ca="1" si="6"/>
        <v>0.31629590395480228</v>
      </c>
      <c r="AG45">
        <f t="shared" ca="1" si="7"/>
        <v>0.31612988191223168</v>
      </c>
      <c r="AH45">
        <f t="shared" ca="1" si="8"/>
        <v>0.31747688417834097</v>
      </c>
      <c r="AI45">
        <f t="shared" ca="1" si="9"/>
        <v>0.31527592329024401</v>
      </c>
      <c r="AJ45">
        <f t="shared" ca="1" si="10"/>
        <v>0.31493368816622558</v>
      </c>
      <c r="AK45">
        <f t="shared" ca="1" si="11"/>
        <v>0.31300866465027249</v>
      </c>
      <c r="AL45">
        <f t="shared" ca="1" si="12"/>
        <v>0.3118756289285245</v>
      </c>
      <c r="AM45">
        <f t="shared" ca="1" si="13"/>
        <v>0.31003613065547153</v>
      </c>
      <c r="AN45">
        <f t="shared" ca="1" si="14"/>
        <v>0.31135804638088543</v>
      </c>
      <c r="AO45">
        <f t="shared" ca="1" si="15"/>
        <v>0.30943758453684711</v>
      </c>
      <c r="AP45">
        <f t="shared" ca="1" si="16"/>
        <v>0.31141808262112397</v>
      </c>
      <c r="AQ45">
        <f t="shared" ca="1" si="17"/>
        <v>0.31723773762027696</v>
      </c>
      <c r="AR45">
        <f t="shared" ca="1" si="18"/>
        <v>0.3183934893423237</v>
      </c>
      <c r="AS45">
        <f t="shared" ca="1" si="19"/>
        <v>0.31783699382797886</v>
      </c>
      <c r="AT45">
        <f t="shared" ca="1" si="20"/>
        <v>0.32098599940422995</v>
      </c>
      <c r="AU45">
        <f t="shared" ca="1" si="21"/>
        <v>0.31642201428001243</v>
      </c>
      <c r="AV45">
        <f t="shared" ca="1" si="22"/>
        <v>0.31287559323528114</v>
      </c>
    </row>
    <row r="46" spans="1:48" ht="16" x14ac:dyDescent="0.2">
      <c r="A46" s="14" t="e" vm="1128">
        <v>#VALUE!</v>
      </c>
      <c r="B46" s="23" t="str" cm="1">
        <f t="array" aca="1" ref="B46" ca="1">_FV(A46,"ticker symbol",TRUE)</f>
        <v>FSTA</v>
      </c>
      <c r="C46" s="23" t="str" cm="1">
        <f t="array" aca="1" ref="C46" ca="1">_FV(A46,"Name")</f>
        <v>Fidelity MSCI Cons Stpls</v>
      </c>
      <c r="D46" cm="1" vm="1129">
        <f t="array" aca="1" ref="D46:Y46" ca="1">TRANSPOSE(_xlfn.STOCKHISTORY(B46, WORKDAY(TODAY(), -23), TODAY(), 0, 0, 1))</f>
        <v>48.51</v>
      </c>
      <c r="E46" vm="1130">
        <f ca="1"/>
        <v>48.94</v>
      </c>
      <c r="F46" vm="1131">
        <f ca="1"/>
        <v>49.4</v>
      </c>
      <c r="G46" vm="1132">
        <f ca="1"/>
        <v>48.84</v>
      </c>
      <c r="H46" vm="1133">
        <f ca="1"/>
        <v>49.59</v>
      </c>
      <c r="I46" vm="1134">
        <f ca="1"/>
        <v>50.1</v>
      </c>
      <c r="J46" vm="1135">
        <f ca="1"/>
        <v>50.36</v>
      </c>
      <c r="K46" vm="1136">
        <f ca="1"/>
        <v>50.29</v>
      </c>
      <c r="L46" vm="1137">
        <f ca="1"/>
        <v>50.08</v>
      </c>
      <c r="M46" vm="1138">
        <f ca="1"/>
        <v>50.18</v>
      </c>
      <c r="N46" vm="1139">
        <f ca="1"/>
        <v>49.9</v>
      </c>
      <c r="O46" vm="1140">
        <f ca="1"/>
        <v>49.85</v>
      </c>
      <c r="P46" vm="1141">
        <f ca="1"/>
        <v>49.42</v>
      </c>
      <c r="Q46" vm="1142">
        <f ca="1"/>
        <v>49.56</v>
      </c>
      <c r="R46" vm="1143">
        <f ca="1"/>
        <v>49.58</v>
      </c>
      <c r="S46" vm="1144">
        <f ca="1"/>
        <v>50</v>
      </c>
      <c r="T46" vm="1145">
        <f ca="1"/>
        <v>50.38</v>
      </c>
      <c r="U46" vm="1146">
        <f ca="1"/>
        <v>50.5</v>
      </c>
      <c r="V46" vm="1147">
        <f ca="1"/>
        <v>50.28</v>
      </c>
      <c r="W46" vm="1146">
        <f ca="1"/>
        <v>50.5</v>
      </c>
      <c r="X46" vm="1148">
        <f ca="1"/>
        <v>50.15</v>
      </c>
      <c r="Y46" vm="70">
        <f ca="1"/>
        <v>49.61</v>
      </c>
      <c r="AA46">
        <f t="shared" ca="1" si="1"/>
        <v>7.320827611185729E-2</v>
      </c>
      <c r="AB46">
        <f t="shared" ca="1" si="2"/>
        <v>7.5000383124147543E-2</v>
      </c>
      <c r="AC46">
        <f t="shared" ca="1" si="3"/>
        <v>7.4958651351228325E-2</v>
      </c>
      <c r="AD46">
        <f t="shared" ca="1" si="4"/>
        <v>7.3033959894127684E-2</v>
      </c>
      <c r="AE46">
        <f t="shared" ca="1" si="5"/>
        <v>7.3464489941038796E-2</v>
      </c>
      <c r="AF46">
        <f t="shared" ca="1" si="6"/>
        <v>7.3711158192090398E-2</v>
      </c>
      <c r="AG46">
        <f t="shared" ca="1" si="7"/>
        <v>7.3691449977318954E-2</v>
      </c>
      <c r="AH46">
        <f t="shared" ca="1" si="8"/>
        <v>7.3926529172240435E-2</v>
      </c>
      <c r="AI46">
        <f t="shared" ca="1" si="9"/>
        <v>7.3481724942408996E-2</v>
      </c>
      <c r="AJ46">
        <f t="shared" ca="1" si="10"/>
        <v>7.3374373071692811E-2</v>
      </c>
      <c r="AK46">
        <f t="shared" ca="1" si="11"/>
        <v>7.2911643945703472E-2</v>
      </c>
      <c r="AL46">
        <f t="shared" ca="1" si="12"/>
        <v>7.2700491475739759E-2</v>
      </c>
      <c r="AM46">
        <f t="shared" ca="1" si="13"/>
        <v>7.2290566534528922E-2</v>
      </c>
      <c r="AN46">
        <f t="shared" ca="1" si="14"/>
        <v>7.2557976106816593E-2</v>
      </c>
      <c r="AO46">
        <f t="shared" ca="1" si="15"/>
        <v>7.2109021626888897E-2</v>
      </c>
      <c r="AP46">
        <f t="shared" ca="1" si="16"/>
        <v>7.2551039656398281E-2</v>
      </c>
      <c r="AQ46">
        <f t="shared" ca="1" si="17"/>
        <v>7.3896972541656891E-2</v>
      </c>
      <c r="AR46">
        <f t="shared" ca="1" si="18"/>
        <v>7.4185066032053826E-2</v>
      </c>
      <c r="AS46">
        <f t="shared" ca="1" si="19"/>
        <v>7.4064253833576385E-2</v>
      </c>
      <c r="AT46">
        <f t="shared" ca="1" si="20"/>
        <v>7.521596663687817E-2</v>
      </c>
      <c r="AU46">
        <f t="shared" ca="1" si="21"/>
        <v>7.4134847073780055E-2</v>
      </c>
      <c r="AV46">
        <f t="shared" ca="1" si="22"/>
        <v>7.2892637270603439E-2</v>
      </c>
    </row>
    <row r="47" spans="1:48" ht="16" x14ac:dyDescent="0.2">
      <c r="A47" s="14" t="e" vm="1149">
        <v>#VALUE!</v>
      </c>
      <c r="B47" s="23" t="str" cm="1">
        <f t="array" aca="1" ref="B47" ca="1">_FV(A47,"ticker symbol",TRUE)</f>
        <v>KXI</v>
      </c>
      <c r="C47" s="23" t="str" cm="1">
        <f t="array" aca="1" ref="C47" ca="1">_FV(A47,"Name")</f>
        <v>iShares:Glbl Con Staples</v>
      </c>
      <c r="D47" cm="1" vm="1150">
        <f t="array" aca="1" ref="D47:Y47" ca="1">TRANSPOSE(_xlfn.STOCKHISTORY(B47, WORKDAY(TODAY(), -23), TODAY(), 0, 0, 1))</f>
        <v>63.78</v>
      </c>
      <c r="E47" vm="1151">
        <f ca="1"/>
        <v>64.06</v>
      </c>
      <c r="F47" vm="1152">
        <f ca="1"/>
        <v>65.010000000000005</v>
      </c>
      <c r="G47" vm="1153">
        <f ca="1"/>
        <v>64.349999999999994</v>
      </c>
      <c r="H47" vm="1154">
        <f ca="1"/>
        <v>65.099999999999994</v>
      </c>
      <c r="I47" vm="1155">
        <f ca="1"/>
        <v>65.650000000000006</v>
      </c>
      <c r="J47" vm="1156">
        <f ca="1"/>
        <v>65.97</v>
      </c>
      <c r="K47" vm="1157">
        <f ca="1"/>
        <v>65.95</v>
      </c>
      <c r="L47" vm="1158">
        <f ca="1"/>
        <v>65.73</v>
      </c>
      <c r="M47" vm="1159">
        <f ca="1"/>
        <v>65.64</v>
      </c>
      <c r="N47" vm="1160">
        <f ca="1"/>
        <v>65.319999999999993</v>
      </c>
      <c r="O47" vm="1161">
        <f ca="1"/>
        <v>65.290000000000006</v>
      </c>
      <c r="P47" vm="1162">
        <f ca="1"/>
        <v>64.78</v>
      </c>
      <c r="Q47" vm="1163">
        <f ca="1"/>
        <v>64.855000000000004</v>
      </c>
      <c r="R47" vm="1164">
        <f ca="1"/>
        <v>65.17</v>
      </c>
      <c r="S47" vm="1155">
        <f ca="1"/>
        <v>65.650000000000006</v>
      </c>
      <c r="T47" vm="1165">
        <f ca="1"/>
        <v>65.87</v>
      </c>
      <c r="U47" vm="1166">
        <f ca="1"/>
        <v>66.19</v>
      </c>
      <c r="V47" vm="1167">
        <f ca="1"/>
        <v>65.16</v>
      </c>
      <c r="W47" vm="1168">
        <f ca="1"/>
        <v>65.33</v>
      </c>
      <c r="X47" vm="1167">
        <f ca="1"/>
        <v>65.16</v>
      </c>
      <c r="Y47" vm="72">
        <f ca="1"/>
        <v>64.86</v>
      </c>
      <c r="AA47">
        <f t="shared" ca="1" si="1"/>
        <v>9.6252810769207553E-2</v>
      </c>
      <c r="AB47">
        <f t="shared" ca="1" si="2"/>
        <v>9.8171731567897269E-2</v>
      </c>
      <c r="AC47">
        <f t="shared" ca="1" si="3"/>
        <v>9.8644978225573957E-2</v>
      </c>
      <c r="AD47">
        <f t="shared" ca="1" si="4"/>
        <v>9.6227176887533072E-2</v>
      </c>
      <c r="AE47">
        <f t="shared" ca="1" si="5"/>
        <v>9.644158691594322E-2</v>
      </c>
      <c r="AF47">
        <f t="shared" ca="1" si="6"/>
        <v>9.6589571563088533E-2</v>
      </c>
      <c r="AG47">
        <f t="shared" ca="1" si="7"/>
        <v>9.6533458201027239E-2</v>
      </c>
      <c r="AH47">
        <f t="shared" ca="1" si="8"/>
        <v>9.6946800535081659E-2</v>
      </c>
      <c r="AI47">
        <f t="shared" ca="1" si="9"/>
        <v>9.6444763986911805E-2</v>
      </c>
      <c r="AJ47">
        <f t="shared" ca="1" si="10"/>
        <v>9.5980347716738079E-2</v>
      </c>
      <c r="AK47">
        <f t="shared" ca="1" si="11"/>
        <v>9.5442656964596195E-2</v>
      </c>
      <c r="AL47">
        <f t="shared" ca="1" si="12"/>
        <v>9.5217955635928775E-2</v>
      </c>
      <c r="AM47">
        <f t="shared" ca="1" si="13"/>
        <v>9.4758860787267973E-2</v>
      </c>
      <c r="AN47">
        <f t="shared" ca="1" si="14"/>
        <v>9.4950515343171712E-2</v>
      </c>
      <c r="AO47">
        <f t="shared" ca="1" si="15"/>
        <v>9.4783076632197441E-2</v>
      </c>
      <c r="AP47">
        <f t="shared" ca="1" si="16"/>
        <v>9.5259515068850956E-2</v>
      </c>
      <c r="AQ47">
        <f t="shared" ca="1" si="17"/>
        <v>9.6617578033325519E-2</v>
      </c>
      <c r="AR47">
        <f t="shared" ca="1" si="18"/>
        <v>9.7233851894289944E-2</v>
      </c>
      <c r="AS47">
        <f t="shared" ca="1" si="19"/>
        <v>9.5983030624419985E-2</v>
      </c>
      <c r="AT47">
        <f t="shared" ca="1" si="20"/>
        <v>9.7304140601727734E-2</v>
      </c>
      <c r="AU47">
        <f t="shared" ca="1" si="21"/>
        <v>9.6323562020488709E-2</v>
      </c>
      <c r="AV47">
        <f t="shared" ca="1" si="22"/>
        <v>9.5299666465860494E-2</v>
      </c>
    </row>
    <row r="48" spans="1:48" ht="16" x14ac:dyDescent="0.2">
      <c r="A48" s="14" t="e" vm="1169">
        <v>#VALUE!</v>
      </c>
      <c r="B48" s="23" t="str" cm="1">
        <f t="array" aca="1" ref="B48" ca="1">_FV(A48,"ticker symbol",TRUE)</f>
        <v>PBJ</v>
      </c>
      <c r="C48" s="23" t="str" cm="1">
        <f t="array" aca="1" ref="C48" ca="1">_FV(A48,"Name")</f>
        <v>Invesco Food &amp; Beverage</v>
      </c>
      <c r="D48" cm="1" vm="1170">
        <f t="array" aca="1" ref="D48:Y48" ca="1">TRANSPOSE(_xlfn.STOCKHISTORY(B48, WORKDAY(TODAY(), -23), TODAY(), 0, 0, 1))</f>
        <v>43.877200000000002</v>
      </c>
      <c r="E48" vm="1171">
        <f ca="1"/>
        <v>43.47</v>
      </c>
      <c r="F48" vm="1172">
        <f ca="1"/>
        <v>44.185699999999997</v>
      </c>
      <c r="G48" vm="1173">
        <f ca="1"/>
        <v>44.218299999999999</v>
      </c>
      <c r="H48" vm="1174">
        <f ca="1"/>
        <v>45.0488</v>
      </c>
      <c r="I48" vm="1175">
        <f ca="1"/>
        <v>45.565899999999999</v>
      </c>
      <c r="J48" vm="1176">
        <f ca="1"/>
        <v>45.630600000000001</v>
      </c>
      <c r="K48" vm="1177">
        <f ca="1"/>
        <v>45.444600000000001</v>
      </c>
      <c r="L48" vm="1178">
        <f ca="1"/>
        <v>45.278599999999997</v>
      </c>
      <c r="M48" vm="1179">
        <f ca="1"/>
        <v>45.168799999999997</v>
      </c>
      <c r="N48" vm="1180">
        <f ca="1"/>
        <v>44.95</v>
      </c>
      <c r="O48" vm="1181">
        <f ca="1"/>
        <v>44.76</v>
      </c>
      <c r="P48" vm="1182">
        <f ca="1"/>
        <v>44.602499999999999</v>
      </c>
      <c r="Q48" vm="1183">
        <f ca="1"/>
        <v>44.62</v>
      </c>
      <c r="R48" vm="1184">
        <f ca="1"/>
        <v>44.73</v>
      </c>
      <c r="S48" vm="1185">
        <f ca="1"/>
        <v>45.2</v>
      </c>
      <c r="T48" vm="1186">
        <f ca="1"/>
        <v>45.49</v>
      </c>
      <c r="U48" vm="1187">
        <f ca="1"/>
        <v>45.69</v>
      </c>
      <c r="V48" vm="1188">
        <f ca="1"/>
        <v>45.47</v>
      </c>
      <c r="W48" vm="1189">
        <f ca="1"/>
        <v>45.62</v>
      </c>
      <c r="X48" vm="1187">
        <f ca="1"/>
        <v>45.69</v>
      </c>
      <c r="Y48" vm="74">
        <f ca="1"/>
        <v>45.601100000000002</v>
      </c>
      <c r="AA48">
        <f t="shared" ca="1" si="1"/>
        <v>6.6216742375081114E-2</v>
      </c>
      <c r="AB48">
        <f t="shared" ca="1" si="2"/>
        <v>6.6617626775780425E-2</v>
      </c>
      <c r="AC48">
        <f t="shared" ca="1" si="3"/>
        <v>6.7046568441497353E-2</v>
      </c>
      <c r="AD48">
        <f t="shared" ca="1" si="4"/>
        <v>6.6122799934203641E-2</v>
      </c>
      <c r="AE48">
        <f t="shared" ca="1" si="5"/>
        <v>6.6736985570797908E-2</v>
      </c>
      <c r="AF48">
        <f t="shared" ca="1" si="6"/>
        <v>6.7040224811676083E-2</v>
      </c>
      <c r="AG48">
        <f t="shared" ca="1" si="7"/>
        <v>6.6770950701649137E-2</v>
      </c>
      <c r="AH48">
        <f t="shared" ca="1" si="8"/>
        <v>6.6803769091684187E-2</v>
      </c>
      <c r="AI48">
        <f t="shared" ca="1" si="9"/>
        <v>6.6436693909292327E-2</v>
      </c>
      <c r="AJ48">
        <f t="shared" ca="1" si="10"/>
        <v>6.604687888403106E-2</v>
      </c>
      <c r="AK48">
        <f t="shared" ca="1" si="11"/>
        <v>6.5678925758704834E-2</v>
      </c>
      <c r="AL48">
        <f t="shared" ca="1" si="12"/>
        <v>6.5277311904796617E-2</v>
      </c>
      <c r="AM48">
        <f t="shared" ca="1" si="13"/>
        <v>6.5243625938007407E-2</v>
      </c>
      <c r="AN48">
        <f t="shared" ca="1" si="14"/>
        <v>6.5325603185757794E-2</v>
      </c>
      <c r="AO48">
        <f t="shared" ca="1" si="15"/>
        <v>6.5055194380208556E-2</v>
      </c>
      <c r="AP48">
        <f t="shared" ca="1" si="16"/>
        <v>6.5586139849384051E-2</v>
      </c>
      <c r="AQ48">
        <f t="shared" ca="1" si="17"/>
        <v>6.6724360478760861E-2</v>
      </c>
      <c r="AR48">
        <f t="shared" ca="1" si="18"/>
        <v>6.7119122118901767E-2</v>
      </c>
      <c r="AS48">
        <f t="shared" ca="1" si="19"/>
        <v>6.6978950314493205E-2</v>
      </c>
      <c r="AT48">
        <f t="shared" ca="1" si="20"/>
        <v>6.7947572237116477E-2</v>
      </c>
      <c r="AU48">
        <f t="shared" ca="1" si="21"/>
        <v>6.7541797862432917E-2</v>
      </c>
      <c r="AV48">
        <f t="shared" ca="1" si="22"/>
        <v>6.7002306822022073E-2</v>
      </c>
    </row>
    <row r="49" spans="1:48" ht="16" x14ac:dyDescent="0.2">
      <c r="A49" s="14" t="e" vm="1190">
        <v>#VALUE!</v>
      </c>
      <c r="B49" s="23" t="str" cm="1">
        <f t="array" aca="1" ref="B49" ca="1">_FV(A49,"ticker symbol",TRUE)</f>
        <v>VPU</v>
      </c>
      <c r="C49" s="23" t="str" cm="1">
        <f t="array" aca="1" ref="C49" ca="1">_FV(A49,"Name")</f>
        <v>Vanguard Util Indx;ETF</v>
      </c>
      <c r="D49" cm="1" vm="1191">
        <f t="array" aca="1" ref="D49:Y49" ca="1">TRANSPOSE(_xlfn.STOCKHISTORY(B49, WORKDAY(TODAY(), -23), TODAY(), 0, 0, 1))</f>
        <v>191.76</v>
      </c>
      <c r="E49" vm="1192">
        <f ca="1"/>
        <v>190.7</v>
      </c>
      <c r="F49" vm="1193">
        <f ca="1"/>
        <v>190.96</v>
      </c>
      <c r="G49" vm="1194">
        <f ca="1"/>
        <v>193.19</v>
      </c>
      <c r="H49" vm="1195">
        <f ca="1"/>
        <v>192.57</v>
      </c>
      <c r="I49" vm="1196">
        <f ca="1"/>
        <v>194.98</v>
      </c>
      <c r="J49" vm="1197">
        <f ca="1"/>
        <v>196.45</v>
      </c>
      <c r="K49" vm="1198">
        <f ca="1"/>
        <v>191.98</v>
      </c>
      <c r="L49" vm="253">
        <f ca="1"/>
        <v>190.5</v>
      </c>
      <c r="M49" vm="1199">
        <f ca="1"/>
        <v>189.92</v>
      </c>
      <c r="N49" vm="1200">
        <f ca="1"/>
        <v>189.73</v>
      </c>
      <c r="O49" vm="1201">
        <f ca="1"/>
        <v>187.79</v>
      </c>
      <c r="P49" vm="1202">
        <f ca="1"/>
        <v>185.63</v>
      </c>
      <c r="Q49" vm="1203">
        <f ca="1"/>
        <v>185.64</v>
      </c>
      <c r="R49" vm="1204">
        <f ca="1"/>
        <v>185.46</v>
      </c>
      <c r="S49" vm="1205">
        <f ca="1"/>
        <v>187.04</v>
      </c>
      <c r="T49" vm="1206">
        <f ca="1"/>
        <v>186.01</v>
      </c>
      <c r="U49" vm="1207">
        <f ca="1"/>
        <v>187.52</v>
      </c>
      <c r="V49" vm="1208">
        <f ca="1"/>
        <v>186.9</v>
      </c>
      <c r="W49" vm="1209">
        <f ca="1"/>
        <v>184.06</v>
      </c>
      <c r="X49" vm="1210">
        <f ca="1"/>
        <v>185.98</v>
      </c>
      <c r="Y49" vm="76">
        <f ca="1"/>
        <v>183.5</v>
      </c>
      <c r="AA49">
        <f t="shared" ca="1" si="1"/>
        <v>0.28939227019603697</v>
      </c>
      <c r="AB49">
        <f t="shared" ca="1" si="2"/>
        <v>0.29224709975020308</v>
      </c>
      <c r="AC49">
        <f t="shared" ca="1" si="3"/>
        <v>0.2897591915390802</v>
      </c>
      <c r="AD49">
        <f t="shared" ca="1" si="4"/>
        <v>0.2888908827179878</v>
      </c>
      <c r="AE49">
        <f t="shared" ca="1" si="5"/>
        <v>0.28528043613522563</v>
      </c>
      <c r="AF49">
        <f t="shared" ca="1" si="6"/>
        <v>0.28687029190207158</v>
      </c>
      <c r="AG49">
        <f t="shared" ca="1" si="7"/>
        <v>0.2874639664027861</v>
      </c>
      <c r="AH49">
        <f t="shared" ca="1" si="8"/>
        <v>0.28221147485557202</v>
      </c>
      <c r="AI49">
        <f t="shared" ca="1" si="9"/>
        <v>0.27951814300177541</v>
      </c>
      <c r="AJ49">
        <f t="shared" ca="1" si="10"/>
        <v>0.27770547895129333</v>
      </c>
      <c r="AK49">
        <f t="shared" ca="1" si="11"/>
        <v>0.27722497406449537</v>
      </c>
      <c r="AL49">
        <f t="shared" ca="1" si="12"/>
        <v>0.27387011623328322</v>
      </c>
      <c r="AM49">
        <f t="shared" ca="1" si="13"/>
        <v>0.27153577227447595</v>
      </c>
      <c r="AN49">
        <f t="shared" ca="1" si="14"/>
        <v>0.27178496134926211</v>
      </c>
      <c r="AO49">
        <f t="shared" ca="1" si="15"/>
        <v>0.2697325363235743</v>
      </c>
      <c r="AP49">
        <f t="shared" ca="1" si="16"/>
        <v>0.2713989291466547</v>
      </c>
      <c r="AQ49">
        <f t="shared" ca="1" si="17"/>
        <v>0.27283794883830087</v>
      </c>
      <c r="AR49">
        <f t="shared" ca="1" si="18"/>
        <v>0.27546898182833135</v>
      </c>
      <c r="AS49">
        <f t="shared" ca="1" si="19"/>
        <v>0.27531044235273322</v>
      </c>
      <c r="AT49">
        <f t="shared" ca="1" si="20"/>
        <v>0.27414358057789695</v>
      </c>
      <c r="AU49">
        <f t="shared" ca="1" si="21"/>
        <v>0.27492719558886569</v>
      </c>
      <c r="AV49">
        <f t="shared" ca="1" si="22"/>
        <v>0.26961900703801112</v>
      </c>
    </row>
    <row r="50" spans="1:48" ht="16" x14ac:dyDescent="0.2">
      <c r="A50" s="14" t="e" vm="1211">
        <v>#VALUE!</v>
      </c>
      <c r="B50" s="23" t="str" cm="1">
        <f t="array" aca="1" ref="B50" ca="1">_FV(A50,"ticker symbol",TRUE)</f>
        <v>FUTY</v>
      </c>
      <c r="C50" s="23" t="str" cm="1">
        <f t="array" aca="1" ref="C50" ca="1">_FV(A50,"Name")</f>
        <v>Fidelity MSCI Utilities</v>
      </c>
      <c r="D50" cm="1" vm="1212">
        <f t="array" aca="1" ref="D50:Y50" ca="1">TRANSPOSE(_xlfn.STOCKHISTORY(B50, WORKDAY(TODAY(), -23), TODAY(), 0, 0, 1))</f>
        <v>57.17</v>
      </c>
      <c r="E50" vm="1213">
        <f ca="1"/>
        <v>56.85</v>
      </c>
      <c r="F50" vm="1214">
        <f ca="1"/>
        <v>56.95</v>
      </c>
      <c r="G50" vm="1215">
        <f ca="1"/>
        <v>57.6</v>
      </c>
      <c r="H50" vm="1216">
        <f ca="1"/>
        <v>57.42</v>
      </c>
      <c r="I50" vm="1217">
        <f ca="1"/>
        <v>58.16</v>
      </c>
      <c r="J50" vm="1218">
        <f ca="1"/>
        <v>58.55</v>
      </c>
      <c r="K50" vm="1219">
        <f ca="1"/>
        <v>57.28</v>
      </c>
      <c r="L50" vm="1220">
        <f ca="1"/>
        <v>56.82</v>
      </c>
      <c r="M50" vm="1221">
        <f ca="1"/>
        <v>56.65</v>
      </c>
      <c r="N50" vm="1222">
        <f ca="1"/>
        <v>56.57</v>
      </c>
      <c r="O50" vm="118">
        <f ca="1"/>
        <v>56.01</v>
      </c>
      <c r="P50" vm="1223">
        <f ca="1"/>
        <v>55.35</v>
      </c>
      <c r="Q50" vm="1223">
        <f ca="1"/>
        <v>55.35</v>
      </c>
      <c r="R50" vm="1224">
        <f ca="1"/>
        <v>55.31</v>
      </c>
      <c r="S50" vm="1225">
        <f ca="1"/>
        <v>55.76</v>
      </c>
      <c r="T50" vm="1226">
        <f ca="1"/>
        <v>55.47</v>
      </c>
      <c r="U50" vm="1227">
        <f ca="1"/>
        <v>55.91</v>
      </c>
      <c r="V50" vm="1228">
        <f ca="1"/>
        <v>55.71</v>
      </c>
      <c r="W50" vm="1224">
        <f ca="1"/>
        <v>55.31</v>
      </c>
      <c r="X50" vm="1229">
        <f ca="1"/>
        <v>55.87</v>
      </c>
      <c r="Y50" vm="78">
        <f ca="1"/>
        <v>54.79</v>
      </c>
      <c r="AA50">
        <f t="shared" ca="1" si="1"/>
        <v>8.6277409715829353E-2</v>
      </c>
      <c r="AB50">
        <f t="shared" ca="1" si="2"/>
        <v>8.712243115259069E-2</v>
      </c>
      <c r="AC50">
        <f t="shared" ca="1" si="3"/>
        <v>8.64148824787946E-2</v>
      </c>
      <c r="AD50">
        <f t="shared" ca="1" si="4"/>
        <v>8.6133417074155491E-2</v>
      </c>
      <c r="AE50">
        <f t="shared" ca="1" si="5"/>
        <v>8.5064146247518596E-2</v>
      </c>
      <c r="AF50">
        <f t="shared" ca="1" si="6"/>
        <v>8.5569679849340871E-2</v>
      </c>
      <c r="AG50">
        <f t="shared" ca="1" si="7"/>
        <v>8.5675822005004454E-2</v>
      </c>
      <c r="AH50">
        <f t="shared" ca="1" si="8"/>
        <v>8.4201861025769181E-2</v>
      </c>
      <c r="AI50">
        <f t="shared" ca="1" si="9"/>
        <v>8.3371238243364204E-2</v>
      </c>
      <c r="AJ50">
        <f t="shared" ca="1" si="10"/>
        <v>8.2834958838409689E-2</v>
      </c>
      <c r="AK50">
        <f t="shared" ca="1" si="11"/>
        <v>8.2657549058285484E-2</v>
      </c>
      <c r="AL50">
        <f t="shared" ca="1" si="12"/>
        <v>8.1684142980063865E-2</v>
      </c>
      <c r="AM50">
        <f t="shared" ca="1" si="13"/>
        <v>8.0964849406842884E-2</v>
      </c>
      <c r="AN50">
        <f t="shared" ca="1" si="14"/>
        <v>8.1034785664089962E-2</v>
      </c>
      <c r="AO50">
        <f t="shared" ca="1" si="15"/>
        <v>8.0442718559564835E-2</v>
      </c>
      <c r="AP50">
        <f t="shared" ca="1" si="16"/>
        <v>8.0908919424815359E-2</v>
      </c>
      <c r="AQ50">
        <f t="shared" ca="1" si="17"/>
        <v>8.1362942971133542E-2</v>
      </c>
      <c r="AR50">
        <f t="shared" ca="1" si="18"/>
        <v>8.2132416670339187E-2</v>
      </c>
      <c r="AS50">
        <f t="shared" ca="1" si="19"/>
        <v>8.2062839718944722E-2</v>
      </c>
      <c r="AT50">
        <f t="shared" ca="1" si="20"/>
        <v>8.2380101280905574E-2</v>
      </c>
      <c r="AU50">
        <f t="shared" ca="1" si="21"/>
        <v>8.2590506600440511E-2</v>
      </c>
      <c r="AV50">
        <f t="shared" ca="1" si="22"/>
        <v>8.0503680630041582E-2</v>
      </c>
    </row>
    <row r="51" spans="1:48" ht="16" x14ac:dyDescent="0.2">
      <c r="A51" s="14" t="e" vm="1230">
        <v>#VALUE!</v>
      </c>
      <c r="B51" s="23" t="str" cm="1">
        <f t="array" aca="1" ref="B51" ca="1">_FV(A51,"ticker symbol",TRUE)</f>
        <v>IDU</v>
      </c>
      <c r="C51" s="23" t="str" cm="1">
        <f t="array" aca="1" ref="C51" ca="1">_FV(A51,"Name")</f>
        <v>iShares:US Utl</v>
      </c>
      <c r="D51" cm="1" vm="1231">
        <f t="array" aca="1" ref="D51:Y51" ca="1">TRANSPOSE(_xlfn.STOCKHISTORY(B51, WORKDAY(TODAY(), -23), TODAY(), 0, 0, 1))</f>
        <v>111.75</v>
      </c>
      <c r="E51" vm="1232">
        <f ca="1"/>
        <v>111.24</v>
      </c>
      <c r="F51" vm="1233">
        <f ca="1"/>
        <v>111.43</v>
      </c>
      <c r="G51" vm="1234">
        <f ca="1"/>
        <v>112.4</v>
      </c>
      <c r="H51" vm="1235">
        <f ca="1"/>
        <v>112.15</v>
      </c>
      <c r="I51" vm="1236">
        <f ca="1"/>
        <v>113.56</v>
      </c>
      <c r="J51" vm="1237">
        <f ca="1"/>
        <v>114.31</v>
      </c>
      <c r="K51" vm="1238">
        <f ca="1"/>
        <v>111.81</v>
      </c>
      <c r="L51" vm="1239">
        <f ca="1"/>
        <v>111.05</v>
      </c>
      <c r="M51" vm="1240">
        <f ca="1"/>
        <v>110.72</v>
      </c>
      <c r="N51" vm="1241">
        <f ca="1"/>
        <v>110.48</v>
      </c>
      <c r="O51" vm="1242">
        <f ca="1"/>
        <v>109.54</v>
      </c>
      <c r="P51" vm="1243">
        <f ca="1"/>
        <v>108.14</v>
      </c>
      <c r="Q51" vm="1244">
        <f ca="1"/>
        <v>108.09</v>
      </c>
      <c r="R51" vm="1245">
        <f ca="1"/>
        <v>108.03</v>
      </c>
      <c r="S51" vm="1246">
        <f ca="1"/>
        <v>108.94</v>
      </c>
      <c r="T51" vm="1247">
        <f ca="1"/>
        <v>108.59</v>
      </c>
      <c r="U51" vm="1242">
        <f ca="1"/>
        <v>109.54</v>
      </c>
      <c r="V51" vm="1248">
        <f ca="1"/>
        <v>108.52</v>
      </c>
      <c r="W51" vm="1249">
        <f ca="1"/>
        <v>107.77</v>
      </c>
      <c r="X51" vm="1250">
        <f ca="1"/>
        <v>108.76</v>
      </c>
      <c r="Y51" vm="80">
        <f ca="1"/>
        <v>107.4</v>
      </c>
      <c r="AA51">
        <f t="shared" ca="1" si="1"/>
        <v>0.16864615245310355</v>
      </c>
      <c r="AB51">
        <f t="shared" ca="1" si="2"/>
        <v>0.17047492069330145</v>
      </c>
      <c r="AC51">
        <f t="shared" ca="1" si="3"/>
        <v>0.16908183239002778</v>
      </c>
      <c r="AD51">
        <f t="shared" ca="1" si="4"/>
        <v>0.16807979304053952</v>
      </c>
      <c r="AE51">
        <f t="shared" ca="1" si="5"/>
        <v>0.1661432253859145</v>
      </c>
      <c r="AF51">
        <f t="shared" ca="1" si="6"/>
        <v>0.1670786252354049</v>
      </c>
      <c r="AG51">
        <f t="shared" ca="1" si="7"/>
        <v>0.16726905573684134</v>
      </c>
      <c r="AH51">
        <f t="shared" ca="1" si="8"/>
        <v>0.16436120951974953</v>
      </c>
      <c r="AI51">
        <f t="shared" ca="1" si="9"/>
        <v>0.16294220357137618</v>
      </c>
      <c r="AJ51">
        <f t="shared" ca="1" si="10"/>
        <v>0.16189738115778854</v>
      </c>
      <c r="AK51">
        <f t="shared" ca="1" si="11"/>
        <v>0.16142842531305251</v>
      </c>
      <c r="AL51">
        <f t="shared" ca="1" si="12"/>
        <v>0.15975149119864662</v>
      </c>
      <c r="AM51">
        <f t="shared" ca="1" si="13"/>
        <v>0.15818498310489593</v>
      </c>
      <c r="AN51">
        <f t="shared" ca="1" si="14"/>
        <v>0.15824841883345048</v>
      </c>
      <c r="AO51">
        <f t="shared" ca="1" si="15"/>
        <v>0.15711854792966534</v>
      </c>
      <c r="AP51">
        <f t="shared" ca="1" si="16"/>
        <v>0.15807420520336057</v>
      </c>
      <c r="AQ51">
        <f t="shared" ca="1" si="17"/>
        <v>0.15927892513494485</v>
      </c>
      <c r="AR51">
        <f t="shared" ca="1" si="18"/>
        <v>0.16091548778517181</v>
      </c>
      <c r="AS51">
        <f t="shared" ca="1" si="19"/>
        <v>0.15985387482139438</v>
      </c>
      <c r="AT51">
        <f t="shared" ca="1" si="20"/>
        <v>0.16051534107834375</v>
      </c>
      <c r="AU51">
        <f t="shared" ca="1" si="21"/>
        <v>0.16077579197894956</v>
      </c>
      <c r="AV51">
        <f t="shared" ca="1" si="22"/>
        <v>0.15780425807020379</v>
      </c>
    </row>
    <row r="52" spans="1:48" ht="16" x14ac:dyDescent="0.2">
      <c r="A52" s="14" t="e" vm="1251">
        <v>#VALUE!</v>
      </c>
      <c r="B52" s="23" t="str" cm="1">
        <f t="array" aca="1" ref="B52" ca="1">_FV(A52,"ticker symbol",TRUE)</f>
        <v>IYE</v>
      </c>
      <c r="C52" s="23" t="str" cm="1">
        <f t="array" aca="1" ref="C52" ca="1">_FV(A52,"Name")</f>
        <v>iShares:US Energy</v>
      </c>
      <c r="D52" cm="1" vm="1252">
        <f t="array" aca="1" ref="D52:Y52" ca="1">TRANSPOSE(_xlfn.STOCKHISTORY(B52, WORKDAY(TODAY(), -23), TODAY(), 0, 0, 1))</f>
        <v>47.76</v>
      </c>
      <c r="E52" vm="1253">
        <f ca="1"/>
        <v>47.21</v>
      </c>
      <c r="F52" vm="1254">
        <f ca="1"/>
        <v>47.49</v>
      </c>
      <c r="G52" vm="1255">
        <f ca="1"/>
        <v>47.4</v>
      </c>
      <c r="H52" vm="1256">
        <f ca="1"/>
        <v>47.14</v>
      </c>
      <c r="I52" vm="1257">
        <f ca="1"/>
        <v>47.52</v>
      </c>
      <c r="J52" vm="1258">
        <f ca="1"/>
        <v>48.16</v>
      </c>
      <c r="K52" vm="1259">
        <f ca="1"/>
        <v>48.56</v>
      </c>
      <c r="L52" vm="1260">
        <f ca="1"/>
        <v>47.92</v>
      </c>
      <c r="M52" vm="1261">
        <f ca="1"/>
        <v>48.81</v>
      </c>
      <c r="N52" vm="1262">
        <f ca="1"/>
        <v>49</v>
      </c>
      <c r="O52" vm="1261">
        <f ca="1"/>
        <v>48.81</v>
      </c>
      <c r="P52" vm="1263">
        <f ca="1"/>
        <v>48.27</v>
      </c>
      <c r="Q52" vm="1264">
        <f ca="1"/>
        <v>48.53</v>
      </c>
      <c r="R52" vm="1265">
        <f ca="1"/>
        <v>49.02</v>
      </c>
      <c r="S52" vm="1266">
        <f ca="1"/>
        <v>48.8</v>
      </c>
      <c r="T52" vm="1267">
        <f ca="1"/>
        <v>48.31</v>
      </c>
      <c r="U52" vm="1268">
        <f ca="1"/>
        <v>47.96</v>
      </c>
      <c r="V52" vm="1269">
        <f ca="1"/>
        <v>46.22</v>
      </c>
      <c r="W52" vm="1270">
        <f ca="1"/>
        <v>47.17</v>
      </c>
      <c r="X52" vm="1271">
        <f ca="1"/>
        <v>46.51</v>
      </c>
      <c r="Y52" vm="82">
        <f ca="1"/>
        <v>46.55</v>
      </c>
      <c r="AA52">
        <f t="shared" ca="1" si="1"/>
        <v>7.2076422739688811E-2</v>
      </c>
      <c r="AB52">
        <f t="shared" ca="1" si="2"/>
        <v>7.2349164023110049E-2</v>
      </c>
      <c r="AC52">
        <f t="shared" ca="1" si="3"/>
        <v>7.2060452483195009E-2</v>
      </c>
      <c r="AD52">
        <f t="shared" ca="1" si="4"/>
        <v>7.0880624467273778E-2</v>
      </c>
      <c r="AE52">
        <f t="shared" ca="1" si="5"/>
        <v>6.9834967852804367E-2</v>
      </c>
      <c r="AF52">
        <f t="shared" ca="1" si="6"/>
        <v>6.9915254237288144E-2</v>
      </c>
      <c r="AG52">
        <f t="shared" ca="1" si="7"/>
        <v>7.0472204743996833E-2</v>
      </c>
      <c r="AH52">
        <f t="shared" ca="1" si="8"/>
        <v>7.1383421288606003E-2</v>
      </c>
      <c r="AI52">
        <f t="shared" ca="1" si="9"/>
        <v>7.0312385368215644E-2</v>
      </c>
      <c r="AJ52">
        <f t="shared" ca="1" si="10"/>
        <v>7.1371126935618312E-2</v>
      </c>
      <c r="AK52">
        <f t="shared" ca="1" si="11"/>
        <v>7.1596604275340092E-2</v>
      </c>
      <c r="AL52">
        <f t="shared" ca="1" si="12"/>
        <v>7.1183771091892833E-2</v>
      </c>
      <c r="AM52">
        <f t="shared" ca="1" si="13"/>
        <v>7.0608370024720979E-2</v>
      </c>
      <c r="AN52">
        <f t="shared" ca="1" si="14"/>
        <v>7.1050011712344818E-2</v>
      </c>
      <c r="AO52">
        <f t="shared" ca="1" si="15"/>
        <v>7.1294559099437146E-2</v>
      </c>
      <c r="AP52">
        <f t="shared" ca="1" si="16"/>
        <v>7.0809814704644716E-2</v>
      </c>
      <c r="AQ52">
        <f t="shared" ca="1" si="17"/>
        <v>7.0860713447547533E-2</v>
      </c>
      <c r="AR52">
        <f t="shared" ca="1" si="18"/>
        <v>7.0453777562322795E-2</v>
      </c>
      <c r="AS52">
        <f t="shared" ca="1" si="19"/>
        <v>6.8083727370483307E-2</v>
      </c>
      <c r="AT52">
        <f t="shared" ca="1" si="20"/>
        <v>7.0256181114089961E-2</v>
      </c>
      <c r="AU52">
        <f t="shared" ca="1" si="21"/>
        <v>6.8753972829541585E-2</v>
      </c>
      <c r="AV52">
        <f t="shared" ca="1" si="22"/>
        <v>6.8396538297653506E-2</v>
      </c>
    </row>
    <row r="53" spans="1:48" ht="16" x14ac:dyDescent="0.2">
      <c r="A53" s="14" t="e" vm="1272">
        <v>#VALUE!</v>
      </c>
      <c r="B53" s="23" t="str" cm="1">
        <f t="array" aca="1" ref="B53" ca="1">_FV(A53,"ticker symbol",TRUE)</f>
        <v>VDE</v>
      </c>
      <c r="C53" s="23" t="str" cm="1">
        <f t="array" aca="1" ref="C53" ca="1">_FV(A53,"Name")</f>
        <v>Vanguard Energy Idx;ETF</v>
      </c>
      <c r="D53" cm="1" vm="1273">
        <f t="array" aca="1" ref="D53:Y53" ca="1">TRANSPOSE(_xlfn.STOCKHISTORY(B53, WORKDAY(TODAY(), -23), TODAY(), 0, 0, 1))</f>
        <v>126.63</v>
      </c>
      <c r="E53" vm="1274">
        <f ca="1"/>
        <v>125.06</v>
      </c>
      <c r="F53" vm="1275">
        <f ca="1"/>
        <v>125.79</v>
      </c>
      <c r="G53" vm="1276">
        <f ca="1"/>
        <v>125.67</v>
      </c>
      <c r="H53" vm="1274">
        <f ca="1"/>
        <v>125.06</v>
      </c>
      <c r="I53" vm="1277">
        <f ca="1"/>
        <v>125.97</v>
      </c>
      <c r="J53" vm="1278">
        <f ca="1"/>
        <v>127.67</v>
      </c>
      <c r="K53" vm="1279">
        <f ca="1"/>
        <v>128.77000000000001</v>
      </c>
      <c r="L53" vm="1280">
        <f ca="1"/>
        <v>127.21</v>
      </c>
      <c r="M53" vm="1281">
        <f ca="1"/>
        <v>129.85</v>
      </c>
      <c r="N53" vm="1282">
        <f ca="1"/>
        <v>130.41</v>
      </c>
      <c r="O53" vm="1283">
        <f ca="1"/>
        <v>129.79</v>
      </c>
      <c r="P53" vm="1284">
        <f ca="1"/>
        <v>128.35</v>
      </c>
      <c r="Q53" vm="1285">
        <f ca="1"/>
        <v>129.16</v>
      </c>
      <c r="R53" vm="1286">
        <f ca="1"/>
        <v>130.26</v>
      </c>
      <c r="S53" vm="1287">
        <f ca="1"/>
        <v>129.72</v>
      </c>
      <c r="T53" vm="1288">
        <f ca="1"/>
        <v>128.30000000000001</v>
      </c>
      <c r="U53" vm="1289">
        <f ca="1"/>
        <v>127.27</v>
      </c>
      <c r="V53" vm="96">
        <f ca="1"/>
        <v>123.43</v>
      </c>
      <c r="W53" vm="1290">
        <f ca="1"/>
        <v>124.88</v>
      </c>
      <c r="X53" vm="1291">
        <f ca="1"/>
        <v>123.11</v>
      </c>
      <c r="Y53" vm="84">
        <f ca="1"/>
        <v>123.39</v>
      </c>
      <c r="AA53">
        <f t="shared" ca="1" si="1"/>
        <v>0.1911021233569262</v>
      </c>
      <c r="AB53">
        <f t="shared" ca="1" si="2"/>
        <v>0.19165402356979758</v>
      </c>
      <c r="AC53">
        <f t="shared" ca="1" si="3"/>
        <v>0.19087143225649819</v>
      </c>
      <c r="AD53">
        <f t="shared" ca="1" si="4"/>
        <v>0.18792337714772778</v>
      </c>
      <c r="AE53">
        <f t="shared" ca="1" si="5"/>
        <v>0.18526858463452936</v>
      </c>
      <c r="AF53">
        <f t="shared" ca="1" si="6"/>
        <v>0.1853372175141243</v>
      </c>
      <c r="AG53">
        <f t="shared" ca="1" si="7"/>
        <v>0.18681865406283382</v>
      </c>
      <c r="AH53">
        <f t="shared" ca="1" si="8"/>
        <v>0.18929248680670913</v>
      </c>
      <c r="AI53">
        <f t="shared" ca="1" si="9"/>
        <v>0.18665355890423019</v>
      </c>
      <c r="AJ53">
        <f t="shared" ca="1" si="10"/>
        <v>0.1898697158899823</v>
      </c>
      <c r="AK53">
        <f t="shared" ca="1" si="11"/>
        <v>0.19054924823565511</v>
      </c>
      <c r="AL53">
        <f t="shared" ca="1" si="12"/>
        <v>0.18928378713412763</v>
      </c>
      <c r="AM53">
        <f t="shared" ca="1" si="13"/>
        <v>0.18774775829030324</v>
      </c>
      <c r="AN53">
        <f t="shared" ca="1" si="14"/>
        <v>0.1890958069805575</v>
      </c>
      <c r="AO53">
        <f t="shared" ca="1" si="15"/>
        <v>0.1894498014747589</v>
      </c>
      <c r="AP53">
        <f t="shared" ca="1" si="16"/>
        <v>0.18822641728455969</v>
      </c>
      <c r="AQ53">
        <f t="shared" ca="1" si="17"/>
        <v>0.18818939216146446</v>
      </c>
      <c r="AR53">
        <f t="shared" ca="1" si="18"/>
        <v>0.18696105651286118</v>
      </c>
      <c r="AS53">
        <f t="shared" ca="1" si="19"/>
        <v>0.18181684269447759</v>
      </c>
      <c r="AT53">
        <f t="shared" ca="1" si="20"/>
        <v>0.18599940422996722</v>
      </c>
      <c r="AU53">
        <f t="shared" ca="1" si="21"/>
        <v>0.18198885390335121</v>
      </c>
      <c r="AV53">
        <f t="shared" ca="1" si="22"/>
        <v>0.18129857917395201</v>
      </c>
    </row>
    <row r="54" spans="1:48" ht="16" x14ac:dyDescent="0.2">
      <c r="A54" s="14" t="e" vm="1292">
        <v>#VALUE!</v>
      </c>
      <c r="B54" s="23" t="str" cm="1">
        <f t="array" aca="1" ref="B54" ca="1">_FV(A54,"ticker symbol",TRUE)</f>
        <v>XOP</v>
      </c>
      <c r="C54" s="23" t="str" cm="1">
        <f t="array" aca="1" ref="C54" ca="1">_FV(A54,"Name")</f>
        <v>SS SPDR S&amp;P Oil&amp;Gas Exp</v>
      </c>
      <c r="D54" cm="1" vm="1293">
        <f t="array" aca="1" ref="D54:Y54" ca="1">TRANSPOSE(_xlfn.STOCKHISTORY(B54, WORKDAY(TODAY(), -23), TODAY(), 0, 0, 1))</f>
        <v>131.88</v>
      </c>
      <c r="E54" vm="1294">
        <f ca="1"/>
        <v>128.56</v>
      </c>
      <c r="F54" vm="1295">
        <f ca="1"/>
        <v>129.74</v>
      </c>
      <c r="G54" vm="1296">
        <f ca="1"/>
        <v>130.83000000000001</v>
      </c>
      <c r="H54" vm="1297">
        <f ca="1"/>
        <v>130.22</v>
      </c>
      <c r="I54" vm="1298">
        <f ca="1"/>
        <v>131.68</v>
      </c>
      <c r="J54" vm="1299">
        <f ca="1"/>
        <v>134.02000000000001</v>
      </c>
      <c r="K54" vm="1300">
        <f ca="1"/>
        <v>135.08000000000001</v>
      </c>
      <c r="L54" vm="1301">
        <f ca="1"/>
        <v>133.05000000000001</v>
      </c>
      <c r="M54" vm="1302">
        <f ca="1"/>
        <v>136.47999999999999</v>
      </c>
      <c r="N54" vm="1302">
        <f ca="1"/>
        <v>136.47999999999999</v>
      </c>
      <c r="O54" vm="1303">
        <f ca="1"/>
        <v>136.69</v>
      </c>
      <c r="P54" vm="1304">
        <f ca="1"/>
        <v>134.13</v>
      </c>
      <c r="Q54" vm="1305">
        <f ca="1"/>
        <v>134.55000000000001</v>
      </c>
      <c r="R54" vm="1306">
        <f ca="1"/>
        <v>135.22</v>
      </c>
      <c r="S54" vm="1307">
        <f ca="1"/>
        <v>133.01</v>
      </c>
      <c r="T54" vm="1308">
        <f ca="1"/>
        <v>131.72999999999999</v>
      </c>
      <c r="U54" vm="1309">
        <f ca="1"/>
        <v>129.88</v>
      </c>
      <c r="V54" vm="1310">
        <f ca="1"/>
        <v>124.96</v>
      </c>
      <c r="W54" vm="1311">
        <f ca="1"/>
        <v>127.9</v>
      </c>
      <c r="X54" vm="1312">
        <f ca="1"/>
        <v>125.09</v>
      </c>
      <c r="Y54" vm="86">
        <f ca="1"/>
        <v>125.56</v>
      </c>
      <c r="AA54">
        <f t="shared" ca="1" si="1"/>
        <v>0.19902509696210555</v>
      </c>
      <c r="AB54">
        <f t="shared" ca="1" si="2"/>
        <v>0.19701776163548038</v>
      </c>
      <c r="AC54">
        <f t="shared" ca="1" si="3"/>
        <v>0.19686508960138388</v>
      </c>
      <c r="AD54">
        <f t="shared" ca="1" si="4"/>
        <v>0.1956394957606209</v>
      </c>
      <c r="AE54">
        <f t="shared" ca="1" si="5"/>
        <v>0.19291280258362717</v>
      </c>
      <c r="AF54">
        <f t="shared" ca="1" si="6"/>
        <v>0.19373822975517893</v>
      </c>
      <c r="AG54">
        <f t="shared" ca="1" si="7"/>
        <v>0.19611056644083175</v>
      </c>
      <c r="AH54">
        <f t="shared" ca="1" si="8"/>
        <v>0.19856821556146825</v>
      </c>
      <c r="AI54">
        <f t="shared" ca="1" si="9"/>
        <v>0.19522251404927152</v>
      </c>
      <c r="AJ54">
        <f t="shared" ca="1" si="10"/>
        <v>0.19956425740981737</v>
      </c>
      <c r="AK54">
        <f t="shared" ca="1" si="11"/>
        <v>0.1994184602346615</v>
      </c>
      <c r="AL54">
        <f t="shared" ca="1" si="12"/>
        <v>0.19934664352695822</v>
      </c>
      <c r="AM54">
        <f t="shared" ca="1" si="13"/>
        <v>0.19620262422655529</v>
      </c>
      <c r="AN54">
        <f t="shared" ca="1" si="14"/>
        <v>0.19698699929725935</v>
      </c>
      <c r="AO54">
        <f t="shared" ca="1" si="15"/>
        <v>0.19666361243218872</v>
      </c>
      <c r="AP54">
        <f t="shared" ca="1" si="16"/>
        <v>0.1930002756939507</v>
      </c>
      <c r="AQ54">
        <f t="shared" ca="1" si="17"/>
        <v>0.19322048814832199</v>
      </c>
      <c r="AR54">
        <f t="shared" ca="1" si="18"/>
        <v>0.1907951757671911</v>
      </c>
      <c r="AS54">
        <f t="shared" ca="1" si="19"/>
        <v>0.18407058788869737</v>
      </c>
      <c r="AT54">
        <f t="shared" ca="1" si="20"/>
        <v>0.19049746797736075</v>
      </c>
      <c r="AU54">
        <f t="shared" ca="1" si="21"/>
        <v>0.18491581297027215</v>
      </c>
      <c r="AV54">
        <f t="shared" ca="1" si="22"/>
        <v>0.18448698922993284</v>
      </c>
    </row>
    <row r="55" spans="1:48" ht="16" x14ac:dyDescent="0.2">
      <c r="A55" s="14" t="e" vm="1313">
        <v>#VALUE!</v>
      </c>
      <c r="B55" s="23" t="str" cm="1">
        <f t="array" aca="1" ref="B55" ca="1">_FV(A55,"ticker symbol",TRUE)</f>
        <v>IEO</v>
      </c>
      <c r="C55" s="23" t="str" cm="1">
        <f t="array" aca="1" ref="C55" ca="1">_FV(A55,"Name")</f>
        <v>iShares:US O&amp;G E&amp;P ETF</v>
      </c>
      <c r="D55" cm="1" vm="1314">
        <f t="array" aca="1" ref="D55:Y55" ca="1">TRANSPOSE(_xlfn.STOCKHISTORY(B55, WORKDAY(TODAY(), -23), TODAY(), 0, 0, 1))</f>
        <v>92.57</v>
      </c>
      <c r="E55" vm="1315">
        <f ca="1"/>
        <v>90.57</v>
      </c>
      <c r="F55" vm="1316">
        <f ca="1"/>
        <v>91.31</v>
      </c>
      <c r="G55" vm="1317">
        <f ca="1"/>
        <v>91.74</v>
      </c>
      <c r="H55" vm="1318">
        <f ca="1"/>
        <v>91.08</v>
      </c>
      <c r="I55" vm="1319">
        <f ca="1"/>
        <v>92.26</v>
      </c>
      <c r="J55" vm="1320">
        <f ca="1"/>
        <v>93.87</v>
      </c>
      <c r="K55" vm="1321">
        <f ca="1"/>
        <v>94.864999999999995</v>
      </c>
      <c r="L55" vm="1322">
        <f ca="1"/>
        <v>93.52</v>
      </c>
      <c r="M55" vm="1323">
        <f ca="1"/>
        <v>95.69</v>
      </c>
      <c r="N55" vm="1324">
        <f ca="1"/>
        <v>95.92</v>
      </c>
      <c r="O55" vm="1325">
        <f ca="1"/>
        <v>96.08</v>
      </c>
      <c r="P55" vm="1326">
        <f ca="1"/>
        <v>94.78</v>
      </c>
      <c r="Q55" vm="1327">
        <f ca="1"/>
        <v>94.82</v>
      </c>
      <c r="R55" vm="1328">
        <f ca="1"/>
        <v>96.01</v>
      </c>
      <c r="S55" vm="1329">
        <f ca="1"/>
        <v>94.63</v>
      </c>
      <c r="T55" vm="1330">
        <f ca="1"/>
        <v>93.57</v>
      </c>
      <c r="U55" vm="1331">
        <f ca="1"/>
        <v>92.45</v>
      </c>
      <c r="V55" vm="1332">
        <f ca="1"/>
        <v>88.18</v>
      </c>
      <c r="W55" vm="1333">
        <f ca="1"/>
        <v>90.51</v>
      </c>
      <c r="X55" vm="1334">
        <f ca="1"/>
        <v>88.27</v>
      </c>
      <c r="Y55" vm="88">
        <f ca="1"/>
        <v>88.42</v>
      </c>
      <c r="AA55">
        <f t="shared" ca="1" si="1"/>
        <v>0.1397008888821816</v>
      </c>
      <c r="AB55">
        <f t="shared" ca="1" si="2"/>
        <v>0.13879821617396901</v>
      </c>
      <c r="AC55">
        <f t="shared" ca="1" si="3"/>
        <v>0.13855211447126839</v>
      </c>
      <c r="AD55">
        <f t="shared" ca="1" si="4"/>
        <v>0.13718541115248306</v>
      </c>
      <c r="AE55">
        <f t="shared" ca="1" si="5"/>
        <v>0.13492933542709845</v>
      </c>
      <c r="AF55">
        <f t="shared" ca="1" si="6"/>
        <v>0.13574034839924673</v>
      </c>
      <c r="AG55">
        <f t="shared" ca="1" si="7"/>
        <v>0.13735934093270316</v>
      </c>
      <c r="AH55">
        <f t="shared" ca="1" si="8"/>
        <v>0.13945198230114514</v>
      </c>
      <c r="AI55">
        <f t="shared" ca="1" si="9"/>
        <v>0.1372206652678532</v>
      </c>
      <c r="AJ55">
        <f t="shared" ca="1" si="10"/>
        <v>0.13992016259924842</v>
      </c>
      <c r="AK55">
        <f t="shared" ca="1" si="11"/>
        <v>0.14015400575695144</v>
      </c>
      <c r="AL55">
        <f t="shared" ca="1" si="12"/>
        <v>0.14012162930770464</v>
      </c>
      <c r="AM55">
        <f t="shared" ca="1" si="13"/>
        <v>0.13864224799964894</v>
      </c>
      <c r="AN55">
        <f t="shared" ca="1" si="14"/>
        <v>0.13882056687748887</v>
      </c>
      <c r="AO55">
        <f t="shared" ca="1" si="15"/>
        <v>0.1396366915368617</v>
      </c>
      <c r="AP55">
        <f t="shared" ca="1" si="16"/>
        <v>0.13731009765369939</v>
      </c>
      <c r="AQ55">
        <f t="shared" ca="1" si="17"/>
        <v>0.13724771180474066</v>
      </c>
      <c r="AR55">
        <f t="shared" ca="1" si="18"/>
        <v>0.13581008623095794</v>
      </c>
      <c r="AS55">
        <f t="shared" ca="1" si="19"/>
        <v>0.12989232106294285</v>
      </c>
      <c r="AT55">
        <f t="shared" ca="1" si="20"/>
        <v>0.13480786416443255</v>
      </c>
      <c r="AU55">
        <f t="shared" ca="1" si="21"/>
        <v>0.13048620042278297</v>
      </c>
      <c r="AV55">
        <f t="shared" ca="1" si="22"/>
        <v>0.12991668993079533</v>
      </c>
    </row>
    <row r="56" spans="1:48" ht="16" x14ac:dyDescent="0.2">
      <c r="A56" s="14" t="e" vm="1335">
        <v>#VALUE!</v>
      </c>
      <c r="B56" s="23" t="str" cm="1">
        <f t="array" aca="1" ref="B56" ca="1">_FV(A56,"ticker symbol",TRUE)</f>
        <v>OIH</v>
      </c>
      <c r="C56" s="23" t="str" cm="1">
        <f t="array" aca="1" ref="C56" ca="1">_FV(A56,"Name")</f>
        <v>VanEck:Oil Services</v>
      </c>
      <c r="D56" cm="1" vm="1336">
        <f t="array" aca="1" ref="D56:Y56" ca="1">TRANSPOSE(_xlfn.STOCKHISTORY(B56, WORKDAY(TODAY(), -23), TODAY(), 0, 0, 1))</f>
        <v>282.57</v>
      </c>
      <c r="E56" vm="1337">
        <f ca="1"/>
        <v>274.41000000000003</v>
      </c>
      <c r="F56" vm="1338">
        <f ca="1"/>
        <v>281.05</v>
      </c>
      <c r="G56" vm="1339">
        <f ca="1"/>
        <v>282.61</v>
      </c>
      <c r="H56" vm="1340">
        <f ca="1"/>
        <v>285.06</v>
      </c>
      <c r="I56" vm="1341">
        <f ca="1"/>
        <v>285.85000000000002</v>
      </c>
      <c r="J56" vm="1342">
        <f ca="1"/>
        <v>289.61</v>
      </c>
      <c r="K56" vm="1343">
        <f ca="1"/>
        <v>293.01</v>
      </c>
      <c r="L56" vm="1344">
        <f ca="1"/>
        <v>292.14</v>
      </c>
      <c r="M56" vm="1345">
        <f ca="1"/>
        <v>304.93</v>
      </c>
      <c r="N56" vm="1346">
        <f ca="1"/>
        <v>307.33999999999997</v>
      </c>
      <c r="O56" vm="1347">
        <f ca="1"/>
        <v>306.19</v>
      </c>
      <c r="P56" vm="1348">
        <f ca="1"/>
        <v>302.01</v>
      </c>
      <c r="Q56" vm="1349">
        <f ca="1"/>
        <v>304.70999999999998</v>
      </c>
      <c r="R56" vm="1350">
        <f ca="1"/>
        <v>308.13</v>
      </c>
      <c r="S56" vm="1351">
        <f ca="1"/>
        <v>308.66000000000003</v>
      </c>
      <c r="T56" vm="1352">
        <f ca="1"/>
        <v>299.61</v>
      </c>
      <c r="U56" vm="1353">
        <f ca="1"/>
        <v>296.70999999999998</v>
      </c>
      <c r="V56" vm="1354">
        <f ca="1"/>
        <v>283.76</v>
      </c>
      <c r="W56" vm="1355">
        <f ca="1"/>
        <v>286.82</v>
      </c>
      <c r="X56" vm="1336">
        <f ca="1"/>
        <v>282.57</v>
      </c>
      <c r="Y56" vm="90">
        <f ca="1"/>
        <v>285.39</v>
      </c>
      <c r="AA56">
        <f t="shared" ca="1" si="1"/>
        <v>0.42643707649819657</v>
      </c>
      <c r="AB56">
        <f t="shared" ca="1" si="2"/>
        <v>0.42053238931543385</v>
      </c>
      <c r="AC56">
        <f t="shared" ca="1" si="3"/>
        <v>0.42646010045066235</v>
      </c>
      <c r="AD56">
        <f t="shared" ca="1" si="4"/>
        <v>0.42260703123831744</v>
      </c>
      <c r="AE56">
        <f t="shared" ca="1" si="5"/>
        <v>0.4222985985600427</v>
      </c>
      <c r="AF56">
        <f t="shared" ca="1" si="6"/>
        <v>0.42056556026365355</v>
      </c>
      <c r="AG56">
        <f t="shared" ca="1" si="7"/>
        <v>0.42378436910109896</v>
      </c>
      <c r="AH56">
        <f t="shared" ca="1" si="8"/>
        <v>0.43072603525070929</v>
      </c>
      <c r="AI56">
        <f t="shared" ca="1" si="9"/>
        <v>0.42865317740965181</v>
      </c>
      <c r="AJ56">
        <f t="shared" ca="1" si="10"/>
        <v>0.4458757987395634</v>
      </c>
      <c r="AK56">
        <f t="shared" ca="1" si="11"/>
        <v>0.44907143587720449</v>
      </c>
      <c r="AL56">
        <f t="shared" ca="1" si="12"/>
        <v>0.4465428983943181</v>
      </c>
      <c r="AM56">
        <f t="shared" ca="1" si="13"/>
        <v>0.4417740590670392</v>
      </c>
      <c r="AN56">
        <f t="shared" ca="1" si="14"/>
        <v>0.44610857343640198</v>
      </c>
      <c r="AO56">
        <f t="shared" ca="1" si="15"/>
        <v>0.44814346175662112</v>
      </c>
      <c r="AP56">
        <f t="shared" ca="1" si="16"/>
        <v>0.44787207800687789</v>
      </c>
      <c r="AQ56">
        <f t="shared" ca="1" si="17"/>
        <v>0.43946550105609017</v>
      </c>
      <c r="AR56">
        <f t="shared" ca="1" si="18"/>
        <v>0.43587031569050866</v>
      </c>
      <c r="AS56">
        <f t="shared" ca="1" si="19"/>
        <v>0.41798871654366815</v>
      </c>
      <c r="AT56">
        <f t="shared" ca="1" si="20"/>
        <v>0.4271969019958296</v>
      </c>
      <c r="AU56">
        <f t="shared" ca="1" si="21"/>
        <v>0.4177125371413366</v>
      </c>
      <c r="AV56">
        <f t="shared" ca="1" si="22"/>
        <v>0.4193273483301253</v>
      </c>
    </row>
    <row r="57" spans="1:48" ht="16" x14ac:dyDescent="0.2">
      <c r="A57" s="14" t="e" vm="1356">
        <v>#VALUE!</v>
      </c>
      <c r="B57" s="23" t="str" cm="1">
        <f t="array" aca="1" ref="B57" ca="1">_FV(A57,"ticker symbol",TRUE)</f>
        <v>IXC</v>
      </c>
      <c r="C57" s="23" t="str" cm="1">
        <f t="array" aca="1" ref="C57" ca="1">_FV(A57,"Name")</f>
        <v>iShares:Glbl Energy</v>
      </c>
      <c r="D57" cm="1" vm="1357">
        <f t="array" aca="1" ref="D57:Y57" ca="1">TRANSPOSE(_xlfn.STOCKHISTORY(B57, WORKDAY(TODAY(), -23), TODAY(), 0, 0, 1))</f>
        <v>42.74</v>
      </c>
      <c r="E57" vm="1358">
        <f ca="1"/>
        <v>42.36</v>
      </c>
      <c r="F57" vm="1359">
        <f ca="1"/>
        <v>42.45</v>
      </c>
      <c r="G57" vm="1360">
        <f ca="1"/>
        <v>42.26</v>
      </c>
      <c r="H57" vm="1361">
        <f ca="1"/>
        <v>42.15</v>
      </c>
      <c r="I57" vm="1362">
        <f ca="1"/>
        <v>42.5</v>
      </c>
      <c r="J57" vm="1363">
        <f ca="1"/>
        <v>42.93</v>
      </c>
      <c r="K57" vm="1364">
        <f ca="1"/>
        <v>43.19</v>
      </c>
      <c r="L57" vm="1365">
        <f ca="1"/>
        <v>42.79</v>
      </c>
      <c r="M57" vm="1366">
        <f ca="1"/>
        <v>43.51</v>
      </c>
      <c r="N57" vm="1367">
        <f ca="1"/>
        <v>43.62</v>
      </c>
      <c r="O57" vm="1368">
        <f ca="1"/>
        <v>43.23</v>
      </c>
      <c r="P57" vm="1369">
        <f ca="1"/>
        <v>42.95</v>
      </c>
      <c r="Q57" vm="1370">
        <f ca="1"/>
        <v>43.02</v>
      </c>
      <c r="R57" vm="1371">
        <f ca="1"/>
        <v>43.37</v>
      </c>
      <c r="S57" vm="1372">
        <f ca="1"/>
        <v>43.25</v>
      </c>
      <c r="T57" vm="1373">
        <f ca="1"/>
        <v>42.89</v>
      </c>
      <c r="U57" vm="1374">
        <f ca="1"/>
        <v>42.69</v>
      </c>
      <c r="V57" vm="560">
        <f ca="1"/>
        <v>40.58</v>
      </c>
      <c r="W57" vm="1375">
        <f ca="1"/>
        <v>41.26</v>
      </c>
      <c r="X57" vm="1376">
        <f ca="1"/>
        <v>40.78</v>
      </c>
      <c r="Y57" vm="92">
        <f ca="1"/>
        <v>40.97</v>
      </c>
      <c r="AA57">
        <f t="shared" ca="1" si="1"/>
        <v>6.4500550835307799E-2</v>
      </c>
      <c r="AB57">
        <f t="shared" ca="1" si="2"/>
        <v>6.4916555560663877E-2</v>
      </c>
      <c r="AC57">
        <f t="shared" ca="1" si="3"/>
        <v>6.4412849187442153E-2</v>
      </c>
      <c r="AD57">
        <f t="shared" ca="1" si="4"/>
        <v>6.3194413290864768E-2</v>
      </c>
      <c r="AE57">
        <f t="shared" ca="1" si="5"/>
        <v>6.2442594293502414E-2</v>
      </c>
      <c r="AF57">
        <f t="shared" ca="1" si="6"/>
        <v>6.2529425612052741E-2</v>
      </c>
      <c r="AG57">
        <f t="shared" ca="1" si="7"/>
        <v>6.281918084841745E-2</v>
      </c>
      <c r="AH57">
        <f t="shared" ca="1" si="8"/>
        <v>6.3489496817440136E-2</v>
      </c>
      <c r="AI57">
        <f t="shared" ca="1" si="9"/>
        <v>6.278520387950641E-2</v>
      </c>
      <c r="AJ57">
        <f t="shared" ca="1" si="10"/>
        <v>6.36213426135782E-2</v>
      </c>
      <c r="AK57">
        <f t="shared" ca="1" si="11"/>
        <v>6.3735589356945593E-2</v>
      </c>
      <c r="AL57">
        <f t="shared" ca="1" si="12"/>
        <v>6.3045982878560267E-2</v>
      </c>
      <c r="AM57">
        <f t="shared" ca="1" si="13"/>
        <v>6.2826382692392088E-2</v>
      </c>
      <c r="AN57">
        <f t="shared" ca="1" si="14"/>
        <v>6.2983134223471543E-2</v>
      </c>
      <c r="AO57">
        <f t="shared" ca="1" si="15"/>
        <v>6.3077213956397163E-2</v>
      </c>
      <c r="AP57">
        <f t="shared" ca="1" si="16"/>
        <v>6.2756649302784517E-2</v>
      </c>
      <c r="AQ57">
        <f t="shared" ca="1" si="17"/>
        <v>6.2910701713212863E-2</v>
      </c>
      <c r="AR57">
        <f t="shared" ca="1" si="18"/>
        <v>6.2712088493235202E-2</v>
      </c>
      <c r="AS57">
        <f t="shared" ca="1" si="19"/>
        <v>5.9775803909437736E-2</v>
      </c>
      <c r="AT57">
        <f t="shared" ca="1" si="20"/>
        <v>6.1453678879952338E-2</v>
      </c>
      <c r="AU57">
        <f t="shared" ca="1" si="21"/>
        <v>6.0283530681331028E-2</v>
      </c>
      <c r="AV57">
        <f t="shared" ca="1" si="22"/>
        <v>6.0197769582274199E-2</v>
      </c>
    </row>
    <row r="58" spans="1:48" ht="16" x14ac:dyDescent="0.2">
      <c r="A58" s="1" t="e" vm="1377">
        <v>#VALUE!</v>
      </c>
      <c r="B58" s="23" t="str" cm="1">
        <f t="array" aca="1" ref="B58" ca="1">_FV(A58,"ticker symbol",TRUE)</f>
        <v>IBB</v>
      </c>
      <c r="C58" s="23" t="str" cm="1">
        <f t="array" aca="1" ref="C58" ca="1">_FV(A58,"Name")</f>
        <v>iShares:Biotechnology</v>
      </c>
      <c r="D58" cm="1" vm="1378">
        <f t="array" aca="1" ref="D58:Y58" ca="1">TRANSPOSE(_xlfn.STOCKHISTORY(B58, WORKDAY(TODAY(), -23), TODAY(), 0, 0, 1))</f>
        <v>165.22</v>
      </c>
      <c r="E58" vm="1379">
        <f ca="1"/>
        <v>164.24</v>
      </c>
      <c r="F58" vm="1380">
        <f ca="1"/>
        <v>167.52</v>
      </c>
      <c r="G58" vm="1381">
        <f ca="1"/>
        <v>169.71</v>
      </c>
      <c r="H58" vm="1382">
        <f ca="1"/>
        <v>172.33</v>
      </c>
      <c r="I58" vm="1383">
        <f ca="1"/>
        <v>173.66</v>
      </c>
      <c r="J58" vm="1384">
        <f ca="1"/>
        <v>173.83</v>
      </c>
      <c r="K58" vm="1385">
        <f ca="1"/>
        <v>170.11</v>
      </c>
      <c r="L58" vm="1386">
        <f ca="1"/>
        <v>169.22</v>
      </c>
      <c r="M58" vm="1387">
        <f ca="1"/>
        <v>172.23</v>
      </c>
      <c r="N58" vm="1388">
        <f ca="1"/>
        <v>172.11</v>
      </c>
      <c r="O58" vm="1389">
        <f ca="1"/>
        <v>171.16</v>
      </c>
      <c r="P58" vm="1390">
        <f ca="1"/>
        <v>169.95</v>
      </c>
      <c r="Q58" vm="1391">
        <f ca="1"/>
        <v>167.09</v>
      </c>
      <c r="R58" vm="1392">
        <f ca="1"/>
        <v>168.93</v>
      </c>
      <c r="S58" vm="1393">
        <f ca="1"/>
        <v>170.28</v>
      </c>
      <c r="T58" vm="1394">
        <f ca="1"/>
        <v>169.42</v>
      </c>
      <c r="U58" vm="1395">
        <f ca="1"/>
        <v>169.38</v>
      </c>
      <c r="V58" vm="1396">
        <f ca="1"/>
        <v>168.11</v>
      </c>
      <c r="W58" vm="1397">
        <f ca="1"/>
        <v>167.53</v>
      </c>
      <c r="X58" vm="1398">
        <f ca="1"/>
        <v>166.19</v>
      </c>
      <c r="Y58" vm="94">
        <f ca="1"/>
        <v>170.2</v>
      </c>
      <c r="AA58">
        <f t="shared" ca="1" si="1"/>
        <v>0.24933975219956839</v>
      </c>
      <c r="AB58">
        <f t="shared" ca="1" si="2"/>
        <v>0.25169723997364107</v>
      </c>
      <c r="AC58">
        <f t="shared" ca="1" si="3"/>
        <v>0.25419176668740423</v>
      </c>
      <c r="AD58">
        <f t="shared" ca="1" si="4"/>
        <v>0.25377955228567584</v>
      </c>
      <c r="AE58">
        <f t="shared" ca="1" si="5"/>
        <v>0.2552961393736482</v>
      </c>
      <c r="AF58">
        <f t="shared" ca="1" si="6"/>
        <v>0.25550258945386067</v>
      </c>
      <c r="AG58">
        <f t="shared" ca="1" si="7"/>
        <v>0.25436427223108332</v>
      </c>
      <c r="AH58">
        <f t="shared" ca="1" si="8"/>
        <v>0.25006247519367314</v>
      </c>
      <c r="AI58">
        <f t="shared" ca="1" si="9"/>
        <v>0.24829427904861123</v>
      </c>
      <c r="AJ58">
        <f t="shared" ca="1" si="10"/>
        <v>0.25183874599716327</v>
      </c>
      <c r="AK58">
        <f t="shared" ca="1" si="11"/>
        <v>0.25147941962915882</v>
      </c>
      <c r="AL58">
        <f t="shared" ca="1" si="12"/>
        <v>0.24961717394157706</v>
      </c>
      <c r="AM58">
        <f t="shared" ca="1" si="13"/>
        <v>0.24859938855813815</v>
      </c>
      <c r="AN58">
        <f t="shared" ca="1" si="14"/>
        <v>0.24462696181775592</v>
      </c>
      <c r="AO58">
        <f t="shared" ca="1" si="15"/>
        <v>0.24569134779004317</v>
      </c>
      <c r="AP58">
        <f t="shared" ca="1" si="16"/>
        <v>0.24707982065383</v>
      </c>
      <c r="AQ58">
        <f t="shared" ca="1" si="17"/>
        <v>0.24850387233043886</v>
      </c>
      <c r="AR58">
        <f t="shared" ca="1" si="18"/>
        <v>0.24882111850513419</v>
      </c>
      <c r="AS58">
        <f t="shared" ca="1" si="19"/>
        <v>0.24763209450999457</v>
      </c>
      <c r="AT58">
        <f t="shared" ca="1" si="20"/>
        <v>0.24952338397378612</v>
      </c>
      <c r="AU58">
        <f t="shared" ca="1" si="21"/>
        <v>0.24567238754120654</v>
      </c>
      <c r="AV58">
        <f t="shared" ca="1" si="22"/>
        <v>0.25007713895296724</v>
      </c>
    </row>
    <row r="59" spans="1:48" ht="16" x14ac:dyDescent="0.2">
      <c r="A59" s="1" t="e" vm="1399">
        <v>#VALUE!</v>
      </c>
      <c r="B59" s="23" t="str" cm="1">
        <f t="array" aca="1" ref="B59" ca="1">_FV(A59,"ticker symbol",TRUE)</f>
        <v>XBI</v>
      </c>
      <c r="C59" s="23" t="str" cm="1">
        <f t="array" aca="1" ref="C59" ca="1">_FV(A59,"Name")</f>
        <v>SS SPDR S&amp;P Biotech</v>
      </c>
      <c r="D59" cm="1" vm="1400">
        <f t="array" aca="1" ref="D59:Y59" ca="1">TRANSPOSE(_xlfn.STOCKHISTORY(B59, WORKDAY(TODAY(), -23), TODAY(), 0, 0, 1))</f>
        <v>114.5</v>
      </c>
      <c r="E59" vm="1401">
        <f ca="1"/>
        <v>113.83</v>
      </c>
      <c r="F59" vm="398">
        <f ca="1"/>
        <v>116.65</v>
      </c>
      <c r="G59" vm="1402">
        <f ca="1"/>
        <v>119.58</v>
      </c>
      <c r="H59" vm="1403">
        <f ca="1"/>
        <v>121.37</v>
      </c>
      <c r="I59" vm="1404">
        <f ca="1"/>
        <v>122.85</v>
      </c>
      <c r="J59" vm="1405">
        <f ca="1"/>
        <v>123.16</v>
      </c>
      <c r="K59" vm="1406">
        <f ca="1"/>
        <v>119.85</v>
      </c>
      <c r="L59" vm="1407">
        <f ca="1"/>
        <v>118.46</v>
      </c>
      <c r="M59" vm="1408">
        <f ca="1"/>
        <v>121.83</v>
      </c>
      <c r="N59" vm="1409">
        <f ca="1"/>
        <v>123.25</v>
      </c>
      <c r="O59" vm="1410">
        <f ca="1"/>
        <v>123.41</v>
      </c>
      <c r="P59" vm="1411">
        <f ca="1"/>
        <v>123.66</v>
      </c>
      <c r="Q59" vm="1412">
        <f ca="1"/>
        <v>121.19</v>
      </c>
      <c r="R59" vm="1413">
        <f ca="1"/>
        <v>122.05</v>
      </c>
      <c r="S59" vm="1414">
        <f ca="1"/>
        <v>123.02</v>
      </c>
      <c r="T59" vm="1415">
        <f ca="1"/>
        <v>123.13</v>
      </c>
      <c r="U59" vm="1416">
        <f ca="1"/>
        <v>122.84</v>
      </c>
      <c r="V59" vm="1417">
        <f ca="1"/>
        <v>122.01</v>
      </c>
      <c r="W59" vm="1418">
        <f ca="1"/>
        <v>120.94</v>
      </c>
      <c r="X59" vm="1419">
        <f ca="1"/>
        <v>120.01</v>
      </c>
      <c r="Y59" vm="96">
        <f ca="1"/>
        <v>123.43</v>
      </c>
      <c r="AA59">
        <f t="shared" ca="1" si="1"/>
        <v>0.17279628148438797</v>
      </c>
      <c r="AB59">
        <f t="shared" ca="1" si="2"/>
        <v>0.17444408686190674</v>
      </c>
      <c r="AC59">
        <f t="shared" ca="1" si="3"/>
        <v>0.17700256437491466</v>
      </c>
      <c r="AD59">
        <f t="shared" ca="1" si="4"/>
        <v>0.17881656273832489</v>
      </c>
      <c r="AE59">
        <f t="shared" ca="1" si="5"/>
        <v>0.17980207993837222</v>
      </c>
      <c r="AF59">
        <f t="shared" ca="1" si="6"/>
        <v>0.1807468220338983</v>
      </c>
      <c r="AG59">
        <f t="shared" ca="1" si="7"/>
        <v>0.18021920133452349</v>
      </c>
      <c r="AH59">
        <f t="shared" ca="1" si="8"/>
        <v>0.17618004615814309</v>
      </c>
      <c r="AI59">
        <f t="shared" ca="1" si="9"/>
        <v>0.17381479905506728</v>
      </c>
      <c r="AJ59">
        <f t="shared" ca="1" si="10"/>
        <v>0.17814268376493295</v>
      </c>
      <c r="AK59">
        <f t="shared" ca="1" si="11"/>
        <v>0.18008737708031972</v>
      </c>
      <c r="AL59">
        <f t="shared" ca="1" si="12"/>
        <v>0.17997929093322054</v>
      </c>
      <c r="AM59">
        <f t="shared" ca="1" si="13"/>
        <v>0.18088732208943434</v>
      </c>
      <c r="AN59">
        <f t="shared" ca="1" si="14"/>
        <v>0.17742738346216913</v>
      </c>
      <c r="AO59">
        <f t="shared" ca="1" si="15"/>
        <v>0.17750919906336807</v>
      </c>
      <c r="AP59">
        <f t="shared" ca="1" si="16"/>
        <v>0.17850457797060232</v>
      </c>
      <c r="AQ59">
        <f t="shared" ca="1" si="17"/>
        <v>0.18060607838535556</v>
      </c>
      <c r="AR59">
        <f t="shared" ca="1" si="18"/>
        <v>0.18045333685896023</v>
      </c>
      <c r="AS59">
        <f t="shared" ca="1" si="19"/>
        <v>0.17972513146846966</v>
      </c>
      <c r="AT59">
        <f t="shared" ca="1" si="20"/>
        <v>0.18013106940720883</v>
      </c>
      <c r="AU59">
        <f t="shared" ca="1" si="21"/>
        <v>0.17740624122281845</v>
      </c>
      <c r="AV59">
        <f t="shared" ca="1" si="22"/>
        <v>0.18135735170954614</v>
      </c>
    </row>
    <row r="60" spans="1:48" ht="16" x14ac:dyDescent="0.2">
      <c r="A60" s="1" t="e" vm="1420">
        <v>#VALUE!</v>
      </c>
      <c r="B60" s="23" t="str" cm="1">
        <f t="array" aca="1" ref="B60" ca="1">_FV(A60,"ticker symbol",TRUE)</f>
        <v>PBE</v>
      </c>
      <c r="C60" s="23" t="str" cm="1">
        <f t="array" aca="1" ref="C60" ca="1">_FV(A60,"Name")</f>
        <v>Invesco Biotech &amp; Genome</v>
      </c>
      <c r="D60" cm="1" vm="426">
        <f t="array" aca="1" ref="D60:Y60" ca="1">TRANSPOSE(_xlfn.STOCKHISTORY(B60, WORKDAY(TODAY(), -23), TODAY(), 0, 0, 1))</f>
        <v>77.900000000000006</v>
      </c>
      <c r="E60" vm="1421">
        <f ca="1"/>
        <v>78.318700000000007</v>
      </c>
      <c r="F60" vm="1422">
        <f ca="1"/>
        <v>80.131799999999998</v>
      </c>
      <c r="G60" vm="1423">
        <f ca="1"/>
        <v>81.393900000000002</v>
      </c>
      <c r="H60" vm="1424">
        <f ca="1"/>
        <v>82.83</v>
      </c>
      <c r="I60" vm="1425">
        <f ca="1"/>
        <v>83.49</v>
      </c>
      <c r="J60" vm="1426">
        <f ca="1"/>
        <v>83.325100000000006</v>
      </c>
      <c r="K60" vm="1427">
        <f ca="1"/>
        <v>81.510000000000005</v>
      </c>
      <c r="L60" vm="1428">
        <f ca="1"/>
        <v>81.520399999999995</v>
      </c>
      <c r="M60" vm="1429">
        <f ca="1"/>
        <v>82.11</v>
      </c>
      <c r="N60" vm="1430">
        <f ca="1"/>
        <v>82.063999999999993</v>
      </c>
      <c r="O60" vm="1431">
        <f ca="1"/>
        <v>81.729200000000006</v>
      </c>
      <c r="P60" vm="1432">
        <f ca="1"/>
        <v>80.421199999999999</v>
      </c>
      <c r="Q60" vm="1433">
        <f ca="1"/>
        <v>79.655699999999996</v>
      </c>
      <c r="R60" vm="1434">
        <f ca="1"/>
        <v>80.338800000000006</v>
      </c>
      <c r="S60" vm="1435">
        <f ca="1"/>
        <v>80.515199999999993</v>
      </c>
      <c r="T60" vm="1436">
        <f ca="1"/>
        <v>80.565899999999999</v>
      </c>
      <c r="U60" vm="1437">
        <f ca="1"/>
        <v>81.11</v>
      </c>
      <c r="V60" vm="1438">
        <f ca="1"/>
        <v>80.2971</v>
      </c>
      <c r="W60" vm="1439">
        <f ca="1"/>
        <v>80.148700000000005</v>
      </c>
      <c r="X60" vm="1440">
        <f ca="1"/>
        <v>79.936400000000006</v>
      </c>
      <c r="Y60" vm="98">
        <f ca="1"/>
        <v>82.705200000000005</v>
      </c>
      <c r="AA60">
        <f t="shared" ca="1" si="1"/>
        <v>0.11756183692256615</v>
      </c>
      <c r="AB60">
        <f t="shared" ca="1" si="2"/>
        <v>0.12002314069851196</v>
      </c>
      <c r="AC60">
        <f t="shared" ca="1" si="3"/>
        <v>0.12159051939972385</v>
      </c>
      <c r="AD60">
        <f t="shared" ca="1" si="4"/>
        <v>0.12171414472208515</v>
      </c>
      <c r="AE60">
        <f t="shared" ca="1" si="5"/>
        <v>0.12270747533406418</v>
      </c>
      <c r="AF60">
        <f t="shared" ca="1" si="6"/>
        <v>0.1228372175141243</v>
      </c>
      <c r="AG60">
        <f t="shared" ca="1" si="7"/>
        <v>0.1219290595414039</v>
      </c>
      <c r="AH60">
        <f t="shared" ca="1" si="8"/>
        <v>0.11982007144222148</v>
      </c>
      <c r="AI60">
        <f t="shared" ca="1" si="9"/>
        <v>0.11961381010373717</v>
      </c>
      <c r="AJ60">
        <f t="shared" ca="1" si="10"/>
        <v>0.12006316805334191</v>
      </c>
      <c r="AK60">
        <f t="shared" ca="1" si="11"/>
        <v>0.11990823945411241</v>
      </c>
      <c r="AL60">
        <f t="shared" ca="1" si="12"/>
        <v>0.1191926380725984</v>
      </c>
      <c r="AM60">
        <f t="shared" ca="1" si="13"/>
        <v>0.1176384886561444</v>
      </c>
      <c r="AN60">
        <f t="shared" ca="1" si="14"/>
        <v>0.11661937807449051</v>
      </c>
      <c r="AO60">
        <f t="shared" ca="1" si="15"/>
        <v>0.11684453946507264</v>
      </c>
      <c r="AP60">
        <f t="shared" ca="1" si="16"/>
        <v>0.11682922936285677</v>
      </c>
      <c r="AQ60">
        <f t="shared" ca="1" si="17"/>
        <v>0.1181734041304858</v>
      </c>
      <c r="AR60">
        <f t="shared" ca="1" si="18"/>
        <v>0.11915149912593832</v>
      </c>
      <c r="AS60">
        <f t="shared" ca="1" si="19"/>
        <v>0.11828052499005701</v>
      </c>
      <c r="AT60">
        <f t="shared" ca="1" si="20"/>
        <v>0.11937548406315164</v>
      </c>
      <c r="AU60">
        <f t="shared" ca="1" si="21"/>
        <v>0.11816695492778689</v>
      </c>
      <c r="AV60">
        <f t="shared" ca="1" si="22"/>
        <v>0.12151985777046387</v>
      </c>
    </row>
    <row r="61" spans="1:48" ht="16" x14ac:dyDescent="0.2">
      <c r="A61" s="1" t="e" vm="1441">
        <v>#VALUE!</v>
      </c>
      <c r="B61" s="23" t="str" cm="1">
        <f t="array" aca="1" ref="B61" ca="1">_FV(A61,"ticker symbol",TRUE)</f>
        <v>IDNA</v>
      </c>
      <c r="C61" s="23" t="str" cm="1">
        <f t="array" aca="1" ref="C61" ca="1">_FV(A61,"Name")</f>
        <v>iShares:Gen Immu &amp; HC</v>
      </c>
      <c r="D61" cm="1" vm="1442">
        <f t="array" aca="1" ref="D61:Y61" ca="1">TRANSPOSE(_xlfn.STOCKHISTORY(B61, WORKDAY(TODAY(), -23), TODAY(), 0, 0, 1))</f>
        <v>25.94</v>
      </c>
      <c r="E61" vm="1443">
        <f ca="1"/>
        <v>25.831099999999999</v>
      </c>
      <c r="F61" vm="1444">
        <f ca="1"/>
        <v>26.425000000000001</v>
      </c>
      <c r="G61" vm="1445">
        <f ca="1"/>
        <v>26.77</v>
      </c>
      <c r="H61" vm="1446">
        <f ca="1"/>
        <v>27.25</v>
      </c>
      <c r="I61" vm="1447">
        <f ca="1"/>
        <v>27.5</v>
      </c>
      <c r="J61" vm="1448">
        <f ca="1"/>
        <v>27.55</v>
      </c>
      <c r="K61" vm="1449">
        <f ca="1"/>
        <v>26.76</v>
      </c>
      <c r="L61" vm="1450">
        <f ca="1"/>
        <v>26.1</v>
      </c>
      <c r="M61" vm="1451">
        <f ca="1"/>
        <v>26.78</v>
      </c>
      <c r="N61" vm="1452">
        <f ca="1"/>
        <v>27.01</v>
      </c>
      <c r="O61" vm="1453">
        <f ca="1"/>
        <v>26.95</v>
      </c>
      <c r="P61" vm="1449">
        <f ca="1"/>
        <v>26.76</v>
      </c>
      <c r="Q61" vm="1454">
        <f ca="1"/>
        <v>26.31</v>
      </c>
      <c r="R61" vm="1455">
        <f ca="1"/>
        <v>26.68</v>
      </c>
      <c r="S61" vm="1456">
        <f ca="1"/>
        <v>26.69</v>
      </c>
      <c r="T61" vm="1457">
        <f ca="1"/>
        <v>26.41</v>
      </c>
      <c r="U61" vm="1458">
        <f ca="1"/>
        <v>26.5</v>
      </c>
      <c r="V61" vm="1459">
        <f ca="1"/>
        <v>26.11</v>
      </c>
      <c r="W61" vm="1460">
        <f ca="1"/>
        <v>25.84</v>
      </c>
      <c r="X61" vm="1461">
        <f ca="1"/>
        <v>25.82</v>
      </c>
      <c r="Y61" vm="100">
        <f ca="1"/>
        <v>26.46</v>
      </c>
      <c r="AA61">
        <f t="shared" ca="1" si="1"/>
        <v>3.9147035298733833E-2</v>
      </c>
      <c r="AB61">
        <f t="shared" ca="1" si="2"/>
        <v>3.9586072670988307E-2</v>
      </c>
      <c r="AC61">
        <f t="shared" ca="1" si="3"/>
        <v>4.0096808946481953E-2</v>
      </c>
      <c r="AD61">
        <f t="shared" ca="1" si="4"/>
        <v>4.0031103733943446E-2</v>
      </c>
      <c r="AE61">
        <f t="shared" ca="1" si="5"/>
        <v>4.0369174246688989E-2</v>
      </c>
      <c r="AF61">
        <f t="shared" ca="1" si="6"/>
        <v>4.0460216572504711E-2</v>
      </c>
      <c r="AG61">
        <f t="shared" ca="1" si="7"/>
        <v>4.0313730080920124E-2</v>
      </c>
      <c r="AH61">
        <f t="shared" ca="1" si="8"/>
        <v>3.9337321945698035E-2</v>
      </c>
      <c r="AI61">
        <f t="shared" ca="1" si="9"/>
        <v>3.8296186521503094E-2</v>
      </c>
      <c r="AJ61">
        <f t="shared" ca="1" si="10"/>
        <v>3.9158344178157306E-2</v>
      </c>
      <c r="AK61">
        <f t="shared" ca="1" si="11"/>
        <v>3.9465801662794606E-2</v>
      </c>
      <c r="AL61">
        <f t="shared" ca="1" si="12"/>
        <v>3.9303475331417981E-2</v>
      </c>
      <c r="AM61">
        <f t="shared" ca="1" si="13"/>
        <v>3.9143981393443827E-2</v>
      </c>
      <c r="AN61">
        <f t="shared" ca="1" si="14"/>
        <v>3.8518973998594518E-2</v>
      </c>
      <c r="AO61">
        <f t="shared" ca="1" si="15"/>
        <v>3.8803321843594106E-2</v>
      </c>
      <c r="AP61">
        <f t="shared" ca="1" si="16"/>
        <v>3.8727744968585401E-2</v>
      </c>
      <c r="AQ61">
        <f t="shared" ca="1" si="17"/>
        <v>3.8737972306970195E-2</v>
      </c>
      <c r="AR61">
        <f t="shared" ca="1" si="18"/>
        <v>3.8928797026721314E-2</v>
      </c>
      <c r="AS61">
        <f t="shared" ca="1" si="19"/>
        <v>3.8460971909202057E-2</v>
      </c>
      <c r="AT61">
        <f t="shared" ca="1" si="20"/>
        <v>3.848674411677093E-2</v>
      </c>
      <c r="AU61">
        <f t="shared" ca="1" si="21"/>
        <v>3.8168728842372907E-2</v>
      </c>
      <c r="AV61">
        <f t="shared" ca="1" si="22"/>
        <v>3.8878032295508305E-2</v>
      </c>
    </row>
    <row r="62" spans="1:48" ht="16" x14ac:dyDescent="0.2">
      <c r="A62" s="1" t="e" vm="1462">
        <v>#VALUE!</v>
      </c>
      <c r="B62" s="23" t="str" cm="1">
        <f t="array" aca="1" ref="B62" ca="1">_FV(A62,"ticker symbol",TRUE)</f>
        <v>IHI</v>
      </c>
      <c r="C62" s="23" t="str" cm="1">
        <f t="array" aca="1" ref="C62" ca="1">_FV(A62,"Name")</f>
        <v>iShares:US Med Dev ETF</v>
      </c>
      <c r="D62" cm="1" vm="1463">
        <f t="array" aca="1" ref="D62:Y62" ca="1">TRANSPOSE(_xlfn.STOCKHISTORY(B62, WORKDAY(TODAY(), -23), TODAY(), 0, 0, 1))</f>
        <v>61.92</v>
      </c>
      <c r="E62" vm="1464">
        <f ca="1"/>
        <v>61.14</v>
      </c>
      <c r="F62" vm="1465">
        <f ca="1"/>
        <v>62.7</v>
      </c>
      <c r="G62" vm="1466">
        <f ca="1"/>
        <v>63.35</v>
      </c>
      <c r="H62" vm="1467">
        <f ca="1"/>
        <v>64.47</v>
      </c>
      <c r="I62" vm="1468">
        <f ca="1"/>
        <v>64.33</v>
      </c>
      <c r="J62" vm="1469">
        <f ca="1"/>
        <v>64.36</v>
      </c>
      <c r="K62" vm="1470">
        <f ca="1"/>
        <v>63.62</v>
      </c>
      <c r="L62" vm="1471">
        <f ca="1"/>
        <v>63.17</v>
      </c>
      <c r="M62" vm="1472">
        <f ca="1"/>
        <v>63.22</v>
      </c>
      <c r="N62" vm="1473">
        <f ca="1"/>
        <v>63.31</v>
      </c>
      <c r="O62" vm="1474">
        <f ca="1"/>
        <v>63.48</v>
      </c>
      <c r="P62" vm="1475">
        <f ca="1"/>
        <v>62.28</v>
      </c>
      <c r="Q62" vm="1476">
        <f ca="1"/>
        <v>61.74</v>
      </c>
      <c r="R62" vm="1477">
        <f ca="1"/>
        <v>62.31</v>
      </c>
      <c r="S62" vm="1478">
        <f ca="1"/>
        <v>62.25</v>
      </c>
      <c r="T62" vm="1479">
        <f ca="1"/>
        <v>62.19</v>
      </c>
      <c r="U62" vm="1480">
        <f ca="1"/>
        <v>62.68</v>
      </c>
      <c r="V62" vm="1481">
        <f ca="1"/>
        <v>62.16</v>
      </c>
      <c r="W62" vm="1482">
        <f ca="1"/>
        <v>62.29</v>
      </c>
      <c r="X62" vm="1483">
        <f ca="1"/>
        <v>62.34</v>
      </c>
      <c r="Y62" vm="102">
        <f ca="1"/>
        <v>62.63</v>
      </c>
      <c r="AA62">
        <f t="shared" ca="1" si="1"/>
        <v>9.3445814406229719E-2</v>
      </c>
      <c r="AB62">
        <f t="shared" ca="1" si="2"/>
        <v>9.3696841524527619E-2</v>
      </c>
      <c r="AC62">
        <f t="shared" ca="1" si="3"/>
        <v>9.5139826715020567E-2</v>
      </c>
      <c r="AD62">
        <f t="shared" ca="1" si="4"/>
        <v>9.4731805063328997E-2</v>
      </c>
      <c r="AE62">
        <f t="shared" ca="1" si="5"/>
        <v>9.550828123611152E-2</v>
      </c>
      <c r="AF62">
        <f t="shared" ca="1" si="6"/>
        <v>9.4647481167608294E-2</v>
      </c>
      <c r="AG62">
        <f t="shared" ca="1" si="7"/>
        <v>9.4177556007550595E-2</v>
      </c>
      <c r="AH62">
        <f t="shared" ca="1" si="8"/>
        <v>9.3521689917238748E-2</v>
      </c>
      <c r="AI62">
        <f t="shared" ca="1" si="9"/>
        <v>9.2688509676756708E-2</v>
      </c>
      <c r="AJ62">
        <f t="shared" ca="1" si="10"/>
        <v>9.2441766950825427E-2</v>
      </c>
      <c r="AK62">
        <f t="shared" ca="1" si="11"/>
        <v>9.2505735034117978E-2</v>
      </c>
      <c r="AL62">
        <f t="shared" ca="1" si="12"/>
        <v>9.257827881404132E-2</v>
      </c>
      <c r="AM62">
        <f t="shared" ca="1" si="13"/>
        <v>9.1101911852902895E-2</v>
      </c>
      <c r="AN62">
        <f t="shared" ca="1" si="14"/>
        <v>9.0390021082220662E-2</v>
      </c>
      <c r="AO62">
        <f t="shared" ca="1" si="15"/>
        <v>9.0623500152711714E-2</v>
      </c>
      <c r="AP62">
        <f t="shared" ca="1" si="16"/>
        <v>9.0326044372215863E-2</v>
      </c>
      <c r="AQ62">
        <f t="shared" ca="1" si="17"/>
        <v>9.121978408824219E-2</v>
      </c>
      <c r="AR62">
        <f t="shared" ca="1" si="18"/>
        <v>9.2077622552260069E-2</v>
      </c>
      <c r="AS62">
        <f t="shared" ca="1" si="19"/>
        <v>9.1563922400459588E-2</v>
      </c>
      <c r="AT62">
        <f t="shared" ca="1" si="20"/>
        <v>9.2776288352695857E-2</v>
      </c>
      <c r="AU62">
        <f t="shared" ca="1" si="21"/>
        <v>9.2154862743358906E-2</v>
      </c>
      <c r="AV62">
        <f t="shared" ca="1" si="22"/>
        <v>9.2023097606488483E-2</v>
      </c>
    </row>
    <row r="63" spans="1:48" ht="16" x14ac:dyDescent="0.2">
      <c r="A63" s="1" t="e" vm="1484">
        <v>#VALUE!</v>
      </c>
      <c r="B63" s="23" t="str" cm="1">
        <f t="array" aca="1" ref="B63" ca="1">_FV(A63,"ticker symbol",TRUE)</f>
        <v>XHE</v>
      </c>
      <c r="C63" s="23" t="str" cm="1">
        <f t="array" aca="1" ref="C63" ca="1">_FV(A63,"Name")</f>
        <v>SS SPDR S&amp;P Hlth Care Eq</v>
      </c>
      <c r="D63" cm="1" vm="1485">
        <f t="array" aca="1" ref="D63:Y63" ca="1">TRANSPOSE(_xlfn.STOCKHISTORY(B63, WORKDAY(TODAY(), -23), TODAY(), 0, 0, 1))</f>
        <v>81.84</v>
      </c>
      <c r="E63" vm="1486">
        <f ca="1"/>
        <v>81.33</v>
      </c>
      <c r="F63" vm="968">
        <f ca="1"/>
        <v>85.17</v>
      </c>
      <c r="G63" vm="1487">
        <f ca="1"/>
        <v>87.48</v>
      </c>
      <c r="H63" vm="1488">
        <f ca="1"/>
        <v>89.59</v>
      </c>
      <c r="I63" vm="1489">
        <f ca="1"/>
        <v>89.05</v>
      </c>
      <c r="J63" vm="104">
        <f ca="1"/>
        <v>88.92</v>
      </c>
      <c r="K63" vm="1490">
        <f ca="1"/>
        <v>87.86</v>
      </c>
      <c r="L63" vm="1491">
        <f ca="1"/>
        <v>87.19</v>
      </c>
      <c r="M63" vm="1492">
        <f ca="1"/>
        <v>88.16</v>
      </c>
      <c r="N63" vm="1493">
        <f ca="1"/>
        <v>89.39</v>
      </c>
      <c r="O63" vm="1494">
        <f ca="1"/>
        <v>89.34</v>
      </c>
      <c r="P63" vm="1332">
        <f ca="1"/>
        <v>88.18</v>
      </c>
      <c r="Q63" vm="1492">
        <f ca="1"/>
        <v>88.16</v>
      </c>
      <c r="R63" vm="1495">
        <f ca="1"/>
        <v>89.63</v>
      </c>
      <c r="S63" vm="1496">
        <f ca="1"/>
        <v>89.8</v>
      </c>
      <c r="T63" vm="1497">
        <f ca="1"/>
        <v>89.36</v>
      </c>
      <c r="U63" vm="1498">
        <f ca="1"/>
        <v>89.01</v>
      </c>
      <c r="V63" vm="534">
        <f ca="1"/>
        <v>88.89</v>
      </c>
      <c r="W63" vm="1499">
        <f ca="1"/>
        <v>88.77</v>
      </c>
      <c r="X63" vm="1500">
        <f ca="1"/>
        <v>88.754999999999995</v>
      </c>
      <c r="Y63" vm="104">
        <f ca="1"/>
        <v>88.92</v>
      </c>
      <c r="AA63">
        <f t="shared" ca="1" si="1"/>
        <v>0.12350783997102456</v>
      </c>
      <c r="AB63">
        <f t="shared" ca="1" si="2"/>
        <v>0.12463794768056641</v>
      </c>
      <c r="AC63">
        <f t="shared" ca="1" si="3"/>
        <v>0.12923539140858537</v>
      </c>
      <c r="AD63">
        <f t="shared" ca="1" si="4"/>
        <v>0.13081512718137364</v>
      </c>
      <c r="AE63">
        <f t="shared" ca="1" si="5"/>
        <v>0.13272199342241711</v>
      </c>
      <c r="AF63">
        <f t="shared" ca="1" si="6"/>
        <v>0.13101753766478344</v>
      </c>
      <c r="AG63">
        <f t="shared" ca="1" si="7"/>
        <v>0.13011603915772837</v>
      </c>
      <c r="AH63">
        <f t="shared" ca="1" si="8"/>
        <v>0.12915460037926119</v>
      </c>
      <c r="AI63">
        <f t="shared" ca="1" si="9"/>
        <v>0.12793273957125878</v>
      </c>
      <c r="AJ63">
        <f t="shared" ca="1" si="10"/>
        <v>0.12890961996812353</v>
      </c>
      <c r="AK63">
        <f t="shared" ca="1" si="11"/>
        <v>0.13061266237087041</v>
      </c>
      <c r="AL63">
        <f t="shared" ca="1" si="12"/>
        <v>0.13029211451238898</v>
      </c>
      <c r="AM63">
        <f t="shared" ca="1" si="13"/>
        <v>0.12898790281292513</v>
      </c>
      <c r="AN63">
        <f t="shared" ca="1" si="14"/>
        <v>0.12907003982197235</v>
      </c>
      <c r="AO63">
        <f t="shared" ca="1" si="15"/>
        <v>0.13035763631339353</v>
      </c>
      <c r="AP63">
        <f t="shared" ca="1" si="16"/>
        <v>0.1303016672228913</v>
      </c>
      <c r="AQ63">
        <f t="shared" ca="1" si="17"/>
        <v>0.13107251818821872</v>
      </c>
      <c r="AR63">
        <f t="shared" ca="1" si="18"/>
        <v>0.13075668767352697</v>
      </c>
      <c r="AS63">
        <f t="shared" ca="1" si="19"/>
        <v>0.13093817667594679</v>
      </c>
      <c r="AT63">
        <f t="shared" ca="1" si="20"/>
        <v>0.13221626452189456</v>
      </c>
      <c r="AU63">
        <f t="shared" ca="1" si="21"/>
        <v>0.13120315756796308</v>
      </c>
      <c r="AV63">
        <f t="shared" ca="1" si="22"/>
        <v>0.13065134662572181</v>
      </c>
    </row>
    <row r="64" spans="1:48" ht="16" x14ac:dyDescent="0.2">
      <c r="A64" s="1" t="e" vm="1501">
        <v>#VALUE!</v>
      </c>
      <c r="B64" s="23" t="str" cm="1">
        <f t="array" aca="1" ref="B64" ca="1">_FV(A64,"ticker symbol",TRUE)</f>
        <v>XHS</v>
      </c>
      <c r="C64" s="23" t="str" cm="1">
        <f t="array" aca="1" ref="C64" ca="1">_FV(A64,"Name")</f>
        <v>SS SPDR S&amp;P Hlth Cr Svc</v>
      </c>
      <c r="D64" cm="1" vm="1502">
        <f t="array" aca="1" ref="D64:Y64" ca="1">TRANSPOSE(_xlfn.STOCKHISTORY(B64, WORKDAY(TODAY(), -23), TODAY(), 0, 0, 1))</f>
        <v>101.708</v>
      </c>
      <c r="E64" vm="680">
        <f ca="1"/>
        <v>102.23</v>
      </c>
      <c r="F64" vm="1503">
        <f ca="1"/>
        <v>106.23</v>
      </c>
      <c r="G64" vm="1504">
        <f ca="1"/>
        <v>108.69</v>
      </c>
      <c r="H64" vm="1505">
        <f ca="1"/>
        <v>111.2</v>
      </c>
      <c r="I64" vm="1506">
        <f ca="1"/>
        <v>110.99460000000001</v>
      </c>
      <c r="J64" vm="1507">
        <f ca="1"/>
        <v>110.9226</v>
      </c>
      <c r="K64" vm="1508">
        <f ca="1"/>
        <v>109.5</v>
      </c>
      <c r="L64" vm="1509">
        <f ca="1"/>
        <v>108.4194</v>
      </c>
      <c r="M64" vm="1510">
        <f ca="1"/>
        <v>107.92</v>
      </c>
      <c r="N64" vm="1511">
        <f ca="1"/>
        <v>108.2</v>
      </c>
      <c r="O64" vm="1512">
        <f ca="1"/>
        <v>107.1585</v>
      </c>
      <c r="P64" vm="1513">
        <f ca="1"/>
        <v>106.6793</v>
      </c>
      <c r="Q64" vm="1082">
        <f ca="1"/>
        <v>106.66</v>
      </c>
      <c r="R64" vm="1514">
        <f ca="1"/>
        <v>107.5264</v>
      </c>
      <c r="S64" vm="1515">
        <f ca="1"/>
        <v>109.23</v>
      </c>
      <c r="T64" vm="1516">
        <f ca="1"/>
        <v>109.6</v>
      </c>
      <c r="U64" vm="1517">
        <f ca="1"/>
        <v>109.39</v>
      </c>
      <c r="V64" vm="1518">
        <f ca="1"/>
        <v>107.9653</v>
      </c>
      <c r="W64" vm="1519">
        <f ca="1"/>
        <v>107.6</v>
      </c>
      <c r="X64" vm="1520">
        <f ca="1"/>
        <v>107.729</v>
      </c>
      <c r="Y64" vm="106">
        <f ca="1"/>
        <v>108.3133</v>
      </c>
      <c r="AA64">
        <f t="shared" ca="1" si="1"/>
        <v>0.15349139036868237</v>
      </c>
      <c r="AB64">
        <f t="shared" ca="1" si="2"/>
        <v>0.15666712641564373</v>
      </c>
      <c r="AC64">
        <f t="shared" ca="1" si="3"/>
        <v>0.1611914480372669</v>
      </c>
      <c r="AD64">
        <f t="shared" ca="1" si="4"/>
        <v>0.16253196357274236</v>
      </c>
      <c r="AE64">
        <f t="shared" ca="1" si="5"/>
        <v>0.16473585967823176</v>
      </c>
      <c r="AF64">
        <f t="shared" ca="1" si="6"/>
        <v>0.16330420197740114</v>
      </c>
      <c r="AG64">
        <f t="shared" ca="1" si="7"/>
        <v>0.16231229605349801</v>
      </c>
      <c r="AH64">
        <f t="shared" ca="1" si="8"/>
        <v>0.16096549899304688</v>
      </c>
      <c r="AI64">
        <f t="shared" ca="1" si="9"/>
        <v>0.15908235881032384</v>
      </c>
      <c r="AJ64">
        <f t="shared" ca="1" si="10"/>
        <v>0.15780315547822019</v>
      </c>
      <c r="AK64">
        <f t="shared" ca="1" si="11"/>
        <v>0.15809699148146525</v>
      </c>
      <c r="AL64">
        <f t="shared" ca="1" si="12"/>
        <v>0.15627834735813559</v>
      </c>
      <c r="AM64">
        <f t="shared" ca="1" si="13"/>
        <v>0.15604830098152508</v>
      </c>
      <c r="AN64">
        <f t="shared" ca="1" si="14"/>
        <v>0.15615483719840711</v>
      </c>
      <c r="AO64">
        <f t="shared" ca="1" si="15"/>
        <v>0.15638611341390693</v>
      </c>
      <c r="AP64">
        <f t="shared" ca="1" si="16"/>
        <v>0.15849500123336768</v>
      </c>
      <c r="AQ64">
        <f t="shared" ca="1" si="17"/>
        <v>0.16076038488617694</v>
      </c>
      <c r="AR64">
        <f t="shared" ca="1" si="18"/>
        <v>0.16069513610388847</v>
      </c>
      <c r="AS64">
        <f t="shared" ca="1" si="19"/>
        <v>0.15903678171078409</v>
      </c>
      <c r="AT64">
        <f t="shared" ca="1" si="20"/>
        <v>0.16026213881441764</v>
      </c>
      <c r="AU64">
        <f t="shared" ca="1" si="21"/>
        <v>0.15925170369713365</v>
      </c>
      <c r="AV64">
        <f t="shared" ca="1" si="22"/>
        <v>0.15914618198915645</v>
      </c>
    </row>
    <row r="65" spans="1:48" ht="16" x14ac:dyDescent="0.2">
      <c r="A65" s="1" t="e" vm="1521">
        <v>#VALUE!</v>
      </c>
      <c r="B65" s="23" t="str" cm="1">
        <f t="array" aca="1" ref="B65" ca="1">_FV(A65,"ticker symbol",TRUE)</f>
        <v>XPH</v>
      </c>
      <c r="C65" s="23" t="str" cm="1">
        <f t="array" aca="1" ref="C65" ca="1">_FV(A65,"Name")</f>
        <v>SS SPDR S&amp;P Pharm</v>
      </c>
      <c r="D65" cm="1" vm="1522">
        <f t="array" aca="1" ref="D65:Y65" ca="1">TRANSPOSE(_xlfn.STOCKHISTORY(B65, WORKDAY(TODAY(), -23), TODAY(), 0, 0, 1))</f>
        <v>52.17</v>
      </c>
      <c r="E65" vm="1523">
        <f ca="1"/>
        <v>51.16</v>
      </c>
      <c r="F65" vm="1524">
        <f ca="1"/>
        <v>52.19</v>
      </c>
      <c r="G65" vm="1525">
        <f ca="1"/>
        <v>53.29</v>
      </c>
      <c r="H65" vm="87">
        <f ca="1"/>
        <v>54.21</v>
      </c>
      <c r="I65" vm="1526">
        <f ca="1"/>
        <v>54.78</v>
      </c>
      <c r="J65" vm="1527">
        <f ca="1"/>
        <v>54.8</v>
      </c>
      <c r="K65" vm="1528">
        <f ca="1"/>
        <v>53.78</v>
      </c>
      <c r="L65" vm="1529">
        <f ca="1"/>
        <v>52.65</v>
      </c>
      <c r="M65" vm="1530">
        <f ca="1"/>
        <v>54.09</v>
      </c>
      <c r="N65" vm="1531">
        <f ca="1"/>
        <v>54.29</v>
      </c>
      <c r="O65" vm="1532">
        <f ca="1"/>
        <v>54.36</v>
      </c>
      <c r="P65" vm="1533">
        <f ca="1"/>
        <v>56.48</v>
      </c>
      <c r="Q65" vm="1534">
        <f ca="1"/>
        <v>55.93</v>
      </c>
      <c r="R65" vm="1535">
        <f ca="1"/>
        <v>56.56</v>
      </c>
      <c r="S65" vm="1536">
        <f ca="1"/>
        <v>56.4</v>
      </c>
      <c r="T65" vm="1537">
        <f ca="1"/>
        <v>56.25</v>
      </c>
      <c r="U65" vm="1538">
        <f ca="1"/>
        <v>56.17</v>
      </c>
      <c r="V65" vm="1539">
        <f ca="1"/>
        <v>55.75</v>
      </c>
      <c r="W65" vm="1223">
        <f ca="1"/>
        <v>55.35</v>
      </c>
      <c r="X65" vm="1540">
        <f ca="1"/>
        <v>55.26</v>
      </c>
      <c r="Y65" vm="108">
        <f ca="1"/>
        <v>56.21</v>
      </c>
      <c r="AA65">
        <f t="shared" ca="1" si="1"/>
        <v>7.8731720568039482E-2</v>
      </c>
      <c r="AB65">
        <f t="shared" ca="1" si="2"/>
        <v>7.8402525554380639E-2</v>
      </c>
      <c r="AC65">
        <f t="shared" ca="1" si="3"/>
        <v>7.9192146032805791E-2</v>
      </c>
      <c r="AD65">
        <f t="shared" ca="1" si="4"/>
        <v>7.9688364511835863E-2</v>
      </c>
      <c r="AE65">
        <f t="shared" ca="1" si="5"/>
        <v>8.0308731593137991E-2</v>
      </c>
      <c r="AF65">
        <f t="shared" ca="1" si="6"/>
        <v>8.059675141242939E-2</v>
      </c>
      <c r="AG65">
        <f t="shared" ca="1" si="7"/>
        <v>8.0188472175478129E-2</v>
      </c>
      <c r="AH65">
        <f t="shared" ca="1" si="8"/>
        <v>7.9056845076219739E-2</v>
      </c>
      <c r="AI65">
        <f t="shared" ca="1" si="9"/>
        <v>7.7252652120963133E-2</v>
      </c>
      <c r="AJ65">
        <f t="shared" ca="1" si="10"/>
        <v>7.909166678851863E-2</v>
      </c>
      <c r="AK65">
        <f t="shared" ca="1" si="11"/>
        <v>7.9326115226698232E-2</v>
      </c>
      <c r="AL65">
        <f t="shared" ca="1" si="12"/>
        <v>7.9277807755691335E-2</v>
      </c>
      <c r="AM65">
        <f t="shared" ca="1" si="13"/>
        <v>8.2617790325175897E-2</v>
      </c>
      <c r="AN65">
        <f t="shared" ca="1" si="14"/>
        <v>8.1883930662918714E-2</v>
      </c>
      <c r="AO65">
        <f t="shared" ca="1" si="15"/>
        <v>8.226071527262678E-2</v>
      </c>
      <c r="AP65">
        <f t="shared" ca="1" si="16"/>
        <v>8.1837572732417263E-2</v>
      </c>
      <c r="AQ65">
        <f t="shared" ca="1" si="17"/>
        <v>8.2507040600797929E-2</v>
      </c>
      <c r="AR65">
        <f t="shared" ca="1" si="18"/>
        <v>8.2514359584563629E-2</v>
      </c>
      <c r="AS65">
        <f t="shared" ca="1" si="19"/>
        <v>8.2121761161930859E-2</v>
      </c>
      <c r="AT65">
        <f t="shared" ca="1" si="20"/>
        <v>8.2439678284182305E-2</v>
      </c>
      <c r="AU65">
        <f t="shared" ca="1" si="21"/>
        <v>8.1688766685884068E-2</v>
      </c>
      <c r="AV65">
        <f t="shared" ca="1" si="22"/>
        <v>8.2590105643632727E-2</v>
      </c>
    </row>
    <row r="66" spans="1:48" ht="16" x14ac:dyDescent="0.2">
      <c r="A66" s="1" t="e" vm="1541">
        <v>#VALUE!</v>
      </c>
      <c r="B66" s="23" t="str" cm="1">
        <f t="array" aca="1" ref="B66" ca="1">_FV(A66,"ticker symbol",TRUE)</f>
        <v>FHLC</v>
      </c>
      <c r="C66" s="23" t="str" cm="1">
        <f t="array" aca="1" ref="C66" ca="1">_FV(A66,"Name")</f>
        <v>Fidelity MSCI Hlth Care</v>
      </c>
      <c r="D66" cm="1" vm="1542">
        <f t="array" aca="1" ref="D66:Y66" ca="1">TRANSPOSE(_xlfn.STOCKHISTORY(B66, WORKDAY(TODAY(), -23), TODAY(), 0, 0, 1))</f>
        <v>73.040000000000006</v>
      </c>
      <c r="E66" vm="1543">
        <f ca="1"/>
        <v>72.59</v>
      </c>
      <c r="F66" vm="1544">
        <f ca="1"/>
        <v>74.12</v>
      </c>
      <c r="G66" vm="1545">
        <f ca="1"/>
        <v>74.69</v>
      </c>
      <c r="H66" vm="1546">
        <f ca="1"/>
        <v>76.290000000000006</v>
      </c>
      <c r="I66" vm="1547">
        <f ca="1"/>
        <v>76.2</v>
      </c>
      <c r="J66" vm="1548">
        <f ca="1"/>
        <v>75.849999999999994</v>
      </c>
      <c r="K66" vm="1549">
        <f ca="1"/>
        <v>74.75</v>
      </c>
      <c r="L66" vm="1550">
        <f ca="1"/>
        <v>74.290000000000006</v>
      </c>
      <c r="M66" vm="1551">
        <f ca="1"/>
        <v>74.72</v>
      </c>
      <c r="N66" vm="773">
        <f ca="1"/>
        <v>74.28</v>
      </c>
      <c r="O66" vm="1552">
        <f ca="1"/>
        <v>74.010000000000005</v>
      </c>
      <c r="P66" vm="1553">
        <f ca="1"/>
        <v>73.180000000000007</v>
      </c>
      <c r="Q66" vm="1554">
        <f ca="1"/>
        <v>72.42</v>
      </c>
      <c r="R66" vm="1555">
        <f ca="1"/>
        <v>73.34</v>
      </c>
      <c r="S66" vm="1556">
        <f ca="1"/>
        <v>73.98</v>
      </c>
      <c r="T66" vm="1557">
        <f ca="1"/>
        <v>74.150000000000006</v>
      </c>
      <c r="U66" vm="781">
        <f ca="1"/>
        <v>74.98</v>
      </c>
      <c r="V66" vm="1558">
        <f ca="1"/>
        <v>74.09</v>
      </c>
      <c r="W66" vm="802">
        <f ca="1"/>
        <v>73.89</v>
      </c>
      <c r="X66" vm="1559">
        <f ca="1"/>
        <v>73.88</v>
      </c>
      <c r="Y66" vm="110">
        <f ca="1"/>
        <v>74.22</v>
      </c>
      <c r="AA66">
        <f t="shared" ca="1" si="1"/>
        <v>0.1102274270709144</v>
      </c>
      <c r="AB66">
        <f t="shared" ca="1" si="2"/>
        <v>0.11124392748226136</v>
      </c>
      <c r="AC66">
        <f t="shared" ca="1" si="3"/>
        <v>0.1124683246589685</v>
      </c>
      <c r="AD66">
        <f t="shared" ca="1" si="4"/>
        <v>0.11168932154980335</v>
      </c>
      <c r="AE66">
        <f t="shared" ca="1" si="5"/>
        <v>0.11301887351485883</v>
      </c>
      <c r="AF66">
        <f t="shared" ca="1" si="6"/>
        <v>0.11211158192090397</v>
      </c>
      <c r="AG66">
        <f t="shared" ca="1" si="7"/>
        <v>0.11099079588521926</v>
      </c>
      <c r="AH66">
        <f t="shared" ca="1" si="8"/>
        <v>0.10988284063680598</v>
      </c>
      <c r="AI66">
        <f t="shared" ca="1" si="9"/>
        <v>0.10900473933649291</v>
      </c>
      <c r="AJ66">
        <f t="shared" ca="1" si="10"/>
        <v>0.10925733670619545</v>
      </c>
      <c r="AK66">
        <f t="shared" ca="1" si="11"/>
        <v>0.10853460746065841</v>
      </c>
      <c r="AL66">
        <f t="shared" ca="1" si="12"/>
        <v>0.10793507270049148</v>
      </c>
      <c r="AM66">
        <f t="shared" ca="1" si="13"/>
        <v>0.10704620920673465</v>
      </c>
      <c r="AN66">
        <f t="shared" ca="1" si="14"/>
        <v>0.10602600140548138</v>
      </c>
      <c r="AO66">
        <f t="shared" ca="1" si="15"/>
        <v>0.10666550314877031</v>
      </c>
      <c r="AP66">
        <f t="shared" ca="1" si="16"/>
        <v>0.1073465182756069</v>
      </c>
      <c r="AQ66">
        <f t="shared" ca="1" si="17"/>
        <v>0.10876261440976298</v>
      </c>
      <c r="AR66">
        <f t="shared" ca="1" si="18"/>
        <v>0.11014646041749299</v>
      </c>
      <c r="AS66">
        <f t="shared" ca="1" si="19"/>
        <v>0.10913724277107546</v>
      </c>
      <c r="AT66">
        <f t="shared" ca="1" si="20"/>
        <v>0.11005361930294906</v>
      </c>
      <c r="AU66">
        <f t="shared" ca="1" si="21"/>
        <v>0.10921400801218087</v>
      </c>
      <c r="AV66">
        <f t="shared" ca="1" si="22"/>
        <v>0.10905243979488384</v>
      </c>
    </row>
    <row r="67" spans="1:48" ht="16" x14ac:dyDescent="0.2">
      <c r="A67" s="13" t="e" vm="1560">
        <v>#VALUE!</v>
      </c>
      <c r="B67" s="23" t="str" cm="1">
        <f t="array" aca="1" ref="B67" ca="1">_FV(A67,"ticker symbol",TRUE)</f>
        <v>PINK</v>
      </c>
      <c r="C67" s="23" t="str" cm="1">
        <f t="array" aca="1" ref="C67" ca="1">_FV(A67,"Name")</f>
        <v>Simplify:Health Care</v>
      </c>
      <c r="D67" cm="1" vm="1561">
        <f t="array" aca="1" ref="D67:Y67" ca="1">TRANSPOSE(_xlfn.STOCKHISTORY(B67, WORKDAY(TODAY(), -23), TODAY(), 0, 0, 1))</f>
        <v>36.58</v>
      </c>
      <c r="E67" vm="1562">
        <f ca="1"/>
        <v>36.409999999999997</v>
      </c>
      <c r="F67" vm="820">
        <f ca="1"/>
        <v>36.89</v>
      </c>
      <c r="G67" vm="1563">
        <f ca="1"/>
        <v>37.24</v>
      </c>
      <c r="H67" vm="1564">
        <f ca="1"/>
        <v>37.72</v>
      </c>
      <c r="I67" vm="1565">
        <f ca="1"/>
        <v>37.96</v>
      </c>
      <c r="J67" vm="1566">
        <f ca="1"/>
        <v>37.85</v>
      </c>
      <c r="K67" vm="1567">
        <f ca="1"/>
        <v>36.85</v>
      </c>
      <c r="L67" vm="1568">
        <f ca="1"/>
        <v>36.369999999999997</v>
      </c>
      <c r="M67" vm="1569">
        <f ca="1"/>
        <v>36.799999999999997</v>
      </c>
      <c r="N67" vm="1570">
        <f ca="1"/>
        <v>36.950000000000003</v>
      </c>
      <c r="O67" vm="1571">
        <f ca="1"/>
        <v>36.729999999999997</v>
      </c>
      <c r="P67" vm="1572">
        <f ca="1"/>
        <v>36.590000000000003</v>
      </c>
      <c r="Q67" vm="1562">
        <f ca="1"/>
        <v>36.409999999999997</v>
      </c>
      <c r="R67" vm="1573">
        <f ca="1"/>
        <v>36.9</v>
      </c>
      <c r="S67" vm="1574">
        <f ca="1"/>
        <v>37.270000000000003</v>
      </c>
      <c r="T67" vm="1575">
        <f ca="1"/>
        <v>37.1</v>
      </c>
      <c r="U67" vm="1576">
        <f ca="1"/>
        <v>37.06</v>
      </c>
      <c r="V67" vm="1571">
        <f ca="1"/>
        <v>36.729999999999997</v>
      </c>
      <c r="W67" vm="1562">
        <f ca="1"/>
        <v>36.409999999999997</v>
      </c>
      <c r="X67" vm="1577">
        <f ca="1"/>
        <v>36.5</v>
      </c>
      <c r="Y67" vm="112">
        <f ca="1"/>
        <v>36.840000000000003</v>
      </c>
      <c r="AA67">
        <f t="shared" ref="AA67:AA130" ca="1" si="23">D67/D$1</f>
        <v>5.5204261805230671E-2</v>
      </c>
      <c r="AB67">
        <f t="shared" ref="AB67:AB130" ca="1" si="24">E67/E$1</f>
        <v>5.579820084900311E-2</v>
      </c>
      <c r="AC67">
        <f t="shared" ref="AC67:AC130" ca="1" si="25">F67/F$1</f>
        <v>5.597620745641322E-2</v>
      </c>
      <c r="AD67">
        <f t="shared" ref="AD67:AD130" ca="1" si="26">G67/G$1</f>
        <v>5.5687646733360255E-2</v>
      </c>
      <c r="AE67">
        <f t="shared" ref="AE67:AE130" ca="1" si="27">H67/H$1</f>
        <v>5.5879825782939763E-2</v>
      </c>
      <c r="AF67">
        <f t="shared" ref="AF67:AF130" ca="1" si="28">I67/I$1</f>
        <v>5.5849811676082869E-2</v>
      </c>
      <c r="AG67">
        <f t="shared" ref="AG67:AG130" ca="1" si="29">J67/J$1</f>
        <v>5.5385650946019112E-2</v>
      </c>
      <c r="AH67">
        <f t="shared" ref="AH67:AH130" ca="1" si="30">K67/K$1</f>
        <v>5.4169667925970576E-2</v>
      </c>
      <c r="AI67">
        <f t="shared" ref="AI67:AI130" ca="1" si="31">L67/L$1</f>
        <v>5.3365222367320587E-2</v>
      </c>
      <c r="AJ67">
        <f t="shared" ref="AJ67:AJ130" ca="1" si="32">M67/M$1</f>
        <v>5.3809823217184048E-2</v>
      </c>
      <c r="AK67">
        <f t="shared" ref="AK67:AK130" ca="1" si="33">N67/N$1</f>
        <v>5.3989684244363602E-2</v>
      </c>
      <c r="AL67">
        <f t="shared" ref="AL67:AL130" ca="1" si="34">O67/O$1</f>
        <v>5.3566480479516974E-2</v>
      </c>
      <c r="AM67">
        <f t="shared" ref="AM67:AM130" ca="1" si="35">P67/P$1</f>
        <v>5.3523104603367323E-2</v>
      </c>
      <c r="AN67">
        <f t="shared" ref="AN67:AN130" ca="1" si="36">Q67/Q$1</f>
        <v>5.3305809323026469E-2</v>
      </c>
      <c r="AO67">
        <f t="shared" ref="AO67:AO130" ca="1" si="37">R67/R$1</f>
        <v>5.3667262969588542E-2</v>
      </c>
      <c r="AP67">
        <f t="shared" ref="AP67:AP130" ca="1" si="38">S67/S$1</f>
        <v>5.407954495987928E-2</v>
      </c>
      <c r="AQ67">
        <f t="shared" ref="AQ67:AQ130" ca="1" si="39">T67/T$1</f>
        <v>5.4417977000704061E-2</v>
      </c>
      <c r="AR67">
        <f t="shared" ref="AR67:AR130" ca="1" si="40">U67/U$1</f>
        <v>5.4441555389067621E-2</v>
      </c>
      <c r="AS67">
        <f t="shared" ref="AS67:AS130" ca="1" si="41">V67/V$1</f>
        <v>5.4104615022021886E-2</v>
      </c>
      <c r="AT67">
        <f t="shared" ref="AT67:AT130" ca="1" si="42">W67/W$1</f>
        <v>5.4229967232648196E-2</v>
      </c>
      <c r="AU67">
        <f t="shared" ref="AU67:AU130" ca="1" si="43">X67/X$1</f>
        <v>5.3956568657885784E-2</v>
      </c>
      <c r="AV67">
        <f t="shared" ref="AV67:AV130" ca="1" si="44">Y67/Y$1</f>
        <v>5.4129505282181641E-2</v>
      </c>
    </row>
    <row r="68" spans="1:48" ht="16" x14ac:dyDescent="0.2">
      <c r="A68" s="13" t="e" vm="1578">
        <v>#VALUE!</v>
      </c>
      <c r="B68" s="23" t="str" cm="1">
        <f t="array" aca="1" ref="B68" ca="1">_FV(A68,"ticker symbol",TRUE)</f>
        <v>KBE</v>
      </c>
      <c r="C68" s="23" t="str" cm="1">
        <f t="array" aca="1" ref="C68" ca="1">_FV(A68,"Name")</f>
        <v>SS SPDR S&amp;P Bank ETF</v>
      </c>
      <c r="D68" cm="1" vm="1579">
        <f t="array" aca="1" ref="D68:Y68" ca="1">TRANSPOSE(_xlfn.STOCKHISTORY(B68, WORKDAY(TODAY(), -23), TODAY(), 0, 0, 1))</f>
        <v>56.19</v>
      </c>
      <c r="E68" vm="1580">
        <f ca="1"/>
        <v>55.95</v>
      </c>
      <c r="F68" vm="1581">
        <f ca="1"/>
        <v>57.66</v>
      </c>
      <c r="G68" vm="1582">
        <f ca="1"/>
        <v>57.74</v>
      </c>
      <c r="H68" vm="1583">
        <f ca="1"/>
        <v>59.32</v>
      </c>
      <c r="I68" vm="1584">
        <f ca="1"/>
        <v>59.16</v>
      </c>
      <c r="J68" vm="1585">
        <f ca="1"/>
        <v>58.98</v>
      </c>
      <c r="K68" vm="1586">
        <f ca="1"/>
        <v>59.48</v>
      </c>
      <c r="L68" vm="1587">
        <f ca="1"/>
        <v>59.13</v>
      </c>
      <c r="M68" vm="1588">
        <f ca="1"/>
        <v>60.27</v>
      </c>
      <c r="N68" vm="1589">
        <f ca="1"/>
        <v>60.46</v>
      </c>
      <c r="O68" vm="1098">
        <f ca="1"/>
        <v>60.32</v>
      </c>
      <c r="P68" vm="1590">
        <f ca="1"/>
        <v>60.42</v>
      </c>
      <c r="Q68" vm="1591">
        <f ca="1"/>
        <v>60.38</v>
      </c>
      <c r="R68" vm="1592">
        <f ca="1"/>
        <v>62.36</v>
      </c>
      <c r="S68" vm="1593">
        <f ca="1"/>
        <v>62.79</v>
      </c>
      <c r="T68" vm="1594">
        <f ca="1"/>
        <v>62.48</v>
      </c>
      <c r="U68" vm="1595">
        <f ca="1"/>
        <v>62.66</v>
      </c>
      <c r="V68" vm="1596">
        <f ca="1"/>
        <v>62.41</v>
      </c>
      <c r="W68" vm="1597">
        <f ca="1"/>
        <v>62.59</v>
      </c>
      <c r="X68" vm="1598">
        <f ca="1"/>
        <v>62.76</v>
      </c>
      <c r="Y68" vm="114">
        <f ca="1"/>
        <v>62.62</v>
      </c>
      <c r="AA68">
        <f t="shared" ca="1" si="23"/>
        <v>8.4798454642862536E-2</v>
      </c>
      <c r="AB68">
        <f t="shared" ca="1" si="24"/>
        <v>8.5743184221415109E-2</v>
      </c>
      <c r="AC68">
        <f t="shared" ca="1" si="25"/>
        <v>8.7492223419267712E-2</v>
      </c>
      <c r="AD68">
        <f t="shared" ca="1" si="26"/>
        <v>8.6342769129544056E-2</v>
      </c>
      <c r="AE68">
        <f t="shared" ca="1" si="27"/>
        <v>8.7878877662884061E-2</v>
      </c>
      <c r="AF68">
        <f t="shared" ca="1" si="28"/>
        <v>8.7040960451977401E-2</v>
      </c>
      <c r="AG68">
        <f t="shared" ca="1" si="29"/>
        <v>8.6305038118790145E-2</v>
      </c>
      <c r="AH68">
        <f t="shared" ca="1" si="30"/>
        <v>8.7435871051200251E-2</v>
      </c>
      <c r="AI68">
        <f t="shared" ca="1" si="31"/>
        <v>8.6760670843543206E-2</v>
      </c>
      <c r="AJ68">
        <f t="shared" ca="1" si="32"/>
        <v>8.812820775270877E-2</v>
      </c>
      <c r="AK68">
        <f t="shared" ca="1" si="33"/>
        <v>8.8341442744633916E-2</v>
      </c>
      <c r="AL68">
        <f t="shared" ca="1" si="34"/>
        <v>8.7969782263121812E-2</v>
      </c>
      <c r="AM68">
        <f t="shared" ca="1" si="35"/>
        <v>8.838114184573527E-2</v>
      </c>
      <c r="AN68">
        <f t="shared" ca="1" si="36"/>
        <v>8.8398922464277357E-2</v>
      </c>
      <c r="AO68">
        <f t="shared" ca="1" si="37"/>
        <v>9.0696220021234189E-2</v>
      </c>
      <c r="AP68">
        <f t="shared" ca="1" si="38"/>
        <v>9.1109595600504953E-2</v>
      </c>
      <c r="AQ68">
        <f t="shared" ca="1" si="39"/>
        <v>9.1645153719784087E-2</v>
      </c>
      <c r="AR68">
        <f t="shared" ca="1" si="40"/>
        <v>9.2048242328088961E-2</v>
      </c>
      <c r="AS68">
        <f t="shared" ca="1" si="41"/>
        <v>9.1932181419122946E-2</v>
      </c>
      <c r="AT68">
        <f t="shared" ca="1" si="42"/>
        <v>9.3223115877271376E-2</v>
      </c>
      <c r="AU68">
        <f t="shared" ca="1" si="43"/>
        <v>9.2775732848463341E-2</v>
      </c>
      <c r="AV68">
        <f t="shared" ca="1" si="44"/>
        <v>9.2008404472589955E-2</v>
      </c>
    </row>
    <row r="69" spans="1:48" ht="16" x14ac:dyDescent="0.2">
      <c r="A69" s="13" t="e" vm="1599">
        <v>#VALUE!</v>
      </c>
      <c r="B69" s="23" t="str" cm="1">
        <f t="array" aca="1" ref="B69" ca="1">_FV(A69,"ticker symbol",TRUE)</f>
        <v>KRE</v>
      </c>
      <c r="C69" s="23" t="str" cm="1">
        <f t="array" aca="1" ref="C69" ca="1">_FV(A69,"Name")</f>
        <v>SS SPDR S&amp;P Reg Banking</v>
      </c>
      <c r="D69" cm="1" vm="1600">
        <f t="array" aca="1" ref="D69:Y69" ca="1">TRANSPOSE(_xlfn.STOCKHISTORY(B69, WORKDAY(TODAY(), -23), TODAY(), 0, 0, 1))</f>
        <v>59.79</v>
      </c>
      <c r="E69" vm="1601">
        <f ca="1"/>
        <v>59.59</v>
      </c>
      <c r="F69" vm="1602">
        <f ca="1"/>
        <v>61.61</v>
      </c>
      <c r="G69" vm="1603">
        <f ca="1"/>
        <v>61.66</v>
      </c>
      <c r="H69" vm="1604">
        <f ca="1"/>
        <v>63.41</v>
      </c>
      <c r="I69" vm="1471">
        <f ca="1"/>
        <v>63.17</v>
      </c>
      <c r="J69" vm="1605">
        <f ca="1"/>
        <v>62.99</v>
      </c>
      <c r="K69" vm="1606">
        <f ca="1"/>
        <v>63.68</v>
      </c>
      <c r="L69" vm="1607">
        <f ca="1"/>
        <v>63.33</v>
      </c>
      <c r="M69" vm="1608">
        <f ca="1"/>
        <v>64.650000000000006</v>
      </c>
      <c r="N69" vm="1609">
        <f ca="1"/>
        <v>64.87</v>
      </c>
      <c r="O69" vm="1610">
        <f ca="1"/>
        <v>64.72</v>
      </c>
      <c r="P69" vm="1611">
        <f ca="1"/>
        <v>64.94</v>
      </c>
      <c r="Q69" vm="1612">
        <f ca="1"/>
        <v>64.81</v>
      </c>
      <c r="R69" vm="1613">
        <f ca="1"/>
        <v>67.05</v>
      </c>
      <c r="S69" vm="1614">
        <f ca="1"/>
        <v>67.400000000000006</v>
      </c>
      <c r="T69" vm="1615">
        <f ca="1"/>
        <v>67.08</v>
      </c>
      <c r="U69" vm="1616">
        <f ca="1"/>
        <v>67.260000000000005</v>
      </c>
      <c r="V69" vm="1617">
        <f ca="1"/>
        <v>67</v>
      </c>
      <c r="W69" vm="1618">
        <f ca="1"/>
        <v>67.290000000000006</v>
      </c>
      <c r="X69" vm="1619">
        <f ca="1"/>
        <v>67.48</v>
      </c>
      <c r="Y69" vm="116">
        <f ca="1"/>
        <v>67.239999999999995</v>
      </c>
      <c r="AA69">
        <f t="shared" ca="1" si="23"/>
        <v>9.0231350829271237E-2</v>
      </c>
      <c r="AB69">
        <f t="shared" ca="1" si="24"/>
        <v>9.1321471809725233E-2</v>
      </c>
      <c r="AC69">
        <f t="shared" ca="1" si="25"/>
        <v>9.3485880764153387E-2</v>
      </c>
      <c r="AD69">
        <f t="shared" ca="1" si="26"/>
        <v>9.2204626680424076E-2</v>
      </c>
      <c r="AE69">
        <f t="shared" ca="1" si="27"/>
        <v>9.3937957393854993E-2</v>
      </c>
      <c r="AF69">
        <f t="shared" ca="1" si="28"/>
        <v>9.2940795668549916E-2</v>
      </c>
      <c r="AG69">
        <f t="shared" ca="1" si="29"/>
        <v>9.2172844203163642E-2</v>
      </c>
      <c r="AH69">
        <f t="shared" ca="1" si="30"/>
        <v>9.3609890190659586E-2</v>
      </c>
      <c r="AI69">
        <f t="shared" ca="1" si="31"/>
        <v>9.2923275571141398E-2</v>
      </c>
      <c r="AJ69">
        <f t="shared" ca="1" si="32"/>
        <v>9.4532746494319267E-2</v>
      </c>
      <c r="AK69">
        <f t="shared" ca="1" si="33"/>
        <v>9.4785137129414526E-2</v>
      </c>
      <c r="AL69">
        <f t="shared" ca="1" si="34"/>
        <v>9.4386676194781888E-2</v>
      </c>
      <c r="AM69">
        <f t="shared" ca="1" si="35"/>
        <v>9.4992905519067333E-2</v>
      </c>
      <c r="AN69">
        <f t="shared" ca="1" si="36"/>
        <v>9.4884633403607407E-2</v>
      </c>
      <c r="AO69">
        <f t="shared" ca="1" si="37"/>
        <v>9.7517343688642594E-2</v>
      </c>
      <c r="AP69">
        <f t="shared" ca="1" si="38"/>
        <v>9.7798801456824888E-2</v>
      </c>
      <c r="AQ69">
        <f t="shared" ca="1" si="39"/>
        <v>9.8392396151138234E-2</v>
      </c>
      <c r="AR69">
        <f t="shared" ca="1" si="40"/>
        <v>9.8805693887444368E-2</v>
      </c>
      <c r="AS69">
        <f t="shared" ca="1" si="41"/>
        <v>9.8693417001782371E-2</v>
      </c>
      <c r="AT69">
        <f t="shared" ca="1" si="42"/>
        <v>0.10022341376228777</v>
      </c>
      <c r="AU69">
        <f t="shared" ca="1" si="43"/>
        <v>9.9753130220113242E-2</v>
      </c>
      <c r="AV69">
        <f t="shared" ca="1" si="44"/>
        <v>9.8796632333710444E-2</v>
      </c>
    </row>
    <row r="70" spans="1:48" ht="16" x14ac:dyDescent="0.2">
      <c r="A70" s="13" t="e" vm="1620">
        <v>#VALUE!</v>
      </c>
      <c r="B70" s="23" t="str" cm="1">
        <f t="array" aca="1" ref="B70" ca="1">_FV(A70,"ticker symbol",TRUE)</f>
        <v>IAT</v>
      </c>
      <c r="C70" s="23" t="str" cm="1">
        <f t="array" aca="1" ref="C70" ca="1">_FV(A70,"Name")</f>
        <v>iShares:US Rgnl Bnks</v>
      </c>
      <c r="D70" cm="1" vm="1621">
        <f t="array" aca="1" ref="D70:Y70" ca="1">TRANSPOSE(_xlfn.STOCKHISTORY(B70, WORKDAY(TODAY(), -23), TODAY(), 0, 0, 1))</f>
        <v>49.57</v>
      </c>
      <c r="E70" vm="1622">
        <f ca="1"/>
        <v>49.39</v>
      </c>
      <c r="F70" vm="1623">
        <f ca="1"/>
        <v>50.79</v>
      </c>
      <c r="G70" vm="1624">
        <f ca="1"/>
        <v>50.82</v>
      </c>
      <c r="H70" vm="1625">
        <f ca="1"/>
        <v>51.97</v>
      </c>
      <c r="I70" vm="1626">
        <f ca="1"/>
        <v>51.88</v>
      </c>
      <c r="J70" vm="1626">
        <f ca="1"/>
        <v>51.88</v>
      </c>
      <c r="K70" vm="1627">
        <f ca="1"/>
        <v>52.35</v>
      </c>
      <c r="L70" vm="1628">
        <f ca="1"/>
        <v>52.23</v>
      </c>
      <c r="M70" vm="1629">
        <f ca="1"/>
        <v>53.49</v>
      </c>
      <c r="N70" vm="1630">
        <f ca="1"/>
        <v>53.77</v>
      </c>
      <c r="O70" vm="1631">
        <f ca="1"/>
        <v>53.7</v>
      </c>
      <c r="P70" vm="1632">
        <f ca="1"/>
        <v>53.79</v>
      </c>
      <c r="Q70" vm="1633">
        <f ca="1"/>
        <v>54.05</v>
      </c>
      <c r="R70" vm="1580">
        <f ca="1"/>
        <v>55.95</v>
      </c>
      <c r="S70" vm="1634">
        <f ca="1"/>
        <v>56.45</v>
      </c>
      <c r="T70" vm="1635">
        <f ca="1"/>
        <v>56.23</v>
      </c>
      <c r="U70" vm="1636">
        <f ca="1"/>
        <v>56.26</v>
      </c>
      <c r="V70" vm="1637">
        <f ca="1"/>
        <v>55.52</v>
      </c>
      <c r="W70" vm="1638">
        <f ca="1"/>
        <v>55.86</v>
      </c>
      <c r="X70" vm="1639">
        <f ca="1"/>
        <v>55.82</v>
      </c>
      <c r="Y70" vm="118">
        <f ca="1"/>
        <v>56.01</v>
      </c>
      <c r="AA70">
        <f t="shared" ca="1" si="23"/>
        <v>7.4807962211188753E-2</v>
      </c>
      <c r="AB70">
        <f t="shared" ca="1" si="24"/>
        <v>7.5690006589735348E-2</v>
      </c>
      <c r="AC70">
        <f t="shared" ca="1" si="25"/>
        <v>7.7067811783985557E-2</v>
      </c>
      <c r="AD70">
        <f t="shared" ca="1" si="26"/>
        <v>7.5994796106051768E-2</v>
      </c>
      <c r="AE70">
        <f t="shared" ca="1" si="27"/>
        <v>7.69903113981808E-2</v>
      </c>
      <c r="AF70">
        <f t="shared" ca="1" si="28"/>
        <v>7.633003766478344E-2</v>
      </c>
      <c r="AG70">
        <f t="shared" ca="1" si="29"/>
        <v>7.5915655774886973E-2</v>
      </c>
      <c r="AH70">
        <f t="shared" ca="1" si="30"/>
        <v>7.6954738559689539E-2</v>
      </c>
      <c r="AI70">
        <f t="shared" ca="1" si="31"/>
        <v>7.6636391648203309E-2</v>
      </c>
      <c r="AJ70">
        <f t="shared" ca="1" si="32"/>
        <v>7.8214332714325402E-2</v>
      </c>
      <c r="AK70">
        <f t="shared" ca="1" si="33"/>
        <v>7.8566314528266054E-2</v>
      </c>
      <c r="AL70">
        <f t="shared" ca="1" si="34"/>
        <v>7.8315273665942334E-2</v>
      </c>
      <c r="AM70">
        <f t="shared" ca="1" si="35"/>
        <v>7.8682913271799076E-2</v>
      </c>
      <c r="AN70">
        <f t="shared" ca="1" si="36"/>
        <v>7.913152963223237E-2</v>
      </c>
      <c r="AO70">
        <f t="shared" ca="1" si="37"/>
        <v>8.1373532876652555E-2</v>
      </c>
      <c r="AP70">
        <f t="shared" ca="1" si="38"/>
        <v>8.1910123772073656E-2</v>
      </c>
      <c r="AQ70">
        <f t="shared" ca="1" si="39"/>
        <v>8.2477704764139875E-2</v>
      </c>
      <c r="AR70">
        <f t="shared" ca="1" si="40"/>
        <v>8.2646570593333621E-2</v>
      </c>
      <c r="AS70">
        <f t="shared" ca="1" si="41"/>
        <v>8.1782962864760556E-2</v>
      </c>
      <c r="AT70">
        <f t="shared" ca="1" si="42"/>
        <v>8.319928507596068E-2</v>
      </c>
      <c r="AU70">
        <f t="shared" ca="1" si="43"/>
        <v>8.2516593492689985E-2</v>
      </c>
      <c r="AV70">
        <f t="shared" ca="1" si="44"/>
        <v>8.2296242965662139E-2</v>
      </c>
    </row>
    <row r="71" spans="1:48" ht="16" x14ac:dyDescent="0.2">
      <c r="A71" s="13" t="e" vm="1640">
        <v>#VALUE!</v>
      </c>
      <c r="B71" s="23" t="str" cm="1">
        <f t="array" aca="1" ref="B71" ca="1">_FV(A71,"ticker symbol",TRUE)</f>
        <v>KIE</v>
      </c>
      <c r="C71" s="23" t="str" cm="1">
        <f t="array" aca="1" ref="C71" ca="1">_FV(A71,"Name")</f>
        <v>SS SPDR S&amp;P Insurance</v>
      </c>
      <c r="D71" cm="1" vm="1641">
        <f t="array" aca="1" ref="D71:Y71" ca="1">TRANSPOSE(_xlfn.STOCKHISTORY(B71, WORKDAY(TODAY(), -23), TODAY(), 0, 0, 1))</f>
        <v>58.19</v>
      </c>
      <c r="E71" vm="1642">
        <f ca="1"/>
        <v>58.18</v>
      </c>
      <c r="F71" vm="1643">
        <f ca="1"/>
        <v>58.99</v>
      </c>
      <c r="G71" vm="1644">
        <f ca="1"/>
        <v>59.11</v>
      </c>
      <c r="H71" vm="1645">
        <f ca="1"/>
        <v>59.8</v>
      </c>
      <c r="I71" vm="1646">
        <f ca="1"/>
        <v>60.02</v>
      </c>
      <c r="J71" vm="1647">
        <f ca="1"/>
        <v>60.01</v>
      </c>
      <c r="K71" vm="1601">
        <f ca="1"/>
        <v>59.59</v>
      </c>
      <c r="L71" vm="1648">
        <f ca="1"/>
        <v>59.1</v>
      </c>
      <c r="M71" vm="1649">
        <f ca="1"/>
        <v>58.96</v>
      </c>
      <c r="N71" vm="1650">
        <f ca="1"/>
        <v>59.09</v>
      </c>
      <c r="O71" vm="1651">
        <f ca="1"/>
        <v>58.73</v>
      </c>
      <c r="P71" vm="1652">
        <f ca="1"/>
        <v>58.2</v>
      </c>
      <c r="Q71" vm="1653">
        <f ca="1"/>
        <v>58.54</v>
      </c>
      <c r="R71" vm="1654">
        <f ca="1"/>
        <v>58.75</v>
      </c>
      <c r="S71" vm="1655">
        <f ca="1"/>
        <v>60.16</v>
      </c>
      <c r="T71" vm="1656">
        <f ca="1"/>
        <v>60.53</v>
      </c>
      <c r="U71" vm="1657">
        <f ca="1"/>
        <v>60.88</v>
      </c>
      <c r="V71" vm="1658">
        <f ca="1"/>
        <v>60.54</v>
      </c>
      <c r="W71" vm="1659">
        <f ca="1"/>
        <v>60.66</v>
      </c>
      <c r="X71" vm="1660">
        <f ca="1"/>
        <v>61.01</v>
      </c>
      <c r="Y71" vm="120">
        <f ca="1"/>
        <v>60.94</v>
      </c>
      <c r="AA71">
        <f t="shared" ca="1" si="23"/>
        <v>8.781673030197848E-2</v>
      </c>
      <c r="AB71">
        <f t="shared" ca="1" si="24"/>
        <v>8.9160651617550157E-2</v>
      </c>
      <c r="AC71">
        <f t="shared" ca="1" si="25"/>
        <v>8.9510340955646944E-2</v>
      </c>
      <c r="AD71">
        <f t="shared" ca="1" si="26"/>
        <v>8.8391428528703658E-2</v>
      </c>
      <c r="AE71">
        <f t="shared" ca="1" si="27"/>
        <v>8.8589967704660599E-2</v>
      </c>
      <c r="AF71">
        <f t="shared" ca="1" si="28"/>
        <v>8.8306261770244837E-2</v>
      </c>
      <c r="AG71">
        <f t="shared" ca="1" si="29"/>
        <v>8.7812230205300046E-2</v>
      </c>
      <c r="AH71">
        <f t="shared" ca="1" si="30"/>
        <v>8.7597571552471817E-2</v>
      </c>
      <c r="AI71">
        <f t="shared" ca="1" si="31"/>
        <v>8.6716652238346084E-2</v>
      </c>
      <c r="AJ71">
        <f t="shared" ca="1" si="32"/>
        <v>8.6212695024053584E-2</v>
      </c>
      <c r="AK71">
        <f t="shared" ca="1" si="33"/>
        <v>8.6339660135302976E-2</v>
      </c>
      <c r="AL71">
        <f t="shared" ca="1" si="34"/>
        <v>8.5650950137817372E-2</v>
      </c>
      <c r="AM71">
        <f t="shared" ca="1" si="35"/>
        <v>8.5133771192019078E-2</v>
      </c>
      <c r="AN71">
        <f t="shared" ca="1" si="36"/>
        <v>8.570508315764816E-2</v>
      </c>
      <c r="AO71">
        <f t="shared" ca="1" si="37"/>
        <v>8.5445845513911309E-2</v>
      </c>
      <c r="AP71">
        <f t="shared" ca="1" si="38"/>
        <v>8.7293410914578401E-2</v>
      </c>
      <c r="AQ71">
        <f t="shared" ca="1" si="39"/>
        <v>8.8784909645623092E-2</v>
      </c>
      <c r="AR71">
        <f t="shared" ca="1" si="40"/>
        <v>8.9433402376860135E-2</v>
      </c>
      <c r="AS71">
        <f t="shared" ca="1" si="41"/>
        <v>8.9177603959520971E-2</v>
      </c>
      <c r="AT71">
        <f t="shared" ca="1" si="42"/>
        <v>9.0348525469168897E-2</v>
      </c>
      <c r="AU71">
        <f t="shared" ca="1" si="43"/>
        <v>9.0188774077194847E-2</v>
      </c>
      <c r="AV71">
        <f t="shared" ca="1" si="44"/>
        <v>8.9539957977637044E-2</v>
      </c>
    </row>
    <row r="72" spans="1:48" ht="16" x14ac:dyDescent="0.2">
      <c r="A72" s="13" t="e" vm="1661">
        <v>#VALUE!</v>
      </c>
      <c r="B72" s="23" t="str" cm="1">
        <f t="array" aca="1" ref="B72" ca="1">_FV(A72,"ticker symbol",TRUE)</f>
        <v>IAI</v>
      </c>
      <c r="C72" s="23" t="str" cm="1">
        <f t="array" aca="1" ref="C72" ca="1">_FV(A72,"Name")</f>
        <v>iShares:US BD &amp; SE ETF</v>
      </c>
      <c r="D72" cm="1" vm="1662">
        <f t="array" aca="1" ref="D72:Y72" ca="1">TRANSPOSE(_xlfn.STOCKHISTORY(B72, WORKDAY(TODAY(), -23), TODAY(), 0, 0, 1))</f>
        <v>170.04</v>
      </c>
      <c r="E72" vm="1663">
        <f ca="1"/>
        <v>166.79</v>
      </c>
      <c r="F72" vm="1664">
        <f ca="1"/>
        <v>167.49</v>
      </c>
      <c r="G72" vm="1665">
        <f ca="1"/>
        <v>169.67</v>
      </c>
      <c r="H72" vm="1666">
        <f ca="1"/>
        <v>171.75</v>
      </c>
      <c r="I72" vm="1667">
        <f ca="1"/>
        <v>174.47</v>
      </c>
      <c r="J72" vm="1668">
        <f ca="1"/>
        <v>175.77</v>
      </c>
      <c r="K72" vm="1669">
        <f ca="1"/>
        <v>173.78</v>
      </c>
      <c r="L72" vm="1669">
        <f ca="1"/>
        <v>173.78</v>
      </c>
      <c r="M72" vm="1670">
        <f ca="1"/>
        <v>177.18</v>
      </c>
      <c r="N72" vm="1671">
        <f ca="1"/>
        <v>178.16</v>
      </c>
      <c r="O72" vm="1672">
        <f ca="1"/>
        <v>178.6</v>
      </c>
      <c r="P72" vm="1673">
        <f ca="1"/>
        <v>178.94</v>
      </c>
      <c r="Q72" vm="1674">
        <f ca="1"/>
        <v>180.06</v>
      </c>
      <c r="R72" vm="1675">
        <f ca="1"/>
        <v>181.29</v>
      </c>
      <c r="S72" vm="1676">
        <f ca="1"/>
        <v>182.22</v>
      </c>
      <c r="T72" vm="1677">
        <f ca="1"/>
        <v>180.49</v>
      </c>
      <c r="U72" vm="1678">
        <f ca="1"/>
        <v>178.86</v>
      </c>
      <c r="V72" vm="1679">
        <f ca="1"/>
        <v>178.41</v>
      </c>
      <c r="W72" vm="1680">
        <f ca="1"/>
        <v>177.96</v>
      </c>
      <c r="X72" vm="1681">
        <f ca="1"/>
        <v>177.34</v>
      </c>
      <c r="Y72" vm="122">
        <f ca="1"/>
        <v>180.12</v>
      </c>
      <c r="AA72">
        <f t="shared" ca="1" si="23"/>
        <v>0.25661379653803779</v>
      </c>
      <c r="AB72">
        <f t="shared" ca="1" si="24"/>
        <v>0.25560510627863853</v>
      </c>
      <c r="AC72">
        <f t="shared" ca="1" si="25"/>
        <v>0.25414624523921525</v>
      </c>
      <c r="AD72">
        <f t="shared" ca="1" si="26"/>
        <v>0.25371973741270765</v>
      </c>
      <c r="AE72">
        <f t="shared" ca="1" si="27"/>
        <v>0.25443690557316823</v>
      </c>
      <c r="AF72">
        <f t="shared" ca="1" si="28"/>
        <v>0.25669432674199627</v>
      </c>
      <c r="AG72">
        <f t="shared" ca="1" si="29"/>
        <v>0.25720306120955827</v>
      </c>
      <c r="AH72">
        <f t="shared" ca="1" si="30"/>
        <v>0.25545739191791494</v>
      </c>
      <c r="AI72">
        <f t="shared" ca="1" si="31"/>
        <v>0.25498510703857497</v>
      </c>
      <c r="AJ72">
        <f t="shared" ca="1" si="32"/>
        <v>0.25907675210925735</v>
      </c>
      <c r="AK72">
        <f t="shared" ca="1" si="33"/>
        <v>0.26031940852437935</v>
      </c>
      <c r="AL72">
        <f t="shared" ca="1" si="34"/>
        <v>0.26046755822602047</v>
      </c>
      <c r="AM72">
        <f t="shared" ca="1" si="35"/>
        <v>0.26174977692611501</v>
      </c>
      <c r="AN72">
        <f t="shared" ca="1" si="36"/>
        <v>0.26361560084328883</v>
      </c>
      <c r="AO72">
        <f t="shared" ca="1" si="37"/>
        <v>0.26366769928879963</v>
      </c>
      <c r="AP72">
        <f t="shared" ca="1" si="38"/>
        <v>0.26440500892377788</v>
      </c>
      <c r="AQ72">
        <f t="shared" ca="1" si="39"/>
        <v>0.26474125792067593</v>
      </c>
      <c r="AR72">
        <f t="shared" ca="1" si="40"/>
        <v>0.26274734476224054</v>
      </c>
      <c r="AS72">
        <f t="shared" ca="1" si="41"/>
        <v>0.26280436607892527</v>
      </c>
      <c r="AT72">
        <f t="shared" ca="1" si="42"/>
        <v>0.26505808757819482</v>
      </c>
      <c r="AU72">
        <f t="shared" ca="1" si="43"/>
        <v>0.26215501056957441</v>
      </c>
      <c r="AV72">
        <f t="shared" ca="1" si="44"/>
        <v>0.26465272778030824</v>
      </c>
    </row>
    <row r="73" spans="1:48" ht="16" x14ac:dyDescent="0.2">
      <c r="A73" s="13" t="e" vm="1682">
        <v>#VALUE!</v>
      </c>
      <c r="B73" s="23" t="str" cm="1">
        <f t="array" aca="1" ref="B73" ca="1">_FV(A73,"ticker symbol",TRUE)</f>
        <v>KCE</v>
      </c>
      <c r="C73" s="23" t="str" cm="1">
        <f t="array" aca="1" ref="C73" ca="1">_FV(A73,"Name")</f>
        <v>SS SPDR S&amp;P Cap Mkts</v>
      </c>
      <c r="D73" cm="1" vm="1683">
        <f t="array" aca="1" ref="D73:Y73" ca="1">TRANSPOSE(_xlfn.STOCKHISTORY(B73, WORKDAY(TODAY(), -23), TODAY(), 0, 0, 1))</f>
        <v>140.66999999999999</v>
      </c>
      <c r="E73" vm="1684">
        <f ca="1"/>
        <v>138.32</v>
      </c>
      <c r="F73" vm="1685">
        <f ca="1"/>
        <v>140.15</v>
      </c>
      <c r="G73" vm="1686">
        <f ca="1"/>
        <v>141.17500000000001</v>
      </c>
      <c r="H73" vm="1687">
        <f ca="1"/>
        <v>143.31</v>
      </c>
      <c r="I73" vm="1688">
        <f ca="1"/>
        <v>144.87</v>
      </c>
      <c r="J73" vm="1689">
        <f ca="1"/>
        <v>145.80000000000001</v>
      </c>
      <c r="K73" vm="1690">
        <f ca="1"/>
        <v>144.26</v>
      </c>
      <c r="L73" vm="1691">
        <f ca="1"/>
        <v>143.99</v>
      </c>
      <c r="M73" vm="1692">
        <f ca="1"/>
        <v>147.13</v>
      </c>
      <c r="N73" vm="1693">
        <f ca="1"/>
        <v>148.18</v>
      </c>
      <c r="O73" vm="1694">
        <f ca="1"/>
        <v>149.6942</v>
      </c>
      <c r="P73" vm="1695">
        <f ca="1"/>
        <v>149.08000000000001</v>
      </c>
      <c r="Q73" vm="1696">
        <f ca="1"/>
        <v>151.4873</v>
      </c>
      <c r="R73" vm="1697">
        <f ca="1"/>
        <v>153.12</v>
      </c>
      <c r="S73" vm="1698">
        <f ca="1"/>
        <v>154.34</v>
      </c>
      <c r="T73" vm="1699">
        <f ca="1"/>
        <v>152.02000000000001</v>
      </c>
      <c r="U73" vm="1700">
        <f ca="1"/>
        <v>150.69999999999999</v>
      </c>
      <c r="V73" vm="1701">
        <f ca="1"/>
        <v>150.62</v>
      </c>
      <c r="W73" vm="1702">
        <f ca="1"/>
        <v>149.87</v>
      </c>
      <c r="X73" vm="1703">
        <f ca="1"/>
        <v>149.715</v>
      </c>
      <c r="Y73" vm="124">
        <f ca="1"/>
        <v>150.92500000000001</v>
      </c>
      <c r="AA73">
        <f t="shared" ca="1" si="23"/>
        <v>0.21229041848392011</v>
      </c>
      <c r="AB73">
        <f t="shared" ca="1" si="24"/>
        <v>0.21197492835578441</v>
      </c>
      <c r="AC73">
        <f t="shared" ca="1" si="25"/>
        <v>0.21266103212296864</v>
      </c>
      <c r="AD73">
        <f t="shared" ca="1" si="26"/>
        <v>0.21110911728201218</v>
      </c>
      <c r="AE73">
        <f t="shared" ca="1" si="27"/>
        <v>0.21230482059790823</v>
      </c>
      <c r="AF73">
        <f t="shared" ca="1" si="28"/>
        <v>0.21314442090395483</v>
      </c>
      <c r="AG73">
        <f t="shared" ca="1" si="29"/>
        <v>0.21334816137198381</v>
      </c>
      <c r="AH73">
        <f t="shared" ca="1" si="30"/>
        <v>0.21206285739485792</v>
      </c>
      <c r="AI73">
        <f t="shared" ca="1" si="31"/>
        <v>0.2112746320778249</v>
      </c>
      <c r="AJ73">
        <f t="shared" ca="1" si="32"/>
        <v>0.21513693722674698</v>
      </c>
      <c r="AK73">
        <f t="shared" ca="1" si="33"/>
        <v>0.2165139759493856</v>
      </c>
      <c r="AL73">
        <f t="shared" ca="1" si="34"/>
        <v>0.21831177354197959</v>
      </c>
      <c r="AM73">
        <f t="shared" ca="1" si="35"/>
        <v>0.2180711788540585</v>
      </c>
      <c r="AN73">
        <f t="shared" ca="1" si="36"/>
        <v>0.22178393651909115</v>
      </c>
      <c r="AO73">
        <f t="shared" ca="1" si="37"/>
        <v>0.22269732536323572</v>
      </c>
      <c r="AP73">
        <f t="shared" ca="1" si="38"/>
        <v>0.22395054921137023</v>
      </c>
      <c r="AQ73">
        <f t="shared" ca="1" si="39"/>
        <v>0.2229816944379254</v>
      </c>
      <c r="AR73">
        <f t="shared" ca="1" si="40"/>
        <v>0.22137998912931703</v>
      </c>
      <c r="AS73">
        <f t="shared" ca="1" si="41"/>
        <v>0.22186869356430539</v>
      </c>
      <c r="AT73">
        <f t="shared" ca="1" si="42"/>
        <v>0.22322013702710755</v>
      </c>
      <c r="AU73">
        <f t="shared" ca="1" si="43"/>
        <v>0.22131801853740743</v>
      </c>
      <c r="AV73">
        <f t="shared" ca="1" si="44"/>
        <v>0.22175612336355222</v>
      </c>
    </row>
    <row r="74" spans="1:48" ht="16" x14ac:dyDescent="0.2">
      <c r="A74" s="13" t="e" vm="1704">
        <v>#VALUE!</v>
      </c>
      <c r="B74" s="23" t="str" cm="1">
        <f t="array" aca="1" ref="B74" ca="1">_FV(A74,"ticker symbol",TRUE)</f>
        <v>IYG</v>
      </c>
      <c r="C74" s="23" t="str" cm="1">
        <f t="array" aca="1" ref="C74" ca="1">_FV(A74,"Name")</f>
        <v>iShares:US Fnl Svc</v>
      </c>
      <c r="D74" cm="1" vm="1705">
        <f t="array" aca="1" ref="D74:Y74" ca="1">TRANSPOSE(_xlfn.STOCKHISTORY(B74, WORKDAY(TODAY(), -23), TODAY(), 0, 0, 1))</f>
        <v>86.34</v>
      </c>
      <c r="E74" vm="1706">
        <f ca="1"/>
        <v>85.33</v>
      </c>
      <c r="F74" vm="1707">
        <f ca="1"/>
        <v>86.33</v>
      </c>
      <c r="G74" vm="1708">
        <f ca="1"/>
        <v>86.93</v>
      </c>
      <c r="H74" vm="1709">
        <f ca="1"/>
        <v>88.09</v>
      </c>
      <c r="I74" vm="1710">
        <f ca="1"/>
        <v>88.82</v>
      </c>
      <c r="J74" vm="1711">
        <f ca="1"/>
        <v>89.49</v>
      </c>
      <c r="K74" vm="1712">
        <f ca="1"/>
        <v>88.79</v>
      </c>
      <c r="L74" vm="1499">
        <f ca="1"/>
        <v>88.77</v>
      </c>
      <c r="M74" vm="1713">
        <f ca="1"/>
        <v>90.14</v>
      </c>
      <c r="N74" vm="1714">
        <f ca="1"/>
        <v>90.39</v>
      </c>
      <c r="O74" vm="1715">
        <f ca="1"/>
        <v>90.52</v>
      </c>
      <c r="P74" vm="1716">
        <f ca="1"/>
        <v>90.2</v>
      </c>
      <c r="Q74" vm="1717">
        <f ca="1"/>
        <v>89.82</v>
      </c>
      <c r="R74" vm="1718">
        <f ca="1"/>
        <v>91.066000000000003</v>
      </c>
      <c r="S74" vm="1719">
        <f ca="1"/>
        <v>92.575000000000003</v>
      </c>
      <c r="T74" vm="1720">
        <f ca="1"/>
        <v>92.47</v>
      </c>
      <c r="U74" vm="1720">
        <f ca="1"/>
        <v>92.47</v>
      </c>
      <c r="V74" vm="1721">
        <f ca="1"/>
        <v>91.64</v>
      </c>
      <c r="W74" vm="1722">
        <f ca="1"/>
        <v>91.61</v>
      </c>
      <c r="X74" vm="1723">
        <f ca="1"/>
        <v>91.54</v>
      </c>
      <c r="Y74" vm="126">
        <f ca="1"/>
        <v>92.13</v>
      </c>
      <c r="AA74">
        <f t="shared" ca="1" si="23"/>
        <v>0.13029896020403545</v>
      </c>
      <c r="AB74">
        <f t="shared" ca="1" si="24"/>
        <v>0.13076793404134676</v>
      </c>
      <c r="AC74">
        <f t="shared" ca="1" si="25"/>
        <v>0.13099555407189353</v>
      </c>
      <c r="AD74">
        <f t="shared" ca="1" si="26"/>
        <v>0.12999267267806142</v>
      </c>
      <c r="AE74">
        <f t="shared" ca="1" si="27"/>
        <v>0.13049983704186544</v>
      </c>
      <c r="AF74">
        <f t="shared" ca="1" si="28"/>
        <v>0.13067914312617701</v>
      </c>
      <c r="AG74">
        <f t="shared" ca="1" si="29"/>
        <v>0.13095011633181639</v>
      </c>
      <c r="AH74">
        <f t="shared" ca="1" si="30"/>
        <v>0.13052170461728432</v>
      </c>
      <c r="AI74">
        <f t="shared" ca="1" si="31"/>
        <v>0.13025105277830762</v>
      </c>
      <c r="AJ74">
        <f t="shared" ca="1" si="32"/>
        <v>0.13180482241296115</v>
      </c>
      <c r="AK74">
        <f t="shared" ca="1" si="33"/>
        <v>0.13207381756016306</v>
      </c>
      <c r="AL74">
        <f t="shared" ca="1" si="34"/>
        <v>0.13201300879406144</v>
      </c>
      <c r="AM74">
        <f t="shared" ca="1" si="35"/>
        <v>0.1319427175518921</v>
      </c>
      <c r="AN74">
        <f t="shared" ca="1" si="36"/>
        <v>0.13150035137034433</v>
      </c>
      <c r="AO74">
        <f t="shared" ca="1" si="37"/>
        <v>0.13244615093735909</v>
      </c>
      <c r="AP74">
        <f t="shared" ca="1" si="38"/>
        <v>0.13432824992382142</v>
      </c>
      <c r="AQ74">
        <f t="shared" ca="1" si="39"/>
        <v>0.1356342407885473</v>
      </c>
      <c r="AR74">
        <f t="shared" ca="1" si="40"/>
        <v>0.13583946645512904</v>
      </c>
      <c r="AS74">
        <f t="shared" ca="1" si="41"/>
        <v>0.13498902588124384</v>
      </c>
      <c r="AT74">
        <f t="shared" ca="1" si="42"/>
        <v>0.13644623175454276</v>
      </c>
      <c r="AU74">
        <f t="shared" ca="1" si="43"/>
        <v>0.13532011766966753</v>
      </c>
      <c r="AV74">
        <f t="shared" ca="1" si="44"/>
        <v>0.13536784260714965</v>
      </c>
    </row>
    <row r="75" spans="1:48" ht="16" x14ac:dyDescent="0.2">
      <c r="A75" s="13" t="e" vm="1724">
        <v>#VALUE!</v>
      </c>
      <c r="B75" s="23" t="str" cm="1">
        <f t="array" aca="1" ref="B75" ca="1">_FV(A75,"ticker symbol",TRUE)</f>
        <v>VFH</v>
      </c>
      <c r="C75" s="23" t="str" cm="1">
        <f t="array" aca="1" ref="C75" ca="1">_FV(A75,"Name")</f>
        <v>Vanguard Finl Indx;ETF</v>
      </c>
      <c r="D75" cm="1" vm="1725">
        <f t="array" aca="1" ref="D75:Y75" ca="1">TRANSPOSE(_xlfn.STOCKHISTORY(B75, WORKDAY(TODAY(), -23), TODAY(), 0, 0, 1))</f>
        <v>125.47</v>
      </c>
      <c r="E75" vm="1726">
        <f ca="1"/>
        <v>124.33</v>
      </c>
      <c r="F75" vm="1727">
        <f ca="1"/>
        <v>125.95</v>
      </c>
      <c r="G75" vm="1728">
        <f ca="1"/>
        <v>126.47</v>
      </c>
      <c r="H75" vm="1288">
        <f ca="1"/>
        <v>128.30000000000001</v>
      </c>
      <c r="I75" vm="1729">
        <f ca="1"/>
        <v>129.22</v>
      </c>
      <c r="J75" vm="1730">
        <f ca="1"/>
        <v>130</v>
      </c>
      <c r="K75" vm="1731">
        <f ca="1"/>
        <v>129.15</v>
      </c>
      <c r="L75" vm="1732">
        <f ca="1"/>
        <v>128.94999999999999</v>
      </c>
      <c r="M75" vm="1733">
        <f ca="1"/>
        <v>130.76</v>
      </c>
      <c r="N75" vm="1734">
        <f ca="1"/>
        <v>131.07</v>
      </c>
      <c r="O75" vm="1735">
        <f ca="1"/>
        <v>131.02000000000001</v>
      </c>
      <c r="P75" vm="1736">
        <f ca="1"/>
        <v>130.59</v>
      </c>
      <c r="Q75" vm="1737">
        <f ca="1"/>
        <v>130.32</v>
      </c>
      <c r="R75" vm="1738">
        <f ca="1"/>
        <v>132.06</v>
      </c>
      <c r="S75" vm="1739">
        <f ca="1"/>
        <v>134.37</v>
      </c>
      <c r="T75" vm="1740">
        <f ca="1"/>
        <v>134.38999999999999</v>
      </c>
      <c r="U75" vm="1741">
        <f ca="1"/>
        <v>134.44</v>
      </c>
      <c r="V75" vm="1742">
        <f ca="1"/>
        <v>133.69</v>
      </c>
      <c r="W75" vm="1743">
        <f ca="1"/>
        <v>132.88</v>
      </c>
      <c r="X75" vm="1744">
        <f ca="1"/>
        <v>132.86000000000001</v>
      </c>
      <c r="Y75" vm="127">
        <f ca="1"/>
        <v>133.63999999999999</v>
      </c>
      <c r="AA75">
        <f t="shared" ca="1" si="23"/>
        <v>0.18935152347463893</v>
      </c>
      <c r="AB75">
        <f t="shared" ca="1" si="24"/>
        <v>0.19053530105895514</v>
      </c>
      <c r="AC75">
        <f t="shared" ca="1" si="25"/>
        <v>0.19111421331350623</v>
      </c>
      <c r="AD75">
        <f t="shared" ca="1" si="26"/>
        <v>0.18911967460709106</v>
      </c>
      <c r="AE75">
        <f t="shared" ca="1" si="27"/>
        <v>0.19006844241652102</v>
      </c>
      <c r="AF75">
        <f t="shared" ca="1" si="28"/>
        <v>0.19011887947269304</v>
      </c>
      <c r="AG75">
        <f t="shared" ca="1" si="29"/>
        <v>0.1902281274235795</v>
      </c>
      <c r="AH75">
        <f t="shared" ca="1" si="30"/>
        <v>0.18985108853837449</v>
      </c>
      <c r="AI75">
        <f t="shared" ca="1" si="31"/>
        <v>0.18920663800566373</v>
      </c>
      <c r="AJ75">
        <f t="shared" ca="1" si="32"/>
        <v>0.19120033923584201</v>
      </c>
      <c r="AK75">
        <f t="shared" ca="1" si="33"/>
        <v>0.19151361066058825</v>
      </c>
      <c r="AL75">
        <f t="shared" ca="1" si="34"/>
        <v>0.19107760066502355</v>
      </c>
      <c r="AM75">
        <f t="shared" ca="1" si="35"/>
        <v>0.19102438453549436</v>
      </c>
      <c r="AN75">
        <f t="shared" ca="1" si="36"/>
        <v>0.19079409697821503</v>
      </c>
      <c r="AO75">
        <f t="shared" ca="1" si="37"/>
        <v>0.19206771674156811</v>
      </c>
      <c r="AP75">
        <f t="shared" ca="1" si="38"/>
        <v>0.19497366397260474</v>
      </c>
      <c r="AQ75">
        <f t="shared" ca="1" si="39"/>
        <v>0.19712215442384415</v>
      </c>
      <c r="AR75">
        <f t="shared" ca="1" si="40"/>
        <v>0.19749386687820428</v>
      </c>
      <c r="AS75">
        <f t="shared" ca="1" si="41"/>
        <v>0.19693019282042218</v>
      </c>
      <c r="AT75">
        <f t="shared" ca="1" si="42"/>
        <v>0.19791480488531427</v>
      </c>
      <c r="AU75">
        <f t="shared" ca="1" si="43"/>
        <v>0.1964019099147043</v>
      </c>
      <c r="AV75">
        <f t="shared" ca="1" si="44"/>
        <v>0.19635904141994442</v>
      </c>
    </row>
    <row r="76" spans="1:48" ht="16" x14ac:dyDescent="0.2">
      <c r="A76" s="13" t="e" vm="1745">
        <v>#VALUE!</v>
      </c>
      <c r="B76" s="23" t="str" cm="1">
        <f t="array" aca="1" ref="B76" ca="1">_FV(A76,"ticker symbol",TRUE)</f>
        <v>ITA</v>
      </c>
      <c r="C76" s="23" t="str" cm="1">
        <f t="array" aca="1" ref="C76" ca="1">_FV(A76,"Name")</f>
        <v>iShares:US Aer&amp;Def ETF</v>
      </c>
      <c r="D76" cm="1" vm="1746">
        <f t="array" aca="1" ref="D76:Y76" ca="1">TRANSPOSE(_xlfn.STOCKHISTORY(B76, WORKDAY(TODAY(), -23), TODAY(), 0, 0, 1))</f>
        <v>203.13</v>
      </c>
      <c r="E76" vm="1747">
        <f ca="1"/>
        <v>198.77</v>
      </c>
      <c r="F76" vm="1748">
        <f ca="1"/>
        <v>198.23</v>
      </c>
      <c r="G76" vm="1749">
        <f ca="1"/>
        <v>200.69</v>
      </c>
      <c r="H76" vm="1750">
        <f ca="1"/>
        <v>202.4</v>
      </c>
      <c r="I76" vm="1751">
        <f ca="1"/>
        <v>203.7</v>
      </c>
      <c r="J76" vm="1752">
        <f ca="1"/>
        <v>205.1</v>
      </c>
      <c r="K76" vm="1753">
        <f ca="1"/>
        <v>199.24</v>
      </c>
      <c r="L76" vm="1754">
        <f ca="1"/>
        <v>201.31</v>
      </c>
      <c r="M76" vm="1755">
        <f ca="1"/>
        <v>201.62</v>
      </c>
      <c r="N76" vm="1756">
        <f ca="1"/>
        <v>204.67</v>
      </c>
      <c r="O76" vm="1757">
        <f ca="1"/>
        <v>202.41</v>
      </c>
      <c r="P76" vm="1758">
        <f ca="1"/>
        <v>204.35</v>
      </c>
      <c r="Q76" vm="1759">
        <f ca="1"/>
        <v>202.63</v>
      </c>
      <c r="R76" vm="1760">
        <f ca="1"/>
        <v>204.44</v>
      </c>
      <c r="S76" vm="1761">
        <f ca="1"/>
        <v>208.27</v>
      </c>
      <c r="T76" vm="1762">
        <f ca="1"/>
        <v>209.41</v>
      </c>
      <c r="U76" vm="1763">
        <f ca="1"/>
        <v>209.64</v>
      </c>
      <c r="V76" vm="1764">
        <f ca="1"/>
        <v>207.95</v>
      </c>
      <c r="W76" vm="1765">
        <f ca="1"/>
        <v>204.8</v>
      </c>
      <c r="X76" vm="1766">
        <f ca="1"/>
        <v>208.25</v>
      </c>
      <c r="Y76" vm="129">
        <f ca="1"/>
        <v>213.91</v>
      </c>
      <c r="AA76">
        <f t="shared" ca="1" si="23"/>
        <v>0.30655116731811116</v>
      </c>
      <c r="AB76">
        <f t="shared" ca="1" si="24"/>
        <v>0.30461434723307745</v>
      </c>
      <c r="AC76">
        <f t="shared" ca="1" si="25"/>
        <v>0.30079055581688241</v>
      </c>
      <c r="AD76">
        <f t="shared" ca="1" si="26"/>
        <v>0.30010617139951845</v>
      </c>
      <c r="AE76">
        <f t="shared" ca="1" si="27"/>
        <v>0.29984296761577434</v>
      </c>
      <c r="AF76">
        <f t="shared" ca="1" si="28"/>
        <v>0.29969985875706218</v>
      </c>
      <c r="AG76">
        <f t="shared" ca="1" si="29"/>
        <v>0.30012145334289353</v>
      </c>
      <c r="AH76">
        <f t="shared" ca="1" si="30"/>
        <v>0.29288370793949464</v>
      </c>
      <c r="AI76">
        <f t="shared" ca="1" si="31"/>
        <v>0.2953795137411413</v>
      </c>
      <c r="AJ76">
        <f t="shared" ca="1" si="32"/>
        <v>0.29481349339806112</v>
      </c>
      <c r="AK76">
        <f t="shared" ca="1" si="33"/>
        <v>0.29905463259252762</v>
      </c>
      <c r="AL76">
        <f t="shared" ca="1" si="34"/>
        <v>0.29519170470620831</v>
      </c>
      <c r="AM76">
        <f t="shared" ca="1" si="35"/>
        <v>0.2989190058950017</v>
      </c>
      <c r="AN76">
        <f t="shared" ca="1" si="36"/>
        <v>0.29665905364253925</v>
      </c>
      <c r="AO76">
        <f t="shared" ca="1" si="37"/>
        <v>0.29733699841470684</v>
      </c>
      <c r="AP76">
        <f t="shared" ca="1" si="38"/>
        <v>0.30220410058476144</v>
      </c>
      <c r="AQ76">
        <f t="shared" ca="1" si="39"/>
        <v>0.30716087772823281</v>
      </c>
      <c r="AR76">
        <f t="shared" ca="1" si="40"/>
        <v>0.30796350976157943</v>
      </c>
      <c r="AS76">
        <f t="shared" ca="1" si="41"/>
        <v>0.30631785172418868</v>
      </c>
      <c r="AT76">
        <f t="shared" ca="1" si="42"/>
        <v>0.30503425677688417</v>
      </c>
      <c r="AU76">
        <f t="shared" ca="1" si="43"/>
        <v>0.30784809378095113</v>
      </c>
      <c r="AV76">
        <f t="shared" ca="1" si="44"/>
        <v>0.31430082722343849</v>
      </c>
    </row>
    <row r="77" spans="1:48" ht="16" x14ac:dyDescent="0.2">
      <c r="A77" s="13" t="e" vm="1767">
        <v>#VALUE!</v>
      </c>
      <c r="B77" s="23" t="str" cm="1">
        <f t="array" aca="1" ref="B77" ca="1">_FV(A77,"ticker symbol",TRUE)</f>
        <v>PPA</v>
      </c>
      <c r="C77" s="23" t="str" cm="1">
        <f t="array" aca="1" ref="C77" ca="1">_FV(A77,"Name")</f>
        <v>Invesco Aerospace</v>
      </c>
      <c r="D77" cm="1" vm="1768">
        <f t="array" aca="1" ref="D77:Y77" ca="1">TRANSPOSE(_xlfn.STOCKHISTORY(B77, WORKDAY(TODAY(), -23), TODAY(), 0, 0, 1))</f>
        <v>148.94999999999999</v>
      </c>
      <c r="E77" vm="1769">
        <f ca="1"/>
        <v>146.12</v>
      </c>
      <c r="F77" vm="1770">
        <f ca="1"/>
        <v>146.28</v>
      </c>
      <c r="G77" vm="1771">
        <f ca="1"/>
        <v>147.62</v>
      </c>
      <c r="H77" vm="1772">
        <f ca="1"/>
        <v>149.33000000000001</v>
      </c>
      <c r="I77" vm="1773">
        <f ca="1"/>
        <v>150.15</v>
      </c>
      <c r="J77" vm="1774">
        <f ca="1"/>
        <v>151.31</v>
      </c>
      <c r="K77" vm="1775">
        <f ca="1"/>
        <v>147.55000000000001</v>
      </c>
      <c r="L77" vm="1776">
        <f ca="1"/>
        <v>149.13</v>
      </c>
      <c r="M77" vm="1777">
        <f ca="1"/>
        <v>149.84</v>
      </c>
      <c r="N77" vm="1778">
        <f ca="1"/>
        <v>151.85</v>
      </c>
      <c r="O77" vm="1700">
        <f ca="1"/>
        <v>150.69999999999999</v>
      </c>
      <c r="P77" vm="1779">
        <f ca="1"/>
        <v>152</v>
      </c>
      <c r="Q77" vm="1780">
        <f ca="1"/>
        <v>150.85</v>
      </c>
      <c r="R77" vm="1781">
        <f ca="1"/>
        <v>152.37</v>
      </c>
      <c r="S77" vm="1782">
        <f ca="1"/>
        <v>154.63</v>
      </c>
      <c r="T77" vm="1783">
        <f ca="1"/>
        <v>154.1</v>
      </c>
      <c r="U77" vm="1784">
        <f ca="1"/>
        <v>154.31</v>
      </c>
      <c r="V77" vm="1785">
        <f ca="1"/>
        <v>153.16999999999999</v>
      </c>
      <c r="W77" vm="1786">
        <f ca="1"/>
        <v>151.38</v>
      </c>
      <c r="X77" vm="1787">
        <f ca="1"/>
        <v>152.72</v>
      </c>
      <c r="Y77" vm="131">
        <f ca="1"/>
        <v>156.24</v>
      </c>
      <c r="AA77">
        <f t="shared" ca="1" si="23"/>
        <v>0.22478607971266015</v>
      </c>
      <c r="AB77">
        <f t="shared" ca="1" si="24"/>
        <v>0.22392840175930609</v>
      </c>
      <c r="AC77">
        <f t="shared" ca="1" si="25"/>
        <v>0.22196258136958866</v>
      </c>
      <c r="AD77">
        <f t="shared" ca="1" si="26"/>
        <v>0.22074678868900752</v>
      </c>
      <c r="AE77">
        <f t="shared" ca="1" si="27"/>
        <v>0.22122307487185566</v>
      </c>
      <c r="AF77">
        <f t="shared" ca="1" si="28"/>
        <v>0.22091278248587573</v>
      </c>
      <c r="AG77">
        <f t="shared" ca="1" si="29"/>
        <v>0.22141090738816782</v>
      </c>
      <c r="AH77">
        <f t="shared" ca="1" si="30"/>
        <v>0.21689917238743442</v>
      </c>
      <c r="AI77">
        <f t="shared" ca="1" si="31"/>
        <v>0.21881648643493318</v>
      </c>
      <c r="AJ77">
        <f t="shared" ca="1" si="32"/>
        <v>0.21909956279518636</v>
      </c>
      <c r="AK77">
        <f t="shared" ca="1" si="33"/>
        <v>0.22187641549408962</v>
      </c>
      <c r="AL77">
        <f t="shared" ca="1" si="34"/>
        <v>0.2197786171593577</v>
      </c>
      <c r="AM77">
        <f t="shared" ca="1" si="35"/>
        <v>0.22234249520939689</v>
      </c>
      <c r="AN77">
        <f t="shared" ca="1" si="36"/>
        <v>0.22085090185055048</v>
      </c>
      <c r="AO77">
        <f t="shared" ca="1" si="37"/>
        <v>0.22160652733539857</v>
      </c>
      <c r="AP77">
        <f t="shared" ca="1" si="38"/>
        <v>0.22437134524137731</v>
      </c>
      <c r="AQ77">
        <f t="shared" ca="1" si="39"/>
        <v>0.22603262145036376</v>
      </c>
      <c r="AR77">
        <f t="shared" ca="1" si="40"/>
        <v>0.2266831195922025</v>
      </c>
      <c r="AS77">
        <f t="shared" ca="1" si="41"/>
        <v>0.22562493555467172</v>
      </c>
      <c r="AT77">
        <f t="shared" ca="1" si="42"/>
        <v>0.22546916890080429</v>
      </c>
      <c r="AU77">
        <f t="shared" ca="1" si="43"/>
        <v>0.22576019631321417</v>
      </c>
      <c r="AV77">
        <f t="shared" ca="1" si="44"/>
        <v>0.2295655240306205</v>
      </c>
    </row>
    <row r="78" spans="1:48" ht="16" x14ac:dyDescent="0.2">
      <c r="A78" s="13" t="e" vm="1788">
        <v>#VALUE!</v>
      </c>
      <c r="B78" s="23" t="str" cm="1">
        <f t="array" aca="1" ref="B78" ca="1">_FV(A78,"ticker symbol",TRUE)</f>
        <v>XAR</v>
      </c>
      <c r="C78" s="23" t="str" cm="1">
        <f t="array" aca="1" ref="C78" ca="1">_FV(A78,"Name")</f>
        <v>SS SPDR S&amp;P Aero&amp;Def</v>
      </c>
      <c r="D78" cm="1" vm="1789">
        <f t="array" aca="1" ref="D78:Y78" ca="1">TRANSPOSE(_xlfn.STOCKHISTORY(B78, WORKDAY(TODAY(), -23), TODAY(), 0, 0, 1))</f>
        <v>224.19</v>
      </c>
      <c r="E78" vm="1790">
        <f ca="1"/>
        <v>218.75</v>
      </c>
      <c r="F78" vm="1791">
        <f ca="1"/>
        <v>220.08</v>
      </c>
      <c r="G78" vm="1792">
        <f ca="1"/>
        <v>223.63</v>
      </c>
      <c r="H78" vm="1793">
        <f ca="1"/>
        <v>227.65</v>
      </c>
      <c r="I78" vm="1794">
        <f ca="1"/>
        <v>229.3</v>
      </c>
      <c r="J78" vm="1795">
        <f ca="1"/>
        <v>230.29</v>
      </c>
      <c r="K78" vm="1796">
        <f ca="1"/>
        <v>224.26</v>
      </c>
      <c r="L78" vm="1797">
        <f ca="1"/>
        <v>225.86</v>
      </c>
      <c r="M78" vm="1798">
        <f ca="1"/>
        <v>227.91</v>
      </c>
      <c r="N78" vm="1799">
        <f ca="1"/>
        <v>233.65</v>
      </c>
      <c r="O78" vm="1800">
        <f ca="1"/>
        <v>230.82</v>
      </c>
      <c r="P78" vm="1801">
        <f ca="1"/>
        <v>233.15</v>
      </c>
      <c r="Q78" vm="1802">
        <f ca="1"/>
        <v>231.15</v>
      </c>
      <c r="R78" vm="1803">
        <f ca="1"/>
        <v>233.75</v>
      </c>
      <c r="S78" vm="1804">
        <f ca="1"/>
        <v>239.28</v>
      </c>
      <c r="T78" vm="1805">
        <f ca="1"/>
        <v>236.69</v>
      </c>
      <c r="U78" vm="1806">
        <f ca="1"/>
        <v>234.34</v>
      </c>
      <c r="V78" vm="1807">
        <f ca="1"/>
        <v>232.85</v>
      </c>
      <c r="W78" vm="1808">
        <f ca="1"/>
        <v>228.93</v>
      </c>
      <c r="X78" vm="1809">
        <f ca="1"/>
        <v>233.14</v>
      </c>
      <c r="Y78" vm="133">
        <f ca="1"/>
        <v>241.28</v>
      </c>
      <c r="AA78">
        <f t="shared" ca="1" si="23"/>
        <v>0.33833361000860207</v>
      </c>
      <c r="AB78">
        <f t="shared" ca="1" si="24"/>
        <v>0.33523362910517523</v>
      </c>
      <c r="AC78">
        <f t="shared" ca="1" si="25"/>
        <v>0.33394534391454112</v>
      </c>
      <c r="AD78">
        <f t="shared" ca="1" si="26"/>
        <v>0.33441000104676027</v>
      </c>
      <c r="AE78">
        <f t="shared" ca="1" si="27"/>
        <v>0.33724926668839444</v>
      </c>
      <c r="AF78">
        <f t="shared" ca="1" si="28"/>
        <v>0.33736464218455747</v>
      </c>
      <c r="AG78">
        <f t="shared" ca="1" si="29"/>
        <v>0.33698181126443172</v>
      </c>
      <c r="AH78">
        <f t="shared" ca="1" si="30"/>
        <v>0.32966322195598807</v>
      </c>
      <c r="AI78">
        <f t="shared" ca="1" si="31"/>
        <v>0.33140140566079268</v>
      </c>
      <c r="AJ78">
        <f t="shared" ca="1" si="32"/>
        <v>0.33325534808229396</v>
      </c>
      <c r="AK78">
        <f t="shared" ca="1" si="33"/>
        <v>0.3413989099782288</v>
      </c>
      <c r="AL78">
        <f t="shared" ca="1" si="34"/>
        <v>0.33662442211494986</v>
      </c>
      <c r="AM78">
        <f t="shared" ca="1" si="35"/>
        <v>0.34104705761888743</v>
      </c>
      <c r="AN78">
        <f t="shared" ca="1" si="36"/>
        <v>0.33841356289529168</v>
      </c>
      <c r="AO78">
        <f t="shared" ca="1" si="37"/>
        <v>0.33996538534258325</v>
      </c>
      <c r="AP78">
        <f t="shared" ca="1" si="38"/>
        <v>0.34720025537965959</v>
      </c>
      <c r="AQ78">
        <f t="shared" ca="1" si="39"/>
        <v>0.34717495892982869</v>
      </c>
      <c r="AR78">
        <f t="shared" ca="1" si="40"/>
        <v>0.34424808661290085</v>
      </c>
      <c r="AS78">
        <f t="shared" ca="1" si="41"/>
        <v>0.34299644998306006</v>
      </c>
      <c r="AT78">
        <f t="shared" ca="1" si="42"/>
        <v>0.34097408400357465</v>
      </c>
      <c r="AU78">
        <f t="shared" ca="1" si="43"/>
        <v>0.34464203881916416</v>
      </c>
      <c r="AV78">
        <f t="shared" ca="1" si="44"/>
        <v>0.35451593470371295</v>
      </c>
    </row>
    <row r="79" spans="1:48" ht="16" x14ac:dyDescent="0.2">
      <c r="A79" s="13" t="e" vm="1810">
        <v>#VALUE!</v>
      </c>
      <c r="B79" s="23" t="str" cm="1">
        <f t="array" aca="1" ref="B79" ca="1">_FV(A79,"ticker symbol",TRUE)</f>
        <v>IYT</v>
      </c>
      <c r="C79" s="23" t="str" cm="1">
        <f t="array" aca="1" ref="C79" ca="1">_FV(A79,"Name")</f>
        <v>iShares:US Transportatn</v>
      </c>
      <c r="D79" cm="1" vm="1811">
        <f t="array" aca="1" ref="D79:Y79" ca="1">TRANSPOSE(_xlfn.STOCKHISTORY(B79, WORKDAY(TODAY(), -23), TODAY(), 0, 0, 1))</f>
        <v>69.73</v>
      </c>
      <c r="E79" vm="1812">
        <f ca="1"/>
        <v>68.14</v>
      </c>
      <c r="F79" vm="1813">
        <f ca="1"/>
        <v>70.03</v>
      </c>
      <c r="G79" vm="1814">
        <f ca="1"/>
        <v>70.180000000000007</v>
      </c>
      <c r="H79" vm="1815">
        <f ca="1"/>
        <v>71.45</v>
      </c>
      <c r="I79" vm="1816">
        <f ca="1"/>
        <v>72.44</v>
      </c>
      <c r="J79" vm="1817">
        <f ca="1"/>
        <v>72.98</v>
      </c>
      <c r="K79" vm="1818">
        <f ca="1"/>
        <v>72.84</v>
      </c>
      <c r="L79" vm="1819">
        <f ca="1"/>
        <v>73.41</v>
      </c>
      <c r="M79" vm="1820">
        <f ca="1"/>
        <v>75.27</v>
      </c>
      <c r="N79" vm="1821">
        <f ca="1"/>
        <v>75.39</v>
      </c>
      <c r="O79" vm="1822">
        <f ca="1"/>
        <v>75.790000000000006</v>
      </c>
      <c r="P79" vm="1823">
        <f ca="1"/>
        <v>75.88</v>
      </c>
      <c r="Q79" vm="1824">
        <f ca="1"/>
        <v>75.06</v>
      </c>
      <c r="R79" vm="1825">
        <f ca="1"/>
        <v>75.83</v>
      </c>
      <c r="S79" vm="1826">
        <f ca="1"/>
        <v>76.45</v>
      </c>
      <c r="T79" vm="1827">
        <f ca="1"/>
        <v>76.38</v>
      </c>
      <c r="U79" vm="1828">
        <f ca="1"/>
        <v>75.72</v>
      </c>
      <c r="V79" vm="1829">
        <f ca="1"/>
        <v>75.319999999999993</v>
      </c>
      <c r="W79" vm="1830">
        <f ca="1"/>
        <v>74.61</v>
      </c>
      <c r="X79" vm="1831">
        <f ca="1"/>
        <v>75.02</v>
      </c>
      <c r="Y79" vm="135">
        <f ca="1"/>
        <v>75.03</v>
      </c>
      <c r="AA79">
        <f t="shared" ca="1" si="23"/>
        <v>0.1052321808550775</v>
      </c>
      <c r="AB79">
        <f t="shared" ca="1" si="24"/>
        <v>0.10442431765589322</v>
      </c>
      <c r="AC79">
        <f t="shared" ca="1" si="25"/>
        <v>0.10626223388920081</v>
      </c>
      <c r="AD79">
        <f t="shared" ca="1" si="26"/>
        <v>0.10494519462264293</v>
      </c>
      <c r="AE79">
        <f t="shared" ca="1" si="27"/>
        <v>0.10584871559361204</v>
      </c>
      <c r="AF79">
        <f t="shared" ca="1" si="28"/>
        <v>0.10657956685499059</v>
      </c>
      <c r="AG79">
        <f t="shared" ca="1" si="29"/>
        <v>0.1067911441490218</v>
      </c>
      <c r="AH79">
        <f t="shared" ca="1" si="30"/>
        <v>0.107075131932909</v>
      </c>
      <c r="AI79">
        <f t="shared" ca="1" si="31"/>
        <v>0.10771352691737708</v>
      </c>
      <c r="AJ79">
        <f t="shared" ca="1" si="32"/>
        <v>0.11006155960753922</v>
      </c>
      <c r="AK79">
        <f t="shared" ca="1" si="33"/>
        <v>0.11015648972077324</v>
      </c>
      <c r="AL79">
        <f t="shared" ca="1" si="34"/>
        <v>0.11053099797284487</v>
      </c>
      <c r="AM79">
        <f t="shared" ca="1" si="35"/>
        <v>0.11099571405584892</v>
      </c>
      <c r="AN79">
        <f t="shared" ca="1" si="36"/>
        <v>0.1098910751932537</v>
      </c>
      <c r="AO79">
        <f t="shared" ca="1" si="37"/>
        <v>0.11028695260118969</v>
      </c>
      <c r="AP79">
        <f t="shared" ca="1" si="38"/>
        <v>0.11093053963463298</v>
      </c>
      <c r="AQ79">
        <f t="shared" ca="1" si="39"/>
        <v>0.11203356019713681</v>
      </c>
      <c r="AR79">
        <f t="shared" ca="1" si="40"/>
        <v>0.11123352871182407</v>
      </c>
      <c r="AS79">
        <f t="shared" ca="1" si="41"/>
        <v>0.11094907714289921</v>
      </c>
      <c r="AT79">
        <f t="shared" ca="1" si="42"/>
        <v>0.11112600536193029</v>
      </c>
      <c r="AU79">
        <f t="shared" ca="1" si="43"/>
        <v>0.11089922686889292</v>
      </c>
      <c r="AV79">
        <f t="shared" ca="1" si="44"/>
        <v>0.11024258364066472</v>
      </c>
    </row>
    <row r="80" spans="1:48" ht="16" x14ac:dyDescent="0.2">
      <c r="A80" s="13" t="e" vm="1832">
        <v>#VALUE!</v>
      </c>
      <c r="B80" s="23" t="str" cm="1">
        <f t="array" aca="1" ref="B80" ca="1">_FV(A80,"ticker symbol",TRUE)</f>
        <v>XTN</v>
      </c>
      <c r="C80" s="23" t="str" cm="1">
        <f t="array" aca="1" ref="C80" ca="1">_FV(A80,"Name")</f>
        <v>SPDR S&amp;P Trans</v>
      </c>
      <c r="D80" cm="1" vm="1833">
        <f t="array" aca="1" ref="D80:Y80" ca="1">TRANSPOSE(_xlfn.STOCKHISTORY(B80, WORKDAY(TODAY(), -23), TODAY(), 0, 0, 1))</f>
        <v>80.547700000000006</v>
      </c>
      <c r="E80" vm="1834">
        <f ca="1"/>
        <v>79.2</v>
      </c>
      <c r="F80" vm="1835">
        <f ca="1"/>
        <v>82.2</v>
      </c>
      <c r="G80" vm="1836">
        <f ca="1"/>
        <v>82.97</v>
      </c>
      <c r="H80" vm="1837">
        <f ca="1"/>
        <v>85.308700000000002</v>
      </c>
      <c r="I80" vm="1838">
        <f ca="1"/>
        <v>86.307199999999995</v>
      </c>
      <c r="J80" vm="1839">
        <f ca="1"/>
        <v>86.823999999999998</v>
      </c>
      <c r="K80" vm="1840">
        <f ca="1"/>
        <v>86.9</v>
      </c>
      <c r="L80" vm="1841">
        <f ca="1"/>
        <v>88.14</v>
      </c>
      <c r="M80" vm="1842">
        <f ca="1"/>
        <v>90.62</v>
      </c>
      <c r="N80" vm="1843">
        <f ca="1"/>
        <v>90.81</v>
      </c>
      <c r="O80" vm="1844">
        <f ca="1"/>
        <v>92</v>
      </c>
      <c r="P80" vm="1845">
        <f ca="1"/>
        <v>91.88</v>
      </c>
      <c r="Q80" vm="1722">
        <f ca="1"/>
        <v>91.61</v>
      </c>
      <c r="R80" vm="1846">
        <f ca="1"/>
        <v>94.11</v>
      </c>
      <c r="S80" vm="1847">
        <f ca="1"/>
        <v>94.559200000000004</v>
      </c>
      <c r="T80" vm="1848">
        <f ca="1"/>
        <v>94.06</v>
      </c>
      <c r="U80" vm="1849">
        <f ca="1"/>
        <v>93.614500000000007</v>
      </c>
      <c r="V80" vm="1850">
        <f ca="1"/>
        <v>93.587100000000007</v>
      </c>
      <c r="W80" vm="1720">
        <f ca="1"/>
        <v>92.47</v>
      </c>
      <c r="X80" vm="1851">
        <f ca="1"/>
        <v>93.344200000000001</v>
      </c>
      <c r="Y80" vm="137">
        <f ca="1"/>
        <v>93.1</v>
      </c>
      <c r="AA80">
        <f t="shared" ca="1" si="23"/>
        <v>0.12155758115388679</v>
      </c>
      <c r="AB80">
        <f t="shared" ca="1" si="24"/>
        <v>0.12137372994345089</v>
      </c>
      <c r="AC80">
        <f t="shared" ca="1" si="25"/>
        <v>0.12472876803787386</v>
      </c>
      <c r="AD80">
        <f t="shared" ca="1" si="26"/>
        <v>0.12407100025421321</v>
      </c>
      <c r="AE80">
        <f t="shared" ca="1" si="27"/>
        <v>0.1263795146810465</v>
      </c>
      <c r="AF80">
        <f t="shared" ca="1" si="28"/>
        <v>0.12698210922787195</v>
      </c>
      <c r="AG80">
        <f t="shared" ca="1" si="29"/>
        <v>0.12704897642634513</v>
      </c>
      <c r="AH80">
        <f t="shared" ca="1" si="30"/>
        <v>0.12774339600452764</v>
      </c>
      <c r="AI80">
        <f t="shared" ca="1" si="31"/>
        <v>0.1293266620691679</v>
      </c>
      <c r="AJ80">
        <f t="shared" ca="1" si="32"/>
        <v>0.13250668967231574</v>
      </c>
      <c r="AK80">
        <f t="shared" ca="1" si="33"/>
        <v>0.13268750273966598</v>
      </c>
      <c r="AL80">
        <f t="shared" ca="1" si="34"/>
        <v>0.13417141857107437</v>
      </c>
      <c r="AM80">
        <f t="shared" ca="1" si="35"/>
        <v>0.13440018723578542</v>
      </c>
      <c r="AN80">
        <f t="shared" ca="1" si="36"/>
        <v>0.1341209885219021</v>
      </c>
      <c r="AO80">
        <f t="shared" ca="1" si="37"/>
        <v>0.13687333653300754</v>
      </c>
      <c r="AP80">
        <f t="shared" ca="1" si="38"/>
        <v>0.13720736538154593</v>
      </c>
      <c r="AQ80">
        <f t="shared" ca="1" si="39"/>
        <v>0.13796643980286319</v>
      </c>
      <c r="AR80">
        <f t="shared" ca="1" si="40"/>
        <v>0.13752074978332085</v>
      </c>
      <c r="AS80">
        <f t="shared" ca="1" si="41"/>
        <v>0.13785717442220161</v>
      </c>
      <c r="AT80">
        <f t="shared" ca="1" si="42"/>
        <v>0.13772713732499256</v>
      </c>
      <c r="AU80">
        <f t="shared" ca="1" si="43"/>
        <v>0.1379871982497376</v>
      </c>
      <c r="AV80">
        <f t="shared" ca="1" si="44"/>
        <v>0.13679307659530701</v>
      </c>
    </row>
    <row r="81" spans="1:48" ht="16" x14ac:dyDescent="0.2">
      <c r="A81" s="13" t="e" vm="1852">
        <v>#VALUE!</v>
      </c>
      <c r="B81" s="23" t="str" cm="1">
        <f t="array" aca="1" ref="B81" ca="1">_FV(A81,"ticker symbol",TRUE)</f>
        <v>VIS</v>
      </c>
      <c r="C81" s="23" t="str" cm="1">
        <f t="array" aca="1" ref="C81" ca="1">_FV(A81,"Name")</f>
        <v>Vanguard Indus Idx;ETF</v>
      </c>
      <c r="D81" cm="1" vm="1853">
        <f t="array" aca="1" ref="D81:Y81" ca="1">TRANSPOSE(_xlfn.STOCKHISTORY(B81, WORKDAY(TODAY(), -23), TODAY(), 0, 0, 1))</f>
        <v>288.48</v>
      </c>
      <c r="E81" vm="1854">
        <f ca="1"/>
        <v>283.32</v>
      </c>
      <c r="F81" vm="1855">
        <f ca="1"/>
        <v>287.32</v>
      </c>
      <c r="G81" vm="1856">
        <f ca="1"/>
        <v>288.83999999999997</v>
      </c>
      <c r="H81" vm="1857">
        <f ca="1"/>
        <v>293.23</v>
      </c>
      <c r="I81" vm="1858">
        <f ca="1"/>
        <v>295.11</v>
      </c>
      <c r="J81" vm="1859">
        <f ca="1"/>
        <v>296.95</v>
      </c>
      <c r="K81" vm="1860">
        <f ca="1"/>
        <v>292.86</v>
      </c>
      <c r="L81" vm="1861">
        <f ca="1"/>
        <v>294.81</v>
      </c>
      <c r="M81" vm="1862">
        <f ca="1"/>
        <v>297.64</v>
      </c>
      <c r="N81" vm="1863">
        <f ca="1"/>
        <v>299.83999999999997</v>
      </c>
      <c r="O81" vm="1864">
        <f ca="1"/>
        <v>299.14999999999998</v>
      </c>
      <c r="P81" vm="1865">
        <f ca="1"/>
        <v>298.49</v>
      </c>
      <c r="Q81" vm="1866">
        <f ca="1"/>
        <v>296.02</v>
      </c>
      <c r="R81" vm="1867">
        <f ca="1"/>
        <v>301.87</v>
      </c>
      <c r="S81" vm="1868">
        <f ca="1"/>
        <v>305.47000000000003</v>
      </c>
      <c r="T81" vm="1869">
        <f ca="1"/>
        <v>302.2</v>
      </c>
      <c r="U81" vm="1870">
        <f ca="1"/>
        <v>302.37</v>
      </c>
      <c r="V81" vm="1871">
        <f ca="1"/>
        <v>300.64999999999998</v>
      </c>
      <c r="W81" vm="1872">
        <f ca="1"/>
        <v>294.76</v>
      </c>
      <c r="X81" vm="1873">
        <f ca="1"/>
        <v>297</v>
      </c>
      <c r="Y81" vm="139">
        <f ca="1"/>
        <v>299.75</v>
      </c>
      <c r="AA81">
        <f t="shared" ca="1" si="23"/>
        <v>0.43535608107088425</v>
      </c>
      <c r="AB81">
        <f t="shared" ca="1" si="24"/>
        <v>0.43418693393407198</v>
      </c>
      <c r="AC81">
        <f t="shared" ca="1" si="25"/>
        <v>0.4359740831221644</v>
      </c>
      <c r="AD81">
        <f t="shared" ca="1" si="26"/>
        <v>0.43192319770310883</v>
      </c>
      <c r="AE81">
        <f t="shared" ca="1" si="27"/>
        <v>0.43440194364611423</v>
      </c>
      <c r="AF81">
        <f t="shared" ca="1" si="28"/>
        <v>0.43418961864406785</v>
      </c>
      <c r="AG81">
        <f t="shared" ca="1" si="29"/>
        <v>0.43452494183409179</v>
      </c>
      <c r="AH81">
        <f t="shared" ca="1" si="30"/>
        <v>0.43050553456715718</v>
      </c>
      <c r="AI81">
        <f t="shared" ca="1" si="31"/>
        <v>0.43257083327219642</v>
      </c>
      <c r="AJ81">
        <f t="shared" ca="1" si="32"/>
        <v>0.43521618973811577</v>
      </c>
      <c r="AK81">
        <f t="shared" ca="1" si="33"/>
        <v>0.43811277195750958</v>
      </c>
      <c r="AL81">
        <f t="shared" ca="1" si="34"/>
        <v>0.43627586810366192</v>
      </c>
      <c r="AM81">
        <f t="shared" ca="1" si="35"/>
        <v>0.43662507496745318</v>
      </c>
      <c r="AN81">
        <f t="shared" ca="1" si="36"/>
        <v>0.43338603888498478</v>
      </c>
      <c r="AO81">
        <f t="shared" ca="1" si="37"/>
        <v>0.43903893421760692</v>
      </c>
      <c r="AP81">
        <f t="shared" ca="1" si="38"/>
        <v>0.4432433216767997</v>
      </c>
      <c r="AQ81">
        <f t="shared" ca="1" si="39"/>
        <v>0.44326449190330908</v>
      </c>
      <c r="AR81">
        <f t="shared" ca="1" si="40"/>
        <v>0.44418491913093294</v>
      </c>
      <c r="AS81">
        <f t="shared" ca="1" si="41"/>
        <v>0.44286829584456522</v>
      </c>
      <c r="AT81">
        <f t="shared" ca="1" si="42"/>
        <v>0.43902293714626156</v>
      </c>
      <c r="AU81">
        <f t="shared" ca="1" si="43"/>
        <v>0.43904386003813917</v>
      </c>
      <c r="AV81">
        <f t="shared" ca="1" si="44"/>
        <v>0.44042668860841327</v>
      </c>
    </row>
    <row r="82" spans="1:48" ht="16" x14ac:dyDescent="0.2">
      <c r="A82" s="13" t="e" vm="1874">
        <v>#VALUE!</v>
      </c>
      <c r="B82" s="23" t="str" cm="1">
        <f t="array" aca="1" ref="B82" ca="1">_FV(A82,"ticker symbol",TRUE)</f>
        <v>FIDU</v>
      </c>
      <c r="C82" s="23" t="str" cm="1">
        <f t="array" aca="1" ref="C82" ca="1">_FV(A82,"Name")</f>
        <v>Fidelity MSCI Industrial</v>
      </c>
      <c r="D82" cm="1" vm="1875">
        <f t="array" aca="1" ref="D82:Y82" ca="1">TRANSPOSE(_xlfn.STOCKHISTORY(B82, WORKDAY(TODAY(), -23), TODAY(), 0, 0, 1))</f>
        <v>79.849999999999994</v>
      </c>
      <c r="E82" vm="1876">
        <f ca="1"/>
        <v>78.27</v>
      </c>
      <c r="F82" vm="430">
        <f ca="1"/>
        <v>79.37</v>
      </c>
      <c r="G82" vm="1877">
        <f ca="1"/>
        <v>79.87</v>
      </c>
      <c r="H82" vm="1878">
        <f ca="1"/>
        <v>81.010000000000005</v>
      </c>
      <c r="I82" vm="1879">
        <f ca="1"/>
        <v>81.56</v>
      </c>
      <c r="J82" vm="1880">
        <f ca="1"/>
        <v>81.98</v>
      </c>
      <c r="K82" vm="1881">
        <f ca="1"/>
        <v>80.819999999999993</v>
      </c>
      <c r="L82" vm="1882">
        <f ca="1"/>
        <v>81.42</v>
      </c>
      <c r="M82" vm="1835">
        <f ca="1"/>
        <v>82.2</v>
      </c>
      <c r="N82" vm="1883">
        <f ca="1"/>
        <v>82.86</v>
      </c>
      <c r="O82" vm="1884">
        <f ca="1"/>
        <v>82.54</v>
      </c>
      <c r="P82" vm="1885">
        <f ca="1"/>
        <v>82.4</v>
      </c>
      <c r="Q82" vm="1886">
        <f ca="1"/>
        <v>81.75</v>
      </c>
      <c r="R82" vm="1887">
        <f ca="1"/>
        <v>83.303299999999993</v>
      </c>
      <c r="S82" vm="1888">
        <f ca="1"/>
        <v>84.33</v>
      </c>
      <c r="T82" vm="1889">
        <f ca="1"/>
        <v>83.427000000000007</v>
      </c>
      <c r="U82" vm="1890">
        <f ca="1"/>
        <v>83.37</v>
      </c>
      <c r="V82" vm="1836">
        <f ca="1"/>
        <v>82.97</v>
      </c>
      <c r="W82" vm="1891">
        <f ca="1"/>
        <v>81.496300000000005</v>
      </c>
      <c r="X82" vm="1892">
        <f ca="1"/>
        <v>82.15</v>
      </c>
      <c r="Y82" vm="141">
        <f ca="1"/>
        <v>82.79</v>
      </c>
      <c r="AA82">
        <f t="shared" ca="1" si="23"/>
        <v>0.12050465569020417</v>
      </c>
      <c r="AB82">
        <f t="shared" ca="1" si="24"/>
        <v>0.11994850811456945</v>
      </c>
      <c r="AC82">
        <f t="shared" ca="1" si="25"/>
        <v>0.12043457809204439</v>
      </c>
      <c r="AD82">
        <f t="shared" ca="1" si="26"/>
        <v>0.11943534759918054</v>
      </c>
      <c r="AE82">
        <f t="shared" ca="1" si="27"/>
        <v>0.12001125892566147</v>
      </c>
      <c r="AF82">
        <f t="shared" ca="1" si="28"/>
        <v>0.11999764595103579</v>
      </c>
      <c r="AG82">
        <f t="shared" ca="1" si="29"/>
        <v>0.11996078373988499</v>
      </c>
      <c r="AH82">
        <f t="shared" ca="1" si="30"/>
        <v>0.11880576829788171</v>
      </c>
      <c r="AI82">
        <f t="shared" ca="1" si="31"/>
        <v>0.11946649450501079</v>
      </c>
      <c r="AJ82">
        <f t="shared" ca="1" si="32"/>
        <v>0.1201947681644709</v>
      </c>
      <c r="AK82">
        <f t="shared" ca="1" si="33"/>
        <v>0.12107131898478937</v>
      </c>
      <c r="AL82">
        <f t="shared" ca="1" si="34"/>
        <v>0.12037509661800522</v>
      </c>
      <c r="AM82">
        <f t="shared" ca="1" si="35"/>
        <v>0.12053303687667306</v>
      </c>
      <c r="AN82">
        <f t="shared" ca="1" si="36"/>
        <v>0.11968552354181308</v>
      </c>
      <c r="AO82">
        <f t="shared" ca="1" si="37"/>
        <v>0.12115610046977034</v>
      </c>
      <c r="AP82">
        <f t="shared" ca="1" si="38"/>
        <v>0.12236458348448134</v>
      </c>
      <c r="AQ82">
        <f t="shared" ca="1" si="39"/>
        <v>0.1223700422436048</v>
      </c>
      <c r="AR82">
        <f t="shared" ca="1" si="40"/>
        <v>0.12247146445727382</v>
      </c>
      <c r="AS82">
        <f t="shared" ca="1" si="41"/>
        <v>0.12221780311399826</v>
      </c>
      <c r="AT82">
        <f t="shared" ca="1" si="42"/>
        <v>0.12138263330354485</v>
      </c>
      <c r="AU82">
        <f t="shared" ca="1" si="43"/>
        <v>0.1214392360341183</v>
      </c>
      <c r="AV82">
        <f t="shared" ca="1" si="44"/>
        <v>0.12164445554592339</v>
      </c>
    </row>
    <row r="83" spans="1:48" ht="16" x14ac:dyDescent="0.2">
      <c r="A83" s="13" t="e" vm="1893">
        <v>#VALUE!</v>
      </c>
      <c r="B83" s="23" t="str" cm="1">
        <f t="array" aca="1" ref="B83" ca="1">_FV(A83,"ticker symbol",TRUE)</f>
        <v>XME</v>
      </c>
      <c r="C83" s="23" t="str" cm="1">
        <f t="array" aca="1" ref="C83" ca="1">_FV(A83,"Name")</f>
        <v>SS SPDR S&amp;P Metals&amp;Mng</v>
      </c>
      <c r="D83" cm="1" vm="1894">
        <f t="array" aca="1" ref="D83:Y83" ca="1">TRANSPOSE(_xlfn.STOCKHISTORY(B83, WORKDAY(TODAY(), -23), TODAY(), 0, 0, 1))</f>
        <v>91.33</v>
      </c>
      <c r="E83" vm="1895">
        <f ca="1"/>
        <v>87.44</v>
      </c>
      <c r="F83" vm="1896">
        <f ca="1"/>
        <v>88.68</v>
      </c>
      <c r="G83" vm="1897">
        <f ca="1"/>
        <v>91.42</v>
      </c>
      <c r="H83" vm="1898">
        <f ca="1"/>
        <v>92.89</v>
      </c>
      <c r="I83" vm="1899">
        <f ca="1"/>
        <v>95.34</v>
      </c>
      <c r="J83" vm="1900">
        <f ca="1"/>
        <v>97.09</v>
      </c>
      <c r="K83" vm="1901">
        <f ca="1"/>
        <v>95.81</v>
      </c>
      <c r="L83" vm="1902">
        <f ca="1"/>
        <v>96.6</v>
      </c>
      <c r="M83" vm="1903">
        <f ca="1"/>
        <v>99.67</v>
      </c>
      <c r="N83" vm="678">
        <f ca="1"/>
        <v>100.8</v>
      </c>
      <c r="O83" vm="1904">
        <f ca="1"/>
        <v>99.74</v>
      </c>
      <c r="P83" vm="1905">
        <f ca="1"/>
        <v>98.2</v>
      </c>
      <c r="Q83" vm="1906">
        <f ca="1"/>
        <v>99.47</v>
      </c>
      <c r="R83" vm="1907">
        <f ca="1"/>
        <v>100.15</v>
      </c>
      <c r="S83" vm="1908">
        <f ca="1"/>
        <v>104.88</v>
      </c>
      <c r="T83" vm="1909">
        <f ca="1"/>
        <v>102.14</v>
      </c>
      <c r="U83" vm="1910">
        <f ca="1"/>
        <v>100.85</v>
      </c>
      <c r="V83" vm="1911">
        <f ca="1"/>
        <v>100.91</v>
      </c>
      <c r="W83" vm="1912">
        <f ca="1"/>
        <v>101.03</v>
      </c>
      <c r="X83" vm="1913">
        <f ca="1"/>
        <v>102.33</v>
      </c>
      <c r="Y83" vm="143">
        <f ca="1"/>
        <v>105.17</v>
      </c>
      <c r="AA83">
        <f t="shared" ca="1" si="23"/>
        <v>0.13782955797352972</v>
      </c>
      <c r="AB83">
        <f t="shared" ca="1" si="24"/>
        <v>0.13400150184665841</v>
      </c>
      <c r="AC83">
        <f t="shared" ca="1" si="25"/>
        <v>0.13456140084669896</v>
      </c>
      <c r="AD83">
        <f t="shared" ca="1" si="26"/>
        <v>0.13670689216873774</v>
      </c>
      <c r="AE83">
        <f t="shared" ca="1" si="27"/>
        <v>0.13761073745963084</v>
      </c>
      <c r="AF83">
        <f t="shared" ca="1" si="28"/>
        <v>0.14027189265536724</v>
      </c>
      <c r="AG83">
        <f t="shared" ca="1" si="29"/>
        <v>0.14207114531965642</v>
      </c>
      <c r="AH83">
        <f t="shared" ca="1" si="30"/>
        <v>0.14084113660752348</v>
      </c>
      <c r="AI83">
        <f t="shared" ca="1" si="31"/>
        <v>0.14173990873475856</v>
      </c>
      <c r="AJ83">
        <f t="shared" ca="1" si="32"/>
        <v>0.14573981195806343</v>
      </c>
      <c r="AK83">
        <f t="shared" ca="1" si="33"/>
        <v>0.1472844430806996</v>
      </c>
      <c r="AL83">
        <f t="shared" ca="1" si="34"/>
        <v>0.14545931835085824</v>
      </c>
      <c r="AM83">
        <f t="shared" ca="1" si="35"/>
        <v>0.14364495414186038</v>
      </c>
      <c r="AN83">
        <f t="shared" ca="1" si="36"/>
        <v>0.14562836729913328</v>
      </c>
      <c r="AO83">
        <f t="shared" ca="1" si="37"/>
        <v>0.14565789665052287</v>
      </c>
      <c r="AP83">
        <f t="shared" ca="1" si="38"/>
        <v>0.15218306078326102</v>
      </c>
      <c r="AQ83">
        <f t="shared" ca="1" si="39"/>
        <v>0.14981811781272003</v>
      </c>
      <c r="AR83">
        <f t="shared" ca="1" si="40"/>
        <v>0.14814978038282431</v>
      </c>
      <c r="AS83">
        <f t="shared" ca="1" si="41"/>
        <v>0.14864407029328147</v>
      </c>
      <c r="AT83">
        <f t="shared" ca="1" si="42"/>
        <v>0.1504766160262139</v>
      </c>
      <c r="AU83">
        <f t="shared" ca="1" si="43"/>
        <v>0.15127056632223157</v>
      </c>
      <c r="AV83">
        <f t="shared" ca="1" si="44"/>
        <v>0.15452768921083176</v>
      </c>
    </row>
    <row r="84" spans="1:48" ht="16" x14ac:dyDescent="0.2">
      <c r="A84" s="13" t="e" vm="1914">
        <v>#VALUE!</v>
      </c>
      <c r="B84" s="23" t="str" cm="1">
        <f t="array" aca="1" ref="B84" ca="1">_FV(A84,"ticker symbol",TRUE)</f>
        <v>GDX</v>
      </c>
      <c r="C84" s="23" t="str" cm="1">
        <f t="array" aca="1" ref="C84" ca="1">_FV(A84,"Name")</f>
        <v>VanEck:Gold Miners</v>
      </c>
      <c r="D84" cm="1" vm="1915">
        <f t="array" aca="1" ref="D84:Y84" ca="1">TRANSPOSE(_xlfn.STOCKHISTORY(B84, WORKDAY(TODAY(), -23), TODAY(), 0, 0, 1))</f>
        <v>76.39</v>
      </c>
      <c r="E84" vm="1916">
        <f ca="1"/>
        <v>72.97</v>
      </c>
      <c r="F84" vm="793">
        <f ca="1"/>
        <v>73.650000000000006</v>
      </c>
      <c r="G84" vm="1917">
        <f ca="1"/>
        <v>77.959999999999994</v>
      </c>
      <c r="H84" vm="1918">
        <f ca="1"/>
        <v>77.8</v>
      </c>
      <c r="I84" vm="1919">
        <f ca="1"/>
        <v>81.55</v>
      </c>
      <c r="J84" vm="1920">
        <f ca="1"/>
        <v>83.23</v>
      </c>
      <c r="K84" vm="1921">
        <f ca="1"/>
        <v>82.82</v>
      </c>
      <c r="L84" vm="1922">
        <f ca="1"/>
        <v>81.61</v>
      </c>
      <c r="M84" vm="1923">
        <f ca="1"/>
        <v>81.06</v>
      </c>
      <c r="N84" vm="1924">
        <f ca="1"/>
        <v>81.39</v>
      </c>
      <c r="O84" vm="1925">
        <f ca="1"/>
        <v>81.03</v>
      </c>
      <c r="P84" vm="1926">
        <f ca="1"/>
        <v>79.16</v>
      </c>
      <c r="Q84" vm="1927">
        <f ca="1"/>
        <v>81.94</v>
      </c>
      <c r="R84" vm="1928">
        <f ca="1"/>
        <v>83.32</v>
      </c>
      <c r="S84" vm="1929">
        <f ca="1"/>
        <v>86.26</v>
      </c>
      <c r="T84" vm="1930">
        <f ca="1"/>
        <v>85.66</v>
      </c>
      <c r="U84" vm="1931">
        <f ca="1"/>
        <v>84.85</v>
      </c>
      <c r="V84" vm="1932">
        <f ca="1"/>
        <v>84.83</v>
      </c>
      <c r="W84" vm="1933">
        <f ca="1"/>
        <v>85.83</v>
      </c>
      <c r="X84" vm="1934">
        <f ca="1"/>
        <v>85.67</v>
      </c>
      <c r="Y84" vm="145">
        <f ca="1"/>
        <v>87.79</v>
      </c>
      <c r="AA84">
        <f t="shared" ca="1" si="23"/>
        <v>0.1152830387999336</v>
      </c>
      <c r="AB84">
        <f t="shared" ca="1" si="24"/>
        <v>0.11182627618653548</v>
      </c>
      <c r="AC84">
        <f t="shared" ca="1" si="25"/>
        <v>0.11175515530400741</v>
      </c>
      <c r="AD84">
        <f t="shared" ca="1" si="26"/>
        <v>0.11657918741495071</v>
      </c>
      <c r="AE84">
        <f t="shared" ca="1" si="27"/>
        <v>0.11525584427128086</v>
      </c>
      <c r="AF84">
        <f t="shared" ca="1" si="28"/>
        <v>0.11998293314500942</v>
      </c>
      <c r="AG84">
        <f t="shared" ca="1" si="29"/>
        <v>0.1217899003497271</v>
      </c>
      <c r="AH84">
        <f t="shared" ca="1" si="30"/>
        <v>0.12174577741190996</v>
      </c>
      <c r="AI84">
        <f t="shared" ca="1" si="31"/>
        <v>0.11974527900459261</v>
      </c>
      <c r="AJ84">
        <f t="shared" ca="1" si="32"/>
        <v>0.11852783342350379</v>
      </c>
      <c r="AK84">
        <f t="shared" ca="1" si="33"/>
        <v>0.11892342085652917</v>
      </c>
      <c r="AL84">
        <f t="shared" ca="1" si="34"/>
        <v>0.11817293529145823</v>
      </c>
      <c r="AM84">
        <f t="shared" ca="1" si="35"/>
        <v>0.11579363105773591</v>
      </c>
      <c r="AN84">
        <f t="shared" ca="1" si="36"/>
        <v>0.11996369173108457</v>
      </c>
      <c r="AO84">
        <f t="shared" ca="1" si="37"/>
        <v>0.12118038890585683</v>
      </c>
      <c r="AP84">
        <f t="shared" ca="1" si="38"/>
        <v>0.12516505361521832</v>
      </c>
      <c r="AQ84">
        <f t="shared" ca="1" si="39"/>
        <v>0.12564538840647735</v>
      </c>
      <c r="AR84">
        <f t="shared" ca="1" si="40"/>
        <v>0.12464560104593597</v>
      </c>
      <c r="AS84">
        <f t="shared" ca="1" si="41"/>
        <v>0.12495765021285371</v>
      </c>
      <c r="AT84">
        <f t="shared" ca="1" si="42"/>
        <v>0.12783735478105451</v>
      </c>
      <c r="AU84">
        <f t="shared" ca="1" si="43"/>
        <v>0.1266427188197555</v>
      </c>
      <c r="AV84">
        <f t="shared" ca="1" si="44"/>
        <v>0.12899102249518801</v>
      </c>
    </row>
    <row r="85" spans="1:48" ht="16" x14ac:dyDescent="0.2">
      <c r="A85" s="13" t="e" vm="1935">
        <v>#VALUE!</v>
      </c>
      <c r="B85" s="23" t="str" cm="1">
        <f t="array" aca="1" ref="B85" ca="1">_FV(A85,"ticker symbol",TRUE)</f>
        <v>SIL</v>
      </c>
      <c r="C85" s="23" t="str" cm="1">
        <f t="array" aca="1" ref="C85" ca="1">_FV(A85,"Name")</f>
        <v>Glbl X Silver Miners ETF</v>
      </c>
      <c r="D85" cm="1" vm="1936">
        <f t="array" aca="1" ref="D85:Y85" ca="1">TRANSPOSE(_xlfn.STOCKHISTORY(B85, WORKDAY(TODAY(), -23), TODAY(), 0, 0, 1))</f>
        <v>68.42</v>
      </c>
      <c r="E85" vm="1937">
        <f ca="1"/>
        <v>64.73</v>
      </c>
      <c r="F85" vm="1938">
        <f ca="1"/>
        <v>65</v>
      </c>
      <c r="G85" vm="1939">
        <f ca="1"/>
        <v>68.650000000000006</v>
      </c>
      <c r="H85" vm="1940">
        <f ca="1"/>
        <v>69.36</v>
      </c>
      <c r="I85" vm="1941">
        <f ca="1"/>
        <v>73.400000000000006</v>
      </c>
      <c r="J85" vm="1942">
        <f ca="1"/>
        <v>77.66</v>
      </c>
      <c r="K85" vm="1943">
        <f ca="1"/>
        <v>78.069999999999993</v>
      </c>
      <c r="L85" vm="1944">
        <f ca="1"/>
        <v>77.11</v>
      </c>
      <c r="M85" vm="1945">
        <f ca="1"/>
        <v>76.459999999999994</v>
      </c>
      <c r="N85" vm="1547">
        <f ca="1"/>
        <v>76.2</v>
      </c>
      <c r="O85" vm="1946">
        <f ca="1"/>
        <v>76.069999999999993</v>
      </c>
      <c r="P85" vm="1947">
        <f ca="1"/>
        <v>74.739999999999995</v>
      </c>
      <c r="Q85" vm="1948">
        <f ca="1"/>
        <v>78.47</v>
      </c>
      <c r="R85" vm="1949">
        <f ca="1"/>
        <v>79.760000000000005</v>
      </c>
      <c r="S85" vm="1890">
        <f ca="1"/>
        <v>83.37</v>
      </c>
      <c r="T85" vm="1950">
        <f ca="1"/>
        <v>82.48</v>
      </c>
      <c r="U85" vm="1951">
        <f ca="1"/>
        <v>82.24</v>
      </c>
      <c r="V85" vm="1952">
        <f ca="1"/>
        <v>81.790000000000006</v>
      </c>
      <c r="W85" vm="1953">
        <f ca="1"/>
        <v>82.6</v>
      </c>
      <c r="X85" vm="1954">
        <f ca="1"/>
        <v>81.96</v>
      </c>
      <c r="Y85" vm="147">
        <f ca="1"/>
        <v>84.73</v>
      </c>
      <c r="AA85">
        <f t="shared" ca="1" si="23"/>
        <v>0.10325521029835655</v>
      </c>
      <c r="AB85">
        <f t="shared" ca="1" si="24"/>
        <v>9.9198504283327979E-2</v>
      </c>
      <c r="AC85">
        <f t="shared" ca="1" si="25"/>
        <v>9.8629804409510954E-2</v>
      </c>
      <c r="AD85">
        <f t="shared" ca="1" si="26"/>
        <v>0.10265727573161067</v>
      </c>
      <c r="AE85">
        <f t="shared" ca="1" si="27"/>
        <v>0.10275251103671003</v>
      </c>
      <c r="AF85">
        <f t="shared" ca="1" si="28"/>
        <v>0.10799199623352167</v>
      </c>
      <c r="AG85">
        <f t="shared" ca="1" si="29"/>
        <v>0.11363935673627065</v>
      </c>
      <c r="AH85">
        <f t="shared" ca="1" si="30"/>
        <v>0.11476325576609286</v>
      </c>
      <c r="AI85">
        <f t="shared" ca="1" si="31"/>
        <v>0.11314248822502311</v>
      </c>
      <c r="AJ85">
        <f t="shared" ca="1" si="32"/>
        <v>0.11180160552135576</v>
      </c>
      <c r="AK85">
        <f t="shared" ca="1" si="33"/>
        <v>0.11134002542410031</v>
      </c>
      <c r="AL85">
        <f t="shared" ca="1" si="34"/>
        <v>0.11093934576849594</v>
      </c>
      <c r="AM85">
        <f t="shared" ca="1" si="35"/>
        <v>0.10932814534177844</v>
      </c>
      <c r="AN85">
        <f t="shared" ca="1" si="36"/>
        <v>0.11488346216912626</v>
      </c>
      <c r="AO85">
        <f t="shared" ca="1" si="37"/>
        <v>0.11600273426705644</v>
      </c>
      <c r="AP85">
        <f t="shared" ca="1" si="38"/>
        <v>0.12097160352307849</v>
      </c>
      <c r="AQ85">
        <f t="shared" ca="1" si="39"/>
        <v>0.12098099037784558</v>
      </c>
      <c r="AR85">
        <f t="shared" ca="1" si="40"/>
        <v>0.12081148179160606</v>
      </c>
      <c r="AS85">
        <f t="shared" ca="1" si="41"/>
        <v>0.12047962054590718</v>
      </c>
      <c r="AT85">
        <f t="shared" ca="1" si="42"/>
        <v>0.12302651176645814</v>
      </c>
      <c r="AU85">
        <f t="shared" ca="1" si="43"/>
        <v>0.12115836622466626</v>
      </c>
      <c r="AV85">
        <f t="shared" ca="1" si="44"/>
        <v>0.12449492352223805</v>
      </c>
    </row>
    <row r="86" spans="1:48" ht="16" x14ac:dyDescent="0.2">
      <c r="A86" s="13" t="e" vm="1955">
        <v>#VALUE!</v>
      </c>
      <c r="B86" s="23" t="str" cm="1">
        <f t="array" aca="1" ref="B86" ca="1">_FV(A86,"ticker symbol",TRUE)</f>
        <v>SLX</v>
      </c>
      <c r="C86" s="23" t="str" cm="1">
        <f t="array" aca="1" ref="C86" ca="1">_FV(A86,"Name")</f>
        <v>VanEck:Steel</v>
      </c>
      <c r="D86" cm="1" vm="1956">
        <f t="array" aca="1" ref="D86:Y86" ca="1">TRANSPOSE(_xlfn.STOCKHISTORY(B86, WORKDAY(TODAY(), -23), TODAY(), 0, 0, 1))</f>
        <v>77.034000000000006</v>
      </c>
      <c r="E86" vm="1957">
        <f ca="1"/>
        <v>75.822500000000005</v>
      </c>
      <c r="F86" vm="1958">
        <f ca="1"/>
        <v>77.36</v>
      </c>
      <c r="G86" vm="1959">
        <f ca="1"/>
        <v>77.97</v>
      </c>
      <c r="H86" vm="1960">
        <f ca="1"/>
        <v>79.77</v>
      </c>
      <c r="I86" vm="1961">
        <f ca="1"/>
        <v>80.930000000000007</v>
      </c>
      <c r="J86" vm="1962">
        <f ca="1"/>
        <v>80.86</v>
      </c>
      <c r="K86" vm="1963">
        <f ca="1"/>
        <v>81.09</v>
      </c>
      <c r="L86" vm="1964">
        <f ca="1"/>
        <v>81.290000000000006</v>
      </c>
      <c r="M86" vm="1965">
        <f ca="1"/>
        <v>83.51</v>
      </c>
      <c r="N86" vm="1928">
        <f ca="1"/>
        <v>83.32</v>
      </c>
      <c r="O86" vm="1966">
        <f ca="1"/>
        <v>81.691199999999995</v>
      </c>
      <c r="P86" vm="1967">
        <f ca="1"/>
        <v>81.349999999999994</v>
      </c>
      <c r="Q86" vm="1968">
        <f ca="1"/>
        <v>81.5</v>
      </c>
      <c r="R86" vm="1969">
        <f ca="1"/>
        <v>83.87</v>
      </c>
      <c r="S86" vm="1970">
        <f ca="1"/>
        <v>85.8</v>
      </c>
      <c r="T86" vm="1971">
        <f ca="1"/>
        <v>85.16</v>
      </c>
      <c r="U86" vm="1972">
        <f ca="1"/>
        <v>85.05</v>
      </c>
      <c r="V86" vm="1973">
        <f ca="1"/>
        <v>84.79</v>
      </c>
      <c r="W86" vm="1974">
        <f ca="1"/>
        <v>85.1</v>
      </c>
      <c r="X86" vm="1975">
        <f ca="1"/>
        <v>84.86</v>
      </c>
      <c r="Y86" vm="50">
        <f ca="1"/>
        <v>84.69</v>
      </c>
      <c r="AA86">
        <f t="shared" ca="1" si="23"/>
        <v>0.11625492356216895</v>
      </c>
      <c r="AB86">
        <f t="shared" ca="1" si="24"/>
        <v>0.11619772271006698</v>
      </c>
      <c r="AC86">
        <f t="shared" ca="1" si="25"/>
        <v>0.11738464106338103</v>
      </c>
      <c r="AD86">
        <f t="shared" ca="1" si="26"/>
        <v>0.11659414113319276</v>
      </c>
      <c r="AE86">
        <f t="shared" ca="1" si="27"/>
        <v>0.11817427631773873</v>
      </c>
      <c r="AF86">
        <f t="shared" ca="1" si="28"/>
        <v>0.11907073917137478</v>
      </c>
      <c r="AG86">
        <f t="shared" ca="1" si="29"/>
        <v>0.11832189525746646</v>
      </c>
      <c r="AH86">
        <f t="shared" ca="1" si="30"/>
        <v>0.11920266952827555</v>
      </c>
      <c r="AI86">
        <f t="shared" ca="1" si="31"/>
        <v>0.11927574721582324</v>
      </c>
      <c r="AJ86">
        <f t="shared" ca="1" si="32"/>
        <v>0.1221102808931261</v>
      </c>
      <c r="AK86">
        <f t="shared" ca="1" si="33"/>
        <v>0.12174345037186399</v>
      </c>
      <c r="AL86">
        <f t="shared" ca="1" si="34"/>
        <v>0.1191372194431886</v>
      </c>
      <c r="AM86">
        <f t="shared" ca="1" si="35"/>
        <v>0.11899711832423972</v>
      </c>
      <c r="AN86">
        <f t="shared" ca="1" si="36"/>
        <v>0.11931951276645585</v>
      </c>
      <c r="AO86">
        <f t="shared" ca="1" si="37"/>
        <v>0.12198030745960411</v>
      </c>
      <c r="AP86">
        <f t="shared" ca="1" si="38"/>
        <v>0.12449758405037945</v>
      </c>
      <c r="AQ86">
        <f t="shared" ca="1" si="39"/>
        <v>0.12491199249002581</v>
      </c>
      <c r="AR86">
        <f t="shared" ca="1" si="40"/>
        <v>0.12493940328764708</v>
      </c>
      <c r="AS86">
        <f t="shared" ca="1" si="41"/>
        <v>0.12489872876986759</v>
      </c>
      <c r="AT86">
        <f t="shared" ca="1" si="42"/>
        <v>0.12675007447125408</v>
      </c>
      <c r="AU86">
        <f t="shared" ca="1" si="43"/>
        <v>0.12544532647419693</v>
      </c>
      <c r="AV86">
        <f t="shared" ca="1" si="44"/>
        <v>0.12443615098664393</v>
      </c>
    </row>
    <row r="87" spans="1:48" ht="16" x14ac:dyDescent="0.2">
      <c r="A87" s="13" t="e" vm="1976">
        <v>#VALUE!</v>
      </c>
      <c r="B87" s="23" t="str" cm="1">
        <f t="array" aca="1" ref="B87" ca="1">_FV(A87,"ticker symbol",TRUE)</f>
        <v>PICK</v>
      </c>
      <c r="C87" s="23" t="str" cm="1">
        <f t="array" aca="1" ref="C87" ca="1">_FV(A87,"Name")</f>
        <v>iShares:MSCI Gl M&amp;MP</v>
      </c>
      <c r="D87" cm="1" vm="458">
        <f t="array" aca="1" ref="D87:Y87" ca="1">TRANSPOSE(_xlfn.STOCKHISTORY(B87, WORKDAY(TODAY(), -23), TODAY(), 0, 0, 1))</f>
        <v>45.42</v>
      </c>
      <c r="E87" vm="1977">
        <f ca="1"/>
        <v>44.57</v>
      </c>
      <c r="F87" vm="1978">
        <f ca="1"/>
        <v>44.91</v>
      </c>
      <c r="G87" vm="1979">
        <f ca="1"/>
        <v>45.63</v>
      </c>
      <c r="H87" vm="1980">
        <f ca="1"/>
        <v>46.094999999999999</v>
      </c>
      <c r="I87" vm="1981">
        <f ca="1"/>
        <v>46.96</v>
      </c>
      <c r="J87" vm="1255">
        <f ca="1"/>
        <v>47.4</v>
      </c>
      <c r="K87" vm="1252">
        <f ca="1"/>
        <v>47.76</v>
      </c>
      <c r="L87" vm="1982">
        <f ca="1"/>
        <v>47.81</v>
      </c>
      <c r="M87" vm="1983">
        <f ca="1"/>
        <v>49.05</v>
      </c>
      <c r="N87" vm="1984">
        <f ca="1"/>
        <v>49.09</v>
      </c>
      <c r="O87" vm="1985">
        <f ca="1"/>
        <v>49.16</v>
      </c>
      <c r="P87" vm="1986">
        <f ca="1"/>
        <v>48.89</v>
      </c>
      <c r="Q87" vm="1987">
        <f ca="1"/>
        <v>48.72</v>
      </c>
      <c r="R87" vm="1988">
        <f ca="1"/>
        <v>49.84</v>
      </c>
      <c r="S87" vm="1989">
        <f ca="1"/>
        <v>50.39</v>
      </c>
      <c r="T87" vm="1990">
        <f ca="1"/>
        <v>49.74</v>
      </c>
      <c r="U87" vm="1991">
        <f ca="1"/>
        <v>49.75</v>
      </c>
      <c r="V87" vm="1992">
        <f ca="1"/>
        <v>48.78</v>
      </c>
      <c r="W87" vm="1993">
        <f ca="1"/>
        <v>49.2</v>
      </c>
      <c r="X87" vm="1994">
        <f ca="1"/>
        <v>49.41</v>
      </c>
      <c r="Y87" vm="125">
        <f ca="1"/>
        <v>49.91</v>
      </c>
      <c r="AA87">
        <f t="shared" ca="1" si="23"/>
        <v>6.8545040218523159E-2</v>
      </c>
      <c r="AB87">
        <f t="shared" ca="1" si="24"/>
        <v>6.8303373024995021E-2</v>
      </c>
      <c r="AC87">
        <f t="shared" ca="1" si="25"/>
        <v>6.8145607938940561E-2</v>
      </c>
      <c r="AD87">
        <f t="shared" ca="1" si="26"/>
        <v>6.8233816338432549E-2</v>
      </c>
      <c r="AE87">
        <f t="shared" ca="1" si="27"/>
        <v>6.8286865574353359E-2</v>
      </c>
      <c r="AF87">
        <f t="shared" ca="1" si="28"/>
        <v>6.9091337099811689E-2</v>
      </c>
      <c r="AG87">
        <f t="shared" ca="1" si="29"/>
        <v>6.9360101845212838E-2</v>
      </c>
      <c r="AH87">
        <f t="shared" ca="1" si="30"/>
        <v>7.0207417642994693E-2</v>
      </c>
      <c r="AI87">
        <f t="shared" ca="1" si="31"/>
        <v>7.0150983815826157E-2</v>
      </c>
      <c r="AJ87">
        <f t="shared" ca="1" si="32"/>
        <v>7.1722060565295592E-2</v>
      </c>
      <c r="AK87">
        <f t="shared" ca="1" si="33"/>
        <v>7.1728108242376423E-2</v>
      </c>
      <c r="AL87">
        <f t="shared" ca="1" si="34"/>
        <v>7.1694205836456693E-2</v>
      </c>
      <c r="AM87">
        <f t="shared" ca="1" si="35"/>
        <v>7.1515293360443516E-2</v>
      </c>
      <c r="AN87">
        <f t="shared" ca="1" si="36"/>
        <v>7.1328179901616301E-2</v>
      </c>
      <c r="AO87">
        <f t="shared" ca="1" si="37"/>
        <v>7.2487164943205784E-2</v>
      </c>
      <c r="AP87">
        <f t="shared" ca="1" si="38"/>
        <v>7.311693776571819E-2</v>
      </c>
      <c r="AQ87">
        <f t="shared" ca="1" si="39"/>
        <v>7.2958225768598922E-2</v>
      </c>
      <c r="AR87">
        <f t="shared" ca="1" si="40"/>
        <v>7.3083307625637181E-2</v>
      </c>
      <c r="AS87">
        <f t="shared" ca="1" si="41"/>
        <v>7.185469972159618E-2</v>
      </c>
      <c r="AT87">
        <f t="shared" ca="1" si="42"/>
        <v>7.3279714030384274E-2</v>
      </c>
      <c r="AU87">
        <f t="shared" ca="1" si="43"/>
        <v>7.3040933079072237E-2</v>
      </c>
      <c r="AV87">
        <f t="shared" ca="1" si="44"/>
        <v>7.3333431287559314E-2</v>
      </c>
    </row>
    <row r="88" spans="1:48" ht="16" x14ac:dyDescent="0.2">
      <c r="A88" s="13" t="e" vm="1995">
        <v>#VALUE!</v>
      </c>
      <c r="B88" s="23" t="str" cm="1">
        <f t="array" aca="1" ref="B88" ca="1">_FV(A88,"ticker symbol",TRUE)</f>
        <v>VAW</v>
      </c>
      <c r="C88" s="23" t="str" cm="1">
        <f t="array" aca="1" ref="C88" ca="1">_FV(A88,"Name")</f>
        <v>Vanguard Mtrls Idx;ETF</v>
      </c>
      <c r="D88" cm="1" vm="1996">
        <f t="array" aca="1" ref="D88:Y88" ca="1">TRANSPOSE(_xlfn.STOCKHISTORY(B88, WORKDAY(TODAY(), -23), TODAY(), 0, 0, 1))</f>
        <v>193.48</v>
      </c>
      <c r="E88" vm="1997">
        <f ca="1"/>
        <v>190.36</v>
      </c>
      <c r="F88" vm="1998">
        <f ca="1"/>
        <v>194.54</v>
      </c>
      <c r="G88" vm="1999">
        <f ca="1"/>
        <v>195.84</v>
      </c>
      <c r="H88" vm="2000">
        <f ca="1"/>
        <v>198.92</v>
      </c>
      <c r="I88" vm="2001">
        <f ca="1"/>
        <v>201.57</v>
      </c>
      <c r="J88" vm="2002">
        <f ca="1"/>
        <v>203.05</v>
      </c>
      <c r="K88" vm="2003">
        <f ca="1"/>
        <v>202.66</v>
      </c>
      <c r="L88" vm="2004">
        <f ca="1"/>
        <v>201.1</v>
      </c>
      <c r="M88" vm="2005">
        <f ca="1"/>
        <v>202.88</v>
      </c>
      <c r="N88" vm="2006">
        <f ca="1"/>
        <v>201.98</v>
      </c>
      <c r="O88" vm="2007">
        <f ca="1"/>
        <v>201.37</v>
      </c>
      <c r="P88" vm="2008">
        <f ca="1"/>
        <v>198.95</v>
      </c>
      <c r="Q88" vm="2009">
        <f ca="1"/>
        <v>198.845</v>
      </c>
      <c r="R88" vm="2010">
        <f ca="1"/>
        <v>202.51</v>
      </c>
      <c r="S88" vm="2011">
        <f ca="1"/>
        <v>207.35</v>
      </c>
      <c r="T88" vm="2012">
        <f ca="1"/>
        <v>207.07</v>
      </c>
      <c r="U88" vm="2013">
        <f ca="1"/>
        <v>206.9</v>
      </c>
      <c r="V88" vm="2014">
        <f ca="1"/>
        <v>206.47</v>
      </c>
      <c r="W88" vm="2015">
        <f ca="1"/>
        <v>206.16</v>
      </c>
      <c r="X88" vm="2016">
        <f ca="1"/>
        <v>206.5</v>
      </c>
      <c r="Y88" vm="151">
        <f ca="1"/>
        <v>207.31</v>
      </c>
      <c r="AA88">
        <f t="shared" ca="1" si="23"/>
        <v>0.29198798726287672</v>
      </c>
      <c r="AB88">
        <f t="shared" ca="1" si="24"/>
        <v>0.29172605090953674</v>
      </c>
      <c r="AC88">
        <f t="shared" ca="1" si="25"/>
        <v>0.29519141768963475</v>
      </c>
      <c r="AD88">
        <f t="shared" ca="1" si="26"/>
        <v>0.29285361805212867</v>
      </c>
      <c r="AE88">
        <f t="shared" ca="1" si="27"/>
        <v>0.29468756481289443</v>
      </c>
      <c r="AF88">
        <f t="shared" ca="1" si="28"/>
        <v>0.29656603107344631</v>
      </c>
      <c r="AG88">
        <f t="shared" ca="1" si="29"/>
        <v>0.29712170210275246</v>
      </c>
      <c r="AH88">
        <f t="shared" ca="1" si="30"/>
        <v>0.2979111235244829</v>
      </c>
      <c r="AI88">
        <f t="shared" ca="1" si="31"/>
        <v>0.29507138350476136</v>
      </c>
      <c r="AJ88">
        <f t="shared" ca="1" si="32"/>
        <v>0.29665589495386685</v>
      </c>
      <c r="AK88">
        <f t="shared" ca="1" si="33"/>
        <v>0.29512412513333042</v>
      </c>
      <c r="AL88">
        <f t="shared" ca="1" si="34"/>
        <v>0.29367498432236139</v>
      </c>
      <c r="AM88">
        <f t="shared" ca="1" si="35"/>
        <v>0.2910199961967731</v>
      </c>
      <c r="AN88">
        <f t="shared" ca="1" si="36"/>
        <v>0.29111765050363086</v>
      </c>
      <c r="AO88">
        <f t="shared" ca="1" si="37"/>
        <v>0.29453001148973917</v>
      </c>
      <c r="AP88">
        <f t="shared" ca="1" si="38"/>
        <v>0.30086916145508363</v>
      </c>
      <c r="AQ88">
        <f t="shared" ca="1" si="39"/>
        <v>0.30372858483923959</v>
      </c>
      <c r="AR88">
        <f t="shared" ca="1" si="40"/>
        <v>0.30393841905013735</v>
      </c>
      <c r="AS88">
        <f t="shared" ca="1" si="41"/>
        <v>0.3041377583337016</v>
      </c>
      <c r="AT88">
        <f t="shared" ca="1" si="42"/>
        <v>0.30705987488829312</v>
      </c>
      <c r="AU88">
        <f t="shared" ca="1" si="43"/>
        <v>0.3052611350096826</v>
      </c>
      <c r="AV88">
        <f t="shared" ca="1" si="44"/>
        <v>0.30460335885040918</v>
      </c>
    </row>
    <row r="89" spans="1:48" ht="16" x14ac:dyDescent="0.2">
      <c r="A89" s="13" t="e" vm="2017">
        <v>#VALUE!</v>
      </c>
      <c r="B89" s="23" t="str" cm="1">
        <f t="array" aca="1" ref="B89" ca="1">_FV(A89,"ticker symbol",TRUE)</f>
        <v>VNQ</v>
      </c>
      <c r="C89" s="23" t="str" cm="1">
        <f t="array" aca="1" ref="C89" ca="1">_FV(A89,"Name")</f>
        <v>Vanguard RE Idx;ETF</v>
      </c>
      <c r="D89" cm="1" vm="597">
        <f t="array" aca="1" ref="D89:Y89" ca="1">TRANSPOSE(_xlfn.STOCKHISTORY(B89, WORKDAY(TODAY(), -23), TODAY(), 0, 0, 1))</f>
        <v>88.51</v>
      </c>
      <c r="E89" vm="1841">
        <f ca="1"/>
        <v>88.14</v>
      </c>
      <c r="F89" vm="2018">
        <f ca="1"/>
        <v>89.57</v>
      </c>
      <c r="G89" vm="2019">
        <f ca="1"/>
        <v>89.81</v>
      </c>
      <c r="H89" vm="2020">
        <f ca="1"/>
        <v>90.64</v>
      </c>
      <c r="I89" vm="2021">
        <f ca="1"/>
        <v>91.04</v>
      </c>
      <c r="J89" vm="95">
        <f ca="1"/>
        <v>91.34</v>
      </c>
      <c r="K89" vm="2022">
        <f ca="1"/>
        <v>90.29</v>
      </c>
      <c r="L89" vm="2023">
        <f ca="1"/>
        <v>89.97</v>
      </c>
      <c r="M89" vm="1716">
        <f ca="1"/>
        <v>90.2</v>
      </c>
      <c r="N89" vm="2024">
        <f ca="1"/>
        <v>89.98</v>
      </c>
      <c r="O89" vm="446">
        <f ca="1"/>
        <v>89.88</v>
      </c>
      <c r="P89" vm="2025">
        <f ca="1"/>
        <v>89.19</v>
      </c>
      <c r="Q89" vm="2026">
        <f ca="1"/>
        <v>88.85</v>
      </c>
      <c r="R89" vm="449">
        <f ca="1"/>
        <v>89.17</v>
      </c>
      <c r="S89" vm="2027">
        <f ca="1"/>
        <v>89.56</v>
      </c>
      <c r="T89" vm="2028">
        <f ca="1"/>
        <v>89.45</v>
      </c>
      <c r="U89" vm="2029">
        <f ca="1"/>
        <v>89.73</v>
      </c>
      <c r="V89" vm="2030">
        <f ca="1"/>
        <v>89.07</v>
      </c>
      <c r="W89" vm="535">
        <f ca="1"/>
        <v>89.4</v>
      </c>
      <c r="X89" vm="2031">
        <f ca="1"/>
        <v>88.93</v>
      </c>
      <c r="Y89" vm="152">
        <f ca="1"/>
        <v>88.59</v>
      </c>
      <c r="AA89">
        <f t="shared" ca="1" si="23"/>
        <v>0.13357378929417624</v>
      </c>
      <c r="AB89">
        <f t="shared" ca="1" si="24"/>
        <v>0.13507424945979496</v>
      </c>
      <c r="AC89">
        <f t="shared" ca="1" si="25"/>
        <v>0.13591187047630607</v>
      </c>
      <c r="AD89">
        <f t="shared" ca="1" si="26"/>
        <v>0.13429934353176917</v>
      </c>
      <c r="AE89">
        <f t="shared" ca="1" si="27"/>
        <v>0.1342775028888033</v>
      </c>
      <c r="AF89">
        <f t="shared" ca="1" si="28"/>
        <v>0.13394538606403014</v>
      </c>
      <c r="AG89">
        <f t="shared" ca="1" si="29"/>
        <v>0.13365720891438271</v>
      </c>
      <c r="AH89">
        <f t="shared" ca="1" si="30"/>
        <v>0.13272671145280551</v>
      </c>
      <c r="AI89">
        <f t="shared" ca="1" si="31"/>
        <v>0.13201179698619284</v>
      </c>
      <c r="AJ89">
        <f t="shared" ca="1" si="32"/>
        <v>0.13189255582038048</v>
      </c>
      <c r="AK89">
        <f t="shared" ca="1" si="33"/>
        <v>0.1314747439325531</v>
      </c>
      <c r="AL89">
        <f t="shared" ca="1" si="34"/>
        <v>0.1310796424040018</v>
      </c>
      <c r="AM89">
        <f t="shared" ca="1" si="35"/>
        <v>0.13046531018240862</v>
      </c>
      <c r="AN89">
        <f t="shared" ca="1" si="36"/>
        <v>0.1300802295619583</v>
      </c>
      <c r="AO89">
        <f t="shared" ca="1" si="37"/>
        <v>0.12968861352298675</v>
      </c>
      <c r="AP89">
        <f t="shared" ca="1" si="38"/>
        <v>0.12995342223254061</v>
      </c>
      <c r="AQ89">
        <f t="shared" ca="1" si="39"/>
        <v>0.13120452945318001</v>
      </c>
      <c r="AR89">
        <f t="shared" ca="1" si="40"/>
        <v>0.13181437574368693</v>
      </c>
      <c r="AS89">
        <f t="shared" ca="1" si="41"/>
        <v>0.13120332316938441</v>
      </c>
      <c r="AT89">
        <f t="shared" ca="1" si="42"/>
        <v>0.13315460232350315</v>
      </c>
      <c r="AU89">
        <f t="shared" ca="1" si="43"/>
        <v>0.13146185344508995</v>
      </c>
      <c r="AV89">
        <f t="shared" ca="1" si="44"/>
        <v>0.13016647320707034</v>
      </c>
    </row>
    <row r="90" spans="1:48" ht="16" x14ac:dyDescent="0.2">
      <c r="A90" s="13" t="e" vm="2032">
        <v>#VALUE!</v>
      </c>
      <c r="B90" s="23" t="str" cm="1">
        <f t="array" aca="1" ref="B90" ca="1">_FV(A90,"ticker symbol",TRUE)</f>
        <v>IYR</v>
      </c>
      <c r="C90" s="23" t="str" cm="1">
        <f t="array" aca="1" ref="C90" ca="1">_FV(A90,"Name")</f>
        <v>iShares:US Rl Est ETF</v>
      </c>
      <c r="D90" cm="1" vm="2033">
        <f t="array" aca="1" ref="D90:Y90" ca="1">TRANSPOSE(_xlfn.STOCKHISTORY(B90, WORKDAY(TODAY(), -23), TODAY(), 0, 0, 1))</f>
        <v>93.95</v>
      </c>
      <c r="E90" vm="2034">
        <f ca="1"/>
        <v>93.63</v>
      </c>
      <c r="F90" vm="2035">
        <f ca="1"/>
        <v>95.07</v>
      </c>
      <c r="G90" vm="2036">
        <f ca="1"/>
        <v>95.2</v>
      </c>
      <c r="H90" vm="2037">
        <f ca="1"/>
        <v>96.09</v>
      </c>
      <c r="I90" vm="2038">
        <f ca="1"/>
        <v>96.52</v>
      </c>
      <c r="J90" vm="2039">
        <f ca="1"/>
        <v>96.9</v>
      </c>
      <c r="K90" vm="2040">
        <f ca="1"/>
        <v>95.79</v>
      </c>
      <c r="L90" vm="2041">
        <f ca="1"/>
        <v>95.49</v>
      </c>
      <c r="M90" vm="2042">
        <f ca="1"/>
        <v>95.77</v>
      </c>
      <c r="N90" vm="2043">
        <f ca="1"/>
        <v>95.53</v>
      </c>
      <c r="O90" vm="2044">
        <f ca="1"/>
        <v>95.47</v>
      </c>
      <c r="P90" vm="2045">
        <f ca="1"/>
        <v>94.65</v>
      </c>
      <c r="Q90" vm="2046">
        <f ca="1"/>
        <v>94.16</v>
      </c>
      <c r="R90" vm="2047">
        <f ca="1"/>
        <v>94.51</v>
      </c>
      <c r="S90" vm="2048">
        <f ca="1"/>
        <v>94.89</v>
      </c>
      <c r="T90" vm="2049">
        <f ca="1"/>
        <v>94.76</v>
      </c>
      <c r="U90" vm="2050">
        <f ca="1"/>
        <v>95.08</v>
      </c>
      <c r="V90" vm="2051">
        <f ca="1"/>
        <v>93.42</v>
      </c>
      <c r="W90" vm="2052">
        <f ca="1"/>
        <v>93.85</v>
      </c>
      <c r="X90" vm="2053">
        <f ca="1"/>
        <v>93.33</v>
      </c>
      <c r="Y90" vm="153">
        <f ca="1"/>
        <v>93.02</v>
      </c>
      <c r="AA90">
        <f t="shared" ca="1" si="23"/>
        <v>0.14178349908697163</v>
      </c>
      <c r="AB90">
        <f t="shared" ca="1" si="24"/>
        <v>0.14348765573996597</v>
      </c>
      <c r="AC90">
        <f t="shared" ca="1" si="25"/>
        <v>0.14425746931095701</v>
      </c>
      <c r="AD90">
        <f t="shared" ca="1" si="26"/>
        <v>0.1423593976642292</v>
      </c>
      <c r="AE90">
        <f t="shared" ca="1" si="27"/>
        <v>0.1423513377381411</v>
      </c>
      <c r="AF90">
        <f t="shared" ca="1" si="28"/>
        <v>0.14200800376647835</v>
      </c>
      <c r="AG90">
        <f t="shared" ca="1" si="29"/>
        <v>0.14179311959496044</v>
      </c>
      <c r="AH90">
        <f t="shared" ca="1" si="30"/>
        <v>0.14081173651638321</v>
      </c>
      <c r="AI90">
        <f t="shared" ca="1" si="31"/>
        <v>0.14011122034246476</v>
      </c>
      <c r="AJ90">
        <f t="shared" ca="1" si="32"/>
        <v>0.14003714047580751</v>
      </c>
      <c r="AK90">
        <f t="shared" ca="1" si="33"/>
        <v>0.13958415523312731</v>
      </c>
      <c r="AL90">
        <f t="shared" ca="1" si="34"/>
        <v>0.13923201446717903</v>
      </c>
      <c r="AM90">
        <f t="shared" ca="1" si="35"/>
        <v>0.13845208665506195</v>
      </c>
      <c r="AN90">
        <f t="shared" ca="1" si="36"/>
        <v>0.13785429843054581</v>
      </c>
      <c r="AO90">
        <f t="shared" ca="1" si="37"/>
        <v>0.13745509548118737</v>
      </c>
      <c r="AP90">
        <f t="shared" ca="1" si="38"/>
        <v>0.13768736305991267</v>
      </c>
      <c r="AQ90">
        <f t="shared" ca="1" si="39"/>
        <v>0.13899319408589533</v>
      </c>
      <c r="AR90">
        <f t="shared" ca="1" si="40"/>
        <v>0.13967358570945895</v>
      </c>
      <c r="AS90">
        <f t="shared" ca="1" si="41"/>
        <v>0.13761103009412701</v>
      </c>
      <c r="AT90">
        <f t="shared" ca="1" si="42"/>
        <v>0.1397825439380399</v>
      </c>
      <c r="AU90">
        <f t="shared" ca="1" si="43"/>
        <v>0.13796620692713646</v>
      </c>
      <c r="AV90">
        <f t="shared" ca="1" si="44"/>
        <v>0.13667553152411877</v>
      </c>
    </row>
    <row r="91" spans="1:48" ht="16" x14ac:dyDescent="0.2">
      <c r="A91" s="13" t="e" vm="2054">
        <v>#VALUE!</v>
      </c>
      <c r="B91" s="23" t="str" cm="1">
        <f t="array" aca="1" ref="B91" ca="1">_FV(A91,"ticker symbol",TRUE)</f>
        <v>REET</v>
      </c>
      <c r="C91" s="23" t="str" cm="1">
        <f t="array" aca="1" ref="C91" ca="1">_FV(A91,"Name")</f>
        <v>iShares:Global REIT</v>
      </c>
      <c r="D91" cm="1" vm="2055">
        <f t="array" aca="1" ref="D91:Y91" ca="1">TRANSPOSE(_xlfn.STOCKHISTORY(B91, WORKDAY(TODAY(), -23), TODAY(), 0, 0, 1))</f>
        <v>24.95</v>
      </c>
      <c r="E91" vm="2056">
        <f ca="1"/>
        <v>24.83</v>
      </c>
      <c r="F91" vm="2057">
        <f ca="1"/>
        <v>25.15</v>
      </c>
      <c r="G91" vm="2058">
        <f ca="1"/>
        <v>25.12</v>
      </c>
      <c r="H91" vm="2059">
        <f ca="1"/>
        <v>25.39</v>
      </c>
      <c r="I91" vm="2060">
        <f ca="1"/>
        <v>25.55</v>
      </c>
      <c r="J91" vm="2061">
        <f ca="1"/>
        <v>25.66</v>
      </c>
      <c r="K91" vm="2062">
        <f ca="1"/>
        <v>25.4</v>
      </c>
      <c r="L91" vm="2059">
        <f ca="1"/>
        <v>25.39</v>
      </c>
      <c r="M91" vm="2063">
        <f ca="1"/>
        <v>25.42</v>
      </c>
      <c r="N91" vm="2064">
        <f ca="1"/>
        <v>25.3</v>
      </c>
      <c r="O91" vm="2065">
        <f ca="1"/>
        <v>25.26</v>
      </c>
      <c r="P91" vm="2066">
        <f ca="1"/>
        <v>25.04</v>
      </c>
      <c r="Q91" vm="2055">
        <f ca="1"/>
        <v>24.95</v>
      </c>
      <c r="R91" vm="2067">
        <f ca="1"/>
        <v>25.05</v>
      </c>
      <c r="S91" vm="2058">
        <f ca="1"/>
        <v>25.12</v>
      </c>
      <c r="T91" vm="2068">
        <f ca="1"/>
        <v>25.11</v>
      </c>
      <c r="U91" vm="2069">
        <f ca="1"/>
        <v>24.87</v>
      </c>
      <c r="V91" vm="2070">
        <f ca="1"/>
        <v>24.72</v>
      </c>
      <c r="W91" vm="2071">
        <f ca="1"/>
        <v>24.79</v>
      </c>
      <c r="X91" vm="2072">
        <f ca="1"/>
        <v>24.76</v>
      </c>
      <c r="Y91" vm="154">
        <f ca="1"/>
        <v>24.71</v>
      </c>
      <c r="AA91">
        <f t="shared" ca="1" si="23"/>
        <v>3.7652988847471439E-2</v>
      </c>
      <c r="AB91">
        <f t="shared" ca="1" si="24"/>
        <v>3.8051890334544002E-2</v>
      </c>
      <c r="AC91">
        <f t="shared" ca="1" si="25"/>
        <v>3.8162147398449232E-2</v>
      </c>
      <c r="AD91">
        <f t="shared" ca="1" si="26"/>
        <v>3.75637402240067E-2</v>
      </c>
      <c r="AE91">
        <f t="shared" ca="1" si="27"/>
        <v>3.7613700334804899E-2</v>
      </c>
      <c r="AF91">
        <f t="shared" ca="1" si="28"/>
        <v>3.7591219397363471E-2</v>
      </c>
      <c r="AG91">
        <f t="shared" ca="1" si="29"/>
        <v>3.7548105766838848E-2</v>
      </c>
      <c r="AH91">
        <f t="shared" ca="1" si="30"/>
        <v>3.7338115748158818E-2</v>
      </c>
      <c r="AI91">
        <f t="shared" ca="1" si="31"/>
        <v>3.7254412865171012E-2</v>
      </c>
      <c r="AJ91">
        <f t="shared" ca="1" si="32"/>
        <v>3.7169720276652683E-2</v>
      </c>
      <c r="AK91">
        <f t="shared" ca="1" si="33"/>
        <v>3.696722628910417E-2</v>
      </c>
      <c r="AL91">
        <f t="shared" ca="1" si="34"/>
        <v>3.6838804707666727E-2</v>
      </c>
      <c r="AM91">
        <f t="shared" ca="1" si="35"/>
        <v>3.6628000526600646E-2</v>
      </c>
      <c r="AN91">
        <f t="shared" ca="1" si="36"/>
        <v>3.6527875380651206E-2</v>
      </c>
      <c r="AO91">
        <f t="shared" ca="1" si="37"/>
        <v>3.6432654129761328E-2</v>
      </c>
      <c r="AP91">
        <f t="shared" ca="1" si="38"/>
        <v>3.6449642323374498E-2</v>
      </c>
      <c r="AQ91">
        <f t="shared" ca="1" si="39"/>
        <v>3.6831142924196196E-2</v>
      </c>
      <c r="AR91">
        <f t="shared" ca="1" si="40"/>
        <v>3.6534308756775817E-2</v>
      </c>
      <c r="AS91">
        <f t="shared" ca="1" si="41"/>
        <v>3.6413451765433737E-2</v>
      </c>
      <c r="AT91">
        <f t="shared" ca="1" si="42"/>
        <v>3.6922847780756628E-2</v>
      </c>
      <c r="AU91">
        <f t="shared" ca="1" si="43"/>
        <v>3.6601770958061705E-2</v>
      </c>
      <c r="AV91">
        <f t="shared" ca="1" si="44"/>
        <v>3.6306733863265696E-2</v>
      </c>
    </row>
    <row r="92" spans="1:48" ht="16" x14ac:dyDescent="0.2">
      <c r="A92" s="13" t="e" vm="2073">
        <v>#VALUE!</v>
      </c>
      <c r="B92" s="23" t="str" cm="1">
        <f t="array" aca="1" ref="B92" ca="1">_FV(A92,"ticker symbol",TRUE)</f>
        <v>SRVR</v>
      </c>
      <c r="C92" s="23" t="str" cm="1">
        <f t="array" aca="1" ref="C92" ca="1">_FV(A92,"Name")</f>
        <v>Pacer Data &amp; Infra RE</v>
      </c>
      <c r="D92" cm="1" vm="2074">
        <f t="array" aca="1" ref="D92:Y92" ca="1">TRANSPOSE(_xlfn.STOCKHISTORY(B92, WORKDAY(TODAY(), -23), TODAY(), 0, 0, 1))</f>
        <v>28.77</v>
      </c>
      <c r="E92" vm="2075">
        <f ca="1"/>
        <v>28.56</v>
      </c>
      <c r="F92" vm="2076">
        <f ca="1"/>
        <v>28.74</v>
      </c>
      <c r="G92" vm="2077">
        <f ca="1"/>
        <v>28.98</v>
      </c>
      <c r="H92" vm="2078">
        <f ca="1"/>
        <v>28.96</v>
      </c>
      <c r="I92" vm="2079">
        <f ca="1"/>
        <v>29.1691</v>
      </c>
      <c r="J92" vm="2080">
        <f ca="1"/>
        <v>29.305</v>
      </c>
      <c r="K92" vm="2081">
        <f ca="1"/>
        <v>28.81</v>
      </c>
      <c r="L92" vm="2082">
        <f ca="1"/>
        <v>28.687000000000001</v>
      </c>
      <c r="M92" vm="2083">
        <f ca="1"/>
        <v>28.85</v>
      </c>
      <c r="N92" vm="2084">
        <f ca="1"/>
        <v>28.99</v>
      </c>
      <c r="O92" vm="2085">
        <f ca="1"/>
        <v>29.55</v>
      </c>
      <c r="P92" vm="2086">
        <f ca="1"/>
        <v>29.684999999999999</v>
      </c>
      <c r="Q92" vm="2087">
        <f ca="1"/>
        <v>29.606100000000001</v>
      </c>
      <c r="R92" vm="2088">
        <f ca="1"/>
        <v>29.53</v>
      </c>
      <c r="S92" vm="2089">
        <f ca="1"/>
        <v>29.82</v>
      </c>
      <c r="T92" vm="2090">
        <f ca="1"/>
        <v>29.41</v>
      </c>
      <c r="U92" vm="2091">
        <f ca="1"/>
        <v>29.35</v>
      </c>
      <c r="V92" vm="2092">
        <f ca="1"/>
        <v>29.02</v>
      </c>
      <c r="W92" vm="2093">
        <f ca="1"/>
        <v>28.725000000000001</v>
      </c>
      <c r="X92" vm="2094">
        <f ca="1"/>
        <v>28.535</v>
      </c>
      <c r="Y92" vm="155">
        <f ca="1"/>
        <v>28.680299999999999</v>
      </c>
      <c r="AA92">
        <f t="shared" ca="1" si="23"/>
        <v>4.34178953563829E-2</v>
      </c>
      <c r="AB92">
        <f t="shared" ca="1" si="24"/>
        <v>4.376810261597168E-2</v>
      </c>
      <c r="AC92">
        <f t="shared" ca="1" si="25"/>
        <v>4.3609547365066843E-2</v>
      </c>
      <c r="AD92">
        <f t="shared" ca="1" si="26"/>
        <v>4.3335875465434479E-2</v>
      </c>
      <c r="AE92">
        <f t="shared" ca="1" si="27"/>
        <v>4.2902432520517911E-2</v>
      </c>
      <c r="AF92">
        <f t="shared" ca="1" si="28"/>
        <v>4.2915931026365352E-2</v>
      </c>
      <c r="AG92">
        <f t="shared" ca="1" si="29"/>
        <v>4.288180980113844E-2</v>
      </c>
      <c r="AH92">
        <f t="shared" ca="1" si="30"/>
        <v>4.2350831287576989E-2</v>
      </c>
      <c r="AI92">
        <f t="shared" ca="1" si="31"/>
        <v>4.2092057576335599E-2</v>
      </c>
      <c r="AJ92">
        <f t="shared" ca="1" si="32"/>
        <v>4.2185146734123914E-2</v>
      </c>
      <c r="AK92">
        <f t="shared" ca="1" si="33"/>
        <v>4.2358888937594062E-2</v>
      </c>
      <c r="AL92">
        <f t="shared" ca="1" si="34"/>
        <v>4.3095276291035302E-2</v>
      </c>
      <c r="AM92">
        <f t="shared" ca="1" si="35"/>
        <v>4.3422611646650962E-2</v>
      </c>
      <c r="AN92">
        <f t="shared" ca="1" si="36"/>
        <v>4.334460646521434E-2</v>
      </c>
      <c r="AO92">
        <f t="shared" ca="1" si="37"/>
        <v>4.2948354349375335E-2</v>
      </c>
      <c r="AP92">
        <f t="shared" ca="1" si="38"/>
        <v>4.3269440051075934E-2</v>
      </c>
      <c r="AQ92">
        <f t="shared" ca="1" si="39"/>
        <v>4.313834780567942E-2</v>
      </c>
      <c r="AR92">
        <f t="shared" ca="1" si="40"/>
        <v>4.311547897110455E-2</v>
      </c>
      <c r="AS92">
        <f t="shared" ca="1" si="41"/>
        <v>4.2747506886443645E-2</v>
      </c>
      <c r="AT92">
        <f t="shared" ca="1" si="42"/>
        <v>4.2783735478105454E-2</v>
      </c>
      <c r="AU92">
        <f t="shared" ca="1" si="43"/>
        <v>4.2182210593226604E-2</v>
      </c>
      <c r="AV92">
        <f t="shared" ca="1" si="44"/>
        <v>4.214034881499875E-2</v>
      </c>
    </row>
    <row r="93" spans="1:48" ht="16" x14ac:dyDescent="0.2">
      <c r="A93" s="13" t="e" vm="2095">
        <v>#VALUE!</v>
      </c>
      <c r="B93" s="23" t="str" cm="1">
        <f t="array" aca="1" ref="B93" ca="1">_FV(A93,"ticker symbol",TRUE)</f>
        <v>HOMZ</v>
      </c>
      <c r="C93" s="23" t="str" cm="1">
        <f t="array" aca="1" ref="C93" ca="1">_FV(A93,"Name")</f>
        <v>Hoya Capital Housing</v>
      </c>
      <c r="D93" cm="1" vm="2096">
        <f t="array" aca="1" ref="D93:Y93" ca="1">TRANSPOSE(_xlfn.STOCKHISTORY(B93, WORKDAY(TODAY(), -23), TODAY(), 0, 0, 1))</f>
        <v>43.604399999999998</v>
      </c>
      <c r="E93" vm="2097">
        <f ca="1"/>
        <v>43.529299999999999</v>
      </c>
      <c r="F93" vm="2098">
        <f ca="1"/>
        <v>45.1496</v>
      </c>
      <c r="G93" vm="2099">
        <f ca="1"/>
        <v>45.142600000000002</v>
      </c>
      <c r="H93" vm="2100">
        <f ca="1"/>
        <v>46.500100000000003</v>
      </c>
      <c r="I93" vm="2101">
        <f ca="1"/>
        <v>46.862099999999998</v>
      </c>
      <c r="J93" vm="2102">
        <f ca="1"/>
        <v>46.8065</v>
      </c>
      <c r="K93" vm="2103">
        <f ca="1"/>
        <v>46.73</v>
      </c>
      <c r="L93" vm="2104">
        <f ca="1"/>
        <v>46.602899999999998</v>
      </c>
      <c r="M93" vm="2105">
        <f ca="1"/>
        <v>46.966000000000001</v>
      </c>
      <c r="N93" vm="2106">
        <f ca="1"/>
        <v>46.349600000000002</v>
      </c>
      <c r="O93" vm="2107">
        <f ca="1"/>
        <v>46.195500000000003</v>
      </c>
      <c r="P93" vm="2108">
        <f ca="1"/>
        <v>45.622599999999998</v>
      </c>
      <c r="Q93" vm="2109">
        <f ca="1"/>
        <v>45.287300000000002</v>
      </c>
      <c r="R93" vm="2110">
        <f ca="1"/>
        <v>46.26</v>
      </c>
      <c r="S93" vm="2111">
        <f ca="1"/>
        <v>46.587499999999999</v>
      </c>
      <c r="T93" vm="2112">
        <f ca="1"/>
        <v>46.444800000000001</v>
      </c>
      <c r="U93" vm="2113">
        <f ca="1"/>
        <v>46.423499999999997</v>
      </c>
      <c r="V93" vm="2114">
        <f ca="1"/>
        <v>46.0336</v>
      </c>
      <c r="W93" vm="2115">
        <f ca="1"/>
        <v>46.120699999999999</v>
      </c>
      <c r="X93" vm="2116">
        <f ca="1"/>
        <v>46.189700000000002</v>
      </c>
      <c r="Y93" vm="156">
        <f ca="1"/>
        <v>45.645800000000001</v>
      </c>
      <c r="AA93">
        <f t="shared" ca="1" si="23"/>
        <v>6.5805049575177701E-2</v>
      </c>
      <c r="AB93">
        <f t="shared" ca="1" si="24"/>
        <v>6.6708503823578999E-2</v>
      </c>
      <c r="AC93">
        <f t="shared" ca="1" si="25"/>
        <v>6.8509172571810092E-2</v>
      </c>
      <c r="AD93">
        <f t="shared" ca="1" si="26"/>
        <v>6.7504972111315481E-2</v>
      </c>
      <c r="AE93">
        <f t="shared" ca="1" si="27"/>
        <v>6.8886995940861021E-2</v>
      </c>
      <c r="AF93">
        <f t="shared" ca="1" si="28"/>
        <v>6.8947298728813555E-2</v>
      </c>
      <c r="AG93">
        <f t="shared" ca="1" si="29"/>
        <v>6.8491637278859804E-2</v>
      </c>
      <c r="AH93">
        <f t="shared" ca="1" si="30"/>
        <v>6.8693312949270141E-2</v>
      </c>
      <c r="AI93">
        <f t="shared" ca="1" si="31"/>
        <v>6.837982187137763E-2</v>
      </c>
      <c r="AJ93">
        <f t="shared" ca="1" si="32"/>
        <v>6.8674786880931149E-2</v>
      </c>
      <c r="AK93">
        <f t="shared" ca="1" si="33"/>
        <v>6.7723958561638833E-2</v>
      </c>
      <c r="AL93">
        <f t="shared" ca="1" si="34"/>
        <v>6.7370823550000722E-2</v>
      </c>
      <c r="AM93">
        <f t="shared" ca="1" si="35"/>
        <v>6.673580738118573E-2</v>
      </c>
      <c r="AN93">
        <f t="shared" ca="1" si="36"/>
        <v>6.6302559147341303E-2</v>
      </c>
      <c r="AO93">
        <f t="shared" ca="1" si="37"/>
        <v>6.7280422356996369E-2</v>
      </c>
      <c r="AP93">
        <f t="shared" ca="1" si="38"/>
        <v>6.7599431199849097E-2</v>
      </c>
      <c r="AQ93">
        <f t="shared" ca="1" si="39"/>
        <v>6.8124853320816706E-2</v>
      </c>
      <c r="AR93">
        <f t="shared" ca="1" si="40"/>
        <v>6.8196641840377242E-2</v>
      </c>
      <c r="AS93">
        <f t="shared" ca="1" si="41"/>
        <v>6.7809153446167891E-2</v>
      </c>
      <c r="AT93">
        <f t="shared" ca="1" si="42"/>
        <v>6.8693327375633009E-2</v>
      </c>
      <c r="AU93">
        <f t="shared" ca="1" si="43"/>
        <v>6.8280485461291701E-2</v>
      </c>
      <c r="AV93">
        <f t="shared" ca="1" si="44"/>
        <v>6.7067985130548499E-2</v>
      </c>
    </row>
    <row r="94" spans="1:48" ht="16" x14ac:dyDescent="0.2">
      <c r="A94" s="13" t="e" vm="2117">
        <v>#VALUE!</v>
      </c>
      <c r="B94" s="23" t="str" cm="1">
        <f t="array" aca="1" ref="B94" ca="1">_FV(A94,"ticker symbol",TRUE)</f>
        <v>SCHH</v>
      </c>
      <c r="C94" s="23" t="str" cm="1">
        <f t="array" aca="1" ref="C94" ca="1">_FV(A94,"Name")</f>
        <v>Schwab Str:US REIT</v>
      </c>
      <c r="D94" cm="1" vm="2118">
        <f t="array" aca="1" ref="D94:Y94" ca="1">TRANSPOSE(_xlfn.STOCKHISTORY(B94, WORKDAY(TODAY(), -23), TODAY(), 0, 0, 1))</f>
        <v>20.99</v>
      </c>
      <c r="E94" vm="2119">
        <f ca="1"/>
        <v>20.92</v>
      </c>
      <c r="F94" vm="2120">
        <f ca="1"/>
        <v>21.21</v>
      </c>
      <c r="G94" vm="2121">
        <f ca="1"/>
        <v>21.23</v>
      </c>
      <c r="H94" vm="2122">
        <f ca="1"/>
        <v>21.39</v>
      </c>
      <c r="I94" vm="2123">
        <f ca="1"/>
        <v>21.5</v>
      </c>
      <c r="J94" vm="2124">
        <f ca="1"/>
        <v>21.57</v>
      </c>
      <c r="K94" vm="2125">
        <f ca="1"/>
        <v>21.34</v>
      </c>
      <c r="L94" vm="2126">
        <f ca="1"/>
        <v>21.28</v>
      </c>
      <c r="M94" vm="2127">
        <f ca="1"/>
        <v>21.3</v>
      </c>
      <c r="N94" vm="2128">
        <f ca="1"/>
        <v>21.25</v>
      </c>
      <c r="O94" vm="2129">
        <f ca="1"/>
        <v>21.22</v>
      </c>
      <c r="P94" vm="2130">
        <f ca="1"/>
        <v>21.09</v>
      </c>
      <c r="Q94" vm="2131">
        <f ca="1"/>
        <v>20.97</v>
      </c>
      <c r="R94" vm="2132">
        <f ca="1"/>
        <v>20.85</v>
      </c>
      <c r="S94" vm="2133">
        <f ca="1"/>
        <v>20.9</v>
      </c>
      <c r="T94" vm="2134">
        <f ca="1"/>
        <v>20.89</v>
      </c>
      <c r="U94" vm="2135">
        <f ca="1"/>
        <v>21.02</v>
      </c>
      <c r="V94" vm="2136">
        <f ca="1"/>
        <v>20.84</v>
      </c>
      <c r="W94" vm="2119">
        <f ca="1"/>
        <v>20.92</v>
      </c>
      <c r="X94" vm="2137">
        <f ca="1"/>
        <v>20.8</v>
      </c>
      <c r="Y94" vm="157">
        <f ca="1"/>
        <v>20.7</v>
      </c>
      <c r="AA94">
        <f t="shared" ca="1" si="23"/>
        <v>3.1676803042421861E-2</v>
      </c>
      <c r="AB94">
        <f t="shared" ca="1" si="24"/>
        <v>3.2059828666881222E-2</v>
      </c>
      <c r="AC94">
        <f t="shared" ca="1" si="25"/>
        <v>3.2183663869626573E-2</v>
      </c>
      <c r="AD94">
        <f t="shared" ca="1" si="26"/>
        <v>3.1746743827852794E-2</v>
      </c>
      <c r="AE94">
        <f t="shared" ca="1" si="27"/>
        <v>3.1687949986667061E-2</v>
      </c>
      <c r="AF94">
        <f t="shared" ca="1" si="28"/>
        <v>3.16325329566855E-2</v>
      </c>
      <c r="AG94">
        <f t="shared" ca="1" si="29"/>
        <v>3.1563236219435464E-2</v>
      </c>
      <c r="AH94">
        <f t="shared" ca="1" si="30"/>
        <v>3.1369897246681468E-2</v>
      </c>
      <c r="AI94">
        <f t="shared" ca="1" si="31"/>
        <v>3.1223863953164208E-2</v>
      </c>
      <c r="AJ94">
        <f t="shared" ca="1" si="32"/>
        <v>3.1145359633859247E-2</v>
      </c>
      <c r="AK94">
        <f t="shared" ca="1" si="33"/>
        <v>3.1049547772468915E-2</v>
      </c>
      <c r="AL94">
        <f t="shared" ca="1" si="34"/>
        <v>3.0946929370415197E-2</v>
      </c>
      <c r="AM94">
        <f t="shared" ca="1" si="35"/>
        <v>3.0850021210303818E-2</v>
      </c>
      <c r="AN94">
        <f t="shared" ca="1" si="36"/>
        <v>3.0700983836964159E-2</v>
      </c>
      <c r="AO94">
        <f t="shared" ca="1" si="37"/>
        <v>3.0324185173873204E-2</v>
      </c>
      <c r="AP94">
        <f t="shared" ca="1" si="38"/>
        <v>3.0326334576374479E-2</v>
      </c>
      <c r="AQ94">
        <f t="shared" ca="1" si="39"/>
        <v>3.0641281389345226E-2</v>
      </c>
      <c r="AR94">
        <f t="shared" ca="1" si="40"/>
        <v>3.0878615603837055E-2</v>
      </c>
      <c r="AS94">
        <f t="shared" ca="1" si="41"/>
        <v>3.0698071795778277E-2</v>
      </c>
      <c r="AT94">
        <f t="shared" ca="1" si="42"/>
        <v>3.1158772713732501E-2</v>
      </c>
      <c r="AU94">
        <f t="shared" ca="1" si="43"/>
        <v>3.0747852824219848E-2</v>
      </c>
      <c r="AV94">
        <f t="shared" ca="1" si="44"/>
        <v>3.0414787169955479E-2</v>
      </c>
    </row>
    <row r="95" spans="1:48" ht="17" thickBot="1" x14ac:dyDescent="0.25">
      <c r="A95" s="15" t="e" vm="2138">
        <v>#VALUE!</v>
      </c>
      <c r="B95" s="23" t="str" cm="1">
        <f t="array" aca="1" ref="B95" ca="1">_FV(A95,"ticker symbol",TRUE)</f>
        <v>NETL</v>
      </c>
      <c r="C95" s="23" t="str" cm="1">
        <f t="array" aca="1" ref="C95" ca="1">_FV(A95,"Name")</f>
        <v>Colterpoint Nt Ls Rl Est</v>
      </c>
      <c r="D95" cm="1" vm="2139">
        <f t="array" aca="1" ref="D95:Y95" ca="1">TRANSPOSE(_xlfn.STOCKHISTORY(B95, WORKDAY(TODAY(), -23), TODAY(), 0, 0, 1))</f>
        <v>23.789899999999999</v>
      </c>
      <c r="E95" vm="2140">
        <f ca="1"/>
        <v>23.58</v>
      </c>
      <c r="F95" vm="2141">
        <f ca="1"/>
        <v>24.035799999999998</v>
      </c>
      <c r="G95" vm="2142">
        <f ca="1"/>
        <v>24.051300000000001</v>
      </c>
      <c r="H95" vm="2143">
        <f ca="1"/>
        <v>24.125800000000002</v>
      </c>
      <c r="I95" vm="2144">
        <f ca="1"/>
        <v>24.191199999999998</v>
      </c>
      <c r="J95" vm="2145">
        <f ca="1"/>
        <v>24.220199999999998</v>
      </c>
      <c r="K95" vm="2146">
        <f ca="1"/>
        <v>24.148499999999999</v>
      </c>
      <c r="L95" vm="2147">
        <f ca="1"/>
        <v>23.9574</v>
      </c>
      <c r="M95" vm="2148">
        <f ca="1"/>
        <v>24.079899999999999</v>
      </c>
      <c r="N95" vm="2149">
        <f ca="1"/>
        <v>23.935600000000001</v>
      </c>
      <c r="O95" vm="2150">
        <f ca="1"/>
        <v>23.8322</v>
      </c>
      <c r="P95" vm="2151">
        <f ca="1"/>
        <v>23.69</v>
      </c>
      <c r="Q95" vm="2152">
        <f ca="1"/>
        <v>23.671600000000002</v>
      </c>
      <c r="R95" vm="2153">
        <f ca="1"/>
        <v>23.809699999999999</v>
      </c>
      <c r="S95" vm="2154">
        <f ca="1"/>
        <v>23.7837</v>
      </c>
      <c r="T95" vm="2155">
        <f ca="1"/>
        <v>23.9923</v>
      </c>
      <c r="U95" vm="2156">
        <f ca="1"/>
        <v>24.103200000000001</v>
      </c>
      <c r="V95" vm="2157">
        <f ca="1"/>
        <v>24.024000000000001</v>
      </c>
      <c r="W95" vm="2158">
        <f ca="1"/>
        <v>24.24</v>
      </c>
      <c r="X95" vm="2159">
        <f ca="1"/>
        <v>24.119</v>
      </c>
      <c r="Y95" vm="158">
        <f ca="1"/>
        <v>23.87</v>
      </c>
      <c r="AA95">
        <f t="shared" ca="1" si="23"/>
        <v>3.5902238051401233E-2</v>
      </c>
      <c r="AB95">
        <f t="shared" ca="1" si="24"/>
        <v>3.6136269596800143E-2</v>
      </c>
      <c r="AC95">
        <f t="shared" ca="1" si="25"/>
        <v>3.6471480812709588E-2</v>
      </c>
      <c r="AD95">
        <f t="shared" ca="1" si="26"/>
        <v>3.5965636355479794E-2</v>
      </c>
      <c r="AE95">
        <f t="shared" ca="1" si="27"/>
        <v>3.5740866937275934E-2</v>
      </c>
      <c r="AF95">
        <f t="shared" ca="1" si="28"/>
        <v>3.5592043314500943E-2</v>
      </c>
      <c r="AG95">
        <f t="shared" ca="1" si="29"/>
        <v>3.5441256090958308E-2</v>
      </c>
      <c r="AH95">
        <f t="shared" ca="1" si="30"/>
        <v>3.5498405045055637E-2</v>
      </c>
      <c r="AI95">
        <f t="shared" ca="1" si="31"/>
        <v>3.5152377738324067E-2</v>
      </c>
      <c r="AJ95">
        <f t="shared" ca="1" si="32"/>
        <v>3.5210194621942123E-2</v>
      </c>
      <c r="AK95">
        <f t="shared" ca="1" si="33"/>
        <v>3.4973626148833273E-2</v>
      </c>
      <c r="AL95">
        <f t="shared" ca="1" si="34"/>
        <v>3.4756522626843034E-2</v>
      </c>
      <c r="AM95">
        <f t="shared" ca="1" si="35"/>
        <v>3.4653248102043503E-2</v>
      </c>
      <c r="AN95">
        <f t="shared" ca="1" si="36"/>
        <v>3.4656242679784496E-2</v>
      </c>
      <c r="AO95">
        <f t="shared" ca="1" si="37"/>
        <v>3.4628765071192745E-2</v>
      </c>
      <c r="AP95">
        <f t="shared" ca="1" si="38"/>
        <v>3.4510643237517596E-2</v>
      </c>
      <c r="AQ95">
        <f t="shared" ca="1" si="39"/>
        <v>3.5191709692560434E-2</v>
      </c>
      <c r="AR95">
        <f t="shared" ca="1" si="40"/>
        <v>3.5407870962055443E-2</v>
      </c>
      <c r="AS95">
        <f t="shared" ca="1" si="41"/>
        <v>3.5388218657474921E-2</v>
      </c>
      <c r="AT95">
        <f t="shared" ca="1" si="42"/>
        <v>3.6103663985701522E-2</v>
      </c>
      <c r="AU95">
        <f t="shared" ca="1" si="43"/>
        <v>3.5654204916699926E-2</v>
      </c>
      <c r="AV95">
        <f t="shared" ca="1" si="44"/>
        <v>3.507251061578924E-2</v>
      </c>
    </row>
    <row r="96" spans="1:48" ht="16" x14ac:dyDescent="0.2">
      <c r="A96" t="e" vm="2160">
        <v>#VALUE!</v>
      </c>
      <c r="B96" s="23" t="str" cm="1">
        <f t="array" aca="1" ref="B96" ca="1">_FV(A96,"ticker symbol",TRUE)</f>
        <v>GLD</v>
      </c>
      <c r="C96" s="23" t="str" cm="1">
        <f t="array" aca="1" ref="C96" ca="1">_FV(A96,"Name")</f>
        <v>SPDR Gold</v>
      </c>
      <c r="D96" cm="1" vm="2161">
        <f t="array" aca="1" ref="D96:Y96" ca="1">TRANSPOSE(_xlfn.STOCKHISTORY(B96, WORKDAY(TODAY(), -23), TODAY(), 0, 0, 1))</f>
        <v>374.96</v>
      </c>
      <c r="E96" vm="2162">
        <f ca="1"/>
        <v>374.85</v>
      </c>
      <c r="F96" vm="2163">
        <f ca="1"/>
        <v>374.27</v>
      </c>
      <c r="G96" vm="2164">
        <f ca="1"/>
        <v>380.2</v>
      </c>
      <c r="H96" vm="2165">
        <f ca="1"/>
        <v>380.08</v>
      </c>
      <c r="I96" vm="2166">
        <f ca="1"/>
        <v>383.12</v>
      </c>
      <c r="J96" vm="2167">
        <f ca="1"/>
        <v>387.88</v>
      </c>
      <c r="K96" vm="2168">
        <f ca="1"/>
        <v>389.75</v>
      </c>
      <c r="L96" vm="2169">
        <f ca="1"/>
        <v>387.24</v>
      </c>
      <c r="M96" vm="2170">
        <f ca="1"/>
        <v>386.88</v>
      </c>
      <c r="N96" vm="2171">
        <f ca="1"/>
        <v>387.13</v>
      </c>
      <c r="O96" vm="2172">
        <f ca="1"/>
        <v>386.44</v>
      </c>
      <c r="P96" vm="2173">
        <f ca="1"/>
        <v>385.42</v>
      </c>
      <c r="Q96" vm="2174">
        <f ca="1"/>
        <v>387.4</v>
      </c>
      <c r="R96" vm="2175">
        <f ca="1"/>
        <v>389.05</v>
      </c>
      <c r="S96" vm="2176">
        <f ca="1"/>
        <v>393.24</v>
      </c>
      <c r="T96" vm="2177">
        <f ca="1"/>
        <v>395.44</v>
      </c>
      <c r="U96" vm="2178">
        <f ca="1"/>
        <v>395.8</v>
      </c>
      <c r="V96" vm="2179">
        <f ca="1"/>
        <v>395.89</v>
      </c>
      <c r="W96" vm="2180">
        <f ca="1"/>
        <v>399.29</v>
      </c>
      <c r="X96" vm="2181">
        <f ca="1"/>
        <v>398.57</v>
      </c>
      <c r="Y96" vm="23">
        <f ca="1"/>
        <v>399.02</v>
      </c>
      <c r="AA96">
        <f t="shared" ca="1" si="23"/>
        <v>0.56586632057105768</v>
      </c>
      <c r="AB96">
        <f t="shared" ca="1" si="24"/>
        <v>0.57445634683462832</v>
      </c>
      <c r="AC96">
        <f t="shared" ca="1" si="25"/>
        <v>0.56791041378996399</v>
      </c>
      <c r="AD96">
        <f t="shared" ca="1" si="26"/>
        <v>0.56854036756239434</v>
      </c>
      <c r="AE96">
        <f t="shared" ca="1" si="27"/>
        <v>0.56306479808005683</v>
      </c>
      <c r="AF96">
        <f t="shared" ca="1" si="28"/>
        <v>0.56367702448210932</v>
      </c>
      <c r="AG96">
        <f t="shared" ca="1" si="29"/>
        <v>0.56758220050044628</v>
      </c>
      <c r="AH96">
        <f t="shared" ca="1" si="30"/>
        <v>0.57293427609625591</v>
      </c>
      <c r="AI96">
        <f t="shared" ca="1" si="31"/>
        <v>0.56819215588455396</v>
      </c>
      <c r="AJ96">
        <f t="shared" ca="1" si="32"/>
        <v>0.5657050110397871</v>
      </c>
      <c r="AK96">
        <f t="shared" ca="1" si="33"/>
        <v>0.56565700843086542</v>
      </c>
      <c r="AL96">
        <f t="shared" ca="1" si="34"/>
        <v>0.56357829339789112</v>
      </c>
      <c r="AM96">
        <f t="shared" ca="1" si="35"/>
        <v>0.56378450331319574</v>
      </c>
      <c r="AN96">
        <f t="shared" ca="1" si="36"/>
        <v>0.56717029749355818</v>
      </c>
      <c r="AO96">
        <f t="shared" ca="1" si="37"/>
        <v>0.56583329697339901</v>
      </c>
      <c r="AP96">
        <f t="shared" ca="1" si="38"/>
        <v>0.5705994166896412</v>
      </c>
      <c r="AQ96">
        <f t="shared" ca="1" si="39"/>
        <v>0.58002816240319177</v>
      </c>
      <c r="AR96">
        <f t="shared" ca="1" si="40"/>
        <v>0.58143463634627535</v>
      </c>
      <c r="AS96">
        <f t="shared" ca="1" si="41"/>
        <v>0.58316025159456153</v>
      </c>
      <c r="AT96">
        <f t="shared" ca="1" si="42"/>
        <v>0.59471254095918979</v>
      </c>
      <c r="AU96">
        <f t="shared" ca="1" si="43"/>
        <v>0.5891909471225627</v>
      </c>
      <c r="AV96">
        <f t="shared" ca="1" si="44"/>
        <v>0.58628542881911272</v>
      </c>
    </row>
    <row r="97" spans="1:48" ht="16" x14ac:dyDescent="0.2">
      <c r="A97" t="e" vm="2182">
        <v>#VALUE!</v>
      </c>
      <c r="B97" s="23" t="str" cm="1">
        <f t="array" aca="1" ref="B97" ca="1">_FV(A97,"ticker symbol",TRUE)</f>
        <v>SLV</v>
      </c>
      <c r="C97" s="23" t="str" cm="1">
        <f t="array" aca="1" ref="C97" ca="1">_FV(A97,"Name")</f>
        <v>IShares:Silver Trust</v>
      </c>
      <c r="D97" cm="1" vm="2183">
        <f t="array" aca="1" ref="D97:Y97" ca="1">TRANSPOSE(_xlfn.STOCKHISTORY(B97, WORKDAY(TODAY(), -23), TODAY(), 0, 0, 1))</f>
        <v>46.45</v>
      </c>
      <c r="E97" vm="2184">
        <f ca="1"/>
        <v>45.78</v>
      </c>
      <c r="F97" vm="2185">
        <f ca="1"/>
        <v>45.3</v>
      </c>
      <c r="G97" vm="2186">
        <f ca="1"/>
        <v>46.63</v>
      </c>
      <c r="H97" vm="2187">
        <f ca="1"/>
        <v>46.67</v>
      </c>
      <c r="I97" vm="2188">
        <f ca="1"/>
        <v>48.4</v>
      </c>
      <c r="J97" vm="2189">
        <f ca="1"/>
        <v>51.21</v>
      </c>
      <c r="K97" vm="2190">
        <f ca="1"/>
        <v>52.52</v>
      </c>
      <c r="L97" vm="2191">
        <f ca="1"/>
        <v>53.13</v>
      </c>
      <c r="M97" vm="2192">
        <f ca="1"/>
        <v>53.07</v>
      </c>
      <c r="N97" vm="2193">
        <f ca="1"/>
        <v>51.76</v>
      </c>
      <c r="O97" vm="472">
        <f ca="1"/>
        <v>52.95</v>
      </c>
      <c r="P97" vm="2194">
        <f ca="1"/>
        <v>52.71</v>
      </c>
      <c r="Q97" vm="2195">
        <f ca="1"/>
        <v>55.17</v>
      </c>
      <c r="R97" vm="2196">
        <f ca="1"/>
        <v>56.07</v>
      </c>
      <c r="S97" vm="2197">
        <f ca="1"/>
        <v>57.62</v>
      </c>
      <c r="T97" vm="2198">
        <f ca="1"/>
        <v>56.1</v>
      </c>
      <c r="U97" vm="2199">
        <f ca="1"/>
        <v>58.11</v>
      </c>
      <c r="V97" vm="2200">
        <f ca="1"/>
        <v>57.73</v>
      </c>
      <c r="W97" vm="2201">
        <f ca="1"/>
        <v>60.26</v>
      </c>
      <c r="X97" vm="1583">
        <f ca="1"/>
        <v>59.32</v>
      </c>
      <c r="Y97" vm="25">
        <f ca="1"/>
        <v>60.93</v>
      </c>
      <c r="AA97">
        <f t="shared" ca="1" si="23"/>
        <v>7.009945218296787E-2</v>
      </c>
      <c r="AB97">
        <f t="shared" ca="1" si="24"/>
        <v>7.0157693899131082E-2</v>
      </c>
      <c r="AC97">
        <f t="shared" ca="1" si="25"/>
        <v>6.8737386765397632E-2</v>
      </c>
      <c r="AD97">
        <f t="shared" ca="1" si="26"/>
        <v>6.9729188162636638E-2</v>
      </c>
      <c r="AE97">
        <f t="shared" ca="1" si="27"/>
        <v>6.9138692186898165E-2</v>
      </c>
      <c r="AF97">
        <f t="shared" ca="1" si="28"/>
        <v>7.1209981167608294E-2</v>
      </c>
      <c r="AG97">
        <f t="shared" ca="1" si="29"/>
        <v>7.4935249272011589E-2</v>
      </c>
      <c r="AH97">
        <f t="shared" ca="1" si="30"/>
        <v>7.7204639334381944E-2</v>
      </c>
      <c r="AI97">
        <f t="shared" ca="1" si="31"/>
        <v>7.7956949804117215E-2</v>
      </c>
      <c r="AJ97">
        <f t="shared" ca="1" si="32"/>
        <v>7.7600198862390155E-2</v>
      </c>
      <c r="AK97">
        <f t="shared" ca="1" si="33"/>
        <v>7.5629392597787809E-2</v>
      </c>
      <c r="AL97">
        <f t="shared" ca="1" si="34"/>
        <v>7.7221484927591177E-2</v>
      </c>
      <c r="AM97">
        <f t="shared" ca="1" si="35"/>
        <v>7.7103111332153362E-2</v>
      </c>
      <c r="AN97">
        <f t="shared" ca="1" si="36"/>
        <v>8.0771257905832755E-2</v>
      </c>
      <c r="AO97">
        <f t="shared" ca="1" si="37"/>
        <v>8.15480605611065E-2</v>
      </c>
      <c r="AP97">
        <f t="shared" ca="1" si="38"/>
        <v>8.3607818100033371E-2</v>
      </c>
      <c r="AQ97">
        <f t="shared" ca="1" si="39"/>
        <v>8.2287021825862477E-2</v>
      </c>
      <c r="AR97">
        <f t="shared" ca="1" si="40"/>
        <v>8.5364241329161344E-2</v>
      </c>
      <c r="AS97">
        <f t="shared" ca="1" si="41"/>
        <v>8.5038372589744712E-2</v>
      </c>
      <c r="AT97">
        <f t="shared" ca="1" si="42"/>
        <v>8.9752755436401543E-2</v>
      </c>
      <c r="AU97">
        <f t="shared" ca="1" si="43"/>
        <v>8.7690511035226987E-2</v>
      </c>
      <c r="AV97">
        <f t="shared" ca="1" si="44"/>
        <v>8.9525264843738517E-2</v>
      </c>
    </row>
    <row r="98" spans="1:48" ht="16" x14ac:dyDescent="0.2">
      <c r="A98" t="e" vm="2202">
        <v>#VALUE!</v>
      </c>
      <c r="B98" s="23" t="str" cm="1">
        <f t="array" aca="1" ref="B98" ca="1">_FV(A98,"ticker symbol",TRUE)</f>
        <v>UNG</v>
      </c>
      <c r="C98" s="23" t="str" cm="1">
        <f t="array" aca="1" ref="C98" ca="1">_FV(A98,"Name")</f>
        <v>United States Nat Gas</v>
      </c>
      <c r="D98" cm="1" vm="2203">
        <f t="array" aca="1" ref="D98:Y98" ca="1">TRANSPOSE(_xlfn.STOCKHISTORY(B98, WORKDAY(TODAY(), -23), TODAY(), 0, 0, 1))</f>
        <v>14.7</v>
      </c>
      <c r="E98" vm="2204">
        <f ca="1"/>
        <v>14.42</v>
      </c>
      <c r="F98" vm="2205">
        <f ca="1"/>
        <v>14.65</v>
      </c>
      <c r="G98" vm="2206">
        <f ca="1"/>
        <v>14.41</v>
      </c>
      <c r="H98" vm="2207">
        <f ca="1"/>
        <v>13.83</v>
      </c>
      <c r="I98" vm="2208">
        <f ca="1"/>
        <v>14.25</v>
      </c>
      <c r="J98" vm="2209">
        <f ca="1"/>
        <v>14.73</v>
      </c>
      <c r="K98" vm="2210">
        <f ca="1"/>
        <v>15.21</v>
      </c>
      <c r="L98" vm="2211">
        <f ca="1"/>
        <v>14.96</v>
      </c>
      <c r="M98" vm="2212">
        <f ca="1"/>
        <v>15.47</v>
      </c>
      <c r="N98" vm="2213">
        <f ca="1"/>
        <v>15.66</v>
      </c>
      <c r="O98" vm="2214">
        <f ca="1"/>
        <v>16.37</v>
      </c>
      <c r="P98" vm="2215">
        <f ca="1"/>
        <v>15.07</v>
      </c>
      <c r="Q98" vm="2216">
        <f ca="1"/>
        <v>14.1</v>
      </c>
      <c r="R98" vm="2217">
        <f ca="1"/>
        <v>14.26</v>
      </c>
      <c r="S98" vm="2218">
        <f ca="1"/>
        <v>13.08</v>
      </c>
      <c r="T98" vm="2219">
        <f ca="1"/>
        <v>12.73</v>
      </c>
      <c r="U98" vm="2220">
        <f ca="1"/>
        <v>12.46</v>
      </c>
      <c r="V98" vm="2221">
        <f ca="1"/>
        <v>12.1</v>
      </c>
      <c r="W98" vm="2222">
        <f ca="1"/>
        <v>12.64</v>
      </c>
      <c r="X98" vm="2223">
        <f ca="1"/>
        <v>12.03</v>
      </c>
      <c r="Y98" vm="27">
        <f ca="1"/>
        <v>12.19</v>
      </c>
      <c r="AA98">
        <f t="shared" ca="1" si="23"/>
        <v>2.2184326094502209E-2</v>
      </c>
      <c r="AB98">
        <f t="shared" ca="1" si="24"/>
        <v>2.2098600830613154E-2</v>
      </c>
      <c r="AC98">
        <f t="shared" ca="1" si="25"/>
        <v>2.2229640532297468E-2</v>
      </c>
      <c r="AD98">
        <f t="shared" ca="1" si="26"/>
        <v>2.1548307986780913E-2</v>
      </c>
      <c r="AE98">
        <f t="shared" ca="1" si="27"/>
        <v>2.0488281828686557E-2</v>
      </c>
      <c r="AF98">
        <f t="shared" ca="1" si="28"/>
        <v>2.0965748587570623E-2</v>
      </c>
      <c r="AG98">
        <f t="shared" ca="1" si="29"/>
        <v>2.1554310130379433E-2</v>
      </c>
      <c r="AH98">
        <f t="shared" ca="1" si="30"/>
        <v>2.2358769312184869E-2</v>
      </c>
      <c r="AI98">
        <f t="shared" ca="1" si="31"/>
        <v>2.1950611124968822E-2</v>
      </c>
      <c r="AJ98">
        <f t="shared" ca="1" si="32"/>
        <v>2.2620596879615144E-2</v>
      </c>
      <c r="AK98">
        <f t="shared" ca="1" si="33"/>
        <v>2.2881690264322973E-2</v>
      </c>
      <c r="AL98">
        <f t="shared" ca="1" si="34"/>
        <v>2.3873762195744431E-2</v>
      </c>
      <c r="AM98">
        <f t="shared" ca="1" si="35"/>
        <v>2.2044088176352707E-2</v>
      </c>
      <c r="AN98">
        <f t="shared" ca="1" si="36"/>
        <v>2.0643007730147576E-2</v>
      </c>
      <c r="AO98">
        <f t="shared" ca="1" si="37"/>
        <v>2.0739706502610641E-2</v>
      </c>
      <c r="AP98">
        <f t="shared" ca="1" si="38"/>
        <v>1.8979351974113792E-2</v>
      </c>
      <c r="AQ98">
        <f t="shared" ca="1" si="39"/>
        <v>1.8672260032856138E-2</v>
      </c>
      <c r="AR98">
        <f t="shared" ca="1" si="40"/>
        <v>1.8303879658601797E-2</v>
      </c>
      <c r="AS98">
        <f t="shared" ca="1" si="41"/>
        <v>1.7823736503306965E-2</v>
      </c>
      <c r="AT98">
        <f t="shared" ca="1" si="42"/>
        <v>1.8826333035448319E-2</v>
      </c>
      <c r="AU98">
        <f t="shared" ca="1" si="43"/>
        <v>1.7783493724777149E-2</v>
      </c>
      <c r="AV98">
        <f t="shared" ca="1" si="44"/>
        <v>1.7910930222307116E-2</v>
      </c>
    </row>
    <row r="99" spans="1:48" ht="16" x14ac:dyDescent="0.2">
      <c r="A99" t="e" vm="2224">
        <v>#VALUE!</v>
      </c>
      <c r="B99" s="23" t="str" cm="1">
        <f t="array" aca="1" ref="B99" ca="1">_FV(A99,"ticker symbol",TRUE)</f>
        <v>USO</v>
      </c>
      <c r="C99" s="23" t="str" cm="1">
        <f t="array" aca="1" ref="C99" ca="1">_FV(A99,"Name")</f>
        <v>United States Oil Fund</v>
      </c>
      <c r="D99" cm="1" vm="2225">
        <f t="array" aca="1" ref="D99:Y99" ca="1">TRANSPOSE(_xlfn.STOCKHISTORY(B99, WORKDAY(TODAY(), -23), TODAY(), 0, 0, 1))</f>
        <v>70.88</v>
      </c>
      <c r="E99" vm="2226">
        <f ca="1"/>
        <v>70.150000000000006</v>
      </c>
      <c r="F99" vm="2227">
        <f ca="1"/>
        <v>69.3</v>
      </c>
      <c r="G99" vm="2228">
        <f ca="1"/>
        <v>70.42</v>
      </c>
      <c r="H99" vm="2229">
        <f ca="1"/>
        <v>69.25</v>
      </c>
      <c r="I99" vm="2230">
        <f ca="1"/>
        <v>70.040000000000006</v>
      </c>
      <c r="J99" vm="2231">
        <f ca="1"/>
        <v>71.069999999999993</v>
      </c>
      <c r="K99" vm="2232">
        <f ca="1"/>
        <v>71.06</v>
      </c>
      <c r="L99" vm="2233">
        <f ca="1"/>
        <v>70.2</v>
      </c>
      <c r="M99" vm="2234">
        <f ca="1"/>
        <v>70.66</v>
      </c>
      <c r="N99" vm="2235">
        <f ca="1"/>
        <v>71.39</v>
      </c>
      <c r="O99" vm="2236">
        <f ca="1"/>
        <v>71.92</v>
      </c>
      <c r="P99" vm="2237">
        <f ca="1"/>
        <v>70.489999999999995</v>
      </c>
      <c r="Q99" vm="2238">
        <f ca="1"/>
        <v>69.86</v>
      </c>
      <c r="R99" vm="2239">
        <f ca="1"/>
        <v>70.540000000000006</v>
      </c>
      <c r="S99" vm="2229">
        <f ca="1"/>
        <v>69.25</v>
      </c>
      <c r="T99" vm="2240">
        <f ca="1"/>
        <v>68.81</v>
      </c>
      <c r="U99" vm="2241">
        <f ca="1"/>
        <v>67.89</v>
      </c>
      <c r="V99" vm="2242">
        <f ca="1"/>
        <v>66.17</v>
      </c>
      <c r="W99" vm="2243">
        <f ca="1"/>
        <v>67.98</v>
      </c>
      <c r="X99" vm="2244">
        <f ca="1"/>
        <v>67.19</v>
      </c>
      <c r="Y99" vm="29">
        <f ca="1"/>
        <v>68.03</v>
      </c>
      <c r="AA99">
        <f t="shared" ca="1" si="23"/>
        <v>0.10696768935906915</v>
      </c>
      <c r="AB99">
        <f t="shared" ca="1" si="24"/>
        <v>0.10750463580218535</v>
      </c>
      <c r="AC99">
        <f t="shared" ca="1" si="25"/>
        <v>0.10515454531660168</v>
      </c>
      <c r="AD99">
        <f t="shared" ca="1" si="26"/>
        <v>0.1053040838604519</v>
      </c>
      <c r="AE99">
        <f t="shared" ca="1" si="27"/>
        <v>0.10258955290213624</v>
      </c>
      <c r="AF99">
        <f t="shared" ca="1" si="28"/>
        <v>0.10304849340866291</v>
      </c>
      <c r="AG99">
        <f t="shared" ca="1" si="29"/>
        <v>0.10399625396918304</v>
      </c>
      <c r="AH99">
        <f t="shared" ca="1" si="30"/>
        <v>0.10445852382142386</v>
      </c>
      <c r="AI99">
        <f t="shared" ca="1" si="31"/>
        <v>0.10300353616128417</v>
      </c>
      <c r="AJ99">
        <f t="shared" ca="1" si="32"/>
        <v>0.10332070947082132</v>
      </c>
      <c r="AK99">
        <f t="shared" ca="1" si="33"/>
        <v>0.10431186896360263</v>
      </c>
      <c r="AL99">
        <f t="shared" ca="1" si="34"/>
        <v>0.10488704808295293</v>
      </c>
      <c r="AM99">
        <f t="shared" ca="1" si="35"/>
        <v>0.1031113321533578</v>
      </c>
      <c r="AN99">
        <f t="shared" ca="1" si="36"/>
        <v>0.10227805106582338</v>
      </c>
      <c r="AO99">
        <f t="shared" ca="1" si="37"/>
        <v>0.10259319051151156</v>
      </c>
      <c r="AP99">
        <f t="shared" ca="1" si="38"/>
        <v>0.10048318992411162</v>
      </c>
      <c r="AQ99">
        <f t="shared" ca="1" si="39"/>
        <v>0.10092994602206055</v>
      </c>
      <c r="AR99">
        <f t="shared" ca="1" si="40"/>
        <v>9.9731170948834338E-2</v>
      </c>
      <c r="AS99">
        <f t="shared" ca="1" si="41"/>
        <v>9.7470797059819994E-2</v>
      </c>
      <c r="AT99">
        <f t="shared" ca="1" si="42"/>
        <v>0.10125111706881144</v>
      </c>
      <c r="AU99">
        <f t="shared" ca="1" si="43"/>
        <v>9.9324434195160169E-2</v>
      </c>
      <c r="AV99">
        <f t="shared" ca="1" si="44"/>
        <v>9.9957389911694255E-2</v>
      </c>
    </row>
    <row r="100" spans="1:48" ht="16" x14ac:dyDescent="0.2">
      <c r="A100" t="e" vm="2245">
        <v>#VALUE!</v>
      </c>
      <c r="B100" s="23" t="str" cm="1">
        <f t="array" aca="1" ref="B100" ca="1">_FV(A100,"ticker symbol",TRUE)</f>
        <v>DBA</v>
      </c>
      <c r="C100" s="23" t="str" cm="1">
        <f t="array" aca="1" ref="C100" ca="1">_FV(A100,"Name")</f>
        <v>Invesco DB MS Agri</v>
      </c>
      <c r="D100" cm="1" vm="2246">
        <f t="array" aca="1" ref="D100:Y100" ca="1">TRANSPOSE(_xlfn.STOCKHISTORY(B100, WORKDAY(TODAY(), -23), TODAY(), 0, 0, 1))</f>
        <v>26.09</v>
      </c>
      <c r="E100" vm="1442">
        <f ca="1"/>
        <v>25.94</v>
      </c>
      <c r="F100" vm="97">
        <f ca="1"/>
        <v>25.88</v>
      </c>
      <c r="G100" vm="2247">
        <f ca="1"/>
        <v>25.68</v>
      </c>
      <c r="H100" vm="2248">
        <f ca="1"/>
        <v>25.85</v>
      </c>
      <c r="I100" vm="2249">
        <f ca="1"/>
        <v>26.13</v>
      </c>
      <c r="J100" vm="2250">
        <f ca="1"/>
        <v>26.42</v>
      </c>
      <c r="K100" vm="2251">
        <f ca="1"/>
        <v>26.29</v>
      </c>
      <c r="L100" vm="1457">
        <f ca="1"/>
        <v>26.41</v>
      </c>
      <c r="M100" vm="2252">
        <f ca="1"/>
        <v>26.38</v>
      </c>
      <c r="N100" vm="100">
        <f ca="1"/>
        <v>26.46</v>
      </c>
      <c r="O100" vm="2253">
        <f ca="1"/>
        <v>26.52</v>
      </c>
      <c r="P100" vm="2254">
        <f ca="1"/>
        <v>26.4</v>
      </c>
      <c r="Q100" vm="2254">
        <f ca="1"/>
        <v>26.4</v>
      </c>
      <c r="R100" vm="2255">
        <f ca="1"/>
        <v>26.49</v>
      </c>
      <c r="S100" vm="2256">
        <f ca="1"/>
        <v>26.64</v>
      </c>
      <c r="T100" vm="2253">
        <f ca="1"/>
        <v>26.52</v>
      </c>
      <c r="U100" vm="2257">
        <f ca="1"/>
        <v>26.34</v>
      </c>
      <c r="V100" vm="2258">
        <f ca="1"/>
        <v>26.25</v>
      </c>
      <c r="W100" vm="31">
        <f ca="1"/>
        <v>26.2</v>
      </c>
      <c r="X100" vm="2259">
        <f ca="1"/>
        <v>26.15</v>
      </c>
      <c r="Y100" vm="31">
        <f ca="1"/>
        <v>26.2</v>
      </c>
      <c r="AA100">
        <f t="shared" ca="1" si="23"/>
        <v>3.9373405973167533E-2</v>
      </c>
      <c r="AB100">
        <f t="shared" ca="1" si="24"/>
        <v>3.9752961549660557E-2</v>
      </c>
      <c r="AC100">
        <f t="shared" ca="1" si="25"/>
        <v>3.9269835971048356E-2</v>
      </c>
      <c r="AD100">
        <f t="shared" ca="1" si="26"/>
        <v>3.8401148445560987E-2</v>
      </c>
      <c r="AE100">
        <f t="shared" ca="1" si="27"/>
        <v>3.829516162484075E-2</v>
      </c>
      <c r="AF100">
        <f t="shared" ca="1" si="28"/>
        <v>3.8444562146892659E-2</v>
      </c>
      <c r="AG100">
        <f t="shared" ca="1" si="29"/>
        <v>3.8660208665622857E-2</v>
      </c>
      <c r="AH100">
        <f t="shared" ca="1" si="30"/>
        <v>3.8646419803901391E-2</v>
      </c>
      <c r="AI100">
        <f t="shared" ca="1" si="31"/>
        <v>3.8751045441873432E-2</v>
      </c>
      <c r="AJ100">
        <f t="shared" ca="1" si="32"/>
        <v>3.8573454795361825E-2</v>
      </c>
      <c r="AK100">
        <f t="shared" ca="1" si="33"/>
        <v>3.8662166308683646E-2</v>
      </c>
      <c r="AL100">
        <f t="shared" ca="1" si="34"/>
        <v>3.8676369788096659E-2</v>
      </c>
      <c r="AM100">
        <f t="shared" ca="1" si="35"/>
        <v>3.8617380746895247E-2</v>
      </c>
      <c r="AN100">
        <f t="shared" ca="1" si="36"/>
        <v>3.8650737877723121E-2</v>
      </c>
      <c r="AO100">
        <f t="shared" ca="1" si="37"/>
        <v>3.852698634320869E-2</v>
      </c>
      <c r="AP100">
        <f t="shared" ca="1" si="38"/>
        <v>3.8655193928929008E-2</v>
      </c>
      <c r="AQ100">
        <f t="shared" ca="1" si="39"/>
        <v>3.8899319408589532E-2</v>
      </c>
      <c r="AR100">
        <f t="shared" ca="1" si="40"/>
        <v>3.8693755233352431E-2</v>
      </c>
      <c r="AS100">
        <f t="shared" ca="1" si="41"/>
        <v>3.8667196959653545E-2</v>
      </c>
      <c r="AT100">
        <f t="shared" ca="1" si="42"/>
        <v>3.9022937146261545E-2</v>
      </c>
      <c r="AU100">
        <f t="shared" ca="1" si="43"/>
        <v>3.8656555353526391E-2</v>
      </c>
      <c r="AV100">
        <f t="shared" ca="1" si="44"/>
        <v>3.8496010814146546E-2</v>
      </c>
    </row>
    <row r="101" spans="1:48" ht="16" x14ac:dyDescent="0.2">
      <c r="A101" t="e" vm="2260">
        <v>#VALUE!</v>
      </c>
      <c r="B101" s="23" t="str" cm="1">
        <f t="array" aca="1" ref="B101" ca="1">_FV(A101,"ticker symbol",TRUE)</f>
        <v>CORN</v>
      </c>
      <c r="C101" s="23" t="str" cm="1">
        <f t="array" aca="1" ref="C101" ca="1">_FV(A101,"Name")</f>
        <v>Teucrium:Corn</v>
      </c>
      <c r="D101" cm="1" vm="2261">
        <f t="array" aca="1" ref="D101:Y101" ca="1">TRANSPOSE(_xlfn.STOCKHISTORY(B101, WORKDAY(TODAY(), -23), TODAY(), 0, 0, 1))</f>
        <v>17.745000000000001</v>
      </c>
      <c r="E101" vm="2262">
        <f ca="1"/>
        <v>17.600000000000001</v>
      </c>
      <c r="F101" vm="2262">
        <f ca="1"/>
        <v>17.600000000000001</v>
      </c>
      <c r="G101" vm="2263">
        <f ca="1"/>
        <v>17.59</v>
      </c>
      <c r="H101" vm="2264">
        <f ca="1"/>
        <v>17.6419</v>
      </c>
      <c r="I101" vm="2265">
        <f ca="1"/>
        <v>17.940000000000001</v>
      </c>
      <c r="J101" vm="2266">
        <f ca="1"/>
        <v>17.9726</v>
      </c>
      <c r="K101" vm="2267">
        <f ca="1"/>
        <v>17.907299999999999</v>
      </c>
      <c r="L101" vm="2268">
        <f ca="1"/>
        <v>18.05</v>
      </c>
      <c r="M101" vm="2269">
        <f ca="1"/>
        <v>17.809999999999999</v>
      </c>
      <c r="N101" vm="2270">
        <f ca="1"/>
        <v>17.89</v>
      </c>
      <c r="O101" vm="2271">
        <f ca="1"/>
        <v>17.850000000000001</v>
      </c>
      <c r="P101" vm="2272">
        <f ca="1"/>
        <v>17.837599999999998</v>
      </c>
      <c r="Q101" vm="2273">
        <f ca="1"/>
        <v>17.95</v>
      </c>
      <c r="R101" vm="2274">
        <f ca="1"/>
        <v>17.825900000000001</v>
      </c>
      <c r="S101" vm="2275">
        <f ca="1"/>
        <v>17.899999999999999</v>
      </c>
      <c r="T101" vm="2276">
        <f ca="1"/>
        <v>17.75</v>
      </c>
      <c r="U101" vm="2277">
        <f ca="1"/>
        <v>17.702100000000002</v>
      </c>
      <c r="V101" vm="2263">
        <f ca="1"/>
        <v>17.59</v>
      </c>
      <c r="W101" vm="2278">
        <f ca="1"/>
        <v>17.71</v>
      </c>
      <c r="X101" vm="2279">
        <f ca="1"/>
        <v>17.84</v>
      </c>
      <c r="Y101" vm="33">
        <f ca="1"/>
        <v>17.790500000000002</v>
      </c>
      <c r="AA101">
        <f t="shared" ca="1" si="23"/>
        <v>2.6779650785506242E-2</v>
      </c>
      <c r="AB101">
        <f t="shared" ca="1" si="24"/>
        <v>2.6971939987433531E-2</v>
      </c>
      <c r="AC101">
        <f t="shared" ca="1" si="25"/>
        <v>2.6705916270882969E-2</v>
      </c>
      <c r="AD101">
        <f t="shared" ca="1" si="26"/>
        <v>2.6303590387749914E-2</v>
      </c>
      <c r="AE101">
        <f t="shared" ca="1" si="27"/>
        <v>2.6135373766703208E-2</v>
      </c>
      <c r="AF101">
        <f t="shared" ca="1" si="28"/>
        <v>2.639477401129944E-2</v>
      </c>
      <c r="AG101">
        <f t="shared" ca="1" si="29"/>
        <v>2.6299184945638654E-2</v>
      </c>
      <c r="AH101">
        <f t="shared" ca="1" si="30"/>
        <v>2.6323812603819073E-2</v>
      </c>
      <c r="AI101">
        <f t="shared" ca="1" si="31"/>
        <v>2.6484527460273209E-2</v>
      </c>
      <c r="AJ101">
        <f t="shared" ca="1" si="32"/>
        <v>2.6042199768968693E-2</v>
      </c>
      <c r="AK101">
        <f t="shared" ca="1" si="33"/>
        <v>2.6140066336445594E-2</v>
      </c>
      <c r="AL101">
        <f t="shared" ca="1" si="34"/>
        <v>2.6032171972757367E-2</v>
      </c>
      <c r="AM101">
        <f t="shared" ca="1" si="35"/>
        <v>2.6092476924652223E-2</v>
      </c>
      <c r="AN101">
        <f t="shared" ca="1" si="36"/>
        <v>2.6279573670648863E-2</v>
      </c>
      <c r="AO101">
        <f t="shared" ca="1" si="37"/>
        <v>2.5925942085896707E-2</v>
      </c>
      <c r="AP101">
        <f t="shared" ca="1" si="38"/>
        <v>2.5973272196990582E-2</v>
      </c>
      <c r="AQ101">
        <f t="shared" ca="1" si="39"/>
        <v>2.6035555034029569E-2</v>
      </c>
      <c r="AR101">
        <f t="shared" ca="1" si="40"/>
        <v>2.6004583314970693E-2</v>
      </c>
      <c r="AS101">
        <f t="shared" ca="1" si="41"/>
        <v>2.5910704553154508E-2</v>
      </c>
      <c r="AT101">
        <f t="shared" ca="1" si="42"/>
        <v>2.6377718200774503E-2</v>
      </c>
      <c r="AU101">
        <f t="shared" ca="1" si="43"/>
        <v>2.6372196845388558E-2</v>
      </c>
      <c r="AV101">
        <f t="shared" ca="1" si="44"/>
        <v>2.6139819862178407E-2</v>
      </c>
    </row>
    <row r="102" spans="1:48" ht="16" x14ac:dyDescent="0.2">
      <c r="A102" t="e" vm="2280">
        <v>#VALUE!</v>
      </c>
      <c r="B102" s="23" t="str" cm="1">
        <f t="array" aca="1" ref="B102" ca="1">_FV(A102,"ticker symbol",TRUE)</f>
        <v>DBB</v>
      </c>
      <c r="C102" s="23" t="str" cm="1">
        <f t="array" aca="1" ref="C102" ca="1">_FV(A102,"Name")</f>
        <v>Invesco DB MS BMtl</v>
      </c>
      <c r="D102" cm="1" vm="2281">
        <f t="array" aca="1" ref="D102:Y102" ca="1">TRANSPOSE(_xlfn.STOCKHISTORY(B102, WORKDAY(TODAY(), -23), TODAY(), 0, 0, 1))</f>
        <v>21.43</v>
      </c>
      <c r="E102" vm="2121">
        <f ca="1"/>
        <v>21.23</v>
      </c>
      <c r="F102" vm="2282">
        <f ca="1"/>
        <v>21.31</v>
      </c>
      <c r="G102" vm="2283">
        <f ca="1"/>
        <v>21.4</v>
      </c>
      <c r="H102" vm="2284">
        <f ca="1"/>
        <v>21.46</v>
      </c>
      <c r="I102" vm="2285">
        <f ca="1"/>
        <v>21.74</v>
      </c>
      <c r="J102" vm="2286">
        <f ca="1"/>
        <v>21.98</v>
      </c>
      <c r="K102" vm="52">
        <f ca="1"/>
        <v>22.01</v>
      </c>
      <c r="L102" vm="2287">
        <f ca="1"/>
        <v>21.89</v>
      </c>
      <c r="M102" vm="2288">
        <f ca="1"/>
        <v>22.24</v>
      </c>
      <c r="N102" vm="2289">
        <f ca="1"/>
        <v>22.21</v>
      </c>
      <c r="O102" vm="2290">
        <f ca="1"/>
        <v>22.43</v>
      </c>
      <c r="P102" vm="2291">
        <f ca="1"/>
        <v>22.46</v>
      </c>
      <c r="Q102" vm="2292">
        <f ca="1"/>
        <v>22.06</v>
      </c>
      <c r="R102" vm="2293">
        <f ca="1"/>
        <v>22.23</v>
      </c>
      <c r="S102" vm="2294">
        <f ca="1"/>
        <v>22.49</v>
      </c>
      <c r="T102" vm="2295">
        <f ca="1"/>
        <v>22.18</v>
      </c>
      <c r="U102" vm="2296">
        <f ca="1"/>
        <v>22.22</v>
      </c>
      <c r="V102" vm="2297">
        <f ca="1"/>
        <v>22.13</v>
      </c>
      <c r="W102" vm="2298">
        <f ca="1"/>
        <v>22.33</v>
      </c>
      <c r="X102" vm="2299">
        <f ca="1"/>
        <v>22.39</v>
      </c>
      <c r="Y102" vm="35">
        <f ca="1"/>
        <v>22.64</v>
      </c>
      <c r="AA102">
        <f t="shared" ca="1" si="23"/>
        <v>3.234082368742737E-2</v>
      </c>
      <c r="AB102">
        <f t="shared" ca="1" si="24"/>
        <v>3.2534902609841695E-2</v>
      </c>
      <c r="AC102">
        <f t="shared" ca="1" si="25"/>
        <v>3.2335402030256588E-2</v>
      </c>
      <c r="AD102">
        <f t="shared" ca="1" si="26"/>
        <v>3.2000957037967487E-2</v>
      </c>
      <c r="AE102">
        <f t="shared" ca="1" si="27"/>
        <v>3.1791650617759473E-2</v>
      </c>
      <c r="AF102">
        <f t="shared" ca="1" si="28"/>
        <v>3.1985640301318265E-2</v>
      </c>
      <c r="AG102">
        <f t="shared" ca="1" si="29"/>
        <v>3.2163186467463675E-2</v>
      </c>
      <c r="AH102">
        <f t="shared" ca="1" si="30"/>
        <v>3.2354800299880936E-2</v>
      </c>
      <c r="AI102">
        <f t="shared" ca="1" si="31"/>
        <v>3.2118908925505847E-2</v>
      </c>
      <c r="AJ102">
        <f t="shared" ca="1" si="32"/>
        <v>3.2519849683428623E-2</v>
      </c>
      <c r="AK102">
        <f t="shared" ca="1" si="33"/>
        <v>3.2452256754189862E-2</v>
      </c>
      <c r="AL102">
        <f t="shared" ca="1" si="34"/>
        <v>3.2711575201621719E-2</v>
      </c>
      <c r="AM102">
        <f t="shared" ca="1" si="35"/>
        <v>3.2854029226335887E-2</v>
      </c>
      <c r="AN102">
        <f t="shared" ca="1" si="36"/>
        <v>3.2296790817521667E-2</v>
      </c>
      <c r="AO102">
        <f t="shared" ca="1" si="37"/>
        <v>3.2331253545093586E-2</v>
      </c>
      <c r="AP102">
        <f t="shared" ca="1" si="38"/>
        <v>3.2633457637447946E-2</v>
      </c>
      <c r="AQ102">
        <f t="shared" ca="1" si="39"/>
        <v>3.2533442853790187E-2</v>
      </c>
      <c r="AR102">
        <f t="shared" ca="1" si="40"/>
        <v>3.2641429054103679E-2</v>
      </c>
      <c r="AS102">
        <f t="shared" ca="1" si="41"/>
        <v>3.2598288332081254E-2</v>
      </c>
      <c r="AT102">
        <f t="shared" ca="1" si="42"/>
        <v>3.3258862079237415E-2</v>
      </c>
      <c r="AU102">
        <f t="shared" ca="1" si="43"/>
        <v>3.3098289650686653E-2</v>
      </c>
      <c r="AV102">
        <f t="shared" ca="1" si="44"/>
        <v>3.3265255146270149E-2</v>
      </c>
    </row>
    <row r="103" spans="1:48" ht="16" x14ac:dyDescent="0.2">
      <c r="A103" t="e" vm="2300">
        <v>#VALUE!</v>
      </c>
      <c r="B103" s="23" t="str" cm="1">
        <f t="array" aca="1" ref="B103" ca="1">_FV(A103,"ticker symbol",TRUE)</f>
        <v>PALL</v>
      </c>
      <c r="C103" s="23" t="str" cm="1">
        <f t="array" aca="1" ref="C103" ca="1">_FV(A103,"Name")</f>
        <v>abrdn:Physical Palladium</v>
      </c>
      <c r="D103" cm="1" vm="2301">
        <f t="array" aca="1" ref="D103:Y103" ca="1">TRANSPOSE(_xlfn.STOCKHISTORY(B103, WORKDAY(TODAY(), -23), TODAY(), 0, 0, 1))</f>
        <v>126.26</v>
      </c>
      <c r="E103" vm="2302">
        <f ca="1"/>
        <v>125.27</v>
      </c>
      <c r="F103" vm="2303">
        <f ca="1"/>
        <v>124.7</v>
      </c>
      <c r="G103" vm="2304">
        <f ca="1"/>
        <v>127.2</v>
      </c>
      <c r="H103" vm="2305">
        <f ca="1"/>
        <v>126.79</v>
      </c>
      <c r="I103" vm="2306">
        <f ca="1"/>
        <v>129.55000000000001</v>
      </c>
      <c r="J103" vm="2307">
        <f ca="1"/>
        <v>132.43</v>
      </c>
      <c r="K103" vm="1730">
        <f ca="1"/>
        <v>130</v>
      </c>
      <c r="L103" vm="2308">
        <f ca="1"/>
        <v>133.93</v>
      </c>
      <c r="M103" vm="2309">
        <f ca="1"/>
        <v>134.68</v>
      </c>
      <c r="N103" vm="2310">
        <f ca="1"/>
        <v>132.28</v>
      </c>
      <c r="O103" vm="2311">
        <f ca="1"/>
        <v>133</v>
      </c>
      <c r="P103" vm="2312">
        <f ca="1"/>
        <v>133.91999999999999</v>
      </c>
      <c r="Q103" vm="2313">
        <f ca="1"/>
        <v>137.38999999999999</v>
      </c>
      <c r="R103" vm="2314">
        <f ca="1"/>
        <v>134.46</v>
      </c>
      <c r="S103" vm="2315">
        <f ca="1"/>
        <v>136.47</v>
      </c>
      <c r="T103" vm="2316">
        <f ca="1"/>
        <v>136.5</v>
      </c>
      <c r="U103" vm="2317">
        <f ca="1"/>
        <v>143.38999999999999</v>
      </c>
      <c r="V103" vm="2318">
        <f ca="1"/>
        <v>146.11000000000001</v>
      </c>
      <c r="W103" vm="2319">
        <f ca="1"/>
        <v>149.47999999999999</v>
      </c>
      <c r="X103" vm="2320">
        <f ca="1"/>
        <v>153.96</v>
      </c>
      <c r="Y103" vm="37">
        <f ca="1"/>
        <v>156.06</v>
      </c>
      <c r="AA103">
        <f t="shared" ca="1" si="23"/>
        <v>0.19054374235998975</v>
      </c>
      <c r="AB103">
        <f t="shared" ca="1" si="24"/>
        <v>0.19197584785373853</v>
      </c>
      <c r="AC103">
        <f t="shared" ca="1" si="25"/>
        <v>0.18921748630563101</v>
      </c>
      <c r="AD103">
        <f t="shared" ca="1" si="26"/>
        <v>0.19021129603876002</v>
      </c>
      <c r="AE103">
        <f t="shared" ca="1" si="27"/>
        <v>0.18783147166009898</v>
      </c>
      <c r="AF103">
        <f t="shared" ca="1" si="28"/>
        <v>0.19060440207156312</v>
      </c>
      <c r="AG103">
        <f t="shared" ca="1" si="29"/>
        <v>0.1937839301131126</v>
      </c>
      <c r="AH103">
        <f t="shared" ca="1" si="30"/>
        <v>0.1911005924118365</v>
      </c>
      <c r="AI103">
        <f t="shared" ca="1" si="31"/>
        <v>0.19651372646838733</v>
      </c>
      <c r="AJ103">
        <f t="shared" ca="1" si="32"/>
        <v>0.19693225518723773</v>
      </c>
      <c r="AK103">
        <f t="shared" ca="1" si="33"/>
        <v>0.19328160843963238</v>
      </c>
      <c r="AL103">
        <f t="shared" ca="1" si="34"/>
        <v>0.19396520293427058</v>
      </c>
      <c r="AM103">
        <f t="shared" ca="1" si="35"/>
        <v>0.19589544051606861</v>
      </c>
      <c r="AN103">
        <f t="shared" ca="1" si="36"/>
        <v>0.20114488170531739</v>
      </c>
      <c r="AO103">
        <f t="shared" ca="1" si="37"/>
        <v>0.19555827043064705</v>
      </c>
      <c r="AP103">
        <f t="shared" ca="1" si="38"/>
        <v>0.19802080763817345</v>
      </c>
      <c r="AQ103">
        <f t="shared" ca="1" si="39"/>
        <v>0.20021708519126966</v>
      </c>
      <c r="AR103">
        <f t="shared" ca="1" si="40"/>
        <v>0.21064151719477617</v>
      </c>
      <c r="AS103">
        <f t="shared" ca="1" si="41"/>
        <v>0.21522530086761826</v>
      </c>
      <c r="AT103">
        <f t="shared" ca="1" si="42"/>
        <v>0.22263926124515937</v>
      </c>
      <c r="AU103">
        <f t="shared" ca="1" si="43"/>
        <v>0.2275932413854273</v>
      </c>
      <c r="AV103">
        <f t="shared" ca="1" si="44"/>
        <v>0.22930104762044695</v>
      </c>
    </row>
    <row r="104" spans="1:48" ht="16" x14ac:dyDescent="0.2">
      <c r="A104" t="e" vm="2321">
        <v>#VALUE!</v>
      </c>
      <c r="B104" s="23" t="str" cm="1">
        <f t="array" aca="1" ref="B104" ca="1">_FV(A104,"ticker symbol",TRUE)</f>
        <v>URA</v>
      </c>
      <c r="C104" s="23" t="str" cm="1">
        <f t="array" aca="1" ref="C104" ca="1">_FV(A104,"Name")</f>
        <v>Glbl X Uranium ETF</v>
      </c>
      <c r="D104" cm="1" vm="2322">
        <f t="array" aca="1" ref="D104:Y104" ca="1">TRANSPOSE(_xlfn.STOCKHISTORY(B104, WORKDAY(TODAY(), -23), TODAY(), 0, 0, 1))</f>
        <v>45.14</v>
      </c>
      <c r="E104" vm="2323">
        <f ca="1"/>
        <v>42.11</v>
      </c>
      <c r="F104" vm="2324">
        <f ca="1"/>
        <v>41.59</v>
      </c>
      <c r="G104" vm="2325">
        <f ca="1"/>
        <v>43.29</v>
      </c>
      <c r="H104" vm="2326">
        <f ca="1"/>
        <v>43.91</v>
      </c>
      <c r="I104" vm="2327">
        <f ca="1"/>
        <v>44.79</v>
      </c>
      <c r="J104" vm="2328">
        <f ca="1"/>
        <v>45.28</v>
      </c>
      <c r="K104" vm="2329">
        <f ca="1"/>
        <v>44.2</v>
      </c>
      <c r="L104" vm="2330">
        <f ca="1"/>
        <v>45.26</v>
      </c>
      <c r="M104" vm="2331">
        <f ca="1"/>
        <v>46.62</v>
      </c>
      <c r="N104" vm="1993">
        <f ca="1"/>
        <v>49.2</v>
      </c>
      <c r="O104" vm="1260">
        <f ca="1"/>
        <v>47.92</v>
      </c>
      <c r="P104" vm="1982">
        <f ca="1"/>
        <v>47.81</v>
      </c>
      <c r="Q104" vm="2332">
        <f ca="1"/>
        <v>48.13</v>
      </c>
      <c r="R104" vm="2333">
        <f ca="1"/>
        <v>47.69</v>
      </c>
      <c r="S104" vm="1262">
        <f ca="1"/>
        <v>49</v>
      </c>
      <c r="T104" vm="2334">
        <f ca="1"/>
        <v>46.05</v>
      </c>
      <c r="U104" vm="2335">
        <f ca="1"/>
        <v>44.63</v>
      </c>
      <c r="V104" vm="2336">
        <f ca="1"/>
        <v>44.27</v>
      </c>
      <c r="W104" vm="2337">
        <f ca="1"/>
        <v>42.71</v>
      </c>
      <c r="X104" vm="2338">
        <f ca="1"/>
        <v>43.96</v>
      </c>
      <c r="Y104" vm="39">
        <f ca="1"/>
        <v>45.89</v>
      </c>
      <c r="AA104">
        <f t="shared" ca="1" si="23"/>
        <v>6.8122481626246928E-2</v>
      </c>
      <c r="AB104">
        <f t="shared" ca="1" si="24"/>
        <v>6.4533431413115114E-2</v>
      </c>
      <c r="AC104">
        <f t="shared" ca="1" si="25"/>
        <v>6.3107901006024009E-2</v>
      </c>
      <c r="AD104">
        <f t="shared" ca="1" si="26"/>
        <v>6.4734646269794985E-2</v>
      </c>
      <c r="AE104">
        <f t="shared" ca="1" si="27"/>
        <v>6.5049924446683061E-2</v>
      </c>
      <c r="AF104">
        <f t="shared" ca="1" si="28"/>
        <v>6.5898658192090398E-2</v>
      </c>
      <c r="AG104">
        <f t="shared" ca="1" si="29"/>
        <v>6.6257920074920623E-2</v>
      </c>
      <c r="AH104">
        <f t="shared" ca="1" si="30"/>
        <v>6.4974201420024413E-2</v>
      </c>
      <c r="AI104">
        <f t="shared" ca="1" si="31"/>
        <v>6.6409402374070101E-2</v>
      </c>
      <c r="AJ104">
        <f t="shared" ca="1" si="32"/>
        <v>6.8168857564813057E-2</v>
      </c>
      <c r="AK104">
        <f t="shared" ca="1" si="33"/>
        <v>7.1888835313198618E-2</v>
      </c>
      <c r="AL104">
        <f t="shared" ca="1" si="34"/>
        <v>6.9885808455716139E-2</v>
      </c>
      <c r="AM104">
        <f t="shared" ca="1" si="35"/>
        <v>6.9935491420797802E-2</v>
      </c>
      <c r="AN104">
        <f t="shared" ca="1" si="36"/>
        <v>7.0464394471773259E-2</v>
      </c>
      <c r="AO104">
        <f t="shared" ca="1" si="37"/>
        <v>6.9360210596739233E-2</v>
      </c>
      <c r="AP104">
        <f t="shared" ca="1" si="38"/>
        <v>7.1100018863270317E-2</v>
      </c>
      <c r="AQ104">
        <f t="shared" ca="1" si="39"/>
        <v>6.7545763905186573E-2</v>
      </c>
      <c r="AR104">
        <f t="shared" ca="1" si="40"/>
        <v>6.5561970237832917E-2</v>
      </c>
      <c r="AS104">
        <f t="shared" ca="1" si="41"/>
        <v>6.5211307024909043E-2</v>
      </c>
      <c r="AT104">
        <f t="shared" ca="1" si="42"/>
        <v>6.3613345248733993E-2</v>
      </c>
      <c r="AU104">
        <f t="shared" ca="1" si="43"/>
        <v>6.4984404334264639E-2</v>
      </c>
      <c r="AV104">
        <f t="shared" ca="1" si="44"/>
        <v>6.7426791460350577E-2</v>
      </c>
    </row>
    <row r="105" spans="1:48" ht="16" x14ac:dyDescent="0.2">
      <c r="A105" t="e" vm="2339">
        <v>#VALUE!</v>
      </c>
      <c r="B105" s="23" t="str" cm="1">
        <f t="array" aca="1" ref="B105" ca="1">_FV(A105,"ticker symbol",TRUE)</f>
        <v>UGA</v>
      </c>
      <c r="C105" s="23" t="str" cm="1">
        <f t="array" aca="1" ref="C105" ca="1">_FV(A105,"Name")</f>
        <v>United States Gas</v>
      </c>
      <c r="D105" cm="1" vm="1615">
        <f t="array" aca="1" ref="D105:Y105" ca="1">TRANSPOSE(_xlfn.STOCKHISTORY(B105, WORKDAY(TODAY(), -23), TODAY(), 0, 0, 1))</f>
        <v>67.08</v>
      </c>
      <c r="E105" vm="2340">
        <f ca="1"/>
        <v>66.16</v>
      </c>
      <c r="F105" vm="2341">
        <f ca="1"/>
        <v>65.148700000000005</v>
      </c>
      <c r="G105" vm="2342">
        <f ca="1"/>
        <v>65.989900000000006</v>
      </c>
      <c r="H105" vm="2343">
        <f ca="1"/>
        <v>64.911900000000003</v>
      </c>
      <c r="I105" vm="2344">
        <f ca="1"/>
        <v>65.790000000000006</v>
      </c>
      <c r="J105" vm="2345">
        <f ca="1"/>
        <v>66.94</v>
      </c>
      <c r="K105" vm="2346">
        <f ca="1"/>
        <v>67.36</v>
      </c>
      <c r="L105" vm="1156">
        <f ca="1"/>
        <v>65.97</v>
      </c>
      <c r="M105" vm="2347">
        <f ca="1"/>
        <v>65.913799999999995</v>
      </c>
      <c r="N105" vm="2348">
        <f ca="1"/>
        <v>65.971299999999999</v>
      </c>
      <c r="O105" vm="2349">
        <f ca="1"/>
        <v>66.180000000000007</v>
      </c>
      <c r="P105" vm="2350">
        <f ca="1"/>
        <v>64.819999999999993</v>
      </c>
      <c r="Q105" vm="1610">
        <f ca="1"/>
        <v>64.72</v>
      </c>
      <c r="R105" vm="2351">
        <f ca="1"/>
        <v>64.56</v>
      </c>
      <c r="S105" vm="2352">
        <f ca="1"/>
        <v>63.72</v>
      </c>
      <c r="T105" vm="2353">
        <f ca="1"/>
        <v>63.25</v>
      </c>
      <c r="U105" vm="2354">
        <f ca="1"/>
        <v>62.4</v>
      </c>
      <c r="V105" vm="2355">
        <f ca="1"/>
        <v>60.61</v>
      </c>
      <c r="W105" vm="2356">
        <f ca="1"/>
        <v>61.59</v>
      </c>
      <c r="X105" vm="2357">
        <f ca="1"/>
        <v>61.35</v>
      </c>
      <c r="Y105" vm="41">
        <f ca="1"/>
        <v>61.77</v>
      </c>
      <c r="AA105">
        <f t="shared" ca="1" si="23"/>
        <v>0.10123296560674887</v>
      </c>
      <c r="AB105">
        <f t="shared" ca="1" si="24"/>
        <v>0.10138997440730695</v>
      </c>
      <c r="AC105">
        <f t="shared" ca="1" si="25"/>
        <v>9.8855439054367791E-2</v>
      </c>
      <c r="AD105">
        <f t="shared" ca="1" si="26"/>
        <v>9.867943714204537E-2</v>
      </c>
      <c r="AE105">
        <f t="shared" ca="1" si="27"/>
        <v>9.616292850582206E-2</v>
      </c>
      <c r="AF105">
        <f t="shared" ca="1" si="28"/>
        <v>9.679555084745764E-2</v>
      </c>
      <c r="AG105">
        <f t="shared" ca="1" si="29"/>
        <v>9.7952852690264713E-2</v>
      </c>
      <c r="AH105">
        <f t="shared" ca="1" si="30"/>
        <v>9.9019506960471584E-2</v>
      </c>
      <c r="AI105">
        <f t="shared" ca="1" si="31"/>
        <v>9.6796912828488846E-2</v>
      </c>
      <c r="AJ105">
        <f t="shared" ca="1" si="32"/>
        <v>9.6380704499261574E-2</v>
      </c>
      <c r="AK105">
        <f t="shared" ca="1" si="33"/>
        <v>9.6394307339382521E-2</v>
      </c>
      <c r="AL105">
        <f t="shared" ca="1" si="34"/>
        <v>9.6515918272105469E-2</v>
      </c>
      <c r="AM105">
        <f t="shared" ca="1" si="35"/>
        <v>9.4817371970217793E-2</v>
      </c>
      <c r="AN105">
        <f t="shared" ca="1" si="36"/>
        <v>9.4752869524478797E-2</v>
      </c>
      <c r="AO105">
        <f t="shared" ca="1" si="37"/>
        <v>9.3895894236223215E-2</v>
      </c>
      <c r="AP105">
        <f t="shared" ca="1" si="38"/>
        <v>9.2459044938113966E-2</v>
      </c>
      <c r="AQ105">
        <f t="shared" ca="1" si="39"/>
        <v>9.2774583431119453E-2</v>
      </c>
      <c r="AR105">
        <f t="shared" ca="1" si="40"/>
        <v>9.1666299413864519E-2</v>
      </c>
      <c r="AS105">
        <f t="shared" ca="1" si="41"/>
        <v>8.9280716484746711E-2</v>
      </c>
      <c r="AT105">
        <f t="shared" ca="1" si="42"/>
        <v>9.1733690795352998E-2</v>
      </c>
      <c r="AU105">
        <f t="shared" ca="1" si="43"/>
        <v>9.0691383209898446E-2</v>
      </c>
      <c r="AV105">
        <f t="shared" ca="1" si="44"/>
        <v>9.0759488091214979E-2</v>
      </c>
    </row>
    <row r="106" spans="1:48" ht="16" x14ac:dyDescent="0.2">
      <c r="A106" t="e" vm="2358">
        <v>#VALUE!</v>
      </c>
      <c r="B106" s="23" t="str" cm="1">
        <f t="array" aca="1" ref="B106" ca="1">_FV(A106,"ticker symbol",TRUE)</f>
        <v>CPER</v>
      </c>
      <c r="C106" s="23" t="str" cm="1">
        <f t="array" aca="1" ref="C106" ca="1">_FV(A106,"Name")</f>
        <v>United States Copper Idx</v>
      </c>
      <c r="D106" cm="1" vm="2359">
        <f t="array" aca="1" ref="D106:Y106" ca="1">TRANSPOSE(_xlfn.STOCKHISTORY(B106, WORKDAY(TODAY(), -23), TODAY(), 0, 0, 1))</f>
        <v>31.13</v>
      </c>
      <c r="E106" vm="2360">
        <f ca="1"/>
        <v>30.77</v>
      </c>
      <c r="F106" vm="2361">
        <f ca="1"/>
        <v>31.07</v>
      </c>
      <c r="G106" vm="2362">
        <f ca="1"/>
        <v>31.11</v>
      </c>
      <c r="H106" vm="2363">
        <f ca="1"/>
        <v>31.18</v>
      </c>
      <c r="I106" vm="2364">
        <f ca="1"/>
        <v>31.84</v>
      </c>
      <c r="J106" vm="2365">
        <f ca="1"/>
        <v>32.28</v>
      </c>
      <c r="K106" vm="2366">
        <f ca="1"/>
        <v>32.29</v>
      </c>
      <c r="L106" vm="2367">
        <f ca="1"/>
        <v>32.14</v>
      </c>
      <c r="M106" vm="2368">
        <f ca="1"/>
        <v>33.03</v>
      </c>
      <c r="N106" vm="2369">
        <f ca="1"/>
        <v>32.840000000000003</v>
      </c>
      <c r="O106" vm="2370">
        <f ca="1"/>
        <v>33.35</v>
      </c>
      <c r="P106" vm="2371">
        <f ca="1"/>
        <v>33.24</v>
      </c>
      <c r="Q106" vm="2372">
        <f ca="1"/>
        <v>32.65</v>
      </c>
      <c r="R106" vm="2373">
        <f ca="1"/>
        <v>33.07</v>
      </c>
      <c r="S106" vm="2374">
        <f ca="1"/>
        <v>33.61</v>
      </c>
      <c r="T106" vm="2375">
        <f ca="1"/>
        <v>32.83</v>
      </c>
      <c r="U106" vm="2376">
        <f ca="1"/>
        <v>33.15</v>
      </c>
      <c r="V106" vm="2377">
        <f ca="1"/>
        <v>32.89</v>
      </c>
      <c r="W106" vm="2378">
        <f ca="1"/>
        <v>33.229999999999997</v>
      </c>
      <c r="X106" vm="2379">
        <f ca="1"/>
        <v>33.26</v>
      </c>
      <c r="Y106" vm="43">
        <f ca="1"/>
        <v>33.6</v>
      </c>
      <c r="AA106">
        <f t="shared" ca="1" si="23"/>
        <v>4.6979460634139714E-2</v>
      </c>
      <c r="AB106">
        <f t="shared" ca="1" si="24"/>
        <v>4.7154920080302823E-2</v>
      </c>
      <c r="AC106">
        <f t="shared" ca="1" si="25"/>
        <v>4.7145046507746237E-2</v>
      </c>
      <c r="AD106">
        <f t="shared" ca="1" si="26"/>
        <v>4.6521017450989188E-2</v>
      </c>
      <c r="AE106">
        <f t="shared" ca="1" si="27"/>
        <v>4.6191223963734408E-2</v>
      </c>
      <c r="AF106">
        <f t="shared" ca="1" si="28"/>
        <v>4.6845574387947272E-2</v>
      </c>
      <c r="AG106">
        <f t="shared" ca="1" si="29"/>
        <v>4.723510733256267E-2</v>
      </c>
      <c r="AH106">
        <f t="shared" ca="1" si="30"/>
        <v>4.7466447145986156E-2</v>
      </c>
      <c r="AI106">
        <f t="shared" ca="1" si="31"/>
        <v>4.715859903452526E-2</v>
      </c>
      <c r="AJ106">
        <f t="shared" ca="1" si="32"/>
        <v>4.8297240784336663E-2</v>
      </c>
      <c r="AK106">
        <f t="shared" ca="1" si="33"/>
        <v>4.7984336416370788E-2</v>
      </c>
      <c r="AL106">
        <f t="shared" ca="1" si="34"/>
        <v>4.8637139232014466E-2</v>
      </c>
      <c r="AM106">
        <f t="shared" ca="1" si="35"/>
        <v>4.8622793031318112E-2</v>
      </c>
      <c r="AN106">
        <f t="shared" ca="1" si="36"/>
        <v>4.7801007261653781E-2</v>
      </c>
      <c r="AO106">
        <f t="shared" ca="1" si="37"/>
        <v>4.8096921040766752E-2</v>
      </c>
      <c r="AP106">
        <f t="shared" ca="1" si="38"/>
        <v>4.8768808857030922E-2</v>
      </c>
      <c r="AQ106">
        <f t="shared" ca="1" si="39"/>
        <v>4.8154775874207932E-2</v>
      </c>
      <c r="AR106">
        <f t="shared" ca="1" si="40"/>
        <v>4.8697721563615529E-2</v>
      </c>
      <c r="AS106">
        <f t="shared" ca="1" si="41"/>
        <v>4.8448156495352571E-2</v>
      </c>
      <c r="AT106">
        <f t="shared" ca="1" si="42"/>
        <v>4.9493595472147746E-2</v>
      </c>
      <c r="AU106">
        <f t="shared" ca="1" si="43"/>
        <v>4.9166999275651539E-2</v>
      </c>
      <c r="AV106">
        <f t="shared" ca="1" si="44"/>
        <v>4.9368929899058167E-2</v>
      </c>
    </row>
    <row r="107" spans="1:48" ht="16" x14ac:dyDescent="0.2">
      <c r="A107" t="e" vm="2380">
        <v>#VALUE!</v>
      </c>
      <c r="B107" s="23" t="str" cm="1">
        <f t="array" aca="1" ref="B107" ca="1">_FV(A107,"ticker symbol",TRUE)</f>
        <v>CATL</v>
      </c>
      <c r="C107" s="23" t="str" cm="1">
        <f t="array" aca="1" ref="C107" ca="1">_FV(A107,"Name")</f>
        <v>WT Live Cattle</v>
      </c>
      <c r="D107" cm="1" vm="2381">
        <f t="array" aca="1" ref="D107:Y107" ca="1">TRANSPOSE(_xlfn.STOCKHISTORY(B107, WORKDAY(TODAY(), -23), TODAY(), 0, 0, 1))</f>
        <v>16.329999999999998</v>
      </c>
      <c r="E107" vm="2382">
        <f ca="1"/>
        <v>15.13</v>
      </c>
      <c r="F107" vm="2383">
        <f ca="1"/>
        <v>15.11</v>
      </c>
      <c r="G107" vm="2384">
        <f ca="1"/>
        <v>15.045</v>
      </c>
      <c r="H107" vm="2385">
        <f ca="1"/>
        <v>15</v>
      </c>
      <c r="I107" vm="2386">
        <f ca="1"/>
        <v>15.1</v>
      </c>
      <c r="J107" vm="2387">
        <f ca="1"/>
        <v>15.2</v>
      </c>
      <c r="K107" vm="2388">
        <f ca="1"/>
        <v>15.57</v>
      </c>
      <c r="L107" vm="2389">
        <f ca="1"/>
        <v>15.31</v>
      </c>
      <c r="M107" vm="2390">
        <f ca="1"/>
        <v>15.28</v>
      </c>
      <c r="N107" vm="2391">
        <f ca="1"/>
        <v>15.55</v>
      </c>
      <c r="O107" vm="2392">
        <f ca="1"/>
        <v>15.6</v>
      </c>
      <c r="P107" vm="2393">
        <f ca="1"/>
        <v>16.170000000000002</v>
      </c>
      <c r="Q107" vm="2394">
        <f ca="1"/>
        <v>15.9</v>
      </c>
      <c r="R107" vm="2395">
        <f ca="1"/>
        <v>16.13</v>
      </c>
      <c r="S107" vm="2396">
        <f ca="1"/>
        <v>16.38</v>
      </c>
      <c r="T107" vm="45">
        <f ca="1"/>
        <v>16.3</v>
      </c>
      <c r="U107" vm="2397">
        <f ca="1"/>
        <v>16.579999999999998</v>
      </c>
      <c r="V107" vm="2398">
        <f ca="1"/>
        <v>16.32</v>
      </c>
      <c r="W107" vm="2399">
        <f ca="1"/>
        <v>16.25</v>
      </c>
      <c r="X107" vm="2394">
        <f ca="1"/>
        <v>15.9</v>
      </c>
      <c r="Y107" vm="45">
        <f ca="1"/>
        <v>16.3</v>
      </c>
      <c r="AA107">
        <f t="shared" ca="1" si="23"/>
        <v>2.4644220756681705E-2</v>
      </c>
      <c r="AB107">
        <f t="shared" ca="1" si="24"/>
        <v>2.3186673409651665E-2</v>
      </c>
      <c r="AC107">
        <f t="shared" ca="1" si="25"/>
        <v>2.2927636071195544E-2</v>
      </c>
      <c r="AD107">
        <f t="shared" ca="1" si="26"/>
        <v>2.2497869095150509E-2</v>
      </c>
      <c r="AE107">
        <f t="shared" ca="1" si="27"/>
        <v>2.2221563805516875E-2</v>
      </c>
      <c r="AF107">
        <f t="shared" ca="1" si="28"/>
        <v>2.2216337099811675E-2</v>
      </c>
      <c r="AG107">
        <f t="shared" ca="1" si="29"/>
        <v>2.2242057975680064E-2</v>
      </c>
      <c r="AH107">
        <f t="shared" ca="1" si="30"/>
        <v>2.2887970952709953E-2</v>
      </c>
      <c r="AI107">
        <f t="shared" ca="1" si="31"/>
        <v>2.2464161518935339E-2</v>
      </c>
      <c r="AJ107">
        <f t="shared" ca="1" si="32"/>
        <v>2.2342774422787291E-2</v>
      </c>
      <c r="AK107">
        <f t="shared" ca="1" si="33"/>
        <v>2.2720963193500782E-2</v>
      </c>
      <c r="AL107">
        <f t="shared" ca="1" si="34"/>
        <v>2.2750805757703916E-2</v>
      </c>
      <c r="AM107">
        <f t="shared" ca="1" si="35"/>
        <v>2.3653145707473344E-2</v>
      </c>
      <c r="AN107">
        <f t="shared" ca="1" si="36"/>
        <v>2.327828531271961E-2</v>
      </c>
      <c r="AO107">
        <f t="shared" ca="1" si="37"/>
        <v>2.3459429585351306E-2</v>
      </c>
      <c r="AP107">
        <f t="shared" ca="1" si="38"/>
        <v>2.3767720591436076E-2</v>
      </c>
      <c r="AQ107">
        <f t="shared" ca="1" si="39"/>
        <v>2.3908706876320115E-2</v>
      </c>
      <c r="AR107">
        <f t="shared" ca="1" si="40"/>
        <v>2.4356205837850541E-2</v>
      </c>
      <c r="AS107">
        <f t="shared" ca="1" si="41"/>
        <v>2.4039948738344603E-2</v>
      </c>
      <c r="AT107">
        <f t="shared" ca="1" si="42"/>
        <v>2.4203157581173668E-2</v>
      </c>
      <c r="AU107">
        <f t="shared" ca="1" si="43"/>
        <v>2.3504368264668056E-2</v>
      </c>
      <c r="AV107">
        <f t="shared" ca="1" si="44"/>
        <v>2.3949808254602623E-2</v>
      </c>
    </row>
    <row r="108" spans="1:48" ht="16" x14ac:dyDescent="0.2">
      <c r="A108" t="e" vm="2400">
        <v>#VALUE!</v>
      </c>
      <c r="B108" s="23" t="str" cm="1">
        <f t="array" aca="1" ref="B108" ca="1">_FV(A108,"ticker symbol",TRUE)</f>
        <v>HOGS</v>
      </c>
      <c r="C108" s="23" t="str" cm="1">
        <f t="array" aca="1" ref="C108" ca="1">_FV(A108,"Name")</f>
        <v>ETFS LEAN HOGS ETC</v>
      </c>
      <c r="D108" cm="1" vm="2401">
        <f t="array" aca="1" ref="D108:Z108" ca="1">TRANSPOSE(_xlfn.STOCKHISTORY(B108, WORKDAY(TODAY(), -23), TODAY(), 0, 0, 1))</f>
        <v>26.31</v>
      </c>
      <c r="E108" vm="2402">
        <f ca="1"/>
        <v>26.605</v>
      </c>
      <c r="F108" vm="2403">
        <f ca="1"/>
        <v>26.12</v>
      </c>
      <c r="G108" vm="2404">
        <f ca="1"/>
        <v>26.18</v>
      </c>
      <c r="H108" vm="2405">
        <f ca="1"/>
        <v>26.27</v>
      </c>
      <c r="I108" vm="2406">
        <f ca="1"/>
        <v>26.824999999999999</v>
      </c>
      <c r="J108" vm="2407">
        <f ca="1"/>
        <v>26.95</v>
      </c>
      <c r="K108" vm="2408">
        <f ca="1"/>
        <v>27.094999999999999</v>
      </c>
      <c r="L108" vm="2409">
        <f ca="1"/>
        <v>26.79</v>
      </c>
      <c r="M108" vm="2410">
        <f ca="1"/>
        <v>26.574999999999999</v>
      </c>
      <c r="N108" vm="2411">
        <f ca="1"/>
        <v>26.76</v>
      </c>
      <c r="O108" vm="2407">
        <f ca="1"/>
        <v>26.95</v>
      </c>
      <c r="P108" vm="2412">
        <f ca="1"/>
        <v>27.245000000000001</v>
      </c>
      <c r="Q108" vm="2413">
        <f ca="1"/>
        <v>27.17</v>
      </c>
      <c r="R108" vm="2414">
        <f ca="1"/>
        <v>26.91</v>
      </c>
      <c r="S108" vm="2415">
        <f ca="1"/>
        <v>27.27</v>
      </c>
      <c r="T108" vm="2416">
        <f ca="1"/>
        <v>27.6</v>
      </c>
      <c r="U108" vm="2417">
        <f ca="1"/>
        <v>27.795000000000002</v>
      </c>
      <c r="V108" vm="2412">
        <f ca="1"/>
        <v>27.245000000000001</v>
      </c>
      <c r="W108" vm="2418">
        <f ca="1"/>
        <v>27.68</v>
      </c>
      <c r="X108" vm="2419">
        <f ca="1"/>
        <v>27.344999999999999</v>
      </c>
      <c r="Y108" vm="48">
        <f ca="1"/>
        <v>27.46</v>
      </c>
      <c r="Z108" vm="2420">
        <f ca="1"/>
        <v>27.65</v>
      </c>
      <c r="AA108">
        <f t="shared" ca="1" si="23"/>
        <v>3.970541629567028E-2</v>
      </c>
      <c r="AB108">
        <f t="shared" ca="1" si="24"/>
        <v>4.077207178214029E-2</v>
      </c>
      <c r="AC108">
        <f t="shared" ca="1" si="25"/>
        <v>3.9634007556560401E-2</v>
      </c>
      <c r="AD108">
        <f t="shared" ca="1" si="26"/>
        <v>3.9148834357663032E-2</v>
      </c>
      <c r="AE108">
        <f t="shared" ca="1" si="27"/>
        <v>3.8917365411395219E-2</v>
      </c>
      <c r="AF108">
        <f t="shared" ca="1" si="28"/>
        <v>3.9467102165725049E-2</v>
      </c>
      <c r="AG108">
        <f t="shared" ca="1" si="29"/>
        <v>3.9435754108195907E-2</v>
      </c>
      <c r="AH108">
        <f t="shared" ca="1" si="30"/>
        <v>3.9829773472297762E-2</v>
      </c>
      <c r="AI108">
        <f t="shared" ca="1" si="31"/>
        <v>3.9308614441037081E-2</v>
      </c>
      <c r="AJ108">
        <f t="shared" ca="1" si="32"/>
        <v>3.8858588369474624E-2</v>
      </c>
      <c r="AK108">
        <f t="shared" ca="1" si="33"/>
        <v>3.9100512865471442E-2</v>
      </c>
      <c r="AL108">
        <f t="shared" ca="1" si="34"/>
        <v>3.9303475331417981E-2</v>
      </c>
      <c r="AM108">
        <f t="shared" ca="1" si="35"/>
        <v>3.9853429486710647E-2</v>
      </c>
      <c r="AN108">
        <f t="shared" ca="1" si="36"/>
        <v>3.9778051065823383E-2</v>
      </c>
      <c r="AO108">
        <f t="shared" ca="1" si="37"/>
        <v>3.9137833238797499E-2</v>
      </c>
      <c r="AP108">
        <f t="shared" ca="1" si="38"/>
        <v>3.9569337028599619E-2</v>
      </c>
      <c r="AQ108">
        <f t="shared" ca="1" si="39"/>
        <v>4.0483454588124856E-2</v>
      </c>
      <c r="AR108">
        <f t="shared" ca="1" si="40"/>
        <v>4.0831166541800717E-2</v>
      </c>
      <c r="AS108">
        <f t="shared" ca="1" si="41"/>
        <v>4.0132867853933746E-2</v>
      </c>
      <c r="AT108">
        <f t="shared" ca="1" si="42"/>
        <v>4.1227286267500746E-2</v>
      </c>
      <c r="AU108">
        <f t="shared" ca="1" si="43"/>
        <v>4.0423078628764021E-2</v>
      </c>
      <c r="AV108">
        <f t="shared" ca="1" si="44"/>
        <v>4.0347345685361233E-2</v>
      </c>
    </row>
    <row r="109" spans="1:48" ht="16" x14ac:dyDescent="0.2">
      <c r="A109" t="e" vm="1955">
        <v>#VALUE!</v>
      </c>
      <c r="B109" s="23" t="str" cm="1">
        <f t="array" aca="1" ref="B109" ca="1">_FV(A109,"ticker symbol",TRUE)</f>
        <v>SLX</v>
      </c>
      <c r="C109" s="23" t="str" cm="1">
        <f t="array" aca="1" ref="C109" ca="1">_FV(A109,"Name")</f>
        <v>VanEck:Steel</v>
      </c>
      <c r="D109" cm="1" vm="1956">
        <f t="array" aca="1" ref="D109:Y109" ca="1">TRANSPOSE(_xlfn.STOCKHISTORY(B109, WORKDAY(TODAY(), -23), TODAY(), 0, 0, 1))</f>
        <v>77.034000000000006</v>
      </c>
      <c r="E109" vm="1957">
        <f ca="1"/>
        <v>75.822500000000005</v>
      </c>
      <c r="F109" vm="1958">
        <f ca="1"/>
        <v>77.36</v>
      </c>
      <c r="G109" vm="1959">
        <f ca="1"/>
        <v>77.97</v>
      </c>
      <c r="H109" vm="1960">
        <f ca="1"/>
        <v>79.77</v>
      </c>
      <c r="I109" vm="1961">
        <f ca="1"/>
        <v>80.930000000000007</v>
      </c>
      <c r="J109" vm="1962">
        <f ca="1"/>
        <v>80.86</v>
      </c>
      <c r="K109" vm="1963">
        <f ca="1"/>
        <v>81.09</v>
      </c>
      <c r="L109" vm="1964">
        <f ca="1"/>
        <v>81.290000000000006</v>
      </c>
      <c r="M109" vm="1965">
        <f ca="1"/>
        <v>83.51</v>
      </c>
      <c r="N109" vm="1928">
        <f ca="1"/>
        <v>83.32</v>
      </c>
      <c r="O109" vm="1966">
        <f ca="1"/>
        <v>81.691199999999995</v>
      </c>
      <c r="P109" vm="1967">
        <f ca="1"/>
        <v>81.349999999999994</v>
      </c>
      <c r="Q109" vm="1968">
        <f ca="1"/>
        <v>81.5</v>
      </c>
      <c r="R109" vm="1969">
        <f ca="1"/>
        <v>83.87</v>
      </c>
      <c r="S109" vm="1970">
        <f ca="1"/>
        <v>85.8</v>
      </c>
      <c r="T109" vm="1971">
        <f ca="1"/>
        <v>85.16</v>
      </c>
      <c r="U109" vm="1972">
        <f ca="1"/>
        <v>85.05</v>
      </c>
      <c r="V109" vm="1973">
        <f ca="1"/>
        <v>84.79</v>
      </c>
      <c r="W109" vm="1974">
        <f ca="1"/>
        <v>85.1</v>
      </c>
      <c r="X109" vm="1975">
        <f ca="1"/>
        <v>84.86</v>
      </c>
      <c r="Y109" vm="50">
        <f ca="1"/>
        <v>84.69</v>
      </c>
      <c r="AA109">
        <f t="shared" ca="1" si="23"/>
        <v>0.11625492356216895</v>
      </c>
      <c r="AB109">
        <f t="shared" ca="1" si="24"/>
        <v>0.11619772271006698</v>
      </c>
      <c r="AC109">
        <f t="shared" ca="1" si="25"/>
        <v>0.11738464106338103</v>
      </c>
      <c r="AD109">
        <f t="shared" ca="1" si="26"/>
        <v>0.11659414113319276</v>
      </c>
      <c r="AE109">
        <f t="shared" ca="1" si="27"/>
        <v>0.11817427631773873</v>
      </c>
      <c r="AF109">
        <f t="shared" ca="1" si="28"/>
        <v>0.11907073917137478</v>
      </c>
      <c r="AG109">
        <f t="shared" ca="1" si="29"/>
        <v>0.11832189525746646</v>
      </c>
      <c r="AH109">
        <f t="shared" ca="1" si="30"/>
        <v>0.11920266952827555</v>
      </c>
      <c r="AI109">
        <f t="shared" ca="1" si="31"/>
        <v>0.11927574721582324</v>
      </c>
      <c r="AJ109">
        <f t="shared" ca="1" si="32"/>
        <v>0.1221102808931261</v>
      </c>
      <c r="AK109">
        <f t="shared" ca="1" si="33"/>
        <v>0.12174345037186399</v>
      </c>
      <c r="AL109">
        <f t="shared" ca="1" si="34"/>
        <v>0.1191372194431886</v>
      </c>
      <c r="AM109">
        <f t="shared" ca="1" si="35"/>
        <v>0.11899711832423972</v>
      </c>
      <c r="AN109">
        <f t="shared" ca="1" si="36"/>
        <v>0.11931951276645585</v>
      </c>
      <c r="AO109">
        <f t="shared" ca="1" si="37"/>
        <v>0.12198030745960411</v>
      </c>
      <c r="AP109">
        <f t="shared" ca="1" si="38"/>
        <v>0.12449758405037945</v>
      </c>
      <c r="AQ109">
        <f t="shared" ca="1" si="39"/>
        <v>0.12491199249002581</v>
      </c>
      <c r="AR109">
        <f t="shared" ca="1" si="40"/>
        <v>0.12493940328764708</v>
      </c>
      <c r="AS109">
        <f t="shared" ca="1" si="41"/>
        <v>0.12489872876986759</v>
      </c>
      <c r="AT109">
        <f t="shared" ca="1" si="42"/>
        <v>0.12675007447125408</v>
      </c>
      <c r="AU109">
        <f t="shared" ca="1" si="43"/>
        <v>0.12544532647419693</v>
      </c>
      <c r="AV109">
        <f t="shared" ca="1" si="44"/>
        <v>0.12443615098664393</v>
      </c>
    </row>
    <row r="110" spans="1:48" ht="16" x14ac:dyDescent="0.2">
      <c r="A110" t="e" vm="2421">
        <v>#VALUE!</v>
      </c>
      <c r="B110" s="23" t="str" cm="1">
        <f t="array" aca="1" ref="B110" ca="1">_FV(A110,"ticker symbol",TRUE)</f>
        <v>SOYB</v>
      </c>
      <c r="C110" s="23" t="str" cm="1">
        <f t="array" aca="1" ref="C110" ca="1">_FV(A110,"Name")</f>
        <v>Teucrium:Soybean</v>
      </c>
      <c r="D110" cm="1" vm="2422">
        <f t="array" aca="1" ref="D110:Y110" ca="1">TRANSPOSE(_xlfn.STOCKHISTORY(B110, WORKDAY(TODAY(), -23), TODAY(), 0, 0, 1))</f>
        <v>23.47</v>
      </c>
      <c r="E110" vm="2423">
        <f ca="1"/>
        <v>23.34</v>
      </c>
      <c r="F110" vm="2424">
        <f ca="1"/>
        <v>23.38</v>
      </c>
      <c r="G110" vm="2425">
        <f ca="1"/>
        <v>23.32</v>
      </c>
      <c r="H110" vm="2426">
        <f ca="1"/>
        <v>23.35</v>
      </c>
      <c r="I110" vm="2422">
        <f ca="1"/>
        <v>23.47</v>
      </c>
      <c r="J110" vm="2427">
        <f ca="1"/>
        <v>23.6</v>
      </c>
      <c r="K110" vm="2422">
        <f ca="1"/>
        <v>23.47</v>
      </c>
      <c r="L110" vm="2428">
        <f ca="1"/>
        <v>23.43</v>
      </c>
      <c r="M110" vm="2429">
        <f ca="1"/>
        <v>23.28</v>
      </c>
      <c r="N110" vm="2430">
        <f ca="1"/>
        <v>23.3</v>
      </c>
      <c r="O110" vm="2431">
        <f ca="1"/>
        <v>23.03</v>
      </c>
      <c r="P110" vm="2432">
        <f ca="1"/>
        <v>22.87</v>
      </c>
      <c r="Q110" vm="2433">
        <f ca="1"/>
        <v>22.73</v>
      </c>
      <c r="R110" vm="2434">
        <f ca="1"/>
        <v>22.78</v>
      </c>
      <c r="S110" vm="2435">
        <f ca="1"/>
        <v>22.82</v>
      </c>
      <c r="T110" vm="2436">
        <f ca="1"/>
        <v>22.52</v>
      </c>
      <c r="U110" vm="2437">
        <f ca="1"/>
        <v>22.48</v>
      </c>
      <c r="V110" vm="2438">
        <f ca="1"/>
        <v>22.29</v>
      </c>
      <c r="W110" vm="2293">
        <f ca="1"/>
        <v>22.23</v>
      </c>
      <c r="X110" vm="2439">
        <f ca="1"/>
        <v>22.08</v>
      </c>
      <c r="Y110" vm="52">
        <f ca="1"/>
        <v>22.01</v>
      </c>
      <c r="AA110">
        <f t="shared" ca="1" si="23"/>
        <v>3.5419464859725636E-2</v>
      </c>
      <c r="AB110">
        <f t="shared" ca="1" si="24"/>
        <v>3.5768470415153325E-2</v>
      </c>
      <c r="AC110">
        <f t="shared" ca="1" si="25"/>
        <v>3.5476381955297939E-2</v>
      </c>
      <c r="AD110">
        <f t="shared" ca="1" si="26"/>
        <v>3.4872070940439343E-2</v>
      </c>
      <c r="AE110">
        <f t="shared" ca="1" si="27"/>
        <v>3.4591567657254602E-2</v>
      </c>
      <c r="AF110">
        <f t="shared" ca="1" si="28"/>
        <v>3.4530955743879474E-2</v>
      </c>
      <c r="AG110">
        <f t="shared" ca="1" si="29"/>
        <v>3.4533721593819053E-2</v>
      </c>
      <c r="AH110">
        <f t="shared" ca="1" si="30"/>
        <v>3.4501006953121555E-2</v>
      </c>
      <c r="AI110">
        <f t="shared" ca="1" si="31"/>
        <v>3.4378530658958524E-2</v>
      </c>
      <c r="AJ110">
        <f t="shared" ca="1" si="32"/>
        <v>3.4040562078696872E-2</v>
      </c>
      <c r="AK110">
        <f t="shared" ca="1" si="33"/>
        <v>3.4044915910518857E-2</v>
      </c>
      <c r="AL110">
        <f t="shared" ca="1" si="34"/>
        <v>3.3586606192302644E-2</v>
      </c>
      <c r="AM110">
        <f t="shared" ca="1" si="35"/>
        <v>3.3453768851571759E-2</v>
      </c>
      <c r="AN110">
        <f t="shared" ca="1" si="36"/>
        <v>3.3277699695479036E-2</v>
      </c>
      <c r="AO110">
        <f t="shared" ca="1" si="37"/>
        <v>3.3131172098840846E-2</v>
      </c>
      <c r="AP110">
        <f t="shared" ca="1" si="38"/>
        <v>3.3112294499180177E-2</v>
      </c>
      <c r="AQ110">
        <f t="shared" ca="1" si="39"/>
        <v>3.3032152076977232E-2</v>
      </c>
      <c r="AR110">
        <f t="shared" ca="1" si="40"/>
        <v>3.3023371968328115E-2</v>
      </c>
      <c r="AS110">
        <f t="shared" ca="1" si="41"/>
        <v>3.2833974104025804E-2</v>
      </c>
      <c r="AT110">
        <f t="shared" ca="1" si="42"/>
        <v>3.310991957104558E-2</v>
      </c>
      <c r="AU110">
        <f t="shared" ca="1" si="43"/>
        <v>3.2640028382633371E-2</v>
      </c>
      <c r="AV110">
        <f t="shared" ca="1" si="44"/>
        <v>3.2339587710662809E-2</v>
      </c>
    </row>
    <row r="111" spans="1:48" ht="16" x14ac:dyDescent="0.2">
      <c r="A111" t="e" vm="2440">
        <v>#VALUE!</v>
      </c>
      <c r="B111" s="23" t="str" cm="1">
        <f t="array" aca="1" ref="B111" ca="1">_FV(A111,"ticker symbol",TRUE)</f>
        <v>WEAT</v>
      </c>
      <c r="C111" s="23" t="str" cm="1">
        <f t="array" aca="1" ref="C111" ca="1">_FV(A111,"Name")</f>
        <v>Teucrium:Wheat</v>
      </c>
      <c r="D111" cm="1" vm="2127">
        <f t="array" aca="1" ref="D111:Y111" ca="1">TRANSPOSE(_xlfn.STOCKHISTORY(B111, WORKDAY(TODAY(), -23), TODAY(), 0, 0, 1))</f>
        <v>21.3</v>
      </c>
      <c r="E111" vm="2441">
        <f ca="1"/>
        <v>20.95</v>
      </c>
      <c r="F111" vm="2441">
        <f ca="1"/>
        <v>20.95</v>
      </c>
      <c r="G111" vm="2137">
        <f ca="1"/>
        <v>20.8</v>
      </c>
      <c r="H111" vm="2134">
        <f ca="1"/>
        <v>20.89</v>
      </c>
      <c r="I111" vm="2442">
        <f ca="1"/>
        <v>20.96</v>
      </c>
      <c r="J111" vm="2136">
        <f ca="1"/>
        <v>20.84</v>
      </c>
      <c r="K111" vm="2443">
        <f ca="1"/>
        <v>20.74</v>
      </c>
      <c r="L111" vm="2444">
        <f ca="1"/>
        <v>20.91</v>
      </c>
      <c r="M111" vm="2132">
        <f ca="1"/>
        <v>20.85</v>
      </c>
      <c r="N111" vm="2445">
        <f ca="1"/>
        <v>20.87</v>
      </c>
      <c r="O111" vm="157">
        <f ca="1"/>
        <v>20.7</v>
      </c>
      <c r="P111" vm="2446">
        <f ca="1"/>
        <v>20.68</v>
      </c>
      <c r="Q111" vm="2447">
        <f ca="1"/>
        <v>20.65</v>
      </c>
      <c r="R111" vm="2448">
        <f ca="1"/>
        <v>20.51</v>
      </c>
      <c r="S111" vm="2449">
        <f ca="1"/>
        <v>20.67</v>
      </c>
      <c r="T111" vm="2450">
        <f ca="1"/>
        <v>20.53</v>
      </c>
      <c r="U111" vm="2451">
        <f ca="1"/>
        <v>20.25</v>
      </c>
      <c r="V111" vm="2452">
        <f ca="1"/>
        <v>19.93</v>
      </c>
      <c r="W111" vm="2453">
        <f ca="1"/>
        <v>19.88</v>
      </c>
      <c r="X111" vm="2454">
        <f ca="1"/>
        <v>19.940000000000001</v>
      </c>
      <c r="Y111" vm="54">
        <f ca="1"/>
        <v>19.98</v>
      </c>
      <c r="AA111">
        <f t="shared" ca="1" si="23"/>
        <v>3.2144635769584838E-2</v>
      </c>
      <c r="AB111">
        <f t="shared" ca="1" si="24"/>
        <v>3.2105803564587067E-2</v>
      </c>
      <c r="AC111">
        <f t="shared" ca="1" si="25"/>
        <v>3.1789144651988531E-2</v>
      </c>
      <c r="AD111">
        <f t="shared" ca="1" si="26"/>
        <v>3.1103733943445039E-2</v>
      </c>
      <c r="AE111">
        <f t="shared" ca="1" si="27"/>
        <v>3.0947231193149835E-2</v>
      </c>
      <c r="AF111">
        <f t="shared" ca="1" si="28"/>
        <v>3.0838041431261773E-2</v>
      </c>
      <c r="AG111">
        <f t="shared" ca="1" si="29"/>
        <v>3.0495032119287668E-2</v>
      </c>
      <c r="AH111">
        <f t="shared" ca="1" si="30"/>
        <v>3.0487894512472986E-2</v>
      </c>
      <c r="AI111">
        <f t="shared" ca="1" si="31"/>
        <v>3.0680967822399603E-2</v>
      </c>
      <c r="AJ111">
        <f t="shared" ca="1" si="32"/>
        <v>3.0487359078214336E-2</v>
      </c>
      <c r="AK111">
        <f t="shared" ca="1" si="33"/>
        <v>3.0494308800537707E-2</v>
      </c>
      <c r="AL111">
        <f t="shared" ca="1" si="34"/>
        <v>3.0188569178491734E-2</v>
      </c>
      <c r="AM111">
        <f t="shared" ca="1" si="35"/>
        <v>3.0250281585067946E-2</v>
      </c>
      <c r="AN111">
        <f t="shared" ca="1" si="36"/>
        <v>3.0232490044506909E-2</v>
      </c>
      <c r="AO111">
        <f t="shared" ca="1" si="37"/>
        <v>2.9829690067920356E-2</v>
      </c>
      <c r="AP111">
        <f t="shared" ca="1" si="38"/>
        <v>2.9992599793955053E-2</v>
      </c>
      <c r="AQ111">
        <f t="shared" ca="1" si="39"/>
        <v>3.011323632950012E-2</v>
      </c>
      <c r="AR111">
        <f t="shared" ca="1" si="40"/>
        <v>2.9747476973249306E-2</v>
      </c>
      <c r="AS111">
        <f t="shared" ca="1" si="41"/>
        <v>2.9357608967843622E-2</v>
      </c>
      <c r="AT111">
        <f t="shared" ca="1" si="42"/>
        <v>2.9609770628537382E-2</v>
      </c>
      <c r="AU111">
        <f t="shared" ca="1" si="43"/>
        <v>2.9476547370910759E-2</v>
      </c>
      <c r="AV111">
        <f t="shared" ca="1" si="44"/>
        <v>2.9356881529261376E-2</v>
      </c>
    </row>
    <row r="112" spans="1:48" ht="16" x14ac:dyDescent="0.2">
      <c r="A112" t="e" vm="2455">
        <v>#VALUE!</v>
      </c>
      <c r="B112" s="23" t="str" cm="1">
        <f t="array" aca="1" ref="B112" ca="1">_FV(A112,"ticker symbol",TRUE)</f>
        <v>DBC</v>
      </c>
      <c r="C112" s="23" t="str" cm="1">
        <f t="array" aca="1" ref="C112" ca="1">_FV(A112,"Name")</f>
        <v>Invesco DB Cm Idx</v>
      </c>
      <c r="D112" cm="1" vm="2456">
        <f t="array" aca="1" ref="D112:Y112" ca="1">TRANSPOSE(_xlfn.STOCKHISTORY(B112, WORKDAY(TODAY(), -23), TODAY(), 0, 0, 1))</f>
        <v>22.9</v>
      </c>
      <c r="E112" vm="2457">
        <f ca="1"/>
        <v>22.68</v>
      </c>
      <c r="F112" vm="2458">
        <f ca="1"/>
        <v>22.53</v>
      </c>
      <c r="G112" vm="35">
        <f ca="1"/>
        <v>22.64</v>
      </c>
      <c r="H112" vm="2436">
        <f ca="1"/>
        <v>22.52</v>
      </c>
      <c r="I112" vm="2459">
        <f ca="1"/>
        <v>22.76</v>
      </c>
      <c r="J112" vm="2460">
        <f ca="1"/>
        <v>23.06</v>
      </c>
      <c r="K112" vm="2461">
        <f ca="1"/>
        <v>23.12</v>
      </c>
      <c r="L112" vm="146">
        <f ca="1"/>
        <v>23.02</v>
      </c>
      <c r="M112" vm="2462">
        <f ca="1"/>
        <v>23.13</v>
      </c>
      <c r="N112" vm="2463">
        <f ca="1"/>
        <v>23.19</v>
      </c>
      <c r="O112" vm="2464">
        <f ca="1"/>
        <v>23.33</v>
      </c>
      <c r="P112" vm="2465">
        <f ca="1"/>
        <v>23.04</v>
      </c>
      <c r="Q112" vm="2466">
        <f ca="1"/>
        <v>22.99</v>
      </c>
      <c r="R112" vm="2462">
        <f ca="1"/>
        <v>23.13</v>
      </c>
      <c r="S112" vm="2467">
        <f ca="1"/>
        <v>23.11</v>
      </c>
      <c r="T112" vm="2468">
        <f ca="1"/>
        <v>22.92</v>
      </c>
      <c r="U112" vm="2469">
        <f ca="1"/>
        <v>22.81</v>
      </c>
      <c r="V112" vm="2470">
        <f ca="1"/>
        <v>22.58</v>
      </c>
      <c r="W112" vm="56">
        <f ca="1"/>
        <v>22.85</v>
      </c>
      <c r="X112" vm="2471">
        <f ca="1"/>
        <v>22.69</v>
      </c>
      <c r="Y112" vm="56">
        <f ca="1"/>
        <v>22.85</v>
      </c>
      <c r="AA112">
        <f t="shared" ca="1" si="23"/>
        <v>3.4559256296877588E-2</v>
      </c>
      <c r="AB112">
        <f t="shared" ca="1" si="24"/>
        <v>3.4757022665624568E-2</v>
      </c>
      <c r="AC112">
        <f t="shared" ca="1" si="25"/>
        <v>3.4186607589942797E-2</v>
      </c>
      <c r="AD112">
        <f t="shared" ca="1" si="26"/>
        <v>3.3855218099980558E-2</v>
      </c>
      <c r="AE112">
        <f t="shared" ca="1" si="27"/>
        <v>3.3361974460016E-2</v>
      </c>
      <c r="AF112">
        <f t="shared" ca="1" si="28"/>
        <v>3.3486346516007535E-2</v>
      </c>
      <c r="AG112">
        <f t="shared" ca="1" si="29"/>
        <v>3.3743543218367256E-2</v>
      </c>
      <c r="AH112">
        <f t="shared" ca="1" si="30"/>
        <v>3.3986505358166615E-2</v>
      </c>
      <c r="AI112">
        <f t="shared" ca="1" si="31"/>
        <v>3.3776943054597747E-2</v>
      </c>
      <c r="AJ112">
        <f t="shared" ca="1" si="32"/>
        <v>3.3821228560148561E-2</v>
      </c>
      <c r="AK112">
        <f t="shared" ca="1" si="33"/>
        <v>3.3884188839696669E-2</v>
      </c>
      <c r="AL112">
        <f t="shared" ca="1" si="34"/>
        <v>3.40241216876431E-2</v>
      </c>
      <c r="AM112">
        <f t="shared" ca="1" si="35"/>
        <v>3.3702441379108584E-2</v>
      </c>
      <c r="AN112">
        <f t="shared" ca="1" si="36"/>
        <v>3.3658350901850549E-2</v>
      </c>
      <c r="AO112">
        <f t="shared" ca="1" si="37"/>
        <v>3.3640211178498185E-2</v>
      </c>
      <c r="AP112">
        <f t="shared" ca="1" si="38"/>
        <v>3.3533090529187286E-2</v>
      </c>
      <c r="AQ112">
        <f t="shared" ca="1" si="39"/>
        <v>3.3618868810138466E-2</v>
      </c>
      <c r="AR112">
        <f t="shared" ca="1" si="40"/>
        <v>3.3508145667151434E-2</v>
      </c>
      <c r="AS112">
        <f t="shared" ca="1" si="41"/>
        <v>3.3261154565675313E-2</v>
      </c>
      <c r="AT112">
        <f t="shared" ca="1" si="42"/>
        <v>3.4033363121834977E-2</v>
      </c>
      <c r="AU112">
        <f t="shared" ca="1" si="43"/>
        <v>3.3541768297189821E-2</v>
      </c>
      <c r="AV112">
        <f t="shared" ca="1" si="44"/>
        <v>3.3573810958139265E-2</v>
      </c>
    </row>
    <row r="113" spans="1:48" ht="16" x14ac:dyDescent="0.2">
      <c r="A113" t="e" vm="2472">
        <v>#VALUE!</v>
      </c>
      <c r="B113" s="23" t="str" cm="1">
        <f t="array" aca="1" ref="B113" ca="1">_FV(A113,"ticker symbol",TRUE)</f>
        <v>IEMG</v>
      </c>
      <c r="C113" s="23" t="str" cm="1">
        <f t="array" aca="1" ref="C113" ca="1">_FV(A113,"Name")</f>
        <v>iShares:Core MSCI EmMkts</v>
      </c>
      <c r="D113" cm="1" vm="2473">
        <f t="array" aca="1" ref="D113:Y113" ca="1">TRANSPOSE(_xlfn.STOCKHISTORY(B113, WORKDAY(TODAY(), -23), TODAY(), 0, 0, 1))</f>
        <v>66.5</v>
      </c>
      <c r="E113" vm="1159">
        <f ca="1"/>
        <v>65.64</v>
      </c>
      <c r="F113" vm="2474">
        <f ca="1"/>
        <v>65.58</v>
      </c>
      <c r="G113" vm="2475">
        <f ca="1"/>
        <v>66.25</v>
      </c>
      <c r="H113" vm="2476">
        <f ca="1"/>
        <v>66.459999999999994</v>
      </c>
      <c r="I113" vm="2477">
        <f ca="1"/>
        <v>66.930000000000007</v>
      </c>
      <c r="J113" vm="2478">
        <f ca="1"/>
        <v>67.099999999999994</v>
      </c>
      <c r="K113" vm="2479">
        <f ca="1"/>
        <v>67.040000000000006</v>
      </c>
      <c r="L113" vm="2479">
        <f ca="1"/>
        <v>67.040000000000006</v>
      </c>
      <c r="M113" vm="2478">
        <f ca="1"/>
        <v>67.099999999999994</v>
      </c>
      <c r="N113" vm="2480">
        <f ca="1"/>
        <v>67.069999999999993</v>
      </c>
      <c r="O113" vm="2481">
        <f ca="1"/>
        <v>67.430000000000007</v>
      </c>
      <c r="P113" vm="2482">
        <f ca="1"/>
        <v>67.349999999999994</v>
      </c>
      <c r="Q113" vm="2483">
        <f ca="1"/>
        <v>67.28</v>
      </c>
      <c r="R113" vm="2484">
        <f ca="1"/>
        <v>67.930000000000007</v>
      </c>
      <c r="S113" vm="2485">
        <f ca="1"/>
        <v>67.650000000000006</v>
      </c>
      <c r="T113" vm="2486">
        <f ca="1"/>
        <v>66.89</v>
      </c>
      <c r="U113" vm="2487">
        <f ca="1"/>
        <v>66.72</v>
      </c>
      <c r="V113" vm="2488">
        <f ca="1"/>
        <v>65.150000000000006</v>
      </c>
      <c r="W113" vm="1610">
        <f ca="1"/>
        <v>64.72</v>
      </c>
      <c r="X113" vm="2489">
        <f ca="1"/>
        <v>65.400000000000006</v>
      </c>
      <c r="Y113" vm="58">
        <f ca="1"/>
        <v>66.09</v>
      </c>
      <c r="AA113">
        <f t="shared" ca="1" si="23"/>
        <v>0.10035766566560524</v>
      </c>
      <c r="AB113">
        <f t="shared" ca="1" si="24"/>
        <v>0.1005930761804055</v>
      </c>
      <c r="AC113">
        <f t="shared" ca="1" si="25"/>
        <v>9.9509885741165052E-2</v>
      </c>
      <c r="AD113">
        <f t="shared" ca="1" si="26"/>
        <v>9.9068383353520847E-2</v>
      </c>
      <c r="AE113">
        <f t="shared" ca="1" si="27"/>
        <v>9.8456342034310085E-2</v>
      </c>
      <c r="AF113">
        <f t="shared" ca="1" si="28"/>
        <v>9.847281073446329E-2</v>
      </c>
      <c r="AG113">
        <f t="shared" ca="1" si="29"/>
        <v>9.8186979616324499E-2</v>
      </c>
      <c r="AH113">
        <f t="shared" ca="1" si="30"/>
        <v>9.8549105502227063E-2</v>
      </c>
      <c r="AI113">
        <f t="shared" ca="1" si="31"/>
        <v>9.8366909747186496E-2</v>
      </c>
      <c r="AJ113">
        <f t="shared" ca="1" si="32"/>
        <v>9.8115193963941569E-2</v>
      </c>
      <c r="AK113">
        <f t="shared" ca="1" si="33"/>
        <v>9.7999678545858351E-2</v>
      </c>
      <c r="AL113">
        <f t="shared" ca="1" si="34"/>
        <v>9.8338899502690716E-2</v>
      </c>
      <c r="AM113">
        <f t="shared" ca="1" si="35"/>
        <v>9.8518204291795267E-2</v>
      </c>
      <c r="AN113">
        <f t="shared" ca="1" si="36"/>
        <v>9.8500819864136807E-2</v>
      </c>
      <c r="AO113">
        <f t="shared" ca="1" si="37"/>
        <v>9.8797213374638218E-2</v>
      </c>
      <c r="AP113">
        <f t="shared" ca="1" si="38"/>
        <v>9.8161556655106882E-2</v>
      </c>
      <c r="AQ113">
        <f t="shared" ca="1" si="39"/>
        <v>9.8113705702886647E-2</v>
      </c>
      <c r="AR113">
        <f t="shared" ca="1" si="40"/>
        <v>9.8012427834824375E-2</v>
      </c>
      <c r="AS113">
        <f t="shared" ca="1" si="41"/>
        <v>9.5968300263673464E-2</v>
      </c>
      <c r="AT113">
        <f t="shared" ca="1" si="42"/>
        <v>9.6395591301757524E-2</v>
      </c>
      <c r="AU113">
        <f t="shared" ca="1" si="43"/>
        <v>9.6678344937691257E-2</v>
      </c>
      <c r="AV113">
        <f t="shared" ca="1" si="44"/>
        <v>9.7106921935379592E-2</v>
      </c>
    </row>
    <row r="114" spans="1:48" ht="16" x14ac:dyDescent="0.2">
      <c r="A114" t="e" vm="2490">
        <v>#VALUE!</v>
      </c>
      <c r="B114" s="23" t="str" cm="1">
        <f t="array" aca="1" ref="B114" ca="1">_FV(A114,"ticker symbol",TRUE)</f>
        <v>EUE</v>
      </c>
      <c r="C114" s="23" t="str" cm="1">
        <f t="array" aca="1" ref="C114" ca="1">_FV(A114,"Name")</f>
        <v>iShs Cr EUR STXX 50 ETFEURD</v>
      </c>
      <c r="D114" cm="1" vm="2491">
        <f t="array" aca="1" ref="D114:Z114" ca="1">TRANSPOSE(_xlfn.STOCKHISTORY(B114, WORKDAY(TODAY(), -23), TODAY(), 0, 0, 1))</f>
        <v>56.41</v>
      </c>
      <c r="E114" vm="2492">
        <f ca="1"/>
        <v>56.66</v>
      </c>
      <c r="F114" vm="2493">
        <f ca="1"/>
        <v>56.03</v>
      </c>
      <c r="G114" vm="2494">
        <f ca="1"/>
        <v>56.27</v>
      </c>
      <c r="H114" vm="2495">
        <f ca="1"/>
        <v>56.71</v>
      </c>
      <c r="I114" vm="2496">
        <f ca="1"/>
        <v>57.49</v>
      </c>
      <c r="J114" vm="2497">
        <f ca="1"/>
        <v>57.56</v>
      </c>
      <c r="K114" vm="2498">
        <f ca="1"/>
        <v>57.7</v>
      </c>
      <c r="L114" vm="2499">
        <f ca="1"/>
        <v>57.72</v>
      </c>
      <c r="M114" vm="2500">
        <f ca="1"/>
        <v>57.93</v>
      </c>
      <c r="N114" vm="2501">
        <f ca="1"/>
        <v>58.01</v>
      </c>
      <c r="O114" vm="2502">
        <f ca="1"/>
        <v>58.25</v>
      </c>
      <c r="P114" vm="2503">
        <f ca="1"/>
        <v>58.29</v>
      </c>
      <c r="Q114" vm="2504">
        <f ca="1"/>
        <v>58.3</v>
      </c>
      <c r="R114" vm="2502">
        <f ca="1"/>
        <v>58.25</v>
      </c>
      <c r="S114" vm="2505">
        <f ca="1"/>
        <v>58.13</v>
      </c>
      <c r="T114" vm="2506">
        <f ca="1"/>
        <v>58.57</v>
      </c>
      <c r="U114" vm="2507">
        <f ca="1"/>
        <v>58.31</v>
      </c>
      <c r="V114" vm="2508">
        <f ca="1"/>
        <v>58.53</v>
      </c>
      <c r="W114" vm="2509">
        <f ca="1"/>
        <v>58.23</v>
      </c>
      <c r="X114" vm="2510">
        <f ca="1"/>
        <v>57.86</v>
      </c>
      <c r="Y114" vm="60">
        <f ca="1"/>
        <v>58.46</v>
      </c>
      <c r="Z114" vm="2511">
        <f ca="1"/>
        <v>58.67</v>
      </c>
      <c r="AA114">
        <f t="shared" ca="1" si="23"/>
        <v>8.5130464965365277E-2</v>
      </c>
      <c r="AB114">
        <f t="shared" ca="1" si="24"/>
        <v>8.6831256800453616E-2</v>
      </c>
      <c r="AC114">
        <f t="shared" ca="1" si="25"/>
        <v>8.5018891400998442E-2</v>
      </c>
      <c r="AD114">
        <f t="shared" ca="1" si="26"/>
        <v>8.414457254796405E-2</v>
      </c>
      <c r="AE114">
        <f t="shared" ca="1" si="27"/>
        <v>8.4012325560724133E-2</v>
      </c>
      <c r="AF114">
        <f t="shared" ca="1" si="28"/>
        <v>8.4583921845574395E-2</v>
      </c>
      <c r="AG114">
        <f t="shared" ca="1" si="29"/>
        <v>8.4227161650009513E-2</v>
      </c>
      <c r="AH114">
        <f t="shared" ca="1" si="30"/>
        <v>8.4819262939715118E-2</v>
      </c>
      <c r="AI114">
        <f t="shared" ca="1" si="31"/>
        <v>8.4691796399278096E-2</v>
      </c>
      <c r="AJ114">
        <f t="shared" ca="1" si="32"/>
        <v>8.4706604863355225E-2</v>
      </c>
      <c r="AK114">
        <f t="shared" ca="1" si="33"/>
        <v>8.4761612530866906E-2</v>
      </c>
      <c r="AL114">
        <f t="shared" ca="1" si="34"/>
        <v>8.495092534527264E-2</v>
      </c>
      <c r="AM114">
        <f t="shared" ca="1" si="35"/>
        <v>8.5265421353656223E-2</v>
      </c>
      <c r="AN114">
        <f t="shared" ca="1" si="36"/>
        <v>8.5353712813305227E-2</v>
      </c>
      <c r="AO114">
        <f t="shared" ca="1" si="37"/>
        <v>8.4718646828686531E-2</v>
      </c>
      <c r="AP114">
        <f t="shared" ca="1" si="38"/>
        <v>8.4347838704528638E-2</v>
      </c>
      <c r="AQ114">
        <f t="shared" ca="1" si="39"/>
        <v>8.5909997653133063E-2</v>
      </c>
      <c r="AR114">
        <f t="shared" ca="1" si="40"/>
        <v>8.565804357087245E-2</v>
      </c>
      <c r="AS114">
        <f t="shared" ca="1" si="41"/>
        <v>8.6216801449467501E-2</v>
      </c>
      <c r="AT114">
        <f t="shared" ca="1" si="42"/>
        <v>8.6729222520107244E-2</v>
      </c>
      <c r="AU114">
        <f t="shared" ca="1" si="43"/>
        <v>8.5532248288911553E-2</v>
      </c>
      <c r="AV114">
        <f t="shared" ca="1" si="44"/>
        <v>8.5896060770801808E-2</v>
      </c>
    </row>
    <row r="115" spans="1:48" ht="16" x14ac:dyDescent="0.2">
      <c r="A115" t="e" vm="2512">
        <v>#VALUE!</v>
      </c>
      <c r="B115" s="23" t="str" cm="1">
        <f t="array" aca="1" ref="B115" ca="1">_FV(A115,"ticker symbol",TRUE)</f>
        <v>C6E</v>
      </c>
      <c r="C115" s="23" t="str" cm="1">
        <f t="array" aca="1" ref="C115" ca="1">_FV(A115,"Name")</f>
        <v>Amundi StoxxEupe600 ESG UETF A</v>
      </c>
      <c r="D115" cm="1" vm="2513">
        <f t="array" aca="1" ref="D115:Z115" ca="1">TRANSPOSE(_xlfn.STOCKHISTORY(B115, WORKDAY(TODAY(), -23), TODAY(), 0, 0, 1))</f>
        <v>140.00110000000001</v>
      </c>
      <c r="E115" vm="2514">
        <f ca="1"/>
        <v>140.35429999999999</v>
      </c>
      <c r="F115" vm="2515">
        <f ca="1"/>
        <v>140.3535</v>
      </c>
      <c r="G115" vm="2516">
        <f ca="1"/>
        <v>140.75110000000001</v>
      </c>
      <c r="H115" vm="2517">
        <f ca="1"/>
        <v>142.07679999999999</v>
      </c>
      <c r="I115" vm="2518">
        <f ca="1"/>
        <v>143.67910000000001</v>
      </c>
      <c r="J115" vm="2519">
        <f ca="1"/>
        <v>143.80099999999999</v>
      </c>
      <c r="K115" vm="2520">
        <f ca="1"/>
        <v>144.17750000000001</v>
      </c>
      <c r="L115" t="e" vm="2521">
        <f ca="1"/>
        <v>#N/A</v>
      </c>
      <c r="M115" vm="2522">
        <f ca="1"/>
        <v>144.32</v>
      </c>
      <c r="N115" t="e" vm="2521">
        <f ca="1"/>
        <v>#N/A</v>
      </c>
      <c r="O115" vm="2523">
        <f ca="1"/>
        <v>144.74</v>
      </c>
      <c r="P115" vm="2524">
        <f ca="1"/>
        <v>145.32</v>
      </c>
      <c r="Q115" vm="2525">
        <f ca="1"/>
        <v>144.28</v>
      </c>
      <c r="R115" vm="2526">
        <f ca="1"/>
        <v>144.34</v>
      </c>
      <c r="S115" vm="2527">
        <f ca="1"/>
        <v>144.13999999999999</v>
      </c>
      <c r="T115" vm="2528">
        <f ca="1"/>
        <v>145.1</v>
      </c>
      <c r="U115" vm="2529">
        <f ca="1"/>
        <v>144.76</v>
      </c>
      <c r="V115" vm="2530">
        <f ca="1"/>
        <v>145.69999999999999</v>
      </c>
      <c r="W115" vm="2531">
        <f ca="1"/>
        <v>145.96</v>
      </c>
      <c r="X115" vm="2532">
        <f ca="1"/>
        <v>145.74</v>
      </c>
      <c r="Y115" t="e" vm="2521">
        <f ca="1"/>
        <v>#N/A</v>
      </c>
      <c r="Z115" vm="2533">
        <f ca="1"/>
        <v>147.08000000000001</v>
      </c>
      <c r="AA115">
        <f t="shared" ca="1" si="23"/>
        <v>0.21128095618972881</v>
      </c>
      <c r="AB115">
        <f t="shared" ca="1" si="24"/>
        <v>0.21509248616921828</v>
      </c>
      <c r="AC115">
        <f t="shared" ca="1" si="25"/>
        <v>0.2129698192798507</v>
      </c>
      <c r="AD115">
        <f t="shared" ca="1" si="26"/>
        <v>0.21047522916573205</v>
      </c>
      <c r="AE115">
        <f t="shared" ca="1" si="27"/>
        <v>0.21047791176557731</v>
      </c>
      <c r="AF115">
        <f t="shared" ca="1" si="28"/>
        <v>0.21139227283427497</v>
      </c>
      <c r="AG115">
        <f t="shared" ca="1" si="29"/>
        <v>0.21042303808952426</v>
      </c>
      <c r="AH115">
        <f t="shared" ca="1" si="30"/>
        <v>0.21194158201890428</v>
      </c>
      <c r="AI115" t="e" vm="46">
        <f t="shared" ca="1" si="31"/>
        <v>#N/A</v>
      </c>
      <c r="AJ115">
        <f t="shared" ca="1" si="32"/>
        <v>0.21102808931260875</v>
      </c>
      <c r="AK115" t="e" vm="46">
        <f t="shared" ca="1" si="33"/>
        <v>#N/A</v>
      </c>
      <c r="AL115">
        <f t="shared" ca="1" si="34"/>
        <v>0.21108664265192725</v>
      </c>
      <c r="AM115">
        <f t="shared" ca="1" si="35"/>
        <v>0.21257112765677338</v>
      </c>
      <c r="AN115">
        <f t="shared" ca="1" si="36"/>
        <v>0.21123213867416257</v>
      </c>
      <c r="AO115">
        <f t="shared" ca="1" si="37"/>
        <v>0.20992771645068864</v>
      </c>
      <c r="AP115">
        <f t="shared" ca="1" si="38"/>
        <v>0.20915013712146494</v>
      </c>
      <c r="AQ115">
        <f t="shared" ca="1" si="39"/>
        <v>0.21283149495423609</v>
      </c>
      <c r="AR115">
        <f t="shared" ca="1" si="40"/>
        <v>0.21265406255049724</v>
      </c>
      <c r="AS115">
        <f t="shared" ca="1" si="41"/>
        <v>0.2146213560770103</v>
      </c>
      <c r="AT115">
        <f t="shared" ca="1" si="42"/>
        <v>0.21739648495680669</v>
      </c>
      <c r="AU115">
        <f t="shared" ca="1" si="43"/>
        <v>0.21544192647124041</v>
      </c>
      <c r="AV115" t="e" vm="46">
        <f t="shared" ca="1" si="44"/>
        <v>#N/A</v>
      </c>
    </row>
    <row r="116" spans="1:48" ht="16" x14ac:dyDescent="0.2">
      <c r="A116" t="e" vm="2534">
        <v>#VALUE!</v>
      </c>
      <c r="B116" s="23" t="str" cm="1">
        <f t="array" aca="1" ref="B116" ca="1">_FV(A116,"ticker symbol",TRUE)</f>
        <v>FEZ</v>
      </c>
      <c r="C116" s="23" t="str" cm="1">
        <f t="array" aca="1" ref="C116" ca="1">_FV(A116,"Name")</f>
        <v>SPDR EURO STOXX 50</v>
      </c>
      <c r="D116" cm="1" vm="2535">
        <f t="array" aca="1" ref="D116:Y116" ca="1">TRANSPOSE(_xlfn.STOCKHISTORY(B116, WORKDAY(TODAY(), -23), TODAY(), 0, 0, 1))</f>
        <v>61.33</v>
      </c>
      <c r="E116" vm="1589">
        <f ca="1"/>
        <v>60.46</v>
      </c>
      <c r="F116" vm="2536">
        <f ca="1"/>
        <v>61.06</v>
      </c>
      <c r="G116" vm="2537">
        <f ca="1"/>
        <v>60.98</v>
      </c>
      <c r="H116" vm="2538">
        <f ca="1"/>
        <v>61.97</v>
      </c>
      <c r="I116" vm="2539">
        <f ca="1"/>
        <v>62.73</v>
      </c>
      <c r="J116" vm="2540">
        <f ca="1"/>
        <v>63.08</v>
      </c>
      <c r="K116" vm="2541">
        <f ca="1"/>
        <v>62.98</v>
      </c>
      <c r="L116" vm="1474">
        <f ca="1"/>
        <v>63.48</v>
      </c>
      <c r="M116" vm="2542">
        <f ca="1"/>
        <v>63.88</v>
      </c>
      <c r="N116" vm="2543">
        <f ca="1"/>
        <v>63.83</v>
      </c>
      <c r="O116" vm="2544">
        <f ca="1"/>
        <v>63.84</v>
      </c>
      <c r="P116" vm="2545">
        <f ca="1"/>
        <v>63.8</v>
      </c>
      <c r="Q116" vm="1470">
        <f ca="1"/>
        <v>63.62</v>
      </c>
      <c r="R116" vm="2546">
        <f ca="1"/>
        <v>64.28</v>
      </c>
      <c r="S116" vm="2547">
        <f ca="1"/>
        <v>64.95</v>
      </c>
      <c r="T116" vm="2548">
        <f ca="1"/>
        <v>64.44</v>
      </c>
      <c r="U116" vm="1937">
        <f ca="1"/>
        <v>64.73</v>
      </c>
      <c r="V116" vm="2549">
        <f ca="1"/>
        <v>64.540000000000006</v>
      </c>
      <c r="W116" vm="2545">
        <f ca="1"/>
        <v>63.8</v>
      </c>
      <c r="X116" vm="2550">
        <f ca="1"/>
        <v>64.290000000000006</v>
      </c>
      <c r="Y116" vm="63">
        <f ca="1"/>
        <v>64.62</v>
      </c>
      <c r="AA116">
        <f t="shared" ca="1" si="23"/>
        <v>9.2555423086790517E-2</v>
      </c>
      <c r="AB116">
        <f t="shared" ca="1" si="24"/>
        <v>9.2654743843194956E-2</v>
      </c>
      <c r="AC116">
        <f t="shared" ca="1" si="25"/>
        <v>9.2651320880688295E-2</v>
      </c>
      <c r="AD116">
        <f t="shared" ca="1" si="26"/>
        <v>9.1187773839965305E-2</v>
      </c>
      <c r="AE116">
        <f t="shared" ca="1" si="27"/>
        <v>9.1804687268525378E-2</v>
      </c>
      <c r="AF116">
        <f t="shared" ca="1" si="28"/>
        <v>9.2293432203389827E-2</v>
      </c>
      <c r="AG116">
        <f t="shared" ca="1" si="29"/>
        <v>9.2304540599072268E-2</v>
      </c>
      <c r="AH116">
        <f t="shared" ca="1" si="30"/>
        <v>9.2580887000749706E-2</v>
      </c>
      <c r="AI116">
        <f t="shared" ca="1" si="31"/>
        <v>9.3143368597127046E-2</v>
      </c>
      <c r="AJ116">
        <f t="shared" ca="1" si="32"/>
        <v>9.3406834432437968E-2</v>
      </c>
      <c r="AK116">
        <f t="shared" ca="1" si="33"/>
        <v>9.3265535732550156E-2</v>
      </c>
      <c r="AL116">
        <f t="shared" ca="1" si="34"/>
        <v>9.3103297408449887E-2</v>
      </c>
      <c r="AM116">
        <f t="shared" ca="1" si="35"/>
        <v>9.3325336804996856E-2</v>
      </c>
      <c r="AN116">
        <f t="shared" ca="1" si="36"/>
        <v>9.3142422112907006E-2</v>
      </c>
      <c r="AO116">
        <f t="shared" ca="1" si="37"/>
        <v>9.3488662972497347E-2</v>
      </c>
      <c r="AP116">
        <f t="shared" ca="1" si="38"/>
        <v>9.4243800513661366E-2</v>
      </c>
      <c r="AQ116">
        <f t="shared" ca="1" si="39"/>
        <v>9.4520065712274115E-2</v>
      </c>
      <c r="AR116">
        <f t="shared" ca="1" si="40"/>
        <v>9.5089095529798898E-2</v>
      </c>
      <c r="AS116">
        <f t="shared" ca="1" si="41"/>
        <v>9.5069748258134856E-2</v>
      </c>
      <c r="AT116">
        <f t="shared" ca="1" si="42"/>
        <v>9.5025320226392609E-2</v>
      </c>
      <c r="AU116">
        <f t="shared" ca="1" si="43"/>
        <v>9.5037473945629516E-2</v>
      </c>
      <c r="AV116">
        <f t="shared" ca="1" si="44"/>
        <v>9.494703125229581E-2</v>
      </c>
    </row>
    <row r="117" spans="1:48" ht="16" x14ac:dyDescent="0.2">
      <c r="A117" t="e" vm="2551">
        <v>#VALUE!</v>
      </c>
      <c r="B117" s="23" t="str" cm="1">
        <f t="array" aca="1" ref="B117" ca="1">_FV(A117,"ticker symbol",TRUE)</f>
        <v>E40</v>
      </c>
      <c r="C117" s="23" t="str" cm="1">
        <f t="array" aca="1" ref="C117" ca="1">_FV(A117,"Name")</f>
        <v>BNPP Easy CAC 40 ESG UCITS ETF</v>
      </c>
      <c r="D117" cm="1" vm="2552">
        <f t="array" aca="1" ref="D117:Z117" ca="1">TRANSPOSE(_xlfn.STOCKHISTORY(B117, WORKDAY(TODAY(), -23), TODAY(), 0, 0, 1))</f>
        <v>12.85</v>
      </c>
      <c r="E117" vm="2553">
        <f ca="1"/>
        <v>12.894</v>
      </c>
      <c r="F117" vm="2554">
        <f ca="1"/>
        <v>12.907999999999999</v>
      </c>
      <c r="G117" vm="2555">
        <f ca="1"/>
        <v>12.84</v>
      </c>
      <c r="H117" vm="2556">
        <f ca="1"/>
        <v>12.986000000000001</v>
      </c>
      <c r="I117" vm="2557">
        <f ca="1"/>
        <v>13.054</v>
      </c>
      <c r="J117" vm="2558">
        <f ca="1"/>
        <v>13.064</v>
      </c>
      <c r="K117" vm="2559">
        <f ca="1"/>
        <v>13.141999999999999</v>
      </c>
      <c r="L117" vm="2560">
        <f ca="1"/>
        <v>13.068</v>
      </c>
      <c r="M117" vm="2561">
        <f ca="1"/>
        <v>13.02</v>
      </c>
      <c r="N117" vm="2562">
        <f ca="1"/>
        <v>13.076000000000001</v>
      </c>
      <c r="O117" vm="2559">
        <f ca="1"/>
        <v>13.141999999999999</v>
      </c>
      <c r="P117" vm="2563">
        <f ca="1"/>
        <v>13.122</v>
      </c>
      <c r="Q117" vm="2564">
        <f ca="1"/>
        <v>13.098000000000001</v>
      </c>
      <c r="R117" vm="2561">
        <f ca="1"/>
        <v>13.02</v>
      </c>
      <c r="S117" vm="2565">
        <f ca="1"/>
        <v>12.981999999999999</v>
      </c>
      <c r="T117" vm="2560">
        <f ca="1"/>
        <v>13.068</v>
      </c>
      <c r="U117" vm="2560">
        <f ca="1"/>
        <v>13.068</v>
      </c>
      <c r="V117" vm="2566">
        <f ca="1"/>
        <v>13.154</v>
      </c>
      <c r="W117" vm="2567">
        <f ca="1"/>
        <v>13.144</v>
      </c>
      <c r="X117" vm="2562">
        <f ca="1"/>
        <v>13.076000000000001</v>
      </c>
      <c r="Y117" vm="65">
        <f ca="1"/>
        <v>13.18</v>
      </c>
      <c r="Z117" vm="2568">
        <f ca="1"/>
        <v>13.173999999999999</v>
      </c>
      <c r="AA117">
        <f t="shared" ca="1" si="23"/>
        <v>1.9392421109819959E-2</v>
      </c>
      <c r="AB117">
        <f t="shared" ca="1" si="24"/>
        <v>1.9760011033975452E-2</v>
      </c>
      <c r="AC117">
        <f t="shared" ca="1" si="25"/>
        <v>1.9586361774122575E-2</v>
      </c>
      <c r="AD117">
        <f t="shared" ca="1" si="26"/>
        <v>1.9200574222780493E-2</v>
      </c>
      <c r="AE117">
        <f t="shared" ca="1" si="27"/>
        <v>1.9237948505229478E-2</v>
      </c>
      <c r="AF117">
        <f t="shared" ca="1" si="28"/>
        <v>1.9206096986817328E-2</v>
      </c>
      <c r="AG117">
        <f t="shared" ca="1" si="29"/>
        <v>1.9116463512781866E-2</v>
      </c>
      <c r="AH117">
        <f t="shared" ca="1" si="30"/>
        <v>1.9318799888279652E-2</v>
      </c>
      <c r="AI117">
        <f t="shared" ca="1" si="31"/>
        <v>1.9174504423869823E-2</v>
      </c>
      <c r="AJ117">
        <f t="shared" ca="1" si="32"/>
        <v>1.9038149409992836E-2</v>
      </c>
      <c r="AK117">
        <f t="shared" ca="1" si="33"/>
        <v>1.9106065255190756E-2</v>
      </c>
      <c r="AL117">
        <f t="shared" ca="1" si="34"/>
        <v>1.9166095465881081E-2</v>
      </c>
      <c r="AM117">
        <f t="shared" ca="1" si="35"/>
        <v>1.9194593566695433E-2</v>
      </c>
      <c r="AN117">
        <f t="shared" ca="1" si="36"/>
        <v>1.9176036542515814E-2</v>
      </c>
      <c r="AO117">
        <f t="shared" ca="1" si="37"/>
        <v>1.8936253763253193E-2</v>
      </c>
      <c r="AP117">
        <f t="shared" ca="1" si="38"/>
        <v>1.8837151936387249E-2</v>
      </c>
      <c r="AQ117">
        <f t="shared" ca="1" si="39"/>
        <v>1.9168035672377376E-2</v>
      </c>
      <c r="AR117">
        <f t="shared" ca="1" si="40"/>
        <v>1.9197038473403552E-2</v>
      </c>
      <c r="AS117">
        <f t="shared" ca="1" si="41"/>
        <v>1.937631652599172E-2</v>
      </c>
      <c r="AT117">
        <f t="shared" ca="1" si="42"/>
        <v>1.9577003276735182E-2</v>
      </c>
      <c r="AU117">
        <f t="shared" ca="1" si="43"/>
        <v>1.9329755938918208E-2</v>
      </c>
      <c r="AV117">
        <f t="shared" ca="1" si="44"/>
        <v>1.9365550478261506E-2</v>
      </c>
    </row>
    <row r="118" spans="1:48" ht="16" x14ac:dyDescent="0.2">
      <c r="A118" t="e" vm="2569">
        <v>#VALUE!</v>
      </c>
      <c r="B118" s="23" t="str" cm="1">
        <f t="array" aca="1" ref="B118" ca="1">_FV(A118,"ticker symbol",TRUE)</f>
        <v>DAX</v>
      </c>
      <c r="C118" s="23" t="str" cm="1">
        <f t="array" aca="1" ref="C118" ca="1">_FV(A118,"Name")</f>
        <v>Glbl X DAX Germany</v>
      </c>
      <c r="D118" cm="1" vm="2570">
        <f t="array" aca="1" ref="D118:Y118" ca="1">TRANSPOSE(_xlfn.STOCKHISTORY(B118, WORKDAY(TODAY(), -23), TODAY(), 0, 0, 1))</f>
        <v>42.615299999999998</v>
      </c>
      <c r="E118" vm="2571">
        <f ca="1"/>
        <v>42.034999999999997</v>
      </c>
      <c r="F118" vm="2572">
        <f ca="1"/>
        <v>42.552399999999999</v>
      </c>
      <c r="G118" vm="2573">
        <f ca="1"/>
        <v>42.595100000000002</v>
      </c>
      <c r="H118" vm="2574">
        <f ca="1"/>
        <v>43.31</v>
      </c>
      <c r="I118" vm="2575">
        <f ca="1"/>
        <v>43.744999999999997</v>
      </c>
      <c r="J118" vm="2576">
        <f ca="1"/>
        <v>44.014099999999999</v>
      </c>
      <c r="K118" vm="2577">
        <f ca="1"/>
        <v>43.515000000000001</v>
      </c>
      <c r="L118" vm="2578">
        <f ca="1"/>
        <v>43.87</v>
      </c>
      <c r="M118" vm="2579">
        <f ca="1"/>
        <v>44.11</v>
      </c>
      <c r="N118" vm="2580">
        <f ca="1"/>
        <v>44.219000000000001</v>
      </c>
      <c r="O118" vm="2581">
        <f ca="1"/>
        <v>44.490400000000001</v>
      </c>
      <c r="P118" vm="2582">
        <f ca="1"/>
        <v>44.4</v>
      </c>
      <c r="Q118" vm="2583">
        <f ca="1"/>
        <v>44.59</v>
      </c>
      <c r="R118" vm="2584">
        <f ca="1"/>
        <v>45.005000000000003</v>
      </c>
      <c r="S118" vm="2585">
        <f ca="1"/>
        <v>45.56</v>
      </c>
      <c r="T118" vm="2586">
        <f ca="1"/>
        <v>45.25</v>
      </c>
      <c r="U118" vm="2587">
        <f ca="1"/>
        <v>45.22</v>
      </c>
      <c r="V118" vm="2588">
        <f ca="1"/>
        <v>45.085000000000001</v>
      </c>
      <c r="W118" vm="2589">
        <f ca="1"/>
        <v>44.6511</v>
      </c>
      <c r="X118" vm="2590">
        <f ca="1"/>
        <v>44.96</v>
      </c>
      <c r="Y118" vm="67">
        <f ca="1"/>
        <v>45.16</v>
      </c>
      <c r="AA118">
        <f t="shared" ca="1" si="23"/>
        <v>6.4312361347961908E-2</v>
      </c>
      <c r="AB118">
        <f t="shared" ca="1" si="24"/>
        <v>6.4418494168850468E-2</v>
      </c>
      <c r="AC118">
        <f t="shared" ca="1" si="25"/>
        <v>6.4568229063927285E-2</v>
      </c>
      <c r="AD118">
        <f t="shared" ca="1" si="26"/>
        <v>6.3695512389155565E-2</v>
      </c>
      <c r="AE118">
        <f t="shared" ca="1" si="27"/>
        <v>6.4161061894462385E-2</v>
      </c>
      <c r="AF118">
        <f t="shared" ca="1" si="28"/>
        <v>6.4361169962335221E-2</v>
      </c>
      <c r="AG118">
        <f t="shared" ca="1" si="29"/>
        <v>6.4405537101801316E-2</v>
      </c>
      <c r="AH118">
        <f t="shared" ca="1" si="30"/>
        <v>6.3967248298469725E-2</v>
      </c>
      <c r="AI118">
        <f t="shared" ca="1" si="31"/>
        <v>6.4369873666603086E-2</v>
      </c>
      <c r="AJ118">
        <f t="shared" ca="1" si="32"/>
        <v>6.4498676687771428E-2</v>
      </c>
      <c r="AK118">
        <f t="shared" ca="1" si="33"/>
        <v>6.4610821315331898E-2</v>
      </c>
      <c r="AL118">
        <f t="shared" ca="1" si="34"/>
        <v>6.4884131312983997E-2</v>
      </c>
      <c r="AM118">
        <f t="shared" ca="1" si="35"/>
        <v>6.4947413074323834E-2</v>
      </c>
      <c r="AN118">
        <f t="shared" ca="1" si="36"/>
        <v>6.5281681892714924E-2</v>
      </c>
      <c r="AO118">
        <f t="shared" ca="1" si="37"/>
        <v>6.5455153657082182E-2</v>
      </c>
      <c r="AP118">
        <f t="shared" ca="1" si="38"/>
        <v>6.610850733491011E-2</v>
      </c>
      <c r="AQ118">
        <f t="shared" ca="1" si="39"/>
        <v>6.6372330438864119E-2</v>
      </c>
      <c r="AR118">
        <f t="shared" ca="1" si="40"/>
        <v>6.6428686850880672E-2</v>
      </c>
      <c r="AS118">
        <f t="shared" ca="1" si="41"/>
        <v>6.6411831425751619E-2</v>
      </c>
      <c r="AT118">
        <f t="shared" ca="1" si="42"/>
        <v>6.6504468275245754E-2</v>
      </c>
      <c r="AU118">
        <f t="shared" ca="1" si="43"/>
        <v>6.6462666489275207E-2</v>
      </c>
      <c r="AV118">
        <f t="shared" ca="1" si="44"/>
        <v>6.6354192685757943E-2</v>
      </c>
    </row>
    <row r="119" spans="1:48" ht="16" x14ac:dyDescent="0.2">
      <c r="A119" t="e" vm="2591">
        <v>#VALUE!</v>
      </c>
      <c r="B119" s="23" t="str" cm="1">
        <f t="array" aca="1" ref="B119" ca="1">_FV(A119,"ticker symbol",TRUE)</f>
        <v>ISF</v>
      </c>
      <c r="C119" s="23" t="str" cm="1">
        <f t="array" aca="1" ref="C119" ca="1">_FV(A119,"Name")</f>
        <v>iShs Cr FTSE 100 ETF GBPD</v>
      </c>
      <c r="D119" cm="1" vm="2592">
        <f t="array" aca="1" ref="D119:Z119" ca="1">TRANSPOSE(_xlfn.STOCKHISTORY(B119, WORKDAY(TODAY(), -23), TODAY(), 0, 0, 1))</f>
        <v>10.528</v>
      </c>
      <c r="E119" vm="2593">
        <f ca="1"/>
        <v>10.566000000000001</v>
      </c>
      <c r="F119" vm="2594">
        <f ca="1"/>
        <v>10.593999999999999</v>
      </c>
      <c r="G119" vm="2595">
        <f ca="1"/>
        <v>10.61</v>
      </c>
      <c r="H119" vm="2596">
        <f ca="1"/>
        <v>10.7</v>
      </c>
      <c r="I119" vm="2597">
        <f ca="1"/>
        <v>10.81</v>
      </c>
      <c r="J119" vm="2598">
        <f ca="1"/>
        <v>10.824</v>
      </c>
      <c r="K119" vm="2599">
        <f ca="1"/>
        <v>10.852</v>
      </c>
      <c r="L119" vm="2600">
        <f ca="1"/>
        <v>10.804</v>
      </c>
      <c r="M119" vm="2601">
        <f ca="1"/>
        <v>10.786</v>
      </c>
      <c r="N119" vm="2602">
        <f ca="1"/>
        <v>10.85</v>
      </c>
      <c r="O119" vm="2603">
        <f ca="1"/>
        <v>10.9</v>
      </c>
      <c r="P119" vm="2604">
        <f ca="1"/>
        <v>10.848000000000001</v>
      </c>
      <c r="Q119" vm="2605">
        <f ca="1"/>
        <v>10.162000000000001</v>
      </c>
      <c r="R119" vm="2606">
        <f ca="1"/>
        <v>10.134</v>
      </c>
      <c r="S119" vm="2607">
        <f ca="1"/>
        <v>10.108000000000001</v>
      </c>
      <c r="T119" vm="2608">
        <f ca="1"/>
        <v>10.074</v>
      </c>
      <c r="U119" vm="2609">
        <f ca="1"/>
        <v>9.9819999999999993</v>
      </c>
      <c r="V119" vm="2610">
        <f ca="1"/>
        <v>10.118</v>
      </c>
      <c r="W119" vm="2611">
        <f ca="1"/>
        <v>10.034000000000001</v>
      </c>
      <c r="X119" vm="2612">
        <f ca="1"/>
        <v>10.15</v>
      </c>
      <c r="Y119" vm="69">
        <f ca="1"/>
        <v>10.166</v>
      </c>
      <c r="Z119" vm="2613">
        <f ca="1"/>
        <v>10.254</v>
      </c>
      <c r="AA119">
        <f t="shared" ca="1" si="23"/>
        <v>1.5888203069586347E-2</v>
      </c>
      <c r="AB119">
        <f t="shared" ca="1" si="24"/>
        <v>1.6192358972001289E-2</v>
      </c>
      <c r="AC119">
        <f t="shared" ca="1" si="25"/>
        <v>1.6075140737143983E-2</v>
      </c>
      <c r="AD119">
        <f t="shared" ca="1" si="26"/>
        <v>1.5865895054805377E-2</v>
      </c>
      <c r="AE119">
        <f t="shared" ca="1" si="27"/>
        <v>1.5851382181268702E-2</v>
      </c>
      <c r="AF119">
        <f t="shared" ca="1" si="28"/>
        <v>1.5904543314500943E-2</v>
      </c>
      <c r="AG119">
        <f t="shared" ca="1" si="29"/>
        <v>1.5838686547944805E-2</v>
      </c>
      <c r="AH119">
        <f t="shared" ca="1" si="30"/>
        <v>1.5952489452717305E-2</v>
      </c>
      <c r="AI119">
        <f t="shared" ca="1" si="31"/>
        <v>1.5852567018326415E-2</v>
      </c>
      <c r="AJ119">
        <f t="shared" ca="1" si="32"/>
        <v>1.5771542207080085E-2</v>
      </c>
      <c r="AK119">
        <f t="shared" ca="1" si="33"/>
        <v>1.5853533803825304E-2</v>
      </c>
      <c r="AL119">
        <f t="shared" ca="1" si="34"/>
        <v>1.5896396330703378E-2</v>
      </c>
      <c r="AM119">
        <f t="shared" ca="1" si="35"/>
        <v>1.5868232815996957E-2</v>
      </c>
      <c r="AN119">
        <f t="shared" ca="1" si="36"/>
        <v>1.4877605996720545E-2</v>
      </c>
      <c r="AO119">
        <f t="shared" ca="1" si="37"/>
        <v>1.4738862952135782E-2</v>
      </c>
      <c r="AP119">
        <f t="shared" ca="1" si="38"/>
        <v>1.4666918176937478E-2</v>
      </c>
      <c r="AQ119">
        <f t="shared" ca="1" si="39"/>
        <v>1.4776460924665571E-2</v>
      </c>
      <c r="AR119">
        <f t="shared" ca="1" si="40"/>
        <v>1.4663669883801212E-2</v>
      </c>
      <c r="AS119">
        <f t="shared" ca="1" si="41"/>
        <v>1.4904179003343792E-2</v>
      </c>
      <c r="AT119">
        <f t="shared" ca="1" si="42"/>
        <v>1.4944891271969022E-2</v>
      </c>
      <c r="AU119">
        <f t="shared" ca="1" si="43"/>
        <v>1.5004360873357282E-2</v>
      </c>
      <c r="AV119">
        <f t="shared" ca="1" si="44"/>
        <v>1.4937039921244802E-2</v>
      </c>
    </row>
    <row r="120" spans="1:48" ht="16" x14ac:dyDescent="0.2">
      <c r="A120" t="e" vm="2614">
        <v>#VALUE!</v>
      </c>
      <c r="B120" s="23" t="str" cm="1">
        <f t="array" aca="1" ref="B120" ca="1">_FV(A120,"ticker symbol",TRUE)</f>
        <v>FXI</v>
      </c>
      <c r="C120" s="23" t="str" cm="1">
        <f t="array" aca="1" ref="C120" ca="1">_FV(A120,"Name")</f>
        <v>iShares:China Large Cp</v>
      </c>
      <c r="D120" cm="1" vm="2615">
        <f t="array" aca="1" ref="D120:Y120" ca="1">TRANSPOSE(_xlfn.STOCKHISTORY(B120, WORKDAY(TODAY(), -23), TODAY(), 0, 0, 1))</f>
        <v>39.11</v>
      </c>
      <c r="E120" vm="2616">
        <f ca="1"/>
        <v>38.58</v>
      </c>
      <c r="F120" vm="2617">
        <f ca="1"/>
        <v>38.72</v>
      </c>
      <c r="G120" vm="2618">
        <f ca="1"/>
        <v>39.35</v>
      </c>
      <c r="H120" vm="2619">
        <f ca="1"/>
        <v>39.6</v>
      </c>
      <c r="I120" vm="2620">
        <f ca="1"/>
        <v>39.369999999999997</v>
      </c>
      <c r="J120" vm="2621">
        <f ca="1"/>
        <v>39.53</v>
      </c>
      <c r="K120" vm="2622">
        <f ca="1"/>
        <v>39.64</v>
      </c>
      <c r="L120" vm="2623">
        <f ca="1"/>
        <v>39.49</v>
      </c>
      <c r="M120" vm="2624">
        <f ca="1"/>
        <v>39.21</v>
      </c>
      <c r="N120" vm="2625">
        <f ca="1"/>
        <v>39.31</v>
      </c>
      <c r="O120" vm="2626">
        <f ca="1"/>
        <v>39.89</v>
      </c>
      <c r="P120" vm="2627">
        <f ca="1"/>
        <v>39.47</v>
      </c>
      <c r="Q120" vm="2628">
        <f ca="1"/>
        <v>38.82</v>
      </c>
      <c r="R120" vm="2629">
        <f ca="1"/>
        <v>39.090000000000003</v>
      </c>
      <c r="S120" vm="2630">
        <f ca="1"/>
        <v>39.19</v>
      </c>
      <c r="T120" vm="2631">
        <f ca="1"/>
        <v>39.08</v>
      </c>
      <c r="U120" vm="2632">
        <f ca="1"/>
        <v>38.74</v>
      </c>
      <c r="V120" vm="1565">
        <f ca="1"/>
        <v>37.96</v>
      </c>
      <c r="W120" vm="1566">
        <f ca="1"/>
        <v>37.85</v>
      </c>
      <c r="X120" vm="2633">
        <f ca="1"/>
        <v>38.21</v>
      </c>
      <c r="Y120" vm="71">
        <f ca="1"/>
        <v>38.6</v>
      </c>
      <c r="AA120">
        <f t="shared" ca="1" si="23"/>
        <v>5.9022380514012346E-2</v>
      </c>
      <c r="AB120">
        <f t="shared" ca="1" si="24"/>
        <v>5.9123718449726449E-2</v>
      </c>
      <c r="AC120">
        <f t="shared" ca="1" si="25"/>
        <v>5.8753015795942519E-2</v>
      </c>
      <c r="AD120">
        <f t="shared" ca="1" si="26"/>
        <v>5.8842881282430877E-2</v>
      </c>
      <c r="AE120">
        <f t="shared" ca="1" si="27"/>
        <v>5.8664928446564547E-2</v>
      </c>
      <c r="AF120">
        <f t="shared" ca="1" si="28"/>
        <v>5.7924317325800376E-2</v>
      </c>
      <c r="AG120">
        <f t="shared" ca="1" si="29"/>
        <v>5.7843983669646909E-2</v>
      </c>
      <c r="AH120">
        <f t="shared" ca="1" si="30"/>
        <v>5.8270980640039986E-2</v>
      </c>
      <c r="AI120">
        <f t="shared" ca="1" si="31"/>
        <v>5.794315730782211E-2</v>
      </c>
      <c r="AJ120">
        <f t="shared" ca="1" si="32"/>
        <v>5.733378174852681E-2</v>
      </c>
      <c r="AK120">
        <f t="shared" ca="1" si="33"/>
        <v>5.743801049109426E-2</v>
      </c>
      <c r="AL120">
        <f t="shared" ca="1" si="34"/>
        <v>5.8174977030436489E-2</v>
      </c>
      <c r="AM120">
        <f t="shared" ca="1" si="35"/>
        <v>5.7735909775755892E-2</v>
      </c>
      <c r="AN120">
        <f t="shared" ca="1" si="36"/>
        <v>5.6834153197470136E-2</v>
      </c>
      <c r="AO120">
        <f t="shared" ca="1" si="37"/>
        <v>5.6852393210873077E-2</v>
      </c>
      <c r="AP120">
        <f t="shared" ca="1" si="38"/>
        <v>5.6865504882684971E-2</v>
      </c>
      <c r="AQ120">
        <f t="shared" ca="1" si="39"/>
        <v>5.7322224829852143E-2</v>
      </c>
      <c r="AR120">
        <f t="shared" ca="1" si="40"/>
        <v>5.6909494219440894E-2</v>
      </c>
      <c r="AS120">
        <f t="shared" ca="1" si="41"/>
        <v>5.5916449393845657E-2</v>
      </c>
      <c r="AT120">
        <f t="shared" ca="1" si="42"/>
        <v>5.6374739350610666E-2</v>
      </c>
      <c r="AU120">
        <f t="shared" ca="1" si="43"/>
        <v>5.648439694295386E-2</v>
      </c>
      <c r="AV120">
        <f t="shared" ca="1" si="44"/>
        <v>5.6715496848322777E-2</v>
      </c>
    </row>
    <row r="121" spans="1:48" ht="16" x14ac:dyDescent="0.2">
      <c r="A121" t="e" vm="2634">
        <v>#VALUE!</v>
      </c>
      <c r="B121" s="23" t="str" cm="1">
        <f t="array" aca="1" ref="B121" ca="1">_FV(A121,"ticker symbol",TRUE)</f>
        <v>EEM</v>
      </c>
      <c r="C121" s="23" t="str" cm="1">
        <f t="array" aca="1" ref="C121" ca="1">_FV(A121,"Name")</f>
        <v>iShares:MSCI Em Mkts</v>
      </c>
      <c r="D121" cm="1" vm="2635">
        <f t="array" aca="1" ref="D121:Y121" ca="1">TRANSPOSE(_xlfn.STOCKHISTORY(B121, WORKDAY(TODAY(), -23), TODAY(), 0, 0, 1))</f>
        <v>53.85</v>
      </c>
      <c r="E121" vm="2636">
        <f ca="1"/>
        <v>53.11</v>
      </c>
      <c r="F121" vm="2637">
        <f ca="1"/>
        <v>53.1</v>
      </c>
      <c r="G121" vm="477">
        <f ca="1"/>
        <v>53.66</v>
      </c>
      <c r="H121" vm="2635">
        <f ca="1"/>
        <v>53.85</v>
      </c>
      <c r="I121" vm="2638">
        <f ca="1"/>
        <v>54.24</v>
      </c>
      <c r="J121" vm="2639">
        <f ca="1"/>
        <v>54.32</v>
      </c>
      <c r="K121" vm="2640">
        <f ca="1"/>
        <v>54.28</v>
      </c>
      <c r="L121" vm="2641">
        <f ca="1"/>
        <v>54.3</v>
      </c>
      <c r="M121" vm="2642">
        <f ca="1"/>
        <v>54.34</v>
      </c>
      <c r="N121" vm="2643">
        <f ca="1"/>
        <v>54.33</v>
      </c>
      <c r="O121" vm="2644">
        <f ca="1"/>
        <v>54.74</v>
      </c>
      <c r="P121" vm="2645">
        <f ca="1"/>
        <v>54.62</v>
      </c>
      <c r="Q121" vm="2646">
        <f ca="1"/>
        <v>54.53</v>
      </c>
      <c r="R121" vm="2647">
        <f ca="1"/>
        <v>55.14</v>
      </c>
      <c r="S121" vm="2648">
        <f ca="1"/>
        <v>54.88</v>
      </c>
      <c r="T121" vm="2638">
        <f ca="1"/>
        <v>54.24</v>
      </c>
      <c r="U121" vm="2649">
        <f ca="1"/>
        <v>54.08</v>
      </c>
      <c r="V121" vm="2650">
        <f ca="1"/>
        <v>52.98</v>
      </c>
      <c r="W121" vm="2651">
        <f ca="1"/>
        <v>52.6</v>
      </c>
      <c r="X121" vm="2652">
        <f ca="1"/>
        <v>53.2</v>
      </c>
      <c r="Y121" vm="73">
        <f ca="1"/>
        <v>53.72</v>
      </c>
      <c r="AA121">
        <f t="shared" ca="1" si="23"/>
        <v>8.1267072121696871E-2</v>
      </c>
      <c r="AB121">
        <f t="shared" ca="1" si="24"/>
        <v>8.1390893905261066E-2</v>
      </c>
      <c r="AC121">
        <f t="shared" ca="1" si="25"/>
        <v>8.0572963294538946E-2</v>
      </c>
      <c r="AD121">
        <f t="shared" ca="1" si="26"/>
        <v>8.0241652086791376E-2</v>
      </c>
      <c r="AE121">
        <f t="shared" ca="1" si="27"/>
        <v>7.9775414061805577E-2</v>
      </c>
      <c r="AF121">
        <f t="shared" ca="1" si="28"/>
        <v>7.9802259887005664E-2</v>
      </c>
      <c r="AG121">
        <f t="shared" ca="1" si="29"/>
        <v>7.9486091397298758E-2</v>
      </c>
      <c r="AH121">
        <f t="shared" ca="1" si="30"/>
        <v>7.9791847354726803E-2</v>
      </c>
      <c r="AI121">
        <f t="shared" ca="1" si="31"/>
        <v>7.9673675406805269E-2</v>
      </c>
      <c r="AJ121">
        <f t="shared" ca="1" si="32"/>
        <v>7.9457222652765808E-2</v>
      </c>
      <c r="AK121">
        <f t="shared" ca="1" si="33"/>
        <v>7.9384561434269932E-2</v>
      </c>
      <c r="AL121">
        <f t="shared" ca="1" si="34"/>
        <v>7.9831994049789259E-2</v>
      </c>
      <c r="AM121">
        <f t="shared" ca="1" si="35"/>
        <v>7.9897020318008272E-2</v>
      </c>
      <c r="AN121">
        <f t="shared" ca="1" si="36"/>
        <v>7.9834270320918249E-2</v>
      </c>
      <c r="AO121">
        <f t="shared" ca="1" si="37"/>
        <v>8.0195471006588415E-2</v>
      </c>
      <c r="AP121">
        <f t="shared" ca="1" si="38"/>
        <v>7.9632021126862754E-2</v>
      </c>
      <c r="AQ121">
        <f t="shared" ca="1" si="39"/>
        <v>7.9558789016662759E-2</v>
      </c>
      <c r="AR121">
        <f t="shared" ca="1" si="40"/>
        <v>7.9444126158682585E-2</v>
      </c>
      <c r="AS121">
        <f t="shared" ca="1" si="41"/>
        <v>7.8041451235140738E-2</v>
      </c>
      <c r="AT121">
        <f t="shared" ca="1" si="42"/>
        <v>7.834375930890676E-2</v>
      </c>
      <c r="AU121">
        <f t="shared" ca="1" si="43"/>
        <v>7.8643546646562298E-2</v>
      </c>
      <c r="AV121">
        <f t="shared" ca="1" si="44"/>
        <v>7.893151530289895E-2</v>
      </c>
    </row>
    <row r="122" spans="1:48" ht="16" x14ac:dyDescent="0.2">
      <c r="A122" t="e" vm="2653">
        <v>#VALUE!</v>
      </c>
      <c r="B122" s="23" t="str" cm="1">
        <f t="array" aca="1" ref="B122" ca="1">_FV(A122,"ticker symbol",TRUE)</f>
        <v>EWJ</v>
      </c>
      <c r="C122" s="23" t="str" cm="1">
        <f t="array" aca="1" ref="C122" ca="1">_FV(A122,"Name")</f>
        <v>iShares:MSCI Japan</v>
      </c>
      <c r="D122" cm="1" vm="2654">
        <f t="array" aca="1" ref="D122:Y122" ca="1">TRANSPOSE(_xlfn.STOCKHISTORY(B122, WORKDAY(TODAY(), -23), TODAY(), 0, 0, 1))</f>
        <v>80.680000000000007</v>
      </c>
      <c r="E122" vm="2655">
        <f ca="1"/>
        <v>79.489999999999995</v>
      </c>
      <c r="F122" vm="2656">
        <f ca="1"/>
        <v>81.19</v>
      </c>
      <c r="G122" vm="2657">
        <f ca="1"/>
        <v>81.739999999999995</v>
      </c>
      <c r="H122" vm="2658">
        <f ca="1"/>
        <v>81.92</v>
      </c>
      <c r="I122" vm="2659">
        <f ca="1"/>
        <v>83.26</v>
      </c>
      <c r="J122" vm="2660">
        <f ca="1"/>
        <v>83.01</v>
      </c>
      <c r="K122" vm="2661">
        <f ca="1"/>
        <v>82.53</v>
      </c>
      <c r="L122" vm="2662">
        <f ca="1"/>
        <v>82.47</v>
      </c>
      <c r="M122" vm="2663">
        <f ca="1"/>
        <v>82.61</v>
      </c>
      <c r="N122" vm="2664">
        <f ca="1"/>
        <v>83.62</v>
      </c>
      <c r="O122" vm="2665">
        <f ca="1"/>
        <v>83.7</v>
      </c>
      <c r="P122" vm="2666">
        <f ca="1"/>
        <v>83.19</v>
      </c>
      <c r="Q122" vm="2667">
        <f ca="1"/>
        <v>83.31</v>
      </c>
      <c r="R122" vm="2668">
        <f ca="1"/>
        <v>83.91</v>
      </c>
      <c r="S122" vm="2669">
        <f ca="1"/>
        <v>84.22</v>
      </c>
      <c r="T122" vm="2670">
        <f ca="1"/>
        <v>84</v>
      </c>
      <c r="U122" vm="2671">
        <f ca="1"/>
        <v>84.87</v>
      </c>
      <c r="V122" vm="2672">
        <f ca="1"/>
        <v>80.849999999999994</v>
      </c>
      <c r="W122" vm="2673">
        <f ca="1"/>
        <v>79.739999999999995</v>
      </c>
      <c r="X122" vm="2674">
        <f ca="1"/>
        <v>79.97</v>
      </c>
      <c r="Y122" vm="75">
        <f ca="1"/>
        <v>80.58</v>
      </c>
      <c r="AA122">
        <f t="shared" ca="1" si="23"/>
        <v>0.12175724008873731</v>
      </c>
      <c r="AB122">
        <f t="shared" ca="1" si="24"/>
        <v>0.12181815395460745</v>
      </c>
      <c r="AC122">
        <f t="shared" ca="1" si="25"/>
        <v>0.12319621261551067</v>
      </c>
      <c r="AD122">
        <f t="shared" ca="1" si="26"/>
        <v>0.12223169291044217</v>
      </c>
      <c r="AE122">
        <f t="shared" ca="1" si="27"/>
        <v>0.12135936712986282</v>
      </c>
      <c r="AF122">
        <f t="shared" ca="1" si="28"/>
        <v>0.12249882297551791</v>
      </c>
      <c r="AG122">
        <f t="shared" ca="1" si="29"/>
        <v>0.12146797582639489</v>
      </c>
      <c r="AH122">
        <f t="shared" ca="1" si="30"/>
        <v>0.12131947609037588</v>
      </c>
      <c r="AI122">
        <f t="shared" ca="1" si="31"/>
        <v>0.12100714568691033</v>
      </c>
      <c r="AJ122">
        <f t="shared" ca="1" si="32"/>
        <v>0.12079427978183627</v>
      </c>
      <c r="AK122">
        <f t="shared" ca="1" si="33"/>
        <v>0.1221817969286518</v>
      </c>
      <c r="AL122">
        <f t="shared" ca="1" si="34"/>
        <v>0.12206682319998832</v>
      </c>
      <c r="AM122">
        <f t="shared" ca="1" si="35"/>
        <v>0.12168863273993241</v>
      </c>
      <c r="AN122">
        <f t="shared" ca="1" si="36"/>
        <v>0.12196943078004217</v>
      </c>
      <c r="AO122">
        <f t="shared" ca="1" si="37"/>
        <v>0.12203848335442208</v>
      </c>
      <c r="AP122">
        <f t="shared" ca="1" si="38"/>
        <v>0.12220497119723726</v>
      </c>
      <c r="AQ122">
        <f t="shared" ca="1" si="39"/>
        <v>0.12321051396385825</v>
      </c>
      <c r="AR122">
        <f t="shared" ca="1" si="40"/>
        <v>0.12467498127010709</v>
      </c>
      <c r="AS122">
        <f t="shared" ca="1" si="41"/>
        <v>0.11909496663573289</v>
      </c>
      <c r="AT122">
        <f t="shared" ca="1" si="42"/>
        <v>0.11876675603217157</v>
      </c>
      <c r="AU122">
        <f t="shared" ca="1" si="43"/>
        <v>0.11821662453619525</v>
      </c>
      <c r="AV122">
        <f t="shared" ca="1" si="44"/>
        <v>0.11839727295434843</v>
      </c>
    </row>
    <row r="123" spans="1:48" ht="16" x14ac:dyDescent="0.2">
      <c r="A123" t="e" vm="2675">
        <v>#VALUE!</v>
      </c>
      <c r="B123" s="23" t="str" cm="1">
        <f t="array" aca="1" ref="B123" ca="1">_FV(A123,"ticker symbol",TRUE)</f>
        <v>EWU</v>
      </c>
      <c r="C123" s="23" t="str" cm="1">
        <f t="array" aca="1" ref="C123" ca="1">_FV(A123,"Name")</f>
        <v>iShares:MSCI UK</v>
      </c>
      <c r="D123" cm="1" vm="2676">
        <f t="array" aca="1" ref="D123:Y123" ca="1">TRANSPOSE(_xlfn.STOCKHISTORY(B123, WORKDAY(TODAY(), -23), TODAY(), 0, 0, 1))</f>
        <v>41.73</v>
      </c>
      <c r="E123" vm="2677">
        <f ca="1"/>
        <v>41.34</v>
      </c>
      <c r="F123" vm="2678">
        <f ca="1"/>
        <v>42.06</v>
      </c>
      <c r="G123" vm="2679">
        <f ca="1"/>
        <v>41.92</v>
      </c>
      <c r="H123" vm="2680">
        <f ca="1"/>
        <v>42.52</v>
      </c>
      <c r="I123" vm="2681">
        <f ca="1"/>
        <v>42.99</v>
      </c>
      <c r="J123" vm="2682">
        <f ca="1"/>
        <v>43.15</v>
      </c>
      <c r="K123" vm="1363">
        <f ca="1"/>
        <v>42.93</v>
      </c>
      <c r="L123" vm="2683">
        <f ca="1"/>
        <v>43.01</v>
      </c>
      <c r="M123" vm="2684">
        <f ca="1"/>
        <v>43.46</v>
      </c>
      <c r="N123" vm="2685">
        <f ca="1"/>
        <v>43.42</v>
      </c>
      <c r="O123" vm="607">
        <f ca="1"/>
        <v>43.22</v>
      </c>
      <c r="P123" vm="2686">
        <f ca="1"/>
        <v>43.08</v>
      </c>
      <c r="Q123" vm="2687">
        <f ca="1"/>
        <v>42.88</v>
      </c>
      <c r="R123" vm="2684">
        <f ca="1"/>
        <v>43.46</v>
      </c>
      <c r="S123" vm="2688">
        <f ca="1"/>
        <v>43.65</v>
      </c>
      <c r="T123" vm="2689">
        <f ca="1"/>
        <v>43.28</v>
      </c>
      <c r="U123" vm="2690">
        <f ca="1"/>
        <v>43.75</v>
      </c>
      <c r="V123" vm="604">
        <f ca="1"/>
        <v>42.73</v>
      </c>
      <c r="W123" vm="2691">
        <f ca="1"/>
        <v>42.94</v>
      </c>
      <c r="X123" vm="2692">
        <f ca="1"/>
        <v>43.13</v>
      </c>
      <c r="Y123" vm="77">
        <f ca="1"/>
        <v>43.54</v>
      </c>
      <c r="AA123">
        <f t="shared" ca="1" si="23"/>
        <v>6.2976321627454229E-2</v>
      </c>
      <c r="AB123">
        <f t="shared" ca="1" si="24"/>
        <v>6.335340903866489E-2</v>
      </c>
      <c r="AC123">
        <f t="shared" ca="1" si="25"/>
        <v>6.3821070360985097E-2</v>
      </c>
      <c r="AD123">
        <f t="shared" ca="1" si="26"/>
        <v>6.2685986870635382E-2</v>
      </c>
      <c r="AE123">
        <f t="shared" ca="1" si="27"/>
        <v>6.2990726200705172E-2</v>
      </c>
      <c r="AF123">
        <f t="shared" ca="1" si="28"/>
        <v>6.3250353107344642E-2</v>
      </c>
      <c r="AG123">
        <f t="shared" ca="1" si="29"/>
        <v>6.3141105371749662E-2</v>
      </c>
      <c r="AH123">
        <f t="shared" ca="1" si="30"/>
        <v>6.3107295632616467E-2</v>
      </c>
      <c r="AI123">
        <f t="shared" ca="1" si="31"/>
        <v>6.3108006984285356E-2</v>
      </c>
      <c r="AJ123">
        <f t="shared" ca="1" si="32"/>
        <v>6.354823144072877E-2</v>
      </c>
      <c r="AK123">
        <f t="shared" ca="1" si="33"/>
        <v>6.3443358319087068E-2</v>
      </c>
      <c r="AL123">
        <f t="shared" ca="1" si="34"/>
        <v>6.3031399028715587E-2</v>
      </c>
      <c r="AM123">
        <f t="shared" ca="1" si="35"/>
        <v>6.3016544036979066E-2</v>
      </c>
      <c r="AN123">
        <f t="shared" ca="1" si="36"/>
        <v>6.2778168189271497E-2</v>
      </c>
      <c r="AO123">
        <f t="shared" ca="1" si="37"/>
        <v>6.3208109719737629E-2</v>
      </c>
      <c r="AP123">
        <f t="shared" ca="1" si="38"/>
        <v>6.3337057620035692E-2</v>
      </c>
      <c r="AQ123">
        <f t="shared" ca="1" si="39"/>
        <v>6.3482750528045057E-2</v>
      </c>
      <c r="AR123">
        <f t="shared" ca="1" si="40"/>
        <v>6.4269240374304051E-2</v>
      </c>
      <c r="AS123">
        <f t="shared" ca="1" si="41"/>
        <v>6.2942831469942701E-2</v>
      </c>
      <c r="AT123">
        <f t="shared" ca="1" si="42"/>
        <v>6.3955913017575208E-2</v>
      </c>
      <c r="AU123">
        <f t="shared" ca="1" si="43"/>
        <v>6.3757446745605864E-2</v>
      </c>
      <c r="AV123">
        <f t="shared" ca="1" si="44"/>
        <v>6.397390499419621E-2</v>
      </c>
    </row>
    <row r="124" spans="1:48" ht="16" x14ac:dyDescent="0.2">
      <c r="A124" t="e" vm="2693">
        <v>#VALUE!</v>
      </c>
      <c r="B124" s="23" t="str" cm="1">
        <f t="array" aca="1" ref="B124" ca="1">_FV(A124,"ticker symbol",TRUE)</f>
        <v>EWZ</v>
      </c>
      <c r="C124" s="23" t="str" cm="1">
        <f t="array" aca="1" ref="C124" ca="1">_FV(A124,"Name")</f>
        <v>iShares:MSCI Brazil</v>
      </c>
      <c r="D124" cm="1" vm="2694">
        <f t="array" aca="1" ref="D124:Y124" ca="1">TRANSPOSE(_xlfn.STOCKHISTORY(B124, WORKDAY(TODAY(), -23), TODAY(), 0, 0, 1))</f>
        <v>32.49</v>
      </c>
      <c r="E124" vm="2695">
        <f ca="1"/>
        <v>31.9</v>
      </c>
      <c r="F124" vm="2696">
        <f ca="1"/>
        <v>32.03</v>
      </c>
      <c r="G124" vm="2697">
        <f ca="1"/>
        <v>32.200000000000003</v>
      </c>
      <c r="H124" vm="2698">
        <f ca="1"/>
        <v>32.549999999999997</v>
      </c>
      <c r="I124" vm="2699">
        <f ca="1"/>
        <v>33.47</v>
      </c>
      <c r="J124" vm="2374">
        <f ca="1"/>
        <v>33.61</v>
      </c>
      <c r="K124" vm="2700">
        <f ca="1"/>
        <v>33.4</v>
      </c>
      <c r="L124" vm="2701">
        <f ca="1"/>
        <v>34.03</v>
      </c>
      <c r="M124" vm="2702">
        <f ca="1"/>
        <v>34.200000000000003</v>
      </c>
      <c r="N124" vm="2703">
        <f ca="1"/>
        <v>34.72</v>
      </c>
      <c r="O124" vm="2704">
        <f ca="1"/>
        <v>32.53</v>
      </c>
      <c r="P124" vm="2705">
        <f ca="1"/>
        <v>32.75</v>
      </c>
      <c r="Q124" vm="2706">
        <f ca="1"/>
        <v>32.74</v>
      </c>
      <c r="R124" vm="2707">
        <f ca="1"/>
        <v>32.770000000000003</v>
      </c>
      <c r="S124" vm="2708">
        <f ca="1"/>
        <v>33.159999999999997</v>
      </c>
      <c r="T124" vm="2709">
        <f ca="1"/>
        <v>33.32</v>
      </c>
      <c r="U124" vm="2710">
        <f ca="1"/>
        <v>33.58</v>
      </c>
      <c r="V124" vm="2711">
        <f ca="1"/>
        <v>31.6</v>
      </c>
      <c r="W124" vm="2712">
        <f ca="1"/>
        <v>31</v>
      </c>
      <c r="X124" vm="79">
        <f ca="1"/>
        <v>31.17</v>
      </c>
      <c r="Y124" vm="79">
        <f ca="1"/>
        <v>31.17</v>
      </c>
      <c r="AA124">
        <f t="shared" ca="1" si="23"/>
        <v>4.9031888082338562E-2</v>
      </c>
      <c r="AB124">
        <f t="shared" ca="1" si="24"/>
        <v>4.8886641227223269E-2</v>
      </c>
      <c r="AC124">
        <f t="shared" ca="1" si="25"/>
        <v>4.8601732849794396E-2</v>
      </c>
      <c r="AD124">
        <f t="shared" ca="1" si="26"/>
        <v>4.8150972739371647E-2</v>
      </c>
      <c r="AE124">
        <f t="shared" ca="1" si="27"/>
        <v>4.822079345797161E-2</v>
      </c>
      <c r="AF124">
        <f t="shared" ca="1" si="28"/>
        <v>4.9243761770244823E-2</v>
      </c>
      <c r="AG124">
        <f t="shared" ca="1" si="29"/>
        <v>4.9181287405434669E-2</v>
      </c>
      <c r="AH124">
        <f t="shared" ca="1" si="30"/>
        <v>4.9098152204271835E-2</v>
      </c>
      <c r="AI124">
        <f t="shared" ca="1" si="31"/>
        <v>4.9931771161944451E-2</v>
      </c>
      <c r="AJ124">
        <f t="shared" ca="1" si="32"/>
        <v>5.0008042229013443E-2</v>
      </c>
      <c r="AK124">
        <f t="shared" ca="1" si="33"/>
        <v>5.0731308172240974E-2</v>
      </c>
      <c r="AL124">
        <f t="shared" ca="1" si="34"/>
        <v>4.7441263544750541E-2</v>
      </c>
      <c r="AM124">
        <f t="shared" ca="1" si="35"/>
        <v>4.7906031040182553E-2</v>
      </c>
      <c r="AN124">
        <f t="shared" ca="1" si="36"/>
        <v>4.7932771140782392E-2</v>
      </c>
      <c r="AO124">
        <f t="shared" ca="1" si="37"/>
        <v>4.7660601829631895E-2</v>
      </c>
      <c r="AP124">
        <f t="shared" ca="1" si="38"/>
        <v>4.8115849500123334E-2</v>
      </c>
      <c r="AQ124">
        <f t="shared" ca="1" si="39"/>
        <v>4.8873503872330443E-2</v>
      </c>
      <c r="AR124">
        <f t="shared" ca="1" si="40"/>
        <v>4.9329396383294401E-2</v>
      </c>
      <c r="AS124">
        <f t="shared" ca="1" si="41"/>
        <v>4.65479399590496E-2</v>
      </c>
      <c r="AT124">
        <f t="shared" ca="1" si="42"/>
        <v>4.6172177539469769E-2</v>
      </c>
      <c r="AU124">
        <f t="shared" ca="1" si="43"/>
        <v>4.6077431371679453E-2</v>
      </c>
      <c r="AV124">
        <f t="shared" ca="1" si="44"/>
        <v>4.5798498361715574E-2</v>
      </c>
    </row>
    <row r="125" spans="1:48" ht="16" x14ac:dyDescent="0.2">
      <c r="A125" t="e" vm="2713">
        <v>#VALUE!</v>
      </c>
      <c r="B125" s="23" t="str" cm="1">
        <f t="array" aca="1" ref="B125" ca="1">_FV(A125,"ticker symbol",TRUE)</f>
        <v>EWG</v>
      </c>
      <c r="C125" s="23" t="str" cm="1">
        <f t="array" aca="1" ref="C125" ca="1">_FV(A125,"Name")</f>
        <v>iShares:MSCI Germany</v>
      </c>
      <c r="D125" t="e" cm="1" vm="2521">
        <f t="array" aca="1" ref="D125:Z125" ca="1">TRANSPOSE(_xlfn.STOCKHISTORY(B125, WORKDAY(TODAY(), -23), TODAY(), 0, 0, 1))</f>
        <v>#N/A</v>
      </c>
      <c r="E125" t="e" vm="2521">
        <f ca="1"/>
        <v>#N/A</v>
      </c>
      <c r="F125" t="e" vm="2521">
        <f ca="1"/>
        <v>#N/A</v>
      </c>
      <c r="G125" t="e" vm="2521">
        <f ca="1"/>
        <v>#N/A</v>
      </c>
      <c r="H125" t="e" vm="2521">
        <f ca="1"/>
        <v>#N/A</v>
      </c>
      <c r="I125" t="e" vm="2521">
        <f ca="1"/>
        <v>#N/A</v>
      </c>
      <c r="J125" t="e" vm="2521">
        <f ca="1"/>
        <v>#N/A</v>
      </c>
      <c r="K125" t="e" vm="2521">
        <f ca="1"/>
        <v>#N/A</v>
      </c>
      <c r="L125" vm="2714">
        <f ca="1"/>
        <v>40.520000000000003</v>
      </c>
      <c r="M125" vm="2715">
        <f ca="1"/>
        <v>40.89</v>
      </c>
      <c r="N125" vm="2716">
        <f ca="1"/>
        <v>40.950000000000003</v>
      </c>
      <c r="O125" vm="2717">
        <f ca="1"/>
        <v>41.14</v>
      </c>
      <c r="P125" vm="2718">
        <f ca="1"/>
        <v>41.41</v>
      </c>
      <c r="Q125" vm="2677">
        <f ca="1"/>
        <v>41.34</v>
      </c>
      <c r="R125" vm="2719">
        <f ca="1"/>
        <v>41.53</v>
      </c>
      <c r="S125" vm="81">
        <f ca="1"/>
        <v>41.94</v>
      </c>
      <c r="T125" vm="2720">
        <f ca="1"/>
        <v>42.39</v>
      </c>
      <c r="U125" vm="2721">
        <f ca="1"/>
        <v>42.18</v>
      </c>
      <c r="V125" vm="2722">
        <f ca="1"/>
        <v>42.1</v>
      </c>
      <c r="W125" vm="2723">
        <f ca="1"/>
        <v>42.03</v>
      </c>
      <c r="X125" vm="2724">
        <f ca="1"/>
        <v>41.61</v>
      </c>
      <c r="Y125" vm="81">
        <f ca="1"/>
        <v>41.94</v>
      </c>
      <c r="Z125" vm="2722">
        <f ca="1"/>
        <v>42.1</v>
      </c>
      <c r="AA125" t="e" vm="46">
        <f t="shared" ca="1" si="23"/>
        <v>#N/A</v>
      </c>
      <c r="AB125" t="e" vm="46">
        <f t="shared" ca="1" si="24"/>
        <v>#N/A</v>
      </c>
      <c r="AC125" t="e" vm="46">
        <f t="shared" ca="1" si="25"/>
        <v>#N/A</v>
      </c>
      <c r="AD125" t="e" vm="46">
        <f t="shared" ca="1" si="26"/>
        <v>#N/A</v>
      </c>
      <c r="AE125" t="e" vm="46">
        <f t="shared" ca="1" si="27"/>
        <v>#N/A</v>
      </c>
      <c r="AF125" t="e" vm="46">
        <f t="shared" ca="1" si="28"/>
        <v>#N/A</v>
      </c>
      <c r="AG125" t="e" vm="46">
        <f t="shared" ca="1" si="29"/>
        <v>#N/A</v>
      </c>
      <c r="AH125" t="e" vm="46">
        <f t="shared" ca="1" si="30"/>
        <v>#N/A</v>
      </c>
      <c r="AI125">
        <f t="shared" ca="1" si="31"/>
        <v>5.9454462752923577E-2</v>
      </c>
      <c r="AJ125">
        <f t="shared" ca="1" si="32"/>
        <v>5.9790317156267821E-2</v>
      </c>
      <c r="AK125">
        <f t="shared" ca="1" si="33"/>
        <v>5.9834305001534221E-2</v>
      </c>
      <c r="AL125">
        <f t="shared" ca="1" si="34"/>
        <v>5.9997958261021743E-2</v>
      </c>
      <c r="AM125">
        <f t="shared" ca="1" si="35"/>
        <v>6.057370214882319E-2</v>
      </c>
      <c r="AN125">
        <f t="shared" ca="1" si="36"/>
        <v>6.0523541813070986E-2</v>
      </c>
      <c r="AO125">
        <f t="shared" ca="1" si="37"/>
        <v>6.0401122794769987E-2</v>
      </c>
      <c r="AP125">
        <f t="shared" ca="1" si="38"/>
        <v>6.0855812063786874E-2</v>
      </c>
      <c r="AQ125">
        <f t="shared" ca="1" si="39"/>
        <v>6.2177305796761326E-2</v>
      </c>
      <c r="AR125">
        <f t="shared" ca="1" si="40"/>
        <v>6.1962892776871885E-2</v>
      </c>
      <c r="AS125">
        <f t="shared" ca="1" si="41"/>
        <v>6.2014818742911017E-2</v>
      </c>
      <c r="AT125">
        <f t="shared" ca="1" si="42"/>
        <v>6.2600536193029493E-2</v>
      </c>
      <c r="AU125">
        <f t="shared" ca="1" si="43"/>
        <v>6.1510488269989796E-2</v>
      </c>
      <c r="AV125">
        <f t="shared" ca="1" si="44"/>
        <v>6.1623003570431531E-2</v>
      </c>
    </row>
    <row r="126" spans="1:48" ht="16" x14ac:dyDescent="0.2">
      <c r="A126" t="e" vm="2725">
        <v>#VALUE!</v>
      </c>
      <c r="B126" s="23" t="str" cm="1">
        <f t="array" aca="1" ref="B126" ca="1">_FV(A126,"ticker symbol",TRUE)</f>
        <v>EWT</v>
      </c>
      <c r="C126" s="23" t="str" cm="1">
        <f t="array" aca="1" ref="C126" ca="1">_FV(A126,"Name")</f>
        <v>iShares:MSCI Taiwan</v>
      </c>
      <c r="D126" cm="1" vm="2726">
        <f t="array" aca="1" ref="D126:Y126" ca="1">TRANSPOSE(_xlfn.STOCKHISTORY(B126, WORKDAY(TODAY(), -23), TODAY(), 0, 0, 1))</f>
        <v>62.5</v>
      </c>
      <c r="E126" vm="2727">
        <f ca="1"/>
        <v>61.68</v>
      </c>
      <c r="F126" vm="2728">
        <f ca="1"/>
        <v>61.8</v>
      </c>
      <c r="G126" vm="2729">
        <f ca="1"/>
        <v>62.51</v>
      </c>
      <c r="H126" vm="2730">
        <f ca="1"/>
        <v>62.8</v>
      </c>
      <c r="I126" vm="2731">
        <f ca="1"/>
        <v>63.66</v>
      </c>
      <c r="J126" vm="2732">
        <f ca="1"/>
        <v>64.510000000000005</v>
      </c>
      <c r="K126" vm="2733">
        <f ca="1"/>
        <v>64.13</v>
      </c>
      <c r="L126" vm="2734">
        <f ca="1"/>
        <v>64.63</v>
      </c>
      <c r="M126" vm="2735">
        <f ca="1"/>
        <v>64.849999999999994</v>
      </c>
      <c r="N126" vm="2732">
        <f ca="1"/>
        <v>64.510000000000005</v>
      </c>
      <c r="O126" vm="2736">
        <f ca="1"/>
        <v>65.349999999999994</v>
      </c>
      <c r="P126" vm="2737">
        <f ca="1"/>
        <v>65.569999999999993</v>
      </c>
      <c r="Q126" vm="2738">
        <f ca="1"/>
        <v>65.72</v>
      </c>
      <c r="R126" vm="2739">
        <f ca="1"/>
        <v>66.8</v>
      </c>
      <c r="S126" vm="2740">
        <f ca="1"/>
        <v>65.92</v>
      </c>
      <c r="T126" vm="2741">
        <f ca="1"/>
        <v>64.099999999999994</v>
      </c>
      <c r="U126" vm="2742">
        <f ca="1"/>
        <v>64.11</v>
      </c>
      <c r="V126" vm="2743">
        <f ca="1"/>
        <v>61.12</v>
      </c>
      <c r="W126" vm="2744">
        <f ca="1"/>
        <v>60.03</v>
      </c>
      <c r="X126" vm="2745">
        <f ca="1"/>
        <v>60.87</v>
      </c>
      <c r="Y126" vm="83">
        <f ca="1"/>
        <v>61.64</v>
      </c>
      <c r="AA126">
        <f t="shared" ca="1" si="23"/>
        <v>9.432111434737335E-2</v>
      </c>
      <c r="AB126">
        <f t="shared" ca="1" si="24"/>
        <v>9.4524389683232957E-2</v>
      </c>
      <c r="AC126">
        <f t="shared" ca="1" si="25"/>
        <v>9.3774183269350414E-2</v>
      </c>
      <c r="AD126">
        <f t="shared" ca="1" si="26"/>
        <v>9.3475692730997553E-2</v>
      </c>
      <c r="AE126">
        <f t="shared" ca="1" si="27"/>
        <v>9.303428046576398E-2</v>
      </c>
      <c r="AF126">
        <f t="shared" ca="1" si="28"/>
        <v>9.3661723163841804E-2</v>
      </c>
      <c r="AG126">
        <f t="shared" ca="1" si="29"/>
        <v>9.4397050000731661E-2</v>
      </c>
      <c r="AH126">
        <f t="shared" ca="1" si="30"/>
        <v>9.4271392241315949E-2</v>
      </c>
      <c r="AI126">
        <f t="shared" ca="1" si="31"/>
        <v>9.4830748463017034E-2</v>
      </c>
      <c r="AJ126">
        <f t="shared" ca="1" si="32"/>
        <v>9.4825191185717E-2</v>
      </c>
      <c r="AK126">
        <f t="shared" ca="1" si="33"/>
        <v>9.4259121261269174E-2</v>
      </c>
      <c r="AL126">
        <f t="shared" ca="1" si="34"/>
        <v>9.5305458734996851E-2</v>
      </c>
      <c r="AM126">
        <f t="shared" ca="1" si="35"/>
        <v>9.5914456650527322E-2</v>
      </c>
      <c r="AN126">
        <f t="shared" ca="1" si="36"/>
        <v>9.6216912625907716E-2</v>
      </c>
      <c r="AO126">
        <f t="shared" ca="1" si="37"/>
        <v>9.7153744346030205E-2</v>
      </c>
      <c r="AP126">
        <f t="shared" ca="1" si="38"/>
        <v>9.5651290682995493E-2</v>
      </c>
      <c r="AQ126">
        <f t="shared" ca="1" si="39"/>
        <v>9.4021356489087063E-2</v>
      </c>
      <c r="AR126">
        <f t="shared" ca="1" si="40"/>
        <v>9.417830858049446E-2</v>
      </c>
      <c r="AS126">
        <f t="shared" ca="1" si="41"/>
        <v>9.0031964882819976E-2</v>
      </c>
      <c r="AT126">
        <f t="shared" ca="1" si="42"/>
        <v>8.9410187667560329E-2</v>
      </c>
      <c r="AU126">
        <f t="shared" ca="1" si="43"/>
        <v>8.9981817375493364E-2</v>
      </c>
      <c r="AV126">
        <f t="shared" ca="1" si="44"/>
        <v>9.0568477350534096E-2</v>
      </c>
    </row>
    <row r="127" spans="1:48" ht="16" x14ac:dyDescent="0.2">
      <c r="A127" t="e" vm="2746">
        <v>#VALUE!</v>
      </c>
      <c r="B127" s="23" t="str" cm="1">
        <f t="array" aca="1" ref="B127" ca="1">_FV(A127,"ticker symbol",TRUE)</f>
        <v>EWH</v>
      </c>
      <c r="C127" s="23" t="str" cm="1">
        <f t="array" aca="1" ref="C127" ca="1">_FV(A127,"Name")</f>
        <v>iShares:MSCI Hong Kong</v>
      </c>
      <c r="D127" cm="1" vm="2287">
        <f t="array" aca="1" ref="D127:Y127" ca="1">TRANSPOSE(_xlfn.STOCKHISTORY(B127, WORKDAY(TODAY(), -23), TODAY(), 0, 0, 1))</f>
        <v>21.89</v>
      </c>
      <c r="E127" vm="2747">
        <f ca="1"/>
        <v>21.64</v>
      </c>
      <c r="F127" vm="2748">
        <f ca="1"/>
        <v>21.7</v>
      </c>
      <c r="G127" vm="2297">
        <f ca="1"/>
        <v>22.13</v>
      </c>
      <c r="H127" vm="2749">
        <f ca="1"/>
        <v>22.15</v>
      </c>
      <c r="I127" vm="2750">
        <f ca="1"/>
        <v>22.16</v>
      </c>
      <c r="J127" vm="2288">
        <f ca="1"/>
        <v>22.24</v>
      </c>
      <c r="K127" vm="2751">
        <f ca="1"/>
        <v>22.26</v>
      </c>
      <c r="L127" vm="2295">
        <f ca="1"/>
        <v>22.18</v>
      </c>
      <c r="M127" vm="2293">
        <f ca="1"/>
        <v>22.23</v>
      </c>
      <c r="N127" vm="2439">
        <f ca="1"/>
        <v>22.08</v>
      </c>
      <c r="O127" vm="2752">
        <f ca="1"/>
        <v>22.05</v>
      </c>
      <c r="P127" vm="2753">
        <f ca="1"/>
        <v>21.82</v>
      </c>
      <c r="Q127" vm="2754">
        <f ca="1"/>
        <v>21.69</v>
      </c>
      <c r="R127" vm="2753">
        <f ca="1"/>
        <v>21.82</v>
      </c>
      <c r="S127" vm="2755">
        <f ca="1"/>
        <v>21.91</v>
      </c>
      <c r="T127" vm="2756">
        <f ca="1"/>
        <v>21.87</v>
      </c>
      <c r="U127" vm="2757">
        <f ca="1"/>
        <v>22.02</v>
      </c>
      <c r="V127" vm="2758">
        <f ca="1"/>
        <v>21.14</v>
      </c>
      <c r="W127" vm="2759">
        <f ca="1"/>
        <v>21.07</v>
      </c>
      <c r="X127" vm="2760">
        <f ca="1"/>
        <v>21.44</v>
      </c>
      <c r="Y127" vm="85">
        <f ca="1"/>
        <v>21.61</v>
      </c>
      <c r="AA127">
        <f t="shared" ca="1" si="23"/>
        <v>3.303502708902404E-2</v>
      </c>
      <c r="AB127">
        <f t="shared" ca="1" si="24"/>
        <v>3.3163226211821682E-2</v>
      </c>
      <c r="AC127">
        <f t="shared" ca="1" si="25"/>
        <v>3.2927180856713652E-2</v>
      </c>
      <c r="AD127">
        <f t="shared" ca="1" si="26"/>
        <v>3.3092578469636473E-2</v>
      </c>
      <c r="AE127">
        <f t="shared" ca="1" si="27"/>
        <v>3.2813842552813249E-2</v>
      </c>
      <c r="AF127">
        <f t="shared" ca="1" si="28"/>
        <v>3.2603578154425612E-2</v>
      </c>
      <c r="AG127">
        <f t="shared" ca="1" si="29"/>
        <v>3.2543642722310834E-2</v>
      </c>
      <c r="AH127">
        <f t="shared" ca="1" si="30"/>
        <v>3.2722301439134467E-2</v>
      </c>
      <c r="AI127">
        <f t="shared" ca="1" si="31"/>
        <v>3.2544422109078104E-2</v>
      </c>
      <c r="AJ127">
        <f t="shared" ca="1" si="32"/>
        <v>3.2505227448858733E-2</v>
      </c>
      <c r="AK127">
        <f t="shared" ca="1" si="33"/>
        <v>3.2262306579581818E-2</v>
      </c>
      <c r="AL127">
        <f t="shared" ca="1" si="34"/>
        <v>3.2157388907523808E-2</v>
      </c>
      <c r="AM127">
        <f t="shared" ca="1" si="35"/>
        <v>3.1917850299138427E-2</v>
      </c>
      <c r="AN127">
        <f t="shared" ca="1" si="36"/>
        <v>3.1755094869992978E-2</v>
      </c>
      <c r="AO127">
        <f t="shared" ca="1" si="37"/>
        <v>3.1734950623209274E-2</v>
      </c>
      <c r="AP127">
        <f t="shared" ca="1" si="38"/>
        <v>3.1791865577433728E-2</v>
      </c>
      <c r="AQ127">
        <f t="shared" ca="1" si="39"/>
        <v>3.2078737385590236E-2</v>
      </c>
      <c r="AR127">
        <f t="shared" ca="1" si="40"/>
        <v>3.2347626812392574E-2</v>
      </c>
      <c r="AS127">
        <f t="shared" ca="1" si="41"/>
        <v>3.1139982618174321E-2</v>
      </c>
      <c r="AT127">
        <f t="shared" ca="1" si="42"/>
        <v>3.1382186476020257E-2</v>
      </c>
      <c r="AU127">
        <f t="shared" ca="1" si="43"/>
        <v>3.1693940603426611E-2</v>
      </c>
      <c r="AV127">
        <f t="shared" ca="1" si="44"/>
        <v>3.175186235472164E-2</v>
      </c>
    </row>
    <row r="128" spans="1:48" ht="16" x14ac:dyDescent="0.2">
      <c r="A128" t="e" vm="2761">
        <v>#VALUE!</v>
      </c>
      <c r="B128" s="23" t="str" cm="1">
        <f t="array" aca="1" ref="B128" ca="1">_FV(A128,"ticker symbol",TRUE)</f>
        <v>EWI</v>
      </c>
      <c r="C128" s="23" t="str" cm="1">
        <f t="array" aca="1" ref="C128" ca="1">_FV(A128,"Name")</f>
        <v>iShares:MSCI Italy</v>
      </c>
      <c r="D128" cm="1" vm="2762">
        <f t="array" aca="1" ref="D128:Y128" ca="1">TRANSPOSE(_xlfn.STOCKHISTORY(B128, WORKDAY(TODAY(), -23), TODAY(), 0, 0, 1))</f>
        <v>51.34</v>
      </c>
      <c r="E128" vm="2763">
        <f ca="1"/>
        <v>50.81</v>
      </c>
      <c r="F128" vm="2764">
        <f ca="1"/>
        <v>51.47</v>
      </c>
      <c r="G128" vm="2765">
        <f ca="1"/>
        <v>51.19</v>
      </c>
      <c r="H128" vm="2766">
        <f ca="1"/>
        <v>52.16</v>
      </c>
      <c r="I128" vm="471">
        <f ca="1"/>
        <v>52.54</v>
      </c>
      <c r="J128" vm="2767">
        <f ca="1"/>
        <v>52.93</v>
      </c>
      <c r="K128" vm="2768">
        <f ca="1"/>
        <v>52.66</v>
      </c>
      <c r="L128" vm="2769">
        <f ca="1"/>
        <v>53</v>
      </c>
      <c r="M128" vm="1525">
        <f ca="1"/>
        <v>53.29</v>
      </c>
      <c r="N128" vm="2770">
        <f ca="1"/>
        <v>53.15</v>
      </c>
      <c r="O128" vm="2650">
        <f ca="1"/>
        <v>52.98</v>
      </c>
      <c r="P128" vm="2650">
        <f ca="1"/>
        <v>52.98</v>
      </c>
      <c r="Q128" vm="2771">
        <f ca="1"/>
        <v>53.02</v>
      </c>
      <c r="R128" vm="476">
        <f ca="1"/>
        <v>53.55</v>
      </c>
      <c r="S128" vm="2772">
        <f ca="1"/>
        <v>53.95</v>
      </c>
      <c r="T128" vm="477">
        <f ca="1"/>
        <v>53.66</v>
      </c>
      <c r="U128" vm="2773">
        <f ca="1"/>
        <v>54.35</v>
      </c>
      <c r="V128" vm="2774">
        <f ca="1"/>
        <v>53.58</v>
      </c>
      <c r="W128" vm="2775">
        <f ca="1"/>
        <v>53.51</v>
      </c>
      <c r="X128" vm="2776">
        <f ca="1"/>
        <v>53.81</v>
      </c>
      <c r="Y128" vm="87">
        <f ca="1"/>
        <v>54.21</v>
      </c>
      <c r="AA128">
        <f t="shared" ca="1" si="23"/>
        <v>7.7479136169506371E-2</v>
      </c>
      <c r="AB128">
        <f t="shared" ca="1" si="24"/>
        <v>7.7866151747812362E-2</v>
      </c>
      <c r="AC128">
        <f t="shared" ca="1" si="25"/>
        <v>7.8099631276269676E-2</v>
      </c>
      <c r="AD128">
        <f t="shared" ca="1" si="26"/>
        <v>7.6548083681007281E-2</v>
      </c>
      <c r="AE128">
        <f t="shared" ca="1" si="27"/>
        <v>7.7271784539717336E-2</v>
      </c>
      <c r="AF128">
        <f t="shared" ca="1" si="28"/>
        <v>7.7301082862523546E-2</v>
      </c>
      <c r="AG128">
        <f t="shared" ca="1" si="29"/>
        <v>7.745211372715434E-2</v>
      </c>
      <c r="AH128">
        <f t="shared" ca="1" si="30"/>
        <v>7.7410439972363909E-2</v>
      </c>
      <c r="AI128">
        <f t="shared" ca="1" si="31"/>
        <v>7.7766202514929647E-2</v>
      </c>
      <c r="AJ128">
        <f t="shared" ca="1" si="32"/>
        <v>7.7921888022927668E-2</v>
      </c>
      <c r="AK128">
        <f t="shared" ca="1" si="33"/>
        <v>7.7660398310904599E-2</v>
      </c>
      <c r="AL128">
        <f t="shared" ca="1" si="34"/>
        <v>7.7265236477125215E-2</v>
      </c>
      <c r="AM128">
        <f t="shared" ca="1" si="35"/>
        <v>7.7498061817064784E-2</v>
      </c>
      <c r="AN128">
        <f t="shared" ca="1" si="36"/>
        <v>7.7623565237760608E-2</v>
      </c>
      <c r="AO128">
        <f t="shared" ca="1" si="37"/>
        <v>7.7882979187573614E-2</v>
      </c>
      <c r="AP128">
        <f t="shared" ca="1" si="38"/>
        <v>7.8282571789253755E-2</v>
      </c>
      <c r="AQ128">
        <f t="shared" ca="1" si="39"/>
        <v>7.8708049753578965E-2</v>
      </c>
      <c r="AR128">
        <f t="shared" ca="1" si="40"/>
        <v>7.9840759184992588E-2</v>
      </c>
      <c r="AS128">
        <f t="shared" ca="1" si="41"/>
        <v>7.8925272879932826E-2</v>
      </c>
      <c r="AT128">
        <f t="shared" ca="1" si="42"/>
        <v>7.9699136133452489E-2</v>
      </c>
      <c r="AU128">
        <f t="shared" ca="1" si="43"/>
        <v>7.9545286561118755E-2</v>
      </c>
      <c r="AV128">
        <f t="shared" ca="1" si="44"/>
        <v>7.9651478863926886E-2</v>
      </c>
    </row>
    <row r="129" spans="1:48" ht="16" x14ac:dyDescent="0.2">
      <c r="A129" t="e" vm="2777">
        <v>#VALUE!</v>
      </c>
      <c r="B129" s="23" t="str" cm="1">
        <f t="array" aca="1" ref="B129" ca="1">_FV(A129,"ticker symbol",TRUE)</f>
        <v>EWW</v>
      </c>
      <c r="C129" s="23" t="str" cm="1">
        <f t="array" aca="1" ref="C129" ca="1">_FV(A129,"Name")</f>
        <v>iShares:MSCI Mexico</v>
      </c>
      <c r="D129" cm="1" vm="2778">
        <f t="array" aca="1" ref="D129:Y129" ca="1">TRANSPOSE(_xlfn.STOCKHISTORY(B129, WORKDAY(TODAY(), -23), TODAY(), 0, 0, 1))</f>
        <v>66.77</v>
      </c>
      <c r="E129" vm="2779">
        <f ca="1"/>
        <v>66.02</v>
      </c>
      <c r="F129" vm="2780">
        <f ca="1"/>
        <v>66.040000000000006</v>
      </c>
      <c r="G129" vm="2781">
        <f ca="1"/>
        <v>66.55</v>
      </c>
      <c r="H129" vm="2782">
        <f ca="1"/>
        <v>67.75</v>
      </c>
      <c r="I129" vm="2783">
        <f ca="1"/>
        <v>67.88</v>
      </c>
      <c r="J129" vm="1936">
        <f ca="1"/>
        <v>68.42</v>
      </c>
      <c r="K129" vm="2784">
        <f ca="1"/>
        <v>68.459999999999994</v>
      </c>
      <c r="L129" vm="2785">
        <f ca="1"/>
        <v>68.709999999999994</v>
      </c>
      <c r="M129" vm="2786">
        <f ca="1"/>
        <v>68.430000000000007</v>
      </c>
      <c r="N129" vm="2787">
        <f ca="1"/>
        <v>68.819999999999993</v>
      </c>
      <c r="O129" vm="2788">
        <f ca="1"/>
        <v>68.680000000000007</v>
      </c>
      <c r="P129" vm="2789">
        <f ca="1"/>
        <v>68.64</v>
      </c>
      <c r="Q129" vm="2790">
        <f ca="1"/>
        <v>69.27</v>
      </c>
      <c r="R129" vm="2791">
        <f ca="1"/>
        <v>69.040000000000006</v>
      </c>
      <c r="S129" vm="2232">
        <f ca="1"/>
        <v>71.06</v>
      </c>
      <c r="T129" vm="2792">
        <f ca="1"/>
        <v>70.69</v>
      </c>
      <c r="U129" vm="2793">
        <f ca="1"/>
        <v>70.48</v>
      </c>
      <c r="V129" vm="2794">
        <f ca="1"/>
        <v>68.28</v>
      </c>
      <c r="W129" vm="2795">
        <f ca="1"/>
        <v>67.45</v>
      </c>
      <c r="X129" vm="895">
        <f ca="1"/>
        <v>68.75</v>
      </c>
      <c r="Y129" vm="89">
        <f ca="1"/>
        <v>68.849999999999994</v>
      </c>
      <c r="AA129">
        <f t="shared" ca="1" si="23"/>
        <v>0.10076513287958588</v>
      </c>
      <c r="AB129">
        <f t="shared" ca="1" si="24"/>
        <v>0.10117542488467964</v>
      </c>
      <c r="AC129">
        <f t="shared" ca="1" si="25"/>
        <v>0.10020788128006314</v>
      </c>
      <c r="AD129">
        <f t="shared" ca="1" si="26"/>
        <v>9.9516994900782071E-2</v>
      </c>
      <c r="AE129">
        <f t="shared" ca="1" si="27"/>
        <v>0.10036739652158455</v>
      </c>
      <c r="AF129">
        <f t="shared" ca="1" si="28"/>
        <v>9.9870527306967979E-2</v>
      </c>
      <c r="AG129">
        <f t="shared" ca="1" si="29"/>
        <v>0.10011852675631777</v>
      </c>
      <c r="AH129">
        <f t="shared" ca="1" si="30"/>
        <v>0.10063651197318711</v>
      </c>
      <c r="AI129">
        <f t="shared" ca="1" si="31"/>
        <v>0.10081727876982671</v>
      </c>
      <c r="AJ129">
        <f t="shared" ca="1" si="32"/>
        <v>0.10005995116173655</v>
      </c>
      <c r="AK129">
        <f t="shared" ca="1" si="33"/>
        <v>0.10055670012712049</v>
      </c>
      <c r="AL129">
        <f t="shared" ca="1" si="34"/>
        <v>0.10016188073327598</v>
      </c>
      <c r="AM129">
        <f t="shared" ca="1" si="35"/>
        <v>0.10040518994192765</v>
      </c>
      <c r="AN129">
        <f t="shared" ca="1" si="36"/>
        <v>0.10141426563598033</v>
      </c>
      <c r="AO129">
        <f t="shared" ca="1" si="37"/>
        <v>0.10041159445583722</v>
      </c>
      <c r="AP129">
        <f t="shared" ca="1" si="38"/>
        <v>0.10310953755967324</v>
      </c>
      <c r="AQ129">
        <f t="shared" ca="1" si="39"/>
        <v>0.10368751466791833</v>
      </c>
      <c r="AR129">
        <f t="shared" ca="1" si="40"/>
        <v>0.10353590997899315</v>
      </c>
      <c r="AS129">
        <f t="shared" ca="1" si="41"/>
        <v>0.10057890317733881</v>
      </c>
      <c r="AT129">
        <f t="shared" ca="1" si="42"/>
        <v>0.10046172177539471</v>
      </c>
      <c r="AU129">
        <f t="shared" ca="1" si="43"/>
        <v>0.10163052315697665</v>
      </c>
      <c r="AV129">
        <f t="shared" ca="1" si="44"/>
        <v>0.10116222689137365</v>
      </c>
    </row>
    <row r="130" spans="1:48" ht="16" x14ac:dyDescent="0.2">
      <c r="A130" t="e" vm="2796">
        <v>#VALUE!</v>
      </c>
      <c r="B130" s="23" t="str" cm="1">
        <f t="array" aca="1" ref="B130" ca="1">_FV(A130,"ticker symbol",TRUE)</f>
        <v>PIN</v>
      </c>
      <c r="C130" s="23" t="str" cm="1">
        <f t="array" aca="1" ref="C130" ca="1">_FV(A130,"Name")</f>
        <v>Invesco India</v>
      </c>
      <c r="D130" cm="1" vm="2797">
        <f t="array" aca="1" ref="D130:Y130" ca="1">TRANSPOSE(_xlfn.STOCKHISTORY(B130, WORKDAY(TODAY(), -23), TODAY(), 0, 0, 1))</f>
        <v>26.48</v>
      </c>
      <c r="E130" vm="2250">
        <f ca="1"/>
        <v>26.42</v>
      </c>
      <c r="F130" vm="2798">
        <f ca="1"/>
        <v>26.139299999999999</v>
      </c>
      <c r="G130" vm="2799">
        <f ca="1"/>
        <v>26.1311</v>
      </c>
      <c r="H130" vm="1450">
        <f ca="1"/>
        <v>26.1</v>
      </c>
      <c r="I130" vm="2800">
        <f ca="1"/>
        <v>26.28</v>
      </c>
      <c r="J130" vm="2801">
        <f ca="1"/>
        <v>26.45</v>
      </c>
      <c r="K130" vm="31">
        <f ca="1"/>
        <v>26.2</v>
      </c>
      <c r="L130" vm="2802">
        <f ca="1"/>
        <v>25.975000000000001</v>
      </c>
      <c r="M130" vm="2803">
        <f ca="1"/>
        <v>25.71</v>
      </c>
      <c r="N130" vm="2804">
        <f ca="1"/>
        <v>25.96</v>
      </c>
      <c r="O130" vm="2805">
        <f ca="1"/>
        <v>26.03</v>
      </c>
      <c r="P130" vm="2806">
        <f ca="1"/>
        <v>25.590499999999999</v>
      </c>
      <c r="Q130" vm="2807">
        <f ca="1"/>
        <v>25.67</v>
      </c>
      <c r="R130" vm="2808">
        <f ca="1"/>
        <v>25.741499999999998</v>
      </c>
      <c r="S130" vm="2809">
        <f ca="1"/>
        <v>25.75</v>
      </c>
      <c r="T130" vm="2810">
        <f ca="1"/>
        <v>25.57</v>
      </c>
      <c r="U130" vm="2811">
        <f ca="1"/>
        <v>25.6</v>
      </c>
      <c r="V130" vm="2812">
        <f ca="1"/>
        <v>25.5</v>
      </c>
      <c r="W130" vm="2813">
        <f ca="1"/>
        <v>25.51</v>
      </c>
      <c r="X130" vm="2814">
        <f ca="1"/>
        <v>25.69</v>
      </c>
      <c r="Y130" vm="91">
        <f ca="1"/>
        <v>26.14</v>
      </c>
      <c r="AA130">
        <f t="shared" ca="1" si="23"/>
        <v>3.9961969726695142E-2</v>
      </c>
      <c r="AB130">
        <f t="shared" ca="1" si="24"/>
        <v>4.0488559912954199E-2</v>
      </c>
      <c r="AC130">
        <f t="shared" ca="1" si="25"/>
        <v>3.9663293021561991E-2</v>
      </c>
      <c r="AD130">
        <f t="shared" ca="1" si="26"/>
        <v>3.9075710675459452E-2</v>
      </c>
      <c r="AE130">
        <f t="shared" ca="1" si="27"/>
        <v>3.8665521021599362E-2</v>
      </c>
      <c r="AF130">
        <f t="shared" ca="1" si="28"/>
        <v>3.8665254237288137E-2</v>
      </c>
      <c r="AG130">
        <f t="shared" ca="1" si="29"/>
        <v>3.8704107464259063E-2</v>
      </c>
      <c r="AH130">
        <f t="shared" ca="1" si="30"/>
        <v>3.851411939377012E-2</v>
      </c>
      <c r="AI130">
        <f t="shared" ca="1" si="31"/>
        <v>3.8112775666515053E-2</v>
      </c>
      <c r="AJ130">
        <f t="shared" ca="1" si="32"/>
        <v>3.75937650791794E-2</v>
      </c>
      <c r="AK130">
        <f t="shared" ca="1" si="33"/>
        <v>3.7931588714037318E-2</v>
      </c>
      <c r="AL130">
        <f t="shared" ca="1" si="34"/>
        <v>3.7961761145707242E-2</v>
      </c>
      <c r="AM130">
        <f t="shared" ca="1" si="35"/>
        <v>3.7433260681947834E-2</v>
      </c>
      <c r="AN130">
        <f t="shared" ca="1" si="36"/>
        <v>3.7581986413680026E-2</v>
      </c>
      <c r="AO130">
        <f t="shared" ca="1" si="37"/>
        <v>3.7438369911427197E-2</v>
      </c>
      <c r="AP130">
        <f t="shared" ca="1" si="38"/>
        <v>3.7363785423045116E-2</v>
      </c>
      <c r="AQ130">
        <f t="shared" ca="1" si="39"/>
        <v>3.7505867167331612E-2</v>
      </c>
      <c r="AR130">
        <f t="shared" ca="1" si="40"/>
        <v>3.7606686939021347E-2</v>
      </c>
      <c r="AS130">
        <f t="shared" ca="1" si="41"/>
        <v>3.7562419903663442E-2</v>
      </c>
      <c r="AT130">
        <f t="shared" ca="1" si="42"/>
        <v>3.7995233839737866E-2</v>
      </c>
      <c r="AU130">
        <f t="shared" ca="1" si="43"/>
        <v>3.7976554762221532E-2</v>
      </c>
      <c r="AV130">
        <f t="shared" ca="1" si="44"/>
        <v>3.8407852010755375E-2</v>
      </c>
    </row>
    <row r="131" spans="1:48" ht="16" x14ac:dyDescent="0.2">
      <c r="A131" t="e" vm="2815">
        <v>#VALUE!</v>
      </c>
      <c r="B131" s="23" t="str" cm="1">
        <f t="array" aca="1" ref="B131" ca="1">_FV(A131,"ticker symbol",TRUE)</f>
        <v>IDX</v>
      </c>
      <c r="C131" s="23" t="str" cm="1">
        <f t="array" aca="1" ref="C131" ca="1">_FV(A131,"Name")</f>
        <v>VanEck:Indonesia Index</v>
      </c>
      <c r="D131" cm="1" vm="2816">
        <f t="array" aca="1" ref="D131:Y131" ca="1">TRANSPOSE(_xlfn.STOCKHISTORY(B131, WORKDAY(TODAY(), -23), TODAY(), 0, 0, 1))</f>
        <v>16.68</v>
      </c>
      <c r="E131" vm="2817">
        <f ca="1"/>
        <v>16.53</v>
      </c>
      <c r="F131" vm="2818">
        <f ca="1"/>
        <v>16.690000000000001</v>
      </c>
      <c r="G131" vm="2819">
        <f ca="1"/>
        <v>17.079999999999998</v>
      </c>
      <c r="H131" vm="2820">
        <f ca="1"/>
        <v>17.010200000000001</v>
      </c>
      <c r="I131" vm="2821">
        <f ca="1"/>
        <v>17.13</v>
      </c>
      <c r="J131" vm="2822">
        <f ca="1"/>
        <v>17.010000000000002</v>
      </c>
      <c r="K131" vm="2823">
        <f ca="1"/>
        <v>17.100000000000001</v>
      </c>
      <c r="L131" vm="2824">
        <f ca="1"/>
        <v>17.239999999999998</v>
      </c>
      <c r="M131" vm="2825">
        <f ca="1"/>
        <v>17.14</v>
      </c>
      <c r="N131" vm="2826">
        <f ca="1"/>
        <v>17.12</v>
      </c>
      <c r="O131" vm="2823">
        <f ca="1"/>
        <v>17.100000000000001</v>
      </c>
      <c r="P131" vm="2827">
        <f ca="1"/>
        <v>17.25</v>
      </c>
      <c r="Q131" vm="2828">
        <f ca="1"/>
        <v>17.11</v>
      </c>
      <c r="R131" vm="2829">
        <f ca="1"/>
        <v>17.29</v>
      </c>
      <c r="S131" vm="2830">
        <f ca="1"/>
        <v>17.149999999999999</v>
      </c>
      <c r="T131" vm="2831">
        <f ca="1"/>
        <v>17.18</v>
      </c>
      <c r="U131" vm="2825">
        <f ca="1"/>
        <v>17.14</v>
      </c>
      <c r="V131" vm="2832">
        <f ca="1"/>
        <v>17.3</v>
      </c>
      <c r="W131" vm="2833">
        <f ca="1"/>
        <v>17.170000000000002</v>
      </c>
      <c r="X131" vm="2834">
        <f ca="1"/>
        <v>17.2</v>
      </c>
      <c r="Y131" vm="93">
        <f ca="1"/>
        <v>17.21</v>
      </c>
      <c r="AA131">
        <f t="shared" ref="AA131:AA161" ca="1" si="45">D131/D$1</f>
        <v>2.5172418997026998E-2</v>
      </c>
      <c r="AB131">
        <f t="shared" ref="AB131:AB161" ca="1" si="46">E131/E$1</f>
        <v>2.5332168635924787E-2</v>
      </c>
      <c r="AC131">
        <f t="shared" ref="AC131:AC161" ca="1" si="47">F131/F$1</f>
        <v>2.5325099009149813E-2</v>
      </c>
      <c r="AD131">
        <f t="shared" ref="AD131:AD161" ca="1" si="48">G131/G$1</f>
        <v>2.5540950757405825E-2</v>
      </c>
      <c r="AE131">
        <f t="shared" ref="AE131:AE161" ca="1" si="49">H131/H$1</f>
        <v>2.5199549642973544E-2</v>
      </c>
      <c r="AF131">
        <f t="shared" ref="AF131:AF161" ca="1" si="50">I131/I$1</f>
        <v>2.5203036723163843E-2</v>
      </c>
      <c r="AG131">
        <f t="shared" ref="AG131:AG161" ca="1" si="51">J131/J$1</f>
        <v>2.4890618826731443E-2</v>
      </c>
      <c r="AH131">
        <f t="shared" ref="AH131:AH161" ca="1" si="52">K131/K$1</f>
        <v>2.5137077924941569E-2</v>
      </c>
      <c r="AI131">
        <f t="shared" ref="AI131:AI161" ca="1" si="53">L131/L$1</f>
        <v>2.5296025119950698E-2</v>
      </c>
      <c r="AJ131">
        <f t="shared" ref="AJ131:AJ161" ca="1" si="54">M131/M$1</f>
        <v>2.5062510052786268E-2</v>
      </c>
      <c r="AK131">
        <f t="shared" ref="AK131:AK161" ca="1" si="55">N131/N$1</f>
        <v>2.5014976840690251E-2</v>
      </c>
      <c r="AL131">
        <f t="shared" ref="AL131:AL161" ca="1" si="56">O131/O$1</f>
        <v>2.4938383234406218E-2</v>
      </c>
      <c r="AM131">
        <f t="shared" ref="AM131:AM161" ca="1" si="57">P131/P$1</f>
        <v>2.5232947647119055E-2</v>
      </c>
      <c r="AN131">
        <f t="shared" ref="AN131:AN161" ca="1" si="58">Q131/Q$1</f>
        <v>2.5049777465448585E-2</v>
      </c>
      <c r="AO131">
        <f t="shared" ref="AO131:AO161" ca="1" si="59">R131/R$1</f>
        <v>2.5146530535072788E-2</v>
      </c>
      <c r="AP131">
        <f t="shared" ref="AP131:AP161" ca="1" si="60">S131/S$1</f>
        <v>2.488500660214461E-2</v>
      </c>
      <c r="AQ131">
        <f t="shared" ref="AQ131:AQ161" ca="1" si="61">T131/T$1</f>
        <v>2.5199483689274819E-2</v>
      </c>
      <c r="AR131">
        <f t="shared" ref="AR131:AR161" ca="1" si="62">U131/U$1</f>
        <v>2.5178852114641635E-2</v>
      </c>
      <c r="AS131">
        <f t="shared" ref="AS131:AS161" ca="1" si="63">V131/V$1</f>
        <v>2.5483524091505002E-2</v>
      </c>
      <c r="AT131">
        <f t="shared" ref="AT131:AT161" ca="1" si="64">W131/W$1</f>
        <v>2.5573428656538579E-2</v>
      </c>
      <c r="AU131">
        <f t="shared" ref="AU131:AU161" ca="1" si="65">X131/X$1</f>
        <v>2.5426109066181795E-2</v>
      </c>
      <c r="AV131">
        <f t="shared" ref="AV131:AV161" ca="1" si="66">Y131/Y$1</f>
        <v>2.5286883439368784E-2</v>
      </c>
    </row>
    <row r="132" spans="1:48" ht="16" x14ac:dyDescent="0.2">
      <c r="A132" t="e" vm="2835">
        <v>#VALUE!</v>
      </c>
      <c r="B132" s="23" t="str" cm="1">
        <f t="array" aca="1" ref="B132" ca="1">_FV(A132,"ticker symbol",TRUE)</f>
        <v>EWY</v>
      </c>
      <c r="C132" s="23" t="str" cm="1">
        <f t="array" aca="1" ref="C132" ca="1">_FV(A132,"Name")</f>
        <v>iShares:MSCI S Korea</v>
      </c>
      <c r="D132" cm="1" vm="2836">
        <f t="array" aca="1" ref="D132:Y132" ca="1">TRANSPOSE(_xlfn.STOCKHISTORY(B132, WORKDAY(TODAY(), -23), TODAY(), 0, 0, 1))</f>
        <v>90.56</v>
      </c>
      <c r="E132" vm="2837">
        <f ca="1"/>
        <v>88.53</v>
      </c>
      <c r="F132" vm="2838">
        <f ca="1"/>
        <v>89.22</v>
      </c>
      <c r="G132" vm="2839">
        <f ca="1"/>
        <v>90.3</v>
      </c>
      <c r="H132" vm="2840">
        <f ca="1"/>
        <v>89.79</v>
      </c>
      <c r="I132" vm="2841">
        <f ca="1"/>
        <v>91.55</v>
      </c>
      <c r="J132" vm="2842">
        <f ca="1"/>
        <v>90.87</v>
      </c>
      <c r="K132" vm="1842">
        <f ca="1"/>
        <v>90.62</v>
      </c>
      <c r="L132" vm="2843">
        <f ca="1"/>
        <v>92.07</v>
      </c>
      <c r="M132" vm="2844">
        <f ca="1"/>
        <v>93</v>
      </c>
      <c r="N132" vm="2845">
        <f ca="1"/>
        <v>91.87</v>
      </c>
      <c r="O132" vm="2846">
        <f ca="1"/>
        <v>94.3</v>
      </c>
      <c r="P132" vm="2035">
        <f ca="1"/>
        <v>95.07</v>
      </c>
      <c r="Q132" vm="2847">
        <f ca="1"/>
        <v>95.57</v>
      </c>
      <c r="R132" vm="2848">
        <f ca="1"/>
        <v>96.75</v>
      </c>
      <c r="S132" vm="2849">
        <f ca="1"/>
        <v>94.96</v>
      </c>
      <c r="T132" vm="2850">
        <f ca="1"/>
        <v>92.67</v>
      </c>
      <c r="U132" vm="2851">
        <f ca="1"/>
        <v>92.73</v>
      </c>
      <c r="V132" vm="2852">
        <f ca="1"/>
        <v>89.52</v>
      </c>
      <c r="W132" vm="2853">
        <f ca="1"/>
        <v>88.58</v>
      </c>
      <c r="X132" vm="2854">
        <f ca="1"/>
        <v>90.07</v>
      </c>
      <c r="Y132" vm="95">
        <f ca="1"/>
        <v>91.34</v>
      </c>
      <c r="AA132">
        <f t="shared" ca="1" si="45"/>
        <v>0.13666752184477007</v>
      </c>
      <c r="AB132">
        <f t="shared" ca="1" si="46"/>
        <v>0.13567192312997103</v>
      </c>
      <c r="AC132">
        <f t="shared" ca="1" si="47"/>
        <v>0.13538078691410102</v>
      </c>
      <c r="AD132">
        <f t="shared" ca="1" si="48"/>
        <v>0.13503207572562917</v>
      </c>
      <c r="AE132">
        <f t="shared" ca="1" si="49"/>
        <v>0.13301828093982401</v>
      </c>
      <c r="AF132">
        <f t="shared" ca="1" si="50"/>
        <v>0.13469573917137476</v>
      </c>
      <c r="AG132">
        <f t="shared" ca="1" si="51"/>
        <v>0.13296946106908208</v>
      </c>
      <c r="AH132">
        <f t="shared" ca="1" si="52"/>
        <v>0.13321181295662018</v>
      </c>
      <c r="AI132">
        <f t="shared" ca="1" si="53"/>
        <v>0.13509309934999192</v>
      </c>
      <c r="AJ132">
        <f t="shared" ca="1" si="54"/>
        <v>0.13598678149994883</v>
      </c>
      <c r="AK132">
        <f t="shared" ca="1" si="55"/>
        <v>0.1342363272403162</v>
      </c>
      <c r="AL132">
        <f t="shared" ca="1" si="56"/>
        <v>0.13752570403535125</v>
      </c>
      <c r="AM132">
        <f t="shared" ca="1" si="57"/>
        <v>0.13906645407603527</v>
      </c>
      <c r="AN132">
        <f t="shared" ca="1" si="58"/>
        <v>0.13991859920356056</v>
      </c>
      <c r="AO132">
        <f t="shared" ca="1" si="59"/>
        <v>0.14071294559099437</v>
      </c>
      <c r="AP132">
        <f t="shared" ca="1" si="60"/>
        <v>0.13778893451543162</v>
      </c>
      <c r="AQ132">
        <f t="shared" ca="1" si="61"/>
        <v>0.13592759915512792</v>
      </c>
      <c r="AR132">
        <f t="shared" ca="1" si="62"/>
        <v>0.13622140936935348</v>
      </c>
      <c r="AS132">
        <f t="shared" ca="1" si="63"/>
        <v>0.13186618940297848</v>
      </c>
      <c r="AT132">
        <f t="shared" ca="1" si="64"/>
        <v>0.13193327375633007</v>
      </c>
      <c r="AU132">
        <f t="shared" ca="1" si="65"/>
        <v>0.13314707230180198</v>
      </c>
      <c r="AV132">
        <f t="shared" ca="1" si="66"/>
        <v>0.13420708502916587</v>
      </c>
    </row>
    <row r="133" spans="1:48" ht="16" x14ac:dyDescent="0.2">
      <c r="A133" t="e" vm="2855">
        <v>#VALUE!</v>
      </c>
      <c r="B133" s="23" t="str" cm="1">
        <f t="array" aca="1" ref="B133" ca="1">_FV(A133,"ticker symbol",TRUE)</f>
        <v>EWA</v>
      </c>
      <c r="C133" s="23" t="str" cm="1">
        <f t="array" aca="1" ref="C133" ca="1">_FV(A133,"Name")</f>
        <v>iShares:MSCI Australia</v>
      </c>
      <c r="D133" cm="1" vm="2064">
        <f t="array" aca="1" ref="D133:Y133" ca="1">TRANSPOSE(_xlfn.STOCKHISTORY(B133, WORKDAY(TODAY(), -23), TODAY(), 0, 0, 1))</f>
        <v>25.3</v>
      </c>
      <c r="E133" vm="2055">
        <f ca="1"/>
        <v>24.95</v>
      </c>
      <c r="F133" vm="2856">
        <f ca="1"/>
        <v>25.33</v>
      </c>
      <c r="G133" vm="2857">
        <f ca="1"/>
        <v>25.44</v>
      </c>
      <c r="H133" vm="2858">
        <f ca="1"/>
        <v>25.62</v>
      </c>
      <c r="I133" vm="1461">
        <f ca="1"/>
        <v>25.82</v>
      </c>
      <c r="J133" vm="2248">
        <f ca="1"/>
        <v>25.85</v>
      </c>
      <c r="K133" vm="2859">
        <f ca="1"/>
        <v>25.73</v>
      </c>
      <c r="L133" vm="2860">
        <f ca="1"/>
        <v>25.93</v>
      </c>
      <c r="M133" vm="2249">
        <f ca="1"/>
        <v>26.13</v>
      </c>
      <c r="N133" vm="2251">
        <f ca="1"/>
        <v>26.29</v>
      </c>
      <c r="O133" vm="2257">
        <f ca="1"/>
        <v>26.34</v>
      </c>
      <c r="P133" vm="2861">
        <f ca="1"/>
        <v>26.24</v>
      </c>
      <c r="Q133" vm="2862">
        <f ca="1"/>
        <v>26.35</v>
      </c>
      <c r="R133" vm="2863">
        <f ca="1"/>
        <v>26.65</v>
      </c>
      <c r="S133" vm="2256">
        <f ca="1"/>
        <v>26.64</v>
      </c>
      <c r="T133" vm="2253">
        <f ca="1"/>
        <v>26.52</v>
      </c>
      <c r="U133" vm="2250">
        <f ca="1"/>
        <v>26.42</v>
      </c>
      <c r="V133" vm="1461">
        <f ca="1"/>
        <v>25.82</v>
      </c>
      <c r="W133" vm="2864">
        <f ca="1"/>
        <v>25.58</v>
      </c>
      <c r="X133" vm="2865">
        <f ca="1"/>
        <v>25.81</v>
      </c>
      <c r="Y133" vm="97">
        <f ca="1"/>
        <v>25.88</v>
      </c>
      <c r="AA133">
        <f t="shared" ca="1" si="45"/>
        <v>3.8181187087816731E-2</v>
      </c>
      <c r="AB133">
        <f t="shared" ca="1" si="46"/>
        <v>3.8235789925367414E-2</v>
      </c>
      <c r="AC133">
        <f t="shared" ca="1" si="47"/>
        <v>3.8435276087583264E-2</v>
      </c>
      <c r="AD133">
        <f t="shared" ca="1" si="48"/>
        <v>3.8042259207752005E-2</v>
      </c>
      <c r="AE133">
        <f t="shared" ca="1" si="49"/>
        <v>3.7954430979822824E-2</v>
      </c>
      <c r="AF133">
        <f t="shared" ca="1" si="50"/>
        <v>3.7988465160075334E-2</v>
      </c>
      <c r="AG133">
        <f t="shared" ca="1" si="51"/>
        <v>3.7826131491534853E-2</v>
      </c>
      <c r="AH133">
        <f t="shared" ca="1" si="52"/>
        <v>3.7823217251973483E-2</v>
      </c>
      <c r="AI133">
        <f t="shared" ca="1" si="53"/>
        <v>3.804674775871935E-2</v>
      </c>
      <c r="AJ133">
        <f t="shared" ca="1" si="54"/>
        <v>3.8207898931114655E-2</v>
      </c>
      <c r="AK133">
        <f t="shared" ca="1" si="55"/>
        <v>3.8413769926503895E-2</v>
      </c>
      <c r="AL133">
        <f t="shared" ca="1" si="56"/>
        <v>3.8413860490892383E-2</v>
      </c>
      <c r="AM133">
        <f t="shared" ca="1" si="57"/>
        <v>3.838333601509588E-2</v>
      </c>
      <c r="AN133">
        <f t="shared" ca="1" si="58"/>
        <v>3.8577535722651678E-2</v>
      </c>
      <c r="AO133">
        <f t="shared" ca="1" si="59"/>
        <v>3.8759689922480613E-2</v>
      </c>
      <c r="AP133">
        <f t="shared" ca="1" si="60"/>
        <v>3.8655193928929008E-2</v>
      </c>
      <c r="AQ133">
        <f t="shared" ca="1" si="61"/>
        <v>3.8899319408589532E-2</v>
      </c>
      <c r="AR133">
        <f t="shared" ca="1" si="62"/>
        <v>3.8811276130036876E-2</v>
      </c>
      <c r="AS133">
        <f t="shared" ca="1" si="63"/>
        <v>3.8033791447552548E-2</v>
      </c>
      <c r="AT133">
        <f t="shared" ca="1" si="64"/>
        <v>3.8099493595472149E-2</v>
      </c>
      <c r="AU133">
        <f t="shared" ca="1" si="65"/>
        <v>3.8153946220822799E-2</v>
      </c>
      <c r="AV133">
        <f t="shared" ca="1" si="66"/>
        <v>3.8025830529393609E-2</v>
      </c>
    </row>
    <row r="134" spans="1:48" ht="16" x14ac:dyDescent="0.2">
      <c r="A134" t="e" vm="2866">
        <v>#VALUE!</v>
      </c>
      <c r="B134" s="23" t="str" cm="1">
        <f t="array" aca="1" ref="B134" ca="1">_FV(A134,"ticker symbol",TRUE)</f>
        <v>EWM</v>
      </c>
      <c r="C134" s="23" t="str" cm="1">
        <f t="array" aca="1" ref="C134" ca="1">_FV(A134,"Name")</f>
        <v>iShares:MSCI Malaysia</v>
      </c>
      <c r="D134" cm="1" vm="2867">
        <f t="array" aca="1" ref="D134:Y134" ca="1">TRANSPOSE(_xlfn.STOCKHISTORY(B134, WORKDAY(TODAY(), -23), TODAY(), 0, 0, 1))</f>
        <v>26.33</v>
      </c>
      <c r="E134" vm="2868">
        <f ca="1"/>
        <v>26.05</v>
      </c>
      <c r="F134" vm="2251">
        <f ca="1"/>
        <v>26.29</v>
      </c>
      <c r="G134" vm="2869">
        <f ca="1"/>
        <v>26.47</v>
      </c>
      <c r="H134" vm="2255">
        <f ca="1"/>
        <v>26.49</v>
      </c>
      <c r="I134" vm="2256">
        <f ca="1"/>
        <v>26.64</v>
      </c>
      <c r="J134" vm="2870">
        <f ca="1"/>
        <v>26.43</v>
      </c>
      <c r="K134" vm="2871">
        <f ca="1"/>
        <v>26.6</v>
      </c>
      <c r="L134" vm="2872">
        <f ca="1"/>
        <v>26.67</v>
      </c>
      <c r="M134" vm="2873">
        <f ca="1"/>
        <v>26.73</v>
      </c>
      <c r="N134" vm="2874">
        <f ca="1"/>
        <v>26.59</v>
      </c>
      <c r="O134" vm="2256">
        <f ca="1"/>
        <v>26.64</v>
      </c>
      <c r="P134" vm="2875">
        <f ca="1"/>
        <v>26.32</v>
      </c>
      <c r="Q134" vm="2876">
        <f ca="1"/>
        <v>26.37</v>
      </c>
      <c r="R134" vm="2253">
        <f ca="1"/>
        <v>26.52</v>
      </c>
      <c r="S134" vm="2877">
        <f ca="1"/>
        <v>26.87</v>
      </c>
      <c r="T134" vm="2878">
        <f ca="1"/>
        <v>26.98</v>
      </c>
      <c r="U134" vm="2879">
        <f ca="1"/>
        <v>27.09</v>
      </c>
      <c r="V134" vm="2880">
        <f ca="1"/>
        <v>26.79</v>
      </c>
      <c r="W134" vm="2871">
        <f ca="1"/>
        <v>26.6</v>
      </c>
      <c r="X134" vm="2881">
        <f ca="1"/>
        <v>26.88</v>
      </c>
      <c r="Y134" vm="99">
        <f ca="1"/>
        <v>27.2</v>
      </c>
      <c r="AA134">
        <f t="shared" ca="1" si="45"/>
        <v>3.9735599052261442E-2</v>
      </c>
      <c r="AB134">
        <f t="shared" ca="1" si="46"/>
        <v>3.9921536174582016E-2</v>
      </c>
      <c r="AC134">
        <f t="shared" ca="1" si="47"/>
        <v>3.9891962429631431E-2</v>
      </c>
      <c r="AD134">
        <f t="shared" ca="1" si="48"/>
        <v>3.9582492186682215E-2</v>
      </c>
      <c r="AE134">
        <f t="shared" ca="1" si="49"/>
        <v>3.9243281680542801E-2</v>
      </c>
      <c r="AF134">
        <f t="shared" ca="1" si="50"/>
        <v>3.9194915254237295E-2</v>
      </c>
      <c r="AG134">
        <f t="shared" ca="1" si="51"/>
        <v>3.867484159850159E-2</v>
      </c>
      <c r="AH134">
        <f t="shared" ca="1" si="52"/>
        <v>3.9102121216575775E-2</v>
      </c>
      <c r="AI134">
        <f t="shared" ca="1" si="53"/>
        <v>3.913254002024856E-2</v>
      </c>
      <c r="AJ134">
        <f t="shared" ca="1" si="54"/>
        <v>3.9085233005307869E-2</v>
      </c>
      <c r="AK134">
        <f t="shared" ca="1" si="55"/>
        <v>3.885211648329169E-2</v>
      </c>
      <c r="AL134">
        <f t="shared" ca="1" si="56"/>
        <v>3.8851375986232846E-2</v>
      </c>
      <c r="AM134">
        <f t="shared" ca="1" si="57"/>
        <v>3.8500358380995567E-2</v>
      </c>
      <c r="AN134">
        <f t="shared" ca="1" si="58"/>
        <v>3.8606816584680258E-2</v>
      </c>
      <c r="AO134">
        <f t="shared" ca="1" si="59"/>
        <v>3.8570618264322176E-2</v>
      </c>
      <c r="AP134">
        <f t="shared" ca="1" si="60"/>
        <v>3.8988928711348438E-2</v>
      </c>
      <c r="AQ134">
        <f t="shared" ca="1" si="61"/>
        <v>3.9574043651724948E-2</v>
      </c>
      <c r="AR134">
        <f t="shared" ca="1" si="62"/>
        <v>3.9795513639769069E-2</v>
      </c>
      <c r="AS134">
        <f t="shared" ca="1" si="63"/>
        <v>3.9462636439966413E-2</v>
      </c>
      <c r="AT134">
        <f t="shared" ca="1" si="64"/>
        <v>3.9618707179028899E-2</v>
      </c>
      <c r="AU134">
        <f t="shared" ca="1" si="65"/>
        <v>3.9735686726684108E-2</v>
      </c>
      <c r="AV134">
        <f t="shared" ca="1" si="66"/>
        <v>3.9965324203999467E-2</v>
      </c>
    </row>
    <row r="135" spans="1:48" ht="16" x14ac:dyDescent="0.2">
      <c r="A135" t="e" vm="2882">
        <v>#VALUE!</v>
      </c>
      <c r="B135" s="23" t="str" cm="1">
        <f t="array" aca="1" ref="B135" ca="1">_FV(A135,"ticker symbol",TRUE)</f>
        <v>EWS</v>
      </c>
      <c r="C135" s="23" t="str" cm="1">
        <f t="array" aca="1" ref="C135" ca="1">_FV(A135,"Name")</f>
        <v>iShares:MSCI Singapore</v>
      </c>
      <c r="D135" cm="1" vm="2883">
        <f t="array" aca="1" ref="D135:Y135" ca="1">TRANSPOSE(_xlfn.STOCKHISTORY(B135, WORKDAY(TODAY(), -23), TODAY(), 0, 0, 1))</f>
        <v>28.22</v>
      </c>
      <c r="E135" vm="2884">
        <f ca="1"/>
        <v>27.58</v>
      </c>
      <c r="F135" vm="2885">
        <f ca="1"/>
        <v>27.62</v>
      </c>
      <c r="G135" vm="2886">
        <f ca="1"/>
        <v>27.89</v>
      </c>
      <c r="H135" vm="2887">
        <f ca="1"/>
        <v>27.99</v>
      </c>
      <c r="I135" vm="2888">
        <f ca="1"/>
        <v>28.12</v>
      </c>
      <c r="J135" vm="2889">
        <f ca="1"/>
        <v>28.39</v>
      </c>
      <c r="K135" vm="2887">
        <f ca="1"/>
        <v>27.99</v>
      </c>
      <c r="L135" vm="2890">
        <f ca="1"/>
        <v>28.2</v>
      </c>
      <c r="M135" vm="2891">
        <f ca="1"/>
        <v>28.15</v>
      </c>
      <c r="N135" vm="2892">
        <f ca="1"/>
        <v>28.02</v>
      </c>
      <c r="O135" vm="2893">
        <f ca="1"/>
        <v>27.82</v>
      </c>
      <c r="P135" vm="2894">
        <f ca="1"/>
        <v>27.48</v>
      </c>
      <c r="Q135" vm="2895">
        <f ca="1"/>
        <v>27.49</v>
      </c>
      <c r="R135" vm="2884">
        <f ca="1"/>
        <v>27.58</v>
      </c>
      <c r="S135" vm="2896">
        <f ca="1"/>
        <v>27.77</v>
      </c>
      <c r="T135" vm="2897">
        <f ca="1"/>
        <v>27.74</v>
      </c>
      <c r="U135" vm="2898">
        <f ca="1"/>
        <v>27.73</v>
      </c>
      <c r="V135" vm="2899">
        <f ca="1"/>
        <v>27.08</v>
      </c>
      <c r="W135" vm="2900">
        <f ca="1"/>
        <v>26.71</v>
      </c>
      <c r="X135" vm="2877">
        <f ca="1"/>
        <v>26.87</v>
      </c>
      <c r="Y135" vm="101">
        <f ca="1"/>
        <v>26.93</v>
      </c>
      <c r="AA135">
        <f t="shared" ca="1" si="45"/>
        <v>4.2587869550126015E-2</v>
      </c>
      <c r="AB135">
        <f t="shared" ca="1" si="46"/>
        <v>4.2266255957580497E-2</v>
      </c>
      <c r="AC135">
        <f t="shared" ca="1" si="47"/>
        <v>4.1910079966010656E-2</v>
      </c>
      <c r="AD135">
        <f t="shared" ca="1" si="48"/>
        <v>4.1705920177052026E-2</v>
      </c>
      <c r="AE135">
        <f t="shared" ca="1" si="49"/>
        <v>4.1465438061094484E-2</v>
      </c>
      <c r="AF135">
        <f t="shared" ca="1" si="50"/>
        <v>4.1372410546139361E-2</v>
      </c>
      <c r="AG135">
        <f t="shared" ca="1" si="51"/>
        <v>4.1542896442734019E-2</v>
      </c>
      <c r="AH135">
        <f t="shared" ca="1" si="52"/>
        <v>4.1145427550825404E-2</v>
      </c>
      <c r="AI135">
        <f t="shared" ca="1" si="53"/>
        <v>4.137748888530219E-2</v>
      </c>
      <c r="AJ135">
        <f t="shared" ca="1" si="54"/>
        <v>4.1161590314231819E-2</v>
      </c>
      <c r="AK135">
        <f t="shared" ca="1" si="55"/>
        <v>4.0941568403980187E-2</v>
      </c>
      <c r="AL135">
        <f t="shared" ca="1" si="56"/>
        <v>4.0572270267905317E-2</v>
      </c>
      <c r="AM135">
        <f t="shared" ca="1" si="57"/>
        <v>4.0197182686540968E-2</v>
      </c>
      <c r="AN135">
        <f t="shared" ca="1" si="58"/>
        <v>4.0246544858280629E-2</v>
      </c>
      <c r="AO135">
        <f t="shared" ca="1" si="59"/>
        <v>4.0112279476998698E-2</v>
      </c>
      <c r="AP135">
        <f t="shared" ca="1" si="60"/>
        <v>4.0294847425163607E-2</v>
      </c>
      <c r="AQ135">
        <f t="shared" ca="1" si="61"/>
        <v>4.0688805444731281E-2</v>
      </c>
      <c r="AR135">
        <f t="shared" ca="1" si="62"/>
        <v>4.0735680813244607E-2</v>
      </c>
      <c r="AS135">
        <f t="shared" ca="1" si="63"/>
        <v>3.9889816901615915E-2</v>
      </c>
      <c r="AT135">
        <f t="shared" ca="1" si="64"/>
        <v>3.978254393803992E-2</v>
      </c>
      <c r="AU135">
        <f t="shared" ca="1" si="65"/>
        <v>3.9720904105134007E-2</v>
      </c>
      <c r="AV135">
        <f t="shared" ca="1" si="66"/>
        <v>3.956860958873918E-2</v>
      </c>
    </row>
    <row r="136" spans="1:48" ht="16" x14ac:dyDescent="0.2">
      <c r="A136" t="e" vm="2901">
        <v>#VALUE!</v>
      </c>
      <c r="B136" s="23" t="str" cm="1">
        <f t="array" aca="1" ref="B136" ca="1">_FV(A136,"ticker symbol",TRUE)</f>
        <v>EWC</v>
      </c>
      <c r="C136" s="23" t="str" cm="1">
        <f t="array" aca="1" ref="C136" ca="1">_FV(A136,"Name")</f>
        <v>iShares:MSCI Canada</v>
      </c>
      <c r="D136" cm="1" vm="2902">
        <f t="array" aca="1" ref="D136:Y136" ca="1">TRANSPOSE(_xlfn.STOCKHISTORY(B136, WORKDAY(TODAY(), -23), TODAY(), 0, 0, 1))</f>
        <v>50.62</v>
      </c>
      <c r="E136" vm="125">
        <f ca="1"/>
        <v>49.91</v>
      </c>
      <c r="F136" vm="2903">
        <f ca="1"/>
        <v>50.43</v>
      </c>
      <c r="G136" vm="2904">
        <f ca="1"/>
        <v>51.05</v>
      </c>
      <c r="H136" vm="467">
        <f ca="1"/>
        <v>51.56</v>
      </c>
      <c r="I136" vm="2905">
        <f ca="1"/>
        <v>52.25</v>
      </c>
      <c r="J136" vm="2906">
        <f ca="1"/>
        <v>52.7</v>
      </c>
      <c r="K136" vm="2907">
        <f ca="1"/>
        <v>52.18</v>
      </c>
      <c r="L136" vm="2908">
        <f ca="1"/>
        <v>52.14</v>
      </c>
      <c r="M136" vm="2909">
        <f ca="1"/>
        <v>52.47</v>
      </c>
      <c r="N136" vm="2192">
        <f ca="1"/>
        <v>53.07</v>
      </c>
      <c r="O136" vm="1525">
        <f ca="1"/>
        <v>53.29</v>
      </c>
      <c r="P136" vm="472">
        <f ca="1"/>
        <v>52.95</v>
      </c>
      <c r="Q136" vm="2192">
        <f ca="1"/>
        <v>53.07</v>
      </c>
      <c r="R136" vm="73">
        <f ca="1"/>
        <v>53.72</v>
      </c>
      <c r="S136" vm="2649">
        <f ca="1"/>
        <v>54.08</v>
      </c>
      <c r="T136" vm="480">
        <f ca="1"/>
        <v>53.89</v>
      </c>
      <c r="U136" vm="150">
        <f ca="1"/>
        <v>53.8</v>
      </c>
      <c r="V136" vm="2650">
        <f ca="1"/>
        <v>52.98</v>
      </c>
      <c r="W136" vm="2910">
        <f ca="1"/>
        <v>52.81</v>
      </c>
      <c r="X136" vm="2911">
        <f ca="1"/>
        <v>53.22</v>
      </c>
      <c r="Y136" vm="103">
        <f ca="1"/>
        <v>53.68</v>
      </c>
      <c r="AA136">
        <f t="shared" ca="1" si="45"/>
        <v>7.6392556932224617E-2</v>
      </c>
      <c r="AB136">
        <f t="shared" ca="1" si="46"/>
        <v>7.648690481663678E-2</v>
      </c>
      <c r="AC136">
        <f t="shared" ca="1" si="47"/>
        <v>7.6521554405717493E-2</v>
      </c>
      <c r="AD136">
        <f t="shared" ca="1" si="48"/>
        <v>7.6338731625618703E-2</v>
      </c>
      <c r="AE136">
        <f t="shared" ca="1" si="49"/>
        <v>7.6382921987496674E-2</v>
      </c>
      <c r="AF136">
        <f t="shared" ca="1" si="50"/>
        <v>7.6874411487758948E-2</v>
      </c>
      <c r="AG136">
        <f t="shared" ca="1" si="51"/>
        <v>7.7115556270943394E-2</v>
      </c>
      <c r="AH136">
        <f t="shared" ca="1" si="52"/>
        <v>7.6704837784997135E-2</v>
      </c>
      <c r="AI136">
        <f t="shared" ca="1" si="53"/>
        <v>7.6504335832611917E-2</v>
      </c>
      <c r="AJ136">
        <f t="shared" ca="1" si="54"/>
        <v>7.6722864788196926E-2</v>
      </c>
      <c r="AK136">
        <f t="shared" ca="1" si="55"/>
        <v>7.7543505895761186E-2</v>
      </c>
      <c r="AL136">
        <f t="shared" ca="1" si="56"/>
        <v>7.7717335822310371E-2</v>
      </c>
      <c r="AM136">
        <f t="shared" ca="1" si="57"/>
        <v>7.7454178429852416E-2</v>
      </c>
      <c r="AN136">
        <f t="shared" ca="1" si="58"/>
        <v>7.7696767392832045E-2</v>
      </c>
      <c r="AO136">
        <f t="shared" ca="1" si="59"/>
        <v>7.8130226740550049E-2</v>
      </c>
      <c r="AP136">
        <f t="shared" ca="1" si="60"/>
        <v>7.8471204492360377E-2</v>
      </c>
      <c r="AQ136">
        <f t="shared" ca="1" si="61"/>
        <v>7.9045411875146687E-2</v>
      </c>
      <c r="AR136">
        <f t="shared" ca="1" si="62"/>
        <v>7.9032803020287035E-2</v>
      </c>
      <c r="AS136">
        <f t="shared" ca="1" si="63"/>
        <v>7.8041451235140738E-2</v>
      </c>
      <c r="AT136">
        <f t="shared" ca="1" si="64"/>
        <v>7.865653857610963E-2</v>
      </c>
      <c r="AU136">
        <f t="shared" ca="1" si="65"/>
        <v>7.8673111889662514E-2</v>
      </c>
      <c r="AV136">
        <f t="shared" ca="1" si="66"/>
        <v>7.887274276730484E-2</v>
      </c>
    </row>
    <row r="137" spans="1:48" ht="16" x14ac:dyDescent="0.2">
      <c r="A137" t="e" vm="2912">
        <v>#VALUE!</v>
      </c>
      <c r="B137" s="23" t="str" cm="1">
        <f t="array" aca="1" ref="B137" ca="1">_FV(A137,"ticker symbol",TRUE)</f>
        <v>EWP</v>
      </c>
      <c r="C137" s="23" t="str" cm="1">
        <f t="array" aca="1" ref="C137" ca="1">_FV(A137,"Name")</f>
        <v>iShares:MSCI Spain</v>
      </c>
      <c r="D137" cm="1" vm="125">
        <f t="array" aca="1" ref="D137:Y137" ca="1">TRANSPOSE(_xlfn.STOCKHISTORY(B137, WORKDAY(TODAY(), -23), TODAY(), 0, 0, 1))</f>
        <v>49.91</v>
      </c>
      <c r="E137" vm="2913">
        <f ca="1"/>
        <v>49.37</v>
      </c>
      <c r="F137" vm="2914">
        <f ca="1"/>
        <v>49.73</v>
      </c>
      <c r="G137" vm="2915">
        <f ca="1"/>
        <v>49.94</v>
      </c>
      <c r="H137" vm="838">
        <f ca="1"/>
        <v>50.84</v>
      </c>
      <c r="I137" vm="2916">
        <f ca="1"/>
        <v>51.59</v>
      </c>
      <c r="J137" vm="2917">
        <f ca="1"/>
        <v>51.66</v>
      </c>
      <c r="K137" vm="2918">
        <f ca="1"/>
        <v>51.57</v>
      </c>
      <c r="L137" vm="2919">
        <f ca="1"/>
        <v>52.02</v>
      </c>
      <c r="M137" vm="2920">
        <f ca="1"/>
        <v>52.41</v>
      </c>
      <c r="N137" vm="2921">
        <f ca="1"/>
        <v>52.49</v>
      </c>
      <c r="O137" vm="2922">
        <f ca="1"/>
        <v>52.29</v>
      </c>
      <c r="P137" vm="2923">
        <f ca="1"/>
        <v>52.31</v>
      </c>
      <c r="Q137" vm="2924">
        <f ca="1"/>
        <v>52.36</v>
      </c>
      <c r="R137" vm="2925">
        <f ca="1"/>
        <v>53.06</v>
      </c>
      <c r="S137" vm="478">
        <f ca="1"/>
        <v>53.48</v>
      </c>
      <c r="T137" vm="2926">
        <f ca="1"/>
        <v>53.36</v>
      </c>
      <c r="U137" vm="2927">
        <f ca="1"/>
        <v>54.01</v>
      </c>
      <c r="V137" vm="2928">
        <f ca="1"/>
        <v>52.88</v>
      </c>
      <c r="W137" vm="148">
        <f ca="1"/>
        <v>52.8</v>
      </c>
      <c r="X137" vm="2929">
        <f ca="1"/>
        <v>53.21</v>
      </c>
      <c r="Y137" vm="105">
        <f ca="1"/>
        <v>53.45</v>
      </c>
      <c r="AA137">
        <f t="shared" ca="1" si="45"/>
        <v>7.5321069073238447E-2</v>
      </c>
      <c r="AB137">
        <f t="shared" ca="1" si="46"/>
        <v>7.5659356657931429E-2</v>
      </c>
      <c r="AC137">
        <f t="shared" ca="1" si="47"/>
        <v>7.5459387281307369E-2</v>
      </c>
      <c r="AD137">
        <f t="shared" ca="1" si="48"/>
        <v>7.4678868900752163E-2</v>
      </c>
      <c r="AE137">
        <f t="shared" ca="1" si="49"/>
        <v>7.531628692483186E-2</v>
      </c>
      <c r="AF137">
        <f t="shared" ca="1" si="50"/>
        <v>7.5903366290018842E-2</v>
      </c>
      <c r="AG137">
        <f t="shared" ca="1" si="51"/>
        <v>7.5593731251554747E-2</v>
      </c>
      <c r="AH137">
        <f t="shared" ca="1" si="52"/>
        <v>7.5808135005218519E-2</v>
      </c>
      <c r="AI137">
        <f t="shared" ca="1" si="53"/>
        <v>7.6328261411823403E-2</v>
      </c>
      <c r="AJ137">
        <f t="shared" ca="1" si="54"/>
        <v>7.6635131380777613E-2</v>
      </c>
      <c r="AK137">
        <f t="shared" ca="1" si="55"/>
        <v>7.6696035885971459E-2</v>
      </c>
      <c r="AL137">
        <f t="shared" ca="1" si="56"/>
        <v>7.6258950837842163E-2</v>
      </c>
      <c r="AM137">
        <f t="shared" ca="1" si="57"/>
        <v>7.6517999502654949E-2</v>
      </c>
      <c r="AN137">
        <f t="shared" ca="1" si="58"/>
        <v>7.6657296790817522E-2</v>
      </c>
      <c r="AO137">
        <f t="shared" ca="1" si="59"/>
        <v>7.7170324476053348E-2</v>
      </c>
      <c r="AP137">
        <f t="shared" ca="1" si="60"/>
        <v>7.7600592016483602E-2</v>
      </c>
      <c r="AQ137">
        <f t="shared" ca="1" si="61"/>
        <v>7.8268012203708048E-2</v>
      </c>
      <c r="AR137">
        <f t="shared" ca="1" si="62"/>
        <v>7.9341295374083701E-2</v>
      </c>
      <c r="AS137">
        <f t="shared" ca="1" si="63"/>
        <v>7.7894147627675409E-2</v>
      </c>
      <c r="AT137">
        <f t="shared" ca="1" si="64"/>
        <v>7.864164432529043E-2</v>
      </c>
      <c r="AU137">
        <f t="shared" ca="1" si="65"/>
        <v>7.8658329268112406E-2</v>
      </c>
      <c r="AV137">
        <f t="shared" ca="1" si="66"/>
        <v>7.853480068763867E-2</v>
      </c>
    </row>
    <row r="138" spans="1:48" ht="16" x14ac:dyDescent="0.2">
      <c r="A138" t="e" vm="2930">
        <v>#VALUE!</v>
      </c>
      <c r="B138" s="23" t="str" cm="1">
        <f t="array" aca="1" ref="B138" ca="1">_FV(A138,"ticker symbol",TRUE)</f>
        <v>EZA</v>
      </c>
      <c r="C138" s="23" t="str" cm="1">
        <f t="array" aca="1" ref="C138" ca="1">_FV(A138,"Name")</f>
        <v>iShares:MSCI S Africa</v>
      </c>
      <c r="D138" cm="1" vm="2931">
        <f t="array" aca="1" ref="D138:Y138" ca="1">TRANSPOSE(_xlfn.STOCKHISTORY(B138, WORKDAY(TODAY(), -23), TODAY(), 0, 0, 1))</f>
        <v>66.569999999999993</v>
      </c>
      <c r="E138" vm="2932">
        <f ca="1"/>
        <v>64.930000000000007</v>
      </c>
      <c r="F138" vm="72">
        <f ca="1"/>
        <v>64.86</v>
      </c>
      <c r="G138" vm="2933">
        <f ca="1"/>
        <v>65.89</v>
      </c>
      <c r="H138" vm="2934">
        <f ca="1"/>
        <v>66.3</v>
      </c>
      <c r="I138" vm="2935">
        <f ca="1"/>
        <v>67.83</v>
      </c>
      <c r="J138" vm="2936">
        <f ca="1"/>
        <v>66.739999999999995</v>
      </c>
      <c r="K138" vm="2795">
        <f ca="1"/>
        <v>67.45</v>
      </c>
      <c r="L138" vm="2473">
        <f ca="1"/>
        <v>66.5</v>
      </c>
      <c r="M138" vm="2937">
        <f ca="1"/>
        <v>66.92</v>
      </c>
      <c r="N138" vm="1613">
        <f ca="1"/>
        <v>67.05</v>
      </c>
      <c r="O138" vm="2783">
        <f ca="1"/>
        <v>67.88</v>
      </c>
      <c r="P138" vm="2938">
        <f ca="1"/>
        <v>66.39</v>
      </c>
      <c r="Q138" vm="2939">
        <f ca="1"/>
        <v>66.91</v>
      </c>
      <c r="R138" vm="2940">
        <f ca="1"/>
        <v>68.180000000000007</v>
      </c>
      <c r="S138" vm="2941">
        <f ca="1"/>
        <v>69.5</v>
      </c>
      <c r="T138" vm="2942">
        <f ca="1"/>
        <v>68.63</v>
      </c>
      <c r="U138" vm="2943">
        <f ca="1"/>
        <v>69.61</v>
      </c>
      <c r="V138" vm="2944">
        <f ca="1"/>
        <v>65.7</v>
      </c>
      <c r="W138" vm="2945">
        <f ca="1"/>
        <v>66.64</v>
      </c>
      <c r="X138" vm="2946">
        <f ca="1"/>
        <v>67.510000000000005</v>
      </c>
      <c r="Y138" vm="107">
        <f ca="1"/>
        <v>67.599999999999994</v>
      </c>
      <c r="AA138">
        <f t="shared" ca="1" si="45"/>
        <v>0.10046330531367428</v>
      </c>
      <c r="AB138">
        <f t="shared" ca="1" si="46"/>
        <v>9.9505003601367006E-2</v>
      </c>
      <c r="AC138">
        <f t="shared" ca="1" si="47"/>
        <v>9.8417370984628924E-2</v>
      </c>
      <c r="AD138">
        <f t="shared" ca="1" si="48"/>
        <v>9.8530049496807381E-2</v>
      </c>
      <c r="AE138">
        <f t="shared" ca="1" si="49"/>
        <v>9.8219312020384586E-2</v>
      </c>
      <c r="AF138">
        <f t="shared" ca="1" si="50"/>
        <v>9.9796963276836168E-2</v>
      </c>
      <c r="AG138">
        <f t="shared" ca="1" si="51"/>
        <v>9.7660194032689968E-2</v>
      </c>
      <c r="AH138">
        <f t="shared" ca="1" si="52"/>
        <v>9.9151807370602862E-2</v>
      </c>
      <c r="AI138">
        <f t="shared" ca="1" si="53"/>
        <v>9.7574574853638144E-2</v>
      </c>
      <c r="AJ138">
        <f t="shared" ca="1" si="54"/>
        <v>9.7851993741683602E-2</v>
      </c>
      <c r="AK138">
        <f t="shared" ca="1" si="55"/>
        <v>9.7970455442072502E-2</v>
      </c>
      <c r="AL138">
        <f t="shared" ca="1" si="56"/>
        <v>9.8995172745701396E-2</v>
      </c>
      <c r="AM138">
        <f t="shared" ca="1" si="57"/>
        <v>9.7113935900999079E-2</v>
      </c>
      <c r="AN138">
        <f t="shared" ca="1" si="58"/>
        <v>9.7959123916608104E-2</v>
      </c>
      <c r="AO138">
        <f t="shared" ca="1" si="59"/>
        <v>9.9160812717250607E-2</v>
      </c>
      <c r="AP138">
        <f t="shared" ca="1" si="60"/>
        <v>0.10084594512239362</v>
      </c>
      <c r="AQ138">
        <f t="shared" ca="1" si="61"/>
        <v>0.10066592349213799</v>
      </c>
      <c r="AR138">
        <f t="shared" ca="1" si="62"/>
        <v>0.10225787022754983</v>
      </c>
      <c r="AS138">
        <f t="shared" ca="1" si="63"/>
        <v>9.6778470104732867E-2</v>
      </c>
      <c r="AT138">
        <f t="shared" ca="1" si="64"/>
        <v>9.9255287459040817E-2</v>
      </c>
      <c r="AU138">
        <f t="shared" ca="1" si="65"/>
        <v>9.9797478084763552E-2</v>
      </c>
      <c r="AV138">
        <f t="shared" ca="1" si="66"/>
        <v>9.9325585154057497E-2</v>
      </c>
    </row>
    <row r="139" spans="1:48" ht="16" x14ac:dyDescent="0.2">
      <c r="A139" t="e" vm="2947">
        <v>#VALUE!</v>
      </c>
      <c r="B139" s="23" t="str" cm="1">
        <f t="array" aca="1" ref="B139" ca="1">_FV(A139,"ticker symbol",TRUE)</f>
        <v>EWL</v>
      </c>
      <c r="C139" s="23" t="str" cm="1">
        <f t="array" aca="1" ref="C139" ca="1">_FV(A139,"Name")</f>
        <v>iShares:MSCI Switzerland</v>
      </c>
      <c r="D139" cm="1" vm="2948">
        <f t="array" aca="1" ref="D139:Y139" ca="1">TRANSPOSE(_xlfn.STOCKHISTORY(B139, WORKDAY(TODAY(), -23), TODAY(), 0, 0, 1))</f>
        <v>56.36</v>
      </c>
      <c r="E139" vm="940">
        <f ca="1"/>
        <v>55.69</v>
      </c>
      <c r="F139" vm="2949">
        <f ca="1"/>
        <v>56.69</v>
      </c>
      <c r="G139" vm="2950">
        <f ca="1"/>
        <v>56.39</v>
      </c>
      <c r="H139" vm="2951">
        <f ca="1"/>
        <v>57.26</v>
      </c>
      <c r="I139" vm="2952">
        <f ca="1"/>
        <v>57.55</v>
      </c>
      <c r="J139" vm="2953">
        <f ca="1"/>
        <v>57.82</v>
      </c>
      <c r="K139" vm="1216">
        <f ca="1"/>
        <v>57.42</v>
      </c>
      <c r="L139" vm="2954">
        <f ca="1"/>
        <v>57.94</v>
      </c>
      <c r="M139" vm="2955">
        <f ca="1"/>
        <v>58.07</v>
      </c>
      <c r="N139" vm="2956">
        <f ca="1"/>
        <v>57.91</v>
      </c>
      <c r="O139" vm="2957">
        <f ca="1"/>
        <v>58.03</v>
      </c>
      <c r="P139" vm="2958">
        <f ca="1"/>
        <v>57.76</v>
      </c>
      <c r="Q139" vm="2959">
        <f ca="1"/>
        <v>57.69</v>
      </c>
      <c r="R139" vm="2960">
        <f ca="1"/>
        <v>58.38</v>
      </c>
      <c r="S139" vm="2961">
        <f ca="1"/>
        <v>58.49</v>
      </c>
      <c r="T139" vm="2962">
        <f ca="1"/>
        <v>58.37</v>
      </c>
      <c r="U139" vm="2963">
        <f ca="1"/>
        <v>59.06</v>
      </c>
      <c r="V139" vm="2964">
        <f ca="1"/>
        <v>59.02</v>
      </c>
      <c r="W139" vm="2965">
        <f ca="1"/>
        <v>58.84</v>
      </c>
      <c r="X139" vm="2966">
        <f ca="1"/>
        <v>59.47</v>
      </c>
      <c r="Y139" vm="109">
        <f ca="1"/>
        <v>59.57</v>
      </c>
      <c r="AA139">
        <f t="shared" ca="1" si="45"/>
        <v>8.5055008073887384E-2</v>
      </c>
      <c r="AB139">
        <f t="shared" ca="1" si="46"/>
        <v>8.5344735107964378E-2</v>
      </c>
      <c r="AC139">
        <f t="shared" ca="1" si="47"/>
        <v>8.6020363261156543E-2</v>
      </c>
      <c r="AD139">
        <f t="shared" ca="1" si="48"/>
        <v>8.4324017166868534E-2</v>
      </c>
      <c r="AE139">
        <f t="shared" ca="1" si="49"/>
        <v>8.4827116233593083E-2</v>
      </c>
      <c r="AF139">
        <f t="shared" ca="1" si="50"/>
        <v>8.4672198681732577E-2</v>
      </c>
      <c r="AG139">
        <f t="shared" ca="1" si="51"/>
        <v>8.4607617904856672E-2</v>
      </c>
      <c r="AH139">
        <f t="shared" ca="1" si="52"/>
        <v>8.440766166375116E-2</v>
      </c>
      <c r="AI139">
        <f t="shared" ca="1" si="53"/>
        <v>8.5014599504057042E-2</v>
      </c>
      <c r="AJ139">
        <f t="shared" ca="1" si="54"/>
        <v>8.4911316147333632E-2</v>
      </c>
      <c r="AK139">
        <f t="shared" ca="1" si="55"/>
        <v>8.4615497011937629E-2</v>
      </c>
      <c r="AL139">
        <f t="shared" ca="1" si="56"/>
        <v>8.463008064868964E-2</v>
      </c>
      <c r="AM139">
        <f t="shared" ca="1" si="57"/>
        <v>8.4490148179570818E-2</v>
      </c>
      <c r="AN139">
        <f t="shared" ca="1" si="58"/>
        <v>8.4460646521433591E-2</v>
      </c>
      <c r="AO139">
        <f t="shared" ca="1" si="59"/>
        <v>8.4907718486844974E-2</v>
      </c>
      <c r="AP139">
        <f t="shared" ca="1" si="60"/>
        <v>8.4870206190054712E-2</v>
      </c>
      <c r="AQ139">
        <f t="shared" ca="1" si="61"/>
        <v>8.5616639286552457E-2</v>
      </c>
      <c r="AR139">
        <f t="shared" ca="1" si="62"/>
        <v>8.6759801977289094E-2</v>
      </c>
      <c r="AS139">
        <f t="shared" ca="1" si="63"/>
        <v>8.6938589126047697E-2</v>
      </c>
      <c r="AT139">
        <f t="shared" ca="1" si="64"/>
        <v>8.7637771820077454E-2</v>
      </c>
      <c r="AU139">
        <f t="shared" ca="1" si="65"/>
        <v>8.7912250358478564E-2</v>
      </c>
      <c r="AV139">
        <f t="shared" ca="1" si="66"/>
        <v>8.752699863353855E-2</v>
      </c>
    </row>
    <row r="140" spans="1:48" ht="16" x14ac:dyDescent="0.2">
      <c r="A140" t="e" vm="2967">
        <v>#VALUE!</v>
      </c>
      <c r="B140" s="23" t="str" cm="1">
        <f t="array" aca="1" ref="B140" ca="1">_FV(A140,"ticker symbol",TRUE)</f>
        <v>UUP</v>
      </c>
      <c r="C140" s="23" t="str" cm="1">
        <f t="array" aca="1" ref="C140" ca="1">_FV(A140,"Name")</f>
        <v>Invesco DB USD Idx Bl</v>
      </c>
      <c r="D140" cm="1" vm="2889">
        <f t="array" aca="1" ref="D140:Y140" ca="1">TRANSPOSE(_xlfn.STOCKHISTORY(B140, WORKDAY(TODAY(), -23), TODAY(), 0, 0, 1))</f>
        <v>28.39</v>
      </c>
      <c r="E140" vm="2968">
        <f ca="1"/>
        <v>28.41</v>
      </c>
      <c r="F140" vm="2889">
        <f ca="1"/>
        <v>28.39</v>
      </c>
      <c r="G140" vm="2889">
        <f ca="1"/>
        <v>28.39</v>
      </c>
      <c r="H140" vm="2969">
        <f ca="1"/>
        <v>28.31</v>
      </c>
      <c r="I140" vm="2970">
        <f ca="1"/>
        <v>28.23</v>
      </c>
      <c r="J140" vm="2971">
        <f ca="1"/>
        <v>28.21</v>
      </c>
      <c r="K140" vm="2890">
        <f ca="1"/>
        <v>28.2</v>
      </c>
      <c r="L140" vm="2972">
        <f ca="1"/>
        <v>28.19</v>
      </c>
      <c r="M140" vm="2973">
        <f ca="1"/>
        <v>28.05</v>
      </c>
      <c r="N140" vm="2974">
        <f ca="1"/>
        <v>28.11</v>
      </c>
      <c r="O140" vm="2975">
        <f ca="1"/>
        <v>28.08</v>
      </c>
      <c r="P140" vm="2888">
        <f ca="1"/>
        <v>28.12</v>
      </c>
      <c r="Q140" vm="2976">
        <f ca="1"/>
        <v>28.16</v>
      </c>
      <c r="R140" vm="2977">
        <f ca="1"/>
        <v>28.01</v>
      </c>
      <c r="S140" vm="2978">
        <f ca="1"/>
        <v>27.91</v>
      </c>
      <c r="T140" vm="2979">
        <f ca="1"/>
        <v>27.95</v>
      </c>
      <c r="U140" vm="2980">
        <f ca="1"/>
        <v>27.93</v>
      </c>
      <c r="V140" vm="2981">
        <f ca="1"/>
        <v>27.9</v>
      </c>
      <c r="W140" vm="2982">
        <f ca="1"/>
        <v>27.96</v>
      </c>
      <c r="X140" vm="2983">
        <f ca="1"/>
        <v>27.98</v>
      </c>
      <c r="Y140" vm="111">
        <f ca="1"/>
        <v>28.07</v>
      </c>
      <c r="AA140">
        <f t="shared" ca="1" si="45"/>
        <v>4.2844422981150869E-2</v>
      </c>
      <c r="AB140">
        <f t="shared" ca="1" si="46"/>
        <v>4.3538228127442416E-2</v>
      </c>
      <c r="AC140">
        <f t="shared" ca="1" si="47"/>
        <v>4.3078463802861781E-2</v>
      </c>
      <c r="AD140">
        <f t="shared" ca="1" si="48"/>
        <v>4.2453606089154071E-2</v>
      </c>
      <c r="AE140">
        <f t="shared" ca="1" si="49"/>
        <v>4.1939498088945509E-2</v>
      </c>
      <c r="AF140">
        <f t="shared" ca="1" si="50"/>
        <v>4.1534251412429384E-2</v>
      </c>
      <c r="AG140">
        <f t="shared" ca="1" si="51"/>
        <v>4.1279503650916753E-2</v>
      </c>
      <c r="AH140">
        <f t="shared" ca="1" si="52"/>
        <v>4.1454128507798373E-2</v>
      </c>
      <c r="AI140">
        <f t="shared" ca="1" si="53"/>
        <v>4.1362816016903149E-2</v>
      </c>
      <c r="AJ140">
        <f t="shared" ca="1" si="54"/>
        <v>4.1015367968532952E-2</v>
      </c>
      <c r="AK140">
        <f t="shared" ca="1" si="55"/>
        <v>4.1073072371016525E-2</v>
      </c>
      <c r="AL140">
        <f t="shared" ca="1" si="56"/>
        <v>4.0951450363867048E-2</v>
      </c>
      <c r="AM140">
        <f t="shared" ca="1" si="57"/>
        <v>4.1133361613738428E-2</v>
      </c>
      <c r="AN140">
        <f t="shared" ca="1" si="58"/>
        <v>4.1227453736237998E-2</v>
      </c>
      <c r="AO140">
        <f t="shared" ca="1" si="59"/>
        <v>4.0737670346292013E-2</v>
      </c>
      <c r="AP140">
        <f t="shared" ca="1" si="60"/>
        <v>4.0497990336201523E-2</v>
      </c>
      <c r="AQ140">
        <f t="shared" ca="1" si="61"/>
        <v>4.0996831729640928E-2</v>
      </c>
      <c r="AR140">
        <f t="shared" ca="1" si="62"/>
        <v>4.1029483054955705E-2</v>
      </c>
      <c r="AS140">
        <f t="shared" ca="1" si="63"/>
        <v>4.1097706482831765E-2</v>
      </c>
      <c r="AT140">
        <f t="shared" ca="1" si="64"/>
        <v>4.1644325290437892E-2</v>
      </c>
      <c r="AU140">
        <f t="shared" ca="1" si="65"/>
        <v>4.1361775097195734E-2</v>
      </c>
      <c r="AV140">
        <f t="shared" ca="1" si="66"/>
        <v>4.1243626853171511E-2</v>
      </c>
    </row>
    <row r="141" spans="1:48" ht="16" x14ac:dyDescent="0.2">
      <c r="A141" t="e" vm="2984">
        <v>#VALUE!</v>
      </c>
      <c r="B141" s="23" t="str" cm="1">
        <f t="array" aca="1" ref="B141" ca="1">_FV(A141,"ticker symbol",TRUE)</f>
        <v>FXE</v>
      </c>
      <c r="C141" s="23" t="str" cm="1">
        <f t="array" aca="1" ref="C141" ca="1">_FV(A141,"Name")</f>
        <v>Invesco:Euro</v>
      </c>
      <c r="D141" cm="1" vm="2985">
        <f t="array" aca="1" ref="D141:Y141" ca="1">TRANSPOSE(_xlfn.STOCKHISTORY(B141, WORKDAY(TODAY(), -23), TODAY(), 0, 0, 1))</f>
        <v>106.355</v>
      </c>
      <c r="E141" vm="2986">
        <f ca="1"/>
        <v>106.33</v>
      </c>
      <c r="F141" vm="2987">
        <f ca="1"/>
        <v>106.27500000000001</v>
      </c>
      <c r="G141" vm="2988">
        <f ca="1"/>
        <v>106.36</v>
      </c>
      <c r="H141" vm="2989">
        <f ca="1"/>
        <v>106.7</v>
      </c>
      <c r="I141" vm="2990">
        <f ca="1"/>
        <v>106.99</v>
      </c>
      <c r="J141" vm="2991">
        <f ca="1"/>
        <v>107.09</v>
      </c>
      <c r="K141" vm="2992">
        <f ca="1"/>
        <v>107.07</v>
      </c>
      <c r="L141" vm="2993">
        <f ca="1"/>
        <v>107.25</v>
      </c>
      <c r="M141" vm="2994">
        <f ca="1"/>
        <v>107.61499999999999</v>
      </c>
      <c r="N141" vm="2995">
        <f ca="1"/>
        <v>107.45</v>
      </c>
      <c r="O141" vm="2996">
        <f ca="1"/>
        <v>107.42</v>
      </c>
      <c r="P141" vm="2997">
        <f ca="1"/>
        <v>107.38500000000001</v>
      </c>
      <c r="Q141" vm="2998">
        <f ca="1"/>
        <v>107.265</v>
      </c>
      <c r="R141" vm="2999">
        <f ca="1"/>
        <v>107.87</v>
      </c>
      <c r="S141" vm="3000">
        <f ca="1"/>
        <v>108.319</v>
      </c>
      <c r="T141" vm="3001">
        <f ca="1"/>
        <v>108.3</v>
      </c>
      <c r="U141" vm="3002">
        <f ca="1"/>
        <v>108.44</v>
      </c>
      <c r="V141" vm="3003">
        <f ca="1"/>
        <v>108.39</v>
      </c>
      <c r="W141" vm="3004">
        <f ca="1"/>
        <v>108.325</v>
      </c>
      <c r="X141" vm="3005">
        <f ca="1"/>
        <v>108.15</v>
      </c>
      <c r="Y141" vm="113">
        <f ca="1"/>
        <v>108.05</v>
      </c>
      <c r="AA141">
        <f t="shared" ca="1" si="45"/>
        <v>0.16050435386263828</v>
      </c>
      <c r="AB141">
        <f t="shared" ca="1" si="46"/>
        <v>0.16295036243544359</v>
      </c>
      <c r="AC141">
        <f t="shared" ca="1" si="47"/>
        <v>0.16125973020955042</v>
      </c>
      <c r="AD141">
        <f t="shared" ca="1" si="48"/>
        <v>0.15904774722234682</v>
      </c>
      <c r="AE141">
        <f t="shared" ca="1" si="49"/>
        <v>0.1580693905365767</v>
      </c>
      <c r="AF141">
        <f t="shared" ca="1" si="50"/>
        <v>0.15741231167608286</v>
      </c>
      <c r="AG141">
        <f t="shared" ca="1" si="51"/>
        <v>0.1567040781983933</v>
      </c>
      <c r="AH141">
        <f t="shared" ca="1" si="52"/>
        <v>0.15739338791950255</v>
      </c>
      <c r="AI141">
        <f t="shared" ca="1" si="53"/>
        <v>0.15736651357973971</v>
      </c>
      <c r="AJ141">
        <f t="shared" ca="1" si="54"/>
        <v>0.15735717732383864</v>
      </c>
      <c r="AK141">
        <f t="shared" ca="1" si="55"/>
        <v>0.15700112508949576</v>
      </c>
      <c r="AL141">
        <f t="shared" ca="1" si="56"/>
        <v>0.15665971503157403</v>
      </c>
      <c r="AM141">
        <f t="shared" ca="1" si="57"/>
        <v>0.15708058452671766</v>
      </c>
      <c r="AN141">
        <f t="shared" ca="1" si="58"/>
        <v>0.15704058327477161</v>
      </c>
      <c r="AO141">
        <f t="shared" ca="1" si="59"/>
        <v>0.15688584435039341</v>
      </c>
      <c r="AP141">
        <f t="shared" ca="1" si="60"/>
        <v>0.15717312129082811</v>
      </c>
      <c r="AQ141">
        <f t="shared" ca="1" si="61"/>
        <v>0.15885355550340297</v>
      </c>
      <c r="AR141">
        <f t="shared" ca="1" si="62"/>
        <v>0.15929957545576073</v>
      </c>
      <c r="AS141">
        <f t="shared" ca="1" si="63"/>
        <v>0.15966238013168943</v>
      </c>
      <c r="AT141">
        <f t="shared" ca="1" si="64"/>
        <v>0.16134197199880848</v>
      </c>
      <c r="AU141">
        <f t="shared" ca="1" si="65"/>
        <v>0.15987405206439309</v>
      </c>
      <c r="AV141">
        <f t="shared" ca="1" si="66"/>
        <v>0.15875931177360819</v>
      </c>
    </row>
    <row r="142" spans="1:48" ht="16" x14ac:dyDescent="0.2">
      <c r="A142" t="e" vm="3006">
        <v>#VALUE!</v>
      </c>
      <c r="B142" s="23" t="str" cm="1">
        <f t="array" aca="1" ref="B142" ca="1">_FV(A142,"ticker symbol",TRUE)</f>
        <v>FXY</v>
      </c>
      <c r="C142" s="23" t="str" cm="1">
        <f t="array" aca="1" ref="C142" ca="1">_FV(A142,"Name")</f>
        <v>Invesco:Japanese Yen</v>
      </c>
      <c r="D142" cm="1" vm="3007">
        <f t="array" aca="1" ref="D142:Y142" ca="1">TRANSPOSE(_xlfn.STOCKHISTORY(B142, WORKDAY(TODAY(), -23), TODAY(), 0, 0, 1))</f>
        <v>58.61</v>
      </c>
      <c r="E142" vm="3008">
        <f ca="1"/>
        <v>58.33</v>
      </c>
      <c r="F142" vm="3009">
        <f ca="1"/>
        <v>58.78</v>
      </c>
      <c r="G142" vm="3010">
        <f ca="1"/>
        <v>58.66</v>
      </c>
      <c r="H142" vm="3011">
        <f ca="1"/>
        <v>58.91</v>
      </c>
      <c r="I142" vm="3012">
        <f ca="1"/>
        <v>58.8</v>
      </c>
      <c r="J142" vm="3013">
        <f ca="1"/>
        <v>58.92</v>
      </c>
      <c r="K142" vm="3014">
        <f ca="1"/>
        <v>59.2</v>
      </c>
      <c r="L142" vm="2964">
        <f ca="1"/>
        <v>59.02</v>
      </c>
      <c r="M142" vm="3015">
        <f ca="1"/>
        <v>59.29</v>
      </c>
      <c r="N142" vm="3016">
        <f ca="1"/>
        <v>59.3</v>
      </c>
      <c r="O142" vm="3017">
        <f ca="1"/>
        <v>59.244999999999997</v>
      </c>
      <c r="P142" vm="1643">
        <f ca="1"/>
        <v>58.99</v>
      </c>
      <c r="Q142" vm="3018">
        <f ca="1"/>
        <v>58.62</v>
      </c>
      <c r="R142" vm="2964">
        <f ca="1"/>
        <v>59.02</v>
      </c>
      <c r="S142" vm="1648">
        <f ca="1"/>
        <v>59.1</v>
      </c>
      <c r="T142" vm="1585">
        <f ca="1"/>
        <v>58.98</v>
      </c>
      <c r="U142" vm="3019">
        <f ca="1"/>
        <v>59.25</v>
      </c>
      <c r="V142" vm="3020">
        <f ca="1"/>
        <v>59.44</v>
      </c>
      <c r="W142" vm="2963">
        <f ca="1"/>
        <v>59.06</v>
      </c>
      <c r="X142" vm="1648">
        <f ca="1"/>
        <v>59.1</v>
      </c>
      <c r="Y142" vm="115">
        <f ca="1"/>
        <v>58.3</v>
      </c>
      <c r="AA142">
        <f t="shared" ca="1" si="45"/>
        <v>8.8450568190392834E-2</v>
      </c>
      <c r="AB142">
        <f t="shared" ca="1" si="46"/>
        <v>8.9390526106079421E-2</v>
      </c>
      <c r="AC142">
        <f t="shared" ca="1" si="47"/>
        <v>8.9191690818323899E-2</v>
      </c>
      <c r="AD142">
        <f t="shared" ca="1" si="48"/>
        <v>8.7718511207811808E-2</v>
      </c>
      <c r="AE142">
        <f t="shared" ca="1" si="49"/>
        <v>8.7271488252199936E-2</v>
      </c>
      <c r="AF142">
        <f t="shared" ca="1" si="50"/>
        <v>8.6511299435028249E-2</v>
      </c>
      <c r="AG142">
        <f t="shared" ca="1" si="51"/>
        <v>8.6217240521517732E-2</v>
      </c>
      <c r="AH142">
        <f t="shared" ca="1" si="52"/>
        <v>8.7024269775236307E-2</v>
      </c>
      <c r="AI142">
        <f t="shared" ca="1" si="53"/>
        <v>8.6599269291153733E-2</v>
      </c>
      <c r="AJ142">
        <f t="shared" ca="1" si="54"/>
        <v>8.6695228764859841E-2</v>
      </c>
      <c r="AK142">
        <f t="shared" ca="1" si="55"/>
        <v>8.664650272505442E-2</v>
      </c>
      <c r="AL142">
        <f t="shared" ca="1" si="56"/>
        <v>8.6402018404818495E-2</v>
      </c>
      <c r="AM142">
        <f t="shared" ca="1" si="57"/>
        <v>8.628936705527844E-2</v>
      </c>
      <c r="AN142">
        <f t="shared" ca="1" si="58"/>
        <v>8.582220660576248E-2</v>
      </c>
      <c r="AO142">
        <f t="shared" ca="1" si="59"/>
        <v>8.5838532803932693E-2</v>
      </c>
      <c r="AP142">
        <f t="shared" ca="1" si="60"/>
        <v>8.5755328873862766E-2</v>
      </c>
      <c r="AQ142">
        <f t="shared" ca="1" si="61"/>
        <v>8.6511382304623324E-2</v>
      </c>
      <c r="AR142">
        <f t="shared" ca="1" si="62"/>
        <v>8.7038914106914639E-2</v>
      </c>
      <c r="AS142">
        <f t="shared" ca="1" si="63"/>
        <v>8.7557264277402153E-2</v>
      </c>
      <c r="AT142">
        <f t="shared" ca="1" si="64"/>
        <v>8.7965445338099496E-2</v>
      </c>
      <c r="AU142">
        <f t="shared" ca="1" si="65"/>
        <v>8.7365293361124655E-2</v>
      </c>
      <c r="AV142">
        <f t="shared" ca="1" si="66"/>
        <v>8.5660970628425329E-2</v>
      </c>
    </row>
    <row r="143" spans="1:48" ht="16" x14ac:dyDescent="0.2">
      <c r="A143" t="e" vm="3021">
        <v>#VALUE!</v>
      </c>
      <c r="B143" s="23" t="str" cm="1">
        <f t="array" aca="1" ref="B143" ca="1">_FV(A143,"ticker symbol",TRUE)</f>
        <v>FXB</v>
      </c>
      <c r="C143" s="23" t="str" cm="1">
        <f t="array" aca="1" ref="C143" ca="1">_FV(A143,"Name")</f>
        <v>Invesco:GBP Sterling</v>
      </c>
      <c r="D143" cm="1" vm="1725">
        <f t="array" aca="1" ref="D143:Y143" ca="1">TRANSPOSE(_xlfn.STOCKHISTORY(B143, WORKDAY(TODAY(), -23), TODAY(), 0, 0, 1))</f>
        <v>125.47</v>
      </c>
      <c r="E143" vm="3022">
        <f ca="1"/>
        <v>125.6992</v>
      </c>
      <c r="F143" vm="3023">
        <f ca="1"/>
        <v>126.03740000000001</v>
      </c>
      <c r="G143" vm="3024">
        <f ca="1"/>
        <v>126.12</v>
      </c>
      <c r="H143" vm="3025">
        <f ca="1"/>
        <v>126.601</v>
      </c>
      <c r="I143" vm="3026">
        <f ca="1"/>
        <v>127.3402</v>
      </c>
      <c r="J143" vm="3027">
        <f ca="1"/>
        <v>127.363</v>
      </c>
      <c r="K143" vm="3028">
        <f ca="1"/>
        <v>126.9161</v>
      </c>
      <c r="L143" vm="3029">
        <f ca="1"/>
        <v>126.9255</v>
      </c>
      <c r="M143" vm="3030">
        <f ca="1"/>
        <v>128.25059999999999</v>
      </c>
      <c r="N143" vm="3031">
        <f ca="1"/>
        <v>128.05770000000001</v>
      </c>
      <c r="O143" vm="3032">
        <f ca="1"/>
        <v>128.1</v>
      </c>
      <c r="P143" vm="3033">
        <f ca="1"/>
        <v>128.05000000000001</v>
      </c>
      <c r="Q143" vm="3034">
        <f ca="1"/>
        <v>127.81</v>
      </c>
      <c r="R143" vm="3035">
        <f ca="1"/>
        <v>128.66</v>
      </c>
      <c r="S143" vm="3036">
        <f ca="1"/>
        <v>128.71</v>
      </c>
      <c r="T143" vm="3037">
        <f ca="1"/>
        <v>128.51</v>
      </c>
      <c r="U143" vm="3038">
        <f ca="1"/>
        <v>128.61000000000001</v>
      </c>
      <c r="V143" vm="3039">
        <f ca="1"/>
        <v>129.11000000000001</v>
      </c>
      <c r="W143" vm="3035">
        <f ca="1"/>
        <v>128.66</v>
      </c>
      <c r="X143" vm="3040">
        <f ca="1"/>
        <v>128.72999999999999</v>
      </c>
      <c r="Y143" vm="117">
        <f ca="1"/>
        <v>128.63570000000001</v>
      </c>
      <c r="AA143">
        <f t="shared" ca="1" si="45"/>
        <v>0.18935152347463893</v>
      </c>
      <c r="AB143">
        <f t="shared" ca="1" si="46"/>
        <v>0.19263359539025027</v>
      </c>
      <c r="AC143">
        <f t="shared" ca="1" si="47"/>
        <v>0.19124683246589685</v>
      </c>
      <c r="AD143">
        <f t="shared" ca="1" si="48"/>
        <v>0.18859629446861961</v>
      </c>
      <c r="AE143">
        <f t="shared" ca="1" si="49"/>
        <v>0.18755147995614946</v>
      </c>
      <c r="AF143">
        <f t="shared" ca="1" si="50"/>
        <v>0.18735316619585687</v>
      </c>
      <c r="AG143">
        <f t="shared" ca="1" si="51"/>
        <v>0.1863694230234566</v>
      </c>
      <c r="AH143">
        <f t="shared" ca="1" si="52"/>
        <v>0.18656724535846061</v>
      </c>
      <c r="AI143">
        <f t="shared" ca="1" si="53"/>
        <v>0.18623611579827742</v>
      </c>
      <c r="AJ143">
        <f t="shared" ca="1" si="54"/>
        <v>0.18753103569287458</v>
      </c>
      <c r="AK143">
        <f t="shared" ca="1" si="55"/>
        <v>0.18711217288388202</v>
      </c>
      <c r="AL143">
        <f t="shared" ca="1" si="56"/>
        <v>0.18681911651037639</v>
      </c>
      <c r="AM143">
        <f t="shared" ca="1" si="57"/>
        <v>0.18730892441817945</v>
      </c>
      <c r="AN143">
        <f t="shared" ca="1" si="58"/>
        <v>0.18711934879362849</v>
      </c>
      <c r="AO143">
        <f t="shared" ca="1" si="59"/>
        <v>0.18712276568203962</v>
      </c>
      <c r="AP143">
        <f t="shared" ca="1" si="60"/>
        <v>0.18676088628350046</v>
      </c>
      <c r="AQ143">
        <f t="shared" ca="1" si="61"/>
        <v>0.18849741844637408</v>
      </c>
      <c r="AR143">
        <f t="shared" ca="1" si="62"/>
        <v>0.18892953153232561</v>
      </c>
      <c r="AS143">
        <f t="shared" ca="1" si="63"/>
        <v>0.19018368759850932</v>
      </c>
      <c r="AT143">
        <f t="shared" ca="1" si="64"/>
        <v>0.19162943103961871</v>
      </c>
      <c r="AU143">
        <f t="shared" ca="1" si="65"/>
        <v>0.1902966872145106</v>
      </c>
      <c r="AV143">
        <f t="shared" ca="1" si="66"/>
        <v>0.18900615642310351</v>
      </c>
    </row>
    <row r="144" spans="1:48" ht="16" x14ac:dyDescent="0.2">
      <c r="A144" t="e" vm="3041">
        <v>#VALUE!</v>
      </c>
      <c r="B144" s="23" t="str" cm="1">
        <f t="array" aca="1" ref="B144" ca="1">_FV(A144,"ticker symbol",TRUE)</f>
        <v>FXA</v>
      </c>
      <c r="C144" s="23" t="str" cm="1">
        <f t="array" aca="1" ref="C144" ca="1">_FV(A144,"Name")</f>
        <v>Invesco:AU Dollar</v>
      </c>
      <c r="D144" cm="1" vm="3042">
        <f t="array" aca="1" ref="D144:Y144" ca="1">TRANSPOSE(_xlfn.STOCKHISTORY(B144, WORKDAY(TODAY(), -23), TODAY(), 0, 0, 1))</f>
        <v>64.066999999999993</v>
      </c>
      <c r="E144" vm="3043">
        <f ca="1"/>
        <v>63.826799999999999</v>
      </c>
      <c r="F144" vm="3044">
        <f ca="1"/>
        <v>63.941699999999997</v>
      </c>
      <c r="G144" vm="3045">
        <f ca="1"/>
        <v>64.062299999999993</v>
      </c>
      <c r="H144" vm="3046">
        <f ca="1"/>
        <v>64.070599999999999</v>
      </c>
      <c r="I144" vm="3047">
        <f ca="1"/>
        <v>64.55</v>
      </c>
      <c r="J144" vm="3048">
        <f ca="1"/>
        <v>64.8827</v>
      </c>
      <c r="K144" vm="3049">
        <f ca="1"/>
        <v>64.760300000000001</v>
      </c>
      <c r="L144" vm="3050">
        <f ca="1"/>
        <v>65.011600000000001</v>
      </c>
      <c r="M144" vm="3051">
        <f ca="1"/>
        <v>65.364599999999996</v>
      </c>
      <c r="N144" vm="3052">
        <f ca="1"/>
        <v>65.466200000000001</v>
      </c>
      <c r="O144" vm="3053">
        <f ca="1"/>
        <v>65.723600000000005</v>
      </c>
      <c r="P144" vm="3054">
        <f ca="1"/>
        <v>65.595299999999995</v>
      </c>
      <c r="Q144" vm="3055">
        <f ca="1"/>
        <v>65.760099999999994</v>
      </c>
      <c r="R144" vm="3056">
        <f ca="1"/>
        <v>66.162300000000002</v>
      </c>
      <c r="S144" vm="3057">
        <f ca="1"/>
        <v>65.985600000000005</v>
      </c>
      <c r="T144" vm="3058">
        <f ca="1"/>
        <v>65.866</v>
      </c>
      <c r="U144" vm="3059">
        <f ca="1"/>
        <v>65.77</v>
      </c>
      <c r="V144" vm="3060">
        <f ca="1"/>
        <v>65.721800000000002</v>
      </c>
      <c r="W144" vm="3061">
        <f ca="1"/>
        <v>65.417500000000004</v>
      </c>
      <c r="X144" vm="3062">
        <f ca="1"/>
        <v>65.482399999999998</v>
      </c>
      <c r="Y144" vm="119">
        <f ca="1"/>
        <v>65.478399999999993</v>
      </c>
      <c r="AA144">
        <f t="shared" ca="1" si="45"/>
        <v>9.6685933326290677E-2</v>
      </c>
      <c r="AB144">
        <f t="shared" ca="1" si="46"/>
        <v>9.7814353363063766E-2</v>
      </c>
      <c r="AC144">
        <f t="shared" ca="1" si="47"/>
        <v>9.7023959455563483E-2</v>
      </c>
      <c r="AD144">
        <f t="shared" ca="1" si="48"/>
        <v>9.5796958413709554E-2</v>
      </c>
      <c r="AE144">
        <f t="shared" ca="1" si="49"/>
        <v>9.4916595063849959E-2</v>
      </c>
      <c r="AF144">
        <f t="shared" ca="1" si="50"/>
        <v>9.4971162900188325E-2</v>
      </c>
      <c r="AG144">
        <f t="shared" ca="1" si="51"/>
        <v>9.4942419409122167E-2</v>
      </c>
      <c r="AH144">
        <f t="shared" ca="1" si="52"/>
        <v>9.5197936113601958E-2</v>
      </c>
      <c r="AI144">
        <f t="shared" ca="1" si="53"/>
        <v>9.539066512112454E-2</v>
      </c>
      <c r="AJ144">
        <f t="shared" ca="1" si="54"/>
        <v>9.5577651376683379E-2</v>
      </c>
      <c r="AK144">
        <f t="shared" ca="1" si="55"/>
        <v>9.5656277853270799E-2</v>
      </c>
      <c r="AL144">
        <f t="shared" ca="1" si="56"/>
        <v>9.5850311365194188E-2</v>
      </c>
      <c r="AM144">
        <f t="shared" ca="1" si="57"/>
        <v>9.59514649737431E-2</v>
      </c>
      <c r="AN144">
        <f t="shared" ca="1" si="58"/>
        <v>9.6275620754274996E-2</v>
      </c>
      <c r="AO144">
        <f t="shared" ca="1" si="59"/>
        <v>9.6226275142894543E-2</v>
      </c>
      <c r="AP144">
        <f t="shared" ca="1" si="60"/>
        <v>9.5746477647024694E-2</v>
      </c>
      <c r="AQ144">
        <f t="shared" ca="1" si="61"/>
        <v>9.6611710865993905E-2</v>
      </c>
      <c r="AR144">
        <f t="shared" ca="1" si="62"/>
        <v>9.6616867186696626E-2</v>
      </c>
      <c r="AS144">
        <f t="shared" ca="1" si="63"/>
        <v>9.681058229116031E-2</v>
      </c>
      <c r="AT144">
        <f t="shared" ca="1" si="64"/>
        <v>9.74344652963956E-2</v>
      </c>
      <c r="AU144">
        <f t="shared" ca="1" si="65"/>
        <v>9.6800153739264108E-2</v>
      </c>
      <c r="AV144">
        <f t="shared" ca="1" si="66"/>
        <v>9.6208289866145533E-2</v>
      </c>
    </row>
    <row r="145" spans="1:48" ht="16" x14ac:dyDescent="0.2">
      <c r="A145" t="e" vm="3063">
        <v>#VALUE!</v>
      </c>
      <c r="B145" s="23" t="str" cm="1">
        <f t="array" aca="1" ref="B145" ca="1">_FV(A145,"ticker symbol",TRUE)</f>
        <v>FXF</v>
      </c>
      <c r="C145" s="23" t="str" cm="1">
        <f t="array" aca="1" ref="C145" ca="1">_FV(A145,"Name")</f>
        <v>Invesco:Swiss Franc</v>
      </c>
      <c r="D145" cm="1" vm="3064">
        <f t="array" aca="1" ref="D145:Y145" ca="1">TRANSPOSE(_xlfn.STOCKHISTORY(B145, WORKDAY(TODAY(), -23), TODAY(), 0, 0, 1))</f>
        <v>109.8</v>
      </c>
      <c r="E145" vm="3065">
        <f ca="1"/>
        <v>109.753</v>
      </c>
      <c r="F145" vm="3066">
        <f ca="1"/>
        <v>109.55880000000001</v>
      </c>
      <c r="G145" vm="688">
        <f ca="1"/>
        <v>109.46</v>
      </c>
      <c r="H145" vm="3067">
        <f ca="1"/>
        <v>109.56</v>
      </c>
      <c r="I145" vm="381">
        <f ca="1"/>
        <v>109.97</v>
      </c>
      <c r="J145" vm="3068">
        <f ca="1"/>
        <v>110.12</v>
      </c>
      <c r="K145" vm="3069">
        <f ca="1"/>
        <v>109.9</v>
      </c>
      <c r="L145" vm="3070">
        <f ca="1"/>
        <v>110.1502</v>
      </c>
      <c r="M145" vm="3071">
        <f ca="1"/>
        <v>110.61</v>
      </c>
      <c r="N145" vm="3072">
        <f ca="1"/>
        <v>110.01300000000001</v>
      </c>
      <c r="O145" vm="3073">
        <f ca="1"/>
        <v>109.98</v>
      </c>
      <c r="P145" vm="3074">
        <f ca="1"/>
        <v>109.605</v>
      </c>
      <c r="Q145" vm="3075">
        <f ca="1"/>
        <v>109.73</v>
      </c>
      <c r="R145" vm="3076">
        <f ca="1"/>
        <v>110.57</v>
      </c>
      <c r="S145" vm="1232">
        <f ca="1"/>
        <v>111.24</v>
      </c>
      <c r="T145" vm="3077">
        <f ca="1"/>
        <v>111.06</v>
      </c>
      <c r="U145" vm="3078">
        <f ca="1"/>
        <v>111.03</v>
      </c>
      <c r="V145" vm="3079">
        <f ca="1"/>
        <v>111.2013</v>
      </c>
      <c r="W145" vm="3080">
        <f ca="1"/>
        <v>111.14</v>
      </c>
      <c r="X145" vm="3081">
        <f ca="1"/>
        <v>111.35</v>
      </c>
      <c r="Y145" vm="121">
        <f ca="1"/>
        <v>111.16500000000001</v>
      </c>
      <c r="AA145">
        <f t="shared" ca="1" si="45"/>
        <v>0.1657033336854655</v>
      </c>
      <c r="AB145">
        <f t="shared" ca="1" si="46"/>
        <v>0.16819609826368137</v>
      </c>
      <c r="AC145">
        <f t="shared" ca="1" si="47"/>
        <v>0.16624250792831891</v>
      </c>
      <c r="AD145">
        <f t="shared" ca="1" si="48"/>
        <v>0.16368339987737951</v>
      </c>
      <c r="AE145">
        <f t="shared" ca="1" si="49"/>
        <v>0.16230630203549526</v>
      </c>
      <c r="AF145">
        <f t="shared" ca="1" si="50"/>
        <v>0.16179672787193974</v>
      </c>
      <c r="AG145">
        <f t="shared" ca="1" si="51"/>
        <v>0.1611378568606506</v>
      </c>
      <c r="AH145">
        <f t="shared" ca="1" si="52"/>
        <v>0.16155350081585254</v>
      </c>
      <c r="AI145">
        <f t="shared" ca="1" si="53"/>
        <v>0.16162193887283025</v>
      </c>
      <c r="AJ145">
        <f t="shared" ca="1" si="54"/>
        <v>0.16173653657751977</v>
      </c>
      <c r="AK145">
        <f t="shared" ca="1" si="55"/>
        <v>0.16074606583965284</v>
      </c>
      <c r="AL145">
        <f t="shared" ca="1" si="56"/>
        <v>0.16039318059181262</v>
      </c>
      <c r="AM145">
        <f t="shared" ca="1" si="57"/>
        <v>0.16032795518043386</v>
      </c>
      <c r="AN145">
        <f t="shared" ca="1" si="58"/>
        <v>0.16064944951979387</v>
      </c>
      <c r="AO145">
        <f t="shared" ca="1" si="59"/>
        <v>0.1608127172506072</v>
      </c>
      <c r="AP145">
        <f t="shared" ca="1" si="60"/>
        <v>0.16141155302755489</v>
      </c>
      <c r="AQ145">
        <f t="shared" ca="1" si="61"/>
        <v>0.16290190096221543</v>
      </c>
      <c r="AR145">
        <f t="shared" ca="1" si="62"/>
        <v>0.16310431448591953</v>
      </c>
      <c r="AS145">
        <f t="shared" ca="1" si="63"/>
        <v>0.16380352644836271</v>
      </c>
      <c r="AT145">
        <f t="shared" ca="1" si="64"/>
        <v>0.1655347036044087</v>
      </c>
      <c r="AU145">
        <f t="shared" ca="1" si="65"/>
        <v>0.1646044909604269</v>
      </c>
      <c r="AV145">
        <f t="shared" ca="1" si="66"/>
        <v>0.16333622298300005</v>
      </c>
    </row>
    <row r="146" spans="1:48" ht="16" x14ac:dyDescent="0.2">
      <c r="A146" t="e" vm="3082">
        <v>#VALUE!</v>
      </c>
      <c r="B146" s="23" t="str" cm="1">
        <f t="array" aca="1" ref="B146" ca="1">_FV(A146,"ticker symbol",TRUE)</f>
        <v>FXC</v>
      </c>
      <c r="C146" s="23" t="str" cm="1">
        <f t="array" aca="1" ref="C146" ca="1">_FV(A146,"Name")</f>
        <v>Invesco:Canadian Dollar</v>
      </c>
      <c r="D146" cm="1" vm="3083">
        <f t="array" aca="1" ref="D146:Y146" ca="1">TRANSPOSE(_xlfn.STOCKHISTORY(B146, WORKDAY(TODAY(), -23), TODAY(), 0, 0, 1))</f>
        <v>69.48</v>
      </c>
      <c r="E146" vm="3084">
        <f ca="1"/>
        <v>69.305400000000006</v>
      </c>
      <c r="F146" vm="3085">
        <f ca="1"/>
        <v>69.335400000000007</v>
      </c>
      <c r="G146" vm="3086">
        <f ca="1"/>
        <v>69.261099999999999</v>
      </c>
      <c r="H146" vm="3087">
        <f ca="1"/>
        <v>69.287899999999993</v>
      </c>
      <c r="I146" vm="3088">
        <f ca="1"/>
        <v>69.572999999999993</v>
      </c>
      <c r="J146" vm="3089">
        <f ca="1"/>
        <v>69.91</v>
      </c>
      <c r="K146" vm="3090">
        <f ca="1"/>
        <v>69.81</v>
      </c>
      <c r="L146" vm="3091">
        <f ca="1"/>
        <v>69.92</v>
      </c>
      <c r="M146" vm="3092">
        <f ca="1"/>
        <v>70.044700000000006</v>
      </c>
      <c r="N146" vm="1813">
        <f ca="1"/>
        <v>70.03</v>
      </c>
      <c r="O146" vm="3093">
        <f ca="1"/>
        <v>70.67</v>
      </c>
      <c r="P146" vm="2239">
        <f ca="1"/>
        <v>70.540000000000006</v>
      </c>
      <c r="Q146" vm="3094">
        <f ca="1"/>
        <v>70.569999999999993</v>
      </c>
      <c r="R146" vm="3095">
        <f ca="1"/>
        <v>70.849999999999994</v>
      </c>
      <c r="S146" vm="3096">
        <f ca="1"/>
        <v>70.959999999999994</v>
      </c>
      <c r="T146" vm="3097">
        <f ca="1"/>
        <v>70.97</v>
      </c>
      <c r="U146" vm="3098">
        <f ca="1"/>
        <v>70.98</v>
      </c>
      <c r="V146" vm="3099">
        <f ca="1"/>
        <v>71.03</v>
      </c>
      <c r="W146" vm="3100">
        <f ca="1"/>
        <v>70.910700000000006</v>
      </c>
      <c r="X146" vm="3101">
        <f ca="1"/>
        <v>70.927000000000007</v>
      </c>
      <c r="Y146" vm="123">
        <f ca="1"/>
        <v>70.8125</v>
      </c>
      <c r="AA146">
        <f t="shared" ca="1" si="45"/>
        <v>0.10485489639768801</v>
      </c>
      <c r="AB146">
        <f t="shared" ca="1" si="46"/>
        <v>0.10621028918210658</v>
      </c>
      <c r="AC146">
        <f t="shared" ca="1" si="47"/>
        <v>0.10520826062546472</v>
      </c>
      <c r="AD146">
        <f t="shared" ca="1" si="48"/>
        <v>0.10357109745338178</v>
      </c>
      <c r="AE146">
        <f t="shared" ca="1" si="49"/>
        <v>0.10264569938668483</v>
      </c>
      <c r="AF146">
        <f t="shared" ca="1" si="50"/>
        <v>0.10236140536723164</v>
      </c>
      <c r="AG146">
        <f t="shared" ca="1" si="51"/>
        <v>0.10229883375524956</v>
      </c>
      <c r="AH146">
        <f t="shared" ca="1" si="52"/>
        <v>0.1026210181251562</v>
      </c>
      <c r="AI146">
        <f t="shared" ca="1" si="53"/>
        <v>0.10259269584611096</v>
      </c>
      <c r="AJ146">
        <f t="shared" ca="1" si="54"/>
        <v>0.1024210033777362</v>
      </c>
      <c r="AK146">
        <f t="shared" ca="1" si="55"/>
        <v>0.10232469790616462</v>
      </c>
      <c r="AL146">
        <f t="shared" ca="1" si="56"/>
        <v>0.10306406685236769</v>
      </c>
      <c r="AM146">
        <f t="shared" ca="1" si="57"/>
        <v>0.10318447113204512</v>
      </c>
      <c r="AN146">
        <f t="shared" ca="1" si="58"/>
        <v>0.10331752166783789</v>
      </c>
      <c r="AO146">
        <f t="shared" ca="1" si="59"/>
        <v>0.1030440536963509</v>
      </c>
      <c r="AP146">
        <f t="shared" ca="1" si="60"/>
        <v>0.10296443548036043</v>
      </c>
      <c r="AQ146">
        <f t="shared" ca="1" si="61"/>
        <v>0.10409821638113119</v>
      </c>
      <c r="AR146">
        <f t="shared" ca="1" si="62"/>
        <v>0.10427041558327091</v>
      </c>
      <c r="AS146">
        <f t="shared" ca="1" si="63"/>
        <v>0.10462975238263585</v>
      </c>
      <c r="AT146">
        <f t="shared" ca="1" si="64"/>
        <v>0.10561617515638964</v>
      </c>
      <c r="AU146">
        <f t="shared" ca="1" si="65"/>
        <v>0.10484869986843467</v>
      </c>
      <c r="AV146">
        <f t="shared" ca="1" si="66"/>
        <v>0.10404575441896001</v>
      </c>
    </row>
    <row r="147" spans="1:48" ht="16" x14ac:dyDescent="0.2">
      <c r="A147" t="e" vm="3102">
        <v>#VALUE!</v>
      </c>
      <c r="B147" s="23" t="str" cm="1">
        <f t="array" aca="1" ref="B147" ca="1">_FV(A147,"ticker symbol",TRUE)</f>
        <v>IBIT</v>
      </c>
      <c r="C147" s="23" t="str" cm="1">
        <f t="array" aca="1" ref="C147" ca="1">_FV(A147,"Name")</f>
        <v>iShares Bitcoin Trust</v>
      </c>
      <c r="D147" cm="1" vm="42">
        <f t="array" aca="1" ref="D147:Y147" ca="1">TRANSPOSE(_xlfn.STOCKHISTORY(B147, WORKDAY(TODAY(), -23), TODAY(), 0, 0, 1))</f>
        <v>50.73</v>
      </c>
      <c r="E147" vm="3103">
        <f ca="1"/>
        <v>48.96</v>
      </c>
      <c r="F147" vm="3104">
        <f ca="1"/>
        <v>47.97</v>
      </c>
      <c r="G147" vm="3105">
        <f ca="1"/>
        <v>50.57</v>
      </c>
      <c r="H147" vm="1142">
        <f ca="1"/>
        <v>49.56</v>
      </c>
      <c r="I147" vm="3106">
        <f ca="1"/>
        <v>51.03</v>
      </c>
      <c r="J147" vm="3107">
        <f ca="1"/>
        <v>51.55</v>
      </c>
      <c r="K147" vm="3108">
        <f ca="1"/>
        <v>48.5</v>
      </c>
      <c r="L147" vm="469">
        <f ca="1"/>
        <v>51.67</v>
      </c>
      <c r="M147" vm="3109">
        <f ca="1"/>
        <v>52.74</v>
      </c>
      <c r="N147" vm="3110">
        <f ca="1"/>
        <v>52.51</v>
      </c>
      <c r="O147" vm="3111">
        <f ca="1"/>
        <v>50.69</v>
      </c>
      <c r="P147" vm="841">
        <f ca="1"/>
        <v>51.52</v>
      </c>
      <c r="Q147" vm="3112">
        <f ca="1"/>
        <v>52.85</v>
      </c>
      <c r="R147" vm="2921">
        <f ca="1"/>
        <v>52.49</v>
      </c>
      <c r="S147" vm="3113">
        <f ca="1"/>
        <v>52.1</v>
      </c>
      <c r="T147" vm="3114">
        <f ca="1"/>
        <v>51.2</v>
      </c>
      <c r="U147" vm="3115">
        <f ca="1"/>
        <v>48.66</v>
      </c>
      <c r="V147" vm="3116">
        <f ca="1"/>
        <v>49.71</v>
      </c>
      <c r="W147" vm="3117">
        <f ca="1"/>
        <v>48.71</v>
      </c>
      <c r="X147" vm="1268">
        <f ca="1"/>
        <v>47.96</v>
      </c>
      <c r="Y147" vm="125">
        <f ca="1"/>
        <v>49.91</v>
      </c>
      <c r="AA147">
        <f t="shared" ca="1" si="45"/>
        <v>7.6558562093475988E-2</v>
      </c>
      <c r="AB147">
        <f t="shared" ca="1" si="46"/>
        <v>7.5031033055951449E-2</v>
      </c>
      <c r="AC147">
        <f t="shared" ca="1" si="47"/>
        <v>7.2788795654219085E-2</v>
      </c>
      <c r="AD147">
        <f t="shared" ca="1" si="48"/>
        <v>7.5620953150000753E-2</v>
      </c>
      <c r="AE147">
        <f t="shared" ca="1" si="49"/>
        <v>7.3420046813427758E-2</v>
      </c>
      <c r="AF147">
        <f t="shared" ca="1" si="50"/>
        <v>7.5079449152542374E-2</v>
      </c>
      <c r="AG147">
        <f t="shared" ca="1" si="51"/>
        <v>7.5432768989888641E-2</v>
      </c>
      <c r="AH147">
        <f t="shared" ca="1" si="52"/>
        <v>7.1295221015185151E-2</v>
      </c>
      <c r="AI147">
        <f t="shared" ca="1" si="53"/>
        <v>7.5814711017856889E-2</v>
      </c>
      <c r="AJ147">
        <f t="shared" ca="1" si="54"/>
        <v>7.7117665121583884E-2</v>
      </c>
      <c r="AK147">
        <f t="shared" ca="1" si="55"/>
        <v>7.6725258989757295E-2</v>
      </c>
      <c r="AL147">
        <f t="shared" ca="1" si="56"/>
        <v>7.3925534862693043E-2</v>
      </c>
      <c r="AM147">
        <f t="shared" ca="1" si="57"/>
        <v>7.5362403639395587E-2</v>
      </c>
      <c r="AN147">
        <f t="shared" ca="1" si="58"/>
        <v>7.7374677910517692E-2</v>
      </c>
      <c r="AO147">
        <f t="shared" ca="1" si="59"/>
        <v>7.6341317974897099E-2</v>
      </c>
      <c r="AP147">
        <f t="shared" ca="1" si="60"/>
        <v>7.5598183321967008E-2</v>
      </c>
      <c r="AQ147">
        <f t="shared" ca="1" si="61"/>
        <v>7.5099741844637413E-2</v>
      </c>
      <c r="AR147">
        <f t="shared" ca="1" si="62"/>
        <v>7.1482085408311663E-2</v>
      </c>
      <c r="AS147">
        <f t="shared" ca="1" si="63"/>
        <v>7.3224623271023914E-2</v>
      </c>
      <c r="AT147">
        <f t="shared" ca="1" si="64"/>
        <v>7.2549895740244272E-2</v>
      </c>
      <c r="AU147">
        <f t="shared" ca="1" si="65"/>
        <v>7.0897452954306911E-2</v>
      </c>
      <c r="AV147">
        <f t="shared" ca="1" si="66"/>
        <v>7.3333431287559314E-2</v>
      </c>
    </row>
    <row r="148" spans="1:48" ht="16" x14ac:dyDescent="0.2">
      <c r="A148" t="e" vm="3118">
        <v>#VALUE!</v>
      </c>
      <c r="B148" s="23" t="str" cm="1">
        <f t="array" aca="1" ref="B148" ca="1">_FV(A148,"ticker symbol",TRUE)</f>
        <v>ETHA</v>
      </c>
      <c r="C148" s="23" t="str" cm="1">
        <f t="array" aca="1" ref="C148" ca="1">_FV(A148,"Name")</f>
        <v>iShares Ethereum Trust</v>
      </c>
      <c r="D148" cm="1" vm="2288">
        <f t="array" aca="1" ref="D148:Y148" ca="1">TRANSPOSE(_xlfn.STOCKHISTORY(B148, WORKDAY(TODAY(), -23), TODAY(), 0, 0, 1))</f>
        <v>22.24</v>
      </c>
      <c r="E148" vm="3119">
        <f ca="1"/>
        <v>21.41</v>
      </c>
      <c r="F148" vm="157">
        <f ca="1"/>
        <v>20.7</v>
      </c>
      <c r="G148" vm="3120">
        <f ca="1"/>
        <v>22.45</v>
      </c>
      <c r="H148" vm="2297">
        <f ca="1"/>
        <v>22.13</v>
      </c>
      <c r="I148" vm="2456">
        <f ca="1"/>
        <v>22.9</v>
      </c>
      <c r="J148" vm="3121">
        <f ca="1"/>
        <v>22.95</v>
      </c>
      <c r="K148" vm="3122">
        <f ca="1"/>
        <v>20.77</v>
      </c>
      <c r="L148" vm="3123">
        <f ca="1"/>
        <v>22.51</v>
      </c>
      <c r="M148" vm="3124">
        <f ca="1"/>
        <v>23.72</v>
      </c>
      <c r="N148" vm="3125">
        <f ca="1"/>
        <v>23.77</v>
      </c>
      <c r="O148" vm="56">
        <f ca="1"/>
        <v>22.85</v>
      </c>
      <c r="P148" vm="3124">
        <f ca="1"/>
        <v>23.72</v>
      </c>
      <c r="Q148" vm="3126">
        <f ca="1"/>
        <v>25.17</v>
      </c>
      <c r="R148" vm="2059">
        <f ca="1"/>
        <v>25.39</v>
      </c>
      <c r="S148" vm="3127">
        <f ca="1"/>
        <v>24.38</v>
      </c>
      <c r="T148" vm="3128">
        <f ca="1"/>
        <v>23.27</v>
      </c>
      <c r="U148" vm="3129">
        <f ca="1"/>
        <v>22.12</v>
      </c>
      <c r="V148" vm="3130">
        <f ca="1"/>
        <v>22.28</v>
      </c>
      <c r="W148" vm="3131">
        <f ca="1"/>
        <v>21.32</v>
      </c>
      <c r="X148" vm="3132">
        <f ca="1"/>
        <v>21</v>
      </c>
      <c r="Y148" vm="35">
        <f ca="1"/>
        <v>22.64</v>
      </c>
      <c r="AA148">
        <f t="shared" ca="1" si="45"/>
        <v>3.3563225329369333E-2</v>
      </c>
      <c r="AB148">
        <f t="shared" ca="1" si="46"/>
        <v>3.281075199607681E-2</v>
      </c>
      <c r="AC148">
        <f t="shared" ca="1" si="47"/>
        <v>3.1409799250413484E-2</v>
      </c>
      <c r="AD148">
        <f t="shared" ca="1" si="48"/>
        <v>3.3571097453381785E-2</v>
      </c>
      <c r="AE148">
        <f t="shared" ca="1" si="49"/>
        <v>3.2784213801072562E-2</v>
      </c>
      <c r="AF148">
        <f t="shared" ca="1" si="50"/>
        <v>3.3692325800376649E-2</v>
      </c>
      <c r="AG148">
        <f t="shared" ca="1" si="51"/>
        <v>3.358258095670115E-2</v>
      </c>
      <c r="AH148">
        <f t="shared" ca="1" si="52"/>
        <v>3.0531994649183412E-2</v>
      </c>
      <c r="AI148">
        <f t="shared" ca="1" si="53"/>
        <v>3.3028626766246537E-2</v>
      </c>
      <c r="AJ148">
        <f t="shared" ca="1" si="54"/>
        <v>3.4683940399771893E-2</v>
      </c>
      <c r="AK148">
        <f t="shared" ca="1" si="55"/>
        <v>3.4731658849486403E-2</v>
      </c>
      <c r="AL148">
        <f t="shared" ca="1" si="56"/>
        <v>3.3324096895098368E-2</v>
      </c>
      <c r="AM148">
        <f t="shared" ca="1" si="57"/>
        <v>3.4697131489255885E-2</v>
      </c>
      <c r="AN148">
        <f t="shared" ca="1" si="58"/>
        <v>3.6849964862965573E-2</v>
      </c>
      <c r="AO148">
        <f t="shared" ca="1" si="59"/>
        <v>3.6927149235714177E-2</v>
      </c>
      <c r="AP148">
        <f t="shared" ca="1" si="60"/>
        <v>3.5375886936459801E-2</v>
      </c>
      <c r="AQ148">
        <f t="shared" ca="1" si="61"/>
        <v>3.4132245951654538E-2</v>
      </c>
      <c r="AR148">
        <f t="shared" ca="1" si="62"/>
        <v>3.2494527933248134E-2</v>
      </c>
      <c r="AS148">
        <f t="shared" ca="1" si="63"/>
        <v>3.2819243743279276E-2</v>
      </c>
      <c r="AT148">
        <f t="shared" ca="1" si="64"/>
        <v>3.1754542746499852E-2</v>
      </c>
      <c r="AU148">
        <f t="shared" ca="1" si="65"/>
        <v>3.1043505255221961E-2</v>
      </c>
      <c r="AV148">
        <f t="shared" ca="1" si="66"/>
        <v>3.3265255146270149E-2</v>
      </c>
    </row>
    <row r="149" spans="1:48" ht="16" x14ac:dyDescent="0.2">
      <c r="A149" t="e" vm="3133">
        <v>#VALUE!</v>
      </c>
      <c r="B149" s="23" t="str" cm="1">
        <f t="array" aca="1" ref="B149" ca="1">_FV(A149,"ticker symbol",TRUE)</f>
        <v>TLT</v>
      </c>
      <c r="C149" s="23" t="str" cm="1">
        <f t="array" aca="1" ref="C149" ca="1">_FV(A149,"Name")</f>
        <v>iShares:20+ Trs Bd ETF</v>
      </c>
      <c r="D149" cm="1" vm="3134">
        <f t="array" aca="1" ref="D149:Y149" ca="1">TRANSPOSE(_xlfn.STOCKHISTORY(B149, WORKDAY(TODAY(), -23), TODAY(), 0, 0, 1))</f>
        <v>88.88</v>
      </c>
      <c r="E149" vm="3135">
        <f ca="1"/>
        <v>89.23</v>
      </c>
      <c r="F149" vm="3136">
        <f ca="1"/>
        <v>89.5</v>
      </c>
      <c r="G149" vm="3137">
        <f ca="1"/>
        <v>90.01</v>
      </c>
      <c r="H149" vm="3138">
        <f ca="1"/>
        <v>90.24</v>
      </c>
      <c r="I149" vm="2020">
        <f ca="1"/>
        <v>90.64</v>
      </c>
      <c r="J149" vm="3139">
        <f ca="1"/>
        <v>90.21</v>
      </c>
      <c r="K149" vm="1499">
        <f ca="1"/>
        <v>88.77</v>
      </c>
      <c r="L149" vm="594">
        <f ca="1"/>
        <v>88.81</v>
      </c>
      <c r="M149" vm="3140">
        <f ca="1"/>
        <v>89.06</v>
      </c>
      <c r="N149" vm="2853">
        <f ca="1"/>
        <v>88.58</v>
      </c>
      <c r="O149" vm="3141">
        <f ca="1"/>
        <v>88.17</v>
      </c>
      <c r="P149" vm="3142">
        <f ca="1"/>
        <v>87.88</v>
      </c>
      <c r="Q149" vm="3143">
        <f ca="1"/>
        <v>87.97</v>
      </c>
      <c r="R149" vm="3144">
        <f ca="1"/>
        <v>88.31</v>
      </c>
      <c r="S149" vm="3145">
        <f ca="1"/>
        <v>88.19</v>
      </c>
      <c r="T149" vm="3146">
        <f ca="1"/>
        <v>87.34</v>
      </c>
      <c r="U149" vm="3147">
        <f ca="1"/>
        <v>87.4</v>
      </c>
      <c r="V149" vm="3142">
        <f ca="1"/>
        <v>87.88</v>
      </c>
      <c r="W149" vm="3148">
        <f ca="1"/>
        <v>87.8</v>
      </c>
      <c r="X149" vm="3149">
        <f ca="1"/>
        <v>88.22</v>
      </c>
      <c r="Y149" vm="128">
        <f ca="1"/>
        <v>87.55</v>
      </c>
      <c r="AA149">
        <f t="shared" ca="1" si="45"/>
        <v>0.13413217029111268</v>
      </c>
      <c r="AB149">
        <f t="shared" ca="1" si="46"/>
        <v>0.13674467074310762</v>
      </c>
      <c r="AC149">
        <f t="shared" ca="1" si="47"/>
        <v>0.13580565376386508</v>
      </c>
      <c r="AD149">
        <f t="shared" ca="1" si="48"/>
        <v>0.13459841789661001</v>
      </c>
      <c r="AE149">
        <f t="shared" ca="1" si="49"/>
        <v>0.1336849278539895</v>
      </c>
      <c r="AF149">
        <f t="shared" ca="1" si="50"/>
        <v>0.13335687382297554</v>
      </c>
      <c r="AG149">
        <f t="shared" ca="1" si="51"/>
        <v>0.13200368749908545</v>
      </c>
      <c r="AH149">
        <f t="shared" ca="1" si="52"/>
        <v>0.13049230452614402</v>
      </c>
      <c r="AI149">
        <f t="shared" ca="1" si="53"/>
        <v>0.13030974425190381</v>
      </c>
      <c r="AJ149">
        <f t="shared" ca="1" si="54"/>
        <v>0.13022562107941335</v>
      </c>
      <c r="AK149">
        <f t="shared" ca="1" si="55"/>
        <v>0.12942912666754336</v>
      </c>
      <c r="AL149">
        <f t="shared" ca="1" si="56"/>
        <v>0.12858580408056117</v>
      </c>
      <c r="AM149">
        <f t="shared" ca="1" si="57"/>
        <v>0.12854906894080131</v>
      </c>
      <c r="AN149">
        <f t="shared" ca="1" si="58"/>
        <v>0.12879187163270087</v>
      </c>
      <c r="AO149">
        <f t="shared" ca="1" si="59"/>
        <v>0.12843783178440013</v>
      </c>
      <c r="AP149">
        <f t="shared" ca="1" si="60"/>
        <v>0.1279655237459553</v>
      </c>
      <c r="AQ149">
        <f t="shared" ca="1" si="61"/>
        <v>0.12810959868575453</v>
      </c>
      <c r="AR149">
        <f t="shared" ca="1" si="62"/>
        <v>0.12839157962775258</v>
      </c>
      <c r="AS149">
        <f t="shared" ca="1" si="63"/>
        <v>0.12945041024054679</v>
      </c>
      <c r="AT149">
        <f t="shared" ca="1" si="64"/>
        <v>0.13077152219243371</v>
      </c>
      <c r="AU149">
        <f t="shared" ca="1" si="65"/>
        <v>0.13041228731503243</v>
      </c>
      <c r="AV149">
        <f t="shared" ca="1" si="66"/>
        <v>0.1286383872816233</v>
      </c>
    </row>
    <row r="150" spans="1:48" ht="16" x14ac:dyDescent="0.2">
      <c r="A150" t="e" vm="3150">
        <v>#VALUE!</v>
      </c>
      <c r="B150" s="23" t="str" cm="1">
        <f t="array" aca="1" ref="B150" ca="1">_FV(A150,"ticker symbol",TRUE)</f>
        <v>BND</v>
      </c>
      <c r="C150" s="23" t="str" cm="1">
        <f t="array" aca="1" ref="C150" ca="1">_FV(A150,"Name")</f>
        <v>Vanguard Tot Bd;ETF</v>
      </c>
      <c r="D150" cm="1" vm="3151">
        <f t="array" aca="1" ref="D150:Y150" ca="1">TRANSPOSE(_xlfn.STOCKHISTORY(B150, WORKDAY(TODAY(), -23), TODAY(), 0, 0, 1))</f>
        <v>74.23</v>
      </c>
      <c r="E150" vm="3152">
        <f ca="1"/>
        <v>74.34</v>
      </c>
      <c r="F150" vm="3153">
        <f ca="1"/>
        <v>74.52</v>
      </c>
      <c r="G150" vm="3154">
        <f ca="1"/>
        <v>74.650000000000006</v>
      </c>
      <c r="H150" vm="3155">
        <f ca="1"/>
        <v>74.819999999999993</v>
      </c>
      <c r="I150" vm="3156">
        <f ca="1"/>
        <v>74.900000000000006</v>
      </c>
      <c r="J150" vm="3157">
        <f ca="1"/>
        <v>74.78</v>
      </c>
      <c r="K150" vm="3158">
        <f ca="1"/>
        <v>74.25</v>
      </c>
      <c r="L150" vm="3159">
        <f ca="1"/>
        <v>74.319999999999993</v>
      </c>
      <c r="M150" vm="771">
        <f ca="1"/>
        <v>74.430000000000007</v>
      </c>
      <c r="N150" vm="1550">
        <f ca="1"/>
        <v>74.290000000000006</v>
      </c>
      <c r="O150" vm="3160">
        <f ca="1"/>
        <v>74.2</v>
      </c>
      <c r="P150" vm="1558">
        <f ca="1"/>
        <v>74.09</v>
      </c>
      <c r="Q150" vm="130">
        <f ca="1"/>
        <v>74.040000000000006</v>
      </c>
      <c r="R150" vm="3161">
        <f ca="1"/>
        <v>74.260000000000005</v>
      </c>
      <c r="S150" vm="3161">
        <f ca="1"/>
        <v>74.260000000000005</v>
      </c>
      <c r="T150" vm="3162">
        <f ca="1"/>
        <v>74.03</v>
      </c>
      <c r="U150" vm="1544">
        <f ca="1"/>
        <v>74.12</v>
      </c>
      <c r="V150" vm="3161">
        <f ca="1"/>
        <v>74.260000000000005</v>
      </c>
      <c r="W150" vm="796">
        <f ca="1"/>
        <v>74.239999999999995</v>
      </c>
      <c r="X150" vm="1557">
        <f ca="1"/>
        <v>74.150000000000006</v>
      </c>
      <c r="Y150" vm="130">
        <f ca="1"/>
        <v>74.040000000000006</v>
      </c>
      <c r="AA150">
        <f t="shared" ca="1" si="45"/>
        <v>0.11202330108808838</v>
      </c>
      <c r="AB150">
        <f t="shared" ca="1" si="46"/>
        <v>0.11392579651510276</v>
      </c>
      <c r="AC150">
        <f t="shared" ca="1" si="47"/>
        <v>0.11307527730148854</v>
      </c>
      <c r="AD150">
        <f t="shared" ca="1" si="48"/>
        <v>0.1116295066768352</v>
      </c>
      <c r="AE150">
        <f t="shared" ca="1" si="49"/>
        <v>0.11084116026191816</v>
      </c>
      <c r="AF150">
        <f t="shared" ca="1" si="50"/>
        <v>0.11019891713747648</v>
      </c>
      <c r="AG150">
        <f t="shared" ca="1" si="51"/>
        <v>0.10942507206719443</v>
      </c>
      <c r="AH150">
        <f t="shared" ca="1" si="52"/>
        <v>0.10914783835829892</v>
      </c>
      <c r="AI150">
        <f t="shared" ca="1" si="53"/>
        <v>0.10904875794169001</v>
      </c>
      <c r="AJ150">
        <f t="shared" ca="1" si="54"/>
        <v>0.10883329190366874</v>
      </c>
      <c r="AK150">
        <f t="shared" ca="1" si="55"/>
        <v>0.10854921901255134</v>
      </c>
      <c r="AL150">
        <f t="shared" ca="1" si="56"/>
        <v>0.10821216584754043</v>
      </c>
      <c r="AM150">
        <f t="shared" ca="1" si="57"/>
        <v>0.10837733861884354</v>
      </c>
      <c r="AN150">
        <f t="shared" ca="1" si="58"/>
        <v>0.10839775122979622</v>
      </c>
      <c r="AO150">
        <f t="shared" ca="1" si="59"/>
        <v>0.1080035487295839</v>
      </c>
      <c r="AP150">
        <f t="shared" ca="1" si="60"/>
        <v>0.10775280409768273</v>
      </c>
      <c r="AQ150">
        <f t="shared" ca="1" si="61"/>
        <v>0.1085865993898146</v>
      </c>
      <c r="AR150">
        <f t="shared" ca="1" si="62"/>
        <v>0.10888311077813524</v>
      </c>
      <c r="AS150">
        <f t="shared" ca="1" si="63"/>
        <v>0.10938765890376656</v>
      </c>
      <c r="AT150">
        <f t="shared" ca="1" si="64"/>
        <v>0.1105749180816205</v>
      </c>
      <c r="AU150">
        <f t="shared" ca="1" si="65"/>
        <v>0.10961313879403374</v>
      </c>
      <c r="AV150">
        <f t="shared" ca="1" si="66"/>
        <v>0.10878796338471033</v>
      </c>
    </row>
    <row r="151" spans="1:48" ht="16" x14ac:dyDescent="0.2">
      <c r="A151" t="e" vm="3163">
        <v>#VALUE!</v>
      </c>
      <c r="B151" s="23" t="str" cm="1">
        <f t="array" aca="1" ref="B151" ca="1">_FV(A151,"ticker symbol",TRUE)</f>
        <v>SHY</v>
      </c>
      <c r="C151" s="23" t="str" cm="1">
        <f t="array" aca="1" ref="C151" ca="1">_FV(A151,"Name")</f>
        <v>iShares:1-3 Trs Bd ETF</v>
      </c>
      <c r="D151" cm="1" vm="1883">
        <f t="array" aca="1" ref="D151:Y151" ca="1">TRANSPOSE(_xlfn.STOCKHISTORY(B151, WORKDAY(TODAY(), -23), TODAY(), 0, 0, 1))</f>
        <v>82.86</v>
      </c>
      <c r="E151" vm="3164">
        <f ca="1"/>
        <v>82.93</v>
      </c>
      <c r="F151" vm="3165">
        <f ca="1"/>
        <v>83.03</v>
      </c>
      <c r="G151" vm="3166">
        <f ca="1"/>
        <v>83.04</v>
      </c>
      <c r="H151" vm="3167">
        <f ca="1"/>
        <v>83.09</v>
      </c>
      <c r="I151" vm="3168">
        <f ca="1"/>
        <v>83.08</v>
      </c>
      <c r="J151" vm="3168">
        <f ca="1"/>
        <v>83.08</v>
      </c>
      <c r="K151" vm="132">
        <f ca="1"/>
        <v>82.76</v>
      </c>
      <c r="L151" vm="3169">
        <f ca="1"/>
        <v>82.81</v>
      </c>
      <c r="M151" vm="1883">
        <f ca="1"/>
        <v>82.86</v>
      </c>
      <c r="N151" vm="3170">
        <f ca="1"/>
        <v>82.8</v>
      </c>
      <c r="O151" vm="3171">
        <f ca="1"/>
        <v>82.77</v>
      </c>
      <c r="P151" vm="3172">
        <f ca="1"/>
        <v>82.75</v>
      </c>
      <c r="Q151" vm="3173">
        <f ca="1"/>
        <v>82.71</v>
      </c>
      <c r="R151" vm="3174">
        <f ca="1"/>
        <v>82.85</v>
      </c>
      <c r="S151" vm="1883">
        <f ca="1"/>
        <v>82.86</v>
      </c>
      <c r="T151" vm="3175">
        <f ca="1"/>
        <v>82.87</v>
      </c>
      <c r="U151" vm="3176">
        <f ca="1"/>
        <v>82.92</v>
      </c>
      <c r="V151" vm="3177">
        <f ca="1"/>
        <v>82.96</v>
      </c>
      <c r="W151" vm="1836">
        <f ca="1"/>
        <v>82.97</v>
      </c>
      <c r="X151" vm="3165">
        <f ca="1"/>
        <v>83.03</v>
      </c>
      <c r="Y151" vm="132">
        <f ca="1"/>
        <v>82.76</v>
      </c>
      <c r="AA151">
        <f t="shared" ca="1" si="45"/>
        <v>0.12504716055717369</v>
      </c>
      <c r="AB151">
        <f t="shared" ca="1" si="46"/>
        <v>0.12708994222487857</v>
      </c>
      <c r="AC151">
        <f t="shared" ca="1" si="47"/>
        <v>0.12598819477110298</v>
      </c>
      <c r="AD151">
        <f t="shared" ca="1" si="48"/>
        <v>0.1241756762819075</v>
      </c>
      <c r="AE151">
        <f t="shared" ca="1" si="49"/>
        <v>0.12309264910669314</v>
      </c>
      <c r="AF151">
        <f t="shared" ca="1" si="50"/>
        <v>0.12223399246704332</v>
      </c>
      <c r="AG151">
        <f t="shared" ca="1" si="51"/>
        <v>0.12157040635654605</v>
      </c>
      <c r="AH151">
        <f t="shared" ca="1" si="52"/>
        <v>0.12165757713848914</v>
      </c>
      <c r="AI151">
        <f t="shared" ca="1" si="53"/>
        <v>0.12150602321247782</v>
      </c>
      <c r="AJ151">
        <f t="shared" ca="1" si="54"/>
        <v>0.12115983564608343</v>
      </c>
      <c r="AK151">
        <f t="shared" ca="1" si="55"/>
        <v>0.12098364967343181</v>
      </c>
      <c r="AL151">
        <f t="shared" ca="1" si="56"/>
        <v>0.1207105251644329</v>
      </c>
      <c r="AM151">
        <f t="shared" ca="1" si="57"/>
        <v>0.12104500972748417</v>
      </c>
      <c r="AN151">
        <f t="shared" ca="1" si="58"/>
        <v>0.12109100491918481</v>
      </c>
      <c r="AO151">
        <f t="shared" ca="1" si="59"/>
        <v>0.12049682214174555</v>
      </c>
      <c r="AP151">
        <f t="shared" ca="1" si="60"/>
        <v>0.12023158291858323</v>
      </c>
      <c r="AQ151">
        <f t="shared" ca="1" si="61"/>
        <v>0.12155303919267778</v>
      </c>
      <c r="AR151">
        <f t="shared" ca="1" si="62"/>
        <v>0.12181040941342382</v>
      </c>
      <c r="AS151">
        <f t="shared" ca="1" si="63"/>
        <v>0.12220307275325172</v>
      </c>
      <c r="AT151">
        <f t="shared" ca="1" si="64"/>
        <v>0.12357759904676795</v>
      </c>
      <c r="AU151">
        <f t="shared" ca="1" si="65"/>
        <v>0.12274010673052758</v>
      </c>
      <c r="AV151">
        <f t="shared" ca="1" si="66"/>
        <v>0.12160037614422781</v>
      </c>
    </row>
    <row r="152" spans="1:48" ht="16" x14ac:dyDescent="0.2">
      <c r="A152" t="e" vm="3178">
        <v>#VALUE!</v>
      </c>
      <c r="B152" s="23" t="str" cm="1">
        <f t="array" aca="1" ref="B152" ca="1">_FV(A152,"ticker symbol",TRUE)</f>
        <v>IEF</v>
      </c>
      <c r="C152" s="23" t="str" cm="1">
        <f t="array" aca="1" ref="C152" ca="1">_FV(A152,"Name")</f>
        <v>iShares:7-10 Trs Bd</v>
      </c>
      <c r="D152" cm="1" vm="3179">
        <f t="array" aca="1" ref="D152:Y152" ca="1">TRANSPOSE(_xlfn.STOCKHISTORY(B152, WORKDAY(TODAY(), -23), TODAY(), 0, 0, 1))</f>
        <v>96.64</v>
      </c>
      <c r="E152" vm="3180">
        <f ca="1"/>
        <v>96.87</v>
      </c>
      <c r="F152" vm="3181">
        <f ca="1"/>
        <v>97.19</v>
      </c>
      <c r="G152" vm="3182">
        <f ca="1"/>
        <v>97.34</v>
      </c>
      <c r="H152" vm="3183">
        <f ca="1"/>
        <v>97.59</v>
      </c>
      <c r="I152" vm="3184">
        <f ca="1"/>
        <v>97.67</v>
      </c>
      <c r="J152" vm="3185">
        <f ca="1"/>
        <v>97.5</v>
      </c>
      <c r="K152" vm="3186">
        <f ca="1"/>
        <v>96.69</v>
      </c>
      <c r="L152" vm="3187">
        <f ca="1"/>
        <v>96.77</v>
      </c>
      <c r="M152" vm="3188">
        <f ca="1"/>
        <v>96.97</v>
      </c>
      <c r="N152" vm="3189">
        <f ca="1"/>
        <v>96.67</v>
      </c>
      <c r="O152" vm="3190">
        <f ca="1"/>
        <v>96.47</v>
      </c>
      <c r="P152" vm="3191">
        <f ca="1"/>
        <v>96.27</v>
      </c>
      <c r="Q152" vm="3192">
        <f ca="1"/>
        <v>96.13</v>
      </c>
      <c r="R152" vm="3193">
        <f ca="1"/>
        <v>96.44</v>
      </c>
      <c r="S152" vm="3194">
        <f ca="1"/>
        <v>96.45</v>
      </c>
      <c r="T152" vm="3195">
        <f ca="1"/>
        <v>96.19</v>
      </c>
      <c r="U152" vm="3191">
        <f ca="1"/>
        <v>96.27</v>
      </c>
      <c r="V152" vm="3196">
        <f ca="1"/>
        <v>96.54</v>
      </c>
      <c r="W152" vm="2038">
        <f ca="1"/>
        <v>96.52</v>
      </c>
      <c r="X152" vm="3187">
        <f ca="1"/>
        <v>96.77</v>
      </c>
      <c r="Y152" vm="134">
        <f ca="1"/>
        <v>96.24</v>
      </c>
      <c r="AA152">
        <f t="shared" ca="1" si="45"/>
        <v>0.14584307984848258</v>
      </c>
      <c r="AB152">
        <f t="shared" ca="1" si="46"/>
        <v>0.14845294469219808</v>
      </c>
      <c r="AC152">
        <f t="shared" ca="1" si="47"/>
        <v>0.14747431831631339</v>
      </c>
      <c r="AD152">
        <f t="shared" ca="1" si="48"/>
        <v>0.14555949336802596</v>
      </c>
      <c r="AE152">
        <f t="shared" ca="1" si="49"/>
        <v>0.14457349411869277</v>
      </c>
      <c r="AF152">
        <f t="shared" ca="1" si="50"/>
        <v>0.14369997645951038</v>
      </c>
      <c r="AG152">
        <f t="shared" ca="1" si="51"/>
        <v>0.14267109556768465</v>
      </c>
      <c r="AH152">
        <f t="shared" ca="1" si="52"/>
        <v>0.1421347406176959</v>
      </c>
      <c r="AI152">
        <f t="shared" ca="1" si="53"/>
        <v>0.1419893474975423</v>
      </c>
      <c r="AJ152">
        <f t="shared" ca="1" si="54"/>
        <v>0.14179180862419394</v>
      </c>
      <c r="AK152">
        <f t="shared" ca="1" si="55"/>
        <v>0.14124987214892093</v>
      </c>
      <c r="AL152">
        <f t="shared" ca="1" si="56"/>
        <v>0.14069039945164724</v>
      </c>
      <c r="AM152">
        <f t="shared" ca="1" si="57"/>
        <v>0.14082178956453051</v>
      </c>
      <c r="AN152">
        <f t="shared" ca="1" si="58"/>
        <v>0.14073846334036075</v>
      </c>
      <c r="AO152">
        <f t="shared" ca="1" si="59"/>
        <v>0.14026208240615501</v>
      </c>
      <c r="AP152">
        <f t="shared" ca="1" si="60"/>
        <v>0.13995095549719228</v>
      </c>
      <c r="AQ152">
        <f t="shared" ca="1" si="61"/>
        <v>0.14109070640694674</v>
      </c>
      <c r="AR152">
        <f t="shared" ca="1" si="62"/>
        <v>0.14142170904764004</v>
      </c>
      <c r="AS152">
        <f t="shared" ca="1" si="63"/>
        <v>0.14220690264704583</v>
      </c>
      <c r="AT152">
        <f t="shared" ca="1" si="64"/>
        <v>0.143759308906762</v>
      </c>
      <c r="AU152">
        <f t="shared" ca="1" si="65"/>
        <v>0.1430514287403728</v>
      </c>
      <c r="AV152">
        <f t="shared" ca="1" si="66"/>
        <v>0.14140672063944518</v>
      </c>
    </row>
    <row r="153" spans="1:48" ht="16" x14ac:dyDescent="0.2">
      <c r="A153" t="e" vm="3197">
        <v>#VALUE!</v>
      </c>
      <c r="B153" s="23" t="str" cm="1">
        <f t="array" aca="1" ref="B153" ca="1">_FV(A153,"ticker symbol",TRUE)</f>
        <v>SGOV</v>
      </c>
      <c r="C153" s="23" t="str" cm="1">
        <f t="array" aca="1" ref="C153" ca="1">_FV(A153,"Name")</f>
        <v>iShares:0-3 Month Trs Bd</v>
      </c>
      <c r="D153" cm="1" vm="3198">
        <f t="array" aca="1" ref="D153:Y153" ca="1">TRANSPOSE(_xlfn.STOCKHISTORY(B153, WORKDAY(TODAY(), -23), TODAY(), 0, 0, 1))</f>
        <v>100.56</v>
      </c>
      <c r="E153" vm="3199">
        <f ca="1"/>
        <v>100.58</v>
      </c>
      <c r="F153" vm="3200">
        <f ca="1"/>
        <v>100.6</v>
      </c>
      <c r="G153" vm="274">
        <f ca="1"/>
        <v>100.61</v>
      </c>
      <c r="H153" vm="3201">
        <f ca="1"/>
        <v>100.63</v>
      </c>
      <c r="I153" vm="3202">
        <f ca="1"/>
        <v>100.64</v>
      </c>
      <c r="J153" vm="3203">
        <f ca="1"/>
        <v>100.67</v>
      </c>
      <c r="K153" vm="3204">
        <f ca="1"/>
        <v>100.38</v>
      </c>
      <c r="L153" vm="3205">
        <f ca="1"/>
        <v>100.4</v>
      </c>
      <c r="M153" vm="3206">
        <f ca="1"/>
        <v>100.41</v>
      </c>
      <c r="N153" vm="3207">
        <f ca="1"/>
        <v>100.43</v>
      </c>
      <c r="O153" vm="3208">
        <f ca="1"/>
        <v>100.46</v>
      </c>
      <c r="P153" vm="3208">
        <f ca="1"/>
        <v>100.46</v>
      </c>
      <c r="Q153" vm="3209">
        <f ca="1"/>
        <v>100.47</v>
      </c>
      <c r="R153" vm="3209">
        <f ca="1"/>
        <v>100.47</v>
      </c>
      <c r="S153" vm="3210">
        <f ca="1"/>
        <v>100.49</v>
      </c>
      <c r="T153" vm="3211">
        <f ca="1"/>
        <v>100.53</v>
      </c>
      <c r="U153" vm="3211">
        <f ca="1"/>
        <v>100.53</v>
      </c>
      <c r="V153" vm="3212">
        <f ca="1"/>
        <v>100.54</v>
      </c>
      <c r="W153" vm="3198">
        <f ca="1"/>
        <v>100.56</v>
      </c>
      <c r="X153" vm="3198">
        <f ca="1"/>
        <v>100.56</v>
      </c>
      <c r="Y153" vm="136">
        <f ca="1"/>
        <v>100.28</v>
      </c>
      <c r="AA153">
        <f t="shared" ca="1" si="45"/>
        <v>0.15175890014034982</v>
      </c>
      <c r="AB153">
        <f t="shared" ca="1" si="46"/>
        <v>0.15413850704182183</v>
      </c>
      <c r="AC153">
        <f t="shared" ca="1" si="47"/>
        <v>0.15264858959379693</v>
      </c>
      <c r="AD153">
        <f t="shared" ca="1" si="48"/>
        <v>0.15044935923317332</v>
      </c>
      <c r="AE153">
        <f t="shared" ca="1" si="49"/>
        <v>0.14907706438327753</v>
      </c>
      <c r="AF153">
        <f t="shared" ca="1" si="50"/>
        <v>0.14806967984934089</v>
      </c>
      <c r="AG153">
        <f t="shared" ca="1" si="51"/>
        <v>0.14730973529024424</v>
      </c>
      <c r="AH153">
        <f t="shared" ca="1" si="52"/>
        <v>0.14755905743307804</v>
      </c>
      <c r="AI153">
        <f t="shared" ca="1" si="53"/>
        <v>0.14731559872639505</v>
      </c>
      <c r="AJ153">
        <f t="shared" ca="1" si="54"/>
        <v>0.14682185731623507</v>
      </c>
      <c r="AK153">
        <f t="shared" ca="1" si="55"/>
        <v>0.14674381566066133</v>
      </c>
      <c r="AL153">
        <f t="shared" ca="1" si="56"/>
        <v>0.14650935553967534</v>
      </c>
      <c r="AM153">
        <f t="shared" ca="1" si="57"/>
        <v>0.1469508359785264</v>
      </c>
      <c r="AN153">
        <f t="shared" ca="1" si="58"/>
        <v>0.1470924104005622</v>
      </c>
      <c r="AO153">
        <f t="shared" ca="1" si="59"/>
        <v>0.14612330380906671</v>
      </c>
      <c r="AP153">
        <f t="shared" ca="1" si="60"/>
        <v>0.14581307950142924</v>
      </c>
      <c r="AQ153">
        <f t="shared" ca="1" si="61"/>
        <v>0.14745658296174607</v>
      </c>
      <c r="AR153">
        <f t="shared" ca="1" si="62"/>
        <v>0.14767969679608656</v>
      </c>
      <c r="AS153">
        <f t="shared" ca="1" si="63"/>
        <v>0.1480990469456597</v>
      </c>
      <c r="AT153">
        <f t="shared" ca="1" si="64"/>
        <v>0.14977658623771226</v>
      </c>
      <c r="AU153">
        <f t="shared" ca="1" si="65"/>
        <v>0.14865404230786286</v>
      </c>
      <c r="AV153">
        <f t="shared" ca="1" si="66"/>
        <v>0.147342746734451</v>
      </c>
    </row>
    <row r="154" spans="1:48" ht="16" x14ac:dyDescent="0.2">
      <c r="A154" t="e" vm="3213">
        <v>#VALUE!</v>
      </c>
      <c r="B154" s="23" t="str" cm="1">
        <f t="array" aca="1" ref="B154" ca="1">_FV(A154,"ticker symbol",TRUE)</f>
        <v>IEI</v>
      </c>
      <c r="C154" s="23" t="str" cm="1">
        <f t="array" aca="1" ref="C154" ca="1">_FV(A154,"Name")</f>
        <v>iShares:3-7 Trs Bd</v>
      </c>
      <c r="D154" cm="1" vm="3214">
        <f t="array" aca="1" ref="D154:Y154" ca="1">TRANSPOSE(_xlfn.STOCKHISTORY(B154, WORKDAY(TODAY(), -23), TODAY(), 0, 0, 1))</f>
        <v>119.62</v>
      </c>
      <c r="E154" vm="3215">
        <f ca="1"/>
        <v>119.82</v>
      </c>
      <c r="F154" vm="3216">
        <f ca="1"/>
        <v>120.08</v>
      </c>
      <c r="G154" vm="3217">
        <f ca="1"/>
        <v>120.14</v>
      </c>
      <c r="H154" vm="3218">
        <f ca="1"/>
        <v>120.35</v>
      </c>
      <c r="I154" vm="3219">
        <f ca="1"/>
        <v>120.37</v>
      </c>
      <c r="J154" vm="3220">
        <f ca="1"/>
        <v>120.26</v>
      </c>
      <c r="K154" vm="3221">
        <f ca="1"/>
        <v>119.56</v>
      </c>
      <c r="L154" vm="3222">
        <f ca="1"/>
        <v>119.66</v>
      </c>
      <c r="M154" vm="3223">
        <f ca="1"/>
        <v>119.8</v>
      </c>
      <c r="N154" vm="3224">
        <f ca="1"/>
        <v>119.59</v>
      </c>
      <c r="O154" vm="3225">
        <f ca="1"/>
        <v>119.42</v>
      </c>
      <c r="P154" vm="3226">
        <f ca="1"/>
        <v>119.24</v>
      </c>
      <c r="Q154" vm="3227">
        <f ca="1"/>
        <v>119.11</v>
      </c>
      <c r="R154" vm="3228">
        <f ca="1"/>
        <v>119.43</v>
      </c>
      <c r="S154" vm="3229">
        <f ca="1"/>
        <v>119.47</v>
      </c>
      <c r="T154" vm="3230">
        <f ca="1"/>
        <v>119.36</v>
      </c>
      <c r="U154" vm="3231">
        <f ca="1"/>
        <v>119.45</v>
      </c>
      <c r="V154" vm="3222">
        <f ca="1"/>
        <v>119.66</v>
      </c>
      <c r="W154" vm="3232">
        <f ca="1"/>
        <v>119.655</v>
      </c>
      <c r="X154" vm="1406">
        <f ca="1"/>
        <v>119.85</v>
      </c>
      <c r="Y154" vm="138">
        <f ca="1"/>
        <v>119.34</v>
      </c>
      <c r="AA154">
        <f t="shared" ca="1" si="45"/>
        <v>0.18052306717172481</v>
      </c>
      <c r="AB154">
        <f t="shared" ca="1" si="46"/>
        <v>0.1836237414371753</v>
      </c>
      <c r="AC154">
        <f t="shared" ca="1" si="47"/>
        <v>0.18220718328452423</v>
      </c>
      <c r="AD154">
        <f t="shared" ca="1" si="48"/>
        <v>0.17965397095987917</v>
      </c>
      <c r="AE154">
        <f t="shared" ca="1" si="49"/>
        <v>0.17829101359959704</v>
      </c>
      <c r="AF154">
        <f t="shared" ca="1" si="50"/>
        <v>0.17709804613935973</v>
      </c>
      <c r="AG154">
        <f t="shared" ca="1" si="51"/>
        <v>0.1759756507996898</v>
      </c>
      <c r="AH154">
        <f t="shared" ca="1" si="52"/>
        <v>0.17575374483660899</v>
      </c>
      <c r="AI154">
        <f t="shared" ca="1" si="53"/>
        <v>0.17557554326295247</v>
      </c>
      <c r="AJ154">
        <f t="shared" ca="1" si="54"/>
        <v>0.17517437014724591</v>
      </c>
      <c r="AK154">
        <f t="shared" ca="1" si="55"/>
        <v>0.17473954908750861</v>
      </c>
      <c r="AL154">
        <f t="shared" ca="1" si="56"/>
        <v>0.17416033484519242</v>
      </c>
      <c r="AM154">
        <f t="shared" ca="1" si="57"/>
        <v>0.17442183637347689</v>
      </c>
      <c r="AN154">
        <f t="shared" ca="1" si="58"/>
        <v>0.174382173811197</v>
      </c>
      <c r="AO154">
        <f t="shared" ca="1" si="59"/>
        <v>0.17369867795279026</v>
      </c>
      <c r="AP154">
        <f t="shared" ca="1" si="60"/>
        <v>0.17335345415499806</v>
      </c>
      <c r="AQ154">
        <f t="shared" ca="1" si="61"/>
        <v>0.17507627317531096</v>
      </c>
      <c r="AR154">
        <f t="shared" ca="1" si="62"/>
        <v>0.17547338886195701</v>
      </c>
      <c r="AS154">
        <f t="shared" ca="1" si="63"/>
        <v>0.17626349669303401</v>
      </c>
      <c r="AT154">
        <f t="shared" ca="1" si="64"/>
        <v>0.1782171581769437</v>
      </c>
      <c r="AU154">
        <f t="shared" ca="1" si="65"/>
        <v>0.17716971927801675</v>
      </c>
      <c r="AV154">
        <f t="shared" ca="1" si="66"/>
        <v>0.17534785994504767</v>
      </c>
    </row>
    <row r="155" spans="1:48" ht="16" x14ac:dyDescent="0.2">
      <c r="A155" t="e" vm="3233">
        <v>#VALUE!</v>
      </c>
      <c r="B155" s="23" t="str" cm="1">
        <f t="array" aca="1" ref="B155" ca="1">_FV(A155,"ticker symbol",TRUE)</f>
        <v>TLH</v>
      </c>
      <c r="C155" s="23" t="str" cm="1">
        <f t="array" aca="1" ref="C155" ca="1">_FV(A155,"Name")</f>
        <v>iShares:10-20 Trs Bd ETF</v>
      </c>
      <c r="D155" cm="1" vm="288">
        <f t="array" aca="1" ref="D155:Y155" ca="1">TRANSPOSE(_xlfn.STOCKHISTORY(B155, WORKDAY(TODAY(), -23), TODAY(), 0, 0, 1))</f>
        <v>102.8</v>
      </c>
      <c r="E155" vm="3234">
        <f ca="1"/>
        <v>103.16</v>
      </c>
      <c r="F155" vm="3235">
        <f ca="1"/>
        <v>103.42</v>
      </c>
      <c r="G155" vm="3236">
        <f ca="1"/>
        <v>103.86</v>
      </c>
      <c r="H155" vm="3237">
        <f ca="1"/>
        <v>104.19</v>
      </c>
      <c r="I155" vm="3238">
        <f ca="1"/>
        <v>104.46</v>
      </c>
      <c r="J155" vm="281">
        <f ca="1"/>
        <v>104.08</v>
      </c>
      <c r="K155" vm="3239">
        <f ca="1"/>
        <v>102.66</v>
      </c>
      <c r="L155" vm="3240">
        <f ca="1"/>
        <v>102.72</v>
      </c>
      <c r="M155" vm="3241">
        <f ca="1"/>
        <v>102.99</v>
      </c>
      <c r="N155" vm="3242">
        <f ca="1"/>
        <v>102.56</v>
      </c>
      <c r="O155" vm="1909">
        <f ca="1"/>
        <v>102.14</v>
      </c>
      <c r="P155" vm="3243">
        <f ca="1"/>
        <v>101.81</v>
      </c>
      <c r="Q155" vm="3244">
        <f ca="1"/>
        <v>101.83</v>
      </c>
      <c r="R155" vm="3245">
        <f ca="1"/>
        <v>102.2</v>
      </c>
      <c r="S155" vm="276">
        <f ca="1"/>
        <v>102.15</v>
      </c>
      <c r="T155" vm="3246">
        <f ca="1"/>
        <v>101.41</v>
      </c>
      <c r="U155" vm="3247">
        <f ca="1"/>
        <v>101.57</v>
      </c>
      <c r="V155" vm="3248">
        <f ca="1"/>
        <v>102.05</v>
      </c>
      <c r="W155" vm="3249">
        <f ca="1"/>
        <v>101.96</v>
      </c>
      <c r="X155" vm="3250">
        <f ca="1"/>
        <v>102.35</v>
      </c>
      <c r="Y155" vm="140">
        <f ca="1"/>
        <v>101.62</v>
      </c>
      <c r="AA155">
        <f t="shared" ca="1" si="45"/>
        <v>0.15513936887855967</v>
      </c>
      <c r="AB155">
        <f t="shared" ca="1" si="46"/>
        <v>0.15809234824452514</v>
      </c>
      <c r="AC155">
        <f t="shared" ca="1" si="47"/>
        <v>0.15692760572356343</v>
      </c>
      <c r="AD155">
        <f t="shared" ca="1" si="48"/>
        <v>0.15530931766183662</v>
      </c>
      <c r="AE155">
        <f t="shared" ca="1" si="49"/>
        <v>0.15435098219312021</v>
      </c>
      <c r="AF155">
        <f t="shared" ca="1" si="50"/>
        <v>0.15368997175141244</v>
      </c>
      <c r="AG155">
        <f t="shared" ca="1" si="51"/>
        <v>0.15229956540189349</v>
      </c>
      <c r="AH155">
        <f t="shared" ca="1" si="52"/>
        <v>0.15091066782307025</v>
      </c>
      <c r="AI155">
        <f t="shared" ca="1" si="53"/>
        <v>0.15071970419497308</v>
      </c>
      <c r="AJ155">
        <f t="shared" ca="1" si="54"/>
        <v>0.15059439383526591</v>
      </c>
      <c r="AK155">
        <f t="shared" ca="1" si="55"/>
        <v>0.14985607621385469</v>
      </c>
      <c r="AL155">
        <f t="shared" ca="1" si="56"/>
        <v>0.14895944231358194</v>
      </c>
      <c r="AM155">
        <f t="shared" ca="1" si="57"/>
        <v>0.14892558840308354</v>
      </c>
      <c r="AN155">
        <f t="shared" ca="1" si="58"/>
        <v>0.14908350901850551</v>
      </c>
      <c r="AO155">
        <f t="shared" ca="1" si="59"/>
        <v>0.14863941125994443</v>
      </c>
      <c r="AP155">
        <f t="shared" ca="1" si="60"/>
        <v>0.1482217740180217</v>
      </c>
      <c r="AQ155">
        <f t="shared" ca="1" si="61"/>
        <v>0.14874735977470077</v>
      </c>
      <c r="AR155">
        <f t="shared" ca="1" si="62"/>
        <v>0.14920746845298427</v>
      </c>
      <c r="AS155">
        <f t="shared" ca="1" si="63"/>
        <v>0.15032333141838644</v>
      </c>
      <c r="AT155">
        <f t="shared" ca="1" si="64"/>
        <v>0.15186178135239797</v>
      </c>
      <c r="AU155">
        <f t="shared" ca="1" si="65"/>
        <v>0.15130013156533179</v>
      </c>
      <c r="AV155">
        <f t="shared" ca="1" si="66"/>
        <v>0.14931162667685391</v>
      </c>
    </row>
    <row r="156" spans="1:48" ht="16" x14ac:dyDescent="0.2">
      <c r="A156" t="e" vm="3251">
        <v>#VALUE!</v>
      </c>
      <c r="B156" s="23" t="str" cm="1">
        <f t="array" aca="1" ref="B156" ca="1">_FV(A156,"ticker symbol",TRUE)</f>
        <v>AGG</v>
      </c>
      <c r="C156" s="23" t="str" cm="1">
        <f t="array" aca="1" ref="C156" ca="1">_FV(A156,"Name")</f>
        <v>iShares:Core US Agg Bd</v>
      </c>
      <c r="D156" cm="1" vm="3252">
        <f t="array" aca="1" ref="D156:Y156" ca="1">TRANSPOSE(_xlfn.STOCKHISTORY(B156, WORKDAY(TODAY(), -23), TODAY(), 0, 0, 1))</f>
        <v>100.08</v>
      </c>
      <c r="E156" vm="3253">
        <f ca="1"/>
        <v>100.2</v>
      </c>
      <c r="F156" vm="3254">
        <f ca="1"/>
        <v>100.44</v>
      </c>
      <c r="G156" vm="3202">
        <f ca="1"/>
        <v>100.64</v>
      </c>
      <c r="H156" vm="678">
        <f ca="1"/>
        <v>100.8</v>
      </c>
      <c r="I156" vm="3255">
        <f ca="1"/>
        <v>100.96</v>
      </c>
      <c r="J156" vm="3256">
        <f ca="1"/>
        <v>100.82</v>
      </c>
      <c r="K156" vm="3257">
        <f ca="1"/>
        <v>100.06</v>
      </c>
      <c r="L156" vm="3258">
        <f ca="1"/>
        <v>100.19</v>
      </c>
      <c r="M156" vm="3204">
        <f ca="1"/>
        <v>100.38</v>
      </c>
      <c r="N156" vm="3259">
        <f ca="1"/>
        <v>100.14</v>
      </c>
      <c r="O156" vm="3260">
        <f ca="1"/>
        <v>100.03</v>
      </c>
      <c r="P156" vm="1062">
        <f ca="1"/>
        <v>99.87</v>
      </c>
      <c r="Q156" vm="3261">
        <f ca="1"/>
        <v>99.78</v>
      </c>
      <c r="R156" vm="3262">
        <f ca="1"/>
        <v>100.1</v>
      </c>
      <c r="S156" vm="3263">
        <f ca="1"/>
        <v>100.12</v>
      </c>
      <c r="T156" vm="3264">
        <f ca="1"/>
        <v>99.81</v>
      </c>
      <c r="U156" vm="3265">
        <f ca="1"/>
        <v>99.91</v>
      </c>
      <c r="V156" vm="3262">
        <f ca="1"/>
        <v>100.1</v>
      </c>
      <c r="W156" vm="3266">
        <f ca="1"/>
        <v>100.07</v>
      </c>
      <c r="X156" vm="3267">
        <f ca="1"/>
        <v>100.32</v>
      </c>
      <c r="Y156" vm="142">
        <f ca="1"/>
        <v>99.84</v>
      </c>
      <c r="AA156">
        <f t="shared" ca="1" si="45"/>
        <v>0.151034513982162</v>
      </c>
      <c r="AB156">
        <f t="shared" ca="1" si="46"/>
        <v>0.15355615833754771</v>
      </c>
      <c r="AC156">
        <f t="shared" ca="1" si="47"/>
        <v>0.15240580853678892</v>
      </c>
      <c r="AD156">
        <f t="shared" ca="1" si="48"/>
        <v>0.15049422038789945</v>
      </c>
      <c r="AE156">
        <f t="shared" ca="1" si="49"/>
        <v>0.14932890877307339</v>
      </c>
      <c r="AF156">
        <f t="shared" ca="1" si="50"/>
        <v>0.14854048964218455</v>
      </c>
      <c r="AG156">
        <f t="shared" ca="1" si="51"/>
        <v>0.14752922928342527</v>
      </c>
      <c r="AH156">
        <f t="shared" ca="1" si="52"/>
        <v>0.14708865597483353</v>
      </c>
      <c r="AI156">
        <f t="shared" ca="1" si="53"/>
        <v>0.14700746849001511</v>
      </c>
      <c r="AJ156">
        <f t="shared" ca="1" si="54"/>
        <v>0.14677799061252539</v>
      </c>
      <c r="AK156">
        <f t="shared" ca="1" si="55"/>
        <v>0.14632008065576646</v>
      </c>
      <c r="AL156">
        <f t="shared" ca="1" si="56"/>
        <v>0.14588224999635402</v>
      </c>
      <c r="AM156">
        <f t="shared" ca="1" si="57"/>
        <v>0.14608779603001623</v>
      </c>
      <c r="AN156">
        <f t="shared" ca="1" si="58"/>
        <v>0.14608222066057625</v>
      </c>
      <c r="AO156">
        <f t="shared" ca="1" si="59"/>
        <v>0.14558517678200036</v>
      </c>
      <c r="AP156">
        <f t="shared" ca="1" si="60"/>
        <v>0.14527620180797193</v>
      </c>
      <c r="AQ156">
        <f t="shared" ca="1" si="61"/>
        <v>0.14640049284205586</v>
      </c>
      <c r="AR156">
        <f t="shared" ca="1" si="62"/>
        <v>0.14676890984678212</v>
      </c>
      <c r="AS156">
        <f t="shared" ca="1" si="63"/>
        <v>0.14745091107281216</v>
      </c>
      <c r="AT156">
        <f t="shared" ca="1" si="64"/>
        <v>0.14904676794757224</v>
      </c>
      <c r="AU156">
        <f t="shared" ca="1" si="65"/>
        <v>0.14829925939066033</v>
      </c>
      <c r="AV156">
        <f t="shared" ca="1" si="66"/>
        <v>0.14669624884291571</v>
      </c>
    </row>
    <row r="157" spans="1:48" ht="16" x14ac:dyDescent="0.2">
      <c r="A157" t="e" vm="3268">
        <v>#VALUE!</v>
      </c>
      <c r="B157" s="23" t="str" cm="1">
        <f t="array" aca="1" ref="B157" ca="1">_FV(A157,"ticker symbol",TRUE)</f>
        <v>MUB</v>
      </c>
      <c r="C157" s="23" t="str" cm="1">
        <f t="array" aca="1" ref="C157" ca="1">_FV(A157,"Name")</f>
        <v>iShares:Natl Muni Bond</v>
      </c>
      <c r="D157" cm="1" vm="3269">
        <f t="array" aca="1" ref="D157:Y157" ca="1">TRANSPOSE(_xlfn.STOCKHISTORY(B157, WORKDAY(TODAY(), -23), TODAY(), 0, 0, 1))</f>
        <v>107.05</v>
      </c>
      <c r="E157" vm="3270">
        <f ca="1"/>
        <v>107.12</v>
      </c>
      <c r="F157" vm="3271">
        <f ca="1"/>
        <v>107.16</v>
      </c>
      <c r="G157" vm="3272">
        <f ca="1"/>
        <v>107.2</v>
      </c>
      <c r="H157" vm="2993">
        <f ca="1"/>
        <v>107.25</v>
      </c>
      <c r="I157" vm="80">
        <f ca="1"/>
        <v>107.4</v>
      </c>
      <c r="J157" vm="3273">
        <f ca="1"/>
        <v>107.43</v>
      </c>
      <c r="K157" vm="3274">
        <f ca="1"/>
        <v>106.87</v>
      </c>
      <c r="L157" vm="3275">
        <f ca="1"/>
        <v>106.81</v>
      </c>
      <c r="M157" vm="3274">
        <f ca="1"/>
        <v>106.87</v>
      </c>
      <c r="N157" vm="3276">
        <f ca="1"/>
        <v>106.86</v>
      </c>
      <c r="O157" vm="3277">
        <f ca="1"/>
        <v>106.91</v>
      </c>
      <c r="P157" vm="3278">
        <f ca="1"/>
        <v>106.85</v>
      </c>
      <c r="Q157" vm="3279">
        <f ca="1"/>
        <v>106.79</v>
      </c>
      <c r="R157" vm="3280">
        <f ca="1"/>
        <v>106.97</v>
      </c>
      <c r="S157" vm="3280">
        <f ca="1"/>
        <v>106.97</v>
      </c>
      <c r="T157" vm="3278">
        <f ca="1"/>
        <v>106.85</v>
      </c>
      <c r="U157" vm="3281">
        <f ca="1"/>
        <v>106.84</v>
      </c>
      <c r="V157" vm="2990">
        <f ca="1"/>
        <v>106.99</v>
      </c>
      <c r="W157" vm="3282">
        <f ca="1"/>
        <v>106.96</v>
      </c>
      <c r="X157" vm="3283">
        <f ca="1"/>
        <v>107.02</v>
      </c>
      <c r="Y157" vm="144">
        <f ca="1"/>
        <v>106.71</v>
      </c>
      <c r="AA157">
        <f t="shared" ca="1" si="45"/>
        <v>0.16155320465418108</v>
      </c>
      <c r="AB157">
        <f t="shared" ca="1" si="46"/>
        <v>0.16416103474169771</v>
      </c>
      <c r="AC157">
        <f t="shared" ca="1" si="47"/>
        <v>0.16260261293112604</v>
      </c>
      <c r="AD157">
        <f t="shared" ca="1" si="48"/>
        <v>0.16030385955467827</v>
      </c>
      <c r="AE157">
        <f t="shared" ca="1" si="49"/>
        <v>0.15888418120944564</v>
      </c>
      <c r="AF157">
        <f t="shared" ca="1" si="50"/>
        <v>0.15801553672316387</v>
      </c>
      <c r="AG157">
        <f t="shared" ca="1" si="51"/>
        <v>0.15720159791627036</v>
      </c>
      <c r="AH157">
        <f t="shared" ca="1" si="52"/>
        <v>0.15709938700809972</v>
      </c>
      <c r="AI157">
        <f t="shared" ca="1" si="53"/>
        <v>0.15672090737018179</v>
      </c>
      <c r="AJ157">
        <f t="shared" ca="1" si="54"/>
        <v>0.15626782084838206</v>
      </c>
      <c r="AK157">
        <f t="shared" ca="1" si="55"/>
        <v>0.1561390435278131</v>
      </c>
      <c r="AL157">
        <f t="shared" ca="1" si="56"/>
        <v>0.15591593868949524</v>
      </c>
      <c r="AM157">
        <f t="shared" ca="1" si="57"/>
        <v>0.15629799745476353</v>
      </c>
      <c r="AN157">
        <f t="shared" ca="1" si="58"/>
        <v>0.15634516280159289</v>
      </c>
      <c r="AO157">
        <f t="shared" ca="1" si="59"/>
        <v>0.1555768867169888</v>
      </c>
      <c r="AP157">
        <f t="shared" ca="1" si="60"/>
        <v>0.15521569424089848</v>
      </c>
      <c r="AQ157">
        <f t="shared" ca="1" si="61"/>
        <v>0.15672670734569349</v>
      </c>
      <c r="AR157">
        <f t="shared" ca="1" si="62"/>
        <v>0.15694915752207189</v>
      </c>
      <c r="AS157">
        <f t="shared" ca="1" si="63"/>
        <v>0.15760012962717457</v>
      </c>
      <c r="AT157">
        <f t="shared" ca="1" si="64"/>
        <v>0.15930890676198986</v>
      </c>
      <c r="AU157">
        <f t="shared" ca="1" si="65"/>
        <v>0.15820361582923115</v>
      </c>
      <c r="AV157">
        <f t="shared" ca="1" si="66"/>
        <v>0.15679043183120525</v>
      </c>
    </row>
    <row r="158" spans="1:48" ht="16" x14ac:dyDescent="0.2">
      <c r="A158" t="e" vm="3284">
        <v>#VALUE!</v>
      </c>
      <c r="B158" s="23" t="str" cm="1">
        <f t="array" aca="1" ref="B158" ca="1">_FV(A158,"ticker symbol",TRUE)</f>
        <v>GOVT</v>
      </c>
      <c r="C158" s="23" t="str" cm="1">
        <f t="array" aca="1" ref="C158" ca="1">_FV(A158,"Name")</f>
        <v>iShares:US Treasury Bond</v>
      </c>
      <c r="D158" cm="1" vm="2461">
        <f t="array" aca="1" ref="D158:Y158" ca="1">TRANSPOSE(_xlfn.STOCKHISTORY(B158, WORKDAY(TODAY(), -23), TODAY(), 0, 0, 1))</f>
        <v>23.12</v>
      </c>
      <c r="E158" vm="3285">
        <f ca="1"/>
        <v>23.164999999999999</v>
      </c>
      <c r="F158" vm="3286">
        <f ca="1"/>
        <v>23.204999999999998</v>
      </c>
      <c r="G158" vm="3287">
        <f ca="1"/>
        <v>23.23</v>
      </c>
      <c r="H158" vm="2429">
        <f ca="1"/>
        <v>23.28</v>
      </c>
      <c r="I158" vm="3288">
        <f ca="1"/>
        <v>23.295000000000002</v>
      </c>
      <c r="J158" vm="3128">
        <f ca="1"/>
        <v>23.27</v>
      </c>
      <c r="K158" vm="3289">
        <f ca="1"/>
        <v>23.105</v>
      </c>
      <c r="L158" vm="2461">
        <f ca="1"/>
        <v>23.12</v>
      </c>
      <c r="M158" vm="3290">
        <f ca="1"/>
        <v>23.15</v>
      </c>
      <c r="N158" vm="3291">
        <f ca="1"/>
        <v>23.1</v>
      </c>
      <c r="O158" vm="3292">
        <f ca="1"/>
        <v>23.07</v>
      </c>
      <c r="P158" vm="2431">
        <f ca="1"/>
        <v>23.03</v>
      </c>
      <c r="Q158" vm="3293">
        <f ca="1"/>
        <v>23.01</v>
      </c>
      <c r="R158" vm="3292">
        <f ca="1"/>
        <v>23.07</v>
      </c>
      <c r="S158" vm="3294">
        <f ca="1"/>
        <v>23.074999999999999</v>
      </c>
      <c r="T158" vm="3295">
        <f ca="1"/>
        <v>23.015000000000001</v>
      </c>
      <c r="U158" vm="2465">
        <f ca="1"/>
        <v>23.04</v>
      </c>
      <c r="V158" vm="3296">
        <f ca="1"/>
        <v>23.09</v>
      </c>
      <c r="W158" vm="3297">
        <f ca="1"/>
        <v>23.085000000000001</v>
      </c>
      <c r="X158" vm="3298">
        <f ca="1"/>
        <v>23.125</v>
      </c>
      <c r="Y158" vm="146">
        <f ca="1"/>
        <v>23.02</v>
      </c>
      <c r="AA158">
        <f t="shared" ca="1" si="45"/>
        <v>3.489126661938035E-2</v>
      </c>
      <c r="AB158">
        <f t="shared" ca="1" si="46"/>
        <v>3.5500283511869186E-2</v>
      </c>
      <c r="AC158">
        <f t="shared" ca="1" si="47"/>
        <v>3.5210840174195408E-2</v>
      </c>
      <c r="AD158">
        <f t="shared" ca="1" si="48"/>
        <v>3.4737487476260973E-2</v>
      </c>
      <c r="AE158">
        <f t="shared" ca="1" si="49"/>
        <v>3.4487867026162189E-2</v>
      </c>
      <c r="AF158">
        <f t="shared" ca="1" si="50"/>
        <v>3.4273481638418084E-2</v>
      </c>
      <c r="AG158">
        <f t="shared" ca="1" si="51"/>
        <v>3.4050834808820735E-2</v>
      </c>
      <c r="AH158">
        <f t="shared" ca="1" si="52"/>
        <v>3.3964455289811402E-2</v>
      </c>
      <c r="AI158">
        <f t="shared" ca="1" si="53"/>
        <v>3.3923671738588179E-2</v>
      </c>
      <c r="AJ158">
        <f t="shared" ca="1" si="54"/>
        <v>3.3850473029288335E-2</v>
      </c>
      <c r="AK158">
        <f t="shared" ca="1" si="55"/>
        <v>3.3752684872660331E-2</v>
      </c>
      <c r="AL158">
        <f t="shared" ca="1" si="56"/>
        <v>3.3644941591681368E-2</v>
      </c>
      <c r="AM158">
        <f t="shared" ca="1" si="57"/>
        <v>3.3687813583371126E-2</v>
      </c>
      <c r="AN158">
        <f t="shared" ca="1" si="58"/>
        <v>3.3687631763879129E-2</v>
      </c>
      <c r="AO158">
        <f t="shared" ca="1" si="59"/>
        <v>3.3552947336271212E-2</v>
      </c>
      <c r="AP158">
        <f t="shared" ca="1" si="60"/>
        <v>3.3482304801427804E-2</v>
      </c>
      <c r="AQ158">
        <f t="shared" ca="1" si="61"/>
        <v>3.375821403426426E-2</v>
      </c>
      <c r="AR158">
        <f t="shared" ca="1" si="62"/>
        <v>3.3846018245119208E-2</v>
      </c>
      <c r="AS158">
        <f t="shared" ca="1" si="63"/>
        <v>3.4012402963748585E-2</v>
      </c>
      <c r="AT158">
        <f t="shared" ca="1" si="64"/>
        <v>3.4383378016085792E-2</v>
      </c>
      <c r="AU158">
        <f t="shared" ca="1" si="65"/>
        <v>3.4184812334619417E-2</v>
      </c>
      <c r="AV158">
        <f t="shared" ca="1" si="66"/>
        <v>3.3823594234414257E-2</v>
      </c>
    </row>
    <row r="159" spans="1:48" ht="16" x14ac:dyDescent="0.2">
      <c r="A159" t="e" vm="3299">
        <v>#VALUE!</v>
      </c>
      <c r="B159" s="23" t="str" cm="1">
        <f t="array" aca="1" ref="B159" ca="1">_FV(A159,"ticker symbol",TRUE)</f>
        <v>IGSB</v>
      </c>
      <c r="C159" s="23" t="str" cm="1">
        <f t="array" aca="1" ref="C159" ca="1">_FV(A159,"Name")</f>
        <v>iShares:1-5 IG Corp Bd</v>
      </c>
      <c r="D159" cm="1" vm="2928">
        <f t="array" aca="1" ref="D159:Y159" ca="1">TRANSPOSE(_xlfn.STOCKHISTORY(B159, WORKDAY(TODAY(), -23), TODAY(), 0, 0, 1))</f>
        <v>52.88</v>
      </c>
      <c r="E159" vm="3300">
        <f ca="1"/>
        <v>52.9</v>
      </c>
      <c r="F159" vm="3301">
        <f ca="1"/>
        <v>52.99</v>
      </c>
      <c r="G159" vm="3302">
        <f ca="1"/>
        <v>53.01</v>
      </c>
      <c r="H159" vm="2637">
        <f ca="1"/>
        <v>53.1</v>
      </c>
      <c r="I159" vm="2191">
        <f ca="1"/>
        <v>53.13</v>
      </c>
      <c r="J159" vm="2636">
        <f ca="1"/>
        <v>53.11</v>
      </c>
      <c r="K159" vm="3112">
        <f ca="1"/>
        <v>52.85</v>
      </c>
      <c r="L159" vm="3303">
        <f ca="1"/>
        <v>52.87</v>
      </c>
      <c r="M159" vm="2767">
        <f ca="1"/>
        <v>52.93</v>
      </c>
      <c r="N159" vm="2928">
        <f ca="1"/>
        <v>52.88</v>
      </c>
      <c r="O159" vm="3304">
        <f ca="1"/>
        <v>52.86</v>
      </c>
      <c r="P159" vm="3305">
        <f ca="1"/>
        <v>52.83</v>
      </c>
      <c r="Q159" vm="148">
        <f ca="1"/>
        <v>52.8</v>
      </c>
      <c r="R159" vm="3306">
        <f ca="1"/>
        <v>52.92</v>
      </c>
      <c r="S159" vm="3306">
        <f ca="1"/>
        <v>52.92</v>
      </c>
      <c r="T159" vm="3303">
        <f ca="1"/>
        <v>52.87</v>
      </c>
      <c r="U159" vm="3306">
        <f ca="1"/>
        <v>52.92</v>
      </c>
      <c r="V159" vm="3307">
        <f ca="1"/>
        <v>52.97</v>
      </c>
      <c r="W159" vm="472">
        <f ca="1"/>
        <v>52.95</v>
      </c>
      <c r="X159" vm="2771">
        <f ca="1"/>
        <v>53.02</v>
      </c>
      <c r="Y159" vm="148">
        <f ca="1"/>
        <v>52.8</v>
      </c>
      <c r="AA159">
        <f t="shared" ca="1" si="45"/>
        <v>7.9803208427025651E-2</v>
      </c>
      <c r="AB159">
        <f t="shared" ca="1" si="46"/>
        <v>8.10690696213201E-2</v>
      </c>
      <c r="AC159">
        <f t="shared" ca="1" si="47"/>
        <v>8.0406051317845936E-2</v>
      </c>
      <c r="AD159">
        <f t="shared" ca="1" si="48"/>
        <v>7.926966040105872E-2</v>
      </c>
      <c r="AE159">
        <f t="shared" ca="1" si="49"/>
        <v>7.8664335871529739E-2</v>
      </c>
      <c r="AF159">
        <f t="shared" ca="1" si="50"/>
        <v>7.8169138418079112E-2</v>
      </c>
      <c r="AG159">
        <f t="shared" ca="1" si="51"/>
        <v>7.7715506518971592E-2</v>
      </c>
      <c r="AH159">
        <f t="shared" ca="1" si="52"/>
        <v>7.7689740838196603E-2</v>
      </c>
      <c r="AI159">
        <f t="shared" ca="1" si="53"/>
        <v>7.7575455225742079E-2</v>
      </c>
      <c r="AJ159">
        <f t="shared" ca="1" si="54"/>
        <v>7.7395487578411734E-2</v>
      </c>
      <c r="AK159">
        <f t="shared" ca="1" si="55"/>
        <v>7.7265886409795592E-2</v>
      </c>
      <c r="AL159">
        <f t="shared" ca="1" si="56"/>
        <v>7.7090230278989036E-2</v>
      </c>
      <c r="AM159">
        <f t="shared" ca="1" si="57"/>
        <v>7.7278644881002875E-2</v>
      </c>
      <c r="AN159">
        <f t="shared" ca="1" si="58"/>
        <v>7.7301475755446242E-2</v>
      </c>
      <c r="AO159">
        <f t="shared" ca="1" si="59"/>
        <v>7.6966708844190407E-2</v>
      </c>
      <c r="AP159">
        <f t="shared" ca="1" si="60"/>
        <v>7.6788020372331942E-2</v>
      </c>
      <c r="AQ159">
        <f t="shared" ca="1" si="61"/>
        <v>7.7549284205585545E-2</v>
      </c>
      <c r="AR159">
        <f t="shared" ca="1" si="62"/>
        <v>7.7740073156758183E-2</v>
      </c>
      <c r="AS159">
        <f t="shared" ca="1" si="63"/>
        <v>7.8026720874394218E-2</v>
      </c>
      <c r="AT159">
        <f t="shared" ca="1" si="64"/>
        <v>7.8865058087578196E-2</v>
      </c>
      <c r="AU159">
        <f t="shared" ca="1" si="65"/>
        <v>7.8377459458660398E-2</v>
      </c>
      <c r="AV159">
        <f t="shared" ca="1" si="66"/>
        <v>7.7579746984234255E-2</v>
      </c>
    </row>
    <row r="160" spans="1:48" ht="16" x14ac:dyDescent="0.2">
      <c r="A160" t="e" vm="3308">
        <v>#VALUE!</v>
      </c>
      <c r="B160" s="23" t="str" cm="1">
        <f t="array" aca="1" ref="B160" ca="1">_FV(A160,"ticker symbol",TRUE)</f>
        <v>USHY</v>
      </c>
      <c r="C160" s="23" t="str" cm="1">
        <f t="array" aca="1" ref="C160" ca="1">_FV(A160,"Name")</f>
        <v>iShares:Brd USD HY Cp Bd</v>
      </c>
      <c r="D160" cm="1" vm="3309">
        <f t="array" aca="1" ref="D160:Y160" ca="1">TRANSPOSE(_xlfn.STOCKHISTORY(B160, WORKDAY(TODAY(), -23), TODAY(), 0, 0, 1))</f>
        <v>37.229999999999997</v>
      </c>
      <c r="E160" vm="3310">
        <f ca="1"/>
        <v>37.22</v>
      </c>
      <c r="F160" vm="3311">
        <f ca="1"/>
        <v>37.340000000000003</v>
      </c>
      <c r="G160" vm="3312">
        <f ca="1"/>
        <v>37.44</v>
      </c>
      <c r="H160" vm="3313">
        <f ca="1"/>
        <v>37.56</v>
      </c>
      <c r="I160" vm="3314">
        <f ca="1"/>
        <v>37.604999999999997</v>
      </c>
      <c r="J160" vm="3315">
        <f ca="1"/>
        <v>37.64</v>
      </c>
      <c r="K160" vm="3316">
        <f ca="1"/>
        <v>37.36</v>
      </c>
      <c r="L160" vm="3317">
        <f ca="1"/>
        <v>37.414999999999999</v>
      </c>
      <c r="M160" vm="3318">
        <f ca="1"/>
        <v>37.479999999999997</v>
      </c>
      <c r="N160" vm="3319">
        <f ca="1"/>
        <v>37.484999999999999</v>
      </c>
      <c r="O160" vm="3318">
        <f ca="1"/>
        <v>37.479999999999997</v>
      </c>
      <c r="P160" vm="3320">
        <f ca="1"/>
        <v>37.4</v>
      </c>
      <c r="Q160" vm="3321">
        <f ca="1"/>
        <v>37.35</v>
      </c>
      <c r="R160" vm="3322">
        <f ca="1"/>
        <v>37.47</v>
      </c>
      <c r="S160" vm="3322">
        <f ca="1"/>
        <v>37.47</v>
      </c>
      <c r="T160" vm="3323">
        <f ca="1"/>
        <v>37.380000000000003</v>
      </c>
      <c r="U160" vm="3320">
        <f ca="1"/>
        <v>37.4</v>
      </c>
      <c r="V160" vm="3312">
        <f ca="1"/>
        <v>37.44</v>
      </c>
      <c r="W160" vm="3324">
        <f ca="1"/>
        <v>37.39</v>
      </c>
      <c r="X160" vm="3325">
        <f ca="1"/>
        <v>37.49</v>
      </c>
      <c r="Y160" vm="149">
        <f ca="1"/>
        <v>37.26</v>
      </c>
      <c r="AA160">
        <f t="shared" ca="1" si="45"/>
        <v>5.618520139444335E-2</v>
      </c>
      <c r="AB160">
        <f t="shared" ca="1" si="46"/>
        <v>5.7039523087061131E-2</v>
      </c>
      <c r="AC160">
        <f t="shared" ca="1" si="47"/>
        <v>5.6659029179248296E-2</v>
      </c>
      <c r="AD160">
        <f t="shared" ca="1" si="48"/>
        <v>5.5986721098201062E-2</v>
      </c>
      <c r="AE160">
        <f t="shared" ca="1" si="49"/>
        <v>5.5642795769014257E-2</v>
      </c>
      <c r="AF160">
        <f t="shared" ca="1" si="50"/>
        <v>5.532750706214689E-2</v>
      </c>
      <c r="AG160">
        <f t="shared" ca="1" si="51"/>
        <v>5.507835935556564E-2</v>
      </c>
      <c r="AH160">
        <f t="shared" ca="1" si="52"/>
        <v>5.4919370250047776E-2</v>
      </c>
      <c r="AI160">
        <f t="shared" ca="1" si="53"/>
        <v>5.4898537115020615E-2</v>
      </c>
      <c r="AJ160">
        <f t="shared" ca="1" si="54"/>
        <v>5.4804135167936363E-2</v>
      </c>
      <c r="AK160">
        <f t="shared" ca="1" si="55"/>
        <v>5.4771402270635164E-2</v>
      </c>
      <c r="AL160">
        <f t="shared" ca="1" si="56"/>
        <v>5.4660269217868124E-2</v>
      </c>
      <c r="AM160">
        <f t="shared" ca="1" si="57"/>
        <v>5.4707956058101602E-2</v>
      </c>
      <c r="AN160">
        <f t="shared" ca="1" si="58"/>
        <v>5.4682009838369648E-2</v>
      </c>
      <c r="AO160">
        <f t="shared" ca="1" si="59"/>
        <v>5.449626947074479E-2</v>
      </c>
      <c r="AP160">
        <f t="shared" ca="1" si="60"/>
        <v>5.4369749118504868E-2</v>
      </c>
      <c r="AQ160">
        <f t="shared" ca="1" si="61"/>
        <v>5.4828678713916924E-2</v>
      </c>
      <c r="AR160">
        <f t="shared" ca="1" si="62"/>
        <v>5.4941019199976494E-2</v>
      </c>
      <c r="AS160">
        <f t="shared" ca="1" si="63"/>
        <v>5.5150470635025851E-2</v>
      </c>
      <c r="AT160">
        <f t="shared" ca="1" si="64"/>
        <v>5.5689603812928215E-2</v>
      </c>
      <c r="AU160">
        <f t="shared" ca="1" si="65"/>
        <v>5.5420048191346251E-2</v>
      </c>
      <c r="AV160">
        <f t="shared" ca="1" si="66"/>
        <v>5.4746616905919858E-2</v>
      </c>
    </row>
    <row r="161" spans="1:48" ht="16" x14ac:dyDescent="0.2">
      <c r="A161" t="e" vm="3326">
        <v>#VALUE!</v>
      </c>
      <c r="B161" s="23" t="str" cm="1">
        <f t="array" aca="1" ref="B161" ca="1">_FV(A161,"ticker symbol",TRUE)</f>
        <v>IGIB</v>
      </c>
      <c r="C161" s="23" t="str" cm="1">
        <f t="array" aca="1" ref="C161" ca="1">_FV(A161,"Name")</f>
        <v>iShares:5-10 IG Corp Bd</v>
      </c>
      <c r="D161" cm="1" vm="2776">
        <f t="array" aca="1" ref="D161:Y161" ca="1">TRANSPOSE(_xlfn.STOCKHISTORY(B161, WORKDAY(TODAY(), -23), TODAY(), 0, 0, 1))</f>
        <v>53.81</v>
      </c>
      <c r="E161" vm="3327">
        <f ca="1"/>
        <v>53.86</v>
      </c>
      <c r="F161" vm="3328">
        <f ca="1"/>
        <v>54.06</v>
      </c>
      <c r="G161" vm="3329">
        <f ca="1"/>
        <v>54.14</v>
      </c>
      <c r="H161" vm="2643">
        <f ca="1"/>
        <v>54.33</v>
      </c>
      <c r="I161" vm="3330">
        <f ca="1"/>
        <v>54.44</v>
      </c>
      <c r="J161" vm="3331">
        <f ca="1"/>
        <v>54.39</v>
      </c>
      <c r="K161" vm="3332">
        <f ca="1"/>
        <v>53.96</v>
      </c>
      <c r="L161" vm="3333">
        <f ca="1"/>
        <v>54.02</v>
      </c>
      <c r="M161" vm="3334">
        <f ca="1"/>
        <v>54.13</v>
      </c>
      <c r="N161" vm="3335">
        <f ca="1"/>
        <v>54.04</v>
      </c>
      <c r="O161" vm="3336">
        <f ca="1"/>
        <v>53.99</v>
      </c>
      <c r="P161" vm="3337">
        <f ca="1"/>
        <v>53.91</v>
      </c>
      <c r="Q161" vm="3338">
        <f ca="1"/>
        <v>53.84</v>
      </c>
      <c r="R161" vm="1633">
        <f ca="1"/>
        <v>54.05</v>
      </c>
      <c r="S161" vm="3333">
        <f ca="1"/>
        <v>54.02</v>
      </c>
      <c r="T161" vm="3339">
        <f ca="1"/>
        <v>53.83</v>
      </c>
      <c r="U161" vm="3340">
        <f ca="1"/>
        <v>53.9</v>
      </c>
      <c r="V161" vm="3341">
        <f ca="1"/>
        <v>53.97</v>
      </c>
      <c r="W161" vm="2772">
        <f ca="1"/>
        <v>53.95</v>
      </c>
      <c r="X161" vm="3342">
        <f ca="1"/>
        <v>54.11</v>
      </c>
      <c r="Y161" vm="150">
        <f ca="1"/>
        <v>53.8</v>
      </c>
      <c r="AA161">
        <f t="shared" ca="1" si="45"/>
        <v>8.1206706608514562E-2</v>
      </c>
      <c r="AB161">
        <f t="shared" ca="1" si="46"/>
        <v>8.2540266347907384E-2</v>
      </c>
      <c r="AC161">
        <f t="shared" ca="1" si="47"/>
        <v>8.2029649636587113E-2</v>
      </c>
      <c r="AD161">
        <f t="shared" ca="1" si="48"/>
        <v>8.095943056240934E-2</v>
      </c>
      <c r="AE161">
        <f t="shared" ca="1" si="49"/>
        <v>8.0486504103582115E-2</v>
      </c>
      <c r="AF161">
        <f t="shared" ca="1" si="50"/>
        <v>8.0096516007532953E-2</v>
      </c>
      <c r="AG161">
        <f t="shared" ca="1" si="51"/>
        <v>7.9588521927449918E-2</v>
      </c>
      <c r="AH161">
        <f t="shared" ca="1" si="52"/>
        <v>7.9321445896482282E-2</v>
      </c>
      <c r="AI161">
        <f t="shared" ca="1" si="53"/>
        <v>7.9262835091632067E-2</v>
      </c>
      <c r="AJ161">
        <f t="shared" ca="1" si="54"/>
        <v>7.9150155726798177E-2</v>
      </c>
      <c r="AK161">
        <f t="shared" ca="1" si="55"/>
        <v>7.8960826429375061E-2</v>
      </c>
      <c r="AL161">
        <f t="shared" ca="1" si="56"/>
        <v>7.8738205311438117E-2</v>
      </c>
      <c r="AM161">
        <f t="shared" ca="1" si="57"/>
        <v>7.8858446820648589E-2</v>
      </c>
      <c r="AN161">
        <f t="shared" ca="1" si="58"/>
        <v>7.8824080580932307E-2</v>
      </c>
      <c r="AO161">
        <f t="shared" ca="1" si="59"/>
        <v>7.8610177872798392E-2</v>
      </c>
      <c r="AP161">
        <f t="shared" ca="1" si="60"/>
        <v>7.8384143244772705E-2</v>
      </c>
      <c r="AQ161">
        <f t="shared" ca="1" si="61"/>
        <v>7.8957404365172498E-2</v>
      </c>
      <c r="AR161">
        <f t="shared" ca="1" si="62"/>
        <v>7.9179704141142587E-2</v>
      </c>
      <c r="AS161">
        <f t="shared" ca="1" si="63"/>
        <v>7.9499756949047679E-2</v>
      </c>
      <c r="AT161">
        <f t="shared" ca="1" si="64"/>
        <v>8.0354483169496588E-2</v>
      </c>
      <c r="AU161">
        <f t="shared" ca="1" si="65"/>
        <v>7.9988765207621909E-2</v>
      </c>
      <c r="AV161">
        <f t="shared" ca="1" si="66"/>
        <v>7.9049060374087182E-2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7E73D-D3BD-FB46-82D4-A01BB898B4AB}">
  <dimension ref="A1:JB161"/>
  <sheetViews>
    <sheetView workbookViewId="0">
      <selection activeCell="A20" sqref="A20:XFD20"/>
    </sheetView>
  </sheetViews>
  <sheetFormatPr baseColWidth="10" defaultRowHeight="15" x14ac:dyDescent="0.2"/>
  <cols>
    <col min="1" max="1" width="38.5" customWidth="1"/>
    <col min="3" max="3" width="24" customWidth="1"/>
  </cols>
  <sheetData>
    <row r="1" spans="1:257" ht="16" x14ac:dyDescent="0.2">
      <c r="A1" s="22" t="e" vm="159">
        <v>#VALUE!</v>
      </c>
      <c r="B1" s="23" t="str" cm="1">
        <f t="array" aca="1" ref="B1" ca="1">_FV(A1,"ticker symbol",TRUE)</f>
        <v>SPY</v>
      </c>
      <c r="C1" s="23" t="str" cm="1">
        <f t="array" aca="1" ref="C1" ca="1">_FV(A1,"Name")</f>
        <v>SPDR S&amp;P 500</v>
      </c>
      <c r="D1" cm="1" vm="3343">
        <f t="array" aca="1" ref="D1:IW1" ca="1">TRANSPOSE(_xlfn.STOCKHISTORY(B1, WORKDAY(TODAY(), -265), TODAY(), 0, 0, 1))</f>
        <v>606.79</v>
      </c>
      <c r="E1" s="23" vm="3344">
        <f ca="1"/>
        <v>604.29</v>
      </c>
      <c r="F1" s="23" vm="3345">
        <f ca="1"/>
        <v>586.28</v>
      </c>
      <c r="G1" s="23" vm="3346">
        <f ca="1"/>
        <v>586.1</v>
      </c>
      <c r="H1" s="23" vm="3347">
        <f ca="1"/>
        <v>591.15</v>
      </c>
      <c r="I1" s="23" vm="3348">
        <f ca="1"/>
        <v>594.69000000000005</v>
      </c>
      <c r="J1" s="23" vm="3349">
        <f ca="1"/>
        <v>601.29999999999995</v>
      </c>
      <c r="K1" s="23" vm="3350">
        <f ca="1"/>
        <v>601.34</v>
      </c>
      <c r="L1" s="23" vm="3351">
        <f ca="1"/>
        <v>595.01</v>
      </c>
      <c r="M1" s="23" vm="3352">
        <f ca="1"/>
        <v>588.22</v>
      </c>
      <c r="N1" s="23" vm="3353">
        <f ca="1"/>
        <v>586.08000000000004</v>
      </c>
      <c r="O1" s="23" vm="3354">
        <f ca="1"/>
        <v>584.64</v>
      </c>
      <c r="P1" s="23" vm="3355">
        <f ca="1"/>
        <v>591.95000000000005</v>
      </c>
      <c r="Q1" s="23" vm="3356">
        <f ca="1"/>
        <v>595.36</v>
      </c>
      <c r="R1" s="23" vm="3357">
        <f ca="1"/>
        <v>588.63</v>
      </c>
      <c r="S1" s="23" vm="3358">
        <f ca="1"/>
        <v>589.49</v>
      </c>
      <c r="T1" s="23" vm="3359">
        <f ca="1"/>
        <v>580.49</v>
      </c>
      <c r="U1" s="23" vm="3360">
        <f ca="1"/>
        <v>581.39</v>
      </c>
      <c r="V1" s="23" vm="3361">
        <f ca="1"/>
        <v>582.19000000000005</v>
      </c>
      <c r="W1" s="23" vm="3362">
        <f ca="1"/>
        <v>592.78</v>
      </c>
      <c r="X1" s="23" vm="3363">
        <f ca="1"/>
        <v>591.64</v>
      </c>
      <c r="Y1" s="23" vm="3364">
        <f ca="1"/>
        <v>597.58000000000004</v>
      </c>
      <c r="Z1" s="23" vm="3365">
        <f ca="1"/>
        <v>603.04999999999995</v>
      </c>
      <c r="AA1" s="23" vm="3366">
        <f ca="1"/>
        <v>606.44000000000005</v>
      </c>
      <c r="AB1" s="23" vm="3367">
        <f ca="1"/>
        <v>609.75</v>
      </c>
      <c r="AC1" s="23" vm="3368">
        <f ca="1"/>
        <v>607.97</v>
      </c>
      <c r="AD1" vm="3369">
        <f ca="1"/>
        <v>599.37</v>
      </c>
      <c r="AE1" vm="3370">
        <f ca="1"/>
        <v>604.52</v>
      </c>
      <c r="AF1" vm="3371">
        <f ca="1"/>
        <v>601.80999999999995</v>
      </c>
      <c r="AG1" vm="3372">
        <f ca="1"/>
        <v>605.04</v>
      </c>
      <c r="AH1" vm="3373">
        <f ca="1"/>
        <v>601.82000000000005</v>
      </c>
      <c r="AI1" vm="3374">
        <f ca="1"/>
        <v>597.77</v>
      </c>
      <c r="AJ1" vm="3375">
        <f ca="1"/>
        <v>601.78</v>
      </c>
      <c r="AK1" vm="3376">
        <f ca="1"/>
        <v>604.22</v>
      </c>
      <c r="AL1" vm="3377">
        <f ca="1"/>
        <v>606.32000000000005</v>
      </c>
      <c r="AM1" vm="3378">
        <f ca="1"/>
        <v>600.77</v>
      </c>
      <c r="AN1" vm="3379">
        <f ca="1"/>
        <v>604.85</v>
      </c>
      <c r="AO1" vm="3380">
        <f ca="1"/>
        <v>605.30999999999995</v>
      </c>
      <c r="AP1" vm="3381">
        <f ca="1"/>
        <v>603.36</v>
      </c>
      <c r="AQ1" vm="3382">
        <f ca="1"/>
        <v>609.73</v>
      </c>
      <c r="AR1" vm="3383">
        <f ca="1"/>
        <v>609.70000000000005</v>
      </c>
      <c r="AS1" vm="3384">
        <f ca="1"/>
        <v>611.49</v>
      </c>
      <c r="AT1" vm="3385">
        <f ca="1"/>
        <v>612.92999999999995</v>
      </c>
      <c r="AU1" vm="3386">
        <f ca="1"/>
        <v>610.38</v>
      </c>
      <c r="AV1" vm="3387">
        <f ca="1"/>
        <v>599.94000000000005</v>
      </c>
      <c r="AW1" vm="3388">
        <f ca="1"/>
        <v>597.21</v>
      </c>
      <c r="AX1" vm="3389">
        <f ca="1"/>
        <v>594.24</v>
      </c>
      <c r="AY1" vm="3390">
        <f ca="1"/>
        <v>594.54</v>
      </c>
      <c r="AZ1" vm="3391">
        <f ca="1"/>
        <v>585.04999999999995</v>
      </c>
      <c r="BA1" vm="3392">
        <f ca="1"/>
        <v>594.17999999999995</v>
      </c>
      <c r="BB1" vm="3393">
        <f ca="1"/>
        <v>583.77</v>
      </c>
      <c r="BC1" vm="3394">
        <f ca="1"/>
        <v>576.86</v>
      </c>
      <c r="BD1" vm="3395">
        <f ca="1"/>
        <v>583.05999999999995</v>
      </c>
      <c r="BE1" vm="3396">
        <f ca="1"/>
        <v>572.71</v>
      </c>
      <c r="BF1" vm="3397">
        <f ca="1"/>
        <v>575.91999999999996</v>
      </c>
      <c r="BG1" vm="3398">
        <f ca="1"/>
        <v>560.58000000000004</v>
      </c>
      <c r="BH1" vm="3399">
        <f ca="1"/>
        <v>555.91999999999996</v>
      </c>
      <c r="BI1" vm="3400">
        <f ca="1"/>
        <v>558.87</v>
      </c>
      <c r="BJ1" vm="3401">
        <f ca="1"/>
        <v>551.41999999999996</v>
      </c>
      <c r="BK1" vm="3402">
        <f ca="1"/>
        <v>562.80999999999995</v>
      </c>
      <c r="BL1" vm="3403">
        <f ca="1"/>
        <v>567.15</v>
      </c>
      <c r="BM1" vm="3404">
        <f ca="1"/>
        <v>561.02</v>
      </c>
      <c r="BN1" vm="3405">
        <f ca="1"/>
        <v>567.13</v>
      </c>
      <c r="BO1" vm="3406">
        <f ca="1"/>
        <v>565.49</v>
      </c>
      <c r="BP1" vm="3407">
        <f ca="1"/>
        <v>563.98</v>
      </c>
      <c r="BQ1" vm="3408">
        <f ca="1"/>
        <v>574.08000000000004</v>
      </c>
      <c r="BR1" vm="3409">
        <f ca="1"/>
        <v>575.46</v>
      </c>
      <c r="BS1" vm="3410">
        <f ca="1"/>
        <v>568.59</v>
      </c>
      <c r="BT1" vm="3411">
        <f ca="1"/>
        <v>567.08000000000004</v>
      </c>
      <c r="BU1" vm="3412">
        <f ca="1"/>
        <v>555.66</v>
      </c>
      <c r="BV1" vm="3413">
        <f ca="1"/>
        <v>559.39</v>
      </c>
      <c r="BW1" vm="3414">
        <f ca="1"/>
        <v>560.97</v>
      </c>
      <c r="BX1" vm="3415">
        <f ca="1"/>
        <v>564.52</v>
      </c>
      <c r="BY1" vm="3416">
        <f ca="1"/>
        <v>536.70000000000005</v>
      </c>
      <c r="BZ1" vm="3417">
        <f ca="1"/>
        <v>505.28</v>
      </c>
      <c r="CA1" vm="3418">
        <f ca="1"/>
        <v>504.38</v>
      </c>
      <c r="CB1" vm="3419">
        <f ca="1"/>
        <v>496.48</v>
      </c>
      <c r="CC1" vm="3420">
        <f ca="1"/>
        <v>548.62</v>
      </c>
      <c r="CD1" vm="3421">
        <f ca="1"/>
        <v>524.58000000000004</v>
      </c>
      <c r="CE1" vm="3422">
        <f ca="1"/>
        <v>533.94000000000005</v>
      </c>
      <c r="CF1" vm="3423">
        <f ca="1"/>
        <v>539.12</v>
      </c>
      <c r="CG1" vm="3424">
        <f ca="1"/>
        <v>537.61</v>
      </c>
      <c r="CH1" vm="3425">
        <f ca="1"/>
        <v>525.66</v>
      </c>
      <c r="CI1" vm="3426">
        <f ca="1"/>
        <v>526.41</v>
      </c>
      <c r="CJ1" vm="3427">
        <f ca="1"/>
        <v>513.88</v>
      </c>
      <c r="CK1" vm="3428">
        <f ca="1"/>
        <v>527.25</v>
      </c>
      <c r="CL1" vm="3429">
        <f ca="1"/>
        <v>535.41999999999996</v>
      </c>
      <c r="CM1" vm="3430">
        <f ca="1"/>
        <v>546.69000000000005</v>
      </c>
      <c r="CN1" vm="3431">
        <f ca="1"/>
        <v>550.64</v>
      </c>
      <c r="CO1" vm="3432">
        <f ca="1"/>
        <v>550.85</v>
      </c>
      <c r="CP1" vm="3433">
        <f ca="1"/>
        <v>554.32000000000005</v>
      </c>
      <c r="CQ1" vm="3434">
        <f ca="1"/>
        <v>554.54</v>
      </c>
      <c r="CR1" vm="3435">
        <f ca="1"/>
        <v>558.47</v>
      </c>
      <c r="CS1" vm="3436">
        <f ca="1"/>
        <v>566.76</v>
      </c>
      <c r="CT1" vm="3437">
        <f ca="1"/>
        <v>563.51</v>
      </c>
      <c r="CU1" vm="3438">
        <f ca="1"/>
        <v>558.79999999999995</v>
      </c>
      <c r="CV1" vm="3439">
        <f ca="1"/>
        <v>561.15</v>
      </c>
      <c r="CW1" vm="3440">
        <f ca="1"/>
        <v>565.05999999999995</v>
      </c>
      <c r="CX1" vm="3441">
        <f ca="1"/>
        <v>564.34</v>
      </c>
      <c r="CY1" vm="3442">
        <f ca="1"/>
        <v>582.99</v>
      </c>
      <c r="CZ1" vm="3443">
        <f ca="1"/>
        <v>586.84</v>
      </c>
      <c r="DA1" vm="3444">
        <f ca="1"/>
        <v>587.59</v>
      </c>
      <c r="DB1" vm="3445">
        <f ca="1"/>
        <v>590.46</v>
      </c>
      <c r="DC1" vm="3446">
        <f ca="1"/>
        <v>594.20000000000005</v>
      </c>
      <c r="DD1" vm="3447">
        <f ca="1"/>
        <v>594.85</v>
      </c>
      <c r="DE1" vm="3448">
        <f ca="1"/>
        <v>592.85</v>
      </c>
      <c r="DF1" vm="3449">
        <f ca="1"/>
        <v>582.86</v>
      </c>
      <c r="DG1" vm="3450">
        <f ca="1"/>
        <v>583.09</v>
      </c>
      <c r="DH1" vm="3451">
        <f ca="1"/>
        <v>579.11</v>
      </c>
      <c r="DI1" vm="3347">
        <f ca="1"/>
        <v>591.15</v>
      </c>
      <c r="DJ1" vm="3452">
        <f ca="1"/>
        <v>587.73</v>
      </c>
      <c r="DK1" vm="3453">
        <f ca="1"/>
        <v>590.04999999999995</v>
      </c>
      <c r="DL1" vm="3454">
        <f ca="1"/>
        <v>589.39</v>
      </c>
      <c r="DM1" vm="3455">
        <f ca="1"/>
        <v>592.71</v>
      </c>
      <c r="DN1" vm="3456">
        <f ca="1"/>
        <v>596.09</v>
      </c>
      <c r="DO1" vm="3457">
        <f ca="1"/>
        <v>595.92999999999995</v>
      </c>
      <c r="DP1" vm="3458">
        <f ca="1"/>
        <v>593.04999999999995</v>
      </c>
      <c r="DQ1" vm="3459">
        <f ca="1"/>
        <v>599.14</v>
      </c>
      <c r="DR1" vm="3460">
        <f ca="1"/>
        <v>599.67999999999995</v>
      </c>
      <c r="DS1" vm="3461">
        <f ca="1"/>
        <v>603.08000000000004</v>
      </c>
      <c r="DT1" vm="3462">
        <f ca="1"/>
        <v>601.36</v>
      </c>
      <c r="DU1" vm="3463">
        <f ca="1"/>
        <v>603.75</v>
      </c>
      <c r="DV1" vm="3464">
        <f ca="1"/>
        <v>597</v>
      </c>
      <c r="DW1" vm="3465">
        <f ca="1"/>
        <v>602.67999999999995</v>
      </c>
      <c r="DX1" vm="3466">
        <f ca="1"/>
        <v>597.53</v>
      </c>
      <c r="DY1" vm="3467">
        <f ca="1"/>
        <v>597.44000000000005</v>
      </c>
      <c r="DZ1" vm="3468">
        <f ca="1"/>
        <v>594.28</v>
      </c>
      <c r="EA1" vm="3469">
        <f ca="1"/>
        <v>600.15</v>
      </c>
      <c r="EB1" vm="3470">
        <f ca="1"/>
        <v>606.78</v>
      </c>
      <c r="EC1" vm="3471">
        <f ca="1"/>
        <v>607.12</v>
      </c>
      <c r="ED1" vm="3472">
        <f ca="1"/>
        <v>611.87</v>
      </c>
      <c r="EE1" vm="3473">
        <f ca="1"/>
        <v>614.91</v>
      </c>
      <c r="EF1" vm="3474">
        <f ca="1"/>
        <v>617.85</v>
      </c>
      <c r="EG1" vm="3475">
        <f ca="1"/>
        <v>617.65</v>
      </c>
      <c r="EH1" vm="3476">
        <f ca="1"/>
        <v>620.45000000000005</v>
      </c>
      <c r="EI1" vm="3477">
        <f ca="1"/>
        <v>625.34</v>
      </c>
      <c r="EJ1" vm="3478">
        <f ca="1"/>
        <v>620.67999999999995</v>
      </c>
      <c r="EK1" vm="3479">
        <f ca="1"/>
        <v>620.34</v>
      </c>
      <c r="EL1" vm="3480">
        <f ca="1"/>
        <v>624.05999999999995</v>
      </c>
      <c r="EM1" vm="3481">
        <f ca="1"/>
        <v>625.82000000000005</v>
      </c>
      <c r="EN1" vm="3482">
        <f ca="1"/>
        <v>623.62</v>
      </c>
      <c r="EO1" vm="3483">
        <f ca="1"/>
        <v>624.80999999999995</v>
      </c>
      <c r="EP1" vm="3484">
        <f ca="1"/>
        <v>622.14</v>
      </c>
      <c r="EQ1" vm="3485">
        <f ca="1"/>
        <v>624.22</v>
      </c>
      <c r="ER1" vm="3486">
        <f ca="1"/>
        <v>628.04</v>
      </c>
      <c r="ES1" vm="3487">
        <f ca="1"/>
        <v>627.58000000000004</v>
      </c>
      <c r="ET1" vm="3488">
        <f ca="1"/>
        <v>628.77</v>
      </c>
      <c r="EU1" vm="3489">
        <f ca="1"/>
        <v>628.86</v>
      </c>
      <c r="EV1" vm="3490">
        <f ca="1"/>
        <v>634.21</v>
      </c>
      <c r="EW1" vm="3491">
        <f ca="1"/>
        <v>634.41999999999996</v>
      </c>
      <c r="EX1" vm="3492">
        <f ca="1"/>
        <v>637.1</v>
      </c>
      <c r="EY1" vm="3493">
        <f ca="1"/>
        <v>636.94000000000005</v>
      </c>
      <c r="EZ1" vm="3494">
        <f ca="1"/>
        <v>635.26</v>
      </c>
      <c r="FA1" vm="3495">
        <f ca="1"/>
        <v>634.46</v>
      </c>
      <c r="FB1" vm="3496">
        <f ca="1"/>
        <v>632.08000000000004</v>
      </c>
      <c r="FC1" vm="3497">
        <f ca="1"/>
        <v>621.72</v>
      </c>
      <c r="FD1" vm="3498">
        <f ca="1"/>
        <v>631.16999999999996</v>
      </c>
      <c r="FE1" vm="3499">
        <f ca="1"/>
        <v>627.97</v>
      </c>
      <c r="FF1" vm="3500">
        <f ca="1"/>
        <v>632.78</v>
      </c>
      <c r="FG1" vm="3501">
        <f ca="1"/>
        <v>632.25</v>
      </c>
      <c r="FH1" vm="3502">
        <f ca="1"/>
        <v>637.17999999999995</v>
      </c>
      <c r="FI1" vm="3503">
        <f ca="1"/>
        <v>635.91999999999996</v>
      </c>
      <c r="FJ1" vm="3504">
        <f ca="1"/>
        <v>642.69000000000005</v>
      </c>
      <c r="FK1" vm="3505">
        <f ca="1"/>
        <v>644.89</v>
      </c>
      <c r="FL1" vm="3506">
        <f ca="1"/>
        <v>644.95000000000005</v>
      </c>
      <c r="FM1" vm="3507">
        <f ca="1"/>
        <v>643.44000000000005</v>
      </c>
      <c r="FN1" vm="3508">
        <f ca="1"/>
        <v>643.29999999999995</v>
      </c>
      <c r="FO1" vm="3509">
        <f ca="1"/>
        <v>639.80999999999995</v>
      </c>
      <c r="FP1" vm="3510">
        <f ca="1"/>
        <v>638.11</v>
      </c>
      <c r="FQ1" vm="3511">
        <f ca="1"/>
        <v>635.54999999999995</v>
      </c>
      <c r="FR1" vm="3512">
        <f ca="1"/>
        <v>645.30999999999995</v>
      </c>
      <c r="FS1" vm="3513">
        <f ca="1"/>
        <v>642.47</v>
      </c>
      <c r="FT1" vm="3514">
        <f ca="1"/>
        <v>645.16</v>
      </c>
      <c r="FU1" vm="3515">
        <f ca="1"/>
        <v>646.63</v>
      </c>
      <c r="FV1" vm="3516">
        <f ca="1"/>
        <v>648.91999999999996</v>
      </c>
      <c r="FW1" vm="3517">
        <f ca="1"/>
        <v>645.04999999999995</v>
      </c>
      <c r="FX1" vm="3518">
        <f ca="1"/>
        <v>640.27</v>
      </c>
      <c r="FY1" vm="3519">
        <f ca="1"/>
        <v>643.74</v>
      </c>
      <c r="FZ1" vm="3520">
        <f ca="1"/>
        <v>649.12</v>
      </c>
      <c r="GA1" vm="3521">
        <f ca="1"/>
        <v>647.24</v>
      </c>
      <c r="GB1" vm="3522">
        <f ca="1"/>
        <v>648.83000000000004</v>
      </c>
      <c r="GC1" vm="3523">
        <f ca="1"/>
        <v>650.33000000000004</v>
      </c>
      <c r="GD1" vm="3524">
        <f ca="1"/>
        <v>652.21</v>
      </c>
      <c r="GE1" vm="3525">
        <f ca="1"/>
        <v>657.63</v>
      </c>
      <c r="GF1" vm="3526">
        <f ca="1"/>
        <v>657.41</v>
      </c>
      <c r="GG1" vm="3527">
        <f ca="1"/>
        <v>660.91</v>
      </c>
      <c r="GH1" vm="3528">
        <f ca="1"/>
        <v>660</v>
      </c>
      <c r="GI1" vm="3529">
        <f ca="1"/>
        <v>659.18</v>
      </c>
      <c r="GJ1" vm="3530">
        <f ca="1"/>
        <v>662.26</v>
      </c>
      <c r="GK1" vm="3531">
        <f ca="1"/>
        <v>663.7</v>
      </c>
      <c r="GL1" vm="3532">
        <f ca="1"/>
        <v>666.84</v>
      </c>
      <c r="GM1" vm="3533">
        <f ca="1"/>
        <v>663.21</v>
      </c>
      <c r="GN1" vm="3534">
        <f ca="1"/>
        <v>661.1</v>
      </c>
      <c r="GO1" vm="3535">
        <f ca="1"/>
        <v>658.05</v>
      </c>
      <c r="GP1" vm="3536">
        <f ca="1"/>
        <v>661.82</v>
      </c>
      <c r="GQ1" vm="3537">
        <f ca="1"/>
        <v>663.68</v>
      </c>
      <c r="GR1" vm="3538">
        <f ca="1"/>
        <v>666.18</v>
      </c>
      <c r="GS1" vm="3539">
        <f ca="1"/>
        <v>668.45</v>
      </c>
      <c r="GT1" vm="3540">
        <f ca="1"/>
        <v>669.22</v>
      </c>
      <c r="GU1" vm="3541">
        <f ca="1"/>
        <v>669.21</v>
      </c>
      <c r="GV1" vm="3542">
        <f ca="1"/>
        <v>671.61</v>
      </c>
      <c r="GW1" vm="3543">
        <f ca="1"/>
        <v>669.12</v>
      </c>
      <c r="GX1" vm="3544">
        <f ca="1"/>
        <v>673.11</v>
      </c>
      <c r="GY1" vm="3545">
        <f ca="1"/>
        <v>671.16</v>
      </c>
      <c r="GZ1" vm="3546">
        <f ca="1"/>
        <v>653.02</v>
      </c>
      <c r="HA1" vm="3547">
        <f ca="1"/>
        <v>663.04</v>
      </c>
      <c r="HB1" vm="3548">
        <f ca="1"/>
        <v>662.23</v>
      </c>
      <c r="HC1" vm="3549">
        <f ca="1"/>
        <v>665.17</v>
      </c>
      <c r="HD1" vm="3550">
        <f ca="1"/>
        <v>660.64</v>
      </c>
      <c r="HE1" vm="3551">
        <f ca="1"/>
        <v>664.39</v>
      </c>
      <c r="HF1" vm="3552">
        <f ca="1"/>
        <v>671.3</v>
      </c>
      <c r="HG1" vm="3553">
        <f ca="1"/>
        <v>671.29</v>
      </c>
      <c r="HH1" vm="3554">
        <f ca="1"/>
        <v>667.8</v>
      </c>
      <c r="HI1" vm="3555">
        <f ca="1"/>
        <v>671.76</v>
      </c>
      <c r="HJ1" vm="3556">
        <f ca="1"/>
        <v>677.25</v>
      </c>
      <c r="HK1" vm="3557">
        <f ca="1"/>
        <v>685.24</v>
      </c>
      <c r="HL1" vm="3558">
        <f ca="1"/>
        <v>687.06</v>
      </c>
      <c r="HM1" vm="3559">
        <f ca="1"/>
        <v>687.39</v>
      </c>
      <c r="HN1" vm="3560">
        <f ca="1"/>
        <v>679.83</v>
      </c>
      <c r="HO1" vm="3561">
        <f ca="1"/>
        <v>682.06</v>
      </c>
      <c r="HP1" vm="3562">
        <f ca="1"/>
        <v>683.34</v>
      </c>
      <c r="HQ1" vm="3563">
        <f ca="1"/>
        <v>675.24</v>
      </c>
      <c r="HR1" vm="3564">
        <f ca="1"/>
        <v>677.58</v>
      </c>
      <c r="HS1" vm="3565">
        <f ca="1"/>
        <v>670.31</v>
      </c>
      <c r="HT1" vm="3566">
        <f ca="1"/>
        <v>670.97</v>
      </c>
      <c r="HU1" vm="3567">
        <f ca="1"/>
        <v>681.44</v>
      </c>
      <c r="HV1" vm="3568">
        <f ca="1"/>
        <v>683</v>
      </c>
      <c r="HW1" vm="3569">
        <f ca="1"/>
        <v>683.38</v>
      </c>
      <c r="HX1" vm="3570">
        <f ca="1"/>
        <v>672.04</v>
      </c>
      <c r="HY1" vm="3571">
        <f ca="1"/>
        <v>671.93</v>
      </c>
      <c r="HZ1" vm="3572">
        <f ca="1"/>
        <v>665.67</v>
      </c>
      <c r="IA1" vm="3573">
        <f ca="1"/>
        <v>660.08</v>
      </c>
      <c r="IB1" vm="160">
        <f ca="1"/>
        <v>662.63</v>
      </c>
      <c r="IC1" vm="161">
        <f ca="1"/>
        <v>652.53</v>
      </c>
      <c r="ID1" vm="162">
        <f ca="1"/>
        <v>659.03</v>
      </c>
      <c r="IE1" vm="163">
        <f ca="1"/>
        <v>668.73</v>
      </c>
      <c r="IF1" vm="164">
        <f ca="1"/>
        <v>675.02</v>
      </c>
      <c r="IG1" vm="165">
        <f ca="1"/>
        <v>679.68</v>
      </c>
      <c r="IH1" vm="166">
        <f ca="1"/>
        <v>683.39</v>
      </c>
      <c r="II1" vm="167">
        <f ca="1"/>
        <v>680.27</v>
      </c>
      <c r="IJ1" vm="168">
        <f ca="1"/>
        <v>681.53</v>
      </c>
      <c r="IK1" vm="169">
        <f ca="1"/>
        <v>683.89</v>
      </c>
      <c r="IL1" vm="170">
        <f ca="1"/>
        <v>684.39</v>
      </c>
      <c r="IM1" vm="171">
        <f ca="1"/>
        <v>685.69</v>
      </c>
      <c r="IN1" vm="172">
        <f ca="1"/>
        <v>683.63</v>
      </c>
      <c r="IO1" vm="173">
        <f ca="1"/>
        <v>683.04</v>
      </c>
      <c r="IP1" vm="174">
        <f ca="1"/>
        <v>687.57</v>
      </c>
      <c r="IQ1" vm="175">
        <f ca="1"/>
        <v>689.17</v>
      </c>
      <c r="IR1" vm="176">
        <f ca="1"/>
        <v>681.76</v>
      </c>
      <c r="IS1" vm="177">
        <f ca="1"/>
        <v>680.73</v>
      </c>
      <c r="IT1" vm="178">
        <f ca="1"/>
        <v>678.87</v>
      </c>
      <c r="IU1" vm="179">
        <f ca="1"/>
        <v>671.4</v>
      </c>
      <c r="IV1" vm="180">
        <f ca="1"/>
        <v>676.47</v>
      </c>
      <c r="IW1" vm="1">
        <f ca="1"/>
        <v>680.59</v>
      </c>
    </row>
    <row r="2" spans="1:257" ht="16" x14ac:dyDescent="0.2">
      <c r="A2" s="10" t="e" vm="181">
        <v>#VALUE!</v>
      </c>
      <c r="B2" s="23" t="str" cm="1">
        <f t="array" aca="1" ref="B2" ca="1">_FV(A2,"ticker symbol",TRUE)</f>
        <v>QQQ</v>
      </c>
      <c r="C2" s="23" t="str" cm="1">
        <f t="array" aca="1" ref="C2" ca="1">_FV(A2,"Name")</f>
        <v>Invesco QQQ Trust 1</v>
      </c>
      <c r="D2" cm="1" vm="3574">
        <f t="array" aca="1" ref="D2:IW2" ca="1">TRANSPOSE(_xlfn.STOCKHISTORY(B2, WORKDAY(TODAY(), -265), TODAY(), 0, 0, 1))</f>
        <v>538.16999999999996</v>
      </c>
      <c r="E2" s="23" vm="3575">
        <f ca="1"/>
        <v>535.79999999999995</v>
      </c>
      <c r="F2" s="23" vm="3576">
        <f ca="1"/>
        <v>516.47</v>
      </c>
      <c r="G2" s="23" vm="3577">
        <f ca="1"/>
        <v>514.16999999999996</v>
      </c>
      <c r="H2" s="23" vm="3578">
        <f ca="1"/>
        <v>518.66</v>
      </c>
      <c r="I2" s="23" vm="3579">
        <f ca="1"/>
        <v>522.87</v>
      </c>
      <c r="J2" s="23" vm="3580">
        <f ca="1"/>
        <v>529.96</v>
      </c>
      <c r="K2" s="23" vm="3581">
        <f ca="1"/>
        <v>529.6</v>
      </c>
      <c r="L2" s="23" vm="3582">
        <f ca="1"/>
        <v>522.55999999999995</v>
      </c>
      <c r="M2" s="23" vm="3583">
        <f ca="1"/>
        <v>515.61</v>
      </c>
      <c r="N2" s="23" vm="3584">
        <f ca="1"/>
        <v>511.23</v>
      </c>
      <c r="O2" s="23" vm="3585">
        <f ca="1"/>
        <v>510.23</v>
      </c>
      <c r="P2" s="23" vm="3586">
        <f ca="1"/>
        <v>518.58000000000004</v>
      </c>
      <c r="Q2" s="23" vm="3587">
        <f ca="1"/>
        <v>524.54</v>
      </c>
      <c r="R2" s="23" vm="3588">
        <f ca="1"/>
        <v>515.17999999999995</v>
      </c>
      <c r="S2" s="23" vm="3589">
        <f ca="1"/>
        <v>515.27</v>
      </c>
      <c r="T2" s="23" vm="3590">
        <f ca="1"/>
        <v>507.19</v>
      </c>
      <c r="U2" s="23" vm="3591">
        <f ca="1"/>
        <v>505.56</v>
      </c>
      <c r="V2" s="23" vm="3592">
        <f ca="1"/>
        <v>505.08</v>
      </c>
      <c r="W2" s="23" vm="3593">
        <f ca="1"/>
        <v>516.70000000000005</v>
      </c>
      <c r="X2" s="23" vm="3594">
        <f ca="1"/>
        <v>513.08000000000004</v>
      </c>
      <c r="Y2" s="23" vm="3595">
        <f ca="1"/>
        <v>521.74</v>
      </c>
      <c r="Z2" s="23" vm="3596">
        <f ca="1"/>
        <v>524.79999999999995</v>
      </c>
      <c r="AA2" s="23" vm="3597">
        <f ca="1"/>
        <v>531.51</v>
      </c>
      <c r="AB2" s="23" vm="3598">
        <f ca="1"/>
        <v>532.64</v>
      </c>
      <c r="AC2" s="23" vm="3599">
        <f ca="1"/>
        <v>529.63</v>
      </c>
      <c r="AD2" vm="3600">
        <f ca="1"/>
        <v>514.21</v>
      </c>
      <c r="AE2" vm="3601">
        <f ca="1"/>
        <v>521.80999999999995</v>
      </c>
      <c r="AF2" vm="3602">
        <f ca="1"/>
        <v>520.83000000000004</v>
      </c>
      <c r="AG2" vm="3603">
        <f ca="1"/>
        <v>523.04999999999995</v>
      </c>
      <c r="AH2" vm="3604">
        <f ca="1"/>
        <v>522.29</v>
      </c>
      <c r="AI2" vm="3605">
        <f ca="1"/>
        <v>518.11</v>
      </c>
      <c r="AJ2" vm="3606">
        <f ca="1"/>
        <v>524.47</v>
      </c>
      <c r="AK2" vm="3607">
        <f ca="1"/>
        <v>526.85</v>
      </c>
      <c r="AL2" vm="3581">
        <f ca="1"/>
        <v>529.6</v>
      </c>
      <c r="AM2" vm="3608">
        <f ca="1"/>
        <v>522.91999999999996</v>
      </c>
      <c r="AN2" vm="3609">
        <f ca="1"/>
        <v>529.25</v>
      </c>
      <c r="AO2" vm="3610">
        <f ca="1"/>
        <v>527.99</v>
      </c>
      <c r="AP2" vm="3611">
        <f ca="1"/>
        <v>528.29999999999995</v>
      </c>
      <c r="AQ2" vm="3612">
        <f ca="1"/>
        <v>535.9</v>
      </c>
      <c r="AR2" vm="3613">
        <f ca="1"/>
        <v>538.15</v>
      </c>
      <c r="AS2" vm="3614">
        <f ca="1"/>
        <v>539.37</v>
      </c>
      <c r="AT2" vm="3615">
        <f ca="1"/>
        <v>539.52</v>
      </c>
      <c r="AU2" vm="3616">
        <f ca="1"/>
        <v>537.23</v>
      </c>
      <c r="AV2" vm="3617">
        <f ca="1"/>
        <v>526.08000000000004</v>
      </c>
      <c r="AW2" vm="3618">
        <f ca="1"/>
        <v>519.87</v>
      </c>
      <c r="AX2" vm="3619">
        <f ca="1"/>
        <v>513.32000000000005</v>
      </c>
      <c r="AY2" vm="3620">
        <f ca="1"/>
        <v>514.55999999999995</v>
      </c>
      <c r="AZ2" vm="3621">
        <f ca="1"/>
        <v>500.27</v>
      </c>
      <c r="BA2" vm="3622">
        <f ca="1"/>
        <v>508.17</v>
      </c>
      <c r="BB2" vm="3623">
        <f ca="1"/>
        <v>497.05</v>
      </c>
      <c r="BC2" vm="3624">
        <f ca="1"/>
        <v>495.55</v>
      </c>
      <c r="BD2" vm="3625">
        <f ca="1"/>
        <v>502.01</v>
      </c>
      <c r="BE2" vm="3626">
        <f ca="1"/>
        <v>488.2</v>
      </c>
      <c r="BF2" vm="3627">
        <f ca="1"/>
        <v>491.79</v>
      </c>
      <c r="BG2" vm="3628">
        <f ca="1"/>
        <v>472.73</v>
      </c>
      <c r="BH2" vm="3629">
        <f ca="1"/>
        <v>471.6</v>
      </c>
      <c r="BI2" vm="3630">
        <f ca="1"/>
        <v>476.92</v>
      </c>
      <c r="BJ2" vm="3631">
        <f ca="1"/>
        <v>468.34</v>
      </c>
      <c r="BK2" vm="3632">
        <f ca="1"/>
        <v>479.66</v>
      </c>
      <c r="BL2" vm="3633">
        <f ca="1"/>
        <v>482.77</v>
      </c>
      <c r="BM2" vm="3634">
        <f ca="1"/>
        <v>474.54</v>
      </c>
      <c r="BN2" vm="3635">
        <f ca="1"/>
        <v>480.89</v>
      </c>
      <c r="BO2" vm="3636">
        <f ca="1"/>
        <v>479.26</v>
      </c>
      <c r="BP2" vm="3637">
        <f ca="1"/>
        <v>480.84</v>
      </c>
      <c r="BQ2" vm="3638">
        <f ca="1"/>
        <v>490.66</v>
      </c>
      <c r="BR2" vm="3639">
        <f ca="1"/>
        <v>493.46</v>
      </c>
      <c r="BS2" vm="3640">
        <f ca="1"/>
        <v>484.38</v>
      </c>
      <c r="BT2" vm="3641">
        <f ca="1"/>
        <v>481.62</v>
      </c>
      <c r="BU2" vm="3642">
        <f ca="1"/>
        <v>468.94</v>
      </c>
      <c r="BV2" vm="3643">
        <f ca="1"/>
        <v>468.92</v>
      </c>
      <c r="BW2" vm="3644">
        <f ca="1"/>
        <v>472.7</v>
      </c>
      <c r="BX2" vm="3645">
        <f ca="1"/>
        <v>476.15</v>
      </c>
      <c r="BY2" vm="3646">
        <f ca="1"/>
        <v>450.66</v>
      </c>
      <c r="BZ2" vm="3647">
        <f ca="1"/>
        <v>422.67</v>
      </c>
      <c r="CA2" vm="3648">
        <f ca="1"/>
        <v>423.69</v>
      </c>
      <c r="CB2" vm="3649">
        <f ca="1"/>
        <v>416.06</v>
      </c>
      <c r="CC2" vm="3650">
        <f ca="1"/>
        <v>466</v>
      </c>
      <c r="CD2" vm="3651">
        <f ca="1"/>
        <v>446.18</v>
      </c>
      <c r="CE2" vm="3652">
        <f ca="1"/>
        <v>454.4</v>
      </c>
      <c r="CF2" vm="3653">
        <f ca="1"/>
        <v>457.48</v>
      </c>
      <c r="CG2" vm="3654">
        <f ca="1"/>
        <v>457.99</v>
      </c>
      <c r="CH2" vm="3655">
        <f ca="1"/>
        <v>444.18</v>
      </c>
      <c r="CI2" vm="3656">
        <f ca="1"/>
        <v>444.1</v>
      </c>
      <c r="CJ2" vm="3657">
        <f ca="1"/>
        <v>433.11</v>
      </c>
      <c r="CK2" vm="3658">
        <f ca="1"/>
        <v>444.48</v>
      </c>
      <c r="CL2" vm="3659">
        <f ca="1"/>
        <v>454.56</v>
      </c>
      <c r="CM2" vm="3660">
        <f ca="1"/>
        <v>467.35</v>
      </c>
      <c r="CN2" vm="3661">
        <f ca="1"/>
        <v>472.56</v>
      </c>
      <c r="CO2" vm="3662">
        <f ca="1"/>
        <v>472.41</v>
      </c>
      <c r="CP2" vm="3663">
        <f ca="1"/>
        <v>475.53</v>
      </c>
      <c r="CQ2" vm="3664">
        <f ca="1"/>
        <v>475.47</v>
      </c>
      <c r="CR2" vm="3665">
        <f ca="1"/>
        <v>481.68</v>
      </c>
      <c r="CS2" vm="3666">
        <f ca="1"/>
        <v>488.83</v>
      </c>
      <c r="CT2" vm="3667">
        <f ca="1"/>
        <v>485.93</v>
      </c>
      <c r="CU2" vm="3668">
        <f ca="1"/>
        <v>481.41</v>
      </c>
      <c r="CV2" vm="3669">
        <f ca="1"/>
        <v>483.3</v>
      </c>
      <c r="CW2" vm="3670">
        <f ca="1"/>
        <v>488.29</v>
      </c>
      <c r="CX2" vm="3671">
        <f ca="1"/>
        <v>487.97</v>
      </c>
      <c r="CY2" vm="3672">
        <f ca="1"/>
        <v>507.85</v>
      </c>
      <c r="CZ2" vm="3673">
        <f ca="1"/>
        <v>515.59</v>
      </c>
      <c r="DA2" vm="3674">
        <f ca="1"/>
        <v>518.67999999999995</v>
      </c>
      <c r="DB2" vm="3675">
        <f ca="1"/>
        <v>519.25</v>
      </c>
      <c r="DC2" vm="3676">
        <f ca="1"/>
        <v>521.51</v>
      </c>
      <c r="DD2" vm="3677">
        <f ca="1"/>
        <v>522.01</v>
      </c>
      <c r="DE2" vm="3678">
        <f ca="1"/>
        <v>520.27</v>
      </c>
      <c r="DF2" vm="3679">
        <f ca="1"/>
        <v>513.04</v>
      </c>
      <c r="DG2" vm="3680">
        <f ca="1"/>
        <v>514</v>
      </c>
      <c r="DH2" vm="3681">
        <f ca="1"/>
        <v>509.24</v>
      </c>
      <c r="DI2" vm="3682">
        <f ca="1"/>
        <v>521.22</v>
      </c>
      <c r="DJ2" vm="3683">
        <f ca="1"/>
        <v>518.91</v>
      </c>
      <c r="DK2" vm="3684">
        <f ca="1"/>
        <v>519.92999999999995</v>
      </c>
      <c r="DL2" vm="3685">
        <f ca="1"/>
        <v>519.11</v>
      </c>
      <c r="DM2" vm="3686">
        <f ca="1"/>
        <v>523.21</v>
      </c>
      <c r="DN2" vm="3687">
        <f ca="1"/>
        <v>527.29999999999995</v>
      </c>
      <c r="DO2" vm="3688">
        <f ca="1"/>
        <v>528.77</v>
      </c>
      <c r="DP2" vm="3689">
        <f ca="1"/>
        <v>524.79</v>
      </c>
      <c r="DQ2" vm="3690">
        <f ca="1"/>
        <v>529.91999999999996</v>
      </c>
      <c r="DR2" vm="3691">
        <f ca="1"/>
        <v>530.70000000000005</v>
      </c>
      <c r="DS2" vm="3692">
        <f ca="1"/>
        <v>534.21</v>
      </c>
      <c r="DT2" vm="3693">
        <f ca="1"/>
        <v>532.41</v>
      </c>
      <c r="DU2" vm="3694">
        <f ca="1"/>
        <v>533.66</v>
      </c>
      <c r="DV2" vm="3695">
        <f ca="1"/>
        <v>526.96</v>
      </c>
      <c r="DW2" vm="3696">
        <f ca="1"/>
        <v>534.29</v>
      </c>
      <c r="DX2" vm="3697">
        <f ca="1"/>
        <v>529.08000000000004</v>
      </c>
      <c r="DY2" vm="3698">
        <f ca="1"/>
        <v>528.99</v>
      </c>
      <c r="DZ2" vm="3699">
        <f ca="1"/>
        <v>526.83000000000004</v>
      </c>
      <c r="EA2" vm="3700">
        <f ca="1"/>
        <v>531.65</v>
      </c>
      <c r="EB2" vm="3701">
        <f ca="1"/>
        <v>539.78</v>
      </c>
      <c r="EC2" vm="3702">
        <f ca="1"/>
        <v>541.16</v>
      </c>
      <c r="ED2" vm="3703">
        <f ca="1"/>
        <v>546.22</v>
      </c>
      <c r="EE2" vm="3704">
        <f ca="1"/>
        <v>548.09</v>
      </c>
      <c r="EF2" vm="3705">
        <f ca="1"/>
        <v>551.64</v>
      </c>
      <c r="EG2" vm="3706">
        <f ca="1"/>
        <v>546.99</v>
      </c>
      <c r="EH2" vm="3707">
        <f ca="1"/>
        <v>550.79999999999995</v>
      </c>
      <c r="EI2" vm="3708">
        <f ca="1"/>
        <v>556.22</v>
      </c>
      <c r="EJ2" vm="3709">
        <f ca="1"/>
        <v>552.03</v>
      </c>
      <c r="EK2" vm="3710">
        <f ca="1"/>
        <v>552.34</v>
      </c>
      <c r="EL2" vm="3711">
        <f ca="1"/>
        <v>556.25</v>
      </c>
      <c r="EM2" vm="3712">
        <f ca="1"/>
        <v>555.45000000000005</v>
      </c>
      <c r="EN2" vm="3713">
        <f ca="1"/>
        <v>554.20000000000005</v>
      </c>
      <c r="EO2" vm="3714">
        <f ca="1"/>
        <v>556.21</v>
      </c>
      <c r="EP2" vm="3715">
        <f ca="1"/>
        <v>556.72</v>
      </c>
      <c r="EQ2" vm="3716">
        <f ca="1"/>
        <v>557.29</v>
      </c>
      <c r="ER2" vm="3717">
        <f ca="1"/>
        <v>561.79999999999995</v>
      </c>
      <c r="ES2" vm="3718">
        <f ca="1"/>
        <v>561.26</v>
      </c>
      <c r="ET2" vm="3719">
        <f ca="1"/>
        <v>564.16999999999996</v>
      </c>
      <c r="EU2" vm="3720">
        <f ca="1"/>
        <v>561.25</v>
      </c>
      <c r="EV2" vm="3721">
        <f ca="1"/>
        <v>563.80999999999995</v>
      </c>
      <c r="EW2" vm="3722">
        <f ca="1"/>
        <v>565.01</v>
      </c>
      <c r="EX2" vm="3723">
        <f ca="1"/>
        <v>566.37</v>
      </c>
      <c r="EY2" vm="3724">
        <f ca="1"/>
        <v>568.14</v>
      </c>
      <c r="EZ2" vm="3725">
        <f ca="1"/>
        <v>567.26</v>
      </c>
      <c r="FA2" vm="3726">
        <f ca="1"/>
        <v>568.02</v>
      </c>
      <c r="FB2" vm="3722">
        <f ca="1"/>
        <v>565.01</v>
      </c>
      <c r="FC2" vm="3727">
        <f ca="1"/>
        <v>553.88</v>
      </c>
      <c r="FD2" vm="3728">
        <f ca="1"/>
        <v>564.1</v>
      </c>
      <c r="FE2" vm="3729">
        <f ca="1"/>
        <v>560.27</v>
      </c>
      <c r="FF2" vm="3730">
        <f ca="1"/>
        <v>567.32000000000005</v>
      </c>
      <c r="FG2" vm="3731">
        <f ca="1"/>
        <v>569.24</v>
      </c>
      <c r="FH2" vm="3732">
        <f ca="1"/>
        <v>574.54999999999995</v>
      </c>
      <c r="FI2" vm="3733">
        <f ca="1"/>
        <v>572.85</v>
      </c>
      <c r="FJ2" vm="3734">
        <f ca="1"/>
        <v>580.04999999999995</v>
      </c>
      <c r="FK2" vm="3735">
        <f ca="1"/>
        <v>580.34</v>
      </c>
      <c r="FL2" vm="3736">
        <f ca="1"/>
        <v>579.89</v>
      </c>
      <c r="FM2" vm="3737">
        <f ca="1"/>
        <v>577.34</v>
      </c>
      <c r="FN2" vm="3738">
        <f ca="1"/>
        <v>577.11</v>
      </c>
      <c r="FO2" vm="3739">
        <f ca="1"/>
        <v>569.28</v>
      </c>
      <c r="FP2" vm="3740">
        <f ca="1"/>
        <v>565.9</v>
      </c>
      <c r="FQ2" vm="3741">
        <f ca="1"/>
        <v>563.28</v>
      </c>
      <c r="FR2" vm="3742">
        <f ca="1"/>
        <v>571.97</v>
      </c>
      <c r="FS2" vm="3743">
        <f ca="1"/>
        <v>570.32000000000005</v>
      </c>
      <c r="FT2" vm="3744">
        <f ca="1"/>
        <v>572.61</v>
      </c>
      <c r="FU2" vm="3745">
        <f ca="1"/>
        <v>573.49</v>
      </c>
      <c r="FV2" vm="3746">
        <f ca="1"/>
        <v>577.08000000000004</v>
      </c>
      <c r="FW2" vm="3747">
        <f ca="1"/>
        <v>570.4</v>
      </c>
      <c r="FX2" vm="3748">
        <f ca="1"/>
        <v>565.62</v>
      </c>
      <c r="FY2" vm="3749">
        <f ca="1"/>
        <v>570.07000000000005</v>
      </c>
      <c r="FZ2" vm="3750">
        <f ca="1"/>
        <v>575.23</v>
      </c>
      <c r="GA2" vm="3751">
        <f ca="1"/>
        <v>576.05999999999995</v>
      </c>
      <c r="GB2" vm="3752">
        <f ca="1"/>
        <v>578.87</v>
      </c>
      <c r="GC2" vm="3753">
        <f ca="1"/>
        <v>580.51</v>
      </c>
      <c r="GD2" vm="3754">
        <f ca="1"/>
        <v>580.70000000000005</v>
      </c>
      <c r="GE2" vm="3755">
        <f ca="1"/>
        <v>584.08000000000004</v>
      </c>
      <c r="GF2" vm="3756">
        <f ca="1"/>
        <v>586.66</v>
      </c>
      <c r="GG2" vm="3757">
        <f ca="1"/>
        <v>591.67999999999995</v>
      </c>
      <c r="GH2" vm="3758">
        <f ca="1"/>
        <v>591.17999999999995</v>
      </c>
      <c r="GI2" vm="3759">
        <f ca="1"/>
        <v>590</v>
      </c>
      <c r="GJ2" vm="3760">
        <f ca="1"/>
        <v>595.32000000000005</v>
      </c>
      <c r="GK2" vm="3761">
        <f ca="1"/>
        <v>599.35</v>
      </c>
      <c r="GL2" vm="321">
        <f ca="1"/>
        <v>602.20000000000005</v>
      </c>
      <c r="GM2" vm="3762">
        <f ca="1"/>
        <v>598.20000000000005</v>
      </c>
      <c r="GN2" vm="3763">
        <f ca="1"/>
        <v>596.1</v>
      </c>
      <c r="GO2" vm="3764">
        <f ca="1"/>
        <v>593.53</v>
      </c>
      <c r="GP2" vm="3765">
        <f ca="1"/>
        <v>595.97</v>
      </c>
      <c r="GQ2" vm="3766">
        <f ca="1"/>
        <v>598.73</v>
      </c>
      <c r="GR2" vm="3767">
        <f ca="1"/>
        <v>600.37</v>
      </c>
      <c r="GS2" vm="3768">
        <f ca="1"/>
        <v>603.25</v>
      </c>
      <c r="GT2" vm="3769">
        <f ca="1"/>
        <v>605.73</v>
      </c>
      <c r="GU2" vm="3770">
        <f ca="1"/>
        <v>603.17999999999995</v>
      </c>
      <c r="GV2" vm="3771">
        <f ca="1"/>
        <v>607.71</v>
      </c>
      <c r="GW2" vm="3772">
        <f ca="1"/>
        <v>604.51</v>
      </c>
      <c r="GX2" vm="3773">
        <f ca="1"/>
        <v>611.44000000000005</v>
      </c>
      <c r="GY2" vm="3774">
        <f ca="1"/>
        <v>610.70000000000005</v>
      </c>
      <c r="GZ2" vm="3775">
        <f ca="1"/>
        <v>589.5</v>
      </c>
      <c r="HA2" vm="3776">
        <f ca="1"/>
        <v>602.01</v>
      </c>
      <c r="HB2" vm="3777">
        <f ca="1"/>
        <v>598</v>
      </c>
      <c r="HC2" vm="3778">
        <f ca="1"/>
        <v>602.22</v>
      </c>
      <c r="HD2" vm="3779">
        <f ca="1"/>
        <v>599.99</v>
      </c>
      <c r="HE2" vm="3780">
        <f ca="1"/>
        <v>603.92999999999995</v>
      </c>
      <c r="HF2" vm="3781">
        <f ca="1"/>
        <v>611.54</v>
      </c>
      <c r="HG2" vm="3782">
        <f ca="1"/>
        <v>611.38</v>
      </c>
      <c r="HH2" vm="3783">
        <f ca="1"/>
        <v>605.49</v>
      </c>
      <c r="HI2" vm="3784">
        <f ca="1"/>
        <v>610.58000000000004</v>
      </c>
      <c r="HJ2" vm="3785">
        <f ca="1"/>
        <v>617.1</v>
      </c>
      <c r="HK2" vm="3786">
        <f ca="1"/>
        <v>628.09</v>
      </c>
      <c r="HL2" vm="3787">
        <f ca="1"/>
        <v>632.91999999999996</v>
      </c>
      <c r="HM2" vm="3788">
        <f ca="1"/>
        <v>635.77</v>
      </c>
      <c r="HN2" vm="3789">
        <f ca="1"/>
        <v>626.04999999999995</v>
      </c>
      <c r="HO2" vm="3790">
        <f ca="1"/>
        <v>629.07000000000005</v>
      </c>
      <c r="HP2" vm="3496">
        <f ca="1"/>
        <v>632.08000000000004</v>
      </c>
      <c r="HQ2" vm="188">
        <f ca="1"/>
        <v>619.25</v>
      </c>
      <c r="HR2" vm="3791">
        <f ca="1"/>
        <v>623.28</v>
      </c>
      <c r="HS2" vm="3792">
        <f ca="1"/>
        <v>611.66999999999996</v>
      </c>
      <c r="HT2" vm="3793">
        <f ca="1"/>
        <v>609.74</v>
      </c>
      <c r="HU2" vm="3794">
        <f ca="1"/>
        <v>623.23</v>
      </c>
      <c r="HV2" vm="3795">
        <f ca="1"/>
        <v>621.57000000000005</v>
      </c>
      <c r="HW2" vm="3796">
        <f ca="1"/>
        <v>621.08000000000004</v>
      </c>
      <c r="HX2" vm="3797">
        <f ca="1"/>
        <v>608.4</v>
      </c>
      <c r="HY2" vm="3798">
        <f ca="1"/>
        <v>608.86</v>
      </c>
      <c r="HZ2" vm="3799">
        <f ca="1"/>
        <v>603.66</v>
      </c>
      <c r="IA2" vm="3800">
        <f ca="1"/>
        <v>596.30999999999995</v>
      </c>
      <c r="IB2" vm="182">
        <f ca="1"/>
        <v>599.87</v>
      </c>
      <c r="IC2" vm="183">
        <f ca="1"/>
        <v>585.66999999999996</v>
      </c>
      <c r="ID2" vm="184">
        <f ca="1"/>
        <v>590.07000000000005</v>
      </c>
      <c r="IE2" vm="185">
        <f ca="1"/>
        <v>605.16</v>
      </c>
      <c r="IF2" vm="186">
        <f ca="1"/>
        <v>608.89</v>
      </c>
      <c r="IG2" vm="187">
        <f ca="1"/>
        <v>614.27</v>
      </c>
      <c r="IH2" vm="188">
        <f ca="1"/>
        <v>619.25</v>
      </c>
      <c r="II2" vm="189">
        <f ca="1"/>
        <v>617.16999999999996</v>
      </c>
      <c r="IJ2" vm="190">
        <f ca="1"/>
        <v>622</v>
      </c>
      <c r="IK2" vm="191">
        <f ca="1"/>
        <v>623.52</v>
      </c>
      <c r="IL2" vm="192">
        <f ca="1"/>
        <v>622.94000000000005</v>
      </c>
      <c r="IM2" vm="193">
        <f ca="1"/>
        <v>625.48</v>
      </c>
      <c r="IN2" vm="194">
        <f ca="1"/>
        <v>624.28</v>
      </c>
      <c r="IO2" vm="195">
        <f ca="1"/>
        <v>625.04999999999995</v>
      </c>
      <c r="IP2" vm="196">
        <f ca="1"/>
        <v>627.61</v>
      </c>
      <c r="IQ2" vm="197">
        <f ca="1"/>
        <v>625.58000000000004</v>
      </c>
      <c r="IR2" vm="198">
        <f ca="1"/>
        <v>613.62</v>
      </c>
      <c r="IS2" vm="199">
        <f ca="1"/>
        <v>610.54</v>
      </c>
      <c r="IT2" vm="200">
        <f ca="1"/>
        <v>611.75</v>
      </c>
      <c r="IU2" vm="201">
        <f ca="1"/>
        <v>600.41</v>
      </c>
      <c r="IV2" vm="202">
        <f ca="1"/>
        <v>609.11</v>
      </c>
      <c r="IW2" vm="2">
        <f ca="1"/>
        <v>617.04999999999995</v>
      </c>
    </row>
    <row r="3" spans="1:257" ht="16" x14ac:dyDescent="0.2">
      <c r="A3" s="10" t="e" vm="203">
        <v>#VALUE!</v>
      </c>
      <c r="B3" s="23" t="str" cm="1">
        <f t="array" aca="1" ref="B3" ca="1">_FV(A3,"ticker symbol",TRUE)</f>
        <v>DIA</v>
      </c>
      <c r="C3" s="23" t="str" cm="1">
        <f t="array" aca="1" ref="C3" ca="1">_FV(A3,"Name")</f>
        <v>SPDR Dow Jones Indus Avg</v>
      </c>
      <c r="D3" cm="1" vm="3801">
        <f t="array" aca="1" ref="D3:IW3" ca="1">TRANSPOSE(_xlfn.STOCKHISTORY(B3, WORKDAY(TODAY(), -265), TODAY(), 0, 0, 1))</f>
        <v>438.37</v>
      </c>
      <c r="E3" s="23" vm="3802">
        <f ca="1"/>
        <v>435.57</v>
      </c>
      <c r="F3" s="23" vm="3803">
        <f ca="1"/>
        <v>424.22</v>
      </c>
      <c r="G3" s="23" vm="3804">
        <f ca="1"/>
        <v>424.53</v>
      </c>
      <c r="H3" s="23" vm="3805">
        <f ca="1"/>
        <v>428.54</v>
      </c>
      <c r="I3" s="23" vm="3806">
        <f ca="1"/>
        <v>428.89</v>
      </c>
      <c r="J3" s="23" vm="3807">
        <f ca="1"/>
        <v>432.5</v>
      </c>
      <c r="K3" s="23" vm="3808">
        <f ca="1"/>
        <v>433.21</v>
      </c>
      <c r="L3" s="23" vm="3809">
        <f ca="1"/>
        <v>430</v>
      </c>
      <c r="M3" s="23" vm="3810">
        <f ca="1"/>
        <v>425.77</v>
      </c>
      <c r="N3" s="23" vm="3811">
        <f ca="1"/>
        <v>425.5</v>
      </c>
      <c r="O3" s="23" vm="3812">
        <f ca="1"/>
        <v>423.8</v>
      </c>
      <c r="P3" s="23" vm="3813">
        <f ca="1"/>
        <v>427.16</v>
      </c>
      <c r="Q3" s="23" vm="3814">
        <f ca="1"/>
        <v>427.13</v>
      </c>
      <c r="R3" s="23" vm="3815">
        <f ca="1"/>
        <v>425.33</v>
      </c>
      <c r="S3" s="23" vm="3816">
        <f ca="1"/>
        <v>426.13</v>
      </c>
      <c r="T3" s="23" vm="3817">
        <f ca="1"/>
        <v>419.33</v>
      </c>
      <c r="U3" s="23" vm="3818">
        <f ca="1"/>
        <v>422.96</v>
      </c>
      <c r="V3" s="23" vm="3819">
        <f ca="1"/>
        <v>425.15</v>
      </c>
      <c r="W3" s="23" vm="3820">
        <f ca="1"/>
        <v>432.24</v>
      </c>
      <c r="X3" s="23" vm="3821">
        <f ca="1"/>
        <v>431.56</v>
      </c>
      <c r="Y3" s="23" vm="3822">
        <f ca="1"/>
        <v>434.72</v>
      </c>
      <c r="Z3" s="23" vm="3823">
        <f ca="1"/>
        <v>440.1</v>
      </c>
      <c r="AA3" s="23" vm="3824">
        <f ca="1"/>
        <v>441.28</v>
      </c>
      <c r="AB3" s="23" vm="3825">
        <f ca="1"/>
        <v>445.38</v>
      </c>
      <c r="AC3" s="23" vm="3826">
        <f ca="1"/>
        <v>444.12</v>
      </c>
      <c r="AD3" vm="3827">
        <f ca="1"/>
        <v>447.12</v>
      </c>
      <c r="AE3" vm="3828">
        <f ca="1"/>
        <v>448.41</v>
      </c>
      <c r="AF3" vm="3829">
        <f ca="1"/>
        <v>447.18</v>
      </c>
      <c r="AG3" vm="3830">
        <f ca="1"/>
        <v>448.82</v>
      </c>
      <c r="AH3" vm="3831">
        <f ca="1"/>
        <v>445.39</v>
      </c>
      <c r="AI3" vm="3832">
        <f ca="1"/>
        <v>444.27</v>
      </c>
      <c r="AJ3" vm="3833">
        <f ca="1"/>
        <v>445.53</v>
      </c>
      <c r="AK3" vm="3834">
        <f ca="1"/>
        <v>448.67</v>
      </c>
      <c r="AL3" vm="3835">
        <f ca="1"/>
        <v>447.36</v>
      </c>
      <c r="AM3" vm="3836">
        <f ca="1"/>
        <v>443.12</v>
      </c>
      <c r="AN3" vm="3837">
        <f ca="1"/>
        <v>444.78</v>
      </c>
      <c r="AO3" vm="3838">
        <f ca="1"/>
        <v>446.11</v>
      </c>
      <c r="AP3" vm="3839">
        <f ca="1"/>
        <v>443.63</v>
      </c>
      <c r="AQ3" vm="3840">
        <f ca="1"/>
        <v>447.26</v>
      </c>
      <c r="AR3" vm="3841">
        <f ca="1"/>
        <v>445.79</v>
      </c>
      <c r="AS3" vm="3842">
        <f ca="1"/>
        <v>445.92</v>
      </c>
      <c r="AT3" vm="3843">
        <f ca="1"/>
        <v>446.67</v>
      </c>
      <c r="AU3" vm="3844">
        <f ca="1"/>
        <v>442.39</v>
      </c>
      <c r="AV3" vm="3845">
        <f ca="1"/>
        <v>434.15</v>
      </c>
      <c r="AW3" vm="3846">
        <f ca="1"/>
        <v>434.53</v>
      </c>
      <c r="AX3" vm="3847">
        <f ca="1"/>
        <v>436.13</v>
      </c>
      <c r="AY3" vm="3848">
        <f ca="1"/>
        <v>434.34</v>
      </c>
      <c r="AZ3" vm="3849">
        <f ca="1"/>
        <v>432.35</v>
      </c>
      <c r="BA3" vm="3801">
        <f ca="1"/>
        <v>438.37</v>
      </c>
      <c r="BB3" vm="3850">
        <f ca="1"/>
        <v>432.09</v>
      </c>
      <c r="BC3" vm="3851">
        <f ca="1"/>
        <v>425.57</v>
      </c>
      <c r="BD3" vm="3852">
        <f ca="1"/>
        <v>430.47</v>
      </c>
      <c r="BE3" vm="3853">
        <f ca="1"/>
        <v>425.9</v>
      </c>
      <c r="BF3" vm="3854">
        <f ca="1"/>
        <v>428.26</v>
      </c>
      <c r="BG3" vm="3855">
        <f ca="1"/>
        <v>419.49</v>
      </c>
      <c r="BH3" vm="3856">
        <f ca="1"/>
        <v>414.74</v>
      </c>
      <c r="BI3" vm="3857">
        <f ca="1"/>
        <v>413.95</v>
      </c>
      <c r="BJ3" vm="3858">
        <f ca="1"/>
        <v>408.78</v>
      </c>
      <c r="BK3" vm="3859">
        <f ca="1"/>
        <v>415.36</v>
      </c>
      <c r="BL3" vm="3860">
        <f ca="1"/>
        <v>419.21</v>
      </c>
      <c r="BM3" vm="3861">
        <f ca="1"/>
        <v>416.53</v>
      </c>
      <c r="BN3" vm="3862">
        <f ca="1"/>
        <v>420.42</v>
      </c>
      <c r="BO3" vm="3863">
        <f ca="1"/>
        <v>420.12</v>
      </c>
      <c r="BP3" vm="3864">
        <f ca="1"/>
        <v>419.62</v>
      </c>
      <c r="BQ3" vm="3865">
        <f ca="1"/>
        <v>425.49</v>
      </c>
      <c r="BR3" vm="3866">
        <f ca="1"/>
        <v>425.82</v>
      </c>
      <c r="BS3" vm="3867">
        <f ca="1"/>
        <v>424.23</v>
      </c>
      <c r="BT3" vm="3868">
        <f ca="1"/>
        <v>422.94</v>
      </c>
      <c r="BU3" vm="3869">
        <f ca="1"/>
        <v>415.62</v>
      </c>
      <c r="BV3" vm="3870">
        <f ca="1"/>
        <v>419.88</v>
      </c>
      <c r="BW3" vm="3871">
        <f ca="1"/>
        <v>419.59</v>
      </c>
      <c r="BX3" vm="3872">
        <f ca="1"/>
        <v>422.03</v>
      </c>
      <c r="BY3" vm="3873">
        <f ca="1"/>
        <v>405.22</v>
      </c>
      <c r="BZ3" vm="3874">
        <f ca="1"/>
        <v>383.22</v>
      </c>
      <c r="CA3" vm="3875">
        <f ca="1"/>
        <v>379.57</v>
      </c>
      <c r="CB3" vm="3876">
        <f ca="1"/>
        <v>376.48</v>
      </c>
      <c r="CC3" vm="3877">
        <f ca="1"/>
        <v>406.08</v>
      </c>
      <c r="CD3" vm="3878">
        <f ca="1"/>
        <v>395.68</v>
      </c>
      <c r="CE3" vm="3879">
        <f ca="1"/>
        <v>401.91</v>
      </c>
      <c r="CF3" vm="3880">
        <f ca="1"/>
        <v>405.42</v>
      </c>
      <c r="CG3" vm="3881">
        <f ca="1"/>
        <v>403.71</v>
      </c>
      <c r="CH3" vm="3882">
        <f ca="1"/>
        <v>396.77</v>
      </c>
      <c r="CI3" vm="3883">
        <f ca="1"/>
        <v>391.36</v>
      </c>
      <c r="CJ3" vm="3884">
        <f ca="1"/>
        <v>381.62</v>
      </c>
      <c r="CK3" vm="3885">
        <f ca="1"/>
        <v>391.87</v>
      </c>
      <c r="CL3" vm="3886">
        <f ca="1"/>
        <v>395.91</v>
      </c>
      <c r="CM3" vm="3887">
        <f ca="1"/>
        <v>400.98</v>
      </c>
      <c r="CN3" vm="3888">
        <f ca="1"/>
        <v>401.02</v>
      </c>
      <c r="CO3" vm="3889">
        <f ca="1"/>
        <v>402.27</v>
      </c>
      <c r="CP3" vm="3890">
        <f ca="1"/>
        <v>405.21</v>
      </c>
      <c r="CQ3" vm="3891">
        <f ca="1"/>
        <v>406.34</v>
      </c>
      <c r="CR3" vm="3892">
        <f ca="1"/>
        <v>407.42</v>
      </c>
      <c r="CS3" vm="3893">
        <f ca="1"/>
        <v>413.04</v>
      </c>
      <c r="CT3" vm="3894">
        <f ca="1"/>
        <v>412.26</v>
      </c>
      <c r="CU3" vm="3895">
        <f ca="1"/>
        <v>408.24</v>
      </c>
      <c r="CV3" vm="3896">
        <f ca="1"/>
        <v>411.05</v>
      </c>
      <c r="CW3" vm="3897">
        <f ca="1"/>
        <v>413.88</v>
      </c>
      <c r="CX3" vm="3898">
        <f ca="1"/>
        <v>412.42</v>
      </c>
      <c r="CY3" vm="3867">
        <f ca="1"/>
        <v>424.23</v>
      </c>
      <c r="CZ3" vm="3899">
        <f ca="1"/>
        <v>421.51</v>
      </c>
      <c r="DA3" vm="3900">
        <f ca="1"/>
        <v>420.55</v>
      </c>
      <c r="DB3" vm="3901">
        <f ca="1"/>
        <v>423.48</v>
      </c>
      <c r="DC3" vm="3902">
        <f ca="1"/>
        <v>426.55</v>
      </c>
      <c r="DD3" vm="3903">
        <f ca="1"/>
        <v>428.04</v>
      </c>
      <c r="DE3" vm="3904">
        <f ca="1"/>
        <v>426.97</v>
      </c>
      <c r="DF3" vm="3905">
        <f ca="1"/>
        <v>418.75</v>
      </c>
      <c r="DG3" vm="3906">
        <f ca="1"/>
        <v>418.82</v>
      </c>
      <c r="DH3" vm="3907">
        <f ca="1"/>
        <v>416.33</v>
      </c>
      <c r="DI3" vm="3908">
        <f ca="1"/>
        <v>423.85</v>
      </c>
      <c r="DJ3" vm="3909">
        <f ca="1"/>
        <v>421.42</v>
      </c>
      <c r="DK3" vm="3910">
        <f ca="1"/>
        <v>422.46</v>
      </c>
      <c r="DL3" vm="3911">
        <f ca="1"/>
        <v>422.85</v>
      </c>
      <c r="DM3" vm="3912">
        <f ca="1"/>
        <v>423.71</v>
      </c>
      <c r="DN3" vm="3913">
        <f ca="1"/>
        <v>426.01</v>
      </c>
      <c r="DO3" vm="3914">
        <f ca="1"/>
        <v>424.94</v>
      </c>
      <c r="DP3" vm="3915">
        <f ca="1"/>
        <v>423.97</v>
      </c>
      <c r="DQ3" vm="3916">
        <f ca="1"/>
        <v>428.38</v>
      </c>
      <c r="DR3" vm="3917">
        <f ca="1"/>
        <v>428.36</v>
      </c>
      <c r="DS3" vm="3918">
        <f ca="1"/>
        <v>429.61</v>
      </c>
      <c r="DT3" vm="3919">
        <f ca="1"/>
        <v>429.6</v>
      </c>
      <c r="DU3" vm="3920">
        <f ca="1"/>
        <v>430.49</v>
      </c>
      <c r="DV3" vm="3921">
        <f ca="1"/>
        <v>422.81</v>
      </c>
      <c r="DW3" vm="3922">
        <f ca="1"/>
        <v>426.28</v>
      </c>
      <c r="DX3" vm="3923">
        <f ca="1"/>
        <v>423.11</v>
      </c>
      <c r="DY3" vm="3924">
        <f ca="1"/>
        <v>422.84</v>
      </c>
      <c r="DZ3" vm="3925">
        <f ca="1"/>
        <v>421.76</v>
      </c>
      <c r="EA3" vm="3926">
        <f ca="1"/>
        <v>425.72</v>
      </c>
      <c r="EB3" vm="3927">
        <f ca="1"/>
        <v>430.79</v>
      </c>
      <c r="EC3" vm="3928">
        <f ca="1"/>
        <v>429.86</v>
      </c>
      <c r="ED3" vm="3929">
        <f ca="1"/>
        <v>433.93</v>
      </c>
      <c r="EE3" vm="3930">
        <f ca="1"/>
        <v>438</v>
      </c>
      <c r="EF3" vm="3931">
        <f ca="1"/>
        <v>440.65</v>
      </c>
      <c r="EG3" vm="3932">
        <f ca="1"/>
        <v>444.89</v>
      </c>
      <c r="EH3" vm="3933">
        <f ca="1"/>
        <v>444.71</v>
      </c>
      <c r="EI3" vm="3934">
        <f ca="1"/>
        <v>448.09</v>
      </c>
      <c r="EJ3" vm="3935">
        <f ca="1"/>
        <v>444</v>
      </c>
      <c r="EK3" vm="3936">
        <f ca="1"/>
        <v>442.38</v>
      </c>
      <c r="EL3" vm="3937">
        <f ca="1"/>
        <v>444.52</v>
      </c>
      <c r="EM3" vm="3938">
        <f ca="1"/>
        <v>446.5</v>
      </c>
      <c r="EN3" vm="3939">
        <f ca="1"/>
        <v>443.57</v>
      </c>
      <c r="EO3" vm="3940">
        <f ca="1"/>
        <v>444.58</v>
      </c>
      <c r="EP3" vm="3941">
        <f ca="1"/>
        <v>440.15</v>
      </c>
      <c r="EQ3" vm="3942">
        <f ca="1"/>
        <v>442.36</v>
      </c>
      <c r="ER3" vm="3943">
        <f ca="1"/>
        <v>445.22</v>
      </c>
      <c r="ES3" vm="3944">
        <f ca="1"/>
        <v>443.26</v>
      </c>
      <c r="ET3" vm="3945">
        <f ca="1"/>
        <v>443.44</v>
      </c>
      <c r="EU3" vm="3946">
        <f ca="1"/>
        <v>444.96</v>
      </c>
      <c r="EV3" vm="3947">
        <f ca="1"/>
        <v>450.21</v>
      </c>
      <c r="EW3" vm="3948">
        <f ca="1"/>
        <v>447.11</v>
      </c>
      <c r="EX3" vm="3949">
        <f ca="1"/>
        <v>449.02</v>
      </c>
      <c r="EY3" vm="3950">
        <f ca="1"/>
        <v>448.34</v>
      </c>
      <c r="EZ3" vm="3951">
        <f ca="1"/>
        <v>446.48</v>
      </c>
      <c r="FA3" vm="3952">
        <f ca="1"/>
        <v>444.76</v>
      </c>
      <c r="FB3" vm="3953">
        <f ca="1"/>
        <v>441.33</v>
      </c>
      <c r="FC3" vm="3954">
        <f ca="1"/>
        <v>435.72</v>
      </c>
      <c r="FD3" vm="3955">
        <f ca="1"/>
        <v>441.81</v>
      </c>
      <c r="FE3" vm="3956">
        <f ca="1"/>
        <v>441.14</v>
      </c>
      <c r="FF3" vm="3957">
        <f ca="1"/>
        <v>441.97</v>
      </c>
      <c r="FG3" vm="3958">
        <f ca="1"/>
        <v>439.72</v>
      </c>
      <c r="FH3" vm="3959">
        <f ca="1"/>
        <v>441.92</v>
      </c>
      <c r="FI3" vm="3960">
        <f ca="1"/>
        <v>440.01</v>
      </c>
      <c r="FJ3" vm="3961">
        <f ca="1"/>
        <v>444.68</v>
      </c>
      <c r="FK3" vm="3962">
        <f ca="1"/>
        <v>449.42</v>
      </c>
      <c r="FL3" vm="3963">
        <f ca="1"/>
        <v>449.16</v>
      </c>
      <c r="FM3" vm="3964">
        <f ca="1"/>
        <v>449.53</v>
      </c>
      <c r="FN3" vm="3965">
        <f ca="1"/>
        <v>449.05</v>
      </c>
      <c r="FO3" vm="3966">
        <f ca="1"/>
        <v>449.29</v>
      </c>
      <c r="FP3" vm="3967">
        <f ca="1"/>
        <v>449.36</v>
      </c>
      <c r="FQ3" vm="3968">
        <f ca="1"/>
        <v>447.95</v>
      </c>
      <c r="FR3" vm="3969">
        <f ca="1"/>
        <v>456.64</v>
      </c>
      <c r="FS3" vm="3970">
        <f ca="1"/>
        <v>453.07</v>
      </c>
      <c r="FT3" vm="3971">
        <f ca="1"/>
        <v>454.49</v>
      </c>
      <c r="FU3" vm="3972">
        <f ca="1"/>
        <v>456.03</v>
      </c>
      <c r="FV3" vm="3973">
        <f ca="1"/>
        <v>456.79</v>
      </c>
      <c r="FW3" vm="3974">
        <f ca="1"/>
        <v>456.09</v>
      </c>
      <c r="FX3" vm="3975">
        <f ca="1"/>
        <v>453.61</v>
      </c>
      <c r="FY3" vm="3976">
        <f ca="1"/>
        <v>453.26</v>
      </c>
      <c r="FZ3" vm="3977">
        <f ca="1"/>
        <v>457.05</v>
      </c>
      <c r="GA3" vm="3978">
        <f ca="1"/>
        <v>454.99</v>
      </c>
      <c r="GB3" vm="3979">
        <f ca="1"/>
        <v>456.2</v>
      </c>
      <c r="GC3" vm="3980">
        <f ca="1"/>
        <v>458.01</v>
      </c>
      <c r="GD3" vm="3981">
        <f ca="1"/>
        <v>455.93</v>
      </c>
      <c r="GE3" vm="3982">
        <f ca="1"/>
        <v>461.92</v>
      </c>
      <c r="GF3" vm="3983">
        <f ca="1"/>
        <v>459.32</v>
      </c>
      <c r="GG3" vm="3984">
        <f ca="1"/>
        <v>460.07</v>
      </c>
      <c r="GH3" vm="3985">
        <f ca="1"/>
        <v>458.78</v>
      </c>
      <c r="GI3" vm="3986">
        <f ca="1"/>
        <v>461.26</v>
      </c>
      <c r="GJ3" vm="3987">
        <f ca="1"/>
        <v>462.63</v>
      </c>
      <c r="GK3" vm="3988">
        <f ca="1"/>
        <v>462.94</v>
      </c>
      <c r="GL3" vm="3989">
        <f ca="1"/>
        <v>463.67</v>
      </c>
      <c r="GM3" vm="3990">
        <f ca="1"/>
        <v>462.87</v>
      </c>
      <c r="GN3" vm="3991">
        <f ca="1"/>
        <v>461.02</v>
      </c>
      <c r="GO3" vm="3992">
        <f ca="1"/>
        <v>459.43</v>
      </c>
      <c r="GP3" vm="3993">
        <f ca="1"/>
        <v>462.28</v>
      </c>
      <c r="GQ3" vm="3994">
        <f ca="1"/>
        <v>463.04</v>
      </c>
      <c r="GR3" vm="3995">
        <f ca="1"/>
        <v>463.74</v>
      </c>
      <c r="GS3" vm="3996">
        <f ca="1"/>
        <v>464.26</v>
      </c>
      <c r="GT3" vm="3997">
        <f ca="1"/>
        <v>465.11</v>
      </c>
      <c r="GU3" vm="3998">
        <f ca="1"/>
        <v>467.51</v>
      </c>
      <c r="GV3" vm="3999">
        <f ca="1"/>
        <v>466.84</v>
      </c>
      <c r="GW3" vm="4000">
        <f ca="1"/>
        <v>465.97</v>
      </c>
      <c r="GX3" vm="4001">
        <f ca="1"/>
        <v>466.07</v>
      </c>
      <c r="GY3" vm="4002">
        <f ca="1"/>
        <v>463.5</v>
      </c>
      <c r="GZ3" vm="4003">
        <f ca="1"/>
        <v>454.87</v>
      </c>
      <c r="HA3" vm="4004">
        <f ca="1"/>
        <v>460.68</v>
      </c>
      <c r="HB3" vm="4005">
        <f ca="1"/>
        <v>462.71</v>
      </c>
      <c r="HC3" vm="4005">
        <f ca="1"/>
        <v>462.71</v>
      </c>
      <c r="HD3" vm="4006">
        <f ca="1"/>
        <v>459.56</v>
      </c>
      <c r="HE3" vm="4007">
        <f ca="1"/>
        <v>461.78</v>
      </c>
      <c r="HF3" vm="4008">
        <f ca="1"/>
        <v>467.02</v>
      </c>
      <c r="HG3" vm="4009">
        <f ca="1"/>
        <v>469.22</v>
      </c>
      <c r="HH3" vm="4010">
        <f ca="1"/>
        <v>465.78</v>
      </c>
      <c r="HI3" vm="4011">
        <f ca="1"/>
        <v>467.29</v>
      </c>
      <c r="HJ3" vm="4012">
        <f ca="1"/>
        <v>472.21</v>
      </c>
      <c r="HK3" vm="4013">
        <f ca="1"/>
        <v>475.35</v>
      </c>
      <c r="HL3" vm="4014">
        <f ca="1"/>
        <v>477.15</v>
      </c>
      <c r="HM3" vm="4015">
        <f ca="1"/>
        <v>476.37</v>
      </c>
      <c r="HN3" vm="4016">
        <f ca="1"/>
        <v>475.01</v>
      </c>
      <c r="HO3" vm="4017">
        <f ca="1"/>
        <v>475.67</v>
      </c>
      <c r="HP3" vm="4018">
        <f ca="1"/>
        <v>473.47</v>
      </c>
      <c r="HQ3" vm="4019">
        <f ca="1"/>
        <v>470.9</v>
      </c>
      <c r="HR3" vm="4020">
        <f ca="1"/>
        <v>473.11</v>
      </c>
      <c r="HS3" vm="4021">
        <f ca="1"/>
        <v>469.28</v>
      </c>
      <c r="HT3" vm="4022">
        <f ca="1"/>
        <v>469.86</v>
      </c>
      <c r="HU3" vm="4023">
        <f ca="1"/>
        <v>473.82</v>
      </c>
      <c r="HV3" vm="213">
        <f ca="1"/>
        <v>479.41</v>
      </c>
      <c r="HW3" vm="4024">
        <f ca="1"/>
        <v>482.76</v>
      </c>
      <c r="HX3" vm="4025">
        <f ca="1"/>
        <v>474.74</v>
      </c>
      <c r="HY3" vm="4026">
        <f ca="1"/>
        <v>471.8</v>
      </c>
      <c r="HZ3" vm="4027">
        <f ca="1"/>
        <v>466.32</v>
      </c>
      <c r="IA3" vm="4028">
        <f ca="1"/>
        <v>461.3</v>
      </c>
      <c r="IB3" vm="204">
        <f ca="1"/>
        <v>461.76</v>
      </c>
      <c r="IC3" vm="205">
        <f ca="1"/>
        <v>458.1</v>
      </c>
      <c r="ID3" vm="206">
        <f ca="1"/>
        <v>462.57</v>
      </c>
      <c r="IE3" vm="207">
        <f ca="1"/>
        <v>464.44</v>
      </c>
      <c r="IF3" vm="208">
        <f ca="1"/>
        <v>471.18</v>
      </c>
      <c r="IG3" vm="209">
        <f ca="1"/>
        <v>474.35</v>
      </c>
      <c r="IH3" vm="210">
        <f ca="1"/>
        <v>477.18</v>
      </c>
      <c r="II3" vm="211">
        <f ca="1"/>
        <v>473.32</v>
      </c>
      <c r="IJ3" vm="212">
        <f ca="1"/>
        <v>475.26</v>
      </c>
      <c r="IK3" vm="213">
        <f ca="1"/>
        <v>479.41</v>
      </c>
      <c r="IL3" vm="214">
        <f ca="1"/>
        <v>479.07</v>
      </c>
      <c r="IM3" vm="215">
        <f ca="1"/>
        <v>480.03</v>
      </c>
      <c r="IN3" vm="216">
        <f ca="1"/>
        <v>478.15</v>
      </c>
      <c r="IO3" vm="217">
        <f ca="1"/>
        <v>476.42</v>
      </c>
      <c r="IP3" vm="218">
        <f ca="1"/>
        <v>481.35</v>
      </c>
      <c r="IQ3" vm="219">
        <f ca="1"/>
        <v>487.87</v>
      </c>
      <c r="IR3" vm="220">
        <f ca="1"/>
        <v>485.4</v>
      </c>
      <c r="IS3" vm="221">
        <f ca="1"/>
        <v>485.17</v>
      </c>
      <c r="IT3" vm="222">
        <f ca="1"/>
        <v>481.98</v>
      </c>
      <c r="IU3" vm="223">
        <f ca="1"/>
        <v>479.8</v>
      </c>
      <c r="IV3" vm="224">
        <f ca="1"/>
        <v>480.51</v>
      </c>
      <c r="IW3" vm="3">
        <f ca="1"/>
        <v>481.15</v>
      </c>
    </row>
    <row r="4" spans="1:257" ht="16" x14ac:dyDescent="0.2">
      <c r="A4" s="10" t="e" vm="225">
        <v>#VALUE!</v>
      </c>
      <c r="B4" s="23" t="str" cm="1">
        <f t="array" aca="1" ref="B4" ca="1">_FV(A4,"ticker symbol",TRUE)</f>
        <v>IWM</v>
      </c>
      <c r="C4" s="23" t="str" cm="1">
        <f t="array" aca="1" ref="C4" ca="1">_FV(A4,"Name")</f>
        <v>iShares:Russ 2000 ETF</v>
      </c>
      <c r="D4" cm="1" vm="4029">
        <f t="array" aca="1" ref="D4:IW4" ca="1">TRANSPOSE(_xlfn.STOCKHISTORY(B4, WORKDAY(TODAY(), -265), TODAY(), 0, 0, 1))</f>
        <v>234.44</v>
      </c>
      <c r="E4" s="23" vm="4030">
        <f ca="1"/>
        <v>231.07</v>
      </c>
      <c r="F4" s="23" vm="4031">
        <f ca="1"/>
        <v>220.84</v>
      </c>
      <c r="G4" s="23" vm="4032">
        <f ca="1"/>
        <v>219.86</v>
      </c>
      <c r="H4" s="23" vm="4033">
        <f ca="1"/>
        <v>221.92</v>
      </c>
      <c r="I4" s="23" vm="4034">
        <f ca="1"/>
        <v>221.41</v>
      </c>
      <c r="J4" s="23" vm="4035">
        <f ca="1"/>
        <v>223.39</v>
      </c>
      <c r="K4" s="23" vm="4036">
        <f ca="1"/>
        <v>225.68</v>
      </c>
      <c r="L4" s="23" vm="4037">
        <f ca="1"/>
        <v>222.39</v>
      </c>
      <c r="M4" s="23" vm="4038">
        <f ca="1"/>
        <v>220.68</v>
      </c>
      <c r="N4" s="23" vm="4039">
        <f ca="1"/>
        <v>220.96</v>
      </c>
      <c r="O4" s="23" vm="4040">
        <f ca="1"/>
        <v>221.14</v>
      </c>
      <c r="P4" s="23" vm="4041">
        <f ca="1"/>
        <v>224.43</v>
      </c>
      <c r="Q4" s="23" vm="4042">
        <f ca="1"/>
        <v>224.52</v>
      </c>
      <c r="R4" s="23" vm="4043">
        <f ca="1"/>
        <v>222.72</v>
      </c>
      <c r="S4" s="23" vm="4044">
        <f ca="1"/>
        <v>221.71</v>
      </c>
      <c r="T4" s="23" vm="4045">
        <f ca="1"/>
        <v>216.83</v>
      </c>
      <c r="U4" s="23" vm="4046">
        <f ca="1"/>
        <v>217.25</v>
      </c>
      <c r="V4" s="23" vm="4047">
        <f ca="1"/>
        <v>219.72</v>
      </c>
      <c r="W4" s="23" vm="4048">
        <f ca="1"/>
        <v>224.04</v>
      </c>
      <c r="X4" s="23" vm="4049">
        <f ca="1"/>
        <v>224.49</v>
      </c>
      <c r="Y4" s="23" vm="4050">
        <f ca="1"/>
        <v>225.46</v>
      </c>
      <c r="Z4" s="23" vm="4051">
        <f ca="1"/>
        <v>229.79</v>
      </c>
      <c r="AA4" s="23" vm="4052">
        <f ca="1"/>
        <v>228.29</v>
      </c>
      <c r="AB4" s="23" vm="4053">
        <f ca="1"/>
        <v>229.33</v>
      </c>
      <c r="AC4" s="23" vm="4054">
        <f ca="1"/>
        <v>228.69</v>
      </c>
      <c r="AD4" vm="4055">
        <f ca="1"/>
        <v>226.5</v>
      </c>
      <c r="AE4" vm="4056">
        <f ca="1"/>
        <v>226.75</v>
      </c>
      <c r="AF4" vm="4057">
        <f ca="1"/>
        <v>226.23</v>
      </c>
      <c r="AG4" vm="4058">
        <f ca="1"/>
        <v>228.53</v>
      </c>
      <c r="AH4" vm="4059">
        <f ca="1"/>
        <v>226.48</v>
      </c>
      <c r="AI4" vm="4060">
        <f ca="1"/>
        <v>223.83</v>
      </c>
      <c r="AJ4" vm="4061">
        <f ca="1"/>
        <v>226.93</v>
      </c>
      <c r="AK4" vm="4062">
        <f ca="1"/>
        <v>229.4</v>
      </c>
      <c r="AL4" vm="4063">
        <f ca="1"/>
        <v>228.65</v>
      </c>
      <c r="AM4" vm="4064">
        <f ca="1"/>
        <v>226</v>
      </c>
      <c r="AN4" vm="4065">
        <f ca="1"/>
        <v>227.02</v>
      </c>
      <c r="AO4" vm="4066">
        <f ca="1"/>
        <v>225.7</v>
      </c>
      <c r="AP4" vm="4067">
        <f ca="1"/>
        <v>223.62</v>
      </c>
      <c r="AQ4" vm="4068">
        <f ca="1"/>
        <v>226.14</v>
      </c>
      <c r="AR4" vm="4069">
        <f ca="1"/>
        <v>225.97</v>
      </c>
      <c r="AS4" vm="4070">
        <f ca="1"/>
        <v>227.21</v>
      </c>
      <c r="AT4" vm="4071">
        <f ca="1"/>
        <v>226.43</v>
      </c>
      <c r="AU4" vm="1796">
        <f ca="1"/>
        <v>224.26</v>
      </c>
      <c r="AV4" vm="4072">
        <f ca="1"/>
        <v>217.8</v>
      </c>
      <c r="AW4" vm="4073">
        <f ca="1"/>
        <v>216.23</v>
      </c>
      <c r="AX4" vm="4074">
        <f ca="1"/>
        <v>215.41</v>
      </c>
      <c r="AY4" vm="4075">
        <f ca="1"/>
        <v>215.68</v>
      </c>
      <c r="AZ4" vm="4076">
        <f ca="1"/>
        <v>212.39</v>
      </c>
      <c r="BA4" vm="4077">
        <f ca="1"/>
        <v>214.65</v>
      </c>
      <c r="BB4" vm="4078">
        <f ca="1"/>
        <v>208.78</v>
      </c>
      <c r="BC4" vm="4079">
        <f ca="1"/>
        <v>206.42</v>
      </c>
      <c r="BD4" vm="4080">
        <f ca="1"/>
        <v>208.47</v>
      </c>
      <c r="BE4" vm="4081">
        <f ca="1"/>
        <v>205.28</v>
      </c>
      <c r="BF4" vm="4082">
        <f ca="1"/>
        <v>205.95</v>
      </c>
      <c r="BG4" vm="4083">
        <f ca="1"/>
        <v>200.77</v>
      </c>
      <c r="BH4" vm="4084">
        <f ca="1"/>
        <v>200.75</v>
      </c>
      <c r="BI4" vm="2004">
        <f ca="1"/>
        <v>201.1</v>
      </c>
      <c r="BJ4" vm="4085">
        <f ca="1"/>
        <v>198.1</v>
      </c>
      <c r="BK4" vm="4086">
        <f ca="1"/>
        <v>202.89</v>
      </c>
      <c r="BL4" vm="4087">
        <f ca="1"/>
        <v>205.45</v>
      </c>
      <c r="BM4" vm="4088">
        <f ca="1"/>
        <v>203.21</v>
      </c>
      <c r="BN4" vm="4089">
        <f ca="1"/>
        <v>206.37</v>
      </c>
      <c r="BO4" vm="4090">
        <f ca="1"/>
        <v>205.06</v>
      </c>
      <c r="BP4" vm="4091">
        <f ca="1"/>
        <v>203.79</v>
      </c>
      <c r="BQ4" vm="4092">
        <f ca="1"/>
        <v>208.86</v>
      </c>
      <c r="BR4" vm="4093">
        <f ca="1"/>
        <v>207.7</v>
      </c>
      <c r="BS4" vm="4094">
        <f ca="1"/>
        <v>205.59</v>
      </c>
      <c r="BT4" vm="4095">
        <f ca="1"/>
        <v>204.61</v>
      </c>
      <c r="BU4" vm="4096">
        <f ca="1"/>
        <v>200.45</v>
      </c>
      <c r="BV4" vm="4097">
        <f ca="1"/>
        <v>199.49</v>
      </c>
      <c r="BW4" vm="4098">
        <f ca="1"/>
        <v>199.51</v>
      </c>
      <c r="BX4" vm="2003">
        <f ca="1"/>
        <v>202.66</v>
      </c>
      <c r="BY4" vm="4099">
        <f ca="1"/>
        <v>189.65</v>
      </c>
      <c r="BZ4" vm="4100">
        <f ca="1"/>
        <v>181.19</v>
      </c>
      <c r="CA4" vm="4101">
        <f ca="1"/>
        <v>179.55</v>
      </c>
      <c r="CB4" vm="4102">
        <f ca="1"/>
        <v>174.82</v>
      </c>
      <c r="CC4" vm="4103">
        <f ca="1"/>
        <v>189.68</v>
      </c>
      <c r="CD4" vm="4104">
        <f ca="1"/>
        <v>181.71</v>
      </c>
      <c r="CE4" vm="4105">
        <f ca="1"/>
        <v>184.36</v>
      </c>
      <c r="CF4" vm="251">
        <f ca="1"/>
        <v>186.53</v>
      </c>
      <c r="CG4" vm="4106">
        <f ca="1"/>
        <v>186.76</v>
      </c>
      <c r="CH4" vm="4107">
        <f ca="1"/>
        <v>184.97</v>
      </c>
      <c r="CI4" vm="4108">
        <f ca="1"/>
        <v>186.48</v>
      </c>
      <c r="CJ4" vm="4109">
        <f ca="1"/>
        <v>182.74</v>
      </c>
      <c r="CK4" vm="4110">
        <f ca="1"/>
        <v>187.47</v>
      </c>
      <c r="CL4" vm="4111">
        <f ca="1"/>
        <v>190.25</v>
      </c>
      <c r="CM4" vm="4112">
        <f ca="1"/>
        <v>194.06</v>
      </c>
      <c r="CN4" vm="4113">
        <f ca="1"/>
        <v>194.12</v>
      </c>
      <c r="CO4" vm="4114">
        <f ca="1"/>
        <v>194.94</v>
      </c>
      <c r="CP4" vm="4115">
        <f ca="1"/>
        <v>196.09</v>
      </c>
      <c r="CQ4" vm="4116">
        <f ca="1"/>
        <v>194.86</v>
      </c>
      <c r="CR4" vm="4117">
        <f ca="1"/>
        <v>196.07</v>
      </c>
      <c r="CS4" vm="4118">
        <f ca="1"/>
        <v>200.48</v>
      </c>
      <c r="CT4" vm="4119">
        <f ca="1"/>
        <v>198.94</v>
      </c>
      <c r="CU4" vm="4120">
        <f ca="1"/>
        <v>196.77</v>
      </c>
      <c r="CV4" vm="4121">
        <f ca="1"/>
        <v>197.42</v>
      </c>
      <c r="CW4" vm="4122">
        <f ca="1"/>
        <v>201.18</v>
      </c>
      <c r="CX4" vm="4123">
        <f ca="1"/>
        <v>200.81</v>
      </c>
      <c r="CY4" vm="4124">
        <f ca="1"/>
        <v>207.87</v>
      </c>
      <c r="CZ4" vm="4125">
        <f ca="1"/>
        <v>208.63</v>
      </c>
      <c r="DA4" vm="4126">
        <f ca="1"/>
        <v>206.78</v>
      </c>
      <c r="DB4" vm="4127">
        <f ca="1"/>
        <v>208.13</v>
      </c>
      <c r="DC4" vm="4128">
        <f ca="1"/>
        <v>209.85</v>
      </c>
      <c r="DD4" vm="4129">
        <f ca="1"/>
        <v>208.97</v>
      </c>
      <c r="DE4" vm="4130">
        <f ca="1"/>
        <v>209.08</v>
      </c>
      <c r="DF4" vm="4088">
        <f ca="1"/>
        <v>203.21</v>
      </c>
      <c r="DG4" vm="4131">
        <f ca="1"/>
        <v>203.2</v>
      </c>
      <c r="DH4" vm="4132">
        <f ca="1"/>
        <v>202.56</v>
      </c>
      <c r="DI4" vm="4093">
        <f ca="1"/>
        <v>207.7</v>
      </c>
      <c r="DJ4" vm="4133">
        <f ca="1"/>
        <v>205.51</v>
      </c>
      <c r="DK4" vm="4134">
        <f ca="1"/>
        <v>206.12</v>
      </c>
      <c r="DL4" vm="4135">
        <f ca="1"/>
        <v>205.07</v>
      </c>
      <c r="DM4" vm="4136">
        <f ca="1"/>
        <v>205.71</v>
      </c>
      <c r="DN4" vm="4137">
        <f ca="1"/>
        <v>209.03</v>
      </c>
      <c r="DO4" vm="4138">
        <f ca="1"/>
        <v>208.44</v>
      </c>
      <c r="DP4" vm="4139">
        <f ca="1"/>
        <v>208.53</v>
      </c>
      <c r="DQ4" vm="4140">
        <f ca="1"/>
        <v>211.9</v>
      </c>
      <c r="DR4" vm="4141">
        <f ca="1"/>
        <v>213.36</v>
      </c>
      <c r="DS4" vm="4142">
        <f ca="1"/>
        <v>214.51</v>
      </c>
      <c r="DT4" vm="4143">
        <f ca="1"/>
        <v>213.63</v>
      </c>
      <c r="DU4" vm="4144">
        <f ca="1"/>
        <v>212.78</v>
      </c>
      <c r="DV4" vm="4145">
        <f ca="1"/>
        <v>208.89</v>
      </c>
      <c r="DW4" vm="4146">
        <f ca="1"/>
        <v>210.77</v>
      </c>
      <c r="DX4" vm="4147">
        <f ca="1"/>
        <v>208.55</v>
      </c>
      <c r="DY4" vm="4148">
        <f ca="1"/>
        <v>209.65</v>
      </c>
      <c r="DZ4" vm="4149">
        <f ca="1"/>
        <v>209.21</v>
      </c>
      <c r="EA4" vm="4150">
        <f ca="1"/>
        <v>211.77</v>
      </c>
      <c r="EB4" vm="4151">
        <f ca="1"/>
        <v>214.47</v>
      </c>
      <c r="EC4" vm="4152">
        <f ca="1"/>
        <v>211.97</v>
      </c>
      <c r="ED4" vm="4074">
        <f ca="1"/>
        <v>215.41</v>
      </c>
      <c r="EE4" vm="4153">
        <f ca="1"/>
        <v>215.48</v>
      </c>
      <c r="EF4" vm="4154">
        <f ca="1"/>
        <v>215.79</v>
      </c>
      <c r="EG4" vm="4155">
        <f ca="1"/>
        <v>218.01</v>
      </c>
      <c r="EH4" vm="4156">
        <f ca="1"/>
        <v>221.03</v>
      </c>
      <c r="EI4" vm="4157">
        <f ca="1"/>
        <v>223.08</v>
      </c>
      <c r="EJ4" vm="4158">
        <f ca="1"/>
        <v>219.73</v>
      </c>
      <c r="EK4" vm="4159">
        <f ca="1"/>
        <v>221.25</v>
      </c>
      <c r="EL4" vm="4160">
        <f ca="1"/>
        <v>223.65</v>
      </c>
      <c r="EM4" vm="4161">
        <f ca="1"/>
        <v>224.8</v>
      </c>
      <c r="EN4" vm="4162">
        <f ca="1"/>
        <v>221.7</v>
      </c>
      <c r="EO4" vm="4163">
        <f ca="1"/>
        <v>223.19</v>
      </c>
      <c r="EP4" vm="4164">
        <f ca="1"/>
        <v>218.82</v>
      </c>
      <c r="EQ4" vm="4165">
        <f ca="1"/>
        <v>221.02</v>
      </c>
      <c r="ER4" vm="4166">
        <f ca="1"/>
        <v>223.92</v>
      </c>
      <c r="ES4" vm="4167">
        <f ca="1"/>
        <v>222.33</v>
      </c>
      <c r="ET4" vm="4168">
        <f ca="1"/>
        <v>221.43</v>
      </c>
      <c r="EU4" vm="4169">
        <f ca="1"/>
        <v>223.27</v>
      </c>
      <c r="EV4" vm="4170">
        <f ca="1"/>
        <v>226.68</v>
      </c>
      <c r="EW4" vm="4171">
        <f ca="1"/>
        <v>223.55</v>
      </c>
      <c r="EX4" vm="4172">
        <f ca="1"/>
        <v>224.38</v>
      </c>
      <c r="EY4" vm="4173">
        <f ca="1"/>
        <v>224.12</v>
      </c>
      <c r="EZ4" vm="4174">
        <f ca="1"/>
        <v>222.69</v>
      </c>
      <c r="FA4" vm="4175">
        <f ca="1"/>
        <v>221.56</v>
      </c>
      <c r="FB4" vm="4176">
        <f ca="1"/>
        <v>219.39</v>
      </c>
      <c r="FC4" vm="4177">
        <f ca="1"/>
        <v>214.92</v>
      </c>
      <c r="FD4" vm="4158">
        <f ca="1"/>
        <v>219.73</v>
      </c>
      <c r="FE4" vm="4178">
        <f ca="1"/>
        <v>220.85</v>
      </c>
      <c r="FF4" vm="4179">
        <f ca="1"/>
        <v>220.56</v>
      </c>
      <c r="FG4" vm="4180">
        <f ca="1"/>
        <v>219.84</v>
      </c>
      <c r="FH4" vm="4181">
        <f ca="1"/>
        <v>220.32</v>
      </c>
      <c r="FI4" vm="4182">
        <f ca="1"/>
        <v>220.27</v>
      </c>
      <c r="FJ4" vm="4183">
        <f ca="1"/>
        <v>226.81</v>
      </c>
      <c r="FK4" vm="4184">
        <f ca="1"/>
        <v>231.22</v>
      </c>
      <c r="FL4" vm="4185">
        <f ca="1"/>
        <v>228.24</v>
      </c>
      <c r="FM4" vm="4186">
        <f ca="1"/>
        <v>227.13</v>
      </c>
      <c r="FN4" vm="4187">
        <f ca="1"/>
        <v>227.96</v>
      </c>
      <c r="FO4" vm="4188">
        <f ca="1"/>
        <v>226.21</v>
      </c>
      <c r="FP4" vm="4189">
        <f ca="1"/>
        <v>225.41</v>
      </c>
      <c r="FQ4" vm="4069">
        <f ca="1"/>
        <v>225.97</v>
      </c>
      <c r="FR4" vm="4190">
        <f ca="1"/>
        <v>234.83</v>
      </c>
      <c r="FS4" vm="4191">
        <f ca="1"/>
        <v>232.36</v>
      </c>
      <c r="FT4" vm="4192">
        <f ca="1"/>
        <v>234.28</v>
      </c>
      <c r="FU4" vm="4193">
        <f ca="1"/>
        <v>235.94</v>
      </c>
      <c r="FV4" vm="4194">
        <f ca="1"/>
        <v>236.22</v>
      </c>
      <c r="FW4" vm="4195">
        <f ca="1"/>
        <v>235.17</v>
      </c>
      <c r="FX4" vm="4196">
        <f ca="1"/>
        <v>233.9</v>
      </c>
      <c r="FY4" vm="4197">
        <f ca="1"/>
        <v>233.67</v>
      </c>
      <c r="FZ4" vm="4198">
        <f ca="1"/>
        <v>236.59</v>
      </c>
      <c r="GA4" vm="4199">
        <f ca="1"/>
        <v>237.77</v>
      </c>
      <c r="GB4" vm="4200">
        <f ca="1"/>
        <v>238.25</v>
      </c>
      <c r="GC4" vm="4201">
        <f ca="1"/>
        <v>236.85</v>
      </c>
      <c r="GD4" vm="4202">
        <f ca="1"/>
        <v>236.43</v>
      </c>
      <c r="GE4" vm="4203">
        <f ca="1"/>
        <v>240.8</v>
      </c>
      <c r="GF4" vm="4204">
        <f ca="1"/>
        <v>238.34</v>
      </c>
      <c r="GG4" vm="4205">
        <f ca="1"/>
        <v>239.35</v>
      </c>
      <c r="GH4" vm="4206">
        <f ca="1"/>
        <v>238.28</v>
      </c>
      <c r="GI4" vm="4207">
        <f ca="1"/>
        <v>238.89</v>
      </c>
      <c r="GJ4" vm="4208">
        <f ca="1"/>
        <v>244.84</v>
      </c>
      <c r="GK4" vm="4209">
        <f ca="1"/>
        <v>242.98</v>
      </c>
      <c r="GL4" vm="4210">
        <f ca="1"/>
        <v>244.39</v>
      </c>
      <c r="GM4" vm="4211">
        <f ca="1"/>
        <v>243.84</v>
      </c>
      <c r="GN4" vm="4212">
        <f ca="1"/>
        <v>241.6</v>
      </c>
      <c r="GO4" vm="4213">
        <f ca="1"/>
        <v>239.29</v>
      </c>
      <c r="GP4" vm="4214">
        <f ca="1"/>
        <v>241.34</v>
      </c>
      <c r="GQ4" vm="4215">
        <f ca="1"/>
        <v>241.62</v>
      </c>
      <c r="GR4" vm="4216">
        <f ca="1"/>
        <v>241.96</v>
      </c>
      <c r="GS4" vm="4217">
        <f ca="1"/>
        <v>242.49</v>
      </c>
      <c r="GT4" vm="4218">
        <f ca="1"/>
        <v>244.02</v>
      </c>
      <c r="GU4" vm="4219">
        <f ca="1"/>
        <v>245.83</v>
      </c>
      <c r="GV4" vm="4220">
        <f ca="1"/>
        <v>246.81</v>
      </c>
      <c r="GW4" vm="4221">
        <f ca="1"/>
        <v>244.16</v>
      </c>
      <c r="GX4" vm="4222">
        <f ca="1"/>
        <v>246.72</v>
      </c>
      <c r="GY4" vm="230">
        <f ca="1"/>
        <v>245.13</v>
      </c>
      <c r="GZ4" vm="4223">
        <f ca="1"/>
        <v>237.79</v>
      </c>
      <c r="HA4" vm="4224">
        <f ca="1"/>
        <v>244.41</v>
      </c>
      <c r="HB4" vm="4225">
        <f ca="1"/>
        <v>247.9</v>
      </c>
      <c r="HC4" vm="4226">
        <f ca="1"/>
        <v>250.33</v>
      </c>
      <c r="HD4" vm="4227">
        <f ca="1"/>
        <v>245.06</v>
      </c>
      <c r="HE4" vm="4228">
        <f ca="1"/>
        <v>243.41</v>
      </c>
      <c r="HF4" vm="4229">
        <f ca="1"/>
        <v>248.16</v>
      </c>
      <c r="HG4" vm="4230">
        <f ca="1"/>
        <v>246.99</v>
      </c>
      <c r="HH4" vm="4231">
        <f ca="1"/>
        <v>243.34</v>
      </c>
      <c r="HI4" vm="4232">
        <f ca="1"/>
        <v>246.42</v>
      </c>
      <c r="HJ4" vm="4233">
        <f ca="1"/>
        <v>249.43</v>
      </c>
      <c r="HK4" vm="4234">
        <f ca="1"/>
        <v>250.3</v>
      </c>
      <c r="HL4" vm="4235">
        <f ca="1"/>
        <v>248.96</v>
      </c>
      <c r="HM4" vm="4236">
        <f ca="1"/>
        <v>246.84</v>
      </c>
      <c r="HN4" vm="4237">
        <f ca="1"/>
        <v>244.85</v>
      </c>
      <c r="HO4" vm="4238">
        <f ca="1"/>
        <v>246.23</v>
      </c>
      <c r="HP4" vm="4239">
        <f ca="1"/>
        <v>245.44</v>
      </c>
      <c r="HQ4" vm="4240">
        <f ca="1"/>
        <v>241.2</v>
      </c>
      <c r="HR4" vm="4241">
        <f ca="1"/>
        <v>244.68</v>
      </c>
      <c r="HS4" vm="4242">
        <f ca="1"/>
        <v>240.35</v>
      </c>
      <c r="HT4" vm="4243">
        <f ca="1"/>
        <v>241.61</v>
      </c>
      <c r="HU4" vm="4244">
        <f ca="1"/>
        <v>244.03</v>
      </c>
      <c r="HV4" vm="4245">
        <f ca="1"/>
        <v>244.24</v>
      </c>
      <c r="HW4" vm="4246">
        <f ca="1"/>
        <v>243.64</v>
      </c>
      <c r="HX4" vm="4247">
        <f ca="1"/>
        <v>236.79</v>
      </c>
      <c r="HY4" vm="4248">
        <f ca="1"/>
        <v>237.48</v>
      </c>
      <c r="HZ4" vm="4249">
        <f ca="1"/>
        <v>232.76</v>
      </c>
      <c r="IA4" vm="4250">
        <f ca="1"/>
        <v>233.47</v>
      </c>
      <c r="IB4" vm="226">
        <f ca="1"/>
        <v>233.43</v>
      </c>
      <c r="IC4" vm="227">
        <f ca="1"/>
        <v>229.11</v>
      </c>
      <c r="ID4" vm="228">
        <f ca="1"/>
        <v>235.6</v>
      </c>
      <c r="IE4" vm="229">
        <f ca="1"/>
        <v>239.9</v>
      </c>
      <c r="IF4" vm="230">
        <f ca="1"/>
        <v>245.13</v>
      </c>
      <c r="IG4" vm="231">
        <f ca="1"/>
        <v>247.3</v>
      </c>
      <c r="IH4" vm="232">
        <f ca="1"/>
        <v>248.75</v>
      </c>
      <c r="II4" vm="233">
        <f ca="1"/>
        <v>245.62</v>
      </c>
      <c r="IJ4" vm="234">
        <f ca="1"/>
        <v>245.17</v>
      </c>
      <c r="IK4" vm="235">
        <f ca="1"/>
        <v>249.63</v>
      </c>
      <c r="IL4" vm="236">
        <f ca="1"/>
        <v>251.82</v>
      </c>
      <c r="IM4" vm="237">
        <f ca="1"/>
        <v>250.77</v>
      </c>
      <c r="IN4" vm="238">
        <f ca="1"/>
        <v>250.87</v>
      </c>
      <c r="IO4" vm="239">
        <f ca="1"/>
        <v>251.39</v>
      </c>
      <c r="IP4" vm="240">
        <f ca="1"/>
        <v>254.81</v>
      </c>
      <c r="IQ4" vm="241">
        <f ca="1"/>
        <v>257.8</v>
      </c>
      <c r="IR4" vm="242">
        <f ca="1"/>
        <v>253.85</v>
      </c>
      <c r="IS4" vm="243">
        <f ca="1"/>
        <v>251.93</v>
      </c>
      <c r="IT4" vm="244">
        <f ca="1"/>
        <v>249.9</v>
      </c>
      <c r="IU4" vm="245">
        <f ca="1"/>
        <v>247.24</v>
      </c>
      <c r="IV4" vm="246">
        <f ca="1"/>
        <v>248.71</v>
      </c>
      <c r="IW4" vm="4">
        <f ca="1"/>
        <v>250.79</v>
      </c>
    </row>
    <row r="5" spans="1:257" ht="16" x14ac:dyDescent="0.2">
      <c r="A5" s="10" t="e" vm="247">
        <v>#VALUE!</v>
      </c>
      <c r="B5" s="23" t="str" cm="1">
        <f t="array" aca="1" ref="B5" ca="1">_FV(A5,"ticker symbol",TRUE)</f>
        <v>RSP</v>
      </c>
      <c r="C5" s="23" t="str" cm="1">
        <f t="array" aca="1" ref="C5" ca="1">_FV(A5,"Name")</f>
        <v>Invesco S&amp;P500 EWght</v>
      </c>
      <c r="D5" cm="1" vm="4251">
        <f t="array" aca="1" ref="D5:IW5" ca="1">TRANSPOSE(_xlfn.STOCKHISTORY(B5, WORKDAY(TODAY(), -265), TODAY(), 0, 0, 1))</f>
        <v>181.56</v>
      </c>
      <c r="E5" s="23" vm="4252">
        <f ca="1"/>
        <v>180.13</v>
      </c>
      <c r="F5" s="23" vm="4253">
        <f ca="1"/>
        <v>174.8</v>
      </c>
      <c r="G5" s="23" vm="4254">
        <f ca="1"/>
        <v>174.22</v>
      </c>
      <c r="H5" s="23" vm="4255">
        <f ca="1"/>
        <v>176.66</v>
      </c>
      <c r="I5" s="23" vm="4256">
        <f ca="1"/>
        <v>176.28</v>
      </c>
      <c r="J5" s="23" vm="4257">
        <f ca="1"/>
        <v>177.61</v>
      </c>
      <c r="K5" s="23" vm="4258">
        <f ca="1"/>
        <v>177.9</v>
      </c>
      <c r="L5" s="23" vm="4259">
        <f ca="1"/>
        <v>176.69</v>
      </c>
      <c r="M5" s="23" vm="4260">
        <f ca="1"/>
        <v>174.91</v>
      </c>
      <c r="N5" s="23" vm="4261">
        <f ca="1"/>
        <v>175.23</v>
      </c>
      <c r="O5" s="23" vm="4262">
        <f ca="1"/>
        <v>174.72</v>
      </c>
      <c r="P5" s="23" vm="4263">
        <f ca="1"/>
        <v>176.32</v>
      </c>
      <c r="Q5" s="23" vm="4264">
        <f ca="1"/>
        <v>176.2</v>
      </c>
      <c r="R5" s="23" vm="4265">
        <f ca="1"/>
        <v>175.61</v>
      </c>
      <c r="S5" s="23" vm="4266">
        <f ca="1"/>
        <v>175.82</v>
      </c>
      <c r="T5" s="23" vm="4267">
        <f ca="1"/>
        <v>173.25</v>
      </c>
      <c r="U5" s="23" vm="4268">
        <f ca="1"/>
        <v>174.67</v>
      </c>
      <c r="V5" s="23" vm="4269">
        <f ca="1"/>
        <v>176.08</v>
      </c>
      <c r="W5" s="23" vm="4270">
        <f ca="1"/>
        <v>177.77</v>
      </c>
      <c r="X5" s="23" vm="4271">
        <f ca="1"/>
        <v>179.17</v>
      </c>
      <c r="Y5" s="23" vm="4272">
        <f ca="1"/>
        <v>180.04</v>
      </c>
      <c r="Z5" s="23" vm="4273">
        <f ca="1"/>
        <v>182.13</v>
      </c>
      <c r="AA5" s="23" vm="4274">
        <f ca="1"/>
        <v>181.49</v>
      </c>
      <c r="AB5" s="23" vm="4275">
        <f ca="1"/>
        <v>182.35</v>
      </c>
      <c r="AC5" s="23" vm="4276">
        <f ca="1"/>
        <v>182.19</v>
      </c>
      <c r="AD5" vm="4277">
        <f ca="1"/>
        <v>182.31</v>
      </c>
      <c r="AE5" vm="4278">
        <f ca="1"/>
        <v>181.41</v>
      </c>
      <c r="AF5" vm="4279">
        <f ca="1"/>
        <v>180.81</v>
      </c>
      <c r="AG5" vm="4109">
        <f ca="1"/>
        <v>182.74</v>
      </c>
      <c r="AH5" vm="4280">
        <f ca="1"/>
        <v>181.24</v>
      </c>
      <c r="AI5" vm="4281">
        <f ca="1"/>
        <v>180.25</v>
      </c>
      <c r="AJ5" vm="4282">
        <f ca="1"/>
        <v>180.47</v>
      </c>
      <c r="AK5" vm="4283">
        <f ca="1"/>
        <v>181.35</v>
      </c>
      <c r="AL5" vm="4284">
        <f ca="1"/>
        <v>181.11</v>
      </c>
      <c r="AM5" vm="4285">
        <f ca="1"/>
        <v>180.22</v>
      </c>
      <c r="AN5" vm="4286">
        <f ca="1"/>
        <v>180.73</v>
      </c>
      <c r="AO5" vm="4287">
        <f ca="1"/>
        <v>180.75</v>
      </c>
      <c r="AP5" vm="4288">
        <f ca="1"/>
        <v>179.7</v>
      </c>
      <c r="AQ5" vm="4289">
        <f ca="1"/>
        <v>181.26</v>
      </c>
      <c r="AR5" vm="4290">
        <f ca="1"/>
        <v>181.08</v>
      </c>
      <c r="AS5" vm="4291">
        <f ca="1"/>
        <v>182.47</v>
      </c>
      <c r="AT5" vm="4292">
        <f ca="1"/>
        <v>182.84</v>
      </c>
      <c r="AU5" vm="4293">
        <f ca="1"/>
        <v>182.38</v>
      </c>
      <c r="AV5" vm="4294">
        <f ca="1"/>
        <v>179.82</v>
      </c>
      <c r="AW5" vm="4295">
        <f ca="1"/>
        <v>179.97</v>
      </c>
      <c r="AX5" vm="340">
        <f ca="1"/>
        <v>180.15</v>
      </c>
      <c r="AY5" vm="4296">
        <f ca="1"/>
        <v>179.77</v>
      </c>
      <c r="AZ5" vm="4297">
        <f ca="1"/>
        <v>178.2</v>
      </c>
      <c r="BA5" vm="4298">
        <f ca="1"/>
        <v>180.18</v>
      </c>
      <c r="BB5" vm="4299">
        <f ca="1"/>
        <v>178.26</v>
      </c>
      <c r="BC5" vm="4300">
        <f ca="1"/>
        <v>175.38</v>
      </c>
      <c r="BD5" vm="4301">
        <f ca="1"/>
        <v>177.01</v>
      </c>
      <c r="BE5" vm="4302">
        <f ca="1"/>
        <v>175.05</v>
      </c>
      <c r="BF5" vm="4259">
        <f ca="1"/>
        <v>176.69</v>
      </c>
      <c r="BG5" vm="4303">
        <f ca="1"/>
        <v>174.2</v>
      </c>
      <c r="BH5" vm="4304">
        <f ca="1"/>
        <v>171.88</v>
      </c>
      <c r="BI5" vm="4305">
        <f ca="1"/>
        <v>171.07</v>
      </c>
      <c r="BJ5" vm="4306">
        <f ca="1"/>
        <v>169.43</v>
      </c>
      <c r="BK5" vm="4307">
        <f ca="1"/>
        <v>172.66</v>
      </c>
      <c r="BL5" vm="4308">
        <f ca="1"/>
        <v>174.99</v>
      </c>
      <c r="BM5" vm="4309">
        <f ca="1"/>
        <v>174.08</v>
      </c>
      <c r="BN5" vm="4310">
        <f ca="1"/>
        <v>175.37</v>
      </c>
      <c r="BO5" vm="4311">
        <f ca="1"/>
        <v>174.64</v>
      </c>
      <c r="BP5" vm="4312">
        <f ca="1"/>
        <v>173.84</v>
      </c>
      <c r="BQ5" vm="4313">
        <f ca="1"/>
        <v>175.69</v>
      </c>
      <c r="BR5" vm="4314">
        <f ca="1"/>
        <v>175.27</v>
      </c>
      <c r="BS5" vm="4315">
        <f ca="1"/>
        <v>174.94</v>
      </c>
      <c r="BT5" vm="4316">
        <f ca="1"/>
        <v>174.49</v>
      </c>
      <c r="BU5" vm="4317">
        <f ca="1"/>
        <v>171.8</v>
      </c>
      <c r="BV5" vm="4318">
        <f ca="1"/>
        <v>173.23</v>
      </c>
      <c r="BW5" vm="4319">
        <f ca="1"/>
        <v>173.41</v>
      </c>
      <c r="BX5" vm="4320">
        <f ca="1"/>
        <v>174.86</v>
      </c>
      <c r="BY5" vm="4321">
        <f ca="1"/>
        <v>166.53</v>
      </c>
      <c r="BZ5" vm="4322">
        <f ca="1"/>
        <v>157.18</v>
      </c>
      <c r="CA5" vm="4323">
        <f ca="1"/>
        <v>155.87</v>
      </c>
      <c r="CB5" vm="4324">
        <f ca="1"/>
        <v>152.93</v>
      </c>
      <c r="CC5" vm="4325">
        <f ca="1"/>
        <v>165.16</v>
      </c>
      <c r="CD5" vm="4326">
        <f ca="1"/>
        <v>159.6</v>
      </c>
      <c r="CE5" vm="4327">
        <f ca="1"/>
        <v>162.02000000000001</v>
      </c>
      <c r="CF5" vm="4328">
        <f ca="1"/>
        <v>164.09</v>
      </c>
      <c r="CG5" vm="4329">
        <f ca="1"/>
        <v>163.56</v>
      </c>
      <c r="CH5" vm="4330">
        <f ca="1"/>
        <v>161.46</v>
      </c>
      <c r="CI5" vm="4331">
        <f ca="1"/>
        <v>162.66</v>
      </c>
      <c r="CJ5" vm="4332">
        <f ca="1"/>
        <v>159.38999999999999</v>
      </c>
      <c r="CK5" vm="4333">
        <f ca="1"/>
        <v>163.32</v>
      </c>
      <c r="CL5" vm="4334">
        <f ca="1"/>
        <v>164.9</v>
      </c>
      <c r="CM5" vm="4335">
        <f ca="1"/>
        <v>167.69</v>
      </c>
      <c r="CN5" vm="4336">
        <f ca="1"/>
        <v>167.45</v>
      </c>
      <c r="CO5" vm="4337">
        <f ca="1"/>
        <v>167.92</v>
      </c>
      <c r="CP5" vm="4338">
        <f ca="1"/>
        <v>168.9</v>
      </c>
      <c r="CQ5" vm="4339">
        <f ca="1"/>
        <v>169.14</v>
      </c>
      <c r="CR5" vm="4340">
        <f ca="1"/>
        <v>168.91</v>
      </c>
      <c r="CS5" vm="4341">
        <f ca="1"/>
        <v>171.89</v>
      </c>
      <c r="CT5" vm="4342">
        <f ca="1"/>
        <v>171.32</v>
      </c>
      <c r="CU5" vm="4343">
        <f ca="1"/>
        <v>170.05</v>
      </c>
      <c r="CV5" vm="4344">
        <f ca="1"/>
        <v>171.17</v>
      </c>
      <c r="CW5" vm="4345">
        <f ca="1"/>
        <v>172.61</v>
      </c>
      <c r="CX5" vm="4346">
        <f ca="1"/>
        <v>172.57</v>
      </c>
      <c r="CY5" vm="4347">
        <f ca="1"/>
        <v>177.3</v>
      </c>
      <c r="CZ5" vm="4348">
        <f ca="1"/>
        <v>177.7</v>
      </c>
      <c r="DA5" vm="4349">
        <f ca="1"/>
        <v>176.63</v>
      </c>
      <c r="DB5" vm="4350">
        <f ca="1"/>
        <v>178.24</v>
      </c>
      <c r="DC5" vm="4351">
        <f ca="1"/>
        <v>179.99</v>
      </c>
      <c r="DD5" vm="4295">
        <f ca="1"/>
        <v>179.97</v>
      </c>
      <c r="DE5" vm="4352">
        <f ca="1"/>
        <v>179.5</v>
      </c>
      <c r="DF5" vm="4353">
        <f ca="1"/>
        <v>175.59</v>
      </c>
      <c r="DG5" vm="4354">
        <f ca="1"/>
        <v>175.03</v>
      </c>
      <c r="DH5" vm="4355">
        <f ca="1"/>
        <v>174.33</v>
      </c>
      <c r="DI5" vm="4356">
        <f ca="1"/>
        <v>177.58</v>
      </c>
      <c r="DJ5" vm="4357">
        <f ca="1"/>
        <v>176.07</v>
      </c>
      <c r="DK5" vm="4358">
        <f ca="1"/>
        <v>176.5</v>
      </c>
      <c r="DL5" vm="4359">
        <f ca="1"/>
        <v>176.43</v>
      </c>
      <c r="DM5" vm="4360">
        <f ca="1"/>
        <v>176.57</v>
      </c>
      <c r="DN5" vm="4361">
        <f ca="1"/>
        <v>178.04</v>
      </c>
      <c r="DO5" vm="4362">
        <f ca="1"/>
        <v>177.64</v>
      </c>
      <c r="DP5" vm="4363">
        <f ca="1"/>
        <v>177.16</v>
      </c>
      <c r="DQ5" vm="4364">
        <f ca="1"/>
        <v>178.69</v>
      </c>
      <c r="DR5" vm="4365">
        <f ca="1"/>
        <v>178.72</v>
      </c>
      <c r="DS5" vm="4366">
        <f ca="1"/>
        <v>179.61</v>
      </c>
      <c r="DT5" vm="4367">
        <f ca="1"/>
        <v>179.1</v>
      </c>
      <c r="DU5" vm="4368">
        <f ca="1"/>
        <v>179.52</v>
      </c>
      <c r="DV5" vm="4369">
        <f ca="1"/>
        <v>177.35</v>
      </c>
      <c r="DW5" vm="4370">
        <f ca="1"/>
        <v>179.06</v>
      </c>
      <c r="DX5" vm="1681">
        <f ca="1"/>
        <v>177.34</v>
      </c>
      <c r="DY5" vm="4371">
        <f ca="1"/>
        <v>177.36</v>
      </c>
      <c r="DZ5" vm="4372">
        <f ca="1"/>
        <v>177.65</v>
      </c>
      <c r="EA5" vm="4373">
        <f ca="1"/>
        <v>178.49</v>
      </c>
      <c r="EB5" vm="4298">
        <f ca="1"/>
        <v>180.18</v>
      </c>
      <c r="EC5" vm="4374">
        <f ca="1"/>
        <v>178.88</v>
      </c>
      <c r="ED5" vm="4375">
        <f ca="1"/>
        <v>180.23</v>
      </c>
      <c r="EE5" vm="4376">
        <f ca="1"/>
        <v>180.89</v>
      </c>
      <c r="EF5" vm="4377">
        <f ca="1"/>
        <v>181.74</v>
      </c>
      <c r="EG5" vm="4378">
        <f ca="1"/>
        <v>183.87</v>
      </c>
      <c r="EH5" vm="4379">
        <f ca="1"/>
        <v>184.29</v>
      </c>
      <c r="EI5" vm="4380">
        <f ca="1"/>
        <v>185.18</v>
      </c>
      <c r="EJ5" vm="4381">
        <f ca="1"/>
        <v>183.7</v>
      </c>
      <c r="EK5" vm="4382">
        <f ca="1"/>
        <v>184.16</v>
      </c>
      <c r="EL5" vm="4383">
        <f ca="1"/>
        <v>184.71</v>
      </c>
      <c r="EM5" vm="4384">
        <f ca="1"/>
        <v>185.78</v>
      </c>
      <c r="EN5" vm="356">
        <f ca="1"/>
        <v>184.42</v>
      </c>
      <c r="EO5" vm="4385">
        <f ca="1"/>
        <v>184.61</v>
      </c>
      <c r="EP5" vm="4386">
        <f ca="1"/>
        <v>182.05</v>
      </c>
      <c r="EQ5" vm="4387">
        <f ca="1"/>
        <v>182.76</v>
      </c>
      <c r="ER5" vm="4388">
        <f ca="1"/>
        <v>184.25</v>
      </c>
      <c r="ES5" vm="4389">
        <f ca="1"/>
        <v>184.18</v>
      </c>
      <c r="ET5" vm="4390">
        <f ca="1"/>
        <v>183.55</v>
      </c>
      <c r="EU5" vm="4391">
        <f ca="1"/>
        <v>185.89</v>
      </c>
      <c r="EV5" vm="352">
        <f ca="1"/>
        <v>187.43</v>
      </c>
      <c r="EW5" vm="4392">
        <f ca="1"/>
        <v>186.83</v>
      </c>
      <c r="EX5" vm="4393">
        <f ca="1"/>
        <v>187.73</v>
      </c>
      <c r="EY5" vm="4394">
        <f ca="1"/>
        <v>186.62</v>
      </c>
      <c r="EZ5" vm="251">
        <f ca="1"/>
        <v>186.53</v>
      </c>
      <c r="FA5" vm="4395">
        <f ca="1"/>
        <v>185.32</v>
      </c>
      <c r="FB5" vm="345">
        <f ca="1"/>
        <v>183.63</v>
      </c>
      <c r="FC5" vm="4251">
        <f ca="1"/>
        <v>181.56</v>
      </c>
      <c r="FD5" vm="4396">
        <f ca="1"/>
        <v>183.78</v>
      </c>
      <c r="FE5" vm="4397">
        <f ca="1"/>
        <v>183.27</v>
      </c>
      <c r="FF5" vm="4398">
        <f ca="1"/>
        <v>182.86</v>
      </c>
      <c r="FG5" vm="4399">
        <f ca="1"/>
        <v>182.75</v>
      </c>
      <c r="FH5" vm="4400">
        <f ca="1"/>
        <v>183.08</v>
      </c>
      <c r="FI5" vm="4401">
        <f ca="1"/>
        <v>182.58</v>
      </c>
      <c r="FJ5" vm="4402">
        <f ca="1"/>
        <v>184.9</v>
      </c>
      <c r="FK5" vm="4403">
        <f ca="1"/>
        <v>187.54</v>
      </c>
      <c r="FL5" vm="875">
        <f ca="1"/>
        <v>186.32</v>
      </c>
      <c r="FM5" vm="4404">
        <f ca="1"/>
        <v>185.86</v>
      </c>
      <c r="FN5" vm="4405">
        <f ca="1"/>
        <v>185.82</v>
      </c>
      <c r="FO5" vm="4406">
        <f ca="1"/>
        <v>186.69</v>
      </c>
      <c r="FP5" vm="4407">
        <f ca="1"/>
        <v>186.52</v>
      </c>
      <c r="FQ5" vm="4408">
        <f ca="1"/>
        <v>185.87</v>
      </c>
      <c r="FR5" vm="4409">
        <f ca="1"/>
        <v>189.49</v>
      </c>
      <c r="FS5" vm="4410">
        <f ca="1"/>
        <v>188.04</v>
      </c>
      <c r="FT5" vm="4411">
        <f ca="1"/>
        <v>188.17</v>
      </c>
      <c r="FU5" vm="4412">
        <f ca="1"/>
        <v>188.85</v>
      </c>
      <c r="FV5" vm="4413">
        <f ca="1"/>
        <v>188.76</v>
      </c>
      <c r="FW5" vm="4414">
        <f ca="1"/>
        <v>188.62</v>
      </c>
      <c r="FX5" vm="4415">
        <f ca="1"/>
        <v>187.13</v>
      </c>
      <c r="FY5" vm="4416">
        <f ca="1"/>
        <v>186.84</v>
      </c>
      <c r="FZ5" vm="4417">
        <f ca="1"/>
        <v>188.22</v>
      </c>
      <c r="GA5" vm="4418">
        <f ca="1"/>
        <v>188.44</v>
      </c>
      <c r="GB5" vm="4419">
        <f ca="1"/>
        <v>188.29</v>
      </c>
      <c r="GC5" vm="4420">
        <f ca="1"/>
        <v>187.71</v>
      </c>
      <c r="GD5" vm="1207">
        <f ca="1"/>
        <v>187.52</v>
      </c>
      <c r="GE5" vm="4421">
        <f ca="1"/>
        <v>190.33</v>
      </c>
      <c r="GF5" vm="4422">
        <f ca="1"/>
        <v>188.96</v>
      </c>
      <c r="GG5" vm="4423">
        <f ca="1"/>
        <v>188.63</v>
      </c>
      <c r="GH5" vm="4424">
        <f ca="1"/>
        <v>188.13</v>
      </c>
      <c r="GI5" vm="4425">
        <f ca="1"/>
        <v>188.31</v>
      </c>
      <c r="GJ5" vm="4426">
        <f ca="1"/>
        <v>189.54</v>
      </c>
      <c r="GK5" vm="4427">
        <f ca="1"/>
        <v>189.21</v>
      </c>
      <c r="GL5" vm="4428">
        <f ca="1"/>
        <v>188.48</v>
      </c>
      <c r="GM5" vm="4429">
        <f ca="1"/>
        <v>188.71</v>
      </c>
      <c r="GN5" vm="4430">
        <f ca="1"/>
        <v>188.27</v>
      </c>
      <c r="GO5" vm="4431">
        <f ca="1"/>
        <v>186.72</v>
      </c>
      <c r="GP5" vm="4432">
        <f ca="1"/>
        <v>188.57</v>
      </c>
      <c r="GQ5" vm="4433">
        <f ca="1"/>
        <v>189.2</v>
      </c>
      <c r="GR5" vm="4434">
        <f ca="1"/>
        <v>189.7</v>
      </c>
      <c r="GS5" vm="4435">
        <f ca="1"/>
        <v>190.13</v>
      </c>
      <c r="GT5" vm="4436">
        <f ca="1"/>
        <v>190.58</v>
      </c>
      <c r="GU5" vm="4437">
        <f ca="1"/>
        <v>191.25</v>
      </c>
      <c r="GV5" vm="4438">
        <f ca="1"/>
        <v>191.19</v>
      </c>
      <c r="GW5" vm="4439">
        <f ca="1"/>
        <v>190.35</v>
      </c>
      <c r="GX5" vm="4440">
        <f ca="1"/>
        <v>190.97</v>
      </c>
      <c r="GY5" vm="708">
        <f ca="1"/>
        <v>189.39</v>
      </c>
      <c r="GZ5" vm="4441">
        <f ca="1"/>
        <v>185.12</v>
      </c>
      <c r="HA5" vm="4442">
        <f ca="1"/>
        <v>186.92</v>
      </c>
      <c r="HB5" vm="4443">
        <f ca="1"/>
        <v>188.47</v>
      </c>
      <c r="HC5" vm="4412">
        <f ca="1"/>
        <v>188.85</v>
      </c>
      <c r="HD5" vm="4444">
        <f ca="1"/>
        <v>187.06</v>
      </c>
      <c r="HE5" vm="4445">
        <f ca="1"/>
        <v>188.01</v>
      </c>
      <c r="HF5" vm="4446">
        <f ca="1"/>
        <v>189.89</v>
      </c>
      <c r="HG5" vm="4447">
        <f ca="1"/>
        <v>190.76</v>
      </c>
      <c r="HH5" vm="4448">
        <f ca="1"/>
        <v>189.84</v>
      </c>
      <c r="HI5" vm="4449">
        <f ca="1"/>
        <v>190.74</v>
      </c>
      <c r="HJ5" vm="889">
        <f ca="1"/>
        <v>191.26</v>
      </c>
      <c r="HK5" vm="4450">
        <f ca="1"/>
        <v>192.11</v>
      </c>
      <c r="HL5" vm="4451">
        <f ca="1"/>
        <v>190.46</v>
      </c>
      <c r="HM5" vm="4452">
        <f ca="1"/>
        <v>188.33</v>
      </c>
      <c r="HN5" vm="1207">
        <f ca="1"/>
        <v>187.52</v>
      </c>
      <c r="HO5" vm="4453">
        <f ca="1"/>
        <v>187.93</v>
      </c>
      <c r="HP5" vm="4110">
        <f ca="1"/>
        <v>187.47</v>
      </c>
      <c r="HQ5" vm="4454">
        <f ca="1"/>
        <v>186.23</v>
      </c>
      <c r="HR5" vm="4455">
        <f ca="1"/>
        <v>187.32</v>
      </c>
      <c r="HS5" vm="4456">
        <f ca="1"/>
        <v>186</v>
      </c>
      <c r="HT5" vm="4457">
        <f ca="1"/>
        <v>187.56</v>
      </c>
      <c r="HU5" vm="4458">
        <f ca="1"/>
        <v>188.64</v>
      </c>
      <c r="HV5" vm="1200">
        <f ca="1"/>
        <v>189.73</v>
      </c>
      <c r="HW5" vm="4459">
        <f ca="1"/>
        <v>190.18</v>
      </c>
      <c r="HX5" vm="4460">
        <f ca="1"/>
        <v>188.03</v>
      </c>
      <c r="HY5" vm="4461">
        <f ca="1"/>
        <v>187.34</v>
      </c>
      <c r="HZ5" vm="4462">
        <f ca="1"/>
        <v>184.88</v>
      </c>
      <c r="IA5" vm="4463">
        <f ca="1"/>
        <v>184.99</v>
      </c>
      <c r="IB5" vm="248">
        <f ca="1"/>
        <v>184.43</v>
      </c>
      <c r="IC5" vm="249">
        <f ca="1"/>
        <v>182.18</v>
      </c>
      <c r="ID5" vm="250">
        <f ca="1"/>
        <v>185.76</v>
      </c>
      <c r="IE5" vm="251">
        <f ca="1"/>
        <v>186.53</v>
      </c>
      <c r="IF5" vm="252">
        <f ca="1"/>
        <v>189.18</v>
      </c>
      <c r="IG5" vm="253">
        <f ca="1"/>
        <v>190.5</v>
      </c>
      <c r="IH5" vm="254">
        <f ca="1"/>
        <v>191.53</v>
      </c>
      <c r="II5" vm="255">
        <f ca="1"/>
        <v>190.22</v>
      </c>
      <c r="IJ5" vm="256">
        <f ca="1"/>
        <v>190.04</v>
      </c>
      <c r="IK5" vm="257">
        <f ca="1"/>
        <v>191.49</v>
      </c>
      <c r="IL5" vm="258">
        <f ca="1"/>
        <v>191.55</v>
      </c>
      <c r="IM5" vm="259">
        <f ca="1"/>
        <v>192</v>
      </c>
      <c r="IN5" vm="260">
        <f ca="1"/>
        <v>190.85</v>
      </c>
      <c r="IO5" vm="261">
        <f ca="1"/>
        <v>190.49</v>
      </c>
      <c r="IP5" vm="262">
        <f ca="1"/>
        <v>193.17</v>
      </c>
      <c r="IQ5" vm="263">
        <f ca="1"/>
        <v>194.73</v>
      </c>
      <c r="IR5" vm="264">
        <f ca="1"/>
        <v>193.41</v>
      </c>
      <c r="IS5" vm="265">
        <f ca="1"/>
        <v>193.65</v>
      </c>
      <c r="IT5" vm="266">
        <f ca="1"/>
        <v>192.29</v>
      </c>
      <c r="IU5" vm="267">
        <f ca="1"/>
        <v>191.77</v>
      </c>
      <c r="IV5" vm="268">
        <f ca="1"/>
        <v>192.18</v>
      </c>
      <c r="IW5" vm="5">
        <f ca="1"/>
        <v>192.88</v>
      </c>
    </row>
    <row r="6" spans="1:257" ht="16" x14ac:dyDescent="0.2">
      <c r="A6" s="10" t="e" vm="269">
        <v>#VALUE!</v>
      </c>
      <c r="B6" s="23" t="str" cm="1">
        <f t="array" aca="1" ref="B6" ca="1">_FV(A6,"ticker symbol",TRUE)</f>
        <v>QQQE</v>
      </c>
      <c r="C6" s="23" t="str" cm="1">
        <f t="array" aca="1" ref="C6" ca="1">_FV(A6,"Name")</f>
        <v>Direxion:NASDAQ-100 EWI</v>
      </c>
      <c r="D6" cm="1" vm="4464">
        <f t="array" aca="1" ref="D6:IW6" ca="1">TRANSPOSE(_xlfn.STOCKHISTORY(B6, WORKDAY(TODAY(), -265), TODAY(), 0, 0, 1))</f>
        <v>94.86</v>
      </c>
      <c r="E6" s="23" vm="4465">
        <f ca="1"/>
        <v>94.32</v>
      </c>
      <c r="F6" s="23" vm="4466">
        <f ca="1"/>
        <v>90.96</v>
      </c>
      <c r="G6" s="23" vm="4467">
        <f ca="1"/>
        <v>90.22</v>
      </c>
      <c r="H6" s="23" vm="4468">
        <f ca="1"/>
        <v>91.15</v>
      </c>
      <c r="I6" s="23" vm="4469">
        <f ca="1"/>
        <v>91.14</v>
      </c>
      <c r="J6" s="23" vm="4470">
        <f ca="1"/>
        <v>92.16</v>
      </c>
      <c r="K6" s="23" vm="4470">
        <f ca="1"/>
        <v>92.16</v>
      </c>
      <c r="L6" s="23" vm="4471">
        <f ca="1"/>
        <v>91.28</v>
      </c>
      <c r="M6" s="23" vm="4472">
        <f ca="1"/>
        <v>90.15</v>
      </c>
      <c r="N6" s="23" vm="4473">
        <f ca="1"/>
        <v>89.77</v>
      </c>
      <c r="O6" s="23" vm="4474">
        <f ca="1"/>
        <v>89.72</v>
      </c>
      <c r="P6" s="23" vm="4475">
        <f ca="1"/>
        <v>91.24</v>
      </c>
      <c r="Q6" s="23" vm="4476">
        <f ca="1"/>
        <v>91.9</v>
      </c>
      <c r="R6" s="23" vm="2021">
        <f ca="1"/>
        <v>91.04</v>
      </c>
      <c r="S6" s="23" vm="4466">
        <f ca="1"/>
        <v>90.96</v>
      </c>
      <c r="T6" s="23" vm="4477">
        <f ca="1"/>
        <v>89.66</v>
      </c>
      <c r="U6" s="23" vm="2027">
        <f ca="1"/>
        <v>89.56</v>
      </c>
      <c r="V6" s="23" vm="4472">
        <f ca="1"/>
        <v>90.15</v>
      </c>
      <c r="W6" s="23" vm="4478">
        <f ca="1"/>
        <v>91.45</v>
      </c>
      <c r="X6" s="23" vm="4479">
        <f ca="1"/>
        <v>91.81</v>
      </c>
      <c r="Y6" s="23" vm="4480">
        <f ca="1"/>
        <v>92.9</v>
      </c>
      <c r="Z6" s="23" vm="4481">
        <f ca="1"/>
        <v>93.71</v>
      </c>
      <c r="AA6" s="23" vm="4482">
        <f ca="1"/>
        <v>94.36</v>
      </c>
      <c r="AB6" s="23" vm="4483">
        <f ca="1"/>
        <v>94.49</v>
      </c>
      <c r="AC6" s="23" vm="4484">
        <f ca="1"/>
        <v>94.01</v>
      </c>
      <c r="AD6" vm="4480">
        <f ca="1"/>
        <v>92.9</v>
      </c>
      <c r="AE6" vm="153">
        <f ca="1"/>
        <v>93.02</v>
      </c>
      <c r="AF6" vm="4485">
        <f ca="1"/>
        <v>93.15</v>
      </c>
      <c r="AG6" vm="4486">
        <f ca="1"/>
        <v>94.18</v>
      </c>
      <c r="AH6" vm="4486">
        <f ca="1"/>
        <v>94.18</v>
      </c>
      <c r="AI6" vm="4487">
        <f ca="1"/>
        <v>93.76</v>
      </c>
      <c r="AJ6" vm="4488">
        <f ca="1"/>
        <v>94.39</v>
      </c>
      <c r="AK6" vm="4489">
        <f ca="1"/>
        <v>95.33</v>
      </c>
      <c r="AL6" vm="4490">
        <f ca="1"/>
        <v>95.44</v>
      </c>
      <c r="AM6" vm="4491">
        <f ca="1"/>
        <v>94.83</v>
      </c>
      <c r="AN6" vm="4492">
        <f ca="1"/>
        <v>95.66</v>
      </c>
      <c r="AO6" vm="2044">
        <f ca="1"/>
        <v>95.47</v>
      </c>
      <c r="AP6" vm="4493">
        <f ca="1"/>
        <v>95.6</v>
      </c>
      <c r="AQ6" vm="3186">
        <f ca="1"/>
        <v>96.69</v>
      </c>
      <c r="AR6" vm="4494">
        <f ca="1"/>
        <v>96.81</v>
      </c>
      <c r="AS6" vm="4495">
        <f ca="1"/>
        <v>97.98</v>
      </c>
      <c r="AT6" vm="4496">
        <f ca="1"/>
        <v>97.73</v>
      </c>
      <c r="AU6" vm="4497">
        <f ca="1"/>
        <v>97.26</v>
      </c>
      <c r="AV6" vm="4498">
        <f ca="1"/>
        <v>95.39</v>
      </c>
      <c r="AW6" vm="4499">
        <f ca="1"/>
        <v>94.68</v>
      </c>
      <c r="AX6" vm="4500">
        <f ca="1"/>
        <v>93.73</v>
      </c>
      <c r="AY6" vm="4501">
        <f ca="1"/>
        <v>93.77</v>
      </c>
      <c r="AZ6" vm="2845">
        <f ca="1"/>
        <v>91.87</v>
      </c>
      <c r="BA6" vm="4502">
        <f ca="1"/>
        <v>92.93</v>
      </c>
      <c r="BB6" vm="4503">
        <f ca="1"/>
        <v>91.75</v>
      </c>
      <c r="BC6" vm="4504">
        <f ca="1"/>
        <v>91.13</v>
      </c>
      <c r="BD6" vm="4505">
        <f ca="1"/>
        <v>92.06</v>
      </c>
      <c r="BE6" vm="4506">
        <f ca="1"/>
        <v>89.85</v>
      </c>
      <c r="BF6" vm="1333">
        <f ca="1"/>
        <v>90.51</v>
      </c>
      <c r="BG6" vm="4507">
        <f ca="1"/>
        <v>88.06</v>
      </c>
      <c r="BH6" vm="4508">
        <f ca="1"/>
        <v>87.18</v>
      </c>
      <c r="BI6" vm="1487">
        <f ca="1"/>
        <v>87.48</v>
      </c>
      <c r="BJ6" vm="4509">
        <f ca="1"/>
        <v>86.24</v>
      </c>
      <c r="BK6" vm="4510">
        <f ca="1"/>
        <v>88.13</v>
      </c>
      <c r="BL6" vm="2018">
        <f ca="1"/>
        <v>89.57</v>
      </c>
      <c r="BM6" vm="4511">
        <f ca="1"/>
        <v>88.65</v>
      </c>
      <c r="BN6" vm="4512">
        <f ca="1"/>
        <v>89.33</v>
      </c>
      <c r="BO6" vm="1498">
        <f ca="1"/>
        <v>89.01</v>
      </c>
      <c r="BP6" vm="534">
        <f ca="1"/>
        <v>88.89</v>
      </c>
      <c r="BQ6" vm="4513">
        <f ca="1"/>
        <v>90.73</v>
      </c>
      <c r="BR6" vm="2842">
        <f ca="1"/>
        <v>90.87</v>
      </c>
      <c r="BS6" vm="4514">
        <f ca="1"/>
        <v>90.03</v>
      </c>
      <c r="BT6" vm="3135">
        <f ca="1"/>
        <v>89.23</v>
      </c>
      <c r="BU6" vm="1491">
        <f ca="1"/>
        <v>87.19</v>
      </c>
      <c r="BV6" vm="1491">
        <f ca="1"/>
        <v>87.19</v>
      </c>
      <c r="BW6" vm="4515">
        <f ca="1"/>
        <v>87.64</v>
      </c>
      <c r="BX6" vm="3149">
        <f ca="1"/>
        <v>88.22</v>
      </c>
      <c r="BY6" vm="4516">
        <f ca="1"/>
        <v>83.92</v>
      </c>
      <c r="BZ6" vm="4517">
        <f ca="1"/>
        <v>78.66</v>
      </c>
      <c r="CA6" vm="4518">
        <f ca="1"/>
        <v>78.540000000000006</v>
      </c>
      <c r="CB6" vm="4519">
        <f ca="1"/>
        <v>76.98</v>
      </c>
      <c r="CC6" vm="968">
        <f ca="1"/>
        <v>85.17</v>
      </c>
      <c r="CD6" vm="1952">
        <f ca="1"/>
        <v>81.790000000000006</v>
      </c>
      <c r="CE6" vm="4520">
        <f ca="1"/>
        <v>82.99</v>
      </c>
      <c r="CF6" vm="4521">
        <f ca="1"/>
        <v>83.59</v>
      </c>
      <c r="CG6" vm="4522">
        <f ca="1"/>
        <v>83.84</v>
      </c>
      <c r="CH6" vm="4523">
        <f ca="1"/>
        <v>82.13</v>
      </c>
      <c r="CI6" vm="4524">
        <f ca="1"/>
        <v>82.46</v>
      </c>
      <c r="CJ6" vm="4525">
        <f ca="1"/>
        <v>80.73</v>
      </c>
      <c r="CK6" vm="4526">
        <f ca="1"/>
        <v>82.59</v>
      </c>
      <c r="CL6" vm="4527">
        <f ca="1"/>
        <v>84.04</v>
      </c>
      <c r="CM6" vm="1705">
        <f ca="1"/>
        <v>86.34</v>
      </c>
      <c r="CN6" vm="4528">
        <f ca="1"/>
        <v>86.8</v>
      </c>
      <c r="CO6" vm="4529">
        <f ca="1"/>
        <v>87.05</v>
      </c>
      <c r="CP6" vm="4530">
        <f ca="1"/>
        <v>87.58</v>
      </c>
      <c r="CQ6" vm="4531">
        <f ca="1"/>
        <v>87.69</v>
      </c>
      <c r="CR6" vm="4532">
        <f ca="1"/>
        <v>87.83</v>
      </c>
      <c r="CS6" vm="2852">
        <f ca="1"/>
        <v>89.52</v>
      </c>
      <c r="CT6" vm="4533">
        <f ca="1"/>
        <v>89.27</v>
      </c>
      <c r="CU6" vm="590">
        <f ca="1"/>
        <v>88.47</v>
      </c>
      <c r="CV6" vm="4534">
        <f ca="1"/>
        <v>89.09</v>
      </c>
      <c r="CW6" vm="3137">
        <f ca="1"/>
        <v>90.01</v>
      </c>
      <c r="CX6" vm="4535">
        <f ca="1"/>
        <v>90.06</v>
      </c>
      <c r="CY6" vm="2051">
        <f ca="1"/>
        <v>93.42</v>
      </c>
      <c r="CZ6" vm="4536">
        <f ca="1"/>
        <v>94.27</v>
      </c>
      <c r="DA6" vm="4537">
        <f ca="1"/>
        <v>94.38</v>
      </c>
      <c r="DB6" vm="4538">
        <f ca="1"/>
        <v>94.7</v>
      </c>
      <c r="DC6" vm="4539">
        <f ca="1"/>
        <v>95.38</v>
      </c>
      <c r="DD6" vm="4540">
        <f ca="1"/>
        <v>95.3</v>
      </c>
      <c r="DE6" vm="2036">
        <f ca="1"/>
        <v>95.2</v>
      </c>
      <c r="DF6" vm="4541">
        <f ca="1"/>
        <v>93.49</v>
      </c>
      <c r="DG6" vm="4542">
        <f ca="1"/>
        <v>93.51</v>
      </c>
      <c r="DH6" vm="2851">
        <f ca="1"/>
        <v>92.73</v>
      </c>
      <c r="DI6" vm="4543">
        <f ca="1"/>
        <v>94.44</v>
      </c>
      <c r="DJ6" vm="2052">
        <f ca="1"/>
        <v>93.85</v>
      </c>
      <c r="DK6" vm="4481">
        <f ca="1"/>
        <v>93.71</v>
      </c>
      <c r="DL6" vm="1330">
        <f ca="1"/>
        <v>93.57</v>
      </c>
      <c r="DM6" vm="4544">
        <f ca="1"/>
        <v>94.2</v>
      </c>
      <c r="DN6" vm="4545">
        <f ca="1"/>
        <v>95.15</v>
      </c>
      <c r="DO6" vm="4498">
        <f ca="1"/>
        <v>95.39</v>
      </c>
      <c r="DP6" vm="4546">
        <f ca="1"/>
        <v>94.85</v>
      </c>
      <c r="DQ6" vm="4547">
        <f ca="1"/>
        <v>95.8</v>
      </c>
      <c r="DR6" vm="1901">
        <f ca="1"/>
        <v>95.81</v>
      </c>
      <c r="DS6" vm="4548">
        <f ca="1"/>
        <v>96.62</v>
      </c>
      <c r="DT6" vm="4549">
        <f ca="1"/>
        <v>96.37</v>
      </c>
      <c r="DU6" vm="4550">
        <f ca="1"/>
        <v>96.43</v>
      </c>
      <c r="DV6" vm="4551">
        <f ca="1"/>
        <v>94.84</v>
      </c>
      <c r="DW6" vm="4552">
        <f ca="1"/>
        <v>96.28</v>
      </c>
      <c r="DX6" vm="4553">
        <f ca="1"/>
        <v>95.09</v>
      </c>
      <c r="DY6" vm="4554">
        <f ca="1"/>
        <v>95.14</v>
      </c>
      <c r="DZ6" vm="4555">
        <f ca="1"/>
        <v>94.88</v>
      </c>
      <c r="EA6" vm="4493">
        <f ca="1"/>
        <v>95.6</v>
      </c>
      <c r="EB6" vm="4556">
        <f ca="1"/>
        <v>97.12</v>
      </c>
      <c r="EC6" vm="4557">
        <f ca="1"/>
        <v>96.63</v>
      </c>
      <c r="ED6" vm="4558">
        <f ca="1"/>
        <v>97.32</v>
      </c>
      <c r="EE6" vm="4559">
        <f ca="1"/>
        <v>97.51</v>
      </c>
      <c r="EF6" vm="4560">
        <f ca="1"/>
        <v>98.31</v>
      </c>
      <c r="EG6" vm="4561">
        <f ca="1"/>
        <v>98.35</v>
      </c>
      <c r="EH6" vm="4562">
        <f ca="1"/>
        <v>98.71</v>
      </c>
      <c r="EI6" vm="4563">
        <f ca="1"/>
        <v>99.45</v>
      </c>
      <c r="EJ6" vm="4564">
        <f ca="1"/>
        <v>98.66</v>
      </c>
      <c r="EK6" vm="4565">
        <f ca="1"/>
        <v>99.11</v>
      </c>
      <c r="EL6" vm="4566">
        <f ca="1"/>
        <v>99.37</v>
      </c>
      <c r="EM6" vm="4567">
        <f ca="1"/>
        <v>98.96</v>
      </c>
      <c r="EN6" vm="4568">
        <f ca="1"/>
        <v>98.47</v>
      </c>
      <c r="EO6" vm="4569">
        <f ca="1"/>
        <v>98.81</v>
      </c>
      <c r="EP6" vm="62">
        <f ca="1"/>
        <v>98.18</v>
      </c>
      <c r="EQ6" vm="4570">
        <f ca="1"/>
        <v>98.26</v>
      </c>
      <c r="ER6" vm="4571">
        <f ca="1"/>
        <v>99.18</v>
      </c>
      <c r="ES6" vm="4572">
        <f ca="1"/>
        <v>99.13</v>
      </c>
      <c r="ET6" vm="4573">
        <f ca="1"/>
        <v>99.54</v>
      </c>
      <c r="EU6" vm="3265">
        <f ca="1"/>
        <v>99.91</v>
      </c>
      <c r="EV6" vm="3267">
        <f ca="1"/>
        <v>100.32</v>
      </c>
      <c r="EW6" vm="3252">
        <f ca="1"/>
        <v>100.08</v>
      </c>
      <c r="EX6" vm="3204">
        <f ca="1"/>
        <v>100.38</v>
      </c>
      <c r="EY6" vm="3267">
        <f ca="1"/>
        <v>100.32</v>
      </c>
      <c r="EZ6" vm="4574">
        <f ca="1"/>
        <v>100.26</v>
      </c>
      <c r="FA6" vm="4575">
        <f ca="1"/>
        <v>99.96</v>
      </c>
      <c r="FB6" vm="4576">
        <f ca="1"/>
        <v>98.36</v>
      </c>
      <c r="FC6" vm="4577">
        <f ca="1"/>
        <v>96.83</v>
      </c>
      <c r="FD6" vm="4578">
        <f ca="1"/>
        <v>98.39</v>
      </c>
      <c r="FE6" vm="4579">
        <f ca="1"/>
        <v>97.58</v>
      </c>
      <c r="FF6" vm="4580">
        <f ca="1"/>
        <v>97.97</v>
      </c>
      <c r="FG6" vm="4581">
        <f ca="1"/>
        <v>97.84</v>
      </c>
      <c r="FH6" vm="4582">
        <f ca="1"/>
        <v>97.65</v>
      </c>
      <c r="FI6" vm="4583">
        <f ca="1"/>
        <v>97.18</v>
      </c>
      <c r="FJ6" vm="4584">
        <f ca="1"/>
        <v>98.37</v>
      </c>
      <c r="FK6" vm="4585">
        <f ca="1"/>
        <v>99.22</v>
      </c>
      <c r="FL6" vm="4586">
        <f ca="1"/>
        <v>98.59</v>
      </c>
      <c r="FM6" vm="4587">
        <f ca="1"/>
        <v>98.28</v>
      </c>
      <c r="FN6" vm="4588">
        <f ca="1"/>
        <v>98.44</v>
      </c>
      <c r="FO6" vm="4589">
        <f ca="1"/>
        <v>97.9</v>
      </c>
      <c r="FP6" vm="4590">
        <f ca="1"/>
        <v>97.64</v>
      </c>
      <c r="FQ6" vm="4591">
        <f ca="1"/>
        <v>97.22</v>
      </c>
      <c r="FR6" vm="4592">
        <f ca="1"/>
        <v>98.9</v>
      </c>
      <c r="FS6" vm="4593">
        <f ca="1"/>
        <v>98.05</v>
      </c>
      <c r="FT6" vm="4594">
        <f ca="1"/>
        <v>98.08</v>
      </c>
      <c r="FU6" vm="272">
        <f ca="1"/>
        <v>98.42</v>
      </c>
      <c r="FV6" vm="4595">
        <f ca="1"/>
        <v>98.78</v>
      </c>
      <c r="FW6" vm="4593">
        <f ca="1"/>
        <v>98.05</v>
      </c>
      <c r="FX6" vm="4596">
        <f ca="1"/>
        <v>97.23</v>
      </c>
      <c r="FY6" vm="4591">
        <f ca="1"/>
        <v>97.22</v>
      </c>
      <c r="FZ6" vm="4597">
        <f ca="1"/>
        <v>97.77</v>
      </c>
      <c r="GA6" vm="4598">
        <f ca="1"/>
        <v>97.94</v>
      </c>
      <c r="GB6" vm="4599">
        <f ca="1"/>
        <v>98.32</v>
      </c>
      <c r="GC6" vm="4600">
        <f ca="1"/>
        <v>98.57</v>
      </c>
      <c r="GD6" vm="4601">
        <f ca="1"/>
        <v>97.75</v>
      </c>
      <c r="GE6" vm="4602">
        <f ca="1"/>
        <v>99.07</v>
      </c>
      <c r="GF6" vm="4603">
        <f ca="1"/>
        <v>98.98</v>
      </c>
      <c r="GG6" vm="4604">
        <f ca="1"/>
        <v>99.29</v>
      </c>
      <c r="GH6" vm="4605">
        <f ca="1"/>
        <v>99.26</v>
      </c>
      <c r="GI6" vm="4606">
        <f ca="1"/>
        <v>99.76</v>
      </c>
      <c r="GJ6" vm="4607">
        <f ca="1"/>
        <v>100.88</v>
      </c>
      <c r="GK6" vm="4608">
        <f ca="1"/>
        <v>100.84</v>
      </c>
      <c r="GL6" vm="4609">
        <f ca="1"/>
        <v>101.3</v>
      </c>
      <c r="GM6" vm="4607">
        <f ca="1"/>
        <v>100.88</v>
      </c>
      <c r="GN6" vm="4610">
        <f ca="1"/>
        <v>100.69</v>
      </c>
      <c r="GO6" vm="4611">
        <f ca="1"/>
        <v>100.05</v>
      </c>
      <c r="GP6" vm="4612">
        <f ca="1"/>
        <v>101.02</v>
      </c>
      <c r="GQ6" vm="4613">
        <f ca="1"/>
        <v>101.71</v>
      </c>
      <c r="GR6" vm="4614">
        <f ca="1"/>
        <v>101.61</v>
      </c>
      <c r="GS6" vm="4615">
        <f ca="1"/>
        <v>102.18</v>
      </c>
      <c r="GT6" vm="4616">
        <f ca="1"/>
        <v>102.73</v>
      </c>
      <c r="GU6" vm="4617">
        <f ca="1"/>
        <v>102.76</v>
      </c>
      <c r="GV6" vm="4618">
        <f ca="1"/>
        <v>103.12</v>
      </c>
      <c r="GW6" vm="4619">
        <f ca="1"/>
        <v>102.42</v>
      </c>
      <c r="GX6" vm="4620">
        <f ca="1"/>
        <v>103.5</v>
      </c>
      <c r="GY6" vm="4621">
        <f ca="1"/>
        <v>102.95</v>
      </c>
      <c r="GZ6" vm="4622">
        <f ca="1"/>
        <v>99.77</v>
      </c>
      <c r="HA6" vm="4623">
        <f ca="1"/>
        <v>101.35</v>
      </c>
      <c r="HB6" vm="4624">
        <f ca="1"/>
        <v>101.47</v>
      </c>
      <c r="HC6" vm="4625">
        <f ca="1"/>
        <v>101.85</v>
      </c>
      <c r="HD6" vm="4626">
        <f ca="1"/>
        <v>101.28</v>
      </c>
      <c r="HE6" vm="4627">
        <f ca="1"/>
        <v>101.86</v>
      </c>
      <c r="HF6" vm="286">
        <f ca="1"/>
        <v>103.24</v>
      </c>
      <c r="HG6" vm="4628">
        <f ca="1"/>
        <v>103.77</v>
      </c>
      <c r="HH6" vm="4629">
        <f ca="1"/>
        <v>102.84</v>
      </c>
      <c r="HI6" vm="4630">
        <f ca="1"/>
        <v>103.54</v>
      </c>
      <c r="HJ6" vm="4631">
        <f ca="1"/>
        <v>103.99</v>
      </c>
      <c r="HK6" vm="4632">
        <f ca="1"/>
        <v>105.23</v>
      </c>
      <c r="HL6" vm="4633">
        <f ca="1"/>
        <v>104.95</v>
      </c>
      <c r="HM6" vm="4634">
        <f ca="1"/>
        <v>104</v>
      </c>
      <c r="HN6" vm="3234">
        <f ca="1"/>
        <v>103.16</v>
      </c>
      <c r="HO6" vm="4635">
        <f ca="1"/>
        <v>103.7</v>
      </c>
      <c r="HP6" vm="4636">
        <f ca="1"/>
        <v>103.57</v>
      </c>
      <c r="HQ6" vm="4637">
        <f ca="1"/>
        <v>101.88</v>
      </c>
      <c r="HR6" vm="4638">
        <f ca="1"/>
        <v>102.65</v>
      </c>
      <c r="HS6" vm="4639">
        <f ca="1"/>
        <v>101.09</v>
      </c>
      <c r="HT6" vm="4640">
        <f ca="1"/>
        <v>101.08</v>
      </c>
      <c r="HU6" vm="4641">
        <f ca="1"/>
        <v>102.19</v>
      </c>
      <c r="HV6" vm="4642">
        <f ca="1"/>
        <v>102.39</v>
      </c>
      <c r="HW6" vm="4643">
        <f ca="1"/>
        <v>102.45</v>
      </c>
      <c r="HX6" vm="3256">
        <f ca="1"/>
        <v>100.82</v>
      </c>
      <c r="HY6" vm="3201">
        <f ca="1"/>
        <v>100.63</v>
      </c>
      <c r="HZ6" vm="4644">
        <f ca="1"/>
        <v>99.51</v>
      </c>
      <c r="IA6" vm="4645">
        <f ca="1"/>
        <v>99.02</v>
      </c>
      <c r="IB6" vm="270">
        <f ca="1"/>
        <v>99.05</v>
      </c>
      <c r="IC6" vm="271">
        <f ca="1"/>
        <v>96.91</v>
      </c>
      <c r="ID6" vm="272">
        <f ca="1"/>
        <v>98.42</v>
      </c>
      <c r="IE6" vm="273">
        <f ca="1"/>
        <v>99.58</v>
      </c>
      <c r="IF6" vm="274">
        <f ca="1"/>
        <v>100.61</v>
      </c>
      <c r="IG6" vm="275">
        <f ca="1"/>
        <v>101.22</v>
      </c>
      <c r="IH6" vm="276">
        <f ca="1"/>
        <v>102.15</v>
      </c>
      <c r="II6" vm="277">
        <f ca="1"/>
        <v>101.78</v>
      </c>
      <c r="IJ6" vm="278">
        <f ca="1"/>
        <v>102.78</v>
      </c>
      <c r="IK6" vm="279">
        <f ca="1"/>
        <v>103.92</v>
      </c>
      <c r="IL6" vm="280">
        <f ca="1"/>
        <v>103.59</v>
      </c>
      <c r="IM6" vm="281">
        <f ca="1"/>
        <v>104.08</v>
      </c>
      <c r="IN6" vm="282">
        <f ca="1"/>
        <v>103.55</v>
      </c>
      <c r="IO6" vm="283">
        <f ca="1"/>
        <v>103.46</v>
      </c>
      <c r="IP6" vm="284">
        <f ca="1"/>
        <v>104.44</v>
      </c>
      <c r="IQ6" vm="285">
        <f ca="1"/>
        <v>104.43</v>
      </c>
      <c r="IR6" vm="286">
        <f ca="1"/>
        <v>103.24</v>
      </c>
      <c r="IS6" vm="287">
        <f ca="1"/>
        <v>103.03</v>
      </c>
      <c r="IT6" vm="288">
        <f ca="1"/>
        <v>102.8</v>
      </c>
      <c r="IU6" vm="289">
        <f ca="1"/>
        <v>101.55</v>
      </c>
      <c r="IV6" vm="290">
        <f ca="1"/>
        <v>102.49</v>
      </c>
      <c r="IW6" vm="6">
        <f ca="1"/>
        <v>103.27</v>
      </c>
    </row>
    <row r="7" spans="1:257" ht="16" x14ac:dyDescent="0.2">
      <c r="A7" s="10" t="e" vm="291">
        <v>#VALUE!</v>
      </c>
      <c r="B7" s="23" t="str" cm="1">
        <f t="array" aca="1" ref="B7" ca="1">_FV(A7,"ticker symbol",TRUE)</f>
        <v>EDOW</v>
      </c>
      <c r="C7" s="23" t="str" cm="1">
        <f t="array" aca="1" ref="C7" ca="1">_FV(A7,"Name")</f>
        <v>FT:Dow 30 Equal Weight</v>
      </c>
      <c r="D7" cm="1" vm="4646">
        <f t="array" aca="1" ref="D7:IW7" ca="1">TRANSPOSE(_xlfn.STOCKHISTORY(B7, WORKDAY(TODAY(), -265), TODAY(), 0, 0, 1))</f>
        <v>37.129399999999997</v>
      </c>
      <c r="E7" s="23" vm="4647">
        <f ca="1"/>
        <v>36.9754</v>
      </c>
      <c r="F7" s="23" vm="824">
        <f ca="1"/>
        <v>36.14</v>
      </c>
      <c r="G7" s="23" vm="4648">
        <f ca="1"/>
        <v>36.228200000000001</v>
      </c>
      <c r="H7" s="23" vm="4649">
        <f ca="1"/>
        <v>36.543300000000002</v>
      </c>
      <c r="I7" s="23" vm="4650">
        <f ca="1"/>
        <v>36.589799999999997</v>
      </c>
      <c r="J7" s="23" vm="4651">
        <f ca="1"/>
        <v>36.862099999999998</v>
      </c>
      <c r="K7" s="23" vm="4652">
        <f ca="1"/>
        <v>36.9499</v>
      </c>
      <c r="L7" s="23" vm="4653">
        <f ca="1"/>
        <v>36.649700000000003</v>
      </c>
      <c r="M7" s="23" vm="4654">
        <f ca="1"/>
        <v>36.384399999999999</v>
      </c>
      <c r="N7" s="23" vm="4655">
        <f ca="1"/>
        <v>36.270000000000003</v>
      </c>
      <c r="O7" s="23" vm="4656">
        <f ca="1"/>
        <v>36.197800000000001</v>
      </c>
      <c r="P7" s="23" vm="4657">
        <f ca="1"/>
        <v>36.356200000000001</v>
      </c>
      <c r="Q7" s="23" vm="4658">
        <f ca="1"/>
        <v>36.42</v>
      </c>
      <c r="R7" s="23" vm="4659">
        <f ca="1"/>
        <v>36.251199999999997</v>
      </c>
      <c r="S7" s="23" vm="4660">
        <f ca="1"/>
        <v>36.298900000000003</v>
      </c>
      <c r="T7" s="23" vm="4661">
        <f ca="1"/>
        <v>35.8157</v>
      </c>
      <c r="U7" s="23" vm="4662">
        <f ca="1"/>
        <v>36.0383</v>
      </c>
      <c r="V7" s="23" vm="4663">
        <f ca="1"/>
        <v>36.08</v>
      </c>
      <c r="W7" s="23" vm="4664">
        <f ca="1"/>
        <v>36.520000000000003</v>
      </c>
      <c r="X7" s="23" vm="4665">
        <f ca="1"/>
        <v>36.6053</v>
      </c>
      <c r="Y7" s="23" vm="4666">
        <f ca="1"/>
        <v>36.850700000000003</v>
      </c>
      <c r="Z7" s="23" vm="4667">
        <f ca="1"/>
        <v>37.21</v>
      </c>
      <c r="AA7" s="23" vm="4668">
        <f ca="1"/>
        <v>37.31</v>
      </c>
      <c r="AB7" s="23" vm="4669">
        <f ca="1"/>
        <v>37.590000000000003</v>
      </c>
      <c r="AC7" s="23" vm="3322">
        <f ca="1"/>
        <v>37.47</v>
      </c>
      <c r="AD7" vm="4670">
        <f ca="1"/>
        <v>37.81</v>
      </c>
      <c r="AE7" vm="4671">
        <f ca="1"/>
        <v>37.869999999999997</v>
      </c>
      <c r="AF7" vm="4672">
        <f ca="1"/>
        <v>37.840000000000003</v>
      </c>
      <c r="AG7" vm="4673">
        <f ca="1"/>
        <v>38.0565</v>
      </c>
      <c r="AH7" vm="4674">
        <f ca="1"/>
        <v>37.76</v>
      </c>
      <c r="AI7" vm="1041">
        <f ca="1"/>
        <v>37.65</v>
      </c>
      <c r="AJ7" vm="4674">
        <f ca="1"/>
        <v>37.76</v>
      </c>
      <c r="AK7" vm="4675">
        <f ca="1"/>
        <v>37.979999999999997</v>
      </c>
      <c r="AL7" vm="4676">
        <f ca="1"/>
        <v>37.86</v>
      </c>
      <c r="AM7" vm="3318">
        <f ca="1"/>
        <v>37.479999999999997</v>
      </c>
      <c r="AN7" vm="4677">
        <f ca="1"/>
        <v>37.684199999999997</v>
      </c>
      <c r="AO7" vm="4670">
        <f ca="1"/>
        <v>37.81</v>
      </c>
      <c r="AP7" vm="4678">
        <f ca="1"/>
        <v>37.71</v>
      </c>
      <c r="AQ7" vm="4679">
        <f ca="1"/>
        <v>38.159999999999997</v>
      </c>
      <c r="AR7" vm="4680">
        <f ca="1"/>
        <v>38.04</v>
      </c>
      <c r="AS7" vm="4681">
        <f ca="1"/>
        <v>38.090000000000003</v>
      </c>
      <c r="AT7" vm="4682">
        <f ca="1"/>
        <v>38.24</v>
      </c>
      <c r="AU7" vm="4683">
        <f ca="1"/>
        <v>37.962299999999999</v>
      </c>
      <c r="AV7" vm="4684">
        <f ca="1"/>
        <v>37.57</v>
      </c>
      <c r="AW7" vm="4685">
        <f ca="1"/>
        <v>37.700000000000003</v>
      </c>
      <c r="AX7" vm="4674">
        <f ca="1"/>
        <v>37.76</v>
      </c>
      <c r="AY7" vm="4686">
        <f ca="1"/>
        <v>37.69</v>
      </c>
      <c r="AZ7" vm="4687">
        <f ca="1"/>
        <v>37.555</v>
      </c>
      <c r="BA7" vm="4688">
        <f ca="1"/>
        <v>37.9529</v>
      </c>
      <c r="BB7" vm="4689">
        <f ca="1"/>
        <v>37.503599999999999</v>
      </c>
      <c r="BC7" vm="4690">
        <f ca="1"/>
        <v>36.913499999999999</v>
      </c>
      <c r="BD7" vm="4691">
        <f ca="1"/>
        <v>37.2438</v>
      </c>
      <c r="BE7" vm="4692">
        <f ca="1"/>
        <v>36.907699999999998</v>
      </c>
      <c r="BF7" vm="4693">
        <f ca="1"/>
        <v>37.2121</v>
      </c>
      <c r="BG7" vm="4694">
        <f ca="1"/>
        <v>36.549999999999997</v>
      </c>
      <c r="BH7" vm="4695">
        <f ca="1"/>
        <v>36.051299999999998</v>
      </c>
      <c r="BI7" vm="4696">
        <f ca="1"/>
        <v>35.942900000000002</v>
      </c>
      <c r="BJ7" vm="4697">
        <f ca="1"/>
        <v>35.5764</v>
      </c>
      <c r="BK7" vm="4698">
        <f ca="1"/>
        <v>36.090000000000003</v>
      </c>
      <c r="BL7" vm="4699">
        <f ca="1"/>
        <v>36.4253</v>
      </c>
      <c r="BM7" vm="4700">
        <f ca="1"/>
        <v>36.172600000000003</v>
      </c>
      <c r="BN7" vm="4701">
        <f ca="1"/>
        <v>36.501199999999997</v>
      </c>
      <c r="BO7" vm="4702">
        <f ca="1"/>
        <v>36.470500000000001</v>
      </c>
      <c r="BP7" vm="4703">
        <f ca="1"/>
        <v>36.357399999999998</v>
      </c>
      <c r="BQ7" vm="4704">
        <f ca="1"/>
        <v>36.810299999999998</v>
      </c>
      <c r="BR7" vm="4705">
        <f ca="1"/>
        <v>36.76</v>
      </c>
      <c r="BS7" vm="4706">
        <f ca="1"/>
        <v>36.6417</v>
      </c>
      <c r="BT7" vm="4707">
        <f ca="1"/>
        <v>36.463200000000001</v>
      </c>
      <c r="BU7" vm="4708">
        <f ca="1"/>
        <v>35.8718</v>
      </c>
      <c r="BV7" vm="4709">
        <f ca="1"/>
        <v>36.2239</v>
      </c>
      <c r="BW7" vm="4710">
        <f ca="1"/>
        <v>36.145299999999999</v>
      </c>
      <c r="BX7" vm="4711">
        <f ca="1"/>
        <v>36.29</v>
      </c>
      <c r="BY7" vm="4712">
        <f ca="1"/>
        <v>34.793300000000002</v>
      </c>
      <c r="BZ7" vm="4713">
        <f ca="1"/>
        <v>32.886800000000001</v>
      </c>
      <c r="CA7" vm="4714">
        <f ca="1"/>
        <v>32.566699999999997</v>
      </c>
      <c r="CB7" vm="4715">
        <f ca="1"/>
        <v>32.19</v>
      </c>
      <c r="CC7" vm="4716">
        <f ca="1"/>
        <v>34.643099999999997</v>
      </c>
      <c r="CD7" vm="4717">
        <f ca="1"/>
        <v>33.783999999999999</v>
      </c>
      <c r="CE7" vm="4718">
        <f ca="1"/>
        <v>34.400599999999997</v>
      </c>
      <c r="CF7" vm="4719">
        <f ca="1"/>
        <v>34.634900000000002</v>
      </c>
      <c r="CG7" vm="4720">
        <f ca="1"/>
        <v>34.51</v>
      </c>
      <c r="CH7" vm="4721">
        <f ca="1"/>
        <v>33.880000000000003</v>
      </c>
      <c r="CI7" vm="808">
        <f ca="1"/>
        <v>33.840000000000003</v>
      </c>
      <c r="CJ7" vm="4722">
        <f ca="1"/>
        <v>33.14</v>
      </c>
      <c r="CK7" vm="4723">
        <f ca="1"/>
        <v>33.954700000000003</v>
      </c>
      <c r="CL7" vm="4724">
        <f ca="1"/>
        <v>34.294199999999996</v>
      </c>
      <c r="CM7" vm="4725">
        <f ca="1"/>
        <v>34.659599999999998</v>
      </c>
      <c r="CN7" vm="4726">
        <f ca="1"/>
        <v>34.680599999999998</v>
      </c>
      <c r="CO7" vm="4727">
        <f ca="1"/>
        <v>34.815899999999999</v>
      </c>
      <c r="CP7" vm="4728">
        <f ca="1"/>
        <v>35.06</v>
      </c>
      <c r="CQ7" vm="4729">
        <f ca="1"/>
        <v>35.18</v>
      </c>
      <c r="CR7" vm="4730">
        <f ca="1"/>
        <v>35.185299999999998</v>
      </c>
      <c r="CS7" vm="4731">
        <f ca="1"/>
        <v>35.6539</v>
      </c>
      <c r="CT7" vm="4732">
        <f ca="1"/>
        <v>35.5411</v>
      </c>
      <c r="CU7" vm="4733">
        <f ca="1"/>
        <v>35.302999999999997</v>
      </c>
      <c r="CV7" vm="4734">
        <f ca="1"/>
        <v>35.617100000000001</v>
      </c>
      <c r="CW7" vm="4735">
        <f ca="1"/>
        <v>35.794600000000003</v>
      </c>
      <c r="CX7" vm="4736">
        <f ca="1"/>
        <v>35.689300000000003</v>
      </c>
      <c r="CY7" vm="4737">
        <f ca="1"/>
        <v>36.671199999999999</v>
      </c>
      <c r="CZ7" vm="4738">
        <f ca="1"/>
        <v>36.630600000000001</v>
      </c>
      <c r="DA7" vm="4739">
        <f ca="1"/>
        <v>36.5379</v>
      </c>
      <c r="DB7" vm="818">
        <f ca="1"/>
        <v>36.880000000000003</v>
      </c>
      <c r="DC7" vm="4740">
        <f ca="1"/>
        <v>37.159399999999998</v>
      </c>
      <c r="DD7" vm="4741">
        <f ca="1"/>
        <v>37.2196</v>
      </c>
      <c r="DE7" vm="4742">
        <f ca="1"/>
        <v>37.159599999999998</v>
      </c>
      <c r="DF7" vm="4743">
        <f ca="1"/>
        <v>36.549599999999998</v>
      </c>
      <c r="DG7" vm="4744">
        <f ca="1"/>
        <v>36.545699999999997</v>
      </c>
      <c r="DH7" vm="4745">
        <f ca="1"/>
        <v>36.372399999999999</v>
      </c>
      <c r="DI7" vm="4746">
        <f ca="1"/>
        <v>36.923400000000001</v>
      </c>
      <c r="DJ7" vm="4747">
        <f ca="1"/>
        <v>36.713700000000003</v>
      </c>
      <c r="DK7" vm="4748">
        <f ca="1"/>
        <v>36.847299999999997</v>
      </c>
      <c r="DL7" vm="4749">
        <f ca="1"/>
        <v>36.942799999999998</v>
      </c>
      <c r="DM7" vm="4750">
        <f ca="1"/>
        <v>36.986400000000003</v>
      </c>
      <c r="DN7" vm="4751">
        <f ca="1"/>
        <v>37.215699999999998</v>
      </c>
      <c r="DO7" vm="4752">
        <f ca="1"/>
        <v>37.149299999999997</v>
      </c>
      <c r="DP7" vm="4753">
        <f ca="1"/>
        <v>36.967700000000001</v>
      </c>
      <c r="DQ7" vm="4754">
        <f ca="1"/>
        <v>37.389200000000002</v>
      </c>
      <c r="DR7" vm="3320">
        <f ca="1"/>
        <v>37.4</v>
      </c>
      <c r="DS7" vm="4669">
        <f ca="1"/>
        <v>37.590000000000003</v>
      </c>
      <c r="DT7" vm="4755">
        <f ca="1"/>
        <v>37.405500000000004</v>
      </c>
      <c r="DU7" vm="4756">
        <f ca="1"/>
        <v>37.444200000000002</v>
      </c>
      <c r="DV7" vm="4757">
        <f ca="1"/>
        <v>36.856200000000001</v>
      </c>
      <c r="DW7" vm="4758">
        <f ca="1"/>
        <v>37.167000000000002</v>
      </c>
      <c r="DX7" vm="4759">
        <f ca="1"/>
        <v>36.83</v>
      </c>
      <c r="DY7" vm="4760">
        <f ca="1"/>
        <v>36.833300000000001</v>
      </c>
      <c r="DZ7" vm="4761">
        <f ca="1"/>
        <v>36.879300000000001</v>
      </c>
      <c r="EA7" vm="4762">
        <f ca="1"/>
        <v>37.196300000000001</v>
      </c>
      <c r="EB7" vm="4763">
        <f ca="1"/>
        <v>37.581299999999999</v>
      </c>
      <c r="EC7" vm="4764">
        <f ca="1"/>
        <v>37.447200000000002</v>
      </c>
      <c r="ED7" vm="4765">
        <f ca="1"/>
        <v>37.603999999999999</v>
      </c>
      <c r="EE7" vm="4766">
        <f ca="1"/>
        <v>38.126199999999997</v>
      </c>
      <c r="EF7" vm="4767">
        <f ca="1"/>
        <v>38.330100000000002</v>
      </c>
      <c r="EG7" vm="4768">
        <f ca="1"/>
        <v>38.7074</v>
      </c>
      <c r="EH7" vm="2617">
        <f ca="1"/>
        <v>38.72</v>
      </c>
      <c r="EI7" vm="4769">
        <f ca="1"/>
        <v>38.9846</v>
      </c>
      <c r="EJ7" vm="4770">
        <f ca="1"/>
        <v>38.630099999999999</v>
      </c>
      <c r="EK7" vm="4771">
        <f ca="1"/>
        <v>38.570099999999996</v>
      </c>
      <c r="EL7" vm="4772">
        <f ca="1"/>
        <v>38.7333</v>
      </c>
      <c r="EM7" vm="4773">
        <f ca="1"/>
        <v>38.845500000000001</v>
      </c>
      <c r="EN7" vm="4774">
        <f ca="1"/>
        <v>38.595799999999997</v>
      </c>
      <c r="EO7" vm="4775">
        <f ca="1"/>
        <v>38.629399999999997</v>
      </c>
      <c r="EP7" vm="4776">
        <f ca="1"/>
        <v>38.348799999999997</v>
      </c>
      <c r="EQ7" vm="4777">
        <f ca="1"/>
        <v>38.5002</v>
      </c>
      <c r="ER7" vm="4778">
        <f ca="1"/>
        <v>38.714500000000001</v>
      </c>
      <c r="ES7" vm="4779">
        <f ca="1"/>
        <v>38.5749</v>
      </c>
      <c r="ET7" vm="2616">
        <f ca="1"/>
        <v>38.58</v>
      </c>
      <c r="EU7" vm="4780">
        <f ca="1"/>
        <v>38.8279</v>
      </c>
      <c r="EV7" vm="4781">
        <f ca="1"/>
        <v>39.205199999999998</v>
      </c>
      <c r="EW7" vm="4782">
        <f ca="1"/>
        <v>38.950000000000003</v>
      </c>
      <c r="EX7" vm="4783">
        <f ca="1"/>
        <v>39.114400000000003</v>
      </c>
      <c r="EY7" vm="4784">
        <f ca="1"/>
        <v>39.057400000000001</v>
      </c>
      <c r="EZ7" vm="4785">
        <f ca="1"/>
        <v>38.921799999999998</v>
      </c>
      <c r="FA7" vm="4786">
        <f ca="1"/>
        <v>38.706400000000002</v>
      </c>
      <c r="FB7" vm="4787">
        <f ca="1"/>
        <v>38.298499999999997</v>
      </c>
      <c r="FC7" vm="4788">
        <f ca="1"/>
        <v>37.957000000000001</v>
      </c>
      <c r="FD7" vm="4789">
        <f ca="1"/>
        <v>38.401400000000002</v>
      </c>
      <c r="FE7" vm="4790">
        <f ca="1"/>
        <v>38.415500000000002</v>
      </c>
      <c r="FF7" vm="4791">
        <f ca="1"/>
        <v>38.529200000000003</v>
      </c>
      <c r="FG7" vm="4792">
        <f ca="1"/>
        <v>38.406799999999997</v>
      </c>
      <c r="FH7" vm="4793">
        <f ca="1"/>
        <v>38.648200000000003</v>
      </c>
      <c r="FI7" vm="4794">
        <f ca="1"/>
        <v>38.474800000000002</v>
      </c>
      <c r="FJ7" vm="4795">
        <f ca="1"/>
        <v>38.799799999999998</v>
      </c>
      <c r="FK7" vm="4796">
        <f ca="1"/>
        <v>39.2333</v>
      </c>
      <c r="FL7" vm="4797">
        <f ca="1"/>
        <v>39.166699999999999</v>
      </c>
      <c r="FM7" vm="4798">
        <f ca="1"/>
        <v>39.180199999999999</v>
      </c>
      <c r="FN7" vm="4799">
        <f ca="1"/>
        <v>39.229999999999997</v>
      </c>
      <c r="FO7" vm="4781">
        <f ca="1"/>
        <v>39.205199999999998</v>
      </c>
      <c r="FP7" vm="4800">
        <f ca="1"/>
        <v>39.280299999999997</v>
      </c>
      <c r="FQ7" vm="4801">
        <f ca="1"/>
        <v>39.154299999999999</v>
      </c>
      <c r="FR7" vm="4802">
        <f ca="1"/>
        <v>39.745399999999997</v>
      </c>
      <c r="FS7" vm="4803">
        <f ca="1"/>
        <v>39.506999999999998</v>
      </c>
      <c r="FT7" vm="4804">
        <f ca="1"/>
        <v>39.5822</v>
      </c>
      <c r="FU7" vm="4805">
        <f ca="1"/>
        <v>39.671599999999998</v>
      </c>
      <c r="FV7" vm="4806">
        <f ca="1"/>
        <v>39.734499999999997</v>
      </c>
      <c r="FW7" vm="4807">
        <f ca="1"/>
        <v>39.652799999999999</v>
      </c>
      <c r="FX7" vm="4808">
        <f ca="1"/>
        <v>39.4694</v>
      </c>
      <c r="FY7" vm="4809">
        <f ca="1"/>
        <v>39.413600000000002</v>
      </c>
      <c r="FZ7" vm="4810">
        <f ca="1"/>
        <v>39.713299999999997</v>
      </c>
      <c r="GA7" vm="4811">
        <f ca="1"/>
        <v>39.61</v>
      </c>
      <c r="GB7" vm="4812">
        <f ca="1"/>
        <v>39.572000000000003</v>
      </c>
      <c r="GC7" vm="4813">
        <f ca="1"/>
        <v>39.694899999999997</v>
      </c>
      <c r="GD7" vm="4814">
        <f ca="1"/>
        <v>39.5124</v>
      </c>
      <c r="GE7" vm="4815">
        <f ca="1"/>
        <v>39.951900000000002</v>
      </c>
      <c r="GF7" vm="4816">
        <f ca="1"/>
        <v>39.695</v>
      </c>
      <c r="GG7" vm="4817">
        <f ca="1"/>
        <v>39.629100000000001</v>
      </c>
      <c r="GH7" vm="4818">
        <f ca="1"/>
        <v>39.612499999999997</v>
      </c>
      <c r="GI7" vm="4819">
        <f ca="1"/>
        <v>39.754300000000001</v>
      </c>
      <c r="GJ7" vm="4820">
        <f ca="1"/>
        <v>39.783499999999997</v>
      </c>
      <c r="GK7" vm="4821">
        <f ca="1"/>
        <v>39.891599999999997</v>
      </c>
      <c r="GL7" vm="4822">
        <f ca="1"/>
        <v>39.930300000000003</v>
      </c>
      <c r="GM7" vm="4823">
        <f ca="1"/>
        <v>39.844000000000001</v>
      </c>
      <c r="GN7" vm="4824">
        <f ca="1"/>
        <v>39.7318</v>
      </c>
      <c r="GO7" vm="4825">
        <f ca="1"/>
        <v>39.448300000000003</v>
      </c>
      <c r="GP7" vm="4826">
        <f ca="1"/>
        <v>39.660200000000003</v>
      </c>
      <c r="GQ7" vm="4827">
        <f ca="1"/>
        <v>39.713700000000003</v>
      </c>
      <c r="GR7" vm="4828">
        <f ca="1"/>
        <v>39.94</v>
      </c>
      <c r="GS7" vm="4829">
        <f ca="1"/>
        <v>40.094999999999999</v>
      </c>
      <c r="GT7" vm="4830">
        <f ca="1"/>
        <v>40.121400000000001</v>
      </c>
      <c r="GU7" vm="4831">
        <f ca="1"/>
        <v>40.247999999999998</v>
      </c>
      <c r="GV7" vm="4832">
        <f ca="1"/>
        <v>40.125100000000003</v>
      </c>
      <c r="GW7" vm="4833">
        <f ca="1"/>
        <v>40.0349</v>
      </c>
      <c r="GX7" vm="4834">
        <f ca="1"/>
        <v>40.020000000000003</v>
      </c>
      <c r="GY7" vm="4835">
        <f ca="1"/>
        <v>39.854500000000002</v>
      </c>
      <c r="GZ7" vm="4836">
        <f ca="1"/>
        <v>39.125999999999998</v>
      </c>
      <c r="HA7" vm="4837">
        <f ca="1"/>
        <v>39.527799999999999</v>
      </c>
      <c r="HB7" vm="4838">
        <f ca="1"/>
        <v>39.7273</v>
      </c>
      <c r="HC7" vm="4839">
        <f ca="1"/>
        <v>39.710500000000003</v>
      </c>
      <c r="HD7" vm="4840">
        <f ca="1"/>
        <v>39.492800000000003</v>
      </c>
      <c r="HE7" vm="4841">
        <f ca="1"/>
        <v>39.803100000000001</v>
      </c>
      <c r="HF7" vm="4842">
        <f ca="1"/>
        <v>40.225700000000003</v>
      </c>
      <c r="HG7" vm="549">
        <f ca="1"/>
        <v>40.51</v>
      </c>
      <c r="HH7" vm="4843">
        <f ca="1"/>
        <v>40.298400000000001</v>
      </c>
      <c r="HI7" vm="4844">
        <f ca="1"/>
        <v>40.362499999999997</v>
      </c>
      <c r="HJ7" vm="4845">
        <f ca="1"/>
        <v>40.620699999999999</v>
      </c>
      <c r="HK7" vm="4846">
        <f ca="1"/>
        <v>40.864400000000003</v>
      </c>
      <c r="HL7" vm="4847">
        <f ca="1"/>
        <v>40.966900000000003</v>
      </c>
      <c r="HM7" vm="4848">
        <f ca="1"/>
        <v>40.731699999999996</v>
      </c>
      <c r="HN7" vm="4849">
        <f ca="1"/>
        <v>40.659999999999997</v>
      </c>
      <c r="HO7" vm="4850">
        <f ca="1"/>
        <v>40.8322</v>
      </c>
      <c r="HP7" vm="4851">
        <f ca="1"/>
        <v>40.5456</v>
      </c>
      <c r="HQ7" vm="4852">
        <f ca="1"/>
        <v>40.297199999999997</v>
      </c>
      <c r="HR7" vm="4853">
        <f ca="1"/>
        <v>40.524000000000001</v>
      </c>
      <c r="HS7" vm="4854">
        <f ca="1"/>
        <v>40.225900000000003</v>
      </c>
      <c r="HT7" vm="4855">
        <f ca="1"/>
        <v>40.291499999999999</v>
      </c>
      <c r="HU7" vm="4856">
        <f ca="1"/>
        <v>40.609200000000001</v>
      </c>
      <c r="HV7" vm="4857">
        <f ca="1"/>
        <v>41.1556</v>
      </c>
      <c r="HW7" vm="4858">
        <f ca="1"/>
        <v>41.376600000000003</v>
      </c>
      <c r="HX7" vm="4859">
        <f ca="1"/>
        <v>40.917099999999998</v>
      </c>
      <c r="HY7" vm="4860">
        <f ca="1"/>
        <v>40.728299999999997</v>
      </c>
      <c r="HZ7" vm="4861">
        <f ca="1"/>
        <v>40.323</v>
      </c>
      <c r="IA7" vm="4862">
        <f ca="1"/>
        <v>40.0779</v>
      </c>
      <c r="IB7" vm="292">
        <f ca="1"/>
        <v>40.037500000000001</v>
      </c>
      <c r="IC7" vm="293">
        <f ca="1"/>
        <v>39.72</v>
      </c>
      <c r="ID7" vm="294">
        <f ca="1"/>
        <v>40.204599999999999</v>
      </c>
      <c r="IE7" vm="295">
        <f ca="1"/>
        <v>40.284999999999997</v>
      </c>
      <c r="IF7" vm="296">
        <f ca="1"/>
        <v>40.828200000000002</v>
      </c>
      <c r="IG7" vm="297">
        <f ca="1"/>
        <v>41.054099999999998</v>
      </c>
      <c r="IH7" vm="298">
        <f ca="1"/>
        <v>41.235999999999997</v>
      </c>
      <c r="II7" vm="299">
        <f ca="1"/>
        <v>40.999299999999998</v>
      </c>
      <c r="IJ7" vm="300">
        <f ca="1"/>
        <v>41.13</v>
      </c>
      <c r="IK7" vm="301">
        <f ca="1"/>
        <v>41.47</v>
      </c>
      <c r="IL7" vm="302">
        <f ca="1"/>
        <v>41.356699999999996</v>
      </c>
      <c r="IM7" vm="303">
        <f ca="1"/>
        <v>41.322699999999998</v>
      </c>
      <c r="IN7" vm="304">
        <f ca="1"/>
        <v>41.097200000000001</v>
      </c>
      <c r="IO7" vm="305">
        <f ca="1"/>
        <v>40.99</v>
      </c>
      <c r="IP7" vm="306">
        <f ca="1"/>
        <v>41.39</v>
      </c>
      <c r="IQ7" vm="307">
        <f ca="1"/>
        <v>41.7455</v>
      </c>
      <c r="IR7" vm="308">
        <f ca="1"/>
        <v>41.62</v>
      </c>
      <c r="IS7" vm="309">
        <f ca="1"/>
        <v>41.63</v>
      </c>
      <c r="IT7" vm="310">
        <f ca="1"/>
        <v>41.36</v>
      </c>
      <c r="IU7" vm="311">
        <f ca="1"/>
        <v>41.23</v>
      </c>
      <c r="IV7" vm="312">
        <f ca="1"/>
        <v>41.2089</v>
      </c>
      <c r="IW7" vm="7">
        <f ca="1"/>
        <v>41.203200000000002</v>
      </c>
    </row>
    <row r="8" spans="1:257" ht="16" x14ac:dyDescent="0.2">
      <c r="A8" s="10" t="e" vm="313">
        <v>#VALUE!</v>
      </c>
      <c r="B8" s="23" t="str" cm="1">
        <f t="array" aca="1" ref="B8" ca="1">_FV(A8,"ticker symbol",TRUE)</f>
        <v>MDY</v>
      </c>
      <c r="C8" s="23" t="str" cm="1">
        <f t="array" aca="1" ref="C8" ca="1">_FV(A8,"Name")</f>
        <v>SPDR S&amp;P MidCap 400</v>
      </c>
      <c r="D8" cm="1" vm="4863">
        <f t="array" aca="1" ref="D8:IW8" ca="1">TRANSPOSE(_xlfn.STOCKHISTORY(B8, WORKDAY(TODAY(), -265), TODAY(), 0, 0, 1))</f>
        <v>599.27</v>
      </c>
      <c r="E8" s="23" vm="4864">
        <f ca="1"/>
        <v>592.24</v>
      </c>
      <c r="F8" s="23" vm="4865">
        <f ca="1"/>
        <v>569.27</v>
      </c>
      <c r="G8" s="23" vm="4866">
        <f ca="1"/>
        <v>568.22</v>
      </c>
      <c r="H8" s="23" vm="4867">
        <f ca="1"/>
        <v>570.23</v>
      </c>
      <c r="I8" s="23" vm="4868">
        <f ca="1"/>
        <v>571.6</v>
      </c>
      <c r="J8" s="23" vm="4869">
        <f ca="1"/>
        <v>575.63</v>
      </c>
      <c r="K8" s="23" vm="314">
        <f ca="1"/>
        <v>577.89</v>
      </c>
      <c r="L8" s="23" vm="4870">
        <f ca="1"/>
        <v>572.23</v>
      </c>
      <c r="M8" s="23" vm="4871">
        <f ca="1"/>
        <v>568.28</v>
      </c>
      <c r="N8" s="23" vm="4872">
        <f ca="1"/>
        <v>569.58000000000004</v>
      </c>
      <c r="O8" s="23" vm="4871">
        <f ca="1"/>
        <v>568.28</v>
      </c>
      <c r="P8" s="23" vm="4873">
        <f ca="1"/>
        <v>575.11</v>
      </c>
      <c r="Q8" s="23" vm="4874">
        <f ca="1"/>
        <v>576.02</v>
      </c>
      <c r="R8" s="23" vm="4870">
        <f ca="1"/>
        <v>572.23</v>
      </c>
      <c r="S8" s="23" vm="4875">
        <f ca="1"/>
        <v>573.73</v>
      </c>
      <c r="T8" s="23" vm="4876">
        <f ca="1"/>
        <v>565.61</v>
      </c>
      <c r="U8" s="23" vm="4877">
        <f ca="1"/>
        <v>570.20000000000005</v>
      </c>
      <c r="V8" s="23" vm="4878">
        <f ca="1"/>
        <v>576.69000000000005</v>
      </c>
      <c r="W8" s="23" vm="4879">
        <f ca="1"/>
        <v>584.24</v>
      </c>
      <c r="X8" s="23" vm="4880">
        <f ca="1"/>
        <v>588.6</v>
      </c>
      <c r="Y8" s="23" vm="4881">
        <f ca="1"/>
        <v>591.11</v>
      </c>
      <c r="Z8" s="23" vm="4882">
        <f ca="1"/>
        <v>601.17999999999995</v>
      </c>
      <c r="AA8" s="23" vm="4883">
        <f ca="1"/>
        <v>598.55999999999995</v>
      </c>
      <c r="AB8" s="23" vm="4884">
        <f ca="1"/>
        <v>598.53</v>
      </c>
      <c r="AC8" s="23" vm="4885">
        <f ca="1"/>
        <v>597.49</v>
      </c>
      <c r="AD8" vm="4886">
        <f ca="1"/>
        <v>591.29999999999995</v>
      </c>
      <c r="AE8" vm="4887">
        <f ca="1"/>
        <v>592.03</v>
      </c>
      <c r="AF8" vm="4888">
        <f ca="1"/>
        <v>589.67999999999995</v>
      </c>
      <c r="AG8" vm="4889">
        <f ca="1"/>
        <v>596.41</v>
      </c>
      <c r="AH8" vm="4890">
        <f ca="1"/>
        <v>590.67999999999995</v>
      </c>
      <c r="AI8" vm="3755">
        <f ca="1"/>
        <v>584.08000000000004</v>
      </c>
      <c r="AJ8" vm="4891">
        <f ca="1"/>
        <v>587.49</v>
      </c>
      <c r="AK8" vm="4892">
        <f ca="1"/>
        <v>593.04</v>
      </c>
      <c r="AL8" vm="4893">
        <f ca="1"/>
        <v>592.76</v>
      </c>
      <c r="AM8" vm="4894">
        <f ca="1"/>
        <v>585.37</v>
      </c>
      <c r="AN8" vm="4895">
        <f ca="1"/>
        <v>585.97</v>
      </c>
      <c r="AO8" vm="4896">
        <f ca="1"/>
        <v>583.12</v>
      </c>
      <c r="AP8" vm="3451">
        <f ca="1"/>
        <v>579.11</v>
      </c>
      <c r="AQ8" vm="4897">
        <f ca="1"/>
        <v>584.32000000000005</v>
      </c>
      <c r="AR8" vm="4898">
        <f ca="1"/>
        <v>583.99</v>
      </c>
      <c r="AS8" vm="4899">
        <f ca="1"/>
        <v>589.24</v>
      </c>
      <c r="AT8" vm="4900">
        <f ca="1"/>
        <v>586.02</v>
      </c>
      <c r="AU8" vm="4901">
        <f ca="1"/>
        <v>580.29</v>
      </c>
      <c r="AV8" vm="4902">
        <f ca="1"/>
        <v>566.5</v>
      </c>
      <c r="AW8" vm="4903">
        <f ca="1"/>
        <v>565.76</v>
      </c>
      <c r="AX8" vm="4904">
        <f ca="1"/>
        <v>565.54999999999995</v>
      </c>
      <c r="AY8" vm="4905">
        <f ca="1"/>
        <v>566.84</v>
      </c>
      <c r="AZ8" vm="4906">
        <f ca="1"/>
        <v>559.66</v>
      </c>
      <c r="BA8" vm="4907">
        <f ca="1"/>
        <v>565.79999999999995</v>
      </c>
      <c r="BB8" vm="4908">
        <f ca="1"/>
        <v>552.91</v>
      </c>
      <c r="BC8" vm="4909">
        <f ca="1"/>
        <v>544.36</v>
      </c>
      <c r="BD8" vm="4910">
        <f ca="1"/>
        <v>551.08000000000004</v>
      </c>
      <c r="BE8" vm="4911">
        <f ca="1"/>
        <v>542.35</v>
      </c>
      <c r="BF8" vm="4912">
        <f ca="1"/>
        <v>546.20000000000005</v>
      </c>
      <c r="BG8" vm="4913">
        <f ca="1"/>
        <v>534.63</v>
      </c>
      <c r="BH8" vm="4914">
        <f ca="1"/>
        <v>531.63</v>
      </c>
      <c r="BI8" vm="4915">
        <f ca="1"/>
        <v>531.33000000000004</v>
      </c>
      <c r="BJ8" vm="4916">
        <f ca="1"/>
        <v>522.96</v>
      </c>
      <c r="BK8" vm="4917">
        <f ca="1"/>
        <v>535.74</v>
      </c>
      <c r="BL8" vm="4918">
        <f ca="1"/>
        <v>543.73</v>
      </c>
      <c r="BM8" vm="4919">
        <f ca="1"/>
        <v>539.23</v>
      </c>
      <c r="BN8" vm="4920">
        <f ca="1"/>
        <v>545.97</v>
      </c>
      <c r="BO8" vm="4921">
        <f ca="1"/>
        <v>542.12</v>
      </c>
      <c r="BP8" vm="4922">
        <f ca="1"/>
        <v>537.89</v>
      </c>
      <c r="BQ8" vm="4923">
        <f ca="1"/>
        <v>551.07000000000005</v>
      </c>
      <c r="BR8" vm="4924">
        <f ca="1"/>
        <v>549.46</v>
      </c>
      <c r="BS8" vm="4925">
        <f ca="1"/>
        <v>546.02</v>
      </c>
      <c r="BT8" vm="4926">
        <f ca="1"/>
        <v>542.05999999999995</v>
      </c>
      <c r="BU8" vm="4927">
        <f ca="1"/>
        <v>532.23</v>
      </c>
      <c r="BV8" vm="4928">
        <f ca="1"/>
        <v>533.48</v>
      </c>
      <c r="BW8" vm="4929">
        <f ca="1"/>
        <v>536.37</v>
      </c>
      <c r="BX8" vm="4930">
        <f ca="1"/>
        <v>544.86</v>
      </c>
      <c r="BY8" vm="4931">
        <f ca="1"/>
        <v>508.5</v>
      </c>
      <c r="BZ8" vm="4932">
        <f ca="1"/>
        <v>483.74</v>
      </c>
      <c r="CA8" vm="4933">
        <f ca="1"/>
        <v>478.59</v>
      </c>
      <c r="CB8" vm="4934">
        <f ca="1"/>
        <v>468.22</v>
      </c>
      <c r="CC8" vm="4935">
        <f ca="1"/>
        <v>512.02</v>
      </c>
      <c r="CD8" vm="4936">
        <f ca="1"/>
        <v>490.62</v>
      </c>
      <c r="CE8" vm="4937">
        <f ca="1"/>
        <v>497.47</v>
      </c>
      <c r="CF8" vm="4938">
        <f ca="1"/>
        <v>503.76</v>
      </c>
      <c r="CG8" vm="4939">
        <f ca="1"/>
        <v>502.98</v>
      </c>
      <c r="CH8" vm="4940">
        <f ca="1"/>
        <v>497.37</v>
      </c>
      <c r="CI8" vm="4941">
        <f ca="1"/>
        <v>501.78</v>
      </c>
      <c r="CJ8" vm="4942">
        <f ca="1"/>
        <v>490.29</v>
      </c>
      <c r="CK8" vm="4943">
        <f ca="1"/>
        <v>502.61</v>
      </c>
      <c r="CL8" vm="4944">
        <f ca="1"/>
        <v>509.03</v>
      </c>
      <c r="CM8" vm="4945">
        <f ca="1"/>
        <v>519.89</v>
      </c>
      <c r="CN8" vm="4946">
        <f ca="1"/>
        <v>517.51</v>
      </c>
      <c r="CO8" vm="4947">
        <f ca="1"/>
        <v>519.41</v>
      </c>
      <c r="CP8" vm="4948">
        <f ca="1"/>
        <v>521.88</v>
      </c>
      <c r="CQ8" vm="4949">
        <f ca="1"/>
        <v>520.79999999999995</v>
      </c>
      <c r="CR8" vm="4950">
        <f ca="1"/>
        <v>523.66</v>
      </c>
      <c r="CS8" vm="4951">
        <f ca="1"/>
        <v>535.98</v>
      </c>
      <c r="CT8" vm="4952">
        <f ca="1"/>
        <v>534.96</v>
      </c>
      <c r="CU8" vm="4953">
        <f ca="1"/>
        <v>531.07000000000005</v>
      </c>
      <c r="CV8" vm="3598">
        <f ca="1"/>
        <v>532.64</v>
      </c>
      <c r="CW8" vm="4954">
        <f ca="1"/>
        <v>539.24</v>
      </c>
      <c r="CX8" vm="4955">
        <f ca="1"/>
        <v>538.59</v>
      </c>
      <c r="CY8" vm="4956">
        <f ca="1"/>
        <v>557.54999999999995</v>
      </c>
      <c r="CZ8" vm="4957">
        <f ca="1"/>
        <v>559.29</v>
      </c>
      <c r="DA8" vm="4958">
        <f ca="1"/>
        <v>557.51</v>
      </c>
      <c r="DB8" vm="4959">
        <f ca="1"/>
        <v>558.84</v>
      </c>
      <c r="DC8" vm="4960">
        <f ca="1"/>
        <v>564.92999999999995</v>
      </c>
      <c r="DD8" vm="4961">
        <f ca="1"/>
        <v>562.76</v>
      </c>
      <c r="DE8" vm="4962">
        <f ca="1"/>
        <v>561.21</v>
      </c>
      <c r="DF8" vm="4912">
        <f ca="1"/>
        <v>546.20000000000005</v>
      </c>
      <c r="DG8" vm="4963">
        <f ca="1"/>
        <v>545.55999999999995</v>
      </c>
      <c r="DH8" vm="4964">
        <f ca="1"/>
        <v>544.66</v>
      </c>
      <c r="DI8" vm="4965">
        <f ca="1"/>
        <v>556.70000000000005</v>
      </c>
      <c r="DJ8" vm="4966">
        <f ca="1"/>
        <v>549.41999999999996</v>
      </c>
      <c r="DK8" vm="4967">
        <f ca="1"/>
        <v>550.97</v>
      </c>
      <c r="DL8" vm="4968">
        <f ca="1"/>
        <v>548.72</v>
      </c>
      <c r="DM8" vm="4969">
        <f ca="1"/>
        <v>548.24</v>
      </c>
      <c r="DN8" vm="4970">
        <f ca="1"/>
        <v>555.01</v>
      </c>
      <c r="DO8" vm="4971">
        <f ca="1"/>
        <v>553.75</v>
      </c>
      <c r="DP8" vm="4972">
        <f ca="1"/>
        <v>552.9</v>
      </c>
      <c r="DQ8" vm="4973">
        <f ca="1"/>
        <v>558.36</v>
      </c>
      <c r="DR8" vm="4974">
        <f ca="1"/>
        <v>559.85</v>
      </c>
      <c r="DS8" vm="4975">
        <f ca="1"/>
        <v>561.63</v>
      </c>
      <c r="DT8" vm="4976">
        <f ca="1"/>
        <v>558.70000000000005</v>
      </c>
      <c r="DU8" vm="4977">
        <f ca="1"/>
        <v>559.19000000000005</v>
      </c>
      <c r="DV8" vm="4978">
        <f ca="1"/>
        <v>550.57000000000005</v>
      </c>
      <c r="DW8" vm="4979">
        <f ca="1"/>
        <v>556.83000000000004</v>
      </c>
      <c r="DX8" vm="4980">
        <f ca="1"/>
        <v>552.01</v>
      </c>
      <c r="DY8" vm="4981">
        <f ca="1"/>
        <v>554.12</v>
      </c>
      <c r="DZ8" vm="4982">
        <f ca="1"/>
        <v>552.11</v>
      </c>
      <c r="EA8" vm="4983">
        <f ca="1"/>
        <v>557.09</v>
      </c>
      <c r="EB8" vm="4984">
        <f ca="1"/>
        <v>562.22</v>
      </c>
      <c r="EC8" vm="4985">
        <f ca="1"/>
        <v>557.66999999999996</v>
      </c>
      <c r="ED8" vm="4986">
        <f ca="1"/>
        <v>565.24</v>
      </c>
      <c r="EE8" vm="4987">
        <f ca="1"/>
        <v>566.51</v>
      </c>
      <c r="EF8" vm="4988">
        <f ca="1"/>
        <v>566.48</v>
      </c>
      <c r="EG8" vm="4989">
        <f ca="1"/>
        <v>573.66</v>
      </c>
      <c r="EH8" vm="4990">
        <f ca="1"/>
        <v>579.34</v>
      </c>
      <c r="EI8" vm="4991">
        <f ca="1"/>
        <v>582.42999999999995</v>
      </c>
      <c r="EJ8" vm="4992">
        <f ca="1"/>
        <v>576.82000000000005</v>
      </c>
      <c r="EK8" vm="4993">
        <f ca="1"/>
        <v>579.25</v>
      </c>
      <c r="EL8" vm="4994">
        <f ca="1"/>
        <v>581.66</v>
      </c>
      <c r="EM8" vm="4995">
        <f ca="1"/>
        <v>584.4</v>
      </c>
      <c r="EN8" vm="4996">
        <f ca="1"/>
        <v>579.23</v>
      </c>
      <c r="EO8" vm="4997">
        <f ca="1"/>
        <v>581.19000000000005</v>
      </c>
      <c r="EP8" vm="4998">
        <f ca="1"/>
        <v>571.03</v>
      </c>
      <c r="EQ8" vm="4999">
        <f ca="1"/>
        <v>573.72</v>
      </c>
      <c r="ER8" vm="5000">
        <f ca="1"/>
        <v>579.96</v>
      </c>
      <c r="ES8" vm="5001">
        <f ca="1"/>
        <v>579.41999999999996</v>
      </c>
      <c r="ET8" vm="5002">
        <f ca="1"/>
        <v>575.80999999999995</v>
      </c>
      <c r="EU8" vm="5003">
        <f ca="1"/>
        <v>583.26</v>
      </c>
      <c r="EV8" vm="5004">
        <f ca="1"/>
        <v>588.03</v>
      </c>
      <c r="EW8" vm="5005">
        <f ca="1"/>
        <v>582.49</v>
      </c>
      <c r="EX8" vm="5006">
        <f ca="1"/>
        <v>587.77</v>
      </c>
      <c r="EY8" vm="5007">
        <f ca="1"/>
        <v>586.47</v>
      </c>
      <c r="EZ8" vm="5008">
        <f ca="1"/>
        <v>585.67999999999995</v>
      </c>
      <c r="FA8" vm="5009">
        <f ca="1"/>
        <v>582.16</v>
      </c>
      <c r="FB8" vm="5010">
        <f ca="1"/>
        <v>575.62</v>
      </c>
      <c r="FC8" vm="5011">
        <f ca="1"/>
        <v>567.09</v>
      </c>
      <c r="FD8" vm="5012">
        <f ca="1"/>
        <v>574.39</v>
      </c>
      <c r="FE8" vm="5013">
        <f ca="1"/>
        <v>574.1</v>
      </c>
      <c r="FF8" vm="5014">
        <f ca="1"/>
        <v>572.45000000000005</v>
      </c>
      <c r="FG8" vm="5015">
        <f ca="1"/>
        <v>571.21</v>
      </c>
      <c r="FH8" vm="5016">
        <f ca="1"/>
        <v>571.12</v>
      </c>
      <c r="FI8" vm="5017">
        <f ca="1"/>
        <v>568.9</v>
      </c>
      <c r="FJ8" vm="5018">
        <f ca="1"/>
        <v>581.95000000000005</v>
      </c>
      <c r="FK8" vm="5019">
        <f ca="1"/>
        <v>590.92999999999995</v>
      </c>
      <c r="FL8" vm="5020">
        <f ca="1"/>
        <v>583.04</v>
      </c>
      <c r="FM8" vm="3734">
        <f ca="1"/>
        <v>580.04999999999995</v>
      </c>
      <c r="FN8" vm="5021">
        <f ca="1"/>
        <v>581.64</v>
      </c>
      <c r="FO8" vm="5022">
        <f ca="1"/>
        <v>582.70000000000005</v>
      </c>
      <c r="FP8" vm="5023">
        <f ca="1"/>
        <v>580.23</v>
      </c>
      <c r="FQ8" vm="5024">
        <f ca="1"/>
        <v>579.53</v>
      </c>
      <c r="FR8" vm="5025">
        <f ca="1"/>
        <v>595.55999999999995</v>
      </c>
      <c r="FS8" vm="5026">
        <f ca="1"/>
        <v>590.69000000000005</v>
      </c>
      <c r="FT8" vm="5027">
        <f ca="1"/>
        <v>593.46</v>
      </c>
      <c r="FU8" vm="5028">
        <f ca="1"/>
        <v>597.27</v>
      </c>
      <c r="FV8" vm="5029">
        <f ca="1"/>
        <v>598.04</v>
      </c>
      <c r="FW8" vm="5030">
        <f ca="1"/>
        <v>595.16</v>
      </c>
      <c r="FX8" vm="5031">
        <f ca="1"/>
        <v>592.51</v>
      </c>
      <c r="FY8" vm="5032">
        <f ca="1"/>
        <v>591.51</v>
      </c>
      <c r="FZ8" vm="5033">
        <f ca="1"/>
        <v>600.07000000000005</v>
      </c>
      <c r="GA8" vm="5034">
        <f ca="1"/>
        <v>602.89</v>
      </c>
      <c r="GB8" vm="5035">
        <f ca="1"/>
        <v>603.04</v>
      </c>
      <c r="GC8" vm="5036">
        <f ca="1"/>
        <v>597.54</v>
      </c>
      <c r="GD8" vm="5037">
        <f ca="1"/>
        <v>597.29</v>
      </c>
      <c r="GE8" vm="5038">
        <f ca="1"/>
        <v>607.37</v>
      </c>
      <c r="GF8" vm="5039">
        <f ca="1"/>
        <v>600.62</v>
      </c>
      <c r="GG8" vm="5040">
        <f ca="1"/>
        <v>600.46</v>
      </c>
      <c r="GH8" vm="5041">
        <f ca="1"/>
        <v>598.80999999999995</v>
      </c>
      <c r="GI8" vm="5042">
        <f ca="1"/>
        <v>598.29</v>
      </c>
      <c r="GJ8" vm="5043">
        <f ca="1"/>
        <v>605.62</v>
      </c>
      <c r="GK8" vm="5044">
        <f ca="1"/>
        <v>599.41999999999996</v>
      </c>
      <c r="GL8" vm="5045">
        <f ca="1"/>
        <v>598.92999999999995</v>
      </c>
      <c r="GM8" vm="5046">
        <f ca="1"/>
        <v>598.62</v>
      </c>
      <c r="GN8" vm="5047">
        <f ca="1"/>
        <v>594.03</v>
      </c>
      <c r="GO8" vm="5048">
        <f ca="1"/>
        <v>590.71</v>
      </c>
      <c r="GP8" vm="5049">
        <f ca="1"/>
        <v>596.67999999999995</v>
      </c>
      <c r="GQ8" vm="5050">
        <f ca="1"/>
        <v>595.34</v>
      </c>
      <c r="GR8" vm="5051">
        <f ca="1"/>
        <v>596.03</v>
      </c>
      <c r="GS8" vm="5052">
        <f ca="1"/>
        <v>597.97</v>
      </c>
      <c r="GT8" vm="5053">
        <f ca="1"/>
        <v>598.75</v>
      </c>
      <c r="GU8" vm="5054">
        <f ca="1"/>
        <v>600.67999999999995</v>
      </c>
      <c r="GV8" vm="5055">
        <f ca="1"/>
        <v>601.57000000000005</v>
      </c>
      <c r="GW8" vm="5056">
        <f ca="1"/>
        <v>595.07000000000005</v>
      </c>
      <c r="GX8" vm="5057">
        <f ca="1"/>
        <v>600.97</v>
      </c>
      <c r="GY8" vm="5058">
        <f ca="1"/>
        <v>594.42999999999995</v>
      </c>
      <c r="GZ8" vm="5059">
        <f ca="1"/>
        <v>577.77</v>
      </c>
      <c r="HA8" vm="5060">
        <f ca="1"/>
        <v>588.91999999999996</v>
      </c>
      <c r="HB8" vm="5061">
        <f ca="1"/>
        <v>594.38</v>
      </c>
      <c r="HC8" vm="5062">
        <f ca="1"/>
        <v>594.91999999999996</v>
      </c>
      <c r="HD8" vm="5063">
        <f ca="1"/>
        <v>587.61</v>
      </c>
      <c r="HE8" vm="5064">
        <f ca="1"/>
        <v>588.86</v>
      </c>
      <c r="HF8" vm="5065">
        <f ca="1"/>
        <v>595.95000000000005</v>
      </c>
      <c r="HG8" vm="5066">
        <f ca="1"/>
        <v>598.04999999999995</v>
      </c>
      <c r="HH8" vm="5067">
        <f ca="1"/>
        <v>591.26</v>
      </c>
      <c r="HI8" vm="5068">
        <f ca="1"/>
        <v>599.29</v>
      </c>
      <c r="HJ8" vm="5069">
        <f ca="1"/>
        <v>602.47</v>
      </c>
      <c r="HK8" vm="5070">
        <f ca="1"/>
        <v>604.78</v>
      </c>
      <c r="HL8" vm="5071">
        <f ca="1"/>
        <v>599.47</v>
      </c>
      <c r="HM8" vm="5072">
        <f ca="1"/>
        <v>595.66</v>
      </c>
      <c r="HN8" vm="3454">
        <f ca="1"/>
        <v>589.39</v>
      </c>
      <c r="HO8" vm="5073">
        <f ca="1"/>
        <v>592.98</v>
      </c>
      <c r="HP8" vm="5074">
        <f ca="1"/>
        <v>592.70000000000005</v>
      </c>
      <c r="HQ8" vm="3444">
        <f ca="1"/>
        <v>587.59</v>
      </c>
      <c r="HR8" vm="5075">
        <f ca="1"/>
        <v>591.42999999999995</v>
      </c>
      <c r="HS8" vm="5076">
        <f ca="1"/>
        <v>586.01</v>
      </c>
      <c r="HT8" vm="3362">
        <f ca="1"/>
        <v>592.78</v>
      </c>
      <c r="HU8" vm="5077">
        <f ca="1"/>
        <v>596.55999999999995</v>
      </c>
      <c r="HV8" vm="5078">
        <f ca="1"/>
        <v>596.54</v>
      </c>
      <c r="HW8" vm="5079">
        <f ca="1"/>
        <v>598.63</v>
      </c>
      <c r="HX8" vm="5080">
        <f ca="1"/>
        <v>587.38</v>
      </c>
      <c r="HY8" vm="5081">
        <f ca="1"/>
        <v>586.16</v>
      </c>
      <c r="HZ8" vm="5082">
        <f ca="1"/>
        <v>575.29999999999995</v>
      </c>
      <c r="IA8" vm="5083">
        <f ca="1"/>
        <v>577.19000000000005</v>
      </c>
      <c r="IB8" vm="314">
        <f ca="1"/>
        <v>577.89</v>
      </c>
      <c r="IC8" vm="315">
        <f ca="1"/>
        <v>568.63</v>
      </c>
      <c r="ID8" vm="316">
        <f ca="1"/>
        <v>582.32000000000005</v>
      </c>
      <c r="IE8" vm="317">
        <f ca="1"/>
        <v>587.80999999999995</v>
      </c>
      <c r="IF8" vm="318">
        <f ca="1"/>
        <v>598.88</v>
      </c>
      <c r="IG8" vm="319">
        <f ca="1"/>
        <v>602.5</v>
      </c>
      <c r="IH8" vm="320">
        <f ca="1"/>
        <v>605.48</v>
      </c>
      <c r="II8" vm="321">
        <f ca="1"/>
        <v>602.20000000000005</v>
      </c>
      <c r="IJ8" vm="322">
        <f ca="1"/>
        <v>600.02</v>
      </c>
      <c r="IK8" vm="323">
        <f ca="1"/>
        <v>604.19000000000005</v>
      </c>
      <c r="IL8" vm="324">
        <f ca="1"/>
        <v>607.15</v>
      </c>
      <c r="IM8" vm="325">
        <f ca="1"/>
        <v>607.38</v>
      </c>
      <c r="IN8" vm="326">
        <f ca="1"/>
        <v>604.34</v>
      </c>
      <c r="IO8" vm="327">
        <f ca="1"/>
        <v>603.9</v>
      </c>
      <c r="IP8" vm="328">
        <f ca="1"/>
        <v>615.37</v>
      </c>
      <c r="IQ8" vm="329">
        <f ca="1"/>
        <v>621.24</v>
      </c>
      <c r="IR8" vm="330">
        <f ca="1"/>
        <v>613.11</v>
      </c>
      <c r="IS8" vm="331">
        <f ca="1"/>
        <v>611.94000000000005</v>
      </c>
      <c r="IT8" vm="332">
        <f ca="1"/>
        <v>608.15</v>
      </c>
      <c r="IU8" vm="333">
        <f ca="1"/>
        <v>605.4</v>
      </c>
      <c r="IV8" vm="334">
        <f ca="1"/>
        <v>608.07000000000005</v>
      </c>
      <c r="IW8" vm="8">
        <f ca="1"/>
        <v>611.57000000000005</v>
      </c>
    </row>
    <row r="9" spans="1:257" ht="16" x14ac:dyDescent="0.2">
      <c r="A9" s="10" t="e" vm="335">
        <v>#VALUE!</v>
      </c>
      <c r="B9" s="23" t="str" cm="1">
        <f t="array" aca="1" ref="B9" ca="1">_FV(A9,"ticker symbol",TRUE)</f>
        <v>IWN</v>
      </c>
      <c r="C9" s="23" t="str" cm="1">
        <f t="array" aca="1" ref="C9" ca="1">_FV(A9,"Name")</f>
        <v>iShares:Russ 2000 Vl ETF</v>
      </c>
      <c r="D9" cm="1" vm="5084">
        <f t="array" aca="1" ref="D9:IW9" ca="1">TRANSPOSE(_xlfn.STOCKHISTORY(B9, WORKDAY(TODAY(), -265), TODAY(), 0, 0, 1))</f>
        <v>174.56</v>
      </c>
      <c r="E9" s="23" vm="5085">
        <f ca="1"/>
        <v>171.36</v>
      </c>
      <c r="F9" s="23" vm="5086">
        <f ca="1"/>
        <v>163.81</v>
      </c>
      <c r="G9" s="23" vm="5087">
        <f ca="1"/>
        <v>162.69</v>
      </c>
      <c r="H9" s="23" vm="5088">
        <f ca="1"/>
        <v>164.11</v>
      </c>
      <c r="I9" s="23" vm="5089">
        <f ca="1"/>
        <v>163.86</v>
      </c>
      <c r="J9" s="23" vm="5090">
        <f ca="1"/>
        <v>165.33</v>
      </c>
      <c r="K9" s="23" vm="5091">
        <f ca="1"/>
        <v>166.71</v>
      </c>
      <c r="L9" s="23" vm="5092">
        <f ca="1"/>
        <v>164.4</v>
      </c>
      <c r="M9" s="23" vm="5093">
        <f ca="1"/>
        <v>163.69999999999999</v>
      </c>
      <c r="N9" s="23" vm="5094">
        <f ca="1"/>
        <v>164.17</v>
      </c>
      <c r="O9" s="23" vm="5095">
        <f ca="1"/>
        <v>163.92</v>
      </c>
      <c r="P9" s="23" vm="5096">
        <f ca="1"/>
        <v>165.71</v>
      </c>
      <c r="Q9" s="23" vm="5097">
        <f ca="1"/>
        <v>165.3</v>
      </c>
      <c r="R9" s="23" vm="5098">
        <f ca="1"/>
        <v>164.21</v>
      </c>
      <c r="S9" s="23" vm="5099">
        <f ca="1"/>
        <v>163.59</v>
      </c>
      <c r="T9" s="23" vm="5100">
        <f ca="1"/>
        <v>159.94999999999999</v>
      </c>
      <c r="U9" s="23" vm="5101">
        <f ca="1"/>
        <v>160.75</v>
      </c>
      <c r="V9" s="23" vm="5102">
        <f ca="1"/>
        <v>163.21</v>
      </c>
      <c r="W9" s="23" vm="5103">
        <f ca="1"/>
        <v>166.38</v>
      </c>
      <c r="X9" s="23" vm="5104">
        <f ca="1"/>
        <v>166.29</v>
      </c>
      <c r="Y9" s="23" vm="5105">
        <f ca="1"/>
        <v>166.95</v>
      </c>
      <c r="Z9" s="23" vm="5106">
        <f ca="1"/>
        <v>169.4</v>
      </c>
      <c r="AA9" s="23" vm="5107">
        <f ca="1"/>
        <v>167.76</v>
      </c>
      <c r="AB9" s="23" vm="5108">
        <f ca="1"/>
        <v>168.2</v>
      </c>
      <c r="AC9" s="23" vm="5109">
        <f ca="1"/>
        <v>168.28</v>
      </c>
      <c r="AD9" vm="5110">
        <f ca="1"/>
        <v>168.63</v>
      </c>
      <c r="AE9" vm="5111">
        <f ca="1"/>
        <v>167.96</v>
      </c>
      <c r="AF9" vm="5112">
        <f ca="1"/>
        <v>167.28</v>
      </c>
      <c r="AG9" vm="5113">
        <f ca="1"/>
        <v>169.03</v>
      </c>
      <c r="AH9" vm="5114">
        <f ca="1"/>
        <v>167.47</v>
      </c>
      <c r="AI9" vm="5115">
        <f ca="1"/>
        <v>165.19</v>
      </c>
      <c r="AJ9" vm="4336">
        <f ca="1"/>
        <v>167.45</v>
      </c>
      <c r="AK9" vm="5116">
        <f ca="1"/>
        <v>169.13</v>
      </c>
      <c r="AL9" vm="5117">
        <f ca="1"/>
        <v>169.06</v>
      </c>
      <c r="AM9" vm="1391">
        <f ca="1"/>
        <v>167.09</v>
      </c>
      <c r="AN9" vm="5118">
        <f ca="1"/>
        <v>167.62</v>
      </c>
      <c r="AO9" vm="4337">
        <f ca="1"/>
        <v>167.92</v>
      </c>
      <c r="AP9" vm="5119">
        <f ca="1"/>
        <v>165.84</v>
      </c>
      <c r="AQ9" vm="5120">
        <f ca="1"/>
        <v>167.5</v>
      </c>
      <c r="AR9" vm="5121">
        <f ca="1"/>
        <v>167.48</v>
      </c>
      <c r="AS9" vm="5122">
        <f ca="1"/>
        <v>168.17</v>
      </c>
      <c r="AT9" vm="5123">
        <f ca="1"/>
        <v>167.32</v>
      </c>
      <c r="AU9" vm="5124">
        <f ca="1"/>
        <v>165.92</v>
      </c>
      <c r="AV9" vm="5125">
        <f ca="1"/>
        <v>162.22999999999999</v>
      </c>
      <c r="AW9" vm="5126">
        <f ca="1"/>
        <v>161.38</v>
      </c>
      <c r="AX9" vm="5127">
        <f ca="1"/>
        <v>161.55000000000001</v>
      </c>
      <c r="AY9" vm="5128">
        <f ca="1"/>
        <v>161.28</v>
      </c>
      <c r="AZ9" vm="5129">
        <f ca="1"/>
        <v>159.77000000000001</v>
      </c>
      <c r="BA9" vm="5130">
        <f ca="1"/>
        <v>161.1</v>
      </c>
      <c r="BB9" vm="5131">
        <f ca="1"/>
        <v>157.72</v>
      </c>
      <c r="BC9" vm="5132">
        <f ca="1"/>
        <v>155.4</v>
      </c>
      <c r="BD9" vm="5133">
        <f ca="1"/>
        <v>156.66</v>
      </c>
      <c r="BE9" vm="5134">
        <f ca="1"/>
        <v>154.96</v>
      </c>
      <c r="BF9" vm="5135">
        <f ca="1"/>
        <v>155.51</v>
      </c>
      <c r="BG9" vm="5136">
        <f ca="1"/>
        <v>151.54</v>
      </c>
      <c r="BH9" vm="5137">
        <f ca="1"/>
        <v>151.26</v>
      </c>
      <c r="BI9" vm="5138">
        <f ca="1"/>
        <v>151.32</v>
      </c>
      <c r="BJ9" vm="5139">
        <f ca="1"/>
        <v>149.27000000000001</v>
      </c>
      <c r="BK9" vm="5140">
        <f ca="1"/>
        <v>152.75</v>
      </c>
      <c r="BL9" vm="496">
        <f ca="1"/>
        <v>154.36000000000001</v>
      </c>
      <c r="BM9" vm="5141">
        <f ca="1"/>
        <v>153.1</v>
      </c>
      <c r="BN9" vm="5142">
        <f ca="1"/>
        <v>155.03</v>
      </c>
      <c r="BO9" vm="5143">
        <f ca="1"/>
        <v>154.26</v>
      </c>
      <c r="BP9" vm="5144">
        <f ca="1"/>
        <v>153.11000000000001</v>
      </c>
      <c r="BQ9" vm="5145">
        <f ca="1"/>
        <v>156.36000000000001</v>
      </c>
      <c r="BR9" vm="491">
        <f ca="1"/>
        <v>155.26</v>
      </c>
      <c r="BS9" vm="521">
        <f ca="1"/>
        <v>154.58000000000001</v>
      </c>
      <c r="BT9" vm="5146">
        <f ca="1"/>
        <v>154.35</v>
      </c>
      <c r="BU9" vm="5147">
        <f ca="1"/>
        <v>151.22</v>
      </c>
      <c r="BV9" vm="5148">
        <f ca="1"/>
        <v>150.97999999999999</v>
      </c>
      <c r="BW9" vm="5149">
        <f ca="1"/>
        <v>150.96</v>
      </c>
      <c r="BX9" vm="5150">
        <f ca="1"/>
        <v>152.94</v>
      </c>
      <c r="BY9" vm="5151">
        <f ca="1"/>
        <v>142.93</v>
      </c>
      <c r="BZ9" vm="5152">
        <f ca="1"/>
        <v>137.1</v>
      </c>
      <c r="CA9" vm="5153">
        <f ca="1"/>
        <v>135.15</v>
      </c>
      <c r="CB9" vm="5154">
        <f ca="1"/>
        <v>131.84</v>
      </c>
      <c r="CC9" vm="5155">
        <f ca="1"/>
        <v>141.80000000000001</v>
      </c>
      <c r="CD9" vm="5156">
        <f ca="1"/>
        <v>135.97999999999999</v>
      </c>
      <c r="CE9" vm="5157">
        <f ca="1"/>
        <v>137.35</v>
      </c>
      <c r="CF9" vm="5158">
        <f ca="1"/>
        <v>138.88999999999999</v>
      </c>
      <c r="CG9" vm="5159">
        <f ca="1"/>
        <v>139.33000000000001</v>
      </c>
      <c r="CH9" vm="5160">
        <f ca="1"/>
        <v>138.75</v>
      </c>
      <c r="CI9" vm="5161">
        <f ca="1"/>
        <v>140.07</v>
      </c>
      <c r="CJ9" vm="5162">
        <f ca="1"/>
        <v>137.78</v>
      </c>
      <c r="CK9" vm="5163">
        <f ca="1"/>
        <v>141.26</v>
      </c>
      <c r="CL9" vm="5164">
        <f ca="1"/>
        <v>142.69</v>
      </c>
      <c r="CM9" vm="5165">
        <f ca="1"/>
        <v>144.93</v>
      </c>
      <c r="CN9" vm="576">
        <f ca="1"/>
        <v>144.65</v>
      </c>
      <c r="CO9" vm="5166">
        <f ca="1"/>
        <v>145.30000000000001</v>
      </c>
      <c r="CP9" vm="5167">
        <f ca="1"/>
        <v>145.88999999999999</v>
      </c>
      <c r="CQ9" vm="5168">
        <f ca="1"/>
        <v>144.80000000000001</v>
      </c>
      <c r="CR9" vm="5169">
        <f ca="1"/>
        <v>145.59</v>
      </c>
      <c r="CS9" vm="5170">
        <f ca="1"/>
        <v>148.65</v>
      </c>
      <c r="CT9" vm="5171">
        <f ca="1"/>
        <v>147.43</v>
      </c>
      <c r="CU9" vm="5172">
        <f ca="1"/>
        <v>146.30000000000001</v>
      </c>
      <c r="CV9" vm="5173">
        <f ca="1"/>
        <v>146.65</v>
      </c>
      <c r="CW9" vm="5174">
        <f ca="1"/>
        <v>149.11000000000001</v>
      </c>
      <c r="CX9" vm="5175">
        <f ca="1"/>
        <v>149.24</v>
      </c>
      <c r="CY9" vm="5176">
        <f ca="1"/>
        <v>153.97</v>
      </c>
      <c r="CZ9" vm="5177">
        <f ca="1"/>
        <v>154.33000000000001</v>
      </c>
      <c r="DA9" vm="5178">
        <f ca="1"/>
        <v>152.86000000000001</v>
      </c>
      <c r="DB9" vm="5179">
        <f ca="1"/>
        <v>154.04</v>
      </c>
      <c r="DC9" vm="5134">
        <f ca="1"/>
        <v>154.96</v>
      </c>
      <c r="DD9" vm="5180">
        <f ca="1"/>
        <v>154.27000000000001</v>
      </c>
      <c r="DE9" vm="5181">
        <f ca="1"/>
        <v>154.13999999999999</v>
      </c>
      <c r="DF9" vm="512">
        <f ca="1"/>
        <v>149.63</v>
      </c>
      <c r="DG9" vm="5182">
        <f ca="1"/>
        <v>149.37</v>
      </c>
      <c r="DH9" vm="5183">
        <f ca="1"/>
        <v>148.91</v>
      </c>
      <c r="DI9" vm="5184">
        <f ca="1"/>
        <v>152.71</v>
      </c>
      <c r="DJ9" vm="5185">
        <f ca="1"/>
        <v>150.91</v>
      </c>
      <c r="DK9" vm="5186">
        <f ca="1"/>
        <v>151.75</v>
      </c>
      <c r="DL9" vm="5187">
        <f ca="1"/>
        <v>150.83000000000001</v>
      </c>
      <c r="DM9" vm="5188">
        <f ca="1"/>
        <v>150.71</v>
      </c>
      <c r="DN9" vm="5189">
        <f ca="1"/>
        <v>153.01</v>
      </c>
      <c r="DO9" vm="488">
        <f ca="1"/>
        <v>152.33000000000001</v>
      </c>
      <c r="DP9" vm="5190">
        <f ca="1"/>
        <v>152.22</v>
      </c>
      <c r="DQ9" vm="521">
        <f ca="1"/>
        <v>154.58000000000001</v>
      </c>
      <c r="DR9" vm="5191">
        <f ca="1"/>
        <v>155.88999999999999</v>
      </c>
      <c r="DS9" vm="5192">
        <f ca="1"/>
        <v>157.32</v>
      </c>
      <c r="DT9" vm="5193">
        <f ca="1"/>
        <v>156.63</v>
      </c>
      <c r="DU9" vm="5194">
        <f ca="1"/>
        <v>156.19999999999999</v>
      </c>
      <c r="DV9" vm="5195">
        <f ca="1"/>
        <v>153.47</v>
      </c>
      <c r="DW9" vm="5196">
        <f ca="1"/>
        <v>154.19999999999999</v>
      </c>
      <c r="DX9" vm="5197">
        <f ca="1"/>
        <v>152.68</v>
      </c>
      <c r="DY9" vm="5198">
        <f ca="1"/>
        <v>153.51</v>
      </c>
      <c r="DZ9" vm="5199">
        <f ca="1"/>
        <v>153.19</v>
      </c>
      <c r="EA9" vm="5200">
        <f ca="1"/>
        <v>155.44</v>
      </c>
      <c r="EB9" vm="5201">
        <f ca="1"/>
        <v>156.78</v>
      </c>
      <c r="EC9" vm="5202">
        <f ca="1"/>
        <v>155.13</v>
      </c>
      <c r="ED9" vm="5203">
        <f ca="1"/>
        <v>157.63999999999999</v>
      </c>
      <c r="EE9" vm="5204">
        <f ca="1"/>
        <v>157.69</v>
      </c>
      <c r="EF9" vm="5205">
        <f ca="1"/>
        <v>157.76</v>
      </c>
      <c r="EG9" vm="5206">
        <f ca="1"/>
        <v>161.05000000000001</v>
      </c>
      <c r="EH9" vm="5207">
        <f ca="1"/>
        <v>163.76</v>
      </c>
      <c r="EI9" vm="5208">
        <f ca="1"/>
        <v>164.95</v>
      </c>
      <c r="EJ9" vm="5209">
        <f ca="1"/>
        <v>162.41</v>
      </c>
      <c r="EK9" vm="5210">
        <f ca="1"/>
        <v>163.9</v>
      </c>
      <c r="EL9" vm="4325">
        <f ca="1"/>
        <v>165.16</v>
      </c>
      <c r="EM9" vm="5211">
        <f ca="1"/>
        <v>166.68</v>
      </c>
      <c r="EN9" vm="5212">
        <f ca="1"/>
        <v>164.96</v>
      </c>
      <c r="EO9" vm="5213">
        <f ca="1"/>
        <v>165.43</v>
      </c>
      <c r="EP9" vm="5214">
        <f ca="1"/>
        <v>161.47999999999999</v>
      </c>
      <c r="EQ9" vm="5215">
        <f ca="1"/>
        <v>162.52000000000001</v>
      </c>
      <c r="ER9" vm="5216">
        <f ca="1"/>
        <v>164.33</v>
      </c>
      <c r="ES9" vm="5217">
        <f ca="1"/>
        <v>163.34</v>
      </c>
      <c r="ET9" vm="5218">
        <f ca="1"/>
        <v>163.31</v>
      </c>
      <c r="EU9" vm="5219">
        <f ca="1"/>
        <v>165.74</v>
      </c>
      <c r="EV9" vm="5220">
        <f ca="1"/>
        <v>167.78</v>
      </c>
      <c r="EW9" vm="5221">
        <f ca="1"/>
        <v>165.37</v>
      </c>
      <c r="EX9" vm="5222">
        <f ca="1"/>
        <v>165.62</v>
      </c>
      <c r="EY9" vm="5223">
        <f ca="1"/>
        <v>165.39</v>
      </c>
      <c r="EZ9" vm="5224">
        <f ca="1"/>
        <v>164.29</v>
      </c>
      <c r="FA9" vm="5225">
        <f ca="1"/>
        <v>162.19</v>
      </c>
      <c r="FB9" vm="5226">
        <f ca="1"/>
        <v>160.38999999999999</v>
      </c>
      <c r="FC9" vm="5227">
        <f ca="1"/>
        <v>157.1</v>
      </c>
      <c r="FD9" vm="5228">
        <f ca="1"/>
        <v>159.84</v>
      </c>
      <c r="FE9" vm="5229">
        <f ca="1"/>
        <v>160.99</v>
      </c>
      <c r="FF9" vm="5130">
        <f ca="1"/>
        <v>161.1</v>
      </c>
      <c r="FG9" vm="5230">
        <f ca="1"/>
        <v>160.76</v>
      </c>
      <c r="FH9" vm="5231">
        <f ca="1"/>
        <v>161.07</v>
      </c>
      <c r="FI9" vm="5232">
        <f ca="1"/>
        <v>160.84</v>
      </c>
      <c r="FJ9" vm="5233">
        <f ca="1"/>
        <v>165.93</v>
      </c>
      <c r="FK9" vm="5234">
        <f ca="1"/>
        <v>169.62</v>
      </c>
      <c r="FL9" vm="5107">
        <f ca="1"/>
        <v>167.76</v>
      </c>
      <c r="FM9" vm="5235">
        <f ca="1"/>
        <v>166.61</v>
      </c>
      <c r="FN9" vm="5236">
        <f ca="1"/>
        <v>167.14</v>
      </c>
      <c r="FO9" vm="5237">
        <f ca="1"/>
        <v>167.07</v>
      </c>
      <c r="FP9" vm="5238">
        <f ca="1"/>
        <v>166.34</v>
      </c>
      <c r="FQ9" vm="5239">
        <f ca="1"/>
        <v>166.33</v>
      </c>
      <c r="FR9" vm="5240">
        <f ca="1"/>
        <v>173.5</v>
      </c>
      <c r="FS9" vm="5241">
        <f ca="1"/>
        <v>172.1</v>
      </c>
      <c r="FT9" vm="5242">
        <f ca="1"/>
        <v>173.07</v>
      </c>
      <c r="FU9" vm="5243">
        <f ca="1"/>
        <v>174.53</v>
      </c>
      <c r="FV9" vm="4309">
        <f ca="1"/>
        <v>174.08</v>
      </c>
      <c r="FW9" vm="5244">
        <f ca="1"/>
        <v>174.07</v>
      </c>
      <c r="FX9" vm="5245">
        <f ca="1"/>
        <v>173.15</v>
      </c>
      <c r="FY9" vm="5246">
        <f ca="1"/>
        <v>173.01</v>
      </c>
      <c r="FZ9" vm="5247">
        <f ca="1"/>
        <v>175.21</v>
      </c>
      <c r="GA9" vm="5248">
        <f ca="1"/>
        <v>176</v>
      </c>
      <c r="GB9" vm="5249">
        <f ca="1"/>
        <v>175.95</v>
      </c>
      <c r="GC9" vm="5250">
        <f ca="1"/>
        <v>174.71</v>
      </c>
      <c r="GD9" vm="5251">
        <f ca="1"/>
        <v>174.65</v>
      </c>
      <c r="GE9" vm="5252">
        <f ca="1"/>
        <v>177.48</v>
      </c>
      <c r="GF9" vm="5253">
        <f ca="1"/>
        <v>175.55</v>
      </c>
      <c r="GG9" vm="5254">
        <f ca="1"/>
        <v>176.23</v>
      </c>
      <c r="GH9" vm="4308">
        <f ca="1"/>
        <v>174.99</v>
      </c>
      <c r="GI9" vm="5255">
        <f ca="1"/>
        <v>175.07</v>
      </c>
      <c r="GJ9" vm="1673">
        <f ca="1"/>
        <v>178.94</v>
      </c>
      <c r="GK9" vm="5256">
        <f ca="1"/>
        <v>176.9</v>
      </c>
      <c r="GL9" vm="5257">
        <f ca="1"/>
        <v>177.46</v>
      </c>
      <c r="GM9" vm="4369">
        <f ca="1"/>
        <v>177.35</v>
      </c>
      <c r="GN9" vm="5258">
        <f ca="1"/>
        <v>176.86</v>
      </c>
      <c r="GO9" vm="5259">
        <f ca="1"/>
        <v>175.1</v>
      </c>
      <c r="GP9" vm="4255">
        <f ca="1"/>
        <v>176.66</v>
      </c>
      <c r="GQ9" vm="5260">
        <f ca="1"/>
        <v>176.56</v>
      </c>
      <c r="GR9" vm="5261">
        <f ca="1"/>
        <v>176.81</v>
      </c>
      <c r="GS9" vm="5262">
        <f ca="1"/>
        <v>177.55</v>
      </c>
      <c r="GT9" vm="4361">
        <f ca="1"/>
        <v>178.04</v>
      </c>
      <c r="GU9" vm="5263">
        <f ca="1"/>
        <v>179.44</v>
      </c>
      <c r="GV9" vm="5264">
        <f ca="1"/>
        <v>179.8</v>
      </c>
      <c r="GW9" vm="4270">
        <f ca="1"/>
        <v>177.77</v>
      </c>
      <c r="GX9" vm="5265">
        <f ca="1"/>
        <v>179.13</v>
      </c>
      <c r="GY9" vm="5266">
        <f ca="1"/>
        <v>177.69</v>
      </c>
      <c r="GZ9" vm="5267">
        <f ca="1"/>
        <v>172.34</v>
      </c>
      <c r="HA9" vm="5268">
        <f ca="1"/>
        <v>176.09</v>
      </c>
      <c r="HB9" vm="4352">
        <f ca="1"/>
        <v>179.5</v>
      </c>
      <c r="HC9" vm="5269">
        <f ca="1"/>
        <v>180.84</v>
      </c>
      <c r="HD9" vm="5270">
        <f ca="1"/>
        <v>176.83</v>
      </c>
      <c r="HE9" vm="5271">
        <f ca="1"/>
        <v>176.53</v>
      </c>
      <c r="HF9" vm="5272">
        <f ca="1"/>
        <v>180.11</v>
      </c>
      <c r="HG9" vm="5273">
        <f ca="1"/>
        <v>179.34</v>
      </c>
      <c r="HH9" vm="5274">
        <f ca="1"/>
        <v>177.71</v>
      </c>
      <c r="HI9" vm="5275">
        <f ca="1"/>
        <v>179.31</v>
      </c>
      <c r="HJ9" vm="5276">
        <f ca="1"/>
        <v>181.51</v>
      </c>
      <c r="HK9" vm="4289">
        <f ca="1"/>
        <v>181.26</v>
      </c>
      <c r="HL9" vm="344">
        <f ca="1"/>
        <v>180.29</v>
      </c>
      <c r="HM9" vm="5277">
        <f ca="1"/>
        <v>178</v>
      </c>
      <c r="HN9" vm="5278">
        <f ca="1"/>
        <v>176.74</v>
      </c>
      <c r="HO9" vm="5279">
        <f ca="1"/>
        <v>177.13</v>
      </c>
      <c r="HP9" vm="5280">
        <f ca="1"/>
        <v>177.19</v>
      </c>
      <c r="HQ9" vm="5281">
        <f ca="1"/>
        <v>174.85</v>
      </c>
      <c r="HR9" vm="5282">
        <f ca="1"/>
        <v>176.95</v>
      </c>
      <c r="HS9" vm="5084">
        <f ca="1"/>
        <v>174.56</v>
      </c>
      <c r="HT9" vm="5283">
        <f ca="1"/>
        <v>175.79</v>
      </c>
      <c r="HU9" vm="5284">
        <f ca="1"/>
        <v>177.15</v>
      </c>
      <c r="HV9" vm="5285">
        <f ca="1"/>
        <v>177.83</v>
      </c>
      <c r="HW9" vm="5266">
        <f ca="1"/>
        <v>177.69</v>
      </c>
      <c r="HX9" vm="5286">
        <f ca="1"/>
        <v>174.41</v>
      </c>
      <c r="HY9" vm="4268">
        <f ca="1"/>
        <v>174.67</v>
      </c>
      <c r="HZ9" vm="5287">
        <f ca="1"/>
        <v>170.9</v>
      </c>
      <c r="IA9" vm="5288">
        <f ca="1"/>
        <v>171.7</v>
      </c>
      <c r="IB9" vm="336">
        <f ca="1"/>
        <v>171.2</v>
      </c>
      <c r="IC9" vm="337">
        <f ca="1"/>
        <v>168.85</v>
      </c>
      <c r="ID9" vm="338">
        <f ca="1"/>
        <v>173.85</v>
      </c>
      <c r="IE9" vm="339">
        <f ca="1"/>
        <v>175.94</v>
      </c>
      <c r="IF9" vm="340">
        <f ca="1"/>
        <v>180.15</v>
      </c>
      <c r="IG9" vm="341">
        <f ca="1"/>
        <v>181.53</v>
      </c>
      <c r="IH9" vm="342">
        <f ca="1"/>
        <v>182.23</v>
      </c>
      <c r="II9" vm="343">
        <f ca="1"/>
        <v>181.03</v>
      </c>
      <c r="IJ9" vm="344">
        <f ca="1"/>
        <v>180.29</v>
      </c>
      <c r="IK9" vm="345">
        <f ca="1"/>
        <v>183.63</v>
      </c>
      <c r="IL9" vm="346">
        <f ca="1"/>
        <v>183.97</v>
      </c>
      <c r="IM9" vm="347">
        <f ca="1"/>
        <v>183.77</v>
      </c>
      <c r="IN9" vm="348">
        <f ca="1"/>
        <v>183.52</v>
      </c>
      <c r="IO9" vm="349">
        <f ca="1"/>
        <v>184.11</v>
      </c>
      <c r="IP9" vm="350">
        <f ca="1"/>
        <v>187.68</v>
      </c>
      <c r="IQ9" vm="351">
        <f ca="1"/>
        <v>189.45</v>
      </c>
      <c r="IR9" vm="352">
        <f ca="1"/>
        <v>187.43</v>
      </c>
      <c r="IS9" vm="353">
        <f ca="1"/>
        <v>186.67</v>
      </c>
      <c r="IT9" vm="354">
        <f ca="1"/>
        <v>184.41</v>
      </c>
      <c r="IU9" vm="355">
        <f ca="1"/>
        <v>183.65</v>
      </c>
      <c r="IV9" vm="356">
        <f ca="1"/>
        <v>184.42</v>
      </c>
      <c r="IW9" vm="9">
        <f ca="1"/>
        <v>184.45</v>
      </c>
    </row>
    <row r="10" spans="1:257" ht="17" thickBot="1" x14ac:dyDescent="0.25">
      <c r="A10" s="11" t="e" vm="357">
        <v>#VALUE!</v>
      </c>
      <c r="B10" s="23" t="str" cm="1">
        <f t="array" aca="1" ref="B10" ca="1">_FV(A10,"ticker symbol",TRUE)</f>
        <v>IWO</v>
      </c>
      <c r="C10" s="23" t="str" cm="1">
        <f t="array" aca="1" ref="C10" ca="1">_FV(A10,"Name")</f>
        <v>iShares:Russ 2000 Gr</v>
      </c>
      <c r="D10" cm="1" vm="5289">
        <f t="array" aca="1" ref="D10:IW10" ca="1">TRANSPOSE(_xlfn.STOCKHISTORY(B10, WORKDAY(TODAY(), -265), TODAY(), 0, 0, 1))</f>
        <v>306.26</v>
      </c>
      <c r="E10" s="23" vm="5290">
        <f ca="1"/>
        <v>301.73</v>
      </c>
      <c r="F10" s="23" vm="5291">
        <f ca="1"/>
        <v>289.01</v>
      </c>
      <c r="G10" s="23" vm="5292">
        <f ca="1"/>
        <v>287.89999999999998</v>
      </c>
      <c r="H10" s="23" vm="5293">
        <f ca="1"/>
        <v>290.85000000000002</v>
      </c>
      <c r="I10" s="23" vm="5294">
        <f ca="1"/>
        <v>289.81</v>
      </c>
      <c r="J10" s="23" vm="5295">
        <f ca="1"/>
        <v>292.69</v>
      </c>
      <c r="K10" s="23" vm="5296">
        <f ca="1"/>
        <v>296.17</v>
      </c>
      <c r="L10" s="23" vm="5297">
        <f ca="1"/>
        <v>290.94</v>
      </c>
      <c r="M10" s="23" vm="5298">
        <f ca="1"/>
        <v>288.33</v>
      </c>
      <c r="N10" s="23" vm="5299">
        <f ca="1"/>
        <v>287.82</v>
      </c>
      <c r="O10" s="23" vm="5300">
        <f ca="1"/>
        <v>288.8</v>
      </c>
      <c r="P10" s="23" vm="5301">
        <f ca="1"/>
        <v>294.77999999999997</v>
      </c>
      <c r="Q10" s="23" vm="5302">
        <f ca="1"/>
        <v>295.17</v>
      </c>
      <c r="R10" s="23" vm="5303">
        <f ca="1"/>
        <v>293.02</v>
      </c>
      <c r="S10" s="23" vm="5304">
        <f ca="1"/>
        <v>291.25</v>
      </c>
      <c r="T10" s="23" vm="5305">
        <f ca="1"/>
        <v>284.83999999999997</v>
      </c>
      <c r="U10" s="23" vm="5306">
        <f ca="1"/>
        <v>284.37</v>
      </c>
      <c r="V10" s="23" vm="5307">
        <f ca="1"/>
        <v>286.7</v>
      </c>
      <c r="W10" s="23" vm="5308">
        <f ca="1"/>
        <v>292.61</v>
      </c>
      <c r="X10" s="23" vm="5309">
        <f ca="1"/>
        <v>293.41000000000003</v>
      </c>
      <c r="Y10" s="23" vm="5310">
        <f ca="1"/>
        <v>294.66000000000003</v>
      </c>
      <c r="Z10" s="23" vm="5311">
        <f ca="1"/>
        <v>301.77999999999997</v>
      </c>
      <c r="AA10" s="23" vm="5312">
        <f ca="1"/>
        <v>300.98</v>
      </c>
      <c r="AB10" s="23" vm="5313">
        <f ca="1"/>
        <v>302.92</v>
      </c>
      <c r="AC10" s="23" vm="5314">
        <f ca="1"/>
        <v>300.73</v>
      </c>
      <c r="AD10" vm="5301">
        <f ca="1"/>
        <v>294.77999999999997</v>
      </c>
      <c r="AE10" vm="5315">
        <f ca="1"/>
        <v>296.57</v>
      </c>
      <c r="AF10" vm="5316">
        <f ca="1"/>
        <v>296.18</v>
      </c>
      <c r="AG10" vm="5317">
        <f ca="1"/>
        <v>299.67</v>
      </c>
      <c r="AH10" vm="5318">
        <f ca="1"/>
        <v>296.91000000000003</v>
      </c>
      <c r="AI10" vm="5319">
        <f ca="1"/>
        <v>294.01</v>
      </c>
      <c r="AJ10" vm="5320">
        <f ca="1"/>
        <v>297.55</v>
      </c>
      <c r="AK10" vm="5321">
        <f ca="1"/>
        <v>301.20999999999998</v>
      </c>
      <c r="AL10" vm="5322">
        <f ca="1"/>
        <v>299.52999999999997</v>
      </c>
      <c r="AM10" vm="629">
        <f ca="1"/>
        <v>296.2</v>
      </c>
      <c r="AN10" vm="5323">
        <f ca="1"/>
        <v>297.57</v>
      </c>
      <c r="AO10" vm="5324">
        <f ca="1"/>
        <v>293.74</v>
      </c>
      <c r="AP10" vm="5325">
        <f ca="1"/>
        <v>292.13</v>
      </c>
      <c r="AQ10" vm="5326">
        <f ca="1"/>
        <v>295.67</v>
      </c>
      <c r="AR10" vm="5327">
        <f ca="1"/>
        <v>295.57</v>
      </c>
      <c r="AS10" vm="5328">
        <f ca="1"/>
        <v>297.31</v>
      </c>
      <c r="AT10" vm="5329">
        <f ca="1"/>
        <v>296.62</v>
      </c>
      <c r="AU10" vm="5330">
        <f ca="1"/>
        <v>293.76</v>
      </c>
      <c r="AV10" vm="5331">
        <f ca="1"/>
        <v>283.19</v>
      </c>
      <c r="AW10" vm="5332">
        <f ca="1"/>
        <v>280.5</v>
      </c>
      <c r="AX10" vm="5333">
        <f ca="1"/>
        <v>278.20999999999998</v>
      </c>
      <c r="AY10" vm="5334">
        <f ca="1"/>
        <v>279.3</v>
      </c>
      <c r="AZ10" vm="5335">
        <f ca="1"/>
        <v>273.56</v>
      </c>
      <c r="BA10" vm="5336">
        <f ca="1"/>
        <v>276.8</v>
      </c>
      <c r="BB10" vm="5337">
        <f ca="1"/>
        <v>267.60000000000002</v>
      </c>
      <c r="BC10" vm="5338">
        <f ca="1"/>
        <v>265.67</v>
      </c>
      <c r="BD10" vm="5339">
        <f ca="1"/>
        <v>268.98</v>
      </c>
      <c r="BE10" vm="5340">
        <f ca="1"/>
        <v>263.23</v>
      </c>
      <c r="BF10" vm="5341">
        <f ca="1"/>
        <v>264.3</v>
      </c>
      <c r="BG10" vm="5342">
        <f ca="1"/>
        <v>257.55</v>
      </c>
      <c r="BH10" vm="5343">
        <f ca="1"/>
        <v>258.62</v>
      </c>
      <c r="BI10" vm="5344">
        <f ca="1"/>
        <v>259.08</v>
      </c>
      <c r="BJ10" vm="5345">
        <f ca="1"/>
        <v>254.58</v>
      </c>
      <c r="BK10" vm="5346">
        <f ca="1"/>
        <v>261.24</v>
      </c>
      <c r="BL10" vm="5347">
        <f ca="1"/>
        <v>264.74</v>
      </c>
      <c r="BM10" vm="5348">
        <f ca="1"/>
        <v>261.27999999999997</v>
      </c>
      <c r="BN10" vm="5349">
        <f ca="1"/>
        <v>266.32</v>
      </c>
      <c r="BO10" vm="5350">
        <f ca="1"/>
        <v>264.26</v>
      </c>
      <c r="BP10" vm="5351">
        <f ca="1"/>
        <v>262.95999999999998</v>
      </c>
      <c r="BQ10" vm="5352">
        <f ca="1"/>
        <v>270.57</v>
      </c>
      <c r="BR10" vm="5353">
        <f ca="1"/>
        <v>269.43</v>
      </c>
      <c r="BS10" vm="5354">
        <f ca="1"/>
        <v>264.82</v>
      </c>
      <c r="BT10" vm="5355">
        <f ca="1"/>
        <v>263.14</v>
      </c>
      <c r="BU10" vm="5356">
        <f ca="1"/>
        <v>257.60000000000002</v>
      </c>
      <c r="BV10" vm="5357">
        <f ca="1"/>
        <v>255.53</v>
      </c>
      <c r="BW10" vm="5358">
        <f ca="1"/>
        <v>255.66</v>
      </c>
      <c r="BX10" vm="5359">
        <f ca="1"/>
        <v>260.51</v>
      </c>
      <c r="BY10" vm="5360">
        <f ca="1"/>
        <v>243.75</v>
      </c>
      <c r="BZ10" vm="5361">
        <f ca="1"/>
        <v>232.32</v>
      </c>
      <c r="CA10" vm="5362">
        <f ca="1"/>
        <v>230.8</v>
      </c>
      <c r="CB10" vm="5363">
        <f ca="1"/>
        <v>224.16</v>
      </c>
      <c r="CC10" vm="5364">
        <f ca="1"/>
        <v>245.49</v>
      </c>
      <c r="CD10" vm="5365">
        <f ca="1"/>
        <v>235.53</v>
      </c>
      <c r="CE10" vm="5366">
        <f ca="1"/>
        <v>239.98</v>
      </c>
      <c r="CF10" vm="5367">
        <f ca="1"/>
        <v>242.51</v>
      </c>
      <c r="CG10" vm="5368">
        <f ca="1"/>
        <v>242.55</v>
      </c>
      <c r="CH10" vm="5369">
        <f ca="1"/>
        <v>239.16</v>
      </c>
      <c r="CI10" vm="5370">
        <f ca="1"/>
        <v>240.86</v>
      </c>
      <c r="CJ10" vm="5371">
        <f ca="1"/>
        <v>234.76</v>
      </c>
      <c r="CK10" vm="5372">
        <f ca="1"/>
        <v>241.05</v>
      </c>
      <c r="CL10" vm="5373">
        <f ca="1"/>
        <v>245.89</v>
      </c>
      <c r="CM10" vm="5374">
        <f ca="1"/>
        <v>251.66</v>
      </c>
      <c r="CN10" vm="5375">
        <f ca="1"/>
        <v>252.41</v>
      </c>
      <c r="CO10" vm="5376">
        <f ca="1"/>
        <v>253.28</v>
      </c>
      <c r="CP10" vm="5377">
        <f ca="1"/>
        <v>255.04</v>
      </c>
      <c r="CQ10" vm="5378">
        <f ca="1"/>
        <v>253.55</v>
      </c>
      <c r="CR10" vm="5379">
        <f ca="1"/>
        <v>255.32</v>
      </c>
      <c r="CS10" vm="5380">
        <f ca="1"/>
        <v>261.57</v>
      </c>
      <c r="CT10" vm="5381">
        <f ca="1"/>
        <v>259.99</v>
      </c>
      <c r="CU10" vm="5382">
        <f ca="1"/>
        <v>256.27</v>
      </c>
      <c r="CV10" vm="5383">
        <f ca="1"/>
        <v>257.19</v>
      </c>
      <c r="CW10" vm="5384">
        <f ca="1"/>
        <v>262.45999999999998</v>
      </c>
      <c r="CX10" vm="5385">
        <f ca="1"/>
        <v>261.67</v>
      </c>
      <c r="CY10" vm="5386">
        <f ca="1"/>
        <v>271.60000000000002</v>
      </c>
      <c r="CZ10" vm="5387">
        <f ca="1"/>
        <v>272.95</v>
      </c>
      <c r="DA10" vm="5388">
        <f ca="1"/>
        <v>271.11</v>
      </c>
      <c r="DB10" vm="5389">
        <f ca="1"/>
        <v>271.98</v>
      </c>
      <c r="DC10" vm="5390">
        <f ca="1"/>
        <v>275.16000000000003</v>
      </c>
      <c r="DD10" vm="5391">
        <f ca="1"/>
        <v>273.97000000000003</v>
      </c>
      <c r="DE10" vm="5392">
        <f ca="1"/>
        <v>274.70999999999998</v>
      </c>
      <c r="DF10" vm="5393">
        <f ca="1"/>
        <v>267.07</v>
      </c>
      <c r="DG10" vm="5394">
        <f ca="1"/>
        <v>267.23</v>
      </c>
      <c r="DH10" vm="5395">
        <f ca="1"/>
        <v>266.73</v>
      </c>
      <c r="DI10" vm="5396">
        <f ca="1"/>
        <v>273.06</v>
      </c>
      <c r="DJ10" vm="5397">
        <f ca="1"/>
        <v>270.58999999999997</v>
      </c>
      <c r="DK10" vm="5398">
        <f ca="1"/>
        <v>270.8</v>
      </c>
      <c r="DL10" vm="5399">
        <f ca="1"/>
        <v>269.62</v>
      </c>
      <c r="DM10" vm="5400">
        <f ca="1"/>
        <v>271.72000000000003</v>
      </c>
      <c r="DN10" vm="5401">
        <f ca="1"/>
        <v>276.33</v>
      </c>
      <c r="DO10" vm="5402">
        <f ca="1"/>
        <v>275.8</v>
      </c>
      <c r="DP10" vm="5403">
        <f ca="1"/>
        <v>276.20999999999998</v>
      </c>
      <c r="DQ10" vm="5404">
        <f ca="1"/>
        <v>280.58</v>
      </c>
      <c r="DR10" vm="5405">
        <f ca="1"/>
        <v>281.89</v>
      </c>
      <c r="DS10" vm="5406">
        <f ca="1"/>
        <v>282.70999999999998</v>
      </c>
      <c r="DT10" vm="5407">
        <f ca="1"/>
        <v>281.95999999999998</v>
      </c>
      <c r="DU10" vm="5408">
        <f ca="1"/>
        <v>280.52999999999997</v>
      </c>
      <c r="DV10" vm="5409">
        <f ca="1"/>
        <v>274.97000000000003</v>
      </c>
      <c r="DW10" vm="5410">
        <f ca="1"/>
        <v>278.33</v>
      </c>
      <c r="DX10" vm="5411">
        <f ca="1"/>
        <v>275.32</v>
      </c>
      <c r="DY10" vm="5412">
        <f ca="1"/>
        <v>276.83999999999997</v>
      </c>
      <c r="DZ10" vm="5413">
        <f ca="1"/>
        <v>276.14999999999998</v>
      </c>
      <c r="EA10" vm="5414">
        <f ca="1"/>
        <v>278.91000000000003</v>
      </c>
      <c r="EB10" vm="5415">
        <f ca="1"/>
        <v>283.60000000000002</v>
      </c>
      <c r="EC10" vm="5416">
        <f ca="1"/>
        <v>280.10000000000002</v>
      </c>
      <c r="ED10" vm="5417">
        <f ca="1"/>
        <v>284.60000000000002</v>
      </c>
      <c r="EE10" vm="5418">
        <f ca="1"/>
        <v>285.01</v>
      </c>
      <c r="EF10" vm="5419">
        <f ca="1"/>
        <v>285.86</v>
      </c>
      <c r="EG10" vm="630">
        <f ca="1"/>
        <v>285.23</v>
      </c>
      <c r="EH10" vm="5420">
        <f ca="1"/>
        <v>288.52999999999997</v>
      </c>
      <c r="EI10" vm="5421">
        <f ca="1"/>
        <v>292.05</v>
      </c>
      <c r="EJ10" vm="5422">
        <f ca="1"/>
        <v>287.8</v>
      </c>
      <c r="EK10" vm="5423">
        <f ca="1"/>
        <v>289.13</v>
      </c>
      <c r="EL10" vm="5424">
        <f ca="1"/>
        <v>292.94</v>
      </c>
      <c r="EM10" vm="5425">
        <f ca="1"/>
        <v>293.25</v>
      </c>
      <c r="EN10" vm="5426">
        <f ca="1"/>
        <v>288.64999999999998</v>
      </c>
      <c r="EO10" vm="5427">
        <f ca="1"/>
        <v>291.33</v>
      </c>
      <c r="EP10" vm="5428">
        <f ca="1"/>
        <v>287.06</v>
      </c>
      <c r="EQ10" vm="5429">
        <f ca="1"/>
        <v>290.82</v>
      </c>
      <c r="ER10" vm="5430">
        <f ca="1"/>
        <v>294.86</v>
      </c>
      <c r="ES10" vm="5431">
        <f ca="1"/>
        <v>292.76</v>
      </c>
      <c r="ET10" vm="5432">
        <f ca="1"/>
        <v>290.47000000000003</v>
      </c>
      <c r="EU10" vm="5433">
        <f ca="1"/>
        <v>291.02</v>
      </c>
      <c r="EV10" vm="5434">
        <f ca="1"/>
        <v>296.16000000000003</v>
      </c>
      <c r="EW10" vm="5435">
        <f ca="1"/>
        <v>292.77</v>
      </c>
      <c r="EX10" vm="5436">
        <f ca="1"/>
        <v>294</v>
      </c>
      <c r="EY10" vm="5437">
        <f ca="1"/>
        <v>293.92</v>
      </c>
      <c r="EZ10" vm="5438">
        <f ca="1"/>
        <v>291.95</v>
      </c>
      <c r="FA10" vm="5439">
        <f ca="1"/>
        <v>292.91000000000003</v>
      </c>
      <c r="FB10" vm="5440">
        <f ca="1"/>
        <v>290.14999999999998</v>
      </c>
      <c r="FC10" vm="5441">
        <f ca="1"/>
        <v>284.45</v>
      </c>
      <c r="FD10" vm="5442">
        <f ca="1"/>
        <v>291.64</v>
      </c>
      <c r="FE10" vm="5443">
        <f ca="1"/>
        <v>292.98</v>
      </c>
      <c r="FF10" vm="5444">
        <f ca="1"/>
        <v>291.82</v>
      </c>
      <c r="FG10" vm="5445">
        <f ca="1"/>
        <v>291.06</v>
      </c>
      <c r="FH10" vm="5446">
        <f ca="1"/>
        <v>291.54000000000002</v>
      </c>
      <c r="FI10" vm="5447">
        <f ca="1"/>
        <v>291.73</v>
      </c>
      <c r="FJ10" vm="5448">
        <f ca="1"/>
        <v>299.54000000000002</v>
      </c>
      <c r="FK10" vm="5449">
        <f ca="1"/>
        <v>304.81</v>
      </c>
      <c r="FL10" vm="5450">
        <f ca="1"/>
        <v>300.45</v>
      </c>
      <c r="FM10" vm="5451">
        <f ca="1"/>
        <v>299.36</v>
      </c>
      <c r="FN10" vm="5452">
        <f ca="1"/>
        <v>300.81</v>
      </c>
      <c r="FO10" vm="5453">
        <f ca="1"/>
        <v>296.60000000000002</v>
      </c>
      <c r="FP10" vm="5454">
        <f ca="1"/>
        <v>295.62</v>
      </c>
      <c r="FQ10" vm="5455">
        <f ca="1"/>
        <v>297.12</v>
      </c>
      <c r="FR10" vm="5456">
        <f ca="1"/>
        <v>307.27999999999997</v>
      </c>
      <c r="FS10" vm="5457">
        <f ca="1"/>
        <v>304.02</v>
      </c>
      <c r="FT10" vm="5458">
        <f ca="1"/>
        <v>306.67</v>
      </c>
      <c r="FU10" vm="5459">
        <f ca="1"/>
        <v>308.58999999999997</v>
      </c>
      <c r="FV10" vm="5460">
        <f ca="1"/>
        <v>310.32</v>
      </c>
      <c r="FW10" vm="5461">
        <f ca="1"/>
        <v>307.7</v>
      </c>
      <c r="FX10" vm="5462">
        <f ca="1"/>
        <v>305.89999999999998</v>
      </c>
      <c r="FY10" vm="5463">
        <f ca="1"/>
        <v>305.54000000000002</v>
      </c>
      <c r="FZ10" vm="5464">
        <f ca="1"/>
        <v>309.12</v>
      </c>
      <c r="GA10" vm="5465">
        <f ca="1"/>
        <v>310.83</v>
      </c>
      <c r="GB10" vm="5466">
        <f ca="1"/>
        <v>312.06</v>
      </c>
      <c r="GC10" vm="5467">
        <f ca="1"/>
        <v>310.82</v>
      </c>
      <c r="GD10" vm="5468">
        <f ca="1"/>
        <v>309.69</v>
      </c>
      <c r="GE10" vm="5469">
        <f ca="1"/>
        <v>315.70999999999998</v>
      </c>
      <c r="GF10" vm="5470">
        <f ca="1"/>
        <v>312.87</v>
      </c>
      <c r="GG10" vm="5471">
        <f ca="1"/>
        <v>314.37</v>
      </c>
      <c r="GH10" vm="5472">
        <f ca="1"/>
        <v>314.12</v>
      </c>
      <c r="GI10" vm="5473">
        <f ca="1"/>
        <v>315.01</v>
      </c>
      <c r="GJ10" vm="5474">
        <f ca="1"/>
        <v>323.85000000000002</v>
      </c>
      <c r="GK10" vm="5475">
        <f ca="1"/>
        <v>322.41000000000003</v>
      </c>
      <c r="GL10" vm="5476">
        <f ca="1"/>
        <v>324.95</v>
      </c>
      <c r="GM10" vm="5477">
        <f ca="1"/>
        <v>324.07</v>
      </c>
      <c r="GN10" vm="5478">
        <f ca="1"/>
        <v>319.38</v>
      </c>
      <c r="GO10" vm="5479">
        <f ca="1"/>
        <v>316.12</v>
      </c>
      <c r="GP10" vm="5480">
        <f ca="1"/>
        <v>319.19</v>
      </c>
      <c r="GQ10" vm="5481">
        <f ca="1"/>
        <v>319.87</v>
      </c>
      <c r="GR10" vm="5482">
        <f ca="1"/>
        <v>320.04000000000002</v>
      </c>
      <c r="GS10" vm="5483">
        <f ca="1"/>
        <v>320.05</v>
      </c>
      <c r="GT10" vm="5484">
        <f ca="1"/>
        <v>323.5</v>
      </c>
      <c r="GU10" vm="5485">
        <f ca="1"/>
        <v>325.45999999999998</v>
      </c>
      <c r="GV10" vm="5486">
        <f ca="1"/>
        <v>327.74</v>
      </c>
      <c r="GW10" vm="5487">
        <f ca="1"/>
        <v>324.23</v>
      </c>
      <c r="GX10" vm="5488">
        <f ca="1"/>
        <v>327.97</v>
      </c>
      <c r="GY10" vm="5489">
        <f ca="1"/>
        <v>326.74</v>
      </c>
      <c r="GZ10" vm="5490">
        <f ca="1"/>
        <v>317.33</v>
      </c>
      <c r="HA10" vm="5491">
        <f ca="1"/>
        <v>327.49</v>
      </c>
      <c r="HB10" vm="5492">
        <f ca="1"/>
        <v>330.34</v>
      </c>
      <c r="HC10" vm="5493">
        <f ca="1"/>
        <v>335</v>
      </c>
      <c r="HD10" vm="5494">
        <f ca="1"/>
        <v>327.87</v>
      </c>
      <c r="HE10" vm="5495">
        <f ca="1"/>
        <v>324.02999999999997</v>
      </c>
      <c r="HF10" vm="5496">
        <f ca="1"/>
        <v>330.33</v>
      </c>
      <c r="HG10" vm="5497">
        <f ca="1"/>
        <v>329.03</v>
      </c>
      <c r="HH10" vm="5498">
        <f ca="1"/>
        <v>322.26</v>
      </c>
      <c r="HI10" vm="5499">
        <f ca="1"/>
        <v>327.18</v>
      </c>
      <c r="HJ10" vm="371">
        <f ca="1"/>
        <v>331.66</v>
      </c>
      <c r="HK10" vm="5500">
        <f ca="1"/>
        <v>333.65</v>
      </c>
      <c r="HL10" vm="5501">
        <f ca="1"/>
        <v>331.8</v>
      </c>
      <c r="HM10" vm="5502">
        <f ca="1"/>
        <v>330.87</v>
      </c>
      <c r="HN10" vm="5503">
        <f ca="1"/>
        <v>327.37</v>
      </c>
      <c r="HO10" vm="5504">
        <f ca="1"/>
        <v>330.69</v>
      </c>
      <c r="HP10" vm="5505">
        <f ca="1"/>
        <v>328.51</v>
      </c>
      <c r="HQ10" vm="5506">
        <f ca="1"/>
        <v>321.18</v>
      </c>
      <c r="HR10" vm="5507">
        <f ca="1"/>
        <v>326.89999999999998</v>
      </c>
      <c r="HS10" vm="5508">
        <f ca="1"/>
        <v>319.89999999999998</v>
      </c>
      <c r="HT10" vm="5509">
        <f ca="1"/>
        <v>321.04000000000002</v>
      </c>
      <c r="HU10" vm="5510">
        <f ca="1"/>
        <v>324.95999999999998</v>
      </c>
      <c r="HV10" vm="5511">
        <f ca="1"/>
        <v>324.14</v>
      </c>
      <c r="HW10" vm="5512">
        <f ca="1"/>
        <v>322.82</v>
      </c>
      <c r="HX10" vm="5513">
        <f ca="1"/>
        <v>310.75</v>
      </c>
      <c r="HY10" vm="5514">
        <f ca="1"/>
        <v>312.12</v>
      </c>
      <c r="HZ10" vm="5515">
        <f ca="1"/>
        <v>306.58</v>
      </c>
      <c r="IA10" vm="5516">
        <f ca="1"/>
        <v>306.95999999999998</v>
      </c>
      <c r="IB10" vm="358">
        <f ca="1"/>
        <v>307.97000000000003</v>
      </c>
      <c r="IC10" vm="359">
        <f ca="1"/>
        <v>300.69</v>
      </c>
      <c r="ID10" vm="360">
        <f ca="1"/>
        <v>308.52</v>
      </c>
      <c r="IE10" vm="361">
        <f ca="1"/>
        <v>316.08</v>
      </c>
      <c r="IF10" vm="362">
        <f ca="1"/>
        <v>322.47000000000003</v>
      </c>
      <c r="IG10" vm="363">
        <f ca="1"/>
        <v>325.72000000000003</v>
      </c>
      <c r="IH10" vm="364">
        <f ca="1"/>
        <v>328.12</v>
      </c>
      <c r="II10" vm="365">
        <f ca="1"/>
        <v>322.27999999999997</v>
      </c>
      <c r="IJ10" vm="366">
        <f ca="1"/>
        <v>322.63</v>
      </c>
      <c r="IK10" vm="367">
        <f ca="1"/>
        <v>328.46</v>
      </c>
      <c r="IL10" vm="368">
        <f ca="1"/>
        <v>333.15</v>
      </c>
      <c r="IM10" vm="369">
        <f ca="1"/>
        <v>331.15</v>
      </c>
      <c r="IN10" vm="370">
        <f ca="1"/>
        <v>331.46</v>
      </c>
      <c r="IO10" vm="371">
        <f ca="1"/>
        <v>331.66</v>
      </c>
      <c r="IP10" vm="372">
        <f ca="1"/>
        <v>334.44</v>
      </c>
      <c r="IQ10" vm="373">
        <f ca="1"/>
        <v>339.33</v>
      </c>
      <c r="IR10" vm="374">
        <f ca="1"/>
        <v>332.92</v>
      </c>
      <c r="IS10" vm="375">
        <f ca="1"/>
        <v>329.04</v>
      </c>
      <c r="IT10" vm="376">
        <f ca="1"/>
        <v>327.47000000000003</v>
      </c>
      <c r="IU10" vm="377">
        <f ca="1"/>
        <v>321.75</v>
      </c>
      <c r="IV10" vm="378">
        <f ca="1"/>
        <v>324.27999999999997</v>
      </c>
      <c r="IW10" vm="10">
        <f ca="1"/>
        <v>329.61</v>
      </c>
    </row>
    <row r="11" spans="1:257" ht="16" x14ac:dyDescent="0.2">
      <c r="A11" s="10" t="e" vm="379">
        <v>#VALUE!</v>
      </c>
      <c r="B11" s="23" t="str" cm="1">
        <f t="array" aca="1" ref="B11" ca="1">_FV(A11,"ticker symbol",TRUE)</f>
        <v>XLC</v>
      </c>
      <c r="C11" s="23" t="str" cm="1">
        <f t="array" aca="1" ref="C11" ca="1">_FV(A11,"Name")</f>
        <v>Sel Sctr:ComS SS SPDR</v>
      </c>
      <c r="D11" cm="1" vm="5517">
        <f t="array" aca="1" ref="D11:IW11" ca="1">TRANSPOSE(_xlfn.STOCKHISTORY(B11, WORKDAY(TODAY(), -265), TODAY(), 0, 0, 1))</f>
        <v>101.33</v>
      </c>
      <c r="E11" s="23" vm="5518">
        <f ca="1"/>
        <v>100.57</v>
      </c>
      <c r="F11" s="23" vm="5519">
        <f ca="1"/>
        <v>97.7</v>
      </c>
      <c r="G11" s="23" vm="5520">
        <f ca="1"/>
        <v>97.43</v>
      </c>
      <c r="H11" s="23" vm="5521">
        <f ca="1"/>
        <v>97.96</v>
      </c>
      <c r="I11" s="23" vm="5522">
        <f ca="1"/>
        <v>98.24</v>
      </c>
      <c r="J11" s="23" vm="5523">
        <f ca="1"/>
        <v>99.17</v>
      </c>
      <c r="K11" s="23" vm="5524">
        <f ca="1"/>
        <v>99.04</v>
      </c>
      <c r="L11" s="23" vm="5525">
        <f ca="1"/>
        <v>98.16</v>
      </c>
      <c r="M11" s="23" vm="5526">
        <f ca="1"/>
        <v>97.13</v>
      </c>
      <c r="N11" s="23" vm="4494">
        <f ca="1"/>
        <v>96.81</v>
      </c>
      <c r="O11" s="23" vm="5527">
        <f ca="1"/>
        <v>97.28</v>
      </c>
      <c r="P11" s="23" vm="5528">
        <f ca="1"/>
        <v>97.88</v>
      </c>
      <c r="Q11" s="23" vm="5529">
        <f ca="1"/>
        <v>98.94</v>
      </c>
      <c r="R11" s="23" vm="4581">
        <f ca="1"/>
        <v>97.84</v>
      </c>
      <c r="S11" s="23" vm="4497">
        <f ca="1"/>
        <v>97.26</v>
      </c>
      <c r="T11" s="23" vm="1901">
        <f ca="1"/>
        <v>95.81</v>
      </c>
      <c r="U11" s="23" vm="5530">
        <f ca="1"/>
        <v>95.85</v>
      </c>
      <c r="V11" s="23" vm="2043">
        <f ca="1"/>
        <v>95.53</v>
      </c>
      <c r="W11" s="23" vm="5531">
        <f ca="1"/>
        <v>97.1</v>
      </c>
      <c r="X11" s="23" vm="5532">
        <f ca="1"/>
        <v>96.55</v>
      </c>
      <c r="Y11" s="23" vm="5533">
        <f ca="1"/>
        <v>97.39</v>
      </c>
      <c r="Z11" s="23" vm="5534">
        <f ca="1"/>
        <v>98.27</v>
      </c>
      <c r="AA11" s="23" vm="5535">
        <f ca="1"/>
        <v>99.25</v>
      </c>
      <c r="AB11" s="23" vm="4644">
        <f ca="1"/>
        <v>99.51</v>
      </c>
      <c r="AC11" s="23" vm="3206">
        <f ca="1"/>
        <v>100.41</v>
      </c>
      <c r="AD11" vm="5536">
        <f ca="1"/>
        <v>100.93</v>
      </c>
      <c r="AE11" vm="5537">
        <f ca="1"/>
        <v>101.42</v>
      </c>
      <c r="AF11" vm="5538">
        <f ca="1"/>
        <v>101.87</v>
      </c>
      <c r="AG11" vm="5539">
        <f ca="1"/>
        <v>101.97</v>
      </c>
      <c r="AH11" vm="5540">
        <f ca="1"/>
        <v>102.38</v>
      </c>
      <c r="AI11" vm="5541">
        <f ca="1"/>
        <v>102.6</v>
      </c>
      <c r="AJ11" vm="5542">
        <f ca="1"/>
        <v>103.52</v>
      </c>
      <c r="AK11" vm="5543">
        <f ca="1"/>
        <v>102.52</v>
      </c>
      <c r="AL11" vm="5544">
        <f ca="1"/>
        <v>102.96</v>
      </c>
      <c r="AM11" vm="5545">
        <f ca="1"/>
        <v>102.74</v>
      </c>
      <c r="AN11" vm="5546">
        <f ca="1"/>
        <v>103.2</v>
      </c>
      <c r="AO11" vm="5547">
        <f ca="1"/>
        <v>103.37</v>
      </c>
      <c r="AP11" vm="5548">
        <f ca="1"/>
        <v>103.48</v>
      </c>
      <c r="AQ11" vm="5549">
        <f ca="1"/>
        <v>104.67</v>
      </c>
      <c r="AR11" vm="5550">
        <f ca="1"/>
        <v>105.31</v>
      </c>
      <c r="AS11" vm="5551">
        <f ca="1"/>
        <v>104.82</v>
      </c>
      <c r="AT11" vm="5552">
        <f ca="1"/>
        <v>104.94</v>
      </c>
      <c r="AU11" vm="5553">
        <f ca="1"/>
        <v>104.45</v>
      </c>
      <c r="AV11" vm="5554">
        <f ca="1"/>
        <v>103.02</v>
      </c>
      <c r="AW11" vm="5555">
        <f ca="1"/>
        <v>103.22</v>
      </c>
      <c r="AX11" vm="5556">
        <f ca="1"/>
        <v>101.69</v>
      </c>
      <c r="AY11" vm="5557">
        <f ca="1"/>
        <v>101.51</v>
      </c>
      <c r="AZ11" vm="3211">
        <f ca="1"/>
        <v>100.53</v>
      </c>
      <c r="BA11" vm="5558">
        <f ca="1"/>
        <v>102</v>
      </c>
      <c r="BB11" vm="5559">
        <f ca="1"/>
        <v>100.98</v>
      </c>
      <c r="BC11" vm="5560">
        <f ca="1"/>
        <v>100.18</v>
      </c>
      <c r="BD11" vm="4624">
        <f ca="1"/>
        <v>101.47</v>
      </c>
      <c r="BE11" vm="5561">
        <f ca="1"/>
        <v>99.65</v>
      </c>
      <c r="BF11" vm="5562">
        <f ca="1"/>
        <v>100.29</v>
      </c>
      <c r="BG11" vm="5563">
        <f ca="1"/>
        <v>97.79</v>
      </c>
      <c r="BH11" vm="5564">
        <f ca="1"/>
        <v>96.35</v>
      </c>
      <c r="BI11" vm="4577">
        <f ca="1"/>
        <v>96.83</v>
      </c>
      <c r="BJ11" vm="4551">
        <f ca="1"/>
        <v>94.84</v>
      </c>
      <c r="BK11" vm="5565">
        <f ca="1"/>
        <v>96.58</v>
      </c>
      <c r="BL11" vm="5566">
        <f ca="1"/>
        <v>97.27</v>
      </c>
      <c r="BM11" vm="5567">
        <f ca="1"/>
        <v>95.91</v>
      </c>
      <c r="BN11" vm="5568">
        <f ca="1"/>
        <v>97.05</v>
      </c>
      <c r="BO11" vm="5569">
        <f ca="1"/>
        <v>96.84</v>
      </c>
      <c r="BP11" vm="5570">
        <f ca="1"/>
        <v>97.6</v>
      </c>
      <c r="BQ11" vm="5571">
        <f ca="1"/>
        <v>98.69</v>
      </c>
      <c r="BR11" vm="5572">
        <f ca="1"/>
        <v>99.94</v>
      </c>
      <c r="BS11" vm="5573">
        <f ca="1"/>
        <v>99.09</v>
      </c>
      <c r="BT11" vm="5574">
        <f ca="1"/>
        <v>98.65</v>
      </c>
      <c r="BU11" vm="5575">
        <f ca="1"/>
        <v>95.74</v>
      </c>
      <c r="BV11" vm="3194">
        <f ca="1"/>
        <v>96.45</v>
      </c>
      <c r="BW11" vm="5576">
        <f ca="1"/>
        <v>96.51</v>
      </c>
      <c r="BX11" vm="5577">
        <f ca="1"/>
        <v>96.85</v>
      </c>
      <c r="BY11" vm="5578">
        <f ca="1"/>
        <v>92.53</v>
      </c>
      <c r="BZ11" vm="5579">
        <f ca="1"/>
        <v>87.23</v>
      </c>
      <c r="CA11" vm="5580">
        <f ca="1"/>
        <v>87.35</v>
      </c>
      <c r="CB11" vm="5581">
        <f ca="1"/>
        <v>86.13</v>
      </c>
      <c r="CC11" vm="5582">
        <f ca="1"/>
        <v>93.74</v>
      </c>
      <c r="CD11" vm="5583">
        <f ca="1"/>
        <v>90.5</v>
      </c>
      <c r="CE11" vm="5584">
        <f ca="1"/>
        <v>91.27</v>
      </c>
      <c r="CF11" vm="1845">
        <f ca="1"/>
        <v>91.88</v>
      </c>
      <c r="CG11" vm="5585">
        <f ca="1"/>
        <v>92.11</v>
      </c>
      <c r="CH11" vm="1495">
        <f ca="1"/>
        <v>89.63</v>
      </c>
      <c r="CI11" vm="3139">
        <f ca="1"/>
        <v>90.21</v>
      </c>
      <c r="CJ11" vm="1332">
        <f ca="1"/>
        <v>88.18</v>
      </c>
      <c r="CK11" vm="5586">
        <f ca="1"/>
        <v>90.48</v>
      </c>
      <c r="CL11" vm="5587">
        <f ca="1"/>
        <v>91.93</v>
      </c>
      <c r="CM11" vm="4501">
        <f ca="1"/>
        <v>93.77</v>
      </c>
      <c r="CN11" vm="4482">
        <f ca="1"/>
        <v>94.36</v>
      </c>
      <c r="CO11" vm="5588">
        <f ca="1"/>
        <v>94.72</v>
      </c>
      <c r="CP11" vm="5589">
        <f ca="1"/>
        <v>95.41</v>
      </c>
      <c r="CQ11" vm="4490">
        <f ca="1"/>
        <v>95.44</v>
      </c>
      <c r="CR11" vm="5590">
        <f ca="1"/>
        <v>95.93</v>
      </c>
      <c r="CS11" vm="5591">
        <f ca="1"/>
        <v>97.42</v>
      </c>
      <c r="CT11" vm="4582">
        <f ca="1"/>
        <v>97.65</v>
      </c>
      <c r="CU11" vm="5592">
        <f ca="1"/>
        <v>97.63</v>
      </c>
      <c r="CV11" vm="5593">
        <f ca="1"/>
        <v>97.45</v>
      </c>
      <c r="CW11" vm="5594">
        <f ca="1"/>
        <v>97.68</v>
      </c>
      <c r="CX11" vm="4583">
        <f ca="1"/>
        <v>97.18</v>
      </c>
      <c r="CY11" vm="5595">
        <f ca="1"/>
        <v>99.2</v>
      </c>
      <c r="CZ11" vm="5596">
        <f ca="1"/>
        <v>100.17</v>
      </c>
      <c r="DA11" vm="4610">
        <f ca="1"/>
        <v>100.69</v>
      </c>
      <c r="DB11" vm="4639">
        <f ca="1"/>
        <v>101.09</v>
      </c>
      <c r="DC11" vm="277">
        <f ca="1"/>
        <v>101.78</v>
      </c>
      <c r="DD11" vm="4637">
        <f ca="1"/>
        <v>101.88</v>
      </c>
      <c r="DE11" vm="5597">
        <f ca="1"/>
        <v>101.63</v>
      </c>
      <c r="DF11" vm="5598">
        <f ca="1"/>
        <v>100.87</v>
      </c>
      <c r="DG11" vm="5599">
        <f ca="1"/>
        <v>100.65</v>
      </c>
      <c r="DH11" vm="3258">
        <f ca="1"/>
        <v>100.19</v>
      </c>
      <c r="DI11" vm="5600">
        <f ca="1"/>
        <v>101.82</v>
      </c>
      <c r="DJ11" vm="5601">
        <f ca="1"/>
        <v>101.8</v>
      </c>
      <c r="DK11" vm="5559">
        <f ca="1"/>
        <v>100.98</v>
      </c>
      <c r="DL11" vm="5602">
        <f ca="1"/>
        <v>101.4</v>
      </c>
      <c r="DM11" vm="5603">
        <f ca="1"/>
        <v>101.9</v>
      </c>
      <c r="DN11" vm="4614">
        <f ca="1"/>
        <v>101.61</v>
      </c>
      <c r="DO11" vm="5604">
        <f ca="1"/>
        <v>102.26</v>
      </c>
      <c r="DP11" vm="5605">
        <f ca="1"/>
        <v>102.4</v>
      </c>
      <c r="DQ11" vm="5606">
        <f ca="1"/>
        <v>103.71</v>
      </c>
      <c r="DR11" vm="5607">
        <f ca="1"/>
        <v>103.41</v>
      </c>
      <c r="DS11" vm="5608">
        <f ca="1"/>
        <v>104.72</v>
      </c>
      <c r="DT11" vm="5609">
        <f ca="1"/>
        <v>104.48</v>
      </c>
      <c r="DU11" vm="5610">
        <f ca="1"/>
        <v>103.63</v>
      </c>
      <c r="DV11" vm="5611">
        <f ca="1"/>
        <v>102.58</v>
      </c>
      <c r="DW11" vm="5612">
        <f ca="1"/>
        <v>104.34</v>
      </c>
      <c r="DX11" vm="3235">
        <f ca="1"/>
        <v>103.42</v>
      </c>
      <c r="DY11" vm="5613">
        <f ca="1"/>
        <v>103.47</v>
      </c>
      <c r="DZ11" vm="4629">
        <f ca="1"/>
        <v>102.84</v>
      </c>
      <c r="EA11" vm="677">
        <f ca="1"/>
        <v>103.89</v>
      </c>
      <c r="EB11" vm="4632">
        <f ca="1"/>
        <v>105.23</v>
      </c>
      <c r="EC11" vm="5614">
        <f ca="1"/>
        <v>105.21</v>
      </c>
      <c r="ED11" vm="5615">
        <f ca="1"/>
        <v>106.43</v>
      </c>
      <c r="EE11" vm="5616">
        <f ca="1"/>
        <v>107.68</v>
      </c>
      <c r="EF11" vm="5617">
        <f ca="1"/>
        <v>108.53</v>
      </c>
      <c r="EG11" vm="28">
        <f ca="1"/>
        <v>107.76</v>
      </c>
      <c r="EH11" vm="2995">
        <f ca="1"/>
        <v>107.45</v>
      </c>
      <c r="EI11" vm="5618">
        <f ca="1"/>
        <v>108.04</v>
      </c>
      <c r="EJ11" vm="5619">
        <f ca="1"/>
        <v>107</v>
      </c>
      <c r="EK11" vm="5620">
        <f ca="1"/>
        <v>106.78</v>
      </c>
      <c r="EL11" vm="5621">
        <f ca="1"/>
        <v>107.06</v>
      </c>
      <c r="EM11" vm="2989">
        <f ca="1"/>
        <v>106.7</v>
      </c>
      <c r="EN11" vm="5622">
        <f ca="1"/>
        <v>106.01</v>
      </c>
      <c r="EO11" vm="3269">
        <f ca="1"/>
        <v>107.05</v>
      </c>
      <c r="EP11" vm="5623">
        <f ca="1"/>
        <v>105.99</v>
      </c>
      <c r="EQ11" vm="695">
        <f ca="1"/>
        <v>106.31</v>
      </c>
      <c r="ER11" vm="686">
        <f ca="1"/>
        <v>106.68</v>
      </c>
      <c r="ES11" vm="5624">
        <f ca="1"/>
        <v>106.19</v>
      </c>
      <c r="ET11" vm="5625">
        <f ca="1"/>
        <v>107.61</v>
      </c>
      <c r="EU11" vm="5626">
        <f ca="1"/>
        <v>107.86</v>
      </c>
      <c r="EV11" vm="5627">
        <f ca="1"/>
        <v>108.45</v>
      </c>
      <c r="EW11" vm="5628">
        <f ca="1"/>
        <v>108.63</v>
      </c>
      <c r="EX11" vm="5629">
        <f ca="1"/>
        <v>107.62</v>
      </c>
      <c r="EY11" vm="5630">
        <f ca="1"/>
        <v>107.04</v>
      </c>
      <c r="EZ11" vm="5631">
        <f ca="1"/>
        <v>106.12</v>
      </c>
      <c r="FA11" vm="5632">
        <f ca="1"/>
        <v>106.45</v>
      </c>
      <c r="FB11" vm="1076">
        <f ca="1"/>
        <v>107.41</v>
      </c>
      <c r="FC11" vm="5631">
        <f ca="1"/>
        <v>106.12</v>
      </c>
      <c r="FD11" vm="5633">
        <f ca="1"/>
        <v>108.16</v>
      </c>
      <c r="FE11" vm="5634">
        <f ca="1"/>
        <v>107.32</v>
      </c>
      <c r="FF11" vm="5635">
        <f ca="1"/>
        <v>107.73</v>
      </c>
      <c r="FG11" vm="5636">
        <f ca="1"/>
        <v>107.27</v>
      </c>
      <c r="FH11" vm="5637">
        <f ca="1"/>
        <v>107.63</v>
      </c>
      <c r="FI11" vm="5638">
        <f ca="1"/>
        <v>108.18</v>
      </c>
      <c r="FJ11" vm="5639">
        <f ca="1"/>
        <v>110.25</v>
      </c>
      <c r="FK11" vm="5640">
        <f ca="1"/>
        <v>111.11</v>
      </c>
      <c r="FL11" vm="1505">
        <f ca="1"/>
        <v>111.2</v>
      </c>
      <c r="FM11" vm="5641">
        <f ca="1"/>
        <v>111.48</v>
      </c>
      <c r="FN11" vm="5642">
        <f ca="1"/>
        <v>110.8</v>
      </c>
      <c r="FO11" vm="5643">
        <f ca="1"/>
        <v>110.18</v>
      </c>
      <c r="FP11" vm="5644">
        <f ca="1"/>
        <v>109.85</v>
      </c>
      <c r="FQ11" vm="3075">
        <f ca="1"/>
        <v>109.73</v>
      </c>
      <c r="FR11" vm="5645">
        <f ca="1"/>
        <v>111.31</v>
      </c>
      <c r="FS11" vm="5646">
        <f ca="1"/>
        <v>111.49</v>
      </c>
      <c r="FT11" vm="5647">
        <f ca="1"/>
        <v>111</v>
      </c>
      <c r="FU11" vm="380">
        <f ca="1"/>
        <v>111.19</v>
      </c>
      <c r="FV11" vm="5648">
        <f ca="1"/>
        <v>111.61</v>
      </c>
      <c r="FW11" vm="5649">
        <f ca="1"/>
        <v>111.39</v>
      </c>
      <c r="FX11" vm="1505">
        <f ca="1"/>
        <v>111.2</v>
      </c>
      <c r="FY11" vm="5650">
        <f ca="1"/>
        <v>113.06</v>
      </c>
      <c r="FZ11" vm="5651">
        <f ca="1"/>
        <v>114.08</v>
      </c>
      <c r="GA11" vm="5652">
        <f ca="1"/>
        <v>114.69</v>
      </c>
      <c r="GB11" vm="5653">
        <f ca="1"/>
        <v>114.82</v>
      </c>
      <c r="GC11" vm="5654">
        <f ca="1"/>
        <v>115.47</v>
      </c>
      <c r="GD11" vm="5655">
        <f ca="1"/>
        <v>114.62</v>
      </c>
      <c r="GE11" vm="5656">
        <f ca="1"/>
        <v>116.38</v>
      </c>
      <c r="GF11" vm="5657">
        <f ca="1"/>
        <v>117.35</v>
      </c>
      <c r="GG11" vm="5658">
        <f ca="1"/>
        <v>119</v>
      </c>
      <c r="GH11" vm="5659">
        <f ca="1"/>
        <v>118.52</v>
      </c>
      <c r="GI11" vm="5660">
        <f ca="1"/>
        <v>118.83</v>
      </c>
      <c r="GJ11" vm="5661">
        <f ca="1"/>
        <v>118.92</v>
      </c>
      <c r="GK11" vm="5662">
        <f ca="1"/>
        <v>119.41</v>
      </c>
      <c r="GL11" vm="5663">
        <f ca="1"/>
        <v>118.58</v>
      </c>
      <c r="GM11" vm="5664">
        <f ca="1"/>
        <v>118.41</v>
      </c>
      <c r="GN11" vm="5665">
        <f ca="1"/>
        <v>117.43</v>
      </c>
      <c r="GO11" vm="5666">
        <f ca="1"/>
        <v>117.03</v>
      </c>
      <c r="GP11" vm="5667">
        <f ca="1"/>
        <v>118.17</v>
      </c>
      <c r="GQ11" vm="5668">
        <f ca="1"/>
        <v>118.55</v>
      </c>
      <c r="GR11" vm="5669">
        <f ca="1"/>
        <v>118.37</v>
      </c>
      <c r="GS11" vm="5670">
        <f ca="1"/>
        <v>116.71</v>
      </c>
      <c r="GT11" vm="5671">
        <f ca="1"/>
        <v>116.45</v>
      </c>
      <c r="GU11" vm="393">
        <f ca="1"/>
        <v>116.39</v>
      </c>
      <c r="GV11" vm="5672">
        <f ca="1"/>
        <v>116.51</v>
      </c>
      <c r="GW11" vm="5673">
        <f ca="1"/>
        <v>116.06</v>
      </c>
      <c r="GX11" vm="5674">
        <f ca="1"/>
        <v>115.58</v>
      </c>
      <c r="GY11" vm="5675">
        <f ca="1"/>
        <v>114.92</v>
      </c>
      <c r="GZ11" vm="5676">
        <f ca="1"/>
        <v>112.8</v>
      </c>
      <c r="HA11" vm="5677">
        <f ca="1"/>
        <v>113.84</v>
      </c>
      <c r="HB11" vm="5678">
        <f ca="1"/>
        <v>114.59</v>
      </c>
      <c r="HC11" vm="5679">
        <f ca="1"/>
        <v>115.4</v>
      </c>
      <c r="HD11" vm="5680">
        <f ca="1"/>
        <v>114.17</v>
      </c>
      <c r="HE11" vm="5681">
        <f ca="1"/>
        <v>114.94</v>
      </c>
      <c r="HF11" vm="5682">
        <f ca="1"/>
        <v>116.24</v>
      </c>
      <c r="HG11" vm="398">
        <f ca="1"/>
        <v>116.65</v>
      </c>
      <c r="HH11" vm="5683">
        <f ca="1"/>
        <v>115.64</v>
      </c>
      <c r="HI11" vm="5684">
        <f ca="1"/>
        <v>115.25</v>
      </c>
      <c r="HJ11" vm="5685">
        <f ca="1"/>
        <v>115.55</v>
      </c>
      <c r="HK11" vm="5686">
        <f ca="1"/>
        <v>117.16</v>
      </c>
      <c r="HL11" vm="5687">
        <f ca="1"/>
        <v>116.58</v>
      </c>
      <c r="HM11" vm="5688">
        <f ca="1"/>
        <v>116.29</v>
      </c>
      <c r="HN11" vm="5689">
        <f ca="1"/>
        <v>114.32</v>
      </c>
      <c r="HO11" vm="5690">
        <f ca="1"/>
        <v>114.81</v>
      </c>
      <c r="HP11" vm="5691">
        <f ca="1"/>
        <v>113.59</v>
      </c>
      <c r="HQ11" vm="5692">
        <f ca="1"/>
        <v>112.81</v>
      </c>
      <c r="HR11" vm="5693">
        <f ca="1"/>
        <v>113.42</v>
      </c>
      <c r="HS11" vm="1234">
        <f ca="1"/>
        <v>112.4</v>
      </c>
      <c r="HT11" vm="5694">
        <f ca="1"/>
        <v>112.11</v>
      </c>
      <c r="HU11" vm="5695">
        <f ca="1"/>
        <v>113.28</v>
      </c>
      <c r="HV11" vm="5696">
        <f ca="1"/>
        <v>114.2</v>
      </c>
      <c r="HW11" vm="5697">
        <f ca="1"/>
        <v>113.54</v>
      </c>
      <c r="HX11" vm="5698">
        <f ca="1"/>
        <v>111.93</v>
      </c>
      <c r="HY11" vm="5699">
        <f ca="1"/>
        <v>111.33</v>
      </c>
      <c r="HZ11" vm="5700">
        <f ca="1"/>
        <v>111.18</v>
      </c>
      <c r="IA11" vm="1238">
        <f ca="1"/>
        <v>111.81</v>
      </c>
      <c r="IB11" vm="380">
        <f ca="1"/>
        <v>111.19</v>
      </c>
      <c r="IC11" vm="381">
        <f ca="1"/>
        <v>109.97</v>
      </c>
      <c r="ID11" vm="382">
        <f ca="1"/>
        <v>111.9</v>
      </c>
      <c r="IE11" vm="383">
        <f ca="1"/>
        <v>113.01</v>
      </c>
      <c r="IF11" vm="384">
        <f ca="1"/>
        <v>114.3</v>
      </c>
      <c r="IG11" vm="385">
        <f ca="1"/>
        <v>114.46</v>
      </c>
      <c r="IH11" vm="386">
        <f ca="1"/>
        <v>115.39</v>
      </c>
      <c r="II11" vm="387">
        <f ca="1"/>
        <v>114.85</v>
      </c>
      <c r="IJ11" vm="388">
        <f ca="1"/>
        <v>115.23</v>
      </c>
      <c r="IK11" vm="389">
        <f ca="1"/>
        <v>115.13</v>
      </c>
      <c r="IL11" vm="390">
        <f ca="1"/>
        <v>115.79</v>
      </c>
      <c r="IM11" vm="391">
        <f ca="1"/>
        <v>117.13</v>
      </c>
      <c r="IN11" vm="392">
        <f ca="1"/>
        <v>116.26</v>
      </c>
      <c r="IO11" vm="393">
        <f ca="1"/>
        <v>116.39</v>
      </c>
      <c r="IP11" vm="394">
        <f ca="1"/>
        <v>117.07</v>
      </c>
      <c r="IQ11" vm="395">
        <f ca="1"/>
        <v>116.81</v>
      </c>
      <c r="IR11" vm="396">
        <f ca="1"/>
        <v>116.55</v>
      </c>
      <c r="IS11" vm="397">
        <f ca="1"/>
        <v>116.57</v>
      </c>
      <c r="IT11" vm="398">
        <f ca="1"/>
        <v>116.65</v>
      </c>
      <c r="IU11" vm="399">
        <f ca="1"/>
        <v>115.81</v>
      </c>
      <c r="IV11" vm="400">
        <f ca="1"/>
        <v>116.47</v>
      </c>
      <c r="IW11" vm="11">
        <f ca="1"/>
        <v>116.52</v>
      </c>
    </row>
    <row r="12" spans="1:257" ht="16" x14ac:dyDescent="0.2">
      <c r="A12" s="10" t="e" vm="401">
        <v>#VALUE!</v>
      </c>
      <c r="B12" s="23" t="str" cm="1">
        <f t="array" aca="1" ref="B12" ca="1">_FV(A12,"ticker symbol",TRUE)</f>
        <v>XLY</v>
      </c>
      <c r="C12" s="23" t="str" cm="1">
        <f t="array" aca="1" ref="C12" ca="1">_FV(A12,"Name")</f>
        <v>Sel Sctr:C D SS SPDR In</v>
      </c>
      <c r="D12" cm="1" vm="5701">
        <f t="array" aca="1" ref="D12:IW12" ca="1">TRANSPOSE(_xlfn.STOCKHISTORY(B12, WORKDAY(TODAY(), -265), TODAY(), 0, 0, 1))</f>
        <v>238.68</v>
      </c>
      <c r="E12" s="23" vm="5702">
        <f ca="1"/>
        <v>239.43</v>
      </c>
      <c r="F12" s="23" vm="5703">
        <f ca="1"/>
        <v>228.64</v>
      </c>
      <c r="G12" s="23" vm="5704">
        <f ca="1"/>
        <v>228.33</v>
      </c>
      <c r="H12" s="23" vm="5705">
        <f ca="1"/>
        <v>228.91</v>
      </c>
      <c r="I12" s="23" vm="5706">
        <f ca="1"/>
        <v>229.17</v>
      </c>
      <c r="J12" s="23" vm="5707">
        <f ca="1"/>
        <v>234.47</v>
      </c>
      <c r="K12" s="23" vm="5708">
        <f ca="1"/>
        <v>233.6</v>
      </c>
      <c r="L12" s="23" vm="5709">
        <f ca="1"/>
        <v>229.74</v>
      </c>
      <c r="M12" s="23" vm="5710">
        <f ca="1"/>
        <v>226.05</v>
      </c>
      <c r="N12" s="23" vm="5711">
        <f ca="1"/>
        <v>224.35</v>
      </c>
      <c r="O12" s="23" vm="5712">
        <f ca="1"/>
        <v>221.4</v>
      </c>
      <c r="P12" s="23" vm="5713">
        <f ca="1"/>
        <v>225.88</v>
      </c>
      <c r="Q12" s="23" vm="5714">
        <f ca="1"/>
        <v>226.77</v>
      </c>
      <c r="R12" s="23" vm="5715">
        <f ca="1"/>
        <v>222.38</v>
      </c>
      <c r="S12" s="23" vm="5716">
        <f ca="1"/>
        <v>223.01</v>
      </c>
      <c r="T12" s="23" vm="5717">
        <f ca="1"/>
        <v>220.82</v>
      </c>
      <c r="U12" s="23" vm="5718">
        <f ca="1"/>
        <v>222.07</v>
      </c>
      <c r="V12" s="23" vm="5719">
        <f ca="1"/>
        <v>221.64</v>
      </c>
      <c r="W12" s="23" vm="5720">
        <f ca="1"/>
        <v>227.28</v>
      </c>
      <c r="X12" s="23" vm="5710">
        <f ca="1"/>
        <v>226.05</v>
      </c>
      <c r="Y12" s="23" vm="5721">
        <f ca="1"/>
        <v>229.22</v>
      </c>
      <c r="Z12" s="23" vm="5722">
        <f ca="1"/>
        <v>230.9</v>
      </c>
      <c r="AA12" s="23" vm="5723">
        <f ca="1"/>
        <v>230.03</v>
      </c>
      <c r="AB12" s="23" vm="5724">
        <f ca="1"/>
        <v>231.42</v>
      </c>
      <c r="AC12" s="23" vm="5725">
        <f ca="1"/>
        <v>230.01</v>
      </c>
      <c r="AD12" vm="5726">
        <f ca="1"/>
        <v>231.32</v>
      </c>
      <c r="AE12" vm="5727">
        <f ca="1"/>
        <v>231.6</v>
      </c>
      <c r="AF12" vm="5728">
        <f ca="1"/>
        <v>230.94</v>
      </c>
      <c r="AG12" vm="5729">
        <f ca="1"/>
        <v>233.2</v>
      </c>
      <c r="AH12" vm="5730">
        <f ca="1"/>
        <v>232.17</v>
      </c>
      <c r="AI12" vm="5731">
        <f ca="1"/>
        <v>229.1</v>
      </c>
      <c r="AJ12" vm="5732">
        <f ca="1"/>
        <v>231.8</v>
      </c>
      <c r="AK12" vm="5706">
        <f ca="1"/>
        <v>229.17</v>
      </c>
      <c r="AL12" vm="5733">
        <f ca="1"/>
        <v>230.08</v>
      </c>
      <c r="AM12" vm="5734">
        <f ca="1"/>
        <v>225.58</v>
      </c>
      <c r="AN12" vm="5735">
        <f ca="1"/>
        <v>226.35</v>
      </c>
      <c r="AO12" vm="5736">
        <f ca="1"/>
        <v>223.78</v>
      </c>
      <c r="AP12" vm="5737">
        <f ca="1"/>
        <v>223.74</v>
      </c>
      <c r="AQ12" vm="5738">
        <f ca="1"/>
        <v>227.1</v>
      </c>
      <c r="AR12" vm="5739">
        <f ca="1"/>
        <v>227</v>
      </c>
      <c r="AS12" vm="5740">
        <f ca="1"/>
        <v>226.37</v>
      </c>
      <c r="AT12" vm="5741">
        <f ca="1"/>
        <v>226.24</v>
      </c>
      <c r="AU12" vm="5742">
        <f ca="1"/>
        <v>224.29</v>
      </c>
      <c r="AV12" vm="5743">
        <f ca="1"/>
        <v>218.39</v>
      </c>
      <c r="AW12" vm="5744">
        <f ca="1"/>
        <v>217.57</v>
      </c>
      <c r="AX12" vm="5745">
        <f ca="1"/>
        <v>216.43</v>
      </c>
      <c r="AY12" vm="5746">
        <f ca="1"/>
        <v>215.54</v>
      </c>
      <c r="AZ12" vm="5747">
        <f ca="1"/>
        <v>212.43</v>
      </c>
      <c r="BA12" vm="5748">
        <f ca="1"/>
        <v>215.96</v>
      </c>
      <c r="BB12" vm="1109">
        <f ca="1"/>
        <v>211.98</v>
      </c>
      <c r="BC12" vm="5749">
        <f ca="1"/>
        <v>208.24</v>
      </c>
      <c r="BD12" vm="5750">
        <f ca="1"/>
        <v>211.41</v>
      </c>
      <c r="BE12" vm="5751">
        <f ca="1"/>
        <v>206.05</v>
      </c>
      <c r="BF12" vm="5752">
        <f ca="1"/>
        <v>205.67</v>
      </c>
      <c r="BG12" vm="5753">
        <f ca="1"/>
        <v>198.33</v>
      </c>
      <c r="BH12" vm="5754">
        <f ca="1"/>
        <v>196.39</v>
      </c>
      <c r="BI12" vm="5755">
        <f ca="1"/>
        <v>197.53</v>
      </c>
      <c r="BJ12" vm="5756">
        <f ca="1"/>
        <v>192.6</v>
      </c>
      <c r="BK12" vm="5757">
        <f ca="1"/>
        <v>196.7</v>
      </c>
      <c r="BL12" vm="5758">
        <f ca="1"/>
        <v>197.01</v>
      </c>
      <c r="BM12" vm="5759">
        <f ca="1"/>
        <v>193.5</v>
      </c>
      <c r="BN12" vm="5760">
        <f ca="1"/>
        <v>197.21</v>
      </c>
      <c r="BO12" vm="5761">
        <f ca="1"/>
        <v>196.74</v>
      </c>
      <c r="BP12" vm="5762">
        <f ca="1"/>
        <v>197.45</v>
      </c>
      <c r="BQ12" vm="5763">
        <f ca="1"/>
        <v>204.29</v>
      </c>
      <c r="BR12" vm="5764">
        <f ca="1"/>
        <v>205.92</v>
      </c>
      <c r="BS12" vm="5765">
        <f ca="1"/>
        <v>203.23</v>
      </c>
      <c r="BT12" vm="5766">
        <f ca="1"/>
        <v>203.36</v>
      </c>
      <c r="BU12" vm="5767">
        <f ca="1"/>
        <v>197.04</v>
      </c>
      <c r="BV12" vm="5768">
        <f ca="1"/>
        <v>197.46</v>
      </c>
      <c r="BW12" vm="5769">
        <f ca="1"/>
        <v>199.52</v>
      </c>
      <c r="BX12" vm="5770">
        <f ca="1"/>
        <v>203.31</v>
      </c>
      <c r="BY12" vm="5771">
        <f ca="1"/>
        <v>191.03</v>
      </c>
      <c r="BZ12" vm="5772">
        <f ca="1"/>
        <v>182.79</v>
      </c>
      <c r="CA12" vm="5773">
        <f ca="1"/>
        <v>180.63</v>
      </c>
      <c r="CB12" vm="5774">
        <f ca="1"/>
        <v>176.34</v>
      </c>
      <c r="CC12" vm="5775">
        <f ca="1"/>
        <v>195.54</v>
      </c>
      <c r="CD12" vm="5776">
        <f ca="1"/>
        <v>187.9</v>
      </c>
      <c r="CE12" vm="5777">
        <f ca="1"/>
        <v>189.72</v>
      </c>
      <c r="CF12" vm="5778">
        <f ca="1"/>
        <v>190.27</v>
      </c>
      <c r="CG12" vm="5779">
        <f ca="1"/>
        <v>188.9</v>
      </c>
      <c r="CH12" vm="5780">
        <f ca="1"/>
        <v>184.24</v>
      </c>
      <c r="CI12" vm="5781">
        <f ca="1"/>
        <v>185.4</v>
      </c>
      <c r="CJ12" vm="5782">
        <f ca="1"/>
        <v>180.45</v>
      </c>
      <c r="CK12" vm="5783">
        <f ca="1"/>
        <v>186.16</v>
      </c>
      <c r="CL12" vm="5784">
        <f ca="1"/>
        <v>190.32</v>
      </c>
      <c r="CM12" vm="5785">
        <f ca="1"/>
        <v>194.11</v>
      </c>
      <c r="CN12" vm="5786">
        <f ca="1"/>
        <v>197.6</v>
      </c>
      <c r="CO12" vm="5787">
        <f ca="1"/>
        <v>197.67</v>
      </c>
      <c r="CP12" vm="5788">
        <f ca="1"/>
        <v>199.07</v>
      </c>
      <c r="CQ12" vm="5789">
        <f ca="1"/>
        <v>197.26</v>
      </c>
      <c r="CR12" vm="5790">
        <f ca="1"/>
        <v>198.35</v>
      </c>
      <c r="CS12" vm="5791">
        <f ca="1"/>
        <v>201.43</v>
      </c>
      <c r="CT12" vm="5792">
        <f ca="1"/>
        <v>199.29</v>
      </c>
      <c r="CU12" vm="5793">
        <f ca="1"/>
        <v>197.55</v>
      </c>
      <c r="CV12" vm="5794">
        <f ca="1"/>
        <v>199.09</v>
      </c>
      <c r="CW12" vm="5795">
        <f ca="1"/>
        <v>201.44</v>
      </c>
      <c r="CX12" vm="1757">
        <f ca="1"/>
        <v>202.41</v>
      </c>
      <c r="CY12" vm="5796">
        <f ca="1"/>
        <v>212.47</v>
      </c>
      <c r="CZ12" vm="5797">
        <f ca="1"/>
        <v>215.28</v>
      </c>
      <c r="DA12" vm="5798">
        <f ca="1"/>
        <v>216.11</v>
      </c>
      <c r="DB12" vm="5799">
        <f ca="1"/>
        <v>215.63</v>
      </c>
      <c r="DC12" vm="5800">
        <f ca="1"/>
        <v>217.67</v>
      </c>
      <c r="DD12" vm="5801">
        <f ca="1"/>
        <v>217.16</v>
      </c>
      <c r="DE12" vm="5802">
        <f ca="1"/>
        <v>216.03</v>
      </c>
      <c r="DF12" vm="5803">
        <f ca="1"/>
        <v>211.65</v>
      </c>
      <c r="DG12" vm="5804">
        <f ca="1"/>
        <v>212.56</v>
      </c>
      <c r="DH12" vm="5805">
        <f ca="1"/>
        <v>210.65</v>
      </c>
      <c r="DI12" vm="5806">
        <f ca="1"/>
        <v>216.87</v>
      </c>
      <c r="DJ12" vm="5807">
        <f ca="1"/>
        <v>214.88</v>
      </c>
      <c r="DK12" vm="5808">
        <f ca="1"/>
        <v>214.97</v>
      </c>
      <c r="DL12" vm="5809">
        <f ca="1"/>
        <v>213.8</v>
      </c>
      <c r="DM12" vm="5810">
        <f ca="1"/>
        <v>214.3</v>
      </c>
      <c r="DN12" vm="5811">
        <f ca="1"/>
        <v>215.44</v>
      </c>
      <c r="DO12" vm="1115">
        <f ca="1"/>
        <v>214.87</v>
      </c>
      <c r="DP12" vm="5812">
        <f ca="1"/>
        <v>209.45</v>
      </c>
      <c r="DQ12" vm="5813">
        <f ca="1"/>
        <v>212.17</v>
      </c>
      <c r="DR12" vm="5814">
        <f ca="1"/>
        <v>213.87</v>
      </c>
      <c r="DS12" vm="5745">
        <f ca="1"/>
        <v>216.43</v>
      </c>
      <c r="DT12" vm="5815">
        <f ca="1"/>
        <v>214.72</v>
      </c>
      <c r="DU12" vm="5816">
        <f ca="1"/>
        <v>213.71</v>
      </c>
      <c r="DV12" vm="5817">
        <f ca="1"/>
        <v>211.74</v>
      </c>
      <c r="DW12" vm="5818">
        <f ca="1"/>
        <v>214.02</v>
      </c>
      <c r="DX12" vm="5819">
        <f ca="1"/>
        <v>210.33</v>
      </c>
      <c r="DY12" vm="5820">
        <f ca="1"/>
        <v>210.43</v>
      </c>
      <c r="DZ12" vm="5821">
        <f ca="1"/>
        <v>210.68</v>
      </c>
      <c r="EA12" vm="5822">
        <f ca="1"/>
        <v>214.4</v>
      </c>
      <c r="EB12" vm="5823">
        <f ca="1"/>
        <v>215.59</v>
      </c>
      <c r="EC12" vm="5824">
        <f ca="1"/>
        <v>213.05</v>
      </c>
      <c r="ED12" vm="5825">
        <f ca="1"/>
        <v>215.01</v>
      </c>
      <c r="EE12" vm="5826">
        <f ca="1"/>
        <v>218.59</v>
      </c>
      <c r="EF12" vm="5827">
        <f ca="1"/>
        <v>217.33</v>
      </c>
      <c r="EG12" vm="5828">
        <f ca="1"/>
        <v>218.26</v>
      </c>
      <c r="EH12" vm="5829">
        <f ca="1"/>
        <v>220.01</v>
      </c>
      <c r="EI12" vm="5830">
        <f ca="1"/>
        <v>221.21</v>
      </c>
      <c r="EJ12" vm="5831">
        <f ca="1"/>
        <v>218.4</v>
      </c>
      <c r="EK12" vm="5832">
        <f ca="1"/>
        <v>217.66</v>
      </c>
      <c r="EL12" vm="5833">
        <f ca="1"/>
        <v>218.95</v>
      </c>
      <c r="EM12" vm="5834">
        <f ca="1"/>
        <v>221.37</v>
      </c>
      <c r="EN12" vm="4168">
        <f ca="1"/>
        <v>221.43</v>
      </c>
      <c r="EO12" vm="5835">
        <f ca="1"/>
        <v>222.25</v>
      </c>
      <c r="EP12" vm="5836">
        <f ca="1"/>
        <v>219.07</v>
      </c>
      <c r="EQ12" vm="5837">
        <f ca="1"/>
        <v>219.47</v>
      </c>
      <c r="ER12" vm="5838">
        <f ca="1"/>
        <v>220.22</v>
      </c>
      <c r="ES12" vm="5839">
        <f ca="1"/>
        <v>222.17</v>
      </c>
      <c r="ET12" vm="5840">
        <f ca="1"/>
        <v>223.22</v>
      </c>
      <c r="EU12" vm="5841">
        <f ca="1"/>
        <v>225.48</v>
      </c>
      <c r="EV12" vm="5842">
        <f ca="1"/>
        <v>226.55</v>
      </c>
      <c r="EW12" vm="5843">
        <f ca="1"/>
        <v>222.8</v>
      </c>
      <c r="EX12" vm="5844">
        <f ca="1"/>
        <v>224.87</v>
      </c>
      <c r="EY12" vm="5845">
        <f ca="1"/>
        <v>226.18</v>
      </c>
      <c r="EZ12" vm="5846">
        <f ca="1"/>
        <v>224.62</v>
      </c>
      <c r="FA12" vm="5847">
        <f ca="1"/>
        <v>223.2</v>
      </c>
      <c r="FB12" vm="4168">
        <f ca="1"/>
        <v>221.43</v>
      </c>
      <c r="FC12" vm="5848">
        <f ca="1"/>
        <v>216.09</v>
      </c>
      <c r="FD12" vm="5849">
        <f ca="1"/>
        <v>218.63</v>
      </c>
      <c r="FE12" vm="5850">
        <f ca="1"/>
        <v>218.91</v>
      </c>
      <c r="FF12" vm="5851">
        <f ca="1"/>
        <v>223.46</v>
      </c>
      <c r="FG12" vm="4035">
        <f ca="1"/>
        <v>223.39</v>
      </c>
      <c r="FH12" vm="5736">
        <f ca="1"/>
        <v>223.78</v>
      </c>
      <c r="FI12" vm="5852">
        <f ca="1"/>
        <v>224.36</v>
      </c>
      <c r="FJ12" vm="5853">
        <f ca="1"/>
        <v>226.74</v>
      </c>
      <c r="FK12" vm="5854">
        <f ca="1"/>
        <v>229.85</v>
      </c>
      <c r="FL12" vm="5855">
        <f ca="1"/>
        <v>229.59</v>
      </c>
      <c r="FM12" vm="5856">
        <f ca="1"/>
        <v>229.04</v>
      </c>
      <c r="FN12" vm="5857">
        <f ca="1"/>
        <v>229.96</v>
      </c>
      <c r="FO12" vm="5854">
        <f ca="1"/>
        <v>229.85</v>
      </c>
      <c r="FP12" vm="5858">
        <f ca="1"/>
        <v>227.58</v>
      </c>
      <c r="FQ12" vm="4057">
        <f ca="1"/>
        <v>226.23</v>
      </c>
      <c r="FR12" vm="5859">
        <f ca="1"/>
        <v>233.1</v>
      </c>
      <c r="FS12" vm="5860">
        <f ca="1"/>
        <v>232.63</v>
      </c>
      <c r="FT12" vm="5861">
        <f ca="1"/>
        <v>233.7</v>
      </c>
      <c r="FU12" vm="1803">
        <f ca="1"/>
        <v>233.75</v>
      </c>
      <c r="FV12" vm="5862">
        <f ca="1"/>
        <v>234.15</v>
      </c>
      <c r="FW12" vm="5863">
        <f ca="1"/>
        <v>231.74</v>
      </c>
      <c r="FX12" vm="5725">
        <f ca="1"/>
        <v>230.01</v>
      </c>
      <c r="FY12" vm="5728">
        <f ca="1"/>
        <v>230.94</v>
      </c>
      <c r="FZ12" vm="5864">
        <f ca="1"/>
        <v>235.16</v>
      </c>
      <c r="GA12" vm="5865">
        <f ca="1"/>
        <v>235.11</v>
      </c>
      <c r="GB12" vm="5866">
        <f ca="1"/>
        <v>236.02</v>
      </c>
      <c r="GC12" vm="5867">
        <f ca="1"/>
        <v>235.69</v>
      </c>
      <c r="GD12" vm="5868">
        <f ca="1"/>
        <v>232.87</v>
      </c>
      <c r="GE12" vm="5869">
        <f ca="1"/>
        <v>237.4</v>
      </c>
      <c r="GF12" vm="5870">
        <f ca="1"/>
        <v>238.63</v>
      </c>
      <c r="GG12" vm="5871">
        <f ca="1"/>
        <v>240.7</v>
      </c>
      <c r="GH12" vm="5872">
        <f ca="1"/>
        <v>242.18</v>
      </c>
      <c r="GI12" vm="5873">
        <f ca="1"/>
        <v>241.57</v>
      </c>
      <c r="GJ12" vm="5874">
        <f ca="1"/>
        <v>240.48</v>
      </c>
      <c r="GK12" vm="5875">
        <f ca="1"/>
        <v>241.39</v>
      </c>
      <c r="GL12" vm="5876">
        <f ca="1"/>
        <v>240.18</v>
      </c>
      <c r="GM12" vm="5877">
        <f ca="1"/>
        <v>237.92</v>
      </c>
      <c r="GN12" vm="5878">
        <f ca="1"/>
        <v>239.6</v>
      </c>
      <c r="GO12" vm="4194">
        <f ca="1"/>
        <v>236.22</v>
      </c>
      <c r="GP12" vm="5879">
        <f ca="1"/>
        <v>239.71</v>
      </c>
      <c r="GQ12" vm="5880">
        <f ca="1"/>
        <v>240.76</v>
      </c>
      <c r="GR12" vm="5881">
        <f ca="1"/>
        <v>239.64</v>
      </c>
      <c r="GS12" vm="5882">
        <f ca="1"/>
        <v>241.14</v>
      </c>
      <c r="GT12" vm="5883">
        <f ca="1"/>
        <v>239.4</v>
      </c>
      <c r="GU12" vm="5884">
        <f ca="1"/>
        <v>237.86</v>
      </c>
      <c r="GV12" vm="229">
        <f ca="1"/>
        <v>239.9</v>
      </c>
      <c r="GW12" vm="5885">
        <f ca="1"/>
        <v>235.7</v>
      </c>
      <c r="GX12" vm="5886">
        <f ca="1"/>
        <v>236.4</v>
      </c>
      <c r="GY12" vm="5887">
        <f ca="1"/>
        <v>235.22</v>
      </c>
      <c r="GZ12" vm="5888">
        <f ca="1"/>
        <v>228.75</v>
      </c>
      <c r="HA12" vm="5889">
        <f ca="1"/>
        <v>233.86</v>
      </c>
      <c r="HB12" vm="5890">
        <f ca="1"/>
        <v>234.35</v>
      </c>
      <c r="HC12" vm="5891">
        <f ca="1"/>
        <v>234.69</v>
      </c>
      <c r="HD12" vm="5892">
        <f ca="1"/>
        <v>232.42</v>
      </c>
      <c r="HE12" vm="5893">
        <f ca="1"/>
        <v>234.42</v>
      </c>
      <c r="HF12" vm="5894">
        <f ca="1"/>
        <v>236.28</v>
      </c>
      <c r="HG12" vm="5895">
        <f ca="1"/>
        <v>239.17</v>
      </c>
      <c r="HH12" vm="5896">
        <f ca="1"/>
        <v>237.3</v>
      </c>
      <c r="HI12" vm="5897">
        <f ca="1"/>
        <v>238.37</v>
      </c>
      <c r="HJ12" vm="5898">
        <f ca="1"/>
        <v>237.66</v>
      </c>
      <c r="HK12" vm="5899">
        <f ca="1"/>
        <v>241.08</v>
      </c>
      <c r="HL12" vm="5882">
        <f ca="1"/>
        <v>241.14</v>
      </c>
      <c r="HM12" vm="5900">
        <f ca="1"/>
        <v>239.15</v>
      </c>
      <c r="HN12" vm="1803">
        <f ca="1"/>
        <v>233.75</v>
      </c>
      <c r="HO12" vm="5901">
        <f ca="1"/>
        <v>239.93</v>
      </c>
      <c r="HP12" vm="5872">
        <f ca="1"/>
        <v>242.18</v>
      </c>
      <c r="HQ12" vm="5902">
        <f ca="1"/>
        <v>238.16</v>
      </c>
      <c r="HR12" vm="5903">
        <f ca="1"/>
        <v>241.06</v>
      </c>
      <c r="HS12" vm="5904">
        <f ca="1"/>
        <v>235.49</v>
      </c>
      <c r="HT12" vm="5905">
        <f ca="1"/>
        <v>235.86</v>
      </c>
      <c r="HU12" vm="5906">
        <f ca="1"/>
        <v>238.96</v>
      </c>
      <c r="HV12" vm="5907">
        <f ca="1"/>
        <v>239.55</v>
      </c>
      <c r="HW12" vm="5908">
        <f ca="1"/>
        <v>237.94</v>
      </c>
      <c r="HX12" vm="5909">
        <f ca="1"/>
        <v>232</v>
      </c>
      <c r="HY12" vm="5910">
        <f ca="1"/>
        <v>230.89</v>
      </c>
      <c r="HZ12" vm="5911">
        <f ca="1"/>
        <v>228.72</v>
      </c>
      <c r="IA12" vm="5912">
        <f ca="1"/>
        <v>224.5</v>
      </c>
      <c r="IB12" vm="402">
        <f ca="1"/>
        <v>224.51</v>
      </c>
      <c r="IC12" vm="403">
        <f ca="1"/>
        <v>221.16</v>
      </c>
      <c r="ID12" vm="404">
        <f ca="1"/>
        <v>225.5</v>
      </c>
      <c r="IE12" vm="405">
        <f ca="1"/>
        <v>228.51</v>
      </c>
      <c r="IF12" vm="406">
        <f ca="1"/>
        <v>233.4</v>
      </c>
      <c r="IG12" vm="407">
        <f ca="1"/>
        <v>235</v>
      </c>
      <c r="IH12" vm="408">
        <f ca="1"/>
        <v>236.46</v>
      </c>
      <c r="II12" vm="409">
        <f ca="1"/>
        <v>236.6</v>
      </c>
      <c r="IJ12" vm="410">
        <f ca="1"/>
        <v>118.22</v>
      </c>
      <c r="IK12" vm="411">
        <f ca="1"/>
        <v>119.495</v>
      </c>
      <c r="IL12" vm="412">
        <f ca="1"/>
        <v>119.07</v>
      </c>
      <c r="IM12" vm="413">
        <f ca="1"/>
        <v>119.73</v>
      </c>
      <c r="IN12" vm="414">
        <f ca="1"/>
        <v>117.99</v>
      </c>
      <c r="IO12" vm="415">
        <f ca="1"/>
        <v>117.98</v>
      </c>
      <c r="IP12" vm="416">
        <f ca="1"/>
        <v>119.71</v>
      </c>
      <c r="IQ12" vm="417">
        <f ca="1"/>
        <v>120.18</v>
      </c>
      <c r="IR12" vm="418">
        <f ca="1"/>
        <v>120.7</v>
      </c>
      <c r="IS12" vm="419">
        <f ca="1"/>
        <v>121.73</v>
      </c>
      <c r="IT12" vm="420">
        <f ca="1"/>
        <v>121.93</v>
      </c>
      <c r="IU12" vm="421">
        <f ca="1"/>
        <v>120.52</v>
      </c>
      <c r="IV12" vm="422">
        <f ca="1"/>
        <v>122.34</v>
      </c>
      <c r="IW12" vm="12">
        <f ca="1"/>
        <v>121.85</v>
      </c>
    </row>
    <row r="13" spans="1:257" ht="16" x14ac:dyDescent="0.2">
      <c r="A13" s="10" t="e" vm="423">
        <v>#VALUE!</v>
      </c>
      <c r="B13" s="23" t="str" cm="1">
        <f t="array" aca="1" ref="B13" ca="1">_FV(A13,"ticker symbol",TRUE)</f>
        <v>XLP</v>
      </c>
      <c r="C13" s="23" t="str" cm="1">
        <f t="array" aca="1" ref="C13" ca="1">_FV(A13,"Name")</f>
        <v>Sel Sector:C SSS SPDR I</v>
      </c>
      <c r="D13" cm="1" vm="1922">
        <f t="array" aca="1" ref="D13:IW13" ca="1">TRANSPOSE(_xlfn.STOCKHISTORY(B13, WORKDAY(TODAY(), -265), TODAY(), 0, 0, 1))</f>
        <v>81.61</v>
      </c>
      <c r="E13" s="23" vm="5913">
        <f ca="1"/>
        <v>81.47</v>
      </c>
      <c r="F13" s="23" vm="5914">
        <f ca="1"/>
        <v>80.23</v>
      </c>
      <c r="G13" s="23" vm="5915">
        <f ca="1"/>
        <v>79.66</v>
      </c>
      <c r="H13" s="23" vm="960">
        <f ca="1"/>
        <v>79.94</v>
      </c>
      <c r="I13" s="23" vm="5916">
        <f ca="1"/>
        <v>78.92</v>
      </c>
      <c r="J13" s="23" vm="5917">
        <f ca="1"/>
        <v>79.44</v>
      </c>
      <c r="K13" s="23" vm="5918">
        <f ca="1"/>
        <v>79.69</v>
      </c>
      <c r="L13" s="23" vm="5919">
        <f ca="1"/>
        <v>79.3</v>
      </c>
      <c r="M13" s="23" vm="5920">
        <f ca="1"/>
        <v>78.37</v>
      </c>
      <c r="N13" s="23" vm="5921">
        <f ca="1"/>
        <v>78.61</v>
      </c>
      <c r="O13" s="23" vm="5920">
        <f ca="1"/>
        <v>78.37</v>
      </c>
      <c r="P13" s="23" vm="958">
        <f ca="1"/>
        <v>78.33</v>
      </c>
      <c r="Q13" s="23" vm="5922">
        <f ca="1"/>
        <v>77.510000000000005</v>
      </c>
      <c r="R13" s="23" vm="5923">
        <f ca="1"/>
        <v>77.239999999999995</v>
      </c>
      <c r="S13" s="23" vm="5924">
        <f ca="1"/>
        <v>77.38</v>
      </c>
      <c r="T13" s="23" vm="5925">
        <f ca="1"/>
        <v>76.34</v>
      </c>
      <c r="U13" s="23" vm="5926">
        <f ca="1"/>
        <v>76.47</v>
      </c>
      <c r="V13" s="23" vm="5927">
        <f ca="1"/>
        <v>76.489999999999995</v>
      </c>
      <c r="W13" s="23" vm="5928">
        <f ca="1"/>
        <v>76.23</v>
      </c>
      <c r="X13" s="23" vm="5929">
        <f ca="1"/>
        <v>76.8</v>
      </c>
      <c r="Y13" s="23" vm="5923">
        <f ca="1"/>
        <v>77.239999999999995</v>
      </c>
      <c r="Z13" s="23" vm="5930">
        <f ca="1"/>
        <v>77.599999999999994</v>
      </c>
      <c r="AA13" s="23" vm="5931">
        <f ca="1"/>
        <v>77.22</v>
      </c>
      <c r="AB13" s="23" vm="5932">
        <f ca="1"/>
        <v>77.5</v>
      </c>
      <c r="AC13" s="23" vm="426">
        <f ca="1"/>
        <v>77.900000000000006</v>
      </c>
      <c r="AD13" vm="5933">
        <f ca="1"/>
        <v>80.010000000000005</v>
      </c>
      <c r="AE13" vm="5934">
        <f ca="1"/>
        <v>78.760000000000005</v>
      </c>
      <c r="AF13" vm="5935">
        <f ca="1"/>
        <v>78.95</v>
      </c>
      <c r="AG13" vm="5936">
        <f ca="1"/>
        <v>79.73</v>
      </c>
      <c r="AH13" vm="5937">
        <f ca="1"/>
        <v>78.98</v>
      </c>
      <c r="AI13" vm="431">
        <f ca="1"/>
        <v>79.290000000000006</v>
      </c>
      <c r="AJ13" vm="5938">
        <f ca="1"/>
        <v>78.62</v>
      </c>
      <c r="AK13" vm="5939">
        <f ca="1"/>
        <v>79.11</v>
      </c>
      <c r="AL13" vm="5940">
        <f ca="1"/>
        <v>79.47</v>
      </c>
      <c r="AM13" vm="5941">
        <f ca="1"/>
        <v>79.349999999999994</v>
      </c>
      <c r="AN13" vm="5942">
        <f ca="1"/>
        <v>79.84</v>
      </c>
      <c r="AO13" vm="5943">
        <f ca="1"/>
        <v>80.61</v>
      </c>
      <c r="AP13" vm="5944">
        <f ca="1"/>
        <v>80.55</v>
      </c>
      <c r="AQ13" vm="1882">
        <f ca="1"/>
        <v>81.42</v>
      </c>
      <c r="AR13" vm="5943">
        <f ca="1"/>
        <v>80.61</v>
      </c>
      <c r="AS13" vm="5945">
        <f ca="1"/>
        <v>80.900000000000006</v>
      </c>
      <c r="AT13" vm="1919">
        <f ca="1"/>
        <v>81.55</v>
      </c>
      <c r="AU13" vm="5946">
        <f ca="1"/>
        <v>81.23</v>
      </c>
      <c r="AV13" vm="5947">
        <f ca="1"/>
        <v>82.18</v>
      </c>
      <c r="AW13" vm="5948">
        <f ca="1"/>
        <v>82.43</v>
      </c>
      <c r="AX13" vm="5949">
        <f ca="1"/>
        <v>83.6</v>
      </c>
      <c r="AY13" vm="5950">
        <f ca="1"/>
        <v>82</v>
      </c>
      <c r="AZ13" vm="5951">
        <f ca="1"/>
        <v>81.99</v>
      </c>
      <c r="BA13" vm="3168">
        <f ca="1"/>
        <v>83.08</v>
      </c>
      <c r="BB13" vm="5952">
        <f ca="1"/>
        <v>83.52</v>
      </c>
      <c r="BC13" vm="5953">
        <f ca="1"/>
        <v>82.1</v>
      </c>
      <c r="BD13" vm="5954">
        <f ca="1"/>
        <v>82.44</v>
      </c>
      <c r="BE13" vm="4526">
        <f ca="1"/>
        <v>82.59</v>
      </c>
      <c r="BF13" vm="1883">
        <f ca="1"/>
        <v>82.86</v>
      </c>
      <c r="BG13" vm="5955">
        <f ca="1"/>
        <v>82.68</v>
      </c>
      <c r="BH13" vm="5913">
        <f ca="1"/>
        <v>81.47</v>
      </c>
      <c r="BI13" vm="5956">
        <f ca="1"/>
        <v>79.7</v>
      </c>
      <c r="BJ13" vm="5957">
        <f ca="1"/>
        <v>79.33</v>
      </c>
      <c r="BK13" vm="5958">
        <f ca="1"/>
        <v>79.510000000000005</v>
      </c>
      <c r="BL13" vm="5959">
        <f ca="1"/>
        <v>80.67</v>
      </c>
      <c r="BM13" vm="5960">
        <f ca="1"/>
        <v>79.75</v>
      </c>
      <c r="BN13" vm="5960">
        <f ca="1"/>
        <v>79.75</v>
      </c>
      <c r="BO13" vm="5961">
        <f ca="1"/>
        <v>79.36</v>
      </c>
      <c r="BP13" vm="5957">
        <f ca="1"/>
        <v>79.33</v>
      </c>
      <c r="BQ13" vm="5962">
        <f ca="1"/>
        <v>79.400000000000006</v>
      </c>
      <c r="BR13" vm="5963">
        <f ca="1"/>
        <v>78.680000000000007</v>
      </c>
      <c r="BS13" vm="5964">
        <f ca="1"/>
        <v>79.900000000000006</v>
      </c>
      <c r="BT13" vm="5965">
        <f ca="1"/>
        <v>80.81</v>
      </c>
      <c r="BU13" vm="5966">
        <f ca="1"/>
        <v>80.41</v>
      </c>
      <c r="BV13" vm="5967">
        <f ca="1"/>
        <v>81.67</v>
      </c>
      <c r="BW13" vm="1952">
        <f ca="1"/>
        <v>81.790000000000006</v>
      </c>
      <c r="BX13" vm="1919">
        <f ca="1"/>
        <v>81.55</v>
      </c>
      <c r="BY13" vm="5968">
        <f ca="1"/>
        <v>82.02</v>
      </c>
      <c r="BZ13" vm="435">
        <f ca="1"/>
        <v>78.459999999999994</v>
      </c>
      <c r="CA13" vm="5969">
        <f ca="1"/>
        <v>77.55</v>
      </c>
      <c r="CB13" vm="5970">
        <f ca="1"/>
        <v>76.349999999999994</v>
      </c>
      <c r="CC13" vm="5971">
        <f ca="1"/>
        <v>79.31</v>
      </c>
      <c r="CD13" vm="5941">
        <f ca="1"/>
        <v>79.349999999999994</v>
      </c>
      <c r="CE13" vm="5972">
        <f ca="1"/>
        <v>80.349999999999994</v>
      </c>
      <c r="CF13" vm="5973">
        <f ca="1"/>
        <v>81.72</v>
      </c>
      <c r="CG13" vm="1925">
        <f ca="1"/>
        <v>81.03</v>
      </c>
      <c r="CH13" vm="5974">
        <f ca="1"/>
        <v>80.16</v>
      </c>
      <c r="CI13" vm="5975">
        <f ca="1"/>
        <v>81.87</v>
      </c>
      <c r="CJ13" vm="1963">
        <f ca="1"/>
        <v>81.09</v>
      </c>
      <c r="CK13" vm="1951">
        <f ca="1"/>
        <v>82.24</v>
      </c>
      <c r="CL13" vm="5976">
        <f ca="1"/>
        <v>81.77</v>
      </c>
      <c r="CM13" vm="5977">
        <f ca="1"/>
        <v>81.05</v>
      </c>
      <c r="CN13" vm="5978">
        <f ca="1"/>
        <v>80.84</v>
      </c>
      <c r="CO13" vm="5979">
        <f ca="1"/>
        <v>80.569999999999993</v>
      </c>
      <c r="CP13" vm="5980">
        <f ca="1"/>
        <v>81.239999999999995</v>
      </c>
      <c r="CQ13" vm="5981">
        <f ca="1"/>
        <v>81.83</v>
      </c>
      <c r="CR13" vm="5982">
        <f ca="1"/>
        <v>81.12</v>
      </c>
      <c r="CS13" vm="1879">
        <f ca="1"/>
        <v>81.56</v>
      </c>
      <c r="CT13" vm="5983">
        <f ca="1"/>
        <v>81.489999999999995</v>
      </c>
      <c r="CU13" vm="1967">
        <f ca="1"/>
        <v>81.349999999999994</v>
      </c>
      <c r="CV13" vm="5984">
        <f ca="1"/>
        <v>81.48</v>
      </c>
      <c r="CW13" vm="5985">
        <f ca="1"/>
        <v>81.38</v>
      </c>
      <c r="CX13" vm="5986">
        <f ca="1"/>
        <v>80.91</v>
      </c>
      <c r="CY13" vm="1925">
        <f ca="1"/>
        <v>81.03</v>
      </c>
      <c r="CZ13" vm="960">
        <f ca="1"/>
        <v>79.94</v>
      </c>
      <c r="DA13" vm="5958">
        <f ca="1"/>
        <v>79.510000000000005</v>
      </c>
      <c r="DB13" vm="5987">
        <f ca="1"/>
        <v>81.14</v>
      </c>
      <c r="DC13" vm="5988">
        <f ca="1"/>
        <v>82.07</v>
      </c>
      <c r="DD13" vm="5989">
        <f ca="1"/>
        <v>82.31</v>
      </c>
      <c r="DE13" vm="1953">
        <f ca="1"/>
        <v>82.6</v>
      </c>
      <c r="DF13" vm="5990">
        <f ca="1"/>
        <v>81.64</v>
      </c>
      <c r="DG13" vm="5991">
        <f ca="1"/>
        <v>81.3</v>
      </c>
      <c r="DH13" vm="5992">
        <f ca="1"/>
        <v>81.599999999999994</v>
      </c>
      <c r="DI13" vm="5993">
        <f ca="1"/>
        <v>82.34</v>
      </c>
      <c r="DJ13" vm="5994">
        <f ca="1"/>
        <v>81.78</v>
      </c>
      <c r="DK13" vm="1429">
        <f ca="1"/>
        <v>82.11</v>
      </c>
      <c r="DL13" vm="1424">
        <f ca="1"/>
        <v>82.83</v>
      </c>
      <c r="DM13" vm="5995">
        <f ca="1"/>
        <v>82.88</v>
      </c>
      <c r="DN13" vm="3170">
        <f ca="1"/>
        <v>82.8</v>
      </c>
      <c r="DO13" vm="5996">
        <f ca="1"/>
        <v>82.22</v>
      </c>
      <c r="DP13" vm="5997">
        <f ca="1"/>
        <v>81.430000000000007</v>
      </c>
      <c r="DQ13" vm="5998">
        <f ca="1"/>
        <v>81.69</v>
      </c>
      <c r="DR13" vm="5999">
        <f ca="1"/>
        <v>81.58</v>
      </c>
      <c r="DS13" vm="6000">
        <f ca="1"/>
        <v>81.760000000000005</v>
      </c>
      <c r="DT13" vm="5984">
        <f ca="1"/>
        <v>81.48</v>
      </c>
      <c r="DU13" vm="1954">
        <f ca="1"/>
        <v>81.96</v>
      </c>
      <c r="DV13" vm="6001">
        <f ca="1"/>
        <v>80.959999999999994</v>
      </c>
      <c r="DW13" vm="6002">
        <f ca="1"/>
        <v>81.22</v>
      </c>
      <c r="DX13" vm="6003">
        <f ca="1"/>
        <v>80.53</v>
      </c>
      <c r="DY13" vm="6004">
        <f ca="1"/>
        <v>80.430000000000007</v>
      </c>
      <c r="DZ13" vm="6005">
        <f ca="1"/>
        <v>81.02</v>
      </c>
      <c r="EA13" vm="6006">
        <f ca="1"/>
        <v>81.400000000000006</v>
      </c>
      <c r="EB13" vm="1486">
        <f ca="1"/>
        <v>81.33</v>
      </c>
      <c r="EC13" vm="6007">
        <f ca="1"/>
        <v>80.239999999999995</v>
      </c>
      <c r="ED13" vm="6008">
        <f ca="1"/>
        <v>80.17</v>
      </c>
      <c r="EE13" vm="5944">
        <f ca="1"/>
        <v>80.55</v>
      </c>
      <c r="EF13" vm="6009">
        <f ca="1"/>
        <v>80.97</v>
      </c>
      <c r="EG13" vm="1880">
        <f ca="1"/>
        <v>81.98</v>
      </c>
      <c r="EH13" vm="5996">
        <f ca="1"/>
        <v>82.22</v>
      </c>
      <c r="EI13" vm="5947">
        <f ca="1"/>
        <v>82.18</v>
      </c>
      <c r="EJ13" vm="1429">
        <f ca="1"/>
        <v>82.11</v>
      </c>
      <c r="EK13" vm="1967">
        <f ca="1"/>
        <v>81.349999999999994</v>
      </c>
      <c r="EL13" vm="1881">
        <f ca="1"/>
        <v>80.819999999999993</v>
      </c>
      <c r="EM13" vm="1437">
        <f ca="1"/>
        <v>81.11</v>
      </c>
      <c r="EN13" vm="5965">
        <f ca="1"/>
        <v>80.81</v>
      </c>
      <c r="EO13" vm="6010">
        <f ca="1"/>
        <v>80.88</v>
      </c>
      <c r="EP13" vm="6011">
        <f ca="1"/>
        <v>80.069999999999993</v>
      </c>
      <c r="EQ13" vm="5972">
        <f ca="1"/>
        <v>80.349999999999994</v>
      </c>
      <c r="ER13" vm="1437">
        <f ca="1"/>
        <v>81.11</v>
      </c>
      <c r="ES13" vm="6012">
        <f ca="1"/>
        <v>80.89</v>
      </c>
      <c r="ET13" vm="6010">
        <f ca="1"/>
        <v>80.88</v>
      </c>
      <c r="EU13" vm="6013">
        <f ca="1"/>
        <v>81.62</v>
      </c>
      <c r="EV13" vm="6014">
        <f ca="1"/>
        <v>81.650000000000006</v>
      </c>
      <c r="EW13" vm="6015">
        <f ca="1"/>
        <v>81.36</v>
      </c>
      <c r="EX13" vm="1968">
        <f ca="1"/>
        <v>81.5</v>
      </c>
      <c r="EY13" vm="6016">
        <f ca="1"/>
        <v>80.66</v>
      </c>
      <c r="EZ13" vm="2656">
        <f ca="1"/>
        <v>81.19</v>
      </c>
      <c r="FA13" vm="6017">
        <f ca="1"/>
        <v>80.47</v>
      </c>
      <c r="FB13" vm="6018">
        <f ca="1"/>
        <v>79.78</v>
      </c>
      <c r="FC13" vm="5974">
        <f ca="1"/>
        <v>80.16</v>
      </c>
      <c r="FD13" vm="5944">
        <f ca="1"/>
        <v>80.55</v>
      </c>
      <c r="FE13" vm="6017">
        <f ca="1"/>
        <v>80.47</v>
      </c>
      <c r="FF13" vm="6013">
        <f ca="1"/>
        <v>81.62</v>
      </c>
      <c r="FG13" vm="1951">
        <f ca="1"/>
        <v>82.24</v>
      </c>
      <c r="FH13" vm="1950">
        <f ca="1"/>
        <v>82.48</v>
      </c>
      <c r="FI13" vm="6019">
        <f ca="1"/>
        <v>82.41</v>
      </c>
      <c r="FJ13" vm="6020">
        <f ca="1"/>
        <v>82.63</v>
      </c>
      <c r="FK13" vm="6020">
        <f ca="1"/>
        <v>82.63</v>
      </c>
      <c r="FL13" vm="6021">
        <f ca="1"/>
        <v>81.89</v>
      </c>
      <c r="FM13" vm="5968">
        <f ca="1"/>
        <v>82.02</v>
      </c>
      <c r="FN13" vm="6022">
        <f ca="1"/>
        <v>81.91</v>
      </c>
      <c r="FO13" vm="3172">
        <f ca="1"/>
        <v>82.75</v>
      </c>
      <c r="FP13" vm="6023">
        <f ca="1"/>
        <v>83.22</v>
      </c>
      <c r="FQ13" vm="2662">
        <f ca="1"/>
        <v>82.47</v>
      </c>
      <c r="FR13" vm="2662">
        <f ca="1"/>
        <v>82.47</v>
      </c>
      <c r="FS13" vm="1923">
        <f ca="1"/>
        <v>81.06</v>
      </c>
      <c r="FT13" vm="6003">
        <f ca="1"/>
        <v>80.53</v>
      </c>
      <c r="FU13" vm="6024">
        <f ca="1"/>
        <v>80.77</v>
      </c>
      <c r="FV13" vm="6025">
        <f ca="1"/>
        <v>80.260000000000005</v>
      </c>
      <c r="FW13" vm="6026">
        <f ca="1"/>
        <v>80.78</v>
      </c>
      <c r="FX13" vm="6027">
        <f ca="1"/>
        <v>80.650000000000006</v>
      </c>
      <c r="FY13" vm="6028">
        <f ca="1"/>
        <v>80.59</v>
      </c>
      <c r="FZ13" vm="6029">
        <f ca="1"/>
        <v>80.64</v>
      </c>
      <c r="GA13" vm="6030">
        <f ca="1"/>
        <v>80.87</v>
      </c>
      <c r="GB13" vm="5979">
        <f ca="1"/>
        <v>80.569999999999993</v>
      </c>
      <c r="GC13" vm="4525">
        <f ca="1"/>
        <v>80.73</v>
      </c>
      <c r="GD13" vm="960">
        <f ca="1"/>
        <v>79.94</v>
      </c>
      <c r="GE13" vm="6028">
        <f ca="1"/>
        <v>80.59</v>
      </c>
      <c r="GF13" vm="6031">
        <f ca="1"/>
        <v>80.319999999999993</v>
      </c>
      <c r="GG13" vm="5962">
        <f ca="1"/>
        <v>79.400000000000006</v>
      </c>
      <c r="GH13" vm="1949">
        <f ca="1"/>
        <v>79.760000000000005</v>
      </c>
      <c r="GI13" vm="6007">
        <f ca="1"/>
        <v>80.239999999999995</v>
      </c>
      <c r="GJ13" vm="6032">
        <f ca="1"/>
        <v>79.540000000000006</v>
      </c>
      <c r="GK13" vm="6033">
        <f ca="1"/>
        <v>79.38</v>
      </c>
      <c r="GL13" vm="1917">
        <f ca="1"/>
        <v>77.959999999999994</v>
      </c>
      <c r="GM13" vm="6034">
        <f ca="1"/>
        <v>78.349999999999994</v>
      </c>
      <c r="GN13" vm="6035">
        <f ca="1"/>
        <v>78.52</v>
      </c>
      <c r="GO13" vm="6036">
        <f ca="1"/>
        <v>77.77</v>
      </c>
      <c r="GP13" vm="1917">
        <f ca="1"/>
        <v>77.959999999999994</v>
      </c>
      <c r="GQ13" vm="6037">
        <f ca="1"/>
        <v>78.11</v>
      </c>
      <c r="GR13" vm="5920">
        <f ca="1"/>
        <v>78.37</v>
      </c>
      <c r="GS13" vm="6038">
        <f ca="1"/>
        <v>78.25</v>
      </c>
      <c r="GT13" vm="6039">
        <f ca="1"/>
        <v>77.94</v>
      </c>
      <c r="GU13" vm="6040">
        <f ca="1"/>
        <v>78.03</v>
      </c>
      <c r="GV13" vm="6041">
        <f ca="1"/>
        <v>77.459999999999994</v>
      </c>
      <c r="GW13" vm="6042">
        <f ca="1"/>
        <v>78.180000000000007</v>
      </c>
      <c r="GX13" vm="6043">
        <f ca="1"/>
        <v>77.790000000000006</v>
      </c>
      <c r="GY13" vm="6044">
        <f ca="1"/>
        <v>78.040000000000006</v>
      </c>
      <c r="GZ13" vm="6045">
        <f ca="1"/>
        <v>78.099999999999994</v>
      </c>
      <c r="HA13" vm="6046">
        <f ca="1"/>
        <v>77.84</v>
      </c>
      <c r="HB13" vm="6047">
        <f ca="1"/>
        <v>79.09</v>
      </c>
      <c r="HC13" vm="6048">
        <f ca="1"/>
        <v>79.23</v>
      </c>
      <c r="HD13" vm="5963">
        <f ca="1"/>
        <v>78.680000000000007</v>
      </c>
      <c r="HE13" vm="5936">
        <f ca="1"/>
        <v>79.73</v>
      </c>
      <c r="HF13" vm="5915">
        <f ca="1"/>
        <v>79.66</v>
      </c>
      <c r="HG13" vm="431">
        <f ca="1"/>
        <v>79.290000000000006</v>
      </c>
      <c r="HH13" vm="2673">
        <f ca="1"/>
        <v>79.739999999999995</v>
      </c>
      <c r="HI13" vm="5941">
        <f ca="1"/>
        <v>79.349999999999994</v>
      </c>
      <c r="HJ13" vm="6047">
        <f ca="1"/>
        <v>79.09</v>
      </c>
      <c r="HK13" vm="6049">
        <f ca="1"/>
        <v>79.22</v>
      </c>
      <c r="HL13" vm="6050">
        <f ca="1"/>
        <v>78.430000000000007</v>
      </c>
      <c r="HM13" vm="6051">
        <f ca="1"/>
        <v>76.58</v>
      </c>
      <c r="HN13" vm="6052">
        <f ca="1"/>
        <v>76.5</v>
      </c>
      <c r="HO13" vm="6053">
        <f ca="1"/>
        <v>76.28</v>
      </c>
      <c r="HP13" vm="6054">
        <f ca="1"/>
        <v>75.680000000000007</v>
      </c>
      <c r="HQ13" vm="6055">
        <f ca="1"/>
        <v>75.989999999999995</v>
      </c>
      <c r="HR13" vm="6056">
        <f ca="1"/>
        <v>75.94</v>
      </c>
      <c r="HS13" vm="6057">
        <f ca="1"/>
        <v>75.599999999999994</v>
      </c>
      <c r="HT13" vm="6058">
        <f ca="1"/>
        <v>76.709999999999994</v>
      </c>
      <c r="HU13" vm="6059">
        <f ca="1"/>
        <v>76.430000000000007</v>
      </c>
      <c r="HV13" vm="6060">
        <f ca="1"/>
        <v>77.430000000000007</v>
      </c>
      <c r="HW13" vm="6061">
        <f ca="1"/>
        <v>77.319999999999993</v>
      </c>
      <c r="HX13" vm="6061">
        <f ca="1"/>
        <v>77.319999999999993</v>
      </c>
      <c r="HY13" vm="6062">
        <f ca="1"/>
        <v>77.260000000000005</v>
      </c>
      <c r="HZ13" vm="6063">
        <f ca="1"/>
        <v>76.77</v>
      </c>
      <c r="IA13" vm="6064">
        <f ca="1"/>
        <v>77.099999999999994</v>
      </c>
      <c r="IB13" vm="424">
        <f ca="1"/>
        <v>76.510000000000005</v>
      </c>
      <c r="IC13" vm="425">
        <f ca="1"/>
        <v>77.06</v>
      </c>
      <c r="ID13" vm="426">
        <f ca="1"/>
        <v>77.900000000000006</v>
      </c>
      <c r="IE13" vm="427">
        <f ca="1"/>
        <v>77</v>
      </c>
      <c r="IF13" vm="428">
        <f ca="1"/>
        <v>78.06</v>
      </c>
      <c r="IG13" vm="429">
        <f ca="1"/>
        <v>78.91</v>
      </c>
      <c r="IH13" vm="430">
        <f ca="1"/>
        <v>79.37</v>
      </c>
      <c r="II13" vm="431">
        <f ca="1"/>
        <v>79.290000000000006</v>
      </c>
      <c r="IJ13" vm="432">
        <f ca="1"/>
        <v>78.77</v>
      </c>
      <c r="IK13" vm="433">
        <f ca="1"/>
        <v>78.83</v>
      </c>
      <c r="IL13" vm="434">
        <f ca="1"/>
        <v>78.45</v>
      </c>
      <c r="IM13" vm="435">
        <f ca="1"/>
        <v>78.459999999999994</v>
      </c>
      <c r="IN13" vm="436">
        <f ca="1"/>
        <v>77.81</v>
      </c>
      <c r="IO13" vm="437">
        <f ca="1"/>
        <v>77.989999999999995</v>
      </c>
      <c r="IP13" vm="438">
        <f ca="1"/>
        <v>78.22</v>
      </c>
      <c r="IQ13" vm="439">
        <f ca="1"/>
        <v>78.8</v>
      </c>
      <c r="IR13" vm="440">
        <f ca="1"/>
        <v>79.42</v>
      </c>
      <c r="IS13" vm="441">
        <f ca="1"/>
        <v>79.64</v>
      </c>
      <c r="IT13" vm="442">
        <f ca="1"/>
        <v>79.28</v>
      </c>
      <c r="IU13" vm="443">
        <f ca="1"/>
        <v>79.650000000000006</v>
      </c>
      <c r="IV13" vm="444">
        <f ca="1"/>
        <v>79.19</v>
      </c>
      <c r="IW13" vm="13">
        <f ca="1"/>
        <v>78.78</v>
      </c>
    </row>
    <row r="14" spans="1:257" ht="16" x14ac:dyDescent="0.2">
      <c r="A14" s="10" t="e" vm="445">
        <v>#VALUE!</v>
      </c>
      <c r="B14" s="23" t="str" cm="1">
        <f t="array" aca="1" ref="B14" ca="1">_FV(A14,"ticker symbol",TRUE)</f>
        <v>XLE</v>
      </c>
      <c r="C14" s="23" t="str" cm="1">
        <f t="array" aca="1" ref="C14" ca="1">_FV(A14,"Name")</f>
        <v>Sel Sector:Enrgy SS SPDR</v>
      </c>
      <c r="D14" cm="1" vm="6065">
        <f t="array" aca="1" ref="D14:IW14" ca="1">TRANSPOSE(_xlfn.STOCKHISTORY(B14, WORKDAY(TODAY(), -265), TODAY(), 0, 0, 1))</f>
        <v>87.26</v>
      </c>
      <c r="E14" s="23" vm="6066">
        <f ca="1"/>
        <v>86.61</v>
      </c>
      <c r="F14" s="23" vm="6067">
        <f ca="1"/>
        <v>84.05</v>
      </c>
      <c r="G14" s="23" vm="1928">
        <f ca="1"/>
        <v>83.32</v>
      </c>
      <c r="H14" s="23" vm="6068">
        <f ca="1"/>
        <v>84.14</v>
      </c>
      <c r="I14" s="23" vm="6069">
        <f ca="1"/>
        <v>83.93</v>
      </c>
      <c r="J14" s="23" vm="965">
        <f ca="1"/>
        <v>84.64</v>
      </c>
      <c r="K14" s="23" vm="6070">
        <f ca="1"/>
        <v>84.57</v>
      </c>
      <c r="L14" s="23" vm="6071">
        <f ca="1"/>
        <v>84.56</v>
      </c>
      <c r="M14" s="23" vm="6072">
        <f ca="1"/>
        <v>84.55</v>
      </c>
      <c r="N14" s="23" vm="1930">
        <f ca="1"/>
        <v>85.66</v>
      </c>
      <c r="O14" s="23" vm="6073">
        <f ca="1"/>
        <v>86.66</v>
      </c>
      <c r="P14" s="23" vm="6074">
        <f ca="1"/>
        <v>87.47</v>
      </c>
      <c r="Q14" s="23" vm="6075">
        <f ca="1"/>
        <v>87.07</v>
      </c>
      <c r="R14" s="23" vm="6076">
        <f ca="1"/>
        <v>87.94</v>
      </c>
      <c r="S14" s="23" vm="6077">
        <f ca="1"/>
        <v>88.03</v>
      </c>
      <c r="T14" s="23" vm="6078">
        <f ca="1"/>
        <v>88.39</v>
      </c>
      <c r="U14" s="23" vm="6079">
        <f ca="1"/>
        <v>90.25</v>
      </c>
      <c r="V14" s="23" vm="6080">
        <f ca="1"/>
        <v>91.22</v>
      </c>
      <c r="W14" s="23" vm="1314">
        <f ca="1"/>
        <v>92.57</v>
      </c>
      <c r="X14" s="23" vm="6081">
        <f ca="1"/>
        <v>93.24</v>
      </c>
      <c r="Y14" s="23" vm="6082">
        <f ca="1"/>
        <v>93.96</v>
      </c>
      <c r="Z14" s="23" vm="6083">
        <f ca="1"/>
        <v>93.48</v>
      </c>
      <c r="AA14" s="23" vm="6084">
        <f ca="1"/>
        <v>91.78</v>
      </c>
      <c r="AB14" s="23" vm="6085">
        <f ca="1"/>
        <v>92.2</v>
      </c>
      <c r="AC14" s="23" vm="1316">
        <f ca="1"/>
        <v>91.31</v>
      </c>
      <c r="AD14" vm="6086">
        <f ca="1"/>
        <v>90.36</v>
      </c>
      <c r="AE14" vm="3136">
        <f ca="1"/>
        <v>89.5</v>
      </c>
      <c r="AF14" vm="6087">
        <f ca="1"/>
        <v>89.7</v>
      </c>
      <c r="AG14" vm="6088">
        <f ca="1"/>
        <v>90.16</v>
      </c>
      <c r="AH14" vm="4515">
        <f ca="1"/>
        <v>87.64</v>
      </c>
      <c r="AI14" vm="3145">
        <f ca="1"/>
        <v>88.19</v>
      </c>
      <c r="AJ14" vm="6089">
        <f ca="1"/>
        <v>90.04</v>
      </c>
      <c r="AK14" vm="6090">
        <f ca="1"/>
        <v>90.23</v>
      </c>
      <c r="AL14" vm="6091">
        <f ca="1"/>
        <v>88.57</v>
      </c>
      <c r="AM14" vm="6092">
        <f ca="1"/>
        <v>88.56</v>
      </c>
      <c r="AN14" vm="1333">
        <f ca="1"/>
        <v>90.51</v>
      </c>
      <c r="AO14" vm="4475">
        <f ca="1"/>
        <v>91.24</v>
      </c>
      <c r="AP14" vm="6093">
        <f ca="1"/>
        <v>89.04</v>
      </c>
      <c r="AQ14" vm="6094">
        <f ca="1"/>
        <v>89.71</v>
      </c>
      <c r="AR14" vm="2854">
        <f ca="1"/>
        <v>90.07</v>
      </c>
      <c r="AS14" vm="6095">
        <f ca="1"/>
        <v>91.3</v>
      </c>
      <c r="AT14" vm="6096">
        <f ca="1"/>
        <v>92.02</v>
      </c>
      <c r="AU14" vm="6097">
        <f ca="1"/>
        <v>92.86</v>
      </c>
      <c r="AV14" vm="6098">
        <f ca="1"/>
        <v>90.93</v>
      </c>
      <c r="AW14" vm="6099">
        <f ca="1"/>
        <v>90.95</v>
      </c>
      <c r="AX14" vm="6100">
        <f ca="1"/>
        <v>89.64</v>
      </c>
      <c r="AY14" vm="6101">
        <f ca="1"/>
        <v>89.13</v>
      </c>
      <c r="AZ14" vm="6102">
        <f ca="1"/>
        <v>89.61</v>
      </c>
      <c r="BA14" vm="6103">
        <f ca="1"/>
        <v>91</v>
      </c>
      <c r="BB14" vm="6104">
        <f ca="1"/>
        <v>87.82</v>
      </c>
      <c r="BC14" vm="6105">
        <f ca="1"/>
        <v>86.97</v>
      </c>
      <c r="BD14" vm="6106">
        <f ca="1"/>
        <v>85.7</v>
      </c>
      <c r="BE14" vm="6107">
        <f ca="1"/>
        <v>85.96</v>
      </c>
      <c r="BF14" vm="6108">
        <f ca="1"/>
        <v>87.43</v>
      </c>
      <c r="BG14" vm="6109">
        <f ca="1"/>
        <v>88.08</v>
      </c>
      <c r="BH14" vm="6110">
        <f ca="1"/>
        <v>87.38</v>
      </c>
      <c r="BI14" vm="6111">
        <f ca="1"/>
        <v>87.78</v>
      </c>
      <c r="BJ14" vm="4508">
        <f ca="1"/>
        <v>87.18</v>
      </c>
      <c r="BK14" vm="6112">
        <f ca="1"/>
        <v>89.76</v>
      </c>
      <c r="BL14" vm="6113">
        <f ca="1"/>
        <v>91.19</v>
      </c>
      <c r="BM14" vm="95">
        <f ca="1"/>
        <v>91.34</v>
      </c>
      <c r="BN14" vm="6114">
        <f ca="1"/>
        <v>92.83</v>
      </c>
      <c r="BO14" vm="6115">
        <f ca="1"/>
        <v>93.17</v>
      </c>
      <c r="BP14" vm="6116">
        <f ca="1"/>
        <v>92.52</v>
      </c>
      <c r="BQ14" vm="6117">
        <f ca="1"/>
        <v>92.85</v>
      </c>
      <c r="BR14" vm="6118">
        <f ca="1"/>
        <v>93.23</v>
      </c>
      <c r="BS14" vm="1046">
        <f ca="1"/>
        <v>93.78</v>
      </c>
      <c r="BT14" vm="6119">
        <f ca="1"/>
        <v>92.87</v>
      </c>
      <c r="BU14" vm="6120">
        <f ca="1"/>
        <v>92.43</v>
      </c>
      <c r="BV14" vm="6121">
        <f ca="1"/>
        <v>93.45</v>
      </c>
      <c r="BW14" vm="6122">
        <f ca="1"/>
        <v>94</v>
      </c>
      <c r="BX14" vm="6123">
        <f ca="1"/>
        <v>94.13</v>
      </c>
      <c r="BY14" vm="6124">
        <f ca="1"/>
        <v>86.74</v>
      </c>
      <c r="BZ14" vm="5934">
        <f ca="1"/>
        <v>78.760000000000005</v>
      </c>
      <c r="CA14" vm="6038">
        <f ca="1"/>
        <v>78.25</v>
      </c>
      <c r="CB14" vm="6125">
        <f ca="1"/>
        <v>76.44</v>
      </c>
      <c r="CC14" vm="6126">
        <f ca="1"/>
        <v>82.36</v>
      </c>
      <c r="CD14" vm="4519">
        <f ca="1"/>
        <v>76.98</v>
      </c>
      <c r="CE14" vm="6127">
        <f ca="1"/>
        <v>78.89</v>
      </c>
      <c r="CF14" vm="6128">
        <f ca="1"/>
        <v>79.17</v>
      </c>
      <c r="CG14" vm="6129">
        <f ca="1"/>
        <v>79.05</v>
      </c>
      <c r="CH14" vm="5956">
        <f ca="1"/>
        <v>79.7</v>
      </c>
      <c r="CI14" vm="1968">
        <f ca="1"/>
        <v>81.5</v>
      </c>
      <c r="CJ14" vm="430">
        <f ca="1"/>
        <v>79.37</v>
      </c>
      <c r="CK14" vm="1924">
        <f ca="1"/>
        <v>81.39</v>
      </c>
      <c r="CL14" vm="5980">
        <f ca="1"/>
        <v>81.239999999999995</v>
      </c>
      <c r="CM14" vm="1884">
        <f ca="1"/>
        <v>82.54</v>
      </c>
      <c r="CN14" vm="6130">
        <f ca="1"/>
        <v>82.39</v>
      </c>
      <c r="CO14" vm="1836">
        <f ca="1"/>
        <v>82.97</v>
      </c>
      <c r="CP14" vm="6131">
        <f ca="1"/>
        <v>82.73</v>
      </c>
      <c r="CQ14" vm="6132">
        <f ca="1"/>
        <v>80.5</v>
      </c>
      <c r="CR14" vm="6133">
        <f ca="1"/>
        <v>80.8</v>
      </c>
      <c r="CS14" vm="1880">
        <f ca="1"/>
        <v>81.98</v>
      </c>
      <c r="CT14" vm="6132">
        <f ca="1"/>
        <v>80.5</v>
      </c>
      <c r="CU14" vm="6134">
        <f ca="1"/>
        <v>80.52</v>
      </c>
      <c r="CV14" vm="5944">
        <f ca="1"/>
        <v>80.55</v>
      </c>
      <c r="CW14" vm="1922">
        <f ca="1"/>
        <v>81.61</v>
      </c>
      <c r="CX14" vm="5948">
        <f ca="1"/>
        <v>82.43</v>
      </c>
      <c r="CY14" vm="6135">
        <f ca="1"/>
        <v>84.58</v>
      </c>
      <c r="CZ14" vm="6136">
        <f ca="1"/>
        <v>85.77</v>
      </c>
      <c r="DA14" vm="6137">
        <f ca="1"/>
        <v>85.25</v>
      </c>
      <c r="DB14" vm="6138">
        <f ca="1"/>
        <v>85.61</v>
      </c>
      <c r="DC14" vm="6139">
        <f ca="1"/>
        <v>85.48</v>
      </c>
      <c r="DD14" vm="6140">
        <f ca="1"/>
        <v>84.37</v>
      </c>
      <c r="DE14" vm="4521">
        <f ca="1"/>
        <v>83.59</v>
      </c>
      <c r="DF14" vm="6141">
        <f ca="1"/>
        <v>82.05</v>
      </c>
      <c r="DG14" vm="6142">
        <f ca="1"/>
        <v>81.73</v>
      </c>
      <c r="DH14" vm="5951">
        <f ca="1"/>
        <v>81.99</v>
      </c>
      <c r="DI14" vm="6143">
        <f ca="1"/>
        <v>82.7</v>
      </c>
      <c r="DJ14" vm="6014">
        <f ca="1"/>
        <v>81.650000000000006</v>
      </c>
      <c r="DK14" vm="6144">
        <f ca="1"/>
        <v>82.26</v>
      </c>
      <c r="DL14" vm="6145">
        <f ca="1"/>
        <v>81.53</v>
      </c>
      <c r="DM14" vm="1953">
        <f ca="1"/>
        <v>82.6</v>
      </c>
      <c r="DN14" vm="6146">
        <f ca="1"/>
        <v>83.58</v>
      </c>
      <c r="DO14" vm="6147">
        <f ca="1"/>
        <v>81.95</v>
      </c>
      <c r="DP14" vm="5975">
        <f ca="1"/>
        <v>81.87</v>
      </c>
      <c r="DQ14" vm="6148">
        <f ca="1"/>
        <v>83.41</v>
      </c>
      <c r="DR14" vm="6149">
        <f ca="1"/>
        <v>83.57</v>
      </c>
      <c r="DS14" vm="6150">
        <f ca="1"/>
        <v>85.06</v>
      </c>
      <c r="DT14" vm="6151">
        <f ca="1"/>
        <v>86.29</v>
      </c>
      <c r="DU14" vm="6152">
        <f ca="1"/>
        <v>86.59</v>
      </c>
      <c r="DV14" vm="6153">
        <f ca="1"/>
        <v>88.1</v>
      </c>
      <c r="DW14" vm="6154">
        <f ca="1"/>
        <v>87.84</v>
      </c>
      <c r="DX14" vm="6155">
        <f ca="1"/>
        <v>88.66</v>
      </c>
      <c r="DY14" vm="6109">
        <f ca="1"/>
        <v>88.08</v>
      </c>
      <c r="DZ14" vm="6156">
        <f ca="1"/>
        <v>88.98</v>
      </c>
      <c r="EA14" vm="6157">
        <f ca="1"/>
        <v>86.03</v>
      </c>
      <c r="EB14" vm="6158">
        <f ca="1"/>
        <v>84.91</v>
      </c>
      <c r="EC14" vm="6159">
        <f ca="1"/>
        <v>84.54</v>
      </c>
      <c r="ED14" vm="6160">
        <f ca="1"/>
        <v>85.75</v>
      </c>
      <c r="EE14" vm="6161">
        <f ca="1"/>
        <v>85.3</v>
      </c>
      <c r="EF14" vm="6162">
        <f ca="1"/>
        <v>84.81</v>
      </c>
      <c r="EG14" vm="6163">
        <f ca="1"/>
        <v>85.46</v>
      </c>
      <c r="EH14" vm="1708">
        <f ca="1"/>
        <v>86.93</v>
      </c>
      <c r="EI14" vm="6164">
        <f ca="1"/>
        <v>87.03</v>
      </c>
      <c r="EJ14" vm="6165">
        <f ca="1"/>
        <v>86.19</v>
      </c>
      <c r="EK14" vm="597">
        <f ca="1"/>
        <v>88.51</v>
      </c>
      <c r="EL14" vm="4507">
        <f ca="1"/>
        <v>88.06</v>
      </c>
      <c r="EM14" vm="6166">
        <f ca="1"/>
        <v>88.73</v>
      </c>
      <c r="EN14" vm="6101">
        <f ca="1"/>
        <v>89.13</v>
      </c>
      <c r="EO14" vm="592">
        <f ca="1"/>
        <v>88.15</v>
      </c>
      <c r="EP14" vm="6167">
        <f ca="1"/>
        <v>86.88</v>
      </c>
      <c r="EQ14" vm="5581">
        <f ca="1"/>
        <v>86.13</v>
      </c>
      <c r="ER14" vm="6073">
        <f ca="1"/>
        <v>86.66</v>
      </c>
      <c r="ES14" vm="6107">
        <f ca="1"/>
        <v>85.96</v>
      </c>
      <c r="ET14" vm="6168">
        <f ca="1"/>
        <v>85.07</v>
      </c>
      <c r="EU14" vm="967">
        <f ca="1"/>
        <v>85.47</v>
      </c>
      <c r="EV14" vm="6169">
        <f ca="1"/>
        <v>86.81</v>
      </c>
      <c r="EW14" vm="6108">
        <f ca="1"/>
        <v>87.43</v>
      </c>
      <c r="EX14" vm="6170">
        <f ca="1"/>
        <v>87.1</v>
      </c>
      <c r="EY14" vm="1709">
        <f ca="1"/>
        <v>88.09</v>
      </c>
      <c r="EZ14" vm="6171">
        <f ca="1"/>
        <v>88.95</v>
      </c>
      <c r="FA14" vm="6172">
        <f ca="1"/>
        <v>87.68</v>
      </c>
      <c r="FB14" vm="6173">
        <f ca="1"/>
        <v>87.21</v>
      </c>
      <c r="FC14" vm="6174">
        <f ca="1"/>
        <v>85.59</v>
      </c>
      <c r="FD14" vm="6175">
        <f ca="1"/>
        <v>85.4</v>
      </c>
      <c r="FE14" vm="6176">
        <f ca="1"/>
        <v>85.51</v>
      </c>
      <c r="FF14" vm="6177">
        <f ca="1"/>
        <v>84.72</v>
      </c>
      <c r="FG14" vm="6178">
        <f ca="1"/>
        <v>84.39</v>
      </c>
      <c r="FH14" vm="6179">
        <f ca="1"/>
        <v>84.93</v>
      </c>
      <c r="FI14" vm="6180">
        <f ca="1"/>
        <v>84.25</v>
      </c>
      <c r="FJ14" vm="6181">
        <f ca="1"/>
        <v>84.66</v>
      </c>
      <c r="FK14" vm="6182">
        <f ca="1"/>
        <v>85.64</v>
      </c>
      <c r="FL14" vm="6183">
        <f ca="1"/>
        <v>85.56</v>
      </c>
      <c r="FM14" vm="6183">
        <f ca="1"/>
        <v>85.56</v>
      </c>
      <c r="FN14" vm="1972">
        <f ca="1"/>
        <v>85.05</v>
      </c>
      <c r="FO14" vm="6184">
        <f ca="1"/>
        <v>85.08</v>
      </c>
      <c r="FP14" vm="6185">
        <f ca="1"/>
        <v>85.79</v>
      </c>
      <c r="FQ14" vm="6186">
        <f ca="1"/>
        <v>86.38</v>
      </c>
      <c r="FR14" vm="1841">
        <f ca="1"/>
        <v>88.14</v>
      </c>
      <c r="FS14" vm="6187">
        <f ca="1"/>
        <v>88.37</v>
      </c>
      <c r="FT14" vm="6188">
        <f ca="1"/>
        <v>88.23</v>
      </c>
      <c r="FU14" vm="2838">
        <f ca="1"/>
        <v>89.22</v>
      </c>
      <c r="FV14" vm="6189">
        <f ca="1"/>
        <v>89.9</v>
      </c>
      <c r="FW14" vm="1714">
        <f ca="1"/>
        <v>90.39</v>
      </c>
      <c r="FX14" vm="1715">
        <f ca="1"/>
        <v>90.52</v>
      </c>
      <c r="FY14" vm="6190">
        <f ca="1"/>
        <v>88.49</v>
      </c>
      <c r="FZ14" vm="6191">
        <f ca="1"/>
        <v>89.08</v>
      </c>
      <c r="GA14" vm="6192">
        <f ca="1"/>
        <v>87.36</v>
      </c>
      <c r="GB14" vm="6193">
        <f ca="1"/>
        <v>87.16</v>
      </c>
      <c r="GC14" vm="4530">
        <f ca="1"/>
        <v>87.58</v>
      </c>
      <c r="GD14" vm="6194">
        <f ca="1"/>
        <v>89.11</v>
      </c>
      <c r="GE14" vm="6101">
        <f ca="1"/>
        <v>89.13</v>
      </c>
      <c r="GF14" vm="6195">
        <f ca="1"/>
        <v>88.6</v>
      </c>
      <c r="GG14" vm="6196">
        <f ca="1"/>
        <v>88.3</v>
      </c>
      <c r="GH14" vm="6197">
        <f ca="1"/>
        <v>89.78</v>
      </c>
      <c r="GI14" vm="595">
        <f ca="1"/>
        <v>89.99</v>
      </c>
      <c r="GJ14" vm="6094">
        <f ca="1"/>
        <v>89.71</v>
      </c>
      <c r="GK14" vm="6198">
        <f ca="1"/>
        <v>88.52</v>
      </c>
      <c r="GL14" vm="6199">
        <f ca="1"/>
        <v>87.67</v>
      </c>
      <c r="GM14" vm="536">
        <f ca="1"/>
        <v>89.18</v>
      </c>
      <c r="GN14" vm="6200">
        <f ca="1"/>
        <v>90.34</v>
      </c>
      <c r="GO14" vm="4468">
        <f ca="1"/>
        <v>91.15</v>
      </c>
      <c r="GP14" vm="6201">
        <f ca="1"/>
        <v>91.99</v>
      </c>
      <c r="GQ14" vm="2839">
        <f ca="1"/>
        <v>90.3</v>
      </c>
      <c r="GR14" vm="1494">
        <f ca="1"/>
        <v>89.34</v>
      </c>
      <c r="GS14" vm="1494">
        <f ca="1"/>
        <v>89.34</v>
      </c>
      <c r="GT14" vm="6202">
        <f ca="1"/>
        <v>88.44</v>
      </c>
      <c r="GU14" vm="6203">
        <f ca="1"/>
        <v>88.91</v>
      </c>
      <c r="GV14" vm="6204">
        <f ca="1"/>
        <v>89.35</v>
      </c>
      <c r="GW14" vm="1711">
        <f ca="1"/>
        <v>89.49</v>
      </c>
      <c r="GX14" vm="6205">
        <f ca="1"/>
        <v>88.97</v>
      </c>
      <c r="GY14" vm="6206">
        <f ca="1"/>
        <v>87.76</v>
      </c>
      <c r="GZ14" vm="6207">
        <f ca="1"/>
        <v>85.22</v>
      </c>
      <c r="HA14" vm="6186">
        <f ca="1"/>
        <v>86.38</v>
      </c>
      <c r="HB14" vm="6208">
        <f ca="1"/>
        <v>86.37</v>
      </c>
      <c r="HC14" vm="6209">
        <f ca="1"/>
        <v>86.32</v>
      </c>
      <c r="HD14" vm="6210">
        <f ca="1"/>
        <v>85.28</v>
      </c>
      <c r="HE14" vm="6211">
        <f ca="1"/>
        <v>85.98</v>
      </c>
      <c r="HF14" vm="6212">
        <f ca="1"/>
        <v>86.89</v>
      </c>
      <c r="HG14" vm="6213">
        <f ca="1"/>
        <v>86.69</v>
      </c>
      <c r="HH14" vm="3148">
        <f ca="1"/>
        <v>87.8</v>
      </c>
      <c r="HI14" vm="6205">
        <f ca="1"/>
        <v>88.97</v>
      </c>
      <c r="HJ14" vm="6214">
        <f ca="1"/>
        <v>88.07</v>
      </c>
      <c r="HK14" vm="6215">
        <f ca="1"/>
        <v>88.28</v>
      </c>
      <c r="HL14" vm="6192">
        <f ca="1"/>
        <v>87.36</v>
      </c>
      <c r="HM14" vm="6216">
        <f ca="1"/>
        <v>88.01</v>
      </c>
      <c r="HN14" vm="6217">
        <f ca="1"/>
        <v>87.49</v>
      </c>
      <c r="HO14" vm="4510">
        <f ca="1"/>
        <v>88.13</v>
      </c>
      <c r="HP14" vm="1841">
        <f ca="1"/>
        <v>88.14</v>
      </c>
      <c r="HQ14" vm="1491">
        <f ca="1"/>
        <v>87.19</v>
      </c>
      <c r="HR14" vm="6218">
        <f ca="1"/>
        <v>87.42</v>
      </c>
      <c r="HS14" vm="1334">
        <f ca="1"/>
        <v>88.27</v>
      </c>
      <c r="HT14" vm="6219">
        <f ca="1"/>
        <v>89.54</v>
      </c>
      <c r="HU14" vm="6220">
        <f ca="1"/>
        <v>90.35</v>
      </c>
      <c r="HV14" vm="6221">
        <f ca="1"/>
        <v>91.53</v>
      </c>
      <c r="HW14" vm="6079">
        <f ca="1"/>
        <v>90.25</v>
      </c>
      <c r="HX14" vm="5586">
        <f ca="1"/>
        <v>90.48</v>
      </c>
      <c r="HY14" vm="6096">
        <f ca="1"/>
        <v>92.02</v>
      </c>
      <c r="HZ14" vm="6200">
        <f ca="1"/>
        <v>90.34</v>
      </c>
      <c r="IA14" vm="6222">
        <f ca="1"/>
        <v>91.06</v>
      </c>
      <c r="IB14" vm="446">
        <f ca="1"/>
        <v>89.88</v>
      </c>
      <c r="IC14" vm="447">
        <f ca="1"/>
        <v>88.86</v>
      </c>
      <c r="ID14" vm="448">
        <f ca="1"/>
        <v>89.42</v>
      </c>
      <c r="IE14" vm="449">
        <f ca="1"/>
        <v>89.17</v>
      </c>
      <c r="IF14" vm="450">
        <f ca="1"/>
        <v>88.61</v>
      </c>
      <c r="IG14" vm="451">
        <f ca="1"/>
        <v>89.28</v>
      </c>
      <c r="IH14" vm="452">
        <f ca="1"/>
        <v>90.45</v>
      </c>
      <c r="II14" vm="453">
        <f ca="1"/>
        <v>91.32</v>
      </c>
      <c r="IJ14" vm="454">
        <f ca="1"/>
        <v>45.07</v>
      </c>
      <c r="IK14" vm="455">
        <f ca="1"/>
        <v>45.914999999999999</v>
      </c>
      <c r="IL14" vm="456">
        <f ca="1"/>
        <v>46.11</v>
      </c>
      <c r="IM14" vm="457">
        <f ca="1"/>
        <v>45.92</v>
      </c>
      <c r="IN14" vm="458">
        <f ca="1"/>
        <v>45.42</v>
      </c>
      <c r="IO14" vm="459">
        <f ca="1"/>
        <v>45.7</v>
      </c>
      <c r="IP14" vm="460">
        <f ca="1"/>
        <v>46.18</v>
      </c>
      <c r="IQ14" vm="461">
        <f ca="1"/>
        <v>45.96</v>
      </c>
      <c r="IR14" vm="462">
        <f ca="1"/>
        <v>45.51</v>
      </c>
      <c r="IS14" vm="463">
        <f ca="1"/>
        <v>45.19</v>
      </c>
      <c r="IT14" vm="464">
        <f ca="1"/>
        <v>43.81</v>
      </c>
      <c r="IU14" vm="465">
        <f ca="1"/>
        <v>44.78</v>
      </c>
      <c r="IV14" vm="14">
        <f ca="1"/>
        <v>44.13</v>
      </c>
      <c r="IW14" vm="14">
        <f ca="1"/>
        <v>44.13</v>
      </c>
    </row>
    <row r="15" spans="1:257" ht="16" x14ac:dyDescent="0.2">
      <c r="A15" s="10" t="e" vm="466">
        <v>#VALUE!</v>
      </c>
      <c r="B15" s="23" t="str" cm="1">
        <f t="array" aca="1" ref="B15" ca="1">_FV(A15,"ticker symbol",TRUE)</f>
        <v>XLF</v>
      </c>
      <c r="C15" s="23" t="str" cm="1">
        <f t="array" aca="1" ref="C15" ca="1">_FV(A15,"Name")</f>
        <v>Sel Sector:Fin SS SPDR I</v>
      </c>
      <c r="D15" cm="1" vm="6223">
        <f t="array" aca="1" ref="D15:IW15" ca="1">TRANSPOSE(_xlfn.STOCKHISTORY(B15, WORKDAY(TODAY(), -265), TODAY(), 0, 0, 1))</f>
        <v>49.45</v>
      </c>
      <c r="E15" s="23" vm="6224">
        <f ca="1"/>
        <v>49.1</v>
      </c>
      <c r="F15" s="23" vm="6225">
        <f ca="1"/>
        <v>47.63</v>
      </c>
      <c r="G15" s="23" vm="6226">
        <f ca="1"/>
        <v>47.8</v>
      </c>
      <c r="H15" s="23" vm="1129">
        <f ca="1"/>
        <v>48.51</v>
      </c>
      <c r="I15" s="23" vm="6227">
        <f ca="1"/>
        <v>48.42</v>
      </c>
      <c r="J15" s="23" vm="6228">
        <f ca="1"/>
        <v>48.99</v>
      </c>
      <c r="K15" s="23" vm="832">
        <f ca="1"/>
        <v>49.11</v>
      </c>
      <c r="L15" s="23" vm="6229">
        <f ca="1"/>
        <v>48.75</v>
      </c>
      <c r="M15" s="23" vm="6230">
        <f ca="1"/>
        <v>48.28</v>
      </c>
      <c r="N15" s="23" vm="6231">
        <f ca="1"/>
        <v>48.33</v>
      </c>
      <c r="O15" s="23" vm="6232">
        <f ca="1"/>
        <v>48.21</v>
      </c>
      <c r="P15" s="23" vm="6233">
        <f ca="1"/>
        <v>48.59</v>
      </c>
      <c r="Q15" s="23" vm="6234">
        <f ca="1"/>
        <v>48.44</v>
      </c>
      <c r="R15" s="23" vm="6231">
        <f ca="1"/>
        <v>48.33</v>
      </c>
      <c r="S15" s="23" vm="6235">
        <f ca="1"/>
        <v>48.49</v>
      </c>
      <c r="T15" s="23" vm="6236">
        <f ca="1"/>
        <v>47.32</v>
      </c>
      <c r="U15" s="23" vm="6237">
        <f ca="1"/>
        <v>47.66</v>
      </c>
      <c r="V15" s="23" vm="6238">
        <f ca="1"/>
        <v>48.25</v>
      </c>
      <c r="W15" s="23" vm="6239">
        <f ca="1"/>
        <v>49.48</v>
      </c>
      <c r="X15" s="23" vm="6240">
        <f ca="1"/>
        <v>49.81</v>
      </c>
      <c r="Y15" s="23" vm="6241">
        <f ca="1"/>
        <v>50.23</v>
      </c>
      <c r="Z15" s="23" vm="6242">
        <f ca="1"/>
        <v>50.65</v>
      </c>
      <c r="AA15" s="23" vm="6243">
        <f ca="1"/>
        <v>50.41</v>
      </c>
      <c r="AB15" s="23" vm="6244">
        <f ca="1"/>
        <v>50.7</v>
      </c>
      <c r="AC15" s="23" vm="6245">
        <f ca="1"/>
        <v>50.85</v>
      </c>
      <c r="AD15" vm="6246">
        <f ca="1"/>
        <v>51.41</v>
      </c>
      <c r="AE15" vm="6247">
        <f ca="1"/>
        <v>51.32</v>
      </c>
      <c r="AF15" vm="6248">
        <f ca="1"/>
        <v>51.28</v>
      </c>
      <c r="AG15" vm="6249">
        <f ca="1"/>
        <v>51.77</v>
      </c>
      <c r="AH15" vm="2764">
        <f ca="1"/>
        <v>51.47</v>
      </c>
      <c r="AI15" vm="6250">
        <f ca="1"/>
        <v>51.26</v>
      </c>
      <c r="AJ15" vm="6251">
        <f ca="1"/>
        <v>51.14</v>
      </c>
      <c r="AK15" vm="843">
        <f ca="1"/>
        <v>51.68</v>
      </c>
      <c r="AL15" vm="6252">
        <f ca="1"/>
        <v>52.11</v>
      </c>
      <c r="AM15" vm="6253">
        <f ca="1"/>
        <v>51.82</v>
      </c>
      <c r="AN15" vm="6246">
        <f ca="1"/>
        <v>51.41</v>
      </c>
      <c r="AO15" vm="6254">
        <f ca="1"/>
        <v>51.54</v>
      </c>
      <c r="AP15" vm="6255">
        <f ca="1"/>
        <v>51.36</v>
      </c>
      <c r="AQ15" vm="6256">
        <f ca="1"/>
        <v>51.7</v>
      </c>
      <c r="AR15" vm="6257">
        <f ca="1"/>
        <v>51.8</v>
      </c>
      <c r="AS15" vm="1522">
        <f ca="1"/>
        <v>52.17</v>
      </c>
      <c r="AT15" vm="1524">
        <f ca="1"/>
        <v>52.19</v>
      </c>
      <c r="AU15" vm="6258">
        <f ca="1"/>
        <v>51.39</v>
      </c>
      <c r="AV15" vm="6259">
        <f ca="1"/>
        <v>50.75</v>
      </c>
      <c r="AW15" vm="6260">
        <f ca="1"/>
        <v>50.97</v>
      </c>
      <c r="AX15" vm="6261">
        <f ca="1"/>
        <v>50.96</v>
      </c>
      <c r="AY15" vm="6245">
        <f ca="1"/>
        <v>50.85</v>
      </c>
      <c r="AZ15" vm="6262">
        <f ca="1"/>
        <v>51.13</v>
      </c>
      <c r="BA15" vm="2907">
        <f ca="1"/>
        <v>52.18</v>
      </c>
      <c r="BB15" vm="6263">
        <f ca="1"/>
        <v>51.74</v>
      </c>
      <c r="BC15" vm="6264">
        <f ca="1"/>
        <v>49.92</v>
      </c>
      <c r="BD15" vm="6265">
        <f ca="1"/>
        <v>50.21</v>
      </c>
      <c r="BE15" vm="6266">
        <f ca="1"/>
        <v>49.38</v>
      </c>
      <c r="BF15" vm="6267">
        <f ca="1"/>
        <v>49.12</v>
      </c>
      <c r="BG15" vm="6268">
        <f ca="1"/>
        <v>48.02</v>
      </c>
      <c r="BH15" vm="6269">
        <f ca="1"/>
        <v>47.61</v>
      </c>
      <c r="BI15" vm="6270">
        <f ca="1"/>
        <v>47.68</v>
      </c>
      <c r="BJ15" vm="6271">
        <f ca="1"/>
        <v>47.42</v>
      </c>
      <c r="BK15" vm="6272">
        <f ca="1"/>
        <v>48.52</v>
      </c>
      <c r="BL15" vm="1984">
        <f ca="1"/>
        <v>49.09</v>
      </c>
      <c r="BM15" vm="6273">
        <f ca="1"/>
        <v>49.03</v>
      </c>
      <c r="BN15" vm="1621">
        <f ca="1"/>
        <v>49.57</v>
      </c>
      <c r="BO15" vm="6274">
        <f ca="1"/>
        <v>49.64</v>
      </c>
      <c r="BP15" vm="6275">
        <f ca="1"/>
        <v>49.46</v>
      </c>
      <c r="BQ15" vm="1148">
        <f ca="1"/>
        <v>50.15</v>
      </c>
      <c r="BR15" vm="2903">
        <f ca="1"/>
        <v>50.43</v>
      </c>
      <c r="BS15" vm="1147">
        <f ca="1"/>
        <v>50.28</v>
      </c>
      <c r="BT15" vm="1138">
        <f ca="1"/>
        <v>50.18</v>
      </c>
      <c r="BU15" vm="6276">
        <f ca="1"/>
        <v>49.21</v>
      </c>
      <c r="BV15" vm="6240">
        <f ca="1"/>
        <v>49.81</v>
      </c>
      <c r="BW15" vm="1991">
        <f ca="1"/>
        <v>49.75</v>
      </c>
      <c r="BX15" vm="6277">
        <f ca="1"/>
        <v>50.16</v>
      </c>
      <c r="BY15" vm="2333">
        <f ca="1"/>
        <v>47.69</v>
      </c>
      <c r="BZ15" vm="2329">
        <f ca="1"/>
        <v>44.2</v>
      </c>
      <c r="CA15" vm="540">
        <f ca="1"/>
        <v>44.09</v>
      </c>
      <c r="CB15" vm="6278">
        <f ca="1"/>
        <v>43.92</v>
      </c>
      <c r="CC15" vm="6279">
        <f ca="1"/>
        <v>47.23</v>
      </c>
      <c r="CD15" vm="6280">
        <f ca="1"/>
        <v>45.91</v>
      </c>
      <c r="CE15" vm="2187">
        <f ca="1"/>
        <v>46.67</v>
      </c>
      <c r="CF15" vm="6281">
        <f ca="1"/>
        <v>47.15</v>
      </c>
      <c r="CG15" vm="6282">
        <f ca="1"/>
        <v>47.27</v>
      </c>
      <c r="CH15" vm="6283">
        <f ca="1"/>
        <v>46.53</v>
      </c>
      <c r="CI15" vm="6284">
        <f ca="1"/>
        <v>46.65</v>
      </c>
      <c r="CJ15" vm="6285">
        <f ca="1"/>
        <v>45.65</v>
      </c>
      <c r="CK15" vm="6286">
        <f ca="1"/>
        <v>47.16</v>
      </c>
      <c r="CL15" vm="6287">
        <f ca="1"/>
        <v>47.72</v>
      </c>
      <c r="CM15" vm="6238">
        <f ca="1"/>
        <v>48.25</v>
      </c>
      <c r="CN15" vm="6268">
        <f ca="1"/>
        <v>48.02</v>
      </c>
      <c r="CO15" vm="6288">
        <f ca="1"/>
        <v>48.17</v>
      </c>
      <c r="CP15" vm="6289">
        <f ca="1"/>
        <v>48.67</v>
      </c>
      <c r="CQ15" vm="6290">
        <f ca="1"/>
        <v>48.76</v>
      </c>
      <c r="CR15" vm="6229">
        <f ca="1"/>
        <v>48.75</v>
      </c>
      <c r="CS15" vm="6291">
        <f ca="1"/>
        <v>49.76</v>
      </c>
      <c r="CT15" vm="6292">
        <f ca="1"/>
        <v>49.44</v>
      </c>
      <c r="CU15" vm="1985">
        <f ca="1"/>
        <v>49.16</v>
      </c>
      <c r="CV15" vm="6223">
        <f ca="1"/>
        <v>49.45</v>
      </c>
      <c r="CW15" vm="6293">
        <f ca="1"/>
        <v>49.86</v>
      </c>
      <c r="CX15" vm="6293">
        <f ca="1"/>
        <v>49.86</v>
      </c>
      <c r="CY15" vm="6294">
        <f ca="1"/>
        <v>50.87</v>
      </c>
      <c r="CZ15" vm="6295">
        <f ca="1"/>
        <v>51.08</v>
      </c>
      <c r="DA15" vm="6296">
        <f ca="1"/>
        <v>50.94</v>
      </c>
      <c r="DB15" vm="6248">
        <f ca="1"/>
        <v>51.28</v>
      </c>
      <c r="DC15" vm="2916">
        <f ca="1"/>
        <v>51.59</v>
      </c>
      <c r="DD15" vm="6297">
        <f ca="1"/>
        <v>51.62</v>
      </c>
      <c r="DE15" vm="2762">
        <f ca="1"/>
        <v>51.34</v>
      </c>
      <c r="DF15" vm="1136">
        <f ca="1"/>
        <v>50.29</v>
      </c>
      <c r="DG15" vm="6241">
        <f ca="1"/>
        <v>50.23</v>
      </c>
      <c r="DH15" vm="6298">
        <f ca="1"/>
        <v>50.05</v>
      </c>
      <c r="DI15" vm="6299">
        <f ca="1"/>
        <v>50.93</v>
      </c>
      <c r="DJ15" vm="6300">
        <f ca="1"/>
        <v>50.59</v>
      </c>
      <c r="DK15" vm="6245">
        <f ca="1"/>
        <v>50.85</v>
      </c>
      <c r="DL15" vm="6261">
        <f ca="1"/>
        <v>50.96</v>
      </c>
      <c r="DM15" vm="6301">
        <f ca="1"/>
        <v>50.98</v>
      </c>
      <c r="DN15" vm="6295">
        <f ca="1"/>
        <v>51.08</v>
      </c>
      <c r="DO15" vm="1623">
        <f ca="1"/>
        <v>50.79</v>
      </c>
      <c r="DP15" vm="6242">
        <f ca="1"/>
        <v>50.65</v>
      </c>
      <c r="DQ15" vm="6248">
        <f ca="1"/>
        <v>51.28</v>
      </c>
      <c r="DR15" vm="6302">
        <f ca="1"/>
        <v>51</v>
      </c>
      <c r="DS15" vm="6303">
        <f ca="1"/>
        <v>51.06</v>
      </c>
      <c r="DT15" vm="6302">
        <f ca="1"/>
        <v>51</v>
      </c>
      <c r="DU15" vm="6302">
        <f ca="1"/>
        <v>51</v>
      </c>
      <c r="DV15" vm="6304">
        <f ca="1"/>
        <v>49.96</v>
      </c>
      <c r="DW15" vm="6305">
        <f ca="1"/>
        <v>50.53</v>
      </c>
      <c r="DX15" vm="6306">
        <f ca="1"/>
        <v>50.24</v>
      </c>
      <c r="DY15" vm="6307">
        <f ca="1"/>
        <v>50.22</v>
      </c>
      <c r="DZ15" vm="1135">
        <f ca="1"/>
        <v>50.36</v>
      </c>
      <c r="EA15" vm="1624">
        <f ca="1"/>
        <v>50.82</v>
      </c>
      <c r="EB15" vm="6308">
        <f ca="1"/>
        <v>51.58</v>
      </c>
      <c r="EC15" vm="6246">
        <f ca="1"/>
        <v>51.41</v>
      </c>
      <c r="ED15" vm="6309">
        <f ca="1"/>
        <v>51.79</v>
      </c>
      <c r="EE15" vm="6310">
        <f ca="1"/>
        <v>51.94</v>
      </c>
      <c r="EF15" vm="6311">
        <f ca="1"/>
        <v>52.37</v>
      </c>
      <c r="EG15" vm="2768">
        <f ca="1"/>
        <v>52.66</v>
      </c>
      <c r="EH15" vm="6312">
        <f ca="1"/>
        <v>52.62</v>
      </c>
      <c r="EI15" vm="6313">
        <f ca="1"/>
        <v>53.19</v>
      </c>
      <c r="EJ15" vm="6314">
        <f ca="1"/>
        <v>52.68</v>
      </c>
      <c r="EK15" vm="6315">
        <f ca="1"/>
        <v>52.21</v>
      </c>
      <c r="EL15" vm="6316">
        <f ca="1"/>
        <v>52.4</v>
      </c>
      <c r="EM15" vm="2194">
        <f ca="1"/>
        <v>52.71</v>
      </c>
      <c r="EN15" vm="2766">
        <f ca="1"/>
        <v>52.16</v>
      </c>
      <c r="EO15" vm="6317">
        <f ca="1"/>
        <v>52.55</v>
      </c>
      <c r="EP15" vm="6318">
        <f ca="1"/>
        <v>51.65</v>
      </c>
      <c r="EQ15" vm="6319">
        <f ca="1"/>
        <v>52.01</v>
      </c>
      <c r="ER15" vm="3110">
        <f ca="1"/>
        <v>52.51</v>
      </c>
      <c r="ES15" vm="471">
        <f ca="1"/>
        <v>52.54</v>
      </c>
      <c r="ET15" vm="6320">
        <f ca="1"/>
        <v>52.39</v>
      </c>
      <c r="EU15" vm="6314">
        <f ca="1"/>
        <v>52.68</v>
      </c>
      <c r="EV15" vm="2637">
        <f ca="1"/>
        <v>53.1</v>
      </c>
      <c r="EW15" vm="2192">
        <f ca="1"/>
        <v>53.07</v>
      </c>
      <c r="EX15" vm="6321">
        <f ca="1"/>
        <v>53.44</v>
      </c>
      <c r="EY15" vm="2192">
        <f ca="1"/>
        <v>53.07</v>
      </c>
      <c r="EZ15" vm="148">
        <f ca="1"/>
        <v>52.8</v>
      </c>
      <c r="FA15" vm="2906">
        <f ca="1"/>
        <v>52.7</v>
      </c>
      <c r="FB15" vm="6311">
        <f ca="1"/>
        <v>52.37</v>
      </c>
      <c r="FC15" vm="6322">
        <f ca="1"/>
        <v>51.4</v>
      </c>
      <c r="FD15" vm="6323">
        <f ca="1"/>
        <v>51.91</v>
      </c>
      <c r="FE15" vm="6256">
        <f ca="1"/>
        <v>51.7</v>
      </c>
      <c r="FF15" vm="6324">
        <f ca="1"/>
        <v>51.95</v>
      </c>
      <c r="FG15" vm="6325">
        <f ca="1"/>
        <v>51.37</v>
      </c>
      <c r="FH15" vm="6326">
        <f ca="1"/>
        <v>51.85</v>
      </c>
      <c r="FI15" vm="6327">
        <f ca="1"/>
        <v>51.83</v>
      </c>
      <c r="FJ15" vm="6328">
        <f ca="1"/>
        <v>52.46</v>
      </c>
      <c r="FK15" vm="6329">
        <f ca="1"/>
        <v>52.76</v>
      </c>
      <c r="FL15" vm="3302">
        <f ca="1"/>
        <v>53.01</v>
      </c>
      <c r="FM15" vm="6328">
        <f ca="1"/>
        <v>52.46</v>
      </c>
      <c r="FN15" vm="6330">
        <f ca="1"/>
        <v>52.5</v>
      </c>
      <c r="FO15" vm="2651">
        <f ca="1"/>
        <v>52.6</v>
      </c>
      <c r="FP15" vm="3303">
        <f ca="1"/>
        <v>52.87</v>
      </c>
      <c r="FQ15" vm="2906">
        <f ca="1"/>
        <v>52.7</v>
      </c>
      <c r="FR15" vm="6331">
        <f ca="1"/>
        <v>53.57</v>
      </c>
      <c r="FS15" vm="6332">
        <f ca="1"/>
        <v>53.26</v>
      </c>
      <c r="FT15" vm="6333">
        <f ca="1"/>
        <v>53.67</v>
      </c>
      <c r="FU15" vm="1528">
        <f ca="1"/>
        <v>53.78</v>
      </c>
      <c r="FV15" vm="2635">
        <f ca="1"/>
        <v>53.85</v>
      </c>
      <c r="FW15" vm="3336">
        <f ca="1"/>
        <v>53.99</v>
      </c>
      <c r="FX15" vm="6334">
        <f ca="1"/>
        <v>53.59</v>
      </c>
      <c r="FY15" vm="6335">
        <f ca="1"/>
        <v>53.5</v>
      </c>
      <c r="FZ15" vm="3328">
        <f ca="1"/>
        <v>54.06</v>
      </c>
      <c r="GA15" vm="2192">
        <f ca="1"/>
        <v>53.07</v>
      </c>
      <c r="GB15" vm="2636">
        <f ca="1"/>
        <v>53.11</v>
      </c>
      <c r="GC15" vm="6336">
        <f ca="1"/>
        <v>53.34</v>
      </c>
      <c r="GD15" vm="6337">
        <f ca="1"/>
        <v>53.16</v>
      </c>
      <c r="GE15" vm="6338">
        <f ca="1"/>
        <v>54.03</v>
      </c>
      <c r="GF15" vm="150">
        <f ca="1"/>
        <v>53.8</v>
      </c>
      <c r="GG15" vm="103">
        <f ca="1"/>
        <v>53.68</v>
      </c>
      <c r="GH15" vm="6339">
        <f ca="1"/>
        <v>53.56</v>
      </c>
      <c r="GI15" vm="2649">
        <f ca="1"/>
        <v>54.08</v>
      </c>
      <c r="GJ15" vm="3334">
        <f ca="1"/>
        <v>54.13</v>
      </c>
      <c r="GK15" vm="6340">
        <f ca="1"/>
        <v>54.25</v>
      </c>
      <c r="GL15" vm="6341">
        <f ca="1"/>
        <v>54</v>
      </c>
      <c r="GM15" vm="6342">
        <f ca="1"/>
        <v>53.76</v>
      </c>
      <c r="GN15" vm="6343">
        <f ca="1"/>
        <v>53.61</v>
      </c>
      <c r="GO15" vm="6344">
        <f ca="1"/>
        <v>53.47</v>
      </c>
      <c r="GP15" vm="3327">
        <f ca="1"/>
        <v>53.86</v>
      </c>
      <c r="GQ15" vm="3334">
        <f ca="1"/>
        <v>54.13</v>
      </c>
      <c r="GR15" vm="6345">
        <f ca="1"/>
        <v>53.87</v>
      </c>
      <c r="GS15" vm="6346">
        <f ca="1"/>
        <v>53.39</v>
      </c>
      <c r="GT15" vm="6347">
        <f ca="1"/>
        <v>53.35</v>
      </c>
      <c r="GU15" vm="73">
        <f ca="1"/>
        <v>53.72</v>
      </c>
      <c r="GV15" vm="1631">
        <f ca="1"/>
        <v>53.7</v>
      </c>
      <c r="GW15" vm="1630">
        <f ca="1"/>
        <v>53.77</v>
      </c>
      <c r="GX15" vm="2775">
        <f ca="1"/>
        <v>53.51</v>
      </c>
      <c r="GY15" vm="6348">
        <f ca="1"/>
        <v>53.32</v>
      </c>
      <c r="GZ15" vm="2766">
        <f ca="1"/>
        <v>52.16</v>
      </c>
      <c r="HA15" vm="2768">
        <f ca="1"/>
        <v>52.66</v>
      </c>
      <c r="HB15" vm="6349">
        <f ca="1"/>
        <v>53.24</v>
      </c>
      <c r="HC15" vm="6349">
        <f ca="1"/>
        <v>53.24</v>
      </c>
      <c r="HD15" vm="2193">
        <f ca="1"/>
        <v>51.76</v>
      </c>
      <c r="HE15" vm="2907">
        <f ca="1"/>
        <v>52.18</v>
      </c>
      <c r="HF15" vm="6350">
        <f ca="1"/>
        <v>52.79</v>
      </c>
      <c r="HG15" vm="6351">
        <f ca="1"/>
        <v>52.73</v>
      </c>
      <c r="HH15" vm="6352">
        <f ca="1"/>
        <v>52.43</v>
      </c>
      <c r="HI15" vm="471">
        <f ca="1"/>
        <v>52.54</v>
      </c>
      <c r="HJ15" vm="2636">
        <f ca="1"/>
        <v>53.11</v>
      </c>
      <c r="HK15" vm="473">
        <f ca="1"/>
        <v>53.33</v>
      </c>
      <c r="HL15" vm="3301">
        <f ca="1"/>
        <v>52.99</v>
      </c>
      <c r="HM15" vm="6353">
        <f ca="1"/>
        <v>52.09</v>
      </c>
      <c r="HN15" vm="1628">
        <f ca="1"/>
        <v>52.23</v>
      </c>
      <c r="HO15" vm="6311">
        <f ca="1"/>
        <v>52.37</v>
      </c>
      <c r="HP15" vm="6354">
        <f ca="1"/>
        <v>52.15</v>
      </c>
      <c r="HQ15" vm="6355">
        <f ca="1"/>
        <v>52.42</v>
      </c>
      <c r="HR15" vm="2651">
        <f ca="1"/>
        <v>52.6</v>
      </c>
      <c r="HS15" vm="2920">
        <f ca="1"/>
        <v>52.41</v>
      </c>
      <c r="HT15" vm="6356">
        <f ca="1"/>
        <v>52.78</v>
      </c>
      <c r="HU15" vm="3307">
        <f ca="1"/>
        <v>52.97</v>
      </c>
      <c r="HV15" vm="2929">
        <f ca="1"/>
        <v>53.21</v>
      </c>
      <c r="HW15" vm="6333">
        <f ca="1"/>
        <v>53.67</v>
      </c>
      <c r="HX15" vm="2650">
        <f ca="1"/>
        <v>52.98</v>
      </c>
      <c r="HY15" vm="6357">
        <f ca="1"/>
        <v>52.45</v>
      </c>
      <c r="HZ15" vm="6358">
        <f ca="1"/>
        <v>51.45</v>
      </c>
      <c r="IA15" vm="6325">
        <f ca="1"/>
        <v>51.37</v>
      </c>
      <c r="IB15" vm="467">
        <f ca="1"/>
        <v>51.56</v>
      </c>
      <c r="IC15" vm="468">
        <f ca="1"/>
        <v>51.11</v>
      </c>
      <c r="ID15" vm="469">
        <f ca="1"/>
        <v>51.67</v>
      </c>
      <c r="IE15" vm="470">
        <f ca="1"/>
        <v>51.89</v>
      </c>
      <c r="IF15" vm="471">
        <f ca="1"/>
        <v>52.54</v>
      </c>
      <c r="IG15" vm="472">
        <f ca="1"/>
        <v>52.95</v>
      </c>
      <c r="IH15" vm="473">
        <f ca="1"/>
        <v>53.33</v>
      </c>
      <c r="II15" vm="474">
        <f ca="1"/>
        <v>52.89</v>
      </c>
      <c r="IJ15" vm="475">
        <f ca="1"/>
        <v>52.84</v>
      </c>
      <c r="IK15" vm="476">
        <f ca="1"/>
        <v>53.55</v>
      </c>
      <c r="IL15" vm="477">
        <f ca="1"/>
        <v>53.66</v>
      </c>
      <c r="IM15" vm="103">
        <f ca="1"/>
        <v>53.68</v>
      </c>
      <c r="IN15" vm="478">
        <f ca="1"/>
        <v>53.48</v>
      </c>
      <c r="IO15" vm="479">
        <f ca="1"/>
        <v>53.28</v>
      </c>
      <c r="IP15" vm="480">
        <f ca="1"/>
        <v>53.89</v>
      </c>
      <c r="IQ15" vm="481">
        <f ca="1"/>
        <v>54.87</v>
      </c>
      <c r="IR15" vm="482">
        <f ca="1"/>
        <v>54.95</v>
      </c>
      <c r="IS15" vm="483">
        <f ca="1"/>
        <v>54.99</v>
      </c>
      <c r="IT15" vm="484">
        <f ca="1"/>
        <v>54.64</v>
      </c>
      <c r="IU15" vm="485">
        <f ca="1"/>
        <v>54.63</v>
      </c>
      <c r="IV15" vm="486">
        <f ca="1"/>
        <v>54.54</v>
      </c>
      <c r="IW15" vm="15">
        <f ca="1"/>
        <v>54.84</v>
      </c>
    </row>
    <row r="16" spans="1:257" ht="16" x14ac:dyDescent="0.2">
      <c r="A16" s="10" t="e" vm="487">
        <v>#VALUE!</v>
      </c>
      <c r="B16" s="23" t="str" cm="1">
        <f t="array" aca="1" ref="B16" ca="1">_FV(A16,"ticker symbol",TRUE)</f>
        <v>XLV</v>
      </c>
      <c r="C16" s="23" t="str" cm="1">
        <f t="array" aca="1" ref="C16" ca="1">_FV(A16,"Name")</f>
        <v>Sel Sector:HC SS SPDR</v>
      </c>
      <c r="D16" cm="1" vm="6359">
        <f t="array" aca="1" ref="D16:IW16" ca="1">TRANSPOSE(_xlfn.STOCKHISTORY(B16, WORKDAY(TODAY(), -265), TODAY(), 0, 0, 1))</f>
        <v>139.31</v>
      </c>
      <c r="E16" s="23" vm="6360">
        <f ca="1"/>
        <v>139.21</v>
      </c>
      <c r="F16" s="23" vm="6361">
        <f ca="1"/>
        <v>137.32</v>
      </c>
      <c r="G16" s="23" vm="6362">
        <f ca="1"/>
        <v>136.28</v>
      </c>
      <c r="H16" s="23" vm="6363">
        <f ca="1"/>
        <v>138</v>
      </c>
      <c r="I16" s="23" vm="5160">
        <f ca="1"/>
        <v>138.75</v>
      </c>
      <c r="J16" s="23" vm="6364">
        <f ca="1"/>
        <v>139.32</v>
      </c>
      <c r="K16" s="23" vm="6365">
        <f ca="1"/>
        <v>139.6</v>
      </c>
      <c r="L16" s="23" vm="6366">
        <f ca="1"/>
        <v>138.94999999999999</v>
      </c>
      <c r="M16" s="23" vm="6367">
        <f ca="1"/>
        <v>137.24</v>
      </c>
      <c r="N16" s="23" vm="6368">
        <f ca="1"/>
        <v>137.57</v>
      </c>
      <c r="O16" s="23" vm="6369">
        <f ca="1"/>
        <v>137.61000000000001</v>
      </c>
      <c r="P16" s="23" vm="6370">
        <f ca="1"/>
        <v>138.96</v>
      </c>
      <c r="Q16" s="23" vm="6371">
        <f ca="1"/>
        <v>139.02000000000001</v>
      </c>
      <c r="R16" s="23" vm="6372">
        <f ca="1"/>
        <v>139.71</v>
      </c>
      <c r="S16" s="23" vm="6373">
        <f ca="1"/>
        <v>140.43</v>
      </c>
      <c r="T16" s="23" vm="6374">
        <f ca="1"/>
        <v>139.63999999999999</v>
      </c>
      <c r="U16" s="23" vm="6375">
        <f ca="1"/>
        <v>141.46</v>
      </c>
      <c r="V16" s="23" vm="6376">
        <f ca="1"/>
        <v>140</v>
      </c>
      <c r="W16" s="23" vm="6377">
        <f ca="1"/>
        <v>140.57</v>
      </c>
      <c r="X16" s="23" vm="6378">
        <f ca="1"/>
        <v>141.13</v>
      </c>
      <c r="Y16" s="23" vm="6379">
        <f ca="1"/>
        <v>140.18</v>
      </c>
      <c r="Z16" s="23" vm="6380">
        <f ca="1"/>
        <v>142.5</v>
      </c>
      <c r="AA16" s="23" vm="6381">
        <f ca="1"/>
        <v>142.18</v>
      </c>
      <c r="AB16" s="23" vm="6382">
        <f ca="1"/>
        <v>144.08000000000001</v>
      </c>
      <c r="AC16" s="23" vm="6383">
        <f ca="1"/>
        <v>144.31</v>
      </c>
      <c r="AD16" vm="1775">
        <f ca="1"/>
        <v>147.55000000000001</v>
      </c>
      <c r="AE16" vm="6384">
        <f ca="1"/>
        <v>146.52000000000001</v>
      </c>
      <c r="AF16" vm="6385">
        <f ca="1"/>
        <v>145.66</v>
      </c>
      <c r="AG16" vm="6386">
        <f ca="1"/>
        <v>147.34</v>
      </c>
      <c r="AH16" vm="6387">
        <f ca="1"/>
        <v>146.87</v>
      </c>
      <c r="AI16" vm="6388">
        <f ca="1"/>
        <v>147.44</v>
      </c>
      <c r="AJ16" vm="6389">
        <f ca="1"/>
        <v>147.04</v>
      </c>
      <c r="AK16" vm="6390">
        <f ca="1"/>
        <v>148.44999999999999</v>
      </c>
      <c r="AL16" vm="6391">
        <f ca="1"/>
        <v>147.12</v>
      </c>
      <c r="AM16" vm="6392">
        <f ca="1"/>
        <v>146.43</v>
      </c>
      <c r="AN16" vm="5172">
        <f ca="1"/>
        <v>146.30000000000001</v>
      </c>
      <c r="AO16" vm="6393">
        <f ca="1"/>
        <v>146.03</v>
      </c>
      <c r="AP16" vm="6394">
        <f ca="1"/>
        <v>145.82</v>
      </c>
      <c r="AQ16" vm="6395">
        <f ca="1"/>
        <v>146.38999999999999</v>
      </c>
      <c r="AR16" vm="5168">
        <f ca="1"/>
        <v>144.80000000000001</v>
      </c>
      <c r="AS16" vm="6396">
        <f ca="1"/>
        <v>144.52000000000001</v>
      </c>
      <c r="AT16" vm="6397">
        <f ca="1"/>
        <v>146.4</v>
      </c>
      <c r="AU16" vm="6398">
        <f ca="1"/>
        <v>147.22</v>
      </c>
      <c r="AV16" vm="6392">
        <f ca="1"/>
        <v>146.43</v>
      </c>
      <c r="AW16" vm="1771">
        <f ca="1"/>
        <v>147.62</v>
      </c>
      <c r="AX16" vm="6399">
        <f ca="1"/>
        <v>148.88999999999999</v>
      </c>
      <c r="AY16" vm="6400">
        <f ca="1"/>
        <v>147.82</v>
      </c>
      <c r="AZ16" vm="6398">
        <f ca="1"/>
        <v>147.22</v>
      </c>
      <c r="BA16" vm="6401">
        <f ca="1"/>
        <v>148.93</v>
      </c>
      <c r="BB16" vm="6402">
        <f ca="1"/>
        <v>149.58000000000001</v>
      </c>
      <c r="BC16" vm="6403">
        <f ca="1"/>
        <v>148.19</v>
      </c>
      <c r="BD16" vm="6404">
        <f ca="1"/>
        <v>149.68</v>
      </c>
      <c r="BE16" vm="5139">
        <f ca="1"/>
        <v>149.27000000000001</v>
      </c>
      <c r="BF16" vm="6405">
        <f ca="1"/>
        <v>149.28</v>
      </c>
      <c r="BG16" vm="6406">
        <f ca="1"/>
        <v>147.66999999999999</v>
      </c>
      <c r="BH16" vm="6407">
        <f ca="1"/>
        <v>146.06</v>
      </c>
      <c r="BI16" vm="20">
        <f ca="1"/>
        <v>144.6</v>
      </c>
      <c r="BJ16" vm="6408">
        <f ca="1"/>
        <v>143.83000000000001</v>
      </c>
      <c r="BK16" vm="5165">
        <f ca="1"/>
        <v>144.93</v>
      </c>
      <c r="BL16" vm="6409">
        <f ca="1"/>
        <v>146.77000000000001</v>
      </c>
      <c r="BM16" vm="6410">
        <f ca="1"/>
        <v>146.84</v>
      </c>
      <c r="BN16" vm="6411">
        <f ca="1"/>
        <v>146.91999999999999</v>
      </c>
      <c r="BO16" vm="6412">
        <f ca="1"/>
        <v>147.01</v>
      </c>
      <c r="BP16" vm="579">
        <f ca="1"/>
        <v>146.6</v>
      </c>
      <c r="BQ16" vm="6413">
        <f ca="1"/>
        <v>147.15</v>
      </c>
      <c r="BR16" vm="6414">
        <f ca="1"/>
        <v>145.27000000000001</v>
      </c>
      <c r="BS16" vm="6415">
        <f ca="1"/>
        <v>144.74</v>
      </c>
      <c r="BT16" vm="6416">
        <f ca="1"/>
        <v>144.97</v>
      </c>
      <c r="BU16" vm="6396">
        <f ca="1"/>
        <v>144.52000000000001</v>
      </c>
      <c r="BV16" vm="6417">
        <f ca="1"/>
        <v>146.01</v>
      </c>
      <c r="BW16" vm="6418">
        <f ca="1"/>
        <v>143.34</v>
      </c>
      <c r="BX16" vm="6419">
        <f ca="1"/>
        <v>144.30000000000001</v>
      </c>
      <c r="BY16" vm="6420">
        <f ca="1"/>
        <v>143.13</v>
      </c>
      <c r="BZ16" vm="6421">
        <f ca="1"/>
        <v>135.28</v>
      </c>
      <c r="CA16" vm="6422">
        <f ca="1"/>
        <v>134.47</v>
      </c>
      <c r="CB16" vm="6423">
        <f ca="1"/>
        <v>132.97999999999999</v>
      </c>
      <c r="CC16" vm="6424">
        <f ca="1"/>
        <v>138.76</v>
      </c>
      <c r="CD16" vm="6425">
        <f ca="1"/>
        <v>134.88999999999999</v>
      </c>
      <c r="CE16" vm="6426">
        <f ca="1"/>
        <v>136.87</v>
      </c>
      <c r="CF16" vm="6427">
        <f ca="1"/>
        <v>138.54</v>
      </c>
      <c r="CG16" vm="6428">
        <f ca="1"/>
        <v>137.69</v>
      </c>
      <c r="CH16" vm="6429">
        <f ca="1"/>
        <v>136.29</v>
      </c>
      <c r="CI16" vm="6430">
        <f ca="1"/>
        <v>135.49</v>
      </c>
      <c r="CJ16" vm="6431">
        <f ca="1"/>
        <v>132.57</v>
      </c>
      <c r="CK16" vm="6432">
        <f ca="1"/>
        <v>135.06</v>
      </c>
      <c r="CL16" vm="6433">
        <f ca="1"/>
        <v>135.72999999999999</v>
      </c>
      <c r="CM16" vm="2313">
        <f ca="1"/>
        <v>137.38999999999999</v>
      </c>
      <c r="CN16" vm="6434">
        <f ca="1"/>
        <v>138.05000000000001</v>
      </c>
      <c r="CO16" vm="6435">
        <f ca="1"/>
        <v>138.6</v>
      </c>
      <c r="CP16" vm="6436">
        <f ca="1"/>
        <v>139.28</v>
      </c>
      <c r="CQ16" vm="6437">
        <f ca="1"/>
        <v>140.47</v>
      </c>
      <c r="CR16" vm="6438">
        <f ca="1"/>
        <v>136.63999999999999</v>
      </c>
      <c r="CS16" vm="6439">
        <f ca="1"/>
        <v>138.53</v>
      </c>
      <c r="CT16" vm="6440">
        <f ca="1"/>
        <v>138.13999999999999</v>
      </c>
      <c r="CU16" vm="6441">
        <f ca="1"/>
        <v>134.33000000000001</v>
      </c>
      <c r="CV16" vm="6442">
        <f ca="1"/>
        <v>135.36000000000001</v>
      </c>
      <c r="CW16" vm="6443">
        <f ca="1"/>
        <v>134.13999999999999</v>
      </c>
      <c r="CX16" vm="6444">
        <f ca="1"/>
        <v>132.68</v>
      </c>
      <c r="CY16" vm="6445">
        <f ca="1"/>
        <v>135.96</v>
      </c>
      <c r="CZ16" vm="6446">
        <f ca="1"/>
        <v>131.87</v>
      </c>
      <c r="DA16" vm="1279">
        <f ca="1"/>
        <v>128.77000000000001</v>
      </c>
      <c r="DB16" vm="6447">
        <f ca="1"/>
        <v>130.46</v>
      </c>
      <c r="DC16" vm="6448">
        <f ca="1"/>
        <v>133.09</v>
      </c>
      <c r="DD16" vm="1739">
        <f ca="1"/>
        <v>134.37</v>
      </c>
      <c r="DE16" vm="6449">
        <f ca="1"/>
        <v>134.69999999999999</v>
      </c>
      <c r="DF16" vm="6450">
        <f ca="1"/>
        <v>131.58000000000001</v>
      </c>
      <c r="DG16" vm="6451">
        <f ca="1"/>
        <v>130.55000000000001</v>
      </c>
      <c r="DH16" vm="6452">
        <f ca="1"/>
        <v>130.34</v>
      </c>
      <c r="DI16" vm="6453">
        <f ca="1"/>
        <v>132.16</v>
      </c>
      <c r="DJ16" vm="6454">
        <f ca="1"/>
        <v>131.47999999999999</v>
      </c>
      <c r="DK16" vm="6455">
        <f ca="1"/>
        <v>132.36000000000001</v>
      </c>
      <c r="DL16" vm="6456">
        <f ca="1"/>
        <v>132.63999999999999</v>
      </c>
      <c r="DM16" vm="6457">
        <f ca="1"/>
        <v>132.72</v>
      </c>
      <c r="DN16" vm="6458">
        <f ca="1"/>
        <v>133.03</v>
      </c>
      <c r="DO16" vm="6459">
        <f ca="1"/>
        <v>133.29</v>
      </c>
      <c r="DP16" vm="6460">
        <f ca="1"/>
        <v>133.11000000000001</v>
      </c>
      <c r="DQ16" vm="6461">
        <f ca="1"/>
        <v>134.38</v>
      </c>
      <c r="DR16" vm="6462">
        <f ca="1"/>
        <v>134.15</v>
      </c>
      <c r="DS16" vm="6463">
        <f ca="1"/>
        <v>135.68</v>
      </c>
      <c r="DT16" vm="6464">
        <f ca="1"/>
        <v>135.75</v>
      </c>
      <c r="DU16" vm="6465">
        <f ca="1"/>
        <v>136.81</v>
      </c>
      <c r="DV16" vm="6466">
        <f ca="1"/>
        <v>136.13</v>
      </c>
      <c r="DW16" vm="6467">
        <f ca="1"/>
        <v>135.71</v>
      </c>
      <c r="DX16" vm="6468">
        <f ca="1"/>
        <v>133.47</v>
      </c>
      <c r="DY16" vm="6469">
        <f ca="1"/>
        <v>133.24</v>
      </c>
      <c r="DZ16" vm="6470">
        <f ca="1"/>
        <v>132.6</v>
      </c>
      <c r="EA16" vm="6453">
        <f ca="1"/>
        <v>132.16</v>
      </c>
      <c r="EB16" vm="6471">
        <f ca="1"/>
        <v>133.78</v>
      </c>
      <c r="EC16" vm="6472">
        <f ca="1"/>
        <v>133.9</v>
      </c>
      <c r="ED16" vm="735">
        <f ca="1"/>
        <v>134.22</v>
      </c>
      <c r="EE16" vm="2308">
        <f ca="1"/>
        <v>133.93</v>
      </c>
      <c r="EF16" vm="6473">
        <f ca="1"/>
        <v>134.79</v>
      </c>
      <c r="EG16" vm="6474">
        <f ca="1"/>
        <v>136.71</v>
      </c>
      <c r="EH16" vm="6442">
        <f ca="1"/>
        <v>135.36000000000001</v>
      </c>
      <c r="EI16" vm="6475">
        <f ca="1"/>
        <v>135.5</v>
      </c>
      <c r="EJ16" vm="6476">
        <f ca="1"/>
        <v>134.36000000000001</v>
      </c>
      <c r="EK16" vm="6477">
        <f ca="1"/>
        <v>134.97</v>
      </c>
      <c r="EL16" vm="6430">
        <f ca="1"/>
        <v>135.49</v>
      </c>
      <c r="EM16" vm="6478">
        <f ca="1"/>
        <v>136.32</v>
      </c>
      <c r="EN16" vm="6479">
        <f ca="1"/>
        <v>135.19</v>
      </c>
      <c r="EO16" vm="6480">
        <f ca="1"/>
        <v>135.03</v>
      </c>
      <c r="EP16" vm="6470">
        <f ca="1"/>
        <v>132.6</v>
      </c>
      <c r="EQ16" vm="6481">
        <f ca="1"/>
        <v>134.25</v>
      </c>
      <c r="ER16" vm="6457">
        <f ca="1"/>
        <v>132.72</v>
      </c>
      <c r="ES16" vm="5154">
        <f ca="1"/>
        <v>131.84</v>
      </c>
      <c r="ET16" vm="6482">
        <f ca="1"/>
        <v>131.09</v>
      </c>
      <c r="EU16" vm="6483">
        <f ca="1"/>
        <v>133.53</v>
      </c>
      <c r="EV16" vm="6484">
        <f ca="1"/>
        <v>136.27000000000001</v>
      </c>
      <c r="EW16" vm="6485">
        <f ca="1"/>
        <v>135.76</v>
      </c>
      <c r="EX16" vm="1302">
        <f ca="1"/>
        <v>136.47999999999999</v>
      </c>
      <c r="EY16" vm="6486">
        <f ca="1"/>
        <v>135.29</v>
      </c>
      <c r="EZ16" vm="6487">
        <f ca="1"/>
        <v>134.43</v>
      </c>
      <c r="FA16" vm="6488">
        <f ca="1"/>
        <v>134.19</v>
      </c>
      <c r="FB16" vm="6489">
        <f ca="1"/>
        <v>130.43</v>
      </c>
      <c r="FC16" vm="6490">
        <f ca="1"/>
        <v>131.13</v>
      </c>
      <c r="FD16" vm="1307">
        <f ca="1"/>
        <v>133.01</v>
      </c>
      <c r="FE16" vm="6491">
        <f ca="1"/>
        <v>132.5</v>
      </c>
      <c r="FF16" vm="6492">
        <f ca="1"/>
        <v>130.51</v>
      </c>
      <c r="FG16" vm="6493">
        <f ca="1"/>
        <v>129.01</v>
      </c>
      <c r="FH16" vm="6494">
        <f ca="1"/>
        <v>130.16</v>
      </c>
      <c r="FI16" vm="6495">
        <f ca="1"/>
        <v>130.29</v>
      </c>
      <c r="FJ16" vm="6496">
        <f ca="1"/>
        <v>131.19</v>
      </c>
      <c r="FK16" vm="6459">
        <f ca="1"/>
        <v>133.29</v>
      </c>
      <c r="FL16" vm="6497">
        <f ca="1"/>
        <v>133.96</v>
      </c>
      <c r="FM16" vm="6498">
        <f ca="1"/>
        <v>136.21</v>
      </c>
      <c r="FN16" vm="6499">
        <f ca="1"/>
        <v>135.88999999999999</v>
      </c>
      <c r="FO16" vm="6500">
        <f ca="1"/>
        <v>136.76</v>
      </c>
      <c r="FP16" vm="6501">
        <f ca="1"/>
        <v>137.5</v>
      </c>
      <c r="FQ16" vm="6502">
        <f ca="1"/>
        <v>137.04</v>
      </c>
      <c r="FR16" vm="6503">
        <f ca="1"/>
        <v>138.16999999999999</v>
      </c>
      <c r="FS16" vm="6504">
        <f ca="1"/>
        <v>136.19999999999999</v>
      </c>
      <c r="FT16" vm="6505">
        <f ca="1"/>
        <v>137.05000000000001</v>
      </c>
      <c r="FU16" vm="6506">
        <f ca="1"/>
        <v>136.97</v>
      </c>
      <c r="FV16" vm="6507">
        <f ca="1"/>
        <v>136.43</v>
      </c>
      <c r="FW16" vm="6508">
        <f ca="1"/>
        <v>137.43</v>
      </c>
      <c r="FX16" vm="6509">
        <f ca="1"/>
        <v>137.56</v>
      </c>
      <c r="FY16" vm="6510">
        <f ca="1"/>
        <v>136.91</v>
      </c>
      <c r="FZ16" vm="6508">
        <f ca="1"/>
        <v>137.43</v>
      </c>
      <c r="GA16" vm="6511">
        <f ca="1"/>
        <v>137.9</v>
      </c>
      <c r="GB16" vm="6512">
        <f ca="1"/>
        <v>137.85</v>
      </c>
      <c r="GC16" vm="6513">
        <f ca="1"/>
        <v>138.59</v>
      </c>
      <c r="GD16" vm="6514">
        <f ca="1"/>
        <v>137.33000000000001</v>
      </c>
      <c r="GE16" vm="6515">
        <f ca="1"/>
        <v>139.72</v>
      </c>
      <c r="GF16" vm="6516">
        <f ca="1"/>
        <v>138.11000000000001</v>
      </c>
      <c r="GG16" vm="6517">
        <f ca="1"/>
        <v>136.93</v>
      </c>
      <c r="GH16" vm="6517">
        <f ca="1"/>
        <v>136.93</v>
      </c>
      <c r="GI16" vm="6518">
        <f ca="1"/>
        <v>137.19999999999999</v>
      </c>
      <c r="GJ16" vm="6519">
        <f ca="1"/>
        <v>137.47</v>
      </c>
      <c r="GK16" vm="6520">
        <f ca="1"/>
        <v>137.29</v>
      </c>
      <c r="GL16" vm="6521">
        <f ca="1"/>
        <v>136.63</v>
      </c>
      <c r="GM16" vm="6522">
        <f ca="1"/>
        <v>136.94</v>
      </c>
      <c r="GN16" vm="6523">
        <f ca="1"/>
        <v>136.38999999999999</v>
      </c>
      <c r="GO16" vm="1304">
        <f ca="1"/>
        <v>134.13</v>
      </c>
      <c r="GP16" vm="6475">
        <f ca="1"/>
        <v>135.5</v>
      </c>
      <c r="GQ16" vm="6524">
        <f ca="1"/>
        <v>135.9</v>
      </c>
      <c r="GR16" vm="6525">
        <f ca="1"/>
        <v>139.16999999999999</v>
      </c>
      <c r="GS16" vm="6526">
        <f ca="1"/>
        <v>143.47</v>
      </c>
      <c r="GT16" vm="6527">
        <f ca="1"/>
        <v>143.19</v>
      </c>
      <c r="GU16" vm="6528">
        <f ca="1"/>
        <v>144.82</v>
      </c>
      <c r="GV16" vm="6529">
        <f ca="1"/>
        <v>144.12</v>
      </c>
      <c r="GW16" vm="6530">
        <f ca="1"/>
        <v>144.22999999999999</v>
      </c>
      <c r="GX16" vm="6531">
        <f ca="1"/>
        <v>144.51</v>
      </c>
      <c r="GY16" vm="6532">
        <f ca="1"/>
        <v>144.19</v>
      </c>
      <c r="GZ16" vm="6533">
        <f ca="1"/>
        <v>142.11000000000001</v>
      </c>
      <c r="HA16" vm="6534">
        <f ca="1"/>
        <v>141.94999999999999</v>
      </c>
      <c r="HB16" vm="6535">
        <f ca="1"/>
        <v>142.34</v>
      </c>
      <c r="HC16" vm="586">
        <f ca="1"/>
        <v>142.56</v>
      </c>
      <c r="HD16" vm="6536">
        <f ca="1"/>
        <v>142.32</v>
      </c>
      <c r="HE16" vm="6537">
        <f ca="1"/>
        <v>143.27000000000001</v>
      </c>
      <c r="HF16" vm="6538">
        <f ca="1"/>
        <v>144.79</v>
      </c>
      <c r="HG16" vm="6539">
        <f ca="1"/>
        <v>145.13</v>
      </c>
      <c r="HH16" vm="6540">
        <f ca="1"/>
        <v>145.96</v>
      </c>
      <c r="HI16" vm="6541">
        <f ca="1"/>
        <v>146.04</v>
      </c>
      <c r="HJ16" vm="6393">
        <f ca="1"/>
        <v>146.03</v>
      </c>
      <c r="HK16" vm="6542">
        <f ca="1"/>
        <v>146.37</v>
      </c>
      <c r="HL16" vm="6543">
        <f ca="1"/>
        <v>145.44999999999999</v>
      </c>
      <c r="HM16" vm="6544">
        <f ca="1"/>
        <v>143.97999999999999</v>
      </c>
      <c r="HN16" vm="6419">
        <f ca="1"/>
        <v>144.30000000000001</v>
      </c>
      <c r="HO16" vm="6545">
        <f ca="1"/>
        <v>144.25</v>
      </c>
      <c r="HP16" vm="6546">
        <f ca="1"/>
        <v>144.44999999999999</v>
      </c>
      <c r="HQ16" vm="6547">
        <f ca="1"/>
        <v>145.1</v>
      </c>
      <c r="HR16" vm="6385">
        <f ca="1"/>
        <v>145.66</v>
      </c>
      <c r="HS16" vm="6548">
        <f ca="1"/>
        <v>145.94</v>
      </c>
      <c r="HT16" vm="6549">
        <f ca="1"/>
        <v>146.13999999999999</v>
      </c>
      <c r="HU16" vm="6550">
        <f ca="1"/>
        <v>147.28</v>
      </c>
      <c r="HV16" vm="6551">
        <f ca="1"/>
        <v>150.68</v>
      </c>
      <c r="HW16" vm="6552">
        <f ca="1"/>
        <v>152.82</v>
      </c>
      <c r="HX16" vm="6553">
        <f ca="1"/>
        <v>152.74</v>
      </c>
      <c r="HY16" vm="6554">
        <f ca="1"/>
        <v>151.83000000000001</v>
      </c>
      <c r="HZ16" vm="6555">
        <f ca="1"/>
        <v>151.69999999999999</v>
      </c>
      <c r="IA16" vm="6556">
        <f ca="1"/>
        <v>152.59</v>
      </c>
      <c r="IB16" vm="488">
        <f ca="1"/>
        <v>152.33000000000001</v>
      </c>
      <c r="IC16" vm="489">
        <f ca="1"/>
        <v>151.41999999999999</v>
      </c>
      <c r="ID16" vm="490">
        <f ca="1"/>
        <v>154.61000000000001</v>
      </c>
      <c r="IE16" vm="491">
        <f ca="1"/>
        <v>155.26</v>
      </c>
      <c r="IF16" vm="492">
        <f ca="1"/>
        <v>158.77000000000001</v>
      </c>
      <c r="IG16" vm="493">
        <f ca="1"/>
        <v>158.41999999999999</v>
      </c>
      <c r="IH16" vm="494">
        <f ca="1"/>
        <v>157.65</v>
      </c>
      <c r="II16" vm="495">
        <f ca="1"/>
        <v>155.29</v>
      </c>
      <c r="IJ16" vm="496">
        <f ca="1"/>
        <v>154.36000000000001</v>
      </c>
      <c r="IK16" vm="497">
        <f ca="1"/>
        <v>155.08000000000001</v>
      </c>
      <c r="IL16" vm="498">
        <f ca="1"/>
        <v>153.9</v>
      </c>
      <c r="IM16" vm="499">
        <f ca="1"/>
        <v>153.26</v>
      </c>
      <c r="IN16" vm="500">
        <f ca="1"/>
        <v>151.43</v>
      </c>
      <c r="IO16" vm="501">
        <f ca="1"/>
        <v>149.96</v>
      </c>
      <c r="IP16" vm="502">
        <f ca="1"/>
        <v>152.13999999999999</v>
      </c>
      <c r="IQ16" vm="503">
        <f ca="1"/>
        <v>153.58000000000001</v>
      </c>
      <c r="IR16" vm="504">
        <f ca="1"/>
        <v>154.06</v>
      </c>
      <c r="IS16" vm="505">
        <f ca="1"/>
        <v>156.1</v>
      </c>
      <c r="IT16" vm="506">
        <f ca="1"/>
        <v>154.07</v>
      </c>
      <c r="IU16" vm="507">
        <f ca="1"/>
        <v>153.79</v>
      </c>
      <c r="IV16" vm="508">
        <f ca="1"/>
        <v>153.91</v>
      </c>
      <c r="IW16" vm="16">
        <f ca="1"/>
        <v>154.94</v>
      </c>
    </row>
    <row r="17" spans="1:257" ht="16" x14ac:dyDescent="0.2">
      <c r="A17" s="10" t="e" vm="509">
        <v>#VALUE!</v>
      </c>
      <c r="B17" s="23" t="str" cm="1">
        <f t="array" aca="1" ref="B17" ca="1">_FV(A17,"ticker symbol",TRUE)</f>
        <v>XLI</v>
      </c>
      <c r="C17" s="23" t="str" cm="1">
        <f t="array" aca="1" ref="C17" ca="1">_FV(A17,"Name")</f>
        <v>Sel Sector:Ind SS SPDR</v>
      </c>
      <c r="D17" cm="1" vm="6557">
        <f t="array" aca="1" ref="D17:IW17" ca="1">TRANSPOSE(_xlfn.STOCKHISTORY(B17, WORKDAY(TODAY(), -265), TODAY(), 0, 0, 1))</f>
        <v>137.55000000000001</v>
      </c>
      <c r="E17" s="23" vm="6429">
        <f ca="1"/>
        <v>136.29</v>
      </c>
      <c r="F17" s="23" vm="6558">
        <f ca="1"/>
        <v>132.44</v>
      </c>
      <c r="G17" s="23" vm="6559">
        <f ca="1"/>
        <v>132.27000000000001</v>
      </c>
      <c r="H17" s="23" vm="6560">
        <f ca="1"/>
        <v>133.82</v>
      </c>
      <c r="I17" s="23" vm="6561">
        <f ca="1"/>
        <v>133.12</v>
      </c>
      <c r="J17" s="23" vm="6562">
        <f ca="1"/>
        <v>134.16</v>
      </c>
      <c r="K17" s="23" vm="6563">
        <f ca="1"/>
        <v>134.26</v>
      </c>
      <c r="L17" s="23" vm="6564">
        <f ca="1"/>
        <v>133.26</v>
      </c>
      <c r="M17" s="23" vm="6565">
        <f ca="1"/>
        <v>131.91999999999999</v>
      </c>
      <c r="N17" s="23" vm="6566">
        <f ca="1"/>
        <v>131.76</v>
      </c>
      <c r="O17" s="23" vm="6567">
        <f ca="1"/>
        <v>131.30000000000001</v>
      </c>
      <c r="P17" s="23" vm="6457">
        <f ca="1"/>
        <v>132.72</v>
      </c>
      <c r="Q17" s="23" vm="2307">
        <f ca="1"/>
        <v>132.43</v>
      </c>
      <c r="R17" s="23" vm="6568">
        <f ca="1"/>
        <v>132.30000000000001</v>
      </c>
      <c r="S17" s="23" vm="6569">
        <f ca="1"/>
        <v>132.82</v>
      </c>
      <c r="T17" s="23" vm="6570">
        <f ca="1"/>
        <v>131.33000000000001</v>
      </c>
      <c r="U17" s="23" vm="6571">
        <f ca="1"/>
        <v>132.87</v>
      </c>
      <c r="V17" s="23" vm="1741">
        <f ca="1"/>
        <v>134.44</v>
      </c>
      <c r="W17" s="23" vm="6486">
        <f ca="1"/>
        <v>135.29</v>
      </c>
      <c r="X17" s="23" vm="6517">
        <f ca="1"/>
        <v>136.93</v>
      </c>
      <c r="Y17" s="23" vm="6572">
        <f ca="1"/>
        <v>137.75</v>
      </c>
      <c r="Z17" s="23" vm="6573">
        <f ca="1"/>
        <v>140.58000000000001</v>
      </c>
      <c r="AA17" s="23" vm="6574">
        <f ca="1"/>
        <v>140.25</v>
      </c>
      <c r="AB17" s="23" vm="6575">
        <f ca="1"/>
        <v>141.66999999999999</v>
      </c>
      <c r="AC17" s="23" vm="6576">
        <f ca="1"/>
        <v>141.07</v>
      </c>
      <c r="AD17" vm="6577">
        <f ca="1"/>
        <v>139.18</v>
      </c>
      <c r="AE17" vm="6578">
        <f ca="1"/>
        <v>138.26</v>
      </c>
      <c r="AF17" vm="6579">
        <f ca="1"/>
        <v>137.79</v>
      </c>
      <c r="AG17" vm="5159">
        <f ca="1"/>
        <v>139.33000000000001</v>
      </c>
      <c r="AH17" vm="6580">
        <f ca="1"/>
        <v>138.35</v>
      </c>
      <c r="AI17" vm="6581">
        <f ca="1"/>
        <v>136.97999999999999</v>
      </c>
      <c r="AJ17" vm="6582">
        <f ca="1"/>
        <v>137.02000000000001</v>
      </c>
      <c r="AK17" vm="6583">
        <f ca="1"/>
        <v>137.12</v>
      </c>
      <c r="AL17" vm="6584">
        <f ca="1"/>
        <v>137.74</v>
      </c>
      <c r="AM17" vm="6514">
        <f ca="1"/>
        <v>137.33000000000001</v>
      </c>
      <c r="AN17" vm="6585">
        <f ca="1"/>
        <v>138.56</v>
      </c>
      <c r="AO17" vm="6586">
        <f ca="1"/>
        <v>138.61000000000001</v>
      </c>
      <c r="AP17" vm="6572">
        <f ca="1"/>
        <v>137.75</v>
      </c>
      <c r="AQ17" vm="6587">
        <f ca="1"/>
        <v>137.88999999999999</v>
      </c>
      <c r="AR17" vm="6557">
        <f ca="1"/>
        <v>137.55000000000001</v>
      </c>
      <c r="AS17" vm="6588">
        <f ca="1"/>
        <v>138.63</v>
      </c>
      <c r="AT17" vm="6589">
        <f ca="1"/>
        <v>138.77000000000001</v>
      </c>
      <c r="AU17" vm="6590">
        <f ca="1"/>
        <v>137.86000000000001</v>
      </c>
      <c r="AV17" vm="6591">
        <f ca="1"/>
        <v>134.84</v>
      </c>
      <c r="AW17" vm="6592">
        <f ca="1"/>
        <v>134.22999999999999</v>
      </c>
      <c r="AX17" vm="6593">
        <f ca="1"/>
        <v>134.91999999999999</v>
      </c>
      <c r="AY17" vm="6594">
        <f ca="1"/>
        <v>135</v>
      </c>
      <c r="AZ17" vm="6595">
        <f ca="1"/>
        <v>134.53</v>
      </c>
      <c r="BA17" vm="6596">
        <f ca="1"/>
        <v>136.33000000000001</v>
      </c>
      <c r="BB17" vm="1740">
        <f ca="1"/>
        <v>134.38999999999999</v>
      </c>
      <c r="BC17" vm="731">
        <f ca="1"/>
        <v>131.77000000000001</v>
      </c>
      <c r="BD17" vm="6597">
        <f ca="1"/>
        <v>133.85</v>
      </c>
      <c r="BE17" vm="6598">
        <f ca="1"/>
        <v>132.69999999999999</v>
      </c>
      <c r="BF17" vm="6481">
        <f ca="1"/>
        <v>134.25</v>
      </c>
      <c r="BG17" vm="6599">
        <f ca="1"/>
        <v>132.15</v>
      </c>
      <c r="BH17" vm="6600">
        <f ca="1"/>
        <v>130.12</v>
      </c>
      <c r="BI17" vm="6601">
        <f ca="1"/>
        <v>130.11000000000001</v>
      </c>
      <c r="BJ17" vm="6602">
        <f ca="1"/>
        <v>128.78</v>
      </c>
      <c r="BK17" vm="6490">
        <f ca="1"/>
        <v>131.13</v>
      </c>
      <c r="BL17" vm="6603">
        <f ca="1"/>
        <v>132.94</v>
      </c>
      <c r="BM17" vm="1293">
        <f ca="1"/>
        <v>131.88</v>
      </c>
      <c r="BN17" vm="6604">
        <f ca="1"/>
        <v>133.63</v>
      </c>
      <c r="BO17" vm="6605">
        <f ca="1"/>
        <v>132.96</v>
      </c>
      <c r="BP17" vm="6606">
        <f ca="1"/>
        <v>132.25</v>
      </c>
      <c r="BQ17" vm="6607">
        <f ca="1"/>
        <v>134.29</v>
      </c>
      <c r="BR17" vm="6608">
        <f ca="1"/>
        <v>134.49</v>
      </c>
      <c r="BS17" vm="6609">
        <f ca="1"/>
        <v>133.6</v>
      </c>
      <c r="BT17" vm="6610">
        <f ca="1"/>
        <v>132.88999999999999</v>
      </c>
      <c r="BU17" vm="6611">
        <f ca="1"/>
        <v>130.15</v>
      </c>
      <c r="BV17" vm="1734">
        <f ca="1"/>
        <v>131.07</v>
      </c>
      <c r="BW17" vm="6612">
        <f ca="1"/>
        <v>131.81</v>
      </c>
      <c r="BX17" vm="1301">
        <f ca="1"/>
        <v>133.05000000000001</v>
      </c>
      <c r="BY17" vm="6613">
        <f ca="1"/>
        <v>125.85</v>
      </c>
      <c r="BZ17" vm="6614">
        <f ca="1"/>
        <v>117.94</v>
      </c>
      <c r="CA17" vm="6615">
        <f ca="1"/>
        <v>117.39</v>
      </c>
      <c r="CB17" vm="6616">
        <f ca="1"/>
        <v>116.42</v>
      </c>
      <c r="CC17" vm="6617">
        <f ca="1"/>
        <v>126.76</v>
      </c>
      <c r="CD17" vm="6618">
        <f ca="1"/>
        <v>123.49</v>
      </c>
      <c r="CE17" vm="1276">
        <f ca="1"/>
        <v>125.67</v>
      </c>
      <c r="CF17" vm="6619">
        <f ca="1"/>
        <v>126.98</v>
      </c>
      <c r="CG17" vm="6620">
        <f ca="1"/>
        <v>126.35</v>
      </c>
      <c r="CH17" vm="6621">
        <f ca="1"/>
        <v>124.62</v>
      </c>
      <c r="CI17" vm="6622">
        <f ca="1"/>
        <v>125.3</v>
      </c>
      <c r="CJ17" vm="6623">
        <f ca="1"/>
        <v>122.49</v>
      </c>
      <c r="CK17" vm="6624">
        <f ca="1"/>
        <v>124.63</v>
      </c>
      <c r="CL17" vm="6625">
        <f ca="1"/>
        <v>126.19</v>
      </c>
      <c r="CM17" vm="6626">
        <f ca="1"/>
        <v>129.02000000000001</v>
      </c>
      <c r="CN17" vm="6493">
        <f ca="1"/>
        <v>129.01</v>
      </c>
      <c r="CO17" vm="6627">
        <f ca="1"/>
        <v>129.44</v>
      </c>
      <c r="CP17" vm="6628">
        <f ca="1"/>
        <v>130.28</v>
      </c>
      <c r="CQ17" vm="6629">
        <f ca="1"/>
        <v>131.22</v>
      </c>
      <c r="CR17" vm="6630">
        <f ca="1"/>
        <v>132.21</v>
      </c>
      <c r="CS17" vm="6631">
        <f ca="1"/>
        <v>134.58000000000001</v>
      </c>
      <c r="CT17" vm="6632">
        <f ca="1"/>
        <v>134.65</v>
      </c>
      <c r="CU17" vm="6468">
        <f ca="1"/>
        <v>133.47</v>
      </c>
      <c r="CV17" vm="6462">
        <f ca="1"/>
        <v>134.15</v>
      </c>
      <c r="CW17" vm="6633">
        <f ca="1"/>
        <v>136</v>
      </c>
      <c r="CX17" vm="6634">
        <f ca="1"/>
        <v>136.11000000000001</v>
      </c>
      <c r="CY17" vm="6635">
        <f ca="1"/>
        <v>140.30000000000001</v>
      </c>
      <c r="CZ17" vm="6636">
        <f ca="1"/>
        <v>141.28</v>
      </c>
      <c r="DA17" vm="6637">
        <f ca="1"/>
        <v>140.6</v>
      </c>
      <c r="DB17" vm="6638">
        <f ca="1"/>
        <v>142.16</v>
      </c>
      <c r="DC17" vm="6639">
        <f ca="1"/>
        <v>143.78</v>
      </c>
      <c r="DD17" vm="6640">
        <f ca="1"/>
        <v>144.27000000000001</v>
      </c>
      <c r="DE17" vm="6641">
        <f ca="1"/>
        <v>143.75</v>
      </c>
      <c r="DF17" vm="6642">
        <f ca="1"/>
        <v>141.32</v>
      </c>
      <c r="DG17" vm="6643">
        <f ca="1"/>
        <v>141.29</v>
      </c>
      <c r="DH17" vm="6644">
        <f ca="1"/>
        <v>140.83000000000001</v>
      </c>
      <c r="DI17" vm="1687">
        <f ca="1"/>
        <v>143.31</v>
      </c>
      <c r="DJ17" vm="6645">
        <f ca="1"/>
        <v>142.6</v>
      </c>
      <c r="DK17" vm="6646">
        <f ca="1"/>
        <v>142.72999999999999</v>
      </c>
      <c r="DL17" vm="6647">
        <f ca="1"/>
        <v>142.82</v>
      </c>
      <c r="DM17" vm="6648">
        <f ca="1"/>
        <v>142.63999999999999</v>
      </c>
      <c r="DN17" vm="6649">
        <f ca="1"/>
        <v>143.74</v>
      </c>
      <c r="DO17" vm="6650">
        <f ca="1"/>
        <v>143.82</v>
      </c>
      <c r="DP17" vm="6651">
        <f ca="1"/>
        <v>143.72</v>
      </c>
      <c r="DQ17" vm="5165">
        <f ca="1"/>
        <v>144.93</v>
      </c>
      <c r="DR17" vm="5168">
        <f ca="1"/>
        <v>144.80000000000001</v>
      </c>
      <c r="DS17" vm="6652">
        <f ca="1"/>
        <v>144.16999999999999</v>
      </c>
      <c r="DT17" vm="6653">
        <f ca="1"/>
        <v>144.24</v>
      </c>
      <c r="DU17" vm="6654">
        <f ca="1"/>
        <v>143.86000000000001</v>
      </c>
      <c r="DV17" vm="6655">
        <f ca="1"/>
        <v>142.65</v>
      </c>
      <c r="DW17" vm="6656">
        <f ca="1"/>
        <v>143.63</v>
      </c>
      <c r="DX17" vm="6657">
        <f ca="1"/>
        <v>142.55000000000001</v>
      </c>
      <c r="DY17" vm="6658">
        <f ca="1"/>
        <v>142.21</v>
      </c>
      <c r="DZ17" vm="6659">
        <f ca="1"/>
        <v>142.37</v>
      </c>
      <c r="EA17" vm="6654">
        <f ca="1"/>
        <v>143.86000000000001</v>
      </c>
      <c r="EB17" vm="6660">
        <f ca="1"/>
        <v>145.06</v>
      </c>
      <c r="EC17" vm="6639">
        <f ca="1"/>
        <v>143.78</v>
      </c>
      <c r="ED17" vm="6661">
        <f ca="1"/>
        <v>145.34</v>
      </c>
      <c r="EE17" vm="870">
        <f ca="1"/>
        <v>146.79</v>
      </c>
      <c r="EF17" vm="6662">
        <f ca="1"/>
        <v>147.52000000000001</v>
      </c>
      <c r="EG17" vm="6663">
        <f ca="1"/>
        <v>148.01</v>
      </c>
      <c r="EH17" vm="6664">
        <f ca="1"/>
        <v>148.16</v>
      </c>
      <c r="EI17" vm="867">
        <f ca="1"/>
        <v>149.41999999999999</v>
      </c>
      <c r="EJ17" vm="6665">
        <f ca="1"/>
        <v>148.9</v>
      </c>
      <c r="EK17" vm="6666">
        <f ca="1"/>
        <v>148.86000000000001</v>
      </c>
      <c r="EL17" vm="6667">
        <f ca="1"/>
        <v>149.9</v>
      </c>
      <c r="EM17" vm="6668">
        <f ca="1"/>
        <v>150.74</v>
      </c>
      <c r="EN17" vm="6669">
        <f ca="1"/>
        <v>150.19999999999999</v>
      </c>
      <c r="EO17" vm="6670">
        <f ca="1"/>
        <v>151.01</v>
      </c>
      <c r="EP17" vm="6671">
        <f ca="1"/>
        <v>149.88</v>
      </c>
      <c r="EQ17" vm="6672">
        <f ca="1"/>
        <v>150.41</v>
      </c>
      <c r="ER17" vm="6673">
        <f ca="1"/>
        <v>151.80000000000001</v>
      </c>
      <c r="ES17" vm="6674">
        <f ca="1"/>
        <v>151.46</v>
      </c>
      <c r="ET17" vm="6675">
        <f ca="1"/>
        <v>150.66</v>
      </c>
      <c r="EU17" vm="861">
        <f ca="1"/>
        <v>151.02000000000001</v>
      </c>
      <c r="EV17" vm="6676">
        <f ca="1"/>
        <v>153.72999999999999</v>
      </c>
      <c r="EW17" vm="5195">
        <f ca="1"/>
        <v>153.47</v>
      </c>
      <c r="EX17" vm="6677">
        <f ca="1"/>
        <v>154.99</v>
      </c>
      <c r="EY17" vm="6678">
        <f ca="1"/>
        <v>154.51</v>
      </c>
      <c r="EZ17" vm="5140">
        <f ca="1"/>
        <v>152.75</v>
      </c>
      <c r="FA17" vm="1779">
        <f ca="1"/>
        <v>152</v>
      </c>
      <c r="FB17" vm="6679">
        <f ca="1"/>
        <v>152.01</v>
      </c>
      <c r="FC17" vm="6680">
        <f ca="1"/>
        <v>149.74</v>
      </c>
      <c r="FD17" vm="6681">
        <f ca="1"/>
        <v>151.12</v>
      </c>
      <c r="FE17" vm="6682">
        <f ca="1"/>
        <v>150.81</v>
      </c>
      <c r="FF17" vm="6683">
        <f ca="1"/>
        <v>150.93</v>
      </c>
      <c r="FG17" vm="5188">
        <f ca="1"/>
        <v>150.71</v>
      </c>
      <c r="FH17" vm="5187">
        <f ca="1"/>
        <v>150.83000000000001</v>
      </c>
      <c r="FI17" vm="6684">
        <f ca="1"/>
        <v>150.34</v>
      </c>
      <c r="FJ17" vm="6685">
        <f ca="1"/>
        <v>151.9</v>
      </c>
      <c r="FK17" vm="6686">
        <f ca="1"/>
        <v>152.47999999999999</v>
      </c>
      <c r="FL17" vm="6687">
        <f ca="1"/>
        <v>151.13</v>
      </c>
      <c r="FM17" vm="6688">
        <f ca="1"/>
        <v>150.44</v>
      </c>
      <c r="FN17" vm="6689">
        <f ca="1"/>
        <v>151.03</v>
      </c>
      <c r="FO17" vm="6690">
        <f ca="1"/>
        <v>151.36000000000001</v>
      </c>
      <c r="FP17" vm="5147">
        <f ca="1"/>
        <v>151.22</v>
      </c>
      <c r="FQ17" vm="6551">
        <f ca="1"/>
        <v>150.68</v>
      </c>
      <c r="FR17" vm="6691">
        <f ca="1"/>
        <v>153.13999999999999</v>
      </c>
      <c r="FS17" vm="6692">
        <f ca="1"/>
        <v>151.61000000000001</v>
      </c>
      <c r="FT17" vm="1785">
        <f ca="1"/>
        <v>153.16999999999999</v>
      </c>
      <c r="FU17" vm="6693">
        <f ca="1"/>
        <v>153.15</v>
      </c>
      <c r="FV17" vm="6694">
        <f ca="1"/>
        <v>153.41999999999999</v>
      </c>
      <c r="FW17" vm="6679">
        <f ca="1"/>
        <v>152.01</v>
      </c>
      <c r="FX17" vm="6695">
        <f ca="1"/>
        <v>150.56</v>
      </c>
      <c r="FY17" vm="6696">
        <f ca="1"/>
        <v>149.80000000000001</v>
      </c>
      <c r="FZ17" vm="6697">
        <f ca="1"/>
        <v>151.49</v>
      </c>
      <c r="GA17" vm="6683">
        <f ca="1"/>
        <v>150.93</v>
      </c>
      <c r="GB17" vm="6698">
        <f ca="1"/>
        <v>151.27000000000001</v>
      </c>
      <c r="GC17" vm="6699">
        <f ca="1"/>
        <v>150.25</v>
      </c>
      <c r="GD17" vm="6690">
        <f ca="1"/>
        <v>151.36000000000001</v>
      </c>
      <c r="GE17" vm="515">
        <f ca="1"/>
        <v>152.80000000000001</v>
      </c>
      <c r="GF17" vm="6700">
        <f ca="1"/>
        <v>151.58000000000001</v>
      </c>
      <c r="GG17" vm="6701">
        <f ca="1"/>
        <v>152.28</v>
      </c>
      <c r="GH17" vm="6554">
        <f ca="1"/>
        <v>151.83000000000001</v>
      </c>
      <c r="GI17" vm="6702">
        <f ca="1"/>
        <v>151.13999999999999</v>
      </c>
      <c r="GJ17" vm="5140">
        <f ca="1"/>
        <v>152.75</v>
      </c>
      <c r="GK17" vm="1697">
        <f ca="1"/>
        <v>153.12</v>
      </c>
      <c r="GL17" vm="6703">
        <f ca="1"/>
        <v>153</v>
      </c>
      <c r="GM17" vm="6704">
        <f ca="1"/>
        <v>153.04</v>
      </c>
      <c r="GN17" vm="6705">
        <f ca="1"/>
        <v>152.25</v>
      </c>
      <c r="GO17" vm="5147">
        <f ca="1"/>
        <v>151.22</v>
      </c>
      <c r="GP17" vm="6706">
        <f ca="1"/>
        <v>152.58000000000001</v>
      </c>
      <c r="GQ17" vm="6707">
        <f ca="1"/>
        <v>153.05000000000001</v>
      </c>
      <c r="GR17" vm="6708">
        <f ca="1"/>
        <v>154.22999999999999</v>
      </c>
      <c r="GS17" vm="6709">
        <f ca="1"/>
        <v>153.80000000000001</v>
      </c>
      <c r="GT17" vm="5196">
        <f ca="1"/>
        <v>154.19999999999999</v>
      </c>
      <c r="GU17" vm="6710">
        <f ca="1"/>
        <v>154.41</v>
      </c>
      <c r="GV17" vm="5202">
        <f ca="1"/>
        <v>155.13</v>
      </c>
      <c r="GW17" vm="6711">
        <f ca="1"/>
        <v>154.25</v>
      </c>
      <c r="GX17" vm="6712">
        <f ca="1"/>
        <v>155.59</v>
      </c>
      <c r="GY17" vm="6713">
        <f ca="1"/>
        <v>153.29</v>
      </c>
      <c r="GZ17" vm="6667">
        <f ca="1"/>
        <v>149.9</v>
      </c>
      <c r="HA17" vm="6674">
        <f ca="1"/>
        <v>151.46</v>
      </c>
      <c r="HB17" vm="6714">
        <f ca="1"/>
        <v>153.24</v>
      </c>
      <c r="HC17" vm="6715">
        <f ca="1"/>
        <v>152.6</v>
      </c>
      <c r="HD17" vm="6716">
        <f ca="1"/>
        <v>151.6</v>
      </c>
      <c r="HE17" vm="6717">
        <f ca="1"/>
        <v>151.72999999999999</v>
      </c>
      <c r="HF17" vm="6718">
        <f ca="1"/>
        <v>153.52000000000001</v>
      </c>
      <c r="HG17" vm="6719">
        <f ca="1"/>
        <v>154.88</v>
      </c>
      <c r="HH17" vm="6720">
        <f ca="1"/>
        <v>152.87</v>
      </c>
      <c r="HI17" vm="6721">
        <f ca="1"/>
        <v>154.78</v>
      </c>
      <c r="HJ17" vm="6722">
        <f ca="1"/>
        <v>154.91</v>
      </c>
      <c r="HK17" vm="6723">
        <f ca="1"/>
        <v>155.79</v>
      </c>
      <c r="HL17" vm="6724">
        <f ca="1"/>
        <v>154.68</v>
      </c>
      <c r="HM17" vm="497">
        <f ca="1"/>
        <v>155.08000000000001</v>
      </c>
      <c r="HN17" vm="6725">
        <f ca="1"/>
        <v>154.69</v>
      </c>
      <c r="HO17" vm="6726">
        <f ca="1"/>
        <v>155.06</v>
      </c>
      <c r="HP17" vm="6727">
        <f ca="1"/>
        <v>154.4</v>
      </c>
      <c r="HQ17" vm="6728">
        <f ca="1"/>
        <v>152.61000000000001</v>
      </c>
      <c r="HR17" vm="6729">
        <f ca="1"/>
        <v>153.19999999999999</v>
      </c>
      <c r="HS17" vm="6556">
        <f ca="1"/>
        <v>152.59</v>
      </c>
      <c r="HT17" vm="6730">
        <f ca="1"/>
        <v>153.33000000000001</v>
      </c>
      <c r="HU17" vm="5196">
        <f ca="1"/>
        <v>154.19999999999999</v>
      </c>
      <c r="HV17" vm="6731">
        <f ca="1"/>
        <v>154.24</v>
      </c>
      <c r="HW17" vm="522">
        <f ca="1"/>
        <v>154.38999999999999</v>
      </c>
      <c r="HX17" vm="1779">
        <f ca="1"/>
        <v>152</v>
      </c>
      <c r="HY17" vm="6679">
        <f ca="1"/>
        <v>152.01</v>
      </c>
      <c r="HZ17" vm="6732">
        <f ca="1"/>
        <v>150.52000000000001</v>
      </c>
      <c r="IA17" vm="6733">
        <f ca="1"/>
        <v>149.85</v>
      </c>
      <c r="IB17" vm="510">
        <f ca="1"/>
        <v>150.35</v>
      </c>
      <c r="IC17" vm="511">
        <f ca="1"/>
        <v>147.83000000000001</v>
      </c>
      <c r="ID17" vm="512">
        <f ca="1"/>
        <v>149.63</v>
      </c>
      <c r="IE17" vm="513">
        <f ca="1"/>
        <v>150</v>
      </c>
      <c r="IF17" vm="514">
        <f ca="1"/>
        <v>151.91999999999999</v>
      </c>
      <c r="IG17" vm="515">
        <f ca="1"/>
        <v>152.80000000000001</v>
      </c>
      <c r="IH17" vm="516">
        <f ca="1"/>
        <v>153.69</v>
      </c>
      <c r="II17" vm="517">
        <f ca="1"/>
        <v>151.44</v>
      </c>
      <c r="IJ17" vm="518">
        <f ca="1"/>
        <v>152.76</v>
      </c>
      <c r="IK17" vm="519">
        <f ca="1"/>
        <v>154.21</v>
      </c>
      <c r="IL17" vm="520">
        <f ca="1"/>
        <v>155.01</v>
      </c>
      <c r="IM17" vm="521">
        <f ca="1"/>
        <v>154.58000000000001</v>
      </c>
      <c r="IN17" vm="522">
        <f ca="1"/>
        <v>154.38999999999999</v>
      </c>
      <c r="IO17" vm="499">
        <f ca="1"/>
        <v>153.26</v>
      </c>
      <c r="IP17" vm="37">
        <f ca="1"/>
        <v>156.06</v>
      </c>
      <c r="IQ17" vm="523">
        <f ca="1"/>
        <v>157.72999999999999</v>
      </c>
      <c r="IR17" vm="524">
        <f ca="1"/>
        <v>156.74</v>
      </c>
      <c r="IS17" vm="525">
        <f ca="1"/>
        <v>156.99</v>
      </c>
      <c r="IT17" vm="37">
        <f ca="1"/>
        <v>156.06</v>
      </c>
      <c r="IU17" vm="526">
        <f ca="1"/>
        <v>153.53</v>
      </c>
      <c r="IV17" vm="527">
        <f ca="1"/>
        <v>154.53</v>
      </c>
      <c r="IW17" vm="17">
        <f ca="1"/>
        <v>155.86000000000001</v>
      </c>
    </row>
    <row r="18" spans="1:257" ht="16" x14ac:dyDescent="0.2">
      <c r="A18" s="10" t="e" vm="528">
        <v>#VALUE!</v>
      </c>
      <c r="B18" s="23" t="str" cm="1">
        <f t="array" aca="1" ref="B18" ca="1">_FV(A18,"ticker symbol",TRUE)</f>
        <v>XLB</v>
      </c>
      <c r="C18" s="23" t="str" cm="1">
        <f t="array" aca="1" ref="C18" ca="1">_FV(A18,"Name")</f>
        <v>Sel Sector:Mat SS SPDR</v>
      </c>
      <c r="D18" cm="1" vm="6202">
        <f t="array" aca="1" ref="D18:IW18" ca="1">TRANSPOSE(_xlfn.STOCKHISTORY(B18, WORKDAY(TODAY(), -265), TODAY(), 0, 0, 1))</f>
        <v>88.44</v>
      </c>
      <c r="E18" s="23" vm="6734">
        <f ca="1"/>
        <v>87.95</v>
      </c>
      <c r="F18" s="23" vm="6735">
        <f ca="1"/>
        <v>85.45</v>
      </c>
      <c r="G18" s="23" vm="6736">
        <f ca="1"/>
        <v>84.53</v>
      </c>
      <c r="H18" s="23" vm="6737">
        <f ca="1"/>
        <v>85.58</v>
      </c>
      <c r="I18" s="23" vm="6168">
        <f ca="1"/>
        <v>85.07</v>
      </c>
      <c r="J18" s="23" vm="6738">
        <f ca="1"/>
        <v>85.53</v>
      </c>
      <c r="K18" s="23" vm="6175">
        <f ca="1"/>
        <v>85.4</v>
      </c>
      <c r="L18" s="23" vm="6739">
        <f ca="1"/>
        <v>84.94</v>
      </c>
      <c r="M18" s="23" vm="6740">
        <f ca="1"/>
        <v>83.8</v>
      </c>
      <c r="N18" s="23" vm="6068">
        <f ca="1"/>
        <v>84.14</v>
      </c>
      <c r="O18" s="23" vm="6741">
        <f ca="1"/>
        <v>83.21</v>
      </c>
      <c r="P18" s="23" vm="2666">
        <f ca="1"/>
        <v>83.19</v>
      </c>
      <c r="Q18" s="23" vm="6742">
        <f ca="1"/>
        <v>83.75</v>
      </c>
      <c r="R18" s="23" vm="2665">
        <f ca="1"/>
        <v>83.7</v>
      </c>
      <c r="S18" s="23" vm="6743">
        <f ca="1"/>
        <v>84.16</v>
      </c>
      <c r="T18" s="23" vm="6744">
        <f ca="1"/>
        <v>83.3</v>
      </c>
      <c r="U18" s="23" vm="1971">
        <f ca="1"/>
        <v>85.16</v>
      </c>
      <c r="V18" s="23" vm="6745">
        <f ca="1"/>
        <v>86.22</v>
      </c>
      <c r="W18" s="23" vm="6746">
        <f ca="1"/>
        <v>87.04</v>
      </c>
      <c r="X18" s="23" vm="6206">
        <f ca="1"/>
        <v>87.76</v>
      </c>
      <c r="Y18" s="23" vm="6747">
        <f ca="1"/>
        <v>88.33</v>
      </c>
      <c r="Z18" s="23" vm="6748">
        <f ca="1"/>
        <v>89.46</v>
      </c>
      <c r="AA18" s="23" vm="6749">
        <f ca="1"/>
        <v>88.74</v>
      </c>
      <c r="AB18" s="23" vm="3135">
        <f ca="1"/>
        <v>89.23</v>
      </c>
      <c r="AC18" s="23" vm="6750">
        <f ca="1"/>
        <v>89</v>
      </c>
      <c r="AD18" vm="1489">
        <f ca="1"/>
        <v>89.05</v>
      </c>
      <c r="AE18" vm="973">
        <f ca="1"/>
        <v>88.76</v>
      </c>
      <c r="AF18" vm="6195">
        <f ca="1"/>
        <v>88.6</v>
      </c>
      <c r="AG18" vm="6751">
        <f ca="1"/>
        <v>89.44</v>
      </c>
      <c r="AH18" vm="1712">
        <f ca="1"/>
        <v>88.79</v>
      </c>
      <c r="AI18" vm="3134">
        <f ca="1"/>
        <v>88.88</v>
      </c>
      <c r="AJ18" vm="6752">
        <f ca="1"/>
        <v>89.14</v>
      </c>
      <c r="AK18" vm="2030">
        <f ca="1"/>
        <v>89.07</v>
      </c>
      <c r="AL18" vm="6753">
        <f ca="1"/>
        <v>89.38</v>
      </c>
      <c r="AM18" vm="6754">
        <f ca="1"/>
        <v>88.29</v>
      </c>
      <c r="AN18" vm="6749">
        <f ca="1"/>
        <v>88.74</v>
      </c>
      <c r="AO18" vm="6755">
        <f ca="1"/>
        <v>89.26</v>
      </c>
      <c r="AP18" vm="6756">
        <f ca="1"/>
        <v>88.62</v>
      </c>
      <c r="AQ18" vm="6088">
        <f ca="1"/>
        <v>90.16</v>
      </c>
      <c r="AR18" vm="4506">
        <f ca="1"/>
        <v>89.85</v>
      </c>
      <c r="AS18" vm="6757">
        <f ca="1"/>
        <v>90.99</v>
      </c>
      <c r="AT18" vm="6758">
        <f ca="1"/>
        <v>89.92</v>
      </c>
      <c r="AU18" vm="6094">
        <f ca="1"/>
        <v>89.71</v>
      </c>
      <c r="AV18" vm="6214">
        <f ca="1"/>
        <v>88.07</v>
      </c>
      <c r="AW18" vm="3143">
        <f ca="1"/>
        <v>87.97</v>
      </c>
      <c r="AX18" vm="4511">
        <f ca="1"/>
        <v>88.65</v>
      </c>
      <c r="AY18" vm="450">
        <f ca="1"/>
        <v>88.61</v>
      </c>
      <c r="AZ18" vm="6216">
        <f ca="1"/>
        <v>88.01</v>
      </c>
      <c r="BA18" vm="973">
        <f ca="1"/>
        <v>88.76</v>
      </c>
      <c r="BB18" vm="6759">
        <f ca="1"/>
        <v>86.98</v>
      </c>
      <c r="BC18" vm="1970">
        <f ca="1"/>
        <v>85.8</v>
      </c>
      <c r="BD18" vm="6760">
        <f ca="1"/>
        <v>88.04</v>
      </c>
      <c r="BE18" vm="4530">
        <f ca="1"/>
        <v>87.58</v>
      </c>
      <c r="BF18" vm="6104">
        <f ca="1"/>
        <v>87.82</v>
      </c>
      <c r="BG18" vm="6761">
        <f ca="1"/>
        <v>85.99</v>
      </c>
      <c r="BH18" vm="1706">
        <f ca="1"/>
        <v>85.33</v>
      </c>
      <c r="BI18" vm="6179">
        <f ca="1"/>
        <v>84.93</v>
      </c>
      <c r="BJ18" vm="2671">
        <f ca="1"/>
        <v>84.87</v>
      </c>
      <c r="BK18" vm="6211">
        <f ca="1"/>
        <v>85.98</v>
      </c>
      <c r="BL18" vm="6762">
        <f ca="1"/>
        <v>87.06</v>
      </c>
      <c r="BM18" vm="6763">
        <f ca="1"/>
        <v>86.91</v>
      </c>
      <c r="BN18" vm="6764">
        <f ca="1"/>
        <v>87.2</v>
      </c>
      <c r="BO18" vm="6765">
        <f ca="1"/>
        <v>86.65</v>
      </c>
      <c r="BP18" vm="6185">
        <f ca="1"/>
        <v>85.79</v>
      </c>
      <c r="BQ18" vm="6766">
        <f ca="1"/>
        <v>86.54</v>
      </c>
      <c r="BR18" vm="532">
        <f ca="1"/>
        <v>86.52</v>
      </c>
      <c r="BS18" vm="6767">
        <f ca="1"/>
        <v>86.68</v>
      </c>
      <c r="BT18" vm="6768">
        <f ca="1"/>
        <v>86.64</v>
      </c>
      <c r="BU18" vm="1972">
        <f ca="1"/>
        <v>85.05</v>
      </c>
      <c r="BV18" vm="6211">
        <f ca="1"/>
        <v>85.98</v>
      </c>
      <c r="BW18" vm="6769">
        <f ca="1"/>
        <v>86.3</v>
      </c>
      <c r="BX18" vm="6770">
        <f ca="1"/>
        <v>87.01</v>
      </c>
      <c r="BY18" vm="3168">
        <f ca="1"/>
        <v>83.08</v>
      </c>
      <c r="BZ18" vm="6771">
        <f ca="1"/>
        <v>77.88</v>
      </c>
      <c r="CA18" vm="6772">
        <f ca="1"/>
        <v>76.63</v>
      </c>
      <c r="CB18" vm="6773">
        <f ca="1"/>
        <v>74.27</v>
      </c>
      <c r="CC18" vm="6774">
        <f ca="1"/>
        <v>80.760000000000005</v>
      </c>
      <c r="CD18" vm="6042">
        <f ca="1"/>
        <v>78.180000000000007</v>
      </c>
      <c r="CE18" vm="6132">
        <f ca="1"/>
        <v>80.5</v>
      </c>
      <c r="CF18" vm="5913">
        <f ca="1"/>
        <v>81.47</v>
      </c>
      <c r="CG18" vm="6775">
        <f ca="1"/>
        <v>80.83</v>
      </c>
      <c r="CH18" vm="6776">
        <f ca="1"/>
        <v>80.2</v>
      </c>
      <c r="CI18" vm="6777">
        <f ca="1"/>
        <v>80.75</v>
      </c>
      <c r="CJ18" vm="6778">
        <f ca="1"/>
        <v>79.52</v>
      </c>
      <c r="CK18" vm="5985">
        <f ca="1"/>
        <v>81.38</v>
      </c>
      <c r="CL18" vm="5984">
        <f ca="1"/>
        <v>81.48</v>
      </c>
      <c r="CM18" vm="6779">
        <f ca="1"/>
        <v>83.24</v>
      </c>
      <c r="CN18" vm="6780">
        <f ca="1"/>
        <v>82.62</v>
      </c>
      <c r="CO18" vm="3171">
        <f ca="1"/>
        <v>82.77</v>
      </c>
      <c r="CP18" vm="6781">
        <f ca="1"/>
        <v>83.46</v>
      </c>
      <c r="CQ18" vm="6782">
        <f ca="1"/>
        <v>83.89</v>
      </c>
      <c r="CR18" vm="5952">
        <f ca="1"/>
        <v>83.52</v>
      </c>
      <c r="CS18" vm="6179">
        <f ca="1"/>
        <v>84.93</v>
      </c>
      <c r="CT18" vm="6783">
        <f ca="1"/>
        <v>84.3</v>
      </c>
      <c r="CU18" vm="6784">
        <f ca="1"/>
        <v>83.69</v>
      </c>
      <c r="CV18" vm="1920">
        <f ca="1"/>
        <v>83.23</v>
      </c>
      <c r="CW18" vm="6785">
        <f ca="1"/>
        <v>84.34</v>
      </c>
      <c r="CX18" vm="6071">
        <f ca="1"/>
        <v>84.56</v>
      </c>
      <c r="CY18" vm="532">
        <f ca="1"/>
        <v>86.52</v>
      </c>
      <c r="CZ18" vm="6786">
        <f ca="1"/>
        <v>86.09</v>
      </c>
      <c r="DA18" vm="6161">
        <f ca="1"/>
        <v>85.3</v>
      </c>
      <c r="DB18" vm="6787">
        <f ca="1"/>
        <v>86.17</v>
      </c>
      <c r="DC18" vm="4529">
        <f ca="1"/>
        <v>87.05</v>
      </c>
      <c r="DD18" vm="6788">
        <f ca="1"/>
        <v>87.27</v>
      </c>
      <c r="DE18" vm="6789">
        <f ca="1"/>
        <v>87.12</v>
      </c>
      <c r="DF18" vm="6107">
        <f ca="1"/>
        <v>85.96</v>
      </c>
      <c r="DG18" vm="6790">
        <f ca="1"/>
        <v>85.87</v>
      </c>
      <c r="DH18" vm="6106">
        <f ca="1"/>
        <v>85.7</v>
      </c>
      <c r="DI18" vm="6764">
        <f ca="1"/>
        <v>87.2</v>
      </c>
      <c r="DJ18" vm="6791">
        <f ca="1"/>
        <v>86.01</v>
      </c>
      <c r="DK18" vm="1707">
        <f ca="1"/>
        <v>86.33</v>
      </c>
      <c r="DL18" vm="1705">
        <f ca="1"/>
        <v>86.34</v>
      </c>
      <c r="DM18" vm="6792">
        <f ca="1"/>
        <v>86.85</v>
      </c>
      <c r="DN18" vm="6793">
        <f ca="1"/>
        <v>87.74</v>
      </c>
      <c r="DO18" vm="6214">
        <f ca="1"/>
        <v>88.07</v>
      </c>
      <c r="DP18" vm="128">
        <f ca="1"/>
        <v>87.55</v>
      </c>
      <c r="DQ18" vm="6111">
        <f ca="1"/>
        <v>87.78</v>
      </c>
      <c r="DR18" vm="6187">
        <f ca="1"/>
        <v>88.37</v>
      </c>
      <c r="DS18" vm="104">
        <f ca="1"/>
        <v>88.92</v>
      </c>
      <c r="DT18" vm="6760">
        <f ca="1"/>
        <v>88.04</v>
      </c>
      <c r="DU18" vm="6794">
        <f ca="1"/>
        <v>88.41</v>
      </c>
      <c r="DV18" vm="6110">
        <f ca="1"/>
        <v>87.38</v>
      </c>
      <c r="DW18" vm="6795">
        <f ca="1"/>
        <v>88.12</v>
      </c>
      <c r="DX18" vm="6065">
        <f ca="1"/>
        <v>87.26</v>
      </c>
      <c r="DY18" vm="6770">
        <f ca="1"/>
        <v>87.01</v>
      </c>
      <c r="DZ18" vm="6796">
        <f ca="1"/>
        <v>86.42</v>
      </c>
      <c r="EA18" vm="6797">
        <f ca="1"/>
        <v>86.94</v>
      </c>
      <c r="EB18" vm="6798">
        <f ca="1"/>
        <v>87.66</v>
      </c>
      <c r="EC18" vm="6799">
        <f ca="1"/>
        <v>86.82</v>
      </c>
      <c r="ED18" vm="6111">
        <f ca="1"/>
        <v>87.78</v>
      </c>
      <c r="EE18" vm="974">
        <f ca="1"/>
        <v>87.89</v>
      </c>
      <c r="EF18" vm="533">
        <f ca="1"/>
        <v>87.81</v>
      </c>
      <c r="EG18" vm="6800">
        <f ca="1"/>
        <v>90.08</v>
      </c>
      <c r="EH18" vm="6801">
        <f ca="1"/>
        <v>91.43</v>
      </c>
      <c r="EI18" vm="6802">
        <f ca="1"/>
        <v>91.37</v>
      </c>
      <c r="EJ18" vm="6803">
        <f ca="1"/>
        <v>90.49</v>
      </c>
      <c r="EK18" vm="6804">
        <f ca="1"/>
        <v>91.23</v>
      </c>
      <c r="EL18" vm="6084">
        <f ca="1"/>
        <v>91.78</v>
      </c>
      <c r="EM18" vm="6805">
        <f ca="1"/>
        <v>92.27</v>
      </c>
      <c r="EN18" vm="6806">
        <f ca="1"/>
        <v>91.52</v>
      </c>
      <c r="EO18" vm="6807">
        <f ca="1"/>
        <v>91.01</v>
      </c>
      <c r="EP18" vm="6752">
        <f ca="1"/>
        <v>89.14</v>
      </c>
      <c r="EQ18" vm="6753">
        <f ca="1"/>
        <v>89.38</v>
      </c>
      <c r="ER18" vm="3137">
        <f ca="1"/>
        <v>90.01</v>
      </c>
      <c r="ES18" vm="4467">
        <f ca="1"/>
        <v>90.22</v>
      </c>
      <c r="ET18" vm="6808">
        <f ca="1"/>
        <v>90.68</v>
      </c>
      <c r="EU18" vm="5587">
        <f ca="1"/>
        <v>91.93</v>
      </c>
      <c r="EV18" vm="6809">
        <f ca="1"/>
        <v>92.24</v>
      </c>
      <c r="EW18" vm="6810">
        <f ca="1"/>
        <v>91.29</v>
      </c>
      <c r="EX18" vm="6811">
        <f ca="1"/>
        <v>92.37</v>
      </c>
      <c r="EY18" vm="6812">
        <f ca="1"/>
        <v>91.03</v>
      </c>
      <c r="EZ18" vm="6808">
        <f ca="1"/>
        <v>90.68</v>
      </c>
      <c r="FA18" vm="2026">
        <f ca="1"/>
        <v>88.85</v>
      </c>
      <c r="FB18" vm="6813">
        <f ca="1"/>
        <v>87.73</v>
      </c>
      <c r="FC18" vm="6814">
        <f ca="1"/>
        <v>86.72</v>
      </c>
      <c r="FD18" vm="6815">
        <f ca="1"/>
        <v>87.87</v>
      </c>
      <c r="FE18" vm="6190">
        <f ca="1"/>
        <v>88.49</v>
      </c>
      <c r="FF18" vm="6816">
        <f ca="1"/>
        <v>87.53</v>
      </c>
      <c r="FG18" vm="6817">
        <f ca="1"/>
        <v>87.91</v>
      </c>
      <c r="FH18" vm="6818">
        <f ca="1"/>
        <v>88.35</v>
      </c>
      <c r="FI18" vm="592">
        <f ca="1"/>
        <v>88.15</v>
      </c>
      <c r="FJ18" vm="6819">
        <f ca="1"/>
        <v>89.3</v>
      </c>
      <c r="FK18" vm="6820">
        <f ca="1"/>
        <v>90.98</v>
      </c>
      <c r="FL18" vm="4514">
        <f ca="1"/>
        <v>90.03</v>
      </c>
      <c r="FM18" vm="4514">
        <f ca="1"/>
        <v>90.03</v>
      </c>
      <c r="FN18" vm="6821">
        <f ca="1"/>
        <v>89.51</v>
      </c>
      <c r="FO18" vm="6822">
        <f ca="1"/>
        <v>90.05</v>
      </c>
      <c r="FP18" vm="6823">
        <f ca="1"/>
        <v>90.12</v>
      </c>
      <c r="FQ18" vm="1714">
        <f ca="1"/>
        <v>90.39</v>
      </c>
      <c r="FR18" vm="6824">
        <f ca="1"/>
        <v>92.18</v>
      </c>
      <c r="FS18" vm="6825">
        <f ca="1"/>
        <v>91.67</v>
      </c>
      <c r="FT18" vm="6826">
        <f ca="1"/>
        <v>91.92</v>
      </c>
      <c r="FU18" vm="6827">
        <f ca="1"/>
        <v>92.15</v>
      </c>
      <c r="FV18" vm="6827">
        <f ca="1"/>
        <v>92.15</v>
      </c>
      <c r="FW18" vm="6828">
        <f ca="1"/>
        <v>92.28</v>
      </c>
      <c r="FX18" vm="6829">
        <f ca="1"/>
        <v>91.59</v>
      </c>
      <c r="FY18" vm="6830">
        <f ca="1"/>
        <v>90.97</v>
      </c>
      <c r="FZ18" vm="453">
        <f ca="1"/>
        <v>91.32</v>
      </c>
      <c r="GA18" vm="6831">
        <f ca="1"/>
        <v>91.96</v>
      </c>
      <c r="GB18" vm="6832">
        <f ca="1"/>
        <v>92.04</v>
      </c>
      <c r="GC18" vm="6833">
        <f ca="1"/>
        <v>90.54</v>
      </c>
      <c r="GD18" vm="6834">
        <f ca="1"/>
        <v>90.71</v>
      </c>
      <c r="GE18" vm="6835">
        <f ca="1"/>
        <v>92.61</v>
      </c>
      <c r="GF18" vm="6836">
        <f ca="1"/>
        <v>91.68</v>
      </c>
      <c r="GG18" vm="6837">
        <f ca="1"/>
        <v>90.94</v>
      </c>
      <c r="GH18" vm="6838">
        <f ca="1"/>
        <v>90.66</v>
      </c>
      <c r="GI18" vm="2842">
        <f ca="1"/>
        <v>90.87</v>
      </c>
      <c r="GJ18" vm="2842">
        <f ca="1"/>
        <v>90.87</v>
      </c>
      <c r="GK18" vm="6839">
        <f ca="1"/>
        <v>90.83</v>
      </c>
      <c r="GL18" vm="6840">
        <f ca="1"/>
        <v>90.37</v>
      </c>
      <c r="GM18" vm="6800">
        <f ca="1"/>
        <v>90.08</v>
      </c>
      <c r="GN18" vm="6156">
        <f ca="1"/>
        <v>88.98</v>
      </c>
      <c r="GO18" vm="6104">
        <f ca="1"/>
        <v>87.82</v>
      </c>
      <c r="GP18" vm="6841">
        <f ca="1"/>
        <v>88.84</v>
      </c>
      <c r="GQ18" vm="536">
        <f ca="1"/>
        <v>89.18</v>
      </c>
      <c r="GR18" vm="6842">
        <f ca="1"/>
        <v>89.62</v>
      </c>
      <c r="GS18" vm="1896">
        <f ca="1"/>
        <v>88.68</v>
      </c>
      <c r="GT18" vm="6094">
        <f ca="1"/>
        <v>89.71</v>
      </c>
      <c r="GU18" vm="6843">
        <f ca="1"/>
        <v>89.86</v>
      </c>
      <c r="GV18" vm="6197">
        <f ca="1"/>
        <v>89.78</v>
      </c>
      <c r="GW18" vm="448">
        <f ca="1"/>
        <v>89.42</v>
      </c>
      <c r="GX18" vm="6189">
        <f ca="1"/>
        <v>89.9</v>
      </c>
      <c r="GY18" vm="6844">
        <f ca="1"/>
        <v>88.67</v>
      </c>
      <c r="GZ18" vm="6792">
        <f ca="1"/>
        <v>86.85</v>
      </c>
      <c r="HA18" vm="6188">
        <f ca="1"/>
        <v>88.23</v>
      </c>
      <c r="HB18" vm="6194">
        <f ca="1"/>
        <v>89.11</v>
      </c>
      <c r="HC18" vm="6845">
        <f ca="1"/>
        <v>88.71</v>
      </c>
      <c r="HD18" vm="6846">
        <f ca="1"/>
        <v>88.05</v>
      </c>
      <c r="HE18" vm="3142">
        <f ca="1"/>
        <v>87.88</v>
      </c>
      <c r="HF18" vm="2031">
        <f ca="1"/>
        <v>88.93</v>
      </c>
      <c r="HG18" vm="152">
        <f ca="1"/>
        <v>88.59</v>
      </c>
      <c r="HH18" vm="6847">
        <f ca="1"/>
        <v>88.32</v>
      </c>
      <c r="HI18" vm="6753">
        <f ca="1"/>
        <v>89.38</v>
      </c>
      <c r="HJ18" vm="1498">
        <f ca="1"/>
        <v>89.01</v>
      </c>
      <c r="HK18" vm="6205">
        <f ca="1"/>
        <v>88.97</v>
      </c>
      <c r="HL18" vm="4534">
        <f ca="1"/>
        <v>89.09</v>
      </c>
      <c r="HM18" vm="3146">
        <f ca="1"/>
        <v>87.34</v>
      </c>
      <c r="HN18" vm="6787">
        <f ca="1"/>
        <v>86.17</v>
      </c>
      <c r="HO18" vm="1934">
        <f ca="1"/>
        <v>85.67</v>
      </c>
      <c r="HP18" vm="6848">
        <f ca="1"/>
        <v>85.14</v>
      </c>
      <c r="HQ18" vm="6177">
        <f ca="1"/>
        <v>84.72</v>
      </c>
      <c r="HR18" vm="6207">
        <f ca="1"/>
        <v>85.22</v>
      </c>
      <c r="HS18" vm="6849">
        <f ca="1"/>
        <v>84.8</v>
      </c>
      <c r="HT18" vm="6850">
        <f ca="1"/>
        <v>85.82</v>
      </c>
      <c r="HU18" vm="6851">
        <f ca="1"/>
        <v>86.63</v>
      </c>
      <c r="HV18" vm="6816">
        <f ca="1"/>
        <v>87.53</v>
      </c>
      <c r="HW18" vm="592">
        <f ca="1"/>
        <v>88.15</v>
      </c>
      <c r="HX18" vm="6852">
        <f ca="1"/>
        <v>87.57</v>
      </c>
      <c r="HY18" vm="6853">
        <f ca="1"/>
        <v>86.77</v>
      </c>
      <c r="HZ18" vm="6735">
        <f ca="1"/>
        <v>85.45</v>
      </c>
      <c r="IA18" vm="6854">
        <f ca="1"/>
        <v>85.52</v>
      </c>
      <c r="IB18" vm="529">
        <f ca="1"/>
        <v>85.74</v>
      </c>
      <c r="IC18" vm="530">
        <f ca="1"/>
        <v>84.46</v>
      </c>
      <c r="ID18" vm="531">
        <f ca="1"/>
        <v>86.35</v>
      </c>
      <c r="IE18" vm="532">
        <f ca="1"/>
        <v>86.52</v>
      </c>
      <c r="IF18" vm="533">
        <f ca="1"/>
        <v>87.81</v>
      </c>
      <c r="IG18" vm="534">
        <f ca="1"/>
        <v>88.89</v>
      </c>
      <c r="IH18" vm="535">
        <f ca="1"/>
        <v>89.4</v>
      </c>
      <c r="II18" vm="536">
        <f ca="1"/>
        <v>89.18</v>
      </c>
      <c r="IJ18" vm="537">
        <f ca="1"/>
        <v>44.185000000000002</v>
      </c>
      <c r="IK18" vm="538">
        <f ca="1"/>
        <v>44.494999999999997</v>
      </c>
      <c r="IL18" vm="539">
        <f ca="1"/>
        <v>44.234999999999999</v>
      </c>
      <c r="IM18" vm="540">
        <f ca="1"/>
        <v>44.09</v>
      </c>
      <c r="IN18" vm="541">
        <f ca="1"/>
        <v>43.48</v>
      </c>
      <c r="IO18" vm="542">
        <f ca="1"/>
        <v>43.39</v>
      </c>
      <c r="IP18" vm="543">
        <f ca="1"/>
        <v>44.24</v>
      </c>
      <c r="IQ18" vm="544">
        <f ca="1"/>
        <v>45.12</v>
      </c>
      <c r="IR18" vm="545">
        <f ca="1"/>
        <v>45.15</v>
      </c>
      <c r="IS18" vm="544">
        <f ca="1"/>
        <v>45.12</v>
      </c>
      <c r="IT18" vm="546">
        <f ca="1"/>
        <v>45</v>
      </c>
      <c r="IU18" vm="463">
        <f ca="1"/>
        <v>45.19</v>
      </c>
      <c r="IV18" vm="547">
        <f ca="1"/>
        <v>45.17</v>
      </c>
      <c r="IW18" vm="18">
        <f ca="1"/>
        <v>45.37</v>
      </c>
    </row>
    <row r="19" spans="1:257" ht="16" x14ac:dyDescent="0.2">
      <c r="A19" s="10" t="e" vm="548">
        <v>#VALUE!</v>
      </c>
      <c r="B19" s="23" t="str" cm="1">
        <f t="array" aca="1" ref="B19" ca="1">_FV(A19,"ticker symbol",TRUE)</f>
        <v>XLRE</v>
      </c>
      <c r="C19" s="23" t="str" cm="1">
        <f t="array" aca="1" ref="C19" ca="1">_FV(A19,"Name")</f>
        <v>Sel Sector:RE SS SPDR In</v>
      </c>
      <c r="D19" cm="1" vm="6855">
        <f t="array" aca="1" ref="D19:IW19" ca="1">TRANSPOSE(_xlfn.STOCKHISTORY(B19, WORKDAY(TODAY(), -265), TODAY(), 0, 0, 1))</f>
        <v>42.61</v>
      </c>
      <c r="E19" s="23" vm="6856">
        <f ca="1"/>
        <v>42.42</v>
      </c>
      <c r="F19" s="23" vm="6857">
        <f ca="1"/>
        <v>40.76</v>
      </c>
      <c r="G19" s="23" vm="6858">
        <f ca="1"/>
        <v>40.06</v>
      </c>
      <c r="H19" s="23" vm="6859">
        <f ca="1"/>
        <v>40.79</v>
      </c>
      <c r="I19" s="23" vm="6860">
        <f ca="1"/>
        <v>40.54</v>
      </c>
      <c r="J19" s="23" vm="6861">
        <f ca="1"/>
        <v>40.81</v>
      </c>
      <c r="K19" s="23" vm="6862">
        <f ca="1"/>
        <v>40.869999999999997</v>
      </c>
      <c r="L19" s="23" vm="6860">
        <f ca="1"/>
        <v>40.54</v>
      </c>
      <c r="M19" s="23" vm="6863">
        <f ca="1"/>
        <v>40.35</v>
      </c>
      <c r="N19" s="23" vm="6864">
        <f ca="1"/>
        <v>40.67</v>
      </c>
      <c r="O19" s="23" vm="6865">
        <f ca="1"/>
        <v>40.29</v>
      </c>
      <c r="P19" s="23" vm="6866">
        <f ca="1"/>
        <v>40.840000000000003</v>
      </c>
      <c r="Q19" s="23" vm="6867">
        <f ca="1"/>
        <v>40.28</v>
      </c>
      <c r="R19" s="23" vm="6868">
        <f ca="1"/>
        <v>39.979999999999997</v>
      </c>
      <c r="S19" s="23" vm="6869">
        <f ca="1"/>
        <v>40.15</v>
      </c>
      <c r="T19" s="23" vm="6870">
        <f ca="1"/>
        <v>39.18</v>
      </c>
      <c r="U19" s="23" vm="6871">
        <f ca="1"/>
        <v>39.68</v>
      </c>
      <c r="V19" s="23" vm="4834">
        <f ca="1"/>
        <v>40.020000000000003</v>
      </c>
      <c r="W19" s="23" vm="6872">
        <f ca="1"/>
        <v>40.19</v>
      </c>
      <c r="X19" s="23" vm="555">
        <f ca="1"/>
        <v>41.09</v>
      </c>
      <c r="Y19" s="23" vm="6873">
        <f ca="1"/>
        <v>41.08</v>
      </c>
      <c r="Z19" s="23" vm="6874">
        <f ca="1"/>
        <v>41.83</v>
      </c>
      <c r="AA19" s="23" vm="6875">
        <f ca="1"/>
        <v>41.1</v>
      </c>
      <c r="AB19" s="23" vm="6876">
        <f ca="1"/>
        <v>41.43</v>
      </c>
      <c r="AC19" s="23" vm="6877">
        <f ca="1"/>
        <v>41.55</v>
      </c>
      <c r="AD19" vm="6878">
        <f ca="1"/>
        <v>41.96</v>
      </c>
      <c r="AE19" vm="6879">
        <f ca="1"/>
        <v>41.45</v>
      </c>
      <c r="AF19" vm="92">
        <f ca="1"/>
        <v>40.97</v>
      </c>
      <c r="AG19" vm="6880">
        <f ca="1"/>
        <v>41.51</v>
      </c>
      <c r="AH19" vm="6881">
        <f ca="1"/>
        <v>41.42</v>
      </c>
      <c r="AI19" vm="6882">
        <f ca="1"/>
        <v>41.35</v>
      </c>
      <c r="AJ19" vm="6882">
        <f ca="1"/>
        <v>41.35</v>
      </c>
      <c r="AK19" vm="6883">
        <f ca="1"/>
        <v>42</v>
      </c>
      <c r="AL19" vm="6884">
        <f ca="1"/>
        <v>42.12</v>
      </c>
      <c r="AM19" vm="6885">
        <f ca="1"/>
        <v>41.97</v>
      </c>
      <c r="AN19" vm="2723">
        <f ca="1"/>
        <v>42.03</v>
      </c>
      <c r="AO19" vm="1360">
        <f ca="1"/>
        <v>42.26</v>
      </c>
      <c r="AP19" vm="6886">
        <f ca="1"/>
        <v>41.9</v>
      </c>
      <c r="AQ19" vm="6887">
        <f ca="1"/>
        <v>42.23</v>
      </c>
      <c r="AR19" vm="2678">
        <f ca="1"/>
        <v>42.06</v>
      </c>
      <c r="AS19" vm="6888">
        <f ca="1"/>
        <v>42.21</v>
      </c>
      <c r="AT19" vm="6889">
        <f ca="1"/>
        <v>42.29</v>
      </c>
      <c r="AU19" vm="6890">
        <f ca="1"/>
        <v>42.58</v>
      </c>
      <c r="AV19" vm="6887">
        <f ca="1"/>
        <v>42.23</v>
      </c>
      <c r="AW19" vm="6856">
        <f ca="1"/>
        <v>42.42</v>
      </c>
      <c r="AX19" vm="6891">
        <f ca="1"/>
        <v>42.87</v>
      </c>
      <c r="AY19" vm="6892">
        <f ca="1"/>
        <v>42.66</v>
      </c>
      <c r="AZ19" vm="6893">
        <f ca="1"/>
        <v>42.85</v>
      </c>
      <c r="BA19" vm="2682">
        <f ca="1"/>
        <v>43.15</v>
      </c>
      <c r="BB19" vm="6894">
        <f ca="1"/>
        <v>43.52</v>
      </c>
      <c r="BC19" vm="1370">
        <f ca="1"/>
        <v>43.02</v>
      </c>
      <c r="BD19" vm="2685">
        <f ca="1"/>
        <v>43.42</v>
      </c>
      <c r="BE19" vm="6887">
        <f ca="1"/>
        <v>42.23</v>
      </c>
      <c r="BF19" vm="6895">
        <f ca="1"/>
        <v>42.47</v>
      </c>
      <c r="BG19" vm="2678">
        <f ca="1"/>
        <v>42.06</v>
      </c>
      <c r="BH19" vm="308">
        <f ca="1"/>
        <v>41.62</v>
      </c>
      <c r="BI19" vm="301">
        <f ca="1"/>
        <v>41.47</v>
      </c>
      <c r="BJ19" vm="4849">
        <f ca="1"/>
        <v>40.659999999999997</v>
      </c>
      <c r="BK19" vm="6879">
        <f ca="1"/>
        <v>41.45</v>
      </c>
      <c r="BL19" vm="2721">
        <f ca="1"/>
        <v>42.18</v>
      </c>
      <c r="BM19" vm="2679">
        <f ca="1"/>
        <v>41.92</v>
      </c>
      <c r="BN19" vm="6885">
        <f ca="1"/>
        <v>41.97</v>
      </c>
      <c r="BO19" vm="2679">
        <f ca="1"/>
        <v>41.92</v>
      </c>
      <c r="BP19" vm="6880">
        <f ca="1"/>
        <v>41.51</v>
      </c>
      <c r="BQ19" vm="6896">
        <f ca="1"/>
        <v>41.82</v>
      </c>
      <c r="BR19" vm="6897">
        <f ca="1"/>
        <v>41.32</v>
      </c>
      <c r="BS19" vm="2719">
        <f ca="1"/>
        <v>41.53</v>
      </c>
      <c r="BT19" vm="6876">
        <f ca="1"/>
        <v>41.43</v>
      </c>
      <c r="BU19" vm="2718">
        <f ca="1"/>
        <v>41.41</v>
      </c>
      <c r="BV19" vm="6898">
        <f ca="1"/>
        <v>41.85</v>
      </c>
      <c r="BW19" vm="6899">
        <f ca="1"/>
        <v>41.88</v>
      </c>
      <c r="BX19" vm="6900">
        <f ca="1"/>
        <v>42.08</v>
      </c>
      <c r="BY19" vm="6901">
        <f ca="1"/>
        <v>40.82</v>
      </c>
      <c r="BZ19" vm="6902">
        <f ca="1"/>
        <v>38.96</v>
      </c>
      <c r="CA19" vm="6903">
        <f ca="1"/>
        <v>38.020000000000003</v>
      </c>
      <c r="CB19" vm="6904">
        <f ca="1"/>
        <v>37.08</v>
      </c>
      <c r="CC19" vm="2624">
        <f ca="1"/>
        <v>39.21</v>
      </c>
      <c r="CD19" vm="6905">
        <f ca="1"/>
        <v>38.380000000000003</v>
      </c>
      <c r="CE19" vm="6906">
        <f ca="1"/>
        <v>38.92</v>
      </c>
      <c r="CF19" vm="6907">
        <f ca="1"/>
        <v>39.78</v>
      </c>
      <c r="CG19" vm="6908">
        <f ca="1"/>
        <v>39.840000000000003</v>
      </c>
      <c r="CH19" vm="6909">
        <f ca="1"/>
        <v>39.82</v>
      </c>
      <c r="CI19" vm="6910">
        <f ca="1"/>
        <v>40.450000000000003</v>
      </c>
      <c r="CJ19" vm="4811">
        <f ca="1"/>
        <v>39.61</v>
      </c>
      <c r="CK19" vm="6911">
        <f ca="1"/>
        <v>40.42</v>
      </c>
      <c r="CL19" vm="6912">
        <f ca="1"/>
        <v>40.47</v>
      </c>
      <c r="CM19" vm="6913">
        <f ca="1"/>
        <v>40.590000000000003</v>
      </c>
      <c r="CN19" vm="6914">
        <f ca="1"/>
        <v>40.53</v>
      </c>
      <c r="CO19" vm="1376">
        <f ca="1"/>
        <v>40.78</v>
      </c>
      <c r="CP19" vm="6915">
        <f ca="1"/>
        <v>41.11</v>
      </c>
      <c r="CQ19" vm="6916">
        <f ca="1"/>
        <v>41.3</v>
      </c>
      <c r="CR19" vm="6881">
        <f ca="1"/>
        <v>41.42</v>
      </c>
      <c r="CS19" vm="6917">
        <f ca="1"/>
        <v>41.93</v>
      </c>
      <c r="CT19" vm="6899">
        <f ca="1"/>
        <v>41.88</v>
      </c>
      <c r="CU19" vm="2324">
        <f ca="1"/>
        <v>41.59</v>
      </c>
      <c r="CV19" vm="6918">
        <f ca="1"/>
        <v>41.56</v>
      </c>
      <c r="CW19" vm="310">
        <f ca="1"/>
        <v>41.36</v>
      </c>
      <c r="CX19" vm="2724">
        <f ca="1"/>
        <v>41.61</v>
      </c>
      <c r="CY19" vm="6919">
        <f ca="1"/>
        <v>41.65</v>
      </c>
      <c r="CZ19" vm="555">
        <f ca="1"/>
        <v>41.09</v>
      </c>
      <c r="DA19" vm="558">
        <f ca="1"/>
        <v>40.74</v>
      </c>
      <c r="DB19" vm="6920">
        <f ca="1"/>
        <v>41.49</v>
      </c>
      <c r="DC19" vm="6921">
        <f ca="1"/>
        <v>42.01</v>
      </c>
      <c r="DD19" vm="2722">
        <f ca="1"/>
        <v>42.1</v>
      </c>
      <c r="DE19" vm="6899">
        <f ca="1"/>
        <v>41.88</v>
      </c>
      <c r="DF19" vm="6922">
        <f ca="1"/>
        <v>40.770000000000003</v>
      </c>
      <c r="DG19" vm="6923">
        <f ca="1"/>
        <v>40.630000000000003</v>
      </c>
      <c r="DH19" vm="6924">
        <f ca="1"/>
        <v>40.64</v>
      </c>
      <c r="DI19" vm="6925">
        <f ca="1"/>
        <v>41.31</v>
      </c>
      <c r="DJ19" vm="6925">
        <f ca="1"/>
        <v>41.31</v>
      </c>
      <c r="DK19" vm="6926">
        <f ca="1"/>
        <v>41.69</v>
      </c>
      <c r="DL19" vm="2676">
        <f ca="1"/>
        <v>41.73</v>
      </c>
      <c r="DM19" vm="6927">
        <f ca="1"/>
        <v>41.79</v>
      </c>
      <c r="DN19" vm="6928">
        <f ca="1"/>
        <v>41.64</v>
      </c>
      <c r="DO19" vm="6929">
        <f ca="1"/>
        <v>41.77</v>
      </c>
      <c r="DP19" vm="6930">
        <f ca="1"/>
        <v>41.76</v>
      </c>
      <c r="DQ19" vm="6899">
        <f ca="1"/>
        <v>41.88</v>
      </c>
      <c r="DR19" vm="6931">
        <f ca="1"/>
        <v>41.86</v>
      </c>
      <c r="DS19" vm="6887">
        <f ca="1"/>
        <v>42.23</v>
      </c>
      <c r="DT19" vm="6883">
        <f ca="1"/>
        <v>42</v>
      </c>
      <c r="DU19" vm="6887">
        <f ca="1"/>
        <v>42.23</v>
      </c>
      <c r="DV19" vm="6932">
        <f ca="1"/>
        <v>41.89</v>
      </c>
      <c r="DW19" vm="6917">
        <f ca="1"/>
        <v>41.93</v>
      </c>
      <c r="DX19" vm="6930">
        <f ca="1"/>
        <v>41.76</v>
      </c>
      <c r="DY19" vm="6933">
        <f ca="1"/>
        <v>41.84</v>
      </c>
      <c r="DZ19" vm="6874">
        <f ca="1"/>
        <v>41.83</v>
      </c>
      <c r="EA19" vm="2678">
        <f ca="1"/>
        <v>42.06</v>
      </c>
      <c r="EB19" vm="1360">
        <f ca="1"/>
        <v>42.26</v>
      </c>
      <c r="EC19" vm="311">
        <f ca="1"/>
        <v>41.23</v>
      </c>
      <c r="ED19" vm="92">
        <f ca="1"/>
        <v>40.97</v>
      </c>
      <c r="EE19" vm="6934">
        <f ca="1"/>
        <v>41.12</v>
      </c>
      <c r="EF19" vm="6881">
        <f ca="1"/>
        <v>41.42</v>
      </c>
      <c r="EG19" vm="6935">
        <f ca="1"/>
        <v>41.7</v>
      </c>
      <c r="EH19" vm="6936">
        <f ca="1"/>
        <v>41.78</v>
      </c>
      <c r="EI19" vm="6937">
        <f ca="1"/>
        <v>41.8</v>
      </c>
      <c r="EJ19" vm="6938">
        <f ca="1"/>
        <v>41.48</v>
      </c>
      <c r="EK19" vm="6881">
        <f ca="1"/>
        <v>41.42</v>
      </c>
      <c r="EL19" vm="6939">
        <f ca="1"/>
        <v>41.4</v>
      </c>
      <c r="EM19" vm="2724">
        <f ca="1"/>
        <v>41.61</v>
      </c>
      <c r="EN19" vm="6940">
        <f ca="1"/>
        <v>41.57</v>
      </c>
      <c r="EO19" vm="6898">
        <f ca="1"/>
        <v>41.85</v>
      </c>
      <c r="EP19" vm="6925">
        <f ca="1"/>
        <v>41.31</v>
      </c>
      <c r="EQ19" vm="6930">
        <f ca="1"/>
        <v>41.76</v>
      </c>
      <c r="ER19" vm="6941">
        <f ca="1"/>
        <v>41.72</v>
      </c>
      <c r="ES19" vm="6933">
        <f ca="1"/>
        <v>41.84</v>
      </c>
      <c r="ET19" vm="6883">
        <f ca="1"/>
        <v>42</v>
      </c>
      <c r="EU19" vm="604">
        <f ca="1"/>
        <v>42.73</v>
      </c>
      <c r="EV19" vm="6893">
        <f ca="1"/>
        <v>42.85</v>
      </c>
      <c r="EW19" vm="1365">
        <f ca="1"/>
        <v>42.79</v>
      </c>
      <c r="EX19" vm="1365">
        <f ca="1"/>
        <v>42.79</v>
      </c>
      <c r="EY19" vm="6942">
        <f ca="1"/>
        <v>42.05</v>
      </c>
      <c r="EZ19" vm="603">
        <f ca="1"/>
        <v>42.75</v>
      </c>
      <c r="FA19" vm="1361">
        <f ca="1"/>
        <v>42.15</v>
      </c>
      <c r="FB19" vm="2718">
        <f ca="1"/>
        <v>41.41</v>
      </c>
      <c r="FC19" vm="553">
        <f ca="1"/>
        <v>41.29</v>
      </c>
      <c r="FD19" vm="6928">
        <f ca="1"/>
        <v>41.64</v>
      </c>
      <c r="FE19" vm="6936">
        <f ca="1"/>
        <v>41.78</v>
      </c>
      <c r="FF19" vm="6876">
        <f ca="1"/>
        <v>41.43</v>
      </c>
      <c r="FG19" vm="2324">
        <f ca="1"/>
        <v>41.59</v>
      </c>
      <c r="FH19" vm="6943">
        <f ca="1"/>
        <v>41.25</v>
      </c>
      <c r="FI19" vm="6944">
        <f ca="1"/>
        <v>41.01</v>
      </c>
      <c r="FJ19" vm="6873">
        <f ca="1"/>
        <v>41.08</v>
      </c>
      <c r="FK19" vm="6882">
        <f ca="1"/>
        <v>41.35</v>
      </c>
      <c r="FL19" vm="6945">
        <f ca="1"/>
        <v>41.06</v>
      </c>
      <c r="FM19" vm="6946">
        <f ca="1"/>
        <v>41.33</v>
      </c>
      <c r="FN19" vm="6947">
        <f ca="1"/>
        <v>40.94</v>
      </c>
      <c r="FO19" vm="554">
        <f ca="1"/>
        <v>41.67</v>
      </c>
      <c r="FP19" vm="6874">
        <f ca="1"/>
        <v>41.83</v>
      </c>
      <c r="FQ19" vm="6948">
        <f ca="1"/>
        <v>41.68</v>
      </c>
      <c r="FR19" vm="6949">
        <f ca="1"/>
        <v>42.34</v>
      </c>
      <c r="FS19" vm="6950">
        <f ca="1"/>
        <v>42.13</v>
      </c>
      <c r="FT19" vm="6921">
        <f ca="1"/>
        <v>42.01</v>
      </c>
      <c r="FU19" vm="6951">
        <f ca="1"/>
        <v>42.19</v>
      </c>
      <c r="FV19" vm="6900">
        <f ca="1"/>
        <v>42.08</v>
      </c>
      <c r="FW19" vm="6952">
        <f ca="1"/>
        <v>42.31</v>
      </c>
      <c r="FX19" vm="2324">
        <f ca="1"/>
        <v>41.59</v>
      </c>
      <c r="FY19" vm="6938">
        <f ca="1"/>
        <v>41.48</v>
      </c>
      <c r="FZ19" vm="6930">
        <f ca="1"/>
        <v>41.76</v>
      </c>
      <c r="GA19" vm="2721">
        <f ca="1"/>
        <v>42.18</v>
      </c>
      <c r="GB19" vm="6886">
        <f ca="1"/>
        <v>41.9</v>
      </c>
      <c r="GC19" vm="6899">
        <f ca="1"/>
        <v>41.88</v>
      </c>
      <c r="GD19" vm="6931">
        <f ca="1"/>
        <v>41.86</v>
      </c>
      <c r="GE19" vm="6953">
        <f ca="1"/>
        <v>42.54</v>
      </c>
      <c r="GF19" vm="6954">
        <f ca="1"/>
        <v>42.35</v>
      </c>
      <c r="GG19" vm="6955">
        <f ca="1"/>
        <v>42.3</v>
      </c>
      <c r="GH19" vm="6942">
        <f ca="1"/>
        <v>42.05</v>
      </c>
      <c r="GI19" vm="2723">
        <f ca="1"/>
        <v>42.03</v>
      </c>
      <c r="GJ19" vm="2678">
        <f ca="1"/>
        <v>42.06</v>
      </c>
      <c r="GK19" vm="6898">
        <f ca="1"/>
        <v>41.85</v>
      </c>
      <c r="GL19" vm="554">
        <f ca="1"/>
        <v>41.67</v>
      </c>
      <c r="GM19" vm="6883">
        <f ca="1"/>
        <v>42</v>
      </c>
      <c r="GN19" vm="6940">
        <f ca="1"/>
        <v>41.57</v>
      </c>
      <c r="GO19" vm="301">
        <f ca="1"/>
        <v>41.47</v>
      </c>
      <c r="GP19" vm="6899">
        <f ca="1"/>
        <v>41.88</v>
      </c>
      <c r="GQ19" vm="6878">
        <f ca="1"/>
        <v>41.96</v>
      </c>
      <c r="GR19" vm="6950">
        <f ca="1"/>
        <v>42.13</v>
      </c>
      <c r="GS19" vm="6950">
        <f ca="1"/>
        <v>42.13</v>
      </c>
      <c r="GT19" vm="6956">
        <f ca="1"/>
        <v>41.91</v>
      </c>
      <c r="GU19" vm="6900">
        <f ca="1"/>
        <v>42.08</v>
      </c>
      <c r="GV19" vm="6957">
        <f ca="1"/>
        <v>41.66</v>
      </c>
      <c r="GW19" vm="2719">
        <f ca="1"/>
        <v>41.53</v>
      </c>
      <c r="GX19" vm="6897">
        <f ca="1"/>
        <v>41.32</v>
      </c>
      <c r="GY19" vm="300">
        <f ca="1"/>
        <v>41.13</v>
      </c>
      <c r="GZ19" vm="6958">
        <f ca="1"/>
        <v>40.68</v>
      </c>
      <c r="HA19" vm="563">
        <f ca="1"/>
        <v>40.909999999999997</v>
      </c>
      <c r="HB19" vm="6916">
        <f ca="1"/>
        <v>41.3</v>
      </c>
      <c r="HC19" vm="6886">
        <f ca="1"/>
        <v>41.9</v>
      </c>
      <c r="HD19" vm="6929">
        <f ca="1"/>
        <v>41.77</v>
      </c>
      <c r="HE19" vm="6959">
        <f ca="1"/>
        <v>42.04</v>
      </c>
      <c r="HF19" vm="6960">
        <f ca="1"/>
        <v>42.48</v>
      </c>
      <c r="HG19" vm="6954">
        <f ca="1"/>
        <v>42.35</v>
      </c>
      <c r="HH19" vm="6953">
        <f ca="1"/>
        <v>42.54</v>
      </c>
      <c r="HI19" vm="1362">
        <f ca="1"/>
        <v>42.5</v>
      </c>
      <c r="HJ19" vm="6961">
        <f ca="1"/>
        <v>42.65</v>
      </c>
      <c r="HK19" vm="1357">
        <f ca="1"/>
        <v>42.74</v>
      </c>
      <c r="HL19" vm="6927">
        <f ca="1"/>
        <v>41.79</v>
      </c>
      <c r="HM19" vm="6962">
        <f ca="1"/>
        <v>40.65</v>
      </c>
      <c r="HN19" vm="6963">
        <f ca="1"/>
        <v>40.880000000000003</v>
      </c>
      <c r="HO19" vm="551">
        <f ca="1"/>
        <v>40.9</v>
      </c>
      <c r="HP19" vm="6964">
        <f ca="1"/>
        <v>40.83</v>
      </c>
      <c r="HQ19" vm="6947">
        <f ca="1"/>
        <v>40.94</v>
      </c>
      <c r="HR19" vm="6965">
        <f ca="1"/>
        <v>40.93</v>
      </c>
      <c r="HS19" vm="565">
        <f ca="1"/>
        <v>40.729999999999997</v>
      </c>
      <c r="HT19" vm="6966">
        <f ca="1"/>
        <v>41.27</v>
      </c>
      <c r="HU19" vm="6967">
        <f ca="1"/>
        <v>41.24</v>
      </c>
      <c r="HV19" vm="6935">
        <f ca="1"/>
        <v>41.7</v>
      </c>
      <c r="HW19" vm="6968">
        <f ca="1"/>
        <v>41.37</v>
      </c>
      <c r="HX19" vm="6964">
        <f ca="1"/>
        <v>40.83</v>
      </c>
      <c r="HY19" vm="2716">
        <f ca="1"/>
        <v>40.950000000000003</v>
      </c>
      <c r="HZ19" vm="6958">
        <f ca="1"/>
        <v>40.68</v>
      </c>
      <c r="IA19" vm="6964">
        <f ca="1"/>
        <v>40.83</v>
      </c>
      <c r="IB19" vm="549">
        <f ca="1"/>
        <v>40.51</v>
      </c>
      <c r="IC19" vm="550">
        <f ca="1"/>
        <v>40.369999999999997</v>
      </c>
      <c r="ID19" vm="551">
        <f ca="1"/>
        <v>40.9</v>
      </c>
      <c r="IE19" vm="552">
        <f ca="1"/>
        <v>40.96</v>
      </c>
      <c r="IF19" vm="553">
        <f ca="1"/>
        <v>41.29</v>
      </c>
      <c r="IG19" vm="301">
        <f ca="1"/>
        <v>41.47</v>
      </c>
      <c r="IH19" vm="554">
        <f ca="1"/>
        <v>41.67</v>
      </c>
      <c r="II19" vm="555">
        <f ca="1"/>
        <v>41.09</v>
      </c>
      <c r="IJ19" vm="305">
        <f ca="1"/>
        <v>40.99</v>
      </c>
      <c r="IK19" vm="556">
        <f ca="1"/>
        <v>41.07</v>
      </c>
      <c r="IL19" vm="557">
        <f ca="1"/>
        <v>41</v>
      </c>
      <c r="IM19" vm="305">
        <f ca="1"/>
        <v>40.99</v>
      </c>
      <c r="IN19" vm="558">
        <f ca="1"/>
        <v>40.74</v>
      </c>
      <c r="IO19" vm="559">
        <f ca="1"/>
        <v>40.5</v>
      </c>
      <c r="IP19" vm="560">
        <f ca="1"/>
        <v>40.58</v>
      </c>
      <c r="IQ19" vm="561">
        <f ca="1"/>
        <v>40.799999999999997</v>
      </c>
      <c r="IR19" vm="562">
        <f ca="1"/>
        <v>40.75</v>
      </c>
      <c r="IS19" vm="563">
        <f ca="1"/>
        <v>40.909999999999997</v>
      </c>
      <c r="IT19" vm="564">
        <f ca="1"/>
        <v>40.549999999999997</v>
      </c>
      <c r="IU19" vm="565">
        <f ca="1"/>
        <v>40.729999999999997</v>
      </c>
      <c r="IV19" vm="566">
        <f ca="1"/>
        <v>40.479999999999997</v>
      </c>
      <c r="IW19" vm="19">
        <f ca="1"/>
        <v>40.33</v>
      </c>
    </row>
    <row r="20" spans="1:257" ht="16" x14ac:dyDescent="0.2">
      <c r="A20" s="10" t="e" vm="567">
        <v>#VALUE!</v>
      </c>
      <c r="B20" s="23" t="str" cm="1">
        <f t="array" aca="1" ref="B20" ca="1">_FV(A20,"ticker symbol",TRUE)</f>
        <v>XLK</v>
      </c>
      <c r="C20" s="23" t="str" cm="1">
        <f t="array" aca="1" ref="C20" ca="1">_FV(A20,"Name")</f>
        <v>Sel Sector:Tech SPDR</v>
      </c>
      <c r="D20" cm="1" vm="6969">
        <f t="array" aca="1" ref="D20:IW20" ca="1">TRANSPOSE(_xlfn.STOCKHISTORY(B20, WORKDAY(TODAY(), -265), TODAY(), 0, 0, 1))</f>
        <v>241.44</v>
      </c>
      <c r="E20" s="23" vm="5366">
        <f ca="1"/>
        <v>239.98</v>
      </c>
      <c r="F20" s="23" vm="6970">
        <f ca="1"/>
        <v>232.24</v>
      </c>
      <c r="G20" s="23" vm="6971">
        <f ca="1"/>
        <v>232.49</v>
      </c>
      <c r="H20" s="23" vm="6972">
        <f ca="1"/>
        <v>235.96</v>
      </c>
      <c r="I20" s="23" vm="6973">
        <f ca="1"/>
        <v>238.07</v>
      </c>
      <c r="J20" s="23" vm="6974">
        <f ca="1"/>
        <v>240.53</v>
      </c>
      <c r="K20" s="23" vm="6975">
        <f ca="1"/>
        <v>240.69</v>
      </c>
      <c r="L20" s="23" vm="6976">
        <f ca="1"/>
        <v>237.49</v>
      </c>
      <c r="M20" s="23" vm="5707">
        <f ca="1"/>
        <v>234.47</v>
      </c>
      <c r="N20" s="23" vm="6977">
        <f ca="1"/>
        <v>232.52</v>
      </c>
      <c r="O20" s="23" vm="6978">
        <f ca="1"/>
        <v>231.97</v>
      </c>
      <c r="P20" s="23" vm="6979">
        <f ca="1"/>
        <v>235.75</v>
      </c>
      <c r="Q20" s="23" vm="6980">
        <f ca="1"/>
        <v>238.75</v>
      </c>
      <c r="R20" s="23" vm="6981">
        <f ca="1"/>
        <v>233.96</v>
      </c>
      <c r="S20" s="23" vm="6982">
        <f ca="1"/>
        <v>233.88</v>
      </c>
      <c r="T20" s="23" vm="6983">
        <f ca="1"/>
        <v>228.78</v>
      </c>
      <c r="U20" s="23" vm="6984">
        <f ca="1"/>
        <v>227.16</v>
      </c>
      <c r="V20" s="23" vm="6985">
        <f ca="1"/>
        <v>227.76</v>
      </c>
      <c r="W20" s="23" vm="6986">
        <f ca="1"/>
        <v>232.29</v>
      </c>
      <c r="X20" s="23" vm="6987">
        <f ca="1"/>
        <v>230.5</v>
      </c>
      <c r="Y20" s="23" vm="6988">
        <f ca="1"/>
        <v>234.11</v>
      </c>
      <c r="Z20" s="23" vm="6989">
        <f ca="1"/>
        <v>236.06</v>
      </c>
      <c r="AA20" s="23" vm="5875">
        <f ca="1"/>
        <v>241.39</v>
      </c>
      <c r="AB20" s="23" vm="6990">
        <f ca="1"/>
        <v>241.82</v>
      </c>
      <c r="AC20" s="23" vm="6991">
        <f ca="1"/>
        <v>239.3</v>
      </c>
      <c r="AD20" vm="6992">
        <f ca="1"/>
        <v>227.57</v>
      </c>
      <c r="AE20" vm="6993">
        <f ca="1"/>
        <v>233.64</v>
      </c>
      <c r="AF20" vm="5863">
        <f ca="1"/>
        <v>231.74</v>
      </c>
      <c r="AG20" vm="5730">
        <f ca="1"/>
        <v>232.17</v>
      </c>
      <c r="AH20" vm="6994">
        <f ca="1"/>
        <v>230.81</v>
      </c>
      <c r="AI20" vm="6995">
        <f ca="1"/>
        <v>227.7</v>
      </c>
      <c r="AJ20" vm="6996">
        <f ca="1"/>
        <v>230.98</v>
      </c>
      <c r="AK20" vm="6997">
        <f ca="1"/>
        <v>234.19</v>
      </c>
      <c r="AL20" vm="4190">
        <f ca="1"/>
        <v>234.83</v>
      </c>
      <c r="AM20" vm="6998">
        <f ca="1"/>
        <v>232.82</v>
      </c>
      <c r="AN20" vm="4194">
        <f ca="1"/>
        <v>236.22</v>
      </c>
      <c r="AO20" vm="6999">
        <f ca="1"/>
        <v>236.33</v>
      </c>
      <c r="AP20" vm="7000">
        <f ca="1"/>
        <v>235.82</v>
      </c>
      <c r="AQ20" vm="5369">
        <f ca="1"/>
        <v>239.16</v>
      </c>
      <c r="AR20" vm="7001">
        <f ca="1"/>
        <v>239.97</v>
      </c>
      <c r="AS20" vm="7002">
        <f ca="1"/>
        <v>242.16</v>
      </c>
      <c r="AT20" vm="5872">
        <f ca="1"/>
        <v>242.18</v>
      </c>
      <c r="AU20" vm="7003">
        <f ca="1"/>
        <v>241.41</v>
      </c>
      <c r="AV20" vm="7004">
        <f ca="1"/>
        <v>234.87</v>
      </c>
      <c r="AW20" vm="7005">
        <f ca="1"/>
        <v>231.51</v>
      </c>
      <c r="AX20" vm="405">
        <f ca="1"/>
        <v>228.51</v>
      </c>
      <c r="AY20" vm="7006">
        <f ca="1"/>
        <v>231</v>
      </c>
      <c r="AZ20" vm="7007">
        <f ca="1"/>
        <v>222.59</v>
      </c>
      <c r="BA20" vm="7008">
        <f ca="1"/>
        <v>225.53</v>
      </c>
      <c r="BB20" vm="7009">
        <f ca="1"/>
        <v>218.67</v>
      </c>
      <c r="BC20" vm="7010">
        <f ca="1"/>
        <v>218.5</v>
      </c>
      <c r="BD20" vm="7011">
        <f ca="1"/>
        <v>221.57</v>
      </c>
      <c r="BE20" vm="7012">
        <f ca="1"/>
        <v>215.42</v>
      </c>
      <c r="BF20" vm="7013">
        <f ca="1"/>
        <v>218.54</v>
      </c>
      <c r="BG20" vm="7014">
        <f ca="1"/>
        <v>209.25</v>
      </c>
      <c r="BH20" vm="7015">
        <f ca="1"/>
        <v>208.4</v>
      </c>
      <c r="BI20" vm="7016">
        <f ca="1"/>
        <v>211.68</v>
      </c>
      <c r="BJ20" vm="7017">
        <f ca="1"/>
        <v>207.66</v>
      </c>
      <c r="BK20" vm="7018">
        <f ca="1"/>
        <v>213.94</v>
      </c>
      <c r="BL20" vm="7019">
        <f ca="1"/>
        <v>215.43</v>
      </c>
      <c r="BM20" vm="7020">
        <f ca="1"/>
        <v>212.15</v>
      </c>
      <c r="BN20" vm="7021">
        <f ca="1"/>
        <v>214.91</v>
      </c>
      <c r="BO20" vm="7022">
        <f ca="1"/>
        <v>213.38</v>
      </c>
      <c r="BP20" vm="7023">
        <f ca="1"/>
        <v>213.96</v>
      </c>
      <c r="BQ20" vm="7024">
        <f ca="1"/>
        <v>217.63</v>
      </c>
      <c r="BR20" vm="7025">
        <f ca="1"/>
        <v>218.35</v>
      </c>
      <c r="BS20" vm="7026">
        <f ca="1"/>
        <v>213.48</v>
      </c>
      <c r="BT20" vm="7027">
        <f ca="1"/>
        <v>211.51</v>
      </c>
      <c r="BU20" vm="7028">
        <f ca="1"/>
        <v>206.38</v>
      </c>
      <c r="BV20" vm="7029">
        <f ca="1"/>
        <v>206.48</v>
      </c>
      <c r="BW20" vm="7030">
        <f ca="1"/>
        <v>207.99</v>
      </c>
      <c r="BX20" vm="7031">
        <f ca="1"/>
        <v>209.53</v>
      </c>
      <c r="BY20" vm="7032">
        <f ca="1"/>
        <v>195.23</v>
      </c>
      <c r="BZ20" vm="7033">
        <f ca="1"/>
        <v>182.37</v>
      </c>
      <c r="CA20" vm="7034">
        <f ca="1"/>
        <v>183.46</v>
      </c>
      <c r="CB20" vm="7035">
        <f ca="1"/>
        <v>179.73</v>
      </c>
      <c r="CC20" vm="7036">
        <f ca="1"/>
        <v>203.86</v>
      </c>
      <c r="CD20" vm="7037">
        <f ca="1"/>
        <v>194.37</v>
      </c>
      <c r="CE20" vm="5790">
        <f ca="1"/>
        <v>198.35</v>
      </c>
      <c r="CF20" vm="7038">
        <f ca="1"/>
        <v>200.16</v>
      </c>
      <c r="CG20" vm="7039">
        <f ca="1"/>
        <v>200.89</v>
      </c>
      <c r="CH20" vm="7040">
        <f ca="1"/>
        <v>193.91</v>
      </c>
      <c r="CI20" vm="7041">
        <f ca="1"/>
        <v>192.86</v>
      </c>
      <c r="CJ20" vm="7042">
        <f ca="1"/>
        <v>187.88</v>
      </c>
      <c r="CK20" vm="7043">
        <f ca="1"/>
        <v>192.46</v>
      </c>
      <c r="CL20" vm="7044">
        <f ca="1"/>
        <v>198.04</v>
      </c>
      <c r="CM20" vm="7045">
        <f ca="1"/>
        <v>205.43</v>
      </c>
      <c r="CN20" vm="4080">
        <f ca="1"/>
        <v>208.47</v>
      </c>
      <c r="CO20" vm="4127">
        <f ca="1"/>
        <v>208.13</v>
      </c>
      <c r="CP20" vm="7046">
        <f ca="1"/>
        <v>209.1</v>
      </c>
      <c r="CQ20" vm="7047">
        <f ca="1"/>
        <v>209.97</v>
      </c>
      <c r="CR20" vm="5824">
        <f ca="1"/>
        <v>213.05</v>
      </c>
      <c r="CS20" vm="7048">
        <f ca="1"/>
        <v>216.61</v>
      </c>
      <c r="CT20" vm="7049">
        <f ca="1"/>
        <v>215.46</v>
      </c>
      <c r="CU20" vm="7050">
        <f ca="1"/>
        <v>213.67</v>
      </c>
      <c r="CV20" vm="7051">
        <f ca="1"/>
        <v>215.81</v>
      </c>
      <c r="CW20" vm="7052">
        <f ca="1"/>
        <v>217.87</v>
      </c>
      <c r="CX20" vm="7053">
        <f ca="1"/>
        <v>217.6</v>
      </c>
      <c r="CY20" vm="6995">
        <f ca="1"/>
        <v>227.7</v>
      </c>
      <c r="CZ20" vm="7054">
        <f ca="1"/>
        <v>232.62</v>
      </c>
      <c r="DA20" vm="7055">
        <f ca="1"/>
        <v>234.13</v>
      </c>
      <c r="DB20" vm="7056">
        <f ca="1"/>
        <v>234.45</v>
      </c>
      <c r="DC20" vm="7057">
        <f ca="1"/>
        <v>234.89</v>
      </c>
      <c r="DD20" vm="7058">
        <f ca="1"/>
        <v>234.55</v>
      </c>
      <c r="DE20" vm="4197">
        <f ca="1"/>
        <v>233.67</v>
      </c>
      <c r="DF20" vm="7059">
        <f ca="1"/>
        <v>229.28</v>
      </c>
      <c r="DG20" vm="7060">
        <f ca="1"/>
        <v>229.34</v>
      </c>
      <c r="DH20" vm="4183">
        <f ca="1"/>
        <v>226.81</v>
      </c>
      <c r="DI20" vm="7061">
        <f ca="1"/>
        <v>232.2</v>
      </c>
      <c r="DJ20" vm="7062">
        <f ca="1"/>
        <v>231.24</v>
      </c>
      <c r="DK20" vm="7063">
        <f ca="1"/>
        <v>231.63</v>
      </c>
      <c r="DL20" vm="7064">
        <f ca="1"/>
        <v>230.91</v>
      </c>
      <c r="DM20" vm="7065">
        <f ca="1"/>
        <v>232.95</v>
      </c>
      <c r="DN20" vm="7066">
        <f ca="1"/>
        <v>236.45</v>
      </c>
      <c r="DO20" vm="7067">
        <f ca="1"/>
        <v>236.8</v>
      </c>
      <c r="DP20" vm="7068">
        <f ca="1"/>
        <v>236.13</v>
      </c>
      <c r="DQ20" vm="7069">
        <f ca="1"/>
        <v>238.36</v>
      </c>
      <c r="DR20" vm="7070">
        <f ca="1"/>
        <v>239.53</v>
      </c>
      <c r="DS20" vm="7071">
        <f ca="1"/>
        <v>240.87</v>
      </c>
      <c r="DT20" vm="7072">
        <f ca="1"/>
        <v>240.34</v>
      </c>
      <c r="DU20" vm="7073">
        <f ca="1"/>
        <v>242.57</v>
      </c>
      <c r="DV20" vm="5895">
        <f ca="1"/>
        <v>239.17</v>
      </c>
      <c r="DW20" vm="7074">
        <f ca="1"/>
        <v>243.04</v>
      </c>
      <c r="DX20" vm="7075">
        <f ca="1"/>
        <v>241.32</v>
      </c>
      <c r="DY20" vm="4243">
        <f ca="1"/>
        <v>241.61</v>
      </c>
      <c r="DZ20" vm="7076">
        <f ca="1"/>
        <v>240.54</v>
      </c>
      <c r="EA20" vm="7077">
        <f ca="1"/>
        <v>242.88</v>
      </c>
      <c r="EB20" vm="245">
        <f ca="1"/>
        <v>247.24</v>
      </c>
      <c r="EC20" vm="7078">
        <f ca="1"/>
        <v>249.35</v>
      </c>
      <c r="ED20" vm="7079">
        <f ca="1"/>
        <v>251.07</v>
      </c>
      <c r="EE20" vm="237">
        <f ca="1"/>
        <v>250.77</v>
      </c>
      <c r="EF20" vm="7080">
        <f ca="1"/>
        <v>253.23</v>
      </c>
      <c r="EG20" vm="7081">
        <f ca="1"/>
        <v>250.97</v>
      </c>
      <c r="EH20" vm="7082">
        <f ca="1"/>
        <v>253.62</v>
      </c>
      <c r="EI20" vm="7083">
        <f ca="1"/>
        <v>256.95999999999998</v>
      </c>
      <c r="EJ20" vm="7084">
        <f ca="1"/>
        <v>254.92</v>
      </c>
      <c r="EK20" vm="7085">
        <f ca="1"/>
        <v>256.29000000000002</v>
      </c>
      <c r="EL20" vm="7086">
        <f ca="1"/>
        <v>257.83</v>
      </c>
      <c r="EM20" vm="7087">
        <f ca="1"/>
        <v>256.98</v>
      </c>
      <c r="EN20" vm="7088">
        <f ca="1"/>
        <v>255.85</v>
      </c>
      <c r="EO20" vm="7089">
        <f ca="1"/>
        <v>255.64</v>
      </c>
      <c r="EP20" vm="7090">
        <f ca="1"/>
        <v>257.91000000000003</v>
      </c>
      <c r="EQ20" vm="7091">
        <f ca="1"/>
        <v>258.70999999999998</v>
      </c>
      <c r="ER20" vm="7092">
        <f ca="1"/>
        <v>261.06</v>
      </c>
      <c r="ES20" vm="7093">
        <f ca="1"/>
        <v>260.89</v>
      </c>
      <c r="ET20" vm="7094">
        <f ca="1"/>
        <v>261.23</v>
      </c>
      <c r="EU20" vm="7095">
        <f ca="1"/>
        <v>258.81</v>
      </c>
      <c r="EV20" vm="7096">
        <f ca="1"/>
        <v>260.29000000000002</v>
      </c>
      <c r="EW20" vm="7097">
        <f ca="1"/>
        <v>261.39</v>
      </c>
      <c r="EX20" vm="7098">
        <f ca="1"/>
        <v>261.99</v>
      </c>
      <c r="EY20" vm="7099">
        <f ca="1"/>
        <v>264.08</v>
      </c>
      <c r="EZ20" vm="7100">
        <f ca="1"/>
        <v>264.08999999999997</v>
      </c>
      <c r="FA20" vm="7101">
        <f ca="1"/>
        <v>264.68</v>
      </c>
      <c r="FB20" vm="7102">
        <f ca="1"/>
        <v>262.74</v>
      </c>
      <c r="FC20" vm="7103">
        <f ca="1"/>
        <v>257.07</v>
      </c>
      <c r="FD20" vm="7104">
        <f ca="1"/>
        <v>262.29000000000002</v>
      </c>
      <c r="FE20" vm="7105">
        <f ca="1"/>
        <v>260.12</v>
      </c>
      <c r="FF20" vm="7106">
        <f ca="1"/>
        <v>263.05</v>
      </c>
      <c r="FG20" vm="7107">
        <f ca="1"/>
        <v>263.29000000000002</v>
      </c>
      <c r="FH20" vm="7108">
        <f ca="1"/>
        <v>265.92</v>
      </c>
      <c r="FI20" vm="7109">
        <f ca="1"/>
        <v>264.12</v>
      </c>
      <c r="FJ20" vm="7110">
        <f ca="1"/>
        <v>268.20999999999998</v>
      </c>
      <c r="FK20" vm="7111">
        <f ca="1"/>
        <v>268.31</v>
      </c>
      <c r="FL20" vm="7112">
        <f ca="1"/>
        <v>267.73</v>
      </c>
      <c r="FM20" vm="7113">
        <f ca="1"/>
        <v>265.7</v>
      </c>
      <c r="FN20" vm="7114">
        <f ca="1"/>
        <v>266.27</v>
      </c>
      <c r="FO20" vm="7115">
        <f ca="1"/>
        <v>261.62</v>
      </c>
      <c r="FP20" vm="7116">
        <f ca="1"/>
        <v>259.85000000000002</v>
      </c>
      <c r="FQ20" vm="7117">
        <f ca="1"/>
        <v>258.91000000000003</v>
      </c>
      <c r="FR20" vm="7118">
        <f ca="1"/>
        <v>262.42</v>
      </c>
      <c r="FS20" vm="7119">
        <f ca="1"/>
        <v>261.83</v>
      </c>
      <c r="FT20" vm="7120">
        <f ca="1"/>
        <v>263.02999999999997</v>
      </c>
      <c r="FU20" vm="7121">
        <f ca="1"/>
        <v>264.45</v>
      </c>
      <c r="FV20" vm="7122">
        <f ca="1"/>
        <v>266.54000000000002</v>
      </c>
      <c r="FW20" vm="7123">
        <f ca="1"/>
        <v>262.45</v>
      </c>
      <c r="FX20" vm="7124">
        <f ca="1"/>
        <v>259.8</v>
      </c>
      <c r="FY20" vm="7125">
        <f ca="1"/>
        <v>261.35000000000002</v>
      </c>
      <c r="FZ20" vm="7126">
        <f ca="1"/>
        <v>262.64</v>
      </c>
      <c r="GA20" vm="7127">
        <f ca="1"/>
        <v>262.86</v>
      </c>
      <c r="GB20" vm="7128">
        <f ca="1"/>
        <v>264.83</v>
      </c>
      <c r="GC20" vm="7129">
        <f ca="1"/>
        <v>265.33999999999997</v>
      </c>
      <c r="GD20" vm="7130">
        <f ca="1"/>
        <v>270.14999999999998</v>
      </c>
      <c r="GE20" vm="7131">
        <f ca="1"/>
        <v>271.06</v>
      </c>
      <c r="GF20" vm="7132">
        <f ca="1"/>
        <v>270.88</v>
      </c>
      <c r="GG20" vm="929">
        <f ca="1"/>
        <v>273.32</v>
      </c>
      <c r="GH20" vm="7133">
        <f ca="1"/>
        <v>272.37</v>
      </c>
      <c r="GI20" vm="7134">
        <f ca="1"/>
        <v>271.43</v>
      </c>
      <c r="GJ20" vm="7135">
        <f ca="1"/>
        <v>276.12</v>
      </c>
      <c r="GK20" vm="7136">
        <f ca="1"/>
        <v>278.92</v>
      </c>
      <c r="GL20" vm="7137">
        <f ca="1"/>
        <v>282.66000000000003</v>
      </c>
      <c r="GM20" vm="7138">
        <f ca="1"/>
        <v>280.22000000000003</v>
      </c>
      <c r="GN20" vm="7139">
        <f ca="1"/>
        <v>278.49</v>
      </c>
      <c r="GO20" vm="7140">
        <f ca="1"/>
        <v>278</v>
      </c>
      <c r="GP20" vm="7141">
        <f ca="1"/>
        <v>278.83999999999997</v>
      </c>
      <c r="GQ20" vm="7142">
        <f ca="1"/>
        <v>280.33</v>
      </c>
      <c r="GR20" vm="7143">
        <f ca="1"/>
        <v>281.86</v>
      </c>
      <c r="GS20" vm="7144">
        <f ca="1"/>
        <v>284.62</v>
      </c>
      <c r="GT20" vm="7145">
        <f ca="1"/>
        <v>286.16000000000003</v>
      </c>
      <c r="GU20" vm="7146">
        <f ca="1"/>
        <v>284.72000000000003</v>
      </c>
      <c r="GV20" vm="7147">
        <f ca="1"/>
        <v>287.60000000000002</v>
      </c>
      <c r="GW20" vm="7148">
        <f ca="1"/>
        <v>285.68</v>
      </c>
      <c r="GX20" vm="7149">
        <f ca="1"/>
        <v>290.69</v>
      </c>
      <c r="GY20" vm="7150">
        <f ca="1"/>
        <v>290.2</v>
      </c>
      <c r="GZ20" vm="7151">
        <f ca="1"/>
        <v>278.39</v>
      </c>
      <c r="HA20" vm="7152">
        <f ca="1"/>
        <v>285.17</v>
      </c>
      <c r="HB20" vm="7153">
        <f ca="1"/>
        <v>281.51</v>
      </c>
      <c r="HC20" vm="7154">
        <f ca="1"/>
        <v>284.3</v>
      </c>
      <c r="HD20" vm="7155">
        <f ca="1"/>
        <v>284.51</v>
      </c>
      <c r="HE20" vm="5418">
        <f ca="1"/>
        <v>285.01</v>
      </c>
      <c r="HF20" vm="7156">
        <f ca="1"/>
        <v>288.19</v>
      </c>
      <c r="HG20" vm="7157">
        <f ca="1"/>
        <v>288.33999999999997</v>
      </c>
      <c r="HH20" vm="7158">
        <f ca="1"/>
        <v>285.49</v>
      </c>
      <c r="HI20" vm="7159">
        <f ca="1"/>
        <v>289.08999999999997</v>
      </c>
      <c r="HJ20" vm="7160">
        <f ca="1"/>
        <v>293.58</v>
      </c>
      <c r="HK20" vm="7161">
        <f ca="1"/>
        <v>299</v>
      </c>
      <c r="HL20" vm="7162">
        <f ca="1"/>
        <v>301.95999999999998</v>
      </c>
      <c r="HM20" vm="7163">
        <f ca="1"/>
        <v>304.13</v>
      </c>
      <c r="HN20" vm="7164">
        <f ca="1"/>
        <v>300.39</v>
      </c>
      <c r="HO20" vm="7165">
        <f ca="1"/>
        <v>300.68</v>
      </c>
      <c r="HP20" vm="7166">
        <f ca="1"/>
        <v>301.91000000000003</v>
      </c>
      <c r="HQ20" vm="7167">
        <f ca="1"/>
        <v>293.94</v>
      </c>
      <c r="HR20" vm="7168">
        <f ca="1"/>
        <v>295.08999999999997</v>
      </c>
      <c r="HS20" vm="7169">
        <f ca="1"/>
        <v>289.16000000000003</v>
      </c>
      <c r="HT20" vm="7170">
        <f ca="1"/>
        <v>288.16000000000003</v>
      </c>
      <c r="HU20" vm="7171">
        <f ca="1"/>
        <v>295.52999999999997</v>
      </c>
      <c r="HV20" vm="1343">
        <f ca="1"/>
        <v>293.01</v>
      </c>
      <c r="HW20" vm="5437">
        <f ca="1"/>
        <v>293.92</v>
      </c>
      <c r="HX20" vm="7172">
        <f ca="1"/>
        <v>286.58999999999997</v>
      </c>
      <c r="HY20" vm="7173">
        <f ca="1"/>
        <v>288.14999999999998</v>
      </c>
      <c r="HZ20" vm="7174">
        <f ca="1"/>
        <v>283.64</v>
      </c>
      <c r="IA20" vm="7175">
        <f ca="1"/>
        <v>279.02999999999997</v>
      </c>
      <c r="IB20" vm="568">
        <f ca="1"/>
        <v>280.97000000000003</v>
      </c>
      <c r="IC20" vm="569">
        <f ca="1"/>
        <v>272.14999999999998</v>
      </c>
      <c r="ID20" vm="570">
        <f ca="1"/>
        <v>273.2</v>
      </c>
      <c r="IE20" vm="571">
        <f ca="1"/>
        <v>279.70999999999998</v>
      </c>
      <c r="IF20" vm="572">
        <f ca="1"/>
        <v>280.45999999999998</v>
      </c>
      <c r="IG20" vm="573">
        <f ca="1"/>
        <v>283.77999999999997</v>
      </c>
      <c r="IH20" vm="574">
        <f ca="1"/>
        <v>286.22000000000003</v>
      </c>
      <c r="II20" vm="575">
        <f ca="1"/>
        <v>286.35000000000002</v>
      </c>
      <c r="IJ20" vm="576">
        <f ca="1"/>
        <v>144.65</v>
      </c>
      <c r="IK20" vm="577">
        <f ca="1"/>
        <v>144.995</v>
      </c>
      <c r="IL20" vm="578">
        <f ca="1"/>
        <v>145.535</v>
      </c>
      <c r="IM20" vm="579">
        <f ca="1"/>
        <v>146.6</v>
      </c>
      <c r="IN20" vm="580">
        <f ca="1"/>
        <v>147.63</v>
      </c>
      <c r="IO20" vm="581">
        <f ca="1"/>
        <v>148.02000000000001</v>
      </c>
      <c r="IP20" vm="582">
        <f ca="1"/>
        <v>148.72999999999999</v>
      </c>
      <c r="IQ20" vm="583">
        <f ca="1"/>
        <v>147.97</v>
      </c>
      <c r="IR20" vm="584">
        <f ca="1"/>
        <v>143.69</v>
      </c>
      <c r="IS20" vm="585">
        <f ca="1"/>
        <v>142.30000000000001</v>
      </c>
      <c r="IT20" vm="586">
        <f ca="1"/>
        <v>142.56</v>
      </c>
      <c r="IU20" vm="587">
        <f ca="1"/>
        <v>139.38999999999999</v>
      </c>
      <c r="IV20" vm="588">
        <f ca="1"/>
        <v>141.54</v>
      </c>
      <c r="IW20" vm="20">
        <f ca="1"/>
        <v>144.6</v>
      </c>
    </row>
    <row r="21" spans="1:257" ht="17" thickBot="1" x14ac:dyDescent="0.25">
      <c r="A21" s="11" t="e" vm="589">
        <v>#VALUE!</v>
      </c>
      <c r="B21" s="23" t="str" cm="1">
        <f t="array" aca="1" ref="B21" ca="1">_FV(A21,"ticker symbol",TRUE)</f>
        <v>XLU</v>
      </c>
      <c r="C21" s="23" t="str" cm="1">
        <f t="array" aca="1" ref="C21" ca="1">_FV(A21,"Name")</f>
        <v>Sel Sector:Utl SS SPDR</v>
      </c>
      <c r="D21" cm="1" vm="7176">
        <f t="array" aca="1" ref="D21:IW21" ca="1">TRANSPOSE(_xlfn.STOCKHISTORY(B21, WORKDAY(TODAY(), -265), TODAY(), 0, 0, 1))</f>
        <v>77.02</v>
      </c>
      <c r="E21" s="23" vm="7177">
        <f ca="1"/>
        <v>76.7</v>
      </c>
      <c r="F21" s="23" vm="7178">
        <f ca="1"/>
        <v>74.89</v>
      </c>
      <c r="G21" s="23" vm="7179">
        <f ca="1"/>
        <v>75.23</v>
      </c>
      <c r="H21" s="23" vm="6059">
        <f ca="1"/>
        <v>76.430000000000007</v>
      </c>
      <c r="I21" s="23" vm="7180">
        <f ca="1"/>
        <v>76.06</v>
      </c>
      <c r="J21" s="23" vm="7181">
        <f ca="1"/>
        <v>76.48</v>
      </c>
      <c r="K21" s="23" vm="7182">
        <f ca="1"/>
        <v>76.3</v>
      </c>
      <c r="L21" s="23" vm="7183">
        <f ca="1"/>
        <v>76.08</v>
      </c>
      <c r="M21" s="23" vm="801">
        <f ca="1"/>
        <v>75.760000000000005</v>
      </c>
      <c r="N21" s="23" vm="7184">
        <f ca="1"/>
        <v>75.69</v>
      </c>
      <c r="O21" s="23" vm="7185">
        <f ca="1"/>
        <v>76.27</v>
      </c>
      <c r="P21" s="23" vm="7186">
        <f ca="1"/>
        <v>77.08</v>
      </c>
      <c r="Q21" s="23" vm="7187">
        <f ca="1"/>
        <v>76.22</v>
      </c>
      <c r="R21" s="23" vm="7188">
        <f ca="1"/>
        <v>76.03</v>
      </c>
      <c r="S21" s="23" vm="7189">
        <f ca="1"/>
        <v>76.010000000000005</v>
      </c>
      <c r="T21" s="23" vm="7190">
        <f ca="1"/>
        <v>75.58</v>
      </c>
      <c r="U21" s="23" vm="7191">
        <f ca="1"/>
        <v>74.7</v>
      </c>
      <c r="V21" s="23" vm="6054">
        <f ca="1"/>
        <v>75.680000000000007</v>
      </c>
      <c r="W21" s="23" vm="7192">
        <f ca="1"/>
        <v>76.790000000000006</v>
      </c>
      <c r="X21" s="23" vm="7193">
        <f ca="1"/>
        <v>78.73</v>
      </c>
      <c r="Y21" s="23" vm="7194">
        <f ca="1"/>
        <v>78.84</v>
      </c>
      <c r="Z21" s="23" vm="7195">
        <f ca="1"/>
        <v>80.05</v>
      </c>
      <c r="AA21" s="23" vm="7196">
        <f ca="1"/>
        <v>78.319999999999993</v>
      </c>
      <c r="AB21" s="23" vm="7197">
        <f ca="1"/>
        <v>78.69</v>
      </c>
      <c r="AC21" s="23" vm="2655">
        <f ca="1"/>
        <v>79.489999999999995</v>
      </c>
      <c r="AD21" vm="7198">
        <f ca="1"/>
        <v>77.650000000000006</v>
      </c>
      <c r="AE21" vm="6051">
        <f ca="1"/>
        <v>76.58</v>
      </c>
      <c r="AF21" vm="7199">
        <f ca="1"/>
        <v>76.739999999999995</v>
      </c>
      <c r="AG21" vm="7200">
        <f ca="1"/>
        <v>78.34</v>
      </c>
      <c r="AH21" vm="6771">
        <f ca="1"/>
        <v>77.88</v>
      </c>
      <c r="AI21" vm="7201">
        <f ca="1"/>
        <v>78.3</v>
      </c>
      <c r="AJ21" vm="7202">
        <f ca="1"/>
        <v>77.61</v>
      </c>
      <c r="AK21" vm="7203">
        <f ca="1"/>
        <v>78.39</v>
      </c>
      <c r="AL21" vm="7201">
        <f ca="1"/>
        <v>78.3</v>
      </c>
      <c r="AM21" vm="7204">
        <f ca="1"/>
        <v>78.14</v>
      </c>
      <c r="AN21" vm="7205">
        <f ca="1"/>
        <v>78.989999999999995</v>
      </c>
      <c r="AO21" vm="7206">
        <f ca="1"/>
        <v>79.39</v>
      </c>
      <c r="AP21" vm="7207">
        <f ca="1"/>
        <v>79.25</v>
      </c>
      <c r="AQ21" vm="7208">
        <f ca="1"/>
        <v>79.430000000000007</v>
      </c>
      <c r="AR21" vm="7209">
        <f ca="1"/>
        <v>79.099999999999994</v>
      </c>
      <c r="AS21" vm="5942">
        <f ca="1"/>
        <v>79.84</v>
      </c>
      <c r="AT21" vm="6025">
        <f ca="1"/>
        <v>80.260000000000005</v>
      </c>
      <c r="AU21" vm="7210">
        <f ca="1"/>
        <v>80.25</v>
      </c>
      <c r="AV21" vm="7211">
        <f ca="1"/>
        <v>80.27</v>
      </c>
      <c r="AW21" vm="1877">
        <f ca="1"/>
        <v>79.87</v>
      </c>
      <c r="AX21" vm="5940">
        <f ca="1"/>
        <v>79.47</v>
      </c>
      <c r="AY21" vm="7212">
        <f ca="1"/>
        <v>79.8</v>
      </c>
      <c r="AZ21" vm="6040">
        <f ca="1"/>
        <v>78.03</v>
      </c>
      <c r="BA21" vm="6049">
        <f ca="1"/>
        <v>79.22</v>
      </c>
      <c r="BB21" vm="5957">
        <f ca="1"/>
        <v>79.33</v>
      </c>
      <c r="BC21" vm="6044">
        <f ca="1"/>
        <v>78.040000000000006</v>
      </c>
      <c r="BD21" vm="7213">
        <f ca="1"/>
        <v>77.489999999999995</v>
      </c>
      <c r="BE21" vm="1823">
        <f ca="1"/>
        <v>75.88</v>
      </c>
      <c r="BF21" vm="7214">
        <f ca="1"/>
        <v>77.290000000000006</v>
      </c>
      <c r="BG21" vm="7204">
        <f ca="1"/>
        <v>78.14</v>
      </c>
      <c r="BH21" vm="7215">
        <f ca="1"/>
        <v>77.41</v>
      </c>
      <c r="BI21" vm="7216">
        <f ca="1"/>
        <v>77.17</v>
      </c>
      <c r="BJ21" vm="1958">
        <f ca="1"/>
        <v>77.36</v>
      </c>
      <c r="BK21" vm="7217">
        <f ca="1"/>
        <v>78.87</v>
      </c>
      <c r="BL21" vm="1834">
        <f ca="1"/>
        <v>79.2</v>
      </c>
      <c r="BM21" vm="7218">
        <f ca="1"/>
        <v>78.650000000000006</v>
      </c>
      <c r="BN21" vm="7219">
        <f ca="1"/>
        <v>78.94</v>
      </c>
      <c r="BO21" vm="7220">
        <f ca="1"/>
        <v>79.260000000000005</v>
      </c>
      <c r="BP21" vm="7221">
        <f ca="1"/>
        <v>78.75</v>
      </c>
      <c r="BQ21" vm="7222">
        <f ca="1"/>
        <v>78.17</v>
      </c>
      <c r="BR21" vm="7223">
        <f ca="1"/>
        <v>76.92</v>
      </c>
      <c r="BS21" vm="6060">
        <f ca="1"/>
        <v>77.430000000000007</v>
      </c>
      <c r="BT21" vm="7215">
        <f ca="1"/>
        <v>77.41</v>
      </c>
      <c r="BU21" vm="7224">
        <f ca="1"/>
        <v>77.98</v>
      </c>
      <c r="BV21" vm="7225">
        <f ca="1"/>
        <v>78.849999999999994</v>
      </c>
      <c r="BW21" vm="6129">
        <f ca="1"/>
        <v>79.05</v>
      </c>
      <c r="BX21" vm="440">
        <f ca="1"/>
        <v>79.42</v>
      </c>
      <c r="BY21" vm="5916">
        <f ca="1"/>
        <v>78.92</v>
      </c>
      <c r="BZ21" vm="7226">
        <f ca="1"/>
        <v>74.53</v>
      </c>
      <c r="CA21" vm="7227">
        <f ca="1"/>
        <v>73.39</v>
      </c>
      <c r="CB21" vm="7228">
        <f ca="1"/>
        <v>73.09</v>
      </c>
      <c r="CC21" vm="7229">
        <f ca="1"/>
        <v>75.97</v>
      </c>
      <c r="CD21" vm="7230">
        <f ca="1"/>
        <v>75.400000000000006</v>
      </c>
      <c r="CE21" vm="7231">
        <f ca="1"/>
        <v>76.319999999999993</v>
      </c>
      <c r="CF21" vm="7232">
        <f ca="1"/>
        <v>77.69</v>
      </c>
      <c r="CG21" vm="7233">
        <f ca="1"/>
        <v>77.680000000000007</v>
      </c>
      <c r="CH21" vm="4519">
        <f ca="1"/>
        <v>76.98</v>
      </c>
      <c r="CI21" vm="6036">
        <f ca="1"/>
        <v>77.77</v>
      </c>
      <c r="CJ21" vm="7234">
        <f ca="1"/>
        <v>75.930000000000007</v>
      </c>
      <c r="CK21" vm="7235">
        <f ca="1"/>
        <v>78</v>
      </c>
      <c r="CL21" vm="958">
        <f ca="1"/>
        <v>78.33</v>
      </c>
      <c r="CM21" vm="434">
        <f ca="1"/>
        <v>78.45</v>
      </c>
      <c r="CN21" vm="7236">
        <f ca="1"/>
        <v>78.209999999999994</v>
      </c>
      <c r="CO21" vm="7197">
        <f ca="1"/>
        <v>78.69</v>
      </c>
      <c r="CP21" vm="5919">
        <f ca="1"/>
        <v>79.3</v>
      </c>
      <c r="CQ21" vm="7237">
        <f ca="1"/>
        <v>78.900000000000006</v>
      </c>
      <c r="CR21" vm="7238">
        <f ca="1"/>
        <v>79.13</v>
      </c>
      <c r="CS21" vm="5960">
        <f ca="1"/>
        <v>79.75</v>
      </c>
      <c r="CT21" vm="7239">
        <f ca="1"/>
        <v>79.55</v>
      </c>
      <c r="CU21" vm="6134">
        <f ca="1"/>
        <v>80.52</v>
      </c>
      <c r="CV21" vm="6777">
        <f ca="1"/>
        <v>80.75</v>
      </c>
      <c r="CW21" vm="7240">
        <f ca="1"/>
        <v>80.099999999999994</v>
      </c>
      <c r="CX21" vm="6007">
        <f ca="1"/>
        <v>80.239999999999995</v>
      </c>
      <c r="CY21" vm="1949">
        <f ca="1"/>
        <v>79.760000000000005</v>
      </c>
      <c r="CZ21" vm="443">
        <f ca="1"/>
        <v>79.650000000000006</v>
      </c>
      <c r="DA21" vm="5919">
        <f ca="1"/>
        <v>79.3</v>
      </c>
      <c r="DB21" vm="7241">
        <f ca="1"/>
        <v>80.989999999999995</v>
      </c>
      <c r="DC21" vm="5947">
        <f ca="1"/>
        <v>82.18</v>
      </c>
      <c r="DD21" vm="2661">
        <f ca="1"/>
        <v>82.53</v>
      </c>
      <c r="DE21" vm="3171">
        <f ca="1"/>
        <v>82.77</v>
      </c>
      <c r="DF21" vm="7242">
        <f ca="1"/>
        <v>81.260000000000005</v>
      </c>
      <c r="DG21" vm="7240">
        <f ca="1"/>
        <v>80.099999999999994</v>
      </c>
      <c r="DH21" vm="1923">
        <f ca="1"/>
        <v>81.06</v>
      </c>
      <c r="DI21" vm="5967">
        <f ca="1"/>
        <v>81.67</v>
      </c>
      <c r="DJ21" vm="6003">
        <f ca="1"/>
        <v>80.53</v>
      </c>
      <c r="DK21" vm="1963">
        <f ca="1"/>
        <v>81.09</v>
      </c>
      <c r="DL21" vm="2658">
        <f ca="1"/>
        <v>81.92</v>
      </c>
      <c r="DM21" vm="5947">
        <f ca="1"/>
        <v>82.18</v>
      </c>
      <c r="DN21" vm="1885">
        <f ca="1"/>
        <v>82.4</v>
      </c>
      <c r="DO21" vm="6001">
        <f ca="1"/>
        <v>80.959999999999994</v>
      </c>
      <c r="DP21" vm="6775">
        <f ca="1"/>
        <v>80.83</v>
      </c>
      <c r="DQ21" vm="2656">
        <f ca="1"/>
        <v>81.19</v>
      </c>
      <c r="DR21" vm="5959">
        <f ca="1"/>
        <v>80.67</v>
      </c>
      <c r="DS21" vm="1962">
        <f ca="1"/>
        <v>80.86</v>
      </c>
      <c r="DT21" vm="5986">
        <f ca="1"/>
        <v>80.91</v>
      </c>
      <c r="DU21" vm="6021">
        <f ca="1"/>
        <v>81.89</v>
      </c>
      <c r="DV21" vm="1882">
        <f ca="1"/>
        <v>81.42</v>
      </c>
      <c r="DW21" vm="6005">
        <f ca="1"/>
        <v>81.02</v>
      </c>
      <c r="DX21" vm="5972">
        <f ca="1"/>
        <v>80.349999999999994</v>
      </c>
      <c r="DY21" vm="7243">
        <f ca="1"/>
        <v>80.56</v>
      </c>
      <c r="DZ21" vm="6026">
        <f ca="1"/>
        <v>80.78</v>
      </c>
      <c r="EA21" vm="5980">
        <f ca="1"/>
        <v>81.239999999999995</v>
      </c>
      <c r="EB21" vm="7244">
        <f ca="1"/>
        <v>81.59</v>
      </c>
      <c r="EC21" vm="6132">
        <f ca="1"/>
        <v>80.5</v>
      </c>
      <c r="ED21" vm="7245">
        <f ca="1"/>
        <v>81.17</v>
      </c>
      <c r="EE21" vm="1486">
        <f ca="1"/>
        <v>81.33</v>
      </c>
      <c r="EF21" vm="7246">
        <f ca="1"/>
        <v>81.66</v>
      </c>
      <c r="EG21" vm="1927">
        <f ca="1"/>
        <v>81.94</v>
      </c>
      <c r="EH21" vm="5946">
        <f ca="1"/>
        <v>81.23</v>
      </c>
      <c r="EI21" vm="1485">
        <f ca="1"/>
        <v>81.84</v>
      </c>
      <c r="EJ21" vm="7247">
        <f ca="1"/>
        <v>82.01</v>
      </c>
      <c r="EK21" vm="5987">
        <f ca="1"/>
        <v>81.14</v>
      </c>
      <c r="EL21" vm="7248">
        <f ca="1"/>
        <v>81.900000000000006</v>
      </c>
      <c r="EM21" vm="7249">
        <f ca="1"/>
        <v>82.57</v>
      </c>
      <c r="EN21" vm="7250">
        <f ca="1"/>
        <v>82.45</v>
      </c>
      <c r="EO21" vm="7251">
        <f ca="1"/>
        <v>82.78</v>
      </c>
      <c r="EP21" vm="5951">
        <f ca="1"/>
        <v>81.99</v>
      </c>
      <c r="EQ21" vm="7252">
        <f ca="1"/>
        <v>82.03</v>
      </c>
      <c r="ER21" vm="7253">
        <f ca="1"/>
        <v>82.37</v>
      </c>
      <c r="ES21" vm="6742">
        <f ca="1"/>
        <v>83.75</v>
      </c>
      <c r="ET21" vm="7254">
        <f ca="1"/>
        <v>84.02</v>
      </c>
      <c r="EU21" vm="1972">
        <f ca="1"/>
        <v>85.05</v>
      </c>
      <c r="EV21" vm="7255">
        <f ca="1"/>
        <v>84.41</v>
      </c>
      <c r="EW21" vm="6783">
        <f ca="1"/>
        <v>84.3</v>
      </c>
      <c r="EX21" vm="7256">
        <f ca="1"/>
        <v>84.52</v>
      </c>
      <c r="EY21" vm="2664">
        <f ca="1"/>
        <v>83.62</v>
      </c>
      <c r="EZ21" vm="6135">
        <f ca="1"/>
        <v>84.58</v>
      </c>
      <c r="FA21" vm="7257">
        <f ca="1"/>
        <v>85.21</v>
      </c>
      <c r="FB21" vm="1934">
        <f ca="1"/>
        <v>85.67</v>
      </c>
      <c r="FC21" vm="1970">
        <f ca="1"/>
        <v>85.8</v>
      </c>
      <c r="FD21" vm="976">
        <f ca="1"/>
        <v>87.32</v>
      </c>
      <c r="FE21" vm="7258">
        <f ca="1"/>
        <v>86.39</v>
      </c>
      <c r="FF21" vm="7259">
        <f ca="1"/>
        <v>85.62</v>
      </c>
      <c r="FG21" vm="7260">
        <f ca="1"/>
        <v>86.55</v>
      </c>
      <c r="FH21" vm="7261">
        <f ca="1"/>
        <v>86.18</v>
      </c>
      <c r="FI21" vm="7262">
        <f ca="1"/>
        <v>85.91</v>
      </c>
      <c r="FJ21" vm="7263">
        <f ca="1"/>
        <v>86.28</v>
      </c>
      <c r="FK21" vm="7264">
        <f ca="1"/>
        <v>86.47</v>
      </c>
      <c r="FL21" vm="6790">
        <f ca="1"/>
        <v>85.87</v>
      </c>
      <c r="FM21" vm="7259">
        <f ca="1"/>
        <v>85.62</v>
      </c>
      <c r="FN21" vm="6137">
        <f ca="1"/>
        <v>85.25</v>
      </c>
      <c r="FO21" vm="7265">
        <f ca="1"/>
        <v>86.08</v>
      </c>
      <c r="FP21" vm="6787">
        <f ca="1"/>
        <v>86.17</v>
      </c>
      <c r="FQ21" vm="6737">
        <f ca="1"/>
        <v>85.58</v>
      </c>
      <c r="FR21" vm="7266">
        <f ca="1"/>
        <v>86.04</v>
      </c>
      <c r="FS21" vm="6168">
        <f ca="1"/>
        <v>85.07</v>
      </c>
      <c r="FT21" vm="7267">
        <f ca="1"/>
        <v>85.26</v>
      </c>
      <c r="FU21" vm="6210">
        <f ca="1"/>
        <v>85.28</v>
      </c>
      <c r="FV21" vm="7268">
        <f ca="1"/>
        <v>84.63</v>
      </c>
      <c r="FW21" vm="7269">
        <f ca="1"/>
        <v>84.32</v>
      </c>
      <c r="FX21" vm="4527">
        <f ca="1"/>
        <v>84.04</v>
      </c>
      <c r="FY21" vm="7270">
        <f ca="1"/>
        <v>83.83</v>
      </c>
      <c r="FZ21" vm="7271">
        <f ca="1"/>
        <v>83.73</v>
      </c>
      <c r="GA21" vm="7272">
        <f ca="1"/>
        <v>83.47</v>
      </c>
      <c r="GB21" vm="6780">
        <f ca="1"/>
        <v>82.62</v>
      </c>
      <c r="GC21" vm="2666">
        <f ca="1"/>
        <v>83.19</v>
      </c>
      <c r="GD21" vm="7273">
        <f ca="1"/>
        <v>84.62</v>
      </c>
      <c r="GE21" vm="6168">
        <f ca="1"/>
        <v>85.07</v>
      </c>
      <c r="GF21" vm="7274">
        <f ca="1"/>
        <v>85.5</v>
      </c>
      <c r="GG21" vm="6106">
        <f ca="1"/>
        <v>85.7</v>
      </c>
      <c r="GH21" vm="6068">
        <f ca="1"/>
        <v>84.14</v>
      </c>
      <c r="GI21" vm="964">
        <f ca="1"/>
        <v>84.35</v>
      </c>
      <c r="GJ21" vm="7255">
        <f ca="1"/>
        <v>84.41</v>
      </c>
      <c r="GK21" vm="7275">
        <f ca="1"/>
        <v>84.95</v>
      </c>
      <c r="GL21" vm="7276">
        <f ca="1"/>
        <v>85.2</v>
      </c>
      <c r="GM21" vm="6182">
        <f ca="1"/>
        <v>85.64</v>
      </c>
      <c r="GN21" vm="7277">
        <f ca="1"/>
        <v>86.25</v>
      </c>
      <c r="GO21" vm="7278">
        <f ca="1"/>
        <v>85.42</v>
      </c>
      <c r="GP21" vm="6169">
        <f ca="1"/>
        <v>86.81</v>
      </c>
      <c r="GQ21" vm="6762">
        <f ca="1"/>
        <v>87.06</v>
      </c>
      <c r="GR21" vm="6173">
        <f ca="1"/>
        <v>87.21</v>
      </c>
      <c r="GS21" vm="6846">
        <f ca="1"/>
        <v>88.05</v>
      </c>
      <c r="GT21" vm="974">
        <f ca="1"/>
        <v>87.89</v>
      </c>
      <c r="GU21" vm="6203">
        <f ca="1"/>
        <v>88.91</v>
      </c>
      <c r="GV21" vm="4473">
        <f ca="1"/>
        <v>89.77</v>
      </c>
      <c r="GW21" vm="7279">
        <f ca="1"/>
        <v>90.18</v>
      </c>
      <c r="GX21" vm="7280">
        <f ca="1"/>
        <v>90.8</v>
      </c>
      <c r="GY21" vm="1315">
        <f ca="1"/>
        <v>90.57</v>
      </c>
      <c r="GZ21" vm="1716">
        <f ca="1"/>
        <v>90.2</v>
      </c>
      <c r="HA21" vm="7281">
        <f ca="1"/>
        <v>90.89</v>
      </c>
      <c r="HB21" vm="7282">
        <f ca="1"/>
        <v>91.7</v>
      </c>
      <c r="HC21" vm="4480">
        <f ca="1"/>
        <v>92.9</v>
      </c>
      <c r="HD21" vm="7283">
        <f ca="1"/>
        <v>91.89</v>
      </c>
      <c r="HE21" vm="7284">
        <f ca="1"/>
        <v>91.57</v>
      </c>
      <c r="HF21" vm="1723">
        <f ca="1"/>
        <v>91.54</v>
      </c>
      <c r="HG21" vm="7285">
        <f ca="1"/>
        <v>90.61</v>
      </c>
      <c r="HH21" vm="7286">
        <f ca="1"/>
        <v>90.4</v>
      </c>
      <c r="HI21" vm="7287">
        <f ca="1"/>
        <v>90.33</v>
      </c>
      <c r="HJ21" vm="7288">
        <f ca="1"/>
        <v>91.39</v>
      </c>
      <c r="HK21" vm="1721">
        <f ca="1"/>
        <v>91.64</v>
      </c>
      <c r="HL21" vm="7289">
        <f ca="1"/>
        <v>90.13</v>
      </c>
      <c r="HM21" vm="7290">
        <f ca="1"/>
        <v>90.1</v>
      </c>
      <c r="HN21" vm="4474">
        <f ca="1"/>
        <v>89.72</v>
      </c>
      <c r="HO21" vm="7291">
        <f ca="1"/>
        <v>89.1</v>
      </c>
      <c r="HP21" vm="593">
        <f ca="1"/>
        <v>89.15</v>
      </c>
      <c r="HQ21" vm="7292">
        <f ca="1"/>
        <v>88.83</v>
      </c>
      <c r="HR21" vm="2026">
        <f ca="1"/>
        <v>88.85</v>
      </c>
      <c r="HS21" vm="7293">
        <f ca="1"/>
        <v>88.46</v>
      </c>
      <c r="HT21" vm="7294">
        <f ca="1"/>
        <v>89.69</v>
      </c>
      <c r="HU21" vm="4477">
        <f ca="1"/>
        <v>89.66</v>
      </c>
      <c r="HV21" vm="6094">
        <f ca="1"/>
        <v>89.71</v>
      </c>
      <c r="HW21" vm="6758">
        <f ca="1"/>
        <v>89.92</v>
      </c>
      <c r="HX21" vm="1896">
        <f ca="1"/>
        <v>88.68</v>
      </c>
      <c r="HY21" vm="973">
        <f ca="1"/>
        <v>88.76</v>
      </c>
      <c r="HZ21" vm="2027">
        <f ca="1"/>
        <v>89.56</v>
      </c>
      <c r="IA21" vm="2838">
        <f ca="1"/>
        <v>89.22</v>
      </c>
      <c r="IB21" vm="590">
        <f ca="1"/>
        <v>88.47</v>
      </c>
      <c r="IC21" vm="591">
        <f ca="1"/>
        <v>88.02</v>
      </c>
      <c r="ID21" vm="592">
        <f ca="1"/>
        <v>88.15</v>
      </c>
      <c r="IE21" vm="593">
        <f ca="1"/>
        <v>89.15</v>
      </c>
      <c r="IF21" vm="594">
        <f ca="1"/>
        <v>88.81</v>
      </c>
      <c r="IG21" vm="595">
        <f ca="1"/>
        <v>89.99</v>
      </c>
      <c r="IH21" vm="596">
        <f ca="1"/>
        <v>90.63</v>
      </c>
      <c r="II21" vm="597">
        <f ca="1"/>
        <v>88.51</v>
      </c>
      <c r="IJ21" vm="598">
        <f ca="1"/>
        <v>43.94</v>
      </c>
      <c r="IK21" vm="599">
        <f ca="1"/>
        <v>43.8</v>
      </c>
      <c r="IL21" vm="600">
        <f ca="1"/>
        <v>43.71</v>
      </c>
      <c r="IM21" vm="601">
        <f ca="1"/>
        <v>43.3</v>
      </c>
      <c r="IN21" vm="602">
        <f ca="1"/>
        <v>42.72</v>
      </c>
      <c r="IO21" vm="603">
        <f ca="1"/>
        <v>42.75</v>
      </c>
      <c r="IP21" vm="604">
        <f ca="1"/>
        <v>42.73</v>
      </c>
      <c r="IQ21" vm="605">
        <f ca="1"/>
        <v>43.04</v>
      </c>
      <c r="IR21" vm="606">
        <f ca="1"/>
        <v>42.83</v>
      </c>
      <c r="IS21" vm="607">
        <f ca="1"/>
        <v>43.22</v>
      </c>
      <c r="IT21" vm="605">
        <f ca="1"/>
        <v>43.04</v>
      </c>
      <c r="IU21" vm="608">
        <f ca="1"/>
        <v>42.76</v>
      </c>
      <c r="IV21" vm="609">
        <f ca="1"/>
        <v>43.18</v>
      </c>
      <c r="IW21" vm="21">
        <f ca="1"/>
        <v>42.63</v>
      </c>
    </row>
    <row r="22" spans="1:257" ht="16" x14ac:dyDescent="0.2">
      <c r="A22" s="10" t="e" vm="610">
        <v>#VALUE!</v>
      </c>
      <c r="B22" s="23" t="str" cm="1">
        <f t="array" aca="1" ref="B22" ca="1">_FV(A22,"ticker symbol",TRUE)</f>
        <v>SOXX</v>
      </c>
      <c r="C22" s="23" t="str" cm="1">
        <f t="array" aca="1" ref="C22" ca="1">_FV(A22,"Name")</f>
        <v>iShares:Semiconductor</v>
      </c>
      <c r="D22" cm="1" vm="7295">
        <f t="array" aca="1" ref="D22:IW22" ca="1">TRANSPOSE(_xlfn.STOCKHISTORY(B22, WORKDAY(TODAY(), -265), TODAY(), 0, 0, 1))</f>
        <v>227.44</v>
      </c>
      <c r="E22" s="23" vm="7296">
        <f ca="1"/>
        <v>223.87</v>
      </c>
      <c r="F22" s="23" vm="5823">
        <f ca="1"/>
        <v>215.59</v>
      </c>
      <c r="G22" s="23" vm="4152">
        <f ca="1"/>
        <v>211.97</v>
      </c>
      <c r="H22" s="23" vm="7297">
        <f ca="1"/>
        <v>214.82</v>
      </c>
      <c r="I22" s="23" vm="7298">
        <f ca="1"/>
        <v>221.32</v>
      </c>
      <c r="J22" s="23" vm="7299">
        <f ca="1"/>
        <v>223.6</v>
      </c>
      <c r="K22" s="23" vm="7300">
        <f ca="1"/>
        <v>223.53</v>
      </c>
      <c r="L22" s="23" vm="5719">
        <f ca="1"/>
        <v>221.64</v>
      </c>
      <c r="M22" s="23" vm="7301">
        <f ca="1"/>
        <v>217.28</v>
      </c>
      <c r="N22" s="23" vm="7302">
        <f ca="1"/>
        <v>215.49</v>
      </c>
      <c r="O22" s="23" vm="7303">
        <f ca="1"/>
        <v>216.82</v>
      </c>
      <c r="P22" s="23" vm="7304">
        <f ca="1"/>
        <v>222.47</v>
      </c>
      <c r="Q22" s="23" vm="5705">
        <f ca="1"/>
        <v>228.91</v>
      </c>
      <c r="R22" s="23" vm="7305">
        <f ca="1"/>
        <v>225.79</v>
      </c>
      <c r="S22" s="23" vm="7306">
        <f ca="1"/>
        <v>223.54</v>
      </c>
      <c r="T22" s="23" vm="7307">
        <f ca="1"/>
        <v>218.2</v>
      </c>
      <c r="U22" s="23" vm="7308">
        <f ca="1"/>
        <v>217.53</v>
      </c>
      <c r="V22" s="23" vm="7309">
        <f ca="1"/>
        <v>218.96</v>
      </c>
      <c r="W22" s="23" vm="7310">
        <f ca="1"/>
        <v>223.21</v>
      </c>
      <c r="X22" s="23" vm="7306">
        <f ca="1"/>
        <v>223.54</v>
      </c>
      <c r="Y22" s="23" vm="5709">
        <f ca="1"/>
        <v>229.74</v>
      </c>
      <c r="Z22" s="23" vm="7311">
        <f ca="1"/>
        <v>232.45</v>
      </c>
      <c r="AA22" s="23" vm="7312">
        <f ca="1"/>
        <v>235.81</v>
      </c>
      <c r="AB22" s="23" vm="7313">
        <f ca="1"/>
        <v>235.37</v>
      </c>
      <c r="AC22" s="23" vm="7314">
        <f ca="1"/>
        <v>230.64</v>
      </c>
      <c r="AD22" vm="7315">
        <f ca="1"/>
        <v>212.55</v>
      </c>
      <c r="AE22" vm="7316">
        <f ca="1"/>
        <v>213.5</v>
      </c>
      <c r="AF22" vm="7317">
        <f ca="1"/>
        <v>214.38</v>
      </c>
      <c r="AG22" vm="7318">
        <f ca="1"/>
        <v>218.74</v>
      </c>
      <c r="AH22" vm="7319">
        <f ca="1"/>
        <v>218.13</v>
      </c>
      <c r="AI22" vm="7320">
        <f ca="1"/>
        <v>214.2</v>
      </c>
      <c r="AJ22" vm="7321">
        <f ca="1"/>
        <v>216.4</v>
      </c>
      <c r="AK22" vm="7322">
        <f ca="1"/>
        <v>220.59</v>
      </c>
      <c r="AL22" vm="7323">
        <f ca="1"/>
        <v>220.3</v>
      </c>
      <c r="AM22" vm="5806">
        <f ca="1"/>
        <v>216.87</v>
      </c>
      <c r="AN22" vm="7324">
        <f ca="1"/>
        <v>219.7</v>
      </c>
      <c r="AO22" vm="7325">
        <f ca="1"/>
        <v>219.9</v>
      </c>
      <c r="AP22" vm="7326">
        <f ca="1"/>
        <v>220.14</v>
      </c>
      <c r="AQ22" vm="7327">
        <f ca="1"/>
        <v>222.84</v>
      </c>
      <c r="AR22" vm="7328">
        <f ca="1"/>
        <v>223.07</v>
      </c>
      <c r="AS22" vm="7329">
        <f ca="1"/>
        <v>226.76</v>
      </c>
      <c r="AT22" vm="7330">
        <f ca="1"/>
        <v>230.53</v>
      </c>
      <c r="AU22" vm="4030">
        <f ca="1"/>
        <v>231.07</v>
      </c>
      <c r="AV22" vm="7331">
        <f ca="1"/>
        <v>223.98</v>
      </c>
      <c r="AW22" vm="7332">
        <f ca="1"/>
        <v>218.72</v>
      </c>
      <c r="AX22" vm="7333">
        <f ca="1"/>
        <v>214.21</v>
      </c>
      <c r="AY22" vm="7334">
        <f ca="1"/>
        <v>217.94</v>
      </c>
      <c r="AZ22" vm="7335">
        <f ca="1"/>
        <v>205.25</v>
      </c>
      <c r="BA22" vm="7336">
        <f ca="1"/>
        <v>208.52</v>
      </c>
      <c r="BB22" vm="7337">
        <f ca="1"/>
        <v>201.15</v>
      </c>
      <c r="BC22" vm="7338">
        <f ca="1"/>
        <v>202.27</v>
      </c>
      <c r="BD22" vm="7339">
        <f ca="1"/>
        <v>206.63</v>
      </c>
      <c r="BE22" vm="7044">
        <f ca="1"/>
        <v>198.04</v>
      </c>
      <c r="BF22" vm="7340">
        <f ca="1"/>
        <v>203.85</v>
      </c>
      <c r="BG22" vm="7341">
        <f ca="1"/>
        <v>194.42</v>
      </c>
      <c r="BH22" vm="7342">
        <f ca="1"/>
        <v>192.12</v>
      </c>
      <c r="BI22" vm="7343">
        <f ca="1"/>
        <v>196.08</v>
      </c>
      <c r="BJ22" vm="7344">
        <f ca="1"/>
        <v>195.1</v>
      </c>
      <c r="BK22" vm="7345">
        <f ca="1"/>
        <v>201.12</v>
      </c>
      <c r="BL22" vm="1760">
        <f ca="1"/>
        <v>204.44</v>
      </c>
      <c r="BM22" vm="7346">
        <f ca="1"/>
        <v>201.47</v>
      </c>
      <c r="BN22" vm="7347">
        <f ca="1"/>
        <v>203.11</v>
      </c>
      <c r="BO22" vm="7348">
        <f ca="1"/>
        <v>201.49</v>
      </c>
      <c r="BP22" vm="7349">
        <f ca="1"/>
        <v>199.38</v>
      </c>
      <c r="BQ22" vm="7350">
        <f ca="1"/>
        <v>205.3</v>
      </c>
      <c r="BR22" vm="7351">
        <f ca="1"/>
        <v>204.19</v>
      </c>
      <c r="BS22" vm="7352">
        <f ca="1"/>
        <v>198.47</v>
      </c>
      <c r="BT22" vm="7353">
        <f ca="1"/>
        <v>194.56</v>
      </c>
      <c r="BU22" vm="7354">
        <f ca="1"/>
        <v>188.68</v>
      </c>
      <c r="BV22" vm="4411">
        <f ca="1"/>
        <v>188.17</v>
      </c>
      <c r="BW22" vm="4430">
        <f ca="1"/>
        <v>188.27</v>
      </c>
      <c r="BX22" vm="7355">
        <f ca="1"/>
        <v>189.48</v>
      </c>
      <c r="BY22" vm="7356">
        <f ca="1"/>
        <v>170.36</v>
      </c>
      <c r="BZ22" vm="7357">
        <f ca="1"/>
        <v>157.63</v>
      </c>
      <c r="CA22" vm="7358">
        <f ca="1"/>
        <v>161.27000000000001</v>
      </c>
      <c r="CB22" vm="7359">
        <f ca="1"/>
        <v>154.86000000000001</v>
      </c>
      <c r="CC22" vm="7360">
        <f ca="1"/>
        <v>183.62</v>
      </c>
      <c r="CD22" vm="7361">
        <f ca="1"/>
        <v>168.61</v>
      </c>
      <c r="CE22" vm="7362">
        <f ca="1"/>
        <v>172.26</v>
      </c>
      <c r="CF22" vm="7363">
        <f ca="1"/>
        <v>173.4</v>
      </c>
      <c r="CG22" vm="7364">
        <f ca="1"/>
        <v>174.11</v>
      </c>
      <c r="CH22" vm="7365">
        <f ca="1"/>
        <v>167.39</v>
      </c>
      <c r="CI22" vm="7366">
        <f ca="1"/>
        <v>166.55</v>
      </c>
      <c r="CJ22" vm="7367">
        <f ca="1"/>
        <v>163.63999999999999</v>
      </c>
      <c r="CK22" vm="7368">
        <f ca="1"/>
        <v>166.82</v>
      </c>
      <c r="CL22" vm="5242">
        <f ca="1"/>
        <v>173.07</v>
      </c>
      <c r="CM22" vm="7369">
        <f ca="1"/>
        <v>183.03</v>
      </c>
      <c r="CN22" vm="7370">
        <f ca="1"/>
        <v>184.81</v>
      </c>
      <c r="CO22" vm="7371">
        <f ca="1"/>
        <v>184.48</v>
      </c>
      <c r="CP22" vm="7372">
        <f ca="1"/>
        <v>182.51</v>
      </c>
      <c r="CQ22" vm="7373">
        <f ca="1"/>
        <v>183.84</v>
      </c>
      <c r="CR22" vm="7374">
        <f ca="1"/>
        <v>183.59</v>
      </c>
      <c r="CS22" vm="7375">
        <f ca="1"/>
        <v>190.03</v>
      </c>
      <c r="CT22" vm="4432">
        <f ca="1"/>
        <v>188.57</v>
      </c>
      <c r="CU22" vm="7376">
        <f ca="1"/>
        <v>186.77</v>
      </c>
      <c r="CV22" vm="256">
        <f ca="1"/>
        <v>190.04</v>
      </c>
      <c r="CW22" vm="7377">
        <f ca="1"/>
        <v>191.74</v>
      </c>
      <c r="CX22" vm="7378">
        <f ca="1"/>
        <v>193.94</v>
      </c>
      <c r="CY22" vm="4124">
        <f ca="1"/>
        <v>207.87</v>
      </c>
      <c r="CZ22" vm="7379">
        <f ca="1"/>
        <v>213.76</v>
      </c>
      <c r="DA22" vm="7380">
        <f ca="1"/>
        <v>214.79</v>
      </c>
      <c r="DB22" vm="7381">
        <f ca="1"/>
        <v>213.41</v>
      </c>
      <c r="DC22" vm="7382">
        <f ca="1"/>
        <v>213.13</v>
      </c>
      <c r="DD22" vm="7383">
        <f ca="1"/>
        <v>211.85</v>
      </c>
      <c r="DE22" vm="7384">
        <f ca="1"/>
        <v>211.54</v>
      </c>
      <c r="DF22" vm="7385">
        <f ca="1"/>
        <v>207.67</v>
      </c>
      <c r="DG22" vm="7386">
        <f ca="1"/>
        <v>205.75</v>
      </c>
      <c r="DH22" vm="4132">
        <f ca="1"/>
        <v>202.56</v>
      </c>
      <c r="DI22" vm="7387">
        <f ca="1"/>
        <v>209.29</v>
      </c>
      <c r="DJ22" vm="5749">
        <f ca="1"/>
        <v>208.24</v>
      </c>
      <c r="DK22" vm="7388">
        <f ca="1"/>
        <v>209.09</v>
      </c>
      <c r="DL22" vm="7389">
        <f ca="1"/>
        <v>204.94</v>
      </c>
      <c r="DM22" vm="7390">
        <f ca="1"/>
        <v>208.03</v>
      </c>
      <c r="DN22" vm="7391">
        <f ca="1"/>
        <v>213.62</v>
      </c>
      <c r="DO22" vm="7392">
        <f ca="1"/>
        <v>216.8</v>
      </c>
      <c r="DP22" vm="7393">
        <f ca="1"/>
        <v>215.89</v>
      </c>
      <c r="DQ22" vm="7394">
        <f ca="1"/>
        <v>217.34</v>
      </c>
      <c r="DR22" vm="7395">
        <f ca="1"/>
        <v>222.46</v>
      </c>
      <c r="DS22" vm="7396">
        <f ca="1"/>
        <v>227.32</v>
      </c>
      <c r="DT22" vm="7397">
        <f ca="1"/>
        <v>226.56</v>
      </c>
      <c r="DU22" vm="7398">
        <f ca="1"/>
        <v>226.87</v>
      </c>
      <c r="DV22" vm="4039">
        <f ca="1"/>
        <v>220.96</v>
      </c>
      <c r="DW22" vm="7295">
        <f ca="1"/>
        <v>227.44</v>
      </c>
      <c r="DX22" vm="7399">
        <f ca="1"/>
        <v>225.64</v>
      </c>
      <c r="DY22" vm="7397">
        <f ca="1"/>
        <v>226.56</v>
      </c>
      <c r="DZ22" vm="7400">
        <f ca="1"/>
        <v>225.11</v>
      </c>
      <c r="EA22" vm="7401">
        <f ca="1"/>
        <v>226.51</v>
      </c>
      <c r="EB22" vm="7402">
        <f ca="1"/>
        <v>235.1</v>
      </c>
      <c r="EC22" vm="7403">
        <f ca="1"/>
        <v>237.21</v>
      </c>
      <c r="ED22" vm="7404">
        <f ca="1"/>
        <v>239.07</v>
      </c>
      <c r="EE22" vm="7405">
        <f ca="1"/>
        <v>238.86</v>
      </c>
      <c r="EF22" vm="7406">
        <f ca="1"/>
        <v>238.7</v>
      </c>
      <c r="EG22" vm="7407">
        <f ca="1"/>
        <v>237.62</v>
      </c>
      <c r="EH22" vm="7408">
        <f ca="1"/>
        <v>242.14</v>
      </c>
      <c r="EI22" vm="4231">
        <f ca="1"/>
        <v>243.34</v>
      </c>
      <c r="EJ22" vm="7409">
        <f ca="1"/>
        <v>238.78</v>
      </c>
      <c r="EK22" vm="4231">
        <f ca="1"/>
        <v>243.34</v>
      </c>
      <c r="EL22" vm="7410">
        <f ca="1"/>
        <v>244.12</v>
      </c>
      <c r="EM22" vm="7411">
        <f ca="1"/>
        <v>246.55</v>
      </c>
      <c r="EN22" vm="7412">
        <f ca="1"/>
        <v>246.17</v>
      </c>
      <c r="EO22" vm="7413">
        <f ca="1"/>
        <v>243.83</v>
      </c>
      <c r="EP22" vm="7414">
        <f ca="1"/>
        <v>246.26</v>
      </c>
      <c r="EQ22" vm="7415">
        <f ca="1"/>
        <v>245.59</v>
      </c>
      <c r="ER22" vm="7416">
        <f ca="1"/>
        <v>246.53</v>
      </c>
      <c r="ES22" vm="7417">
        <f ca="1"/>
        <v>246.73</v>
      </c>
      <c r="ET22" vm="7418">
        <f ca="1"/>
        <v>246.95</v>
      </c>
      <c r="EU22" vm="7419">
        <f ca="1"/>
        <v>243.54</v>
      </c>
      <c r="EV22" vm="7420">
        <f ca="1"/>
        <v>242.06</v>
      </c>
      <c r="EW22" vm="7421">
        <f ca="1"/>
        <v>241.56</v>
      </c>
      <c r="EX22" vm="7422">
        <f ca="1"/>
        <v>241.54</v>
      </c>
      <c r="EY22" vm="7423">
        <f ca="1"/>
        <v>245.75</v>
      </c>
      <c r="EZ22" vm="7424">
        <f ca="1"/>
        <v>246.19</v>
      </c>
      <c r="FA22" vm="7425">
        <f ca="1"/>
        <v>247.95</v>
      </c>
      <c r="FB22" vm="7426">
        <f ca="1"/>
        <v>240.03</v>
      </c>
      <c r="FC22" vm="7427">
        <f ca="1"/>
        <v>237.24</v>
      </c>
      <c r="FD22" vm="7428">
        <f ca="1"/>
        <v>240.4</v>
      </c>
      <c r="FE22" vm="7429">
        <f ca="1"/>
        <v>238.73</v>
      </c>
      <c r="FF22" vm="7430">
        <f ca="1"/>
        <v>236.93</v>
      </c>
      <c r="FG22" vm="7431">
        <f ca="1"/>
        <v>240.84</v>
      </c>
      <c r="FH22" vm="7432">
        <f ca="1"/>
        <v>242.87</v>
      </c>
      <c r="FI22" vm="7433">
        <f ca="1"/>
        <v>242.41</v>
      </c>
      <c r="FJ22" vm="7434">
        <f ca="1"/>
        <v>250.16</v>
      </c>
      <c r="FK22" vm="7435">
        <f ca="1"/>
        <v>253.88</v>
      </c>
      <c r="FL22" vm="7436">
        <f ca="1"/>
        <v>254.14</v>
      </c>
      <c r="FM22" vm="7437">
        <f ca="1"/>
        <v>248.32</v>
      </c>
      <c r="FN22" vm="7438">
        <f ca="1"/>
        <v>249.05</v>
      </c>
      <c r="FO22" vm="7439">
        <f ca="1"/>
        <v>245.15</v>
      </c>
      <c r="FP22" vm="7440">
        <f ca="1"/>
        <v>243.74</v>
      </c>
      <c r="FQ22" vm="7441">
        <f ca="1"/>
        <v>242.36</v>
      </c>
      <c r="FR22" vm="7442">
        <f ca="1"/>
        <v>249.09</v>
      </c>
      <c r="FS22" vm="7443">
        <f ca="1"/>
        <v>248.51</v>
      </c>
      <c r="FT22" vm="7444">
        <f ca="1"/>
        <v>250.85</v>
      </c>
      <c r="FU22" vm="7445">
        <f ca="1"/>
        <v>251.34</v>
      </c>
      <c r="FV22" vm="7446">
        <f ca="1"/>
        <v>252.55</v>
      </c>
      <c r="FW22" vm="7447">
        <f ca="1"/>
        <v>245.32</v>
      </c>
      <c r="FX22" vm="7448">
        <f ca="1"/>
        <v>242.83</v>
      </c>
      <c r="FY22" vm="7449">
        <f ca="1"/>
        <v>241.68</v>
      </c>
      <c r="FZ22" vm="7450">
        <f ca="1"/>
        <v>244.17</v>
      </c>
      <c r="GA22" vm="7451">
        <f ca="1"/>
        <v>247.05</v>
      </c>
      <c r="GB22" vm="7452">
        <f ca="1"/>
        <v>248.85</v>
      </c>
      <c r="GC22" vm="7453">
        <f ca="1"/>
        <v>249.06</v>
      </c>
      <c r="GD22" vm="7454">
        <f ca="1"/>
        <v>253.45</v>
      </c>
      <c r="GE22" vm="7455">
        <f ca="1"/>
        <v>255.19</v>
      </c>
      <c r="GF22" vm="7089">
        <f ca="1"/>
        <v>255.64</v>
      </c>
      <c r="GG22" vm="241">
        <f ca="1"/>
        <v>257.8</v>
      </c>
      <c r="GH22" vm="7456">
        <f ca="1"/>
        <v>258.58</v>
      </c>
      <c r="GI22" vm="7457">
        <f ca="1"/>
        <v>258.52999999999997</v>
      </c>
      <c r="GJ22" vm="7458">
        <f ca="1"/>
        <v>267.57</v>
      </c>
      <c r="GK22" vm="7459">
        <f ca="1"/>
        <v>265.86</v>
      </c>
      <c r="GL22" vm="7460">
        <f ca="1"/>
        <v>269.83</v>
      </c>
      <c r="GM22" vm="7461">
        <f ca="1"/>
        <v>269.51</v>
      </c>
      <c r="GN22" vm="7462">
        <f ca="1"/>
        <v>269.10000000000002</v>
      </c>
      <c r="GO22" vm="7463">
        <f ca="1"/>
        <v>268.24</v>
      </c>
      <c r="GP22" vm="7464">
        <f ca="1"/>
        <v>268.83</v>
      </c>
      <c r="GQ22" vm="7465">
        <f ca="1"/>
        <v>268.93</v>
      </c>
      <c r="GR22" vm="7466">
        <f ca="1"/>
        <v>271.12</v>
      </c>
      <c r="GS22" vm="7467">
        <f ca="1"/>
        <v>276.33999999999997</v>
      </c>
      <c r="GT22" vm="7468">
        <f ca="1"/>
        <v>281.69</v>
      </c>
      <c r="GU22" vm="7469">
        <f ca="1"/>
        <v>279.95999999999998</v>
      </c>
      <c r="GV22" vm="7470">
        <f ca="1"/>
        <v>288.36</v>
      </c>
      <c r="GW22" vm="7471">
        <f ca="1"/>
        <v>281.91000000000003</v>
      </c>
      <c r="GX22" vm="5446">
        <f ca="1"/>
        <v>291.54000000000002</v>
      </c>
      <c r="GY22" vm="7472">
        <f ca="1"/>
        <v>290.19</v>
      </c>
      <c r="GZ22" vm="7473">
        <f ca="1"/>
        <v>271.99</v>
      </c>
      <c r="HA22" vm="7474">
        <f ca="1"/>
        <v>284.87</v>
      </c>
      <c r="HB22" vm="7175">
        <f ca="1"/>
        <v>279.02999999999997</v>
      </c>
      <c r="HC22" vm="7475">
        <f ca="1"/>
        <v>287.64</v>
      </c>
      <c r="HD22" vm="7476">
        <f ca="1"/>
        <v>288.98</v>
      </c>
      <c r="HE22" vm="7477">
        <f ca="1"/>
        <v>288.17</v>
      </c>
      <c r="HF22" vm="7478">
        <f ca="1"/>
        <v>292.97000000000003</v>
      </c>
      <c r="HG22" vm="5427">
        <f ca="1"/>
        <v>291.33</v>
      </c>
      <c r="HH22" vm="7479">
        <f ca="1"/>
        <v>284.13</v>
      </c>
      <c r="HI22" vm="5445">
        <f ca="1"/>
        <v>291.06</v>
      </c>
      <c r="HJ22" vm="7480">
        <f ca="1"/>
        <v>295.86</v>
      </c>
      <c r="HK22" vm="7481">
        <f ca="1"/>
        <v>304.08</v>
      </c>
      <c r="HL22" vm="7482">
        <f ca="1"/>
        <v>304.45</v>
      </c>
      <c r="HM22" vm="7483">
        <f ca="1"/>
        <v>309.60000000000002</v>
      </c>
      <c r="HN22" vm="7484">
        <f ca="1"/>
        <v>305.41000000000003</v>
      </c>
      <c r="HO22" vm="7485">
        <f ca="1"/>
        <v>306.55</v>
      </c>
      <c r="HP22" vm="7486">
        <f ca="1"/>
        <v>308.38</v>
      </c>
      <c r="HQ22" vm="7487">
        <f ca="1"/>
        <v>296.26</v>
      </c>
      <c r="HR22" vm="1868">
        <f ca="1"/>
        <v>305.47000000000003</v>
      </c>
      <c r="HS22" vm="7488">
        <f ca="1"/>
        <v>297.5</v>
      </c>
      <c r="HT22" vm="7489">
        <f ca="1"/>
        <v>294.38</v>
      </c>
      <c r="HU22" vm="7490">
        <f ca="1"/>
        <v>302</v>
      </c>
      <c r="HV22" vm="7491">
        <f ca="1"/>
        <v>295.14999999999998</v>
      </c>
      <c r="HW22" vm="5317">
        <f ca="1"/>
        <v>299.67</v>
      </c>
      <c r="HX22" vm="7492">
        <f ca="1"/>
        <v>289.38</v>
      </c>
      <c r="HY22" vm="7493">
        <f ca="1"/>
        <v>288.52</v>
      </c>
      <c r="HZ22" vm="7494">
        <f ca="1"/>
        <v>283.56</v>
      </c>
      <c r="IA22" vm="7495">
        <f ca="1"/>
        <v>276.98</v>
      </c>
      <c r="IB22" vm="611">
        <f ca="1"/>
        <v>281.61</v>
      </c>
      <c r="IC22" vm="612">
        <f ca="1"/>
        <v>268.10000000000002</v>
      </c>
      <c r="ID22" vm="613">
        <f ca="1"/>
        <v>270.83</v>
      </c>
      <c r="IE22" vm="614">
        <f ca="1"/>
        <v>282.7</v>
      </c>
      <c r="IF22" vm="615">
        <f ca="1"/>
        <v>283.58</v>
      </c>
      <c r="IG22" vm="616">
        <f ca="1"/>
        <v>291.39</v>
      </c>
      <c r="IH22" vm="617">
        <f ca="1"/>
        <v>296.74</v>
      </c>
      <c r="II22" vm="618">
        <f ca="1"/>
        <v>296.92</v>
      </c>
      <c r="IJ22" vm="619">
        <f ca="1"/>
        <v>302.83999999999997</v>
      </c>
      <c r="IK22" vm="620">
        <f ca="1"/>
        <v>309.36</v>
      </c>
      <c r="IL22" vm="621">
        <f ca="1"/>
        <v>306.27999999999997</v>
      </c>
      <c r="IM22" vm="622">
        <f ca="1"/>
        <v>309.39999999999998</v>
      </c>
      <c r="IN22" vm="623">
        <f ca="1"/>
        <v>312.76</v>
      </c>
      <c r="IO22" vm="624">
        <f ca="1"/>
        <v>312.18</v>
      </c>
      <c r="IP22" vm="625">
        <f ca="1"/>
        <v>316.33</v>
      </c>
      <c r="IQ22" vm="626">
        <f ca="1"/>
        <v>314.52</v>
      </c>
      <c r="IR22" vm="627">
        <f ca="1"/>
        <v>299.48</v>
      </c>
      <c r="IS22" vm="628">
        <f ca="1"/>
        <v>298.01</v>
      </c>
      <c r="IT22" vm="629">
        <f ca="1"/>
        <v>296.2</v>
      </c>
      <c r="IU22" vm="630">
        <f ca="1"/>
        <v>285.23</v>
      </c>
      <c r="IV22" vm="631">
        <f ca="1"/>
        <v>292.04000000000002</v>
      </c>
      <c r="IW22" vm="22">
        <f ca="1"/>
        <v>299.81</v>
      </c>
    </row>
    <row r="23" spans="1:257" ht="16" x14ac:dyDescent="0.2">
      <c r="A23" s="10" t="e" vm="632">
        <v>#VALUE!</v>
      </c>
      <c r="B23" s="23" t="str" cm="1">
        <f t="array" aca="1" ref="B23" ca="1">_FV(A23,"ticker symbol",TRUE)</f>
        <v>SMH</v>
      </c>
      <c r="C23" s="23" t="str" cm="1">
        <f t="array" aca="1" ref="C23" ca="1">_FV(A23,"Name")</f>
        <v>VanEck:Semiconductor</v>
      </c>
      <c r="D23" cm="1" vm="7496">
        <f t="array" aca="1" ref="D23:IW23" ca="1">TRANSPOSE(_xlfn.STOCKHISTORY(B23, WORKDAY(TODAY(), -265), TODAY(), 0, 0, 1))</f>
        <v>253.25</v>
      </c>
      <c r="E23" s="23" vm="7497">
        <f ca="1"/>
        <v>249.96</v>
      </c>
      <c r="F23" s="23" vm="7498">
        <f ca="1"/>
        <v>241.99</v>
      </c>
      <c r="G23" s="23" vm="7499">
        <f ca="1"/>
        <v>238.87</v>
      </c>
      <c r="H23" s="23" vm="7500">
        <f ca="1"/>
        <v>242.71</v>
      </c>
      <c r="I23" s="23" vm="7501">
        <f ca="1"/>
        <v>249.22</v>
      </c>
      <c r="J23" s="23" vm="7502">
        <f ca="1"/>
        <v>251.37</v>
      </c>
      <c r="K23" s="23" vm="7503">
        <f ca="1"/>
        <v>250.93</v>
      </c>
      <c r="L23" s="23" vm="7504">
        <f ca="1"/>
        <v>248.4</v>
      </c>
      <c r="M23" s="23" vm="7505">
        <f ca="1"/>
        <v>244.66</v>
      </c>
      <c r="N23" s="23" vm="7506">
        <f ca="1"/>
        <v>242.17</v>
      </c>
      <c r="O23" s="23" vm="7507">
        <f ca="1"/>
        <v>244.79</v>
      </c>
      <c r="P23" s="23" vm="7508">
        <f ca="1"/>
        <v>251.88</v>
      </c>
      <c r="Q23" s="23" vm="7509">
        <f ca="1"/>
        <v>260.23</v>
      </c>
      <c r="R23" s="23" vm="7510">
        <f ca="1"/>
        <v>254.04</v>
      </c>
      <c r="S23" s="23" vm="7511">
        <f ca="1"/>
        <v>252.23</v>
      </c>
      <c r="T23" s="23" vm="7512">
        <f ca="1"/>
        <v>247.18</v>
      </c>
      <c r="U23" s="23" vm="7513">
        <f ca="1"/>
        <v>244.64</v>
      </c>
      <c r="V23" s="23" vm="4239">
        <f ca="1"/>
        <v>245.44</v>
      </c>
      <c r="W23" s="23" vm="7514">
        <f ca="1"/>
        <v>251.21</v>
      </c>
      <c r="X23" s="23" vm="7515">
        <f ca="1"/>
        <v>252.29</v>
      </c>
      <c r="Y23" s="23" vm="7516">
        <f ca="1"/>
        <v>258.25</v>
      </c>
      <c r="Z23" s="23" vm="7517">
        <f ca="1"/>
        <v>262.39</v>
      </c>
      <c r="AA23" s="23" vm="7518">
        <f ca="1"/>
        <v>267.17</v>
      </c>
      <c r="AB23" s="23" vm="7519">
        <f ca="1"/>
        <v>266.85000000000002</v>
      </c>
      <c r="AC23" s="23" vm="7520">
        <f ca="1"/>
        <v>261.52999999999997</v>
      </c>
      <c r="AD23" vm="7312">
        <f ca="1"/>
        <v>235.81</v>
      </c>
      <c r="AE23" vm="7521">
        <f ca="1"/>
        <v>240.45</v>
      </c>
      <c r="AF23" vm="7070">
        <f ca="1"/>
        <v>239.53</v>
      </c>
      <c r="AG23" vm="234">
        <f ca="1"/>
        <v>245.17</v>
      </c>
      <c r="AH23" vm="7522">
        <f ca="1"/>
        <v>243.62</v>
      </c>
      <c r="AI23" vm="7409">
        <f ca="1"/>
        <v>238.78</v>
      </c>
      <c r="AJ23" vm="7523">
        <f ca="1"/>
        <v>241.47</v>
      </c>
      <c r="AK23" vm="7524">
        <f ca="1"/>
        <v>247.14</v>
      </c>
      <c r="AL23" vm="7525">
        <f ca="1"/>
        <v>248.35</v>
      </c>
      <c r="AM23" vm="7526">
        <f ca="1"/>
        <v>245</v>
      </c>
      <c r="AN23" vm="7527">
        <f ca="1"/>
        <v>249.62</v>
      </c>
      <c r="AO23" vm="7528">
        <f ca="1"/>
        <v>249.87</v>
      </c>
      <c r="AP23" vm="7443">
        <f ca="1"/>
        <v>248.51</v>
      </c>
      <c r="AQ23" vm="7529">
        <f ca="1"/>
        <v>251.92</v>
      </c>
      <c r="AR23" vm="7530">
        <f ca="1"/>
        <v>252.58</v>
      </c>
      <c r="AS23" vm="7531">
        <f ca="1"/>
        <v>256.22000000000003</v>
      </c>
      <c r="AT23" vm="7532">
        <f ca="1"/>
        <v>257.33999999999997</v>
      </c>
      <c r="AU23" vm="241">
        <f ca="1"/>
        <v>257.8</v>
      </c>
      <c r="AV23" vm="7533">
        <f ca="1"/>
        <v>249.99</v>
      </c>
      <c r="AW23" vm="7534">
        <f ca="1"/>
        <v>243.42</v>
      </c>
      <c r="AX23" vm="4200">
        <f ca="1"/>
        <v>238.25</v>
      </c>
      <c r="AY23" vm="7535">
        <f ca="1"/>
        <v>243.82</v>
      </c>
      <c r="AZ23" vm="7536">
        <f ca="1"/>
        <v>228.79</v>
      </c>
      <c r="BA23" vm="7537">
        <f ca="1"/>
        <v>232.77</v>
      </c>
      <c r="BB23" vm="5716">
        <f ca="1"/>
        <v>223.01</v>
      </c>
      <c r="BC23" vm="7538">
        <f ca="1"/>
        <v>225.23</v>
      </c>
      <c r="BD23" vm="4062">
        <f ca="1"/>
        <v>229.4</v>
      </c>
      <c r="BE23" vm="7539">
        <f ca="1"/>
        <v>219.78</v>
      </c>
      <c r="BF23" vm="7540">
        <f ca="1"/>
        <v>225.09</v>
      </c>
      <c r="BG23" vm="7541">
        <f ca="1"/>
        <v>214.53</v>
      </c>
      <c r="BH23" vm="1117">
        <f ca="1"/>
        <v>214.22</v>
      </c>
      <c r="BI23" vm="7542">
        <f ca="1"/>
        <v>220.52</v>
      </c>
      <c r="BJ23" vm="7543">
        <f ca="1"/>
        <v>219.55</v>
      </c>
      <c r="BK23" vm="7544">
        <f ca="1"/>
        <v>226.57</v>
      </c>
      <c r="BL23" vm="7545">
        <f ca="1"/>
        <v>228.96</v>
      </c>
      <c r="BM23" vm="7546">
        <f ca="1"/>
        <v>225.42</v>
      </c>
      <c r="BN23" vm="7547">
        <f ca="1"/>
        <v>227.41</v>
      </c>
      <c r="BO23" vm="7548">
        <f ca="1"/>
        <v>227.05</v>
      </c>
      <c r="BP23" vm="7549">
        <f ca="1"/>
        <v>224.77</v>
      </c>
      <c r="BQ23" vm="7550">
        <f ca="1"/>
        <v>230.63</v>
      </c>
      <c r="BR23" vm="7551">
        <f ca="1"/>
        <v>229.65</v>
      </c>
      <c r="BS23" vm="7552">
        <f ca="1"/>
        <v>222.01</v>
      </c>
      <c r="BT23" vm="7553">
        <f ca="1"/>
        <v>217.75</v>
      </c>
      <c r="BU23" vm="5813">
        <f ca="1"/>
        <v>212.17</v>
      </c>
      <c r="BV23" vm="7554">
        <f ca="1"/>
        <v>211.47</v>
      </c>
      <c r="BW23" vm="7555">
        <f ca="1"/>
        <v>212.49</v>
      </c>
      <c r="BX23" vm="7556">
        <f ca="1"/>
        <v>214.09</v>
      </c>
      <c r="BY23" vm="7557">
        <f ca="1"/>
        <v>195.57</v>
      </c>
      <c r="BZ23" vm="7558">
        <f ca="1"/>
        <v>180.8</v>
      </c>
      <c r="CA23" vm="4402">
        <f ca="1"/>
        <v>184.9</v>
      </c>
      <c r="CB23" vm="7559">
        <f ca="1"/>
        <v>179.95</v>
      </c>
      <c r="CC23" vm="7560">
        <f ca="1"/>
        <v>210.83</v>
      </c>
      <c r="CD23" vm="7561">
        <f ca="1"/>
        <v>196.21</v>
      </c>
      <c r="CE23" vm="1754">
        <f ca="1"/>
        <v>201.31</v>
      </c>
      <c r="CF23" vm="7562">
        <f ca="1"/>
        <v>201.61</v>
      </c>
      <c r="CG23" vm="7563">
        <f ca="1"/>
        <v>202.92</v>
      </c>
      <c r="CH23" vm="7564">
        <f ca="1"/>
        <v>194.35</v>
      </c>
      <c r="CI23" vm="7565">
        <f ca="1"/>
        <v>192.53</v>
      </c>
      <c r="CJ23" vm="7566">
        <f ca="1"/>
        <v>187.83</v>
      </c>
      <c r="CK23" vm="7567">
        <f ca="1"/>
        <v>191.9</v>
      </c>
      <c r="CL23" vm="7568">
        <f ca="1"/>
        <v>198.91</v>
      </c>
      <c r="CM23" vm="4129">
        <f ca="1"/>
        <v>208.97</v>
      </c>
      <c r="CN23" vm="4152">
        <f ca="1"/>
        <v>211.97</v>
      </c>
      <c r="CO23" vm="5805">
        <f ca="1"/>
        <v>210.65</v>
      </c>
      <c r="CP23" vm="7569">
        <f ca="1"/>
        <v>210.29</v>
      </c>
      <c r="CQ23" vm="7570">
        <f ca="1"/>
        <v>211.28</v>
      </c>
      <c r="CR23" vm="7571">
        <f ca="1"/>
        <v>212.3</v>
      </c>
      <c r="CS23" vm="7572">
        <f ca="1"/>
        <v>219.03</v>
      </c>
      <c r="CT23" vm="7573">
        <f ca="1"/>
        <v>217.61</v>
      </c>
      <c r="CU23" vm="5823">
        <f ca="1"/>
        <v>215.59</v>
      </c>
      <c r="CV23" vm="7574">
        <f ca="1"/>
        <v>220.02</v>
      </c>
      <c r="CW23" vm="7575">
        <f ca="1"/>
        <v>221.95</v>
      </c>
      <c r="CX23" vm="7576">
        <f ca="1"/>
        <v>223.4</v>
      </c>
      <c r="CY23" vm="7577">
        <f ca="1"/>
        <v>237.41</v>
      </c>
      <c r="CZ23" vm="7578">
        <f ca="1"/>
        <v>245.56</v>
      </c>
      <c r="DA23" vm="7579">
        <f ca="1"/>
        <v>247.99</v>
      </c>
      <c r="DB23" vm="7580">
        <f ca="1"/>
        <v>247.13</v>
      </c>
      <c r="DC23" vm="4232">
        <f ca="1"/>
        <v>246.42</v>
      </c>
      <c r="DD23" vm="7581">
        <f ca="1"/>
        <v>246.01</v>
      </c>
      <c r="DE23" vm="7582">
        <f ca="1"/>
        <v>245.54</v>
      </c>
      <c r="DF23" vm="7523">
        <f ca="1"/>
        <v>241.47</v>
      </c>
      <c r="DG23" vm="7583">
        <f ca="1"/>
        <v>240.81</v>
      </c>
      <c r="DH23" vm="7584">
        <f ca="1"/>
        <v>237.44</v>
      </c>
      <c r="DI23" vm="7585">
        <f ca="1"/>
        <v>244.97</v>
      </c>
      <c r="DJ23" vm="7441">
        <f ca="1"/>
        <v>242.36</v>
      </c>
      <c r="DK23" vm="7586">
        <f ca="1"/>
        <v>244.08</v>
      </c>
      <c r="DL23" vm="7587">
        <f ca="1"/>
        <v>239.75</v>
      </c>
      <c r="DM23" vm="7588">
        <f ca="1"/>
        <v>243.3</v>
      </c>
      <c r="DN23" vm="7589">
        <f ca="1"/>
        <v>248.79</v>
      </c>
      <c r="DO23" vm="7590">
        <f ca="1"/>
        <v>251.75</v>
      </c>
      <c r="DP23" vm="7591">
        <f ca="1"/>
        <v>251.3</v>
      </c>
      <c r="DQ23" vm="7592">
        <f ca="1"/>
        <v>252.73</v>
      </c>
      <c r="DR23" vm="7083">
        <f ca="1"/>
        <v>256.95999999999998</v>
      </c>
      <c r="DS23" vm="7593">
        <f ca="1"/>
        <v>262.07</v>
      </c>
      <c r="DT23" vm="7594">
        <f ca="1"/>
        <v>261.88</v>
      </c>
      <c r="DU23" vm="7595">
        <f ca="1"/>
        <v>263.14999999999998</v>
      </c>
      <c r="DV23" vm="7596">
        <f ca="1"/>
        <v>256.99</v>
      </c>
      <c r="DW23" vm="7597">
        <f ca="1"/>
        <v>263.38</v>
      </c>
      <c r="DX23" vm="7598">
        <f ca="1"/>
        <v>261.58999999999997</v>
      </c>
      <c r="DY23" vm="7599">
        <f ca="1"/>
        <v>262.58999999999997</v>
      </c>
      <c r="DZ23" vm="7600">
        <f ca="1"/>
        <v>260.27</v>
      </c>
      <c r="EA23" vm="7601">
        <f ca="1"/>
        <v>261.92</v>
      </c>
      <c r="EB23" vm="7602">
        <f ca="1"/>
        <v>271.54000000000002</v>
      </c>
      <c r="EC23" vm="7603">
        <f ca="1"/>
        <v>275.2</v>
      </c>
      <c r="ED23" vm="7604">
        <f ca="1"/>
        <v>277.2</v>
      </c>
      <c r="EE23" vm="7605">
        <f ca="1"/>
        <v>278.42</v>
      </c>
      <c r="EF23" vm="7606">
        <f ca="1"/>
        <v>278.88</v>
      </c>
      <c r="EG23" vm="7607">
        <f ca="1"/>
        <v>275.83999999999997</v>
      </c>
      <c r="EH23" vm="7608">
        <f ca="1"/>
        <v>281.25</v>
      </c>
      <c r="EI23" vm="7609">
        <f ca="1"/>
        <v>283.62</v>
      </c>
      <c r="EJ23" vm="7610">
        <f ca="1"/>
        <v>279.76</v>
      </c>
      <c r="EK23" vm="7611">
        <f ca="1"/>
        <v>283.48</v>
      </c>
      <c r="EL23" vm="7612">
        <f ca="1"/>
        <v>285.42</v>
      </c>
      <c r="EM23" vm="7613">
        <f ca="1"/>
        <v>287.52</v>
      </c>
      <c r="EN23" vm="7614">
        <f ca="1"/>
        <v>287.49</v>
      </c>
      <c r="EO23" vm="7615">
        <f ca="1"/>
        <v>285.32</v>
      </c>
      <c r="EP23" vm="7616">
        <f ca="1"/>
        <v>290.8</v>
      </c>
      <c r="EQ23" vm="7617">
        <f ca="1"/>
        <v>289.27999999999997</v>
      </c>
      <c r="ER23" vm="7618">
        <f ca="1"/>
        <v>291.70999999999998</v>
      </c>
      <c r="ES23" vm="7619">
        <f ca="1"/>
        <v>290.31</v>
      </c>
      <c r="ET23" vm="7620">
        <f ca="1"/>
        <v>290.51</v>
      </c>
      <c r="EU23" vm="7621">
        <f ca="1"/>
        <v>285.37</v>
      </c>
      <c r="EV23" vm="7622">
        <f ca="1"/>
        <v>286.61</v>
      </c>
      <c r="EW23" vm="5422">
        <f ca="1"/>
        <v>287.8</v>
      </c>
      <c r="EX23" vm="7614">
        <f ca="1"/>
        <v>287.49</v>
      </c>
      <c r="EY23" vm="7623">
        <f ca="1"/>
        <v>291.41000000000003</v>
      </c>
      <c r="EZ23" vm="7624">
        <f ca="1"/>
        <v>292.89999999999998</v>
      </c>
      <c r="FA23" vm="7487">
        <f ca="1"/>
        <v>296.26</v>
      </c>
      <c r="FB23" vm="7625">
        <f ca="1"/>
        <v>288.77999999999997</v>
      </c>
      <c r="FC23" vm="7626">
        <f ca="1"/>
        <v>283.95</v>
      </c>
      <c r="FD23" vm="7472">
        <f ca="1"/>
        <v>290.19</v>
      </c>
      <c r="FE23" vm="7627">
        <f ca="1"/>
        <v>287.10000000000002</v>
      </c>
      <c r="FF23" vm="7628">
        <f ca="1"/>
        <v>286.62</v>
      </c>
      <c r="FG23" vm="7629">
        <f ca="1"/>
        <v>291.12</v>
      </c>
      <c r="FH23" vm="7630">
        <f ca="1"/>
        <v>293.52999999999997</v>
      </c>
      <c r="FI23" vm="7631">
        <f ca="1"/>
        <v>293.39999999999998</v>
      </c>
      <c r="FJ23" vm="7632">
        <f ca="1"/>
        <v>300.10000000000002</v>
      </c>
      <c r="FK23" vm="7633">
        <f ca="1"/>
        <v>301.27999999999997</v>
      </c>
      <c r="FL23" vm="7634">
        <f ca="1"/>
        <v>301.92</v>
      </c>
      <c r="FM23" vm="7635">
        <f ca="1"/>
        <v>295.64999999999998</v>
      </c>
      <c r="FN23" vm="7636">
        <f ca="1"/>
        <v>296.86</v>
      </c>
      <c r="FO23" vm="7637">
        <f ca="1"/>
        <v>290.87</v>
      </c>
      <c r="FP23" vm="7638">
        <f ca="1"/>
        <v>288.95999999999998</v>
      </c>
      <c r="FQ23" vm="7639">
        <f ca="1"/>
        <v>287.45999999999998</v>
      </c>
      <c r="FR23" vm="7640">
        <f ca="1"/>
        <v>293.64</v>
      </c>
      <c r="FS23" vm="5437">
        <f ca="1"/>
        <v>293.92</v>
      </c>
      <c r="FT23" vm="7641">
        <f ca="1"/>
        <v>296.75</v>
      </c>
      <c r="FU23" vm="7642">
        <f ca="1"/>
        <v>297.66000000000003</v>
      </c>
      <c r="FV23" vm="7643">
        <f ca="1"/>
        <v>298.88</v>
      </c>
      <c r="FW23" vm="7644">
        <f ca="1"/>
        <v>290.29000000000002</v>
      </c>
      <c r="FX23" vm="7645">
        <f ca="1"/>
        <v>286.48</v>
      </c>
      <c r="FY23" vm="7646">
        <f ca="1"/>
        <v>286.43</v>
      </c>
      <c r="FZ23" vm="7647">
        <f ca="1"/>
        <v>289.86</v>
      </c>
      <c r="GA23" vm="7648">
        <f ca="1"/>
        <v>293.27999999999997</v>
      </c>
      <c r="GB23" vm="7649">
        <f ca="1"/>
        <v>296.52</v>
      </c>
      <c r="GC23" vm="7650">
        <f ca="1"/>
        <v>297.81</v>
      </c>
      <c r="GD23" vm="7651">
        <f ca="1"/>
        <v>300.83</v>
      </c>
      <c r="GE23" vm="7652">
        <f ca="1"/>
        <v>303.93</v>
      </c>
      <c r="GF23" vm="7653">
        <f ca="1"/>
        <v>304.32</v>
      </c>
      <c r="GG23" vm="7654">
        <f ca="1"/>
        <v>307.17</v>
      </c>
      <c r="GH23" vm="7655">
        <f ca="1"/>
        <v>307.20999999999998</v>
      </c>
      <c r="GI23" vm="7656">
        <f ca="1"/>
        <v>305.25</v>
      </c>
      <c r="GJ23" vm="7657">
        <f ca="1"/>
        <v>316.97000000000003</v>
      </c>
      <c r="GK23" vm="5469">
        <f ca="1"/>
        <v>315.70999999999998</v>
      </c>
      <c r="GL23" vm="7658">
        <f ca="1"/>
        <v>322.17</v>
      </c>
      <c r="GM23" vm="7659">
        <f ca="1"/>
        <v>321.7</v>
      </c>
      <c r="GN23" vm="7660">
        <f ca="1"/>
        <v>321.11</v>
      </c>
      <c r="GO23" vm="7661">
        <f ca="1"/>
        <v>321.06</v>
      </c>
      <c r="GP23" vm="7662">
        <f ca="1"/>
        <v>321.82</v>
      </c>
      <c r="GQ23" vm="7663">
        <f ca="1"/>
        <v>322.66000000000003</v>
      </c>
      <c r="GR23" vm="7664">
        <f ca="1"/>
        <v>326.36</v>
      </c>
      <c r="GS23" vm="7665">
        <f ca="1"/>
        <v>333.69</v>
      </c>
      <c r="GT23" vm="7666">
        <f ca="1"/>
        <v>338.24</v>
      </c>
      <c r="GU23" vm="7667">
        <f ca="1"/>
        <v>336.68</v>
      </c>
      <c r="GV23" vm="7668">
        <f ca="1"/>
        <v>343.38</v>
      </c>
      <c r="GW23" vm="7669">
        <f ca="1"/>
        <v>337.05</v>
      </c>
      <c r="GX23" vm="7670">
        <f ca="1"/>
        <v>346.07</v>
      </c>
      <c r="GY23" vm="7671">
        <f ca="1"/>
        <v>345.21</v>
      </c>
      <c r="GZ23" vm="7672">
        <f ca="1"/>
        <v>325.33999999999997</v>
      </c>
      <c r="HA23" vm="7673">
        <f ca="1"/>
        <v>339.75</v>
      </c>
      <c r="HB23" vm="7674">
        <f ca="1"/>
        <v>333.5</v>
      </c>
      <c r="HC23" vm="7675">
        <f ca="1"/>
        <v>341.78</v>
      </c>
      <c r="HD23" vm="7676">
        <f ca="1"/>
        <v>343.3</v>
      </c>
      <c r="HE23" vm="7677">
        <f ca="1"/>
        <v>342.83</v>
      </c>
      <c r="HF23" vm="7678">
        <f ca="1"/>
        <v>347.22</v>
      </c>
      <c r="HG23" vm="7679">
        <f ca="1"/>
        <v>345.3</v>
      </c>
      <c r="HH23" vm="7680">
        <f ca="1"/>
        <v>338.6</v>
      </c>
      <c r="HI23" vm="7681">
        <f ca="1"/>
        <v>344.8</v>
      </c>
      <c r="HJ23" vm="7682">
        <f ca="1"/>
        <v>351.14</v>
      </c>
      <c r="HK23" vm="7683">
        <f ca="1"/>
        <v>359.94</v>
      </c>
      <c r="HL23" vm="7684">
        <f ca="1"/>
        <v>363.11</v>
      </c>
      <c r="HM23" vm="7685">
        <f ca="1"/>
        <v>368.61</v>
      </c>
      <c r="HN23" vm="7686">
        <f ca="1"/>
        <v>363.73</v>
      </c>
      <c r="HO23" vm="7687">
        <f ca="1"/>
        <v>363.02</v>
      </c>
      <c r="HP23" vm="7688">
        <f ca="1"/>
        <v>366.1</v>
      </c>
      <c r="HQ23" vm="7689">
        <f ca="1"/>
        <v>352.76</v>
      </c>
      <c r="HR23" vm="7690">
        <f ca="1"/>
        <v>359.5</v>
      </c>
      <c r="HS23" vm="7691">
        <f ca="1"/>
        <v>351.09</v>
      </c>
      <c r="HT23" vm="7692">
        <f ca="1"/>
        <v>348.12</v>
      </c>
      <c r="HU23" vm="7693">
        <f ca="1"/>
        <v>358.79</v>
      </c>
      <c r="HV23" vm="7694">
        <f ca="1"/>
        <v>351.05</v>
      </c>
      <c r="HW23" vm="7695">
        <f ca="1"/>
        <v>355.53</v>
      </c>
      <c r="HX23" vm="7696">
        <f ca="1"/>
        <v>344.82</v>
      </c>
      <c r="HY23" vm="7697">
        <f ca="1"/>
        <v>344.98</v>
      </c>
      <c r="HZ23" vm="7698">
        <f ca="1"/>
        <v>340.3</v>
      </c>
      <c r="IA23" vm="7699">
        <f ca="1"/>
        <v>333.29</v>
      </c>
      <c r="IB23" vm="633">
        <f ca="1"/>
        <v>339.44</v>
      </c>
      <c r="IC23" vm="634">
        <f ca="1"/>
        <v>325.10000000000002</v>
      </c>
      <c r="ID23" vm="635">
        <f ca="1"/>
        <v>326.13</v>
      </c>
      <c r="IE23" vm="636">
        <f ca="1"/>
        <v>339.12</v>
      </c>
      <c r="IF23" vm="637">
        <f ca="1"/>
        <v>340.01</v>
      </c>
      <c r="IG23" vm="638">
        <f ca="1"/>
        <v>347.71</v>
      </c>
      <c r="IH23" vm="639">
        <f ca="1"/>
        <v>352.28</v>
      </c>
      <c r="II23" vm="640">
        <f ca="1"/>
        <v>352.96</v>
      </c>
      <c r="IJ23" vm="641">
        <f ca="1"/>
        <v>359.43</v>
      </c>
      <c r="IK23" vm="642">
        <f ca="1"/>
        <v>364.37</v>
      </c>
      <c r="IL23" vm="643">
        <f ca="1"/>
        <v>361.6</v>
      </c>
      <c r="IM23" vm="644">
        <f ca="1"/>
        <v>364.42</v>
      </c>
      <c r="IN23" vm="645">
        <f ca="1"/>
        <v>368.55</v>
      </c>
      <c r="IO23" vm="646">
        <f ca="1"/>
        <v>369</v>
      </c>
      <c r="IP23" vm="647">
        <f ca="1"/>
        <v>374.1</v>
      </c>
      <c r="IQ23" vm="648">
        <f ca="1"/>
        <v>370.89</v>
      </c>
      <c r="IR23" vm="649">
        <f ca="1"/>
        <v>354.12</v>
      </c>
      <c r="IS23" vm="650">
        <f ca="1"/>
        <v>352.9</v>
      </c>
      <c r="IT23" vm="651">
        <f ca="1"/>
        <v>351.94</v>
      </c>
      <c r="IU23" vm="652">
        <f ca="1"/>
        <v>339.24</v>
      </c>
      <c r="IV23" vm="653">
        <f ca="1"/>
        <v>347.25</v>
      </c>
      <c r="IW23" vm="24">
        <f ca="1"/>
        <v>356.23</v>
      </c>
    </row>
    <row r="24" spans="1:257" ht="16" x14ac:dyDescent="0.2">
      <c r="A24" s="10" t="e" vm="654">
        <v>#VALUE!</v>
      </c>
      <c r="B24" s="23" t="str" cm="1">
        <f t="array" aca="1" ref="B24" ca="1">_FV(A24,"ticker symbol",TRUE)</f>
        <v>XSD</v>
      </c>
      <c r="C24" s="23" t="str" cm="1">
        <f t="array" aca="1" ref="C24" ca="1">_FV(A24,"Name")</f>
        <v>SS SPDR S&amp;P Semiconductr</v>
      </c>
      <c r="D24" cm="1" vm="7700">
        <f t="array" aca="1" ref="D24:IW24" ca="1">TRANSPOSE(_xlfn.STOCKHISTORY(B24, WORKDAY(TODAY(), -265), TODAY(), 0, 0, 1))</f>
        <v>265.16000000000003</v>
      </c>
      <c r="E24" s="23" vm="7701">
        <f ca="1"/>
        <v>259.3</v>
      </c>
      <c r="F24" s="23" vm="7702">
        <f ca="1"/>
        <v>247.79</v>
      </c>
      <c r="G24" s="23" vm="7703">
        <f ca="1"/>
        <v>245.1</v>
      </c>
      <c r="H24" s="23" vm="7704">
        <f ca="1"/>
        <v>248.46</v>
      </c>
      <c r="I24" s="23" vm="7705">
        <f ca="1"/>
        <v>254.68</v>
      </c>
      <c r="J24" s="23" vm="7706">
        <f ca="1"/>
        <v>257.70999999999998</v>
      </c>
      <c r="K24" s="23" vm="7707">
        <f ca="1"/>
        <v>259.81</v>
      </c>
      <c r="L24" s="23" vm="7708">
        <f ca="1"/>
        <v>256.2</v>
      </c>
      <c r="M24" s="23" vm="4226">
        <f ca="1"/>
        <v>250.33</v>
      </c>
      <c r="N24" s="23" vm="7709">
        <f ca="1"/>
        <v>248.45</v>
      </c>
      <c r="O24" s="23" vm="7710">
        <f ca="1"/>
        <v>252.06</v>
      </c>
      <c r="P24" s="23" vm="7711">
        <f ca="1"/>
        <v>258.8</v>
      </c>
      <c r="Q24" s="23" vm="7712">
        <f ca="1"/>
        <v>264.77999999999997</v>
      </c>
      <c r="R24" s="23" vm="7713">
        <f ca="1"/>
        <v>260.45</v>
      </c>
      <c r="S24" s="23" vm="7714">
        <f ca="1"/>
        <v>255.95</v>
      </c>
      <c r="T24" s="23" vm="7715">
        <f ca="1"/>
        <v>250.02</v>
      </c>
      <c r="U24" s="23" vm="7716">
        <f ca="1"/>
        <v>247.75</v>
      </c>
      <c r="V24" s="23" vm="7717">
        <f ca="1"/>
        <v>249.55</v>
      </c>
      <c r="W24" s="23" vm="7718">
        <f ca="1"/>
        <v>257.88</v>
      </c>
      <c r="X24" s="23" vm="7719">
        <f ca="1"/>
        <v>255.74</v>
      </c>
      <c r="Y24" s="23" vm="7720">
        <f ca="1"/>
        <v>264.39</v>
      </c>
      <c r="Z24" s="23" vm="7721">
        <f ca="1"/>
        <v>268.42</v>
      </c>
      <c r="AA24" s="23" vm="7722">
        <f ca="1"/>
        <v>269.41000000000003</v>
      </c>
      <c r="AB24" s="23" vm="7723">
        <f ca="1"/>
        <v>270.08</v>
      </c>
      <c r="AC24" s="23" vm="7724">
        <f ca="1"/>
        <v>263.55</v>
      </c>
      <c r="AD24" vm="4214">
        <f ca="1"/>
        <v>241.34</v>
      </c>
      <c r="AE24" vm="7725">
        <f ca="1"/>
        <v>242.93</v>
      </c>
      <c r="AF24" vm="4221">
        <f ca="1"/>
        <v>244.16</v>
      </c>
      <c r="AG24" vm="7437">
        <f ca="1"/>
        <v>248.32</v>
      </c>
      <c r="AH24" vm="232">
        <f ca="1"/>
        <v>248.75</v>
      </c>
      <c r="AI24" vm="7586">
        <f ca="1"/>
        <v>244.08</v>
      </c>
      <c r="AJ24" vm="7726">
        <f ca="1"/>
        <v>247.92</v>
      </c>
      <c r="AK24" vm="7727">
        <f ca="1"/>
        <v>253.84</v>
      </c>
      <c r="AL24" vm="7728">
        <f ca="1"/>
        <v>246.93</v>
      </c>
      <c r="AM24" vm="7729">
        <f ca="1"/>
        <v>242.25</v>
      </c>
      <c r="AN24" vm="7730">
        <f ca="1"/>
        <v>239.83</v>
      </c>
      <c r="AO24" vm="7731">
        <f ca="1"/>
        <v>237.75</v>
      </c>
      <c r="AP24" vm="7732">
        <f ca="1"/>
        <v>238.46</v>
      </c>
      <c r="AQ24" vm="7733">
        <f ca="1"/>
        <v>241.77</v>
      </c>
      <c r="AR24" vm="7734">
        <f ca="1"/>
        <v>243.91</v>
      </c>
      <c r="AS24" vm="7710">
        <f ca="1"/>
        <v>252.06</v>
      </c>
      <c r="AT24" vm="7735">
        <f ca="1"/>
        <v>254.84</v>
      </c>
      <c r="AU24" vm="7455">
        <f ca="1"/>
        <v>255.19</v>
      </c>
      <c r="AV24" vm="7736">
        <f ca="1"/>
        <v>246.62</v>
      </c>
      <c r="AW24" vm="7737">
        <f ca="1"/>
        <v>240.28</v>
      </c>
      <c r="AX24" vm="406">
        <f ca="1"/>
        <v>233.4</v>
      </c>
      <c r="AY24" vm="7738">
        <f ca="1"/>
        <v>237.91</v>
      </c>
      <c r="AZ24" vm="7739">
        <f ca="1"/>
        <v>222.3</v>
      </c>
      <c r="BA24" vm="4170">
        <f ca="1"/>
        <v>226.68</v>
      </c>
      <c r="BB24" vm="7740">
        <f ca="1"/>
        <v>217.93</v>
      </c>
      <c r="BC24" vm="7741">
        <f ca="1"/>
        <v>218.44</v>
      </c>
      <c r="BD24" vm="7742">
        <f ca="1"/>
        <v>222.93</v>
      </c>
      <c r="BE24" vm="5811">
        <f ca="1"/>
        <v>215.44</v>
      </c>
      <c r="BF24" vm="7743">
        <f ca="1"/>
        <v>222.92</v>
      </c>
      <c r="BG24" vm="7744">
        <f ca="1"/>
        <v>211.59</v>
      </c>
      <c r="BH24" vm="7745">
        <f ca="1"/>
        <v>209.19</v>
      </c>
      <c r="BI24" vm="7746">
        <f ca="1"/>
        <v>212.02</v>
      </c>
      <c r="BJ24" vm="4146">
        <f ca="1"/>
        <v>210.77</v>
      </c>
      <c r="BK24" vm="7747">
        <f ca="1"/>
        <v>219.1</v>
      </c>
      <c r="BL24" vm="7748">
        <f ca="1"/>
        <v>223.06</v>
      </c>
      <c r="BM24" vm="7749">
        <f ca="1"/>
        <v>219.6</v>
      </c>
      <c r="BN24" vm="7750">
        <f ca="1"/>
        <v>222.06</v>
      </c>
      <c r="BO24" vm="7332">
        <f ca="1"/>
        <v>218.72</v>
      </c>
      <c r="BP24" vm="7751">
        <f ca="1"/>
        <v>217.44</v>
      </c>
      <c r="BQ24" vm="7752">
        <f ca="1"/>
        <v>224.47</v>
      </c>
      <c r="BR24" vm="4035">
        <f ca="1"/>
        <v>223.39</v>
      </c>
      <c r="BS24" vm="7753">
        <f ca="1"/>
        <v>216.9</v>
      </c>
      <c r="BT24" vm="7754">
        <f ca="1"/>
        <v>211.58</v>
      </c>
      <c r="BU24" vm="7755">
        <f ca="1"/>
        <v>202.1</v>
      </c>
      <c r="BV24" vm="4083">
        <f ca="1"/>
        <v>200.77</v>
      </c>
      <c r="BW24" vm="7756">
        <f ca="1"/>
        <v>201.58</v>
      </c>
      <c r="BX24" vm="7757">
        <f ca="1"/>
        <v>204.24</v>
      </c>
      <c r="BY24" vm="7758">
        <f ca="1"/>
        <v>179.94</v>
      </c>
      <c r="BZ24" vm="5123">
        <f ca="1"/>
        <v>167.32</v>
      </c>
      <c r="CA24" vm="7759">
        <f ca="1"/>
        <v>170.37</v>
      </c>
      <c r="CB24" vm="7760">
        <f ca="1"/>
        <v>160.63</v>
      </c>
      <c r="CC24" vm="7761">
        <f ca="1"/>
        <v>192.51</v>
      </c>
      <c r="CD24" vm="7762">
        <f ca="1"/>
        <v>174.62</v>
      </c>
      <c r="CE24" vm="7763">
        <f ca="1"/>
        <v>176.77</v>
      </c>
      <c r="CF24" vm="7764">
        <f ca="1"/>
        <v>178.99</v>
      </c>
      <c r="CG24" vm="7765">
        <f ca="1"/>
        <v>178.56</v>
      </c>
      <c r="CH24" vm="7766">
        <f ca="1"/>
        <v>172.93</v>
      </c>
      <c r="CI24" vm="7767">
        <f ca="1"/>
        <v>172.8</v>
      </c>
      <c r="CJ24" vm="7768">
        <f ca="1"/>
        <v>169.65</v>
      </c>
      <c r="CK24" vm="7769">
        <f ca="1"/>
        <v>173.7</v>
      </c>
      <c r="CL24" vm="7770">
        <f ca="1"/>
        <v>180.74</v>
      </c>
      <c r="CM24" vm="7771">
        <f ca="1"/>
        <v>192.28</v>
      </c>
      <c r="CN24" vm="7772">
        <f ca="1"/>
        <v>194.68</v>
      </c>
      <c r="CO24" vm="7773">
        <f ca="1"/>
        <v>194.6</v>
      </c>
      <c r="CP24" vm="258">
        <f ca="1"/>
        <v>191.55</v>
      </c>
      <c r="CQ24" vm="7774">
        <f ca="1"/>
        <v>192.96</v>
      </c>
      <c r="CR24" vm="7775">
        <f ca="1"/>
        <v>195.35</v>
      </c>
      <c r="CS24" vm="7776">
        <f ca="1"/>
        <v>204.1</v>
      </c>
      <c r="CT24" vm="2006">
        <f ca="1"/>
        <v>201.98</v>
      </c>
      <c r="CU24" vm="7777">
        <f ca="1"/>
        <v>199.86</v>
      </c>
      <c r="CV24" vm="7778">
        <f ca="1"/>
        <v>201.74</v>
      </c>
      <c r="CW24" vm="7779">
        <f ca="1"/>
        <v>207.2</v>
      </c>
      <c r="CX24" vm="7780">
        <f ca="1"/>
        <v>210.7</v>
      </c>
      <c r="CY24" vm="7781">
        <f ca="1"/>
        <v>227.66</v>
      </c>
      <c r="CZ24" vm="1806">
        <f ca="1"/>
        <v>234.34</v>
      </c>
      <c r="DA24" vm="7782">
        <f ca="1"/>
        <v>236.03</v>
      </c>
      <c r="DB24" vm="7783">
        <f ca="1"/>
        <v>234.71</v>
      </c>
      <c r="DC24" vm="7784">
        <f ca="1"/>
        <v>235.59</v>
      </c>
      <c r="DD24" vm="7785">
        <f ca="1"/>
        <v>232.46</v>
      </c>
      <c r="DE24" vm="7054">
        <f ca="1"/>
        <v>232.62</v>
      </c>
      <c r="DF24" vm="7786">
        <f ca="1"/>
        <v>224.99</v>
      </c>
      <c r="DG24" vm="7787">
        <f ca="1"/>
        <v>226.41</v>
      </c>
      <c r="DH24" vm="7788">
        <f ca="1"/>
        <v>223.15</v>
      </c>
      <c r="DI24" vm="7789">
        <f ca="1"/>
        <v>230.21</v>
      </c>
      <c r="DJ24" vm="7790">
        <f ca="1"/>
        <v>227.51</v>
      </c>
      <c r="DK24" vm="7791">
        <f ca="1"/>
        <v>227.04</v>
      </c>
      <c r="DL24" vm="7792">
        <f ca="1"/>
        <v>221.13</v>
      </c>
      <c r="DM24" vm="4172">
        <f ca="1"/>
        <v>224.38</v>
      </c>
      <c r="DN24" vm="7793">
        <f ca="1"/>
        <v>232.48</v>
      </c>
      <c r="DO24" vm="7794">
        <f ca="1"/>
        <v>236.47</v>
      </c>
      <c r="DP24" vm="7795">
        <f ca="1"/>
        <v>232.58</v>
      </c>
      <c r="DQ24" vm="7796">
        <f ca="1"/>
        <v>235.3</v>
      </c>
      <c r="DR24" vm="7797">
        <f ca="1"/>
        <v>241.19</v>
      </c>
      <c r="DS24" vm="7798">
        <f ca="1"/>
        <v>245.79</v>
      </c>
      <c r="DT24" vm="233">
        <f ca="1"/>
        <v>245.62</v>
      </c>
      <c r="DU24" vm="7799">
        <f ca="1"/>
        <v>245.12</v>
      </c>
      <c r="DV24" vm="7800">
        <f ca="1"/>
        <v>237.25</v>
      </c>
      <c r="DW24" vm="7801">
        <f ca="1"/>
        <v>245.76</v>
      </c>
      <c r="DX24" vm="7802">
        <f ca="1"/>
        <v>242.01</v>
      </c>
      <c r="DY24" vm="7803">
        <f ca="1"/>
        <v>245.48</v>
      </c>
      <c r="DZ24" vm="7804">
        <f ca="1"/>
        <v>244.21</v>
      </c>
      <c r="EA24" vm="7805">
        <f ca="1"/>
        <v>244.25</v>
      </c>
      <c r="EB24" vm="7806">
        <f ca="1"/>
        <v>253.81</v>
      </c>
      <c r="EC24" vm="7807">
        <f ca="1"/>
        <v>254.36</v>
      </c>
      <c r="ED24" vm="7808">
        <f ca="1"/>
        <v>257.77999999999997</v>
      </c>
      <c r="EE24" vm="7809">
        <f ca="1"/>
        <v>256.08999999999997</v>
      </c>
      <c r="EF24" vm="7810">
        <f ca="1"/>
        <v>256.51</v>
      </c>
      <c r="EG24" vm="7811">
        <f ca="1"/>
        <v>256.20999999999998</v>
      </c>
      <c r="EH24" vm="7812">
        <f ca="1"/>
        <v>261.81</v>
      </c>
      <c r="EI24" vm="7813">
        <f ca="1"/>
        <v>265.08999999999997</v>
      </c>
      <c r="EJ24" vm="7814">
        <f ca="1"/>
        <v>257.98</v>
      </c>
      <c r="EK24" vm="7815">
        <f ca="1"/>
        <v>263.52999999999997</v>
      </c>
      <c r="EL24" vm="7816">
        <f ca="1"/>
        <v>266.43</v>
      </c>
      <c r="EM24" vm="7817">
        <f ca="1"/>
        <v>267.49</v>
      </c>
      <c r="EN24" vm="7818">
        <f ca="1"/>
        <v>264.64</v>
      </c>
      <c r="EO24" vm="7819">
        <f ca="1"/>
        <v>261.77999999999997</v>
      </c>
      <c r="EP24" vm="7820">
        <f ca="1"/>
        <v>262.62</v>
      </c>
      <c r="EQ24" vm="7821">
        <f ca="1"/>
        <v>265.07</v>
      </c>
      <c r="ER24" vm="7822">
        <f ca="1"/>
        <v>268.94</v>
      </c>
      <c r="ES24" vm="7823">
        <f ca="1"/>
        <v>270.52</v>
      </c>
      <c r="ET24" vm="7824">
        <f ca="1"/>
        <v>271.61</v>
      </c>
      <c r="EU24" vm="7825">
        <f ca="1"/>
        <v>267.7</v>
      </c>
      <c r="EV24" vm="7826">
        <f ca="1"/>
        <v>267.12</v>
      </c>
      <c r="EW24" vm="7827">
        <f ca="1"/>
        <v>265.61</v>
      </c>
      <c r="EX24" vm="7828">
        <f ca="1"/>
        <v>265.45999999999998</v>
      </c>
      <c r="EY24" vm="7829">
        <f ca="1"/>
        <v>270.26</v>
      </c>
      <c r="EZ24" vm="7830">
        <f ca="1"/>
        <v>268.99</v>
      </c>
      <c r="FA24" vm="7831">
        <f ca="1"/>
        <v>270.33</v>
      </c>
      <c r="FB24" vm="7832">
        <f ca="1"/>
        <v>265.35000000000002</v>
      </c>
      <c r="FC24" vm="7833">
        <f ca="1"/>
        <v>261.69</v>
      </c>
      <c r="FD24" vm="7834">
        <f ca="1"/>
        <v>267.56</v>
      </c>
      <c r="FE24" vm="7835">
        <f ca="1"/>
        <v>266.13</v>
      </c>
      <c r="FF24" vm="7458">
        <f ca="1"/>
        <v>267.57</v>
      </c>
      <c r="FG24" vm="7458">
        <f ca="1"/>
        <v>267.57</v>
      </c>
      <c r="FH24" vm="7836">
        <f ca="1"/>
        <v>270.11</v>
      </c>
      <c r="FI24" vm="7837">
        <f ca="1"/>
        <v>269.19</v>
      </c>
      <c r="FJ24" vm="7838">
        <f ca="1"/>
        <v>281.79000000000002</v>
      </c>
      <c r="FK24" vm="7839">
        <f ca="1"/>
        <v>286.19</v>
      </c>
      <c r="FL24" vm="7840">
        <f ca="1"/>
        <v>284.89</v>
      </c>
      <c r="FM24" vm="7841">
        <f ca="1"/>
        <v>280.79000000000002</v>
      </c>
      <c r="FN24" vm="7842">
        <f ca="1"/>
        <v>283.64999999999998</v>
      </c>
      <c r="FO24" vm="7843">
        <f ca="1"/>
        <v>275.61</v>
      </c>
      <c r="FP24" vm="7844">
        <f ca="1"/>
        <v>273.89</v>
      </c>
      <c r="FQ24" vm="7845">
        <f ca="1"/>
        <v>274.48</v>
      </c>
      <c r="FR24" vm="7846">
        <f ca="1"/>
        <v>286.02999999999997</v>
      </c>
      <c r="FS24" vm="7847">
        <f ca="1"/>
        <v>283.31</v>
      </c>
      <c r="FT24" vm="7848">
        <f ca="1"/>
        <v>287.91000000000003</v>
      </c>
      <c r="FU24" vm="7849">
        <f ca="1"/>
        <v>288.74</v>
      </c>
      <c r="FV24" vm="7850">
        <f ca="1"/>
        <v>293.29000000000002</v>
      </c>
      <c r="FW24" vm="7851">
        <f ca="1"/>
        <v>286.18</v>
      </c>
      <c r="FX24" vm="7852">
        <f ca="1"/>
        <v>282.76</v>
      </c>
      <c r="FY24" vm="7853">
        <f ca="1"/>
        <v>282.02</v>
      </c>
      <c r="FZ24" vm="5307">
        <f ca="1"/>
        <v>286.7</v>
      </c>
      <c r="GA24" vm="7854">
        <f ca="1"/>
        <v>289.62</v>
      </c>
      <c r="GB24" vm="7855">
        <f ca="1"/>
        <v>293.27</v>
      </c>
      <c r="GC24" vm="7856">
        <f ca="1"/>
        <v>294.14999999999998</v>
      </c>
      <c r="GD24" vm="7857">
        <f ca="1"/>
        <v>296.87</v>
      </c>
      <c r="GE24" vm="7858">
        <f ca="1"/>
        <v>299.64999999999998</v>
      </c>
      <c r="GF24" vm="7859">
        <f ca="1"/>
        <v>298.75</v>
      </c>
      <c r="GG24" vm="7860">
        <f ca="1"/>
        <v>303.17</v>
      </c>
      <c r="GH24" vm="7861">
        <f ca="1"/>
        <v>306.05</v>
      </c>
      <c r="GI24" vm="7862">
        <f ca="1"/>
        <v>308.41000000000003</v>
      </c>
      <c r="GJ24" vm="7863">
        <f ca="1"/>
        <v>320.83</v>
      </c>
      <c r="GK24" vm="7864">
        <f ca="1"/>
        <v>318.72000000000003</v>
      </c>
      <c r="GL24" vm="7865">
        <f ca="1"/>
        <v>323.54000000000002</v>
      </c>
      <c r="GM24" vm="7866">
        <f ca="1"/>
        <v>322.39999999999998</v>
      </c>
      <c r="GN24" vm="7867">
        <f ca="1"/>
        <v>319.94</v>
      </c>
      <c r="GO24" vm="7868">
        <f ca="1"/>
        <v>317.92</v>
      </c>
      <c r="GP24" vm="7869">
        <f ca="1"/>
        <v>318.16000000000003</v>
      </c>
      <c r="GQ24" vm="7870">
        <f ca="1"/>
        <v>316.06</v>
      </c>
      <c r="GR24" vm="7871">
        <f ca="1"/>
        <v>319.12</v>
      </c>
      <c r="GS24" vm="7867">
        <f ca="1"/>
        <v>319.94</v>
      </c>
      <c r="GT24" vm="375">
        <f ca="1"/>
        <v>329.04</v>
      </c>
      <c r="GU24" vm="7872">
        <f ca="1"/>
        <v>329.87</v>
      </c>
      <c r="GV24" vm="7873">
        <f ca="1"/>
        <v>336.78</v>
      </c>
      <c r="GW24" vm="7874">
        <f ca="1"/>
        <v>330.18</v>
      </c>
      <c r="GX24" vm="7875">
        <f ca="1"/>
        <v>339.15</v>
      </c>
      <c r="GY24" vm="7876">
        <f ca="1"/>
        <v>339.06</v>
      </c>
      <c r="GZ24" vm="7877">
        <f ca="1"/>
        <v>315.61</v>
      </c>
      <c r="HA24" vm="7878">
        <f ca="1"/>
        <v>338.92</v>
      </c>
      <c r="HB24" vm="633">
        <f ca="1"/>
        <v>339.44</v>
      </c>
      <c r="HC24" vm="7879">
        <f ca="1"/>
        <v>349.74</v>
      </c>
      <c r="HD24" vm="7880">
        <f ca="1"/>
        <v>347.77</v>
      </c>
      <c r="HE24" vm="7881">
        <f ca="1"/>
        <v>343.17</v>
      </c>
      <c r="HF24" vm="7882">
        <f ca="1"/>
        <v>350.41</v>
      </c>
      <c r="HG24" vm="7883">
        <f ca="1"/>
        <v>344.64</v>
      </c>
      <c r="HH24" vm="7884">
        <f ca="1"/>
        <v>331.67</v>
      </c>
      <c r="HI24" vm="7885">
        <f ca="1"/>
        <v>343.86</v>
      </c>
      <c r="HJ24" vm="7886">
        <f ca="1"/>
        <v>345.28</v>
      </c>
      <c r="HK24" vm="7887">
        <f ca="1"/>
        <v>353.65</v>
      </c>
      <c r="HL24" vm="7888">
        <f ca="1"/>
        <v>350.42</v>
      </c>
      <c r="HM24" vm="7889">
        <f ca="1"/>
        <v>353.56</v>
      </c>
      <c r="HN24" vm="7890">
        <f ca="1"/>
        <v>348.28</v>
      </c>
      <c r="HO24" vm="7891">
        <f ca="1"/>
        <v>352.27</v>
      </c>
      <c r="HP24" vm="7880">
        <f ca="1"/>
        <v>347.77</v>
      </c>
      <c r="HQ24" vm="7892">
        <f ca="1"/>
        <v>328.9</v>
      </c>
      <c r="HR24" vm="7893">
        <f ca="1"/>
        <v>339</v>
      </c>
      <c r="HS24" vm="7894">
        <f ca="1"/>
        <v>332.38</v>
      </c>
      <c r="HT24" vm="7895">
        <f ca="1"/>
        <v>326.72000000000003</v>
      </c>
      <c r="HU24" vm="7896">
        <f ca="1"/>
        <v>334.19</v>
      </c>
      <c r="HV24" vm="7897">
        <f ca="1"/>
        <v>325.70999999999998</v>
      </c>
      <c r="HW24" vm="7898">
        <f ca="1"/>
        <v>326.20999999999998</v>
      </c>
      <c r="HX24" vm="7899">
        <f ca="1"/>
        <v>311.32</v>
      </c>
      <c r="HY24" vm="7900">
        <f ca="1"/>
        <v>309.99</v>
      </c>
      <c r="HZ24" vm="7901">
        <f ca="1"/>
        <v>301.39999999999998</v>
      </c>
      <c r="IA24" vm="7902">
        <f ca="1"/>
        <v>296.43</v>
      </c>
      <c r="IB24" vm="655">
        <f ca="1"/>
        <v>299.57</v>
      </c>
      <c r="IC24" vm="656">
        <f ca="1"/>
        <v>287.85000000000002</v>
      </c>
      <c r="ID24" vm="657">
        <f ca="1"/>
        <v>295.41000000000003</v>
      </c>
      <c r="IE24" vm="658">
        <f ca="1"/>
        <v>308.25</v>
      </c>
      <c r="IF24" vm="659">
        <f ca="1"/>
        <v>310.55</v>
      </c>
      <c r="IG24" vm="660">
        <f ca="1"/>
        <v>315.85000000000002</v>
      </c>
      <c r="IH24" vm="661">
        <f ca="1"/>
        <v>321.33999999999997</v>
      </c>
      <c r="II24" vm="662">
        <f ca="1"/>
        <v>317.44</v>
      </c>
      <c r="IJ24" vm="663">
        <f ca="1"/>
        <v>325.32</v>
      </c>
      <c r="IK24" vm="664">
        <f ca="1"/>
        <v>337.33</v>
      </c>
      <c r="IL24" vm="665">
        <f ca="1"/>
        <v>338.81</v>
      </c>
      <c r="IM24" vm="666">
        <f ca="1"/>
        <v>341.96</v>
      </c>
      <c r="IN24" vm="667">
        <f ca="1"/>
        <v>344.07</v>
      </c>
      <c r="IO24" vm="668">
        <f ca="1"/>
        <v>343.01</v>
      </c>
      <c r="IP24" vm="669">
        <f ca="1"/>
        <v>345.35</v>
      </c>
      <c r="IQ24" vm="670">
        <f ca="1"/>
        <v>344.74</v>
      </c>
      <c r="IR24" vm="671">
        <f ca="1"/>
        <v>328.13</v>
      </c>
      <c r="IS24" vm="672">
        <f ca="1"/>
        <v>324.54000000000002</v>
      </c>
      <c r="IT24" vm="673">
        <f ca="1"/>
        <v>322.85000000000002</v>
      </c>
      <c r="IU24" vm="674">
        <f ca="1"/>
        <v>313.77</v>
      </c>
      <c r="IV24" vm="675">
        <f ca="1"/>
        <v>319.07</v>
      </c>
      <c r="IW24" vm="26">
        <f ca="1"/>
        <v>327.17</v>
      </c>
    </row>
    <row r="25" spans="1:257" ht="16" x14ac:dyDescent="0.2">
      <c r="A25" s="10" t="e" vm="676">
        <v>#VALUE!</v>
      </c>
      <c r="B25" s="23" t="str" cm="1">
        <f t="array" aca="1" ref="B25" ca="1">_FV(A25,"ticker symbol",TRUE)</f>
        <v>IGV</v>
      </c>
      <c r="C25" s="23" t="str" cm="1">
        <f t="array" aca="1" ref="C25" ca="1">_FV(A25,"Name")</f>
        <v>iShares:Expand Tch-Sftwr</v>
      </c>
      <c r="D25" cm="1" vm="3277">
        <f t="array" aca="1" ref="D25:IW25" ca="1">TRANSPOSE(_xlfn.STOCKHISTORY(B25, WORKDAY(TODAY(), -265), TODAY(), 0, 0, 1))</f>
        <v>106.91</v>
      </c>
      <c r="E25" s="23" vm="7903">
        <f ca="1"/>
        <v>105.94</v>
      </c>
      <c r="F25" s="23" vm="7904">
        <f ca="1"/>
        <v>101.18</v>
      </c>
      <c r="G25" s="23" vm="3247">
        <f ca="1"/>
        <v>101.57</v>
      </c>
      <c r="H25" s="23" vm="7905">
        <f ca="1"/>
        <v>103.62</v>
      </c>
      <c r="I25" s="23" vm="7906">
        <f ca="1"/>
        <v>102.92</v>
      </c>
      <c r="J25" s="23" vm="7907">
        <f ca="1"/>
        <v>104.1</v>
      </c>
      <c r="K25" s="23" vm="7908">
        <f ca="1"/>
        <v>103.87</v>
      </c>
      <c r="L25" s="23" vm="7909">
        <f ca="1"/>
        <v>102.28</v>
      </c>
      <c r="M25" s="23" vm="7910">
        <f ca="1"/>
        <v>100.94</v>
      </c>
      <c r="N25" s="23" vm="3263">
        <f ca="1"/>
        <v>100.12</v>
      </c>
      <c r="O25" s="23" vm="3265">
        <f ca="1"/>
        <v>99.91</v>
      </c>
      <c r="P25" s="23" vm="4624">
        <f ca="1"/>
        <v>101.47</v>
      </c>
      <c r="Q25" s="23" vm="7911">
        <f ca="1"/>
        <v>101.68</v>
      </c>
      <c r="R25" s="23" vm="7912">
        <f ca="1"/>
        <v>99.19</v>
      </c>
      <c r="S25" s="23" vm="5595">
        <f ca="1"/>
        <v>99.2</v>
      </c>
      <c r="T25" s="23" vm="7913">
        <f ca="1"/>
        <v>97.21</v>
      </c>
      <c r="U25" s="23" vm="7914">
        <f ca="1"/>
        <v>96.36</v>
      </c>
      <c r="V25" s="23" vm="7915">
        <f ca="1"/>
        <v>97.41</v>
      </c>
      <c r="W25" s="23" vm="5523">
        <f ca="1"/>
        <v>99.17</v>
      </c>
      <c r="X25" s="23" vm="7916">
        <f ca="1"/>
        <v>99.35</v>
      </c>
      <c r="Y25" s="23" vm="3267">
        <f ca="1"/>
        <v>100.32</v>
      </c>
      <c r="Z25" s="23" vm="7917">
        <f ca="1"/>
        <v>101.95</v>
      </c>
      <c r="AA25" s="23" vm="7918">
        <f ca="1"/>
        <v>104.11</v>
      </c>
      <c r="AB25" s="23" vm="7919">
        <f ca="1"/>
        <v>104.29</v>
      </c>
      <c r="AC25" s="23" vm="7920">
        <f ca="1"/>
        <v>103.85</v>
      </c>
      <c r="AD25" vm="7921">
        <f ca="1"/>
        <v>102.13</v>
      </c>
      <c r="AE25" vm="7922">
        <f ca="1"/>
        <v>104.99</v>
      </c>
      <c r="AF25" vm="5548">
        <f ca="1"/>
        <v>103.48</v>
      </c>
      <c r="AG25" vm="4617">
        <f ca="1"/>
        <v>102.76</v>
      </c>
      <c r="AH25" vm="7923">
        <f ca="1"/>
        <v>102.89</v>
      </c>
      <c r="AI25" vm="290">
        <f ca="1"/>
        <v>102.49</v>
      </c>
      <c r="AJ25" vm="7924">
        <f ca="1"/>
        <v>104.31</v>
      </c>
      <c r="AK25" vm="7925">
        <f ca="1"/>
        <v>104.97</v>
      </c>
      <c r="AL25" vm="7926">
        <f ca="1"/>
        <v>105.24</v>
      </c>
      <c r="AM25" vm="7927">
        <f ca="1"/>
        <v>104.62</v>
      </c>
      <c r="AN25" vm="7928">
        <f ca="1"/>
        <v>106.4</v>
      </c>
      <c r="AO25" vm="7929">
        <f ca="1"/>
        <v>105.32</v>
      </c>
      <c r="AP25" vm="7930">
        <f ca="1"/>
        <v>104.96</v>
      </c>
      <c r="AQ25" vm="7931">
        <f ca="1"/>
        <v>106.67</v>
      </c>
      <c r="AR25" vm="7932">
        <f ca="1"/>
        <v>106.76</v>
      </c>
      <c r="AS25" vm="7933">
        <f ca="1"/>
        <v>107.83</v>
      </c>
      <c r="AT25" vm="7903">
        <f ca="1"/>
        <v>105.94</v>
      </c>
      <c r="AU25" vm="4634">
        <f ca="1"/>
        <v>104</v>
      </c>
      <c r="AV25" vm="7934">
        <f ca="1"/>
        <v>100.45</v>
      </c>
      <c r="AW25" vm="5595">
        <f ca="1"/>
        <v>99.2</v>
      </c>
      <c r="AX25" vm="3183">
        <f ca="1"/>
        <v>97.59</v>
      </c>
      <c r="AY25" vm="7935">
        <f ca="1"/>
        <v>98.95</v>
      </c>
      <c r="AZ25" vm="7936">
        <f ca="1"/>
        <v>96.33</v>
      </c>
      <c r="BA25" vm="7937">
        <f ca="1"/>
        <v>97.47</v>
      </c>
      <c r="BB25" vm="7938">
        <f ca="1"/>
        <v>95.63</v>
      </c>
      <c r="BC25" vm="4490">
        <f ca="1"/>
        <v>95.44</v>
      </c>
      <c r="BD25" vm="5531">
        <f ca="1"/>
        <v>97.1</v>
      </c>
      <c r="BE25" vm="7939">
        <f ca="1"/>
        <v>93.44</v>
      </c>
      <c r="BF25" vm="2051">
        <f ca="1"/>
        <v>93.42</v>
      </c>
      <c r="BG25" vm="1896">
        <f ca="1"/>
        <v>88.68</v>
      </c>
      <c r="BH25" vm="6219">
        <f ca="1"/>
        <v>89.54</v>
      </c>
      <c r="BI25" vm="1894">
        <f ca="1"/>
        <v>91.33</v>
      </c>
      <c r="BJ25" vm="6196">
        <f ca="1"/>
        <v>88.3</v>
      </c>
      <c r="BK25" vm="7940">
        <f ca="1"/>
        <v>91.66</v>
      </c>
      <c r="BL25" vm="6119">
        <f ca="1"/>
        <v>92.87</v>
      </c>
      <c r="BM25" vm="7941">
        <f ca="1"/>
        <v>91.51</v>
      </c>
      <c r="BN25" vm="7942">
        <f ca="1"/>
        <v>92.95</v>
      </c>
      <c r="BO25" vm="1314">
        <f ca="1"/>
        <v>92.57</v>
      </c>
      <c r="BP25" vm="7943">
        <f ca="1"/>
        <v>93.11</v>
      </c>
      <c r="BQ25" vm="5589">
        <f ca="1"/>
        <v>95.41</v>
      </c>
      <c r="BR25" vm="4549">
        <f ca="1"/>
        <v>96.37</v>
      </c>
      <c r="BS25" vm="6123">
        <f ca="1"/>
        <v>94.13</v>
      </c>
      <c r="BT25" vm="6116">
        <f ca="1"/>
        <v>92.52</v>
      </c>
      <c r="BU25" vm="7944">
        <f ca="1"/>
        <v>89.87</v>
      </c>
      <c r="BV25" vm="7945">
        <f ca="1"/>
        <v>88.99</v>
      </c>
      <c r="BW25" vm="7946">
        <f ca="1"/>
        <v>90.32</v>
      </c>
      <c r="BX25" vm="6806">
        <f ca="1"/>
        <v>91.52</v>
      </c>
      <c r="BY25" vm="6851">
        <f ca="1"/>
        <v>86.63</v>
      </c>
      <c r="BZ25" vm="5991">
        <f ca="1"/>
        <v>81.3</v>
      </c>
      <c r="CA25" vm="7947">
        <f ca="1"/>
        <v>81.25</v>
      </c>
      <c r="CB25" vm="7948">
        <f ca="1"/>
        <v>80.150000000000006</v>
      </c>
      <c r="CC25" vm="1711">
        <f ca="1"/>
        <v>89.49</v>
      </c>
      <c r="CD25" vm="7949">
        <f ca="1"/>
        <v>86.49</v>
      </c>
      <c r="CE25" vm="6764">
        <f ca="1"/>
        <v>87.2</v>
      </c>
      <c r="CF25" vm="7950">
        <f ca="1"/>
        <v>87.98</v>
      </c>
      <c r="CG25" vm="4534">
        <f ca="1"/>
        <v>89.09</v>
      </c>
      <c r="CH25" vm="6797">
        <f ca="1"/>
        <v>86.94</v>
      </c>
      <c r="CI25" vm="6152">
        <f ca="1"/>
        <v>86.59</v>
      </c>
      <c r="CJ25" vm="2668">
        <f ca="1"/>
        <v>83.91</v>
      </c>
      <c r="CK25" vm="7951">
        <f ca="1"/>
        <v>86.16</v>
      </c>
      <c r="CL25" vm="594">
        <f ca="1"/>
        <v>88.81</v>
      </c>
      <c r="CM25" vm="7952">
        <f ca="1"/>
        <v>93.2</v>
      </c>
      <c r="CN25" vm="2049">
        <f ca="1"/>
        <v>94.76</v>
      </c>
      <c r="CO25" vm="7953">
        <f ca="1"/>
        <v>94.875</v>
      </c>
      <c r="CP25" vm="7954">
        <f ca="1"/>
        <v>96.1</v>
      </c>
      <c r="CQ25" vm="7955">
        <f ca="1"/>
        <v>96.07</v>
      </c>
      <c r="CR25" vm="7956">
        <f ca="1"/>
        <v>97.01</v>
      </c>
      <c r="CS25" vm="1906">
        <f ca="1"/>
        <v>99.47</v>
      </c>
      <c r="CT25" vm="4566">
        <f ca="1"/>
        <v>99.37</v>
      </c>
      <c r="CU25" vm="5521">
        <f ca="1"/>
        <v>97.96</v>
      </c>
      <c r="CV25" vm="4595">
        <f ca="1"/>
        <v>98.78</v>
      </c>
      <c r="CW25" vm="3206">
        <f ca="1"/>
        <v>100.41</v>
      </c>
      <c r="CX25" vm="7957">
        <f ca="1"/>
        <v>99.69</v>
      </c>
      <c r="CY25" vm="278">
        <f ca="1"/>
        <v>102.78</v>
      </c>
      <c r="CZ25" vm="7958">
        <f ca="1"/>
        <v>104.73</v>
      </c>
      <c r="DA25" vm="7959">
        <f ca="1"/>
        <v>104.8</v>
      </c>
      <c r="DB25" vm="7960">
        <f ca="1"/>
        <v>104.4</v>
      </c>
      <c r="DC25" vm="7961">
        <f ca="1"/>
        <v>105.16</v>
      </c>
      <c r="DD25" vm="5552">
        <f ca="1"/>
        <v>104.94</v>
      </c>
      <c r="DE25" vm="7962">
        <f ca="1"/>
        <v>104.69</v>
      </c>
      <c r="DF25" vm="1057">
        <f ca="1"/>
        <v>102.17</v>
      </c>
      <c r="DG25" vm="1054">
        <f ca="1"/>
        <v>102.71</v>
      </c>
      <c r="DH25" vm="7963">
        <f ca="1"/>
        <v>101.93</v>
      </c>
      <c r="DI25" vm="7964">
        <f ca="1"/>
        <v>103.8</v>
      </c>
      <c r="DJ25" vm="7965">
        <f ca="1"/>
        <v>103.08</v>
      </c>
      <c r="DK25" vm="3250">
        <f ca="1"/>
        <v>102.35</v>
      </c>
      <c r="DL25" vm="7966">
        <f ca="1"/>
        <v>103.65</v>
      </c>
      <c r="DM25" vm="7967">
        <f ca="1"/>
        <v>103.94</v>
      </c>
      <c r="DN25" vm="7922">
        <f ca="1"/>
        <v>104.99</v>
      </c>
      <c r="DO25" vm="7959">
        <f ca="1"/>
        <v>104.8</v>
      </c>
      <c r="DP25" vm="7968">
        <f ca="1"/>
        <v>104.66</v>
      </c>
      <c r="DQ25" vm="7969">
        <f ca="1"/>
        <v>105.98</v>
      </c>
      <c r="DR25" vm="7970">
        <f ca="1"/>
        <v>106.13</v>
      </c>
      <c r="DS25" vm="7971">
        <f ca="1"/>
        <v>105.88</v>
      </c>
      <c r="DT25" vm="7972">
        <f ca="1"/>
        <v>105.79</v>
      </c>
      <c r="DU25" vm="5630">
        <f ca="1"/>
        <v>107.04</v>
      </c>
      <c r="DV25" vm="7973">
        <f ca="1"/>
        <v>106.27</v>
      </c>
      <c r="DW25" vm="80">
        <f ca="1"/>
        <v>107.4</v>
      </c>
      <c r="DX25" vm="7974">
        <f ca="1"/>
        <v>106.65</v>
      </c>
      <c r="DY25" vm="7975">
        <f ca="1"/>
        <v>106.09</v>
      </c>
      <c r="DZ25" vm="7976">
        <f ca="1"/>
        <v>105.11</v>
      </c>
      <c r="EA25" vm="7977">
        <f ca="1"/>
        <v>106.37</v>
      </c>
      <c r="EB25" vm="113">
        <f ca="1"/>
        <v>108.05</v>
      </c>
      <c r="EC25" vm="1249">
        <f ca="1"/>
        <v>107.77</v>
      </c>
      <c r="ED25" vm="7978">
        <f ca="1"/>
        <v>108.71</v>
      </c>
      <c r="EE25" vm="7979">
        <f ca="1"/>
        <v>107.78</v>
      </c>
      <c r="EF25" vm="1508">
        <f ca="1"/>
        <v>109.5</v>
      </c>
      <c r="EG25" vm="7980">
        <f ca="1"/>
        <v>108.24</v>
      </c>
      <c r="EH25" vm="7981">
        <f ca="1"/>
        <v>108.81</v>
      </c>
      <c r="EI25" vm="7982">
        <f ca="1"/>
        <v>111.27</v>
      </c>
      <c r="EJ25" vm="7983">
        <f ca="1"/>
        <v>110.71</v>
      </c>
      <c r="EK25" vm="7984">
        <f ca="1"/>
        <v>111.08</v>
      </c>
      <c r="EL25" vm="7985">
        <f ca="1"/>
        <v>111.42</v>
      </c>
      <c r="EM25" vm="7986">
        <f ca="1"/>
        <v>109.15</v>
      </c>
      <c r="EN25" vm="7987">
        <f ca="1"/>
        <v>107.48</v>
      </c>
      <c r="EO25" vm="7988">
        <f ca="1"/>
        <v>109.05</v>
      </c>
      <c r="EP25" vm="7989">
        <f ca="1"/>
        <v>108.99</v>
      </c>
      <c r="EQ25" vm="7990">
        <f ca="1"/>
        <v>109.81</v>
      </c>
      <c r="ER25" vm="5645">
        <f ca="1"/>
        <v>111.31</v>
      </c>
      <c r="ES25" vm="3077">
        <f ca="1"/>
        <v>111.06</v>
      </c>
      <c r="ET25" vm="7991">
        <f ca="1"/>
        <v>111.21</v>
      </c>
      <c r="EU25" vm="7992">
        <f ca="1"/>
        <v>110.9</v>
      </c>
      <c r="EV25" vm="1238">
        <f ca="1"/>
        <v>111.81</v>
      </c>
      <c r="EW25" vm="7993">
        <f ca="1"/>
        <v>112.09</v>
      </c>
      <c r="EX25" vm="7994">
        <f ca="1"/>
        <v>112.69</v>
      </c>
      <c r="EY25" vm="7995">
        <f ca="1"/>
        <v>112.88</v>
      </c>
      <c r="EZ25" vm="383">
        <f ca="1"/>
        <v>113.01</v>
      </c>
      <c r="FA25" vm="7996">
        <f ca="1"/>
        <v>112.72</v>
      </c>
      <c r="FB25" vm="7997">
        <f ca="1"/>
        <v>111.66</v>
      </c>
      <c r="FC25" vm="5628">
        <f ca="1"/>
        <v>108.63</v>
      </c>
      <c r="FD25" vm="7998">
        <f ca="1"/>
        <v>110.98</v>
      </c>
      <c r="FE25" vm="7999">
        <f ca="1"/>
        <v>110.55</v>
      </c>
      <c r="FF25" vm="1238">
        <f ca="1"/>
        <v>111.81</v>
      </c>
      <c r="FG25" vm="1516">
        <f ca="1"/>
        <v>109.6</v>
      </c>
      <c r="FH25" vm="8000">
        <f ca="1"/>
        <v>109.63</v>
      </c>
      <c r="FI25" vm="8001">
        <f ca="1"/>
        <v>108.37</v>
      </c>
      <c r="FJ25" vm="3067">
        <f ca="1"/>
        <v>109.56</v>
      </c>
      <c r="FK25" vm="1242">
        <f ca="1"/>
        <v>109.54</v>
      </c>
      <c r="FL25" vm="8002">
        <f ca="1"/>
        <v>108.34</v>
      </c>
      <c r="FM25" vm="8003">
        <f ca="1"/>
        <v>109.11</v>
      </c>
      <c r="FN25" vm="8004">
        <f ca="1"/>
        <v>109.41</v>
      </c>
      <c r="FO25" vm="8005">
        <f ca="1"/>
        <v>106.58</v>
      </c>
      <c r="FP25" vm="2986">
        <f ca="1"/>
        <v>106.33</v>
      </c>
      <c r="FQ25" vm="8006">
        <f ca="1"/>
        <v>105.96</v>
      </c>
      <c r="FR25" vm="8007">
        <f ca="1"/>
        <v>107.46</v>
      </c>
      <c r="FS25" vm="8008">
        <f ca="1"/>
        <v>106.69</v>
      </c>
      <c r="FT25" vm="8009">
        <f ca="1"/>
        <v>106.57</v>
      </c>
      <c r="FU25" vm="2995">
        <f ca="1"/>
        <v>107.45</v>
      </c>
      <c r="FV25" vm="8010">
        <f ca="1"/>
        <v>109.09</v>
      </c>
      <c r="FW25" vm="8011">
        <f ca="1"/>
        <v>108.1</v>
      </c>
      <c r="FX25" vm="5636">
        <f ca="1"/>
        <v>107.27</v>
      </c>
      <c r="FY25" vm="5634">
        <f ca="1"/>
        <v>107.32</v>
      </c>
      <c r="FZ25" vm="3281">
        <f ca="1"/>
        <v>106.84</v>
      </c>
      <c r="GA25" vm="1243">
        <f ca="1"/>
        <v>108.14</v>
      </c>
      <c r="GB25" vm="8012">
        <f ca="1"/>
        <v>110.02</v>
      </c>
      <c r="GC25" vm="8013">
        <f ca="1"/>
        <v>110.52</v>
      </c>
      <c r="GD25" vm="8014">
        <f ca="1"/>
        <v>112.24</v>
      </c>
      <c r="GE25" vm="1234">
        <f ca="1"/>
        <v>112.4</v>
      </c>
      <c r="GF25" vm="8015">
        <f ca="1"/>
        <v>111.67</v>
      </c>
      <c r="GG25" vm="5692">
        <f ca="1"/>
        <v>112.81</v>
      </c>
      <c r="GH25" vm="7996">
        <f ca="1"/>
        <v>112.72</v>
      </c>
      <c r="GI25" vm="8016">
        <f ca="1"/>
        <v>113.22</v>
      </c>
      <c r="GJ25" vm="8017">
        <f ca="1"/>
        <v>115.37</v>
      </c>
      <c r="GK25" vm="8018">
        <f ca="1"/>
        <v>117.19</v>
      </c>
      <c r="GL25" vm="8019">
        <f ca="1"/>
        <v>117.79</v>
      </c>
      <c r="GM25" vm="8020">
        <f ca="1"/>
        <v>116.4</v>
      </c>
      <c r="GN25" vm="8021">
        <f ca="1"/>
        <v>115.22</v>
      </c>
      <c r="GO25" vm="8022">
        <f ca="1"/>
        <v>113.895</v>
      </c>
      <c r="GP25" vm="8023">
        <f ca="1"/>
        <v>114.97</v>
      </c>
      <c r="GQ25" vm="8024">
        <f ca="1"/>
        <v>115.98</v>
      </c>
      <c r="GR25" vm="8025">
        <f ca="1"/>
        <v>115.01</v>
      </c>
      <c r="GS25" vm="8026">
        <f ca="1"/>
        <v>115.07</v>
      </c>
      <c r="GT25" vm="8027">
        <f ca="1"/>
        <v>115.72</v>
      </c>
      <c r="GU25" vm="8028">
        <f ca="1"/>
        <v>114.83</v>
      </c>
      <c r="GV25" vm="8029">
        <f ca="1"/>
        <v>115.62</v>
      </c>
      <c r="GW25" vm="8030">
        <f ca="1"/>
        <v>114.37</v>
      </c>
      <c r="GX25" vm="8031">
        <f ca="1"/>
        <v>115.69</v>
      </c>
      <c r="GY25" vm="8032">
        <f ca="1"/>
        <v>115.67</v>
      </c>
      <c r="GZ25" vm="7993">
        <f ca="1"/>
        <v>112.09</v>
      </c>
      <c r="HA25" vm="8033">
        <f ca="1"/>
        <v>114.64</v>
      </c>
      <c r="HB25" vm="5691">
        <f ca="1"/>
        <v>113.59</v>
      </c>
      <c r="HC25" vm="8034">
        <f ca="1"/>
        <v>113.29</v>
      </c>
      <c r="HD25" vm="5676">
        <f ca="1"/>
        <v>112.8</v>
      </c>
      <c r="HE25" vm="8035">
        <f ca="1"/>
        <v>112.675</v>
      </c>
      <c r="HF25" vm="8036">
        <f ca="1"/>
        <v>113.89</v>
      </c>
      <c r="HG25" vm="8025">
        <f ca="1"/>
        <v>115.01</v>
      </c>
      <c r="HH25" vm="8037">
        <f ca="1"/>
        <v>113.51</v>
      </c>
      <c r="HI25" vm="8038">
        <f ca="1"/>
        <v>114.79</v>
      </c>
      <c r="HJ25" vm="8039">
        <f ca="1"/>
        <v>116</v>
      </c>
      <c r="HK25" vm="8040">
        <f ca="1"/>
        <v>117.08</v>
      </c>
      <c r="HL25" vm="8041">
        <f ca="1"/>
        <v>116.72</v>
      </c>
      <c r="HM25" vm="8021">
        <f ca="1"/>
        <v>115.22</v>
      </c>
      <c r="HN25" vm="8042">
        <f ca="1"/>
        <v>113.97</v>
      </c>
      <c r="HO25" vm="8043">
        <f ca="1"/>
        <v>115.51</v>
      </c>
      <c r="HP25" vm="8044">
        <f ca="1"/>
        <v>115.7</v>
      </c>
      <c r="HQ25" vm="8045">
        <f ca="1"/>
        <v>112</v>
      </c>
      <c r="HR25" vm="1231">
        <f ca="1"/>
        <v>111.75</v>
      </c>
      <c r="HS25" vm="8046">
        <f ca="1"/>
        <v>109.31</v>
      </c>
      <c r="HT25" vm="8047">
        <f ca="1"/>
        <v>109.48</v>
      </c>
      <c r="HU25" vm="8048">
        <f ca="1"/>
        <v>111.78</v>
      </c>
      <c r="HV25" vm="3078">
        <f ca="1"/>
        <v>111.03</v>
      </c>
      <c r="HW25" vm="5644">
        <f ca="1"/>
        <v>109.85</v>
      </c>
      <c r="HX25" vm="3281">
        <f ca="1"/>
        <v>106.84</v>
      </c>
      <c r="HY25" vm="8049">
        <f ca="1"/>
        <v>107.44</v>
      </c>
      <c r="HZ25" vm="8050">
        <f ca="1"/>
        <v>105.49</v>
      </c>
      <c r="IA25" vm="8051">
        <f ca="1"/>
        <v>104.41</v>
      </c>
      <c r="IB25" vm="677">
        <f ca="1"/>
        <v>103.89</v>
      </c>
      <c r="IC25" vm="678">
        <f ca="1"/>
        <v>100.8</v>
      </c>
      <c r="ID25" vm="679">
        <f ca="1"/>
        <v>100.92</v>
      </c>
      <c r="IE25" vm="680">
        <f ca="1"/>
        <v>102.23</v>
      </c>
      <c r="IF25" vm="681">
        <f ca="1"/>
        <v>103.19</v>
      </c>
      <c r="IG25" vm="682">
        <f ca="1"/>
        <v>102.97</v>
      </c>
      <c r="IH25" vm="683">
        <f ca="1"/>
        <v>104.09</v>
      </c>
      <c r="II25" vm="684">
        <f ca="1"/>
        <v>104.07</v>
      </c>
      <c r="IJ25" vm="685">
        <f ca="1"/>
        <v>105.22</v>
      </c>
      <c r="IK25" vm="686">
        <f ca="1"/>
        <v>106.68</v>
      </c>
      <c r="IL25" vm="687">
        <f ca="1"/>
        <v>107.95</v>
      </c>
      <c r="IM25" vm="688">
        <f ca="1"/>
        <v>109.46</v>
      </c>
      <c r="IN25" vm="689">
        <f ca="1"/>
        <v>109.4</v>
      </c>
      <c r="IO25" vm="690">
        <f ca="1"/>
        <v>109.95</v>
      </c>
      <c r="IP25" vm="691">
        <f ca="1"/>
        <v>110.08</v>
      </c>
      <c r="IQ25" vm="692">
        <f ca="1"/>
        <v>109.78</v>
      </c>
      <c r="IR25" vm="693">
        <f ca="1"/>
        <v>107.97</v>
      </c>
      <c r="IS25" vm="694">
        <f ca="1"/>
        <v>105.39</v>
      </c>
      <c r="IT25" vm="695">
        <f ca="1"/>
        <v>106.31</v>
      </c>
      <c r="IU25" vm="696">
        <f ca="1"/>
        <v>104.7</v>
      </c>
      <c r="IV25" vm="697">
        <f ca="1"/>
        <v>106.18</v>
      </c>
      <c r="IW25" vm="28">
        <f ca="1"/>
        <v>107.76</v>
      </c>
    </row>
    <row r="26" spans="1:257" ht="16" x14ac:dyDescent="0.2">
      <c r="A26" s="10" t="e" vm="698">
        <v>#VALUE!</v>
      </c>
      <c r="B26" s="23" t="str" cm="1">
        <f t="array" aca="1" ref="B26" ca="1">_FV(A26,"ticker symbol",TRUE)</f>
        <v>XSW</v>
      </c>
      <c r="C26" s="23" t="str" cm="1">
        <f t="array" aca="1" ref="C26" ca="1">_FV(A26,"Name")</f>
        <v>SS SPDR S&amp;P Sftwre &amp; Svc</v>
      </c>
      <c r="D26" cm="1" vm="8052">
        <f t="array" aca="1" ref="D26:IW26" ca="1">TRANSPOSE(_xlfn.STOCKHISTORY(B26, WORKDAY(TODAY(), -265), TODAY(), 0, 0, 1))</f>
        <v>203.6</v>
      </c>
      <c r="E26" s="23" vm="8053">
        <f ca="1"/>
        <v>202.23</v>
      </c>
      <c r="F26" s="23" vm="8054">
        <f ca="1"/>
        <v>192.62</v>
      </c>
      <c r="G26" s="23" vm="8055">
        <f ca="1"/>
        <v>191.61</v>
      </c>
      <c r="H26" s="23" vm="883">
        <f ca="1"/>
        <v>194.59</v>
      </c>
      <c r="I26" s="23" vm="8056">
        <f ca="1"/>
        <v>193.25</v>
      </c>
      <c r="J26" s="23" vm="8057">
        <f ca="1"/>
        <v>195.09</v>
      </c>
      <c r="K26" s="23" vm="8058">
        <f ca="1"/>
        <v>197.14</v>
      </c>
      <c r="L26" s="23" vm="8059">
        <f ca="1"/>
        <v>193.08</v>
      </c>
      <c r="M26" s="23" vm="8060">
        <f ca="1"/>
        <v>190.69</v>
      </c>
      <c r="N26" s="23" vm="4422">
        <f ca="1"/>
        <v>188.96</v>
      </c>
      <c r="O26" s="23" vm="8061">
        <f ca="1"/>
        <v>189.46539999999999</v>
      </c>
      <c r="P26" s="23" vm="8062">
        <f ca="1"/>
        <v>193.85</v>
      </c>
      <c r="Q26" s="23" vm="8063">
        <f ca="1"/>
        <v>194.52</v>
      </c>
      <c r="R26" s="23" vm="8064">
        <f ca="1"/>
        <v>190.37</v>
      </c>
      <c r="S26" s="23" vm="4453">
        <f ca="1"/>
        <v>187.93</v>
      </c>
      <c r="T26" s="23" vm="8065">
        <f ca="1"/>
        <v>183.75</v>
      </c>
      <c r="U26" s="23" vm="8066">
        <f ca="1"/>
        <v>182.25</v>
      </c>
      <c r="V26" s="23" vm="8067">
        <f ca="1"/>
        <v>184.75</v>
      </c>
      <c r="W26" s="23" vm="8068">
        <f ca="1"/>
        <v>189.38</v>
      </c>
      <c r="X26" s="23" vm="4426">
        <f ca="1"/>
        <v>189.54</v>
      </c>
      <c r="Y26" s="23" vm="8069">
        <f ca="1"/>
        <v>189.82</v>
      </c>
      <c r="Z26" s="23" vm="8059">
        <f ca="1"/>
        <v>193.08</v>
      </c>
      <c r="AA26" s="23" vm="8070">
        <f ca="1"/>
        <v>193.23</v>
      </c>
      <c r="AB26" s="23" vm="8071">
        <f ca="1"/>
        <v>193.87</v>
      </c>
      <c r="AC26" s="23" vm="8072">
        <f ca="1"/>
        <v>193.76</v>
      </c>
      <c r="AD26" vm="8073">
        <f ca="1"/>
        <v>190.89</v>
      </c>
      <c r="AE26" vm="8074">
        <f ca="1"/>
        <v>196.49</v>
      </c>
      <c r="AF26" vm="8075">
        <f ca="1"/>
        <v>193.92</v>
      </c>
      <c r="AG26" vm="8076">
        <f ca="1"/>
        <v>194.62029999999999</v>
      </c>
      <c r="AH26" vm="8077">
        <f ca="1"/>
        <v>194.36</v>
      </c>
      <c r="AI26" vm="8078">
        <f ca="1"/>
        <v>193.57</v>
      </c>
      <c r="AJ26" vm="8079">
        <f ca="1"/>
        <v>196.2</v>
      </c>
      <c r="AK26" vm="8080">
        <f ca="1"/>
        <v>197.94</v>
      </c>
      <c r="AL26" vm="8081">
        <f ca="1"/>
        <v>196.85</v>
      </c>
      <c r="AM26" vm="8082">
        <f ca="1"/>
        <v>195.26</v>
      </c>
      <c r="AN26" vm="4121">
        <f ca="1"/>
        <v>197.42</v>
      </c>
      <c r="AO26" vm="8083">
        <f ca="1"/>
        <v>194.47</v>
      </c>
      <c r="AP26" vm="8084">
        <f ca="1"/>
        <v>194.17</v>
      </c>
      <c r="AQ26" vm="8085">
        <f ca="1"/>
        <v>197.17</v>
      </c>
      <c r="AR26" vm="8086">
        <f ca="1"/>
        <v>195.44</v>
      </c>
      <c r="AS26" vm="8087">
        <f ca="1"/>
        <v>195.94</v>
      </c>
      <c r="AT26" vm="8088">
        <f ca="1"/>
        <v>193.24</v>
      </c>
      <c r="AU26" vm="4439">
        <f ca="1"/>
        <v>190.35</v>
      </c>
      <c r="AV26" vm="7371">
        <f ca="1"/>
        <v>184.48</v>
      </c>
      <c r="AW26" vm="8089">
        <f ca="1"/>
        <v>181.78</v>
      </c>
      <c r="AX26" vm="8090">
        <f ca="1"/>
        <v>178.48</v>
      </c>
      <c r="AY26" vm="8091">
        <f ca="1"/>
        <v>179.19</v>
      </c>
      <c r="AZ26" vm="8092">
        <f ca="1"/>
        <v>175.56</v>
      </c>
      <c r="BA26" vm="8093">
        <f ca="1"/>
        <v>176.15</v>
      </c>
      <c r="BB26" vm="8094">
        <f ca="1"/>
        <v>171.66</v>
      </c>
      <c r="BC26" vm="8095">
        <f ca="1"/>
        <v>171.69</v>
      </c>
      <c r="BD26" vm="7762">
        <f ca="1"/>
        <v>174.62</v>
      </c>
      <c r="BE26" vm="8096">
        <f ca="1"/>
        <v>168.87</v>
      </c>
      <c r="BF26" vm="8096">
        <f ca="1"/>
        <v>168.87</v>
      </c>
      <c r="BG26" vm="8097">
        <f ca="1"/>
        <v>161.41999999999999</v>
      </c>
      <c r="BH26" vm="8098">
        <f ca="1"/>
        <v>162.05000000000001</v>
      </c>
      <c r="BI26" vm="5089">
        <f ca="1"/>
        <v>163.86</v>
      </c>
      <c r="BJ26" vm="8099">
        <f ca="1"/>
        <v>159.76</v>
      </c>
      <c r="BK26" vm="8100">
        <f ca="1"/>
        <v>166.12</v>
      </c>
      <c r="BL26" vm="8101">
        <f ca="1"/>
        <v>168.73</v>
      </c>
      <c r="BM26" vm="8102">
        <f ca="1"/>
        <v>166.84</v>
      </c>
      <c r="BN26" vm="8103">
        <f ca="1"/>
        <v>169.96</v>
      </c>
      <c r="BO26" vm="7365">
        <f ca="1"/>
        <v>167.39</v>
      </c>
      <c r="BP26" vm="1664">
        <f ca="1"/>
        <v>167.49</v>
      </c>
      <c r="BQ26" vm="8104">
        <f ca="1"/>
        <v>172.77</v>
      </c>
      <c r="BR26" vm="8105">
        <f ca="1"/>
        <v>173.71</v>
      </c>
      <c r="BS26" vm="8106">
        <f ca="1"/>
        <v>169.83</v>
      </c>
      <c r="BT26" vm="7368">
        <f ca="1"/>
        <v>166.82</v>
      </c>
      <c r="BU26" vm="5125">
        <f ca="1"/>
        <v>162.22999999999999</v>
      </c>
      <c r="BV26" vm="8107">
        <f ca="1"/>
        <v>159.86000000000001</v>
      </c>
      <c r="BW26" vm="8108">
        <f ca="1"/>
        <v>162.49</v>
      </c>
      <c r="BX26" vm="8109">
        <f ca="1"/>
        <v>164.57</v>
      </c>
      <c r="BY26" vm="8110">
        <f ca="1"/>
        <v>154.38</v>
      </c>
      <c r="BZ26" vm="858">
        <f ca="1"/>
        <v>145.87</v>
      </c>
      <c r="CA26" vm="6385">
        <f ca="1"/>
        <v>145.66</v>
      </c>
      <c r="CB26" vm="8111">
        <f ca="1"/>
        <v>141.65</v>
      </c>
      <c r="CC26" vm="8112">
        <f ca="1"/>
        <v>157.88</v>
      </c>
      <c r="CD26" vm="8113">
        <f ca="1"/>
        <v>151.22999999999999</v>
      </c>
      <c r="CE26" vm="8114">
        <f ca="1"/>
        <v>152.44</v>
      </c>
      <c r="CF26" vm="8115">
        <f ca="1"/>
        <v>152.99</v>
      </c>
      <c r="CG26" vm="8116">
        <f ca="1"/>
        <v>153.57</v>
      </c>
      <c r="CH26" vm="8117">
        <f ca="1"/>
        <v>150.44569999999999</v>
      </c>
      <c r="CI26" vm="8118">
        <f ca="1"/>
        <v>150.40180000000001</v>
      </c>
      <c r="CJ26" vm="8119">
        <f ca="1"/>
        <v>145.96719999999999</v>
      </c>
      <c r="CK26" vm="8120">
        <f ca="1"/>
        <v>150.61000000000001</v>
      </c>
      <c r="CL26" vm="8121">
        <f ca="1"/>
        <v>155.19999999999999</v>
      </c>
      <c r="CM26" vm="8122">
        <f ca="1"/>
        <v>160.9999</v>
      </c>
      <c r="CN26" vm="8123">
        <f ca="1"/>
        <v>163.11600000000001</v>
      </c>
      <c r="CO26" vm="8124">
        <f ca="1"/>
        <v>163.2028</v>
      </c>
      <c r="CP26" vm="8125">
        <f ca="1"/>
        <v>164.74</v>
      </c>
      <c r="CQ26" vm="8126">
        <f ca="1"/>
        <v>163.01</v>
      </c>
      <c r="CR26" vm="8127">
        <f ca="1"/>
        <v>164.51</v>
      </c>
      <c r="CS26" vm="8128">
        <f ca="1"/>
        <v>167.81</v>
      </c>
      <c r="CT26" vm="8129">
        <f ca="1"/>
        <v>166.45</v>
      </c>
      <c r="CU26" vm="8130">
        <f ca="1"/>
        <v>165.42</v>
      </c>
      <c r="CV26" vm="8131">
        <f ca="1"/>
        <v>167.8</v>
      </c>
      <c r="CW26" vm="8132">
        <f ca="1"/>
        <v>173.24</v>
      </c>
      <c r="CX26" vm="8133">
        <f ca="1"/>
        <v>173.13</v>
      </c>
      <c r="CY26" vm="8134">
        <f ca="1"/>
        <v>179.93</v>
      </c>
      <c r="CZ26" vm="7372">
        <f ca="1"/>
        <v>182.51</v>
      </c>
      <c r="DA26" vm="8135">
        <f ca="1"/>
        <v>181.93</v>
      </c>
      <c r="DB26" vm="8136">
        <f ca="1"/>
        <v>180.83</v>
      </c>
      <c r="DC26" vm="8137">
        <f ca="1"/>
        <v>183.69</v>
      </c>
      <c r="DD26" vm="8138">
        <f ca="1"/>
        <v>181.7465</v>
      </c>
      <c r="DE26" vm="8139">
        <f ca="1"/>
        <v>182.41</v>
      </c>
      <c r="DF26" vm="4347">
        <f ca="1"/>
        <v>177.3</v>
      </c>
      <c r="DG26" vm="8140">
        <f ca="1"/>
        <v>179.9</v>
      </c>
      <c r="DH26" vm="8141">
        <f ca="1"/>
        <v>178.06</v>
      </c>
      <c r="DI26" vm="8142">
        <f ca="1"/>
        <v>181.77</v>
      </c>
      <c r="DJ26" vm="8143">
        <f ca="1"/>
        <v>180.17</v>
      </c>
      <c r="DK26" vm="8144">
        <f ca="1"/>
        <v>179.12</v>
      </c>
      <c r="DL26" vm="4367">
        <f ca="1"/>
        <v>179.1</v>
      </c>
      <c r="DM26" vm="8145">
        <f ca="1"/>
        <v>179.3</v>
      </c>
      <c r="DN26" vm="8146">
        <f ca="1"/>
        <v>183.02</v>
      </c>
      <c r="DO26" vm="8147">
        <f ca="1"/>
        <v>185.01</v>
      </c>
      <c r="DP26" vm="8148">
        <f ca="1"/>
        <v>183.66</v>
      </c>
      <c r="DQ26" vm="8149">
        <f ca="1"/>
        <v>187.03</v>
      </c>
      <c r="DR26" vm="8150">
        <f ca="1"/>
        <v>187.15</v>
      </c>
      <c r="DS26" vm="8151">
        <f ca="1"/>
        <v>186.49</v>
      </c>
      <c r="DT26" vm="8152">
        <f ca="1"/>
        <v>185.55</v>
      </c>
      <c r="DU26" vm="4378">
        <f ca="1"/>
        <v>183.87</v>
      </c>
      <c r="DV26" vm="8153">
        <f ca="1"/>
        <v>179.28</v>
      </c>
      <c r="DW26" vm="8154">
        <f ca="1"/>
        <v>183.41</v>
      </c>
      <c r="DX26" vm="8155">
        <f ca="1"/>
        <v>181.79</v>
      </c>
      <c r="DY26" vm="8156">
        <f ca="1"/>
        <v>181.14</v>
      </c>
      <c r="DZ26" vm="8157">
        <f ca="1"/>
        <v>179.53</v>
      </c>
      <c r="EA26" vm="8158">
        <f ca="1"/>
        <v>181.21</v>
      </c>
      <c r="EB26" vm="8159">
        <f ca="1"/>
        <v>185.62</v>
      </c>
      <c r="EC26" vm="7034">
        <f ca="1"/>
        <v>183.46</v>
      </c>
      <c r="ED26" vm="1205">
        <f ca="1"/>
        <v>187.04</v>
      </c>
      <c r="EE26" vm="8160">
        <f ca="1"/>
        <v>186.46</v>
      </c>
      <c r="EF26" vm="8069">
        <f ca="1"/>
        <v>189.82</v>
      </c>
      <c r="EG26" vm="8161">
        <f ca="1"/>
        <v>189.44</v>
      </c>
      <c r="EH26" vm="710">
        <f ca="1"/>
        <v>191.7</v>
      </c>
      <c r="EI26" vm="8162">
        <f ca="1"/>
        <v>195.67</v>
      </c>
      <c r="EJ26" vm="8163">
        <f ca="1"/>
        <v>193.82</v>
      </c>
      <c r="EK26" vm="263">
        <f ca="1"/>
        <v>194.73</v>
      </c>
      <c r="EL26" vm="8164">
        <f ca="1"/>
        <v>195.53</v>
      </c>
      <c r="EM26" vm="8165">
        <f ca="1"/>
        <v>192.05</v>
      </c>
      <c r="EN26" vm="8166">
        <f ca="1"/>
        <v>185.99</v>
      </c>
      <c r="EO26" vm="8167">
        <f ca="1"/>
        <v>188.05</v>
      </c>
      <c r="EP26" vm="8168">
        <f ca="1"/>
        <v>186.7765</v>
      </c>
      <c r="EQ26" vm="8169">
        <f ca="1"/>
        <v>188.95</v>
      </c>
      <c r="ER26" vm="8170">
        <f ca="1"/>
        <v>192.09559999999999</v>
      </c>
      <c r="ES26" vm="8171">
        <f ca="1"/>
        <v>191.96</v>
      </c>
      <c r="ET26" vm="257">
        <f ca="1"/>
        <v>191.49</v>
      </c>
      <c r="EU26" vm="8172">
        <f ca="1"/>
        <v>192.91650000000001</v>
      </c>
      <c r="EV26" vm="8173">
        <f ca="1"/>
        <v>194.7072</v>
      </c>
      <c r="EW26" vm="8174">
        <f ca="1"/>
        <v>193.28129999999999</v>
      </c>
      <c r="EX26" vm="8175">
        <f ca="1"/>
        <v>193.28270000000001</v>
      </c>
      <c r="EY26" vm="8176">
        <f ca="1"/>
        <v>193.48650000000001</v>
      </c>
      <c r="EZ26" vm="8177">
        <f ca="1"/>
        <v>191.73</v>
      </c>
      <c r="FA26" vm="8178">
        <f ca="1"/>
        <v>190.41</v>
      </c>
      <c r="FB26" vm="8179">
        <f ca="1"/>
        <v>186.91</v>
      </c>
      <c r="FC26" vm="8180">
        <f ca="1"/>
        <v>180.98</v>
      </c>
      <c r="FD26" vm="8181">
        <f ca="1"/>
        <v>185.85</v>
      </c>
      <c r="FE26" vm="8182">
        <f ca="1"/>
        <v>183.3973</v>
      </c>
      <c r="FF26" vm="8183">
        <f ca="1"/>
        <v>185.37</v>
      </c>
      <c r="FG26" vm="8184">
        <f ca="1"/>
        <v>181.57</v>
      </c>
      <c r="FH26" vm="8185">
        <f ca="1"/>
        <v>178.93</v>
      </c>
      <c r="FI26" vm="5252">
        <f ca="1"/>
        <v>177.48</v>
      </c>
      <c r="FJ26" vm="4252">
        <f ca="1"/>
        <v>180.13</v>
      </c>
      <c r="FK26" vm="8186">
        <f ca="1"/>
        <v>184.70519999999999</v>
      </c>
      <c r="FL26" vm="8187">
        <f ca="1"/>
        <v>183.19</v>
      </c>
      <c r="FM26" vm="8188">
        <f ca="1"/>
        <v>183.99</v>
      </c>
      <c r="FN26" vm="8189">
        <f ca="1"/>
        <v>186.09889999999999</v>
      </c>
      <c r="FO26" vm="8190">
        <f ca="1"/>
        <v>182.86600000000001</v>
      </c>
      <c r="FP26" vm="8191">
        <f ca="1"/>
        <v>182.1087</v>
      </c>
      <c r="FQ26" vm="8192">
        <f ca="1"/>
        <v>182.1</v>
      </c>
      <c r="FR26" vm="8193">
        <f ca="1"/>
        <v>188.21</v>
      </c>
      <c r="FS26" vm="8194">
        <f ca="1"/>
        <v>185.92</v>
      </c>
      <c r="FT26" vm="4384">
        <f ca="1"/>
        <v>185.78</v>
      </c>
      <c r="FU26" vm="8195">
        <f ca="1"/>
        <v>188.94</v>
      </c>
      <c r="FV26" vm="260">
        <f ca="1"/>
        <v>190.85</v>
      </c>
      <c r="FW26" vm="8196">
        <f ca="1"/>
        <v>190.78</v>
      </c>
      <c r="FX26" vm="8197">
        <f ca="1"/>
        <v>188.74</v>
      </c>
      <c r="FY26" vm="4445">
        <f ca="1"/>
        <v>188.01</v>
      </c>
      <c r="FZ26" vm="4461">
        <f ca="1"/>
        <v>187.34</v>
      </c>
      <c r="GA26" vm="8198">
        <f ca="1"/>
        <v>190.92</v>
      </c>
      <c r="GB26" vm="8199">
        <f ca="1"/>
        <v>193.51</v>
      </c>
      <c r="GC26" vm="8200">
        <f ca="1"/>
        <v>194.72</v>
      </c>
      <c r="GD26" vm="8201">
        <f ca="1"/>
        <v>192.07</v>
      </c>
      <c r="GE26" vm="8202">
        <f ca="1"/>
        <v>195.41</v>
      </c>
      <c r="GF26" vm="8203">
        <f ca="1"/>
        <v>194.01300000000001</v>
      </c>
      <c r="GG26" vm="8204">
        <f ca="1"/>
        <v>195.5583</v>
      </c>
      <c r="GH26" vm="8205">
        <f ca="1"/>
        <v>197.08</v>
      </c>
      <c r="GI26" vm="8206">
        <f ca="1"/>
        <v>199.01</v>
      </c>
      <c r="GJ26" vm="8207">
        <f ca="1"/>
        <v>202.35</v>
      </c>
      <c r="GK26" vm="2006">
        <f ca="1"/>
        <v>201.98</v>
      </c>
      <c r="GL26" vm="8208">
        <f ca="1"/>
        <v>205.24</v>
      </c>
      <c r="GM26" vm="8209">
        <f ca="1"/>
        <v>202.87</v>
      </c>
      <c r="GN26" vm="8210">
        <f ca="1"/>
        <v>201.53219999999999</v>
      </c>
      <c r="GO26" vm="8211">
        <f ca="1"/>
        <v>197.96</v>
      </c>
      <c r="GP26" vm="4098">
        <f ca="1"/>
        <v>199.51</v>
      </c>
      <c r="GQ26" vm="8212">
        <f ca="1"/>
        <v>200.84540000000001</v>
      </c>
      <c r="GR26" vm="8213">
        <f ca="1"/>
        <v>197.76</v>
      </c>
      <c r="GS26" vm="8214">
        <f ca="1"/>
        <v>196.86</v>
      </c>
      <c r="GT26" vm="8215">
        <f ca="1"/>
        <v>199.25</v>
      </c>
      <c r="GU26" vm="8216">
        <f ca="1"/>
        <v>199.44</v>
      </c>
      <c r="GV26" vm="8217">
        <f ca="1"/>
        <v>201.88399999999999</v>
      </c>
      <c r="GW26" vm="8218">
        <f ca="1"/>
        <v>198.44</v>
      </c>
      <c r="GX26" vm="8219">
        <f ca="1"/>
        <v>201.24</v>
      </c>
      <c r="GY26" vm="8220">
        <f ca="1"/>
        <v>201.87</v>
      </c>
      <c r="GZ26" vm="8221">
        <f ca="1"/>
        <v>194.51750000000001</v>
      </c>
      <c r="HA26" vm="7349">
        <f ca="1"/>
        <v>199.38</v>
      </c>
      <c r="HB26" vm="8222">
        <f ca="1"/>
        <v>200.63</v>
      </c>
      <c r="HC26" vm="8223">
        <f ca="1"/>
        <v>200.82</v>
      </c>
      <c r="HD26" vm="8224">
        <f ca="1"/>
        <v>196.22739999999999</v>
      </c>
      <c r="HE26" vm="8225">
        <f ca="1"/>
        <v>195.3355</v>
      </c>
      <c r="HF26" vm="8226">
        <f ca="1"/>
        <v>199.11</v>
      </c>
      <c r="HG26" vm="7039">
        <f ca="1"/>
        <v>200.89</v>
      </c>
      <c r="HH26" vm="8227">
        <f ca="1"/>
        <v>196.57</v>
      </c>
      <c r="HI26" vm="8228">
        <f ca="1"/>
        <v>198.97499999999999</v>
      </c>
      <c r="HJ26" vm="8229">
        <f ca="1"/>
        <v>202.28219999999999</v>
      </c>
      <c r="HK26" vm="8230">
        <f ca="1"/>
        <v>203.47</v>
      </c>
      <c r="HL26" vm="8231">
        <f ca="1"/>
        <v>202.25</v>
      </c>
      <c r="HM26" vm="8232">
        <f ca="1"/>
        <v>197.77</v>
      </c>
      <c r="HN26" vm="8233">
        <f ca="1"/>
        <v>196.08199999999999</v>
      </c>
      <c r="HO26" vm="8234">
        <f ca="1"/>
        <v>198.52930000000001</v>
      </c>
      <c r="HP26" vm="8235">
        <f ca="1"/>
        <v>198.34</v>
      </c>
      <c r="HQ26" vm="8236">
        <f ca="1"/>
        <v>190.75</v>
      </c>
      <c r="HR26" vm="8237">
        <f ca="1"/>
        <v>193.9982</v>
      </c>
      <c r="HS26" vm="8238">
        <f ca="1"/>
        <v>189.83</v>
      </c>
      <c r="HT26" vm="8239">
        <f ca="1"/>
        <v>191.04</v>
      </c>
      <c r="HU26" vm="8240">
        <f ca="1"/>
        <v>193</v>
      </c>
      <c r="HV26" vm="8241">
        <f ca="1"/>
        <v>192.28550000000001</v>
      </c>
      <c r="HW26" vm="8242">
        <f ca="1"/>
        <v>191.37</v>
      </c>
      <c r="HX26" vm="8243">
        <f ca="1"/>
        <v>185.35</v>
      </c>
      <c r="HY26" vm="8244">
        <f ca="1"/>
        <v>184.89</v>
      </c>
      <c r="HZ26" vm="8245">
        <f ca="1"/>
        <v>179.68</v>
      </c>
      <c r="IA26" vm="8246">
        <f ca="1"/>
        <v>179.79</v>
      </c>
      <c r="IB26" vm="699">
        <f ca="1"/>
        <v>179.2336</v>
      </c>
      <c r="IC26" vm="700">
        <f ca="1"/>
        <v>175.4</v>
      </c>
      <c r="ID26" vm="701">
        <f ca="1"/>
        <v>178.44</v>
      </c>
      <c r="IE26" vm="702">
        <f ca="1"/>
        <v>180.82</v>
      </c>
      <c r="IF26" vm="703">
        <f ca="1"/>
        <v>184.57</v>
      </c>
      <c r="IG26" vm="704">
        <f ca="1"/>
        <v>183.89</v>
      </c>
      <c r="IH26" vm="705">
        <f ca="1"/>
        <v>186.39</v>
      </c>
      <c r="II26" vm="706">
        <f ca="1"/>
        <v>184.77</v>
      </c>
      <c r="IJ26" vm="707">
        <f ca="1"/>
        <v>185.72</v>
      </c>
      <c r="IK26" vm="708">
        <f ca="1"/>
        <v>189.39</v>
      </c>
      <c r="IL26" vm="709">
        <f ca="1"/>
        <v>191.56</v>
      </c>
      <c r="IM26" vm="710">
        <f ca="1"/>
        <v>191.7</v>
      </c>
      <c r="IN26" vm="711">
        <f ca="1"/>
        <v>192.923</v>
      </c>
      <c r="IO26" vm="712">
        <f ca="1"/>
        <v>194.81</v>
      </c>
      <c r="IP26" vm="713">
        <f ca="1"/>
        <v>195.34</v>
      </c>
      <c r="IQ26" vm="714">
        <f ca="1"/>
        <v>195.8</v>
      </c>
      <c r="IR26" vm="715">
        <f ca="1"/>
        <v>192.58</v>
      </c>
      <c r="IS26" vm="716">
        <f ca="1"/>
        <v>186.85</v>
      </c>
      <c r="IT26" vm="717">
        <f ca="1"/>
        <v>188.535</v>
      </c>
      <c r="IU26" vm="718">
        <f ca="1"/>
        <v>187.58</v>
      </c>
      <c r="IV26" vm="719">
        <f ca="1"/>
        <v>189.17</v>
      </c>
      <c r="IW26" vm="30">
        <f ca="1"/>
        <v>190.71969999999999</v>
      </c>
    </row>
    <row r="27" spans="1:257" ht="16" x14ac:dyDescent="0.2">
      <c r="A27" s="10" t="e" vm="720">
        <v>#VALUE!</v>
      </c>
      <c r="B27" s="23" t="str" cm="1">
        <f t="array" aca="1" ref="B27" ca="1">_FV(A27,"ticker symbol",TRUE)</f>
        <v>IGM</v>
      </c>
      <c r="C27" s="23" t="str" cm="1">
        <f t="array" aca="1" ref="C27" ca="1">_FV(A27,"Name")</f>
        <v>iShares:Exp Tech Sector</v>
      </c>
      <c r="D27" cm="1" vm="8247">
        <f t="array" aca="1" ref="D27:IW27" ca="1">TRANSPOSE(_xlfn.STOCKHISTORY(B27, WORKDAY(TODAY(), -265), TODAY(), 0, 0, 1))</f>
        <v>106.95</v>
      </c>
      <c r="E27" s="23" vm="8248">
        <f ca="1"/>
        <v>106</v>
      </c>
      <c r="F27" s="23" vm="8249">
        <f ca="1"/>
        <v>102.24</v>
      </c>
      <c r="G27" s="23" vm="1057">
        <f ca="1"/>
        <v>102.17</v>
      </c>
      <c r="H27" s="23" vm="5548">
        <f ca="1"/>
        <v>103.48</v>
      </c>
      <c r="I27" s="23" vm="8250">
        <f ca="1"/>
        <v>104.55</v>
      </c>
      <c r="J27" s="23" vm="8251">
        <f ca="1"/>
        <v>105.75</v>
      </c>
      <c r="K27" s="23" vm="8252">
        <f ca="1"/>
        <v>105.77</v>
      </c>
      <c r="L27" s="23" vm="8253">
        <f ca="1"/>
        <v>104.35</v>
      </c>
      <c r="M27" s="23" vm="4621">
        <f ca="1"/>
        <v>102.95</v>
      </c>
      <c r="N27" s="23" vm="8254">
        <f ca="1"/>
        <v>102.09</v>
      </c>
      <c r="O27" s="23" vm="5604">
        <f ca="1"/>
        <v>102.26</v>
      </c>
      <c r="P27" s="23" vm="677">
        <f ca="1"/>
        <v>103.89</v>
      </c>
      <c r="Q27" s="23" vm="1083">
        <f ca="1"/>
        <v>105.61</v>
      </c>
      <c r="R27" s="23" vm="8255">
        <f ca="1"/>
        <v>103.58</v>
      </c>
      <c r="S27" s="23" vm="8256">
        <f ca="1"/>
        <v>103.29</v>
      </c>
      <c r="T27" s="23" vm="8257">
        <f ca="1"/>
        <v>101.43</v>
      </c>
      <c r="U27" s="23" vm="8258">
        <f ca="1"/>
        <v>100.66</v>
      </c>
      <c r="V27" s="23" vm="8259">
        <f ca="1"/>
        <v>100.74</v>
      </c>
      <c r="W27" s="23" vm="8260">
        <f ca="1"/>
        <v>102.98</v>
      </c>
      <c r="X27" s="23" vm="4643">
        <f ca="1"/>
        <v>102.45</v>
      </c>
      <c r="Y27" s="23" vm="279">
        <f ca="1"/>
        <v>103.92</v>
      </c>
      <c r="Z27" s="23" vm="4633">
        <f ca="1"/>
        <v>104.95</v>
      </c>
      <c r="AA27" s="23" vm="3269">
        <f ca="1"/>
        <v>107.05</v>
      </c>
      <c r="AB27" s="23" vm="8049">
        <f ca="1"/>
        <v>107.44</v>
      </c>
      <c r="AC27" s="23" vm="8261">
        <f ca="1"/>
        <v>106.94</v>
      </c>
      <c r="AD27" vm="8262">
        <f ca="1"/>
        <v>102.3</v>
      </c>
      <c r="AE27" vm="8263">
        <f ca="1"/>
        <v>104.93</v>
      </c>
      <c r="AF27" vm="7924">
        <f ca="1"/>
        <v>104.31</v>
      </c>
      <c r="AG27" vm="8264">
        <f ca="1"/>
        <v>105.15</v>
      </c>
      <c r="AH27" vm="8265">
        <f ca="1"/>
        <v>105</v>
      </c>
      <c r="AI27" vm="4631">
        <f ca="1"/>
        <v>103.99</v>
      </c>
      <c r="AJ27" vm="8266">
        <f ca="1"/>
        <v>105.63</v>
      </c>
      <c r="AK27" vm="8267">
        <f ca="1"/>
        <v>106.16</v>
      </c>
      <c r="AL27" vm="2986">
        <f ca="1"/>
        <v>106.33</v>
      </c>
      <c r="AM27" vm="8268">
        <f ca="1"/>
        <v>105.36</v>
      </c>
      <c r="AN27" vm="8269">
        <f ca="1"/>
        <v>106.82</v>
      </c>
      <c r="AO27" vm="8270">
        <f ca="1"/>
        <v>106.53</v>
      </c>
      <c r="AP27" vm="1084">
        <f ca="1"/>
        <v>106.34</v>
      </c>
      <c r="AQ27" vm="8271">
        <f ca="1"/>
        <v>107.8</v>
      </c>
      <c r="AR27" vm="8272">
        <f ca="1"/>
        <v>108.11</v>
      </c>
      <c r="AS27" vm="8273">
        <f ca="1"/>
        <v>108.46</v>
      </c>
      <c r="AT27" vm="8274">
        <f ca="1"/>
        <v>108.17</v>
      </c>
      <c r="AU27" vm="80">
        <f ca="1"/>
        <v>107.4</v>
      </c>
      <c r="AV27" vm="8051">
        <f ca="1"/>
        <v>104.41</v>
      </c>
      <c r="AW27" vm="8275">
        <f ca="1"/>
        <v>102.81</v>
      </c>
      <c r="AX27" vm="4639">
        <f ca="1"/>
        <v>101.09</v>
      </c>
      <c r="AY27" vm="4615">
        <f ca="1"/>
        <v>102.18</v>
      </c>
      <c r="AZ27" vm="8276">
        <f ca="1"/>
        <v>98.76</v>
      </c>
      <c r="BA27" vm="8277">
        <f ca="1"/>
        <v>100.09</v>
      </c>
      <c r="BB27" vm="8278">
        <f ca="1"/>
        <v>97.24</v>
      </c>
      <c r="BC27" vm="8279">
        <f ca="1"/>
        <v>97.15</v>
      </c>
      <c r="BD27" vm="8280">
        <f ca="1"/>
        <v>98.82</v>
      </c>
      <c r="BE27" vm="5589">
        <f ca="1"/>
        <v>95.41</v>
      </c>
      <c r="BF27" vm="3190">
        <f ca="1"/>
        <v>96.47</v>
      </c>
      <c r="BG27" vm="6827">
        <f ca="1"/>
        <v>92.15</v>
      </c>
      <c r="BH27" vm="8281">
        <f ca="1"/>
        <v>92.17</v>
      </c>
      <c r="BI27" vm="4501">
        <f ca="1"/>
        <v>93.77</v>
      </c>
      <c r="BJ27" vm="6836">
        <f ca="1"/>
        <v>91.68</v>
      </c>
      <c r="BK27" vm="4488">
        <f ca="1"/>
        <v>94.39</v>
      </c>
      <c r="BL27" vm="8282">
        <f ca="1"/>
        <v>95.03</v>
      </c>
      <c r="BM27" vm="6081">
        <f ca="1"/>
        <v>93.24</v>
      </c>
      <c r="BN27" vm="8283">
        <f ca="1"/>
        <v>94.62</v>
      </c>
      <c r="BO27" vm="8284">
        <f ca="1"/>
        <v>94.07</v>
      </c>
      <c r="BP27" vm="8285">
        <f ca="1"/>
        <v>94.55</v>
      </c>
      <c r="BQ27" vm="8286">
        <f ca="1"/>
        <v>96.66</v>
      </c>
      <c r="BR27" vm="7913">
        <f ca="1"/>
        <v>97.21</v>
      </c>
      <c r="BS27" vm="2049">
        <f ca="1"/>
        <v>94.76</v>
      </c>
      <c r="BT27" vm="8287">
        <f ca="1"/>
        <v>93.6</v>
      </c>
      <c r="BU27" vm="1843">
        <f ca="1"/>
        <v>90.81</v>
      </c>
      <c r="BV27" vm="8288">
        <f ca="1"/>
        <v>90.67</v>
      </c>
      <c r="BW27" vm="7284">
        <f ca="1"/>
        <v>91.57</v>
      </c>
      <c r="BX27" vm="8289">
        <f ca="1"/>
        <v>92.21</v>
      </c>
      <c r="BY27" vm="6136">
        <f ca="1"/>
        <v>85.77</v>
      </c>
      <c r="BZ27" vm="5979">
        <f ca="1"/>
        <v>80.569999999999993</v>
      </c>
      <c r="CA27" vm="8290">
        <f ca="1"/>
        <v>81.16</v>
      </c>
      <c r="CB27" vm="7212">
        <f ca="1"/>
        <v>79.8</v>
      </c>
      <c r="CC27" vm="2839">
        <f ca="1"/>
        <v>90.3</v>
      </c>
      <c r="CD27" vm="8291">
        <f ca="1"/>
        <v>85.95</v>
      </c>
      <c r="CE27" vm="8292">
        <f ca="1"/>
        <v>87.3</v>
      </c>
      <c r="CF27" vm="4532">
        <f ca="1"/>
        <v>87.83</v>
      </c>
      <c r="CG27" vm="6109">
        <f ca="1"/>
        <v>88.08</v>
      </c>
      <c r="CH27" vm="8293">
        <f ca="1"/>
        <v>85.44</v>
      </c>
      <c r="CI27" vm="8294">
        <f ca="1"/>
        <v>85.03</v>
      </c>
      <c r="CJ27" vm="5995">
        <f ca="1"/>
        <v>82.88</v>
      </c>
      <c r="CK27" vm="6184">
        <f ca="1"/>
        <v>85.08</v>
      </c>
      <c r="CL27" vm="8295">
        <f ca="1"/>
        <v>87.61</v>
      </c>
      <c r="CM27" vm="7281">
        <f ca="1"/>
        <v>90.89</v>
      </c>
      <c r="CN27" vm="6828">
        <f ca="1"/>
        <v>92.28</v>
      </c>
      <c r="CO27" vm="6828">
        <f ca="1"/>
        <v>92.28</v>
      </c>
      <c r="CP27" vm="8296">
        <f ca="1"/>
        <v>92.68</v>
      </c>
      <c r="CQ27" vm="8297">
        <f ca="1"/>
        <v>92.62</v>
      </c>
      <c r="CR27" vm="8298">
        <f ca="1"/>
        <v>94.19</v>
      </c>
      <c r="CS27" vm="3192">
        <f ca="1"/>
        <v>96.13</v>
      </c>
      <c r="CT27" vm="5575">
        <f ca="1"/>
        <v>95.74</v>
      </c>
      <c r="CU27" vm="8299">
        <f ca="1"/>
        <v>94.92</v>
      </c>
      <c r="CV27" vm="8300">
        <f ca="1"/>
        <v>95.23</v>
      </c>
      <c r="CW27" vm="8301">
        <f ca="1"/>
        <v>96.25</v>
      </c>
      <c r="CX27" vm="8302">
        <f ca="1"/>
        <v>96.02</v>
      </c>
      <c r="CY27" vm="7934">
        <f ca="1"/>
        <v>100.45</v>
      </c>
      <c r="CZ27" vm="8303">
        <f ca="1"/>
        <v>102.67</v>
      </c>
      <c r="DA27" vm="8304">
        <f ca="1"/>
        <v>103.53</v>
      </c>
      <c r="DB27" vm="8305">
        <f ca="1"/>
        <v>103.32</v>
      </c>
      <c r="DC27" vm="4630">
        <f ca="1"/>
        <v>103.54</v>
      </c>
      <c r="DD27" vm="283">
        <f ca="1"/>
        <v>103.46</v>
      </c>
      <c r="DE27" vm="682">
        <f ca="1"/>
        <v>102.97</v>
      </c>
      <c r="DF27" vm="8306">
        <f ca="1"/>
        <v>101.58</v>
      </c>
      <c r="DG27" vm="4627">
        <f ca="1"/>
        <v>101.86</v>
      </c>
      <c r="DH27" vm="8307">
        <f ca="1"/>
        <v>100.72</v>
      </c>
      <c r="DI27" vm="8308">
        <f ca="1"/>
        <v>103.13</v>
      </c>
      <c r="DJ27" vm="8309">
        <f ca="1"/>
        <v>102.77</v>
      </c>
      <c r="DK27" vm="4617">
        <f ca="1"/>
        <v>102.76</v>
      </c>
      <c r="DL27" vm="3239">
        <f ca="1"/>
        <v>102.66</v>
      </c>
      <c r="DM27" vm="280">
        <f ca="1"/>
        <v>103.59</v>
      </c>
      <c r="DN27" vm="8310">
        <f ca="1"/>
        <v>104.68</v>
      </c>
      <c r="DO27" vm="8311">
        <f ca="1"/>
        <v>105.38</v>
      </c>
      <c r="DP27" vm="8312">
        <f ca="1"/>
        <v>105.19</v>
      </c>
      <c r="DQ27" vm="8313">
        <f ca="1"/>
        <v>106.32</v>
      </c>
      <c r="DR27" vm="1082">
        <f ca="1"/>
        <v>106.66</v>
      </c>
      <c r="DS27" vm="2993">
        <f ca="1"/>
        <v>107.25</v>
      </c>
      <c r="DT27" vm="8314">
        <f ca="1"/>
        <v>107.01</v>
      </c>
      <c r="DU27" vm="2995">
        <f ca="1"/>
        <v>107.45</v>
      </c>
      <c r="DV27" vm="8315">
        <f ca="1"/>
        <v>105.95</v>
      </c>
      <c r="DW27" vm="8316">
        <f ca="1"/>
        <v>107.74</v>
      </c>
      <c r="DX27" vm="2992">
        <f ca="1"/>
        <v>107.07</v>
      </c>
      <c r="DY27" vm="8317">
        <f ca="1"/>
        <v>106.98</v>
      </c>
      <c r="DZ27" vm="8318">
        <f ca="1"/>
        <v>106.11</v>
      </c>
      <c r="EA27" vm="2993">
        <f ca="1"/>
        <v>107.25</v>
      </c>
      <c r="EB27" vm="8319">
        <f ca="1"/>
        <v>109.24</v>
      </c>
      <c r="EC27" vm="8320">
        <f ca="1"/>
        <v>109.96</v>
      </c>
      <c r="ED27" vm="380">
        <f ca="1"/>
        <v>111.19</v>
      </c>
      <c r="EE27" vm="3081">
        <f ca="1"/>
        <v>111.35</v>
      </c>
      <c r="EF27" vm="8321">
        <f ca="1"/>
        <v>112.34</v>
      </c>
      <c r="EG27" vm="8322">
        <f ca="1"/>
        <v>110.96</v>
      </c>
      <c r="EH27" vm="8323">
        <f ca="1"/>
        <v>111.99</v>
      </c>
      <c r="EI27" vm="8324">
        <f ca="1"/>
        <v>113.45</v>
      </c>
      <c r="EJ27" vm="8325">
        <f ca="1"/>
        <v>112.55</v>
      </c>
      <c r="EK27" vm="8326">
        <f ca="1"/>
        <v>112.73</v>
      </c>
      <c r="EL27" vm="8327">
        <f ca="1"/>
        <v>113.61</v>
      </c>
      <c r="EM27" vm="8328">
        <f ca="1"/>
        <v>113.04</v>
      </c>
      <c r="EN27" vm="8329">
        <f ca="1"/>
        <v>112.42</v>
      </c>
      <c r="EO27" vm="8330">
        <f ca="1"/>
        <v>112.75</v>
      </c>
      <c r="EP27" vm="8331">
        <f ca="1"/>
        <v>113.26</v>
      </c>
      <c r="EQ27" vm="8332">
        <f ca="1"/>
        <v>113.55</v>
      </c>
      <c r="ER27" vm="8333">
        <f ca="1"/>
        <v>114.6</v>
      </c>
      <c r="ES27" vm="8334">
        <f ca="1"/>
        <v>114.42</v>
      </c>
      <c r="ET27" vm="8335">
        <f ca="1"/>
        <v>115.11</v>
      </c>
      <c r="EU27" vm="8336">
        <f ca="1"/>
        <v>114.01</v>
      </c>
      <c r="EV27" vm="8337">
        <f ca="1"/>
        <v>114.53</v>
      </c>
      <c r="EW27" vm="8338">
        <f ca="1"/>
        <v>114.88</v>
      </c>
      <c r="EX27" vm="8339">
        <f ca="1"/>
        <v>115.19</v>
      </c>
      <c r="EY27" vm="8039">
        <f ca="1"/>
        <v>116</v>
      </c>
      <c r="EZ27" vm="8340">
        <f ca="1"/>
        <v>115.86</v>
      </c>
      <c r="FA27" vm="8341">
        <f ca="1"/>
        <v>116.11</v>
      </c>
      <c r="FB27" vm="8342">
        <f ca="1"/>
        <v>115.93</v>
      </c>
      <c r="FC27" vm="8343">
        <f ca="1"/>
        <v>113.41</v>
      </c>
      <c r="FD27" vm="8344">
        <f ca="1"/>
        <v>116.01</v>
      </c>
      <c r="FE27" vm="8345">
        <f ca="1"/>
        <v>115.02</v>
      </c>
      <c r="FF27" vm="8346">
        <f ca="1"/>
        <v>116.7</v>
      </c>
      <c r="FG27" vm="8347">
        <f ca="1"/>
        <v>116.56</v>
      </c>
      <c r="FH27" vm="8348">
        <f ca="1"/>
        <v>117.67</v>
      </c>
      <c r="FI27" vm="5666">
        <f ca="1"/>
        <v>117.03</v>
      </c>
      <c r="FJ27" vm="8349">
        <f ca="1"/>
        <v>119.02</v>
      </c>
      <c r="FK27" vm="8350">
        <f ca="1"/>
        <v>118.87</v>
      </c>
      <c r="FL27" vm="8351">
        <f ca="1"/>
        <v>118.6</v>
      </c>
      <c r="FM27" vm="8352">
        <f ca="1"/>
        <v>118.07</v>
      </c>
      <c r="FN27" vm="8352">
        <f ca="1"/>
        <v>118.07</v>
      </c>
      <c r="FO27" vm="8353">
        <f ca="1"/>
        <v>115.88</v>
      </c>
      <c r="FP27" vm="8026">
        <f ca="1"/>
        <v>115.07</v>
      </c>
      <c r="FQ27" vm="8354">
        <f ca="1"/>
        <v>114.68</v>
      </c>
      <c r="FR27" vm="5670">
        <f ca="1"/>
        <v>116.71</v>
      </c>
      <c r="FS27" vm="398">
        <f ca="1"/>
        <v>116.65</v>
      </c>
      <c r="FT27" vm="8355">
        <f ca="1"/>
        <v>117.05</v>
      </c>
      <c r="FU27" vm="8356">
        <f ca="1"/>
        <v>117.49</v>
      </c>
      <c r="FV27" vm="8357">
        <f ca="1"/>
        <v>118.93</v>
      </c>
      <c r="FW27" vm="8358">
        <f ca="1"/>
        <v>117.25</v>
      </c>
      <c r="FX27" vm="8359">
        <f ca="1"/>
        <v>116.36</v>
      </c>
      <c r="FY27" vm="8360">
        <f ca="1"/>
        <v>117.88</v>
      </c>
      <c r="FZ27" vm="8361">
        <f ca="1"/>
        <v>118.74</v>
      </c>
      <c r="GA27" vm="8362">
        <f ca="1"/>
        <v>119.46</v>
      </c>
      <c r="GB27" vm="8363">
        <f ca="1"/>
        <v>120.25</v>
      </c>
      <c r="GC27" vm="8364">
        <f ca="1"/>
        <v>120.83</v>
      </c>
      <c r="GD27" vm="8365">
        <f ca="1"/>
        <v>122.12</v>
      </c>
      <c r="GE27" vm="8366">
        <f ca="1"/>
        <v>122.44</v>
      </c>
      <c r="GF27" vm="8367">
        <f ca="1"/>
        <v>122.38</v>
      </c>
      <c r="GG27" vm="8368">
        <f ca="1"/>
        <v>124.07</v>
      </c>
      <c r="GH27" vm="8369">
        <f ca="1"/>
        <v>123.94</v>
      </c>
      <c r="GI27" vm="8370">
        <f ca="1"/>
        <v>123.62</v>
      </c>
      <c r="GJ27" vm="8371">
        <f ca="1"/>
        <v>125.49</v>
      </c>
      <c r="GK27" vm="8372">
        <f ca="1"/>
        <v>126.54</v>
      </c>
      <c r="GL27" vm="1278">
        <f ca="1"/>
        <v>127.67</v>
      </c>
      <c r="GM27" vm="8373">
        <f ca="1"/>
        <v>126.57</v>
      </c>
      <c r="GN27" vm="8374">
        <f ca="1"/>
        <v>125.63</v>
      </c>
      <c r="GO27" vm="1274">
        <f ca="1"/>
        <v>125.06</v>
      </c>
      <c r="GP27" vm="8375">
        <f ca="1"/>
        <v>125.43</v>
      </c>
      <c r="GQ27" vm="8376">
        <f ca="1"/>
        <v>125.76</v>
      </c>
      <c r="GR27" vm="1727">
        <f ca="1"/>
        <v>125.95</v>
      </c>
      <c r="GS27" vm="8377">
        <f ca="1"/>
        <v>126.81</v>
      </c>
      <c r="GT27" vm="8378">
        <f ca="1"/>
        <v>127.65</v>
      </c>
      <c r="GU27" vm="8379">
        <f ca="1"/>
        <v>127.08</v>
      </c>
      <c r="GV27" vm="8380">
        <f ca="1"/>
        <v>128.5</v>
      </c>
      <c r="GW27" vm="8381">
        <f ca="1"/>
        <v>127.47</v>
      </c>
      <c r="GX27" vm="8382">
        <f ca="1"/>
        <v>129.46</v>
      </c>
      <c r="GY27" vm="8383">
        <f ca="1"/>
        <v>129.36000000000001</v>
      </c>
      <c r="GZ27" vm="8384">
        <f ca="1"/>
        <v>124.25</v>
      </c>
      <c r="HA27" vm="8385">
        <f ca="1"/>
        <v>127.7</v>
      </c>
      <c r="HB27" vm="8386">
        <f ca="1"/>
        <v>126.32</v>
      </c>
      <c r="HC27" vm="8387">
        <f ca="1"/>
        <v>127.84</v>
      </c>
      <c r="HD27" vm="8388">
        <f ca="1"/>
        <v>127.61</v>
      </c>
      <c r="HE27" vm="3034">
        <f ca="1"/>
        <v>127.81</v>
      </c>
      <c r="HF27" vm="8389">
        <f ca="1"/>
        <v>129.49</v>
      </c>
      <c r="HG27" vm="1731">
        <f ca="1"/>
        <v>129.15</v>
      </c>
      <c r="HH27" vm="8390">
        <f ca="1"/>
        <v>127.57</v>
      </c>
      <c r="HI27" vm="1731">
        <f ca="1"/>
        <v>129.15</v>
      </c>
      <c r="HJ27" vm="8391">
        <f ca="1"/>
        <v>131.13999999999999</v>
      </c>
      <c r="HK27" vm="6609">
        <f ca="1"/>
        <v>133.6</v>
      </c>
      <c r="HL27" vm="8392">
        <f ca="1"/>
        <v>134.52000000000001</v>
      </c>
      <c r="HM27" vm="8393">
        <f ca="1"/>
        <v>135.72</v>
      </c>
      <c r="HN27" vm="8394">
        <f ca="1"/>
        <v>133.66</v>
      </c>
      <c r="HO27" vm="8395">
        <f ca="1"/>
        <v>133.86000000000001</v>
      </c>
      <c r="HP27" vm="8396">
        <f ca="1"/>
        <v>134.03</v>
      </c>
      <c r="HQ27" vm="8397">
        <f ca="1"/>
        <v>130.49</v>
      </c>
      <c r="HR27" vm="8398">
        <f ca="1"/>
        <v>131.56</v>
      </c>
      <c r="HS27" vm="737">
        <f ca="1"/>
        <v>129.41999999999999</v>
      </c>
      <c r="HT27" vm="1279">
        <f ca="1"/>
        <v>128.77000000000001</v>
      </c>
      <c r="HU27" vm="8399">
        <f ca="1"/>
        <v>132.02000000000001</v>
      </c>
      <c r="HV27" vm="8400">
        <f ca="1"/>
        <v>131.12</v>
      </c>
      <c r="HW27" vm="8401">
        <f ca="1"/>
        <v>131.11000000000001</v>
      </c>
      <c r="HX27" vm="8402">
        <f ca="1"/>
        <v>127.52</v>
      </c>
      <c r="HY27" vm="3034">
        <f ca="1"/>
        <v>127.81</v>
      </c>
      <c r="HZ27" vm="8403">
        <f ca="1"/>
        <v>126.39</v>
      </c>
      <c r="IA27" vm="1290">
        <f ca="1"/>
        <v>124.88</v>
      </c>
      <c r="IB27" vm="721">
        <f ca="1"/>
        <v>125.94</v>
      </c>
      <c r="IC27" vm="722">
        <f ca="1"/>
        <v>122.31</v>
      </c>
      <c r="ID27" vm="723">
        <f ca="1"/>
        <v>123.06</v>
      </c>
      <c r="IE27" vm="724">
        <f ca="1"/>
        <v>127.19</v>
      </c>
      <c r="IF27" vm="725">
        <f ca="1"/>
        <v>128.08000000000001</v>
      </c>
      <c r="IG27" vm="726">
        <f ca="1"/>
        <v>129.22999999999999</v>
      </c>
      <c r="IH27" vm="727">
        <f ca="1"/>
        <v>130.44999999999999</v>
      </c>
      <c r="II27" vm="728">
        <f ca="1"/>
        <v>129.81</v>
      </c>
      <c r="IJ27" vm="729">
        <f ca="1"/>
        <v>130.96</v>
      </c>
      <c r="IK27" vm="730">
        <f ca="1"/>
        <v>131.35</v>
      </c>
      <c r="IL27" vm="731">
        <f ca="1"/>
        <v>131.77000000000001</v>
      </c>
      <c r="IM27" vm="732">
        <f ca="1"/>
        <v>132.77000000000001</v>
      </c>
      <c r="IN27" vm="733">
        <f ca="1"/>
        <v>133.1</v>
      </c>
      <c r="IO27" vm="734">
        <f ca="1"/>
        <v>133.59</v>
      </c>
      <c r="IP27" vm="735">
        <f ca="1"/>
        <v>134.22</v>
      </c>
      <c r="IQ27" vm="736">
        <f ca="1"/>
        <v>133.43</v>
      </c>
      <c r="IR27" vm="737">
        <f ca="1"/>
        <v>129.41999999999999</v>
      </c>
      <c r="IS27" vm="738">
        <f ca="1"/>
        <v>127.85</v>
      </c>
      <c r="IT27" vm="739">
        <f ca="1"/>
        <v>128.04</v>
      </c>
      <c r="IU27" vm="740">
        <f ca="1"/>
        <v>125.15</v>
      </c>
      <c r="IV27" vm="741">
        <f ca="1"/>
        <v>127.12</v>
      </c>
      <c r="IW27" vm="32">
        <f ca="1"/>
        <v>129.5</v>
      </c>
    </row>
    <row r="28" spans="1:257" ht="16" x14ac:dyDescent="0.2">
      <c r="A28" s="10" t="e" vm="742">
        <v>#VALUE!</v>
      </c>
      <c r="B28" s="23" t="str" cm="1">
        <f t="array" aca="1" ref="B28" ca="1">_FV(A28,"ticker symbol",TRUE)</f>
        <v>VGT</v>
      </c>
      <c r="C28" s="23" t="str" cm="1">
        <f t="array" aca="1" ref="C28" ca="1">_FV(A28,"Name")</f>
        <v>Vanguard InfoTch Idx;ETF</v>
      </c>
      <c r="D28" cm="1" vm="8404">
        <f t="array" aca="1" ref="D28:IW28" ca="1">TRANSPOSE(_xlfn.STOCKHISTORY(B28, WORKDAY(TODAY(), -265), TODAY(), 0, 0, 1))</f>
        <v>647.97</v>
      </c>
      <c r="E28" s="23" vm="8405">
        <f ca="1"/>
        <v>643.98</v>
      </c>
      <c r="F28" s="23" vm="8406">
        <f ca="1"/>
        <v>621.26</v>
      </c>
      <c r="G28" s="23" vm="8407">
        <f ca="1"/>
        <v>621.79</v>
      </c>
      <c r="H28" s="23" vm="8408">
        <f ca="1"/>
        <v>631.61</v>
      </c>
      <c r="I28" s="23" vm="8409">
        <f ca="1"/>
        <v>637.45000000000005</v>
      </c>
      <c r="J28" s="23" vm="8410">
        <f ca="1"/>
        <v>644.45000000000005</v>
      </c>
      <c r="K28" s="23" vm="8411">
        <f ca="1"/>
        <v>645.57000000000005</v>
      </c>
      <c r="L28" s="23" vm="8412">
        <f ca="1"/>
        <v>635.5</v>
      </c>
      <c r="M28" s="23" vm="8413">
        <f ca="1"/>
        <v>627.57000000000005</v>
      </c>
      <c r="N28" s="23" vm="8414">
        <f ca="1"/>
        <v>621.79999999999995</v>
      </c>
      <c r="O28" s="23" vm="8415">
        <f ca="1"/>
        <v>621.34</v>
      </c>
      <c r="P28" s="23" vm="8416">
        <f ca="1"/>
        <v>632.9</v>
      </c>
      <c r="Q28" s="23" vm="8417">
        <f ca="1"/>
        <v>641.58000000000004</v>
      </c>
      <c r="R28" s="23" vm="8418">
        <f ca="1"/>
        <v>627.47</v>
      </c>
      <c r="S28" s="23" vm="8419">
        <f ca="1"/>
        <v>626.79999999999995</v>
      </c>
      <c r="T28" s="23" vm="8420">
        <f ca="1"/>
        <v>613.44000000000005</v>
      </c>
      <c r="U28" s="23" vm="8421">
        <f ca="1"/>
        <v>608.41999999999996</v>
      </c>
      <c r="V28" s="23" vm="8422">
        <f ca="1"/>
        <v>609.87</v>
      </c>
      <c r="W28" s="23" vm="8423">
        <f ca="1"/>
        <v>623.39</v>
      </c>
      <c r="X28" s="23" vm="8424">
        <f ca="1"/>
        <v>618.16</v>
      </c>
      <c r="Y28" s="23" vm="8418">
        <f ca="1"/>
        <v>627.47</v>
      </c>
      <c r="Z28" s="23" vm="8425">
        <f ca="1"/>
        <v>632.6</v>
      </c>
      <c r="AA28" s="23" vm="8426">
        <f ca="1"/>
        <v>645.27</v>
      </c>
      <c r="AB28" s="23" vm="8427">
        <f ca="1"/>
        <v>646.34</v>
      </c>
      <c r="AC28" s="23" vm="8428">
        <f ca="1"/>
        <v>640.13</v>
      </c>
      <c r="AD28" vm="3470">
        <f ca="1"/>
        <v>606.78</v>
      </c>
      <c r="AE28" vm="8429">
        <f ca="1"/>
        <v>625.71</v>
      </c>
      <c r="AF28" vm="8430">
        <f ca="1"/>
        <v>619.84</v>
      </c>
      <c r="AG28" vm="8431">
        <f ca="1"/>
        <v>619.9</v>
      </c>
      <c r="AH28" vm="8432">
        <f ca="1"/>
        <v>616.61</v>
      </c>
      <c r="AI28" vm="8433">
        <f ca="1"/>
        <v>607.85</v>
      </c>
      <c r="AJ28" vm="8434">
        <f ca="1"/>
        <v>616</v>
      </c>
      <c r="AK28" vm="8435">
        <f ca="1"/>
        <v>624.69000000000005</v>
      </c>
      <c r="AL28" vm="8436">
        <f ca="1"/>
        <v>627.03</v>
      </c>
      <c r="AM28" vm="8437">
        <f ca="1"/>
        <v>621.04999999999995</v>
      </c>
      <c r="AN28" vm="3489">
        <f ca="1"/>
        <v>628.86</v>
      </c>
      <c r="AO28" vm="3486">
        <f ca="1"/>
        <v>628.04</v>
      </c>
      <c r="AP28" vm="8438">
        <f ca="1"/>
        <v>627.22</v>
      </c>
      <c r="AQ28" vm="8439">
        <f ca="1"/>
        <v>636.95000000000005</v>
      </c>
      <c r="AR28" vm="8440">
        <f ca="1"/>
        <v>639.87</v>
      </c>
      <c r="AS28" vm="8441">
        <f ca="1"/>
        <v>644.1</v>
      </c>
      <c r="AT28" vm="8442">
        <f ca="1"/>
        <v>643.66</v>
      </c>
      <c r="AU28" vm="8443">
        <f ca="1"/>
        <v>641.51</v>
      </c>
      <c r="AV28" vm="8444">
        <f ca="1"/>
        <v>624.14</v>
      </c>
      <c r="AW28" vm="8445">
        <f ca="1"/>
        <v>615.04</v>
      </c>
      <c r="AX28" vm="8446">
        <f ca="1"/>
        <v>605.95000000000005</v>
      </c>
      <c r="AY28" vm="8447">
        <f ca="1"/>
        <v>610.47</v>
      </c>
      <c r="AZ28" vm="8448">
        <f ca="1"/>
        <v>588.97</v>
      </c>
      <c r="BA28" vm="8449">
        <f ca="1"/>
        <v>598.48</v>
      </c>
      <c r="BB28" vm="8450">
        <f ca="1"/>
        <v>578.36</v>
      </c>
      <c r="BC28" vm="8451">
        <f ca="1"/>
        <v>578.20000000000005</v>
      </c>
      <c r="BD28" vm="8452">
        <f ca="1"/>
        <v>586.91999999999996</v>
      </c>
      <c r="BE28" vm="8453">
        <f ca="1"/>
        <v>568.86</v>
      </c>
      <c r="BF28" vm="8454">
        <f ca="1"/>
        <v>575.87</v>
      </c>
      <c r="BG28" vm="8455">
        <f ca="1"/>
        <v>550.07000000000005</v>
      </c>
      <c r="BH28" vm="8456">
        <f ca="1"/>
        <v>548.37</v>
      </c>
      <c r="BI28" vm="8457">
        <f ca="1"/>
        <v>556.46</v>
      </c>
      <c r="BJ28" vm="8458">
        <f ca="1"/>
        <v>546.44000000000005</v>
      </c>
      <c r="BK28" vm="8459">
        <f ca="1"/>
        <v>563.01</v>
      </c>
      <c r="BL28" vm="8460">
        <f ca="1"/>
        <v>566.35</v>
      </c>
      <c r="BM28" vm="8461">
        <f ca="1"/>
        <v>558.30999999999995</v>
      </c>
      <c r="BN28" vm="8462">
        <f ca="1"/>
        <v>565.88</v>
      </c>
      <c r="BO28" vm="8463">
        <f ca="1"/>
        <v>562.71</v>
      </c>
      <c r="BP28" vm="8464">
        <f ca="1"/>
        <v>564.61</v>
      </c>
      <c r="BQ28" vm="8465">
        <f ca="1"/>
        <v>575.39</v>
      </c>
      <c r="BR28" vm="3746">
        <f ca="1"/>
        <v>577.08000000000004</v>
      </c>
      <c r="BS28" vm="8466">
        <f ca="1"/>
        <v>563.20000000000005</v>
      </c>
      <c r="BT28" vm="8467">
        <f ca="1"/>
        <v>557.24</v>
      </c>
      <c r="BU28" vm="8468">
        <f ca="1"/>
        <v>543.24</v>
      </c>
      <c r="BV28" vm="8469">
        <f ca="1"/>
        <v>542.38</v>
      </c>
      <c r="BW28" vm="8470">
        <f ca="1"/>
        <v>546.94000000000005</v>
      </c>
      <c r="BX28" vm="8471">
        <f ca="1"/>
        <v>551.44000000000005</v>
      </c>
      <c r="BY28" vm="8472">
        <f ca="1"/>
        <v>511.5</v>
      </c>
      <c r="BZ28" vm="8473">
        <f ca="1"/>
        <v>478.6</v>
      </c>
      <c r="CA28" vm="8474">
        <f ca="1"/>
        <v>479.96</v>
      </c>
      <c r="CB28" vm="8475">
        <f ca="1"/>
        <v>470.37</v>
      </c>
      <c r="CC28" vm="8476">
        <f ca="1"/>
        <v>533.78</v>
      </c>
      <c r="CD28" vm="8477">
        <f ca="1"/>
        <v>509.77</v>
      </c>
      <c r="CE28" vm="8478">
        <f ca="1"/>
        <v>520.14</v>
      </c>
      <c r="CF28" vm="8479">
        <f ca="1"/>
        <v>523.80999999999995</v>
      </c>
      <c r="CG28" vm="8480">
        <f ca="1"/>
        <v>525.79</v>
      </c>
      <c r="CH28" vm="8481">
        <f ca="1"/>
        <v>507.75</v>
      </c>
      <c r="CI28" vm="8482">
        <f ca="1"/>
        <v>505.53</v>
      </c>
      <c r="CJ28" vm="8483">
        <f ca="1"/>
        <v>491.75</v>
      </c>
      <c r="CK28" vm="8484">
        <f ca="1"/>
        <v>503.85</v>
      </c>
      <c r="CL28" vm="8485">
        <f ca="1"/>
        <v>518.88</v>
      </c>
      <c r="CM28" vm="8486">
        <f ca="1"/>
        <v>538.39</v>
      </c>
      <c r="CN28" vm="8487">
        <f ca="1"/>
        <v>546.54999999999995</v>
      </c>
      <c r="CO28" vm="8488">
        <f ca="1"/>
        <v>545.51</v>
      </c>
      <c r="CP28" vm="8489">
        <f ca="1"/>
        <v>548.15</v>
      </c>
      <c r="CQ28" vm="8490">
        <f ca="1"/>
        <v>549.45000000000005</v>
      </c>
      <c r="CR28" vm="8491">
        <f ca="1"/>
        <v>559.15</v>
      </c>
      <c r="CS28" vm="8492">
        <f ca="1"/>
        <v>567.54</v>
      </c>
      <c r="CT28" vm="8493">
        <f ca="1"/>
        <v>563.70000000000005</v>
      </c>
      <c r="CU28" vm="8494">
        <f ca="1"/>
        <v>558.92999999999995</v>
      </c>
      <c r="CV28" vm="8495">
        <f ca="1"/>
        <v>564.51</v>
      </c>
      <c r="CW28" vm="8496">
        <f ca="1"/>
        <v>571.17999999999995</v>
      </c>
      <c r="CX28" vm="8497">
        <f ca="1"/>
        <v>571.20000000000005</v>
      </c>
      <c r="CY28" vm="8498">
        <f ca="1"/>
        <v>598.19000000000005</v>
      </c>
      <c r="CZ28" vm="3384">
        <f ca="1"/>
        <v>611.49</v>
      </c>
      <c r="DA28" vm="8499">
        <f ca="1"/>
        <v>615.83000000000004</v>
      </c>
      <c r="DB28" vm="8500">
        <f ca="1"/>
        <v>615.54999999999995</v>
      </c>
      <c r="DC28" vm="8501">
        <f ca="1"/>
        <v>616.71</v>
      </c>
      <c r="DD28" vm="8502">
        <f ca="1"/>
        <v>615.08000000000004</v>
      </c>
      <c r="DE28" vm="8503">
        <f ca="1"/>
        <v>612.91999999999996</v>
      </c>
      <c r="DF28" vm="4882">
        <f ca="1"/>
        <v>601.17999999999995</v>
      </c>
      <c r="DG28" vm="8504">
        <f ca="1"/>
        <v>602.19000000000005</v>
      </c>
      <c r="DH28" vm="8505">
        <f ca="1"/>
        <v>595.09</v>
      </c>
      <c r="DI28" vm="8506">
        <f ca="1"/>
        <v>609.71</v>
      </c>
      <c r="DJ28" vm="8507">
        <f ca="1"/>
        <v>606.95000000000005</v>
      </c>
      <c r="DK28" vm="8508">
        <f ca="1"/>
        <v>609.13</v>
      </c>
      <c r="DL28" vm="8509">
        <f ca="1"/>
        <v>606.37</v>
      </c>
      <c r="DM28" vm="8510">
        <f ca="1"/>
        <v>611.88</v>
      </c>
      <c r="DN28" vm="8511">
        <f ca="1"/>
        <v>621.63</v>
      </c>
      <c r="DO28" vm="8512">
        <f ca="1"/>
        <v>623.30999999999995</v>
      </c>
      <c r="DP28" vm="8513">
        <f ca="1"/>
        <v>620.52</v>
      </c>
      <c r="DQ28" vm="8514">
        <f ca="1"/>
        <v>626.41999999999996</v>
      </c>
      <c r="DR28" vm="8515">
        <f ca="1"/>
        <v>629.14</v>
      </c>
      <c r="DS28" vm="8516">
        <f ca="1"/>
        <v>631.77</v>
      </c>
      <c r="DT28" vm="8517">
        <f ca="1"/>
        <v>629.27</v>
      </c>
      <c r="DU28" vm="8518">
        <f ca="1"/>
        <v>633.79</v>
      </c>
      <c r="DV28" vm="8519">
        <f ca="1"/>
        <v>623.29</v>
      </c>
      <c r="DW28" vm="8520">
        <f ca="1"/>
        <v>633.85</v>
      </c>
      <c r="DX28" vm="8521">
        <f ca="1"/>
        <v>629.19000000000005</v>
      </c>
      <c r="DY28" vm="8522">
        <f ca="1"/>
        <v>631.19000000000005</v>
      </c>
      <c r="DZ28" vm="8523">
        <f ca="1"/>
        <v>628.48</v>
      </c>
      <c r="EA28" vm="8524">
        <f ca="1"/>
        <v>635.15</v>
      </c>
      <c r="EB28" vm="8525">
        <f ca="1"/>
        <v>646.58000000000004</v>
      </c>
      <c r="EC28" vm="8526">
        <f ca="1"/>
        <v>652.02</v>
      </c>
      <c r="ED28" vm="8527">
        <f ca="1"/>
        <v>656.93</v>
      </c>
      <c r="EE28" vm="8528">
        <f ca="1"/>
        <v>656.54</v>
      </c>
      <c r="EF28" vm="8529">
        <f ca="1"/>
        <v>663.28</v>
      </c>
      <c r="EG28" vm="8530">
        <f ca="1"/>
        <v>656.44</v>
      </c>
      <c r="EH28" vm="8531">
        <f ca="1"/>
        <v>664.77</v>
      </c>
      <c r="EI28" vm="8532">
        <f ca="1"/>
        <v>674.02</v>
      </c>
      <c r="EJ28" vm="8533">
        <f ca="1"/>
        <v>668.08</v>
      </c>
      <c r="EK28" vm="8534">
        <f ca="1"/>
        <v>671.23</v>
      </c>
      <c r="EL28" vm="8535">
        <f ca="1"/>
        <v>676.85</v>
      </c>
      <c r="EM28" vm="8536">
        <f ca="1"/>
        <v>674.58</v>
      </c>
      <c r="EN28" vm="8537">
        <f ca="1"/>
        <v>670.33</v>
      </c>
      <c r="EO28" vm="8538">
        <f ca="1"/>
        <v>670.36</v>
      </c>
      <c r="EP28" vm="8539">
        <f ca="1"/>
        <v>676.05</v>
      </c>
      <c r="EQ28" vm="8540">
        <f ca="1"/>
        <v>679.05</v>
      </c>
      <c r="ER28" vm="8541">
        <f ca="1"/>
        <v>685.92</v>
      </c>
      <c r="ES28" vm="8542">
        <f ca="1"/>
        <v>685.53</v>
      </c>
      <c r="ET28" vm="8543">
        <f ca="1"/>
        <v>686.49</v>
      </c>
      <c r="EU28" vm="8544">
        <f ca="1"/>
        <v>679.79</v>
      </c>
      <c r="EV28" vm="8545">
        <f ca="1"/>
        <v>685.19</v>
      </c>
      <c r="EW28" vm="8546">
        <f ca="1"/>
        <v>687.13</v>
      </c>
      <c r="EX28" vm="8547">
        <f ca="1"/>
        <v>688.69</v>
      </c>
      <c r="EY28" vm="8548">
        <f ca="1"/>
        <v>694.14</v>
      </c>
      <c r="EZ28" vm="8549">
        <f ca="1"/>
        <v>692.93</v>
      </c>
      <c r="FA28" vm="8550">
        <f ca="1"/>
        <v>694.45</v>
      </c>
      <c r="FB28" vm="8551">
        <f ca="1"/>
        <v>690.47</v>
      </c>
      <c r="FC28" vm="8552">
        <f ca="1"/>
        <v>674.4</v>
      </c>
      <c r="FD28" vm="8553">
        <f ca="1"/>
        <v>689.73</v>
      </c>
      <c r="FE28" vm="8554">
        <f ca="1"/>
        <v>683.55</v>
      </c>
      <c r="FF28" vm="8555">
        <f ca="1"/>
        <v>691.85</v>
      </c>
      <c r="FG28" vm="8556">
        <f ca="1"/>
        <v>693.2</v>
      </c>
      <c r="FH28" vm="8557">
        <f ca="1"/>
        <v>699.35</v>
      </c>
      <c r="FI28" vm="8558">
        <f ca="1"/>
        <v>695.26</v>
      </c>
      <c r="FJ28" vm="8559">
        <f ca="1"/>
        <v>706.07</v>
      </c>
      <c r="FK28" vm="8560">
        <f ca="1"/>
        <v>707.29</v>
      </c>
      <c r="FL28" vm="8561">
        <f ca="1"/>
        <v>704.47</v>
      </c>
      <c r="FM28" vm="8562">
        <f ca="1"/>
        <v>700.05</v>
      </c>
      <c r="FN28" vm="8563">
        <f ca="1"/>
        <v>702.08</v>
      </c>
      <c r="FO28" vm="8564">
        <f ca="1"/>
        <v>688.81</v>
      </c>
      <c r="FP28" vm="169">
        <f ca="1"/>
        <v>683.89</v>
      </c>
      <c r="FQ28" vm="8565">
        <f ca="1"/>
        <v>682.08</v>
      </c>
      <c r="FR28" vm="8566">
        <f ca="1"/>
        <v>694.17</v>
      </c>
      <c r="FS28" vm="8567">
        <f ca="1"/>
        <v>692.48</v>
      </c>
      <c r="FT28" vm="8568">
        <f ca="1"/>
        <v>696.03</v>
      </c>
      <c r="FU28" vm="8569">
        <f ca="1"/>
        <v>700.92</v>
      </c>
      <c r="FV28" vm="8570">
        <f ca="1"/>
        <v>707.87</v>
      </c>
      <c r="FW28" vm="8571">
        <f ca="1"/>
        <v>697.02</v>
      </c>
      <c r="FX28" vm="8572">
        <f ca="1"/>
        <v>689.81</v>
      </c>
      <c r="FY28" vm="8573">
        <f ca="1"/>
        <v>692.9</v>
      </c>
      <c r="FZ28" vm="8574">
        <f ca="1"/>
        <v>697.54</v>
      </c>
      <c r="GA28" vm="8575">
        <f ca="1"/>
        <v>698.79</v>
      </c>
      <c r="GB28" vm="8576">
        <f ca="1"/>
        <v>704.92</v>
      </c>
      <c r="GC28" vm="8577">
        <f ca="1"/>
        <v>705.75</v>
      </c>
      <c r="GD28" vm="8578">
        <f ca="1"/>
        <v>714.93</v>
      </c>
      <c r="GE28" vm="8579">
        <f ca="1"/>
        <v>718.77</v>
      </c>
      <c r="GF28" vm="8580">
        <f ca="1"/>
        <v>719.57</v>
      </c>
      <c r="GG28" vm="8581">
        <f ca="1"/>
        <v>726.63</v>
      </c>
      <c r="GH28" vm="8582">
        <f ca="1"/>
        <v>724.17</v>
      </c>
      <c r="GI28" vm="8583">
        <f ca="1"/>
        <v>721.5</v>
      </c>
      <c r="GJ28" vm="8584">
        <f ca="1"/>
        <v>734.31</v>
      </c>
      <c r="GK28" vm="8585">
        <f ca="1"/>
        <v>741.17</v>
      </c>
      <c r="GL28" vm="8586">
        <f ca="1"/>
        <v>753.15</v>
      </c>
      <c r="GM28" vm="8587">
        <f ca="1"/>
        <v>745.41</v>
      </c>
      <c r="GN28" vm="8588">
        <f ca="1"/>
        <v>739.06</v>
      </c>
      <c r="GO28" vm="8589">
        <f ca="1"/>
        <v>736.83</v>
      </c>
      <c r="GP28" vm="8590">
        <f ca="1"/>
        <v>738.7</v>
      </c>
      <c r="GQ28" vm="8591">
        <f ca="1"/>
        <v>743.16</v>
      </c>
      <c r="GR28" vm="8592">
        <f ca="1"/>
        <v>746.63</v>
      </c>
      <c r="GS28" vm="8593">
        <f ca="1"/>
        <v>752.52</v>
      </c>
      <c r="GT28" vm="8594">
        <f ca="1"/>
        <v>757.99</v>
      </c>
      <c r="GU28" vm="8595">
        <f ca="1"/>
        <v>755.67</v>
      </c>
      <c r="GV28" vm="8596">
        <f ca="1"/>
        <v>762.18</v>
      </c>
      <c r="GW28" vm="8597">
        <f ca="1"/>
        <v>755.19</v>
      </c>
      <c r="GX28" vm="8598">
        <f ca="1"/>
        <v>768.02</v>
      </c>
      <c r="GY28" vm="8599">
        <f ca="1"/>
        <v>767.64</v>
      </c>
      <c r="GZ28" vm="8600">
        <f ca="1"/>
        <v>736.33</v>
      </c>
      <c r="HA28" vm="8601">
        <f ca="1"/>
        <v>755.49</v>
      </c>
      <c r="HB28" vm="8602">
        <f ca="1"/>
        <v>745.84</v>
      </c>
      <c r="HC28" vm="8603">
        <f ca="1"/>
        <v>752.77</v>
      </c>
      <c r="HD28" vm="8604">
        <f ca="1"/>
        <v>750.35</v>
      </c>
      <c r="HE28" vm="8605">
        <f ca="1"/>
        <v>752.16</v>
      </c>
      <c r="HF28" vm="8596">
        <f ca="1"/>
        <v>762.18</v>
      </c>
      <c r="HG28" vm="8606">
        <f ca="1"/>
        <v>761.41</v>
      </c>
      <c r="HH28" vm="8607">
        <f ca="1"/>
        <v>752.41</v>
      </c>
      <c r="HI28" vm="8608">
        <f ca="1"/>
        <v>762.26</v>
      </c>
      <c r="HJ28" vm="8609">
        <f ca="1"/>
        <v>774.14</v>
      </c>
      <c r="HK28" vm="8610">
        <f ca="1"/>
        <v>788.01</v>
      </c>
      <c r="HL28" vm="8611">
        <f ca="1"/>
        <v>796.14</v>
      </c>
      <c r="HM28" vm="8612">
        <f ca="1"/>
        <v>801.52</v>
      </c>
      <c r="HN28" vm="8613">
        <f ca="1"/>
        <v>790.95</v>
      </c>
      <c r="HO28" vm="8614">
        <f ca="1"/>
        <v>793.21</v>
      </c>
      <c r="HP28" vm="8615">
        <f ca="1"/>
        <v>795.95</v>
      </c>
      <c r="HQ28" vm="8616">
        <f ca="1"/>
        <v>774.45</v>
      </c>
      <c r="HR28" vm="8617">
        <f ca="1"/>
        <v>777.66</v>
      </c>
      <c r="HS28" vm="8618">
        <f ca="1"/>
        <v>762.4</v>
      </c>
      <c r="HT28" vm="8619">
        <f ca="1"/>
        <v>761.37</v>
      </c>
      <c r="HU28" vm="8620">
        <f ca="1"/>
        <v>780.37</v>
      </c>
      <c r="HV28" vm="8621">
        <f ca="1"/>
        <v>773.3</v>
      </c>
      <c r="HW28" vm="8622">
        <f ca="1"/>
        <v>774.17</v>
      </c>
      <c r="HX28" vm="8623">
        <f ca="1"/>
        <v>752.36</v>
      </c>
      <c r="HY28" vm="8624">
        <f ca="1"/>
        <v>756.26</v>
      </c>
      <c r="HZ28" vm="8625">
        <f ca="1"/>
        <v>743.7</v>
      </c>
      <c r="IA28" vm="8626">
        <f ca="1"/>
        <v>732.59</v>
      </c>
      <c r="IB28" vm="743">
        <f ca="1"/>
        <v>737.57</v>
      </c>
      <c r="IC28" vm="744">
        <f ca="1"/>
        <v>715.7</v>
      </c>
      <c r="ID28" vm="745">
        <f ca="1"/>
        <v>718.89</v>
      </c>
      <c r="IE28" vm="746">
        <f ca="1"/>
        <v>736.95</v>
      </c>
      <c r="IF28" vm="747">
        <f ca="1"/>
        <v>739.21</v>
      </c>
      <c r="IG28" vm="748">
        <f ca="1"/>
        <v>746.93</v>
      </c>
      <c r="IH28" vm="749">
        <f ca="1"/>
        <v>752.2</v>
      </c>
      <c r="II28" vm="750">
        <f ca="1"/>
        <v>751.89</v>
      </c>
      <c r="IJ28" vm="751">
        <f ca="1"/>
        <v>759.71</v>
      </c>
      <c r="IK28" vm="752">
        <f ca="1"/>
        <v>761.12</v>
      </c>
      <c r="IL28" vm="753">
        <f ca="1"/>
        <v>764.65</v>
      </c>
      <c r="IM28" vm="754">
        <f ca="1"/>
        <v>767.97</v>
      </c>
      <c r="IN28" vm="755">
        <f ca="1"/>
        <v>774.68</v>
      </c>
      <c r="IO28" vm="756">
        <f ca="1"/>
        <v>776.36</v>
      </c>
      <c r="IP28" vm="757">
        <f ca="1"/>
        <v>779.16</v>
      </c>
      <c r="IQ28" vm="758">
        <f ca="1"/>
        <v>776.34</v>
      </c>
      <c r="IR28" vm="759">
        <f ca="1"/>
        <v>753.93</v>
      </c>
      <c r="IS28" vm="760">
        <f ca="1"/>
        <v>745.51</v>
      </c>
      <c r="IT28" vm="761">
        <f ca="1"/>
        <v>746.68</v>
      </c>
      <c r="IU28" vm="762">
        <f ca="1"/>
        <v>730.42</v>
      </c>
      <c r="IV28" vm="763">
        <f ca="1"/>
        <v>740.62</v>
      </c>
      <c r="IW28" vm="34">
        <f ca="1"/>
        <v>755.54</v>
      </c>
    </row>
    <row r="29" spans="1:257" ht="16" x14ac:dyDescent="0.2">
      <c r="A29" s="10" t="e" vm="764">
        <v>#VALUE!</v>
      </c>
      <c r="B29" s="23" t="str" cm="1">
        <f t="array" aca="1" ref="B29" ca="1">_FV(A29,"ticker symbol",TRUE)</f>
        <v>XT</v>
      </c>
      <c r="C29" s="23" t="str" cm="1">
        <f t="array" aca="1" ref="C29" ca="1">_FV(A29,"Name")</f>
        <v>iShares:Fut Exp Tch</v>
      </c>
      <c r="D29" cm="1" vm="8627">
        <f t="array" aca="1" ref="D29:IW29" ca="1">TRANSPOSE(_xlfn.STOCKHISTORY(B29, WORKDAY(TODAY(), -265), TODAY(), 0, 0, 1))</f>
        <v>62.24</v>
      </c>
      <c r="E29" s="23" vm="8628">
        <f ca="1"/>
        <v>61.78</v>
      </c>
      <c r="F29" s="23" vm="8629">
        <f ca="1"/>
        <v>59.74</v>
      </c>
      <c r="G29" s="23" vm="8630">
        <f ca="1"/>
        <v>59.62</v>
      </c>
      <c r="H29" s="23" vm="8631">
        <f ca="1"/>
        <v>60.4</v>
      </c>
      <c r="I29" s="23" vm="8632">
        <f ca="1"/>
        <v>60.77</v>
      </c>
      <c r="J29" s="23" vm="8633">
        <f ca="1"/>
        <v>61.1</v>
      </c>
      <c r="K29" s="23" vm="8634">
        <f ca="1"/>
        <v>61.16</v>
      </c>
      <c r="L29" s="23" vm="8635">
        <f ca="1"/>
        <v>60.68</v>
      </c>
      <c r="M29" s="23" vm="8636">
        <f ca="1"/>
        <v>59.92</v>
      </c>
      <c r="N29" s="23" vm="8637">
        <f ca="1"/>
        <v>59.66</v>
      </c>
      <c r="O29" s="23" vm="8630">
        <f ca="1"/>
        <v>59.62</v>
      </c>
      <c r="P29" s="23" vm="8638">
        <f ca="1"/>
        <v>60.31</v>
      </c>
      <c r="Q29" s="23" vm="2536">
        <f ca="1"/>
        <v>61.06</v>
      </c>
      <c r="R29" s="23" vm="1104">
        <f ca="1"/>
        <v>60.73</v>
      </c>
      <c r="S29" s="23" vm="1590">
        <f ca="1"/>
        <v>60.42</v>
      </c>
      <c r="T29" s="23" vm="3019">
        <f ca="1"/>
        <v>59.25</v>
      </c>
      <c r="U29" s="23" vm="8639">
        <f ca="1"/>
        <v>59.15</v>
      </c>
      <c r="V29" s="23" vm="8640">
        <f ca="1"/>
        <v>59.49</v>
      </c>
      <c r="W29" s="23" vm="8641">
        <f ca="1"/>
        <v>60.3</v>
      </c>
      <c r="X29" s="23" vm="2355">
        <f ca="1"/>
        <v>60.61</v>
      </c>
      <c r="Y29" s="23" vm="8642">
        <f ca="1"/>
        <v>61.19</v>
      </c>
      <c r="Z29" s="23" vm="8643">
        <f ca="1"/>
        <v>62.03</v>
      </c>
      <c r="AA29" s="23" vm="1478">
        <f ca="1"/>
        <v>62.25</v>
      </c>
      <c r="AB29" s="23" vm="8644">
        <f ca="1"/>
        <v>62.57</v>
      </c>
      <c r="AC29" s="23" vm="8645">
        <f ca="1"/>
        <v>62.49</v>
      </c>
      <c r="AD29" vm="8646">
        <f ca="1"/>
        <v>61.5</v>
      </c>
      <c r="AE29" vm="8647">
        <f ca="1"/>
        <v>62.08</v>
      </c>
      <c r="AF29" vm="8648">
        <f ca="1"/>
        <v>61.79</v>
      </c>
      <c r="AG29" vm="8649">
        <f ca="1"/>
        <v>62.32</v>
      </c>
      <c r="AH29" vm="8650">
        <f ca="1"/>
        <v>62.06</v>
      </c>
      <c r="AI29" vm="8651">
        <f ca="1"/>
        <v>61.29</v>
      </c>
      <c r="AJ29" vm="8652">
        <f ca="1"/>
        <v>62.17</v>
      </c>
      <c r="AK29" vm="8653">
        <f ca="1"/>
        <v>62.71</v>
      </c>
      <c r="AL29" vm="2539">
        <f ca="1"/>
        <v>62.73</v>
      </c>
      <c r="AM29" vm="8654">
        <f ca="1"/>
        <v>62.35</v>
      </c>
      <c r="AN29" vm="8655">
        <f ca="1"/>
        <v>62.94</v>
      </c>
      <c r="AO29" vm="114">
        <f ca="1"/>
        <v>62.62</v>
      </c>
      <c r="AP29" vm="8656">
        <f ca="1"/>
        <v>62.82</v>
      </c>
      <c r="AQ29" vm="8657">
        <f ca="1"/>
        <v>63.43</v>
      </c>
      <c r="AR29" vm="8658">
        <f ca="1"/>
        <v>63.38</v>
      </c>
      <c r="AS29" vm="8659">
        <f ca="1"/>
        <v>63.86</v>
      </c>
      <c r="AT29" vm="8660">
        <f ca="1"/>
        <v>63.95</v>
      </c>
      <c r="AU29" vm="8661">
        <f ca="1"/>
        <v>64</v>
      </c>
      <c r="AV29" vm="8662">
        <f ca="1"/>
        <v>62.97</v>
      </c>
      <c r="AW29" vm="1596">
        <f ca="1"/>
        <v>62.41</v>
      </c>
      <c r="AX29" vm="8627">
        <f ca="1"/>
        <v>62.24</v>
      </c>
      <c r="AY29" vm="8663">
        <f ca="1"/>
        <v>62.55</v>
      </c>
      <c r="AZ29" vm="8664">
        <f ca="1"/>
        <v>61.07</v>
      </c>
      <c r="BA29" vm="8665">
        <f ca="1"/>
        <v>61.2</v>
      </c>
      <c r="BB29" vm="1098">
        <f ca="1"/>
        <v>60.32</v>
      </c>
      <c r="BC29" vm="8666">
        <f ca="1"/>
        <v>60.35</v>
      </c>
      <c r="BD29" vm="8667">
        <f ca="1"/>
        <v>61.53</v>
      </c>
      <c r="BE29" vm="8668">
        <f ca="1"/>
        <v>60.29</v>
      </c>
      <c r="BF29" vm="120">
        <f ca="1"/>
        <v>60.94</v>
      </c>
      <c r="BG29" vm="8669">
        <f ca="1"/>
        <v>58.97</v>
      </c>
      <c r="BH29" vm="8639">
        <f ca="1"/>
        <v>59.15</v>
      </c>
      <c r="BI29" vm="1583">
        <f ca="1"/>
        <v>59.32</v>
      </c>
      <c r="BJ29" vm="8670">
        <f ca="1"/>
        <v>58.45</v>
      </c>
      <c r="BK29" vm="8671">
        <f ca="1"/>
        <v>59.81</v>
      </c>
      <c r="BL29" vm="8672">
        <f ca="1"/>
        <v>60.76</v>
      </c>
      <c r="BM29" vm="8666">
        <f ca="1"/>
        <v>60.35</v>
      </c>
      <c r="BN29" vm="8635">
        <f ca="1"/>
        <v>60.68</v>
      </c>
      <c r="BO29" vm="8673">
        <f ca="1"/>
        <v>60.19</v>
      </c>
      <c r="BP29" vm="8674">
        <f ca="1"/>
        <v>59.87</v>
      </c>
      <c r="BQ29" vm="8675">
        <f ca="1"/>
        <v>60.44</v>
      </c>
      <c r="BR29" vm="8676">
        <f ca="1"/>
        <v>60.45</v>
      </c>
      <c r="BS29" vm="8677">
        <f ca="1"/>
        <v>59.5</v>
      </c>
      <c r="BT29" vm="1587">
        <f ca="1"/>
        <v>59.13</v>
      </c>
      <c r="BU29" vm="8678">
        <f ca="1"/>
        <v>57.93</v>
      </c>
      <c r="BV29" vm="8679">
        <f ca="1"/>
        <v>57.56</v>
      </c>
      <c r="BW29" vm="8680">
        <f ca="1"/>
        <v>57.59</v>
      </c>
      <c r="BX29" vm="8681">
        <f ca="1"/>
        <v>58.05</v>
      </c>
      <c r="BY29" vm="8682">
        <f ca="1"/>
        <v>55.54</v>
      </c>
      <c r="BZ29" vm="8683">
        <f ca="1"/>
        <v>51.87</v>
      </c>
      <c r="CA29" vm="6299">
        <f ca="1"/>
        <v>50.93</v>
      </c>
      <c r="CB29" vm="6293">
        <f ca="1"/>
        <v>49.86</v>
      </c>
      <c r="CC29" vm="485">
        <f ca="1"/>
        <v>54.63</v>
      </c>
      <c r="CD29" vm="8684">
        <f ca="1"/>
        <v>52.69</v>
      </c>
      <c r="CE29" vm="8685">
        <f ca="1"/>
        <v>54.1</v>
      </c>
      <c r="CF29" vm="8686">
        <f ca="1"/>
        <v>54.85</v>
      </c>
      <c r="CG29" vm="8687">
        <f ca="1"/>
        <v>54.97</v>
      </c>
      <c r="CH29" vm="8688">
        <f ca="1"/>
        <v>54.2</v>
      </c>
      <c r="CI29" vm="8689">
        <f ca="1"/>
        <v>54.37</v>
      </c>
      <c r="CJ29" vm="8690">
        <f ca="1"/>
        <v>53.6</v>
      </c>
      <c r="CK29" vm="8691">
        <f ca="1"/>
        <v>54.83</v>
      </c>
      <c r="CL29" vm="1225">
        <f ca="1"/>
        <v>55.76</v>
      </c>
      <c r="CM29" vm="8692">
        <f ca="1"/>
        <v>57.23</v>
      </c>
      <c r="CN29" vm="8693">
        <f ca="1"/>
        <v>57.65</v>
      </c>
      <c r="CO29" vm="8694">
        <f ca="1"/>
        <v>57.63</v>
      </c>
      <c r="CP29" vm="2956">
        <f ca="1"/>
        <v>57.91</v>
      </c>
      <c r="CQ29" vm="8678">
        <f ca="1"/>
        <v>57.93</v>
      </c>
      <c r="CR29" vm="8695">
        <f ca="1"/>
        <v>57.8</v>
      </c>
      <c r="CS29" vm="8696">
        <f ca="1"/>
        <v>59.14</v>
      </c>
      <c r="CT29" vm="1648">
        <f ca="1"/>
        <v>59.1</v>
      </c>
      <c r="CU29" vm="1091">
        <f ca="1"/>
        <v>58.63</v>
      </c>
      <c r="CV29" vm="8697">
        <f ca="1"/>
        <v>58.56</v>
      </c>
      <c r="CW29" vm="8698">
        <f ca="1"/>
        <v>58.954999999999998</v>
      </c>
      <c r="CX29" vm="1644">
        <f ca="1"/>
        <v>59.11</v>
      </c>
      <c r="CY29" vm="8699">
        <f ca="1"/>
        <v>61.08</v>
      </c>
      <c r="CZ29" vm="1602">
        <f ca="1"/>
        <v>61.61</v>
      </c>
      <c r="DA29" vm="8700">
        <f ca="1"/>
        <v>61.42</v>
      </c>
      <c r="DB29" vm="8701">
        <f ca="1"/>
        <v>61.54</v>
      </c>
      <c r="DC29" vm="8702">
        <f ca="1"/>
        <v>61.82</v>
      </c>
      <c r="DD29" vm="8703">
        <f ca="1"/>
        <v>61.76</v>
      </c>
      <c r="DE29" vm="8704">
        <f ca="1"/>
        <v>61.99</v>
      </c>
      <c r="DF29" vm="8651">
        <f ca="1"/>
        <v>61.29</v>
      </c>
      <c r="DG29" vm="2743">
        <f ca="1"/>
        <v>61.12</v>
      </c>
      <c r="DH29" vm="8705">
        <f ca="1"/>
        <v>60.91</v>
      </c>
      <c r="DI29" vm="8706">
        <f ca="1"/>
        <v>61.98</v>
      </c>
      <c r="DJ29" vm="2535">
        <f ca="1"/>
        <v>61.33</v>
      </c>
      <c r="DK29" vm="8707">
        <f ca="1"/>
        <v>61.56</v>
      </c>
      <c r="DL29" vm="1103">
        <f ca="1"/>
        <v>61.23</v>
      </c>
      <c r="DM29" vm="8708">
        <f ca="1"/>
        <v>61.62</v>
      </c>
      <c r="DN29" vm="8647">
        <f ca="1"/>
        <v>62.08</v>
      </c>
      <c r="DO29" vm="8709">
        <f ca="1"/>
        <v>62.69</v>
      </c>
      <c r="DP29" vm="8710">
        <f ca="1"/>
        <v>62.81</v>
      </c>
      <c r="DQ29" vm="2540">
        <f ca="1"/>
        <v>63.08</v>
      </c>
      <c r="DR29" vm="8711">
        <f ca="1"/>
        <v>63.47</v>
      </c>
      <c r="DS29" vm="8660">
        <f ca="1"/>
        <v>63.95</v>
      </c>
      <c r="DT29" vm="8712">
        <f ca="1"/>
        <v>63.87</v>
      </c>
      <c r="DU29" vm="8713">
        <f ca="1"/>
        <v>63.98</v>
      </c>
      <c r="DV29" vm="8655">
        <f ca="1"/>
        <v>62.94</v>
      </c>
      <c r="DW29" vm="8714">
        <f ca="1"/>
        <v>63.7</v>
      </c>
      <c r="DX29" vm="8715">
        <f ca="1"/>
        <v>62.91</v>
      </c>
      <c r="DY29" vm="8716">
        <f ca="1"/>
        <v>62.93</v>
      </c>
      <c r="DZ29" vm="1483">
        <f ca="1"/>
        <v>62.34</v>
      </c>
      <c r="EA29" vm="8717">
        <f ca="1"/>
        <v>63.1</v>
      </c>
      <c r="EB29" vm="8718">
        <f ca="1"/>
        <v>64.42</v>
      </c>
      <c r="EC29" vm="8719">
        <f ca="1"/>
        <v>64.489999999999995</v>
      </c>
      <c r="ED29" vm="2932">
        <f ca="1"/>
        <v>64.930000000000007</v>
      </c>
      <c r="EE29" vm="8720">
        <f ca="1"/>
        <v>64.989999999999995</v>
      </c>
      <c r="EF29" vm="8721">
        <f ca="1"/>
        <v>65.25</v>
      </c>
      <c r="EG29" vm="8722">
        <f ca="1"/>
        <v>65.040000000000006</v>
      </c>
      <c r="EH29" vm="8723">
        <f ca="1"/>
        <v>65.599999999999994</v>
      </c>
      <c r="EI29" vm="8724">
        <f ca="1"/>
        <v>66.36</v>
      </c>
      <c r="EJ29" vm="8725">
        <f ca="1"/>
        <v>65.52</v>
      </c>
      <c r="EK29" vm="8726">
        <f ca="1"/>
        <v>65.94</v>
      </c>
      <c r="EL29" vm="8727">
        <f ca="1"/>
        <v>66.33</v>
      </c>
      <c r="EM29" vm="58">
        <f ca="1"/>
        <v>66.09</v>
      </c>
      <c r="EN29" vm="8725">
        <f ca="1"/>
        <v>65.52</v>
      </c>
      <c r="EO29" vm="8728">
        <f ca="1"/>
        <v>65.59</v>
      </c>
      <c r="EP29" vm="8729">
        <f ca="1"/>
        <v>65.45</v>
      </c>
      <c r="EQ29" vm="8730">
        <f ca="1"/>
        <v>65.739999999999995</v>
      </c>
      <c r="ER29" vm="8731">
        <f ca="1"/>
        <v>66.31</v>
      </c>
      <c r="ES29" vm="8732">
        <f ca="1"/>
        <v>66.4131</v>
      </c>
      <c r="ET29" vm="8733">
        <f ca="1"/>
        <v>66.646500000000003</v>
      </c>
      <c r="EU29" vm="2477">
        <f ca="1"/>
        <v>66.930000000000007</v>
      </c>
      <c r="EV29" vm="8734">
        <f ca="1"/>
        <v>67.63</v>
      </c>
      <c r="EW29" vm="8735">
        <f ca="1"/>
        <v>67.39</v>
      </c>
      <c r="EX29" vm="8736">
        <f ca="1"/>
        <v>67.44</v>
      </c>
      <c r="EY29" vm="8737">
        <f ca="1"/>
        <v>67.209999999999994</v>
      </c>
      <c r="EZ29" vm="8738">
        <f ca="1"/>
        <v>67.010000000000005</v>
      </c>
      <c r="FA29" vm="8739">
        <f ca="1"/>
        <v>66.69</v>
      </c>
      <c r="FB29" vm="1157">
        <f ca="1"/>
        <v>65.95</v>
      </c>
      <c r="FC29" vm="8740">
        <f ca="1"/>
        <v>65.22</v>
      </c>
      <c r="FD29" vm="8741">
        <f ca="1"/>
        <v>66.069999999999993</v>
      </c>
      <c r="FE29" vm="8742">
        <f ca="1"/>
        <v>65.812799999999996</v>
      </c>
      <c r="FF29" vm="8743">
        <f ca="1"/>
        <v>65.84</v>
      </c>
      <c r="FG29" vm="8730">
        <f ca="1"/>
        <v>65.739999999999995</v>
      </c>
      <c r="FH29" vm="8744">
        <f ca="1"/>
        <v>65.709999999999994</v>
      </c>
      <c r="FI29" vm="8745">
        <f ca="1"/>
        <v>65.489999999999995</v>
      </c>
      <c r="FJ29" vm="8746">
        <f ca="1"/>
        <v>66.27</v>
      </c>
      <c r="FK29" vm="1617">
        <f ca="1"/>
        <v>67</v>
      </c>
      <c r="FL29" vm="2938">
        <f ca="1"/>
        <v>66.39</v>
      </c>
      <c r="FM29" vm="8739">
        <f ca="1"/>
        <v>66.69</v>
      </c>
      <c r="FN29" vm="8747">
        <f ca="1"/>
        <v>67.22</v>
      </c>
      <c r="FO29" vm="8748">
        <f ca="1"/>
        <v>66.790000000000006</v>
      </c>
      <c r="FP29" vm="8749">
        <f ca="1"/>
        <v>66.510000000000005</v>
      </c>
      <c r="FQ29" vm="8750">
        <f ca="1"/>
        <v>66.260000000000005</v>
      </c>
      <c r="FR29" vm="8751">
        <f ca="1"/>
        <v>67.819999999999993</v>
      </c>
      <c r="FS29" vm="8752">
        <f ca="1"/>
        <v>67.31</v>
      </c>
      <c r="FT29" vm="8753">
        <f ca="1"/>
        <v>67.81</v>
      </c>
      <c r="FU29" vm="8754">
        <f ca="1"/>
        <v>68.11</v>
      </c>
      <c r="FV29" vm="8755">
        <f ca="1"/>
        <v>68.53</v>
      </c>
      <c r="FW29" vm="8756">
        <f ca="1"/>
        <v>68.2</v>
      </c>
      <c r="FX29" vm="107">
        <f ca="1"/>
        <v>67.599999999999994</v>
      </c>
      <c r="FY29" vm="8757">
        <f ca="1"/>
        <v>67.66</v>
      </c>
      <c r="FZ29" vm="2241">
        <f ca="1"/>
        <v>67.89</v>
      </c>
      <c r="GA29" vm="8758">
        <f ca="1"/>
        <v>68.92</v>
      </c>
      <c r="GB29" vm="8759">
        <f ca="1"/>
        <v>69.7</v>
      </c>
      <c r="GC29" vm="8760">
        <f ca="1"/>
        <v>69.680000000000007</v>
      </c>
      <c r="GD29" vm="8761">
        <f ca="1"/>
        <v>69.09</v>
      </c>
      <c r="GE29" vm="8762">
        <f ca="1"/>
        <v>69.87</v>
      </c>
      <c r="GF29" vm="8763">
        <f ca="1"/>
        <v>69.38</v>
      </c>
      <c r="GG29" vm="8764">
        <f ca="1"/>
        <v>69.888900000000007</v>
      </c>
      <c r="GH29" vm="8765">
        <f ca="1"/>
        <v>70.155100000000004</v>
      </c>
      <c r="GI29" vm="8766">
        <f ca="1"/>
        <v>70.349999999999994</v>
      </c>
      <c r="GJ29" vm="8767">
        <f ca="1"/>
        <v>71.540000000000006</v>
      </c>
      <c r="GK29" vm="8768">
        <f ca="1"/>
        <v>71.430000000000007</v>
      </c>
      <c r="GL29" vm="8769">
        <f ca="1"/>
        <v>71.97</v>
      </c>
      <c r="GM29" vm="8770">
        <f ca="1"/>
        <v>71.38</v>
      </c>
      <c r="GN29" vm="8771">
        <f ca="1"/>
        <v>71.264600000000002</v>
      </c>
      <c r="GO29" vm="8772">
        <f ca="1"/>
        <v>70.790000000000006</v>
      </c>
      <c r="GP29" vm="8773">
        <f ca="1"/>
        <v>70.877200000000002</v>
      </c>
      <c r="GQ29" vm="805">
        <f ca="1"/>
        <v>71.34</v>
      </c>
      <c r="GR29" vm="8774">
        <f ca="1"/>
        <v>71.940600000000003</v>
      </c>
      <c r="GS29" vm="8775">
        <f ca="1"/>
        <v>73.075299999999999</v>
      </c>
      <c r="GT29" vm="8776">
        <f ca="1"/>
        <v>73.599999999999994</v>
      </c>
      <c r="GU29" vm="8777">
        <f ca="1"/>
        <v>73.557000000000002</v>
      </c>
      <c r="GV29" vm="8778">
        <f ca="1"/>
        <v>74.268699999999995</v>
      </c>
      <c r="GW29" vm="8779">
        <f ca="1"/>
        <v>73.319999999999993</v>
      </c>
      <c r="GX29" vm="1550">
        <f ca="1"/>
        <v>74.290000000000006</v>
      </c>
      <c r="GY29" vm="8780">
        <f ca="1"/>
        <v>74.010900000000007</v>
      </c>
      <c r="GZ29" vm="8781">
        <f ca="1"/>
        <v>71.459999999999994</v>
      </c>
      <c r="HA29" vm="8782">
        <f ca="1"/>
        <v>72.890600000000006</v>
      </c>
      <c r="HB29" vm="8783">
        <f ca="1"/>
        <v>72.360299999999995</v>
      </c>
      <c r="HC29" vm="8784">
        <f ca="1"/>
        <v>72.989999999999995</v>
      </c>
      <c r="HD29" vm="8785">
        <f ca="1"/>
        <v>72.866</v>
      </c>
      <c r="HE29" vm="8786">
        <f ca="1"/>
        <v>72.968699999999998</v>
      </c>
      <c r="HF29" vm="8787">
        <f ca="1"/>
        <v>73.896500000000003</v>
      </c>
      <c r="HG29" vm="8788">
        <f ca="1"/>
        <v>73.84</v>
      </c>
      <c r="HH29" vm="8789">
        <f ca="1"/>
        <v>73.209999999999994</v>
      </c>
      <c r="HI29" vm="8790">
        <f ca="1"/>
        <v>74.039599999999993</v>
      </c>
      <c r="HJ29" vm="7191">
        <f ca="1"/>
        <v>74.7</v>
      </c>
      <c r="HK29" vm="8791">
        <f ca="1"/>
        <v>75.44</v>
      </c>
      <c r="HL29" vm="8792">
        <f ca="1"/>
        <v>75.37</v>
      </c>
      <c r="HM29" vm="8793">
        <f ca="1"/>
        <v>75.223600000000005</v>
      </c>
      <c r="HN29" vm="8794">
        <f ca="1"/>
        <v>74.614000000000004</v>
      </c>
      <c r="HO29" vm="8795">
        <f ca="1"/>
        <v>75.19</v>
      </c>
      <c r="HP29" vm="8796">
        <f ca="1"/>
        <v>75.468900000000005</v>
      </c>
      <c r="HQ29" vm="8797">
        <f ca="1"/>
        <v>73.86</v>
      </c>
      <c r="HR29" vm="8798">
        <f ca="1"/>
        <v>74.689899999999994</v>
      </c>
      <c r="HS29" vm="8799">
        <f ca="1"/>
        <v>73.723200000000006</v>
      </c>
      <c r="HT29" vm="8800">
        <f ca="1"/>
        <v>73.523200000000003</v>
      </c>
      <c r="HU29" vm="8801">
        <f ca="1"/>
        <v>74.94</v>
      </c>
      <c r="HV29" vm="8802">
        <f ca="1"/>
        <v>75.08</v>
      </c>
      <c r="HW29" vm="8803">
        <f ca="1"/>
        <v>75.131900000000002</v>
      </c>
      <c r="HX29" vm="8804">
        <f ca="1"/>
        <v>73.829599999999999</v>
      </c>
      <c r="HY29" vm="8805">
        <f ca="1"/>
        <v>73.709999999999994</v>
      </c>
      <c r="HZ29" vm="8806">
        <f ca="1"/>
        <v>72.994200000000006</v>
      </c>
      <c r="IA29" vm="8807">
        <f ca="1"/>
        <v>72.314599999999999</v>
      </c>
      <c r="IB29" vm="765">
        <f ca="1"/>
        <v>72.25</v>
      </c>
      <c r="IC29" vm="766">
        <f ca="1"/>
        <v>70.59</v>
      </c>
      <c r="ID29" vm="767">
        <f ca="1"/>
        <v>71.132599999999996</v>
      </c>
      <c r="IE29" vm="768">
        <f ca="1"/>
        <v>72.247500000000002</v>
      </c>
      <c r="IF29" vm="769">
        <f ca="1"/>
        <v>73.150000000000006</v>
      </c>
      <c r="IG29" vm="770">
        <f ca="1"/>
        <v>73.736000000000004</v>
      </c>
      <c r="IH29" vm="771">
        <f ca="1"/>
        <v>74.430000000000007</v>
      </c>
      <c r="II29" vm="772">
        <f ca="1"/>
        <v>73.786299999999997</v>
      </c>
      <c r="IJ29" vm="773">
        <f ca="1"/>
        <v>74.28</v>
      </c>
      <c r="IK29" vm="774">
        <f ca="1"/>
        <v>74.88</v>
      </c>
      <c r="IL29" vm="775">
        <f ca="1"/>
        <v>74.9666</v>
      </c>
      <c r="IM29" vm="776">
        <f ca="1"/>
        <v>75.321299999999994</v>
      </c>
      <c r="IN29" vm="777">
        <f ca="1"/>
        <v>75.290000000000006</v>
      </c>
      <c r="IO29" vm="778">
        <f ca="1"/>
        <v>75.168400000000005</v>
      </c>
      <c r="IP29" vm="779">
        <f ca="1"/>
        <v>76.0946</v>
      </c>
      <c r="IQ29" vm="780">
        <f ca="1"/>
        <v>75.959999999999994</v>
      </c>
      <c r="IR29" vm="781">
        <f ca="1"/>
        <v>74.98</v>
      </c>
      <c r="IS29" vm="782">
        <f ca="1"/>
        <v>74.857299999999995</v>
      </c>
      <c r="IT29" vm="783">
        <f ca="1"/>
        <v>69.180000000000007</v>
      </c>
      <c r="IU29" vm="784">
        <f ca="1"/>
        <v>68.239999999999995</v>
      </c>
      <c r="IV29" vm="785">
        <f ca="1"/>
        <v>69.06</v>
      </c>
      <c r="IW29" vm="36">
        <f ca="1"/>
        <v>69.8</v>
      </c>
    </row>
    <row r="30" spans="1:257" ht="16" x14ac:dyDescent="0.2">
      <c r="A30" s="10" t="e" vm="786">
        <v>#VALUE!</v>
      </c>
      <c r="B30" s="23" t="str" cm="1">
        <f t="array" aca="1" ref="B30" ca="1">_FV(A30,"ticker symbol",TRUE)</f>
        <v>CIBR</v>
      </c>
      <c r="C30" s="23" t="str" cm="1">
        <f t="array" aca="1" ref="C30" ca="1">_FV(A30,"Name")</f>
        <v>FT II:Nsdq Cybersecurity</v>
      </c>
      <c r="D30" cm="1" vm="2479">
        <f t="array" aca="1" ref="D30:IW30" ca="1">TRANSPOSE(_xlfn.STOCKHISTORY(B30, WORKDAY(TODAY(), -265), TODAY(), 0, 0, 1))</f>
        <v>67.040000000000006</v>
      </c>
      <c r="E30" s="23" vm="8808">
        <f ca="1"/>
        <v>66.290000000000006</v>
      </c>
      <c r="F30" s="23" vm="8809">
        <f ca="1"/>
        <v>63.24</v>
      </c>
      <c r="G30" s="23" vm="1473">
        <f ca="1"/>
        <v>63.31</v>
      </c>
      <c r="H30" s="23" vm="8810">
        <f ca="1"/>
        <v>64.040000000000006</v>
      </c>
      <c r="I30" s="23" vm="8718">
        <f ca="1"/>
        <v>64.42</v>
      </c>
      <c r="J30" s="23" vm="8811">
        <f ca="1"/>
        <v>65.05</v>
      </c>
      <c r="K30" s="23" vm="8812">
        <f ca="1"/>
        <v>65.3</v>
      </c>
      <c r="L30" s="23" vm="2549">
        <f ca="1"/>
        <v>64.540000000000006</v>
      </c>
      <c r="M30" s="23" vm="8813">
        <f ca="1"/>
        <v>63.81</v>
      </c>
      <c r="N30" s="23" vm="8814">
        <f ca="1"/>
        <v>63.45</v>
      </c>
      <c r="O30" s="23" vm="8815">
        <f ca="1"/>
        <v>63.75</v>
      </c>
      <c r="P30" s="23" vm="1153">
        <f ca="1"/>
        <v>64.349999999999994</v>
      </c>
      <c r="Q30" s="23" vm="8816">
        <f ca="1"/>
        <v>64.77</v>
      </c>
      <c r="R30" s="23" vm="8659">
        <f ca="1"/>
        <v>63.86</v>
      </c>
      <c r="S30" s="23" vm="8817">
        <f ca="1"/>
        <v>64.16</v>
      </c>
      <c r="T30" s="23" vm="8818">
        <f ca="1"/>
        <v>63.53</v>
      </c>
      <c r="U30" s="23" vm="8819">
        <f ca="1"/>
        <v>63.21</v>
      </c>
      <c r="V30" s="23" vm="8820">
        <f ca="1"/>
        <v>63.65</v>
      </c>
      <c r="W30" s="23" vm="1608">
        <f ca="1"/>
        <v>64.650000000000006</v>
      </c>
      <c r="X30" s="23" vm="8821">
        <f ca="1"/>
        <v>64.709999999999994</v>
      </c>
      <c r="Y30" s="23" vm="8822">
        <f ca="1"/>
        <v>64.739999999999995</v>
      </c>
      <c r="Z30" s="23" vm="8823">
        <f ca="1"/>
        <v>66.22</v>
      </c>
      <c r="AA30" s="23" vm="2345">
        <f ca="1"/>
        <v>66.94</v>
      </c>
      <c r="AB30" s="23" vm="8824">
        <f ca="1"/>
        <v>66.709999999999994</v>
      </c>
      <c r="AC30" s="23" vm="2778">
        <f ca="1"/>
        <v>66.77</v>
      </c>
      <c r="AD30" vm="8825">
        <f ca="1"/>
        <v>65.36</v>
      </c>
      <c r="AE30" vm="2478">
        <f ca="1"/>
        <v>67.099999999999994</v>
      </c>
      <c r="AF30" vm="8826">
        <f ca="1"/>
        <v>66.62</v>
      </c>
      <c r="AG30" vm="8827">
        <f ca="1"/>
        <v>67.64</v>
      </c>
      <c r="AH30" vm="107">
        <f ca="1"/>
        <v>67.599999999999994</v>
      </c>
      <c r="AI30" vm="8747">
        <f ca="1"/>
        <v>67.22</v>
      </c>
      <c r="AJ30" vm="8756">
        <f ca="1"/>
        <v>68.2</v>
      </c>
      <c r="AK30" vm="8828">
        <f ca="1"/>
        <v>69.31</v>
      </c>
      <c r="AL30" vm="8829">
        <f ca="1"/>
        <v>68.900000000000006</v>
      </c>
      <c r="AM30" vm="8830">
        <f ca="1"/>
        <v>69.42</v>
      </c>
      <c r="AN30" vm="2792">
        <f ca="1"/>
        <v>70.69</v>
      </c>
      <c r="AO30" vm="8831">
        <f ca="1"/>
        <v>70.33</v>
      </c>
      <c r="AP30" vm="8766">
        <f ca="1"/>
        <v>70.349999999999994</v>
      </c>
      <c r="AQ30" vm="8832">
        <f ca="1"/>
        <v>71.67</v>
      </c>
      <c r="AR30" vm="1815">
        <f ca="1"/>
        <v>71.45</v>
      </c>
      <c r="AS30" vm="2236">
        <f ca="1"/>
        <v>71.92</v>
      </c>
      <c r="AT30" vm="8770">
        <f ca="1"/>
        <v>71.38</v>
      </c>
      <c r="AU30" vm="8833">
        <f ca="1"/>
        <v>70.22</v>
      </c>
      <c r="AV30" vm="8834">
        <f ca="1"/>
        <v>67.69</v>
      </c>
      <c r="AW30" vm="2778">
        <f ca="1"/>
        <v>66.77</v>
      </c>
      <c r="AX30" vm="8724">
        <f ca="1"/>
        <v>66.36</v>
      </c>
      <c r="AY30" vm="8835">
        <f ca="1"/>
        <v>67.06</v>
      </c>
      <c r="AZ30" vm="8836">
        <f ca="1"/>
        <v>65.56</v>
      </c>
      <c r="BA30" vm="8837">
        <f ca="1"/>
        <v>66.11</v>
      </c>
      <c r="BB30" vm="8838">
        <f ca="1"/>
        <v>65.42</v>
      </c>
      <c r="BC30" vm="8839">
        <f ca="1"/>
        <v>66.44</v>
      </c>
      <c r="BD30" vm="2478">
        <f ca="1"/>
        <v>67.099999999999994</v>
      </c>
      <c r="BE30" vm="8812">
        <f ca="1"/>
        <v>65.3</v>
      </c>
      <c r="BF30" vm="8840">
        <f ca="1"/>
        <v>65.930000000000007</v>
      </c>
      <c r="BG30" vm="8841">
        <f ca="1"/>
        <v>63.28</v>
      </c>
      <c r="BH30" vm="8659">
        <f ca="1"/>
        <v>63.86</v>
      </c>
      <c r="BI30" vm="8842">
        <f ca="1"/>
        <v>64.19</v>
      </c>
      <c r="BJ30" vm="8843">
        <f ca="1"/>
        <v>62.72</v>
      </c>
      <c r="BK30" vm="1612">
        <f ca="1"/>
        <v>64.81</v>
      </c>
      <c r="BL30" vm="8844">
        <f ca="1"/>
        <v>65.8</v>
      </c>
      <c r="BM30" vm="2489">
        <f ca="1"/>
        <v>65.400000000000006</v>
      </c>
      <c r="BN30" vm="2242">
        <f ca="1"/>
        <v>66.17</v>
      </c>
      <c r="BO30" vm="8845">
        <f ca="1"/>
        <v>65.08</v>
      </c>
      <c r="BP30" vm="8846">
        <f ca="1"/>
        <v>64.98</v>
      </c>
      <c r="BQ30" vm="8847">
        <f ca="1"/>
        <v>66.03</v>
      </c>
      <c r="BR30" vm="8848">
        <f ca="1"/>
        <v>66.78</v>
      </c>
      <c r="BS30" vm="8849">
        <f ca="1"/>
        <v>65.62</v>
      </c>
      <c r="BT30" vm="8850">
        <f ca="1"/>
        <v>64.61</v>
      </c>
      <c r="BU30" vm="8851">
        <f ca="1"/>
        <v>63.39</v>
      </c>
      <c r="BV30" vm="8852">
        <f ca="1"/>
        <v>63</v>
      </c>
      <c r="BW30" vm="8853">
        <f ca="1"/>
        <v>63.52</v>
      </c>
      <c r="BX30" vm="8854">
        <f ca="1"/>
        <v>64.45</v>
      </c>
      <c r="BY30" vm="8855">
        <f ca="1"/>
        <v>61.27</v>
      </c>
      <c r="BZ30" vm="8856">
        <f ca="1"/>
        <v>57.54</v>
      </c>
      <c r="CA30" vm="8857">
        <f ca="1"/>
        <v>57.71</v>
      </c>
      <c r="CB30" vm="8858">
        <f ca="1"/>
        <v>57.46</v>
      </c>
      <c r="CC30" vm="1473">
        <f ca="1"/>
        <v>63.31</v>
      </c>
      <c r="CD30" vm="1603">
        <f ca="1"/>
        <v>61.66</v>
      </c>
      <c r="CE30" vm="8859">
        <f ca="1"/>
        <v>62.56</v>
      </c>
      <c r="CF30" vm="8860">
        <f ca="1"/>
        <v>62.75</v>
      </c>
      <c r="CG30" vm="1466">
        <f ca="1"/>
        <v>63.35</v>
      </c>
      <c r="CH30" vm="8861">
        <f ca="1"/>
        <v>62.23</v>
      </c>
      <c r="CI30" vm="41">
        <f ca="1"/>
        <v>61.77</v>
      </c>
      <c r="CJ30" vm="8862">
        <f ca="1"/>
        <v>60.22</v>
      </c>
      <c r="CK30" vm="8863">
        <f ca="1"/>
        <v>61.31</v>
      </c>
      <c r="CL30" vm="8709">
        <f ca="1"/>
        <v>62.69</v>
      </c>
      <c r="CM30" vm="8864">
        <f ca="1"/>
        <v>64.7</v>
      </c>
      <c r="CN30" vm="8865">
        <f ca="1"/>
        <v>65.31</v>
      </c>
      <c r="CO30" vm="8866">
        <f ca="1"/>
        <v>65.53</v>
      </c>
      <c r="CP30" vm="8867">
        <f ca="1"/>
        <v>66.489999999999995</v>
      </c>
      <c r="CQ30" vm="8868">
        <f ca="1"/>
        <v>66.540000000000006</v>
      </c>
      <c r="CR30" vm="8826">
        <f ca="1"/>
        <v>66.62</v>
      </c>
      <c r="CS30" vm="8869">
        <f ca="1"/>
        <v>67.680000000000007</v>
      </c>
      <c r="CT30" vm="8870">
        <f ca="1"/>
        <v>68</v>
      </c>
      <c r="CU30" vm="8871">
        <f ca="1"/>
        <v>68.08</v>
      </c>
      <c r="CV30" vm="8872">
        <f ca="1"/>
        <v>68.150000000000006</v>
      </c>
      <c r="CW30" vm="8873">
        <f ca="1"/>
        <v>68.510000000000005</v>
      </c>
      <c r="CX30" vm="8874">
        <f ca="1"/>
        <v>67.91</v>
      </c>
      <c r="CY30" vm="8875">
        <f ca="1"/>
        <v>70.08</v>
      </c>
      <c r="CZ30" vm="8876">
        <f ca="1"/>
        <v>70.75</v>
      </c>
      <c r="DA30" vm="8877">
        <f ca="1"/>
        <v>70.3</v>
      </c>
      <c r="DB30" vm="8878">
        <f ca="1"/>
        <v>71.02</v>
      </c>
      <c r="DC30" vm="8879">
        <f ca="1"/>
        <v>71.42</v>
      </c>
      <c r="DD30" vm="8880">
        <f ca="1"/>
        <v>71.650000000000006</v>
      </c>
      <c r="DE30" vm="8881">
        <f ca="1"/>
        <v>71.81</v>
      </c>
      <c r="DF30" vm="2234">
        <f ca="1"/>
        <v>70.66</v>
      </c>
      <c r="DG30" vm="8882">
        <f ca="1"/>
        <v>71.52</v>
      </c>
      <c r="DH30" vm="8883">
        <f ca="1"/>
        <v>71.05</v>
      </c>
      <c r="DI30" vm="1816">
        <f ca="1"/>
        <v>72.44</v>
      </c>
      <c r="DJ30" vm="8884">
        <f ca="1"/>
        <v>71.41</v>
      </c>
      <c r="DK30" vm="3099">
        <f ca="1"/>
        <v>71.03</v>
      </c>
      <c r="DL30" vm="8885">
        <f ca="1"/>
        <v>71.819999999999993</v>
      </c>
      <c r="DM30" vm="910">
        <f ca="1"/>
        <v>72.55</v>
      </c>
      <c r="DN30" vm="8886">
        <f ca="1"/>
        <v>73.3</v>
      </c>
      <c r="DO30" vm="8887">
        <f ca="1"/>
        <v>72.94</v>
      </c>
      <c r="DP30" vm="8888">
        <f ca="1"/>
        <v>73.290000000000006</v>
      </c>
      <c r="DQ30" vm="8889">
        <f ca="1"/>
        <v>73.48</v>
      </c>
      <c r="DR30" vm="8890">
        <f ca="1"/>
        <v>72.78</v>
      </c>
      <c r="DS30" vm="1543">
        <f ca="1"/>
        <v>72.59</v>
      </c>
      <c r="DT30" vm="8890">
        <f ca="1"/>
        <v>72.78</v>
      </c>
      <c r="DU30" vm="8891">
        <f ca="1"/>
        <v>73.11</v>
      </c>
      <c r="DV30" vm="8892">
        <f ca="1"/>
        <v>72.400000000000006</v>
      </c>
      <c r="DW30" vm="8789">
        <f ca="1"/>
        <v>73.209999999999994</v>
      </c>
      <c r="DX30" vm="8893">
        <f ca="1"/>
        <v>73.25</v>
      </c>
      <c r="DY30" vm="8894">
        <f ca="1"/>
        <v>72.930000000000007</v>
      </c>
      <c r="DZ30" vm="8895">
        <f ca="1"/>
        <v>72.17</v>
      </c>
      <c r="EA30" vm="8896">
        <f ca="1"/>
        <v>73.52</v>
      </c>
      <c r="EB30" vm="8897">
        <f ca="1"/>
        <v>73.87</v>
      </c>
      <c r="EC30" vm="771">
        <f ca="1"/>
        <v>74.430000000000007</v>
      </c>
      <c r="ED30" vm="8898">
        <f ca="1"/>
        <v>74.97</v>
      </c>
      <c r="EE30" vm="8899">
        <f ca="1"/>
        <v>74.59</v>
      </c>
      <c r="EF30" vm="7190">
        <f ca="1"/>
        <v>75.58</v>
      </c>
      <c r="EG30" vm="8900">
        <f ca="1"/>
        <v>74.42</v>
      </c>
      <c r="EH30" vm="3153">
        <f ca="1"/>
        <v>74.52</v>
      </c>
      <c r="EI30" vm="7234">
        <f ca="1"/>
        <v>75.930000000000007</v>
      </c>
      <c r="EJ30" vm="6054">
        <f ca="1"/>
        <v>75.680000000000007</v>
      </c>
      <c r="EK30" vm="6054">
        <f ca="1"/>
        <v>75.680000000000007</v>
      </c>
      <c r="EL30" vm="7231">
        <f ca="1"/>
        <v>76.319999999999993</v>
      </c>
      <c r="EM30" vm="8805">
        <f ca="1"/>
        <v>73.709999999999994</v>
      </c>
      <c r="EN30" vm="8901">
        <f ca="1"/>
        <v>72.58</v>
      </c>
      <c r="EO30" vm="8789">
        <f ca="1"/>
        <v>73.209999999999994</v>
      </c>
      <c r="EP30" vm="38">
        <f ca="1"/>
        <v>73.12</v>
      </c>
      <c r="EQ30" vm="1555">
        <f ca="1"/>
        <v>73.34</v>
      </c>
      <c r="ER30" vm="8902">
        <f ca="1"/>
        <v>74.05</v>
      </c>
      <c r="ES30" vm="8903">
        <f ca="1"/>
        <v>74.209999999999994</v>
      </c>
      <c r="ET30" vm="1545">
        <f ca="1"/>
        <v>74.69</v>
      </c>
      <c r="EU30" vm="8904">
        <f ca="1"/>
        <v>74.099999999999994</v>
      </c>
      <c r="EV30" vm="8900">
        <f ca="1"/>
        <v>74.42</v>
      </c>
      <c r="EW30" vm="8905">
        <f ca="1"/>
        <v>74.38</v>
      </c>
      <c r="EX30" vm="8906">
        <f ca="1"/>
        <v>74.66</v>
      </c>
      <c r="EY30" vm="8907">
        <f ca="1"/>
        <v>74.31</v>
      </c>
      <c r="EZ30" vm="8908">
        <f ca="1"/>
        <v>74.47</v>
      </c>
      <c r="FA30" vm="8805">
        <f ca="1"/>
        <v>73.709999999999994</v>
      </c>
      <c r="FB30" vm="8909">
        <f ca="1"/>
        <v>72.69</v>
      </c>
      <c r="FC30" vm="8910">
        <f ca="1"/>
        <v>71.53</v>
      </c>
      <c r="FD30" vm="8911">
        <f ca="1"/>
        <v>72.86</v>
      </c>
      <c r="FE30" vm="8912">
        <f ca="1"/>
        <v>71.95</v>
      </c>
      <c r="FF30" vm="1542">
        <f ca="1"/>
        <v>73.040000000000006</v>
      </c>
      <c r="FG30" vm="8913">
        <f ca="1"/>
        <v>71.19</v>
      </c>
      <c r="FH30" vm="8914">
        <f ca="1"/>
        <v>71.12</v>
      </c>
      <c r="FI30" vm="3095">
        <f ca="1"/>
        <v>70.849999999999994</v>
      </c>
      <c r="FJ30" vm="8915">
        <f ca="1"/>
        <v>72.3</v>
      </c>
      <c r="FK30" vm="1818">
        <f ca="1"/>
        <v>72.84</v>
      </c>
      <c r="FL30" vm="8916">
        <f ca="1"/>
        <v>71.73</v>
      </c>
      <c r="FM30" vm="8917">
        <f ca="1"/>
        <v>71.98</v>
      </c>
      <c r="FN30" vm="8918">
        <f ca="1"/>
        <v>72.150000000000006</v>
      </c>
      <c r="FO30" vm="911">
        <f ca="1"/>
        <v>71.75</v>
      </c>
      <c r="FP30" vm="8919">
        <f ca="1"/>
        <v>71.900000000000006</v>
      </c>
      <c r="FQ30" vm="8920">
        <f ca="1"/>
        <v>71.59</v>
      </c>
      <c r="FR30" vm="8901">
        <f ca="1"/>
        <v>72.58</v>
      </c>
      <c r="FS30" vm="8918">
        <f ca="1"/>
        <v>72.150000000000006</v>
      </c>
      <c r="FT30" vm="8921">
        <f ca="1"/>
        <v>72.23</v>
      </c>
      <c r="FU30" vm="8891">
        <f ca="1"/>
        <v>73.11</v>
      </c>
      <c r="FV30" vm="8922">
        <f ca="1"/>
        <v>73.92</v>
      </c>
      <c r="FW30" vm="8923">
        <f ca="1"/>
        <v>73.14</v>
      </c>
      <c r="FX30" vm="8924">
        <f ca="1"/>
        <v>72.33</v>
      </c>
      <c r="FY30" vm="8925">
        <f ca="1"/>
        <v>72.2</v>
      </c>
      <c r="FZ30" vm="8926">
        <f ca="1"/>
        <v>72.349999999999994</v>
      </c>
      <c r="GA30" vm="8927">
        <f ca="1"/>
        <v>73.510000000000005</v>
      </c>
      <c r="GB30" vm="797">
        <f ca="1"/>
        <v>74.709999999999994</v>
      </c>
      <c r="GC30" vm="8928">
        <f ca="1"/>
        <v>74.56</v>
      </c>
      <c r="GD30" vm="8929">
        <f ca="1"/>
        <v>75</v>
      </c>
      <c r="GE30" vm="8930">
        <f ca="1"/>
        <v>75.59</v>
      </c>
      <c r="GF30" vm="8801">
        <f ca="1"/>
        <v>74.94</v>
      </c>
      <c r="GG30" vm="8931">
        <f ca="1"/>
        <v>75.709999999999994</v>
      </c>
      <c r="GH30" vm="8791">
        <f ca="1"/>
        <v>75.44</v>
      </c>
      <c r="GI30" vm="8932">
        <f ca="1"/>
        <v>75.239999999999995</v>
      </c>
      <c r="GJ30" vm="8933">
        <f ca="1"/>
        <v>76.959999999999994</v>
      </c>
      <c r="GK30" vm="8934">
        <f ca="1"/>
        <v>76.91</v>
      </c>
      <c r="GL30" vm="8935">
        <f ca="1"/>
        <v>76.900000000000006</v>
      </c>
      <c r="GM30" vm="8936">
        <f ca="1"/>
        <v>76.150000000000006</v>
      </c>
      <c r="GN30" vm="8931">
        <f ca="1"/>
        <v>75.709999999999994</v>
      </c>
      <c r="GO30" vm="1821">
        <f ca="1"/>
        <v>75.39</v>
      </c>
      <c r="GP30" vm="8937">
        <f ca="1"/>
        <v>75.81</v>
      </c>
      <c r="GQ30" vm="8938">
        <f ca="1"/>
        <v>76.11</v>
      </c>
      <c r="GR30" vm="7189">
        <f ca="1"/>
        <v>76.010000000000005</v>
      </c>
      <c r="GS30" vm="8939">
        <f ca="1"/>
        <v>76.53</v>
      </c>
      <c r="GT30" vm="8940">
        <f ca="1"/>
        <v>77.09</v>
      </c>
      <c r="GU30" vm="7177">
        <f ca="1"/>
        <v>76.7</v>
      </c>
      <c r="GV30" vm="8941">
        <f ca="1"/>
        <v>77.37</v>
      </c>
      <c r="GW30" vm="8942">
        <f ca="1"/>
        <v>76.239999999999995</v>
      </c>
      <c r="GX30" vm="7236">
        <f ca="1"/>
        <v>78.209999999999994</v>
      </c>
      <c r="GY30" vm="437">
        <f ca="1"/>
        <v>77.989999999999995</v>
      </c>
      <c r="GZ30" vm="8943">
        <f ca="1"/>
        <v>75.48</v>
      </c>
      <c r="HA30" vm="8944">
        <f ca="1"/>
        <v>76.95</v>
      </c>
      <c r="HB30" vm="1823">
        <f ca="1"/>
        <v>75.88</v>
      </c>
      <c r="HC30" vm="8931">
        <f ca="1"/>
        <v>75.709999999999994</v>
      </c>
      <c r="HD30" vm="3155">
        <f ca="1"/>
        <v>74.819999999999993</v>
      </c>
      <c r="HE30" vm="8945">
        <f ca="1"/>
        <v>75.12</v>
      </c>
      <c r="HF30" vm="6052">
        <f ca="1"/>
        <v>76.5</v>
      </c>
      <c r="HG30" vm="425">
        <f ca="1"/>
        <v>77.06</v>
      </c>
      <c r="HH30" vm="1945">
        <f ca="1"/>
        <v>76.459999999999994</v>
      </c>
      <c r="HI30" vm="8941">
        <f ca="1"/>
        <v>77.37</v>
      </c>
      <c r="HJ30" vm="8946">
        <f ca="1"/>
        <v>77.48</v>
      </c>
      <c r="HK30" vm="6036">
        <f ca="1"/>
        <v>77.77</v>
      </c>
      <c r="HL30" vm="8947">
        <f ca="1"/>
        <v>78.08</v>
      </c>
      <c r="HM30" vm="7181">
        <f ca="1"/>
        <v>76.48</v>
      </c>
      <c r="HN30" vm="8948">
        <f ca="1"/>
        <v>76.33</v>
      </c>
      <c r="HO30" vm="6061">
        <f ca="1"/>
        <v>77.319999999999993</v>
      </c>
      <c r="HP30" vm="8949">
        <f ca="1"/>
        <v>77.3</v>
      </c>
      <c r="HQ30" vm="8950">
        <f ca="1"/>
        <v>75.42</v>
      </c>
      <c r="HR30" vm="8951">
        <f ca="1"/>
        <v>75.569999999999993</v>
      </c>
      <c r="HS30" vm="8952">
        <f ca="1"/>
        <v>74.62</v>
      </c>
      <c r="HT30" vm="8953">
        <f ca="1"/>
        <v>75.38</v>
      </c>
      <c r="HU30" vm="8954">
        <f ca="1"/>
        <v>76.73</v>
      </c>
      <c r="HV30" vm="8955">
        <f ca="1"/>
        <v>76.86</v>
      </c>
      <c r="HW30" vm="7180">
        <f ca="1"/>
        <v>76.06</v>
      </c>
      <c r="HX30" vm="8956">
        <f ca="1"/>
        <v>74.760000000000005</v>
      </c>
      <c r="HY30" vm="1947">
        <f ca="1"/>
        <v>74.739999999999995</v>
      </c>
      <c r="HZ30" vm="8957">
        <f ca="1"/>
        <v>73.760000000000005</v>
      </c>
      <c r="IA30" vm="8958">
        <f ca="1"/>
        <v>73.23</v>
      </c>
      <c r="IB30" vm="787">
        <f ca="1"/>
        <v>73.38</v>
      </c>
      <c r="IC30" vm="788">
        <f ca="1"/>
        <v>71.5</v>
      </c>
      <c r="ID30" vm="789">
        <f ca="1"/>
        <v>71.56</v>
      </c>
      <c r="IE30" vm="790">
        <f ca="1"/>
        <v>72.45</v>
      </c>
      <c r="IF30" vm="791">
        <f ca="1"/>
        <v>73.61</v>
      </c>
      <c r="IG30" vm="792">
        <f ca="1"/>
        <v>72.959999999999994</v>
      </c>
      <c r="IH30" vm="793">
        <f ca="1"/>
        <v>73.650000000000006</v>
      </c>
      <c r="II30" vm="794">
        <f ca="1"/>
        <v>72.790000000000006</v>
      </c>
      <c r="IJ30" vm="795">
        <f ca="1"/>
        <v>73.260000000000005</v>
      </c>
      <c r="IK30" vm="796">
        <f ca="1"/>
        <v>74.239999999999995</v>
      </c>
      <c r="IL30" vm="797">
        <f ca="1"/>
        <v>74.709999999999994</v>
      </c>
      <c r="IM30" vm="781">
        <f ca="1"/>
        <v>74.98</v>
      </c>
      <c r="IN30" vm="798">
        <f ca="1"/>
        <v>75.209999999999994</v>
      </c>
      <c r="IO30" vm="799">
        <f ca="1"/>
        <v>75.64</v>
      </c>
      <c r="IP30" vm="800">
        <f ca="1"/>
        <v>76.099999999999994</v>
      </c>
      <c r="IQ30" vm="801">
        <f ca="1"/>
        <v>75.760000000000005</v>
      </c>
      <c r="IR30" vm="802">
        <f ca="1"/>
        <v>73.89</v>
      </c>
      <c r="IS30" vm="803">
        <f ca="1"/>
        <v>72.52</v>
      </c>
      <c r="IT30" vm="804">
        <f ca="1"/>
        <v>72.459999999999994</v>
      </c>
      <c r="IU30" vm="805">
        <f ca="1"/>
        <v>71.34</v>
      </c>
      <c r="IV30" vm="806">
        <f ca="1"/>
        <v>72.36</v>
      </c>
      <c r="IW30" vm="38">
        <f ca="1"/>
        <v>73.12</v>
      </c>
    </row>
    <row r="31" spans="1:257" ht="16" x14ac:dyDescent="0.2">
      <c r="A31" s="10" t="e" vm="807">
        <v>#VALUE!</v>
      </c>
      <c r="B31" s="23" t="str" cm="1">
        <f t="array" aca="1" ref="B31" ca="1">_FV(A31,"ticker symbol",TRUE)</f>
        <v>BOTZ</v>
      </c>
      <c r="C31" s="23" t="str" cm="1">
        <f t="array" aca="1" ref="C31" ca="1">_FV(A31,"Name")</f>
        <v>Glbl X Rob &amp; Art Intel</v>
      </c>
      <c r="D31" cm="1" vm="8959">
        <f t="array" aca="1" ref="D31:IW31" ca="1">TRANSPOSE(_xlfn.STOCKHISTORY(B31, WORKDAY(TODAY(), -265), TODAY(), 0, 0, 1))</f>
        <v>33.25</v>
      </c>
      <c r="E31" s="23" vm="8960">
        <f ca="1"/>
        <v>33.119999999999997</v>
      </c>
      <c r="F31" s="23" vm="8961">
        <f ca="1"/>
        <v>32.06</v>
      </c>
      <c r="G31" s="23" vm="8962">
        <f ca="1"/>
        <v>31.8</v>
      </c>
      <c r="H31" s="23" vm="2366">
        <f ca="1"/>
        <v>32.29</v>
      </c>
      <c r="I31" s="23" vm="8963">
        <f ca="1"/>
        <v>32.380000000000003</v>
      </c>
      <c r="J31" s="23" vm="8964">
        <f ca="1"/>
        <v>32.64</v>
      </c>
      <c r="K31" s="23" vm="8965">
        <f ca="1"/>
        <v>32.92</v>
      </c>
      <c r="L31" s="23" vm="8966">
        <f ca="1"/>
        <v>32.520000000000003</v>
      </c>
      <c r="M31" s="23" vm="8967">
        <f ca="1"/>
        <v>32.22</v>
      </c>
      <c r="N31" s="23" vm="8968">
        <f ca="1"/>
        <v>31.95</v>
      </c>
      <c r="O31" s="23" vm="8969">
        <f ca="1"/>
        <v>32.33</v>
      </c>
      <c r="P31" s="23" vm="8970">
        <f ca="1"/>
        <v>32.950000000000003</v>
      </c>
      <c r="Q31" s="23" vm="8971">
        <f ca="1"/>
        <v>33.18</v>
      </c>
      <c r="R31" s="23" vm="8972">
        <f ca="1"/>
        <v>32.56</v>
      </c>
      <c r="S31" s="23" vm="8973">
        <f ca="1"/>
        <v>32.39</v>
      </c>
      <c r="T31" s="23" vm="8974">
        <f ca="1"/>
        <v>31.79</v>
      </c>
      <c r="U31" s="23" vm="8975">
        <f ca="1"/>
        <v>31.46</v>
      </c>
      <c r="V31" s="23" vm="8976">
        <f ca="1"/>
        <v>31.49</v>
      </c>
      <c r="W31" s="23" vm="8973">
        <f ca="1"/>
        <v>32.39</v>
      </c>
      <c r="X31" s="23" vm="8977">
        <f ca="1"/>
        <v>32.590000000000003</v>
      </c>
      <c r="Y31" s="23" vm="2368">
        <f ca="1"/>
        <v>33.03</v>
      </c>
      <c r="Z31" s="23" vm="8978">
        <f ca="1"/>
        <v>33.979999999999997</v>
      </c>
      <c r="AA31" s="23" vm="8979">
        <f ca="1"/>
        <v>34.380000000000003</v>
      </c>
      <c r="AB31" s="23" vm="8980">
        <f ca="1"/>
        <v>34.53</v>
      </c>
      <c r="AC31" s="23" vm="8981">
        <f ca="1"/>
        <v>34.49</v>
      </c>
      <c r="AD31" vm="8982">
        <f ca="1"/>
        <v>33.01</v>
      </c>
      <c r="AE31" vm="8983">
        <f ca="1"/>
        <v>33.78</v>
      </c>
      <c r="AF31" vm="8984">
        <f ca="1"/>
        <v>33.33</v>
      </c>
      <c r="AG31" vm="8985">
        <f ca="1"/>
        <v>33.450000000000003</v>
      </c>
      <c r="AH31" vm="8971">
        <f ca="1"/>
        <v>33.18</v>
      </c>
      <c r="AI31" vm="8986">
        <f ca="1"/>
        <v>32.619999999999997</v>
      </c>
      <c r="AJ31" vm="4722">
        <f ca="1"/>
        <v>33.14</v>
      </c>
      <c r="AK31" vm="2374">
        <f ca="1"/>
        <v>33.61</v>
      </c>
      <c r="AL31" vm="8987">
        <f ca="1"/>
        <v>33.549999999999997</v>
      </c>
      <c r="AM31" vm="8988">
        <f ca="1"/>
        <v>33.56</v>
      </c>
      <c r="AN31" vm="8989">
        <f ca="1"/>
        <v>34.270000000000003</v>
      </c>
      <c r="AO31" vm="8990">
        <f ca="1"/>
        <v>34.020000000000003</v>
      </c>
      <c r="AP31" vm="8991">
        <f ca="1"/>
        <v>34.14</v>
      </c>
      <c r="AQ31" vm="8992">
        <f ca="1"/>
        <v>33.96</v>
      </c>
      <c r="AR31" vm="8993">
        <f ca="1"/>
        <v>33.82</v>
      </c>
      <c r="AS31" vm="8981">
        <f ca="1"/>
        <v>34.49</v>
      </c>
      <c r="AT31" vm="8994">
        <f ca="1"/>
        <v>34.33</v>
      </c>
      <c r="AU31" vm="8995">
        <f ca="1"/>
        <v>34.32</v>
      </c>
      <c r="AV31" vm="8996">
        <f ca="1"/>
        <v>33.630000000000003</v>
      </c>
      <c r="AW31" vm="8997">
        <f ca="1"/>
        <v>33.020000000000003</v>
      </c>
      <c r="AX31" vm="8998">
        <f ca="1"/>
        <v>32.979999999999997</v>
      </c>
      <c r="AY31" vm="2378">
        <f ca="1"/>
        <v>33.229999999999997</v>
      </c>
      <c r="AZ31" vm="8967">
        <f ca="1"/>
        <v>32.22</v>
      </c>
      <c r="BA31" vm="8999">
        <f ca="1"/>
        <v>32.07</v>
      </c>
      <c r="BB31" vm="9000">
        <f ca="1"/>
        <v>31.28</v>
      </c>
      <c r="BC31" vm="9001">
        <f ca="1"/>
        <v>31.23</v>
      </c>
      <c r="BD31" vm="9002">
        <f ca="1"/>
        <v>31.89</v>
      </c>
      <c r="BE31" vm="9003">
        <f ca="1"/>
        <v>30.96</v>
      </c>
      <c r="BF31" vm="9004">
        <f ca="1"/>
        <v>31.24</v>
      </c>
      <c r="BG31" vm="9005">
        <f ca="1"/>
        <v>29.99</v>
      </c>
      <c r="BH31" vm="9006">
        <f ca="1"/>
        <v>30.18</v>
      </c>
      <c r="BI31" vm="9007">
        <f ca="1"/>
        <v>30.6</v>
      </c>
      <c r="BJ31" vm="9008">
        <f ca="1"/>
        <v>29.75</v>
      </c>
      <c r="BK31" vm="9009">
        <f ca="1"/>
        <v>30.66</v>
      </c>
      <c r="BL31" vm="9010">
        <f ca="1"/>
        <v>30.88</v>
      </c>
      <c r="BM31" vm="9011">
        <f ca="1"/>
        <v>30.5</v>
      </c>
      <c r="BN31" vm="9012">
        <f ca="1"/>
        <v>30.83</v>
      </c>
      <c r="BO31" vm="9013">
        <f ca="1"/>
        <v>30.53</v>
      </c>
      <c r="BP31" vm="9014">
        <f ca="1"/>
        <v>30.34</v>
      </c>
      <c r="BQ31" vm="9015">
        <f ca="1"/>
        <v>30.68</v>
      </c>
      <c r="BR31" vm="9016">
        <f ca="1"/>
        <v>30.74</v>
      </c>
      <c r="BS31" vm="9017">
        <f ca="1"/>
        <v>30.04</v>
      </c>
      <c r="BT31" vm="9018">
        <f ca="1"/>
        <v>29.86</v>
      </c>
      <c r="BU31" vm="9019">
        <f ca="1"/>
        <v>28.95</v>
      </c>
      <c r="BV31" vm="9020">
        <f ca="1"/>
        <v>28.46</v>
      </c>
      <c r="BW31" vm="9021">
        <f ca="1"/>
        <v>28.63</v>
      </c>
      <c r="BX31" vm="9022">
        <f ca="1"/>
        <v>28.93</v>
      </c>
      <c r="BY31" vm="9023">
        <f ca="1"/>
        <v>27.24</v>
      </c>
      <c r="BZ31" vm="9024">
        <f ca="1"/>
        <v>25.38</v>
      </c>
      <c r="CA31" vm="9025">
        <f ca="1"/>
        <v>24.8</v>
      </c>
      <c r="CB31" vm="9026">
        <f ca="1"/>
        <v>24.51</v>
      </c>
      <c r="CC31" vm="2895">
        <f ca="1"/>
        <v>27.49</v>
      </c>
      <c r="CD31" vm="2867">
        <f ca="1"/>
        <v>26.33</v>
      </c>
      <c r="CE31" vm="2877">
        <f ca="1"/>
        <v>26.87</v>
      </c>
      <c r="CF31" vm="9027">
        <f ca="1"/>
        <v>27.04</v>
      </c>
      <c r="CG31" vm="9028">
        <f ca="1"/>
        <v>27.1</v>
      </c>
      <c r="CH31" vm="9029">
        <f ca="1"/>
        <v>26.51</v>
      </c>
      <c r="CI31" vm="9030">
        <f ca="1"/>
        <v>26.62</v>
      </c>
      <c r="CJ31" vm="9031">
        <f ca="1"/>
        <v>26.17</v>
      </c>
      <c r="CK31" vm="1455">
        <f ca="1"/>
        <v>26.68</v>
      </c>
      <c r="CL31" vm="2895">
        <f ca="1"/>
        <v>27.49</v>
      </c>
      <c r="CM31" vm="2891">
        <f ca="1"/>
        <v>28.15</v>
      </c>
      <c r="CN31" vm="9032">
        <f ca="1"/>
        <v>28.59</v>
      </c>
      <c r="CO31" vm="9033">
        <f ca="1"/>
        <v>28.51</v>
      </c>
      <c r="CP31" vm="9034">
        <f ca="1"/>
        <v>28.64</v>
      </c>
      <c r="CQ31" vm="2075">
        <f ca="1"/>
        <v>28.56</v>
      </c>
      <c r="CR31" vm="9035">
        <f ca="1"/>
        <v>28.71</v>
      </c>
      <c r="CS31" vm="9036">
        <f ca="1"/>
        <v>29.28</v>
      </c>
      <c r="CT31" vm="9037">
        <f ca="1"/>
        <v>29.27</v>
      </c>
      <c r="CU31" vm="9038">
        <f ca="1"/>
        <v>29.24</v>
      </c>
      <c r="CV31" vm="9039">
        <f ca="1"/>
        <v>29.12</v>
      </c>
      <c r="CW31" vm="9040">
        <f ca="1"/>
        <v>29.49</v>
      </c>
      <c r="CX31" vm="9041">
        <f ca="1"/>
        <v>29.34</v>
      </c>
      <c r="CY31" vm="9042">
        <f ca="1"/>
        <v>30.61</v>
      </c>
      <c r="CZ31" vm="9043">
        <f ca="1"/>
        <v>31.03</v>
      </c>
      <c r="DA31" vm="9044">
        <f ca="1"/>
        <v>31.09</v>
      </c>
      <c r="DB31" vm="9045">
        <f ca="1"/>
        <v>31.05</v>
      </c>
      <c r="DC31" vm="9046">
        <f ca="1"/>
        <v>31.204999999999998</v>
      </c>
      <c r="DD31" vm="9047">
        <f ca="1"/>
        <v>30.99</v>
      </c>
      <c r="DE31" vm="9048">
        <f ca="1"/>
        <v>31.19</v>
      </c>
      <c r="DF31" vm="9009">
        <f ca="1"/>
        <v>30.66</v>
      </c>
      <c r="DG31" vm="9049">
        <f ca="1"/>
        <v>30.75</v>
      </c>
      <c r="DH31" vm="9050">
        <f ca="1"/>
        <v>30.57</v>
      </c>
      <c r="DI31" vm="9051">
        <f ca="1"/>
        <v>31.51</v>
      </c>
      <c r="DJ31" vm="9052">
        <f ca="1"/>
        <v>31.08</v>
      </c>
      <c r="DK31" vm="9053">
        <f ca="1"/>
        <v>31.31</v>
      </c>
      <c r="DL31" vm="9054">
        <f ca="1"/>
        <v>30.9</v>
      </c>
      <c r="DM31" vm="9055">
        <f ca="1"/>
        <v>30.97</v>
      </c>
      <c r="DN31" vm="9056">
        <f ca="1"/>
        <v>31.3</v>
      </c>
      <c r="DO31" vm="9057">
        <f ca="1"/>
        <v>31.4</v>
      </c>
      <c r="DP31" vm="9000">
        <f ca="1"/>
        <v>31.28</v>
      </c>
      <c r="DQ31" vm="9057">
        <f ca="1"/>
        <v>31.4</v>
      </c>
      <c r="DR31" vm="9057">
        <f ca="1"/>
        <v>31.4</v>
      </c>
      <c r="DS31" vm="2711">
        <f ca="1"/>
        <v>31.6</v>
      </c>
      <c r="DT31" vm="9058">
        <f ca="1"/>
        <v>31.53</v>
      </c>
      <c r="DU31" vm="9059">
        <f ca="1"/>
        <v>31.41</v>
      </c>
      <c r="DV31" vm="9060">
        <f ca="1"/>
        <v>30.91</v>
      </c>
      <c r="DW31" vm="9061">
        <f ca="1"/>
        <v>31.27</v>
      </c>
      <c r="DX31" vm="9062">
        <f ca="1"/>
        <v>30.79</v>
      </c>
      <c r="DY31" vm="9063">
        <f ca="1"/>
        <v>31.04</v>
      </c>
      <c r="DZ31" vm="9064">
        <f ca="1"/>
        <v>30.45</v>
      </c>
      <c r="EA31" vm="9016">
        <f ca="1"/>
        <v>30.74</v>
      </c>
      <c r="EB31" vm="9065">
        <f ca="1"/>
        <v>31.44</v>
      </c>
      <c r="EC31" vm="9066">
        <f ca="1"/>
        <v>31.54</v>
      </c>
      <c r="ED31" vm="2365">
        <f ca="1"/>
        <v>32.28</v>
      </c>
      <c r="EE31" vm="8966">
        <f ca="1"/>
        <v>32.520000000000003</v>
      </c>
      <c r="EF31" vm="2372">
        <f ca="1"/>
        <v>32.65</v>
      </c>
      <c r="EG31" vm="2367">
        <f ca="1"/>
        <v>32.14</v>
      </c>
      <c r="EH31" vm="2694">
        <f ca="1"/>
        <v>32.49</v>
      </c>
      <c r="EI31" vm="9067">
        <f ca="1"/>
        <v>32.79</v>
      </c>
      <c r="EJ31" vm="9068">
        <f ca="1"/>
        <v>32.159999999999997</v>
      </c>
      <c r="EK31" vm="9069">
        <f ca="1"/>
        <v>32.36</v>
      </c>
      <c r="EL31" vm="2707">
        <f ca="1"/>
        <v>32.770000000000003</v>
      </c>
      <c r="EM31" vm="9070">
        <f ca="1"/>
        <v>32.54</v>
      </c>
      <c r="EN31" vm="9071">
        <f ca="1"/>
        <v>32.270000000000003</v>
      </c>
      <c r="EO31" vm="2365">
        <f ca="1"/>
        <v>32.28</v>
      </c>
      <c r="EP31" vm="8969">
        <f ca="1"/>
        <v>32.33</v>
      </c>
      <c r="EQ31" vm="8972">
        <f ca="1"/>
        <v>32.56</v>
      </c>
      <c r="ER31" vm="9072">
        <f ca="1"/>
        <v>33.22</v>
      </c>
      <c r="ES31" vm="2708">
        <f ca="1"/>
        <v>33.159999999999997</v>
      </c>
      <c r="ET31" vm="8982">
        <f ca="1"/>
        <v>33.01</v>
      </c>
      <c r="EU31" vm="9073">
        <f ca="1"/>
        <v>32.880000000000003</v>
      </c>
      <c r="EV31" vm="8980">
        <f ca="1"/>
        <v>34.53</v>
      </c>
      <c r="EW31" vm="8981">
        <f ca="1"/>
        <v>34.49</v>
      </c>
      <c r="EX31" vm="8994">
        <f ca="1"/>
        <v>34.33</v>
      </c>
      <c r="EY31" vm="9074">
        <f ca="1"/>
        <v>34.26</v>
      </c>
      <c r="EZ31" vm="9075">
        <f ca="1"/>
        <v>33.86</v>
      </c>
      <c r="FA31" vm="9076">
        <f ca="1"/>
        <v>33.700000000000003</v>
      </c>
      <c r="FB31" vm="2699">
        <f ca="1"/>
        <v>33.47</v>
      </c>
      <c r="FC31" vm="8960">
        <f ca="1"/>
        <v>33.119999999999997</v>
      </c>
      <c r="FD31" vm="9077">
        <f ca="1"/>
        <v>33.97</v>
      </c>
      <c r="FE31" vm="9078">
        <f ca="1"/>
        <v>33.93</v>
      </c>
      <c r="FF31" vm="43">
        <f ca="1"/>
        <v>33.6</v>
      </c>
      <c r="FG31" vm="9079">
        <f ca="1"/>
        <v>33.43</v>
      </c>
      <c r="FH31" vm="43">
        <f ca="1"/>
        <v>33.6</v>
      </c>
      <c r="FI31" vm="9080">
        <f ca="1"/>
        <v>33.31</v>
      </c>
      <c r="FJ31" vm="4721">
        <f ca="1"/>
        <v>33.880000000000003</v>
      </c>
      <c r="FK31" vm="8989">
        <f ca="1"/>
        <v>34.270000000000003</v>
      </c>
      <c r="FL31" vm="9081">
        <f ca="1"/>
        <v>33.909999999999997</v>
      </c>
      <c r="FM31" vm="9082">
        <f ca="1"/>
        <v>34.08</v>
      </c>
      <c r="FN31" vm="811">
        <f ca="1"/>
        <v>34.07</v>
      </c>
      <c r="FO31" vm="9083">
        <f ca="1"/>
        <v>33.479999999999997</v>
      </c>
      <c r="FP31" vm="8971">
        <f ca="1"/>
        <v>33.18</v>
      </c>
      <c r="FQ31" vm="9084">
        <f ca="1"/>
        <v>32.869999999999997</v>
      </c>
      <c r="FR31" vm="9085">
        <f ca="1"/>
        <v>33.81</v>
      </c>
      <c r="FS31" vm="9086">
        <f ca="1"/>
        <v>33.67</v>
      </c>
      <c r="FT31" vm="9087">
        <f ca="1"/>
        <v>33.799999999999997</v>
      </c>
      <c r="FU31" vm="9087">
        <f ca="1"/>
        <v>33.799999999999997</v>
      </c>
      <c r="FV31" vm="811">
        <f ca="1"/>
        <v>34.07</v>
      </c>
      <c r="FW31" vm="8987">
        <f ca="1"/>
        <v>33.549999999999997</v>
      </c>
      <c r="FX31" vm="9088">
        <f ca="1"/>
        <v>33.299999999999997</v>
      </c>
      <c r="FY31" vm="9089">
        <f ca="1"/>
        <v>33.17</v>
      </c>
      <c r="FZ31" vm="8959">
        <f ca="1"/>
        <v>33.25</v>
      </c>
      <c r="GA31" vm="2710">
        <f ca="1"/>
        <v>33.58</v>
      </c>
      <c r="GB31" vm="9090">
        <f ca="1"/>
        <v>34.11</v>
      </c>
      <c r="GC31" vm="8993">
        <f ca="1"/>
        <v>33.82</v>
      </c>
      <c r="GD31" vm="9091">
        <f ca="1"/>
        <v>33.729999999999997</v>
      </c>
      <c r="GE31" vm="9092">
        <f ca="1"/>
        <v>34.21</v>
      </c>
      <c r="GF31" vm="9093">
        <f ca="1"/>
        <v>34.04</v>
      </c>
      <c r="GG31" vm="9094">
        <f ca="1"/>
        <v>34.409999999999997</v>
      </c>
      <c r="GH31" vm="9095">
        <f ca="1"/>
        <v>34.46</v>
      </c>
      <c r="GI31" vm="9096">
        <f ca="1"/>
        <v>34.369999999999997</v>
      </c>
      <c r="GJ31" vm="9097">
        <f ca="1"/>
        <v>35.03</v>
      </c>
      <c r="GK31" vm="826">
        <f ca="1"/>
        <v>35</v>
      </c>
      <c r="GL31" vm="40">
        <f ca="1"/>
        <v>35.96</v>
      </c>
      <c r="GM31" vm="9098">
        <f ca="1"/>
        <v>35.659999999999997</v>
      </c>
      <c r="GN31" vm="9099">
        <f ca="1"/>
        <v>35.11</v>
      </c>
      <c r="GO31" vm="9100">
        <f ca="1"/>
        <v>34.89</v>
      </c>
      <c r="GP31" vm="9101">
        <f ca="1"/>
        <v>34.85</v>
      </c>
      <c r="GQ31" vm="9102">
        <f ca="1"/>
        <v>35.08</v>
      </c>
      <c r="GR31" vm="9103">
        <f ca="1"/>
        <v>35.43</v>
      </c>
      <c r="GS31" vm="9104">
        <f ca="1"/>
        <v>35.71</v>
      </c>
      <c r="GT31" vm="9105">
        <f ca="1"/>
        <v>36.31</v>
      </c>
      <c r="GU31" vm="9106">
        <f ca="1"/>
        <v>36.75</v>
      </c>
      <c r="GV31" vm="3320">
        <f ca="1"/>
        <v>37.4</v>
      </c>
      <c r="GW31" vm="9107">
        <f ca="1"/>
        <v>36.81</v>
      </c>
      <c r="GX31" vm="1563">
        <f ca="1"/>
        <v>37.24</v>
      </c>
      <c r="GY31" vm="9108">
        <f ca="1"/>
        <v>37.299999999999997</v>
      </c>
      <c r="GZ31" vm="9109">
        <f ca="1"/>
        <v>35.65</v>
      </c>
      <c r="HA31" vm="9106">
        <f ca="1"/>
        <v>36.75</v>
      </c>
      <c r="HB31" vm="9110">
        <f ca="1"/>
        <v>36.47</v>
      </c>
      <c r="HC31" vm="9111">
        <f ca="1"/>
        <v>36.86</v>
      </c>
      <c r="HD31" vm="9112">
        <f ca="1"/>
        <v>36.49</v>
      </c>
      <c r="HE31" vm="9113">
        <f ca="1"/>
        <v>36.049999999999997</v>
      </c>
      <c r="HF31" vm="1576">
        <f ca="1"/>
        <v>37.06</v>
      </c>
      <c r="HG31" vm="818">
        <f ca="1"/>
        <v>36.880000000000003</v>
      </c>
      <c r="HH31" vm="4759">
        <f ca="1"/>
        <v>36.83</v>
      </c>
      <c r="HI31" vm="3316">
        <f ca="1"/>
        <v>37.36</v>
      </c>
      <c r="HJ31" vm="9114">
        <f ca="1"/>
        <v>37.729999999999997</v>
      </c>
      <c r="HK31" vm="9115">
        <f ca="1"/>
        <v>38.18</v>
      </c>
      <c r="HL31" vm="9116">
        <f ca="1"/>
        <v>38.06</v>
      </c>
      <c r="HM31" vm="4679">
        <f ca="1"/>
        <v>38.159999999999997</v>
      </c>
      <c r="HN31" vm="9117">
        <f ca="1"/>
        <v>37.405000000000001</v>
      </c>
      <c r="HO31" vm="9118">
        <f ca="1"/>
        <v>37.83</v>
      </c>
      <c r="HP31" vm="9119">
        <f ca="1"/>
        <v>38.25</v>
      </c>
      <c r="HQ31" vm="1024">
        <f ca="1"/>
        <v>37.32</v>
      </c>
      <c r="HR31" vm="9120">
        <f ca="1"/>
        <v>37</v>
      </c>
      <c r="HS31" vm="9121">
        <f ca="1"/>
        <v>35.979999999999997</v>
      </c>
      <c r="HT31" vm="9122">
        <f ca="1"/>
        <v>36</v>
      </c>
      <c r="HU31" vm="1027">
        <f ca="1"/>
        <v>36.57</v>
      </c>
      <c r="HV31" vm="4711">
        <f ca="1"/>
        <v>36.29</v>
      </c>
      <c r="HW31" vm="9123">
        <f ca="1"/>
        <v>36.19</v>
      </c>
      <c r="HX31" vm="9124">
        <f ca="1"/>
        <v>35.299999999999997</v>
      </c>
      <c r="HY31" vm="816">
        <f ca="1"/>
        <v>35.15</v>
      </c>
      <c r="HZ31" vm="8995">
        <f ca="1"/>
        <v>34.32</v>
      </c>
      <c r="IA31" vm="9076">
        <f ca="1"/>
        <v>33.700000000000003</v>
      </c>
      <c r="IB31" vm="808">
        <f ca="1"/>
        <v>33.840000000000003</v>
      </c>
      <c r="IC31" vm="809">
        <f ca="1"/>
        <v>33.08</v>
      </c>
      <c r="ID31" vm="810">
        <f ca="1"/>
        <v>33.49</v>
      </c>
      <c r="IE31" vm="811">
        <f ca="1"/>
        <v>34.07</v>
      </c>
      <c r="IF31" vm="812">
        <f ca="1"/>
        <v>34.549999999999997</v>
      </c>
      <c r="IG31" vm="813">
        <f ca="1"/>
        <v>34.869999999999997</v>
      </c>
      <c r="IH31" vm="814">
        <f ca="1"/>
        <v>35.17</v>
      </c>
      <c r="II31" vm="815">
        <f ca="1"/>
        <v>35.25</v>
      </c>
      <c r="IJ31" vm="816">
        <f ca="1"/>
        <v>35.15</v>
      </c>
      <c r="IK31" vm="817">
        <f ca="1"/>
        <v>35.51</v>
      </c>
      <c r="IL31" vm="818">
        <f ca="1"/>
        <v>36.880000000000003</v>
      </c>
      <c r="IM31" vm="819">
        <f ca="1"/>
        <v>36.770000000000003</v>
      </c>
      <c r="IN31" vm="820">
        <f ca="1"/>
        <v>36.89</v>
      </c>
      <c r="IO31" vm="818">
        <f ca="1"/>
        <v>36.880000000000003</v>
      </c>
      <c r="IP31" vm="821">
        <f ca="1"/>
        <v>37.03</v>
      </c>
      <c r="IQ31" vm="822">
        <f ca="1"/>
        <v>36.93</v>
      </c>
      <c r="IR31" vm="823">
        <f ca="1"/>
        <v>36.380000000000003</v>
      </c>
      <c r="IS31" vm="824">
        <f ca="1"/>
        <v>36.14</v>
      </c>
      <c r="IT31" vm="825">
        <f ca="1"/>
        <v>35.79</v>
      </c>
      <c r="IU31" vm="826">
        <f ca="1"/>
        <v>35</v>
      </c>
      <c r="IV31" vm="827">
        <f ca="1"/>
        <v>35.36</v>
      </c>
      <c r="IW31" vm="40">
        <f ca="1"/>
        <v>35.96</v>
      </c>
    </row>
    <row r="32" spans="1:257" ht="16" x14ac:dyDescent="0.2">
      <c r="A32" s="10" t="e" vm="828">
        <v>#VALUE!</v>
      </c>
      <c r="B32" s="23" t="str" cm="1">
        <f t="array" aca="1" ref="B32" ca="1">_FV(A32,"ticker symbol",TRUE)</f>
        <v>AIQ</v>
      </c>
      <c r="C32" s="23" t="str" cm="1">
        <f t="array" aca="1" ref="C32" ca="1">_FV(A32,"Name")</f>
        <v>Glbl X AI &amp; Technology</v>
      </c>
      <c r="D32" cm="1" vm="9125">
        <f t="array" aca="1" ref="D32:IW32" ca="1">TRANSPOSE(_xlfn.STOCKHISTORY(B32, WORKDAY(TODAY(), -265), TODAY(), 0, 0, 1))</f>
        <v>40.57</v>
      </c>
      <c r="E32" s="23" vm="559">
        <f ca="1"/>
        <v>40.5</v>
      </c>
      <c r="F32" s="23" vm="9126">
        <f ca="1"/>
        <v>39</v>
      </c>
      <c r="G32" s="23" vm="9127">
        <f ca="1"/>
        <v>38.97</v>
      </c>
      <c r="H32" s="23" vm="9128">
        <f ca="1"/>
        <v>39.25</v>
      </c>
      <c r="I32" s="23" vm="9129">
        <f ca="1"/>
        <v>39.5</v>
      </c>
      <c r="J32" s="23" vm="9130">
        <f ca="1"/>
        <v>39.950000000000003</v>
      </c>
      <c r="K32" s="23" vm="9131">
        <f ca="1"/>
        <v>39.93</v>
      </c>
      <c r="L32" s="23" vm="9132">
        <f ca="1"/>
        <v>39.409999999999997</v>
      </c>
      <c r="M32" s="23" vm="9133">
        <f ca="1"/>
        <v>38.880000000000003</v>
      </c>
      <c r="N32" s="23" vm="9134">
        <f ca="1"/>
        <v>38.64</v>
      </c>
      <c r="O32" s="23" vm="9135">
        <f ca="1"/>
        <v>38.46</v>
      </c>
      <c r="P32" s="23" vm="9136">
        <f ca="1"/>
        <v>39.130000000000003</v>
      </c>
      <c r="Q32" s="23" vm="9137">
        <f ca="1"/>
        <v>39.590000000000003</v>
      </c>
      <c r="R32" s="23" vm="6902">
        <f ca="1"/>
        <v>38.96</v>
      </c>
      <c r="S32" s="23" vm="6906">
        <f ca="1"/>
        <v>38.92</v>
      </c>
      <c r="T32" s="23" vm="9138">
        <f ca="1"/>
        <v>38.200000000000003</v>
      </c>
      <c r="U32" s="23" vm="9139">
        <f ca="1"/>
        <v>38</v>
      </c>
      <c r="V32" s="23" vm="9140">
        <f ca="1"/>
        <v>38.1</v>
      </c>
      <c r="W32" s="23" vm="9127">
        <f ca="1"/>
        <v>38.97</v>
      </c>
      <c r="X32" s="23" vm="9133">
        <f ca="1"/>
        <v>38.880000000000003</v>
      </c>
      <c r="Y32" s="23" vm="9141">
        <f ca="1"/>
        <v>39.46</v>
      </c>
      <c r="Z32" s="23" vm="9142">
        <f ca="1"/>
        <v>40.08</v>
      </c>
      <c r="AA32" s="23" vm="6924">
        <f ca="1"/>
        <v>40.64</v>
      </c>
      <c r="AB32" s="23" vm="6861">
        <f ca="1"/>
        <v>40.81</v>
      </c>
      <c r="AC32" s="23" vm="6857">
        <f ca="1"/>
        <v>40.76</v>
      </c>
      <c r="AD32" vm="9143">
        <f ca="1"/>
        <v>39.659999999999997</v>
      </c>
      <c r="AE32" vm="9144">
        <f ca="1"/>
        <v>40.4</v>
      </c>
      <c r="AF32" vm="9145">
        <f ca="1"/>
        <v>40.159999999999997</v>
      </c>
      <c r="AG32" vm="9146">
        <f ca="1"/>
        <v>40.61</v>
      </c>
      <c r="AH32" vm="6910">
        <f ca="1"/>
        <v>40.450000000000003</v>
      </c>
      <c r="AI32" vm="6858">
        <f ca="1"/>
        <v>40.06</v>
      </c>
      <c r="AJ32" vm="6965">
        <f ca="1"/>
        <v>40.93</v>
      </c>
      <c r="AK32" vm="9147">
        <f ca="1"/>
        <v>41.02</v>
      </c>
      <c r="AL32" vm="9148">
        <f ca="1"/>
        <v>41.16</v>
      </c>
      <c r="AM32" vm="6901">
        <f ca="1"/>
        <v>40.82</v>
      </c>
      <c r="AN32" vm="2724">
        <f ca="1"/>
        <v>41.61</v>
      </c>
      <c r="AO32" vm="6939">
        <f ca="1"/>
        <v>41.4</v>
      </c>
      <c r="AP32" vm="6877">
        <f ca="1"/>
        <v>41.55</v>
      </c>
      <c r="AQ32" vm="9149">
        <f ca="1"/>
        <v>42.17</v>
      </c>
      <c r="AR32" vm="9150">
        <f ca="1"/>
        <v>42.41</v>
      </c>
      <c r="AS32" vm="9151">
        <f ca="1"/>
        <v>42.77</v>
      </c>
      <c r="AT32" vm="6895">
        <f ca="1"/>
        <v>42.47</v>
      </c>
      <c r="AU32" vm="6887">
        <f ca="1"/>
        <v>42.23</v>
      </c>
      <c r="AV32" vm="6967">
        <f ca="1"/>
        <v>41.24</v>
      </c>
      <c r="AW32" vm="9152">
        <f ca="1"/>
        <v>40.31</v>
      </c>
      <c r="AX32" vm="9153">
        <f ca="1"/>
        <v>39.76</v>
      </c>
      <c r="AY32" vm="9154">
        <f ca="1"/>
        <v>40.090000000000003</v>
      </c>
      <c r="AZ32" vm="9155">
        <f ca="1"/>
        <v>38.93</v>
      </c>
      <c r="BA32" vm="9156">
        <f ca="1"/>
        <v>39.07</v>
      </c>
      <c r="BB32" vm="9157">
        <f ca="1"/>
        <v>38.26</v>
      </c>
      <c r="BC32" vm="9158">
        <f ca="1"/>
        <v>38.29</v>
      </c>
      <c r="BD32" vm="9159">
        <f ca="1"/>
        <v>39.24</v>
      </c>
      <c r="BE32" vm="9160">
        <f ca="1"/>
        <v>38.049999999999997</v>
      </c>
      <c r="BF32" vm="1035">
        <f ca="1"/>
        <v>38.450000000000003</v>
      </c>
      <c r="BG32" vm="9161">
        <f ca="1"/>
        <v>36.61</v>
      </c>
      <c r="BH32" vm="112">
        <f ca="1"/>
        <v>36.840000000000003</v>
      </c>
      <c r="BI32" vm="9162">
        <f ca="1"/>
        <v>37.46</v>
      </c>
      <c r="BJ32" vm="9163">
        <f ca="1"/>
        <v>36.630000000000003</v>
      </c>
      <c r="BK32" vm="4685">
        <f ca="1"/>
        <v>37.700000000000003</v>
      </c>
      <c r="BL32" vm="9164">
        <f ca="1"/>
        <v>38.299999999999997</v>
      </c>
      <c r="BM32" vm="4686">
        <f ca="1"/>
        <v>37.69</v>
      </c>
      <c r="BN32" vm="9165">
        <f ca="1"/>
        <v>38.15</v>
      </c>
      <c r="BO32" vm="9166">
        <f ca="1"/>
        <v>37.75</v>
      </c>
      <c r="BP32" vm="4672">
        <f ca="1"/>
        <v>37.840000000000003</v>
      </c>
      <c r="BQ32" vm="71">
        <f ca="1"/>
        <v>38.6</v>
      </c>
      <c r="BR32" vm="9167">
        <f ca="1"/>
        <v>38.69</v>
      </c>
      <c r="BS32" vm="9168">
        <f ca="1"/>
        <v>37.92</v>
      </c>
      <c r="BT32" vm="9169">
        <f ca="1"/>
        <v>37.619999999999997</v>
      </c>
      <c r="BU32" vm="9170">
        <f ca="1"/>
        <v>36.54</v>
      </c>
      <c r="BV32" vm="823">
        <f ca="1"/>
        <v>36.380000000000003</v>
      </c>
      <c r="BW32" vm="9171">
        <f ca="1"/>
        <v>36.72</v>
      </c>
      <c r="BX32" vm="9172">
        <f ca="1"/>
        <v>36.99</v>
      </c>
      <c r="BY32" vm="9173">
        <f ca="1"/>
        <v>34.83</v>
      </c>
      <c r="BZ32" vm="9174">
        <f ca="1"/>
        <v>32.4</v>
      </c>
      <c r="CA32" vm="9175">
        <f ca="1"/>
        <v>32.17</v>
      </c>
      <c r="CB32" vm="9176">
        <f ca="1"/>
        <v>31.5</v>
      </c>
      <c r="CC32" vm="9177">
        <f ca="1"/>
        <v>35.340000000000003</v>
      </c>
      <c r="CD32" vm="9085">
        <f ca="1"/>
        <v>33.81</v>
      </c>
      <c r="CE32" vm="9178">
        <f ca="1"/>
        <v>34.450000000000003</v>
      </c>
      <c r="CF32" vm="9179">
        <f ca="1"/>
        <v>34.729999999999997</v>
      </c>
      <c r="CG32" vm="9180">
        <f ca="1"/>
        <v>34.86</v>
      </c>
      <c r="CH32" vm="9181">
        <f ca="1"/>
        <v>33.9</v>
      </c>
      <c r="CI32" vm="9181">
        <f ca="1"/>
        <v>33.9</v>
      </c>
      <c r="CJ32" vm="2378">
        <f ca="1"/>
        <v>33.229999999999997</v>
      </c>
      <c r="CK32" vm="9090">
        <f ca="1"/>
        <v>34.11</v>
      </c>
      <c r="CL32" vm="9182">
        <f ca="1"/>
        <v>35.090000000000003</v>
      </c>
      <c r="CM32" vm="9183">
        <f ca="1"/>
        <v>36.200000000000003</v>
      </c>
      <c r="CN32" vm="819">
        <f ca="1"/>
        <v>36.770000000000003</v>
      </c>
      <c r="CO32" vm="1569">
        <f ca="1"/>
        <v>36.799999999999997</v>
      </c>
      <c r="CP32" vm="1570">
        <f ca="1"/>
        <v>36.950000000000003</v>
      </c>
      <c r="CQ32" vm="9184">
        <f ca="1"/>
        <v>36.869999999999997</v>
      </c>
      <c r="CR32" vm="9185">
        <f ca="1"/>
        <v>37.17</v>
      </c>
      <c r="CS32" vm="4679">
        <f ca="1"/>
        <v>38.159999999999997</v>
      </c>
      <c r="CT32" vm="9140">
        <f ca="1"/>
        <v>38.1</v>
      </c>
      <c r="CU32" vm="9186">
        <f ca="1"/>
        <v>37.78</v>
      </c>
      <c r="CV32" vm="9187">
        <f ca="1"/>
        <v>37.89</v>
      </c>
      <c r="CW32" vm="9188">
        <f ca="1"/>
        <v>38.31</v>
      </c>
      <c r="CX32" vm="9189">
        <f ca="1"/>
        <v>38.32</v>
      </c>
      <c r="CY32" vm="9190">
        <f ca="1"/>
        <v>39.92</v>
      </c>
      <c r="CZ32" vm="9191">
        <f ca="1"/>
        <v>40.71</v>
      </c>
      <c r="DA32" vm="305">
        <f ca="1"/>
        <v>40.99</v>
      </c>
      <c r="DB32" vm="6861">
        <f ca="1"/>
        <v>40.81</v>
      </c>
      <c r="DC32" vm="6965">
        <f ca="1"/>
        <v>40.93</v>
      </c>
      <c r="DD32" vm="6963">
        <f ca="1"/>
        <v>40.880000000000003</v>
      </c>
      <c r="DE32" vm="9192">
        <f ca="1"/>
        <v>40.72</v>
      </c>
      <c r="DF32" vm="9193">
        <f ca="1"/>
        <v>40.22</v>
      </c>
      <c r="DG32" vm="9194">
        <f ca="1"/>
        <v>40.299999999999997</v>
      </c>
      <c r="DH32" vm="9130">
        <f ca="1"/>
        <v>39.950000000000003</v>
      </c>
      <c r="DI32" vm="6859">
        <f ca="1"/>
        <v>40.79</v>
      </c>
      <c r="DJ32" vm="2714">
        <f ca="1"/>
        <v>40.520000000000003</v>
      </c>
      <c r="DK32" vm="6910">
        <f ca="1"/>
        <v>40.450000000000003</v>
      </c>
      <c r="DL32" vm="9194">
        <f ca="1"/>
        <v>40.299999999999997</v>
      </c>
      <c r="DM32" vm="565">
        <f ca="1"/>
        <v>40.729999999999997</v>
      </c>
      <c r="DN32" vm="552">
        <f ca="1"/>
        <v>40.96</v>
      </c>
      <c r="DO32" vm="6882">
        <f ca="1"/>
        <v>41.35</v>
      </c>
      <c r="DP32" vm="9195">
        <f ca="1"/>
        <v>41.2</v>
      </c>
      <c r="DQ32" vm="308">
        <f ca="1"/>
        <v>41.62</v>
      </c>
      <c r="DR32" vm="6886">
        <f ca="1"/>
        <v>41.9</v>
      </c>
      <c r="DS32" vm="6900">
        <f ca="1"/>
        <v>42.08</v>
      </c>
      <c r="DT32" vm="2323">
        <f ca="1"/>
        <v>42.11</v>
      </c>
      <c r="DU32" vm="6951">
        <f ca="1"/>
        <v>42.19</v>
      </c>
      <c r="DV32" vm="9196">
        <f ca="1"/>
        <v>41.6</v>
      </c>
      <c r="DW32" vm="9197">
        <f ca="1"/>
        <v>42.32</v>
      </c>
      <c r="DX32" vm="6917">
        <f ca="1"/>
        <v>41.93</v>
      </c>
      <c r="DY32" vm="6899">
        <f ca="1"/>
        <v>41.88</v>
      </c>
      <c r="DZ32" vm="9198">
        <f ca="1"/>
        <v>41.5</v>
      </c>
      <c r="EA32" vm="6878">
        <f ca="1"/>
        <v>41.96</v>
      </c>
      <c r="EB32" vm="9199">
        <f ca="1"/>
        <v>43.1</v>
      </c>
      <c r="EC32" vm="2686">
        <f ca="1"/>
        <v>43.08</v>
      </c>
      <c r="ED32" vm="541">
        <f ca="1"/>
        <v>43.48</v>
      </c>
      <c r="EE32" vm="1371">
        <f ca="1"/>
        <v>43.37</v>
      </c>
      <c r="EF32" vm="9200">
        <f ca="1"/>
        <v>43.69</v>
      </c>
      <c r="EG32" vm="9201">
        <f ca="1"/>
        <v>43.2</v>
      </c>
      <c r="EH32" vm="9202">
        <f ca="1"/>
        <v>43.49</v>
      </c>
      <c r="EI32" vm="9203">
        <f ca="1"/>
        <v>44</v>
      </c>
      <c r="EJ32" vm="77">
        <f ca="1"/>
        <v>43.54</v>
      </c>
      <c r="EK32" vm="9204">
        <f ca="1"/>
        <v>43.68</v>
      </c>
      <c r="EL32" vm="9205">
        <f ca="1"/>
        <v>43.77</v>
      </c>
      <c r="EM32" vm="2688">
        <f ca="1"/>
        <v>43.65</v>
      </c>
      <c r="EN32" vm="2689">
        <f ca="1"/>
        <v>43.28</v>
      </c>
      <c r="EO32" vm="1366">
        <f ca="1"/>
        <v>43.51</v>
      </c>
      <c r="EP32" vm="9206">
        <f ca="1"/>
        <v>43.79</v>
      </c>
      <c r="EQ32" vm="9207">
        <f ca="1"/>
        <v>43.98</v>
      </c>
      <c r="ER32" vm="9208">
        <f ca="1"/>
        <v>44.43</v>
      </c>
      <c r="ES32" vm="9209">
        <f ca="1"/>
        <v>44.36</v>
      </c>
      <c r="ET32" vm="9210">
        <f ca="1"/>
        <v>44.53</v>
      </c>
      <c r="EU32" vm="9211">
        <f ca="1"/>
        <v>44.18</v>
      </c>
      <c r="EV32" vm="9212">
        <f ca="1"/>
        <v>44.77</v>
      </c>
      <c r="EW32" vm="2583">
        <f ca="1"/>
        <v>44.59</v>
      </c>
      <c r="EX32" vm="9213">
        <f ca="1"/>
        <v>44.74</v>
      </c>
      <c r="EY32" vm="9214">
        <f ca="1"/>
        <v>44.93</v>
      </c>
      <c r="EZ32" vm="9215">
        <f ca="1"/>
        <v>44.88</v>
      </c>
      <c r="FA32" vm="9216">
        <f ca="1"/>
        <v>44.82</v>
      </c>
      <c r="FB32" vm="1977">
        <f ca="1"/>
        <v>44.57</v>
      </c>
      <c r="FC32" vm="1171">
        <f ca="1"/>
        <v>43.47</v>
      </c>
      <c r="FD32" vm="9217">
        <f ca="1"/>
        <v>44.33</v>
      </c>
      <c r="FE32" vm="9218">
        <f ca="1"/>
        <v>44.17</v>
      </c>
      <c r="FF32" vm="9219">
        <f ca="1"/>
        <v>44.64</v>
      </c>
      <c r="FG32" vm="9220">
        <f ca="1"/>
        <v>44.71</v>
      </c>
      <c r="FH32" vm="1978">
        <f ca="1"/>
        <v>44.91</v>
      </c>
      <c r="FI32" vm="9221">
        <f ca="1"/>
        <v>44.68</v>
      </c>
      <c r="FJ32" vm="9222">
        <f ca="1"/>
        <v>45.34</v>
      </c>
      <c r="FK32" vm="9223">
        <f ca="1"/>
        <v>45.59</v>
      </c>
      <c r="FL32" vm="9224">
        <f ca="1"/>
        <v>45.23</v>
      </c>
      <c r="FM32" vm="2587">
        <f ca="1"/>
        <v>45.22</v>
      </c>
      <c r="FN32" vm="2185">
        <f ca="1"/>
        <v>45.3</v>
      </c>
      <c r="FO32" vm="9225">
        <f ca="1"/>
        <v>44.49</v>
      </c>
      <c r="FP32" vm="9226">
        <f ca="1"/>
        <v>44.14</v>
      </c>
      <c r="FQ32" vm="9227">
        <f ca="1"/>
        <v>43.88</v>
      </c>
      <c r="FR32" vm="9228">
        <f ca="1"/>
        <v>44.94</v>
      </c>
      <c r="FS32" vm="9212">
        <f ca="1"/>
        <v>44.77</v>
      </c>
      <c r="FT32" vm="9229">
        <f ca="1"/>
        <v>44.98</v>
      </c>
      <c r="FU32" vm="9230">
        <f ca="1"/>
        <v>45.01</v>
      </c>
      <c r="FV32" vm="9231">
        <f ca="1"/>
        <v>45.53</v>
      </c>
      <c r="FW32" vm="9232">
        <f ca="1"/>
        <v>45.08</v>
      </c>
      <c r="FX32" vm="1183">
        <f ca="1"/>
        <v>44.62</v>
      </c>
      <c r="FY32" vm="9215">
        <f ca="1"/>
        <v>44.88</v>
      </c>
      <c r="FZ32" vm="9233">
        <f ca="1"/>
        <v>45.06</v>
      </c>
      <c r="GA32" vm="9234">
        <f ca="1"/>
        <v>45.46</v>
      </c>
      <c r="GB32" vm="456">
        <f ca="1"/>
        <v>46.11</v>
      </c>
      <c r="GC32" vm="9235">
        <f ca="1"/>
        <v>46.47</v>
      </c>
      <c r="GD32" vm="9236">
        <f ca="1"/>
        <v>46.83</v>
      </c>
      <c r="GE32" vm="9237">
        <f ca="1"/>
        <v>47.2</v>
      </c>
      <c r="GF32" vm="9238">
        <f ca="1"/>
        <v>47.34</v>
      </c>
      <c r="GG32" vm="1268">
        <f ca="1"/>
        <v>47.96</v>
      </c>
      <c r="GH32" vm="9239">
        <f ca="1"/>
        <v>48.19</v>
      </c>
      <c r="GI32" vm="9240">
        <f ca="1"/>
        <v>48.24</v>
      </c>
      <c r="GJ32" vm="1992">
        <f ca="1"/>
        <v>48.78</v>
      </c>
      <c r="GK32" vm="9241">
        <f ca="1"/>
        <v>49.14</v>
      </c>
      <c r="GL32" vm="9242">
        <f ca="1"/>
        <v>49.66</v>
      </c>
      <c r="GM32" vm="9243">
        <f ca="1"/>
        <v>49.23</v>
      </c>
      <c r="GN32" vm="9244">
        <f ca="1"/>
        <v>49.24</v>
      </c>
      <c r="GO32" vm="9245">
        <f ca="1"/>
        <v>48.92</v>
      </c>
      <c r="GP32" vm="9245">
        <f ca="1"/>
        <v>48.92</v>
      </c>
      <c r="GQ32" vm="9246">
        <f ca="1"/>
        <v>49.34</v>
      </c>
      <c r="GR32" vm="1622">
        <f ca="1"/>
        <v>49.39</v>
      </c>
      <c r="GS32" vm="9247">
        <f ca="1"/>
        <v>49.89</v>
      </c>
      <c r="GT32" vm="9248">
        <f ca="1"/>
        <v>50.32</v>
      </c>
      <c r="GU32" vm="6265">
        <f ca="1"/>
        <v>50.21</v>
      </c>
      <c r="GV32" vm="6303">
        <f ca="1"/>
        <v>51.06</v>
      </c>
      <c r="GW32" vm="9249">
        <f ca="1"/>
        <v>50.56</v>
      </c>
      <c r="GX32" vm="3107">
        <f ca="1"/>
        <v>51.55</v>
      </c>
      <c r="GY32" vm="9250">
        <f ca="1"/>
        <v>51.27</v>
      </c>
      <c r="GZ32" vm="9251">
        <f ca="1"/>
        <v>48.93</v>
      </c>
      <c r="HA32" vm="837">
        <f ca="1"/>
        <v>50.44</v>
      </c>
      <c r="HB32" vm="6240">
        <f ca="1"/>
        <v>49.81</v>
      </c>
      <c r="HC32" vm="9252">
        <f ca="1"/>
        <v>50.55</v>
      </c>
      <c r="HD32" vm="6305">
        <f ca="1"/>
        <v>50.53</v>
      </c>
      <c r="HE32" vm="1146">
        <f ca="1"/>
        <v>50.5</v>
      </c>
      <c r="HF32" vm="9253">
        <f ca="1"/>
        <v>51.29</v>
      </c>
      <c r="HG32" vm="9254">
        <f ca="1"/>
        <v>51.02</v>
      </c>
      <c r="HH32" vm="9255">
        <f ca="1"/>
        <v>50.4</v>
      </c>
      <c r="HI32" vm="6295">
        <f ca="1"/>
        <v>51.08</v>
      </c>
      <c r="HJ32" vm="6310">
        <f ca="1"/>
        <v>51.94</v>
      </c>
      <c r="HK32" vm="9256">
        <f ca="1"/>
        <v>53.09</v>
      </c>
      <c r="HL32" vm="6337">
        <f ca="1"/>
        <v>53.16</v>
      </c>
      <c r="HM32" vm="6344">
        <f ca="1"/>
        <v>53.47</v>
      </c>
      <c r="HN32" vm="2906">
        <f ca="1"/>
        <v>52.7</v>
      </c>
      <c r="HO32" vm="9257">
        <f ca="1"/>
        <v>53.08</v>
      </c>
      <c r="HP32" vm="6339">
        <f ca="1"/>
        <v>53.56</v>
      </c>
      <c r="HQ32" vm="467">
        <f ca="1"/>
        <v>51.56</v>
      </c>
      <c r="HR32" vm="9258">
        <f ca="1"/>
        <v>52.12</v>
      </c>
      <c r="HS32" vm="9259">
        <f ca="1"/>
        <v>51.1</v>
      </c>
      <c r="HT32" vm="9260">
        <f ca="1"/>
        <v>50.68</v>
      </c>
      <c r="HU32" vm="3113">
        <f ca="1"/>
        <v>52.1</v>
      </c>
      <c r="HV32" vm="9261">
        <f ca="1"/>
        <v>51.64</v>
      </c>
      <c r="HW32" vm="6308">
        <f ca="1"/>
        <v>51.58</v>
      </c>
      <c r="HX32" vm="9262">
        <f ca="1"/>
        <v>50.2</v>
      </c>
      <c r="HY32" vm="1148">
        <f ca="1"/>
        <v>50.15</v>
      </c>
      <c r="HZ32" vm="9263">
        <f ca="1"/>
        <v>49.5</v>
      </c>
      <c r="IA32" vm="1266">
        <f ca="1"/>
        <v>48.8</v>
      </c>
      <c r="IB32" vm="829">
        <f ca="1"/>
        <v>48.79</v>
      </c>
      <c r="IC32" vm="830">
        <f ca="1"/>
        <v>47.33</v>
      </c>
      <c r="ID32" vm="831">
        <f ca="1"/>
        <v>47.6</v>
      </c>
      <c r="IE32" vm="832">
        <f ca="1"/>
        <v>49.11</v>
      </c>
      <c r="IF32" vm="833">
        <f ca="1"/>
        <v>49.25</v>
      </c>
      <c r="IG32" vm="834">
        <f ca="1"/>
        <v>49.67</v>
      </c>
      <c r="IH32" vm="835">
        <f ca="1"/>
        <v>50.14</v>
      </c>
      <c r="II32" vm="836">
        <f ca="1"/>
        <v>50.13</v>
      </c>
      <c r="IJ32" vm="837">
        <f ca="1"/>
        <v>50.44</v>
      </c>
      <c r="IK32" vm="838">
        <f ca="1"/>
        <v>50.84</v>
      </c>
      <c r="IL32" vm="839">
        <f ca="1"/>
        <v>50.95</v>
      </c>
      <c r="IM32" vm="840">
        <f ca="1"/>
        <v>51.48</v>
      </c>
      <c r="IN32" vm="841">
        <f ca="1"/>
        <v>51.52</v>
      </c>
      <c r="IO32" vm="469">
        <f ca="1"/>
        <v>51.67</v>
      </c>
      <c r="IP32" vm="842">
        <f ca="1"/>
        <v>52.07</v>
      </c>
      <c r="IQ32" vm="843">
        <f ca="1"/>
        <v>51.68</v>
      </c>
      <c r="IR32" vm="844">
        <f ca="1"/>
        <v>50.52</v>
      </c>
      <c r="IS32" vm="845">
        <f ca="1"/>
        <v>49.88</v>
      </c>
      <c r="IT32" vm="846">
        <f ca="1"/>
        <v>49.87</v>
      </c>
      <c r="IU32" vm="847">
        <f ca="1"/>
        <v>48.97</v>
      </c>
      <c r="IV32" vm="848">
        <f ca="1"/>
        <v>49.8</v>
      </c>
      <c r="IW32" vm="42">
        <f ca="1"/>
        <v>50.73</v>
      </c>
    </row>
    <row r="33" spans="1:257" ht="16" x14ac:dyDescent="0.2">
      <c r="A33" s="14" t="e" vm="849">
        <v>#VALUE!</v>
      </c>
      <c r="B33" s="23" t="str" cm="1">
        <f t="array" aca="1" ref="B33" ca="1">_FV(A33,"ticker symbol",TRUE)</f>
        <v>XTL</v>
      </c>
      <c r="C33" s="23" t="str" cm="1">
        <f t="array" aca="1" ref="C33" ca="1">_FV(A33,"Name")</f>
        <v>SS SPDR S&amp;P Telecom</v>
      </c>
      <c r="D33" cm="1" vm="382">
        <f t="array" aca="1" ref="D33:IW33" ca="1">TRANSPOSE(_xlfn.STOCKHISTORY(B33, WORKDAY(TODAY(), -265), TODAY(), 0, 0, 1))</f>
        <v>111.9</v>
      </c>
      <c r="E33" s="23" vm="688">
        <f ca="1"/>
        <v>109.46</v>
      </c>
      <c r="F33" s="23" vm="9264">
        <f ca="1"/>
        <v>107.1187</v>
      </c>
      <c r="G33" s="23" vm="9265">
        <f ca="1"/>
        <v>107.4222</v>
      </c>
      <c r="H33" s="23" vm="9266">
        <f ca="1"/>
        <v>108.91</v>
      </c>
      <c r="I33" s="23" vm="8274">
        <f ca="1"/>
        <v>108.17</v>
      </c>
      <c r="J33" s="23" vm="9267">
        <f ca="1"/>
        <v>109.5184</v>
      </c>
      <c r="K33" s="23" vm="9268">
        <f ca="1"/>
        <v>110.34059999999999</v>
      </c>
      <c r="L33" s="23" vm="9269">
        <f ca="1"/>
        <v>108.2623</v>
      </c>
      <c r="M33" s="23" vm="9270">
        <f ca="1"/>
        <v>107.01260000000001</v>
      </c>
      <c r="N33" s="23" vm="5630">
        <f ca="1"/>
        <v>107.04</v>
      </c>
      <c r="O33" s="23" vm="9271">
        <f ca="1"/>
        <v>107.55</v>
      </c>
      <c r="P33" s="23" vm="9272">
        <f ca="1"/>
        <v>109.07</v>
      </c>
      <c r="Q33" s="23" vm="9273">
        <f ca="1"/>
        <v>108.95569999999999</v>
      </c>
      <c r="R33" s="23" vm="3270">
        <f ca="1"/>
        <v>107.12</v>
      </c>
      <c r="S33" s="23" vm="9274">
        <f ca="1"/>
        <v>107.1</v>
      </c>
      <c r="T33" s="23" vm="9275">
        <f ca="1"/>
        <v>105.2735</v>
      </c>
      <c r="U33" s="23" vm="9276">
        <f ca="1"/>
        <v>104.13</v>
      </c>
      <c r="V33" s="23" vm="9277">
        <f ca="1"/>
        <v>104.935</v>
      </c>
      <c r="W33" s="23" vm="9278">
        <f ca="1"/>
        <v>107.11499999999999</v>
      </c>
      <c r="X33" s="23" vm="2991">
        <f ca="1"/>
        <v>107.09</v>
      </c>
      <c r="Y33" s="23" vm="9279">
        <f ca="1"/>
        <v>108.2701</v>
      </c>
      <c r="Z33" s="23" vm="9280">
        <f ca="1"/>
        <v>110.78</v>
      </c>
      <c r="AA33" s="23" vm="8323">
        <f ca="1"/>
        <v>111.99</v>
      </c>
      <c r="AB33" s="23" vm="9281">
        <f ca="1"/>
        <v>112.07</v>
      </c>
      <c r="AC33" s="23" vm="9282">
        <f ca="1"/>
        <v>112.01</v>
      </c>
      <c r="AD33" vm="8310">
        <f ca="1"/>
        <v>104.68</v>
      </c>
      <c r="AE33" vm="9283">
        <f ca="1"/>
        <v>105.84</v>
      </c>
      <c r="AF33" vm="9284">
        <f ca="1"/>
        <v>105.37</v>
      </c>
      <c r="AG33" vm="9285">
        <f ca="1"/>
        <v>106.72</v>
      </c>
      <c r="AH33" vm="9286">
        <f ca="1"/>
        <v>107.6841</v>
      </c>
      <c r="AI33" vm="9287">
        <f ca="1"/>
        <v>107.18</v>
      </c>
      <c r="AJ33" vm="9288">
        <f ca="1"/>
        <v>108.85</v>
      </c>
      <c r="AK33" vm="5640">
        <f ca="1"/>
        <v>111.11</v>
      </c>
      <c r="AL33" vm="9289">
        <f ca="1"/>
        <v>112.51</v>
      </c>
      <c r="AM33" vm="9290">
        <f ca="1"/>
        <v>111.6797</v>
      </c>
      <c r="AN33" vm="7995">
        <f ca="1"/>
        <v>112.88</v>
      </c>
      <c r="AO33" vm="9291">
        <f ca="1"/>
        <v>110.8087</v>
      </c>
      <c r="AP33" vm="9292">
        <f ca="1"/>
        <v>109.6707</v>
      </c>
      <c r="AQ33" vm="9293">
        <f ca="1"/>
        <v>112.14109999999999</v>
      </c>
      <c r="AR33" vm="9294">
        <f ca="1"/>
        <v>112.0838</v>
      </c>
      <c r="AS33" vm="9295">
        <f ca="1"/>
        <v>112.3126</v>
      </c>
      <c r="AT33" vm="9296">
        <f ca="1"/>
        <v>112.40430000000001</v>
      </c>
      <c r="AU33" vm="9297">
        <f ca="1"/>
        <v>111.8293</v>
      </c>
      <c r="AV33" vm="9298">
        <f ca="1"/>
        <v>109.1695</v>
      </c>
      <c r="AW33" vm="9299">
        <f ca="1"/>
        <v>107.94</v>
      </c>
      <c r="AX33" vm="9300">
        <f ca="1"/>
        <v>106.7068</v>
      </c>
      <c r="AY33" vm="9301">
        <f ca="1"/>
        <v>108.54</v>
      </c>
      <c r="AZ33" vm="9302">
        <f ca="1"/>
        <v>106.74</v>
      </c>
      <c r="BA33" vm="9303">
        <f ca="1"/>
        <v>107.33</v>
      </c>
      <c r="BB33" vm="9304">
        <f ca="1"/>
        <v>104.8092</v>
      </c>
      <c r="BC33" vm="9305">
        <f ca="1"/>
        <v>104.4609</v>
      </c>
      <c r="BD33" vm="9306">
        <f ca="1"/>
        <v>106.5</v>
      </c>
      <c r="BE33" vm="9307">
        <f ca="1"/>
        <v>104.12430000000001</v>
      </c>
      <c r="BF33" vm="9308">
        <f ca="1"/>
        <v>105.3629</v>
      </c>
      <c r="BG33" vm="1910">
        <f ca="1"/>
        <v>100.85</v>
      </c>
      <c r="BH33" vm="7910">
        <f ca="1"/>
        <v>100.94</v>
      </c>
      <c r="BI33" vm="1061">
        <f ca="1"/>
        <v>101.04</v>
      </c>
      <c r="BJ33" vm="9309">
        <f ca="1"/>
        <v>99.49</v>
      </c>
      <c r="BK33" vm="9310">
        <f ca="1"/>
        <v>102.41</v>
      </c>
      <c r="BL33" vm="9311">
        <f ca="1"/>
        <v>103.76</v>
      </c>
      <c r="BM33" vm="8309">
        <f ca="1"/>
        <v>102.77</v>
      </c>
      <c r="BN33" vm="9312">
        <f ca="1"/>
        <v>103.88939999999999</v>
      </c>
      <c r="BO33" vm="5547">
        <f ca="1"/>
        <v>103.37</v>
      </c>
      <c r="BP33" vm="9313">
        <f ca="1"/>
        <v>103.3103</v>
      </c>
      <c r="BQ33" vm="9314">
        <f ca="1"/>
        <v>106.38</v>
      </c>
      <c r="BR33" vm="9315">
        <f ca="1"/>
        <v>105.616</v>
      </c>
      <c r="BS33" vm="9316">
        <f ca="1"/>
        <v>103.9311</v>
      </c>
      <c r="BT33" vm="278">
        <f ca="1"/>
        <v>102.78</v>
      </c>
      <c r="BU33" vm="3199">
        <f ca="1"/>
        <v>100.58</v>
      </c>
      <c r="BV33" vm="9317">
        <f ca="1"/>
        <v>99.949799999999996</v>
      </c>
      <c r="BW33" vm="9318">
        <f ca="1"/>
        <v>99.99</v>
      </c>
      <c r="BX33" vm="9319">
        <f ca="1"/>
        <v>101.21</v>
      </c>
      <c r="BY33" vm="6123">
        <f ca="1"/>
        <v>94.13</v>
      </c>
      <c r="BZ33" vm="6756">
        <f ca="1"/>
        <v>88.62</v>
      </c>
      <c r="CA33" vm="2026">
        <f ca="1"/>
        <v>88.85</v>
      </c>
      <c r="CB33" vm="1708">
        <f ca="1"/>
        <v>86.93</v>
      </c>
      <c r="CC33" vm="9320">
        <f ca="1"/>
        <v>94.760999999999996</v>
      </c>
      <c r="CD33" vm="9321">
        <f ca="1"/>
        <v>91.403599999999997</v>
      </c>
      <c r="CE33" vm="9322">
        <f ca="1"/>
        <v>91.921800000000005</v>
      </c>
      <c r="CF33" vm="9323">
        <f ca="1"/>
        <v>92.636799999999994</v>
      </c>
      <c r="CG33" vm="9324">
        <f ca="1"/>
        <v>93.225899999999996</v>
      </c>
      <c r="CH33" vm="9325">
        <f ca="1"/>
        <v>91.344999999999999</v>
      </c>
      <c r="CI33" vm="1721">
        <f ca="1"/>
        <v>91.64</v>
      </c>
      <c r="CJ33" vm="450">
        <f ca="1"/>
        <v>88.61</v>
      </c>
      <c r="CK33" vm="1716">
        <f ca="1"/>
        <v>90.2</v>
      </c>
      <c r="CL33" vm="9326">
        <f ca="1"/>
        <v>92.287400000000005</v>
      </c>
      <c r="CM33" vm="9327">
        <f ca="1"/>
        <v>94.814700000000002</v>
      </c>
      <c r="CN33" vm="9328">
        <f ca="1"/>
        <v>95.010999999999996</v>
      </c>
      <c r="CO33" vm="9329">
        <f ca="1"/>
        <v>96.18</v>
      </c>
      <c r="CP33" vm="9330">
        <f ca="1"/>
        <v>96.610699999999994</v>
      </c>
      <c r="CQ33" vm="9331">
        <f ca="1"/>
        <v>96.48</v>
      </c>
      <c r="CR33" vm="9332">
        <f ca="1"/>
        <v>98.51</v>
      </c>
      <c r="CS33" vm="9333">
        <f ca="1"/>
        <v>99.14</v>
      </c>
      <c r="CT33" vm="4578">
        <f ca="1"/>
        <v>98.39</v>
      </c>
      <c r="CU33" vm="9333">
        <f ca="1"/>
        <v>99.14</v>
      </c>
      <c r="CV33" vm="4644">
        <f ca="1"/>
        <v>99.51</v>
      </c>
      <c r="CW33" vm="9334">
        <f ca="1"/>
        <v>99.41</v>
      </c>
      <c r="CX33" vm="9335">
        <f ca="1"/>
        <v>100.5673</v>
      </c>
      <c r="CY33" vm="9336">
        <f ca="1"/>
        <v>104.33</v>
      </c>
      <c r="CZ33" vm="7961">
        <f ca="1"/>
        <v>105.16</v>
      </c>
      <c r="DA33" vm="9337">
        <f ca="1"/>
        <v>104.75</v>
      </c>
      <c r="DB33" vm="1052">
        <f ca="1"/>
        <v>105.59</v>
      </c>
      <c r="DC33" vm="9338">
        <f ca="1"/>
        <v>105.92</v>
      </c>
      <c r="DD33" vm="9339">
        <f ca="1"/>
        <v>105.47</v>
      </c>
      <c r="DE33" vm="143">
        <f ca="1"/>
        <v>105.17</v>
      </c>
      <c r="DF33" vm="9340">
        <f ca="1"/>
        <v>103.1181</v>
      </c>
      <c r="DG33" vm="681">
        <f ca="1"/>
        <v>103.19</v>
      </c>
      <c r="DH33" vm="9341">
        <f ca="1"/>
        <v>102.47</v>
      </c>
      <c r="DI33" vm="9342">
        <f ca="1"/>
        <v>104.98</v>
      </c>
      <c r="DJ33" vm="1067">
        <f ca="1"/>
        <v>104.14</v>
      </c>
      <c r="DK33" vm="9343">
        <f ca="1"/>
        <v>102.985</v>
      </c>
      <c r="DL33" vm="9344">
        <f ca="1"/>
        <v>102.1454</v>
      </c>
      <c r="DM33" vm="9345">
        <f ca="1"/>
        <v>103.035</v>
      </c>
      <c r="DN33" vm="9346">
        <f ca="1"/>
        <v>104.92189999999999</v>
      </c>
      <c r="DO33" vm="9347">
        <f ca="1"/>
        <v>105.30249999999999</v>
      </c>
      <c r="DP33" vm="9348">
        <f ca="1"/>
        <v>105.3</v>
      </c>
      <c r="DQ33" vm="9349">
        <f ca="1"/>
        <v>106.52</v>
      </c>
      <c r="DR33" vm="9350">
        <f ca="1"/>
        <v>108.08</v>
      </c>
      <c r="DS33" vm="9351">
        <f ca="1"/>
        <v>108.119</v>
      </c>
      <c r="DT33" vm="9352">
        <f ca="1"/>
        <v>107.4794</v>
      </c>
      <c r="DU33" vm="9353">
        <f ca="1"/>
        <v>108.29</v>
      </c>
      <c r="DV33" vm="9354">
        <f ca="1"/>
        <v>106.2015</v>
      </c>
      <c r="DW33" vm="9355">
        <f ca="1"/>
        <v>108.40940000000001</v>
      </c>
      <c r="DX33" vm="3270">
        <f ca="1"/>
        <v>107.12</v>
      </c>
      <c r="DY33" vm="9356">
        <f ca="1"/>
        <v>108.6597</v>
      </c>
      <c r="DZ33" vm="9357">
        <f ca="1"/>
        <v>109.59180000000001</v>
      </c>
      <c r="EA33" vm="9358">
        <f ca="1"/>
        <v>112.0124</v>
      </c>
      <c r="EB33" vm="9359">
        <f ca="1"/>
        <v>114.6987</v>
      </c>
      <c r="EC33" vm="9360">
        <f ca="1"/>
        <v>114.6957</v>
      </c>
      <c r="ED33" vm="9361">
        <f ca="1"/>
        <v>116.05589999999999</v>
      </c>
      <c r="EE33" vm="9362">
        <f ca="1"/>
        <v>116.32389999999999</v>
      </c>
      <c r="EF33" vm="9363">
        <f ca="1"/>
        <v>117.3124</v>
      </c>
      <c r="EG33" vm="9364">
        <f ca="1"/>
        <v>117.42</v>
      </c>
      <c r="EH33" vm="9365">
        <f ca="1"/>
        <v>117.9915</v>
      </c>
      <c r="EI33" vm="9366">
        <f ca="1"/>
        <v>119.5874</v>
      </c>
      <c r="EJ33" vm="9367">
        <f ca="1"/>
        <v>118.38</v>
      </c>
      <c r="EK33" vm="9368">
        <f ca="1"/>
        <v>117.9804</v>
      </c>
      <c r="EL33" vm="9369">
        <f ca="1"/>
        <v>118.2</v>
      </c>
      <c r="EM33" vm="9367">
        <f ca="1"/>
        <v>118.38</v>
      </c>
      <c r="EN33" vm="9370">
        <f ca="1"/>
        <v>117.3416</v>
      </c>
      <c r="EO33" vm="9371">
        <f ca="1"/>
        <v>118.3818</v>
      </c>
      <c r="EP33" vm="9372">
        <f ca="1"/>
        <v>118.0693</v>
      </c>
      <c r="EQ33" vm="9373">
        <f ca="1"/>
        <v>119.21</v>
      </c>
      <c r="ER33" vm="9374">
        <f ca="1"/>
        <v>121.39</v>
      </c>
      <c r="ES33" vm="9375">
        <f ca="1"/>
        <v>120.93810000000001</v>
      </c>
      <c r="ET33" vm="9376">
        <f ca="1"/>
        <v>120.7664</v>
      </c>
      <c r="EU33" vm="3220">
        <f ca="1"/>
        <v>120.26</v>
      </c>
      <c r="EV33" vm="9377">
        <f ca="1"/>
        <v>122.35760000000001</v>
      </c>
      <c r="EW33" vm="9378">
        <f ca="1"/>
        <v>120.82</v>
      </c>
      <c r="EX33" vm="9379">
        <f ca="1"/>
        <v>120.378</v>
      </c>
      <c r="EY33" vm="9380">
        <f ca="1"/>
        <v>120.7116</v>
      </c>
      <c r="EZ33" vm="9381">
        <f ca="1"/>
        <v>120.1392</v>
      </c>
      <c r="FA33" vm="9382">
        <f ca="1"/>
        <v>120.3956</v>
      </c>
      <c r="FB33" vm="9383">
        <f ca="1"/>
        <v>120.2651</v>
      </c>
      <c r="FC33" vm="9384">
        <f ca="1"/>
        <v>117.3712</v>
      </c>
      <c r="FD33" vm="9385">
        <f ca="1"/>
        <v>123.616</v>
      </c>
      <c r="FE33" vm="9386">
        <f ca="1"/>
        <v>123.07810000000001</v>
      </c>
      <c r="FF33" vm="9387">
        <f ca="1"/>
        <v>126.4217</v>
      </c>
      <c r="FG33" vm="9388">
        <f ca="1"/>
        <v>124.60939999999999</v>
      </c>
      <c r="FH33" vm="9389">
        <f ca="1"/>
        <v>125.77119999999999</v>
      </c>
      <c r="FI33" vm="9390">
        <f ca="1"/>
        <v>125.3501</v>
      </c>
      <c r="FJ33" vm="9391">
        <f ca="1"/>
        <v>128.51249999999999</v>
      </c>
      <c r="FK33" vm="9392">
        <f ca="1"/>
        <v>129.28149999999999</v>
      </c>
      <c r="FL33" vm="9393">
        <f ca="1"/>
        <v>126.343</v>
      </c>
      <c r="FM33" vm="9394">
        <f ca="1"/>
        <v>126.49979999999999</v>
      </c>
      <c r="FN33" vm="9395">
        <f ca="1"/>
        <v>128.22</v>
      </c>
      <c r="FO33" vm="9396">
        <f ca="1"/>
        <v>126.02</v>
      </c>
      <c r="FP33" vm="9397">
        <f ca="1"/>
        <v>125.62820000000001</v>
      </c>
      <c r="FQ33" vm="9398">
        <f ca="1"/>
        <v>126.07</v>
      </c>
      <c r="FR33" vm="9399">
        <f ca="1"/>
        <v>129.62</v>
      </c>
      <c r="FS33" vm="9400">
        <f ca="1"/>
        <v>130.49590000000001</v>
      </c>
      <c r="FT33" vm="9401">
        <f ca="1"/>
        <v>131.95519999999999</v>
      </c>
      <c r="FU33" vm="9402">
        <f ca="1"/>
        <v>133.11969999999999</v>
      </c>
      <c r="FV33" vm="6608">
        <f ca="1"/>
        <v>134.49</v>
      </c>
      <c r="FW33" vm="9403">
        <f ca="1"/>
        <v>133.77000000000001</v>
      </c>
      <c r="FX33" vm="9404">
        <f ca="1"/>
        <v>132.62</v>
      </c>
      <c r="FY33" vm="9405">
        <f ca="1"/>
        <v>132.4228</v>
      </c>
      <c r="FZ33" vm="9406">
        <f ca="1"/>
        <v>135.51</v>
      </c>
      <c r="GA33" vm="9407">
        <f ca="1"/>
        <v>135.66399999999999</v>
      </c>
      <c r="GB33" vm="9408">
        <f ca="1"/>
        <v>135.601</v>
      </c>
      <c r="GC33" vm="9409">
        <f ca="1"/>
        <v>136.35</v>
      </c>
      <c r="GD33" vm="9410">
        <f ca="1"/>
        <v>138.142</v>
      </c>
      <c r="GE33" vm="9411">
        <f ca="1"/>
        <v>140.33000000000001</v>
      </c>
      <c r="GF33" vm="9412">
        <f ca="1"/>
        <v>137.77000000000001</v>
      </c>
      <c r="GG33" vm="9413">
        <f ca="1"/>
        <v>140.35</v>
      </c>
      <c r="GH33" vm="9414">
        <f ca="1"/>
        <v>138.88</v>
      </c>
      <c r="GI33" vm="6436">
        <f ca="1"/>
        <v>139.28</v>
      </c>
      <c r="GJ33" vm="9415">
        <f ca="1"/>
        <v>140.96</v>
      </c>
      <c r="GK33" vm="9416">
        <f ca="1"/>
        <v>140.54599999999999</v>
      </c>
      <c r="GL33" vm="9417">
        <f ca="1"/>
        <v>141.85</v>
      </c>
      <c r="GM33" vm="9418">
        <f ca="1"/>
        <v>141.76580000000001</v>
      </c>
      <c r="GN33" vm="9419">
        <f ca="1"/>
        <v>138.99</v>
      </c>
      <c r="GO33" vm="6586">
        <f ca="1"/>
        <v>138.61000000000001</v>
      </c>
      <c r="GP33" vm="9420">
        <f ca="1"/>
        <v>138.82</v>
      </c>
      <c r="GQ33" vm="9421">
        <f ca="1"/>
        <v>139.11609999999999</v>
      </c>
      <c r="GR33" vm="9422">
        <f ca="1"/>
        <v>139.91999999999999</v>
      </c>
      <c r="GS33" vm="9423">
        <f ca="1"/>
        <v>142.14490000000001</v>
      </c>
      <c r="GT33" vm="9424">
        <f ca="1"/>
        <v>144.95590000000001</v>
      </c>
      <c r="GU33" vm="9425">
        <f ca="1"/>
        <v>146.2885</v>
      </c>
      <c r="GV33" vm="9426">
        <f ca="1"/>
        <v>149.47</v>
      </c>
      <c r="GW33" vm="581">
        <f ca="1"/>
        <v>148.02000000000001</v>
      </c>
      <c r="GX33" vm="9427">
        <f ca="1"/>
        <v>152.05000000000001</v>
      </c>
      <c r="GY33" vm="9428">
        <f ca="1"/>
        <v>152.30000000000001</v>
      </c>
      <c r="GZ33" vm="9429">
        <f ca="1"/>
        <v>145.3229</v>
      </c>
      <c r="HA33" vm="9430">
        <f ca="1"/>
        <v>149.66999999999999</v>
      </c>
      <c r="HB33" vm="6716">
        <f ca="1"/>
        <v>151.6</v>
      </c>
      <c r="HC33" vm="9431">
        <f ca="1"/>
        <v>152.6653</v>
      </c>
      <c r="HD33" vm="9432">
        <f ca="1"/>
        <v>149.69999999999999</v>
      </c>
      <c r="HE33" vm="511">
        <f ca="1"/>
        <v>147.83000000000001</v>
      </c>
      <c r="HF33" vm="9433">
        <f ca="1"/>
        <v>149.51</v>
      </c>
      <c r="HG33" vm="9434">
        <f ca="1"/>
        <v>148.29</v>
      </c>
      <c r="HH33" vm="6528">
        <f ca="1"/>
        <v>144.82</v>
      </c>
      <c r="HI33" vm="9435">
        <f ca="1"/>
        <v>147.35</v>
      </c>
      <c r="HJ33" vm="9436">
        <f ca="1"/>
        <v>150.18</v>
      </c>
      <c r="HK33" vm="9437">
        <f ca="1"/>
        <v>153.4</v>
      </c>
      <c r="HL33" vm="6704">
        <f ca="1"/>
        <v>153.04</v>
      </c>
      <c r="HM33" vm="6552">
        <f ca="1"/>
        <v>152.82</v>
      </c>
      <c r="HN33" vm="9438">
        <f ca="1"/>
        <v>153.83000000000001</v>
      </c>
      <c r="HO33" vm="9439">
        <f ca="1"/>
        <v>155.49</v>
      </c>
      <c r="HP33" vm="5140">
        <f ca="1"/>
        <v>152.75</v>
      </c>
      <c r="HQ33" vm="9440">
        <f ca="1"/>
        <v>147.6</v>
      </c>
      <c r="HR33" vm="9441">
        <f ca="1"/>
        <v>150.36000000000001</v>
      </c>
      <c r="HS33" vm="9442">
        <f ca="1"/>
        <v>145.66999999999999</v>
      </c>
      <c r="HT33" vm="9443">
        <f ca="1"/>
        <v>144.97999999999999</v>
      </c>
      <c r="HU33" vm="9444">
        <f ca="1"/>
        <v>146.46</v>
      </c>
      <c r="HV33" vm="5166">
        <f ca="1"/>
        <v>145.30000000000001</v>
      </c>
      <c r="HW33" vm="9445">
        <f ca="1"/>
        <v>144.91499999999999</v>
      </c>
      <c r="HX33" vm="9446">
        <f ca="1"/>
        <v>140.53</v>
      </c>
      <c r="HY33" vm="9447">
        <f ca="1"/>
        <v>141.35</v>
      </c>
      <c r="HZ33" vm="6440">
        <f ca="1"/>
        <v>138.13999999999999</v>
      </c>
      <c r="IA33" vm="9448">
        <f ca="1"/>
        <v>139.07</v>
      </c>
      <c r="IB33" vm="850">
        <f ca="1"/>
        <v>139.08410000000001</v>
      </c>
      <c r="IC33" vm="851">
        <f ca="1"/>
        <v>132.63</v>
      </c>
      <c r="ID33" vm="852">
        <f ca="1"/>
        <v>135.43819999999999</v>
      </c>
      <c r="IE33" vm="853">
        <f ca="1"/>
        <v>141.81280000000001</v>
      </c>
      <c r="IF33" vm="854">
        <f ca="1"/>
        <v>143.6</v>
      </c>
      <c r="IG33" vm="855">
        <f ca="1"/>
        <v>145.72389999999999</v>
      </c>
      <c r="IH33" vm="856">
        <f ca="1"/>
        <v>146.40530000000001</v>
      </c>
      <c r="II33" vm="857">
        <f ca="1"/>
        <v>144.21279999999999</v>
      </c>
      <c r="IJ33" vm="858">
        <f ca="1"/>
        <v>145.87</v>
      </c>
      <c r="IK33" vm="859">
        <f ca="1"/>
        <v>147.69</v>
      </c>
      <c r="IL33" vm="860">
        <f ca="1"/>
        <v>150.03</v>
      </c>
      <c r="IM33" vm="861">
        <f ca="1"/>
        <v>151.02000000000001</v>
      </c>
      <c r="IN33" vm="862">
        <f ca="1"/>
        <v>152.51</v>
      </c>
      <c r="IO33" vm="863">
        <f ca="1"/>
        <v>153.47999999999999</v>
      </c>
      <c r="IP33" vm="864">
        <f ca="1"/>
        <v>156.54159999999999</v>
      </c>
      <c r="IQ33" vm="865">
        <f ca="1"/>
        <v>159.7705</v>
      </c>
      <c r="IR33" vm="866">
        <f ca="1"/>
        <v>152.97999999999999</v>
      </c>
      <c r="IS33" vm="867">
        <f ca="1"/>
        <v>149.41999999999999</v>
      </c>
      <c r="IT33" vm="868">
        <f ca="1"/>
        <v>148.72</v>
      </c>
      <c r="IU33" vm="869">
        <f ca="1"/>
        <v>143.89500000000001</v>
      </c>
      <c r="IV33" vm="870">
        <f ca="1"/>
        <v>146.79</v>
      </c>
      <c r="IW33" vm="44">
        <f ca="1"/>
        <v>152.56</v>
      </c>
    </row>
    <row r="34" spans="1:257" ht="16" x14ac:dyDescent="0.2">
      <c r="A34" s="14" t="e" vm="871">
        <v>#VALUE!</v>
      </c>
      <c r="B34" s="23" t="str" cm="1">
        <f t="array" aca="1" ref="B34" ca="1">_FV(A34,"ticker symbol",TRUE)</f>
        <v>VOX</v>
      </c>
      <c r="C34" s="23" t="str" cm="1">
        <f t="array" aca="1" ref="C34" ca="1">_FV(A34,"Name")</f>
        <v>Vanguard Comm Indx;ETF</v>
      </c>
      <c r="D34" cm="1" vm="9449">
        <f t="array" aca="1" ref="D34:IW34" ca="1">TRANSPOSE(_xlfn.STOCKHISTORY(B34, WORKDAY(TODAY(), -265), TODAY(), 0, 0, 1))</f>
        <v>162.33000000000001</v>
      </c>
      <c r="E34" s="23" vm="9450">
        <f ca="1"/>
        <v>161.25</v>
      </c>
      <c r="F34" s="23" vm="9451">
        <f ca="1"/>
        <v>156.16999999999999</v>
      </c>
      <c r="G34" s="23" vm="9452">
        <f ca="1"/>
        <v>155.72</v>
      </c>
      <c r="H34" s="23" vm="9453">
        <f ca="1"/>
        <v>156.30000000000001</v>
      </c>
      <c r="I34" s="23" vm="9454">
        <f ca="1"/>
        <v>157.75</v>
      </c>
      <c r="J34" s="23" vm="9455">
        <f ca="1"/>
        <v>159.28</v>
      </c>
      <c r="K34" s="23" vm="9456">
        <f ca="1"/>
        <v>159.08000000000001</v>
      </c>
      <c r="L34" s="23" vm="9457">
        <f ca="1"/>
        <v>157.29</v>
      </c>
      <c r="M34" s="23" vm="4323">
        <f ca="1"/>
        <v>155.87</v>
      </c>
      <c r="N34" s="23" vm="5134">
        <f ca="1"/>
        <v>154.96</v>
      </c>
      <c r="O34" s="23" vm="9458">
        <f ca="1"/>
        <v>156.04</v>
      </c>
      <c r="P34" s="23" vm="9459">
        <f ca="1"/>
        <v>157.51</v>
      </c>
      <c r="Q34" s="23" vm="9460">
        <f ca="1"/>
        <v>160.22999999999999</v>
      </c>
      <c r="R34" s="23" vm="9461">
        <f ca="1"/>
        <v>158.1</v>
      </c>
      <c r="S34" s="23" vm="9462">
        <f ca="1"/>
        <v>157.26</v>
      </c>
      <c r="T34" s="23" vm="9463">
        <f ca="1"/>
        <v>155.13999999999999</v>
      </c>
      <c r="U34" s="23" vm="9464">
        <f ca="1"/>
        <v>154.6</v>
      </c>
      <c r="V34" s="23" vm="9465">
        <f ca="1"/>
        <v>153.69999999999999</v>
      </c>
      <c r="W34" s="23" vm="9466">
        <f ca="1"/>
        <v>157.21</v>
      </c>
      <c r="X34" s="23" vm="9467">
        <f ca="1"/>
        <v>156.07</v>
      </c>
      <c r="Y34" s="23" vm="494">
        <f ca="1"/>
        <v>157.65</v>
      </c>
      <c r="Z34" s="23" vm="9468">
        <f ca="1"/>
        <v>159.06</v>
      </c>
      <c r="AA34" s="23" vm="9469">
        <f ca="1"/>
        <v>159.94</v>
      </c>
      <c r="AB34" s="23" vm="5126">
        <f ca="1"/>
        <v>161.38</v>
      </c>
      <c r="AC34" s="23" vm="9470">
        <f ca="1"/>
        <v>162.94</v>
      </c>
      <c r="AD34" vm="9471">
        <f ca="1"/>
        <v>163.1</v>
      </c>
      <c r="AE34" vm="9472">
        <f ca="1"/>
        <v>164.31</v>
      </c>
      <c r="AF34" vm="9473">
        <f ca="1"/>
        <v>165.14</v>
      </c>
      <c r="AG34" vm="9474">
        <f ca="1"/>
        <v>165.97</v>
      </c>
      <c r="AH34" vm="9475">
        <f ca="1"/>
        <v>166.24</v>
      </c>
      <c r="AI34" vm="9476">
        <f ca="1"/>
        <v>166.5</v>
      </c>
      <c r="AJ34" vm="9477">
        <f ca="1"/>
        <v>168.54</v>
      </c>
      <c r="AK34" vm="9478">
        <f ca="1"/>
        <v>165.99</v>
      </c>
      <c r="AL34" vm="9479">
        <f ca="1"/>
        <v>166.56</v>
      </c>
      <c r="AM34" vm="9480">
        <f ca="1"/>
        <v>166.04</v>
      </c>
      <c r="AN34" vm="1391">
        <f ca="1"/>
        <v>167.09</v>
      </c>
      <c r="AO34" vm="9481">
        <f ca="1"/>
        <v>167.31</v>
      </c>
      <c r="AP34" vm="4336">
        <f ca="1"/>
        <v>167.45</v>
      </c>
      <c r="AQ34" vm="9482">
        <f ca="1"/>
        <v>168.36</v>
      </c>
      <c r="AR34" vm="9483">
        <f ca="1"/>
        <v>169.24</v>
      </c>
      <c r="AS34" vm="9484">
        <f ca="1"/>
        <v>167.59</v>
      </c>
      <c r="AT34" vm="9485">
        <f ca="1"/>
        <v>167.08</v>
      </c>
      <c r="AU34" vm="9474">
        <f ca="1"/>
        <v>165.97</v>
      </c>
      <c r="AV34" vm="9486">
        <f ca="1"/>
        <v>162.91</v>
      </c>
      <c r="AW34" vm="9487">
        <f ca="1"/>
        <v>162.53</v>
      </c>
      <c r="AX34" vm="9488">
        <f ca="1"/>
        <v>160.16999999999999</v>
      </c>
      <c r="AY34" vm="9489">
        <f ca="1"/>
        <v>160.27000000000001</v>
      </c>
      <c r="AZ34" vm="9490">
        <f ca="1"/>
        <v>158.19999999999999</v>
      </c>
      <c r="BA34" vm="9491">
        <f ca="1"/>
        <v>160.13999999999999</v>
      </c>
      <c r="BB34" vm="9492">
        <f ca="1"/>
        <v>158.13</v>
      </c>
      <c r="BC34" vm="9493">
        <f ca="1"/>
        <v>156.88</v>
      </c>
      <c r="BD34" vm="9494">
        <f ca="1"/>
        <v>159.16</v>
      </c>
      <c r="BE34" vm="9495">
        <f ca="1"/>
        <v>156.12</v>
      </c>
      <c r="BF34" vm="524">
        <f ca="1"/>
        <v>156.74</v>
      </c>
      <c r="BG34" vm="6700">
        <f ca="1"/>
        <v>151.58000000000001</v>
      </c>
      <c r="BH34" vm="9496">
        <f ca="1"/>
        <v>150.04</v>
      </c>
      <c r="BI34" vm="1786">
        <f ca="1"/>
        <v>151.38</v>
      </c>
      <c r="BJ34" vm="9497">
        <f ca="1"/>
        <v>147.72999999999999</v>
      </c>
      <c r="BK34" vm="9498">
        <f ca="1"/>
        <v>150.58000000000001</v>
      </c>
      <c r="BL34" vm="9499">
        <f ca="1"/>
        <v>151.4</v>
      </c>
      <c r="BM34" vm="9500">
        <f ca="1"/>
        <v>148.91999999999999</v>
      </c>
      <c r="BN34" vm="9501">
        <f ca="1"/>
        <v>150.79</v>
      </c>
      <c r="BO34" vm="9502">
        <f ca="1"/>
        <v>150.47999999999999</v>
      </c>
      <c r="BP34" vm="9503">
        <f ca="1"/>
        <v>151.76</v>
      </c>
      <c r="BQ34" vm="9504">
        <f ca="1"/>
        <v>154.56</v>
      </c>
      <c r="BR34" vm="9505">
        <f ca="1"/>
        <v>155.94999999999999</v>
      </c>
      <c r="BS34" vm="508">
        <f ca="1"/>
        <v>153.91</v>
      </c>
      <c r="BT34" vm="518">
        <f ca="1"/>
        <v>152.76</v>
      </c>
      <c r="BU34" vm="9506">
        <f ca="1"/>
        <v>148.1</v>
      </c>
      <c r="BV34" vm="9507">
        <f ca="1"/>
        <v>148.38999999999999</v>
      </c>
      <c r="BW34" vm="9508">
        <f ca="1"/>
        <v>149.38</v>
      </c>
      <c r="BX34" vm="9509">
        <f ca="1"/>
        <v>149.54</v>
      </c>
      <c r="BY34" vm="9510">
        <f ca="1"/>
        <v>142.19999999999999</v>
      </c>
      <c r="BZ34" vm="6487">
        <f ca="1"/>
        <v>134.43</v>
      </c>
      <c r="CA34" vm="9511">
        <f ca="1"/>
        <v>135.04</v>
      </c>
      <c r="CB34" vm="6561">
        <f ca="1"/>
        <v>133.12</v>
      </c>
      <c r="CC34" vm="9512">
        <f ca="1"/>
        <v>145.75</v>
      </c>
      <c r="CD34" vm="9513">
        <f ca="1"/>
        <v>140.11000000000001</v>
      </c>
      <c r="CE34" vm="9514">
        <f ca="1"/>
        <v>141.38</v>
      </c>
      <c r="CF34" vm="9515">
        <f ca="1"/>
        <v>141.83000000000001</v>
      </c>
      <c r="CG34" vm="9516">
        <f ca="1"/>
        <v>141.58000000000001</v>
      </c>
      <c r="CH34" vm="6440">
        <f ca="1"/>
        <v>138.13999999999999</v>
      </c>
      <c r="CI34" vm="9517">
        <f ca="1"/>
        <v>138.78</v>
      </c>
      <c r="CJ34" vm="9518">
        <f ca="1"/>
        <v>135.62</v>
      </c>
      <c r="CK34" vm="9519">
        <f ca="1"/>
        <v>138.97</v>
      </c>
      <c r="CL34" vm="9520">
        <f ca="1"/>
        <v>141.87</v>
      </c>
      <c r="CM34" vm="6528">
        <f ca="1"/>
        <v>144.82</v>
      </c>
      <c r="CN34" vm="9521">
        <f ca="1"/>
        <v>145.91</v>
      </c>
      <c r="CO34" vm="6392">
        <f ca="1"/>
        <v>146.43</v>
      </c>
      <c r="CP34" vm="9522">
        <f ca="1"/>
        <v>147.41</v>
      </c>
      <c r="CQ34" vm="9523">
        <f ca="1"/>
        <v>146.69</v>
      </c>
      <c r="CR34" vm="9524">
        <f ca="1"/>
        <v>148.25</v>
      </c>
      <c r="CS34" vm="9525">
        <f ca="1"/>
        <v>151.25</v>
      </c>
      <c r="CT34" vm="9526">
        <f ca="1"/>
        <v>151.47</v>
      </c>
      <c r="CU34" vm="5185">
        <f ca="1"/>
        <v>150.91</v>
      </c>
      <c r="CV34" vm="9527">
        <f ca="1"/>
        <v>149.83000000000001</v>
      </c>
      <c r="CW34" vm="6695">
        <f ca="1"/>
        <v>150.56</v>
      </c>
      <c r="CX34" vm="9528">
        <f ca="1"/>
        <v>150.57</v>
      </c>
      <c r="CY34" vm="6726">
        <f ca="1"/>
        <v>155.06</v>
      </c>
      <c r="CZ34" vm="9529">
        <f ca="1"/>
        <v>156.71</v>
      </c>
      <c r="DA34" vm="9530">
        <f ca="1"/>
        <v>158.30000000000001</v>
      </c>
      <c r="DB34" vm="9461">
        <f ca="1"/>
        <v>158.1</v>
      </c>
      <c r="DC34" vm="9531">
        <f ca="1"/>
        <v>159.03</v>
      </c>
      <c r="DD34" vm="9532">
        <f ca="1"/>
        <v>158.94</v>
      </c>
      <c r="DE34" vm="9533">
        <f ca="1"/>
        <v>158.28</v>
      </c>
      <c r="DF34" vm="7357">
        <f ca="1"/>
        <v>157.63</v>
      </c>
      <c r="DG34" vm="9534">
        <f ca="1"/>
        <v>157.74</v>
      </c>
      <c r="DH34" vm="9535">
        <f ca="1"/>
        <v>156.75</v>
      </c>
      <c r="DI34" vm="9536">
        <f ca="1"/>
        <v>159.72999999999999</v>
      </c>
      <c r="DJ34" vm="9537">
        <f ca="1"/>
        <v>159.36000000000001</v>
      </c>
      <c r="DK34" vm="9538">
        <f ca="1"/>
        <v>158.68</v>
      </c>
      <c r="DL34" vm="9537">
        <f ca="1"/>
        <v>159.36000000000001</v>
      </c>
      <c r="DM34" vm="9539">
        <f ca="1"/>
        <v>160.33000000000001</v>
      </c>
      <c r="DN34" vm="9540">
        <f ca="1"/>
        <v>159.66</v>
      </c>
      <c r="DO34" vm="9541">
        <f ca="1"/>
        <v>161.35</v>
      </c>
      <c r="DP34" vm="9542">
        <f ca="1"/>
        <v>161.33000000000001</v>
      </c>
      <c r="DQ34" vm="9543">
        <f ca="1"/>
        <v>163.96</v>
      </c>
      <c r="DR34" vm="9544">
        <f ca="1"/>
        <v>164.08</v>
      </c>
      <c r="DS34" vm="9545">
        <f ca="1"/>
        <v>166.14</v>
      </c>
      <c r="DT34" vm="9546">
        <f ca="1"/>
        <v>165.28</v>
      </c>
      <c r="DU34" vm="9547">
        <f ca="1"/>
        <v>164.04</v>
      </c>
      <c r="DV34" vm="9548">
        <f ca="1"/>
        <v>162.44</v>
      </c>
      <c r="DW34" vm="9549">
        <f ca="1"/>
        <v>165.47</v>
      </c>
      <c r="DX34" vm="9547">
        <f ca="1"/>
        <v>164.04</v>
      </c>
      <c r="DY34" vm="9550">
        <f ca="1"/>
        <v>163.91</v>
      </c>
      <c r="DZ34" vm="9551">
        <f ca="1"/>
        <v>161.97999999999999</v>
      </c>
      <c r="EA34" vm="9552">
        <f ca="1"/>
        <v>163.69</v>
      </c>
      <c r="EB34" vm="9480">
        <f ca="1"/>
        <v>166.04</v>
      </c>
      <c r="EC34" vm="9553">
        <f ca="1"/>
        <v>165.87</v>
      </c>
      <c r="ED34" vm="9554">
        <f ca="1"/>
        <v>167.79</v>
      </c>
      <c r="EE34" vm="1390">
        <f ca="1"/>
        <v>169.95</v>
      </c>
      <c r="EF34" vm="9555">
        <f ca="1"/>
        <v>171.03</v>
      </c>
      <c r="EG34" vm="9556">
        <f ca="1"/>
        <v>169.7</v>
      </c>
      <c r="EH34" vm="9557">
        <f ca="1"/>
        <v>169.85</v>
      </c>
      <c r="EI34" vm="9558">
        <f ca="1"/>
        <v>170.84</v>
      </c>
      <c r="EJ34" vm="9559">
        <f ca="1"/>
        <v>169.58</v>
      </c>
      <c r="EK34" vm="9560">
        <f ca="1"/>
        <v>169.17</v>
      </c>
      <c r="EL34" vm="9561">
        <f ca="1"/>
        <v>170.06</v>
      </c>
      <c r="EM34" vm="9562">
        <f ca="1"/>
        <v>169.84</v>
      </c>
      <c r="EN34" vm="9563">
        <f ca="1"/>
        <v>169</v>
      </c>
      <c r="EO34" vm="9564">
        <f ca="1"/>
        <v>170.58</v>
      </c>
      <c r="EP34" vm="9565">
        <f ca="1"/>
        <v>169.31</v>
      </c>
      <c r="EQ34" vm="7768">
        <f ca="1"/>
        <v>169.65</v>
      </c>
      <c r="ER34" vm="7759">
        <f ca="1"/>
        <v>170.37</v>
      </c>
      <c r="ES34" vm="9566">
        <f ca="1"/>
        <v>170.38</v>
      </c>
      <c r="ET34" vm="9567">
        <f ca="1"/>
        <v>172.53</v>
      </c>
      <c r="EU34" vm="9568">
        <f ca="1"/>
        <v>172.64</v>
      </c>
      <c r="EV34" vm="9569">
        <f ca="1"/>
        <v>173.65</v>
      </c>
      <c r="EW34" vm="9570">
        <f ca="1"/>
        <v>173.86</v>
      </c>
      <c r="EX34" vm="9571">
        <f ca="1"/>
        <v>172.85</v>
      </c>
      <c r="EY34" vm="9572">
        <f ca="1"/>
        <v>172.48</v>
      </c>
      <c r="EZ34" vm="9573">
        <f ca="1"/>
        <v>171</v>
      </c>
      <c r="FA34" vm="9574">
        <f ca="1"/>
        <v>171.51</v>
      </c>
      <c r="FB34" vm="4260">
        <f ca="1"/>
        <v>174.91</v>
      </c>
      <c r="FC34" vm="9575">
        <f ca="1"/>
        <v>171.49</v>
      </c>
      <c r="FD34" vm="9576">
        <f ca="1"/>
        <v>175.53</v>
      </c>
      <c r="FE34" vm="9577">
        <f ca="1"/>
        <v>174.09</v>
      </c>
      <c r="FF34" vm="9578">
        <f ca="1"/>
        <v>175.26</v>
      </c>
      <c r="FG34" vm="9579">
        <f ca="1"/>
        <v>173.97</v>
      </c>
      <c r="FH34" vm="4303">
        <f ca="1"/>
        <v>174.2</v>
      </c>
      <c r="FI34" vm="9580">
        <f ca="1"/>
        <v>174.6</v>
      </c>
      <c r="FJ34" vm="9581">
        <f ca="1"/>
        <v>177.81</v>
      </c>
      <c r="FK34" vm="9582">
        <f ca="1"/>
        <v>178.68</v>
      </c>
      <c r="FL34" vm="9583">
        <f ca="1"/>
        <v>178.81</v>
      </c>
      <c r="FM34" vm="5273">
        <f ca="1"/>
        <v>179.34</v>
      </c>
      <c r="FN34" vm="9584">
        <f ca="1"/>
        <v>178.43</v>
      </c>
      <c r="FO34" vm="9585">
        <f ca="1"/>
        <v>176.72</v>
      </c>
      <c r="FP34" vm="9586">
        <f ca="1"/>
        <v>175.83</v>
      </c>
      <c r="FQ34" vm="9587">
        <f ca="1"/>
        <v>175.47</v>
      </c>
      <c r="FR34" vm="9588">
        <f ca="1"/>
        <v>178.51</v>
      </c>
      <c r="FS34" vm="9589">
        <f ca="1"/>
        <v>179.14</v>
      </c>
      <c r="FT34" vm="9590">
        <f ca="1"/>
        <v>179.04</v>
      </c>
      <c r="FU34" vm="9591">
        <f ca="1"/>
        <v>179.22</v>
      </c>
      <c r="FV34" vm="9592">
        <f ca="1"/>
        <v>180.39</v>
      </c>
      <c r="FW34" vm="9593">
        <f ca="1"/>
        <v>180.19</v>
      </c>
      <c r="FX34" vm="9594">
        <f ca="1"/>
        <v>179.66</v>
      </c>
      <c r="FY34" vm="9595">
        <f ca="1"/>
        <v>183.39</v>
      </c>
      <c r="FZ34" vm="9596">
        <f ca="1"/>
        <v>184.76</v>
      </c>
      <c r="GA34" vm="9597">
        <f ca="1"/>
        <v>185.8</v>
      </c>
      <c r="GB34" vm="4456">
        <f ca="1"/>
        <v>186</v>
      </c>
      <c r="GC34" vm="718">
        <f ca="1"/>
        <v>187.58</v>
      </c>
      <c r="GD34" vm="9598">
        <f ca="1"/>
        <v>185.88</v>
      </c>
      <c r="GE34" vm="4457">
        <f ca="1"/>
        <v>187.56</v>
      </c>
      <c r="GF34" vm="8167">
        <f ca="1"/>
        <v>188.05</v>
      </c>
      <c r="GG34" vm="9599">
        <f ca="1"/>
        <v>191.14</v>
      </c>
      <c r="GH34" vm="9600">
        <f ca="1"/>
        <v>191.1</v>
      </c>
      <c r="GI34" vm="9601">
        <f ca="1"/>
        <v>191.36</v>
      </c>
      <c r="GJ34" vm="9602">
        <f ca="1"/>
        <v>191.85</v>
      </c>
      <c r="GK34" vm="9603">
        <f ca="1"/>
        <v>192.17</v>
      </c>
      <c r="GL34" vm="9604">
        <f ca="1"/>
        <v>191.23</v>
      </c>
      <c r="GM34" vm="9605">
        <f ca="1"/>
        <v>190.39</v>
      </c>
      <c r="GN34" vm="9606">
        <f ca="1"/>
        <v>188.56</v>
      </c>
      <c r="GO34" vm="9607">
        <f ca="1"/>
        <v>187.55</v>
      </c>
      <c r="GP34" vm="9608">
        <f ca="1"/>
        <v>188.35</v>
      </c>
      <c r="GQ34" vm="9609">
        <f ca="1"/>
        <v>188.6</v>
      </c>
      <c r="GR34" vm="4393">
        <f ca="1"/>
        <v>187.73</v>
      </c>
      <c r="GS34" vm="9610">
        <f ca="1"/>
        <v>185.67</v>
      </c>
      <c r="GT34" vm="9611">
        <f ca="1"/>
        <v>186.13</v>
      </c>
      <c r="GU34" vm="5781">
        <f ca="1"/>
        <v>185.4</v>
      </c>
      <c r="GV34" vm="9612">
        <f ca="1"/>
        <v>186.45</v>
      </c>
      <c r="GW34" vm="9613">
        <f ca="1"/>
        <v>184.96</v>
      </c>
      <c r="GX34" vm="9614">
        <f ca="1"/>
        <v>184.92</v>
      </c>
      <c r="GY34" vm="9615">
        <f ca="1"/>
        <v>184.59</v>
      </c>
      <c r="GZ34" vm="9616">
        <f ca="1"/>
        <v>180.26</v>
      </c>
      <c r="HA34" vm="9617">
        <f ca="1"/>
        <v>183.14</v>
      </c>
      <c r="HB34" vm="9618">
        <f ca="1"/>
        <v>184.2</v>
      </c>
      <c r="HC34" vm="9619">
        <f ca="1"/>
        <v>186.18</v>
      </c>
      <c r="HD34" vm="9">
        <f ca="1"/>
        <v>184.45</v>
      </c>
      <c r="HE34" vm="9620">
        <f ca="1"/>
        <v>185.15</v>
      </c>
      <c r="HF34" vm="9621">
        <f ca="1"/>
        <v>187.65</v>
      </c>
      <c r="HG34" vm="9622">
        <f ca="1"/>
        <v>187.2</v>
      </c>
      <c r="HH34" vm="9623">
        <f ca="1"/>
        <v>185.54</v>
      </c>
      <c r="HI34" vm="8183">
        <f ca="1"/>
        <v>185.37</v>
      </c>
      <c r="HJ34" vm="9624">
        <f ca="1"/>
        <v>187.14</v>
      </c>
      <c r="HK34" vm="9625">
        <f ca="1"/>
        <v>190.54</v>
      </c>
      <c r="HL34" vm="9626">
        <f ca="1"/>
        <v>190.02</v>
      </c>
      <c r="HM34" vm="9627">
        <f ca="1"/>
        <v>190.8</v>
      </c>
      <c r="HN34" vm="9628">
        <f ca="1"/>
        <v>186.22</v>
      </c>
      <c r="HO34" vm="9629">
        <f ca="1"/>
        <v>186.65</v>
      </c>
      <c r="HP34" vm="9630">
        <f ca="1"/>
        <v>185.31</v>
      </c>
      <c r="HQ34" vm="9631">
        <f ca="1"/>
        <v>182.8</v>
      </c>
      <c r="HR34" vm="9632">
        <f ca="1"/>
        <v>184.27</v>
      </c>
      <c r="HS34" vm="9633">
        <f ca="1"/>
        <v>182.72</v>
      </c>
      <c r="HT34" vm="9634">
        <f ca="1"/>
        <v>182.33</v>
      </c>
      <c r="HU34" vm="9635">
        <f ca="1"/>
        <v>185.42</v>
      </c>
      <c r="HV34" vm="9636">
        <f ca="1"/>
        <v>186.29</v>
      </c>
      <c r="HW34" vm="9637">
        <f ca="1"/>
        <v>184.62</v>
      </c>
      <c r="HX34" vm="9638">
        <f ca="1"/>
        <v>181.4</v>
      </c>
      <c r="HY34" vm="344">
        <f ca="1"/>
        <v>180.29</v>
      </c>
      <c r="HZ34" vm="9639">
        <f ca="1"/>
        <v>180.51</v>
      </c>
      <c r="IA34" vm="9640">
        <f ca="1"/>
        <v>180.96</v>
      </c>
      <c r="IB34" vm="872">
        <f ca="1"/>
        <v>180.93</v>
      </c>
      <c r="IC34" vm="873">
        <f ca="1"/>
        <v>178.55</v>
      </c>
      <c r="ID34" vm="874">
        <f ca="1"/>
        <v>181.95</v>
      </c>
      <c r="IE34" vm="875">
        <f ca="1"/>
        <v>186.32</v>
      </c>
      <c r="IF34" vm="876">
        <f ca="1"/>
        <v>189.53</v>
      </c>
      <c r="IG34" vm="877">
        <f ca="1"/>
        <v>189.29</v>
      </c>
      <c r="IH34" vm="878">
        <f ca="1"/>
        <v>191.21</v>
      </c>
      <c r="II34" vm="879">
        <f ca="1"/>
        <v>189.94</v>
      </c>
      <c r="IJ34" vm="880">
        <f ca="1"/>
        <v>190.65</v>
      </c>
      <c r="IK34" vm="881">
        <f ca="1"/>
        <v>190.67</v>
      </c>
      <c r="IL34" vm="882">
        <f ca="1"/>
        <v>192.4</v>
      </c>
      <c r="IM34" vm="883">
        <f ca="1"/>
        <v>194.59</v>
      </c>
      <c r="IN34" vm="884">
        <f ca="1"/>
        <v>193.01</v>
      </c>
      <c r="IO34" vm="885">
        <f ca="1"/>
        <v>192.91</v>
      </c>
      <c r="IP34" vm="886">
        <f ca="1"/>
        <v>193.69</v>
      </c>
      <c r="IQ34" vm="887">
        <f ca="1"/>
        <v>193.29</v>
      </c>
      <c r="IR34" vm="888">
        <f ca="1"/>
        <v>191.78</v>
      </c>
      <c r="IS34" vm="889">
        <f ca="1"/>
        <v>191.26</v>
      </c>
      <c r="IT34" vm="890">
        <f ca="1"/>
        <v>192.06</v>
      </c>
      <c r="IU34" vm="877">
        <f ca="1"/>
        <v>189.29</v>
      </c>
      <c r="IV34" vm="891">
        <f ca="1"/>
        <v>191.31</v>
      </c>
      <c r="IW34" vm="47">
        <f ca="1"/>
        <v>191.6</v>
      </c>
    </row>
    <row r="35" spans="1:257" ht="16" x14ac:dyDescent="0.2">
      <c r="A35" s="14" t="e" vm="892">
        <v>#VALUE!</v>
      </c>
      <c r="B35" s="23" t="str" cm="1">
        <f t="array" aca="1" ref="B35" ca="1">_FV(A35,"ticker symbol",TRUE)</f>
        <v>FCOM</v>
      </c>
      <c r="C35" s="23" t="str" cm="1">
        <f t="array" aca="1" ref="C35" ca="1">_FV(A35,"Name")</f>
        <v>Fidelity MSCI Comm Svc</v>
      </c>
      <c r="D35" cm="1" vm="9641">
        <f t="array" aca="1" ref="D35:IW35" ca="1">TRANSPOSE(_xlfn.STOCKHISTORY(B35, WORKDAY(TODAY(), -265), TODAY(), 0, 0, 1))</f>
        <v>61.49</v>
      </c>
      <c r="E35" s="23" vm="9642">
        <f ca="1"/>
        <v>61.13</v>
      </c>
      <c r="F35" s="23" vm="9643">
        <f ca="1"/>
        <v>59.26</v>
      </c>
      <c r="G35" s="23" vm="9644">
        <f ca="1"/>
        <v>59.22</v>
      </c>
      <c r="H35" s="23" vm="3016">
        <f ca="1"/>
        <v>59.3</v>
      </c>
      <c r="I35" s="23" vm="8629">
        <f ca="1"/>
        <v>59.74</v>
      </c>
      <c r="J35" s="23" vm="9645">
        <f ca="1"/>
        <v>60.34</v>
      </c>
      <c r="K35" s="23" vm="8862">
        <f ca="1"/>
        <v>60.22</v>
      </c>
      <c r="L35" s="23" vm="9646">
        <f ca="1"/>
        <v>59.67</v>
      </c>
      <c r="M35" s="23" vm="9647">
        <f ca="1"/>
        <v>59.01</v>
      </c>
      <c r="N35" s="23" vm="9648">
        <f ca="1"/>
        <v>58.7</v>
      </c>
      <c r="O35" s="23" vm="9649">
        <f ca="1"/>
        <v>59.08</v>
      </c>
      <c r="P35" s="23" vm="9650">
        <f ca="1"/>
        <v>59.68</v>
      </c>
      <c r="Q35" s="23" vm="9651">
        <f ca="1"/>
        <v>60.67</v>
      </c>
      <c r="R35" s="23" vm="9652">
        <f ca="1"/>
        <v>59.98</v>
      </c>
      <c r="S35" s="23" vm="8630">
        <f ca="1"/>
        <v>59.62</v>
      </c>
      <c r="T35" s="23" vm="3013">
        <f ca="1"/>
        <v>58.92</v>
      </c>
      <c r="U35" s="23" vm="9653">
        <f ca="1"/>
        <v>58.72</v>
      </c>
      <c r="V35" s="23" vm="115">
        <f ca="1"/>
        <v>58.3</v>
      </c>
      <c r="W35" s="23" vm="8677">
        <f ca="1"/>
        <v>59.5</v>
      </c>
      <c r="X35" s="23" vm="9654">
        <f ca="1"/>
        <v>59.21</v>
      </c>
      <c r="Y35" s="23" vm="9655">
        <f ca="1"/>
        <v>59.69</v>
      </c>
      <c r="Z35" s="23" vm="8638">
        <f ca="1"/>
        <v>60.31</v>
      </c>
      <c r="AA35" s="23" vm="9656">
        <f ca="1"/>
        <v>60.57</v>
      </c>
      <c r="AB35" s="23" vm="8634">
        <f ca="1"/>
        <v>61.16</v>
      </c>
      <c r="AC35" s="23" vm="1476">
        <f ca="1"/>
        <v>61.74</v>
      </c>
      <c r="AD35" vm="66">
        <f ca="1"/>
        <v>61.69</v>
      </c>
      <c r="AE35" vm="1483">
        <f ca="1"/>
        <v>62.34</v>
      </c>
      <c r="AF35" vm="8663">
        <f ca="1"/>
        <v>62.55</v>
      </c>
      <c r="AG35" vm="9657">
        <f ca="1"/>
        <v>62.85</v>
      </c>
      <c r="AH35" vm="9658">
        <f ca="1"/>
        <v>63.07</v>
      </c>
      <c r="AI35" vm="9659">
        <f ca="1"/>
        <v>63.13</v>
      </c>
      <c r="AJ35" vm="9660">
        <f ca="1"/>
        <v>63.91</v>
      </c>
      <c r="AK35" vm="8662">
        <f ca="1"/>
        <v>62.97</v>
      </c>
      <c r="AL35" vm="9661">
        <f ca="1"/>
        <v>63.23</v>
      </c>
      <c r="AM35" vm="9662">
        <f ca="1"/>
        <v>63.03</v>
      </c>
      <c r="AN35" vm="1466">
        <f ca="1"/>
        <v>63.35</v>
      </c>
      <c r="AO35" vm="1607">
        <f ca="1"/>
        <v>63.33</v>
      </c>
      <c r="AP35" vm="8657">
        <f ca="1"/>
        <v>63.43</v>
      </c>
      <c r="AQ35" vm="2545">
        <f ca="1"/>
        <v>63.8</v>
      </c>
      <c r="AR35" vm="2733">
        <f ca="1"/>
        <v>64.13</v>
      </c>
      <c r="AS35" vm="9663">
        <f ca="1"/>
        <v>63.51</v>
      </c>
      <c r="AT35" vm="9664">
        <f ca="1"/>
        <v>63.3</v>
      </c>
      <c r="AU35" vm="9665">
        <f ca="1"/>
        <v>62.88</v>
      </c>
      <c r="AV35" vm="9666">
        <f ca="1"/>
        <v>61.84</v>
      </c>
      <c r="AW35" vm="9667">
        <f ca="1"/>
        <v>61.63</v>
      </c>
      <c r="AX35" vm="9651">
        <f ca="1"/>
        <v>60.67</v>
      </c>
      <c r="AY35" vm="9668">
        <f ca="1"/>
        <v>60.86</v>
      </c>
      <c r="AZ35" vm="8636">
        <f ca="1"/>
        <v>59.92</v>
      </c>
      <c r="BA35" vm="9669">
        <f ca="1"/>
        <v>60.74</v>
      </c>
      <c r="BB35" vm="9670">
        <f ca="1"/>
        <v>59.95</v>
      </c>
      <c r="BC35" vm="3020">
        <f ca="1"/>
        <v>59.44</v>
      </c>
      <c r="BD35" vm="8641">
        <f ca="1"/>
        <v>60.3</v>
      </c>
      <c r="BE35" vm="1587">
        <f ca="1"/>
        <v>59.13</v>
      </c>
      <c r="BF35" vm="3020">
        <f ca="1"/>
        <v>59.44</v>
      </c>
      <c r="BG35" vm="9671">
        <f ca="1"/>
        <v>57.47</v>
      </c>
      <c r="BH35" vm="9672">
        <f ca="1"/>
        <v>56.86</v>
      </c>
      <c r="BI35" vm="9673">
        <f ca="1"/>
        <v>57.32</v>
      </c>
      <c r="BJ35" vm="9674">
        <f ca="1"/>
        <v>55.97</v>
      </c>
      <c r="BK35" vm="9675">
        <f ca="1"/>
        <v>56.97</v>
      </c>
      <c r="BL35" vm="9673">
        <f ca="1"/>
        <v>57.32</v>
      </c>
      <c r="BM35" vm="9676">
        <f ca="1"/>
        <v>56.38</v>
      </c>
      <c r="BN35" vm="9677">
        <f ca="1"/>
        <v>57.12</v>
      </c>
      <c r="BO35" vm="9678">
        <f ca="1"/>
        <v>56.98</v>
      </c>
      <c r="BP35" vm="9679">
        <f ca="1"/>
        <v>57.33</v>
      </c>
      <c r="BQ35" vm="9680">
        <f ca="1"/>
        <v>58.41</v>
      </c>
      <c r="BR35" vm="9681">
        <f ca="1"/>
        <v>59.12</v>
      </c>
      <c r="BS35" vm="115">
        <f ca="1"/>
        <v>58.3</v>
      </c>
      <c r="BT35" vm="9682">
        <f ca="1"/>
        <v>57.86</v>
      </c>
      <c r="BU35" vm="9683">
        <f ca="1"/>
        <v>56.045000000000002</v>
      </c>
      <c r="BV35" vm="1636">
        <f ca="1"/>
        <v>56.26</v>
      </c>
      <c r="BW35" vm="9684">
        <f ca="1"/>
        <v>56.61</v>
      </c>
      <c r="BX35" vm="9685">
        <f ca="1"/>
        <v>56.64</v>
      </c>
      <c r="BY35" vm="3337">
        <f ca="1"/>
        <v>53.91</v>
      </c>
      <c r="BZ35" vm="9686">
        <f ca="1"/>
        <v>50.92</v>
      </c>
      <c r="CA35" vm="6251">
        <f ca="1"/>
        <v>51.14</v>
      </c>
      <c r="CB35" vm="837">
        <f ca="1"/>
        <v>50.44</v>
      </c>
      <c r="CC35" vm="9687">
        <f ca="1"/>
        <v>55.25</v>
      </c>
      <c r="CD35" vm="9688">
        <f ca="1"/>
        <v>53.12</v>
      </c>
      <c r="CE35" vm="6331">
        <f ca="1"/>
        <v>53.57</v>
      </c>
      <c r="CF35" vm="6333">
        <f ca="1"/>
        <v>53.67</v>
      </c>
      <c r="CG35" vm="6334">
        <f ca="1"/>
        <v>53.59</v>
      </c>
      <c r="CH35" vm="6311">
        <f ca="1"/>
        <v>52.37</v>
      </c>
      <c r="CI35" vm="9689">
        <f ca="1"/>
        <v>52.63</v>
      </c>
      <c r="CJ35" vm="9690">
        <f ca="1"/>
        <v>51.38</v>
      </c>
      <c r="CK35" vm="9691">
        <f ca="1"/>
        <v>52.67</v>
      </c>
      <c r="CL35" vm="9692">
        <f ca="1"/>
        <v>53.71</v>
      </c>
      <c r="CM35" vm="1527">
        <f ca="1"/>
        <v>54.8</v>
      </c>
      <c r="CN35" vm="9693">
        <f ca="1"/>
        <v>55.27</v>
      </c>
      <c r="CO35" vm="9694">
        <f ca="1"/>
        <v>55.48</v>
      </c>
      <c r="CP35" vm="9695">
        <f ca="1"/>
        <v>55.81</v>
      </c>
      <c r="CQ35" vm="9696">
        <f ca="1"/>
        <v>55.55</v>
      </c>
      <c r="CR35" vm="1538">
        <f ca="1"/>
        <v>56.17</v>
      </c>
      <c r="CS35" vm="9697">
        <f ca="1"/>
        <v>57.25</v>
      </c>
      <c r="CT35" vm="9698">
        <f ca="1"/>
        <v>57.36</v>
      </c>
      <c r="CU35" vm="9699">
        <f ca="1"/>
        <v>57.18</v>
      </c>
      <c r="CV35" vm="9700">
        <f ca="1"/>
        <v>56.78</v>
      </c>
      <c r="CW35" vm="9701">
        <f ca="1"/>
        <v>57.03</v>
      </c>
      <c r="CX35" vm="9702">
        <f ca="1"/>
        <v>57.06</v>
      </c>
      <c r="CY35" vm="9703">
        <f ca="1"/>
        <v>58.79</v>
      </c>
      <c r="CZ35" vm="1093">
        <f ca="1"/>
        <v>59.37</v>
      </c>
      <c r="DA35" vm="1647">
        <f ca="1"/>
        <v>60.01</v>
      </c>
      <c r="DB35" vm="9704">
        <f ca="1"/>
        <v>59.86</v>
      </c>
      <c r="DC35" vm="9705">
        <f ca="1"/>
        <v>60.23</v>
      </c>
      <c r="DD35" vm="8862">
        <f ca="1"/>
        <v>60.22</v>
      </c>
      <c r="DE35" vm="9706">
        <f ca="1"/>
        <v>59.96</v>
      </c>
      <c r="DF35" vm="9707">
        <f ca="1"/>
        <v>59.73</v>
      </c>
      <c r="DG35" vm="9708">
        <f ca="1"/>
        <v>59.77</v>
      </c>
      <c r="DH35" vm="9709">
        <f ca="1"/>
        <v>59.38</v>
      </c>
      <c r="DI35" vm="9710">
        <f ca="1"/>
        <v>60.55</v>
      </c>
      <c r="DJ35" vm="8631">
        <f ca="1"/>
        <v>60.4</v>
      </c>
      <c r="DK35" vm="9711">
        <f ca="1"/>
        <v>60.12</v>
      </c>
      <c r="DL35" vm="9712">
        <f ca="1"/>
        <v>60.41</v>
      </c>
      <c r="DM35" vm="9713">
        <f ca="1"/>
        <v>60.79</v>
      </c>
      <c r="DN35" vm="9714">
        <f ca="1"/>
        <v>60.52</v>
      </c>
      <c r="DO35" vm="9715">
        <f ca="1"/>
        <v>61.18</v>
      </c>
      <c r="DP35" vm="9715">
        <f ca="1"/>
        <v>61.18</v>
      </c>
      <c r="DQ35" vm="1481">
        <f ca="1"/>
        <v>62.16</v>
      </c>
      <c r="DR35" vm="8652">
        <f ca="1"/>
        <v>62.17</v>
      </c>
      <c r="DS35" vm="9716">
        <f ca="1"/>
        <v>62.96</v>
      </c>
      <c r="DT35" vm="8709">
        <f ca="1"/>
        <v>62.69</v>
      </c>
      <c r="DU35" vm="9717">
        <f ca="1"/>
        <v>62.22</v>
      </c>
      <c r="DV35" vm="1602">
        <f ca="1"/>
        <v>61.61</v>
      </c>
      <c r="DW35" vm="9718">
        <f ca="1"/>
        <v>62.77</v>
      </c>
      <c r="DX35" vm="9719">
        <f ca="1"/>
        <v>62.2</v>
      </c>
      <c r="DY35" vm="9720">
        <f ca="1"/>
        <v>62.18</v>
      </c>
      <c r="DZ35" vm="9721">
        <f ca="1"/>
        <v>61.28</v>
      </c>
      <c r="EA35" vm="1463">
        <f ca="1"/>
        <v>61.92</v>
      </c>
      <c r="EB35" vm="8656">
        <f ca="1"/>
        <v>62.82</v>
      </c>
      <c r="EC35" vm="1598">
        <f ca="1"/>
        <v>62.76</v>
      </c>
      <c r="ED35" vm="9722">
        <f ca="1"/>
        <v>63.67</v>
      </c>
      <c r="EE35" vm="8854">
        <f ca="1"/>
        <v>64.45</v>
      </c>
      <c r="EF35" vm="1612">
        <f ca="1"/>
        <v>64.81</v>
      </c>
      <c r="EG35" vm="1468">
        <f ca="1"/>
        <v>64.33</v>
      </c>
      <c r="EH35" vm="1469">
        <f ca="1"/>
        <v>64.36</v>
      </c>
      <c r="EI35" vm="1162">
        <f ca="1"/>
        <v>64.78</v>
      </c>
      <c r="EJ35" vm="9723">
        <f ca="1"/>
        <v>64.23</v>
      </c>
      <c r="EK35" vm="2741">
        <f ca="1"/>
        <v>64.099999999999994</v>
      </c>
      <c r="EL35" vm="9724">
        <f ca="1"/>
        <v>64.400000000000006</v>
      </c>
      <c r="EM35" vm="9725">
        <f ca="1"/>
        <v>64.38</v>
      </c>
      <c r="EN35" vm="8713">
        <f ca="1"/>
        <v>63.98</v>
      </c>
      <c r="EO35" vm="1608">
        <f ca="1"/>
        <v>64.650000000000006</v>
      </c>
      <c r="EP35" vm="8817">
        <f ca="1"/>
        <v>64.16</v>
      </c>
      <c r="EQ35" vm="9726">
        <f ca="1"/>
        <v>64.239999999999995</v>
      </c>
      <c r="ER35" vm="3047">
        <f ca="1"/>
        <v>64.55</v>
      </c>
      <c r="ES35" vm="3047">
        <f ca="1"/>
        <v>64.55</v>
      </c>
      <c r="ET35" vm="9727">
        <f ca="1"/>
        <v>65.44</v>
      </c>
      <c r="EU35" vm="9728">
        <f ca="1"/>
        <v>65.459999999999994</v>
      </c>
      <c r="EV35" vm="1165">
        <f ca="1"/>
        <v>65.87</v>
      </c>
      <c r="EW35" vm="1165">
        <f ca="1"/>
        <v>65.87</v>
      </c>
      <c r="EX35" vm="8866">
        <f ca="1"/>
        <v>65.53</v>
      </c>
      <c r="EY35" vm="8838">
        <f ca="1"/>
        <v>65.42</v>
      </c>
      <c r="EZ35" vm="2350">
        <f ca="1"/>
        <v>64.819999999999993</v>
      </c>
      <c r="FA35" vm="1938">
        <f ca="1"/>
        <v>65</v>
      </c>
      <c r="FB35" vm="8731">
        <f ca="1"/>
        <v>66.31</v>
      </c>
      <c r="FC35" vm="8720">
        <f ca="1"/>
        <v>64.989999999999995</v>
      </c>
      <c r="FD35" vm="8826">
        <f ca="1"/>
        <v>66.62</v>
      </c>
      <c r="FE35" vm="9729">
        <f ca="1"/>
        <v>66.05</v>
      </c>
      <c r="FF35" vm="2473">
        <f ca="1"/>
        <v>66.5</v>
      </c>
      <c r="FG35" vm="8840">
        <f ca="1"/>
        <v>65.930000000000007</v>
      </c>
      <c r="FH35" vm="8847">
        <f ca="1"/>
        <v>66.03</v>
      </c>
      <c r="FI35" vm="9730">
        <f ca="1"/>
        <v>66.099999999999994</v>
      </c>
      <c r="FJ35" vm="9731">
        <f ca="1"/>
        <v>67.33</v>
      </c>
      <c r="FK35" vm="9732">
        <f ca="1"/>
        <v>67.56</v>
      </c>
      <c r="FL35" vm="9733">
        <f ca="1"/>
        <v>67.67</v>
      </c>
      <c r="FM35" vm="8753">
        <f ca="1"/>
        <v>67.81</v>
      </c>
      <c r="FN35" vm="9734">
        <f ca="1"/>
        <v>67.52</v>
      </c>
      <c r="FO35" vm="9735">
        <f ca="1"/>
        <v>66.87</v>
      </c>
      <c r="FP35" vm="2781">
        <f ca="1"/>
        <v>66.55</v>
      </c>
      <c r="FQ35" vm="9736">
        <f ca="1"/>
        <v>66.400000000000006</v>
      </c>
      <c r="FR35" vm="9732">
        <f ca="1"/>
        <v>67.56</v>
      </c>
      <c r="FS35" vm="8751">
        <f ca="1"/>
        <v>67.819999999999993</v>
      </c>
      <c r="FT35" vm="9737">
        <f ca="1"/>
        <v>67.72</v>
      </c>
      <c r="FU35" vm="9738">
        <f ca="1"/>
        <v>67.760000000000005</v>
      </c>
      <c r="FV35" vm="9739">
        <f ca="1"/>
        <v>68.25</v>
      </c>
      <c r="FW35" vm="8872">
        <f ca="1"/>
        <v>68.150000000000006</v>
      </c>
      <c r="FX35" vm="9740">
        <f ca="1"/>
        <v>67.94</v>
      </c>
      <c r="FY35" vm="8763">
        <f ca="1"/>
        <v>69.38</v>
      </c>
      <c r="FZ35" vm="9741">
        <f ca="1"/>
        <v>69.95</v>
      </c>
      <c r="GA35" vm="9742">
        <f ca="1"/>
        <v>70.28</v>
      </c>
      <c r="GB35" vm="8766">
        <f ca="1"/>
        <v>70.349999999999994</v>
      </c>
      <c r="GC35" vm="9743">
        <f ca="1"/>
        <v>70.989999999999995</v>
      </c>
      <c r="GD35" vm="9744">
        <f ca="1"/>
        <v>70.39</v>
      </c>
      <c r="GE35" vm="9745">
        <f ca="1"/>
        <v>71</v>
      </c>
      <c r="GF35" vm="9746">
        <f ca="1"/>
        <v>71.150000000000006</v>
      </c>
      <c r="GG35" vm="8915">
        <f ca="1"/>
        <v>72.3</v>
      </c>
      <c r="GH35" vm="9747">
        <f ca="1"/>
        <v>72.31</v>
      </c>
      <c r="GI35" vm="790">
        <f ca="1"/>
        <v>72.45</v>
      </c>
      <c r="GJ35" vm="1543">
        <f ca="1"/>
        <v>72.59</v>
      </c>
      <c r="GK35" vm="1543">
        <f ca="1"/>
        <v>72.59</v>
      </c>
      <c r="GL35" vm="9748">
        <f ca="1"/>
        <v>72.209999999999994</v>
      </c>
      <c r="GM35" vm="9749">
        <f ca="1"/>
        <v>71.91</v>
      </c>
      <c r="GN35" vm="9750">
        <f ca="1"/>
        <v>71.33</v>
      </c>
      <c r="GO35" vm="9751">
        <f ca="1"/>
        <v>70.95</v>
      </c>
      <c r="GP35" vm="9752">
        <f ca="1"/>
        <v>71.3</v>
      </c>
      <c r="GQ35" vm="9753">
        <f ca="1"/>
        <v>71.36</v>
      </c>
      <c r="GR35" vm="3097">
        <f ca="1"/>
        <v>70.97</v>
      </c>
      <c r="GS35" vm="8877">
        <f ca="1"/>
        <v>70.3</v>
      </c>
      <c r="GT35" vm="2228">
        <f ca="1"/>
        <v>70.42</v>
      </c>
      <c r="GU35" vm="1814">
        <f ca="1"/>
        <v>70.180000000000007</v>
      </c>
      <c r="GV35" vm="2793">
        <f ca="1"/>
        <v>70.48</v>
      </c>
      <c r="GW35" vm="9754">
        <f ca="1"/>
        <v>69.989999999999995</v>
      </c>
      <c r="GX35" vm="9755">
        <f ca="1"/>
        <v>70</v>
      </c>
      <c r="GY35" vm="9756">
        <f ca="1"/>
        <v>69.84</v>
      </c>
      <c r="GZ35" vm="9739">
        <f ca="1"/>
        <v>68.25</v>
      </c>
      <c r="HA35" vm="2227">
        <f ca="1"/>
        <v>69.3</v>
      </c>
      <c r="HB35" vm="8759">
        <f ca="1"/>
        <v>69.7</v>
      </c>
      <c r="HC35" vm="9757">
        <f ca="1"/>
        <v>70.47</v>
      </c>
      <c r="HD35" vm="9758">
        <f ca="1"/>
        <v>69.790000000000006</v>
      </c>
      <c r="HE35" vm="9759">
        <f ca="1"/>
        <v>70.099999999999994</v>
      </c>
      <c r="HF35" vm="3098">
        <f ca="1"/>
        <v>70.98</v>
      </c>
      <c r="HG35" vm="9760">
        <f ca="1"/>
        <v>70.83</v>
      </c>
      <c r="HH35" vm="2233">
        <f ca="1"/>
        <v>70.2</v>
      </c>
      <c r="HI35" vm="9761">
        <f ca="1"/>
        <v>70.19</v>
      </c>
      <c r="HJ35" vm="9762">
        <f ca="1"/>
        <v>70.819999999999993</v>
      </c>
      <c r="HK35" vm="9763">
        <f ca="1"/>
        <v>72.09</v>
      </c>
      <c r="HL35" vm="8919">
        <f ca="1"/>
        <v>71.900000000000006</v>
      </c>
      <c r="HM35" vm="9764">
        <f ca="1"/>
        <v>72.16</v>
      </c>
      <c r="HN35" vm="2237">
        <f ca="1"/>
        <v>70.489999999999995</v>
      </c>
      <c r="HO35" vm="9765">
        <f ca="1"/>
        <v>70.650000000000006</v>
      </c>
      <c r="HP35" vm="2230">
        <f ca="1"/>
        <v>70.040000000000006</v>
      </c>
      <c r="HQ35" vm="9766">
        <f ca="1"/>
        <v>69.14</v>
      </c>
      <c r="HR35" vm="8760">
        <f ca="1"/>
        <v>69.680000000000007</v>
      </c>
      <c r="HS35" vm="9767">
        <f ca="1"/>
        <v>69.069999999999993</v>
      </c>
      <c r="HT35" vm="8829">
        <f ca="1"/>
        <v>68.900000000000006</v>
      </c>
      <c r="HU35" vm="9768">
        <f ca="1"/>
        <v>70.09</v>
      </c>
      <c r="HV35" vm="2228">
        <f ca="1"/>
        <v>70.42</v>
      </c>
      <c r="HW35" vm="9769">
        <f ca="1"/>
        <v>69.760000000000005</v>
      </c>
      <c r="HX35" vm="9770">
        <f ca="1"/>
        <v>68.58</v>
      </c>
      <c r="HY35" vm="8872">
        <f ca="1"/>
        <v>68.150000000000006</v>
      </c>
      <c r="HZ35" vm="9771">
        <f ca="1"/>
        <v>68.260000000000005</v>
      </c>
      <c r="IA35" vm="9772">
        <f ca="1"/>
        <v>68.44</v>
      </c>
      <c r="IB35" vm="893">
        <f ca="1"/>
        <v>68.39</v>
      </c>
      <c r="IC35" vm="894">
        <f ca="1"/>
        <v>67.5</v>
      </c>
      <c r="ID35" vm="895">
        <f ca="1"/>
        <v>68.75</v>
      </c>
      <c r="IE35" vm="896">
        <f ca="1"/>
        <v>70.41</v>
      </c>
      <c r="IF35" vm="897">
        <f ca="1"/>
        <v>71.66</v>
      </c>
      <c r="IG35" vm="898">
        <f ca="1"/>
        <v>71.569999999999993</v>
      </c>
      <c r="IH35" vm="765">
        <f ca="1"/>
        <v>72.25</v>
      </c>
      <c r="II35" vm="899">
        <f ca="1"/>
        <v>71.8</v>
      </c>
      <c r="IJ35" vm="900">
        <f ca="1"/>
        <v>72.08</v>
      </c>
      <c r="IK35" vm="901">
        <f ca="1"/>
        <v>72.069999999999993</v>
      </c>
      <c r="IL35" vm="902">
        <f ca="1"/>
        <v>72.73</v>
      </c>
      <c r="IM35" vm="903">
        <f ca="1"/>
        <v>73.5</v>
      </c>
      <c r="IN35" vm="904">
        <f ca="1"/>
        <v>72.92</v>
      </c>
      <c r="IO35" vm="905">
        <f ca="1"/>
        <v>72.91</v>
      </c>
      <c r="IP35" vm="906">
        <f ca="1"/>
        <v>73.22</v>
      </c>
      <c r="IQ35" vm="907">
        <f ca="1"/>
        <v>73.06</v>
      </c>
      <c r="IR35" vm="908">
        <f ca="1"/>
        <v>72.484999999999999</v>
      </c>
      <c r="IS35" vm="909">
        <f ca="1"/>
        <v>72.28</v>
      </c>
      <c r="IT35" vm="910">
        <f ca="1"/>
        <v>72.55</v>
      </c>
      <c r="IU35" vm="911">
        <f ca="1"/>
        <v>71.75</v>
      </c>
      <c r="IV35" vm="912">
        <f ca="1"/>
        <v>72.5</v>
      </c>
      <c r="IW35" vm="49">
        <f ca="1"/>
        <v>72.48</v>
      </c>
    </row>
    <row r="36" spans="1:257" ht="16" x14ac:dyDescent="0.2">
      <c r="A36" s="14" t="e" vm="913">
        <v>#VALUE!</v>
      </c>
      <c r="B36" s="23" t="str" cm="1">
        <f t="array" aca="1" ref="B36" ca="1">_FV(A36,"ticker symbol",TRUE)</f>
        <v>FDN</v>
      </c>
      <c r="C36" s="23" t="str" cm="1">
        <f t="array" aca="1" ref="C36" ca="1">_FV(A36,"Name")</f>
        <v>FT:DJ Internet Index Fd</v>
      </c>
      <c r="D36" cm="1" vm="9773">
        <f t="array" aca="1" ref="D36:IW36" ca="1">TRANSPOSE(_xlfn.STOCKHISTORY(B36, WORKDAY(TODAY(), -265), TODAY(), 0, 0, 1))</f>
        <v>257.24</v>
      </c>
      <c r="E36" s="23" vm="9774">
        <f ca="1"/>
        <v>255.98</v>
      </c>
      <c r="F36" s="23" vm="9775">
        <f ca="1"/>
        <v>245.53</v>
      </c>
      <c r="G36" s="23" vm="9776">
        <f ca="1"/>
        <v>246.45</v>
      </c>
      <c r="H36" s="23" vm="9777">
        <f ca="1"/>
        <v>249.48</v>
      </c>
      <c r="I36" s="23" vm="9778">
        <f ca="1"/>
        <v>249.68</v>
      </c>
      <c r="J36" s="23" vm="9779">
        <f ca="1"/>
        <v>252.18</v>
      </c>
      <c r="K36" s="23" vm="7502">
        <f ca="1"/>
        <v>251.37</v>
      </c>
      <c r="L36" s="23" vm="9780">
        <f ca="1"/>
        <v>248.15</v>
      </c>
      <c r="M36" s="23" vm="9781">
        <f ca="1"/>
        <v>245.43</v>
      </c>
      <c r="N36" s="23" vm="9782">
        <f ca="1"/>
        <v>243.17</v>
      </c>
      <c r="O36" s="23" vm="9783">
        <f ca="1"/>
        <v>243.68</v>
      </c>
      <c r="P36" s="23" vm="9784">
        <f ca="1"/>
        <v>246.32</v>
      </c>
      <c r="Q36" s="23" vm="9785">
        <f ca="1"/>
        <v>249.77</v>
      </c>
      <c r="R36" s="23" vm="9786">
        <f ca="1"/>
        <v>245.82</v>
      </c>
      <c r="S36" s="23" vm="7728">
        <f ca="1"/>
        <v>246.93</v>
      </c>
      <c r="T36" s="23" vm="9787">
        <f ca="1"/>
        <v>243.07</v>
      </c>
      <c r="U36" s="23" vm="9788">
        <f ca="1"/>
        <v>242.03</v>
      </c>
      <c r="V36" s="23" vm="9789">
        <f ca="1"/>
        <v>242.33</v>
      </c>
      <c r="W36" s="23" vm="9790">
        <f ca="1"/>
        <v>246.79</v>
      </c>
      <c r="X36" s="23" vm="9791">
        <f ca="1"/>
        <v>246.76</v>
      </c>
      <c r="Y36" s="23" vm="9792">
        <f ca="1"/>
        <v>249.54</v>
      </c>
      <c r="Z36" s="23" vm="9793">
        <f ca="1"/>
        <v>251.67</v>
      </c>
      <c r="AA36" s="23" vm="9794">
        <f ca="1"/>
        <v>256.26</v>
      </c>
      <c r="AB36" s="23" vm="9795">
        <f ca="1"/>
        <v>258.49</v>
      </c>
      <c r="AC36" s="23" vm="9796">
        <f ca="1"/>
        <v>258.5</v>
      </c>
      <c r="AD36" vm="9797">
        <f ca="1"/>
        <v>255.25</v>
      </c>
      <c r="AE36" vm="9798">
        <f ca="1"/>
        <v>260.82</v>
      </c>
      <c r="AF36" vm="9799">
        <f ca="1"/>
        <v>260.35000000000002</v>
      </c>
      <c r="AG36" vm="9800">
        <f ca="1"/>
        <v>261.47000000000003</v>
      </c>
      <c r="AH36" vm="9801">
        <f ca="1"/>
        <v>262.88</v>
      </c>
      <c r="AI36" vm="9802">
        <f ca="1"/>
        <v>262.27</v>
      </c>
      <c r="AJ36" vm="9803">
        <f ca="1"/>
        <v>264.17</v>
      </c>
      <c r="AK36" vm="9804">
        <f ca="1"/>
        <v>264.2</v>
      </c>
      <c r="AL36" vm="9805">
        <f ca="1"/>
        <v>263.62</v>
      </c>
      <c r="AM36" vm="9806">
        <f ca="1"/>
        <v>262.20999999999998</v>
      </c>
      <c r="AN36" vm="7101">
        <f ca="1"/>
        <v>264.68</v>
      </c>
      <c r="AO36" vm="7118">
        <f ca="1"/>
        <v>262.42</v>
      </c>
      <c r="AP36" vm="9807">
        <f ca="1"/>
        <v>263.2</v>
      </c>
      <c r="AQ36" vm="9808">
        <f ca="1"/>
        <v>265.41000000000003</v>
      </c>
      <c r="AR36" vm="9809">
        <f ca="1"/>
        <v>266.98</v>
      </c>
      <c r="AS36" vm="9810">
        <f ca="1"/>
        <v>266.08</v>
      </c>
      <c r="AT36" vm="9811">
        <f ca="1"/>
        <v>262.97000000000003</v>
      </c>
      <c r="AU36" vm="9812">
        <f ca="1"/>
        <v>258.83</v>
      </c>
      <c r="AV36" vm="9813">
        <f ca="1"/>
        <v>251.57</v>
      </c>
      <c r="AW36" vm="9814">
        <f ca="1"/>
        <v>248.7</v>
      </c>
      <c r="AX36" vm="9815">
        <f ca="1"/>
        <v>245.64</v>
      </c>
      <c r="AY36" vm="9816">
        <f ca="1"/>
        <v>248.27</v>
      </c>
      <c r="AZ36" vm="9817">
        <f ca="1"/>
        <v>242.74</v>
      </c>
      <c r="BA36" vm="9818">
        <f ca="1"/>
        <v>246.33</v>
      </c>
      <c r="BB36" vm="7523">
        <f ca="1"/>
        <v>241.47</v>
      </c>
      <c r="BC36" vm="7428">
        <f ca="1"/>
        <v>240.4</v>
      </c>
      <c r="BD36" vm="4224">
        <f ca="1"/>
        <v>244.41</v>
      </c>
      <c r="BE36" vm="9819">
        <f ca="1"/>
        <v>234.24</v>
      </c>
      <c r="BF36" vm="9820">
        <f ca="1"/>
        <v>233.76</v>
      </c>
      <c r="BG36" vm="9821">
        <f ca="1"/>
        <v>224.09</v>
      </c>
      <c r="BH36" vm="9822">
        <f ca="1"/>
        <v>225.2</v>
      </c>
      <c r="BI36" vm="9823">
        <f ca="1"/>
        <v>228.17</v>
      </c>
      <c r="BJ36" vm="9824">
        <f ca="1"/>
        <v>221.38</v>
      </c>
      <c r="BK36" vm="9825">
        <f ca="1"/>
        <v>227.56</v>
      </c>
      <c r="BL36" vm="9826">
        <f ca="1"/>
        <v>229.93</v>
      </c>
      <c r="BM36" vm="9827">
        <f ca="1"/>
        <v>225.82</v>
      </c>
      <c r="BN36" vm="9828">
        <f ca="1"/>
        <v>229.55</v>
      </c>
      <c r="BO36" vm="9829">
        <f ca="1"/>
        <v>228.73</v>
      </c>
      <c r="BP36" vm="9830">
        <f ca="1"/>
        <v>230.38</v>
      </c>
      <c r="BQ36" vm="9831">
        <f ca="1"/>
        <v>236.42</v>
      </c>
      <c r="BR36" vm="9832">
        <f ca="1"/>
        <v>238.54</v>
      </c>
      <c r="BS36" vm="9833">
        <f ca="1"/>
        <v>233.22</v>
      </c>
      <c r="BT36" vm="9834">
        <f ca="1"/>
        <v>231.08</v>
      </c>
      <c r="BU36" vm="9835">
        <f ca="1"/>
        <v>223.37</v>
      </c>
      <c r="BV36" vm="9836">
        <f ca="1"/>
        <v>222.15</v>
      </c>
      <c r="BW36" vm="4048">
        <f ca="1"/>
        <v>224.04</v>
      </c>
      <c r="BX36" vm="7401">
        <f ca="1"/>
        <v>226.51</v>
      </c>
      <c r="BY36" vm="9837">
        <f ca="1"/>
        <v>212.14</v>
      </c>
      <c r="BZ36" vm="9838">
        <f ca="1"/>
        <v>200.64</v>
      </c>
      <c r="CA36" vm="9839">
        <f ca="1"/>
        <v>202.22</v>
      </c>
      <c r="CB36" vm="9840">
        <f ca="1"/>
        <v>200.29</v>
      </c>
      <c r="CC36" vm="7575">
        <f ca="1"/>
        <v>221.95</v>
      </c>
      <c r="CD36" vm="9841">
        <f ca="1"/>
        <v>213.31</v>
      </c>
      <c r="CE36" vm="9842">
        <f ca="1"/>
        <v>215.57</v>
      </c>
      <c r="CF36" vm="9843">
        <f ca="1"/>
        <v>215.73</v>
      </c>
      <c r="CG36" vm="9844">
        <f ca="1"/>
        <v>216.59</v>
      </c>
      <c r="CH36" vm="1120">
        <f ca="1"/>
        <v>212.67</v>
      </c>
      <c r="CI36" vm="9845">
        <f ca="1"/>
        <v>211.93</v>
      </c>
      <c r="CJ36" vm="9846">
        <f ca="1"/>
        <v>206.33</v>
      </c>
      <c r="CK36" vm="1111">
        <f ca="1"/>
        <v>212.73</v>
      </c>
      <c r="CL36" vm="7013">
        <f ca="1"/>
        <v>218.54</v>
      </c>
      <c r="CM36" vm="5740">
        <f ca="1"/>
        <v>226.37</v>
      </c>
      <c r="CN36" vm="9847">
        <f ca="1"/>
        <v>229.19</v>
      </c>
      <c r="CO36" vm="9848">
        <f ca="1"/>
        <v>228.95</v>
      </c>
      <c r="CP36" vm="9849">
        <f ca="1"/>
        <v>231.13</v>
      </c>
      <c r="CQ36" vm="4184">
        <f ca="1"/>
        <v>231.22</v>
      </c>
      <c r="CR36" vm="5371">
        <f ca="1"/>
        <v>234.76</v>
      </c>
      <c r="CS36" vm="9850">
        <f ca="1"/>
        <v>238.84</v>
      </c>
      <c r="CT36" vm="4204">
        <f ca="1"/>
        <v>238.34</v>
      </c>
      <c r="CU36" vm="408">
        <f ca="1"/>
        <v>236.46</v>
      </c>
      <c r="CV36" vm="9851">
        <f ca="1"/>
        <v>235.8</v>
      </c>
      <c r="CW36" vm="7406">
        <f ca="1"/>
        <v>238.7</v>
      </c>
      <c r="CX36" vm="9852">
        <f ca="1"/>
        <v>237.17</v>
      </c>
      <c r="CY36" vm="9853">
        <f ca="1"/>
        <v>246.67</v>
      </c>
      <c r="CZ36" vm="9854">
        <f ca="1"/>
        <v>250.68</v>
      </c>
      <c r="DA36" vm="9855">
        <f ca="1"/>
        <v>252.26</v>
      </c>
      <c r="DB36" vm="9856">
        <f ca="1"/>
        <v>251.55</v>
      </c>
      <c r="DC36" vm="9857">
        <f ca="1"/>
        <v>253.31</v>
      </c>
      <c r="DD36" vm="9858">
        <f ca="1"/>
        <v>253.22</v>
      </c>
      <c r="DE36" vm="9859">
        <f ca="1"/>
        <v>251.63</v>
      </c>
      <c r="DF36" vm="9860">
        <f ca="1"/>
        <v>249.33</v>
      </c>
      <c r="DG36" vm="9861">
        <f ca="1"/>
        <v>251.27</v>
      </c>
      <c r="DH36" vm="9862">
        <f ca="1"/>
        <v>247.55</v>
      </c>
      <c r="DI36" vm="9863">
        <f ca="1"/>
        <v>251.74</v>
      </c>
      <c r="DJ36" vm="7503">
        <f ca="1"/>
        <v>250.93</v>
      </c>
      <c r="DK36" vm="9864">
        <f ca="1"/>
        <v>249.57</v>
      </c>
      <c r="DL36" vm="9865">
        <f ca="1"/>
        <v>251.2</v>
      </c>
      <c r="DM36" vm="9866">
        <f ca="1"/>
        <v>253.09</v>
      </c>
      <c r="DN36" vm="9867">
        <f ca="1"/>
        <v>254.25</v>
      </c>
      <c r="DO36" vm="9868">
        <f ca="1"/>
        <v>256.8</v>
      </c>
      <c r="DP36" vm="9869">
        <f ca="1"/>
        <v>257.62</v>
      </c>
      <c r="DQ36" vm="9870">
        <f ca="1"/>
        <v>260.81</v>
      </c>
      <c r="DR36" vm="9871">
        <f ca="1"/>
        <v>260.42</v>
      </c>
      <c r="DS36" vm="9872">
        <f ca="1"/>
        <v>259.76</v>
      </c>
      <c r="DT36" vm="7711">
        <f ca="1"/>
        <v>258.8</v>
      </c>
      <c r="DU36" vm="9873">
        <f ca="1"/>
        <v>258.07</v>
      </c>
      <c r="DV36" vm="9874">
        <f ca="1"/>
        <v>254.1</v>
      </c>
      <c r="DW36" vm="9875">
        <f ca="1"/>
        <v>258.36</v>
      </c>
      <c r="DX36" vm="9876">
        <f ca="1"/>
        <v>256.48</v>
      </c>
      <c r="DY36" vm="7719">
        <f ca="1"/>
        <v>255.74</v>
      </c>
      <c r="DZ36" vm="9877">
        <f ca="1"/>
        <v>253.63</v>
      </c>
      <c r="EA36" vm="9878">
        <f ca="1"/>
        <v>256.58999999999997</v>
      </c>
      <c r="EB36" vm="9879">
        <f ca="1"/>
        <v>261.07</v>
      </c>
      <c r="EC36" vm="9880">
        <f ca="1"/>
        <v>260.33999999999997</v>
      </c>
      <c r="ED36" vm="9881">
        <f ca="1"/>
        <v>264.37</v>
      </c>
      <c r="EE36" vm="9882">
        <f ca="1"/>
        <v>267.25</v>
      </c>
      <c r="EF36" vm="9883">
        <f ca="1"/>
        <v>269.33</v>
      </c>
      <c r="EG36" vm="9884">
        <f ca="1"/>
        <v>265.87</v>
      </c>
      <c r="EH36" vm="9885">
        <f ca="1"/>
        <v>265.89</v>
      </c>
      <c r="EI36" vm="9886">
        <f ca="1"/>
        <v>269.02</v>
      </c>
      <c r="EJ36" vm="9887">
        <f ca="1"/>
        <v>269.25</v>
      </c>
      <c r="EK36" vm="7518">
        <f ca="1"/>
        <v>267.17</v>
      </c>
      <c r="EL36" vm="7461">
        <f ca="1"/>
        <v>269.51</v>
      </c>
      <c r="EM36" vm="9888">
        <f ca="1"/>
        <v>266</v>
      </c>
      <c r="EN36" vm="9889">
        <f ca="1"/>
        <v>264.06</v>
      </c>
      <c r="EO36" vm="9890">
        <f ca="1"/>
        <v>266.77999999999997</v>
      </c>
      <c r="EP36" vm="9891">
        <f ca="1"/>
        <v>265.42</v>
      </c>
      <c r="EQ36" vm="9892">
        <f ca="1"/>
        <v>265.64999999999998</v>
      </c>
      <c r="ER36" vm="9893">
        <f ca="1"/>
        <v>268.05</v>
      </c>
      <c r="ES36" vm="9894">
        <f ca="1"/>
        <v>268.54000000000002</v>
      </c>
      <c r="ET36" vm="9895">
        <f ca="1"/>
        <v>270.27999999999997</v>
      </c>
      <c r="EU36" vm="9896">
        <f ca="1"/>
        <v>269.05</v>
      </c>
      <c r="EV36" vm="9897">
        <f ca="1"/>
        <v>270.05</v>
      </c>
      <c r="EW36" vm="9898">
        <f ca="1"/>
        <v>270.73</v>
      </c>
      <c r="EX36" vm="9899">
        <f ca="1"/>
        <v>272.41000000000003</v>
      </c>
      <c r="EY36" vm="9900">
        <f ca="1"/>
        <v>272.75</v>
      </c>
      <c r="EZ36" vm="7836">
        <f ca="1"/>
        <v>270.11</v>
      </c>
      <c r="FA36" vm="9901">
        <f ca="1"/>
        <v>270.79000000000002</v>
      </c>
      <c r="FB36" vm="9902">
        <f ca="1"/>
        <v>273.83</v>
      </c>
      <c r="FC36" vm="9903">
        <f ca="1"/>
        <v>264.73</v>
      </c>
      <c r="FD36" vm="9904">
        <f ca="1"/>
        <v>269.64999999999998</v>
      </c>
      <c r="FE36" vm="9905">
        <f ca="1"/>
        <v>266.88</v>
      </c>
      <c r="FF36" vm="9906">
        <f ca="1"/>
        <v>274.07</v>
      </c>
      <c r="FG36" vm="9907">
        <f ca="1"/>
        <v>271.67</v>
      </c>
      <c r="FH36" vm="9908">
        <f ca="1"/>
        <v>270.77999999999997</v>
      </c>
      <c r="FI36" vm="9909">
        <f ca="1"/>
        <v>268.56</v>
      </c>
      <c r="FJ36" vm="7602">
        <f ca="1"/>
        <v>271.54000000000002</v>
      </c>
      <c r="FK36" vm="9910">
        <f ca="1"/>
        <v>271.75</v>
      </c>
      <c r="FL36" vm="9911">
        <f ca="1"/>
        <v>271.16000000000003</v>
      </c>
      <c r="FM36" vm="569">
        <f ca="1"/>
        <v>272.14999999999998</v>
      </c>
      <c r="FN36" vm="9912">
        <f ca="1"/>
        <v>273.36</v>
      </c>
      <c r="FO36" vm="9913">
        <f ca="1"/>
        <v>269.7</v>
      </c>
      <c r="FP36" vm="9914">
        <f ca="1"/>
        <v>268.5</v>
      </c>
      <c r="FQ36" vm="9915">
        <f ca="1"/>
        <v>267.86</v>
      </c>
      <c r="FR36" vm="9916">
        <f ca="1"/>
        <v>272.67</v>
      </c>
      <c r="FS36" vm="9917">
        <f ca="1"/>
        <v>272.7</v>
      </c>
      <c r="FT36" vm="9918">
        <f ca="1"/>
        <v>272.97000000000003</v>
      </c>
      <c r="FU36" vm="9919">
        <f ca="1"/>
        <v>274.02</v>
      </c>
      <c r="FV36" vm="9920">
        <f ca="1"/>
        <v>278.38</v>
      </c>
      <c r="FW36" vm="9921">
        <f ca="1"/>
        <v>276.52999999999997</v>
      </c>
      <c r="FX36" vm="9922">
        <f ca="1"/>
        <v>273.83999999999997</v>
      </c>
      <c r="FY36" vm="9923">
        <f ca="1"/>
        <v>277.64</v>
      </c>
      <c r="FZ36" vm="9924">
        <f ca="1"/>
        <v>280.31</v>
      </c>
      <c r="GA36" vm="9925">
        <f ca="1"/>
        <v>280.66000000000003</v>
      </c>
      <c r="GB36" vm="5407">
        <f ca="1"/>
        <v>281.95999999999998</v>
      </c>
      <c r="GC36" vm="9926">
        <f ca="1"/>
        <v>284.99</v>
      </c>
      <c r="GD36" vm="9927">
        <f ca="1"/>
        <v>283.01</v>
      </c>
      <c r="GE36" vm="9928">
        <f ca="1"/>
        <v>283.43</v>
      </c>
      <c r="GF36" vm="9929">
        <f ca="1"/>
        <v>279.7</v>
      </c>
      <c r="GG36" vm="9930">
        <f ca="1"/>
        <v>283.95999999999998</v>
      </c>
      <c r="GH36" vm="9931">
        <f ca="1"/>
        <v>283.04000000000002</v>
      </c>
      <c r="GI36" vm="9932">
        <f ca="1"/>
        <v>284.36</v>
      </c>
      <c r="GJ36" vm="9933">
        <f ca="1"/>
        <v>285.94</v>
      </c>
      <c r="GK36" vm="9934">
        <f ca="1"/>
        <v>287.33999999999997</v>
      </c>
      <c r="GL36" vm="7622">
        <f ca="1"/>
        <v>286.61</v>
      </c>
      <c r="GM36" vm="9935">
        <f ca="1"/>
        <v>283.3</v>
      </c>
      <c r="GN36" vm="9936">
        <f ca="1"/>
        <v>282.17</v>
      </c>
      <c r="GO36" vm="9937">
        <f ca="1"/>
        <v>280.63</v>
      </c>
      <c r="GP36" vm="9938">
        <f ca="1"/>
        <v>281.44</v>
      </c>
      <c r="GQ36" vm="7609">
        <f ca="1"/>
        <v>283.62</v>
      </c>
      <c r="GR36" vm="9939">
        <f ca="1"/>
        <v>279.83999999999997</v>
      </c>
      <c r="GS36" vm="9940">
        <f ca="1"/>
        <v>278.45999999999998</v>
      </c>
      <c r="GT36" vm="9941">
        <f ca="1"/>
        <v>279.91000000000003</v>
      </c>
      <c r="GU36" vm="9942">
        <f ca="1"/>
        <v>277.91000000000003</v>
      </c>
      <c r="GV36" vm="9943">
        <f ca="1"/>
        <v>281.19</v>
      </c>
      <c r="GW36" vm="9944">
        <f ca="1"/>
        <v>279.07</v>
      </c>
      <c r="GX36" vm="9945">
        <f ca="1"/>
        <v>283.35000000000002</v>
      </c>
      <c r="GY36" vm="7154">
        <f ca="1"/>
        <v>284.3</v>
      </c>
      <c r="GZ36" vm="9946">
        <f ca="1"/>
        <v>276</v>
      </c>
      <c r="HA36" vm="9947">
        <f ca="1"/>
        <v>279.79000000000002</v>
      </c>
      <c r="HB36" vm="9948">
        <f ca="1"/>
        <v>278.64</v>
      </c>
      <c r="HC36" vm="9949">
        <f ca="1"/>
        <v>279.51</v>
      </c>
      <c r="HD36" vm="9950">
        <f ca="1"/>
        <v>276.87</v>
      </c>
      <c r="HE36" vm="9951">
        <f ca="1"/>
        <v>277.66000000000003</v>
      </c>
      <c r="HF36" vm="9952">
        <f ca="1"/>
        <v>282.55</v>
      </c>
      <c r="HG36" vm="9953">
        <f ca="1"/>
        <v>284.43</v>
      </c>
      <c r="HH36" vm="9954">
        <f ca="1"/>
        <v>278.27999999999997</v>
      </c>
      <c r="HI36" vm="9955">
        <f ca="1"/>
        <v>280.23</v>
      </c>
      <c r="HJ36" vm="5407">
        <f ca="1"/>
        <v>281.95999999999998</v>
      </c>
      <c r="HK36" vm="9956">
        <f ca="1"/>
        <v>285.64</v>
      </c>
      <c r="HL36" vm="9957">
        <f ca="1"/>
        <v>285.7</v>
      </c>
      <c r="HM36" vm="9958">
        <f ca="1"/>
        <v>285.66000000000003</v>
      </c>
      <c r="HN36" vm="9959">
        <f ca="1"/>
        <v>278.54000000000002</v>
      </c>
      <c r="HO36" vm="9960">
        <f ca="1"/>
        <v>283.94</v>
      </c>
      <c r="HP36" vm="9961">
        <f ca="1"/>
        <v>284</v>
      </c>
      <c r="HQ36" vm="9962">
        <f ca="1"/>
        <v>277.02</v>
      </c>
      <c r="HR36" vm="9963">
        <f ca="1"/>
        <v>276.44</v>
      </c>
      <c r="HS36" vm="9964">
        <f ca="1"/>
        <v>270.95</v>
      </c>
      <c r="HT36" vm="9965">
        <f ca="1"/>
        <v>272.47000000000003</v>
      </c>
      <c r="HU36" vm="9966">
        <f ca="1"/>
        <v>277.14999999999998</v>
      </c>
      <c r="HV36" vm="9967">
        <f ca="1"/>
        <v>277.39999999999998</v>
      </c>
      <c r="HW36" vm="9968">
        <f ca="1"/>
        <v>276.05</v>
      </c>
      <c r="HX36" vm="9969">
        <f ca="1"/>
        <v>270.52999999999997</v>
      </c>
      <c r="HY36" vm="9883">
        <f ca="1"/>
        <v>269.33</v>
      </c>
      <c r="HZ36" vm="9970">
        <f ca="1"/>
        <v>266.23</v>
      </c>
      <c r="IA36" vm="5341">
        <f ca="1"/>
        <v>264.3</v>
      </c>
      <c r="IB36" vm="914">
        <f ca="1"/>
        <v>262.81</v>
      </c>
      <c r="IC36" vm="915">
        <f ca="1"/>
        <v>255.62</v>
      </c>
      <c r="ID36" vm="916">
        <f ca="1"/>
        <v>257.45</v>
      </c>
      <c r="IE36" vm="917">
        <f ca="1"/>
        <v>263.45999999999998</v>
      </c>
      <c r="IF36" vm="918">
        <f ca="1"/>
        <v>267.67</v>
      </c>
      <c r="IG36" vm="919">
        <f ca="1"/>
        <v>266.82</v>
      </c>
      <c r="IH36" vm="920">
        <f ca="1"/>
        <v>270.16000000000003</v>
      </c>
      <c r="II36" vm="921">
        <f ca="1"/>
        <v>269.39999999999998</v>
      </c>
      <c r="IJ36" vm="922">
        <f ca="1"/>
        <v>271.64</v>
      </c>
      <c r="IK36" vm="923">
        <f ca="1"/>
        <v>271.56</v>
      </c>
      <c r="IL36" vm="924">
        <f ca="1"/>
        <v>271.52999999999997</v>
      </c>
      <c r="IM36" vm="925">
        <f ca="1"/>
        <v>273</v>
      </c>
      <c r="IN36" vm="926">
        <f ca="1"/>
        <v>272.5</v>
      </c>
      <c r="IO36" vm="927">
        <f ca="1"/>
        <v>273.38</v>
      </c>
      <c r="IP36" vm="928">
        <f ca="1"/>
        <v>273.42</v>
      </c>
      <c r="IQ36" vm="929">
        <f ca="1"/>
        <v>273.32</v>
      </c>
      <c r="IR36" vm="930">
        <f ca="1"/>
        <v>269.61</v>
      </c>
      <c r="IS36" vm="931">
        <f ca="1"/>
        <v>267.35000000000002</v>
      </c>
      <c r="IT36" vm="932">
        <f ca="1"/>
        <v>267.94</v>
      </c>
      <c r="IU36" vm="933">
        <f ca="1"/>
        <v>264.86</v>
      </c>
      <c r="IV36" vm="934">
        <f ca="1"/>
        <v>267.97000000000003</v>
      </c>
      <c r="IW36" vm="51">
        <f ca="1"/>
        <v>270.37</v>
      </c>
    </row>
    <row r="37" spans="1:257" ht="16" x14ac:dyDescent="0.2">
      <c r="A37" s="14" t="e" vm="935">
        <v>#VALUE!</v>
      </c>
      <c r="B37" s="23" t="str" cm="1">
        <f t="array" aca="1" ref="B37" ca="1">_FV(A37,"ticker symbol",TRUE)</f>
        <v>SOCL</v>
      </c>
      <c r="C37" s="23" t="str" cm="1">
        <f t="array" aca="1" ref="C37" ca="1">_FV(A37,"Name")</f>
        <v>Glbl X Social Media</v>
      </c>
      <c r="D37" cm="1" vm="9971">
        <f t="array" aca="1" ref="D37:IW37" ca="1">TRANSPOSE(_xlfn.STOCKHISTORY(B37, WORKDAY(TODAY(), -265), TODAY(), 0, 0, 1))</f>
        <v>44.65</v>
      </c>
      <c r="E37" s="23" vm="9972">
        <f ca="1"/>
        <v>44.55</v>
      </c>
      <c r="F37" s="23" vm="1371">
        <f ca="1"/>
        <v>43.37</v>
      </c>
      <c r="G37" s="23" vm="9973">
        <f ca="1"/>
        <v>43.35</v>
      </c>
      <c r="H37" s="23" vm="9974">
        <f ca="1"/>
        <v>43.72</v>
      </c>
      <c r="I37" s="23" vm="9975">
        <f ca="1"/>
        <v>43.41</v>
      </c>
      <c r="J37" s="23" vm="9976">
        <f ca="1"/>
        <v>43.95</v>
      </c>
      <c r="K37" s="23" vm="9977">
        <f ca="1"/>
        <v>43.73</v>
      </c>
      <c r="L37" s="23" vm="9978">
        <f ca="1"/>
        <v>43.26</v>
      </c>
      <c r="M37" s="23" vm="6890">
        <f ca="1"/>
        <v>42.58</v>
      </c>
      <c r="N37" s="23" vm="9197">
        <f ca="1"/>
        <v>42.32</v>
      </c>
      <c r="O37" s="23" vm="9979">
        <f ca="1"/>
        <v>42.64</v>
      </c>
      <c r="P37" s="23" vm="9980">
        <f ca="1"/>
        <v>43.27</v>
      </c>
      <c r="Q37" s="23" vm="9227">
        <f ca="1"/>
        <v>43.88</v>
      </c>
      <c r="R37" s="23" vm="605">
        <f ca="1"/>
        <v>43.04</v>
      </c>
      <c r="S37" s="23" vm="9981">
        <f ca="1"/>
        <v>42.56</v>
      </c>
      <c r="T37" s="23" vm="6900">
        <f ca="1"/>
        <v>42.08</v>
      </c>
      <c r="U37" s="23" vm="2722">
        <f ca="1"/>
        <v>42.1</v>
      </c>
      <c r="V37" s="23" vm="6956">
        <f ca="1"/>
        <v>41.91</v>
      </c>
      <c r="W37" s="23" vm="9982">
        <f ca="1"/>
        <v>43.33</v>
      </c>
      <c r="X37" s="23" vm="9983">
        <f ca="1"/>
        <v>43</v>
      </c>
      <c r="Y37" s="23" vm="9984">
        <f ca="1"/>
        <v>43.38</v>
      </c>
      <c r="Z37" s="23" vm="1367">
        <f ca="1"/>
        <v>43.62</v>
      </c>
      <c r="AA37" s="23" vm="9985">
        <f ca="1"/>
        <v>43.53</v>
      </c>
      <c r="AB37" s="23" vm="9986">
        <f ca="1"/>
        <v>43.6</v>
      </c>
      <c r="AC37" s="23" vm="2582">
        <f ca="1"/>
        <v>44.4</v>
      </c>
      <c r="AD37" vm="9220">
        <f ca="1"/>
        <v>44.71</v>
      </c>
      <c r="AE37" vm="9987">
        <f ca="1"/>
        <v>45.4</v>
      </c>
      <c r="AF37" vm="9988">
        <f ca="1"/>
        <v>45.45</v>
      </c>
      <c r="AG37" vm="9989">
        <f ca="1"/>
        <v>46.3</v>
      </c>
      <c r="AH37" vm="9990">
        <f ca="1"/>
        <v>46.14</v>
      </c>
      <c r="AI37" vm="9991">
        <f ca="1"/>
        <v>45.98</v>
      </c>
      <c r="AJ37" vm="9992">
        <f ca="1"/>
        <v>47.57</v>
      </c>
      <c r="AK37" vm="9993">
        <f ca="1"/>
        <v>47.37</v>
      </c>
      <c r="AL37" vm="9994">
        <f ca="1"/>
        <v>47.74</v>
      </c>
      <c r="AM37" vm="9995">
        <f ca="1"/>
        <v>48.48</v>
      </c>
      <c r="AN37" vm="6273">
        <f ca="1"/>
        <v>49.03</v>
      </c>
      <c r="AO37" vm="1267">
        <f ca="1"/>
        <v>48.31</v>
      </c>
      <c r="AP37" vm="847">
        <f ca="1"/>
        <v>48.97</v>
      </c>
      <c r="AQ37" vm="9996">
        <f ca="1"/>
        <v>49.3</v>
      </c>
      <c r="AR37" vm="9997">
        <f ca="1"/>
        <v>49.755000000000003</v>
      </c>
      <c r="AS37" vm="9998">
        <f ca="1"/>
        <v>49.803400000000003</v>
      </c>
      <c r="AT37" vm="9996">
        <f ca="1"/>
        <v>49.3</v>
      </c>
      <c r="AU37" vm="9999">
        <f ca="1"/>
        <v>48.91</v>
      </c>
      <c r="AV37" vm="10000">
        <f ca="1"/>
        <v>49.04</v>
      </c>
      <c r="AW37" vm="10001">
        <f ca="1"/>
        <v>47.5</v>
      </c>
      <c r="AX37" vm="830">
        <f ca="1"/>
        <v>47.33</v>
      </c>
      <c r="AY37" vm="10002">
        <f ca="1"/>
        <v>47.99</v>
      </c>
      <c r="AZ37" vm="10003">
        <f ca="1"/>
        <v>46.85</v>
      </c>
      <c r="BA37" vm="10004">
        <f ca="1"/>
        <v>46.56</v>
      </c>
      <c r="BB37" vm="1189">
        <f ca="1"/>
        <v>45.62</v>
      </c>
      <c r="BC37" vm="10005">
        <f ca="1"/>
        <v>45.73</v>
      </c>
      <c r="BD37" vm="10006">
        <f ca="1"/>
        <v>47.44</v>
      </c>
      <c r="BE37" vm="10007">
        <f ca="1"/>
        <v>47.25</v>
      </c>
      <c r="BF37" vm="10008">
        <f ca="1"/>
        <v>47.05</v>
      </c>
      <c r="BG37" vm="10009">
        <f ca="1"/>
        <v>45.03</v>
      </c>
      <c r="BH37" vm="457">
        <f ca="1"/>
        <v>45.92</v>
      </c>
      <c r="BI37" vm="10010">
        <f ca="1"/>
        <v>46.284999999999997</v>
      </c>
      <c r="BJ37" vm="458">
        <f ca="1"/>
        <v>45.42</v>
      </c>
      <c r="BK37" vm="10011">
        <f ca="1"/>
        <v>46.39</v>
      </c>
      <c r="BL37" vm="1256">
        <f ca="1"/>
        <v>47.14</v>
      </c>
      <c r="BM37" vm="10012">
        <f ca="1"/>
        <v>46.41</v>
      </c>
      <c r="BN37" vm="10013">
        <f ca="1"/>
        <v>46.54</v>
      </c>
      <c r="BO37" vm="10014">
        <f ca="1"/>
        <v>45.72</v>
      </c>
      <c r="BP37" vm="10015">
        <f ca="1"/>
        <v>45.81</v>
      </c>
      <c r="BQ37" vm="10016">
        <f ca="1"/>
        <v>46.2</v>
      </c>
      <c r="BR37" vm="10013">
        <f ca="1"/>
        <v>46.54</v>
      </c>
      <c r="BS37" vm="10017">
        <f ca="1"/>
        <v>45.57</v>
      </c>
      <c r="BT37" vm="10018">
        <f ca="1"/>
        <v>45.71</v>
      </c>
      <c r="BU37" vm="10019">
        <f ca="1"/>
        <v>44.12</v>
      </c>
      <c r="BV37" vm="10020">
        <f ca="1"/>
        <v>43.84</v>
      </c>
      <c r="BW37" vm="10021">
        <f ca="1"/>
        <v>44.58</v>
      </c>
      <c r="BX37" vm="1977">
        <f ca="1"/>
        <v>44.57</v>
      </c>
      <c r="BY37" vm="10022">
        <f ca="1"/>
        <v>43.16</v>
      </c>
      <c r="BZ37" vm="10023">
        <f ca="1"/>
        <v>40.24</v>
      </c>
      <c r="CA37" vm="10024">
        <f ca="1"/>
        <v>38.99</v>
      </c>
      <c r="CB37" vm="4679">
        <f ca="1"/>
        <v>38.159999999999997</v>
      </c>
      <c r="CC37" vm="10025">
        <f ca="1"/>
        <v>41.71</v>
      </c>
      <c r="CD37" vm="10026">
        <f ca="1"/>
        <v>40.17</v>
      </c>
      <c r="CE37" vm="1376">
        <f ca="1"/>
        <v>40.78</v>
      </c>
      <c r="CF37" vm="6882">
        <f ca="1"/>
        <v>41.35</v>
      </c>
      <c r="CG37" vm="6968">
        <f ca="1"/>
        <v>41.37</v>
      </c>
      <c r="CH37" vm="10027">
        <f ca="1"/>
        <v>40.295000000000002</v>
      </c>
      <c r="CI37" vm="10028">
        <f ca="1"/>
        <v>40.6</v>
      </c>
      <c r="CJ37" vm="9153">
        <f ca="1"/>
        <v>39.76</v>
      </c>
      <c r="CK37" vm="6967">
        <f ca="1"/>
        <v>41.24</v>
      </c>
      <c r="CL37" vm="10029">
        <f ca="1"/>
        <v>42.6</v>
      </c>
      <c r="CM37" vm="1371">
        <f ca="1"/>
        <v>43.37</v>
      </c>
      <c r="CN37" vm="6894">
        <f ca="1"/>
        <v>43.52</v>
      </c>
      <c r="CO37" vm="10030">
        <f ca="1"/>
        <v>43.58</v>
      </c>
      <c r="CP37" vm="10031">
        <f ca="1"/>
        <v>43.61</v>
      </c>
      <c r="CQ37" vm="542">
        <f ca="1"/>
        <v>43.39</v>
      </c>
      <c r="CR37" vm="10030">
        <f ca="1"/>
        <v>43.58</v>
      </c>
      <c r="CS37" vm="10032">
        <f ca="1"/>
        <v>45.05</v>
      </c>
      <c r="CT37" vm="454">
        <f ca="1"/>
        <v>45.07</v>
      </c>
      <c r="CU37" vm="10033">
        <f ca="1"/>
        <v>44.87</v>
      </c>
      <c r="CV37" vm="6278">
        <f ca="1"/>
        <v>43.92</v>
      </c>
      <c r="CW37" vm="10034">
        <f ca="1"/>
        <v>44.335000000000001</v>
      </c>
      <c r="CX37" vm="2338">
        <f ca="1"/>
        <v>43.96</v>
      </c>
      <c r="CY37" vm="10035">
        <f ca="1"/>
        <v>46.07</v>
      </c>
      <c r="CZ37" vm="10036">
        <f ca="1"/>
        <v>46.16</v>
      </c>
      <c r="DA37" vm="9237">
        <f ca="1"/>
        <v>47.2</v>
      </c>
      <c r="DB37" vm="10037">
        <f ca="1"/>
        <v>46.8</v>
      </c>
      <c r="DC37" vm="10038">
        <f ca="1"/>
        <v>46.74</v>
      </c>
      <c r="DD37" vm="10039">
        <f ca="1"/>
        <v>46.72</v>
      </c>
      <c r="DE37" vm="10040">
        <f ca="1"/>
        <v>46.59</v>
      </c>
      <c r="DF37" vm="10041">
        <f ca="1"/>
        <v>46.29</v>
      </c>
      <c r="DG37" vm="10042">
        <f ca="1"/>
        <v>45.99</v>
      </c>
      <c r="DH37" vm="10043">
        <f ca="1"/>
        <v>46.04</v>
      </c>
      <c r="DI37" vm="10044">
        <f ca="1"/>
        <v>46.89</v>
      </c>
      <c r="DJ37" vm="9989">
        <f ca="1"/>
        <v>46.3</v>
      </c>
      <c r="DK37" vm="10045">
        <f ca="1"/>
        <v>46.86</v>
      </c>
      <c r="DL37" vm="10046">
        <f ca="1"/>
        <v>46.57</v>
      </c>
      <c r="DM37" vm="10047">
        <f ca="1"/>
        <v>47.35</v>
      </c>
      <c r="DN37" vm="10048">
        <f ca="1"/>
        <v>47.39</v>
      </c>
      <c r="DO37" vm="10049">
        <f ca="1"/>
        <v>48.26</v>
      </c>
      <c r="DP37" vm="10050">
        <f ca="1"/>
        <v>48.58</v>
      </c>
      <c r="DQ37" vm="10051">
        <f ca="1"/>
        <v>49.32</v>
      </c>
      <c r="DR37" vm="9248">
        <f ca="1"/>
        <v>50.32</v>
      </c>
      <c r="DS37" vm="10052">
        <f ca="1"/>
        <v>49.98</v>
      </c>
      <c r="DT37" vm="10053">
        <f ca="1"/>
        <v>50.17</v>
      </c>
      <c r="DU37" vm="1148">
        <f ca="1"/>
        <v>50.15</v>
      </c>
      <c r="DV37" vm="10054">
        <f ca="1"/>
        <v>49.52</v>
      </c>
      <c r="DW37" vm="1624">
        <f ca="1"/>
        <v>50.82</v>
      </c>
      <c r="DX37" vm="9248">
        <f ca="1"/>
        <v>50.32</v>
      </c>
      <c r="DY37" vm="10055">
        <f ca="1"/>
        <v>51.23</v>
      </c>
      <c r="DZ37" vm="10056">
        <f ca="1"/>
        <v>51.6</v>
      </c>
      <c r="EA37" vm="2922">
        <f ca="1"/>
        <v>52.29</v>
      </c>
      <c r="EB37" vm="2635">
        <f ca="1"/>
        <v>53.85</v>
      </c>
      <c r="EC37" vm="2926">
        <f ca="1"/>
        <v>53.36</v>
      </c>
      <c r="ED37" vm="3300">
        <f ca="1"/>
        <v>52.9</v>
      </c>
      <c r="EE37" vm="475">
        <f ca="1"/>
        <v>52.84</v>
      </c>
      <c r="EF37" vm="10057">
        <f ca="1"/>
        <v>53.43</v>
      </c>
      <c r="EG37" vm="10058">
        <f ca="1"/>
        <v>53.53</v>
      </c>
      <c r="EH37" vm="3307">
        <f ca="1"/>
        <v>52.97</v>
      </c>
      <c r="EI37" vm="2911">
        <f ca="1"/>
        <v>53.22</v>
      </c>
      <c r="EJ37" vm="6335">
        <f ca="1"/>
        <v>53.5</v>
      </c>
      <c r="EK37" vm="8690">
        <f ca="1"/>
        <v>53.6</v>
      </c>
      <c r="EL37" vm="6344">
        <f ca="1"/>
        <v>53.47</v>
      </c>
      <c r="EM37" vm="6313">
        <f ca="1"/>
        <v>53.19</v>
      </c>
      <c r="EN37" vm="2906">
        <f ca="1"/>
        <v>52.7</v>
      </c>
      <c r="EO37" vm="10059">
        <f ca="1"/>
        <v>53.42</v>
      </c>
      <c r="EP37" vm="2776">
        <f ca="1"/>
        <v>53.81</v>
      </c>
      <c r="EQ37" vm="10060">
        <f ca="1"/>
        <v>53.709699999999998</v>
      </c>
      <c r="ER37" vm="10061">
        <f ca="1"/>
        <v>53.992899999999999</v>
      </c>
      <c r="ES37" vm="10062">
        <f ca="1"/>
        <v>54.106900000000003</v>
      </c>
      <c r="ET37" vm="10063">
        <f ca="1"/>
        <v>54.604999999999997</v>
      </c>
      <c r="EU37" vm="10064">
        <f ca="1"/>
        <v>54.734999999999999</v>
      </c>
      <c r="EV37" vm="10065">
        <f ca="1"/>
        <v>55.29</v>
      </c>
      <c r="EW37" vm="10066">
        <f ca="1"/>
        <v>54.82</v>
      </c>
      <c r="EX37" vm="10067">
        <f ca="1"/>
        <v>54.494300000000003</v>
      </c>
      <c r="EY37" vm="10068">
        <f ca="1"/>
        <v>54.31</v>
      </c>
      <c r="EZ37" vm="10069">
        <f ca="1"/>
        <v>53.73</v>
      </c>
      <c r="FA37" vm="6334">
        <f ca="1"/>
        <v>53.59</v>
      </c>
      <c r="FB37" vm="10070">
        <f ca="1"/>
        <v>55.06</v>
      </c>
      <c r="FC37" vm="10071">
        <f ca="1"/>
        <v>54.201500000000003</v>
      </c>
      <c r="FD37" vm="10072">
        <f ca="1"/>
        <v>56.08</v>
      </c>
      <c r="FE37" vm="1579">
        <f ca="1"/>
        <v>56.19</v>
      </c>
      <c r="FF37" vm="10073">
        <f ca="1"/>
        <v>56.92</v>
      </c>
      <c r="FG37" vm="10074">
        <f ca="1"/>
        <v>57.024799999999999</v>
      </c>
      <c r="FH37" vm="10075">
        <f ca="1"/>
        <v>56.625</v>
      </c>
      <c r="FI37" vm="10076">
        <f ca="1"/>
        <v>56.314999999999998</v>
      </c>
      <c r="FJ37" vm="10077">
        <f ca="1"/>
        <v>56.93</v>
      </c>
      <c r="FK37" vm="10078">
        <f ca="1"/>
        <v>58.48</v>
      </c>
      <c r="FL37" vm="10079">
        <f ca="1"/>
        <v>58.173999999999999</v>
      </c>
      <c r="FM37" vm="10080">
        <f ca="1"/>
        <v>58.85</v>
      </c>
      <c r="FN37" vm="10081">
        <f ca="1"/>
        <v>58.517699999999998</v>
      </c>
      <c r="FO37" vm="10082">
        <f ca="1"/>
        <v>57.4572</v>
      </c>
      <c r="FP37" vm="10083">
        <f ca="1"/>
        <v>56.96</v>
      </c>
      <c r="FQ37" vm="9700">
        <f ca="1"/>
        <v>56.78</v>
      </c>
      <c r="FR37" vm="10084">
        <f ca="1"/>
        <v>58.045000000000002</v>
      </c>
      <c r="FS37" vm="10085">
        <f ca="1"/>
        <v>58.149700000000003</v>
      </c>
      <c r="FT37" vm="10086">
        <f ca="1"/>
        <v>58.209699999999998</v>
      </c>
      <c r="FU37" vm="2951">
        <f ca="1"/>
        <v>57.26</v>
      </c>
      <c r="FV37" vm="10087">
        <f ca="1"/>
        <v>57.98</v>
      </c>
      <c r="FW37" vm="10088">
        <f ca="1"/>
        <v>57.49</v>
      </c>
      <c r="FX37" vm="10089">
        <f ca="1"/>
        <v>56.91</v>
      </c>
      <c r="FY37" vm="10090">
        <f ca="1"/>
        <v>57.300899999999999</v>
      </c>
      <c r="FZ37" vm="10091">
        <f ca="1"/>
        <v>57.38</v>
      </c>
      <c r="GA37" vm="10092">
        <f ca="1"/>
        <v>58.68</v>
      </c>
      <c r="GB37" vm="9648">
        <f ca="1"/>
        <v>58.7</v>
      </c>
      <c r="GC37" vm="1586">
        <f ca="1"/>
        <v>59.48</v>
      </c>
      <c r="GD37" vm="10093">
        <f ca="1"/>
        <v>59.484999999999999</v>
      </c>
      <c r="GE37" vm="10094">
        <f ca="1"/>
        <v>60.1</v>
      </c>
      <c r="GF37" vm="10095">
        <f ca="1"/>
        <v>60.450899999999997</v>
      </c>
      <c r="GG37" vm="10096">
        <f ca="1"/>
        <v>61.44</v>
      </c>
      <c r="GH37" vm="10097">
        <f ca="1"/>
        <v>61.86</v>
      </c>
      <c r="GI37" vm="10098">
        <f ca="1"/>
        <v>62.625300000000003</v>
      </c>
      <c r="GJ37" vm="10099">
        <f ca="1"/>
        <v>62.559800000000003</v>
      </c>
      <c r="GK37" vm="2538">
        <f ca="1"/>
        <v>61.97</v>
      </c>
      <c r="GL37" vm="1603">
        <f ca="1"/>
        <v>61.66</v>
      </c>
      <c r="GM37" vm="10100">
        <f ca="1"/>
        <v>60.21</v>
      </c>
      <c r="GN37" vm="9708">
        <f ca="1"/>
        <v>59.77</v>
      </c>
      <c r="GO37" vm="10101">
        <f ca="1"/>
        <v>60.482799999999997</v>
      </c>
      <c r="GP37" vm="10102">
        <f ca="1"/>
        <v>60.24</v>
      </c>
      <c r="GQ37" vm="2535">
        <f ca="1"/>
        <v>61.33</v>
      </c>
      <c r="GR37" vm="10103">
        <f ca="1"/>
        <v>60.752299999999998</v>
      </c>
      <c r="GS37" vm="10104">
        <f ca="1"/>
        <v>59.93</v>
      </c>
      <c r="GT37" vm="10105">
        <f ca="1"/>
        <v>60.59</v>
      </c>
      <c r="GU37" vm="10106">
        <f ca="1"/>
        <v>60.559600000000003</v>
      </c>
      <c r="GV37" vm="8632">
        <f ca="1"/>
        <v>60.77</v>
      </c>
      <c r="GW37" vm="9708">
        <f ca="1"/>
        <v>59.77</v>
      </c>
      <c r="GX37" vm="10107">
        <f ca="1"/>
        <v>59.97</v>
      </c>
      <c r="GY37" vm="8636">
        <f ca="1"/>
        <v>59.92</v>
      </c>
      <c r="GZ37" vm="10108">
        <f ca="1"/>
        <v>57.4</v>
      </c>
      <c r="HA37" vm="10109">
        <f ca="1"/>
        <v>58.575000000000003</v>
      </c>
      <c r="HB37" vm="10110">
        <f ca="1"/>
        <v>57.558500000000002</v>
      </c>
      <c r="HC37" vm="10111">
        <f ca="1"/>
        <v>57.965699999999998</v>
      </c>
      <c r="HD37" vm="10112">
        <f ca="1"/>
        <v>57.685000000000002</v>
      </c>
      <c r="HE37" vm="10113">
        <f ca="1"/>
        <v>57.320599999999999</v>
      </c>
      <c r="HF37" vm="10114">
        <f ca="1"/>
        <v>58.310200000000002</v>
      </c>
      <c r="HG37" vm="10115">
        <f ca="1"/>
        <v>58.270499999999998</v>
      </c>
      <c r="HH37" vm="10116">
        <f ca="1"/>
        <v>57.523099999999999</v>
      </c>
      <c r="HI37" vm="10117">
        <f ca="1"/>
        <v>57.78</v>
      </c>
      <c r="HJ37" vm="2961">
        <f ca="1"/>
        <v>58.49</v>
      </c>
      <c r="HK37" vm="10118">
        <f ca="1"/>
        <v>59.685000000000002</v>
      </c>
      <c r="HL37" vm="10119">
        <f ca="1"/>
        <v>59.385599999999997</v>
      </c>
      <c r="HM37" vm="9708">
        <f ca="1"/>
        <v>59.77</v>
      </c>
      <c r="HN37" vm="10120">
        <f ca="1"/>
        <v>57.515599999999999</v>
      </c>
      <c r="HO37" vm="10121">
        <f ca="1"/>
        <v>57.992600000000003</v>
      </c>
      <c r="HP37" vm="10122">
        <f ca="1"/>
        <v>58.067300000000003</v>
      </c>
      <c r="HQ37" vm="10123">
        <f ca="1"/>
        <v>56.734299999999998</v>
      </c>
      <c r="HR37" vm="10124">
        <f ca="1"/>
        <v>56.819200000000002</v>
      </c>
      <c r="HS37" vm="10125">
        <f ca="1"/>
        <v>56.03</v>
      </c>
      <c r="HT37" vm="10126">
        <f ca="1"/>
        <v>55.68</v>
      </c>
      <c r="HU37" vm="10127">
        <f ca="1"/>
        <v>57.047499999999999</v>
      </c>
      <c r="HV37" vm="10128">
        <f ca="1"/>
        <v>57.115000000000002</v>
      </c>
      <c r="HW37" vm="10129">
        <f ca="1"/>
        <v>56.664999999999999</v>
      </c>
      <c r="HX37" vm="10130">
        <f ca="1"/>
        <v>55.277099999999997</v>
      </c>
      <c r="HY37" vm="10131">
        <f ca="1"/>
        <v>54.795000000000002</v>
      </c>
      <c r="HZ37" vm="10132">
        <f ca="1"/>
        <v>53.906500000000001</v>
      </c>
      <c r="IA37" vm="10133">
        <f ca="1"/>
        <v>53.6676</v>
      </c>
      <c r="IB37" vm="936">
        <f ca="1"/>
        <v>53.305</v>
      </c>
      <c r="IC37" vm="937">
        <f ca="1"/>
        <v>52.318199999999997</v>
      </c>
      <c r="ID37" vm="938">
        <f ca="1"/>
        <v>53.268999999999998</v>
      </c>
      <c r="IE37" vm="939">
        <f ca="1"/>
        <v>54.895000000000003</v>
      </c>
      <c r="IF37" vm="940">
        <f ca="1"/>
        <v>55.69</v>
      </c>
      <c r="IG37" vm="941">
        <f ca="1"/>
        <v>55.399799999999999</v>
      </c>
      <c r="IH37" vm="942">
        <f ca="1"/>
        <v>55.436500000000002</v>
      </c>
      <c r="II37" vm="943">
        <f ca="1"/>
        <v>55.612900000000003</v>
      </c>
      <c r="IJ37" vm="944">
        <f ca="1"/>
        <v>55.491599999999998</v>
      </c>
      <c r="IK37" vm="945">
        <f ca="1"/>
        <v>55.24</v>
      </c>
      <c r="IL37" vm="946">
        <f ca="1"/>
        <v>55.3446</v>
      </c>
      <c r="IM37" vm="947">
        <f ca="1"/>
        <v>56.2331</v>
      </c>
      <c r="IN37" vm="948">
        <f ca="1"/>
        <v>55.945700000000002</v>
      </c>
      <c r="IO37" vm="949">
        <f ca="1"/>
        <v>55.765000000000001</v>
      </c>
      <c r="IP37" vm="950">
        <f ca="1"/>
        <v>56.006300000000003</v>
      </c>
      <c r="IQ37" vm="951">
        <f ca="1"/>
        <v>55.420400000000001</v>
      </c>
      <c r="IR37" vm="952">
        <f ca="1"/>
        <v>54.73</v>
      </c>
      <c r="IS37" vm="953">
        <f ca="1"/>
        <v>54.136800000000001</v>
      </c>
      <c r="IT37" vm="954">
        <f ca="1"/>
        <v>54.034999999999997</v>
      </c>
      <c r="IU37" vm="955">
        <f ca="1"/>
        <v>53.657499999999999</v>
      </c>
      <c r="IV37" vm="956">
        <f ca="1"/>
        <v>54.492100000000001</v>
      </c>
      <c r="IW37" vm="53">
        <f ca="1"/>
        <v>55.134099999999997</v>
      </c>
    </row>
    <row r="38" spans="1:257" ht="16" x14ac:dyDescent="0.2">
      <c r="A38" s="14" t="e" vm="957">
        <v>#VALUE!</v>
      </c>
      <c r="B38" s="23" t="str" cm="1">
        <f t="array" aca="1" ref="B38" ca="1">_FV(A38,"ticker symbol",TRUE)</f>
        <v>XRT</v>
      </c>
      <c r="C38" s="23" t="str" cm="1">
        <f t="array" aca="1" ref="C38" ca="1">_FV(A38,"Name")</f>
        <v>SS SPDR S&amp;P Retail</v>
      </c>
      <c r="D38" cm="1" vm="10134">
        <f t="array" aca="1" ref="D38:IW38" ca="1">TRANSPOSE(_xlfn.STOCKHISTORY(B38, WORKDAY(TODAY(), -265), TODAY(), 0, 0, 1))</f>
        <v>83.55</v>
      </c>
      <c r="E38" s="23" vm="1424">
        <f ca="1"/>
        <v>82.83</v>
      </c>
      <c r="F38" s="23" vm="10135">
        <f ca="1"/>
        <v>80.38</v>
      </c>
      <c r="G38" s="23" vm="7210">
        <f ca="1"/>
        <v>80.25</v>
      </c>
      <c r="H38" s="23" vm="10136">
        <f ca="1"/>
        <v>81.2</v>
      </c>
      <c r="I38" s="23" vm="10137">
        <f ca="1"/>
        <v>80.14</v>
      </c>
      <c r="J38" s="23" vm="10138">
        <f ca="1"/>
        <v>80.72</v>
      </c>
      <c r="K38" s="23" vm="5981">
        <f ca="1"/>
        <v>81.83</v>
      </c>
      <c r="L38" s="23" vm="1881">
        <f ca="1"/>
        <v>80.819999999999993</v>
      </c>
      <c r="M38" s="23" vm="961">
        <f ca="1"/>
        <v>79.56</v>
      </c>
      <c r="N38" s="23" vm="10139">
        <f ca="1"/>
        <v>79.59</v>
      </c>
      <c r="O38" s="23" vm="5961">
        <f ca="1"/>
        <v>79.36</v>
      </c>
      <c r="P38" s="23" vm="10140">
        <f ca="1"/>
        <v>79.680000000000007</v>
      </c>
      <c r="Q38" s="23" vm="10141">
        <f ca="1"/>
        <v>79.98</v>
      </c>
      <c r="R38" s="23" vm="10142">
        <f ca="1"/>
        <v>79.41</v>
      </c>
      <c r="S38" s="23" vm="10143">
        <f ca="1"/>
        <v>79.27</v>
      </c>
      <c r="T38" s="23" vm="6129">
        <f ca="1"/>
        <v>79.05</v>
      </c>
      <c r="U38" s="23" vm="10144">
        <f ca="1"/>
        <v>78.28</v>
      </c>
      <c r="V38" s="23" vm="7202">
        <f ca="1"/>
        <v>77.61</v>
      </c>
      <c r="W38" s="23" vm="5920">
        <f ca="1"/>
        <v>78.37</v>
      </c>
      <c r="X38" s="23" vm="10145">
        <f ca="1"/>
        <v>78.260000000000005</v>
      </c>
      <c r="Y38" s="23" vm="6050">
        <f ca="1"/>
        <v>78.430000000000007</v>
      </c>
      <c r="Z38" s="23" vm="5942">
        <f ca="1"/>
        <v>79.84</v>
      </c>
      <c r="AA38" s="23" vm="10146">
        <f ca="1"/>
        <v>79.150000000000006</v>
      </c>
      <c r="AB38" s="23" vm="10137">
        <f ca="1"/>
        <v>80.14</v>
      </c>
      <c r="AC38" s="23" vm="10147">
        <f ca="1"/>
        <v>80.33</v>
      </c>
      <c r="AD38" vm="6003">
        <f ca="1"/>
        <v>80.53</v>
      </c>
      <c r="AE38" vm="10148">
        <f ca="1"/>
        <v>80.95</v>
      </c>
      <c r="AF38" vm="6134">
        <f ca="1"/>
        <v>80.52</v>
      </c>
      <c r="AG38" vm="5998">
        <f ca="1"/>
        <v>81.69</v>
      </c>
      <c r="AH38" vm="7210">
        <f ca="1"/>
        <v>80.25</v>
      </c>
      <c r="AI38" vm="7194">
        <f ca="1"/>
        <v>78.84</v>
      </c>
      <c r="AJ38" vm="5960">
        <f ca="1"/>
        <v>79.75</v>
      </c>
      <c r="AK38" vm="7211">
        <f ca="1"/>
        <v>80.27</v>
      </c>
      <c r="AL38" vm="10149">
        <f ca="1"/>
        <v>80.03</v>
      </c>
      <c r="AM38" vm="1876">
        <f ca="1"/>
        <v>78.27</v>
      </c>
      <c r="AN38" vm="10150">
        <f ca="1"/>
        <v>79.010000000000005</v>
      </c>
      <c r="AO38" vm="7217">
        <f ca="1"/>
        <v>78.87</v>
      </c>
      <c r="AP38" vm="10151">
        <f ca="1"/>
        <v>78.58</v>
      </c>
      <c r="AQ38" vm="10152">
        <f ca="1"/>
        <v>79.53</v>
      </c>
      <c r="AR38" vm="5961">
        <f ca="1"/>
        <v>79.36</v>
      </c>
      <c r="AS38" vm="5971">
        <f ca="1"/>
        <v>79.31</v>
      </c>
      <c r="AT38" vm="10153">
        <f ca="1"/>
        <v>78.739999999999995</v>
      </c>
      <c r="AU38" vm="10154">
        <f ca="1"/>
        <v>77.73</v>
      </c>
      <c r="AV38" vm="777">
        <f ca="1"/>
        <v>75.290000000000006</v>
      </c>
      <c r="AW38" vm="10155">
        <f ca="1"/>
        <v>75.53</v>
      </c>
      <c r="AX38" vm="1825">
        <f ca="1"/>
        <v>75.83</v>
      </c>
      <c r="AY38" vm="10156">
        <f ca="1"/>
        <v>74.930000000000007</v>
      </c>
      <c r="AZ38" vm="10157">
        <f ca="1"/>
        <v>73.430000000000007</v>
      </c>
      <c r="BA38" vm="10158">
        <f ca="1"/>
        <v>74.14</v>
      </c>
      <c r="BB38" vm="8917">
        <f ca="1"/>
        <v>71.98</v>
      </c>
      <c r="BC38" vm="9762">
        <f ca="1"/>
        <v>70.819999999999993</v>
      </c>
      <c r="BD38" vm="10159">
        <f ca="1"/>
        <v>71.400000000000006</v>
      </c>
      <c r="BE38" vm="9751">
        <f ca="1"/>
        <v>70.95</v>
      </c>
      <c r="BF38" vm="10160">
        <f ca="1"/>
        <v>71.739999999999995</v>
      </c>
      <c r="BG38" vm="2793">
        <f ca="1"/>
        <v>70.48</v>
      </c>
      <c r="BH38" vm="10161">
        <f ca="1"/>
        <v>69.02</v>
      </c>
      <c r="BI38" vm="1812">
        <f ca="1"/>
        <v>68.14</v>
      </c>
      <c r="BJ38" vm="8826">
        <f ca="1"/>
        <v>66.62</v>
      </c>
      <c r="BK38" vm="10162">
        <f ca="1"/>
        <v>67.53</v>
      </c>
      <c r="BL38" vm="9767">
        <f ca="1"/>
        <v>69.069999999999993</v>
      </c>
      <c r="BM38" vm="8754">
        <f ca="1"/>
        <v>68.11</v>
      </c>
      <c r="BN38" vm="10163">
        <f ca="1"/>
        <v>69.290000000000006</v>
      </c>
      <c r="BO38" vm="2240">
        <f ca="1"/>
        <v>68.81</v>
      </c>
      <c r="BP38" vm="2791">
        <f ca="1"/>
        <v>69.040000000000006</v>
      </c>
      <c r="BQ38" vm="8913">
        <f ca="1"/>
        <v>71.19</v>
      </c>
      <c r="BR38" vm="10164">
        <f ca="1"/>
        <v>70.55</v>
      </c>
      <c r="BS38" vm="10165">
        <f ca="1"/>
        <v>70.319999999999993</v>
      </c>
      <c r="BT38" vm="10166">
        <f ca="1"/>
        <v>70.17</v>
      </c>
      <c r="BU38" vm="10167">
        <f ca="1"/>
        <v>68.540000000000006</v>
      </c>
      <c r="BV38" vm="8761">
        <f ca="1"/>
        <v>69.09</v>
      </c>
      <c r="BW38" vm="10168">
        <f ca="1"/>
        <v>69.89</v>
      </c>
      <c r="BX38" vm="8768">
        <f ca="1"/>
        <v>71.430000000000007</v>
      </c>
      <c r="BY38" vm="10169">
        <f ca="1"/>
        <v>65.67</v>
      </c>
      <c r="BZ38" vm="10170">
        <f ca="1"/>
        <v>64.89</v>
      </c>
      <c r="CA38" vm="10171">
        <f ca="1"/>
        <v>64.53</v>
      </c>
      <c r="CB38" vm="10172">
        <f ca="1"/>
        <v>62.11</v>
      </c>
      <c r="CC38" vm="9740">
        <f ca="1"/>
        <v>67.94</v>
      </c>
      <c r="CD38" vm="8741">
        <f ca="1"/>
        <v>66.069999999999993</v>
      </c>
      <c r="CE38" vm="8731">
        <f ca="1"/>
        <v>66.31</v>
      </c>
      <c r="CF38" vm="2936">
        <f ca="1"/>
        <v>66.739999999999995</v>
      </c>
      <c r="CG38" vm="10173">
        <f ca="1"/>
        <v>65.69</v>
      </c>
      <c r="CH38" vm="2932">
        <f ca="1"/>
        <v>64.930000000000007</v>
      </c>
      <c r="CI38" vm="2473">
        <f ca="1"/>
        <v>66.5</v>
      </c>
      <c r="CJ38" vm="8849">
        <f ca="1"/>
        <v>65.62</v>
      </c>
      <c r="CK38" vm="2244">
        <f ca="1"/>
        <v>67.19</v>
      </c>
      <c r="CL38" vm="2482">
        <f ca="1"/>
        <v>67.349999999999994</v>
      </c>
      <c r="CM38" vm="2784">
        <f ca="1"/>
        <v>68.459999999999994</v>
      </c>
      <c r="CN38" vm="10174">
        <f ca="1"/>
        <v>68.48</v>
      </c>
      <c r="CO38" vm="10175">
        <f ca="1"/>
        <v>68.67</v>
      </c>
      <c r="CP38" vm="10176">
        <f ca="1"/>
        <v>69</v>
      </c>
      <c r="CQ38" vm="10177">
        <f ca="1"/>
        <v>68.7</v>
      </c>
      <c r="CR38" vm="10178">
        <f ca="1"/>
        <v>69.08</v>
      </c>
      <c r="CS38" vm="10179">
        <f ca="1"/>
        <v>70.58</v>
      </c>
      <c r="CT38" vm="10180">
        <f ca="1"/>
        <v>70.23</v>
      </c>
      <c r="CU38" vm="10181">
        <f ca="1"/>
        <v>69.62</v>
      </c>
      <c r="CV38" vm="10182">
        <f ca="1"/>
        <v>70.12</v>
      </c>
      <c r="CW38" vm="10183">
        <f ca="1"/>
        <v>71.209999999999994</v>
      </c>
      <c r="CX38" vm="10184">
        <f ca="1"/>
        <v>70.38</v>
      </c>
      <c r="CY38" vm="10185">
        <f ca="1"/>
        <v>74.55</v>
      </c>
      <c r="CZ38" vm="10186">
        <f ca="1"/>
        <v>74.510000000000005</v>
      </c>
      <c r="DA38" vm="10187">
        <f ca="1"/>
        <v>74.33</v>
      </c>
      <c r="DB38" vm="8943">
        <f ca="1"/>
        <v>75.48</v>
      </c>
      <c r="DC38" vm="5926">
        <f ca="1"/>
        <v>76.47</v>
      </c>
      <c r="DD38" vm="7185">
        <f ca="1"/>
        <v>76.27</v>
      </c>
      <c r="DE38" vm="10188">
        <f ca="1"/>
        <v>76.55</v>
      </c>
      <c r="DF38" vm="3160">
        <f ca="1"/>
        <v>74.2</v>
      </c>
      <c r="DG38" vm="10155">
        <f ca="1"/>
        <v>75.53</v>
      </c>
      <c r="DH38" vm="10189">
        <f ca="1"/>
        <v>74.680000000000007</v>
      </c>
      <c r="DI38" vm="10190">
        <f ca="1"/>
        <v>76.42</v>
      </c>
      <c r="DJ38" vm="10191">
        <f ca="1"/>
        <v>76.37</v>
      </c>
      <c r="DK38" vm="6056">
        <f ca="1"/>
        <v>75.94</v>
      </c>
      <c r="DL38" vm="7234">
        <f ca="1"/>
        <v>75.930000000000007</v>
      </c>
      <c r="DM38" vm="10192">
        <f ca="1"/>
        <v>76.19</v>
      </c>
      <c r="DN38" vm="10193">
        <f ca="1"/>
        <v>77.540000000000006</v>
      </c>
      <c r="DO38" vm="427">
        <f ca="1"/>
        <v>77</v>
      </c>
      <c r="DP38" vm="5969">
        <f ca="1"/>
        <v>77.55</v>
      </c>
      <c r="DQ38" vm="958">
        <f ca="1"/>
        <v>78.33</v>
      </c>
      <c r="DR38" vm="10194">
        <f ca="1"/>
        <v>78.790000000000006</v>
      </c>
      <c r="DS38" vm="5937">
        <f ca="1"/>
        <v>78.98</v>
      </c>
      <c r="DT38" vm="10195">
        <f ca="1"/>
        <v>77.95</v>
      </c>
      <c r="DU38" vm="7216">
        <f ca="1"/>
        <v>77.17</v>
      </c>
      <c r="DV38" vm="10196">
        <f ca="1"/>
        <v>75.349999999999994</v>
      </c>
      <c r="DW38" vm="425">
        <f ca="1"/>
        <v>77.06</v>
      </c>
      <c r="DX38" vm="8942">
        <f ca="1"/>
        <v>76.239999999999995</v>
      </c>
      <c r="DY38" vm="7182">
        <f ca="1"/>
        <v>76.3</v>
      </c>
      <c r="DZ38" vm="10197">
        <f ca="1"/>
        <v>77.010000000000005</v>
      </c>
      <c r="EA38" vm="7216">
        <f ca="1"/>
        <v>77.17</v>
      </c>
      <c r="EB38" vm="5931">
        <f ca="1"/>
        <v>77.22</v>
      </c>
      <c r="EC38" vm="5926">
        <f ca="1"/>
        <v>76.47</v>
      </c>
      <c r="ED38" vm="6772">
        <f ca="1"/>
        <v>76.63</v>
      </c>
      <c r="EE38" vm="10198">
        <f ca="1"/>
        <v>77.349999999999994</v>
      </c>
      <c r="EF38" vm="425">
        <f ca="1"/>
        <v>77.06</v>
      </c>
      <c r="EG38" vm="6033">
        <f ca="1"/>
        <v>79.38</v>
      </c>
      <c r="EH38" vm="6008">
        <f ca="1"/>
        <v>80.17</v>
      </c>
      <c r="EI38" vm="10199">
        <f ca="1"/>
        <v>80.63</v>
      </c>
      <c r="EJ38" vm="960">
        <f ca="1"/>
        <v>79.94</v>
      </c>
      <c r="EK38" vm="7212">
        <f ca="1"/>
        <v>79.8</v>
      </c>
      <c r="EL38" vm="10200">
        <f ca="1"/>
        <v>80.19</v>
      </c>
      <c r="EM38" vm="10201">
        <f ca="1"/>
        <v>80.94</v>
      </c>
      <c r="EN38" vm="6025">
        <f ca="1"/>
        <v>80.260000000000005</v>
      </c>
      <c r="EO38" vm="6133">
        <f ca="1"/>
        <v>80.8</v>
      </c>
      <c r="EP38" vm="10202">
        <f ca="1"/>
        <v>79.06</v>
      </c>
      <c r="EQ38" vm="6047">
        <f ca="1"/>
        <v>79.09</v>
      </c>
      <c r="ER38" vm="10203">
        <f ca="1"/>
        <v>79.48</v>
      </c>
      <c r="ES38" vm="10204">
        <f ca="1"/>
        <v>79.67</v>
      </c>
      <c r="ET38" vm="10205">
        <f ca="1"/>
        <v>80.39</v>
      </c>
      <c r="EU38" vm="10206">
        <f ca="1"/>
        <v>82.67</v>
      </c>
      <c r="EV38" vm="10207">
        <f ca="1"/>
        <v>82.9</v>
      </c>
      <c r="EW38" vm="6145">
        <f ca="1"/>
        <v>81.53</v>
      </c>
      <c r="EX38" vm="5976">
        <f ca="1"/>
        <v>81.77</v>
      </c>
      <c r="EY38" vm="1922">
        <f ca="1"/>
        <v>81.61</v>
      </c>
      <c r="EZ38" vm="5914">
        <f ca="1"/>
        <v>80.23</v>
      </c>
      <c r="FA38" vm="7206">
        <f ca="1"/>
        <v>79.39</v>
      </c>
      <c r="FB38" vm="435">
        <f ca="1"/>
        <v>78.459999999999994</v>
      </c>
      <c r="FC38" vm="10208">
        <f ca="1"/>
        <v>77.849999999999994</v>
      </c>
      <c r="FD38" vm="2655">
        <f ca="1"/>
        <v>79.489999999999995</v>
      </c>
      <c r="FE38" vm="10209">
        <f ca="1"/>
        <v>79.58</v>
      </c>
      <c r="FF38" vm="1924">
        <f ca="1"/>
        <v>81.39</v>
      </c>
      <c r="FG38" vm="6002">
        <f ca="1"/>
        <v>81.22</v>
      </c>
      <c r="FH38" vm="6024">
        <f ca="1"/>
        <v>80.77</v>
      </c>
      <c r="FI38" vm="1925">
        <f ca="1"/>
        <v>81.03</v>
      </c>
      <c r="FJ38" vm="1920">
        <f ca="1"/>
        <v>83.23</v>
      </c>
      <c r="FK38" vm="8294">
        <f ca="1"/>
        <v>85.03</v>
      </c>
      <c r="FL38" vm="6742">
        <f ca="1"/>
        <v>83.75</v>
      </c>
      <c r="FM38" vm="6149">
        <f ca="1"/>
        <v>83.57</v>
      </c>
      <c r="FN38" vm="7269">
        <f ca="1"/>
        <v>84.32</v>
      </c>
      <c r="FO38" vm="6180">
        <f ca="1"/>
        <v>84.25</v>
      </c>
      <c r="FP38" vm="10210">
        <f ca="1"/>
        <v>83.78</v>
      </c>
      <c r="FQ38" vm="2666">
        <f ca="1"/>
        <v>83.19</v>
      </c>
      <c r="FR38" vm="6210">
        <f ca="1"/>
        <v>85.28</v>
      </c>
      <c r="FS38" vm="10211">
        <f ca="1"/>
        <v>84.6</v>
      </c>
      <c r="FT38" vm="6071">
        <f ca="1"/>
        <v>84.56</v>
      </c>
      <c r="FU38" vm="6786">
        <f ca="1"/>
        <v>86.09</v>
      </c>
      <c r="FV38" vm="10212">
        <f ca="1"/>
        <v>85.31</v>
      </c>
      <c r="FW38" vm="10213">
        <f ca="1"/>
        <v>84.19</v>
      </c>
      <c r="FX38" vm="6785">
        <f ca="1"/>
        <v>84.34</v>
      </c>
      <c r="FY38" vm="10214">
        <f ca="1"/>
        <v>84.77</v>
      </c>
      <c r="FZ38" vm="6105">
        <f ca="1"/>
        <v>86.97</v>
      </c>
      <c r="GA38" vm="5580">
        <f ca="1"/>
        <v>87.35</v>
      </c>
      <c r="GB38" vm="1895">
        <f ca="1"/>
        <v>87.44</v>
      </c>
      <c r="GC38" vm="10215">
        <f ca="1"/>
        <v>86.71</v>
      </c>
      <c r="GD38" vm="10216">
        <f ca="1"/>
        <v>86.44</v>
      </c>
      <c r="GE38" vm="1492">
        <f ca="1"/>
        <v>88.16</v>
      </c>
      <c r="GF38" vm="1705">
        <f ca="1"/>
        <v>86.34</v>
      </c>
      <c r="GG38" vm="10217">
        <f ca="1"/>
        <v>87.56</v>
      </c>
      <c r="GH38" vm="1487">
        <f ca="1"/>
        <v>87.48</v>
      </c>
      <c r="GI38" vm="6798">
        <f ca="1"/>
        <v>87.66</v>
      </c>
      <c r="GJ38" vm="6190">
        <f ca="1"/>
        <v>88.49</v>
      </c>
      <c r="GK38" vm="978">
        <f ca="1"/>
        <v>87.29</v>
      </c>
      <c r="GL38" vm="6767">
        <f ca="1"/>
        <v>86.68</v>
      </c>
      <c r="GM38" vm="6797">
        <f ca="1"/>
        <v>86.94</v>
      </c>
      <c r="GN38" vm="10218">
        <f ca="1"/>
        <v>87.15</v>
      </c>
      <c r="GO38" vm="1934">
        <f ca="1"/>
        <v>85.67</v>
      </c>
      <c r="GP38" vm="10219">
        <f ca="1"/>
        <v>86.56</v>
      </c>
      <c r="GQ38" vm="6169">
        <f ca="1"/>
        <v>86.81</v>
      </c>
      <c r="GR38" vm="7261">
        <f ca="1"/>
        <v>86.18</v>
      </c>
      <c r="GS38" vm="1705">
        <f ca="1"/>
        <v>86.34</v>
      </c>
      <c r="GT38" vm="10220">
        <f ca="1"/>
        <v>86.78</v>
      </c>
      <c r="GU38" vm="10221">
        <f ca="1"/>
        <v>86.99</v>
      </c>
      <c r="GV38" vm="10222">
        <f ca="1"/>
        <v>85.35</v>
      </c>
      <c r="GW38" vm="10223">
        <f ca="1"/>
        <v>84.12</v>
      </c>
      <c r="GX38" vm="10224">
        <f ca="1"/>
        <v>84.51</v>
      </c>
      <c r="GY38" vm="10225">
        <f ca="1"/>
        <v>83.54</v>
      </c>
      <c r="GZ38" vm="1961">
        <f ca="1"/>
        <v>80.930000000000007</v>
      </c>
      <c r="HA38" vm="10226">
        <f ca="1"/>
        <v>83.63</v>
      </c>
      <c r="HB38" vm="7275">
        <f ca="1"/>
        <v>84.95</v>
      </c>
      <c r="HC38" vm="10227">
        <f ca="1"/>
        <v>85.19</v>
      </c>
      <c r="HD38" vm="10228">
        <f ca="1"/>
        <v>83.96</v>
      </c>
      <c r="HE38" vm="7254">
        <f ca="1"/>
        <v>84.02</v>
      </c>
      <c r="HF38" vm="10229">
        <f ca="1"/>
        <v>84.82</v>
      </c>
      <c r="HG38" vm="6161">
        <f ca="1"/>
        <v>85.3</v>
      </c>
      <c r="HH38" vm="6179">
        <f ca="1"/>
        <v>84.93</v>
      </c>
      <c r="HI38" vm="10230">
        <f ca="1"/>
        <v>85.12</v>
      </c>
      <c r="HJ38" vm="1973">
        <f ca="1"/>
        <v>84.79</v>
      </c>
      <c r="HK38" vm="6854">
        <f ca="1"/>
        <v>85.52</v>
      </c>
      <c r="HL38" vm="10231">
        <f ca="1"/>
        <v>85.43</v>
      </c>
      <c r="HM38" vm="1965">
        <f ca="1"/>
        <v>83.51</v>
      </c>
      <c r="HN38" vm="10232">
        <f ca="1"/>
        <v>81.180000000000007</v>
      </c>
      <c r="HO38" vm="1925">
        <f ca="1"/>
        <v>81.03</v>
      </c>
      <c r="HP38" vm="1923">
        <f ca="1"/>
        <v>81.06</v>
      </c>
      <c r="HQ38" vm="1877">
        <f ca="1"/>
        <v>79.87</v>
      </c>
      <c r="HR38" vm="10136">
        <f ca="1"/>
        <v>81.2</v>
      </c>
      <c r="HS38" vm="10233">
        <f ca="1"/>
        <v>78.81</v>
      </c>
      <c r="HT38" vm="5964">
        <f ca="1"/>
        <v>79.900000000000006</v>
      </c>
      <c r="HU38" vm="6007">
        <f ca="1"/>
        <v>80.239999999999995</v>
      </c>
      <c r="HV38" vm="10234">
        <f ca="1"/>
        <v>81</v>
      </c>
      <c r="HW38" vm="5983">
        <f ca="1"/>
        <v>81.489999999999995</v>
      </c>
      <c r="HX38" vm="6132">
        <f ca="1"/>
        <v>80.5</v>
      </c>
      <c r="HY38" vm="10149">
        <f ca="1"/>
        <v>80.03</v>
      </c>
      <c r="HZ38" vm="10235">
        <f ca="1"/>
        <v>78.7</v>
      </c>
      <c r="IA38" vm="5963">
        <f ca="1"/>
        <v>78.680000000000007</v>
      </c>
      <c r="IB38" vm="958">
        <f ca="1"/>
        <v>78.33</v>
      </c>
      <c r="IC38" vm="959">
        <f ca="1"/>
        <v>77.28</v>
      </c>
      <c r="ID38" vm="960">
        <f ca="1"/>
        <v>79.94</v>
      </c>
      <c r="IE38" vm="961">
        <f ca="1"/>
        <v>79.56</v>
      </c>
      <c r="IF38" vm="962">
        <f ca="1"/>
        <v>83.18</v>
      </c>
      <c r="IG38" vm="963">
        <f ca="1"/>
        <v>84.42</v>
      </c>
      <c r="IH38" vm="964">
        <f ca="1"/>
        <v>84.35</v>
      </c>
      <c r="II38" vm="965">
        <f ca="1"/>
        <v>84.64</v>
      </c>
      <c r="IJ38" vm="966">
        <f ca="1"/>
        <v>84.27</v>
      </c>
      <c r="IK38" vm="967">
        <f ca="1"/>
        <v>85.47</v>
      </c>
      <c r="IL38" vm="968">
        <f ca="1"/>
        <v>85.17</v>
      </c>
      <c r="IM38" vm="969">
        <f ca="1"/>
        <v>86.23</v>
      </c>
      <c r="IN38" vm="970">
        <f ca="1"/>
        <v>85.84</v>
      </c>
      <c r="IO38" vm="971">
        <f ca="1"/>
        <v>86.73</v>
      </c>
      <c r="IP38" vm="972">
        <f ca="1"/>
        <v>87.93</v>
      </c>
      <c r="IQ38" vm="973">
        <f ca="1"/>
        <v>88.76</v>
      </c>
      <c r="IR38" vm="974">
        <f ca="1"/>
        <v>87.89</v>
      </c>
      <c r="IS38" vm="975">
        <f ca="1"/>
        <v>87.71</v>
      </c>
      <c r="IT38" vm="976">
        <f ca="1"/>
        <v>87.32</v>
      </c>
      <c r="IU38" vm="977">
        <f ca="1"/>
        <v>87.24</v>
      </c>
      <c r="IV38" vm="978">
        <f ca="1"/>
        <v>87.29</v>
      </c>
      <c r="IW38" vm="55">
        <f ca="1"/>
        <v>87.51</v>
      </c>
    </row>
    <row r="39" spans="1:257" ht="16" x14ac:dyDescent="0.2">
      <c r="A39" s="14" t="e" vm="979">
        <v>#VALUE!</v>
      </c>
      <c r="B39" s="23" t="str" cm="1">
        <f t="array" aca="1" ref="B39" ca="1">_FV(A39,"ticker symbol",TRUE)</f>
        <v>IBUY</v>
      </c>
      <c r="C39" s="23" t="str" cm="1">
        <f t="array" aca="1" ref="C39" ca="1">_FV(A39,"Name")</f>
        <v>Amplify Online Retail</v>
      </c>
      <c r="D39" cm="1" vm="10236">
        <f t="array" aca="1" ref="D39:IW39" ca="1">TRANSPOSE(_xlfn.STOCKHISTORY(B39, WORKDAY(TODAY(), -265), TODAY(), 0, 0, 1))</f>
        <v>69.22</v>
      </c>
      <c r="E39" s="23" vm="10237">
        <f ca="1"/>
        <v>68.38</v>
      </c>
      <c r="F39" s="23" vm="10238">
        <f ca="1"/>
        <v>65.1541</v>
      </c>
      <c r="G39" s="23" vm="10239">
        <f ca="1"/>
        <v>64.807400000000001</v>
      </c>
      <c r="H39" s="23" vm="10240">
        <f ca="1"/>
        <v>65.398700000000005</v>
      </c>
      <c r="I39" s="23" vm="10241">
        <f ca="1"/>
        <v>65.9559</v>
      </c>
      <c r="J39" s="23" vm="10242">
        <f ca="1"/>
        <v>66.379199999999997</v>
      </c>
      <c r="K39" s="23" vm="10243">
        <f ca="1"/>
        <v>66.583100000000002</v>
      </c>
      <c r="L39" s="23" vm="10244">
        <f ca="1"/>
        <v>65.620500000000007</v>
      </c>
      <c r="M39" s="23" vm="1167">
        <f ca="1"/>
        <v>65.16</v>
      </c>
      <c r="N39" s="23" vm="1608">
        <f ca="1"/>
        <v>64.650000000000006</v>
      </c>
      <c r="O39" s="23" vm="10245">
        <f ca="1"/>
        <v>64.969399999999993</v>
      </c>
      <c r="P39" s="23" vm="10246">
        <f ca="1"/>
        <v>65.929400000000001</v>
      </c>
      <c r="Q39" s="23" vm="10247">
        <f ca="1"/>
        <v>66.48</v>
      </c>
      <c r="R39" s="23" vm="10248">
        <f ca="1"/>
        <v>65.795299999999997</v>
      </c>
      <c r="S39" s="23" vm="10249">
        <f ca="1"/>
        <v>65.428299999999993</v>
      </c>
      <c r="T39" s="23" vm="8660">
        <f ca="1"/>
        <v>63.95</v>
      </c>
      <c r="U39" s="23" vm="10250">
        <f ca="1"/>
        <v>63.652900000000002</v>
      </c>
      <c r="V39" s="23" vm="10251">
        <f ca="1"/>
        <v>63.984200000000001</v>
      </c>
      <c r="W39" s="23" vm="10252">
        <f ca="1"/>
        <v>65.61</v>
      </c>
      <c r="X39" s="23" vm="1156">
        <f ca="1"/>
        <v>65.97</v>
      </c>
      <c r="Y39" s="23" vm="10253">
        <f ca="1"/>
        <v>66.426100000000005</v>
      </c>
      <c r="Z39" s="23" vm="10254">
        <f ca="1"/>
        <v>66.903800000000004</v>
      </c>
      <c r="AA39" s="23" vm="10255">
        <f ca="1"/>
        <v>66.641999999999996</v>
      </c>
      <c r="AB39" s="23" vm="10256">
        <f ca="1"/>
        <v>67.38</v>
      </c>
      <c r="AC39" s="23" vm="10257">
        <f ca="1"/>
        <v>67.569999999999993</v>
      </c>
      <c r="AD39" vm="10258">
        <f ca="1"/>
        <v>67.62</v>
      </c>
      <c r="AE39" vm="2789">
        <f ca="1"/>
        <v>68.64</v>
      </c>
      <c r="AF39" vm="10259">
        <f ca="1"/>
        <v>68.37</v>
      </c>
      <c r="AG39" vm="10176">
        <f ca="1"/>
        <v>69</v>
      </c>
      <c r="AH39" vm="10260">
        <f ca="1"/>
        <v>68.55</v>
      </c>
      <c r="AI39" vm="10261">
        <f ca="1"/>
        <v>67.78</v>
      </c>
      <c r="AJ39" vm="10262">
        <f ca="1"/>
        <v>68.599999999999994</v>
      </c>
      <c r="AK39" vm="895">
        <f ca="1"/>
        <v>68.75</v>
      </c>
      <c r="AL39" vm="10263">
        <f ca="1"/>
        <v>69.260000000000005</v>
      </c>
      <c r="AM39" vm="10264">
        <f ca="1"/>
        <v>69.66</v>
      </c>
      <c r="AN39" vm="2792">
        <f ca="1"/>
        <v>70.69</v>
      </c>
      <c r="AO39" vm="9742">
        <f ca="1"/>
        <v>70.28</v>
      </c>
      <c r="AP39" vm="10265">
        <f ca="1"/>
        <v>70.733400000000003</v>
      </c>
      <c r="AQ39" vm="10266">
        <f ca="1"/>
        <v>73.08</v>
      </c>
      <c r="AR39" vm="8922">
        <f ca="1"/>
        <v>73.92</v>
      </c>
      <c r="AS39" vm="8904">
        <f ca="1"/>
        <v>74.099999999999994</v>
      </c>
      <c r="AT39" vm="986">
        <f ca="1"/>
        <v>73.7</v>
      </c>
      <c r="AU39" vm="10267">
        <f ca="1"/>
        <v>72.27</v>
      </c>
      <c r="AV39" vm="10268">
        <f ca="1"/>
        <v>69.099999999999994</v>
      </c>
      <c r="AW39" vm="10269">
        <f ca="1"/>
        <v>68.843800000000002</v>
      </c>
      <c r="AX39" vm="10270">
        <f ca="1"/>
        <v>67.709999999999994</v>
      </c>
      <c r="AY39" vm="10271">
        <f ca="1"/>
        <v>67.84</v>
      </c>
      <c r="AZ39" vm="10272">
        <f ca="1"/>
        <v>66.34</v>
      </c>
      <c r="BA39" vm="10273">
        <f ca="1"/>
        <v>66.86</v>
      </c>
      <c r="BB39" vm="10274">
        <f ca="1"/>
        <v>64.959999999999994</v>
      </c>
      <c r="BC39" vm="10275">
        <f ca="1"/>
        <v>64.02</v>
      </c>
      <c r="BD39" vm="1161">
        <f ca="1"/>
        <v>65.290000000000006</v>
      </c>
      <c r="BE39" vm="10276">
        <f ca="1"/>
        <v>62.9</v>
      </c>
      <c r="BF39" vm="10277">
        <f ca="1"/>
        <v>63.4</v>
      </c>
      <c r="BG39" vm="10278">
        <f ca="1"/>
        <v>61.177900000000001</v>
      </c>
      <c r="BH39" vm="10279">
        <f ca="1"/>
        <v>60.8</v>
      </c>
      <c r="BI39" vm="10280">
        <f ca="1"/>
        <v>60.78</v>
      </c>
      <c r="BJ39" vm="1643">
        <f ca="1"/>
        <v>58.99</v>
      </c>
      <c r="BK39" vm="10281">
        <f ca="1"/>
        <v>60.51</v>
      </c>
      <c r="BL39" vm="10282">
        <f ca="1"/>
        <v>61.634799999999998</v>
      </c>
      <c r="BM39" vm="1655">
        <f ca="1"/>
        <v>60.16</v>
      </c>
      <c r="BN39" vm="10283">
        <f ca="1"/>
        <v>61.440399999999997</v>
      </c>
      <c r="BO39" vm="10284">
        <f ca="1"/>
        <v>61.143300000000004</v>
      </c>
      <c r="BP39" vm="10285">
        <f ca="1"/>
        <v>61.55</v>
      </c>
      <c r="BQ39" vm="10286">
        <f ca="1"/>
        <v>63.527799999999999</v>
      </c>
      <c r="BR39" vm="10287">
        <f ca="1"/>
        <v>63.5428</v>
      </c>
      <c r="BS39" vm="1479">
        <f ca="1"/>
        <v>62.19</v>
      </c>
      <c r="BT39" vm="10288">
        <f ca="1"/>
        <v>62.075000000000003</v>
      </c>
      <c r="BU39" vm="10289">
        <f ca="1"/>
        <v>60.255099999999999</v>
      </c>
      <c r="BV39" vm="10290">
        <f ca="1"/>
        <v>60.146599999999999</v>
      </c>
      <c r="BW39" vm="10291">
        <f ca="1"/>
        <v>60.64</v>
      </c>
      <c r="BX39" vm="1603">
        <f ca="1"/>
        <v>61.66</v>
      </c>
      <c r="BY39" vm="1212">
        <f ca="1"/>
        <v>57.17</v>
      </c>
      <c r="BZ39" vm="10292">
        <f ca="1"/>
        <v>54.22</v>
      </c>
      <c r="CA39" vm="1528">
        <f ca="1"/>
        <v>53.78</v>
      </c>
      <c r="CB39" vm="2194">
        <f ca="1"/>
        <v>52.71</v>
      </c>
      <c r="CC39" vm="10293">
        <f ca="1"/>
        <v>58.563400000000001</v>
      </c>
      <c r="CD39" vm="9674">
        <f ca="1"/>
        <v>55.97</v>
      </c>
      <c r="CE39" vm="10294">
        <f ca="1"/>
        <v>57.207700000000003</v>
      </c>
      <c r="CF39" vm="10295">
        <f ca="1"/>
        <v>57.505299999999998</v>
      </c>
      <c r="CG39" vm="10296">
        <f ca="1"/>
        <v>57.864400000000003</v>
      </c>
      <c r="CH39" vm="10297">
        <f ca="1"/>
        <v>56.81</v>
      </c>
      <c r="CI39" vm="10298">
        <f ca="1"/>
        <v>57.499099999999999</v>
      </c>
      <c r="CJ39" vm="10299">
        <f ca="1"/>
        <v>56.301400000000001</v>
      </c>
      <c r="CK39" vm="10300">
        <f ca="1"/>
        <v>57.929000000000002</v>
      </c>
      <c r="CL39" vm="10301">
        <f ca="1"/>
        <v>58.82</v>
      </c>
      <c r="CM39" vm="10302">
        <f ca="1"/>
        <v>60.295499999999997</v>
      </c>
      <c r="CN39" vm="10303">
        <f ca="1"/>
        <v>60.663699999999999</v>
      </c>
      <c r="CO39" vm="10304">
        <f ca="1"/>
        <v>60.649099999999997</v>
      </c>
      <c r="CP39" vm="10305">
        <f ca="1"/>
        <v>61.489400000000003</v>
      </c>
      <c r="CQ39" vm="8664">
        <f ca="1"/>
        <v>61.07</v>
      </c>
      <c r="CR39" vm="10306">
        <f ca="1"/>
        <v>61.481699999999996</v>
      </c>
      <c r="CS39" vm="10307">
        <f ca="1"/>
        <v>63.268500000000003</v>
      </c>
      <c r="CT39" vm="10308">
        <f ca="1"/>
        <v>63.335000000000001</v>
      </c>
      <c r="CU39" vm="10309">
        <f ca="1"/>
        <v>63.864899999999999</v>
      </c>
      <c r="CV39" vm="10310">
        <f ca="1"/>
        <v>64.155100000000004</v>
      </c>
      <c r="CW39" vm="10311">
        <f ca="1"/>
        <v>65.02</v>
      </c>
      <c r="CX39" vm="63">
        <f ca="1"/>
        <v>64.62</v>
      </c>
      <c r="CY39" vm="9735">
        <f ca="1"/>
        <v>66.87</v>
      </c>
      <c r="CZ39" vm="10312">
        <f ca="1"/>
        <v>68.171400000000006</v>
      </c>
      <c r="DA39" vm="29">
        <f ca="1"/>
        <v>68.03</v>
      </c>
      <c r="DB39" vm="10313">
        <f ca="1"/>
        <v>67.17</v>
      </c>
      <c r="DC39" vm="10314">
        <f ca="1"/>
        <v>68.06</v>
      </c>
      <c r="DD39" vm="10315">
        <f ca="1"/>
        <v>67.95</v>
      </c>
      <c r="DE39" vm="9737">
        <f ca="1"/>
        <v>67.72</v>
      </c>
      <c r="DF39" vm="10316">
        <f ca="1"/>
        <v>66.156099999999995</v>
      </c>
      <c r="DG39" vm="10317">
        <f ca="1"/>
        <v>66.56</v>
      </c>
      <c r="DH39" vm="10318">
        <f ca="1"/>
        <v>66.077699999999993</v>
      </c>
      <c r="DI39" vm="10319">
        <f ca="1"/>
        <v>67.489999999999995</v>
      </c>
      <c r="DJ39" vm="2479">
        <f ca="1"/>
        <v>67.040000000000006</v>
      </c>
      <c r="DK39" vm="10320">
        <f ca="1"/>
        <v>66.944100000000006</v>
      </c>
      <c r="DL39" vm="10321">
        <f ca="1"/>
        <v>67.186999999999998</v>
      </c>
      <c r="DM39" vm="8834">
        <f ca="1"/>
        <v>67.69</v>
      </c>
      <c r="DN39" vm="8754">
        <f ca="1"/>
        <v>68.11</v>
      </c>
      <c r="DO39" vm="10322">
        <f ca="1"/>
        <v>68.739999999999995</v>
      </c>
      <c r="DP39" vm="10323">
        <f ca="1"/>
        <v>68.8</v>
      </c>
      <c r="DQ39" vm="10324">
        <f ca="1"/>
        <v>69.373400000000004</v>
      </c>
      <c r="DR39" vm="10325">
        <f ca="1"/>
        <v>69.871499999999997</v>
      </c>
      <c r="DS39" vm="10326">
        <f ca="1"/>
        <v>69.599999999999994</v>
      </c>
      <c r="DT39" vm="10263">
        <f ca="1"/>
        <v>69.260000000000005</v>
      </c>
      <c r="DU39" vm="10327">
        <f ca="1"/>
        <v>68.31</v>
      </c>
      <c r="DV39" vm="10328">
        <f ca="1"/>
        <v>66.373000000000005</v>
      </c>
      <c r="DW39" vm="10329">
        <f ca="1"/>
        <v>67.540000000000006</v>
      </c>
      <c r="DX39" vm="10330">
        <f ca="1"/>
        <v>66.61</v>
      </c>
      <c r="DY39" vm="10331">
        <f ca="1"/>
        <v>66.804100000000005</v>
      </c>
      <c r="DZ39" vm="10332">
        <f ca="1"/>
        <v>66.729900000000001</v>
      </c>
      <c r="EA39" vm="10333">
        <f ca="1"/>
        <v>66.28</v>
      </c>
      <c r="EB39" vm="10334">
        <f ca="1"/>
        <v>67.92</v>
      </c>
      <c r="EC39" vm="10335">
        <f ca="1"/>
        <v>66.918000000000006</v>
      </c>
      <c r="ED39" vm="10336">
        <f ca="1"/>
        <v>67.793099999999995</v>
      </c>
      <c r="EE39" vm="10337">
        <f ca="1"/>
        <v>68.36</v>
      </c>
      <c r="EF39" vm="10338">
        <f ca="1"/>
        <v>69.03</v>
      </c>
      <c r="EG39" vm="10339">
        <f ca="1"/>
        <v>69.598600000000005</v>
      </c>
      <c r="EH39" vm="10168">
        <f ca="1"/>
        <v>69.89</v>
      </c>
      <c r="EI39" vm="10340">
        <f ca="1"/>
        <v>70.61</v>
      </c>
      <c r="EJ39" vm="2228">
        <f ca="1"/>
        <v>70.42</v>
      </c>
      <c r="EK39" vm="9742">
        <f ca="1"/>
        <v>70.28</v>
      </c>
      <c r="EL39" vm="10340">
        <f ca="1"/>
        <v>70.61</v>
      </c>
      <c r="EM39" vm="2232">
        <f ca="1"/>
        <v>71.06</v>
      </c>
      <c r="EN39" vm="10341">
        <f ca="1"/>
        <v>69.849999999999994</v>
      </c>
      <c r="EO39" vm="9755">
        <f ca="1"/>
        <v>70</v>
      </c>
      <c r="EP39" vm="10342">
        <f ca="1"/>
        <v>69.349999999999994</v>
      </c>
      <c r="EQ39" vm="10343">
        <f ca="1"/>
        <v>69.266300000000001</v>
      </c>
      <c r="ER39" vm="10344">
        <f ca="1"/>
        <v>69.899600000000007</v>
      </c>
      <c r="ES39" vm="10345">
        <f ca="1"/>
        <v>69.896900000000002</v>
      </c>
      <c r="ET39" vm="10346">
        <f ca="1"/>
        <v>69.939800000000005</v>
      </c>
      <c r="EU39" vm="10347">
        <f ca="1"/>
        <v>71.817400000000006</v>
      </c>
      <c r="EV39" vm="10348">
        <f ca="1"/>
        <v>72.704599999999999</v>
      </c>
      <c r="EW39" vm="10349">
        <f ca="1"/>
        <v>72.009600000000006</v>
      </c>
      <c r="EX39" vm="10350">
        <f ca="1"/>
        <v>72.195300000000003</v>
      </c>
      <c r="EY39" vm="10351">
        <f ca="1"/>
        <v>72.099999999999994</v>
      </c>
      <c r="EZ39" vm="10352">
        <f ca="1"/>
        <v>70.836600000000004</v>
      </c>
      <c r="FA39" vm="10353">
        <f ca="1"/>
        <v>70.560400000000001</v>
      </c>
      <c r="FB39" vm="10354">
        <f ca="1"/>
        <v>70.765500000000003</v>
      </c>
      <c r="FC39" vm="10355">
        <f ca="1"/>
        <v>69.245500000000007</v>
      </c>
      <c r="FD39" vm="10356">
        <f ca="1"/>
        <v>71.308800000000005</v>
      </c>
      <c r="FE39" vm="10357">
        <f ca="1"/>
        <v>70.905900000000003</v>
      </c>
      <c r="FF39" vm="10358">
        <f ca="1"/>
        <v>71.678600000000003</v>
      </c>
      <c r="FG39" vm="10359">
        <f ca="1"/>
        <v>71.665000000000006</v>
      </c>
      <c r="FH39" vm="10360">
        <f ca="1"/>
        <v>71.510000000000005</v>
      </c>
      <c r="FI39" vm="10361">
        <f ca="1"/>
        <v>70.940399999999997</v>
      </c>
      <c r="FJ39" vm="10362">
        <f ca="1"/>
        <v>72.485699999999994</v>
      </c>
      <c r="FK39" vm="10363">
        <f ca="1"/>
        <v>74</v>
      </c>
      <c r="FL39" vm="10364">
        <f ca="1"/>
        <v>73.427800000000005</v>
      </c>
      <c r="FM39" vm="10365">
        <f ca="1"/>
        <v>73.540000000000006</v>
      </c>
      <c r="FN39" vm="10366">
        <f ca="1"/>
        <v>73.978099999999998</v>
      </c>
      <c r="FO39" vm="10367">
        <f ca="1"/>
        <v>73.269400000000005</v>
      </c>
      <c r="FP39" vm="10368">
        <f ca="1"/>
        <v>72.913600000000002</v>
      </c>
      <c r="FQ39" vm="10369">
        <f ca="1"/>
        <v>72.560199999999995</v>
      </c>
      <c r="FR39" vm="10370">
        <f ca="1"/>
        <v>74.473799999999997</v>
      </c>
      <c r="FS39" vm="10371">
        <f ca="1"/>
        <v>73.6327</v>
      </c>
      <c r="FT39" vm="10372">
        <f ca="1"/>
        <v>73.496600000000001</v>
      </c>
      <c r="FU39" vm="10373">
        <f ca="1"/>
        <v>73.342699999999994</v>
      </c>
      <c r="FV39" vm="10374">
        <f ca="1"/>
        <v>73.400199999999998</v>
      </c>
      <c r="FW39" vm="10375">
        <f ca="1"/>
        <v>73.362899999999996</v>
      </c>
      <c r="FX39" vm="10376">
        <f ca="1"/>
        <v>72.554599999999994</v>
      </c>
      <c r="FY39" vm="10377">
        <f ca="1"/>
        <v>73.399299999999997</v>
      </c>
      <c r="FZ39" vm="10378">
        <f ca="1"/>
        <v>74.820800000000006</v>
      </c>
      <c r="GA39" vm="10379">
        <f ca="1"/>
        <v>75.001900000000006</v>
      </c>
      <c r="GB39" vm="10380">
        <f ca="1"/>
        <v>75.545000000000002</v>
      </c>
      <c r="GC39" vm="801">
        <f ca="1"/>
        <v>75.760000000000005</v>
      </c>
      <c r="GD39" vm="10381">
        <f ca="1"/>
        <v>75.198999999999998</v>
      </c>
      <c r="GE39" vm="10382">
        <f ca="1"/>
        <v>76.040000000000006</v>
      </c>
      <c r="GF39" vm="10383">
        <f ca="1"/>
        <v>75.611900000000006</v>
      </c>
      <c r="GG39" vm="10384">
        <f ca="1"/>
        <v>77.209999999999994</v>
      </c>
      <c r="GH39" vm="10385">
        <f ca="1"/>
        <v>76.989999999999995</v>
      </c>
      <c r="GI39" vm="10386">
        <f ca="1"/>
        <v>77.827200000000005</v>
      </c>
      <c r="GJ39" vm="10387">
        <f ca="1"/>
        <v>78.710899999999995</v>
      </c>
      <c r="GK39" vm="10388">
        <f ca="1"/>
        <v>78.5</v>
      </c>
      <c r="GL39" vm="6046">
        <f ca="1"/>
        <v>77.84</v>
      </c>
      <c r="GM39" vm="6063">
        <f ca="1"/>
        <v>76.77</v>
      </c>
      <c r="GN39" vm="10389">
        <f ca="1"/>
        <v>76.543400000000005</v>
      </c>
      <c r="GO39" vm="10390">
        <f ca="1"/>
        <v>75.939499999999995</v>
      </c>
      <c r="GP39" vm="10391">
        <f ca="1"/>
        <v>76.565799999999996</v>
      </c>
      <c r="GQ39" vm="10392">
        <f ca="1"/>
        <v>77.371799999999993</v>
      </c>
      <c r="GR39" vm="10393">
        <f ca="1"/>
        <v>76.172799999999995</v>
      </c>
      <c r="GS39" vm="10394">
        <f ca="1"/>
        <v>76.161799999999999</v>
      </c>
      <c r="GT39" vm="10395">
        <f ca="1"/>
        <v>76.839799999999997</v>
      </c>
      <c r="GU39" vm="10396">
        <f ca="1"/>
        <v>76.597099999999998</v>
      </c>
      <c r="GV39" vm="10397">
        <f ca="1"/>
        <v>76.429699999999997</v>
      </c>
      <c r="GW39" vm="10398">
        <f ca="1"/>
        <v>75.22</v>
      </c>
      <c r="GX39" vm="10399">
        <f ca="1"/>
        <v>75.548299999999998</v>
      </c>
      <c r="GY39" vm="10400">
        <f ca="1"/>
        <v>74.762699999999995</v>
      </c>
      <c r="GZ39" vm="8919">
        <f ca="1"/>
        <v>71.900000000000006</v>
      </c>
      <c r="HA39" vm="10401">
        <f ca="1"/>
        <v>73.450699999999998</v>
      </c>
      <c r="HB39" vm="1558">
        <f ca="1"/>
        <v>74.09</v>
      </c>
      <c r="HC39" vm="10186">
        <f ca="1"/>
        <v>74.510000000000005</v>
      </c>
      <c r="HD39" vm="10402">
        <f ca="1"/>
        <v>73.663499999999999</v>
      </c>
      <c r="HE39" vm="10403">
        <f ca="1"/>
        <v>73.236599999999996</v>
      </c>
      <c r="HF39" vm="10404">
        <f ca="1"/>
        <v>74.553399999999996</v>
      </c>
      <c r="HG39" vm="10405">
        <f ca="1"/>
        <v>75.388400000000004</v>
      </c>
      <c r="HH39" vm="1550">
        <f ca="1"/>
        <v>74.290000000000006</v>
      </c>
      <c r="HI39" vm="10406">
        <f ca="1"/>
        <v>74.963200000000001</v>
      </c>
      <c r="HJ39" vm="10407">
        <f ca="1"/>
        <v>75.218299999999999</v>
      </c>
      <c r="HK39" vm="10408">
        <f ca="1"/>
        <v>75.680800000000005</v>
      </c>
      <c r="HL39" vm="10409">
        <f ca="1"/>
        <v>76.503699999999995</v>
      </c>
      <c r="HM39" vm="10410">
        <f ca="1"/>
        <v>75.129300000000001</v>
      </c>
      <c r="HN39" vm="10411">
        <f ca="1"/>
        <v>73.441000000000003</v>
      </c>
      <c r="HO39" vm="1556">
        <f ca="1"/>
        <v>73.98</v>
      </c>
      <c r="HP39" vm="10412">
        <f ca="1"/>
        <v>73.394999999999996</v>
      </c>
      <c r="HQ39" vm="10413">
        <f ca="1"/>
        <v>71.72</v>
      </c>
      <c r="HR39" vm="10414">
        <f ca="1"/>
        <v>72.34</v>
      </c>
      <c r="HS39" vm="2237">
        <f ca="1"/>
        <v>70.489999999999995</v>
      </c>
      <c r="HT39" vm="10415">
        <f ca="1"/>
        <v>72.394800000000004</v>
      </c>
      <c r="HU39" vm="10363">
        <f ca="1"/>
        <v>74</v>
      </c>
      <c r="HV39" vm="10416">
        <f ca="1"/>
        <v>74.243799999999993</v>
      </c>
      <c r="HW39" vm="10417">
        <f ca="1"/>
        <v>74.569999999999993</v>
      </c>
      <c r="HX39" vm="10418">
        <f ca="1"/>
        <v>72.721699999999998</v>
      </c>
      <c r="HY39" vm="10419">
        <f ca="1"/>
        <v>72.036299999999997</v>
      </c>
      <c r="HZ39" vm="10420">
        <f ca="1"/>
        <v>70.56</v>
      </c>
      <c r="IA39" vm="10421">
        <f ca="1"/>
        <v>70.299499999999995</v>
      </c>
      <c r="IB39" vm="980">
        <f ca="1"/>
        <v>70.163499999999999</v>
      </c>
      <c r="IC39" vm="981">
        <f ca="1"/>
        <v>68.069999999999993</v>
      </c>
      <c r="ID39" vm="982">
        <f ca="1"/>
        <v>70.060500000000005</v>
      </c>
      <c r="IE39" vm="983">
        <f ca="1"/>
        <v>70.751400000000004</v>
      </c>
      <c r="IF39" vm="984">
        <f ca="1"/>
        <v>72.350099999999998</v>
      </c>
      <c r="IG39" vm="985">
        <f ca="1"/>
        <v>73.03</v>
      </c>
      <c r="IH39" vm="986">
        <f ca="1"/>
        <v>73.7</v>
      </c>
      <c r="II39" vm="987">
        <f ca="1"/>
        <v>73.609300000000005</v>
      </c>
      <c r="IJ39" vm="988">
        <f ca="1"/>
        <v>73.522199999999998</v>
      </c>
      <c r="IK39" vm="989">
        <f ca="1"/>
        <v>73.867999999999995</v>
      </c>
      <c r="IL39" vm="990">
        <f ca="1"/>
        <v>73.765699999999995</v>
      </c>
      <c r="IM39" vm="991">
        <f ca="1"/>
        <v>74.385099999999994</v>
      </c>
      <c r="IN39" vm="992">
        <f ca="1"/>
        <v>74.232200000000006</v>
      </c>
      <c r="IO39" vm="993">
        <f ca="1"/>
        <v>74.974900000000005</v>
      </c>
      <c r="IP39" vm="994">
        <f ca="1"/>
        <v>75.566800000000001</v>
      </c>
      <c r="IQ39" vm="995">
        <f ca="1"/>
        <v>75.9499</v>
      </c>
      <c r="IR39" vm="996">
        <f ca="1"/>
        <v>75.573400000000007</v>
      </c>
      <c r="IS39" vm="997">
        <f ca="1"/>
        <v>74.979500000000002</v>
      </c>
      <c r="IT39" vm="998">
        <f ca="1"/>
        <v>75.433300000000003</v>
      </c>
      <c r="IU39" vm="999">
        <f ca="1"/>
        <v>74.351600000000005</v>
      </c>
      <c r="IV39" vm="1000">
        <f ca="1"/>
        <v>75.136200000000002</v>
      </c>
      <c r="IW39" vm="57">
        <f ca="1"/>
        <v>75.491299999999995</v>
      </c>
    </row>
    <row r="40" spans="1:257" ht="16" x14ac:dyDescent="0.2">
      <c r="A40" s="14" t="e" vm="10422">
        <v>#VALUE!</v>
      </c>
      <c r="B40" s="23" t="str" cm="1">
        <f t="array" aca="1" ref="B40" ca="1">_FV(A40,"ticker symbol",TRUE)</f>
        <v>FT</v>
      </c>
      <c r="C40" s="23" t="str" cm="1">
        <f t="array" aca="1" ref="C40" ca="1">_FV(A40,"Name")</f>
        <v>Franklin Universal Trust</v>
      </c>
      <c r="D40" cm="1" vm="10423">
        <f t="array" aca="1" ref="D40:IW40" ca="1">TRANSPOSE(_xlfn.STOCKHISTORY(B40, WORKDAY(TODAY(), -265), TODAY(), 0, 0, 1))</f>
        <v>7.46</v>
      </c>
      <c r="E40" s="23" vm="10424">
        <f ca="1"/>
        <v>7.35</v>
      </c>
      <c r="F40" s="23" vm="10425">
        <f ca="1"/>
        <v>7.28</v>
      </c>
      <c r="G40" s="23" vm="10426">
        <f ca="1"/>
        <v>7.22</v>
      </c>
      <c r="H40" s="23" vm="10427">
        <f ca="1"/>
        <v>7.26</v>
      </c>
      <c r="I40" s="23" vm="10428">
        <f ca="1"/>
        <v>7.31</v>
      </c>
      <c r="J40" s="23" vm="10429">
        <f ca="1"/>
        <v>7.39</v>
      </c>
      <c r="K40" s="23" vm="10430">
        <f ca="1"/>
        <v>7.34</v>
      </c>
      <c r="L40" s="23" vm="10431">
        <f ca="1"/>
        <v>7.27</v>
      </c>
      <c r="M40" s="23" vm="10425">
        <f ca="1"/>
        <v>7.28</v>
      </c>
      <c r="N40" s="23" vm="10428">
        <f ca="1"/>
        <v>7.31</v>
      </c>
      <c r="O40" s="23" vm="10430">
        <f ca="1"/>
        <v>7.34</v>
      </c>
      <c r="P40" s="23" vm="10430">
        <f ca="1"/>
        <v>7.34</v>
      </c>
      <c r="Q40" s="23" vm="10428">
        <f ca="1"/>
        <v>7.31</v>
      </c>
      <c r="R40" s="23" vm="10432">
        <f ca="1"/>
        <v>7.32</v>
      </c>
      <c r="S40" s="23" vm="10433">
        <f ca="1"/>
        <v>7.33</v>
      </c>
      <c r="T40" s="23" vm="10434">
        <f ca="1"/>
        <v>7.282</v>
      </c>
      <c r="U40" s="23" vm="10435">
        <f ca="1"/>
        <v>7.25</v>
      </c>
      <c r="V40" s="23" vm="10436">
        <f ca="1"/>
        <v>7.2850000000000001</v>
      </c>
      <c r="W40" s="23" vm="10429">
        <f ca="1"/>
        <v>7.39</v>
      </c>
      <c r="X40" s="23" vm="10437">
        <f ca="1"/>
        <v>7.53</v>
      </c>
      <c r="Y40" s="23" vm="10438">
        <f ca="1"/>
        <v>7.56</v>
      </c>
      <c r="Z40" s="23" vm="10439">
        <f ca="1"/>
        <v>7.55</v>
      </c>
      <c r="AA40" s="23" vm="10440">
        <f ca="1"/>
        <v>7.5</v>
      </c>
      <c r="AB40" s="23" vm="10439">
        <f ca="1"/>
        <v>7.55</v>
      </c>
      <c r="AC40" s="23" vm="10441">
        <f ca="1"/>
        <v>7.52</v>
      </c>
      <c r="AD40" vm="10442">
        <f ca="1"/>
        <v>7.44</v>
      </c>
      <c r="AE40" vm="10443">
        <f ca="1"/>
        <v>7.45</v>
      </c>
      <c r="AF40" vm="10444">
        <f ca="1"/>
        <v>7.47</v>
      </c>
      <c r="AG40" vm="10439">
        <f ca="1"/>
        <v>7.55</v>
      </c>
      <c r="AH40" vm="10439">
        <f ca="1"/>
        <v>7.55</v>
      </c>
      <c r="AI40" vm="10438">
        <f ca="1"/>
        <v>7.56</v>
      </c>
      <c r="AJ40" vm="10438">
        <f ca="1"/>
        <v>7.56</v>
      </c>
      <c r="AK40" vm="10445">
        <f ca="1"/>
        <v>7.59</v>
      </c>
      <c r="AL40" vm="10445">
        <f ca="1"/>
        <v>7.59</v>
      </c>
      <c r="AM40" vm="10446">
        <f ca="1"/>
        <v>7.61</v>
      </c>
      <c r="AN40" vm="10439">
        <f ca="1"/>
        <v>7.55</v>
      </c>
      <c r="AO40" vm="10447">
        <f ca="1"/>
        <v>7.64</v>
      </c>
      <c r="AP40" vm="10448">
        <f ca="1"/>
        <v>7.57</v>
      </c>
      <c r="AQ40" vm="10449">
        <f ca="1"/>
        <v>7.6</v>
      </c>
      <c r="AR40" vm="10448">
        <f ca="1"/>
        <v>7.57</v>
      </c>
      <c r="AS40" vm="10439">
        <f ca="1"/>
        <v>7.55</v>
      </c>
      <c r="AT40" vm="10437">
        <f ca="1"/>
        <v>7.53</v>
      </c>
      <c r="AU40" vm="10437">
        <f ca="1"/>
        <v>7.53</v>
      </c>
      <c r="AV40" vm="10450">
        <f ca="1"/>
        <v>7.577</v>
      </c>
      <c r="AW40" vm="10438">
        <f ca="1"/>
        <v>7.56</v>
      </c>
      <c r="AX40" vm="10449">
        <f ca="1"/>
        <v>7.6</v>
      </c>
      <c r="AY40" vm="10445">
        <f ca="1"/>
        <v>7.59</v>
      </c>
      <c r="AZ40" vm="10445">
        <f ca="1"/>
        <v>7.59</v>
      </c>
      <c r="BA40" vm="10447">
        <f ca="1"/>
        <v>7.64</v>
      </c>
      <c r="BB40" vm="10451">
        <f ca="1"/>
        <v>7.66</v>
      </c>
      <c r="BC40" vm="10452">
        <f ca="1"/>
        <v>7.62</v>
      </c>
      <c r="BD40" vm="10453">
        <f ca="1"/>
        <v>7.5830000000000002</v>
      </c>
      <c r="BE40" vm="10454">
        <f ca="1"/>
        <v>7.49</v>
      </c>
      <c r="BF40" vm="10437">
        <f ca="1"/>
        <v>7.53</v>
      </c>
      <c r="BG40" vm="10455">
        <f ca="1"/>
        <v>7.54</v>
      </c>
      <c r="BH40" vm="10439">
        <f ca="1"/>
        <v>7.55</v>
      </c>
      <c r="BI40" vm="10437">
        <f ca="1"/>
        <v>7.53</v>
      </c>
      <c r="BJ40" vm="10437">
        <f ca="1"/>
        <v>7.53</v>
      </c>
      <c r="BK40" vm="10438">
        <f ca="1"/>
        <v>7.56</v>
      </c>
      <c r="BL40" vm="10449">
        <f ca="1"/>
        <v>7.6</v>
      </c>
      <c r="BM40" vm="10441">
        <f ca="1"/>
        <v>7.52</v>
      </c>
      <c r="BN40" vm="10441">
        <f ca="1"/>
        <v>7.52</v>
      </c>
      <c r="BO40" vm="10456">
        <f ca="1"/>
        <v>7.51</v>
      </c>
      <c r="BP40" vm="10456">
        <f ca="1"/>
        <v>7.51</v>
      </c>
      <c r="BQ40" vm="10454">
        <f ca="1"/>
        <v>7.49</v>
      </c>
      <c r="BR40" vm="10441">
        <f ca="1"/>
        <v>7.52</v>
      </c>
      <c r="BS40" vm="10454">
        <f ca="1"/>
        <v>7.49</v>
      </c>
      <c r="BT40" vm="10444">
        <f ca="1"/>
        <v>7.47</v>
      </c>
      <c r="BU40" vm="10440">
        <f ca="1"/>
        <v>7.5</v>
      </c>
      <c r="BV40" vm="10437">
        <f ca="1"/>
        <v>7.53</v>
      </c>
      <c r="BW40" vm="10456">
        <f ca="1"/>
        <v>7.51</v>
      </c>
      <c r="BX40" vm="10437">
        <f ca="1"/>
        <v>7.53</v>
      </c>
      <c r="BY40" vm="10457">
        <f ca="1"/>
        <v>7.4691999999999998</v>
      </c>
      <c r="BZ40" vm="10458">
        <f ca="1"/>
        <v>7.16</v>
      </c>
      <c r="CA40" vm="10459">
        <f ca="1"/>
        <v>6.96</v>
      </c>
      <c r="CB40" vm="10460">
        <f ca="1"/>
        <v>6.95</v>
      </c>
      <c r="CC40" vm="10458">
        <f ca="1"/>
        <v>7.16</v>
      </c>
      <c r="CD40" vm="10461">
        <f ca="1"/>
        <v>7.04</v>
      </c>
      <c r="CE40" vm="10462">
        <f ca="1"/>
        <v>7.06</v>
      </c>
      <c r="CF40" vm="10463">
        <f ca="1"/>
        <v>7.17</v>
      </c>
      <c r="CG40" vm="10464">
        <f ca="1"/>
        <v>7.2249999999999996</v>
      </c>
      <c r="CH40" vm="10465">
        <f ca="1"/>
        <v>7.18</v>
      </c>
      <c r="CI40" vm="10466">
        <f ca="1"/>
        <v>7.24</v>
      </c>
      <c r="CJ40" vm="10467">
        <f ca="1"/>
        <v>7.11</v>
      </c>
      <c r="CK40" vm="10468">
        <f ca="1"/>
        <v>7.23</v>
      </c>
      <c r="CL40" vm="10435">
        <f ca="1"/>
        <v>7.25</v>
      </c>
      <c r="CM40" vm="10469">
        <f ca="1"/>
        <v>7.3</v>
      </c>
      <c r="CN40" vm="10470">
        <f ca="1"/>
        <v>7.2904</v>
      </c>
      <c r="CO40" vm="10471">
        <f ca="1"/>
        <v>7.3550000000000004</v>
      </c>
      <c r="CP40" vm="10472">
        <f ca="1"/>
        <v>7.41</v>
      </c>
      <c r="CQ40" vm="10472">
        <f ca="1"/>
        <v>7.41</v>
      </c>
      <c r="CR40" vm="10472">
        <f ca="1"/>
        <v>7.41</v>
      </c>
      <c r="CS40" vm="10423">
        <f ca="1"/>
        <v>7.46</v>
      </c>
      <c r="CT40" vm="10473">
        <f ca="1"/>
        <v>7.42</v>
      </c>
      <c r="CU40" vm="10474">
        <f ca="1"/>
        <v>7.4532999999999996</v>
      </c>
      <c r="CV40" vm="10423">
        <f ca="1"/>
        <v>7.46</v>
      </c>
      <c r="CW40" vm="10443">
        <f ca="1"/>
        <v>7.45</v>
      </c>
      <c r="CX40" vm="10443">
        <f ca="1"/>
        <v>7.45</v>
      </c>
      <c r="CY40" vm="10444">
        <f ca="1"/>
        <v>7.47</v>
      </c>
      <c r="CZ40" vm="10440">
        <f ca="1"/>
        <v>7.5</v>
      </c>
      <c r="DA40" vm="10423">
        <f ca="1"/>
        <v>7.46</v>
      </c>
      <c r="DB40" vm="10475">
        <f ca="1"/>
        <v>7.5049999999999999</v>
      </c>
      <c r="DC40" vm="10437">
        <f ca="1"/>
        <v>7.53</v>
      </c>
      <c r="DD40" vm="10444">
        <f ca="1"/>
        <v>7.47</v>
      </c>
      <c r="DE40" vm="10437">
        <f ca="1"/>
        <v>7.53</v>
      </c>
      <c r="DF40" vm="10442">
        <f ca="1"/>
        <v>7.44</v>
      </c>
      <c r="DG40" vm="10442">
        <f ca="1"/>
        <v>7.44</v>
      </c>
      <c r="DH40" vm="10429">
        <f ca="1"/>
        <v>7.39</v>
      </c>
      <c r="DI40" vm="10476">
        <f ca="1"/>
        <v>7.48</v>
      </c>
      <c r="DJ40" vm="10477">
        <f ca="1"/>
        <v>7.38</v>
      </c>
      <c r="DK40" vm="10444">
        <f ca="1"/>
        <v>7.47</v>
      </c>
      <c r="DL40" vm="10456">
        <f ca="1"/>
        <v>7.51</v>
      </c>
      <c r="DM40" vm="10441">
        <f ca="1"/>
        <v>7.52</v>
      </c>
      <c r="DN40" vm="10456">
        <f ca="1"/>
        <v>7.51</v>
      </c>
      <c r="DO40" vm="10456">
        <f ca="1"/>
        <v>7.51</v>
      </c>
      <c r="DP40" vm="10478">
        <f ca="1"/>
        <v>7.4500999999999999</v>
      </c>
      <c r="DQ40" vm="10479">
        <f ca="1"/>
        <v>7.4749999999999996</v>
      </c>
      <c r="DR40" vm="10444">
        <f ca="1"/>
        <v>7.47</v>
      </c>
      <c r="DS40" vm="10480">
        <f ca="1"/>
        <v>7.4850000000000003</v>
      </c>
      <c r="DT40" vm="10454">
        <f ca="1"/>
        <v>7.49</v>
      </c>
      <c r="DU40" vm="10455">
        <f ca="1"/>
        <v>7.54</v>
      </c>
      <c r="DV40" vm="10455">
        <f ca="1"/>
        <v>7.54</v>
      </c>
      <c r="DW40" vm="10444">
        <f ca="1"/>
        <v>7.47</v>
      </c>
      <c r="DX40" vm="10444">
        <f ca="1"/>
        <v>7.47</v>
      </c>
      <c r="DY40" vm="10481">
        <f ca="1"/>
        <v>7.43</v>
      </c>
      <c r="DZ40" vm="10442">
        <f ca="1"/>
        <v>7.44</v>
      </c>
      <c r="EA40" vm="10454">
        <f ca="1"/>
        <v>7.49</v>
      </c>
      <c r="EB40" vm="10437">
        <f ca="1"/>
        <v>7.53</v>
      </c>
      <c r="EC40" vm="10456">
        <f ca="1"/>
        <v>7.51</v>
      </c>
      <c r="ED40" vm="10441">
        <f ca="1"/>
        <v>7.52</v>
      </c>
      <c r="EE40" vm="10438">
        <f ca="1"/>
        <v>7.56</v>
      </c>
      <c r="EF40" vm="10452">
        <f ca="1"/>
        <v>7.62</v>
      </c>
      <c r="EG40" vm="10451">
        <f ca="1"/>
        <v>7.66</v>
      </c>
      <c r="EH40" vm="10482">
        <f ca="1"/>
        <v>7.69</v>
      </c>
      <c r="EI40" vm="10483">
        <f ca="1"/>
        <v>7.6749999999999998</v>
      </c>
      <c r="EJ40" vm="10484">
        <f ca="1"/>
        <v>7.63</v>
      </c>
      <c r="EK40" vm="10445">
        <f ca="1"/>
        <v>7.59</v>
      </c>
      <c r="EL40" vm="10485">
        <f ca="1"/>
        <v>7.74</v>
      </c>
      <c r="EM40" vm="10486">
        <f ca="1"/>
        <v>7.68</v>
      </c>
      <c r="EN40" vm="10485">
        <f ca="1"/>
        <v>7.74</v>
      </c>
      <c r="EO40" vm="10487">
        <f ca="1"/>
        <v>7.73</v>
      </c>
      <c r="EP40" vm="10488">
        <f ca="1"/>
        <v>7.71</v>
      </c>
      <c r="EQ40" vm="10485">
        <f ca="1"/>
        <v>7.74</v>
      </c>
      <c r="ER40" vm="10489">
        <f ca="1"/>
        <v>7.78</v>
      </c>
      <c r="ES40" vm="10489">
        <f ca="1"/>
        <v>7.78</v>
      </c>
      <c r="ET40" vm="10490">
        <f ca="1"/>
        <v>7.76</v>
      </c>
      <c r="EU40" vm="10491">
        <f ca="1"/>
        <v>7.8250000000000002</v>
      </c>
      <c r="EV40" vm="10492">
        <f ca="1"/>
        <v>7.8</v>
      </c>
      <c r="EW40" vm="10493">
        <f ca="1"/>
        <v>7.8105000000000002</v>
      </c>
      <c r="EX40" vm="10494">
        <f ca="1"/>
        <v>7.81</v>
      </c>
      <c r="EY40" vm="10495">
        <f ca="1"/>
        <v>7.83</v>
      </c>
      <c r="EZ40" vm="10490">
        <f ca="1"/>
        <v>7.76</v>
      </c>
      <c r="FA40" vm="10494">
        <f ca="1"/>
        <v>7.81</v>
      </c>
      <c r="FB40" vm="10496">
        <f ca="1"/>
        <v>7.82</v>
      </c>
      <c r="FC40" vm="10497">
        <f ca="1"/>
        <v>7.835</v>
      </c>
      <c r="FD40" vm="10498">
        <f ca="1"/>
        <v>7.89</v>
      </c>
      <c r="FE40" vm="10499">
        <f ca="1"/>
        <v>7.92</v>
      </c>
      <c r="FF40" vm="10500">
        <f ca="1"/>
        <v>7.96</v>
      </c>
      <c r="FG40" vm="10501">
        <f ca="1"/>
        <v>7.98</v>
      </c>
      <c r="FH40" vm="10502">
        <f ca="1"/>
        <v>8</v>
      </c>
      <c r="FI40" vm="10503">
        <f ca="1"/>
        <v>8.0399999999999991</v>
      </c>
      <c r="FJ40" vm="10504">
        <f ca="1"/>
        <v>8.01</v>
      </c>
      <c r="FK40" vm="10505">
        <f ca="1"/>
        <v>7.95</v>
      </c>
      <c r="FL40" vm="10506">
        <f ca="1"/>
        <v>7.97</v>
      </c>
      <c r="FM40" vm="10506">
        <f ca="1"/>
        <v>7.97</v>
      </c>
      <c r="FN40" vm="10500">
        <f ca="1"/>
        <v>7.96</v>
      </c>
      <c r="FO40" vm="10507">
        <f ca="1"/>
        <v>7.87</v>
      </c>
      <c r="FP40" vm="10499">
        <f ca="1"/>
        <v>7.92</v>
      </c>
      <c r="FQ40" vm="10508">
        <f ca="1"/>
        <v>7.93</v>
      </c>
      <c r="FR40" vm="10509">
        <f ca="1"/>
        <v>7.9</v>
      </c>
      <c r="FS40" vm="10510">
        <f ca="1"/>
        <v>7.91</v>
      </c>
      <c r="FT40" vm="10511">
        <f ca="1"/>
        <v>7.84</v>
      </c>
      <c r="FU40" vm="10498">
        <f ca="1"/>
        <v>7.89</v>
      </c>
      <c r="FV40" vm="10512">
        <f ca="1"/>
        <v>7.9349999999999996</v>
      </c>
      <c r="FW40" vm="10508">
        <f ca="1"/>
        <v>7.93</v>
      </c>
      <c r="FX40" vm="10498">
        <f ca="1"/>
        <v>7.89</v>
      </c>
      <c r="FY40" vm="10510">
        <f ca="1"/>
        <v>7.91</v>
      </c>
      <c r="FZ40" vm="10513">
        <f ca="1"/>
        <v>7.94</v>
      </c>
      <c r="GA40" vm="10513">
        <f ca="1"/>
        <v>7.94</v>
      </c>
      <c r="GB40" vm="10509">
        <f ca="1"/>
        <v>7.9</v>
      </c>
      <c r="GC40" vm="10514">
        <f ca="1"/>
        <v>7.88</v>
      </c>
      <c r="GD40" vm="10505">
        <f ca="1"/>
        <v>7.95</v>
      </c>
      <c r="GE40" vm="10515">
        <f ca="1"/>
        <v>7.9499000000000004</v>
      </c>
      <c r="GF40" vm="10516">
        <f ca="1"/>
        <v>7.9699</v>
      </c>
      <c r="GG40" vm="10508">
        <f ca="1"/>
        <v>7.93</v>
      </c>
      <c r="GH40" vm="10513">
        <f ca="1"/>
        <v>7.94</v>
      </c>
      <c r="GI40" vm="10517">
        <f ca="1"/>
        <v>7.8550000000000004</v>
      </c>
      <c r="GJ40" vm="10511">
        <f ca="1"/>
        <v>7.84</v>
      </c>
      <c r="GK40" vm="10518">
        <f ca="1"/>
        <v>7.8449999999999998</v>
      </c>
      <c r="GL40" vm="10514">
        <f ca="1"/>
        <v>7.88</v>
      </c>
      <c r="GM40" vm="10507">
        <f ca="1"/>
        <v>7.87</v>
      </c>
      <c r="GN40" vm="10505">
        <f ca="1"/>
        <v>7.95</v>
      </c>
      <c r="GO40" vm="10504">
        <f ca="1"/>
        <v>8.01</v>
      </c>
      <c r="GP40" vm="10502">
        <f ca="1"/>
        <v>8</v>
      </c>
      <c r="GQ40" vm="10502">
        <f ca="1"/>
        <v>8</v>
      </c>
      <c r="GR40" vm="10503">
        <f ca="1"/>
        <v>8.0399999999999991</v>
      </c>
      <c r="GS40" vm="10519">
        <f ca="1"/>
        <v>8.0299999999999994</v>
      </c>
      <c r="GT40" vm="10502">
        <f ca="1"/>
        <v>8</v>
      </c>
      <c r="GU40" vm="10501">
        <f ca="1"/>
        <v>7.98</v>
      </c>
      <c r="GV40" vm="10520">
        <f ca="1"/>
        <v>7.99</v>
      </c>
      <c r="GW40" vm="10521">
        <f ca="1"/>
        <v>8.0500000000000007</v>
      </c>
      <c r="GX40" vm="10522">
        <f ca="1"/>
        <v>8.0749999999999993</v>
      </c>
      <c r="GY40" vm="10523">
        <f ca="1"/>
        <v>8.1300000000000008</v>
      </c>
      <c r="GZ40" vm="10521">
        <f ca="1"/>
        <v>8.0500000000000007</v>
      </c>
      <c r="HA40" vm="10524">
        <f ca="1"/>
        <v>8.11</v>
      </c>
      <c r="HB40" vm="10521">
        <f ca="1"/>
        <v>8.0500000000000007</v>
      </c>
      <c r="HC40" vm="10525">
        <f ca="1"/>
        <v>8.14</v>
      </c>
      <c r="HD40" vm="10526">
        <f ca="1"/>
        <v>8.1199999999999992</v>
      </c>
      <c r="HE40" vm="10527">
        <f ca="1"/>
        <v>8.1</v>
      </c>
      <c r="HF40" vm="10525">
        <f ca="1"/>
        <v>8.14</v>
      </c>
      <c r="HG40" vm="10503">
        <f ca="1"/>
        <v>8.0399999999999991</v>
      </c>
      <c r="HH40" vm="10528">
        <f ca="1"/>
        <v>8.02</v>
      </c>
      <c r="HI40" vm="10520">
        <f ca="1"/>
        <v>7.99</v>
      </c>
      <c r="HJ40" vm="10502">
        <f ca="1"/>
        <v>8</v>
      </c>
      <c r="HK40" vm="10529">
        <f ca="1"/>
        <v>8.0229999999999997</v>
      </c>
      <c r="HL40" vm="10499">
        <f ca="1"/>
        <v>7.92</v>
      </c>
      <c r="HM40" vm="10508">
        <f ca="1"/>
        <v>7.93</v>
      </c>
      <c r="HN40" vm="10505">
        <f ca="1"/>
        <v>7.95</v>
      </c>
      <c r="HO40" vm="10520">
        <f ca="1"/>
        <v>7.99</v>
      </c>
      <c r="HP40" vm="10500">
        <f ca="1"/>
        <v>7.96</v>
      </c>
      <c r="HQ40" vm="10502">
        <f ca="1"/>
        <v>8</v>
      </c>
      <c r="HR40" vm="10506">
        <f ca="1"/>
        <v>7.97</v>
      </c>
      <c r="HS40" vm="10500">
        <f ca="1"/>
        <v>7.96</v>
      </c>
      <c r="HT40" vm="10505">
        <f ca="1"/>
        <v>7.95</v>
      </c>
      <c r="HU40" vm="10530">
        <f ca="1"/>
        <v>8.07</v>
      </c>
      <c r="HV40" vm="10527">
        <f ca="1"/>
        <v>8.1</v>
      </c>
      <c r="HW40" vm="10525">
        <f ca="1"/>
        <v>8.14</v>
      </c>
      <c r="HX40" vm="10526">
        <f ca="1"/>
        <v>8.1199999999999992</v>
      </c>
      <c r="HY40" vm="10527">
        <f ca="1"/>
        <v>8.1</v>
      </c>
      <c r="HZ40" vm="10528">
        <f ca="1"/>
        <v>8.02</v>
      </c>
      <c r="IA40" vm="10504">
        <f ca="1"/>
        <v>8.01</v>
      </c>
      <c r="IB40" vm="10531">
        <f ca="1"/>
        <v>7.86</v>
      </c>
      <c r="IC40" vm="10494">
        <f ca="1"/>
        <v>7.81</v>
      </c>
      <c r="ID40" vm="10532">
        <f ca="1"/>
        <v>7.85</v>
      </c>
      <c r="IE40" vm="10508">
        <f ca="1"/>
        <v>7.93</v>
      </c>
      <c r="IF40" vm="10500">
        <f ca="1"/>
        <v>7.96</v>
      </c>
      <c r="IG40" vm="10504">
        <f ca="1"/>
        <v>8.01</v>
      </c>
      <c r="IH40" vm="10524">
        <f ca="1"/>
        <v>8.11</v>
      </c>
      <c r="II40" vm="10527">
        <f ca="1"/>
        <v>8.1</v>
      </c>
      <c r="IJ40" vm="10524">
        <f ca="1"/>
        <v>8.11</v>
      </c>
      <c r="IK40" vm="10533">
        <f ca="1"/>
        <v>8.06</v>
      </c>
      <c r="IL40" vm="10527">
        <f ca="1"/>
        <v>8.1</v>
      </c>
      <c r="IM40" vm="10502">
        <f ca="1"/>
        <v>8</v>
      </c>
      <c r="IN40" vm="10500">
        <f ca="1"/>
        <v>7.96</v>
      </c>
      <c r="IO40" vm="10508">
        <f ca="1"/>
        <v>7.93</v>
      </c>
      <c r="IP40" vm="10505">
        <f ca="1"/>
        <v>7.95</v>
      </c>
      <c r="IQ40" vm="10505">
        <f ca="1"/>
        <v>7.95</v>
      </c>
      <c r="IR40" vm="10531">
        <f ca="1"/>
        <v>7.86</v>
      </c>
      <c r="IS40" vm="10498">
        <f ca="1"/>
        <v>7.89</v>
      </c>
      <c r="IT40" vm="10531">
        <f ca="1"/>
        <v>7.86</v>
      </c>
      <c r="IU40" vm="10496">
        <f ca="1"/>
        <v>7.82</v>
      </c>
      <c r="IV40" vm="10510">
        <f ca="1"/>
        <v>7.91</v>
      </c>
      <c r="IW40" vm="10499">
        <f ca="1"/>
        <v>7.92</v>
      </c>
    </row>
    <row r="41" spans="1:257" ht="16" x14ac:dyDescent="0.2">
      <c r="A41" s="14" t="e" vm="1023">
        <v>#VALUE!</v>
      </c>
      <c r="B41" s="23" t="str" cm="1">
        <f t="array" aca="1" ref="B41" ca="1">_FV(A41,"ticker symbol",TRUE)</f>
        <v>IDRV</v>
      </c>
      <c r="C41" s="23" t="str" cm="1">
        <f t="array" aca="1" ref="C41" ca="1">_FV(A41,"Name")</f>
        <v>iShares:Self-Dri EV&amp;Tech</v>
      </c>
      <c r="D41" cm="1" vm="10534">
        <f t="array" aca="1" ref="D41:IW41" ca="1">TRANSPOSE(_xlfn.STOCKHISTORY(B41, WORKDAY(TODAY(), -265), TODAY(), 0, 0, 1))</f>
        <v>30.600999999999999</v>
      </c>
      <c r="E41" s="23" vm="10535">
        <f ca="1"/>
        <v>30.4</v>
      </c>
      <c r="F41" s="23" vm="10536">
        <f ca="1"/>
        <v>29.43</v>
      </c>
      <c r="G41" s="23" vm="10537">
        <f ca="1"/>
        <v>29.47</v>
      </c>
      <c r="H41" s="23" vm="10538">
        <f ca="1"/>
        <v>29.8</v>
      </c>
      <c r="I41" s="23" vm="10539">
        <f ca="1"/>
        <v>29.92</v>
      </c>
      <c r="J41" s="23" vm="10540">
        <f ca="1"/>
        <v>30.24</v>
      </c>
      <c r="K41" s="23" vm="10541">
        <f ca="1"/>
        <v>30.55</v>
      </c>
      <c r="L41" s="23" vm="9017">
        <f ca="1"/>
        <v>30.04</v>
      </c>
      <c r="M41" s="23" vm="10542">
        <f ca="1"/>
        <v>29.45</v>
      </c>
      <c r="N41" s="23" vm="10543">
        <f ca="1"/>
        <v>29.23</v>
      </c>
      <c r="O41" s="23" vm="10544">
        <f ca="1"/>
        <v>29.020099999999999</v>
      </c>
      <c r="P41" s="23" vm="10545">
        <f ca="1"/>
        <v>30</v>
      </c>
      <c r="Q41" s="23" vm="10540">
        <f ca="1"/>
        <v>30.24</v>
      </c>
      <c r="R41" s="23" vm="10546">
        <f ca="1"/>
        <v>30.26</v>
      </c>
      <c r="S41" s="23" vm="10547">
        <f ca="1"/>
        <v>29.79</v>
      </c>
      <c r="T41" s="23" vm="10548">
        <f ca="1"/>
        <v>29</v>
      </c>
      <c r="U41" s="23" vm="10549">
        <f ca="1"/>
        <v>28.9</v>
      </c>
      <c r="V41" s="23" vm="9041">
        <f ca="1"/>
        <v>29.34</v>
      </c>
      <c r="W41" s="23" vm="10550">
        <f ca="1"/>
        <v>29.74</v>
      </c>
      <c r="X41" s="23" vm="10547">
        <f ca="1"/>
        <v>29.79</v>
      </c>
      <c r="Y41" s="23" vm="10551">
        <f ca="1"/>
        <v>30.13</v>
      </c>
      <c r="Z41" s="23" vm="10552">
        <f ca="1"/>
        <v>30.47</v>
      </c>
      <c r="AA41" s="23" vm="10553">
        <f ca="1"/>
        <v>30.12</v>
      </c>
      <c r="AB41" s="23" vm="10554">
        <f ca="1"/>
        <v>30.02</v>
      </c>
      <c r="AC41" s="23" vm="10546">
        <f ca="1"/>
        <v>30.26</v>
      </c>
      <c r="AD41" vm="10555">
        <f ca="1"/>
        <v>30.15</v>
      </c>
      <c r="AE41" vm="10556">
        <f ca="1"/>
        <v>29.9</v>
      </c>
      <c r="AF41" vm="10557">
        <f ca="1"/>
        <v>29.81</v>
      </c>
      <c r="AG41" vm="10558">
        <f ca="1"/>
        <v>30.3</v>
      </c>
      <c r="AH41" vm="10559">
        <f ca="1"/>
        <v>29.77</v>
      </c>
      <c r="AI41" vm="10560">
        <f ca="1"/>
        <v>29.08</v>
      </c>
      <c r="AJ41" vm="10561">
        <f ca="1"/>
        <v>29.69</v>
      </c>
      <c r="AK41" vm="10562">
        <f ca="1"/>
        <v>29.54</v>
      </c>
      <c r="AL41" vm="10563">
        <f ca="1"/>
        <v>29.89</v>
      </c>
      <c r="AM41" vm="10564">
        <f ca="1"/>
        <v>29.73</v>
      </c>
      <c r="AN41" vm="10565">
        <f ca="1"/>
        <v>29.94</v>
      </c>
      <c r="AO41" vm="10566">
        <f ca="1"/>
        <v>29.22</v>
      </c>
      <c r="AP41" vm="10567">
        <f ca="1"/>
        <v>29.63</v>
      </c>
      <c r="AQ41" vm="10568">
        <f ca="1"/>
        <v>30.67</v>
      </c>
      <c r="AR41" vm="10569">
        <f ca="1"/>
        <v>31.15</v>
      </c>
      <c r="AS41" vm="10570">
        <f ca="1"/>
        <v>31.29</v>
      </c>
      <c r="AT41" vm="10571">
        <f ca="1"/>
        <v>31.16</v>
      </c>
      <c r="AU41" vm="10572">
        <f ca="1"/>
        <v>31.22</v>
      </c>
      <c r="AV41" vm="10573">
        <f ca="1"/>
        <v>30.98</v>
      </c>
      <c r="AW41" vm="9016">
        <f ca="1"/>
        <v>30.74</v>
      </c>
      <c r="AX41" vm="10574">
        <f ca="1"/>
        <v>30.87</v>
      </c>
      <c r="AY41" vm="10575">
        <f ca="1"/>
        <v>31.43</v>
      </c>
      <c r="AZ41" vm="10576">
        <f ca="1"/>
        <v>31.2</v>
      </c>
      <c r="BA41" vm="9050">
        <f ca="1"/>
        <v>30.57</v>
      </c>
      <c r="BB41" vm="10577">
        <f ca="1"/>
        <v>29.66</v>
      </c>
      <c r="BC41" vm="10578">
        <f ca="1"/>
        <v>29.475000000000001</v>
      </c>
      <c r="BD41" vm="10568">
        <f ca="1"/>
        <v>30.67</v>
      </c>
      <c r="BE41" vm="10579">
        <f ca="1"/>
        <v>30.69</v>
      </c>
      <c r="BF41" vm="9059">
        <f ca="1"/>
        <v>31.41</v>
      </c>
      <c r="BG41" vm="10580">
        <f ca="1"/>
        <v>30.44</v>
      </c>
      <c r="BH41" vm="9004">
        <f ca="1"/>
        <v>31.24</v>
      </c>
      <c r="BI41" vm="10572">
        <f ca="1"/>
        <v>31.22</v>
      </c>
      <c r="BJ41" vm="10581">
        <f ca="1"/>
        <v>30.73</v>
      </c>
      <c r="BK41" vm="10582">
        <f ca="1"/>
        <v>31.06</v>
      </c>
      <c r="BL41" vm="10583">
        <f ca="1"/>
        <v>31.45</v>
      </c>
      <c r="BM41" vm="9056">
        <f ca="1"/>
        <v>31.3</v>
      </c>
      <c r="BN41" vm="10584">
        <f ca="1"/>
        <v>31.59</v>
      </c>
      <c r="BO41" vm="10585">
        <f ca="1"/>
        <v>30.94</v>
      </c>
      <c r="BP41" vm="9009">
        <f ca="1"/>
        <v>30.66</v>
      </c>
      <c r="BQ41" vm="10586">
        <f ca="1"/>
        <v>31.1</v>
      </c>
      <c r="BR41" vm="10587">
        <f ca="1"/>
        <v>31.01</v>
      </c>
      <c r="BS41" vm="10588">
        <f ca="1"/>
        <v>30.85</v>
      </c>
      <c r="BT41" vm="10589">
        <f ca="1"/>
        <v>30.51</v>
      </c>
      <c r="BU41" vm="10590">
        <f ca="1"/>
        <v>29.59</v>
      </c>
      <c r="BV41" vm="10543">
        <f ca="1"/>
        <v>29.23</v>
      </c>
      <c r="BW41" vm="10591">
        <f ca="1"/>
        <v>29.39</v>
      </c>
      <c r="BX41" vm="10592">
        <f ca="1"/>
        <v>29.51</v>
      </c>
      <c r="BY41" vm="10593">
        <f ca="1"/>
        <v>28.27</v>
      </c>
      <c r="BZ41" vm="10594">
        <f ca="1"/>
        <v>26.72</v>
      </c>
      <c r="CA41" vm="10595">
        <f ca="1"/>
        <v>25.83</v>
      </c>
      <c r="CB41" vm="10596">
        <f ca="1"/>
        <v>24.69</v>
      </c>
      <c r="CC41" vm="10597">
        <f ca="1"/>
        <v>27.18</v>
      </c>
      <c r="CD41" vm="1458">
        <f ca="1"/>
        <v>26.5</v>
      </c>
      <c r="CE41" vm="10598">
        <f ca="1"/>
        <v>27.32</v>
      </c>
      <c r="CF41" vm="10599">
        <f ca="1"/>
        <v>27.8</v>
      </c>
      <c r="CG41" vm="10600">
        <f ca="1"/>
        <v>27.53</v>
      </c>
      <c r="CH41" vm="10601">
        <f ca="1"/>
        <v>26.94</v>
      </c>
      <c r="CI41" vm="10602">
        <f ca="1"/>
        <v>27.13</v>
      </c>
      <c r="CJ41" vm="10603">
        <f ca="1"/>
        <v>26.84</v>
      </c>
      <c r="CK41" vm="10604">
        <f ca="1"/>
        <v>27.67</v>
      </c>
      <c r="CL41" vm="10605">
        <f ca="1"/>
        <v>28.36</v>
      </c>
      <c r="CM41" vm="2077">
        <f ca="1"/>
        <v>28.98</v>
      </c>
      <c r="CN41" vm="10606">
        <f ca="1"/>
        <v>29.1</v>
      </c>
      <c r="CO41" vm="10607">
        <f ca="1"/>
        <v>29.3</v>
      </c>
      <c r="CP41" vm="10608">
        <f ca="1"/>
        <v>29.33</v>
      </c>
      <c r="CQ41" vm="2078">
        <f ca="1"/>
        <v>28.96</v>
      </c>
      <c r="CR41" vm="2083">
        <f ca="1"/>
        <v>28.85</v>
      </c>
      <c r="CS41" vm="10550">
        <f ca="1"/>
        <v>29.74</v>
      </c>
      <c r="CT41" vm="10577">
        <f ca="1"/>
        <v>29.66</v>
      </c>
      <c r="CU41" vm="10562">
        <f ca="1"/>
        <v>29.54</v>
      </c>
      <c r="CV41" vm="10608">
        <f ca="1"/>
        <v>29.33</v>
      </c>
      <c r="CW41" vm="10609">
        <f ca="1"/>
        <v>29.93</v>
      </c>
      <c r="CX41" vm="10610">
        <f ca="1"/>
        <v>30.33</v>
      </c>
      <c r="CY41" vm="10611">
        <f ca="1"/>
        <v>31.37</v>
      </c>
      <c r="CZ41" vm="10583">
        <f ca="1"/>
        <v>31.45</v>
      </c>
      <c r="DA41" vm="10612">
        <f ca="1"/>
        <v>31.64</v>
      </c>
      <c r="DB41" vm="10613">
        <f ca="1"/>
        <v>31.47</v>
      </c>
      <c r="DC41" vm="10614">
        <f ca="1"/>
        <v>31.57</v>
      </c>
      <c r="DD41" vm="10615">
        <f ca="1"/>
        <v>31.34</v>
      </c>
      <c r="DE41" vm="10616">
        <f ca="1"/>
        <v>31.36</v>
      </c>
      <c r="DF41" vm="10617">
        <f ca="1"/>
        <v>31.38</v>
      </c>
      <c r="DG41" vm="2361">
        <f ca="1"/>
        <v>31.07</v>
      </c>
      <c r="DH41" vm="10618">
        <f ca="1"/>
        <v>30.8</v>
      </c>
      <c r="DI41" vm="10619">
        <f ca="1"/>
        <v>30.62</v>
      </c>
      <c r="DJ41" vm="9050">
        <f ca="1"/>
        <v>30.57</v>
      </c>
      <c r="DK41" vm="10620">
        <f ca="1"/>
        <v>30.71</v>
      </c>
      <c r="DL41" vm="10621">
        <f ca="1"/>
        <v>30.03</v>
      </c>
      <c r="DM41" vm="10622">
        <f ca="1"/>
        <v>29.85</v>
      </c>
      <c r="DN41" vm="10623">
        <f ca="1"/>
        <v>30.23</v>
      </c>
      <c r="DO41" vm="10580">
        <f ca="1"/>
        <v>30.44</v>
      </c>
      <c r="DP41" vm="10624">
        <f ca="1"/>
        <v>30.16</v>
      </c>
      <c r="DQ41" vm="10623">
        <f ca="1"/>
        <v>30.23</v>
      </c>
      <c r="DR41" vm="9009">
        <f ca="1"/>
        <v>30.66</v>
      </c>
      <c r="DS41" vm="10625">
        <f ca="1"/>
        <v>31.12</v>
      </c>
      <c r="DT41" vm="8975">
        <f ca="1"/>
        <v>31.46</v>
      </c>
      <c r="DU41" vm="10586">
        <f ca="1"/>
        <v>31.1</v>
      </c>
      <c r="DV41" vm="10626">
        <f ca="1"/>
        <v>30.36</v>
      </c>
      <c r="DW41" vm="10558">
        <f ca="1"/>
        <v>30.3</v>
      </c>
      <c r="DX41" vm="10627">
        <f ca="1"/>
        <v>29.64</v>
      </c>
      <c r="DY41" vm="10622">
        <f ca="1"/>
        <v>29.85</v>
      </c>
      <c r="DZ41" vm="10542">
        <f ca="1"/>
        <v>29.45</v>
      </c>
      <c r="EA41" vm="10565">
        <f ca="1"/>
        <v>29.94</v>
      </c>
      <c r="EB41" vm="9049">
        <f ca="1"/>
        <v>30.75</v>
      </c>
      <c r="EC41" vm="10628">
        <f ca="1"/>
        <v>30.43</v>
      </c>
      <c r="ED41" vm="10629">
        <f ca="1"/>
        <v>30.82</v>
      </c>
      <c r="EE41" vm="10620">
        <f ca="1"/>
        <v>30.71</v>
      </c>
      <c r="EF41" vm="10630">
        <f ca="1"/>
        <v>30.58</v>
      </c>
      <c r="EG41" vm="10618">
        <f ca="1"/>
        <v>30.8</v>
      </c>
      <c r="EH41" vm="10631">
        <f ca="1"/>
        <v>31.452000000000002</v>
      </c>
      <c r="EI41" vm="10632">
        <f ca="1"/>
        <v>31.85</v>
      </c>
      <c r="EJ41" vm="10633">
        <f ca="1"/>
        <v>31.149899999999999</v>
      </c>
      <c r="EK41" vm="10634">
        <f ca="1"/>
        <v>31.81</v>
      </c>
      <c r="EL41" vm="8968">
        <f ca="1"/>
        <v>31.95</v>
      </c>
      <c r="EM41" vm="10635">
        <f ca="1"/>
        <v>32.46</v>
      </c>
      <c r="EN41" vm="2366">
        <f ca="1"/>
        <v>32.29</v>
      </c>
      <c r="EO41" vm="10636">
        <f ca="1"/>
        <v>32.729999999999997</v>
      </c>
      <c r="EP41" vm="8977">
        <f ca="1"/>
        <v>32.590000000000003</v>
      </c>
      <c r="EQ41" vm="10637">
        <f ca="1"/>
        <v>32.409999999999997</v>
      </c>
      <c r="ER41" vm="10638">
        <f ca="1"/>
        <v>33.54</v>
      </c>
      <c r="ES41" vm="9091">
        <f ca="1"/>
        <v>33.729999999999997</v>
      </c>
      <c r="ET41" vm="10639">
        <f ca="1"/>
        <v>33.69</v>
      </c>
      <c r="EU41" vm="10640">
        <f ca="1"/>
        <v>34.56</v>
      </c>
      <c r="EV41" vm="10641">
        <f ca="1"/>
        <v>34.82</v>
      </c>
      <c r="EW41" vm="10642">
        <f ca="1"/>
        <v>34.93</v>
      </c>
      <c r="EX41" vm="4728">
        <f ca="1"/>
        <v>35.06</v>
      </c>
      <c r="EY41" vm="10643">
        <f ca="1"/>
        <v>34.42</v>
      </c>
      <c r="EZ41" vm="2710">
        <f ca="1"/>
        <v>33.58</v>
      </c>
      <c r="FA41" vm="10644">
        <f ca="1"/>
        <v>32.917000000000002</v>
      </c>
      <c r="FB41" vm="8972">
        <f ca="1"/>
        <v>32.56</v>
      </c>
      <c r="FC41" vm="10645">
        <f ca="1"/>
        <v>32.130000000000003</v>
      </c>
      <c r="FD41" vm="10646">
        <f ca="1"/>
        <v>32.43</v>
      </c>
      <c r="FE41" vm="10647">
        <f ca="1"/>
        <v>32.69</v>
      </c>
      <c r="FF41" vm="10636">
        <f ca="1"/>
        <v>32.729999999999997</v>
      </c>
      <c r="FG41" vm="8959">
        <f ca="1"/>
        <v>33.25</v>
      </c>
      <c r="FH41" vm="10648">
        <f ca="1"/>
        <v>33.65</v>
      </c>
      <c r="FI41" vm="8989">
        <f ca="1"/>
        <v>34.270000000000003</v>
      </c>
      <c r="FJ41" vm="10649">
        <f ca="1"/>
        <v>34.520000000000003</v>
      </c>
      <c r="FK41" vm="10650">
        <f ca="1"/>
        <v>34.92</v>
      </c>
      <c r="FL41" vm="8980">
        <f ca="1"/>
        <v>34.53</v>
      </c>
      <c r="FM41" vm="10651">
        <f ca="1"/>
        <v>34.75</v>
      </c>
      <c r="FN41" vm="813">
        <f ca="1"/>
        <v>34.869999999999997</v>
      </c>
      <c r="FO41" vm="813">
        <f ca="1"/>
        <v>34.869999999999997</v>
      </c>
      <c r="FP41" vm="8981">
        <f ca="1"/>
        <v>34.49</v>
      </c>
      <c r="FQ41" vm="10652">
        <f ca="1"/>
        <v>34.68</v>
      </c>
      <c r="FR41" vm="10653">
        <f ca="1"/>
        <v>35.97</v>
      </c>
      <c r="FS41" vm="10654">
        <f ca="1"/>
        <v>35.549999999999997</v>
      </c>
      <c r="FT41" vm="10655">
        <f ca="1"/>
        <v>36.006999999999998</v>
      </c>
      <c r="FU41" vm="10656">
        <f ca="1"/>
        <v>35.81</v>
      </c>
      <c r="FV41" vm="10657">
        <f ca="1"/>
        <v>35.729999999999997</v>
      </c>
      <c r="FW41" vm="827">
        <f ca="1"/>
        <v>35.36</v>
      </c>
      <c r="FX41" vm="10658">
        <f ca="1"/>
        <v>34.880000000000003</v>
      </c>
      <c r="FY41" vm="2703">
        <f ca="1"/>
        <v>34.72</v>
      </c>
      <c r="FZ41" vm="10640">
        <f ca="1"/>
        <v>34.56</v>
      </c>
      <c r="GA41" vm="4728">
        <f ca="1"/>
        <v>35.06</v>
      </c>
      <c r="GB41" vm="10659">
        <f ca="1"/>
        <v>35.619999999999997</v>
      </c>
      <c r="GC41" vm="10660">
        <f ca="1"/>
        <v>35.252000000000002</v>
      </c>
      <c r="GD41" vm="10661">
        <f ca="1"/>
        <v>34.54</v>
      </c>
      <c r="GE41" vm="815">
        <f ca="1"/>
        <v>35.25</v>
      </c>
      <c r="GF41" vm="10662">
        <f ca="1"/>
        <v>35.22</v>
      </c>
      <c r="GG41" vm="10663">
        <f ca="1"/>
        <v>35.966000000000001</v>
      </c>
      <c r="GH41" vm="10664">
        <f ca="1"/>
        <v>36.304000000000002</v>
      </c>
      <c r="GI41" vm="9170">
        <f ca="1"/>
        <v>36.54</v>
      </c>
      <c r="GJ41" vm="9184">
        <f ca="1"/>
        <v>36.869999999999997</v>
      </c>
      <c r="GK41" vm="10665">
        <f ca="1"/>
        <v>36.832000000000001</v>
      </c>
      <c r="GL41" vm="1571">
        <f ca="1"/>
        <v>36.729999999999997</v>
      </c>
      <c r="GM41" vm="10666">
        <f ca="1"/>
        <v>36.53</v>
      </c>
      <c r="GN41" vm="1562">
        <f ca="1"/>
        <v>36.409999999999997</v>
      </c>
      <c r="GO41" vm="10667">
        <f ca="1"/>
        <v>36.65</v>
      </c>
      <c r="GP41" vm="4694">
        <f ca="1"/>
        <v>36.549999999999997</v>
      </c>
      <c r="GQ41" vm="10668">
        <f ca="1"/>
        <v>36.6</v>
      </c>
      <c r="GR41" vm="10669">
        <f ca="1"/>
        <v>36.67</v>
      </c>
      <c r="GS41" vm="10670">
        <f ca="1"/>
        <v>37.283999999999999</v>
      </c>
      <c r="GT41" vm="10671">
        <f ca="1"/>
        <v>37.564</v>
      </c>
      <c r="GU41" vm="10672">
        <f ca="1"/>
        <v>37.520000000000003</v>
      </c>
      <c r="GV41" vm="10673">
        <f ca="1"/>
        <v>37.700800000000001</v>
      </c>
      <c r="GW41" vm="821">
        <f ca="1"/>
        <v>37.03</v>
      </c>
      <c r="GX41" vm="3320">
        <f ca="1"/>
        <v>37.4</v>
      </c>
      <c r="GY41" vm="818">
        <f ca="1"/>
        <v>36.880000000000003</v>
      </c>
      <c r="GZ41" vm="10674">
        <f ca="1"/>
        <v>35.132599999999996</v>
      </c>
      <c r="HA41" vm="4664">
        <f ca="1"/>
        <v>36.520000000000003</v>
      </c>
      <c r="HB41" vm="10668">
        <f ca="1"/>
        <v>36.6</v>
      </c>
      <c r="HC41" vm="1570">
        <f ca="1"/>
        <v>36.950000000000003</v>
      </c>
      <c r="HD41" vm="10675">
        <f ca="1"/>
        <v>36.759799999999998</v>
      </c>
      <c r="HE41" vm="10676">
        <f ca="1"/>
        <v>36.960599999999999</v>
      </c>
      <c r="HF41" vm="10677">
        <f ca="1"/>
        <v>37.53</v>
      </c>
      <c r="HG41" vm="10678">
        <f ca="1"/>
        <v>37.238900000000001</v>
      </c>
      <c r="HH41" vm="10679">
        <f ca="1"/>
        <v>37.049999999999997</v>
      </c>
      <c r="HI41" vm="10680">
        <f ca="1"/>
        <v>37.61</v>
      </c>
      <c r="HJ41" vm="10681">
        <f ca="1"/>
        <v>38.56</v>
      </c>
      <c r="HK41" vm="10682">
        <f ca="1"/>
        <v>38.624499999999998</v>
      </c>
      <c r="HL41" vm="10683">
        <f ca="1"/>
        <v>38.8598</v>
      </c>
      <c r="HM41" vm="10684">
        <f ca="1"/>
        <v>39.082099999999997</v>
      </c>
      <c r="HN41" vm="10685">
        <f ca="1"/>
        <v>38.549999999999997</v>
      </c>
      <c r="HO41" vm="10686">
        <f ca="1"/>
        <v>38.914999999999999</v>
      </c>
      <c r="HP41" vm="10687">
        <f ca="1"/>
        <v>38.67</v>
      </c>
      <c r="HQ41" vm="3325">
        <f ca="1"/>
        <v>37.49</v>
      </c>
      <c r="HR41" vm="10688">
        <f ca="1"/>
        <v>38.409999999999997</v>
      </c>
      <c r="HS41" vm="10689">
        <f ca="1"/>
        <v>37.79</v>
      </c>
      <c r="HT41" vm="10690">
        <f ca="1"/>
        <v>37.82</v>
      </c>
      <c r="HU41" vm="10691">
        <f ca="1"/>
        <v>38.9</v>
      </c>
      <c r="HV41" vm="10692">
        <f ca="1"/>
        <v>39.237299999999998</v>
      </c>
      <c r="HW41" vm="6902">
        <f ca="1"/>
        <v>38.96</v>
      </c>
      <c r="HX41" vm="10693">
        <f ca="1"/>
        <v>38.796799999999998</v>
      </c>
      <c r="HY41" vm="10694">
        <f ca="1"/>
        <v>38.372199999999999</v>
      </c>
      <c r="HZ41" vm="1029">
        <f ca="1"/>
        <v>37.799999999999997</v>
      </c>
      <c r="IA41" vm="10695">
        <f ca="1"/>
        <v>37.6</v>
      </c>
      <c r="IB41" vm="1024">
        <f ca="1"/>
        <v>37.32</v>
      </c>
      <c r="IC41" vm="1025">
        <f ca="1"/>
        <v>36.03</v>
      </c>
      <c r="ID41" vm="1026">
        <f ca="1"/>
        <v>36.4</v>
      </c>
      <c r="IE41" vm="1027">
        <f ca="1"/>
        <v>36.57</v>
      </c>
      <c r="IF41" vm="1028">
        <f ca="1"/>
        <v>37.130000000000003</v>
      </c>
      <c r="IG41" vm="1029">
        <f ca="1"/>
        <v>37.799999999999997</v>
      </c>
      <c r="IH41" vm="1030">
        <f ca="1"/>
        <v>38.042900000000003</v>
      </c>
      <c r="II41" vm="1031">
        <f ca="1"/>
        <v>37.74</v>
      </c>
      <c r="IJ41" vm="1032">
        <f ca="1"/>
        <v>37.863399999999999</v>
      </c>
      <c r="IK41" vm="1033">
        <f ca="1"/>
        <v>37.94</v>
      </c>
      <c r="IL41" vm="1034">
        <f ca="1"/>
        <v>38.033000000000001</v>
      </c>
      <c r="IM41" vm="1035">
        <f ca="1"/>
        <v>38.450000000000003</v>
      </c>
      <c r="IN41" vm="71">
        <f ca="1"/>
        <v>38.6</v>
      </c>
      <c r="IO41" vm="1036">
        <f ca="1"/>
        <v>38.518000000000001</v>
      </c>
      <c r="IP41" vm="1037">
        <f ca="1"/>
        <v>38.956699999999998</v>
      </c>
      <c r="IQ41" vm="1038">
        <f ca="1"/>
        <v>38.802</v>
      </c>
      <c r="IR41" vm="1039">
        <f ca="1"/>
        <v>38.536999999999999</v>
      </c>
      <c r="IS41" vm="1040">
        <f ca="1"/>
        <v>38.39</v>
      </c>
      <c r="IT41" vm="1041">
        <f ca="1"/>
        <v>37.65</v>
      </c>
      <c r="IU41" vm="1042">
        <f ca="1"/>
        <v>37.409999999999997</v>
      </c>
      <c r="IV41" vm="1043">
        <f ca="1"/>
        <v>37.704599999999999</v>
      </c>
      <c r="IW41" vm="61">
        <f ca="1"/>
        <v>38.43</v>
      </c>
    </row>
    <row r="42" spans="1:257" ht="16" x14ac:dyDescent="0.2">
      <c r="A42" s="14" t="e" vm="1044">
        <v>#VALUE!</v>
      </c>
      <c r="B42" s="23" t="str" cm="1">
        <f t="array" aca="1" ref="B42" ca="1">_FV(A42,"ticker symbol",TRUE)</f>
        <v>ITB</v>
      </c>
      <c r="C42" s="23" t="str" cm="1">
        <f t="array" aca="1" ref="C42" ca="1">_FV(A42,"Name")</f>
        <v>iShares:US Home Cons ETF</v>
      </c>
      <c r="D42" cm="1" vm="10696">
        <f t="array" aca="1" ref="D42:IW42" ca="1">TRANSPOSE(_xlfn.STOCKHISTORY(B42, WORKDAY(TODAY(), -265), TODAY(), 0, 0, 1))</f>
        <v>110.6037</v>
      </c>
      <c r="E42" s="23" vm="10697">
        <f ca="1"/>
        <v>109.5055</v>
      </c>
      <c r="F42" s="23" vm="10698">
        <f ca="1"/>
        <v>105.0236</v>
      </c>
      <c r="G42" s="23" vm="10699">
        <f ca="1"/>
        <v>102.3126</v>
      </c>
      <c r="H42" s="23" vm="10700">
        <f ca="1"/>
        <v>103.401</v>
      </c>
      <c r="I42" s="23" vm="10701">
        <f ca="1"/>
        <v>103.37130000000001</v>
      </c>
      <c r="J42" s="23" vm="10702">
        <f ca="1"/>
        <v>103.8561</v>
      </c>
      <c r="K42" s="23" vm="10703">
        <f ca="1"/>
        <v>103.83629999999999</v>
      </c>
      <c r="L42" s="23" vm="10704">
        <f ca="1"/>
        <v>102.7381</v>
      </c>
      <c r="M42" s="23" vm="10705">
        <f ca="1"/>
        <v>102.2137</v>
      </c>
      <c r="N42" s="23" vm="10706">
        <f ca="1"/>
        <v>102.2929</v>
      </c>
      <c r="O42" s="23" vm="10707">
        <f ca="1"/>
        <v>100.977</v>
      </c>
      <c r="P42" s="23" vm="10705">
        <f ca="1"/>
        <v>102.2137</v>
      </c>
      <c r="Q42" s="23" vm="10708">
        <f ca="1"/>
        <v>101.907</v>
      </c>
      <c r="R42" s="23" vm="10709">
        <f ca="1"/>
        <v>100.512</v>
      </c>
      <c r="S42" s="23" vm="10710">
        <f ca="1"/>
        <v>101.6893</v>
      </c>
      <c r="T42" s="23" vm="10711">
        <f ca="1"/>
        <v>99.591800000000006</v>
      </c>
      <c r="U42" s="23" vm="10712">
        <f ca="1"/>
        <v>101.2441</v>
      </c>
      <c r="V42" s="23" vm="10713">
        <f ca="1"/>
        <v>104.1925</v>
      </c>
      <c r="W42" s="23" vm="10714">
        <f ca="1"/>
        <v>106.83410000000001</v>
      </c>
      <c r="X42" s="23" vm="10715">
        <f ca="1"/>
        <v>107.6553</v>
      </c>
      <c r="Y42" s="23" vm="10716">
        <f ca="1"/>
        <v>108.0808</v>
      </c>
      <c r="Z42" s="23" vm="10717">
        <f ca="1"/>
        <v>108.0412</v>
      </c>
      <c r="AA42" s="23" vm="10718">
        <f ca="1"/>
        <v>108.5557</v>
      </c>
      <c r="AB42" s="23" vm="10719">
        <f ca="1"/>
        <v>108.61499999999999</v>
      </c>
      <c r="AC42" s="23" vm="10720">
        <f ca="1"/>
        <v>107.60590000000001</v>
      </c>
      <c r="AD42" vm="10721">
        <f ca="1"/>
        <v>110.26730000000001</v>
      </c>
      <c r="AE42" vm="10722">
        <f ca="1"/>
        <v>108.0115</v>
      </c>
      <c r="AF42" vm="10723">
        <f ca="1"/>
        <v>106.2405</v>
      </c>
      <c r="AG42" vm="10724">
        <f ca="1"/>
        <v>108.9415</v>
      </c>
      <c r="AH42" vm="10725">
        <f ca="1"/>
        <v>106.11190000000001</v>
      </c>
      <c r="AI42" vm="10726">
        <f ca="1"/>
        <v>103.3317</v>
      </c>
      <c r="AJ42" vm="10727">
        <f ca="1"/>
        <v>104.3211</v>
      </c>
      <c r="AK42" vm="10728">
        <f ca="1"/>
        <v>105.3797</v>
      </c>
      <c r="AL42" vm="10729">
        <f ca="1"/>
        <v>104.8653</v>
      </c>
      <c r="AM42" vm="5597">
        <f ca="1"/>
        <v>101.63</v>
      </c>
      <c r="AN42" vm="10730">
        <f ca="1"/>
        <v>102.0455</v>
      </c>
      <c r="AO42" vm="10731">
        <f ca="1"/>
        <v>102.5501</v>
      </c>
      <c r="AP42" vm="10732">
        <f ca="1"/>
        <v>100.6307</v>
      </c>
      <c r="AQ42" vm="10733">
        <f ca="1"/>
        <v>101.8377</v>
      </c>
      <c r="AR42" vm="10734">
        <f ca="1"/>
        <v>102.23350000000001</v>
      </c>
      <c r="AS42" vm="10735">
        <f ca="1"/>
        <v>101.01649999999999</v>
      </c>
      <c r="AT42" vm="10736">
        <f ca="1"/>
        <v>99.453299999999999</v>
      </c>
      <c r="AU42" vm="10737">
        <f ca="1"/>
        <v>99.720399999999998</v>
      </c>
      <c r="AV42" vm="10738">
        <f ca="1"/>
        <v>97.266800000000003</v>
      </c>
      <c r="AW42" vm="10739">
        <f ca="1"/>
        <v>96.811599999999999</v>
      </c>
      <c r="AX42" vm="10740">
        <f ca="1"/>
        <v>99.928200000000004</v>
      </c>
      <c r="AY42" vm="10741">
        <f ca="1"/>
        <v>98.721199999999996</v>
      </c>
      <c r="AZ42" vm="10742">
        <f ca="1"/>
        <v>97.3459</v>
      </c>
      <c r="BA42" vm="10743">
        <f ca="1"/>
        <v>97.7911</v>
      </c>
      <c r="BB42" vm="10744">
        <f ca="1"/>
        <v>96.099299999999999</v>
      </c>
      <c r="BC42" vm="10745">
        <f ca="1"/>
        <v>95.545199999999994</v>
      </c>
      <c r="BD42" vm="10746">
        <f ca="1"/>
        <v>97.890100000000004</v>
      </c>
      <c r="BE42" vm="10747">
        <f ca="1"/>
        <v>99.146600000000007</v>
      </c>
      <c r="BF42" vm="10748">
        <f ca="1"/>
        <v>98.879499999999993</v>
      </c>
      <c r="BG42" vm="10749">
        <f ca="1"/>
        <v>98.562899999999999</v>
      </c>
      <c r="BH42" vm="10750">
        <f ca="1"/>
        <v>96.396100000000004</v>
      </c>
      <c r="BI42" vm="10751">
        <f ca="1"/>
        <v>95.3078</v>
      </c>
      <c r="BJ42" vm="10752">
        <f ca="1"/>
        <v>92.864000000000004</v>
      </c>
      <c r="BK42" vm="10753">
        <f ca="1"/>
        <v>94.397499999999994</v>
      </c>
      <c r="BL42" vm="10754">
        <f ca="1"/>
        <v>94.941699999999997</v>
      </c>
      <c r="BM42" vm="10755">
        <f ca="1"/>
        <v>94.4268</v>
      </c>
      <c r="BN42" vm="10756">
        <f ca="1"/>
        <v>95.948400000000007</v>
      </c>
      <c r="BO42" vm="10757">
        <f ca="1"/>
        <v>95.918599999999998</v>
      </c>
      <c r="BP42" vm="10758">
        <f ca="1"/>
        <v>94.307500000000005</v>
      </c>
      <c r="BQ42" vm="10759">
        <f ca="1"/>
        <v>97.052300000000002</v>
      </c>
      <c r="BR42" vm="10760">
        <f ca="1"/>
        <v>96.584900000000005</v>
      </c>
      <c r="BS42" vm="10761">
        <f ca="1"/>
        <v>96.425799999999995</v>
      </c>
      <c r="BT42" vm="10762">
        <f ca="1"/>
        <v>96.306399999999996</v>
      </c>
      <c r="BU42" vm="2052">
        <f ca="1"/>
        <v>93.85</v>
      </c>
      <c r="BV42" vm="10763">
        <f ca="1"/>
        <v>94.685400000000001</v>
      </c>
      <c r="BW42" vm="10764">
        <f ca="1"/>
        <v>94.695300000000003</v>
      </c>
      <c r="BX42" vm="10765">
        <f ca="1"/>
        <v>96.077699999999993</v>
      </c>
      <c r="BY42" vm="10766">
        <f ca="1"/>
        <v>90.259900000000002</v>
      </c>
      <c r="BZ42" vm="6832">
        <f ca="1"/>
        <v>92.04</v>
      </c>
      <c r="CA42" vm="10767">
        <f ca="1"/>
        <v>88.241100000000003</v>
      </c>
      <c r="CB42" vm="10768">
        <f ca="1"/>
        <v>85.0488</v>
      </c>
      <c r="CC42" vm="10769">
        <f ca="1"/>
        <v>90.498599999999996</v>
      </c>
      <c r="CD42" vm="10770">
        <f ca="1"/>
        <v>87.813500000000005</v>
      </c>
      <c r="CE42" vm="10771">
        <f ca="1"/>
        <v>88.7483</v>
      </c>
      <c r="CF42" vm="10772">
        <f ca="1"/>
        <v>89.474299999999999</v>
      </c>
      <c r="CG42" vm="10773">
        <f ca="1"/>
        <v>88.638900000000007</v>
      </c>
      <c r="CH42" vm="10774">
        <f ca="1"/>
        <v>86.799099999999996</v>
      </c>
      <c r="CI42" vm="10775">
        <f ca="1"/>
        <v>88.5792</v>
      </c>
      <c r="CJ42" vm="10776">
        <f ca="1"/>
        <v>86.998000000000005</v>
      </c>
      <c r="CK42" vm="10777">
        <f ca="1"/>
        <v>90.140600000000006</v>
      </c>
      <c r="CL42" vm="10778">
        <f ca="1"/>
        <v>90.011300000000006</v>
      </c>
      <c r="CM42" vm="10779">
        <f ca="1"/>
        <v>91.642300000000006</v>
      </c>
      <c r="CN42" vm="10780">
        <f ca="1"/>
        <v>90.757199999999997</v>
      </c>
      <c r="CO42" vm="10781">
        <f ca="1"/>
        <v>90.906300000000002</v>
      </c>
      <c r="CP42" vm="10782">
        <f ca="1"/>
        <v>91.085300000000004</v>
      </c>
      <c r="CQ42" vm="10783">
        <f ca="1"/>
        <v>91.582599999999999</v>
      </c>
      <c r="CR42" vm="10784">
        <f ca="1"/>
        <v>91.358800000000002</v>
      </c>
      <c r="CS42" vm="10785">
        <f ca="1"/>
        <v>93.143900000000002</v>
      </c>
      <c r="CT42" vm="10786">
        <f ca="1"/>
        <v>92.378200000000007</v>
      </c>
      <c r="CU42" vm="10787">
        <f ca="1"/>
        <v>90.448899999999995</v>
      </c>
      <c r="CV42" vm="10788">
        <f ca="1"/>
        <v>90.627899999999997</v>
      </c>
      <c r="CW42" vm="10789">
        <f ca="1"/>
        <v>92.209100000000007</v>
      </c>
      <c r="CX42" vm="10790">
        <f ca="1"/>
        <v>91.5428</v>
      </c>
      <c r="CY42" vm="10791">
        <f ca="1"/>
        <v>95.461100000000002</v>
      </c>
      <c r="CZ42" vm="10792">
        <f ca="1"/>
        <v>95.610299999999995</v>
      </c>
      <c r="DA42" vm="10793">
        <f ca="1"/>
        <v>92.746099999999998</v>
      </c>
      <c r="DB42" vm="10794">
        <f ca="1"/>
        <v>93.531800000000004</v>
      </c>
      <c r="DC42" vm="10795">
        <f ca="1"/>
        <v>94.894199999999998</v>
      </c>
      <c r="DD42" vm="10796">
        <f ca="1"/>
        <v>93.999200000000002</v>
      </c>
      <c r="DE42" vm="10797">
        <f ca="1"/>
        <v>92.636700000000005</v>
      </c>
      <c r="DF42" vm="10798">
        <f ca="1"/>
        <v>90.051100000000005</v>
      </c>
      <c r="DG42" vm="10799">
        <f ca="1"/>
        <v>89.653300000000002</v>
      </c>
      <c r="DH42" vm="10800">
        <f ca="1"/>
        <v>89.245500000000007</v>
      </c>
      <c r="DI42" vm="10801">
        <f ca="1"/>
        <v>91.065399999999997</v>
      </c>
      <c r="DJ42" vm="10802">
        <f ca="1"/>
        <v>88.559299999999993</v>
      </c>
      <c r="DK42" vm="10803">
        <f ca="1"/>
        <v>89.215699999999998</v>
      </c>
      <c r="DL42" vm="10804">
        <f ca="1"/>
        <v>88.986999999999995</v>
      </c>
      <c r="DM42" vm="10805">
        <f ca="1"/>
        <v>88.0124</v>
      </c>
      <c r="DN42" vm="10806">
        <f ca="1"/>
        <v>89.444400000000002</v>
      </c>
      <c r="DO42" vm="10807">
        <f ca="1"/>
        <v>91.314099999999996</v>
      </c>
      <c r="DP42" vm="10808">
        <f ca="1"/>
        <v>91.244500000000002</v>
      </c>
      <c r="DQ42" vm="10809">
        <f ca="1"/>
        <v>90.170400000000001</v>
      </c>
      <c r="DR42" vm="10810">
        <f ca="1"/>
        <v>91.194699999999997</v>
      </c>
      <c r="DS42" vm="10811">
        <f ca="1"/>
        <v>93.6511</v>
      </c>
      <c r="DT42" vm="10812">
        <f ca="1"/>
        <v>91.970399999999998</v>
      </c>
      <c r="DU42" vm="10813">
        <f ca="1"/>
        <v>92.527299999999997</v>
      </c>
      <c r="DV42" vm="10814">
        <f ca="1"/>
        <v>89.812399999999997</v>
      </c>
      <c r="DW42" vm="6079">
        <f ca="1"/>
        <v>90.25</v>
      </c>
      <c r="DX42" vm="975">
        <f ca="1"/>
        <v>87.71</v>
      </c>
      <c r="DY42" vm="6793">
        <f ca="1"/>
        <v>87.74</v>
      </c>
      <c r="DZ42" vm="10815">
        <f ca="1"/>
        <v>89.635000000000005</v>
      </c>
      <c r="EA42" vm="6116">
        <f ca="1"/>
        <v>92.52</v>
      </c>
      <c r="EB42" vm="6081">
        <f ca="1"/>
        <v>93.24</v>
      </c>
      <c r="EC42" vm="10816">
        <f ca="1"/>
        <v>91.83</v>
      </c>
      <c r="ED42" vm="1319">
        <f ca="1"/>
        <v>92.26</v>
      </c>
      <c r="EE42" vm="7952">
        <f ca="1"/>
        <v>93.2</v>
      </c>
      <c r="EF42" vm="6115">
        <f ca="1"/>
        <v>93.17</v>
      </c>
      <c r="EG42" vm="5526">
        <f ca="1"/>
        <v>97.13</v>
      </c>
      <c r="EH42" vm="10817">
        <f ca="1"/>
        <v>98.07</v>
      </c>
      <c r="EI42" vm="7914">
        <f ca="1"/>
        <v>96.36</v>
      </c>
      <c r="EJ42" vm="10818">
        <f ca="1"/>
        <v>95.1</v>
      </c>
      <c r="EK42" vm="10819">
        <f ca="1"/>
        <v>95.76</v>
      </c>
      <c r="EL42" vm="10820">
        <f ca="1"/>
        <v>99.21</v>
      </c>
      <c r="EM42" vm="10821">
        <f ca="1"/>
        <v>100.23</v>
      </c>
      <c r="EN42" vm="10822">
        <f ca="1"/>
        <v>98.75</v>
      </c>
      <c r="EO42" vm="10823">
        <f ca="1"/>
        <v>98.02</v>
      </c>
      <c r="EP42" vm="4486">
        <f ca="1"/>
        <v>94.18</v>
      </c>
      <c r="EQ42" vm="8282">
        <f ca="1"/>
        <v>95.03</v>
      </c>
      <c r="ER42" vm="1323">
        <f ca="1"/>
        <v>95.69</v>
      </c>
      <c r="ES42" vm="2050">
        <f ca="1"/>
        <v>95.08</v>
      </c>
      <c r="ET42" vm="10824">
        <f ca="1"/>
        <v>94.81</v>
      </c>
      <c r="EU42" vm="7909">
        <f ca="1"/>
        <v>102.28</v>
      </c>
      <c r="EV42" vm="10825">
        <f ca="1"/>
        <v>102.04</v>
      </c>
      <c r="EW42" vm="4606">
        <f ca="1"/>
        <v>99.76</v>
      </c>
      <c r="EX42" vm="3207">
        <f ca="1"/>
        <v>100.43</v>
      </c>
      <c r="EY42" vm="3203">
        <f ca="1"/>
        <v>100.67</v>
      </c>
      <c r="EZ42" vm="3203">
        <f ca="1"/>
        <v>100.67</v>
      </c>
      <c r="FA42" vm="10826">
        <f ca="1"/>
        <v>98.17</v>
      </c>
      <c r="FB42" vm="7915">
        <f ca="1"/>
        <v>97.41</v>
      </c>
      <c r="FC42" vm="10827">
        <f ca="1"/>
        <v>100.01</v>
      </c>
      <c r="FD42" vm="10825">
        <f ca="1"/>
        <v>102.04</v>
      </c>
      <c r="FE42" vm="280">
        <f ca="1"/>
        <v>103.59</v>
      </c>
      <c r="FF42" vm="682">
        <f ca="1"/>
        <v>102.97</v>
      </c>
      <c r="FG42" vm="10828">
        <f ca="1"/>
        <v>103.31</v>
      </c>
      <c r="FH42" vm="3236">
        <f ca="1"/>
        <v>103.86</v>
      </c>
      <c r="FI42" vm="10829">
        <f ca="1"/>
        <v>103.18</v>
      </c>
      <c r="FJ42" vm="10830">
        <f ca="1"/>
        <v>106.46</v>
      </c>
      <c r="FK42" vm="1505">
        <f ca="1"/>
        <v>111.2</v>
      </c>
      <c r="FL42" vm="8047">
        <f ca="1"/>
        <v>109.48</v>
      </c>
      <c r="FM42" vm="10831">
        <f ca="1"/>
        <v>109.62</v>
      </c>
      <c r="FN42" vm="8010">
        <f ca="1"/>
        <v>109.09</v>
      </c>
      <c r="FO42" vm="10832">
        <f ca="1"/>
        <v>111.07</v>
      </c>
      <c r="FP42" vm="8272">
        <f ca="1"/>
        <v>108.11</v>
      </c>
      <c r="FQ42" vm="10833">
        <f ca="1"/>
        <v>107.28</v>
      </c>
      <c r="FR42" vm="10834">
        <f ca="1"/>
        <v>112.92</v>
      </c>
      <c r="FS42" vm="10835">
        <f ca="1"/>
        <v>111.53</v>
      </c>
      <c r="FT42" vm="10836">
        <f ca="1"/>
        <v>110.88</v>
      </c>
      <c r="FU42" vm="9280">
        <f ca="1"/>
        <v>110.78</v>
      </c>
      <c r="FV42" vm="10837">
        <f ca="1"/>
        <v>110.7</v>
      </c>
      <c r="FW42" vm="10837">
        <f ca="1"/>
        <v>110.7</v>
      </c>
      <c r="FX42" vm="5643">
        <f ca="1"/>
        <v>110.18</v>
      </c>
      <c r="FY42" vm="10838">
        <f ca="1"/>
        <v>110.85</v>
      </c>
      <c r="FZ42" vm="5680">
        <f ca="1"/>
        <v>114.17</v>
      </c>
      <c r="GA42" vm="8346">
        <f ca="1"/>
        <v>116.7</v>
      </c>
      <c r="GB42" vm="10839">
        <f ca="1"/>
        <v>117.14</v>
      </c>
      <c r="GC42" vm="5693">
        <f ca="1"/>
        <v>113.42</v>
      </c>
      <c r="GD42" vm="5676">
        <f ca="1"/>
        <v>112.8</v>
      </c>
      <c r="GE42" vm="10840">
        <f ca="1"/>
        <v>115.91</v>
      </c>
      <c r="GF42" vm="10841">
        <f ca="1"/>
        <v>113.68</v>
      </c>
      <c r="GG42" vm="10842">
        <f ca="1"/>
        <v>112.16</v>
      </c>
      <c r="GH42" vm="10843">
        <f ca="1"/>
        <v>111.6</v>
      </c>
      <c r="GI42" vm="10844">
        <f ca="1"/>
        <v>110.41</v>
      </c>
      <c r="GJ42" vm="10845">
        <f ca="1"/>
        <v>110.69</v>
      </c>
      <c r="GK42" vm="10846">
        <f ca="1"/>
        <v>108.83</v>
      </c>
      <c r="GL42" vm="7931">
        <f ca="1"/>
        <v>106.67</v>
      </c>
      <c r="GM42" vm="10847">
        <f ca="1"/>
        <v>107.03</v>
      </c>
      <c r="GN42" vm="10848">
        <f ca="1"/>
        <v>107.13</v>
      </c>
      <c r="GO42" vm="10849">
        <f ca="1"/>
        <v>105.5</v>
      </c>
      <c r="GP42" vm="10850">
        <f ca="1"/>
        <v>106.93</v>
      </c>
      <c r="GQ42" vm="9271">
        <f ca="1"/>
        <v>107.55</v>
      </c>
      <c r="GR42" vm="2993">
        <f ca="1"/>
        <v>107.25</v>
      </c>
      <c r="GS42" vm="10851">
        <f ca="1"/>
        <v>108.13</v>
      </c>
      <c r="GT42" vm="10852">
        <f ca="1"/>
        <v>108.26</v>
      </c>
      <c r="GU42" vm="8319">
        <f ca="1"/>
        <v>109.24</v>
      </c>
      <c r="GV42" vm="5619">
        <f ca="1"/>
        <v>107</v>
      </c>
      <c r="GW42" vm="10853">
        <f ca="1"/>
        <v>103.74</v>
      </c>
      <c r="GX42" vm="10854">
        <f ca="1"/>
        <v>103.79</v>
      </c>
      <c r="GY42" vm="4639">
        <f ca="1"/>
        <v>101.09</v>
      </c>
      <c r="GZ42" vm="142">
        <f ca="1"/>
        <v>99.84</v>
      </c>
      <c r="HA42" vm="10855">
        <f ca="1"/>
        <v>100.24</v>
      </c>
      <c r="HB42" vm="10856">
        <f ca="1"/>
        <v>103.39</v>
      </c>
      <c r="HC42" vm="10857">
        <f ca="1"/>
        <v>103.36</v>
      </c>
      <c r="HD42" vm="278">
        <f ca="1"/>
        <v>102.78</v>
      </c>
      <c r="HE42" vm="4620">
        <f ca="1"/>
        <v>103.5</v>
      </c>
      <c r="HF42" vm="10858">
        <f ca="1"/>
        <v>103.88</v>
      </c>
      <c r="HG42" vm="10859">
        <f ca="1"/>
        <v>105.7</v>
      </c>
      <c r="HH42" vm="10860">
        <f ca="1"/>
        <v>103.82</v>
      </c>
      <c r="HI42" vm="284">
        <f ca="1"/>
        <v>104.44</v>
      </c>
      <c r="HJ42" vm="10861">
        <f ca="1"/>
        <v>103.97</v>
      </c>
      <c r="HK42" vm="10862">
        <f ca="1"/>
        <v>104.16</v>
      </c>
      <c r="HL42" vm="10863">
        <f ca="1"/>
        <v>103.75</v>
      </c>
      <c r="HM42" vm="3203">
        <f ca="1"/>
        <v>100.67</v>
      </c>
      <c r="HN42" vm="10864">
        <f ca="1"/>
        <v>100.235</v>
      </c>
      <c r="HO42" vm="10865">
        <f ca="1"/>
        <v>100.42</v>
      </c>
      <c r="HP42" vm="10866">
        <f ca="1"/>
        <v>98.7</v>
      </c>
      <c r="HQ42" vm="10867">
        <f ca="1"/>
        <v>98.84</v>
      </c>
      <c r="HR42" vm="10868">
        <f ca="1"/>
        <v>98.284999999999997</v>
      </c>
      <c r="HS42" vm="5563">
        <f ca="1"/>
        <v>97.79</v>
      </c>
      <c r="HT42" vm="10869">
        <f ca="1"/>
        <v>98.68</v>
      </c>
      <c r="HU42" vm="10867">
        <f ca="1"/>
        <v>98.84</v>
      </c>
      <c r="HV42" vm="10870">
        <f ca="1"/>
        <v>99.73</v>
      </c>
      <c r="HW42" vm="10871">
        <f ca="1"/>
        <v>99.43</v>
      </c>
      <c r="HX42" vm="5563">
        <f ca="1"/>
        <v>97.79</v>
      </c>
      <c r="HY42" vm="10872">
        <f ca="1"/>
        <v>97.11</v>
      </c>
      <c r="HZ42" vm="10873">
        <f ca="1"/>
        <v>94.09</v>
      </c>
      <c r="IA42" vm="10874">
        <f ca="1"/>
        <v>93.81</v>
      </c>
      <c r="IB42" vm="1045">
        <f ca="1"/>
        <v>93.82</v>
      </c>
      <c r="IC42" vm="1046">
        <f ca="1"/>
        <v>93.78</v>
      </c>
      <c r="ID42" vm="1047">
        <f ca="1"/>
        <v>98.46</v>
      </c>
      <c r="IE42" vm="1048">
        <f ca="1"/>
        <v>97.95</v>
      </c>
      <c r="IF42" vm="1049">
        <f ca="1"/>
        <v>102.59</v>
      </c>
      <c r="IG42" vm="677">
        <f ca="1"/>
        <v>103.89</v>
      </c>
      <c r="IH42" vm="1050">
        <f ca="1"/>
        <v>103.91</v>
      </c>
      <c r="II42" vm="1051">
        <f ca="1"/>
        <v>103.64</v>
      </c>
      <c r="IJ42" vm="283">
        <f ca="1"/>
        <v>103.46</v>
      </c>
      <c r="IK42" vm="1052">
        <f ca="1"/>
        <v>105.59</v>
      </c>
      <c r="IL42" vm="1053">
        <f ca="1"/>
        <v>103.34</v>
      </c>
      <c r="IM42" vm="1054">
        <f ca="1"/>
        <v>102.71</v>
      </c>
      <c r="IN42" vm="1055">
        <f ca="1"/>
        <v>100.59</v>
      </c>
      <c r="IO42" vm="1056">
        <f ca="1"/>
        <v>99.01</v>
      </c>
      <c r="IP42" vm="1057">
        <f ca="1"/>
        <v>102.17</v>
      </c>
      <c r="IQ42" vm="1058">
        <f ca="1"/>
        <v>102.82</v>
      </c>
      <c r="IR42" vm="1059">
        <f ca="1"/>
        <v>102.53</v>
      </c>
      <c r="IS42" vm="1060">
        <f ca="1"/>
        <v>102.29</v>
      </c>
      <c r="IT42" vm="1061">
        <f ca="1"/>
        <v>101.04</v>
      </c>
      <c r="IU42" vm="1062">
        <f ca="1"/>
        <v>99.87</v>
      </c>
      <c r="IV42" vm="1063">
        <f ca="1"/>
        <v>99.89</v>
      </c>
      <c r="IW42" vm="62">
        <f ca="1"/>
        <v>98.18</v>
      </c>
    </row>
    <row r="43" spans="1:257" ht="16" x14ac:dyDescent="0.2">
      <c r="A43" s="14" t="e" vm="1064">
        <v>#VALUE!</v>
      </c>
      <c r="B43" s="23" t="str" cm="1">
        <f t="array" aca="1" ref="B43" ca="1">_FV(A43,"ticker symbol",TRUE)</f>
        <v>XHB</v>
      </c>
      <c r="C43" s="23" t="str" cm="1">
        <f t="array" aca="1" ref="C43" ca="1">_FV(A43,"Name")</f>
        <v>SS SPDR S&amp;P Homebuilders</v>
      </c>
      <c r="D43" cm="1" vm="5695">
        <f t="array" aca="1" ref="D43:IW43" ca="1">TRANSPOSE(_xlfn.STOCKHISTORY(B43, WORKDAY(TODAY(), -265), TODAY(), 0, 0, 1))</f>
        <v>113.28</v>
      </c>
      <c r="E43" s="23" vm="5698">
        <f ca="1"/>
        <v>111.93</v>
      </c>
      <c r="F43" s="23" vm="2990">
        <f ca="1"/>
        <v>106.99</v>
      </c>
      <c r="G43" s="23" vm="10875">
        <f ca="1"/>
        <v>104.65</v>
      </c>
      <c r="H43" s="23" vm="5623">
        <f ca="1"/>
        <v>105.99</v>
      </c>
      <c r="I43" s="23" vm="8252">
        <f ca="1"/>
        <v>105.77</v>
      </c>
      <c r="J43" s="23" vm="2986">
        <f ca="1"/>
        <v>106.33</v>
      </c>
      <c r="K43" s="23" vm="10876">
        <f ca="1"/>
        <v>106.24</v>
      </c>
      <c r="L43" s="23" vm="7930">
        <f ca="1"/>
        <v>104.96</v>
      </c>
      <c r="M43" s="23" vm="10877">
        <f ca="1"/>
        <v>104.5</v>
      </c>
      <c r="N43" s="23" vm="10877">
        <f ca="1"/>
        <v>104.5</v>
      </c>
      <c r="O43" s="23" vm="5548">
        <f ca="1"/>
        <v>103.48</v>
      </c>
      <c r="P43" s="23" vm="10878">
        <f ca="1"/>
        <v>104.77</v>
      </c>
      <c r="Q43" s="23" vm="8310">
        <f ca="1"/>
        <v>104.68</v>
      </c>
      <c r="R43" s="23" vm="10879">
        <f ca="1"/>
        <v>103.26</v>
      </c>
      <c r="S43" s="23" vm="284">
        <f ca="1"/>
        <v>104.44</v>
      </c>
      <c r="T43" s="23" vm="5540">
        <f ca="1"/>
        <v>102.38</v>
      </c>
      <c r="U43" s="23" vm="10858">
        <f ca="1"/>
        <v>103.88</v>
      </c>
      <c r="V43" s="23" vm="8261">
        <f ca="1"/>
        <v>106.94</v>
      </c>
      <c r="W43" s="23" vm="10880">
        <f ca="1"/>
        <v>109.38</v>
      </c>
      <c r="X43" s="23" vm="10881">
        <f ca="1"/>
        <v>110.21</v>
      </c>
      <c r="Y43" s="23" vm="10882">
        <f ca="1"/>
        <v>110.67</v>
      </c>
      <c r="Z43" s="23" vm="10883">
        <f ca="1"/>
        <v>111.54</v>
      </c>
      <c r="AA43" s="23" vm="10835">
        <f ca="1"/>
        <v>111.53</v>
      </c>
      <c r="AB43" s="23" vm="10884">
        <f ca="1"/>
        <v>111.91</v>
      </c>
      <c r="AC43" s="23" vm="10885">
        <f ca="1"/>
        <v>111.17</v>
      </c>
      <c r="AD43" vm="10886">
        <f ca="1"/>
        <v>112.45</v>
      </c>
      <c r="AE43" vm="10887">
        <f ca="1"/>
        <v>110.6</v>
      </c>
      <c r="AF43" vm="10888">
        <f ca="1"/>
        <v>108.73</v>
      </c>
      <c r="AG43" vm="10889">
        <f ca="1"/>
        <v>110.93</v>
      </c>
      <c r="AH43" vm="10890">
        <f ca="1"/>
        <v>108.4</v>
      </c>
      <c r="AI43" vm="10891">
        <f ca="1"/>
        <v>105.69</v>
      </c>
      <c r="AJ43" vm="10892">
        <f ca="1"/>
        <v>106.51</v>
      </c>
      <c r="AK43" vm="10893">
        <f ca="1"/>
        <v>107.65</v>
      </c>
      <c r="AL43" vm="9271">
        <f ca="1"/>
        <v>107.55</v>
      </c>
      <c r="AM43" vm="10894">
        <f ca="1"/>
        <v>104.89</v>
      </c>
      <c r="AN43" vm="8318">
        <f ca="1"/>
        <v>106.11</v>
      </c>
      <c r="AO43" vm="5632">
        <f ca="1"/>
        <v>106.45</v>
      </c>
      <c r="AP43" vm="10894">
        <f ca="1"/>
        <v>104.89</v>
      </c>
      <c r="AQ43" vm="5623">
        <f ca="1"/>
        <v>105.99</v>
      </c>
      <c r="AR43" vm="2989">
        <f ca="1"/>
        <v>106.7</v>
      </c>
      <c r="AS43" vm="10895">
        <f ca="1"/>
        <v>105.48</v>
      </c>
      <c r="AT43" vm="7918">
        <f ca="1"/>
        <v>104.11</v>
      </c>
      <c r="AU43" vm="10861">
        <f ca="1"/>
        <v>103.97</v>
      </c>
      <c r="AV43" vm="10896">
        <f ca="1"/>
        <v>101.11</v>
      </c>
      <c r="AW43" vm="3199">
        <f ca="1"/>
        <v>100.58</v>
      </c>
      <c r="AX43" vm="1053">
        <f ca="1"/>
        <v>103.34</v>
      </c>
      <c r="AY43" vm="10897">
        <f ca="1"/>
        <v>102.37</v>
      </c>
      <c r="AZ43" vm="8307">
        <f ca="1"/>
        <v>100.72</v>
      </c>
      <c r="BA43" vm="10898">
        <f ca="1"/>
        <v>101.39</v>
      </c>
      <c r="BB43" vm="10899">
        <f ca="1"/>
        <v>98.99</v>
      </c>
      <c r="BC43" vm="10900">
        <f ca="1"/>
        <v>98.19</v>
      </c>
      <c r="BD43" vm="3202">
        <f ca="1"/>
        <v>100.64</v>
      </c>
      <c r="BE43" vm="10901">
        <f ca="1"/>
        <v>101.48</v>
      </c>
      <c r="BF43" vm="4637">
        <f ca="1"/>
        <v>101.88</v>
      </c>
      <c r="BG43" vm="10902">
        <f ca="1"/>
        <v>101.23</v>
      </c>
      <c r="BH43" vm="10822">
        <f ca="1"/>
        <v>98.75</v>
      </c>
      <c r="BI43" vm="10903">
        <f ca="1"/>
        <v>98.01</v>
      </c>
      <c r="BJ43" vm="2043">
        <f ca="1"/>
        <v>95.53</v>
      </c>
      <c r="BK43" vm="4559">
        <f ca="1"/>
        <v>97.51</v>
      </c>
      <c r="BL43" vm="10904">
        <f ca="1"/>
        <v>98.38</v>
      </c>
      <c r="BM43" vm="10905">
        <f ca="1"/>
        <v>97.83</v>
      </c>
      <c r="BN43" vm="4571">
        <f ca="1"/>
        <v>99.18</v>
      </c>
      <c r="BO43" vm="8280">
        <f ca="1"/>
        <v>98.82</v>
      </c>
      <c r="BP43" vm="5591">
        <f ca="1"/>
        <v>97.42</v>
      </c>
      <c r="BQ43" vm="3258">
        <f ca="1"/>
        <v>100.19</v>
      </c>
      <c r="BR43" vm="10906">
        <f ca="1"/>
        <v>99.61</v>
      </c>
      <c r="BS43" vm="5524">
        <f ca="1"/>
        <v>99.04</v>
      </c>
      <c r="BT43" vm="4595">
        <f ca="1"/>
        <v>98.78</v>
      </c>
      <c r="BU43" vm="7954">
        <f ca="1"/>
        <v>96.1</v>
      </c>
      <c r="BV43" vm="2039">
        <f ca="1"/>
        <v>96.9</v>
      </c>
      <c r="BW43" vm="10907">
        <f ca="1"/>
        <v>97.2</v>
      </c>
      <c r="BX43" vm="8280">
        <f ca="1"/>
        <v>98.82</v>
      </c>
      <c r="BY43" vm="10908">
        <f ca="1"/>
        <v>91.82</v>
      </c>
      <c r="BZ43" vm="6119">
        <f ca="1"/>
        <v>92.87</v>
      </c>
      <c r="CA43" vm="595">
        <f ca="1"/>
        <v>89.99</v>
      </c>
      <c r="CB43" vm="10909">
        <f ca="1"/>
        <v>86.79</v>
      </c>
      <c r="CC43" vm="1322">
        <f ca="1"/>
        <v>93.52</v>
      </c>
      <c r="CD43" vm="6200">
        <f ca="1"/>
        <v>90.34</v>
      </c>
      <c r="CE43" vm="5584">
        <f ca="1"/>
        <v>91.27</v>
      </c>
      <c r="CF43" vm="4479">
        <f ca="1"/>
        <v>91.81</v>
      </c>
      <c r="CG43" vm="10910">
        <f ca="1"/>
        <v>91.1</v>
      </c>
      <c r="CH43" vm="10911">
        <f ca="1"/>
        <v>89.03</v>
      </c>
      <c r="CI43" vm="10912">
        <f ca="1"/>
        <v>90.85</v>
      </c>
      <c r="CJ43" vm="594">
        <f ca="1"/>
        <v>88.81</v>
      </c>
      <c r="CK43" vm="10913">
        <f ca="1"/>
        <v>92.19</v>
      </c>
      <c r="CL43" vm="10914">
        <f ca="1"/>
        <v>92.05</v>
      </c>
      <c r="CM43" vm="10915">
        <f ca="1"/>
        <v>94.35</v>
      </c>
      <c r="CN43" vm="10916">
        <f ca="1"/>
        <v>93.61</v>
      </c>
      <c r="CO43" vm="4501">
        <f ca="1"/>
        <v>93.77</v>
      </c>
      <c r="CP43" vm="10917">
        <f ca="1"/>
        <v>93.9</v>
      </c>
      <c r="CQ43" vm="4538">
        <f ca="1"/>
        <v>94.7</v>
      </c>
      <c r="CR43" vm="10918">
        <f ca="1"/>
        <v>95.18</v>
      </c>
      <c r="CS43" vm="8278">
        <f ca="1"/>
        <v>97.24</v>
      </c>
      <c r="CT43" vm="10919">
        <f ca="1"/>
        <v>96.59</v>
      </c>
      <c r="CU43" vm="10920">
        <f ca="1"/>
        <v>94.94</v>
      </c>
      <c r="CV43" vm="10818">
        <f ca="1"/>
        <v>95.1</v>
      </c>
      <c r="CW43" vm="2848">
        <f ca="1"/>
        <v>96.75</v>
      </c>
      <c r="CX43" vm="10921">
        <f ca="1"/>
        <v>96.39</v>
      </c>
      <c r="CY43" vm="10922">
        <f ca="1"/>
        <v>100.86</v>
      </c>
      <c r="CZ43" vm="9319">
        <f ca="1"/>
        <v>101.21</v>
      </c>
      <c r="DA43" vm="10869">
        <f ca="1"/>
        <v>98.68</v>
      </c>
      <c r="DB43" vm="10820">
        <f ca="1"/>
        <v>99.21</v>
      </c>
      <c r="DC43" vm="10923">
        <f ca="1"/>
        <v>100.89</v>
      </c>
      <c r="DD43" vm="10924">
        <f ca="1"/>
        <v>99.75</v>
      </c>
      <c r="DE43" vm="10925">
        <f ca="1"/>
        <v>98.67</v>
      </c>
      <c r="DF43" vm="10926">
        <f ca="1"/>
        <v>95.58</v>
      </c>
      <c r="DG43" vm="4545">
        <f ca="1"/>
        <v>95.15</v>
      </c>
      <c r="DH43" vm="4538">
        <f ca="1"/>
        <v>94.7</v>
      </c>
      <c r="DI43" vm="10927">
        <f ca="1"/>
        <v>96.73</v>
      </c>
      <c r="DJ43" vm="10928">
        <f ca="1"/>
        <v>94.23</v>
      </c>
      <c r="DK43" vm="10929">
        <f ca="1"/>
        <v>94.93</v>
      </c>
      <c r="DL43" vm="10930">
        <f ca="1"/>
        <v>94.26</v>
      </c>
      <c r="DM43" vm="10931">
        <f ca="1"/>
        <v>93.07</v>
      </c>
      <c r="DN43" vm="10932">
        <f ca="1"/>
        <v>94.69</v>
      </c>
      <c r="DO43" vm="8302">
        <f ca="1"/>
        <v>96.02</v>
      </c>
      <c r="DP43" vm="5567">
        <f ca="1"/>
        <v>95.91</v>
      </c>
      <c r="DQ43" vm="10933">
        <f ca="1"/>
        <v>95.13</v>
      </c>
      <c r="DR43" vm="10934">
        <f ca="1"/>
        <v>96.21</v>
      </c>
      <c r="DS43" vm="10935">
        <f ca="1"/>
        <v>98.06</v>
      </c>
      <c r="DT43" vm="3190">
        <f ca="1"/>
        <v>96.47</v>
      </c>
      <c r="DU43" vm="10936">
        <f ca="1"/>
        <v>96.8</v>
      </c>
      <c r="DV43" vm="10928">
        <f ca="1"/>
        <v>94.23</v>
      </c>
      <c r="DW43" vm="10937">
        <f ca="1"/>
        <v>95.32</v>
      </c>
      <c r="DX43" vm="10938">
        <f ca="1"/>
        <v>93.14</v>
      </c>
      <c r="DY43" vm="10939">
        <f ca="1"/>
        <v>93.26</v>
      </c>
      <c r="DZ43" vm="10824">
        <f ca="1"/>
        <v>94.81</v>
      </c>
      <c r="EA43" vm="10940">
        <f ca="1"/>
        <v>97.4</v>
      </c>
      <c r="EB43" vm="4584">
        <f ca="1"/>
        <v>98.37</v>
      </c>
      <c r="EC43" vm="5569">
        <f ca="1"/>
        <v>96.84</v>
      </c>
      <c r="ED43" vm="5570">
        <f ca="1"/>
        <v>97.6</v>
      </c>
      <c r="EE43" vm="1047">
        <f ca="1"/>
        <v>98.46</v>
      </c>
      <c r="EF43" vm="4600">
        <f ca="1"/>
        <v>98.57</v>
      </c>
      <c r="EG43" vm="3239">
        <f ca="1"/>
        <v>102.66</v>
      </c>
      <c r="EH43" vm="10941">
        <f ca="1"/>
        <v>103.72</v>
      </c>
      <c r="EI43" vm="5541">
        <f ca="1"/>
        <v>102.6</v>
      </c>
      <c r="EJ43" vm="10942">
        <f ca="1"/>
        <v>101.17</v>
      </c>
      <c r="EK43" vm="5600">
        <f ca="1"/>
        <v>101.82</v>
      </c>
      <c r="EL43" vm="8265">
        <f ca="1"/>
        <v>105</v>
      </c>
      <c r="EM43" vm="10943">
        <f ca="1"/>
        <v>106.06</v>
      </c>
      <c r="EN43" vm="9337">
        <f ca="1"/>
        <v>104.75</v>
      </c>
      <c r="EO43" vm="10944">
        <f ca="1"/>
        <v>104.02</v>
      </c>
      <c r="EP43" vm="3205">
        <f ca="1"/>
        <v>100.4</v>
      </c>
      <c r="EQ43" vm="10945">
        <f ca="1"/>
        <v>101.01</v>
      </c>
      <c r="ER43" vm="5605">
        <f ca="1"/>
        <v>102.4</v>
      </c>
      <c r="ES43" vm="8257">
        <f ca="1"/>
        <v>101.43</v>
      </c>
      <c r="ET43" vm="10946">
        <f ca="1"/>
        <v>101.05</v>
      </c>
      <c r="EU43" vm="9285">
        <f ca="1"/>
        <v>106.72</v>
      </c>
      <c r="EV43" vm="10947">
        <f ca="1"/>
        <v>107.7</v>
      </c>
      <c r="EW43" vm="10948">
        <f ca="1"/>
        <v>105.55</v>
      </c>
      <c r="EX43" vm="8270">
        <f ca="1"/>
        <v>106.53</v>
      </c>
      <c r="EY43" vm="10949">
        <f ca="1"/>
        <v>106.6</v>
      </c>
      <c r="EZ43" vm="10950">
        <f ca="1"/>
        <v>105.42</v>
      </c>
      <c r="FA43" vm="7906">
        <f ca="1"/>
        <v>102.92</v>
      </c>
      <c r="FB43" vm="10951">
        <f ca="1"/>
        <v>101.91</v>
      </c>
      <c r="FC43" vm="3236">
        <f ca="1"/>
        <v>103.86</v>
      </c>
      <c r="FD43" vm="10952">
        <f ca="1"/>
        <v>105.71</v>
      </c>
      <c r="FE43" vm="10953">
        <f ca="1"/>
        <v>107.26</v>
      </c>
      <c r="FF43" vm="8270">
        <f ca="1"/>
        <v>106.53</v>
      </c>
      <c r="FG43" vm="1069">
        <f ca="1"/>
        <v>107.81</v>
      </c>
      <c r="FH43" vm="3005">
        <f ca="1"/>
        <v>108.15</v>
      </c>
      <c r="FI43" vm="10954">
        <f ca="1"/>
        <v>107.52</v>
      </c>
      <c r="FJ43" vm="10955">
        <f ca="1"/>
        <v>111.4</v>
      </c>
      <c r="FK43" vm="10956">
        <f ca="1"/>
        <v>115.73</v>
      </c>
      <c r="FL43" vm="10957">
        <f ca="1"/>
        <v>113.66</v>
      </c>
      <c r="FM43" vm="10958">
        <f ca="1"/>
        <v>113.34</v>
      </c>
      <c r="FN43" vm="10959">
        <f ca="1"/>
        <v>113.14</v>
      </c>
      <c r="FO43" vm="8038">
        <f ca="1"/>
        <v>114.79</v>
      </c>
      <c r="FP43" vm="10960">
        <f ca="1"/>
        <v>112.32</v>
      </c>
      <c r="FQ43" vm="5699">
        <f ca="1"/>
        <v>111.33</v>
      </c>
      <c r="FR43" vm="10961">
        <f ca="1"/>
        <v>117</v>
      </c>
      <c r="FS43" vm="8339">
        <f ca="1"/>
        <v>115.19</v>
      </c>
      <c r="FT43" vm="10962">
        <f ca="1"/>
        <v>114.93</v>
      </c>
      <c r="FU43" vm="8338">
        <f ca="1"/>
        <v>114.88</v>
      </c>
      <c r="FV43" vm="10963">
        <f ca="1"/>
        <v>114.4</v>
      </c>
      <c r="FW43" vm="10964">
        <f ca="1"/>
        <v>114</v>
      </c>
      <c r="FX43" vm="10965">
        <f ca="1"/>
        <v>113</v>
      </c>
      <c r="FY43" vm="10966">
        <f ca="1"/>
        <v>113.62</v>
      </c>
      <c r="FZ43" vm="10967">
        <f ca="1"/>
        <v>117.21</v>
      </c>
      <c r="GA43" vm="3230">
        <f ca="1"/>
        <v>119.36</v>
      </c>
      <c r="GB43" vm="1402">
        <f ca="1"/>
        <v>119.58</v>
      </c>
      <c r="GC43" vm="10968">
        <f ca="1"/>
        <v>116.07</v>
      </c>
      <c r="GD43" vm="10969">
        <f ca="1"/>
        <v>115.76</v>
      </c>
      <c r="GE43" vm="10970">
        <f ca="1"/>
        <v>118.77</v>
      </c>
      <c r="GF43" vm="10971">
        <f ca="1"/>
        <v>116.16</v>
      </c>
      <c r="GG43" vm="10972">
        <f ca="1"/>
        <v>115.46</v>
      </c>
      <c r="GH43" vm="8345">
        <f ca="1"/>
        <v>115.02</v>
      </c>
      <c r="GI43" vm="10973">
        <f ca="1"/>
        <v>113.85</v>
      </c>
      <c r="GJ43" vm="10974">
        <f ca="1"/>
        <v>114.56</v>
      </c>
      <c r="GK43" vm="10975">
        <f ca="1"/>
        <v>113.02</v>
      </c>
      <c r="GL43" vm="10976">
        <f ca="1"/>
        <v>111.13</v>
      </c>
      <c r="GM43" vm="10977">
        <f ca="1"/>
        <v>111.32</v>
      </c>
      <c r="GN43" vm="10978">
        <f ca="1"/>
        <v>110.64</v>
      </c>
      <c r="GO43" vm="10979">
        <f ca="1"/>
        <v>109.12</v>
      </c>
      <c r="GP43" vm="10980">
        <f ca="1"/>
        <v>110.4</v>
      </c>
      <c r="GQ43" vm="10981">
        <f ca="1"/>
        <v>110.63</v>
      </c>
      <c r="GR43" vm="5642">
        <f ca="1"/>
        <v>110.8</v>
      </c>
      <c r="GS43" vm="10982">
        <f ca="1"/>
        <v>111.56</v>
      </c>
      <c r="GT43" vm="10983">
        <f ca="1"/>
        <v>111.64</v>
      </c>
      <c r="GU43" vm="10984">
        <f ca="1"/>
        <v>112.12</v>
      </c>
      <c r="GV43" vm="10985">
        <f ca="1"/>
        <v>109.82</v>
      </c>
      <c r="GW43" vm="8314">
        <f ca="1"/>
        <v>107.01</v>
      </c>
      <c r="GX43" vm="8271">
        <f ca="1"/>
        <v>107.8</v>
      </c>
      <c r="GY43" vm="9284">
        <f ca="1"/>
        <v>105.37</v>
      </c>
      <c r="GZ43" vm="10941">
        <f ca="1"/>
        <v>103.72</v>
      </c>
      <c r="HA43" vm="9336">
        <f ca="1"/>
        <v>104.33</v>
      </c>
      <c r="HB43" vm="5625">
        <f ca="1"/>
        <v>107.61</v>
      </c>
      <c r="HC43" vm="10986">
        <f ca="1"/>
        <v>107.79</v>
      </c>
      <c r="HD43" vm="3269">
        <f ca="1"/>
        <v>107.05</v>
      </c>
      <c r="HE43" vm="28">
        <f ca="1"/>
        <v>107.76</v>
      </c>
      <c r="HF43" vm="10987">
        <f ca="1"/>
        <v>108.6</v>
      </c>
      <c r="HG43" vm="10988">
        <f ca="1"/>
        <v>110.31</v>
      </c>
      <c r="HH43" vm="1080">
        <f ca="1"/>
        <v>107.88</v>
      </c>
      <c r="HI43" vm="10989">
        <f ca="1"/>
        <v>108.86</v>
      </c>
      <c r="HJ43" vm="10990">
        <f ca="1"/>
        <v>108.82</v>
      </c>
      <c r="HK43" vm="1246">
        <f ca="1"/>
        <v>108.94</v>
      </c>
      <c r="HL43" vm="10991">
        <f ca="1"/>
        <v>108.28</v>
      </c>
      <c r="HM43" vm="10992">
        <f ca="1"/>
        <v>105.26</v>
      </c>
      <c r="HN43" vm="10993">
        <f ca="1"/>
        <v>104.53</v>
      </c>
      <c r="HO43" vm="10994">
        <f ca="1"/>
        <v>105.03</v>
      </c>
      <c r="HP43" vm="5613">
        <f ca="1"/>
        <v>103.47</v>
      </c>
      <c r="HQ43" vm="5613">
        <f ca="1"/>
        <v>103.47</v>
      </c>
      <c r="HR43" vm="10995">
        <f ca="1"/>
        <v>104.17</v>
      </c>
      <c r="HS43" vm="10993">
        <f ca="1"/>
        <v>104.53</v>
      </c>
      <c r="HT43" vm="10996">
        <f ca="1"/>
        <v>105.56</v>
      </c>
      <c r="HU43" vm="1077">
        <f ca="1"/>
        <v>105.74</v>
      </c>
      <c r="HV43" vm="10997">
        <f ca="1"/>
        <v>106.15</v>
      </c>
      <c r="HW43" vm="8248">
        <f ca="1"/>
        <v>106</v>
      </c>
      <c r="HX43" vm="10998">
        <f ca="1"/>
        <v>104.12</v>
      </c>
      <c r="HY43" vm="8305">
        <f ca="1"/>
        <v>103.32</v>
      </c>
      <c r="HZ43" vm="3208">
        <f ca="1"/>
        <v>100.46</v>
      </c>
      <c r="IA43" vm="10999">
        <f ca="1"/>
        <v>100.11</v>
      </c>
      <c r="IB43" vm="1065">
        <f ca="1"/>
        <v>99.82</v>
      </c>
      <c r="IC43" vm="1066">
        <f ca="1"/>
        <v>99.48</v>
      </c>
      <c r="ID43" vm="1067">
        <f ca="1"/>
        <v>104.14</v>
      </c>
      <c r="IE43" vm="1068">
        <f ca="1"/>
        <v>103.45</v>
      </c>
      <c r="IF43" vm="1069">
        <f ca="1"/>
        <v>107.81</v>
      </c>
      <c r="IG43" vm="1070">
        <f ca="1"/>
        <v>109.18</v>
      </c>
      <c r="IH43" vm="1071">
        <f ca="1"/>
        <v>108.88</v>
      </c>
      <c r="II43" vm="1072">
        <f ca="1"/>
        <v>108.58</v>
      </c>
      <c r="IJ43" vm="1073">
        <f ca="1"/>
        <v>108.25</v>
      </c>
      <c r="IK43" vm="1074">
        <f ca="1"/>
        <v>109.59</v>
      </c>
      <c r="IL43" vm="1075">
        <f ca="1"/>
        <v>107.67</v>
      </c>
      <c r="IM43" vm="1076">
        <f ca="1"/>
        <v>107.41</v>
      </c>
      <c r="IN43" vm="1077">
        <f ca="1"/>
        <v>105.74</v>
      </c>
      <c r="IO43" vm="696">
        <f ca="1"/>
        <v>104.7</v>
      </c>
      <c r="IP43" vm="1078">
        <f ca="1"/>
        <v>107.9</v>
      </c>
      <c r="IQ43" vm="1079">
        <f ca="1"/>
        <v>109.02</v>
      </c>
      <c r="IR43" vm="1080">
        <f ca="1"/>
        <v>107.88</v>
      </c>
      <c r="IS43" vm="1081">
        <f ca="1"/>
        <v>107.59</v>
      </c>
      <c r="IT43" vm="1082">
        <f ca="1"/>
        <v>106.66</v>
      </c>
      <c r="IU43" vm="1083">
        <f ca="1"/>
        <v>105.61</v>
      </c>
      <c r="IV43" vm="1084">
        <f ca="1"/>
        <v>106.34</v>
      </c>
      <c r="IW43" vm="64">
        <f ca="1"/>
        <v>105.07</v>
      </c>
    </row>
    <row r="44" spans="1:257" ht="16" x14ac:dyDescent="0.2">
      <c r="A44" s="14" t="e" vm="1085">
        <v>#VALUE!</v>
      </c>
      <c r="B44" s="23" t="str" cm="1">
        <f t="array" aca="1" ref="B44" ca="1">_FV(A44,"ticker symbol",TRUE)</f>
        <v>PEJ</v>
      </c>
      <c r="C44" s="23" t="str" cm="1">
        <f t="array" aca="1" ref="C44" ca="1">_FV(A44,"Name")</f>
        <v>Invesco Leisure and Ent</v>
      </c>
      <c r="D44" cm="1" vm="11000">
        <f t="array" aca="1" ref="D44:IW44" ca="1">TRANSPOSE(_xlfn.STOCKHISTORY(B44, WORKDAY(TODAY(), -265), TODAY(), 0, 0, 1))</f>
        <v>54.23</v>
      </c>
      <c r="E44" s="23" vm="10069">
        <f ca="1"/>
        <v>53.73</v>
      </c>
      <c r="F44" s="23" vm="11001">
        <f ca="1"/>
        <v>51.61</v>
      </c>
      <c r="G44" s="23" vm="1626">
        <f ca="1"/>
        <v>51.88</v>
      </c>
      <c r="H44" s="23" vm="2920">
        <f ca="1"/>
        <v>52.41</v>
      </c>
      <c r="I44" s="23" vm="6317">
        <f ca="1"/>
        <v>52.55</v>
      </c>
      <c r="J44" s="23" vm="11002">
        <f ca="1"/>
        <v>53.05</v>
      </c>
      <c r="K44" s="23" vm="11003">
        <f ca="1"/>
        <v>53.18</v>
      </c>
      <c r="L44" s="23" vm="11004">
        <f ca="1"/>
        <v>52.56</v>
      </c>
      <c r="M44" s="23" vm="6316">
        <f ca="1"/>
        <v>52.4</v>
      </c>
      <c r="N44" s="23" vm="11005">
        <f ca="1"/>
        <v>52.2</v>
      </c>
      <c r="O44" s="23" vm="2920">
        <f ca="1"/>
        <v>52.41</v>
      </c>
      <c r="P44" s="23" vm="11006">
        <f ca="1"/>
        <v>52.64</v>
      </c>
      <c r="Q44" s="23" vm="6314">
        <f ca="1"/>
        <v>52.68</v>
      </c>
      <c r="R44" s="23" vm="6252">
        <f ca="1"/>
        <v>52.11</v>
      </c>
      <c r="S44" s="23" vm="6311">
        <f ca="1"/>
        <v>52.37</v>
      </c>
      <c r="T44" s="23" vm="6263">
        <f ca="1"/>
        <v>51.74</v>
      </c>
      <c r="U44" s="23" vm="469">
        <f ca="1"/>
        <v>51.67</v>
      </c>
      <c r="V44" s="23" vm="2905">
        <f ca="1"/>
        <v>52.25</v>
      </c>
      <c r="W44" s="23" vm="6320">
        <f ca="1"/>
        <v>52.39</v>
      </c>
      <c r="X44" s="23" vm="1627">
        <f ca="1"/>
        <v>52.35</v>
      </c>
      <c r="Y44" s="23" vm="475">
        <f ca="1"/>
        <v>52.84</v>
      </c>
      <c r="Z44" s="23" vm="478">
        <f ca="1"/>
        <v>53.48</v>
      </c>
      <c r="AA44" s="23" vm="6346">
        <f ca="1"/>
        <v>53.39</v>
      </c>
      <c r="AB44" s="23" vm="3341">
        <f ca="1"/>
        <v>53.97</v>
      </c>
      <c r="AC44" s="23" vm="11007">
        <f ca="1"/>
        <v>54.07</v>
      </c>
      <c r="AD44" vm="87">
        <f ca="1"/>
        <v>54.21</v>
      </c>
      <c r="AE44" vm="2647">
        <f ca="1"/>
        <v>55.14</v>
      </c>
      <c r="AF44" vm="11008">
        <f ca="1"/>
        <v>55.73</v>
      </c>
      <c r="AG44" vm="1536">
        <f ca="1"/>
        <v>56.4</v>
      </c>
      <c r="AH44" vm="1638">
        <f ca="1"/>
        <v>55.86</v>
      </c>
      <c r="AI44" vm="1639">
        <f ca="1"/>
        <v>55.82</v>
      </c>
      <c r="AJ44" vm="2196">
        <f ca="1"/>
        <v>56.07</v>
      </c>
      <c r="AK44" vm="11009">
        <f ca="1"/>
        <v>56.33</v>
      </c>
      <c r="AL44" vm="11010">
        <f ca="1"/>
        <v>56.74</v>
      </c>
      <c r="AM44" vm="11011">
        <f ca="1"/>
        <v>56.77</v>
      </c>
      <c r="AN44" vm="11012">
        <f ca="1"/>
        <v>56.47</v>
      </c>
      <c r="AO44" vm="10125">
        <f ca="1"/>
        <v>56.03</v>
      </c>
      <c r="AP44" vm="11013">
        <f ca="1"/>
        <v>56.59</v>
      </c>
      <c r="AQ44" vm="11014">
        <f ca="1"/>
        <v>56.94</v>
      </c>
      <c r="AR44" vm="11015">
        <f ca="1"/>
        <v>57.354700000000001</v>
      </c>
      <c r="AS44" vm="11016">
        <f ca="1"/>
        <v>57.72</v>
      </c>
      <c r="AT44" vm="10108">
        <f ca="1"/>
        <v>57.4</v>
      </c>
      <c r="AU44" vm="2949">
        <f ca="1"/>
        <v>56.69</v>
      </c>
      <c r="AV44" vm="483">
        <f ca="1"/>
        <v>54.99</v>
      </c>
      <c r="AW44" vm="11017">
        <f ca="1"/>
        <v>55.43</v>
      </c>
      <c r="AX44" vm="8689">
        <f ca="1"/>
        <v>54.37</v>
      </c>
      <c r="AY44" vm="11018">
        <f ca="1"/>
        <v>54.76</v>
      </c>
      <c r="AZ44" vm="6342">
        <f ca="1"/>
        <v>53.76</v>
      </c>
      <c r="BA44" vm="11019">
        <f ca="1"/>
        <v>54.65</v>
      </c>
      <c r="BB44" vm="11020">
        <f ca="1"/>
        <v>53.3</v>
      </c>
      <c r="BC44" vm="11021">
        <f ca="1"/>
        <v>52.48</v>
      </c>
      <c r="BD44" vm="2771">
        <f ca="1"/>
        <v>53.02</v>
      </c>
      <c r="BE44" vm="6244">
        <f ca="1"/>
        <v>50.7</v>
      </c>
      <c r="BF44" vm="11022">
        <f ca="1"/>
        <v>50.58</v>
      </c>
      <c r="BG44" vm="1266">
        <f ca="1"/>
        <v>48.8</v>
      </c>
      <c r="BH44" vm="1258">
        <f ca="1"/>
        <v>48.16</v>
      </c>
      <c r="BI44" vm="6238">
        <f ca="1"/>
        <v>48.25</v>
      </c>
      <c r="BJ44" vm="11023">
        <f ca="1"/>
        <v>46.78</v>
      </c>
      <c r="BK44" vm="6230">
        <f ca="1"/>
        <v>48.28</v>
      </c>
      <c r="BL44" vm="6276">
        <f ca="1"/>
        <v>49.21</v>
      </c>
      <c r="BM44" vm="11024">
        <f ca="1"/>
        <v>48.37</v>
      </c>
      <c r="BN44" vm="6291">
        <f ca="1"/>
        <v>49.76</v>
      </c>
      <c r="BO44" vm="11025">
        <f ca="1"/>
        <v>49.7</v>
      </c>
      <c r="BP44" vm="11026">
        <f ca="1"/>
        <v>49.6</v>
      </c>
      <c r="BQ44" vm="11027">
        <f ca="1"/>
        <v>51.18</v>
      </c>
      <c r="BR44" vm="6260">
        <f ca="1"/>
        <v>50.97</v>
      </c>
      <c r="BS44" vm="11028">
        <f ca="1"/>
        <v>50.72</v>
      </c>
      <c r="BT44" vm="9248">
        <f ca="1"/>
        <v>50.32</v>
      </c>
      <c r="BU44" vm="11029">
        <f ca="1"/>
        <v>48.7</v>
      </c>
      <c r="BV44" vm="11030">
        <f ca="1"/>
        <v>48.65</v>
      </c>
      <c r="BW44" vm="11029">
        <f ca="1"/>
        <v>48.7</v>
      </c>
      <c r="BX44" vm="6291">
        <f ca="1"/>
        <v>49.76</v>
      </c>
      <c r="BY44" vm="457">
        <f ca="1"/>
        <v>45.92</v>
      </c>
      <c r="BZ44" vm="541">
        <f ca="1"/>
        <v>43.48</v>
      </c>
      <c r="CA44" vm="11031">
        <f ca="1"/>
        <v>43.34</v>
      </c>
      <c r="CB44" vm="11032">
        <f ca="1"/>
        <v>42.84</v>
      </c>
      <c r="CC44" vm="1268">
        <f ca="1"/>
        <v>47.96</v>
      </c>
      <c r="CD44" vm="11033">
        <f ca="1"/>
        <v>45.48</v>
      </c>
      <c r="CE44" vm="11034">
        <f ca="1"/>
        <v>46.02</v>
      </c>
      <c r="CF44" vm="11035">
        <f ca="1"/>
        <v>46.27</v>
      </c>
      <c r="CG44" vm="11036">
        <f ca="1"/>
        <v>46.64</v>
      </c>
      <c r="CH44" vm="10041">
        <f ca="1"/>
        <v>46.29</v>
      </c>
      <c r="CI44" vm="11037">
        <f ca="1"/>
        <v>46.7</v>
      </c>
      <c r="CJ44" vm="1186">
        <f ca="1"/>
        <v>45.49</v>
      </c>
      <c r="CK44" vm="11038">
        <f ca="1"/>
        <v>46.98</v>
      </c>
      <c r="CL44" vm="11039">
        <f ca="1"/>
        <v>47.67</v>
      </c>
      <c r="CM44" vm="11040">
        <f ca="1"/>
        <v>48.18</v>
      </c>
      <c r="CN44" vm="11041">
        <f ca="1"/>
        <v>48.3</v>
      </c>
      <c r="CO44" vm="9995">
        <f ca="1"/>
        <v>48.48</v>
      </c>
      <c r="CP44" vm="11042">
        <f ca="1"/>
        <v>48.36</v>
      </c>
      <c r="CQ44" vm="11043">
        <f ca="1"/>
        <v>48.01</v>
      </c>
      <c r="CR44" vm="6238">
        <f ca="1"/>
        <v>48.25</v>
      </c>
      <c r="CS44" vm="1140">
        <f ca="1"/>
        <v>49.85</v>
      </c>
      <c r="CT44" vm="9247">
        <f ca="1"/>
        <v>49.89</v>
      </c>
      <c r="CU44" vm="11044">
        <f ca="1"/>
        <v>49.43</v>
      </c>
      <c r="CV44" vm="9247">
        <f ca="1"/>
        <v>49.89</v>
      </c>
      <c r="CW44" vm="1146">
        <f ca="1"/>
        <v>50.5</v>
      </c>
      <c r="CX44" vm="11045">
        <f ca="1"/>
        <v>50.06</v>
      </c>
      <c r="CY44" vm="6319">
        <f ca="1"/>
        <v>52.01</v>
      </c>
      <c r="CZ44" vm="6350">
        <f ca="1"/>
        <v>52.79</v>
      </c>
      <c r="DA44" vm="6351">
        <f ca="1"/>
        <v>52.73</v>
      </c>
      <c r="DB44" vm="11046">
        <f ca="1"/>
        <v>52.53</v>
      </c>
      <c r="DC44" vm="11047">
        <f ca="1"/>
        <v>53.25</v>
      </c>
      <c r="DD44" vm="11002">
        <f ca="1"/>
        <v>53.05</v>
      </c>
      <c r="DE44" vm="9689">
        <f ca="1"/>
        <v>52.63</v>
      </c>
      <c r="DF44" vm="11048">
        <f ca="1"/>
        <v>51.35</v>
      </c>
      <c r="DG44" vm="11001">
        <f ca="1"/>
        <v>51.61</v>
      </c>
      <c r="DH44" vm="6318">
        <f ca="1"/>
        <v>51.65</v>
      </c>
      <c r="DI44" vm="6349">
        <f ca="1"/>
        <v>53.24</v>
      </c>
      <c r="DJ44" vm="9257">
        <f ca="1"/>
        <v>53.08</v>
      </c>
      <c r="DK44" vm="2925">
        <f ca="1"/>
        <v>53.06</v>
      </c>
      <c r="DL44" vm="11049">
        <f ca="1"/>
        <v>53.31</v>
      </c>
      <c r="DM44" vm="11050">
        <f ca="1"/>
        <v>53.65</v>
      </c>
      <c r="DN44" vm="11051">
        <f ca="1"/>
        <v>53.92</v>
      </c>
      <c r="DO44" vm="2927">
        <f ca="1"/>
        <v>54.01</v>
      </c>
      <c r="DP44" vm="2776">
        <f ca="1"/>
        <v>53.81</v>
      </c>
      <c r="DQ44" vm="11052">
        <f ca="1"/>
        <v>54.5</v>
      </c>
      <c r="DR44" vm="3331">
        <f ca="1"/>
        <v>54.39</v>
      </c>
      <c r="DS44" vm="3335">
        <f ca="1"/>
        <v>54.04</v>
      </c>
      <c r="DT44" vm="11053">
        <f ca="1"/>
        <v>53.98</v>
      </c>
      <c r="DU44" vm="11054">
        <f ca="1"/>
        <v>53.94</v>
      </c>
      <c r="DV44" vm="3112">
        <f ca="1"/>
        <v>52.85</v>
      </c>
      <c r="DW44" vm="11055">
        <f ca="1"/>
        <v>54.16</v>
      </c>
      <c r="DX44" vm="150">
        <f ca="1"/>
        <v>53.8</v>
      </c>
      <c r="DY44" vm="3336">
        <f ca="1"/>
        <v>53.99</v>
      </c>
      <c r="DZ44" vm="2640">
        <f ca="1"/>
        <v>54.28</v>
      </c>
      <c r="EA44" vm="11056">
        <f ca="1"/>
        <v>55</v>
      </c>
      <c r="EB44" vm="11057">
        <f ca="1"/>
        <v>55.7</v>
      </c>
      <c r="EC44" vm="9693">
        <f ca="1"/>
        <v>55.27</v>
      </c>
      <c r="ED44" vm="2196">
        <f ca="1"/>
        <v>56.07</v>
      </c>
      <c r="EE44" vm="11058">
        <f ca="1"/>
        <v>56.75</v>
      </c>
      <c r="EF44" vm="11059">
        <f ca="1"/>
        <v>56.9</v>
      </c>
      <c r="EG44" vm="11060">
        <f ca="1"/>
        <v>57.08</v>
      </c>
      <c r="EH44" vm="11061">
        <f ca="1"/>
        <v>57.5</v>
      </c>
      <c r="EI44" vm="11062">
        <f ca="1"/>
        <v>57.81</v>
      </c>
      <c r="EJ44" vm="11063">
        <f ca="1"/>
        <v>57.45</v>
      </c>
      <c r="EK44" vm="9671">
        <f ca="1"/>
        <v>57.47</v>
      </c>
      <c r="EL44" vm="11064">
        <f ca="1"/>
        <v>57.53</v>
      </c>
      <c r="EM44" vm="11065">
        <f ca="1"/>
        <v>58.43</v>
      </c>
      <c r="EN44" vm="2200">
        <f ca="1"/>
        <v>57.73</v>
      </c>
      <c r="EO44" vm="1217">
        <f ca="1"/>
        <v>58.16</v>
      </c>
      <c r="EP44" vm="9671">
        <f ca="1"/>
        <v>57.47</v>
      </c>
      <c r="EQ44" vm="11066">
        <f ca="1"/>
        <v>57.77</v>
      </c>
      <c r="ER44" vm="11067">
        <f ca="1"/>
        <v>58.58</v>
      </c>
      <c r="ES44" vm="11068">
        <f ca="1"/>
        <v>58.69</v>
      </c>
      <c r="ET44" vm="11067">
        <f ca="1"/>
        <v>58.58</v>
      </c>
      <c r="EU44" vm="10080">
        <f ca="1"/>
        <v>58.85</v>
      </c>
      <c r="EV44" vm="11069">
        <f ca="1"/>
        <v>59.35</v>
      </c>
      <c r="EW44" vm="11070">
        <f ca="1"/>
        <v>58.42</v>
      </c>
      <c r="EX44" vm="11071">
        <f ca="1"/>
        <v>58.76</v>
      </c>
      <c r="EY44" vm="3010">
        <f ca="1"/>
        <v>58.66</v>
      </c>
      <c r="EZ44" vm="11072">
        <f ca="1"/>
        <v>57.85</v>
      </c>
      <c r="FA44" vm="11073">
        <f ca="1"/>
        <v>58.36</v>
      </c>
      <c r="FB44" vm="2197">
        <f ca="1"/>
        <v>57.62</v>
      </c>
      <c r="FC44" vm="10297">
        <f ca="1"/>
        <v>56.81</v>
      </c>
      <c r="FD44" vm="11061">
        <f ca="1"/>
        <v>57.5</v>
      </c>
      <c r="FE44" vm="1220">
        <f ca="1"/>
        <v>56.82</v>
      </c>
      <c r="FF44" vm="11059">
        <f ca="1"/>
        <v>56.9</v>
      </c>
      <c r="FG44" vm="11074">
        <f ca="1"/>
        <v>56.83</v>
      </c>
      <c r="FH44" vm="11075">
        <f ca="1"/>
        <v>56.42</v>
      </c>
      <c r="FI44" vm="11076">
        <f ca="1"/>
        <v>56.53</v>
      </c>
      <c r="FJ44" vm="11077">
        <f ca="1"/>
        <v>57.97</v>
      </c>
      <c r="FK44" vm="11078">
        <f ca="1"/>
        <v>58.74</v>
      </c>
      <c r="FL44" vm="11079">
        <f ca="1"/>
        <v>58.32</v>
      </c>
      <c r="FM44" vm="9680">
        <f ca="1"/>
        <v>58.41</v>
      </c>
      <c r="FN44" vm="1091">
        <f ca="1"/>
        <v>58.63</v>
      </c>
      <c r="FO44" vm="11067">
        <f ca="1"/>
        <v>58.58</v>
      </c>
      <c r="FP44" vm="9680">
        <f ca="1"/>
        <v>58.41</v>
      </c>
      <c r="FQ44" vm="11080">
        <f ca="1"/>
        <v>58.25</v>
      </c>
      <c r="FR44" vm="11081">
        <f ca="1"/>
        <v>59.54</v>
      </c>
      <c r="FS44" vm="9654">
        <f ca="1"/>
        <v>59.21</v>
      </c>
      <c r="FT44" vm="9655">
        <f ca="1"/>
        <v>59.69</v>
      </c>
      <c r="FU44" vm="11082">
        <f ca="1"/>
        <v>59.64</v>
      </c>
      <c r="FV44" vm="9707">
        <f ca="1"/>
        <v>59.73</v>
      </c>
      <c r="FW44" vm="8677">
        <f ca="1"/>
        <v>59.5</v>
      </c>
      <c r="FX44" vm="2963">
        <f ca="1"/>
        <v>59.06</v>
      </c>
      <c r="FY44" vm="11083">
        <f ca="1"/>
        <v>59.4</v>
      </c>
      <c r="FZ44" vm="1601">
        <f ca="1"/>
        <v>59.59</v>
      </c>
      <c r="GA44" vm="8640">
        <f ca="1"/>
        <v>59.49</v>
      </c>
      <c r="GB44" vm="11084">
        <f ca="1"/>
        <v>59.88</v>
      </c>
      <c r="GC44" vm="11085">
        <f ca="1"/>
        <v>59.75</v>
      </c>
      <c r="GD44" vm="8629">
        <f ca="1"/>
        <v>59.74</v>
      </c>
      <c r="GE44" vm="11086">
        <f ca="1"/>
        <v>61.88</v>
      </c>
      <c r="GF44" vm="11087">
        <f ca="1"/>
        <v>61.91</v>
      </c>
      <c r="GG44" vm="1479">
        <f ca="1"/>
        <v>62.19</v>
      </c>
      <c r="GH44" vm="9715">
        <f ca="1"/>
        <v>61.18</v>
      </c>
      <c r="GI44" vm="11088">
        <f ca="1"/>
        <v>61.51</v>
      </c>
      <c r="GJ44" vm="11089">
        <f ca="1"/>
        <v>61.83</v>
      </c>
      <c r="GK44" vm="9666">
        <f ca="1"/>
        <v>61.84</v>
      </c>
      <c r="GL44" vm="10097">
        <f ca="1"/>
        <v>61.86</v>
      </c>
      <c r="GM44" vm="8706">
        <f ca="1"/>
        <v>61.98</v>
      </c>
      <c r="GN44" vm="1101">
        <f ca="1"/>
        <v>61.4</v>
      </c>
      <c r="GO44" vm="8642">
        <f ca="1"/>
        <v>61.19</v>
      </c>
      <c r="GP44" vm="11090">
        <f ca="1"/>
        <v>61.7</v>
      </c>
      <c r="GQ44" vm="8628">
        <f ca="1"/>
        <v>61.78</v>
      </c>
      <c r="GR44" vm="1099">
        <f ca="1"/>
        <v>60.58</v>
      </c>
      <c r="GS44" vm="9711">
        <f ca="1"/>
        <v>60.12</v>
      </c>
      <c r="GT44" vm="8666">
        <f ca="1"/>
        <v>60.35</v>
      </c>
      <c r="GU44" vm="10104">
        <f ca="1"/>
        <v>59.93</v>
      </c>
      <c r="GV44" vm="1645">
        <f ca="1"/>
        <v>59.8</v>
      </c>
      <c r="GW44" vm="11091">
        <f ca="1"/>
        <v>58.93</v>
      </c>
      <c r="GX44" vm="3018">
        <f ca="1"/>
        <v>58.62</v>
      </c>
      <c r="GY44" vm="11092">
        <f ca="1"/>
        <v>58.21</v>
      </c>
      <c r="GZ44" vm="10083">
        <f ca="1"/>
        <v>56.96</v>
      </c>
      <c r="HA44" vm="8857">
        <f ca="1"/>
        <v>57.71</v>
      </c>
      <c r="HB44" vm="11078">
        <f ca="1"/>
        <v>58.74</v>
      </c>
      <c r="HC44" vm="2963">
        <f ca="1"/>
        <v>59.06</v>
      </c>
      <c r="HD44" vm="11093">
        <f ca="1"/>
        <v>58.1</v>
      </c>
      <c r="HE44" vm="11094">
        <f ca="1"/>
        <v>57.89</v>
      </c>
      <c r="HF44" vm="1091">
        <f ca="1"/>
        <v>58.63</v>
      </c>
      <c r="HG44" vm="11095">
        <f ca="1"/>
        <v>59.61</v>
      </c>
      <c r="HH44" vm="11081">
        <f ca="1"/>
        <v>59.54</v>
      </c>
      <c r="HI44" vm="1647">
        <f ca="1"/>
        <v>60.01</v>
      </c>
      <c r="HJ44" vm="1645">
        <f ca="1"/>
        <v>59.8</v>
      </c>
      <c r="HK44" vm="11096">
        <f ca="1"/>
        <v>60.08</v>
      </c>
      <c r="HL44" vm="1585">
        <f ca="1"/>
        <v>58.98</v>
      </c>
      <c r="HM44" vm="11097">
        <f ca="1"/>
        <v>58.26</v>
      </c>
      <c r="HN44" vm="10087">
        <f ca="1"/>
        <v>57.98</v>
      </c>
      <c r="HO44" vm="1218">
        <f ca="1"/>
        <v>58.55</v>
      </c>
      <c r="HP44" vm="11098">
        <f ca="1"/>
        <v>58.22</v>
      </c>
      <c r="HQ44" vm="11063">
        <f ca="1"/>
        <v>57.45</v>
      </c>
      <c r="HR44" vm="11099">
        <f ca="1"/>
        <v>57.61</v>
      </c>
      <c r="HS44" vm="11014">
        <f ca="1"/>
        <v>56.94</v>
      </c>
      <c r="HT44" vm="1217">
        <f ca="1"/>
        <v>58.16</v>
      </c>
      <c r="HU44" vm="11071">
        <f ca="1"/>
        <v>58.76</v>
      </c>
      <c r="HV44" vm="8669">
        <f ca="1"/>
        <v>58.97</v>
      </c>
      <c r="HW44" vm="11068">
        <f ca="1"/>
        <v>58.69</v>
      </c>
      <c r="HX44" vm="11100">
        <f ca="1"/>
        <v>57.84</v>
      </c>
      <c r="HY44" vm="11101">
        <f ca="1"/>
        <v>57.9</v>
      </c>
      <c r="HZ44" vm="11102">
        <f ca="1"/>
        <v>56.76</v>
      </c>
      <c r="IA44" vm="10108">
        <f ca="1"/>
        <v>57.4</v>
      </c>
      <c r="IB44" vm="1086">
        <f ca="1"/>
        <v>57.02</v>
      </c>
      <c r="IC44" vm="1087">
        <f ca="1"/>
        <v>55.74</v>
      </c>
      <c r="ID44" vm="1088">
        <f ca="1"/>
        <v>57.04</v>
      </c>
      <c r="IE44" vm="1089">
        <f ca="1"/>
        <v>56.58</v>
      </c>
      <c r="IF44" vm="1090">
        <f ca="1"/>
        <v>58.09</v>
      </c>
      <c r="IG44" vm="1091">
        <f ca="1"/>
        <v>58.63</v>
      </c>
      <c r="IH44" vm="1092">
        <f ca="1"/>
        <v>59.19</v>
      </c>
      <c r="II44" vm="1092">
        <f ca="1"/>
        <v>59.19</v>
      </c>
      <c r="IJ44" vm="1093">
        <f ca="1"/>
        <v>59.37</v>
      </c>
      <c r="IK44" vm="1094">
        <f ca="1"/>
        <v>59.63</v>
      </c>
      <c r="IL44" vm="1095">
        <f ca="1"/>
        <v>59.53</v>
      </c>
      <c r="IM44" vm="1096">
        <f ca="1"/>
        <v>59.6</v>
      </c>
      <c r="IN44" vm="1097">
        <f ca="1"/>
        <v>59.89</v>
      </c>
      <c r="IO44" vm="1098">
        <f ca="1"/>
        <v>60.32</v>
      </c>
      <c r="IP44" vm="1099">
        <f ca="1"/>
        <v>60.58</v>
      </c>
      <c r="IQ44" vm="1100">
        <f ca="1"/>
        <v>61.48</v>
      </c>
      <c r="IR44" vm="1101">
        <f ca="1"/>
        <v>61.4</v>
      </c>
      <c r="IS44" vm="1102">
        <f ca="1"/>
        <v>61.3</v>
      </c>
      <c r="IT44" vm="1103">
        <f ca="1"/>
        <v>61.23</v>
      </c>
      <c r="IU44" vm="1104">
        <f ca="1"/>
        <v>60.73</v>
      </c>
      <c r="IV44" vm="1105">
        <f ca="1"/>
        <v>61.22</v>
      </c>
      <c r="IW44" vm="66">
        <f ca="1"/>
        <v>61.69</v>
      </c>
    </row>
    <row r="45" spans="1:257" ht="16" x14ac:dyDescent="0.2">
      <c r="A45" s="14" t="e" vm="1106">
        <v>#VALUE!</v>
      </c>
      <c r="B45" s="23" t="str" cm="1">
        <f t="array" aca="1" ref="B45" ca="1">_FV(A45,"ticker symbol",TRUE)</f>
        <v>VDC</v>
      </c>
      <c r="C45" s="23" t="str" cm="1">
        <f t="array" aca="1" ref="C45" ca="1">_FV(A45,"Name")</f>
        <v>Vanguard Cnsmr Stp;ETF</v>
      </c>
      <c r="D45" cm="1" vm="11103">
        <f t="array" aca="1" ref="D45:IW45" ca="1">TRANSPOSE(_xlfn.STOCKHISTORY(B45, WORKDAY(TODAY(), -265), TODAY(), 0, 0, 1))</f>
        <v>220.78</v>
      </c>
      <c r="E45" s="23" vm="11104">
        <f ca="1"/>
        <v>219.96</v>
      </c>
      <c r="F45" s="23" vm="11105">
        <f ca="1"/>
        <v>214.96</v>
      </c>
      <c r="G45" s="23" vm="11106">
        <f ca="1"/>
        <v>213.79</v>
      </c>
      <c r="H45" s="23" vm="11107">
        <f ca="1"/>
        <v>213.83</v>
      </c>
      <c r="I45" s="23" vm="7315">
        <f ca="1"/>
        <v>212.55</v>
      </c>
      <c r="J45" s="23" vm="11108">
        <f ca="1"/>
        <v>214.32</v>
      </c>
      <c r="K45" s="23" vm="11109">
        <f ca="1"/>
        <v>214.93</v>
      </c>
      <c r="L45" s="23" vm="11110">
        <f ca="1"/>
        <v>213.78</v>
      </c>
      <c r="M45" s="23" vm="11111">
        <f ca="1"/>
        <v>210.96</v>
      </c>
      <c r="N45" s="23" vm="11112">
        <f ca="1"/>
        <v>211.38</v>
      </c>
      <c r="O45" s="23" vm="11113">
        <f ca="1"/>
        <v>210.8</v>
      </c>
      <c r="P45" s="23" vm="11114">
        <f ca="1"/>
        <v>211.14</v>
      </c>
      <c r="Q45" s="23" vm="4137">
        <f ca="1"/>
        <v>209.03</v>
      </c>
      <c r="R45" s="23" vm="5749">
        <f ca="1"/>
        <v>208.24</v>
      </c>
      <c r="S45" s="23" vm="11115">
        <f ca="1"/>
        <v>209.06</v>
      </c>
      <c r="T45" s="23" vm="11116">
        <f ca="1"/>
        <v>206.68</v>
      </c>
      <c r="U45" s="23" vm="11117">
        <f ca="1"/>
        <v>206.82</v>
      </c>
      <c r="V45" s="23" vm="11118">
        <f ca="1"/>
        <v>206.98</v>
      </c>
      <c r="W45" s="23" vm="11119">
        <f ca="1"/>
        <v>206.54</v>
      </c>
      <c r="X45" s="23" vm="11120">
        <f ca="1"/>
        <v>208</v>
      </c>
      <c r="Y45" s="23" vm="11121">
        <f ca="1"/>
        <v>209.43</v>
      </c>
      <c r="Z45" s="23" vm="11122">
        <f ca="1"/>
        <v>210.66</v>
      </c>
      <c r="AA45" s="23" vm="11123">
        <f ca="1"/>
        <v>209.72</v>
      </c>
      <c r="AB45" s="23" vm="11124">
        <f ca="1"/>
        <v>210.79</v>
      </c>
      <c r="AC45" s="23" vm="11125">
        <f ca="1"/>
        <v>211.61</v>
      </c>
      <c r="AD45" vm="11126">
        <f ca="1"/>
        <v>217.04</v>
      </c>
      <c r="AE45" vm="11127">
        <f ca="1"/>
        <v>213.99</v>
      </c>
      <c r="AF45" vm="11128">
        <f ca="1"/>
        <v>214.6</v>
      </c>
      <c r="AG45" vm="11129">
        <f ca="1"/>
        <v>216.91</v>
      </c>
      <c r="AH45" vm="11130">
        <f ca="1"/>
        <v>215.33</v>
      </c>
      <c r="AI45" vm="11131">
        <f ca="1"/>
        <v>216.38</v>
      </c>
      <c r="AJ45" vm="11132">
        <f ca="1"/>
        <v>215.36</v>
      </c>
      <c r="AK45" vm="11133">
        <f ca="1"/>
        <v>216.99</v>
      </c>
      <c r="AL45" vm="11134">
        <f ca="1"/>
        <v>218.36</v>
      </c>
      <c r="AM45" vm="5832">
        <f ca="1"/>
        <v>217.66</v>
      </c>
      <c r="AN45" vm="7309">
        <f ca="1"/>
        <v>218.96</v>
      </c>
      <c r="AO45" vm="11135">
        <f ca="1"/>
        <v>221.05</v>
      </c>
      <c r="AP45" vm="11136">
        <f ca="1"/>
        <v>221.46</v>
      </c>
      <c r="AQ45" vm="11137">
        <f ca="1"/>
        <v>223.73</v>
      </c>
      <c r="AR45" vm="11138">
        <f ca="1"/>
        <v>221.15</v>
      </c>
      <c r="AS45" vm="11139">
        <f ca="1"/>
        <v>221.48</v>
      </c>
      <c r="AT45" vm="7310">
        <f ca="1"/>
        <v>223.21</v>
      </c>
      <c r="AU45" vm="11140">
        <f ca="1"/>
        <v>220.76</v>
      </c>
      <c r="AV45" vm="4037">
        <f ca="1"/>
        <v>222.39</v>
      </c>
      <c r="AW45" vm="11141">
        <f ca="1"/>
        <v>222.7</v>
      </c>
      <c r="AX45" vm="11142">
        <f ca="1"/>
        <v>226.16</v>
      </c>
      <c r="AY45" vm="11143">
        <f ca="1"/>
        <v>222.27</v>
      </c>
      <c r="AZ45" vm="7552">
        <f ca="1"/>
        <v>222.01</v>
      </c>
      <c r="BA45" vm="11144">
        <f ca="1"/>
        <v>224.91</v>
      </c>
      <c r="BB45" vm="11145">
        <f ca="1"/>
        <v>225.31</v>
      </c>
      <c r="BC45" vm="11146">
        <f ca="1"/>
        <v>221.77</v>
      </c>
      <c r="BD45" vm="4043">
        <f ca="1"/>
        <v>222.72</v>
      </c>
      <c r="BE45" vm="11147">
        <f ca="1"/>
        <v>222.34</v>
      </c>
      <c r="BF45" vm="11148">
        <f ca="1"/>
        <v>222.52</v>
      </c>
      <c r="BG45" vm="11149">
        <f ca="1"/>
        <v>221.01</v>
      </c>
      <c r="BH45" vm="11150">
        <f ca="1"/>
        <v>217.97</v>
      </c>
      <c r="BI45" vm="129">
        <f ca="1"/>
        <v>213.91</v>
      </c>
      <c r="BJ45" vm="11151">
        <f ca="1"/>
        <v>212.13</v>
      </c>
      <c r="BK45" vm="11152">
        <f ca="1"/>
        <v>213.16</v>
      </c>
      <c r="BL45" vm="11131">
        <f ca="1"/>
        <v>216.38</v>
      </c>
      <c r="BM45" vm="7379">
        <f ca="1"/>
        <v>213.76</v>
      </c>
      <c r="BN45" vm="11153">
        <f ca="1"/>
        <v>213.92</v>
      </c>
      <c r="BO45" vm="11154">
        <f ca="1"/>
        <v>212.96</v>
      </c>
      <c r="BP45" vm="11155">
        <f ca="1"/>
        <v>212.91</v>
      </c>
      <c r="BQ45" vm="4151">
        <f ca="1"/>
        <v>214.47</v>
      </c>
      <c r="BR45" vm="11156">
        <f ca="1"/>
        <v>211.6</v>
      </c>
      <c r="BS45" vm="11157">
        <f ca="1"/>
        <v>214.24</v>
      </c>
      <c r="BT45" vm="11158">
        <f ca="1"/>
        <v>216.66</v>
      </c>
      <c r="BU45" vm="11159">
        <f ca="1"/>
        <v>215.53</v>
      </c>
      <c r="BV45" vm="4164">
        <f ca="1"/>
        <v>218.82</v>
      </c>
      <c r="BW45" vm="11160">
        <f ca="1"/>
        <v>219.66</v>
      </c>
      <c r="BX45" vm="11161">
        <f ca="1"/>
        <v>219.43</v>
      </c>
      <c r="BY45" vm="11162">
        <f ca="1"/>
        <v>219.89</v>
      </c>
      <c r="BZ45" vm="11163">
        <f ca="1"/>
        <v>210.74</v>
      </c>
      <c r="CA45" vm="11164">
        <f ca="1"/>
        <v>208.01</v>
      </c>
      <c r="CB45" vm="11165">
        <f ca="1"/>
        <v>204.89</v>
      </c>
      <c r="CC45" vm="11166">
        <f ca="1"/>
        <v>213.97</v>
      </c>
      <c r="CD45" vm="7556">
        <f ca="1"/>
        <v>214.09</v>
      </c>
      <c r="CE45" vm="4045">
        <f ca="1"/>
        <v>216.83</v>
      </c>
      <c r="CF45" vm="11167">
        <f ca="1"/>
        <v>220.25</v>
      </c>
      <c r="CG45" vm="11168">
        <f ca="1"/>
        <v>218.23</v>
      </c>
      <c r="CH45" vm="11169">
        <f ca="1"/>
        <v>215.72</v>
      </c>
      <c r="CI45" vm="11170">
        <f ca="1"/>
        <v>220.35</v>
      </c>
      <c r="CJ45" vm="11171">
        <f ca="1"/>
        <v>217.86</v>
      </c>
      <c r="CK45" vm="5712">
        <f ca="1"/>
        <v>221.4</v>
      </c>
      <c r="CL45" vm="11172">
        <f ca="1"/>
        <v>220.42</v>
      </c>
      <c r="CM45" vm="11173">
        <f ca="1"/>
        <v>218.49</v>
      </c>
      <c r="CN45" vm="7334">
        <f ca="1"/>
        <v>217.94</v>
      </c>
      <c r="CO45" vm="5744">
        <f ca="1"/>
        <v>217.57</v>
      </c>
      <c r="CP45" vm="11174">
        <f ca="1"/>
        <v>219.53</v>
      </c>
      <c r="CQ45" vm="11175">
        <f ca="1"/>
        <v>220.86</v>
      </c>
      <c r="CR45" vm="11176">
        <f ca="1"/>
        <v>218.99</v>
      </c>
      <c r="CS45" vm="11177">
        <f ca="1"/>
        <v>220.57</v>
      </c>
      <c r="CT45" vm="11178">
        <f ca="1"/>
        <v>220.72</v>
      </c>
      <c r="CU45" vm="7574">
        <f ca="1"/>
        <v>220.02</v>
      </c>
      <c r="CV45" vm="11179">
        <f ca="1"/>
        <v>220.15</v>
      </c>
      <c r="CW45" vm="11180">
        <f ca="1"/>
        <v>219.41</v>
      </c>
      <c r="CX45" vm="11181">
        <f ca="1"/>
        <v>218.27</v>
      </c>
      <c r="CY45" vm="11182">
        <f ca="1"/>
        <v>218.93</v>
      </c>
      <c r="CZ45" vm="11183">
        <f ca="1"/>
        <v>216.24</v>
      </c>
      <c r="DA45" vm="11184">
        <f ca="1"/>
        <v>215.45</v>
      </c>
      <c r="DB45" vm="11185">
        <f ca="1"/>
        <v>219.69</v>
      </c>
      <c r="DC45" vm="11186">
        <f ca="1"/>
        <v>222.43</v>
      </c>
      <c r="DD45" vm="11187">
        <f ca="1"/>
        <v>223.02</v>
      </c>
      <c r="DE45" vm="11188">
        <f ca="1"/>
        <v>223.64</v>
      </c>
      <c r="DF45" vm="11103">
        <f ca="1"/>
        <v>220.78</v>
      </c>
      <c r="DG45" vm="11162">
        <f ca="1"/>
        <v>219.89</v>
      </c>
      <c r="DH45" vm="11189">
        <f ca="1"/>
        <v>220.46</v>
      </c>
      <c r="DI45" vm="11190">
        <f ca="1"/>
        <v>222.73</v>
      </c>
      <c r="DJ45" vm="11191">
        <f ca="1"/>
        <v>221.26</v>
      </c>
      <c r="DK45" vm="11143">
        <f ca="1"/>
        <v>222.27</v>
      </c>
      <c r="DL45" vm="11192">
        <f ca="1"/>
        <v>224.56</v>
      </c>
      <c r="DM45" vm="11193">
        <f ca="1"/>
        <v>224.73</v>
      </c>
      <c r="DN45" vm="11194">
        <f ca="1"/>
        <v>224.37</v>
      </c>
      <c r="DO45" vm="11195">
        <f ca="1"/>
        <v>223.09</v>
      </c>
      <c r="DP45" vm="11172">
        <f ca="1"/>
        <v>220.42</v>
      </c>
      <c r="DQ45" vm="11196">
        <f ca="1"/>
        <v>221.23</v>
      </c>
      <c r="DR45" vm="4031">
        <f ca="1"/>
        <v>220.84</v>
      </c>
      <c r="DS45" vm="4159">
        <f ca="1"/>
        <v>221.25</v>
      </c>
      <c r="DT45" vm="11197">
        <f ca="1"/>
        <v>220.24</v>
      </c>
      <c r="DU45" vm="11198">
        <f ca="1"/>
        <v>221.29</v>
      </c>
      <c r="DV45" vm="11199">
        <f ca="1"/>
        <v>218.73</v>
      </c>
      <c r="DW45" vm="11200">
        <f ca="1"/>
        <v>219.32</v>
      </c>
      <c r="DX45" vm="11201">
        <f ca="1"/>
        <v>217.65</v>
      </c>
      <c r="DY45" vm="11202">
        <f ca="1"/>
        <v>217.32</v>
      </c>
      <c r="DZ45" vm="11203">
        <f ca="1"/>
        <v>218.48</v>
      </c>
      <c r="EA45" vm="11204">
        <f ca="1"/>
        <v>221.49</v>
      </c>
      <c r="EB45" vm="5834">
        <f ca="1"/>
        <v>221.37</v>
      </c>
      <c r="EC45" vm="11205">
        <f ca="1"/>
        <v>218.57</v>
      </c>
      <c r="ED45" vm="11206">
        <f ca="1"/>
        <v>216.94</v>
      </c>
      <c r="EE45" vm="11168">
        <f ca="1"/>
        <v>218.23</v>
      </c>
      <c r="EF45" vm="11207">
        <f ca="1"/>
        <v>219</v>
      </c>
      <c r="EG45" vm="11208">
        <f ca="1"/>
        <v>221.55</v>
      </c>
      <c r="EH45" vm="11209">
        <f ca="1"/>
        <v>221.89</v>
      </c>
      <c r="EI45" vm="7750">
        <f ca="1"/>
        <v>222.06</v>
      </c>
      <c r="EJ45" vm="11210">
        <f ca="1"/>
        <v>221.98</v>
      </c>
      <c r="EK45" vm="11211">
        <f ca="1"/>
        <v>219.74</v>
      </c>
      <c r="EL45" vm="11212">
        <f ca="1"/>
        <v>218.66</v>
      </c>
      <c r="EM45" vm="11213">
        <f ca="1"/>
        <v>219.14</v>
      </c>
      <c r="EN45" vm="11214">
        <f ca="1"/>
        <v>218.42</v>
      </c>
      <c r="EO45" vm="1790">
        <f ca="1"/>
        <v>218.75</v>
      </c>
      <c r="EP45" vm="11215">
        <f ca="1"/>
        <v>216.57</v>
      </c>
      <c r="EQ45" vm="11216">
        <f ca="1"/>
        <v>217.15</v>
      </c>
      <c r="ER45" vm="11217">
        <f ca="1"/>
        <v>219.31</v>
      </c>
      <c r="ES45" vm="11218">
        <f ca="1"/>
        <v>218.61</v>
      </c>
      <c r="ET45" vm="11219">
        <f ca="1"/>
        <v>218.58</v>
      </c>
      <c r="EU45" vm="11220">
        <f ca="1"/>
        <v>220.31</v>
      </c>
      <c r="EV45" vm="11221">
        <f ca="1"/>
        <v>220.7</v>
      </c>
      <c r="EW45" vm="11211">
        <f ca="1"/>
        <v>219.74</v>
      </c>
      <c r="EX45" vm="7326">
        <f ca="1"/>
        <v>220.14</v>
      </c>
      <c r="EY45" vm="11181">
        <f ca="1"/>
        <v>218.27</v>
      </c>
      <c r="EZ45" vm="11222">
        <f ca="1"/>
        <v>219.51</v>
      </c>
      <c r="FA45" vm="11223">
        <f ca="1"/>
        <v>217.78</v>
      </c>
      <c r="FB45" vm="11224">
        <f ca="1"/>
        <v>216.12</v>
      </c>
      <c r="FC45" vm="11225">
        <f ca="1"/>
        <v>216.86</v>
      </c>
      <c r="FD45" vm="11226">
        <f ca="1"/>
        <v>218</v>
      </c>
      <c r="FE45" vm="11227">
        <f ca="1"/>
        <v>217.17</v>
      </c>
      <c r="FF45" vm="11228">
        <f ca="1"/>
        <v>220.61</v>
      </c>
      <c r="FG45" vm="11229">
        <f ca="1"/>
        <v>222.05</v>
      </c>
      <c r="FH45" vm="11230">
        <f ca="1"/>
        <v>222.66</v>
      </c>
      <c r="FI45" vm="11231">
        <f ca="1"/>
        <v>222.89</v>
      </c>
      <c r="FJ45" vm="1792">
        <f ca="1"/>
        <v>223.63</v>
      </c>
      <c r="FK45" vm="11232">
        <f ca="1"/>
        <v>223.28</v>
      </c>
      <c r="FL45" vm="11233">
        <f ca="1"/>
        <v>221.39</v>
      </c>
      <c r="FM45" vm="11234">
        <f ca="1"/>
        <v>221.5</v>
      </c>
      <c r="FN45" vm="11235">
        <f ca="1"/>
        <v>221.66</v>
      </c>
      <c r="FO45" vm="11137">
        <f ca="1"/>
        <v>223.73</v>
      </c>
      <c r="FP45" vm="11236">
        <f ca="1"/>
        <v>225.25</v>
      </c>
      <c r="FQ45" vm="4174">
        <f ca="1"/>
        <v>222.69</v>
      </c>
      <c r="FR45" vm="4174">
        <f ca="1"/>
        <v>222.69</v>
      </c>
      <c r="FS45" vm="11237">
        <f ca="1"/>
        <v>219.28</v>
      </c>
      <c r="FT45" vm="11238">
        <f ca="1"/>
        <v>218.14</v>
      </c>
      <c r="FU45" vm="5850">
        <f ca="1"/>
        <v>218.91</v>
      </c>
      <c r="FV45" vm="11239">
        <f ca="1"/>
        <v>217.72</v>
      </c>
      <c r="FW45" vm="11240">
        <f ca="1"/>
        <v>219.09</v>
      </c>
      <c r="FX45" vm="11241">
        <f ca="1"/>
        <v>219.18</v>
      </c>
      <c r="FY45" vm="11242">
        <f ca="1"/>
        <v>219.25</v>
      </c>
      <c r="FZ45" vm="11185">
        <f ca="1"/>
        <v>219.69</v>
      </c>
      <c r="GA45" vm="11170">
        <f ca="1"/>
        <v>220.35</v>
      </c>
      <c r="GB45" vm="4180">
        <f ca="1"/>
        <v>219.84</v>
      </c>
      <c r="GC45" vm="11243">
        <f ca="1"/>
        <v>220.41</v>
      </c>
      <c r="GD45" vm="11244">
        <f ca="1"/>
        <v>217.96</v>
      </c>
      <c r="GE45" vm="11245">
        <f ca="1"/>
        <v>220.07</v>
      </c>
      <c r="GF45" vm="11246">
        <f ca="1"/>
        <v>219.45</v>
      </c>
      <c r="GG45" vm="7301">
        <f ca="1"/>
        <v>217.28</v>
      </c>
      <c r="GH45" vm="11247">
        <f ca="1"/>
        <v>217.89</v>
      </c>
      <c r="GI45" vm="11248">
        <f ca="1"/>
        <v>219.56</v>
      </c>
      <c r="GJ45" vm="11249">
        <f ca="1"/>
        <v>217.51</v>
      </c>
      <c r="GK45" vm="11250">
        <f ca="1"/>
        <v>216.54</v>
      </c>
      <c r="GL45" vm="7541">
        <f ca="1"/>
        <v>214.53</v>
      </c>
      <c r="GM45" vm="11251">
        <f ca="1"/>
        <v>215.09</v>
      </c>
      <c r="GN45" vm="11252">
        <f ca="1"/>
        <v>214.11</v>
      </c>
      <c r="GO45" vm="11253">
        <f ca="1"/>
        <v>212.64</v>
      </c>
      <c r="GP45" vm="11254">
        <f ca="1"/>
        <v>212.75</v>
      </c>
      <c r="GQ45" vm="11255">
        <f ca="1"/>
        <v>213.14</v>
      </c>
      <c r="GR45" vm="11256">
        <f ca="1"/>
        <v>213.73</v>
      </c>
      <c r="GS45" vm="11257">
        <f ca="1"/>
        <v>213.25</v>
      </c>
      <c r="GT45" vm="11258">
        <f ca="1"/>
        <v>212.52</v>
      </c>
      <c r="GU45" vm="11259">
        <f ca="1"/>
        <v>212.84</v>
      </c>
      <c r="GV45" vm="11260">
        <f ca="1"/>
        <v>211.27</v>
      </c>
      <c r="GW45" vm="11261">
        <f ca="1"/>
        <v>213.07</v>
      </c>
      <c r="GX45" vm="11262">
        <f ca="1"/>
        <v>212.09</v>
      </c>
      <c r="GY45" vm="11263">
        <f ca="1"/>
        <v>212.97</v>
      </c>
      <c r="GZ45" vm="11264">
        <f ca="1"/>
        <v>212.82</v>
      </c>
      <c r="HA45" vm="11265">
        <f ca="1"/>
        <v>212.25</v>
      </c>
      <c r="HB45" vm="11266">
        <f ca="1"/>
        <v>215.87</v>
      </c>
      <c r="HC45" vm="5745">
        <f ca="1"/>
        <v>216.43</v>
      </c>
      <c r="HD45" vm="11267">
        <f ca="1"/>
        <v>214.8</v>
      </c>
      <c r="HE45" vm="11268">
        <f ca="1"/>
        <v>217.49</v>
      </c>
      <c r="HF45" vm="11269">
        <f ca="1"/>
        <v>217.2</v>
      </c>
      <c r="HG45" vm="11270">
        <f ca="1"/>
        <v>216.67</v>
      </c>
      <c r="HH45" vm="7553">
        <f ca="1"/>
        <v>217.75</v>
      </c>
      <c r="HI45" vm="11271">
        <f ca="1"/>
        <v>216.76</v>
      </c>
      <c r="HJ45" vm="7393">
        <f ca="1"/>
        <v>215.89</v>
      </c>
      <c r="HK45" vm="11272">
        <f ca="1"/>
        <v>215.52</v>
      </c>
      <c r="HL45" vm="5814">
        <f ca="1"/>
        <v>213.87</v>
      </c>
      <c r="HM45" vm="11273">
        <f ca="1"/>
        <v>209.67</v>
      </c>
      <c r="HN45" vm="11274">
        <f ca="1"/>
        <v>208.96</v>
      </c>
      <c r="HO45" vm="11275">
        <f ca="1"/>
        <v>208.11</v>
      </c>
      <c r="HP45" vm="11276">
        <f ca="1"/>
        <v>207.46</v>
      </c>
      <c r="HQ45" vm="11277">
        <f ca="1"/>
        <v>208.3</v>
      </c>
      <c r="HR45" vm="11278">
        <f ca="1"/>
        <v>207.98</v>
      </c>
      <c r="HS45" vm="11279">
        <f ca="1"/>
        <v>206.7</v>
      </c>
      <c r="HT45" vm="11280">
        <f ca="1"/>
        <v>209.12</v>
      </c>
      <c r="HU45" vm="4139">
        <f ca="1"/>
        <v>208.53</v>
      </c>
      <c r="HV45" vm="11281">
        <f ca="1"/>
        <v>210.99</v>
      </c>
      <c r="HW45" vm="11282">
        <f ca="1"/>
        <v>210.75</v>
      </c>
      <c r="HX45" vm="7780">
        <f ca="1"/>
        <v>210.7</v>
      </c>
      <c r="HY45" vm="11283">
        <f ca="1"/>
        <v>210.6</v>
      </c>
      <c r="HZ45" vm="11284">
        <f ca="1"/>
        <v>209.15</v>
      </c>
      <c r="IA45" vm="11121">
        <f ca="1"/>
        <v>209.43</v>
      </c>
      <c r="IB45" vm="1107">
        <f ca="1"/>
        <v>208.19</v>
      </c>
      <c r="IC45" vm="1108">
        <f ca="1"/>
        <v>210.07</v>
      </c>
      <c r="ID45" vm="1109">
        <f ca="1"/>
        <v>211.98</v>
      </c>
      <c r="IE45" vm="1110">
        <f ca="1"/>
        <v>209.5</v>
      </c>
      <c r="IF45" vm="1111">
        <f ca="1"/>
        <v>212.73</v>
      </c>
      <c r="IG45" vm="1112">
        <f ca="1"/>
        <v>214.98</v>
      </c>
      <c r="IH45" vm="1113">
        <f ca="1"/>
        <v>216.04</v>
      </c>
      <c r="II45" vm="1114">
        <f ca="1"/>
        <v>215.97</v>
      </c>
      <c r="IJ45" vm="1115">
        <f ca="1"/>
        <v>214.87</v>
      </c>
      <c r="IK45" vm="1116">
        <f ca="1"/>
        <v>215.38</v>
      </c>
      <c r="IL45" vm="1117">
        <f ca="1"/>
        <v>214.22</v>
      </c>
      <c r="IM45" vm="1118">
        <f ca="1"/>
        <v>213.85</v>
      </c>
      <c r="IN45" vm="1119">
        <f ca="1"/>
        <v>211.95</v>
      </c>
      <c r="IO45" vm="1120">
        <f ca="1"/>
        <v>212.67</v>
      </c>
      <c r="IP45" vm="1121">
        <f ca="1"/>
        <v>212.76</v>
      </c>
      <c r="IQ45" vm="1122">
        <f ca="1"/>
        <v>214.62</v>
      </c>
      <c r="IR45" vm="1123">
        <f ca="1"/>
        <v>216.28</v>
      </c>
      <c r="IS45" vm="1124">
        <f ca="1"/>
        <v>216.74</v>
      </c>
      <c r="IT45" vm="1125">
        <f ca="1"/>
        <v>215.77</v>
      </c>
      <c r="IU45" vm="1126">
        <f ca="1"/>
        <v>215.51</v>
      </c>
      <c r="IV45" vm="1127">
        <f ca="1"/>
        <v>214.05</v>
      </c>
      <c r="IW45" vm="68">
        <f ca="1"/>
        <v>212.94</v>
      </c>
    </row>
    <row r="46" spans="1:257" ht="16" x14ac:dyDescent="0.2">
      <c r="A46" s="14" t="e" vm="1128">
        <v>#VALUE!</v>
      </c>
      <c r="B46" s="23" t="str" cm="1">
        <f t="array" aca="1" ref="B46" ca="1">_FV(A46,"ticker symbol",TRUE)</f>
        <v>FSTA</v>
      </c>
      <c r="C46" s="23" t="str" cm="1">
        <f t="array" aca="1" ref="C46" ca="1">_FV(A46,"Name")</f>
        <v>Fidelity MSCI Cons Stpls</v>
      </c>
      <c r="D46" cm="1" vm="11285">
        <f t="array" aca="1" ref="D46:IW46" ca="1">TRANSPOSE(_xlfn.STOCKHISTORY(B46, WORKDAY(TODAY(), -265), TODAY(), 0, 0, 1))</f>
        <v>51.51</v>
      </c>
      <c r="E46" s="23" vm="6325">
        <f ca="1"/>
        <v>51.37</v>
      </c>
      <c r="F46" s="23" vm="11286">
        <f ca="1"/>
        <v>50.54</v>
      </c>
      <c r="G46" s="23" vm="6241">
        <f ca="1"/>
        <v>50.23</v>
      </c>
      <c r="H46" s="23" vm="11287">
        <f ca="1"/>
        <v>49.97</v>
      </c>
      <c r="I46" s="23" vm="3116">
        <f ca="1"/>
        <v>49.71</v>
      </c>
      <c r="J46" s="23" vm="11288">
        <f ca="1"/>
        <v>50.11</v>
      </c>
      <c r="K46" s="23" vm="6307">
        <f ca="1"/>
        <v>50.22</v>
      </c>
      <c r="L46" s="23" vm="11289">
        <f ca="1"/>
        <v>49.93</v>
      </c>
      <c r="M46" s="23" vm="11290">
        <f ca="1"/>
        <v>49.28</v>
      </c>
      <c r="N46" s="23" vm="11044">
        <f ca="1"/>
        <v>49.43</v>
      </c>
      <c r="O46" s="23" vm="833">
        <f ca="1"/>
        <v>49.25</v>
      </c>
      <c r="P46" s="23" vm="11291">
        <f ca="1"/>
        <v>49.31</v>
      </c>
      <c r="Q46" s="23" vm="1132">
        <f ca="1"/>
        <v>48.84</v>
      </c>
      <c r="R46" s="23" vm="11292">
        <f ca="1"/>
        <v>48.68</v>
      </c>
      <c r="S46" s="23" vm="1986">
        <f ca="1"/>
        <v>48.89</v>
      </c>
      <c r="T46" s="23" vm="1267">
        <f ca="1"/>
        <v>48.31</v>
      </c>
      <c r="U46" s="23" vm="6231">
        <f ca="1"/>
        <v>48.33</v>
      </c>
      <c r="V46" s="23" vm="11293">
        <f ca="1"/>
        <v>48.39</v>
      </c>
      <c r="W46" s="23" vm="11041">
        <f ca="1"/>
        <v>48.3</v>
      </c>
      <c r="X46" s="23" vm="11294">
        <f ca="1"/>
        <v>48.63</v>
      </c>
      <c r="Y46" s="23" vm="3103">
        <f ca="1"/>
        <v>48.96</v>
      </c>
      <c r="Z46" s="23" vm="833">
        <f ca="1"/>
        <v>49.25</v>
      </c>
      <c r="AA46" s="23" vm="11295">
        <f ca="1"/>
        <v>49.06</v>
      </c>
      <c r="AB46" s="23" vm="11296">
        <f ca="1"/>
        <v>49.22</v>
      </c>
      <c r="AC46" s="23" vm="11044">
        <f ca="1"/>
        <v>49.43</v>
      </c>
      <c r="AD46" vm="42">
        <f ca="1"/>
        <v>50.73</v>
      </c>
      <c r="AE46" vm="11297">
        <f ca="1"/>
        <v>50.03</v>
      </c>
      <c r="AF46" vm="6265">
        <f ca="1"/>
        <v>50.21</v>
      </c>
      <c r="AG46" vm="11028">
        <f ca="1"/>
        <v>50.72</v>
      </c>
      <c r="AH46" vm="11298">
        <f ca="1"/>
        <v>50.27</v>
      </c>
      <c r="AI46" vm="844">
        <f ca="1"/>
        <v>50.52</v>
      </c>
      <c r="AJ46" vm="11299">
        <f ca="1"/>
        <v>50.35</v>
      </c>
      <c r="AK46" vm="42">
        <f ca="1"/>
        <v>50.73</v>
      </c>
      <c r="AL46" vm="11300">
        <f ca="1"/>
        <v>51.01</v>
      </c>
      <c r="AM46" vm="11301">
        <f ca="1"/>
        <v>50.86</v>
      </c>
      <c r="AN46" vm="3114">
        <f ca="1"/>
        <v>51.2</v>
      </c>
      <c r="AO46" vm="9261">
        <f ca="1"/>
        <v>51.64</v>
      </c>
      <c r="AP46" vm="11302">
        <f ca="1"/>
        <v>51.71</v>
      </c>
      <c r="AQ46" vm="11303">
        <f ca="1"/>
        <v>52.3</v>
      </c>
      <c r="AR46" vm="11302">
        <f ca="1"/>
        <v>51.71</v>
      </c>
      <c r="AS46" vm="11304">
        <f ca="1"/>
        <v>51.73</v>
      </c>
      <c r="AT46" vm="6354">
        <f ca="1"/>
        <v>52.15</v>
      </c>
      <c r="AU46" vm="11305">
        <f ca="1"/>
        <v>51.63</v>
      </c>
      <c r="AV46" vm="1625">
        <f ca="1"/>
        <v>51.97</v>
      </c>
      <c r="AW46" vm="11306">
        <f ca="1"/>
        <v>52.08</v>
      </c>
      <c r="AX46" vm="3112">
        <f ca="1"/>
        <v>52.85</v>
      </c>
      <c r="AY46" vm="470">
        <f ca="1"/>
        <v>51.89</v>
      </c>
      <c r="AZ46" vm="8683">
        <f ca="1"/>
        <v>51.87</v>
      </c>
      <c r="BA46" vm="6317">
        <f ca="1"/>
        <v>52.55</v>
      </c>
      <c r="BB46" vm="2194">
        <f ca="1"/>
        <v>52.71</v>
      </c>
      <c r="BC46" vm="6253">
        <f ca="1"/>
        <v>51.82</v>
      </c>
      <c r="BD46" vm="11307">
        <f ca="1"/>
        <v>52</v>
      </c>
      <c r="BE46" vm="6310">
        <f ca="1"/>
        <v>51.94</v>
      </c>
      <c r="BF46" vm="6310">
        <f ca="1"/>
        <v>51.94</v>
      </c>
      <c r="BG46" vm="2918">
        <f ca="1"/>
        <v>51.57</v>
      </c>
      <c r="BH46" vm="11308">
        <f ca="1"/>
        <v>50.9</v>
      </c>
      <c r="BI46" vm="11287">
        <f ca="1"/>
        <v>49.97</v>
      </c>
      <c r="BJ46" vm="11309">
        <f ca="1"/>
        <v>49.55</v>
      </c>
      <c r="BK46" vm="11310">
        <f ca="1"/>
        <v>49.77</v>
      </c>
      <c r="BL46" vm="11286">
        <f ca="1"/>
        <v>50.54</v>
      </c>
      <c r="BM46" vm="1139">
        <f ca="1"/>
        <v>49.9</v>
      </c>
      <c r="BN46" vm="1144">
        <f ca="1"/>
        <v>50</v>
      </c>
      <c r="BO46" vm="6291">
        <f ca="1"/>
        <v>49.76</v>
      </c>
      <c r="BP46" vm="11311">
        <f ca="1"/>
        <v>49.47</v>
      </c>
      <c r="BQ46" vm="1988">
        <f ca="1"/>
        <v>49.84</v>
      </c>
      <c r="BR46" vm="1622">
        <f ca="1"/>
        <v>49.39</v>
      </c>
      <c r="BS46" vm="11312">
        <f ca="1"/>
        <v>50.09</v>
      </c>
      <c r="BT46" vm="11313">
        <f ca="1"/>
        <v>50.657499999999999</v>
      </c>
      <c r="BU46" vm="1145">
        <f ca="1"/>
        <v>50.38</v>
      </c>
      <c r="BV46" vm="6262">
        <f ca="1"/>
        <v>51.13</v>
      </c>
      <c r="BW46" vm="2762">
        <f ca="1"/>
        <v>51.34</v>
      </c>
      <c r="BX46" vm="11314">
        <f ca="1"/>
        <v>51.31</v>
      </c>
      <c r="BY46" vm="6358">
        <f ca="1"/>
        <v>51.45</v>
      </c>
      <c r="BZ46" vm="11315">
        <f ca="1"/>
        <v>49.27</v>
      </c>
      <c r="CA46" vm="6289">
        <f ca="1"/>
        <v>48.67</v>
      </c>
      <c r="CB46" vm="11316">
        <f ca="1"/>
        <v>47.94</v>
      </c>
      <c r="CC46" vm="11317">
        <f ca="1"/>
        <v>50.01</v>
      </c>
      <c r="CD46" vm="11318">
        <f ca="1"/>
        <v>49.99</v>
      </c>
      <c r="CE46" vm="11319">
        <f ca="1"/>
        <v>50.63</v>
      </c>
      <c r="CF46" vm="11320">
        <f ca="1"/>
        <v>51.43</v>
      </c>
      <c r="CG46" vm="9254">
        <f ca="1"/>
        <v>51.02</v>
      </c>
      <c r="CH46" vm="11321">
        <f ca="1"/>
        <v>50.46</v>
      </c>
      <c r="CI46" vm="11322">
        <f ca="1"/>
        <v>51.53</v>
      </c>
      <c r="CJ46" vm="9686">
        <f ca="1"/>
        <v>50.92</v>
      </c>
      <c r="CK46" vm="11304">
        <f ca="1"/>
        <v>51.73</v>
      </c>
      <c r="CL46" vm="10056">
        <f ca="1"/>
        <v>51.6</v>
      </c>
      <c r="CM46" vm="11323">
        <f ca="1"/>
        <v>51.07</v>
      </c>
      <c r="CN46" vm="6296">
        <f ca="1"/>
        <v>50.94</v>
      </c>
      <c r="CO46" vm="6245">
        <f ca="1"/>
        <v>50.85</v>
      </c>
      <c r="CP46" vm="9253">
        <f ca="1"/>
        <v>51.29</v>
      </c>
      <c r="CQ46" vm="2918">
        <f ca="1"/>
        <v>51.57</v>
      </c>
      <c r="CR46" vm="11324">
        <f ca="1"/>
        <v>51.22</v>
      </c>
      <c r="CS46" vm="2918">
        <f ca="1"/>
        <v>51.57</v>
      </c>
      <c r="CT46" vm="2916">
        <f ca="1"/>
        <v>51.59</v>
      </c>
      <c r="CU46" vm="6246">
        <f ca="1"/>
        <v>51.41</v>
      </c>
      <c r="CV46" vm="11325">
        <f ca="1"/>
        <v>51.44</v>
      </c>
      <c r="CW46" vm="6250">
        <f ca="1"/>
        <v>51.26</v>
      </c>
      <c r="CX46" vm="3106">
        <f ca="1"/>
        <v>51.03</v>
      </c>
      <c r="CY46" vm="1523">
        <f ca="1"/>
        <v>51.16</v>
      </c>
      <c r="CZ46" vm="11286">
        <f ca="1"/>
        <v>50.54</v>
      </c>
      <c r="DA46" vm="11299">
        <f ca="1"/>
        <v>50.35</v>
      </c>
      <c r="DB46" vm="6325">
        <f ca="1"/>
        <v>51.37</v>
      </c>
      <c r="DC46" vm="11326">
        <f ca="1"/>
        <v>51.96</v>
      </c>
      <c r="DD46" vm="6353">
        <f ca="1"/>
        <v>52.09</v>
      </c>
      <c r="DE46" vm="11327">
        <f ca="1"/>
        <v>52.24</v>
      </c>
      <c r="DF46" vm="6308">
        <f ca="1"/>
        <v>51.58</v>
      </c>
      <c r="DG46" vm="6325">
        <f ca="1"/>
        <v>51.37</v>
      </c>
      <c r="DH46" vm="11328">
        <f ca="1"/>
        <v>51.5</v>
      </c>
      <c r="DI46" vm="11329">
        <f ca="1"/>
        <v>52.05</v>
      </c>
      <c r="DJ46" vm="6256">
        <f ca="1"/>
        <v>51.7</v>
      </c>
      <c r="DK46" vm="11330">
        <f ca="1"/>
        <v>51.93</v>
      </c>
      <c r="DL46" vm="6352">
        <f ca="1"/>
        <v>52.43</v>
      </c>
      <c r="DM46" vm="6330">
        <f ca="1"/>
        <v>52.5</v>
      </c>
      <c r="DN46" vm="6355">
        <f ca="1"/>
        <v>52.42</v>
      </c>
      <c r="DO46" vm="6252">
        <f ca="1"/>
        <v>52.11</v>
      </c>
      <c r="DP46" vm="11285">
        <f ca="1"/>
        <v>51.51</v>
      </c>
      <c r="DQ46" vm="6256">
        <f ca="1"/>
        <v>51.7</v>
      </c>
      <c r="DR46" vm="467">
        <f ca="1"/>
        <v>51.56</v>
      </c>
      <c r="DS46" vm="843">
        <f ca="1"/>
        <v>51.68</v>
      </c>
      <c r="DT46" vm="6322">
        <f ca="1"/>
        <v>51.4</v>
      </c>
      <c r="DU46" vm="6318">
        <f ca="1"/>
        <v>51.65</v>
      </c>
      <c r="DV46" vm="11323">
        <f ca="1"/>
        <v>51.07</v>
      </c>
      <c r="DW46" vm="10055">
        <f ca="1"/>
        <v>51.23</v>
      </c>
      <c r="DX46" vm="11331">
        <f ca="1"/>
        <v>50.83</v>
      </c>
      <c r="DY46" vm="11332">
        <f ca="1"/>
        <v>50.77</v>
      </c>
      <c r="DZ46" vm="11332">
        <f ca="1"/>
        <v>50.77</v>
      </c>
      <c r="EA46" vm="6358">
        <f ca="1"/>
        <v>51.45</v>
      </c>
      <c r="EB46" vm="11320">
        <f ca="1"/>
        <v>51.43</v>
      </c>
      <c r="EC46" vm="6259">
        <f ca="1"/>
        <v>50.75</v>
      </c>
      <c r="ED46" vm="6242">
        <f ca="1"/>
        <v>50.65</v>
      </c>
      <c r="EE46" vm="839">
        <f ca="1"/>
        <v>50.95</v>
      </c>
      <c r="EF46" vm="11333">
        <f ca="1"/>
        <v>51.15</v>
      </c>
      <c r="EG46" vm="11302">
        <f ca="1"/>
        <v>51.71</v>
      </c>
      <c r="EH46" vm="6257">
        <f ca="1"/>
        <v>51.8</v>
      </c>
      <c r="EI46" vm="8683">
        <f ca="1"/>
        <v>51.87</v>
      </c>
      <c r="EJ46" vm="11334">
        <f ca="1"/>
        <v>51.81</v>
      </c>
      <c r="EK46" vm="11335">
        <f ca="1"/>
        <v>51.33</v>
      </c>
      <c r="EL46" vm="2904">
        <f ca="1"/>
        <v>51.05</v>
      </c>
      <c r="EM46" vm="1523">
        <f ca="1"/>
        <v>51.16</v>
      </c>
      <c r="EN46" vm="11300">
        <f ca="1"/>
        <v>51.01</v>
      </c>
      <c r="EO46" vm="9259">
        <f ca="1"/>
        <v>51.1</v>
      </c>
      <c r="EP46" vm="11022">
        <f ca="1"/>
        <v>50.58</v>
      </c>
      <c r="EQ46" vm="11028">
        <f ca="1"/>
        <v>50.72</v>
      </c>
      <c r="ER46" vm="2765">
        <f ca="1"/>
        <v>51.19</v>
      </c>
      <c r="ES46" vm="6303">
        <f ca="1"/>
        <v>51.06</v>
      </c>
      <c r="ET46" vm="2904">
        <f ca="1"/>
        <v>51.05</v>
      </c>
      <c r="EU46" vm="6358">
        <f ca="1"/>
        <v>51.45</v>
      </c>
      <c r="EV46" vm="11322">
        <f ca="1"/>
        <v>51.53</v>
      </c>
      <c r="EW46" vm="6248">
        <f ca="1"/>
        <v>51.28</v>
      </c>
      <c r="EX46" vm="6325">
        <f ca="1"/>
        <v>51.37</v>
      </c>
      <c r="EY46" vm="6299">
        <f ca="1"/>
        <v>50.93</v>
      </c>
      <c r="EZ46" vm="11336">
        <f ca="1"/>
        <v>51.24</v>
      </c>
      <c r="FA46" vm="6245">
        <f ca="1"/>
        <v>50.85</v>
      </c>
      <c r="FB46" vm="837">
        <f ca="1"/>
        <v>50.44</v>
      </c>
      <c r="FC46" vm="11337">
        <f ca="1"/>
        <v>50.64</v>
      </c>
      <c r="FD46" vm="11338">
        <f ca="1"/>
        <v>50.88</v>
      </c>
      <c r="FE46" vm="11339">
        <f ca="1"/>
        <v>50.66</v>
      </c>
      <c r="FF46" vm="11340">
        <f ca="1"/>
        <v>51.49</v>
      </c>
      <c r="FG46" vm="6327">
        <f ca="1"/>
        <v>51.83</v>
      </c>
      <c r="FH46" vm="11341">
        <f ca="1"/>
        <v>51.98</v>
      </c>
      <c r="FI46" vm="2919">
        <f ca="1"/>
        <v>52.02</v>
      </c>
      <c r="FJ46" vm="11005">
        <f ca="1"/>
        <v>52.2</v>
      </c>
      <c r="FK46" vm="6252">
        <f ca="1"/>
        <v>52.11</v>
      </c>
      <c r="FL46" vm="6297">
        <f ca="1"/>
        <v>51.62</v>
      </c>
      <c r="FM46" vm="6318">
        <f ca="1"/>
        <v>51.65</v>
      </c>
      <c r="FN46" vm="11302">
        <f ca="1"/>
        <v>51.71</v>
      </c>
      <c r="FO46" vm="1524">
        <f ca="1"/>
        <v>52.19</v>
      </c>
      <c r="FP46" vm="11342">
        <f ca="1"/>
        <v>52.57</v>
      </c>
      <c r="FQ46" vm="11326">
        <f ca="1"/>
        <v>51.96</v>
      </c>
      <c r="FR46" vm="6310">
        <f ca="1"/>
        <v>51.94</v>
      </c>
      <c r="FS46" vm="6251">
        <f ca="1"/>
        <v>51.14</v>
      </c>
      <c r="FT46" vm="6294">
        <f ca="1"/>
        <v>50.87</v>
      </c>
      <c r="FU46" vm="6295">
        <f ca="1"/>
        <v>51.08</v>
      </c>
      <c r="FV46" vm="1623">
        <f ca="1"/>
        <v>50.79</v>
      </c>
      <c r="FW46" vm="6262">
        <f ca="1"/>
        <v>51.13</v>
      </c>
      <c r="FX46" vm="9259">
        <f ca="1"/>
        <v>51.1</v>
      </c>
      <c r="FY46" vm="11343">
        <f ca="1"/>
        <v>51.17</v>
      </c>
      <c r="FZ46" vm="11344">
        <f ca="1"/>
        <v>51.25</v>
      </c>
      <c r="GA46" vm="6322">
        <f ca="1"/>
        <v>51.4</v>
      </c>
      <c r="GB46" vm="6248">
        <f ca="1"/>
        <v>51.28</v>
      </c>
      <c r="GC46" vm="6258">
        <f ca="1"/>
        <v>51.39</v>
      </c>
      <c r="GD46" vm="838">
        <f ca="1"/>
        <v>50.84</v>
      </c>
      <c r="GE46" vm="6247">
        <f ca="1"/>
        <v>51.32</v>
      </c>
      <c r="GF46" vm="2765">
        <f ca="1"/>
        <v>51.19</v>
      </c>
      <c r="GG46" vm="9260">
        <f ca="1"/>
        <v>50.68</v>
      </c>
      <c r="GH46" vm="838">
        <f ca="1"/>
        <v>50.84</v>
      </c>
      <c r="GI46" vm="11343">
        <f ca="1"/>
        <v>51.17</v>
      </c>
      <c r="GJ46" vm="6259">
        <f ca="1"/>
        <v>50.75</v>
      </c>
      <c r="GK46" vm="9262">
        <f ca="1"/>
        <v>50.2</v>
      </c>
      <c r="GL46" vm="1990">
        <f ca="1"/>
        <v>49.74</v>
      </c>
      <c r="GM46" vm="846">
        <f ca="1"/>
        <v>49.87</v>
      </c>
      <c r="GN46" vm="125">
        <f ca="1"/>
        <v>49.91</v>
      </c>
      <c r="GO46" vm="1621">
        <f ca="1"/>
        <v>49.57</v>
      </c>
      <c r="GP46" vm="70">
        <f ca="1"/>
        <v>49.61</v>
      </c>
      <c r="GQ46" vm="9242">
        <f ca="1"/>
        <v>49.66</v>
      </c>
      <c r="GR46" vm="1988">
        <f ca="1"/>
        <v>49.84</v>
      </c>
      <c r="GS46" vm="2914">
        <f ca="1"/>
        <v>49.73</v>
      </c>
      <c r="GT46" vm="1133">
        <f ca="1"/>
        <v>49.59</v>
      </c>
      <c r="GU46" vm="6274">
        <f ca="1"/>
        <v>49.64</v>
      </c>
      <c r="GV46" vm="11315">
        <f ca="1"/>
        <v>49.27</v>
      </c>
      <c r="GW46" vm="11345">
        <f ca="1"/>
        <v>49.68</v>
      </c>
      <c r="GX46" vm="6275">
        <f ca="1"/>
        <v>49.46</v>
      </c>
      <c r="GY46" vm="9242">
        <f ca="1"/>
        <v>49.66</v>
      </c>
      <c r="GZ46" vm="9242">
        <f ca="1"/>
        <v>49.66</v>
      </c>
      <c r="HA46" vm="6239">
        <f ca="1"/>
        <v>49.48</v>
      </c>
      <c r="HB46" vm="11346">
        <f ca="1"/>
        <v>50.37</v>
      </c>
      <c r="HC46" vm="11347">
        <f ca="1"/>
        <v>50.48</v>
      </c>
      <c r="HD46" vm="1134">
        <f ca="1"/>
        <v>50.1</v>
      </c>
      <c r="HE46" vm="6244">
        <f ca="1"/>
        <v>50.7</v>
      </c>
      <c r="HF46" vm="9260">
        <f ca="1"/>
        <v>50.68</v>
      </c>
      <c r="HG46" vm="1146">
        <f ca="1"/>
        <v>50.5</v>
      </c>
      <c r="HH46" vm="11332">
        <f ca="1"/>
        <v>50.77</v>
      </c>
      <c r="HI46" vm="11348">
        <f ca="1"/>
        <v>50.51</v>
      </c>
      <c r="HJ46" vm="11299">
        <f ca="1"/>
        <v>50.35</v>
      </c>
      <c r="HK46" vm="11349">
        <f ca="1"/>
        <v>50.26</v>
      </c>
      <c r="HL46" vm="845">
        <f ca="1"/>
        <v>49.88</v>
      </c>
      <c r="HM46" vm="9999">
        <f ca="1"/>
        <v>48.91</v>
      </c>
      <c r="HN46" vm="11350">
        <f ca="1"/>
        <v>48.74</v>
      </c>
      <c r="HO46" vm="6233">
        <f ca="1"/>
        <v>48.59</v>
      </c>
      <c r="HP46" vm="2188">
        <f ca="1"/>
        <v>48.4</v>
      </c>
      <c r="HQ46" vm="11351">
        <f ca="1"/>
        <v>48.61</v>
      </c>
      <c r="HR46" vm="11352">
        <f ca="1"/>
        <v>48.55</v>
      </c>
      <c r="HS46" vm="6232">
        <f ca="1"/>
        <v>48.21</v>
      </c>
      <c r="HT46" vm="6229">
        <f ca="1"/>
        <v>48.75</v>
      </c>
      <c r="HU46" vm="11353">
        <f ca="1"/>
        <v>48.606999999999999</v>
      </c>
      <c r="HV46" vm="1985">
        <f ca="1"/>
        <v>49.16</v>
      </c>
      <c r="HW46" vm="11354">
        <f ca="1"/>
        <v>49.13</v>
      </c>
      <c r="HX46" vm="9241">
        <f ca="1"/>
        <v>49.14</v>
      </c>
      <c r="HY46" vm="832">
        <f ca="1"/>
        <v>49.11</v>
      </c>
      <c r="HZ46" vm="6290">
        <f ca="1"/>
        <v>48.76</v>
      </c>
      <c r="IA46" vm="11355">
        <f ca="1"/>
        <v>48.82</v>
      </c>
      <c r="IB46" vm="1129">
        <f ca="1"/>
        <v>48.51</v>
      </c>
      <c r="IC46" vm="1130">
        <f ca="1"/>
        <v>48.94</v>
      </c>
      <c r="ID46" vm="1131">
        <f ca="1"/>
        <v>49.4</v>
      </c>
      <c r="IE46" vm="1132">
        <f ca="1"/>
        <v>48.84</v>
      </c>
      <c r="IF46" vm="1133">
        <f ca="1"/>
        <v>49.59</v>
      </c>
      <c r="IG46" vm="1134">
        <f ca="1"/>
        <v>50.1</v>
      </c>
      <c r="IH46" vm="1135">
        <f ca="1"/>
        <v>50.36</v>
      </c>
      <c r="II46" vm="1136">
        <f ca="1"/>
        <v>50.29</v>
      </c>
      <c r="IJ46" vm="1137">
        <f ca="1"/>
        <v>50.08</v>
      </c>
      <c r="IK46" vm="1138">
        <f ca="1"/>
        <v>50.18</v>
      </c>
      <c r="IL46" vm="1139">
        <f ca="1"/>
        <v>49.9</v>
      </c>
      <c r="IM46" vm="1140">
        <f ca="1"/>
        <v>49.85</v>
      </c>
      <c r="IN46" vm="1141">
        <f ca="1"/>
        <v>49.42</v>
      </c>
      <c r="IO46" vm="1142">
        <f ca="1"/>
        <v>49.56</v>
      </c>
      <c r="IP46" vm="1143">
        <f ca="1"/>
        <v>49.58</v>
      </c>
      <c r="IQ46" vm="1144">
        <f ca="1"/>
        <v>50</v>
      </c>
      <c r="IR46" vm="1145">
        <f ca="1"/>
        <v>50.38</v>
      </c>
      <c r="IS46" vm="1146">
        <f ca="1"/>
        <v>50.5</v>
      </c>
      <c r="IT46" vm="1147">
        <f ca="1"/>
        <v>50.28</v>
      </c>
      <c r="IU46" vm="1146">
        <f ca="1"/>
        <v>50.5</v>
      </c>
      <c r="IV46" vm="1148">
        <f ca="1"/>
        <v>50.15</v>
      </c>
      <c r="IW46" vm="70">
        <f ca="1"/>
        <v>49.61</v>
      </c>
    </row>
    <row r="47" spans="1:257" ht="16" x14ac:dyDescent="0.2">
      <c r="A47" s="14" t="e" vm="1149">
        <v>#VALUE!</v>
      </c>
      <c r="B47" s="23" t="str" cm="1">
        <f t="array" aca="1" ref="B47" ca="1">_FV(A47,"ticker symbol",TRUE)</f>
        <v>KXI</v>
      </c>
      <c r="C47" s="23" t="str" cm="1">
        <f t="array" aca="1" ref="C47" ca="1">_FV(A47,"Name")</f>
        <v>iShares:Glbl Con Staples</v>
      </c>
      <c r="D47" cm="1" vm="9658">
        <f t="array" aca="1" ref="D47:IW47" ca="1">TRANSPOSE(_xlfn.STOCKHISTORY(B47, WORKDAY(TODAY(), -265), TODAY(), 0, 0, 1))</f>
        <v>63.07</v>
      </c>
      <c r="E47" s="23" vm="11356">
        <f ca="1"/>
        <v>62.07</v>
      </c>
      <c r="F47" s="23" vm="11357">
        <f ca="1"/>
        <v>61</v>
      </c>
      <c r="G47" s="23" vm="11358">
        <f ca="1"/>
        <v>60.75</v>
      </c>
      <c r="H47" s="23" vm="11359">
        <f ca="1"/>
        <v>60.81</v>
      </c>
      <c r="I47" s="23" vm="1589">
        <f ca="1"/>
        <v>60.46</v>
      </c>
      <c r="J47" s="23" vm="11360">
        <f ca="1"/>
        <v>60.95</v>
      </c>
      <c r="K47" s="23" vm="11361">
        <f ca="1"/>
        <v>61.11</v>
      </c>
      <c r="L47" s="23" vm="10279">
        <f ca="1"/>
        <v>60.8</v>
      </c>
      <c r="M47" s="23" vm="11362">
        <f ca="1"/>
        <v>60.15</v>
      </c>
      <c r="N47" s="23" vm="8668">
        <f ca="1"/>
        <v>60.29</v>
      </c>
      <c r="O47" s="23" vm="11363">
        <f ca="1"/>
        <v>60.04</v>
      </c>
      <c r="P47" s="23" vm="1646">
        <f ca="1"/>
        <v>60.02</v>
      </c>
      <c r="Q47" s="23" vm="8630">
        <f ca="1"/>
        <v>59.62</v>
      </c>
      <c r="R47" s="23" vm="109">
        <f ca="1"/>
        <v>59.57</v>
      </c>
      <c r="S47" s="23" vm="11364">
        <f ca="1"/>
        <v>59.58</v>
      </c>
      <c r="T47" s="23" vm="3010">
        <f ca="1"/>
        <v>58.66</v>
      </c>
      <c r="U47" s="23" vm="3010">
        <f ca="1"/>
        <v>58.66</v>
      </c>
      <c r="V47" s="23" vm="3007">
        <f ca="1"/>
        <v>58.61</v>
      </c>
      <c r="W47" s="23" vm="11365">
        <f ca="1"/>
        <v>58.57</v>
      </c>
      <c r="X47" s="23" vm="11366">
        <f ca="1"/>
        <v>59.03</v>
      </c>
      <c r="Y47" s="23" vm="11367">
        <f ca="1"/>
        <v>59.46</v>
      </c>
      <c r="Z47" s="23" vm="9706">
        <f ca="1"/>
        <v>59.96</v>
      </c>
      <c r="AA47" s="23" vm="11095">
        <f ca="1"/>
        <v>59.61</v>
      </c>
      <c r="AB47" s="23" vm="9706">
        <f ca="1"/>
        <v>59.96</v>
      </c>
      <c r="AC47" s="23" vm="11368">
        <f ca="1"/>
        <v>60.39</v>
      </c>
      <c r="AD47" vm="11369">
        <f ca="1"/>
        <v>61.95</v>
      </c>
      <c r="AE47" vm="8634">
        <f ca="1"/>
        <v>61.16</v>
      </c>
      <c r="AF47" vm="11361">
        <f ca="1"/>
        <v>61.11</v>
      </c>
      <c r="AG47" vm="11370">
        <f ca="1"/>
        <v>61.89</v>
      </c>
      <c r="AH47" vm="1105">
        <f ca="1"/>
        <v>61.22</v>
      </c>
      <c r="AI47" vm="11371">
        <f ca="1"/>
        <v>61.34</v>
      </c>
      <c r="AJ47" vm="1103">
        <f ca="1"/>
        <v>61.23</v>
      </c>
      <c r="AK47" vm="9667">
        <f ca="1"/>
        <v>61.63</v>
      </c>
      <c r="AL47" vm="11372">
        <f ca="1"/>
        <v>62.13</v>
      </c>
      <c r="AM47" vm="9666">
        <f ca="1"/>
        <v>61.84</v>
      </c>
      <c r="AN47" vm="11373">
        <f ca="1"/>
        <v>62.15</v>
      </c>
      <c r="AO47" vm="1597">
        <f ca="1"/>
        <v>62.59</v>
      </c>
      <c r="AP47" vm="1465">
        <f ca="1"/>
        <v>62.7</v>
      </c>
      <c r="AQ47" vm="11374">
        <f ca="1"/>
        <v>63.37</v>
      </c>
      <c r="AR47" vm="11375">
        <f ca="1"/>
        <v>62.87</v>
      </c>
      <c r="AS47" vm="11376">
        <f ca="1"/>
        <v>62.84</v>
      </c>
      <c r="AT47" vm="11377">
        <f ca="1"/>
        <v>63.05</v>
      </c>
      <c r="AU47" vm="9718">
        <f ca="1"/>
        <v>62.77</v>
      </c>
      <c r="AV47" vm="9664">
        <f ca="1"/>
        <v>63.3</v>
      </c>
      <c r="AW47" vm="11378">
        <f ca="1"/>
        <v>63.61</v>
      </c>
      <c r="AX47" vm="2549">
        <f ca="1"/>
        <v>64.540000000000006</v>
      </c>
      <c r="AY47" vm="11379">
        <f ca="1"/>
        <v>63.64</v>
      </c>
      <c r="AZ47" vm="8853">
        <f ca="1"/>
        <v>63.52</v>
      </c>
      <c r="BA47" vm="11380">
        <f ca="1"/>
        <v>64.22</v>
      </c>
      <c r="BB47" vm="11381">
        <f ca="1"/>
        <v>64.69</v>
      </c>
      <c r="BC47" vm="11382">
        <f ca="1"/>
        <v>64.180000000000007</v>
      </c>
      <c r="BD47" vm="11383">
        <f ca="1"/>
        <v>64.66</v>
      </c>
      <c r="BE47" vm="11384">
        <f ca="1"/>
        <v>64.67</v>
      </c>
      <c r="BF47" vm="11385">
        <f ca="1"/>
        <v>64.760000000000005</v>
      </c>
      <c r="BG47" vm="11386">
        <f ca="1"/>
        <v>64.459999999999994</v>
      </c>
      <c r="BH47" vm="11387">
        <f ca="1"/>
        <v>63.79</v>
      </c>
      <c r="BI47" vm="8655">
        <f ca="1"/>
        <v>62.94</v>
      </c>
      <c r="BJ47" vm="1597">
        <f ca="1"/>
        <v>62.59</v>
      </c>
      <c r="BK47" vm="2539">
        <f ca="1"/>
        <v>62.73</v>
      </c>
      <c r="BL47" vm="11388">
        <f ca="1"/>
        <v>63.63</v>
      </c>
      <c r="BM47" vm="11389">
        <f ca="1"/>
        <v>63.04</v>
      </c>
      <c r="BN47" vm="11390">
        <f ca="1"/>
        <v>62.95</v>
      </c>
      <c r="BO47" vm="11391">
        <f ca="1"/>
        <v>62.83</v>
      </c>
      <c r="BP47" vm="1465">
        <f ca="1"/>
        <v>62.7</v>
      </c>
      <c r="BQ47" vm="9657">
        <f ca="1"/>
        <v>62.85</v>
      </c>
      <c r="BR47" vm="2354">
        <f ca="1"/>
        <v>62.4</v>
      </c>
      <c r="BS47" vm="9716">
        <f ca="1"/>
        <v>62.96</v>
      </c>
      <c r="BT47" vm="11392">
        <f ca="1"/>
        <v>63.58</v>
      </c>
      <c r="BU47" vm="8657">
        <f ca="1"/>
        <v>63.43</v>
      </c>
      <c r="BV47" vm="11393">
        <f ca="1"/>
        <v>64.05</v>
      </c>
      <c r="BW47" vm="8842">
        <f ca="1"/>
        <v>64.19</v>
      </c>
      <c r="BX47" vm="11394">
        <f ca="1"/>
        <v>64.14</v>
      </c>
      <c r="BY47" vm="11395">
        <f ca="1"/>
        <v>65.09</v>
      </c>
      <c r="BZ47" vm="11396">
        <f ca="1"/>
        <v>62.39</v>
      </c>
      <c r="CA47" vm="9721">
        <f ca="1"/>
        <v>61.28</v>
      </c>
      <c r="CB47" vm="1104">
        <f ca="1"/>
        <v>60.73</v>
      </c>
      <c r="CC47" vm="11397">
        <f ca="1"/>
        <v>63.32</v>
      </c>
      <c r="CD47" vm="11398">
        <f ca="1"/>
        <v>63.34</v>
      </c>
      <c r="CE47" vm="2550">
        <f ca="1"/>
        <v>64.290000000000006</v>
      </c>
      <c r="CF47" vm="8722">
        <f ca="1"/>
        <v>65.040000000000006</v>
      </c>
      <c r="CG47" vm="63">
        <f ca="1"/>
        <v>64.62</v>
      </c>
      <c r="CH47" vm="8719">
        <f ca="1"/>
        <v>64.489999999999995</v>
      </c>
      <c r="CI47" vm="11399">
        <f ca="1"/>
        <v>65.88</v>
      </c>
      <c r="CJ47" vm="8838">
        <f ca="1"/>
        <v>65.42</v>
      </c>
      <c r="CK47" vm="11400">
        <f ca="1"/>
        <v>66.37</v>
      </c>
      <c r="CL47" vm="11401">
        <f ca="1"/>
        <v>66.08</v>
      </c>
      <c r="CM47" vm="11402">
        <f ca="1"/>
        <v>65.510000000000005</v>
      </c>
      <c r="CN47" vm="11403">
        <f ca="1"/>
        <v>65.209999999999994</v>
      </c>
      <c r="CO47" vm="2489">
        <f ca="1"/>
        <v>65.400000000000006</v>
      </c>
      <c r="CP47" vm="10169">
        <f ca="1"/>
        <v>65.67</v>
      </c>
      <c r="CQ47" vm="8837">
        <f ca="1"/>
        <v>66.11</v>
      </c>
      <c r="CR47" vm="11404">
        <f ca="1"/>
        <v>65.55</v>
      </c>
      <c r="CS47" vm="8837">
        <f ca="1"/>
        <v>66.11</v>
      </c>
      <c r="CT47" vm="11405">
        <f ca="1"/>
        <v>66.14</v>
      </c>
      <c r="CU47" vm="8750">
        <f ca="1"/>
        <v>66.260000000000005</v>
      </c>
      <c r="CV47" vm="11406">
        <f ca="1"/>
        <v>66.209999999999994</v>
      </c>
      <c r="CW47" vm="11407">
        <f ca="1"/>
        <v>65.680000000000007</v>
      </c>
      <c r="CX47" vm="8836">
        <f ca="1"/>
        <v>65.56</v>
      </c>
      <c r="CY47" vm="8740">
        <f ca="1"/>
        <v>65.22</v>
      </c>
      <c r="CZ47" vm="3047">
        <f ca="1"/>
        <v>64.55</v>
      </c>
      <c r="DA47" vm="11408">
        <f ca="1"/>
        <v>64.12</v>
      </c>
      <c r="DB47" vm="9728">
        <f ca="1"/>
        <v>65.459999999999994</v>
      </c>
      <c r="DC47" vm="11409">
        <f ca="1"/>
        <v>65.900000000000006</v>
      </c>
      <c r="DD47" vm="2938">
        <f ca="1"/>
        <v>66.39</v>
      </c>
      <c r="DE47" vm="8824">
        <f ca="1"/>
        <v>66.709999999999994</v>
      </c>
      <c r="DF47" vm="11400">
        <f ca="1"/>
        <v>66.37</v>
      </c>
      <c r="DG47" vm="8741">
        <f ca="1"/>
        <v>66.069999999999993</v>
      </c>
      <c r="DH47" vm="11400">
        <f ca="1"/>
        <v>66.37</v>
      </c>
      <c r="DI47" vm="2937">
        <f ca="1"/>
        <v>66.92</v>
      </c>
      <c r="DJ47" vm="11410">
        <f ca="1"/>
        <v>66.47</v>
      </c>
      <c r="DK47" vm="2487">
        <f ca="1"/>
        <v>66.72</v>
      </c>
      <c r="DL47" vm="8747">
        <f ca="1"/>
        <v>67.22</v>
      </c>
      <c r="DM47" vm="2795">
        <f ca="1"/>
        <v>67.45</v>
      </c>
      <c r="DN47" vm="11411">
        <f ca="1"/>
        <v>67.150000000000006</v>
      </c>
      <c r="DO47" vm="11411">
        <f ca="1"/>
        <v>67.150000000000006</v>
      </c>
      <c r="DP47" vm="11412">
        <f ca="1"/>
        <v>66.42</v>
      </c>
      <c r="DQ47" vm="8868">
        <f ca="1"/>
        <v>66.540000000000006</v>
      </c>
      <c r="DR47" vm="11413">
        <f ca="1"/>
        <v>66.45</v>
      </c>
      <c r="DS47" vm="8826">
        <f ca="1"/>
        <v>66.62</v>
      </c>
      <c r="DT47" vm="11412">
        <f ca="1"/>
        <v>66.42</v>
      </c>
      <c r="DU47" vm="11414">
        <f ca="1"/>
        <v>66.900000000000006</v>
      </c>
      <c r="DV47" vm="11415">
        <f ca="1"/>
        <v>66.150000000000006</v>
      </c>
      <c r="DW47" vm="11416">
        <f ca="1"/>
        <v>65.37</v>
      </c>
      <c r="DX47" vm="11417">
        <f ca="1"/>
        <v>64.84</v>
      </c>
      <c r="DY47" vm="11418">
        <f ca="1"/>
        <v>64.900000000000006</v>
      </c>
      <c r="DZ47" vm="2932">
        <f ca="1"/>
        <v>64.930000000000007</v>
      </c>
      <c r="EA47" vm="11419">
        <f ca="1"/>
        <v>65.66</v>
      </c>
      <c r="EB47" vm="2737">
        <f ca="1"/>
        <v>65.569999999999993</v>
      </c>
      <c r="EC47" vm="11384">
        <f ca="1"/>
        <v>64.67</v>
      </c>
      <c r="ED47" vm="11384">
        <f ca="1"/>
        <v>64.67</v>
      </c>
      <c r="EE47" vm="8720">
        <f ca="1"/>
        <v>64.989999999999995</v>
      </c>
      <c r="EF47" vm="11420">
        <f ca="1"/>
        <v>65.38</v>
      </c>
      <c r="EG47" vm="2740">
        <f ca="1"/>
        <v>65.92</v>
      </c>
      <c r="EH47" vm="11421">
        <f ca="1"/>
        <v>65.98</v>
      </c>
      <c r="EI47" vm="11422">
        <f ca="1"/>
        <v>66.010000000000005</v>
      </c>
      <c r="EJ47" vm="11423">
        <f ca="1"/>
        <v>65.849999999999994</v>
      </c>
      <c r="EK47" vm="11424">
        <f ca="1"/>
        <v>65.41</v>
      </c>
      <c r="EL47" vm="2488">
        <f ca="1"/>
        <v>65.150000000000006</v>
      </c>
      <c r="EM47" vm="1168">
        <f ca="1"/>
        <v>65.33</v>
      </c>
      <c r="EN47" vm="11425">
        <f ca="1"/>
        <v>64.91</v>
      </c>
      <c r="EO47" vm="11426">
        <f ca="1"/>
        <v>65.13</v>
      </c>
      <c r="EP47" vm="11427">
        <f ca="1"/>
        <v>64.41</v>
      </c>
      <c r="EQ47" vm="8822">
        <f ca="1"/>
        <v>64.739999999999995</v>
      </c>
      <c r="ER47" vm="11428">
        <f ca="1"/>
        <v>65.03</v>
      </c>
      <c r="ES47" vm="11429">
        <f ca="1"/>
        <v>64.904799999999994</v>
      </c>
      <c r="ET47" vm="8720">
        <f ca="1"/>
        <v>64.989999999999995</v>
      </c>
      <c r="EU47" vm="9728">
        <f ca="1"/>
        <v>65.459999999999994</v>
      </c>
      <c r="EV47" vm="2738">
        <f ca="1"/>
        <v>65.72</v>
      </c>
      <c r="EW47" vm="11424">
        <f ca="1"/>
        <v>65.41</v>
      </c>
      <c r="EX47" vm="11424">
        <f ca="1"/>
        <v>65.41</v>
      </c>
      <c r="EY47" vm="9724">
        <f ca="1"/>
        <v>64.400000000000006</v>
      </c>
      <c r="EZ47" vm="11385">
        <f ca="1"/>
        <v>64.760000000000005</v>
      </c>
      <c r="FA47" vm="11430">
        <f ca="1"/>
        <v>64.319999999999993</v>
      </c>
      <c r="FB47" vm="11431">
        <f ca="1"/>
        <v>63.76</v>
      </c>
      <c r="FC47" vm="11430">
        <f ca="1"/>
        <v>64.319999999999993</v>
      </c>
      <c r="FD47" vm="2351">
        <f ca="1"/>
        <v>64.56</v>
      </c>
      <c r="FE47" vm="8850">
        <f ca="1"/>
        <v>64.61</v>
      </c>
      <c r="FF47" vm="11432">
        <f ca="1"/>
        <v>65.430000000000007</v>
      </c>
      <c r="FG47" vm="8726">
        <f ca="1"/>
        <v>65.94</v>
      </c>
      <c r="FH47" vm="9730">
        <f ca="1"/>
        <v>66.099999999999994</v>
      </c>
      <c r="FI47" vm="11433">
        <f ca="1"/>
        <v>66.2</v>
      </c>
      <c r="FJ47" vm="11434">
        <f ca="1"/>
        <v>66.319999999999993</v>
      </c>
      <c r="FK47" vm="2934">
        <f ca="1"/>
        <v>66.3</v>
      </c>
      <c r="FL47" vm="11435">
        <f ca="1"/>
        <v>65.86</v>
      </c>
      <c r="FM47" vm="9729">
        <f ca="1"/>
        <v>66.05</v>
      </c>
      <c r="FN47" vm="11436">
        <f ca="1"/>
        <v>66.06</v>
      </c>
      <c r="FO47" vm="11437">
        <f ca="1"/>
        <v>66.680000000000007</v>
      </c>
      <c r="FP47" vm="11438">
        <f ca="1"/>
        <v>67.459999999999994</v>
      </c>
      <c r="FQ47" vm="11437">
        <f ca="1"/>
        <v>66.680000000000007</v>
      </c>
      <c r="FR47" vm="8739">
        <f ca="1"/>
        <v>66.69</v>
      </c>
      <c r="FS47" vm="10173">
        <f ca="1"/>
        <v>65.69</v>
      </c>
      <c r="FT47" vm="8745">
        <f ca="1"/>
        <v>65.489999999999995</v>
      </c>
      <c r="FU47" vm="11404">
        <f ca="1"/>
        <v>65.55</v>
      </c>
      <c r="FV47" vm="8865">
        <f ca="1"/>
        <v>65.31</v>
      </c>
      <c r="FW47" vm="10169">
        <f ca="1"/>
        <v>65.67</v>
      </c>
      <c r="FX47" vm="8745">
        <f ca="1"/>
        <v>65.489999999999995</v>
      </c>
      <c r="FY47" vm="8728">
        <f ca="1"/>
        <v>65.59</v>
      </c>
      <c r="FZ47" vm="11423">
        <f ca="1"/>
        <v>65.849999999999994</v>
      </c>
      <c r="GA47" vm="11401">
        <f ca="1"/>
        <v>66.08</v>
      </c>
      <c r="GB47" vm="1156">
        <f ca="1"/>
        <v>65.97</v>
      </c>
      <c r="GC47" vm="11439">
        <f ca="1"/>
        <v>65.989999999999995</v>
      </c>
      <c r="GD47" vm="2736">
        <f ca="1"/>
        <v>65.349999999999994</v>
      </c>
      <c r="GE47" vm="8726">
        <f ca="1"/>
        <v>65.94</v>
      </c>
      <c r="GF47" vm="11440">
        <f ca="1"/>
        <v>65.63</v>
      </c>
      <c r="GG47" vm="11441">
        <f ca="1"/>
        <v>65.23</v>
      </c>
      <c r="GH47" vm="8740">
        <f ca="1"/>
        <v>65.22</v>
      </c>
      <c r="GI47" vm="8729">
        <f ca="1"/>
        <v>65.45</v>
      </c>
      <c r="GJ47" vm="2547">
        <f ca="1"/>
        <v>64.95</v>
      </c>
      <c r="GK47" vm="1162">
        <f ca="1"/>
        <v>64.78</v>
      </c>
      <c r="GL47" vm="11442">
        <f ca="1"/>
        <v>64.34</v>
      </c>
      <c r="GM47" vm="11443">
        <f ca="1"/>
        <v>64.52</v>
      </c>
      <c r="GN47" vm="11444">
        <f ca="1"/>
        <v>64.260000000000005</v>
      </c>
      <c r="GO47" vm="2544">
        <f ca="1"/>
        <v>63.84</v>
      </c>
      <c r="GP47" vm="8713">
        <f ca="1"/>
        <v>63.98</v>
      </c>
      <c r="GQ47" vm="11445">
        <f ca="1"/>
        <v>63.994999999999997</v>
      </c>
      <c r="GR47" vm="11446">
        <f ca="1"/>
        <v>64.37</v>
      </c>
      <c r="GS47" vm="2741">
        <f ca="1"/>
        <v>64.099999999999994</v>
      </c>
      <c r="GT47" vm="8713">
        <f ca="1"/>
        <v>63.98</v>
      </c>
      <c r="GU47" vm="10275">
        <f ca="1"/>
        <v>64.02</v>
      </c>
      <c r="GV47" vm="11379">
        <f ca="1"/>
        <v>63.64</v>
      </c>
      <c r="GW47" vm="11447">
        <f ca="1"/>
        <v>64.03</v>
      </c>
      <c r="GX47" vm="8660">
        <f ca="1"/>
        <v>63.95</v>
      </c>
      <c r="GY47" vm="8661">
        <f ca="1"/>
        <v>64</v>
      </c>
      <c r="GZ47" vm="11448">
        <f ca="1"/>
        <v>64.3</v>
      </c>
      <c r="HA47" vm="11449">
        <f ca="1"/>
        <v>64.069999999999993</v>
      </c>
      <c r="HB47" vm="1609">
        <f ca="1"/>
        <v>64.87</v>
      </c>
      <c r="HC47" vm="1167">
        <f ca="1"/>
        <v>65.16</v>
      </c>
      <c r="HD47" vm="1168">
        <f ca="1"/>
        <v>65.33</v>
      </c>
      <c r="HE47" vm="10272">
        <f ca="1"/>
        <v>66.34</v>
      </c>
      <c r="HF47" vm="11450">
        <f ca="1"/>
        <v>66.239999999999995</v>
      </c>
      <c r="HG47" vm="11451">
        <f ca="1"/>
        <v>65.75</v>
      </c>
      <c r="HH47" vm="2780">
        <f ca="1"/>
        <v>66.040000000000006</v>
      </c>
      <c r="HI47" vm="8840">
        <f ca="1"/>
        <v>65.930000000000007</v>
      </c>
      <c r="HJ47" vm="10173">
        <f ca="1"/>
        <v>65.69</v>
      </c>
      <c r="HK47" vm="8849">
        <f ca="1"/>
        <v>65.62</v>
      </c>
      <c r="HL47" vm="11395">
        <f ca="1"/>
        <v>65.09</v>
      </c>
      <c r="HM47" vm="11452">
        <f ca="1"/>
        <v>63.85</v>
      </c>
      <c r="HN47" vm="11453">
        <f ca="1"/>
        <v>63.77</v>
      </c>
      <c r="HO47" vm="11454">
        <f ca="1"/>
        <v>63.5</v>
      </c>
      <c r="HP47" vm="11455">
        <f ca="1"/>
        <v>63.375</v>
      </c>
      <c r="HQ47" vm="11456">
        <f ca="1"/>
        <v>63.59</v>
      </c>
      <c r="HR47" vm="11457">
        <f ca="1"/>
        <v>63.74</v>
      </c>
      <c r="HS47" vm="11454">
        <f ca="1"/>
        <v>63.5</v>
      </c>
      <c r="HT47" vm="2550">
        <f ca="1"/>
        <v>64.290000000000006</v>
      </c>
      <c r="HU47" vm="11382">
        <f ca="1"/>
        <v>64.180000000000007</v>
      </c>
      <c r="HV47" vm="2735">
        <f ca="1"/>
        <v>64.849999999999994</v>
      </c>
      <c r="HW47" vm="72">
        <f ca="1"/>
        <v>64.86</v>
      </c>
      <c r="HX47" vm="11384">
        <f ca="1"/>
        <v>64.67</v>
      </c>
      <c r="HY47" vm="2351">
        <f ca="1"/>
        <v>64.56</v>
      </c>
      <c r="HZ47" vm="8817">
        <f ca="1"/>
        <v>64.16</v>
      </c>
      <c r="IA47" vm="2741">
        <f ca="1"/>
        <v>64.099999999999994</v>
      </c>
      <c r="IB47" vm="1150">
        <f ca="1"/>
        <v>63.78</v>
      </c>
      <c r="IC47" vm="1151">
        <f ca="1"/>
        <v>64.06</v>
      </c>
      <c r="ID47" vm="1152">
        <f ca="1"/>
        <v>65.010000000000005</v>
      </c>
      <c r="IE47" vm="1153">
        <f ca="1"/>
        <v>64.349999999999994</v>
      </c>
      <c r="IF47" vm="1154">
        <f ca="1"/>
        <v>65.099999999999994</v>
      </c>
      <c r="IG47" vm="1155">
        <f ca="1"/>
        <v>65.650000000000006</v>
      </c>
      <c r="IH47" vm="1156">
        <f ca="1"/>
        <v>65.97</v>
      </c>
      <c r="II47" vm="1157">
        <f ca="1"/>
        <v>65.95</v>
      </c>
      <c r="IJ47" vm="1158">
        <f ca="1"/>
        <v>65.73</v>
      </c>
      <c r="IK47" vm="1159">
        <f ca="1"/>
        <v>65.64</v>
      </c>
      <c r="IL47" vm="1160">
        <f ca="1"/>
        <v>65.319999999999993</v>
      </c>
      <c r="IM47" vm="1161">
        <f ca="1"/>
        <v>65.290000000000006</v>
      </c>
      <c r="IN47" vm="1162">
        <f ca="1"/>
        <v>64.78</v>
      </c>
      <c r="IO47" vm="1163">
        <f ca="1"/>
        <v>64.855000000000004</v>
      </c>
      <c r="IP47" vm="1164">
        <f ca="1"/>
        <v>65.17</v>
      </c>
      <c r="IQ47" vm="1155">
        <f ca="1"/>
        <v>65.650000000000006</v>
      </c>
      <c r="IR47" vm="1165">
        <f ca="1"/>
        <v>65.87</v>
      </c>
      <c r="IS47" vm="1166">
        <f ca="1"/>
        <v>66.19</v>
      </c>
      <c r="IT47" vm="1167">
        <f ca="1"/>
        <v>65.16</v>
      </c>
      <c r="IU47" vm="1168">
        <f ca="1"/>
        <v>65.33</v>
      </c>
      <c r="IV47" vm="1167">
        <f ca="1"/>
        <v>65.16</v>
      </c>
      <c r="IW47" vm="72">
        <f ca="1"/>
        <v>64.86</v>
      </c>
    </row>
    <row r="48" spans="1:257" ht="16" x14ac:dyDescent="0.2">
      <c r="A48" s="14" t="e" vm="1169">
        <v>#VALUE!</v>
      </c>
      <c r="B48" s="23" t="str" cm="1">
        <f t="array" aca="1" ref="B48" ca="1">_FV(A48,"ticker symbol",TRUE)</f>
        <v>PBJ</v>
      </c>
      <c r="C48" s="23" t="str" cm="1">
        <f t="array" aca="1" ref="C48" ca="1">_FV(A48,"Name")</f>
        <v>Invesco Food &amp; Beverage</v>
      </c>
      <c r="D48" cm="1" vm="11458">
        <f t="array" aca="1" ref="D48:IW48" ca="1">TRANSPOSE(_xlfn.STOCKHISTORY(B48, WORKDAY(TODAY(), -265), TODAY(), 0, 0, 1))</f>
        <v>48.516199999999998</v>
      </c>
      <c r="E48" s="23" vm="11459">
        <f ca="1"/>
        <v>48.29</v>
      </c>
      <c r="F48" s="23" vm="9236">
        <f ca="1"/>
        <v>46.83</v>
      </c>
      <c r="G48" s="23" vm="11460">
        <f ca="1"/>
        <v>46.92</v>
      </c>
      <c r="H48" s="23" vm="11461">
        <f ca="1"/>
        <v>47.023699999999998</v>
      </c>
      <c r="I48" s="23" vm="2331">
        <f ca="1"/>
        <v>46.62</v>
      </c>
      <c r="J48" s="23" vm="11462">
        <f ca="1"/>
        <v>46.986400000000003</v>
      </c>
      <c r="K48" s="23" vm="1981">
        <f ca="1"/>
        <v>46.96</v>
      </c>
      <c r="L48" s="23" vm="11463">
        <f ca="1"/>
        <v>46.664299999999997</v>
      </c>
      <c r="M48" s="23" vm="11464">
        <f ca="1"/>
        <v>46.329700000000003</v>
      </c>
      <c r="N48" s="23" vm="11465">
        <f ca="1"/>
        <v>46.476500000000001</v>
      </c>
      <c r="O48" s="23" vm="11466">
        <f ca="1"/>
        <v>46.768000000000001</v>
      </c>
      <c r="P48" s="23" vm="11467">
        <f ca="1"/>
        <v>46.991</v>
      </c>
      <c r="Q48" s="23" vm="2183">
        <f ca="1"/>
        <v>46.45</v>
      </c>
      <c r="R48" s="23" vm="11468">
        <f ca="1"/>
        <v>45.9</v>
      </c>
      <c r="S48" s="23" vm="11469">
        <f ca="1"/>
        <v>46.32</v>
      </c>
      <c r="T48" s="23" vm="11470">
        <f ca="1"/>
        <v>45.21</v>
      </c>
      <c r="U48" s="23" vm="10018">
        <f ca="1"/>
        <v>45.71</v>
      </c>
      <c r="V48" s="23" vm="11471">
        <f ca="1"/>
        <v>45.9542</v>
      </c>
      <c r="W48" s="23" vm="11472">
        <f ca="1"/>
        <v>46.009099999999997</v>
      </c>
      <c r="X48" s="23" vm="11473">
        <f ca="1"/>
        <v>46.367199999999997</v>
      </c>
      <c r="Y48" s="23" vm="11474">
        <f ca="1"/>
        <v>46.69</v>
      </c>
      <c r="Z48" s="23" vm="11475">
        <f ca="1"/>
        <v>46.84</v>
      </c>
      <c r="AA48" s="23" vm="11476">
        <f ca="1"/>
        <v>46.38</v>
      </c>
      <c r="AB48" s="23" vm="2186">
        <f ca="1"/>
        <v>46.63</v>
      </c>
      <c r="AC48" s="23" vm="11477">
        <f ca="1"/>
        <v>46.75</v>
      </c>
      <c r="AD48" vm="11478">
        <f ca="1"/>
        <v>47.51</v>
      </c>
      <c r="AE48" vm="9238">
        <f ca="1"/>
        <v>47.34</v>
      </c>
      <c r="AF48" vm="11479">
        <f ca="1"/>
        <v>47.91</v>
      </c>
      <c r="AG48" vm="11480">
        <f ca="1"/>
        <v>48.43</v>
      </c>
      <c r="AH48" vm="11481">
        <f ca="1"/>
        <v>47.806199999999997</v>
      </c>
      <c r="AI48" vm="831">
        <f ca="1"/>
        <v>47.6</v>
      </c>
      <c r="AJ48" vm="11482">
        <f ca="1"/>
        <v>47.43</v>
      </c>
      <c r="AK48" vm="9238">
        <f ca="1"/>
        <v>47.34</v>
      </c>
      <c r="AL48" vm="6282">
        <f ca="1"/>
        <v>47.27</v>
      </c>
      <c r="AM48" vm="9237">
        <f ca="1"/>
        <v>47.2</v>
      </c>
      <c r="AN48" vm="1981">
        <f ca="1"/>
        <v>46.96</v>
      </c>
      <c r="AO48" vm="11483">
        <f ca="1"/>
        <v>47.36</v>
      </c>
      <c r="AP48" vm="11484">
        <f ca="1"/>
        <v>47.19</v>
      </c>
      <c r="AQ48" vm="11485">
        <f ca="1"/>
        <v>48.003900000000002</v>
      </c>
      <c r="AR48" vm="11486">
        <f ca="1"/>
        <v>47.723399999999998</v>
      </c>
      <c r="AS48" vm="11487">
        <f ca="1"/>
        <v>47.644599999999997</v>
      </c>
      <c r="AT48" vm="11488">
        <f ca="1"/>
        <v>47.855600000000003</v>
      </c>
      <c r="AU48" vm="11489">
        <f ca="1"/>
        <v>47.7226</v>
      </c>
      <c r="AV48" vm="11490">
        <f ca="1"/>
        <v>47.465899999999998</v>
      </c>
      <c r="AW48" vm="11491">
        <f ca="1"/>
        <v>47.441600000000001</v>
      </c>
      <c r="AX48" vm="11492">
        <f ca="1"/>
        <v>47.56</v>
      </c>
      <c r="AY48" vm="11493">
        <f ca="1"/>
        <v>47.09</v>
      </c>
      <c r="AZ48" vm="11494">
        <f ca="1"/>
        <v>46.6496</v>
      </c>
      <c r="BA48" vm="11495">
        <f ca="1"/>
        <v>47.190800000000003</v>
      </c>
      <c r="BB48" vm="11496">
        <f ca="1"/>
        <v>46.590499999999999</v>
      </c>
      <c r="BC48" vm="11497">
        <f ca="1"/>
        <v>45.882100000000001</v>
      </c>
      <c r="BD48" vm="11498">
        <f ca="1"/>
        <v>45.781500000000001</v>
      </c>
      <c r="BE48" vm="11499">
        <f ca="1"/>
        <v>45.24</v>
      </c>
      <c r="BF48" vm="11500">
        <f ca="1"/>
        <v>45.9343</v>
      </c>
      <c r="BG48" vm="11501">
        <f ca="1"/>
        <v>45.31</v>
      </c>
      <c r="BH48" vm="11502">
        <f ca="1"/>
        <v>45.04</v>
      </c>
      <c r="BI48" vm="9212">
        <f ca="1"/>
        <v>44.77</v>
      </c>
      <c r="BJ48" vm="11503">
        <f ca="1"/>
        <v>44.148000000000003</v>
      </c>
      <c r="BK48" vm="11504">
        <f ca="1"/>
        <v>44.7</v>
      </c>
      <c r="BL48" vm="11505">
        <f ca="1"/>
        <v>45.552700000000002</v>
      </c>
      <c r="BM48" vm="11506">
        <f ca="1"/>
        <v>45.129399999999997</v>
      </c>
      <c r="BN48" vm="11507">
        <f ca="1"/>
        <v>45.342199999999998</v>
      </c>
      <c r="BO48" vm="11508">
        <f ca="1"/>
        <v>45.111400000000003</v>
      </c>
      <c r="BP48" vm="11509">
        <f ca="1"/>
        <v>44.994199999999999</v>
      </c>
      <c r="BQ48" vm="11510">
        <f ca="1"/>
        <v>45.466299999999997</v>
      </c>
      <c r="BR48" vm="11511">
        <f ca="1"/>
        <v>45.412300000000002</v>
      </c>
      <c r="BS48" vm="11512">
        <f ca="1"/>
        <v>45.626300000000001</v>
      </c>
      <c r="BT48" vm="10015">
        <f ca="1"/>
        <v>45.81</v>
      </c>
      <c r="BU48" vm="11513">
        <f ca="1"/>
        <v>45.327599999999997</v>
      </c>
      <c r="BV48" vm="11514">
        <f ca="1"/>
        <v>45.968800000000002</v>
      </c>
      <c r="BW48" vm="9989">
        <f ca="1"/>
        <v>46.3</v>
      </c>
      <c r="BX48" vm="11515">
        <f ca="1"/>
        <v>46.619900000000001</v>
      </c>
      <c r="BY48" vm="11516">
        <f ca="1"/>
        <v>46.12</v>
      </c>
      <c r="BZ48" vm="11517">
        <f ca="1"/>
        <v>44.08</v>
      </c>
      <c r="CA48" vm="11518">
        <f ca="1"/>
        <v>43.725299999999997</v>
      </c>
      <c r="CB48" vm="11519">
        <f ca="1"/>
        <v>43.17</v>
      </c>
      <c r="CC48" vm="11520">
        <f ca="1"/>
        <v>45.476900000000001</v>
      </c>
      <c r="CD48" vm="11521">
        <f ca="1"/>
        <v>45.082799999999999</v>
      </c>
      <c r="CE48" vm="11522">
        <f ca="1"/>
        <v>45.592700000000001</v>
      </c>
      <c r="CF48" vm="11523">
        <f ca="1"/>
        <v>46.122199999999999</v>
      </c>
      <c r="CG48" vm="11524">
        <f ca="1"/>
        <v>45.715800000000002</v>
      </c>
      <c r="CH48" vm="11525">
        <f ca="1"/>
        <v>45.464100000000002</v>
      </c>
      <c r="CI48" vm="10035">
        <f ca="1"/>
        <v>46.07</v>
      </c>
      <c r="CJ48" vm="11526">
        <f ca="1"/>
        <v>45.669899999999998</v>
      </c>
      <c r="CK48" vm="11527">
        <f ca="1"/>
        <v>46.633899999999997</v>
      </c>
      <c r="CL48" vm="11528">
        <f ca="1"/>
        <v>46.776000000000003</v>
      </c>
      <c r="CM48" vm="11529">
        <f ca="1"/>
        <v>46.68</v>
      </c>
      <c r="CN48" vm="6283">
        <f ca="1"/>
        <v>46.53</v>
      </c>
      <c r="CO48" vm="11473">
        <f ca="1"/>
        <v>46.367199999999997</v>
      </c>
      <c r="CP48" vm="11530">
        <f ca="1"/>
        <v>46.785899999999998</v>
      </c>
      <c r="CQ48" vm="11531">
        <f ca="1"/>
        <v>47.26</v>
      </c>
      <c r="CR48" vm="11532">
        <f ca="1"/>
        <v>46.901499999999999</v>
      </c>
      <c r="CS48" vm="11533">
        <f ca="1"/>
        <v>47.478000000000002</v>
      </c>
      <c r="CT48" vm="11534">
        <f ca="1"/>
        <v>47.456699999999998</v>
      </c>
      <c r="CU48" vm="11535">
        <f ca="1"/>
        <v>47.161799999999999</v>
      </c>
      <c r="CV48" vm="11536">
        <f ca="1"/>
        <v>47.064399999999999</v>
      </c>
      <c r="CW48" vm="11537">
        <f ca="1"/>
        <v>46.847900000000003</v>
      </c>
      <c r="CX48" vm="11538">
        <f ca="1"/>
        <v>47.254399999999997</v>
      </c>
      <c r="CY48" vm="11539">
        <f ca="1"/>
        <v>47.2089</v>
      </c>
      <c r="CZ48" vm="11540">
        <f ca="1"/>
        <v>46.971899999999998</v>
      </c>
      <c r="DA48" vm="11541">
        <f ca="1"/>
        <v>47.0443</v>
      </c>
      <c r="DB48" vm="11542">
        <f ca="1"/>
        <v>47.777099999999997</v>
      </c>
      <c r="DC48" vm="11543">
        <f ca="1"/>
        <v>48.519199999999998</v>
      </c>
      <c r="DD48" vm="11544">
        <f ca="1"/>
        <v>48.371499999999997</v>
      </c>
      <c r="DE48" vm="11545">
        <f ca="1"/>
        <v>48.529499999999999</v>
      </c>
      <c r="DF48" vm="11546">
        <f ca="1"/>
        <v>47.920299999999997</v>
      </c>
      <c r="DG48" vm="11547">
        <f ca="1"/>
        <v>47.58</v>
      </c>
      <c r="DH48" vm="11548">
        <f ca="1"/>
        <v>47.7669</v>
      </c>
      <c r="DI48" vm="11549">
        <f ca="1"/>
        <v>48.150199999999998</v>
      </c>
      <c r="DJ48" vm="11550">
        <f ca="1"/>
        <v>47.9377</v>
      </c>
      <c r="DK48" vm="11551">
        <f ca="1"/>
        <v>48.032899999999998</v>
      </c>
      <c r="DL48" vm="11552">
        <f ca="1"/>
        <v>48.513300000000001</v>
      </c>
      <c r="DM48" vm="11553">
        <f ca="1"/>
        <v>48.453200000000002</v>
      </c>
      <c r="DN48" vm="11554">
        <f ca="1"/>
        <v>48.0792</v>
      </c>
      <c r="DO48" vm="6269">
        <f ca="1"/>
        <v>47.61</v>
      </c>
      <c r="DP48" vm="11555">
        <f ca="1"/>
        <v>47.283200000000001</v>
      </c>
      <c r="DQ48" vm="11039">
        <f ca="1"/>
        <v>47.67</v>
      </c>
      <c r="DR48" vm="11556">
        <f ca="1"/>
        <v>47.5246</v>
      </c>
      <c r="DS48" vm="11557">
        <f ca="1"/>
        <v>47.019199999999998</v>
      </c>
      <c r="DT48" vm="11558">
        <f ca="1"/>
        <v>46.741700000000002</v>
      </c>
      <c r="DU48" vm="11559">
        <f ca="1"/>
        <v>47.039200000000001</v>
      </c>
      <c r="DV48" vm="9236">
        <f ca="1"/>
        <v>46.83</v>
      </c>
      <c r="DW48" vm="11560">
        <f ca="1"/>
        <v>47.188699999999997</v>
      </c>
      <c r="DX48" vm="11561">
        <f ca="1"/>
        <v>46.918500000000002</v>
      </c>
      <c r="DY48" vm="11562">
        <f ca="1"/>
        <v>46.879199999999997</v>
      </c>
      <c r="DZ48" vm="11563">
        <f ca="1"/>
        <v>47.31</v>
      </c>
      <c r="EA48" vm="6225">
        <f ca="1"/>
        <v>47.63</v>
      </c>
      <c r="EB48" vm="9992">
        <f ca="1"/>
        <v>47.57</v>
      </c>
      <c r="EC48" vm="11564">
        <f ca="1"/>
        <v>46.6357</v>
      </c>
      <c r="ED48" vm="11565">
        <f ca="1"/>
        <v>46.763599999999997</v>
      </c>
      <c r="EE48" vm="11566">
        <f ca="1"/>
        <v>46.973700000000001</v>
      </c>
      <c r="EF48" vm="6236">
        <f ca="1"/>
        <v>47.32</v>
      </c>
      <c r="EG48" vm="11567">
        <f ca="1"/>
        <v>47.87</v>
      </c>
      <c r="EH48" vm="11568">
        <f ca="1"/>
        <v>48.048099999999998</v>
      </c>
      <c r="EI48" vm="11569">
        <f ca="1"/>
        <v>48.049799999999998</v>
      </c>
      <c r="EJ48" vm="11570">
        <f ca="1"/>
        <v>48.15</v>
      </c>
      <c r="EK48" vm="11571">
        <f ca="1"/>
        <v>47.769500000000001</v>
      </c>
      <c r="EL48" vm="11572">
        <f ca="1"/>
        <v>47.695500000000003</v>
      </c>
      <c r="EM48" vm="11573">
        <f ca="1"/>
        <v>47.868499999999997</v>
      </c>
      <c r="EN48" vm="11574">
        <f ca="1"/>
        <v>47.71</v>
      </c>
      <c r="EO48" vm="11575">
        <f ca="1"/>
        <v>48</v>
      </c>
      <c r="EP48" vm="11576">
        <f ca="1"/>
        <v>47.3</v>
      </c>
      <c r="EQ48" vm="11577">
        <f ca="1"/>
        <v>47.7851</v>
      </c>
      <c r="ER48" vm="11578">
        <f ca="1"/>
        <v>48.358800000000002</v>
      </c>
      <c r="ES48" vm="11579">
        <f ca="1"/>
        <v>48.125</v>
      </c>
      <c r="ET48" vm="11580">
        <f ca="1"/>
        <v>48.151899999999998</v>
      </c>
      <c r="EU48" vm="829">
        <f ca="1"/>
        <v>48.79</v>
      </c>
      <c r="EV48" vm="11581">
        <f ca="1"/>
        <v>49.012799999999999</v>
      </c>
      <c r="EW48" vm="11582">
        <f ca="1"/>
        <v>48.503900000000002</v>
      </c>
      <c r="EX48" vm="11583">
        <f ca="1"/>
        <v>48.669499999999999</v>
      </c>
      <c r="EY48" vm="11584">
        <f ca="1"/>
        <v>48.047600000000003</v>
      </c>
      <c r="EZ48" vm="11585">
        <f ca="1"/>
        <v>48.073</v>
      </c>
      <c r="FA48" vm="11586">
        <f ca="1"/>
        <v>48.232300000000002</v>
      </c>
      <c r="FB48" vm="11587">
        <f ca="1"/>
        <v>47.79</v>
      </c>
      <c r="FC48" vm="11588">
        <f ca="1"/>
        <v>47.7425</v>
      </c>
      <c r="FD48" vm="11589">
        <f ca="1"/>
        <v>47.881999999999998</v>
      </c>
      <c r="FE48" vm="11590">
        <f ca="1"/>
        <v>47.436199999999999</v>
      </c>
      <c r="FF48" vm="11591">
        <f ca="1"/>
        <v>47.893999999999998</v>
      </c>
      <c r="FG48" vm="11592">
        <f ca="1"/>
        <v>47.915500000000002</v>
      </c>
      <c r="FH48" vm="11593">
        <f ca="1"/>
        <v>48.122500000000002</v>
      </c>
      <c r="FI48" vm="11594">
        <f ca="1"/>
        <v>47.953699999999998</v>
      </c>
      <c r="FJ48" vm="11595">
        <f ca="1"/>
        <v>48.230800000000002</v>
      </c>
      <c r="FK48" vm="11596">
        <f ca="1"/>
        <v>48.129300000000001</v>
      </c>
      <c r="FL48" vm="11597">
        <f ca="1"/>
        <v>47.462299999999999</v>
      </c>
      <c r="FM48" vm="11598">
        <f ca="1"/>
        <v>47.563400000000001</v>
      </c>
      <c r="FN48" vm="11599">
        <f ca="1"/>
        <v>47.741300000000003</v>
      </c>
      <c r="FO48" vm="11600">
        <f ca="1"/>
        <v>47.917400000000001</v>
      </c>
      <c r="FP48" vm="11601">
        <f ca="1"/>
        <v>48.203899999999997</v>
      </c>
      <c r="FQ48" vm="11602">
        <f ca="1"/>
        <v>48.106000000000002</v>
      </c>
      <c r="FR48" vm="11603">
        <f ca="1"/>
        <v>48.4056</v>
      </c>
      <c r="FS48" vm="11604">
        <f ca="1"/>
        <v>47.857300000000002</v>
      </c>
      <c r="FT48" vm="11605">
        <f ca="1"/>
        <v>47.4955</v>
      </c>
      <c r="FU48" vm="11606">
        <f ca="1"/>
        <v>47.558799999999998</v>
      </c>
      <c r="FV48" vm="11607">
        <f ca="1"/>
        <v>47.273499999999999</v>
      </c>
      <c r="FW48" vm="11608">
        <f ca="1"/>
        <v>47.426200000000001</v>
      </c>
      <c r="FX48" vm="11609">
        <f ca="1"/>
        <v>47.475900000000003</v>
      </c>
      <c r="FY48" vm="11610">
        <f ca="1"/>
        <v>47.401200000000003</v>
      </c>
      <c r="FZ48" vm="11611">
        <f ca="1"/>
        <v>47.4636</v>
      </c>
      <c r="GA48" vm="11612">
        <f ca="1"/>
        <v>47.412100000000002</v>
      </c>
      <c r="GB48" vm="11483">
        <f ca="1"/>
        <v>47.36</v>
      </c>
      <c r="GC48" vm="11613">
        <f ca="1"/>
        <v>47.092599999999997</v>
      </c>
      <c r="GD48" vm="11614">
        <f ca="1"/>
        <v>46.753999999999998</v>
      </c>
      <c r="GE48" vm="11615">
        <f ca="1"/>
        <v>47.277099999999997</v>
      </c>
      <c r="GF48" vm="11616">
        <f ca="1"/>
        <v>47.265000000000001</v>
      </c>
      <c r="GG48" vm="11617">
        <f ca="1"/>
        <v>46.553100000000001</v>
      </c>
      <c r="GH48" vm="11618">
        <f ca="1"/>
        <v>46.839700000000001</v>
      </c>
      <c r="GI48" vm="11619">
        <f ca="1"/>
        <v>46.82</v>
      </c>
      <c r="GJ48" vm="11620">
        <f ca="1"/>
        <v>46.791200000000003</v>
      </c>
      <c r="GK48" vm="11621">
        <f ca="1"/>
        <v>46.235900000000001</v>
      </c>
      <c r="GL48" vm="9223">
        <f ca="1"/>
        <v>45.59</v>
      </c>
      <c r="GM48" vm="11622">
        <f ca="1"/>
        <v>45.719900000000003</v>
      </c>
      <c r="GN48" vm="11623">
        <f ca="1"/>
        <v>45.785499999999999</v>
      </c>
      <c r="GO48" vm="11624">
        <f ca="1"/>
        <v>45.186</v>
      </c>
      <c r="GP48" vm="11625">
        <f ca="1"/>
        <v>45.635599999999997</v>
      </c>
      <c r="GQ48" vm="11626">
        <f ca="1"/>
        <v>45.527000000000001</v>
      </c>
      <c r="GR48" vm="11627">
        <f ca="1"/>
        <v>45.86</v>
      </c>
      <c r="GS48" vm="11628">
        <f ca="1"/>
        <v>45.75</v>
      </c>
      <c r="GT48" vm="11627">
        <f ca="1"/>
        <v>45.86</v>
      </c>
      <c r="GU48" vm="11629">
        <f ca="1"/>
        <v>46.0032</v>
      </c>
      <c r="GV48" vm="11630">
        <f ca="1"/>
        <v>45.66</v>
      </c>
      <c r="GW48" vm="11631">
        <f ca="1"/>
        <v>45.838799999999999</v>
      </c>
      <c r="GX48" vm="11632">
        <f ca="1"/>
        <v>45.837200000000003</v>
      </c>
      <c r="GY48" vm="11633">
        <f ca="1"/>
        <v>45.43</v>
      </c>
      <c r="GZ48" vm="11634">
        <f ca="1"/>
        <v>45.159199999999998</v>
      </c>
      <c r="HA48" vm="11635">
        <f ca="1"/>
        <v>45.103900000000003</v>
      </c>
      <c r="HB48" vm="11636">
        <f ca="1"/>
        <v>45.875700000000002</v>
      </c>
      <c r="HC48" vm="11637">
        <f ca="1"/>
        <v>45.944600000000001</v>
      </c>
      <c r="HD48" vm="11638">
        <f ca="1"/>
        <v>45.52</v>
      </c>
      <c r="HE48" vm="11639">
        <f ca="1"/>
        <v>45.888500000000001</v>
      </c>
      <c r="HF48" vm="11640">
        <f ca="1"/>
        <v>45.874499999999998</v>
      </c>
      <c r="HG48" vm="11641">
        <f ca="1"/>
        <v>45.430399999999999</v>
      </c>
      <c r="HH48" vm="11642">
        <f ca="1"/>
        <v>45.4985</v>
      </c>
      <c r="HI48" vm="11643">
        <f ca="1"/>
        <v>45.194400000000002</v>
      </c>
      <c r="HJ48" vm="11644">
        <f ca="1"/>
        <v>44.905999999999999</v>
      </c>
      <c r="HK48" vm="11645">
        <f ca="1"/>
        <v>44.967500000000001</v>
      </c>
      <c r="HL48" vm="1184">
        <f ca="1"/>
        <v>44.73</v>
      </c>
      <c r="HM48" vm="11646">
        <f ca="1"/>
        <v>43.972499999999997</v>
      </c>
      <c r="HN48" vm="9982">
        <f ca="1"/>
        <v>43.33</v>
      </c>
      <c r="HO48" vm="11647">
        <f ca="1"/>
        <v>43.327100000000002</v>
      </c>
      <c r="HP48" vm="1372">
        <f ca="1"/>
        <v>43.25</v>
      </c>
      <c r="HQ48" vm="11648">
        <f ca="1"/>
        <v>43.277200000000001</v>
      </c>
      <c r="HR48" vm="11649">
        <f ca="1"/>
        <v>43.525599999999997</v>
      </c>
      <c r="HS48" vm="11650">
        <f ca="1"/>
        <v>42.710500000000003</v>
      </c>
      <c r="HT48" vm="11651">
        <f ca="1"/>
        <v>43.385100000000001</v>
      </c>
      <c r="HU48" vm="77">
        <f ca="1"/>
        <v>43.54</v>
      </c>
      <c r="HV48" vm="9976">
        <f ca="1"/>
        <v>43.95</v>
      </c>
      <c r="HW48" vm="11517">
        <f ca="1"/>
        <v>44.08</v>
      </c>
      <c r="HX48" vm="11652">
        <f ca="1"/>
        <v>43.99</v>
      </c>
      <c r="HY48" vm="9211">
        <f ca="1"/>
        <v>44.18</v>
      </c>
      <c r="HZ48" vm="11653">
        <f ca="1"/>
        <v>43.587000000000003</v>
      </c>
      <c r="IA48" vm="11654">
        <f ca="1"/>
        <v>44.061700000000002</v>
      </c>
      <c r="IB48" vm="1170">
        <f ca="1"/>
        <v>43.877200000000002</v>
      </c>
      <c r="IC48" vm="1171">
        <f ca="1"/>
        <v>43.47</v>
      </c>
      <c r="ID48" vm="1172">
        <f ca="1"/>
        <v>44.185699999999997</v>
      </c>
      <c r="IE48" vm="1173">
        <f ca="1"/>
        <v>44.218299999999999</v>
      </c>
      <c r="IF48" vm="1174">
        <f ca="1"/>
        <v>45.0488</v>
      </c>
      <c r="IG48" vm="1175">
        <f ca="1"/>
        <v>45.565899999999999</v>
      </c>
      <c r="IH48" vm="1176">
        <f ca="1"/>
        <v>45.630600000000001</v>
      </c>
      <c r="II48" vm="1177">
        <f ca="1"/>
        <v>45.444600000000001</v>
      </c>
      <c r="IJ48" vm="1178">
        <f ca="1"/>
        <v>45.278599999999997</v>
      </c>
      <c r="IK48" vm="1179">
        <f ca="1"/>
        <v>45.168799999999997</v>
      </c>
      <c r="IL48" vm="1180">
        <f ca="1"/>
        <v>44.95</v>
      </c>
      <c r="IM48" vm="1181">
        <f ca="1"/>
        <v>44.76</v>
      </c>
      <c r="IN48" vm="1182">
        <f ca="1"/>
        <v>44.602499999999999</v>
      </c>
      <c r="IO48" vm="1183">
        <f ca="1"/>
        <v>44.62</v>
      </c>
      <c r="IP48" vm="1184">
        <f ca="1"/>
        <v>44.73</v>
      </c>
      <c r="IQ48" vm="1185">
        <f ca="1"/>
        <v>45.2</v>
      </c>
      <c r="IR48" vm="1186">
        <f ca="1"/>
        <v>45.49</v>
      </c>
      <c r="IS48" vm="1187">
        <f ca="1"/>
        <v>45.69</v>
      </c>
      <c r="IT48" vm="1188">
        <f ca="1"/>
        <v>45.47</v>
      </c>
      <c r="IU48" vm="1189">
        <f ca="1"/>
        <v>45.62</v>
      </c>
      <c r="IV48" vm="1187">
        <f ca="1"/>
        <v>45.69</v>
      </c>
      <c r="IW48" vm="74">
        <f ca="1"/>
        <v>45.601100000000002</v>
      </c>
    </row>
    <row r="49" spans="1:257" ht="16" x14ac:dyDescent="0.2">
      <c r="A49" s="14" t="e" vm="1190">
        <v>#VALUE!</v>
      </c>
      <c r="B49" s="23" t="str" cm="1">
        <f t="array" aca="1" ref="B49" ca="1">_FV(A49,"ticker symbol",TRUE)</f>
        <v>VPU</v>
      </c>
      <c r="C49" s="23" t="str" cm="1">
        <f t="array" aca="1" ref="C49" ca="1">_FV(A49,"Name")</f>
        <v>Vanguard Util Indx;ETF</v>
      </c>
      <c r="D49" cm="1" vm="11655">
        <f t="array" aca="1" ref="D49:IW49" ca="1">TRANSPOSE(_xlfn.STOCKHISTORY(B49, WORKDAY(TODAY(), -265), TODAY(), 0, 0, 1))</f>
        <v>166.6</v>
      </c>
      <c r="E49" s="23" vm="9553">
        <f ca="1"/>
        <v>165.87</v>
      </c>
      <c r="F49" s="23" vm="11656">
        <f ca="1"/>
        <v>160.52000000000001</v>
      </c>
      <c r="G49" s="23" vm="11657">
        <f ca="1"/>
        <v>161.34</v>
      </c>
      <c r="H49" s="23" vm="5099">
        <f ca="1"/>
        <v>163.59</v>
      </c>
      <c r="I49" s="23" vm="11658">
        <f ca="1"/>
        <v>164.22</v>
      </c>
      <c r="J49" s="23" vm="11659">
        <f ca="1"/>
        <v>165.03</v>
      </c>
      <c r="K49" s="23" vm="11660">
        <f ca="1"/>
        <v>164.67</v>
      </c>
      <c r="L49" s="23" vm="11661">
        <f ca="1"/>
        <v>164.23</v>
      </c>
      <c r="M49" s="23" vm="5099">
        <f ca="1"/>
        <v>163.59</v>
      </c>
      <c r="N49" s="23" vm="11662">
        <f ca="1"/>
        <v>163.41999999999999</v>
      </c>
      <c r="O49" s="23" vm="11663">
        <f ca="1"/>
        <v>164.52</v>
      </c>
      <c r="P49" s="23" vm="11664">
        <f ca="1"/>
        <v>166.3</v>
      </c>
      <c r="Q49" s="23" vm="11665">
        <f ca="1"/>
        <v>164.53</v>
      </c>
      <c r="R49" s="23" vm="11666">
        <f ca="1"/>
        <v>164.05</v>
      </c>
      <c r="S49" s="23" vm="5094">
        <f ca="1"/>
        <v>164.17</v>
      </c>
      <c r="T49" s="23" vm="11667">
        <f ca="1"/>
        <v>162.97</v>
      </c>
      <c r="U49" s="23" vm="11668">
        <f ca="1"/>
        <v>161.24</v>
      </c>
      <c r="V49" s="23" vm="11669">
        <f ca="1"/>
        <v>163.46</v>
      </c>
      <c r="W49" s="23" vm="9474">
        <f ca="1"/>
        <v>165.97</v>
      </c>
      <c r="X49" s="23" vm="11670">
        <f ca="1"/>
        <v>169.89</v>
      </c>
      <c r="Y49" s="23" vm="11671">
        <f ca="1"/>
        <v>170.17</v>
      </c>
      <c r="Z49" s="23" vm="11672">
        <f ca="1"/>
        <v>172.59</v>
      </c>
      <c r="AA49" s="23" vm="11673">
        <f ca="1"/>
        <v>169.04</v>
      </c>
      <c r="AB49" s="23" vm="11674">
        <f ca="1"/>
        <v>169.61</v>
      </c>
      <c r="AC49" s="23" vm="11675">
        <f ca="1"/>
        <v>171.27</v>
      </c>
      <c r="AD49" vm="11676">
        <f ca="1"/>
        <v>167.65</v>
      </c>
      <c r="AE49" vm="11677">
        <f ca="1"/>
        <v>165.36</v>
      </c>
      <c r="AF49" vm="11678">
        <f ca="1"/>
        <v>165.69</v>
      </c>
      <c r="AG49" vm="5117">
        <f ca="1"/>
        <v>169.06</v>
      </c>
      <c r="AH49" vm="11679">
        <f ca="1"/>
        <v>168.06</v>
      </c>
      <c r="AI49" vm="11680">
        <f ca="1"/>
        <v>169.07</v>
      </c>
      <c r="AJ49" vm="11681">
        <f ca="1"/>
        <v>167.61</v>
      </c>
      <c r="AK49" vm="11682">
        <f ca="1"/>
        <v>169.3</v>
      </c>
      <c r="AL49" vm="11683">
        <f ca="1"/>
        <v>169.27</v>
      </c>
      <c r="AM49" vm="11684">
        <f ca="1"/>
        <v>168.67</v>
      </c>
      <c r="AN49" vm="11685">
        <f ca="1"/>
        <v>170.48</v>
      </c>
      <c r="AO49" vm="11686">
        <f ca="1"/>
        <v>171.35</v>
      </c>
      <c r="AP49" vm="4344">
        <f ca="1"/>
        <v>171.17</v>
      </c>
      <c r="AQ49" vm="11687">
        <f ca="1"/>
        <v>171.48</v>
      </c>
      <c r="AR49" vm="11688">
        <f ca="1"/>
        <v>170.69</v>
      </c>
      <c r="AS49" vm="11689">
        <f ca="1"/>
        <v>172.63</v>
      </c>
      <c r="AT49" vm="11690">
        <f ca="1"/>
        <v>173.27</v>
      </c>
      <c r="AU49" vm="11691">
        <f ca="1"/>
        <v>173.33</v>
      </c>
      <c r="AV49" vm="11692">
        <f ca="1"/>
        <v>173.28</v>
      </c>
      <c r="AW49" vm="11672">
        <f ca="1"/>
        <v>172.59</v>
      </c>
      <c r="AX49" vm="11693">
        <f ca="1"/>
        <v>171.95</v>
      </c>
      <c r="AY49" vm="11689">
        <f ca="1"/>
        <v>172.63</v>
      </c>
      <c r="AZ49" vm="11680">
        <f ca="1"/>
        <v>169.07</v>
      </c>
      <c r="BA49" vm="11694">
        <f ca="1"/>
        <v>171.47</v>
      </c>
      <c r="BB49" vm="11695">
        <f ca="1"/>
        <v>171.72</v>
      </c>
      <c r="BC49" vm="5116">
        <f ca="1"/>
        <v>169.13</v>
      </c>
      <c r="BD49" vm="11696">
        <f ca="1"/>
        <v>167.84</v>
      </c>
      <c r="BE49" vm="11697">
        <f ca="1"/>
        <v>164.44</v>
      </c>
      <c r="BF49" vm="5123">
        <f ca="1"/>
        <v>167.32</v>
      </c>
      <c r="BG49" vm="11698">
        <f ca="1"/>
        <v>169.12</v>
      </c>
      <c r="BH49" vm="11699">
        <f ca="1"/>
        <v>167.74</v>
      </c>
      <c r="BI49" vm="11700">
        <f ca="1"/>
        <v>167.05</v>
      </c>
      <c r="BJ49" vm="11701">
        <f ca="1"/>
        <v>167.58</v>
      </c>
      <c r="BK49" vm="11702">
        <f ca="1"/>
        <v>170.8</v>
      </c>
      <c r="BL49" vm="11703">
        <f ca="1"/>
        <v>171.62</v>
      </c>
      <c r="BM49" vm="11704">
        <f ca="1"/>
        <v>170.42</v>
      </c>
      <c r="BN49" vm="11705">
        <f ca="1"/>
        <v>170.94</v>
      </c>
      <c r="BO49" vm="11706">
        <f ca="1"/>
        <v>171.64</v>
      </c>
      <c r="BP49" vm="11707">
        <f ca="1"/>
        <v>170.39</v>
      </c>
      <c r="BQ49" vm="11708">
        <f ca="1"/>
        <v>170.53</v>
      </c>
      <c r="BR49" vm="11709">
        <f ca="1"/>
        <v>166.74</v>
      </c>
      <c r="BS49" vm="5220">
        <f ca="1"/>
        <v>167.78</v>
      </c>
      <c r="BT49" vm="5107">
        <f ca="1"/>
        <v>167.76</v>
      </c>
      <c r="BU49" vm="5113">
        <f ca="1"/>
        <v>169.03</v>
      </c>
      <c r="BV49" vm="11710">
        <f ca="1"/>
        <v>170.81</v>
      </c>
      <c r="BW49" vm="11711">
        <f ca="1"/>
        <v>171.33</v>
      </c>
      <c r="BX49" vm="11693">
        <f ca="1"/>
        <v>171.95</v>
      </c>
      <c r="BY49" vm="11712">
        <f ca="1"/>
        <v>171.04</v>
      </c>
      <c r="BZ49" vm="11713">
        <f ca="1"/>
        <v>161.69999999999999</v>
      </c>
      <c r="CA49" vm="11714">
        <f ca="1"/>
        <v>159.32</v>
      </c>
      <c r="CB49" vm="11715">
        <f ca="1"/>
        <v>158.36000000000001</v>
      </c>
      <c r="CC49" vm="11716">
        <f ca="1"/>
        <v>164.49</v>
      </c>
      <c r="CD49" vm="11717">
        <f ca="1"/>
        <v>163.38999999999999</v>
      </c>
      <c r="CE49" vm="11718">
        <f ca="1"/>
        <v>165.48</v>
      </c>
      <c r="CF49" vm="11719">
        <f ca="1"/>
        <v>168.34</v>
      </c>
      <c r="CG49" vm="11720">
        <f ca="1"/>
        <v>168.47</v>
      </c>
      <c r="CH49" vm="11721">
        <f ca="1"/>
        <v>166.94</v>
      </c>
      <c r="CI49" vm="11722">
        <f ca="1"/>
        <v>168.78</v>
      </c>
      <c r="CJ49" vm="11723">
        <f ca="1"/>
        <v>164.82</v>
      </c>
      <c r="CK49" vm="11724">
        <f ca="1"/>
        <v>169.23</v>
      </c>
      <c r="CL49" vm="8106">
        <f ca="1"/>
        <v>169.83</v>
      </c>
      <c r="CM49" vm="11725">
        <f ca="1"/>
        <v>170</v>
      </c>
      <c r="CN49" vm="11726">
        <f ca="1"/>
        <v>169.35</v>
      </c>
      <c r="CO49" vm="11727">
        <f ca="1"/>
        <v>170.57</v>
      </c>
      <c r="CP49" vm="1666">
        <f ca="1"/>
        <v>171.75</v>
      </c>
      <c r="CQ49" vm="11728">
        <f ca="1"/>
        <v>170.99</v>
      </c>
      <c r="CR49" vm="11729">
        <f ca="1"/>
        <v>171.52</v>
      </c>
      <c r="CS49" vm="9568">
        <f ca="1"/>
        <v>172.64</v>
      </c>
      <c r="CT49" vm="1387">
        <f ca="1"/>
        <v>172.23</v>
      </c>
      <c r="CU49" vm="4303">
        <f ca="1"/>
        <v>174.2</v>
      </c>
      <c r="CV49" vm="11730">
        <f ca="1"/>
        <v>174.79</v>
      </c>
      <c r="CW49" vm="11731">
        <f ca="1"/>
        <v>173.39</v>
      </c>
      <c r="CX49" vm="11732">
        <f ca="1"/>
        <v>173.52</v>
      </c>
      <c r="CY49" vm="5267">
        <f ca="1"/>
        <v>172.34</v>
      </c>
      <c r="CZ49" vm="11733">
        <f ca="1"/>
        <v>172.03</v>
      </c>
      <c r="DA49" vm="11711">
        <f ca="1"/>
        <v>171.33</v>
      </c>
      <c r="DB49" vm="11734">
        <f ca="1"/>
        <v>175.11</v>
      </c>
      <c r="DC49" vm="11735">
        <f ca="1"/>
        <v>177.57</v>
      </c>
      <c r="DD49" vm="11736">
        <f ca="1"/>
        <v>178.39</v>
      </c>
      <c r="DE49" vm="11737">
        <f ca="1"/>
        <v>178.82</v>
      </c>
      <c r="DF49" vm="11738">
        <f ca="1"/>
        <v>175.48</v>
      </c>
      <c r="DG49" vm="11739">
        <f ca="1"/>
        <v>173.06</v>
      </c>
      <c r="DH49" vm="5259">
        <f ca="1"/>
        <v>175.1</v>
      </c>
      <c r="DI49" vm="11740">
        <f ca="1"/>
        <v>176.67</v>
      </c>
      <c r="DJ49" vm="11741">
        <f ca="1"/>
        <v>174</v>
      </c>
      <c r="DK49" vm="4300">
        <f ca="1"/>
        <v>175.38</v>
      </c>
      <c r="DL49" vm="11742">
        <f ca="1"/>
        <v>176.96</v>
      </c>
      <c r="DM49" vm="11743">
        <f ca="1"/>
        <v>177.52</v>
      </c>
      <c r="DN49" vm="11744">
        <f ca="1"/>
        <v>177.89</v>
      </c>
      <c r="DO49" vm="4315">
        <f ca="1"/>
        <v>174.94</v>
      </c>
      <c r="DP49" vm="4268">
        <f ca="1"/>
        <v>174.67</v>
      </c>
      <c r="DQ49" vm="11745">
        <f ca="1"/>
        <v>175.3</v>
      </c>
      <c r="DR49" vm="11746">
        <f ca="1"/>
        <v>174.43</v>
      </c>
      <c r="DS49" vm="4315">
        <f ca="1"/>
        <v>174.94</v>
      </c>
      <c r="DT49" vm="5247">
        <f ca="1"/>
        <v>175.21</v>
      </c>
      <c r="DU49" vm="5280">
        <f ca="1"/>
        <v>177.19</v>
      </c>
      <c r="DV49" vm="11747">
        <f ca="1"/>
        <v>176.05</v>
      </c>
      <c r="DW49" vm="5247">
        <f ca="1"/>
        <v>175.21</v>
      </c>
      <c r="DX49" vm="11748">
        <f ca="1"/>
        <v>173.94</v>
      </c>
      <c r="DY49" vm="11749">
        <f ca="1"/>
        <v>174.46</v>
      </c>
      <c r="DZ49" vm="11750">
        <f ca="1"/>
        <v>174.74</v>
      </c>
      <c r="EA49" vm="11751">
        <f ca="1"/>
        <v>177</v>
      </c>
      <c r="EB49" vm="5266">
        <f ca="1"/>
        <v>177.69</v>
      </c>
      <c r="EC49" vm="11752">
        <f ca="1"/>
        <v>175.29</v>
      </c>
      <c r="ED49" vm="11753">
        <f ca="1"/>
        <v>175.45</v>
      </c>
      <c r="EE49" vm="11754">
        <f ca="1"/>
        <v>175.86</v>
      </c>
      <c r="EF49" vm="11755">
        <f ca="1"/>
        <v>176.51</v>
      </c>
      <c r="EG49" vm="11751">
        <f ca="1"/>
        <v>177</v>
      </c>
      <c r="EH49" vm="11756">
        <f ca="1"/>
        <v>175.62</v>
      </c>
      <c r="EI49" vm="11757">
        <f ca="1"/>
        <v>176.97</v>
      </c>
      <c r="EJ49" vm="11758">
        <f ca="1"/>
        <v>177.17</v>
      </c>
      <c r="EK49" vm="11759">
        <f ca="1"/>
        <v>175.42</v>
      </c>
      <c r="EL49" vm="4301">
        <f ca="1"/>
        <v>177.01</v>
      </c>
      <c r="EM49" vm="4299">
        <f ca="1"/>
        <v>178.26</v>
      </c>
      <c r="EN49" vm="4361">
        <f ca="1"/>
        <v>178.04</v>
      </c>
      <c r="EO49" vm="11760">
        <f ca="1"/>
        <v>178.95</v>
      </c>
      <c r="EP49" vm="11761">
        <f ca="1"/>
        <v>177.11</v>
      </c>
      <c r="EQ49" vm="11762">
        <f ca="1"/>
        <v>177.29</v>
      </c>
      <c r="ER49" vm="11763">
        <f ca="1"/>
        <v>177.92</v>
      </c>
      <c r="ES49" vm="11764">
        <f ca="1"/>
        <v>181.1</v>
      </c>
      <c r="ET49" vm="11765">
        <f ca="1"/>
        <v>181.59</v>
      </c>
      <c r="EU49" vm="11766">
        <f ca="1"/>
        <v>183.76</v>
      </c>
      <c r="EV49" vm="11767">
        <f ca="1"/>
        <v>182.52</v>
      </c>
      <c r="EW49" vm="342">
        <f ca="1"/>
        <v>182.23</v>
      </c>
      <c r="EX49" vm="11768">
        <f ca="1"/>
        <v>182.66</v>
      </c>
      <c r="EY49" vm="4376">
        <f ca="1"/>
        <v>180.89</v>
      </c>
      <c r="EZ49" vm="11769">
        <f ca="1"/>
        <v>182.78</v>
      </c>
      <c r="FA49" vm="11770">
        <f ca="1"/>
        <v>184.1</v>
      </c>
      <c r="FB49" vm="11771">
        <f ca="1"/>
        <v>185.24</v>
      </c>
      <c r="FC49" vm="11772">
        <f ca="1"/>
        <v>185.3</v>
      </c>
      <c r="FD49" vm="11773">
        <f ca="1"/>
        <v>188.61</v>
      </c>
      <c r="FE49" vm="11774">
        <f ca="1"/>
        <v>186.74</v>
      </c>
      <c r="FF49" vm="11775">
        <f ca="1"/>
        <v>185.22</v>
      </c>
      <c r="FG49" vm="8149">
        <f ca="1"/>
        <v>187.03</v>
      </c>
      <c r="FH49" vm="11776">
        <f ca="1"/>
        <v>186.28</v>
      </c>
      <c r="FI49" vm="11777">
        <f ca="1"/>
        <v>185.75</v>
      </c>
      <c r="FJ49" vm="11778">
        <f ca="1"/>
        <v>186.61</v>
      </c>
      <c r="FK49" vm="11779">
        <f ca="1"/>
        <v>187.07</v>
      </c>
      <c r="FL49" vm="11780">
        <f ca="1"/>
        <v>185.79</v>
      </c>
      <c r="FM49" vm="11775">
        <f ca="1"/>
        <v>185.22</v>
      </c>
      <c r="FN49" vm="11781">
        <f ca="1"/>
        <v>184.33</v>
      </c>
      <c r="FO49" vm="11782">
        <f ca="1"/>
        <v>186.1</v>
      </c>
      <c r="FP49" vm="11783">
        <f ca="1"/>
        <v>186.24</v>
      </c>
      <c r="FQ49" vm="11784">
        <f ca="1"/>
        <v>185.05</v>
      </c>
      <c r="FR49" vm="11785">
        <f ca="1"/>
        <v>186.15</v>
      </c>
      <c r="FS49" vm="349">
        <f ca="1"/>
        <v>184.11</v>
      </c>
      <c r="FT49" vm="7371">
        <f ca="1"/>
        <v>184.48</v>
      </c>
      <c r="FU49" vm="11786">
        <f ca="1"/>
        <v>184.8</v>
      </c>
      <c r="FV49" vm="348">
        <f ca="1"/>
        <v>183.52</v>
      </c>
      <c r="FW49" vm="11787">
        <f ca="1"/>
        <v>182.69</v>
      </c>
      <c r="FX49" vm="11788">
        <f ca="1"/>
        <v>182.07</v>
      </c>
      <c r="FY49" vm="4377">
        <f ca="1"/>
        <v>181.74</v>
      </c>
      <c r="FZ49" vm="11789">
        <f ca="1"/>
        <v>181.48</v>
      </c>
      <c r="GA49" vm="11790">
        <f ca="1"/>
        <v>181.07</v>
      </c>
      <c r="GB49" vm="11791">
        <f ca="1"/>
        <v>179.16</v>
      </c>
      <c r="GC49" vm="11792">
        <f ca="1"/>
        <v>180.42</v>
      </c>
      <c r="GD49" vm="11793">
        <f ca="1"/>
        <v>183.2</v>
      </c>
      <c r="GE49" vm="4379">
        <f ca="1"/>
        <v>184.29</v>
      </c>
      <c r="GF49" vm="11794">
        <f ca="1"/>
        <v>185.17</v>
      </c>
      <c r="GG49" vm="11777">
        <f ca="1"/>
        <v>185.75</v>
      </c>
      <c r="GH49" vm="11795">
        <f ca="1"/>
        <v>182.5</v>
      </c>
      <c r="GI49" vm="4400">
        <f ca="1"/>
        <v>183.08</v>
      </c>
      <c r="GJ49" vm="11796">
        <f ca="1"/>
        <v>183.36</v>
      </c>
      <c r="GK49" vm="11797">
        <f ca="1"/>
        <v>184.91</v>
      </c>
      <c r="GL49" vm="11798">
        <f ca="1"/>
        <v>186.5</v>
      </c>
      <c r="GM49" vm="11799">
        <f ca="1"/>
        <v>187.51</v>
      </c>
      <c r="GN49" vm="11800">
        <f ca="1"/>
        <v>187.4</v>
      </c>
      <c r="GO49" vm="11801">
        <f ca="1"/>
        <v>185.61</v>
      </c>
      <c r="GP49" vm="11802">
        <f ca="1"/>
        <v>188.25</v>
      </c>
      <c r="GQ49" vm="11803">
        <f ca="1"/>
        <v>188.91</v>
      </c>
      <c r="GR49" vm="11804">
        <f ca="1"/>
        <v>189.41</v>
      </c>
      <c r="GS49" vm="8073">
        <f ca="1"/>
        <v>190.89</v>
      </c>
      <c r="GT49" vm="9627">
        <f ca="1"/>
        <v>190.8</v>
      </c>
      <c r="GU49" vm="11805">
        <f ca="1"/>
        <v>192.83</v>
      </c>
      <c r="GV49" vm="11806">
        <f ca="1"/>
        <v>194.75</v>
      </c>
      <c r="GW49" vm="11807">
        <f ca="1"/>
        <v>195.5</v>
      </c>
      <c r="GX49" vm="11808">
        <f ca="1"/>
        <v>196.94</v>
      </c>
      <c r="GY49" vm="1197">
        <f ca="1"/>
        <v>196.45</v>
      </c>
      <c r="GZ49" vm="11807">
        <f ca="1"/>
        <v>195.5</v>
      </c>
      <c r="HA49" vm="11809">
        <f ca="1"/>
        <v>197.28</v>
      </c>
      <c r="HB49" vm="11810">
        <f ca="1"/>
        <v>198.99</v>
      </c>
      <c r="HC49" vm="11811">
        <f ca="1"/>
        <v>201.45</v>
      </c>
      <c r="HD49" vm="11812">
        <f ca="1"/>
        <v>199.33</v>
      </c>
      <c r="HE49" vm="11813">
        <f ca="1"/>
        <v>198.69</v>
      </c>
      <c r="HF49" vm="11814">
        <f ca="1"/>
        <v>198.78</v>
      </c>
      <c r="HG49" vm="11815">
        <f ca="1"/>
        <v>196.44</v>
      </c>
      <c r="HH49" vm="8162">
        <f ca="1"/>
        <v>195.67</v>
      </c>
      <c r="HI49" vm="11816">
        <f ca="1"/>
        <v>195.65</v>
      </c>
      <c r="HJ49" vm="11817">
        <f ca="1"/>
        <v>198.11</v>
      </c>
      <c r="HK49" vm="11818">
        <f ca="1"/>
        <v>198.63</v>
      </c>
      <c r="HL49" vm="11819">
        <f ca="1"/>
        <v>195.43</v>
      </c>
      <c r="HM49" vm="11820">
        <f ca="1"/>
        <v>195.37</v>
      </c>
      <c r="HN49" vm="11821">
        <f ca="1"/>
        <v>194.31</v>
      </c>
      <c r="HO49" vm="11822">
        <f ca="1"/>
        <v>193.06</v>
      </c>
      <c r="HP49" vm="887">
        <f ca="1"/>
        <v>193.29</v>
      </c>
      <c r="HQ49" vm="7043">
        <f ca="1"/>
        <v>192.46</v>
      </c>
      <c r="HR49" vm="11823">
        <f ca="1"/>
        <v>192.73</v>
      </c>
      <c r="HS49" vm="9602">
        <f ca="1"/>
        <v>191.85</v>
      </c>
      <c r="HT49" vm="8083">
        <f ca="1"/>
        <v>194.47</v>
      </c>
      <c r="HU49" vm="11824">
        <f ca="1"/>
        <v>194.39</v>
      </c>
      <c r="HV49" vm="11825">
        <f ca="1"/>
        <v>194.43</v>
      </c>
      <c r="HW49" vm="11826">
        <f ca="1"/>
        <v>194.88</v>
      </c>
      <c r="HX49" vm="11827">
        <f ca="1"/>
        <v>192.27</v>
      </c>
      <c r="HY49" vm="11828">
        <f ca="1"/>
        <v>192.35</v>
      </c>
      <c r="HZ49" vm="8163">
        <f ca="1"/>
        <v>193.82</v>
      </c>
      <c r="IA49" vm="8059">
        <f ca="1"/>
        <v>193.08</v>
      </c>
      <c r="IB49" vm="1191">
        <f ca="1"/>
        <v>191.76</v>
      </c>
      <c r="IC49" vm="1192">
        <f ca="1"/>
        <v>190.7</v>
      </c>
      <c r="ID49" vm="1193">
        <f ca="1"/>
        <v>190.96</v>
      </c>
      <c r="IE49" vm="1194">
        <f ca="1"/>
        <v>193.19</v>
      </c>
      <c r="IF49" vm="1195">
        <f ca="1"/>
        <v>192.57</v>
      </c>
      <c r="IG49" vm="1196">
        <f ca="1"/>
        <v>194.98</v>
      </c>
      <c r="IH49" vm="1197">
        <f ca="1"/>
        <v>196.45</v>
      </c>
      <c r="II49" vm="1198">
        <f ca="1"/>
        <v>191.98</v>
      </c>
      <c r="IJ49" vm="253">
        <f ca="1"/>
        <v>190.5</v>
      </c>
      <c r="IK49" vm="1199">
        <f ca="1"/>
        <v>189.92</v>
      </c>
      <c r="IL49" vm="1200">
        <f ca="1"/>
        <v>189.73</v>
      </c>
      <c r="IM49" vm="1201">
        <f ca="1"/>
        <v>187.79</v>
      </c>
      <c r="IN49" vm="1202">
        <f ca="1"/>
        <v>185.63</v>
      </c>
      <c r="IO49" vm="1203">
        <f ca="1"/>
        <v>185.64</v>
      </c>
      <c r="IP49" vm="1204">
        <f ca="1"/>
        <v>185.46</v>
      </c>
      <c r="IQ49" vm="1205">
        <f ca="1"/>
        <v>187.04</v>
      </c>
      <c r="IR49" vm="1206">
        <f ca="1"/>
        <v>186.01</v>
      </c>
      <c r="IS49" vm="1207">
        <f ca="1"/>
        <v>187.52</v>
      </c>
      <c r="IT49" vm="1208">
        <f ca="1"/>
        <v>186.9</v>
      </c>
      <c r="IU49" vm="1209">
        <f ca="1"/>
        <v>184.06</v>
      </c>
      <c r="IV49" vm="1210">
        <f ca="1"/>
        <v>185.98</v>
      </c>
      <c r="IW49" vm="76">
        <f ca="1"/>
        <v>183.5</v>
      </c>
    </row>
    <row r="50" spans="1:257" ht="16" x14ac:dyDescent="0.2">
      <c r="A50" s="14" t="e" vm="1211">
        <v>#VALUE!</v>
      </c>
      <c r="B50" s="23" t="str" cm="1">
        <f t="array" aca="1" ref="B50" ca="1">_FV(A50,"ticker symbol",TRUE)</f>
        <v>FUTY</v>
      </c>
      <c r="C50" s="23" t="str" cm="1">
        <f t="array" aca="1" ref="C50" ca="1">_FV(A50,"Name")</f>
        <v>Fidelity MSCI Utilities</v>
      </c>
      <c r="D50" cm="1" vm="11026">
        <f t="array" aca="1" ref="D50:IW50" ca="1">TRANSPOSE(_xlfn.STOCKHISTORY(B50, WORKDAY(TODAY(), -265), TODAY(), 0, 0, 1))</f>
        <v>49.6</v>
      </c>
      <c r="E50" s="23" vm="1131">
        <f ca="1"/>
        <v>49.4</v>
      </c>
      <c r="F50" s="23" vm="6288">
        <f ca="1"/>
        <v>48.17</v>
      </c>
      <c r="G50" s="23" vm="6227">
        <f ca="1"/>
        <v>48.42</v>
      </c>
      <c r="H50" s="23" vm="1266">
        <f ca="1"/>
        <v>48.8</v>
      </c>
      <c r="I50" s="23" vm="11829">
        <f ca="1"/>
        <v>48.98</v>
      </c>
      <c r="J50" s="23" vm="11830">
        <f ca="1"/>
        <v>49.26</v>
      </c>
      <c r="K50" s="23" vm="9241">
        <f ca="1"/>
        <v>49.14</v>
      </c>
      <c r="L50" s="23" vm="11829">
        <f ca="1"/>
        <v>48.98</v>
      </c>
      <c r="M50" s="23" vm="1266">
        <f ca="1"/>
        <v>48.8</v>
      </c>
      <c r="N50" s="23" vm="11831">
        <f ca="1"/>
        <v>48.77</v>
      </c>
      <c r="O50" s="23" vm="11832">
        <f ca="1"/>
        <v>49.07</v>
      </c>
      <c r="P50" s="23" vm="6274">
        <f ca="1"/>
        <v>49.64</v>
      </c>
      <c r="Q50" s="23" vm="11832">
        <f ca="1"/>
        <v>49.07</v>
      </c>
      <c r="R50" s="23" vm="3103">
        <f ca="1"/>
        <v>48.96</v>
      </c>
      <c r="S50" s="23" vm="3103">
        <f ca="1"/>
        <v>48.96</v>
      </c>
      <c r="T50" s="23" vm="11833">
        <f ca="1"/>
        <v>48.6</v>
      </c>
      <c r="U50" s="23" vm="2332">
        <f ca="1"/>
        <v>48.13</v>
      </c>
      <c r="V50" s="23" vm="11834">
        <f ca="1"/>
        <v>48.73</v>
      </c>
      <c r="W50" s="23" vm="6292">
        <f ca="1"/>
        <v>49.44</v>
      </c>
      <c r="X50" s="23" vm="11339">
        <f ca="1"/>
        <v>50.66</v>
      </c>
      <c r="Y50" s="23" vm="11835">
        <f ca="1"/>
        <v>50.74</v>
      </c>
      <c r="Z50" s="23" vm="11322">
        <f ca="1"/>
        <v>51.53</v>
      </c>
      <c r="AA50" s="23" vm="1145">
        <f ca="1"/>
        <v>50.38</v>
      </c>
      <c r="AB50" s="23" vm="11319">
        <f ca="1"/>
        <v>50.63</v>
      </c>
      <c r="AC50" s="23" vm="11836">
        <f ca="1"/>
        <v>51.09</v>
      </c>
      <c r="AD50" vm="1144">
        <f ca="1"/>
        <v>50</v>
      </c>
      <c r="AE50" vm="11837">
        <f ca="1"/>
        <v>49.35</v>
      </c>
      <c r="AF50" vm="1994">
        <f ca="1"/>
        <v>49.41</v>
      </c>
      <c r="AG50" vm="11347">
        <f ca="1"/>
        <v>50.48</v>
      </c>
      <c r="AH50" vm="10053">
        <f ca="1"/>
        <v>50.17</v>
      </c>
      <c r="AI50" vm="9255">
        <f ca="1"/>
        <v>50.4</v>
      </c>
      <c r="AJ50" vm="11838">
        <f ca="1"/>
        <v>50.02</v>
      </c>
      <c r="AK50" vm="844">
        <f ca="1"/>
        <v>50.52</v>
      </c>
      <c r="AL50" vm="1146">
        <f ca="1"/>
        <v>50.5</v>
      </c>
      <c r="AM50" vm="1135">
        <f ca="1"/>
        <v>50.36</v>
      </c>
      <c r="AN50" vm="11839">
        <f ca="1"/>
        <v>50.89</v>
      </c>
      <c r="AO50" vm="11333">
        <f ca="1"/>
        <v>51.15</v>
      </c>
      <c r="AP50" vm="3106">
        <f ca="1"/>
        <v>51.03</v>
      </c>
      <c r="AQ50" vm="11027">
        <f ca="1"/>
        <v>51.18</v>
      </c>
      <c r="AR50" vm="6296">
        <f ca="1"/>
        <v>50.94</v>
      </c>
      <c r="AS50" vm="11840">
        <f ca="1"/>
        <v>51.46</v>
      </c>
      <c r="AT50" vm="11302">
        <f ca="1"/>
        <v>51.71</v>
      </c>
      <c r="AU50" vm="11841">
        <f ca="1"/>
        <v>51.69</v>
      </c>
      <c r="AV50" vm="11842">
        <f ca="1"/>
        <v>51.72</v>
      </c>
      <c r="AW50" vm="6358">
        <f ca="1"/>
        <v>51.45</v>
      </c>
      <c r="AX50" vm="6250">
        <f ca="1"/>
        <v>51.26</v>
      </c>
      <c r="AY50" vm="840">
        <f ca="1"/>
        <v>51.48</v>
      </c>
      <c r="AZ50" vm="1989">
        <f ca="1"/>
        <v>50.39</v>
      </c>
      <c r="BA50" vm="11333">
        <f ca="1"/>
        <v>51.15</v>
      </c>
      <c r="BB50" vm="6250">
        <f ca="1"/>
        <v>51.26</v>
      </c>
      <c r="BC50" vm="11843">
        <f ca="1"/>
        <v>50.42</v>
      </c>
      <c r="BD50" vm="11844">
        <f ca="1"/>
        <v>50.04</v>
      </c>
      <c r="BE50" vm="10000">
        <f ca="1"/>
        <v>49.04</v>
      </c>
      <c r="BF50" vm="11845">
        <f ca="1"/>
        <v>49.95</v>
      </c>
      <c r="BG50" vm="11846">
        <f ca="1"/>
        <v>50.47</v>
      </c>
      <c r="BH50" vm="11838">
        <f ca="1"/>
        <v>50.02</v>
      </c>
      <c r="BI50" vm="846">
        <f ca="1"/>
        <v>49.87</v>
      </c>
      <c r="BJ50" vm="6304">
        <f ca="1"/>
        <v>49.96</v>
      </c>
      <c r="BK50" vm="6261">
        <f ca="1"/>
        <v>50.96</v>
      </c>
      <c r="BL50" vm="2765">
        <f ca="1"/>
        <v>51.19</v>
      </c>
      <c r="BM50" vm="6294">
        <f ca="1"/>
        <v>50.87</v>
      </c>
      <c r="BN50" vm="9254">
        <f ca="1"/>
        <v>51.02</v>
      </c>
      <c r="BO50" vm="10055">
        <f ca="1"/>
        <v>51.23</v>
      </c>
      <c r="BP50" vm="11321">
        <f ca="1"/>
        <v>50.46</v>
      </c>
      <c r="BQ50" vm="1146">
        <f ca="1"/>
        <v>50.5</v>
      </c>
      <c r="BR50" vm="11025">
        <f ca="1"/>
        <v>49.7</v>
      </c>
      <c r="BS50" vm="11317">
        <f ca="1"/>
        <v>50.01</v>
      </c>
      <c r="BT50" vm="1144">
        <f ca="1"/>
        <v>50</v>
      </c>
      <c r="BU50" vm="1989">
        <f ca="1"/>
        <v>50.39</v>
      </c>
      <c r="BV50" vm="839">
        <f ca="1"/>
        <v>50.95</v>
      </c>
      <c r="BW50" vm="9259">
        <f ca="1"/>
        <v>51.1</v>
      </c>
      <c r="BX50" vm="11847">
        <f ca="1"/>
        <v>51.3</v>
      </c>
      <c r="BY50" vm="9254">
        <f ca="1"/>
        <v>51.02</v>
      </c>
      <c r="BZ50" vm="11848">
        <f ca="1"/>
        <v>48.2</v>
      </c>
      <c r="CA50" vm="11849">
        <f ca="1"/>
        <v>47.46</v>
      </c>
      <c r="CB50" vm="11850">
        <f ca="1"/>
        <v>47.29</v>
      </c>
      <c r="CC50" vm="1983">
        <f ca="1"/>
        <v>49.05</v>
      </c>
      <c r="CD50" vm="3117">
        <f ca="1"/>
        <v>48.71</v>
      </c>
      <c r="CE50" vm="2913">
        <f ca="1"/>
        <v>49.37</v>
      </c>
      <c r="CF50" vm="11851">
        <f ca="1"/>
        <v>50.25</v>
      </c>
      <c r="CG50" vm="6307">
        <f ca="1"/>
        <v>50.22</v>
      </c>
      <c r="CH50" vm="1140">
        <f ca="1"/>
        <v>49.85</v>
      </c>
      <c r="CI50" vm="11852">
        <f ca="1"/>
        <v>50.31</v>
      </c>
      <c r="CJ50" vm="11354">
        <f ca="1"/>
        <v>49.13</v>
      </c>
      <c r="CK50" vm="11853">
        <f ca="1"/>
        <v>50.45</v>
      </c>
      <c r="CL50" vm="2902">
        <f ca="1"/>
        <v>50.62</v>
      </c>
      <c r="CM50" vm="11028">
        <f ca="1"/>
        <v>50.72</v>
      </c>
      <c r="CN50" vm="844">
        <f ca="1"/>
        <v>50.52</v>
      </c>
      <c r="CO50" vm="6245">
        <f ca="1"/>
        <v>50.85</v>
      </c>
      <c r="CP50" vm="11336">
        <f ca="1"/>
        <v>51.24</v>
      </c>
      <c r="CQ50" vm="6296">
        <f ca="1"/>
        <v>50.94</v>
      </c>
      <c r="CR50" vm="1523">
        <f ca="1"/>
        <v>51.16</v>
      </c>
      <c r="CS50" vm="11285">
        <f ca="1"/>
        <v>51.51</v>
      </c>
      <c r="CT50" vm="6255">
        <f ca="1"/>
        <v>51.36</v>
      </c>
      <c r="CU50" vm="1625">
        <f ca="1"/>
        <v>51.97</v>
      </c>
      <c r="CV50" vm="6354">
        <f ca="1"/>
        <v>52.15</v>
      </c>
      <c r="CW50" vm="469">
        <f ca="1"/>
        <v>51.67</v>
      </c>
      <c r="CX50" vm="11854">
        <f ca="1"/>
        <v>51.75</v>
      </c>
      <c r="CY50" vm="11855">
        <f ca="1"/>
        <v>51.42</v>
      </c>
      <c r="CZ50" vm="11314">
        <f ca="1"/>
        <v>51.31</v>
      </c>
      <c r="DA50" vm="6295">
        <f ca="1"/>
        <v>51.08</v>
      </c>
      <c r="DB50" vm="11005">
        <f ca="1"/>
        <v>52.2</v>
      </c>
      <c r="DC50" vm="472">
        <f ca="1"/>
        <v>52.95</v>
      </c>
      <c r="DD50" vm="2929">
        <f ca="1"/>
        <v>53.21</v>
      </c>
      <c r="DE50" vm="6336">
        <f ca="1"/>
        <v>53.34</v>
      </c>
      <c r="DF50" vm="1627">
        <f ca="1"/>
        <v>52.35</v>
      </c>
      <c r="DG50" vm="11001">
        <f ca="1"/>
        <v>51.61</v>
      </c>
      <c r="DH50" vm="1628">
        <f ca="1"/>
        <v>52.23</v>
      </c>
      <c r="DI50" vm="9691">
        <f ca="1"/>
        <v>52.67</v>
      </c>
      <c r="DJ50" vm="11856">
        <f ca="1"/>
        <v>51.92</v>
      </c>
      <c r="DK50" vm="2922">
        <f ca="1"/>
        <v>52.29</v>
      </c>
      <c r="DL50" vm="148">
        <f ca="1"/>
        <v>52.8</v>
      </c>
      <c r="DM50" vm="472">
        <f ca="1"/>
        <v>52.95</v>
      </c>
      <c r="DN50" vm="9257">
        <f ca="1"/>
        <v>53.08</v>
      </c>
      <c r="DO50" vm="1522">
        <f ca="1"/>
        <v>52.17</v>
      </c>
      <c r="DP50" vm="11306">
        <f ca="1"/>
        <v>52.08</v>
      </c>
      <c r="DQ50" vm="2922">
        <f ca="1"/>
        <v>52.29</v>
      </c>
      <c r="DR50" vm="11307">
        <f ca="1"/>
        <v>52</v>
      </c>
      <c r="DS50" vm="6354">
        <f ca="1"/>
        <v>52.15</v>
      </c>
      <c r="DT50" vm="11857">
        <f ca="1"/>
        <v>52.27</v>
      </c>
      <c r="DU50" vm="3304">
        <f ca="1"/>
        <v>52.86</v>
      </c>
      <c r="DV50" vm="2921">
        <f ca="1"/>
        <v>52.49</v>
      </c>
      <c r="DW50" vm="2905">
        <f ca="1"/>
        <v>52.25</v>
      </c>
      <c r="DX50" vm="470">
        <f ca="1"/>
        <v>51.89</v>
      </c>
      <c r="DY50" vm="11858">
        <f ca="1"/>
        <v>52.06</v>
      </c>
      <c r="DZ50" vm="11859">
        <f ca="1"/>
        <v>51.78</v>
      </c>
      <c r="EA50" vm="2920">
        <f ca="1"/>
        <v>52.41</v>
      </c>
      <c r="EB50" vm="9689">
        <f ca="1"/>
        <v>52.63</v>
      </c>
      <c r="EC50" vm="1626">
        <f ca="1"/>
        <v>51.88</v>
      </c>
      <c r="ED50" vm="2923">
        <f ca="1"/>
        <v>52.31</v>
      </c>
      <c r="EE50" vm="2920">
        <f ca="1"/>
        <v>52.41</v>
      </c>
      <c r="EF50" vm="2651">
        <f ca="1"/>
        <v>52.6</v>
      </c>
      <c r="EG50" vm="11860">
        <f ca="1"/>
        <v>52.77</v>
      </c>
      <c r="EH50" vm="1627">
        <f ca="1"/>
        <v>52.35</v>
      </c>
      <c r="EI50" vm="11861">
        <f ca="1"/>
        <v>52.75</v>
      </c>
      <c r="EJ50" vm="11862">
        <f ca="1"/>
        <v>52.82</v>
      </c>
      <c r="EK50" vm="2923">
        <f ca="1"/>
        <v>52.31</v>
      </c>
      <c r="EL50" vm="6329">
        <f ca="1"/>
        <v>52.76</v>
      </c>
      <c r="EM50" vm="2652">
        <f ca="1"/>
        <v>53.2</v>
      </c>
      <c r="EN50" vm="9688">
        <f ca="1"/>
        <v>53.12</v>
      </c>
      <c r="EO50" vm="11863">
        <f ca="1"/>
        <v>53.37</v>
      </c>
      <c r="EP50" vm="475">
        <f ca="1"/>
        <v>52.84</v>
      </c>
      <c r="EQ50" vm="3300">
        <f ca="1"/>
        <v>52.9</v>
      </c>
      <c r="ER50" vm="2637">
        <f ca="1"/>
        <v>53.1</v>
      </c>
      <c r="ES50" vm="2927">
        <f ca="1"/>
        <v>54.01</v>
      </c>
      <c r="ET50" vm="11864">
        <f ca="1"/>
        <v>54.12</v>
      </c>
      <c r="EU50" vm="1527">
        <f ca="1"/>
        <v>54.8</v>
      </c>
      <c r="EV50" vm="11865">
        <f ca="1"/>
        <v>54.4</v>
      </c>
      <c r="EW50" vm="2773">
        <f ca="1"/>
        <v>54.35</v>
      </c>
      <c r="EX50" vm="11866">
        <f ca="1"/>
        <v>54.49</v>
      </c>
      <c r="EY50" vm="2772">
        <f ca="1"/>
        <v>53.95</v>
      </c>
      <c r="EZ50" vm="11867">
        <f ca="1"/>
        <v>54.55</v>
      </c>
      <c r="FA50" vm="11868">
        <f ca="1"/>
        <v>54.93</v>
      </c>
      <c r="FB50" vm="11869">
        <f ca="1"/>
        <v>55.23</v>
      </c>
      <c r="FC50" vm="9693">
        <f ca="1"/>
        <v>55.27</v>
      </c>
      <c r="FD50" vm="1636">
        <f ca="1"/>
        <v>56.26</v>
      </c>
      <c r="FE50" vm="11057">
        <f ca="1"/>
        <v>55.7</v>
      </c>
      <c r="FF50" vm="11869">
        <f ca="1"/>
        <v>55.23</v>
      </c>
      <c r="FG50" vm="11870">
        <f ca="1"/>
        <v>55.77</v>
      </c>
      <c r="FH50" vm="9696">
        <f ca="1"/>
        <v>55.55</v>
      </c>
      <c r="FI50" vm="1223">
        <f ca="1"/>
        <v>55.35</v>
      </c>
      <c r="FJ50" vm="11871">
        <f ca="1"/>
        <v>55.66</v>
      </c>
      <c r="FK50" vm="11872">
        <f ca="1"/>
        <v>55.8</v>
      </c>
      <c r="FL50" vm="11873">
        <f ca="1"/>
        <v>55.4</v>
      </c>
      <c r="FM50" vm="11874">
        <f ca="1"/>
        <v>55.22</v>
      </c>
      <c r="FN50" vm="8687">
        <f ca="1"/>
        <v>54.97</v>
      </c>
      <c r="FO50" vm="9694">
        <f ca="1"/>
        <v>55.48</v>
      </c>
      <c r="FP50" vm="8682">
        <f ca="1"/>
        <v>55.54</v>
      </c>
      <c r="FQ50" vm="11875">
        <f ca="1"/>
        <v>55.19</v>
      </c>
      <c r="FR50" vm="11876">
        <f ca="1"/>
        <v>55.53</v>
      </c>
      <c r="FS50" vm="11877">
        <f ca="1"/>
        <v>54.91</v>
      </c>
      <c r="FT50" vm="11878">
        <f ca="1"/>
        <v>55.01</v>
      </c>
      <c r="FU50" vm="11879">
        <f ca="1"/>
        <v>55.11</v>
      </c>
      <c r="FV50" vm="11880">
        <f ca="1"/>
        <v>54.72</v>
      </c>
      <c r="FW50" vm="11881">
        <f ca="1"/>
        <v>54.52</v>
      </c>
      <c r="FX50" vm="1531">
        <f ca="1"/>
        <v>54.29</v>
      </c>
      <c r="FY50" vm="11055">
        <f ca="1"/>
        <v>54.16</v>
      </c>
      <c r="FZ50" vm="8685">
        <f ca="1"/>
        <v>54.1</v>
      </c>
      <c r="GA50" vm="11053">
        <f ca="1"/>
        <v>53.98</v>
      </c>
      <c r="GB50" vm="10057">
        <f ca="1"/>
        <v>53.43</v>
      </c>
      <c r="GC50" vm="1528">
        <f ca="1"/>
        <v>53.78</v>
      </c>
      <c r="GD50" vm="11019">
        <f ca="1"/>
        <v>54.65</v>
      </c>
      <c r="GE50" vm="11882">
        <f ca="1"/>
        <v>54.96</v>
      </c>
      <c r="GF50" vm="11874">
        <f ca="1"/>
        <v>55.22</v>
      </c>
      <c r="GG50" vm="11883">
        <f ca="1"/>
        <v>55.39</v>
      </c>
      <c r="GH50" vm="11884">
        <f ca="1"/>
        <v>54.43</v>
      </c>
      <c r="GI50" vm="11885">
        <f ca="1"/>
        <v>54.59</v>
      </c>
      <c r="GJ50" vm="11886">
        <f ca="1"/>
        <v>54.66</v>
      </c>
      <c r="GK50" vm="11018">
        <f ca="1"/>
        <v>54.76</v>
      </c>
      <c r="GL50" vm="1540">
        <f ca="1"/>
        <v>55.26</v>
      </c>
      <c r="GM50" vm="11887">
        <f ca="1"/>
        <v>55.56</v>
      </c>
      <c r="GN50" vm="11888">
        <f ca="1"/>
        <v>55.88</v>
      </c>
      <c r="GO50" vm="11889">
        <f ca="1"/>
        <v>55.32</v>
      </c>
      <c r="GP50" vm="11890">
        <f ca="1"/>
        <v>56.12</v>
      </c>
      <c r="GQ50" vm="11891">
        <f ca="1"/>
        <v>56.34</v>
      </c>
      <c r="GR50" vm="11012">
        <f ca="1"/>
        <v>56.47</v>
      </c>
      <c r="GS50" vm="10089">
        <f ca="1"/>
        <v>56.91</v>
      </c>
      <c r="GT50" vm="11892">
        <f ca="1"/>
        <v>56.88</v>
      </c>
      <c r="GU50" vm="9671">
        <f ca="1"/>
        <v>57.47</v>
      </c>
      <c r="GV50" vm="8681">
        <f ca="1"/>
        <v>58.05</v>
      </c>
      <c r="GW50" vm="11893">
        <f ca="1"/>
        <v>58.28</v>
      </c>
      <c r="GX50" vm="11894">
        <f ca="1"/>
        <v>58.71</v>
      </c>
      <c r="GY50" vm="8697">
        <f ca="1"/>
        <v>58.56</v>
      </c>
      <c r="GZ50" vm="115">
        <f ca="1"/>
        <v>58.3</v>
      </c>
      <c r="HA50" vm="11895">
        <f ca="1"/>
        <v>58.81</v>
      </c>
      <c r="HB50" vm="1583">
        <f ca="1"/>
        <v>59.32</v>
      </c>
      <c r="HC50" vm="11896">
        <f ca="1"/>
        <v>60.06</v>
      </c>
      <c r="HD50" vm="11367">
        <f ca="1"/>
        <v>59.46</v>
      </c>
      <c r="HE50" vm="11897">
        <f ca="1"/>
        <v>59.24</v>
      </c>
      <c r="HF50" vm="11898">
        <f ca="1"/>
        <v>59.23</v>
      </c>
      <c r="HG50" vm="11899">
        <f ca="1"/>
        <v>58.53</v>
      </c>
      <c r="HH50" vm="2962">
        <f ca="1"/>
        <v>58.37</v>
      </c>
      <c r="HI50" vm="11079">
        <f ca="1"/>
        <v>58.32</v>
      </c>
      <c r="HJ50" vm="1650">
        <f ca="1"/>
        <v>59.09</v>
      </c>
      <c r="HK50" vm="11898">
        <f ca="1"/>
        <v>59.23</v>
      </c>
      <c r="HL50" vm="11900">
        <f ca="1"/>
        <v>58.29</v>
      </c>
      <c r="HM50" vm="1652">
        <f ca="1"/>
        <v>58.2</v>
      </c>
      <c r="HN50" vm="11901">
        <f ca="1"/>
        <v>57.96</v>
      </c>
      <c r="HO50" vm="11902">
        <f ca="1"/>
        <v>57.57</v>
      </c>
      <c r="HP50" vm="11903">
        <f ca="1"/>
        <v>57.58</v>
      </c>
      <c r="HQ50" vm="11904">
        <f ca="1"/>
        <v>57.39</v>
      </c>
      <c r="HR50" vm="11905">
        <f ca="1"/>
        <v>57.44</v>
      </c>
      <c r="HS50" vm="11906">
        <f ca="1"/>
        <v>57.16</v>
      </c>
      <c r="HT50" vm="11077">
        <f ca="1"/>
        <v>57.97</v>
      </c>
      <c r="HU50" vm="11907">
        <f ca="1"/>
        <v>57.95</v>
      </c>
      <c r="HV50" vm="10087">
        <f ca="1"/>
        <v>57.98</v>
      </c>
      <c r="HW50" vm="11908">
        <f ca="1"/>
        <v>58.08</v>
      </c>
      <c r="HX50" vm="11909">
        <f ca="1"/>
        <v>57.31</v>
      </c>
      <c r="HY50" vm="9698">
        <f ca="1"/>
        <v>57.36</v>
      </c>
      <c r="HZ50" vm="11910">
        <f ca="1"/>
        <v>57.79</v>
      </c>
      <c r="IA50" vm="11903">
        <f ca="1"/>
        <v>57.58</v>
      </c>
      <c r="IB50" vm="1212">
        <f ca="1"/>
        <v>57.17</v>
      </c>
      <c r="IC50" vm="1213">
        <f ca="1"/>
        <v>56.85</v>
      </c>
      <c r="ID50" vm="1214">
        <f ca="1"/>
        <v>56.95</v>
      </c>
      <c r="IE50" vm="1215">
        <f ca="1"/>
        <v>57.6</v>
      </c>
      <c r="IF50" vm="1216">
        <f ca="1"/>
        <v>57.42</v>
      </c>
      <c r="IG50" vm="1217">
        <f ca="1"/>
        <v>58.16</v>
      </c>
      <c r="IH50" vm="1218">
        <f ca="1"/>
        <v>58.55</v>
      </c>
      <c r="II50" vm="1219">
        <f ca="1"/>
        <v>57.28</v>
      </c>
      <c r="IJ50" vm="1220">
        <f ca="1"/>
        <v>56.82</v>
      </c>
      <c r="IK50" vm="1221">
        <f ca="1"/>
        <v>56.65</v>
      </c>
      <c r="IL50" vm="1222">
        <f ca="1"/>
        <v>56.57</v>
      </c>
      <c r="IM50" vm="118">
        <f ca="1"/>
        <v>56.01</v>
      </c>
      <c r="IN50" vm="1223">
        <f ca="1"/>
        <v>55.35</v>
      </c>
      <c r="IO50" vm="1223">
        <f ca="1"/>
        <v>55.35</v>
      </c>
      <c r="IP50" vm="1224">
        <f ca="1"/>
        <v>55.31</v>
      </c>
      <c r="IQ50" vm="1225">
        <f ca="1"/>
        <v>55.76</v>
      </c>
      <c r="IR50" vm="1226">
        <f ca="1"/>
        <v>55.47</v>
      </c>
      <c r="IS50" vm="1227">
        <f ca="1"/>
        <v>55.91</v>
      </c>
      <c r="IT50" vm="1228">
        <f ca="1"/>
        <v>55.71</v>
      </c>
      <c r="IU50" vm="1224">
        <f ca="1"/>
        <v>55.31</v>
      </c>
      <c r="IV50" vm="1229">
        <f ca="1"/>
        <v>55.87</v>
      </c>
      <c r="IW50" vm="78">
        <f ca="1"/>
        <v>54.79</v>
      </c>
    </row>
    <row r="51" spans="1:257" ht="16" x14ac:dyDescent="0.2">
      <c r="A51" s="14" t="e" vm="1230">
        <v>#VALUE!</v>
      </c>
      <c r="B51" s="23" t="str" cm="1">
        <f t="array" aca="1" ref="B51" ca="1">_FV(A51,"ticker symbol",TRUE)</f>
        <v>IDU</v>
      </c>
      <c r="C51" s="23" t="str" cm="1">
        <f t="array" aca="1" ref="C51" ca="1">_FV(A51,"Name")</f>
        <v>iShares:US Utl</v>
      </c>
      <c r="D51" cm="1" vm="11911">
        <f t="array" aca="1" ref="D51:IW51" ca="1">TRANSPOSE(_xlfn.STOCKHISTORY(B51, WORKDAY(TODAY(), -265), TODAY(), 0, 0, 1))</f>
        <v>98.21</v>
      </c>
      <c r="E51" s="23" vm="271">
        <f ca="1"/>
        <v>96.91</v>
      </c>
      <c r="F51" s="23" vm="2045">
        <f ca="1"/>
        <v>94.65</v>
      </c>
      <c r="G51" s="23" vm="11912">
        <f ca="1"/>
        <v>95.17</v>
      </c>
      <c r="H51" s="23" vm="11913">
        <f ca="1"/>
        <v>96.42</v>
      </c>
      <c r="I51" s="23" vm="11914">
        <f ca="1"/>
        <v>96.68</v>
      </c>
      <c r="J51" s="23" vm="4591">
        <f ca="1"/>
        <v>97.22</v>
      </c>
      <c r="K51" s="23" vm="7956">
        <f ca="1"/>
        <v>97.01</v>
      </c>
      <c r="L51" s="23" vm="11915">
        <f ca="1"/>
        <v>96.74</v>
      </c>
      <c r="M51" s="23" vm="11916">
        <f ca="1"/>
        <v>96.3</v>
      </c>
      <c r="N51" s="23" vm="10934">
        <f ca="1"/>
        <v>96.21</v>
      </c>
      <c r="O51" s="23" vm="11914">
        <f ca="1"/>
        <v>96.68</v>
      </c>
      <c r="P51" s="23" vm="11917">
        <f ca="1"/>
        <v>97.66</v>
      </c>
      <c r="Q51" s="23" vm="4494">
        <f ca="1"/>
        <v>96.81</v>
      </c>
      <c r="R51" s="23" vm="11914">
        <f ca="1"/>
        <v>96.68</v>
      </c>
      <c r="S51" s="23" vm="4494">
        <f ca="1"/>
        <v>96.81</v>
      </c>
      <c r="T51" s="23" vm="8301">
        <f ca="1"/>
        <v>96.25</v>
      </c>
      <c r="U51" s="23" vm="4489">
        <f ca="1"/>
        <v>95.33</v>
      </c>
      <c r="V51" s="23" vm="5564">
        <f ca="1"/>
        <v>96.35</v>
      </c>
      <c r="W51" s="23" vm="4496">
        <f ca="1"/>
        <v>97.73</v>
      </c>
      <c r="X51" s="23" vm="11918">
        <f ca="1"/>
        <v>100.02</v>
      </c>
      <c r="Y51" s="23" vm="3259">
        <f ca="1"/>
        <v>100.14</v>
      </c>
      <c r="Z51" s="23" vm="11919">
        <f ca="1"/>
        <v>101.64</v>
      </c>
      <c r="AA51" s="23" vm="10906">
        <f ca="1"/>
        <v>99.61</v>
      </c>
      <c r="AB51" s="23" vm="11920">
        <f ca="1"/>
        <v>99.9</v>
      </c>
      <c r="AC51" s="23" vm="1910">
        <f ca="1"/>
        <v>100.85</v>
      </c>
      <c r="AD51" vm="270">
        <f ca="1"/>
        <v>99.05</v>
      </c>
      <c r="AE51" vm="11921">
        <f ca="1"/>
        <v>97.82</v>
      </c>
      <c r="AF51" vm="11922">
        <f ca="1"/>
        <v>97.72</v>
      </c>
      <c r="AG51" vm="1907">
        <f ca="1"/>
        <v>100.15</v>
      </c>
      <c r="AH51" vm="11923">
        <f ca="1"/>
        <v>99.46</v>
      </c>
      <c r="AI51" vm="11924">
        <f ca="1"/>
        <v>100.13</v>
      </c>
      <c r="AJ51" vm="4604">
        <f ca="1"/>
        <v>99.29</v>
      </c>
      <c r="AK51" vm="136">
        <f ca="1"/>
        <v>100.28</v>
      </c>
      <c r="AL51" vm="1907">
        <f ca="1"/>
        <v>100.15</v>
      </c>
      <c r="AM51" vm="11925">
        <f ca="1"/>
        <v>99.93</v>
      </c>
      <c r="AN51" vm="10945">
        <f ca="1"/>
        <v>101.01</v>
      </c>
      <c r="AO51" vm="5537">
        <f ca="1"/>
        <v>101.42</v>
      </c>
      <c r="AP51" vm="4626">
        <f ca="1"/>
        <v>101.28</v>
      </c>
      <c r="AQ51" vm="11926">
        <f ca="1"/>
        <v>101.52</v>
      </c>
      <c r="AR51" vm="11927">
        <f ca="1"/>
        <v>101.27</v>
      </c>
      <c r="AS51" vm="276">
        <f ca="1"/>
        <v>102.15</v>
      </c>
      <c r="AT51" vm="11928">
        <f ca="1"/>
        <v>102.57</v>
      </c>
      <c r="AU51" vm="11929">
        <f ca="1"/>
        <v>102.55</v>
      </c>
      <c r="AV51" vm="5541">
        <f ca="1"/>
        <v>102.6</v>
      </c>
      <c r="AW51" vm="11930">
        <f ca="1"/>
        <v>102.27</v>
      </c>
      <c r="AX51" vm="11931">
        <f ca="1"/>
        <v>101.89</v>
      </c>
      <c r="AY51" vm="276">
        <f ca="1"/>
        <v>102.15</v>
      </c>
      <c r="AZ51" vm="3262">
        <f ca="1"/>
        <v>100.1</v>
      </c>
      <c r="BA51" vm="11919">
        <f ca="1"/>
        <v>101.64</v>
      </c>
      <c r="BB51" vm="4637">
        <f ca="1"/>
        <v>101.88</v>
      </c>
      <c r="BC51" vm="10855">
        <f ca="1"/>
        <v>100.24</v>
      </c>
      <c r="BD51" vm="5561">
        <f ca="1"/>
        <v>99.65</v>
      </c>
      <c r="BE51" vm="11932">
        <f ca="1"/>
        <v>97.57</v>
      </c>
      <c r="BF51" vm="4566">
        <f ca="1"/>
        <v>99.37</v>
      </c>
      <c r="BG51" vm="11933">
        <f ca="1"/>
        <v>100.16</v>
      </c>
      <c r="BH51" vm="4605">
        <f ca="1"/>
        <v>99.26</v>
      </c>
      <c r="BI51" vm="7935">
        <f ca="1"/>
        <v>98.95</v>
      </c>
      <c r="BJ51" vm="11934">
        <f ca="1"/>
        <v>99.16</v>
      </c>
      <c r="BK51" vm="5536">
        <f ca="1"/>
        <v>100.93</v>
      </c>
      <c r="BL51" vm="11935">
        <f ca="1"/>
        <v>101.54</v>
      </c>
      <c r="BM51" vm="11936">
        <f ca="1"/>
        <v>100.31</v>
      </c>
      <c r="BN51" vm="3198">
        <f ca="1"/>
        <v>100.56</v>
      </c>
      <c r="BO51" vm="679">
        <f ca="1"/>
        <v>100.92</v>
      </c>
      <c r="BP51" vm="11936">
        <f ca="1"/>
        <v>100.31</v>
      </c>
      <c r="BQ51" vm="11937">
        <f ca="1"/>
        <v>100.39</v>
      </c>
      <c r="BR51" vm="5529">
        <f ca="1"/>
        <v>98.94</v>
      </c>
      <c r="BS51" vm="10906">
        <f ca="1"/>
        <v>99.61</v>
      </c>
      <c r="BT51" vm="10906">
        <f ca="1"/>
        <v>99.61</v>
      </c>
      <c r="BU51" vm="11938">
        <f ca="1"/>
        <v>100.27</v>
      </c>
      <c r="BV51" vm="5537">
        <f ca="1"/>
        <v>101.42</v>
      </c>
      <c r="BW51" vm="11939">
        <f ca="1"/>
        <v>101.75</v>
      </c>
      <c r="BX51" vm="4641">
        <f ca="1"/>
        <v>102.19</v>
      </c>
      <c r="BY51" vm="11940">
        <f ca="1"/>
        <v>101.73</v>
      </c>
      <c r="BZ51" vm="2037">
        <f ca="1"/>
        <v>96.09</v>
      </c>
      <c r="CA51" vm="4538">
        <f ca="1"/>
        <v>94.7</v>
      </c>
      <c r="CB51" vm="11941">
        <f ca="1"/>
        <v>93.98</v>
      </c>
      <c r="CC51" vm="11942">
        <f ca="1"/>
        <v>97.8</v>
      </c>
      <c r="CD51" vm="3181">
        <f ca="1"/>
        <v>97.19</v>
      </c>
      <c r="CE51" vm="272">
        <f ca="1"/>
        <v>98.42</v>
      </c>
      <c r="CF51" vm="11943">
        <f ca="1"/>
        <v>100.21</v>
      </c>
      <c r="CG51" vm="10999">
        <f ca="1"/>
        <v>100.11</v>
      </c>
      <c r="CH51" vm="4605">
        <f ca="1"/>
        <v>99.26</v>
      </c>
      <c r="CI51" vm="10821">
        <f ca="1"/>
        <v>100.23</v>
      </c>
      <c r="CJ51" vm="4495">
        <f ca="1"/>
        <v>97.98</v>
      </c>
      <c r="CK51" vm="3209">
        <f ca="1"/>
        <v>100.47</v>
      </c>
      <c r="CL51" vm="4610">
        <f ca="1"/>
        <v>100.69</v>
      </c>
      <c r="CM51" vm="4608">
        <f ca="1"/>
        <v>100.84</v>
      </c>
      <c r="CN51" vm="3198">
        <f ca="1"/>
        <v>100.56</v>
      </c>
      <c r="CO51" vm="11927">
        <f ca="1"/>
        <v>101.27</v>
      </c>
      <c r="CP51" vm="11944">
        <f ca="1"/>
        <v>101.94</v>
      </c>
      <c r="CQ51" vm="11945">
        <f ca="1"/>
        <v>101.72</v>
      </c>
      <c r="CR51" vm="3249">
        <f ca="1"/>
        <v>101.96</v>
      </c>
      <c r="CS51" vm="11946">
        <f ca="1"/>
        <v>102.64</v>
      </c>
      <c r="CT51" vm="4643">
        <f ca="1"/>
        <v>102.45</v>
      </c>
      <c r="CU51" vm="11947">
        <f ca="1"/>
        <v>103.49</v>
      </c>
      <c r="CV51" vm="7908">
        <f ca="1"/>
        <v>103.87</v>
      </c>
      <c r="CW51" vm="11948">
        <f ca="1"/>
        <v>103.06</v>
      </c>
      <c r="CX51" vm="11949">
        <f ca="1"/>
        <v>103.21</v>
      </c>
      <c r="CY51" vm="1060">
        <f ca="1"/>
        <v>102.29</v>
      </c>
      <c r="CZ51" vm="11944">
        <f ca="1"/>
        <v>101.94</v>
      </c>
      <c r="DA51" vm="289">
        <f ca="1"/>
        <v>101.55</v>
      </c>
      <c r="DB51" vm="11950">
        <f ca="1"/>
        <v>103.81</v>
      </c>
      <c r="DC51" vm="7926">
        <f ca="1"/>
        <v>105.24</v>
      </c>
      <c r="DD51" vm="1077">
        <f ca="1"/>
        <v>105.74</v>
      </c>
      <c r="DE51" vm="8318">
        <f ca="1"/>
        <v>106.11</v>
      </c>
      <c r="DF51" vm="7924">
        <f ca="1"/>
        <v>104.31</v>
      </c>
      <c r="DG51" vm="11951">
        <f ca="1"/>
        <v>102.94</v>
      </c>
      <c r="DH51" vm="3237">
        <f ca="1"/>
        <v>104.19</v>
      </c>
      <c r="DI51" vm="11952">
        <f ca="1"/>
        <v>105.05</v>
      </c>
      <c r="DJ51" vm="5610">
        <f ca="1"/>
        <v>103.63</v>
      </c>
      <c r="DK51" vm="11953">
        <f ca="1"/>
        <v>104.32</v>
      </c>
      <c r="DL51" vm="11954">
        <f ca="1"/>
        <v>105.34</v>
      </c>
      <c r="DM51" vm="10952">
        <f ca="1"/>
        <v>105.71</v>
      </c>
      <c r="DN51" vm="7971">
        <f ca="1"/>
        <v>105.88</v>
      </c>
      <c r="DO51" vm="11955">
        <f ca="1"/>
        <v>104.2</v>
      </c>
      <c r="DP51" vm="11956">
        <f ca="1"/>
        <v>104.04</v>
      </c>
      <c r="DQ51" vm="8253">
        <f ca="1"/>
        <v>104.35</v>
      </c>
      <c r="DR51" vm="5610">
        <f ca="1"/>
        <v>103.63</v>
      </c>
      <c r="DS51" vm="7908">
        <f ca="1"/>
        <v>103.87</v>
      </c>
      <c r="DT51" vm="1050">
        <f ca="1"/>
        <v>103.91</v>
      </c>
      <c r="DU51" vm="8312">
        <f ca="1"/>
        <v>105.19</v>
      </c>
      <c r="DV51" vm="11957">
        <f ca="1"/>
        <v>104.57</v>
      </c>
      <c r="DW51" vm="5613">
        <f ca="1"/>
        <v>103.47</v>
      </c>
      <c r="DX51" vm="4616">
        <f ca="1"/>
        <v>102.73</v>
      </c>
      <c r="DY51" vm="4621">
        <f ca="1"/>
        <v>102.95</v>
      </c>
      <c r="DZ51" vm="11958">
        <f ca="1"/>
        <v>103.07</v>
      </c>
      <c r="EA51" vm="11959">
        <f ca="1"/>
        <v>104.36</v>
      </c>
      <c r="EB51" vm="11960">
        <f ca="1"/>
        <v>104.79</v>
      </c>
      <c r="EC51" vm="6">
        <f ca="1"/>
        <v>103.27</v>
      </c>
      <c r="ED51" vm="11961">
        <f ca="1"/>
        <v>104.03</v>
      </c>
      <c r="EE51" vm="10862">
        <f ca="1"/>
        <v>104.16</v>
      </c>
      <c r="EF51" vm="11957">
        <f ca="1"/>
        <v>104.57</v>
      </c>
      <c r="EG51" vm="11962">
        <f ca="1"/>
        <v>104.83</v>
      </c>
      <c r="EH51" vm="11963">
        <f ca="1"/>
        <v>103.84</v>
      </c>
      <c r="EI51" vm="11964">
        <f ca="1"/>
        <v>104.71</v>
      </c>
      <c r="EJ51" vm="11965">
        <f ca="1"/>
        <v>104.81</v>
      </c>
      <c r="EK51" vm="4635">
        <f ca="1"/>
        <v>103.7</v>
      </c>
      <c r="EL51" vm="11966">
        <f ca="1"/>
        <v>104.61</v>
      </c>
      <c r="EM51" vm="11967">
        <f ca="1"/>
        <v>105.4</v>
      </c>
      <c r="EN51" vm="11968">
        <f ca="1"/>
        <v>105.29</v>
      </c>
      <c r="EO51" vm="8252">
        <f ca="1"/>
        <v>105.77</v>
      </c>
      <c r="EP51" vm="11969">
        <f ca="1"/>
        <v>104.74</v>
      </c>
      <c r="EQ51" vm="11965">
        <f ca="1"/>
        <v>104.81</v>
      </c>
      <c r="ER51" vm="5614">
        <f ca="1"/>
        <v>105.21</v>
      </c>
      <c r="ES51" vm="3280">
        <f ca="1"/>
        <v>106.97</v>
      </c>
      <c r="ET51" vm="11970">
        <f ca="1"/>
        <v>107.14</v>
      </c>
      <c r="EU51" vm="11971">
        <f ca="1"/>
        <v>108.47</v>
      </c>
      <c r="EV51" vm="11972">
        <f ca="1"/>
        <v>107.85</v>
      </c>
      <c r="EW51" vm="8271">
        <f ca="1"/>
        <v>107.8</v>
      </c>
      <c r="EX51" vm="11973">
        <f ca="1"/>
        <v>108.07</v>
      </c>
      <c r="EY51" vm="8317">
        <f ca="1"/>
        <v>106.98</v>
      </c>
      <c r="EZ51" vm="3003">
        <f ca="1"/>
        <v>108.39</v>
      </c>
      <c r="FA51" vm="11974">
        <f ca="1"/>
        <v>108.87</v>
      </c>
      <c r="FB51" vm="11975">
        <f ca="1"/>
        <v>109.27</v>
      </c>
      <c r="FC51" vm="11976">
        <f ca="1"/>
        <v>109.3</v>
      </c>
      <c r="FD51" vm="10885">
        <f ca="1"/>
        <v>111.17</v>
      </c>
      <c r="FE51" vm="11977">
        <f ca="1"/>
        <v>110.03</v>
      </c>
      <c r="FF51" vm="11978">
        <f ca="1"/>
        <v>109.21</v>
      </c>
      <c r="FG51" vm="11979">
        <f ca="1"/>
        <v>110.34</v>
      </c>
      <c r="FH51" vm="11980">
        <f ca="1"/>
        <v>109.91</v>
      </c>
      <c r="FI51" vm="11981">
        <f ca="1"/>
        <v>109.7</v>
      </c>
      <c r="FJ51" vm="381">
        <f ca="1"/>
        <v>109.97</v>
      </c>
      <c r="FK51" vm="11982">
        <f ca="1"/>
        <v>110.1</v>
      </c>
      <c r="FL51" vm="11983">
        <f ca="1"/>
        <v>109.33</v>
      </c>
      <c r="FM51" vm="11984">
        <f ca="1"/>
        <v>109.01</v>
      </c>
      <c r="FN51" vm="1247">
        <f ca="1"/>
        <v>108.59</v>
      </c>
      <c r="FO51" vm="11985">
        <f ca="1"/>
        <v>109.69</v>
      </c>
      <c r="FP51" vm="11986">
        <f ca="1"/>
        <v>109.75</v>
      </c>
      <c r="FQ51" vm="9272">
        <f ca="1"/>
        <v>109.07</v>
      </c>
      <c r="FR51" vm="1516">
        <f ca="1"/>
        <v>109.6</v>
      </c>
      <c r="FS51" vm="11987">
        <f ca="1"/>
        <v>108.27</v>
      </c>
      <c r="FT51" vm="5628">
        <f ca="1"/>
        <v>108.63</v>
      </c>
      <c r="FU51" vm="7981">
        <f ca="1"/>
        <v>108.81</v>
      </c>
      <c r="FV51" vm="693">
        <f ca="1"/>
        <v>107.97</v>
      </c>
      <c r="FW51" vm="5635">
        <f ca="1"/>
        <v>107.73</v>
      </c>
      <c r="FX51" vm="5636">
        <f ca="1"/>
        <v>107.27</v>
      </c>
      <c r="FY51" vm="3269">
        <f ca="1"/>
        <v>107.05</v>
      </c>
      <c r="FZ51" vm="8247">
        <f ca="1"/>
        <v>106.95</v>
      </c>
      <c r="GA51" vm="11988">
        <f ca="1"/>
        <v>106.48</v>
      </c>
      <c r="GB51" vm="11989">
        <f ca="1"/>
        <v>105.44</v>
      </c>
      <c r="GC51" vm="5631">
        <f ca="1"/>
        <v>106.12</v>
      </c>
      <c r="GD51" vm="11990">
        <f ca="1"/>
        <v>107.64</v>
      </c>
      <c r="GE51" vm="1073">
        <f ca="1"/>
        <v>108.25</v>
      </c>
      <c r="GF51" vm="11991">
        <f ca="1"/>
        <v>108.75</v>
      </c>
      <c r="GG51" vm="11992">
        <f ca="1"/>
        <v>108.8</v>
      </c>
      <c r="GH51" vm="2988">
        <f ca="1"/>
        <v>106.36</v>
      </c>
      <c r="GI51" vm="686">
        <f ca="1"/>
        <v>106.68</v>
      </c>
      <c r="GJ51" vm="11993">
        <f ca="1"/>
        <v>106.83</v>
      </c>
      <c r="GK51" vm="11994">
        <f ca="1"/>
        <v>107.49</v>
      </c>
      <c r="GL51" vm="10890">
        <f ca="1"/>
        <v>108.4</v>
      </c>
      <c r="GM51" vm="11995">
        <f ca="1"/>
        <v>108.93</v>
      </c>
      <c r="GN51" vm="8000">
        <f ca="1"/>
        <v>109.63</v>
      </c>
      <c r="GO51" vm="11996">
        <f ca="1"/>
        <v>108.65</v>
      </c>
      <c r="GP51" vm="11997">
        <f ca="1"/>
        <v>110.28</v>
      </c>
      <c r="GQ51" vm="10981">
        <f ca="1"/>
        <v>110.63</v>
      </c>
      <c r="GR51" vm="7992">
        <f ca="1"/>
        <v>110.9</v>
      </c>
      <c r="GS51" vm="11998">
        <f ca="1"/>
        <v>111.71</v>
      </c>
      <c r="GT51" vm="5645">
        <f ca="1"/>
        <v>111.31</v>
      </c>
      <c r="GU51" vm="11999">
        <f ca="1"/>
        <v>112.54</v>
      </c>
      <c r="GV51" vm="12000">
        <f ca="1"/>
        <v>113.47</v>
      </c>
      <c r="GW51" vm="12001">
        <f ca="1"/>
        <v>113.96</v>
      </c>
      <c r="GX51" vm="12002">
        <f ca="1"/>
        <v>114.8</v>
      </c>
      <c r="GY51" vm="12003">
        <f ca="1"/>
        <v>114.41</v>
      </c>
      <c r="GZ51" vm="12004">
        <f ca="1"/>
        <v>113.93</v>
      </c>
      <c r="HA51" vm="5652">
        <f ca="1"/>
        <v>114.69</v>
      </c>
      <c r="HB51" vm="12005">
        <f ca="1"/>
        <v>115.56</v>
      </c>
      <c r="HC51" vm="12006">
        <f ca="1"/>
        <v>116.84</v>
      </c>
      <c r="HD51" vm="12007">
        <f ca="1"/>
        <v>115.75</v>
      </c>
      <c r="HE51" vm="5679">
        <f ca="1"/>
        <v>115.4</v>
      </c>
      <c r="HF51" vm="5679">
        <f ca="1"/>
        <v>115.4</v>
      </c>
      <c r="HG51" vm="12008">
        <f ca="1"/>
        <v>114.25</v>
      </c>
      <c r="HH51" vm="12009">
        <f ca="1"/>
        <v>114.06</v>
      </c>
      <c r="HI51" vm="12010">
        <f ca="1"/>
        <v>113.94</v>
      </c>
      <c r="HJ51" vm="12011">
        <f ca="1"/>
        <v>115.18</v>
      </c>
      <c r="HK51" vm="12012">
        <f ca="1"/>
        <v>115.35</v>
      </c>
      <c r="HL51" vm="12013">
        <f ca="1"/>
        <v>113.35</v>
      </c>
      <c r="HM51" vm="12014">
        <f ca="1"/>
        <v>112.93</v>
      </c>
      <c r="HN51" vm="12015">
        <f ca="1"/>
        <v>112.62</v>
      </c>
      <c r="HO51" vm="12016">
        <f ca="1"/>
        <v>111.83</v>
      </c>
      <c r="HP51" vm="8048">
        <f ca="1"/>
        <v>111.78</v>
      </c>
      <c r="HQ51" vm="12017">
        <f ca="1"/>
        <v>111.55</v>
      </c>
      <c r="HR51" vm="10843">
        <f ca="1"/>
        <v>111.6</v>
      </c>
      <c r="HS51" vm="12018">
        <f ca="1"/>
        <v>111.15</v>
      </c>
      <c r="HT51" vm="12019">
        <f ca="1"/>
        <v>112.53</v>
      </c>
      <c r="HU51" vm="12020">
        <f ca="1"/>
        <v>112.49</v>
      </c>
      <c r="HV51" vm="12015">
        <f ca="1"/>
        <v>112.62</v>
      </c>
      <c r="HW51" vm="12021">
        <f ca="1"/>
        <v>112.79</v>
      </c>
      <c r="HX51" vm="12022">
        <f ca="1"/>
        <v>111.44</v>
      </c>
      <c r="HY51" vm="12023">
        <f ca="1"/>
        <v>111.7</v>
      </c>
      <c r="HZ51" vm="12024">
        <f ca="1"/>
        <v>112.56</v>
      </c>
      <c r="IA51" vm="8321">
        <f ca="1"/>
        <v>112.34</v>
      </c>
      <c r="IB51" vm="1231">
        <f ca="1"/>
        <v>111.75</v>
      </c>
      <c r="IC51" vm="1232">
        <f ca="1"/>
        <v>111.24</v>
      </c>
      <c r="ID51" vm="1233">
        <f ca="1"/>
        <v>111.43</v>
      </c>
      <c r="IE51" vm="1234">
        <f ca="1"/>
        <v>112.4</v>
      </c>
      <c r="IF51" vm="1235">
        <f ca="1"/>
        <v>112.15</v>
      </c>
      <c r="IG51" vm="1236">
        <f ca="1"/>
        <v>113.56</v>
      </c>
      <c r="IH51" vm="1237">
        <f ca="1"/>
        <v>114.31</v>
      </c>
      <c r="II51" vm="1238">
        <f ca="1"/>
        <v>111.81</v>
      </c>
      <c r="IJ51" vm="1239">
        <f ca="1"/>
        <v>111.05</v>
      </c>
      <c r="IK51" vm="1240">
        <f ca="1"/>
        <v>110.72</v>
      </c>
      <c r="IL51" vm="1241">
        <f ca="1"/>
        <v>110.48</v>
      </c>
      <c r="IM51" vm="1242">
        <f ca="1"/>
        <v>109.54</v>
      </c>
      <c r="IN51" vm="1243">
        <f ca="1"/>
        <v>108.14</v>
      </c>
      <c r="IO51" vm="1244">
        <f ca="1"/>
        <v>108.09</v>
      </c>
      <c r="IP51" vm="1245">
        <f ca="1"/>
        <v>108.03</v>
      </c>
      <c r="IQ51" vm="1246">
        <f ca="1"/>
        <v>108.94</v>
      </c>
      <c r="IR51" vm="1247">
        <f ca="1"/>
        <v>108.59</v>
      </c>
      <c r="IS51" vm="1242">
        <f ca="1"/>
        <v>109.54</v>
      </c>
      <c r="IT51" vm="1248">
        <f ca="1"/>
        <v>108.52</v>
      </c>
      <c r="IU51" vm="1249">
        <f ca="1"/>
        <v>107.77</v>
      </c>
      <c r="IV51" vm="1250">
        <f ca="1"/>
        <v>108.76</v>
      </c>
      <c r="IW51" vm="80">
        <f ca="1"/>
        <v>107.4</v>
      </c>
    </row>
    <row r="52" spans="1:257" ht="16" x14ac:dyDescent="0.2">
      <c r="A52" s="14" t="e" vm="1251">
        <v>#VALUE!</v>
      </c>
      <c r="B52" s="23" t="str" cm="1">
        <f t="array" aca="1" ref="B52" ca="1">_FV(A52,"ticker symbol",TRUE)</f>
        <v>IYE</v>
      </c>
      <c r="C52" s="23" t="str" cm="1">
        <f t="array" aca="1" ref="C52" ca="1">_FV(A52,"Name")</f>
        <v>iShares:US Energy</v>
      </c>
      <c r="D52" cm="1" vm="12025">
        <f t="array" aca="1" ref="D52:IW52" ca="1">TRANSPOSE(_xlfn.STOCKHISTORY(B52, WORKDAY(TODAY(), -265), TODAY(), 0, 0, 1))</f>
        <v>46.33</v>
      </c>
      <c r="E52" s="23" vm="1979">
        <f ca="1"/>
        <v>45.63</v>
      </c>
      <c r="F52" s="23" vm="12026">
        <f ca="1"/>
        <v>44.35</v>
      </c>
      <c r="G52" s="23" vm="12027">
        <f ca="1"/>
        <v>43.93</v>
      </c>
      <c r="H52" s="23" vm="12028">
        <f ca="1"/>
        <v>44.41</v>
      </c>
      <c r="I52" s="23" vm="11504">
        <f ca="1"/>
        <v>44.7</v>
      </c>
      <c r="J52" s="23" vm="9233">
        <f ca="1"/>
        <v>45.06</v>
      </c>
      <c r="K52" s="23" vm="9228">
        <f ca="1"/>
        <v>44.94</v>
      </c>
      <c r="L52" s="23" vm="1180">
        <f ca="1"/>
        <v>44.95</v>
      </c>
      <c r="M52" s="23" vm="9229">
        <f ca="1"/>
        <v>44.98</v>
      </c>
      <c r="N52" s="23" vm="10017">
        <f ca="1"/>
        <v>45.57</v>
      </c>
      <c r="O52" s="23" vm="11516">
        <f ca="1"/>
        <v>46.12</v>
      </c>
      <c r="P52" s="23" vm="82">
        <f ca="1"/>
        <v>46.55</v>
      </c>
      <c r="Q52" s="23" vm="10011">
        <f ca="1"/>
        <v>46.39</v>
      </c>
      <c r="R52" s="23" vm="12029">
        <f ca="1"/>
        <v>46.87</v>
      </c>
      <c r="S52" s="23" vm="12029">
        <f ca="1"/>
        <v>46.87</v>
      </c>
      <c r="T52" s="23" vm="12030">
        <f ca="1"/>
        <v>47.01</v>
      </c>
      <c r="U52" s="23" vm="6268">
        <f ca="1"/>
        <v>48.02</v>
      </c>
      <c r="V52" s="23" vm="11352">
        <f ca="1"/>
        <v>48.55</v>
      </c>
      <c r="W52" s="23" vm="11296">
        <f ca="1"/>
        <v>49.22</v>
      </c>
      <c r="X52" s="23" vm="1133">
        <f ca="1"/>
        <v>49.59</v>
      </c>
      <c r="Y52" s="23" vm="11845">
        <f ca="1"/>
        <v>49.95</v>
      </c>
      <c r="Z52" s="23" vm="12031">
        <f ca="1"/>
        <v>49.63</v>
      </c>
      <c r="AA52" s="23" vm="11030">
        <f ca="1"/>
        <v>48.65</v>
      </c>
      <c r="AB52" s="23" vm="12032">
        <f ca="1"/>
        <v>48.86</v>
      </c>
      <c r="AC52" s="23" vm="12033">
        <f ca="1"/>
        <v>48.41</v>
      </c>
      <c r="AD52" vm="12034">
        <f ca="1"/>
        <v>47.84</v>
      </c>
      <c r="AE52" vm="12035">
        <f ca="1"/>
        <v>47.38</v>
      </c>
      <c r="AF52" vm="12036">
        <f ca="1"/>
        <v>47.47</v>
      </c>
      <c r="AG52" vm="12037">
        <f ca="1"/>
        <v>47.77</v>
      </c>
      <c r="AH52" vm="12038">
        <f ca="1"/>
        <v>46.46</v>
      </c>
      <c r="AI52" vm="12039">
        <f ca="1"/>
        <v>46.76</v>
      </c>
      <c r="AJ52" vm="11039">
        <f ca="1"/>
        <v>47.67</v>
      </c>
      <c r="AK52" vm="1982">
        <f ca="1"/>
        <v>47.81</v>
      </c>
      <c r="AL52" vm="12040">
        <f ca="1"/>
        <v>46.94</v>
      </c>
      <c r="AM52" vm="12040">
        <f ca="1"/>
        <v>46.94</v>
      </c>
      <c r="AN52" vm="1268">
        <f ca="1"/>
        <v>47.96</v>
      </c>
      <c r="AO52" vm="6230">
        <f ca="1"/>
        <v>48.28</v>
      </c>
      <c r="AP52" vm="12041">
        <f ca="1"/>
        <v>47.06</v>
      </c>
      <c r="AQ52" vm="10006">
        <f ca="1"/>
        <v>47.44</v>
      </c>
      <c r="AR52" vm="6225">
        <f ca="1"/>
        <v>47.63</v>
      </c>
      <c r="AS52" vm="11459">
        <f ca="1"/>
        <v>48.29</v>
      </c>
      <c r="AT52" vm="11030">
        <f ca="1"/>
        <v>48.65</v>
      </c>
      <c r="AU52" vm="12042">
        <f ca="1"/>
        <v>49.08</v>
      </c>
      <c r="AV52" vm="11575">
        <f ca="1"/>
        <v>48</v>
      </c>
      <c r="AW52" vm="12043">
        <f ca="1"/>
        <v>48.05</v>
      </c>
      <c r="AX52" vm="11576">
        <f ca="1"/>
        <v>47.3</v>
      </c>
      <c r="AY52" vm="12044">
        <f ca="1"/>
        <v>47.1</v>
      </c>
      <c r="AZ52" vm="12045">
        <f ca="1"/>
        <v>47.22</v>
      </c>
      <c r="BA52" vm="11316">
        <f ca="1"/>
        <v>47.94</v>
      </c>
      <c r="BB52" vm="12046">
        <f ca="1"/>
        <v>46.24</v>
      </c>
      <c r="BC52" vm="12047">
        <f ca="1"/>
        <v>45.82</v>
      </c>
      <c r="BD52" vm="2587">
        <f ca="1"/>
        <v>45.22</v>
      </c>
      <c r="BE52" vm="2330">
        <f ca="1"/>
        <v>45.26</v>
      </c>
      <c r="BF52" vm="10043">
        <f ca="1"/>
        <v>46.04</v>
      </c>
      <c r="BG52" vm="11469">
        <f ca="1"/>
        <v>46.32</v>
      </c>
      <c r="BH52" vm="10042">
        <f ca="1"/>
        <v>45.99</v>
      </c>
      <c r="BI52" vm="1269">
        <f ca="1"/>
        <v>46.22</v>
      </c>
      <c r="BJ52" vm="6280">
        <f ca="1"/>
        <v>45.91</v>
      </c>
      <c r="BK52" vm="6279">
        <f ca="1"/>
        <v>47.23</v>
      </c>
      <c r="BL52" vm="11043">
        <f ca="1"/>
        <v>48.01</v>
      </c>
      <c r="BM52" vm="1252">
        <f ca="1"/>
        <v>47.76</v>
      </c>
      <c r="BN52" vm="12048">
        <f ca="1"/>
        <v>48.57</v>
      </c>
      <c r="BO52" vm="6290">
        <f ca="1"/>
        <v>48.76</v>
      </c>
      <c r="BP52" vm="12033">
        <f ca="1"/>
        <v>48.41</v>
      </c>
      <c r="BQ52" vm="1262">
        <f ca="1"/>
        <v>49</v>
      </c>
      <c r="BR52" vm="12049">
        <f ca="1"/>
        <v>49.18</v>
      </c>
      <c r="BS52" vm="1131">
        <f ca="1"/>
        <v>49.4</v>
      </c>
      <c r="BT52" vm="9251">
        <f ca="1"/>
        <v>48.93</v>
      </c>
      <c r="BU52" vm="11029">
        <f ca="1"/>
        <v>48.7</v>
      </c>
      <c r="BV52" vm="9996">
        <f ca="1"/>
        <v>49.3</v>
      </c>
      <c r="BW52" vm="12050">
        <f ca="1"/>
        <v>49.54</v>
      </c>
      <c r="BX52" vm="834">
        <f ca="1"/>
        <v>49.67</v>
      </c>
      <c r="BY52" vm="12047">
        <f ca="1"/>
        <v>45.82</v>
      </c>
      <c r="BZ52" vm="6935">
        <f ca="1"/>
        <v>41.7</v>
      </c>
      <c r="CA52" vm="310">
        <f ca="1"/>
        <v>41.36</v>
      </c>
      <c r="CB52" vm="12051">
        <f ca="1"/>
        <v>40.36</v>
      </c>
      <c r="CC52" vm="12052">
        <f ca="1"/>
        <v>43.56</v>
      </c>
      <c r="CD52" vm="558">
        <f ca="1"/>
        <v>40.74</v>
      </c>
      <c r="CE52" vm="6936">
        <f ca="1"/>
        <v>41.78</v>
      </c>
      <c r="CF52" vm="81">
        <f ca="1"/>
        <v>41.94</v>
      </c>
      <c r="CG52" vm="6931">
        <f ca="1"/>
        <v>41.86</v>
      </c>
      <c r="CH52" vm="6888">
        <f ca="1"/>
        <v>42.21</v>
      </c>
      <c r="CI52" vm="9201">
        <f ca="1"/>
        <v>43.2</v>
      </c>
      <c r="CJ52" vm="6883">
        <f ca="1"/>
        <v>42</v>
      </c>
      <c r="CK52" vm="2692">
        <f ca="1"/>
        <v>43.13</v>
      </c>
      <c r="CL52" vm="12053">
        <f ca="1"/>
        <v>42.98</v>
      </c>
      <c r="CM52" vm="12054">
        <f ca="1"/>
        <v>43.67</v>
      </c>
      <c r="CN52" vm="12055">
        <f ca="1"/>
        <v>43.66</v>
      </c>
      <c r="CO52" vm="11652">
        <f ca="1"/>
        <v>43.99</v>
      </c>
      <c r="CP52" vm="464">
        <f ca="1"/>
        <v>43.81</v>
      </c>
      <c r="CQ52" vm="10029">
        <f ca="1"/>
        <v>42.6</v>
      </c>
      <c r="CR52" vm="6893">
        <f ca="1"/>
        <v>42.85</v>
      </c>
      <c r="CS52" vm="1366">
        <f ca="1"/>
        <v>43.51</v>
      </c>
      <c r="CT52" vm="602">
        <f ca="1"/>
        <v>42.72</v>
      </c>
      <c r="CU52" vm="12056">
        <f ca="1"/>
        <v>42.7</v>
      </c>
      <c r="CV52" vm="608">
        <f ca="1"/>
        <v>42.76</v>
      </c>
      <c r="CW52" vm="1371">
        <f ca="1"/>
        <v>43.37</v>
      </c>
      <c r="CX52" vm="464">
        <f ca="1"/>
        <v>43.81</v>
      </c>
      <c r="CY52" vm="1978">
        <f ca="1"/>
        <v>44.91</v>
      </c>
      <c r="CZ52" vm="1189">
        <f ca="1"/>
        <v>45.62</v>
      </c>
      <c r="DA52" vm="9987">
        <f ca="1"/>
        <v>45.4</v>
      </c>
      <c r="DB52" vm="12057">
        <f ca="1"/>
        <v>45.54</v>
      </c>
      <c r="DC52" vm="12058">
        <f ca="1"/>
        <v>45.41</v>
      </c>
      <c r="DD52" vm="12059">
        <f ca="1"/>
        <v>44.83</v>
      </c>
      <c r="DE52" vm="12060">
        <f ca="1"/>
        <v>44.44</v>
      </c>
      <c r="DF52" vm="1367">
        <f ca="1"/>
        <v>43.62</v>
      </c>
      <c r="DG52" vm="542">
        <f ca="1"/>
        <v>43.39</v>
      </c>
      <c r="DH52" vm="12052">
        <f ca="1"/>
        <v>43.56</v>
      </c>
      <c r="DI52" vm="2338">
        <f ca="1"/>
        <v>43.96</v>
      </c>
      <c r="DJ52" vm="12061">
        <f ca="1"/>
        <v>43.43</v>
      </c>
      <c r="DK52" vm="12062">
        <f ca="1"/>
        <v>43.7</v>
      </c>
      <c r="DL52" vm="9984">
        <f ca="1"/>
        <v>43.38</v>
      </c>
      <c r="DM52" vm="6278">
        <f ca="1"/>
        <v>43.92</v>
      </c>
      <c r="DN52" vm="12063">
        <f ca="1"/>
        <v>44.47</v>
      </c>
      <c r="DO52" vm="12064">
        <f ca="1"/>
        <v>43.64</v>
      </c>
      <c r="DP52" vm="1367">
        <f ca="1"/>
        <v>43.62</v>
      </c>
      <c r="DQ52" vm="12065">
        <f ca="1"/>
        <v>44.45</v>
      </c>
      <c r="DR52" vm="12060">
        <f ca="1"/>
        <v>44.44</v>
      </c>
      <c r="DS52" vm="11470">
        <f ca="1"/>
        <v>45.21</v>
      </c>
      <c r="DT52" vm="12066">
        <f ca="1"/>
        <v>45.88</v>
      </c>
      <c r="DU52" vm="12067">
        <f ca="1"/>
        <v>46.06</v>
      </c>
      <c r="DV52" vm="10044">
        <f ca="1"/>
        <v>46.89</v>
      </c>
      <c r="DW52" vm="2183">
        <f ca="1"/>
        <v>46.45</v>
      </c>
      <c r="DX52" vm="12068">
        <f ca="1"/>
        <v>46.77</v>
      </c>
      <c r="DY52" vm="12069">
        <f ca="1"/>
        <v>46.48</v>
      </c>
      <c r="DZ52" vm="12070">
        <f ca="1"/>
        <v>46.9</v>
      </c>
      <c r="EA52" vm="10005">
        <f ca="1"/>
        <v>45.73</v>
      </c>
      <c r="EB52" vm="2587">
        <f ca="1"/>
        <v>45.22</v>
      </c>
      <c r="EC52" vm="546">
        <f ca="1"/>
        <v>45</v>
      </c>
      <c r="ED52" vm="1187">
        <f ca="1"/>
        <v>45.69</v>
      </c>
      <c r="EE52" vm="12058">
        <f ca="1"/>
        <v>45.41</v>
      </c>
      <c r="EF52" vm="2587">
        <f ca="1"/>
        <v>45.22</v>
      </c>
      <c r="EG52" vm="1186">
        <f ca="1"/>
        <v>45.49</v>
      </c>
      <c r="EH52" vm="2110">
        <f ca="1"/>
        <v>46.26</v>
      </c>
      <c r="EI52" vm="12071">
        <f ca="1"/>
        <v>46.37</v>
      </c>
      <c r="EJ52" vm="12066">
        <f ca="1"/>
        <v>45.88</v>
      </c>
      <c r="EK52" vm="12072">
        <f ca="1"/>
        <v>47.02</v>
      </c>
      <c r="EL52" vm="12039">
        <f ca="1"/>
        <v>46.76</v>
      </c>
      <c r="EM52" vm="12044">
        <f ca="1"/>
        <v>47.1</v>
      </c>
      <c r="EN52" vm="11576">
        <f ca="1"/>
        <v>47.3</v>
      </c>
      <c r="EO52" vm="11475">
        <f ca="1"/>
        <v>46.84</v>
      </c>
      <c r="EP52" vm="12073">
        <f ca="1"/>
        <v>46.17</v>
      </c>
      <c r="EQ52" vm="12074">
        <f ca="1"/>
        <v>45.74</v>
      </c>
      <c r="ER52" vm="12075">
        <f ca="1"/>
        <v>46.03</v>
      </c>
      <c r="ES52" vm="12076">
        <f ca="1"/>
        <v>45.77</v>
      </c>
      <c r="ET52" vm="547">
        <f ca="1"/>
        <v>45.17</v>
      </c>
      <c r="EU52" vm="9987">
        <f ca="1"/>
        <v>45.4</v>
      </c>
      <c r="EV52" vm="10035">
        <f ca="1"/>
        <v>46.07</v>
      </c>
      <c r="EW52" vm="12077">
        <f ca="1"/>
        <v>46.42</v>
      </c>
      <c r="EX52" vm="12078">
        <f ca="1"/>
        <v>46.23</v>
      </c>
      <c r="EY52" vm="12068">
        <f ca="1"/>
        <v>46.77</v>
      </c>
      <c r="EZ52" vm="6279">
        <f ca="1"/>
        <v>47.23</v>
      </c>
      <c r="FA52" vm="10040">
        <f ca="1"/>
        <v>46.59</v>
      </c>
      <c r="FB52" vm="12079">
        <f ca="1"/>
        <v>46.35</v>
      </c>
      <c r="FC52" vm="10017">
        <f ca="1"/>
        <v>45.57</v>
      </c>
      <c r="FD52" vm="1186">
        <f ca="1"/>
        <v>45.49</v>
      </c>
      <c r="FE52" vm="12057">
        <f ca="1"/>
        <v>45.54</v>
      </c>
      <c r="FF52" vm="12080">
        <f ca="1"/>
        <v>45.13</v>
      </c>
      <c r="FG52" vm="2590">
        <f ca="1"/>
        <v>44.96</v>
      </c>
      <c r="FH52" vm="12081">
        <f ca="1"/>
        <v>45.18</v>
      </c>
      <c r="FI52" vm="12059">
        <f ca="1"/>
        <v>44.83</v>
      </c>
      <c r="FJ52" vm="454">
        <f ca="1"/>
        <v>45.07</v>
      </c>
      <c r="FK52" vm="10017">
        <f ca="1"/>
        <v>45.57</v>
      </c>
      <c r="FL52" vm="11638">
        <f ca="1"/>
        <v>45.52</v>
      </c>
      <c r="FM52" vm="2585">
        <f ca="1"/>
        <v>45.56</v>
      </c>
      <c r="FN52" vm="12082">
        <f ca="1"/>
        <v>45.33</v>
      </c>
      <c r="FO52" vm="12083">
        <f ca="1"/>
        <v>45.32</v>
      </c>
      <c r="FP52" vm="459">
        <f ca="1"/>
        <v>45.7</v>
      </c>
      <c r="FQ52" vm="12084">
        <f ca="1"/>
        <v>45.97</v>
      </c>
      <c r="FR52" vm="12085">
        <f ca="1"/>
        <v>46.91</v>
      </c>
      <c r="FS52" vm="12086">
        <f ca="1"/>
        <v>47.04</v>
      </c>
      <c r="FT52" vm="12040">
        <f ca="1"/>
        <v>46.94</v>
      </c>
      <c r="FU52" vm="12087">
        <f ca="1"/>
        <v>47.45</v>
      </c>
      <c r="FV52" vm="6226">
        <f ca="1"/>
        <v>47.8</v>
      </c>
      <c r="FW52" vm="12088">
        <f ca="1"/>
        <v>48.03</v>
      </c>
      <c r="FX52" vm="12089">
        <f ca="1"/>
        <v>48.12</v>
      </c>
      <c r="FY52" vm="12090">
        <f ca="1"/>
        <v>47.12</v>
      </c>
      <c r="FZ52" vm="11482">
        <f ca="1"/>
        <v>47.43</v>
      </c>
      <c r="GA52" vm="82">
        <f ca="1"/>
        <v>46.55</v>
      </c>
      <c r="GB52" vm="12077">
        <f ca="1"/>
        <v>46.42</v>
      </c>
      <c r="GC52" vm="6284">
        <f ca="1"/>
        <v>46.65</v>
      </c>
      <c r="GD52" vm="11849">
        <f ca="1"/>
        <v>47.46</v>
      </c>
      <c r="GE52" vm="12087">
        <f ca="1"/>
        <v>47.45</v>
      </c>
      <c r="GF52" vm="6286">
        <f ca="1"/>
        <v>47.16</v>
      </c>
      <c r="GG52" vm="12091">
        <f ca="1"/>
        <v>46.99</v>
      </c>
      <c r="GH52" vm="9993">
        <f ca="1"/>
        <v>47.37</v>
      </c>
      <c r="GI52" vm="1254">
        <f ca="1"/>
        <v>47.49</v>
      </c>
      <c r="GJ52" vm="830">
        <f ca="1"/>
        <v>47.33</v>
      </c>
      <c r="GK52" vm="12092">
        <f ca="1"/>
        <v>46.71</v>
      </c>
      <c r="GL52" vm="10039">
        <f ca="1"/>
        <v>46.72</v>
      </c>
      <c r="GM52" vm="1254">
        <f ca="1"/>
        <v>47.49</v>
      </c>
      <c r="GN52" vm="12093">
        <f ca="1"/>
        <v>48.08</v>
      </c>
      <c r="GO52" vm="9995">
        <f ca="1"/>
        <v>48.48</v>
      </c>
      <c r="GP52" vm="9999">
        <f ca="1"/>
        <v>48.91</v>
      </c>
      <c r="GQ52" vm="11043">
        <f ca="1"/>
        <v>48.01</v>
      </c>
      <c r="GR52" vm="1257">
        <f ca="1"/>
        <v>47.52</v>
      </c>
      <c r="GS52" vm="11492">
        <f ca="1"/>
        <v>47.56</v>
      </c>
      <c r="GT52" vm="11493">
        <f ca="1"/>
        <v>47.09</v>
      </c>
      <c r="GU52" vm="830">
        <f ca="1"/>
        <v>47.33</v>
      </c>
      <c r="GV52" vm="12094">
        <f ca="1"/>
        <v>47.55</v>
      </c>
      <c r="GW52" vm="12095">
        <f ca="1"/>
        <v>47.62</v>
      </c>
      <c r="GX52" vm="1255">
        <f ca="1"/>
        <v>47.4</v>
      </c>
      <c r="GY52" vm="12039">
        <f ca="1"/>
        <v>46.76</v>
      </c>
      <c r="GZ52" vm="12096">
        <f ca="1"/>
        <v>45.39</v>
      </c>
      <c r="HA52" vm="11034">
        <f ca="1"/>
        <v>46.02</v>
      </c>
      <c r="HB52" vm="12097">
        <f ca="1"/>
        <v>45.95</v>
      </c>
      <c r="HC52" vm="12098">
        <f ca="1"/>
        <v>46.01</v>
      </c>
      <c r="HD52" vm="458">
        <f ca="1"/>
        <v>45.42</v>
      </c>
      <c r="HE52" vm="10014">
        <f ca="1"/>
        <v>45.72</v>
      </c>
      <c r="HF52" vm="12099">
        <f ca="1"/>
        <v>46.19</v>
      </c>
      <c r="HG52" vm="12100">
        <f ca="1"/>
        <v>46.08</v>
      </c>
      <c r="HH52" vm="6284">
        <f ca="1"/>
        <v>46.65</v>
      </c>
      <c r="HI52" vm="12101">
        <f ca="1"/>
        <v>47.28</v>
      </c>
      <c r="HJ52" vm="12102">
        <f ca="1"/>
        <v>46.81</v>
      </c>
      <c r="HK52" vm="12103">
        <f ca="1"/>
        <v>46.97</v>
      </c>
      <c r="HL52" vm="12069">
        <f ca="1"/>
        <v>46.48</v>
      </c>
      <c r="HM52" vm="10038">
        <f ca="1"/>
        <v>46.74</v>
      </c>
      <c r="HN52" vm="9235">
        <f ca="1"/>
        <v>46.47</v>
      </c>
      <c r="HO52" vm="10003">
        <f ca="1"/>
        <v>46.85</v>
      </c>
      <c r="HP52" vm="10045">
        <f ca="1"/>
        <v>46.86</v>
      </c>
      <c r="HQ52" vm="12071">
        <f ca="1"/>
        <v>46.37</v>
      </c>
      <c r="HR52" vm="12069">
        <f ca="1"/>
        <v>46.48</v>
      </c>
      <c r="HS52" vm="10044">
        <f ca="1"/>
        <v>46.89</v>
      </c>
      <c r="HT52" vm="11547">
        <f ca="1"/>
        <v>47.58</v>
      </c>
      <c r="HU52" vm="12043">
        <f ca="1"/>
        <v>48.05</v>
      </c>
      <c r="HV52" vm="11351">
        <f ca="1"/>
        <v>48.61</v>
      </c>
      <c r="HW52" vm="3104">
        <f ca="1"/>
        <v>47.97</v>
      </c>
      <c r="HX52" vm="12088">
        <f ca="1"/>
        <v>48.03</v>
      </c>
      <c r="HY52" vm="1266">
        <f ca="1"/>
        <v>48.8</v>
      </c>
      <c r="HZ52" vm="12104">
        <f ca="1"/>
        <v>47.95</v>
      </c>
      <c r="IA52" vm="6231">
        <f ca="1"/>
        <v>48.33</v>
      </c>
      <c r="IB52" vm="1252">
        <f ca="1"/>
        <v>47.76</v>
      </c>
      <c r="IC52" vm="1253">
        <f ca="1"/>
        <v>47.21</v>
      </c>
      <c r="ID52" vm="1254">
        <f ca="1"/>
        <v>47.49</v>
      </c>
      <c r="IE52" vm="1255">
        <f ca="1"/>
        <v>47.4</v>
      </c>
      <c r="IF52" vm="1256">
        <f ca="1"/>
        <v>47.14</v>
      </c>
      <c r="IG52" vm="1257">
        <f ca="1"/>
        <v>47.52</v>
      </c>
      <c r="IH52" vm="1258">
        <f ca="1"/>
        <v>48.16</v>
      </c>
      <c r="II52" vm="1259">
        <f ca="1"/>
        <v>48.56</v>
      </c>
      <c r="IJ52" vm="1260">
        <f ca="1"/>
        <v>47.92</v>
      </c>
      <c r="IK52" vm="1261">
        <f ca="1"/>
        <v>48.81</v>
      </c>
      <c r="IL52" vm="1262">
        <f ca="1"/>
        <v>49</v>
      </c>
      <c r="IM52" vm="1261">
        <f ca="1"/>
        <v>48.81</v>
      </c>
      <c r="IN52" vm="1263">
        <f ca="1"/>
        <v>48.27</v>
      </c>
      <c r="IO52" vm="1264">
        <f ca="1"/>
        <v>48.53</v>
      </c>
      <c r="IP52" vm="1265">
        <f ca="1"/>
        <v>49.02</v>
      </c>
      <c r="IQ52" vm="1266">
        <f ca="1"/>
        <v>48.8</v>
      </c>
      <c r="IR52" vm="1267">
        <f ca="1"/>
        <v>48.31</v>
      </c>
      <c r="IS52" vm="1268">
        <f ca="1"/>
        <v>47.96</v>
      </c>
      <c r="IT52" vm="1269">
        <f ca="1"/>
        <v>46.22</v>
      </c>
      <c r="IU52" vm="1270">
        <f ca="1"/>
        <v>47.17</v>
      </c>
      <c r="IV52" vm="1271">
        <f ca="1"/>
        <v>46.51</v>
      </c>
      <c r="IW52" vm="82">
        <f ca="1"/>
        <v>46.55</v>
      </c>
    </row>
    <row r="53" spans="1:257" ht="16" x14ac:dyDescent="0.2">
      <c r="A53" s="14" t="e" vm="1272">
        <v>#VALUE!</v>
      </c>
      <c r="B53" s="23" t="str" cm="1">
        <f t="array" aca="1" ref="B53" ca="1">_FV(A53,"ticker symbol",TRUE)</f>
        <v>VDE</v>
      </c>
      <c r="C53" s="23" t="str" cm="1">
        <f t="array" aca="1" ref="C53" ca="1">_FV(A53,"Name")</f>
        <v>Vanguard Energy Idx;ETF</v>
      </c>
      <c r="D53" cm="1" vm="12105">
        <f t="array" aca="1" ref="D53:IW53" ca="1">TRANSPOSE(_xlfn.STOCKHISTORY(B53, WORKDAY(TODAY(), -265), TODAY(), 0, 0, 1))</f>
        <v>123.1</v>
      </c>
      <c r="E53" s="23" vm="12106">
        <f ca="1"/>
        <v>122.1</v>
      </c>
      <c r="F53" s="23" vm="12107">
        <f ca="1"/>
        <v>117.74</v>
      </c>
      <c r="G53" s="23" vm="12108">
        <f ca="1"/>
        <v>116.67</v>
      </c>
      <c r="H53" s="23" vm="12107">
        <f ca="1"/>
        <v>117.74</v>
      </c>
      <c r="I53" s="23" vm="1407">
        <f ca="1"/>
        <v>118.46</v>
      </c>
      <c r="J53" s="23" vm="12109">
        <f ca="1"/>
        <v>119.37</v>
      </c>
      <c r="K53" s="23" vm="12110">
        <f ca="1"/>
        <v>119.25</v>
      </c>
      <c r="L53" s="23" vm="12111">
        <f ca="1"/>
        <v>119.27</v>
      </c>
      <c r="M53" s="23" vm="12112">
        <f ca="1"/>
        <v>119.65</v>
      </c>
      <c r="N53" s="23" vm="12113">
        <f ca="1"/>
        <v>121.31</v>
      </c>
      <c r="O53" s="23" vm="12114">
        <f ca="1"/>
        <v>122.78</v>
      </c>
      <c r="P53" s="23" vm="12115">
        <f ca="1"/>
        <v>123.83</v>
      </c>
      <c r="Q53" s="23" vm="12116">
        <f ca="1"/>
        <v>123.4</v>
      </c>
      <c r="R53" s="23" vm="12117">
        <f ca="1"/>
        <v>124.55</v>
      </c>
      <c r="S53" s="23" vm="12117">
        <f ca="1"/>
        <v>124.55</v>
      </c>
      <c r="T53" s="23" vm="12118">
        <f ca="1"/>
        <v>125.02</v>
      </c>
      <c r="U53" s="23" vm="12119">
        <f ca="1"/>
        <v>127.69</v>
      </c>
      <c r="V53" s="23" vm="1285">
        <f ca="1"/>
        <v>129.16</v>
      </c>
      <c r="W53" s="23" vm="12120">
        <f ca="1"/>
        <v>130.99</v>
      </c>
      <c r="X53" s="23" vm="12121">
        <f ca="1"/>
        <v>131.85</v>
      </c>
      <c r="Y53" s="23" vm="12122">
        <f ca="1"/>
        <v>132.76</v>
      </c>
      <c r="Z53" s="23" vm="12123">
        <f ca="1"/>
        <v>131.93</v>
      </c>
      <c r="AA53" s="23" vm="12124">
        <f ca="1"/>
        <v>129.56</v>
      </c>
      <c r="AB53" s="23" vm="12125">
        <f ca="1"/>
        <v>130.04</v>
      </c>
      <c r="AC53" s="23" vm="12126">
        <f ca="1"/>
        <v>128.86000000000001</v>
      </c>
      <c r="AD53" vm="741">
        <f ca="1"/>
        <v>127.12</v>
      </c>
      <c r="AE53" vm="12127">
        <f ca="1"/>
        <v>126.03</v>
      </c>
      <c r="AF53" vm="12128">
        <f ca="1"/>
        <v>126.28</v>
      </c>
      <c r="AG53" vm="12129">
        <f ca="1"/>
        <v>126.83</v>
      </c>
      <c r="AH53" vm="12130">
        <f ca="1"/>
        <v>123.63</v>
      </c>
      <c r="AI53" vm="12131">
        <f ca="1"/>
        <v>124.09</v>
      </c>
      <c r="AJ53" vm="12132">
        <f ca="1"/>
        <v>126.75</v>
      </c>
      <c r="AK53" vm="12133">
        <f ca="1"/>
        <v>126.94</v>
      </c>
      <c r="AL53" vm="12134">
        <f ca="1"/>
        <v>124.54</v>
      </c>
      <c r="AM53" vm="12135">
        <f ca="1"/>
        <v>124.46</v>
      </c>
      <c r="AN53" vm="12136">
        <f ca="1"/>
        <v>127.3</v>
      </c>
      <c r="AO53" vm="12137">
        <f ca="1"/>
        <v>128.15</v>
      </c>
      <c r="AP53" vm="12138">
        <f ca="1"/>
        <v>124.98</v>
      </c>
      <c r="AQ53" vm="1275">
        <f ca="1"/>
        <v>125.79</v>
      </c>
      <c r="AR53" vm="12139">
        <f ca="1"/>
        <v>126.31</v>
      </c>
      <c r="AS53" vm="1311">
        <f ca="1"/>
        <v>127.9</v>
      </c>
      <c r="AT53" vm="3040">
        <f ca="1"/>
        <v>128.72999999999999</v>
      </c>
      <c r="AU53" vm="1281">
        <f ca="1"/>
        <v>129.85</v>
      </c>
      <c r="AV53" vm="12140">
        <f ca="1"/>
        <v>127</v>
      </c>
      <c r="AW53" vm="12141">
        <f ca="1"/>
        <v>126.91</v>
      </c>
      <c r="AX53" vm="12142">
        <f ca="1"/>
        <v>124.93</v>
      </c>
      <c r="AY53" vm="12135">
        <f ca="1"/>
        <v>124.46</v>
      </c>
      <c r="AZ53" vm="12143">
        <f ca="1"/>
        <v>124.66</v>
      </c>
      <c r="BA53" vm="12144">
        <f ca="1"/>
        <v>126.6</v>
      </c>
      <c r="BB53" vm="12145">
        <f ca="1"/>
        <v>121.82</v>
      </c>
      <c r="BC53" vm="12146">
        <f ca="1"/>
        <v>120.85</v>
      </c>
      <c r="BD53" vm="12147">
        <f ca="1"/>
        <v>119.14</v>
      </c>
      <c r="BE53" vm="12148">
        <f ca="1"/>
        <v>119.3</v>
      </c>
      <c r="BF53" vm="12149">
        <f ca="1"/>
        <v>121.24</v>
      </c>
      <c r="BG53" vm="12150">
        <f ca="1"/>
        <v>121.81</v>
      </c>
      <c r="BH53" vm="12151">
        <f ca="1"/>
        <v>121.12</v>
      </c>
      <c r="BI53" vm="419">
        <f ca="1"/>
        <v>121.73</v>
      </c>
      <c r="BJ53" vm="12152">
        <f ca="1"/>
        <v>120.86</v>
      </c>
      <c r="BK53" vm="12153">
        <f ca="1"/>
        <v>124.38</v>
      </c>
      <c r="BL53" vm="12154">
        <f ca="1"/>
        <v>126.5</v>
      </c>
      <c r="BM53" vm="12129">
        <f ca="1"/>
        <v>126.83</v>
      </c>
      <c r="BN53" vm="12155">
        <f ca="1"/>
        <v>128.97999999999999</v>
      </c>
      <c r="BO53" vm="12156">
        <f ca="1"/>
        <v>129.37</v>
      </c>
      <c r="BP53" vm="12157">
        <f ca="1"/>
        <v>128.38999999999999</v>
      </c>
      <c r="BQ53" vm="12158">
        <f ca="1"/>
        <v>129.97999999999999</v>
      </c>
      <c r="BR53" vm="8382">
        <f ca="1"/>
        <v>129.46</v>
      </c>
      <c r="BS53" vm="12159">
        <f ca="1"/>
        <v>130.25</v>
      </c>
      <c r="BT53" vm="6626">
        <f ca="1"/>
        <v>129.02000000000001</v>
      </c>
      <c r="BU53" vm="12160">
        <f ca="1"/>
        <v>128.4</v>
      </c>
      <c r="BV53" vm="12161">
        <f ca="1"/>
        <v>129.71</v>
      </c>
      <c r="BW53" vm="12162">
        <f ca="1"/>
        <v>130.35</v>
      </c>
      <c r="BX53" vm="12163">
        <f ca="1"/>
        <v>130.56</v>
      </c>
      <c r="BY53" vm="12164">
        <f ca="1"/>
        <v>120.29</v>
      </c>
      <c r="BZ53" vm="10880">
        <f ca="1"/>
        <v>109.38</v>
      </c>
      <c r="CA53" vm="1248">
        <f ca="1"/>
        <v>108.52</v>
      </c>
      <c r="CB53" vm="12165">
        <f ca="1"/>
        <v>105.87</v>
      </c>
      <c r="CC53" vm="5696">
        <f ca="1"/>
        <v>114.2</v>
      </c>
      <c r="CD53" vm="144">
        <f ca="1"/>
        <v>106.71</v>
      </c>
      <c r="CE53" vm="1242">
        <f ca="1"/>
        <v>109.54</v>
      </c>
      <c r="CF53" vm="381">
        <f ca="1"/>
        <v>109.97</v>
      </c>
      <c r="CG53" vm="10985">
        <f ca="1"/>
        <v>109.82</v>
      </c>
      <c r="CH53" vm="12166">
        <f ca="1"/>
        <v>110.79</v>
      </c>
      <c r="CI53" vm="12167">
        <f ca="1"/>
        <v>113.43</v>
      </c>
      <c r="CJ53" vm="11979">
        <f ca="1"/>
        <v>110.34</v>
      </c>
      <c r="CK53" vm="10959">
        <f ca="1"/>
        <v>113.14</v>
      </c>
      <c r="CL53" vm="12168">
        <f ca="1"/>
        <v>112.87</v>
      </c>
      <c r="CM53" vm="12169">
        <f ca="1"/>
        <v>114.65</v>
      </c>
      <c r="CN53" vm="12170">
        <f ca="1"/>
        <v>114.63</v>
      </c>
      <c r="CO53" vm="12171">
        <f ca="1"/>
        <v>115.44</v>
      </c>
      <c r="CP53" vm="12172">
        <f ca="1"/>
        <v>114.99</v>
      </c>
      <c r="CQ53" vm="12173">
        <f ca="1"/>
        <v>111.92</v>
      </c>
      <c r="CR53" vm="12174">
        <f ca="1"/>
        <v>112.65</v>
      </c>
      <c r="CS53" vm="10963">
        <f ca="1"/>
        <v>114.4</v>
      </c>
      <c r="CT53" vm="8014">
        <f ca="1"/>
        <v>112.24</v>
      </c>
      <c r="CU53" vm="12175">
        <f ca="1"/>
        <v>112.37</v>
      </c>
      <c r="CV53" vm="12024">
        <f ca="1"/>
        <v>112.56</v>
      </c>
      <c r="CW53" vm="12176">
        <f ca="1"/>
        <v>114.18</v>
      </c>
      <c r="CX53" vm="12177">
        <f ca="1"/>
        <v>115.31</v>
      </c>
      <c r="CY53" vm="5667">
        <f ca="1"/>
        <v>118.17</v>
      </c>
      <c r="CZ53" vm="12178">
        <f ca="1"/>
        <v>119.94</v>
      </c>
      <c r="DA53" vm="3226">
        <f ca="1"/>
        <v>119.24</v>
      </c>
      <c r="DB53" vm="3224">
        <f ca="1"/>
        <v>119.59</v>
      </c>
      <c r="DC53" vm="12179">
        <f ca="1"/>
        <v>119.32</v>
      </c>
      <c r="DD53" vm="12180">
        <f ca="1"/>
        <v>117.85</v>
      </c>
      <c r="DE53" vm="12181">
        <f ca="1"/>
        <v>116.78</v>
      </c>
      <c r="DF53" vm="12170">
        <f ca="1"/>
        <v>114.63</v>
      </c>
      <c r="DG53" vm="12182">
        <f ca="1"/>
        <v>114.19</v>
      </c>
      <c r="DH53" vm="5655">
        <f ca="1"/>
        <v>114.62</v>
      </c>
      <c r="DI53" vm="12183">
        <f ca="1"/>
        <v>115.74</v>
      </c>
      <c r="DJ53" vm="8030">
        <f ca="1"/>
        <v>114.37</v>
      </c>
      <c r="DK53" vm="12184">
        <f ca="1"/>
        <v>115.09</v>
      </c>
      <c r="DL53" vm="12185">
        <f ca="1"/>
        <v>114.21</v>
      </c>
      <c r="DM53" vm="8029">
        <f ca="1"/>
        <v>115.62</v>
      </c>
      <c r="DN53" vm="12186">
        <f ca="1"/>
        <v>117.22</v>
      </c>
      <c r="DO53" vm="12187">
        <f ca="1"/>
        <v>115.04</v>
      </c>
      <c r="DP53" vm="5675">
        <f ca="1"/>
        <v>114.92</v>
      </c>
      <c r="DQ53" vm="391">
        <f ca="1"/>
        <v>117.13</v>
      </c>
      <c r="DR53" vm="12188">
        <f ca="1"/>
        <v>117.34</v>
      </c>
      <c r="DS53" vm="12111">
        <f ca="1"/>
        <v>119.27</v>
      </c>
      <c r="DT53" vm="12151">
        <f ca="1"/>
        <v>121.12</v>
      </c>
      <c r="DU53" vm="12189">
        <f ca="1"/>
        <v>121.58</v>
      </c>
      <c r="DV53" vm="12190">
        <f ca="1"/>
        <v>123.76</v>
      </c>
      <c r="DW53" vm="12191">
        <f ca="1"/>
        <v>123.47</v>
      </c>
      <c r="DX53" vm="6624">
        <f ca="1"/>
        <v>124.63</v>
      </c>
      <c r="DY53" vm="12192">
        <f ca="1"/>
        <v>123.88</v>
      </c>
      <c r="DZ53" vm="12142">
        <f ca="1"/>
        <v>124.93</v>
      </c>
      <c r="EA53" vm="12193">
        <f ca="1"/>
        <v>121.64</v>
      </c>
      <c r="EB53" vm="12194">
        <f ca="1"/>
        <v>120.31</v>
      </c>
      <c r="EC53" vm="12195">
        <f ca="1"/>
        <v>119.64</v>
      </c>
      <c r="ED53" vm="12196">
        <f ca="1"/>
        <v>120.38</v>
      </c>
      <c r="EE53" vm="12197">
        <f ca="1"/>
        <v>119.79</v>
      </c>
      <c r="EF53" vm="12198">
        <f ca="1"/>
        <v>119.12</v>
      </c>
      <c r="EG53" vm="12178">
        <f ca="1"/>
        <v>119.94</v>
      </c>
      <c r="EH53" vm="12199">
        <f ca="1"/>
        <v>121.98</v>
      </c>
      <c r="EI53" vm="12200">
        <f ca="1"/>
        <v>122.22</v>
      </c>
      <c r="EJ53" vm="12201">
        <f ca="1"/>
        <v>120.96</v>
      </c>
      <c r="EK53" vm="12202">
        <f ca="1"/>
        <v>124.11</v>
      </c>
      <c r="EL53" vm="1410">
        <f ca="1"/>
        <v>123.41</v>
      </c>
      <c r="EM53" vm="12203">
        <f ca="1"/>
        <v>124.42</v>
      </c>
      <c r="EN53" vm="1312">
        <f ca="1"/>
        <v>125.09</v>
      </c>
      <c r="EO53" vm="12204">
        <f ca="1"/>
        <v>123.8</v>
      </c>
      <c r="EP53" vm="12205">
        <f ca="1"/>
        <v>121.91</v>
      </c>
      <c r="EQ53" vm="12206">
        <f ca="1"/>
        <v>120.76</v>
      </c>
      <c r="ER53" vm="12207">
        <f ca="1"/>
        <v>121.63</v>
      </c>
      <c r="ES53" vm="12208">
        <f ca="1"/>
        <v>120.89</v>
      </c>
      <c r="ET53" vm="12110">
        <f ca="1"/>
        <v>119.25</v>
      </c>
      <c r="EU53" vm="12209">
        <f ca="1"/>
        <v>119.96</v>
      </c>
      <c r="EV53" vm="12210">
        <f ca="1"/>
        <v>121.92</v>
      </c>
      <c r="EW53" vm="12211">
        <f ca="1"/>
        <v>122.83</v>
      </c>
      <c r="EX53" vm="12212">
        <f ca="1"/>
        <v>122.23</v>
      </c>
      <c r="EY53" vm="12213">
        <f ca="1"/>
        <v>123.75</v>
      </c>
      <c r="EZ53" vm="12214">
        <f ca="1"/>
        <v>124.87</v>
      </c>
      <c r="FA53" vm="1405">
        <f ca="1"/>
        <v>123.16</v>
      </c>
      <c r="FB53" vm="12215">
        <f ca="1"/>
        <v>122.45</v>
      </c>
      <c r="FC53" vm="12216">
        <f ca="1"/>
        <v>120.13</v>
      </c>
      <c r="FD53" vm="12178">
        <f ca="1"/>
        <v>119.94</v>
      </c>
      <c r="FE53" vm="12217">
        <f ca="1"/>
        <v>120.24</v>
      </c>
      <c r="FF53" vm="12218">
        <f ca="1"/>
        <v>119.19</v>
      </c>
      <c r="FG53" vm="12219">
        <f ca="1"/>
        <v>118.67</v>
      </c>
      <c r="FH53" vm="12220">
        <f ca="1"/>
        <v>119.28</v>
      </c>
      <c r="FI53" vm="5669">
        <f ca="1"/>
        <v>118.37</v>
      </c>
      <c r="FJ53" vm="12221">
        <f ca="1"/>
        <v>119.09</v>
      </c>
      <c r="FK53" vm="12222">
        <f ca="1"/>
        <v>120.36</v>
      </c>
      <c r="FL53" vm="12223">
        <f ca="1"/>
        <v>120.23</v>
      </c>
      <c r="FM53" vm="12224">
        <f ca="1"/>
        <v>120.07</v>
      </c>
      <c r="FN53" vm="3231">
        <f ca="1"/>
        <v>119.45</v>
      </c>
      <c r="FO53" vm="12225">
        <f ca="1"/>
        <v>119.29</v>
      </c>
      <c r="FP53" vm="3218">
        <f ca="1"/>
        <v>120.35</v>
      </c>
      <c r="FQ53" vm="12226">
        <f ca="1"/>
        <v>121.23</v>
      </c>
      <c r="FR53" vm="12227">
        <f ca="1"/>
        <v>123.78</v>
      </c>
      <c r="FS53" vm="12228">
        <f ca="1"/>
        <v>124.17</v>
      </c>
      <c r="FT53" vm="12229">
        <f ca="1"/>
        <v>123.96</v>
      </c>
      <c r="FU53" vm="12230">
        <f ca="1"/>
        <v>125.35</v>
      </c>
      <c r="FV53" vm="12139">
        <f ca="1"/>
        <v>126.31</v>
      </c>
      <c r="FW53" vm="12231">
        <f ca="1"/>
        <v>126.89</v>
      </c>
      <c r="FX53" vm="12232">
        <f ca="1"/>
        <v>127.17</v>
      </c>
      <c r="FY53" vm="12233">
        <f ca="1"/>
        <v>124.48</v>
      </c>
      <c r="FZ53" vm="12234">
        <f ca="1"/>
        <v>125.36</v>
      </c>
      <c r="GA53" vm="1414">
        <f ca="1"/>
        <v>123.02</v>
      </c>
      <c r="GB53" vm="12235">
        <f ca="1"/>
        <v>122.71</v>
      </c>
      <c r="GC53" vm="12236">
        <f ca="1"/>
        <v>123.32</v>
      </c>
      <c r="GD53" vm="12237">
        <f ca="1"/>
        <v>125.48</v>
      </c>
      <c r="GE53" vm="12238">
        <f ca="1"/>
        <v>125.46</v>
      </c>
      <c r="GF53" vm="2303">
        <f ca="1"/>
        <v>124.7</v>
      </c>
      <c r="GG53" vm="1726">
        <f ca="1"/>
        <v>124.33</v>
      </c>
      <c r="GH53" vm="12239">
        <f ca="1"/>
        <v>126.49</v>
      </c>
      <c r="GI53" vm="12240">
        <f ca="1"/>
        <v>126.7</v>
      </c>
      <c r="GJ53" vm="12241">
        <f ca="1"/>
        <v>126.38</v>
      </c>
      <c r="GK53" vm="6624">
        <f ca="1"/>
        <v>124.63</v>
      </c>
      <c r="GL53" vm="12242">
        <f ca="1"/>
        <v>124.64</v>
      </c>
      <c r="GM53" vm="12231">
        <f ca="1"/>
        <v>126.89</v>
      </c>
      <c r="GN53" vm="12243">
        <f ca="1"/>
        <v>127.44</v>
      </c>
      <c r="GO53" vm="3037">
        <f ca="1"/>
        <v>128.51</v>
      </c>
      <c r="GP53" vm="12244">
        <f ca="1"/>
        <v>129.65</v>
      </c>
      <c r="GQ53" vm="2304">
        <f ca="1"/>
        <v>127.2</v>
      </c>
      <c r="GR53" vm="12245">
        <f ca="1"/>
        <v>125.86</v>
      </c>
      <c r="GS53" vm="12246">
        <f ca="1"/>
        <v>126.05</v>
      </c>
      <c r="GT53" vm="12247">
        <f ca="1"/>
        <v>124.72</v>
      </c>
      <c r="GU53" vm="12248">
        <f ca="1"/>
        <v>125.57</v>
      </c>
      <c r="GV53" vm="6625">
        <f ca="1"/>
        <v>126.19</v>
      </c>
      <c r="GW53" vm="12249">
        <f ca="1"/>
        <v>126.42</v>
      </c>
      <c r="GX53" vm="12250">
        <f ca="1"/>
        <v>125.92</v>
      </c>
      <c r="GY53" vm="8368">
        <f ca="1"/>
        <v>124.07</v>
      </c>
      <c r="GZ53" vm="3219">
        <f ca="1"/>
        <v>120.37</v>
      </c>
      <c r="HA53" vm="12251">
        <f ca="1"/>
        <v>122.33</v>
      </c>
      <c r="HB53" vm="12252">
        <f ca="1"/>
        <v>122.15</v>
      </c>
      <c r="HC53" vm="12253">
        <f ca="1"/>
        <v>122.24</v>
      </c>
      <c r="HD53" vm="12254">
        <f ca="1"/>
        <v>120.61</v>
      </c>
      <c r="HE53" vm="12255">
        <f ca="1"/>
        <v>121.36</v>
      </c>
      <c r="HF53" vm="12235">
        <f ca="1"/>
        <v>122.71</v>
      </c>
      <c r="HG53" vm="722">
        <f ca="1"/>
        <v>122.31</v>
      </c>
      <c r="HH53" vm="12256">
        <f ca="1"/>
        <v>123.77</v>
      </c>
      <c r="HI53" vm="12257">
        <f ca="1"/>
        <v>125.73</v>
      </c>
      <c r="HJ53" vm="12258">
        <f ca="1"/>
        <v>124.6</v>
      </c>
      <c r="HK53" vm="12259">
        <f ca="1"/>
        <v>124.83</v>
      </c>
      <c r="HL53" vm="12260">
        <f ca="1"/>
        <v>123.65</v>
      </c>
      <c r="HM53" vm="6624">
        <f ca="1"/>
        <v>124.63</v>
      </c>
      <c r="HN53" vm="12261">
        <f ca="1"/>
        <v>123.86</v>
      </c>
      <c r="HO53" vm="12134">
        <f ca="1"/>
        <v>124.54</v>
      </c>
      <c r="HP53" vm="6621">
        <f ca="1"/>
        <v>124.62</v>
      </c>
      <c r="HQ53" vm="12262">
        <f ca="1"/>
        <v>123.17</v>
      </c>
      <c r="HR53" vm="12263">
        <f ca="1"/>
        <v>123.34</v>
      </c>
      <c r="HS53" vm="8384">
        <f ca="1"/>
        <v>124.25</v>
      </c>
      <c r="HT53" vm="12264">
        <f ca="1"/>
        <v>126.16</v>
      </c>
      <c r="HU53" vm="12265">
        <f ca="1"/>
        <v>127.37</v>
      </c>
      <c r="HV53" vm="12266">
        <f ca="1"/>
        <v>129</v>
      </c>
      <c r="HW53" vm="724">
        <f ca="1"/>
        <v>127.19</v>
      </c>
      <c r="HX53" vm="12267">
        <f ca="1"/>
        <v>127.28</v>
      </c>
      <c r="HY53" vm="12268">
        <f ca="1"/>
        <v>129.34</v>
      </c>
      <c r="HZ53" vm="12269">
        <f ca="1"/>
        <v>127.05</v>
      </c>
      <c r="IA53" vm="12137">
        <f ca="1"/>
        <v>128.15</v>
      </c>
      <c r="IB53" vm="1273">
        <f ca="1"/>
        <v>126.63</v>
      </c>
      <c r="IC53" vm="1274">
        <f ca="1"/>
        <v>125.06</v>
      </c>
      <c r="ID53" vm="1275">
        <f ca="1"/>
        <v>125.79</v>
      </c>
      <c r="IE53" vm="1276">
        <f ca="1"/>
        <v>125.67</v>
      </c>
      <c r="IF53" vm="1274">
        <f ca="1"/>
        <v>125.06</v>
      </c>
      <c r="IG53" vm="1277">
        <f ca="1"/>
        <v>125.97</v>
      </c>
      <c r="IH53" vm="1278">
        <f ca="1"/>
        <v>127.67</v>
      </c>
      <c r="II53" vm="1279">
        <f ca="1"/>
        <v>128.77000000000001</v>
      </c>
      <c r="IJ53" vm="1280">
        <f ca="1"/>
        <v>127.21</v>
      </c>
      <c r="IK53" vm="1281">
        <f ca="1"/>
        <v>129.85</v>
      </c>
      <c r="IL53" vm="1282">
        <f ca="1"/>
        <v>130.41</v>
      </c>
      <c r="IM53" vm="1283">
        <f ca="1"/>
        <v>129.79</v>
      </c>
      <c r="IN53" vm="1284">
        <f ca="1"/>
        <v>128.35</v>
      </c>
      <c r="IO53" vm="1285">
        <f ca="1"/>
        <v>129.16</v>
      </c>
      <c r="IP53" vm="1286">
        <f ca="1"/>
        <v>130.26</v>
      </c>
      <c r="IQ53" vm="1287">
        <f ca="1"/>
        <v>129.72</v>
      </c>
      <c r="IR53" vm="1288">
        <f ca="1"/>
        <v>128.30000000000001</v>
      </c>
      <c r="IS53" vm="1289">
        <f ca="1"/>
        <v>127.27</v>
      </c>
      <c r="IT53" vm="96">
        <f ca="1"/>
        <v>123.43</v>
      </c>
      <c r="IU53" vm="1290">
        <f ca="1"/>
        <v>124.88</v>
      </c>
      <c r="IV53" vm="1291">
        <f ca="1"/>
        <v>123.11</v>
      </c>
      <c r="IW53" vm="84">
        <f ca="1"/>
        <v>123.39</v>
      </c>
    </row>
    <row r="54" spans="1:257" ht="16" x14ac:dyDescent="0.2">
      <c r="A54" s="14" t="e" vm="1292">
        <v>#VALUE!</v>
      </c>
      <c r="B54" s="23" t="str" cm="1">
        <f t="array" aca="1" ref="B54" ca="1">_FV(A54,"ticker symbol",TRUE)</f>
        <v>XOP</v>
      </c>
      <c r="C54" s="23" t="str" cm="1">
        <f t="array" aca="1" ref="C54" ca="1">_FV(A54,"Name")</f>
        <v>SS SPDR S&amp;P Oil&amp;Gas Exp</v>
      </c>
      <c r="D54" cm="1" vm="12270">
        <f t="array" aca="1" ref="D54:IW54" ca="1">TRANSPOSE(_xlfn.STOCKHISTORY(B54, WORKDAY(TODAY(), -265), TODAY(), 0, 0, 1))</f>
        <v>132.4</v>
      </c>
      <c r="E54" s="23" vm="12271">
        <f ca="1"/>
        <v>131.53</v>
      </c>
      <c r="F54" s="23" vm="12272">
        <f ca="1"/>
        <v>127.09</v>
      </c>
      <c r="G54" s="23" vm="12273">
        <f ca="1"/>
        <v>125.5</v>
      </c>
      <c r="H54" s="23" vm="2301">
        <f ca="1"/>
        <v>126.26</v>
      </c>
      <c r="I54" s="23" vm="8377">
        <f ca="1"/>
        <v>126.81</v>
      </c>
      <c r="J54" s="23" vm="12274">
        <f ca="1"/>
        <v>128.33000000000001</v>
      </c>
      <c r="K54" s="23" vm="12275">
        <f ca="1"/>
        <v>128.34</v>
      </c>
      <c r="L54" s="23" vm="12276">
        <f ca="1"/>
        <v>128.54</v>
      </c>
      <c r="M54" s="23" vm="12277">
        <f ca="1"/>
        <v>130.63</v>
      </c>
      <c r="N54" s="23" vm="12278">
        <f ca="1"/>
        <v>132.37</v>
      </c>
      <c r="O54" s="23" vm="12279">
        <f ca="1"/>
        <v>134.82</v>
      </c>
      <c r="P54" s="23" vm="12280">
        <f ca="1"/>
        <v>135.57</v>
      </c>
      <c r="Q54" s="23" vm="12281">
        <f ca="1"/>
        <v>135.22999999999999</v>
      </c>
      <c r="R54" s="23" vm="6500">
        <f ca="1"/>
        <v>136.76</v>
      </c>
      <c r="S54" s="23" vm="12282">
        <f ca="1"/>
        <v>137.66999999999999</v>
      </c>
      <c r="T54" s="23" vm="6359">
        <f ca="1"/>
        <v>139.31</v>
      </c>
      <c r="U54" s="23" vm="12283">
        <f ca="1"/>
        <v>141.91</v>
      </c>
      <c r="V54" s="23" vm="12284">
        <f ca="1"/>
        <v>142.88999999999999</v>
      </c>
      <c r="W54" s="23" vm="12285">
        <f ca="1"/>
        <v>145.61000000000001</v>
      </c>
      <c r="X54" s="23" vm="12286">
        <f ca="1"/>
        <v>145.88</v>
      </c>
      <c r="Y54" s="23" vm="6543">
        <f ca="1"/>
        <v>145.44999999999999</v>
      </c>
      <c r="Z54" s="23" vm="12287">
        <f ca="1"/>
        <v>143.77000000000001</v>
      </c>
      <c r="AA54" s="23" vm="12288">
        <f ca="1"/>
        <v>142.46</v>
      </c>
      <c r="AB54" s="23" vm="12289">
        <f ca="1"/>
        <v>142.69999999999999</v>
      </c>
      <c r="AC54" s="23" vm="12290">
        <f ca="1"/>
        <v>140.74</v>
      </c>
      <c r="AD54" vm="12291">
        <f ca="1"/>
        <v>138.03</v>
      </c>
      <c r="AE54" vm="6361">
        <f ca="1"/>
        <v>137.32</v>
      </c>
      <c r="AF54" vm="12292">
        <f ca="1"/>
        <v>138.13</v>
      </c>
      <c r="AG54" vm="6508">
        <f ca="1"/>
        <v>137.43</v>
      </c>
      <c r="AH54" vm="6562">
        <f ca="1"/>
        <v>134.16</v>
      </c>
      <c r="AI54" vm="12293">
        <f ca="1"/>
        <v>133.91</v>
      </c>
      <c r="AJ54" vm="12294">
        <f ca="1"/>
        <v>137.16</v>
      </c>
      <c r="AK54" vm="12295">
        <f ca="1"/>
        <v>136.96</v>
      </c>
      <c r="AL54" vm="2312">
        <f ca="1"/>
        <v>133.91999999999999</v>
      </c>
      <c r="AM54" vm="12296">
        <f ca="1"/>
        <v>133.25</v>
      </c>
      <c r="AN54" vm="12297">
        <f ca="1"/>
        <v>138.09</v>
      </c>
      <c r="AO54" vm="6436">
        <f ca="1"/>
        <v>139.28</v>
      </c>
      <c r="AP54" vm="6473">
        <f ca="1"/>
        <v>134.79</v>
      </c>
      <c r="AQ54" vm="12298">
        <f ca="1"/>
        <v>135.58000000000001</v>
      </c>
      <c r="AR54" vm="12299">
        <f ca="1"/>
        <v>136.66999999999999</v>
      </c>
      <c r="AS54" vm="12300">
        <f ca="1"/>
        <v>138.24</v>
      </c>
      <c r="AT54" vm="12301">
        <f ca="1"/>
        <v>139.94</v>
      </c>
      <c r="AU54" vm="12302">
        <f ca="1"/>
        <v>139.69</v>
      </c>
      <c r="AV54" vm="12303">
        <f ca="1"/>
        <v>135.31</v>
      </c>
      <c r="AW54" vm="12279">
        <f ca="1"/>
        <v>134.82</v>
      </c>
      <c r="AX54" vm="12304">
        <f ca="1"/>
        <v>131.63999999999999</v>
      </c>
      <c r="AY54" vm="6492">
        <f ca="1"/>
        <v>130.51</v>
      </c>
      <c r="AZ54" vm="12305">
        <f ca="1"/>
        <v>129.58000000000001</v>
      </c>
      <c r="BA54" vm="12306">
        <f ca="1"/>
        <v>130.91</v>
      </c>
      <c r="BB54" vm="12307">
        <f ca="1"/>
        <v>124.57</v>
      </c>
      <c r="BC54" vm="12308">
        <f ca="1"/>
        <v>123.87</v>
      </c>
      <c r="BD54" vm="12210">
        <f ca="1"/>
        <v>121.92</v>
      </c>
      <c r="BE54" vm="12309">
        <f ca="1"/>
        <v>120.5</v>
      </c>
      <c r="BF54" vm="12310">
        <f ca="1"/>
        <v>122.56</v>
      </c>
      <c r="BG54" vm="12311">
        <f ca="1"/>
        <v>122.54</v>
      </c>
      <c r="BH54" vm="1405">
        <f ca="1"/>
        <v>123.16</v>
      </c>
      <c r="BI54" vm="12312">
        <f ca="1"/>
        <v>124.44</v>
      </c>
      <c r="BJ54" vm="12313">
        <f ca="1"/>
        <v>122.65</v>
      </c>
      <c r="BK54" vm="12314">
        <f ca="1"/>
        <v>126.93</v>
      </c>
      <c r="BL54" vm="12315">
        <f ca="1"/>
        <v>129.51</v>
      </c>
      <c r="BM54" vm="6628">
        <f ca="1"/>
        <v>130.28</v>
      </c>
      <c r="BN54" vm="12316">
        <f ca="1"/>
        <v>133.36000000000001</v>
      </c>
      <c r="BO54" vm="12317">
        <f ca="1"/>
        <v>133.22999999999999</v>
      </c>
      <c r="BP54" vm="12318">
        <f ca="1"/>
        <v>131.36000000000001</v>
      </c>
      <c r="BQ54" vm="6491">
        <f ca="1"/>
        <v>132.5</v>
      </c>
      <c r="BR54" vm="12319">
        <f ca="1"/>
        <v>132.54</v>
      </c>
      <c r="BS54" vm="12320">
        <f ca="1"/>
        <v>133.15</v>
      </c>
      <c r="BT54" vm="12321">
        <f ca="1"/>
        <v>131.82</v>
      </c>
      <c r="BU54" vm="12322">
        <f ca="1"/>
        <v>130.68</v>
      </c>
      <c r="BV54" vm="12323">
        <f ca="1"/>
        <v>131.71</v>
      </c>
      <c r="BW54" vm="12324">
        <f ca="1"/>
        <v>132.44999999999999</v>
      </c>
      <c r="BX54" vm="12325">
        <f ca="1"/>
        <v>133.75</v>
      </c>
      <c r="BY54" vm="8362">
        <f ca="1"/>
        <v>119.46</v>
      </c>
      <c r="BZ54" vm="144">
        <f ca="1"/>
        <v>106.71</v>
      </c>
      <c r="CA54" vm="12326">
        <f ca="1"/>
        <v>106.25</v>
      </c>
      <c r="CB54" vm="10951">
        <f ca="1"/>
        <v>101.91</v>
      </c>
      <c r="CC54" vm="12327">
        <f ca="1"/>
        <v>113.74</v>
      </c>
      <c r="CD54" vm="12328">
        <f ca="1"/>
        <v>104.39</v>
      </c>
      <c r="CE54" vm="12329">
        <f ca="1"/>
        <v>107.57</v>
      </c>
      <c r="CF54" vm="11994">
        <f ca="1"/>
        <v>107.49</v>
      </c>
      <c r="CG54" vm="8247">
        <f ca="1"/>
        <v>106.95</v>
      </c>
      <c r="CH54" vm="12330">
        <f ca="1"/>
        <v>108.89</v>
      </c>
      <c r="CI54" vm="5698">
        <f ca="1"/>
        <v>111.93</v>
      </c>
      <c r="CJ54" vm="12331">
        <f ca="1"/>
        <v>108.55</v>
      </c>
      <c r="CK54" vm="12332">
        <f ca="1"/>
        <v>111.22</v>
      </c>
      <c r="CL54" vm="12333">
        <f ca="1"/>
        <v>111.59</v>
      </c>
      <c r="CM54" vm="12334">
        <f ca="1"/>
        <v>112.77</v>
      </c>
      <c r="CN54" vm="12335">
        <f ca="1"/>
        <v>113.38</v>
      </c>
      <c r="CO54" vm="12336">
        <f ca="1"/>
        <v>114.7</v>
      </c>
      <c r="CP54" vm="12337">
        <f ca="1"/>
        <v>113.91</v>
      </c>
      <c r="CQ54" vm="7983">
        <f ca="1"/>
        <v>110.71</v>
      </c>
      <c r="CR54" vm="12338">
        <f ca="1"/>
        <v>112.7</v>
      </c>
      <c r="CS54" vm="12339">
        <f ca="1"/>
        <v>114.95</v>
      </c>
      <c r="CT54" vm="12340">
        <f ca="1"/>
        <v>112.96</v>
      </c>
      <c r="CU54" vm="10959">
        <f ca="1"/>
        <v>113.14</v>
      </c>
      <c r="CV54" vm="8034">
        <f ca="1"/>
        <v>113.29</v>
      </c>
      <c r="CW54" vm="10961">
        <f ca="1"/>
        <v>117</v>
      </c>
      <c r="CX54" vm="12341">
        <f ca="1"/>
        <v>118.84</v>
      </c>
      <c r="CY54" vm="12342">
        <f ca="1"/>
        <v>123.27</v>
      </c>
      <c r="CZ54" vm="12343">
        <f ca="1"/>
        <v>127.35</v>
      </c>
      <c r="DA54" vm="12344">
        <f ca="1"/>
        <v>126.73</v>
      </c>
      <c r="DB54" vm="12248">
        <f ca="1"/>
        <v>125.57</v>
      </c>
      <c r="DC54" vm="12345">
        <f ca="1"/>
        <v>125.45</v>
      </c>
      <c r="DD54" vm="12346">
        <f ca="1"/>
        <v>124.16</v>
      </c>
      <c r="DE54" vm="12347">
        <f ca="1"/>
        <v>123.51</v>
      </c>
      <c r="DF54" vm="12348">
        <f ca="1"/>
        <v>120.8</v>
      </c>
      <c r="DG54" vm="12349">
        <f ca="1"/>
        <v>120.73</v>
      </c>
      <c r="DH54" vm="12350">
        <f ca="1"/>
        <v>120.84</v>
      </c>
      <c r="DI54" vm="12351">
        <f ca="1"/>
        <v>122.75</v>
      </c>
      <c r="DJ54" vm="12352">
        <f ca="1"/>
        <v>120.64</v>
      </c>
      <c r="DK54" vm="12353">
        <f ca="1"/>
        <v>121.18</v>
      </c>
      <c r="DL54" vm="12354">
        <f ca="1"/>
        <v>119.55</v>
      </c>
      <c r="DM54" vm="12151">
        <f ca="1"/>
        <v>121.12</v>
      </c>
      <c r="DN54" vm="12355">
        <f ca="1"/>
        <v>123.64</v>
      </c>
      <c r="DO54" vm="12254">
        <f ca="1"/>
        <v>120.61</v>
      </c>
      <c r="DP54" vm="12194">
        <f ca="1"/>
        <v>120.31</v>
      </c>
      <c r="DQ54" vm="12356">
        <f ca="1"/>
        <v>123.23</v>
      </c>
      <c r="DR54" vm="12357">
        <f ca="1"/>
        <v>124.27</v>
      </c>
      <c r="DS54" vm="12358">
        <f ca="1"/>
        <v>126.1</v>
      </c>
      <c r="DT54" vm="8380">
        <f ca="1"/>
        <v>128.5</v>
      </c>
      <c r="DU54" vm="12359">
        <f ca="1"/>
        <v>129.33000000000001</v>
      </c>
      <c r="DV54" vm="12360">
        <f ca="1"/>
        <v>132.78</v>
      </c>
      <c r="DW54" vm="733">
        <f ca="1"/>
        <v>133.1</v>
      </c>
      <c r="DX54" vm="12361">
        <f ca="1"/>
        <v>134.83000000000001</v>
      </c>
      <c r="DY54" vm="8395">
        <f ca="1"/>
        <v>133.86000000000001</v>
      </c>
      <c r="DZ54" vm="1305">
        <f ca="1"/>
        <v>134.55000000000001</v>
      </c>
      <c r="EA54" vm="12362">
        <f ca="1"/>
        <v>128.96</v>
      </c>
      <c r="EB54" vm="739">
        <f ca="1"/>
        <v>128.04</v>
      </c>
      <c r="EC54" vm="12363">
        <f ca="1"/>
        <v>126.14</v>
      </c>
      <c r="ED54" vm="12364">
        <f ca="1"/>
        <v>127.78</v>
      </c>
      <c r="EE54" vm="2304">
        <f ca="1"/>
        <v>127.2</v>
      </c>
      <c r="EF54" vm="12365">
        <f ca="1"/>
        <v>125.8</v>
      </c>
      <c r="EG54" vm="12366">
        <f ca="1"/>
        <v>126.88</v>
      </c>
      <c r="EH54" vm="12367">
        <f ca="1"/>
        <v>129.28</v>
      </c>
      <c r="EI54" vm="12368">
        <f ca="1"/>
        <v>129.16999999999999</v>
      </c>
      <c r="EJ54" vm="12369">
        <f ca="1"/>
        <v>127.75</v>
      </c>
      <c r="EK54" vm="6612">
        <f ca="1"/>
        <v>131.81</v>
      </c>
      <c r="EL54" vm="12370">
        <f ca="1"/>
        <v>130.71</v>
      </c>
      <c r="EM54" vm="12371">
        <f ca="1"/>
        <v>132.29</v>
      </c>
      <c r="EN54" vm="12372">
        <f ca="1"/>
        <v>133.07</v>
      </c>
      <c r="EO54" vm="1298">
        <f ca="1"/>
        <v>131.68</v>
      </c>
      <c r="EP54" vm="12373">
        <f ca="1"/>
        <v>128.84</v>
      </c>
      <c r="EQ54" vm="12374">
        <f ca="1"/>
        <v>126.74</v>
      </c>
      <c r="ER54" vm="1729">
        <f ca="1"/>
        <v>129.22</v>
      </c>
      <c r="ES54" vm="12375">
        <f ca="1"/>
        <v>129.41</v>
      </c>
      <c r="ET54" vm="12376">
        <f ca="1"/>
        <v>126.17</v>
      </c>
      <c r="EU54" vm="8390">
        <f ca="1"/>
        <v>127.57</v>
      </c>
      <c r="EV54" vm="12377">
        <f ca="1"/>
        <v>128.46</v>
      </c>
      <c r="EW54" vm="12378">
        <f ca="1"/>
        <v>128.79</v>
      </c>
      <c r="EX54" vm="12379">
        <f ca="1"/>
        <v>128.02000000000001</v>
      </c>
      <c r="EY54" vm="12380">
        <f ca="1"/>
        <v>130.93</v>
      </c>
      <c r="EZ54" vm="12381">
        <f ca="1"/>
        <v>131.78</v>
      </c>
      <c r="FA54" vm="12382">
        <f ca="1"/>
        <v>129.69999999999999</v>
      </c>
      <c r="FB54" vm="12137">
        <f ca="1"/>
        <v>128.15</v>
      </c>
      <c r="FC54" vm="12383">
        <f ca="1"/>
        <v>123.7</v>
      </c>
      <c r="FD54" vm="12131">
        <f ca="1"/>
        <v>124.09</v>
      </c>
      <c r="FE54" vm="12384">
        <f ca="1"/>
        <v>125.04</v>
      </c>
      <c r="FF54" vm="12385">
        <f ca="1"/>
        <v>123.71</v>
      </c>
      <c r="FG54" vm="12311">
        <f ca="1"/>
        <v>122.54</v>
      </c>
      <c r="FH54" vm="12386">
        <f ca="1"/>
        <v>122.99</v>
      </c>
      <c r="FI54" vm="12150">
        <f ca="1"/>
        <v>121.81</v>
      </c>
      <c r="FJ54" vm="12342">
        <f ca="1"/>
        <v>123.27</v>
      </c>
      <c r="FK54" vm="12142">
        <f ca="1"/>
        <v>124.93</v>
      </c>
      <c r="FL54" vm="740">
        <f ca="1"/>
        <v>125.15</v>
      </c>
      <c r="FM54" vm="12387">
        <f ca="1"/>
        <v>124.52</v>
      </c>
      <c r="FN54" vm="12388">
        <f ca="1"/>
        <v>123.48</v>
      </c>
      <c r="FO54" vm="12389">
        <f ca="1"/>
        <v>122.92</v>
      </c>
      <c r="FP54" vm="12202">
        <f ca="1"/>
        <v>124.11</v>
      </c>
      <c r="FQ54" vm="12390">
        <f ca="1"/>
        <v>124.36</v>
      </c>
      <c r="FR54" vm="12391">
        <f ca="1"/>
        <v>128.62</v>
      </c>
      <c r="FS54" vm="12392">
        <f ca="1"/>
        <v>129.96</v>
      </c>
      <c r="FT54" vm="12393">
        <f ca="1"/>
        <v>129.54</v>
      </c>
      <c r="FU54" vm="12394">
        <f ca="1"/>
        <v>131.4</v>
      </c>
      <c r="FV54" vm="12360">
        <f ca="1"/>
        <v>132.78</v>
      </c>
      <c r="FW54" vm="1307">
        <f ca="1"/>
        <v>133.01</v>
      </c>
      <c r="FX54" vm="12395">
        <f ca="1"/>
        <v>134.57</v>
      </c>
      <c r="FY54" vm="12396">
        <f ca="1"/>
        <v>130.84</v>
      </c>
      <c r="FZ54" vm="6606">
        <f ca="1"/>
        <v>132.25</v>
      </c>
      <c r="GA54" vm="12397">
        <f ca="1"/>
        <v>129.63999999999999</v>
      </c>
      <c r="GB54" vm="12398">
        <f ca="1"/>
        <v>128.69</v>
      </c>
      <c r="GC54" vm="12399">
        <f ca="1"/>
        <v>129.03</v>
      </c>
      <c r="GD54" vm="731">
        <f ca="1"/>
        <v>131.77000000000001</v>
      </c>
      <c r="GE54" vm="12400">
        <f ca="1"/>
        <v>131.37</v>
      </c>
      <c r="GF54" vm="12401">
        <f ca="1"/>
        <v>130.13</v>
      </c>
      <c r="GG54" vm="12268">
        <f ca="1"/>
        <v>129.34</v>
      </c>
      <c r="GH54" vm="12402">
        <f ca="1"/>
        <v>133.41999999999999</v>
      </c>
      <c r="GI54" vm="12403">
        <f ca="1"/>
        <v>133.33000000000001</v>
      </c>
      <c r="GJ54" vm="12404">
        <f ca="1"/>
        <v>132.91999999999999</v>
      </c>
      <c r="GK54" vm="12405">
        <f ca="1"/>
        <v>130.1</v>
      </c>
      <c r="GL54" vm="12406">
        <f ca="1"/>
        <v>130.19</v>
      </c>
      <c r="GM54" vm="6469">
        <f ca="1"/>
        <v>133.24</v>
      </c>
      <c r="GN54" vm="6421">
        <f ca="1"/>
        <v>135.28</v>
      </c>
      <c r="GO54" vm="12407">
        <f ca="1"/>
        <v>136.09</v>
      </c>
      <c r="GP54" vm="6367">
        <f ca="1"/>
        <v>137.24</v>
      </c>
      <c r="GQ54" vm="12408">
        <f ca="1"/>
        <v>133.5</v>
      </c>
      <c r="GR54" vm="12409">
        <f ca="1"/>
        <v>132.19999999999999</v>
      </c>
      <c r="GS54" vm="6608">
        <f ca="1"/>
        <v>134.49</v>
      </c>
      <c r="GT54" vm="6446">
        <f ca="1"/>
        <v>131.87</v>
      </c>
      <c r="GU54" vm="12410">
        <f ca="1"/>
        <v>133.19</v>
      </c>
      <c r="GV54" vm="6462">
        <f ca="1"/>
        <v>134.15</v>
      </c>
      <c r="GW54" vm="12411">
        <f ca="1"/>
        <v>133.72999999999999</v>
      </c>
      <c r="GX54" vm="2312">
        <f ca="1"/>
        <v>133.91999999999999</v>
      </c>
      <c r="GY54" vm="12412">
        <f ca="1"/>
        <v>131</v>
      </c>
      <c r="GZ54" vm="12229">
        <f ca="1"/>
        <v>123.96</v>
      </c>
      <c r="HA54" vm="1280">
        <f ca="1"/>
        <v>127.21</v>
      </c>
      <c r="HB54" vm="12363">
        <f ca="1"/>
        <v>126.14</v>
      </c>
      <c r="HC54" vm="12413">
        <f ca="1"/>
        <v>125.93</v>
      </c>
      <c r="HD54" vm="12414">
        <f ca="1"/>
        <v>123.29</v>
      </c>
      <c r="HE54" vm="12415">
        <f ca="1"/>
        <v>123.57</v>
      </c>
      <c r="HF54" vm="2302">
        <f ca="1"/>
        <v>125.27</v>
      </c>
      <c r="HG54" vm="12416">
        <f ca="1"/>
        <v>124.34</v>
      </c>
      <c r="HH54" vm="12417">
        <f ca="1"/>
        <v>124.9</v>
      </c>
      <c r="HI54" vm="12418">
        <f ca="1"/>
        <v>129.66</v>
      </c>
      <c r="HJ54" vm="12377">
        <f ca="1"/>
        <v>128.46</v>
      </c>
      <c r="HK54" vm="1284">
        <f ca="1"/>
        <v>128.35</v>
      </c>
      <c r="HL54" vm="12419">
        <f ca="1"/>
        <v>125.83</v>
      </c>
      <c r="HM54" vm="12420">
        <f ca="1"/>
        <v>126.36</v>
      </c>
      <c r="HN54" vm="12245">
        <f ca="1"/>
        <v>125.86</v>
      </c>
      <c r="HO54" vm="12421">
        <f ca="1"/>
        <v>126.82</v>
      </c>
      <c r="HP54" vm="12422">
        <f ca="1"/>
        <v>127.66</v>
      </c>
      <c r="HQ54" vm="12413">
        <f ca="1"/>
        <v>125.93</v>
      </c>
      <c r="HR54" vm="12423">
        <f ca="1"/>
        <v>124.74</v>
      </c>
      <c r="HS54" vm="12424">
        <f ca="1"/>
        <v>126.84</v>
      </c>
      <c r="HT54" vm="12425">
        <f ca="1"/>
        <v>129.47999999999999</v>
      </c>
      <c r="HU54" vm="12426">
        <f ca="1"/>
        <v>131.41</v>
      </c>
      <c r="HV54" vm="1304">
        <f ca="1"/>
        <v>134.13</v>
      </c>
      <c r="HW54" vm="12427">
        <f ca="1"/>
        <v>132.05000000000001</v>
      </c>
      <c r="HX54" vm="6565">
        <f ca="1"/>
        <v>131.91999999999999</v>
      </c>
      <c r="HY54" vm="12428">
        <f ca="1"/>
        <v>134.01</v>
      </c>
      <c r="HZ54" vm="12429">
        <f ca="1"/>
        <v>131.44</v>
      </c>
      <c r="IA54" vm="12430">
        <f ca="1"/>
        <v>133.49</v>
      </c>
      <c r="IB54" vm="1293">
        <f ca="1"/>
        <v>131.88</v>
      </c>
      <c r="IC54" vm="1294">
        <f ca="1"/>
        <v>128.56</v>
      </c>
      <c r="ID54" vm="1295">
        <f ca="1"/>
        <v>129.74</v>
      </c>
      <c r="IE54" vm="1296">
        <f ca="1"/>
        <v>130.83000000000001</v>
      </c>
      <c r="IF54" vm="1297">
        <f ca="1"/>
        <v>130.22</v>
      </c>
      <c r="IG54" vm="1298">
        <f ca="1"/>
        <v>131.68</v>
      </c>
      <c r="IH54" vm="1299">
        <f ca="1"/>
        <v>134.02000000000001</v>
      </c>
      <c r="II54" vm="1300">
        <f ca="1"/>
        <v>135.08000000000001</v>
      </c>
      <c r="IJ54" vm="1301">
        <f ca="1"/>
        <v>133.05000000000001</v>
      </c>
      <c r="IK54" vm="1302">
        <f ca="1"/>
        <v>136.47999999999999</v>
      </c>
      <c r="IL54" vm="1302">
        <f ca="1"/>
        <v>136.47999999999999</v>
      </c>
      <c r="IM54" vm="1303">
        <f ca="1"/>
        <v>136.69</v>
      </c>
      <c r="IN54" vm="1304">
        <f ca="1"/>
        <v>134.13</v>
      </c>
      <c r="IO54" vm="1305">
        <f ca="1"/>
        <v>134.55000000000001</v>
      </c>
      <c r="IP54" vm="1306">
        <f ca="1"/>
        <v>135.22</v>
      </c>
      <c r="IQ54" vm="1307">
        <f ca="1"/>
        <v>133.01</v>
      </c>
      <c r="IR54" vm="1308">
        <f ca="1"/>
        <v>131.72999999999999</v>
      </c>
      <c r="IS54" vm="1309">
        <f ca="1"/>
        <v>129.88</v>
      </c>
      <c r="IT54" vm="1310">
        <f ca="1"/>
        <v>124.96</v>
      </c>
      <c r="IU54" vm="1311">
        <f ca="1"/>
        <v>127.9</v>
      </c>
      <c r="IV54" vm="1312">
        <f ca="1"/>
        <v>125.09</v>
      </c>
      <c r="IW54" vm="86">
        <f ca="1"/>
        <v>125.56</v>
      </c>
    </row>
    <row r="55" spans="1:257" ht="16" x14ac:dyDescent="0.2">
      <c r="A55" s="14" t="e" vm="1313">
        <v>#VALUE!</v>
      </c>
      <c r="B55" s="23" t="str" cm="1">
        <f t="array" aca="1" ref="B55" ca="1">_FV(A55,"ticker symbol",TRUE)</f>
        <v>IEO</v>
      </c>
      <c r="C55" s="23" t="str" cm="1">
        <f t="array" aca="1" ref="C55" ca="1">_FV(A55,"Name")</f>
        <v>iShares:US O&amp;G E&amp;P ETF</v>
      </c>
      <c r="D55" cm="1" vm="6090">
        <f t="array" aca="1" ref="D55:IW55" ca="1">TRANSPOSE(_xlfn.STOCKHISTORY(B55, WORKDAY(TODAY(), -265), TODAY(), 0, 0, 1))</f>
        <v>90.23</v>
      </c>
      <c r="E55" s="23" vm="12431">
        <f ca="1"/>
        <v>88.94</v>
      </c>
      <c r="F55" s="23" vm="12432">
        <f ca="1"/>
        <v>86.12</v>
      </c>
      <c r="G55" s="23" vm="6207">
        <f ca="1"/>
        <v>85.22</v>
      </c>
      <c r="H55" s="23" vm="7259">
        <f ca="1"/>
        <v>85.62</v>
      </c>
      <c r="I55" s="23" vm="12433">
        <f ca="1"/>
        <v>86.48</v>
      </c>
      <c r="J55" s="23" vm="6074">
        <f ca="1"/>
        <v>87.47</v>
      </c>
      <c r="K55" s="23" vm="12434">
        <f ca="1"/>
        <v>87.31</v>
      </c>
      <c r="L55" s="23" vm="12435">
        <f ca="1"/>
        <v>87.39</v>
      </c>
      <c r="M55" s="23" vm="6818">
        <f ca="1"/>
        <v>88.35</v>
      </c>
      <c r="N55" s="23" vm="1495">
        <f ca="1"/>
        <v>89.63</v>
      </c>
      <c r="O55" s="23" vm="4468">
        <f ca="1"/>
        <v>91.15</v>
      </c>
      <c r="P55" s="23" vm="5587">
        <f ca="1"/>
        <v>91.93</v>
      </c>
      <c r="Q55" s="23" vm="7284">
        <f ca="1"/>
        <v>91.57</v>
      </c>
      <c r="R55" s="23" vm="12436">
        <f ca="1"/>
        <v>92.76</v>
      </c>
      <c r="S55" s="23" vm="12437">
        <f ca="1"/>
        <v>93.39</v>
      </c>
      <c r="T55" s="23" vm="4544">
        <f ca="1"/>
        <v>94.2</v>
      </c>
      <c r="U55" s="23" vm="12438">
        <f ca="1"/>
        <v>96.2</v>
      </c>
      <c r="V55" s="23" vm="12439">
        <f ca="1"/>
        <v>97.06</v>
      </c>
      <c r="W55" s="23" vm="4564">
        <f ca="1"/>
        <v>98.66</v>
      </c>
      <c r="X55" s="23" vm="4572">
        <f ca="1"/>
        <v>99.13</v>
      </c>
      <c r="Y55" s="23" vm="12440">
        <f ca="1"/>
        <v>99.12</v>
      </c>
      <c r="Z55" s="23" vm="12441">
        <f ca="1"/>
        <v>98.15</v>
      </c>
      <c r="AA55" s="23" vm="12442">
        <f ca="1"/>
        <v>97.16</v>
      </c>
      <c r="AB55" s="23" vm="5563">
        <f ca="1"/>
        <v>97.79</v>
      </c>
      <c r="AC55" s="23" vm="12443">
        <f ca="1"/>
        <v>96.46</v>
      </c>
      <c r="AD55" vm="12444">
        <f ca="1"/>
        <v>95.12</v>
      </c>
      <c r="AE55" vm="12445">
        <f ca="1"/>
        <v>94.37</v>
      </c>
      <c r="AF55" vm="12446">
        <f ca="1"/>
        <v>94.91</v>
      </c>
      <c r="AG55" vm="8283">
        <f ca="1"/>
        <v>94.62</v>
      </c>
      <c r="AH55" vm="6811">
        <f ca="1"/>
        <v>92.37</v>
      </c>
      <c r="AI55" vm="12447">
        <f ca="1"/>
        <v>92.66</v>
      </c>
      <c r="AJ55" vm="10929">
        <f ca="1"/>
        <v>94.93</v>
      </c>
      <c r="AK55" vm="4491">
        <f ca="1"/>
        <v>94.83</v>
      </c>
      <c r="AL55" vm="12448">
        <f ca="1"/>
        <v>93.03</v>
      </c>
      <c r="AM55" vm="12449">
        <f ca="1"/>
        <v>92.39</v>
      </c>
      <c r="AN55" vm="12450">
        <f ca="1"/>
        <v>95.16</v>
      </c>
      <c r="AO55" vm="10921">
        <f ca="1"/>
        <v>96.39</v>
      </c>
      <c r="AP55" vm="12451">
        <f ca="1"/>
        <v>93.32</v>
      </c>
      <c r="AQ55" vm="12452">
        <f ca="1"/>
        <v>93.62</v>
      </c>
      <c r="AR55" vm="2846">
        <f ca="1"/>
        <v>94.3</v>
      </c>
      <c r="AS55" vm="12453">
        <f ca="1"/>
        <v>95.48</v>
      </c>
      <c r="AT55" vm="2039">
        <f ca="1"/>
        <v>96.9</v>
      </c>
      <c r="AU55" vm="4559">
        <f ca="1"/>
        <v>97.51</v>
      </c>
      <c r="AV55" vm="4543">
        <f ca="1"/>
        <v>94.44</v>
      </c>
      <c r="AW55" vm="12454">
        <f ca="1"/>
        <v>94.31</v>
      </c>
      <c r="AX55" vm="12455">
        <f ca="1"/>
        <v>92.56</v>
      </c>
      <c r="AY55" vm="12456">
        <f ca="1"/>
        <v>91.86</v>
      </c>
      <c r="AZ55" vm="6084">
        <f ca="1"/>
        <v>91.78</v>
      </c>
      <c r="BA55" vm="12457">
        <f ca="1"/>
        <v>92.91</v>
      </c>
      <c r="BB55" vm="12458">
        <f ca="1"/>
        <v>88.69</v>
      </c>
      <c r="BC55" vm="591">
        <f ca="1"/>
        <v>88.02</v>
      </c>
      <c r="BD55" vm="6767">
        <f ca="1"/>
        <v>86.68</v>
      </c>
      <c r="BE55" vm="12459">
        <f ca="1"/>
        <v>86.02</v>
      </c>
      <c r="BF55" vm="4515">
        <f ca="1"/>
        <v>87.64</v>
      </c>
      <c r="BG55" vm="12460">
        <f ca="1"/>
        <v>88.11</v>
      </c>
      <c r="BH55" vm="12461">
        <f ca="1"/>
        <v>88.63</v>
      </c>
      <c r="BI55" vm="1495">
        <f ca="1"/>
        <v>89.63</v>
      </c>
      <c r="BJ55" vm="6196">
        <f ca="1"/>
        <v>88.3</v>
      </c>
      <c r="BK55" vm="2021">
        <f ca="1"/>
        <v>91.04</v>
      </c>
      <c r="BL55" vm="6116">
        <f ca="1"/>
        <v>92.52</v>
      </c>
      <c r="BM55" vm="6116">
        <f ca="1"/>
        <v>92.52</v>
      </c>
      <c r="BN55" vm="10928">
        <f ca="1"/>
        <v>94.23</v>
      </c>
      <c r="BO55" vm="12462">
        <f ca="1"/>
        <v>94.43</v>
      </c>
      <c r="BP55" vm="12463">
        <f ca="1"/>
        <v>93.29</v>
      </c>
      <c r="BQ55" vm="2047">
        <f ca="1"/>
        <v>94.51</v>
      </c>
      <c r="BR55" vm="12464">
        <f ca="1"/>
        <v>94.59</v>
      </c>
      <c r="BS55" vm="12465">
        <f ca="1"/>
        <v>95.06</v>
      </c>
      <c r="BT55" vm="12466">
        <f ca="1"/>
        <v>93.97</v>
      </c>
      <c r="BU55" vm="6081">
        <f ca="1"/>
        <v>93.24</v>
      </c>
      <c r="BV55" vm="12467">
        <f ca="1"/>
        <v>94.58</v>
      </c>
      <c r="BW55" vm="10918">
        <f ca="1"/>
        <v>95.18</v>
      </c>
      <c r="BX55" vm="1324">
        <f ca="1"/>
        <v>95.92</v>
      </c>
      <c r="BY55" vm="12468">
        <f ca="1"/>
        <v>86.15</v>
      </c>
      <c r="BZ55" vm="5930">
        <f ca="1"/>
        <v>77.599999999999994</v>
      </c>
      <c r="CA55" vm="12469">
        <f ca="1"/>
        <v>77.53</v>
      </c>
      <c r="CB55" vm="12470">
        <f ca="1"/>
        <v>74.87</v>
      </c>
      <c r="CC55" vm="12471">
        <f ca="1"/>
        <v>82.58</v>
      </c>
      <c r="CD55" vm="6053">
        <f ca="1"/>
        <v>76.28</v>
      </c>
      <c r="CE55" vm="12472">
        <f ca="1"/>
        <v>78.53</v>
      </c>
      <c r="CF55" vm="12473">
        <f ca="1"/>
        <v>78.56</v>
      </c>
      <c r="CG55" vm="12474">
        <f ca="1"/>
        <v>78.13</v>
      </c>
      <c r="CH55" vm="444">
        <f ca="1"/>
        <v>79.19</v>
      </c>
      <c r="CI55" vm="5946">
        <f ca="1"/>
        <v>81.23</v>
      </c>
      <c r="CJ55" vm="12475">
        <f ca="1"/>
        <v>79.040000000000006</v>
      </c>
      <c r="CK55" vm="10136">
        <f ca="1"/>
        <v>81.2</v>
      </c>
      <c r="CL55" vm="12476">
        <f ca="1"/>
        <v>81.680000000000007</v>
      </c>
      <c r="CM55" vm="3171">
        <f ca="1"/>
        <v>82.77</v>
      </c>
      <c r="CN55" vm="12477">
        <f ca="1"/>
        <v>83.02</v>
      </c>
      <c r="CO55" vm="12478">
        <f ca="1"/>
        <v>84.01</v>
      </c>
      <c r="CP55" vm="12479">
        <f ca="1"/>
        <v>83.42</v>
      </c>
      <c r="CQ55" vm="2656">
        <f ca="1"/>
        <v>81.19</v>
      </c>
      <c r="CR55" vm="12480">
        <f ca="1"/>
        <v>82.32</v>
      </c>
      <c r="CS55" vm="10210">
        <f ca="1"/>
        <v>83.78</v>
      </c>
      <c r="CT55" vm="7250">
        <f ca="1"/>
        <v>82.45</v>
      </c>
      <c r="CU55" vm="12481">
        <f ca="1"/>
        <v>82.17</v>
      </c>
      <c r="CV55" vm="12482">
        <f ca="1"/>
        <v>82.19</v>
      </c>
      <c r="CW55" vm="12478">
        <f ca="1"/>
        <v>84.01</v>
      </c>
      <c r="CX55" vm="1974">
        <f ca="1"/>
        <v>85.1</v>
      </c>
      <c r="CY55" vm="6153">
        <f ca="1"/>
        <v>88.1</v>
      </c>
      <c r="CZ55" vm="12483">
        <f ca="1"/>
        <v>90.65</v>
      </c>
      <c r="DA55" vm="4535">
        <f ca="1"/>
        <v>90.06</v>
      </c>
      <c r="DB55" vm="12484">
        <f ca="1"/>
        <v>89.93</v>
      </c>
      <c r="DC55" vm="12485">
        <f ca="1"/>
        <v>89.75</v>
      </c>
      <c r="DD55" vm="6845">
        <f ca="1"/>
        <v>88.71</v>
      </c>
      <c r="DE55" vm="3149">
        <f ca="1"/>
        <v>88.22</v>
      </c>
      <c r="DF55" vm="12486">
        <f ca="1"/>
        <v>86.11</v>
      </c>
      <c r="DG55" vm="12487">
        <f ca="1"/>
        <v>85.72</v>
      </c>
      <c r="DH55" vm="6182">
        <f ca="1"/>
        <v>85.64</v>
      </c>
      <c r="DI55" vm="12488">
        <f ca="1"/>
        <v>86.51</v>
      </c>
      <c r="DJ55" vm="12489">
        <f ca="1"/>
        <v>85.27</v>
      </c>
      <c r="DK55" vm="6136">
        <f ca="1"/>
        <v>85.77</v>
      </c>
      <c r="DL55" vm="10214">
        <f ca="1"/>
        <v>84.77</v>
      </c>
      <c r="DM55" vm="12490">
        <f ca="1"/>
        <v>85.97</v>
      </c>
      <c r="DN55" vm="1895">
        <f ca="1"/>
        <v>87.44</v>
      </c>
      <c r="DO55" vm="12491">
        <f ca="1"/>
        <v>85.41</v>
      </c>
      <c r="DP55" vm="12492">
        <f ca="1"/>
        <v>85.18</v>
      </c>
      <c r="DQ55" vm="6746">
        <f ca="1"/>
        <v>87.04</v>
      </c>
      <c r="DR55" vm="12493">
        <f ca="1"/>
        <v>87.46</v>
      </c>
      <c r="DS55" vm="6156">
        <f ca="1"/>
        <v>88.98</v>
      </c>
      <c r="DT55" vm="6803">
        <f ca="1"/>
        <v>90.49</v>
      </c>
      <c r="DU55" vm="12494">
        <f ca="1"/>
        <v>91.17</v>
      </c>
      <c r="DV55" vm="12495">
        <f ca="1"/>
        <v>93.36</v>
      </c>
      <c r="DW55" vm="12496">
        <f ca="1"/>
        <v>92.51</v>
      </c>
      <c r="DX55" vm="6083">
        <f ca="1"/>
        <v>93.48</v>
      </c>
      <c r="DY55" vm="12497">
        <f ca="1"/>
        <v>92.69</v>
      </c>
      <c r="DZ55" vm="12437">
        <f ca="1"/>
        <v>93.39</v>
      </c>
      <c r="EA55" vm="1333">
        <f ca="1"/>
        <v>90.51</v>
      </c>
      <c r="EB55" vm="4474">
        <f ca="1"/>
        <v>89.72</v>
      </c>
      <c r="EC55" vm="12498">
        <f ca="1"/>
        <v>88.72</v>
      </c>
      <c r="ED55" vm="2840">
        <f ca="1"/>
        <v>89.79</v>
      </c>
      <c r="EE55" vm="12499">
        <f ca="1"/>
        <v>89.31</v>
      </c>
      <c r="EF55" vm="6195">
        <f ca="1"/>
        <v>88.6</v>
      </c>
      <c r="EG55" vm="12500">
        <f ca="1"/>
        <v>89.58</v>
      </c>
      <c r="EH55" vm="6804">
        <f ca="1"/>
        <v>91.23</v>
      </c>
      <c r="EI55" vm="4469">
        <f ca="1"/>
        <v>91.14</v>
      </c>
      <c r="EJ55" vm="7290">
        <f ca="1"/>
        <v>90.1</v>
      </c>
      <c r="EK55" vm="2850">
        <f ca="1"/>
        <v>92.67</v>
      </c>
      <c r="EL55" vm="6826">
        <f ca="1"/>
        <v>91.92</v>
      </c>
      <c r="EM55" vm="6117">
        <f ca="1"/>
        <v>92.85</v>
      </c>
      <c r="EN55" vm="12501">
        <f ca="1"/>
        <v>93.01</v>
      </c>
      <c r="EO55" vm="12502">
        <f ca="1"/>
        <v>92.14</v>
      </c>
      <c r="EP55" vm="6803">
        <f ca="1"/>
        <v>90.49</v>
      </c>
      <c r="EQ55" vm="4533">
        <f ca="1"/>
        <v>89.27</v>
      </c>
      <c r="ER55" vm="5586">
        <f ca="1"/>
        <v>90.48</v>
      </c>
      <c r="ES55" vm="1715">
        <f ca="1"/>
        <v>90.52</v>
      </c>
      <c r="ET55" vm="1896">
        <f ca="1"/>
        <v>88.68</v>
      </c>
      <c r="EU55" vm="6219">
        <f ca="1"/>
        <v>89.54</v>
      </c>
      <c r="EV55" vm="3138">
        <f ca="1"/>
        <v>90.24</v>
      </c>
      <c r="EW55" vm="12503">
        <f ca="1"/>
        <v>90.17</v>
      </c>
      <c r="EX55" vm="6094">
        <f ca="1"/>
        <v>89.71</v>
      </c>
      <c r="EY55" vm="12504">
        <f ca="1"/>
        <v>91.6</v>
      </c>
      <c r="EZ55" vm="6120">
        <f ca="1"/>
        <v>92.43</v>
      </c>
      <c r="FA55" vm="12505">
        <f ca="1"/>
        <v>91.11</v>
      </c>
      <c r="FB55" vm="2022">
        <f ca="1"/>
        <v>90.29</v>
      </c>
      <c r="FC55" vm="55">
        <f ca="1"/>
        <v>87.51</v>
      </c>
      <c r="FD55" vm="12506">
        <f ca="1"/>
        <v>87.9</v>
      </c>
      <c r="FE55" vm="12507">
        <f ca="1"/>
        <v>88.43</v>
      </c>
      <c r="FF55" vm="6074">
        <f ca="1"/>
        <v>87.47</v>
      </c>
      <c r="FG55" vm="6851">
        <f ca="1"/>
        <v>86.63</v>
      </c>
      <c r="FH55" vm="10221">
        <f ca="1"/>
        <v>86.99</v>
      </c>
      <c r="FI55" vm="6186">
        <f ca="1"/>
        <v>86.38</v>
      </c>
      <c r="FJ55" vm="6193">
        <f ca="1"/>
        <v>87.16</v>
      </c>
      <c r="FK55" vm="3144">
        <f ca="1"/>
        <v>88.31</v>
      </c>
      <c r="FL55" vm="12508">
        <f ca="1"/>
        <v>88.5</v>
      </c>
      <c r="FM55" vm="6215">
        <f ca="1"/>
        <v>88.28</v>
      </c>
      <c r="FN55" vm="6218">
        <f ca="1"/>
        <v>87.42</v>
      </c>
      <c r="FO55" vm="3146">
        <f ca="1"/>
        <v>87.34</v>
      </c>
      <c r="FP55" vm="12509">
        <f ca="1"/>
        <v>88.2</v>
      </c>
      <c r="FQ55" vm="6818">
        <f ca="1"/>
        <v>88.35</v>
      </c>
      <c r="FR55" vm="7281">
        <f ca="1"/>
        <v>90.89</v>
      </c>
      <c r="FS55" vm="12510">
        <f ca="1"/>
        <v>91.63</v>
      </c>
      <c r="FT55" vm="12511">
        <f ca="1"/>
        <v>91.47</v>
      </c>
      <c r="FU55" vm="12512">
        <f ca="1"/>
        <v>92.55</v>
      </c>
      <c r="FV55" vm="12513">
        <f ca="1"/>
        <v>93.5</v>
      </c>
      <c r="FW55" vm="12514">
        <f ca="1"/>
        <v>93.75</v>
      </c>
      <c r="FX55" vm="12515">
        <f ca="1"/>
        <v>94.5</v>
      </c>
      <c r="FY55" vm="12516">
        <f ca="1"/>
        <v>91.71</v>
      </c>
      <c r="FZ55" vm="12517">
        <f ca="1"/>
        <v>92.58</v>
      </c>
      <c r="GA55" vm="6830">
        <f ca="1"/>
        <v>90.97</v>
      </c>
      <c r="GB55" vm="12518">
        <f ca="1"/>
        <v>90.26</v>
      </c>
      <c r="GC55" vm="6838">
        <f ca="1"/>
        <v>90.66</v>
      </c>
      <c r="GD55" vm="6085">
        <f ca="1"/>
        <v>92.2</v>
      </c>
      <c r="GE55" vm="6096">
        <f ca="1"/>
        <v>92.02</v>
      </c>
      <c r="GF55" vm="6812">
        <f ca="1"/>
        <v>91.03</v>
      </c>
      <c r="GG55" vm="6803">
        <f ca="1"/>
        <v>90.49</v>
      </c>
      <c r="GH55" vm="2843">
        <f ca="1"/>
        <v>92.07</v>
      </c>
      <c r="GI55" vm="12519">
        <f ca="1"/>
        <v>92.01</v>
      </c>
      <c r="GJ55" vm="12520">
        <f ca="1"/>
        <v>91.56</v>
      </c>
      <c r="GK55" vm="6822">
        <f ca="1"/>
        <v>90.05</v>
      </c>
      <c r="GL55" vm="12521">
        <f ca="1"/>
        <v>90.41</v>
      </c>
      <c r="GM55" vm="10913">
        <f ca="1"/>
        <v>92.19</v>
      </c>
      <c r="GN55" vm="12522">
        <f ca="1"/>
        <v>93.86</v>
      </c>
      <c r="GO55" vm="5588">
        <f ca="1"/>
        <v>94.72</v>
      </c>
      <c r="GP55" vm="5575">
        <f ca="1"/>
        <v>95.74</v>
      </c>
      <c r="GQ55" vm="4541">
        <f ca="1"/>
        <v>93.49</v>
      </c>
      <c r="GR55" vm="12523">
        <f ca="1"/>
        <v>92.6</v>
      </c>
      <c r="GS55" vm="12513">
        <f ca="1"/>
        <v>93.5</v>
      </c>
      <c r="GT55" vm="12524">
        <f ca="1"/>
        <v>92.1</v>
      </c>
      <c r="GU55" vm="12525">
        <f ca="1"/>
        <v>92.54</v>
      </c>
      <c r="GV55" vm="10939">
        <f ca="1"/>
        <v>93.26</v>
      </c>
      <c r="GW55" vm="12526">
        <f ca="1"/>
        <v>93.12</v>
      </c>
      <c r="GX55" vm="12497">
        <f ca="1"/>
        <v>92.69</v>
      </c>
      <c r="GY55" vm="12494">
        <f ca="1"/>
        <v>91.17</v>
      </c>
      <c r="GZ55" vm="12527">
        <f ca="1"/>
        <v>87.09</v>
      </c>
      <c r="HA55" vm="6166">
        <f ca="1"/>
        <v>88.73</v>
      </c>
      <c r="HB55" vm="12509">
        <f ca="1"/>
        <v>88.2</v>
      </c>
      <c r="HC55" vm="12528">
        <f ca="1"/>
        <v>88.36</v>
      </c>
      <c r="HD55" vm="6853">
        <f ca="1"/>
        <v>86.77</v>
      </c>
      <c r="HE55" vm="6762">
        <f ca="1"/>
        <v>87.06</v>
      </c>
      <c r="HF55" vm="12529">
        <f ca="1"/>
        <v>88.26</v>
      </c>
      <c r="HG55" vm="4530">
        <f ca="1"/>
        <v>87.58</v>
      </c>
      <c r="HH55" vm="1332">
        <f ca="1"/>
        <v>88.18</v>
      </c>
      <c r="HI55" vm="2842">
        <f ca="1"/>
        <v>90.87</v>
      </c>
      <c r="HJ55" vm="7944">
        <f ca="1"/>
        <v>89.87</v>
      </c>
      <c r="HK55" vm="6089">
        <f ca="1"/>
        <v>90.04</v>
      </c>
      <c r="HL55" vm="3149">
        <f ca="1"/>
        <v>88.22</v>
      </c>
      <c r="HM55" vm="12530">
        <f ca="1"/>
        <v>88.9</v>
      </c>
      <c r="HN55" vm="12531">
        <f ca="1"/>
        <v>88.64</v>
      </c>
      <c r="HO55" vm="1494">
        <f ca="1"/>
        <v>89.34</v>
      </c>
      <c r="HP55" vm="1713">
        <f ca="1"/>
        <v>90.14</v>
      </c>
      <c r="HQ55" vm="10911">
        <f ca="1"/>
        <v>89.03</v>
      </c>
      <c r="HR55" vm="6845">
        <f ca="1"/>
        <v>88.71</v>
      </c>
      <c r="HS55" vm="7944">
        <f ca="1"/>
        <v>89.87</v>
      </c>
      <c r="HT55" vm="12532">
        <f ca="1"/>
        <v>91.02</v>
      </c>
      <c r="HU55" vm="12533">
        <f ca="1"/>
        <v>92.23</v>
      </c>
      <c r="HV55" vm="12534">
        <f ca="1"/>
        <v>94.24</v>
      </c>
      <c r="HW55" vm="10931">
        <f ca="1"/>
        <v>93.07</v>
      </c>
      <c r="HX55" vm="4480">
        <f ca="1"/>
        <v>92.9</v>
      </c>
      <c r="HY55" vm="12535">
        <f ca="1"/>
        <v>94.6</v>
      </c>
      <c r="HZ55" vm="12536">
        <f ca="1"/>
        <v>92.77</v>
      </c>
      <c r="IA55" vm="12537">
        <f ca="1"/>
        <v>93.88</v>
      </c>
      <c r="IB55" vm="1314">
        <f ca="1"/>
        <v>92.57</v>
      </c>
      <c r="IC55" vm="1315">
        <f ca="1"/>
        <v>90.57</v>
      </c>
      <c r="ID55" vm="1316">
        <f ca="1"/>
        <v>91.31</v>
      </c>
      <c r="IE55" vm="1317">
        <f ca="1"/>
        <v>91.74</v>
      </c>
      <c r="IF55" vm="1318">
        <f ca="1"/>
        <v>91.08</v>
      </c>
      <c r="IG55" vm="1319">
        <f ca="1"/>
        <v>92.26</v>
      </c>
      <c r="IH55" vm="1320">
        <f ca="1"/>
        <v>93.87</v>
      </c>
      <c r="II55" vm="1321">
        <f ca="1"/>
        <v>94.864999999999995</v>
      </c>
      <c r="IJ55" vm="1322">
        <f ca="1"/>
        <v>93.52</v>
      </c>
      <c r="IK55" vm="1323">
        <f ca="1"/>
        <v>95.69</v>
      </c>
      <c r="IL55" vm="1324">
        <f ca="1"/>
        <v>95.92</v>
      </c>
      <c r="IM55" vm="1325">
        <f ca="1"/>
        <v>96.08</v>
      </c>
      <c r="IN55" vm="1326">
        <f ca="1"/>
        <v>94.78</v>
      </c>
      <c r="IO55" vm="1327">
        <f ca="1"/>
        <v>94.82</v>
      </c>
      <c r="IP55" vm="1328">
        <f ca="1"/>
        <v>96.01</v>
      </c>
      <c r="IQ55" vm="1329">
        <f ca="1"/>
        <v>94.63</v>
      </c>
      <c r="IR55" vm="1330">
        <f ca="1"/>
        <v>93.57</v>
      </c>
      <c r="IS55" vm="1331">
        <f ca="1"/>
        <v>92.45</v>
      </c>
      <c r="IT55" vm="1332">
        <f ca="1"/>
        <v>88.18</v>
      </c>
      <c r="IU55" vm="1333">
        <f ca="1"/>
        <v>90.51</v>
      </c>
      <c r="IV55" vm="1334">
        <f ca="1"/>
        <v>88.27</v>
      </c>
      <c r="IW55" vm="88">
        <f ca="1"/>
        <v>88.42</v>
      </c>
    </row>
    <row r="56" spans="1:257" ht="16" x14ac:dyDescent="0.2">
      <c r="A56" s="14" t="e" vm="1335">
        <v>#VALUE!</v>
      </c>
      <c r="B56" s="23" t="str" cm="1">
        <f t="array" aca="1" ref="B56" ca="1">_FV(A56,"ticker symbol",TRUE)</f>
        <v>OIH</v>
      </c>
      <c r="C56" s="23" t="str" cm="1">
        <f t="array" aca="1" ref="C56" ca="1">_FV(A56,"Name")</f>
        <v>VanEck:Oil Services</v>
      </c>
      <c r="D56" cm="1" vm="12538">
        <f t="array" aca="1" ref="D56:IW56" ca="1">TRANSPOSE(_xlfn.STOCKHISTORY(B56, WORKDAY(TODAY(), -265), TODAY(), 0, 0, 1))</f>
        <v>280.35000000000002</v>
      </c>
      <c r="E56" s="23" vm="12539">
        <f ca="1"/>
        <v>276.45</v>
      </c>
      <c r="F56" s="23" vm="12540">
        <f ca="1"/>
        <v>266.48</v>
      </c>
      <c r="G56" s="23" vm="12541">
        <f ca="1"/>
        <v>263.91000000000003</v>
      </c>
      <c r="H56" s="23" vm="12542">
        <f ca="1"/>
        <v>264.85000000000002</v>
      </c>
      <c r="I56" s="23" vm="12543">
        <f ca="1"/>
        <v>260.95999999999998</v>
      </c>
      <c r="J56" s="23" vm="12544">
        <f ca="1"/>
        <v>263.64</v>
      </c>
      <c r="K56" s="23" vm="12545">
        <f ca="1"/>
        <v>265.02999999999997</v>
      </c>
      <c r="L56" s="23" vm="12546">
        <f ca="1"/>
        <v>264.94</v>
      </c>
      <c r="M56" s="23" vm="7834">
        <f ca="1"/>
        <v>267.56</v>
      </c>
      <c r="N56" s="23" vm="12547">
        <f ca="1"/>
        <v>271.23</v>
      </c>
      <c r="O56" s="23" vm="12548">
        <f ca="1"/>
        <v>276.18</v>
      </c>
      <c r="P56" s="23" vm="12549">
        <f ca="1"/>
        <v>279.31</v>
      </c>
      <c r="Q56" s="23" vm="12550">
        <f ca="1"/>
        <v>279.74</v>
      </c>
      <c r="R56" s="23" vm="12551">
        <f ca="1"/>
        <v>283.85000000000002</v>
      </c>
      <c r="S56" s="23" vm="12552">
        <f ca="1"/>
        <v>279.8</v>
      </c>
      <c r="T56" s="23" vm="12553">
        <f ca="1"/>
        <v>278.95</v>
      </c>
      <c r="U56" s="23" vm="12554">
        <f ca="1"/>
        <v>284.70999999999998</v>
      </c>
      <c r="V56" s="23" vm="12555">
        <f ca="1"/>
        <v>287.23</v>
      </c>
      <c r="W56" s="23" vm="12556">
        <f ca="1"/>
        <v>293.64999999999998</v>
      </c>
      <c r="X56" s="23" vm="5436">
        <f ca="1"/>
        <v>294</v>
      </c>
      <c r="Y56" s="23" vm="12557">
        <f ca="1"/>
        <v>299.51</v>
      </c>
      <c r="Z56" s="23" vm="12558">
        <f ca="1"/>
        <v>299.62</v>
      </c>
      <c r="AA56" s="23" vm="12559">
        <f ca="1"/>
        <v>290.99</v>
      </c>
      <c r="AB56" s="23" vm="12559">
        <f ca="1"/>
        <v>290.99</v>
      </c>
      <c r="AC56" s="23" vm="12560">
        <f ca="1"/>
        <v>290.18</v>
      </c>
      <c r="AD56" vm="12561">
        <f ca="1"/>
        <v>284.95999999999998</v>
      </c>
      <c r="AE56" vm="12562">
        <f ca="1"/>
        <v>279.98</v>
      </c>
      <c r="AF56" vm="12563">
        <f ca="1"/>
        <v>278.27</v>
      </c>
      <c r="AG56" vm="12564">
        <f ca="1"/>
        <v>279.36</v>
      </c>
      <c r="AH56" vm="12565">
        <f ca="1"/>
        <v>276.95999999999998</v>
      </c>
      <c r="AI56" vm="12566">
        <f ca="1"/>
        <v>275.94</v>
      </c>
      <c r="AJ56" vm="12567">
        <f ca="1"/>
        <v>283.08</v>
      </c>
      <c r="AK56" vm="12568">
        <f ca="1"/>
        <v>285.29000000000002</v>
      </c>
      <c r="AL56" vm="12565">
        <f ca="1"/>
        <v>276.95999999999998</v>
      </c>
      <c r="AM56" vm="12569">
        <f ca="1"/>
        <v>275.44</v>
      </c>
      <c r="AN56" vm="12570">
        <f ca="1"/>
        <v>283.39999999999998</v>
      </c>
      <c r="AO56" vm="12571">
        <f ca="1"/>
        <v>285.13</v>
      </c>
      <c r="AP56" vm="7610">
        <f ca="1"/>
        <v>279.76</v>
      </c>
      <c r="AQ56" vm="12572">
        <f ca="1"/>
        <v>282.05</v>
      </c>
      <c r="AR56" vm="12573">
        <f ca="1"/>
        <v>280.02</v>
      </c>
      <c r="AS56" vm="12574">
        <f ca="1"/>
        <v>284.68</v>
      </c>
      <c r="AT56" vm="12575">
        <f ca="1"/>
        <v>280.37</v>
      </c>
      <c r="AU56" vm="12576">
        <f ca="1"/>
        <v>281.10000000000002</v>
      </c>
      <c r="AV56" vm="12577">
        <f ca="1"/>
        <v>272.83</v>
      </c>
      <c r="AW56" vm="12578">
        <f ca="1"/>
        <v>271.51</v>
      </c>
      <c r="AX56" vm="12579">
        <f ca="1"/>
        <v>267.01</v>
      </c>
      <c r="AY56" vm="12580">
        <f ca="1"/>
        <v>263.83999999999997</v>
      </c>
      <c r="AZ56" vm="12581">
        <f ca="1"/>
        <v>264.19</v>
      </c>
      <c r="BA56" vm="12582">
        <f ca="1"/>
        <v>266.38</v>
      </c>
      <c r="BB56" vm="12583">
        <f ca="1"/>
        <v>252.35</v>
      </c>
      <c r="BC56" vm="12584">
        <f ca="1"/>
        <v>247.98</v>
      </c>
      <c r="BD56" vm="12585">
        <f ca="1"/>
        <v>247.88</v>
      </c>
      <c r="BE56" vm="12586">
        <f ca="1"/>
        <v>247.62</v>
      </c>
      <c r="BF56" vm="12587">
        <f ca="1"/>
        <v>255.91</v>
      </c>
      <c r="BG56" vm="12588">
        <f ca="1"/>
        <v>249.42</v>
      </c>
      <c r="BH56" vm="12589">
        <f ca="1"/>
        <v>248.61</v>
      </c>
      <c r="BI56" vm="9777">
        <f ca="1"/>
        <v>249.48</v>
      </c>
      <c r="BJ56" vm="12590">
        <f ca="1"/>
        <v>246.39</v>
      </c>
      <c r="BK56" vm="12591">
        <f ca="1"/>
        <v>254.12</v>
      </c>
      <c r="BL56" vm="12592">
        <f ca="1"/>
        <v>257.75</v>
      </c>
      <c r="BM56" vm="12593">
        <f ca="1"/>
        <v>257.93</v>
      </c>
      <c r="BN56" vm="12594">
        <f ca="1"/>
        <v>260.88</v>
      </c>
      <c r="BO56" vm="12595">
        <f ca="1"/>
        <v>261.74</v>
      </c>
      <c r="BP56" vm="12596">
        <f ca="1"/>
        <v>259</v>
      </c>
      <c r="BQ56" vm="12597">
        <f ca="1"/>
        <v>263.7</v>
      </c>
      <c r="BR56" vm="7459">
        <f ca="1"/>
        <v>265.86</v>
      </c>
      <c r="BS56" vm="12598">
        <f ca="1"/>
        <v>266.8</v>
      </c>
      <c r="BT56" vm="12599">
        <f ca="1"/>
        <v>264.81</v>
      </c>
      <c r="BU56" vm="12600">
        <f ca="1"/>
        <v>261.36</v>
      </c>
      <c r="BV56" vm="12601">
        <f ca="1"/>
        <v>262.12</v>
      </c>
      <c r="BW56" vm="12602">
        <f ca="1"/>
        <v>266.11</v>
      </c>
      <c r="BX56" vm="5349">
        <f ca="1"/>
        <v>266.32</v>
      </c>
      <c r="BY56" vm="12603">
        <f ca="1"/>
        <v>236.83</v>
      </c>
      <c r="BZ56" vm="12604">
        <f ca="1"/>
        <v>207.77</v>
      </c>
      <c r="CA56" vm="12605">
        <f ca="1"/>
        <v>206.09</v>
      </c>
      <c r="CB56" vm="12606">
        <f ca="1"/>
        <v>196.72</v>
      </c>
      <c r="CC56" vm="5839">
        <f ca="1"/>
        <v>222.17</v>
      </c>
      <c r="CD56" vm="12607">
        <f ca="1"/>
        <v>202.68</v>
      </c>
      <c r="CE56" vm="7569">
        <f ca="1"/>
        <v>210.29</v>
      </c>
      <c r="CF56" vm="11283">
        <f ca="1"/>
        <v>210.6</v>
      </c>
      <c r="CG56" vm="12608">
        <f ca="1"/>
        <v>210.28</v>
      </c>
      <c r="CH56" vm="12609">
        <f ca="1"/>
        <v>211.31</v>
      </c>
      <c r="CI56" vm="12610">
        <f ca="1"/>
        <v>218.84</v>
      </c>
      <c r="CJ56" vm="12611">
        <f ca="1"/>
        <v>212.98</v>
      </c>
      <c r="CK56" vm="7391">
        <f ca="1"/>
        <v>213.62</v>
      </c>
      <c r="CL56" vm="11123">
        <f ca="1"/>
        <v>209.72</v>
      </c>
      <c r="CM56" vm="12612">
        <f ca="1"/>
        <v>215.95</v>
      </c>
      <c r="CN56" vm="1123">
        <f ca="1"/>
        <v>216.28</v>
      </c>
      <c r="CO56" vm="12613">
        <f ca="1"/>
        <v>214.76</v>
      </c>
      <c r="CP56" vm="7019">
        <f ca="1"/>
        <v>215.43</v>
      </c>
      <c r="CQ56" vm="11115">
        <f ca="1"/>
        <v>209.06</v>
      </c>
      <c r="CR56" vm="12614">
        <f ca="1"/>
        <v>214.78</v>
      </c>
      <c r="CS56" vm="12615">
        <f ca="1"/>
        <v>220.36</v>
      </c>
      <c r="CT56" vm="12616">
        <f ca="1"/>
        <v>215.06</v>
      </c>
      <c r="CU56" vm="12617">
        <f ca="1"/>
        <v>215.04</v>
      </c>
      <c r="CV56" vm="12618">
        <f ca="1"/>
        <v>213.19</v>
      </c>
      <c r="CW56" vm="12619">
        <f ca="1"/>
        <v>219.35</v>
      </c>
      <c r="CX56" vm="12620">
        <f ca="1"/>
        <v>221.87</v>
      </c>
      <c r="CY56" vm="12621">
        <f ca="1"/>
        <v>230.61</v>
      </c>
      <c r="CZ56" vm="12622">
        <f ca="1"/>
        <v>231.5</v>
      </c>
      <c r="DA56" vm="12623">
        <f ca="1"/>
        <v>231.86</v>
      </c>
      <c r="DB56" vm="12624">
        <f ca="1"/>
        <v>229.05</v>
      </c>
      <c r="DC56" vm="12625">
        <f ca="1"/>
        <v>228.26</v>
      </c>
      <c r="DD56" vm="12626">
        <f ca="1"/>
        <v>224.9</v>
      </c>
      <c r="DE56" vm="4174">
        <f ca="1"/>
        <v>222.69</v>
      </c>
      <c r="DF56" vm="4073">
        <f ca="1"/>
        <v>216.23</v>
      </c>
      <c r="DG56" vm="12627">
        <f ca="1"/>
        <v>216.08</v>
      </c>
      <c r="DH56" vm="12628">
        <f ca="1"/>
        <v>216.26</v>
      </c>
      <c r="DI56" vm="12629">
        <f ca="1"/>
        <v>219.99</v>
      </c>
      <c r="DJ56" vm="12630">
        <f ca="1"/>
        <v>218.77</v>
      </c>
      <c r="DK56" vm="11191">
        <f ca="1"/>
        <v>221.26</v>
      </c>
      <c r="DL56" vm="12631">
        <f ca="1"/>
        <v>216.64</v>
      </c>
      <c r="DM56" vm="11220">
        <f ca="1"/>
        <v>220.31</v>
      </c>
      <c r="DN56" vm="12632">
        <f ca="1"/>
        <v>227.36</v>
      </c>
      <c r="DO56" vm="4172">
        <f ca="1"/>
        <v>224.38</v>
      </c>
      <c r="DP56" vm="5852">
        <f ca="1"/>
        <v>224.36</v>
      </c>
      <c r="DQ56" vm="12633">
        <f ca="1"/>
        <v>229.88</v>
      </c>
      <c r="DR56" vm="12634">
        <f ca="1"/>
        <v>233.5</v>
      </c>
      <c r="DS56" vm="12635">
        <f ca="1"/>
        <v>241.42</v>
      </c>
      <c r="DT56" vm="12636">
        <f ca="1"/>
        <v>244.47</v>
      </c>
      <c r="DU56" vm="12637">
        <f ca="1"/>
        <v>243.7</v>
      </c>
      <c r="DV56" vm="12638">
        <f ca="1"/>
        <v>247.39</v>
      </c>
      <c r="DW56" vm="12639">
        <f ca="1"/>
        <v>245.73</v>
      </c>
      <c r="DX56" vm="12640">
        <f ca="1"/>
        <v>247.54</v>
      </c>
      <c r="DY56" vm="12641">
        <f ca="1"/>
        <v>244.69</v>
      </c>
      <c r="DZ56" vm="7432">
        <f ca="1"/>
        <v>242.87</v>
      </c>
      <c r="EA56" vm="6978">
        <f ca="1"/>
        <v>231.97</v>
      </c>
      <c r="EB56" vm="6994">
        <f ca="1"/>
        <v>230.81</v>
      </c>
      <c r="EC56" vm="1793">
        <f ca="1"/>
        <v>227.65</v>
      </c>
      <c r="ED56" vm="12642">
        <f ca="1"/>
        <v>231.62</v>
      </c>
      <c r="EE56" vm="12643">
        <f ca="1"/>
        <v>231.17</v>
      </c>
      <c r="EF56" vm="1795">
        <f ca="1"/>
        <v>230.29</v>
      </c>
      <c r="EG56" vm="12644">
        <f ca="1"/>
        <v>236.94</v>
      </c>
      <c r="EH56" vm="12645">
        <f ca="1"/>
        <v>242.97</v>
      </c>
      <c r="EI56" vm="12646">
        <f ca="1"/>
        <v>241.58</v>
      </c>
      <c r="EJ56" vm="12647">
        <f ca="1"/>
        <v>238.39</v>
      </c>
      <c r="EK56" vm="12648">
        <f ca="1"/>
        <v>249.83</v>
      </c>
      <c r="EL56" vm="12649">
        <f ca="1"/>
        <v>247.93</v>
      </c>
      <c r="EM56" vm="7533">
        <f ca="1"/>
        <v>249.99</v>
      </c>
      <c r="EN56" vm="7511">
        <f ca="1"/>
        <v>252.23</v>
      </c>
      <c r="EO56" vm="12650">
        <f ca="1"/>
        <v>244.61</v>
      </c>
      <c r="EP56" vm="12651">
        <f ca="1"/>
        <v>236.82</v>
      </c>
      <c r="EQ56" vm="12652">
        <f ca="1"/>
        <v>233</v>
      </c>
      <c r="ER56" vm="7782">
        <f ca="1"/>
        <v>236.03</v>
      </c>
      <c r="ES56" vm="12653">
        <f ca="1"/>
        <v>233.38</v>
      </c>
      <c r="ET56" vm="12654">
        <f ca="1"/>
        <v>232.86</v>
      </c>
      <c r="EU56" vm="12655">
        <f ca="1"/>
        <v>238.1</v>
      </c>
      <c r="EV56" vm="12656">
        <f ca="1"/>
        <v>250.92</v>
      </c>
      <c r="EW56" vm="12657">
        <f ca="1"/>
        <v>253.04</v>
      </c>
      <c r="EX56" vm="9779">
        <f ca="1"/>
        <v>252.18</v>
      </c>
      <c r="EY56" vm="12658">
        <f ca="1"/>
        <v>256.64</v>
      </c>
      <c r="EZ56" vm="12659">
        <f ca="1"/>
        <v>255.61</v>
      </c>
      <c r="FA56" vm="12660">
        <f ca="1"/>
        <v>248.34</v>
      </c>
      <c r="FB56" vm="12661">
        <f ca="1"/>
        <v>243.72</v>
      </c>
      <c r="FC56" vm="12662">
        <f ca="1"/>
        <v>235.02</v>
      </c>
      <c r="FD56" vm="7312">
        <f ca="1"/>
        <v>235.81</v>
      </c>
      <c r="FE56" vm="7498">
        <f ca="1"/>
        <v>241.99</v>
      </c>
      <c r="FF56" vm="12663">
        <f ca="1"/>
        <v>238.95</v>
      </c>
      <c r="FG56" vm="12664">
        <f ca="1"/>
        <v>235.79</v>
      </c>
      <c r="FH56" vm="12665">
        <f ca="1"/>
        <v>237.51</v>
      </c>
      <c r="FI56" vm="12666">
        <f ca="1"/>
        <v>233.61</v>
      </c>
      <c r="FJ56" vm="12667">
        <f ca="1"/>
        <v>237.22</v>
      </c>
      <c r="FK56" vm="12668">
        <f ca="1"/>
        <v>240.36</v>
      </c>
      <c r="FL56" vm="12669">
        <f ca="1"/>
        <v>239.63</v>
      </c>
      <c r="FM56" vm="12670">
        <f ca="1"/>
        <v>236.66</v>
      </c>
      <c r="FN56" vm="12671">
        <f ca="1"/>
        <v>239.02</v>
      </c>
      <c r="FO56" vm="12672">
        <f ca="1"/>
        <v>237.65</v>
      </c>
      <c r="FP56" vm="12673">
        <f ca="1"/>
        <v>236.51</v>
      </c>
      <c r="FQ56" vm="12674">
        <f ca="1"/>
        <v>240.14</v>
      </c>
      <c r="FR56" vm="12675">
        <f ca="1"/>
        <v>252.19</v>
      </c>
      <c r="FS56" vm="12676">
        <f ca="1"/>
        <v>251.9</v>
      </c>
      <c r="FT56" vm="12677">
        <f ca="1"/>
        <v>249.13</v>
      </c>
      <c r="FU56" vm="12678">
        <f ca="1"/>
        <v>253.51</v>
      </c>
      <c r="FV56" vm="12679">
        <f ca="1"/>
        <v>256.11</v>
      </c>
      <c r="FW56" vm="12680">
        <f ca="1"/>
        <v>256.85000000000002</v>
      </c>
      <c r="FX56" vm="12681">
        <f ca="1"/>
        <v>254.73</v>
      </c>
      <c r="FY56" vm="12648">
        <f ca="1"/>
        <v>249.83</v>
      </c>
      <c r="FZ56" vm="12682">
        <f ca="1"/>
        <v>257.83999999999997</v>
      </c>
      <c r="GA56" vm="12683">
        <f ca="1"/>
        <v>255.13</v>
      </c>
      <c r="GB56" vm="12684">
        <f ca="1"/>
        <v>255.28</v>
      </c>
      <c r="GC56" vm="12685">
        <f ca="1"/>
        <v>254.01</v>
      </c>
      <c r="GD56" vm="12686">
        <f ca="1"/>
        <v>260.07</v>
      </c>
      <c r="GE56" vm="12687">
        <f ca="1"/>
        <v>260.17</v>
      </c>
      <c r="GF56" vm="9869">
        <f ca="1"/>
        <v>257.62</v>
      </c>
      <c r="GG56" vm="12688">
        <f ca="1"/>
        <v>255.03</v>
      </c>
      <c r="GH56" vm="12689">
        <f ca="1"/>
        <v>260.20999999999998</v>
      </c>
      <c r="GI56" vm="12690">
        <f ca="1"/>
        <v>256.41000000000003</v>
      </c>
      <c r="GJ56" vm="12691">
        <f ca="1"/>
        <v>258.37</v>
      </c>
      <c r="GK56" vm="12692">
        <f ca="1"/>
        <v>254.52</v>
      </c>
      <c r="GL56" vm="12693">
        <f ca="1"/>
        <v>254.82</v>
      </c>
      <c r="GM56" vm="7819">
        <f ca="1"/>
        <v>261.77999999999997</v>
      </c>
      <c r="GN56" vm="12694">
        <f ca="1"/>
        <v>263.61</v>
      </c>
      <c r="GO56" vm="12695">
        <f ca="1"/>
        <v>263.25</v>
      </c>
      <c r="GP56" vm="12696">
        <f ca="1"/>
        <v>268.01</v>
      </c>
      <c r="GQ56" vm="12697">
        <f ca="1"/>
        <v>264.60000000000002</v>
      </c>
      <c r="GR56" vm="12698">
        <f ca="1"/>
        <v>259.91000000000003</v>
      </c>
      <c r="GS56" vm="7712">
        <f ca="1"/>
        <v>264.77999999999997</v>
      </c>
      <c r="GT56" vm="12699">
        <f ca="1"/>
        <v>260.2</v>
      </c>
      <c r="GU56" vm="12700">
        <f ca="1"/>
        <v>262.73</v>
      </c>
      <c r="GV56" vm="12701">
        <f ca="1"/>
        <v>265.31</v>
      </c>
      <c r="GW56" vm="12702">
        <f ca="1"/>
        <v>264</v>
      </c>
      <c r="GX56" vm="12703">
        <f ca="1"/>
        <v>262.89999999999998</v>
      </c>
      <c r="GY56" vm="12704">
        <f ca="1"/>
        <v>257.08</v>
      </c>
      <c r="GZ56" vm="12705">
        <f ca="1"/>
        <v>242.45</v>
      </c>
      <c r="HA56" vm="12706">
        <f ca="1"/>
        <v>249.56</v>
      </c>
      <c r="HB56" vm="12707">
        <f ca="1"/>
        <v>248.81</v>
      </c>
      <c r="HC56" vm="12708">
        <f ca="1"/>
        <v>251.79</v>
      </c>
      <c r="HD56" vm="12709">
        <f ca="1"/>
        <v>249.64</v>
      </c>
      <c r="HE56" vm="12710">
        <f ca="1"/>
        <v>251.56</v>
      </c>
      <c r="HF56" vm="12711">
        <f ca="1"/>
        <v>256.83999999999997</v>
      </c>
      <c r="HG56" vm="12712">
        <f ca="1"/>
        <v>259.68</v>
      </c>
      <c r="HH56" vm="12713">
        <f ca="1"/>
        <v>265.36</v>
      </c>
      <c r="HI56" vm="9944">
        <f ca="1"/>
        <v>279.07</v>
      </c>
      <c r="HJ56" vm="12714">
        <f ca="1"/>
        <v>276.95</v>
      </c>
      <c r="HK56" vm="12715">
        <f ca="1"/>
        <v>277.22000000000003</v>
      </c>
      <c r="HL56" vm="12716">
        <f ca="1"/>
        <v>277.95999999999998</v>
      </c>
      <c r="HM56" vm="12717">
        <f ca="1"/>
        <v>286.29000000000002</v>
      </c>
      <c r="HN56" vm="12718">
        <f ca="1"/>
        <v>286.56</v>
      </c>
      <c r="HO56" vm="12719">
        <f ca="1"/>
        <v>283.69</v>
      </c>
      <c r="HP56" vm="12720">
        <f ca="1"/>
        <v>290</v>
      </c>
      <c r="HQ56" vm="12721">
        <f ca="1"/>
        <v>281.58</v>
      </c>
      <c r="HR56" vm="12722">
        <f ca="1"/>
        <v>283.49</v>
      </c>
      <c r="HS56" vm="12723">
        <f ca="1"/>
        <v>283.52999999999997</v>
      </c>
      <c r="HT56" vm="90">
        <f ca="1"/>
        <v>285.39</v>
      </c>
      <c r="HU56" vm="12724">
        <f ca="1"/>
        <v>289.68</v>
      </c>
      <c r="HV56" vm="12725">
        <f ca="1"/>
        <v>294.48</v>
      </c>
      <c r="HW56" vm="7154">
        <f ca="1"/>
        <v>284.3</v>
      </c>
      <c r="HX56" vm="12726">
        <f ca="1"/>
        <v>282.52999999999997</v>
      </c>
      <c r="HY56" vm="12727">
        <f ca="1"/>
        <v>287.3</v>
      </c>
      <c r="HZ56" vm="12728">
        <f ca="1"/>
        <v>281.52999999999997</v>
      </c>
      <c r="IA56" vm="12729">
        <f ca="1"/>
        <v>283.25</v>
      </c>
      <c r="IB56" vm="1336">
        <f ca="1"/>
        <v>282.57</v>
      </c>
      <c r="IC56" vm="1337">
        <f ca="1"/>
        <v>274.41000000000003</v>
      </c>
      <c r="ID56" vm="1338">
        <f ca="1"/>
        <v>281.05</v>
      </c>
      <c r="IE56" vm="1339">
        <f ca="1"/>
        <v>282.61</v>
      </c>
      <c r="IF56" vm="1340">
        <f ca="1"/>
        <v>285.06</v>
      </c>
      <c r="IG56" vm="1341">
        <f ca="1"/>
        <v>285.85000000000002</v>
      </c>
      <c r="IH56" vm="1342">
        <f ca="1"/>
        <v>289.61</v>
      </c>
      <c r="II56" vm="1343">
        <f ca="1"/>
        <v>293.01</v>
      </c>
      <c r="IJ56" vm="1344">
        <f ca="1"/>
        <v>292.14</v>
      </c>
      <c r="IK56" vm="1345">
        <f ca="1"/>
        <v>304.93</v>
      </c>
      <c r="IL56" vm="1346">
        <f ca="1"/>
        <v>307.33999999999997</v>
      </c>
      <c r="IM56" vm="1347">
        <f ca="1"/>
        <v>306.19</v>
      </c>
      <c r="IN56" vm="1348">
        <f ca="1"/>
        <v>302.01</v>
      </c>
      <c r="IO56" vm="1349">
        <f ca="1"/>
        <v>304.70999999999998</v>
      </c>
      <c r="IP56" vm="1350">
        <f ca="1"/>
        <v>308.13</v>
      </c>
      <c r="IQ56" vm="1351">
        <f ca="1"/>
        <v>308.66000000000003</v>
      </c>
      <c r="IR56" vm="1352">
        <f ca="1"/>
        <v>299.61</v>
      </c>
      <c r="IS56" vm="1353">
        <f ca="1"/>
        <v>296.70999999999998</v>
      </c>
      <c r="IT56" vm="1354">
        <f ca="1"/>
        <v>283.76</v>
      </c>
      <c r="IU56" vm="1355">
        <f ca="1"/>
        <v>286.82</v>
      </c>
      <c r="IV56" vm="1336">
        <f ca="1"/>
        <v>282.57</v>
      </c>
      <c r="IW56" vm="90">
        <f ca="1"/>
        <v>285.39</v>
      </c>
    </row>
    <row r="57" spans="1:257" ht="16" x14ac:dyDescent="0.2">
      <c r="A57" s="14" t="e" vm="1356">
        <v>#VALUE!</v>
      </c>
      <c r="B57" s="23" t="str" cm="1">
        <f t="array" aca="1" ref="B57" ca="1">_FV(A57,"ticker symbol",TRUE)</f>
        <v>IXC</v>
      </c>
      <c r="C57" s="23" t="str" cm="1">
        <f t="array" aca="1" ref="C57" ca="1">_FV(A57,"Name")</f>
        <v>iShares:Glbl Energy</v>
      </c>
      <c r="D57" cm="1" vm="12730">
        <f t="array" aca="1" ref="D57:IW57" ca="1">TRANSPOSE(_xlfn.STOCKHISTORY(B57, WORKDAY(TODAY(), -265), TODAY(), 0, 0, 1))</f>
        <v>39.17</v>
      </c>
      <c r="E57" s="23" vm="9160">
        <f ca="1"/>
        <v>38.049999999999997</v>
      </c>
      <c r="F57" s="23" vm="1575">
        <f ca="1"/>
        <v>37.1</v>
      </c>
      <c r="G57" s="23" vm="1570">
        <f ca="1"/>
        <v>36.950000000000003</v>
      </c>
      <c r="H57" s="23" vm="4667">
        <f ca="1"/>
        <v>37.21</v>
      </c>
      <c r="I57" s="23" vm="3312">
        <f ca="1"/>
        <v>37.44</v>
      </c>
      <c r="J57" s="23" vm="1041">
        <f ca="1"/>
        <v>37.65</v>
      </c>
      <c r="K57" s="23" vm="9169">
        <f ca="1"/>
        <v>37.619999999999997</v>
      </c>
      <c r="L57" s="23" vm="4686">
        <f ca="1"/>
        <v>37.69</v>
      </c>
      <c r="M57" s="23" vm="4686">
        <f ca="1"/>
        <v>37.69</v>
      </c>
      <c r="N57" s="23" vm="9115">
        <f ca="1"/>
        <v>38.18</v>
      </c>
      <c r="O57" s="23" vm="2616">
        <f ca="1"/>
        <v>38.58</v>
      </c>
      <c r="P57" s="23" vm="6906">
        <f ca="1"/>
        <v>38.92</v>
      </c>
      <c r="Q57" s="23" vm="12731">
        <f ca="1"/>
        <v>39.01</v>
      </c>
      <c r="R57" s="23" vm="9132">
        <f ca="1"/>
        <v>39.409999999999997</v>
      </c>
      <c r="S57" s="23" vm="12732">
        <f ca="1"/>
        <v>39.33</v>
      </c>
      <c r="T57" s="23" vm="12733">
        <f ca="1"/>
        <v>39.340000000000003</v>
      </c>
      <c r="U57" s="23" vm="12734">
        <f ca="1"/>
        <v>39.85</v>
      </c>
      <c r="V57" s="23" vm="12735">
        <f ca="1"/>
        <v>40.200000000000003</v>
      </c>
      <c r="W57" s="23" vm="9192">
        <f ca="1"/>
        <v>40.72</v>
      </c>
      <c r="X57" s="23" vm="1376">
        <f ca="1"/>
        <v>40.78</v>
      </c>
      <c r="Y57" s="23" vm="6934">
        <f ca="1"/>
        <v>41.12</v>
      </c>
      <c r="Z57" s="23" vm="557">
        <f ca="1"/>
        <v>41</v>
      </c>
      <c r="AA57" s="23" vm="12736">
        <f ca="1"/>
        <v>40.44</v>
      </c>
      <c r="AB57" s="23" vm="12737">
        <f ca="1"/>
        <v>40.619999999999997</v>
      </c>
      <c r="AC57" s="23" vm="12738">
        <f ca="1"/>
        <v>40.26</v>
      </c>
      <c r="AD57" vm="12739">
        <f ca="1"/>
        <v>39.99</v>
      </c>
      <c r="AE57" vm="12740">
        <f ca="1"/>
        <v>39.619999999999997</v>
      </c>
      <c r="AF57" vm="12741">
        <f ca="1"/>
        <v>39.65</v>
      </c>
      <c r="AG57" vm="4828">
        <f ca="1"/>
        <v>39.94</v>
      </c>
      <c r="AH57" vm="2629">
        <f ca="1"/>
        <v>39.090000000000003</v>
      </c>
      <c r="AI57" vm="12742">
        <f ca="1"/>
        <v>39.049999999999997</v>
      </c>
      <c r="AJ57" vm="9190">
        <f ca="1"/>
        <v>39.92</v>
      </c>
      <c r="AK57" vm="12743">
        <f ca="1"/>
        <v>40</v>
      </c>
      <c r="AL57" vm="12744">
        <f ca="1"/>
        <v>39.56</v>
      </c>
      <c r="AM57" vm="12745">
        <f ca="1"/>
        <v>39.57</v>
      </c>
      <c r="AN57" vm="12738">
        <f ca="1"/>
        <v>40.26</v>
      </c>
      <c r="AO57" vm="6923">
        <f ca="1"/>
        <v>40.630000000000003</v>
      </c>
      <c r="AP57" vm="12746">
        <f ca="1"/>
        <v>39.9</v>
      </c>
      <c r="AQ57" vm="9145">
        <f ca="1"/>
        <v>40.159999999999997</v>
      </c>
      <c r="AR57" vm="12747">
        <f ca="1"/>
        <v>40.25</v>
      </c>
      <c r="AS57" vm="6923">
        <f ca="1"/>
        <v>40.630000000000003</v>
      </c>
      <c r="AT57" vm="9192">
        <f ca="1"/>
        <v>40.72</v>
      </c>
      <c r="AU57" vm="555">
        <f ca="1"/>
        <v>41.09</v>
      </c>
      <c r="AV57" vm="19">
        <f ca="1"/>
        <v>40.33</v>
      </c>
      <c r="AW57" vm="12738">
        <f ca="1"/>
        <v>40.26</v>
      </c>
      <c r="AX57" vm="12734">
        <f ca="1"/>
        <v>39.85</v>
      </c>
      <c r="AY57" vm="12748">
        <f ca="1"/>
        <v>39.75</v>
      </c>
      <c r="AZ57" vm="12749">
        <f ca="1"/>
        <v>39.729999999999997</v>
      </c>
      <c r="BA57" vm="12750">
        <f ca="1"/>
        <v>40.14</v>
      </c>
      <c r="BB57" vm="12751">
        <f ca="1"/>
        <v>39.04</v>
      </c>
      <c r="BC57" vm="10687">
        <f ca="1"/>
        <v>38.67</v>
      </c>
      <c r="BD57" vm="12752">
        <f ca="1"/>
        <v>38.479999999999997</v>
      </c>
      <c r="BE57" vm="12753">
        <f ca="1"/>
        <v>38.5</v>
      </c>
      <c r="BF57" vm="9156">
        <f ca="1"/>
        <v>39.07</v>
      </c>
      <c r="BG57" vm="2618">
        <f ca="1"/>
        <v>39.35</v>
      </c>
      <c r="BH57" vm="12754">
        <f ca="1"/>
        <v>39.1</v>
      </c>
      <c r="BI57" vm="12755">
        <f ca="1"/>
        <v>39.29</v>
      </c>
      <c r="BJ57" vm="6870">
        <f ca="1"/>
        <v>39.18</v>
      </c>
      <c r="BK57" vm="6869">
        <f ca="1"/>
        <v>40.15</v>
      </c>
      <c r="BL57" vm="6857">
        <f ca="1"/>
        <v>40.76</v>
      </c>
      <c r="BM57" vm="6965">
        <f ca="1"/>
        <v>40.93</v>
      </c>
      <c r="BN57" vm="6879">
        <f ca="1"/>
        <v>41.45</v>
      </c>
      <c r="BO57" vm="308">
        <f ca="1"/>
        <v>41.62</v>
      </c>
      <c r="BP57" vm="6968">
        <f ca="1"/>
        <v>41.37</v>
      </c>
      <c r="BQ57" vm="6928">
        <f ca="1"/>
        <v>41.64</v>
      </c>
      <c r="BR57" vm="6917">
        <f ca="1"/>
        <v>41.93</v>
      </c>
      <c r="BS57" vm="12756">
        <f ca="1"/>
        <v>42.16</v>
      </c>
      <c r="BT57" vm="12757">
        <f ca="1"/>
        <v>41.99</v>
      </c>
      <c r="BU57" vm="6930">
        <f ca="1"/>
        <v>41.76</v>
      </c>
      <c r="BV57" vm="12758">
        <f ca="1"/>
        <v>42.07</v>
      </c>
      <c r="BW57" vm="1360">
        <f ca="1"/>
        <v>42.26</v>
      </c>
      <c r="BX57" vm="9197">
        <f ca="1"/>
        <v>42.32</v>
      </c>
      <c r="BY57" vm="12749">
        <f ca="1"/>
        <v>39.729999999999997</v>
      </c>
      <c r="BZ57" vm="1568">
        <f ca="1"/>
        <v>36.369999999999997</v>
      </c>
      <c r="CA57" vm="12759">
        <f ca="1"/>
        <v>35.68</v>
      </c>
      <c r="CB57" vm="12760">
        <f ca="1"/>
        <v>34.69</v>
      </c>
      <c r="CC57" vm="12761">
        <f ca="1"/>
        <v>37.14</v>
      </c>
      <c r="CD57" vm="12762">
        <f ca="1"/>
        <v>35.07</v>
      </c>
      <c r="CE57" vm="12763">
        <f ca="1"/>
        <v>35.99</v>
      </c>
      <c r="CF57" vm="12764">
        <f ca="1"/>
        <v>36.22</v>
      </c>
      <c r="CG57" vm="9183">
        <f ca="1"/>
        <v>36.200000000000003</v>
      </c>
      <c r="CH57" vm="9163">
        <f ca="1"/>
        <v>36.630000000000003</v>
      </c>
      <c r="CI57" vm="12765">
        <f ca="1"/>
        <v>37.369999999999997</v>
      </c>
      <c r="CJ57" vm="10667">
        <f ca="1"/>
        <v>36.65</v>
      </c>
      <c r="CK57" vm="3318">
        <f ca="1"/>
        <v>37.479999999999997</v>
      </c>
      <c r="CL57" vm="9108">
        <f ca="1"/>
        <v>37.299999999999997</v>
      </c>
      <c r="CM57" vm="9118">
        <f ca="1"/>
        <v>37.83</v>
      </c>
      <c r="CN57" vm="12766">
        <f ca="1"/>
        <v>37.93</v>
      </c>
      <c r="CO57" vm="4679">
        <f ca="1"/>
        <v>38.159999999999997</v>
      </c>
      <c r="CP57" vm="12767">
        <f ca="1"/>
        <v>37.880000000000003</v>
      </c>
      <c r="CQ57" vm="12768">
        <f ca="1"/>
        <v>37.11</v>
      </c>
      <c r="CR57" vm="1574">
        <f ca="1"/>
        <v>37.270000000000003</v>
      </c>
      <c r="CS57" vm="4670">
        <f ca="1"/>
        <v>37.81</v>
      </c>
      <c r="CT57" vm="1028">
        <f ca="1"/>
        <v>37.130000000000003</v>
      </c>
      <c r="CU57" vm="3310">
        <f ca="1"/>
        <v>37.22</v>
      </c>
      <c r="CV57" vm="12769">
        <f ca="1"/>
        <v>37.19</v>
      </c>
      <c r="CW57" vm="12770">
        <f ca="1"/>
        <v>37.54</v>
      </c>
      <c r="CX57" vm="4680">
        <f ca="1"/>
        <v>38.04</v>
      </c>
      <c r="CY57" vm="9134">
        <f ca="1"/>
        <v>38.64</v>
      </c>
      <c r="CZ57" vm="2630">
        <f ca="1"/>
        <v>39.19</v>
      </c>
      <c r="DA57" vm="9127">
        <f ca="1"/>
        <v>38.97</v>
      </c>
      <c r="DB57" vm="12751">
        <f ca="1"/>
        <v>39.04</v>
      </c>
      <c r="DC57" vm="12771">
        <f ca="1"/>
        <v>39.03</v>
      </c>
      <c r="DD57" vm="12772">
        <f ca="1"/>
        <v>38.68</v>
      </c>
      <c r="DE57" vm="12773">
        <f ca="1"/>
        <v>38.51</v>
      </c>
      <c r="DF57" vm="12774">
        <f ca="1"/>
        <v>38.07</v>
      </c>
      <c r="DG57" vm="12767">
        <f ca="1"/>
        <v>37.880000000000003</v>
      </c>
      <c r="DH57" vm="4681">
        <f ca="1"/>
        <v>38.090000000000003</v>
      </c>
      <c r="DI57" vm="12775">
        <f ca="1"/>
        <v>38.35</v>
      </c>
      <c r="DJ57" vm="12776">
        <f ca="1"/>
        <v>37.950000000000003</v>
      </c>
      <c r="DK57" vm="9165">
        <f ca="1"/>
        <v>38.15</v>
      </c>
      <c r="DL57" vm="12766">
        <f ca="1"/>
        <v>37.93</v>
      </c>
      <c r="DM57" vm="12753">
        <f ca="1"/>
        <v>38.5</v>
      </c>
      <c r="DN57" vm="12777">
        <f ca="1"/>
        <v>38.85</v>
      </c>
      <c r="DO57" vm="4682">
        <f ca="1"/>
        <v>38.24</v>
      </c>
      <c r="DP57" vm="4682">
        <f ca="1"/>
        <v>38.24</v>
      </c>
      <c r="DQ57" vm="12777">
        <f ca="1"/>
        <v>38.85</v>
      </c>
      <c r="DR57" vm="10691">
        <f ca="1"/>
        <v>38.9</v>
      </c>
      <c r="DS57" vm="2619">
        <f ca="1"/>
        <v>39.6</v>
      </c>
      <c r="DT57" vm="10026">
        <f ca="1"/>
        <v>40.17</v>
      </c>
      <c r="DU57" vm="12778">
        <f ca="1"/>
        <v>40.46</v>
      </c>
      <c r="DV57" vm="300">
        <f ca="1"/>
        <v>41.13</v>
      </c>
      <c r="DW57" vm="10023">
        <f ca="1"/>
        <v>40.24</v>
      </c>
      <c r="DX57" vm="4849">
        <f ca="1"/>
        <v>40.659999999999997</v>
      </c>
      <c r="DY57" vm="12779">
        <f ca="1"/>
        <v>40.340000000000003</v>
      </c>
      <c r="DZ57" vm="9146">
        <f ca="1"/>
        <v>40.61</v>
      </c>
      <c r="EA57" vm="12780">
        <f ca="1"/>
        <v>39.700000000000003</v>
      </c>
      <c r="EB57" vm="12781">
        <f ca="1"/>
        <v>39.119999999999997</v>
      </c>
      <c r="EC57" vm="12751">
        <f ca="1"/>
        <v>39.04</v>
      </c>
      <c r="ED57" vm="12745">
        <f ca="1"/>
        <v>39.57</v>
      </c>
      <c r="EE57" vm="9132">
        <f ca="1"/>
        <v>39.409999999999997</v>
      </c>
      <c r="EF57" vm="12755">
        <f ca="1"/>
        <v>39.29</v>
      </c>
      <c r="EG57" vm="12782">
        <f ca="1"/>
        <v>39.54</v>
      </c>
      <c r="EH57" vm="6869">
        <f ca="1"/>
        <v>40.15</v>
      </c>
      <c r="EI57" vm="6869">
        <f ca="1"/>
        <v>40.15</v>
      </c>
      <c r="EJ57" vm="12783">
        <f ca="1"/>
        <v>39.58</v>
      </c>
      <c r="EK57" vm="6860">
        <f ca="1"/>
        <v>40.54</v>
      </c>
      <c r="EL57" vm="12784">
        <f ca="1"/>
        <v>40.39</v>
      </c>
      <c r="EM57" vm="6924">
        <f ca="1"/>
        <v>40.64</v>
      </c>
      <c r="EN57" vm="551">
        <f ca="1"/>
        <v>40.9</v>
      </c>
      <c r="EO57" vm="6914">
        <f ca="1"/>
        <v>40.53</v>
      </c>
      <c r="EP57" vm="12785">
        <f ca="1"/>
        <v>40.04</v>
      </c>
      <c r="EQ57" vm="12786">
        <f ca="1"/>
        <v>39.869999999999997</v>
      </c>
      <c r="ER57" vm="12787">
        <f ca="1"/>
        <v>39.97</v>
      </c>
      <c r="ES57" vm="12788">
        <f ca="1"/>
        <v>39.69</v>
      </c>
      <c r="ET57" vm="12789">
        <f ca="1"/>
        <v>39.450000000000003</v>
      </c>
      <c r="EU57" vm="6907">
        <f ca="1"/>
        <v>39.78</v>
      </c>
      <c r="EV57" vm="6863">
        <f ca="1"/>
        <v>40.35</v>
      </c>
      <c r="EW57" vm="6911">
        <f ca="1"/>
        <v>40.42</v>
      </c>
      <c r="EX57" vm="12738">
        <f ca="1"/>
        <v>40.26</v>
      </c>
      <c r="EY57" vm="560">
        <f ca="1"/>
        <v>40.58</v>
      </c>
      <c r="EZ57" vm="557">
        <f ca="1"/>
        <v>41</v>
      </c>
      <c r="FA57" vm="12790">
        <f ca="1"/>
        <v>40.43</v>
      </c>
      <c r="FB57" vm="9193">
        <f ca="1"/>
        <v>40.22</v>
      </c>
      <c r="FC57" vm="12780">
        <f ca="1"/>
        <v>39.700000000000003</v>
      </c>
      <c r="FD57" vm="12780">
        <f ca="1"/>
        <v>39.700000000000003</v>
      </c>
      <c r="FE57" vm="12786">
        <f ca="1"/>
        <v>39.869999999999997</v>
      </c>
      <c r="FF57" vm="12791">
        <f ca="1"/>
        <v>39.74</v>
      </c>
      <c r="FG57" vm="12741">
        <f ca="1"/>
        <v>39.65</v>
      </c>
      <c r="FH57" vm="12748">
        <f ca="1"/>
        <v>39.75</v>
      </c>
      <c r="FI57" vm="12744">
        <f ca="1"/>
        <v>39.56</v>
      </c>
      <c r="FJ57" vm="6907">
        <f ca="1"/>
        <v>39.78</v>
      </c>
      <c r="FK57" vm="9154">
        <f ca="1"/>
        <v>40.090000000000003</v>
      </c>
      <c r="FL57" vm="12792">
        <f ca="1"/>
        <v>40.119999999999997</v>
      </c>
      <c r="FM57" vm="6869">
        <f ca="1"/>
        <v>40.15</v>
      </c>
      <c r="FN57" vm="12793">
        <f ca="1"/>
        <v>39.86</v>
      </c>
      <c r="FO57" vm="12734">
        <f ca="1"/>
        <v>39.85</v>
      </c>
      <c r="FP57" vm="12794">
        <f ca="1"/>
        <v>40.18</v>
      </c>
      <c r="FQ57" vm="12790">
        <f ca="1"/>
        <v>40.43</v>
      </c>
      <c r="FR57" vm="9195">
        <f ca="1"/>
        <v>41.2</v>
      </c>
      <c r="FS57" vm="12795">
        <f ca="1"/>
        <v>41.18</v>
      </c>
      <c r="FT57" vm="6873">
        <f ca="1"/>
        <v>41.08</v>
      </c>
      <c r="FU57" vm="9198">
        <f ca="1"/>
        <v>41.5</v>
      </c>
      <c r="FV57" vm="12796">
        <f ca="1"/>
        <v>41.81</v>
      </c>
      <c r="FW57" vm="6885">
        <f ca="1"/>
        <v>41.97</v>
      </c>
      <c r="FX57" vm="6885">
        <f ca="1"/>
        <v>41.97</v>
      </c>
      <c r="FY57" vm="12797">
        <f ca="1"/>
        <v>41.19</v>
      </c>
      <c r="FZ57" vm="6882">
        <f ca="1"/>
        <v>41.35</v>
      </c>
      <c r="GA57" vm="4849">
        <f ca="1"/>
        <v>40.659999999999997</v>
      </c>
      <c r="GB57" vm="565">
        <f ca="1"/>
        <v>40.729999999999997</v>
      </c>
      <c r="GC57" vm="2715">
        <f ca="1"/>
        <v>40.89</v>
      </c>
      <c r="GD57" vm="9198">
        <f ca="1"/>
        <v>41.5</v>
      </c>
      <c r="GE57" vm="301">
        <f ca="1"/>
        <v>41.47</v>
      </c>
      <c r="GF57" vm="6943">
        <f ca="1"/>
        <v>41.25</v>
      </c>
      <c r="GG57" vm="6881">
        <f ca="1"/>
        <v>41.42</v>
      </c>
      <c r="GH57" vm="6899">
        <f ca="1"/>
        <v>41.88</v>
      </c>
      <c r="GI57" vm="12798">
        <f ca="1"/>
        <v>41.87</v>
      </c>
      <c r="GJ57" vm="10025">
        <f ca="1"/>
        <v>41.71</v>
      </c>
      <c r="GK57" vm="12799">
        <f ca="1"/>
        <v>41.22</v>
      </c>
      <c r="GL57" vm="6916">
        <f ca="1"/>
        <v>41.3</v>
      </c>
      <c r="GM57" vm="6956">
        <f ca="1"/>
        <v>41.91</v>
      </c>
      <c r="GN57" vm="6952">
        <f ca="1"/>
        <v>42.31</v>
      </c>
      <c r="GO57" vm="12800">
        <f ca="1"/>
        <v>42.57</v>
      </c>
      <c r="GP57" vm="1369">
        <f ca="1"/>
        <v>42.95</v>
      </c>
      <c r="GQ57" vm="6951">
        <f ca="1"/>
        <v>42.19</v>
      </c>
      <c r="GR57" vm="12801">
        <f ca="1"/>
        <v>41.75</v>
      </c>
      <c r="GS57" vm="6933">
        <f ca="1"/>
        <v>41.84</v>
      </c>
      <c r="GT57" vm="12802">
        <f ca="1"/>
        <v>41.44</v>
      </c>
      <c r="GU57" vm="12796">
        <f ca="1"/>
        <v>41.81</v>
      </c>
      <c r="GV57" vm="2723">
        <f ca="1"/>
        <v>42.03</v>
      </c>
      <c r="GW57" vm="12758">
        <f ca="1"/>
        <v>42.07</v>
      </c>
      <c r="GX57" vm="12796">
        <f ca="1"/>
        <v>41.81</v>
      </c>
      <c r="GY57" vm="6946">
        <f ca="1"/>
        <v>41.33</v>
      </c>
      <c r="GZ57" vm="12747">
        <f ca="1"/>
        <v>40.25</v>
      </c>
      <c r="HA57" vm="9191">
        <f ca="1"/>
        <v>40.71</v>
      </c>
      <c r="HB57" vm="12737">
        <f ca="1"/>
        <v>40.619999999999997</v>
      </c>
      <c r="HC57" vm="6923">
        <f ca="1"/>
        <v>40.630000000000003</v>
      </c>
      <c r="HD57" vm="12803">
        <f ca="1"/>
        <v>40.229999999999997</v>
      </c>
      <c r="HE57" vm="6914">
        <f ca="1"/>
        <v>40.53</v>
      </c>
      <c r="HF57" vm="561">
        <f ca="1"/>
        <v>40.799999999999997</v>
      </c>
      <c r="HG57" vm="6864">
        <f ca="1"/>
        <v>40.67</v>
      </c>
      <c r="HH57" vm="6946">
        <f ca="1"/>
        <v>41.33</v>
      </c>
      <c r="HI57" vm="81">
        <f ca="1"/>
        <v>41.94</v>
      </c>
      <c r="HJ57" vm="9196">
        <f ca="1"/>
        <v>41.6</v>
      </c>
      <c r="HK57" vm="6929">
        <f ca="1"/>
        <v>41.77</v>
      </c>
      <c r="HL57" vm="6940">
        <f ca="1"/>
        <v>41.57</v>
      </c>
      <c r="HM57" vm="6937">
        <f ca="1"/>
        <v>41.8</v>
      </c>
      <c r="HN57" vm="6877">
        <f ca="1"/>
        <v>41.55</v>
      </c>
      <c r="HO57" vm="10025">
        <f ca="1"/>
        <v>41.71</v>
      </c>
      <c r="HP57" vm="6928">
        <f ca="1"/>
        <v>41.64</v>
      </c>
      <c r="HQ57" vm="12804">
        <f ca="1"/>
        <v>41.28</v>
      </c>
      <c r="HR57" vm="6879">
        <f ca="1"/>
        <v>41.45</v>
      </c>
      <c r="HS57" vm="6935">
        <f ca="1"/>
        <v>41.7</v>
      </c>
      <c r="HT57" vm="12805">
        <f ca="1"/>
        <v>42.44</v>
      </c>
      <c r="HU57" vm="6893">
        <f ca="1"/>
        <v>42.85</v>
      </c>
      <c r="HV57" vm="12806">
        <f ca="1"/>
        <v>43.4</v>
      </c>
      <c r="HW57" vm="12807">
        <f ca="1"/>
        <v>42.96</v>
      </c>
      <c r="HX57" vm="12807">
        <f ca="1"/>
        <v>42.96</v>
      </c>
      <c r="HY57" vm="12052">
        <f ca="1"/>
        <v>43.56</v>
      </c>
      <c r="HZ57" vm="2683">
        <f ca="1"/>
        <v>43.01</v>
      </c>
      <c r="IA57" vm="12808">
        <f ca="1"/>
        <v>43.21</v>
      </c>
      <c r="IB57" vm="1357">
        <f ca="1"/>
        <v>42.74</v>
      </c>
      <c r="IC57" vm="1358">
        <f ca="1"/>
        <v>42.36</v>
      </c>
      <c r="ID57" vm="1359">
        <f ca="1"/>
        <v>42.45</v>
      </c>
      <c r="IE57" vm="1360">
        <f ca="1"/>
        <v>42.26</v>
      </c>
      <c r="IF57" vm="1361">
        <f ca="1"/>
        <v>42.15</v>
      </c>
      <c r="IG57" vm="1362">
        <f ca="1"/>
        <v>42.5</v>
      </c>
      <c r="IH57" vm="1363">
        <f ca="1"/>
        <v>42.93</v>
      </c>
      <c r="II57" vm="1364">
        <f ca="1"/>
        <v>43.19</v>
      </c>
      <c r="IJ57" vm="1365">
        <f ca="1"/>
        <v>42.79</v>
      </c>
      <c r="IK57" vm="1366">
        <f ca="1"/>
        <v>43.51</v>
      </c>
      <c r="IL57" vm="1367">
        <f ca="1"/>
        <v>43.62</v>
      </c>
      <c r="IM57" vm="1368">
        <f ca="1"/>
        <v>43.23</v>
      </c>
      <c r="IN57" vm="1369">
        <f ca="1"/>
        <v>42.95</v>
      </c>
      <c r="IO57" vm="1370">
        <f ca="1"/>
        <v>43.02</v>
      </c>
      <c r="IP57" vm="1371">
        <f ca="1"/>
        <v>43.37</v>
      </c>
      <c r="IQ57" vm="1372">
        <f ca="1"/>
        <v>43.25</v>
      </c>
      <c r="IR57" vm="1373">
        <f ca="1"/>
        <v>42.89</v>
      </c>
      <c r="IS57" vm="1374">
        <f ca="1"/>
        <v>42.69</v>
      </c>
      <c r="IT57" vm="560">
        <f ca="1"/>
        <v>40.58</v>
      </c>
      <c r="IU57" vm="1375">
        <f ca="1"/>
        <v>41.26</v>
      </c>
      <c r="IV57" vm="1376">
        <f ca="1"/>
        <v>40.78</v>
      </c>
      <c r="IW57" vm="92">
        <f ca="1"/>
        <v>40.97</v>
      </c>
    </row>
    <row r="58" spans="1:257" ht="16" x14ac:dyDescent="0.2">
      <c r="A58" s="1" t="e" vm="1377">
        <v>#VALUE!</v>
      </c>
      <c r="B58" s="23" t="str" cm="1">
        <f t="array" aca="1" ref="B58" ca="1">_FV(A58,"ticker symbol",TRUE)</f>
        <v>IBB</v>
      </c>
      <c r="C58" s="23" t="str" cm="1">
        <f t="array" aca="1" ref="C58" ca="1">_FV(A58,"Name")</f>
        <v>iShares:Biotechnology</v>
      </c>
      <c r="D58" cm="1" vm="12809">
        <f t="array" aca="1" ref="D58:IW58" ca="1">TRANSPOSE(_xlfn.STOCKHISTORY(B58, WORKDAY(TODAY(), -265), TODAY(), 0, 0, 1))</f>
        <v>137.25</v>
      </c>
      <c r="E58" s="23" vm="12810">
        <f ca="1"/>
        <v>137.66</v>
      </c>
      <c r="F58" s="23" vm="12811">
        <f ca="1"/>
        <v>132.32</v>
      </c>
      <c r="G58" s="23" vm="12812">
        <f ca="1"/>
        <v>131.21</v>
      </c>
      <c r="H58" s="23" vm="12813">
        <f ca="1"/>
        <v>132.72999999999999</v>
      </c>
      <c r="I58" s="23" vm="12814">
        <f ca="1"/>
        <v>133.61000000000001</v>
      </c>
      <c r="J58" s="23" vm="12815">
        <f ca="1"/>
        <v>133.94999999999999</v>
      </c>
      <c r="K58" s="23" vm="12816">
        <f ca="1"/>
        <v>134.66999999999999</v>
      </c>
      <c r="L58" s="23" vm="12817">
        <f ca="1"/>
        <v>133.52000000000001</v>
      </c>
      <c r="M58" s="23" vm="12818">
        <f ca="1"/>
        <v>131.66999999999999</v>
      </c>
      <c r="N58" s="23" vm="6630">
        <f ca="1"/>
        <v>132.21</v>
      </c>
      <c r="O58" s="23" vm="12819">
        <f ca="1"/>
        <v>132.91</v>
      </c>
      <c r="P58" s="23" vm="6462">
        <f ca="1"/>
        <v>134.15</v>
      </c>
      <c r="Q58" s="23" vm="6607">
        <f ca="1"/>
        <v>134.29</v>
      </c>
      <c r="R58" s="23" vm="12820">
        <f ca="1"/>
        <v>135.47</v>
      </c>
      <c r="S58" s="23" vm="12361">
        <f ca="1"/>
        <v>134.83000000000001</v>
      </c>
      <c r="T58" s="23" vm="12813">
        <f ca="1"/>
        <v>132.72999999999999</v>
      </c>
      <c r="U58" s="23" vm="1299">
        <f ca="1"/>
        <v>134.02000000000001</v>
      </c>
      <c r="V58" s="23" vm="12821">
        <f ca="1"/>
        <v>131.57</v>
      </c>
      <c r="W58" s="23" vm="12402">
        <f ca="1"/>
        <v>133.41999999999999</v>
      </c>
      <c r="X58" s="23" vm="6605">
        <f ca="1"/>
        <v>132.96</v>
      </c>
      <c r="Y58" s="23" vm="12822">
        <f ca="1"/>
        <v>132.65</v>
      </c>
      <c r="Z58" s="23" vm="12823">
        <f ca="1"/>
        <v>136.1</v>
      </c>
      <c r="AA58" s="23" vm="6429">
        <f ca="1"/>
        <v>136.29</v>
      </c>
      <c r="AB58" s="23" vm="12824">
        <f ca="1"/>
        <v>138.25</v>
      </c>
      <c r="AC58" s="23" vm="12825">
        <f ca="1"/>
        <v>137.30000000000001</v>
      </c>
      <c r="AD58" vm="12826">
        <f ca="1"/>
        <v>138.37</v>
      </c>
      <c r="AE58" vm="12827">
        <f ca="1"/>
        <v>138.16</v>
      </c>
      <c r="AF58" vm="12828">
        <f ca="1"/>
        <v>137.49</v>
      </c>
      <c r="AG58" vm="12829">
        <f ca="1"/>
        <v>138.87</v>
      </c>
      <c r="AH58" vm="12830">
        <f ca="1"/>
        <v>138.66</v>
      </c>
      <c r="AI58" vm="6512">
        <f ca="1"/>
        <v>137.85</v>
      </c>
      <c r="AJ58" vm="12831">
        <f ca="1"/>
        <v>138.81</v>
      </c>
      <c r="AK58" vm="12832">
        <f ca="1"/>
        <v>142.33000000000001</v>
      </c>
      <c r="AL58" vm="12833">
        <f ca="1"/>
        <v>140.56</v>
      </c>
      <c r="AM58" vm="12282">
        <f ca="1"/>
        <v>137.66999999999999</v>
      </c>
      <c r="AN58" vm="12834">
        <f ca="1"/>
        <v>136.15</v>
      </c>
      <c r="AO58" vm="12835">
        <f ca="1"/>
        <v>134.24</v>
      </c>
      <c r="AP58" vm="12820">
        <f ca="1"/>
        <v>135.47</v>
      </c>
      <c r="AQ58" vm="6502">
        <f ca="1"/>
        <v>137.04</v>
      </c>
      <c r="AR58" vm="12836">
        <f ca="1"/>
        <v>136.55000000000001</v>
      </c>
      <c r="AS58" vm="12837">
        <f ca="1"/>
        <v>137.11000000000001</v>
      </c>
      <c r="AT58" vm="12838">
        <f ca="1"/>
        <v>138.74</v>
      </c>
      <c r="AU58" vm="12839">
        <f ca="1"/>
        <v>139.43</v>
      </c>
      <c r="AV58" vm="12840">
        <f ca="1"/>
        <v>138.91</v>
      </c>
      <c r="AW58" vm="12838">
        <f ca="1"/>
        <v>138.74</v>
      </c>
      <c r="AX58" vm="6590">
        <f ca="1"/>
        <v>137.86000000000001</v>
      </c>
      <c r="AY58" vm="6502">
        <f ca="1"/>
        <v>137.04</v>
      </c>
      <c r="AZ58" vm="12841">
        <f ca="1"/>
        <v>135.47999999999999</v>
      </c>
      <c r="BA58" vm="12842">
        <f ca="1"/>
        <v>137.03</v>
      </c>
      <c r="BB58" vm="12835">
        <f ca="1"/>
        <v>134.24</v>
      </c>
      <c r="BC58" vm="6476">
        <f ca="1"/>
        <v>134.36000000000001</v>
      </c>
      <c r="BD58" vm="12843">
        <f ca="1"/>
        <v>136.79</v>
      </c>
      <c r="BE58" vm="6498">
        <f ca="1"/>
        <v>136.21</v>
      </c>
      <c r="BF58" vm="12844">
        <f ca="1"/>
        <v>136.94999999999999</v>
      </c>
      <c r="BG58" vm="12845">
        <f ca="1"/>
        <v>135.84</v>
      </c>
      <c r="BH58" vm="12846">
        <f ca="1"/>
        <v>133.99</v>
      </c>
      <c r="BI58" vm="6481">
        <f ca="1"/>
        <v>134.25</v>
      </c>
      <c r="BJ58" vm="12847">
        <f ca="1"/>
        <v>133.13999999999999</v>
      </c>
      <c r="BK58" vm="6488">
        <f ca="1"/>
        <v>134.19</v>
      </c>
      <c r="BL58" vm="12823">
        <f ca="1"/>
        <v>136.1</v>
      </c>
      <c r="BM58" vm="12848">
        <f ca="1"/>
        <v>134.09</v>
      </c>
      <c r="BN58" vm="12395">
        <f ca="1"/>
        <v>134.57</v>
      </c>
      <c r="BO58" vm="12849">
        <f ca="1"/>
        <v>132.74</v>
      </c>
      <c r="BP58" vm="12850">
        <f ca="1"/>
        <v>133.58000000000001</v>
      </c>
      <c r="BQ58" vm="12303">
        <f ca="1"/>
        <v>135.31</v>
      </c>
      <c r="BR58" vm="12851">
        <f ca="1"/>
        <v>132.97</v>
      </c>
      <c r="BS58" vm="8391">
        <f ca="1"/>
        <v>131.13999999999999</v>
      </c>
      <c r="BT58" vm="6450">
        <f ca="1"/>
        <v>131.58000000000001</v>
      </c>
      <c r="BU58" vm="6495">
        <f ca="1"/>
        <v>130.29</v>
      </c>
      <c r="BV58" vm="1311">
        <f ca="1"/>
        <v>127.9</v>
      </c>
      <c r="BW58" vm="12312">
        <f ca="1"/>
        <v>124.44</v>
      </c>
      <c r="BX58" vm="2305">
        <f ca="1"/>
        <v>126.79</v>
      </c>
      <c r="BY58" vm="12852">
        <f ca="1"/>
        <v>123.79</v>
      </c>
      <c r="BZ58" vm="5686">
        <f ca="1"/>
        <v>117.16</v>
      </c>
      <c r="CA58" vm="12853">
        <f ca="1"/>
        <v>116.21</v>
      </c>
      <c r="CB58" vm="12854">
        <f ca="1"/>
        <v>112.02</v>
      </c>
      <c r="CC58" vm="12855">
        <f ca="1"/>
        <v>118.63</v>
      </c>
      <c r="CD58" vm="10959">
        <f ca="1"/>
        <v>113.14</v>
      </c>
      <c r="CE58" vm="12856">
        <f ca="1"/>
        <v>116.96</v>
      </c>
      <c r="CF58" vm="12857">
        <f ca="1"/>
        <v>120.3</v>
      </c>
      <c r="CG58" vm="1406">
        <f ca="1"/>
        <v>119.85</v>
      </c>
      <c r="CH58" vm="8019">
        <f ca="1"/>
        <v>117.79</v>
      </c>
      <c r="CI58" vm="12858">
        <f ca="1"/>
        <v>118.29</v>
      </c>
      <c r="CJ58" vm="12859">
        <f ca="1"/>
        <v>117.24</v>
      </c>
      <c r="CK58" vm="12860">
        <f ca="1"/>
        <v>120.43</v>
      </c>
      <c r="CL58" vm="12861">
        <f ca="1"/>
        <v>122</v>
      </c>
      <c r="CM58" vm="12862">
        <f ca="1"/>
        <v>124.2</v>
      </c>
      <c r="CN58" vm="12863">
        <f ca="1"/>
        <v>123.22</v>
      </c>
      <c r="CO58" vm="6621">
        <f ca="1"/>
        <v>124.62</v>
      </c>
      <c r="CP58" vm="12864">
        <f ca="1"/>
        <v>124.75</v>
      </c>
      <c r="CQ58" vm="12865">
        <f ca="1"/>
        <v>126.58</v>
      </c>
      <c r="CR58" vm="1290">
        <f ca="1"/>
        <v>124.88</v>
      </c>
      <c r="CS58" vm="12144">
        <f ca="1"/>
        <v>126.6</v>
      </c>
      <c r="CT58" vm="12245">
        <f ca="1"/>
        <v>125.86</v>
      </c>
      <c r="CU58" vm="8351">
        <f ca="1"/>
        <v>118.6</v>
      </c>
      <c r="CV58" vm="12866">
        <f ca="1"/>
        <v>119.4</v>
      </c>
      <c r="CW58" vm="12867">
        <f ca="1"/>
        <v>119.18</v>
      </c>
      <c r="CX58" vm="12868">
        <f ca="1"/>
        <v>116.63</v>
      </c>
      <c r="CY58" vm="1413">
        <f ca="1"/>
        <v>122.05</v>
      </c>
      <c r="CZ58" vm="12869">
        <f ca="1"/>
        <v>119.53</v>
      </c>
      <c r="DA58" vm="12870">
        <f ca="1"/>
        <v>116.92</v>
      </c>
      <c r="DB58" vm="3226">
        <f ca="1"/>
        <v>119.24</v>
      </c>
      <c r="DC58" vm="12871">
        <f ca="1"/>
        <v>121.16</v>
      </c>
      <c r="DD58" vm="12872">
        <f ca="1"/>
        <v>122.51</v>
      </c>
      <c r="DE58" vm="12873">
        <f ca="1"/>
        <v>124.67</v>
      </c>
      <c r="DF58" vm="12874">
        <f ca="1"/>
        <v>121.69</v>
      </c>
      <c r="DG58" vm="12875">
        <f ca="1"/>
        <v>121.42</v>
      </c>
      <c r="DH58" vm="12876">
        <f ca="1"/>
        <v>121.25</v>
      </c>
      <c r="DI58" vm="1404">
        <f ca="1"/>
        <v>122.85</v>
      </c>
      <c r="DJ58" vm="12205">
        <f ca="1"/>
        <v>121.91</v>
      </c>
      <c r="DK58" vm="12877">
        <f ca="1"/>
        <v>124.24</v>
      </c>
      <c r="DL58" vm="12878">
        <f ca="1"/>
        <v>121.72</v>
      </c>
      <c r="DM58" vm="12385">
        <f ca="1"/>
        <v>123.71</v>
      </c>
      <c r="DN58" vm="12259">
        <f ca="1"/>
        <v>124.83</v>
      </c>
      <c r="DO58" vm="12879">
        <f ca="1"/>
        <v>125.12</v>
      </c>
      <c r="DP58" vm="1274">
        <f ca="1"/>
        <v>125.06</v>
      </c>
      <c r="DQ58" vm="12880">
        <f ca="1"/>
        <v>126.96</v>
      </c>
      <c r="DR58" vm="12881">
        <f ca="1"/>
        <v>127.59</v>
      </c>
      <c r="DS58" vm="12378">
        <f ca="1"/>
        <v>128.79</v>
      </c>
      <c r="DT58" vm="12882">
        <f ca="1"/>
        <v>127.86</v>
      </c>
      <c r="DU58" vm="12266">
        <f ca="1"/>
        <v>129</v>
      </c>
      <c r="DV58" vm="12883">
        <f ca="1"/>
        <v>128</v>
      </c>
      <c r="DW58" vm="738">
        <f ca="1"/>
        <v>127.85</v>
      </c>
      <c r="DX58" vm="12884">
        <f ca="1"/>
        <v>125.32</v>
      </c>
      <c r="DY58" vm="12885">
        <f ca="1"/>
        <v>125.77</v>
      </c>
      <c r="DZ58" vm="12886">
        <f ca="1"/>
        <v>125.51</v>
      </c>
      <c r="EA58" vm="12887">
        <f ca="1"/>
        <v>124.94</v>
      </c>
      <c r="EB58" vm="12888">
        <f ca="1"/>
        <v>127.41</v>
      </c>
      <c r="EC58" vm="12889">
        <f ca="1"/>
        <v>126.69</v>
      </c>
      <c r="ED58" vm="12890">
        <f ca="1"/>
        <v>127.01</v>
      </c>
      <c r="EE58" vm="1728">
        <f ca="1"/>
        <v>126.47</v>
      </c>
      <c r="EF58" vm="12891">
        <f ca="1"/>
        <v>126.51</v>
      </c>
      <c r="EG58" vm="12892">
        <f ca="1"/>
        <v>127.63</v>
      </c>
      <c r="EH58" vm="2306">
        <f ca="1"/>
        <v>129.55000000000001</v>
      </c>
      <c r="EI58" vm="1730">
        <f ca="1"/>
        <v>130</v>
      </c>
      <c r="EJ58" vm="12893">
        <f ca="1"/>
        <v>128.12</v>
      </c>
      <c r="EK58" vm="12359">
        <f ca="1"/>
        <v>129.33000000000001</v>
      </c>
      <c r="EL58" vm="12371">
        <f ca="1"/>
        <v>132.29</v>
      </c>
      <c r="EM58" vm="12894">
        <f ca="1"/>
        <v>133.65</v>
      </c>
      <c r="EN58" vm="12895">
        <f ca="1"/>
        <v>131.59</v>
      </c>
      <c r="EO58" vm="12896">
        <f ca="1"/>
        <v>131.88999999999999</v>
      </c>
      <c r="EP58" vm="12897">
        <f ca="1"/>
        <v>129.05000000000001</v>
      </c>
      <c r="EQ58" vm="12898">
        <f ca="1"/>
        <v>131.18</v>
      </c>
      <c r="ER58" vm="12899">
        <f ca="1"/>
        <v>131.74</v>
      </c>
      <c r="ES58" vm="12900">
        <f ca="1"/>
        <v>129.72999999999999</v>
      </c>
      <c r="ET58" vm="12901">
        <f ca="1"/>
        <v>129.13</v>
      </c>
      <c r="EU58" vm="12902">
        <f ca="1"/>
        <v>132.84</v>
      </c>
      <c r="EV58" vm="12903">
        <f ca="1"/>
        <v>135.41</v>
      </c>
      <c r="EW58" vm="12904">
        <f ca="1"/>
        <v>135.43</v>
      </c>
      <c r="EX58" vm="6475">
        <f ca="1"/>
        <v>135.5</v>
      </c>
      <c r="EY58" vm="12905">
        <f ca="1"/>
        <v>134.11000000000001</v>
      </c>
      <c r="EZ58" vm="8395">
        <f ca="1"/>
        <v>133.86000000000001</v>
      </c>
      <c r="FA58" vm="12906">
        <f ca="1"/>
        <v>133.69999999999999</v>
      </c>
      <c r="FB58" vm="12122">
        <f ca="1"/>
        <v>132.76</v>
      </c>
      <c r="FC58" vm="12907">
        <f ca="1"/>
        <v>133.04</v>
      </c>
      <c r="FD58" vm="12908">
        <f ca="1"/>
        <v>135.37</v>
      </c>
      <c r="FE58" vm="12909">
        <f ca="1"/>
        <v>133.41</v>
      </c>
      <c r="FF58" vm="12910">
        <f ca="1"/>
        <v>131.49</v>
      </c>
      <c r="FG58" vm="12911">
        <f ca="1"/>
        <v>131.22999999999999</v>
      </c>
      <c r="FH58" vm="12912">
        <f ca="1"/>
        <v>132.04</v>
      </c>
      <c r="FI58" vm="12899">
        <f ca="1"/>
        <v>131.74</v>
      </c>
      <c r="FJ58" vm="12913">
        <f ca="1"/>
        <v>134</v>
      </c>
      <c r="FK58" vm="5152">
        <f ca="1"/>
        <v>137.1</v>
      </c>
      <c r="FL58" vm="12914">
        <f ca="1"/>
        <v>137.27000000000001</v>
      </c>
      <c r="FM58" vm="6424">
        <f ca="1"/>
        <v>138.76</v>
      </c>
      <c r="FN58" vm="12915">
        <f ca="1"/>
        <v>138.38</v>
      </c>
      <c r="FO58" vm="6587">
        <f ca="1"/>
        <v>137.88999999999999</v>
      </c>
      <c r="FP58" vm="12916">
        <f ca="1"/>
        <v>138.41999999999999</v>
      </c>
      <c r="FQ58" vm="6424">
        <f ca="1"/>
        <v>138.76</v>
      </c>
      <c r="FR58" vm="12917">
        <f ca="1"/>
        <v>139.84</v>
      </c>
      <c r="FS58" vm="12918">
        <f ca="1"/>
        <v>137.07</v>
      </c>
      <c r="FT58" vm="12919">
        <f ca="1"/>
        <v>138.47</v>
      </c>
      <c r="FU58" vm="6513">
        <f ca="1"/>
        <v>138.59</v>
      </c>
      <c r="FV58" vm="12920">
        <f ca="1"/>
        <v>138.21</v>
      </c>
      <c r="FW58" vm="12921">
        <f ca="1"/>
        <v>138.22</v>
      </c>
      <c r="FX58" vm="12922">
        <f ca="1"/>
        <v>140.41</v>
      </c>
      <c r="FY58" vm="12923">
        <f ca="1"/>
        <v>140.36000000000001</v>
      </c>
      <c r="FZ58" vm="9413">
        <f ca="1"/>
        <v>140.35</v>
      </c>
      <c r="GA58" vm="12924">
        <f ca="1"/>
        <v>143.12</v>
      </c>
      <c r="GB58" vm="6658">
        <f ca="1"/>
        <v>142.21</v>
      </c>
      <c r="GC58" vm="12925">
        <f ca="1"/>
        <v>142.94</v>
      </c>
      <c r="GD58" vm="12926">
        <f ca="1"/>
        <v>140.65</v>
      </c>
      <c r="GE58" vm="12927">
        <f ca="1"/>
        <v>143.80000000000001</v>
      </c>
      <c r="GF58" vm="12928">
        <f ca="1"/>
        <v>140.97999999999999</v>
      </c>
      <c r="GG58" vm="12929">
        <f ca="1"/>
        <v>140.72</v>
      </c>
      <c r="GH58" vm="12930">
        <f ca="1"/>
        <v>140.94</v>
      </c>
      <c r="GI58" vm="12931">
        <f ca="1"/>
        <v>141</v>
      </c>
      <c r="GJ58" vm="6656">
        <f ca="1"/>
        <v>143.63</v>
      </c>
      <c r="GK58" vm="12932">
        <f ca="1"/>
        <v>142.72</v>
      </c>
      <c r="GL58" vm="12933">
        <f ca="1"/>
        <v>143.41</v>
      </c>
      <c r="GM58" vm="12934">
        <f ca="1"/>
        <v>142.49</v>
      </c>
      <c r="GN58" vm="12935">
        <f ca="1"/>
        <v>141.63999999999999</v>
      </c>
      <c r="GO58" vm="9448">
        <f ca="1"/>
        <v>139.07</v>
      </c>
      <c r="GP58" vm="9415">
        <f ca="1"/>
        <v>140.96</v>
      </c>
      <c r="GQ58" vm="12936">
        <f ca="1"/>
        <v>142.41</v>
      </c>
      <c r="GR58" vm="12937">
        <f ca="1"/>
        <v>144.37</v>
      </c>
      <c r="GS58" vm="12938">
        <f ca="1"/>
        <v>148.51</v>
      </c>
      <c r="GT58" vm="12939">
        <f ca="1"/>
        <v>149.62</v>
      </c>
      <c r="GU58" vm="12940">
        <f ca="1"/>
        <v>151</v>
      </c>
      <c r="GV58" vm="6732">
        <f ca="1"/>
        <v>150.52000000000001</v>
      </c>
      <c r="GW58" vm="9502">
        <f ca="1"/>
        <v>150.47999999999999</v>
      </c>
      <c r="GX58" vm="12941">
        <f ca="1"/>
        <v>151.99</v>
      </c>
      <c r="GY58" vm="9427">
        <f ca="1"/>
        <v>152.05000000000001</v>
      </c>
      <c r="GZ58" vm="12942">
        <f ca="1"/>
        <v>149.94999999999999</v>
      </c>
      <c r="HA58" vm="12943">
        <f ca="1"/>
        <v>150.94</v>
      </c>
      <c r="HB58" vm="5138">
        <f ca="1"/>
        <v>151.32</v>
      </c>
      <c r="HC58" vm="12944">
        <f ca="1"/>
        <v>153.38999999999999</v>
      </c>
      <c r="HD58" vm="6694">
        <f ca="1"/>
        <v>153.41999999999999</v>
      </c>
      <c r="HE58" vm="12945">
        <f ca="1"/>
        <v>154.19</v>
      </c>
      <c r="HF58" vm="12946">
        <f ca="1"/>
        <v>156.49</v>
      </c>
      <c r="HG58" vm="12947">
        <f ca="1"/>
        <v>156.03</v>
      </c>
      <c r="HH58" vm="12948">
        <f ca="1"/>
        <v>153.91999999999999</v>
      </c>
      <c r="HI58" vm="521">
        <f ca="1"/>
        <v>154.58000000000001</v>
      </c>
      <c r="HJ58" vm="12949">
        <f ca="1"/>
        <v>155.16</v>
      </c>
      <c r="HK58" vm="12950">
        <f ca="1"/>
        <v>157.11000000000001</v>
      </c>
      <c r="HL58" vm="12951">
        <f ca="1"/>
        <v>157.66</v>
      </c>
      <c r="HM58" vm="12952">
        <f ca="1"/>
        <v>156.97</v>
      </c>
      <c r="HN58" vm="12953">
        <f ca="1"/>
        <v>157.31</v>
      </c>
      <c r="HO58" vm="12954">
        <f ca="1"/>
        <v>159.38</v>
      </c>
      <c r="HP58" vm="12955">
        <f ca="1"/>
        <v>157.46</v>
      </c>
      <c r="HQ58" vm="12956">
        <f ca="1"/>
        <v>156.08000000000001</v>
      </c>
      <c r="HR58" vm="12957">
        <f ca="1"/>
        <v>158.31</v>
      </c>
      <c r="HS58" vm="12958">
        <f ca="1"/>
        <v>158.43</v>
      </c>
      <c r="HT58" vm="5131">
        <f ca="1"/>
        <v>157.72</v>
      </c>
      <c r="HU58" vm="12959">
        <f ca="1"/>
        <v>159.54</v>
      </c>
      <c r="HV58" vm="12960">
        <f ca="1"/>
        <v>164.14</v>
      </c>
      <c r="HW58" vm="5212">
        <f ca="1"/>
        <v>164.96</v>
      </c>
      <c r="HX58" vm="4333">
        <f ca="1"/>
        <v>163.32</v>
      </c>
      <c r="HY58" vm="12961">
        <f ca="1"/>
        <v>164.19</v>
      </c>
      <c r="HZ58" vm="12962">
        <f ca="1"/>
        <v>165.26</v>
      </c>
      <c r="IA58" vm="12963">
        <f ca="1"/>
        <v>166.47</v>
      </c>
      <c r="IB58" vm="1378">
        <f ca="1"/>
        <v>165.22</v>
      </c>
      <c r="IC58" vm="1379">
        <f ca="1"/>
        <v>164.24</v>
      </c>
      <c r="ID58" vm="1380">
        <f ca="1"/>
        <v>167.52</v>
      </c>
      <c r="IE58" vm="1381">
        <f ca="1"/>
        <v>169.71</v>
      </c>
      <c r="IF58" vm="1382">
        <f ca="1"/>
        <v>172.33</v>
      </c>
      <c r="IG58" vm="1383">
        <f ca="1"/>
        <v>173.66</v>
      </c>
      <c r="IH58" vm="1384">
        <f ca="1"/>
        <v>173.83</v>
      </c>
      <c r="II58" vm="1385">
        <f ca="1"/>
        <v>170.11</v>
      </c>
      <c r="IJ58" vm="1386">
        <f ca="1"/>
        <v>169.22</v>
      </c>
      <c r="IK58" vm="1387">
        <f ca="1"/>
        <v>172.23</v>
      </c>
      <c r="IL58" vm="1388">
        <f ca="1"/>
        <v>172.11</v>
      </c>
      <c r="IM58" vm="1389">
        <f ca="1"/>
        <v>171.16</v>
      </c>
      <c r="IN58" vm="1390">
        <f ca="1"/>
        <v>169.95</v>
      </c>
      <c r="IO58" vm="1391">
        <f ca="1"/>
        <v>167.09</v>
      </c>
      <c r="IP58" vm="1392">
        <f ca="1"/>
        <v>168.93</v>
      </c>
      <c r="IQ58" vm="1393">
        <f ca="1"/>
        <v>170.28</v>
      </c>
      <c r="IR58" vm="1394">
        <f ca="1"/>
        <v>169.42</v>
      </c>
      <c r="IS58" vm="1395">
        <f ca="1"/>
        <v>169.38</v>
      </c>
      <c r="IT58" vm="1396">
        <f ca="1"/>
        <v>168.11</v>
      </c>
      <c r="IU58" vm="1397">
        <f ca="1"/>
        <v>167.53</v>
      </c>
      <c r="IV58" vm="1398">
        <f ca="1"/>
        <v>166.19</v>
      </c>
      <c r="IW58" vm="94">
        <f ca="1"/>
        <v>170.2</v>
      </c>
    </row>
    <row r="59" spans="1:257" ht="16" x14ac:dyDescent="0.2">
      <c r="A59" s="1" t="e" vm="1399">
        <v>#VALUE!</v>
      </c>
      <c r="B59" s="23" t="str" cm="1">
        <f t="array" aca="1" ref="B59" ca="1">_FV(A59,"ticker symbol",TRUE)</f>
        <v>XBI</v>
      </c>
      <c r="C59" s="23" t="str" cm="1">
        <f t="array" aca="1" ref="C59" ca="1">_FV(A59,"Name")</f>
        <v>SS SPDR S&amp;P Biotech</v>
      </c>
      <c r="D59" cm="1" vm="2049">
        <f t="array" aca="1" ref="D59:IW59" ca="1">TRANSPOSE(_xlfn.STOCKHISTORY(B59, WORKDAY(TODAY(), -265), TODAY(), 0, 0, 1))</f>
        <v>94.76</v>
      </c>
      <c r="E59" s="23" vm="12464">
        <f ca="1"/>
        <v>94.59</v>
      </c>
      <c r="F59" s="23" vm="12484">
        <f ca="1"/>
        <v>89.93</v>
      </c>
      <c r="G59" s="23" vm="2019">
        <f ca="1"/>
        <v>89.81</v>
      </c>
      <c r="H59" s="23" vm="4471">
        <f ca="1"/>
        <v>91.28</v>
      </c>
      <c r="I59" s="23" vm="7283">
        <f ca="1"/>
        <v>91.89</v>
      </c>
      <c r="J59" s="23" vm="12964">
        <f ca="1"/>
        <v>91.98</v>
      </c>
      <c r="K59" s="23" vm="12965">
        <f ca="1"/>
        <v>92.65</v>
      </c>
      <c r="L59" s="23" vm="12966">
        <f ca="1"/>
        <v>91.35</v>
      </c>
      <c r="M59" s="23" vm="12967">
        <f ca="1"/>
        <v>89.89</v>
      </c>
      <c r="N59" s="23" vm="4535">
        <f ca="1"/>
        <v>90.06</v>
      </c>
      <c r="O59" s="23" vm="6221">
        <f ca="1"/>
        <v>91.53</v>
      </c>
      <c r="P59" s="23" vm="12968">
        <f ca="1"/>
        <v>92.41</v>
      </c>
      <c r="Q59" s="23" vm="8289">
        <f ca="1"/>
        <v>92.21</v>
      </c>
      <c r="R59" s="23" vm="6119">
        <f ca="1"/>
        <v>92.87</v>
      </c>
      <c r="S59" s="23" vm="12969">
        <f ca="1"/>
        <v>92.31</v>
      </c>
      <c r="T59" s="23" vm="6751">
        <f ca="1"/>
        <v>89.44</v>
      </c>
      <c r="U59" s="23" vm="6101">
        <f ca="1"/>
        <v>89.13</v>
      </c>
      <c r="V59" s="23" vm="6073">
        <f ca="1"/>
        <v>86.66</v>
      </c>
      <c r="W59" s="23" vm="12970">
        <f ca="1"/>
        <v>88.55</v>
      </c>
      <c r="X59" s="23" vm="974">
        <f ca="1"/>
        <v>87.89</v>
      </c>
      <c r="Y59" s="23" vm="3143">
        <f ca="1"/>
        <v>87.97</v>
      </c>
      <c r="Z59" s="23" vm="1333">
        <f ca="1"/>
        <v>90.51</v>
      </c>
      <c r="AA59" s="23" vm="12971">
        <f ca="1"/>
        <v>91.21</v>
      </c>
      <c r="AB59" s="23" vm="12972">
        <f ca="1"/>
        <v>92.98</v>
      </c>
      <c r="AC59" s="23" vm="12973">
        <f ca="1"/>
        <v>92.46</v>
      </c>
      <c r="AD59" vm="6835">
        <f ca="1"/>
        <v>92.61</v>
      </c>
      <c r="AE59" vm="12974">
        <f ca="1"/>
        <v>93.18</v>
      </c>
      <c r="AF59" vm="12517">
        <f ca="1"/>
        <v>92.58</v>
      </c>
      <c r="AG59" vm="12975">
        <f ca="1"/>
        <v>93.54</v>
      </c>
      <c r="AH59" vm="2850">
        <f ca="1"/>
        <v>92.67</v>
      </c>
      <c r="AI59" vm="1897">
        <f ca="1"/>
        <v>91.42</v>
      </c>
      <c r="AJ59" vm="1314">
        <f ca="1"/>
        <v>92.57</v>
      </c>
      <c r="AK59" vm="4538">
        <f ca="1"/>
        <v>94.7</v>
      </c>
      <c r="AL59" vm="12976">
        <f ca="1"/>
        <v>93.37</v>
      </c>
      <c r="AM59" vm="4475">
        <f ca="1"/>
        <v>91.24</v>
      </c>
      <c r="AN59" vm="6200">
        <f ca="1"/>
        <v>90.34</v>
      </c>
      <c r="AO59" vm="1489">
        <f ca="1"/>
        <v>89.05</v>
      </c>
      <c r="AP59" vm="2023">
        <f ca="1"/>
        <v>89.97</v>
      </c>
      <c r="AQ59" vm="12977">
        <f ca="1"/>
        <v>90.77</v>
      </c>
      <c r="AR59" vm="12978">
        <f ca="1"/>
        <v>91.41</v>
      </c>
      <c r="AS59" vm="1894">
        <f ca="1"/>
        <v>91.33</v>
      </c>
      <c r="AT59" vm="5578">
        <f ca="1"/>
        <v>92.53</v>
      </c>
      <c r="AU59" vm="12979">
        <f ca="1"/>
        <v>92.72</v>
      </c>
      <c r="AV59" vm="7282">
        <f ca="1"/>
        <v>91.7</v>
      </c>
      <c r="AW59" vm="12980">
        <f ca="1"/>
        <v>90.11</v>
      </c>
      <c r="AX59" vm="12458">
        <f ca="1"/>
        <v>88.69</v>
      </c>
      <c r="AY59" vm="12981">
        <f ca="1"/>
        <v>88.25</v>
      </c>
      <c r="AZ59" vm="6170">
        <f ca="1"/>
        <v>87.1</v>
      </c>
      <c r="BA59" vm="6845">
        <f ca="1"/>
        <v>88.71</v>
      </c>
      <c r="BB59" vm="12982">
        <f ca="1"/>
        <v>85.6</v>
      </c>
      <c r="BC59" vm="5581">
        <f ca="1"/>
        <v>86.13</v>
      </c>
      <c r="BD59" vm="6104">
        <f ca="1"/>
        <v>87.82</v>
      </c>
      <c r="BE59" vm="6762">
        <f ca="1"/>
        <v>87.06</v>
      </c>
      <c r="BF59" vm="8292">
        <f ca="1"/>
        <v>87.3</v>
      </c>
      <c r="BG59" vm="4509">
        <f ca="1"/>
        <v>86.24</v>
      </c>
      <c r="BH59" vm="6787">
        <f ca="1"/>
        <v>86.17</v>
      </c>
      <c r="BI59" vm="10218">
        <f ca="1"/>
        <v>87.15</v>
      </c>
      <c r="BJ59" vm="12490">
        <f ca="1"/>
        <v>85.97</v>
      </c>
      <c r="BK59" vm="12983">
        <f ca="1"/>
        <v>87.13</v>
      </c>
      <c r="BL59" vm="6754">
        <f ca="1"/>
        <v>88.29</v>
      </c>
      <c r="BM59" vm="6787">
        <f ca="1"/>
        <v>86.17</v>
      </c>
      <c r="BN59" vm="12493">
        <f ca="1"/>
        <v>87.46</v>
      </c>
      <c r="BO59" vm="6152">
        <f ca="1"/>
        <v>86.59</v>
      </c>
      <c r="BP59" vm="6789">
        <f ca="1"/>
        <v>87.12</v>
      </c>
      <c r="BQ59" vm="1710">
        <f ca="1"/>
        <v>88.82</v>
      </c>
      <c r="BR59" vm="12984">
        <f ca="1"/>
        <v>87.08</v>
      </c>
      <c r="BS59" vm="6184">
        <f ca="1"/>
        <v>85.08</v>
      </c>
      <c r="BT59" vm="6738">
        <f ca="1"/>
        <v>85.53</v>
      </c>
      <c r="BU59" vm="12985">
        <f ca="1"/>
        <v>84.4</v>
      </c>
      <c r="BV59" vm="12986">
        <f ca="1"/>
        <v>81.099999999999994</v>
      </c>
      <c r="BW59" vm="12987">
        <f ca="1"/>
        <v>78.16</v>
      </c>
      <c r="BX59" vm="6028">
        <f ca="1"/>
        <v>80.59</v>
      </c>
      <c r="BY59" vm="7204">
        <f ca="1"/>
        <v>78.14</v>
      </c>
      <c r="BZ59" vm="12988">
        <f ca="1"/>
        <v>73.66</v>
      </c>
      <c r="CA59" vm="8784">
        <f ca="1"/>
        <v>72.989999999999995</v>
      </c>
      <c r="CB59" vm="36">
        <f ca="1"/>
        <v>69.8</v>
      </c>
      <c r="CC59" vm="774">
        <f ca="1"/>
        <v>74.88</v>
      </c>
      <c r="CD59" vm="12989">
        <f ca="1"/>
        <v>71.61</v>
      </c>
      <c r="CE59" vm="10187">
        <f ca="1"/>
        <v>74.33</v>
      </c>
      <c r="CF59" vm="12990">
        <f ca="1"/>
        <v>76.540000000000006</v>
      </c>
      <c r="CG59" vm="12990">
        <f ca="1"/>
        <v>76.540000000000006</v>
      </c>
      <c r="CH59" vm="12991">
        <f ca="1"/>
        <v>75.13</v>
      </c>
      <c r="CI59" vm="7234">
        <f ca="1"/>
        <v>75.930000000000007</v>
      </c>
      <c r="CJ59" vm="12992">
        <f ca="1"/>
        <v>75.510000000000005</v>
      </c>
      <c r="CK59" vm="12993">
        <f ca="1"/>
        <v>77.64</v>
      </c>
      <c r="CL59" vm="7209">
        <f ca="1"/>
        <v>79.099999999999994</v>
      </c>
      <c r="CM59" vm="6012">
        <f ca="1"/>
        <v>80.89</v>
      </c>
      <c r="CN59" vm="7210">
        <f ca="1"/>
        <v>80.25</v>
      </c>
      <c r="CO59" vm="12994">
        <f ca="1"/>
        <v>81.37</v>
      </c>
      <c r="CP59" vm="12995">
        <f ca="1"/>
        <v>81.88</v>
      </c>
      <c r="CQ59" vm="12996">
        <f ca="1"/>
        <v>82.95</v>
      </c>
      <c r="CR59" vm="12997">
        <f ca="1"/>
        <v>82.5</v>
      </c>
      <c r="CS59" vm="12998">
        <f ca="1"/>
        <v>83.5</v>
      </c>
      <c r="CT59" vm="12999">
        <f ca="1"/>
        <v>82.65</v>
      </c>
      <c r="CU59" vm="7216">
        <f ca="1"/>
        <v>77.17</v>
      </c>
      <c r="CV59" vm="10198">
        <f ca="1"/>
        <v>77.349999999999994</v>
      </c>
      <c r="CW59" vm="6044">
        <f ca="1"/>
        <v>78.040000000000006</v>
      </c>
      <c r="CX59" vm="1915">
        <f ca="1"/>
        <v>76.39</v>
      </c>
      <c r="CY59" vm="13000">
        <f ca="1"/>
        <v>79.45</v>
      </c>
      <c r="CZ59" vm="5969">
        <f ca="1"/>
        <v>77.55</v>
      </c>
      <c r="DA59" vm="10191">
        <f ca="1"/>
        <v>76.37</v>
      </c>
      <c r="DB59" vm="13001">
        <f ca="1"/>
        <v>77.58</v>
      </c>
      <c r="DC59" vm="13002">
        <f ca="1"/>
        <v>79.02</v>
      </c>
      <c r="DD59" vm="13003">
        <f ca="1"/>
        <v>79.72</v>
      </c>
      <c r="DE59" vm="6006">
        <f ca="1"/>
        <v>81.400000000000006</v>
      </c>
      <c r="DF59" vm="5957">
        <f ca="1"/>
        <v>79.33</v>
      </c>
      <c r="DG59" vm="7207">
        <f ca="1"/>
        <v>79.25</v>
      </c>
      <c r="DH59" vm="12475">
        <f ca="1"/>
        <v>79.040000000000006</v>
      </c>
      <c r="DI59" vm="5919">
        <f ca="1"/>
        <v>79.3</v>
      </c>
      <c r="DJ59" vm="432">
        <f ca="1"/>
        <v>78.77</v>
      </c>
      <c r="DK59" vm="13004">
        <f ca="1"/>
        <v>80.459999999999994</v>
      </c>
      <c r="DL59" vm="444">
        <f ca="1"/>
        <v>79.19</v>
      </c>
      <c r="DM59" vm="5980">
        <f ca="1"/>
        <v>81.239999999999995</v>
      </c>
      <c r="DN59" vm="5993">
        <f ca="1"/>
        <v>82.34</v>
      </c>
      <c r="DO59" vm="1950">
        <f ca="1"/>
        <v>82.48</v>
      </c>
      <c r="DP59" vm="13005">
        <f ca="1"/>
        <v>82.56</v>
      </c>
      <c r="DQ59" vm="13006">
        <f ca="1"/>
        <v>84.26</v>
      </c>
      <c r="DR59" vm="966">
        <f ca="1"/>
        <v>84.27</v>
      </c>
      <c r="DS59" vm="6210">
        <f ca="1"/>
        <v>85.28</v>
      </c>
      <c r="DT59" vm="6140">
        <f ca="1"/>
        <v>84.37</v>
      </c>
      <c r="DU59" vm="13007">
        <f ca="1"/>
        <v>84.36</v>
      </c>
      <c r="DV59" vm="5949">
        <f ca="1"/>
        <v>83.6</v>
      </c>
      <c r="DW59" vm="1890">
        <f ca="1"/>
        <v>83.37</v>
      </c>
      <c r="DX59" vm="5953">
        <f ca="1"/>
        <v>82.1</v>
      </c>
      <c r="DY59" vm="13008">
        <f ca="1"/>
        <v>82.66</v>
      </c>
      <c r="DZ59" vm="13009">
        <f ca="1"/>
        <v>82.38</v>
      </c>
      <c r="EA59" vm="13010">
        <f ca="1"/>
        <v>82.27</v>
      </c>
      <c r="EB59" vm="13011">
        <f ca="1"/>
        <v>83.82</v>
      </c>
      <c r="EC59" vm="13012">
        <f ca="1"/>
        <v>83.27</v>
      </c>
      <c r="ED59" vm="13013">
        <f ca="1"/>
        <v>83.68</v>
      </c>
      <c r="EE59" vm="2660">
        <f ca="1"/>
        <v>83.01</v>
      </c>
      <c r="EF59" vm="3164">
        <f ca="1"/>
        <v>82.93</v>
      </c>
      <c r="EG59" vm="3168">
        <f ca="1"/>
        <v>83.08</v>
      </c>
      <c r="EH59" vm="1973">
        <f ca="1"/>
        <v>84.79</v>
      </c>
      <c r="EI59" vm="13014">
        <f ca="1"/>
        <v>85.24</v>
      </c>
      <c r="EJ59" vm="6146">
        <f ca="1"/>
        <v>83.58</v>
      </c>
      <c r="EK59" vm="13015">
        <f ca="1"/>
        <v>84.71</v>
      </c>
      <c r="EL59" vm="6815">
        <f ca="1"/>
        <v>87.87</v>
      </c>
      <c r="EM59" vm="13016">
        <f ca="1"/>
        <v>88.38</v>
      </c>
      <c r="EN59" vm="13017">
        <f ca="1"/>
        <v>87.02</v>
      </c>
      <c r="EO59" vm="1334">
        <f ca="1"/>
        <v>88.27</v>
      </c>
      <c r="EP59" vm="7262">
        <f ca="1"/>
        <v>85.91</v>
      </c>
      <c r="EQ59" vm="6104">
        <f ca="1"/>
        <v>87.82</v>
      </c>
      <c r="ER59" vm="6795">
        <f ca="1"/>
        <v>88.12</v>
      </c>
      <c r="ES59" vm="13018">
        <f ca="1"/>
        <v>86.27</v>
      </c>
      <c r="ET59" vm="6790">
        <f ca="1"/>
        <v>85.87</v>
      </c>
      <c r="EU59" vm="971">
        <f ca="1"/>
        <v>86.73</v>
      </c>
      <c r="EV59" vm="3149">
        <f ca="1"/>
        <v>88.22</v>
      </c>
      <c r="EW59" vm="6217">
        <f ca="1"/>
        <v>87.49</v>
      </c>
      <c r="EX59" vm="8295">
        <f ca="1"/>
        <v>87.61</v>
      </c>
      <c r="EY59" vm="13019">
        <f ca="1"/>
        <v>86.57</v>
      </c>
      <c r="EZ59" vm="970">
        <f ca="1"/>
        <v>85.84</v>
      </c>
      <c r="FA59" vm="4509">
        <f ca="1"/>
        <v>86.24</v>
      </c>
      <c r="FB59" vm="1930">
        <f ca="1"/>
        <v>85.66</v>
      </c>
      <c r="FC59" vm="13020">
        <f ca="1"/>
        <v>85.93</v>
      </c>
      <c r="FD59" vm="6799">
        <f ca="1"/>
        <v>86.82</v>
      </c>
      <c r="FE59" vm="6792">
        <f ca="1"/>
        <v>86.85</v>
      </c>
      <c r="FF59" vm="5581">
        <f ca="1"/>
        <v>86.13</v>
      </c>
      <c r="FG59" vm="13021">
        <f ca="1"/>
        <v>85.32</v>
      </c>
      <c r="FH59" vm="10231">
        <f ca="1"/>
        <v>85.43</v>
      </c>
      <c r="FI59" vm="1971">
        <f ca="1"/>
        <v>85.16</v>
      </c>
      <c r="FJ59" vm="13022">
        <f ca="1"/>
        <v>86.92</v>
      </c>
      <c r="FK59" vm="2852">
        <f ca="1"/>
        <v>89.52</v>
      </c>
      <c r="FL59" vm="2018">
        <f ca="1"/>
        <v>89.57</v>
      </c>
      <c r="FM59" vm="6808">
        <f ca="1"/>
        <v>90.68</v>
      </c>
      <c r="FN59" vm="3139">
        <f ca="1"/>
        <v>90.21</v>
      </c>
      <c r="FO59" vm="13023">
        <f ca="1"/>
        <v>88.8</v>
      </c>
      <c r="FP59" vm="2838">
        <f ca="1"/>
        <v>89.22</v>
      </c>
      <c r="FQ59" vm="6758">
        <f ca="1"/>
        <v>89.92</v>
      </c>
      <c r="FR59" vm="13024">
        <f ca="1"/>
        <v>90.92</v>
      </c>
      <c r="FS59" vm="1712">
        <f ca="1"/>
        <v>88.79</v>
      </c>
      <c r="FT59" vm="6189">
        <f ca="1"/>
        <v>89.9</v>
      </c>
      <c r="FU59" vm="2022">
        <f ca="1"/>
        <v>90.29</v>
      </c>
      <c r="FV59" vm="2022">
        <f ca="1"/>
        <v>90.29</v>
      </c>
      <c r="FW59" vm="4506">
        <f ca="1"/>
        <v>89.85</v>
      </c>
      <c r="FX59" vm="13025">
        <f ca="1"/>
        <v>92.88</v>
      </c>
      <c r="FY59" vm="13026">
        <f ca="1"/>
        <v>93.65</v>
      </c>
      <c r="FZ59" vm="13027">
        <f ca="1"/>
        <v>93.47</v>
      </c>
      <c r="GA59" vm="2044">
        <f ca="1"/>
        <v>95.47</v>
      </c>
      <c r="GB59" vm="12462">
        <f ca="1"/>
        <v>94.43</v>
      </c>
      <c r="GC59" vm="13028">
        <f ca="1"/>
        <v>94.98</v>
      </c>
      <c r="GD59" vm="10917">
        <f ca="1"/>
        <v>93.9</v>
      </c>
      <c r="GE59" vm="13029">
        <f ca="1"/>
        <v>95.7</v>
      </c>
      <c r="GF59" vm="13030">
        <f ca="1"/>
        <v>94.12</v>
      </c>
      <c r="GG59" vm="13031">
        <f ca="1"/>
        <v>93.43</v>
      </c>
      <c r="GH59" vm="5582">
        <f ca="1"/>
        <v>93.74</v>
      </c>
      <c r="GI59" vm="4501">
        <f ca="1"/>
        <v>93.77</v>
      </c>
      <c r="GJ59" vm="11914">
        <f ca="1"/>
        <v>96.68</v>
      </c>
      <c r="GK59" vm="4493">
        <f ca="1"/>
        <v>95.6</v>
      </c>
      <c r="GL59" vm="13032">
        <f ca="1"/>
        <v>97.3</v>
      </c>
      <c r="GM59" vm="3187">
        <f ca="1"/>
        <v>96.77</v>
      </c>
      <c r="GN59" vm="13033">
        <f ca="1"/>
        <v>97.44</v>
      </c>
      <c r="GO59" vm="13034">
        <f ca="1"/>
        <v>95.86</v>
      </c>
      <c r="GP59" vm="1048">
        <f ca="1"/>
        <v>97.95</v>
      </c>
      <c r="GQ59" vm="13035">
        <f ca="1"/>
        <v>99.4</v>
      </c>
      <c r="GR59" vm="3253">
        <f ca="1"/>
        <v>100.2</v>
      </c>
      <c r="GS59" vm="10898">
        <f ca="1"/>
        <v>101.39</v>
      </c>
      <c r="GT59" vm="1049">
        <f ca="1"/>
        <v>102.59</v>
      </c>
      <c r="GU59" vm="13036">
        <f ca="1"/>
        <v>103.6</v>
      </c>
      <c r="GV59" vm="1051">
        <f ca="1"/>
        <v>103.64</v>
      </c>
      <c r="GW59" vm="13037">
        <f ca="1"/>
        <v>103.68</v>
      </c>
      <c r="GX59" vm="11989">
        <f ca="1"/>
        <v>105.44</v>
      </c>
      <c r="GY59" vm="9349">
        <f ca="1"/>
        <v>106.52</v>
      </c>
      <c r="GZ59" vm="7922">
        <f ca="1"/>
        <v>104.99</v>
      </c>
      <c r="HA59" vm="13038">
        <f ca="1"/>
        <v>105.27</v>
      </c>
      <c r="HB59" vm="13039">
        <f ca="1"/>
        <v>105.12</v>
      </c>
      <c r="HC59" vm="8001">
        <f ca="1"/>
        <v>108.37</v>
      </c>
      <c r="HD59" vm="13040">
        <f ca="1"/>
        <v>107.91</v>
      </c>
      <c r="HE59" vm="8271">
        <f ca="1"/>
        <v>107.8</v>
      </c>
      <c r="HF59" vm="13041">
        <f ca="1"/>
        <v>110.17</v>
      </c>
      <c r="HG59" vm="3067">
        <f ca="1"/>
        <v>109.56</v>
      </c>
      <c r="HH59" vm="5634">
        <f ca="1"/>
        <v>107.32</v>
      </c>
      <c r="HI59" vm="13042">
        <f ca="1"/>
        <v>107.56</v>
      </c>
      <c r="HJ59" vm="3003">
        <f ca="1"/>
        <v>108.39</v>
      </c>
      <c r="HK59" vm="12333">
        <f ca="1"/>
        <v>111.59</v>
      </c>
      <c r="HL59" vm="8045">
        <f ca="1"/>
        <v>112</v>
      </c>
      <c r="HM59" vm="8322">
        <f ca="1"/>
        <v>110.96</v>
      </c>
      <c r="HN59" vm="10884">
        <f ca="1"/>
        <v>111.91</v>
      </c>
      <c r="HO59" vm="13043">
        <f ca="1"/>
        <v>112.71</v>
      </c>
      <c r="HP59" vm="13044">
        <f ca="1"/>
        <v>109.86</v>
      </c>
      <c r="HQ59" vm="5618">
        <f ca="1"/>
        <v>108.04</v>
      </c>
      <c r="HR59" vm="11978">
        <f ca="1"/>
        <v>109.21</v>
      </c>
      <c r="HS59" vm="13045">
        <f ca="1"/>
        <v>109.29</v>
      </c>
      <c r="HT59" vm="13046">
        <f ca="1"/>
        <v>108.96</v>
      </c>
      <c r="HU59" vm="13047">
        <f ca="1"/>
        <v>110.09</v>
      </c>
      <c r="HV59" vm="8336">
        <f ca="1"/>
        <v>114.01</v>
      </c>
      <c r="HW59" vm="13048">
        <f ca="1"/>
        <v>114.11</v>
      </c>
      <c r="HX59" vm="10884">
        <f ca="1"/>
        <v>111.91</v>
      </c>
      <c r="HY59" vm="8336">
        <f ca="1"/>
        <v>114.01</v>
      </c>
      <c r="HZ59" vm="8028">
        <f ca="1"/>
        <v>114.83</v>
      </c>
      <c r="IA59" vm="12011">
        <f ca="1"/>
        <v>115.18</v>
      </c>
      <c r="IB59" vm="1400">
        <f ca="1"/>
        <v>114.5</v>
      </c>
      <c r="IC59" vm="1401">
        <f ca="1"/>
        <v>113.83</v>
      </c>
      <c r="ID59" vm="398">
        <f ca="1"/>
        <v>116.65</v>
      </c>
      <c r="IE59" vm="1402">
        <f ca="1"/>
        <v>119.58</v>
      </c>
      <c r="IF59" vm="1403">
        <f ca="1"/>
        <v>121.37</v>
      </c>
      <c r="IG59" vm="1404">
        <f ca="1"/>
        <v>122.85</v>
      </c>
      <c r="IH59" vm="1405">
        <f ca="1"/>
        <v>123.16</v>
      </c>
      <c r="II59" vm="1406">
        <f ca="1"/>
        <v>119.85</v>
      </c>
      <c r="IJ59" vm="1407">
        <f ca="1"/>
        <v>118.46</v>
      </c>
      <c r="IK59" vm="1408">
        <f ca="1"/>
        <v>121.83</v>
      </c>
      <c r="IL59" vm="1409">
        <f ca="1"/>
        <v>123.25</v>
      </c>
      <c r="IM59" vm="1410">
        <f ca="1"/>
        <v>123.41</v>
      </c>
      <c r="IN59" vm="1411">
        <f ca="1"/>
        <v>123.66</v>
      </c>
      <c r="IO59" vm="1412">
        <f ca="1"/>
        <v>121.19</v>
      </c>
      <c r="IP59" vm="1413">
        <f ca="1"/>
        <v>122.05</v>
      </c>
      <c r="IQ59" vm="1414">
        <f ca="1"/>
        <v>123.02</v>
      </c>
      <c r="IR59" vm="1415">
        <f ca="1"/>
        <v>123.13</v>
      </c>
      <c r="IS59" vm="1416">
        <f ca="1"/>
        <v>122.84</v>
      </c>
      <c r="IT59" vm="1417">
        <f ca="1"/>
        <v>122.01</v>
      </c>
      <c r="IU59" vm="1418">
        <f ca="1"/>
        <v>120.94</v>
      </c>
      <c r="IV59" vm="1419">
        <f ca="1"/>
        <v>120.01</v>
      </c>
      <c r="IW59" vm="96">
        <f ca="1"/>
        <v>123.43</v>
      </c>
    </row>
    <row r="60" spans="1:257" ht="16" x14ac:dyDescent="0.2">
      <c r="A60" s="1" t="e" vm="1420">
        <v>#VALUE!</v>
      </c>
      <c r="B60" s="23" t="str" cm="1">
        <f t="array" aca="1" ref="B60" ca="1">_FV(A60,"ticker symbol",TRUE)</f>
        <v>PBE</v>
      </c>
      <c r="C60" s="23" t="str" cm="1">
        <f t="array" aca="1" ref="C60" ca="1">_FV(A60,"Name")</f>
        <v>Invesco Biotech &amp; Genome</v>
      </c>
      <c r="D60" cm="1" vm="2240">
        <f t="array" aca="1" ref="D60:IW60" ca="1">TRANSPOSE(_xlfn.STOCKHISTORY(B60, WORKDAY(TODAY(), -265), TODAY(), 0, 0, 1))</f>
        <v>68.81</v>
      </c>
      <c r="E60" s="23" vm="10323">
        <f ca="1"/>
        <v>68.8</v>
      </c>
      <c r="F60" s="23" vm="13049">
        <f ca="1"/>
        <v>66</v>
      </c>
      <c r="G60" s="23" vm="13050">
        <f ca="1"/>
        <v>66.254499999999993</v>
      </c>
      <c r="H60" s="23" vm="8747">
        <f ca="1"/>
        <v>67.22</v>
      </c>
      <c r="I60" s="23" vm="13051">
        <f ca="1"/>
        <v>67.533500000000004</v>
      </c>
      <c r="J60" s="23" vm="13052">
        <f ca="1"/>
        <v>67.463300000000004</v>
      </c>
      <c r="K60" s="23" vm="13053">
        <f ca="1"/>
        <v>67.846699999999998</v>
      </c>
      <c r="L60" s="23" vm="13054">
        <f ca="1"/>
        <v>67.328900000000004</v>
      </c>
      <c r="M60" s="23" vm="13055">
        <f ca="1"/>
        <v>66.485699999999994</v>
      </c>
      <c r="N60" s="23" vm="13056">
        <f ca="1"/>
        <v>66.528599999999997</v>
      </c>
      <c r="O60" s="23" vm="13057">
        <f ca="1"/>
        <v>67.107200000000006</v>
      </c>
      <c r="P60" s="23" vm="13058">
        <f ca="1"/>
        <v>67.625299999999996</v>
      </c>
      <c r="Q60" s="23" vm="13059">
        <f ca="1"/>
        <v>67.625799999999998</v>
      </c>
      <c r="R60" s="23" vm="13060">
        <f ca="1"/>
        <v>68.008700000000005</v>
      </c>
      <c r="S60" s="23" vm="13061">
        <f ca="1"/>
        <v>68.924300000000002</v>
      </c>
      <c r="T60" s="23" vm="2783">
        <f ca="1"/>
        <v>67.88</v>
      </c>
      <c r="U60" s="23" vm="13062">
        <f ca="1"/>
        <v>69.197000000000003</v>
      </c>
      <c r="V60" s="23" vm="1619">
        <f ca="1"/>
        <v>67.48</v>
      </c>
      <c r="W60" s="23" vm="13063">
        <f ca="1"/>
        <v>68.275899999999993</v>
      </c>
      <c r="X60" s="23" vm="10271">
        <f ca="1"/>
        <v>67.84</v>
      </c>
      <c r="Y60" s="23" vm="13064">
        <f ca="1"/>
        <v>67.675600000000003</v>
      </c>
      <c r="Z60" s="23" vm="13065">
        <f ca="1"/>
        <v>69.0779</v>
      </c>
      <c r="AA60" s="23" vm="13066">
        <f ca="1"/>
        <v>68.83</v>
      </c>
      <c r="AB60" s="23" vm="13067">
        <f ca="1"/>
        <v>69.239999999999995</v>
      </c>
      <c r="AC60" s="23" vm="13068">
        <f ca="1"/>
        <v>69.044300000000007</v>
      </c>
      <c r="AD60" vm="13069">
        <f ca="1"/>
        <v>69.468100000000007</v>
      </c>
      <c r="AE60" vm="10342">
        <f ca="1"/>
        <v>69.349999999999994</v>
      </c>
      <c r="AF60" vm="13070">
        <f ca="1"/>
        <v>69.450699999999998</v>
      </c>
      <c r="AG60" vm="13071">
        <f ca="1"/>
        <v>69.769900000000007</v>
      </c>
      <c r="AH60" vm="13072">
        <f ca="1"/>
        <v>69.364900000000006</v>
      </c>
      <c r="AI60" vm="13073">
        <f ca="1"/>
        <v>68.846599999999995</v>
      </c>
      <c r="AJ60" vm="13074">
        <f ca="1"/>
        <v>69.05</v>
      </c>
      <c r="AK60" vm="13075">
        <f ca="1"/>
        <v>70.342100000000002</v>
      </c>
      <c r="AL60" vm="13076">
        <f ca="1"/>
        <v>69.539000000000001</v>
      </c>
      <c r="AM60" vm="13077">
        <f ca="1"/>
        <v>67.870699999999999</v>
      </c>
      <c r="AN60" vm="13078">
        <f ca="1"/>
        <v>67.624700000000004</v>
      </c>
      <c r="AO60" vm="13079">
        <f ca="1"/>
        <v>66.873199999999997</v>
      </c>
      <c r="AP60" vm="13080">
        <f ca="1"/>
        <v>67.621099999999998</v>
      </c>
      <c r="AQ60" vm="13081">
        <f ca="1"/>
        <v>68.205799999999996</v>
      </c>
      <c r="AR60" vm="13082">
        <f ca="1"/>
        <v>67.971699999999998</v>
      </c>
      <c r="AS60" vm="13083">
        <f ca="1"/>
        <v>67.850700000000003</v>
      </c>
      <c r="AT60" vm="13084">
        <f ca="1"/>
        <v>68.366799999999998</v>
      </c>
      <c r="AU60" vm="13085">
        <f ca="1"/>
        <v>68.356399999999994</v>
      </c>
      <c r="AV60" vm="13086">
        <f ca="1"/>
        <v>68.110900000000001</v>
      </c>
      <c r="AW60" vm="13087">
        <f ca="1"/>
        <v>67.644000000000005</v>
      </c>
      <c r="AX60" vm="13088">
        <f ca="1"/>
        <v>66.906099999999995</v>
      </c>
      <c r="AY60" vm="13089">
        <f ca="1"/>
        <v>66.23</v>
      </c>
      <c r="AZ60" vm="13090">
        <f ca="1"/>
        <v>65.776600000000002</v>
      </c>
      <c r="BA60" vm="13091">
        <f ca="1"/>
        <v>66.712400000000002</v>
      </c>
      <c r="BB60" vm="13092">
        <f ca="1"/>
        <v>65.491399999999999</v>
      </c>
      <c r="BC60" vm="13093">
        <f ca="1"/>
        <v>65.261399999999995</v>
      </c>
      <c r="BD60" vm="13094">
        <f ca="1"/>
        <v>65.532200000000003</v>
      </c>
      <c r="BE60" vm="8825">
        <f ca="1"/>
        <v>65.36</v>
      </c>
      <c r="BF60" vm="13095">
        <f ca="1"/>
        <v>65.934600000000003</v>
      </c>
      <c r="BG60" vm="8731">
        <f ca="1"/>
        <v>66.31</v>
      </c>
      <c r="BH60" vm="13096">
        <f ca="1"/>
        <v>65.732200000000006</v>
      </c>
      <c r="BI60" vm="13097">
        <f ca="1"/>
        <v>65.533100000000005</v>
      </c>
      <c r="BJ60" vm="13098">
        <f ca="1"/>
        <v>64.687600000000003</v>
      </c>
      <c r="BK60" vm="8723">
        <f ca="1"/>
        <v>65.599999999999994</v>
      </c>
      <c r="BL60" vm="13099">
        <f ca="1"/>
        <v>66.235699999999994</v>
      </c>
      <c r="BM60" vm="8836">
        <f ca="1"/>
        <v>65.56</v>
      </c>
      <c r="BN60" vm="13100">
        <f ca="1"/>
        <v>66.110699999999994</v>
      </c>
      <c r="BO60" vm="2738">
        <f ca="1"/>
        <v>65.72</v>
      </c>
      <c r="BP60" vm="8750">
        <f ca="1"/>
        <v>66.260000000000005</v>
      </c>
      <c r="BQ60" vm="13101">
        <f ca="1"/>
        <v>67.000600000000006</v>
      </c>
      <c r="BR60" vm="10333">
        <f ca="1"/>
        <v>66.28</v>
      </c>
      <c r="BS60" vm="10170">
        <f ca="1"/>
        <v>64.89</v>
      </c>
      <c r="BT60" vm="2735">
        <f ca="1"/>
        <v>64.849999999999994</v>
      </c>
      <c r="BU60" vm="13102">
        <f ca="1"/>
        <v>64.150000000000006</v>
      </c>
      <c r="BV60" vm="13103">
        <f ca="1"/>
        <v>63.44</v>
      </c>
      <c r="BW60" vm="13104">
        <f ca="1"/>
        <v>62.09</v>
      </c>
      <c r="BX60" vm="13105">
        <f ca="1"/>
        <v>63.295999999999999</v>
      </c>
      <c r="BY60" vm="8628">
        <f ca="1"/>
        <v>61.78</v>
      </c>
      <c r="BZ60" vm="13106">
        <f ca="1"/>
        <v>59.047400000000003</v>
      </c>
      <c r="CA60" vm="13107">
        <f ca="1"/>
        <v>58.570999999999998</v>
      </c>
      <c r="CB60" vm="13108">
        <f ca="1"/>
        <v>56.005200000000002</v>
      </c>
      <c r="CC60" vm="13109">
        <f ca="1"/>
        <v>59.582599999999999</v>
      </c>
      <c r="CD60" vm="13110">
        <f ca="1"/>
        <v>56.584600000000002</v>
      </c>
      <c r="CE60" vm="13111">
        <f ca="1"/>
        <v>58.231299999999997</v>
      </c>
      <c r="CF60" vm="13112">
        <f ca="1"/>
        <v>59.778599999999997</v>
      </c>
      <c r="CG60" vm="13113">
        <f ca="1"/>
        <v>59.971800000000002</v>
      </c>
      <c r="CH60" vm="13114">
        <f ca="1"/>
        <v>59.036000000000001</v>
      </c>
      <c r="CI60" vm="13115">
        <f ca="1"/>
        <v>59.031700000000001</v>
      </c>
      <c r="CJ60" vm="13116">
        <f ca="1"/>
        <v>58.477200000000003</v>
      </c>
      <c r="CK60" vm="13117">
        <f ca="1"/>
        <v>59.719799999999999</v>
      </c>
      <c r="CL60" vm="10102">
        <f ca="1"/>
        <v>60.24</v>
      </c>
      <c r="CM60" vm="13118">
        <f ca="1"/>
        <v>61.111899999999999</v>
      </c>
      <c r="CN60" vm="13119">
        <f ca="1"/>
        <v>61.080100000000002</v>
      </c>
      <c r="CO60" vm="13120">
        <f ca="1"/>
        <v>61.5441</v>
      </c>
      <c r="CP60" vm="13121">
        <f ca="1"/>
        <v>61.710099999999997</v>
      </c>
      <c r="CQ60" vm="1475">
        <f ca="1"/>
        <v>62.28</v>
      </c>
      <c r="CR60" vm="13122">
        <f ca="1"/>
        <v>61.6663</v>
      </c>
      <c r="CS60" vm="13123">
        <f ca="1"/>
        <v>62.631700000000002</v>
      </c>
      <c r="CT60" vm="13124">
        <f ca="1"/>
        <v>62.279499999999999</v>
      </c>
      <c r="CU60" vm="13125">
        <f ca="1"/>
        <v>59.8917</v>
      </c>
      <c r="CV60" vm="13126">
        <f ca="1"/>
        <v>60.330500000000001</v>
      </c>
      <c r="CW60" vm="13127">
        <f ca="1"/>
        <v>60.4786</v>
      </c>
      <c r="CX60" vm="13128">
        <f ca="1"/>
        <v>59.584600000000002</v>
      </c>
      <c r="CY60" vm="13129">
        <f ca="1"/>
        <v>62.048000000000002</v>
      </c>
      <c r="CZ60" vm="13130">
        <f ca="1"/>
        <v>60.5182</v>
      </c>
      <c r="DA60" vm="8674">
        <f ca="1"/>
        <v>59.87</v>
      </c>
      <c r="DB60" vm="13131">
        <f ca="1"/>
        <v>60.843899999999998</v>
      </c>
      <c r="DC60" vm="13132">
        <f ca="1"/>
        <v>62.309199999999997</v>
      </c>
      <c r="DD60" vm="13133">
        <f ca="1"/>
        <v>62.828299999999999</v>
      </c>
      <c r="DE60" vm="13134">
        <f ca="1"/>
        <v>63.339199999999998</v>
      </c>
      <c r="DF60" vm="13135">
        <f ca="1"/>
        <v>61.9495</v>
      </c>
      <c r="DG60" vm="13136">
        <f ca="1"/>
        <v>61.698</v>
      </c>
      <c r="DH60" vm="13137">
        <f ca="1"/>
        <v>61.73</v>
      </c>
      <c r="DI60" vm="13138">
        <f ca="1"/>
        <v>62.965299999999999</v>
      </c>
      <c r="DJ60" vm="13139">
        <f ca="1"/>
        <v>62.622799999999998</v>
      </c>
      <c r="DK60" vm="13140">
        <f ca="1"/>
        <v>63.410400000000003</v>
      </c>
      <c r="DL60" vm="13141">
        <f ca="1"/>
        <v>62.61</v>
      </c>
      <c r="DM60" vm="13142">
        <f ca="1"/>
        <v>63.6051</v>
      </c>
      <c r="DN60" vm="13143">
        <f ca="1"/>
        <v>64.103700000000003</v>
      </c>
      <c r="DO60" vm="13144">
        <f ca="1"/>
        <v>64.411500000000004</v>
      </c>
      <c r="DP60" vm="13145">
        <f ca="1"/>
        <v>64.326599999999999</v>
      </c>
      <c r="DQ60" vm="13146">
        <f ca="1"/>
        <v>65.332800000000006</v>
      </c>
      <c r="DR60" vm="11432">
        <f ca="1"/>
        <v>65.430000000000007</v>
      </c>
      <c r="DS60" vm="11395">
        <f ca="1"/>
        <v>65.09</v>
      </c>
      <c r="DT60" vm="13147">
        <f ca="1"/>
        <v>64.632900000000006</v>
      </c>
      <c r="DU60" vm="13148">
        <f ca="1"/>
        <v>64.745699999999999</v>
      </c>
      <c r="DV60" vm="13149">
        <f ca="1"/>
        <v>63.944299999999998</v>
      </c>
      <c r="DW60" vm="13150">
        <f ca="1"/>
        <v>64.524100000000004</v>
      </c>
      <c r="DX60" vm="13151">
        <f ca="1"/>
        <v>63.823599999999999</v>
      </c>
      <c r="DY60" vm="13152">
        <f ca="1"/>
        <v>63.920900000000003</v>
      </c>
      <c r="DZ60" vm="1606">
        <f ca="1"/>
        <v>63.68</v>
      </c>
      <c r="EA60" vm="13153">
        <f ca="1"/>
        <v>63.375999999999998</v>
      </c>
      <c r="EB60" vm="13154">
        <f ca="1"/>
        <v>64.374499999999998</v>
      </c>
      <c r="EC60" vm="13155">
        <f ca="1"/>
        <v>63.89</v>
      </c>
      <c r="ED60" vm="11449">
        <f ca="1"/>
        <v>64.069999999999993</v>
      </c>
      <c r="EE60" vm="9725">
        <f ca="1"/>
        <v>64.38</v>
      </c>
      <c r="EF60" vm="2741">
        <f ca="1"/>
        <v>64.099999999999994</v>
      </c>
      <c r="EG60" vm="1469">
        <f ca="1"/>
        <v>64.36</v>
      </c>
      <c r="EH60" vm="11432">
        <f ca="1"/>
        <v>65.430000000000007</v>
      </c>
      <c r="EI60" vm="13156">
        <f ca="1"/>
        <v>65.664900000000003</v>
      </c>
      <c r="EJ60" vm="13157">
        <f ca="1"/>
        <v>64.534199999999998</v>
      </c>
      <c r="EK60" vm="13158">
        <f ca="1"/>
        <v>65.194000000000003</v>
      </c>
      <c r="EL60" vm="13159">
        <f ca="1"/>
        <v>66.703699999999998</v>
      </c>
      <c r="EM60" vm="13160">
        <f ca="1"/>
        <v>67.305999999999997</v>
      </c>
      <c r="EN60" vm="13161">
        <f ca="1"/>
        <v>66.143100000000004</v>
      </c>
      <c r="EO60" vm="13162">
        <f ca="1"/>
        <v>66.912999999999997</v>
      </c>
      <c r="EP60" vm="13163">
        <f ca="1"/>
        <v>65.384200000000007</v>
      </c>
      <c r="EQ60" vm="8750">
        <f ca="1"/>
        <v>66.260000000000005</v>
      </c>
      <c r="ER60" vm="13164">
        <f ca="1"/>
        <v>65.618200000000002</v>
      </c>
      <c r="ES60" vm="13165">
        <f ca="1"/>
        <v>64.296099999999996</v>
      </c>
      <c r="ET60" vm="13166">
        <f ca="1"/>
        <v>63.997500000000002</v>
      </c>
      <c r="EU60" vm="13167">
        <f ca="1"/>
        <v>65.287300000000002</v>
      </c>
      <c r="EV60" vm="8848">
        <f ca="1"/>
        <v>66.78</v>
      </c>
      <c r="EW60" vm="13168">
        <f ca="1"/>
        <v>66.665599999999998</v>
      </c>
      <c r="EX60" vm="13169">
        <f ca="1"/>
        <v>66.591300000000004</v>
      </c>
      <c r="EY60" vm="11423">
        <f ca="1"/>
        <v>65.849999999999994</v>
      </c>
      <c r="EZ60" vm="13170">
        <f ca="1"/>
        <v>65.9255</v>
      </c>
      <c r="FA60" vm="13171">
        <f ca="1"/>
        <v>65.849400000000003</v>
      </c>
      <c r="FB60" vm="13172">
        <f ca="1"/>
        <v>65.3005</v>
      </c>
      <c r="FC60" vm="13173">
        <f ca="1"/>
        <v>65.540599999999998</v>
      </c>
      <c r="FD60" vm="13174">
        <f ca="1"/>
        <v>66.516199999999998</v>
      </c>
      <c r="FE60" vm="13175">
        <f ca="1"/>
        <v>66.041499999999999</v>
      </c>
      <c r="FF60" vm="13176">
        <f ca="1"/>
        <v>65.137699999999995</v>
      </c>
      <c r="FG60" vm="13177">
        <f ca="1"/>
        <v>64.9495</v>
      </c>
      <c r="FH60" vm="13178">
        <f ca="1"/>
        <v>64.936400000000006</v>
      </c>
      <c r="FI60" vm="2547">
        <f ca="1"/>
        <v>64.95</v>
      </c>
      <c r="FJ60" vm="2780">
        <f ca="1"/>
        <v>66.040000000000006</v>
      </c>
      <c r="FK60" vm="13179">
        <f ca="1"/>
        <v>67.673599999999993</v>
      </c>
      <c r="FL60" vm="13180">
        <f ca="1"/>
        <v>67.179299999999998</v>
      </c>
      <c r="FM60" vm="13181">
        <f ca="1"/>
        <v>67.805000000000007</v>
      </c>
      <c r="FN60" vm="13182">
        <f ca="1"/>
        <v>67.676599999999993</v>
      </c>
      <c r="FO60" vm="8869">
        <f ca="1"/>
        <v>67.680000000000007</v>
      </c>
      <c r="FP60" vm="13183">
        <f ca="1"/>
        <v>68.068600000000004</v>
      </c>
      <c r="FQ60" vm="2794">
        <f ca="1"/>
        <v>68.28</v>
      </c>
      <c r="FR60" vm="13184">
        <f ca="1"/>
        <v>68.838399999999993</v>
      </c>
      <c r="FS60" vm="13185">
        <f ca="1"/>
        <v>67.58</v>
      </c>
      <c r="FT60" vm="13186">
        <f ca="1"/>
        <v>67.86</v>
      </c>
      <c r="FU60" vm="2784">
        <f ca="1"/>
        <v>68.459999999999994</v>
      </c>
      <c r="FV60" vm="13187">
        <f ca="1"/>
        <v>68.197800000000001</v>
      </c>
      <c r="FW60" vm="13188">
        <f ca="1"/>
        <v>68.451099999999997</v>
      </c>
      <c r="FX60" vm="766">
        <f ca="1"/>
        <v>70.59</v>
      </c>
      <c r="FY60" vm="13189">
        <f ca="1"/>
        <v>70.585599999999999</v>
      </c>
      <c r="FZ60" vm="13190">
        <f ca="1"/>
        <v>70.263000000000005</v>
      </c>
      <c r="GA60" vm="13191">
        <f ca="1"/>
        <v>70.986000000000004</v>
      </c>
      <c r="GB60" vm="13192">
        <f ca="1"/>
        <v>70.772000000000006</v>
      </c>
      <c r="GC60" vm="9751">
        <f ca="1"/>
        <v>70.95</v>
      </c>
      <c r="GD60" vm="13193">
        <f ca="1"/>
        <v>69.955500000000001</v>
      </c>
      <c r="GE60" vm="13194">
        <f ca="1"/>
        <v>71.438299999999998</v>
      </c>
      <c r="GF60" vm="13195">
        <f ca="1"/>
        <v>70.131399999999999</v>
      </c>
      <c r="GG60" vm="10326">
        <f ca="1"/>
        <v>69.599999999999994</v>
      </c>
      <c r="GH60" vm="8760">
        <f ca="1"/>
        <v>69.680000000000007</v>
      </c>
      <c r="GI60" vm="13196">
        <f ca="1"/>
        <v>69.574799999999996</v>
      </c>
      <c r="GJ60" vm="13197">
        <f ca="1"/>
        <v>71.031999999999996</v>
      </c>
      <c r="GK60" vm="13198">
        <f ca="1"/>
        <v>70.52</v>
      </c>
      <c r="GL60" vm="13199">
        <f ca="1"/>
        <v>70.367800000000003</v>
      </c>
      <c r="GM60" vm="13200">
        <f ca="1"/>
        <v>69.912000000000006</v>
      </c>
      <c r="GN60" vm="13201">
        <f ca="1"/>
        <v>69.136899999999997</v>
      </c>
      <c r="GO60" vm="13202">
        <f ca="1"/>
        <v>67.849999999999994</v>
      </c>
      <c r="GP60" vm="9770">
        <f ca="1"/>
        <v>68.58</v>
      </c>
      <c r="GQ60" vm="13203">
        <f ca="1"/>
        <v>69.150000000000006</v>
      </c>
      <c r="GR60" vm="8762">
        <f ca="1"/>
        <v>69.87</v>
      </c>
      <c r="GS60" vm="13204">
        <f ca="1"/>
        <v>71.638099999999994</v>
      </c>
      <c r="GT60" vm="13205">
        <f ca="1"/>
        <v>72.010000000000005</v>
      </c>
      <c r="GU60" vm="13206">
        <f ca="1"/>
        <v>72.708299999999994</v>
      </c>
      <c r="GV60" vm="13207">
        <f ca="1"/>
        <v>72.563800000000001</v>
      </c>
      <c r="GW60" vm="13208">
        <f ca="1"/>
        <v>71.930000000000007</v>
      </c>
      <c r="GX60" vm="13209">
        <f ca="1"/>
        <v>72.045299999999997</v>
      </c>
      <c r="GY60" vm="13210">
        <f ca="1"/>
        <v>71.55</v>
      </c>
      <c r="GZ60" vm="13211">
        <f ca="1"/>
        <v>70.359099999999998</v>
      </c>
      <c r="HA60" vm="13212">
        <f ca="1"/>
        <v>70.669899999999998</v>
      </c>
      <c r="HB60" vm="13213">
        <f ca="1"/>
        <v>70.709999999999994</v>
      </c>
      <c r="HC60" vm="13214">
        <f ca="1"/>
        <v>71.618600000000001</v>
      </c>
      <c r="HD60" vm="13215">
        <f ca="1"/>
        <v>71.740499999999997</v>
      </c>
      <c r="HE60" vm="13216">
        <f ca="1"/>
        <v>72.227000000000004</v>
      </c>
      <c r="HF60" vm="13217">
        <f ca="1"/>
        <v>73.170699999999997</v>
      </c>
      <c r="HG60" vm="13218">
        <f ca="1"/>
        <v>73.361000000000004</v>
      </c>
      <c r="HH60" vm="13219">
        <f ca="1"/>
        <v>72.777699999999996</v>
      </c>
      <c r="HI60" vm="13220">
        <f ca="1"/>
        <v>73.208799999999997</v>
      </c>
      <c r="HJ60" vm="13221">
        <f ca="1"/>
        <v>73.428299999999993</v>
      </c>
      <c r="HK60" vm="13222">
        <f ca="1"/>
        <v>73.83</v>
      </c>
      <c r="HL60" vm="13223">
        <f ca="1"/>
        <v>73.882599999999996</v>
      </c>
      <c r="HM60" vm="13224">
        <f ca="1"/>
        <v>72.796599999999998</v>
      </c>
      <c r="HN60" vm="13225">
        <f ca="1"/>
        <v>73.220100000000002</v>
      </c>
      <c r="HO60" vm="13226">
        <f ca="1"/>
        <v>74.830399999999997</v>
      </c>
      <c r="HP60" vm="13227">
        <f ca="1"/>
        <v>74.686199999999999</v>
      </c>
      <c r="HQ60" vm="13228">
        <f ca="1"/>
        <v>73.760300000000001</v>
      </c>
      <c r="HR60" vm="13229">
        <f ca="1"/>
        <v>76.761600000000001</v>
      </c>
      <c r="HS60" vm="13230">
        <f ca="1"/>
        <v>76.3262</v>
      </c>
      <c r="HT60" vm="13231">
        <f ca="1"/>
        <v>76.12</v>
      </c>
      <c r="HU60" vm="6055">
        <f ca="1"/>
        <v>75.989999999999995</v>
      </c>
      <c r="HV60" vm="13232">
        <f ca="1"/>
        <v>77.972899999999996</v>
      </c>
      <c r="HW60" vm="13233">
        <f ca="1"/>
        <v>78.439599999999999</v>
      </c>
      <c r="HX60" vm="13234">
        <f ca="1"/>
        <v>77.6357</v>
      </c>
      <c r="HY60" vm="6036">
        <f ca="1"/>
        <v>77.77</v>
      </c>
      <c r="HZ60" vm="13235">
        <f ca="1"/>
        <v>77.575500000000005</v>
      </c>
      <c r="IA60" vm="13236">
        <f ca="1"/>
        <v>78.115600000000001</v>
      </c>
      <c r="IB60" vm="426">
        <f ca="1"/>
        <v>77.900000000000006</v>
      </c>
      <c r="IC60" vm="1421">
        <f ca="1"/>
        <v>78.318700000000007</v>
      </c>
      <c r="ID60" vm="1422">
        <f ca="1"/>
        <v>80.131799999999998</v>
      </c>
      <c r="IE60" vm="1423">
        <f ca="1"/>
        <v>81.393900000000002</v>
      </c>
      <c r="IF60" vm="1424">
        <f ca="1"/>
        <v>82.83</v>
      </c>
      <c r="IG60" vm="1425">
        <f ca="1"/>
        <v>83.49</v>
      </c>
      <c r="IH60" vm="1426">
        <f ca="1"/>
        <v>83.325100000000006</v>
      </c>
      <c r="II60" vm="1427">
        <f ca="1"/>
        <v>81.510000000000005</v>
      </c>
      <c r="IJ60" vm="1428">
        <f ca="1"/>
        <v>81.520399999999995</v>
      </c>
      <c r="IK60" vm="1429">
        <f ca="1"/>
        <v>82.11</v>
      </c>
      <c r="IL60" vm="1430">
        <f ca="1"/>
        <v>82.063999999999993</v>
      </c>
      <c r="IM60" vm="1431">
        <f ca="1"/>
        <v>81.729200000000006</v>
      </c>
      <c r="IN60" vm="1432">
        <f ca="1"/>
        <v>80.421199999999999</v>
      </c>
      <c r="IO60" vm="1433">
        <f ca="1"/>
        <v>79.655699999999996</v>
      </c>
      <c r="IP60" vm="1434">
        <f ca="1"/>
        <v>80.338800000000006</v>
      </c>
      <c r="IQ60" vm="1435">
        <f ca="1"/>
        <v>80.515199999999993</v>
      </c>
      <c r="IR60" vm="1436">
        <f ca="1"/>
        <v>80.565899999999999</v>
      </c>
      <c r="IS60" vm="1437">
        <f ca="1"/>
        <v>81.11</v>
      </c>
      <c r="IT60" vm="1438">
        <f ca="1"/>
        <v>80.2971</v>
      </c>
      <c r="IU60" vm="1439">
        <f ca="1"/>
        <v>80.148700000000005</v>
      </c>
      <c r="IV60" vm="1440">
        <f ca="1"/>
        <v>79.936400000000006</v>
      </c>
      <c r="IW60" vm="98">
        <f ca="1"/>
        <v>82.705200000000005</v>
      </c>
    </row>
    <row r="61" spans="1:257" ht="16" x14ac:dyDescent="0.2">
      <c r="A61" s="1" t="e" vm="1441">
        <v>#VALUE!</v>
      </c>
      <c r="B61" s="23" t="str" cm="1">
        <f t="array" aca="1" ref="B61" ca="1">_FV(A61,"ticker symbol",TRUE)</f>
        <v>IDNA</v>
      </c>
      <c r="C61" s="23" t="str" cm="1">
        <f t="array" aca="1" ref="C61" ca="1">_FV(A61,"Name")</f>
        <v>iShares:Gen Immu &amp; HC</v>
      </c>
      <c r="D61" cm="1" vm="13237">
        <f t="array" aca="1" ref="D61:IW61" ca="1">TRANSPOSE(_xlfn.STOCKHISTORY(B61, WORKDAY(TODAY(), -265), TODAY(), 0, 0, 1))</f>
        <v>23.44</v>
      </c>
      <c r="E61" s="23" vm="13238">
        <f ca="1"/>
        <v>23.31</v>
      </c>
      <c r="F61" s="23" vm="13239">
        <f ca="1"/>
        <v>22.4</v>
      </c>
      <c r="G61" s="23" vm="13240">
        <f ca="1"/>
        <v>22.38</v>
      </c>
      <c r="H61" s="23" vm="35">
        <f ca="1"/>
        <v>22.64</v>
      </c>
      <c r="I61" s="23" vm="13241">
        <f ca="1"/>
        <v>22.79</v>
      </c>
      <c r="J61" s="23" vm="13242">
        <f ca="1"/>
        <v>22.83</v>
      </c>
      <c r="K61" s="23" vm="13243">
        <f ca="1"/>
        <v>22.96</v>
      </c>
      <c r="L61" s="23" vm="13242">
        <f ca="1"/>
        <v>22.83</v>
      </c>
      <c r="M61" s="23" vm="3123">
        <f ca="1"/>
        <v>22.51</v>
      </c>
      <c r="N61" s="23" vm="13244">
        <f ca="1"/>
        <v>22.63</v>
      </c>
      <c r="O61" s="23" vm="2459">
        <f ca="1"/>
        <v>22.76</v>
      </c>
      <c r="P61" s="23" vm="13245">
        <f ca="1"/>
        <v>23</v>
      </c>
      <c r="Q61" s="23" vm="13246">
        <f ca="1"/>
        <v>23.17</v>
      </c>
      <c r="R61" s="23" vm="13247">
        <f ca="1"/>
        <v>23.63</v>
      </c>
      <c r="S61" s="23" vm="13248">
        <f ca="1"/>
        <v>23.21</v>
      </c>
      <c r="T61" s="23" vm="2470">
        <f ca="1"/>
        <v>22.58</v>
      </c>
      <c r="U61" s="23" vm="13249">
        <f ca="1"/>
        <v>21.95</v>
      </c>
      <c r="V61" s="23" vm="13250">
        <f ca="1"/>
        <v>21.56</v>
      </c>
      <c r="W61" s="23" vm="13251">
        <f ca="1"/>
        <v>21.92</v>
      </c>
      <c r="X61" s="23" vm="13252">
        <f ca="1"/>
        <v>21.9</v>
      </c>
      <c r="Y61" s="23" vm="2755">
        <f ca="1"/>
        <v>21.91</v>
      </c>
      <c r="Z61" s="23" vm="2437">
        <f ca="1"/>
        <v>22.48</v>
      </c>
      <c r="AA61" s="23" vm="2291">
        <f ca="1"/>
        <v>22.46</v>
      </c>
      <c r="AB61" s="23" vm="13253">
        <f ca="1"/>
        <v>22.97</v>
      </c>
      <c r="AC61" s="23" vm="2457">
        <f ca="1"/>
        <v>22.68</v>
      </c>
      <c r="AD61" vm="2434">
        <f ca="1"/>
        <v>22.78</v>
      </c>
      <c r="AE61" vm="13254">
        <f ca="1"/>
        <v>22.8</v>
      </c>
      <c r="AF61" vm="13244">
        <f ca="1"/>
        <v>22.63</v>
      </c>
      <c r="AG61" vm="2432">
        <f ca="1"/>
        <v>22.87</v>
      </c>
      <c r="AH61" vm="13254">
        <f ca="1"/>
        <v>22.8</v>
      </c>
      <c r="AI61" vm="13255">
        <f ca="1"/>
        <v>22.3</v>
      </c>
      <c r="AJ61" vm="13256">
        <f ca="1"/>
        <v>22.41</v>
      </c>
      <c r="AK61" vm="2463">
        <f ca="1"/>
        <v>23.19</v>
      </c>
      <c r="AL61" vm="13242">
        <f ca="1"/>
        <v>22.83</v>
      </c>
      <c r="AM61" vm="13257">
        <f ca="1"/>
        <v>22.5</v>
      </c>
      <c r="AN61" vm="13258">
        <f ca="1"/>
        <v>22.47</v>
      </c>
      <c r="AO61" vm="2749">
        <f ca="1"/>
        <v>22.15</v>
      </c>
      <c r="AP61" vm="13259">
        <f ca="1"/>
        <v>22.35</v>
      </c>
      <c r="AQ61" vm="13260">
        <f ca="1"/>
        <v>22.74</v>
      </c>
      <c r="AR61" vm="13261">
        <f ca="1"/>
        <v>22.91</v>
      </c>
      <c r="AS61" vm="3293">
        <f ca="1"/>
        <v>23.01</v>
      </c>
      <c r="AT61" vm="13245">
        <f ca="1"/>
        <v>23</v>
      </c>
      <c r="AU61" vm="2467">
        <f ca="1"/>
        <v>23.11</v>
      </c>
      <c r="AV61" vm="2467">
        <f ca="1"/>
        <v>23.11</v>
      </c>
      <c r="AW61" vm="2435">
        <f ca="1"/>
        <v>22.82</v>
      </c>
      <c r="AX61" vm="35">
        <f ca="1"/>
        <v>22.64</v>
      </c>
      <c r="AY61" vm="13262">
        <f ca="1"/>
        <v>22.457599999999999</v>
      </c>
      <c r="AZ61" vm="2293">
        <f ca="1"/>
        <v>22.23</v>
      </c>
      <c r="BA61" vm="13257">
        <f ca="1"/>
        <v>22.5</v>
      </c>
      <c r="BB61" vm="13251">
        <f ca="1"/>
        <v>21.92</v>
      </c>
      <c r="BC61" vm="13263">
        <f ca="1"/>
        <v>22.023199999999999</v>
      </c>
      <c r="BD61" vm="13264">
        <f ca="1"/>
        <v>22.55</v>
      </c>
      <c r="BE61" vm="13265">
        <f ca="1"/>
        <v>22.36</v>
      </c>
      <c r="BF61" vm="13266">
        <f ca="1"/>
        <v>22.519400000000001</v>
      </c>
      <c r="BG61" vm="2292">
        <f ca="1"/>
        <v>22.06</v>
      </c>
      <c r="BH61" vm="13267">
        <f ca="1"/>
        <v>21.7774</v>
      </c>
      <c r="BI61" vm="13268">
        <f ca="1"/>
        <v>21.97</v>
      </c>
      <c r="BJ61" vm="13269">
        <f ca="1"/>
        <v>21.76</v>
      </c>
      <c r="BK61" vm="13249">
        <f ca="1"/>
        <v>21.95</v>
      </c>
      <c r="BL61" vm="2295">
        <f ca="1"/>
        <v>22.18</v>
      </c>
      <c r="BM61" vm="13270">
        <f ca="1"/>
        <v>21.71</v>
      </c>
      <c r="BN61" vm="13271">
        <f ca="1"/>
        <v>21.793099999999999</v>
      </c>
      <c r="BO61" vm="2748">
        <f ca="1"/>
        <v>21.7</v>
      </c>
      <c r="BP61" vm="13272">
        <f ca="1"/>
        <v>21.53</v>
      </c>
      <c r="BQ61" vm="2285">
        <f ca="1"/>
        <v>21.74</v>
      </c>
      <c r="BR61" vm="2127">
        <f ca="1"/>
        <v>21.3</v>
      </c>
      <c r="BS61" vm="2442">
        <f ca="1"/>
        <v>20.96</v>
      </c>
      <c r="BT61" vm="13273">
        <f ca="1"/>
        <v>21.17</v>
      </c>
      <c r="BU61" vm="3132">
        <f ca="1"/>
        <v>21</v>
      </c>
      <c r="BV61" vm="13274">
        <f ca="1"/>
        <v>20.49</v>
      </c>
      <c r="BW61" vm="13275">
        <f ca="1"/>
        <v>19.975000000000001</v>
      </c>
      <c r="BX61" vm="13276">
        <f ca="1"/>
        <v>20.39</v>
      </c>
      <c r="BY61" vm="13277">
        <f ca="1"/>
        <v>19.91</v>
      </c>
      <c r="BZ61" vm="13278">
        <f ca="1"/>
        <v>18.829999999999998</v>
      </c>
      <c r="CA61" vm="13279">
        <f ca="1"/>
        <v>18.5</v>
      </c>
      <c r="CB61" vm="13280">
        <f ca="1"/>
        <v>17.920000000000002</v>
      </c>
      <c r="CC61" vm="13281">
        <f ca="1"/>
        <v>18.97</v>
      </c>
      <c r="CD61" vm="13282">
        <f ca="1"/>
        <v>18.149999999999999</v>
      </c>
      <c r="CE61" vm="13283">
        <f ca="1"/>
        <v>19.02</v>
      </c>
      <c r="CF61" vm="13284">
        <f ca="1"/>
        <v>19.54</v>
      </c>
      <c r="CG61" vm="13285">
        <f ca="1"/>
        <v>19.46</v>
      </c>
      <c r="CH61" vm="13286">
        <f ca="1"/>
        <v>19.16</v>
      </c>
      <c r="CI61" vm="13287">
        <f ca="1"/>
        <v>19.32</v>
      </c>
      <c r="CJ61" vm="13288">
        <f ca="1"/>
        <v>19.36</v>
      </c>
      <c r="CK61" vm="13289">
        <f ca="1"/>
        <v>20</v>
      </c>
      <c r="CL61" vm="13290">
        <f ca="1"/>
        <v>20.27</v>
      </c>
      <c r="CM61" vm="13291">
        <f ca="1"/>
        <v>20.69</v>
      </c>
      <c r="CN61" vm="13292">
        <f ca="1"/>
        <v>20.420000000000002</v>
      </c>
      <c r="CO61" vm="13293">
        <f ca="1"/>
        <v>20.76</v>
      </c>
      <c r="CP61" vm="2443">
        <f ca="1"/>
        <v>20.74</v>
      </c>
      <c r="CQ61" vm="2135">
        <f ca="1"/>
        <v>21.02</v>
      </c>
      <c r="CR61" vm="2449">
        <f ca="1"/>
        <v>20.67</v>
      </c>
      <c r="CS61" vm="13294">
        <f ca="1"/>
        <v>21.06</v>
      </c>
      <c r="CT61" vm="2444">
        <f ca="1"/>
        <v>20.91</v>
      </c>
      <c r="CU61" vm="13295">
        <f ca="1"/>
        <v>19.62</v>
      </c>
      <c r="CV61" vm="13296">
        <f ca="1"/>
        <v>19.510999999999999</v>
      </c>
      <c r="CW61" vm="13297">
        <f ca="1"/>
        <v>19.59</v>
      </c>
      <c r="CX61" vm="13286">
        <f ca="1"/>
        <v>19.16</v>
      </c>
      <c r="CY61" vm="13298">
        <f ca="1"/>
        <v>19.760000000000002</v>
      </c>
      <c r="CZ61" vm="13287">
        <f ca="1"/>
        <v>19.32</v>
      </c>
      <c r="DA61" vm="13299">
        <f ca="1"/>
        <v>19.13</v>
      </c>
      <c r="DB61" vm="13300">
        <f ca="1"/>
        <v>19.510000000000002</v>
      </c>
      <c r="DC61" vm="13301">
        <f ca="1"/>
        <v>19.809999999999999</v>
      </c>
      <c r="DD61" vm="13302">
        <f ca="1"/>
        <v>20.059999999999999</v>
      </c>
      <c r="DE61" vm="13276">
        <f ca="1"/>
        <v>20.39</v>
      </c>
      <c r="DF61" vm="13289">
        <f ca="1"/>
        <v>20</v>
      </c>
      <c r="DG61" vm="13303">
        <f ca="1"/>
        <v>20.177700000000002</v>
      </c>
      <c r="DH61" vm="13304">
        <f ca="1"/>
        <v>20.079999999999998</v>
      </c>
      <c r="DI61" vm="13305">
        <f ca="1"/>
        <v>20.2</v>
      </c>
      <c r="DJ61" vm="13306">
        <f ca="1"/>
        <v>19.989999999999998</v>
      </c>
      <c r="DK61" vm="13307">
        <f ca="1"/>
        <v>20.43</v>
      </c>
      <c r="DL61" vm="13308">
        <f ca="1"/>
        <v>20.23</v>
      </c>
      <c r="DM61" vm="13309">
        <f ca="1"/>
        <v>20.502300000000002</v>
      </c>
      <c r="DN61" vm="13310">
        <f ca="1"/>
        <v>20.78</v>
      </c>
      <c r="DO61" vm="13311">
        <f ca="1"/>
        <v>20.86</v>
      </c>
      <c r="DP61" vm="13312">
        <f ca="1"/>
        <v>20.75</v>
      </c>
      <c r="DQ61" vm="13313">
        <f ca="1"/>
        <v>21.1</v>
      </c>
      <c r="DR61" vm="13314">
        <f ca="1"/>
        <v>21.332999999999998</v>
      </c>
      <c r="DS61" vm="13315">
        <f ca="1"/>
        <v>21.45</v>
      </c>
      <c r="DT61" vm="2121">
        <f ca="1"/>
        <v>21.23</v>
      </c>
      <c r="DU61" vm="13316">
        <f ca="1"/>
        <v>21.497399999999999</v>
      </c>
      <c r="DV61" vm="13317">
        <f ca="1"/>
        <v>21.16</v>
      </c>
      <c r="DW61" vm="2441">
        <f ca="1"/>
        <v>20.95</v>
      </c>
      <c r="DX61" vm="2450">
        <f ca="1"/>
        <v>20.53</v>
      </c>
      <c r="DY61" vm="13318">
        <f ca="1"/>
        <v>20.54</v>
      </c>
      <c r="DZ61" vm="13319">
        <f ca="1"/>
        <v>20.433</v>
      </c>
      <c r="EA61" vm="13276">
        <f ca="1"/>
        <v>20.39</v>
      </c>
      <c r="EB61" vm="13311">
        <f ca="1"/>
        <v>20.86</v>
      </c>
      <c r="EC61" vm="2447">
        <f ca="1"/>
        <v>20.65</v>
      </c>
      <c r="ED61" vm="13320">
        <f ca="1"/>
        <v>20.71</v>
      </c>
      <c r="EE61" vm="13321">
        <f ca="1"/>
        <v>20.45</v>
      </c>
      <c r="EF61" vm="2448">
        <f ca="1"/>
        <v>20.51</v>
      </c>
      <c r="EG61" vm="13322">
        <f ca="1"/>
        <v>20.64</v>
      </c>
      <c r="EH61" vm="3132">
        <f ca="1"/>
        <v>21</v>
      </c>
      <c r="EI61" vm="2759">
        <f ca="1"/>
        <v>21.07</v>
      </c>
      <c r="EJ61" vm="2447">
        <f ca="1"/>
        <v>20.65</v>
      </c>
      <c r="EK61" vm="13323">
        <f ca="1"/>
        <v>20.946899999999999</v>
      </c>
      <c r="EL61" vm="13324">
        <f ca="1"/>
        <v>21.52</v>
      </c>
      <c r="EM61" vm="2747">
        <f ca="1"/>
        <v>21.64</v>
      </c>
      <c r="EN61" vm="13325">
        <f ca="1"/>
        <v>21.19</v>
      </c>
      <c r="EO61" vm="13326">
        <f ca="1"/>
        <v>21.36</v>
      </c>
      <c r="EP61" vm="13327">
        <f ca="1"/>
        <v>20.93</v>
      </c>
      <c r="EQ61" vm="13328">
        <f ca="1"/>
        <v>21.37</v>
      </c>
      <c r="ER61" vm="13315">
        <f ca="1"/>
        <v>21.45</v>
      </c>
      <c r="ES61" vm="2121">
        <f ca="1"/>
        <v>21.23</v>
      </c>
      <c r="ET61" vm="13329">
        <f ca="1"/>
        <v>21.307200000000002</v>
      </c>
      <c r="EU61" vm="13330">
        <f ca="1"/>
        <v>21.83</v>
      </c>
      <c r="EV61" vm="2458">
        <f ca="1"/>
        <v>22.53</v>
      </c>
      <c r="EW61" vm="13331">
        <f ca="1"/>
        <v>22.266100000000002</v>
      </c>
      <c r="EX61" vm="2295">
        <f ca="1"/>
        <v>22.18</v>
      </c>
      <c r="EY61" vm="13332">
        <f ca="1"/>
        <v>22.2</v>
      </c>
      <c r="EZ61" vm="13333">
        <f ca="1"/>
        <v>21.85</v>
      </c>
      <c r="FA61" vm="13269">
        <f ca="1"/>
        <v>21.76</v>
      </c>
      <c r="FB61" vm="2128">
        <f ca="1"/>
        <v>21.25</v>
      </c>
      <c r="FC61" vm="13334">
        <f ca="1"/>
        <v>21.15</v>
      </c>
      <c r="FD61" vm="13250">
        <f ca="1"/>
        <v>21.56</v>
      </c>
      <c r="FE61" vm="13335">
        <f ca="1"/>
        <v>21.579899999999999</v>
      </c>
      <c r="FF61" vm="13336">
        <f ca="1"/>
        <v>21.351299999999998</v>
      </c>
      <c r="FG61" vm="2125">
        <f ca="1"/>
        <v>21.34</v>
      </c>
      <c r="FH61" vm="13337">
        <f ca="1"/>
        <v>21.151599999999998</v>
      </c>
      <c r="FI61" vm="13338">
        <f ca="1"/>
        <v>21.054500000000001</v>
      </c>
      <c r="FJ61" vm="13339">
        <f ca="1"/>
        <v>21.65</v>
      </c>
      <c r="FK61" vm="13258">
        <f ca="1"/>
        <v>22.47</v>
      </c>
      <c r="FL61" vm="13239">
        <f ca="1"/>
        <v>22.4</v>
      </c>
      <c r="FM61" vm="13340">
        <f ca="1"/>
        <v>22.88</v>
      </c>
      <c r="FN61" vm="13341">
        <f ca="1"/>
        <v>22.792999999999999</v>
      </c>
      <c r="FO61" vm="13264">
        <f ca="1"/>
        <v>22.55</v>
      </c>
      <c r="FP61" vm="2436">
        <f ca="1"/>
        <v>22.52</v>
      </c>
      <c r="FQ61" vm="13342">
        <f ca="1"/>
        <v>22.5425</v>
      </c>
      <c r="FR61" vm="13253">
        <f ca="1"/>
        <v>22.97</v>
      </c>
      <c r="FS61" vm="2297">
        <f ca="1"/>
        <v>22.13</v>
      </c>
      <c r="FT61" vm="13343">
        <f ca="1"/>
        <v>22.37</v>
      </c>
      <c r="FU61" vm="13344">
        <f ca="1"/>
        <v>22.384</v>
      </c>
      <c r="FV61" vm="13345">
        <f ca="1"/>
        <v>22.34</v>
      </c>
      <c r="FW61" vm="13346">
        <f ca="1"/>
        <v>22.157599999999999</v>
      </c>
      <c r="FX61" vm="13347">
        <f ca="1"/>
        <v>22.3462</v>
      </c>
      <c r="FY61" vm="13348">
        <f ca="1"/>
        <v>22.626999999999999</v>
      </c>
      <c r="FZ61" vm="13349">
        <f ca="1"/>
        <v>22.57</v>
      </c>
      <c r="GA61" vm="13245">
        <f ca="1"/>
        <v>23</v>
      </c>
      <c r="GB61" vm="13350">
        <f ca="1"/>
        <v>22.811199999999999</v>
      </c>
      <c r="GC61" vm="13351">
        <f ca="1"/>
        <v>22.75</v>
      </c>
      <c r="GD61" vm="3123">
        <f ca="1"/>
        <v>22.51</v>
      </c>
      <c r="GE61" vm="2463">
        <f ca="1"/>
        <v>23.19</v>
      </c>
      <c r="GF61" vm="13352">
        <f ca="1"/>
        <v>22.645</v>
      </c>
      <c r="GG61" vm="13264">
        <f ca="1"/>
        <v>22.55</v>
      </c>
      <c r="GH61" vm="13353">
        <f ca="1"/>
        <v>22.746600000000001</v>
      </c>
      <c r="GI61" vm="13354">
        <f ca="1"/>
        <v>22.72</v>
      </c>
      <c r="GJ61" vm="13355">
        <f ca="1"/>
        <v>23.2</v>
      </c>
      <c r="GK61" vm="13356">
        <f ca="1"/>
        <v>22.94</v>
      </c>
      <c r="GL61" vm="2462">
        <f ca="1"/>
        <v>23.13</v>
      </c>
      <c r="GM61" vm="3293">
        <f ca="1"/>
        <v>23.01</v>
      </c>
      <c r="GN61" vm="2456">
        <f ca="1"/>
        <v>22.9</v>
      </c>
      <c r="GO61" vm="2291">
        <f ca="1"/>
        <v>22.46</v>
      </c>
      <c r="GP61" vm="2433">
        <f ca="1"/>
        <v>22.73</v>
      </c>
      <c r="GQ61" vm="13357">
        <f ca="1"/>
        <v>23.05</v>
      </c>
      <c r="GR61" vm="13358">
        <f ca="1"/>
        <v>23.614599999999999</v>
      </c>
      <c r="GS61" vm="13359">
        <f ca="1"/>
        <v>24.33</v>
      </c>
      <c r="GT61" vm="13360">
        <f ca="1"/>
        <v>24.46</v>
      </c>
      <c r="GU61" vm="13361">
        <f ca="1"/>
        <v>24.64</v>
      </c>
      <c r="GV61" vm="13362">
        <f ca="1"/>
        <v>24.54</v>
      </c>
      <c r="GW61" vm="13363">
        <f ca="1"/>
        <v>24.48</v>
      </c>
      <c r="GX61" vm="13364">
        <f ca="1"/>
        <v>24.82</v>
      </c>
      <c r="GY61" vm="13365">
        <f ca="1"/>
        <v>24.56</v>
      </c>
      <c r="GZ61" vm="13366">
        <f ca="1"/>
        <v>24.02</v>
      </c>
      <c r="HA61" vm="13367">
        <f ca="1"/>
        <v>24.32</v>
      </c>
      <c r="HB61" vm="2158">
        <f ca="1"/>
        <v>24.24</v>
      </c>
      <c r="HC61" vm="2067">
        <f ca="1"/>
        <v>25.05</v>
      </c>
      <c r="HD61" vm="2071">
        <f ca="1"/>
        <v>24.79</v>
      </c>
      <c r="HE61" vm="13368">
        <f ca="1"/>
        <v>24.611599999999999</v>
      </c>
      <c r="HF61" vm="2065">
        <f ca="1"/>
        <v>25.26</v>
      </c>
      <c r="HG61" vm="13369">
        <f ca="1"/>
        <v>24.98</v>
      </c>
      <c r="HH61" vm="13370">
        <f ca="1"/>
        <v>24.55</v>
      </c>
      <c r="HI61" vm="13371">
        <f ca="1"/>
        <v>24.531300000000002</v>
      </c>
      <c r="HJ61" vm="13372">
        <f ca="1"/>
        <v>24.89</v>
      </c>
      <c r="HK61" vm="13373">
        <f ca="1"/>
        <v>25.43</v>
      </c>
      <c r="HL61" vm="13374">
        <f ca="1"/>
        <v>25.357099999999999</v>
      </c>
      <c r="HM61" vm="13375">
        <f ca="1"/>
        <v>25.09</v>
      </c>
      <c r="HN61" vm="13376">
        <f ca="1"/>
        <v>25.21</v>
      </c>
      <c r="HO61" vm="13377">
        <f ca="1"/>
        <v>25.355</v>
      </c>
      <c r="HP61" vm="13378">
        <f ca="1"/>
        <v>24.93</v>
      </c>
      <c r="HQ61" vm="13379">
        <f ca="1"/>
        <v>24.62</v>
      </c>
      <c r="HR61" vm="13378">
        <f ca="1"/>
        <v>24.93</v>
      </c>
      <c r="HS61" vm="13380">
        <f ca="1"/>
        <v>24.99</v>
      </c>
      <c r="HT61" vm="13381">
        <f ca="1"/>
        <v>24.77</v>
      </c>
      <c r="HU61" vm="13382">
        <f ca="1"/>
        <v>25.18</v>
      </c>
      <c r="HV61" vm="13383">
        <f ca="1"/>
        <v>26.08</v>
      </c>
      <c r="HW61" vm="2251">
        <f ca="1"/>
        <v>26.29</v>
      </c>
      <c r="HX61" vm="10595">
        <f ca="1"/>
        <v>25.83</v>
      </c>
      <c r="HY61" vm="1459">
        <f ca="1"/>
        <v>26.11</v>
      </c>
      <c r="HZ61" vm="1459">
        <f ca="1"/>
        <v>26.11</v>
      </c>
      <c r="IA61" vm="2251">
        <f ca="1"/>
        <v>26.29</v>
      </c>
      <c r="IB61" vm="1442">
        <f ca="1"/>
        <v>25.94</v>
      </c>
      <c r="IC61" vm="1443">
        <f ca="1"/>
        <v>25.831099999999999</v>
      </c>
      <c r="ID61" vm="1444">
        <f ca="1"/>
        <v>26.425000000000001</v>
      </c>
      <c r="IE61" vm="1445">
        <f ca="1"/>
        <v>26.77</v>
      </c>
      <c r="IF61" vm="1446">
        <f ca="1"/>
        <v>27.25</v>
      </c>
      <c r="IG61" vm="1447">
        <f ca="1"/>
        <v>27.5</v>
      </c>
      <c r="IH61" vm="1448">
        <f ca="1"/>
        <v>27.55</v>
      </c>
      <c r="II61" vm="1449">
        <f ca="1"/>
        <v>26.76</v>
      </c>
      <c r="IJ61" vm="1450">
        <f ca="1"/>
        <v>26.1</v>
      </c>
      <c r="IK61" vm="1451">
        <f ca="1"/>
        <v>26.78</v>
      </c>
      <c r="IL61" vm="1452">
        <f ca="1"/>
        <v>27.01</v>
      </c>
      <c r="IM61" vm="1453">
        <f ca="1"/>
        <v>26.95</v>
      </c>
      <c r="IN61" vm="1449">
        <f ca="1"/>
        <v>26.76</v>
      </c>
      <c r="IO61" vm="1454">
        <f ca="1"/>
        <v>26.31</v>
      </c>
      <c r="IP61" vm="1455">
        <f ca="1"/>
        <v>26.68</v>
      </c>
      <c r="IQ61" vm="1456">
        <f ca="1"/>
        <v>26.69</v>
      </c>
      <c r="IR61" vm="1457">
        <f ca="1"/>
        <v>26.41</v>
      </c>
      <c r="IS61" vm="1458">
        <f ca="1"/>
        <v>26.5</v>
      </c>
      <c r="IT61" vm="1459">
        <f ca="1"/>
        <v>26.11</v>
      </c>
      <c r="IU61" vm="1460">
        <f ca="1"/>
        <v>25.84</v>
      </c>
      <c r="IV61" vm="1461">
        <f ca="1"/>
        <v>25.82</v>
      </c>
      <c r="IW61" vm="100">
        <f ca="1"/>
        <v>26.46</v>
      </c>
    </row>
    <row r="62" spans="1:257" ht="16" x14ac:dyDescent="0.2">
      <c r="A62" s="1" t="e" vm="1462">
        <v>#VALUE!</v>
      </c>
      <c r="B62" s="23" t="str" cm="1">
        <f t="array" aca="1" ref="B62" ca="1">_FV(A62,"ticker symbol",TRUE)</f>
        <v>IHI</v>
      </c>
      <c r="C62" s="23" t="str" cm="1">
        <f t="array" aca="1" ref="C62" ca="1">_FV(A62,"Name")</f>
        <v>iShares:US Med Dev ETF</v>
      </c>
      <c r="D62" cm="1" vm="13384">
        <f t="array" aca="1" ref="D62:IW62" ca="1">TRANSPOSE(_xlfn.STOCKHISTORY(B62, WORKDAY(TODAY(), -265), TODAY(), 0, 0, 1))</f>
        <v>59.42</v>
      </c>
      <c r="E62" s="23" vm="11083">
        <f ca="1"/>
        <v>59.4</v>
      </c>
      <c r="F62" s="23" vm="13385">
        <f ca="1"/>
        <v>57.92</v>
      </c>
      <c r="G62" s="23" vm="8678">
        <f ca="1"/>
        <v>57.93</v>
      </c>
      <c r="H62" s="23" vm="11895">
        <f ca="1"/>
        <v>58.81</v>
      </c>
      <c r="I62" s="23" vm="13386">
        <f ca="1"/>
        <v>58.87</v>
      </c>
      <c r="J62" s="23" vm="3016">
        <f ca="1"/>
        <v>59.3</v>
      </c>
      <c r="K62" s="23" vm="13387">
        <f ca="1"/>
        <v>59.56</v>
      </c>
      <c r="L62" s="23" vm="3015">
        <f ca="1"/>
        <v>59.29</v>
      </c>
      <c r="M62" s="23" vm="13388">
        <f ca="1"/>
        <v>58.46</v>
      </c>
      <c r="N62" s="23" vm="13389">
        <f ca="1"/>
        <v>58.35</v>
      </c>
      <c r="O62" s="23" vm="11079">
        <f ca="1"/>
        <v>58.32</v>
      </c>
      <c r="P62" s="23" vm="8639">
        <f ca="1"/>
        <v>59.15</v>
      </c>
      <c r="Q62" s="23" vm="1586">
        <f ca="1"/>
        <v>59.48</v>
      </c>
      <c r="R62" s="23" vm="13390">
        <f ca="1"/>
        <v>59.51</v>
      </c>
      <c r="S62" s="23" vm="8631">
        <f ca="1"/>
        <v>60.4</v>
      </c>
      <c r="T62" s="23" vm="13391">
        <f ca="1"/>
        <v>59.85</v>
      </c>
      <c r="U62" s="23" vm="13392">
        <f ca="1"/>
        <v>59.7</v>
      </c>
      <c r="V62" s="23" vm="8629">
        <f ca="1"/>
        <v>59.74</v>
      </c>
      <c r="W62" s="23" vm="13393">
        <f ca="1"/>
        <v>60.62</v>
      </c>
      <c r="X62" s="23" vm="1602">
        <f ca="1"/>
        <v>61.61</v>
      </c>
      <c r="Y62" s="23" vm="9666">
        <f ca="1"/>
        <v>61.84</v>
      </c>
      <c r="Z62" s="23" vm="2540">
        <f ca="1"/>
        <v>63.08</v>
      </c>
      <c r="AA62" s="23" vm="2353">
        <f ca="1"/>
        <v>63.25</v>
      </c>
      <c r="AB62" s="23" vm="9660">
        <f ca="1"/>
        <v>63.91</v>
      </c>
      <c r="AC62" s="23" vm="8712">
        <f ca="1"/>
        <v>63.87</v>
      </c>
      <c r="AD62" vm="11430">
        <f ca="1"/>
        <v>64.319999999999993</v>
      </c>
      <c r="AE62" vm="2733">
        <f ca="1"/>
        <v>64.13</v>
      </c>
      <c r="AF62" vm="8810">
        <f ca="1"/>
        <v>64.040000000000006</v>
      </c>
      <c r="AG62" vm="3047">
        <f ca="1"/>
        <v>64.55</v>
      </c>
      <c r="AH62" vm="8813">
        <f ca="1"/>
        <v>63.81</v>
      </c>
      <c r="AI62" vm="2742">
        <f ca="1"/>
        <v>64.11</v>
      </c>
      <c r="AJ62" vm="13394">
        <f ca="1"/>
        <v>64.17</v>
      </c>
      <c r="AK62" vm="11395">
        <f ca="1"/>
        <v>65.09</v>
      </c>
      <c r="AL62" vm="8810">
        <f ca="1"/>
        <v>64.040000000000006</v>
      </c>
      <c r="AM62" vm="8813">
        <f ca="1"/>
        <v>63.81</v>
      </c>
      <c r="AN62" vm="9725">
        <f ca="1"/>
        <v>64.38</v>
      </c>
      <c r="AO62" vm="2733">
        <f ca="1"/>
        <v>64.13</v>
      </c>
      <c r="AP62" vm="8659">
        <f ca="1"/>
        <v>63.86</v>
      </c>
      <c r="AQ62" vm="8854">
        <f ca="1"/>
        <v>64.45</v>
      </c>
      <c r="AR62" vm="1153">
        <f ca="1"/>
        <v>64.349999999999994</v>
      </c>
      <c r="AS62" vm="13395">
        <f ca="1"/>
        <v>64.25</v>
      </c>
      <c r="AT62" vm="11417">
        <f ca="1"/>
        <v>64.84</v>
      </c>
      <c r="AU62" vm="11417">
        <f ca="1"/>
        <v>64.84</v>
      </c>
      <c r="AV62" vm="1469">
        <f ca="1"/>
        <v>64.36</v>
      </c>
      <c r="AW62" vm="8864">
        <f ca="1"/>
        <v>64.7</v>
      </c>
      <c r="AX62" vm="8713">
        <f ca="1"/>
        <v>63.98</v>
      </c>
      <c r="AY62" vm="11444">
        <f ca="1"/>
        <v>64.260000000000005</v>
      </c>
      <c r="AZ62" vm="13396">
        <f ca="1"/>
        <v>63.16</v>
      </c>
      <c r="BA62" vm="11453">
        <f ca="1"/>
        <v>63.77</v>
      </c>
      <c r="BB62" vm="13397">
        <f ca="1"/>
        <v>63.92</v>
      </c>
      <c r="BC62" vm="13398">
        <f ca="1"/>
        <v>63.11</v>
      </c>
      <c r="BD62" vm="8657">
        <f ca="1"/>
        <v>63.43</v>
      </c>
      <c r="BE62" vm="8704">
        <f ca="1"/>
        <v>61.99</v>
      </c>
      <c r="BF62" vm="1463">
        <f ca="1"/>
        <v>61.92</v>
      </c>
      <c r="BG62" vm="13399">
        <f ca="1"/>
        <v>60.36</v>
      </c>
      <c r="BH62" vm="8674">
        <f ca="1"/>
        <v>59.87</v>
      </c>
      <c r="BI62" vm="13400">
        <f ca="1"/>
        <v>59.34</v>
      </c>
      <c r="BJ62" vm="11067">
        <f ca="1"/>
        <v>58.58</v>
      </c>
      <c r="BK62" vm="13401">
        <f ca="1"/>
        <v>59.17</v>
      </c>
      <c r="BL62" vm="8671">
        <f ca="1"/>
        <v>59.81</v>
      </c>
      <c r="BM62" vm="13402">
        <f ca="1"/>
        <v>59.52</v>
      </c>
      <c r="BN62" vm="13403">
        <f ca="1"/>
        <v>59.99</v>
      </c>
      <c r="BO62" vm="8636">
        <f ca="1"/>
        <v>59.92</v>
      </c>
      <c r="BP62" vm="11095">
        <f ca="1"/>
        <v>59.61</v>
      </c>
      <c r="BQ62" vm="1589">
        <f ca="1"/>
        <v>60.46</v>
      </c>
      <c r="BR62" vm="8668">
        <f ca="1"/>
        <v>60.29</v>
      </c>
      <c r="BS62" vm="8636">
        <f ca="1"/>
        <v>59.92</v>
      </c>
      <c r="BT62" vm="8862">
        <f ca="1"/>
        <v>60.22</v>
      </c>
      <c r="BU62" vm="13384">
        <f ca="1"/>
        <v>59.42</v>
      </c>
      <c r="BV62" vm="8673">
        <f ca="1"/>
        <v>60.19</v>
      </c>
      <c r="BW62" vm="9706">
        <f ca="1"/>
        <v>59.96</v>
      </c>
      <c r="BX62" vm="8641">
        <f ca="1"/>
        <v>60.3</v>
      </c>
      <c r="BY62" vm="1654">
        <f ca="1"/>
        <v>58.75</v>
      </c>
      <c r="BZ62" vm="11056">
        <f ca="1"/>
        <v>55</v>
      </c>
      <c r="CA62" vm="13404">
        <f ca="1"/>
        <v>55.38</v>
      </c>
      <c r="CB62" vm="13405">
        <f ca="1"/>
        <v>54.27</v>
      </c>
      <c r="CC62" vm="13406">
        <f ca="1"/>
        <v>58.14</v>
      </c>
      <c r="CD62" vm="13407">
        <f ca="1"/>
        <v>55.89</v>
      </c>
      <c r="CE62" vm="1533">
        <f ca="1"/>
        <v>56.48</v>
      </c>
      <c r="CF62" vm="13408">
        <f ca="1"/>
        <v>57.07</v>
      </c>
      <c r="CG62" vm="1221">
        <f ca="1"/>
        <v>56.65</v>
      </c>
      <c r="CH62" vm="1221">
        <f ca="1"/>
        <v>56.65</v>
      </c>
      <c r="CI62" vm="10077">
        <f ca="1"/>
        <v>56.93</v>
      </c>
      <c r="CJ62" vm="9674">
        <f ca="1"/>
        <v>55.97</v>
      </c>
      <c r="CK62" vm="10077">
        <f ca="1"/>
        <v>56.93</v>
      </c>
      <c r="CL62" vm="2959">
        <f ca="1"/>
        <v>57.69</v>
      </c>
      <c r="CM62" vm="3014">
        <f ca="1"/>
        <v>59.2</v>
      </c>
      <c r="CN62" vm="8640">
        <f ca="1"/>
        <v>59.49</v>
      </c>
      <c r="CO62" vm="1586">
        <f ca="1"/>
        <v>59.48</v>
      </c>
      <c r="CP62" vm="8629">
        <f ca="1"/>
        <v>59.74</v>
      </c>
      <c r="CQ62" vm="1600">
        <f ca="1"/>
        <v>59.79</v>
      </c>
      <c r="CR62" vm="13409">
        <f ca="1"/>
        <v>59.27</v>
      </c>
      <c r="CS62" vm="13410">
        <f ca="1"/>
        <v>60.47</v>
      </c>
      <c r="CT62" vm="13411">
        <f ca="1"/>
        <v>60.05</v>
      </c>
      <c r="CU62" vm="9704">
        <f ca="1"/>
        <v>59.86</v>
      </c>
      <c r="CV62" vm="9710">
        <f ca="1"/>
        <v>60.55</v>
      </c>
      <c r="CW62" vm="11358">
        <f ca="1"/>
        <v>60.75</v>
      </c>
      <c r="CX62" vm="13412">
        <f ca="1"/>
        <v>60.72</v>
      </c>
      <c r="CY62" vm="13413">
        <f ca="1"/>
        <v>62.02</v>
      </c>
      <c r="CZ62" vm="13414">
        <f ca="1"/>
        <v>61.67</v>
      </c>
      <c r="DA62" vm="1100">
        <f ca="1"/>
        <v>61.48</v>
      </c>
      <c r="DB62" vm="11373">
        <f ca="1"/>
        <v>62.15</v>
      </c>
      <c r="DC62" vm="11375">
        <f ca="1"/>
        <v>62.87</v>
      </c>
      <c r="DD62" vm="13415">
        <f ca="1"/>
        <v>63.01</v>
      </c>
      <c r="DE62" vm="1465">
        <f ca="1"/>
        <v>62.7</v>
      </c>
      <c r="DF62" vm="13416">
        <f ca="1"/>
        <v>61.32</v>
      </c>
      <c r="DG62" vm="1657">
        <f ca="1"/>
        <v>60.88</v>
      </c>
      <c r="DH62" vm="13417">
        <f ca="1"/>
        <v>60.71</v>
      </c>
      <c r="DI62" vm="13418">
        <f ca="1"/>
        <v>61.9</v>
      </c>
      <c r="DJ62" vm="9667">
        <f ca="1"/>
        <v>61.63</v>
      </c>
      <c r="DK62" vm="10097">
        <f ca="1"/>
        <v>61.86</v>
      </c>
      <c r="DL62" vm="11370">
        <f ca="1"/>
        <v>61.89</v>
      </c>
      <c r="DM62" vm="13419">
        <f ca="1"/>
        <v>61.6</v>
      </c>
      <c r="DN62" vm="13420">
        <f ca="1"/>
        <v>61.87</v>
      </c>
      <c r="DO62" vm="8702">
        <f ca="1"/>
        <v>61.82</v>
      </c>
      <c r="DP62" vm="8643">
        <f ca="1"/>
        <v>62.03</v>
      </c>
      <c r="DQ62" vm="8647">
        <f ca="1"/>
        <v>62.08</v>
      </c>
      <c r="DR62" vm="8651">
        <f ca="1"/>
        <v>61.29</v>
      </c>
      <c r="DS62" vm="8708">
        <f ca="1"/>
        <v>61.62</v>
      </c>
      <c r="DT62" vm="8863">
        <f ca="1"/>
        <v>61.31</v>
      </c>
      <c r="DU62" vm="13421">
        <f ca="1"/>
        <v>61.21</v>
      </c>
      <c r="DV62" vm="13422">
        <f ca="1"/>
        <v>60.82</v>
      </c>
      <c r="DW62" vm="8699">
        <f ca="1"/>
        <v>61.08</v>
      </c>
      <c r="DX62" vm="8638">
        <f ca="1"/>
        <v>60.31</v>
      </c>
      <c r="DY62" vm="9705">
        <f ca="1"/>
        <v>60.23</v>
      </c>
      <c r="DZ62" vm="8641">
        <f ca="1"/>
        <v>60.3</v>
      </c>
      <c r="EA62" vm="13393">
        <f ca="1"/>
        <v>60.62</v>
      </c>
      <c r="EB62" vm="11370">
        <f ca="1"/>
        <v>61.89</v>
      </c>
      <c r="EC62" vm="41">
        <f ca="1"/>
        <v>61.77</v>
      </c>
      <c r="ED62" vm="8648">
        <f ca="1"/>
        <v>61.79</v>
      </c>
      <c r="EE62" vm="11356">
        <f ca="1"/>
        <v>62.07</v>
      </c>
      <c r="EF62" vm="13423">
        <f ca="1"/>
        <v>62.64</v>
      </c>
      <c r="EG62" vm="8645">
        <f ca="1"/>
        <v>62.49</v>
      </c>
      <c r="EH62" vm="1481">
        <f ca="1"/>
        <v>62.16</v>
      </c>
      <c r="EI62" vm="13424">
        <f ca="1"/>
        <v>62.3</v>
      </c>
      <c r="EJ62" vm="2356">
        <f ca="1"/>
        <v>61.59</v>
      </c>
      <c r="EK62" vm="1100">
        <f ca="1"/>
        <v>61.48</v>
      </c>
      <c r="EL62" vm="66">
        <f ca="1"/>
        <v>61.69</v>
      </c>
      <c r="EM62" vm="8643">
        <f ca="1"/>
        <v>62.03</v>
      </c>
      <c r="EN62" vm="13425">
        <f ca="1"/>
        <v>60.97</v>
      </c>
      <c r="EO62" vm="8665">
        <f ca="1"/>
        <v>61.2</v>
      </c>
      <c r="EP62" vm="8672">
        <f ca="1"/>
        <v>60.76</v>
      </c>
      <c r="EQ62" vm="11359">
        <f ca="1"/>
        <v>60.81</v>
      </c>
      <c r="ER62" vm="10107">
        <f ca="1"/>
        <v>59.97</v>
      </c>
      <c r="ES62" vm="11896">
        <f ca="1"/>
        <v>60.06</v>
      </c>
      <c r="ET62" vm="10104">
        <f ca="1"/>
        <v>59.93</v>
      </c>
      <c r="EU62" vm="1658">
        <f ca="1"/>
        <v>60.54</v>
      </c>
      <c r="EV62" vm="9642">
        <f ca="1"/>
        <v>61.13</v>
      </c>
      <c r="EW62" vm="8635">
        <f ca="1"/>
        <v>60.68</v>
      </c>
      <c r="EX62" vm="13426">
        <f ca="1"/>
        <v>61.43</v>
      </c>
      <c r="EY62" vm="13427">
        <f ca="1"/>
        <v>61.17</v>
      </c>
      <c r="EZ62" vm="13428">
        <f ca="1"/>
        <v>61.46</v>
      </c>
      <c r="FA62" vm="1101">
        <f ca="1"/>
        <v>61.4</v>
      </c>
      <c r="FB62" vm="9655">
        <f ca="1"/>
        <v>59.69</v>
      </c>
      <c r="FC62" vm="8637">
        <f ca="1"/>
        <v>59.66</v>
      </c>
      <c r="FD62" vm="8633">
        <f ca="1"/>
        <v>61.1</v>
      </c>
      <c r="FE62" vm="13410">
        <f ca="1"/>
        <v>60.47</v>
      </c>
      <c r="FF62" vm="13429">
        <f ca="1"/>
        <v>59.78</v>
      </c>
      <c r="FG62" vm="10291">
        <f ca="1"/>
        <v>60.64</v>
      </c>
      <c r="FH62" vm="13416">
        <f ca="1"/>
        <v>61.32</v>
      </c>
      <c r="FI62" vm="8699">
        <f ca="1"/>
        <v>61.08</v>
      </c>
      <c r="FJ62" vm="9641">
        <f ca="1"/>
        <v>61.49</v>
      </c>
      <c r="FK62" vm="8648">
        <f ca="1"/>
        <v>61.79</v>
      </c>
      <c r="FL62" vm="2356">
        <f ca="1"/>
        <v>61.59</v>
      </c>
      <c r="FM62" vm="13418">
        <f ca="1"/>
        <v>61.9</v>
      </c>
      <c r="FN62" vm="9667">
        <f ca="1"/>
        <v>61.63</v>
      </c>
      <c r="FO62" vm="11370">
        <f ca="1"/>
        <v>61.89</v>
      </c>
      <c r="FP62" vm="1597">
        <f ca="1"/>
        <v>62.59</v>
      </c>
      <c r="FQ62" vm="11087">
        <f ca="1"/>
        <v>61.91</v>
      </c>
      <c r="FR62" vm="11375">
        <f ca="1"/>
        <v>62.87</v>
      </c>
      <c r="FS62" vm="13413">
        <f ca="1"/>
        <v>62.02</v>
      </c>
      <c r="FT62" vm="13430">
        <f ca="1"/>
        <v>62.21</v>
      </c>
      <c r="FU62" vm="13104">
        <f ca="1"/>
        <v>62.09</v>
      </c>
      <c r="FV62" vm="11087">
        <f ca="1"/>
        <v>61.91</v>
      </c>
      <c r="FW62" vm="11373">
        <f ca="1"/>
        <v>62.15</v>
      </c>
      <c r="FX62" vm="2727">
        <f ca="1"/>
        <v>61.68</v>
      </c>
      <c r="FY62" vm="9721">
        <f ca="1"/>
        <v>61.28</v>
      </c>
      <c r="FZ62" vm="11369">
        <f ca="1"/>
        <v>61.95</v>
      </c>
      <c r="GA62" vm="13431">
        <f ca="1"/>
        <v>62.44</v>
      </c>
      <c r="GB62" vm="13432">
        <f ca="1"/>
        <v>62.53</v>
      </c>
      <c r="GC62" vm="1594">
        <f ca="1"/>
        <v>62.48</v>
      </c>
      <c r="GD62" vm="13433">
        <f ca="1"/>
        <v>60.9</v>
      </c>
      <c r="GE62" vm="8628">
        <f ca="1"/>
        <v>61.78</v>
      </c>
      <c r="GF62" vm="8855">
        <f ca="1"/>
        <v>61.27</v>
      </c>
      <c r="GG62" vm="9645">
        <f ca="1"/>
        <v>60.34</v>
      </c>
      <c r="GH62" vm="8666">
        <f ca="1"/>
        <v>60.35</v>
      </c>
      <c r="GI62" vm="8666">
        <f ca="1"/>
        <v>60.35</v>
      </c>
      <c r="GJ62" vm="10105">
        <f ca="1"/>
        <v>60.59</v>
      </c>
      <c r="GK62" vm="13434">
        <f ca="1"/>
        <v>60.33</v>
      </c>
      <c r="GL62" vm="10281">
        <f ca="1"/>
        <v>60.51</v>
      </c>
      <c r="GM62" vm="1589">
        <f ca="1"/>
        <v>60.46</v>
      </c>
      <c r="GN62" vm="9670">
        <f ca="1"/>
        <v>59.95</v>
      </c>
      <c r="GO62" vm="3015">
        <f ca="1"/>
        <v>59.29</v>
      </c>
      <c r="GP62" vm="9650">
        <f ca="1"/>
        <v>59.68</v>
      </c>
      <c r="GQ62" vm="3020">
        <f ca="1"/>
        <v>59.44</v>
      </c>
      <c r="GR62" vm="11096">
        <f ca="1"/>
        <v>60.08</v>
      </c>
      <c r="GS62" vm="1095">
        <f ca="1"/>
        <v>59.53</v>
      </c>
      <c r="GT62" vm="9670">
        <f ca="1"/>
        <v>59.95</v>
      </c>
      <c r="GU62" vm="13435">
        <f ca="1"/>
        <v>60.63</v>
      </c>
      <c r="GV62" vm="8638">
        <f ca="1"/>
        <v>60.31</v>
      </c>
      <c r="GW62" vm="9706">
        <f ca="1"/>
        <v>59.96</v>
      </c>
      <c r="GX62" vm="13410">
        <f ca="1"/>
        <v>60.47</v>
      </c>
      <c r="GY62" vm="13411">
        <f ca="1"/>
        <v>60.05</v>
      </c>
      <c r="GZ62" vm="13436">
        <f ca="1"/>
        <v>58.83</v>
      </c>
      <c r="HA62" vm="13437">
        <f ca="1"/>
        <v>58.86</v>
      </c>
      <c r="HB62" vm="13438">
        <f ca="1"/>
        <v>59.45</v>
      </c>
      <c r="HC62" vm="3014">
        <f ca="1"/>
        <v>59.2</v>
      </c>
      <c r="HD62" vm="9681">
        <f ca="1"/>
        <v>59.12</v>
      </c>
      <c r="HE62" vm="13439">
        <f ca="1"/>
        <v>59.82</v>
      </c>
      <c r="HF62" vm="10291">
        <f ca="1"/>
        <v>60.64</v>
      </c>
      <c r="HG62" vm="10281">
        <f ca="1"/>
        <v>60.51</v>
      </c>
      <c r="HH62" vm="11372">
        <f ca="1"/>
        <v>62.13</v>
      </c>
      <c r="HI62" vm="11373">
        <f ca="1"/>
        <v>62.15</v>
      </c>
      <c r="HJ62" vm="13420">
        <f ca="1"/>
        <v>61.87</v>
      </c>
      <c r="HK62" vm="11396">
        <f ca="1"/>
        <v>62.39</v>
      </c>
      <c r="HL62" vm="13420">
        <f ca="1"/>
        <v>61.87</v>
      </c>
      <c r="HM62" vm="8699">
        <f ca="1"/>
        <v>61.08</v>
      </c>
      <c r="HN62" vm="13440">
        <f ca="1"/>
        <v>60.69</v>
      </c>
      <c r="HO62" vm="8673">
        <f ca="1"/>
        <v>60.19</v>
      </c>
      <c r="HP62" vm="9669">
        <f ca="1"/>
        <v>60.74</v>
      </c>
      <c r="HQ62" vm="13441">
        <f ca="1"/>
        <v>61.03</v>
      </c>
      <c r="HR62" vm="13442">
        <f ca="1"/>
        <v>60.6</v>
      </c>
      <c r="HS62" vm="8635">
        <f ca="1"/>
        <v>60.68</v>
      </c>
      <c r="HT62" vm="13443">
        <f ca="1"/>
        <v>61.26</v>
      </c>
      <c r="HU62" vm="41">
        <f ca="1"/>
        <v>61.77</v>
      </c>
      <c r="HV62" vm="8859">
        <f ca="1"/>
        <v>62.56</v>
      </c>
      <c r="HW62" vm="13444">
        <f ca="1"/>
        <v>63.18</v>
      </c>
      <c r="HX62" vm="9716">
        <f ca="1"/>
        <v>62.96</v>
      </c>
      <c r="HY62" vm="1477">
        <f ca="1"/>
        <v>62.31</v>
      </c>
      <c r="HZ62" vm="11090">
        <f ca="1"/>
        <v>61.7</v>
      </c>
      <c r="IA62" vm="2728">
        <f ca="1"/>
        <v>61.8</v>
      </c>
      <c r="IB62" vm="1463">
        <f ca="1"/>
        <v>61.92</v>
      </c>
      <c r="IC62" vm="1464">
        <f ca="1"/>
        <v>61.14</v>
      </c>
      <c r="ID62" vm="1465">
        <f ca="1"/>
        <v>62.7</v>
      </c>
      <c r="IE62" vm="1466">
        <f ca="1"/>
        <v>63.35</v>
      </c>
      <c r="IF62" vm="1467">
        <f ca="1"/>
        <v>64.47</v>
      </c>
      <c r="IG62" vm="1468">
        <f ca="1"/>
        <v>64.33</v>
      </c>
      <c r="IH62" vm="1469">
        <f ca="1"/>
        <v>64.36</v>
      </c>
      <c r="II62" vm="1470">
        <f ca="1"/>
        <v>63.62</v>
      </c>
      <c r="IJ62" vm="1471">
        <f ca="1"/>
        <v>63.17</v>
      </c>
      <c r="IK62" vm="1472">
        <f ca="1"/>
        <v>63.22</v>
      </c>
      <c r="IL62" vm="1473">
        <f ca="1"/>
        <v>63.31</v>
      </c>
      <c r="IM62" vm="1474">
        <f ca="1"/>
        <v>63.48</v>
      </c>
      <c r="IN62" vm="1475">
        <f ca="1"/>
        <v>62.28</v>
      </c>
      <c r="IO62" vm="1476">
        <f ca="1"/>
        <v>61.74</v>
      </c>
      <c r="IP62" vm="1477">
        <f ca="1"/>
        <v>62.31</v>
      </c>
      <c r="IQ62" vm="1478">
        <f ca="1"/>
        <v>62.25</v>
      </c>
      <c r="IR62" vm="1479">
        <f ca="1"/>
        <v>62.19</v>
      </c>
      <c r="IS62" vm="1480">
        <f ca="1"/>
        <v>62.68</v>
      </c>
      <c r="IT62" vm="1481">
        <f ca="1"/>
        <v>62.16</v>
      </c>
      <c r="IU62" vm="1482">
        <f ca="1"/>
        <v>62.29</v>
      </c>
      <c r="IV62" vm="1483">
        <f ca="1"/>
        <v>62.34</v>
      </c>
      <c r="IW62" vm="102">
        <f ca="1"/>
        <v>62.63</v>
      </c>
    </row>
    <row r="63" spans="1:257" ht="16" x14ac:dyDescent="0.2">
      <c r="A63" s="1" t="e" vm="1484">
        <v>#VALUE!</v>
      </c>
      <c r="B63" s="23" t="str" cm="1">
        <f t="array" aca="1" ref="B63" ca="1">_FV(A63,"ticker symbol",TRUE)</f>
        <v>XHE</v>
      </c>
      <c r="C63" s="23" t="str" cm="1">
        <f t="array" aca="1" ref="C63" ca="1">_FV(A63,"Name")</f>
        <v>SS SPDR S&amp;P Hlth Care Eq</v>
      </c>
      <c r="D63" cm="1" vm="7281">
        <f t="array" aca="1" ref="D63:IW63" ca="1">TRANSPOSE(_xlfn.STOCKHISTORY(B63, WORKDAY(TODAY(), -265), TODAY(), 0, 0, 1))</f>
        <v>90.89</v>
      </c>
      <c r="E63" s="23" vm="6839">
        <f ca="1"/>
        <v>90.83</v>
      </c>
      <c r="F63" s="23" vm="13445">
        <f ca="1"/>
        <v>88.248000000000005</v>
      </c>
      <c r="G63" s="23" vm="13446">
        <f ca="1"/>
        <v>88.099900000000005</v>
      </c>
      <c r="H63" s="23" vm="12499">
        <f ca="1"/>
        <v>89.31</v>
      </c>
      <c r="I63" s="23" vm="1489">
        <f ca="1"/>
        <v>89.05</v>
      </c>
      <c r="J63" s="23" vm="13447">
        <f ca="1"/>
        <v>89.6</v>
      </c>
      <c r="K63" s="23" vm="7946">
        <f ca="1"/>
        <v>90.32</v>
      </c>
      <c r="L63" s="23" vm="6748">
        <f ca="1"/>
        <v>89.46</v>
      </c>
      <c r="M63" s="23" vm="6215">
        <f ca="1"/>
        <v>88.28</v>
      </c>
      <c r="N63" s="23" vm="597">
        <f ca="1"/>
        <v>88.51</v>
      </c>
      <c r="O63" s="23" vm="6205">
        <f ca="1"/>
        <v>88.97</v>
      </c>
      <c r="P63" s="23" vm="13448">
        <f ca="1"/>
        <v>89.96</v>
      </c>
      <c r="Q63" s="23" vm="6080">
        <f ca="1"/>
        <v>91.22</v>
      </c>
      <c r="R63" s="23" vm="13449">
        <f ca="1"/>
        <v>91.5</v>
      </c>
      <c r="S63" s="23" vm="13450">
        <f ca="1"/>
        <v>91.94</v>
      </c>
      <c r="T63" s="23" vm="6803">
        <f ca="1"/>
        <v>90.49</v>
      </c>
      <c r="U63" s="23" vm="13451">
        <f ca="1"/>
        <v>90.7</v>
      </c>
      <c r="V63" s="23" vm="6823">
        <f ca="1"/>
        <v>90.12</v>
      </c>
      <c r="W63" s="23" vm="13452">
        <f ca="1"/>
        <v>90.9</v>
      </c>
      <c r="X63" s="23" vm="13453">
        <f ca="1"/>
        <v>92.12</v>
      </c>
      <c r="Y63" s="23" vm="6120">
        <f ca="1"/>
        <v>92.43</v>
      </c>
      <c r="Z63" s="23" vm="4537">
        <f ca="1"/>
        <v>94.38</v>
      </c>
      <c r="AA63" s="23" vm="13454">
        <f ca="1"/>
        <v>94.29</v>
      </c>
      <c r="AB63" s="23" vm="1329">
        <f ca="1"/>
        <v>94.63</v>
      </c>
      <c r="AC63" s="23" vm="10818">
        <f ca="1"/>
        <v>95.1</v>
      </c>
      <c r="AD63" vm="1323">
        <f ca="1"/>
        <v>95.69</v>
      </c>
      <c r="AE63" vm="2044">
        <f ca="1"/>
        <v>95.47</v>
      </c>
      <c r="AF63" vm="2036">
        <f ca="1"/>
        <v>95.2</v>
      </c>
      <c r="AG63" vm="13455">
        <f ca="1"/>
        <v>95.67</v>
      </c>
      <c r="AH63" vm="12467">
        <f ca="1"/>
        <v>94.58</v>
      </c>
      <c r="AI63" vm="13456">
        <f ca="1"/>
        <v>93.900300000000001</v>
      </c>
      <c r="AJ63" vm="13457">
        <f ca="1"/>
        <v>94.71</v>
      </c>
      <c r="AK63" vm="13458">
        <f ca="1"/>
        <v>95.725200000000001</v>
      </c>
      <c r="AL63" vm="13459">
        <f ca="1"/>
        <v>93.93</v>
      </c>
      <c r="AM63" vm="5578">
        <f ca="1"/>
        <v>92.53</v>
      </c>
      <c r="AN63" vm="13460">
        <f ca="1"/>
        <v>92.75</v>
      </c>
      <c r="AO63" vm="4476">
        <f ca="1"/>
        <v>91.9</v>
      </c>
      <c r="AP63" vm="12977">
        <f ca="1"/>
        <v>90.77</v>
      </c>
      <c r="AQ63" vm="1317">
        <f ca="1"/>
        <v>91.74</v>
      </c>
      <c r="AR63" vm="13461">
        <f ca="1"/>
        <v>91.36</v>
      </c>
      <c r="AS63" vm="7940">
        <f ca="1"/>
        <v>91.66</v>
      </c>
      <c r="AT63" vm="6827">
        <f ca="1"/>
        <v>92.15</v>
      </c>
      <c r="AU63" vm="7941">
        <f ca="1"/>
        <v>91.51</v>
      </c>
      <c r="AV63" vm="13462">
        <f ca="1"/>
        <v>90.02</v>
      </c>
      <c r="AW63" vm="6807">
        <f ca="1"/>
        <v>91.01</v>
      </c>
      <c r="AX63" vm="452">
        <f ca="1"/>
        <v>90.45</v>
      </c>
      <c r="AY63" vm="1318">
        <f ca="1"/>
        <v>91.08</v>
      </c>
      <c r="AZ63" vm="13463">
        <f ca="1"/>
        <v>88.186800000000005</v>
      </c>
      <c r="BA63" vm="13464">
        <f ca="1"/>
        <v>88.552199999999999</v>
      </c>
      <c r="BB63" vm="13465">
        <f ca="1"/>
        <v>87.2607</v>
      </c>
      <c r="BC63" vm="10219">
        <f ca="1"/>
        <v>86.56</v>
      </c>
      <c r="BD63" vm="13466">
        <f ca="1"/>
        <v>87.009100000000004</v>
      </c>
      <c r="BE63" vm="13467">
        <f ca="1"/>
        <v>85.23</v>
      </c>
      <c r="BF63" vm="13468">
        <f ca="1"/>
        <v>85.89</v>
      </c>
      <c r="BG63" vm="13469">
        <f ca="1"/>
        <v>83.65</v>
      </c>
      <c r="BH63" vm="1969">
        <f ca="1"/>
        <v>83.87</v>
      </c>
      <c r="BI63" vm="1884">
        <f ca="1"/>
        <v>82.54</v>
      </c>
      <c r="BJ63" vm="13470">
        <f ca="1"/>
        <v>81.045000000000002</v>
      </c>
      <c r="BK63" vm="13471">
        <f ca="1"/>
        <v>82.456999999999994</v>
      </c>
      <c r="BL63" vm="13472">
        <f ca="1"/>
        <v>83.97</v>
      </c>
      <c r="BM63" vm="13473">
        <f ca="1"/>
        <v>83.1447</v>
      </c>
      <c r="BN63" vm="13474">
        <f ca="1"/>
        <v>84.014399999999995</v>
      </c>
      <c r="BO63" vm="12998">
        <f ca="1"/>
        <v>83.5</v>
      </c>
      <c r="BP63" vm="13475">
        <f ca="1"/>
        <v>82.94</v>
      </c>
      <c r="BQ63" vm="13476">
        <f ca="1"/>
        <v>84.806700000000006</v>
      </c>
      <c r="BR63" vm="13477">
        <f ca="1"/>
        <v>84.03</v>
      </c>
      <c r="BS63" vm="13478">
        <f ca="1"/>
        <v>83.143699999999995</v>
      </c>
      <c r="BT63" vm="1920">
        <f ca="1"/>
        <v>83.23</v>
      </c>
      <c r="BU63" vm="13479">
        <f ca="1"/>
        <v>81.849999999999994</v>
      </c>
      <c r="BV63" vm="1835">
        <f ca="1"/>
        <v>82.2</v>
      </c>
      <c r="BW63" vm="6000">
        <f ca="1"/>
        <v>81.760000000000005</v>
      </c>
      <c r="BX63" vm="13480">
        <f ca="1"/>
        <v>83</v>
      </c>
      <c r="BY63" vm="7225">
        <f ca="1"/>
        <v>78.849999999999994</v>
      </c>
      <c r="BZ63" vm="13481">
        <f ca="1"/>
        <v>75.11</v>
      </c>
      <c r="CA63" vm="13482">
        <f ca="1"/>
        <v>75.17</v>
      </c>
      <c r="CB63" vm="10414">
        <f ca="1"/>
        <v>72.34</v>
      </c>
      <c r="CC63" vm="13483">
        <f ca="1"/>
        <v>77.709999999999994</v>
      </c>
      <c r="CD63" vm="13484">
        <f ca="1"/>
        <v>74.534000000000006</v>
      </c>
      <c r="CE63" vm="8951">
        <f ca="1"/>
        <v>75.569999999999993</v>
      </c>
      <c r="CF63" vm="13485">
        <f ca="1"/>
        <v>76.603200000000001</v>
      </c>
      <c r="CG63" vm="13486">
        <f ca="1"/>
        <v>75.56</v>
      </c>
      <c r="CH63" vm="13487">
        <f ca="1"/>
        <v>74.91</v>
      </c>
      <c r="CI63" vm="13488">
        <f ca="1"/>
        <v>75.430000000000007</v>
      </c>
      <c r="CJ63" vm="13489">
        <f ca="1"/>
        <v>74.349999999999994</v>
      </c>
      <c r="CK63" vm="8930">
        <f ca="1"/>
        <v>75.59</v>
      </c>
      <c r="CL63" vm="7216">
        <f ca="1"/>
        <v>77.17</v>
      </c>
      <c r="CM63" vm="10142">
        <f ca="1"/>
        <v>79.41</v>
      </c>
      <c r="CN63" vm="10209">
        <f ca="1"/>
        <v>79.58</v>
      </c>
      <c r="CO63" vm="13490">
        <f ca="1"/>
        <v>79.611199999999997</v>
      </c>
      <c r="CP63" vm="13491">
        <f ca="1"/>
        <v>79.992999999999995</v>
      </c>
      <c r="CQ63" vm="13492">
        <f ca="1"/>
        <v>79.056899999999999</v>
      </c>
      <c r="CR63" vm="13493">
        <f ca="1"/>
        <v>78.965500000000006</v>
      </c>
      <c r="CS63" vm="13004">
        <f ca="1"/>
        <v>80.459999999999994</v>
      </c>
      <c r="CT63" vm="10150">
        <f ca="1"/>
        <v>79.010000000000005</v>
      </c>
      <c r="CU63" vm="12472">
        <f ca="1"/>
        <v>78.53</v>
      </c>
      <c r="CV63" vm="10143">
        <f ca="1"/>
        <v>79.27</v>
      </c>
      <c r="CW63" vm="5977">
        <f ca="1"/>
        <v>81.05</v>
      </c>
      <c r="CX63" vm="6026">
        <f ca="1"/>
        <v>80.78</v>
      </c>
      <c r="CY63" vm="1425">
        <f ca="1"/>
        <v>83.49</v>
      </c>
      <c r="CZ63" vm="3172">
        <f ca="1"/>
        <v>82.75</v>
      </c>
      <c r="DA63" vm="13494">
        <f ca="1"/>
        <v>81.815600000000003</v>
      </c>
      <c r="DB63" vm="13495">
        <f ca="1"/>
        <v>82.326400000000007</v>
      </c>
      <c r="DC63" vm="7271">
        <f ca="1"/>
        <v>83.73</v>
      </c>
      <c r="DD63" vm="13496">
        <f ca="1"/>
        <v>83.4</v>
      </c>
      <c r="DE63" vm="13497">
        <f ca="1"/>
        <v>83.3339</v>
      </c>
      <c r="DF63" vm="6026">
        <f ca="1"/>
        <v>80.78</v>
      </c>
      <c r="DG63" vm="13498">
        <f ca="1"/>
        <v>80.411299999999997</v>
      </c>
      <c r="DH63" vm="13499">
        <f ca="1"/>
        <v>80.003799999999998</v>
      </c>
      <c r="DI63" vm="13500">
        <f ca="1"/>
        <v>82.324399999999997</v>
      </c>
      <c r="DJ63" vm="13501">
        <f ca="1"/>
        <v>81.694999999999993</v>
      </c>
      <c r="DK63" vm="13502">
        <f ca="1"/>
        <v>81.721100000000007</v>
      </c>
      <c r="DL63" vm="10232">
        <f ca="1"/>
        <v>81.180000000000007</v>
      </c>
      <c r="DM63" vm="13503">
        <f ca="1"/>
        <v>80.180000000000007</v>
      </c>
      <c r="DN63" vm="13504">
        <f ca="1"/>
        <v>81.540199999999999</v>
      </c>
      <c r="DO63" vm="6002">
        <f ca="1"/>
        <v>81.22</v>
      </c>
      <c r="DP63" vm="13505">
        <f ca="1"/>
        <v>81.650999999999996</v>
      </c>
      <c r="DQ63" vm="1835">
        <f ca="1"/>
        <v>82.2</v>
      </c>
      <c r="DR63" vm="13506">
        <f ca="1"/>
        <v>82.21</v>
      </c>
      <c r="DS63" vm="13507">
        <f ca="1"/>
        <v>83.245000000000005</v>
      </c>
      <c r="DT63" vm="13508">
        <f ca="1"/>
        <v>82.29</v>
      </c>
      <c r="DU63" vm="5985">
        <f ca="1"/>
        <v>81.38</v>
      </c>
      <c r="DV63" vm="13509">
        <f ca="1"/>
        <v>80.081000000000003</v>
      </c>
      <c r="DW63" vm="6774">
        <f ca="1"/>
        <v>80.760000000000005</v>
      </c>
      <c r="DX63" vm="431">
        <f ca="1"/>
        <v>79.290000000000006</v>
      </c>
      <c r="DY63" vm="10146">
        <f ca="1"/>
        <v>79.150000000000006</v>
      </c>
      <c r="DZ63" vm="5941">
        <f ca="1"/>
        <v>79.349999999999994</v>
      </c>
      <c r="EA63" vm="13510">
        <f ca="1"/>
        <v>79.239999999999995</v>
      </c>
      <c r="EB63" vm="13511">
        <f ca="1"/>
        <v>80.952799999999996</v>
      </c>
      <c r="EC63" vm="5943">
        <f ca="1"/>
        <v>80.61</v>
      </c>
      <c r="ED63" vm="6029">
        <f ca="1"/>
        <v>80.64</v>
      </c>
      <c r="EE63" vm="6010">
        <f ca="1"/>
        <v>80.88</v>
      </c>
      <c r="EF63" vm="13512">
        <f ca="1"/>
        <v>81.209999999999994</v>
      </c>
      <c r="EG63" vm="6014">
        <f ca="1"/>
        <v>81.650000000000006</v>
      </c>
      <c r="EH63" vm="5973">
        <f ca="1"/>
        <v>81.72</v>
      </c>
      <c r="EI63" vm="13513">
        <f ca="1"/>
        <v>81.853800000000007</v>
      </c>
      <c r="EJ63" vm="13514">
        <f ca="1"/>
        <v>79.938000000000002</v>
      </c>
      <c r="EK63" vm="12986">
        <f ca="1"/>
        <v>81.099999999999994</v>
      </c>
      <c r="EL63" vm="6014">
        <f ca="1"/>
        <v>81.650000000000006</v>
      </c>
      <c r="EM63" vm="1950">
        <f ca="1"/>
        <v>82.48</v>
      </c>
      <c r="EN63" vm="13515">
        <f ca="1"/>
        <v>79.95</v>
      </c>
      <c r="EO63" vm="6018">
        <f ca="1"/>
        <v>79.78</v>
      </c>
      <c r="EP63" vm="6038">
        <f ca="1"/>
        <v>78.25</v>
      </c>
      <c r="EQ63" vm="13516">
        <f ca="1"/>
        <v>78.150000000000006</v>
      </c>
      <c r="ER63" vm="13517">
        <f ca="1"/>
        <v>77.89</v>
      </c>
      <c r="ES63" vm="6058">
        <f ca="1"/>
        <v>76.709999999999994</v>
      </c>
      <c r="ET63" vm="13518">
        <f ca="1"/>
        <v>76.61</v>
      </c>
      <c r="EU63" vm="13519">
        <f ca="1"/>
        <v>78.055000000000007</v>
      </c>
      <c r="EV63" vm="13520">
        <f ca="1"/>
        <v>80</v>
      </c>
      <c r="EW63" vm="13521">
        <f ca="1"/>
        <v>78.709999999999994</v>
      </c>
      <c r="EX63" vm="5918">
        <f ca="1"/>
        <v>79.69</v>
      </c>
      <c r="EY63" vm="442">
        <f ca="1"/>
        <v>79.28</v>
      </c>
      <c r="EZ63" vm="13522">
        <f ca="1"/>
        <v>78.97</v>
      </c>
      <c r="FA63" vm="7200">
        <f ca="1"/>
        <v>78.34</v>
      </c>
      <c r="FB63" vm="13523">
        <f ca="1"/>
        <v>76.201599999999999</v>
      </c>
      <c r="FC63" vm="13524">
        <f ca="1"/>
        <v>76.475899999999996</v>
      </c>
      <c r="FD63" vm="13525">
        <f ca="1"/>
        <v>78.198300000000003</v>
      </c>
      <c r="FE63" vm="13526">
        <f ca="1"/>
        <v>78.074299999999994</v>
      </c>
      <c r="FF63" vm="13527">
        <f ca="1"/>
        <v>76.724000000000004</v>
      </c>
      <c r="FG63" vm="13528">
        <f ca="1"/>
        <v>77.16</v>
      </c>
      <c r="FH63" vm="13529">
        <f ca="1"/>
        <v>77.972700000000003</v>
      </c>
      <c r="FI63" vm="13530">
        <f ca="1"/>
        <v>77.991399999999999</v>
      </c>
      <c r="FJ63" vm="13531">
        <f ca="1"/>
        <v>79.410200000000003</v>
      </c>
      <c r="FK63" vm="13532">
        <f ca="1"/>
        <v>81.150999999999996</v>
      </c>
      <c r="FL63" vm="13533">
        <f ca="1"/>
        <v>80.232900000000001</v>
      </c>
      <c r="FM63" vm="6024">
        <f ca="1"/>
        <v>80.77</v>
      </c>
      <c r="FN63" vm="13534">
        <f ca="1"/>
        <v>80.486900000000006</v>
      </c>
      <c r="FO63" vm="5945">
        <f ca="1"/>
        <v>80.900000000000006</v>
      </c>
      <c r="FP63" vm="13512">
        <f ca="1"/>
        <v>81.209999999999994</v>
      </c>
      <c r="FQ63" vm="2654">
        <f ca="1"/>
        <v>80.680000000000007</v>
      </c>
      <c r="FR63" vm="13535">
        <f ca="1"/>
        <v>83.34</v>
      </c>
      <c r="FS63" vm="13536">
        <f ca="1"/>
        <v>81.709999999999994</v>
      </c>
      <c r="FT63" vm="13537">
        <f ca="1"/>
        <v>82.140699999999995</v>
      </c>
      <c r="FU63" vm="13538">
        <f ca="1"/>
        <v>82.3</v>
      </c>
      <c r="FV63" vm="13539">
        <f ca="1"/>
        <v>81.881100000000004</v>
      </c>
      <c r="FW63" vm="13540">
        <f ca="1"/>
        <v>82.126999999999995</v>
      </c>
      <c r="FX63" vm="5985">
        <f ca="1"/>
        <v>81.38</v>
      </c>
      <c r="FY63" vm="6026">
        <f ca="1"/>
        <v>80.78</v>
      </c>
      <c r="FZ63" vm="2658">
        <f ca="1"/>
        <v>81.92</v>
      </c>
      <c r="GA63" vm="13541">
        <f ca="1"/>
        <v>82.764700000000005</v>
      </c>
      <c r="GB63" vm="5954">
        <f ca="1"/>
        <v>82.44</v>
      </c>
      <c r="GC63" vm="5954">
        <f ca="1"/>
        <v>82.44</v>
      </c>
      <c r="GD63" vm="75">
        <f ca="1"/>
        <v>80.58</v>
      </c>
      <c r="GE63" vm="13542">
        <f ca="1"/>
        <v>82.25</v>
      </c>
      <c r="GF63" vm="13543">
        <f ca="1"/>
        <v>80.62</v>
      </c>
      <c r="GG63" vm="5914">
        <f ca="1"/>
        <v>80.23</v>
      </c>
      <c r="GH63" vm="6776">
        <f ca="1"/>
        <v>80.2</v>
      </c>
      <c r="GI63" vm="13544">
        <f ca="1"/>
        <v>79.709999999999994</v>
      </c>
      <c r="GJ63" vm="1963">
        <f ca="1"/>
        <v>81.09</v>
      </c>
      <c r="GK63" vm="13545">
        <f ca="1"/>
        <v>79.86</v>
      </c>
      <c r="GL63" vm="7243">
        <f ca="1"/>
        <v>80.56</v>
      </c>
      <c r="GM63" vm="13546">
        <f ca="1"/>
        <v>79.868899999999996</v>
      </c>
      <c r="GN63" vm="13547">
        <f ca="1"/>
        <v>79.124600000000001</v>
      </c>
      <c r="GO63" vm="13548">
        <f ca="1"/>
        <v>77.4696</v>
      </c>
      <c r="GP63" vm="13549">
        <f ca="1"/>
        <v>78.023300000000006</v>
      </c>
      <c r="GQ63" vm="13550">
        <f ca="1"/>
        <v>77.985299999999995</v>
      </c>
      <c r="GR63" vm="13551">
        <f ca="1"/>
        <v>78.756399999999999</v>
      </c>
      <c r="GS63" vm="13552">
        <f ca="1"/>
        <v>78.6952</v>
      </c>
      <c r="GT63" vm="5919">
        <f ca="1"/>
        <v>79.3</v>
      </c>
      <c r="GU63" vm="13553">
        <f ca="1"/>
        <v>80.7791</v>
      </c>
      <c r="GV63" vm="6008">
        <f ca="1"/>
        <v>80.17</v>
      </c>
      <c r="GW63" vm="13554">
        <f ca="1"/>
        <v>79.207400000000007</v>
      </c>
      <c r="GX63" vm="13555">
        <f ca="1"/>
        <v>80.412800000000004</v>
      </c>
      <c r="GY63" vm="13556">
        <f ca="1"/>
        <v>79.840699999999998</v>
      </c>
      <c r="GZ63" vm="13557">
        <f ca="1"/>
        <v>77.194999999999993</v>
      </c>
      <c r="HA63" vm="13558">
        <f ca="1"/>
        <v>77.736999999999995</v>
      </c>
      <c r="HB63" vm="13559">
        <f ca="1"/>
        <v>78.694100000000006</v>
      </c>
      <c r="HC63" vm="13560">
        <f ca="1"/>
        <v>78.884200000000007</v>
      </c>
      <c r="HD63" vm="431">
        <f ca="1"/>
        <v>79.290000000000006</v>
      </c>
      <c r="HE63" vm="13561">
        <f ca="1"/>
        <v>79.5</v>
      </c>
      <c r="HF63" vm="13562">
        <f ca="1"/>
        <v>81.027000000000001</v>
      </c>
      <c r="HG63" vm="13563">
        <f ca="1"/>
        <v>81.436599999999999</v>
      </c>
      <c r="HH63" vm="13564">
        <f ca="1"/>
        <v>81.769000000000005</v>
      </c>
      <c r="HI63" vm="13565">
        <f ca="1"/>
        <v>81.34</v>
      </c>
      <c r="HJ63" vm="10136">
        <f ca="1"/>
        <v>81.2</v>
      </c>
      <c r="HK63" vm="13566">
        <f ca="1"/>
        <v>81.763000000000005</v>
      </c>
      <c r="HL63" vm="13567">
        <f ca="1"/>
        <v>81.138099999999994</v>
      </c>
      <c r="HM63" vm="7243">
        <f ca="1"/>
        <v>80.56</v>
      </c>
      <c r="HN63" vm="10140">
        <f ca="1"/>
        <v>79.680000000000007</v>
      </c>
      <c r="HO63" vm="13568">
        <f ca="1"/>
        <v>79.790000000000006</v>
      </c>
      <c r="HP63" vm="13569">
        <f ca="1"/>
        <v>80.400000000000006</v>
      </c>
      <c r="HQ63" vm="1923">
        <f ca="1"/>
        <v>81.06</v>
      </c>
      <c r="HR63" vm="7210">
        <f ca="1"/>
        <v>80.25</v>
      </c>
      <c r="HS63" vm="13000">
        <f ca="1"/>
        <v>79.45</v>
      </c>
      <c r="HT63" vm="6133">
        <f ca="1"/>
        <v>80.8</v>
      </c>
      <c r="HU63" vm="6021">
        <f ca="1"/>
        <v>81.89</v>
      </c>
      <c r="HV63" vm="13570">
        <f ca="1"/>
        <v>83.964600000000004</v>
      </c>
      <c r="HW63" vm="13571">
        <f ca="1"/>
        <v>84.006500000000003</v>
      </c>
      <c r="HX63" vm="13572">
        <f ca="1"/>
        <v>82.841999999999999</v>
      </c>
      <c r="HY63" vm="1892">
        <f ca="1"/>
        <v>82.15</v>
      </c>
      <c r="HZ63" vm="13573">
        <f ca="1"/>
        <v>81.353999999999999</v>
      </c>
      <c r="IA63" vm="13574">
        <f ca="1"/>
        <v>81.424999999999997</v>
      </c>
      <c r="IB63" vm="1485">
        <f ca="1"/>
        <v>81.84</v>
      </c>
      <c r="IC63" vm="1486">
        <f ca="1"/>
        <v>81.33</v>
      </c>
      <c r="ID63" vm="968">
        <f ca="1"/>
        <v>85.17</v>
      </c>
      <c r="IE63" vm="1487">
        <f ca="1"/>
        <v>87.48</v>
      </c>
      <c r="IF63" vm="1488">
        <f ca="1"/>
        <v>89.59</v>
      </c>
      <c r="IG63" vm="1489">
        <f ca="1"/>
        <v>89.05</v>
      </c>
      <c r="IH63" vm="104">
        <f ca="1"/>
        <v>88.92</v>
      </c>
      <c r="II63" vm="1490">
        <f ca="1"/>
        <v>87.86</v>
      </c>
      <c r="IJ63" vm="1491">
        <f ca="1"/>
        <v>87.19</v>
      </c>
      <c r="IK63" vm="1492">
        <f ca="1"/>
        <v>88.16</v>
      </c>
      <c r="IL63" vm="1493">
        <f ca="1"/>
        <v>89.39</v>
      </c>
      <c r="IM63" vm="1494">
        <f ca="1"/>
        <v>89.34</v>
      </c>
      <c r="IN63" vm="1332">
        <f ca="1"/>
        <v>88.18</v>
      </c>
      <c r="IO63" vm="1492">
        <f ca="1"/>
        <v>88.16</v>
      </c>
      <c r="IP63" vm="1495">
        <f ca="1"/>
        <v>89.63</v>
      </c>
      <c r="IQ63" vm="1496">
        <f ca="1"/>
        <v>89.8</v>
      </c>
      <c r="IR63" vm="1497">
        <f ca="1"/>
        <v>89.36</v>
      </c>
      <c r="IS63" vm="1498">
        <f ca="1"/>
        <v>89.01</v>
      </c>
      <c r="IT63" vm="534">
        <f ca="1"/>
        <v>88.89</v>
      </c>
      <c r="IU63" vm="1499">
        <f ca="1"/>
        <v>88.77</v>
      </c>
      <c r="IV63" vm="1500">
        <f ca="1"/>
        <v>88.754999999999995</v>
      </c>
      <c r="IW63" vm="104">
        <f ca="1"/>
        <v>88.92</v>
      </c>
    </row>
    <row r="64" spans="1:257" ht="16" x14ac:dyDescent="0.2">
      <c r="A64" s="1" t="e" vm="1501">
        <v>#VALUE!</v>
      </c>
      <c r="B64" s="23" t="str" cm="1">
        <f t="array" aca="1" ref="B64" ca="1">_FV(A64,"ticker symbol",TRUE)</f>
        <v>XHS</v>
      </c>
      <c r="C64" s="23" t="str" cm="1">
        <f t="array" aca="1" ref="C64" ca="1">_FV(A64,"Name")</f>
        <v>SS SPDR S&amp;P Hlth Cr Svc</v>
      </c>
      <c r="D64" cm="1" vm="13575">
        <f t="array" aca="1" ref="D64:IW64" ca="1">TRANSPOSE(_xlfn.STOCKHISTORY(B64, WORKDAY(TODAY(), -265), TODAY(), 0, 0, 1))</f>
        <v>94.299300000000002</v>
      </c>
      <c r="E64" s="23" vm="12517">
        <f ca="1"/>
        <v>92.58</v>
      </c>
      <c r="F64" s="23" vm="6090">
        <f ca="1"/>
        <v>90.23</v>
      </c>
      <c r="G64" s="23" vm="13576">
        <f ca="1"/>
        <v>89.607900000000001</v>
      </c>
      <c r="H64" s="23" vm="596">
        <f ca="1"/>
        <v>90.63</v>
      </c>
      <c r="I64" s="23" vm="13577">
        <f ca="1"/>
        <v>90.540400000000005</v>
      </c>
      <c r="J64" s="23" vm="13578">
        <f ca="1"/>
        <v>90.815399999999997</v>
      </c>
      <c r="K64" s="23" vm="13579">
        <f ca="1"/>
        <v>91.495699999999999</v>
      </c>
      <c r="L64" s="23" vm="13580">
        <f ca="1"/>
        <v>90.872100000000003</v>
      </c>
      <c r="M64" s="23" vm="13581">
        <f ca="1"/>
        <v>90.137600000000006</v>
      </c>
      <c r="N64" s="23" vm="13582">
        <f ca="1"/>
        <v>90.181899999999999</v>
      </c>
      <c r="O64" s="23" vm="13583">
        <f ca="1"/>
        <v>90.568200000000004</v>
      </c>
      <c r="P64" s="23" vm="13584">
        <f ca="1"/>
        <v>92.004599999999996</v>
      </c>
      <c r="Q64" s="23" vm="13585">
        <f ca="1"/>
        <v>92.327100000000002</v>
      </c>
      <c r="R64" s="23" vm="13586">
        <f ca="1"/>
        <v>93.569800000000001</v>
      </c>
      <c r="S64" s="23" vm="13587">
        <f ca="1"/>
        <v>94.362200000000001</v>
      </c>
      <c r="T64" s="23" vm="13588">
        <f ca="1"/>
        <v>92.9726</v>
      </c>
      <c r="U64" s="23" vm="13589">
        <f ca="1"/>
        <v>95</v>
      </c>
      <c r="V64" s="23" vm="13590">
        <f ca="1"/>
        <v>94.706599999999995</v>
      </c>
      <c r="W64" s="23" vm="13591">
        <f ca="1"/>
        <v>95.347800000000007</v>
      </c>
      <c r="X64" s="23" vm="13592">
        <f ca="1"/>
        <v>95.757000000000005</v>
      </c>
      <c r="Y64" s="23" vm="13593">
        <f ca="1"/>
        <v>96.336200000000005</v>
      </c>
      <c r="Z64" s="23" vm="13594">
        <f ca="1"/>
        <v>98.930099999999996</v>
      </c>
      <c r="AA64" s="23" vm="13595">
        <f ca="1"/>
        <v>98.995900000000006</v>
      </c>
      <c r="AB64" s="23" vm="13596">
        <f ca="1"/>
        <v>100.49679999999999</v>
      </c>
      <c r="AC64" s="23" vm="13597">
        <f ca="1"/>
        <v>100.7184</v>
      </c>
      <c r="AD64" vm="13598">
        <f ca="1"/>
        <v>102.16</v>
      </c>
      <c r="AE64" vm="1060">
        <f ca="1"/>
        <v>102.29</v>
      </c>
      <c r="AF64" vm="13599">
        <f ca="1"/>
        <v>101.8805</v>
      </c>
      <c r="AG64" vm="8260">
        <f ca="1"/>
        <v>102.98</v>
      </c>
      <c r="AH64" vm="13600">
        <f ca="1"/>
        <v>102.10420000000001</v>
      </c>
      <c r="AI64" vm="13601">
        <f ca="1"/>
        <v>101.81189999999999</v>
      </c>
      <c r="AJ64" vm="13602">
        <f ca="1"/>
        <v>102.1044</v>
      </c>
      <c r="AK64" vm="13603">
        <f ca="1"/>
        <v>102.477</v>
      </c>
      <c r="AL64" vm="13604">
        <f ca="1"/>
        <v>99.478499999999997</v>
      </c>
      <c r="AM64" vm="13605">
        <f ca="1"/>
        <v>98.749399999999994</v>
      </c>
      <c r="AN64" vm="1906">
        <f ca="1"/>
        <v>99.47</v>
      </c>
      <c r="AO64" vm="13606">
        <f ca="1"/>
        <v>99.466700000000003</v>
      </c>
      <c r="AP64" vm="9333">
        <f ca="1"/>
        <v>99.14</v>
      </c>
      <c r="AQ64" vm="13607">
        <f ca="1"/>
        <v>101.34</v>
      </c>
      <c r="AR64" vm="5518">
        <f ca="1"/>
        <v>100.57</v>
      </c>
      <c r="AS64" vm="4624">
        <f ca="1"/>
        <v>101.47</v>
      </c>
      <c r="AT64" vm="13608">
        <f ca="1"/>
        <v>103</v>
      </c>
      <c r="AU64" vm="13609">
        <f ca="1"/>
        <v>102.02</v>
      </c>
      <c r="AV64" vm="13610">
        <f ca="1"/>
        <v>98.310299999999998</v>
      </c>
      <c r="AW64" vm="13611">
        <f ca="1"/>
        <v>98.776300000000006</v>
      </c>
      <c r="AX64" vm="7912">
        <f ca="1"/>
        <v>99.19</v>
      </c>
      <c r="AY64" vm="13612">
        <f ca="1"/>
        <v>98.163200000000003</v>
      </c>
      <c r="AZ64" vm="10900">
        <f ca="1"/>
        <v>98.19</v>
      </c>
      <c r="BA64" vm="13613">
        <f ca="1"/>
        <v>97.661600000000007</v>
      </c>
      <c r="BB64" vm="13614">
        <f ca="1"/>
        <v>96.128399999999999</v>
      </c>
      <c r="BC64" vm="13615">
        <f ca="1"/>
        <v>96.441100000000006</v>
      </c>
      <c r="BD64" vm="13616">
        <f ca="1"/>
        <v>97.86</v>
      </c>
      <c r="BE64" vm="13617">
        <f ca="1"/>
        <v>96.611599999999996</v>
      </c>
      <c r="BF64" vm="13618">
        <f ca="1"/>
        <v>96.995800000000003</v>
      </c>
      <c r="BG64" vm="13619">
        <f ca="1"/>
        <v>95.085999999999999</v>
      </c>
      <c r="BH64" vm="13620">
        <f ca="1"/>
        <v>95.225300000000004</v>
      </c>
      <c r="BI64" vm="13621">
        <f ca="1"/>
        <v>94.548599999999993</v>
      </c>
      <c r="BJ64" vm="13622">
        <f ca="1"/>
        <v>93.556700000000006</v>
      </c>
      <c r="BK64" vm="13623">
        <f ca="1"/>
        <v>95.31</v>
      </c>
      <c r="BL64" vm="13624">
        <f ca="1"/>
        <v>96.98</v>
      </c>
      <c r="BM64" vm="5531">
        <f ca="1"/>
        <v>97.1</v>
      </c>
      <c r="BN64" vm="13625">
        <f ca="1"/>
        <v>97.710999999999999</v>
      </c>
      <c r="BO64" vm="2039">
        <f ca="1"/>
        <v>96.9</v>
      </c>
      <c r="BP64" vm="13626">
        <f ca="1"/>
        <v>96.96</v>
      </c>
      <c r="BQ64" vm="13627">
        <f ca="1"/>
        <v>98.734899999999996</v>
      </c>
      <c r="BR64" vm="13628">
        <f ca="1"/>
        <v>98.188500000000005</v>
      </c>
      <c r="BS64" vm="10823">
        <f ca="1"/>
        <v>98.02</v>
      </c>
      <c r="BT64" vm="13629">
        <f ca="1"/>
        <v>98.389700000000005</v>
      </c>
      <c r="BU64" vm="13630">
        <f ca="1"/>
        <v>97.394499999999994</v>
      </c>
      <c r="BV64" vm="13631">
        <f ca="1"/>
        <v>98.118600000000001</v>
      </c>
      <c r="BW64" vm="13632">
        <f ca="1"/>
        <v>97.764899999999997</v>
      </c>
      <c r="BX64" vm="13633">
        <f ca="1"/>
        <v>98.217500000000001</v>
      </c>
      <c r="BY64" vm="13634">
        <f ca="1"/>
        <v>97.320099999999996</v>
      </c>
      <c r="BZ64" vm="13635">
        <f ca="1"/>
        <v>94.002200000000002</v>
      </c>
      <c r="CA64" vm="13636">
        <f ca="1"/>
        <v>92.906700000000001</v>
      </c>
      <c r="CB64" vm="10931">
        <f ca="1"/>
        <v>93.07</v>
      </c>
      <c r="CC64" vm="13637">
        <f ca="1"/>
        <v>97.61</v>
      </c>
      <c r="CD64" vm="13638">
        <f ca="1"/>
        <v>96.252499999999998</v>
      </c>
      <c r="CE64" vm="13639">
        <f ca="1"/>
        <v>96.810199999999995</v>
      </c>
      <c r="CF64" vm="13640">
        <f ca="1"/>
        <v>97.5608</v>
      </c>
      <c r="CG64" vm="13641">
        <f ca="1"/>
        <v>96.871700000000004</v>
      </c>
      <c r="CH64" vm="13642">
        <f ca="1"/>
        <v>95.936499999999995</v>
      </c>
      <c r="CI64" vm="4544">
        <f ca="1"/>
        <v>94.2</v>
      </c>
      <c r="CJ64" vm="2839">
        <f ca="1"/>
        <v>90.3</v>
      </c>
      <c r="CK64" vm="13643">
        <f ca="1"/>
        <v>92.230400000000003</v>
      </c>
      <c r="CL64" vm="6082">
        <f ca="1"/>
        <v>93.96</v>
      </c>
      <c r="CM64" vm="13644">
        <f ca="1"/>
        <v>94.950900000000004</v>
      </c>
      <c r="CN64" vm="4553">
        <f ca="1"/>
        <v>95.09</v>
      </c>
      <c r="CO64" vm="13645">
        <f ca="1"/>
        <v>95.55</v>
      </c>
      <c r="CP64" vm="134">
        <f ca="1"/>
        <v>96.24</v>
      </c>
      <c r="CQ64" vm="13646">
        <f ca="1"/>
        <v>95.880600000000001</v>
      </c>
      <c r="CR64" vm="13647">
        <f ca="1"/>
        <v>95.572199999999995</v>
      </c>
      <c r="CS64" vm="13648">
        <f ca="1"/>
        <v>96.956199999999995</v>
      </c>
      <c r="CT64" vm="13649">
        <f ca="1"/>
        <v>96.801900000000003</v>
      </c>
      <c r="CU64" vm="13650">
        <f ca="1"/>
        <v>97.614599999999996</v>
      </c>
      <c r="CV64" vm="13651">
        <f ca="1"/>
        <v>98.204700000000003</v>
      </c>
      <c r="CW64" vm="5528">
        <f ca="1"/>
        <v>97.88</v>
      </c>
      <c r="CX64" vm="13652">
        <f ca="1"/>
        <v>97.36</v>
      </c>
      <c r="CY64" vm="13653">
        <f ca="1"/>
        <v>98.91</v>
      </c>
      <c r="CZ64" vm="10817">
        <f ca="1"/>
        <v>98.07</v>
      </c>
      <c r="DA64" vm="13654">
        <f ca="1"/>
        <v>97.37</v>
      </c>
      <c r="DB64" vm="4564">
        <f ca="1"/>
        <v>98.66</v>
      </c>
      <c r="DC64" vm="13655">
        <f ca="1"/>
        <v>100.76</v>
      </c>
      <c r="DD64" vm="13656">
        <f ca="1"/>
        <v>100.26819999999999</v>
      </c>
      <c r="DE64" vm="13657">
        <f ca="1"/>
        <v>100.59610000000001</v>
      </c>
      <c r="DF64" vm="13658">
        <f ca="1"/>
        <v>97.827100000000002</v>
      </c>
      <c r="DG64" vm="13659">
        <f ca="1"/>
        <v>95.851699999999994</v>
      </c>
      <c r="DH64" vm="13660">
        <f ca="1"/>
        <v>95.489699999999999</v>
      </c>
      <c r="DI64" vm="13618">
        <f ca="1"/>
        <v>96.995800000000003</v>
      </c>
      <c r="DJ64" vm="13661">
        <f ca="1"/>
        <v>96.254999999999995</v>
      </c>
      <c r="DK64" vm="4549">
        <f ca="1"/>
        <v>96.37</v>
      </c>
      <c r="DL64" vm="10940">
        <f ca="1"/>
        <v>97.4</v>
      </c>
      <c r="DM64" vm="8279">
        <f ca="1"/>
        <v>97.15</v>
      </c>
      <c r="DN64" vm="13662">
        <f ca="1"/>
        <v>97.69</v>
      </c>
      <c r="DO64" vm="13663">
        <f ca="1"/>
        <v>97.539500000000004</v>
      </c>
      <c r="DP64" vm="13664">
        <f ca="1"/>
        <v>97.48</v>
      </c>
      <c r="DQ64" vm="13665">
        <f ca="1"/>
        <v>98.52</v>
      </c>
      <c r="DR64" vm="10826">
        <f ca="1"/>
        <v>98.17</v>
      </c>
      <c r="DS64" vm="13666">
        <f ca="1"/>
        <v>97.770700000000005</v>
      </c>
      <c r="DT64" vm="13667">
        <f ca="1"/>
        <v>97.592299999999994</v>
      </c>
      <c r="DU64" vm="4559">
        <f ca="1"/>
        <v>97.51</v>
      </c>
      <c r="DV64" vm="3189">
        <f ca="1"/>
        <v>96.67</v>
      </c>
      <c r="DW64" vm="13668">
        <f ca="1"/>
        <v>97.08</v>
      </c>
      <c r="DX64" vm="7936">
        <f ca="1"/>
        <v>96.33</v>
      </c>
      <c r="DY64" vm="13669">
        <f ca="1"/>
        <v>97.066299999999998</v>
      </c>
      <c r="DZ64" vm="13670">
        <f ca="1"/>
        <v>96.5</v>
      </c>
      <c r="EA64" vm="7955">
        <f ca="1"/>
        <v>96.07</v>
      </c>
      <c r="EB64" vm="13671">
        <f ca="1"/>
        <v>97.71</v>
      </c>
      <c r="EC64" vm="13672">
        <f ca="1"/>
        <v>96.99</v>
      </c>
      <c r="ED64" vm="13673">
        <f ca="1"/>
        <v>98.29</v>
      </c>
      <c r="EE64" vm="13674">
        <f ca="1"/>
        <v>98.97</v>
      </c>
      <c r="EF64" vm="13675">
        <f ca="1"/>
        <v>99.55</v>
      </c>
      <c r="EG64" vm="13676">
        <f ca="1"/>
        <v>99.71</v>
      </c>
      <c r="EH64" vm="13677">
        <f ca="1"/>
        <v>96.444999999999993</v>
      </c>
      <c r="EI64" vm="13678">
        <f ca="1"/>
        <v>96.828000000000003</v>
      </c>
      <c r="EJ64" vm="13679">
        <f ca="1"/>
        <v>95.754999999999995</v>
      </c>
      <c r="EK64" vm="13680">
        <f ca="1"/>
        <v>96.841700000000003</v>
      </c>
      <c r="EL64" vm="13681">
        <f ca="1"/>
        <v>96.902799999999999</v>
      </c>
      <c r="EM64" vm="13682">
        <f ca="1"/>
        <v>96.233400000000003</v>
      </c>
      <c r="EN64" vm="13683">
        <f ca="1"/>
        <v>94.678600000000003</v>
      </c>
      <c r="EO64" vm="13684">
        <f ca="1"/>
        <v>95.099299999999999</v>
      </c>
      <c r="EP64" vm="13685">
        <f ca="1"/>
        <v>93.201999999999998</v>
      </c>
      <c r="EQ64" vm="13686">
        <f ca="1"/>
        <v>93.209500000000006</v>
      </c>
      <c r="ER64" vm="12972">
        <f ca="1"/>
        <v>92.98</v>
      </c>
      <c r="ES64" vm="13687">
        <f ca="1"/>
        <v>90.958500000000001</v>
      </c>
      <c r="ET64" vm="12532">
        <f ca="1"/>
        <v>91.02</v>
      </c>
      <c r="EU64" vm="1722">
        <f ca="1"/>
        <v>91.61</v>
      </c>
      <c r="EV64" vm="13688">
        <f ca="1"/>
        <v>93.4148</v>
      </c>
      <c r="EW64" vm="13689">
        <f ca="1"/>
        <v>90.351100000000002</v>
      </c>
      <c r="EX64" vm="13690">
        <f ca="1"/>
        <v>90.769900000000007</v>
      </c>
      <c r="EY64" vm="13691">
        <f ca="1"/>
        <v>90.785399999999996</v>
      </c>
      <c r="EZ64" vm="13692">
        <f ca="1"/>
        <v>90.31</v>
      </c>
      <c r="FA64" vm="13693">
        <f ca="1"/>
        <v>91.503100000000003</v>
      </c>
      <c r="FB64" vm="1717">
        <f ca="1"/>
        <v>89.82</v>
      </c>
      <c r="FC64" vm="13694">
        <f ca="1"/>
        <v>88</v>
      </c>
      <c r="FD64" vm="6748">
        <f ca="1"/>
        <v>89.46</v>
      </c>
      <c r="FE64" vm="13695">
        <f ca="1"/>
        <v>89.917699999999996</v>
      </c>
      <c r="FF64" vm="13696">
        <f ca="1"/>
        <v>88.888599999999997</v>
      </c>
      <c r="FG64" vm="13697">
        <f ca="1"/>
        <v>88.8142</v>
      </c>
      <c r="FH64" vm="6103">
        <f ca="1"/>
        <v>91</v>
      </c>
      <c r="FI64" vm="13698">
        <f ca="1"/>
        <v>91.132599999999996</v>
      </c>
      <c r="FJ64" vm="13699">
        <f ca="1"/>
        <v>92.801199999999994</v>
      </c>
      <c r="FK64" vm="13700">
        <f ca="1"/>
        <v>95.125</v>
      </c>
      <c r="FL64" vm="13701">
        <f ca="1"/>
        <v>95.121799999999993</v>
      </c>
      <c r="FM64" vm="13702">
        <f ca="1"/>
        <v>95.774199999999993</v>
      </c>
      <c r="FN64" vm="13703">
        <f ca="1"/>
        <v>95.933700000000002</v>
      </c>
      <c r="FO64" vm="13704">
        <f ca="1"/>
        <v>96.328999999999994</v>
      </c>
      <c r="FP64" vm="13705">
        <f ca="1"/>
        <v>96.690299999999993</v>
      </c>
      <c r="FQ64" vm="13706">
        <f ca="1"/>
        <v>97.159099999999995</v>
      </c>
      <c r="FR64" vm="13707">
        <f ca="1"/>
        <v>98.827200000000005</v>
      </c>
      <c r="FS64" vm="13708">
        <f ca="1"/>
        <v>97.487899999999996</v>
      </c>
      <c r="FT64" vm="13709">
        <f ca="1"/>
        <v>97.4268</v>
      </c>
      <c r="FU64" vm="13710">
        <f ca="1"/>
        <v>98.33</v>
      </c>
      <c r="FV64" vm="13711">
        <f ca="1"/>
        <v>98.376599999999996</v>
      </c>
      <c r="FW64" vm="13712">
        <f ca="1"/>
        <v>99.36</v>
      </c>
      <c r="FX64" vm="13713">
        <f ca="1"/>
        <v>99.491200000000006</v>
      </c>
      <c r="FY64" vm="13714">
        <f ca="1"/>
        <v>98.945300000000003</v>
      </c>
      <c r="FZ64" vm="13715">
        <f ca="1"/>
        <v>99.319000000000003</v>
      </c>
      <c r="GA64" vm="13716">
        <f ca="1"/>
        <v>99.519000000000005</v>
      </c>
      <c r="GB64" vm="13717">
        <f ca="1"/>
        <v>99.801299999999998</v>
      </c>
      <c r="GC64" vm="13718">
        <f ca="1"/>
        <v>99.503500000000003</v>
      </c>
      <c r="GD64" vm="13719">
        <f ca="1"/>
        <v>97.799899999999994</v>
      </c>
      <c r="GE64" vm="13720">
        <f ca="1"/>
        <v>100.0381</v>
      </c>
      <c r="GF64" vm="13721">
        <f ca="1"/>
        <v>98.845799999999997</v>
      </c>
      <c r="GG64" vm="13722">
        <f ca="1"/>
        <v>97.953900000000004</v>
      </c>
      <c r="GH64" vm="13723">
        <f ca="1"/>
        <v>97.278999999999996</v>
      </c>
      <c r="GI64" vm="13724">
        <f ca="1"/>
        <v>97.91</v>
      </c>
      <c r="GJ64" vm="13725">
        <f ca="1"/>
        <v>99.6892</v>
      </c>
      <c r="GK64" vm="13726">
        <f ca="1"/>
        <v>98.708299999999994</v>
      </c>
      <c r="GL64" vm="13727">
        <f ca="1"/>
        <v>100.139</v>
      </c>
      <c r="GM64" vm="13728">
        <f ca="1"/>
        <v>100.1418</v>
      </c>
      <c r="GN64" vm="13729">
        <f ca="1"/>
        <v>100.7088</v>
      </c>
      <c r="GO64" vm="13730">
        <f ca="1"/>
        <v>99.426199999999994</v>
      </c>
      <c r="GP64" vm="13731">
        <f ca="1"/>
        <v>101.13</v>
      </c>
      <c r="GQ64" vm="13732">
        <f ca="1"/>
        <v>100.93429999999999</v>
      </c>
      <c r="GR64" vm="13733">
        <f ca="1"/>
        <v>101.56489999999999</v>
      </c>
      <c r="GS64" vm="13734">
        <f ca="1"/>
        <v>101.2529</v>
      </c>
      <c r="GT64" vm="13735">
        <f ca="1"/>
        <v>101.48690000000001</v>
      </c>
      <c r="GU64" vm="13736">
        <f ca="1"/>
        <v>102.0466</v>
      </c>
      <c r="GV64" vm="3249">
        <f ca="1"/>
        <v>101.96</v>
      </c>
      <c r="GW64" vm="13737">
        <f ca="1"/>
        <v>102.33799999999999</v>
      </c>
      <c r="GX64" vm="13738">
        <f ca="1"/>
        <v>102.91</v>
      </c>
      <c r="GY64" vm="5558">
        <f ca="1"/>
        <v>102</v>
      </c>
      <c r="GZ64" vm="13739">
        <f ca="1"/>
        <v>99.825299999999999</v>
      </c>
      <c r="HA64" vm="13740">
        <f ca="1"/>
        <v>100.1541</v>
      </c>
      <c r="HB64" vm="3247">
        <f ca="1"/>
        <v>101.57</v>
      </c>
      <c r="HC64" vm="13741">
        <f ca="1"/>
        <v>102.4098</v>
      </c>
      <c r="HD64" vm="13742">
        <f ca="1"/>
        <v>102.07</v>
      </c>
      <c r="HE64" vm="13743">
        <f ca="1"/>
        <v>101.69329999999999</v>
      </c>
      <c r="HF64" vm="13744">
        <f ca="1"/>
        <v>103.9482</v>
      </c>
      <c r="HG64" vm="13745">
        <f ca="1"/>
        <v>104.1641</v>
      </c>
      <c r="HH64" vm="13746">
        <f ca="1"/>
        <v>104.0095</v>
      </c>
      <c r="HI64" vm="13747">
        <f ca="1"/>
        <v>104.01</v>
      </c>
      <c r="HJ64" vm="13748">
        <f ca="1"/>
        <v>105.68</v>
      </c>
      <c r="HK64" vm="13749">
        <f ca="1"/>
        <v>105.62</v>
      </c>
      <c r="HL64" vm="13750">
        <f ca="1"/>
        <v>105.1142</v>
      </c>
      <c r="HM64" vm="13751">
        <f ca="1"/>
        <v>104.7668</v>
      </c>
      <c r="HN64" vm="13752">
        <f ca="1"/>
        <v>103.099</v>
      </c>
      <c r="HO64" vm="13753">
        <f ca="1"/>
        <v>102.67610000000001</v>
      </c>
      <c r="HP64" vm="13754">
        <f ca="1"/>
        <v>103.6662</v>
      </c>
      <c r="HQ64" vm="13755">
        <f ca="1"/>
        <v>104.59</v>
      </c>
      <c r="HR64" vm="13756">
        <f ca="1"/>
        <v>104.8584</v>
      </c>
      <c r="HS64" vm="13757">
        <f ca="1"/>
        <v>103.08880000000001</v>
      </c>
      <c r="HT64" vm="13758">
        <f ca="1"/>
        <v>103.5737</v>
      </c>
      <c r="HU64" vm="682">
        <f ca="1"/>
        <v>102.97</v>
      </c>
      <c r="HV64" vm="13759">
        <f ca="1"/>
        <v>103.845</v>
      </c>
      <c r="HW64" vm="13760">
        <f ca="1"/>
        <v>103.5438</v>
      </c>
      <c r="HX64" vm="13761">
        <f ca="1"/>
        <v>101.79</v>
      </c>
      <c r="HY64" vm="10898">
        <f ca="1"/>
        <v>101.39</v>
      </c>
      <c r="HZ64" vm="13762">
        <f ca="1"/>
        <v>101.608</v>
      </c>
      <c r="IA64" vm="13763">
        <f ca="1"/>
        <v>101.5171</v>
      </c>
      <c r="IB64" vm="1502">
        <f ca="1"/>
        <v>101.708</v>
      </c>
      <c r="IC64" vm="680">
        <f ca="1"/>
        <v>102.23</v>
      </c>
      <c r="ID64" vm="1503">
        <f ca="1"/>
        <v>106.23</v>
      </c>
      <c r="IE64" vm="1504">
        <f ca="1"/>
        <v>108.69</v>
      </c>
      <c r="IF64" vm="1505">
        <f ca="1"/>
        <v>111.2</v>
      </c>
      <c r="IG64" vm="1506">
        <f ca="1"/>
        <v>110.99460000000001</v>
      </c>
      <c r="IH64" vm="1507">
        <f ca="1"/>
        <v>110.9226</v>
      </c>
      <c r="II64" vm="1508">
        <f ca="1"/>
        <v>109.5</v>
      </c>
      <c r="IJ64" vm="1509">
        <f ca="1"/>
        <v>108.4194</v>
      </c>
      <c r="IK64" vm="1510">
        <f ca="1"/>
        <v>107.92</v>
      </c>
      <c r="IL64" vm="1511">
        <f ca="1"/>
        <v>108.2</v>
      </c>
      <c r="IM64" vm="1512">
        <f ca="1"/>
        <v>107.1585</v>
      </c>
      <c r="IN64" vm="1513">
        <f ca="1"/>
        <v>106.6793</v>
      </c>
      <c r="IO64" vm="1082">
        <f ca="1"/>
        <v>106.66</v>
      </c>
      <c r="IP64" vm="1514">
        <f ca="1"/>
        <v>107.5264</v>
      </c>
      <c r="IQ64" vm="1515">
        <f ca="1"/>
        <v>109.23</v>
      </c>
      <c r="IR64" vm="1516">
        <f ca="1"/>
        <v>109.6</v>
      </c>
      <c r="IS64" vm="1517">
        <f ca="1"/>
        <v>109.39</v>
      </c>
      <c r="IT64" vm="1518">
        <f ca="1"/>
        <v>107.9653</v>
      </c>
      <c r="IU64" vm="1519">
        <f ca="1"/>
        <v>107.6</v>
      </c>
      <c r="IV64" vm="1520">
        <f ca="1"/>
        <v>107.729</v>
      </c>
      <c r="IW64" vm="106">
        <f ca="1"/>
        <v>108.3133</v>
      </c>
    </row>
    <row r="65" spans="1:257" ht="16" x14ac:dyDescent="0.2">
      <c r="A65" s="1" t="e" vm="1521">
        <v>#VALUE!</v>
      </c>
      <c r="B65" s="23" t="str" cm="1">
        <f t="array" aca="1" ref="B65" ca="1">_FV(A65,"ticker symbol",TRUE)</f>
        <v>XPH</v>
      </c>
      <c r="C65" s="23" t="str" cm="1">
        <f t="array" aca="1" ref="C65" ca="1">_FV(A65,"Name")</f>
        <v>SS SPDR S&amp;P Pharm</v>
      </c>
      <c r="D65" cm="1" vm="13764">
        <f t="array" aca="1" ref="D65:IW65" ca="1">TRANSPOSE(_xlfn.STOCKHISTORY(B65, WORKDAY(TODAY(), -265), TODAY(), 0, 0, 1))</f>
        <v>44.34</v>
      </c>
      <c r="E65" s="23" vm="13765">
        <f ca="1"/>
        <v>44.66</v>
      </c>
      <c r="F65" s="23" vm="9202">
        <f ca="1"/>
        <v>43.49</v>
      </c>
      <c r="G65" s="23" vm="1372">
        <f ca="1"/>
        <v>43.25</v>
      </c>
      <c r="H65" s="23" vm="2685">
        <f ca="1"/>
        <v>43.42</v>
      </c>
      <c r="I65" s="23" vm="9975">
        <f ca="1"/>
        <v>43.41</v>
      </c>
      <c r="J65" s="23" vm="9975">
        <f ca="1"/>
        <v>43.41</v>
      </c>
      <c r="K65" s="23" vm="13766">
        <f ca="1"/>
        <v>44.04</v>
      </c>
      <c r="L65" s="23" vm="9202">
        <f ca="1"/>
        <v>43.49</v>
      </c>
      <c r="M65" s="23" vm="2337">
        <f ca="1"/>
        <v>42.71</v>
      </c>
      <c r="N65" s="23" vm="2681">
        <f ca="1"/>
        <v>42.99</v>
      </c>
      <c r="O65" s="23" vm="9979">
        <f ca="1"/>
        <v>42.64</v>
      </c>
      <c r="P65" s="23" vm="1370">
        <f ca="1"/>
        <v>43.02</v>
      </c>
      <c r="Q65" s="23" vm="10029">
        <f ca="1"/>
        <v>42.6</v>
      </c>
      <c r="R65" s="23" vm="6893">
        <f ca="1"/>
        <v>42.85</v>
      </c>
      <c r="S65" s="23" vm="13767">
        <f ca="1"/>
        <v>42.82</v>
      </c>
      <c r="T65" s="23" vm="602">
        <f ca="1"/>
        <v>42.72</v>
      </c>
      <c r="U65" s="23" vm="9202">
        <f ca="1"/>
        <v>43.49</v>
      </c>
      <c r="V65" s="23" vm="13768">
        <f ca="1"/>
        <v>43.06</v>
      </c>
      <c r="W65" s="23" vm="13769">
        <f ca="1"/>
        <v>43.85</v>
      </c>
      <c r="X65" s="23" vm="9207">
        <f ca="1"/>
        <v>43.98</v>
      </c>
      <c r="Y65" s="23" vm="9977">
        <f ca="1"/>
        <v>43.73</v>
      </c>
      <c r="Z65" s="23" vm="11504">
        <f ca="1"/>
        <v>44.7</v>
      </c>
      <c r="AA65" s="23" vm="13770">
        <f ca="1"/>
        <v>44.5</v>
      </c>
      <c r="AB65" s="23" vm="10032">
        <f ca="1"/>
        <v>45.05</v>
      </c>
      <c r="AC65" s="23" vm="546">
        <f ca="1"/>
        <v>45</v>
      </c>
      <c r="AD65" vm="13771">
        <f ca="1"/>
        <v>45.61</v>
      </c>
      <c r="AE65" vm="11501">
        <f ca="1"/>
        <v>45.31</v>
      </c>
      <c r="AF65" vm="1188">
        <f ca="1"/>
        <v>45.47</v>
      </c>
      <c r="AG65" vm="13772">
        <f ca="1"/>
        <v>45.76</v>
      </c>
      <c r="AH65" vm="9233">
        <f ca="1"/>
        <v>45.06</v>
      </c>
      <c r="AI65" vm="11504">
        <f ca="1"/>
        <v>44.7</v>
      </c>
      <c r="AJ65" vm="454">
        <f ca="1"/>
        <v>45.07</v>
      </c>
      <c r="AK65" vm="10015">
        <f ca="1"/>
        <v>45.81</v>
      </c>
      <c r="AL65" vm="2328">
        <f ca="1"/>
        <v>45.28</v>
      </c>
      <c r="AM65" vm="13773">
        <f ca="1"/>
        <v>44.56</v>
      </c>
      <c r="AN65" vm="13774">
        <f ca="1"/>
        <v>44.75</v>
      </c>
      <c r="AO65" vm="13775">
        <f ca="1"/>
        <v>44.89</v>
      </c>
      <c r="AP65" vm="10032">
        <f ca="1"/>
        <v>45.05</v>
      </c>
      <c r="AQ65" vm="13776">
        <f ca="1"/>
        <v>45.58</v>
      </c>
      <c r="AR65" vm="13777">
        <f ca="1"/>
        <v>44.86</v>
      </c>
      <c r="AS65" vm="9233">
        <f ca="1"/>
        <v>45.06</v>
      </c>
      <c r="AT65" vm="9228">
        <f ca="1"/>
        <v>44.94</v>
      </c>
      <c r="AU65" vm="9214">
        <f ca="1"/>
        <v>44.93</v>
      </c>
      <c r="AV65" vm="9220">
        <f ca="1"/>
        <v>44.71</v>
      </c>
      <c r="AW65" vm="12060">
        <f ca="1"/>
        <v>44.44</v>
      </c>
      <c r="AX65" vm="12063">
        <f ca="1"/>
        <v>44.47</v>
      </c>
      <c r="AY65" vm="13778">
        <f ca="1"/>
        <v>44.31</v>
      </c>
      <c r="AZ65" vm="10020">
        <f ca="1"/>
        <v>43.84</v>
      </c>
      <c r="BA65" vm="13773">
        <f ca="1"/>
        <v>44.56</v>
      </c>
      <c r="BB65" vm="9974">
        <f ca="1"/>
        <v>43.72</v>
      </c>
      <c r="BC65" vm="13779">
        <f ca="1"/>
        <v>43.76</v>
      </c>
      <c r="BD65" vm="13780">
        <f ca="1"/>
        <v>44.19</v>
      </c>
      <c r="BE65" vm="540">
        <f ca="1"/>
        <v>44.09</v>
      </c>
      <c r="BF65" vm="9208">
        <f ca="1"/>
        <v>44.43</v>
      </c>
      <c r="BG65" vm="13781">
        <f ca="1"/>
        <v>43.83</v>
      </c>
      <c r="BH65" vm="9984">
        <f ca="1"/>
        <v>43.38</v>
      </c>
      <c r="BI65" vm="13782">
        <f ca="1"/>
        <v>43.12</v>
      </c>
      <c r="BJ65" vm="13783">
        <f ca="1"/>
        <v>42.59</v>
      </c>
      <c r="BK65" vm="1369">
        <f ca="1"/>
        <v>42.95</v>
      </c>
      <c r="BL65" vm="600">
        <f ca="1"/>
        <v>43.71</v>
      </c>
      <c r="BM65" vm="600">
        <f ca="1"/>
        <v>43.71</v>
      </c>
      <c r="BN65" vm="13784">
        <f ca="1"/>
        <v>44.05</v>
      </c>
      <c r="BO65" vm="540">
        <f ca="1"/>
        <v>44.09</v>
      </c>
      <c r="BP65" vm="13785">
        <f ca="1"/>
        <v>44.03</v>
      </c>
      <c r="BQ65" vm="13786">
        <f ca="1"/>
        <v>44.29</v>
      </c>
      <c r="BR65" vm="9201">
        <f ca="1"/>
        <v>43.2</v>
      </c>
      <c r="BS65" vm="9979">
        <f ca="1"/>
        <v>42.64</v>
      </c>
      <c r="BT65" vm="603">
        <f ca="1"/>
        <v>42.75</v>
      </c>
      <c r="BU65" vm="6955">
        <f ca="1"/>
        <v>42.3</v>
      </c>
      <c r="BV65" vm="599">
        <f ca="1"/>
        <v>43.8</v>
      </c>
      <c r="BW65" vm="2721">
        <f ca="1"/>
        <v>42.18</v>
      </c>
      <c r="BX65" vm="13787">
        <f ca="1"/>
        <v>42.2</v>
      </c>
      <c r="BY65" vm="13788">
        <f ca="1"/>
        <v>40.69</v>
      </c>
      <c r="BZ65" vm="10681">
        <f ca="1"/>
        <v>38.56</v>
      </c>
      <c r="CA65" vm="6905">
        <f ca="1"/>
        <v>38.380000000000003</v>
      </c>
      <c r="CB65" vm="13789">
        <f ca="1"/>
        <v>36.82</v>
      </c>
      <c r="CC65" vm="13790">
        <f ca="1"/>
        <v>38.86</v>
      </c>
      <c r="CD65" vm="10667">
        <f ca="1"/>
        <v>36.65</v>
      </c>
      <c r="CE65" vm="13791">
        <f ca="1"/>
        <v>37.659999999999997</v>
      </c>
      <c r="CF65" vm="9119">
        <f ca="1"/>
        <v>38.25</v>
      </c>
      <c r="CG65" vm="13792">
        <f ca="1"/>
        <v>38.270000000000003</v>
      </c>
      <c r="CH65" vm="10680">
        <f ca="1"/>
        <v>37.61</v>
      </c>
      <c r="CI65" vm="13793">
        <f ca="1"/>
        <v>38.42</v>
      </c>
      <c r="CJ65" vm="13794">
        <f ca="1"/>
        <v>38.03</v>
      </c>
      <c r="CK65" vm="13795">
        <f ca="1"/>
        <v>38.909999999999997</v>
      </c>
      <c r="CL65" vm="13796">
        <f ca="1"/>
        <v>39.200000000000003</v>
      </c>
      <c r="CM65" vm="12793">
        <f ca="1"/>
        <v>39.86</v>
      </c>
      <c r="CN65" vm="9145">
        <f ca="1"/>
        <v>40.159999999999997</v>
      </c>
      <c r="CO65" vm="12736">
        <f ca="1"/>
        <v>40.44</v>
      </c>
      <c r="CP65" vm="555">
        <f ca="1"/>
        <v>41.09</v>
      </c>
      <c r="CQ65" vm="13797">
        <f ca="1"/>
        <v>41.21</v>
      </c>
      <c r="CR65" vm="13798">
        <f ca="1"/>
        <v>40.32</v>
      </c>
      <c r="CS65" vm="13799">
        <f ca="1"/>
        <v>41.03</v>
      </c>
      <c r="CT65" vm="6864">
        <f ca="1"/>
        <v>40.67</v>
      </c>
      <c r="CU65" vm="4799">
        <f ca="1"/>
        <v>39.229999999999997</v>
      </c>
      <c r="CV65" vm="6908">
        <f ca="1"/>
        <v>39.840000000000003</v>
      </c>
      <c r="CW65" vm="9145">
        <f ca="1"/>
        <v>40.159999999999997</v>
      </c>
      <c r="CX65" vm="2619">
        <f ca="1"/>
        <v>39.6</v>
      </c>
      <c r="CY65" vm="9152">
        <f ca="1"/>
        <v>40.31</v>
      </c>
      <c r="CZ65" vm="2621">
        <f ca="1"/>
        <v>39.53</v>
      </c>
      <c r="DA65" vm="9127">
        <f ca="1"/>
        <v>38.97</v>
      </c>
      <c r="DB65" vm="12793">
        <f ca="1"/>
        <v>39.86</v>
      </c>
      <c r="DC65" vm="560">
        <f ca="1"/>
        <v>40.58</v>
      </c>
      <c r="DD65" vm="6866">
        <f ca="1"/>
        <v>40.840000000000003</v>
      </c>
      <c r="DE65" vm="551">
        <f ca="1"/>
        <v>40.9</v>
      </c>
      <c r="DF65" vm="13800">
        <f ca="1"/>
        <v>39.799999999999997</v>
      </c>
      <c r="DG65" vm="2619">
        <f ca="1"/>
        <v>39.6</v>
      </c>
      <c r="DH65" vm="12786">
        <f ca="1"/>
        <v>39.869999999999997</v>
      </c>
      <c r="DI65" vm="10026">
        <f ca="1"/>
        <v>40.17</v>
      </c>
      <c r="DJ65" vm="12792">
        <f ca="1"/>
        <v>40.119999999999997</v>
      </c>
      <c r="DK65" vm="9191">
        <f ca="1"/>
        <v>40.71</v>
      </c>
      <c r="DL65" vm="13801">
        <f ca="1"/>
        <v>40.56</v>
      </c>
      <c r="DM65" vm="6944">
        <f ca="1"/>
        <v>41.01</v>
      </c>
      <c r="DN65" vm="300">
        <f ca="1"/>
        <v>41.13</v>
      </c>
      <c r="DO65" vm="2717">
        <f ca="1"/>
        <v>41.14</v>
      </c>
      <c r="DP65" vm="13802">
        <f ca="1"/>
        <v>41.179000000000002</v>
      </c>
      <c r="DQ65" vm="81">
        <f ca="1"/>
        <v>41.94</v>
      </c>
      <c r="DR65" vm="12758">
        <f ca="1"/>
        <v>42.07</v>
      </c>
      <c r="DS65" vm="12805">
        <f ca="1"/>
        <v>42.44</v>
      </c>
      <c r="DT65" vm="12757">
        <f ca="1"/>
        <v>41.99</v>
      </c>
      <c r="DU65" vm="2678">
        <f ca="1"/>
        <v>42.06</v>
      </c>
      <c r="DV65" vm="6876">
        <f ca="1"/>
        <v>41.43</v>
      </c>
      <c r="DW65" vm="6919">
        <f ca="1"/>
        <v>41.65</v>
      </c>
      <c r="DX65" vm="562">
        <f ca="1"/>
        <v>40.75</v>
      </c>
      <c r="DY65" vm="563">
        <f ca="1"/>
        <v>40.909999999999997</v>
      </c>
      <c r="DZ65" vm="12737">
        <f ca="1"/>
        <v>40.619999999999997</v>
      </c>
      <c r="EA65" vm="552">
        <f ca="1"/>
        <v>40.96</v>
      </c>
      <c r="EB65" vm="9198">
        <f ca="1"/>
        <v>41.5</v>
      </c>
      <c r="EC65" vm="556">
        <f ca="1"/>
        <v>41.07</v>
      </c>
      <c r="ED65" vm="13803">
        <f ca="1"/>
        <v>41.04</v>
      </c>
      <c r="EE65" vm="6923">
        <f ca="1"/>
        <v>40.630000000000003</v>
      </c>
      <c r="EF65" vm="560">
        <f ca="1"/>
        <v>40.58</v>
      </c>
      <c r="EG65" vm="6857">
        <f ca="1"/>
        <v>40.76</v>
      </c>
      <c r="EH65" vm="311">
        <f ca="1"/>
        <v>41.23</v>
      </c>
      <c r="EI65" vm="12804">
        <f ca="1"/>
        <v>41.28</v>
      </c>
      <c r="EJ65" vm="6945">
        <f ca="1"/>
        <v>41.06</v>
      </c>
      <c r="EK65" vm="6916">
        <f ca="1"/>
        <v>41.3</v>
      </c>
      <c r="EL65" vm="13804">
        <f ca="1"/>
        <v>42.37</v>
      </c>
      <c r="EM65" vm="12800">
        <f ca="1"/>
        <v>42.57</v>
      </c>
      <c r="EN65" vm="6900">
        <f ca="1"/>
        <v>42.08</v>
      </c>
      <c r="EO65" vm="13805">
        <f ca="1"/>
        <v>42.68</v>
      </c>
      <c r="EP65" vm="12796">
        <f ca="1"/>
        <v>41.81</v>
      </c>
      <c r="EQ65" vm="13806">
        <f ca="1"/>
        <v>42.27</v>
      </c>
      <c r="ER65" vm="13807">
        <f ca="1"/>
        <v>42.62</v>
      </c>
      <c r="ES65" vm="13808">
        <f ca="1"/>
        <v>42.09</v>
      </c>
      <c r="ET65" vm="2323">
        <f ca="1"/>
        <v>42.11</v>
      </c>
      <c r="EU65" vm="13809">
        <f ca="1"/>
        <v>42.51</v>
      </c>
      <c r="EV65" vm="1371">
        <f ca="1"/>
        <v>43.37</v>
      </c>
      <c r="EW65" vm="1372">
        <f ca="1"/>
        <v>43.25</v>
      </c>
      <c r="EX65" vm="2689">
        <f ca="1"/>
        <v>43.28</v>
      </c>
      <c r="EY65" vm="13810">
        <f ca="1"/>
        <v>42.86</v>
      </c>
      <c r="EZ65" vm="9197">
        <f ca="1"/>
        <v>42.32</v>
      </c>
      <c r="FA65" vm="2678">
        <f ca="1"/>
        <v>42.06</v>
      </c>
      <c r="FB65" vm="12797">
        <f ca="1"/>
        <v>41.19</v>
      </c>
      <c r="FC65" vm="10025">
        <f ca="1"/>
        <v>41.71</v>
      </c>
      <c r="FD65" vm="13811">
        <f ca="1"/>
        <v>42.49</v>
      </c>
      <c r="FE65" vm="13812">
        <f ca="1"/>
        <v>42.38</v>
      </c>
      <c r="FF65" vm="2679">
        <f ca="1"/>
        <v>41.92</v>
      </c>
      <c r="FG65" vm="6953">
        <f ca="1"/>
        <v>42.54</v>
      </c>
      <c r="FH65" vm="11519">
        <f ca="1"/>
        <v>43.17</v>
      </c>
      <c r="FI65" vm="13813">
        <f ca="1"/>
        <v>43.63</v>
      </c>
      <c r="FJ65" vm="13814">
        <f ca="1"/>
        <v>44.6</v>
      </c>
      <c r="FK65" vm="13815">
        <f ca="1"/>
        <v>45.64</v>
      </c>
      <c r="FL65" vm="13816">
        <f ca="1"/>
        <v>45.87</v>
      </c>
      <c r="FM65" vm="12100">
        <f ca="1"/>
        <v>46.08</v>
      </c>
      <c r="FN65" vm="2334">
        <f ca="1"/>
        <v>46.05</v>
      </c>
      <c r="FO65" vm="13817">
        <f ca="1"/>
        <v>45.94</v>
      </c>
      <c r="FP65" vm="13818">
        <f ca="1"/>
        <v>46.28</v>
      </c>
      <c r="FQ65" vm="2103">
        <f ca="1"/>
        <v>46.73</v>
      </c>
      <c r="FR65" vm="6236">
        <f ca="1"/>
        <v>47.32</v>
      </c>
      <c r="FS65" vm="2183">
        <f ca="1"/>
        <v>46.45</v>
      </c>
      <c r="FT65" vm="12090">
        <f ca="1"/>
        <v>47.12</v>
      </c>
      <c r="FU65" vm="11576">
        <f ca="1"/>
        <v>47.3</v>
      </c>
      <c r="FV65" vm="11531">
        <f ca="1"/>
        <v>47.26</v>
      </c>
      <c r="FW65" vm="12036">
        <f ca="1"/>
        <v>47.47</v>
      </c>
      <c r="FX65" vm="6225">
        <f ca="1"/>
        <v>47.63</v>
      </c>
      <c r="FY65" vm="1254">
        <f ca="1"/>
        <v>47.49</v>
      </c>
      <c r="FZ65" vm="12101">
        <f ca="1"/>
        <v>47.28</v>
      </c>
      <c r="GA65" vm="13819">
        <f ca="1"/>
        <v>47.85</v>
      </c>
      <c r="GB65" vm="831">
        <f ca="1"/>
        <v>47.6</v>
      </c>
      <c r="GC65" vm="11039">
        <f ca="1"/>
        <v>47.67</v>
      </c>
      <c r="GD65" vm="11563">
        <f ca="1"/>
        <v>47.31</v>
      </c>
      <c r="GE65" vm="6269">
        <f ca="1"/>
        <v>47.61</v>
      </c>
      <c r="GF65" vm="13820">
        <f ca="1"/>
        <v>46.5</v>
      </c>
      <c r="GG65" vm="13821">
        <f ca="1"/>
        <v>46</v>
      </c>
      <c r="GH65" vm="10042">
        <f ca="1"/>
        <v>45.99</v>
      </c>
      <c r="GI65" vm="460">
        <f ca="1"/>
        <v>46.18</v>
      </c>
      <c r="GJ65" vm="13822">
        <f ca="1"/>
        <v>47.11</v>
      </c>
      <c r="GK65" vm="10004">
        <f ca="1"/>
        <v>46.56</v>
      </c>
      <c r="GL65" vm="11474">
        <f ca="1"/>
        <v>46.69</v>
      </c>
      <c r="GM65" vm="10039">
        <f ca="1"/>
        <v>46.72</v>
      </c>
      <c r="GN65" vm="10004">
        <f ca="1"/>
        <v>46.56</v>
      </c>
      <c r="GO65" vm="12047">
        <f ca="1"/>
        <v>45.82</v>
      </c>
      <c r="GP65" vm="12072">
        <f ca="1"/>
        <v>47.02</v>
      </c>
      <c r="GQ65" vm="1257">
        <f ca="1"/>
        <v>47.52</v>
      </c>
      <c r="GR65" vm="11316">
        <f ca="1"/>
        <v>47.94</v>
      </c>
      <c r="GS65" vm="13823">
        <f ca="1"/>
        <v>48.54</v>
      </c>
      <c r="GT65" vm="1263">
        <f ca="1"/>
        <v>48.27</v>
      </c>
      <c r="GU65" vm="1262">
        <f ca="1"/>
        <v>49</v>
      </c>
      <c r="GV65" vm="11294">
        <f ca="1"/>
        <v>48.63</v>
      </c>
      <c r="GW65" vm="13824">
        <f ca="1"/>
        <v>48.34</v>
      </c>
      <c r="GX65" vm="11480">
        <f ca="1"/>
        <v>48.43</v>
      </c>
      <c r="GY65" vm="13825">
        <f ca="1"/>
        <v>48.64</v>
      </c>
      <c r="GZ65" vm="6236">
        <f ca="1"/>
        <v>47.32</v>
      </c>
      <c r="HA65" vm="9993">
        <f ca="1"/>
        <v>47.37</v>
      </c>
      <c r="HB65" vm="9993">
        <f ca="1"/>
        <v>47.37</v>
      </c>
      <c r="HC65" vm="1129">
        <f ca="1"/>
        <v>48.51</v>
      </c>
      <c r="HD65" vm="11043">
        <f ca="1"/>
        <v>48.01</v>
      </c>
      <c r="HE65" vm="11848">
        <f ca="1"/>
        <v>48.2</v>
      </c>
      <c r="HF65" vm="13826">
        <f ca="1"/>
        <v>49.15</v>
      </c>
      <c r="HG65" vm="6273">
        <f ca="1"/>
        <v>49.03</v>
      </c>
      <c r="HH65" vm="3108">
        <f ca="1"/>
        <v>48.5</v>
      </c>
      <c r="HI65" vm="1259">
        <f ca="1"/>
        <v>48.56</v>
      </c>
      <c r="HJ65" vm="1987">
        <f ca="1"/>
        <v>48.72</v>
      </c>
      <c r="HK65" vm="832">
        <f ca="1"/>
        <v>49.11</v>
      </c>
      <c r="HL65" vm="13827">
        <f ca="1"/>
        <v>48.88</v>
      </c>
      <c r="HM65" vm="11352">
        <f ca="1"/>
        <v>48.55</v>
      </c>
      <c r="HN65" vm="11291">
        <f ca="1"/>
        <v>49.31</v>
      </c>
      <c r="HO65" vm="834">
        <f ca="1"/>
        <v>49.67</v>
      </c>
      <c r="HP65" vm="11025">
        <f ca="1"/>
        <v>49.7</v>
      </c>
      <c r="HQ65" vm="9246">
        <f ca="1"/>
        <v>49.34</v>
      </c>
      <c r="HR65" vm="13825">
        <f ca="1"/>
        <v>48.64</v>
      </c>
      <c r="HS65" vm="6233">
        <f ca="1"/>
        <v>48.59</v>
      </c>
      <c r="HT65" vm="11041">
        <f ca="1"/>
        <v>48.3</v>
      </c>
      <c r="HU65" vm="9244">
        <f ca="1"/>
        <v>49.24</v>
      </c>
      <c r="HV65" vm="2904">
        <f ca="1"/>
        <v>51.05</v>
      </c>
      <c r="HW65" vm="13828">
        <f ca="1"/>
        <v>50.91</v>
      </c>
      <c r="HX65" vm="6265">
        <f ca="1"/>
        <v>50.21</v>
      </c>
      <c r="HY65" vm="13829">
        <f ca="1"/>
        <v>50.76</v>
      </c>
      <c r="HZ65" vm="6258">
        <f ca="1"/>
        <v>51.39</v>
      </c>
      <c r="IA65" vm="2908">
        <f ca="1"/>
        <v>52.14</v>
      </c>
      <c r="IB65" vm="1522">
        <f ca="1"/>
        <v>52.17</v>
      </c>
      <c r="IC65" vm="1523">
        <f ca="1"/>
        <v>51.16</v>
      </c>
      <c r="ID65" vm="1524">
        <f ca="1"/>
        <v>52.19</v>
      </c>
      <c r="IE65" vm="1525">
        <f ca="1"/>
        <v>53.29</v>
      </c>
      <c r="IF65" vm="87">
        <f ca="1"/>
        <v>54.21</v>
      </c>
      <c r="IG65" vm="1526">
        <f ca="1"/>
        <v>54.78</v>
      </c>
      <c r="IH65" vm="1527">
        <f ca="1"/>
        <v>54.8</v>
      </c>
      <c r="II65" vm="1528">
        <f ca="1"/>
        <v>53.78</v>
      </c>
      <c r="IJ65" vm="1529">
        <f ca="1"/>
        <v>52.65</v>
      </c>
      <c r="IK65" vm="1530">
        <f ca="1"/>
        <v>54.09</v>
      </c>
      <c r="IL65" vm="1531">
        <f ca="1"/>
        <v>54.29</v>
      </c>
      <c r="IM65" vm="1532">
        <f ca="1"/>
        <v>54.36</v>
      </c>
      <c r="IN65" vm="1533">
        <f ca="1"/>
        <v>56.48</v>
      </c>
      <c r="IO65" vm="1534">
        <f ca="1"/>
        <v>55.93</v>
      </c>
      <c r="IP65" vm="1535">
        <f ca="1"/>
        <v>56.56</v>
      </c>
      <c r="IQ65" vm="1536">
        <f ca="1"/>
        <v>56.4</v>
      </c>
      <c r="IR65" vm="1537">
        <f ca="1"/>
        <v>56.25</v>
      </c>
      <c r="IS65" vm="1538">
        <f ca="1"/>
        <v>56.17</v>
      </c>
      <c r="IT65" vm="1539">
        <f ca="1"/>
        <v>55.75</v>
      </c>
      <c r="IU65" vm="1223">
        <f ca="1"/>
        <v>55.35</v>
      </c>
      <c r="IV65" vm="1540">
        <f ca="1"/>
        <v>55.26</v>
      </c>
      <c r="IW65" vm="108">
        <f ca="1"/>
        <v>56.21</v>
      </c>
    </row>
    <row r="66" spans="1:257" ht="16" x14ac:dyDescent="0.2">
      <c r="A66" s="1" t="e" vm="1541">
        <v>#VALUE!</v>
      </c>
      <c r="B66" s="23" t="str" cm="1">
        <f t="array" aca="1" ref="B66" ca="1">_FV(A66,"ticker symbol",TRUE)</f>
        <v>FHLC</v>
      </c>
      <c r="C66" s="23" t="str" cm="1">
        <f t="array" aca="1" ref="C66" ca="1">_FV(A66,"Name")</f>
        <v>Fidelity MSCI Hlth Care</v>
      </c>
      <c r="D66" cm="1" vm="2473">
        <f t="array" aca="1" ref="D66:IW66" ca="1">TRANSPOSE(_xlfn.STOCKHISTORY(B66, WORKDAY(TODAY(), -265), TODAY(), 0, 0, 1))</f>
        <v>66.5</v>
      </c>
      <c r="E66" s="23" vm="13830">
        <f ca="1"/>
        <v>66.41</v>
      </c>
      <c r="F66" s="23" vm="8721">
        <f ca="1"/>
        <v>65.25</v>
      </c>
      <c r="G66" s="23" vm="2735">
        <f ca="1"/>
        <v>64.849999999999994</v>
      </c>
      <c r="H66" s="23" vm="11424">
        <f ca="1"/>
        <v>65.41</v>
      </c>
      <c r="I66" s="23" vm="11436">
        <f ca="1"/>
        <v>66.06</v>
      </c>
      <c r="J66" s="23" vm="11406">
        <f ca="1"/>
        <v>66.209999999999994</v>
      </c>
      <c r="K66" s="23" vm="9736">
        <f ca="1"/>
        <v>66.400000000000006</v>
      </c>
      <c r="L66" s="23" vm="58">
        <f ca="1"/>
        <v>66.09</v>
      </c>
      <c r="M66" s="23" vm="13831">
        <f ca="1"/>
        <v>65.28</v>
      </c>
      <c r="N66" s="23" vm="2736">
        <f ca="1"/>
        <v>65.349999999999994</v>
      </c>
      <c r="O66" s="23" vm="9727">
        <f ca="1"/>
        <v>65.44</v>
      </c>
      <c r="P66" s="23" vm="2349">
        <f ca="1"/>
        <v>66.180000000000007</v>
      </c>
      <c r="Q66" s="23" vm="11405">
        <f ca="1"/>
        <v>66.14</v>
      </c>
      <c r="R66" s="23" vm="8749">
        <f ca="1"/>
        <v>66.510000000000005</v>
      </c>
      <c r="S66" s="23" vm="2486">
        <f ca="1"/>
        <v>66.89</v>
      </c>
      <c r="T66" s="23" vm="8727">
        <f ca="1"/>
        <v>66.33</v>
      </c>
      <c r="U66" s="23" vm="10313">
        <f ca="1"/>
        <v>67.17</v>
      </c>
      <c r="V66" s="23" vm="13832">
        <f ca="1"/>
        <v>66.52</v>
      </c>
      <c r="W66" s="23" vm="2936">
        <f ca="1"/>
        <v>66.739999999999995</v>
      </c>
      <c r="X66" s="23" vm="13833">
        <f ca="1"/>
        <v>67.09</v>
      </c>
      <c r="Y66" s="23" vm="13834">
        <f ca="1"/>
        <v>66.66</v>
      </c>
      <c r="Z66" s="23" vm="8751">
        <f ca="1"/>
        <v>67.819999999999993</v>
      </c>
      <c r="AA66" s="23" vm="13835">
        <f ca="1"/>
        <v>67.790000000000006</v>
      </c>
      <c r="AB66" s="23" vm="8755">
        <f ca="1"/>
        <v>68.53</v>
      </c>
      <c r="AC66" s="23" vm="2785">
        <f ca="1"/>
        <v>68.709999999999994</v>
      </c>
      <c r="AD66" vm="8875">
        <f ca="1"/>
        <v>70.08</v>
      </c>
      <c r="AE66" vm="13836">
        <f ca="1"/>
        <v>69.650000000000006</v>
      </c>
      <c r="AF66" vm="10163">
        <f ca="1"/>
        <v>69.290000000000006</v>
      </c>
      <c r="AG66" vm="1813">
        <f ca="1"/>
        <v>70.03</v>
      </c>
      <c r="AH66" vm="13837">
        <f ca="1"/>
        <v>69.83</v>
      </c>
      <c r="AI66" vm="13838">
        <f ca="1"/>
        <v>69.930000000000007</v>
      </c>
      <c r="AJ66" vm="36">
        <f ca="1"/>
        <v>69.8</v>
      </c>
      <c r="AK66" vm="13839">
        <f ca="1"/>
        <v>70.64</v>
      </c>
      <c r="AL66" vm="13840">
        <f ca="1"/>
        <v>69.88</v>
      </c>
      <c r="AM66" vm="2941">
        <f ca="1"/>
        <v>69.5</v>
      </c>
      <c r="AN66" vm="13841">
        <f ca="1"/>
        <v>69.34</v>
      </c>
      <c r="AO66" vm="13842">
        <f ca="1"/>
        <v>69.11</v>
      </c>
      <c r="AP66" vm="9767">
        <f ca="1"/>
        <v>69.069999999999993</v>
      </c>
      <c r="AQ66" vm="1940">
        <f ca="1"/>
        <v>69.36</v>
      </c>
      <c r="AR66" vm="10177">
        <f ca="1"/>
        <v>68.7</v>
      </c>
      <c r="AS66" vm="13843">
        <f ca="1"/>
        <v>68.59</v>
      </c>
      <c r="AT66" vm="2941">
        <f ca="1"/>
        <v>69.5</v>
      </c>
      <c r="AU66" vm="1811">
        <f ca="1"/>
        <v>69.73</v>
      </c>
      <c r="AV66" vm="2227">
        <f ca="1"/>
        <v>69.3</v>
      </c>
      <c r="AW66" vm="13844">
        <f ca="1"/>
        <v>69.739999999999995</v>
      </c>
      <c r="AX66" vm="13845">
        <f ca="1"/>
        <v>70.06</v>
      </c>
      <c r="AY66" vm="8759">
        <f ca="1"/>
        <v>69.7</v>
      </c>
      <c r="AZ66" vm="2229">
        <f ca="1"/>
        <v>69.25</v>
      </c>
      <c r="BA66" vm="2230">
        <f ca="1"/>
        <v>70.040000000000006</v>
      </c>
      <c r="BB66" vm="2226">
        <f ca="1"/>
        <v>70.150000000000006</v>
      </c>
      <c r="BC66" vm="3083">
        <f ca="1"/>
        <v>69.48</v>
      </c>
      <c r="BD66" vm="2233">
        <f ca="1"/>
        <v>70.2</v>
      </c>
      <c r="BE66" vm="13846">
        <f ca="1"/>
        <v>69.94</v>
      </c>
      <c r="BF66" vm="9755">
        <f ca="1"/>
        <v>70</v>
      </c>
      <c r="BG66" vm="13847">
        <f ca="1"/>
        <v>69.16</v>
      </c>
      <c r="BH66" vm="8755">
        <f ca="1"/>
        <v>68.53</v>
      </c>
      <c r="BI66" vm="2484">
        <f ca="1"/>
        <v>67.930000000000007</v>
      </c>
      <c r="BJ66" vm="13848">
        <f ca="1"/>
        <v>67.42</v>
      </c>
      <c r="BK66" vm="2243">
        <f ca="1"/>
        <v>67.98</v>
      </c>
      <c r="BL66" vm="8758">
        <f ca="1"/>
        <v>68.92</v>
      </c>
      <c r="BM66" vm="13849">
        <f ca="1"/>
        <v>68.84</v>
      </c>
      <c r="BN66" vm="13850">
        <f ca="1"/>
        <v>68.98</v>
      </c>
      <c r="BO66" vm="13851">
        <f ca="1"/>
        <v>68.87</v>
      </c>
      <c r="BP66" vm="2789">
        <f ca="1"/>
        <v>68.64</v>
      </c>
      <c r="BQ66" vm="13852">
        <f ca="1"/>
        <v>69.17</v>
      </c>
      <c r="BR66" vm="13853">
        <f ca="1"/>
        <v>68.290000000000006</v>
      </c>
      <c r="BS66" vm="13854">
        <f ca="1"/>
        <v>67.900000000000006</v>
      </c>
      <c r="BT66" vm="981">
        <f ca="1"/>
        <v>68.069999999999993</v>
      </c>
      <c r="BU66" vm="13855">
        <f ca="1"/>
        <v>67.739999999999995</v>
      </c>
      <c r="BV66" vm="13856">
        <f ca="1"/>
        <v>68.319999999999993</v>
      </c>
      <c r="BW66" vm="8835">
        <f ca="1"/>
        <v>67.06</v>
      </c>
      <c r="BX66" vm="13857">
        <f ca="1"/>
        <v>67.59</v>
      </c>
      <c r="BY66" vm="9735">
        <f ca="1"/>
        <v>66.87</v>
      </c>
      <c r="BZ66" vm="8809">
        <f ca="1"/>
        <v>63.24</v>
      </c>
      <c r="CA66" vm="1593">
        <f ca="1"/>
        <v>62.79</v>
      </c>
      <c r="CB66" vm="13858">
        <f ca="1"/>
        <v>61.94</v>
      </c>
      <c r="CC66" vm="11425">
        <f ca="1"/>
        <v>64.91</v>
      </c>
      <c r="CD66" vm="8852">
        <f ca="1"/>
        <v>63</v>
      </c>
      <c r="CE66" vm="2542">
        <f ca="1"/>
        <v>63.88</v>
      </c>
      <c r="CF66" vm="1610">
        <f ca="1"/>
        <v>64.72</v>
      </c>
      <c r="CG66" vm="11442">
        <f ca="1"/>
        <v>64.34</v>
      </c>
      <c r="CH66" vm="13859">
        <f ca="1"/>
        <v>63.71</v>
      </c>
      <c r="CI66" vm="8814">
        <f ca="1"/>
        <v>63.45</v>
      </c>
      <c r="CJ66" vm="11372">
        <f ca="1"/>
        <v>62.13</v>
      </c>
      <c r="CK66" vm="8819">
        <f ca="1"/>
        <v>63.21</v>
      </c>
      <c r="CL66" vm="11378">
        <f ca="1"/>
        <v>63.61</v>
      </c>
      <c r="CM66" vm="13860">
        <f ca="1"/>
        <v>64.5</v>
      </c>
      <c r="CN66" vm="1612">
        <f ca="1"/>
        <v>64.81</v>
      </c>
      <c r="CO66" vm="8811">
        <f ca="1"/>
        <v>65.05</v>
      </c>
      <c r="CP66" vm="13861">
        <f ca="1"/>
        <v>65.47</v>
      </c>
      <c r="CQ66" vm="8840">
        <f ca="1"/>
        <v>65.930000000000007</v>
      </c>
      <c r="CR66" vm="11442">
        <f ca="1"/>
        <v>64.34</v>
      </c>
      <c r="CS66" vm="1161">
        <f ca="1"/>
        <v>65.290000000000006</v>
      </c>
      <c r="CT66" vm="11395">
        <f ca="1"/>
        <v>65.09</v>
      </c>
      <c r="CU66" vm="13862">
        <f ca="1"/>
        <v>63.19</v>
      </c>
      <c r="CV66" vm="8815">
        <f ca="1"/>
        <v>63.75</v>
      </c>
      <c r="CW66" vm="13863">
        <f ca="1"/>
        <v>63.26</v>
      </c>
      <c r="CX66" vm="13864">
        <f ca="1"/>
        <v>62.54</v>
      </c>
      <c r="CY66" vm="13102">
        <f ca="1"/>
        <v>64.150000000000006</v>
      </c>
      <c r="CZ66" vm="13865">
        <f ca="1"/>
        <v>62.37</v>
      </c>
      <c r="DA66" vm="13441">
        <f ca="1"/>
        <v>61.03</v>
      </c>
      <c r="DB66" vm="9666">
        <f ca="1"/>
        <v>61.84</v>
      </c>
      <c r="DC66" vm="11389">
        <f ca="1"/>
        <v>63.04</v>
      </c>
      <c r="DD66" vm="13866">
        <f ca="1"/>
        <v>63.56</v>
      </c>
      <c r="DE66" vm="11453">
        <f ca="1"/>
        <v>63.77</v>
      </c>
      <c r="DF66" vm="13430">
        <f ca="1"/>
        <v>62.21</v>
      </c>
      <c r="DG66" vm="41">
        <f ca="1"/>
        <v>61.77</v>
      </c>
      <c r="DH66" vm="9667">
        <f ca="1"/>
        <v>61.63</v>
      </c>
      <c r="DI66" vm="8645">
        <f ca="1"/>
        <v>62.49</v>
      </c>
      <c r="DJ66" vm="13867">
        <f ca="1"/>
        <v>62.1</v>
      </c>
      <c r="DK66" vm="8709">
        <f ca="1"/>
        <v>62.69</v>
      </c>
      <c r="DL66" vm="2730">
        <f ca="1"/>
        <v>62.8</v>
      </c>
      <c r="DM66" vm="13868">
        <f ca="1"/>
        <v>62.92</v>
      </c>
      <c r="DN66" vm="13398">
        <f ca="1"/>
        <v>63.11</v>
      </c>
      <c r="DO66" vm="13863">
        <f ca="1"/>
        <v>63.26</v>
      </c>
      <c r="DP66" vm="8819">
        <f ca="1"/>
        <v>63.21</v>
      </c>
      <c r="DQ66" vm="2543">
        <f ca="1"/>
        <v>63.83</v>
      </c>
      <c r="DR66" vm="13869">
        <f ca="1"/>
        <v>63.73</v>
      </c>
      <c r="DS66" vm="8854">
        <f ca="1"/>
        <v>64.45</v>
      </c>
      <c r="DT66" vm="13870">
        <f ca="1"/>
        <v>64.430000000000007</v>
      </c>
      <c r="DU66" vm="1612">
        <f ca="1"/>
        <v>64.81</v>
      </c>
      <c r="DV66" vm="13871">
        <f ca="1"/>
        <v>64.48</v>
      </c>
      <c r="DW66" vm="11442">
        <f ca="1"/>
        <v>64.34</v>
      </c>
      <c r="DX66" vm="13872">
        <f ca="1"/>
        <v>63.36</v>
      </c>
      <c r="DY66" vm="13873">
        <f ca="1"/>
        <v>63.29</v>
      </c>
      <c r="DZ66" vm="8860">
        <f ca="1"/>
        <v>62.75</v>
      </c>
      <c r="EA66" vm="1598">
        <f ca="1"/>
        <v>62.76</v>
      </c>
      <c r="EB66" vm="11392">
        <f ca="1"/>
        <v>63.58</v>
      </c>
      <c r="EC66" vm="13866">
        <f ca="1"/>
        <v>63.56</v>
      </c>
      <c r="ED66" vm="13874">
        <f ca="1"/>
        <v>63.69</v>
      </c>
      <c r="EE66" vm="8714">
        <f ca="1"/>
        <v>63.7</v>
      </c>
      <c r="EF66" vm="8660">
        <f ca="1"/>
        <v>63.95</v>
      </c>
      <c r="EG66" vm="1610">
        <f ca="1"/>
        <v>64.72</v>
      </c>
      <c r="EH66" vm="11448">
        <f ca="1"/>
        <v>64.3</v>
      </c>
      <c r="EI66" vm="1468">
        <f ca="1"/>
        <v>64.33</v>
      </c>
      <c r="EJ66" vm="13874">
        <f ca="1"/>
        <v>63.69</v>
      </c>
      <c r="EK66" vm="1151">
        <f ca="1"/>
        <v>64.06</v>
      </c>
      <c r="EL66" vm="11427">
        <f ca="1"/>
        <v>64.41</v>
      </c>
      <c r="EM66" vm="8816">
        <f ca="1"/>
        <v>64.77</v>
      </c>
      <c r="EN66" vm="11394">
        <f ca="1"/>
        <v>64.14</v>
      </c>
      <c r="EO66" vm="9726">
        <f ca="1"/>
        <v>64.239999999999995</v>
      </c>
      <c r="EP66" vm="2541">
        <f ca="1"/>
        <v>62.98</v>
      </c>
      <c r="EQ66" vm="11431">
        <f ca="1"/>
        <v>63.76</v>
      </c>
      <c r="ER66" vm="9659">
        <f ca="1"/>
        <v>63.13</v>
      </c>
      <c r="ES66" vm="13875">
        <f ca="1"/>
        <v>62.65</v>
      </c>
      <c r="ET66" vm="8649">
        <f ca="1"/>
        <v>62.32</v>
      </c>
      <c r="EU66" vm="1474">
        <f ca="1"/>
        <v>63.48</v>
      </c>
      <c r="EV66" vm="8822">
        <f ca="1"/>
        <v>64.739999999999995</v>
      </c>
      <c r="EW66" vm="2548">
        <f ca="1"/>
        <v>64.44</v>
      </c>
      <c r="EX66" vm="1612">
        <f ca="1"/>
        <v>64.81</v>
      </c>
      <c r="EY66" vm="11444">
        <f ca="1"/>
        <v>64.260000000000005</v>
      </c>
      <c r="EZ66" vm="11431">
        <f ca="1"/>
        <v>63.76</v>
      </c>
      <c r="FA66" vm="11453">
        <f ca="1"/>
        <v>63.77</v>
      </c>
      <c r="FB66" vm="1479">
        <f ca="1"/>
        <v>62.19</v>
      </c>
      <c r="FC66" vm="13876">
        <f ca="1"/>
        <v>62.46</v>
      </c>
      <c r="FD66" vm="11374">
        <f ca="1"/>
        <v>63.37</v>
      </c>
      <c r="FE66" vm="13877">
        <f ca="1"/>
        <v>63.12</v>
      </c>
      <c r="FF66" vm="1479">
        <f ca="1"/>
        <v>62.19</v>
      </c>
      <c r="FG66" vm="8707">
        <f ca="1"/>
        <v>61.56</v>
      </c>
      <c r="FH66" vm="11373">
        <f ca="1"/>
        <v>62.15</v>
      </c>
      <c r="FI66" vm="9720">
        <f ca="1"/>
        <v>62.18</v>
      </c>
      <c r="FJ66" vm="13878">
        <f ca="1"/>
        <v>62.74</v>
      </c>
      <c r="FK66" vm="11453">
        <f ca="1"/>
        <v>63.77</v>
      </c>
      <c r="FL66" vm="1151">
        <f ca="1"/>
        <v>64.06</v>
      </c>
      <c r="FM66" vm="13879">
        <f ca="1"/>
        <v>65.06</v>
      </c>
      <c r="FN66" vm="1611">
        <f ca="1"/>
        <v>64.94</v>
      </c>
      <c r="FO66" vm="8740">
        <f ca="1"/>
        <v>65.22</v>
      </c>
      <c r="FP66" vm="8836">
        <f ca="1"/>
        <v>65.56</v>
      </c>
      <c r="FQ66" vm="2489">
        <f ca="1"/>
        <v>65.400000000000006</v>
      </c>
      <c r="FR66" vm="2780">
        <f ca="1"/>
        <v>66.040000000000006</v>
      </c>
      <c r="FS66" vm="8845">
        <f ca="1"/>
        <v>65.08</v>
      </c>
      <c r="FT66" vm="13861">
        <f ca="1"/>
        <v>65.47</v>
      </c>
      <c r="FU66" vm="11404">
        <f ca="1"/>
        <v>65.55</v>
      </c>
      <c r="FV66" vm="13831">
        <f ca="1"/>
        <v>65.28</v>
      </c>
      <c r="FW66" vm="10169">
        <f ca="1"/>
        <v>65.67</v>
      </c>
      <c r="FX66" vm="1165">
        <f ca="1"/>
        <v>65.87</v>
      </c>
      <c r="FY66" vm="11440">
        <f ca="1"/>
        <v>65.63</v>
      </c>
      <c r="FZ66" vm="11435">
        <f ca="1"/>
        <v>65.86</v>
      </c>
      <c r="GA66" vm="11406">
        <f ca="1"/>
        <v>66.209999999999994</v>
      </c>
      <c r="GB66" vm="8837">
        <f ca="1"/>
        <v>66.11</v>
      </c>
      <c r="GC66" vm="2473">
        <f ca="1"/>
        <v>66.5</v>
      </c>
      <c r="GD66" vm="8743">
        <f ca="1"/>
        <v>65.84</v>
      </c>
      <c r="GE66" vm="13880">
        <f ca="1"/>
        <v>66.95</v>
      </c>
      <c r="GF66" vm="11433">
        <f ca="1"/>
        <v>66.2</v>
      </c>
      <c r="GG66" vm="8723">
        <f ca="1"/>
        <v>65.599999999999994</v>
      </c>
      <c r="GH66" vm="8849">
        <f ca="1"/>
        <v>65.62</v>
      </c>
      <c r="GI66" vm="3059">
        <f ca="1"/>
        <v>65.77</v>
      </c>
      <c r="GJ66" vm="13881">
        <f ca="1"/>
        <v>66.12</v>
      </c>
      <c r="GK66" vm="10169">
        <f ca="1"/>
        <v>65.67</v>
      </c>
      <c r="GL66" vm="2738">
        <f ca="1"/>
        <v>65.72</v>
      </c>
      <c r="GM66" vm="13882">
        <f ca="1"/>
        <v>65.78</v>
      </c>
      <c r="GN66" vm="8725">
        <f ca="1"/>
        <v>65.52</v>
      </c>
      <c r="GO66" vm="11386">
        <f ca="1"/>
        <v>64.459999999999994</v>
      </c>
      <c r="GP66" vm="11403">
        <f ca="1"/>
        <v>65.209999999999994</v>
      </c>
      <c r="GQ66" vm="11432">
        <f ca="1"/>
        <v>65.430000000000007</v>
      </c>
      <c r="GR66" vm="9735">
        <f ca="1"/>
        <v>66.87</v>
      </c>
      <c r="GS66" vm="13883">
        <f ca="1"/>
        <v>68.69</v>
      </c>
      <c r="GT66" vm="2789">
        <f ca="1"/>
        <v>68.64</v>
      </c>
      <c r="GU66" vm="13884">
        <f ca="1"/>
        <v>69.400000000000006</v>
      </c>
      <c r="GV66" vm="13842">
        <f ca="1"/>
        <v>69.11</v>
      </c>
      <c r="GW66" vm="13847">
        <f ca="1"/>
        <v>69.16</v>
      </c>
      <c r="GX66" vm="13841">
        <f ca="1"/>
        <v>69.34</v>
      </c>
      <c r="GY66" vm="2229">
        <f ca="1"/>
        <v>69.25</v>
      </c>
      <c r="GZ66" vm="13885">
        <f ca="1"/>
        <v>68.22</v>
      </c>
      <c r="HA66" vm="13886">
        <f ca="1"/>
        <v>68.19</v>
      </c>
      <c r="HB66" vm="893">
        <f ca="1"/>
        <v>68.39</v>
      </c>
      <c r="HC66" vm="2942">
        <f ca="1"/>
        <v>68.63</v>
      </c>
      <c r="HD66" vm="13843">
        <f ca="1"/>
        <v>68.59</v>
      </c>
      <c r="HE66" vm="8829">
        <f ca="1"/>
        <v>68.900000000000006</v>
      </c>
      <c r="HF66" vm="13887">
        <f ca="1"/>
        <v>69.709999999999994</v>
      </c>
      <c r="HG66" vm="13888">
        <f ca="1"/>
        <v>69.78</v>
      </c>
      <c r="HH66" vm="13845">
        <f ca="1"/>
        <v>70.06</v>
      </c>
      <c r="HI66" vm="2226">
        <f ca="1"/>
        <v>70.150000000000006</v>
      </c>
      <c r="HJ66" vm="13889">
        <f ca="1"/>
        <v>70.25</v>
      </c>
      <c r="HK66" vm="13890">
        <f ca="1"/>
        <v>70.5</v>
      </c>
      <c r="HL66" vm="13891">
        <f ca="1"/>
        <v>70.010000000000005</v>
      </c>
      <c r="HM66" vm="13892">
        <f ca="1"/>
        <v>69.37</v>
      </c>
      <c r="HN66" vm="13893">
        <f ca="1"/>
        <v>69.569999999999993</v>
      </c>
      <c r="HO66" vm="13894">
        <f ca="1"/>
        <v>69.63</v>
      </c>
      <c r="HP66" vm="10181">
        <f ca="1"/>
        <v>69.62</v>
      </c>
      <c r="HQ66" vm="3090">
        <f ca="1"/>
        <v>69.81</v>
      </c>
      <c r="HR66" vm="8875">
        <f ca="1"/>
        <v>70.08</v>
      </c>
      <c r="HS66" vm="13895">
        <f ca="1"/>
        <v>70.14</v>
      </c>
      <c r="HT66" vm="13896">
        <f ca="1"/>
        <v>70.27</v>
      </c>
      <c r="HU66" vm="9762">
        <f ca="1"/>
        <v>70.819999999999993</v>
      </c>
      <c r="HV66" vm="1554">
        <f ca="1"/>
        <v>72.42</v>
      </c>
      <c r="HW66" vm="13897">
        <f ca="1"/>
        <v>73.27</v>
      </c>
      <c r="HX66" vm="10266">
        <f ca="1"/>
        <v>73.08</v>
      </c>
      <c r="HY66" vm="13898">
        <f ca="1"/>
        <v>72.77</v>
      </c>
      <c r="HZ66" vm="13899">
        <f ca="1"/>
        <v>72.75</v>
      </c>
      <c r="IA66" vm="769">
        <f ca="1"/>
        <v>73.150000000000006</v>
      </c>
      <c r="IB66" vm="1542">
        <f ca="1"/>
        <v>73.040000000000006</v>
      </c>
      <c r="IC66" vm="1543">
        <f ca="1"/>
        <v>72.59</v>
      </c>
      <c r="ID66" vm="1544">
        <f ca="1"/>
        <v>74.12</v>
      </c>
      <c r="IE66" vm="1545">
        <f ca="1"/>
        <v>74.69</v>
      </c>
      <c r="IF66" vm="1546">
        <f ca="1"/>
        <v>76.290000000000006</v>
      </c>
      <c r="IG66" vm="1547">
        <f ca="1"/>
        <v>76.2</v>
      </c>
      <c r="IH66" vm="1548">
        <f ca="1"/>
        <v>75.849999999999994</v>
      </c>
      <c r="II66" vm="1549">
        <f ca="1"/>
        <v>74.75</v>
      </c>
      <c r="IJ66" vm="1550">
        <f ca="1"/>
        <v>74.290000000000006</v>
      </c>
      <c r="IK66" vm="1551">
        <f ca="1"/>
        <v>74.72</v>
      </c>
      <c r="IL66" vm="773">
        <f ca="1"/>
        <v>74.28</v>
      </c>
      <c r="IM66" vm="1552">
        <f ca="1"/>
        <v>74.010000000000005</v>
      </c>
      <c r="IN66" vm="1553">
        <f ca="1"/>
        <v>73.180000000000007</v>
      </c>
      <c r="IO66" vm="1554">
        <f ca="1"/>
        <v>72.42</v>
      </c>
      <c r="IP66" vm="1555">
        <f ca="1"/>
        <v>73.34</v>
      </c>
      <c r="IQ66" vm="1556">
        <f ca="1"/>
        <v>73.98</v>
      </c>
      <c r="IR66" vm="1557">
        <f ca="1"/>
        <v>74.150000000000006</v>
      </c>
      <c r="IS66" vm="781">
        <f ca="1"/>
        <v>74.98</v>
      </c>
      <c r="IT66" vm="1558">
        <f ca="1"/>
        <v>74.09</v>
      </c>
      <c r="IU66" vm="802">
        <f ca="1"/>
        <v>73.89</v>
      </c>
      <c r="IV66" vm="1559">
        <f ca="1"/>
        <v>73.88</v>
      </c>
      <c r="IW66" vm="110">
        <f ca="1"/>
        <v>74.22</v>
      </c>
    </row>
    <row r="67" spans="1:257" ht="16" x14ac:dyDescent="0.2">
      <c r="A67" s="13" t="e" vm="1560">
        <v>#VALUE!</v>
      </c>
      <c r="B67" s="23" t="str" cm="1">
        <f t="array" aca="1" ref="B67" ca="1">_FV(A67,"ticker symbol",TRUE)</f>
        <v>PINK</v>
      </c>
      <c r="C67" s="23" t="str" cm="1">
        <f t="array" aca="1" ref="C67" ca="1">_FV(A67,"Name")</f>
        <v>Simplify:Health Care</v>
      </c>
      <c r="D67" cm="1" vm="13900">
        <f t="array" aca="1" ref="D67:IW67" ca="1">TRANSPOSE(_xlfn.STOCKHISTORY(B67, WORKDAY(TODAY(), -265), TODAY(), 0, 0, 1))</f>
        <v>30.42</v>
      </c>
      <c r="E67" s="23" vm="13901">
        <f ca="1"/>
        <v>30.59</v>
      </c>
      <c r="F67" s="23" vm="2088">
        <f ca="1"/>
        <v>29.53</v>
      </c>
      <c r="G67" s="23" vm="10542">
        <f ca="1"/>
        <v>29.45</v>
      </c>
      <c r="H67" s="23" vm="10621">
        <f ca="1"/>
        <v>30.03</v>
      </c>
      <c r="I67" s="23" vm="13902">
        <f ca="1"/>
        <v>30.11</v>
      </c>
      <c r="J67" s="23" vm="13903">
        <f ca="1"/>
        <v>30.2148</v>
      </c>
      <c r="K67" s="23" vm="13904">
        <f ca="1"/>
        <v>30.48</v>
      </c>
      <c r="L67" s="23" vm="13905">
        <f ca="1"/>
        <v>30.1294</v>
      </c>
      <c r="M67" s="23" vm="9008">
        <f ca="1"/>
        <v>29.75</v>
      </c>
      <c r="N67" s="23" vm="10577">
        <f ca="1"/>
        <v>29.66</v>
      </c>
      <c r="O67" s="23" vm="13906">
        <f ca="1"/>
        <v>29.95</v>
      </c>
      <c r="P67" s="23" vm="13907">
        <f ca="1"/>
        <v>30.49</v>
      </c>
      <c r="Q67" s="23" vm="13908">
        <f ca="1"/>
        <v>30.52</v>
      </c>
      <c r="R67" s="23" vm="9042">
        <f ca="1"/>
        <v>30.61</v>
      </c>
      <c r="S67" s="23" vm="13909">
        <f ca="1"/>
        <v>30.35</v>
      </c>
      <c r="T67" s="23" vm="10538">
        <f ca="1"/>
        <v>29.8</v>
      </c>
      <c r="U67" s="23" vm="9008">
        <f ca="1"/>
        <v>29.75</v>
      </c>
      <c r="V67" s="23" vm="13910">
        <f ca="1"/>
        <v>29.46</v>
      </c>
      <c r="W67" s="23" vm="10565">
        <f ca="1"/>
        <v>29.94</v>
      </c>
      <c r="X67" s="23" vm="9018">
        <f ca="1"/>
        <v>29.86</v>
      </c>
      <c r="Y67" s="23" vm="13911">
        <f ca="1"/>
        <v>29.71</v>
      </c>
      <c r="Z67" s="23" vm="13912">
        <f ca="1"/>
        <v>30.209499999999998</v>
      </c>
      <c r="AA67" s="23" vm="13913">
        <f ca="1"/>
        <v>30.407</v>
      </c>
      <c r="AB67" s="23" vm="10541">
        <f ca="1"/>
        <v>30.55</v>
      </c>
      <c r="AC67" s="23" vm="9042">
        <f ca="1"/>
        <v>30.61</v>
      </c>
      <c r="AD67" vm="2362">
        <f ca="1"/>
        <v>31.11</v>
      </c>
      <c r="AE67" vm="9062">
        <f ca="1"/>
        <v>30.79</v>
      </c>
      <c r="AF67" vm="10541">
        <f ca="1"/>
        <v>30.55</v>
      </c>
      <c r="AG67" vm="9054">
        <f ca="1"/>
        <v>30.9</v>
      </c>
      <c r="AH67" vm="10589">
        <f ca="1"/>
        <v>30.51</v>
      </c>
      <c r="AI67" vm="13914">
        <f ca="1"/>
        <v>30.258900000000001</v>
      </c>
      <c r="AJ67" vm="10535">
        <f ca="1"/>
        <v>30.4</v>
      </c>
      <c r="AK67" vm="9049">
        <f ca="1"/>
        <v>30.75</v>
      </c>
      <c r="AL67" vm="13915">
        <f ca="1"/>
        <v>30.31</v>
      </c>
      <c r="AM67" vm="13916">
        <f ca="1"/>
        <v>29.88</v>
      </c>
      <c r="AN67" vm="13917">
        <f ca="1"/>
        <v>29.76</v>
      </c>
      <c r="AO67" vm="13918">
        <f ca="1"/>
        <v>29.6389</v>
      </c>
      <c r="AP67" vm="13919">
        <f ca="1"/>
        <v>29.98</v>
      </c>
      <c r="AQ67" vm="13919">
        <f ca="1"/>
        <v>29.98</v>
      </c>
      <c r="AR67" vm="10563">
        <f ca="1"/>
        <v>29.89</v>
      </c>
      <c r="AS67" vm="13920">
        <f ca="1"/>
        <v>30.0154</v>
      </c>
      <c r="AT67" vm="10558">
        <f ca="1"/>
        <v>30.3</v>
      </c>
      <c r="AU67" vm="13907">
        <f ca="1"/>
        <v>30.49</v>
      </c>
      <c r="AV67" vm="10551">
        <f ca="1"/>
        <v>30.13</v>
      </c>
      <c r="AW67" vm="9017">
        <f ca="1"/>
        <v>30.04</v>
      </c>
      <c r="AX67" vm="13921">
        <f ca="1"/>
        <v>30.1</v>
      </c>
      <c r="AY67" vm="13922">
        <f ca="1"/>
        <v>30.194900000000001</v>
      </c>
      <c r="AZ67" vm="10565">
        <f ca="1"/>
        <v>29.94</v>
      </c>
      <c r="BA67" vm="13923">
        <f ca="1"/>
        <v>30.46</v>
      </c>
      <c r="BB67" vm="10545">
        <f ca="1"/>
        <v>30</v>
      </c>
      <c r="BC67" vm="10559">
        <f ca="1"/>
        <v>29.77</v>
      </c>
      <c r="BD67" vm="13924">
        <f ca="1"/>
        <v>30.25</v>
      </c>
      <c r="BE67" vm="13925">
        <f ca="1"/>
        <v>30.07</v>
      </c>
      <c r="BF67" vm="10565">
        <f ca="1"/>
        <v>29.94</v>
      </c>
      <c r="BG67" vm="13910">
        <f ca="1"/>
        <v>29.46</v>
      </c>
      <c r="BH67" vm="2091">
        <f ca="1"/>
        <v>29.35</v>
      </c>
      <c r="BI67" vm="10566">
        <f ca="1"/>
        <v>29.22</v>
      </c>
      <c r="BJ67" vm="13926">
        <f ca="1"/>
        <v>28.87</v>
      </c>
      <c r="BK67" vm="13927">
        <f ca="1"/>
        <v>29.11</v>
      </c>
      <c r="BL67" vm="13928">
        <f ca="1"/>
        <v>29.67</v>
      </c>
      <c r="BM67" vm="2088">
        <f ca="1"/>
        <v>29.53</v>
      </c>
      <c r="BN67" vm="13929">
        <f ca="1"/>
        <v>29.78</v>
      </c>
      <c r="BO67" vm="9008">
        <f ca="1"/>
        <v>29.75</v>
      </c>
      <c r="BP67" vm="10564">
        <f ca="1"/>
        <v>29.73</v>
      </c>
      <c r="BQ67" vm="9017">
        <f ca="1"/>
        <v>30.04</v>
      </c>
      <c r="BR67" vm="9008">
        <f ca="1"/>
        <v>29.75</v>
      </c>
      <c r="BS67" vm="10542">
        <f ca="1"/>
        <v>29.45</v>
      </c>
      <c r="BT67" vm="9040">
        <f ca="1"/>
        <v>29.49</v>
      </c>
      <c r="BU67" vm="9036">
        <f ca="1"/>
        <v>29.28</v>
      </c>
      <c r="BV67" vm="13930">
        <f ca="1"/>
        <v>29.31</v>
      </c>
      <c r="BW67" vm="13931">
        <f ca="1"/>
        <v>28.76</v>
      </c>
      <c r="BX67" vm="2091">
        <f ca="1"/>
        <v>29.35</v>
      </c>
      <c r="BY67" vm="13932">
        <f ca="1"/>
        <v>28.97</v>
      </c>
      <c r="BZ67" vm="13933">
        <f ca="1"/>
        <v>27.42</v>
      </c>
      <c r="CA67" vm="13934">
        <f ca="1"/>
        <v>27.26</v>
      </c>
      <c r="CB67" vm="13935">
        <f ca="1"/>
        <v>26.92</v>
      </c>
      <c r="CC67" vm="13936">
        <f ca="1"/>
        <v>28.1783</v>
      </c>
      <c r="CD67" vm="13937">
        <f ca="1"/>
        <v>27.34</v>
      </c>
      <c r="CE67" vm="10604">
        <f ca="1"/>
        <v>27.67</v>
      </c>
      <c r="CF67" vm="2971">
        <f ca="1"/>
        <v>28.21</v>
      </c>
      <c r="CG67" vm="13938">
        <f ca="1"/>
        <v>28.33</v>
      </c>
      <c r="CH67" vm="2892">
        <f ca="1"/>
        <v>28.02</v>
      </c>
      <c r="CI67" vm="2980">
        <f ca="1"/>
        <v>27.93</v>
      </c>
      <c r="CJ67" vm="13939">
        <f ca="1"/>
        <v>27.47</v>
      </c>
      <c r="CK67" vm="13940">
        <f ca="1"/>
        <v>28.262</v>
      </c>
      <c r="CL67" vm="13941">
        <f ca="1"/>
        <v>28.49</v>
      </c>
      <c r="CM67" vm="13942">
        <f ca="1"/>
        <v>29.07</v>
      </c>
      <c r="CN67" vm="2084">
        <f ca="1"/>
        <v>28.99</v>
      </c>
      <c r="CO67" vm="2091">
        <f ca="1"/>
        <v>29.35</v>
      </c>
      <c r="CP67" vm="13943">
        <f ca="1"/>
        <v>29.5</v>
      </c>
      <c r="CQ67" vm="10567">
        <f ca="1"/>
        <v>29.63</v>
      </c>
      <c r="CR67" vm="13944">
        <f ca="1"/>
        <v>29.01</v>
      </c>
      <c r="CS67" vm="13945">
        <f ca="1"/>
        <v>29.57</v>
      </c>
      <c r="CT67" vm="13946">
        <f ca="1"/>
        <v>29.42</v>
      </c>
      <c r="CU67" vm="13947">
        <f ca="1"/>
        <v>28.47</v>
      </c>
      <c r="CV67" vm="13947">
        <f ca="1"/>
        <v>28.47</v>
      </c>
      <c r="CW67" vm="2971">
        <f ca="1"/>
        <v>28.21</v>
      </c>
      <c r="CX67" vm="2892">
        <f ca="1"/>
        <v>28.02</v>
      </c>
      <c r="CY67" vm="13948">
        <f ca="1"/>
        <v>28.66</v>
      </c>
      <c r="CZ67" vm="13949">
        <f ca="1"/>
        <v>28.137699999999999</v>
      </c>
      <c r="DA67" vm="13950">
        <f ca="1"/>
        <v>27.777200000000001</v>
      </c>
      <c r="DB67" vm="13951">
        <f ca="1"/>
        <v>28.1</v>
      </c>
      <c r="DC67" vm="13952">
        <f ca="1"/>
        <v>28.720199999999998</v>
      </c>
      <c r="DD67" vm="13953">
        <f ca="1"/>
        <v>28.91</v>
      </c>
      <c r="DE67" vm="13954">
        <f ca="1"/>
        <v>28.940999999999999</v>
      </c>
      <c r="DF67" vm="13955">
        <f ca="1"/>
        <v>28.202400000000001</v>
      </c>
      <c r="DG67" vm="13956">
        <f ca="1"/>
        <v>28.13</v>
      </c>
      <c r="DH67" vm="13957">
        <f ca="1"/>
        <v>28.29</v>
      </c>
      <c r="DI67" vm="9035">
        <f ca="1"/>
        <v>28.71</v>
      </c>
      <c r="DJ67" vm="13958">
        <f ca="1"/>
        <v>28.45</v>
      </c>
      <c r="DK67" vm="13959">
        <f ca="1"/>
        <v>28.5547</v>
      </c>
      <c r="DL67" vm="2969">
        <f ca="1"/>
        <v>28.31</v>
      </c>
      <c r="DM67" vm="13960">
        <f ca="1"/>
        <v>28.515000000000001</v>
      </c>
      <c r="DN67" vm="13961">
        <f ca="1"/>
        <v>28.72</v>
      </c>
      <c r="DO67" vm="13962">
        <f ca="1"/>
        <v>28.811199999999999</v>
      </c>
      <c r="DP67" vm="13963">
        <f ca="1"/>
        <v>28.69</v>
      </c>
      <c r="DQ67" vm="13964">
        <f ca="1"/>
        <v>29.09</v>
      </c>
      <c r="DR67" vm="9039">
        <f ca="1"/>
        <v>29.12</v>
      </c>
      <c r="DS67" vm="2088">
        <f ca="1"/>
        <v>29.53</v>
      </c>
      <c r="DT67" vm="13965">
        <f ca="1"/>
        <v>29.753799999999998</v>
      </c>
      <c r="DU67" vm="13966">
        <f ca="1"/>
        <v>29.769400000000001</v>
      </c>
      <c r="DV67" vm="10577">
        <f ca="1"/>
        <v>29.66</v>
      </c>
      <c r="DW67" vm="13967">
        <f ca="1"/>
        <v>29.72</v>
      </c>
      <c r="DX67" vm="13968">
        <f ca="1"/>
        <v>29.533300000000001</v>
      </c>
      <c r="DY67" vm="13969">
        <f ca="1"/>
        <v>29.434999999999999</v>
      </c>
      <c r="DZ67" vm="10566">
        <f ca="1"/>
        <v>29.22</v>
      </c>
      <c r="EA67" vm="9040">
        <f ca="1"/>
        <v>29.49</v>
      </c>
      <c r="EB67" vm="13970">
        <f ca="1"/>
        <v>30.045000000000002</v>
      </c>
      <c r="EC67" vm="13971">
        <f ca="1"/>
        <v>29.83</v>
      </c>
      <c r="ED67" vm="9017">
        <f ca="1"/>
        <v>30.04</v>
      </c>
      <c r="EE67" vm="10622">
        <f ca="1"/>
        <v>29.85</v>
      </c>
      <c r="EF67" vm="13972">
        <f ca="1"/>
        <v>30.01</v>
      </c>
      <c r="EG67" vm="10563">
        <f ca="1"/>
        <v>29.89</v>
      </c>
      <c r="EH67" vm="13972">
        <f ca="1"/>
        <v>30.01</v>
      </c>
      <c r="EI67" vm="13973">
        <f ca="1"/>
        <v>30.083500000000001</v>
      </c>
      <c r="EJ67" vm="13929">
        <f ca="1"/>
        <v>29.78</v>
      </c>
      <c r="EK67" vm="13974">
        <f ca="1"/>
        <v>29.954799999999999</v>
      </c>
      <c r="EL67" vm="13923">
        <f ca="1"/>
        <v>30.46</v>
      </c>
      <c r="EM67" vm="9042">
        <f ca="1"/>
        <v>30.61</v>
      </c>
      <c r="EN67" vm="13975">
        <f ca="1"/>
        <v>30.19</v>
      </c>
      <c r="EO67" vm="10552">
        <f ca="1"/>
        <v>30.47</v>
      </c>
      <c r="EP67" vm="9018">
        <f ca="1"/>
        <v>29.86</v>
      </c>
      <c r="EQ67" vm="13976">
        <f ca="1"/>
        <v>30.1083</v>
      </c>
      <c r="ER67" vm="13977">
        <f ca="1"/>
        <v>30.085000000000001</v>
      </c>
      <c r="ES67" vm="13978">
        <f ca="1"/>
        <v>29.756499999999999</v>
      </c>
      <c r="ET67" vm="10590">
        <f ca="1"/>
        <v>29.59</v>
      </c>
      <c r="EU67" vm="13979">
        <f ca="1"/>
        <v>29.765000000000001</v>
      </c>
      <c r="EV67" vm="13980">
        <f ca="1"/>
        <v>30.145</v>
      </c>
      <c r="EW67" vm="10609">
        <f ca="1"/>
        <v>29.93</v>
      </c>
      <c r="EX67" vm="10553">
        <f ca="1"/>
        <v>30.12</v>
      </c>
      <c r="EY67" vm="13981">
        <f ca="1"/>
        <v>29.795000000000002</v>
      </c>
      <c r="EZ67" vm="13982">
        <f ca="1"/>
        <v>29.6768</v>
      </c>
      <c r="FA67" vm="13983">
        <f ca="1"/>
        <v>29.755600000000001</v>
      </c>
      <c r="FB67" vm="13984">
        <f ca="1"/>
        <v>29.14</v>
      </c>
      <c r="FC67" vm="13985">
        <f ca="1"/>
        <v>29.2</v>
      </c>
      <c r="FD67" vm="13986">
        <f ca="1"/>
        <v>29.62</v>
      </c>
      <c r="FE67" vm="13987">
        <f ca="1"/>
        <v>29.271100000000001</v>
      </c>
      <c r="FF67" vm="9022">
        <f ca="1"/>
        <v>28.93</v>
      </c>
      <c r="FG67" vm="13988">
        <f ca="1"/>
        <v>28.44</v>
      </c>
      <c r="FH67" vm="13989">
        <f ca="1"/>
        <v>28.65</v>
      </c>
      <c r="FI67" vm="9021">
        <f ca="1"/>
        <v>28.63</v>
      </c>
      <c r="FJ67" vm="13990">
        <f ca="1"/>
        <v>29.0839</v>
      </c>
      <c r="FK67" vm="13991">
        <f ca="1"/>
        <v>29.6</v>
      </c>
      <c r="FL67" vm="13992">
        <f ca="1"/>
        <v>29.614999999999998</v>
      </c>
      <c r="FM67" vm="9017">
        <f ca="1"/>
        <v>30.04</v>
      </c>
      <c r="FN67" vm="13993">
        <f ca="1"/>
        <v>30.09</v>
      </c>
      <c r="FO67" vm="13906">
        <f ca="1"/>
        <v>29.95</v>
      </c>
      <c r="FP67" vm="10540">
        <f ca="1"/>
        <v>30.24</v>
      </c>
      <c r="FQ67" vm="13994">
        <f ca="1"/>
        <v>30.2</v>
      </c>
      <c r="FR67" vm="13907">
        <f ca="1"/>
        <v>30.49</v>
      </c>
      <c r="FS67" vm="13995">
        <f ca="1"/>
        <v>29.914999999999999</v>
      </c>
      <c r="FT67" vm="13996">
        <f ca="1"/>
        <v>30.391500000000001</v>
      </c>
      <c r="FU67" vm="13997">
        <f ca="1"/>
        <v>30.56</v>
      </c>
      <c r="FV67" vm="10552">
        <f ca="1"/>
        <v>30.47</v>
      </c>
      <c r="FW67" vm="13998">
        <f ca="1"/>
        <v>30.498699999999999</v>
      </c>
      <c r="FX67" vm="10552">
        <f ca="1"/>
        <v>30.47</v>
      </c>
      <c r="FY67" vm="10624">
        <f ca="1"/>
        <v>30.16</v>
      </c>
      <c r="FZ67" vm="13923">
        <f ca="1"/>
        <v>30.46</v>
      </c>
      <c r="GA67" vm="13999">
        <f ca="1"/>
        <v>30.8751</v>
      </c>
      <c r="GB67" vm="10574">
        <f ca="1"/>
        <v>30.87</v>
      </c>
      <c r="GC67" vm="10615">
        <f ca="1"/>
        <v>31.34</v>
      </c>
      <c r="GD67" vm="14000">
        <f ca="1"/>
        <v>30.93</v>
      </c>
      <c r="GE67" vm="14001">
        <f ca="1"/>
        <v>31.26</v>
      </c>
      <c r="GF67" vm="14002">
        <f ca="1"/>
        <v>30.89</v>
      </c>
      <c r="GG67" vm="9016">
        <f ca="1"/>
        <v>30.74</v>
      </c>
      <c r="GH67" vm="10618">
        <f ca="1"/>
        <v>30.8</v>
      </c>
      <c r="GI67" vm="14003">
        <f ca="1"/>
        <v>30.92</v>
      </c>
      <c r="GJ67" vm="14004">
        <f ca="1"/>
        <v>31.5581</v>
      </c>
      <c r="GK67" vm="10617">
        <f ca="1"/>
        <v>31.38</v>
      </c>
      <c r="GL67" vm="9176">
        <f ca="1"/>
        <v>31.5</v>
      </c>
      <c r="GM67" vm="9059">
        <f ca="1"/>
        <v>31.41</v>
      </c>
      <c r="GN67" vm="14005">
        <f ca="1"/>
        <v>31.42</v>
      </c>
      <c r="GO67" vm="14006">
        <f ca="1"/>
        <v>30.65</v>
      </c>
      <c r="GP67" vm="9044">
        <f ca="1"/>
        <v>31.09</v>
      </c>
      <c r="GQ67" vm="9176">
        <f ca="1"/>
        <v>31.5</v>
      </c>
      <c r="GR67" vm="14007">
        <f ca="1"/>
        <v>31.71</v>
      </c>
      <c r="GS67" vm="14008">
        <f ca="1"/>
        <v>32.340000000000003</v>
      </c>
      <c r="GT67" vm="14009">
        <f ca="1"/>
        <v>32.700000000000003</v>
      </c>
      <c r="GU67" vm="14010">
        <f ca="1"/>
        <v>32.72</v>
      </c>
      <c r="GV67" vm="14011">
        <f ca="1"/>
        <v>32.78</v>
      </c>
      <c r="GW67" vm="14010">
        <f ca="1"/>
        <v>32.72</v>
      </c>
      <c r="GX67" vm="14012">
        <f ca="1"/>
        <v>32.85</v>
      </c>
      <c r="GY67" vm="2377">
        <f ca="1"/>
        <v>32.89</v>
      </c>
      <c r="GZ67" vm="8969">
        <f ca="1"/>
        <v>32.33</v>
      </c>
      <c r="HA67" vm="2694">
        <f ca="1"/>
        <v>32.49</v>
      </c>
      <c r="HB67" vm="14013">
        <f ca="1"/>
        <v>32.799999999999997</v>
      </c>
      <c r="HC67" vm="14014">
        <f ca="1"/>
        <v>33.1</v>
      </c>
      <c r="HD67" vm="14013">
        <f ca="1"/>
        <v>32.799999999999997</v>
      </c>
      <c r="HE67" vm="2706">
        <f ca="1"/>
        <v>32.74</v>
      </c>
      <c r="HF67" vm="14015">
        <f ca="1"/>
        <v>33.36</v>
      </c>
      <c r="HG67" vm="8971">
        <f ca="1"/>
        <v>33.18</v>
      </c>
      <c r="HH67" vm="8965">
        <f ca="1"/>
        <v>32.92</v>
      </c>
      <c r="HI67" vm="8997">
        <f ca="1"/>
        <v>33.020000000000003</v>
      </c>
      <c r="HJ67" vm="14016">
        <f ca="1"/>
        <v>33</v>
      </c>
      <c r="HK67" vm="2379">
        <f ca="1"/>
        <v>33.26</v>
      </c>
      <c r="HL67" vm="8996">
        <f ca="1"/>
        <v>33.630000000000003</v>
      </c>
      <c r="HM67" vm="8984">
        <f ca="1"/>
        <v>33.33</v>
      </c>
      <c r="HN67" vm="14017">
        <f ca="1"/>
        <v>33.19</v>
      </c>
      <c r="HO67" vm="14018">
        <f ca="1"/>
        <v>33.380000000000003</v>
      </c>
      <c r="HP67" vm="14019">
        <f ca="1"/>
        <v>32.9</v>
      </c>
      <c r="HQ67" vm="14020">
        <f ca="1"/>
        <v>32.67</v>
      </c>
      <c r="HR67" vm="2377">
        <f ca="1"/>
        <v>32.89</v>
      </c>
      <c r="HS67" vm="10636">
        <f ca="1"/>
        <v>32.729999999999997</v>
      </c>
      <c r="HT67" vm="14021">
        <f ca="1"/>
        <v>33.06</v>
      </c>
      <c r="HU67" vm="14022">
        <f ca="1"/>
        <v>33.75</v>
      </c>
      <c r="HV67" vm="14023">
        <f ca="1"/>
        <v>34.44</v>
      </c>
      <c r="HW67" vm="14024">
        <f ca="1"/>
        <v>34.79</v>
      </c>
      <c r="HX67" vm="14025">
        <f ca="1"/>
        <v>34.43</v>
      </c>
      <c r="HY67" vm="9121">
        <f ca="1"/>
        <v>35.979999999999997</v>
      </c>
      <c r="HZ67" vm="9105">
        <f ca="1"/>
        <v>36.31</v>
      </c>
      <c r="IA67" vm="10669">
        <f ca="1"/>
        <v>36.67</v>
      </c>
      <c r="IB67" vm="1561">
        <f ca="1"/>
        <v>36.58</v>
      </c>
      <c r="IC67" vm="1562">
        <f ca="1"/>
        <v>36.409999999999997</v>
      </c>
      <c r="ID67" vm="820">
        <f ca="1"/>
        <v>36.89</v>
      </c>
      <c r="IE67" vm="1563">
        <f ca="1"/>
        <v>37.24</v>
      </c>
      <c r="IF67" vm="1564">
        <f ca="1"/>
        <v>37.72</v>
      </c>
      <c r="IG67" vm="1565">
        <f ca="1"/>
        <v>37.96</v>
      </c>
      <c r="IH67" vm="1566">
        <f ca="1"/>
        <v>37.85</v>
      </c>
      <c r="II67" vm="1567">
        <f ca="1"/>
        <v>36.85</v>
      </c>
      <c r="IJ67" vm="1568">
        <f ca="1"/>
        <v>36.369999999999997</v>
      </c>
      <c r="IK67" vm="1569">
        <f ca="1"/>
        <v>36.799999999999997</v>
      </c>
      <c r="IL67" vm="1570">
        <f ca="1"/>
        <v>36.950000000000003</v>
      </c>
      <c r="IM67" vm="1571">
        <f ca="1"/>
        <v>36.729999999999997</v>
      </c>
      <c r="IN67" vm="1572">
        <f ca="1"/>
        <v>36.590000000000003</v>
      </c>
      <c r="IO67" vm="1562">
        <f ca="1"/>
        <v>36.409999999999997</v>
      </c>
      <c r="IP67" vm="1573">
        <f ca="1"/>
        <v>36.9</v>
      </c>
      <c r="IQ67" vm="1574">
        <f ca="1"/>
        <v>37.270000000000003</v>
      </c>
      <c r="IR67" vm="1575">
        <f ca="1"/>
        <v>37.1</v>
      </c>
      <c r="IS67" vm="1576">
        <f ca="1"/>
        <v>37.06</v>
      </c>
      <c r="IT67" vm="1571">
        <f ca="1"/>
        <v>36.729999999999997</v>
      </c>
      <c r="IU67" vm="1562">
        <f ca="1"/>
        <v>36.409999999999997</v>
      </c>
      <c r="IV67" vm="1577">
        <f ca="1"/>
        <v>36.5</v>
      </c>
      <c r="IW67" vm="112">
        <f ca="1"/>
        <v>36.840000000000003</v>
      </c>
    </row>
    <row r="68" spans="1:257" ht="16" x14ac:dyDescent="0.2">
      <c r="A68" s="13" t="e" vm="1578">
        <v>#VALUE!</v>
      </c>
      <c r="B68" s="23" t="str" cm="1">
        <f t="array" aca="1" ref="B68" ca="1">_FV(A68,"ticker symbol",TRUE)</f>
        <v>KBE</v>
      </c>
      <c r="C68" s="23" t="str" cm="1">
        <f t="array" aca="1" ref="C68" ca="1">_FV(A68,"Name")</f>
        <v>SS SPDR S&amp;P Bank ETF</v>
      </c>
      <c r="D68" cm="1" vm="11083">
        <f t="array" aca="1" ref="D68:IW68" ca="1">TRANSPOSE(_xlfn.STOCKHISTORY(B68, WORKDAY(TODAY(), -265), TODAY(), 0, 0, 1))</f>
        <v>59.4</v>
      </c>
      <c r="E68" s="23" vm="14026">
        <f ca="1"/>
        <v>58.17</v>
      </c>
      <c r="F68" s="23" vm="9687">
        <f ca="1"/>
        <v>55.25</v>
      </c>
      <c r="G68" s="23" vm="482">
        <f ca="1"/>
        <v>54.95</v>
      </c>
      <c r="H68" s="23" vm="14027">
        <f ca="1"/>
        <v>55.84</v>
      </c>
      <c r="I68" s="23" vm="14028">
        <f ca="1"/>
        <v>55.61</v>
      </c>
      <c r="J68" s="23" vm="10072">
        <f ca="1"/>
        <v>56.08</v>
      </c>
      <c r="K68" s="23" vm="2950">
        <f ca="1"/>
        <v>56.39</v>
      </c>
      <c r="L68" s="23" vm="14029">
        <f ca="1"/>
        <v>55.72</v>
      </c>
      <c r="M68" s="23" vm="14030">
        <f ca="1"/>
        <v>55.49</v>
      </c>
      <c r="N68" s="23" vm="1226">
        <f ca="1"/>
        <v>55.47</v>
      </c>
      <c r="O68" s="23" vm="11877">
        <f ca="1"/>
        <v>54.91</v>
      </c>
      <c r="P68" s="23" vm="14031">
        <f ca="1"/>
        <v>55.65</v>
      </c>
      <c r="Q68" s="23" vm="14032">
        <f ca="1"/>
        <v>55.67</v>
      </c>
      <c r="R68" s="23" vm="14033">
        <f ca="1"/>
        <v>55.2</v>
      </c>
      <c r="S68" s="23" vm="14034">
        <f ca="1"/>
        <v>55.21</v>
      </c>
      <c r="T68" s="23" vm="476">
        <f ca="1"/>
        <v>53.55</v>
      </c>
      <c r="U68" s="23" vm="14035">
        <f ca="1"/>
        <v>54.19</v>
      </c>
      <c r="V68" s="23" vm="14036">
        <f ca="1"/>
        <v>55.98</v>
      </c>
      <c r="W68" s="23" vm="11905">
        <f ca="1"/>
        <v>57.44</v>
      </c>
      <c r="X68" s="23" vm="14037">
        <f ca="1"/>
        <v>57.09</v>
      </c>
      <c r="Y68" s="23" vm="9682">
        <f ca="1"/>
        <v>57.86</v>
      </c>
      <c r="Z68" s="23" vm="14038">
        <f ca="1"/>
        <v>58.5</v>
      </c>
      <c r="AA68" s="23" vm="11907">
        <f ca="1"/>
        <v>57.95</v>
      </c>
      <c r="AB68" s="23" vm="11062">
        <f ca="1"/>
        <v>57.81</v>
      </c>
      <c r="AC68" s="23" vm="11908">
        <f ca="1"/>
        <v>58.08</v>
      </c>
      <c r="AD68" vm="9703">
        <f ca="1"/>
        <v>58.79</v>
      </c>
      <c r="AE68" vm="14039">
        <f ca="1"/>
        <v>58.64</v>
      </c>
      <c r="AF68" vm="11899">
        <f ca="1"/>
        <v>58.53</v>
      </c>
      <c r="AG68" vm="1587">
        <f ca="1"/>
        <v>59.13</v>
      </c>
      <c r="AH68" vm="13386">
        <f ca="1"/>
        <v>58.87</v>
      </c>
      <c r="AI68" vm="2958">
        <f ca="1"/>
        <v>57.76</v>
      </c>
      <c r="AJ68" vm="11894">
        <f ca="1"/>
        <v>58.71</v>
      </c>
      <c r="AK68" vm="9709">
        <f ca="1"/>
        <v>59.38</v>
      </c>
      <c r="AL68" vm="8636">
        <f ca="1"/>
        <v>59.92</v>
      </c>
      <c r="AM68" vm="9643">
        <f ca="1"/>
        <v>59.26</v>
      </c>
      <c r="AN68" vm="3018">
        <f ca="1"/>
        <v>58.62</v>
      </c>
      <c r="AO68" vm="11069">
        <f ca="1"/>
        <v>59.35</v>
      </c>
      <c r="AP68" vm="14040">
        <f ca="1"/>
        <v>58.12</v>
      </c>
      <c r="AQ68" vm="11065">
        <f ca="1"/>
        <v>58.43</v>
      </c>
      <c r="AR68" vm="11067">
        <f ca="1"/>
        <v>58.58</v>
      </c>
      <c r="AS68" vm="14041">
        <f ca="1"/>
        <v>59.05</v>
      </c>
      <c r="AT68" vm="1654">
        <f ca="1"/>
        <v>58.75</v>
      </c>
      <c r="AU68" vm="11910">
        <f ca="1"/>
        <v>57.79</v>
      </c>
      <c r="AV68" vm="11076">
        <f ca="1"/>
        <v>56.53</v>
      </c>
      <c r="AW68" vm="1579">
        <f ca="1"/>
        <v>56.19</v>
      </c>
      <c r="AX68" vm="14042">
        <f ca="1"/>
        <v>56.29</v>
      </c>
      <c r="AY68" vm="14043">
        <f ca="1"/>
        <v>56.35</v>
      </c>
      <c r="AZ68" vm="14044">
        <f ca="1"/>
        <v>56.46</v>
      </c>
      <c r="BA68" vm="9679">
        <f ca="1"/>
        <v>57.33</v>
      </c>
      <c r="BB68" vm="1221">
        <f ca="1"/>
        <v>56.65</v>
      </c>
      <c r="BC68" vm="11867">
        <f ca="1"/>
        <v>54.55</v>
      </c>
      <c r="BD68" vm="11867">
        <f ca="1"/>
        <v>54.55</v>
      </c>
      <c r="BE68" vm="9692">
        <f ca="1"/>
        <v>53.71</v>
      </c>
      <c r="BF68" vm="14045">
        <f ca="1"/>
        <v>53.74</v>
      </c>
      <c r="BG68" vm="469">
        <f ca="1"/>
        <v>51.67</v>
      </c>
      <c r="BH68" vm="6248">
        <f ca="1"/>
        <v>51.28</v>
      </c>
      <c r="BI68" vm="11334">
        <f ca="1"/>
        <v>51.81</v>
      </c>
      <c r="BJ68" vm="9253">
        <f ca="1"/>
        <v>51.29</v>
      </c>
      <c r="BK68" vm="6329">
        <f ca="1"/>
        <v>52.76</v>
      </c>
      <c r="BL68" vm="6337">
        <f ca="1"/>
        <v>53.16</v>
      </c>
      <c r="BM68" vm="2637">
        <f ca="1"/>
        <v>53.1</v>
      </c>
      <c r="BN68" vm="6333">
        <f ca="1"/>
        <v>53.67</v>
      </c>
      <c r="BO68" vm="6346">
        <f ca="1"/>
        <v>53.39</v>
      </c>
      <c r="BP68" vm="1525">
        <f ca="1"/>
        <v>53.29</v>
      </c>
      <c r="BQ68" vm="2643">
        <f ca="1"/>
        <v>54.33</v>
      </c>
      <c r="BR68" vm="6340">
        <f ca="1"/>
        <v>54.25</v>
      </c>
      <c r="BS68" vm="3335">
        <f ca="1"/>
        <v>54.04</v>
      </c>
      <c r="BT68" vm="6343">
        <f ca="1"/>
        <v>53.61</v>
      </c>
      <c r="BU68" vm="2190">
        <f ca="1"/>
        <v>52.52</v>
      </c>
      <c r="BV68" vm="14046">
        <f ca="1"/>
        <v>52.96</v>
      </c>
      <c r="BW68" vm="6351">
        <f ca="1"/>
        <v>52.73</v>
      </c>
      <c r="BX68" vm="14047">
        <f ca="1"/>
        <v>53.52</v>
      </c>
      <c r="BY68" vm="14048">
        <f ca="1"/>
        <v>48.62</v>
      </c>
      <c r="BZ68" vm="14049">
        <f ca="1"/>
        <v>46.58</v>
      </c>
      <c r="CA68" vm="11476">
        <f ca="1"/>
        <v>46.38</v>
      </c>
      <c r="CB68" vm="14050">
        <f ca="1"/>
        <v>45.85</v>
      </c>
      <c r="CC68" vm="6276">
        <f ca="1"/>
        <v>49.21</v>
      </c>
      <c r="CD68" vm="14051">
        <f ca="1"/>
        <v>46.31</v>
      </c>
      <c r="CE68" vm="12038">
        <f ca="1"/>
        <v>46.46</v>
      </c>
      <c r="CF68" vm="11531">
        <f ca="1"/>
        <v>47.26</v>
      </c>
      <c r="CG68" vm="11479">
        <f ca="1"/>
        <v>47.91</v>
      </c>
      <c r="CH68" vm="12037">
        <f ca="1"/>
        <v>47.77</v>
      </c>
      <c r="CI68" vm="14052">
        <f ca="1"/>
        <v>48.09</v>
      </c>
      <c r="CJ68" vm="6271">
        <f ca="1"/>
        <v>47.42</v>
      </c>
      <c r="CK68" vm="3103">
        <f ca="1"/>
        <v>48.96</v>
      </c>
      <c r="CL68" vm="6293">
        <f ca="1"/>
        <v>49.86</v>
      </c>
      <c r="CM68" vm="42">
        <f ca="1"/>
        <v>50.73</v>
      </c>
      <c r="CN68" vm="14053">
        <f ca="1"/>
        <v>50.3</v>
      </c>
      <c r="CO68" vm="3105">
        <f ca="1"/>
        <v>50.57</v>
      </c>
      <c r="CP68" vm="3106">
        <f ca="1"/>
        <v>51.03</v>
      </c>
      <c r="CQ68" vm="11319">
        <f ca="1"/>
        <v>50.63</v>
      </c>
      <c r="CR68" vm="6262">
        <f ca="1"/>
        <v>51.13</v>
      </c>
      <c r="CS68" vm="14054">
        <f ca="1"/>
        <v>52.38</v>
      </c>
      <c r="CT68" vm="6315">
        <f ca="1"/>
        <v>52.21</v>
      </c>
      <c r="CU68" vm="843">
        <f ca="1"/>
        <v>51.68</v>
      </c>
      <c r="CV68" vm="1626">
        <f ca="1"/>
        <v>51.88</v>
      </c>
      <c r="CW68" vm="14055">
        <f ca="1"/>
        <v>52.91</v>
      </c>
      <c r="CX68" vm="9691">
        <f ca="1"/>
        <v>52.67</v>
      </c>
      <c r="CY68" vm="11882">
        <f ca="1"/>
        <v>54.96</v>
      </c>
      <c r="CZ68" vm="9693">
        <f ca="1"/>
        <v>55.27</v>
      </c>
      <c r="DA68" vm="483">
        <f ca="1"/>
        <v>54.99</v>
      </c>
      <c r="DB68" vm="14056">
        <f ca="1"/>
        <v>55.09</v>
      </c>
      <c r="DC68" vm="2195">
        <f ca="1"/>
        <v>55.17</v>
      </c>
      <c r="DD68" vm="11056">
        <f ca="1"/>
        <v>55</v>
      </c>
      <c r="DE68" vm="78">
        <f ca="1"/>
        <v>54.79</v>
      </c>
      <c r="DF68" vm="3304">
        <f ca="1"/>
        <v>52.86</v>
      </c>
      <c r="DG68" vm="3300">
        <f ca="1"/>
        <v>52.9</v>
      </c>
      <c r="DH68" vm="6314">
        <f ca="1"/>
        <v>52.68</v>
      </c>
      <c r="DI68" vm="3337">
        <f ca="1"/>
        <v>53.91</v>
      </c>
      <c r="DJ68" vm="2636">
        <f ca="1"/>
        <v>53.11</v>
      </c>
      <c r="DK68" vm="6339">
        <f ca="1"/>
        <v>53.56</v>
      </c>
      <c r="DL68" vm="2652">
        <f ca="1"/>
        <v>53.2</v>
      </c>
      <c r="DM68" vm="475">
        <f ca="1"/>
        <v>52.84</v>
      </c>
      <c r="DN68" vm="6343">
        <f ca="1"/>
        <v>53.61</v>
      </c>
      <c r="DO68" vm="3302">
        <f ca="1"/>
        <v>53.01</v>
      </c>
      <c r="DP68" vm="14057">
        <f ca="1"/>
        <v>52.94</v>
      </c>
      <c r="DQ68" vm="3342">
        <f ca="1"/>
        <v>54.11</v>
      </c>
      <c r="DR68" vm="1532">
        <f ca="1"/>
        <v>54.36</v>
      </c>
      <c r="DS68" vm="2648">
        <f ca="1"/>
        <v>54.88</v>
      </c>
      <c r="DT68" vm="11865">
        <f ca="1"/>
        <v>54.4</v>
      </c>
      <c r="DU68" vm="87">
        <f ca="1"/>
        <v>54.21</v>
      </c>
      <c r="DV68" vm="3303">
        <f ca="1"/>
        <v>52.87</v>
      </c>
      <c r="DW68" vm="9257">
        <f ca="1"/>
        <v>53.08</v>
      </c>
      <c r="DX68" vm="6320">
        <f ca="1"/>
        <v>52.39</v>
      </c>
      <c r="DY68" vm="9257">
        <f ca="1"/>
        <v>53.08</v>
      </c>
      <c r="DZ68" vm="14058">
        <f ca="1"/>
        <v>53.41</v>
      </c>
      <c r="EA68" vm="2640">
        <f ca="1"/>
        <v>54.28</v>
      </c>
      <c r="EB68" vm="481">
        <f ca="1"/>
        <v>54.87</v>
      </c>
      <c r="EC68" vm="485">
        <f ca="1"/>
        <v>54.63</v>
      </c>
      <c r="ED68" vm="14059">
        <f ca="1"/>
        <v>55.78</v>
      </c>
      <c r="EE68" vm="1087">
        <f ca="1"/>
        <v>55.74</v>
      </c>
      <c r="EF68" vm="1225">
        <f ca="1"/>
        <v>55.76</v>
      </c>
      <c r="EG68" vm="14060">
        <f ca="1"/>
        <v>57.37</v>
      </c>
      <c r="EH68" vm="11097">
        <f ca="1"/>
        <v>58.26</v>
      </c>
      <c r="EI68" vm="10301">
        <f ca="1"/>
        <v>58.82</v>
      </c>
      <c r="EJ68" vm="14061">
        <f ca="1"/>
        <v>58.06</v>
      </c>
      <c r="EK68" vm="13388">
        <f ca="1"/>
        <v>58.46</v>
      </c>
      <c r="EL68" vm="2960">
        <f ca="1"/>
        <v>58.38</v>
      </c>
      <c r="EM68" vm="11071">
        <f ca="1"/>
        <v>58.76</v>
      </c>
      <c r="EN68" vm="14062">
        <f ca="1"/>
        <v>58.15</v>
      </c>
      <c r="EO68" vm="11071">
        <f ca="1"/>
        <v>58.76</v>
      </c>
      <c r="EP68" vm="10073">
        <f ca="1"/>
        <v>56.92</v>
      </c>
      <c r="EQ68" vm="14063">
        <f ca="1"/>
        <v>57.29</v>
      </c>
      <c r="ER68" vm="14064">
        <f ca="1"/>
        <v>58.34</v>
      </c>
      <c r="ES68" vm="14065">
        <f ca="1"/>
        <v>58.44</v>
      </c>
      <c r="ET68" vm="11073">
        <f ca="1"/>
        <v>58.36</v>
      </c>
      <c r="EU68" vm="9653">
        <f ca="1"/>
        <v>58.72</v>
      </c>
      <c r="EV68" vm="1654">
        <f ca="1"/>
        <v>58.75</v>
      </c>
      <c r="EW68" vm="11066">
        <f ca="1"/>
        <v>57.77</v>
      </c>
      <c r="EX68" vm="14066">
        <f ca="1"/>
        <v>57.75</v>
      </c>
      <c r="EY68" vm="8857">
        <f ca="1"/>
        <v>57.71</v>
      </c>
      <c r="EZ68" vm="14067">
        <f ca="1"/>
        <v>57.52</v>
      </c>
      <c r="FA68" vm="11102">
        <f ca="1"/>
        <v>56.76</v>
      </c>
      <c r="FB68" vm="14068">
        <f ca="1"/>
        <v>56.22</v>
      </c>
      <c r="FC68" vm="1540">
        <f ca="1"/>
        <v>55.26</v>
      </c>
      <c r="FD68" vm="14036">
        <f ca="1"/>
        <v>55.98</v>
      </c>
      <c r="FE68" vm="14069">
        <f ca="1"/>
        <v>56.27</v>
      </c>
      <c r="FF68" vm="118">
        <f ca="1"/>
        <v>56.01</v>
      </c>
      <c r="FG68" vm="14070">
        <f ca="1"/>
        <v>55.5</v>
      </c>
      <c r="FH68" vm="14071">
        <f ca="1"/>
        <v>56.06</v>
      </c>
      <c r="FI68" vm="14072">
        <f ca="1"/>
        <v>55.99</v>
      </c>
      <c r="FJ68" vm="11094">
        <f ca="1"/>
        <v>57.89</v>
      </c>
      <c r="FK68" vm="13437">
        <f ca="1"/>
        <v>58.86</v>
      </c>
      <c r="FL68" vm="10080">
        <f ca="1"/>
        <v>58.85</v>
      </c>
      <c r="FM68" vm="11100">
        <f ca="1"/>
        <v>57.84</v>
      </c>
      <c r="FN68" vm="2955">
        <f ca="1"/>
        <v>58.07</v>
      </c>
      <c r="FO68" vm="14073">
        <f ca="1"/>
        <v>58.13</v>
      </c>
      <c r="FP68" vm="1652">
        <f ca="1"/>
        <v>58.2</v>
      </c>
      <c r="FQ68" vm="10087">
        <f ca="1"/>
        <v>57.98</v>
      </c>
      <c r="FR68" vm="8635">
        <f ca="1"/>
        <v>60.68</v>
      </c>
      <c r="FS68" vm="1098">
        <f ca="1"/>
        <v>60.32</v>
      </c>
      <c r="FT68" vm="13433">
        <f ca="1"/>
        <v>60.9</v>
      </c>
      <c r="FU68" vm="9721">
        <f ca="1"/>
        <v>61.28</v>
      </c>
      <c r="FV68" vm="14074">
        <f ca="1"/>
        <v>61.05</v>
      </c>
      <c r="FW68" vm="2536">
        <f ca="1"/>
        <v>61.06</v>
      </c>
      <c r="FX68" vm="1099">
        <f ca="1"/>
        <v>60.58</v>
      </c>
      <c r="FY68" vm="14075">
        <f ca="1"/>
        <v>60.65</v>
      </c>
      <c r="FZ68" vm="9667">
        <f ca="1"/>
        <v>61.63</v>
      </c>
      <c r="GA68" vm="8634">
        <f ca="1"/>
        <v>61.16</v>
      </c>
      <c r="GB68" vm="8634">
        <f ca="1"/>
        <v>61.16</v>
      </c>
      <c r="GC68" vm="13440">
        <f ca="1"/>
        <v>60.69</v>
      </c>
      <c r="GD68" vm="10280">
        <f ca="1"/>
        <v>60.78</v>
      </c>
      <c r="GE68" vm="13427">
        <f ca="1"/>
        <v>61.17</v>
      </c>
      <c r="GF68" vm="14076">
        <f ca="1"/>
        <v>60.99</v>
      </c>
      <c r="GG68" vm="13410">
        <f ca="1"/>
        <v>60.47</v>
      </c>
      <c r="GH68" vm="8674">
        <f ca="1"/>
        <v>59.87</v>
      </c>
      <c r="GI68" vm="1656">
        <f ca="1"/>
        <v>60.53</v>
      </c>
      <c r="GJ68" vm="8704">
        <f ca="1"/>
        <v>61.99</v>
      </c>
      <c r="GK68" vm="2357">
        <f ca="1"/>
        <v>61.35</v>
      </c>
      <c r="GL68" vm="13434">
        <f ca="1"/>
        <v>60.33</v>
      </c>
      <c r="GM68" vm="9705">
        <f ca="1"/>
        <v>60.23</v>
      </c>
      <c r="GN68" vm="2744">
        <f ca="1"/>
        <v>60.03</v>
      </c>
      <c r="GO68" vm="14077">
        <f ca="1"/>
        <v>59.94</v>
      </c>
      <c r="GP68" vm="8666">
        <f ca="1"/>
        <v>60.35</v>
      </c>
      <c r="GQ68" vm="14078">
        <f ca="1"/>
        <v>59.84</v>
      </c>
      <c r="GR68" vm="13384">
        <f ca="1"/>
        <v>59.42</v>
      </c>
      <c r="GS68" vm="14079">
        <f ca="1"/>
        <v>59.07</v>
      </c>
      <c r="GT68" vm="14080">
        <f ca="1"/>
        <v>58.88</v>
      </c>
      <c r="GU68" vm="14081">
        <f ca="1"/>
        <v>59.28</v>
      </c>
      <c r="GV68" vm="1094">
        <f ca="1"/>
        <v>59.63</v>
      </c>
      <c r="GW68" vm="3016">
        <f ca="1"/>
        <v>59.3</v>
      </c>
      <c r="GX68" vm="8669">
        <f ca="1"/>
        <v>58.97</v>
      </c>
      <c r="GY68" vm="11078">
        <f ca="1"/>
        <v>58.74</v>
      </c>
      <c r="GZ68" vm="1533">
        <f ca="1"/>
        <v>56.48</v>
      </c>
      <c r="HA68" vm="8680">
        <f ca="1"/>
        <v>57.59</v>
      </c>
      <c r="HB68" vm="14082">
        <f ca="1"/>
        <v>59.33</v>
      </c>
      <c r="HC68" vm="11080">
        <f ca="1"/>
        <v>58.25</v>
      </c>
      <c r="HD68" vm="14056">
        <f ca="1"/>
        <v>55.09</v>
      </c>
      <c r="HE68" vm="1638">
        <f ca="1"/>
        <v>55.86</v>
      </c>
      <c r="HF68" vm="14083">
        <f ca="1"/>
        <v>57.15</v>
      </c>
      <c r="HG68" vm="1212">
        <f ca="1"/>
        <v>57.17</v>
      </c>
      <c r="HH68" vm="1088">
        <f ca="1"/>
        <v>57.04</v>
      </c>
      <c r="HI68" vm="10089">
        <f ca="1"/>
        <v>56.91</v>
      </c>
      <c r="HJ68" vm="8695">
        <f ca="1"/>
        <v>57.8</v>
      </c>
      <c r="HK68" vm="2200">
        <f ca="1"/>
        <v>57.73</v>
      </c>
      <c r="HL68" vm="8858">
        <f ca="1"/>
        <v>57.46</v>
      </c>
      <c r="HM68" vm="1533">
        <f ca="1"/>
        <v>56.48</v>
      </c>
      <c r="HN68" vm="1089">
        <f ca="1"/>
        <v>56.58</v>
      </c>
      <c r="HO68" vm="11010">
        <f ca="1"/>
        <v>56.74</v>
      </c>
      <c r="HP68" vm="11074">
        <f ca="1"/>
        <v>56.83</v>
      </c>
      <c r="HQ68" vm="14084">
        <f ca="1"/>
        <v>56.73</v>
      </c>
      <c r="HR68" vm="14083">
        <f ca="1"/>
        <v>57.15</v>
      </c>
      <c r="HS68" vm="14085">
        <f ca="1"/>
        <v>56.7</v>
      </c>
      <c r="HT68" vm="11063">
        <f ca="1"/>
        <v>57.45</v>
      </c>
      <c r="HU68" vm="14086">
        <f ca="1"/>
        <v>57.68</v>
      </c>
      <c r="HV68" vm="11101">
        <f ca="1"/>
        <v>57.9</v>
      </c>
      <c r="HW68" vm="11077">
        <f ca="1"/>
        <v>57.97</v>
      </c>
      <c r="HX68" vm="14083">
        <f ca="1"/>
        <v>57.15</v>
      </c>
      <c r="HY68" vm="2951">
        <f ca="1"/>
        <v>57.26</v>
      </c>
      <c r="HZ68" vm="11875">
        <f ca="1"/>
        <v>55.19</v>
      </c>
      <c r="IA68" vm="14087">
        <f ca="1"/>
        <v>55.64</v>
      </c>
      <c r="IB68" vm="1579">
        <f ca="1"/>
        <v>56.19</v>
      </c>
      <c r="IC68" vm="1580">
        <f ca="1"/>
        <v>55.95</v>
      </c>
      <c r="ID68" vm="1581">
        <f ca="1"/>
        <v>57.66</v>
      </c>
      <c r="IE68" vm="1582">
        <f ca="1"/>
        <v>57.74</v>
      </c>
      <c r="IF68" vm="1583">
        <f ca="1"/>
        <v>59.32</v>
      </c>
      <c r="IG68" vm="1584">
        <f ca="1"/>
        <v>59.16</v>
      </c>
      <c r="IH68" vm="1585">
        <f ca="1"/>
        <v>58.98</v>
      </c>
      <c r="II68" vm="1586">
        <f ca="1"/>
        <v>59.48</v>
      </c>
      <c r="IJ68" vm="1587">
        <f ca="1"/>
        <v>59.13</v>
      </c>
      <c r="IK68" vm="1588">
        <f ca="1"/>
        <v>60.27</v>
      </c>
      <c r="IL68" vm="1589">
        <f ca="1"/>
        <v>60.46</v>
      </c>
      <c r="IM68" vm="1098">
        <f ca="1"/>
        <v>60.32</v>
      </c>
      <c r="IN68" vm="1590">
        <f ca="1"/>
        <v>60.42</v>
      </c>
      <c r="IO68" vm="1591">
        <f ca="1"/>
        <v>60.38</v>
      </c>
      <c r="IP68" vm="1592">
        <f ca="1"/>
        <v>62.36</v>
      </c>
      <c r="IQ68" vm="1593">
        <f ca="1"/>
        <v>62.79</v>
      </c>
      <c r="IR68" vm="1594">
        <f ca="1"/>
        <v>62.48</v>
      </c>
      <c r="IS68" vm="1595">
        <f ca="1"/>
        <v>62.66</v>
      </c>
      <c r="IT68" vm="1596">
        <f ca="1"/>
        <v>62.41</v>
      </c>
      <c r="IU68" vm="1597">
        <f ca="1"/>
        <v>62.59</v>
      </c>
      <c r="IV68" vm="1598">
        <f ca="1"/>
        <v>62.76</v>
      </c>
      <c r="IW68" vm="114">
        <f ca="1"/>
        <v>62.62</v>
      </c>
    </row>
    <row r="69" spans="1:257" ht="16" x14ac:dyDescent="0.2">
      <c r="A69" s="13" t="e" vm="1599">
        <v>#VALUE!</v>
      </c>
      <c r="B69" s="23" t="str" cm="1">
        <f t="array" aca="1" ref="B69" ca="1">_FV(A69,"ticker symbol",TRUE)</f>
        <v>KRE</v>
      </c>
      <c r="C69" s="23" t="str" cm="1">
        <f t="array" aca="1" ref="C69" ca="1">_FV(A69,"Name")</f>
        <v>SS SPDR S&amp;P Reg Banking</v>
      </c>
      <c r="D69" cm="1" vm="11395">
        <f t="array" aca="1" ref="D69:IW69" ca="1">TRANSPOSE(_xlfn.STOCKHISTORY(B69, WORKDAY(TODAY(), -265), TODAY(), 0, 0, 1))</f>
        <v>65.09</v>
      </c>
      <c r="E69" s="23" vm="13866">
        <f ca="1"/>
        <v>63.56</v>
      </c>
      <c r="F69" s="23" vm="2201">
        <f ca="1"/>
        <v>60.26</v>
      </c>
      <c r="G69" s="23" vm="9707">
        <f ca="1"/>
        <v>59.73</v>
      </c>
      <c r="H69" s="23" vm="11359">
        <f ca="1"/>
        <v>60.81</v>
      </c>
      <c r="I69" s="23" vm="13442">
        <f ca="1"/>
        <v>60.6</v>
      </c>
      <c r="J69" s="23" vm="14088">
        <f ca="1"/>
        <v>61.04</v>
      </c>
      <c r="K69" s="23" vm="2535">
        <f ca="1"/>
        <v>61.33</v>
      </c>
      <c r="L69" s="23" vm="9656">
        <f ca="1"/>
        <v>60.57</v>
      </c>
      <c r="M69" s="23" vm="1590">
        <f ca="1"/>
        <v>60.42</v>
      </c>
      <c r="N69" s="23" vm="8666">
        <f ca="1"/>
        <v>60.35</v>
      </c>
      <c r="O69" s="23" vm="9650">
        <f ca="1"/>
        <v>59.68</v>
      </c>
      <c r="P69" s="23" vm="9710">
        <f ca="1"/>
        <v>60.55</v>
      </c>
      <c r="Q69" s="23" vm="8635">
        <f ca="1"/>
        <v>60.68</v>
      </c>
      <c r="R69" s="23" vm="14089">
        <f ca="1"/>
        <v>60.11</v>
      </c>
      <c r="S69" s="23" vm="14090">
        <f ca="1"/>
        <v>60.09</v>
      </c>
      <c r="T69" s="23" vm="14091">
        <f ca="1"/>
        <v>58.31</v>
      </c>
      <c r="U69" s="23" vm="14092">
        <f ca="1"/>
        <v>59.18</v>
      </c>
      <c r="V69" s="23" vm="8642">
        <f ca="1"/>
        <v>61.19</v>
      </c>
      <c r="W69" s="23" vm="2539">
        <f ca="1"/>
        <v>62.73</v>
      </c>
      <c r="X69" s="23" vm="14093">
        <f ca="1"/>
        <v>62.14</v>
      </c>
      <c r="Y69" s="23" vm="9658">
        <f ca="1"/>
        <v>63.07</v>
      </c>
      <c r="Z69" s="23" vm="11452">
        <f ca="1"/>
        <v>63.85</v>
      </c>
      <c r="AA69" s="23" vm="14094">
        <f ca="1"/>
        <v>63.09</v>
      </c>
      <c r="AB69" s="23" vm="14095">
        <f ca="1"/>
        <v>62.86</v>
      </c>
      <c r="AC69" s="23" vm="1607">
        <f ca="1"/>
        <v>63.33</v>
      </c>
      <c r="AD69" vm="8661">
        <f ca="1"/>
        <v>64</v>
      </c>
      <c r="AE69" vm="1606">
        <f ca="1"/>
        <v>63.68</v>
      </c>
      <c r="AF69" vm="11378">
        <f ca="1"/>
        <v>63.61</v>
      </c>
      <c r="AG69" vm="11430">
        <f ca="1"/>
        <v>64.319999999999993</v>
      </c>
      <c r="AH69" vm="8817">
        <f ca="1"/>
        <v>64.16</v>
      </c>
      <c r="AI69" vm="11391">
        <f ca="1"/>
        <v>62.83</v>
      </c>
      <c r="AJ69" vm="11393">
        <f ca="1"/>
        <v>64.05</v>
      </c>
      <c r="AK69" vm="14096">
        <f ca="1"/>
        <v>64.75</v>
      </c>
      <c r="AL69" vm="14097">
        <f ca="1"/>
        <v>65.5</v>
      </c>
      <c r="AM69" vm="2734">
        <f ca="1"/>
        <v>64.63</v>
      </c>
      <c r="AN69" vm="2542">
        <f ca="1"/>
        <v>63.88</v>
      </c>
      <c r="AO69" vm="2932">
        <f ca="1"/>
        <v>64.930000000000007</v>
      </c>
      <c r="AP69" vm="1604">
        <f ca="1"/>
        <v>63.41</v>
      </c>
      <c r="AQ69" vm="13874">
        <f ca="1"/>
        <v>63.69</v>
      </c>
      <c r="AR69" vm="13155">
        <f ca="1"/>
        <v>63.89</v>
      </c>
      <c r="AS69" vm="11386">
        <f ca="1"/>
        <v>64.459999999999994</v>
      </c>
      <c r="AT69" vm="11380">
        <f ca="1"/>
        <v>64.22</v>
      </c>
      <c r="AU69" vm="14098">
        <f ca="1"/>
        <v>63.06</v>
      </c>
      <c r="AV69" vm="8700">
        <f ca="1"/>
        <v>61.42</v>
      </c>
      <c r="AW69" vm="13425">
        <f ca="1"/>
        <v>60.97</v>
      </c>
      <c r="AX69" vm="1660">
        <f ca="1"/>
        <v>61.01</v>
      </c>
      <c r="AY69" vm="13427">
        <f ca="1"/>
        <v>61.17</v>
      </c>
      <c r="AZ69" vm="13443">
        <f ca="1"/>
        <v>61.26</v>
      </c>
      <c r="BA69" vm="11356">
        <f ca="1"/>
        <v>62.07</v>
      </c>
      <c r="BB69" vm="9715">
        <f ca="1"/>
        <v>61.18</v>
      </c>
      <c r="BC69" vm="14099">
        <f ca="1"/>
        <v>59.04</v>
      </c>
      <c r="BD69" vm="11894">
        <f ca="1"/>
        <v>58.71</v>
      </c>
      <c r="BE69" vm="2958">
        <f ca="1"/>
        <v>57.76</v>
      </c>
      <c r="BF69" vm="2959">
        <f ca="1"/>
        <v>57.69</v>
      </c>
      <c r="BG69" vm="14100">
        <f ca="1"/>
        <v>55.41</v>
      </c>
      <c r="BH69" vm="11879">
        <f ca="1"/>
        <v>55.11</v>
      </c>
      <c r="BI69" vm="1539">
        <f ca="1"/>
        <v>55.75</v>
      </c>
      <c r="BJ69" vm="14101">
        <f ca="1"/>
        <v>55.13</v>
      </c>
      <c r="BK69" vm="11102">
        <f ca="1"/>
        <v>56.76</v>
      </c>
      <c r="BL69" vm="14102">
        <f ca="1"/>
        <v>57.13</v>
      </c>
      <c r="BM69" vm="9675">
        <f ca="1"/>
        <v>56.97</v>
      </c>
      <c r="BN69" vm="14086">
        <f ca="1"/>
        <v>57.68</v>
      </c>
      <c r="BO69" vm="14063">
        <f ca="1"/>
        <v>57.29</v>
      </c>
      <c r="BP69" vm="2951">
        <f ca="1"/>
        <v>57.26</v>
      </c>
      <c r="BQ69" vm="11065">
        <f ca="1"/>
        <v>58.43</v>
      </c>
      <c r="BR69" vm="11080">
        <f ca="1"/>
        <v>58.25</v>
      </c>
      <c r="BS69" vm="14103">
        <f ca="1"/>
        <v>58.01</v>
      </c>
      <c r="BT69" vm="2952">
        <f ca="1"/>
        <v>57.55</v>
      </c>
      <c r="BU69" vm="14104">
        <f ca="1"/>
        <v>56.41</v>
      </c>
      <c r="BV69" vm="1213">
        <f ca="1"/>
        <v>56.85</v>
      </c>
      <c r="BW69" vm="11075">
        <f ca="1"/>
        <v>56.42</v>
      </c>
      <c r="BX69" vm="14105">
        <f ca="1"/>
        <v>57.22</v>
      </c>
      <c r="BY69" vm="11314">
        <f ca="1"/>
        <v>51.31</v>
      </c>
      <c r="BZ69" vm="11830">
        <f ca="1"/>
        <v>49.26</v>
      </c>
      <c r="CA69" vm="11315">
        <f ca="1"/>
        <v>49.27</v>
      </c>
      <c r="CB69" vm="1261">
        <f ca="1"/>
        <v>48.81</v>
      </c>
      <c r="CC69" vm="9689">
        <f ca="1"/>
        <v>52.63</v>
      </c>
      <c r="CD69" vm="1131">
        <f ca="1"/>
        <v>49.4</v>
      </c>
      <c r="CE69" vm="11830">
        <f ca="1"/>
        <v>49.26</v>
      </c>
      <c r="CF69" vm="14106">
        <f ca="1"/>
        <v>50.12</v>
      </c>
      <c r="CG69" vm="6260">
        <f ca="1"/>
        <v>50.97</v>
      </c>
      <c r="CH69" vm="6261">
        <f ca="1"/>
        <v>50.96</v>
      </c>
      <c r="CI69" vm="11855">
        <f ca="1"/>
        <v>51.42</v>
      </c>
      <c r="CJ69" vm="11835">
        <f ca="1"/>
        <v>50.74</v>
      </c>
      <c r="CK69" vm="6311">
        <f ca="1"/>
        <v>52.37</v>
      </c>
      <c r="CL69" vm="476">
        <f ca="1"/>
        <v>53.55</v>
      </c>
      <c r="CM69" vm="14107">
        <f ca="1"/>
        <v>54.45</v>
      </c>
      <c r="CN69" vm="2772">
        <f ca="1"/>
        <v>53.95</v>
      </c>
      <c r="CO69" vm="13405">
        <f ca="1"/>
        <v>54.27</v>
      </c>
      <c r="CP69" vm="11018">
        <f ca="1"/>
        <v>54.76</v>
      </c>
      <c r="CQ69" vm="3334">
        <f ca="1"/>
        <v>54.13</v>
      </c>
      <c r="CR69" vm="952">
        <f ca="1"/>
        <v>54.73</v>
      </c>
      <c r="CS69" vm="14108">
        <f ca="1"/>
        <v>56.24</v>
      </c>
      <c r="CT69" vm="14109">
        <f ca="1"/>
        <v>56.04</v>
      </c>
      <c r="CU69" vm="14110">
        <f ca="1"/>
        <v>55.46</v>
      </c>
      <c r="CV69" vm="14111">
        <f ca="1"/>
        <v>55.51</v>
      </c>
      <c r="CW69" vm="1213">
        <f ca="1"/>
        <v>56.85</v>
      </c>
      <c r="CX69" vm="1089">
        <f ca="1"/>
        <v>56.58</v>
      </c>
      <c r="CY69" vm="14092">
        <f ca="1"/>
        <v>59.18</v>
      </c>
      <c r="CZ69" vm="11367">
        <f ca="1"/>
        <v>59.46</v>
      </c>
      <c r="DA69" vm="1092">
        <f ca="1"/>
        <v>59.19</v>
      </c>
      <c r="DB69" vm="3019">
        <f ca="1"/>
        <v>59.25</v>
      </c>
      <c r="DC69" vm="11897">
        <f ca="1"/>
        <v>59.24</v>
      </c>
      <c r="DD69" vm="14112">
        <f ca="1"/>
        <v>59</v>
      </c>
      <c r="DE69" vm="1651">
        <f ca="1"/>
        <v>58.73</v>
      </c>
      <c r="DF69" vm="1221">
        <f ca="1"/>
        <v>56.65</v>
      </c>
      <c r="DG69" vm="1221">
        <f ca="1"/>
        <v>56.65</v>
      </c>
      <c r="DH69" vm="1536">
        <f ca="1"/>
        <v>56.4</v>
      </c>
      <c r="DI69" vm="1582">
        <f ca="1"/>
        <v>57.74</v>
      </c>
      <c r="DJ69" vm="14113">
        <f ca="1"/>
        <v>56.8</v>
      </c>
      <c r="DK69" vm="14063">
        <f ca="1"/>
        <v>57.29</v>
      </c>
      <c r="DL69" vm="11892">
        <f ca="1"/>
        <v>56.88</v>
      </c>
      <c r="DM69" vm="14044">
        <f ca="1"/>
        <v>56.46</v>
      </c>
      <c r="DN69" vm="14114">
        <f ca="1"/>
        <v>57.35</v>
      </c>
      <c r="DO69" vm="9685">
        <f ca="1"/>
        <v>56.64</v>
      </c>
      <c r="DP69" vm="14115">
        <f ca="1"/>
        <v>56.6</v>
      </c>
      <c r="DQ69" vm="14116">
        <f ca="1"/>
        <v>58.02</v>
      </c>
      <c r="DR69" vm="14091">
        <f ca="1"/>
        <v>58.31</v>
      </c>
      <c r="DS69" vm="11091">
        <f ca="1"/>
        <v>58.93</v>
      </c>
      <c r="DT69" vm="14073">
        <f ca="1"/>
        <v>58.13</v>
      </c>
      <c r="DU69" vm="10117">
        <f ca="1"/>
        <v>57.78</v>
      </c>
      <c r="DV69" vm="1635">
        <f ca="1"/>
        <v>56.23</v>
      </c>
      <c r="DW69" vm="14117">
        <f ca="1"/>
        <v>56.49</v>
      </c>
      <c r="DX69" vm="14118">
        <f ca="1"/>
        <v>55.79</v>
      </c>
      <c r="DY69" vm="11076">
        <f ca="1"/>
        <v>56.53</v>
      </c>
      <c r="DZ69" vm="10083">
        <f ca="1"/>
        <v>56.96</v>
      </c>
      <c r="EA69" vm="14119">
        <f ca="1"/>
        <v>57.87</v>
      </c>
      <c r="EB69" vm="11070">
        <f ca="1"/>
        <v>58.42</v>
      </c>
      <c r="EC69" vm="13406">
        <f ca="1"/>
        <v>58.14</v>
      </c>
      <c r="ED69" vm="1586">
        <f ca="1"/>
        <v>59.48</v>
      </c>
      <c r="EE69" vm="13438">
        <f ca="1"/>
        <v>59.45</v>
      </c>
      <c r="EF69" vm="14120">
        <f ca="1"/>
        <v>59.39</v>
      </c>
      <c r="EG69" vm="8700">
        <f ca="1"/>
        <v>61.42</v>
      </c>
      <c r="EH69" vm="2729">
        <f ca="1"/>
        <v>62.51</v>
      </c>
      <c r="EI69" vm="9661">
        <f ca="1"/>
        <v>63.23</v>
      </c>
      <c r="EJ69" vm="14121">
        <f ca="1"/>
        <v>62.58</v>
      </c>
      <c r="EK69" vm="14122">
        <f ca="1"/>
        <v>63.15</v>
      </c>
      <c r="EL69" vm="13877">
        <f ca="1"/>
        <v>63.12</v>
      </c>
      <c r="EM69" vm="14123">
        <f ca="1"/>
        <v>63.57</v>
      </c>
      <c r="EN69" vm="14124">
        <f ca="1"/>
        <v>62.89</v>
      </c>
      <c r="EO69" vm="14125">
        <f ca="1"/>
        <v>63.6</v>
      </c>
      <c r="EP69" vm="14126">
        <f ca="1"/>
        <v>61.37</v>
      </c>
      <c r="EQ69" vm="11087">
        <f ca="1"/>
        <v>61.91</v>
      </c>
      <c r="ER69" vm="1471">
        <f ca="1"/>
        <v>63.17</v>
      </c>
      <c r="ES69" vm="14127">
        <f ca="1"/>
        <v>63.27</v>
      </c>
      <c r="ET69" vm="9658">
        <f ca="1"/>
        <v>63.07</v>
      </c>
      <c r="EU69" vm="13872">
        <f ca="1"/>
        <v>63.36</v>
      </c>
      <c r="EV69" vm="13872">
        <f ca="1"/>
        <v>63.36</v>
      </c>
      <c r="EW69" vm="9720">
        <f ca="1"/>
        <v>62.18</v>
      </c>
      <c r="EX69" vm="14128">
        <f ca="1"/>
        <v>61.93</v>
      </c>
      <c r="EY69" vm="11086">
        <f ca="1"/>
        <v>61.88</v>
      </c>
      <c r="EZ69" vm="14129">
        <f ca="1"/>
        <v>61.58</v>
      </c>
      <c r="FA69" vm="9713">
        <f ca="1"/>
        <v>60.79</v>
      </c>
      <c r="FB69" vm="11896">
        <f ca="1"/>
        <v>60.06</v>
      </c>
      <c r="FC69" vm="10301">
        <f ca="1"/>
        <v>58.82</v>
      </c>
      <c r="FD69" vm="14130">
        <f ca="1"/>
        <v>59.65</v>
      </c>
      <c r="FE69" vm="13391">
        <f ca="1"/>
        <v>59.85</v>
      </c>
      <c r="FF69" vm="1093">
        <f ca="1"/>
        <v>59.37</v>
      </c>
      <c r="FG69" vm="10080">
        <f ca="1"/>
        <v>58.85</v>
      </c>
      <c r="FH69" vm="13387">
        <f ca="1"/>
        <v>59.56</v>
      </c>
      <c r="FI69" vm="11083">
        <f ca="1"/>
        <v>59.4</v>
      </c>
      <c r="FJ69" vm="8701">
        <f ca="1"/>
        <v>61.54</v>
      </c>
      <c r="FK69" vm="13423">
        <f ca="1"/>
        <v>62.64</v>
      </c>
      <c r="FL69" vm="14131">
        <f ca="1"/>
        <v>62.6</v>
      </c>
      <c r="FM69" vm="2356">
        <f ca="1"/>
        <v>61.59</v>
      </c>
      <c r="FN69" vm="14128">
        <f ca="1"/>
        <v>61.93</v>
      </c>
      <c r="FO69" vm="8702">
        <f ca="1"/>
        <v>61.82</v>
      </c>
      <c r="FP69" vm="14132">
        <f ca="1"/>
        <v>62.04</v>
      </c>
      <c r="FQ69" vm="8648">
        <f ca="1"/>
        <v>61.79</v>
      </c>
      <c r="FR69" vm="11417">
        <f ca="1"/>
        <v>64.84</v>
      </c>
      <c r="FS69" vm="8719">
        <f ca="1"/>
        <v>64.489999999999995</v>
      </c>
      <c r="FT69" vm="11441">
        <f ca="1"/>
        <v>65.23</v>
      </c>
      <c r="FU69" vm="11451">
        <f ca="1"/>
        <v>65.75</v>
      </c>
      <c r="FV69" vm="8725">
        <f ca="1"/>
        <v>65.52</v>
      </c>
      <c r="FW69" vm="11402">
        <f ca="1"/>
        <v>65.510000000000005</v>
      </c>
      <c r="FX69" vm="8845">
        <f ca="1"/>
        <v>65.08</v>
      </c>
      <c r="FY69" vm="1164">
        <f ca="1"/>
        <v>65.17</v>
      </c>
      <c r="FZ69" vm="14133">
        <f ca="1"/>
        <v>66.13</v>
      </c>
      <c r="GA69" vm="8729">
        <f ca="1"/>
        <v>65.45</v>
      </c>
      <c r="GB69" vm="8725">
        <f ca="1"/>
        <v>65.52</v>
      </c>
      <c r="GC69" vm="2735">
        <f ca="1"/>
        <v>64.849999999999994</v>
      </c>
      <c r="GD69" vm="14134">
        <f ca="1"/>
        <v>64.92</v>
      </c>
      <c r="GE69" vm="11403">
        <f ca="1"/>
        <v>65.209999999999994</v>
      </c>
      <c r="GF69" vm="8720">
        <f ca="1"/>
        <v>64.989999999999995</v>
      </c>
      <c r="GG69" vm="1469">
        <f ca="1"/>
        <v>64.36</v>
      </c>
      <c r="GH69" vm="13874">
        <f ca="1"/>
        <v>63.69</v>
      </c>
      <c r="GI69" vm="8854">
        <f ca="1"/>
        <v>64.45</v>
      </c>
      <c r="GJ69" vm="2242">
        <f ca="1"/>
        <v>66.17</v>
      </c>
      <c r="GK69" vm="14135">
        <f ca="1"/>
        <v>65.34</v>
      </c>
      <c r="GL69" vm="11394">
        <f ca="1"/>
        <v>64.14</v>
      </c>
      <c r="GM69" vm="1151">
        <f ca="1"/>
        <v>64.06</v>
      </c>
      <c r="GN69" vm="14136">
        <f ca="1"/>
        <v>63.93</v>
      </c>
      <c r="GO69" vm="13155">
        <f ca="1"/>
        <v>63.89</v>
      </c>
      <c r="GP69" vm="8842">
        <f ca="1"/>
        <v>64.19</v>
      </c>
      <c r="GQ69" vm="14123">
        <f ca="1"/>
        <v>63.57</v>
      </c>
      <c r="GR69" vm="9664">
        <f ca="1"/>
        <v>63.3</v>
      </c>
      <c r="GS69" vm="8662">
        <f ca="1"/>
        <v>62.97</v>
      </c>
      <c r="GT69" vm="8656">
        <f ca="1"/>
        <v>62.82</v>
      </c>
      <c r="GU69" vm="8814">
        <f ca="1"/>
        <v>63.45</v>
      </c>
      <c r="GV69" vm="14137">
        <f ca="1"/>
        <v>64.09</v>
      </c>
      <c r="GW69" vm="11388">
        <f ca="1"/>
        <v>63.63</v>
      </c>
      <c r="GX69" vm="8809">
        <f ca="1"/>
        <v>63.24</v>
      </c>
      <c r="GY69" vm="11390">
        <f ca="1"/>
        <v>62.95</v>
      </c>
      <c r="GZ69" vm="8673">
        <f ca="1"/>
        <v>60.19</v>
      </c>
      <c r="HA69" vm="11088">
        <f ca="1"/>
        <v>61.51</v>
      </c>
      <c r="HB69" vm="1604">
        <f ca="1"/>
        <v>63.41</v>
      </c>
      <c r="HC69" vm="8706">
        <f ca="1"/>
        <v>61.98</v>
      </c>
      <c r="HD69" vm="13406">
        <f ca="1"/>
        <v>58.14</v>
      </c>
      <c r="HE69" vm="14079">
        <f ca="1"/>
        <v>59.07</v>
      </c>
      <c r="HF69" vm="1658">
        <f ca="1"/>
        <v>60.54</v>
      </c>
      <c r="HG69" vm="13435">
        <f ca="1"/>
        <v>60.63</v>
      </c>
      <c r="HH69" vm="8675">
        <f ca="1"/>
        <v>60.44</v>
      </c>
      <c r="HI69" vm="14138">
        <f ca="1"/>
        <v>60.18</v>
      </c>
      <c r="HJ69" vm="1105">
        <f ca="1"/>
        <v>61.22</v>
      </c>
      <c r="HK69" vm="13427">
        <f ca="1"/>
        <v>61.17</v>
      </c>
      <c r="HL69" vm="14139">
        <f ca="1"/>
        <v>60.92</v>
      </c>
      <c r="HM69" vm="8671">
        <f ca="1"/>
        <v>59.81</v>
      </c>
      <c r="HN69" vm="9704">
        <f ca="1"/>
        <v>59.86</v>
      </c>
      <c r="HO69" vm="14140">
        <f ca="1"/>
        <v>60</v>
      </c>
      <c r="HP69" vm="14141">
        <f ca="1"/>
        <v>60.14</v>
      </c>
      <c r="HQ69" vm="13439">
        <f ca="1"/>
        <v>59.82</v>
      </c>
      <c r="HR69" vm="14142">
        <f ca="1"/>
        <v>60.56</v>
      </c>
      <c r="HS69" vm="1655">
        <f ca="1"/>
        <v>60.16</v>
      </c>
      <c r="HT69" vm="1660">
        <f ca="1"/>
        <v>61.01</v>
      </c>
      <c r="HU69" vm="2535">
        <f ca="1"/>
        <v>61.33</v>
      </c>
      <c r="HV69" vm="14143">
        <f ca="1"/>
        <v>61.45</v>
      </c>
      <c r="HW69" vm="8667">
        <f ca="1"/>
        <v>61.53</v>
      </c>
      <c r="HX69" vm="9713">
        <f ca="1"/>
        <v>60.79</v>
      </c>
      <c r="HY69" vm="14139">
        <f ca="1"/>
        <v>60.92</v>
      </c>
      <c r="HZ69" vm="1091">
        <f ca="1"/>
        <v>58.63</v>
      </c>
      <c r="IA69" vm="1584">
        <f ca="1"/>
        <v>59.16</v>
      </c>
      <c r="IB69" vm="1600">
        <f ca="1"/>
        <v>59.79</v>
      </c>
      <c r="IC69" vm="1601">
        <f ca="1"/>
        <v>59.59</v>
      </c>
      <c r="ID69" vm="1602">
        <f ca="1"/>
        <v>61.61</v>
      </c>
      <c r="IE69" vm="1603">
        <f ca="1"/>
        <v>61.66</v>
      </c>
      <c r="IF69" vm="1604">
        <f ca="1"/>
        <v>63.41</v>
      </c>
      <c r="IG69" vm="1471">
        <f ca="1"/>
        <v>63.17</v>
      </c>
      <c r="IH69" vm="1605">
        <f ca="1"/>
        <v>62.99</v>
      </c>
      <c r="II69" vm="1606">
        <f ca="1"/>
        <v>63.68</v>
      </c>
      <c r="IJ69" vm="1607">
        <f ca="1"/>
        <v>63.33</v>
      </c>
      <c r="IK69" vm="1608">
        <f ca="1"/>
        <v>64.650000000000006</v>
      </c>
      <c r="IL69" vm="1609">
        <f ca="1"/>
        <v>64.87</v>
      </c>
      <c r="IM69" vm="1610">
        <f ca="1"/>
        <v>64.72</v>
      </c>
      <c r="IN69" vm="1611">
        <f ca="1"/>
        <v>64.94</v>
      </c>
      <c r="IO69" vm="1612">
        <f ca="1"/>
        <v>64.81</v>
      </c>
      <c r="IP69" vm="1613">
        <f ca="1"/>
        <v>67.05</v>
      </c>
      <c r="IQ69" vm="1614">
        <f ca="1"/>
        <v>67.400000000000006</v>
      </c>
      <c r="IR69" vm="1615">
        <f ca="1"/>
        <v>67.08</v>
      </c>
      <c r="IS69" vm="1616">
        <f ca="1"/>
        <v>67.260000000000005</v>
      </c>
      <c r="IT69" vm="1617">
        <f ca="1"/>
        <v>67</v>
      </c>
      <c r="IU69" vm="1618">
        <f ca="1"/>
        <v>67.290000000000006</v>
      </c>
      <c r="IV69" vm="1619">
        <f ca="1"/>
        <v>67.48</v>
      </c>
      <c r="IW69" vm="116">
        <f ca="1"/>
        <v>67.239999999999995</v>
      </c>
    </row>
    <row r="70" spans="1:257" ht="16" x14ac:dyDescent="0.2">
      <c r="A70" s="13" t="e" vm="1620">
        <v>#VALUE!</v>
      </c>
      <c r="B70" s="23" t="str" cm="1">
        <f t="array" aca="1" ref="B70" ca="1">_FV(A70,"ticker symbol",TRUE)</f>
        <v>IAT</v>
      </c>
      <c r="C70" s="23" t="str" cm="1">
        <f t="array" aca="1" ref="C70" ca="1">_FV(A70,"Name")</f>
        <v>iShares:US Rgnl Bnks</v>
      </c>
      <c r="D70" cm="1" vm="1629">
        <f t="array" aca="1" ref="D70:IW70" ca="1">TRANSPOSE(_xlfn.STOCKHISTORY(B70, WORKDAY(TODAY(), -265), TODAY(), 0, 0, 1))</f>
        <v>53.49</v>
      </c>
      <c r="E70" s="23" vm="2908">
        <f ca="1"/>
        <v>52.14</v>
      </c>
      <c r="F70" s="23" vm="11310">
        <f ca="1"/>
        <v>49.77</v>
      </c>
      <c r="G70" s="23" vm="6275">
        <f ca="1"/>
        <v>49.46</v>
      </c>
      <c r="H70" s="23" vm="14053">
        <f ca="1"/>
        <v>50.3</v>
      </c>
      <c r="I70" s="23" vm="11853">
        <f ca="1"/>
        <v>50.45</v>
      </c>
      <c r="J70" s="23" vm="6245">
        <f ca="1"/>
        <v>50.85</v>
      </c>
      <c r="K70" s="23" vm="14144">
        <f ca="1"/>
        <v>51.04</v>
      </c>
      <c r="L70" s="23" vm="11286">
        <f ca="1"/>
        <v>50.54</v>
      </c>
      <c r="M70" s="23" vm="14145">
        <f ca="1"/>
        <v>50.33</v>
      </c>
      <c r="N70" s="23" vm="1135">
        <f ca="1"/>
        <v>50.36</v>
      </c>
      <c r="O70" s="23" vm="11838">
        <f ca="1"/>
        <v>50.02</v>
      </c>
      <c r="P70" s="23" vm="6245">
        <f ca="1"/>
        <v>50.85</v>
      </c>
      <c r="Q70" s="23" vm="6302">
        <f ca="1"/>
        <v>51</v>
      </c>
      <c r="R70" s="23" vm="11028">
        <f ca="1"/>
        <v>50.72</v>
      </c>
      <c r="S70" s="23" vm="14146">
        <f ca="1"/>
        <v>50.67</v>
      </c>
      <c r="T70" s="23" vm="9246">
        <f ca="1"/>
        <v>49.34</v>
      </c>
      <c r="U70" s="23" vm="11045">
        <f ca="1"/>
        <v>50.06</v>
      </c>
      <c r="V70" s="23" vm="9690">
        <f ca="1"/>
        <v>51.38</v>
      </c>
      <c r="W70" s="23" vm="2910">
        <f ca="1"/>
        <v>52.81</v>
      </c>
      <c r="X70" s="23" vm="6323">
        <f ca="1"/>
        <v>51.91</v>
      </c>
      <c r="Y70" s="23" vm="11862">
        <f ca="1"/>
        <v>52.82</v>
      </c>
      <c r="Z70" s="23" vm="6336">
        <f ca="1"/>
        <v>53.34</v>
      </c>
      <c r="AA70" s="23" vm="14147">
        <f ca="1"/>
        <v>52.58</v>
      </c>
      <c r="AB70" s="23" vm="11342">
        <f ca="1"/>
        <v>52.57</v>
      </c>
      <c r="AC70" s="23" vm="2771">
        <f ca="1"/>
        <v>53.02</v>
      </c>
      <c r="AD70" vm="14148">
        <f ca="1"/>
        <v>53.46</v>
      </c>
      <c r="AE70" vm="2636">
        <f ca="1"/>
        <v>53.11</v>
      </c>
      <c r="AF70" vm="3302">
        <f ca="1"/>
        <v>53.01</v>
      </c>
      <c r="AG70" vm="478">
        <f ca="1"/>
        <v>53.48</v>
      </c>
      <c r="AH70" vm="14149">
        <f ca="1"/>
        <v>53.14</v>
      </c>
      <c r="AI70" vm="14150">
        <f ca="1"/>
        <v>52.03</v>
      </c>
      <c r="AJ70" vm="3109">
        <f ca="1"/>
        <v>52.74</v>
      </c>
      <c r="AK70" vm="3301">
        <f ca="1"/>
        <v>52.99</v>
      </c>
      <c r="AL70" vm="6339">
        <f ca="1"/>
        <v>53.56</v>
      </c>
      <c r="AM70" vm="2637">
        <f ca="1"/>
        <v>53.1</v>
      </c>
      <c r="AN70" vm="2922">
        <f ca="1"/>
        <v>52.29</v>
      </c>
      <c r="AO70" vm="2928">
        <f ca="1"/>
        <v>52.88</v>
      </c>
      <c r="AP70" vm="11306">
        <f ca="1"/>
        <v>52.08</v>
      </c>
      <c r="AQ70" vm="842">
        <f ca="1"/>
        <v>52.07</v>
      </c>
      <c r="AR70" vm="2924">
        <f ca="1"/>
        <v>52.36</v>
      </c>
      <c r="AS70" vm="3307">
        <f ca="1"/>
        <v>52.97</v>
      </c>
      <c r="AT70" vm="9689">
        <f ca="1"/>
        <v>52.63</v>
      </c>
      <c r="AU70" vm="6309">
        <f ca="1"/>
        <v>51.79</v>
      </c>
      <c r="AV70" vm="844">
        <f ca="1"/>
        <v>50.52</v>
      </c>
      <c r="AW70" vm="11349">
        <f ca="1"/>
        <v>50.26</v>
      </c>
      <c r="AX70" vm="11288">
        <f ca="1"/>
        <v>50.11</v>
      </c>
      <c r="AY70" vm="14053">
        <f ca="1"/>
        <v>50.3</v>
      </c>
      <c r="AZ70" vm="1146">
        <f ca="1"/>
        <v>50.5</v>
      </c>
      <c r="BA70" vm="2765">
        <f ca="1"/>
        <v>51.19</v>
      </c>
      <c r="BB70" vm="1145">
        <f ca="1"/>
        <v>50.38</v>
      </c>
      <c r="BC70" vm="9995">
        <f ca="1"/>
        <v>48.48</v>
      </c>
      <c r="BD70" vm="14151">
        <f ca="1"/>
        <v>48.23</v>
      </c>
      <c r="BE70" vm="1254">
        <f ca="1"/>
        <v>47.49</v>
      </c>
      <c r="BF70" vm="11492">
        <f ca="1"/>
        <v>47.56</v>
      </c>
      <c r="BG70" vm="14152">
        <f ca="1"/>
        <v>45.67</v>
      </c>
      <c r="BH70" vm="14153">
        <f ca="1"/>
        <v>45.11</v>
      </c>
      <c r="BI70" vm="14154">
        <f ca="1"/>
        <v>45.44</v>
      </c>
      <c r="BJ70" vm="14155">
        <f ca="1"/>
        <v>44.81</v>
      </c>
      <c r="BK70" vm="11516">
        <f ca="1"/>
        <v>46.12</v>
      </c>
      <c r="BL70" vm="12077">
        <f ca="1"/>
        <v>46.42</v>
      </c>
      <c r="BM70" vm="14156">
        <f ca="1"/>
        <v>46.1</v>
      </c>
      <c r="BN70" vm="11036">
        <f ca="1"/>
        <v>46.64</v>
      </c>
      <c r="BO70" vm="14157">
        <f ca="1"/>
        <v>46.44</v>
      </c>
      <c r="BP70" vm="10046">
        <f ca="1"/>
        <v>46.57</v>
      </c>
      <c r="BQ70" vm="6269">
        <f ca="1"/>
        <v>47.61</v>
      </c>
      <c r="BR70" vm="6225">
        <f ca="1"/>
        <v>47.63</v>
      </c>
      <c r="BS70" vm="11849">
        <f ca="1"/>
        <v>47.46</v>
      </c>
      <c r="BT70" vm="14158">
        <f ca="1"/>
        <v>46.93</v>
      </c>
      <c r="BU70" vm="13821">
        <f ca="1"/>
        <v>46</v>
      </c>
      <c r="BV70" vm="2186">
        <f ca="1"/>
        <v>46.63</v>
      </c>
      <c r="BW70" vm="10016">
        <f ca="1"/>
        <v>46.2</v>
      </c>
      <c r="BX70" vm="14159">
        <f ca="1"/>
        <v>47.07</v>
      </c>
      <c r="BY70" vm="6883">
        <f ca="1"/>
        <v>42</v>
      </c>
      <c r="BZ70" vm="14160">
        <f ca="1"/>
        <v>40.049999999999997</v>
      </c>
      <c r="CA70" vm="9145">
        <f ca="1"/>
        <v>40.159999999999997</v>
      </c>
      <c r="CB70" vm="14161">
        <f ca="1"/>
        <v>39.71</v>
      </c>
      <c r="CC70" vm="1369">
        <f ca="1"/>
        <v>42.95</v>
      </c>
      <c r="CD70" vm="12736">
        <f ca="1"/>
        <v>40.44</v>
      </c>
      <c r="CE70" vm="549">
        <f ca="1"/>
        <v>40.51</v>
      </c>
      <c r="CF70" vm="12799">
        <f ca="1"/>
        <v>41.22</v>
      </c>
      <c r="CG70" vm="6930">
        <f ca="1"/>
        <v>41.76</v>
      </c>
      <c r="CH70" vm="6897">
        <f ca="1"/>
        <v>41.32</v>
      </c>
      <c r="CI70" vm="6957">
        <f ca="1"/>
        <v>41.66</v>
      </c>
      <c r="CJ70" vm="92">
        <f ca="1"/>
        <v>40.97</v>
      </c>
      <c r="CK70" vm="14162">
        <f ca="1"/>
        <v>42.24</v>
      </c>
      <c r="CL70" vm="14163">
        <f ca="1"/>
        <v>43.07</v>
      </c>
      <c r="CM70" vm="9227">
        <f ca="1"/>
        <v>43.88</v>
      </c>
      <c r="CN70" vm="1366">
        <f ca="1"/>
        <v>43.51</v>
      </c>
      <c r="CO70" vm="14164">
        <f ca="1"/>
        <v>43.86</v>
      </c>
      <c r="CP70" vm="9218">
        <f ca="1"/>
        <v>44.17</v>
      </c>
      <c r="CQ70" vm="13769">
        <f ca="1"/>
        <v>43.85</v>
      </c>
      <c r="CR70" vm="2329">
        <f ca="1"/>
        <v>44.2</v>
      </c>
      <c r="CS70" vm="14154">
        <f ca="1"/>
        <v>45.44</v>
      </c>
      <c r="CT70" vm="9987">
        <f ca="1"/>
        <v>45.4</v>
      </c>
      <c r="CU70" vm="13774">
        <f ca="1"/>
        <v>44.75</v>
      </c>
      <c r="CV70" vm="12059">
        <f ca="1"/>
        <v>44.83</v>
      </c>
      <c r="CW70" vm="14165">
        <f ca="1"/>
        <v>45.84</v>
      </c>
      <c r="CX70" vm="11628">
        <f ca="1"/>
        <v>45.75</v>
      </c>
      <c r="CY70" vm="12088">
        <f ca="1"/>
        <v>48.03</v>
      </c>
      <c r="CZ70" vm="11024">
        <f ca="1"/>
        <v>48.37</v>
      </c>
      <c r="DA70" vm="6230">
        <f ca="1"/>
        <v>48.28</v>
      </c>
      <c r="DB70" vm="12033">
        <f ca="1"/>
        <v>48.41</v>
      </c>
      <c r="DC70" vm="1259">
        <f ca="1"/>
        <v>48.56</v>
      </c>
      <c r="DD70" vm="12033">
        <f ca="1"/>
        <v>48.41</v>
      </c>
      <c r="DE70" vm="3104">
        <f ca="1"/>
        <v>47.97</v>
      </c>
      <c r="DF70" vm="14166">
        <f ca="1"/>
        <v>46.25</v>
      </c>
      <c r="DG70" vm="14167">
        <f ca="1"/>
        <v>46.43</v>
      </c>
      <c r="DH70" vm="12099">
        <f ca="1"/>
        <v>46.19</v>
      </c>
      <c r="DI70" vm="11531">
        <f ca="1"/>
        <v>47.26</v>
      </c>
      <c r="DJ70" vm="11036">
        <f ca="1"/>
        <v>46.64</v>
      </c>
      <c r="DK70" vm="10008">
        <f ca="1"/>
        <v>47.05</v>
      </c>
      <c r="DL70" vm="12068">
        <f ca="1"/>
        <v>46.77</v>
      </c>
      <c r="DM70" vm="10046">
        <f ca="1"/>
        <v>46.57</v>
      </c>
      <c r="DN70" vm="6236">
        <f ca="1"/>
        <v>47.32</v>
      </c>
      <c r="DO70" vm="11475">
        <f ca="1"/>
        <v>46.84</v>
      </c>
      <c r="DP70" vm="11023">
        <f ca="1"/>
        <v>46.78</v>
      </c>
      <c r="DQ70" vm="11575">
        <f ca="1"/>
        <v>48</v>
      </c>
      <c r="DR70" vm="11043">
        <f ca="1"/>
        <v>48.01</v>
      </c>
      <c r="DS70" vm="12033">
        <f ca="1"/>
        <v>48.41</v>
      </c>
      <c r="DT70" vm="1252">
        <f ca="1"/>
        <v>47.76</v>
      </c>
      <c r="DU70" vm="1254">
        <f ca="1"/>
        <v>47.49</v>
      </c>
      <c r="DV70" vm="13818">
        <f ca="1"/>
        <v>46.28</v>
      </c>
      <c r="DW70" vm="10041">
        <f ca="1"/>
        <v>46.29</v>
      </c>
      <c r="DX70" vm="10015">
        <f ca="1"/>
        <v>45.81</v>
      </c>
      <c r="DY70" vm="14168">
        <f ca="1"/>
        <v>46.52</v>
      </c>
      <c r="DZ70" vm="12103">
        <f ca="1"/>
        <v>46.97</v>
      </c>
      <c r="EA70" vm="14169">
        <f ca="1"/>
        <v>47.88</v>
      </c>
      <c r="EB70" vm="1267">
        <f ca="1"/>
        <v>48.31</v>
      </c>
      <c r="EC70" vm="6231">
        <f ca="1"/>
        <v>48.33</v>
      </c>
      <c r="ED70" vm="14170">
        <f ca="1"/>
        <v>49.36</v>
      </c>
      <c r="EE70" vm="6266">
        <f ca="1"/>
        <v>49.38</v>
      </c>
      <c r="EF70" vm="11309">
        <f ca="1"/>
        <v>49.55</v>
      </c>
      <c r="EG70" vm="2904">
        <f ca="1"/>
        <v>51.05</v>
      </c>
      <c r="EH70" vm="14171">
        <f ca="1"/>
        <v>51.9</v>
      </c>
      <c r="EI70" vm="6352">
        <f ca="1"/>
        <v>52.43</v>
      </c>
      <c r="EJ70" vm="11306">
        <f ca="1"/>
        <v>52.08</v>
      </c>
      <c r="EK70" vm="1627">
        <f ca="1"/>
        <v>52.35</v>
      </c>
      <c r="EL70" vm="1524">
        <f ca="1"/>
        <v>52.19</v>
      </c>
      <c r="EM70" vm="2768">
        <f ca="1"/>
        <v>52.66</v>
      </c>
      <c r="EN70" vm="11327">
        <f ca="1"/>
        <v>52.24</v>
      </c>
      <c r="EO70" vm="2921">
        <f ca="1"/>
        <v>52.49</v>
      </c>
      <c r="EP70" vm="13828">
        <f ca="1"/>
        <v>50.91</v>
      </c>
      <c r="EQ70" vm="14172">
        <f ca="1"/>
        <v>51.12</v>
      </c>
      <c r="ER70" vm="14173">
        <f ca="1"/>
        <v>51.84</v>
      </c>
      <c r="ES70" vm="11858">
        <f ca="1"/>
        <v>52.06</v>
      </c>
      <c r="ET70" vm="11330">
        <f ca="1"/>
        <v>51.93</v>
      </c>
      <c r="EU70" vm="14174">
        <f ca="1"/>
        <v>52.33</v>
      </c>
      <c r="EV70" vm="2920">
        <f ca="1"/>
        <v>52.41</v>
      </c>
      <c r="EW70" vm="14175">
        <f ca="1"/>
        <v>51.86</v>
      </c>
      <c r="EX70" vm="11334">
        <f ca="1"/>
        <v>51.81</v>
      </c>
      <c r="EY70" vm="840">
        <f ca="1"/>
        <v>51.48</v>
      </c>
      <c r="EZ70" vm="2762">
        <f ca="1"/>
        <v>51.34</v>
      </c>
      <c r="FA70" vm="6245">
        <f ca="1"/>
        <v>50.85</v>
      </c>
      <c r="FB70" vm="1148">
        <f ca="1"/>
        <v>50.15</v>
      </c>
      <c r="FC70" vm="11295">
        <f ca="1"/>
        <v>49.06</v>
      </c>
      <c r="FD70" vm="11025">
        <f ca="1"/>
        <v>49.7</v>
      </c>
      <c r="FE70" vm="11025">
        <f ca="1"/>
        <v>49.7</v>
      </c>
      <c r="FF70" vm="10051">
        <f ca="1"/>
        <v>49.32</v>
      </c>
      <c r="FG70" vm="9245">
        <f ca="1"/>
        <v>48.92</v>
      </c>
      <c r="FH70" vm="11026">
        <f ca="1"/>
        <v>49.6</v>
      </c>
      <c r="FI70" vm="14176">
        <f ca="1"/>
        <v>49.33</v>
      </c>
      <c r="FJ70" vm="9260">
        <f ca="1"/>
        <v>50.68</v>
      </c>
      <c r="FK70" vm="11325">
        <f ca="1"/>
        <v>51.44</v>
      </c>
      <c r="FL70" vm="6318">
        <f ca="1"/>
        <v>51.65</v>
      </c>
      <c r="FM70" vm="13829">
        <f ca="1"/>
        <v>50.76</v>
      </c>
      <c r="FN70" vm="6303">
        <f ca="1"/>
        <v>51.06</v>
      </c>
      <c r="FO70" vm="14144">
        <f ca="1"/>
        <v>51.04</v>
      </c>
      <c r="FP70" vm="2762">
        <f ca="1"/>
        <v>51.34</v>
      </c>
      <c r="FQ70" vm="11323">
        <f ca="1"/>
        <v>51.07</v>
      </c>
      <c r="FR70" vm="14177">
        <f ca="1"/>
        <v>53.23</v>
      </c>
      <c r="FS70" vm="3307">
        <f ca="1"/>
        <v>52.97</v>
      </c>
      <c r="FT70" vm="11050">
        <f ca="1"/>
        <v>53.65</v>
      </c>
      <c r="FU70" vm="3334">
        <f ca="1"/>
        <v>54.13</v>
      </c>
      <c r="FV70" vm="2927">
        <f ca="1"/>
        <v>54.01</v>
      </c>
      <c r="FW70" vm="3342">
        <f ca="1"/>
        <v>54.11</v>
      </c>
      <c r="FX70" vm="6342">
        <f ca="1"/>
        <v>53.76</v>
      </c>
      <c r="FY70" vm="9692">
        <f ca="1"/>
        <v>53.71</v>
      </c>
      <c r="FZ70" vm="11052">
        <f ca="1"/>
        <v>54.5</v>
      </c>
      <c r="GA70" vm="1632">
        <f ca="1"/>
        <v>53.79</v>
      </c>
      <c r="GB70" vm="1528">
        <f ca="1"/>
        <v>53.78</v>
      </c>
      <c r="GC70" vm="6344">
        <f ca="1"/>
        <v>53.47</v>
      </c>
      <c r="GD70" vm="2775">
        <f ca="1"/>
        <v>53.51</v>
      </c>
      <c r="GE70" vm="477">
        <f ca="1"/>
        <v>53.66</v>
      </c>
      <c r="GF70" vm="6343">
        <f ca="1"/>
        <v>53.61</v>
      </c>
      <c r="GG70" vm="2929">
        <f ca="1"/>
        <v>53.21</v>
      </c>
      <c r="GH70" vm="2922">
        <f ca="1"/>
        <v>52.29</v>
      </c>
      <c r="GI70" vm="9688">
        <f ca="1"/>
        <v>53.12</v>
      </c>
      <c r="GJ70" vm="2927">
        <f ca="1"/>
        <v>54.01</v>
      </c>
      <c r="GK70" vm="73">
        <f ca="1"/>
        <v>53.72</v>
      </c>
      <c r="GL70" vm="475">
        <f ca="1"/>
        <v>52.84</v>
      </c>
      <c r="GM70" vm="472">
        <f ca="1"/>
        <v>52.95</v>
      </c>
      <c r="GN70" vm="14055">
        <f ca="1"/>
        <v>52.91</v>
      </c>
      <c r="GO70" vm="2928">
        <f ca="1"/>
        <v>52.88</v>
      </c>
      <c r="GP70" vm="14149">
        <f ca="1"/>
        <v>53.14</v>
      </c>
      <c r="GQ70" vm="6351">
        <f ca="1"/>
        <v>52.73</v>
      </c>
      <c r="GR70" vm="11046">
        <f ca="1"/>
        <v>52.53</v>
      </c>
      <c r="GS70" vm="11306">
        <f ca="1"/>
        <v>52.08</v>
      </c>
      <c r="GT70" vm="11341">
        <f ca="1"/>
        <v>51.98</v>
      </c>
      <c r="GU70" vm="14178">
        <f ca="1"/>
        <v>52.296999999999997</v>
      </c>
      <c r="GV70" vm="1522">
        <f ca="1"/>
        <v>52.17</v>
      </c>
      <c r="GW70" vm="8683">
        <f ca="1"/>
        <v>51.87</v>
      </c>
      <c r="GX70" vm="10055">
        <f ca="1"/>
        <v>51.23</v>
      </c>
      <c r="GY70" vm="9250">
        <f ca="1"/>
        <v>51.27</v>
      </c>
      <c r="GZ70" vm="3103">
        <f ca="1"/>
        <v>48.96</v>
      </c>
      <c r="HA70" vm="2915">
        <f ca="1"/>
        <v>49.94</v>
      </c>
      <c r="HB70" vm="11324">
        <f ca="1"/>
        <v>51.22</v>
      </c>
      <c r="HC70" vm="14106">
        <f ca="1"/>
        <v>50.12</v>
      </c>
      <c r="HD70" vm="2333">
        <f ca="1"/>
        <v>47.69</v>
      </c>
      <c r="HE70" vm="11480">
        <f ca="1"/>
        <v>48.43</v>
      </c>
      <c r="HF70" vm="6223">
        <f ca="1"/>
        <v>49.45</v>
      </c>
      <c r="HG70" vm="14179">
        <f ca="1"/>
        <v>49.69</v>
      </c>
      <c r="HH70" vm="6223">
        <f ca="1"/>
        <v>49.45</v>
      </c>
      <c r="HI70" vm="12050">
        <f ca="1"/>
        <v>49.54</v>
      </c>
      <c r="HJ70" vm="9248">
        <f ca="1"/>
        <v>50.32</v>
      </c>
      <c r="HK70" vm="1134">
        <f ca="1"/>
        <v>50.1</v>
      </c>
      <c r="HL70" vm="834">
        <f ca="1"/>
        <v>49.67</v>
      </c>
      <c r="HM70" vm="6224">
        <f ca="1"/>
        <v>49.1</v>
      </c>
      <c r="HN70" vm="9246">
        <f ca="1"/>
        <v>49.34</v>
      </c>
      <c r="HO70" vm="1621">
        <f ca="1"/>
        <v>49.57</v>
      </c>
      <c r="HP70" vm="6239">
        <f ca="1"/>
        <v>49.48</v>
      </c>
      <c r="HQ70" vm="9996">
        <f ca="1"/>
        <v>49.3</v>
      </c>
      <c r="HR70" vm="14180">
        <f ca="1"/>
        <v>49.72</v>
      </c>
      <c r="HS70" vm="1143">
        <f ca="1"/>
        <v>49.58</v>
      </c>
      <c r="HT70" vm="1136">
        <f ca="1"/>
        <v>50.29</v>
      </c>
      <c r="HU70" vm="11022">
        <f ca="1"/>
        <v>50.58</v>
      </c>
      <c r="HV70" vm="6300">
        <f ca="1"/>
        <v>50.59</v>
      </c>
      <c r="HW70" vm="11338">
        <f ca="1"/>
        <v>50.88</v>
      </c>
      <c r="HX70" vm="6265">
        <f ca="1"/>
        <v>50.21</v>
      </c>
      <c r="HY70" vm="6241">
        <f ca="1"/>
        <v>50.23</v>
      </c>
      <c r="HZ70" vm="10050">
        <f ca="1"/>
        <v>48.58</v>
      </c>
      <c r="IA70" vm="6228">
        <f ca="1"/>
        <v>48.99</v>
      </c>
      <c r="IB70" vm="1621">
        <f ca="1"/>
        <v>49.57</v>
      </c>
      <c r="IC70" vm="1622">
        <f ca="1"/>
        <v>49.39</v>
      </c>
      <c r="ID70" vm="1623">
        <f ca="1"/>
        <v>50.79</v>
      </c>
      <c r="IE70" vm="1624">
        <f ca="1"/>
        <v>50.82</v>
      </c>
      <c r="IF70" vm="1625">
        <f ca="1"/>
        <v>51.97</v>
      </c>
      <c r="IG70" vm="1626">
        <f ca="1"/>
        <v>51.88</v>
      </c>
      <c r="IH70" vm="1626">
        <f ca="1"/>
        <v>51.88</v>
      </c>
      <c r="II70" vm="1627">
        <f ca="1"/>
        <v>52.35</v>
      </c>
      <c r="IJ70" vm="1628">
        <f ca="1"/>
        <v>52.23</v>
      </c>
      <c r="IK70" vm="1629">
        <f ca="1"/>
        <v>53.49</v>
      </c>
      <c r="IL70" vm="1630">
        <f ca="1"/>
        <v>53.77</v>
      </c>
      <c r="IM70" vm="1631">
        <f ca="1"/>
        <v>53.7</v>
      </c>
      <c r="IN70" vm="1632">
        <f ca="1"/>
        <v>53.79</v>
      </c>
      <c r="IO70" vm="1633">
        <f ca="1"/>
        <v>54.05</v>
      </c>
      <c r="IP70" vm="1580">
        <f ca="1"/>
        <v>55.95</v>
      </c>
      <c r="IQ70" vm="1634">
        <f ca="1"/>
        <v>56.45</v>
      </c>
      <c r="IR70" vm="1635">
        <f ca="1"/>
        <v>56.23</v>
      </c>
      <c r="IS70" vm="1636">
        <f ca="1"/>
        <v>56.26</v>
      </c>
      <c r="IT70" vm="1637">
        <f ca="1"/>
        <v>55.52</v>
      </c>
      <c r="IU70" vm="1638">
        <f ca="1"/>
        <v>55.86</v>
      </c>
      <c r="IV70" vm="1639">
        <f ca="1"/>
        <v>55.82</v>
      </c>
      <c r="IW70" vm="118">
        <f ca="1"/>
        <v>56.01</v>
      </c>
    </row>
    <row r="71" spans="1:257" ht="16" x14ac:dyDescent="0.2">
      <c r="A71" s="13" t="e" vm="1640">
        <v>#VALUE!</v>
      </c>
      <c r="B71" s="23" t="str" cm="1">
        <f t="array" aca="1" ref="B71" ca="1">_FV(A71,"ticker symbol",TRUE)</f>
        <v>KIE</v>
      </c>
      <c r="C71" s="23" t="str" cm="1">
        <f t="array" aca="1" ref="C71" ca="1">_FV(A71,"Name")</f>
        <v>SS SPDR S&amp;P Insurance</v>
      </c>
      <c r="D71" cm="1" vm="11079">
        <f t="array" aca="1" ref="D71:IW71" ca="1">TRANSPOSE(_xlfn.STOCKHISTORY(B71, WORKDAY(TODAY(), -265), TODAY(), 0, 0, 1))</f>
        <v>58.32</v>
      </c>
      <c r="E71" s="23" vm="8679">
        <f ca="1"/>
        <v>57.56</v>
      </c>
      <c r="F71" s="23" vm="14059">
        <f ca="1"/>
        <v>55.78</v>
      </c>
      <c r="G71" s="23" vm="14181">
        <f ca="1"/>
        <v>56.09</v>
      </c>
      <c r="H71" s="23" vm="10297">
        <f ca="1"/>
        <v>56.81</v>
      </c>
      <c r="I71" s="23" vm="14044">
        <f ca="1"/>
        <v>56.46</v>
      </c>
      <c r="J71" s="23" vm="9675">
        <f ca="1"/>
        <v>56.97</v>
      </c>
      <c r="K71" s="23" vm="9679">
        <f ca="1"/>
        <v>57.33</v>
      </c>
      <c r="L71" s="23" vm="11102">
        <f ca="1"/>
        <v>56.76</v>
      </c>
      <c r="M71" s="23" vm="14043">
        <f ca="1"/>
        <v>56.35</v>
      </c>
      <c r="N71" s="23" vm="14182">
        <f ca="1"/>
        <v>56.52</v>
      </c>
      <c r="O71" s="23" vm="14183">
        <f ca="1"/>
        <v>56.13</v>
      </c>
      <c r="P71" s="23" vm="14117">
        <f ca="1"/>
        <v>56.49</v>
      </c>
      <c r="Q71" s="23" vm="14184">
        <f ca="1"/>
        <v>55.96</v>
      </c>
      <c r="R71" s="23" vm="13407">
        <f ca="1"/>
        <v>55.89</v>
      </c>
      <c r="S71" s="23" vm="11888">
        <f ca="1"/>
        <v>55.88</v>
      </c>
      <c r="T71" s="23" vm="2638">
        <f ca="1"/>
        <v>54.24</v>
      </c>
      <c r="U71" s="23" vm="14185">
        <f ca="1"/>
        <v>54.7</v>
      </c>
      <c r="V71" s="23" vm="9695">
        <f ca="1"/>
        <v>55.81</v>
      </c>
      <c r="W71" s="23" vm="14115">
        <f ca="1"/>
        <v>56.6</v>
      </c>
      <c r="X71" s="23" vm="14060">
        <f ca="1"/>
        <v>57.37</v>
      </c>
      <c r="Y71" s="23" vm="14063">
        <f ca="1"/>
        <v>57.29</v>
      </c>
      <c r="Z71" s="23" vm="10108">
        <f ca="1"/>
        <v>57.4</v>
      </c>
      <c r="AA71" s="23" vm="1086">
        <f ca="1"/>
        <v>57.02</v>
      </c>
      <c r="AB71" s="23" vm="2949">
        <f ca="1"/>
        <v>56.69</v>
      </c>
      <c r="AC71" s="23" vm="14186">
        <f ca="1"/>
        <v>56.84</v>
      </c>
      <c r="AD71" vm="1090">
        <f ca="1"/>
        <v>58.09</v>
      </c>
      <c r="AE71" vm="8681">
        <f ca="1"/>
        <v>58.05</v>
      </c>
      <c r="AF71" vm="14187">
        <f ca="1"/>
        <v>58</v>
      </c>
      <c r="AG71" vm="11893">
        <f ca="1"/>
        <v>58.28</v>
      </c>
      <c r="AH71" vm="2953">
        <f ca="1"/>
        <v>57.82</v>
      </c>
      <c r="AI71" vm="8693">
        <f ca="1"/>
        <v>57.65</v>
      </c>
      <c r="AJ71" vm="14067">
        <f ca="1"/>
        <v>57.52</v>
      </c>
      <c r="AK71" vm="14040">
        <f ca="1"/>
        <v>58.12</v>
      </c>
      <c r="AL71" vm="2961">
        <f ca="1"/>
        <v>58.49</v>
      </c>
      <c r="AM71" vm="14038">
        <f ca="1"/>
        <v>58.5</v>
      </c>
      <c r="AN71" vm="14187">
        <f ca="1"/>
        <v>58</v>
      </c>
      <c r="AO71" vm="2959">
        <f ca="1"/>
        <v>57.69</v>
      </c>
      <c r="AP71" vm="14188">
        <f ca="1"/>
        <v>57.24</v>
      </c>
      <c r="AQ71" vm="115">
        <f ca="1"/>
        <v>58.3</v>
      </c>
      <c r="AR71" vm="2953">
        <f ca="1"/>
        <v>57.82</v>
      </c>
      <c r="AS71" vm="11900">
        <f ca="1"/>
        <v>58.29</v>
      </c>
      <c r="AT71" vm="14026">
        <f ca="1"/>
        <v>58.17</v>
      </c>
      <c r="AU71" vm="11066">
        <f ca="1"/>
        <v>57.77</v>
      </c>
      <c r="AV71" vm="14189">
        <f ca="1"/>
        <v>57</v>
      </c>
      <c r="AW71" vm="14190">
        <f ca="1"/>
        <v>57.83</v>
      </c>
      <c r="AX71" vm="14191">
        <f ca="1"/>
        <v>58.52</v>
      </c>
      <c r="AY71" vm="11073">
        <f ca="1"/>
        <v>58.36</v>
      </c>
      <c r="AZ71" vm="13401">
        <f ca="1"/>
        <v>59.17</v>
      </c>
      <c r="BA71" vm="14192">
        <f ca="1"/>
        <v>60.07</v>
      </c>
      <c r="BB71" vm="10102">
        <f ca="1"/>
        <v>60.24</v>
      </c>
      <c r="BC71" vm="1644">
        <f ca="1"/>
        <v>59.11</v>
      </c>
      <c r="BD71" vm="8637">
        <f ca="1"/>
        <v>59.66</v>
      </c>
      <c r="BE71" vm="1649">
        <f ca="1"/>
        <v>58.96</v>
      </c>
      <c r="BF71" vm="14041">
        <f ca="1"/>
        <v>59.05</v>
      </c>
      <c r="BG71" vm="14193">
        <f ca="1"/>
        <v>58.27</v>
      </c>
      <c r="BH71" vm="2960">
        <f ca="1"/>
        <v>58.38</v>
      </c>
      <c r="BI71" vm="11901">
        <f ca="1"/>
        <v>57.96</v>
      </c>
      <c r="BJ71" vm="11910">
        <f ca="1"/>
        <v>57.79</v>
      </c>
      <c r="BK71" vm="1584">
        <f ca="1"/>
        <v>59.16</v>
      </c>
      <c r="BL71" vm="11363">
        <f ca="1"/>
        <v>60.04</v>
      </c>
      <c r="BM71" vm="11083">
        <f ca="1"/>
        <v>59.4</v>
      </c>
      <c r="BN71" vm="9646">
        <f ca="1"/>
        <v>59.67</v>
      </c>
      <c r="BO71" vm="13392">
        <f ca="1"/>
        <v>59.7</v>
      </c>
      <c r="BP71" vm="14082">
        <f ca="1"/>
        <v>59.33</v>
      </c>
      <c r="BQ71" vm="13434">
        <f ca="1"/>
        <v>60.33</v>
      </c>
      <c r="BR71" vm="10281">
        <f ca="1"/>
        <v>60.51</v>
      </c>
      <c r="BS71" vm="14194">
        <f ca="1"/>
        <v>60.5</v>
      </c>
      <c r="BT71" vm="11359">
        <f ca="1"/>
        <v>60.81</v>
      </c>
      <c r="BU71" vm="11362">
        <f ca="1"/>
        <v>60.15</v>
      </c>
      <c r="BV71" vm="1656">
        <f ca="1"/>
        <v>60.53</v>
      </c>
      <c r="BW71" vm="13417">
        <f ca="1"/>
        <v>60.71</v>
      </c>
      <c r="BX71" vm="2743">
        <f ca="1"/>
        <v>61.12</v>
      </c>
      <c r="BY71" vm="14078">
        <f ca="1"/>
        <v>59.84</v>
      </c>
      <c r="BZ71" vm="13404">
        <f ca="1"/>
        <v>55.38</v>
      </c>
      <c r="CA71" vm="150">
        <f ca="1"/>
        <v>53.8</v>
      </c>
      <c r="CB71" vm="14195">
        <f ca="1"/>
        <v>53.63</v>
      </c>
      <c r="CC71" vm="13408">
        <f ca="1"/>
        <v>57.07</v>
      </c>
      <c r="CD71" vm="14196">
        <f ca="1"/>
        <v>55.92</v>
      </c>
      <c r="CE71" vm="14197">
        <f ca="1"/>
        <v>56.43</v>
      </c>
      <c r="CF71" vm="10108">
        <f ca="1"/>
        <v>57.4</v>
      </c>
      <c r="CG71" vm="8692">
        <f ca="1"/>
        <v>57.23</v>
      </c>
      <c r="CH71" vm="11074">
        <f ca="1"/>
        <v>56.83</v>
      </c>
      <c r="CI71" vm="14198">
        <f ca="1"/>
        <v>56.71</v>
      </c>
      <c r="CJ71" vm="14199">
        <f ca="1"/>
        <v>55.1</v>
      </c>
      <c r="CK71" vm="9675">
        <f ca="1"/>
        <v>56.97</v>
      </c>
      <c r="CL71" vm="14114">
        <f ca="1"/>
        <v>57.35</v>
      </c>
      <c r="CM71" vm="11061">
        <f ca="1"/>
        <v>57.5</v>
      </c>
      <c r="CN71" vm="14200">
        <f ca="1"/>
        <v>56.55</v>
      </c>
      <c r="CO71" vm="10083">
        <f ca="1"/>
        <v>56.96</v>
      </c>
      <c r="CP71" vm="14201">
        <f ca="1"/>
        <v>57.3</v>
      </c>
      <c r="CQ71" vm="14202">
        <f ca="1"/>
        <v>57.2</v>
      </c>
      <c r="CR71" vm="14203">
        <f ca="1"/>
        <v>56.62</v>
      </c>
      <c r="CS71" vm="11080">
        <f ca="1"/>
        <v>58.25</v>
      </c>
      <c r="CT71" vm="14061">
        <f ca="1"/>
        <v>58.06</v>
      </c>
      <c r="CU71" vm="1641">
        <f ca="1"/>
        <v>58.19</v>
      </c>
      <c r="CV71" vm="11899">
        <f ca="1"/>
        <v>58.53</v>
      </c>
      <c r="CW71" vm="14039">
        <f ca="1"/>
        <v>58.64</v>
      </c>
      <c r="CX71" vm="3010">
        <f ca="1"/>
        <v>58.66</v>
      </c>
      <c r="CY71" vm="2964">
        <f ca="1"/>
        <v>59.02</v>
      </c>
      <c r="CZ71" vm="10080">
        <f ca="1"/>
        <v>58.85</v>
      </c>
      <c r="DA71" vm="14073">
        <f ca="1"/>
        <v>58.13</v>
      </c>
      <c r="DB71" vm="14099">
        <f ca="1"/>
        <v>59.04</v>
      </c>
      <c r="DC71" vm="14204">
        <f ca="1"/>
        <v>59.72</v>
      </c>
      <c r="DD71" vm="13391">
        <f ca="1"/>
        <v>59.85</v>
      </c>
      <c r="DE71" vm="8640">
        <f ca="1"/>
        <v>59.49</v>
      </c>
      <c r="DF71" vm="14116">
        <f ca="1"/>
        <v>58.02</v>
      </c>
      <c r="DG71" vm="2959">
        <f ca="1"/>
        <v>57.69</v>
      </c>
      <c r="DH71" vm="11016">
        <f ca="1"/>
        <v>57.72</v>
      </c>
      <c r="DI71" vm="1649">
        <f ca="1"/>
        <v>58.96</v>
      </c>
      <c r="DJ71" vm="14116">
        <f ca="1"/>
        <v>58.02</v>
      </c>
      <c r="DK71" vm="11894">
        <f ca="1"/>
        <v>58.71</v>
      </c>
      <c r="DL71" vm="8696">
        <f ca="1"/>
        <v>59.14</v>
      </c>
      <c r="DM71" vm="14130">
        <f ca="1"/>
        <v>59.65</v>
      </c>
      <c r="DN71" vm="11095">
        <f ca="1"/>
        <v>59.61</v>
      </c>
      <c r="DO71" vm="9703">
        <f ca="1"/>
        <v>58.79</v>
      </c>
      <c r="DP71" vm="11894">
        <f ca="1"/>
        <v>58.71</v>
      </c>
      <c r="DQ71" vm="13402">
        <f ca="1"/>
        <v>59.52</v>
      </c>
      <c r="DR71" vm="8697">
        <f ca="1"/>
        <v>58.56</v>
      </c>
      <c r="DS71" vm="11901">
        <f ca="1"/>
        <v>57.96</v>
      </c>
      <c r="DT71" vm="2954">
        <f ca="1"/>
        <v>57.94</v>
      </c>
      <c r="DU71" vm="1091">
        <f ca="1"/>
        <v>58.63</v>
      </c>
      <c r="DV71" vm="10087">
        <f ca="1"/>
        <v>57.98</v>
      </c>
      <c r="DW71" vm="3008">
        <f ca="1"/>
        <v>58.33</v>
      </c>
      <c r="DX71" vm="2200">
        <f ca="1"/>
        <v>57.73</v>
      </c>
      <c r="DY71" vm="14193">
        <f ca="1"/>
        <v>58.27</v>
      </c>
      <c r="DZ71" vm="14205">
        <f ca="1"/>
        <v>58.89</v>
      </c>
      <c r="EA71" vm="1094">
        <f ca="1"/>
        <v>59.63</v>
      </c>
      <c r="EB71" vm="8640">
        <f ca="1"/>
        <v>59.49</v>
      </c>
      <c r="EC71" vm="13406">
        <f ca="1"/>
        <v>58.14</v>
      </c>
      <c r="ED71" vm="1585">
        <f ca="1"/>
        <v>58.98</v>
      </c>
      <c r="EE71" vm="13401">
        <f ca="1"/>
        <v>59.17</v>
      </c>
      <c r="EF71" vm="8629">
        <f ca="1"/>
        <v>59.74</v>
      </c>
      <c r="EG71" vm="8630">
        <f ca="1"/>
        <v>59.62</v>
      </c>
      <c r="EH71" vm="14206">
        <f ca="1"/>
        <v>58.24</v>
      </c>
      <c r="EI71" vm="13437">
        <f ca="1"/>
        <v>58.86</v>
      </c>
      <c r="EJ71" vm="11080">
        <f ca="1"/>
        <v>58.25</v>
      </c>
      <c r="EK71" vm="13406">
        <f ca="1"/>
        <v>58.14</v>
      </c>
      <c r="EL71" vm="2954">
        <f ca="1"/>
        <v>57.94</v>
      </c>
      <c r="EM71" vm="8679">
        <f ca="1"/>
        <v>57.56</v>
      </c>
      <c r="EN71" vm="11892">
        <f ca="1"/>
        <v>56.88</v>
      </c>
      <c r="EO71" vm="2958">
        <f ca="1"/>
        <v>57.76</v>
      </c>
      <c r="EP71" vm="14207">
        <f ca="1"/>
        <v>56.51</v>
      </c>
      <c r="EQ71" vm="14105">
        <f ca="1"/>
        <v>57.22</v>
      </c>
      <c r="ER71" vm="14208">
        <f ca="1"/>
        <v>57.64</v>
      </c>
      <c r="ES71" vm="1215">
        <f ca="1"/>
        <v>57.6</v>
      </c>
      <c r="ET71" vm="10089">
        <f ca="1"/>
        <v>56.91</v>
      </c>
      <c r="EU71" vm="11066">
        <f ca="1"/>
        <v>57.77</v>
      </c>
      <c r="EV71" vm="11101">
        <f ca="1"/>
        <v>57.9</v>
      </c>
      <c r="EW71" vm="14209">
        <f ca="1"/>
        <v>57.05</v>
      </c>
      <c r="EX71" vm="14086">
        <f ca="1"/>
        <v>57.68</v>
      </c>
      <c r="EY71" vm="9701">
        <f ca="1"/>
        <v>57.03</v>
      </c>
      <c r="EZ71" vm="14084">
        <f ca="1"/>
        <v>56.73</v>
      </c>
      <c r="FA71" vm="14210">
        <f ca="1"/>
        <v>56.18</v>
      </c>
      <c r="FB71" vm="14115">
        <f ca="1"/>
        <v>56.6</v>
      </c>
      <c r="FC71" vm="1228">
        <f ca="1"/>
        <v>55.71</v>
      </c>
      <c r="FD71" vm="11075">
        <f ca="1"/>
        <v>56.42</v>
      </c>
      <c r="FE71" vm="1220">
        <f ca="1"/>
        <v>56.82</v>
      </c>
      <c r="FF71" vm="11906">
        <f ca="1"/>
        <v>57.16</v>
      </c>
      <c r="FG71" vm="14115">
        <f ca="1"/>
        <v>56.6</v>
      </c>
      <c r="FH71" vm="11014">
        <f ca="1"/>
        <v>56.94</v>
      </c>
      <c r="FI71" vm="9699">
        <f ca="1"/>
        <v>57.18</v>
      </c>
      <c r="FJ71" vm="1581">
        <f ca="1"/>
        <v>57.66</v>
      </c>
      <c r="FK71" vm="11071">
        <f ca="1"/>
        <v>58.76</v>
      </c>
      <c r="FL71" vm="14038">
        <f ca="1"/>
        <v>58.5</v>
      </c>
      <c r="FM71" vm="9682">
        <f ca="1"/>
        <v>57.86</v>
      </c>
      <c r="FN71" vm="11101">
        <f ca="1"/>
        <v>57.9</v>
      </c>
      <c r="FO71" vm="3018">
        <f ca="1"/>
        <v>58.62</v>
      </c>
      <c r="FP71" vm="14211">
        <f ca="1"/>
        <v>58.95</v>
      </c>
      <c r="FQ71" vm="11091">
        <f ca="1"/>
        <v>58.93</v>
      </c>
      <c r="FR71" vm="13387">
        <f ca="1"/>
        <v>59.56</v>
      </c>
      <c r="FS71" vm="14080">
        <f ca="1"/>
        <v>58.88</v>
      </c>
      <c r="FT71" vm="14212">
        <f ca="1"/>
        <v>58.9</v>
      </c>
      <c r="FU71" vm="2963">
        <f ca="1"/>
        <v>59.06</v>
      </c>
      <c r="FV71" vm="2965">
        <f ca="1"/>
        <v>58.84</v>
      </c>
      <c r="FW71" vm="13437">
        <f ca="1"/>
        <v>58.86</v>
      </c>
      <c r="FX71" vm="1218">
        <f ca="1"/>
        <v>58.55</v>
      </c>
      <c r="FY71" vm="3009">
        <f ca="1"/>
        <v>58.78</v>
      </c>
      <c r="FZ71" vm="13402">
        <f ca="1"/>
        <v>59.52</v>
      </c>
      <c r="GA71" vm="13437">
        <f ca="1"/>
        <v>58.86</v>
      </c>
      <c r="GB71" vm="14041">
        <f ca="1"/>
        <v>59.05</v>
      </c>
      <c r="GC71" vm="1651">
        <f ca="1"/>
        <v>58.73</v>
      </c>
      <c r="GD71" vm="14206">
        <f ca="1"/>
        <v>58.24</v>
      </c>
      <c r="GE71" vm="1583">
        <f ca="1"/>
        <v>59.32</v>
      </c>
      <c r="GF71" vm="3014">
        <f ca="1"/>
        <v>59.2</v>
      </c>
      <c r="GG71" vm="11070">
        <f ca="1"/>
        <v>58.42</v>
      </c>
      <c r="GH71" vm="10117">
        <f ca="1"/>
        <v>57.78</v>
      </c>
      <c r="GI71" vm="2199">
        <f ca="1"/>
        <v>58.11</v>
      </c>
      <c r="GJ71" vm="14039">
        <f ca="1"/>
        <v>58.64</v>
      </c>
      <c r="GK71" vm="1585">
        <f ca="1"/>
        <v>58.98</v>
      </c>
      <c r="GL71" vm="3012">
        <f ca="1"/>
        <v>58.8</v>
      </c>
      <c r="GM71" vm="11071">
        <f ca="1"/>
        <v>58.76</v>
      </c>
      <c r="GN71" vm="1585">
        <f ca="1"/>
        <v>58.98</v>
      </c>
      <c r="GO71" vm="2961">
        <f ca="1"/>
        <v>58.49</v>
      </c>
      <c r="GP71" vm="13401">
        <f ca="1"/>
        <v>59.17</v>
      </c>
      <c r="GQ71" vm="11091">
        <f ca="1"/>
        <v>58.93</v>
      </c>
      <c r="GR71" vm="1583">
        <f ca="1"/>
        <v>59.32</v>
      </c>
      <c r="GS71" vm="9703">
        <f ca="1"/>
        <v>58.79</v>
      </c>
      <c r="GT71" vm="9649">
        <f ca="1"/>
        <v>59.08</v>
      </c>
      <c r="GU71" vm="14090">
        <f ca="1"/>
        <v>60.09</v>
      </c>
      <c r="GV71" vm="14213">
        <f ca="1"/>
        <v>59.91</v>
      </c>
      <c r="GW71" vm="11363">
        <f ca="1"/>
        <v>60.04</v>
      </c>
      <c r="GX71" vm="10104">
        <f ca="1"/>
        <v>59.93</v>
      </c>
      <c r="GY71" vm="3014">
        <f ca="1"/>
        <v>59.2</v>
      </c>
      <c r="GZ71" vm="14214">
        <f ca="1"/>
        <v>58.39</v>
      </c>
      <c r="HA71" vm="13388">
        <f ca="1"/>
        <v>58.46</v>
      </c>
      <c r="HB71" vm="13390">
        <f ca="1"/>
        <v>59.51</v>
      </c>
      <c r="HC71" vm="11079">
        <f ca="1"/>
        <v>58.32</v>
      </c>
      <c r="HD71" vm="1537">
        <f ca="1"/>
        <v>56.25</v>
      </c>
      <c r="HE71" vm="11011">
        <f ca="1"/>
        <v>56.77</v>
      </c>
      <c r="HF71" vm="11014">
        <f ca="1"/>
        <v>56.94</v>
      </c>
      <c r="HG71" vm="9671">
        <f ca="1"/>
        <v>57.47</v>
      </c>
      <c r="HH71" vm="14188">
        <f ca="1"/>
        <v>57.24</v>
      </c>
      <c r="HI71" vm="14114">
        <f ca="1"/>
        <v>57.35</v>
      </c>
      <c r="HJ71" vm="11906">
        <f ca="1"/>
        <v>57.16</v>
      </c>
      <c r="HK71" vm="14114">
        <f ca="1"/>
        <v>57.35</v>
      </c>
      <c r="HL71" vm="14069">
        <f ca="1"/>
        <v>56.27</v>
      </c>
      <c r="HM71" vm="14029">
        <f ca="1"/>
        <v>55.72</v>
      </c>
      <c r="HN71" vm="2196">
        <f ca="1"/>
        <v>56.07</v>
      </c>
      <c r="HO71" vm="2950">
        <f ca="1"/>
        <v>56.39</v>
      </c>
      <c r="HP71" vm="118">
        <f ca="1"/>
        <v>56.01</v>
      </c>
      <c r="HQ71" vm="10089">
        <f ca="1"/>
        <v>56.91</v>
      </c>
      <c r="HR71" vm="14215">
        <f ca="1"/>
        <v>57.41</v>
      </c>
      <c r="HS71" vm="2952">
        <f ca="1"/>
        <v>57.55</v>
      </c>
      <c r="HT71" vm="3018">
        <f ca="1"/>
        <v>58.62</v>
      </c>
      <c r="HU71" vm="14216">
        <f ca="1"/>
        <v>58.6</v>
      </c>
      <c r="HV71" vm="11366">
        <f ca="1"/>
        <v>59.03</v>
      </c>
      <c r="HW71" vm="14082">
        <f ca="1"/>
        <v>59.33</v>
      </c>
      <c r="HX71" vm="1587">
        <f ca="1"/>
        <v>59.13</v>
      </c>
      <c r="HY71" vm="14099">
        <f ca="1"/>
        <v>59.04</v>
      </c>
      <c r="HZ71" vm="115">
        <f ca="1"/>
        <v>58.3</v>
      </c>
      <c r="IA71" vm="14217">
        <f ca="1"/>
        <v>58.67</v>
      </c>
      <c r="IB71" vm="1641">
        <f ca="1"/>
        <v>58.19</v>
      </c>
      <c r="IC71" vm="1642">
        <f ca="1"/>
        <v>58.18</v>
      </c>
      <c r="ID71" vm="1643">
        <f ca="1"/>
        <v>58.99</v>
      </c>
      <c r="IE71" vm="1644">
        <f ca="1"/>
        <v>59.11</v>
      </c>
      <c r="IF71" vm="1645">
        <f ca="1"/>
        <v>59.8</v>
      </c>
      <c r="IG71" vm="1646">
        <f ca="1"/>
        <v>60.02</v>
      </c>
      <c r="IH71" vm="1647">
        <f ca="1"/>
        <v>60.01</v>
      </c>
      <c r="II71" vm="1601">
        <f ca="1"/>
        <v>59.59</v>
      </c>
      <c r="IJ71" vm="1648">
        <f ca="1"/>
        <v>59.1</v>
      </c>
      <c r="IK71" vm="1649">
        <f ca="1"/>
        <v>58.96</v>
      </c>
      <c r="IL71" vm="1650">
        <f ca="1"/>
        <v>59.09</v>
      </c>
      <c r="IM71" vm="1651">
        <f ca="1"/>
        <v>58.73</v>
      </c>
      <c r="IN71" vm="1652">
        <f ca="1"/>
        <v>58.2</v>
      </c>
      <c r="IO71" vm="1653">
        <f ca="1"/>
        <v>58.54</v>
      </c>
      <c r="IP71" vm="1654">
        <f ca="1"/>
        <v>58.75</v>
      </c>
      <c r="IQ71" vm="1655">
        <f ca="1"/>
        <v>60.16</v>
      </c>
      <c r="IR71" vm="1656">
        <f ca="1"/>
        <v>60.53</v>
      </c>
      <c r="IS71" vm="1657">
        <f ca="1"/>
        <v>60.88</v>
      </c>
      <c r="IT71" vm="1658">
        <f ca="1"/>
        <v>60.54</v>
      </c>
      <c r="IU71" vm="1659">
        <f ca="1"/>
        <v>60.66</v>
      </c>
      <c r="IV71" vm="1660">
        <f ca="1"/>
        <v>61.01</v>
      </c>
      <c r="IW71" vm="120">
        <f ca="1"/>
        <v>60.94</v>
      </c>
    </row>
    <row r="72" spans="1:257" ht="16" x14ac:dyDescent="0.2">
      <c r="A72" s="13" t="e" vm="1661">
        <v>#VALUE!</v>
      </c>
      <c r="B72" s="23" t="str" cm="1">
        <f t="array" aca="1" ref="B72" ca="1">_FV(A72,"ticker symbol",TRUE)</f>
        <v>IAI</v>
      </c>
      <c r="C72" s="23" t="str" cm="1">
        <f t="array" aca="1" ref="C72" ca="1">_FV(A72,"Name")</f>
        <v>iShares:US BD &amp; SE ETF</v>
      </c>
      <c r="D72" cm="1" vm="6699">
        <f t="array" aca="1" ref="D72:IW72" ca="1">TRANSPOSE(_xlfn.STOCKHISTORY(B72, WORKDAY(TODAY(), -265), TODAY(), 0, 0, 1))</f>
        <v>150.25</v>
      </c>
      <c r="E72" s="23" vm="14218">
        <f ca="1"/>
        <v>148.12</v>
      </c>
      <c r="F72" s="23" vm="14219">
        <f ca="1"/>
        <v>142.1</v>
      </c>
      <c r="G72" s="23" vm="14220">
        <f ca="1"/>
        <v>141.81</v>
      </c>
      <c r="H72" s="23" vm="14221">
        <f ca="1"/>
        <v>144.06</v>
      </c>
      <c r="I72" s="23" vm="14222">
        <f ca="1"/>
        <v>144.57</v>
      </c>
      <c r="J72" s="23" vm="14223">
        <f ca="1"/>
        <v>146.78</v>
      </c>
      <c r="K72" s="23" vm="14224">
        <f ca="1"/>
        <v>147.22999999999999</v>
      </c>
      <c r="L72" s="23" vm="9521">
        <f ca="1"/>
        <v>145.91</v>
      </c>
      <c r="M72" s="23" vm="14225">
        <f ca="1"/>
        <v>144.38</v>
      </c>
      <c r="N72" s="23" vm="14226">
        <f ca="1"/>
        <v>144.1</v>
      </c>
      <c r="O72" s="23" vm="6546">
        <f ca="1"/>
        <v>144.44999999999999</v>
      </c>
      <c r="P72" s="23" vm="14227">
        <f ca="1"/>
        <v>146.05000000000001</v>
      </c>
      <c r="Q72" s="23" vm="6397">
        <f ca="1"/>
        <v>146.4</v>
      </c>
      <c r="R72" s="23" vm="6546">
        <f ca="1"/>
        <v>144.44999999999999</v>
      </c>
      <c r="S72" s="23" vm="6414">
        <f ca="1"/>
        <v>145.27000000000001</v>
      </c>
      <c r="T72" s="23" vm="14228">
        <f ca="1"/>
        <v>141.31</v>
      </c>
      <c r="U72" s="23" vm="14229">
        <f ca="1"/>
        <v>141.22999999999999</v>
      </c>
      <c r="V72" s="23" vm="6655">
        <f ca="1"/>
        <v>142.65</v>
      </c>
      <c r="W72" s="23" vm="14230">
        <f ca="1"/>
        <v>147.38</v>
      </c>
      <c r="X72" s="23" vm="14231">
        <f ca="1"/>
        <v>150.06</v>
      </c>
      <c r="Y72" s="23" vm="6697">
        <f ca="1"/>
        <v>151.49</v>
      </c>
      <c r="Z72" s="23" vm="6676">
        <f ca="1"/>
        <v>153.72999999999999</v>
      </c>
      <c r="AA72" s="23" vm="5176">
        <f ca="1"/>
        <v>153.97</v>
      </c>
      <c r="AB72" s="23" vm="8121">
        <f ca="1"/>
        <v>155.19999999999999</v>
      </c>
      <c r="AC72" s="23" vm="14232">
        <f ca="1"/>
        <v>155.66999999999999</v>
      </c>
      <c r="AD72" vm="6678">
        <f ca="1"/>
        <v>154.51</v>
      </c>
      <c r="AE72" vm="14233">
        <f ca="1"/>
        <v>155.41999999999999</v>
      </c>
      <c r="AF72" vm="14234">
        <f ca="1"/>
        <v>155.22999999999999</v>
      </c>
      <c r="AG72" vm="14235">
        <f ca="1"/>
        <v>157.15</v>
      </c>
      <c r="AH72" vm="14236">
        <f ca="1"/>
        <v>156.44</v>
      </c>
      <c r="AI72" vm="14237">
        <f ca="1"/>
        <v>155.44999999999999</v>
      </c>
      <c r="AJ72" vm="14238">
        <f ca="1"/>
        <v>155.07</v>
      </c>
      <c r="AK72" vm="14239">
        <f ca="1"/>
        <v>156.34</v>
      </c>
      <c r="AL72" vm="14240">
        <f ca="1"/>
        <v>158.05000000000001</v>
      </c>
      <c r="AM72" vm="14241">
        <f ca="1"/>
        <v>157.85</v>
      </c>
      <c r="AN72" vm="131">
        <f ca="1"/>
        <v>156.24</v>
      </c>
      <c r="AO72" vm="14242">
        <f ca="1"/>
        <v>156.26</v>
      </c>
      <c r="AP72" vm="14243">
        <f ca="1"/>
        <v>156.55000000000001</v>
      </c>
      <c r="AQ72" vm="14244">
        <f ca="1"/>
        <v>158.99</v>
      </c>
      <c r="AR72" vm="14245">
        <f ca="1"/>
        <v>158.94999999999999</v>
      </c>
      <c r="AS72" vm="14246">
        <f ca="1"/>
        <v>159.30000000000001</v>
      </c>
      <c r="AT72" vm="14247">
        <f ca="1"/>
        <v>159.13999999999999</v>
      </c>
      <c r="AU72" vm="14248">
        <f ca="1"/>
        <v>155.68</v>
      </c>
      <c r="AV72" vm="14249">
        <f ca="1"/>
        <v>152.69999999999999</v>
      </c>
      <c r="AW72" vm="14250">
        <f ca="1"/>
        <v>151.66</v>
      </c>
      <c r="AX72" vm="12942">
        <f ca="1"/>
        <v>149.94999999999999</v>
      </c>
      <c r="AY72" vm="14251">
        <f ca="1"/>
        <v>150.59</v>
      </c>
      <c r="AZ72" vm="14252">
        <f ca="1"/>
        <v>149.44</v>
      </c>
      <c r="BA72" vm="14253">
        <f ca="1"/>
        <v>152.77000000000001</v>
      </c>
      <c r="BB72" vm="14254">
        <f ca="1"/>
        <v>149.99</v>
      </c>
      <c r="BC72" vm="1688">
        <f ca="1"/>
        <v>144.87</v>
      </c>
      <c r="BD72" vm="14255">
        <f ca="1"/>
        <v>147.09</v>
      </c>
      <c r="BE72" vm="14256">
        <f ca="1"/>
        <v>143.38</v>
      </c>
      <c r="BF72" vm="14257">
        <f ca="1"/>
        <v>142.08000000000001</v>
      </c>
      <c r="BG72" vm="14258">
        <f ca="1"/>
        <v>135.66</v>
      </c>
      <c r="BH72" vm="14259">
        <f ca="1"/>
        <v>135.66999999999999</v>
      </c>
      <c r="BI72" vm="14260">
        <f ca="1"/>
        <v>136.74</v>
      </c>
      <c r="BJ72" vm="2309">
        <f ca="1"/>
        <v>134.68</v>
      </c>
      <c r="BK72" vm="6440">
        <f ca="1"/>
        <v>138.13999999999999</v>
      </c>
      <c r="BL72" vm="14261">
        <f ca="1"/>
        <v>140.91</v>
      </c>
      <c r="BM72" vm="14262">
        <f ca="1"/>
        <v>139.91</v>
      </c>
      <c r="BN72" vm="14263">
        <f ca="1"/>
        <v>141.9</v>
      </c>
      <c r="BO72" vm="14264">
        <f ca="1"/>
        <v>142.26</v>
      </c>
      <c r="BP72" vm="14265">
        <f ca="1"/>
        <v>142</v>
      </c>
      <c r="BQ72" vm="14266">
        <f ca="1"/>
        <v>145.52000000000001</v>
      </c>
      <c r="BR72" vm="14267">
        <f ca="1"/>
        <v>146.74</v>
      </c>
      <c r="BS72" vm="14268">
        <f ca="1"/>
        <v>144.4</v>
      </c>
      <c r="BT72" vm="14269">
        <f ca="1"/>
        <v>142.28</v>
      </c>
      <c r="BU72" vm="14270">
        <f ca="1"/>
        <v>139.41</v>
      </c>
      <c r="BV72" vm="9513">
        <f ca="1"/>
        <v>140.11000000000001</v>
      </c>
      <c r="BW72" vm="14271">
        <f ca="1"/>
        <v>140.46</v>
      </c>
      <c r="BX72" vm="6646">
        <f ca="1"/>
        <v>142.72999999999999</v>
      </c>
      <c r="BY72" vm="14272">
        <f ca="1"/>
        <v>133.81</v>
      </c>
      <c r="BZ72" vm="14273">
        <f ca="1"/>
        <v>123.93</v>
      </c>
      <c r="CA72" vm="14274">
        <f ca="1"/>
        <v>122.86</v>
      </c>
      <c r="CB72" vm="14275">
        <f ca="1"/>
        <v>122.04</v>
      </c>
      <c r="CC72" vm="12850">
        <f ca="1"/>
        <v>133.58000000000001</v>
      </c>
      <c r="CD72" vm="1279">
        <f ca="1"/>
        <v>128.77000000000001</v>
      </c>
      <c r="CE72" vm="14276">
        <f ca="1"/>
        <v>131.63</v>
      </c>
      <c r="CF72" vm="14277">
        <f ca="1"/>
        <v>133.32</v>
      </c>
      <c r="CG72" vm="6560">
        <f ca="1"/>
        <v>133.82</v>
      </c>
      <c r="CH72" vm="12306">
        <f ca="1"/>
        <v>130.91</v>
      </c>
      <c r="CI72" vm="14278">
        <f ca="1"/>
        <v>132.12</v>
      </c>
      <c r="CJ72" vm="14279">
        <f ca="1"/>
        <v>128.97</v>
      </c>
      <c r="CK72" vm="6468">
        <f ca="1"/>
        <v>133.47</v>
      </c>
      <c r="CL72" vm="12361">
        <f ca="1"/>
        <v>134.83000000000001</v>
      </c>
      <c r="CM72" vm="14280">
        <f ca="1"/>
        <v>138.31</v>
      </c>
      <c r="CN72" vm="9414">
        <f ca="1"/>
        <v>138.88</v>
      </c>
      <c r="CO72" vm="6589">
        <f ca="1"/>
        <v>138.77000000000001</v>
      </c>
      <c r="CP72" vm="14281">
        <f ca="1"/>
        <v>140.41999999999999</v>
      </c>
      <c r="CQ72" vm="14282">
        <f ca="1"/>
        <v>140.87</v>
      </c>
      <c r="CR72" vm="14283">
        <f ca="1"/>
        <v>141.34</v>
      </c>
      <c r="CS72" vm="14284">
        <f ca="1"/>
        <v>144.69</v>
      </c>
      <c r="CT72" vm="6382">
        <f ca="1"/>
        <v>144.08000000000001</v>
      </c>
      <c r="CU72" vm="14285">
        <f ca="1"/>
        <v>143.06</v>
      </c>
      <c r="CV72" vm="14286">
        <f ca="1"/>
        <v>144.41</v>
      </c>
      <c r="CW72" vm="14287">
        <f ca="1"/>
        <v>146.86000000000001</v>
      </c>
      <c r="CX72" vm="14288">
        <f ca="1"/>
        <v>147.29</v>
      </c>
      <c r="CY72" vm="1780">
        <f ca="1"/>
        <v>150.85</v>
      </c>
      <c r="CZ72" vm="14289">
        <f ca="1"/>
        <v>153.94</v>
      </c>
      <c r="DA72" vm="6731">
        <f ca="1"/>
        <v>154.24</v>
      </c>
      <c r="DB72" vm="16">
        <f ca="1"/>
        <v>154.94</v>
      </c>
      <c r="DC72" vm="14290">
        <f ca="1"/>
        <v>156.59</v>
      </c>
      <c r="DD72" vm="14291">
        <f ca="1"/>
        <v>156.6</v>
      </c>
      <c r="DE72" vm="9505">
        <f ca="1"/>
        <v>155.94999999999999</v>
      </c>
      <c r="DF72" vm="14292">
        <f ca="1"/>
        <v>152.81</v>
      </c>
      <c r="DG72" vm="14293">
        <f ca="1"/>
        <v>153.77000000000001</v>
      </c>
      <c r="DH72" vm="6729">
        <f ca="1"/>
        <v>153.19999999999999</v>
      </c>
      <c r="DI72" vm="9453">
        <f ca="1"/>
        <v>156.30000000000001</v>
      </c>
      <c r="DJ72" vm="14294">
        <f ca="1"/>
        <v>154.29</v>
      </c>
      <c r="DK72" vm="14295">
        <f ca="1"/>
        <v>154.57</v>
      </c>
      <c r="DL72" vm="14296">
        <f ca="1"/>
        <v>154.55000000000001</v>
      </c>
      <c r="DM72" vm="14297">
        <f ca="1"/>
        <v>154.74</v>
      </c>
      <c r="DN72" vm="5200">
        <f ca="1"/>
        <v>155.44</v>
      </c>
      <c r="DO72" vm="6724">
        <f ca="1"/>
        <v>154.68</v>
      </c>
      <c r="DP72" vm="12949">
        <f ca="1"/>
        <v>155.16</v>
      </c>
      <c r="DQ72" vm="14298">
        <f ca="1"/>
        <v>157.13999999999999</v>
      </c>
      <c r="DR72" vm="14299">
        <f ca="1"/>
        <v>156.29</v>
      </c>
      <c r="DS72" vm="14300">
        <f ca="1"/>
        <v>155.84</v>
      </c>
      <c r="DT72" vm="14301">
        <f ca="1"/>
        <v>156.69999999999999</v>
      </c>
      <c r="DU72" vm="14302">
        <f ca="1"/>
        <v>156.31</v>
      </c>
      <c r="DV72" vm="504">
        <f ca="1"/>
        <v>154.06</v>
      </c>
      <c r="DW72" vm="14303">
        <f ca="1"/>
        <v>156.61000000000001</v>
      </c>
      <c r="DX72" vm="14304">
        <f ca="1"/>
        <v>155.66</v>
      </c>
      <c r="DY72" vm="14305">
        <f ca="1"/>
        <v>158.47999999999999</v>
      </c>
      <c r="DZ72" vm="14306">
        <f ca="1"/>
        <v>158.78</v>
      </c>
      <c r="EA72" vm="14307">
        <f ca="1"/>
        <v>160.19999999999999</v>
      </c>
      <c r="EB72" vm="14308">
        <f ca="1"/>
        <v>163.44999999999999</v>
      </c>
      <c r="EC72" vm="14309">
        <f ca="1"/>
        <v>164.84</v>
      </c>
      <c r="ED72" vm="14310">
        <f ca="1"/>
        <v>166.57</v>
      </c>
      <c r="EE72" vm="5211">
        <f ca="1"/>
        <v>166.68</v>
      </c>
      <c r="EF72" vm="4339">
        <f ca="1"/>
        <v>169.14</v>
      </c>
      <c r="EG72" vm="1392">
        <f ca="1"/>
        <v>168.93</v>
      </c>
      <c r="EH72" vm="14311">
        <f ca="1"/>
        <v>170.95</v>
      </c>
      <c r="EI72" vm="8095">
        <f ca="1"/>
        <v>171.69</v>
      </c>
      <c r="EJ72" vm="14312">
        <f ca="1"/>
        <v>171.42</v>
      </c>
      <c r="EK72" vm="14313">
        <f ca="1"/>
        <v>168.99</v>
      </c>
      <c r="EL72" vm="14314">
        <f ca="1"/>
        <v>170.67</v>
      </c>
      <c r="EM72" vm="14315">
        <f ca="1"/>
        <v>172.65</v>
      </c>
      <c r="EN72" vm="14316">
        <f ca="1"/>
        <v>171.26</v>
      </c>
      <c r="EO72" vm="14317">
        <f ca="1"/>
        <v>172.89</v>
      </c>
      <c r="EP72" vm="14318">
        <f ca="1"/>
        <v>170.44</v>
      </c>
      <c r="EQ72" vm="14319">
        <f ca="1"/>
        <v>171.73</v>
      </c>
      <c r="ER72" vm="14320">
        <f ca="1"/>
        <v>173.44</v>
      </c>
      <c r="ES72" vm="14321">
        <f ca="1"/>
        <v>174.63</v>
      </c>
      <c r="ET72" vm="14322">
        <f ca="1"/>
        <v>173.18</v>
      </c>
      <c r="EU72" vm="14312">
        <f ca="1"/>
        <v>171.42</v>
      </c>
      <c r="EV72" vm="14323">
        <f ca="1"/>
        <v>173.14</v>
      </c>
      <c r="EW72" vm="5286">
        <f ca="1"/>
        <v>174.41</v>
      </c>
      <c r="EX72" vm="4266">
        <f ca="1"/>
        <v>175.82</v>
      </c>
      <c r="EY72" vm="14324">
        <f ca="1"/>
        <v>174.89</v>
      </c>
      <c r="EZ72" vm="14325">
        <f ca="1"/>
        <v>175.08</v>
      </c>
      <c r="FA72" vm="14326">
        <f ca="1"/>
        <v>176.39</v>
      </c>
      <c r="FB72" vm="14327">
        <f ca="1"/>
        <v>175.64</v>
      </c>
      <c r="FC72" vm="14328">
        <f ca="1"/>
        <v>170.97</v>
      </c>
      <c r="FD72" vm="14329">
        <f ca="1"/>
        <v>174.97</v>
      </c>
      <c r="FE72" vm="14330">
        <f ca="1"/>
        <v>173.45</v>
      </c>
      <c r="FF72" vm="14331">
        <f ca="1"/>
        <v>173.46</v>
      </c>
      <c r="FG72" vm="11731">
        <f ca="1"/>
        <v>173.39</v>
      </c>
      <c r="FH72" vm="5243">
        <f ca="1"/>
        <v>174.53</v>
      </c>
      <c r="FI72" vm="11750">
        <f ca="1"/>
        <v>174.74</v>
      </c>
      <c r="FJ72" vm="14332">
        <f ca="1"/>
        <v>176.78</v>
      </c>
      <c r="FK72" vm="14333">
        <f ca="1"/>
        <v>175.93</v>
      </c>
      <c r="FL72" vm="14334">
        <f ca="1"/>
        <v>176.4</v>
      </c>
      <c r="FM72" vm="14335">
        <f ca="1"/>
        <v>174.3</v>
      </c>
      <c r="FN72" vm="14336">
        <f ca="1"/>
        <v>173.96</v>
      </c>
      <c r="FO72" vm="14337">
        <f ca="1"/>
        <v>172.37</v>
      </c>
      <c r="FP72" vm="9568">
        <f ca="1"/>
        <v>172.64</v>
      </c>
      <c r="FQ72" vm="14338">
        <f ca="1"/>
        <v>172.05</v>
      </c>
      <c r="FR72" vm="14339">
        <f ca="1"/>
        <v>175.33</v>
      </c>
      <c r="FS72" vm="14340">
        <f ca="1"/>
        <v>174.36</v>
      </c>
      <c r="FT72" vm="14341">
        <f ca="1"/>
        <v>175.63</v>
      </c>
      <c r="FU72" vm="14342">
        <f ca="1"/>
        <v>174.57</v>
      </c>
      <c r="FV72" vm="9580">
        <f ca="1"/>
        <v>174.6</v>
      </c>
      <c r="FW72" vm="14343">
        <f ca="1"/>
        <v>174.18</v>
      </c>
      <c r="FX72" vm="11693">
        <f ca="1"/>
        <v>171.95</v>
      </c>
      <c r="FY72" vm="11693">
        <f ca="1"/>
        <v>171.95</v>
      </c>
      <c r="FZ72" vm="14344">
        <f ca="1"/>
        <v>173.9</v>
      </c>
      <c r="GA72" vm="14345">
        <f ca="1"/>
        <v>170.73</v>
      </c>
      <c r="GB72" vm="14346">
        <f ca="1"/>
        <v>173.8</v>
      </c>
      <c r="GC72" vm="14327">
        <f ca="1"/>
        <v>175.64</v>
      </c>
      <c r="GD72" vm="11753">
        <f ca="1"/>
        <v>175.45</v>
      </c>
      <c r="GE72" vm="14347">
        <f ca="1"/>
        <v>178.7</v>
      </c>
      <c r="GF72" vm="14348">
        <f ca="1"/>
        <v>177.4</v>
      </c>
      <c r="GG72" vm="14349">
        <f ca="1"/>
        <v>176.6</v>
      </c>
      <c r="GH72" vm="14350">
        <f ca="1"/>
        <v>175.72</v>
      </c>
      <c r="GI72" vm="11751">
        <f ca="1"/>
        <v>177</v>
      </c>
      <c r="GJ72" vm="14351">
        <f ca="1"/>
        <v>176.38</v>
      </c>
      <c r="GK72" vm="14352">
        <f ca="1"/>
        <v>176.64</v>
      </c>
      <c r="GL72" vm="14353">
        <f ca="1"/>
        <v>176.92</v>
      </c>
      <c r="GM72" vm="14354">
        <f ca="1"/>
        <v>176.14</v>
      </c>
      <c r="GN72" vm="14355">
        <f ca="1"/>
        <v>174.13</v>
      </c>
      <c r="GO72" vm="4312">
        <f ca="1"/>
        <v>173.84</v>
      </c>
      <c r="GP72" vm="9578">
        <f ca="1"/>
        <v>175.26</v>
      </c>
      <c r="GQ72" vm="5285">
        <f ca="1"/>
        <v>177.83</v>
      </c>
      <c r="GR72" vm="14356">
        <f ca="1"/>
        <v>176.88</v>
      </c>
      <c r="GS72" vm="11748">
        <f ca="1"/>
        <v>173.94</v>
      </c>
      <c r="GT72" vm="5251">
        <f ca="1"/>
        <v>174.65</v>
      </c>
      <c r="GU72" vm="14357">
        <f ca="1"/>
        <v>175.89</v>
      </c>
      <c r="GV72" vm="9587">
        <f ca="1"/>
        <v>175.47</v>
      </c>
      <c r="GW72" vm="4302">
        <f ca="1"/>
        <v>175.05</v>
      </c>
      <c r="GX72" vm="14327">
        <f ca="1"/>
        <v>175.64</v>
      </c>
      <c r="GY72" vm="14358">
        <f ca="1"/>
        <v>176.18</v>
      </c>
      <c r="GZ72" vm="14359">
        <f ca="1"/>
        <v>171.6</v>
      </c>
      <c r="HA72" vm="7363">
        <f ca="1"/>
        <v>173.4</v>
      </c>
      <c r="HB72" vm="14360">
        <f ca="1"/>
        <v>172.52</v>
      </c>
      <c r="HC72" vm="14361">
        <f ca="1"/>
        <v>173.49</v>
      </c>
      <c r="HD72" vm="14362">
        <f ca="1"/>
        <v>170.22</v>
      </c>
      <c r="HE72" vm="14363">
        <f ca="1"/>
        <v>170.35</v>
      </c>
      <c r="HF72" vm="14364">
        <f ca="1"/>
        <v>172.75</v>
      </c>
      <c r="HG72" vm="11672">
        <f ca="1"/>
        <v>172.59</v>
      </c>
      <c r="HH72" vm="14365">
        <f ca="1"/>
        <v>170.45</v>
      </c>
      <c r="HI72" vm="14366">
        <f ca="1"/>
        <v>171.87</v>
      </c>
      <c r="HJ72" vm="4313">
        <f ca="1"/>
        <v>175.69</v>
      </c>
      <c r="HK72" vm="14367">
        <f ca="1"/>
        <v>177.67</v>
      </c>
      <c r="HL72" vm="5282">
        <f ca="1"/>
        <v>176.95</v>
      </c>
      <c r="HM72" vm="14368">
        <f ca="1"/>
        <v>173.17</v>
      </c>
      <c r="HN72" vm="14369">
        <f ca="1"/>
        <v>173.69</v>
      </c>
      <c r="HO72" vm="14370">
        <f ca="1"/>
        <v>175.09</v>
      </c>
      <c r="HP72" vm="14371">
        <f ca="1"/>
        <v>175.02</v>
      </c>
      <c r="HQ72" vm="14372">
        <f ca="1"/>
        <v>173.93</v>
      </c>
      <c r="HR72" vm="14373">
        <f ca="1"/>
        <v>174.98</v>
      </c>
      <c r="HS72" vm="14374">
        <f ca="1"/>
        <v>172.87</v>
      </c>
      <c r="HT72" vm="14375">
        <f ca="1"/>
        <v>174.51</v>
      </c>
      <c r="HU72" vm="4357">
        <f ca="1"/>
        <v>176.07</v>
      </c>
      <c r="HV72" vm="14356">
        <f ca="1"/>
        <v>176.88</v>
      </c>
      <c r="HW72" vm="14376">
        <f ca="1"/>
        <v>179.29</v>
      </c>
      <c r="HX72" vm="14377">
        <f ca="1"/>
        <v>175.04</v>
      </c>
      <c r="HY72" vm="4318">
        <f ca="1"/>
        <v>173.23</v>
      </c>
      <c r="HZ72" vm="5117">
        <f ca="1"/>
        <v>169.06</v>
      </c>
      <c r="IA72" vm="14378">
        <f ca="1"/>
        <v>169.09</v>
      </c>
      <c r="IB72" vm="1662">
        <f ca="1"/>
        <v>170.04</v>
      </c>
      <c r="IC72" vm="1663">
        <f ca="1"/>
        <v>166.79</v>
      </c>
      <c r="ID72" vm="1664">
        <f ca="1"/>
        <v>167.49</v>
      </c>
      <c r="IE72" vm="1665">
        <f ca="1"/>
        <v>169.67</v>
      </c>
      <c r="IF72" vm="1666">
        <f ca="1"/>
        <v>171.75</v>
      </c>
      <c r="IG72" vm="1667">
        <f ca="1"/>
        <v>174.47</v>
      </c>
      <c r="IH72" vm="1668">
        <f ca="1"/>
        <v>175.77</v>
      </c>
      <c r="II72" vm="1669">
        <f ca="1"/>
        <v>173.78</v>
      </c>
      <c r="IJ72" vm="1669">
        <f ca="1"/>
        <v>173.78</v>
      </c>
      <c r="IK72" vm="1670">
        <f ca="1"/>
        <v>177.18</v>
      </c>
      <c r="IL72" vm="1671">
        <f ca="1"/>
        <v>178.16</v>
      </c>
      <c r="IM72" vm="1672">
        <f ca="1"/>
        <v>178.6</v>
      </c>
      <c r="IN72" vm="1673">
        <f ca="1"/>
        <v>178.94</v>
      </c>
      <c r="IO72" vm="1674">
        <f ca="1"/>
        <v>180.06</v>
      </c>
      <c r="IP72" vm="1675">
        <f ca="1"/>
        <v>181.29</v>
      </c>
      <c r="IQ72" vm="1676">
        <f ca="1"/>
        <v>182.22</v>
      </c>
      <c r="IR72" vm="1677">
        <f ca="1"/>
        <v>180.49</v>
      </c>
      <c r="IS72" vm="1678">
        <f ca="1"/>
        <v>178.86</v>
      </c>
      <c r="IT72" vm="1679">
        <f ca="1"/>
        <v>178.41</v>
      </c>
      <c r="IU72" vm="1680">
        <f ca="1"/>
        <v>177.96</v>
      </c>
      <c r="IV72" vm="1681">
        <f ca="1"/>
        <v>177.34</v>
      </c>
      <c r="IW72" vm="122">
        <f ca="1"/>
        <v>180.12</v>
      </c>
    </row>
    <row r="73" spans="1:257" ht="16" x14ac:dyDescent="0.2">
      <c r="A73" s="13" t="e" vm="1682">
        <v>#VALUE!</v>
      </c>
      <c r="B73" s="23" t="str" cm="1">
        <f t="array" aca="1" ref="B73" ca="1">_FV(A73,"ticker symbol",TRUE)</f>
        <v>KCE</v>
      </c>
      <c r="C73" s="23" t="str" cm="1">
        <f t="array" aca="1" ref="C73" ca="1">_FV(A73,"Name")</f>
        <v>SS SPDR S&amp;P Cap Mkts</v>
      </c>
      <c r="D73" cm="1" vm="14379">
        <f t="array" aca="1" ref="D73:IW73" ca="1">TRANSPOSE(_xlfn.STOCKHISTORY(B73, WORKDAY(TODAY(), -265), TODAY(), 0, 0, 1))</f>
        <v>144.94999999999999</v>
      </c>
      <c r="E73" s="23" vm="14380">
        <f ca="1"/>
        <v>142.88</v>
      </c>
      <c r="F73" s="23" vm="6596">
        <f ca="1"/>
        <v>136.33000000000001</v>
      </c>
      <c r="G73" s="23" vm="6596">
        <f ca="1"/>
        <v>136.33000000000001</v>
      </c>
      <c r="H73" s="23" vm="14381">
        <f ca="1"/>
        <v>138.58000000000001</v>
      </c>
      <c r="I73" s="23" vm="14382">
        <f ca="1"/>
        <v>138.38999999999999</v>
      </c>
      <c r="J73" s="23" vm="14383">
        <f ca="1"/>
        <v>139.96</v>
      </c>
      <c r="K73" s="23" vm="12931">
        <f ca="1"/>
        <v>141</v>
      </c>
      <c r="L73" s="23" vm="14384">
        <f ca="1"/>
        <v>139.44</v>
      </c>
      <c r="M73" s="23" vm="6512">
        <f ca="1"/>
        <v>137.85</v>
      </c>
      <c r="N73" s="23" vm="14385">
        <f ca="1"/>
        <v>137.69999999999999</v>
      </c>
      <c r="O73" s="23" vm="6516">
        <f ca="1"/>
        <v>138.11000000000001</v>
      </c>
      <c r="P73" s="23" vm="14386">
        <f ca="1"/>
        <v>139.29</v>
      </c>
      <c r="Q73" s="23" vm="14387">
        <f ca="1"/>
        <v>138.91999999999999</v>
      </c>
      <c r="R73" s="23" vm="14388">
        <f ca="1"/>
        <v>136.72</v>
      </c>
      <c r="S73" s="23" vm="9412">
        <f ca="1"/>
        <v>137.77000000000001</v>
      </c>
      <c r="T73" s="23" vm="6469">
        <f ca="1"/>
        <v>133.24</v>
      </c>
      <c r="U73" s="23" vm="14389">
        <f ca="1"/>
        <v>132.93</v>
      </c>
      <c r="V73" s="23" vm="6432">
        <f ca="1"/>
        <v>135.06</v>
      </c>
      <c r="W73" s="23" vm="14390">
        <f ca="1"/>
        <v>138.52000000000001</v>
      </c>
      <c r="X73" s="23" vm="14391">
        <f ca="1"/>
        <v>140.05000000000001</v>
      </c>
      <c r="Y73" s="23" vm="14392">
        <f ca="1"/>
        <v>141.36000000000001</v>
      </c>
      <c r="Z73" s="23" vm="14393">
        <f ca="1"/>
        <v>144.15</v>
      </c>
      <c r="AA73" s="23" vm="6382">
        <f ca="1"/>
        <v>144.08000000000001</v>
      </c>
      <c r="AB73" s="23" vm="14394">
        <f ca="1"/>
        <v>144.91</v>
      </c>
      <c r="AC73" s="23" vm="14395">
        <f ca="1"/>
        <v>145.63999999999999</v>
      </c>
      <c r="AD73" vm="14396">
        <f ca="1"/>
        <v>143.79</v>
      </c>
      <c r="AE73" vm="14397">
        <f ca="1"/>
        <v>145.4</v>
      </c>
      <c r="AF73" vm="5168">
        <f ca="1"/>
        <v>144.80000000000001</v>
      </c>
      <c r="AG73" vm="14398">
        <f ca="1"/>
        <v>146.44</v>
      </c>
      <c r="AH73" vm="14399">
        <f ca="1"/>
        <v>146.19999999999999</v>
      </c>
      <c r="AI73" vm="6383">
        <f ca="1"/>
        <v>144.31</v>
      </c>
      <c r="AJ73" vm="14400">
        <f ca="1"/>
        <v>143.96</v>
      </c>
      <c r="AK73" vm="14401">
        <f ca="1"/>
        <v>145.19</v>
      </c>
      <c r="AL73" vm="14402">
        <f ca="1"/>
        <v>145.84</v>
      </c>
      <c r="AM73" vm="5165">
        <f ca="1"/>
        <v>144.93</v>
      </c>
      <c r="AN73" vm="14403">
        <f ca="1"/>
        <v>143.36000000000001</v>
      </c>
      <c r="AO73" vm="14404">
        <f ca="1"/>
        <v>142.03</v>
      </c>
      <c r="AP73" vm="14405">
        <f ca="1"/>
        <v>141.35239999999999</v>
      </c>
      <c r="AQ73" vm="12284">
        <f ca="1"/>
        <v>142.88999999999999</v>
      </c>
      <c r="AR73" vm="14406">
        <f ca="1"/>
        <v>143.44</v>
      </c>
      <c r="AS73" vm="14407">
        <f ca="1"/>
        <v>143.88999999999999</v>
      </c>
      <c r="AT73" vm="584">
        <f ca="1"/>
        <v>143.69</v>
      </c>
      <c r="AU73" vm="6643">
        <f ca="1"/>
        <v>141.29</v>
      </c>
      <c r="AV73" vm="14408">
        <f ca="1"/>
        <v>138.43</v>
      </c>
      <c r="AW73" vm="14409">
        <f ca="1"/>
        <v>137.6</v>
      </c>
      <c r="AX73" vm="12407">
        <f ca="1"/>
        <v>136.09</v>
      </c>
      <c r="AY73" vm="14410">
        <f ca="1"/>
        <v>136.75</v>
      </c>
      <c r="AZ73" vm="14411">
        <f ca="1"/>
        <v>135.65</v>
      </c>
      <c r="BA73" vm="6427">
        <f ca="1"/>
        <v>138.54</v>
      </c>
      <c r="BB73" vm="6445">
        <f ca="1"/>
        <v>135.96</v>
      </c>
      <c r="BC73" vm="729">
        <f ca="1"/>
        <v>130.96</v>
      </c>
      <c r="BD73" vm="1743">
        <f ca="1"/>
        <v>132.88</v>
      </c>
      <c r="BE73" vm="12382">
        <f ca="1"/>
        <v>129.69999999999999</v>
      </c>
      <c r="BF73" vm="14412">
        <f ca="1"/>
        <v>129.32</v>
      </c>
      <c r="BG73" vm="12190">
        <f ca="1"/>
        <v>123.76</v>
      </c>
      <c r="BH73" vm="12228">
        <f ca="1"/>
        <v>124.17</v>
      </c>
      <c r="BI73" vm="14413">
        <f ca="1"/>
        <v>124.45</v>
      </c>
      <c r="BJ73" vm="14414">
        <f ca="1"/>
        <v>122.39</v>
      </c>
      <c r="BK73" vm="8371">
        <f ca="1"/>
        <v>125.49</v>
      </c>
      <c r="BL73" vm="14415">
        <f ca="1"/>
        <v>127.96</v>
      </c>
      <c r="BM73" vm="14416">
        <f ca="1"/>
        <v>127.34</v>
      </c>
      <c r="BN73" vm="12900">
        <f ca="1"/>
        <v>129.72999999999999</v>
      </c>
      <c r="BO73" vm="14417">
        <f ca="1"/>
        <v>129.38999999999999</v>
      </c>
      <c r="BP73" vm="14418">
        <f ca="1"/>
        <v>128.75</v>
      </c>
      <c r="BQ73" vm="14278">
        <f ca="1"/>
        <v>132.12</v>
      </c>
      <c r="BR73" vm="12822">
        <f ca="1"/>
        <v>132.65</v>
      </c>
      <c r="BS73" vm="14419">
        <f ca="1"/>
        <v>130.78</v>
      </c>
      <c r="BT73" vm="14420">
        <f ca="1"/>
        <v>128.74</v>
      </c>
      <c r="BU73" vm="14421">
        <f ca="1"/>
        <v>125.71</v>
      </c>
      <c r="BV73" vm="12376">
        <f ca="1"/>
        <v>126.17</v>
      </c>
      <c r="BW73" vm="14422">
        <f ca="1"/>
        <v>127.23</v>
      </c>
      <c r="BX73" vm="14423">
        <f ca="1"/>
        <v>129.4905</v>
      </c>
      <c r="BY73" vm="14424">
        <f ca="1"/>
        <v>118.91</v>
      </c>
      <c r="BZ73" vm="7992">
        <f ca="1"/>
        <v>110.9</v>
      </c>
      <c r="CA73" vm="14425">
        <f ca="1"/>
        <v>110.08920000000001</v>
      </c>
      <c r="CB73" vm="1248">
        <f ca="1"/>
        <v>108.52</v>
      </c>
      <c r="CC73" vm="3222">
        <f ca="1"/>
        <v>119.66</v>
      </c>
      <c r="CD73" vm="385">
        <f ca="1"/>
        <v>114.46</v>
      </c>
      <c r="CE73" vm="14426">
        <f ca="1"/>
        <v>116.23</v>
      </c>
      <c r="CF73" vm="14427">
        <f ca="1"/>
        <v>118.11</v>
      </c>
      <c r="CG73" vm="14428">
        <f ca="1"/>
        <v>118.56</v>
      </c>
      <c r="CH73" vm="14429">
        <f ca="1"/>
        <v>116.12</v>
      </c>
      <c r="CI73" vm="14430">
        <f ca="1"/>
        <v>117.01</v>
      </c>
      <c r="CJ73" vm="14431">
        <f ca="1"/>
        <v>113.73</v>
      </c>
      <c r="CK73" vm="12107">
        <f ca="1"/>
        <v>117.74</v>
      </c>
      <c r="CL73" vm="3225">
        <f ca="1"/>
        <v>119.42</v>
      </c>
      <c r="CM73" vm="12351">
        <f ca="1"/>
        <v>122.75</v>
      </c>
      <c r="CN73" vm="14432">
        <f ca="1"/>
        <v>123</v>
      </c>
      <c r="CO73" vm="14433">
        <f ca="1"/>
        <v>123.2</v>
      </c>
      <c r="CP73" vm="12877">
        <f ca="1"/>
        <v>124.24</v>
      </c>
      <c r="CQ73" vm="1726">
        <f ca="1"/>
        <v>124.33</v>
      </c>
      <c r="CR73" vm="14434">
        <f ca="1"/>
        <v>125.03</v>
      </c>
      <c r="CS73" vm="14435">
        <f ca="1"/>
        <v>128.76</v>
      </c>
      <c r="CT73" vm="14436">
        <f ca="1"/>
        <v>128.28</v>
      </c>
      <c r="CU73" vm="14437">
        <f ca="1"/>
        <v>127.51</v>
      </c>
      <c r="CV73" vm="14438">
        <f ca="1"/>
        <v>128.68</v>
      </c>
      <c r="CW73" vm="6567">
        <f ca="1"/>
        <v>131.30000000000001</v>
      </c>
      <c r="CX73" vm="12910">
        <f ca="1"/>
        <v>131.49</v>
      </c>
      <c r="CY73" vm="14439">
        <f ca="1"/>
        <v>135.82</v>
      </c>
      <c r="CZ73" vm="14440">
        <f ca="1"/>
        <v>137.44999999999999</v>
      </c>
      <c r="DA73" vm="14441">
        <f ca="1"/>
        <v>137.58000000000001</v>
      </c>
      <c r="DB73" vm="14442">
        <f ca="1"/>
        <v>137.97999999999999</v>
      </c>
      <c r="DC73" vm="14443">
        <f ca="1"/>
        <v>139.1</v>
      </c>
      <c r="DD73" vm="14444">
        <f ca="1"/>
        <v>139.22</v>
      </c>
      <c r="DE73" vm="12921">
        <f ca="1"/>
        <v>138.22</v>
      </c>
      <c r="DF73" vm="14445">
        <f ca="1"/>
        <v>134.56</v>
      </c>
      <c r="DG73" vm="14446">
        <f ca="1"/>
        <v>134.69</v>
      </c>
      <c r="DH73" vm="14447">
        <f ca="1"/>
        <v>134.21</v>
      </c>
      <c r="DI73" vm="14448">
        <f ca="1"/>
        <v>137.18</v>
      </c>
      <c r="DJ73" vm="12845">
        <f ca="1"/>
        <v>135.84</v>
      </c>
      <c r="DK73" vm="14449">
        <f ca="1"/>
        <v>135.52340000000001</v>
      </c>
      <c r="DL73" vm="1300">
        <f ca="1"/>
        <v>135.08000000000001</v>
      </c>
      <c r="DM73" vm="6425">
        <f ca="1"/>
        <v>134.88999999999999</v>
      </c>
      <c r="DN73" vm="14450">
        <f ca="1"/>
        <v>135.4</v>
      </c>
      <c r="DO73" vm="14451">
        <f ca="1"/>
        <v>135.13999999999999</v>
      </c>
      <c r="DP73" vm="14452">
        <f ca="1"/>
        <v>135.44</v>
      </c>
      <c r="DQ73" vm="14453">
        <f ca="1"/>
        <v>137.54</v>
      </c>
      <c r="DR73" vm="12809">
        <f ca="1"/>
        <v>137.25</v>
      </c>
      <c r="DS73" vm="14454">
        <f ca="1"/>
        <v>136.99</v>
      </c>
      <c r="DT73" vm="14441">
        <f ca="1"/>
        <v>137.58000000000001</v>
      </c>
      <c r="DU73" vm="14455">
        <f ca="1"/>
        <v>137.72999999999999</v>
      </c>
      <c r="DV73" vm="14456">
        <f ca="1"/>
        <v>134.81</v>
      </c>
      <c r="DW73" vm="14457">
        <f ca="1"/>
        <v>137.0532</v>
      </c>
      <c r="DX73" vm="14458">
        <f ca="1"/>
        <v>135.48500000000001</v>
      </c>
      <c r="DY73" vm="14459">
        <f ca="1"/>
        <v>137.21</v>
      </c>
      <c r="DZ73" vm="14460">
        <f ca="1"/>
        <v>137.39250000000001</v>
      </c>
      <c r="EA73" vm="14461">
        <f ca="1"/>
        <v>138.19999999999999</v>
      </c>
      <c r="EB73" vm="14462">
        <f ca="1"/>
        <v>141.21</v>
      </c>
      <c r="EC73" vm="14463">
        <f ca="1"/>
        <v>141.86000000000001</v>
      </c>
      <c r="ED73" vm="14403">
        <f ca="1"/>
        <v>143.36000000000001</v>
      </c>
      <c r="EE73" vm="14464">
        <f ca="1"/>
        <v>144.36000000000001</v>
      </c>
      <c r="EF73" vm="5165">
        <f ca="1"/>
        <v>144.93</v>
      </c>
      <c r="EG73" vm="6548">
        <f ca="1"/>
        <v>145.94</v>
      </c>
      <c r="EH73" vm="14465">
        <f ca="1"/>
        <v>148.33000000000001</v>
      </c>
      <c r="EI73" vm="14466">
        <f ca="1"/>
        <v>149.19900000000001</v>
      </c>
      <c r="EJ73" vm="14467">
        <f ca="1"/>
        <v>148.22</v>
      </c>
      <c r="EK73" vm="14468">
        <f ca="1"/>
        <v>147.88</v>
      </c>
      <c r="EL73" vm="14469">
        <f ca="1"/>
        <v>149.4092</v>
      </c>
      <c r="EM73" vm="6697">
        <f ca="1"/>
        <v>151.49</v>
      </c>
      <c r="EN73" vm="6699">
        <f ca="1"/>
        <v>150.25</v>
      </c>
      <c r="EO73" vm="14470">
        <f ca="1"/>
        <v>151.33000000000001</v>
      </c>
      <c r="EP73" vm="14471">
        <f ca="1"/>
        <v>148.05000000000001</v>
      </c>
      <c r="EQ73" vm="14472">
        <f ca="1"/>
        <v>150.73609999999999</v>
      </c>
      <c r="ER73" vm="14473">
        <f ca="1"/>
        <v>153.16</v>
      </c>
      <c r="ES73" vm="6718">
        <f ca="1"/>
        <v>153.52000000000001</v>
      </c>
      <c r="ET73" vm="14474">
        <f ca="1"/>
        <v>151.87</v>
      </c>
      <c r="EU73" vm="14475">
        <f ca="1"/>
        <v>152.41</v>
      </c>
      <c r="EV73" vm="508">
        <f ca="1"/>
        <v>153.91</v>
      </c>
      <c r="EW73" vm="14476">
        <f ca="1"/>
        <v>154.83000000000001</v>
      </c>
      <c r="EX73" vm="14477">
        <f ca="1"/>
        <v>155.52000000000001</v>
      </c>
      <c r="EY73" vm="6724">
        <f ca="1"/>
        <v>154.68</v>
      </c>
      <c r="EZ73" vm="6678">
        <f ca="1"/>
        <v>154.51</v>
      </c>
      <c r="FA73" vm="5134">
        <f ca="1"/>
        <v>154.96</v>
      </c>
      <c r="FB73" vm="14478">
        <f ca="1"/>
        <v>153.06</v>
      </c>
      <c r="FC73" vm="14479">
        <f ca="1"/>
        <v>149.56</v>
      </c>
      <c r="FD73" vm="6703">
        <f ca="1"/>
        <v>153</v>
      </c>
      <c r="FE73" vm="14480">
        <f ca="1"/>
        <v>152.54</v>
      </c>
      <c r="FF73" vm="14481">
        <f ca="1"/>
        <v>152.41999999999999</v>
      </c>
      <c r="FG73" vm="500">
        <f ca="1"/>
        <v>151.43</v>
      </c>
      <c r="FH73" vm="515">
        <f ca="1"/>
        <v>152.80000000000001</v>
      </c>
      <c r="FI73" vm="1785">
        <f ca="1"/>
        <v>153.16999999999999</v>
      </c>
      <c r="FJ73" vm="14482">
        <f ca="1"/>
        <v>156.21</v>
      </c>
      <c r="FK73" vm="14483">
        <f ca="1"/>
        <v>156.96</v>
      </c>
      <c r="FL73" vm="5145">
        <f ca="1"/>
        <v>156.36000000000001</v>
      </c>
      <c r="FM73" vm="5146">
        <f ca="1"/>
        <v>154.35</v>
      </c>
      <c r="FN73" vm="14484">
        <f ca="1"/>
        <v>154.02000000000001</v>
      </c>
      <c r="FO73" vm="14485">
        <f ca="1"/>
        <v>152.595</v>
      </c>
      <c r="FP73" vm="14486">
        <f ca="1"/>
        <v>152.33199999999999</v>
      </c>
      <c r="FQ73" vm="14487">
        <f ca="1"/>
        <v>151.82</v>
      </c>
      <c r="FR73" vm="9505">
        <f ca="1"/>
        <v>155.94999999999999</v>
      </c>
      <c r="FS73" vm="14488">
        <f ca="1"/>
        <v>155.22</v>
      </c>
      <c r="FT73" vm="14489">
        <f ca="1"/>
        <v>156.68</v>
      </c>
      <c r="FU73" vm="14490">
        <f ca="1"/>
        <v>156.43</v>
      </c>
      <c r="FV73" vm="5194">
        <f ca="1"/>
        <v>156.19999999999999</v>
      </c>
      <c r="FW73" vm="14491">
        <f ca="1"/>
        <v>155.58000000000001</v>
      </c>
      <c r="FX73" vm="5179">
        <f ca="1"/>
        <v>154.04</v>
      </c>
      <c r="FY73" vm="6707">
        <f ca="1"/>
        <v>153.05000000000001</v>
      </c>
      <c r="FZ73" vm="14492">
        <f ca="1"/>
        <v>154.84</v>
      </c>
      <c r="GA73" vm="14493">
        <f ca="1"/>
        <v>152.66</v>
      </c>
      <c r="GB73" vm="14494">
        <f ca="1"/>
        <v>154</v>
      </c>
      <c r="GC73" vm="14494">
        <f ca="1"/>
        <v>154</v>
      </c>
      <c r="GD73" vm="14495">
        <f ca="1"/>
        <v>154.30000000000001</v>
      </c>
      <c r="GE73" vm="14496">
        <f ca="1"/>
        <v>157.83000000000001</v>
      </c>
      <c r="GF73" vm="14497">
        <f ca="1"/>
        <v>156.41</v>
      </c>
      <c r="GG73" vm="520">
        <f ca="1"/>
        <v>155.01</v>
      </c>
      <c r="GH73" vm="9504">
        <f ca="1"/>
        <v>154.56</v>
      </c>
      <c r="GI73" vm="14498">
        <f ca="1"/>
        <v>155.16999999999999</v>
      </c>
      <c r="GJ73" vm="14499">
        <f ca="1"/>
        <v>157.38</v>
      </c>
      <c r="GK73" vm="14500">
        <f ca="1"/>
        <v>156.62</v>
      </c>
      <c r="GL73" vm="14501">
        <f ca="1"/>
        <v>155.97999999999999</v>
      </c>
      <c r="GM73" vm="14502">
        <f ca="1"/>
        <v>155.56</v>
      </c>
      <c r="GN73" vm="8115">
        <f ca="1"/>
        <v>152.99</v>
      </c>
      <c r="GO73" vm="14503">
        <f ca="1"/>
        <v>152.11000000000001</v>
      </c>
      <c r="GP73" vm="5189">
        <f ca="1"/>
        <v>153.01</v>
      </c>
      <c r="GQ73" vm="14294">
        <f ca="1"/>
        <v>154.29</v>
      </c>
      <c r="GR73" vm="14504">
        <f ca="1"/>
        <v>152.85</v>
      </c>
      <c r="GS73" vm="14505">
        <f ca="1"/>
        <v>150.1</v>
      </c>
      <c r="GT73" vm="6702">
        <f ca="1"/>
        <v>151.13999999999999</v>
      </c>
      <c r="GU73" vm="14506">
        <f ca="1"/>
        <v>152.31</v>
      </c>
      <c r="GV73" vm="14507">
        <f ca="1"/>
        <v>151.94</v>
      </c>
      <c r="GW73" vm="14508">
        <f ca="1"/>
        <v>151.07499999999999</v>
      </c>
      <c r="GX73" vm="14509">
        <f ca="1"/>
        <v>151.18</v>
      </c>
      <c r="GY73" vm="14510">
        <f ca="1"/>
        <v>150.91999999999999</v>
      </c>
      <c r="GZ73" vm="14511">
        <f ca="1"/>
        <v>146.41</v>
      </c>
      <c r="HA73" vm="14512">
        <f ca="1"/>
        <v>149.26</v>
      </c>
      <c r="HB73" vm="6689">
        <f ca="1"/>
        <v>151.03</v>
      </c>
      <c r="HC73" vm="14513">
        <f ca="1"/>
        <v>151.44999999999999</v>
      </c>
      <c r="HD73" vm="14514">
        <f ca="1"/>
        <v>146.82</v>
      </c>
      <c r="HE73" vm="14515">
        <f ca="1"/>
        <v>147.15209999999999</v>
      </c>
      <c r="HF73" vm="14516">
        <f ca="1"/>
        <v>149.16999999999999</v>
      </c>
      <c r="HG73" vm="14517">
        <f ca="1"/>
        <v>149.81</v>
      </c>
      <c r="HH73" vm="14518">
        <f ca="1"/>
        <v>148.04</v>
      </c>
      <c r="HI73" vm="14519">
        <f ca="1"/>
        <v>148.4</v>
      </c>
      <c r="HJ73" vm="6667">
        <f ca="1"/>
        <v>149.9</v>
      </c>
      <c r="HK73" vm="9526">
        <f ca="1"/>
        <v>151.47</v>
      </c>
      <c r="HL73" vm="9441">
        <f ca="1"/>
        <v>150.36000000000001</v>
      </c>
      <c r="HM73" vm="14520">
        <f ca="1"/>
        <v>146.6585</v>
      </c>
      <c r="HN73" vm="14521">
        <f ca="1"/>
        <v>145.7808</v>
      </c>
      <c r="HO73" vm="14522">
        <f ca="1"/>
        <v>145.86000000000001</v>
      </c>
      <c r="HP73" vm="14523">
        <f ca="1"/>
        <v>146.13</v>
      </c>
      <c r="HQ73" vm="14524">
        <f ca="1"/>
        <v>144.68</v>
      </c>
      <c r="HR73" vm="14525">
        <f ca="1"/>
        <v>145.93799999999999</v>
      </c>
      <c r="HS73" vm="14526">
        <f ca="1"/>
        <v>145.02000000000001</v>
      </c>
      <c r="HT73" vm="14527">
        <f ca="1"/>
        <v>146.21879999999999</v>
      </c>
      <c r="HU73" vm="9522">
        <f ca="1"/>
        <v>147.41</v>
      </c>
      <c r="HV73" vm="14528">
        <f ca="1"/>
        <v>147.74</v>
      </c>
      <c r="HW73" vm="14529">
        <f ca="1"/>
        <v>149.1027</v>
      </c>
      <c r="HX73" vm="14530">
        <f ca="1"/>
        <v>145.48779999999999</v>
      </c>
      <c r="HY73" vm="14531">
        <f ca="1"/>
        <v>144.60300000000001</v>
      </c>
      <c r="HZ73" vm="14532">
        <f ca="1"/>
        <v>139.87</v>
      </c>
      <c r="IA73" vm="14533">
        <f ca="1"/>
        <v>140.124</v>
      </c>
      <c r="IB73" vm="1683">
        <f ca="1"/>
        <v>140.66999999999999</v>
      </c>
      <c r="IC73" vm="1684">
        <f ca="1"/>
        <v>138.32</v>
      </c>
      <c r="ID73" vm="1685">
        <f ca="1"/>
        <v>140.15</v>
      </c>
      <c r="IE73" vm="1686">
        <f ca="1"/>
        <v>141.17500000000001</v>
      </c>
      <c r="IF73" vm="1687">
        <f ca="1"/>
        <v>143.31</v>
      </c>
      <c r="IG73" vm="1688">
        <f ca="1"/>
        <v>144.87</v>
      </c>
      <c r="IH73" vm="1689">
        <f ca="1"/>
        <v>145.80000000000001</v>
      </c>
      <c r="II73" vm="1690">
        <f ca="1"/>
        <v>144.26</v>
      </c>
      <c r="IJ73" vm="1691">
        <f ca="1"/>
        <v>143.99</v>
      </c>
      <c r="IK73" vm="1692">
        <f ca="1"/>
        <v>147.13</v>
      </c>
      <c r="IL73" vm="1693">
        <f ca="1"/>
        <v>148.18</v>
      </c>
      <c r="IM73" vm="1694">
        <f ca="1"/>
        <v>149.6942</v>
      </c>
      <c r="IN73" vm="1695">
        <f ca="1"/>
        <v>149.08000000000001</v>
      </c>
      <c r="IO73" vm="1696">
        <f ca="1"/>
        <v>151.4873</v>
      </c>
      <c r="IP73" vm="1697">
        <f ca="1"/>
        <v>153.12</v>
      </c>
      <c r="IQ73" vm="1698">
        <f ca="1"/>
        <v>154.34</v>
      </c>
      <c r="IR73" vm="1699">
        <f ca="1"/>
        <v>152.02000000000001</v>
      </c>
      <c r="IS73" vm="1700">
        <f ca="1"/>
        <v>150.69999999999999</v>
      </c>
      <c r="IT73" vm="1701">
        <f ca="1"/>
        <v>150.62</v>
      </c>
      <c r="IU73" vm="1702">
        <f ca="1"/>
        <v>149.87</v>
      </c>
      <c r="IV73" vm="1703">
        <f ca="1"/>
        <v>149.715</v>
      </c>
      <c r="IW73" vm="124">
        <f ca="1"/>
        <v>150.92500000000001</v>
      </c>
    </row>
    <row r="74" spans="1:257" ht="16" x14ac:dyDescent="0.2">
      <c r="A74" s="13" t="e" vm="1704">
        <v>#VALUE!</v>
      </c>
      <c r="B74" s="23" t="str" cm="1">
        <f t="array" aca="1" ref="B74" ca="1">_FV(A74,"ticker symbol",TRUE)</f>
        <v>IYG</v>
      </c>
      <c r="C74" s="23" t="str" cm="1">
        <f t="array" aca="1" ref="C74" ca="1">_FV(A74,"Name")</f>
        <v>iShares:US Fnl Svc</v>
      </c>
      <c r="D74" cm="1" vm="10141">
        <f t="array" aca="1" ref="D74:IW74" ca="1">TRANSPOSE(_xlfn.STOCKHISTORY(B74, WORKDAY(TODAY(), -265), TODAY(), 0, 0, 1))</f>
        <v>79.98</v>
      </c>
      <c r="E74" s="23" vm="14534">
        <f ca="1"/>
        <v>79.045000000000002</v>
      </c>
      <c r="F74" s="23" vm="14535">
        <f ca="1"/>
        <v>76.36</v>
      </c>
      <c r="G74" s="23" vm="14536">
        <f ca="1"/>
        <v>76.650000000000006</v>
      </c>
      <c r="H74" s="23" vm="14537">
        <f ca="1"/>
        <v>77.78</v>
      </c>
      <c r="I74" s="23" vm="10195">
        <f ca="1"/>
        <v>77.95</v>
      </c>
      <c r="J74" s="23" vm="7205">
        <f ca="1"/>
        <v>78.989999999999995</v>
      </c>
      <c r="K74" s="23" vm="14538">
        <f ca="1"/>
        <v>79.169899999999998</v>
      </c>
      <c r="L74" s="23" vm="12472">
        <f ca="1"/>
        <v>78.53</v>
      </c>
      <c r="M74" s="23" vm="14539">
        <f ca="1"/>
        <v>77.739999999999995</v>
      </c>
      <c r="N74" s="23" vm="436">
        <f ca="1"/>
        <v>77.81</v>
      </c>
      <c r="O74" s="23" vm="14540">
        <f ca="1"/>
        <v>77.63</v>
      </c>
      <c r="P74" s="23" vm="14541">
        <f ca="1"/>
        <v>78.42</v>
      </c>
      <c r="Q74" s="23" vm="14542">
        <f ca="1"/>
        <v>78.31</v>
      </c>
      <c r="R74" s="23" vm="14543">
        <f ca="1"/>
        <v>78.010000000000005</v>
      </c>
      <c r="S74" s="23" vm="12987">
        <f ca="1"/>
        <v>78.16</v>
      </c>
      <c r="T74" s="23" vm="14544">
        <f ca="1"/>
        <v>76.209999999999994</v>
      </c>
      <c r="U74" s="23" vm="7177">
        <f ca="1"/>
        <v>76.7</v>
      </c>
      <c r="V74" s="23" vm="14539">
        <f ca="1"/>
        <v>77.739999999999995</v>
      </c>
      <c r="W74" s="23" vm="14545">
        <f ca="1"/>
        <v>80.13</v>
      </c>
      <c r="X74" s="23" vm="14546">
        <f ca="1"/>
        <v>80.510000000000005</v>
      </c>
      <c r="Y74" s="23" vm="5997">
        <f ca="1"/>
        <v>81.430000000000007</v>
      </c>
      <c r="Z74" s="23" vm="5989">
        <f ca="1"/>
        <v>82.31</v>
      </c>
      <c r="AA74" s="23" vm="5968">
        <f ca="1"/>
        <v>82.02</v>
      </c>
      <c r="AB74" s="23" vm="6780">
        <f ca="1"/>
        <v>82.62</v>
      </c>
      <c r="AC74" s="23" vm="14547">
        <f ca="1"/>
        <v>82.84</v>
      </c>
      <c r="AD74" vm="1928">
        <f ca="1"/>
        <v>83.32</v>
      </c>
      <c r="AE74" vm="14548">
        <f ca="1"/>
        <v>83.35</v>
      </c>
      <c r="AF74" vm="14549">
        <f ca="1"/>
        <v>83.33</v>
      </c>
      <c r="AG74" vm="14550">
        <f ca="1"/>
        <v>84.1</v>
      </c>
      <c r="AH74" vm="2665">
        <f ca="1"/>
        <v>83.7</v>
      </c>
      <c r="AI74" vm="14551">
        <f ca="1"/>
        <v>83.13</v>
      </c>
      <c r="AJ74" vm="14552">
        <f ca="1"/>
        <v>83.07</v>
      </c>
      <c r="AK74" vm="14553">
        <f ca="1"/>
        <v>83.9</v>
      </c>
      <c r="AL74" vm="14554">
        <f ca="1"/>
        <v>84.65</v>
      </c>
      <c r="AM74" vm="14555">
        <f ca="1"/>
        <v>84.13</v>
      </c>
      <c r="AN74" vm="14548">
        <f ca="1"/>
        <v>83.35</v>
      </c>
      <c r="AO74" vm="14556">
        <f ca="1"/>
        <v>83.67</v>
      </c>
      <c r="AP74" vm="14557">
        <f ca="1"/>
        <v>83.25</v>
      </c>
      <c r="AQ74" vm="14558">
        <f ca="1"/>
        <v>83.98</v>
      </c>
      <c r="AR74" vm="13006">
        <f ca="1"/>
        <v>84.26</v>
      </c>
      <c r="AS74" vm="6162">
        <f ca="1"/>
        <v>84.81</v>
      </c>
      <c r="AT74" vm="7273">
        <f ca="1"/>
        <v>84.62</v>
      </c>
      <c r="AU74" vm="14559">
        <f ca="1"/>
        <v>83.12</v>
      </c>
      <c r="AV74" vm="12995">
        <f ca="1"/>
        <v>81.88</v>
      </c>
      <c r="AW74" vm="1954">
        <f ca="1"/>
        <v>81.96</v>
      </c>
      <c r="AX74" vm="1919">
        <f ca="1"/>
        <v>81.55</v>
      </c>
      <c r="AY74" vm="1922">
        <f ca="1"/>
        <v>81.61</v>
      </c>
      <c r="AZ74" vm="5975">
        <f ca="1"/>
        <v>81.87</v>
      </c>
      <c r="BA74" vm="14560">
        <f ca="1"/>
        <v>83.56</v>
      </c>
      <c r="BB74" vm="14561">
        <f ca="1"/>
        <v>82.52</v>
      </c>
      <c r="BC74" vm="5941">
        <f ca="1"/>
        <v>79.349999999999994</v>
      </c>
      <c r="BD74" vm="14562">
        <f ca="1"/>
        <v>79.915000000000006</v>
      </c>
      <c r="BE74" vm="7201">
        <f ca="1"/>
        <v>78.3</v>
      </c>
      <c r="BF74" vm="10208">
        <f ca="1"/>
        <v>77.849999999999994</v>
      </c>
      <c r="BG74" vm="14563">
        <f ca="1"/>
        <v>75.47</v>
      </c>
      <c r="BH74" vm="13487">
        <f ca="1"/>
        <v>74.91</v>
      </c>
      <c r="BI74" vm="14564">
        <f ca="1"/>
        <v>75.3</v>
      </c>
      <c r="BJ74" vm="14565">
        <f ca="1"/>
        <v>74.599999999999994</v>
      </c>
      <c r="BK74" vm="6125">
        <f ca="1"/>
        <v>76.44</v>
      </c>
      <c r="BL74" vm="14566">
        <f ca="1"/>
        <v>77.45</v>
      </c>
      <c r="BM74" vm="14567">
        <f ca="1"/>
        <v>77.13</v>
      </c>
      <c r="BN74" vm="14568">
        <f ca="1"/>
        <v>78.290000000000006</v>
      </c>
      <c r="BO74" vm="14568">
        <f ca="1"/>
        <v>78.290000000000006</v>
      </c>
      <c r="BP74" vm="6037">
        <f ca="1"/>
        <v>78.11</v>
      </c>
      <c r="BQ74" vm="6018">
        <f ca="1"/>
        <v>79.78</v>
      </c>
      <c r="BR74" vm="10200">
        <f ca="1"/>
        <v>80.19</v>
      </c>
      <c r="BS74" vm="1949">
        <f ca="1"/>
        <v>79.760000000000005</v>
      </c>
      <c r="BT74" vm="5961">
        <f ca="1"/>
        <v>79.36</v>
      </c>
      <c r="BU74" vm="14569">
        <f ca="1"/>
        <v>77.67</v>
      </c>
      <c r="BV74" vm="14570">
        <f ca="1"/>
        <v>78.55</v>
      </c>
      <c r="BW74" vm="6050">
        <f ca="1"/>
        <v>78.430000000000007</v>
      </c>
      <c r="BX74" vm="14571">
        <f ca="1"/>
        <v>79.319999999999993</v>
      </c>
      <c r="BY74" vm="14572">
        <f ca="1"/>
        <v>74.41</v>
      </c>
      <c r="BZ74" vm="8761">
        <f ca="1"/>
        <v>69.09</v>
      </c>
      <c r="CA74" vm="14573">
        <f ca="1"/>
        <v>69.23</v>
      </c>
      <c r="CB74" vm="8829">
        <f ca="1"/>
        <v>68.900000000000006</v>
      </c>
      <c r="CC74" vm="7226">
        <f ca="1"/>
        <v>74.53</v>
      </c>
      <c r="CD74" vm="13205">
        <f ca="1"/>
        <v>72.010000000000005</v>
      </c>
      <c r="CE74" vm="8779">
        <f ca="1"/>
        <v>73.319999999999993</v>
      </c>
      <c r="CF74" vm="8904">
        <f ca="1"/>
        <v>74.099999999999994</v>
      </c>
      <c r="CG74" vm="8900">
        <f ca="1"/>
        <v>74.42</v>
      </c>
      <c r="CH74" vm="14574">
        <f ca="1"/>
        <v>73.05</v>
      </c>
      <c r="CI74" vm="14575">
        <f ca="1"/>
        <v>73.569999999999993</v>
      </c>
      <c r="CJ74" vm="14576">
        <f ca="1"/>
        <v>71.989999999999995</v>
      </c>
      <c r="CK74" vm="13489">
        <f ca="1"/>
        <v>74.349999999999994</v>
      </c>
      <c r="CL74" vm="14563">
        <f ca="1"/>
        <v>75.47</v>
      </c>
      <c r="CM74" vm="7223">
        <f ca="1"/>
        <v>76.92</v>
      </c>
      <c r="CN74" vm="7192">
        <f ca="1"/>
        <v>76.790000000000006</v>
      </c>
      <c r="CO74" vm="8944">
        <f ca="1"/>
        <v>76.95</v>
      </c>
      <c r="CP74" vm="14540">
        <f ca="1"/>
        <v>77.63</v>
      </c>
      <c r="CQ74" vm="14577">
        <f ca="1"/>
        <v>77.7</v>
      </c>
      <c r="CR74" vm="14537">
        <f ca="1"/>
        <v>77.78</v>
      </c>
      <c r="CS74" vm="6778">
        <f ca="1"/>
        <v>79.52</v>
      </c>
      <c r="CT74" vm="6127">
        <f ca="1"/>
        <v>78.89</v>
      </c>
      <c r="CU74" vm="14578">
        <f ca="1"/>
        <v>78.36</v>
      </c>
      <c r="CV74" vm="5916">
        <f ca="1"/>
        <v>78.92</v>
      </c>
      <c r="CW74" vm="6018">
        <f ca="1"/>
        <v>79.78</v>
      </c>
      <c r="CX74" vm="6018">
        <f ca="1"/>
        <v>79.78</v>
      </c>
      <c r="CY74" vm="13479">
        <f ca="1"/>
        <v>81.849999999999994</v>
      </c>
      <c r="CZ74" vm="4524">
        <f ca="1"/>
        <v>82.46</v>
      </c>
      <c r="DA74" vm="14579">
        <f ca="1"/>
        <v>82.35</v>
      </c>
      <c r="DB74" vm="14580">
        <f ca="1"/>
        <v>82.89</v>
      </c>
      <c r="DC74" vm="14549">
        <f ca="1"/>
        <v>83.33</v>
      </c>
      <c r="DD74" vm="6779">
        <f ca="1"/>
        <v>83.24</v>
      </c>
      <c r="DE74" vm="1921">
        <f ca="1"/>
        <v>82.82</v>
      </c>
      <c r="DF74" vm="10148">
        <f ca="1"/>
        <v>80.95</v>
      </c>
      <c r="DG74" vm="1878">
        <f ca="1"/>
        <v>81.010000000000005</v>
      </c>
      <c r="DH74" vm="6016">
        <f ca="1"/>
        <v>80.66</v>
      </c>
      <c r="DI74" vm="13506">
        <f ca="1"/>
        <v>82.21</v>
      </c>
      <c r="DJ74" vm="6014">
        <f ca="1"/>
        <v>81.650000000000006</v>
      </c>
      <c r="DK74" vm="5950">
        <f ca="1"/>
        <v>82</v>
      </c>
      <c r="DL74" vm="1927">
        <f ca="1"/>
        <v>81.94</v>
      </c>
      <c r="DM74" vm="1954">
        <f ca="1"/>
        <v>81.96</v>
      </c>
      <c r="DN74" vm="14581">
        <f ca="1"/>
        <v>82.28</v>
      </c>
      <c r="DO74" vm="14582">
        <f ca="1"/>
        <v>81.86</v>
      </c>
      <c r="DP74" vm="5973">
        <f ca="1"/>
        <v>81.72</v>
      </c>
      <c r="DQ74" vm="14583">
        <f ca="1"/>
        <v>82.91</v>
      </c>
      <c r="DR74" vm="10206">
        <f ca="1"/>
        <v>82.67</v>
      </c>
      <c r="DS74" vm="10207">
        <f ca="1"/>
        <v>82.9</v>
      </c>
      <c r="DT74" vm="1424">
        <f ca="1"/>
        <v>82.83</v>
      </c>
      <c r="DU74" vm="2663">
        <f ca="1"/>
        <v>82.61</v>
      </c>
      <c r="DV74" vm="5965">
        <f ca="1"/>
        <v>80.81</v>
      </c>
      <c r="DW74" vm="5998">
        <f ca="1"/>
        <v>81.69</v>
      </c>
      <c r="DX74" vm="14584">
        <f ca="1"/>
        <v>81.150000000000006</v>
      </c>
      <c r="DY74" vm="6006">
        <f ca="1"/>
        <v>81.400000000000006</v>
      </c>
      <c r="DZ74" vm="14585">
        <f ca="1"/>
        <v>81.540000000000006</v>
      </c>
      <c r="EA74" vm="1885">
        <f ca="1"/>
        <v>82.4</v>
      </c>
      <c r="EB74" vm="1969">
        <f ca="1"/>
        <v>83.87</v>
      </c>
      <c r="EC74" vm="14586">
        <f ca="1"/>
        <v>83.86</v>
      </c>
      <c r="ED74" vm="14587">
        <f ca="1"/>
        <v>84.59</v>
      </c>
      <c r="EE74" vm="1973">
        <f ca="1"/>
        <v>84.79</v>
      </c>
      <c r="EF74" vm="12982">
        <f ca="1"/>
        <v>85.6</v>
      </c>
      <c r="EG74" vm="6165">
        <f ca="1"/>
        <v>86.19</v>
      </c>
      <c r="EH74" vm="6766">
        <f ca="1"/>
        <v>86.54</v>
      </c>
      <c r="EI74" vm="6218">
        <f ca="1"/>
        <v>87.42</v>
      </c>
      <c r="EJ74" vm="14588">
        <f ca="1"/>
        <v>86.75</v>
      </c>
      <c r="EK74" vm="8291">
        <f ca="1"/>
        <v>85.95</v>
      </c>
      <c r="EL74" vm="7277">
        <f ca="1"/>
        <v>86.25</v>
      </c>
      <c r="EM74" vm="14589">
        <f ca="1"/>
        <v>86.95</v>
      </c>
      <c r="EN74" vm="14590">
        <f ca="1"/>
        <v>86.2</v>
      </c>
      <c r="EO74" vm="14591">
        <f ca="1"/>
        <v>86.7</v>
      </c>
      <c r="EP74" vm="14592">
        <f ca="1"/>
        <v>85.29</v>
      </c>
      <c r="EQ74" vm="14593">
        <f ca="1"/>
        <v>85.88</v>
      </c>
      <c r="ER74" vm="14594">
        <f ca="1"/>
        <v>86.83</v>
      </c>
      <c r="ES74" vm="6759">
        <f ca="1"/>
        <v>86.98</v>
      </c>
      <c r="ET74" vm="6767">
        <f ca="1"/>
        <v>86.68</v>
      </c>
      <c r="EU74" vm="10221">
        <f ca="1"/>
        <v>86.99</v>
      </c>
      <c r="EV74" vm="7950">
        <f ca="1"/>
        <v>87.98</v>
      </c>
      <c r="EW74" vm="7950">
        <f ca="1"/>
        <v>87.98</v>
      </c>
      <c r="EX74" vm="7293">
        <f ca="1"/>
        <v>88.46</v>
      </c>
      <c r="EY74" vm="4507">
        <f ca="1"/>
        <v>88.06</v>
      </c>
      <c r="EZ74" vm="975">
        <f ca="1"/>
        <v>87.71</v>
      </c>
      <c r="FA74" vm="6793">
        <f ca="1"/>
        <v>87.74</v>
      </c>
      <c r="FB74" vm="6746">
        <f ca="1"/>
        <v>87.04</v>
      </c>
      <c r="FC74" vm="14592">
        <f ca="1"/>
        <v>85.29</v>
      </c>
      <c r="FD74" vm="5581">
        <f ca="1"/>
        <v>86.13</v>
      </c>
      <c r="FE74" vm="6136">
        <f ca="1"/>
        <v>85.77</v>
      </c>
      <c r="FF74" vm="7266">
        <f ca="1"/>
        <v>86.04</v>
      </c>
      <c r="FG74" vm="1971">
        <f ca="1"/>
        <v>85.16</v>
      </c>
      <c r="FH74" vm="6791">
        <f ca="1"/>
        <v>86.01</v>
      </c>
      <c r="FI74" vm="14595">
        <f ca="1"/>
        <v>86</v>
      </c>
      <c r="FJ74" vm="3146">
        <f ca="1"/>
        <v>87.34</v>
      </c>
      <c r="FK74" vm="6074">
        <f ca="1"/>
        <v>87.47</v>
      </c>
      <c r="FL74" vm="6216">
        <f ca="1"/>
        <v>88.01</v>
      </c>
      <c r="FM74" vm="6759">
        <f ca="1"/>
        <v>86.98</v>
      </c>
      <c r="FN74" vm="14596">
        <f ca="1"/>
        <v>87.14</v>
      </c>
      <c r="FO74" vm="6770">
        <f ca="1"/>
        <v>87.01</v>
      </c>
      <c r="FP74" vm="8292">
        <f ca="1"/>
        <v>87.3</v>
      </c>
      <c r="FQ74" vm="6762">
        <f ca="1"/>
        <v>87.06</v>
      </c>
      <c r="FR74" vm="973">
        <f ca="1"/>
        <v>88.76</v>
      </c>
      <c r="FS74" vm="6794">
        <f ca="1"/>
        <v>88.41</v>
      </c>
      <c r="FT74" vm="3135">
        <f ca="1"/>
        <v>89.23</v>
      </c>
      <c r="FU74" vm="1494">
        <f ca="1"/>
        <v>89.34</v>
      </c>
      <c r="FV74" vm="14597">
        <f ca="1"/>
        <v>89.570800000000006</v>
      </c>
      <c r="FW74" vm="7294">
        <f ca="1"/>
        <v>89.69</v>
      </c>
      <c r="FX74" vm="14598">
        <f ca="1"/>
        <v>89.02</v>
      </c>
      <c r="FY74" vm="1499">
        <f ca="1"/>
        <v>88.77</v>
      </c>
      <c r="FZ74" vm="14599">
        <f ca="1"/>
        <v>89.84</v>
      </c>
      <c r="GA74" vm="4510">
        <f ca="1"/>
        <v>88.13</v>
      </c>
      <c r="GB74" vm="3144">
        <f ca="1"/>
        <v>88.31</v>
      </c>
      <c r="GC74" vm="1710">
        <f ca="1"/>
        <v>88.82</v>
      </c>
      <c r="GD74" vm="12461">
        <f ca="1"/>
        <v>88.63</v>
      </c>
      <c r="GE74" vm="3137">
        <f ca="1"/>
        <v>90.01</v>
      </c>
      <c r="GF74" vm="12500">
        <f ca="1"/>
        <v>89.58</v>
      </c>
      <c r="GG74" vm="12500">
        <f ca="1"/>
        <v>89.58</v>
      </c>
      <c r="GH74" vm="14600">
        <f ca="1"/>
        <v>89.25</v>
      </c>
      <c r="GI74" vm="6088">
        <f ca="1"/>
        <v>90.16</v>
      </c>
      <c r="GJ74" vm="7946">
        <f ca="1"/>
        <v>90.32</v>
      </c>
      <c r="GK74" vm="1315">
        <f ca="1"/>
        <v>90.57</v>
      </c>
      <c r="GL74" vm="12521">
        <f ca="1"/>
        <v>90.41</v>
      </c>
      <c r="GM74" vm="12967">
        <f ca="1"/>
        <v>89.89</v>
      </c>
      <c r="GN74" vm="14601">
        <f ca="1"/>
        <v>89.447999999999993</v>
      </c>
      <c r="GO74" vm="4533">
        <f ca="1"/>
        <v>89.27</v>
      </c>
      <c r="GP74" vm="2840">
        <f ca="1"/>
        <v>89.79</v>
      </c>
      <c r="GQ74" vm="1716">
        <f ca="1"/>
        <v>90.2</v>
      </c>
      <c r="GR74" vm="6100">
        <f ca="1"/>
        <v>89.64</v>
      </c>
      <c r="GS74" vm="14602">
        <f ca="1"/>
        <v>88.674999999999997</v>
      </c>
      <c r="GT74" vm="2837">
        <f ca="1"/>
        <v>88.53</v>
      </c>
      <c r="GU74" vm="6101">
        <f ca="1"/>
        <v>89.13</v>
      </c>
      <c r="GV74" vm="7291">
        <f ca="1"/>
        <v>89.1</v>
      </c>
      <c r="GW74" vm="10911">
        <f ca="1"/>
        <v>89.03</v>
      </c>
      <c r="GX74" vm="6198">
        <f ca="1"/>
        <v>88.52</v>
      </c>
      <c r="GY74" vm="6847">
        <f ca="1"/>
        <v>88.32</v>
      </c>
      <c r="GZ74" vm="6165">
        <f ca="1"/>
        <v>86.19</v>
      </c>
      <c r="HA74" vm="14603">
        <f ca="1"/>
        <v>87.33</v>
      </c>
      <c r="HB74" vm="3144">
        <f ca="1"/>
        <v>88.31</v>
      </c>
      <c r="HC74" vm="6092">
        <f ca="1"/>
        <v>88.56</v>
      </c>
      <c r="HD74" vm="6165">
        <f ca="1"/>
        <v>86.19</v>
      </c>
      <c r="HE74" vm="14604">
        <f ca="1"/>
        <v>86.84</v>
      </c>
      <c r="HF74" vm="1841">
        <f ca="1"/>
        <v>88.14</v>
      </c>
      <c r="HG74" vm="14605">
        <f ca="1"/>
        <v>87.92</v>
      </c>
      <c r="HH74" vm="12434">
        <f ca="1"/>
        <v>87.31</v>
      </c>
      <c r="HI74" vm="14606">
        <f ca="1"/>
        <v>87.54</v>
      </c>
      <c r="HJ74" vm="12498">
        <f ca="1"/>
        <v>88.72</v>
      </c>
      <c r="HK74" vm="6194">
        <f ca="1"/>
        <v>89.11</v>
      </c>
      <c r="HL74" vm="12498">
        <f ca="1"/>
        <v>88.72</v>
      </c>
      <c r="HM74" vm="14607">
        <f ca="1"/>
        <v>87.62</v>
      </c>
      <c r="HN74" vm="4532">
        <f ca="1"/>
        <v>87.83</v>
      </c>
      <c r="HO74" vm="4510">
        <f ca="1"/>
        <v>88.13</v>
      </c>
      <c r="HP74" vm="974">
        <f ca="1"/>
        <v>87.89</v>
      </c>
      <c r="HQ74" vm="6846">
        <f ca="1"/>
        <v>88.05</v>
      </c>
      <c r="HR74" vm="88">
        <f ca="1"/>
        <v>88.42</v>
      </c>
      <c r="HS74" vm="6795">
        <f ca="1"/>
        <v>88.12</v>
      </c>
      <c r="HT74" vm="6155">
        <f ca="1"/>
        <v>88.66</v>
      </c>
      <c r="HU74" vm="6750">
        <f ca="1"/>
        <v>89</v>
      </c>
      <c r="HV74" vm="1497">
        <f ca="1"/>
        <v>89.36</v>
      </c>
      <c r="HW74" vm="12503">
        <f ca="1"/>
        <v>90.17</v>
      </c>
      <c r="HX74" vm="6844">
        <f ca="1"/>
        <v>88.67</v>
      </c>
      <c r="HY74" vm="6111">
        <f ca="1"/>
        <v>87.78</v>
      </c>
      <c r="HZ74" vm="14593">
        <f ca="1"/>
        <v>85.88</v>
      </c>
      <c r="IA74" vm="14608">
        <f ca="1"/>
        <v>85.775000000000006</v>
      </c>
      <c r="IB74" vm="1705">
        <f ca="1"/>
        <v>86.34</v>
      </c>
      <c r="IC74" vm="1706">
        <f ca="1"/>
        <v>85.33</v>
      </c>
      <c r="ID74" vm="1707">
        <f ca="1"/>
        <v>86.33</v>
      </c>
      <c r="IE74" vm="1708">
        <f ca="1"/>
        <v>86.93</v>
      </c>
      <c r="IF74" vm="1709">
        <f ca="1"/>
        <v>88.09</v>
      </c>
      <c r="IG74" vm="1710">
        <f ca="1"/>
        <v>88.82</v>
      </c>
      <c r="IH74" vm="1711">
        <f ca="1"/>
        <v>89.49</v>
      </c>
      <c r="II74" vm="1712">
        <f ca="1"/>
        <v>88.79</v>
      </c>
      <c r="IJ74" vm="1499">
        <f ca="1"/>
        <v>88.77</v>
      </c>
      <c r="IK74" vm="1713">
        <f ca="1"/>
        <v>90.14</v>
      </c>
      <c r="IL74" vm="1714">
        <f ca="1"/>
        <v>90.39</v>
      </c>
      <c r="IM74" vm="1715">
        <f ca="1"/>
        <v>90.52</v>
      </c>
      <c r="IN74" vm="1716">
        <f ca="1"/>
        <v>90.2</v>
      </c>
      <c r="IO74" vm="1717">
        <f ca="1"/>
        <v>89.82</v>
      </c>
      <c r="IP74" vm="1718">
        <f ca="1"/>
        <v>91.066000000000003</v>
      </c>
      <c r="IQ74" vm="1719">
        <f ca="1"/>
        <v>92.575000000000003</v>
      </c>
      <c r="IR74" vm="1720">
        <f ca="1"/>
        <v>92.47</v>
      </c>
      <c r="IS74" vm="1720">
        <f ca="1"/>
        <v>92.47</v>
      </c>
      <c r="IT74" vm="1721">
        <f ca="1"/>
        <v>91.64</v>
      </c>
      <c r="IU74" vm="1722">
        <f ca="1"/>
        <v>91.61</v>
      </c>
      <c r="IV74" vm="1723">
        <f ca="1"/>
        <v>91.54</v>
      </c>
      <c r="IW74" vm="126">
        <f ca="1"/>
        <v>92.13</v>
      </c>
    </row>
    <row r="75" spans="1:257" ht="16" x14ac:dyDescent="0.2">
      <c r="A75" s="13" t="e" vm="1724">
        <v>#VALUE!</v>
      </c>
      <c r="B75" s="23" t="str" cm="1">
        <f t="array" aca="1" ref="B75" ca="1">_FV(A75,"ticker symbol",TRUE)</f>
        <v>VFH</v>
      </c>
      <c r="C75" s="23" t="str" cm="1">
        <f t="array" aca="1" ref="C75" ca="1">_FV(A75,"Name")</f>
        <v>Vanguard Finl Indx;ETF</v>
      </c>
      <c r="D75" cm="1" vm="14609">
        <f t="array" aca="1" ref="D75:IW75" ca="1">TRANSPOSE(_xlfn.STOCKHISTORY(B75, WORKDAY(TODAY(), -265), TODAY(), 0, 0, 1))</f>
        <v>121.99</v>
      </c>
      <c r="E75" s="23" vm="12350">
        <f ca="1"/>
        <v>120.84</v>
      </c>
      <c r="F75" s="23" vm="14429">
        <f ca="1"/>
        <v>116.12</v>
      </c>
      <c r="G75" s="23" vm="14610">
        <f ca="1"/>
        <v>116.48</v>
      </c>
      <c r="H75" s="23" vm="14611">
        <f ca="1"/>
        <v>118.1</v>
      </c>
      <c r="I75" s="23" vm="14612">
        <f ca="1"/>
        <v>118.36</v>
      </c>
      <c r="J75" s="23" vm="14613">
        <f ca="1"/>
        <v>119.86</v>
      </c>
      <c r="K75" s="23" vm="14614">
        <f ca="1"/>
        <v>120.11</v>
      </c>
      <c r="L75" s="23" vm="12111">
        <f ca="1"/>
        <v>119.27</v>
      </c>
      <c r="M75" s="23" vm="14615">
        <f ca="1"/>
        <v>118.05</v>
      </c>
      <c r="N75" s="23" vm="8352">
        <f ca="1"/>
        <v>118.07</v>
      </c>
      <c r="O75" s="23" vm="14616">
        <f ca="1"/>
        <v>117.83</v>
      </c>
      <c r="P75" s="23" vm="14617">
        <f ca="1"/>
        <v>118.9</v>
      </c>
      <c r="Q75" s="23" vm="5663">
        <f ca="1"/>
        <v>118.58</v>
      </c>
      <c r="R75" s="23" vm="14618">
        <f ca="1"/>
        <v>118.27</v>
      </c>
      <c r="S75" s="23" vm="1407">
        <f ca="1"/>
        <v>118.46</v>
      </c>
      <c r="T75" s="23" vm="5654">
        <f ca="1"/>
        <v>115.47</v>
      </c>
      <c r="U75" s="23" vm="14619">
        <f ca="1"/>
        <v>116.19</v>
      </c>
      <c r="V75" s="23" vm="14620">
        <f ca="1"/>
        <v>117.95</v>
      </c>
      <c r="W75" s="23" vm="14621">
        <f ca="1"/>
        <v>121.06</v>
      </c>
      <c r="X75" s="23" vm="14622">
        <f ca="1"/>
        <v>121.67</v>
      </c>
      <c r="Y75" s="23" vm="14623">
        <f ca="1"/>
        <v>122.8</v>
      </c>
      <c r="Z75" s="23" vm="14624">
        <f ca="1"/>
        <v>123.98</v>
      </c>
      <c r="AA75" s="23" vm="6618">
        <f ca="1"/>
        <v>123.49</v>
      </c>
      <c r="AB75" s="23" vm="14625">
        <f ca="1"/>
        <v>124.12</v>
      </c>
      <c r="AC75" s="23" vm="14626">
        <f ca="1"/>
        <v>124.43</v>
      </c>
      <c r="AD75" vm="12273">
        <f ca="1"/>
        <v>125.5</v>
      </c>
      <c r="AE75" vm="14627">
        <f ca="1"/>
        <v>125.41</v>
      </c>
      <c r="AF75" vm="12345">
        <f ca="1"/>
        <v>125.45</v>
      </c>
      <c r="AG75" vm="12889">
        <f ca="1"/>
        <v>126.69</v>
      </c>
      <c r="AH75" vm="14628">
        <f ca="1"/>
        <v>125.88</v>
      </c>
      <c r="AI75" vm="14629">
        <f ca="1"/>
        <v>125.13</v>
      </c>
      <c r="AJ75" vm="14630">
        <f ca="1"/>
        <v>125.01</v>
      </c>
      <c r="AK75" vm="12128">
        <f ca="1"/>
        <v>126.28</v>
      </c>
      <c r="AL75" vm="14422">
        <f ca="1"/>
        <v>127.23</v>
      </c>
      <c r="AM75" vm="14631">
        <f ca="1"/>
        <v>126.66</v>
      </c>
      <c r="AN75" vm="14632">
        <f ca="1"/>
        <v>125.61</v>
      </c>
      <c r="AO75" vm="12413">
        <f ca="1"/>
        <v>125.93</v>
      </c>
      <c r="AP75" vm="14633">
        <f ca="1"/>
        <v>125.28</v>
      </c>
      <c r="AQ75" vm="6620">
        <f ca="1"/>
        <v>126.35</v>
      </c>
      <c r="AR75" vm="14634">
        <f ca="1"/>
        <v>126.48</v>
      </c>
      <c r="AS75" vm="14416">
        <f ca="1"/>
        <v>127.34</v>
      </c>
      <c r="AT75" vm="724">
        <f ca="1"/>
        <v>127.19</v>
      </c>
      <c r="AU75" vm="14635">
        <f ca="1"/>
        <v>125.14</v>
      </c>
      <c r="AV75" vm="12342">
        <f ca="1"/>
        <v>123.27</v>
      </c>
      <c r="AW75" vm="6618">
        <f ca="1"/>
        <v>123.49</v>
      </c>
      <c r="AX75" vm="14636">
        <f ca="1"/>
        <v>123.14</v>
      </c>
      <c r="AY75" vm="14637">
        <f ca="1"/>
        <v>123.09</v>
      </c>
      <c r="AZ75" vm="12355">
        <f ca="1"/>
        <v>123.64</v>
      </c>
      <c r="BA75" vm="14638">
        <f ca="1"/>
        <v>126.11</v>
      </c>
      <c r="BB75" vm="14639">
        <f ca="1"/>
        <v>124.89</v>
      </c>
      <c r="BC75" vm="12309">
        <f ca="1"/>
        <v>120.5</v>
      </c>
      <c r="BD75" vm="12226">
        <f ca="1"/>
        <v>121.23</v>
      </c>
      <c r="BE75" vm="14640">
        <f ca="1"/>
        <v>119.17</v>
      </c>
      <c r="BF75" vm="14641">
        <f ca="1"/>
        <v>118.69</v>
      </c>
      <c r="BG75" vm="8017">
        <f ca="1"/>
        <v>115.37</v>
      </c>
      <c r="BH75" vm="14642">
        <f ca="1"/>
        <v>114.55</v>
      </c>
      <c r="BI75" vm="14643">
        <f ca="1"/>
        <v>114.89</v>
      </c>
      <c r="BJ75" vm="14644">
        <f ca="1"/>
        <v>114.07</v>
      </c>
      <c r="BK75" vm="395">
        <f ca="1"/>
        <v>116.81</v>
      </c>
      <c r="BL75" vm="14645">
        <f ca="1"/>
        <v>118.25</v>
      </c>
      <c r="BM75" vm="14646">
        <f ca="1"/>
        <v>117.96</v>
      </c>
      <c r="BN75" vm="12148">
        <f ca="1"/>
        <v>119.3</v>
      </c>
      <c r="BO75" vm="14647">
        <f ca="1"/>
        <v>119.38</v>
      </c>
      <c r="BP75" vm="8349">
        <f ca="1"/>
        <v>119.02</v>
      </c>
      <c r="BQ75" vm="14648">
        <f ca="1"/>
        <v>121.33</v>
      </c>
      <c r="BR75" vm="14649">
        <f ca="1"/>
        <v>121.44</v>
      </c>
      <c r="BS75" vm="14650">
        <f ca="1"/>
        <v>120.91</v>
      </c>
      <c r="BT75" vm="14651">
        <f ca="1"/>
        <v>120.51</v>
      </c>
      <c r="BU75" vm="14652">
        <f ca="1"/>
        <v>118.03</v>
      </c>
      <c r="BV75" vm="3229">
        <f ca="1"/>
        <v>119.47</v>
      </c>
      <c r="BW75" vm="12109">
        <f ca="1"/>
        <v>119.37</v>
      </c>
      <c r="BX75" vm="14653">
        <f ca="1"/>
        <v>120.56</v>
      </c>
      <c r="BY75" vm="10973">
        <f ca="1"/>
        <v>113.85</v>
      </c>
      <c r="BZ75" vm="10952">
        <f ca="1"/>
        <v>105.71</v>
      </c>
      <c r="CA75" vm="14654">
        <f ca="1"/>
        <v>105.35</v>
      </c>
      <c r="CB75" vm="14655">
        <f ca="1"/>
        <v>104.87</v>
      </c>
      <c r="CC75" vm="14656">
        <f ca="1"/>
        <v>113.09</v>
      </c>
      <c r="CD75" vm="688">
        <f ca="1"/>
        <v>109.46</v>
      </c>
      <c r="CE75" vm="12332">
        <f ca="1"/>
        <v>111.22</v>
      </c>
      <c r="CF75" vm="12019">
        <f ca="1"/>
        <v>112.53</v>
      </c>
      <c r="CG75" vm="14657">
        <f ca="1"/>
        <v>112.89</v>
      </c>
      <c r="CH75" vm="10976">
        <f ca="1"/>
        <v>111.13</v>
      </c>
      <c r="CI75" vm="10843">
        <f ca="1"/>
        <v>111.6</v>
      </c>
      <c r="CJ75" vm="14658">
        <f ca="1"/>
        <v>109.17</v>
      </c>
      <c r="CK75" vm="14659">
        <f ca="1"/>
        <v>112.83</v>
      </c>
      <c r="CL75" vm="14660">
        <f ca="1"/>
        <v>114.22</v>
      </c>
      <c r="CM75" vm="8044">
        <f ca="1"/>
        <v>115.7</v>
      </c>
      <c r="CN75" vm="8339">
        <f ca="1"/>
        <v>115.19</v>
      </c>
      <c r="CO75" vm="14661">
        <f ca="1"/>
        <v>115.61</v>
      </c>
      <c r="CP75" vm="14662">
        <f ca="1"/>
        <v>116.75</v>
      </c>
      <c r="CQ75" vm="5670">
        <f ca="1"/>
        <v>116.71</v>
      </c>
      <c r="CR75" vm="14663">
        <f ca="1"/>
        <v>116.77</v>
      </c>
      <c r="CS75" vm="12110">
        <f ca="1"/>
        <v>119.25</v>
      </c>
      <c r="CT75" vm="14664">
        <f ca="1"/>
        <v>118.7</v>
      </c>
      <c r="CU75" vm="14665">
        <f ca="1"/>
        <v>118.02</v>
      </c>
      <c r="CV75" vm="14641">
        <f ca="1"/>
        <v>118.69</v>
      </c>
      <c r="CW75" vm="14666">
        <f ca="1"/>
        <v>119.99</v>
      </c>
      <c r="CX75" vm="12178">
        <f ca="1"/>
        <v>119.94</v>
      </c>
      <c r="CY75" vm="14667">
        <f ca="1"/>
        <v>122.76</v>
      </c>
      <c r="CZ75" vm="14668">
        <f ca="1"/>
        <v>123.44</v>
      </c>
      <c r="DA75" vm="14669">
        <f ca="1"/>
        <v>123.18</v>
      </c>
      <c r="DB75" vm="12308">
        <f ca="1"/>
        <v>123.87</v>
      </c>
      <c r="DC75" vm="14670">
        <f ca="1"/>
        <v>124.69</v>
      </c>
      <c r="DD75" vm="2303">
        <f ca="1"/>
        <v>124.7</v>
      </c>
      <c r="DE75" vm="14671">
        <f ca="1"/>
        <v>124.03</v>
      </c>
      <c r="DF75" vm="14672">
        <f ca="1"/>
        <v>121.17</v>
      </c>
      <c r="DG75" vm="12871">
        <f ca="1"/>
        <v>121.16</v>
      </c>
      <c r="DH75" vm="14673">
        <f ca="1"/>
        <v>120.77</v>
      </c>
      <c r="DI75" vm="14674">
        <f ca="1"/>
        <v>123.05</v>
      </c>
      <c r="DJ75" vm="14675">
        <f ca="1"/>
        <v>122.11</v>
      </c>
      <c r="DK75" vm="14676">
        <f ca="1"/>
        <v>122.73</v>
      </c>
      <c r="DL75" vm="14677">
        <f ca="1"/>
        <v>122.88</v>
      </c>
      <c r="DM75" vm="14432">
        <f ca="1"/>
        <v>123</v>
      </c>
      <c r="DN75" vm="12347">
        <f ca="1"/>
        <v>123.51</v>
      </c>
      <c r="DO75" vm="14678">
        <f ca="1"/>
        <v>122.77</v>
      </c>
      <c r="DP75" vm="14679">
        <f ca="1"/>
        <v>122.47</v>
      </c>
      <c r="DQ75" vm="14680">
        <f ca="1"/>
        <v>124.19</v>
      </c>
      <c r="DR75" vm="14681">
        <f ca="1"/>
        <v>123.61</v>
      </c>
      <c r="DS75" vm="14682">
        <f ca="1"/>
        <v>123.72</v>
      </c>
      <c r="DT75" vm="14683">
        <f ca="1"/>
        <v>123.59</v>
      </c>
      <c r="DU75" vm="14684">
        <f ca="1"/>
        <v>123.56</v>
      </c>
      <c r="DV75" vm="14685">
        <f ca="1"/>
        <v>120.97</v>
      </c>
      <c r="DW75" vm="14686">
        <f ca="1"/>
        <v>122.42</v>
      </c>
      <c r="DX75" vm="14687">
        <f ca="1"/>
        <v>121.53</v>
      </c>
      <c r="DY75" vm="14688">
        <f ca="1"/>
        <v>121.76</v>
      </c>
      <c r="DZ75" vm="12252">
        <f ca="1"/>
        <v>122.15</v>
      </c>
      <c r="EA75" vm="1411">
        <f ca="1"/>
        <v>123.66</v>
      </c>
      <c r="EB75" vm="1725">
        <f ca="1"/>
        <v>125.47</v>
      </c>
      <c r="EC75" vm="12879">
        <f ca="1"/>
        <v>125.12</v>
      </c>
      <c r="ED75" vm="12365">
        <f ca="1"/>
        <v>125.8</v>
      </c>
      <c r="EE75" vm="12363">
        <f ca="1"/>
        <v>126.14</v>
      </c>
      <c r="EF75" vm="12136">
        <f ca="1"/>
        <v>127.3</v>
      </c>
      <c r="EG75" vm="14689">
        <f ca="1"/>
        <v>128.13</v>
      </c>
      <c r="EH75" vm="12274">
        <f ca="1"/>
        <v>128.33000000000001</v>
      </c>
      <c r="EI75" vm="12305">
        <f ca="1"/>
        <v>129.58000000000001</v>
      </c>
      <c r="EJ75" vm="14690">
        <f ca="1"/>
        <v>128.44</v>
      </c>
      <c r="EK75" vm="14691">
        <f ca="1"/>
        <v>127.42</v>
      </c>
      <c r="EL75" vm="12882">
        <f ca="1"/>
        <v>127.86</v>
      </c>
      <c r="EM75" vm="14438">
        <f ca="1"/>
        <v>128.68</v>
      </c>
      <c r="EN75" vm="14692">
        <f ca="1"/>
        <v>127.32</v>
      </c>
      <c r="EO75" vm="12275">
        <f ca="1"/>
        <v>128.34</v>
      </c>
      <c r="EP75" vm="14693">
        <f ca="1"/>
        <v>126</v>
      </c>
      <c r="EQ75" vm="14694">
        <f ca="1"/>
        <v>127.06</v>
      </c>
      <c r="ER75" vm="12377">
        <f ca="1"/>
        <v>128.46</v>
      </c>
      <c r="ES75" vm="14695">
        <f ca="1"/>
        <v>128.47</v>
      </c>
      <c r="ET75" vm="14696">
        <f ca="1"/>
        <v>128.06</v>
      </c>
      <c r="EU75" vm="14420">
        <f ca="1"/>
        <v>128.74</v>
      </c>
      <c r="EV75" vm="14697">
        <f ca="1"/>
        <v>129.61000000000001</v>
      </c>
      <c r="EW75" vm="12375">
        <f ca="1"/>
        <v>129.41</v>
      </c>
      <c r="EX75" vm="14698">
        <f ca="1"/>
        <v>130.30000000000001</v>
      </c>
      <c r="EY75" vm="12393">
        <f ca="1"/>
        <v>129.54</v>
      </c>
      <c r="EZ75" vm="12126">
        <f ca="1"/>
        <v>128.86000000000001</v>
      </c>
      <c r="FA75" vm="8380">
        <f ca="1"/>
        <v>128.5</v>
      </c>
      <c r="FB75" vm="12364">
        <f ca="1"/>
        <v>127.78</v>
      </c>
      <c r="FC75" vm="14699">
        <f ca="1"/>
        <v>125.23</v>
      </c>
      <c r="FD75" vm="14700">
        <f ca="1"/>
        <v>126.78</v>
      </c>
      <c r="FE75" vm="14701">
        <f ca="1"/>
        <v>126.3</v>
      </c>
      <c r="FF75" vm="8377">
        <f ca="1"/>
        <v>126.81</v>
      </c>
      <c r="FG75" vm="14702">
        <f ca="1"/>
        <v>125.54</v>
      </c>
      <c r="FH75" vm="14631">
        <f ca="1"/>
        <v>126.66</v>
      </c>
      <c r="FI75" vm="14703">
        <f ca="1"/>
        <v>126.64</v>
      </c>
      <c r="FJ75" vm="14695">
        <f ca="1"/>
        <v>128.47</v>
      </c>
      <c r="FK75" vm="14704">
        <f ca="1"/>
        <v>129.18</v>
      </c>
      <c r="FL75" vm="12900">
        <f ca="1"/>
        <v>129.72999999999999</v>
      </c>
      <c r="FM75" vm="12275">
        <f ca="1"/>
        <v>128.34</v>
      </c>
      <c r="FN75" vm="14705">
        <f ca="1"/>
        <v>128.49</v>
      </c>
      <c r="FO75" vm="8380">
        <f ca="1"/>
        <v>128.5</v>
      </c>
      <c r="FP75" vm="14706">
        <f ca="1"/>
        <v>129.04</v>
      </c>
      <c r="FQ75" vm="14707">
        <f ca="1"/>
        <v>128.63</v>
      </c>
      <c r="FR75" vm="14708">
        <f ca="1"/>
        <v>131.16</v>
      </c>
      <c r="FS75" vm="14709">
        <f ca="1"/>
        <v>130.44</v>
      </c>
      <c r="FT75" vm="14710">
        <f ca="1"/>
        <v>131.38999999999999</v>
      </c>
      <c r="FU75" vm="12821">
        <f ca="1"/>
        <v>131.57</v>
      </c>
      <c r="FV75" vm="14711">
        <f ca="1"/>
        <v>131.72</v>
      </c>
      <c r="FW75" vm="14712">
        <f ca="1"/>
        <v>131.97</v>
      </c>
      <c r="FX75" vm="14713">
        <f ca="1"/>
        <v>130.97</v>
      </c>
      <c r="FY75" vm="14714">
        <f ca="1"/>
        <v>130.75</v>
      </c>
      <c r="FZ75" vm="6453">
        <f ca="1"/>
        <v>132.16</v>
      </c>
      <c r="GA75" vm="12158">
        <f ca="1"/>
        <v>129.97999999999999</v>
      </c>
      <c r="GB75" vm="14715">
        <f ca="1"/>
        <v>130.21</v>
      </c>
      <c r="GC75" vm="14716">
        <f ca="1"/>
        <v>130.69</v>
      </c>
      <c r="GD75" vm="6495">
        <f ca="1"/>
        <v>130.29</v>
      </c>
      <c r="GE75" vm="12371">
        <f ca="1"/>
        <v>132.29</v>
      </c>
      <c r="GF75" vm="14717">
        <f ca="1"/>
        <v>131.66</v>
      </c>
      <c r="GG75" vm="14718">
        <f ca="1"/>
        <v>131.38</v>
      </c>
      <c r="GH75" vm="14719">
        <f ca="1"/>
        <v>130.97999999999999</v>
      </c>
      <c r="GI75" vm="12371">
        <f ca="1"/>
        <v>132.29</v>
      </c>
      <c r="GJ75" vm="14720">
        <f ca="1"/>
        <v>132.71</v>
      </c>
      <c r="GK75" vm="12360">
        <f ca="1"/>
        <v>132.78</v>
      </c>
      <c r="GL75" vm="14721">
        <f ca="1"/>
        <v>132.58000000000001</v>
      </c>
      <c r="GM75" vm="14722">
        <f ca="1"/>
        <v>131.99</v>
      </c>
      <c r="GN75" vm="14723">
        <f ca="1"/>
        <v>131.01</v>
      </c>
      <c r="GO75" vm="12322">
        <f ca="1"/>
        <v>130.68</v>
      </c>
      <c r="GP75" vm="12271">
        <f ca="1"/>
        <v>131.53</v>
      </c>
      <c r="GQ75" vm="14724">
        <f ca="1"/>
        <v>132</v>
      </c>
      <c r="GR75" vm="14725">
        <f ca="1"/>
        <v>131.24</v>
      </c>
      <c r="GS75" vm="14726">
        <f ca="1"/>
        <v>130.05000000000001</v>
      </c>
      <c r="GT75" vm="14727">
        <f ca="1"/>
        <v>130.03</v>
      </c>
      <c r="GU75" vm="12412">
        <f ca="1"/>
        <v>131</v>
      </c>
      <c r="GV75" vm="14728">
        <f ca="1"/>
        <v>130.86000000000001</v>
      </c>
      <c r="GW75" vm="14729">
        <f ca="1"/>
        <v>130.94999999999999</v>
      </c>
      <c r="GX75" vm="1282">
        <f ca="1"/>
        <v>130.41</v>
      </c>
      <c r="GY75" vm="14730">
        <f ca="1"/>
        <v>129.87</v>
      </c>
      <c r="GZ75" vm="12366">
        <f ca="1"/>
        <v>126.88</v>
      </c>
      <c r="HA75" vm="14731">
        <f ca="1"/>
        <v>128.19</v>
      </c>
      <c r="HB75" vm="14732">
        <f ca="1"/>
        <v>129.9</v>
      </c>
      <c r="HC75" vm="14733">
        <f ca="1"/>
        <v>129.6</v>
      </c>
      <c r="HD75" vm="14734">
        <f ca="1"/>
        <v>125.75</v>
      </c>
      <c r="HE75" vm="12421">
        <f ca="1"/>
        <v>126.82</v>
      </c>
      <c r="HF75" vm="14735">
        <f ca="1"/>
        <v>128.44999999999999</v>
      </c>
      <c r="HG75" vm="14690">
        <f ca="1"/>
        <v>128.44</v>
      </c>
      <c r="HH75" vm="14736">
        <f ca="1"/>
        <v>127.73</v>
      </c>
      <c r="HI75" vm="14737">
        <f ca="1"/>
        <v>127.98</v>
      </c>
      <c r="HJ75" vm="12375">
        <f ca="1"/>
        <v>129.41</v>
      </c>
      <c r="HK75" vm="14738">
        <f ca="1"/>
        <v>129.91</v>
      </c>
      <c r="HL75" vm="14739">
        <f ca="1"/>
        <v>129.12</v>
      </c>
      <c r="HM75" vm="14740">
        <f ca="1"/>
        <v>126.87</v>
      </c>
      <c r="HN75" vm="14741">
        <f ca="1"/>
        <v>127.1</v>
      </c>
      <c r="HO75" vm="8402">
        <f ca="1"/>
        <v>127.52</v>
      </c>
      <c r="HP75" vm="14742">
        <f ca="1"/>
        <v>127.11</v>
      </c>
      <c r="HQ75" vm="14743">
        <f ca="1"/>
        <v>127.64</v>
      </c>
      <c r="HR75" vm="14744">
        <f ca="1"/>
        <v>128.16</v>
      </c>
      <c r="HS75" vm="14745">
        <f ca="1"/>
        <v>127.58</v>
      </c>
      <c r="HT75" vm="14746">
        <f ca="1"/>
        <v>128.58000000000001</v>
      </c>
      <c r="HU75" vm="14706">
        <f ca="1"/>
        <v>129.04</v>
      </c>
      <c r="HV75" vm="9399">
        <f ca="1"/>
        <v>129.62</v>
      </c>
      <c r="HW75" vm="14714">
        <f ca="1"/>
        <v>130.75</v>
      </c>
      <c r="HX75" vm="12373">
        <f ca="1"/>
        <v>128.84</v>
      </c>
      <c r="HY75" vm="14747">
        <f ca="1"/>
        <v>127.71</v>
      </c>
      <c r="HZ75" vm="1274">
        <f ca="1"/>
        <v>125.06</v>
      </c>
      <c r="IA75" vm="14748">
        <f ca="1"/>
        <v>124.97</v>
      </c>
      <c r="IB75" vm="1725">
        <f ca="1"/>
        <v>125.47</v>
      </c>
      <c r="IC75" vm="1726">
        <f ca="1"/>
        <v>124.33</v>
      </c>
      <c r="ID75" vm="1727">
        <f ca="1"/>
        <v>125.95</v>
      </c>
      <c r="IE75" vm="1728">
        <f ca="1"/>
        <v>126.47</v>
      </c>
      <c r="IF75" vm="1288">
        <f ca="1"/>
        <v>128.30000000000001</v>
      </c>
      <c r="IG75" vm="1729">
        <f ca="1"/>
        <v>129.22</v>
      </c>
      <c r="IH75" vm="1730">
        <f ca="1"/>
        <v>130</v>
      </c>
      <c r="II75" vm="1731">
        <f ca="1"/>
        <v>129.15</v>
      </c>
      <c r="IJ75" vm="1732">
        <f ca="1"/>
        <v>128.94999999999999</v>
      </c>
      <c r="IK75" vm="1733">
        <f ca="1"/>
        <v>130.76</v>
      </c>
      <c r="IL75" vm="1734">
        <f ca="1"/>
        <v>131.07</v>
      </c>
      <c r="IM75" vm="1735">
        <f ca="1"/>
        <v>131.02000000000001</v>
      </c>
      <c r="IN75" vm="1736">
        <f ca="1"/>
        <v>130.59</v>
      </c>
      <c r="IO75" vm="1737">
        <f ca="1"/>
        <v>130.32</v>
      </c>
      <c r="IP75" vm="1738">
        <f ca="1"/>
        <v>132.06</v>
      </c>
      <c r="IQ75" vm="1739">
        <f ca="1"/>
        <v>134.37</v>
      </c>
      <c r="IR75" vm="1740">
        <f ca="1"/>
        <v>134.38999999999999</v>
      </c>
      <c r="IS75" vm="1741">
        <f ca="1"/>
        <v>134.44</v>
      </c>
      <c r="IT75" vm="1742">
        <f ca="1"/>
        <v>133.69</v>
      </c>
      <c r="IU75" vm="1743">
        <f ca="1"/>
        <v>132.88</v>
      </c>
      <c r="IV75" vm="1744">
        <f ca="1"/>
        <v>132.86000000000001</v>
      </c>
      <c r="IW75" vm="127">
        <f ca="1"/>
        <v>133.63999999999999</v>
      </c>
    </row>
    <row r="76" spans="1:257" ht="16" x14ac:dyDescent="0.2">
      <c r="A76" s="13" t="e" vm="1745">
        <v>#VALUE!</v>
      </c>
      <c r="B76" s="23" t="str" cm="1">
        <f t="array" aca="1" ref="B76" ca="1">_FV(A76,"ticker symbol",TRUE)</f>
        <v>ITA</v>
      </c>
      <c r="C76" s="23" t="str" cm="1">
        <f t="array" aca="1" ref="C76" ca="1">_FV(A76,"Name")</f>
        <v>iShares:US Aer&amp;Def ETF</v>
      </c>
      <c r="D76" cm="1" vm="12939">
        <f t="array" aca="1" ref="D76:IW76" ca="1">TRANSPOSE(_xlfn.STOCKHISTORY(B76, WORKDAY(TODAY(), -265), TODAY(), 0, 0, 1))</f>
        <v>149.62</v>
      </c>
      <c r="E76" s="23" vm="14749">
        <f ca="1"/>
        <v>147.86000000000001</v>
      </c>
      <c r="F76" s="23" vm="14750">
        <f ca="1"/>
        <v>143.03</v>
      </c>
      <c r="G76" s="23" vm="6383">
        <f ca="1"/>
        <v>144.31</v>
      </c>
      <c r="H76" s="23" vm="14751">
        <f ca="1"/>
        <v>146.32</v>
      </c>
      <c r="I76" s="23" vm="14752">
        <f ca="1"/>
        <v>146.51</v>
      </c>
      <c r="J76" s="23" vm="14749">
        <f ca="1"/>
        <v>147.86000000000001</v>
      </c>
      <c r="K76" s="23" vm="6390">
        <f ca="1"/>
        <v>148.44999999999999</v>
      </c>
      <c r="L76" s="23" vm="1771">
        <f ca="1"/>
        <v>147.62</v>
      </c>
      <c r="M76" s="23" vm="14753">
        <f ca="1"/>
        <v>145.71</v>
      </c>
      <c r="N76" s="23" vm="14754">
        <f ca="1"/>
        <v>145.35</v>
      </c>
      <c r="O76" s="23" vm="14755">
        <f ca="1"/>
        <v>144.86000000000001</v>
      </c>
      <c r="P76" s="23" vm="14399">
        <f ca="1"/>
        <v>146.19999999999999</v>
      </c>
      <c r="Q76" s="23" vm="6416">
        <f ca="1"/>
        <v>144.97</v>
      </c>
      <c r="R76" s="23" vm="14756">
        <f ca="1"/>
        <v>144.84</v>
      </c>
      <c r="S76" s="23" vm="14757">
        <f ca="1"/>
        <v>146</v>
      </c>
      <c r="T76" s="23" vm="14758">
        <f ca="1"/>
        <v>145.08000000000001</v>
      </c>
      <c r="U76" s="23" vm="14523">
        <f ca="1"/>
        <v>146.13</v>
      </c>
      <c r="V76" s="23" vm="14759">
        <f ca="1"/>
        <v>148.08000000000001</v>
      </c>
      <c r="W76" s="23" vm="6399">
        <f ca="1"/>
        <v>148.88999999999999</v>
      </c>
      <c r="X76" s="23" vm="510">
        <f ca="1"/>
        <v>150.35</v>
      </c>
      <c r="Y76" s="23" vm="14760">
        <f ca="1"/>
        <v>151.62</v>
      </c>
      <c r="Z76" s="23" vm="14761">
        <f ca="1"/>
        <v>156.5</v>
      </c>
      <c r="AA76" s="23" vm="14491">
        <f ca="1"/>
        <v>155.58000000000001</v>
      </c>
      <c r="AB76" s="23" vm="14762">
        <f ca="1"/>
        <v>158.5</v>
      </c>
      <c r="AC76" s="23" vm="14763">
        <f ca="1"/>
        <v>156.72</v>
      </c>
      <c r="AD76" vm="14764">
        <f ca="1"/>
        <v>155.02000000000001</v>
      </c>
      <c r="AE76" vm="14765">
        <f ca="1"/>
        <v>154.93</v>
      </c>
      <c r="AF76" vm="2320">
        <f ca="1"/>
        <v>153.96</v>
      </c>
      <c r="AG76" vm="14766">
        <f ca="1"/>
        <v>157.22</v>
      </c>
      <c r="AH76" vm="14767">
        <f ca="1"/>
        <v>156.58000000000001</v>
      </c>
      <c r="AI76" vm="14768">
        <f ca="1"/>
        <v>156.79</v>
      </c>
      <c r="AJ76" vm="14769">
        <f ca="1"/>
        <v>155.83000000000001</v>
      </c>
      <c r="AK76" vm="5192">
        <f ca="1"/>
        <v>157.32</v>
      </c>
      <c r="AL76" vm="14770">
        <f ca="1"/>
        <v>157.03</v>
      </c>
      <c r="AM76" vm="14771">
        <f ca="1"/>
        <v>156.44999999999999</v>
      </c>
      <c r="AN76" vm="4322">
        <f ca="1"/>
        <v>157.18</v>
      </c>
      <c r="AO76" vm="14772">
        <f ca="1"/>
        <v>157.47999999999999</v>
      </c>
      <c r="AP76" vm="14497">
        <f ca="1"/>
        <v>156.41</v>
      </c>
      <c r="AQ76" vm="14773">
        <f ca="1"/>
        <v>155.05000000000001</v>
      </c>
      <c r="AR76" vm="14774">
        <f ca="1"/>
        <v>153.55000000000001</v>
      </c>
      <c r="AS76" vm="14297">
        <f ca="1"/>
        <v>154.74</v>
      </c>
      <c r="AT76" vm="14775">
        <f ca="1"/>
        <v>154.37</v>
      </c>
      <c r="AU76" vm="14776">
        <f ca="1"/>
        <v>152.91999999999999</v>
      </c>
      <c r="AV76" vm="14777">
        <f ca="1"/>
        <v>149.35</v>
      </c>
      <c r="AW76" vm="14778">
        <f ca="1"/>
        <v>149.59</v>
      </c>
      <c r="AX76" vm="14779">
        <f ca="1"/>
        <v>150.44999999999999</v>
      </c>
      <c r="AY76" vm="6702">
        <f ca="1"/>
        <v>151.13999999999999</v>
      </c>
      <c r="AZ76" vm="9428">
        <f ca="1"/>
        <v>152.30000000000001</v>
      </c>
      <c r="BA76" vm="14780">
        <f ca="1"/>
        <v>154.79</v>
      </c>
      <c r="BB76" vm="6707">
        <f ca="1"/>
        <v>153.05000000000001</v>
      </c>
      <c r="BC76" vm="14777">
        <f ca="1"/>
        <v>149.35</v>
      </c>
      <c r="BD76" vm="14781">
        <f ca="1"/>
        <v>152.52000000000001</v>
      </c>
      <c r="BE76" vm="14782">
        <f ca="1"/>
        <v>149.43</v>
      </c>
      <c r="BF76" vm="6680">
        <f ca="1"/>
        <v>149.74</v>
      </c>
      <c r="BG76" vm="14218">
        <f ca="1"/>
        <v>148.12</v>
      </c>
      <c r="BH76" vm="14465">
        <f ca="1"/>
        <v>148.33000000000001</v>
      </c>
      <c r="BI76" vm="1772">
        <f ca="1"/>
        <v>149.33000000000001</v>
      </c>
      <c r="BJ76" vm="6401">
        <f ca="1"/>
        <v>148.93</v>
      </c>
      <c r="BK76" vm="14783">
        <f ca="1"/>
        <v>151.24</v>
      </c>
      <c r="BL76" vm="14784">
        <f ca="1"/>
        <v>153.43</v>
      </c>
      <c r="BM76" vm="14785">
        <f ca="1"/>
        <v>152.72999999999999</v>
      </c>
      <c r="BN76" vm="14786">
        <f ca="1"/>
        <v>156.38</v>
      </c>
      <c r="BO76" vm="5202">
        <f ca="1"/>
        <v>155.13</v>
      </c>
      <c r="BP76" vm="14297">
        <f ca="1"/>
        <v>154.74</v>
      </c>
      <c r="BQ76" vm="14787">
        <f ca="1"/>
        <v>158.12</v>
      </c>
      <c r="BR76" vm="14788">
        <f ca="1"/>
        <v>159.5</v>
      </c>
      <c r="BS76" vm="14789">
        <f ca="1"/>
        <v>157.13</v>
      </c>
      <c r="BT76" vm="14790">
        <f ca="1"/>
        <v>156.37</v>
      </c>
      <c r="BU76" vm="14791">
        <f ca="1"/>
        <v>153.22999999999999</v>
      </c>
      <c r="BV76" vm="5141">
        <f ca="1"/>
        <v>153.1</v>
      </c>
      <c r="BW76" vm="519">
        <f ca="1"/>
        <v>154.21</v>
      </c>
      <c r="BX76" vm="6721">
        <f ca="1"/>
        <v>154.78</v>
      </c>
      <c r="BY76" vm="14792">
        <f ca="1"/>
        <v>147.78</v>
      </c>
      <c r="BZ76" vm="12303">
        <f ca="1"/>
        <v>135.31</v>
      </c>
      <c r="CA76" vm="14793">
        <f ca="1"/>
        <v>135.80000000000001</v>
      </c>
      <c r="CB76" vm="14794">
        <f ca="1"/>
        <v>137.4</v>
      </c>
      <c r="CC76" vm="9527">
        <f ca="1"/>
        <v>149.83000000000001</v>
      </c>
      <c r="CD76" vm="14795">
        <f ca="1"/>
        <v>147.08000000000001</v>
      </c>
      <c r="CE76" vm="5174">
        <f ca="1"/>
        <v>149.11000000000001</v>
      </c>
      <c r="CF76" vm="14796">
        <f ca="1"/>
        <v>150.87</v>
      </c>
      <c r="CG76" vm="14797">
        <f ca="1"/>
        <v>150.31</v>
      </c>
      <c r="CH76" vm="14798">
        <f ca="1"/>
        <v>149.66</v>
      </c>
      <c r="CI76" vm="14799">
        <f ca="1"/>
        <v>149.55000000000001</v>
      </c>
      <c r="CJ76" vm="9444">
        <f ca="1"/>
        <v>146.46</v>
      </c>
      <c r="CK76" vm="14800">
        <f ca="1"/>
        <v>146.16</v>
      </c>
      <c r="CL76" vm="14801">
        <f ca="1"/>
        <v>150.24</v>
      </c>
      <c r="CM76" vm="5178">
        <f ca="1"/>
        <v>152.86000000000001</v>
      </c>
      <c r="CN76" vm="14802">
        <f ca="1"/>
        <v>154.72999999999999</v>
      </c>
      <c r="CO76" vm="9452">
        <f ca="1"/>
        <v>155.72</v>
      </c>
      <c r="CP76" vm="14490">
        <f ca="1"/>
        <v>156.43</v>
      </c>
      <c r="CQ76" vm="14803">
        <f ca="1"/>
        <v>156.91</v>
      </c>
      <c r="CR76" vm="14804">
        <f ca="1"/>
        <v>158.55000000000001</v>
      </c>
      <c r="CS76" vm="14805">
        <f ca="1"/>
        <v>161.36000000000001</v>
      </c>
      <c r="CT76" vm="9450">
        <f ca="1"/>
        <v>161.25</v>
      </c>
      <c r="CU76" vm="14806">
        <f ca="1"/>
        <v>160.13</v>
      </c>
      <c r="CV76" vm="14807">
        <f ca="1"/>
        <v>160.31</v>
      </c>
      <c r="CW76" vm="14808">
        <f ca="1"/>
        <v>163.44</v>
      </c>
      <c r="CX76" vm="14809">
        <f ca="1"/>
        <v>163.33000000000001</v>
      </c>
      <c r="CY76" vm="14810">
        <f ca="1"/>
        <v>165.64</v>
      </c>
      <c r="CZ76" vm="11721">
        <f ca="1"/>
        <v>166.94</v>
      </c>
      <c r="DA76" vm="14811">
        <f ca="1"/>
        <v>167.12</v>
      </c>
      <c r="DB76" vm="14314">
        <f ca="1"/>
        <v>170.67</v>
      </c>
      <c r="DC76" vm="14812">
        <f ca="1"/>
        <v>171.94</v>
      </c>
      <c r="DD76" vm="14813">
        <f ca="1"/>
        <v>173.3</v>
      </c>
      <c r="DE76" vm="4319">
        <f ca="1"/>
        <v>173.41</v>
      </c>
      <c r="DF76" vm="14814">
        <f ca="1"/>
        <v>170.79</v>
      </c>
      <c r="DG76" vm="94">
        <f ca="1"/>
        <v>170.2</v>
      </c>
      <c r="DH76" vm="14815">
        <f ca="1"/>
        <v>171.05</v>
      </c>
      <c r="DI76" vm="14816">
        <f ca="1"/>
        <v>175.28</v>
      </c>
      <c r="DJ76" vm="14817">
        <f ca="1"/>
        <v>175.5</v>
      </c>
      <c r="DK76" vm="14818">
        <f ca="1"/>
        <v>176.31</v>
      </c>
      <c r="DL76" vm="14819">
        <f ca="1"/>
        <v>177.24</v>
      </c>
      <c r="DM76" vm="4350">
        <f ca="1"/>
        <v>178.24</v>
      </c>
      <c r="DN76" vm="14820">
        <f ca="1"/>
        <v>179.35</v>
      </c>
      <c r="DO76" vm="14821">
        <f ca="1"/>
        <v>180.14</v>
      </c>
      <c r="DP76" vm="14822">
        <f ca="1"/>
        <v>180.24</v>
      </c>
      <c r="DQ76" vm="14823">
        <f ca="1"/>
        <v>181.96</v>
      </c>
      <c r="DR76" vm="14824">
        <f ca="1"/>
        <v>182.64</v>
      </c>
      <c r="DS76" vm="5265">
        <f ca="1"/>
        <v>179.13</v>
      </c>
      <c r="DT76" vm="14825">
        <f ca="1"/>
        <v>180.69</v>
      </c>
      <c r="DU76" vm="14826">
        <f ca="1"/>
        <v>179.47</v>
      </c>
      <c r="DV76" vm="4285">
        <f ca="1"/>
        <v>180.22</v>
      </c>
      <c r="DW76" vm="11791">
        <f ca="1"/>
        <v>179.16</v>
      </c>
      <c r="DX76" vm="14827">
        <f ca="1"/>
        <v>179.98</v>
      </c>
      <c r="DY76" vm="14828">
        <f ca="1"/>
        <v>178.78</v>
      </c>
      <c r="DZ76" vm="14829">
        <f ca="1"/>
        <v>180.44</v>
      </c>
      <c r="EA76" vm="14830">
        <f ca="1"/>
        <v>183.01</v>
      </c>
      <c r="EB76" vm="14831">
        <f ca="1"/>
        <v>181.75</v>
      </c>
      <c r="EC76" vm="14832">
        <f ca="1"/>
        <v>182.04</v>
      </c>
      <c r="ED76" vm="14833">
        <f ca="1"/>
        <v>184.5</v>
      </c>
      <c r="EE76" vm="9607">
        <f ca="1"/>
        <v>187.55</v>
      </c>
      <c r="EF76" vm="4458">
        <f ca="1"/>
        <v>188.64</v>
      </c>
      <c r="EG76" vm="8147">
        <f ca="1"/>
        <v>185.01</v>
      </c>
      <c r="EH76" vm="14834">
        <f ca="1"/>
        <v>184.73</v>
      </c>
      <c r="EI76" vm="14835">
        <f ca="1"/>
        <v>186.86</v>
      </c>
      <c r="EJ76" vm="14836">
        <f ca="1"/>
        <v>188.07</v>
      </c>
      <c r="EK76" vm="4106">
        <f ca="1"/>
        <v>186.76</v>
      </c>
      <c r="EL76" vm="11803">
        <f ca="1"/>
        <v>188.91</v>
      </c>
      <c r="EM76" vm="14837">
        <f ca="1"/>
        <v>188.65</v>
      </c>
      <c r="EN76" vm="14838">
        <f ca="1"/>
        <v>189.78</v>
      </c>
      <c r="EO76" vm="14839">
        <f ca="1"/>
        <v>193.64</v>
      </c>
      <c r="EP76" vm="14840">
        <f ca="1"/>
        <v>193.22</v>
      </c>
      <c r="EQ76" vm="11825">
        <f ca="1"/>
        <v>194.43</v>
      </c>
      <c r="ER76" vm="14841">
        <f ca="1"/>
        <v>195.86</v>
      </c>
      <c r="ES76" vm="14842">
        <f ca="1"/>
        <v>196.11</v>
      </c>
      <c r="ET76" vm="14843">
        <f ca="1"/>
        <v>194.65</v>
      </c>
      <c r="EU76" vm="268">
        <f ca="1"/>
        <v>192.18</v>
      </c>
      <c r="EV76" vm="14844">
        <f ca="1"/>
        <v>196.89</v>
      </c>
      <c r="EW76" vm="14845">
        <f ca="1"/>
        <v>196.84</v>
      </c>
      <c r="EX76" vm="14846">
        <f ca="1"/>
        <v>198.27</v>
      </c>
      <c r="EY76" vm="14847">
        <f ca="1"/>
        <v>198.05</v>
      </c>
      <c r="EZ76" vm="14848">
        <f ca="1"/>
        <v>197.23</v>
      </c>
      <c r="FA76" vm="14849">
        <f ca="1"/>
        <v>198.64</v>
      </c>
      <c r="FB76" vm="14850">
        <f ca="1"/>
        <v>196.6</v>
      </c>
      <c r="FC76" vm="14851">
        <f ca="1"/>
        <v>195.78</v>
      </c>
      <c r="FD76" vm="14852">
        <f ca="1"/>
        <v>197.91</v>
      </c>
      <c r="FE76" vm="14853">
        <f ca="1"/>
        <v>197.54</v>
      </c>
      <c r="FF76" vm="14854">
        <f ca="1"/>
        <v>197.41</v>
      </c>
      <c r="FG76" vm="14855">
        <f ca="1"/>
        <v>196.96</v>
      </c>
      <c r="FH76" vm="1197">
        <f ca="1"/>
        <v>196.45</v>
      </c>
      <c r="FI76" vm="14856">
        <f ca="1"/>
        <v>196.26</v>
      </c>
      <c r="FJ76" vm="14857">
        <f ca="1"/>
        <v>198.24</v>
      </c>
      <c r="FK76" vm="14858">
        <f ca="1"/>
        <v>196.81</v>
      </c>
      <c r="FL76" vm="14859">
        <f ca="1"/>
        <v>195.99</v>
      </c>
      <c r="FM76" vm="14860">
        <f ca="1"/>
        <v>195.08</v>
      </c>
      <c r="FN76" vm="14861">
        <f ca="1"/>
        <v>195.93</v>
      </c>
      <c r="FO76" vm="8088">
        <f ca="1"/>
        <v>193.24</v>
      </c>
      <c r="FP76" vm="11821">
        <f ca="1"/>
        <v>194.31</v>
      </c>
      <c r="FQ76" vm="14862">
        <f ca="1"/>
        <v>194.96</v>
      </c>
      <c r="FR76" vm="14863">
        <f ca="1"/>
        <v>195.81</v>
      </c>
      <c r="FS76" vm="14864">
        <f ca="1"/>
        <v>195.36</v>
      </c>
      <c r="FT76" vm="14865">
        <f ca="1"/>
        <v>199.98</v>
      </c>
      <c r="FU76" vm="1753">
        <f ca="1"/>
        <v>199.24</v>
      </c>
      <c r="FV76" vm="7038">
        <f ca="1"/>
        <v>200.16</v>
      </c>
      <c r="FW76" vm="14866">
        <f ca="1"/>
        <v>198.42</v>
      </c>
      <c r="FX76" vm="14867">
        <f ca="1"/>
        <v>198.5</v>
      </c>
      <c r="FY76" vm="11808">
        <f ca="1"/>
        <v>196.94</v>
      </c>
      <c r="FZ76" vm="14868">
        <f ca="1"/>
        <v>198.52</v>
      </c>
      <c r="GA76" vm="14869">
        <f ca="1"/>
        <v>198.13</v>
      </c>
      <c r="GB76" vm="14870">
        <f ca="1"/>
        <v>197.65</v>
      </c>
      <c r="GC76" vm="14871">
        <f ca="1"/>
        <v>196.23</v>
      </c>
      <c r="GD76" vm="14872">
        <f ca="1"/>
        <v>198.9</v>
      </c>
      <c r="GE76" vm="14873">
        <f ca="1"/>
        <v>200.07</v>
      </c>
      <c r="GF76" vm="14874">
        <f ca="1"/>
        <v>199.42</v>
      </c>
      <c r="GG76" vm="14875">
        <f ca="1"/>
        <v>201.82</v>
      </c>
      <c r="GH76" vm="14876">
        <f ca="1"/>
        <v>201.89</v>
      </c>
      <c r="GI76" vm="14877">
        <f ca="1"/>
        <v>200.52</v>
      </c>
      <c r="GJ76" vm="14878">
        <f ca="1"/>
        <v>202.97</v>
      </c>
      <c r="GK76" vm="14879">
        <f ca="1"/>
        <v>203.4</v>
      </c>
      <c r="GL76" vm="5763">
        <f ca="1"/>
        <v>204.29</v>
      </c>
      <c r="GM76" vm="2015">
        <f ca="1"/>
        <v>206.16</v>
      </c>
      <c r="GN76" vm="14880">
        <f ca="1"/>
        <v>203.67</v>
      </c>
      <c r="GO76" vm="7347">
        <f ca="1"/>
        <v>203.11</v>
      </c>
      <c r="GP76" vm="14881">
        <f ca="1"/>
        <v>205.7</v>
      </c>
      <c r="GQ76" vm="14882">
        <f ca="1"/>
        <v>205.44</v>
      </c>
      <c r="GR76" vm="14883">
        <f ca="1"/>
        <v>209.26</v>
      </c>
      <c r="GS76" vm="7014">
        <f ca="1"/>
        <v>209.25</v>
      </c>
      <c r="GT76" vm="14884">
        <f ca="1"/>
        <v>209.38</v>
      </c>
      <c r="GU76" vm="14885">
        <f ca="1"/>
        <v>209.55</v>
      </c>
      <c r="GV76" vm="7315">
        <f ca="1"/>
        <v>212.55</v>
      </c>
      <c r="GW76" vm="11154">
        <f ca="1"/>
        <v>212.96</v>
      </c>
      <c r="GX76" vm="14886">
        <f ca="1"/>
        <v>215.16</v>
      </c>
      <c r="GY76" vm="14887">
        <f ca="1"/>
        <v>211.24</v>
      </c>
      <c r="GZ76" vm="14888">
        <f ca="1"/>
        <v>206.04</v>
      </c>
      <c r="HA76" vm="11280">
        <f ca="1"/>
        <v>209.12</v>
      </c>
      <c r="HB76" vm="11282">
        <f ca="1"/>
        <v>210.75</v>
      </c>
      <c r="HC76" vm="14889">
        <f ca="1"/>
        <v>207.68</v>
      </c>
      <c r="HD76" vm="14890">
        <f ca="1"/>
        <v>206.25</v>
      </c>
      <c r="HE76" vm="14891">
        <f ca="1"/>
        <v>205.93</v>
      </c>
      <c r="HF76" vm="14892">
        <f ca="1"/>
        <v>209.61</v>
      </c>
      <c r="HG76" vm="4141">
        <f ca="1"/>
        <v>213.36</v>
      </c>
      <c r="HH76" vm="14893">
        <f ca="1"/>
        <v>210.54</v>
      </c>
      <c r="HI76" vm="11169">
        <f ca="1"/>
        <v>215.72</v>
      </c>
      <c r="HJ76" vm="11225">
        <f ca="1"/>
        <v>216.86</v>
      </c>
      <c r="HK76" vm="14894">
        <f ca="1"/>
        <v>218.9</v>
      </c>
      <c r="HL76" vm="14895">
        <f ca="1"/>
        <v>217.54</v>
      </c>
      <c r="HM76" vm="14896">
        <f ca="1"/>
        <v>217.45</v>
      </c>
      <c r="HN76" vm="14897">
        <f ca="1"/>
        <v>215.31</v>
      </c>
      <c r="HO76" vm="4154">
        <f ca="1"/>
        <v>215.79</v>
      </c>
      <c r="HP76" vm="1112">
        <f ca="1"/>
        <v>214.98</v>
      </c>
      <c r="HQ76" vm="14898">
        <f ca="1"/>
        <v>211.76</v>
      </c>
      <c r="HR76" vm="14899">
        <f ca="1"/>
        <v>209.47</v>
      </c>
      <c r="HS76" vm="14900">
        <f ca="1"/>
        <v>207.57</v>
      </c>
      <c r="HT76" vm="14901">
        <f ca="1"/>
        <v>209.04</v>
      </c>
      <c r="HU76" vm="14902">
        <f ca="1"/>
        <v>210.97</v>
      </c>
      <c r="HV76" vm="14903">
        <f ca="1"/>
        <v>210.51</v>
      </c>
      <c r="HW76" vm="1763">
        <f ca="1"/>
        <v>209.64</v>
      </c>
      <c r="HX76" vm="14904">
        <f ca="1"/>
        <v>205.04</v>
      </c>
      <c r="HY76" vm="14905">
        <f ca="1"/>
        <v>205.94</v>
      </c>
      <c r="HZ76" vm="14906">
        <f ca="1"/>
        <v>203.81</v>
      </c>
      <c r="IA76" vm="14907">
        <f ca="1"/>
        <v>202.76</v>
      </c>
      <c r="IB76" vm="1746">
        <f ca="1"/>
        <v>203.13</v>
      </c>
      <c r="IC76" vm="1747">
        <f ca="1"/>
        <v>198.77</v>
      </c>
      <c r="ID76" vm="1748">
        <f ca="1"/>
        <v>198.23</v>
      </c>
      <c r="IE76" vm="1749">
        <f ca="1"/>
        <v>200.69</v>
      </c>
      <c r="IF76" vm="1750">
        <f ca="1"/>
        <v>202.4</v>
      </c>
      <c r="IG76" vm="1751">
        <f ca="1"/>
        <v>203.7</v>
      </c>
      <c r="IH76" vm="1752">
        <f ca="1"/>
        <v>205.1</v>
      </c>
      <c r="II76" vm="1753">
        <f ca="1"/>
        <v>199.24</v>
      </c>
      <c r="IJ76" vm="1754">
        <f ca="1"/>
        <v>201.31</v>
      </c>
      <c r="IK76" vm="1755">
        <f ca="1"/>
        <v>201.62</v>
      </c>
      <c r="IL76" vm="1756">
        <f ca="1"/>
        <v>204.67</v>
      </c>
      <c r="IM76" vm="1757">
        <f ca="1"/>
        <v>202.41</v>
      </c>
      <c r="IN76" vm="1758">
        <f ca="1"/>
        <v>204.35</v>
      </c>
      <c r="IO76" vm="1759">
        <f ca="1"/>
        <v>202.63</v>
      </c>
      <c r="IP76" vm="1760">
        <f ca="1"/>
        <v>204.44</v>
      </c>
      <c r="IQ76" vm="1761">
        <f ca="1"/>
        <v>208.27</v>
      </c>
      <c r="IR76" vm="1762">
        <f ca="1"/>
        <v>209.41</v>
      </c>
      <c r="IS76" vm="1763">
        <f ca="1"/>
        <v>209.64</v>
      </c>
      <c r="IT76" vm="1764">
        <f ca="1"/>
        <v>207.95</v>
      </c>
      <c r="IU76" vm="1765">
        <f ca="1"/>
        <v>204.8</v>
      </c>
      <c r="IV76" vm="1766">
        <f ca="1"/>
        <v>208.25</v>
      </c>
      <c r="IW76" vm="129">
        <f ca="1"/>
        <v>213.91</v>
      </c>
    </row>
    <row r="77" spans="1:257" ht="16" x14ac:dyDescent="0.2">
      <c r="A77" s="13" t="e" vm="1767">
        <v>#VALUE!</v>
      </c>
      <c r="B77" s="23" t="str" cm="1">
        <f t="array" aca="1" ref="B77" ca="1">_FV(A77,"ticker symbol",TRUE)</f>
        <v>PPA</v>
      </c>
      <c r="C77" s="23" t="str" cm="1">
        <f t="array" aca="1" ref="C77" ca="1">_FV(A77,"Name")</f>
        <v>Invesco Aerospace</v>
      </c>
      <c r="D77" cm="1" vm="12341">
        <f t="array" aca="1" ref="D77:IW77" ca="1">TRANSPOSE(_xlfn.STOCKHISTORY(B77, WORKDAY(TODAY(), -265), TODAY(), 0, 0, 1))</f>
        <v>118.84</v>
      </c>
      <c r="E77" s="23" vm="14908">
        <f ca="1"/>
        <v>117.53</v>
      </c>
      <c r="F77" s="23" vm="12010">
        <f ca="1"/>
        <v>113.94</v>
      </c>
      <c r="G77" s="23" vm="8333">
        <f ca="1"/>
        <v>114.6</v>
      </c>
      <c r="H77" s="23" vm="12853">
        <f ca="1"/>
        <v>116.21</v>
      </c>
      <c r="I77" s="23" vm="14909">
        <f ca="1"/>
        <v>115.99</v>
      </c>
      <c r="J77" s="23" vm="14910">
        <f ca="1"/>
        <v>116.86</v>
      </c>
      <c r="K77" s="23" vm="14911">
        <f ca="1"/>
        <v>117.27</v>
      </c>
      <c r="L77" s="23" vm="14912">
        <f ca="1"/>
        <v>116.27</v>
      </c>
      <c r="M77" s="23" vm="12339">
        <f ca="1"/>
        <v>114.95</v>
      </c>
      <c r="N77" s="23" vm="14913">
        <f ca="1"/>
        <v>114.73</v>
      </c>
      <c r="O77" s="23" vm="10963">
        <f ca="1"/>
        <v>114.4</v>
      </c>
      <c r="P77" s="23" vm="8031">
        <f ca="1"/>
        <v>115.69</v>
      </c>
      <c r="Q77" s="23" vm="14914">
        <f ca="1"/>
        <v>114.47</v>
      </c>
      <c r="R77" s="23" vm="14915">
        <f ca="1"/>
        <v>114.15</v>
      </c>
      <c r="S77" s="23" vm="12184">
        <f ca="1"/>
        <v>115.09</v>
      </c>
      <c r="T77" s="23" vm="12170">
        <f ca="1"/>
        <v>114.63</v>
      </c>
      <c r="U77" s="23" vm="14916">
        <f ca="1"/>
        <v>115.71</v>
      </c>
      <c r="V77" s="23" vm="14917">
        <f ca="1"/>
        <v>117.1</v>
      </c>
      <c r="W77" s="23" vm="14918">
        <f ca="1"/>
        <v>117.52</v>
      </c>
      <c r="X77" s="23" vm="14664">
        <f ca="1"/>
        <v>118.7</v>
      </c>
      <c r="Y77" s="23" vm="14919">
        <f ca="1"/>
        <v>119.51</v>
      </c>
      <c r="Z77" s="23" vm="14920">
        <f ca="1"/>
        <v>123.07</v>
      </c>
      <c r="AA77" s="23" vm="14921">
        <f ca="1"/>
        <v>122.68</v>
      </c>
      <c r="AB77" s="23" vm="12414">
        <f ca="1"/>
        <v>123.29</v>
      </c>
      <c r="AC77" s="23" vm="14922">
        <f ca="1"/>
        <v>122.21</v>
      </c>
      <c r="AD77" vm="12194">
        <f ca="1"/>
        <v>120.31</v>
      </c>
      <c r="AE77" vm="12867">
        <f ca="1"/>
        <v>119.18</v>
      </c>
      <c r="AF77" vm="14923">
        <f ca="1"/>
        <v>118.65</v>
      </c>
      <c r="AG77" vm="14924">
        <f ca="1"/>
        <v>120.87</v>
      </c>
      <c r="AH77" vm="14925">
        <f ca="1"/>
        <v>120.59</v>
      </c>
      <c r="AI77" vm="12194">
        <f ca="1"/>
        <v>120.31</v>
      </c>
      <c r="AJ77" vm="14926">
        <f ca="1"/>
        <v>120.33</v>
      </c>
      <c r="AK77" vm="14927">
        <f ca="1"/>
        <v>120.92</v>
      </c>
      <c r="AL77" vm="3220">
        <f ca="1"/>
        <v>120.26</v>
      </c>
      <c r="AM77" vm="3215">
        <f ca="1"/>
        <v>119.82</v>
      </c>
      <c r="AN77" vm="14651">
        <f ca="1"/>
        <v>120.51</v>
      </c>
      <c r="AO77" vm="14928">
        <f ca="1"/>
        <v>120.1</v>
      </c>
      <c r="AP77" vm="8349">
        <f ca="1"/>
        <v>119.02</v>
      </c>
      <c r="AQ77" vm="14929">
        <f ca="1"/>
        <v>117.92</v>
      </c>
      <c r="AR77" vm="14930">
        <f ca="1"/>
        <v>116.98</v>
      </c>
      <c r="AS77" vm="14931">
        <f ca="1"/>
        <v>118.08</v>
      </c>
      <c r="AT77" vm="14932">
        <f ca="1"/>
        <v>117.7</v>
      </c>
      <c r="AU77" vm="14933">
        <f ca="1"/>
        <v>116.59</v>
      </c>
      <c r="AV77" vm="14934">
        <f ca="1"/>
        <v>114.09</v>
      </c>
      <c r="AW77" vm="10964">
        <f ca="1"/>
        <v>114</v>
      </c>
      <c r="AX77" vm="12336">
        <f ca="1"/>
        <v>114.7</v>
      </c>
      <c r="AY77" vm="14935">
        <f ca="1"/>
        <v>115.16</v>
      </c>
      <c r="AZ77" vm="14936">
        <f ca="1"/>
        <v>115.3</v>
      </c>
      <c r="BA77" vm="5670">
        <f ca="1"/>
        <v>116.71</v>
      </c>
      <c r="BB77" vm="8043">
        <f ca="1"/>
        <v>115.51</v>
      </c>
      <c r="BC77" vm="5691">
        <f ca="1"/>
        <v>113.59</v>
      </c>
      <c r="BD77" vm="8020">
        <f ca="1"/>
        <v>116.4</v>
      </c>
      <c r="BE77" vm="14937">
        <f ca="1"/>
        <v>114.36</v>
      </c>
      <c r="BF77" vm="14938">
        <f ca="1"/>
        <v>115.78</v>
      </c>
      <c r="BG77" vm="12176">
        <f ca="1"/>
        <v>114.18</v>
      </c>
      <c r="BH77" vm="5680">
        <f ca="1"/>
        <v>114.17</v>
      </c>
      <c r="BI77" vm="14939">
        <f ca="1"/>
        <v>114.26</v>
      </c>
      <c r="BJ77" vm="14940">
        <f ca="1"/>
        <v>113.86</v>
      </c>
      <c r="BK77" vm="8031">
        <f ca="1"/>
        <v>115.69</v>
      </c>
      <c r="BL77" vm="14941">
        <f ca="1"/>
        <v>117.36</v>
      </c>
      <c r="BM77" vm="8018">
        <f ca="1"/>
        <v>117.19</v>
      </c>
      <c r="BN77" vm="12148">
        <f ca="1"/>
        <v>119.3</v>
      </c>
      <c r="BO77" vm="14942">
        <f ca="1"/>
        <v>118.26</v>
      </c>
      <c r="BP77" vm="14918">
        <f ca="1"/>
        <v>117.52</v>
      </c>
      <c r="BQ77" vm="14943">
        <f ca="1"/>
        <v>119.91</v>
      </c>
      <c r="BR77" vm="14944">
        <f ca="1"/>
        <v>121.01</v>
      </c>
      <c r="BS77" vm="8362">
        <f ca="1"/>
        <v>119.46</v>
      </c>
      <c r="BT77" vm="8357">
        <f ca="1"/>
        <v>118.93</v>
      </c>
      <c r="BU77" vm="8346">
        <f ca="1"/>
        <v>116.7</v>
      </c>
      <c r="BV77" vm="396">
        <f ca="1"/>
        <v>116.55</v>
      </c>
      <c r="BW77" vm="14945">
        <f ca="1"/>
        <v>117.3</v>
      </c>
      <c r="BX77" vm="14946">
        <f ca="1"/>
        <v>118.82</v>
      </c>
      <c r="BY77" vm="1236">
        <f ca="1"/>
        <v>113.56</v>
      </c>
      <c r="BZ77" vm="14947">
        <f ca="1"/>
        <v>105.2</v>
      </c>
      <c r="CA77" vm="14948">
        <f ca="1"/>
        <v>105.33</v>
      </c>
      <c r="CB77" vm="8318">
        <f ca="1"/>
        <v>106.11</v>
      </c>
      <c r="CC77" vm="14949">
        <f ca="1"/>
        <v>115.32</v>
      </c>
      <c r="CD77" vm="1236">
        <f ca="1"/>
        <v>113.56</v>
      </c>
      <c r="CE77" vm="5679">
        <f ca="1"/>
        <v>115.4</v>
      </c>
      <c r="CF77" vm="14950">
        <f ca="1"/>
        <v>116.61</v>
      </c>
      <c r="CG77" vm="5671">
        <f ca="1"/>
        <v>116.45</v>
      </c>
      <c r="CH77" vm="14661">
        <f ca="1"/>
        <v>115.61</v>
      </c>
      <c r="CI77" vm="14951">
        <f ca="1"/>
        <v>115.8</v>
      </c>
      <c r="CJ77" vm="14952">
        <f ca="1"/>
        <v>113.33</v>
      </c>
      <c r="CK77" vm="14953">
        <f ca="1"/>
        <v>113.4</v>
      </c>
      <c r="CL77" vm="14954">
        <f ca="1"/>
        <v>116.1</v>
      </c>
      <c r="CM77" vm="14955">
        <f ca="1"/>
        <v>118.57</v>
      </c>
      <c r="CN77" vm="12197">
        <f ca="1"/>
        <v>119.79</v>
      </c>
      <c r="CO77" vm="12309">
        <f ca="1"/>
        <v>120.5</v>
      </c>
      <c r="CP77" vm="12876">
        <f ca="1"/>
        <v>121.25</v>
      </c>
      <c r="CQ77" vm="14956">
        <f ca="1"/>
        <v>121.77</v>
      </c>
      <c r="CR77" vm="14637">
        <f ca="1"/>
        <v>123.09</v>
      </c>
      <c r="CS77" vm="14957">
        <f ca="1"/>
        <v>124.95</v>
      </c>
      <c r="CT77" vm="1290">
        <f ca="1"/>
        <v>124.88</v>
      </c>
      <c r="CU77" vm="12192">
        <f ca="1"/>
        <v>123.88</v>
      </c>
      <c r="CV77" vm="12312">
        <f ca="1"/>
        <v>124.44</v>
      </c>
      <c r="CW77" vm="8373">
        <f ca="1"/>
        <v>126.57</v>
      </c>
      <c r="CX77" vm="14958">
        <f ca="1"/>
        <v>126.56</v>
      </c>
      <c r="CY77" vm="12893">
        <f ca="1"/>
        <v>128.12</v>
      </c>
      <c r="CZ77" vm="14959">
        <f ca="1"/>
        <v>128.66999999999999</v>
      </c>
      <c r="DA77" vm="14960">
        <f ca="1"/>
        <v>128.26</v>
      </c>
      <c r="DB77" vm="14961">
        <f ca="1"/>
        <v>130.62</v>
      </c>
      <c r="DC77" vm="8398">
        <f ca="1"/>
        <v>131.56</v>
      </c>
      <c r="DD77" vm="14962">
        <f ca="1"/>
        <v>132.26</v>
      </c>
      <c r="DE77" vm="14963">
        <f ca="1"/>
        <v>132.38</v>
      </c>
      <c r="DF77" vm="14715">
        <f ca="1"/>
        <v>130.21</v>
      </c>
      <c r="DG77" vm="14964">
        <f ca="1"/>
        <v>129.99</v>
      </c>
      <c r="DH77" vm="14733">
        <f ca="1"/>
        <v>129.6</v>
      </c>
      <c r="DI77" vm="6470">
        <f ca="1"/>
        <v>132.6</v>
      </c>
      <c r="DJ77" vm="14278">
        <f ca="1"/>
        <v>132.12</v>
      </c>
      <c r="DK77" vm="14965">
        <f ca="1"/>
        <v>132.51</v>
      </c>
      <c r="DL77" vm="736">
        <f ca="1"/>
        <v>133.43</v>
      </c>
      <c r="DM77" vm="14966">
        <f ca="1"/>
        <v>133.72</v>
      </c>
      <c r="DN77" vm="14967">
        <f ca="1"/>
        <v>134.88</v>
      </c>
      <c r="DO77" vm="14968">
        <f ca="1"/>
        <v>135.30000000000001</v>
      </c>
      <c r="DP77" vm="6594">
        <f ca="1"/>
        <v>135</v>
      </c>
      <c r="DQ77" vm="14969">
        <f ca="1"/>
        <v>136.26</v>
      </c>
      <c r="DR77" vm="12843">
        <f ca="1"/>
        <v>136.79</v>
      </c>
      <c r="DS77" vm="1300">
        <f ca="1"/>
        <v>135.08000000000001</v>
      </c>
      <c r="DT77" vm="6463">
        <f ca="1"/>
        <v>135.68</v>
      </c>
      <c r="DU77" vm="14970">
        <f ca="1"/>
        <v>135.87</v>
      </c>
      <c r="DV77" vm="12299">
        <f ca="1"/>
        <v>136.66999999999999</v>
      </c>
      <c r="DW77" vm="14971">
        <f ca="1"/>
        <v>135.88</v>
      </c>
      <c r="DX77" vm="12407">
        <f ca="1"/>
        <v>136.09</v>
      </c>
      <c r="DY77" vm="14972">
        <f ca="1"/>
        <v>134.96</v>
      </c>
      <c r="DZ77" vm="14973">
        <f ca="1"/>
        <v>135.54</v>
      </c>
      <c r="EA77" vm="14974">
        <f ca="1"/>
        <v>136.83000000000001</v>
      </c>
      <c r="EB77" vm="14975">
        <f ca="1"/>
        <v>136.46</v>
      </c>
      <c r="EC77" vm="14976">
        <f ca="1"/>
        <v>136.80000000000001</v>
      </c>
      <c r="ED77" vm="12829">
        <f ca="1"/>
        <v>138.87</v>
      </c>
      <c r="EE77" vm="12833">
        <f ca="1"/>
        <v>140.56</v>
      </c>
      <c r="EF77" vm="14977">
        <f ca="1"/>
        <v>141.69</v>
      </c>
      <c r="EG77" vm="14978">
        <f ca="1"/>
        <v>139.82</v>
      </c>
      <c r="EH77" vm="14979">
        <f ca="1"/>
        <v>140.22999999999999</v>
      </c>
      <c r="EI77" vm="14980">
        <f ca="1"/>
        <v>141.76</v>
      </c>
      <c r="EJ77" vm="585">
        <f ca="1"/>
        <v>142.30000000000001</v>
      </c>
      <c r="EK77" vm="14981">
        <f ca="1"/>
        <v>141.41</v>
      </c>
      <c r="EL77" vm="12289">
        <f ca="1"/>
        <v>142.69999999999999</v>
      </c>
      <c r="EM77" vm="6536">
        <f ca="1"/>
        <v>142.32</v>
      </c>
      <c r="EN77" vm="14982">
        <f ca="1"/>
        <v>142.80000000000001</v>
      </c>
      <c r="EO77" vm="14401">
        <f ca="1"/>
        <v>145.19</v>
      </c>
      <c r="EP77" vm="14983">
        <f ca="1"/>
        <v>144.46</v>
      </c>
      <c r="EQ77" vm="14984">
        <f ca="1"/>
        <v>145.13999999999999</v>
      </c>
      <c r="ER77" vm="14985">
        <f ca="1"/>
        <v>146.81</v>
      </c>
      <c r="ES77" vm="14986">
        <f ca="1"/>
        <v>146.54</v>
      </c>
      <c r="ET77" vm="14987">
        <f ca="1"/>
        <v>145.57</v>
      </c>
      <c r="EU77" vm="14988">
        <f ca="1"/>
        <v>144.02000000000001</v>
      </c>
      <c r="EV77" vm="14989">
        <f ca="1"/>
        <v>146.85</v>
      </c>
      <c r="EW77" vm="14990">
        <f ca="1"/>
        <v>146.38</v>
      </c>
      <c r="EX77" vm="14991">
        <f ca="1"/>
        <v>147.37</v>
      </c>
      <c r="EY77" vm="14992">
        <f ca="1"/>
        <v>147.19</v>
      </c>
      <c r="EZ77" vm="14993">
        <f ca="1"/>
        <v>146.26</v>
      </c>
      <c r="FA77" vm="14994">
        <f ca="1"/>
        <v>147.02000000000001</v>
      </c>
      <c r="FB77" vm="14757">
        <f ca="1"/>
        <v>146</v>
      </c>
      <c r="FC77" vm="6547">
        <f ca="1"/>
        <v>145.1</v>
      </c>
      <c r="FD77" vm="14995">
        <f ca="1"/>
        <v>146.94</v>
      </c>
      <c r="FE77" vm="6398">
        <f ca="1"/>
        <v>147.22</v>
      </c>
      <c r="FF77" vm="14991">
        <f ca="1"/>
        <v>147.37</v>
      </c>
      <c r="FG77" vm="14996">
        <f ca="1"/>
        <v>147.27000000000001</v>
      </c>
      <c r="FH77" vm="9523">
        <f ca="1"/>
        <v>146.69</v>
      </c>
      <c r="FI77" vm="14997">
        <f ca="1"/>
        <v>146.36000000000001</v>
      </c>
      <c r="FJ77" vm="14998">
        <f ca="1"/>
        <v>147.75</v>
      </c>
      <c r="FK77" vm="14999">
        <f ca="1"/>
        <v>147.94</v>
      </c>
      <c r="FL77" vm="15000">
        <f ca="1"/>
        <v>146.93</v>
      </c>
      <c r="FM77" vm="15001">
        <f ca="1"/>
        <v>146.22999999999999</v>
      </c>
      <c r="FN77" vm="14514">
        <f ca="1"/>
        <v>146.82</v>
      </c>
      <c r="FO77" vm="5168">
        <f ca="1"/>
        <v>144.80000000000001</v>
      </c>
      <c r="FP77" vm="6414">
        <f ca="1"/>
        <v>145.27000000000001</v>
      </c>
      <c r="FQ77" vm="15002">
        <f ca="1"/>
        <v>145.53</v>
      </c>
      <c r="FR77" vm="9523">
        <f ca="1"/>
        <v>146.69</v>
      </c>
      <c r="FS77" vm="5172">
        <f ca="1"/>
        <v>146.30000000000001</v>
      </c>
      <c r="FT77" vm="15003">
        <f ca="1"/>
        <v>149.19999999999999</v>
      </c>
      <c r="FU77" vm="6399">
        <f ca="1"/>
        <v>148.88999999999999</v>
      </c>
      <c r="FV77" vm="15004">
        <f ca="1"/>
        <v>149.34</v>
      </c>
      <c r="FW77" vm="583">
        <f ca="1"/>
        <v>147.97</v>
      </c>
      <c r="FX77" vm="15005">
        <f ca="1"/>
        <v>147.87</v>
      </c>
      <c r="FY77" vm="15006">
        <f ca="1"/>
        <v>146.53</v>
      </c>
      <c r="FZ77" vm="15007">
        <f ca="1"/>
        <v>147.25</v>
      </c>
      <c r="GA77" vm="15008">
        <f ca="1"/>
        <v>147.44999999999999</v>
      </c>
      <c r="GB77" vm="15009">
        <f ca="1"/>
        <v>147.5</v>
      </c>
      <c r="GC77" vm="6409">
        <f ca="1"/>
        <v>146.77000000000001</v>
      </c>
      <c r="GD77" vm="15010">
        <f ca="1"/>
        <v>148.71</v>
      </c>
      <c r="GE77" vm="15011">
        <f ca="1"/>
        <v>149.69</v>
      </c>
      <c r="GF77" vm="15012">
        <f ca="1"/>
        <v>149.22</v>
      </c>
      <c r="GG77" vm="15013">
        <f ca="1"/>
        <v>150.19</v>
      </c>
      <c r="GH77" vm="6672">
        <f ca="1"/>
        <v>150.41</v>
      </c>
      <c r="GI77" vm="867">
        <f ca="1"/>
        <v>149.41999999999999</v>
      </c>
      <c r="GJ77" vm="14470">
        <f ca="1"/>
        <v>151.33000000000001</v>
      </c>
      <c r="GK77" vm="15014">
        <f ca="1"/>
        <v>151.47999999999999</v>
      </c>
      <c r="GL77" vm="6673">
        <f ca="1"/>
        <v>151.80000000000001</v>
      </c>
      <c r="GM77" vm="1787">
        <f ca="1"/>
        <v>152.72</v>
      </c>
      <c r="GN77" vm="15015">
        <f ca="1"/>
        <v>151.16</v>
      </c>
      <c r="GO77" vm="15016">
        <f ca="1"/>
        <v>150.72</v>
      </c>
      <c r="GP77" vm="15017">
        <f ca="1"/>
        <v>152.55000000000001</v>
      </c>
      <c r="GQ77" vm="15018">
        <f ca="1"/>
        <v>152.63</v>
      </c>
      <c r="GR77" vm="14237">
        <f ca="1"/>
        <v>155.44999999999999</v>
      </c>
      <c r="GS77" vm="15019">
        <f ca="1"/>
        <v>155.72999999999999</v>
      </c>
      <c r="GT77" vm="15020">
        <f ca="1"/>
        <v>156.13999999999999</v>
      </c>
      <c r="GU77" vm="14242">
        <f ca="1"/>
        <v>156.26</v>
      </c>
      <c r="GV77" vm="493">
        <f ca="1"/>
        <v>158.41999999999999</v>
      </c>
      <c r="GW77" vm="9490">
        <f ca="1"/>
        <v>158.19999999999999</v>
      </c>
      <c r="GX77" vm="15021">
        <f ca="1"/>
        <v>159.55000000000001</v>
      </c>
      <c r="GY77" vm="9529">
        <f ca="1"/>
        <v>156.71</v>
      </c>
      <c r="GZ77" vm="15022">
        <f ca="1"/>
        <v>152.83000000000001</v>
      </c>
      <c r="HA77" vm="15023">
        <f ca="1"/>
        <v>155.19</v>
      </c>
      <c r="HB77" vm="9495">
        <f ca="1"/>
        <v>156.12</v>
      </c>
      <c r="HC77" vm="15024">
        <f ca="1"/>
        <v>153.97999999999999</v>
      </c>
      <c r="HD77" vm="6720">
        <f ca="1"/>
        <v>152.87</v>
      </c>
      <c r="HE77" vm="15025">
        <f ca="1"/>
        <v>152.36000000000001</v>
      </c>
      <c r="HF77" vm="520">
        <f ca="1"/>
        <v>155.01</v>
      </c>
      <c r="HG77" vm="14291">
        <f ca="1"/>
        <v>156.6</v>
      </c>
      <c r="HH77" vm="1698">
        <f ca="1"/>
        <v>154.34</v>
      </c>
      <c r="HI77" vm="9533">
        <f ca="1"/>
        <v>158.28</v>
      </c>
      <c r="HJ77" vm="15026">
        <f ca="1"/>
        <v>158.9</v>
      </c>
      <c r="HK77" vm="15027">
        <f ca="1"/>
        <v>159.53</v>
      </c>
      <c r="HL77" vm="15028">
        <f ca="1"/>
        <v>159.01</v>
      </c>
      <c r="HM77" vm="15029">
        <f ca="1"/>
        <v>158.61000000000001</v>
      </c>
      <c r="HN77" vm="14298">
        <f ca="1"/>
        <v>157.13999999999999</v>
      </c>
      <c r="HO77" vm="15030">
        <f ca="1"/>
        <v>157.87</v>
      </c>
      <c r="HP77" vm="5205">
        <f ca="1"/>
        <v>157.76</v>
      </c>
      <c r="HQ77" vm="14233">
        <f ca="1"/>
        <v>155.41999999999999</v>
      </c>
      <c r="HR77" vm="15031">
        <f ca="1"/>
        <v>153.99</v>
      </c>
      <c r="HS77" vm="15032">
        <f ca="1"/>
        <v>152.57</v>
      </c>
      <c r="HT77" vm="15033">
        <f ca="1"/>
        <v>153.34</v>
      </c>
      <c r="HU77" vm="15034">
        <f ca="1"/>
        <v>154.87</v>
      </c>
      <c r="HV77" vm="15035">
        <f ca="1"/>
        <v>154.81</v>
      </c>
      <c r="HW77" vm="12945">
        <f ca="1"/>
        <v>154.19</v>
      </c>
      <c r="HX77" vm="15036">
        <f ca="1"/>
        <v>150.5</v>
      </c>
      <c r="HY77" vm="1780">
        <f ca="1"/>
        <v>150.85</v>
      </c>
      <c r="HZ77" vm="14778">
        <f ca="1"/>
        <v>149.59</v>
      </c>
      <c r="IA77" vm="15037">
        <f ca="1"/>
        <v>149.01</v>
      </c>
      <c r="IB77" vm="1768">
        <f ca="1"/>
        <v>148.94999999999999</v>
      </c>
      <c r="IC77" vm="1769">
        <f ca="1"/>
        <v>146.12</v>
      </c>
      <c r="ID77" vm="1770">
        <f ca="1"/>
        <v>146.28</v>
      </c>
      <c r="IE77" vm="1771">
        <f ca="1"/>
        <v>147.62</v>
      </c>
      <c r="IF77" vm="1772">
        <f ca="1"/>
        <v>149.33000000000001</v>
      </c>
      <c r="IG77" vm="1773">
        <f ca="1"/>
        <v>150.15</v>
      </c>
      <c r="IH77" vm="1774">
        <f ca="1"/>
        <v>151.31</v>
      </c>
      <c r="II77" vm="1775">
        <f ca="1"/>
        <v>147.55000000000001</v>
      </c>
      <c r="IJ77" vm="1776">
        <f ca="1"/>
        <v>149.13</v>
      </c>
      <c r="IK77" vm="1777">
        <f ca="1"/>
        <v>149.84</v>
      </c>
      <c r="IL77" vm="1778">
        <f ca="1"/>
        <v>151.85</v>
      </c>
      <c r="IM77" vm="1700">
        <f ca="1"/>
        <v>150.69999999999999</v>
      </c>
      <c r="IN77" vm="1779">
        <f ca="1"/>
        <v>152</v>
      </c>
      <c r="IO77" vm="1780">
        <f ca="1"/>
        <v>150.85</v>
      </c>
      <c r="IP77" vm="1781">
        <f ca="1"/>
        <v>152.37</v>
      </c>
      <c r="IQ77" vm="1782">
        <f ca="1"/>
        <v>154.63</v>
      </c>
      <c r="IR77" vm="1783">
        <f ca="1"/>
        <v>154.1</v>
      </c>
      <c r="IS77" vm="1784">
        <f ca="1"/>
        <v>154.31</v>
      </c>
      <c r="IT77" vm="1785">
        <f ca="1"/>
        <v>153.16999999999999</v>
      </c>
      <c r="IU77" vm="1786">
        <f ca="1"/>
        <v>151.38</v>
      </c>
      <c r="IV77" vm="1787">
        <f ca="1"/>
        <v>152.72</v>
      </c>
      <c r="IW77" vm="131">
        <f ca="1"/>
        <v>156.24</v>
      </c>
    </row>
    <row r="78" spans="1:257" ht="16" x14ac:dyDescent="0.2">
      <c r="A78" s="13" t="e" vm="1788">
        <v>#VALUE!</v>
      </c>
      <c r="B78" s="23" t="str" cm="1">
        <f t="array" aca="1" ref="B78" ca="1">_FV(A78,"ticker symbol",TRUE)</f>
        <v>XAR</v>
      </c>
      <c r="C78" s="23" t="str" cm="1">
        <f t="array" aca="1" ref="C78" ca="1">_FV(A78,"Name")</f>
        <v>SS SPDR S&amp;P Aero&amp;Def</v>
      </c>
      <c r="D78" cm="1" vm="14312">
        <f t="array" aca="1" ref="D78:IW78" ca="1">TRANSPOSE(_xlfn.STOCKHISTORY(B78, WORKDAY(TODAY(), -265), TODAY(), 0, 0, 1))</f>
        <v>171.42</v>
      </c>
      <c r="E78" s="23" vm="15038">
        <f ca="1"/>
        <v>169.68</v>
      </c>
      <c r="F78" s="23" vm="15039">
        <f ca="1"/>
        <v>162.35</v>
      </c>
      <c r="G78" s="23" vm="5102">
        <f ca="1"/>
        <v>163.21</v>
      </c>
      <c r="H78" s="23" vm="15040">
        <f ca="1"/>
        <v>166.35</v>
      </c>
      <c r="I78" s="23" vm="15041">
        <f ca="1"/>
        <v>165.73</v>
      </c>
      <c r="J78" s="23" vm="15042">
        <f ca="1"/>
        <v>168.79</v>
      </c>
      <c r="K78" s="23" vm="15043">
        <f ca="1"/>
        <v>170.55</v>
      </c>
      <c r="L78" s="23" vm="15044">
        <f ca="1"/>
        <v>169.01</v>
      </c>
      <c r="M78" s="23" vm="15045">
        <f ca="1"/>
        <v>166.49</v>
      </c>
      <c r="N78" s="23" vm="15046">
        <f ca="1"/>
        <v>165.82</v>
      </c>
      <c r="O78" s="23" vm="5221">
        <f ca="1"/>
        <v>165.37</v>
      </c>
      <c r="P78" s="23" vm="15047">
        <f ca="1"/>
        <v>169.51</v>
      </c>
      <c r="Q78" s="23" vm="11720">
        <f ca="1"/>
        <v>168.47</v>
      </c>
      <c r="R78" s="23" vm="5123">
        <f ca="1"/>
        <v>167.32</v>
      </c>
      <c r="S78" s="23" vm="15048">
        <f ca="1"/>
        <v>168.12</v>
      </c>
      <c r="T78" s="23" vm="15049">
        <f ca="1"/>
        <v>166</v>
      </c>
      <c r="U78" s="23" vm="15050">
        <f ca="1"/>
        <v>166.1</v>
      </c>
      <c r="V78" s="23" vm="15051">
        <f ca="1"/>
        <v>168.43</v>
      </c>
      <c r="W78" s="23" vm="15052">
        <f ca="1"/>
        <v>170.5</v>
      </c>
      <c r="X78" s="23" vm="1666">
        <f ca="1"/>
        <v>171.75</v>
      </c>
      <c r="Y78" s="23" vm="14315">
        <f ca="1"/>
        <v>172.65</v>
      </c>
      <c r="Z78" s="23" vm="15053">
        <f ca="1"/>
        <v>180.76</v>
      </c>
      <c r="AA78" s="23" vm="15054">
        <f ca="1"/>
        <v>179.09</v>
      </c>
      <c r="AB78" s="23" vm="15055">
        <f ca="1"/>
        <v>180.77</v>
      </c>
      <c r="AC78" s="23" vm="1673">
        <f ca="1"/>
        <v>178.94</v>
      </c>
      <c r="AD78" vm="15056">
        <f ca="1"/>
        <v>174.9</v>
      </c>
      <c r="AE78" vm="14343">
        <f ca="1"/>
        <v>174.18</v>
      </c>
      <c r="AF78" vm="11689">
        <f ca="1"/>
        <v>172.63</v>
      </c>
      <c r="AG78" vm="15057">
        <f ca="1"/>
        <v>175.44</v>
      </c>
      <c r="AH78" vm="15058">
        <f ca="1"/>
        <v>175.46</v>
      </c>
      <c r="AI78" vm="15059">
        <f ca="1"/>
        <v>174.87</v>
      </c>
      <c r="AJ78" vm="15060">
        <f ca="1"/>
        <v>174.75</v>
      </c>
      <c r="AK78" vm="4266">
        <f ca="1"/>
        <v>175.82</v>
      </c>
      <c r="AL78" vm="15061">
        <f ca="1"/>
        <v>173.37</v>
      </c>
      <c r="AM78" vm="5245">
        <f ca="1"/>
        <v>173.15</v>
      </c>
      <c r="AN78" vm="15062">
        <f ca="1"/>
        <v>175.78</v>
      </c>
      <c r="AO78" vm="15063">
        <f ca="1"/>
        <v>173.88</v>
      </c>
      <c r="AP78" vm="9575">
        <f ca="1"/>
        <v>171.49</v>
      </c>
      <c r="AQ78" vm="15064">
        <f ca="1"/>
        <v>170.03</v>
      </c>
      <c r="AR78" vm="15065">
        <f ca="1"/>
        <v>168.77</v>
      </c>
      <c r="AS78" vm="14362">
        <f ca="1"/>
        <v>170.22</v>
      </c>
      <c r="AT78" vm="1392">
        <f ca="1"/>
        <v>168.93</v>
      </c>
      <c r="AU78" vm="9484">
        <f ca="1"/>
        <v>167.59</v>
      </c>
      <c r="AV78" vm="5087">
        <f ca="1"/>
        <v>162.69</v>
      </c>
      <c r="AW78" vm="15066">
        <f ca="1"/>
        <v>161.63</v>
      </c>
      <c r="AX78" vm="15067">
        <f ca="1"/>
        <v>161.78</v>
      </c>
      <c r="AY78" vm="15068">
        <f ca="1"/>
        <v>163.5</v>
      </c>
      <c r="AZ78" vm="15069">
        <f ca="1"/>
        <v>163.36000000000001</v>
      </c>
      <c r="BA78" vm="15070">
        <f ca="1"/>
        <v>166.26</v>
      </c>
      <c r="BB78" vm="15071">
        <f ca="1"/>
        <v>162.63</v>
      </c>
      <c r="BC78" vm="15072">
        <f ca="1"/>
        <v>160.06</v>
      </c>
      <c r="BD78" vm="15073">
        <f ca="1"/>
        <v>164.6</v>
      </c>
      <c r="BE78" vm="15074">
        <f ca="1"/>
        <v>160.68</v>
      </c>
      <c r="BF78" vm="15075">
        <f ca="1"/>
        <v>160.97</v>
      </c>
      <c r="BG78" vm="15076">
        <f ca="1"/>
        <v>157.71</v>
      </c>
      <c r="BH78" vm="15077">
        <f ca="1"/>
        <v>158.22999999999999</v>
      </c>
      <c r="BI78" vm="9456">
        <f ca="1"/>
        <v>159.08000000000001</v>
      </c>
      <c r="BJ78" vm="15078">
        <f ca="1"/>
        <v>158.66</v>
      </c>
      <c r="BK78" vm="15079">
        <f ca="1"/>
        <v>161.79</v>
      </c>
      <c r="BL78" vm="15080">
        <f ca="1"/>
        <v>164.1</v>
      </c>
      <c r="BM78" vm="15081">
        <f ca="1"/>
        <v>162.99</v>
      </c>
      <c r="BN78" vm="5091">
        <f ca="1"/>
        <v>166.71</v>
      </c>
      <c r="BO78" vm="15082">
        <f ca="1"/>
        <v>164.91</v>
      </c>
      <c r="BP78" vm="5092">
        <f ca="1"/>
        <v>164.4</v>
      </c>
      <c r="BQ78" vm="15083">
        <f ca="1"/>
        <v>168.95</v>
      </c>
      <c r="BR78" vm="14362">
        <f ca="1"/>
        <v>170.22</v>
      </c>
      <c r="BS78" vm="15084">
        <f ca="1"/>
        <v>166.72</v>
      </c>
      <c r="BT78" vm="4325">
        <f ca="1"/>
        <v>165.16</v>
      </c>
      <c r="BU78" vm="15085">
        <f ca="1"/>
        <v>161.88999999999999</v>
      </c>
      <c r="BV78" vm="15086">
        <f ca="1"/>
        <v>160.69</v>
      </c>
      <c r="BW78" vm="15087">
        <f ca="1"/>
        <v>161.94</v>
      </c>
      <c r="BX78" vm="11663">
        <f ca="1"/>
        <v>164.52</v>
      </c>
      <c r="BY78" vm="15088">
        <f ca="1"/>
        <v>156.94</v>
      </c>
      <c r="BZ78" vm="15089">
        <f ca="1"/>
        <v>144.94</v>
      </c>
      <c r="CA78" vm="14757">
        <f ca="1"/>
        <v>146</v>
      </c>
      <c r="CB78" vm="15090">
        <f ca="1"/>
        <v>147.51</v>
      </c>
      <c r="CC78" vm="15091">
        <f ca="1"/>
        <v>162.15</v>
      </c>
      <c r="CD78" vm="15092">
        <f ca="1"/>
        <v>159.13</v>
      </c>
      <c r="CE78" vm="15093">
        <f ca="1"/>
        <v>162.4</v>
      </c>
      <c r="CF78" vm="15094">
        <f ca="1"/>
        <v>163.87</v>
      </c>
      <c r="CG78" vm="15095">
        <f ca="1"/>
        <v>163.62</v>
      </c>
      <c r="CH78" vm="9486">
        <f ca="1"/>
        <v>162.91</v>
      </c>
      <c r="CI78" vm="15096">
        <f ca="1"/>
        <v>162.86000000000001</v>
      </c>
      <c r="CJ78" vm="15097">
        <f ca="1"/>
        <v>159.04</v>
      </c>
      <c r="CK78" vm="15098">
        <f ca="1"/>
        <v>159.88</v>
      </c>
      <c r="CL78" vm="15099">
        <f ca="1"/>
        <v>163.57</v>
      </c>
      <c r="CM78" vm="15100">
        <f ca="1"/>
        <v>167.91</v>
      </c>
      <c r="CN78" vm="1381">
        <f ca="1"/>
        <v>169.71</v>
      </c>
      <c r="CO78" vm="15101">
        <f ca="1"/>
        <v>170.33</v>
      </c>
      <c r="CP78" vm="15102">
        <f ca="1"/>
        <v>171.84</v>
      </c>
      <c r="CQ78" vm="15103">
        <f ca="1"/>
        <v>170.96</v>
      </c>
      <c r="CR78" vm="4267">
        <f ca="1"/>
        <v>173.25</v>
      </c>
      <c r="CS78" vm="4363">
        <f ca="1"/>
        <v>177.16</v>
      </c>
      <c r="CT78" vm="9585">
        <f ca="1"/>
        <v>176.72</v>
      </c>
      <c r="CU78" vm="14817">
        <f ca="1"/>
        <v>175.5</v>
      </c>
      <c r="CV78" vm="9578">
        <f ca="1"/>
        <v>175.26</v>
      </c>
      <c r="CW78" vm="15104">
        <f ca="1"/>
        <v>178.73</v>
      </c>
      <c r="CX78" vm="4347">
        <f ca="1"/>
        <v>177.3</v>
      </c>
      <c r="CY78" vm="15105">
        <f ca="1"/>
        <v>180.09</v>
      </c>
      <c r="CZ78" vm="15106">
        <f ca="1"/>
        <v>182.98</v>
      </c>
      <c r="DA78" vm="7374">
        <f ca="1"/>
        <v>183.59</v>
      </c>
      <c r="DB78" vm="1205">
        <f ca="1"/>
        <v>187.04</v>
      </c>
      <c r="DC78" vm="15107">
        <f ca="1"/>
        <v>189.28</v>
      </c>
      <c r="DD78" vm="15108">
        <f ca="1"/>
        <v>188.5</v>
      </c>
      <c r="DE78" vm="11773">
        <f ca="1"/>
        <v>188.61</v>
      </c>
      <c r="DF78" vm="15109">
        <f ca="1"/>
        <v>184.79</v>
      </c>
      <c r="DG78" vm="15110">
        <f ca="1"/>
        <v>184.93</v>
      </c>
      <c r="DH78" vm="15111">
        <f ca="1"/>
        <v>186.09</v>
      </c>
      <c r="DI78" vm="715">
        <f ca="1"/>
        <v>192.58</v>
      </c>
      <c r="DJ78" vm="7565">
        <f ca="1"/>
        <v>192.53</v>
      </c>
      <c r="DK78" vm="15112">
        <f ca="1"/>
        <v>191.54</v>
      </c>
      <c r="DL78" vm="15113">
        <f ca="1"/>
        <v>191.28</v>
      </c>
      <c r="DM78" vm="7342">
        <f ca="1"/>
        <v>192.12</v>
      </c>
      <c r="DN78" vm="15114">
        <f ca="1"/>
        <v>194.24</v>
      </c>
      <c r="DO78" vm="15115">
        <f ca="1"/>
        <v>195.29</v>
      </c>
      <c r="DP78" vm="1998">
        <f ca="1"/>
        <v>194.54</v>
      </c>
      <c r="DQ78" vm="5753">
        <f ca="1"/>
        <v>198.33</v>
      </c>
      <c r="DR78" vm="15116">
        <f ca="1"/>
        <v>200.74</v>
      </c>
      <c r="DS78" vm="5767">
        <f ca="1"/>
        <v>197.04</v>
      </c>
      <c r="DT78" vm="15117">
        <f ca="1"/>
        <v>198.58</v>
      </c>
      <c r="DU78" vm="8218">
        <f ca="1"/>
        <v>198.44</v>
      </c>
      <c r="DV78" vm="15118">
        <f ca="1"/>
        <v>197.83</v>
      </c>
      <c r="DW78" vm="5761">
        <f ca="1"/>
        <v>196.74</v>
      </c>
      <c r="DX78" vm="15119">
        <f ca="1"/>
        <v>197.7</v>
      </c>
      <c r="DY78" vm="15120">
        <f ca="1"/>
        <v>196.56</v>
      </c>
      <c r="DZ78" vm="15121">
        <f ca="1"/>
        <v>198.65</v>
      </c>
      <c r="EA78" vm="2004">
        <f ca="1"/>
        <v>201.1</v>
      </c>
      <c r="EB78" vm="7039">
        <f ca="1"/>
        <v>200.89</v>
      </c>
      <c r="EC78" vm="7562">
        <f ca="1"/>
        <v>201.61</v>
      </c>
      <c r="ED78" vm="15122">
        <f ca="1"/>
        <v>206.97</v>
      </c>
      <c r="EE78" vm="15123">
        <f ca="1"/>
        <v>209.81</v>
      </c>
      <c r="EF78" vm="15124">
        <f ca="1"/>
        <v>210.94</v>
      </c>
      <c r="EG78" vm="15125">
        <f ca="1"/>
        <v>205.84</v>
      </c>
      <c r="EH78" vm="2014">
        <f ca="1"/>
        <v>206.47</v>
      </c>
      <c r="EI78" vm="15126">
        <f ca="1"/>
        <v>208.93</v>
      </c>
      <c r="EJ78" vm="15127">
        <f ca="1"/>
        <v>209.7</v>
      </c>
      <c r="EK78" vm="15128">
        <f ca="1"/>
        <v>208.18</v>
      </c>
      <c r="EL78" vm="15129">
        <f ca="1"/>
        <v>210</v>
      </c>
      <c r="EM78" vm="15130">
        <f ca="1"/>
        <v>209.74</v>
      </c>
      <c r="EN78" vm="15131">
        <f ca="1"/>
        <v>212.04</v>
      </c>
      <c r="EO78" vm="15132">
        <f ca="1"/>
        <v>216.07</v>
      </c>
      <c r="EP78" vm="15133">
        <f ca="1"/>
        <v>214.7</v>
      </c>
      <c r="EQ78" vm="15134">
        <f ca="1"/>
        <v>217.46</v>
      </c>
      <c r="ER78" vm="15135">
        <f ca="1"/>
        <v>222.95</v>
      </c>
      <c r="ES78" vm="15136">
        <f ca="1"/>
        <v>222.35</v>
      </c>
      <c r="ET78" vm="7309">
        <f ca="1"/>
        <v>218.96</v>
      </c>
      <c r="EU78" vm="11169">
        <f ca="1"/>
        <v>215.72</v>
      </c>
      <c r="EV78" vm="11135">
        <f ca="1"/>
        <v>221.05</v>
      </c>
      <c r="EW78" vm="15137">
        <f ca="1"/>
        <v>219.57</v>
      </c>
      <c r="EX78" vm="15138">
        <f ca="1"/>
        <v>220.48</v>
      </c>
      <c r="EY78" vm="15139">
        <f ca="1"/>
        <v>220.29</v>
      </c>
      <c r="EZ78" vm="15140">
        <f ca="1"/>
        <v>217.98</v>
      </c>
      <c r="FA78" vm="7332">
        <f ca="1"/>
        <v>218.72</v>
      </c>
      <c r="FB78" vm="11250">
        <f ca="1"/>
        <v>216.54</v>
      </c>
      <c r="FC78" vm="15141">
        <f ca="1"/>
        <v>214.28</v>
      </c>
      <c r="FD78" vm="7753">
        <f ca="1"/>
        <v>216.9</v>
      </c>
      <c r="FE78" vm="15142">
        <f ca="1"/>
        <v>218.08</v>
      </c>
      <c r="FF78" vm="15143">
        <f ca="1"/>
        <v>216.84</v>
      </c>
      <c r="FG78" vm="15144">
        <f ca="1"/>
        <v>215.32</v>
      </c>
      <c r="FH78" vm="15145">
        <f ca="1"/>
        <v>214.39</v>
      </c>
      <c r="FI78" vm="11109">
        <f ca="1"/>
        <v>214.93</v>
      </c>
      <c r="FJ78" vm="15146">
        <f ca="1"/>
        <v>218.46</v>
      </c>
      <c r="FK78" vm="15147">
        <f ca="1"/>
        <v>218.98</v>
      </c>
      <c r="FL78" vm="15148">
        <f ca="1"/>
        <v>216.56</v>
      </c>
      <c r="FM78" vm="1126">
        <f ca="1"/>
        <v>215.51</v>
      </c>
      <c r="FN78" vm="15149">
        <f ca="1"/>
        <v>216.58</v>
      </c>
      <c r="FO78" vm="15150">
        <f ca="1"/>
        <v>211.91</v>
      </c>
      <c r="FP78" vm="15151">
        <f ca="1"/>
        <v>212.06</v>
      </c>
      <c r="FQ78" vm="15152">
        <f ca="1"/>
        <v>213.37</v>
      </c>
      <c r="FR78" vm="15153">
        <f ca="1"/>
        <v>216.15</v>
      </c>
      <c r="FS78" vm="15154">
        <f ca="1"/>
        <v>216.2</v>
      </c>
      <c r="FT78" vm="12615">
        <f ca="1"/>
        <v>220.36</v>
      </c>
      <c r="FU78" vm="15155">
        <f ca="1"/>
        <v>219.58</v>
      </c>
      <c r="FV78" vm="4182">
        <f ca="1"/>
        <v>220.27</v>
      </c>
      <c r="FW78" vm="7751">
        <f ca="1"/>
        <v>217.44</v>
      </c>
      <c r="FX78" vm="15156">
        <f ca="1"/>
        <v>217.71</v>
      </c>
      <c r="FY78" vm="11251">
        <f ca="1"/>
        <v>215.09</v>
      </c>
      <c r="FZ78" vm="15157">
        <f ca="1"/>
        <v>215.29</v>
      </c>
      <c r="GA78" vm="12631">
        <f ca="1"/>
        <v>216.64</v>
      </c>
      <c r="GB78" vm="7740">
        <f ca="1"/>
        <v>217.93</v>
      </c>
      <c r="GC78" vm="15158">
        <f ca="1"/>
        <v>215.5</v>
      </c>
      <c r="GD78" vm="11173">
        <f ca="1"/>
        <v>218.49</v>
      </c>
      <c r="GE78" vm="11103">
        <f ca="1"/>
        <v>220.78</v>
      </c>
      <c r="GF78" vm="7298">
        <f ca="1"/>
        <v>221.32</v>
      </c>
      <c r="GG78" vm="7306">
        <f ca="1"/>
        <v>223.54</v>
      </c>
      <c r="GH78" vm="402">
        <f ca="1"/>
        <v>224.51</v>
      </c>
      <c r="GI78" vm="11231">
        <f ca="1"/>
        <v>222.89</v>
      </c>
      <c r="GJ78" vm="15159">
        <f ca="1"/>
        <v>227.15</v>
      </c>
      <c r="GK78" vm="15160">
        <f ca="1"/>
        <v>226.91</v>
      </c>
      <c r="GL78" vm="15161">
        <f ca="1"/>
        <v>227.83</v>
      </c>
      <c r="GM78" vm="15162">
        <f ca="1"/>
        <v>230.12</v>
      </c>
      <c r="GN78" vm="15163">
        <f ca="1"/>
        <v>226.47</v>
      </c>
      <c r="GO78" vm="15164">
        <f ca="1"/>
        <v>226.06</v>
      </c>
      <c r="GP78" vm="15165">
        <f ca="1"/>
        <v>230.33</v>
      </c>
      <c r="GQ78" vm="15166">
        <f ca="1"/>
        <v>230.96</v>
      </c>
      <c r="GR78" vm="15167">
        <f ca="1"/>
        <v>234.96</v>
      </c>
      <c r="GS78" vm="15168">
        <f ca="1"/>
        <v>236.5</v>
      </c>
      <c r="GT78" vm="12655">
        <f ca="1"/>
        <v>238.1</v>
      </c>
      <c r="GU78" vm="15169">
        <f ca="1"/>
        <v>240.67</v>
      </c>
      <c r="GV78" vm="15170">
        <f ca="1"/>
        <v>247.03</v>
      </c>
      <c r="GW78" vm="7801">
        <f ca="1"/>
        <v>245.76</v>
      </c>
      <c r="GX78" vm="12709">
        <f ca="1"/>
        <v>249.64</v>
      </c>
      <c r="GY78" vm="7803">
        <f ca="1"/>
        <v>245.48</v>
      </c>
      <c r="GZ78" vm="15171">
        <f ca="1"/>
        <v>238.93</v>
      </c>
      <c r="HA78" vm="15172">
        <f ca="1"/>
        <v>243.94</v>
      </c>
      <c r="HB78" vm="15173">
        <f ca="1"/>
        <v>246.1</v>
      </c>
      <c r="HC78" vm="15174">
        <f ca="1"/>
        <v>242</v>
      </c>
      <c r="HD78" vm="15175">
        <f ca="1"/>
        <v>238.15</v>
      </c>
      <c r="HE78" vm="15176">
        <f ca="1"/>
        <v>235.42</v>
      </c>
      <c r="HF78" vm="15177">
        <f ca="1"/>
        <v>241.35</v>
      </c>
      <c r="HG78" vm="15178">
        <f ca="1"/>
        <v>243.71</v>
      </c>
      <c r="HH78" vm="5869">
        <f ca="1"/>
        <v>237.4</v>
      </c>
      <c r="HI78" vm="15179">
        <f ca="1"/>
        <v>246.24</v>
      </c>
      <c r="HJ78" vm="15180">
        <f ca="1"/>
        <v>250.04</v>
      </c>
      <c r="HK78" vm="15181">
        <f ca="1"/>
        <v>251.24</v>
      </c>
      <c r="HL78" vm="15182">
        <f ca="1"/>
        <v>250.43</v>
      </c>
      <c r="HM78" vm="15183">
        <f ca="1"/>
        <v>250.82</v>
      </c>
      <c r="HN78" vm="15184">
        <f ca="1"/>
        <v>247.65</v>
      </c>
      <c r="HO78" vm="15185">
        <f ca="1"/>
        <v>248.55</v>
      </c>
      <c r="HP78" vm="15186">
        <f ca="1"/>
        <v>247.69</v>
      </c>
      <c r="HQ78" vm="15187">
        <f ca="1"/>
        <v>241.97</v>
      </c>
      <c r="HR78" vm="15188">
        <f ca="1"/>
        <v>238.53</v>
      </c>
      <c r="HS78" vm="15189">
        <f ca="1"/>
        <v>232.97</v>
      </c>
      <c r="HT78" vm="15190">
        <f ca="1"/>
        <v>234.33</v>
      </c>
      <c r="HU78" vm="15191">
        <f ca="1"/>
        <v>237.09</v>
      </c>
      <c r="HV78" vm="15192">
        <f ca="1"/>
        <v>236.11</v>
      </c>
      <c r="HW78" vm="15193">
        <f ca="1"/>
        <v>234.92</v>
      </c>
      <c r="HX78" vm="4186">
        <f ca="1"/>
        <v>227.13</v>
      </c>
      <c r="HY78" vm="15194">
        <f ca="1"/>
        <v>228.04</v>
      </c>
      <c r="HZ78" vm="15195">
        <f ca="1"/>
        <v>224.3</v>
      </c>
      <c r="IA78" vm="15196">
        <f ca="1"/>
        <v>223.52</v>
      </c>
      <c r="IB78" vm="1789">
        <f ca="1"/>
        <v>224.19</v>
      </c>
      <c r="IC78" vm="1790">
        <f ca="1"/>
        <v>218.75</v>
      </c>
      <c r="ID78" vm="1791">
        <f ca="1"/>
        <v>220.08</v>
      </c>
      <c r="IE78" vm="1792">
        <f ca="1"/>
        <v>223.63</v>
      </c>
      <c r="IF78" vm="1793">
        <f ca="1"/>
        <v>227.65</v>
      </c>
      <c r="IG78" vm="1794">
        <f ca="1"/>
        <v>229.3</v>
      </c>
      <c r="IH78" vm="1795">
        <f ca="1"/>
        <v>230.29</v>
      </c>
      <c r="II78" vm="1796">
        <f ca="1"/>
        <v>224.26</v>
      </c>
      <c r="IJ78" vm="1797">
        <f ca="1"/>
        <v>225.86</v>
      </c>
      <c r="IK78" vm="1798">
        <f ca="1"/>
        <v>227.91</v>
      </c>
      <c r="IL78" vm="1799">
        <f ca="1"/>
        <v>233.65</v>
      </c>
      <c r="IM78" vm="1800">
        <f ca="1"/>
        <v>230.82</v>
      </c>
      <c r="IN78" vm="1801">
        <f ca="1"/>
        <v>233.15</v>
      </c>
      <c r="IO78" vm="1802">
        <f ca="1"/>
        <v>231.15</v>
      </c>
      <c r="IP78" vm="1803">
        <f ca="1"/>
        <v>233.75</v>
      </c>
      <c r="IQ78" vm="1804">
        <f ca="1"/>
        <v>239.28</v>
      </c>
      <c r="IR78" vm="1805">
        <f ca="1"/>
        <v>236.69</v>
      </c>
      <c r="IS78" vm="1806">
        <f ca="1"/>
        <v>234.34</v>
      </c>
      <c r="IT78" vm="1807">
        <f ca="1"/>
        <v>232.85</v>
      </c>
      <c r="IU78" vm="1808">
        <f ca="1"/>
        <v>228.93</v>
      </c>
      <c r="IV78" vm="1809">
        <f ca="1"/>
        <v>233.14</v>
      </c>
      <c r="IW78" vm="133">
        <f ca="1"/>
        <v>241.28</v>
      </c>
    </row>
    <row r="79" spans="1:257" ht="16" x14ac:dyDescent="0.2">
      <c r="A79" s="13" t="e" vm="1810">
        <v>#VALUE!</v>
      </c>
      <c r="B79" s="23" t="str" cm="1">
        <f t="array" aca="1" ref="B79" ca="1">_FV(A79,"ticker symbol",TRUE)</f>
        <v>IYT</v>
      </c>
      <c r="C79" s="23" t="str" cm="1">
        <f t="array" aca="1" ref="C79" ca="1">_FV(A79,"Name")</f>
        <v>iShares:US Transportatn</v>
      </c>
      <c r="D79" cm="1" vm="15197">
        <f t="array" aca="1" ref="D79:IW79" ca="1">TRANSPOSE(_xlfn.STOCKHISTORY(B79, WORKDAY(TODAY(), -265), TODAY(), 0, 0, 1))</f>
        <v>69.819999999999993</v>
      </c>
      <c r="E79" s="23" vm="8828">
        <f ca="1"/>
        <v>69.31</v>
      </c>
      <c r="F79" s="23" vm="10257">
        <f ca="1"/>
        <v>67.569999999999993</v>
      </c>
      <c r="G79" s="23" vm="2483">
        <f ca="1"/>
        <v>67.28</v>
      </c>
      <c r="H79" s="23" vm="10329">
        <f ca="1"/>
        <v>67.540000000000006</v>
      </c>
      <c r="I79" s="23" vm="2241">
        <f ca="1"/>
        <v>67.89</v>
      </c>
      <c r="J79" s="23" vm="1936">
        <f ca="1"/>
        <v>68.42</v>
      </c>
      <c r="K79" s="23" vm="10167">
        <f ca="1"/>
        <v>68.540000000000006</v>
      </c>
      <c r="L79" s="23" vm="15198">
        <f ca="1"/>
        <v>68.23</v>
      </c>
      <c r="M79" s="23" vm="8827">
        <f ca="1"/>
        <v>67.64</v>
      </c>
      <c r="N79" s="23" vm="10257">
        <f ca="1"/>
        <v>67.569999999999993</v>
      </c>
      <c r="O79" s="23" vm="9733">
        <f ca="1"/>
        <v>67.67</v>
      </c>
      <c r="P79" s="23" vm="13843">
        <f ca="1"/>
        <v>68.59</v>
      </c>
      <c r="Q79" s="23" vm="13847">
        <f ca="1"/>
        <v>69.16</v>
      </c>
      <c r="R79" s="23" vm="15199">
        <f ca="1"/>
        <v>69.19</v>
      </c>
      <c r="S79" s="23" vm="15199">
        <f ca="1"/>
        <v>69.19</v>
      </c>
      <c r="T79" s="23" vm="15200">
        <f ca="1"/>
        <v>68.77</v>
      </c>
      <c r="U79" s="23" vm="13850">
        <f ca="1"/>
        <v>68.98</v>
      </c>
      <c r="V79" s="23" vm="15201">
        <f ca="1"/>
        <v>69.540000000000006</v>
      </c>
      <c r="W79" s="23" vm="15202">
        <f ca="1"/>
        <v>70.290000000000006</v>
      </c>
      <c r="X79" s="23" vm="15203">
        <f ca="1"/>
        <v>71.290000000000006</v>
      </c>
      <c r="Y79" s="23" vm="3093">
        <f ca="1"/>
        <v>70.67</v>
      </c>
      <c r="Z79" s="23" vm="15204">
        <f ca="1"/>
        <v>71.86</v>
      </c>
      <c r="AA79" s="23" vm="8884">
        <f ca="1"/>
        <v>71.41</v>
      </c>
      <c r="AB79" s="23" vm="15205">
        <f ca="1"/>
        <v>72.12</v>
      </c>
      <c r="AC79" s="23" vm="9763">
        <f ca="1"/>
        <v>72.09</v>
      </c>
      <c r="AD79" vm="906">
        <f ca="1"/>
        <v>73.22</v>
      </c>
      <c r="AE79" vm="15206">
        <f ca="1"/>
        <v>72.290000000000006</v>
      </c>
      <c r="AF79" vm="13205">
        <f ca="1"/>
        <v>72.010000000000005</v>
      </c>
      <c r="AG79" vm="15207">
        <f ca="1"/>
        <v>70.739999999999995</v>
      </c>
      <c r="AH79" vm="15208">
        <f ca="1"/>
        <v>70.16</v>
      </c>
      <c r="AI79" vm="15209">
        <f ca="1"/>
        <v>68.959999999999994</v>
      </c>
      <c r="AJ79" vm="15210">
        <f ca="1"/>
        <v>70.05</v>
      </c>
      <c r="AK79" vm="13841">
        <f ca="1"/>
        <v>69.34</v>
      </c>
      <c r="AL79" vm="3094">
        <f ca="1"/>
        <v>70.569999999999993</v>
      </c>
      <c r="AM79" vm="15211">
        <f ca="1"/>
        <v>71.09</v>
      </c>
      <c r="AN79" vm="15212">
        <f ca="1"/>
        <v>72.02</v>
      </c>
      <c r="AO79" vm="1004">
        <f ca="1"/>
        <v>71.77</v>
      </c>
      <c r="AP79" vm="8917">
        <f ca="1"/>
        <v>71.98</v>
      </c>
      <c r="AQ79" vm="15213">
        <f ca="1"/>
        <v>72.19</v>
      </c>
      <c r="AR79" vm="15214">
        <f ca="1"/>
        <v>72.56</v>
      </c>
      <c r="AS79" vm="7227">
        <f ca="1"/>
        <v>73.39</v>
      </c>
      <c r="AT79" vm="804">
        <f ca="1"/>
        <v>72.459999999999994</v>
      </c>
      <c r="AU79" vm="8925">
        <f ca="1"/>
        <v>72.2</v>
      </c>
      <c r="AV79" vm="1814">
        <f ca="1"/>
        <v>70.180000000000007</v>
      </c>
      <c r="AW79" vm="15215">
        <f ca="1"/>
        <v>69.59</v>
      </c>
      <c r="AX79" vm="15216">
        <f ca="1"/>
        <v>69.489999999999995</v>
      </c>
      <c r="AY79" vm="15217">
        <f ca="1"/>
        <v>69.52</v>
      </c>
      <c r="AZ79" vm="13066">
        <f ca="1"/>
        <v>68.83</v>
      </c>
      <c r="BA79" vm="2238">
        <f ca="1"/>
        <v>69.86</v>
      </c>
      <c r="BB79" vm="15218">
        <f ca="1"/>
        <v>68.78</v>
      </c>
      <c r="BC79" vm="10329">
        <f ca="1"/>
        <v>67.540000000000006</v>
      </c>
      <c r="BD79" vm="15219">
        <f ca="1"/>
        <v>68.45</v>
      </c>
      <c r="BE79" vm="2484">
        <f ca="1"/>
        <v>67.930000000000007</v>
      </c>
      <c r="BF79" vm="15220">
        <f ca="1"/>
        <v>68.400000000000006</v>
      </c>
      <c r="BG79" vm="8826">
        <f ca="1"/>
        <v>66.62</v>
      </c>
      <c r="BH79" vm="8850">
        <f ca="1"/>
        <v>64.61</v>
      </c>
      <c r="BI79" vm="1153">
        <f ca="1"/>
        <v>64.349999999999994</v>
      </c>
      <c r="BJ79" vm="11374">
        <f ca="1"/>
        <v>63.37</v>
      </c>
      <c r="BK79" vm="63">
        <f ca="1"/>
        <v>64.62</v>
      </c>
      <c r="BL79" vm="15221">
        <f ca="1"/>
        <v>65.39</v>
      </c>
      <c r="BM79" vm="2351">
        <f ca="1"/>
        <v>64.56</v>
      </c>
      <c r="BN79" vm="1152">
        <f ca="1"/>
        <v>65.010000000000005</v>
      </c>
      <c r="BO79" vm="8720">
        <f ca="1"/>
        <v>64.989999999999995</v>
      </c>
      <c r="BP79" vm="8811">
        <f ca="1"/>
        <v>65.05</v>
      </c>
      <c r="BQ79" vm="8750">
        <f ca="1"/>
        <v>66.260000000000005</v>
      </c>
      <c r="BR79" vm="1155">
        <f ca="1"/>
        <v>65.650000000000006</v>
      </c>
      <c r="BS79" vm="8836">
        <f ca="1"/>
        <v>65.56</v>
      </c>
      <c r="BT79" vm="8812">
        <f ca="1"/>
        <v>65.3</v>
      </c>
      <c r="BU79" vm="2731">
        <f ca="1"/>
        <v>63.66</v>
      </c>
      <c r="BV79" vm="11447">
        <f ca="1"/>
        <v>64.03</v>
      </c>
      <c r="BW79" vm="8660">
        <f ca="1"/>
        <v>63.95</v>
      </c>
      <c r="BX79" vm="15222">
        <f ca="1"/>
        <v>64.97</v>
      </c>
      <c r="BY79" vm="11083">
        <f ca="1"/>
        <v>59.4</v>
      </c>
      <c r="BZ79" vm="11102">
        <f ca="1"/>
        <v>56.76</v>
      </c>
      <c r="CA79" vm="1533">
        <f ca="1"/>
        <v>56.48</v>
      </c>
      <c r="CB79" vm="11874">
        <f ca="1"/>
        <v>55.22</v>
      </c>
      <c r="CC79" vm="8700">
        <f ca="1"/>
        <v>61.42</v>
      </c>
      <c r="CD79" vm="3009">
        <f ca="1"/>
        <v>58.78</v>
      </c>
      <c r="CE79" vm="8639">
        <f ca="1"/>
        <v>59.15</v>
      </c>
      <c r="CF79" vm="13439">
        <f ca="1"/>
        <v>59.82</v>
      </c>
      <c r="CG79" vm="1095">
        <f ca="1"/>
        <v>59.53</v>
      </c>
      <c r="CH79" vm="15223">
        <f ca="1"/>
        <v>58.4</v>
      </c>
      <c r="CI79" vm="11082">
        <f ca="1"/>
        <v>59.64</v>
      </c>
      <c r="CJ79" vm="2962">
        <f ca="1"/>
        <v>58.37</v>
      </c>
      <c r="CK79" vm="9644">
        <f ca="1"/>
        <v>59.22</v>
      </c>
      <c r="CL79" vm="15224">
        <f ca="1"/>
        <v>59.734999999999999</v>
      </c>
      <c r="CM79" vm="15225">
        <f ca="1"/>
        <v>61.09</v>
      </c>
      <c r="CN79" vm="8671">
        <f ca="1"/>
        <v>59.81</v>
      </c>
      <c r="CO79" vm="1647">
        <f ca="1"/>
        <v>60.01</v>
      </c>
      <c r="CP79" vm="13434">
        <f ca="1"/>
        <v>60.33</v>
      </c>
      <c r="CQ79" vm="15226">
        <f ca="1"/>
        <v>60.83</v>
      </c>
      <c r="CR79" vm="9669">
        <f ca="1"/>
        <v>60.74</v>
      </c>
      <c r="CS79" vm="15227">
        <f ca="1"/>
        <v>63.005000000000003</v>
      </c>
      <c r="CT79" vm="11377">
        <f ca="1"/>
        <v>63.05</v>
      </c>
      <c r="CU79" vm="8627">
        <f ca="1"/>
        <v>62.24</v>
      </c>
      <c r="CV79" vm="1482">
        <f ca="1"/>
        <v>62.29</v>
      </c>
      <c r="CW79" vm="13103">
        <f ca="1"/>
        <v>63.44</v>
      </c>
      <c r="CX79" vm="11397">
        <f ca="1"/>
        <v>63.32</v>
      </c>
      <c r="CY79" vm="2795">
        <f ca="1"/>
        <v>67.45</v>
      </c>
      <c r="CZ79" vm="15228">
        <f ca="1"/>
        <v>68.12</v>
      </c>
      <c r="DA79" vm="9737">
        <f ca="1"/>
        <v>67.72</v>
      </c>
      <c r="DB79" vm="8827">
        <f ca="1"/>
        <v>67.64</v>
      </c>
      <c r="DC79" vm="15229">
        <f ca="1"/>
        <v>68.41</v>
      </c>
      <c r="DD79" vm="15198">
        <f ca="1"/>
        <v>68.23</v>
      </c>
      <c r="DE79" vm="15230">
        <f ca="1"/>
        <v>67.61</v>
      </c>
      <c r="DF79" vm="10252">
        <f ca="1"/>
        <v>65.61</v>
      </c>
      <c r="DG79" vm="15231">
        <f ca="1"/>
        <v>65.644999999999996</v>
      </c>
      <c r="DH79" vm="8740">
        <f ca="1"/>
        <v>65.22</v>
      </c>
      <c r="DI79" vm="15232">
        <f ca="1"/>
        <v>66.599999999999994</v>
      </c>
      <c r="DJ79" vm="9730">
        <f ca="1"/>
        <v>66.099999999999994</v>
      </c>
      <c r="DK79" vm="15233">
        <f ca="1"/>
        <v>65.674999999999997</v>
      </c>
      <c r="DL79" vm="15221">
        <f ca="1"/>
        <v>65.39</v>
      </c>
      <c r="DM79" vm="11426">
        <f ca="1"/>
        <v>65.13</v>
      </c>
      <c r="DN79" vm="13861">
        <f ca="1"/>
        <v>65.47</v>
      </c>
      <c r="DO79" vm="15234">
        <f ca="1"/>
        <v>65.48</v>
      </c>
      <c r="DP79" vm="11424">
        <f ca="1"/>
        <v>65.41</v>
      </c>
      <c r="DQ79" vm="8867">
        <f ca="1"/>
        <v>66.489999999999995</v>
      </c>
      <c r="DR79" vm="2479">
        <f ca="1"/>
        <v>67.040000000000006</v>
      </c>
      <c r="DS79" vm="15235">
        <f ca="1"/>
        <v>67.765000000000001</v>
      </c>
      <c r="DT79" vm="8848">
        <f ca="1"/>
        <v>66.78</v>
      </c>
      <c r="DU79" vm="8839">
        <f ca="1"/>
        <v>66.44</v>
      </c>
      <c r="DV79" vm="15236">
        <f ca="1"/>
        <v>65.260000000000005</v>
      </c>
      <c r="DW79" vm="2242">
        <f ca="1"/>
        <v>66.17</v>
      </c>
      <c r="DX79" vm="8722">
        <f ca="1"/>
        <v>65.040000000000006</v>
      </c>
      <c r="DY79" vm="2547">
        <f ca="1"/>
        <v>64.95</v>
      </c>
      <c r="DZ79" vm="15237">
        <f ca="1"/>
        <v>65.069999999999993</v>
      </c>
      <c r="EA79" vm="11434">
        <f ca="1"/>
        <v>66.319999999999993</v>
      </c>
      <c r="EB79" vm="29">
        <f ca="1"/>
        <v>68.03</v>
      </c>
      <c r="EC79" vm="2244">
        <f ca="1"/>
        <v>67.19</v>
      </c>
      <c r="ED79" vm="15238">
        <f ca="1"/>
        <v>68.010000000000005</v>
      </c>
      <c r="EE79" vm="9772">
        <f ca="1"/>
        <v>68.44</v>
      </c>
      <c r="EF79" vm="10167">
        <f ca="1"/>
        <v>68.540000000000006</v>
      </c>
      <c r="EG79" vm="8760">
        <f ca="1"/>
        <v>69.680000000000007</v>
      </c>
      <c r="EH79" vm="9742">
        <f ca="1"/>
        <v>70.28</v>
      </c>
      <c r="EI79" vm="9765">
        <f ca="1"/>
        <v>70.650000000000006</v>
      </c>
      <c r="EJ79" vm="10165">
        <f ca="1"/>
        <v>70.319999999999993</v>
      </c>
      <c r="EK79" vm="8883">
        <f ca="1"/>
        <v>71.05</v>
      </c>
      <c r="EL79" vm="15239">
        <f ca="1"/>
        <v>70.78</v>
      </c>
      <c r="EM79" vm="15240">
        <f ca="1"/>
        <v>72.540000000000006</v>
      </c>
      <c r="EN79" vm="15241">
        <f ca="1"/>
        <v>71.7</v>
      </c>
      <c r="EO79" vm="15242">
        <f ca="1"/>
        <v>71.284999999999997</v>
      </c>
      <c r="EP79" vm="13895">
        <f ca="1"/>
        <v>70.14</v>
      </c>
      <c r="EQ79" vm="8875">
        <f ca="1"/>
        <v>70.08</v>
      </c>
      <c r="ER79" vm="13890">
        <f ca="1"/>
        <v>70.5</v>
      </c>
      <c r="ES79" vm="9761">
        <f ca="1"/>
        <v>70.19</v>
      </c>
      <c r="ET79" vm="15243">
        <f ca="1"/>
        <v>70.260000000000005</v>
      </c>
      <c r="EU79" vm="9746">
        <f ca="1"/>
        <v>71.150000000000006</v>
      </c>
      <c r="EV79" vm="15244">
        <f ca="1"/>
        <v>71.37</v>
      </c>
      <c r="EW79" vm="9757">
        <f ca="1"/>
        <v>70.47</v>
      </c>
      <c r="EX79" vm="15245">
        <f ca="1"/>
        <v>71.239999999999995</v>
      </c>
      <c r="EY79" vm="15246">
        <f ca="1"/>
        <v>71.13</v>
      </c>
      <c r="EZ79" vm="15247">
        <f ca="1"/>
        <v>69.125</v>
      </c>
      <c r="FA79" vm="8756">
        <f ca="1"/>
        <v>68.2</v>
      </c>
      <c r="FB79" vm="8870">
        <f ca="1"/>
        <v>68</v>
      </c>
      <c r="FC79" vm="8826">
        <f ca="1"/>
        <v>66.62</v>
      </c>
      <c r="FD79" vm="8753">
        <f ca="1"/>
        <v>67.81</v>
      </c>
      <c r="FE79" vm="1936">
        <f ca="1"/>
        <v>68.42</v>
      </c>
      <c r="FF79" vm="15248">
        <f ca="1"/>
        <v>68.88</v>
      </c>
      <c r="FG79" vm="15249">
        <f ca="1"/>
        <v>68.760000000000005</v>
      </c>
      <c r="FH79" vm="8871">
        <f ca="1"/>
        <v>68.08</v>
      </c>
      <c r="FI79" vm="8753">
        <f ca="1"/>
        <v>67.81</v>
      </c>
      <c r="FJ79" vm="8762">
        <f ca="1"/>
        <v>69.87</v>
      </c>
      <c r="FK79" vm="15250">
        <f ca="1"/>
        <v>70.62</v>
      </c>
      <c r="FL79" vm="15202">
        <f ca="1"/>
        <v>70.290000000000006</v>
      </c>
      <c r="FM79" vm="13198">
        <f ca="1"/>
        <v>70.52</v>
      </c>
      <c r="FN79" vm="15207">
        <f ca="1"/>
        <v>70.739999999999995</v>
      </c>
      <c r="FO79" vm="12989">
        <f ca="1"/>
        <v>71.61</v>
      </c>
      <c r="FP79" vm="2239">
        <f ca="1"/>
        <v>70.540000000000006</v>
      </c>
      <c r="FQ79" vm="15251">
        <f ca="1"/>
        <v>70.37</v>
      </c>
      <c r="FR79" vm="15252">
        <f ca="1"/>
        <v>72.7</v>
      </c>
      <c r="FS79" vm="15253">
        <f ca="1"/>
        <v>71.319999999999993</v>
      </c>
      <c r="FT79" vm="1004">
        <f ca="1"/>
        <v>71.77</v>
      </c>
      <c r="FU79" vm="8879">
        <f ca="1"/>
        <v>71.42</v>
      </c>
      <c r="FV79" vm="8767">
        <f ca="1"/>
        <v>71.540000000000006</v>
      </c>
      <c r="FW79" vm="15254">
        <f ca="1"/>
        <v>71.314999999999998</v>
      </c>
      <c r="FX79" vm="3094">
        <f ca="1"/>
        <v>70.569999999999993</v>
      </c>
      <c r="FY79" vm="3094">
        <f ca="1"/>
        <v>70.569999999999993</v>
      </c>
      <c r="FZ79" vm="13198">
        <f ca="1"/>
        <v>70.52</v>
      </c>
      <c r="GA79" vm="8766">
        <f ca="1"/>
        <v>70.349999999999994</v>
      </c>
      <c r="GB79" vm="15255">
        <f ca="1"/>
        <v>70.81</v>
      </c>
      <c r="GC79" vm="15256">
        <f ca="1"/>
        <v>70.510000000000005</v>
      </c>
      <c r="GD79" vm="15257">
        <f ca="1"/>
        <v>70.239999999999995</v>
      </c>
      <c r="GE79" vm="8878">
        <f ca="1"/>
        <v>71.02</v>
      </c>
      <c r="GF79" vm="15207">
        <f ca="1"/>
        <v>70.739999999999995</v>
      </c>
      <c r="GG79" vm="15258">
        <f ca="1"/>
        <v>71.180000000000007</v>
      </c>
      <c r="GH79" vm="3097">
        <f ca="1"/>
        <v>70.97</v>
      </c>
      <c r="GI79" vm="15259">
        <f ca="1"/>
        <v>70.02</v>
      </c>
      <c r="GJ79" vm="15260">
        <f ca="1"/>
        <v>70.8</v>
      </c>
      <c r="GK79" vm="15261">
        <f ca="1"/>
        <v>71.349999999999994</v>
      </c>
      <c r="GL79" vm="15262">
        <f ca="1"/>
        <v>71.58</v>
      </c>
      <c r="GM79" vm="10160">
        <f ca="1"/>
        <v>71.739999999999995</v>
      </c>
      <c r="GN79" vm="8910">
        <f ca="1"/>
        <v>71.53</v>
      </c>
      <c r="GO79" vm="15263">
        <f ca="1"/>
        <v>71.22</v>
      </c>
      <c r="GP79" vm="8832">
        <f ca="1"/>
        <v>71.67</v>
      </c>
      <c r="GQ79" vm="15264">
        <f ca="1"/>
        <v>72.319999999999993</v>
      </c>
      <c r="GR79" vm="15265">
        <f ca="1"/>
        <v>71.709999999999994</v>
      </c>
      <c r="GS79" vm="15263">
        <f ca="1"/>
        <v>71.22</v>
      </c>
      <c r="GT79" vm="10413">
        <f ca="1"/>
        <v>71.72</v>
      </c>
      <c r="GU79" vm="8921">
        <f ca="1"/>
        <v>72.23</v>
      </c>
      <c r="GV79" vm="8886">
        <f ca="1"/>
        <v>73.3</v>
      </c>
      <c r="GW79" vm="15266">
        <f ca="1"/>
        <v>72.05</v>
      </c>
      <c r="GX79" vm="15267">
        <f ca="1"/>
        <v>72.72</v>
      </c>
      <c r="GY79" vm="10413">
        <f ca="1"/>
        <v>71.72</v>
      </c>
      <c r="GZ79" vm="15268">
        <f ca="1"/>
        <v>69.44</v>
      </c>
      <c r="HA79" vm="2230">
        <f ca="1"/>
        <v>70.040000000000006</v>
      </c>
      <c r="HB79" vm="15269">
        <f ca="1"/>
        <v>71.040000000000006</v>
      </c>
      <c r="HC79" vm="9746">
        <f ca="1"/>
        <v>71.150000000000006</v>
      </c>
      <c r="HD79" vm="15270">
        <f ca="1"/>
        <v>70.84</v>
      </c>
      <c r="HE79" vm="9751">
        <f ca="1"/>
        <v>70.95</v>
      </c>
      <c r="HF79" vm="8917">
        <f ca="1"/>
        <v>71.98</v>
      </c>
      <c r="HG79" vm="14576">
        <f ca="1"/>
        <v>71.989999999999995</v>
      </c>
      <c r="HH79" vm="9745">
        <f ca="1"/>
        <v>71</v>
      </c>
      <c r="HI79" vm="10184">
        <f ca="1"/>
        <v>70.38</v>
      </c>
      <c r="HJ79" vm="3094">
        <f ca="1"/>
        <v>70.569999999999993</v>
      </c>
      <c r="HK79" vm="15244">
        <f ca="1"/>
        <v>71.37</v>
      </c>
      <c r="HL79" vm="15271">
        <f ca="1"/>
        <v>70.92</v>
      </c>
      <c r="HM79" vm="15272">
        <f ca="1"/>
        <v>71.094999999999999</v>
      </c>
      <c r="HN79" vm="15273">
        <f ca="1"/>
        <v>71.489999999999995</v>
      </c>
      <c r="HO79" vm="8926">
        <f ca="1"/>
        <v>72.349999999999994</v>
      </c>
      <c r="HP79" vm="804">
        <f ca="1"/>
        <v>72.459999999999994</v>
      </c>
      <c r="HQ79" vm="15274">
        <f ca="1"/>
        <v>71.47</v>
      </c>
      <c r="HR79" vm="8882">
        <f ca="1"/>
        <v>71.52</v>
      </c>
      <c r="HS79" vm="2232">
        <f ca="1"/>
        <v>71.06</v>
      </c>
      <c r="HT79" vm="15275">
        <f ca="1"/>
        <v>72.040000000000006</v>
      </c>
      <c r="HU79" vm="8925">
        <f ca="1"/>
        <v>72.2</v>
      </c>
      <c r="HV79" vm="15276">
        <f ca="1"/>
        <v>72.38</v>
      </c>
      <c r="HW79" vm="8784">
        <f ca="1"/>
        <v>72.989999999999995</v>
      </c>
      <c r="HX79" vm="10160">
        <f ca="1"/>
        <v>71.739999999999995</v>
      </c>
      <c r="HY79" vm="10159">
        <f ca="1"/>
        <v>71.400000000000006</v>
      </c>
      <c r="HZ79" vm="15277">
        <f ca="1"/>
        <v>70.400000000000006</v>
      </c>
      <c r="IA79" vm="8833">
        <f ca="1"/>
        <v>70.22</v>
      </c>
      <c r="IB79" vm="1811">
        <f ca="1"/>
        <v>69.73</v>
      </c>
      <c r="IC79" vm="1812">
        <f ca="1"/>
        <v>68.14</v>
      </c>
      <c r="ID79" vm="1813">
        <f ca="1"/>
        <v>70.03</v>
      </c>
      <c r="IE79" vm="1814">
        <f ca="1"/>
        <v>70.180000000000007</v>
      </c>
      <c r="IF79" vm="1815">
        <f ca="1"/>
        <v>71.45</v>
      </c>
      <c r="IG79" vm="1816">
        <f ca="1"/>
        <v>72.44</v>
      </c>
      <c r="IH79" vm="1817">
        <f ca="1"/>
        <v>72.98</v>
      </c>
      <c r="II79" vm="1818">
        <f ca="1"/>
        <v>72.84</v>
      </c>
      <c r="IJ79" vm="1819">
        <f ca="1"/>
        <v>73.41</v>
      </c>
      <c r="IK79" vm="1820">
        <f ca="1"/>
        <v>75.27</v>
      </c>
      <c r="IL79" vm="1821">
        <f ca="1"/>
        <v>75.39</v>
      </c>
      <c r="IM79" vm="1822">
        <f ca="1"/>
        <v>75.790000000000006</v>
      </c>
      <c r="IN79" vm="1823">
        <f ca="1"/>
        <v>75.88</v>
      </c>
      <c r="IO79" vm="1824">
        <f ca="1"/>
        <v>75.06</v>
      </c>
      <c r="IP79" vm="1825">
        <f ca="1"/>
        <v>75.83</v>
      </c>
      <c r="IQ79" vm="1826">
        <f ca="1"/>
        <v>76.45</v>
      </c>
      <c r="IR79" vm="1827">
        <f ca="1"/>
        <v>76.38</v>
      </c>
      <c r="IS79" vm="1828">
        <f ca="1"/>
        <v>75.72</v>
      </c>
      <c r="IT79" vm="1829">
        <f ca="1"/>
        <v>75.319999999999993</v>
      </c>
      <c r="IU79" vm="1830">
        <f ca="1"/>
        <v>74.61</v>
      </c>
      <c r="IV79" vm="1831">
        <f ca="1"/>
        <v>75.02</v>
      </c>
      <c r="IW79" vm="135">
        <f ca="1"/>
        <v>75.03</v>
      </c>
    </row>
    <row r="80" spans="1:257" ht="16" x14ac:dyDescent="0.2">
      <c r="A80" s="13" t="e" vm="1832">
        <v>#VALUE!</v>
      </c>
      <c r="B80" s="23" t="str" cm="1">
        <f t="array" aca="1" ref="B80" ca="1">_FV(A80,"ticker symbol",TRUE)</f>
        <v>XTN</v>
      </c>
      <c r="C80" s="23" t="str" cm="1">
        <f t="array" aca="1" ref="C80" ca="1">_FV(A80,"Name")</f>
        <v>SPDR S&amp;P Trans</v>
      </c>
      <c r="D80" cm="1" vm="452">
        <f t="array" aca="1" ref="D80:IW80" ca="1">TRANSPOSE(_xlfn.STOCKHISTORY(B80, WORKDAY(TODAY(), -265), TODAY(), 0, 0, 1))</f>
        <v>90.45</v>
      </c>
      <c r="E80" s="23" vm="1495">
        <f ca="1"/>
        <v>89.63</v>
      </c>
      <c r="F80" s="23" vm="6073">
        <f ca="1"/>
        <v>86.66</v>
      </c>
      <c r="G80" s="23" vm="6209">
        <f ca="1"/>
        <v>86.32</v>
      </c>
      <c r="H80" s="23" vm="6786">
        <f ca="1"/>
        <v>86.09</v>
      </c>
      <c r="I80" s="23" vm="6208">
        <f ca="1"/>
        <v>86.37</v>
      </c>
      <c r="J80" s="23" vm="15278">
        <f ca="1"/>
        <v>87.350800000000007</v>
      </c>
      <c r="K80" s="23" vm="6076">
        <f ca="1"/>
        <v>87.94</v>
      </c>
      <c r="L80" s="23" vm="3147">
        <f ca="1"/>
        <v>87.4</v>
      </c>
      <c r="M80" s="23" vm="15279">
        <f ca="1"/>
        <v>86.67</v>
      </c>
      <c r="N80" s="23" vm="6767">
        <f ca="1"/>
        <v>86.68</v>
      </c>
      <c r="O80" s="23" vm="6209">
        <f ca="1"/>
        <v>86.32</v>
      </c>
      <c r="P80" s="23" vm="15280">
        <f ca="1"/>
        <v>88.24</v>
      </c>
      <c r="Q80" s="23" vm="1498">
        <f ca="1"/>
        <v>89.01</v>
      </c>
      <c r="R80" s="23" vm="14598">
        <f ca="1"/>
        <v>89.02</v>
      </c>
      <c r="S80" s="23" vm="3134">
        <f ca="1"/>
        <v>88.88</v>
      </c>
      <c r="T80" s="23" vm="3143">
        <f ca="1"/>
        <v>87.97</v>
      </c>
      <c r="U80" s="23" vm="6734">
        <f ca="1"/>
        <v>87.95</v>
      </c>
      <c r="V80" s="23" vm="4533">
        <f ca="1"/>
        <v>89.27</v>
      </c>
      <c r="W80" s="23" vm="3139">
        <f ca="1"/>
        <v>90.21</v>
      </c>
      <c r="X80" s="23" vm="6099">
        <f ca="1"/>
        <v>90.95</v>
      </c>
      <c r="Y80" s="23" vm="3139">
        <f ca="1"/>
        <v>90.21</v>
      </c>
      <c r="Z80" s="23" vm="4479">
        <f ca="1"/>
        <v>91.81</v>
      </c>
      <c r="AA80" s="23" vm="15281">
        <f ca="1"/>
        <v>91.18</v>
      </c>
      <c r="AB80" s="23" vm="6802">
        <f ca="1"/>
        <v>91.37</v>
      </c>
      <c r="AC80" s="23" vm="15281">
        <f ca="1"/>
        <v>91.18</v>
      </c>
      <c r="AD80" vm="6827">
        <f ca="1"/>
        <v>92.15</v>
      </c>
      <c r="AE80" vm="15282">
        <f ca="1"/>
        <v>90.75</v>
      </c>
      <c r="AF80" vm="15283">
        <f ca="1"/>
        <v>90.55</v>
      </c>
      <c r="AG80" vm="12521">
        <f ca="1"/>
        <v>90.41</v>
      </c>
      <c r="AH80" vm="6751">
        <f ca="1"/>
        <v>89.44</v>
      </c>
      <c r="AI80" vm="6218">
        <f ca="1"/>
        <v>87.42</v>
      </c>
      <c r="AJ80" vm="12458">
        <f ca="1"/>
        <v>88.69</v>
      </c>
      <c r="AK80" vm="12506">
        <f ca="1"/>
        <v>87.9</v>
      </c>
      <c r="AL80" vm="15284">
        <f ca="1"/>
        <v>88.475099999999998</v>
      </c>
      <c r="AM80" vm="6818">
        <f ca="1"/>
        <v>88.35</v>
      </c>
      <c r="AN80" vm="6171">
        <f ca="1"/>
        <v>88.95</v>
      </c>
      <c r="AO80" vm="6794">
        <f ca="1"/>
        <v>88.41</v>
      </c>
      <c r="AP80" vm="15285">
        <f ca="1"/>
        <v>87.63</v>
      </c>
      <c r="AQ80" vm="6173">
        <f ca="1"/>
        <v>87.21</v>
      </c>
      <c r="AR80" vm="6091">
        <f ca="1"/>
        <v>88.57</v>
      </c>
      <c r="AS80" vm="6089">
        <f ca="1"/>
        <v>90.04</v>
      </c>
      <c r="AT80" vm="13016">
        <f ca="1"/>
        <v>88.38</v>
      </c>
      <c r="AU80" vm="975">
        <f ca="1"/>
        <v>87.71</v>
      </c>
      <c r="AV80" vm="13015">
        <f ca="1"/>
        <v>84.71</v>
      </c>
      <c r="AW80" vm="15286">
        <f ca="1"/>
        <v>84.06</v>
      </c>
      <c r="AX80" vm="15287">
        <f ca="1"/>
        <v>83.53</v>
      </c>
      <c r="AY80" vm="15288">
        <f ca="1"/>
        <v>83.363500000000002</v>
      </c>
      <c r="AZ80" vm="13538">
        <f ca="1"/>
        <v>82.3</v>
      </c>
      <c r="BA80" vm="15289">
        <f ca="1"/>
        <v>83.273200000000003</v>
      </c>
      <c r="BB80" vm="7241">
        <f ca="1"/>
        <v>80.989999999999995</v>
      </c>
      <c r="BC80" vm="15290">
        <f ca="1"/>
        <v>79.610500000000002</v>
      </c>
      <c r="BD80" vm="15291">
        <f ca="1"/>
        <v>80.5137</v>
      </c>
      <c r="BE80" vm="15292">
        <f ca="1"/>
        <v>79.421999999999997</v>
      </c>
      <c r="BF80" vm="7208">
        <f ca="1"/>
        <v>79.430000000000007</v>
      </c>
      <c r="BG80" vm="7177">
        <f ca="1"/>
        <v>76.7</v>
      </c>
      <c r="BH80" vm="10156">
        <f ca="1"/>
        <v>74.930000000000007</v>
      </c>
      <c r="BI80" vm="14565">
        <f ca="1"/>
        <v>74.599999999999994</v>
      </c>
      <c r="BJ80" vm="15293">
        <f ca="1"/>
        <v>73.28</v>
      </c>
      <c r="BK80" vm="8801">
        <f ca="1"/>
        <v>74.94</v>
      </c>
      <c r="BL80" vm="1823">
        <f ca="1"/>
        <v>75.88</v>
      </c>
      <c r="BM80" vm="1947">
        <f ca="1"/>
        <v>74.739999999999995</v>
      </c>
      <c r="BN80" vm="15294">
        <f ca="1"/>
        <v>75.540000000000006</v>
      </c>
      <c r="BO80" vm="774">
        <f ca="1"/>
        <v>74.88</v>
      </c>
      <c r="BP80" vm="15295">
        <f ca="1"/>
        <v>75.34</v>
      </c>
      <c r="BQ80" vm="15296">
        <f ca="1"/>
        <v>76.849999999999994</v>
      </c>
      <c r="BR80" vm="7189">
        <f ca="1"/>
        <v>76.010000000000005</v>
      </c>
      <c r="BS80" vm="7188">
        <f ca="1"/>
        <v>76.03</v>
      </c>
      <c r="BT80" vm="15297">
        <f ca="1"/>
        <v>76.044399999999996</v>
      </c>
      <c r="BU80" vm="15298">
        <f ca="1"/>
        <v>74.069999999999993</v>
      </c>
      <c r="BV80" vm="8797">
        <f ca="1"/>
        <v>73.86</v>
      </c>
      <c r="BW80" vm="15299">
        <f ca="1"/>
        <v>73.739699999999999</v>
      </c>
      <c r="BX80" vm="15300">
        <f ca="1"/>
        <v>75.552899999999994</v>
      </c>
      <c r="BY80" vm="15301">
        <f ca="1"/>
        <v>67.982399999999998</v>
      </c>
      <c r="BZ80" vm="8849">
        <f ca="1"/>
        <v>65.62</v>
      </c>
      <c r="CA80" vm="11395">
        <f ca="1"/>
        <v>65.09</v>
      </c>
      <c r="CB80" vm="9718">
        <f ca="1"/>
        <v>62.77</v>
      </c>
      <c r="CC80" vm="15302">
        <f ca="1"/>
        <v>70.760000000000005</v>
      </c>
      <c r="CD80" vm="15303">
        <f ca="1"/>
        <v>66.81</v>
      </c>
      <c r="CE80" vm="8738">
        <f ca="1"/>
        <v>67.010000000000005</v>
      </c>
      <c r="CF80" vm="15304">
        <f ca="1"/>
        <v>67.3</v>
      </c>
      <c r="CG80" vm="10330">
        <f ca="1"/>
        <v>66.61</v>
      </c>
      <c r="CH80" vm="2944">
        <f ca="1"/>
        <v>65.7</v>
      </c>
      <c r="CI80" vm="13835">
        <f ca="1"/>
        <v>67.790000000000006</v>
      </c>
      <c r="CJ80" vm="11405">
        <f ca="1"/>
        <v>66.14</v>
      </c>
      <c r="CK80" vm="9734">
        <f ca="1"/>
        <v>67.52</v>
      </c>
      <c r="CL80" vm="15305">
        <f ca="1"/>
        <v>68.73</v>
      </c>
      <c r="CM80" vm="15306">
        <f ca="1"/>
        <v>70.596599999999995</v>
      </c>
      <c r="CN80" vm="10167">
        <f ca="1"/>
        <v>68.540000000000006</v>
      </c>
      <c r="CO80" vm="15248">
        <f ca="1"/>
        <v>68.88</v>
      </c>
      <c r="CP80" vm="15249">
        <f ca="1"/>
        <v>68.760000000000005</v>
      </c>
      <c r="CQ80" vm="89">
        <f ca="1"/>
        <v>68.849999999999994</v>
      </c>
      <c r="CR80" vm="13842">
        <f ca="1"/>
        <v>69.11</v>
      </c>
      <c r="CS80" vm="900">
        <f ca="1"/>
        <v>72.08</v>
      </c>
      <c r="CT80" vm="15307">
        <f ca="1"/>
        <v>71.760000000000005</v>
      </c>
      <c r="CU80" vm="15308">
        <f ca="1"/>
        <v>70.36</v>
      </c>
      <c r="CV80" vm="15309">
        <f ca="1"/>
        <v>70.900000000000006</v>
      </c>
      <c r="CW80" vm="15310">
        <f ca="1"/>
        <v>73.33</v>
      </c>
      <c r="CX80" vm="802">
        <f ca="1"/>
        <v>73.89</v>
      </c>
      <c r="CY80" vm="15311">
        <f ca="1"/>
        <v>78.489999999999995</v>
      </c>
      <c r="CZ80" vm="433">
        <f ca="1"/>
        <v>78.83</v>
      </c>
      <c r="DA80" vm="15312">
        <f ca="1"/>
        <v>78.558400000000006</v>
      </c>
      <c r="DB80" vm="6037">
        <f ca="1"/>
        <v>78.11</v>
      </c>
      <c r="DC80" vm="15313">
        <f ca="1"/>
        <v>79.125</v>
      </c>
      <c r="DD80" vm="13">
        <f ca="1"/>
        <v>78.78</v>
      </c>
      <c r="DE80" vm="6044">
        <f ca="1"/>
        <v>78.040000000000006</v>
      </c>
      <c r="DF80" vm="1820">
        <f ca="1"/>
        <v>75.27</v>
      </c>
      <c r="DG80" vm="15314">
        <f ca="1"/>
        <v>75.902000000000001</v>
      </c>
      <c r="DH80" vm="15315">
        <f ca="1"/>
        <v>75.336699999999993</v>
      </c>
      <c r="DI80" vm="15316">
        <f ca="1"/>
        <v>77.75</v>
      </c>
      <c r="DJ80" vm="12469">
        <f ca="1"/>
        <v>77.53</v>
      </c>
      <c r="DK80" vm="6060">
        <f ca="1"/>
        <v>77.430000000000007</v>
      </c>
      <c r="DL80" vm="5929">
        <f ca="1"/>
        <v>76.8</v>
      </c>
      <c r="DM80" vm="1915">
        <f ca="1"/>
        <v>76.39</v>
      </c>
      <c r="DN80" vm="15317">
        <f ca="1"/>
        <v>77.381100000000004</v>
      </c>
      <c r="DO80" vm="4519">
        <f ca="1"/>
        <v>76.98</v>
      </c>
      <c r="DP80" vm="15318">
        <f ca="1"/>
        <v>76.521000000000001</v>
      </c>
      <c r="DQ80" vm="1943">
        <f ca="1"/>
        <v>78.069999999999993</v>
      </c>
      <c r="DR80" vm="13002">
        <f ca="1"/>
        <v>79.02</v>
      </c>
      <c r="DS80" vm="10149">
        <f ca="1"/>
        <v>80.03</v>
      </c>
      <c r="DT80" vm="4518">
        <f ca="1"/>
        <v>78.540000000000006</v>
      </c>
      <c r="DU80" vm="15319">
        <f ca="1"/>
        <v>78.09</v>
      </c>
      <c r="DV80" vm="1546">
        <f ca="1"/>
        <v>76.290000000000006</v>
      </c>
      <c r="DW80" vm="15320">
        <f ca="1"/>
        <v>78.05</v>
      </c>
      <c r="DX80" vm="5926">
        <f ca="1"/>
        <v>76.47</v>
      </c>
      <c r="DY80" vm="10188">
        <f ca="1"/>
        <v>76.55</v>
      </c>
      <c r="DZ80" vm="7177">
        <f ca="1"/>
        <v>76.7</v>
      </c>
      <c r="EA80" vm="6034">
        <f ca="1"/>
        <v>78.349999999999994</v>
      </c>
      <c r="EB80" vm="15321">
        <f ca="1"/>
        <v>80.06</v>
      </c>
      <c r="EC80" vm="7209">
        <f ca="1"/>
        <v>79.099999999999994</v>
      </c>
      <c r="ED80" vm="15322">
        <f ca="1"/>
        <v>80.02</v>
      </c>
      <c r="EE80" vm="5965">
        <f ca="1"/>
        <v>80.81</v>
      </c>
      <c r="EF80" vm="6132">
        <f ca="1"/>
        <v>80.5</v>
      </c>
      <c r="EG80" vm="6131">
        <f ca="1"/>
        <v>82.73</v>
      </c>
      <c r="EH80" vm="6067">
        <f ca="1"/>
        <v>84.05</v>
      </c>
      <c r="EI80" vm="6178">
        <f ca="1"/>
        <v>84.39</v>
      </c>
      <c r="EJ80" vm="3164">
        <f ca="1"/>
        <v>82.93</v>
      </c>
      <c r="EK80" vm="15323">
        <f ca="1"/>
        <v>84.08</v>
      </c>
      <c r="EL80" vm="15324">
        <f ca="1"/>
        <v>84.070099999999996</v>
      </c>
      <c r="EM80" vm="14603">
        <f ca="1"/>
        <v>87.33</v>
      </c>
      <c r="EN80" vm="970">
        <f ca="1"/>
        <v>85.84</v>
      </c>
      <c r="EO80" vm="6183">
        <f ca="1"/>
        <v>85.56</v>
      </c>
      <c r="EP80" vm="6785">
        <f ca="1"/>
        <v>84.34</v>
      </c>
      <c r="EQ80" vm="15325">
        <f ca="1"/>
        <v>84.832800000000006</v>
      </c>
      <c r="ER80" vm="15326">
        <f ca="1"/>
        <v>86.14</v>
      </c>
      <c r="ES80" vm="15327">
        <f ca="1"/>
        <v>85.15</v>
      </c>
      <c r="ET80" vm="6849">
        <f ca="1"/>
        <v>84.8</v>
      </c>
      <c r="EU80" vm="7277">
        <f ca="1"/>
        <v>86.25</v>
      </c>
      <c r="EV80" vm="15328">
        <f ca="1"/>
        <v>87.649299999999997</v>
      </c>
      <c r="EW80" vm="15329">
        <f ca="1"/>
        <v>86.6935</v>
      </c>
      <c r="EX80" vm="15330">
        <f ca="1"/>
        <v>87.578999999999994</v>
      </c>
      <c r="EY80" vm="6770">
        <f ca="1"/>
        <v>87.01</v>
      </c>
      <c r="EZ80" vm="15331">
        <f ca="1"/>
        <v>85.446200000000005</v>
      </c>
      <c r="FA80" vm="15332">
        <f ca="1"/>
        <v>83.025999999999996</v>
      </c>
      <c r="FB80" vm="132">
        <f ca="1"/>
        <v>82.76</v>
      </c>
      <c r="FC80" vm="6003">
        <f ca="1"/>
        <v>80.53</v>
      </c>
      <c r="FD80" vm="1951">
        <f ca="1"/>
        <v>82.24</v>
      </c>
      <c r="FE80" vm="1836">
        <f ca="1"/>
        <v>82.97</v>
      </c>
      <c r="FF80" vm="15333">
        <f ca="1"/>
        <v>83.253699999999995</v>
      </c>
      <c r="FG80" vm="6147">
        <f ca="1"/>
        <v>81.95</v>
      </c>
      <c r="FH80" vm="6009">
        <f ca="1"/>
        <v>80.97</v>
      </c>
      <c r="FI80" vm="15334">
        <f ca="1"/>
        <v>80.203599999999994</v>
      </c>
      <c r="FJ80" vm="6783">
        <f ca="1"/>
        <v>84.3</v>
      </c>
      <c r="FK80" vm="15335">
        <f ca="1"/>
        <v>86.06</v>
      </c>
      <c r="FL80" vm="10768">
        <f ca="1"/>
        <v>85.0488</v>
      </c>
      <c r="FM80" vm="15336">
        <f ca="1"/>
        <v>84.718500000000006</v>
      </c>
      <c r="FN80" vm="965">
        <f ca="1"/>
        <v>84.64</v>
      </c>
      <c r="FO80" vm="15337">
        <f ca="1"/>
        <v>85.234099999999998</v>
      </c>
      <c r="FP80" vm="15338">
        <f ca="1"/>
        <v>83.39</v>
      </c>
      <c r="FQ80" vm="15339">
        <f ca="1"/>
        <v>83.285300000000007</v>
      </c>
      <c r="FR80" vm="14606">
        <f ca="1"/>
        <v>87.54</v>
      </c>
      <c r="FS80" vm="15340">
        <f ca="1"/>
        <v>85.85</v>
      </c>
      <c r="FT80" vm="10216">
        <f ca="1"/>
        <v>86.44</v>
      </c>
      <c r="FU80" vm="15341">
        <f ca="1"/>
        <v>86.404499999999999</v>
      </c>
      <c r="FV80" vm="15342">
        <f ca="1"/>
        <v>86.1417</v>
      </c>
      <c r="FW80" vm="15343">
        <f ca="1"/>
        <v>86.129800000000003</v>
      </c>
      <c r="FX80" vm="15344">
        <f ca="1"/>
        <v>85.57</v>
      </c>
      <c r="FY80" vm="15345">
        <f ca="1"/>
        <v>85.36</v>
      </c>
      <c r="FZ80" vm="14592">
        <f ca="1"/>
        <v>85.29</v>
      </c>
      <c r="GA80" vm="15346">
        <f ca="1"/>
        <v>85.569800000000001</v>
      </c>
      <c r="GB80" vm="15347">
        <f ca="1"/>
        <v>85.710700000000003</v>
      </c>
      <c r="GC80" vm="15348">
        <f ca="1"/>
        <v>84.909499999999994</v>
      </c>
      <c r="GD80" vm="15349">
        <f ca="1"/>
        <v>84.7</v>
      </c>
      <c r="GE80" vm="7277">
        <f ca="1"/>
        <v>86.25</v>
      </c>
      <c r="GF80" vm="13021">
        <f ca="1"/>
        <v>85.32</v>
      </c>
      <c r="GG80" vm="7267">
        <f ca="1"/>
        <v>85.26</v>
      </c>
      <c r="GH80" vm="15350">
        <f ca="1"/>
        <v>85.81</v>
      </c>
      <c r="GI80" vm="15351">
        <f ca="1"/>
        <v>85.108000000000004</v>
      </c>
      <c r="GJ80" vm="6185">
        <f ca="1"/>
        <v>85.79</v>
      </c>
      <c r="GK80" vm="15352">
        <f ca="1"/>
        <v>85.38</v>
      </c>
      <c r="GL80" vm="15353">
        <f ca="1"/>
        <v>84.954999999999998</v>
      </c>
      <c r="GM80" vm="1706">
        <f ca="1"/>
        <v>85.33</v>
      </c>
      <c r="GN80" vm="15354">
        <f ca="1"/>
        <v>84.74</v>
      </c>
      <c r="GO80" vm="14553">
        <f ca="1"/>
        <v>83.9</v>
      </c>
      <c r="GP80" vm="15355">
        <f ca="1"/>
        <v>84.051299999999998</v>
      </c>
      <c r="GQ80" vm="15356">
        <f ca="1"/>
        <v>84.45</v>
      </c>
      <c r="GR80" vm="15357">
        <f ca="1"/>
        <v>83.85</v>
      </c>
      <c r="GS80" vm="15358">
        <f ca="1"/>
        <v>83.263900000000007</v>
      </c>
      <c r="GT80" vm="15359">
        <f ca="1"/>
        <v>84.171000000000006</v>
      </c>
      <c r="GU80" vm="15360">
        <f ca="1"/>
        <v>85.04</v>
      </c>
      <c r="GV80" vm="15361">
        <f ca="1"/>
        <v>86.026700000000005</v>
      </c>
      <c r="GW80" vm="6070">
        <f ca="1"/>
        <v>84.57</v>
      </c>
      <c r="GX80" vm="15362">
        <f ca="1"/>
        <v>85.922899999999998</v>
      </c>
      <c r="GY80" vm="15363">
        <f ca="1"/>
        <v>84.48</v>
      </c>
      <c r="GZ80" vm="1924">
        <f ca="1"/>
        <v>81.39</v>
      </c>
      <c r="HA80" vm="13009">
        <f ca="1"/>
        <v>82.38</v>
      </c>
      <c r="HB80" vm="15364">
        <f ca="1"/>
        <v>84.332800000000006</v>
      </c>
      <c r="HC80" vm="15365">
        <f ca="1"/>
        <v>84.425799999999995</v>
      </c>
      <c r="HD80" vm="15366">
        <f ca="1"/>
        <v>85.132199999999997</v>
      </c>
      <c r="HE80" vm="15367">
        <f ca="1"/>
        <v>84.727800000000002</v>
      </c>
      <c r="HF80" vm="15368">
        <f ca="1"/>
        <v>86.111800000000002</v>
      </c>
      <c r="HG80" vm="15369">
        <f ca="1"/>
        <v>86.712999999999994</v>
      </c>
      <c r="HH80" vm="15370">
        <f ca="1"/>
        <v>84.978700000000003</v>
      </c>
      <c r="HI80" vm="6149">
        <f ca="1"/>
        <v>83.57</v>
      </c>
      <c r="HJ80" vm="15371">
        <f ca="1"/>
        <v>84.229399999999998</v>
      </c>
      <c r="HK80" vm="15372">
        <f ca="1"/>
        <v>84.923199999999994</v>
      </c>
      <c r="HL80" vm="15373">
        <f ca="1"/>
        <v>83.449799999999996</v>
      </c>
      <c r="HM80" vm="15374">
        <f ca="1"/>
        <v>83.471299999999999</v>
      </c>
      <c r="HN80" vm="15375">
        <f ca="1"/>
        <v>83.252399999999994</v>
      </c>
      <c r="HO80" vm="7257">
        <f ca="1"/>
        <v>85.21</v>
      </c>
      <c r="HP80" vm="15376">
        <f ca="1"/>
        <v>84.496700000000004</v>
      </c>
      <c r="HQ80" vm="15377">
        <f ca="1"/>
        <v>84.136600000000001</v>
      </c>
      <c r="HR80" vm="15378">
        <f ca="1"/>
        <v>85.585099999999997</v>
      </c>
      <c r="HS80" vm="15379">
        <f ca="1"/>
        <v>84.002899999999997</v>
      </c>
      <c r="HT80" vm="15380">
        <f ca="1"/>
        <v>85.495199999999997</v>
      </c>
      <c r="HU80" vm="10227">
        <f ca="1"/>
        <v>85.19</v>
      </c>
      <c r="HV80" vm="15381">
        <f ca="1"/>
        <v>85.305000000000007</v>
      </c>
      <c r="HW80" vm="7263">
        <f ca="1"/>
        <v>86.28</v>
      </c>
      <c r="HX80" vm="15382">
        <f ca="1"/>
        <v>84.07</v>
      </c>
      <c r="HY80" vm="15383">
        <f ca="1"/>
        <v>83.2286</v>
      </c>
      <c r="HZ80" vm="2656">
        <f ca="1"/>
        <v>81.19</v>
      </c>
      <c r="IA80" vm="15384">
        <f ca="1"/>
        <v>81.28</v>
      </c>
      <c r="IB80" vm="1833">
        <f ca="1"/>
        <v>80.547700000000006</v>
      </c>
      <c r="IC80" vm="1834">
        <f ca="1"/>
        <v>79.2</v>
      </c>
      <c r="ID80" vm="1835">
        <f ca="1"/>
        <v>82.2</v>
      </c>
      <c r="IE80" vm="1836">
        <f ca="1"/>
        <v>82.97</v>
      </c>
      <c r="IF80" vm="1837">
        <f ca="1"/>
        <v>85.308700000000002</v>
      </c>
      <c r="IG80" vm="1838">
        <f ca="1"/>
        <v>86.307199999999995</v>
      </c>
      <c r="IH80" vm="1839">
        <f ca="1"/>
        <v>86.823999999999998</v>
      </c>
      <c r="II80" vm="1840">
        <f ca="1"/>
        <v>86.9</v>
      </c>
      <c r="IJ80" vm="1841">
        <f ca="1"/>
        <v>88.14</v>
      </c>
      <c r="IK80" vm="1842">
        <f ca="1"/>
        <v>90.62</v>
      </c>
      <c r="IL80" vm="1843">
        <f ca="1"/>
        <v>90.81</v>
      </c>
      <c r="IM80" vm="1844">
        <f ca="1"/>
        <v>92</v>
      </c>
      <c r="IN80" vm="1845">
        <f ca="1"/>
        <v>91.88</v>
      </c>
      <c r="IO80" vm="1722">
        <f ca="1"/>
        <v>91.61</v>
      </c>
      <c r="IP80" vm="1846">
        <f ca="1"/>
        <v>94.11</v>
      </c>
      <c r="IQ80" vm="1847">
        <f ca="1"/>
        <v>94.559200000000004</v>
      </c>
      <c r="IR80" vm="1848">
        <f ca="1"/>
        <v>94.06</v>
      </c>
      <c r="IS80" vm="1849">
        <f ca="1"/>
        <v>93.614500000000007</v>
      </c>
      <c r="IT80" vm="1850">
        <f ca="1"/>
        <v>93.587100000000007</v>
      </c>
      <c r="IU80" vm="1720">
        <f ca="1"/>
        <v>92.47</v>
      </c>
      <c r="IV80" vm="1851">
        <f ca="1"/>
        <v>93.344200000000001</v>
      </c>
      <c r="IW80" vm="137">
        <f ca="1"/>
        <v>93.1</v>
      </c>
    </row>
    <row r="81" spans="1:257" ht="16" x14ac:dyDescent="0.2">
      <c r="A81" s="13" t="e" vm="1852">
        <v>#VALUE!</v>
      </c>
      <c r="B81" s="23" t="str" cm="1">
        <f t="array" aca="1" ref="B81" ca="1">_FV(A81,"ticker symbol",TRUE)</f>
        <v>VIS</v>
      </c>
      <c r="C81" s="23" t="str" cm="1">
        <f t="array" aca="1" ref="C81" ca="1">_FV(A81,"Name")</f>
        <v>Vanguard Indus Idx;ETF</v>
      </c>
      <c r="D81" cm="1" vm="9890">
        <f t="array" aca="1" ref="D81:IW81" ca="1">TRANSPOSE(_xlfn.STOCKHISTORY(B81, WORKDAY(TODAY(), -265), TODAY(), 0, 0, 1))</f>
        <v>266.77999999999997</v>
      </c>
      <c r="E81" s="23" vm="15385">
        <f ca="1"/>
        <v>263.8</v>
      </c>
      <c r="F81" s="23" vm="15386">
        <f ca="1"/>
        <v>255.01</v>
      </c>
      <c r="G81" s="23" vm="15387">
        <f ca="1"/>
        <v>254.51</v>
      </c>
      <c r="H81" s="23" vm="15388">
        <f ca="1"/>
        <v>257.02</v>
      </c>
      <c r="I81" s="23" vm="15389">
        <f ca="1"/>
        <v>256.89999999999998</v>
      </c>
      <c r="J81" s="23" vm="15390">
        <f ca="1"/>
        <v>258.93</v>
      </c>
      <c r="K81" s="23" vm="7701">
        <f ca="1"/>
        <v>259.3</v>
      </c>
      <c r="L81" s="23" vm="15391">
        <f ca="1"/>
        <v>257.33</v>
      </c>
      <c r="M81" s="23" vm="15392">
        <f ca="1"/>
        <v>254.83</v>
      </c>
      <c r="N81" s="23" vm="15393">
        <f ca="1"/>
        <v>254.3905</v>
      </c>
      <c r="O81" s="23" vm="15394">
        <f ca="1"/>
        <v>253.83</v>
      </c>
      <c r="P81" s="23" vm="15389">
        <f ca="1"/>
        <v>256.89999999999998</v>
      </c>
      <c r="Q81" s="23" vm="15395">
        <f ca="1"/>
        <v>257.08999999999997</v>
      </c>
      <c r="R81" s="23" vm="15396">
        <f ca="1"/>
        <v>256.05</v>
      </c>
      <c r="S81" s="23" vm="15397">
        <f ca="1"/>
        <v>256.92</v>
      </c>
      <c r="T81" s="23" vm="15398">
        <f ca="1"/>
        <v>254</v>
      </c>
      <c r="U81" s="23" vm="15399">
        <f ca="1"/>
        <v>256.73</v>
      </c>
      <c r="V81" s="23" vm="15400">
        <f ca="1"/>
        <v>260.04000000000002</v>
      </c>
      <c r="W81" s="23" vm="15401">
        <f ca="1"/>
        <v>262.2</v>
      </c>
      <c r="X81" s="23" vm="7821">
        <f ca="1"/>
        <v>265.07</v>
      </c>
      <c r="Y81" s="23" vm="15402">
        <f ca="1"/>
        <v>266.49</v>
      </c>
      <c r="Z81" s="23" vm="15403">
        <f ca="1"/>
        <v>272.45</v>
      </c>
      <c r="AA81" s="23" vm="15404">
        <f ca="1"/>
        <v>271.77999999999997</v>
      </c>
      <c r="AB81" s="23" vm="15405">
        <f ca="1"/>
        <v>273.99</v>
      </c>
      <c r="AC81" s="23" vm="15406">
        <f ca="1"/>
        <v>272.35000000000002</v>
      </c>
      <c r="AD81" vm="15407">
        <f ca="1"/>
        <v>267.70999999999998</v>
      </c>
      <c r="AE81" vm="15408">
        <f ca="1"/>
        <v>265.95999999999998</v>
      </c>
      <c r="AF81" vm="15409">
        <f ca="1"/>
        <v>265.37</v>
      </c>
      <c r="AG81" vm="15410">
        <f ca="1"/>
        <v>268.61</v>
      </c>
      <c r="AH81" vm="15411">
        <f ca="1"/>
        <v>266.45999999999998</v>
      </c>
      <c r="AI81" vm="15412">
        <f ca="1"/>
        <v>264.05</v>
      </c>
      <c r="AJ81" vm="15413">
        <f ca="1"/>
        <v>263.92</v>
      </c>
      <c r="AK81" vm="15414">
        <f ca="1"/>
        <v>264.70999999999998</v>
      </c>
      <c r="AL81" vm="15415">
        <f ca="1"/>
        <v>265.77999999999997</v>
      </c>
      <c r="AM81" vm="15416">
        <f ca="1"/>
        <v>264.93</v>
      </c>
      <c r="AN81" vm="15417">
        <f ca="1"/>
        <v>267.27999999999997</v>
      </c>
      <c r="AO81" vm="15418">
        <f ca="1"/>
        <v>266.86</v>
      </c>
      <c r="AP81" vm="15419">
        <f ca="1"/>
        <v>264.51</v>
      </c>
      <c r="AQ81" vm="15420">
        <f ca="1"/>
        <v>264.36</v>
      </c>
      <c r="AR81" vm="15421">
        <f ca="1"/>
        <v>264.11</v>
      </c>
      <c r="AS81" vm="15422">
        <f ca="1"/>
        <v>265.98</v>
      </c>
      <c r="AT81" vm="15423">
        <f ca="1"/>
        <v>265.73</v>
      </c>
      <c r="AU81" vm="15424">
        <f ca="1"/>
        <v>263.77</v>
      </c>
      <c r="AV81" vm="9773">
        <f ca="1"/>
        <v>257.24</v>
      </c>
      <c r="AW81" vm="15425">
        <f ca="1"/>
        <v>256</v>
      </c>
      <c r="AX81" vm="15426">
        <f ca="1"/>
        <v>257.35000000000002</v>
      </c>
      <c r="AY81" vm="15427">
        <f ca="1"/>
        <v>258.14999999999998</v>
      </c>
      <c r="AZ81" vm="15428">
        <f ca="1"/>
        <v>256.42</v>
      </c>
      <c r="BA81" vm="15429">
        <f ca="1"/>
        <v>259.52999999999997</v>
      </c>
      <c r="BB81" vm="15430">
        <f ca="1"/>
        <v>254.74</v>
      </c>
      <c r="BC81" vm="15431">
        <f ca="1"/>
        <v>250.42</v>
      </c>
      <c r="BD81" vm="15432">
        <f ca="1"/>
        <v>254.17</v>
      </c>
      <c r="BE81" vm="15433">
        <f ca="1"/>
        <v>251.5</v>
      </c>
      <c r="BF81" vm="15434">
        <f ca="1"/>
        <v>254.22</v>
      </c>
      <c r="BG81" vm="12709">
        <f ca="1"/>
        <v>249.64</v>
      </c>
      <c r="BH81" vm="15435">
        <f ca="1"/>
        <v>246.64</v>
      </c>
      <c r="BI81" vm="15436">
        <f ca="1"/>
        <v>246.4</v>
      </c>
      <c r="BJ81" vm="15178">
        <f ca="1"/>
        <v>243.71</v>
      </c>
      <c r="BK81" vm="12589">
        <f ca="1"/>
        <v>248.61</v>
      </c>
      <c r="BL81" vm="12676">
        <f ca="1"/>
        <v>251.9</v>
      </c>
      <c r="BM81" vm="15437">
        <f ca="1"/>
        <v>249.74</v>
      </c>
      <c r="BN81" vm="7496">
        <f ca="1"/>
        <v>253.25</v>
      </c>
      <c r="BO81" vm="15438">
        <f ca="1"/>
        <v>251.95</v>
      </c>
      <c r="BP81" vm="15439">
        <f ca="1"/>
        <v>250.2</v>
      </c>
      <c r="BQ81" vm="12659">
        <f ca="1"/>
        <v>255.61</v>
      </c>
      <c r="BR81" vm="12688">
        <f ca="1"/>
        <v>255.03</v>
      </c>
      <c r="BS81" vm="15440">
        <f ca="1"/>
        <v>252.78</v>
      </c>
      <c r="BT81" vm="15441">
        <f ca="1"/>
        <v>251.62</v>
      </c>
      <c r="BU81" vm="7424">
        <f ca="1"/>
        <v>246.19</v>
      </c>
      <c r="BV81" vm="9862">
        <f ca="1"/>
        <v>247.55</v>
      </c>
      <c r="BW81" vm="15442">
        <f ca="1"/>
        <v>249.18</v>
      </c>
      <c r="BX81" vm="15443">
        <f ca="1"/>
        <v>251.85</v>
      </c>
      <c r="BY81" vm="15444">
        <f ca="1"/>
        <v>237.58</v>
      </c>
      <c r="BZ81" vm="15445">
        <f ca="1"/>
        <v>224</v>
      </c>
      <c r="CA81" vm="15446">
        <f ca="1"/>
        <v>222.28</v>
      </c>
      <c r="CB81" vm="15447">
        <f ca="1"/>
        <v>220.04</v>
      </c>
      <c r="CC81" vm="7428">
        <f ca="1"/>
        <v>240.4</v>
      </c>
      <c r="CD81" vm="15448">
        <f ca="1"/>
        <v>233.41</v>
      </c>
      <c r="CE81" vm="15449">
        <f ca="1"/>
        <v>237.31</v>
      </c>
      <c r="CF81" vm="15450">
        <f ca="1"/>
        <v>240.01</v>
      </c>
      <c r="CG81" vm="15451">
        <f ca="1"/>
        <v>238.81</v>
      </c>
      <c r="CH81" vm="15452">
        <f ca="1"/>
        <v>235.39</v>
      </c>
      <c r="CI81" vm="15453">
        <f ca="1"/>
        <v>236.9</v>
      </c>
      <c r="CJ81" vm="15454">
        <f ca="1"/>
        <v>231.16</v>
      </c>
      <c r="CK81" vm="15455">
        <f ca="1"/>
        <v>235.57</v>
      </c>
      <c r="CL81" vm="15456">
        <f ca="1"/>
        <v>238.6</v>
      </c>
      <c r="CM81" vm="15457">
        <f ca="1"/>
        <v>244.33</v>
      </c>
      <c r="CN81" vm="15458">
        <f ca="1"/>
        <v>244.2</v>
      </c>
      <c r="CO81" vm="15459">
        <f ca="1"/>
        <v>244.82</v>
      </c>
      <c r="CP81" vm="4232">
        <f ca="1"/>
        <v>246.42</v>
      </c>
      <c r="CQ81" vm="15460">
        <f ca="1"/>
        <v>247.83</v>
      </c>
      <c r="CR81" vm="15461">
        <f ca="1"/>
        <v>249.65</v>
      </c>
      <c r="CS81" vm="15462">
        <f ca="1"/>
        <v>254.59</v>
      </c>
      <c r="CT81" vm="15463">
        <f ca="1"/>
        <v>254.5</v>
      </c>
      <c r="CU81" vm="15464">
        <f ca="1"/>
        <v>252.66</v>
      </c>
      <c r="CV81" vm="15465">
        <f ca="1"/>
        <v>253.72</v>
      </c>
      <c r="CW81" vm="15466">
        <f ca="1"/>
        <v>257.51</v>
      </c>
      <c r="CX81" vm="15467">
        <f ca="1"/>
        <v>257.81</v>
      </c>
      <c r="CY81" vm="15468">
        <f ca="1"/>
        <v>266.18</v>
      </c>
      <c r="CZ81" vm="15469">
        <f ca="1"/>
        <v>268.07</v>
      </c>
      <c r="DA81" vm="15470">
        <f ca="1"/>
        <v>266.89999999999998</v>
      </c>
      <c r="DB81" vm="15471">
        <f ca="1"/>
        <v>269.58999999999997</v>
      </c>
      <c r="DC81" vm="15472">
        <f ca="1"/>
        <v>272.36</v>
      </c>
      <c r="DD81" vm="15473">
        <f ca="1"/>
        <v>272.94</v>
      </c>
      <c r="DE81" vm="15474">
        <f ca="1"/>
        <v>272.06</v>
      </c>
      <c r="DF81" vm="15475">
        <f ca="1"/>
        <v>266.92</v>
      </c>
      <c r="DG81" vm="15476">
        <f ca="1"/>
        <v>266.69</v>
      </c>
      <c r="DH81" vm="7459">
        <f ca="1"/>
        <v>265.86</v>
      </c>
      <c r="DI81" vm="7466">
        <f ca="1"/>
        <v>271.12</v>
      </c>
      <c r="DJ81" vm="15477">
        <f ca="1"/>
        <v>269.56</v>
      </c>
      <c r="DK81" vm="7460">
        <f ca="1"/>
        <v>269.83</v>
      </c>
      <c r="DL81" vm="15478">
        <f ca="1"/>
        <v>269.39</v>
      </c>
      <c r="DM81" vm="7465">
        <f ca="1"/>
        <v>268.93</v>
      </c>
      <c r="DN81" vm="15479">
        <f ca="1"/>
        <v>272.02</v>
      </c>
      <c r="DO81" vm="15480">
        <f ca="1"/>
        <v>272.16000000000003</v>
      </c>
      <c r="DP81" vm="15481">
        <f ca="1"/>
        <v>272.04000000000002</v>
      </c>
      <c r="DQ81" vm="7845">
        <f ca="1"/>
        <v>274.48</v>
      </c>
      <c r="DR81" vm="1337">
        <f ca="1"/>
        <v>274.41000000000003</v>
      </c>
      <c r="DS81" vm="15482">
        <f ca="1"/>
        <v>273.54000000000002</v>
      </c>
      <c r="DT81" vm="15483">
        <f ca="1"/>
        <v>273.43</v>
      </c>
      <c r="DU81" vm="15484">
        <f ca="1"/>
        <v>272.86</v>
      </c>
      <c r="DV81" vm="9895">
        <f ca="1"/>
        <v>270.27999999999997</v>
      </c>
      <c r="DW81" vm="15485">
        <f ca="1"/>
        <v>272.29000000000002</v>
      </c>
      <c r="DX81" vm="7130">
        <f ca="1"/>
        <v>270.14999999999998</v>
      </c>
      <c r="DY81" vm="15486">
        <f ca="1"/>
        <v>269.89</v>
      </c>
      <c r="DZ81" vm="15487">
        <f ca="1"/>
        <v>270.02</v>
      </c>
      <c r="EA81" vm="15488">
        <f ca="1"/>
        <v>273.52</v>
      </c>
      <c r="EB81" vm="15489">
        <f ca="1"/>
        <v>276.37</v>
      </c>
      <c r="EC81" vm="15490">
        <f ca="1"/>
        <v>273.79000000000002</v>
      </c>
      <c r="ED81" vm="15491">
        <f ca="1"/>
        <v>276.32</v>
      </c>
      <c r="EE81" vm="5414">
        <f ca="1"/>
        <v>278.91000000000003</v>
      </c>
      <c r="EF81" vm="15492">
        <f ca="1"/>
        <v>280.07</v>
      </c>
      <c r="EG81" vm="15493">
        <f ca="1"/>
        <v>281.16000000000003</v>
      </c>
      <c r="EH81" vm="15494">
        <f ca="1"/>
        <v>282.14</v>
      </c>
      <c r="EI81" vm="15495">
        <f ca="1"/>
        <v>284.46559999999999</v>
      </c>
      <c r="EJ81" vm="12729">
        <f ca="1"/>
        <v>283.25</v>
      </c>
      <c r="EK81" vm="9935">
        <f ca="1"/>
        <v>283.3</v>
      </c>
      <c r="EL81" vm="15496">
        <f ca="1"/>
        <v>285.43</v>
      </c>
      <c r="EM81" vm="15497">
        <f ca="1"/>
        <v>286.85000000000002</v>
      </c>
      <c r="EN81" vm="15498">
        <f ca="1"/>
        <v>285.74</v>
      </c>
      <c r="EO81" vm="15499">
        <f ca="1"/>
        <v>287.20999999999998</v>
      </c>
      <c r="EP81" vm="15500">
        <f ca="1"/>
        <v>284.54000000000002</v>
      </c>
      <c r="EQ81" vm="15501">
        <f ca="1"/>
        <v>285.87</v>
      </c>
      <c r="ER81" vm="15502">
        <f ca="1"/>
        <v>289.04000000000002</v>
      </c>
      <c r="ES81" vm="5298">
        <f ca="1"/>
        <v>288.33</v>
      </c>
      <c r="ET81" vm="15503">
        <f ca="1"/>
        <v>286.69</v>
      </c>
      <c r="EU81" vm="15504">
        <f ca="1"/>
        <v>287.31</v>
      </c>
      <c r="EV81" vm="15505">
        <f ca="1"/>
        <v>292.43</v>
      </c>
      <c r="EW81" vm="1344">
        <f ca="1"/>
        <v>292.14</v>
      </c>
      <c r="EX81" vm="15506">
        <f ca="1"/>
        <v>295.5</v>
      </c>
      <c r="EY81" vm="15507">
        <f ca="1"/>
        <v>294.61</v>
      </c>
      <c r="EZ81" vm="15508">
        <f ca="1"/>
        <v>291.77</v>
      </c>
      <c r="FA81" vm="7149">
        <f ca="1"/>
        <v>290.69</v>
      </c>
      <c r="FB81" vm="15509">
        <f ca="1"/>
        <v>289.98</v>
      </c>
      <c r="FC81" vm="15510">
        <f ca="1"/>
        <v>285.39999999999998</v>
      </c>
      <c r="FD81" vm="15511">
        <f ca="1"/>
        <v>288.41000000000003</v>
      </c>
      <c r="FE81" vm="7470">
        <f ca="1"/>
        <v>288.36</v>
      </c>
      <c r="FF81" vm="15512">
        <f ca="1"/>
        <v>288.2</v>
      </c>
      <c r="FG81" vm="656">
        <f ca="1"/>
        <v>287.85000000000002</v>
      </c>
      <c r="FH81" vm="15513">
        <f ca="1"/>
        <v>287.76</v>
      </c>
      <c r="FI81" vm="15514">
        <f ca="1"/>
        <v>286.92</v>
      </c>
      <c r="FJ81" vm="12559">
        <f ca="1"/>
        <v>290.99</v>
      </c>
      <c r="FK81" vm="15515">
        <f ca="1"/>
        <v>292.48</v>
      </c>
      <c r="FL81" vm="15516">
        <f ca="1"/>
        <v>289.57</v>
      </c>
      <c r="FM81" vm="15517">
        <f ca="1"/>
        <v>288.11</v>
      </c>
      <c r="FN81" vm="15518">
        <f ca="1"/>
        <v>289.48</v>
      </c>
      <c r="FO81" vm="15519">
        <f ca="1"/>
        <v>289.64999999999998</v>
      </c>
      <c r="FP81" vm="15520">
        <f ca="1"/>
        <v>288.81</v>
      </c>
      <c r="FQ81" vm="656">
        <f ca="1"/>
        <v>287.85000000000002</v>
      </c>
      <c r="FR81" vm="15521">
        <f ca="1"/>
        <v>293.60000000000002</v>
      </c>
      <c r="FS81" vm="5297">
        <f ca="1"/>
        <v>290.94</v>
      </c>
      <c r="FT81" vm="15522">
        <f ca="1"/>
        <v>293.7</v>
      </c>
      <c r="FU81" vm="5324">
        <f ca="1"/>
        <v>293.74</v>
      </c>
      <c r="FV81" vm="15523">
        <f ca="1"/>
        <v>294.17</v>
      </c>
      <c r="FW81" vm="15524">
        <f ca="1"/>
        <v>291.31</v>
      </c>
      <c r="FX81" vm="15525">
        <f ca="1"/>
        <v>288.89999999999998</v>
      </c>
      <c r="FY81" vm="15526">
        <f ca="1"/>
        <v>287.42</v>
      </c>
      <c r="FZ81" vm="15527">
        <f ca="1"/>
        <v>290.68</v>
      </c>
      <c r="GA81" vm="15528">
        <f ca="1"/>
        <v>290.16000000000003</v>
      </c>
      <c r="GB81" vm="15529">
        <f ca="1"/>
        <v>290.58</v>
      </c>
      <c r="GC81" vm="15530">
        <f ca="1"/>
        <v>288.08</v>
      </c>
      <c r="GD81" vm="5440">
        <f ca="1"/>
        <v>290.14999999999998</v>
      </c>
      <c r="GE81" vm="15531">
        <f ca="1"/>
        <v>293.45</v>
      </c>
      <c r="GF81" vm="15532">
        <f ca="1"/>
        <v>290.92</v>
      </c>
      <c r="GG81" vm="15533">
        <f ca="1"/>
        <v>292.20999999999998</v>
      </c>
      <c r="GH81" vm="15534">
        <f ca="1"/>
        <v>291.57</v>
      </c>
      <c r="GI81" vm="15535">
        <f ca="1"/>
        <v>290.14</v>
      </c>
      <c r="GJ81" vm="15536">
        <f ca="1"/>
        <v>294.03100000000001</v>
      </c>
      <c r="GK81" vm="15537">
        <f ca="1"/>
        <v>294.25</v>
      </c>
      <c r="GL81" vm="15538">
        <f ca="1"/>
        <v>295.61</v>
      </c>
      <c r="GM81" vm="15539">
        <f ca="1"/>
        <v>295.14</v>
      </c>
      <c r="GN81" vm="15540">
        <f ca="1"/>
        <v>292.31</v>
      </c>
      <c r="GO81" vm="15541">
        <f ca="1"/>
        <v>290.33999999999997</v>
      </c>
      <c r="GP81" vm="15542">
        <f ca="1"/>
        <v>292.83</v>
      </c>
      <c r="GQ81" vm="15543">
        <f ca="1"/>
        <v>293.63</v>
      </c>
      <c r="GR81" vm="15544">
        <f ca="1"/>
        <v>296.29000000000002</v>
      </c>
      <c r="GS81" vm="15545">
        <f ca="1"/>
        <v>295.87</v>
      </c>
      <c r="GT81" vm="15546">
        <f ca="1"/>
        <v>296.99</v>
      </c>
      <c r="GU81" vm="7642">
        <f ca="1"/>
        <v>297.66000000000003</v>
      </c>
      <c r="GV81" vm="15547">
        <f ca="1"/>
        <v>299.22000000000003</v>
      </c>
      <c r="GW81" vm="15548">
        <f ca="1"/>
        <v>297.27999999999997</v>
      </c>
      <c r="GX81" vm="15549">
        <f ca="1"/>
        <v>300.22000000000003</v>
      </c>
      <c r="GY81" vm="15550">
        <f ca="1"/>
        <v>295.93</v>
      </c>
      <c r="GZ81" vm="15551">
        <f ca="1"/>
        <v>289.12</v>
      </c>
      <c r="HA81" vm="1343">
        <f ca="1"/>
        <v>293.01</v>
      </c>
      <c r="HB81" vm="5329">
        <f ca="1"/>
        <v>296.62</v>
      </c>
      <c r="HC81" vm="15552">
        <f ca="1"/>
        <v>295.68</v>
      </c>
      <c r="HD81" vm="15553">
        <f ca="1"/>
        <v>293.52</v>
      </c>
      <c r="HE81" vm="15554">
        <f ca="1"/>
        <v>293.07</v>
      </c>
      <c r="HF81" vm="15555">
        <f ca="1"/>
        <v>296.98</v>
      </c>
      <c r="HG81" vm="15556">
        <f ca="1"/>
        <v>299.25</v>
      </c>
      <c r="HH81" vm="15557">
        <f ca="1"/>
        <v>294.74</v>
      </c>
      <c r="HI81" vm="15558">
        <f ca="1"/>
        <v>299.2</v>
      </c>
      <c r="HJ81" vm="15559">
        <f ca="1"/>
        <v>300.375</v>
      </c>
      <c r="HK81" vm="15560">
        <f ca="1"/>
        <v>301.69</v>
      </c>
      <c r="HL81" vm="15561">
        <f ca="1"/>
        <v>299.66000000000003</v>
      </c>
      <c r="HM81" vm="5314">
        <f ca="1"/>
        <v>300.73</v>
      </c>
      <c r="HN81" vm="15562">
        <f ca="1"/>
        <v>299.29500000000002</v>
      </c>
      <c r="HO81" vm="7164">
        <f ca="1"/>
        <v>300.39</v>
      </c>
      <c r="HP81" vm="15563">
        <f ca="1"/>
        <v>299.13</v>
      </c>
      <c r="HQ81" vm="15564">
        <f ca="1"/>
        <v>294.95</v>
      </c>
      <c r="HR81" vm="15565">
        <f ca="1"/>
        <v>296.83</v>
      </c>
      <c r="HS81" vm="15566">
        <f ca="1"/>
        <v>294.35000000000002</v>
      </c>
      <c r="HT81" vm="15567">
        <f ca="1"/>
        <v>295.88</v>
      </c>
      <c r="HU81" vm="15568">
        <f ca="1"/>
        <v>298.04000000000002</v>
      </c>
      <c r="HV81" vm="15569">
        <f ca="1"/>
        <v>297.52999999999997</v>
      </c>
      <c r="HW81" vm="15570">
        <f ca="1"/>
        <v>297.7</v>
      </c>
      <c r="HX81" vm="15571">
        <f ca="1"/>
        <v>291.91000000000003</v>
      </c>
      <c r="HY81" vm="15572">
        <f ca="1"/>
        <v>292.17</v>
      </c>
      <c r="HZ81" vm="15573">
        <f ca="1"/>
        <v>288.27999999999997</v>
      </c>
      <c r="IA81" vm="15574">
        <f ca="1"/>
        <v>287.22000000000003</v>
      </c>
      <c r="IB81" vm="1853">
        <f ca="1"/>
        <v>288.48</v>
      </c>
      <c r="IC81" vm="1854">
        <f ca="1"/>
        <v>283.32</v>
      </c>
      <c r="ID81" vm="1855">
        <f ca="1"/>
        <v>287.32</v>
      </c>
      <c r="IE81" vm="1856">
        <f ca="1"/>
        <v>288.83999999999997</v>
      </c>
      <c r="IF81" vm="1857">
        <f ca="1"/>
        <v>293.23</v>
      </c>
      <c r="IG81" vm="1858">
        <f ca="1"/>
        <v>295.11</v>
      </c>
      <c r="IH81" vm="1859">
        <f ca="1"/>
        <v>296.95</v>
      </c>
      <c r="II81" vm="1860">
        <f ca="1"/>
        <v>292.86</v>
      </c>
      <c r="IJ81" vm="1861">
        <f ca="1"/>
        <v>294.81</v>
      </c>
      <c r="IK81" vm="1862">
        <f ca="1"/>
        <v>297.64</v>
      </c>
      <c r="IL81" vm="1863">
        <f ca="1"/>
        <v>299.83999999999997</v>
      </c>
      <c r="IM81" vm="1864">
        <f ca="1"/>
        <v>299.14999999999998</v>
      </c>
      <c r="IN81" vm="1865">
        <f ca="1"/>
        <v>298.49</v>
      </c>
      <c r="IO81" vm="1866">
        <f ca="1"/>
        <v>296.02</v>
      </c>
      <c r="IP81" vm="1867">
        <f ca="1"/>
        <v>301.87</v>
      </c>
      <c r="IQ81" vm="1868">
        <f ca="1"/>
        <v>305.47000000000003</v>
      </c>
      <c r="IR81" vm="1869">
        <f ca="1"/>
        <v>302.2</v>
      </c>
      <c r="IS81" vm="1870">
        <f ca="1"/>
        <v>302.37</v>
      </c>
      <c r="IT81" vm="1871">
        <f ca="1"/>
        <v>300.64999999999998</v>
      </c>
      <c r="IU81" vm="1872">
        <f ca="1"/>
        <v>294.76</v>
      </c>
      <c r="IV81" vm="1873">
        <f ca="1"/>
        <v>297</v>
      </c>
      <c r="IW81" vm="139">
        <f ca="1"/>
        <v>299.75</v>
      </c>
    </row>
    <row r="82" spans="1:257" ht="16" x14ac:dyDescent="0.2">
      <c r="A82" s="13" t="e" vm="1874">
        <v>#VALUE!</v>
      </c>
      <c r="B82" s="23" t="str" cm="1">
        <f t="array" aca="1" ref="B82" ca="1">_FV(A82,"ticker symbol",TRUE)</f>
        <v>FIDU</v>
      </c>
      <c r="C82" s="23" t="str" cm="1">
        <f t="array" aca="1" ref="C82" ca="1">_FV(A82,"Name")</f>
        <v>Fidelity MSCI Industrial</v>
      </c>
      <c r="D82" cm="1" vm="15575">
        <f t="array" aca="1" ref="D82:IW82" ca="1">TRANSPOSE(_xlfn.STOCKHISTORY(B82, WORKDAY(TODAY(), -265), TODAY(), 0, 0, 1))</f>
        <v>73.8</v>
      </c>
      <c r="E82" s="23" vm="7228">
        <f ca="1"/>
        <v>73.09</v>
      </c>
      <c r="F82" s="23" vm="15270">
        <f ca="1"/>
        <v>70.84</v>
      </c>
      <c r="G82" s="23" vm="10340">
        <f ca="1"/>
        <v>70.61</v>
      </c>
      <c r="H82" s="23" vm="9743">
        <f ca="1"/>
        <v>70.989999999999995</v>
      </c>
      <c r="I82" s="23" vm="15271">
        <f ca="1"/>
        <v>70.92</v>
      </c>
      <c r="J82" s="23" vm="9753">
        <f ca="1"/>
        <v>71.36</v>
      </c>
      <c r="K82" s="23" vm="15576">
        <f ca="1"/>
        <v>71.599999999999994</v>
      </c>
      <c r="L82" s="23" vm="9745">
        <f ca="1"/>
        <v>71</v>
      </c>
      <c r="M82" s="23" vm="8766">
        <f ca="1"/>
        <v>70.349999999999994</v>
      </c>
      <c r="N82" s="23" vm="15577">
        <f ca="1"/>
        <v>70.31</v>
      </c>
      <c r="O82" s="23" vm="15578">
        <f ca="1"/>
        <v>69.98</v>
      </c>
      <c r="P82" s="23" vm="15579">
        <f ca="1"/>
        <v>71.010000000000005</v>
      </c>
      <c r="Q82" s="23" vm="15580">
        <f ca="1"/>
        <v>70.930000000000007</v>
      </c>
      <c r="R82" s="23" vm="13213">
        <f ca="1"/>
        <v>70.709999999999994</v>
      </c>
      <c r="S82" s="23" vm="3096">
        <f ca="1"/>
        <v>70.959999999999994</v>
      </c>
      <c r="T82" s="23" vm="8875">
        <f ca="1"/>
        <v>70.08</v>
      </c>
      <c r="U82" s="23" vm="15581">
        <f ca="1"/>
        <v>70.834999999999994</v>
      </c>
      <c r="V82" s="23" vm="10160">
        <f ca="1"/>
        <v>71.739999999999995</v>
      </c>
      <c r="W82" s="23" vm="15582">
        <f ca="1"/>
        <v>72.39</v>
      </c>
      <c r="X82" s="23" vm="906">
        <f ca="1"/>
        <v>73.22</v>
      </c>
      <c r="Y82" s="23" vm="8776">
        <f ca="1"/>
        <v>73.599999999999994</v>
      </c>
      <c r="Z82" s="23" vm="15583">
        <f ca="1"/>
        <v>75.14</v>
      </c>
      <c r="AA82" s="23" vm="15584">
        <f ca="1"/>
        <v>75.040000000000006</v>
      </c>
      <c r="AB82" s="23" vm="15294">
        <f ca="1"/>
        <v>75.540000000000006</v>
      </c>
      <c r="AC82" s="23" vm="15585">
        <f ca="1"/>
        <v>75.16</v>
      </c>
      <c r="AD82" vm="8957">
        <f ca="1"/>
        <v>73.760000000000005</v>
      </c>
      <c r="AE82" vm="15586">
        <f ca="1"/>
        <v>73.37</v>
      </c>
      <c r="AF82" vm="8958">
        <f ca="1"/>
        <v>73.23</v>
      </c>
      <c r="AG82" vm="1556">
        <f ca="1"/>
        <v>73.98</v>
      </c>
      <c r="AH82" vm="793">
        <f ca="1"/>
        <v>73.650000000000006</v>
      </c>
      <c r="AI82" vm="15587">
        <f ca="1"/>
        <v>72.849999999999994</v>
      </c>
      <c r="AJ82" vm="15587">
        <f ca="1"/>
        <v>72.849999999999994</v>
      </c>
      <c r="AK82" vm="15588">
        <f ca="1"/>
        <v>73.069999999999993</v>
      </c>
      <c r="AL82" vm="15589">
        <f ca="1"/>
        <v>73.349999999999994</v>
      </c>
      <c r="AM82" vm="907">
        <f ca="1"/>
        <v>73.06</v>
      </c>
      <c r="AN82" vm="15590">
        <f ca="1"/>
        <v>73.62</v>
      </c>
      <c r="AO82" vm="15591">
        <f ca="1"/>
        <v>73.56</v>
      </c>
      <c r="AP82" vm="15592">
        <f ca="1"/>
        <v>72.95</v>
      </c>
      <c r="AQ82" vm="7228">
        <f ca="1"/>
        <v>73.09</v>
      </c>
      <c r="AR82" vm="1916">
        <f ca="1"/>
        <v>72.97</v>
      </c>
      <c r="AS82" vm="15593">
        <f ca="1"/>
        <v>73.55</v>
      </c>
      <c r="AT82" vm="15594">
        <f ca="1"/>
        <v>73.44</v>
      </c>
      <c r="AU82" vm="794">
        <f ca="1"/>
        <v>72.790000000000006</v>
      </c>
      <c r="AV82" vm="15211">
        <f ca="1"/>
        <v>71.09</v>
      </c>
      <c r="AW82" vm="2234">
        <f ca="1"/>
        <v>70.66</v>
      </c>
      <c r="AX82" vm="15269">
        <f ca="1"/>
        <v>71.040000000000006</v>
      </c>
      <c r="AY82" vm="15595">
        <f ca="1"/>
        <v>71.27</v>
      </c>
      <c r="AZ82" vm="9762">
        <f ca="1"/>
        <v>70.819999999999993</v>
      </c>
      <c r="BA82" vm="911">
        <f ca="1"/>
        <v>71.75</v>
      </c>
      <c r="BB82" vm="2239">
        <f ca="1"/>
        <v>70.540000000000006</v>
      </c>
      <c r="BC82" vm="783">
        <f ca="1"/>
        <v>69.180000000000007</v>
      </c>
      <c r="BD82" vm="9742">
        <f ca="1"/>
        <v>70.28</v>
      </c>
      <c r="BE82" vm="15596">
        <f ca="1"/>
        <v>69.45</v>
      </c>
      <c r="BF82" vm="13889">
        <f ca="1"/>
        <v>70.25</v>
      </c>
      <c r="BG82" vm="13074">
        <f ca="1"/>
        <v>69.05</v>
      </c>
      <c r="BH82" vm="13885">
        <f ca="1"/>
        <v>68.22</v>
      </c>
      <c r="BI82" vm="9739">
        <f ca="1"/>
        <v>68.25</v>
      </c>
      <c r="BJ82" vm="2481">
        <f ca="1"/>
        <v>67.430000000000007</v>
      </c>
      <c r="BK82" vm="2787">
        <f ca="1"/>
        <v>68.819999999999993</v>
      </c>
      <c r="BL82" vm="8759">
        <f ca="1"/>
        <v>69.7</v>
      </c>
      <c r="BM82" vm="15247">
        <f ca="1"/>
        <v>69.125</v>
      </c>
      <c r="BN82" vm="10166">
        <f ca="1"/>
        <v>70.17</v>
      </c>
      <c r="BO82" vm="15597">
        <f ca="1"/>
        <v>69.674999999999997</v>
      </c>
      <c r="BP82" vm="10338">
        <f ca="1"/>
        <v>69.03</v>
      </c>
      <c r="BQ82" vm="15598">
        <f ca="1"/>
        <v>70.459999999999994</v>
      </c>
      <c r="BR82" vm="10164">
        <f ca="1"/>
        <v>70.55</v>
      </c>
      <c r="BS82" vm="15259">
        <f ca="1"/>
        <v>70.02</v>
      </c>
      <c r="BT82" vm="15599">
        <f ca="1"/>
        <v>69.64</v>
      </c>
      <c r="BU82" vm="8756">
        <f ca="1"/>
        <v>68.2</v>
      </c>
      <c r="BV82" vm="15600">
        <f ca="1"/>
        <v>68.47</v>
      </c>
      <c r="BW82" vm="15601">
        <f ca="1"/>
        <v>68.97</v>
      </c>
      <c r="BX82" vm="1811">
        <f ca="1"/>
        <v>69.73</v>
      </c>
      <c r="BY82" vm="11409">
        <f ca="1"/>
        <v>65.900000000000006</v>
      </c>
      <c r="BZ82" vm="15602">
        <f ca="1"/>
        <v>61.96</v>
      </c>
      <c r="CA82" vm="13419">
        <f ca="1"/>
        <v>61.6</v>
      </c>
      <c r="CB82" vm="14076">
        <f ca="1"/>
        <v>60.99</v>
      </c>
      <c r="CC82" vm="2945">
        <f ca="1"/>
        <v>66.64</v>
      </c>
      <c r="CD82" vm="2350">
        <f ca="1"/>
        <v>64.819999999999993</v>
      </c>
      <c r="CE82" vm="15603">
        <f ca="1"/>
        <v>65.760000000000005</v>
      </c>
      <c r="CF82" vm="11413">
        <f ca="1"/>
        <v>66.45</v>
      </c>
      <c r="CG82" vm="11406">
        <f ca="1"/>
        <v>66.209999999999994</v>
      </c>
      <c r="CH82" vm="15604">
        <f ca="1"/>
        <v>65.239999999999995</v>
      </c>
      <c r="CI82" vm="2944">
        <f ca="1"/>
        <v>65.7</v>
      </c>
      <c r="CJ82" vm="8810">
        <f ca="1"/>
        <v>64.040000000000006</v>
      </c>
      <c r="CK82" vm="8812">
        <f ca="1"/>
        <v>65.3</v>
      </c>
      <c r="CL82" vm="2349">
        <f ca="1"/>
        <v>66.180000000000007</v>
      </c>
      <c r="CM82" vm="15605">
        <f ca="1"/>
        <v>67.77</v>
      </c>
      <c r="CN82" vm="9738">
        <f ca="1"/>
        <v>67.760000000000005</v>
      </c>
      <c r="CO82" vm="8874">
        <f ca="1"/>
        <v>67.91</v>
      </c>
      <c r="CP82" vm="10327">
        <f ca="1"/>
        <v>68.31</v>
      </c>
      <c r="CQ82" vm="15305">
        <f ca="1"/>
        <v>68.73</v>
      </c>
      <c r="CR82" vm="2229">
        <f ca="1"/>
        <v>69.25</v>
      </c>
      <c r="CS82" vm="766">
        <f ca="1"/>
        <v>70.59</v>
      </c>
      <c r="CT82" vm="3094">
        <f ca="1"/>
        <v>70.569999999999993</v>
      </c>
      <c r="CU82" vm="15578">
        <f ca="1"/>
        <v>69.98</v>
      </c>
      <c r="CV82" vm="9742">
        <f ca="1"/>
        <v>70.28</v>
      </c>
      <c r="CW82" vm="15253">
        <f ca="1"/>
        <v>71.319999999999993</v>
      </c>
      <c r="CX82" vm="2235">
        <f ca="1"/>
        <v>71.39</v>
      </c>
      <c r="CY82" vm="8805">
        <f ca="1"/>
        <v>73.709999999999994</v>
      </c>
      <c r="CZ82" vm="15606">
        <f ca="1"/>
        <v>74.19</v>
      </c>
      <c r="DA82" vm="15607">
        <f ca="1"/>
        <v>73.900000000000006</v>
      </c>
      <c r="DB82" vm="1545">
        <f ca="1"/>
        <v>74.69</v>
      </c>
      <c r="DC82" vm="8953">
        <f ca="1"/>
        <v>75.38</v>
      </c>
      <c r="DD82" vm="15608">
        <f ca="1"/>
        <v>75.62</v>
      </c>
      <c r="DE82" vm="15609">
        <f ca="1"/>
        <v>75.36</v>
      </c>
      <c r="DF82" vm="15610">
        <f ca="1"/>
        <v>73.97</v>
      </c>
      <c r="DG82" vm="1559">
        <f ca="1"/>
        <v>73.88</v>
      </c>
      <c r="DH82" vm="12988">
        <f ca="1"/>
        <v>73.66</v>
      </c>
      <c r="DI82" vm="15611">
        <f ca="1"/>
        <v>75.09</v>
      </c>
      <c r="DJ82" vm="15612">
        <f ca="1"/>
        <v>74.639499999999998</v>
      </c>
      <c r="DK82" vm="15613">
        <f ca="1"/>
        <v>74.67</v>
      </c>
      <c r="DL82" vm="7191">
        <f ca="1"/>
        <v>74.7</v>
      </c>
      <c r="DM82" vm="10186">
        <f ca="1"/>
        <v>74.510000000000005</v>
      </c>
      <c r="DN82" vm="15609">
        <f ca="1"/>
        <v>75.36</v>
      </c>
      <c r="DO82" vm="7230">
        <f ca="1"/>
        <v>75.400000000000006</v>
      </c>
      <c r="DP82" vm="15614">
        <f ca="1"/>
        <v>75.31</v>
      </c>
      <c r="DQ82" vm="10382">
        <f ca="1"/>
        <v>76.040000000000006</v>
      </c>
      <c r="DR82" vm="7188">
        <f ca="1"/>
        <v>76.03</v>
      </c>
      <c r="DS82" vm="15615">
        <f ca="1"/>
        <v>75.73</v>
      </c>
      <c r="DT82" vm="801">
        <f ca="1"/>
        <v>75.760000000000005</v>
      </c>
      <c r="DU82" vm="15616">
        <f ca="1"/>
        <v>75.659000000000006</v>
      </c>
      <c r="DV82" vm="774">
        <f ca="1"/>
        <v>74.88</v>
      </c>
      <c r="DW82" vm="8791">
        <f ca="1"/>
        <v>75.44</v>
      </c>
      <c r="DX82" vm="13487">
        <f ca="1"/>
        <v>74.91</v>
      </c>
      <c r="DY82" vm="15617">
        <f ca="1"/>
        <v>74.790400000000005</v>
      </c>
      <c r="DZ82" vm="7226">
        <f ca="1"/>
        <v>74.53</v>
      </c>
      <c r="EA82" vm="7190">
        <f ca="1"/>
        <v>75.58</v>
      </c>
      <c r="EB82" vm="1827">
        <f ca="1"/>
        <v>76.38</v>
      </c>
      <c r="EC82" vm="8931">
        <f ca="1"/>
        <v>75.709999999999994</v>
      </c>
      <c r="ED82" vm="13518">
        <f ca="1"/>
        <v>76.61</v>
      </c>
      <c r="EE82" vm="15618">
        <f ca="1"/>
        <v>77.31</v>
      </c>
      <c r="EF82" vm="12469">
        <f ca="1"/>
        <v>77.53</v>
      </c>
      <c r="EG82" vm="15619">
        <f ca="1"/>
        <v>77.92</v>
      </c>
      <c r="EH82" vm="15620">
        <f ca="1"/>
        <v>78.126999999999995</v>
      </c>
      <c r="EI82" vm="5934">
        <f ca="1"/>
        <v>78.760000000000005</v>
      </c>
      <c r="EJ82" vm="15621">
        <f ca="1"/>
        <v>78.44</v>
      </c>
      <c r="EK82" vm="6035">
        <f ca="1"/>
        <v>78.52</v>
      </c>
      <c r="EL82" vm="15622">
        <f ca="1"/>
        <v>79.08</v>
      </c>
      <c r="EM82" vm="5957">
        <f ca="1"/>
        <v>79.33</v>
      </c>
      <c r="EN82" vm="15623">
        <f ca="1"/>
        <v>79.069999999999993</v>
      </c>
      <c r="EO82" vm="13000">
        <f ca="1"/>
        <v>79.45</v>
      </c>
      <c r="EP82" vm="10194">
        <f ca="1"/>
        <v>78.790000000000006</v>
      </c>
      <c r="EQ82" vm="7238">
        <f ca="1"/>
        <v>79.13</v>
      </c>
      <c r="ER82" vm="15624">
        <f ca="1"/>
        <v>79.989999999999995</v>
      </c>
      <c r="ES82" vm="5956">
        <f ca="1"/>
        <v>79.7</v>
      </c>
      <c r="ET82" vm="444">
        <f ca="1"/>
        <v>79.19</v>
      </c>
      <c r="EU82" vm="7239">
        <f ca="1"/>
        <v>79.55</v>
      </c>
      <c r="EV82" vm="10234">
        <f ca="1"/>
        <v>81</v>
      </c>
      <c r="EW82" vm="5945">
        <f ca="1"/>
        <v>80.900000000000006</v>
      </c>
      <c r="EX82" vm="14582">
        <f ca="1"/>
        <v>81.86</v>
      </c>
      <c r="EY82" vm="14585">
        <f ca="1"/>
        <v>81.540000000000006</v>
      </c>
      <c r="EZ82" vm="6777">
        <f ca="1"/>
        <v>80.75</v>
      </c>
      <c r="FA82" vm="15625">
        <f ca="1"/>
        <v>80.42</v>
      </c>
      <c r="FB82" vm="5966">
        <f ca="1"/>
        <v>80.41</v>
      </c>
      <c r="FC82" vm="10146">
        <f ca="1"/>
        <v>79.150000000000006</v>
      </c>
      <c r="FD82" vm="15626">
        <f ca="1"/>
        <v>79.930000000000007</v>
      </c>
      <c r="FE82" vm="1877">
        <f ca="1"/>
        <v>79.87</v>
      </c>
      <c r="FF82" vm="15627">
        <f ca="1"/>
        <v>79.81</v>
      </c>
      <c r="FG82" vm="13003">
        <f ca="1"/>
        <v>79.72</v>
      </c>
      <c r="FH82" vm="13003">
        <f ca="1"/>
        <v>79.72</v>
      </c>
      <c r="FI82" vm="15628">
        <f ca="1"/>
        <v>79.454999999999998</v>
      </c>
      <c r="FJ82" vm="15629">
        <f ca="1"/>
        <v>80.599999999999994</v>
      </c>
      <c r="FK82" vm="1925">
        <f ca="1"/>
        <v>81.03</v>
      </c>
      <c r="FL82" vm="14545">
        <f ca="1"/>
        <v>80.13</v>
      </c>
      <c r="FM82" vm="15630">
        <f ca="1"/>
        <v>79.599999999999994</v>
      </c>
      <c r="FN82" vm="13515">
        <f ca="1"/>
        <v>79.95</v>
      </c>
      <c r="FO82" vm="15631">
        <f ca="1"/>
        <v>80.11</v>
      </c>
      <c r="FP82" vm="15632">
        <f ca="1"/>
        <v>79.88</v>
      </c>
      <c r="FQ82" vm="15633">
        <f ca="1"/>
        <v>79.62</v>
      </c>
      <c r="FR82" vm="15634">
        <f ca="1"/>
        <v>81.13</v>
      </c>
      <c r="FS82" vm="13004">
        <f ca="1"/>
        <v>80.459999999999994</v>
      </c>
      <c r="FT82" vm="15635">
        <f ca="1"/>
        <v>81.245000000000005</v>
      </c>
      <c r="FU82" vm="5946">
        <f ca="1"/>
        <v>81.23</v>
      </c>
      <c r="FV82" vm="15636">
        <f ca="1"/>
        <v>81.364000000000004</v>
      </c>
      <c r="FW82" vm="15637">
        <f ca="1"/>
        <v>80.540000000000006</v>
      </c>
      <c r="FX82" vm="5918">
        <f ca="1"/>
        <v>79.69</v>
      </c>
      <c r="FY82" vm="10142">
        <f ca="1"/>
        <v>79.41</v>
      </c>
      <c r="FZ82" vm="15625">
        <f ca="1"/>
        <v>80.42</v>
      </c>
      <c r="GA82" vm="7948">
        <f ca="1"/>
        <v>80.150000000000006</v>
      </c>
      <c r="GB82" vm="15638">
        <f ca="1"/>
        <v>80.290000000000006</v>
      </c>
      <c r="GC82" vm="443">
        <f ca="1"/>
        <v>79.650000000000006</v>
      </c>
      <c r="GD82" vm="15639">
        <f ca="1"/>
        <v>80.28</v>
      </c>
      <c r="GE82" vm="2656">
        <f ca="1"/>
        <v>81.19</v>
      </c>
      <c r="GF82" vm="15640">
        <f ca="1"/>
        <v>80.469899999999996</v>
      </c>
      <c r="GG82" vm="1881">
        <f ca="1"/>
        <v>80.819999999999993</v>
      </c>
      <c r="GH82" vm="15641">
        <f ca="1"/>
        <v>80.674999999999997</v>
      </c>
      <c r="GI82" vm="7210">
        <f ca="1"/>
        <v>80.25</v>
      </c>
      <c r="GJ82" vm="1486">
        <f ca="1"/>
        <v>81.33</v>
      </c>
      <c r="GK82" vm="1925">
        <f ca="1"/>
        <v>81.03</v>
      </c>
      <c r="GL82" vm="1968">
        <f ca="1"/>
        <v>81.5</v>
      </c>
      <c r="GM82" vm="12994">
        <f ca="1"/>
        <v>81.37</v>
      </c>
      <c r="GN82" vm="15642">
        <f ca="1"/>
        <v>80.814599999999999</v>
      </c>
      <c r="GO82" vm="15639">
        <f ca="1"/>
        <v>80.28</v>
      </c>
      <c r="GP82" vm="6005">
        <f ca="1"/>
        <v>81.02</v>
      </c>
      <c r="GQ82" vm="7245">
        <f ca="1"/>
        <v>81.17</v>
      </c>
      <c r="GR82" vm="1927">
        <f ca="1"/>
        <v>81.94</v>
      </c>
      <c r="GS82" vm="2658">
        <f ca="1"/>
        <v>81.92</v>
      </c>
      <c r="GT82" vm="15643">
        <f ca="1"/>
        <v>82.16</v>
      </c>
      <c r="GU82" vm="7253">
        <f ca="1"/>
        <v>82.37</v>
      </c>
      <c r="GV82" vm="6143">
        <f ca="1"/>
        <v>82.7</v>
      </c>
      <c r="GW82" vm="1951">
        <f ca="1"/>
        <v>82.24</v>
      </c>
      <c r="GX82" vm="15644">
        <f ca="1"/>
        <v>83.06</v>
      </c>
      <c r="GY82" vm="1485">
        <f ca="1"/>
        <v>81.84</v>
      </c>
      <c r="GZ82" vm="13520">
        <f ca="1"/>
        <v>80</v>
      </c>
      <c r="HA82" vm="1923">
        <f ca="1"/>
        <v>81.06</v>
      </c>
      <c r="HB82" vm="1880">
        <f ca="1"/>
        <v>81.98</v>
      </c>
      <c r="HC82" vm="1952">
        <f ca="1"/>
        <v>81.790000000000006</v>
      </c>
      <c r="HD82" vm="1437">
        <f ca="1"/>
        <v>81.11</v>
      </c>
      <c r="HE82" vm="1963">
        <f ca="1"/>
        <v>81.09</v>
      </c>
      <c r="HF82" vm="5953">
        <f ca="1"/>
        <v>82.1</v>
      </c>
      <c r="HG82" vm="3172">
        <f ca="1"/>
        <v>82.75</v>
      </c>
      <c r="HH82" vm="1882">
        <f ca="1"/>
        <v>81.42</v>
      </c>
      <c r="HI82" vm="3172">
        <f ca="1"/>
        <v>82.75</v>
      </c>
      <c r="HJ82" vm="3168">
        <f ca="1"/>
        <v>83.08</v>
      </c>
      <c r="HK82" vm="6781">
        <f ca="1"/>
        <v>83.46</v>
      </c>
      <c r="HL82" vm="15645">
        <f ca="1"/>
        <v>82.904799999999994</v>
      </c>
      <c r="HM82" vm="14559">
        <f ca="1"/>
        <v>83.12</v>
      </c>
      <c r="HN82" vm="6131">
        <f ca="1"/>
        <v>82.73</v>
      </c>
      <c r="HO82" vm="14559">
        <f ca="1"/>
        <v>83.12</v>
      </c>
      <c r="HP82" vm="6143">
        <f ca="1"/>
        <v>82.7</v>
      </c>
      <c r="HQ82" vm="15646">
        <f ca="1"/>
        <v>81.665999999999997</v>
      </c>
      <c r="HR82" vm="15647">
        <f ca="1"/>
        <v>82.06</v>
      </c>
      <c r="HS82" vm="12994">
        <f ca="1"/>
        <v>81.37</v>
      </c>
      <c r="HT82" vm="5994">
        <f ca="1"/>
        <v>81.78</v>
      </c>
      <c r="HU82" vm="5993">
        <f ca="1"/>
        <v>82.34</v>
      </c>
      <c r="HV82" vm="15648">
        <f ca="1"/>
        <v>82.23</v>
      </c>
      <c r="HW82" vm="6144">
        <f ca="1"/>
        <v>82.26</v>
      </c>
      <c r="HX82" vm="6027">
        <f ca="1"/>
        <v>80.650000000000006</v>
      </c>
      <c r="HY82" vm="15649">
        <f ca="1"/>
        <v>80.739999999999995</v>
      </c>
      <c r="HZ82" vm="15650">
        <f ca="1"/>
        <v>79.819999999999993</v>
      </c>
      <c r="IA82" vm="5917">
        <f ca="1"/>
        <v>79.44</v>
      </c>
      <c r="IB82" vm="1875">
        <f ca="1"/>
        <v>79.849999999999994</v>
      </c>
      <c r="IC82" vm="1876">
        <f ca="1"/>
        <v>78.27</v>
      </c>
      <c r="ID82" vm="430">
        <f ca="1"/>
        <v>79.37</v>
      </c>
      <c r="IE82" vm="1877">
        <f ca="1"/>
        <v>79.87</v>
      </c>
      <c r="IF82" vm="1878">
        <f ca="1"/>
        <v>81.010000000000005</v>
      </c>
      <c r="IG82" vm="1879">
        <f ca="1"/>
        <v>81.56</v>
      </c>
      <c r="IH82" vm="1880">
        <f ca="1"/>
        <v>81.98</v>
      </c>
      <c r="II82" vm="1881">
        <f ca="1"/>
        <v>80.819999999999993</v>
      </c>
      <c r="IJ82" vm="1882">
        <f ca="1"/>
        <v>81.42</v>
      </c>
      <c r="IK82" vm="1835">
        <f ca="1"/>
        <v>82.2</v>
      </c>
      <c r="IL82" vm="1883">
        <f ca="1"/>
        <v>82.86</v>
      </c>
      <c r="IM82" vm="1884">
        <f ca="1"/>
        <v>82.54</v>
      </c>
      <c r="IN82" vm="1885">
        <f ca="1"/>
        <v>82.4</v>
      </c>
      <c r="IO82" vm="1886">
        <f ca="1"/>
        <v>81.75</v>
      </c>
      <c r="IP82" vm="1887">
        <f ca="1"/>
        <v>83.303299999999993</v>
      </c>
      <c r="IQ82" vm="1888">
        <f ca="1"/>
        <v>84.33</v>
      </c>
      <c r="IR82" vm="1889">
        <f ca="1"/>
        <v>83.427000000000007</v>
      </c>
      <c r="IS82" vm="1890">
        <f ca="1"/>
        <v>83.37</v>
      </c>
      <c r="IT82" vm="1836">
        <f ca="1"/>
        <v>82.97</v>
      </c>
      <c r="IU82" vm="1891">
        <f ca="1"/>
        <v>81.496300000000005</v>
      </c>
      <c r="IV82" vm="1892">
        <f ca="1"/>
        <v>82.15</v>
      </c>
      <c r="IW82" vm="141">
        <f ca="1"/>
        <v>82.79</v>
      </c>
    </row>
    <row r="83" spans="1:257" ht="16" x14ac:dyDescent="0.2">
      <c r="A83" s="13" t="e" vm="1893">
        <v>#VALUE!</v>
      </c>
      <c r="B83" s="23" t="str" cm="1">
        <f t="array" aca="1" ref="B83" ca="1">_FV(A83,"ticker symbol",TRUE)</f>
        <v>XME</v>
      </c>
      <c r="C83" s="23" t="str" cm="1">
        <f t="array" aca="1" ref="C83" ca="1">_FV(A83,"Name")</f>
        <v>SS SPDR S&amp;P Metals&amp;Mng</v>
      </c>
      <c r="D83" cm="1" vm="15651">
        <f t="array" aca="1" ref="D83:IW83" ca="1">TRANSPOSE(_xlfn.STOCKHISTORY(B83, WORKDAY(TODAY(), -265), TODAY(), 0, 0, 1))</f>
        <v>61.15</v>
      </c>
      <c r="E83" s="23" vm="2744">
        <f ca="1"/>
        <v>60.03</v>
      </c>
      <c r="F83" s="23" vm="14066">
        <f ca="1"/>
        <v>57.75</v>
      </c>
      <c r="G83" s="23" vm="11060">
        <f ca="1"/>
        <v>57.08</v>
      </c>
      <c r="H83" s="23" vm="1220">
        <f ca="1"/>
        <v>56.82</v>
      </c>
      <c r="I83" s="23" vm="15652">
        <f ca="1"/>
        <v>57.1</v>
      </c>
      <c r="J83" s="23" vm="15653">
        <f ca="1"/>
        <v>57.27</v>
      </c>
      <c r="K83" s="23" vm="11904">
        <f ca="1"/>
        <v>57.39</v>
      </c>
      <c r="L83" s="23" vm="2949">
        <f ca="1"/>
        <v>56.69</v>
      </c>
      <c r="M83" s="23" vm="14069">
        <f ca="1"/>
        <v>56.27</v>
      </c>
      <c r="N83" s="23" vm="11058">
        <f ca="1"/>
        <v>56.75</v>
      </c>
      <c r="O83" s="23" vm="8694">
        <f ca="1"/>
        <v>57.63</v>
      </c>
      <c r="P83" s="23" vm="10091">
        <f ca="1"/>
        <v>57.38</v>
      </c>
      <c r="Q83" s="23" vm="15654">
        <f ca="1"/>
        <v>58.23</v>
      </c>
      <c r="R83" s="23" vm="2955">
        <f ca="1"/>
        <v>58.07</v>
      </c>
      <c r="S83" s="23" vm="14066">
        <f ca="1"/>
        <v>57.75</v>
      </c>
      <c r="T83" s="23" vm="14102">
        <f ca="1"/>
        <v>57.13</v>
      </c>
      <c r="U83" s="23" vm="8670">
        <f ca="1"/>
        <v>58.45</v>
      </c>
      <c r="V83" s="23" vm="10080">
        <f ca="1"/>
        <v>58.85</v>
      </c>
      <c r="W83" s="23" vm="1600">
        <f ca="1"/>
        <v>59.79</v>
      </c>
      <c r="X83" s="23" vm="1645">
        <f ca="1"/>
        <v>59.8</v>
      </c>
      <c r="Y83" s="23" vm="13434">
        <f ca="1"/>
        <v>60.33</v>
      </c>
      <c r="Z83" s="23" vm="13421">
        <f ca="1"/>
        <v>61.21</v>
      </c>
      <c r="AA83" s="23" vm="1590">
        <f ca="1"/>
        <v>60.42</v>
      </c>
      <c r="AB83" s="23" vm="11359">
        <f ca="1"/>
        <v>60.81</v>
      </c>
      <c r="AC83" s="23" vm="13440">
        <f ca="1"/>
        <v>60.69</v>
      </c>
      <c r="AD83" vm="10092">
        <f ca="1"/>
        <v>58.68</v>
      </c>
      <c r="AE83" vm="14205">
        <f ca="1"/>
        <v>58.89</v>
      </c>
      <c r="AF83" vm="9707">
        <f ca="1"/>
        <v>59.73</v>
      </c>
      <c r="AG83" vm="11096">
        <f ca="1"/>
        <v>60.08</v>
      </c>
      <c r="AH83" vm="3016">
        <f ca="1"/>
        <v>59.3</v>
      </c>
      <c r="AI83" vm="13436">
        <f ca="1"/>
        <v>58.83</v>
      </c>
      <c r="AJ83" vm="15655">
        <f ca="1"/>
        <v>60.43</v>
      </c>
      <c r="AK83" vm="2537">
        <f ca="1"/>
        <v>60.98</v>
      </c>
      <c r="AL83" vm="10291">
        <f ca="1"/>
        <v>60.64</v>
      </c>
      <c r="AM83" vm="15656">
        <f ca="1"/>
        <v>60.25</v>
      </c>
      <c r="AN83" vm="13864">
        <f ca="1"/>
        <v>62.54</v>
      </c>
      <c r="AO83" vm="11356">
        <f ca="1"/>
        <v>62.07</v>
      </c>
      <c r="AP83" vm="13419">
        <f ca="1"/>
        <v>61.6</v>
      </c>
      <c r="AQ83" vm="1597">
        <f ca="1"/>
        <v>62.59</v>
      </c>
      <c r="AR83" vm="14076">
        <f ca="1"/>
        <v>60.99</v>
      </c>
      <c r="AS83" vm="11370">
        <f ca="1"/>
        <v>61.89</v>
      </c>
      <c r="AT83" vm="13441">
        <f ca="1"/>
        <v>61.03</v>
      </c>
      <c r="AU83" vm="15657">
        <f ca="1"/>
        <v>61.24</v>
      </c>
      <c r="AV83" vm="15658">
        <f ca="1"/>
        <v>58.65</v>
      </c>
      <c r="AW83" vm="11071">
        <f ca="1"/>
        <v>58.76</v>
      </c>
      <c r="AX83" vm="1217">
        <f ca="1"/>
        <v>58.16</v>
      </c>
      <c r="AY83" vm="14206">
        <f ca="1"/>
        <v>58.24</v>
      </c>
      <c r="AZ83" vm="8680">
        <f ca="1"/>
        <v>57.59</v>
      </c>
      <c r="BA83" vm="11093">
        <f ca="1"/>
        <v>58.1</v>
      </c>
      <c r="BB83" vm="108">
        <f ca="1"/>
        <v>56.21</v>
      </c>
      <c r="BC83" vm="9696">
        <f ca="1"/>
        <v>55.55</v>
      </c>
      <c r="BD83" vm="14201">
        <f ca="1"/>
        <v>57.3</v>
      </c>
      <c r="BE83" vm="2950">
        <f ca="1"/>
        <v>56.39</v>
      </c>
      <c r="BF83" vm="118">
        <f ca="1"/>
        <v>56.01</v>
      </c>
      <c r="BG83" vm="2776">
        <f ca="1"/>
        <v>53.81</v>
      </c>
      <c r="BH83" vm="14111">
        <f ca="1"/>
        <v>55.51</v>
      </c>
      <c r="BI83" vm="1087">
        <f ca="1"/>
        <v>55.74</v>
      </c>
      <c r="BJ83" vm="118">
        <f ca="1"/>
        <v>56.01</v>
      </c>
      <c r="BK83" vm="15659">
        <f ca="1"/>
        <v>57.7</v>
      </c>
      <c r="BL83" vm="14040">
        <f ca="1"/>
        <v>58.12</v>
      </c>
      <c r="BM83" vm="13389">
        <f ca="1"/>
        <v>58.35</v>
      </c>
      <c r="BN83" vm="11894">
        <f ca="1"/>
        <v>58.71</v>
      </c>
      <c r="BO83" vm="14091">
        <f ca="1"/>
        <v>58.31</v>
      </c>
      <c r="BP83" vm="10108">
        <f ca="1"/>
        <v>57.4</v>
      </c>
      <c r="BQ83" vm="2961">
        <f ca="1"/>
        <v>58.49</v>
      </c>
      <c r="BR83" vm="3011">
        <f ca="1"/>
        <v>58.91</v>
      </c>
      <c r="BS83" vm="3008">
        <f ca="1"/>
        <v>58.33</v>
      </c>
      <c r="BT83" vm="15223">
        <f ca="1"/>
        <v>58.4</v>
      </c>
      <c r="BU83" vm="14203">
        <f ca="1"/>
        <v>56.62</v>
      </c>
      <c r="BV83" vm="14072">
        <f ca="1"/>
        <v>55.99</v>
      </c>
      <c r="BW83" vm="1227">
        <f ca="1"/>
        <v>55.91</v>
      </c>
      <c r="BX83" vm="1533">
        <f ca="1"/>
        <v>56.48</v>
      </c>
      <c r="BY83" vm="2905">
        <f ca="1"/>
        <v>52.25</v>
      </c>
      <c r="BZ83" vm="9995">
        <f ca="1"/>
        <v>48.48</v>
      </c>
      <c r="CA83" vm="9263">
        <f ca="1"/>
        <v>49.5</v>
      </c>
      <c r="CB83" vm="11350">
        <f ca="1"/>
        <v>48.74</v>
      </c>
      <c r="CC83" vm="6344">
        <f ca="1"/>
        <v>53.47</v>
      </c>
      <c r="CD83" vm="6249">
        <f ca="1"/>
        <v>51.77</v>
      </c>
      <c r="CE83" vm="150">
        <f ca="1"/>
        <v>53.8</v>
      </c>
      <c r="CF83" vm="11866">
        <f ca="1"/>
        <v>54.49</v>
      </c>
      <c r="CG83" vm="2642">
        <f ca="1"/>
        <v>54.34</v>
      </c>
      <c r="CH83" vm="11018">
        <f ca="1"/>
        <v>54.76</v>
      </c>
      <c r="CI83" vm="952">
        <f ca="1"/>
        <v>54.73</v>
      </c>
      <c r="CJ83" vm="6348">
        <f ca="1"/>
        <v>53.32</v>
      </c>
      <c r="CK83" vm="6338">
        <f ca="1"/>
        <v>54.03</v>
      </c>
      <c r="CL83" vm="1223">
        <f ca="1"/>
        <v>55.35</v>
      </c>
      <c r="CM83" vm="14202">
        <f ca="1"/>
        <v>57.2</v>
      </c>
      <c r="CN83" vm="15660">
        <f ca="1"/>
        <v>56.54</v>
      </c>
      <c r="CO83" vm="10073">
        <f ca="1"/>
        <v>56.92</v>
      </c>
      <c r="CP83" vm="11892">
        <f ca="1"/>
        <v>56.88</v>
      </c>
      <c r="CQ83" vm="14043">
        <f ca="1"/>
        <v>56.35</v>
      </c>
      <c r="CR83" vm="11012">
        <f ca="1"/>
        <v>56.47</v>
      </c>
      <c r="CS83" vm="14067">
        <f ca="1"/>
        <v>57.52</v>
      </c>
      <c r="CT83" vm="8858">
        <f ca="1"/>
        <v>57.46</v>
      </c>
      <c r="CU83" vm="14040">
        <f ca="1"/>
        <v>58.12</v>
      </c>
      <c r="CV83" vm="15661">
        <f ca="1"/>
        <v>57.43</v>
      </c>
      <c r="CW83" vm="14119">
        <f ca="1"/>
        <v>57.87</v>
      </c>
      <c r="CX83" vm="15223">
        <f ca="1"/>
        <v>58.4</v>
      </c>
      <c r="CY83" vm="1587">
        <f ca="1"/>
        <v>59.13</v>
      </c>
      <c r="CZ83" vm="11082">
        <f ca="1"/>
        <v>59.64</v>
      </c>
      <c r="DA83" vm="1650">
        <f ca="1"/>
        <v>59.09</v>
      </c>
      <c r="DB83" vm="9649">
        <f ca="1"/>
        <v>59.08</v>
      </c>
      <c r="DC83" vm="3020">
        <f ca="1"/>
        <v>59.44</v>
      </c>
      <c r="DD83" vm="8640">
        <f ca="1"/>
        <v>59.49</v>
      </c>
      <c r="DE83" vm="8630">
        <f ca="1"/>
        <v>59.62</v>
      </c>
      <c r="DF83" vm="11895">
        <f ca="1"/>
        <v>58.81</v>
      </c>
      <c r="DG83" vm="11092">
        <f ca="1"/>
        <v>58.21</v>
      </c>
      <c r="DH83" vm="9704">
        <f ca="1"/>
        <v>59.86</v>
      </c>
      <c r="DI83" vm="13426">
        <f ca="1"/>
        <v>61.43</v>
      </c>
      <c r="DJ83" vm="2745">
        <f ca="1"/>
        <v>60.87</v>
      </c>
      <c r="DK83" vm="13434">
        <f ca="1"/>
        <v>60.33</v>
      </c>
      <c r="DL83" vm="10094">
        <f ca="1"/>
        <v>60.1</v>
      </c>
      <c r="DM83" vm="10172">
        <f ca="1"/>
        <v>62.11</v>
      </c>
      <c r="DN83" vm="1607">
        <f ca="1"/>
        <v>63.33</v>
      </c>
      <c r="DO83" vm="2733">
        <f ca="1"/>
        <v>64.13</v>
      </c>
      <c r="DP83" vm="2733">
        <f ca="1"/>
        <v>64.13</v>
      </c>
      <c r="DQ83" vm="11427">
        <f ca="1"/>
        <v>64.41</v>
      </c>
      <c r="DR83" vm="8825">
        <f ca="1"/>
        <v>65.36</v>
      </c>
      <c r="DS83" vm="15662">
        <f ca="1"/>
        <v>64.790000000000006</v>
      </c>
      <c r="DT83" vm="11446">
        <f ca="1"/>
        <v>64.37</v>
      </c>
      <c r="DU83" vm="10170">
        <f ca="1"/>
        <v>64.89</v>
      </c>
      <c r="DV83" vm="8825">
        <f ca="1"/>
        <v>65.36</v>
      </c>
      <c r="DW83" vm="13089">
        <f ca="1"/>
        <v>66.23</v>
      </c>
      <c r="DX83" vm="15663">
        <f ca="1"/>
        <v>66.760000000000005</v>
      </c>
      <c r="DY83" vm="11437">
        <f ca="1"/>
        <v>66.680000000000007</v>
      </c>
      <c r="DZ83" vm="8866">
        <f ca="1"/>
        <v>65.53</v>
      </c>
      <c r="EA83" vm="1166">
        <f ca="1"/>
        <v>66.19</v>
      </c>
      <c r="EB83" vm="8726">
        <f ca="1"/>
        <v>65.94</v>
      </c>
      <c r="EC83" vm="8866">
        <f ca="1"/>
        <v>65.53</v>
      </c>
      <c r="ED83" vm="15304">
        <f ca="1"/>
        <v>67.3</v>
      </c>
      <c r="EE83" vm="15664">
        <f ca="1"/>
        <v>66.38</v>
      </c>
      <c r="EF83" vm="8747">
        <f ca="1"/>
        <v>67.22</v>
      </c>
      <c r="EG83" vm="15665">
        <f ca="1"/>
        <v>67.16</v>
      </c>
      <c r="EH83" vm="8875">
        <f ca="1"/>
        <v>70.08</v>
      </c>
      <c r="EI83" vm="15666">
        <f ca="1"/>
        <v>70.069999999999993</v>
      </c>
      <c r="EJ83" vm="13852">
        <f ca="1"/>
        <v>69.17</v>
      </c>
      <c r="EK83" vm="15667">
        <f ca="1"/>
        <v>68.62</v>
      </c>
      <c r="EL83" vm="15668">
        <f ca="1"/>
        <v>68.489999999999995</v>
      </c>
      <c r="EM83" vm="15669">
        <f ca="1"/>
        <v>72.14</v>
      </c>
      <c r="EN83" vm="15670">
        <f ca="1"/>
        <v>73.13</v>
      </c>
      <c r="EO83" vm="1543">
        <f ca="1"/>
        <v>72.59</v>
      </c>
      <c r="EP83" vm="909">
        <f ca="1"/>
        <v>72.28</v>
      </c>
      <c r="EQ83" vm="15671">
        <f ca="1"/>
        <v>72.63</v>
      </c>
      <c r="ER83" vm="15672">
        <f ca="1"/>
        <v>74.64</v>
      </c>
      <c r="ES83" vm="15673">
        <f ca="1"/>
        <v>75.180000000000007</v>
      </c>
      <c r="ET83" vm="10382">
        <f ca="1"/>
        <v>76.040000000000006</v>
      </c>
      <c r="EU83" vm="15674">
        <f ca="1"/>
        <v>78.12</v>
      </c>
      <c r="EV83" vm="15675">
        <f ca="1"/>
        <v>78.400000000000006</v>
      </c>
      <c r="EW83" vm="6062">
        <f ca="1"/>
        <v>77.260000000000005</v>
      </c>
      <c r="EX83" vm="5930">
        <f ca="1"/>
        <v>77.599999999999994</v>
      </c>
      <c r="EY83" vm="7187">
        <f ca="1"/>
        <v>76.22</v>
      </c>
      <c r="EZ83" vm="13482">
        <f ca="1"/>
        <v>75.17</v>
      </c>
      <c r="FA83" vm="793">
        <f ca="1"/>
        <v>73.650000000000006</v>
      </c>
      <c r="FB83" vm="8779">
        <f ca="1"/>
        <v>73.319999999999993</v>
      </c>
      <c r="FC83" vm="15676">
        <f ca="1"/>
        <v>72.41</v>
      </c>
      <c r="FD83" vm="15677">
        <f ca="1"/>
        <v>73.81</v>
      </c>
      <c r="FE83" vm="7190">
        <f ca="1"/>
        <v>75.58</v>
      </c>
      <c r="FF83" vm="15678">
        <f ca="1"/>
        <v>75.41</v>
      </c>
      <c r="FG83" vm="10195">
        <f ca="1"/>
        <v>77.95</v>
      </c>
      <c r="FH83" vm="431">
        <f ca="1"/>
        <v>79.290000000000006</v>
      </c>
      <c r="FI83" vm="10235">
        <f ca="1"/>
        <v>78.7</v>
      </c>
      <c r="FJ83" vm="10234">
        <f ca="1"/>
        <v>81</v>
      </c>
      <c r="FK83" vm="1427">
        <f ca="1"/>
        <v>81.510000000000005</v>
      </c>
      <c r="FL83" vm="5943">
        <f ca="1"/>
        <v>80.61</v>
      </c>
      <c r="FM83" vm="6018">
        <f ca="1"/>
        <v>79.78</v>
      </c>
      <c r="FN83" vm="5939">
        <f ca="1"/>
        <v>79.11</v>
      </c>
      <c r="FO83" vm="15679">
        <f ca="1"/>
        <v>77.44</v>
      </c>
      <c r="FP83" vm="6064">
        <f ca="1"/>
        <v>77.099999999999994</v>
      </c>
      <c r="FQ83" vm="7213">
        <f ca="1"/>
        <v>77.489999999999995</v>
      </c>
      <c r="FR83" vm="14545">
        <f ca="1"/>
        <v>80.13</v>
      </c>
      <c r="FS83" vm="6027">
        <f ca="1"/>
        <v>80.650000000000006</v>
      </c>
      <c r="FT83" vm="10232">
        <f ca="1"/>
        <v>81.180000000000007</v>
      </c>
      <c r="FU83" vm="1925">
        <f ca="1"/>
        <v>81.03</v>
      </c>
      <c r="FV83" vm="5992">
        <f ca="1"/>
        <v>81.599999999999994</v>
      </c>
      <c r="FW83" vm="15680">
        <f ca="1"/>
        <v>82.33</v>
      </c>
      <c r="FX83" vm="14585">
        <f ca="1"/>
        <v>81.540000000000006</v>
      </c>
      <c r="FY83" vm="14585">
        <f ca="1"/>
        <v>81.540000000000006</v>
      </c>
      <c r="FZ83" vm="15681">
        <f ca="1"/>
        <v>81.569999999999993</v>
      </c>
      <c r="GA83" vm="6069">
        <f ca="1"/>
        <v>83.93</v>
      </c>
      <c r="GB83" vm="15323">
        <f ca="1"/>
        <v>84.08</v>
      </c>
      <c r="GC83" vm="15682">
        <f ca="1"/>
        <v>83.36</v>
      </c>
      <c r="GD83" vm="15683">
        <f ca="1"/>
        <v>84.88</v>
      </c>
      <c r="GE83" vm="7266">
        <f ca="1"/>
        <v>86.04</v>
      </c>
      <c r="GF83" vm="15344">
        <f ca="1"/>
        <v>85.57</v>
      </c>
      <c r="GG83" vm="4534">
        <f ca="1"/>
        <v>89.09</v>
      </c>
      <c r="GH83" vm="15280">
        <f ca="1"/>
        <v>88.24</v>
      </c>
      <c r="GI83" vm="15684">
        <f ca="1"/>
        <v>87.75</v>
      </c>
      <c r="GJ83" vm="4534">
        <f ca="1"/>
        <v>89.09</v>
      </c>
      <c r="GK83" vm="1714">
        <f ca="1"/>
        <v>90.39</v>
      </c>
      <c r="GL83" vm="6837">
        <f ca="1"/>
        <v>90.94</v>
      </c>
      <c r="GM83" vm="13449">
        <f ca="1"/>
        <v>91.5</v>
      </c>
      <c r="GN83" vm="5586">
        <f ca="1"/>
        <v>90.48</v>
      </c>
      <c r="GO83" vm="7282">
        <f ca="1"/>
        <v>91.7</v>
      </c>
      <c r="GP83" vm="6085">
        <f ca="1"/>
        <v>92.2</v>
      </c>
      <c r="GQ83" vm="6083">
        <f ca="1"/>
        <v>93.48</v>
      </c>
      <c r="GR83" vm="15685">
        <f ca="1"/>
        <v>93.19</v>
      </c>
      <c r="GS83" vm="13623">
        <f ca="1"/>
        <v>95.31</v>
      </c>
      <c r="GT83" vm="3189">
        <f ca="1"/>
        <v>96.67</v>
      </c>
      <c r="GU83" vm="15686">
        <f ca="1"/>
        <v>97.56</v>
      </c>
      <c r="GV83" vm="15687">
        <f ca="1"/>
        <v>98.23</v>
      </c>
      <c r="GW83" vm="13674">
        <f ca="1"/>
        <v>98.97</v>
      </c>
      <c r="GX83" vm="11930">
        <f ca="1"/>
        <v>102.27</v>
      </c>
      <c r="GY83" vm="15688">
        <f ca="1"/>
        <v>102.36</v>
      </c>
      <c r="GZ83" vm="4607">
        <f ca="1"/>
        <v>100.88</v>
      </c>
      <c r="HA83" vm="9350">
        <f ca="1"/>
        <v>108.08</v>
      </c>
      <c r="HB83" vm="1246">
        <f ca="1"/>
        <v>108.94</v>
      </c>
      <c r="HC83" vm="15689">
        <f ca="1"/>
        <v>107.93</v>
      </c>
      <c r="HD83" vm="15690">
        <f ca="1"/>
        <v>106.61</v>
      </c>
      <c r="HE83" vm="5604">
        <f ca="1"/>
        <v>102.26</v>
      </c>
      <c r="HF83" vm="15691">
        <f ca="1"/>
        <v>107.3</v>
      </c>
      <c r="HG83" vm="11936">
        <f ca="1"/>
        <v>100.31</v>
      </c>
      <c r="HH83" vm="15692">
        <f ca="1"/>
        <v>97.29</v>
      </c>
      <c r="HI83" vm="4569">
        <f ca="1"/>
        <v>98.81</v>
      </c>
      <c r="HJ83" vm="1065">
        <f ca="1"/>
        <v>99.82</v>
      </c>
      <c r="HK83" vm="4601">
        <f ca="1"/>
        <v>97.75</v>
      </c>
      <c r="HL83" vm="15693">
        <f ca="1"/>
        <v>98.3</v>
      </c>
      <c r="HM83" vm="12441">
        <f ca="1"/>
        <v>98.15</v>
      </c>
      <c r="HN83" vm="11913">
        <f ca="1"/>
        <v>96.42</v>
      </c>
      <c r="HO83" vm="10919">
        <f ca="1"/>
        <v>96.59</v>
      </c>
      <c r="HP83" vm="15694">
        <f ca="1"/>
        <v>94.73</v>
      </c>
      <c r="HQ83" vm="6800">
        <f ca="1"/>
        <v>90.08</v>
      </c>
      <c r="HR83" vm="15695">
        <f ca="1"/>
        <v>90.84</v>
      </c>
      <c r="HS83" vm="10910">
        <f ca="1"/>
        <v>91.1</v>
      </c>
      <c r="HT83" vm="15696">
        <f ca="1"/>
        <v>93.56</v>
      </c>
      <c r="HU83" vm="15697">
        <f ca="1"/>
        <v>95.24</v>
      </c>
      <c r="HV83" vm="11941">
        <f ca="1"/>
        <v>93.98</v>
      </c>
      <c r="HW83" vm="15698">
        <f ca="1"/>
        <v>96.38</v>
      </c>
      <c r="HX83" vm="12968">
        <f ca="1"/>
        <v>92.41</v>
      </c>
      <c r="HY83" vm="15699">
        <f ca="1"/>
        <v>91.84</v>
      </c>
      <c r="HZ83" vm="6823">
        <f ca="1"/>
        <v>90.12</v>
      </c>
      <c r="IA83" vm="6808">
        <f ca="1"/>
        <v>90.68</v>
      </c>
      <c r="IB83" vm="1894">
        <f ca="1"/>
        <v>91.33</v>
      </c>
      <c r="IC83" vm="1895">
        <f ca="1"/>
        <v>87.44</v>
      </c>
      <c r="ID83" vm="1896">
        <f ca="1"/>
        <v>88.68</v>
      </c>
      <c r="IE83" vm="1897">
        <f ca="1"/>
        <v>91.42</v>
      </c>
      <c r="IF83" vm="1898">
        <f ca="1"/>
        <v>92.89</v>
      </c>
      <c r="IG83" vm="1899">
        <f ca="1"/>
        <v>95.34</v>
      </c>
      <c r="IH83" vm="1900">
        <f ca="1"/>
        <v>97.09</v>
      </c>
      <c r="II83" vm="1901">
        <f ca="1"/>
        <v>95.81</v>
      </c>
      <c r="IJ83" vm="1902">
        <f ca="1"/>
        <v>96.6</v>
      </c>
      <c r="IK83" vm="1903">
        <f ca="1"/>
        <v>99.67</v>
      </c>
      <c r="IL83" vm="678">
        <f ca="1"/>
        <v>100.8</v>
      </c>
      <c r="IM83" vm="1904">
        <f ca="1"/>
        <v>99.74</v>
      </c>
      <c r="IN83" vm="1905">
        <f ca="1"/>
        <v>98.2</v>
      </c>
      <c r="IO83" vm="1906">
        <f ca="1"/>
        <v>99.47</v>
      </c>
      <c r="IP83" vm="1907">
        <f ca="1"/>
        <v>100.15</v>
      </c>
      <c r="IQ83" vm="1908">
        <f ca="1"/>
        <v>104.88</v>
      </c>
      <c r="IR83" vm="1909">
        <f ca="1"/>
        <v>102.14</v>
      </c>
      <c r="IS83" vm="1910">
        <f ca="1"/>
        <v>100.85</v>
      </c>
      <c r="IT83" vm="1911">
        <f ca="1"/>
        <v>100.91</v>
      </c>
      <c r="IU83" vm="1912">
        <f ca="1"/>
        <v>101.03</v>
      </c>
      <c r="IV83" vm="1913">
        <f ca="1"/>
        <v>102.33</v>
      </c>
      <c r="IW83" vm="143">
        <f ca="1"/>
        <v>105.17</v>
      </c>
    </row>
    <row r="84" spans="1:257" ht="16" x14ac:dyDescent="0.2">
      <c r="A84" s="13" t="e" vm="1914">
        <v>#VALUE!</v>
      </c>
      <c r="B84" s="23" t="str" cm="1">
        <f t="array" aca="1" ref="B84" ca="1">_FV(A84,"ticker symbol",TRUE)</f>
        <v>GDX</v>
      </c>
      <c r="C84" s="23" t="str" cm="1">
        <f t="array" aca="1" ref="C84" ca="1">_FV(A84,"Name")</f>
        <v>VanEck:Gold Miners</v>
      </c>
      <c r="D84" cm="1" vm="4658">
        <f t="array" aca="1" ref="D84:IW84" ca="1">TRANSPOSE(_xlfn.STOCKHISTORY(B84, WORKDAY(TODAY(), -265), TODAY(), 0, 0, 1))</f>
        <v>36.42</v>
      </c>
      <c r="E84" s="23" vm="9123">
        <f ca="1"/>
        <v>36.19</v>
      </c>
      <c r="F84" s="23" vm="8980">
        <f ca="1"/>
        <v>34.53</v>
      </c>
      <c r="G84" s="23" vm="15700">
        <f ca="1"/>
        <v>34.39</v>
      </c>
      <c r="H84" s="23" vm="9179">
        <f ca="1"/>
        <v>34.729999999999997</v>
      </c>
      <c r="I84" s="23" vm="9094">
        <f ca="1"/>
        <v>34.409999999999997</v>
      </c>
      <c r="J84" s="23" vm="9094">
        <f ca="1"/>
        <v>34.409999999999997</v>
      </c>
      <c r="K84" s="23" vm="15701">
        <f ca="1"/>
        <v>34.47</v>
      </c>
      <c r="L84" s="23" vm="9074">
        <f ca="1"/>
        <v>34.26</v>
      </c>
      <c r="M84" s="23" vm="15702">
        <f ca="1"/>
        <v>33.770000000000003</v>
      </c>
      <c r="N84" s="23" vm="9081">
        <f ca="1"/>
        <v>33.909999999999997</v>
      </c>
      <c r="O84" s="23" vm="9177">
        <f ca="1"/>
        <v>35.340000000000003</v>
      </c>
      <c r="P84" s="23" vm="826">
        <f ca="1"/>
        <v>35</v>
      </c>
      <c r="Q84" s="23" vm="15703">
        <f ca="1"/>
        <v>34.58</v>
      </c>
      <c r="R84" s="23" vm="15704">
        <f ca="1"/>
        <v>35.049999999999997</v>
      </c>
      <c r="S84" s="23" vm="15705">
        <f ca="1"/>
        <v>35.9</v>
      </c>
      <c r="T84" s="23" vm="10653">
        <f ca="1"/>
        <v>35.97</v>
      </c>
      <c r="U84" s="23" vm="15706">
        <f ca="1"/>
        <v>35.380000000000003</v>
      </c>
      <c r="V84" s="23" vm="15707">
        <f ca="1"/>
        <v>36.32</v>
      </c>
      <c r="W84" s="23" vm="9171">
        <f ca="1"/>
        <v>36.72</v>
      </c>
      <c r="X84" s="23" vm="15708">
        <f ca="1"/>
        <v>36.619999999999997</v>
      </c>
      <c r="Y84" s="23" vm="9106">
        <f ca="1"/>
        <v>36.75</v>
      </c>
      <c r="Z84" s="23" vm="10680">
        <f ca="1"/>
        <v>37.61</v>
      </c>
      <c r="AA84" s="23" vm="10677">
        <f ca="1"/>
        <v>37.53</v>
      </c>
      <c r="AB84" s="23" vm="15709">
        <f ca="1"/>
        <v>37.5</v>
      </c>
      <c r="AC84" s="23" vm="12776">
        <f ca="1"/>
        <v>37.950000000000003</v>
      </c>
      <c r="AD84" vm="3321">
        <f ca="1"/>
        <v>37.35</v>
      </c>
      <c r="AE84" vm="4685">
        <f ca="1"/>
        <v>37.700000000000003</v>
      </c>
      <c r="AF84" vm="15710">
        <f ca="1"/>
        <v>37.9</v>
      </c>
      <c r="AG84" vm="15711">
        <f ca="1"/>
        <v>39.42</v>
      </c>
      <c r="AH84" vm="6902">
        <f ca="1"/>
        <v>38.96</v>
      </c>
      <c r="AI84" vm="12744">
        <f ca="1"/>
        <v>39.56</v>
      </c>
      <c r="AJ84" vm="15712">
        <f ca="1"/>
        <v>40.03</v>
      </c>
      <c r="AK84" vm="13803">
        <f ca="1"/>
        <v>41.04</v>
      </c>
      <c r="AL84" vm="300">
        <f ca="1"/>
        <v>41.13</v>
      </c>
      <c r="AM84" vm="15713">
        <f ca="1"/>
        <v>40.86</v>
      </c>
      <c r="AN84" vm="6878">
        <f ca="1"/>
        <v>41.96</v>
      </c>
      <c r="AO84" vm="12802">
        <f ca="1"/>
        <v>41.44</v>
      </c>
      <c r="AP84" vm="6950">
        <f ca="1"/>
        <v>42.13</v>
      </c>
      <c r="AQ84" vm="13809">
        <f ca="1"/>
        <v>42.51</v>
      </c>
      <c r="AR84" vm="6873">
        <f ca="1"/>
        <v>41.08</v>
      </c>
      <c r="AS84" vm="15714">
        <f ca="1"/>
        <v>41.54</v>
      </c>
      <c r="AT84" vm="15714">
        <f ca="1"/>
        <v>41.54</v>
      </c>
      <c r="AU84" vm="14162">
        <f ca="1"/>
        <v>42.24</v>
      </c>
      <c r="AV84" vm="561">
        <f ca="1"/>
        <v>40.799999999999997</v>
      </c>
      <c r="AW84" vm="92">
        <f ca="1"/>
        <v>40.97</v>
      </c>
      <c r="AX84" vm="15715">
        <f ca="1"/>
        <v>40.380000000000003</v>
      </c>
      <c r="AY84" vm="15713">
        <f ca="1"/>
        <v>40.86</v>
      </c>
      <c r="AZ84" vm="9141">
        <f ca="1"/>
        <v>39.46</v>
      </c>
      <c r="BA84" vm="293">
        <f ca="1"/>
        <v>39.72</v>
      </c>
      <c r="BB84" vm="14161">
        <f ca="1"/>
        <v>39.71</v>
      </c>
      <c r="BC84" vm="6867">
        <f ca="1"/>
        <v>40.28</v>
      </c>
      <c r="BD84" vm="6935">
        <f ca="1"/>
        <v>41.7</v>
      </c>
      <c r="BE84" vm="310">
        <f ca="1"/>
        <v>41.36</v>
      </c>
      <c r="BF84" vm="6928">
        <f ca="1"/>
        <v>41.64</v>
      </c>
      <c r="BG84" vm="549">
        <f ca="1"/>
        <v>40.51</v>
      </c>
      <c r="BH84" vm="6933">
        <f ca="1"/>
        <v>41.84</v>
      </c>
      <c r="BI84" vm="6886">
        <f ca="1"/>
        <v>41.9</v>
      </c>
      <c r="BJ84" vm="12808">
        <f ca="1"/>
        <v>43.21</v>
      </c>
      <c r="BK84" vm="12064">
        <f ca="1"/>
        <v>43.64</v>
      </c>
      <c r="BL84" vm="1977">
        <f ca="1"/>
        <v>44.57</v>
      </c>
      <c r="BM84" vm="15716">
        <f ca="1"/>
        <v>44.85</v>
      </c>
      <c r="BN84" vm="9224">
        <f ca="1"/>
        <v>45.23</v>
      </c>
      <c r="BO84" vm="67">
        <f ca="1"/>
        <v>45.16</v>
      </c>
      <c r="BP84" vm="13770">
        <f ca="1"/>
        <v>44.5</v>
      </c>
      <c r="BQ84" vm="15717">
        <f ca="1"/>
        <v>44.25</v>
      </c>
      <c r="BR84" vm="15718">
        <f ca="1"/>
        <v>45.02</v>
      </c>
      <c r="BS84" vm="15719">
        <f ca="1"/>
        <v>44.67</v>
      </c>
      <c r="BT84" vm="13772">
        <f ca="1"/>
        <v>45.76</v>
      </c>
      <c r="BU84" vm="10017">
        <f ca="1"/>
        <v>45.57</v>
      </c>
      <c r="BV84" vm="12084">
        <f ca="1"/>
        <v>45.97</v>
      </c>
      <c r="BW84" vm="15720">
        <f ca="1"/>
        <v>45.8</v>
      </c>
      <c r="BX84" vm="13772">
        <f ca="1"/>
        <v>45.76</v>
      </c>
      <c r="BY84" vm="10014">
        <f ca="1"/>
        <v>45.72</v>
      </c>
      <c r="BZ84" vm="6948">
        <f ca="1"/>
        <v>41.68</v>
      </c>
      <c r="CA84" vm="6879">
        <f ca="1"/>
        <v>41.45</v>
      </c>
      <c r="CB84" vm="9198">
        <f ca="1"/>
        <v>41.5</v>
      </c>
      <c r="CC84" vm="15721">
        <f ca="1"/>
        <v>44.99</v>
      </c>
      <c r="CD84" vm="1270">
        <f ca="1"/>
        <v>47.17</v>
      </c>
      <c r="CE84" vm="11025">
        <f ca="1"/>
        <v>49.7</v>
      </c>
      <c r="CF84" vm="11838">
        <f ca="1"/>
        <v>50.02</v>
      </c>
      <c r="CG84" vm="6305">
        <f ca="1"/>
        <v>50.53</v>
      </c>
      <c r="CH84" vm="6323">
        <f ca="1"/>
        <v>51.91</v>
      </c>
      <c r="CI84" vm="9686">
        <f ca="1"/>
        <v>50.92</v>
      </c>
      <c r="CJ84" vm="2917">
        <f ca="1"/>
        <v>51.66</v>
      </c>
      <c r="CK84" vm="6241">
        <f ca="1"/>
        <v>50.23</v>
      </c>
      <c r="CL84" vm="11834">
        <f ca="1"/>
        <v>48.73</v>
      </c>
      <c r="CM84" vm="6291">
        <f ca="1"/>
        <v>49.76</v>
      </c>
      <c r="CN84" vm="1261">
        <f ca="1"/>
        <v>48.81</v>
      </c>
      <c r="CO84" vm="11044">
        <f ca="1"/>
        <v>49.43</v>
      </c>
      <c r="CP84" vm="9995">
        <f ca="1"/>
        <v>48.48</v>
      </c>
      <c r="CQ84" vm="15722">
        <f ca="1"/>
        <v>49.01</v>
      </c>
      <c r="CR84" vm="9237">
        <f ca="1"/>
        <v>47.2</v>
      </c>
      <c r="CS84" vm="15723">
        <f ca="1"/>
        <v>47.08</v>
      </c>
      <c r="CT84" vm="1987">
        <f ca="1"/>
        <v>48.72</v>
      </c>
      <c r="CU84" vm="1623">
        <f ca="1"/>
        <v>50.79</v>
      </c>
      <c r="CV84" vm="15724">
        <f ca="1"/>
        <v>49.82</v>
      </c>
      <c r="CW84" vm="13827">
        <f ca="1"/>
        <v>48.88</v>
      </c>
      <c r="CX84" vm="11346">
        <f ca="1"/>
        <v>50.37</v>
      </c>
      <c r="CY84" vm="2331">
        <f ca="1"/>
        <v>46.62</v>
      </c>
      <c r="CZ84" vm="10013">
        <f ca="1"/>
        <v>46.54</v>
      </c>
      <c r="DA84" vm="15725">
        <f ca="1"/>
        <v>45.55</v>
      </c>
      <c r="DB84" vm="15726">
        <f ca="1"/>
        <v>46.49</v>
      </c>
      <c r="DC84" vm="12025">
        <f ca="1"/>
        <v>46.33</v>
      </c>
      <c r="DD84" vm="9238">
        <f ca="1"/>
        <v>47.34</v>
      </c>
      <c r="DE84" vm="1261">
        <f ca="1"/>
        <v>48.81</v>
      </c>
      <c r="DF84" vm="6292">
        <f ca="1"/>
        <v>49.44</v>
      </c>
      <c r="DG84" vm="12049">
        <f ca="1"/>
        <v>49.18</v>
      </c>
      <c r="DH84" vm="6305">
        <f ca="1"/>
        <v>50.53</v>
      </c>
      <c r="DI84" vm="11310">
        <f ca="1"/>
        <v>49.77</v>
      </c>
      <c r="DJ84" vm="11299">
        <f ca="1"/>
        <v>50.35</v>
      </c>
      <c r="DK84" vm="1147">
        <f ca="1"/>
        <v>50.28</v>
      </c>
      <c r="DL84" vm="6242">
        <f ca="1"/>
        <v>50.65</v>
      </c>
      <c r="DM84" vm="1630">
        <f ca="1"/>
        <v>53.77</v>
      </c>
      <c r="DN84" vm="9256">
        <f ca="1"/>
        <v>53.09</v>
      </c>
      <c r="DO84" vm="2929">
        <f ca="1"/>
        <v>53.21</v>
      </c>
      <c r="DP84" vm="2770">
        <f ca="1"/>
        <v>53.15</v>
      </c>
      <c r="DQ84" vm="6297">
        <f ca="1"/>
        <v>51.62</v>
      </c>
      <c r="DR84" vm="15727">
        <f ca="1"/>
        <v>52.13</v>
      </c>
      <c r="DS84" vm="11320">
        <f ca="1"/>
        <v>51.43</v>
      </c>
      <c r="DT84" vm="6310">
        <f ca="1"/>
        <v>51.94</v>
      </c>
      <c r="DU84" vm="10058">
        <f ca="1"/>
        <v>53.53</v>
      </c>
      <c r="DV84" vm="15728">
        <f ca="1"/>
        <v>54.46</v>
      </c>
      <c r="DW84" vm="476">
        <f ca="1"/>
        <v>53.55</v>
      </c>
      <c r="DX84" vm="2775">
        <f ca="1"/>
        <v>53.51</v>
      </c>
      <c r="DY84" vm="2769">
        <f ca="1"/>
        <v>53</v>
      </c>
      <c r="DZ84" vm="2922">
        <f ca="1"/>
        <v>52.29</v>
      </c>
      <c r="EA84" vm="2636">
        <f ca="1"/>
        <v>53.11</v>
      </c>
      <c r="EB84" vm="14175">
        <f ca="1"/>
        <v>51.86</v>
      </c>
      <c r="EC84" vm="11856">
        <f ca="1"/>
        <v>51.92</v>
      </c>
      <c r="ED84" vm="6312">
        <f ca="1"/>
        <v>52.62</v>
      </c>
      <c r="EE84" vm="42">
        <f ca="1"/>
        <v>50.73</v>
      </c>
      <c r="EF84" vm="11858">
        <f ca="1"/>
        <v>52.06</v>
      </c>
      <c r="EG84" vm="15729">
        <f ca="1"/>
        <v>52.04</v>
      </c>
      <c r="EH84" vm="2768">
        <f ca="1"/>
        <v>52.66</v>
      </c>
      <c r="EI84" vm="14055">
        <f ca="1"/>
        <v>52.91</v>
      </c>
      <c r="EJ84" vm="15730">
        <f ca="1"/>
        <v>53.17</v>
      </c>
      <c r="EK84" vm="1623">
        <f ca="1"/>
        <v>50.79</v>
      </c>
      <c r="EL84" vm="11328">
        <f ca="1"/>
        <v>51.5</v>
      </c>
      <c r="EM84" vm="14171">
        <f ca="1"/>
        <v>51.9</v>
      </c>
      <c r="EN84" vm="6355">
        <f ca="1"/>
        <v>52.42</v>
      </c>
      <c r="EO84" vm="6357">
        <f ca="1"/>
        <v>52.45</v>
      </c>
      <c r="EP84" vm="6297">
        <f ca="1"/>
        <v>51.62</v>
      </c>
      <c r="EQ84" vm="6253">
        <f ca="1"/>
        <v>51.82</v>
      </c>
      <c r="ER84" vm="11336">
        <f ca="1"/>
        <v>51.24</v>
      </c>
      <c r="ES84" vm="6262">
        <f ca="1"/>
        <v>51.13</v>
      </c>
      <c r="ET84" vm="2771">
        <f ca="1"/>
        <v>53.02</v>
      </c>
      <c r="EU84" vm="15731">
        <f ca="1"/>
        <v>54.48</v>
      </c>
      <c r="EV84" vm="3338">
        <f ca="1"/>
        <v>53.84</v>
      </c>
      <c r="EW84" vm="473">
        <f ca="1"/>
        <v>53.33</v>
      </c>
      <c r="EX84" vm="3332">
        <f ca="1"/>
        <v>53.96</v>
      </c>
      <c r="EY84" vm="15732">
        <f ca="1"/>
        <v>52.59</v>
      </c>
      <c r="EZ84" vm="11047">
        <f ca="1"/>
        <v>53.25</v>
      </c>
      <c r="FA84" vm="11859">
        <f ca="1"/>
        <v>51.78</v>
      </c>
      <c r="FB84" vm="9261">
        <f ca="1"/>
        <v>51.64</v>
      </c>
      <c r="FC84" vm="6357">
        <f ca="1"/>
        <v>52.45</v>
      </c>
      <c r="FD84" vm="15733">
        <f ca="1"/>
        <v>54.94</v>
      </c>
      <c r="FE84" vm="14044">
        <f ca="1"/>
        <v>56.46</v>
      </c>
      <c r="FF84" vm="11904">
        <f ca="1"/>
        <v>57.39</v>
      </c>
      <c r="FG84" vm="2954">
        <f ca="1"/>
        <v>57.94</v>
      </c>
      <c r="FH84" vm="14061">
        <f ca="1"/>
        <v>58.06</v>
      </c>
      <c r="FI84" vm="2959">
        <f ca="1"/>
        <v>57.69</v>
      </c>
      <c r="FJ84" vm="11092">
        <f ca="1"/>
        <v>58.21</v>
      </c>
      <c r="FK84" vm="2955">
        <f ca="1"/>
        <v>58.07</v>
      </c>
      <c r="FL84" vm="15659">
        <f ca="1"/>
        <v>57.7</v>
      </c>
      <c r="FM84" vm="11893">
        <f ca="1"/>
        <v>58.28</v>
      </c>
      <c r="FN84" vm="11093">
        <f ca="1"/>
        <v>58.1</v>
      </c>
      <c r="FO84" vm="14115">
        <f ca="1"/>
        <v>56.6</v>
      </c>
      <c r="FP84" vm="11079">
        <f ca="1"/>
        <v>58.32</v>
      </c>
      <c r="FQ84" vm="3015">
        <f ca="1"/>
        <v>59.29</v>
      </c>
      <c r="FR84" vm="14138">
        <f ca="1"/>
        <v>60.18</v>
      </c>
      <c r="FS84" vm="2201">
        <f ca="1"/>
        <v>60.26</v>
      </c>
      <c r="FT84" vm="13419">
        <f ca="1"/>
        <v>61.6</v>
      </c>
      <c r="FU84" vm="1100">
        <f ca="1"/>
        <v>61.48</v>
      </c>
      <c r="FV84" vm="2535">
        <f ca="1"/>
        <v>61.33</v>
      </c>
      <c r="FW84" vm="1471">
        <f ca="1"/>
        <v>63.17</v>
      </c>
      <c r="FX84" vm="15734">
        <f ca="1"/>
        <v>64.8</v>
      </c>
      <c r="FY84" vm="15735">
        <f ca="1"/>
        <v>65.2</v>
      </c>
      <c r="FZ84" vm="15736">
        <f ca="1"/>
        <v>64.569999999999993</v>
      </c>
      <c r="GA84" vm="10272">
        <f ca="1"/>
        <v>66.34</v>
      </c>
      <c r="GB84" vm="116">
        <f ca="1"/>
        <v>67.239999999999995</v>
      </c>
      <c r="GC84" vm="15737">
        <f ca="1"/>
        <v>66.849999999999994</v>
      </c>
      <c r="GD84" vm="15738">
        <f ca="1"/>
        <v>68.5</v>
      </c>
      <c r="GE84" vm="9769">
        <f ca="1"/>
        <v>69.760000000000005</v>
      </c>
      <c r="GF84" vm="15739">
        <f ca="1"/>
        <v>69.75</v>
      </c>
      <c r="GG84" vm="2793">
        <f ca="1"/>
        <v>70.48</v>
      </c>
      <c r="GH84" vm="10161">
        <f ca="1"/>
        <v>69.02</v>
      </c>
      <c r="GI84" vm="15740">
        <f ca="1"/>
        <v>68.66</v>
      </c>
      <c r="GJ84" vm="15741">
        <f ca="1"/>
        <v>68.790000000000006</v>
      </c>
      <c r="GK84" vm="806">
        <f ca="1"/>
        <v>72.36</v>
      </c>
      <c r="GL84" vm="10187">
        <f ca="1"/>
        <v>74.33</v>
      </c>
      <c r="GM84" vm="3151">
        <f ca="1"/>
        <v>74.23</v>
      </c>
      <c r="GN84" vm="15264">
        <f ca="1"/>
        <v>72.319999999999993</v>
      </c>
      <c r="GO84" vm="15670">
        <f ca="1"/>
        <v>73.13</v>
      </c>
      <c r="GP84" vm="10189">
        <f ca="1"/>
        <v>74.680000000000007</v>
      </c>
      <c r="GQ84" vm="1828">
        <f ca="1"/>
        <v>75.72</v>
      </c>
      <c r="GR84" vm="15742">
        <f ca="1"/>
        <v>76.400000000000006</v>
      </c>
      <c r="GS84" vm="14567">
        <f ca="1"/>
        <v>77.13</v>
      </c>
      <c r="GT84" vm="6064">
        <f ca="1"/>
        <v>77.099999999999994</v>
      </c>
      <c r="GU84" vm="7186">
        <f ca="1"/>
        <v>77.08</v>
      </c>
      <c r="GV84" vm="5921">
        <f ca="1"/>
        <v>78.61</v>
      </c>
      <c r="GW84" vm="15743">
        <f ca="1"/>
        <v>76.97</v>
      </c>
      <c r="GX84" vm="10146">
        <f ca="1"/>
        <v>79.150000000000006</v>
      </c>
      <c r="GY84" vm="15744">
        <f ca="1"/>
        <v>75.61</v>
      </c>
      <c r="GZ84" vm="15745">
        <f ca="1"/>
        <v>75.78</v>
      </c>
      <c r="HA84" vm="430">
        <f ca="1"/>
        <v>79.37</v>
      </c>
      <c r="HB84" vm="434">
        <f ca="1"/>
        <v>78.45</v>
      </c>
      <c r="HC84" vm="5913">
        <f ca="1"/>
        <v>81.47</v>
      </c>
      <c r="HD84" vm="15746">
        <f ca="1"/>
        <v>84.44</v>
      </c>
      <c r="HE84" vm="7193">
        <f ca="1"/>
        <v>78.73</v>
      </c>
      <c r="HF84" vm="15747">
        <f ca="1"/>
        <v>80.36</v>
      </c>
      <c r="HG84" vm="794">
        <f ca="1"/>
        <v>72.790000000000006</v>
      </c>
      <c r="HH84" vm="15592">
        <f ca="1"/>
        <v>72.95</v>
      </c>
      <c r="HI84" vm="15748">
        <f ca="1"/>
        <v>73.790000000000006</v>
      </c>
      <c r="HJ84" vm="15749">
        <f ca="1"/>
        <v>72.8</v>
      </c>
      <c r="HK84" vm="3089">
        <f ca="1"/>
        <v>69.91</v>
      </c>
      <c r="HL84" vm="8878">
        <f ca="1"/>
        <v>71.02</v>
      </c>
      <c r="HM84" vm="2231">
        <f ca="1"/>
        <v>71.069999999999993</v>
      </c>
      <c r="HN84" vm="15750">
        <f ca="1"/>
        <v>72.900000000000006</v>
      </c>
      <c r="HO84" vm="15751">
        <f ca="1"/>
        <v>72.06</v>
      </c>
      <c r="HP84" vm="9752">
        <f ca="1"/>
        <v>71.3</v>
      </c>
      <c r="HQ84" vm="2794">
        <f ca="1"/>
        <v>68.28</v>
      </c>
      <c r="HR84" vm="3093">
        <f ca="1"/>
        <v>70.67</v>
      </c>
      <c r="HS84" vm="15302">
        <f ca="1"/>
        <v>70.760000000000005</v>
      </c>
      <c r="HT84" vm="910">
        <f ca="1"/>
        <v>72.55</v>
      </c>
      <c r="HU84" vm="15752">
        <f ca="1"/>
        <v>75.98</v>
      </c>
      <c r="HV84" vm="6058">
        <f ca="1"/>
        <v>76.709999999999994</v>
      </c>
      <c r="HW84" vm="7207">
        <f ca="1"/>
        <v>79.25</v>
      </c>
      <c r="HX84" vm="15753">
        <f ca="1"/>
        <v>77.05</v>
      </c>
      <c r="HY84" vm="15754">
        <f ca="1"/>
        <v>76.16</v>
      </c>
      <c r="HZ84" vm="15755">
        <f ca="1"/>
        <v>74.95</v>
      </c>
      <c r="IA84" vm="15756">
        <f ca="1"/>
        <v>75.63</v>
      </c>
      <c r="IB84" vm="1915">
        <f ca="1"/>
        <v>76.39</v>
      </c>
      <c r="IC84" vm="1916">
        <f ca="1"/>
        <v>72.97</v>
      </c>
      <c r="ID84" vm="793">
        <f ca="1"/>
        <v>73.650000000000006</v>
      </c>
      <c r="IE84" vm="1917">
        <f ca="1"/>
        <v>77.959999999999994</v>
      </c>
      <c r="IF84" vm="1918">
        <f ca="1"/>
        <v>77.8</v>
      </c>
      <c r="IG84" vm="1919">
        <f ca="1"/>
        <v>81.55</v>
      </c>
      <c r="IH84" vm="1920">
        <f ca="1"/>
        <v>83.23</v>
      </c>
      <c r="II84" vm="1921">
        <f ca="1"/>
        <v>82.82</v>
      </c>
      <c r="IJ84" vm="1922">
        <f ca="1"/>
        <v>81.61</v>
      </c>
      <c r="IK84" vm="1923">
        <f ca="1"/>
        <v>81.06</v>
      </c>
      <c r="IL84" vm="1924">
        <f ca="1"/>
        <v>81.39</v>
      </c>
      <c r="IM84" vm="1925">
        <f ca="1"/>
        <v>81.03</v>
      </c>
      <c r="IN84" vm="1926">
        <f ca="1"/>
        <v>79.16</v>
      </c>
      <c r="IO84" vm="1927">
        <f ca="1"/>
        <v>81.94</v>
      </c>
      <c r="IP84" vm="1928">
        <f ca="1"/>
        <v>83.32</v>
      </c>
      <c r="IQ84" vm="1929">
        <f ca="1"/>
        <v>86.26</v>
      </c>
      <c r="IR84" vm="1930">
        <f ca="1"/>
        <v>85.66</v>
      </c>
      <c r="IS84" vm="1931">
        <f ca="1"/>
        <v>84.85</v>
      </c>
      <c r="IT84" vm="1932">
        <f ca="1"/>
        <v>84.83</v>
      </c>
      <c r="IU84" vm="1933">
        <f ca="1"/>
        <v>85.83</v>
      </c>
      <c r="IV84" vm="1934">
        <f ca="1"/>
        <v>85.67</v>
      </c>
      <c r="IW84" vm="145">
        <f ca="1"/>
        <v>87.79</v>
      </c>
    </row>
    <row r="85" spans="1:257" ht="16" x14ac:dyDescent="0.2">
      <c r="A85" s="13" t="e" vm="1935">
        <v>#VALUE!</v>
      </c>
      <c r="B85" s="23" t="str" cm="1">
        <f t="array" aca="1" ref="B85" ca="1">_FV(A85,"ticker symbol",TRUE)</f>
        <v>SIL</v>
      </c>
      <c r="C85" s="23" t="str" cm="1">
        <f t="array" aca="1" ref="C85" ca="1">_FV(A85,"Name")</f>
        <v>Glbl X Silver Miners ETF</v>
      </c>
      <c r="D85" cm="1" vm="9098">
        <f t="array" aca="1" ref="D85:IW85" ca="1">TRANSPOSE(_xlfn.STOCKHISTORY(B85, WORKDAY(TODAY(), -265), TODAY(), 0, 0, 1))</f>
        <v>35.659999999999997</v>
      </c>
      <c r="E85" s="23" vm="15757">
        <f ca="1"/>
        <v>35.39</v>
      </c>
      <c r="F85" s="23" vm="9083">
        <f ca="1"/>
        <v>33.479999999999997</v>
      </c>
      <c r="G85" s="23" vm="2379">
        <f ca="1"/>
        <v>33.26</v>
      </c>
      <c r="H85" s="23" vm="9088">
        <f ca="1"/>
        <v>33.299999999999997</v>
      </c>
      <c r="I85" s="23" vm="9076">
        <f ca="1"/>
        <v>33.700000000000003</v>
      </c>
      <c r="J85" s="23" vm="15758">
        <f ca="1"/>
        <v>33.85</v>
      </c>
      <c r="K85" s="23" vm="9090">
        <f ca="1"/>
        <v>34.11</v>
      </c>
      <c r="L85" s="23" vm="2708">
        <f ca="1"/>
        <v>33.159999999999997</v>
      </c>
      <c r="M85" s="23" vm="15759">
        <f ca="1"/>
        <v>31.61</v>
      </c>
      <c r="N85" s="23" vm="15760">
        <f ca="1"/>
        <v>31.77</v>
      </c>
      <c r="O85" s="23" vm="8960">
        <f ca="1"/>
        <v>33.119999999999997</v>
      </c>
      <c r="P85" s="23" vm="2707">
        <f ca="1"/>
        <v>32.770000000000003</v>
      </c>
      <c r="Q85" s="23" vm="15761">
        <f ca="1"/>
        <v>32.58</v>
      </c>
      <c r="R85" s="23" vm="15762">
        <f ca="1"/>
        <v>32.909999999999997</v>
      </c>
      <c r="S85" s="23" vm="9072">
        <f ca="1"/>
        <v>33.22</v>
      </c>
      <c r="T85" s="23" vm="15763">
        <f ca="1"/>
        <v>32.81</v>
      </c>
      <c r="U85" s="23" vm="15764">
        <f ca="1"/>
        <v>31.91</v>
      </c>
      <c r="V85" s="23" vm="2369">
        <f ca="1"/>
        <v>32.840000000000003</v>
      </c>
      <c r="W85" s="23" vm="2708">
        <f ca="1"/>
        <v>33.159999999999997</v>
      </c>
      <c r="X85" s="23" vm="8982">
        <f ca="1"/>
        <v>33.01</v>
      </c>
      <c r="Y85" s="23" vm="8982">
        <f ca="1"/>
        <v>33.01</v>
      </c>
      <c r="Z85" s="23" vm="15765">
        <f ca="1"/>
        <v>33.520000000000003</v>
      </c>
      <c r="AA85" s="23" vm="9072">
        <f ca="1"/>
        <v>33.22</v>
      </c>
      <c r="AB85" s="23" vm="15766">
        <f ca="1"/>
        <v>33.090000000000003</v>
      </c>
      <c r="AC85" s="23" vm="15767">
        <f ca="1"/>
        <v>33.79</v>
      </c>
      <c r="AD85" vm="14011">
        <f ca="1"/>
        <v>32.78</v>
      </c>
      <c r="AE85" vm="2376">
        <f ca="1"/>
        <v>33.15</v>
      </c>
      <c r="AF85" vm="15768">
        <f ca="1"/>
        <v>33.68</v>
      </c>
      <c r="AG85" vm="15769">
        <f ca="1"/>
        <v>35.270000000000003</v>
      </c>
      <c r="AH85" vm="15770">
        <f ca="1"/>
        <v>34.590000000000003</v>
      </c>
      <c r="AI85" vm="826">
        <f ca="1"/>
        <v>35</v>
      </c>
      <c r="AJ85" vm="15771">
        <f ca="1"/>
        <v>35.700000000000003</v>
      </c>
      <c r="AK85" vm="15772">
        <f ca="1"/>
        <v>36.51</v>
      </c>
      <c r="AL85" vm="15773">
        <f ca="1"/>
        <v>36.450000000000003</v>
      </c>
      <c r="AM85" vm="15774">
        <f ca="1"/>
        <v>36.06</v>
      </c>
      <c r="AN85" vm="15775">
        <f ca="1"/>
        <v>36.69</v>
      </c>
      <c r="AO85" vm="15776">
        <f ca="1"/>
        <v>36.18</v>
      </c>
      <c r="AP85" vm="15777">
        <f ca="1"/>
        <v>37.159999999999997</v>
      </c>
      <c r="AQ85" vm="1024">
        <f ca="1"/>
        <v>37.32</v>
      </c>
      <c r="AR85" vm="15707">
        <f ca="1"/>
        <v>36.32</v>
      </c>
      <c r="AS85" vm="15773">
        <f ca="1"/>
        <v>36.450000000000003</v>
      </c>
      <c r="AT85" vm="9170">
        <f ca="1"/>
        <v>36.54</v>
      </c>
      <c r="AU85" vm="15778">
        <f ca="1"/>
        <v>37.090000000000003</v>
      </c>
      <c r="AV85" vm="15779">
        <f ca="1"/>
        <v>35.479999999999997</v>
      </c>
      <c r="AW85" vm="15780">
        <f ca="1"/>
        <v>35.630000000000003</v>
      </c>
      <c r="AX85" vm="15781">
        <f ca="1"/>
        <v>35.130000000000003</v>
      </c>
      <c r="AY85" vm="15782">
        <f ca="1"/>
        <v>35.909999999999997</v>
      </c>
      <c r="AZ85" vm="15783">
        <f ca="1"/>
        <v>34.57</v>
      </c>
      <c r="BA85" vm="9179">
        <f ca="1"/>
        <v>34.729999999999997</v>
      </c>
      <c r="BB85" vm="8980">
        <f ca="1"/>
        <v>34.53</v>
      </c>
      <c r="BC85" vm="15784">
        <f ca="1"/>
        <v>34.9</v>
      </c>
      <c r="BD85" vm="15785">
        <f ca="1"/>
        <v>36.43</v>
      </c>
      <c r="BE85" vm="824">
        <f ca="1"/>
        <v>36.14</v>
      </c>
      <c r="BF85" vm="1562">
        <f ca="1"/>
        <v>36.409999999999997</v>
      </c>
      <c r="BG85" vm="15786">
        <f ca="1"/>
        <v>35.49</v>
      </c>
      <c r="BH85" vm="15787">
        <f ca="1"/>
        <v>37.119999999999997</v>
      </c>
      <c r="BI85" vm="15788">
        <f ca="1"/>
        <v>38.75</v>
      </c>
      <c r="BJ85" vm="15789">
        <f ca="1"/>
        <v>39.22</v>
      </c>
      <c r="BK85" vm="12740">
        <f ca="1"/>
        <v>39.619999999999997</v>
      </c>
      <c r="BL85" vm="6958">
        <f ca="1"/>
        <v>40.68</v>
      </c>
      <c r="BM85" vm="549">
        <f ca="1"/>
        <v>40.51</v>
      </c>
      <c r="BN85" vm="9152">
        <f ca="1"/>
        <v>40.31</v>
      </c>
      <c r="BO85" vm="12792">
        <f ca="1"/>
        <v>40.119999999999997</v>
      </c>
      <c r="BP85" vm="15790">
        <f ca="1"/>
        <v>39.51</v>
      </c>
      <c r="BQ85" vm="12744">
        <f ca="1"/>
        <v>39.56</v>
      </c>
      <c r="BR85" vm="12739">
        <f ca="1"/>
        <v>39.99</v>
      </c>
      <c r="BS85" vm="2621">
        <f ca="1"/>
        <v>39.53</v>
      </c>
      <c r="BT85" vm="12736">
        <f ca="1"/>
        <v>40.44</v>
      </c>
      <c r="BU85" vm="2623">
        <f ca="1"/>
        <v>39.49</v>
      </c>
      <c r="BV85" vm="12789">
        <f ca="1"/>
        <v>39.450000000000003</v>
      </c>
      <c r="BW85" vm="12781">
        <f ca="1"/>
        <v>39.119999999999997</v>
      </c>
      <c r="BX85" vm="15791">
        <f ca="1"/>
        <v>39.270000000000003</v>
      </c>
      <c r="BY85" vm="71">
        <f ca="1"/>
        <v>38.6</v>
      </c>
      <c r="BZ85" vm="9179">
        <f ca="1"/>
        <v>34.729999999999997</v>
      </c>
      <c r="CA85" vm="15792">
        <f ca="1"/>
        <v>34.5</v>
      </c>
      <c r="CB85" vm="9077">
        <f ca="1"/>
        <v>33.97</v>
      </c>
      <c r="CC85" vm="15793">
        <f ca="1"/>
        <v>36.979999999999997</v>
      </c>
      <c r="CD85" vm="15794">
        <f ca="1"/>
        <v>38.14</v>
      </c>
      <c r="CE85" vm="9193">
        <f ca="1"/>
        <v>40.22</v>
      </c>
      <c r="CF85" vm="6944">
        <f ca="1"/>
        <v>41.01</v>
      </c>
      <c r="CG85" vm="6966">
        <f ca="1"/>
        <v>41.27</v>
      </c>
      <c r="CH85" vm="9149">
        <f ca="1"/>
        <v>42.17</v>
      </c>
      <c r="CI85" vm="6877">
        <f ca="1"/>
        <v>41.55</v>
      </c>
      <c r="CJ85" vm="6941">
        <f ca="1"/>
        <v>41.72</v>
      </c>
      <c r="CK85" vm="9191">
        <f ca="1"/>
        <v>40.71</v>
      </c>
      <c r="CL85" vm="10023">
        <f ca="1"/>
        <v>40.24</v>
      </c>
      <c r="CM85" vm="15713">
        <f ca="1"/>
        <v>40.86</v>
      </c>
      <c r="CN85" vm="9152">
        <f ca="1"/>
        <v>40.31</v>
      </c>
      <c r="CO85" vm="6864">
        <f ca="1"/>
        <v>40.67</v>
      </c>
      <c r="CP85" vm="6872">
        <f ca="1"/>
        <v>40.19</v>
      </c>
      <c r="CQ85" vm="562">
        <f ca="1"/>
        <v>40.75</v>
      </c>
      <c r="CR85" vm="2618">
        <f ca="1"/>
        <v>39.35</v>
      </c>
      <c r="CS85" vm="9126">
        <f ca="1"/>
        <v>39</v>
      </c>
      <c r="CT85" vm="12748">
        <f ca="1"/>
        <v>39.75</v>
      </c>
      <c r="CU85" vm="6880">
        <f ca="1"/>
        <v>41.51</v>
      </c>
      <c r="CV85" vm="565">
        <f ca="1"/>
        <v>40.729999999999997</v>
      </c>
      <c r="CW85" vm="13788">
        <f ca="1"/>
        <v>40.69</v>
      </c>
      <c r="CX85" vm="12800">
        <f ca="1"/>
        <v>42.57</v>
      </c>
      <c r="CY85" vm="6907">
        <f ca="1"/>
        <v>39.78</v>
      </c>
      <c r="CZ85" vm="15795">
        <f ca="1"/>
        <v>39.909999999999997</v>
      </c>
      <c r="DA85" vm="6902">
        <f ca="1"/>
        <v>38.96</v>
      </c>
      <c r="DB85" vm="12783">
        <f ca="1"/>
        <v>39.58</v>
      </c>
      <c r="DC85" vm="15796">
        <f ca="1"/>
        <v>39.43</v>
      </c>
      <c r="DD85" vm="15712">
        <f ca="1"/>
        <v>40.03</v>
      </c>
      <c r="DE85" vm="6876">
        <f ca="1"/>
        <v>41.43</v>
      </c>
      <c r="DF85" vm="9197">
        <f ca="1"/>
        <v>42.32</v>
      </c>
      <c r="DG85" vm="2679">
        <f ca="1"/>
        <v>41.92</v>
      </c>
      <c r="DH85" vm="6892">
        <f ca="1"/>
        <v>42.66</v>
      </c>
      <c r="DI85" vm="13807">
        <f ca="1"/>
        <v>42.62</v>
      </c>
      <c r="DJ85" vm="15797">
        <f ca="1"/>
        <v>42.97</v>
      </c>
      <c r="DK85" vm="2691">
        <f ca="1"/>
        <v>42.94</v>
      </c>
      <c r="DL85" vm="2682">
        <f ca="1"/>
        <v>43.15</v>
      </c>
      <c r="DM85" vm="9991">
        <f ca="1"/>
        <v>45.98</v>
      </c>
      <c r="DN85" vm="11469">
        <f ca="1"/>
        <v>46.32</v>
      </c>
      <c r="DO85" vm="14158">
        <f ca="1"/>
        <v>46.93</v>
      </c>
      <c r="DP85" vm="15798">
        <f ca="1"/>
        <v>48.85</v>
      </c>
      <c r="DQ85" vm="11042">
        <f ca="1"/>
        <v>48.36</v>
      </c>
      <c r="DR85" vm="12032">
        <f ca="1"/>
        <v>48.86</v>
      </c>
      <c r="DS85" vm="15799">
        <f ca="1"/>
        <v>47.86</v>
      </c>
      <c r="DT85" vm="12104">
        <f ca="1"/>
        <v>47.95</v>
      </c>
      <c r="DU85" vm="9995">
        <f ca="1"/>
        <v>48.48</v>
      </c>
      <c r="DV85" vm="1261">
        <f ca="1"/>
        <v>48.81</v>
      </c>
      <c r="DW85" vm="15800">
        <f ca="1"/>
        <v>48.69</v>
      </c>
      <c r="DX85" vm="1265">
        <f ca="1"/>
        <v>49.02</v>
      </c>
      <c r="DY85" vm="1129">
        <f ca="1"/>
        <v>48.51</v>
      </c>
      <c r="DZ85" vm="9992">
        <f ca="1"/>
        <v>47.57</v>
      </c>
      <c r="EA85" vm="14052">
        <f ca="1"/>
        <v>48.09</v>
      </c>
      <c r="EB85" vm="9237">
        <f ca="1"/>
        <v>47.2</v>
      </c>
      <c r="EC85" vm="10006">
        <f ca="1"/>
        <v>47.44</v>
      </c>
      <c r="ED85" vm="1129">
        <f ca="1"/>
        <v>48.51</v>
      </c>
      <c r="EE85" vm="11460">
        <f ca="1"/>
        <v>46.92</v>
      </c>
      <c r="EF85" vm="15801">
        <f ca="1"/>
        <v>48.14</v>
      </c>
      <c r="EG85" vm="1263">
        <f ca="1"/>
        <v>48.27</v>
      </c>
      <c r="EH85" vm="3117">
        <f ca="1"/>
        <v>48.71</v>
      </c>
      <c r="EI85" vm="1984">
        <f ca="1"/>
        <v>49.09</v>
      </c>
      <c r="EJ85" vm="1139">
        <f ca="1"/>
        <v>49.9</v>
      </c>
      <c r="EK85" vm="6237">
        <f ca="1"/>
        <v>47.66</v>
      </c>
      <c r="EL85" vm="10049">
        <f ca="1"/>
        <v>48.26</v>
      </c>
      <c r="EM85" vm="832">
        <f ca="1"/>
        <v>49.11</v>
      </c>
      <c r="EN85" vm="838">
        <f ca="1"/>
        <v>50.84</v>
      </c>
      <c r="EO85" vm="6243">
        <f ca="1"/>
        <v>50.41</v>
      </c>
      <c r="EP85" vm="14179">
        <f ca="1"/>
        <v>49.69</v>
      </c>
      <c r="EQ85" vm="1985">
        <f ca="1"/>
        <v>49.16</v>
      </c>
      <c r="ER85" vm="829">
        <f ca="1"/>
        <v>48.79</v>
      </c>
      <c r="ES85" vm="9239">
        <f ca="1"/>
        <v>48.19</v>
      </c>
      <c r="ET85" vm="11844">
        <f ca="1"/>
        <v>50.04</v>
      </c>
      <c r="EU85" vm="11335">
        <f ca="1"/>
        <v>51.33</v>
      </c>
      <c r="EV85" vm="6302">
        <f ca="1"/>
        <v>51</v>
      </c>
      <c r="EW85" vm="837">
        <f ca="1"/>
        <v>50.44</v>
      </c>
      <c r="EX85" vm="6298">
        <f ca="1"/>
        <v>50.05</v>
      </c>
      <c r="EY85" vm="15722">
        <f ca="1"/>
        <v>49.01</v>
      </c>
      <c r="EZ85" vm="11830">
        <f ca="1"/>
        <v>49.26</v>
      </c>
      <c r="FA85" vm="11316">
        <f ca="1"/>
        <v>47.94</v>
      </c>
      <c r="FB85" vm="9238">
        <f ca="1"/>
        <v>47.34</v>
      </c>
      <c r="FC85" vm="11547">
        <f ca="1"/>
        <v>47.58</v>
      </c>
      <c r="FD85" vm="14176">
        <f ca="1"/>
        <v>49.33</v>
      </c>
      <c r="FE85" vm="6245">
        <f ca="1"/>
        <v>50.85</v>
      </c>
      <c r="FF85" vm="6309">
        <f ca="1"/>
        <v>51.79</v>
      </c>
      <c r="FG85" vm="3339">
        <f ca="1"/>
        <v>53.83</v>
      </c>
      <c r="FH85" vm="11884">
        <f ca="1"/>
        <v>54.43</v>
      </c>
      <c r="FI85" vm="3339">
        <f ca="1"/>
        <v>53.83</v>
      </c>
      <c r="FJ85" vm="15802">
        <f ca="1"/>
        <v>54.57</v>
      </c>
      <c r="FK85" vm="15803">
        <f ca="1"/>
        <v>54.26</v>
      </c>
      <c r="FL85" vm="150">
        <f ca="1"/>
        <v>53.8</v>
      </c>
      <c r="FM85" vm="2927">
        <f ca="1"/>
        <v>54.01</v>
      </c>
      <c r="FN85" vm="3327">
        <f ca="1"/>
        <v>53.86</v>
      </c>
      <c r="FO85" vm="11307">
        <f ca="1"/>
        <v>52</v>
      </c>
      <c r="FP85" vm="2771">
        <f ca="1"/>
        <v>53.02</v>
      </c>
      <c r="FQ85" vm="11051">
        <f ca="1"/>
        <v>53.92</v>
      </c>
      <c r="FR85" vm="15804">
        <f ca="1"/>
        <v>55.33</v>
      </c>
      <c r="FS85" vm="15805">
        <f ca="1"/>
        <v>54.98</v>
      </c>
      <c r="FT85" vm="1228">
        <f ca="1"/>
        <v>55.71</v>
      </c>
      <c r="FU85" vm="1580">
        <f ca="1"/>
        <v>55.95</v>
      </c>
      <c r="FV85" vm="14043">
        <f ca="1"/>
        <v>56.35</v>
      </c>
      <c r="FW85" vm="11093">
        <f ca="1"/>
        <v>58.1</v>
      </c>
      <c r="FX85" vm="1600">
        <f ca="1"/>
        <v>59.79</v>
      </c>
      <c r="FY85" vm="120">
        <f ca="1"/>
        <v>60.94</v>
      </c>
      <c r="FZ85" vm="1588">
        <f ca="1"/>
        <v>60.27</v>
      </c>
      <c r="GA85" vm="9641">
        <f ca="1"/>
        <v>61.49</v>
      </c>
      <c r="GB85" vm="14124">
        <f ca="1"/>
        <v>62.89</v>
      </c>
      <c r="GC85" vm="1481">
        <f ca="1"/>
        <v>62.16</v>
      </c>
      <c r="GD85" vm="11431">
        <f ca="1"/>
        <v>63.76</v>
      </c>
      <c r="GE85" vm="2489">
        <f ca="1"/>
        <v>65.400000000000006</v>
      </c>
      <c r="GF85" vm="11423">
        <f ca="1"/>
        <v>65.849999999999994</v>
      </c>
      <c r="GG85" vm="10256">
        <f ca="1"/>
        <v>67.38</v>
      </c>
      <c r="GH85" vm="14135">
        <f ca="1"/>
        <v>65.34</v>
      </c>
      <c r="GI85" vm="11446">
        <f ca="1"/>
        <v>64.37</v>
      </c>
      <c r="GJ85" vm="2741">
        <f ca="1"/>
        <v>64.099999999999994</v>
      </c>
      <c r="GK85" vm="13832">
        <f ca="1"/>
        <v>66.52</v>
      </c>
      <c r="GL85" vm="13851">
        <f ca="1"/>
        <v>68.87</v>
      </c>
      <c r="GM85" vm="9770">
        <f ca="1"/>
        <v>68.58</v>
      </c>
      <c r="GN85" vm="8737">
        <f ca="1"/>
        <v>67.209999999999994</v>
      </c>
      <c r="GO85" vm="9739">
        <f ca="1"/>
        <v>68.25</v>
      </c>
      <c r="GP85" vm="9755">
        <f ca="1"/>
        <v>70</v>
      </c>
      <c r="GQ85" vm="15579">
        <f ca="1"/>
        <v>71.010000000000005</v>
      </c>
      <c r="GR85" vm="15806">
        <f ca="1"/>
        <v>71.63</v>
      </c>
      <c r="GS85" vm="15807">
        <f ca="1"/>
        <v>71.89</v>
      </c>
      <c r="GT85" vm="15808">
        <f ca="1"/>
        <v>71.25</v>
      </c>
      <c r="GU85" vm="9751">
        <f ca="1"/>
        <v>70.95</v>
      </c>
      <c r="GV85" vm="9747">
        <f ca="1"/>
        <v>72.31</v>
      </c>
      <c r="GW85" vm="15809">
        <f ca="1"/>
        <v>71.08</v>
      </c>
      <c r="GX85" vm="15810">
        <f ca="1"/>
        <v>73.95</v>
      </c>
      <c r="GY85" vm="15811">
        <f ca="1"/>
        <v>70.89</v>
      </c>
      <c r="GZ85" vm="15260">
        <f ca="1"/>
        <v>70.8</v>
      </c>
      <c r="HA85" vm="8795">
        <f ca="1"/>
        <v>75.19</v>
      </c>
      <c r="HB85" vm="15583">
        <f ca="1"/>
        <v>75.14</v>
      </c>
      <c r="HC85" vm="6045">
        <f ca="1"/>
        <v>78.099999999999994</v>
      </c>
      <c r="HD85" vm="1875">
        <f ca="1"/>
        <v>79.849999999999994</v>
      </c>
      <c r="HE85" vm="15812">
        <f ca="1"/>
        <v>73.72</v>
      </c>
      <c r="HF85" vm="7230">
        <f ca="1"/>
        <v>75.400000000000006</v>
      </c>
      <c r="HG85" vm="8737">
        <f ca="1"/>
        <v>67.209999999999994</v>
      </c>
      <c r="HH85" vm="15813">
        <f ca="1"/>
        <v>67.959999999999994</v>
      </c>
      <c r="HI85" vm="15814">
        <f ca="1"/>
        <v>68.099999999999994</v>
      </c>
      <c r="HJ85" vm="8734">
        <f ca="1"/>
        <v>67.63</v>
      </c>
      <c r="HK85" vm="8740">
        <f ca="1"/>
        <v>65.22</v>
      </c>
      <c r="HL85" vm="8727">
        <f ca="1"/>
        <v>66.33</v>
      </c>
      <c r="HM85" vm="11410">
        <f ca="1"/>
        <v>66.47</v>
      </c>
      <c r="HN85" vm="2946">
        <f ca="1"/>
        <v>67.510000000000005</v>
      </c>
      <c r="HO85" vm="10317">
        <f ca="1"/>
        <v>66.56</v>
      </c>
      <c r="HP85" vm="1167">
        <f ca="1"/>
        <v>65.16</v>
      </c>
      <c r="HQ85" vm="9719">
        <f ca="1"/>
        <v>62.2</v>
      </c>
      <c r="HR85" vm="1594">
        <f ca="1"/>
        <v>62.48</v>
      </c>
      <c r="HS85" vm="13398">
        <f ca="1"/>
        <v>63.11</v>
      </c>
      <c r="HT85" vm="2350">
        <f ca="1"/>
        <v>64.819999999999993</v>
      </c>
      <c r="HU85" vm="9737">
        <f ca="1"/>
        <v>67.72</v>
      </c>
      <c r="HV85" vm="13202">
        <f ca="1"/>
        <v>67.849999999999994</v>
      </c>
      <c r="HW85" vm="15815">
        <f ca="1"/>
        <v>70.430000000000007</v>
      </c>
      <c r="HX85" vm="15816">
        <f ca="1"/>
        <v>69.28</v>
      </c>
      <c r="HY85" vm="15817">
        <f ca="1"/>
        <v>68.3</v>
      </c>
      <c r="HZ85" vm="8739">
        <f ca="1"/>
        <v>66.69</v>
      </c>
      <c r="IA85" vm="116">
        <f ca="1"/>
        <v>67.239999999999995</v>
      </c>
      <c r="IB85" vm="1936">
        <f ca="1"/>
        <v>68.42</v>
      </c>
      <c r="IC85" vm="1937">
        <f ca="1"/>
        <v>64.73</v>
      </c>
      <c r="ID85" vm="1938">
        <f ca="1"/>
        <v>65</v>
      </c>
      <c r="IE85" vm="1939">
        <f ca="1"/>
        <v>68.650000000000006</v>
      </c>
      <c r="IF85" vm="1940">
        <f ca="1"/>
        <v>69.36</v>
      </c>
      <c r="IG85" vm="1941">
        <f ca="1"/>
        <v>73.400000000000006</v>
      </c>
      <c r="IH85" vm="1942">
        <f ca="1"/>
        <v>77.66</v>
      </c>
      <c r="II85" vm="1943">
        <f ca="1"/>
        <v>78.069999999999993</v>
      </c>
      <c r="IJ85" vm="1944">
        <f ca="1"/>
        <v>77.11</v>
      </c>
      <c r="IK85" vm="1945">
        <f ca="1"/>
        <v>76.459999999999994</v>
      </c>
      <c r="IL85" vm="1547">
        <f ca="1"/>
        <v>76.2</v>
      </c>
      <c r="IM85" vm="1946">
        <f ca="1"/>
        <v>76.069999999999993</v>
      </c>
      <c r="IN85" vm="1947">
        <f ca="1"/>
        <v>74.739999999999995</v>
      </c>
      <c r="IO85" vm="1948">
        <f ca="1"/>
        <v>78.47</v>
      </c>
      <c r="IP85" vm="1949">
        <f ca="1"/>
        <v>79.760000000000005</v>
      </c>
      <c r="IQ85" vm="1890">
        <f ca="1"/>
        <v>83.37</v>
      </c>
      <c r="IR85" vm="1950">
        <f ca="1"/>
        <v>82.48</v>
      </c>
      <c r="IS85" vm="1951">
        <f ca="1"/>
        <v>82.24</v>
      </c>
      <c r="IT85" vm="1952">
        <f ca="1"/>
        <v>81.790000000000006</v>
      </c>
      <c r="IU85" vm="1953">
        <f ca="1"/>
        <v>82.6</v>
      </c>
      <c r="IV85" vm="1954">
        <f ca="1"/>
        <v>81.96</v>
      </c>
      <c r="IW85" vm="147">
        <f ca="1"/>
        <v>84.73</v>
      </c>
    </row>
    <row r="86" spans="1:257" ht="16" x14ac:dyDescent="0.2">
      <c r="A86" s="13" t="e" vm="1955">
        <v>#VALUE!</v>
      </c>
      <c r="B86" s="23" t="str" cm="1">
        <f t="array" aca="1" ref="B86" ca="1">_FV(A86,"ticker symbol",TRUE)</f>
        <v>SLX</v>
      </c>
      <c r="C86" s="23" t="str" cm="1">
        <f t="array" aca="1" ref="C86" ca="1">_FV(A86,"Name")</f>
        <v>VanEck:Steel</v>
      </c>
      <c r="D86" cm="1" vm="8718">
        <f t="array" aca="1" ref="D86:IW86" ca="1">TRANSPOSE(_xlfn.STOCKHISTORY(B86, WORKDAY(TODAY(), -265), TODAY(), 0, 0, 1))</f>
        <v>64.42</v>
      </c>
      <c r="E86" s="23" vm="1150">
        <f ca="1"/>
        <v>63.78</v>
      </c>
      <c r="F86" s="23" vm="8700">
        <f ca="1"/>
        <v>61.42</v>
      </c>
      <c r="G86" s="23" vm="1659">
        <f ca="1"/>
        <v>60.66</v>
      </c>
      <c r="H86" s="23" vm="15818">
        <f ca="1"/>
        <v>60.89</v>
      </c>
      <c r="I86" s="23" vm="15819">
        <f ca="1"/>
        <v>58.713900000000002</v>
      </c>
      <c r="J86" s="23" vm="15820">
        <f ca="1"/>
        <v>59.116399999999999</v>
      </c>
      <c r="K86" s="23" vm="15821">
        <f ca="1"/>
        <v>59.002899999999997</v>
      </c>
      <c r="L86" s="23" vm="11893">
        <f ca="1"/>
        <v>58.28</v>
      </c>
      <c r="M86" s="23" vm="11901">
        <f ca="1"/>
        <v>57.96</v>
      </c>
      <c r="N86" s="23" vm="13388">
        <f ca="1"/>
        <v>58.46</v>
      </c>
      <c r="O86" s="23" vm="14040">
        <f ca="1"/>
        <v>58.12</v>
      </c>
      <c r="P86" s="23" vm="15822">
        <f ca="1"/>
        <v>57.798900000000003</v>
      </c>
      <c r="Q86" s="23" vm="15823">
        <f ca="1"/>
        <v>58.77</v>
      </c>
      <c r="R86" s="23" vm="3018">
        <f ca="1"/>
        <v>58.62</v>
      </c>
      <c r="S86" s="23" vm="8678">
        <f ca="1"/>
        <v>57.93</v>
      </c>
      <c r="T86" s="23" vm="8680">
        <f ca="1"/>
        <v>57.59</v>
      </c>
      <c r="U86" s="23" vm="14041">
        <f ca="1"/>
        <v>59.05</v>
      </c>
      <c r="V86" s="23" vm="1096">
        <f ca="1"/>
        <v>59.6</v>
      </c>
      <c r="W86" s="23" vm="1658">
        <f ca="1"/>
        <v>60.54</v>
      </c>
      <c r="X86" s="23" vm="15824">
        <f ca="1"/>
        <v>60.37</v>
      </c>
      <c r="Y86" s="23" vm="13417">
        <f ca="1"/>
        <v>60.71</v>
      </c>
      <c r="Z86" s="23" vm="15825">
        <f ca="1"/>
        <v>61.47</v>
      </c>
      <c r="AA86" s="23" vm="11368">
        <f ca="1"/>
        <v>60.39</v>
      </c>
      <c r="AB86" s="23" vm="8705">
        <f ca="1"/>
        <v>60.91</v>
      </c>
      <c r="AC86" s="23" vm="8700">
        <f ca="1"/>
        <v>61.42</v>
      </c>
      <c r="AD86" vm="1660">
        <f ca="1"/>
        <v>61.01</v>
      </c>
      <c r="AE86" vm="1464">
        <f ca="1"/>
        <v>61.14</v>
      </c>
      <c r="AF86" vm="15826">
        <f ca="1"/>
        <v>61.564799999999998</v>
      </c>
      <c r="AG86" vm="15827">
        <f ca="1"/>
        <v>61.85</v>
      </c>
      <c r="AH86" vm="8705">
        <f ca="1"/>
        <v>60.91</v>
      </c>
      <c r="AI86" vm="8631">
        <f ca="1"/>
        <v>60.4</v>
      </c>
      <c r="AJ86" vm="15825">
        <f ca="1"/>
        <v>61.47</v>
      </c>
      <c r="AK86" vm="10097">
        <f ca="1"/>
        <v>61.86</v>
      </c>
      <c r="AL86" vm="15828">
        <f ca="1"/>
        <v>62.605499999999999</v>
      </c>
      <c r="AM86" vm="11371">
        <f ca="1"/>
        <v>61.34</v>
      </c>
      <c r="AN86" vm="15829">
        <f ca="1"/>
        <v>63.42</v>
      </c>
      <c r="AO86" vm="15830">
        <f ca="1"/>
        <v>62.906100000000002</v>
      </c>
      <c r="AP86" vm="13430">
        <f ca="1"/>
        <v>62.21</v>
      </c>
      <c r="AQ86" vm="2541">
        <f ca="1"/>
        <v>62.98</v>
      </c>
      <c r="AR86" vm="11397">
        <f ca="1"/>
        <v>63.32</v>
      </c>
      <c r="AS86" vm="15831">
        <f ca="1"/>
        <v>64.64</v>
      </c>
      <c r="AT86" vm="8713">
        <f ca="1"/>
        <v>63.98</v>
      </c>
      <c r="AU86" vm="2733">
        <f ca="1"/>
        <v>64.13</v>
      </c>
      <c r="AV86" vm="8656">
        <f ca="1"/>
        <v>62.82</v>
      </c>
      <c r="AW86" vm="15832">
        <f ca="1"/>
        <v>63.02</v>
      </c>
      <c r="AX86" vm="1465">
        <f ca="1"/>
        <v>62.7</v>
      </c>
      <c r="AY86" vm="8843">
        <f ca="1"/>
        <v>62.72</v>
      </c>
      <c r="AZ86" vm="1483">
        <f ca="1"/>
        <v>62.34</v>
      </c>
      <c r="BA86" vm="8627">
        <f ca="1"/>
        <v>62.24</v>
      </c>
      <c r="BB86" vm="13416">
        <f ca="1"/>
        <v>61.32</v>
      </c>
      <c r="BC86" vm="2355">
        <f ca="1"/>
        <v>60.61</v>
      </c>
      <c r="BD86" vm="8860">
        <f ca="1"/>
        <v>62.75</v>
      </c>
      <c r="BE86" vm="1465">
        <f ca="1"/>
        <v>62.7</v>
      </c>
      <c r="BF86" vm="15833">
        <f ca="1"/>
        <v>62.52</v>
      </c>
      <c r="BG86" vm="13410">
        <f ca="1"/>
        <v>60.47</v>
      </c>
      <c r="BH86" vm="8855">
        <f ca="1"/>
        <v>61.27</v>
      </c>
      <c r="BI86" vm="13421">
        <f ca="1"/>
        <v>61.21</v>
      </c>
      <c r="BJ86" vm="13426">
        <f ca="1"/>
        <v>61.43</v>
      </c>
      <c r="BK86" vm="13155">
        <f ca="1"/>
        <v>63.89</v>
      </c>
      <c r="BL86" vm="15834">
        <f ca="1"/>
        <v>64.010000000000005</v>
      </c>
      <c r="BM86" vm="11382">
        <f ca="1"/>
        <v>64.180000000000007</v>
      </c>
      <c r="BN86" vm="15734">
        <f ca="1"/>
        <v>64.8</v>
      </c>
      <c r="BO86" vm="15835">
        <f ca="1"/>
        <v>64.175299999999993</v>
      </c>
      <c r="BP86" vm="14124">
        <f ca="1"/>
        <v>62.89</v>
      </c>
      <c r="BQ86" vm="15836">
        <f ca="1"/>
        <v>63.762099999999997</v>
      </c>
      <c r="BR86" vm="15837">
        <f ca="1"/>
        <v>64.27</v>
      </c>
      <c r="BS86" vm="15838">
        <f ca="1"/>
        <v>63.99</v>
      </c>
      <c r="BT86" vm="9722">
        <f ca="1"/>
        <v>63.67</v>
      </c>
      <c r="BU86" vm="13420">
        <f ca="1"/>
        <v>61.87</v>
      </c>
      <c r="BV86" vm="8646">
        <f ca="1"/>
        <v>61.5</v>
      </c>
      <c r="BW86" vm="8667">
        <f ca="1"/>
        <v>61.53</v>
      </c>
      <c r="BX86" vm="11087">
        <f ca="1"/>
        <v>61.91</v>
      </c>
      <c r="BY86" vm="11903">
        <f ca="1"/>
        <v>57.58</v>
      </c>
      <c r="BZ86" vm="6340">
        <f ca="1"/>
        <v>54.25</v>
      </c>
      <c r="CA86" vm="14035">
        <f ca="1"/>
        <v>54.19</v>
      </c>
      <c r="CB86" vm="6330">
        <f ca="1"/>
        <v>52.5</v>
      </c>
      <c r="CC86" vm="11905">
        <f ca="1"/>
        <v>57.44</v>
      </c>
      <c r="CD86" vm="15839">
        <f ca="1"/>
        <v>55.204999999999998</v>
      </c>
      <c r="CE86" vm="15840">
        <f ca="1"/>
        <v>56.802500000000002</v>
      </c>
      <c r="CF86" vm="15841">
        <f ca="1"/>
        <v>56.87</v>
      </c>
      <c r="CG86" vm="11010">
        <f ca="1"/>
        <v>56.74</v>
      </c>
      <c r="CH86" vm="2948">
        <f ca="1"/>
        <v>56.36</v>
      </c>
      <c r="CI86" vm="15842">
        <f ca="1"/>
        <v>56.99</v>
      </c>
      <c r="CJ86" vm="15843">
        <f ca="1"/>
        <v>55.892000000000003</v>
      </c>
      <c r="CK86" vm="8679">
        <f ca="1"/>
        <v>57.56</v>
      </c>
      <c r="CL86" vm="10080">
        <f ca="1"/>
        <v>58.85</v>
      </c>
      <c r="CM86" vm="8676">
        <f ca="1"/>
        <v>60.45</v>
      </c>
      <c r="CN86" vm="1655">
        <f ca="1"/>
        <v>60.16</v>
      </c>
      <c r="CO86" vm="13442">
        <f ca="1"/>
        <v>60.6</v>
      </c>
      <c r="CP86" vm="14139">
        <f ca="1"/>
        <v>60.92</v>
      </c>
      <c r="CQ86" vm="15844">
        <f ca="1"/>
        <v>60.13</v>
      </c>
      <c r="CR86" vm="9710">
        <f ca="1"/>
        <v>60.55</v>
      </c>
      <c r="CS86" vm="2729">
        <f ca="1"/>
        <v>62.51</v>
      </c>
      <c r="CT86" vm="2728">
        <f ca="1"/>
        <v>61.8</v>
      </c>
      <c r="CU86" vm="15845">
        <f ca="1"/>
        <v>61.7089</v>
      </c>
      <c r="CV86" vm="13421">
        <f ca="1"/>
        <v>61.21</v>
      </c>
      <c r="CW86" vm="2357">
        <f ca="1"/>
        <v>61.35</v>
      </c>
      <c r="CX86" vm="13426">
        <f ca="1"/>
        <v>61.43</v>
      </c>
      <c r="CY86" vm="9659">
        <f ca="1"/>
        <v>63.13</v>
      </c>
      <c r="CZ86" vm="11387">
        <f ca="1"/>
        <v>63.79</v>
      </c>
      <c r="DA86" vm="8814">
        <f ca="1"/>
        <v>63.45</v>
      </c>
      <c r="DB86" vm="15846">
        <f ca="1"/>
        <v>63.2179</v>
      </c>
      <c r="DC86" vm="15847">
        <f ca="1"/>
        <v>63.494999999999997</v>
      </c>
      <c r="DD86" vm="2731">
        <f ca="1"/>
        <v>63.66</v>
      </c>
      <c r="DE86" vm="1604">
        <f ca="1"/>
        <v>63.41</v>
      </c>
      <c r="DF86" vm="13876">
        <f ca="1"/>
        <v>62.46</v>
      </c>
      <c r="DG86" vm="66">
        <f ca="1"/>
        <v>61.69</v>
      </c>
      <c r="DH86" vm="15848">
        <f ca="1"/>
        <v>62.182400000000001</v>
      </c>
      <c r="DI86" vm="14125">
        <f ca="1"/>
        <v>63.6</v>
      </c>
      <c r="DJ86" vm="13875">
        <f ca="1"/>
        <v>62.65</v>
      </c>
      <c r="DK86" vm="1480">
        <f ca="1"/>
        <v>62.68</v>
      </c>
      <c r="DL86" vm="15849">
        <f ca="1"/>
        <v>61.873899999999999</v>
      </c>
      <c r="DM86" vm="8815">
        <f ca="1"/>
        <v>63.75</v>
      </c>
      <c r="DN86" vm="11448">
        <f ca="1"/>
        <v>64.3</v>
      </c>
      <c r="DO86" vm="15850">
        <f ca="1"/>
        <v>64.398399999999995</v>
      </c>
      <c r="DP86" vm="15851">
        <f ca="1"/>
        <v>64.332899999999995</v>
      </c>
      <c r="DQ86" vm="11428">
        <f ca="1"/>
        <v>65.03</v>
      </c>
      <c r="DR86" vm="11451">
        <f ca="1"/>
        <v>65.75</v>
      </c>
      <c r="DS86" vm="15852">
        <f ca="1"/>
        <v>65.965699999999998</v>
      </c>
      <c r="DT86" vm="10274">
        <f ca="1"/>
        <v>64.959999999999994</v>
      </c>
      <c r="DU86" vm="15853">
        <f ca="1"/>
        <v>64.876400000000004</v>
      </c>
      <c r="DV86" vm="8854">
        <f ca="1"/>
        <v>64.45</v>
      </c>
      <c r="DW86" vm="15854">
        <f ca="1"/>
        <v>65.27</v>
      </c>
      <c r="DX86" vm="15855">
        <f ca="1"/>
        <v>64.963300000000004</v>
      </c>
      <c r="DY86" vm="1612">
        <f ca="1"/>
        <v>64.81</v>
      </c>
      <c r="DZ86" vm="11456">
        <f ca="1"/>
        <v>63.59</v>
      </c>
      <c r="EA86" vm="11448">
        <f ca="1"/>
        <v>64.3</v>
      </c>
      <c r="EB86" vm="15856">
        <f ca="1"/>
        <v>64.83</v>
      </c>
      <c r="EC86" vm="11380">
        <f ca="1"/>
        <v>64.22</v>
      </c>
      <c r="ED86" vm="2349">
        <f ca="1"/>
        <v>66.180000000000007</v>
      </c>
      <c r="EE86" vm="15857">
        <f ca="1"/>
        <v>66.53</v>
      </c>
      <c r="EF86" vm="2340">
        <f ca="1"/>
        <v>66.16</v>
      </c>
      <c r="EG86" vm="15858">
        <f ca="1"/>
        <v>67.180000000000007</v>
      </c>
      <c r="EH86" vm="10168">
        <f ca="1"/>
        <v>69.89</v>
      </c>
      <c r="EI86" vm="15859">
        <f ca="1"/>
        <v>70.193799999999996</v>
      </c>
      <c r="EJ86" vm="15860">
        <f ca="1"/>
        <v>68.989999999999995</v>
      </c>
      <c r="EK86" vm="9754">
        <f ca="1"/>
        <v>69.989999999999995</v>
      </c>
      <c r="EL86" vm="15578">
        <f ca="1"/>
        <v>69.98</v>
      </c>
      <c r="EM86" vm="8883">
        <f ca="1"/>
        <v>71.05</v>
      </c>
      <c r="EN86" vm="15861">
        <f ca="1"/>
        <v>71.380200000000002</v>
      </c>
      <c r="EO86" vm="15251">
        <f ca="1"/>
        <v>70.37</v>
      </c>
      <c r="EP86" vm="1940">
        <f ca="1"/>
        <v>69.36</v>
      </c>
      <c r="EQ86" vm="13847">
        <f ca="1"/>
        <v>69.16</v>
      </c>
      <c r="ER86" vm="2226">
        <f ca="1"/>
        <v>70.150000000000006</v>
      </c>
      <c r="ES86" vm="2230">
        <f ca="1"/>
        <v>70.040000000000006</v>
      </c>
      <c r="ET86" vm="8916">
        <f ca="1"/>
        <v>71.73</v>
      </c>
      <c r="EU86" vm="795">
        <f ca="1"/>
        <v>73.260000000000005</v>
      </c>
      <c r="EV86" vm="15862">
        <f ca="1"/>
        <v>74.16</v>
      </c>
      <c r="EW86" vm="15266">
        <f ca="1"/>
        <v>72.05</v>
      </c>
      <c r="EX86" vm="15863">
        <f ca="1"/>
        <v>72.430000000000007</v>
      </c>
      <c r="EY86" vm="15211">
        <f ca="1"/>
        <v>71.09</v>
      </c>
      <c r="EZ86" vm="10340">
        <f ca="1"/>
        <v>70.61</v>
      </c>
      <c r="FA86" vm="15864">
        <f ca="1"/>
        <v>69.69</v>
      </c>
      <c r="FB86" vm="10314">
        <f ca="1"/>
        <v>68.06</v>
      </c>
      <c r="FC86" vm="15865">
        <f ca="1"/>
        <v>66.97</v>
      </c>
      <c r="FD86" vm="15866">
        <f ca="1"/>
        <v>66.73</v>
      </c>
      <c r="FE86" vm="15867">
        <f ca="1"/>
        <v>67.37</v>
      </c>
      <c r="FF86" vm="15868">
        <f ca="1"/>
        <v>66.921199999999999</v>
      </c>
      <c r="FG86" vm="15230">
        <f ca="1"/>
        <v>67.61</v>
      </c>
      <c r="FH86" vm="13885">
        <f ca="1"/>
        <v>68.22</v>
      </c>
      <c r="FI86" vm="15814">
        <f ca="1"/>
        <v>68.099999999999994</v>
      </c>
      <c r="FJ86" vm="15208">
        <f ca="1"/>
        <v>70.16</v>
      </c>
      <c r="FK86" vm="10183">
        <f ca="1"/>
        <v>71.209999999999994</v>
      </c>
      <c r="FL86" vm="15210">
        <f ca="1"/>
        <v>70.05</v>
      </c>
      <c r="FM86" vm="13893">
        <f ca="1"/>
        <v>69.569999999999993</v>
      </c>
      <c r="FN86" vm="15869">
        <f ca="1"/>
        <v>69.47</v>
      </c>
      <c r="FO86" vm="15870">
        <f ca="1"/>
        <v>69.293999999999997</v>
      </c>
      <c r="FP86" vm="9770">
        <f ca="1"/>
        <v>68.58</v>
      </c>
      <c r="FQ86" vm="15871">
        <f ca="1"/>
        <v>68.721400000000003</v>
      </c>
      <c r="FR86" vm="15872">
        <f ca="1"/>
        <v>71.026399999999995</v>
      </c>
      <c r="FS86" vm="15873">
        <f ca="1"/>
        <v>71.076999999999998</v>
      </c>
      <c r="FT86" vm="15874">
        <f ca="1"/>
        <v>70.835300000000004</v>
      </c>
      <c r="FU86" vm="15875">
        <f ca="1"/>
        <v>71.003299999999996</v>
      </c>
      <c r="FV86" vm="15876">
        <f ca="1"/>
        <v>71.376000000000005</v>
      </c>
      <c r="FW86" vm="15877">
        <f ca="1"/>
        <v>71.092500000000001</v>
      </c>
      <c r="FX86" vm="15878">
        <f ca="1"/>
        <v>69.900000000000006</v>
      </c>
      <c r="FY86" vm="15879">
        <f ca="1"/>
        <v>69.72</v>
      </c>
      <c r="FZ86" vm="15256">
        <f ca="1"/>
        <v>70.510000000000005</v>
      </c>
      <c r="GA86" vm="15213">
        <f ca="1"/>
        <v>72.19</v>
      </c>
      <c r="GB86" vm="15880">
        <f ca="1"/>
        <v>71.488399999999999</v>
      </c>
      <c r="GC86" vm="15881">
        <f ca="1"/>
        <v>70.209999999999994</v>
      </c>
      <c r="GD86" vm="15246">
        <f ca="1"/>
        <v>71.13</v>
      </c>
      <c r="GE86" vm="8925">
        <f ca="1"/>
        <v>72.2</v>
      </c>
      <c r="GF86" vm="15882">
        <f ca="1"/>
        <v>71.529899999999998</v>
      </c>
      <c r="GG86" vm="8901">
        <f ca="1"/>
        <v>72.58</v>
      </c>
      <c r="GH86" vm="15883">
        <f ca="1"/>
        <v>72.848299999999995</v>
      </c>
      <c r="GI86" vm="15884">
        <f ca="1"/>
        <v>72.205500000000001</v>
      </c>
      <c r="GJ86" vm="15885">
        <f ca="1"/>
        <v>72.363299999999995</v>
      </c>
      <c r="GK86" vm="15886">
        <f ca="1"/>
        <v>72.057100000000005</v>
      </c>
      <c r="GL86" vm="9747">
        <f ca="1"/>
        <v>72.31</v>
      </c>
      <c r="GM86" vm="15204">
        <f ca="1"/>
        <v>71.86</v>
      </c>
      <c r="GN86" vm="15887">
        <f ca="1"/>
        <v>71.894999999999996</v>
      </c>
      <c r="GO86" vm="13208">
        <f ca="1"/>
        <v>71.930000000000007</v>
      </c>
      <c r="GP86" vm="8909">
        <f ca="1"/>
        <v>72.69</v>
      </c>
      <c r="GQ86" vm="15888">
        <f ca="1"/>
        <v>72.510000000000005</v>
      </c>
      <c r="GR86" vm="49">
        <f ca="1"/>
        <v>72.48</v>
      </c>
      <c r="GS86" vm="1557">
        <f ca="1"/>
        <v>74.150000000000006</v>
      </c>
      <c r="GT86" vm="1552">
        <f ca="1"/>
        <v>74.010000000000005</v>
      </c>
      <c r="GU86" vm="15889">
        <f ca="1"/>
        <v>74.36</v>
      </c>
      <c r="GV86" vm="1549">
        <f ca="1"/>
        <v>74.75</v>
      </c>
      <c r="GW86" vm="15890">
        <f ca="1"/>
        <v>74.117400000000004</v>
      </c>
      <c r="GX86" vm="15891">
        <f ca="1"/>
        <v>75.734999999999999</v>
      </c>
      <c r="GY86" vm="13487">
        <f ca="1"/>
        <v>74.91</v>
      </c>
      <c r="GZ86" vm="8885">
        <f ca="1"/>
        <v>71.819999999999993</v>
      </c>
      <c r="HA86" vm="1544">
        <f ca="1"/>
        <v>74.12</v>
      </c>
      <c r="HB86" vm="15613">
        <f ca="1"/>
        <v>74.67</v>
      </c>
      <c r="HC86" vm="1549">
        <f ca="1"/>
        <v>74.75</v>
      </c>
      <c r="HD86" vm="15748">
        <f ca="1"/>
        <v>73.790000000000006</v>
      </c>
      <c r="HE86" vm="1556">
        <f ca="1"/>
        <v>73.98</v>
      </c>
      <c r="HF86" vm="15892">
        <f ca="1"/>
        <v>76.52</v>
      </c>
      <c r="HG86" vm="10382">
        <f ca="1"/>
        <v>76.040000000000006</v>
      </c>
      <c r="HH86" vm="15893">
        <f ca="1"/>
        <v>75.52</v>
      </c>
      <c r="HI86" vm="7186">
        <f ca="1"/>
        <v>77.08</v>
      </c>
      <c r="HJ86" vm="15894">
        <f ca="1"/>
        <v>77.86</v>
      </c>
      <c r="HK86" vm="5916">
        <f ca="1"/>
        <v>78.92</v>
      </c>
      <c r="HL86" vm="5942">
        <f ca="1"/>
        <v>79.84</v>
      </c>
      <c r="HM86" vm="14546">
        <f ca="1"/>
        <v>80.510000000000005</v>
      </c>
      <c r="HN86" vm="5935">
        <f ca="1"/>
        <v>78.95</v>
      </c>
      <c r="HO86" vm="5961">
        <f ca="1"/>
        <v>79.36</v>
      </c>
      <c r="HP86" vm="7219">
        <f ca="1"/>
        <v>78.94</v>
      </c>
      <c r="HQ86" vm="8942">
        <f ca="1"/>
        <v>76.239999999999995</v>
      </c>
      <c r="HR86" vm="15895">
        <f ca="1"/>
        <v>77.150000000000006</v>
      </c>
      <c r="HS86" vm="5922">
        <f ca="1"/>
        <v>77.510000000000005</v>
      </c>
      <c r="HT86" vm="6044">
        <f ca="1"/>
        <v>78.040000000000006</v>
      </c>
      <c r="HU86" vm="6050">
        <f ca="1"/>
        <v>78.430000000000007</v>
      </c>
      <c r="HV86" vm="435">
        <f ca="1"/>
        <v>78.459999999999994</v>
      </c>
      <c r="HW86" vm="15896">
        <f ca="1"/>
        <v>80.259799999999998</v>
      </c>
      <c r="HX86" vm="15897">
        <f ca="1"/>
        <v>78.836100000000002</v>
      </c>
      <c r="HY86" vm="7225">
        <f ca="1"/>
        <v>78.849999999999994</v>
      </c>
      <c r="HZ86" vm="15898">
        <f ca="1"/>
        <v>77.400000000000006</v>
      </c>
      <c r="IA86" vm="15899">
        <f ca="1"/>
        <v>77.25</v>
      </c>
      <c r="IB86" vm="1956">
        <f ca="1"/>
        <v>77.034000000000006</v>
      </c>
      <c r="IC86" vm="1957">
        <f ca="1"/>
        <v>75.822500000000005</v>
      </c>
      <c r="ID86" vm="1958">
        <f ca="1"/>
        <v>77.36</v>
      </c>
      <c r="IE86" vm="1959">
        <f ca="1"/>
        <v>77.97</v>
      </c>
      <c r="IF86" vm="1960">
        <f ca="1"/>
        <v>79.77</v>
      </c>
      <c r="IG86" vm="1961">
        <f ca="1"/>
        <v>80.930000000000007</v>
      </c>
      <c r="IH86" vm="1962">
        <f ca="1"/>
        <v>80.86</v>
      </c>
      <c r="II86" vm="1963">
        <f ca="1"/>
        <v>81.09</v>
      </c>
      <c r="IJ86" vm="1964">
        <f ca="1"/>
        <v>81.290000000000006</v>
      </c>
      <c r="IK86" vm="1965">
        <f ca="1"/>
        <v>83.51</v>
      </c>
      <c r="IL86" vm="1928">
        <f ca="1"/>
        <v>83.32</v>
      </c>
      <c r="IM86" vm="1966">
        <f ca="1"/>
        <v>81.691199999999995</v>
      </c>
      <c r="IN86" vm="1967">
        <f ca="1"/>
        <v>81.349999999999994</v>
      </c>
      <c r="IO86" vm="1968">
        <f ca="1"/>
        <v>81.5</v>
      </c>
      <c r="IP86" vm="1969">
        <f ca="1"/>
        <v>83.87</v>
      </c>
      <c r="IQ86" vm="1970">
        <f ca="1"/>
        <v>85.8</v>
      </c>
      <c r="IR86" vm="1971">
        <f ca="1"/>
        <v>85.16</v>
      </c>
      <c r="IS86" vm="1972">
        <f ca="1"/>
        <v>85.05</v>
      </c>
      <c r="IT86" vm="1973">
        <f ca="1"/>
        <v>84.79</v>
      </c>
      <c r="IU86" vm="1974">
        <f ca="1"/>
        <v>85.1</v>
      </c>
      <c r="IV86" vm="1975">
        <f ca="1"/>
        <v>84.86</v>
      </c>
      <c r="IW86" vm="50">
        <f ca="1"/>
        <v>84.69</v>
      </c>
    </row>
    <row r="87" spans="1:257" ht="16" x14ac:dyDescent="0.2">
      <c r="A87" s="13" t="e" vm="1976">
        <v>#VALUE!</v>
      </c>
      <c r="B87" s="23" t="str" cm="1">
        <f t="array" aca="1" ref="B87" ca="1">_FV(A87,"ticker symbol",TRUE)</f>
        <v>PICK</v>
      </c>
      <c r="C87" s="23" t="str" cm="1">
        <f t="array" aca="1" ref="C87" ca="1">_FV(A87,"Name")</f>
        <v>iShares:MSCI Gl M&amp;MP</v>
      </c>
      <c r="D87" cm="1" vm="15900">
        <f t="array" aca="1" ref="D87:IW87" ca="1">TRANSPOSE(_xlfn.STOCKHISTORY(B87, WORKDAY(TODAY(), -265), TODAY(), 0, 0, 1))</f>
        <v>37.335599999999999</v>
      </c>
      <c r="E87" s="23" vm="15901">
        <f ca="1"/>
        <v>36.420400000000001</v>
      </c>
      <c r="F87" s="23" vm="15902">
        <f ca="1"/>
        <v>35.017699999999998</v>
      </c>
      <c r="G87" s="23" vm="15903">
        <f ca="1"/>
        <v>34.808799999999998</v>
      </c>
      <c r="H87" s="23" vm="15904">
        <f ca="1"/>
        <v>35.107199999999999</v>
      </c>
      <c r="I87" s="23" vm="15905">
        <f ca="1"/>
        <v>35.186799999999998</v>
      </c>
      <c r="J87" s="23" vm="15906">
        <f ca="1"/>
        <v>35.246499999999997</v>
      </c>
      <c r="K87" s="23" vm="15907">
        <f ca="1"/>
        <v>35.365900000000003</v>
      </c>
      <c r="L87" s="23" vm="15908">
        <f ca="1"/>
        <v>35.077399999999997</v>
      </c>
      <c r="M87" s="23" vm="15909">
        <f ca="1"/>
        <v>34.679400000000001</v>
      </c>
      <c r="N87" s="23" vm="15903">
        <f ca="1"/>
        <v>34.808799999999998</v>
      </c>
      <c r="O87" s="23" vm="15910">
        <f ca="1"/>
        <v>34.9679</v>
      </c>
      <c r="P87" s="23" vm="15911">
        <f ca="1"/>
        <v>34.928100000000001</v>
      </c>
      <c r="Q87" s="23" vm="15912">
        <f ca="1"/>
        <v>35.226599999999998</v>
      </c>
      <c r="R87" s="23" vm="15913">
        <f ca="1"/>
        <v>34.938099999999999</v>
      </c>
      <c r="S87" s="23" vm="15902">
        <f ca="1"/>
        <v>35.017699999999998</v>
      </c>
      <c r="T87" s="23" vm="15914">
        <f ca="1"/>
        <v>34.749099999999999</v>
      </c>
      <c r="U87" s="23" vm="15915">
        <f ca="1"/>
        <v>34.9878</v>
      </c>
      <c r="V87" s="23" vm="15916">
        <f ca="1"/>
        <v>35.306199999999997</v>
      </c>
      <c r="W87" s="23" vm="15917">
        <f ca="1"/>
        <v>35.713999999999999</v>
      </c>
      <c r="X87" s="23" vm="15918">
        <f ca="1"/>
        <v>35.674199999999999</v>
      </c>
      <c r="Y87" s="23" vm="15919">
        <f ca="1"/>
        <v>36.121899999999997</v>
      </c>
      <c r="Z87" s="23" vm="15920">
        <f ca="1"/>
        <v>36.529800000000002</v>
      </c>
      <c r="AA87" s="23" vm="15921">
        <f ca="1"/>
        <v>35.883200000000002</v>
      </c>
      <c r="AB87" s="23" vm="15922">
        <f ca="1"/>
        <v>35.952800000000003</v>
      </c>
      <c r="AC87" s="23" vm="15923">
        <f ca="1"/>
        <v>36.151800000000001</v>
      </c>
      <c r="AD87" vm="15924">
        <f ca="1"/>
        <v>35.634500000000003</v>
      </c>
      <c r="AE87" vm="15925">
        <f ca="1"/>
        <v>35.166899999999998</v>
      </c>
      <c r="AF87" vm="15926">
        <f ca="1"/>
        <v>35.335999999999999</v>
      </c>
      <c r="AG87" vm="15927">
        <f ca="1"/>
        <v>35.833399999999997</v>
      </c>
      <c r="AH87" vm="15928">
        <f ca="1"/>
        <v>35.286299999999997</v>
      </c>
      <c r="AI87" vm="15929">
        <f ca="1"/>
        <v>35.0276</v>
      </c>
      <c r="AJ87" vm="15930">
        <f ca="1"/>
        <v>35.813499999999998</v>
      </c>
      <c r="AK87" vm="15931">
        <f ca="1"/>
        <v>36.032400000000003</v>
      </c>
      <c r="AL87" vm="15932">
        <f ca="1"/>
        <v>36.509900000000002</v>
      </c>
      <c r="AM87" vm="15933">
        <f ca="1"/>
        <v>36.559600000000003</v>
      </c>
      <c r="AN87" vm="15934">
        <f ca="1"/>
        <v>36.967500000000001</v>
      </c>
      <c r="AO87" vm="15935">
        <f ca="1"/>
        <v>36.320900000000002</v>
      </c>
      <c r="AP87" vm="15936">
        <f ca="1"/>
        <v>36.4602</v>
      </c>
      <c r="AQ87" vm="15937">
        <f ca="1"/>
        <v>37.345500000000001</v>
      </c>
      <c r="AR87" vm="15938">
        <f ca="1"/>
        <v>37.186399999999999</v>
      </c>
      <c r="AS87" vm="15939">
        <f ca="1"/>
        <v>37.509700000000002</v>
      </c>
      <c r="AT87" vm="15940">
        <f ca="1"/>
        <v>36.808300000000003</v>
      </c>
      <c r="AU87" vm="15941">
        <f ca="1"/>
        <v>37.5047</v>
      </c>
      <c r="AV87" vm="15942">
        <f ca="1"/>
        <v>36.6541</v>
      </c>
      <c r="AW87" vm="15943">
        <f ca="1"/>
        <v>36.430300000000003</v>
      </c>
      <c r="AX87" vm="4659">
        <f ca="1"/>
        <v>36.251199999999997</v>
      </c>
      <c r="AY87" vm="15944">
        <f ca="1"/>
        <v>36.290999999999997</v>
      </c>
      <c r="AZ87" vm="15930">
        <f ca="1"/>
        <v>35.813499999999998</v>
      </c>
      <c r="BA87" vm="15945">
        <f ca="1"/>
        <v>35.704099999999997</v>
      </c>
      <c r="BB87" vm="15946">
        <f ca="1"/>
        <v>35.534999999999997</v>
      </c>
      <c r="BC87" vm="15947">
        <f ca="1"/>
        <v>35.4255</v>
      </c>
      <c r="BD87" vm="15948">
        <f ca="1"/>
        <v>37.067</v>
      </c>
      <c r="BE87" vm="15949">
        <f ca="1"/>
        <v>36.997399999999999</v>
      </c>
      <c r="BF87" vm="4762">
        <f ca="1"/>
        <v>37.196300000000001</v>
      </c>
      <c r="BG87" vm="15950">
        <f ca="1"/>
        <v>35.982599999999998</v>
      </c>
      <c r="BH87" vm="15933">
        <f ca="1"/>
        <v>36.559600000000003</v>
      </c>
      <c r="BI87" vm="15951">
        <f ca="1"/>
        <v>36.360700000000001</v>
      </c>
      <c r="BJ87" vm="15952">
        <f ca="1"/>
        <v>36.470100000000002</v>
      </c>
      <c r="BK87" vm="15941">
        <f ca="1"/>
        <v>37.5047</v>
      </c>
      <c r="BL87" vm="15953">
        <f ca="1"/>
        <v>37.823099999999997</v>
      </c>
      <c r="BM87" vm="15954">
        <f ca="1"/>
        <v>38.012099999999997</v>
      </c>
      <c r="BN87" vm="15955">
        <f ca="1"/>
        <v>38.151299999999999</v>
      </c>
      <c r="BO87" vm="15956">
        <f ca="1"/>
        <v>37.743499999999997</v>
      </c>
      <c r="BP87" vm="15957">
        <f ca="1"/>
        <v>37.1068</v>
      </c>
      <c r="BQ87" vm="15941">
        <f ca="1"/>
        <v>37.5047</v>
      </c>
      <c r="BR87" vm="15958">
        <f ca="1"/>
        <v>37.872799999999998</v>
      </c>
      <c r="BS87" vm="15959">
        <f ca="1"/>
        <v>37.405200000000001</v>
      </c>
      <c r="BT87" vm="15960">
        <f ca="1"/>
        <v>37.156500000000001</v>
      </c>
      <c r="BU87" vm="15961">
        <f ca="1"/>
        <v>36.221400000000003</v>
      </c>
      <c r="BV87" vm="15962">
        <f ca="1"/>
        <v>35.694099999999999</v>
      </c>
      <c r="BW87" vm="15950">
        <f ca="1"/>
        <v>35.982599999999998</v>
      </c>
      <c r="BX87" vm="15963">
        <f ca="1"/>
        <v>35.853299999999997</v>
      </c>
      <c r="BY87" vm="15964">
        <f ca="1"/>
        <v>33.883600000000001</v>
      </c>
      <c r="BZ87" vm="15965">
        <f ca="1"/>
        <v>31.058299999999999</v>
      </c>
      <c r="CA87" vm="15966">
        <f ca="1"/>
        <v>30.9389</v>
      </c>
      <c r="CB87" vm="15967">
        <f ca="1"/>
        <v>30.073399999999999</v>
      </c>
      <c r="CC87" vm="15968">
        <f ca="1"/>
        <v>32.838999999999999</v>
      </c>
      <c r="CD87" vm="15969">
        <f ca="1"/>
        <v>32.013300000000001</v>
      </c>
      <c r="CE87" vm="15970">
        <f ca="1"/>
        <v>33.286700000000003</v>
      </c>
      <c r="CF87" vm="15971">
        <f ca="1"/>
        <v>33.784100000000002</v>
      </c>
      <c r="CG87" vm="15972">
        <f ca="1"/>
        <v>33.664700000000003</v>
      </c>
      <c r="CH87" vm="15973">
        <f ca="1"/>
        <v>33.515500000000003</v>
      </c>
      <c r="CI87" vm="15974">
        <f ca="1"/>
        <v>33.823900000000002</v>
      </c>
      <c r="CJ87" vm="15975">
        <f ca="1"/>
        <v>33.833799999999997</v>
      </c>
      <c r="CK87" vm="15976">
        <f ca="1"/>
        <v>34.490400000000001</v>
      </c>
      <c r="CL87" vm="15977">
        <f ca="1"/>
        <v>34.997799999999998</v>
      </c>
      <c r="CM87" vm="15978">
        <f ca="1"/>
        <v>35.912999999999997</v>
      </c>
      <c r="CN87" vm="15979">
        <f ca="1"/>
        <v>35.584699999999998</v>
      </c>
      <c r="CO87" vm="15918">
        <f ca="1"/>
        <v>35.674199999999999</v>
      </c>
      <c r="CP87" vm="15945">
        <f ca="1"/>
        <v>35.704099999999997</v>
      </c>
      <c r="CQ87" vm="15980">
        <f ca="1"/>
        <v>34.977899999999998</v>
      </c>
      <c r="CR87" vm="15981">
        <f ca="1"/>
        <v>35.087299999999999</v>
      </c>
      <c r="CS87" vm="15982">
        <f ca="1"/>
        <v>35.863300000000002</v>
      </c>
      <c r="CT87" vm="15983">
        <f ca="1"/>
        <v>35.664299999999997</v>
      </c>
      <c r="CU87" vm="15963">
        <f ca="1"/>
        <v>35.853299999999997</v>
      </c>
      <c r="CV87" vm="15984">
        <f ca="1"/>
        <v>35.375799999999998</v>
      </c>
      <c r="CW87" vm="15928">
        <f ca="1"/>
        <v>35.286299999999997</v>
      </c>
      <c r="CX87" vm="15985">
        <f ca="1"/>
        <v>35.485199999999999</v>
      </c>
      <c r="CY87" vm="15986">
        <f ca="1"/>
        <v>36.499899999999997</v>
      </c>
      <c r="CZ87" vm="15987">
        <f ca="1"/>
        <v>36.887900000000002</v>
      </c>
      <c r="DA87" vm="15988">
        <f ca="1"/>
        <v>36.738700000000001</v>
      </c>
      <c r="DB87" vm="15989">
        <f ca="1"/>
        <v>36.778500000000001</v>
      </c>
      <c r="DC87" vm="15990">
        <f ca="1"/>
        <v>36.6691</v>
      </c>
      <c r="DD87" vm="15990">
        <f ca="1"/>
        <v>36.6691</v>
      </c>
      <c r="DE87" vm="15990">
        <f ca="1"/>
        <v>36.6691</v>
      </c>
      <c r="DF87" vm="15991">
        <f ca="1"/>
        <v>36.390500000000003</v>
      </c>
      <c r="DG87" vm="15935">
        <f ca="1"/>
        <v>36.320900000000002</v>
      </c>
      <c r="DH87" vm="15992">
        <f ca="1"/>
        <v>36.748699999999999</v>
      </c>
      <c r="DI87" vm="15993">
        <f ca="1"/>
        <v>36.987400000000001</v>
      </c>
      <c r="DJ87" vm="15994">
        <f ca="1"/>
        <v>36.609400000000001</v>
      </c>
      <c r="DK87" vm="15995">
        <f ca="1"/>
        <v>36.783499999999997</v>
      </c>
      <c r="DL87" vm="15996">
        <f ca="1"/>
        <v>36.6492</v>
      </c>
      <c r="DM87" vm="15997">
        <f ca="1"/>
        <v>36.9178</v>
      </c>
      <c r="DN87" vm="15998">
        <f ca="1"/>
        <v>36.698900000000002</v>
      </c>
      <c r="DO87" vm="15999">
        <f ca="1"/>
        <v>37.146599999999999</v>
      </c>
      <c r="DP87" vm="16000">
        <f ca="1"/>
        <v>37.4848</v>
      </c>
      <c r="DQ87" vm="16001">
        <f ca="1"/>
        <v>37.554499999999997</v>
      </c>
      <c r="DR87" vm="16002">
        <f ca="1"/>
        <v>37.922499999999999</v>
      </c>
      <c r="DS87" vm="16003">
        <f ca="1"/>
        <v>38.041899999999998</v>
      </c>
      <c r="DT87" vm="15956">
        <f ca="1"/>
        <v>37.743499999999997</v>
      </c>
      <c r="DU87" vm="16004">
        <f ca="1"/>
        <v>37.6937</v>
      </c>
      <c r="DV87" vm="16005">
        <f ca="1"/>
        <v>37.246099999999998</v>
      </c>
      <c r="DW87" vm="16006">
        <f ca="1"/>
        <v>37.115000000000002</v>
      </c>
      <c r="DX87" vm="4694">
        <f ca="1"/>
        <v>36.549999999999997</v>
      </c>
      <c r="DY87" vm="16007">
        <f ca="1"/>
        <v>36.56</v>
      </c>
      <c r="DZ87" vm="15771">
        <f ca="1"/>
        <v>35.700000000000003</v>
      </c>
      <c r="EA87" vm="16008">
        <f ca="1"/>
        <v>36.15</v>
      </c>
      <c r="EB87" vm="10668">
        <f ca="1"/>
        <v>36.6</v>
      </c>
      <c r="EC87" vm="1562">
        <f ca="1"/>
        <v>36.409999999999997</v>
      </c>
      <c r="ED87" vm="12767">
        <f ca="1"/>
        <v>37.880000000000003</v>
      </c>
      <c r="EE87" vm="10690">
        <f ca="1"/>
        <v>37.82</v>
      </c>
      <c r="EF87" vm="10695">
        <f ca="1"/>
        <v>37.6</v>
      </c>
      <c r="EG87" vm="9168">
        <f ca="1"/>
        <v>37.92</v>
      </c>
      <c r="EH87" vm="16009">
        <f ca="1"/>
        <v>39.14</v>
      </c>
      <c r="EI87" vm="9136">
        <f ca="1"/>
        <v>39.130000000000003</v>
      </c>
      <c r="EJ87" vm="13793">
        <f ca="1"/>
        <v>38.42</v>
      </c>
      <c r="EK87" vm="16010">
        <f ca="1"/>
        <v>38.81</v>
      </c>
      <c r="EL87" vm="16011">
        <f ca="1"/>
        <v>38.57</v>
      </c>
      <c r="EM87" vm="9129">
        <f ca="1"/>
        <v>39.5</v>
      </c>
      <c r="EN87" vm="9137">
        <f ca="1"/>
        <v>39.590000000000003</v>
      </c>
      <c r="EO87" vm="16012">
        <f ca="1"/>
        <v>39.32</v>
      </c>
      <c r="EP87" vm="9134">
        <f ca="1"/>
        <v>38.64</v>
      </c>
      <c r="EQ87" vm="9133">
        <f ca="1"/>
        <v>38.880000000000003</v>
      </c>
      <c r="ER87" vm="2615">
        <f ca="1"/>
        <v>39.11</v>
      </c>
      <c r="ES87" vm="13796">
        <f ca="1"/>
        <v>39.200000000000003</v>
      </c>
      <c r="ET87" vm="10023">
        <f ca="1"/>
        <v>40.24</v>
      </c>
      <c r="EU87" vm="9148">
        <f ca="1"/>
        <v>41.16</v>
      </c>
      <c r="EV87" vm="2718">
        <f ca="1"/>
        <v>41.41</v>
      </c>
      <c r="EW87" vm="558">
        <f ca="1"/>
        <v>40.74</v>
      </c>
      <c r="EX87" vm="12779">
        <f ca="1"/>
        <v>40.340000000000003</v>
      </c>
      <c r="EY87" vm="2622">
        <f ca="1"/>
        <v>39.64</v>
      </c>
      <c r="EZ87" vm="16013">
        <f ca="1"/>
        <v>39.479999999999997</v>
      </c>
      <c r="FA87" vm="2616">
        <f ca="1"/>
        <v>38.58</v>
      </c>
      <c r="FB87" vm="6905">
        <f ca="1"/>
        <v>38.380000000000003</v>
      </c>
      <c r="FC87" vm="4679">
        <f ca="1"/>
        <v>38.159999999999997</v>
      </c>
      <c r="FD87" vm="16014">
        <f ca="1"/>
        <v>38.49</v>
      </c>
      <c r="FE87" vm="16015">
        <f ca="1"/>
        <v>38.619999999999997</v>
      </c>
      <c r="FF87" vm="9134">
        <f ca="1"/>
        <v>38.64</v>
      </c>
      <c r="FG87" vm="16016">
        <f ca="1"/>
        <v>39.15</v>
      </c>
      <c r="FH87" vm="12791">
        <f ca="1"/>
        <v>39.74</v>
      </c>
      <c r="FI87" vm="293">
        <f ca="1"/>
        <v>39.72</v>
      </c>
      <c r="FJ87" vm="12778">
        <f ca="1"/>
        <v>40.46</v>
      </c>
      <c r="FK87" vm="6964">
        <f ca="1"/>
        <v>40.83</v>
      </c>
      <c r="FL87" vm="12794">
        <f ca="1"/>
        <v>40.18</v>
      </c>
      <c r="FM87" vm="12803">
        <f ca="1"/>
        <v>40.229999999999997</v>
      </c>
      <c r="FN87" vm="9130">
        <f ca="1"/>
        <v>39.950000000000003</v>
      </c>
      <c r="FO87" vm="9130">
        <f ca="1"/>
        <v>39.950000000000003</v>
      </c>
      <c r="FP87" vm="16017">
        <f ca="1"/>
        <v>39.744999999999997</v>
      </c>
      <c r="FQ87" vm="16018">
        <f ca="1"/>
        <v>40.130000000000003</v>
      </c>
      <c r="FR87" vm="16019">
        <f ca="1"/>
        <v>41.05</v>
      </c>
      <c r="FS87" vm="6944">
        <f ca="1"/>
        <v>41.01</v>
      </c>
      <c r="FT87" vm="2715">
        <f ca="1"/>
        <v>40.89</v>
      </c>
      <c r="FU87" vm="6861">
        <f ca="1"/>
        <v>40.81</v>
      </c>
      <c r="FV87" vm="13799">
        <f ca="1"/>
        <v>41.03</v>
      </c>
      <c r="FW87" vm="557">
        <f ca="1"/>
        <v>41</v>
      </c>
      <c r="FX87" vm="6861">
        <f ca="1"/>
        <v>40.81</v>
      </c>
      <c r="FY87" vm="6897">
        <f ca="1"/>
        <v>41.32</v>
      </c>
      <c r="FZ87" vm="6943">
        <f ca="1"/>
        <v>41.25</v>
      </c>
      <c r="GA87" vm="12796">
        <f ca="1"/>
        <v>41.81</v>
      </c>
      <c r="GB87" vm="2679">
        <f ca="1"/>
        <v>41.92</v>
      </c>
      <c r="GC87" vm="15714">
        <f ca="1"/>
        <v>41.54</v>
      </c>
      <c r="GD87" vm="554">
        <f ca="1"/>
        <v>41.67</v>
      </c>
      <c r="GE87" vm="13804">
        <f ca="1"/>
        <v>42.37</v>
      </c>
      <c r="GF87" vm="1358">
        <f ca="1"/>
        <v>42.36</v>
      </c>
      <c r="GG87" vm="1370">
        <f ca="1"/>
        <v>43.02</v>
      </c>
      <c r="GH87" vm="16020">
        <f ca="1"/>
        <v>42.9</v>
      </c>
      <c r="GI87" vm="16021">
        <f ca="1"/>
        <v>42.55</v>
      </c>
      <c r="GJ87" vm="6955">
        <f ca="1"/>
        <v>42.3</v>
      </c>
      <c r="GK87" vm="9981">
        <f ca="1"/>
        <v>42.56</v>
      </c>
      <c r="GL87" vm="2681">
        <f ca="1"/>
        <v>42.99</v>
      </c>
      <c r="GM87" vm="16022">
        <f ca="1"/>
        <v>43.03</v>
      </c>
      <c r="GN87" vm="16023">
        <f ca="1"/>
        <v>43.073</v>
      </c>
      <c r="GO87" vm="1366">
        <f ca="1"/>
        <v>43.51</v>
      </c>
      <c r="GP87" vm="9204">
        <f ca="1"/>
        <v>43.68</v>
      </c>
      <c r="GQ87" vm="16024">
        <f ca="1"/>
        <v>44.52</v>
      </c>
      <c r="GR87" vm="13770">
        <f ca="1"/>
        <v>44.5</v>
      </c>
      <c r="GS87" vm="16025">
        <f ca="1"/>
        <v>44.92</v>
      </c>
      <c r="GT87" vm="15718">
        <f ca="1"/>
        <v>45.02</v>
      </c>
      <c r="GU87" vm="14154">
        <f ca="1"/>
        <v>45.44</v>
      </c>
      <c r="GV87" vm="11033">
        <f ca="1"/>
        <v>45.48</v>
      </c>
      <c r="GW87" vm="9233">
        <f ca="1"/>
        <v>45.06</v>
      </c>
      <c r="GX87" vm="10016">
        <f ca="1"/>
        <v>46.2</v>
      </c>
      <c r="GY87" vm="16026">
        <f ca="1"/>
        <v>46.13</v>
      </c>
      <c r="GZ87" vm="16027">
        <f ca="1"/>
        <v>44.3</v>
      </c>
      <c r="HA87" vm="1269">
        <f ca="1"/>
        <v>46.22</v>
      </c>
      <c r="HB87" vm="12100">
        <f ca="1"/>
        <v>46.08</v>
      </c>
      <c r="HC87" vm="11476">
        <f ca="1"/>
        <v>46.38</v>
      </c>
      <c r="HD87" vm="10043">
        <f ca="1"/>
        <v>46.04</v>
      </c>
      <c r="HE87" vm="11033">
        <f ca="1"/>
        <v>45.48</v>
      </c>
      <c r="HF87" vm="11469">
        <f ca="1"/>
        <v>46.32</v>
      </c>
      <c r="HG87" vm="2587">
        <f ca="1"/>
        <v>45.22</v>
      </c>
      <c r="HH87" vm="14153">
        <f ca="1"/>
        <v>45.11</v>
      </c>
      <c r="HI87" vm="10018">
        <f ca="1"/>
        <v>45.71</v>
      </c>
      <c r="HJ87" vm="10042">
        <f ca="1"/>
        <v>45.99</v>
      </c>
      <c r="HK87" vm="11516">
        <f ca="1"/>
        <v>46.12</v>
      </c>
      <c r="HL87" vm="12038">
        <f ca="1"/>
        <v>46.46</v>
      </c>
      <c r="HM87" vm="11493">
        <f ca="1"/>
        <v>47.09</v>
      </c>
      <c r="HN87" vm="16028">
        <f ca="1"/>
        <v>46.6</v>
      </c>
      <c r="HO87" vm="10046">
        <f ca="1"/>
        <v>46.57</v>
      </c>
      <c r="HP87" vm="14165">
        <f ca="1"/>
        <v>45.84</v>
      </c>
      <c r="HQ87" vm="16029">
        <f ca="1"/>
        <v>44.61</v>
      </c>
      <c r="HR87" vm="11499">
        <f ca="1"/>
        <v>45.24</v>
      </c>
      <c r="HS87" vm="11499">
        <f ca="1"/>
        <v>45.24</v>
      </c>
      <c r="HT87" vm="16030">
        <f ca="1"/>
        <v>45.38</v>
      </c>
      <c r="HU87" vm="460">
        <f ca="1"/>
        <v>46.18</v>
      </c>
      <c r="HV87" vm="12099">
        <f ca="1"/>
        <v>46.19</v>
      </c>
      <c r="HW87" vm="16031">
        <f ca="1"/>
        <v>46.95</v>
      </c>
      <c r="HX87" vm="11469">
        <f ca="1"/>
        <v>46.32</v>
      </c>
      <c r="HY87" vm="12099">
        <f ca="1"/>
        <v>46.19</v>
      </c>
      <c r="HZ87" vm="16032">
        <f ca="1"/>
        <v>45.5</v>
      </c>
      <c r="IA87" vm="2587">
        <f ca="1"/>
        <v>45.22</v>
      </c>
      <c r="IB87" vm="458">
        <f ca="1"/>
        <v>45.42</v>
      </c>
      <c r="IC87" vm="1977">
        <f ca="1"/>
        <v>44.57</v>
      </c>
      <c r="ID87" vm="1978">
        <f ca="1"/>
        <v>44.91</v>
      </c>
      <c r="IE87" vm="1979">
        <f ca="1"/>
        <v>45.63</v>
      </c>
      <c r="IF87" vm="1980">
        <f ca="1"/>
        <v>46.094999999999999</v>
      </c>
      <c r="IG87" vm="1981">
        <f ca="1"/>
        <v>46.96</v>
      </c>
      <c r="IH87" vm="1255">
        <f ca="1"/>
        <v>47.4</v>
      </c>
      <c r="II87" vm="1252">
        <f ca="1"/>
        <v>47.76</v>
      </c>
      <c r="IJ87" vm="1982">
        <f ca="1"/>
        <v>47.81</v>
      </c>
      <c r="IK87" vm="1983">
        <f ca="1"/>
        <v>49.05</v>
      </c>
      <c r="IL87" vm="1984">
        <f ca="1"/>
        <v>49.09</v>
      </c>
      <c r="IM87" vm="1985">
        <f ca="1"/>
        <v>49.16</v>
      </c>
      <c r="IN87" vm="1986">
        <f ca="1"/>
        <v>48.89</v>
      </c>
      <c r="IO87" vm="1987">
        <f ca="1"/>
        <v>48.72</v>
      </c>
      <c r="IP87" vm="1988">
        <f ca="1"/>
        <v>49.84</v>
      </c>
      <c r="IQ87" vm="1989">
        <f ca="1"/>
        <v>50.39</v>
      </c>
      <c r="IR87" vm="1990">
        <f ca="1"/>
        <v>49.74</v>
      </c>
      <c r="IS87" vm="1991">
        <f ca="1"/>
        <v>49.75</v>
      </c>
      <c r="IT87" vm="1992">
        <f ca="1"/>
        <v>48.78</v>
      </c>
      <c r="IU87" vm="1993">
        <f ca="1"/>
        <v>49.2</v>
      </c>
      <c r="IV87" vm="1994">
        <f ca="1"/>
        <v>49.41</v>
      </c>
      <c r="IW87" vm="125">
        <f ca="1"/>
        <v>49.91</v>
      </c>
    </row>
    <row r="88" spans="1:257" ht="16" x14ac:dyDescent="0.2">
      <c r="A88" s="13" t="e" vm="1995">
        <v>#VALUE!</v>
      </c>
      <c r="B88" s="23" t="str" cm="1">
        <f t="array" aca="1" ref="B88" ca="1">_FV(A88,"ticker symbol",TRUE)</f>
        <v>VAW</v>
      </c>
      <c r="C88" s="23" t="str" cm="1">
        <f t="array" aca="1" ref="C88" ca="1">_FV(A88,"Name")</f>
        <v>Vanguard Mtrls Idx;ETF</v>
      </c>
      <c r="D88" cm="1" vm="16033">
        <f t="array" aca="1" ref="D88:IW88" ca="1">TRANSPOSE(_xlfn.STOCKHISTORY(B88, WORKDAY(TODAY(), -265), TODAY(), 0, 0, 1))</f>
        <v>198.38</v>
      </c>
      <c r="E88" s="23" vm="16034">
        <f ca="1"/>
        <v>196.79</v>
      </c>
      <c r="F88" s="23" vm="16035">
        <f ca="1"/>
        <v>189.69</v>
      </c>
      <c r="G88" s="23" vm="4393">
        <f ca="1"/>
        <v>187.73</v>
      </c>
      <c r="H88" s="23" vm="8238">
        <f ca="1"/>
        <v>189.83</v>
      </c>
      <c r="I88" s="23" vm="16036">
        <f ca="1"/>
        <v>189.62</v>
      </c>
      <c r="J88" s="23" vm="9627">
        <f ca="1"/>
        <v>190.8</v>
      </c>
      <c r="K88" s="23" vm="8196">
        <f ca="1"/>
        <v>190.78</v>
      </c>
      <c r="L88" s="23" vm="16037">
        <f ca="1"/>
        <v>189.34</v>
      </c>
      <c r="M88" s="23" vm="8179">
        <f ca="1"/>
        <v>186.91</v>
      </c>
      <c r="N88" s="23" vm="16038">
        <f ca="1"/>
        <v>187.84</v>
      </c>
      <c r="O88" s="23" vm="16039">
        <f ca="1"/>
        <v>185.94</v>
      </c>
      <c r="P88" s="23" vm="16040">
        <f ca="1"/>
        <v>185.96</v>
      </c>
      <c r="Q88" s="23" vm="8150">
        <f ca="1"/>
        <v>187.15</v>
      </c>
      <c r="R88" s="23" vm="16041">
        <f ca="1"/>
        <v>186.81</v>
      </c>
      <c r="S88" s="23" vm="16042">
        <f ca="1"/>
        <v>187.61</v>
      </c>
      <c r="T88" s="23" vm="16043">
        <f ca="1"/>
        <v>185.71</v>
      </c>
      <c r="U88" s="23" vm="16044">
        <f ca="1"/>
        <v>189.52</v>
      </c>
      <c r="V88" s="23" vm="16045">
        <f ca="1"/>
        <v>191.88</v>
      </c>
      <c r="W88" s="23" vm="7040">
        <f ca="1"/>
        <v>193.91</v>
      </c>
      <c r="X88" s="23" vm="16046">
        <f ca="1"/>
        <v>195.47</v>
      </c>
      <c r="Y88" s="23" vm="4120">
        <f ca="1"/>
        <v>196.77</v>
      </c>
      <c r="Z88" s="23" vm="7349">
        <f ca="1"/>
        <v>199.38</v>
      </c>
      <c r="AA88" s="23" vm="16047">
        <f ca="1"/>
        <v>198.01</v>
      </c>
      <c r="AB88" s="23" vm="16048">
        <f ca="1"/>
        <v>198.75</v>
      </c>
      <c r="AC88" s="23" vm="16049">
        <f ca="1"/>
        <v>198.51</v>
      </c>
      <c r="AD88" vm="16050">
        <f ca="1"/>
        <v>198</v>
      </c>
      <c r="AE88" vm="16051">
        <f ca="1"/>
        <v>197.58</v>
      </c>
      <c r="AF88" vm="5760">
        <f ca="1"/>
        <v>197.21</v>
      </c>
      <c r="AG88" vm="16052">
        <f ca="1"/>
        <v>198.88</v>
      </c>
      <c r="AH88" vm="16053">
        <f ca="1"/>
        <v>197.33</v>
      </c>
      <c r="AI88" vm="12606">
        <f ca="1"/>
        <v>196.72</v>
      </c>
      <c r="AJ88" vm="16054">
        <f ca="1"/>
        <v>197.71</v>
      </c>
      <c r="AK88" vm="16055">
        <f ca="1"/>
        <v>198.08</v>
      </c>
      <c r="AL88" vm="8226">
        <f ca="1"/>
        <v>199.11</v>
      </c>
      <c r="AM88" vm="8227">
        <f ca="1"/>
        <v>196.57</v>
      </c>
      <c r="AN88" vm="5786">
        <f ca="1"/>
        <v>197.6</v>
      </c>
      <c r="AO88" vm="14867">
        <f ca="1"/>
        <v>198.5</v>
      </c>
      <c r="AP88" vm="5760">
        <f ca="1"/>
        <v>197.21</v>
      </c>
      <c r="AQ88" vm="16056">
        <f ca="1"/>
        <v>200.37</v>
      </c>
      <c r="AR88" vm="16057">
        <f ca="1"/>
        <v>199.78</v>
      </c>
      <c r="AS88" vm="16058">
        <f ca="1"/>
        <v>202.46</v>
      </c>
      <c r="AT88" vm="16059">
        <f ca="1"/>
        <v>199.79</v>
      </c>
      <c r="AU88" vm="2000">
        <f ca="1"/>
        <v>198.92</v>
      </c>
      <c r="AV88" vm="8057">
        <f ca="1"/>
        <v>195.09</v>
      </c>
      <c r="AW88" vm="16060">
        <f ca="1"/>
        <v>194.9</v>
      </c>
      <c r="AX88" vm="16061">
        <f ca="1"/>
        <v>196.36</v>
      </c>
      <c r="AY88" vm="16062">
        <f ca="1"/>
        <v>196.24</v>
      </c>
      <c r="AZ88" vm="16063">
        <f ca="1"/>
        <v>194.69</v>
      </c>
      <c r="BA88" vm="16064">
        <f ca="1"/>
        <v>196.53</v>
      </c>
      <c r="BB88" vm="16065">
        <f ca="1"/>
        <v>192.32</v>
      </c>
      <c r="BC88" vm="16066">
        <f ca="1"/>
        <v>189.24</v>
      </c>
      <c r="BD88" vm="16067">
        <f ca="1"/>
        <v>194.74</v>
      </c>
      <c r="BE88" vm="16068">
        <f ca="1"/>
        <v>193.58</v>
      </c>
      <c r="BF88" vm="16069">
        <f ca="1"/>
        <v>193.8</v>
      </c>
      <c r="BG88" vm="876">
        <f ca="1"/>
        <v>189.53</v>
      </c>
      <c r="BH88" vm="16070">
        <f ca="1"/>
        <v>188.43</v>
      </c>
      <c r="BI88" vm="8167">
        <f ca="1"/>
        <v>188.05</v>
      </c>
      <c r="BJ88" vm="16071">
        <f ca="1"/>
        <v>187.3</v>
      </c>
      <c r="BK88" vm="4439">
        <f ca="1"/>
        <v>190.35</v>
      </c>
      <c r="BL88" vm="16072">
        <f ca="1"/>
        <v>192.3</v>
      </c>
      <c r="BM88" vm="16073">
        <f ca="1"/>
        <v>192.03</v>
      </c>
      <c r="BN88" vm="16074">
        <f ca="1"/>
        <v>192.87</v>
      </c>
      <c r="BO88" vm="16075">
        <f ca="1"/>
        <v>191.48</v>
      </c>
      <c r="BP88" vm="16076">
        <f ca="1"/>
        <v>189.26679999999999</v>
      </c>
      <c r="BQ88" vm="16077">
        <f ca="1"/>
        <v>192.24</v>
      </c>
      <c r="BR88" vm="16078">
        <f ca="1"/>
        <v>191.44</v>
      </c>
      <c r="BS88" vm="16079">
        <f ca="1"/>
        <v>191.35</v>
      </c>
      <c r="BT88" vm="16080">
        <f ca="1"/>
        <v>191.02</v>
      </c>
      <c r="BU88" vm="16081">
        <f ca="1"/>
        <v>187.1</v>
      </c>
      <c r="BV88" vm="16082">
        <f ca="1"/>
        <v>188.81</v>
      </c>
      <c r="BW88" vm="16083">
        <f ca="1"/>
        <v>189.37</v>
      </c>
      <c r="BX88" vm="16084">
        <f ca="1"/>
        <v>191.22</v>
      </c>
      <c r="BY88" vm="16085">
        <f ca="1"/>
        <v>182.14</v>
      </c>
      <c r="BZ88" vm="16086">
        <f ca="1"/>
        <v>171.02</v>
      </c>
      <c r="CA88" vm="4340">
        <f ca="1"/>
        <v>168.91</v>
      </c>
      <c r="CB88" vm="16087">
        <f ca="1"/>
        <v>163.82</v>
      </c>
      <c r="CC88" vm="16088">
        <f ca="1"/>
        <v>178.28</v>
      </c>
      <c r="CD88" vm="16089">
        <f ca="1"/>
        <v>172.68</v>
      </c>
      <c r="CE88" vm="16090">
        <f ca="1"/>
        <v>177.51</v>
      </c>
      <c r="CF88" vm="16091">
        <f ca="1"/>
        <v>179.56</v>
      </c>
      <c r="CG88" vm="873">
        <f ca="1"/>
        <v>178.55</v>
      </c>
      <c r="CH88" vm="16092">
        <f ca="1"/>
        <v>177.06</v>
      </c>
      <c r="CI88" vm="16093">
        <f ca="1"/>
        <v>178.07</v>
      </c>
      <c r="CJ88" vm="14371">
        <f ca="1"/>
        <v>175.02</v>
      </c>
      <c r="CK88" vm="16094">
        <f ca="1"/>
        <v>179.32</v>
      </c>
      <c r="CL88" vm="16095">
        <f ca="1"/>
        <v>180.05</v>
      </c>
      <c r="CM88" vm="16096">
        <f ca="1"/>
        <v>184.02</v>
      </c>
      <c r="CN88" vm="16097">
        <f ca="1"/>
        <v>182.85</v>
      </c>
      <c r="CO88" vm="16098">
        <f ca="1"/>
        <v>183.47</v>
      </c>
      <c r="CP88" vm="16099">
        <f ca="1"/>
        <v>184.94</v>
      </c>
      <c r="CQ88" vm="16100">
        <f ca="1"/>
        <v>185.48</v>
      </c>
      <c r="CR88" vm="15109">
        <f ca="1"/>
        <v>184.79</v>
      </c>
      <c r="CS88" vm="4460">
        <f ca="1"/>
        <v>188.03</v>
      </c>
      <c r="CT88" vm="16101">
        <f ca="1"/>
        <v>186.78</v>
      </c>
      <c r="CU88" vm="16102">
        <f ca="1"/>
        <v>185.47</v>
      </c>
      <c r="CV88" vm="16103">
        <f ca="1"/>
        <v>184.08</v>
      </c>
      <c r="CW88" vm="16104">
        <f ca="1"/>
        <v>186.63</v>
      </c>
      <c r="CX88" vm="16081">
        <f ca="1"/>
        <v>187.1</v>
      </c>
      <c r="CY88" vm="16084">
        <f ca="1"/>
        <v>191.22</v>
      </c>
      <c r="CZ88" vm="16105">
        <f ca="1"/>
        <v>190.42</v>
      </c>
      <c r="DA88" vm="4429">
        <f ca="1"/>
        <v>188.71</v>
      </c>
      <c r="DB88" vm="16106">
        <f ca="1"/>
        <v>190.52</v>
      </c>
      <c r="DC88" vm="16107">
        <f ca="1"/>
        <v>192.39</v>
      </c>
      <c r="DD88" vm="16108">
        <f ca="1"/>
        <v>192.98</v>
      </c>
      <c r="DE88" vm="16072">
        <f ca="1"/>
        <v>192.3</v>
      </c>
      <c r="DF88" vm="16109">
        <f ca="1"/>
        <v>189.61</v>
      </c>
      <c r="DG88" vm="11804">
        <f ca="1"/>
        <v>189.41</v>
      </c>
      <c r="DH88" vm="16110">
        <f ca="1"/>
        <v>189.47</v>
      </c>
      <c r="DI88" vm="884">
        <f ca="1"/>
        <v>193.01</v>
      </c>
      <c r="DJ88" vm="4459">
        <f ca="1"/>
        <v>190.18</v>
      </c>
      <c r="DK88" vm="16111">
        <f ca="1"/>
        <v>190.77</v>
      </c>
      <c r="DL88" vm="16112">
        <f ca="1"/>
        <v>190.6</v>
      </c>
      <c r="DM88" vm="16113">
        <f ca="1"/>
        <v>191.57</v>
      </c>
      <c r="DN88" vm="8072">
        <f ca="1"/>
        <v>193.76</v>
      </c>
      <c r="DO88" vm="16114">
        <f ca="1"/>
        <v>194.4</v>
      </c>
      <c r="DP88" vm="16115">
        <f ca="1"/>
        <v>193.88</v>
      </c>
      <c r="DQ88" vm="7037">
        <f ca="1"/>
        <v>194.37</v>
      </c>
      <c r="DR88" vm="16116">
        <f ca="1"/>
        <v>195.68</v>
      </c>
      <c r="DS88" vm="16117">
        <f ca="1"/>
        <v>196.64</v>
      </c>
      <c r="DT88" vm="16118">
        <f ca="1"/>
        <v>194.63</v>
      </c>
      <c r="DU88" vm="16046">
        <f ca="1"/>
        <v>195.47</v>
      </c>
      <c r="DV88" vm="16119">
        <f ca="1"/>
        <v>192.64</v>
      </c>
      <c r="DW88" vm="16120">
        <f ca="1"/>
        <v>194.2</v>
      </c>
      <c r="DX88" vm="8054">
        <f ca="1"/>
        <v>192.62</v>
      </c>
      <c r="DY88" vm="7342">
        <f ca="1"/>
        <v>192.12</v>
      </c>
      <c r="DZ88" vm="16121">
        <f ca="1"/>
        <v>190.68</v>
      </c>
      <c r="EA88" vm="16122">
        <f ca="1"/>
        <v>193.3</v>
      </c>
      <c r="EB88" vm="16123">
        <f ca="1"/>
        <v>194.83</v>
      </c>
      <c r="EC88" vm="16124">
        <f ca="1"/>
        <v>193.18</v>
      </c>
      <c r="ED88" vm="16125">
        <f ca="1"/>
        <v>194.7</v>
      </c>
      <c r="EE88" vm="16126">
        <f ca="1"/>
        <v>194.77</v>
      </c>
      <c r="EF88" vm="16123">
        <f ca="1"/>
        <v>194.83</v>
      </c>
      <c r="EG88" vm="16127">
        <f ca="1"/>
        <v>199.27</v>
      </c>
      <c r="EH88" vm="16128">
        <f ca="1"/>
        <v>202.17</v>
      </c>
      <c r="EI88" vm="16058">
        <f ca="1"/>
        <v>202.46</v>
      </c>
      <c r="EJ88" vm="16129">
        <f ca="1"/>
        <v>200.14</v>
      </c>
      <c r="EK88" vm="16130">
        <f ca="1"/>
        <v>201.27</v>
      </c>
      <c r="EL88" vm="8207">
        <f ca="1"/>
        <v>202.35</v>
      </c>
      <c r="EM88" vm="16131">
        <f ca="1"/>
        <v>203.89</v>
      </c>
      <c r="EN88" vm="16132">
        <f ca="1"/>
        <v>202.32</v>
      </c>
      <c r="EO88" vm="11811">
        <f ca="1"/>
        <v>201.45</v>
      </c>
      <c r="EP88" vm="14853">
        <f ca="1"/>
        <v>197.54</v>
      </c>
      <c r="EQ88" vm="16133">
        <f ca="1"/>
        <v>197.97</v>
      </c>
      <c r="ER88" vm="16134">
        <f ca="1"/>
        <v>199.57</v>
      </c>
      <c r="ES88" vm="16135">
        <f ca="1"/>
        <v>200.08</v>
      </c>
      <c r="ET88" vm="16136">
        <f ca="1"/>
        <v>200.94</v>
      </c>
      <c r="EU88" vm="8052">
        <f ca="1"/>
        <v>203.6</v>
      </c>
      <c r="EV88" vm="16137">
        <f ca="1"/>
        <v>204.3</v>
      </c>
      <c r="EW88" vm="16138">
        <f ca="1"/>
        <v>202.45</v>
      </c>
      <c r="EX88" vm="16139">
        <f ca="1"/>
        <v>204.69</v>
      </c>
      <c r="EY88" vm="16140">
        <f ca="1"/>
        <v>201.81</v>
      </c>
      <c r="EZ88" vm="16141">
        <f ca="1"/>
        <v>201</v>
      </c>
      <c r="FA88" vm="16142">
        <f ca="1"/>
        <v>197.12</v>
      </c>
      <c r="FB88" vm="16143">
        <f ca="1"/>
        <v>194.82</v>
      </c>
      <c r="FC88" vm="16144">
        <f ca="1"/>
        <v>193.21</v>
      </c>
      <c r="FD88" vm="8087">
        <f ca="1"/>
        <v>195.94</v>
      </c>
      <c r="FE88" vm="16145">
        <f ca="1"/>
        <v>197.8</v>
      </c>
      <c r="FF88" vm="16146">
        <f ca="1"/>
        <v>196.35</v>
      </c>
      <c r="FG88" vm="16147">
        <f ca="1"/>
        <v>198.6</v>
      </c>
      <c r="FH88" vm="16148">
        <f ca="1"/>
        <v>199.77</v>
      </c>
      <c r="FI88" vm="5794">
        <f ca="1"/>
        <v>199.09</v>
      </c>
      <c r="FJ88" vm="16149">
        <f ca="1"/>
        <v>202.13</v>
      </c>
      <c r="FK88" vm="16150">
        <f ca="1"/>
        <v>205.85</v>
      </c>
      <c r="FL88" vm="16151">
        <f ca="1"/>
        <v>203.82</v>
      </c>
      <c r="FM88" vm="16152">
        <f ca="1"/>
        <v>203.71</v>
      </c>
      <c r="FN88" vm="4132">
        <f ca="1"/>
        <v>202.56</v>
      </c>
      <c r="FO88" vm="16153">
        <f ca="1"/>
        <v>203.54</v>
      </c>
      <c r="FP88" vm="16154">
        <f ca="1"/>
        <v>203.5</v>
      </c>
      <c r="FQ88" vm="16155">
        <f ca="1"/>
        <v>203.94</v>
      </c>
      <c r="FR88" vm="16156">
        <f ca="1"/>
        <v>208.15</v>
      </c>
      <c r="FS88" vm="16157">
        <f ca="1"/>
        <v>207.04</v>
      </c>
      <c r="FT88" vm="16158">
        <f ca="1"/>
        <v>207.76</v>
      </c>
      <c r="FU88" vm="16159">
        <f ca="1"/>
        <v>208.14</v>
      </c>
      <c r="FV88" vm="4127">
        <f ca="1"/>
        <v>208.13</v>
      </c>
      <c r="FW88" vm="16160">
        <f ca="1"/>
        <v>208.36</v>
      </c>
      <c r="FX88" vm="16161">
        <f ca="1"/>
        <v>206.73</v>
      </c>
      <c r="FY88" vm="16162">
        <f ca="1"/>
        <v>205.49</v>
      </c>
      <c r="FZ88" vm="16163">
        <f ca="1"/>
        <v>206.32</v>
      </c>
      <c r="GA88" vm="16164">
        <f ca="1"/>
        <v>208.16</v>
      </c>
      <c r="GB88" vm="16165">
        <f ca="1"/>
        <v>208.51</v>
      </c>
      <c r="GC88" vm="7350">
        <f ca="1"/>
        <v>205.3</v>
      </c>
      <c r="GD88" vm="5752">
        <f ca="1"/>
        <v>205.67</v>
      </c>
      <c r="GE88" vm="16166">
        <f ca="1"/>
        <v>210.15</v>
      </c>
      <c r="GF88" vm="16164">
        <f ca="1"/>
        <v>208.16</v>
      </c>
      <c r="GG88" vm="16167">
        <f ca="1"/>
        <v>207.22</v>
      </c>
      <c r="GH88" vm="16168">
        <f ca="1"/>
        <v>206.01</v>
      </c>
      <c r="GI88" vm="16169">
        <f ca="1"/>
        <v>206.35</v>
      </c>
      <c r="GJ88" vm="16170">
        <f ca="1"/>
        <v>206.59</v>
      </c>
      <c r="GK88" vm="16171">
        <f ca="1"/>
        <v>206.62</v>
      </c>
      <c r="GL88" vm="16172">
        <f ca="1"/>
        <v>206.69</v>
      </c>
      <c r="GM88" vm="4082">
        <f ca="1"/>
        <v>205.95</v>
      </c>
      <c r="GN88" vm="16173">
        <f ca="1"/>
        <v>202.26</v>
      </c>
      <c r="GO88" vm="16174">
        <f ca="1"/>
        <v>200.26</v>
      </c>
      <c r="GP88" vm="16175">
        <f ca="1"/>
        <v>202.6</v>
      </c>
      <c r="GQ88" vm="16176">
        <f ca="1"/>
        <v>203.16</v>
      </c>
      <c r="GR88" vm="16177">
        <f ca="1"/>
        <v>204.86</v>
      </c>
      <c r="GS88" vm="16178">
        <f ca="1"/>
        <v>203.28</v>
      </c>
      <c r="GT88" vm="16179">
        <f ca="1"/>
        <v>205.18</v>
      </c>
      <c r="GU88" vm="4133">
        <f ca="1"/>
        <v>205.51</v>
      </c>
      <c r="GV88" vm="16180">
        <f ca="1"/>
        <v>205.29</v>
      </c>
      <c r="GW88" vm="16181">
        <f ca="1"/>
        <v>204.2</v>
      </c>
      <c r="GX88" vm="16182">
        <f ca="1"/>
        <v>205.97669999999999</v>
      </c>
      <c r="GY88" vm="16183">
        <f ca="1"/>
        <v>202.74</v>
      </c>
      <c r="GZ88" vm="16184">
        <f ca="1"/>
        <v>199.04</v>
      </c>
      <c r="HA88" vm="16185">
        <f ca="1"/>
        <v>202.82</v>
      </c>
      <c r="HB88" vm="16186">
        <f ca="1"/>
        <v>204.83</v>
      </c>
      <c r="HC88" vm="16187">
        <f ca="1"/>
        <v>203.92</v>
      </c>
      <c r="HD88" vm="16188">
        <f ca="1"/>
        <v>202.64</v>
      </c>
      <c r="HE88" vm="7756">
        <f ca="1"/>
        <v>201.58</v>
      </c>
      <c r="HF88" vm="16189">
        <f ca="1"/>
        <v>204.36</v>
      </c>
      <c r="HG88" vm="16190">
        <f ca="1"/>
        <v>202.61</v>
      </c>
      <c r="HH88" vm="16191">
        <f ca="1"/>
        <v>201.35</v>
      </c>
      <c r="HI88" vm="16192">
        <f ca="1"/>
        <v>203.46</v>
      </c>
      <c r="HJ88" vm="16193">
        <f ca="1"/>
        <v>202.94</v>
      </c>
      <c r="HK88" vm="16132">
        <f ca="1"/>
        <v>202.32</v>
      </c>
      <c r="HL88" vm="16194">
        <f ca="1"/>
        <v>202.36</v>
      </c>
      <c r="HM88" vm="16048">
        <f ca="1"/>
        <v>198.75</v>
      </c>
      <c r="HN88" vm="5754">
        <f ca="1"/>
        <v>196.39</v>
      </c>
      <c r="HO88" vm="16195">
        <f ca="1"/>
        <v>195.14</v>
      </c>
      <c r="HP88" vm="886">
        <f ca="1"/>
        <v>193.69</v>
      </c>
      <c r="HQ88" vm="16196">
        <f ca="1"/>
        <v>192.26</v>
      </c>
      <c r="HR88" vm="16197">
        <f ca="1"/>
        <v>193.09</v>
      </c>
      <c r="HS88" vm="16198">
        <f ca="1"/>
        <v>192.4469</v>
      </c>
      <c r="HT88" vm="883">
        <f ca="1"/>
        <v>194.59</v>
      </c>
      <c r="HU88" vm="16199">
        <f ca="1"/>
        <v>196.73</v>
      </c>
      <c r="HV88" vm="16200">
        <f ca="1"/>
        <v>198.17</v>
      </c>
      <c r="HW88" vm="16201">
        <f ca="1"/>
        <v>199.72</v>
      </c>
      <c r="HX88" vm="16202">
        <f ca="1"/>
        <v>198.06</v>
      </c>
      <c r="HY88" vm="714">
        <f ca="1"/>
        <v>195.8</v>
      </c>
      <c r="HZ88" vm="16203">
        <f ca="1"/>
        <v>192.7</v>
      </c>
      <c r="IA88" vm="16203">
        <f ca="1"/>
        <v>192.7</v>
      </c>
      <c r="IB88" vm="1996">
        <f ca="1"/>
        <v>193.48</v>
      </c>
      <c r="IC88" vm="1997">
        <f ca="1"/>
        <v>190.36</v>
      </c>
      <c r="ID88" vm="1998">
        <f ca="1"/>
        <v>194.54</v>
      </c>
      <c r="IE88" vm="1999">
        <f ca="1"/>
        <v>195.84</v>
      </c>
      <c r="IF88" vm="2000">
        <f ca="1"/>
        <v>198.92</v>
      </c>
      <c r="IG88" vm="2001">
        <f ca="1"/>
        <v>201.57</v>
      </c>
      <c r="IH88" vm="2002">
        <f ca="1"/>
        <v>203.05</v>
      </c>
      <c r="II88" vm="2003">
        <f ca="1"/>
        <v>202.66</v>
      </c>
      <c r="IJ88" vm="2004">
        <f ca="1"/>
        <v>201.1</v>
      </c>
      <c r="IK88" vm="2005">
        <f ca="1"/>
        <v>202.88</v>
      </c>
      <c r="IL88" vm="2006">
        <f ca="1"/>
        <v>201.98</v>
      </c>
      <c r="IM88" vm="2007">
        <f ca="1"/>
        <v>201.37</v>
      </c>
      <c r="IN88" vm="2008">
        <f ca="1"/>
        <v>198.95</v>
      </c>
      <c r="IO88" vm="2009">
        <f ca="1"/>
        <v>198.845</v>
      </c>
      <c r="IP88" vm="2010">
        <f ca="1"/>
        <v>202.51</v>
      </c>
      <c r="IQ88" vm="2011">
        <f ca="1"/>
        <v>207.35</v>
      </c>
      <c r="IR88" vm="2012">
        <f ca="1"/>
        <v>207.07</v>
      </c>
      <c r="IS88" vm="2013">
        <f ca="1"/>
        <v>206.9</v>
      </c>
      <c r="IT88" vm="2014">
        <f ca="1"/>
        <v>206.47</v>
      </c>
      <c r="IU88" vm="2015">
        <f ca="1"/>
        <v>206.16</v>
      </c>
      <c r="IV88" vm="2016">
        <f ca="1"/>
        <v>206.5</v>
      </c>
      <c r="IW88" vm="151">
        <f ca="1"/>
        <v>207.31</v>
      </c>
    </row>
    <row r="89" spans="1:257" ht="16" x14ac:dyDescent="0.2">
      <c r="A89" s="13" t="e" vm="2017">
        <v>#VALUE!</v>
      </c>
      <c r="B89" s="23" t="str" cm="1">
        <f t="array" aca="1" ref="B89" ca="1">_FV(A89,"ticker symbol",TRUE)</f>
        <v>VNQ</v>
      </c>
      <c r="C89" s="23" t="str" cm="1">
        <f t="array" aca="1" ref="C89" ca="1">_FV(A89,"Name")</f>
        <v>Vanguard RE Idx;ETF</v>
      </c>
      <c r="D89" cm="1" vm="1322">
        <f t="array" aca="1" ref="D89:IW89" ca="1">TRANSPOSE(_xlfn.STOCKHISTORY(B89, WORKDAY(TODAY(), -265), TODAY(), 0, 0, 1))</f>
        <v>93.52</v>
      </c>
      <c r="E89" s="23" vm="10931">
        <f ca="1"/>
        <v>93.07</v>
      </c>
      <c r="F89" s="23" vm="3135">
        <f ca="1"/>
        <v>89.23</v>
      </c>
      <c r="G89" s="23" vm="16204">
        <f ca="1"/>
        <v>87.85</v>
      </c>
      <c r="H89" s="23" vm="4512">
        <f ca="1"/>
        <v>89.33</v>
      </c>
      <c r="I89" s="23" vm="1710">
        <f ca="1"/>
        <v>88.82</v>
      </c>
      <c r="J89" s="23" vm="16205">
        <f ca="1"/>
        <v>89.41</v>
      </c>
      <c r="K89" s="23" vm="16206">
        <f ca="1"/>
        <v>89.65</v>
      </c>
      <c r="L89" s="23" vm="16207">
        <f ca="1"/>
        <v>88.75</v>
      </c>
      <c r="M89" s="23" vm="3144">
        <f ca="1"/>
        <v>88.31</v>
      </c>
      <c r="N89" s="23" vm="6191">
        <f ca="1"/>
        <v>89.08</v>
      </c>
      <c r="O89" s="23" vm="6754">
        <f ca="1"/>
        <v>88.29</v>
      </c>
      <c r="P89" s="23" vm="2028">
        <f ca="1"/>
        <v>89.45</v>
      </c>
      <c r="Q89" s="23" vm="6196">
        <f ca="1"/>
        <v>88.3</v>
      </c>
      <c r="R89" s="23" vm="12493">
        <f ca="1"/>
        <v>87.46</v>
      </c>
      <c r="S89" s="23" vm="4531">
        <f ca="1"/>
        <v>87.69</v>
      </c>
      <c r="T89" s="23" vm="16208">
        <f ca="1"/>
        <v>85.55</v>
      </c>
      <c r="U89" s="23" vm="16209">
        <f ca="1"/>
        <v>86.6</v>
      </c>
      <c r="V89" s="23" vm="12435">
        <f ca="1"/>
        <v>87.39</v>
      </c>
      <c r="W89" s="23" vm="974">
        <f ca="1"/>
        <v>87.89</v>
      </c>
      <c r="X89" s="23" vm="6094">
        <f ca="1"/>
        <v>89.71</v>
      </c>
      <c r="Y89" s="23" vm="16206">
        <f ca="1"/>
        <v>89.65</v>
      </c>
      <c r="Z89" s="23" vm="1894">
        <f ca="1"/>
        <v>91.33</v>
      </c>
      <c r="AA89" s="23" vm="16210">
        <f ca="1"/>
        <v>89.74</v>
      </c>
      <c r="AB89" s="23" vm="7286">
        <f ca="1"/>
        <v>90.4</v>
      </c>
      <c r="AC89" s="23" vm="6834">
        <f ca="1"/>
        <v>90.71</v>
      </c>
      <c r="AD89" vm="6826">
        <f ca="1"/>
        <v>91.92</v>
      </c>
      <c r="AE89" vm="1843">
        <f ca="1"/>
        <v>90.81</v>
      </c>
      <c r="AF89" vm="6102">
        <f ca="1"/>
        <v>89.61</v>
      </c>
      <c r="AG89" vm="15282">
        <f ca="1"/>
        <v>90.75</v>
      </c>
      <c r="AH89" vm="15283">
        <f ca="1"/>
        <v>90.55</v>
      </c>
      <c r="AI89" vm="6086">
        <f ca="1"/>
        <v>90.36</v>
      </c>
      <c r="AJ89" vm="16211">
        <f ca="1"/>
        <v>90.43</v>
      </c>
      <c r="AK89" vm="7282">
        <f ca="1"/>
        <v>91.7</v>
      </c>
      <c r="AL89" vm="5587">
        <f ca="1"/>
        <v>91.93</v>
      </c>
      <c r="AM89" vm="12510">
        <f ca="1"/>
        <v>91.63</v>
      </c>
      <c r="AN89" vm="6829">
        <f ca="1"/>
        <v>91.59</v>
      </c>
      <c r="AO89" vm="6201">
        <f ca="1"/>
        <v>91.99</v>
      </c>
      <c r="AP89" vm="4469">
        <f ca="1"/>
        <v>91.14</v>
      </c>
      <c r="AQ89" vm="10914">
        <f ca="1"/>
        <v>92.05</v>
      </c>
      <c r="AR89" vm="12510">
        <f ca="1"/>
        <v>91.63</v>
      </c>
      <c r="AS89" vm="6832">
        <f ca="1"/>
        <v>92.04</v>
      </c>
      <c r="AT89" vm="5585">
        <f ca="1"/>
        <v>92.11</v>
      </c>
      <c r="AU89" vm="12512">
        <f ca="1"/>
        <v>92.55</v>
      </c>
      <c r="AV89" vm="1721">
        <f ca="1"/>
        <v>91.64</v>
      </c>
      <c r="AW89" vm="1844">
        <f ca="1"/>
        <v>92</v>
      </c>
      <c r="AX89" vm="16212">
        <f ca="1"/>
        <v>93.13</v>
      </c>
      <c r="AY89" vm="16213">
        <f ca="1"/>
        <v>92.74</v>
      </c>
      <c r="AZ89" vm="7943">
        <f ca="1"/>
        <v>93.11</v>
      </c>
      <c r="BA89" vm="10917">
        <f ca="1"/>
        <v>93.9</v>
      </c>
      <c r="BB89" vm="16214">
        <f ca="1"/>
        <v>94.34</v>
      </c>
      <c r="BC89" vm="16215">
        <f ca="1"/>
        <v>93.25</v>
      </c>
      <c r="BD89" vm="13454">
        <f ca="1"/>
        <v>94.29</v>
      </c>
      <c r="BE89" vm="2845">
        <f ca="1"/>
        <v>91.87</v>
      </c>
      <c r="BF89" vm="16216">
        <f ca="1"/>
        <v>92.42</v>
      </c>
      <c r="BG89" vm="6221">
        <f ca="1"/>
        <v>91.53</v>
      </c>
      <c r="BH89" vm="16217">
        <f ca="1"/>
        <v>90.46</v>
      </c>
      <c r="BI89" vm="7279">
        <f ca="1"/>
        <v>90.18</v>
      </c>
      <c r="BJ89" vm="16218">
        <f ca="1"/>
        <v>88.4</v>
      </c>
      <c r="BK89" vm="12503">
        <f ca="1"/>
        <v>90.17</v>
      </c>
      <c r="BL89" vm="12516">
        <f ca="1"/>
        <v>91.71</v>
      </c>
      <c r="BM89" vm="6804">
        <f ca="1"/>
        <v>91.23</v>
      </c>
      <c r="BN89" vm="95">
        <f ca="1"/>
        <v>91.34</v>
      </c>
      <c r="BO89" vm="4471">
        <f ca="1"/>
        <v>91.28</v>
      </c>
      <c r="BP89" vm="16219">
        <f ca="1"/>
        <v>90.27</v>
      </c>
      <c r="BQ89" vm="7940">
        <f ca="1"/>
        <v>91.66</v>
      </c>
      <c r="BR89" vm="6094">
        <f ca="1"/>
        <v>89.71</v>
      </c>
      <c r="BS89" vm="4535">
        <f ca="1"/>
        <v>90.06</v>
      </c>
      <c r="BT89" vm="16220">
        <f ca="1"/>
        <v>89.83</v>
      </c>
      <c r="BU89" vm="6094">
        <f ca="1"/>
        <v>89.71</v>
      </c>
      <c r="BV89" vm="6833">
        <f ca="1"/>
        <v>90.54</v>
      </c>
      <c r="BW89" vm="16221">
        <f ca="1"/>
        <v>90.58</v>
      </c>
      <c r="BX89" vm="4504">
        <f ca="1"/>
        <v>91.13</v>
      </c>
      <c r="BY89" vm="591">
        <f ca="1"/>
        <v>88.02</v>
      </c>
      <c r="BZ89" vm="16222">
        <f ca="1"/>
        <v>84.2</v>
      </c>
      <c r="CA89" vm="5951">
        <f ca="1"/>
        <v>81.99</v>
      </c>
      <c r="CB89" vm="13568">
        <f ca="1"/>
        <v>79.790000000000006</v>
      </c>
      <c r="CC89" vm="6072">
        <f ca="1"/>
        <v>84.55</v>
      </c>
      <c r="CD89" vm="6780">
        <f ca="1"/>
        <v>82.62</v>
      </c>
      <c r="CE89" vm="10226">
        <f ca="1"/>
        <v>83.63</v>
      </c>
      <c r="CF89" vm="15345">
        <f ca="1"/>
        <v>85.36</v>
      </c>
      <c r="CG89" vm="7259">
        <f ca="1"/>
        <v>85.62</v>
      </c>
      <c r="CH89" vm="6183">
        <f ca="1"/>
        <v>85.56</v>
      </c>
      <c r="CI89" vm="14604">
        <f ca="1"/>
        <v>86.84</v>
      </c>
      <c r="CJ89" vm="8294">
        <f ca="1"/>
        <v>85.03</v>
      </c>
      <c r="CK89" vm="6767">
        <f ca="1"/>
        <v>86.68</v>
      </c>
      <c r="CL89" vm="14604">
        <f ca="1"/>
        <v>86.84</v>
      </c>
      <c r="CM89" vm="6193">
        <f ca="1"/>
        <v>87.16</v>
      </c>
      <c r="CN89" vm="6770">
        <f ca="1"/>
        <v>87.01</v>
      </c>
      <c r="CO89" vm="128">
        <f ca="1"/>
        <v>87.55</v>
      </c>
      <c r="CP89" vm="591">
        <f ca="1"/>
        <v>88.02</v>
      </c>
      <c r="CQ89" vm="6747">
        <f ca="1"/>
        <v>88.33</v>
      </c>
      <c r="CR89" vm="6756">
        <f ca="1"/>
        <v>88.62</v>
      </c>
      <c r="CS89" vm="6094">
        <f ca="1"/>
        <v>89.71</v>
      </c>
      <c r="CT89" vm="6821">
        <f ca="1"/>
        <v>89.51</v>
      </c>
      <c r="CU89" vm="1710">
        <f ca="1"/>
        <v>88.82</v>
      </c>
      <c r="CV89" vm="104">
        <f ca="1"/>
        <v>88.92</v>
      </c>
      <c r="CW89" vm="6091">
        <f ca="1"/>
        <v>88.57</v>
      </c>
      <c r="CX89" vm="16223">
        <f ca="1"/>
        <v>89.16</v>
      </c>
      <c r="CY89" vm="13447">
        <f ca="1"/>
        <v>89.6</v>
      </c>
      <c r="CZ89" vm="7293">
        <f ca="1"/>
        <v>88.46</v>
      </c>
      <c r="DA89" vm="16224">
        <f ca="1"/>
        <v>87.59</v>
      </c>
      <c r="DB89" vm="2025">
        <f ca="1"/>
        <v>89.19</v>
      </c>
      <c r="DC89" vm="2839">
        <f ca="1"/>
        <v>90.3</v>
      </c>
      <c r="DD89" vm="7946">
        <f ca="1"/>
        <v>90.32</v>
      </c>
      <c r="DE89" vm="2840">
        <f ca="1"/>
        <v>89.79</v>
      </c>
      <c r="DF89" vm="3147">
        <f ca="1"/>
        <v>87.4</v>
      </c>
      <c r="DG89" vm="16225">
        <f ca="1"/>
        <v>87</v>
      </c>
      <c r="DH89" vm="12527">
        <f ca="1"/>
        <v>87.09</v>
      </c>
      <c r="DI89" vm="450">
        <f ca="1"/>
        <v>88.61</v>
      </c>
      <c r="DJ89" vm="6198">
        <f ca="1"/>
        <v>88.52</v>
      </c>
      <c r="DK89" vm="16226">
        <f ca="1"/>
        <v>89.32</v>
      </c>
      <c r="DL89" vm="16226">
        <f ca="1"/>
        <v>89.32</v>
      </c>
      <c r="DM89" vm="6751">
        <f ca="1"/>
        <v>89.44</v>
      </c>
      <c r="DN89" vm="6755">
        <f ca="1"/>
        <v>89.26</v>
      </c>
      <c r="DO89" vm="6821">
        <f ca="1"/>
        <v>89.51</v>
      </c>
      <c r="DP89" vm="6751">
        <f ca="1"/>
        <v>89.44</v>
      </c>
      <c r="DQ89" vm="7944">
        <f ca="1"/>
        <v>89.87</v>
      </c>
      <c r="DR89" vm="595">
        <f ca="1"/>
        <v>89.99</v>
      </c>
      <c r="DS89" vm="16227">
        <f ca="1"/>
        <v>90.76</v>
      </c>
      <c r="DT89" vm="16219">
        <f ca="1"/>
        <v>90.27</v>
      </c>
      <c r="DU89" vm="6834">
        <f ca="1"/>
        <v>90.71</v>
      </c>
      <c r="DV89" vm="16220">
        <f ca="1"/>
        <v>89.83</v>
      </c>
      <c r="DW89" vm="6189">
        <f ca="1"/>
        <v>89.9</v>
      </c>
      <c r="DX89" vm="12500">
        <f ca="1"/>
        <v>89.58</v>
      </c>
      <c r="DY89" vm="12967">
        <f ca="1"/>
        <v>89.89</v>
      </c>
      <c r="DZ89" vm="16220">
        <f ca="1"/>
        <v>89.83</v>
      </c>
      <c r="EA89" vm="15281">
        <f ca="1"/>
        <v>91.18</v>
      </c>
      <c r="EB89" vm="1897">
        <f ca="1"/>
        <v>91.42</v>
      </c>
      <c r="EC89" vm="2838">
        <f ca="1"/>
        <v>89.22</v>
      </c>
      <c r="ED89" vm="1334">
        <f ca="1"/>
        <v>88.27</v>
      </c>
      <c r="EE89" vm="6190">
        <f ca="1"/>
        <v>88.49</v>
      </c>
      <c r="EF89" vm="3140">
        <f ca="1"/>
        <v>89.06</v>
      </c>
      <c r="EG89" vm="6094">
        <f ca="1"/>
        <v>89.71</v>
      </c>
      <c r="EH89" vm="6758">
        <f ca="1"/>
        <v>89.92</v>
      </c>
      <c r="EI89" vm="13462">
        <f ca="1"/>
        <v>90.02</v>
      </c>
      <c r="EJ89" vm="14600">
        <f ca="1"/>
        <v>89.25</v>
      </c>
      <c r="EK89" vm="16228">
        <f ca="1"/>
        <v>89.12</v>
      </c>
      <c r="EL89" vm="2025">
        <f ca="1"/>
        <v>89.19</v>
      </c>
      <c r="EM89" vm="12485">
        <f ca="1"/>
        <v>89.75</v>
      </c>
      <c r="EN89" vm="6112">
        <f ca="1"/>
        <v>89.76</v>
      </c>
      <c r="EO89" vm="6200">
        <f ca="1"/>
        <v>90.34</v>
      </c>
      <c r="EP89" vm="1498">
        <f ca="1"/>
        <v>89.01</v>
      </c>
      <c r="EQ89" vm="4506">
        <f ca="1"/>
        <v>89.85</v>
      </c>
      <c r="ER89" vm="12485">
        <f ca="1"/>
        <v>89.75</v>
      </c>
      <c r="ES89" vm="16229">
        <f ca="1"/>
        <v>89.94</v>
      </c>
      <c r="ET89" vm="13692">
        <f ca="1"/>
        <v>90.31</v>
      </c>
      <c r="EU89" vm="12456">
        <f ca="1"/>
        <v>91.86</v>
      </c>
      <c r="EV89" vm="6832">
        <f ca="1"/>
        <v>92.04</v>
      </c>
      <c r="EW89" vm="16230">
        <f ca="1"/>
        <v>91.72</v>
      </c>
      <c r="EX89" vm="16231">
        <f ca="1"/>
        <v>91.73</v>
      </c>
      <c r="EY89" vm="12518">
        <f ca="1"/>
        <v>90.26</v>
      </c>
      <c r="EZ89" vm="12516">
        <f ca="1"/>
        <v>91.71</v>
      </c>
      <c r="FA89" vm="12521">
        <f ca="1"/>
        <v>90.41</v>
      </c>
      <c r="FB89" vm="6752">
        <f ca="1"/>
        <v>89.14</v>
      </c>
      <c r="FC89" vm="104">
        <f ca="1"/>
        <v>88.92</v>
      </c>
      <c r="FD89" vm="16220">
        <f ca="1"/>
        <v>89.83</v>
      </c>
      <c r="FE89" vm="3138">
        <f ca="1"/>
        <v>90.24</v>
      </c>
      <c r="FF89" vm="6219">
        <f ca="1"/>
        <v>89.54</v>
      </c>
      <c r="FG89" vm="1496">
        <f ca="1"/>
        <v>89.8</v>
      </c>
      <c r="FH89" vm="3140">
        <f ca="1"/>
        <v>89.06</v>
      </c>
      <c r="FI89" vm="590">
        <f ca="1"/>
        <v>88.47</v>
      </c>
      <c r="FJ89" vm="6205">
        <f ca="1"/>
        <v>88.97</v>
      </c>
      <c r="FK89" vm="1496">
        <f ca="1"/>
        <v>89.8</v>
      </c>
      <c r="FL89" vm="16223">
        <f ca="1"/>
        <v>89.16</v>
      </c>
      <c r="FM89" vm="16232">
        <f ca="1"/>
        <v>89.67</v>
      </c>
      <c r="FN89" vm="6203">
        <f ca="1"/>
        <v>88.91</v>
      </c>
      <c r="FO89" vm="16233">
        <f ca="1"/>
        <v>90.44</v>
      </c>
      <c r="FP89" vm="13451">
        <f ca="1"/>
        <v>90.7</v>
      </c>
      <c r="FQ89" vm="16211">
        <f ca="1"/>
        <v>90.43</v>
      </c>
      <c r="FR89" vm="6824">
        <f ca="1"/>
        <v>92.18</v>
      </c>
      <c r="FS89" vm="16234">
        <f ca="1"/>
        <v>91.65</v>
      </c>
      <c r="FT89" vm="12978">
        <f ca="1"/>
        <v>91.41</v>
      </c>
      <c r="FU89" vm="12964">
        <f ca="1"/>
        <v>91.98</v>
      </c>
      <c r="FV89" vm="1317">
        <f ca="1"/>
        <v>91.74</v>
      </c>
      <c r="FW89" vm="6809">
        <f ca="1"/>
        <v>92.24</v>
      </c>
      <c r="FX89" vm="6834">
        <f ca="1"/>
        <v>90.71</v>
      </c>
      <c r="FY89" vm="16227">
        <f ca="1"/>
        <v>90.76</v>
      </c>
      <c r="FZ89" vm="16235">
        <f ca="1"/>
        <v>91.44</v>
      </c>
      <c r="GA89" vm="1720">
        <f ca="1"/>
        <v>92.47</v>
      </c>
      <c r="GB89" vm="5587">
        <f ca="1"/>
        <v>91.93</v>
      </c>
      <c r="GC89" vm="16230">
        <f ca="1"/>
        <v>91.72</v>
      </c>
      <c r="GD89" vm="7284">
        <f ca="1"/>
        <v>91.57</v>
      </c>
      <c r="GE89" vm="6081">
        <f ca="1"/>
        <v>93.24</v>
      </c>
      <c r="GF89" vm="16236">
        <f ca="1"/>
        <v>92.81</v>
      </c>
      <c r="GG89" vm="12447">
        <f ca="1"/>
        <v>92.66</v>
      </c>
      <c r="GH89" vm="8281">
        <f ca="1"/>
        <v>92.17</v>
      </c>
      <c r="GI89" vm="10914">
        <f ca="1"/>
        <v>92.05</v>
      </c>
      <c r="GJ89" vm="16237">
        <f ca="1"/>
        <v>92.25</v>
      </c>
      <c r="GK89" vm="16234">
        <f ca="1"/>
        <v>91.65</v>
      </c>
      <c r="GL89" vm="6825">
        <f ca="1"/>
        <v>91.67</v>
      </c>
      <c r="GM89" vm="8281">
        <f ca="1"/>
        <v>92.17</v>
      </c>
      <c r="GN89" vm="7286">
        <f ca="1"/>
        <v>90.4</v>
      </c>
      <c r="GO89" vm="7289">
        <f ca="1"/>
        <v>90.13</v>
      </c>
      <c r="GP89" vm="12532">
        <f ca="1"/>
        <v>91.02</v>
      </c>
      <c r="GQ89" vm="16238">
        <f ca="1"/>
        <v>91.05</v>
      </c>
      <c r="GR89" vm="1897">
        <f ca="1"/>
        <v>91.42</v>
      </c>
      <c r="GS89" vm="12520">
        <f ca="1"/>
        <v>91.56</v>
      </c>
      <c r="GT89" vm="1318">
        <f ca="1"/>
        <v>91.08</v>
      </c>
      <c r="GU89" vm="1897">
        <f ca="1"/>
        <v>91.42</v>
      </c>
      <c r="GV89" vm="2836">
        <f ca="1"/>
        <v>90.56</v>
      </c>
      <c r="GW89" vm="6090">
        <f ca="1"/>
        <v>90.23</v>
      </c>
      <c r="GX89" vm="6112">
        <f ca="1"/>
        <v>89.76</v>
      </c>
      <c r="GY89" vm="4533">
        <f ca="1"/>
        <v>89.27</v>
      </c>
      <c r="GZ89" vm="4510">
        <f ca="1"/>
        <v>88.13</v>
      </c>
      <c r="HA89" vm="12458">
        <f ca="1"/>
        <v>88.69</v>
      </c>
      <c r="HB89" vm="13447">
        <f ca="1"/>
        <v>89.6</v>
      </c>
      <c r="HC89" vm="13452">
        <f ca="1"/>
        <v>90.9</v>
      </c>
      <c r="HD89" vm="16221">
        <f ca="1"/>
        <v>90.58</v>
      </c>
      <c r="HE89" vm="12494">
        <f ca="1"/>
        <v>91.17</v>
      </c>
      <c r="HF89" vm="16239">
        <f ca="1"/>
        <v>92.09</v>
      </c>
      <c r="HG89" vm="10816">
        <f ca="1"/>
        <v>91.83</v>
      </c>
      <c r="HH89" vm="16240">
        <f ca="1"/>
        <v>92.22</v>
      </c>
      <c r="HI89" vm="4470">
        <f ca="1"/>
        <v>92.16</v>
      </c>
      <c r="HJ89" vm="6120">
        <f ca="1"/>
        <v>92.43</v>
      </c>
      <c r="HK89" vm="12497">
        <f ca="1"/>
        <v>92.69</v>
      </c>
      <c r="HL89" vm="2842">
        <f ca="1"/>
        <v>90.87</v>
      </c>
      <c r="HM89" vm="2837">
        <f ca="1"/>
        <v>88.53</v>
      </c>
      <c r="HN89" vm="6171">
        <f ca="1"/>
        <v>88.95</v>
      </c>
      <c r="HO89" vm="536">
        <f ca="1"/>
        <v>89.18</v>
      </c>
      <c r="HP89" vm="1489">
        <f ca="1"/>
        <v>89.05</v>
      </c>
      <c r="HQ89" vm="16241">
        <f ca="1"/>
        <v>89.2</v>
      </c>
      <c r="HR89" vm="451">
        <f ca="1"/>
        <v>89.28</v>
      </c>
      <c r="HS89" vm="2026">
        <f ca="1"/>
        <v>88.85</v>
      </c>
      <c r="HT89" vm="6090">
        <f ca="1"/>
        <v>90.23</v>
      </c>
      <c r="HU89" vm="7279">
        <f ca="1"/>
        <v>90.18</v>
      </c>
      <c r="HV89" vm="6113">
        <f ca="1"/>
        <v>91.19</v>
      </c>
      <c r="HW89" vm="1333">
        <f ca="1"/>
        <v>90.51</v>
      </c>
      <c r="HX89" vm="535">
        <f ca="1"/>
        <v>89.4</v>
      </c>
      <c r="HY89" vm="1488">
        <f ca="1"/>
        <v>89.59</v>
      </c>
      <c r="HZ89" vm="2026">
        <f ca="1"/>
        <v>88.85</v>
      </c>
      <c r="IA89" vm="16242">
        <f ca="1"/>
        <v>89.21</v>
      </c>
      <c r="IB89" vm="597">
        <f ca="1"/>
        <v>88.51</v>
      </c>
      <c r="IC89" vm="1841">
        <f ca="1"/>
        <v>88.14</v>
      </c>
      <c r="ID89" vm="2018">
        <f ca="1"/>
        <v>89.57</v>
      </c>
      <c r="IE89" vm="2019">
        <f ca="1"/>
        <v>89.81</v>
      </c>
      <c r="IF89" vm="2020">
        <f ca="1"/>
        <v>90.64</v>
      </c>
      <c r="IG89" vm="2021">
        <f ca="1"/>
        <v>91.04</v>
      </c>
      <c r="IH89" vm="95">
        <f ca="1"/>
        <v>91.34</v>
      </c>
      <c r="II89" vm="2022">
        <f ca="1"/>
        <v>90.29</v>
      </c>
      <c r="IJ89" vm="2023">
        <f ca="1"/>
        <v>89.97</v>
      </c>
      <c r="IK89" vm="1716">
        <f ca="1"/>
        <v>90.2</v>
      </c>
      <c r="IL89" vm="2024">
        <f ca="1"/>
        <v>89.98</v>
      </c>
      <c r="IM89" vm="446">
        <f ca="1"/>
        <v>89.88</v>
      </c>
      <c r="IN89" vm="2025">
        <f ca="1"/>
        <v>89.19</v>
      </c>
      <c r="IO89" vm="2026">
        <f ca="1"/>
        <v>88.85</v>
      </c>
      <c r="IP89" vm="449">
        <f ca="1"/>
        <v>89.17</v>
      </c>
      <c r="IQ89" vm="2027">
        <f ca="1"/>
        <v>89.56</v>
      </c>
      <c r="IR89" vm="2028">
        <f ca="1"/>
        <v>89.45</v>
      </c>
      <c r="IS89" vm="2029">
        <f ca="1"/>
        <v>89.73</v>
      </c>
      <c r="IT89" vm="2030">
        <f ca="1"/>
        <v>89.07</v>
      </c>
      <c r="IU89" vm="535">
        <f ca="1"/>
        <v>89.4</v>
      </c>
      <c r="IV89" vm="2031">
        <f ca="1"/>
        <v>88.93</v>
      </c>
      <c r="IW89" vm="152">
        <f ca="1"/>
        <v>88.59</v>
      </c>
    </row>
    <row r="90" spans="1:257" ht="16" x14ac:dyDescent="0.2">
      <c r="A90" s="13" t="e" vm="2032">
        <v>#VALUE!</v>
      </c>
      <c r="B90" s="23" t="str" cm="1">
        <f t="array" aca="1" ref="B90" ca="1">_FV(A90,"ticker symbol",TRUE)</f>
        <v>IYR</v>
      </c>
      <c r="C90" s="23" t="str" cm="1">
        <f t="array" aca="1" ref="C90" ca="1">_FV(A90,"Name")</f>
        <v>iShares:US Rl Est ETF</v>
      </c>
      <c r="D90" cm="1" vm="16243">
        <f t="array" aca="1" ref="D90:IW90" ca="1">TRANSPOSE(_xlfn.STOCKHISTORY(B90, WORKDAY(TODAY(), -265), TODAY(), 0, 0, 1))</f>
        <v>97.33</v>
      </c>
      <c r="E90" s="23" vm="16244">
        <f ca="1"/>
        <v>96.06</v>
      </c>
      <c r="F90" s="23" vm="6827">
        <f ca="1"/>
        <v>92.15</v>
      </c>
      <c r="G90" s="23" vm="16245">
        <f ca="1"/>
        <v>90.74</v>
      </c>
      <c r="H90" s="23" vm="12449">
        <f ca="1"/>
        <v>92.39</v>
      </c>
      <c r="I90" s="23" vm="16246">
        <f ca="1"/>
        <v>92.79</v>
      </c>
      <c r="J90" s="23" vm="16247">
        <f ca="1"/>
        <v>93.41</v>
      </c>
      <c r="K90" s="23" vm="8287">
        <f ca="1"/>
        <v>93.6</v>
      </c>
      <c r="L90" s="23" vm="2850">
        <f ca="1"/>
        <v>92.67</v>
      </c>
      <c r="M90" s="23" vm="6828">
        <f ca="1"/>
        <v>92.28</v>
      </c>
      <c r="N90" s="23" vm="16248">
        <f ca="1"/>
        <v>93.06</v>
      </c>
      <c r="O90" s="23" vm="16249">
        <f ca="1"/>
        <v>92.29</v>
      </c>
      <c r="P90" s="23" vm="13031">
        <f ca="1"/>
        <v>93.43</v>
      </c>
      <c r="Q90" s="23" vm="6805">
        <f ca="1"/>
        <v>92.27</v>
      </c>
      <c r="R90" s="23" vm="16250">
        <f ca="1"/>
        <v>91.48</v>
      </c>
      <c r="S90" s="23" vm="16230">
        <f ca="1"/>
        <v>91.72</v>
      </c>
      <c r="T90" s="23" vm="1711">
        <f ca="1"/>
        <v>89.49</v>
      </c>
      <c r="U90" s="23" vm="7285">
        <f ca="1"/>
        <v>90.61</v>
      </c>
      <c r="V90" s="23" vm="16251">
        <f ca="1"/>
        <v>91.46</v>
      </c>
      <c r="W90" s="23" vm="15699">
        <f ca="1"/>
        <v>91.84</v>
      </c>
      <c r="X90" s="23" vm="6082">
        <f ca="1"/>
        <v>93.96</v>
      </c>
      <c r="Y90" s="23" vm="12522">
        <f ca="1"/>
        <v>93.86</v>
      </c>
      <c r="Z90" s="23" vm="16252">
        <f ca="1"/>
        <v>95.65</v>
      </c>
      <c r="AA90" s="23" vm="6122">
        <f ca="1"/>
        <v>94</v>
      </c>
      <c r="AB90" s="23" vm="4499">
        <f ca="1"/>
        <v>94.68</v>
      </c>
      <c r="AC90" s="23" vm="10920">
        <f ca="1"/>
        <v>94.94</v>
      </c>
      <c r="AD90" vm="16253">
        <f ca="1"/>
        <v>96.04</v>
      </c>
      <c r="AE90" vm="8282">
        <f ca="1"/>
        <v>95.03</v>
      </c>
      <c r="AF90" vm="1046">
        <f ca="1"/>
        <v>93.78</v>
      </c>
      <c r="AG90" vm="8282">
        <f ca="1"/>
        <v>95.03</v>
      </c>
      <c r="AH90" vm="1327">
        <f ca="1"/>
        <v>94.82</v>
      </c>
      <c r="AI90" vm="2047">
        <f ca="1"/>
        <v>94.51</v>
      </c>
      <c r="AJ90" vm="16254">
        <f ca="1"/>
        <v>94.64</v>
      </c>
      <c r="AK90" vm="7955">
        <f ca="1"/>
        <v>96.07</v>
      </c>
      <c r="AL90" vm="11916">
        <f ca="1"/>
        <v>96.3</v>
      </c>
      <c r="AM90" vm="16255">
        <f ca="1"/>
        <v>95.94</v>
      </c>
      <c r="AN90" vm="7955">
        <f ca="1"/>
        <v>96.07</v>
      </c>
      <c r="AO90" vm="3190">
        <f ca="1"/>
        <v>96.47</v>
      </c>
      <c r="AP90" vm="2044">
        <f ca="1"/>
        <v>95.47</v>
      </c>
      <c r="AQ90" vm="16256">
        <f ca="1"/>
        <v>96.34</v>
      </c>
      <c r="AR90" vm="5590">
        <f ca="1"/>
        <v>95.93</v>
      </c>
      <c r="AS90" vm="7936">
        <f ca="1"/>
        <v>96.33</v>
      </c>
      <c r="AT90" vm="4549">
        <f ca="1"/>
        <v>96.37</v>
      </c>
      <c r="AU90" vm="13624">
        <f ca="1"/>
        <v>96.98</v>
      </c>
      <c r="AV90" vm="3191">
        <f ca="1"/>
        <v>96.27</v>
      </c>
      <c r="AW90" vm="16257">
        <f ca="1"/>
        <v>96.61</v>
      </c>
      <c r="AX90" vm="13671">
        <f ca="1"/>
        <v>97.71</v>
      </c>
      <c r="AY90" vm="8278">
        <f ca="1"/>
        <v>97.24</v>
      </c>
      <c r="AZ90" vm="4582">
        <f ca="1"/>
        <v>97.65</v>
      </c>
      <c r="BA90" vm="16258">
        <f ca="1"/>
        <v>98.41</v>
      </c>
      <c r="BB90" vm="4592">
        <f ca="1"/>
        <v>98.9</v>
      </c>
      <c r="BC90" vm="11942">
        <f ca="1"/>
        <v>97.8</v>
      </c>
      <c r="BD90" vm="4603">
        <f ca="1"/>
        <v>98.98</v>
      </c>
      <c r="BE90" vm="16256">
        <f ca="1"/>
        <v>96.34</v>
      </c>
      <c r="BF90" vm="3188">
        <f ca="1"/>
        <v>96.97</v>
      </c>
      <c r="BG90" vm="16259">
        <f ca="1"/>
        <v>96.05</v>
      </c>
      <c r="BH90" vm="2048">
        <f ca="1"/>
        <v>94.89</v>
      </c>
      <c r="BI90" vm="16260">
        <f ca="1"/>
        <v>94.54</v>
      </c>
      <c r="BJ90" vm="16213">
        <f ca="1"/>
        <v>92.74</v>
      </c>
      <c r="BK90" vm="1329">
        <f ca="1"/>
        <v>94.63</v>
      </c>
      <c r="BL90" vm="16261">
        <f ca="1"/>
        <v>96.12</v>
      </c>
      <c r="BM90" vm="4498">
        <f ca="1"/>
        <v>95.39</v>
      </c>
      <c r="BN90" vm="2043">
        <f ca="1"/>
        <v>95.53</v>
      </c>
      <c r="BO90" vm="10937">
        <f ca="1"/>
        <v>95.32</v>
      </c>
      <c r="BP90" vm="16262">
        <f ca="1"/>
        <v>94.42</v>
      </c>
      <c r="BQ90" vm="16263">
        <f ca="1"/>
        <v>95.72</v>
      </c>
      <c r="BR90" vm="16264">
        <f ca="1"/>
        <v>94.66</v>
      </c>
      <c r="BS90" vm="10918">
        <f ca="1"/>
        <v>95.18</v>
      </c>
      <c r="BT90" vm="4555">
        <f ca="1"/>
        <v>94.88</v>
      </c>
      <c r="BU90" vm="16265">
        <f ca="1"/>
        <v>94.74</v>
      </c>
      <c r="BV90" vm="16266">
        <f ca="1"/>
        <v>95.75</v>
      </c>
      <c r="BW90" vm="1901">
        <f ca="1"/>
        <v>95.81</v>
      </c>
      <c r="BX90" vm="16267">
        <f ca="1"/>
        <v>96.22</v>
      </c>
      <c r="BY90" vm="6118">
        <f ca="1"/>
        <v>93.23</v>
      </c>
      <c r="BZ90" vm="6194">
        <f ca="1"/>
        <v>89.11</v>
      </c>
      <c r="CA90" vm="15279">
        <f ca="1"/>
        <v>86.67</v>
      </c>
      <c r="CB90" vm="15363">
        <f ca="1"/>
        <v>84.48</v>
      </c>
      <c r="CC90" vm="448">
        <f ca="1"/>
        <v>89.42</v>
      </c>
      <c r="CD90" vm="976">
        <f ca="1"/>
        <v>87.32</v>
      </c>
      <c r="CE90" vm="6195">
        <f ca="1"/>
        <v>88.6</v>
      </c>
      <c r="CF90" vm="16217">
        <f ca="1"/>
        <v>90.46</v>
      </c>
      <c r="CG90" vm="6834">
        <f ca="1"/>
        <v>90.71</v>
      </c>
      <c r="CH90" vm="16268">
        <f ca="1"/>
        <v>90.59</v>
      </c>
      <c r="CI90" vm="5587">
        <f ca="1"/>
        <v>91.93</v>
      </c>
      <c r="CJ90" vm="2854">
        <f ca="1"/>
        <v>90.07</v>
      </c>
      <c r="CK90" vm="2845">
        <f ca="1"/>
        <v>91.87</v>
      </c>
      <c r="CL90" vm="1844">
        <f ca="1"/>
        <v>92</v>
      </c>
      <c r="CM90" vm="16269">
        <f ca="1"/>
        <v>92.33</v>
      </c>
      <c r="CN90" vm="4470">
        <f ca="1"/>
        <v>92.16</v>
      </c>
      <c r="CO90" vm="13460">
        <f ca="1"/>
        <v>92.75</v>
      </c>
      <c r="CP90" vm="12976">
        <f ca="1"/>
        <v>93.37</v>
      </c>
      <c r="CQ90" vm="16270">
        <f ca="1"/>
        <v>93.69</v>
      </c>
      <c r="CR90" vm="2033">
        <f ca="1"/>
        <v>93.95</v>
      </c>
      <c r="CS90" vm="2849">
        <f ca="1"/>
        <v>94.96</v>
      </c>
      <c r="CT90" vm="4464">
        <f ca="1"/>
        <v>94.86</v>
      </c>
      <c r="CU90" vm="2046">
        <f ca="1"/>
        <v>94.16</v>
      </c>
      <c r="CV90" vm="16271">
        <f ca="1"/>
        <v>94.15</v>
      </c>
      <c r="CW90" vm="5582">
        <f ca="1"/>
        <v>93.74</v>
      </c>
      <c r="CX90" vm="12445">
        <f ca="1"/>
        <v>94.37</v>
      </c>
      <c r="CY90" vm="16264">
        <f ca="1"/>
        <v>94.66</v>
      </c>
      <c r="CZ90" vm="12513">
        <f ca="1"/>
        <v>93.5</v>
      </c>
      <c r="DA90" vm="2850">
        <f ca="1"/>
        <v>92.67</v>
      </c>
      <c r="DB90" vm="2846">
        <f ca="1"/>
        <v>94.3</v>
      </c>
      <c r="DC90" vm="2041">
        <f ca="1"/>
        <v>95.49</v>
      </c>
      <c r="DD90" vm="4493">
        <f ca="1"/>
        <v>95.6</v>
      </c>
      <c r="DE90" vm="4553">
        <f ca="1"/>
        <v>95.09</v>
      </c>
      <c r="DF90" vm="6116">
        <f ca="1"/>
        <v>92.52</v>
      </c>
      <c r="DG90" vm="12502">
        <f ca="1"/>
        <v>92.14</v>
      </c>
      <c r="DH90" vm="8289">
        <f ca="1"/>
        <v>92.21</v>
      </c>
      <c r="DI90" vm="4500">
        <f ca="1"/>
        <v>93.73</v>
      </c>
      <c r="DJ90" vm="12452">
        <f ca="1"/>
        <v>93.62</v>
      </c>
      <c r="DK90" vm="4543">
        <f ca="1"/>
        <v>94.44</v>
      </c>
      <c r="DL90" vm="16260">
        <f ca="1"/>
        <v>94.54</v>
      </c>
      <c r="DM90" vm="12464">
        <f ca="1"/>
        <v>94.59</v>
      </c>
      <c r="DN90" vm="16272">
        <f ca="1"/>
        <v>94.4</v>
      </c>
      <c r="DO90" vm="2045">
        <f ca="1"/>
        <v>94.65</v>
      </c>
      <c r="DP90" vm="16273">
        <f ca="1"/>
        <v>94.57</v>
      </c>
      <c r="DQ90" vm="2849">
        <f ca="1"/>
        <v>94.96</v>
      </c>
      <c r="DR90" vm="12465">
        <f ca="1"/>
        <v>95.06</v>
      </c>
      <c r="DS90" vm="5567">
        <f ca="1"/>
        <v>95.91</v>
      </c>
      <c r="DT90" vm="5589">
        <f ca="1"/>
        <v>95.41</v>
      </c>
      <c r="DU90" vm="16274">
        <f ca="1"/>
        <v>95.9</v>
      </c>
      <c r="DV90" vm="12465">
        <f ca="1"/>
        <v>95.06</v>
      </c>
      <c r="DW90" vm="12464">
        <f ca="1"/>
        <v>94.59</v>
      </c>
      <c r="DX90" vm="12534">
        <f ca="1"/>
        <v>94.24</v>
      </c>
      <c r="DY90" vm="8285">
        <f ca="1"/>
        <v>94.55</v>
      </c>
      <c r="DZ90" vm="8285">
        <f ca="1"/>
        <v>94.55</v>
      </c>
      <c r="EA90" vm="16275">
        <f ca="1"/>
        <v>95.87</v>
      </c>
      <c r="EB90" vm="8301">
        <f ca="1"/>
        <v>96.25</v>
      </c>
      <c r="EC90" vm="8284">
        <f ca="1"/>
        <v>94.07</v>
      </c>
      <c r="ED90" vm="6082">
        <f ca="1"/>
        <v>93.96</v>
      </c>
      <c r="EE90" vm="6123">
        <f ca="1"/>
        <v>94.13</v>
      </c>
      <c r="EF90" vm="16276">
        <f ca="1"/>
        <v>94.77</v>
      </c>
      <c r="EG90" vm="4490">
        <f ca="1"/>
        <v>95.44</v>
      </c>
      <c r="EH90" vm="16277">
        <f ca="1"/>
        <v>95.71</v>
      </c>
      <c r="EI90" vm="4547">
        <f ca="1"/>
        <v>95.8</v>
      </c>
      <c r="EJ90" vm="16278">
        <f ca="1"/>
        <v>95.02</v>
      </c>
      <c r="EK90" vm="8299">
        <f ca="1"/>
        <v>94.92</v>
      </c>
      <c r="EL90" vm="16278">
        <f ca="1"/>
        <v>95.02</v>
      </c>
      <c r="EM90" vm="2043">
        <f ca="1"/>
        <v>95.53</v>
      </c>
      <c r="EN90" vm="2041">
        <f ca="1"/>
        <v>95.49</v>
      </c>
      <c r="EO90" vm="16244">
        <f ca="1"/>
        <v>96.06</v>
      </c>
      <c r="EP90" vm="4538">
        <f ca="1"/>
        <v>94.7</v>
      </c>
      <c r="EQ90" vm="16279">
        <f ca="1"/>
        <v>95.64</v>
      </c>
      <c r="ER90" vm="16280">
        <f ca="1"/>
        <v>95.51</v>
      </c>
      <c r="ES90" vm="4547">
        <f ca="1"/>
        <v>95.8</v>
      </c>
      <c r="ET90" vm="7955">
        <f ca="1"/>
        <v>96.07</v>
      </c>
      <c r="EU90" vm="5563">
        <f ca="1"/>
        <v>97.79</v>
      </c>
      <c r="EV90" vm="10903">
        <f ca="1"/>
        <v>98.01</v>
      </c>
      <c r="EW90" vm="16281">
        <f ca="1"/>
        <v>97.76</v>
      </c>
      <c r="EX90" vm="16282">
        <f ca="1"/>
        <v>97.74</v>
      </c>
      <c r="EY90" vm="2037">
        <f ca="1"/>
        <v>96.09</v>
      </c>
      <c r="EZ90" vm="11922">
        <f ca="1"/>
        <v>97.72</v>
      </c>
      <c r="FA90" vm="16283">
        <f ca="1"/>
        <v>96.31</v>
      </c>
      <c r="FB90" vm="4555">
        <f ca="1"/>
        <v>94.88</v>
      </c>
      <c r="FC90" vm="16284">
        <f ca="1"/>
        <v>94.75</v>
      </c>
      <c r="FD90" vm="16277">
        <f ca="1"/>
        <v>95.71</v>
      </c>
      <c r="FE90" vm="16285">
        <f ca="1"/>
        <v>95.95</v>
      </c>
      <c r="FF90" vm="16286">
        <f ca="1"/>
        <v>95.27</v>
      </c>
      <c r="FG90" vm="16279">
        <f ca="1"/>
        <v>95.64</v>
      </c>
      <c r="FH90" vm="16287">
        <f ca="1"/>
        <v>94.8</v>
      </c>
      <c r="FI90" vm="2046">
        <f ca="1"/>
        <v>94.16</v>
      </c>
      <c r="FJ90" vm="2047">
        <f ca="1"/>
        <v>94.51</v>
      </c>
      <c r="FK90" vm="4498">
        <f ca="1"/>
        <v>95.39</v>
      </c>
      <c r="FL90" vm="4499">
        <f ca="1"/>
        <v>94.68</v>
      </c>
      <c r="FM90" vm="16288">
        <f ca="1"/>
        <v>95.29</v>
      </c>
      <c r="FN90" vm="4482">
        <f ca="1"/>
        <v>94.36</v>
      </c>
      <c r="FO90" vm="16259">
        <f ca="1"/>
        <v>96.05</v>
      </c>
      <c r="FP90" vm="16289">
        <f ca="1"/>
        <v>96.41</v>
      </c>
      <c r="FQ90" vm="16290">
        <f ca="1"/>
        <v>95.99</v>
      </c>
      <c r="FR90" vm="11922">
        <f ca="1"/>
        <v>97.72</v>
      </c>
      <c r="FS90" vm="12442">
        <f ca="1"/>
        <v>97.16</v>
      </c>
      <c r="FT90" vm="4577">
        <f ca="1"/>
        <v>96.83</v>
      </c>
      <c r="FU90" vm="3182">
        <f ca="1"/>
        <v>97.34</v>
      </c>
      <c r="FV90" vm="5531">
        <f ca="1"/>
        <v>97.1</v>
      </c>
      <c r="FW90" vm="4590">
        <f ca="1"/>
        <v>97.64</v>
      </c>
      <c r="FX90" vm="16291">
        <f ca="1"/>
        <v>95.97</v>
      </c>
      <c r="FY90" vm="16292">
        <f ca="1"/>
        <v>96.03</v>
      </c>
      <c r="FZ90" vm="16293">
        <f ca="1"/>
        <v>96.71</v>
      </c>
      <c r="GA90" vm="16281">
        <f ca="1"/>
        <v>97.76</v>
      </c>
      <c r="GB90" vm="3181">
        <f ca="1"/>
        <v>97.19</v>
      </c>
      <c r="GC90" vm="7956">
        <f ca="1"/>
        <v>97.01</v>
      </c>
      <c r="GD90" vm="3180">
        <f ca="1"/>
        <v>96.87</v>
      </c>
      <c r="GE90" vm="1047">
        <f ca="1"/>
        <v>98.46</v>
      </c>
      <c r="GF90" vm="16294">
        <f ca="1"/>
        <v>97.99</v>
      </c>
      <c r="GG90" vm="10905">
        <f ca="1"/>
        <v>97.83</v>
      </c>
      <c r="GH90" vm="2848">
        <f ca="1"/>
        <v>96.75</v>
      </c>
      <c r="GI90" vm="3179">
        <f ca="1"/>
        <v>96.64</v>
      </c>
      <c r="GJ90" vm="11914">
        <f ca="1"/>
        <v>96.68</v>
      </c>
      <c r="GK90" vm="3192">
        <f ca="1"/>
        <v>96.13</v>
      </c>
      <c r="GL90" vm="16295">
        <f ca="1"/>
        <v>96.16</v>
      </c>
      <c r="GM90" vm="4494">
        <f ca="1"/>
        <v>96.81</v>
      </c>
      <c r="GN90" vm="16296">
        <f ca="1"/>
        <v>95.84</v>
      </c>
      <c r="GO90" vm="10926">
        <f ca="1"/>
        <v>95.58</v>
      </c>
      <c r="GP90" vm="16297">
        <f ca="1"/>
        <v>96.56</v>
      </c>
      <c r="GQ90" vm="16298">
        <f ca="1"/>
        <v>96.65</v>
      </c>
      <c r="GR90" vm="13668">
        <f ca="1"/>
        <v>97.08</v>
      </c>
      <c r="GS90" vm="5526">
        <f ca="1"/>
        <v>97.13</v>
      </c>
      <c r="GT90" vm="4548">
        <f ca="1"/>
        <v>96.62</v>
      </c>
      <c r="GU90" vm="16299">
        <f ca="1"/>
        <v>97.04</v>
      </c>
      <c r="GV90" vm="16300">
        <f ca="1"/>
        <v>96</v>
      </c>
      <c r="GW90" vm="16301">
        <f ca="1"/>
        <v>95.73</v>
      </c>
      <c r="GX90" vm="13623">
        <f ca="1"/>
        <v>95.31</v>
      </c>
      <c r="GY90" vm="10824">
        <f ca="1"/>
        <v>94.81</v>
      </c>
      <c r="GZ90" vm="16270">
        <f ca="1"/>
        <v>93.69</v>
      </c>
      <c r="HA90" vm="10930">
        <f ca="1"/>
        <v>94.26</v>
      </c>
      <c r="HB90" vm="15697">
        <f ca="1"/>
        <v>95.24</v>
      </c>
      <c r="HC90" vm="16257">
        <f ca="1"/>
        <v>96.61</v>
      </c>
      <c r="HD90" vm="16302">
        <f ca="1"/>
        <v>96.32</v>
      </c>
      <c r="HE90" vm="16303">
        <f ca="1"/>
        <v>96.95</v>
      </c>
      <c r="HF90" vm="4580">
        <f ca="1"/>
        <v>97.97</v>
      </c>
      <c r="HG90" vm="16304">
        <f ca="1"/>
        <v>97.62</v>
      </c>
      <c r="HH90" vm="4593">
        <f ca="1"/>
        <v>98.05</v>
      </c>
      <c r="HI90" vm="4598">
        <f ca="1"/>
        <v>97.94</v>
      </c>
      <c r="HJ90" vm="10826">
        <f ca="1"/>
        <v>98.17</v>
      </c>
      <c r="HK90" vm="16305">
        <f ca="1"/>
        <v>98.5</v>
      </c>
      <c r="HL90" vm="4550">
        <f ca="1"/>
        <v>96.43</v>
      </c>
      <c r="HM90" vm="16306">
        <f ca="1"/>
        <v>93.99</v>
      </c>
      <c r="HN90" vm="4537">
        <f ca="1"/>
        <v>94.38</v>
      </c>
      <c r="HO90" vm="16264">
        <f ca="1"/>
        <v>94.66</v>
      </c>
      <c r="HP90" vm="16307">
        <f ca="1"/>
        <v>94.56</v>
      </c>
      <c r="HQ90" vm="16276">
        <f ca="1"/>
        <v>94.77</v>
      </c>
      <c r="HR90" vm="2049">
        <f ca="1"/>
        <v>94.76</v>
      </c>
      <c r="HS90" vm="10930">
        <f ca="1"/>
        <v>94.26</v>
      </c>
      <c r="HT90" vm="13455">
        <f ca="1"/>
        <v>95.67</v>
      </c>
      <c r="HU90" vm="2041">
        <f ca="1"/>
        <v>95.49</v>
      </c>
      <c r="HV90" vm="4548">
        <f ca="1"/>
        <v>96.62</v>
      </c>
      <c r="HW90" vm="16308">
        <f ca="1"/>
        <v>95.83</v>
      </c>
      <c r="HX90" vm="16264">
        <f ca="1"/>
        <v>94.66</v>
      </c>
      <c r="HY90" vm="4555">
        <f ca="1"/>
        <v>94.88</v>
      </c>
      <c r="HZ90" vm="12534">
        <f ca="1"/>
        <v>94.24</v>
      </c>
      <c r="IA90" vm="4499">
        <f ca="1"/>
        <v>94.68</v>
      </c>
      <c r="IB90" vm="2033">
        <f ca="1"/>
        <v>93.95</v>
      </c>
      <c r="IC90" vm="2034">
        <f ca="1"/>
        <v>93.63</v>
      </c>
      <c r="ID90" vm="2035">
        <f ca="1"/>
        <v>95.07</v>
      </c>
      <c r="IE90" vm="2036">
        <f ca="1"/>
        <v>95.2</v>
      </c>
      <c r="IF90" vm="2037">
        <f ca="1"/>
        <v>96.09</v>
      </c>
      <c r="IG90" vm="2038">
        <f ca="1"/>
        <v>96.52</v>
      </c>
      <c r="IH90" vm="2039">
        <f ca="1"/>
        <v>96.9</v>
      </c>
      <c r="II90" vm="2040">
        <f ca="1"/>
        <v>95.79</v>
      </c>
      <c r="IJ90" vm="2041">
        <f ca="1"/>
        <v>95.49</v>
      </c>
      <c r="IK90" vm="2042">
        <f ca="1"/>
        <v>95.77</v>
      </c>
      <c r="IL90" vm="2043">
        <f ca="1"/>
        <v>95.53</v>
      </c>
      <c r="IM90" vm="2044">
        <f ca="1"/>
        <v>95.47</v>
      </c>
      <c r="IN90" vm="2045">
        <f ca="1"/>
        <v>94.65</v>
      </c>
      <c r="IO90" vm="2046">
        <f ca="1"/>
        <v>94.16</v>
      </c>
      <c r="IP90" vm="2047">
        <f ca="1"/>
        <v>94.51</v>
      </c>
      <c r="IQ90" vm="2048">
        <f ca="1"/>
        <v>94.89</v>
      </c>
      <c r="IR90" vm="2049">
        <f ca="1"/>
        <v>94.76</v>
      </c>
      <c r="IS90" vm="2050">
        <f ca="1"/>
        <v>95.08</v>
      </c>
      <c r="IT90" vm="2051">
        <f ca="1"/>
        <v>93.42</v>
      </c>
      <c r="IU90" vm="2052">
        <f ca="1"/>
        <v>93.85</v>
      </c>
      <c r="IV90" vm="2053">
        <f ca="1"/>
        <v>93.33</v>
      </c>
      <c r="IW90" vm="153">
        <f ca="1"/>
        <v>93.02</v>
      </c>
    </row>
    <row r="91" spans="1:257" ht="16" x14ac:dyDescent="0.2">
      <c r="A91" s="13" t="e" vm="2054">
        <v>#VALUE!</v>
      </c>
      <c r="B91" s="23" t="str" cm="1">
        <f t="array" aca="1" ref="B91" ca="1">_FV(A91,"ticker symbol",TRUE)</f>
        <v>REET</v>
      </c>
      <c r="C91" s="23" t="str" cm="1">
        <f t="array" aca="1" ref="C91" ca="1">_FV(A91,"Name")</f>
        <v>iShares:Global REIT</v>
      </c>
      <c r="D91" cm="1" vm="2066">
        <f t="array" aca="1" ref="D91:IW91" ca="1">TRANSPOSE(_xlfn.STOCKHISTORY(B91, WORKDAY(TODAY(), -265), TODAY(), 0, 0, 1))</f>
        <v>25.04</v>
      </c>
      <c r="E91" s="23" vm="16309">
        <f ca="1"/>
        <v>24.6</v>
      </c>
      <c r="F91" s="23" vm="2151">
        <f ca="1"/>
        <v>23.69</v>
      </c>
      <c r="G91" s="23" vm="2428">
        <f ca="1"/>
        <v>23.43</v>
      </c>
      <c r="H91" s="23" vm="16310">
        <f ca="1"/>
        <v>23.82</v>
      </c>
      <c r="I91" s="23" vm="16311">
        <f ca="1"/>
        <v>23.9</v>
      </c>
      <c r="J91" s="23" vm="16312">
        <f ca="1"/>
        <v>24.1</v>
      </c>
      <c r="K91" s="23" vm="16313">
        <f ca="1"/>
        <v>24.17</v>
      </c>
      <c r="L91" s="23" vm="16314">
        <f ca="1"/>
        <v>23.93</v>
      </c>
      <c r="M91" s="23" vm="16310">
        <f ca="1"/>
        <v>23.82</v>
      </c>
      <c r="N91" s="23" vm="16315">
        <f ca="1"/>
        <v>23.97</v>
      </c>
      <c r="O91" s="23" vm="16316">
        <f ca="1"/>
        <v>23.8</v>
      </c>
      <c r="P91" s="23" vm="16312">
        <f ca="1"/>
        <v>24.1</v>
      </c>
      <c r="Q91" s="23" vm="158">
        <f ca="1"/>
        <v>23.87</v>
      </c>
      <c r="R91" s="23" vm="16317">
        <f ca="1"/>
        <v>23.75</v>
      </c>
      <c r="S91" s="23" vm="3124">
        <f ca="1"/>
        <v>23.72</v>
      </c>
      <c r="T91" s="23" vm="16318">
        <f ca="1"/>
        <v>23.24</v>
      </c>
      <c r="U91" s="23" vm="16319">
        <f ca="1"/>
        <v>23.42</v>
      </c>
      <c r="V91" s="23" vm="16320">
        <f ca="1"/>
        <v>23.59</v>
      </c>
      <c r="W91" s="23" vm="16321">
        <f ca="1"/>
        <v>23.68</v>
      </c>
      <c r="X91" s="23" vm="16322">
        <f ca="1"/>
        <v>24.05</v>
      </c>
      <c r="Y91" s="23" vm="13366">
        <f ca="1"/>
        <v>24.02</v>
      </c>
      <c r="Z91" s="23" vm="13360">
        <f ca="1"/>
        <v>24.46</v>
      </c>
      <c r="AA91" s="23" vm="16323">
        <f ca="1"/>
        <v>24.07</v>
      </c>
      <c r="AB91" s="23" vm="16324">
        <f ca="1"/>
        <v>24.26</v>
      </c>
      <c r="AC91" s="23" vm="16325">
        <f ca="1"/>
        <v>24.37</v>
      </c>
      <c r="AD91" vm="16326">
        <f ca="1"/>
        <v>24.57</v>
      </c>
      <c r="AE91" vm="16327">
        <f ca="1"/>
        <v>24.35</v>
      </c>
      <c r="AF91" vm="13366">
        <f ca="1"/>
        <v>24.02</v>
      </c>
      <c r="AG91" vm="16328">
        <f ca="1"/>
        <v>24.39</v>
      </c>
      <c r="AH91" vm="13367">
        <f ca="1"/>
        <v>24.32</v>
      </c>
      <c r="AI91" vm="16329">
        <f ca="1"/>
        <v>24.18</v>
      </c>
      <c r="AJ91" vm="16330">
        <f ca="1"/>
        <v>24.22</v>
      </c>
      <c r="AK91" vm="13370">
        <f ca="1"/>
        <v>24.55</v>
      </c>
      <c r="AL91" vm="16331">
        <f ca="1"/>
        <v>24.63</v>
      </c>
      <c r="AM91" vm="13362">
        <f ca="1"/>
        <v>24.54</v>
      </c>
      <c r="AN91" vm="16332">
        <f ca="1"/>
        <v>24.58</v>
      </c>
      <c r="AO91" vm="16331">
        <f ca="1"/>
        <v>24.63</v>
      </c>
      <c r="AP91" vm="16333">
        <f ca="1"/>
        <v>24.49</v>
      </c>
      <c r="AQ91" vm="16334">
        <f ca="1"/>
        <v>24.81</v>
      </c>
      <c r="AR91" vm="154">
        <f ca="1"/>
        <v>24.71</v>
      </c>
      <c r="AS91" vm="2056">
        <f ca="1"/>
        <v>24.83</v>
      </c>
      <c r="AT91" vm="16335">
        <f ca="1"/>
        <v>24.78</v>
      </c>
      <c r="AU91" vm="16336">
        <f ca="1"/>
        <v>24.91</v>
      </c>
      <c r="AV91" vm="10596">
        <f ca="1"/>
        <v>24.69</v>
      </c>
      <c r="AW91" vm="16337">
        <f ca="1"/>
        <v>24.73</v>
      </c>
      <c r="AX91" vm="16338">
        <f ca="1"/>
        <v>24.94</v>
      </c>
      <c r="AY91" vm="2056">
        <f ca="1"/>
        <v>24.83</v>
      </c>
      <c r="AZ91" vm="16339">
        <f ca="1"/>
        <v>24.86</v>
      </c>
      <c r="BA91" vm="13380">
        <f ca="1"/>
        <v>24.99</v>
      </c>
      <c r="BB91" vm="16340">
        <f ca="1"/>
        <v>25.07</v>
      </c>
      <c r="BC91" vm="16341">
        <f ca="1"/>
        <v>24.88</v>
      </c>
      <c r="BD91" vm="16342">
        <f ca="1"/>
        <v>25.13</v>
      </c>
      <c r="BE91" vm="16343">
        <f ca="1"/>
        <v>24.52</v>
      </c>
      <c r="BF91" vm="16344">
        <f ca="1"/>
        <v>24.66</v>
      </c>
      <c r="BG91" vm="16325">
        <f ca="1"/>
        <v>24.37</v>
      </c>
      <c r="BH91" vm="16330">
        <f ca="1"/>
        <v>24.22</v>
      </c>
      <c r="BI91" vm="16345">
        <f ca="1"/>
        <v>24.23</v>
      </c>
      <c r="BJ91" vm="16346">
        <f ca="1"/>
        <v>23.81</v>
      </c>
      <c r="BK91" vm="16347">
        <f ca="1"/>
        <v>24.2</v>
      </c>
      <c r="BL91" vm="16309">
        <f ca="1"/>
        <v>24.6</v>
      </c>
      <c r="BM91" vm="16348">
        <f ca="1"/>
        <v>24.28</v>
      </c>
      <c r="BN91" vm="16349">
        <f ca="1"/>
        <v>24.29</v>
      </c>
      <c r="BO91" vm="16350">
        <f ca="1"/>
        <v>24.27</v>
      </c>
      <c r="BP91" vm="16351">
        <f ca="1"/>
        <v>24</v>
      </c>
      <c r="BQ91" vm="16352">
        <f ca="1"/>
        <v>24.34</v>
      </c>
      <c r="BR91" vm="16353">
        <f ca="1"/>
        <v>24.16</v>
      </c>
      <c r="BS91" vm="2158">
        <f ca="1"/>
        <v>24.24</v>
      </c>
      <c r="BT91" vm="16354">
        <f ca="1"/>
        <v>24.13</v>
      </c>
      <c r="BU91" vm="16354">
        <f ca="1"/>
        <v>24.13</v>
      </c>
      <c r="BV91" vm="16324">
        <f ca="1"/>
        <v>24.26</v>
      </c>
      <c r="BW91" vm="16349">
        <f ca="1"/>
        <v>24.29</v>
      </c>
      <c r="BX91" vm="16355">
        <f ca="1"/>
        <v>24.45</v>
      </c>
      <c r="BY91" vm="16356">
        <f ca="1"/>
        <v>23.71</v>
      </c>
      <c r="BZ91" vm="16357">
        <f ca="1"/>
        <v>22.62</v>
      </c>
      <c r="CA91" vm="16358">
        <f ca="1"/>
        <v>21.94</v>
      </c>
      <c r="CB91" vm="16359">
        <f ca="1"/>
        <v>21.59</v>
      </c>
      <c r="CC91" vm="13340">
        <f ca="1"/>
        <v>22.88</v>
      </c>
      <c r="CD91" vm="16360">
        <f ca="1"/>
        <v>22.44</v>
      </c>
      <c r="CE91" vm="13351">
        <f ca="1"/>
        <v>22.75</v>
      </c>
      <c r="CF91" vm="16361">
        <f ca="1"/>
        <v>23.22</v>
      </c>
      <c r="CG91" vm="3128">
        <f ca="1"/>
        <v>23.27</v>
      </c>
      <c r="CH91" vm="2425">
        <f ca="1"/>
        <v>23.32</v>
      </c>
      <c r="CI91" vm="2151">
        <f ca="1"/>
        <v>23.69</v>
      </c>
      <c r="CJ91" vm="2430">
        <f ca="1"/>
        <v>23.3</v>
      </c>
      <c r="CK91" vm="2151">
        <f ca="1"/>
        <v>23.69</v>
      </c>
      <c r="CL91" vm="16362">
        <f ca="1"/>
        <v>23.74</v>
      </c>
      <c r="CM91" vm="16311">
        <f ca="1"/>
        <v>23.9</v>
      </c>
      <c r="CN91" vm="16363">
        <f ca="1"/>
        <v>23.88</v>
      </c>
      <c r="CO91" vm="16322">
        <f ca="1"/>
        <v>24.05</v>
      </c>
      <c r="CP91" vm="16364">
        <f ca="1"/>
        <v>24.01</v>
      </c>
      <c r="CQ91" vm="16313">
        <f ca="1"/>
        <v>24.17</v>
      </c>
      <c r="CR91" vm="16324">
        <f ca="1"/>
        <v>24.26</v>
      </c>
      <c r="CS91" vm="13365">
        <f ca="1"/>
        <v>24.56</v>
      </c>
      <c r="CT91" vm="13362">
        <f ca="1"/>
        <v>24.54</v>
      </c>
      <c r="CU91" vm="16365">
        <f ca="1"/>
        <v>24.44</v>
      </c>
      <c r="CV91" vm="16365">
        <f ca="1"/>
        <v>24.44</v>
      </c>
      <c r="CW91" vm="16366">
        <f ca="1"/>
        <v>24.3</v>
      </c>
      <c r="CX91" vm="16333">
        <f ca="1"/>
        <v>24.49</v>
      </c>
      <c r="CY91" vm="16367">
        <f ca="1"/>
        <v>24.59</v>
      </c>
      <c r="CZ91" vm="16352">
        <f ca="1"/>
        <v>24.34</v>
      </c>
      <c r="DA91" vm="16368">
        <f ca="1"/>
        <v>24.14</v>
      </c>
      <c r="DB91" vm="13363">
        <f ca="1"/>
        <v>24.48</v>
      </c>
      <c r="DC91" vm="2072">
        <f ca="1"/>
        <v>24.76</v>
      </c>
      <c r="DD91" vm="16334">
        <f ca="1"/>
        <v>24.81</v>
      </c>
      <c r="DE91" vm="2070">
        <f ca="1"/>
        <v>24.72</v>
      </c>
      <c r="DF91" vm="16369">
        <f ca="1"/>
        <v>24.19</v>
      </c>
      <c r="DG91" vm="16312">
        <f ca="1"/>
        <v>24.1</v>
      </c>
      <c r="DH91" vm="16369">
        <f ca="1"/>
        <v>24.19</v>
      </c>
      <c r="DI91" vm="16332">
        <f ca="1"/>
        <v>24.58</v>
      </c>
      <c r="DJ91" vm="16370">
        <f ca="1"/>
        <v>24.61</v>
      </c>
      <c r="DK91" vm="2056">
        <f ca="1"/>
        <v>24.83</v>
      </c>
      <c r="DL91" vm="16371">
        <f ca="1"/>
        <v>24.85</v>
      </c>
      <c r="DM91" vm="13378">
        <f ca="1"/>
        <v>24.93</v>
      </c>
      <c r="DN91" vm="2071">
        <f ca="1"/>
        <v>24.79</v>
      </c>
      <c r="DO91" vm="2056">
        <f ca="1"/>
        <v>24.83</v>
      </c>
      <c r="DP91" vm="13364">
        <f ca="1"/>
        <v>24.82</v>
      </c>
      <c r="DQ91" vm="13380">
        <f ca="1"/>
        <v>24.99</v>
      </c>
      <c r="DR91" vm="13380">
        <f ca="1"/>
        <v>24.99</v>
      </c>
      <c r="DS91" vm="2057">
        <f ca="1"/>
        <v>25.15</v>
      </c>
      <c r="DT91" vm="2066">
        <f ca="1"/>
        <v>25.04</v>
      </c>
      <c r="DU91" vm="16372">
        <f ca="1"/>
        <v>25.16</v>
      </c>
      <c r="DV91" vm="16373">
        <f ca="1"/>
        <v>24.92</v>
      </c>
      <c r="DW91" vm="2070">
        <f ca="1"/>
        <v>24.72</v>
      </c>
      <c r="DX91" vm="16374">
        <f ca="1"/>
        <v>24.7</v>
      </c>
      <c r="DY91" vm="13381">
        <f ca="1"/>
        <v>24.77</v>
      </c>
      <c r="DZ91" vm="16337">
        <f ca="1"/>
        <v>24.73</v>
      </c>
      <c r="EA91" vm="16375">
        <f ca="1"/>
        <v>25.01</v>
      </c>
      <c r="EB91" vm="16340">
        <f ca="1"/>
        <v>25.07</v>
      </c>
      <c r="EC91" vm="13370">
        <f ca="1"/>
        <v>24.55</v>
      </c>
      <c r="ED91" vm="16370">
        <f ca="1"/>
        <v>24.61</v>
      </c>
      <c r="EE91" vm="16332">
        <f ca="1"/>
        <v>24.58</v>
      </c>
      <c r="EF91" vm="16374">
        <f ca="1"/>
        <v>24.7</v>
      </c>
      <c r="EG91" vm="16339">
        <f ca="1"/>
        <v>24.86</v>
      </c>
      <c r="EH91" vm="16341">
        <f ca="1"/>
        <v>24.88</v>
      </c>
      <c r="EI91" vm="2055">
        <f ca="1"/>
        <v>24.95</v>
      </c>
      <c r="EJ91" vm="16376">
        <f ca="1"/>
        <v>24.74</v>
      </c>
      <c r="EK91" vm="16377">
        <f ca="1"/>
        <v>24.68</v>
      </c>
      <c r="EL91" vm="16377">
        <f ca="1"/>
        <v>24.68</v>
      </c>
      <c r="EM91" vm="16335">
        <f ca="1"/>
        <v>24.78</v>
      </c>
      <c r="EN91" vm="2070">
        <f ca="1"/>
        <v>24.72</v>
      </c>
      <c r="EO91" vm="16336">
        <f ca="1"/>
        <v>24.91</v>
      </c>
      <c r="EP91" vm="16309">
        <f ca="1"/>
        <v>24.6</v>
      </c>
      <c r="EQ91" vm="9025">
        <f ca="1"/>
        <v>24.8</v>
      </c>
      <c r="ER91" vm="16337">
        <f ca="1"/>
        <v>24.73</v>
      </c>
      <c r="ES91" vm="13381">
        <f ca="1"/>
        <v>24.77</v>
      </c>
      <c r="ET91" vm="13372">
        <f ca="1"/>
        <v>24.89</v>
      </c>
      <c r="EU91" vm="16378">
        <f ca="1"/>
        <v>25.24</v>
      </c>
      <c r="EV91" vm="2065">
        <f ca="1"/>
        <v>25.26</v>
      </c>
      <c r="EW91" vm="2068">
        <f ca="1"/>
        <v>25.11</v>
      </c>
      <c r="EX91" vm="2068">
        <f ca="1"/>
        <v>25.11</v>
      </c>
      <c r="EY91" vm="16376">
        <f ca="1"/>
        <v>24.74</v>
      </c>
      <c r="EZ91" vm="2058">
        <f ca="1"/>
        <v>25.12</v>
      </c>
      <c r="FA91" vm="16334">
        <f ca="1"/>
        <v>24.81</v>
      </c>
      <c r="FB91" vm="13360">
        <f ca="1"/>
        <v>24.46</v>
      </c>
      <c r="FC91" vm="16355">
        <f ca="1"/>
        <v>24.45</v>
      </c>
      <c r="FD91" vm="154">
        <f ca="1"/>
        <v>24.71</v>
      </c>
      <c r="FE91" vm="16339">
        <f ca="1"/>
        <v>24.86</v>
      </c>
      <c r="FF91" vm="16376">
        <f ca="1"/>
        <v>24.74</v>
      </c>
      <c r="FG91" vm="16379">
        <f ca="1"/>
        <v>24.84</v>
      </c>
      <c r="FH91" vm="2070">
        <f ca="1"/>
        <v>24.72</v>
      </c>
      <c r="FI91" vm="16309">
        <f ca="1"/>
        <v>24.6</v>
      </c>
      <c r="FJ91" vm="16337">
        <f ca="1"/>
        <v>24.73</v>
      </c>
      <c r="FK91" vm="16380">
        <f ca="1"/>
        <v>24.96</v>
      </c>
      <c r="FL91" vm="2071">
        <f ca="1"/>
        <v>24.79</v>
      </c>
      <c r="FM91" vm="13372">
        <f ca="1"/>
        <v>24.89</v>
      </c>
      <c r="FN91" vm="16374">
        <f ca="1"/>
        <v>24.7</v>
      </c>
      <c r="FO91" vm="2067">
        <f ca="1"/>
        <v>25.05</v>
      </c>
      <c r="FP91" vm="2057">
        <f ca="1"/>
        <v>25.15</v>
      </c>
      <c r="FQ91" vm="2067">
        <f ca="1"/>
        <v>25.05</v>
      </c>
      <c r="FR91" vm="13373">
        <f ca="1"/>
        <v>25.43</v>
      </c>
      <c r="FS91" vm="16381">
        <f ca="1"/>
        <v>25.27</v>
      </c>
      <c r="FT91" vm="16378">
        <f ca="1"/>
        <v>25.24</v>
      </c>
      <c r="FU91" vm="16382">
        <f ca="1"/>
        <v>25.49</v>
      </c>
      <c r="FV91" vm="16383">
        <f ca="1"/>
        <v>25.46</v>
      </c>
      <c r="FW91" vm="2864">
        <f ca="1"/>
        <v>25.58</v>
      </c>
      <c r="FX91" vm="2058">
        <f ca="1"/>
        <v>25.12</v>
      </c>
      <c r="FY91" vm="16384">
        <f ca="1"/>
        <v>25.19</v>
      </c>
      <c r="FZ91" vm="16385">
        <f ca="1"/>
        <v>25.35</v>
      </c>
      <c r="GA91" vm="2811">
        <f ca="1"/>
        <v>25.6</v>
      </c>
      <c r="GB91" vm="2810">
        <f ca="1"/>
        <v>25.57</v>
      </c>
      <c r="GC91" vm="2813">
        <f ca="1"/>
        <v>25.51</v>
      </c>
      <c r="GD91" vm="16386">
        <f ca="1"/>
        <v>25.53</v>
      </c>
      <c r="GE91" vm="16387">
        <f ca="1"/>
        <v>25.91</v>
      </c>
      <c r="GF91" vm="16388">
        <f ca="1"/>
        <v>25.86</v>
      </c>
      <c r="GG91" vm="2248">
        <f ca="1"/>
        <v>25.85</v>
      </c>
      <c r="GH91" vm="16389">
        <f ca="1"/>
        <v>25.52</v>
      </c>
      <c r="GI91" vm="2063">
        <f ca="1"/>
        <v>25.42</v>
      </c>
      <c r="GJ91" vm="16383">
        <f ca="1"/>
        <v>25.46</v>
      </c>
      <c r="GK91" vm="2856">
        <f ca="1"/>
        <v>25.33</v>
      </c>
      <c r="GL91" vm="16390">
        <f ca="1"/>
        <v>25.37</v>
      </c>
      <c r="GM91" vm="2813">
        <f ca="1"/>
        <v>25.51</v>
      </c>
      <c r="GN91" vm="16391">
        <f ca="1"/>
        <v>25.25</v>
      </c>
      <c r="GO91" vm="16372">
        <f ca="1"/>
        <v>25.16</v>
      </c>
      <c r="GP91" vm="2062">
        <f ca="1"/>
        <v>25.4</v>
      </c>
      <c r="GQ91" vm="2062">
        <f ca="1"/>
        <v>25.4</v>
      </c>
      <c r="GR91" vm="16392">
        <f ca="1"/>
        <v>25.56</v>
      </c>
      <c r="GS91" vm="16393">
        <f ca="1"/>
        <v>25.64</v>
      </c>
      <c r="GT91" vm="16386">
        <f ca="1"/>
        <v>25.53</v>
      </c>
      <c r="GU91" vm="2247">
        <f ca="1"/>
        <v>25.68</v>
      </c>
      <c r="GV91" vm="2813">
        <f ca="1"/>
        <v>25.51</v>
      </c>
      <c r="GW91" vm="16390">
        <f ca="1"/>
        <v>25.37</v>
      </c>
      <c r="GX91" vm="16394">
        <f ca="1"/>
        <v>25.23</v>
      </c>
      <c r="GY91" vm="16340">
        <f ca="1"/>
        <v>25.07</v>
      </c>
      <c r="GZ91" vm="9025">
        <f ca="1"/>
        <v>24.8</v>
      </c>
      <c r="HA91" vm="16375">
        <f ca="1"/>
        <v>25.01</v>
      </c>
      <c r="HB91" vm="16395">
        <f ca="1"/>
        <v>25.2</v>
      </c>
      <c r="HC91" vm="16382">
        <f ca="1"/>
        <v>25.49</v>
      </c>
      <c r="HD91" vm="16396">
        <f ca="1"/>
        <v>25.48</v>
      </c>
      <c r="HE91" vm="2858">
        <f ca="1"/>
        <v>25.62</v>
      </c>
      <c r="HF91" vm="1460">
        <f ca="1"/>
        <v>25.84</v>
      </c>
      <c r="HG91" vm="16397">
        <f ca="1"/>
        <v>25.7</v>
      </c>
      <c r="HH91" vm="2248">
        <f ca="1"/>
        <v>25.85</v>
      </c>
      <c r="HI91" vm="97">
        <f ca="1"/>
        <v>25.88</v>
      </c>
      <c r="HJ91" vm="2860">
        <f ca="1"/>
        <v>25.93</v>
      </c>
      <c r="HK91" vm="16398">
        <f ca="1"/>
        <v>26.02</v>
      </c>
      <c r="HL91" vm="2858">
        <f ca="1"/>
        <v>25.62</v>
      </c>
      <c r="HM91" vm="2068">
        <f ca="1"/>
        <v>25.11</v>
      </c>
      <c r="HN91" vm="3126">
        <f ca="1"/>
        <v>25.17</v>
      </c>
      <c r="HO91" vm="13376">
        <f ca="1"/>
        <v>25.21</v>
      </c>
      <c r="HP91" vm="16394">
        <f ca="1"/>
        <v>25.23</v>
      </c>
      <c r="HQ91" vm="13382">
        <f ca="1"/>
        <v>25.18</v>
      </c>
      <c r="HR91" vm="13376">
        <f ca="1"/>
        <v>25.21</v>
      </c>
      <c r="HS91" vm="13382">
        <f ca="1"/>
        <v>25.18</v>
      </c>
      <c r="HT91" vm="16389">
        <f ca="1"/>
        <v>25.52</v>
      </c>
      <c r="HU91" vm="16399">
        <f ca="1"/>
        <v>25.47</v>
      </c>
      <c r="HV91" vm="2814">
        <f ca="1"/>
        <v>25.69</v>
      </c>
      <c r="HW91" vm="2812">
        <f ca="1"/>
        <v>25.5</v>
      </c>
      <c r="HX91" vm="13376">
        <f ca="1"/>
        <v>25.21</v>
      </c>
      <c r="HY91" vm="16395">
        <f ca="1"/>
        <v>25.2</v>
      </c>
      <c r="HZ91" vm="16400">
        <f ca="1"/>
        <v>25.08</v>
      </c>
      <c r="IA91" vm="2058">
        <f ca="1"/>
        <v>25.12</v>
      </c>
      <c r="IB91" vm="2055">
        <f ca="1"/>
        <v>24.95</v>
      </c>
      <c r="IC91" vm="2056">
        <f ca="1"/>
        <v>24.83</v>
      </c>
      <c r="ID91" vm="2057">
        <f ca="1"/>
        <v>25.15</v>
      </c>
      <c r="IE91" vm="2058">
        <f ca="1"/>
        <v>25.12</v>
      </c>
      <c r="IF91" vm="2059">
        <f ca="1"/>
        <v>25.39</v>
      </c>
      <c r="IG91" vm="2060">
        <f ca="1"/>
        <v>25.55</v>
      </c>
      <c r="IH91" vm="2061">
        <f ca="1"/>
        <v>25.66</v>
      </c>
      <c r="II91" vm="2062">
        <f ca="1"/>
        <v>25.4</v>
      </c>
      <c r="IJ91" vm="2059">
        <f ca="1"/>
        <v>25.39</v>
      </c>
      <c r="IK91" vm="2063">
        <f ca="1"/>
        <v>25.42</v>
      </c>
      <c r="IL91" vm="2064">
        <f ca="1"/>
        <v>25.3</v>
      </c>
      <c r="IM91" vm="2065">
        <f ca="1"/>
        <v>25.26</v>
      </c>
      <c r="IN91" vm="2066">
        <f ca="1"/>
        <v>25.04</v>
      </c>
      <c r="IO91" vm="2055">
        <f ca="1"/>
        <v>24.95</v>
      </c>
      <c r="IP91" vm="2067">
        <f ca="1"/>
        <v>25.05</v>
      </c>
      <c r="IQ91" vm="2058">
        <f ca="1"/>
        <v>25.12</v>
      </c>
      <c r="IR91" vm="2068">
        <f ca="1"/>
        <v>25.11</v>
      </c>
      <c r="IS91" vm="2069">
        <f ca="1"/>
        <v>24.87</v>
      </c>
      <c r="IT91" vm="2070">
        <f ca="1"/>
        <v>24.72</v>
      </c>
      <c r="IU91" vm="2071">
        <f ca="1"/>
        <v>24.79</v>
      </c>
      <c r="IV91" vm="2072">
        <f ca="1"/>
        <v>24.76</v>
      </c>
      <c r="IW91" vm="154">
        <f ca="1"/>
        <v>24.71</v>
      </c>
    </row>
    <row r="92" spans="1:257" ht="16" x14ac:dyDescent="0.2">
      <c r="A92" s="13" t="e" vm="2073">
        <v>#VALUE!</v>
      </c>
      <c r="B92" s="23" t="str" cm="1">
        <f t="array" aca="1" ref="B92" ca="1">_FV(A92,"ticker symbol",TRUE)</f>
        <v>SRVR</v>
      </c>
      <c r="C92" s="23" t="str" cm="1">
        <f t="array" aca="1" ref="C92" ca="1">_FV(A92,"Name")</f>
        <v>Pacer Data &amp; Infra RE</v>
      </c>
      <c r="D92" cm="1" vm="16401">
        <f t="array" aca="1" ref="D92:IW92" ca="1">TRANSPOSE(_xlfn.STOCKHISTORY(B92, WORKDAY(TODAY(), -265), TODAY(), 0, 0, 1))</f>
        <v>30.76</v>
      </c>
      <c r="E92" s="23" vm="16402">
        <f ca="1"/>
        <v>30.645</v>
      </c>
      <c r="F92" s="23" vm="10562">
        <f ca="1"/>
        <v>29.54</v>
      </c>
      <c r="G92" s="23" vm="9041">
        <f ca="1"/>
        <v>29.34</v>
      </c>
      <c r="H92" s="23" vm="10577">
        <f ca="1"/>
        <v>29.66</v>
      </c>
      <c r="I92" s="23" vm="16403">
        <f ca="1"/>
        <v>29.68</v>
      </c>
      <c r="J92" s="23" vm="9018">
        <f ca="1"/>
        <v>29.86</v>
      </c>
      <c r="K92" s="23" vm="13916">
        <f ca="1"/>
        <v>29.88</v>
      </c>
      <c r="L92" s="23" vm="2089">
        <f ca="1"/>
        <v>29.82</v>
      </c>
      <c r="M92" s="23" vm="16404">
        <f ca="1"/>
        <v>29.800999999999998</v>
      </c>
      <c r="N92" s="23" vm="13919">
        <f ca="1"/>
        <v>29.98</v>
      </c>
      <c r="O92" s="23" vm="16405">
        <f ca="1"/>
        <v>29.87</v>
      </c>
      <c r="P92" s="23" vm="16406">
        <f ca="1"/>
        <v>30.21</v>
      </c>
      <c r="Q92" s="23" vm="13993">
        <f ca="1"/>
        <v>30.09</v>
      </c>
      <c r="R92" s="23" vm="10556">
        <f ca="1"/>
        <v>29.9</v>
      </c>
      <c r="S92" s="23" vm="10551">
        <f ca="1"/>
        <v>30.13</v>
      </c>
      <c r="T92" s="23" vm="13964">
        <f ca="1"/>
        <v>29.09</v>
      </c>
      <c r="U92" s="23" vm="13963">
        <f ca="1"/>
        <v>28.69</v>
      </c>
      <c r="V92" s="23" vm="10549">
        <f ca="1"/>
        <v>28.9</v>
      </c>
      <c r="W92" s="23" vm="9038">
        <f ca="1"/>
        <v>29.24</v>
      </c>
      <c r="X92" s="23" vm="9017">
        <f ca="1"/>
        <v>30.04</v>
      </c>
      <c r="Y92" s="23" vm="16407">
        <f ca="1"/>
        <v>30.22</v>
      </c>
      <c r="Z92" s="23" vm="16408">
        <f ca="1"/>
        <v>30.669</v>
      </c>
      <c r="AA92" s="23" vm="16409">
        <f ca="1"/>
        <v>30.06</v>
      </c>
      <c r="AB92" s="23" vm="16410">
        <f ca="1"/>
        <v>30.385000000000002</v>
      </c>
      <c r="AC92" s="23" vm="10552">
        <f ca="1"/>
        <v>30.47</v>
      </c>
      <c r="AD92" vm="16411">
        <f ca="1"/>
        <v>29.785</v>
      </c>
      <c r="AE92" vm="10542">
        <f ca="1"/>
        <v>29.45</v>
      </c>
      <c r="AF92" vm="9038">
        <f ca="1"/>
        <v>29.24</v>
      </c>
      <c r="AG92" vm="13991">
        <f ca="1"/>
        <v>29.6</v>
      </c>
      <c r="AH92" vm="16412">
        <f ca="1"/>
        <v>29.38</v>
      </c>
      <c r="AI92" vm="16413">
        <f ca="1"/>
        <v>29.457599999999999</v>
      </c>
      <c r="AJ92" vm="10577">
        <f ca="1"/>
        <v>29.66</v>
      </c>
      <c r="AK92" vm="13993">
        <f ca="1"/>
        <v>30.09</v>
      </c>
      <c r="AL92" vm="10558">
        <f ca="1"/>
        <v>30.3</v>
      </c>
      <c r="AM92" vm="16414">
        <f ca="1"/>
        <v>30.17</v>
      </c>
      <c r="AN92" vm="10626">
        <f ca="1"/>
        <v>30.36</v>
      </c>
      <c r="AO92" vm="9060">
        <f ca="1"/>
        <v>30.91</v>
      </c>
      <c r="AP92" vm="16415">
        <f ca="1"/>
        <v>30.660599999999999</v>
      </c>
      <c r="AQ92" vm="10629">
        <f ca="1"/>
        <v>30.82</v>
      </c>
      <c r="AR92" vm="9003">
        <f ca="1"/>
        <v>30.96</v>
      </c>
      <c r="AS92" vm="2361">
        <f ca="1"/>
        <v>31.07</v>
      </c>
      <c r="AT92" vm="10576">
        <f ca="1"/>
        <v>31.2</v>
      </c>
      <c r="AU92" vm="16416">
        <f ca="1"/>
        <v>31.94</v>
      </c>
      <c r="AV92" vm="9057">
        <f ca="1"/>
        <v>31.4</v>
      </c>
      <c r="AW92" vm="10585">
        <f ca="1"/>
        <v>30.94</v>
      </c>
      <c r="AX92" vm="2362">
        <f ca="1"/>
        <v>31.11</v>
      </c>
      <c r="AY92" vm="10582">
        <f ca="1"/>
        <v>31.06</v>
      </c>
      <c r="AZ92" vm="10587">
        <f ca="1"/>
        <v>31.01</v>
      </c>
      <c r="BA92" vm="2361">
        <f ca="1"/>
        <v>31.07</v>
      </c>
      <c r="BB92" vm="10581">
        <f ca="1"/>
        <v>30.73</v>
      </c>
      <c r="BC92" vm="2362">
        <f ca="1"/>
        <v>31.11</v>
      </c>
      <c r="BD92" vm="16417">
        <f ca="1"/>
        <v>31.518599999999999</v>
      </c>
      <c r="BE92" vm="13908">
        <f ca="1"/>
        <v>30.52</v>
      </c>
      <c r="BF92" vm="16418">
        <f ca="1"/>
        <v>30.7</v>
      </c>
      <c r="BG92" vm="16419">
        <f ca="1"/>
        <v>30.295000000000002</v>
      </c>
      <c r="BH92" vm="9064">
        <f ca="1"/>
        <v>30.45</v>
      </c>
      <c r="BI92" vm="16420">
        <f ca="1"/>
        <v>30.39</v>
      </c>
      <c r="BJ92" vm="10554">
        <f ca="1"/>
        <v>30.02</v>
      </c>
      <c r="BK92" vm="16421">
        <f ca="1"/>
        <v>30.64</v>
      </c>
      <c r="BL92" vm="10586">
        <f ca="1"/>
        <v>31.1</v>
      </c>
      <c r="BM92" vm="10581">
        <f ca="1"/>
        <v>30.73</v>
      </c>
      <c r="BN92" vm="9064">
        <f ca="1"/>
        <v>30.45</v>
      </c>
      <c r="BO92" vm="16407">
        <f ca="1"/>
        <v>30.22</v>
      </c>
      <c r="BP92" vm="10621">
        <f ca="1"/>
        <v>30.03</v>
      </c>
      <c r="BQ92" vm="10546">
        <f ca="1"/>
        <v>30.26</v>
      </c>
      <c r="BR92" vm="10622">
        <f ca="1"/>
        <v>29.85</v>
      </c>
      <c r="BS92" vm="13917">
        <f ca="1"/>
        <v>29.76</v>
      </c>
      <c r="BT92" vm="16422">
        <f ca="1"/>
        <v>29.58</v>
      </c>
      <c r="BU92" vm="9037">
        <f ca="1"/>
        <v>29.27</v>
      </c>
      <c r="BV92" vm="2091">
        <f ca="1"/>
        <v>29.35</v>
      </c>
      <c r="BW92" vm="16423">
        <f ca="1"/>
        <v>29.52</v>
      </c>
      <c r="BX92" vm="10547">
        <f ca="1"/>
        <v>29.79</v>
      </c>
      <c r="BY92" vm="13946">
        <f ca="1"/>
        <v>29.42</v>
      </c>
      <c r="BZ92" vm="16424">
        <f ca="1"/>
        <v>27.94</v>
      </c>
      <c r="CA92" vm="16425">
        <f ca="1"/>
        <v>27.16</v>
      </c>
      <c r="CB92" vm="16426">
        <f ca="1"/>
        <v>26.53</v>
      </c>
      <c r="CC92" vm="16427">
        <f ca="1"/>
        <v>28.18</v>
      </c>
      <c r="CD92" vm="16428">
        <f ca="1"/>
        <v>27.68</v>
      </c>
      <c r="CE92" vm="2890">
        <f ca="1"/>
        <v>28.2</v>
      </c>
      <c r="CF92" vm="16429">
        <f ca="1"/>
        <v>28.6</v>
      </c>
      <c r="CG92" vm="2074">
        <f ca="1"/>
        <v>28.77</v>
      </c>
      <c r="CH92" vm="2076">
        <f ca="1"/>
        <v>28.74</v>
      </c>
      <c r="CI92" vm="9038">
        <f ca="1"/>
        <v>29.24</v>
      </c>
      <c r="CJ92" vm="13931">
        <f ca="1"/>
        <v>28.76</v>
      </c>
      <c r="CK92" vm="16430">
        <f ca="1"/>
        <v>29.17</v>
      </c>
      <c r="CL92" vm="16431">
        <f ca="1"/>
        <v>29.06</v>
      </c>
      <c r="CM92" vm="2091">
        <f ca="1"/>
        <v>29.35</v>
      </c>
      <c r="CN92" vm="10561">
        <f ca="1"/>
        <v>29.69</v>
      </c>
      <c r="CO92" vm="13929">
        <f ca="1"/>
        <v>29.78</v>
      </c>
      <c r="CP92" vm="13915">
        <f ca="1"/>
        <v>30.31</v>
      </c>
      <c r="CQ92" vm="10618">
        <f ca="1"/>
        <v>30.8</v>
      </c>
      <c r="CR92" vm="16432">
        <f ca="1"/>
        <v>30.95</v>
      </c>
      <c r="CS92" vm="10613">
        <f ca="1"/>
        <v>31.47</v>
      </c>
      <c r="CT92" vm="16433">
        <f ca="1"/>
        <v>31.74</v>
      </c>
      <c r="CU92" vm="15760">
        <f ca="1"/>
        <v>31.77</v>
      </c>
      <c r="CV92" vm="16434">
        <f ca="1"/>
        <v>31.39</v>
      </c>
      <c r="CW92" vm="9045">
        <f ca="1"/>
        <v>31.05</v>
      </c>
      <c r="CX92" vm="9048">
        <f ca="1"/>
        <v>31.19</v>
      </c>
      <c r="CY92" vm="9045">
        <f ca="1"/>
        <v>31.05</v>
      </c>
      <c r="CZ92" vm="2360">
        <f ca="1"/>
        <v>30.77</v>
      </c>
      <c r="DA92" vm="9015">
        <f ca="1"/>
        <v>30.68</v>
      </c>
      <c r="DB92" vm="16435">
        <f ca="1"/>
        <v>31.175000000000001</v>
      </c>
      <c r="DC92" vm="16436">
        <f ca="1"/>
        <v>31.4633</v>
      </c>
      <c r="DD92" vm="16437">
        <f ca="1"/>
        <v>31.56</v>
      </c>
      <c r="DE92" vm="16438">
        <f ca="1"/>
        <v>31.520399999999999</v>
      </c>
      <c r="DF92" vm="10570">
        <f ca="1"/>
        <v>31.29</v>
      </c>
      <c r="DG92" vm="10586">
        <f ca="1"/>
        <v>31.1</v>
      </c>
      <c r="DH92" vm="10569">
        <f ca="1"/>
        <v>31.15</v>
      </c>
      <c r="DI92" vm="16439">
        <f ca="1"/>
        <v>31.4679</v>
      </c>
      <c r="DJ92" vm="10625">
        <f ca="1"/>
        <v>31.12</v>
      </c>
      <c r="DK92" vm="10575">
        <f ca="1"/>
        <v>31.43</v>
      </c>
      <c r="DL92" vm="16440">
        <f ca="1"/>
        <v>31.365600000000001</v>
      </c>
      <c r="DM92" vm="9176">
        <f ca="1"/>
        <v>31.5</v>
      </c>
      <c r="DN92" vm="10614">
        <f ca="1"/>
        <v>31.57</v>
      </c>
      <c r="DO92" vm="16441">
        <f ca="1"/>
        <v>31.812999999999999</v>
      </c>
      <c r="DP92" vm="16442">
        <f ca="1"/>
        <v>31.75</v>
      </c>
      <c r="DQ92" vm="16443">
        <f ca="1"/>
        <v>31.62</v>
      </c>
      <c r="DR92" vm="16433">
        <f ca="1"/>
        <v>31.74</v>
      </c>
      <c r="DS92" vm="16444">
        <f ca="1"/>
        <v>31.99</v>
      </c>
      <c r="DT92" vm="9002">
        <f ca="1"/>
        <v>31.89</v>
      </c>
      <c r="DU92" vm="16445">
        <f ca="1"/>
        <v>32.04</v>
      </c>
      <c r="DV92" vm="14007">
        <f ca="1"/>
        <v>31.71</v>
      </c>
      <c r="DW92" vm="16446">
        <f ca="1"/>
        <v>31.96</v>
      </c>
      <c r="DX92" vm="10632">
        <f ca="1"/>
        <v>31.85</v>
      </c>
      <c r="DY92" vm="2695">
        <f ca="1"/>
        <v>31.9</v>
      </c>
      <c r="DZ92" vm="16416">
        <f ca="1"/>
        <v>31.94</v>
      </c>
      <c r="EA92" vm="2704">
        <f ca="1"/>
        <v>32.53</v>
      </c>
      <c r="EB92" vm="15763">
        <f ca="1"/>
        <v>32.81</v>
      </c>
      <c r="EC92" vm="16446">
        <f ca="1"/>
        <v>31.96</v>
      </c>
      <c r="ED92" vm="16447">
        <f ca="1"/>
        <v>31.55</v>
      </c>
      <c r="EE92" vm="2696">
        <f ca="1"/>
        <v>32.03</v>
      </c>
      <c r="EF92" vm="16448">
        <f ca="1"/>
        <v>32.32</v>
      </c>
      <c r="EG92" vm="16449">
        <f ca="1"/>
        <v>32.316000000000003</v>
      </c>
      <c r="EH92" vm="16450">
        <f ca="1"/>
        <v>32.439900000000002</v>
      </c>
      <c r="EI92" vm="16451">
        <f ca="1"/>
        <v>32.588900000000002</v>
      </c>
      <c r="EJ92" vm="16452">
        <f ca="1"/>
        <v>32.15</v>
      </c>
      <c r="EK92" vm="16453">
        <f ca="1"/>
        <v>32</v>
      </c>
      <c r="EL92" vm="16454">
        <f ca="1"/>
        <v>32.1</v>
      </c>
      <c r="EM92" vm="16446">
        <f ca="1"/>
        <v>31.96</v>
      </c>
      <c r="EN92" vm="16455">
        <f ca="1"/>
        <v>31.88</v>
      </c>
      <c r="EO92" vm="16456">
        <f ca="1"/>
        <v>32.234999999999999</v>
      </c>
      <c r="EP92" vm="16457">
        <f ca="1"/>
        <v>32.31</v>
      </c>
      <c r="EQ92" vm="16458">
        <f ca="1"/>
        <v>32.673000000000002</v>
      </c>
      <c r="ER92" vm="16459">
        <f ca="1"/>
        <v>32.93</v>
      </c>
      <c r="ES92" vm="16460">
        <f ca="1"/>
        <v>33.073099999999997</v>
      </c>
      <c r="ET92" vm="2368">
        <f ca="1"/>
        <v>33.03</v>
      </c>
      <c r="EU92" vm="10638">
        <f ca="1"/>
        <v>33.54</v>
      </c>
      <c r="EV92" vm="16461">
        <f ca="1"/>
        <v>33.6188</v>
      </c>
      <c r="EW92" vm="2378">
        <f ca="1"/>
        <v>33.229999999999997</v>
      </c>
      <c r="EX92" vm="9089">
        <f ca="1"/>
        <v>33.17</v>
      </c>
      <c r="EY92" vm="2372">
        <f ca="1"/>
        <v>32.65</v>
      </c>
      <c r="EZ92" vm="16462">
        <f ca="1"/>
        <v>32.450000000000003</v>
      </c>
      <c r="FA92" vm="16463">
        <f ca="1"/>
        <v>32.003</v>
      </c>
      <c r="FB92" vm="10632">
        <f ca="1"/>
        <v>31.85</v>
      </c>
      <c r="FC92" vm="16443">
        <f ca="1"/>
        <v>31.62</v>
      </c>
      <c r="FD92" vm="2364">
        <f ca="1"/>
        <v>31.84</v>
      </c>
      <c r="FE92" vm="14007">
        <f ca="1"/>
        <v>31.71</v>
      </c>
      <c r="FF92" vm="16464">
        <f ca="1"/>
        <v>31.4983</v>
      </c>
      <c r="FG92" vm="16465">
        <f ca="1"/>
        <v>31.67</v>
      </c>
      <c r="FH92" vm="16466">
        <f ca="1"/>
        <v>31.414000000000001</v>
      </c>
      <c r="FI92" vm="10613">
        <f ca="1"/>
        <v>31.47</v>
      </c>
      <c r="FJ92" vm="8976">
        <f ca="1"/>
        <v>31.49</v>
      </c>
      <c r="FK92" vm="16437">
        <f ca="1"/>
        <v>31.56</v>
      </c>
      <c r="FL92" vm="10582">
        <f ca="1"/>
        <v>31.06</v>
      </c>
      <c r="FM92" vm="9048">
        <f ca="1"/>
        <v>31.19</v>
      </c>
      <c r="FN92" vm="9043">
        <f ca="1"/>
        <v>31.03</v>
      </c>
      <c r="FO92" vm="10625">
        <f ca="1"/>
        <v>31.12</v>
      </c>
      <c r="FP92" vm="10611">
        <f ca="1"/>
        <v>31.37</v>
      </c>
      <c r="FQ92" vm="16467">
        <f ca="1"/>
        <v>31.040700000000001</v>
      </c>
      <c r="FR92" vm="16442">
        <f ca="1"/>
        <v>31.75</v>
      </c>
      <c r="FS92" vm="9066">
        <f ca="1"/>
        <v>31.54</v>
      </c>
      <c r="FT92" vm="9059">
        <f ca="1"/>
        <v>31.41</v>
      </c>
      <c r="FU92" vm="16434">
        <f ca="1"/>
        <v>31.39</v>
      </c>
      <c r="FV92" vm="8975">
        <f ca="1"/>
        <v>31.46</v>
      </c>
      <c r="FW92" vm="16468">
        <f ca="1"/>
        <v>31.635000000000002</v>
      </c>
      <c r="FX92" vm="10585">
        <f ca="1"/>
        <v>30.94</v>
      </c>
      <c r="FY92" vm="16469">
        <f ca="1"/>
        <v>30.675000000000001</v>
      </c>
      <c r="FZ92" vm="16470">
        <f ca="1"/>
        <v>30.395</v>
      </c>
      <c r="GA92" vm="16401">
        <f ca="1"/>
        <v>30.76</v>
      </c>
      <c r="GB92" vm="10535">
        <f ca="1"/>
        <v>30.4</v>
      </c>
      <c r="GC92" vm="10579">
        <f ca="1"/>
        <v>30.69</v>
      </c>
      <c r="GD92" vm="10574">
        <f ca="1"/>
        <v>30.87</v>
      </c>
      <c r="GE92" vm="15760">
        <f ca="1"/>
        <v>31.77</v>
      </c>
      <c r="GF92" vm="16471">
        <f ca="1"/>
        <v>31.590499999999999</v>
      </c>
      <c r="GG92" vm="16472">
        <f ca="1"/>
        <v>31.72</v>
      </c>
      <c r="GH92" vm="16473">
        <f ca="1"/>
        <v>31.605</v>
      </c>
      <c r="GI92" vm="16474">
        <f ca="1"/>
        <v>31.814900000000002</v>
      </c>
      <c r="GJ92" vm="2695">
        <f ca="1"/>
        <v>31.9</v>
      </c>
      <c r="GK92" vm="16472">
        <f ca="1"/>
        <v>31.72</v>
      </c>
      <c r="GL92" vm="16475">
        <f ca="1"/>
        <v>31.989000000000001</v>
      </c>
      <c r="GM92" vm="16476">
        <f ca="1"/>
        <v>31.87</v>
      </c>
      <c r="GN92" vm="16477">
        <f ca="1"/>
        <v>31.69</v>
      </c>
      <c r="GO92" vm="16478">
        <f ca="1"/>
        <v>31.567699999999999</v>
      </c>
      <c r="GP92" vm="16479">
        <f ca="1"/>
        <v>31.7</v>
      </c>
      <c r="GQ92" vm="16480">
        <f ca="1"/>
        <v>31.63</v>
      </c>
      <c r="GR92" vm="16481">
        <f ca="1"/>
        <v>31.68</v>
      </c>
      <c r="GS92" vm="8974">
        <f ca="1"/>
        <v>31.79</v>
      </c>
      <c r="GT92" vm="2695">
        <f ca="1"/>
        <v>31.9</v>
      </c>
      <c r="GU92" vm="16455">
        <f ca="1"/>
        <v>31.88</v>
      </c>
      <c r="GV92" vm="16482">
        <f ca="1"/>
        <v>31.8459</v>
      </c>
      <c r="GW92" vm="10614">
        <f ca="1"/>
        <v>31.57</v>
      </c>
      <c r="GX92" vm="16483">
        <f ca="1"/>
        <v>31.585000000000001</v>
      </c>
      <c r="GY92" vm="16484">
        <f ca="1"/>
        <v>31.561</v>
      </c>
      <c r="GZ92" vm="9054">
        <f ca="1"/>
        <v>30.9</v>
      </c>
      <c r="HA92" vm="16485">
        <f ca="1"/>
        <v>31.0626</v>
      </c>
      <c r="HB92" vm="14005">
        <f ca="1"/>
        <v>31.42</v>
      </c>
      <c r="HC92" vm="16486">
        <f ca="1"/>
        <v>31.7197</v>
      </c>
      <c r="HD92" vm="16487">
        <f ca="1"/>
        <v>31.5792</v>
      </c>
      <c r="HE92" vm="9176">
        <f ca="1"/>
        <v>31.5</v>
      </c>
      <c r="HF92" vm="16488">
        <f ca="1"/>
        <v>31.730799999999999</v>
      </c>
      <c r="HG92" vm="10612">
        <f ca="1"/>
        <v>31.64</v>
      </c>
      <c r="HH92" vm="16489">
        <f ca="1"/>
        <v>31.5078</v>
      </c>
      <c r="HI92" vm="8962">
        <f ca="1"/>
        <v>31.8</v>
      </c>
      <c r="HJ92" vm="16445">
        <f ca="1"/>
        <v>32.04</v>
      </c>
      <c r="HK92" vm="16490">
        <f ca="1"/>
        <v>32.125</v>
      </c>
      <c r="HL92" vm="16491">
        <f ca="1"/>
        <v>31.497599999999998</v>
      </c>
      <c r="HM92" vm="16492">
        <f ca="1"/>
        <v>31.036300000000001</v>
      </c>
      <c r="HN92" vm="16493">
        <f ca="1"/>
        <v>31.1037</v>
      </c>
      <c r="HO92" vm="16494">
        <f ca="1"/>
        <v>31.1751</v>
      </c>
      <c r="HP92" vm="16495">
        <f ca="1"/>
        <v>30.985499999999998</v>
      </c>
      <c r="HQ92" vm="16496">
        <f ca="1"/>
        <v>30.825500000000002</v>
      </c>
      <c r="HR92" vm="10620">
        <f ca="1"/>
        <v>30.71</v>
      </c>
      <c r="HS92" vm="9064">
        <f ca="1"/>
        <v>30.45</v>
      </c>
      <c r="HT92" vm="13923">
        <f ca="1"/>
        <v>30.46</v>
      </c>
      <c r="HU92" vm="16497">
        <f ca="1"/>
        <v>30.609000000000002</v>
      </c>
      <c r="HV92" vm="13997">
        <f ca="1"/>
        <v>30.56</v>
      </c>
      <c r="HW92" vm="16498">
        <f ca="1"/>
        <v>30.064299999999999</v>
      </c>
      <c r="HX92" vm="10566">
        <f ca="1"/>
        <v>29.22</v>
      </c>
      <c r="HY92" vm="16499">
        <f ca="1"/>
        <v>29.25</v>
      </c>
      <c r="HZ92" vm="2078">
        <f ca="1"/>
        <v>28.96</v>
      </c>
      <c r="IA92" vm="16500">
        <f ca="1"/>
        <v>28.94</v>
      </c>
      <c r="IB92" vm="2074">
        <f ca="1"/>
        <v>28.77</v>
      </c>
      <c r="IC92" vm="2075">
        <f ca="1"/>
        <v>28.56</v>
      </c>
      <c r="ID92" vm="2076">
        <f ca="1"/>
        <v>28.74</v>
      </c>
      <c r="IE92" vm="2077">
        <f ca="1"/>
        <v>28.98</v>
      </c>
      <c r="IF92" vm="2078">
        <f ca="1"/>
        <v>28.96</v>
      </c>
      <c r="IG92" vm="2079">
        <f ca="1"/>
        <v>29.1691</v>
      </c>
      <c r="IH92" vm="2080">
        <f ca="1"/>
        <v>29.305</v>
      </c>
      <c r="II92" vm="2081">
        <f ca="1"/>
        <v>28.81</v>
      </c>
      <c r="IJ92" vm="2082">
        <f ca="1"/>
        <v>28.687000000000001</v>
      </c>
      <c r="IK92" vm="2083">
        <f ca="1"/>
        <v>28.85</v>
      </c>
      <c r="IL92" vm="2084">
        <f ca="1"/>
        <v>28.99</v>
      </c>
      <c r="IM92" vm="2085">
        <f ca="1"/>
        <v>29.55</v>
      </c>
      <c r="IN92" vm="2086">
        <f ca="1"/>
        <v>29.684999999999999</v>
      </c>
      <c r="IO92" vm="2087">
        <f ca="1"/>
        <v>29.606100000000001</v>
      </c>
      <c r="IP92" vm="2088">
        <f ca="1"/>
        <v>29.53</v>
      </c>
      <c r="IQ92" vm="2089">
        <f ca="1"/>
        <v>29.82</v>
      </c>
      <c r="IR92" vm="2090">
        <f ca="1"/>
        <v>29.41</v>
      </c>
      <c r="IS92" vm="2091">
        <f ca="1"/>
        <v>29.35</v>
      </c>
      <c r="IT92" vm="2092">
        <f ca="1"/>
        <v>29.02</v>
      </c>
      <c r="IU92" vm="2093">
        <f ca="1"/>
        <v>28.725000000000001</v>
      </c>
      <c r="IV92" vm="2094">
        <f ca="1"/>
        <v>28.535</v>
      </c>
      <c r="IW92" vm="155">
        <f ca="1"/>
        <v>28.680299999999999</v>
      </c>
    </row>
    <row r="93" spans="1:257" ht="16" x14ac:dyDescent="0.2">
      <c r="A93" s="13" t="e" vm="2095">
        <v>#VALUE!</v>
      </c>
      <c r="B93" s="23" t="str" cm="1">
        <f t="array" aca="1" ref="B93" ca="1">_FV(A93,"ticker symbol",TRUE)</f>
        <v>HOMZ</v>
      </c>
      <c r="C93" s="23" t="str" cm="1">
        <f t="array" aca="1" ref="C93" ca="1">_FV(A93,"Name")</f>
        <v>Hoya Capital Housing</v>
      </c>
      <c r="D93" cm="1" vm="1263">
        <f t="array" aca="1" ref="D93:IW93" ca="1">TRANSPOSE(_xlfn.STOCKHISTORY(B93, WORKDAY(TODAY(), -265), TODAY(), 0, 0, 1))</f>
        <v>48.27</v>
      </c>
      <c r="E93" s="23" vm="16501">
        <f ca="1"/>
        <v>47.720799999999997</v>
      </c>
      <c r="F93" s="23" vm="16502">
        <f ca="1"/>
        <v>45.827500000000001</v>
      </c>
      <c r="G93" s="23" vm="16503">
        <f ca="1"/>
        <v>44.977200000000003</v>
      </c>
      <c r="H93" s="23" vm="16504">
        <f ca="1"/>
        <v>45.68</v>
      </c>
      <c r="I93" s="23" vm="16505">
        <f ca="1"/>
        <v>45.544199999999996</v>
      </c>
      <c r="J93" s="23" vm="16506">
        <f ca="1"/>
        <v>45.9373</v>
      </c>
      <c r="K93" s="23" vm="16507">
        <f ca="1"/>
        <v>45.936599999999999</v>
      </c>
      <c r="L93" s="23" vm="16508">
        <f ca="1"/>
        <v>45.344000000000001</v>
      </c>
      <c r="M93" s="23" vm="16509">
        <f ca="1"/>
        <v>45.105699999999999</v>
      </c>
      <c r="N93" s="23" vm="16510">
        <f ca="1"/>
        <v>45.3063</v>
      </c>
      <c r="O93" s="23" vm="16511">
        <f ca="1"/>
        <v>44.931100000000001</v>
      </c>
      <c r="P93" s="23" vm="16512">
        <f ca="1"/>
        <v>45.4651</v>
      </c>
      <c r="Q93" s="23" vm="16513">
        <f ca="1"/>
        <v>44.849499999999999</v>
      </c>
      <c r="R93" s="23" vm="16514">
        <f ca="1"/>
        <v>44.324599999999997</v>
      </c>
      <c r="S93" s="23" vm="16515">
        <f ca="1"/>
        <v>44.595399999999998</v>
      </c>
      <c r="T93" s="23" vm="16516">
        <f ca="1"/>
        <v>43.758499999999998</v>
      </c>
      <c r="U93" s="23" vm="9226">
        <f ca="1"/>
        <v>44.14</v>
      </c>
      <c r="V93" s="23" vm="16517">
        <f ca="1"/>
        <v>45.256599999999999</v>
      </c>
      <c r="W93" s="23" vm="16518">
        <f ca="1"/>
        <v>46.084800000000001</v>
      </c>
      <c r="X93" s="23" vm="16519">
        <f ca="1"/>
        <v>46.562199999999997</v>
      </c>
      <c r="Y93" s="23" vm="16520">
        <f ca="1"/>
        <v>46.722499999999997</v>
      </c>
      <c r="Z93" s="23" vm="16521">
        <f ca="1"/>
        <v>47.097000000000001</v>
      </c>
      <c r="AA93" s="23" vm="16522">
        <f ca="1"/>
        <v>46.591799999999999</v>
      </c>
      <c r="AB93" s="23" vm="16523">
        <f ca="1"/>
        <v>46.594900000000003</v>
      </c>
      <c r="AC93" s="23" vm="16524">
        <f ca="1"/>
        <v>46.61</v>
      </c>
      <c r="AD93" vm="16525">
        <f ca="1"/>
        <v>47.579900000000002</v>
      </c>
      <c r="AE93" vm="11493">
        <f ca="1"/>
        <v>47.09</v>
      </c>
      <c r="AF93" vm="16526">
        <f ca="1"/>
        <v>46.567399999999999</v>
      </c>
      <c r="AG93" vm="16527">
        <f ca="1"/>
        <v>47.261800000000001</v>
      </c>
      <c r="AH93" vm="11036">
        <f ca="1"/>
        <v>46.64</v>
      </c>
      <c r="AI93" vm="16528">
        <f ca="1"/>
        <v>46.083399999999997</v>
      </c>
      <c r="AJ93" vm="16529">
        <f ca="1"/>
        <v>46.353499999999997</v>
      </c>
      <c r="AK93" vm="11475">
        <f ca="1"/>
        <v>46.84</v>
      </c>
      <c r="AL93" vm="16530">
        <f ca="1"/>
        <v>47.005600000000001</v>
      </c>
      <c r="AM93" vm="16531">
        <f ca="1"/>
        <v>46.231699999999996</v>
      </c>
      <c r="AN93" vm="16532">
        <f ca="1"/>
        <v>46.361800000000002</v>
      </c>
      <c r="AO93" vm="10012">
        <f ca="1"/>
        <v>46.41</v>
      </c>
      <c r="AP93" vm="16533">
        <f ca="1"/>
        <v>45.9178</v>
      </c>
      <c r="AQ93" vm="16534">
        <f ca="1"/>
        <v>46.318800000000003</v>
      </c>
      <c r="AR93" vm="16535">
        <f ca="1"/>
        <v>46.776899999999998</v>
      </c>
      <c r="AS93" vm="16536">
        <f ca="1"/>
        <v>46.595300000000002</v>
      </c>
      <c r="AT93" vm="16537">
        <f ca="1"/>
        <v>46.235300000000002</v>
      </c>
      <c r="AU93" vm="16538">
        <f ca="1"/>
        <v>46.2714</v>
      </c>
      <c r="AV93" vm="16539">
        <f ca="1"/>
        <v>45.428800000000003</v>
      </c>
      <c r="AW93" vm="16540">
        <f ca="1"/>
        <v>45.542999999999999</v>
      </c>
      <c r="AX93" vm="16541">
        <f ca="1"/>
        <v>46.4895</v>
      </c>
      <c r="AY93" vm="16542">
        <f ca="1"/>
        <v>46.123899999999999</v>
      </c>
      <c r="AZ93" vm="16543">
        <f ca="1"/>
        <v>45.905099999999997</v>
      </c>
      <c r="BA93" vm="12078">
        <f ca="1"/>
        <v>46.23</v>
      </c>
      <c r="BB93" vm="16544">
        <f ca="1"/>
        <v>45.834400000000002</v>
      </c>
      <c r="BC93" vm="16545">
        <f ca="1"/>
        <v>45.262599999999999</v>
      </c>
      <c r="BD93" vm="16546">
        <f ca="1"/>
        <v>45.770299999999999</v>
      </c>
      <c r="BE93" vm="16547">
        <f ca="1"/>
        <v>45.537700000000001</v>
      </c>
      <c r="BF93" vm="16548">
        <f ca="1"/>
        <v>45.705199999999998</v>
      </c>
      <c r="BG93" vm="16549">
        <f ca="1"/>
        <v>45.402299999999997</v>
      </c>
      <c r="BH93" vm="16550">
        <f ca="1"/>
        <v>44.69</v>
      </c>
      <c r="BI93" vm="16551">
        <f ca="1"/>
        <v>44.32</v>
      </c>
      <c r="BJ93" vm="16552">
        <f ca="1"/>
        <v>43.595700000000001</v>
      </c>
      <c r="BK93" vm="16553">
        <f ca="1"/>
        <v>44.405299999999997</v>
      </c>
      <c r="BL93" vm="16554">
        <f ca="1"/>
        <v>44.988399999999999</v>
      </c>
      <c r="BM93" vm="16555">
        <f ca="1"/>
        <v>44.622500000000002</v>
      </c>
      <c r="BN93" vm="16556">
        <f ca="1"/>
        <v>44.880200000000002</v>
      </c>
      <c r="BO93" vm="16557">
        <f ca="1"/>
        <v>45.001100000000001</v>
      </c>
      <c r="BP93" vm="16558">
        <f ca="1"/>
        <v>44.446800000000003</v>
      </c>
      <c r="BQ93" vm="16559">
        <f ca="1"/>
        <v>45.433500000000002</v>
      </c>
      <c r="BR93" vm="16560">
        <f ca="1"/>
        <v>45.123800000000003</v>
      </c>
      <c r="BS93" vm="16561">
        <f ca="1"/>
        <v>45.140999999999998</v>
      </c>
      <c r="BT93" vm="15718">
        <f ca="1"/>
        <v>45.02</v>
      </c>
      <c r="BU93" vm="16562">
        <f ca="1"/>
        <v>44.448099999999997</v>
      </c>
      <c r="BV93" vm="16563">
        <f ca="1"/>
        <v>44.706299999999999</v>
      </c>
      <c r="BW93" vm="16564">
        <f ca="1"/>
        <v>44.831899999999997</v>
      </c>
      <c r="BX93" vm="16565">
        <f ca="1"/>
        <v>45.363300000000002</v>
      </c>
      <c r="BY93" vm="16566">
        <f ca="1"/>
        <v>43.263399999999997</v>
      </c>
      <c r="BZ93" vm="16567">
        <f ca="1"/>
        <v>42.005000000000003</v>
      </c>
      <c r="CA93" vm="16568">
        <f ca="1"/>
        <v>40.790799999999997</v>
      </c>
      <c r="CB93" vm="16569">
        <f ca="1"/>
        <v>39.481299999999997</v>
      </c>
      <c r="CC93" vm="16570">
        <f ca="1"/>
        <v>42.043399999999998</v>
      </c>
      <c r="CD93" vm="16571">
        <f ca="1"/>
        <v>40.700000000000003</v>
      </c>
      <c r="CE93" vm="16572">
        <f ca="1"/>
        <v>40.960299999999997</v>
      </c>
      <c r="CF93" vm="16573">
        <f ca="1"/>
        <v>41.654200000000003</v>
      </c>
      <c r="CG93" vm="16574">
        <f ca="1"/>
        <v>41.418799999999997</v>
      </c>
      <c r="CH93" vm="16575">
        <f ca="1"/>
        <v>40.886099999999999</v>
      </c>
      <c r="CI93" vm="16576">
        <f ca="1"/>
        <v>41.488500000000002</v>
      </c>
      <c r="CJ93" vm="16577">
        <f ca="1"/>
        <v>40.622500000000002</v>
      </c>
      <c r="CK93" vm="16578">
        <f ca="1"/>
        <v>41.913800000000002</v>
      </c>
      <c r="CL93" vm="16579">
        <f ca="1"/>
        <v>41.996600000000001</v>
      </c>
      <c r="CM93" vm="16580">
        <f ca="1"/>
        <v>42.414499999999997</v>
      </c>
      <c r="CN93" vm="16581">
        <f ca="1"/>
        <v>42.22</v>
      </c>
      <c r="CO93" vm="6856">
        <f ca="1"/>
        <v>42.42</v>
      </c>
      <c r="CP93" vm="16582">
        <f ca="1"/>
        <v>42.663200000000003</v>
      </c>
      <c r="CQ93" vm="16583">
        <f ca="1"/>
        <v>42.929400000000001</v>
      </c>
      <c r="CR93" vm="16584">
        <f ca="1"/>
        <v>42.92</v>
      </c>
      <c r="CS93" vm="16585">
        <f ca="1"/>
        <v>43.834899999999998</v>
      </c>
      <c r="CT93" vm="9975">
        <f ca="1"/>
        <v>43.41</v>
      </c>
      <c r="CU93" vm="16586">
        <f ca="1"/>
        <v>42.831099999999999</v>
      </c>
      <c r="CV93" vm="11032">
        <f ca="1"/>
        <v>42.84</v>
      </c>
      <c r="CW93" vm="16587">
        <f ca="1"/>
        <v>43.116</v>
      </c>
      <c r="CX93" vm="16588">
        <f ca="1"/>
        <v>42.990099999999998</v>
      </c>
      <c r="CY93" vm="2579">
        <f ca="1"/>
        <v>44.11</v>
      </c>
      <c r="CZ93" vm="16589">
        <f ca="1"/>
        <v>43.918300000000002</v>
      </c>
      <c r="DA93" vm="16590">
        <f ca="1"/>
        <v>43.207999999999998</v>
      </c>
      <c r="DB93" vm="16591">
        <f ca="1"/>
        <v>43.763100000000001</v>
      </c>
      <c r="DC93" vm="16592">
        <f ca="1"/>
        <v>44.3264</v>
      </c>
      <c r="DD93" vm="16593">
        <f ca="1"/>
        <v>44.046399999999998</v>
      </c>
      <c r="DE93" vm="16594">
        <f ca="1"/>
        <v>43.6785</v>
      </c>
      <c r="DF93" vm="16595">
        <f ca="1"/>
        <v>42.279499999999999</v>
      </c>
      <c r="DG93" vm="12757">
        <f ca="1"/>
        <v>41.99</v>
      </c>
      <c r="DH93" vm="6931">
        <f ca="1"/>
        <v>41.86</v>
      </c>
      <c r="DI93" vm="16596">
        <f ca="1"/>
        <v>42.6693</v>
      </c>
      <c r="DJ93" vm="16597">
        <f ca="1"/>
        <v>42.148099999999999</v>
      </c>
      <c r="DK93" vm="16598">
        <f ca="1"/>
        <v>42.447099999999999</v>
      </c>
      <c r="DL93" vm="16599">
        <f ca="1"/>
        <v>42.4405</v>
      </c>
      <c r="DM93" vm="13808">
        <f ca="1"/>
        <v>42.09</v>
      </c>
      <c r="DN93" vm="16600">
        <f ca="1"/>
        <v>42.499400000000001</v>
      </c>
      <c r="DO93" vm="6893">
        <f ca="1"/>
        <v>42.85</v>
      </c>
      <c r="DP93" vm="16601">
        <f ca="1"/>
        <v>42.691899999999997</v>
      </c>
      <c r="DQ93" vm="16602">
        <f ca="1"/>
        <v>42.720999999999997</v>
      </c>
      <c r="DR93" vm="16603">
        <f ca="1"/>
        <v>43.080500000000001</v>
      </c>
      <c r="DS93" vm="16604">
        <f ca="1"/>
        <v>43.760100000000001</v>
      </c>
      <c r="DT93" vm="16605">
        <f ca="1"/>
        <v>43.288400000000003</v>
      </c>
      <c r="DU93" vm="16606">
        <f ca="1"/>
        <v>43.478999999999999</v>
      </c>
      <c r="DV93" vm="10029">
        <f ca="1"/>
        <v>42.6</v>
      </c>
      <c r="DW93" vm="608">
        <f ca="1"/>
        <v>42.76</v>
      </c>
      <c r="DX93" vm="16607">
        <f ca="1"/>
        <v>41.983699999999999</v>
      </c>
      <c r="DY93" vm="16608">
        <f ca="1"/>
        <v>42.131399999999999</v>
      </c>
      <c r="DZ93" vm="16609">
        <f ca="1"/>
        <v>42.497100000000003</v>
      </c>
      <c r="EA93" vm="16610">
        <f ca="1"/>
        <v>43.3108</v>
      </c>
      <c r="EB93" vm="6894">
        <f ca="1"/>
        <v>43.52</v>
      </c>
      <c r="EC93" vm="606">
        <f ca="1"/>
        <v>42.83</v>
      </c>
      <c r="ED93" vm="16611">
        <f ca="1"/>
        <v>43.24</v>
      </c>
      <c r="EE93" vm="542">
        <f ca="1"/>
        <v>43.39</v>
      </c>
      <c r="EF93" vm="2684">
        <f ca="1"/>
        <v>43.46</v>
      </c>
      <c r="EG93" vm="16612">
        <f ca="1"/>
        <v>44.469099999999997</v>
      </c>
      <c r="EH93" vm="16025">
        <f ca="1"/>
        <v>44.92</v>
      </c>
      <c r="EI93" vm="16613">
        <f ca="1"/>
        <v>44.771000000000001</v>
      </c>
      <c r="EJ93" vm="16614">
        <f ca="1"/>
        <v>44.129199999999997</v>
      </c>
      <c r="EK93" vm="16615">
        <f ca="1"/>
        <v>44.321800000000003</v>
      </c>
      <c r="EL93" vm="546">
        <f ca="1"/>
        <v>45</v>
      </c>
      <c r="EM93" vm="16616">
        <f ca="1"/>
        <v>45.3765</v>
      </c>
      <c r="EN93" vm="16617">
        <f ca="1"/>
        <v>45.020400000000002</v>
      </c>
      <c r="EO93" vm="16618">
        <f ca="1"/>
        <v>44.902000000000001</v>
      </c>
      <c r="EP93" vm="16619">
        <f ca="1"/>
        <v>43.625100000000003</v>
      </c>
      <c r="EQ93" vm="11652">
        <f ca="1"/>
        <v>43.99</v>
      </c>
      <c r="ER93" vm="16620">
        <f ca="1"/>
        <v>44.288899999999998</v>
      </c>
      <c r="ES93" vm="13784">
        <f ca="1"/>
        <v>44.05</v>
      </c>
      <c r="ET93" vm="16621">
        <f ca="1"/>
        <v>44.23</v>
      </c>
      <c r="EU93" vm="16622">
        <f ca="1"/>
        <v>45.807600000000001</v>
      </c>
      <c r="EV93" vm="16623">
        <f ca="1"/>
        <v>45.983800000000002</v>
      </c>
      <c r="EW93" vm="16624">
        <f ca="1"/>
        <v>45.258800000000001</v>
      </c>
      <c r="EX93" vm="16625">
        <f ca="1"/>
        <v>45.446199999999997</v>
      </c>
      <c r="EY93" vm="16626">
        <f ca="1"/>
        <v>45.185299999999998</v>
      </c>
      <c r="EZ93" vm="16627">
        <f ca="1"/>
        <v>45.350499999999997</v>
      </c>
      <c r="FA93" vm="16628">
        <f ca="1"/>
        <v>44.426200000000001</v>
      </c>
      <c r="FB93" vm="16629">
        <f ca="1"/>
        <v>43.854799999999997</v>
      </c>
      <c r="FC93" vm="16630">
        <f ca="1"/>
        <v>44.184699999999999</v>
      </c>
      <c r="FD93" vm="16631">
        <f ca="1"/>
        <v>44.9313</v>
      </c>
      <c r="FE93" vm="11033">
        <f ca="1"/>
        <v>45.48</v>
      </c>
      <c r="FF93" vm="16632">
        <f ca="1"/>
        <v>45.388599999999997</v>
      </c>
      <c r="FG93" vm="16633">
        <f ca="1"/>
        <v>45.455800000000004</v>
      </c>
      <c r="FH93" vm="16634">
        <f ca="1"/>
        <v>45.425400000000003</v>
      </c>
      <c r="FI93" vm="16635">
        <f ca="1"/>
        <v>45.195799999999998</v>
      </c>
      <c r="FJ93" vm="16636">
        <f ca="1"/>
        <v>46.252600000000001</v>
      </c>
      <c r="FK93" vm="16637">
        <f ca="1"/>
        <v>47.743400000000001</v>
      </c>
      <c r="FL93" vm="16638">
        <f ca="1"/>
        <v>47.163699999999999</v>
      </c>
      <c r="FM93" vm="16639">
        <f ca="1"/>
        <v>47.0764</v>
      </c>
      <c r="FN93" vm="16640">
        <f ca="1"/>
        <v>46.776200000000003</v>
      </c>
      <c r="FO93" vm="11849">
        <f ca="1"/>
        <v>47.46</v>
      </c>
      <c r="FP93" vm="16641">
        <f ca="1"/>
        <v>46.843400000000003</v>
      </c>
      <c r="FQ93" vm="16642">
        <f ca="1"/>
        <v>46.5319</v>
      </c>
      <c r="FR93" vm="16643">
        <f ca="1"/>
        <v>48.423699999999997</v>
      </c>
      <c r="FS93" vm="16644">
        <f ca="1"/>
        <v>47.9221</v>
      </c>
      <c r="FT93" vm="16645">
        <f ca="1"/>
        <v>47.793599999999998</v>
      </c>
      <c r="FU93" vm="16646">
        <f ca="1"/>
        <v>47.9373</v>
      </c>
      <c r="FV93" vm="16647">
        <f ca="1"/>
        <v>47.762300000000003</v>
      </c>
      <c r="FW93" vm="16648">
        <f ca="1"/>
        <v>47.835000000000001</v>
      </c>
      <c r="FX93" vm="16649">
        <f ca="1"/>
        <v>47.188899999999997</v>
      </c>
      <c r="FY93" vm="16650">
        <f ca="1"/>
        <v>47.495399999999997</v>
      </c>
      <c r="FZ93" vm="16651">
        <f ca="1"/>
        <v>48.606900000000003</v>
      </c>
      <c r="GA93" vm="16652">
        <f ca="1"/>
        <v>49.445799999999998</v>
      </c>
      <c r="GB93" vm="16653">
        <f ca="1"/>
        <v>49.398200000000003</v>
      </c>
      <c r="GC93" vm="16654">
        <f ca="1"/>
        <v>48.561</v>
      </c>
      <c r="GD93" vm="16655">
        <f ca="1"/>
        <v>48.310600000000001</v>
      </c>
      <c r="GE93" vm="16656">
        <f ca="1"/>
        <v>49.334899999999998</v>
      </c>
      <c r="GF93" vm="11030">
        <f ca="1"/>
        <v>48.65</v>
      </c>
      <c r="GG93" vm="16657">
        <f ca="1"/>
        <v>48.334600000000002</v>
      </c>
      <c r="GH93" vm="16658">
        <f ca="1"/>
        <v>47.993299999999998</v>
      </c>
      <c r="GI93" vm="11548">
        <f ca="1"/>
        <v>47.7669</v>
      </c>
      <c r="GJ93" vm="16659">
        <f ca="1"/>
        <v>48.073099999999997</v>
      </c>
      <c r="GK93" vm="16660">
        <f ca="1"/>
        <v>47.495800000000003</v>
      </c>
      <c r="GL93" vm="16661">
        <f ca="1"/>
        <v>47.186100000000003</v>
      </c>
      <c r="GM93" vm="16662">
        <f ca="1"/>
        <v>47.2074</v>
      </c>
      <c r="GN93" vm="16663">
        <f ca="1"/>
        <v>47.037700000000001</v>
      </c>
      <c r="GO93" vm="16664">
        <f ca="1"/>
        <v>46.610700000000001</v>
      </c>
      <c r="GP93" vm="16665">
        <f ca="1"/>
        <v>47.120899999999999</v>
      </c>
      <c r="GQ93" vm="16666">
        <f ca="1"/>
        <v>47.142000000000003</v>
      </c>
      <c r="GR93" vm="16667">
        <f ca="1"/>
        <v>47.044499999999999</v>
      </c>
      <c r="GS93" vm="16668">
        <f ca="1"/>
        <v>47.161000000000001</v>
      </c>
      <c r="GT93" vm="16669">
        <f ca="1"/>
        <v>47.077399999999997</v>
      </c>
      <c r="GU93" vm="16670">
        <f ca="1"/>
        <v>47.353000000000002</v>
      </c>
      <c r="GV93" vm="16671">
        <f ca="1"/>
        <v>46.494500000000002</v>
      </c>
      <c r="GW93" vm="16672">
        <f ca="1"/>
        <v>45.752699999999997</v>
      </c>
      <c r="GX93" vm="16673">
        <f ca="1"/>
        <v>45.8123</v>
      </c>
      <c r="GY93" vm="16674">
        <f ca="1"/>
        <v>45.054900000000004</v>
      </c>
      <c r="GZ93" vm="16675">
        <f ca="1"/>
        <v>44.424599999999998</v>
      </c>
      <c r="HA93" vm="16676">
        <f ca="1"/>
        <v>44.652900000000002</v>
      </c>
      <c r="HB93" vm="16677">
        <f ca="1"/>
        <v>45.674300000000002</v>
      </c>
      <c r="HC93" vm="16678">
        <f ca="1"/>
        <v>45.636800000000001</v>
      </c>
      <c r="HD93" vm="16679">
        <f ca="1"/>
        <v>45.387999999999998</v>
      </c>
      <c r="HE93" vm="16680">
        <f ca="1"/>
        <v>45.575800000000001</v>
      </c>
      <c r="HF93" vm="16681">
        <f ca="1"/>
        <v>45.922600000000003</v>
      </c>
      <c r="HG93" vm="16682">
        <f ca="1"/>
        <v>46.232500000000002</v>
      </c>
      <c r="HH93" vm="16683">
        <f ca="1"/>
        <v>45.961599999999997</v>
      </c>
      <c r="HI93" vm="16684">
        <f ca="1"/>
        <v>46.035600000000002</v>
      </c>
      <c r="HJ93" vm="16685">
        <f ca="1"/>
        <v>46.120800000000003</v>
      </c>
      <c r="HK93" vm="16686">
        <f ca="1"/>
        <v>46.159700000000001</v>
      </c>
      <c r="HL93" vm="16687">
        <f ca="1"/>
        <v>46.064599999999999</v>
      </c>
      <c r="HM93" vm="16688">
        <f ca="1"/>
        <v>44.816200000000002</v>
      </c>
      <c r="HN93" vm="1184">
        <f ca="1"/>
        <v>44.73</v>
      </c>
      <c r="HO93" vm="16689">
        <f ca="1"/>
        <v>44.792299999999997</v>
      </c>
      <c r="HP93" vm="16690">
        <f ca="1"/>
        <v>44.394500000000001</v>
      </c>
      <c r="HQ93" vm="16691">
        <f ca="1"/>
        <v>44.678100000000001</v>
      </c>
      <c r="HR93" vm="16692">
        <f ca="1"/>
        <v>44.638800000000003</v>
      </c>
      <c r="HS93" vm="16693">
        <f ca="1"/>
        <v>44.184600000000003</v>
      </c>
      <c r="HT93" vm="16694">
        <f ca="1"/>
        <v>44.733400000000003</v>
      </c>
      <c r="HU93" vm="16695">
        <f ca="1"/>
        <v>44.836599999999997</v>
      </c>
      <c r="HV93" vm="16696">
        <f ca="1"/>
        <v>45.396599999999999</v>
      </c>
      <c r="HW93" vm="16697">
        <f ca="1"/>
        <v>45.304400000000001</v>
      </c>
      <c r="HX93" vm="16698">
        <f ca="1"/>
        <v>44.735300000000002</v>
      </c>
      <c r="HY93" vm="16699">
        <f ca="1"/>
        <v>44.599600000000002</v>
      </c>
      <c r="HZ93" vm="16700">
        <f ca="1"/>
        <v>43.701099999999997</v>
      </c>
      <c r="IA93" vm="6894">
        <f ca="1"/>
        <v>43.52</v>
      </c>
      <c r="IB93" vm="2096">
        <f ca="1"/>
        <v>43.604399999999998</v>
      </c>
      <c r="IC93" vm="2097">
        <f ca="1"/>
        <v>43.529299999999999</v>
      </c>
      <c r="ID93" vm="2098">
        <f ca="1"/>
        <v>45.1496</v>
      </c>
      <c r="IE93" vm="2099">
        <f ca="1"/>
        <v>45.142600000000002</v>
      </c>
      <c r="IF93" vm="2100">
        <f ca="1"/>
        <v>46.500100000000003</v>
      </c>
      <c r="IG93" vm="2101">
        <f ca="1"/>
        <v>46.862099999999998</v>
      </c>
      <c r="IH93" vm="2102">
        <f ca="1"/>
        <v>46.8065</v>
      </c>
      <c r="II93" vm="2103">
        <f ca="1"/>
        <v>46.73</v>
      </c>
      <c r="IJ93" vm="2104">
        <f ca="1"/>
        <v>46.602899999999998</v>
      </c>
      <c r="IK93" vm="2105">
        <f ca="1"/>
        <v>46.966000000000001</v>
      </c>
      <c r="IL93" vm="2106">
        <f ca="1"/>
        <v>46.349600000000002</v>
      </c>
      <c r="IM93" vm="2107">
        <f ca="1"/>
        <v>46.195500000000003</v>
      </c>
      <c r="IN93" vm="2108">
        <f ca="1"/>
        <v>45.622599999999998</v>
      </c>
      <c r="IO93" vm="2109">
        <f ca="1"/>
        <v>45.287300000000002</v>
      </c>
      <c r="IP93" vm="2110">
        <f ca="1"/>
        <v>46.26</v>
      </c>
      <c r="IQ93" vm="2111">
        <f ca="1"/>
        <v>46.587499999999999</v>
      </c>
      <c r="IR93" vm="2112">
        <f ca="1"/>
        <v>46.444800000000001</v>
      </c>
      <c r="IS93" vm="2113">
        <f ca="1"/>
        <v>46.423499999999997</v>
      </c>
      <c r="IT93" vm="2114">
        <f ca="1"/>
        <v>46.0336</v>
      </c>
      <c r="IU93" vm="2115">
        <f ca="1"/>
        <v>46.120699999999999</v>
      </c>
      <c r="IV93" vm="2116">
        <f ca="1"/>
        <v>46.189700000000002</v>
      </c>
      <c r="IW93" vm="156">
        <f ca="1"/>
        <v>45.645800000000001</v>
      </c>
    </row>
    <row r="94" spans="1:257" ht="16" x14ac:dyDescent="0.2">
      <c r="A94" s="13" t="e" vm="2117">
        <v>#VALUE!</v>
      </c>
      <c r="B94" s="23" t="str" cm="1">
        <f t="array" aca="1" ref="B94" ca="1">_FV(A94,"ticker symbol",TRUE)</f>
        <v>SCHH</v>
      </c>
      <c r="C94" s="23" t="str" cm="1">
        <f t="array" aca="1" ref="C94" ca="1">_FV(A94,"Name")</f>
        <v>Schwab Str:US REIT</v>
      </c>
      <c r="D94" cm="1" vm="2753">
        <f t="array" aca="1" ref="D94:IW94" ca="1">TRANSPOSE(_xlfn.STOCKHISTORY(B94, WORKDAY(TODAY(), -265), TODAY(), 0, 0, 1))</f>
        <v>21.82</v>
      </c>
      <c r="E94" s="23" vm="16701">
        <f ca="1"/>
        <v>21.75</v>
      </c>
      <c r="F94" s="23" vm="2445">
        <f ca="1"/>
        <v>20.87</v>
      </c>
      <c r="G94" s="23" vm="16702">
        <f ca="1"/>
        <v>20.55</v>
      </c>
      <c r="H94" s="23" vm="2445">
        <f ca="1"/>
        <v>20.87</v>
      </c>
      <c r="I94" s="23" vm="2131">
        <f ca="1"/>
        <v>20.97</v>
      </c>
      <c r="J94" s="23" vm="13313">
        <f ca="1"/>
        <v>21.1</v>
      </c>
      <c r="K94" s="23" vm="2758">
        <f ca="1"/>
        <v>21.14</v>
      </c>
      <c r="L94" s="23" vm="16703">
        <f ca="1"/>
        <v>20.94</v>
      </c>
      <c r="M94" s="23" vm="2136">
        <f ca="1"/>
        <v>20.84</v>
      </c>
      <c r="N94" s="23" vm="13294">
        <f ca="1"/>
        <v>21.06</v>
      </c>
      <c r="O94" s="23" vm="13311">
        <f ca="1"/>
        <v>20.86</v>
      </c>
      <c r="P94" s="23" vm="16704">
        <f ca="1"/>
        <v>21.12</v>
      </c>
      <c r="Q94" s="23" vm="16705">
        <f ca="1"/>
        <v>20.79</v>
      </c>
      <c r="R94" s="23" vm="13322">
        <f ca="1"/>
        <v>20.64</v>
      </c>
      <c r="S94" s="23" vm="13291">
        <f ca="1"/>
        <v>20.69</v>
      </c>
      <c r="T94" s="23" vm="13305">
        <f ca="1"/>
        <v>20.2</v>
      </c>
      <c r="U94" s="23" vm="16706">
        <f ca="1"/>
        <v>20.47</v>
      </c>
      <c r="V94" s="23" vm="2446">
        <f ca="1"/>
        <v>20.68</v>
      </c>
      <c r="W94" s="23" vm="13291">
        <f ca="1"/>
        <v>20.69</v>
      </c>
      <c r="X94" s="23" vm="16707">
        <f ca="1"/>
        <v>21.13</v>
      </c>
      <c r="Y94" s="23" vm="16704">
        <f ca="1"/>
        <v>21.12</v>
      </c>
      <c r="Z94" s="23" vm="16708">
        <f ca="1"/>
        <v>21.48</v>
      </c>
      <c r="AA94" s="23" vm="2130">
        <f ca="1"/>
        <v>21.09</v>
      </c>
      <c r="AB94" s="23" vm="16709">
        <f ca="1"/>
        <v>21.24</v>
      </c>
      <c r="AC94" s="23" vm="16710">
        <f ca="1"/>
        <v>21.33</v>
      </c>
      <c r="AD94" vm="16711">
        <f ca="1"/>
        <v>21.6</v>
      </c>
      <c r="AE94" vm="2127">
        <f ca="1"/>
        <v>21.3</v>
      </c>
      <c r="AF94" vm="16712">
        <f ca="1"/>
        <v>21.03</v>
      </c>
      <c r="AG94" vm="2126">
        <f ca="1"/>
        <v>21.28</v>
      </c>
      <c r="AH94" vm="2129">
        <f ca="1"/>
        <v>21.22</v>
      </c>
      <c r="AI94" vm="13325">
        <f ca="1"/>
        <v>21.19</v>
      </c>
      <c r="AJ94" vm="13317">
        <f ca="1"/>
        <v>21.16</v>
      </c>
      <c r="AK94" vm="13315">
        <f ca="1"/>
        <v>21.45</v>
      </c>
      <c r="AL94" vm="16713">
        <f ca="1"/>
        <v>21.55</v>
      </c>
      <c r="AM94" vm="16714">
        <f ca="1"/>
        <v>21.49</v>
      </c>
      <c r="AN94" vm="16714">
        <f ca="1"/>
        <v>21.49</v>
      </c>
      <c r="AO94" vm="16715">
        <f ca="1"/>
        <v>21.62</v>
      </c>
      <c r="AP94" vm="2281">
        <f ca="1"/>
        <v>21.43</v>
      </c>
      <c r="AQ94" vm="16716">
        <f ca="1"/>
        <v>21.63</v>
      </c>
      <c r="AR94" vm="13324">
        <f ca="1"/>
        <v>21.52</v>
      </c>
      <c r="AS94" vm="16711">
        <f ca="1"/>
        <v>21.6</v>
      </c>
      <c r="AT94" vm="13250">
        <f ca="1"/>
        <v>21.56</v>
      </c>
      <c r="AU94" vm="16717">
        <f ca="1"/>
        <v>21.72</v>
      </c>
      <c r="AV94" vm="16718">
        <f ca="1"/>
        <v>21.58</v>
      </c>
      <c r="AW94" vm="13339">
        <f ca="1"/>
        <v>21.65</v>
      </c>
      <c r="AX94" vm="16719">
        <f ca="1"/>
        <v>21.93</v>
      </c>
      <c r="AY94" vm="16720">
        <f ca="1"/>
        <v>21.81</v>
      </c>
      <c r="AZ94" vm="13251">
        <f ca="1"/>
        <v>21.92</v>
      </c>
      <c r="BA94" vm="2439">
        <f ca="1"/>
        <v>22.08</v>
      </c>
      <c r="BB94" vm="2288">
        <f ca="1"/>
        <v>22.24</v>
      </c>
      <c r="BC94" vm="2286">
        <f ca="1"/>
        <v>21.98</v>
      </c>
      <c r="BD94" vm="2295">
        <f ca="1"/>
        <v>22.18</v>
      </c>
      <c r="BE94" vm="16721">
        <f ca="1"/>
        <v>21.67</v>
      </c>
      <c r="BF94" vm="13330">
        <f ca="1"/>
        <v>21.83</v>
      </c>
      <c r="BG94" vm="85">
        <f ca="1"/>
        <v>21.61</v>
      </c>
      <c r="BH94" vm="13328">
        <f ca="1"/>
        <v>21.37</v>
      </c>
      <c r="BI94" vm="2128">
        <f ca="1"/>
        <v>21.25</v>
      </c>
      <c r="BJ94" vm="16722">
        <f ca="1"/>
        <v>20.88</v>
      </c>
      <c r="BK94" vm="2126">
        <f ca="1"/>
        <v>21.28</v>
      </c>
      <c r="BL94" vm="85">
        <f ca="1"/>
        <v>21.61</v>
      </c>
      <c r="BM94" vm="13272">
        <f ca="1"/>
        <v>21.53</v>
      </c>
      <c r="BN94" vm="16713">
        <f ca="1"/>
        <v>21.55</v>
      </c>
      <c r="BO94" vm="2123">
        <f ca="1"/>
        <v>21.5</v>
      </c>
      <c r="BP94" vm="16709">
        <f ca="1"/>
        <v>21.24</v>
      </c>
      <c r="BQ94" vm="16713">
        <f ca="1"/>
        <v>21.55</v>
      </c>
      <c r="BR94" vm="3131">
        <f ca="1"/>
        <v>21.32</v>
      </c>
      <c r="BS94" vm="3131">
        <f ca="1"/>
        <v>21.32</v>
      </c>
      <c r="BT94" vm="16723">
        <f ca="1"/>
        <v>21.27</v>
      </c>
      <c r="BU94" vm="2127">
        <f ca="1"/>
        <v>21.3</v>
      </c>
      <c r="BV94" vm="16724">
        <f ca="1"/>
        <v>21.51</v>
      </c>
      <c r="BW94" vm="13272">
        <f ca="1"/>
        <v>21.53</v>
      </c>
      <c r="BX94" vm="16715">
        <f ca="1"/>
        <v>21.62</v>
      </c>
      <c r="BY94" vm="2441">
        <f ca="1"/>
        <v>20.95</v>
      </c>
      <c r="BZ94" vm="16725">
        <f ca="1"/>
        <v>20.010000000000002</v>
      </c>
      <c r="CA94" vm="16726">
        <f ca="1"/>
        <v>19.43</v>
      </c>
      <c r="CB94" vm="16727">
        <f ca="1"/>
        <v>18.940000000000001</v>
      </c>
      <c r="CC94" vm="13302">
        <f ca="1"/>
        <v>20.059999999999999</v>
      </c>
      <c r="CD94" vm="16728">
        <f ca="1"/>
        <v>19.61</v>
      </c>
      <c r="CE94" vm="2453">
        <f ca="1"/>
        <v>19.88</v>
      </c>
      <c r="CF94" vm="16729">
        <f ca="1"/>
        <v>20.28</v>
      </c>
      <c r="CG94" vm="16730">
        <f ca="1"/>
        <v>20.34</v>
      </c>
      <c r="CH94" vm="16731">
        <f ca="1"/>
        <v>20.37</v>
      </c>
      <c r="CI94" vm="2446">
        <f ca="1"/>
        <v>20.68</v>
      </c>
      <c r="CJ94" vm="16729">
        <f ca="1"/>
        <v>20.28</v>
      </c>
      <c r="CK94" vm="16732">
        <f ca="1"/>
        <v>20.63</v>
      </c>
      <c r="CL94" vm="16733">
        <f ca="1"/>
        <v>20.62</v>
      </c>
      <c r="CM94" vm="13291">
        <f ca="1"/>
        <v>20.69</v>
      </c>
      <c r="CN94" vm="13322">
        <f ca="1"/>
        <v>20.64</v>
      </c>
      <c r="CO94" vm="16734">
        <f ca="1"/>
        <v>20.82</v>
      </c>
      <c r="CP94" vm="2134">
        <f ca="1"/>
        <v>20.89</v>
      </c>
      <c r="CQ94" vm="16712">
        <f ca="1"/>
        <v>21.03</v>
      </c>
      <c r="CR94" vm="16735">
        <f ca="1"/>
        <v>21.08</v>
      </c>
      <c r="CS94" vm="3131">
        <f ca="1"/>
        <v>21.32</v>
      </c>
      <c r="CT94" vm="2126">
        <f ca="1"/>
        <v>21.28</v>
      </c>
      <c r="CU94" vm="13334">
        <f ca="1"/>
        <v>21.15</v>
      </c>
      <c r="CV94" vm="13334">
        <f ca="1"/>
        <v>21.15</v>
      </c>
      <c r="CW94" vm="13294">
        <f ca="1"/>
        <v>21.06</v>
      </c>
      <c r="CX94" vm="2129">
        <f ca="1"/>
        <v>21.22</v>
      </c>
      <c r="CY94" vm="2128">
        <f ca="1"/>
        <v>21.25</v>
      </c>
      <c r="CZ94" vm="2118">
        <f ca="1"/>
        <v>20.99</v>
      </c>
      <c r="DA94" vm="16705">
        <f ca="1"/>
        <v>20.79</v>
      </c>
      <c r="DB94" vm="13325">
        <f ca="1"/>
        <v>21.19</v>
      </c>
      <c r="DC94" vm="2760">
        <f ca="1"/>
        <v>21.44</v>
      </c>
      <c r="DD94" vm="16714">
        <f ca="1"/>
        <v>21.49</v>
      </c>
      <c r="DE94" vm="13328">
        <f ca="1"/>
        <v>21.37</v>
      </c>
      <c r="DF94" vm="16736">
        <f ca="1"/>
        <v>20.81</v>
      </c>
      <c r="DG94" vm="16737">
        <f ca="1"/>
        <v>20.72</v>
      </c>
      <c r="DH94" vm="16738">
        <f ca="1"/>
        <v>20.73</v>
      </c>
      <c r="DI94" vm="13313">
        <f ca="1"/>
        <v>21.1</v>
      </c>
      <c r="DJ94" vm="2759">
        <f ca="1"/>
        <v>21.07</v>
      </c>
      <c r="DK94" vm="16723">
        <f ca="1"/>
        <v>21.27</v>
      </c>
      <c r="DL94" vm="16739">
        <f ca="1"/>
        <v>21.29</v>
      </c>
      <c r="DM94" vm="16739">
        <f ca="1"/>
        <v>21.29</v>
      </c>
      <c r="DN94" vm="2121">
        <f ca="1"/>
        <v>21.23</v>
      </c>
      <c r="DO94" vm="2121">
        <f ca="1"/>
        <v>21.23</v>
      </c>
      <c r="DP94" vm="2121">
        <f ca="1"/>
        <v>21.23</v>
      </c>
      <c r="DQ94" vm="16710">
        <f ca="1"/>
        <v>21.33</v>
      </c>
      <c r="DR94" vm="13326">
        <f ca="1"/>
        <v>21.36</v>
      </c>
      <c r="DS94" vm="13324">
        <f ca="1"/>
        <v>21.52</v>
      </c>
      <c r="DT94" vm="16740">
        <f ca="1"/>
        <v>21.38</v>
      </c>
      <c r="DU94" vm="16714">
        <f ca="1"/>
        <v>21.49</v>
      </c>
      <c r="DV94" vm="16739">
        <f ca="1"/>
        <v>21.29</v>
      </c>
      <c r="DW94" vm="2127">
        <f ca="1"/>
        <v>21.3</v>
      </c>
      <c r="DX94" vm="16709">
        <f ca="1"/>
        <v>21.24</v>
      </c>
      <c r="DY94" vm="3131">
        <f ca="1"/>
        <v>21.32</v>
      </c>
      <c r="DZ94" vm="2127">
        <f ca="1"/>
        <v>21.3</v>
      </c>
      <c r="EA94" vm="16711">
        <f ca="1"/>
        <v>21.6</v>
      </c>
      <c r="EB94" vm="16721">
        <f ca="1"/>
        <v>21.67</v>
      </c>
      <c r="EC94" vm="3132">
        <f ca="1"/>
        <v>21</v>
      </c>
      <c r="ED94" vm="2131">
        <f ca="1"/>
        <v>20.97</v>
      </c>
      <c r="EE94" vm="2118">
        <f ca="1"/>
        <v>20.99</v>
      </c>
      <c r="EF94" vm="13317">
        <f ca="1"/>
        <v>21.16</v>
      </c>
      <c r="EG94" vm="16723">
        <f ca="1"/>
        <v>21.27</v>
      </c>
      <c r="EH94" vm="16741">
        <f ca="1"/>
        <v>21.35</v>
      </c>
      <c r="EI94" vm="16741">
        <f ca="1"/>
        <v>21.35</v>
      </c>
      <c r="EJ94" vm="13317">
        <f ca="1"/>
        <v>21.16</v>
      </c>
      <c r="EK94" vm="13273">
        <f ca="1"/>
        <v>21.17</v>
      </c>
      <c r="EL94" vm="2758">
        <f ca="1"/>
        <v>21.14</v>
      </c>
      <c r="EM94" vm="16723">
        <f ca="1"/>
        <v>21.27</v>
      </c>
      <c r="EN94" vm="2126">
        <f ca="1"/>
        <v>21.28</v>
      </c>
      <c r="EO94" vm="2283">
        <f ca="1"/>
        <v>21.4</v>
      </c>
      <c r="EP94" vm="16704">
        <f ca="1"/>
        <v>21.12</v>
      </c>
      <c r="EQ94" vm="16710">
        <f ca="1"/>
        <v>21.33</v>
      </c>
      <c r="ER94" vm="16723">
        <f ca="1"/>
        <v>21.27</v>
      </c>
      <c r="ES94" vm="16710">
        <f ca="1"/>
        <v>21.33</v>
      </c>
      <c r="ET94" vm="16740">
        <f ca="1"/>
        <v>21.38</v>
      </c>
      <c r="EU94" vm="16742">
        <f ca="1"/>
        <v>21.77</v>
      </c>
      <c r="EV94" vm="16742">
        <f ca="1"/>
        <v>21.77</v>
      </c>
      <c r="EW94" vm="16721">
        <f ca="1"/>
        <v>21.67</v>
      </c>
      <c r="EX94" vm="16743">
        <f ca="1"/>
        <v>21.66</v>
      </c>
      <c r="EY94" vm="16723">
        <f ca="1"/>
        <v>21.27</v>
      </c>
      <c r="EZ94" vm="16718">
        <f ca="1"/>
        <v>21.58</v>
      </c>
      <c r="FA94" vm="16709">
        <f ca="1"/>
        <v>21.24</v>
      </c>
      <c r="FB94" vm="13327">
        <f ca="1"/>
        <v>20.93</v>
      </c>
      <c r="FC94" vm="16722">
        <f ca="1"/>
        <v>20.88</v>
      </c>
      <c r="FD94" vm="13294">
        <f ca="1"/>
        <v>21.06</v>
      </c>
      <c r="FE94" vm="2758">
        <f ca="1"/>
        <v>21.14</v>
      </c>
      <c r="FF94" vm="2118">
        <f ca="1"/>
        <v>20.99</v>
      </c>
      <c r="FG94" vm="13294">
        <f ca="1"/>
        <v>21.06</v>
      </c>
      <c r="FH94" vm="13311">
        <f ca="1"/>
        <v>20.86</v>
      </c>
      <c r="FI94" vm="13293">
        <f ca="1"/>
        <v>20.76</v>
      </c>
      <c r="FJ94" vm="16722">
        <f ca="1"/>
        <v>20.88</v>
      </c>
      <c r="FK94" vm="13294">
        <f ca="1"/>
        <v>21.06</v>
      </c>
      <c r="FL94" vm="2134">
        <f ca="1"/>
        <v>20.89</v>
      </c>
      <c r="FM94" vm="2135">
        <f ca="1"/>
        <v>21.02</v>
      </c>
      <c r="FN94" vm="16744">
        <f ca="1"/>
        <v>20.83</v>
      </c>
      <c r="FO94" vm="2120">
        <f ca="1"/>
        <v>21.21</v>
      </c>
      <c r="FP94" vm="2127">
        <f ca="1"/>
        <v>21.3</v>
      </c>
      <c r="FQ94" vm="2121">
        <f ca="1"/>
        <v>21.23</v>
      </c>
      <c r="FR94" vm="16359">
        <f ca="1"/>
        <v>21.59</v>
      </c>
      <c r="FS94" vm="2760">
        <f ca="1"/>
        <v>21.44</v>
      </c>
      <c r="FT94" vm="2122">
        <f ca="1"/>
        <v>21.39</v>
      </c>
      <c r="FU94" vm="13250">
        <f ca="1"/>
        <v>21.56</v>
      </c>
      <c r="FV94" vm="2123">
        <f ca="1"/>
        <v>21.5</v>
      </c>
      <c r="FW94" vm="85">
        <f ca="1"/>
        <v>21.61</v>
      </c>
      <c r="FX94" vm="16723">
        <f ca="1"/>
        <v>21.27</v>
      </c>
      <c r="FY94" vm="2126">
        <f ca="1"/>
        <v>21.28</v>
      </c>
      <c r="FZ94" vm="2283">
        <f ca="1"/>
        <v>21.4</v>
      </c>
      <c r="GA94" vm="2747">
        <f ca="1"/>
        <v>21.64</v>
      </c>
      <c r="GB94" vm="2123">
        <f ca="1"/>
        <v>21.5</v>
      </c>
      <c r="GC94" vm="16745">
        <f ca="1"/>
        <v>21.47</v>
      </c>
      <c r="GD94" vm="2284">
        <f ca="1"/>
        <v>21.46</v>
      </c>
      <c r="GE94" vm="16746">
        <f ca="1"/>
        <v>21.78</v>
      </c>
      <c r="GF94" vm="2748">
        <f ca="1"/>
        <v>21.7</v>
      </c>
      <c r="GG94" vm="16716">
        <f ca="1"/>
        <v>21.63</v>
      </c>
      <c r="GH94" vm="16713">
        <f ca="1"/>
        <v>21.55</v>
      </c>
      <c r="GI94" vm="2123">
        <f ca="1"/>
        <v>21.5</v>
      </c>
      <c r="GJ94" vm="13324">
        <f ca="1"/>
        <v>21.52</v>
      </c>
      <c r="GK94" vm="2122">
        <f ca="1"/>
        <v>21.39</v>
      </c>
      <c r="GL94" vm="2760">
        <f ca="1"/>
        <v>21.44</v>
      </c>
      <c r="GM94" vm="16711">
        <f ca="1"/>
        <v>21.6</v>
      </c>
      <c r="GN94" vm="16723">
        <f ca="1"/>
        <v>21.27</v>
      </c>
      <c r="GO94" vm="13325">
        <f ca="1"/>
        <v>21.19</v>
      </c>
      <c r="GP94" vm="2283">
        <f ca="1"/>
        <v>21.4</v>
      </c>
      <c r="GQ94" vm="2281">
        <f ca="1"/>
        <v>21.43</v>
      </c>
      <c r="GR94" vm="2124">
        <f ca="1"/>
        <v>21.57</v>
      </c>
      <c r="GS94" vm="2124">
        <f ca="1"/>
        <v>21.57</v>
      </c>
      <c r="GT94" vm="2284">
        <f ca="1"/>
        <v>21.46</v>
      </c>
      <c r="GU94" vm="16713">
        <f ca="1"/>
        <v>21.55</v>
      </c>
      <c r="GV94" vm="2125">
        <f ca="1"/>
        <v>21.34</v>
      </c>
      <c r="GW94" vm="16739">
        <f ca="1"/>
        <v>21.29</v>
      </c>
      <c r="GX94" vm="13325">
        <f ca="1"/>
        <v>21.19</v>
      </c>
      <c r="GY94" vm="2130">
        <f ca="1"/>
        <v>21.09</v>
      </c>
      <c r="GZ94" vm="2132">
        <f ca="1"/>
        <v>20.85</v>
      </c>
      <c r="HA94" vm="2442">
        <f ca="1"/>
        <v>20.96</v>
      </c>
      <c r="HB94" vm="13273">
        <f ca="1"/>
        <v>21.17</v>
      </c>
      <c r="HC94" vm="2123">
        <f ca="1"/>
        <v>21.5</v>
      </c>
      <c r="HD94" vm="16747">
        <f ca="1"/>
        <v>21.42</v>
      </c>
      <c r="HE94" vm="16718">
        <f ca="1"/>
        <v>21.58</v>
      </c>
      <c r="HF94" vm="16746">
        <f ca="1"/>
        <v>21.78</v>
      </c>
      <c r="HG94" vm="16721">
        <f ca="1"/>
        <v>21.67</v>
      </c>
      <c r="HH94" vm="13269">
        <f ca="1"/>
        <v>21.76</v>
      </c>
      <c r="HI94" vm="16748">
        <f ca="1"/>
        <v>21.73</v>
      </c>
      <c r="HJ94" vm="16746">
        <f ca="1"/>
        <v>21.78</v>
      </c>
      <c r="HK94" vm="16749">
        <f ca="1"/>
        <v>21.86</v>
      </c>
      <c r="HL94" vm="16747">
        <f ca="1"/>
        <v>21.42</v>
      </c>
      <c r="HM94" vm="13327">
        <f ca="1"/>
        <v>20.93</v>
      </c>
      <c r="HN94" vm="2135">
        <f ca="1"/>
        <v>21.02</v>
      </c>
      <c r="HO94" vm="2130">
        <f ca="1"/>
        <v>21.09</v>
      </c>
      <c r="HP94" vm="16750">
        <f ca="1"/>
        <v>21.05</v>
      </c>
      <c r="HQ94" vm="16735">
        <f ca="1"/>
        <v>21.08</v>
      </c>
      <c r="HR94" vm="16704">
        <f ca="1"/>
        <v>21.12</v>
      </c>
      <c r="HS94" vm="16712">
        <f ca="1"/>
        <v>21.03</v>
      </c>
      <c r="HT94" vm="16740">
        <f ca="1"/>
        <v>21.38</v>
      </c>
      <c r="HU94" vm="3131">
        <f ca="1"/>
        <v>21.32</v>
      </c>
      <c r="HV94" vm="16713">
        <f ca="1"/>
        <v>21.55</v>
      </c>
      <c r="HW94" vm="13328">
        <f ca="1"/>
        <v>21.37</v>
      </c>
      <c r="HX94" vm="2758">
        <f ca="1"/>
        <v>21.14</v>
      </c>
      <c r="HY94" vm="16751">
        <f ca="1"/>
        <v>21.2</v>
      </c>
      <c r="HZ94" vm="16750">
        <f ca="1"/>
        <v>21.05</v>
      </c>
      <c r="IA94" vm="13334">
        <f ca="1"/>
        <v>21.15</v>
      </c>
      <c r="IB94" vm="2118">
        <f ca="1"/>
        <v>20.99</v>
      </c>
      <c r="IC94" vm="2119">
        <f ca="1"/>
        <v>20.92</v>
      </c>
      <c r="ID94" vm="2120">
        <f ca="1"/>
        <v>21.21</v>
      </c>
      <c r="IE94" vm="2121">
        <f ca="1"/>
        <v>21.23</v>
      </c>
      <c r="IF94" vm="2122">
        <f ca="1"/>
        <v>21.39</v>
      </c>
      <c r="IG94" vm="2123">
        <f ca="1"/>
        <v>21.5</v>
      </c>
      <c r="IH94" vm="2124">
        <f ca="1"/>
        <v>21.57</v>
      </c>
      <c r="II94" vm="2125">
        <f ca="1"/>
        <v>21.34</v>
      </c>
      <c r="IJ94" vm="2126">
        <f ca="1"/>
        <v>21.28</v>
      </c>
      <c r="IK94" vm="2127">
        <f ca="1"/>
        <v>21.3</v>
      </c>
      <c r="IL94" vm="2128">
        <f ca="1"/>
        <v>21.25</v>
      </c>
      <c r="IM94" vm="2129">
        <f ca="1"/>
        <v>21.22</v>
      </c>
      <c r="IN94" vm="2130">
        <f ca="1"/>
        <v>21.09</v>
      </c>
      <c r="IO94" vm="2131">
        <f ca="1"/>
        <v>20.97</v>
      </c>
      <c r="IP94" vm="2132">
        <f ca="1"/>
        <v>20.85</v>
      </c>
      <c r="IQ94" vm="2133">
        <f ca="1"/>
        <v>20.9</v>
      </c>
      <c r="IR94" vm="2134">
        <f ca="1"/>
        <v>20.89</v>
      </c>
      <c r="IS94" vm="2135">
        <f ca="1"/>
        <v>21.02</v>
      </c>
      <c r="IT94" vm="2136">
        <f ca="1"/>
        <v>20.84</v>
      </c>
      <c r="IU94" vm="2119">
        <f ca="1"/>
        <v>20.92</v>
      </c>
      <c r="IV94" vm="2137">
        <f ca="1"/>
        <v>20.8</v>
      </c>
      <c r="IW94" vm="157">
        <f ca="1"/>
        <v>20.7</v>
      </c>
    </row>
    <row r="95" spans="1:257" ht="17" thickBot="1" x14ac:dyDescent="0.25">
      <c r="A95" s="15" t="e" vm="2138">
        <v>#VALUE!</v>
      </c>
      <c r="B95" s="23" t="str" cm="1">
        <f t="array" aca="1" ref="B95" ca="1">_FV(A95,"ticker symbol",TRUE)</f>
        <v>NETL</v>
      </c>
      <c r="C95" s="23" t="str" cm="1">
        <f t="array" aca="1" ref="C95" ca="1">_FV(A95,"Name")</f>
        <v>Colterpoint Nt Ls Rl Est</v>
      </c>
      <c r="D95" cm="1" vm="16752">
        <f t="array" aca="1" ref="D95:IW95" ca="1">TRANSPOSE(_xlfn.STOCKHISTORY(B95, WORKDAY(TODAY(), -265), TODAY(), 0, 0, 1))</f>
        <v>24.812100000000001</v>
      </c>
      <c r="E95" s="23" vm="16753">
        <f ca="1"/>
        <v>24.684899999999999</v>
      </c>
      <c r="F95" s="23" vm="16754">
        <f ca="1"/>
        <v>23.7195</v>
      </c>
      <c r="G95" s="23" vm="16755">
        <f ca="1"/>
        <v>23.414000000000001</v>
      </c>
      <c r="H95" s="23" vm="16756">
        <f ca="1"/>
        <v>23.488199999999999</v>
      </c>
      <c r="I95" s="23" vm="16757">
        <f ca="1"/>
        <v>23.478100000000001</v>
      </c>
      <c r="J95" s="23" vm="16758">
        <f ca="1"/>
        <v>23.6295</v>
      </c>
      <c r="K95" s="23" vm="16759">
        <f ca="1"/>
        <v>23.6816</v>
      </c>
      <c r="L95" s="23" vm="16760">
        <f ca="1"/>
        <v>23.4145</v>
      </c>
      <c r="M95" s="23" vm="2429">
        <f ca="1"/>
        <v>23.28</v>
      </c>
      <c r="N95" s="23" vm="16761">
        <f ca="1"/>
        <v>23.525400000000001</v>
      </c>
      <c r="O95" s="23" vm="16762">
        <f ca="1"/>
        <v>23.337900000000001</v>
      </c>
      <c r="P95" s="23" vm="16763">
        <f ca="1"/>
        <v>23.62</v>
      </c>
      <c r="Q95" s="23" vm="16764">
        <f ca="1"/>
        <v>23.377500000000001</v>
      </c>
      <c r="R95" s="23" vm="16765">
        <f ca="1"/>
        <v>23.16</v>
      </c>
      <c r="S95" s="23" vm="3292">
        <f ca="1"/>
        <v>23.07</v>
      </c>
      <c r="T95" s="23" vm="2470">
        <f ca="1"/>
        <v>22.58</v>
      </c>
      <c r="U95" s="23" vm="13340">
        <f ca="1"/>
        <v>22.88</v>
      </c>
      <c r="V95" s="23" vm="16765">
        <f ca="1"/>
        <v>23.16</v>
      </c>
      <c r="W95" s="23" vm="16766">
        <f ca="1"/>
        <v>23.258800000000001</v>
      </c>
      <c r="X95" s="23" vm="16767">
        <f ca="1"/>
        <v>23.729299999999999</v>
      </c>
      <c r="Y95" s="23" vm="16768">
        <f ca="1"/>
        <v>23.729900000000001</v>
      </c>
      <c r="Z95" s="23" vm="16769">
        <f ca="1"/>
        <v>24.0961</v>
      </c>
      <c r="AA95" s="23" vm="16319">
        <f ca="1"/>
        <v>23.42</v>
      </c>
      <c r="AB95" s="23" vm="2422">
        <f ca="1"/>
        <v>23.47</v>
      </c>
      <c r="AC95" s="23" vm="2427">
        <f ca="1"/>
        <v>23.6</v>
      </c>
      <c r="AD95" vm="16345">
        <f ca="1"/>
        <v>24.23</v>
      </c>
      <c r="AE95" vm="16770">
        <f ca="1"/>
        <v>23.84</v>
      </c>
      <c r="AF95" vm="13237">
        <f ca="1"/>
        <v>23.44</v>
      </c>
      <c r="AG95" vm="16771">
        <f ca="1"/>
        <v>23.64</v>
      </c>
      <c r="AH95" vm="16772">
        <f ca="1"/>
        <v>23.65</v>
      </c>
      <c r="AI95" vm="16773">
        <f ca="1"/>
        <v>23.645199999999999</v>
      </c>
      <c r="AJ95" vm="16774">
        <f ca="1"/>
        <v>23.694700000000001</v>
      </c>
      <c r="AK95" vm="16775">
        <f ca="1"/>
        <v>23.871600000000001</v>
      </c>
      <c r="AL95" vm="16776">
        <f ca="1"/>
        <v>23.9617</v>
      </c>
      <c r="AM95" vm="16777">
        <f ca="1"/>
        <v>23.790400000000002</v>
      </c>
      <c r="AN95" vm="16778">
        <f ca="1"/>
        <v>23.690999999999999</v>
      </c>
      <c r="AO95" vm="16779">
        <f ca="1"/>
        <v>23.857199999999999</v>
      </c>
      <c r="AP95" vm="16780">
        <f ca="1"/>
        <v>23.661999999999999</v>
      </c>
      <c r="AQ95" vm="16781">
        <f ca="1"/>
        <v>24.131</v>
      </c>
      <c r="AR95" vm="16782">
        <f ca="1"/>
        <v>23.8992</v>
      </c>
      <c r="AS95" vm="16783">
        <f ca="1"/>
        <v>24.038</v>
      </c>
      <c r="AT95" vm="16784">
        <f ca="1"/>
        <v>24.073799999999999</v>
      </c>
      <c r="AU95" vm="16785">
        <f ca="1"/>
        <v>24.2288</v>
      </c>
      <c r="AV95" vm="16786">
        <f ca="1"/>
        <v>24.296900000000001</v>
      </c>
      <c r="AW95" vm="16787">
        <f ca="1"/>
        <v>24.529900000000001</v>
      </c>
      <c r="AX95" vm="16788">
        <f ca="1"/>
        <v>24.865200000000002</v>
      </c>
      <c r="AY95" vm="16789">
        <f ca="1"/>
        <v>24.729600000000001</v>
      </c>
      <c r="AZ95" vm="16790">
        <f ca="1"/>
        <v>24.859300000000001</v>
      </c>
      <c r="BA95" vm="13375">
        <f ca="1"/>
        <v>25.09</v>
      </c>
      <c r="BB95" vm="3126">
        <f ca="1"/>
        <v>25.17</v>
      </c>
      <c r="BC95" vm="16791">
        <f ca="1"/>
        <v>25.105</v>
      </c>
      <c r="BD95" vm="16792">
        <f ca="1"/>
        <v>25.45</v>
      </c>
      <c r="BE95" vm="16342">
        <f ca="1"/>
        <v>25.13</v>
      </c>
      <c r="BF95" vm="16793">
        <f ca="1"/>
        <v>25.3794</v>
      </c>
      <c r="BG95" vm="16794">
        <f ca="1"/>
        <v>25.32</v>
      </c>
      <c r="BH95" vm="16795">
        <f ca="1"/>
        <v>24.9986</v>
      </c>
      <c r="BI95" vm="16374">
        <f ca="1"/>
        <v>24.7</v>
      </c>
      <c r="BJ95" vm="16796">
        <f ca="1"/>
        <v>24.485800000000001</v>
      </c>
      <c r="BK95" vm="16341">
        <f ca="1"/>
        <v>24.88</v>
      </c>
      <c r="BL95" vm="16797">
        <f ca="1"/>
        <v>25.054099999999998</v>
      </c>
      <c r="BM95" vm="16798">
        <f ca="1"/>
        <v>24.962700000000002</v>
      </c>
      <c r="BN95" vm="16799">
        <f ca="1"/>
        <v>24.8338</v>
      </c>
      <c r="BO95" vm="16800">
        <f ca="1"/>
        <v>24.8124</v>
      </c>
      <c r="BP95" vm="16801">
        <f ca="1"/>
        <v>24.487100000000002</v>
      </c>
      <c r="BQ95" vm="16802">
        <f ca="1"/>
        <v>24.7669</v>
      </c>
      <c r="BR95" vm="16803">
        <f ca="1"/>
        <v>24.5808</v>
      </c>
      <c r="BS95" vm="16804">
        <f ca="1"/>
        <v>24.848400000000002</v>
      </c>
      <c r="BT95" vm="16805">
        <f ca="1"/>
        <v>24.733699999999999</v>
      </c>
      <c r="BU95" vm="16806">
        <f ca="1"/>
        <v>24.760300000000001</v>
      </c>
      <c r="BV95" vm="16807">
        <f ca="1"/>
        <v>25.043099999999999</v>
      </c>
      <c r="BW95" vm="16808">
        <f ca="1"/>
        <v>24.971399999999999</v>
      </c>
      <c r="BX95" vm="16809">
        <f ca="1"/>
        <v>24.9055</v>
      </c>
      <c r="BY95" vm="16810">
        <f ca="1"/>
        <v>24.401299999999999</v>
      </c>
      <c r="BZ95" vm="16811">
        <f ca="1"/>
        <v>23.7225</v>
      </c>
      <c r="CA95" vm="16812">
        <f ca="1"/>
        <v>22.7</v>
      </c>
      <c r="CB95" vm="16813">
        <f ca="1"/>
        <v>22.033799999999999</v>
      </c>
      <c r="CC95" vm="16814">
        <f ca="1"/>
        <v>23.0731</v>
      </c>
      <c r="CD95" vm="16815">
        <f ca="1"/>
        <v>22.6036</v>
      </c>
      <c r="CE95" vm="16816">
        <f ca="1"/>
        <v>22.982299999999999</v>
      </c>
      <c r="CF95" vm="16817">
        <f ca="1"/>
        <v>23.543800000000001</v>
      </c>
      <c r="CG95" vm="16818">
        <f ca="1"/>
        <v>23.7973</v>
      </c>
      <c r="CH95" vm="16819">
        <f ca="1"/>
        <v>23.9773</v>
      </c>
      <c r="CI95" vm="16820">
        <f ca="1"/>
        <v>24.25</v>
      </c>
      <c r="CJ95" vm="16821">
        <f ca="1"/>
        <v>23.985800000000001</v>
      </c>
      <c r="CK95" vm="16822">
        <f ca="1"/>
        <v>24.282</v>
      </c>
      <c r="CL95" vm="16823">
        <f ca="1"/>
        <v>24.094200000000001</v>
      </c>
      <c r="CM95" vm="16824">
        <f ca="1"/>
        <v>23.89</v>
      </c>
      <c r="CN95" vm="16825">
        <f ca="1"/>
        <v>23.756699999999999</v>
      </c>
      <c r="CO95" vm="16826">
        <f ca="1"/>
        <v>23.916499999999999</v>
      </c>
      <c r="CP95" vm="16827">
        <f ca="1"/>
        <v>23.904399999999999</v>
      </c>
      <c r="CQ95" vm="16828">
        <f ca="1"/>
        <v>24.036300000000001</v>
      </c>
      <c r="CR95" vm="16829">
        <f ca="1"/>
        <v>23.930399999999999</v>
      </c>
      <c r="CS95" vm="16830">
        <f ca="1"/>
        <v>24.011700000000001</v>
      </c>
      <c r="CT95" vm="16831">
        <f ca="1"/>
        <v>23.890999999999998</v>
      </c>
      <c r="CU95" vm="16832">
        <f ca="1"/>
        <v>23.845400000000001</v>
      </c>
      <c r="CV95" vm="16833">
        <f ca="1"/>
        <v>23.870200000000001</v>
      </c>
      <c r="CW95" vm="16834">
        <f ca="1"/>
        <v>23.845199999999998</v>
      </c>
      <c r="CX95" vm="16835">
        <f ca="1"/>
        <v>24.0458</v>
      </c>
      <c r="CY95" vm="16836">
        <f ca="1"/>
        <v>24.013999999999999</v>
      </c>
      <c r="CZ95" vm="16317">
        <f ca="1"/>
        <v>23.75</v>
      </c>
      <c r="DA95" vm="16772">
        <f ca="1"/>
        <v>23.65</v>
      </c>
      <c r="DB95" vm="16837">
        <f ca="1"/>
        <v>23.94</v>
      </c>
      <c r="DC95" vm="16838">
        <f ca="1"/>
        <v>24.253699999999998</v>
      </c>
      <c r="DD95" vm="16839">
        <f ca="1"/>
        <v>24.2713</v>
      </c>
      <c r="DE95" vm="16353">
        <f ca="1"/>
        <v>24.16</v>
      </c>
      <c r="DF95" vm="16840">
        <f ca="1"/>
        <v>23.712900000000001</v>
      </c>
      <c r="DG95" vm="16841">
        <f ca="1"/>
        <v>23.612500000000001</v>
      </c>
      <c r="DH95" vm="16842">
        <f ca="1"/>
        <v>23.715800000000002</v>
      </c>
      <c r="DI95" vm="16843">
        <f ca="1"/>
        <v>24.133700000000001</v>
      </c>
      <c r="DJ95" vm="16844">
        <f ca="1"/>
        <v>24.099599999999999</v>
      </c>
      <c r="DK95" vm="16845">
        <f ca="1"/>
        <v>24.1173</v>
      </c>
      <c r="DL95" vm="16846">
        <f ca="1"/>
        <v>24.206199999999999</v>
      </c>
      <c r="DM95" vm="16847">
        <f ca="1"/>
        <v>24.204899999999999</v>
      </c>
      <c r="DN95" vm="16848">
        <f ca="1"/>
        <v>24.1647</v>
      </c>
      <c r="DO95" vm="16849">
        <f ca="1"/>
        <v>24.144600000000001</v>
      </c>
      <c r="DP95" vm="16850">
        <f ca="1"/>
        <v>24.076000000000001</v>
      </c>
      <c r="DQ95" vm="16851">
        <f ca="1"/>
        <v>24.241700000000002</v>
      </c>
      <c r="DR95" vm="16852">
        <f ca="1"/>
        <v>24.523099999999999</v>
      </c>
      <c r="DS95" vm="16853">
        <f ca="1"/>
        <v>24.6326</v>
      </c>
      <c r="DT95" vm="16854">
        <f ca="1"/>
        <v>24.595099999999999</v>
      </c>
      <c r="DU95" vm="16855">
        <f ca="1"/>
        <v>24.588899999999999</v>
      </c>
      <c r="DV95" vm="16856">
        <f ca="1"/>
        <v>24.3446</v>
      </c>
      <c r="DW95" vm="16857">
        <f ca="1"/>
        <v>24.266300000000001</v>
      </c>
      <c r="DX95" vm="16858">
        <f ca="1"/>
        <v>24.396599999999999</v>
      </c>
      <c r="DY95" vm="16859">
        <f ca="1"/>
        <v>24.571000000000002</v>
      </c>
      <c r="DZ95" vm="16860">
        <f ca="1"/>
        <v>24.53</v>
      </c>
      <c r="EA95" vm="16861">
        <f ca="1"/>
        <v>24.955300000000001</v>
      </c>
      <c r="EB95" vm="16862">
        <f ca="1"/>
        <v>24.8171</v>
      </c>
      <c r="EC95" vm="16863">
        <f ca="1"/>
        <v>24.2667</v>
      </c>
      <c r="ED95" vm="16864">
        <f ca="1"/>
        <v>24.384699999999999</v>
      </c>
      <c r="EE95" vm="16865">
        <f ca="1"/>
        <v>24.300999999999998</v>
      </c>
      <c r="EF95" vm="16866">
        <f ca="1"/>
        <v>24.414100000000001</v>
      </c>
      <c r="EG95" vm="16867">
        <f ca="1"/>
        <v>24.692399999999999</v>
      </c>
      <c r="EH95" vm="16868">
        <f ca="1"/>
        <v>24.7254</v>
      </c>
      <c r="EI95" vm="16869">
        <f ca="1"/>
        <v>24.7575</v>
      </c>
      <c r="EJ95" vm="16870">
        <f ca="1"/>
        <v>24.436299999999999</v>
      </c>
      <c r="EK95" vm="16871">
        <f ca="1"/>
        <v>24.402100000000001</v>
      </c>
      <c r="EL95" vm="16872">
        <f ca="1"/>
        <v>24.317</v>
      </c>
      <c r="EM95" vm="16873">
        <f ca="1"/>
        <v>24.499099999999999</v>
      </c>
      <c r="EN95" vm="16874">
        <f ca="1"/>
        <v>24.526700000000002</v>
      </c>
      <c r="EO95" vm="16875">
        <f ca="1"/>
        <v>24.7913</v>
      </c>
      <c r="EP95" vm="16876">
        <f ca="1"/>
        <v>24.243300000000001</v>
      </c>
      <c r="EQ95" vm="16366">
        <f ca="1"/>
        <v>24.3</v>
      </c>
      <c r="ER95" vm="16877">
        <f ca="1"/>
        <v>24.121400000000001</v>
      </c>
      <c r="ES95" vm="16364">
        <f ca="1"/>
        <v>24.01</v>
      </c>
      <c r="ET95" vm="16878">
        <f ca="1"/>
        <v>24.0715</v>
      </c>
      <c r="EU95" vm="16879">
        <f ca="1"/>
        <v>24.489100000000001</v>
      </c>
      <c r="EV95" vm="16365">
        <f ca="1"/>
        <v>24.44</v>
      </c>
      <c r="EW95" vm="16880">
        <f ca="1"/>
        <v>24.384499999999999</v>
      </c>
      <c r="EX95" vm="16881">
        <f ca="1"/>
        <v>24.335999999999999</v>
      </c>
      <c r="EY95" vm="16882">
        <f ca="1"/>
        <v>24.020399999999999</v>
      </c>
      <c r="EZ95" vm="16883">
        <f ca="1"/>
        <v>24.3599</v>
      </c>
      <c r="FA95" vm="16884">
        <f ca="1"/>
        <v>23.860600000000002</v>
      </c>
      <c r="FB95" vm="16885">
        <f ca="1"/>
        <v>23.7057</v>
      </c>
      <c r="FC95" vm="16886">
        <f ca="1"/>
        <v>23.854500000000002</v>
      </c>
      <c r="FD95" vm="16887">
        <f ca="1"/>
        <v>24.226299999999998</v>
      </c>
      <c r="FE95" vm="16888">
        <f ca="1"/>
        <v>24.208200000000001</v>
      </c>
      <c r="FF95" vm="16889">
        <f ca="1"/>
        <v>23.945499999999999</v>
      </c>
      <c r="FG95" vm="16890">
        <f ca="1"/>
        <v>24.047799999999999</v>
      </c>
      <c r="FH95" vm="16891">
        <f ca="1"/>
        <v>24.048100000000002</v>
      </c>
      <c r="FI95" vm="16892">
        <f ca="1"/>
        <v>23.95</v>
      </c>
      <c r="FJ95" vm="16893">
        <f ca="1"/>
        <v>24.1813</v>
      </c>
      <c r="FK95" vm="16894">
        <f ca="1"/>
        <v>24.462299999999999</v>
      </c>
      <c r="FL95" vm="16895">
        <f ca="1"/>
        <v>24.1843</v>
      </c>
      <c r="FM95" vm="16896">
        <f ca="1"/>
        <v>24.1812</v>
      </c>
      <c r="FN95" vm="16897">
        <f ca="1"/>
        <v>24.045500000000001</v>
      </c>
      <c r="FO95" vm="16898">
        <f ca="1"/>
        <v>24.530100000000001</v>
      </c>
      <c r="FP95" vm="16899">
        <f ca="1"/>
        <v>24.790600000000001</v>
      </c>
      <c r="FQ95" vm="16900">
        <f ca="1"/>
        <v>24.695</v>
      </c>
      <c r="FR95" vm="16901">
        <f ca="1"/>
        <v>24.9101</v>
      </c>
      <c r="FS95" vm="16902">
        <f ca="1"/>
        <v>24.818300000000001</v>
      </c>
      <c r="FT95" vm="16903">
        <f ca="1"/>
        <v>24.735800000000001</v>
      </c>
      <c r="FU95" vm="16904">
        <f ca="1"/>
        <v>24.9819</v>
      </c>
      <c r="FV95" vm="16905">
        <f ca="1"/>
        <v>24.788599999999999</v>
      </c>
      <c r="FW95" vm="16906">
        <f ca="1"/>
        <v>24.9999</v>
      </c>
      <c r="FX95" vm="16907">
        <f ca="1"/>
        <v>24.631599999999999</v>
      </c>
      <c r="FY95" vm="16908">
        <f ca="1"/>
        <v>24.721800000000002</v>
      </c>
      <c r="FZ95" vm="16909">
        <f ca="1"/>
        <v>24.831800000000001</v>
      </c>
      <c r="GA95" vm="16910">
        <f ca="1"/>
        <v>25.071100000000001</v>
      </c>
      <c r="GB95" vm="16911">
        <f ca="1"/>
        <v>24.927900000000001</v>
      </c>
      <c r="GC95" vm="16912">
        <f ca="1"/>
        <v>24.9529</v>
      </c>
      <c r="GD95" vm="16913">
        <f ca="1"/>
        <v>24.872699999999998</v>
      </c>
      <c r="GE95" vm="16914">
        <f ca="1"/>
        <v>25.184200000000001</v>
      </c>
      <c r="GF95" vm="16915">
        <f ca="1"/>
        <v>25.153500000000001</v>
      </c>
      <c r="GG95" vm="16910">
        <f ca="1"/>
        <v>25.071100000000001</v>
      </c>
      <c r="GH95" vm="16916">
        <f ca="1"/>
        <v>24.8749</v>
      </c>
      <c r="GI95" vm="13364">
        <f ca="1"/>
        <v>24.82</v>
      </c>
      <c r="GJ95" vm="16917">
        <f ca="1"/>
        <v>24.936900000000001</v>
      </c>
      <c r="GK95" vm="16918">
        <f ca="1"/>
        <v>24.743200000000002</v>
      </c>
      <c r="GL95" vm="16919">
        <f ca="1"/>
        <v>24.575800000000001</v>
      </c>
      <c r="GM95" vm="16920">
        <f ca="1"/>
        <v>24.669799999999999</v>
      </c>
      <c r="GN95" vm="16921">
        <f ca="1"/>
        <v>24.489599999999999</v>
      </c>
      <c r="GO95" vm="16922">
        <f ca="1"/>
        <v>24.430800000000001</v>
      </c>
      <c r="GP95" vm="16923">
        <f ca="1"/>
        <v>24.609200000000001</v>
      </c>
      <c r="GQ95" vm="16924">
        <f ca="1"/>
        <v>24.424700000000001</v>
      </c>
      <c r="GR95" vm="16925">
        <f ca="1"/>
        <v>24.633299999999998</v>
      </c>
      <c r="GS95" vm="16926">
        <f ca="1"/>
        <v>24.905000000000001</v>
      </c>
      <c r="GT95" vm="16927">
        <f ca="1"/>
        <v>24.788499999999999</v>
      </c>
      <c r="GU95" vm="13372">
        <f ca="1"/>
        <v>24.89</v>
      </c>
      <c r="GV95" vm="16928">
        <f ca="1"/>
        <v>24.517399999999999</v>
      </c>
      <c r="GW95" vm="16929">
        <f ca="1"/>
        <v>24.418500000000002</v>
      </c>
      <c r="GX95" vm="16930">
        <f ca="1"/>
        <v>24.256399999999999</v>
      </c>
      <c r="GY95" vm="16931">
        <f ca="1"/>
        <v>24.12</v>
      </c>
      <c r="GZ95" vm="16932">
        <f ca="1"/>
        <v>23.9405</v>
      </c>
      <c r="HA95" vm="16368">
        <f ca="1"/>
        <v>24.14</v>
      </c>
      <c r="HB95" vm="16883">
        <f ca="1"/>
        <v>24.3599</v>
      </c>
      <c r="HC95" vm="16933">
        <f ca="1"/>
        <v>24.634599999999999</v>
      </c>
      <c r="HD95" vm="16934">
        <f ca="1"/>
        <v>24.5</v>
      </c>
      <c r="HE95" vm="16935">
        <f ca="1"/>
        <v>24.690899999999999</v>
      </c>
      <c r="HF95" vm="16936">
        <f ca="1"/>
        <v>24.930299999999999</v>
      </c>
      <c r="HG95" vm="16937">
        <f ca="1"/>
        <v>24.7483</v>
      </c>
      <c r="HH95" vm="16938">
        <f ca="1"/>
        <v>24.770600000000002</v>
      </c>
      <c r="HI95" vm="16939">
        <f ca="1"/>
        <v>24.7837</v>
      </c>
      <c r="HJ95" vm="2070">
        <f ca="1"/>
        <v>24.72</v>
      </c>
      <c r="HK95" vm="2056">
        <f ca="1"/>
        <v>24.83</v>
      </c>
      <c r="HL95" vm="16940">
        <f ca="1"/>
        <v>24.395</v>
      </c>
      <c r="HM95" vm="16941">
        <f ca="1"/>
        <v>23.954999999999998</v>
      </c>
      <c r="HN95" vm="16942">
        <f ca="1"/>
        <v>23.782299999999999</v>
      </c>
      <c r="HO95" vm="16943">
        <f ca="1"/>
        <v>23.9008</v>
      </c>
      <c r="HP95" vm="16944">
        <f ca="1"/>
        <v>23.9922</v>
      </c>
      <c r="HQ95" vm="16945">
        <f ca="1"/>
        <v>23.79</v>
      </c>
      <c r="HR95" vm="16946">
        <f ca="1"/>
        <v>23.907800000000002</v>
      </c>
      <c r="HS95" vm="16947">
        <f ca="1"/>
        <v>23.700800000000001</v>
      </c>
      <c r="HT95" vm="16948">
        <f ca="1"/>
        <v>24.088799999999999</v>
      </c>
      <c r="HU95" vm="16949">
        <f ca="1"/>
        <v>24.032900000000001</v>
      </c>
      <c r="HV95" vm="16950">
        <f ca="1"/>
        <v>24.3062</v>
      </c>
      <c r="HW95" vm="16951">
        <f ca="1"/>
        <v>24.079499999999999</v>
      </c>
      <c r="HX95" vm="16952">
        <f ca="1"/>
        <v>24.096699999999998</v>
      </c>
      <c r="HY95" vm="16953">
        <f ca="1"/>
        <v>24.1328</v>
      </c>
      <c r="HZ95" vm="16954">
        <f ca="1"/>
        <v>24.026</v>
      </c>
      <c r="IA95" vm="16955">
        <f ca="1"/>
        <v>24.067799999999998</v>
      </c>
      <c r="IB95" vm="2139">
        <f ca="1"/>
        <v>23.789899999999999</v>
      </c>
      <c r="IC95" vm="2140">
        <f ca="1"/>
        <v>23.58</v>
      </c>
      <c r="ID95" vm="2141">
        <f ca="1"/>
        <v>24.035799999999998</v>
      </c>
      <c r="IE95" vm="2142">
        <f ca="1"/>
        <v>24.051300000000001</v>
      </c>
      <c r="IF95" vm="2143">
        <f ca="1"/>
        <v>24.125800000000002</v>
      </c>
      <c r="IG95" vm="2144">
        <f ca="1"/>
        <v>24.191199999999998</v>
      </c>
      <c r="IH95" vm="2145">
        <f ca="1"/>
        <v>24.220199999999998</v>
      </c>
      <c r="II95" vm="2146">
        <f ca="1"/>
        <v>24.148499999999999</v>
      </c>
      <c r="IJ95" vm="2147">
        <f ca="1"/>
        <v>23.9574</v>
      </c>
      <c r="IK95" vm="2148">
        <f ca="1"/>
        <v>24.079899999999999</v>
      </c>
      <c r="IL95" vm="2149">
        <f ca="1"/>
        <v>23.935600000000001</v>
      </c>
      <c r="IM95" vm="2150">
        <f ca="1"/>
        <v>23.8322</v>
      </c>
      <c r="IN95" vm="2151">
        <f ca="1"/>
        <v>23.69</v>
      </c>
      <c r="IO95" vm="2152">
        <f ca="1"/>
        <v>23.671600000000002</v>
      </c>
      <c r="IP95" vm="2153">
        <f ca="1"/>
        <v>23.809699999999999</v>
      </c>
      <c r="IQ95" vm="2154">
        <f ca="1"/>
        <v>23.7837</v>
      </c>
      <c r="IR95" vm="2155">
        <f ca="1"/>
        <v>23.9923</v>
      </c>
      <c r="IS95" vm="2156">
        <f ca="1"/>
        <v>24.103200000000001</v>
      </c>
      <c r="IT95" vm="2157">
        <f ca="1"/>
        <v>24.024000000000001</v>
      </c>
      <c r="IU95" vm="2158">
        <f ca="1"/>
        <v>24.24</v>
      </c>
      <c r="IV95" vm="2159">
        <f ca="1"/>
        <v>24.119</v>
      </c>
      <c r="IW95" vm="158">
        <f ca="1"/>
        <v>23.87</v>
      </c>
    </row>
    <row r="96" spans="1:257" ht="16" x14ac:dyDescent="0.2">
      <c r="A96" t="e" vm="2160">
        <v>#VALUE!</v>
      </c>
      <c r="B96" s="23" t="str" cm="1">
        <f t="array" aca="1" ref="B96" ca="1">_FV(A96,"ticker symbol",TRUE)</f>
        <v>GLD</v>
      </c>
      <c r="C96" s="23" t="str" cm="1">
        <f t="array" aca="1" ref="C96" ca="1">_FV(A96,"Name")</f>
        <v>SPDR Gold</v>
      </c>
      <c r="D96" cm="1" vm="16956">
        <f t="array" aca="1" ref="D96:IW96" ca="1">TRANSPOSE(_xlfn.STOCKHISTORY(B96, WORKDAY(TODAY(), -265), TODAY(), 0, 0, 1))</f>
        <v>244.88</v>
      </c>
      <c r="E96" vm="15172">
        <f ca="1"/>
        <v>243.94</v>
      </c>
      <c r="F96" vm="16957">
        <f ca="1"/>
        <v>239.26</v>
      </c>
      <c r="G96" vm="5878">
        <f ca="1"/>
        <v>239.6</v>
      </c>
      <c r="H96" vm="16958">
        <f ca="1"/>
        <v>242.1</v>
      </c>
      <c r="I96" vm="16959">
        <f ca="1"/>
        <v>240.96</v>
      </c>
      <c r="J96" vm="6969">
        <f ca="1"/>
        <v>241.44</v>
      </c>
      <c r="K96" vm="9787">
        <f ca="1"/>
        <v>243.07</v>
      </c>
      <c r="L96" vm="16960">
        <f ca="1"/>
        <v>241.4</v>
      </c>
      <c r="M96" vm="16961">
        <f ca="1"/>
        <v>240.63</v>
      </c>
      <c r="N96" vm="16962">
        <f ca="1"/>
        <v>242.13</v>
      </c>
      <c r="O96" vm="16963">
        <f ca="1"/>
        <v>245.42</v>
      </c>
      <c r="P96" vm="16964">
        <f ca="1"/>
        <v>243.49</v>
      </c>
      <c r="Q96" vm="16965">
        <f ca="1"/>
        <v>243.19</v>
      </c>
      <c r="R96" vm="16966">
        <f ca="1"/>
        <v>244.56</v>
      </c>
      <c r="S96" vm="16967">
        <f ca="1"/>
        <v>245.86</v>
      </c>
      <c r="T96" vm="16968">
        <f ca="1"/>
        <v>248.21</v>
      </c>
      <c r="U96" vm="16969">
        <f ca="1"/>
        <v>245.74</v>
      </c>
      <c r="V96" vm="15170">
        <f ca="1"/>
        <v>247.03</v>
      </c>
      <c r="W96" vm="16970">
        <f ca="1"/>
        <v>248.88</v>
      </c>
      <c r="X96" vm="16971">
        <f ca="1"/>
        <v>250.6</v>
      </c>
      <c r="Y96" vm="16972">
        <f ca="1"/>
        <v>249.27</v>
      </c>
      <c r="Z96" vm="16973">
        <f ca="1"/>
        <v>253.13</v>
      </c>
      <c r="AA96" vm="16974">
        <f ca="1"/>
        <v>254.43</v>
      </c>
      <c r="AB96" vm="16975">
        <f ca="1"/>
        <v>254.07</v>
      </c>
      <c r="AC96" vm="16976">
        <f ca="1"/>
        <v>255.65</v>
      </c>
      <c r="AD96" vm="16977">
        <f ca="1"/>
        <v>252.99</v>
      </c>
      <c r="AE96" vm="16978">
        <f ca="1"/>
        <v>255.18</v>
      </c>
      <c r="AF96" vm="16979">
        <f ca="1"/>
        <v>254.2</v>
      </c>
      <c r="AG96" vm="16980">
        <f ca="1"/>
        <v>258.05</v>
      </c>
      <c r="AH96" vm="16981">
        <f ca="1"/>
        <v>258.56</v>
      </c>
      <c r="AI96" vm="16982">
        <f ca="1"/>
        <v>259.94</v>
      </c>
      <c r="AJ96" vm="16983">
        <f ca="1"/>
        <v>262.5</v>
      </c>
      <c r="AK96" vm="16984">
        <f ca="1"/>
        <v>264.13</v>
      </c>
      <c r="AL96" vm="16985">
        <f ca="1"/>
        <v>263.43</v>
      </c>
      <c r="AM96" vm="16986">
        <f ca="1"/>
        <v>263.89999999999998</v>
      </c>
      <c r="AN96" vm="16987">
        <f ca="1"/>
        <v>268.37</v>
      </c>
      <c r="AO96" vm="16988">
        <f ca="1"/>
        <v>267.39</v>
      </c>
      <c r="AP96" vm="918">
        <f ca="1"/>
        <v>267.67</v>
      </c>
      <c r="AQ96" vm="16989">
        <f ca="1"/>
        <v>270.31</v>
      </c>
      <c r="AR96" vm="16990">
        <f ca="1"/>
        <v>266.29000000000002</v>
      </c>
      <c r="AS96" vm="16991">
        <f ca="1"/>
        <v>270.7</v>
      </c>
      <c r="AT96" vm="16992">
        <f ca="1"/>
        <v>270.85000000000002</v>
      </c>
      <c r="AU96" vm="16993">
        <f ca="1"/>
        <v>270.99</v>
      </c>
      <c r="AV96" vm="16994">
        <f ca="1"/>
        <v>270.74</v>
      </c>
      <c r="AW96" vm="16995">
        <f ca="1"/>
        <v>272.20999999999998</v>
      </c>
      <c r="AX96" vm="16996">
        <f ca="1"/>
        <v>268.62</v>
      </c>
      <c r="AY96" vm="16997">
        <f ca="1"/>
        <v>269.02999999999997</v>
      </c>
      <c r="AZ96" vm="15416">
        <f ca="1"/>
        <v>264.93</v>
      </c>
      <c r="BA96" vm="16998">
        <f ca="1"/>
        <v>263.27</v>
      </c>
      <c r="BB96" vm="16999">
        <f ca="1"/>
        <v>266.74</v>
      </c>
      <c r="BC96" vm="17000">
        <f ca="1"/>
        <v>269.06</v>
      </c>
      <c r="BD96" vm="5399">
        <f ca="1"/>
        <v>269.62</v>
      </c>
      <c r="BE96" vm="17001">
        <f ca="1"/>
        <v>268.25</v>
      </c>
      <c r="BF96" vm="17002">
        <f ca="1"/>
        <v>268.39</v>
      </c>
      <c r="BG96" vm="17003">
        <f ca="1"/>
        <v>266.04000000000002</v>
      </c>
      <c r="BH96" vm="17004">
        <f ca="1"/>
        <v>269.16000000000003</v>
      </c>
      <c r="BI96" vm="7831">
        <f ca="1"/>
        <v>270.33</v>
      </c>
      <c r="BJ96" vm="17005">
        <f ca="1"/>
        <v>275.13</v>
      </c>
      <c r="BK96" vm="17006">
        <f ca="1"/>
        <v>275.24</v>
      </c>
      <c r="BL96" vm="17007">
        <f ca="1"/>
        <v>276.73</v>
      </c>
      <c r="BM96" vm="7469">
        <f ca="1"/>
        <v>279.95999999999998</v>
      </c>
      <c r="BN96" vm="17008">
        <f ca="1"/>
        <v>281.11</v>
      </c>
      <c r="BO96" vm="17009">
        <f ca="1"/>
        <v>280.75</v>
      </c>
      <c r="BP96" vm="7139">
        <f ca="1"/>
        <v>278.49</v>
      </c>
      <c r="BQ96" vm="17010">
        <f ca="1"/>
        <v>277.25</v>
      </c>
      <c r="BR96" vm="17011">
        <f ca="1"/>
        <v>278.47000000000003</v>
      </c>
      <c r="BS96" vm="17012">
        <f ca="1"/>
        <v>278.24</v>
      </c>
      <c r="BT96" vm="17013">
        <f ca="1"/>
        <v>281.97000000000003</v>
      </c>
      <c r="BU96" vm="17014">
        <f ca="1"/>
        <v>284.06</v>
      </c>
      <c r="BV96" vm="17015">
        <f ca="1"/>
        <v>288.14</v>
      </c>
      <c r="BW96" vm="17016">
        <f ca="1"/>
        <v>287.57</v>
      </c>
      <c r="BX96" vm="7170">
        <f ca="1"/>
        <v>288.16000000000003</v>
      </c>
      <c r="BY96" vm="17017">
        <f ca="1"/>
        <v>286.42</v>
      </c>
      <c r="BZ96" vm="17018">
        <f ca="1"/>
        <v>279.72000000000003</v>
      </c>
      <c r="CA96" vm="17019">
        <f ca="1"/>
        <v>273.70999999999998</v>
      </c>
      <c r="CB96" vm="7603">
        <f ca="1"/>
        <v>275.2</v>
      </c>
      <c r="CC96" vm="17020">
        <f ca="1"/>
        <v>285.38</v>
      </c>
      <c r="CD96" vm="17021">
        <f ca="1"/>
        <v>292.35000000000002</v>
      </c>
      <c r="CE96" vm="17022">
        <f ca="1"/>
        <v>297.93</v>
      </c>
      <c r="CF96" vm="17023">
        <f ca="1"/>
        <v>296.23</v>
      </c>
      <c r="CG96" vm="17024">
        <f ca="1"/>
        <v>297.77999999999997</v>
      </c>
      <c r="CH96" vm="17025">
        <f ca="1"/>
        <v>307.47000000000003</v>
      </c>
      <c r="CI96" vm="17026">
        <f ca="1"/>
        <v>306.12</v>
      </c>
      <c r="CJ96" vm="17027">
        <f ca="1"/>
        <v>315.58999999999997</v>
      </c>
      <c r="CK96" vm="17028">
        <f ca="1"/>
        <v>311.11</v>
      </c>
      <c r="CL96" vm="17029">
        <f ca="1"/>
        <v>303.64999999999998</v>
      </c>
      <c r="CM96" vm="17030">
        <f ca="1"/>
        <v>308.07</v>
      </c>
      <c r="CN96" vm="17031">
        <f ca="1"/>
        <v>304.73</v>
      </c>
      <c r="CO96" vm="17032">
        <f ca="1"/>
        <v>309.07</v>
      </c>
      <c r="CP96" vm="17033">
        <f ca="1"/>
        <v>306.06</v>
      </c>
      <c r="CQ96" vm="17034">
        <f ca="1"/>
        <v>303.77</v>
      </c>
      <c r="CR96" vm="17035">
        <f ca="1"/>
        <v>297.45999999999998</v>
      </c>
      <c r="CS96" vm="17036">
        <f ca="1"/>
        <v>297.98</v>
      </c>
      <c r="CT96" vm="17037">
        <f ca="1"/>
        <v>306.88</v>
      </c>
      <c r="CU96" vm="17038">
        <f ca="1"/>
        <v>315.48</v>
      </c>
      <c r="CV96" vm="5513">
        <f ca="1"/>
        <v>310.75</v>
      </c>
      <c r="CW96" vm="17039">
        <f ca="1"/>
        <v>304.63</v>
      </c>
      <c r="CX96" vm="17040">
        <f ca="1"/>
        <v>306.83999999999997</v>
      </c>
      <c r="CY96" vm="17041">
        <f ca="1"/>
        <v>298.19</v>
      </c>
      <c r="CZ96" vm="17042">
        <f ca="1"/>
        <v>299.45999999999998</v>
      </c>
      <c r="DA96" vm="17043">
        <f ca="1"/>
        <v>293.16000000000003</v>
      </c>
      <c r="DB96" vm="17044">
        <f ca="1"/>
        <v>297.83999999999997</v>
      </c>
      <c r="DC96" vm="17045">
        <f ca="1"/>
        <v>294.24</v>
      </c>
      <c r="DD96" vm="17046">
        <f ca="1"/>
        <v>298.02999999999997</v>
      </c>
      <c r="DE96" vm="17047">
        <f ca="1"/>
        <v>303.58</v>
      </c>
      <c r="DF96" vm="17048">
        <f ca="1"/>
        <v>305.82</v>
      </c>
      <c r="DG96" vm="17049">
        <f ca="1"/>
        <v>303.11</v>
      </c>
      <c r="DH96" vm="17050">
        <f ca="1"/>
        <v>309.75</v>
      </c>
      <c r="DI96" vm="17051">
        <f ca="1"/>
        <v>304.5</v>
      </c>
      <c r="DJ96" vm="17052">
        <f ca="1"/>
        <v>303.81</v>
      </c>
      <c r="DK96" vm="17053">
        <f ca="1"/>
        <v>305.61</v>
      </c>
      <c r="DL96" vm="17054">
        <f ca="1"/>
        <v>303.60000000000002</v>
      </c>
      <c r="DM96" vm="17055">
        <f ca="1"/>
        <v>311.67</v>
      </c>
      <c r="DN96" vm="17056">
        <f ca="1"/>
        <v>308.91000000000003</v>
      </c>
      <c r="DO96" vm="17057">
        <f ca="1"/>
        <v>310.89999999999998</v>
      </c>
      <c r="DP96" vm="17058">
        <f ca="1"/>
        <v>309.33</v>
      </c>
      <c r="DQ96" vm="17059">
        <f ca="1"/>
        <v>305.18</v>
      </c>
      <c r="DR96" vm="17060">
        <f ca="1"/>
        <v>306.62</v>
      </c>
      <c r="DS96" vm="17061">
        <f ca="1"/>
        <v>306.70999999999998</v>
      </c>
      <c r="DT96" vm="17062">
        <f ca="1"/>
        <v>308.37</v>
      </c>
      <c r="DU96" vm="17063">
        <f ca="1"/>
        <v>312.2</v>
      </c>
      <c r="DV96" vm="17064">
        <f ca="1"/>
        <v>316.29000000000002</v>
      </c>
      <c r="DW96" vm="17065">
        <f ca="1"/>
        <v>311.77999999999997</v>
      </c>
      <c r="DX96" vm="17066">
        <f ca="1"/>
        <v>311.94</v>
      </c>
      <c r="DY96" vm="17067">
        <f ca="1"/>
        <v>310.26</v>
      </c>
      <c r="DZ96" vm="17068">
        <f ca="1"/>
        <v>310.13</v>
      </c>
      <c r="EA96" vm="17069">
        <f ca="1"/>
        <v>311.08</v>
      </c>
      <c r="EB96" vm="1347">
        <f ca="1"/>
        <v>306.19</v>
      </c>
      <c r="EC96" vm="17070">
        <f ca="1"/>
        <v>307.12</v>
      </c>
      <c r="ED96" vm="17071">
        <f ca="1"/>
        <v>306.77999999999997</v>
      </c>
      <c r="EE96" vm="17072">
        <f ca="1"/>
        <v>301.22000000000003</v>
      </c>
      <c r="EF96" vm="17073">
        <f ca="1"/>
        <v>304.83</v>
      </c>
      <c r="EG96" vm="17074">
        <f ca="1"/>
        <v>307.55</v>
      </c>
      <c r="EH96" vm="17075">
        <f ca="1"/>
        <v>309.25</v>
      </c>
      <c r="EI96" vm="17076">
        <f ca="1"/>
        <v>307.14</v>
      </c>
      <c r="EJ96" vm="17077">
        <f ca="1"/>
        <v>307.37</v>
      </c>
      <c r="EK96" vm="17078">
        <f ca="1"/>
        <v>304.16000000000003</v>
      </c>
      <c r="EL96" vm="17079">
        <f ca="1"/>
        <v>305.52</v>
      </c>
      <c r="EM96" vm="17080">
        <f ca="1"/>
        <v>306.2</v>
      </c>
      <c r="EN96" vm="17081">
        <f ca="1"/>
        <v>309.14</v>
      </c>
      <c r="EO96" vm="17082">
        <f ca="1"/>
        <v>308.01</v>
      </c>
      <c r="EP96" vm="17083">
        <f ca="1"/>
        <v>306.73</v>
      </c>
      <c r="EQ96" vm="17084">
        <f ca="1"/>
        <v>308.26</v>
      </c>
      <c r="ER96" vm="17085">
        <f ca="1"/>
        <v>307.58999999999997</v>
      </c>
      <c r="ES96" vm="17086">
        <f ca="1"/>
        <v>308.39</v>
      </c>
      <c r="ET96" vm="17087">
        <f ca="1"/>
        <v>313.13</v>
      </c>
      <c r="EU96" vm="17088">
        <f ca="1"/>
        <v>316.10000000000002</v>
      </c>
      <c r="EV96" vm="624">
        <f ca="1"/>
        <v>312.18</v>
      </c>
      <c r="EW96" vm="17089">
        <f ca="1"/>
        <v>310.27</v>
      </c>
      <c r="EX96" vm="17090">
        <f ca="1"/>
        <v>307.39999999999998</v>
      </c>
      <c r="EY96" vm="7484">
        <f ca="1"/>
        <v>305.41000000000003</v>
      </c>
      <c r="EZ96" vm="17091">
        <f ca="1"/>
        <v>306.25</v>
      </c>
      <c r="FA96" vm="17092">
        <f ca="1"/>
        <v>300.95999999999998</v>
      </c>
      <c r="FB96" vm="17093">
        <f ca="1"/>
        <v>302.95999999999998</v>
      </c>
      <c r="FC96" vm="17094">
        <f ca="1"/>
        <v>309.11</v>
      </c>
      <c r="FD96" vm="17095">
        <f ca="1"/>
        <v>310.91000000000003</v>
      </c>
      <c r="FE96" vm="17096">
        <f ca="1"/>
        <v>311.16000000000003</v>
      </c>
      <c r="FF96" vm="17097">
        <f ca="1"/>
        <v>310.5</v>
      </c>
      <c r="FG96" vm="17098">
        <f ca="1"/>
        <v>313.12</v>
      </c>
      <c r="FH96" vm="17099">
        <f ca="1"/>
        <v>313.05</v>
      </c>
      <c r="FI96" vm="17100">
        <f ca="1"/>
        <v>308.55</v>
      </c>
      <c r="FJ96" vm="17101">
        <f ca="1"/>
        <v>308.27</v>
      </c>
      <c r="FK96" vm="17102">
        <f ca="1"/>
        <v>309.20999999999998</v>
      </c>
      <c r="FL96" vm="17103">
        <f ca="1"/>
        <v>307.25</v>
      </c>
      <c r="FM96" vm="17104">
        <f ca="1"/>
        <v>307.43</v>
      </c>
      <c r="FN96" vm="17105">
        <f ca="1"/>
        <v>306.95</v>
      </c>
      <c r="FO96" vm="17106">
        <f ca="1"/>
        <v>305.27</v>
      </c>
      <c r="FP96" vm="17107">
        <f ca="1"/>
        <v>308.36</v>
      </c>
      <c r="FQ96" vm="17108">
        <f ca="1"/>
        <v>307.29000000000002</v>
      </c>
      <c r="FR96" vm="17109">
        <f ca="1"/>
        <v>310.58</v>
      </c>
      <c r="FS96" vm="17110">
        <f ca="1"/>
        <v>309.83</v>
      </c>
      <c r="FT96" vm="17111">
        <f ca="1"/>
        <v>312.08</v>
      </c>
      <c r="FU96" vm="17112">
        <f ca="1"/>
        <v>312.70999999999998</v>
      </c>
      <c r="FV96" vm="17113">
        <f ca="1"/>
        <v>315.02999999999997</v>
      </c>
      <c r="FW96" vm="17114">
        <f ca="1"/>
        <v>318.07</v>
      </c>
      <c r="FX96" vm="17115">
        <f ca="1"/>
        <v>325.58999999999997</v>
      </c>
      <c r="FY96" vm="17116">
        <f ca="1"/>
        <v>328.14</v>
      </c>
      <c r="FZ96" vm="17117">
        <f ca="1"/>
        <v>326.69</v>
      </c>
      <c r="GA96" vm="17118">
        <f ca="1"/>
        <v>331.05</v>
      </c>
      <c r="GB96" vm="17119">
        <f ca="1"/>
        <v>334.82</v>
      </c>
      <c r="GC96" vm="17120">
        <f ca="1"/>
        <v>334.06</v>
      </c>
      <c r="GD96" vm="17121">
        <f ca="1"/>
        <v>335.26</v>
      </c>
      <c r="GE96" vm="17122">
        <f ca="1"/>
        <v>334.76</v>
      </c>
      <c r="GF96" vm="17123">
        <f ca="1"/>
        <v>335.42</v>
      </c>
      <c r="GG96" vm="17124">
        <f ca="1"/>
        <v>338.91</v>
      </c>
      <c r="GH96" vm="17125">
        <f ca="1"/>
        <v>339.59</v>
      </c>
      <c r="GI96" vm="17126">
        <f ca="1"/>
        <v>336.97</v>
      </c>
      <c r="GJ96" vm="17127">
        <f ca="1"/>
        <v>335.62</v>
      </c>
      <c r="GK96" vm="17128">
        <f ca="1"/>
        <v>339.18</v>
      </c>
      <c r="GL96" vm="17129">
        <f ca="1"/>
        <v>345.05</v>
      </c>
      <c r="GM96" vm="17130">
        <f ca="1"/>
        <v>346.46</v>
      </c>
      <c r="GN96" vm="17131">
        <f ca="1"/>
        <v>343.32</v>
      </c>
      <c r="GO96" vm="17132">
        <f ca="1"/>
        <v>344.75</v>
      </c>
      <c r="GP96" vm="17133">
        <f ca="1"/>
        <v>346.74</v>
      </c>
      <c r="GQ96" vm="17134">
        <f ca="1"/>
        <v>352.46</v>
      </c>
      <c r="GR96" vm="17135">
        <f ca="1"/>
        <v>355.47</v>
      </c>
      <c r="GS96" vm="17136">
        <f ca="1"/>
        <v>356.03</v>
      </c>
      <c r="GT96" vm="17137">
        <f ca="1"/>
        <v>354.79</v>
      </c>
      <c r="GU96" vm="17138">
        <f ca="1"/>
        <v>357.64</v>
      </c>
      <c r="GV96" vm="17139">
        <f ca="1"/>
        <v>364.38</v>
      </c>
      <c r="GW96" vm="17140">
        <f ca="1"/>
        <v>366.26</v>
      </c>
      <c r="GX96" vm="17141">
        <f ca="1"/>
        <v>372.3</v>
      </c>
      <c r="GY96" vm="17142">
        <f ca="1"/>
        <v>365.43</v>
      </c>
      <c r="GZ96" vm="17143">
        <f ca="1"/>
        <v>369.12</v>
      </c>
      <c r="HA96" vm="17144">
        <f ca="1"/>
        <v>378.09</v>
      </c>
      <c r="HB96" vm="17145">
        <f ca="1"/>
        <v>380.79</v>
      </c>
      <c r="HC96" vm="17146">
        <f ca="1"/>
        <v>387.39</v>
      </c>
      <c r="HD96" vm="17147">
        <f ca="1"/>
        <v>396.45</v>
      </c>
      <c r="HE96" vm="17148">
        <f ca="1"/>
        <v>388.99</v>
      </c>
      <c r="HF96" vm="17149">
        <f ca="1"/>
        <v>403.15</v>
      </c>
      <c r="HG96" vm="17150">
        <f ca="1"/>
        <v>377.24</v>
      </c>
      <c r="HH96" vm="17151">
        <f ca="1"/>
        <v>377.28</v>
      </c>
      <c r="HI96" vm="17152">
        <f ca="1"/>
        <v>378.79</v>
      </c>
      <c r="HJ96" vm="17153">
        <f ca="1"/>
        <v>377.52</v>
      </c>
      <c r="HK96" vm="17154">
        <f ca="1"/>
        <v>367.01</v>
      </c>
      <c r="HL96" vm="17139">
        <f ca="1"/>
        <v>364.38</v>
      </c>
      <c r="HM96" vm="17155">
        <f ca="1"/>
        <v>363</v>
      </c>
      <c r="HN96" vm="17156">
        <f ca="1"/>
        <v>370.13</v>
      </c>
      <c r="HO96" vm="17157">
        <f ca="1"/>
        <v>368.12</v>
      </c>
      <c r="HP96" vm="17158">
        <f ca="1"/>
        <v>368.78</v>
      </c>
      <c r="HQ96" vm="17159">
        <f ca="1"/>
        <v>362.32</v>
      </c>
      <c r="HR96" vm="17160">
        <f ca="1"/>
        <v>366.51</v>
      </c>
      <c r="HS96" vm="17161">
        <f ca="1"/>
        <v>366.07</v>
      </c>
      <c r="HT96" vm="17162">
        <f ca="1"/>
        <v>368.31</v>
      </c>
      <c r="HU96" vm="17163">
        <f ca="1"/>
        <v>378.38</v>
      </c>
      <c r="HV96" vm="17164">
        <f ca="1"/>
        <v>379.87</v>
      </c>
      <c r="HW96" vm="17165">
        <f ca="1"/>
        <v>385.99</v>
      </c>
      <c r="HX96" vm="17166">
        <f ca="1"/>
        <v>382.87</v>
      </c>
      <c r="HY96" vm="17167">
        <f ca="1"/>
        <v>375.96</v>
      </c>
      <c r="HZ96" vm="17168">
        <f ca="1"/>
        <v>371.65</v>
      </c>
      <c r="IA96" vm="17169">
        <f ca="1"/>
        <v>374.35</v>
      </c>
      <c r="IB96" vm="2161">
        <f ca="1"/>
        <v>374.96</v>
      </c>
      <c r="IC96" vm="2162">
        <f ca="1"/>
        <v>374.85</v>
      </c>
      <c r="ID96" vm="2163">
        <f ca="1"/>
        <v>374.27</v>
      </c>
      <c r="IE96" vm="2164">
        <f ca="1"/>
        <v>380.2</v>
      </c>
      <c r="IF96" vm="2165">
        <f ca="1"/>
        <v>380.08</v>
      </c>
      <c r="IG96" vm="2166">
        <f ca="1"/>
        <v>383.12</v>
      </c>
      <c r="IH96" vm="2167">
        <f ca="1"/>
        <v>387.88</v>
      </c>
      <c r="II96" vm="2168">
        <f ca="1"/>
        <v>389.75</v>
      </c>
      <c r="IJ96" vm="2169">
        <f ca="1"/>
        <v>387.24</v>
      </c>
      <c r="IK96" vm="2170">
        <f ca="1"/>
        <v>386.88</v>
      </c>
      <c r="IL96" vm="2171">
        <f ca="1"/>
        <v>387.13</v>
      </c>
      <c r="IM96" vm="2172">
        <f ca="1"/>
        <v>386.44</v>
      </c>
      <c r="IN96" vm="2173">
        <f ca="1"/>
        <v>385.42</v>
      </c>
      <c r="IO96" vm="2174">
        <f ca="1"/>
        <v>387.4</v>
      </c>
      <c r="IP96" vm="2175">
        <f ca="1"/>
        <v>389.05</v>
      </c>
      <c r="IQ96" vm="2176">
        <f ca="1"/>
        <v>393.24</v>
      </c>
      <c r="IR96" vm="2177">
        <f ca="1"/>
        <v>395.44</v>
      </c>
      <c r="IS96" vm="2178">
        <f ca="1"/>
        <v>395.8</v>
      </c>
      <c r="IT96" vm="2179">
        <f ca="1"/>
        <v>395.89</v>
      </c>
      <c r="IU96" vm="2180">
        <f ca="1"/>
        <v>399.29</v>
      </c>
      <c r="IV96" vm="2181">
        <f ca="1"/>
        <v>398.57</v>
      </c>
      <c r="IW96" vm="23">
        <f ca="1"/>
        <v>399.02</v>
      </c>
    </row>
    <row r="97" spans="1:259" ht="16" x14ac:dyDescent="0.2">
      <c r="A97" t="e" vm="2182">
        <v>#VALUE!</v>
      </c>
      <c r="B97" s="23" t="str" cm="1">
        <f t="array" aca="1" ref="B97" ca="1">_FV(A97,"ticker symbol",TRUE)</f>
        <v>SLV</v>
      </c>
      <c r="C97" s="23" t="str" cm="1">
        <f t="array" aca="1" ref="C97" ca="1">_FV(A97,"Name")</f>
        <v>IShares:Silver Trust</v>
      </c>
      <c r="D97" cm="1" vm="10599">
        <f t="array" aca="1" ref="D97:IW97" ca="1">TRANSPOSE(_xlfn.STOCKHISTORY(B97, WORKDAY(TODAY(), -265), TODAY(), 0, 0, 1))</f>
        <v>27.8</v>
      </c>
      <c r="E97" vm="17170">
        <f ca="1"/>
        <v>27.81</v>
      </c>
      <c r="F97" vm="17171">
        <f ca="1"/>
        <v>26.85</v>
      </c>
      <c r="G97" vm="2253">
        <f ca="1"/>
        <v>26.52</v>
      </c>
      <c r="H97" vm="13935">
        <f ca="1"/>
        <v>26.92</v>
      </c>
      <c r="I97" vm="17172">
        <f ca="1"/>
        <v>26.99</v>
      </c>
      <c r="J97" vm="17173">
        <f ca="1"/>
        <v>27.02</v>
      </c>
      <c r="K97" vm="17174">
        <f ca="1"/>
        <v>27.14</v>
      </c>
      <c r="L97" vm="1449">
        <f ca="1"/>
        <v>26.76</v>
      </c>
      <c r="M97" vm="2870">
        <f ca="1"/>
        <v>26.43</v>
      </c>
      <c r="N97" vm="2867">
        <f ca="1"/>
        <v>26.33</v>
      </c>
      <c r="O97" vm="101">
        <f ca="1"/>
        <v>26.93</v>
      </c>
      <c r="P97" vm="2878">
        <f ca="1"/>
        <v>26.98</v>
      </c>
      <c r="Q97" vm="9023">
        <f ca="1"/>
        <v>27.24</v>
      </c>
      <c r="R97" vm="17175">
        <f ca="1"/>
        <v>27.33</v>
      </c>
      <c r="S97" vm="17176">
        <f ca="1"/>
        <v>27.4</v>
      </c>
      <c r="T97" vm="17177">
        <f ca="1"/>
        <v>27.61</v>
      </c>
      <c r="U97" vm="17178">
        <f ca="1"/>
        <v>26.96</v>
      </c>
      <c r="V97" vm="99">
        <f ca="1"/>
        <v>27.2</v>
      </c>
      <c r="W97" vm="2982">
        <f ca="1"/>
        <v>27.96</v>
      </c>
      <c r="X97" vm="17179">
        <f ca="1"/>
        <v>28.04</v>
      </c>
      <c r="Y97" vm="17177">
        <f ca="1"/>
        <v>27.61</v>
      </c>
      <c r="Z97" vm="17179">
        <f ca="1"/>
        <v>28.04</v>
      </c>
      <c r="AA97" vm="2973">
        <f ca="1"/>
        <v>28.05</v>
      </c>
      <c r="AB97" vm="2896">
        <f ca="1"/>
        <v>27.77</v>
      </c>
      <c r="AC97" vm="2978">
        <f ca="1"/>
        <v>27.91</v>
      </c>
      <c r="AD97" vm="17180">
        <f ca="1"/>
        <v>27.46</v>
      </c>
      <c r="AE97" vm="17181">
        <f ca="1"/>
        <v>27.63</v>
      </c>
      <c r="AF97" vm="17182">
        <f ca="1"/>
        <v>28</v>
      </c>
      <c r="AG97" vm="13961">
        <f ca="1"/>
        <v>28.72</v>
      </c>
      <c r="AH97" vm="9033">
        <f ca="1"/>
        <v>28.51</v>
      </c>
      <c r="AI97" vm="17183">
        <f ca="1"/>
        <v>28.67</v>
      </c>
      <c r="AJ97" vm="10566">
        <f ca="1"/>
        <v>29.22</v>
      </c>
      <c r="AK97" vm="2091">
        <f ca="1"/>
        <v>29.35</v>
      </c>
      <c r="AL97" vm="16412">
        <f ca="1"/>
        <v>29.38</v>
      </c>
      <c r="AM97" vm="17184">
        <f ca="1"/>
        <v>29.03</v>
      </c>
      <c r="AN97" vm="13985">
        <f ca="1"/>
        <v>29.2</v>
      </c>
      <c r="AO97" vm="10548">
        <f ca="1"/>
        <v>29</v>
      </c>
      <c r="AP97" vm="9041">
        <f ca="1"/>
        <v>29.34</v>
      </c>
      <c r="AQ97" vm="13910">
        <f ca="1"/>
        <v>29.46</v>
      </c>
      <c r="AR97" vm="13930">
        <f ca="1"/>
        <v>29.31</v>
      </c>
      <c r="AS97" vm="17185">
        <f ca="1"/>
        <v>29.91</v>
      </c>
      <c r="AT97" vm="10557">
        <f ca="1"/>
        <v>29.81</v>
      </c>
      <c r="AU97" vm="13906">
        <f ca="1"/>
        <v>29.95</v>
      </c>
      <c r="AV97" vm="10590">
        <f ca="1"/>
        <v>29.59</v>
      </c>
      <c r="AW97" vm="17186">
        <f ca="1"/>
        <v>29.44</v>
      </c>
      <c r="AX97" vm="17187">
        <f ca="1"/>
        <v>28.83</v>
      </c>
      <c r="AY97" vm="16500">
        <f ca="1"/>
        <v>28.94</v>
      </c>
      <c r="AZ97" vm="17188">
        <f ca="1"/>
        <v>28.4</v>
      </c>
      <c r="BA97" vm="2969">
        <f ca="1"/>
        <v>28.31</v>
      </c>
      <c r="BB97" vm="17189">
        <f ca="1"/>
        <v>28.75</v>
      </c>
      <c r="BC97" vm="10548">
        <f ca="1"/>
        <v>29</v>
      </c>
      <c r="BD97" vm="10559">
        <f ca="1"/>
        <v>29.77</v>
      </c>
      <c r="BE97" vm="10561">
        <f ca="1"/>
        <v>29.69</v>
      </c>
      <c r="BF97" vm="10590">
        <f ca="1"/>
        <v>29.59</v>
      </c>
      <c r="BG97" vm="13927">
        <f ca="1"/>
        <v>29.11</v>
      </c>
      <c r="BH97" vm="17190">
        <f ca="1"/>
        <v>29.96</v>
      </c>
      <c r="BI97" vm="16407">
        <f ca="1"/>
        <v>30.22</v>
      </c>
      <c r="BJ97" vm="9016">
        <f ca="1"/>
        <v>30.74</v>
      </c>
      <c r="BK97" vm="10620">
        <f ca="1"/>
        <v>30.71</v>
      </c>
      <c r="BL97" vm="17191">
        <f ca="1"/>
        <v>30.81</v>
      </c>
      <c r="BM97" vm="10588">
        <f ca="1"/>
        <v>30.85</v>
      </c>
      <c r="BN97" vm="9049">
        <f ca="1"/>
        <v>30.75</v>
      </c>
      <c r="BO97" vm="9011">
        <f ca="1"/>
        <v>30.5</v>
      </c>
      <c r="BP97" vm="10554">
        <f ca="1"/>
        <v>30.02</v>
      </c>
      <c r="BQ97" vm="17190">
        <f ca="1"/>
        <v>29.96</v>
      </c>
      <c r="BR97" vm="10630">
        <f ca="1"/>
        <v>30.58</v>
      </c>
      <c r="BS97" vm="9013">
        <f ca="1"/>
        <v>30.53</v>
      </c>
      <c r="BT97" vm="17192">
        <f ca="1"/>
        <v>31.32</v>
      </c>
      <c r="BU97" vm="2712">
        <f ca="1"/>
        <v>31</v>
      </c>
      <c r="BV97" vm="9047">
        <f ca="1"/>
        <v>30.99</v>
      </c>
      <c r="BW97" vm="17193">
        <f ca="1"/>
        <v>30.63</v>
      </c>
      <c r="BX97" vm="16401">
        <f ca="1"/>
        <v>30.76</v>
      </c>
      <c r="BY97" vm="17194">
        <f ca="1"/>
        <v>28.89</v>
      </c>
      <c r="BZ97" vm="2899">
        <f ca="1"/>
        <v>27.08</v>
      </c>
      <c r="CA97" vm="17174">
        <f ca="1"/>
        <v>27.14</v>
      </c>
      <c r="CB97" vm="17174">
        <f ca="1"/>
        <v>27.14</v>
      </c>
      <c r="CC97" vm="17195">
        <f ca="1"/>
        <v>28.06</v>
      </c>
      <c r="CD97" vm="17196">
        <f ca="1"/>
        <v>28.28</v>
      </c>
      <c r="CE97" vm="17197">
        <f ca="1"/>
        <v>29.19</v>
      </c>
      <c r="CF97" vm="16412">
        <f ca="1"/>
        <v>29.38</v>
      </c>
      <c r="CG97" vm="2090">
        <f ca="1"/>
        <v>29.41</v>
      </c>
      <c r="CH97" vm="13917">
        <f ca="1"/>
        <v>29.76</v>
      </c>
      <c r="CI97" vm="2085">
        <f ca="1"/>
        <v>29.55</v>
      </c>
      <c r="CJ97" vm="10547">
        <f ca="1"/>
        <v>29.79</v>
      </c>
      <c r="CK97" vm="13943">
        <f ca="1"/>
        <v>29.5</v>
      </c>
      <c r="CL97" vm="13997">
        <f ca="1"/>
        <v>30.56</v>
      </c>
      <c r="CM97" vm="13997">
        <f ca="1"/>
        <v>30.56</v>
      </c>
      <c r="CN97" vm="17198">
        <f ca="1"/>
        <v>30.05</v>
      </c>
      <c r="CO97" vm="13975">
        <f ca="1"/>
        <v>30.19</v>
      </c>
      <c r="CP97" vm="13971">
        <f ca="1"/>
        <v>29.83</v>
      </c>
      <c r="CQ97" vm="13991">
        <f ca="1"/>
        <v>29.6</v>
      </c>
      <c r="CR97" vm="10591">
        <f ca="1"/>
        <v>29.39</v>
      </c>
      <c r="CS97" vm="9039">
        <f ca="1"/>
        <v>29.12</v>
      </c>
      <c r="CT97" vm="17199">
        <f ca="1"/>
        <v>29.48</v>
      </c>
      <c r="CU97" vm="16407">
        <f ca="1"/>
        <v>30.22</v>
      </c>
      <c r="CV97" vm="9040">
        <f ca="1"/>
        <v>29.49</v>
      </c>
      <c r="CW97" vm="13910">
        <f ca="1"/>
        <v>29.46</v>
      </c>
      <c r="CX97" vm="10538">
        <f ca="1"/>
        <v>29.8</v>
      </c>
      <c r="CY97" vm="10567">
        <f ca="1"/>
        <v>29.63</v>
      </c>
      <c r="CZ97" vm="10609">
        <f ca="1"/>
        <v>29.93</v>
      </c>
      <c r="DA97" vm="16499">
        <f ca="1"/>
        <v>29.25</v>
      </c>
      <c r="DB97" vm="17200">
        <f ca="1"/>
        <v>29.61</v>
      </c>
      <c r="DC97" vm="10607">
        <f ca="1"/>
        <v>29.3</v>
      </c>
      <c r="DD97" vm="13946">
        <f ca="1"/>
        <v>29.42</v>
      </c>
      <c r="DE97" vm="10551">
        <f ca="1"/>
        <v>30.13</v>
      </c>
      <c r="DF97" vm="10589">
        <f ca="1"/>
        <v>30.51</v>
      </c>
      <c r="DG97" vm="10621">
        <f ca="1"/>
        <v>30.03</v>
      </c>
      <c r="DH97" vm="9064">
        <f ca="1"/>
        <v>30.45</v>
      </c>
      <c r="DI97" vm="10623">
        <f ca="1"/>
        <v>30.23</v>
      </c>
      <c r="DJ97" vm="13919">
        <f ca="1"/>
        <v>29.98</v>
      </c>
      <c r="DK97" vm="10558">
        <f ca="1"/>
        <v>30.3</v>
      </c>
      <c r="DL97" vm="10545">
        <f ca="1"/>
        <v>30</v>
      </c>
      <c r="DM97" vm="10584">
        <f ca="1"/>
        <v>31.59</v>
      </c>
      <c r="DN97" vm="9065">
        <f ca="1"/>
        <v>31.44</v>
      </c>
      <c r="DO97" vm="10615">
        <f ca="1"/>
        <v>31.34</v>
      </c>
      <c r="DP97" vm="16462">
        <f ca="1"/>
        <v>32.450000000000003</v>
      </c>
      <c r="DQ97" vm="10647">
        <f ca="1"/>
        <v>32.69</v>
      </c>
      <c r="DR97" vm="17201">
        <f ca="1"/>
        <v>33.39</v>
      </c>
      <c r="DS97" vm="2378">
        <f ca="1"/>
        <v>33.229999999999997</v>
      </c>
      <c r="DT97" vm="8970">
        <f ca="1"/>
        <v>32.950000000000003</v>
      </c>
      <c r="DU97" vm="14021">
        <f ca="1"/>
        <v>33.06</v>
      </c>
      <c r="DV97" vm="17202">
        <f ca="1"/>
        <v>32.97</v>
      </c>
      <c r="DW97" vm="2368">
        <f ca="1"/>
        <v>33.03</v>
      </c>
      <c r="DX97" vm="17203">
        <f ca="1"/>
        <v>33.74</v>
      </c>
      <c r="DY97" vm="17204">
        <f ca="1"/>
        <v>33.270000000000003</v>
      </c>
      <c r="DZ97" vm="14010">
        <f ca="1"/>
        <v>32.72</v>
      </c>
      <c r="EA97" vm="17205">
        <f ca="1"/>
        <v>32.96</v>
      </c>
      <c r="EB97" vm="17206">
        <f ca="1"/>
        <v>32.61</v>
      </c>
      <c r="EC97" vm="8982">
        <f ca="1"/>
        <v>33.01</v>
      </c>
      <c r="ED97" vm="17207">
        <f ca="1"/>
        <v>33.340000000000003</v>
      </c>
      <c r="EE97" vm="8986">
        <f ca="1"/>
        <v>32.619999999999997</v>
      </c>
      <c r="EF97" vm="15763">
        <f ca="1"/>
        <v>32.81</v>
      </c>
      <c r="EG97" vm="10636">
        <f ca="1"/>
        <v>32.729999999999997</v>
      </c>
      <c r="EH97" vm="2371">
        <f ca="1"/>
        <v>33.24</v>
      </c>
      <c r="EI97" vm="17208">
        <f ca="1"/>
        <v>33.51</v>
      </c>
      <c r="EJ97" vm="9079">
        <f ca="1"/>
        <v>33.43</v>
      </c>
      <c r="EK97" vm="17209">
        <f ca="1"/>
        <v>33.29</v>
      </c>
      <c r="EL97" vm="14016">
        <f ca="1"/>
        <v>33</v>
      </c>
      <c r="EM97" vm="14022">
        <f ca="1"/>
        <v>33.75</v>
      </c>
      <c r="EN97" vm="9097">
        <f ca="1"/>
        <v>35.03</v>
      </c>
      <c r="EO97" vm="17210">
        <f ca="1"/>
        <v>34.630000000000003</v>
      </c>
      <c r="EP97" vm="9074">
        <f ca="1"/>
        <v>34.26</v>
      </c>
      <c r="EQ97" vm="9094">
        <f ca="1"/>
        <v>34.409999999999997</v>
      </c>
      <c r="ER97" vm="17211">
        <f ca="1"/>
        <v>34.65</v>
      </c>
      <c r="ES97" vm="17212">
        <f ca="1"/>
        <v>34.61</v>
      </c>
      <c r="ET97" vm="17213">
        <f ca="1"/>
        <v>35.35</v>
      </c>
      <c r="EU97" vm="17214">
        <f ca="1"/>
        <v>35.72</v>
      </c>
      <c r="EV97" vm="17215">
        <f ca="1"/>
        <v>35.69</v>
      </c>
      <c r="EW97" vm="15786">
        <f ca="1"/>
        <v>35.49</v>
      </c>
      <c r="EX97" vm="17216">
        <f ca="1"/>
        <v>34.659999999999997</v>
      </c>
      <c r="EY97" vm="17217">
        <f ca="1"/>
        <v>34.64</v>
      </c>
      <c r="EZ97" vm="17216">
        <f ca="1"/>
        <v>34.659999999999997</v>
      </c>
      <c r="FA97" vm="17208">
        <f ca="1"/>
        <v>33.51</v>
      </c>
      <c r="FB97" vm="2709">
        <f ca="1"/>
        <v>33.32</v>
      </c>
      <c r="FC97" vm="17218">
        <f ca="1"/>
        <v>33.590000000000003</v>
      </c>
      <c r="FD97" vm="8978">
        <f ca="1"/>
        <v>33.979999999999997</v>
      </c>
      <c r="FE97" vm="17219">
        <f ca="1"/>
        <v>34.35</v>
      </c>
      <c r="FF97" vm="17219">
        <f ca="1"/>
        <v>34.35</v>
      </c>
      <c r="FG97" vm="17220">
        <f ca="1"/>
        <v>34.76</v>
      </c>
      <c r="FH97" vm="10658">
        <f ca="1"/>
        <v>34.880000000000003</v>
      </c>
      <c r="FI97" vm="17221">
        <f ca="1"/>
        <v>34.18</v>
      </c>
      <c r="FJ97" vm="9094">
        <f ca="1"/>
        <v>34.409999999999997</v>
      </c>
      <c r="FK97" vm="826">
        <f ca="1"/>
        <v>35</v>
      </c>
      <c r="FL97" vm="15792">
        <f ca="1"/>
        <v>34.5</v>
      </c>
      <c r="FM97" vm="15792">
        <f ca="1"/>
        <v>34.5</v>
      </c>
      <c r="FN97" vm="812">
        <f ca="1"/>
        <v>34.549999999999997</v>
      </c>
      <c r="FO97" vm="17222">
        <f ca="1"/>
        <v>33.869999999999997</v>
      </c>
      <c r="FP97" vm="14025">
        <f ca="1"/>
        <v>34.43</v>
      </c>
      <c r="FQ97" vm="17212">
        <f ca="1"/>
        <v>34.61</v>
      </c>
      <c r="FR97" vm="9177">
        <f ca="1"/>
        <v>35.340000000000003</v>
      </c>
      <c r="FS97" vm="17223">
        <f ca="1"/>
        <v>35.020000000000003</v>
      </c>
      <c r="FT97" vm="17223">
        <f ca="1"/>
        <v>35.020000000000003</v>
      </c>
      <c r="FU97" vm="17224">
        <f ca="1"/>
        <v>34.99</v>
      </c>
      <c r="FV97" vm="17225">
        <f ca="1"/>
        <v>35.520000000000003</v>
      </c>
      <c r="FW97" vm="9123">
        <f ca="1"/>
        <v>36.19</v>
      </c>
      <c r="FX97" vm="17226">
        <f ca="1"/>
        <v>37.15</v>
      </c>
      <c r="FY97" vm="3311">
        <f ca="1"/>
        <v>37.340000000000003</v>
      </c>
      <c r="FZ97" vm="822">
        <f ca="1"/>
        <v>36.93</v>
      </c>
      <c r="GA97" vm="4667">
        <f ca="1"/>
        <v>37.21</v>
      </c>
      <c r="GB97" vm="17227">
        <f ca="1"/>
        <v>37.51</v>
      </c>
      <c r="GC97" vm="17228">
        <f ca="1"/>
        <v>37.18</v>
      </c>
      <c r="GD97" vm="1042">
        <f ca="1"/>
        <v>37.409999999999997</v>
      </c>
      <c r="GE97" vm="10689">
        <f ca="1"/>
        <v>37.79</v>
      </c>
      <c r="GF97" vm="17229">
        <f ca="1"/>
        <v>38.340000000000003</v>
      </c>
      <c r="GG97" vm="17230">
        <f ca="1"/>
        <v>38.76</v>
      </c>
      <c r="GH97" vm="71">
        <f ca="1"/>
        <v>38.6</v>
      </c>
      <c r="GI97" vm="10689">
        <f ca="1"/>
        <v>37.79</v>
      </c>
      <c r="GJ97" vm="17231">
        <f ca="1"/>
        <v>37.99</v>
      </c>
      <c r="GK97" vm="12751">
        <f ca="1"/>
        <v>39.04</v>
      </c>
      <c r="GL97" vm="12785">
        <f ca="1"/>
        <v>40.04</v>
      </c>
      <c r="GM97" vm="17232">
        <f ca="1"/>
        <v>39.96</v>
      </c>
      <c r="GN97" vm="6909">
        <f ca="1"/>
        <v>39.82</v>
      </c>
      <c r="GO97" vm="13799">
        <f ca="1"/>
        <v>41.03</v>
      </c>
      <c r="GP97" vm="6931">
        <f ca="1"/>
        <v>41.86</v>
      </c>
      <c r="GQ97" vm="1362">
        <f ca="1"/>
        <v>42.5</v>
      </c>
      <c r="GR97" vm="13804">
        <f ca="1"/>
        <v>42.37</v>
      </c>
      <c r="GS97" vm="17233">
        <f ca="1"/>
        <v>42.91</v>
      </c>
      <c r="GT97" vm="17234">
        <f ca="1"/>
        <v>42.53</v>
      </c>
      <c r="GU97" vm="6894">
        <f ca="1"/>
        <v>43.52</v>
      </c>
      <c r="GV97" vm="17235">
        <f ca="1"/>
        <v>44.06</v>
      </c>
      <c r="GW97" vm="542">
        <f ca="1"/>
        <v>43.39</v>
      </c>
      <c r="GX97" vm="13773">
        <f ca="1"/>
        <v>44.56</v>
      </c>
      <c r="GY97" vm="9220">
        <f ca="1"/>
        <v>44.71</v>
      </c>
      <c r="GZ97" vm="11633">
        <f ca="1"/>
        <v>45.43</v>
      </c>
      <c r="HA97" vm="11531">
        <f ca="1"/>
        <v>47.26</v>
      </c>
      <c r="HB97" vm="10037">
        <f ca="1"/>
        <v>46.8</v>
      </c>
      <c r="HC97" vm="6231">
        <f ca="1"/>
        <v>48.33</v>
      </c>
      <c r="HD97" vm="17236">
        <f ca="1"/>
        <v>49.17</v>
      </c>
      <c r="HE97" vm="12091">
        <f ca="1"/>
        <v>46.99</v>
      </c>
      <c r="HF97" vm="6287">
        <f ca="1"/>
        <v>47.72</v>
      </c>
      <c r="HG97" vm="9206">
        <f ca="1"/>
        <v>43.79</v>
      </c>
      <c r="HH97" vm="9227">
        <f ca="1"/>
        <v>43.88</v>
      </c>
      <c r="HI97" vm="9211">
        <f ca="1"/>
        <v>44.18</v>
      </c>
      <c r="HJ97" vm="11652">
        <f ca="1"/>
        <v>43.99</v>
      </c>
      <c r="HK97" vm="17237">
        <f ca="1"/>
        <v>42.4</v>
      </c>
      <c r="HL97" vm="12056">
        <f ca="1"/>
        <v>42.7</v>
      </c>
      <c r="HM97" vm="1368">
        <f ca="1"/>
        <v>43.23</v>
      </c>
      <c r="HN97" vm="13764">
        <f ca="1"/>
        <v>44.34</v>
      </c>
      <c r="HO97" vm="17238">
        <f ca="1"/>
        <v>44.01</v>
      </c>
      <c r="HP97" vm="13779">
        <f ca="1"/>
        <v>43.76</v>
      </c>
      <c r="HQ97" vm="1357">
        <f ca="1"/>
        <v>42.74</v>
      </c>
      <c r="HR97" vm="2688">
        <f ca="1"/>
        <v>43.65</v>
      </c>
      <c r="HS97" vm="17239">
        <f ca="1"/>
        <v>43.55</v>
      </c>
      <c r="HT97" vm="6278">
        <f ca="1"/>
        <v>43.92</v>
      </c>
      <c r="HU97" vm="17240">
        <f ca="1"/>
        <v>45.79</v>
      </c>
      <c r="HV97" vm="2183">
        <f ca="1"/>
        <v>46.45</v>
      </c>
      <c r="HW97" vm="17241">
        <f ca="1"/>
        <v>48.32</v>
      </c>
      <c r="HX97" vm="6271">
        <f ca="1"/>
        <v>47.42</v>
      </c>
      <c r="HY97" vm="461">
        <f ca="1"/>
        <v>45.96</v>
      </c>
      <c r="HZ97" vm="1188">
        <f ca="1"/>
        <v>45.47</v>
      </c>
      <c r="IA97" vm="14156">
        <f ca="1"/>
        <v>46.1</v>
      </c>
      <c r="IB97" vm="2183">
        <f ca="1"/>
        <v>46.45</v>
      </c>
      <c r="IC97" vm="2184">
        <f ca="1"/>
        <v>45.78</v>
      </c>
      <c r="ID97" vm="2185">
        <f ca="1"/>
        <v>45.3</v>
      </c>
      <c r="IE97" vm="2186">
        <f ca="1"/>
        <v>46.63</v>
      </c>
      <c r="IF97" vm="2187">
        <f ca="1"/>
        <v>46.67</v>
      </c>
      <c r="IG97" vm="2188">
        <f ca="1"/>
        <v>48.4</v>
      </c>
      <c r="IH97" vm="2189">
        <f ca="1"/>
        <v>51.21</v>
      </c>
      <c r="II97" vm="2190">
        <f ca="1"/>
        <v>52.52</v>
      </c>
      <c r="IJ97" vm="2191">
        <f ca="1"/>
        <v>53.13</v>
      </c>
      <c r="IK97" vm="2192">
        <f ca="1"/>
        <v>53.07</v>
      </c>
      <c r="IL97" vm="2193">
        <f ca="1"/>
        <v>51.76</v>
      </c>
      <c r="IM97" vm="472">
        <f ca="1"/>
        <v>52.95</v>
      </c>
      <c r="IN97" vm="2194">
        <f ca="1"/>
        <v>52.71</v>
      </c>
      <c r="IO97" vm="2195">
        <f ca="1"/>
        <v>55.17</v>
      </c>
      <c r="IP97" vm="2196">
        <f ca="1"/>
        <v>56.07</v>
      </c>
      <c r="IQ97" vm="2197">
        <f ca="1"/>
        <v>57.62</v>
      </c>
      <c r="IR97" vm="2198">
        <f ca="1"/>
        <v>56.1</v>
      </c>
      <c r="IS97" vm="2199">
        <f ca="1"/>
        <v>58.11</v>
      </c>
      <c r="IT97" vm="2200">
        <f ca="1"/>
        <v>57.73</v>
      </c>
      <c r="IU97" vm="2201">
        <f ca="1"/>
        <v>60.26</v>
      </c>
      <c r="IV97" vm="1583">
        <f ca="1"/>
        <v>59.32</v>
      </c>
      <c r="IW97" vm="25">
        <f ca="1"/>
        <v>60.93</v>
      </c>
    </row>
    <row r="98" spans="1:259" ht="16" x14ac:dyDescent="0.2">
      <c r="A98" t="e" vm="2202">
        <v>#VALUE!</v>
      </c>
      <c r="B98" s="23" t="str" cm="1">
        <f t="array" aca="1" ref="B98" ca="1">_FV(A98,"ticker symbol",TRUE)</f>
        <v>UNG</v>
      </c>
      <c r="C98" s="23" t="str" cm="1">
        <f t="array" aca="1" ref="C98" ca="1">_FV(A98,"Name")</f>
        <v>United States Nat Gas</v>
      </c>
      <c r="D98" cm="1" vm="17242">
        <f t="array" aca="1" ref="D98:IW98" ca="1">TRANSPOSE(_xlfn.STOCKHISTORY(B98, WORKDAY(TODAY(), -265), TODAY(), 0, 0, 1))</f>
        <v>13.95</v>
      </c>
      <c r="E98" vm="17243">
        <f ca="1"/>
        <v>14.46</v>
      </c>
      <c r="F98" vm="17244">
        <f ca="1"/>
        <v>14.54</v>
      </c>
      <c r="G98" vm="17245">
        <f ca="1"/>
        <v>15.4</v>
      </c>
      <c r="H98" vm="17246">
        <f ca="1"/>
        <v>15.87</v>
      </c>
      <c r="I98" vm="17247">
        <f ca="1"/>
        <v>15.63</v>
      </c>
      <c r="J98" vm="17248">
        <f ca="1"/>
        <v>16.14</v>
      </c>
      <c r="K98" vm="17249">
        <f ca="1"/>
        <v>15.37</v>
      </c>
      <c r="L98" vm="17250">
        <f ca="1"/>
        <v>15.76</v>
      </c>
      <c r="M98" vm="17251">
        <f ca="1"/>
        <v>18.03</v>
      </c>
      <c r="N98" vm="17252">
        <f ca="1"/>
        <v>16.809999999999999</v>
      </c>
      <c r="O98" vm="2822">
        <f ca="1"/>
        <v>17.010000000000002</v>
      </c>
      <c r="P98" vm="17253">
        <f ca="1"/>
        <v>15.59</v>
      </c>
      <c r="Q98" vm="17254">
        <f ca="1"/>
        <v>17.16</v>
      </c>
      <c r="R98" vm="17255">
        <f ca="1"/>
        <v>15.99</v>
      </c>
      <c r="S98" vm="2828">
        <f ca="1"/>
        <v>17.11</v>
      </c>
      <c r="T98" vm="17256">
        <f ca="1"/>
        <v>18.420000000000002</v>
      </c>
      <c r="U98" vm="17257">
        <f ca="1"/>
        <v>18.22</v>
      </c>
      <c r="V98" vm="17258">
        <f ca="1"/>
        <v>18.47</v>
      </c>
      <c r="W98" vm="17259">
        <f ca="1"/>
        <v>19.12</v>
      </c>
      <c r="X98" vm="2454">
        <f ca="1"/>
        <v>19.940000000000001</v>
      </c>
      <c r="Y98" vm="17260">
        <f ca="1"/>
        <v>18.34</v>
      </c>
      <c r="Z98" vm="17261">
        <f ca="1"/>
        <v>17.73</v>
      </c>
      <c r="AA98" vm="17262">
        <f ca="1"/>
        <v>18.54</v>
      </c>
      <c r="AB98" vm="17263">
        <f ca="1"/>
        <v>18.25</v>
      </c>
      <c r="AC98" vm="17264">
        <f ca="1"/>
        <v>18.12</v>
      </c>
      <c r="AD98" vm="2830">
        <f ca="1"/>
        <v>17.149999999999999</v>
      </c>
      <c r="AE98" vm="17265">
        <f ca="1"/>
        <v>16.29</v>
      </c>
      <c r="AF98" vm="17266">
        <f ca="1"/>
        <v>16.760000000000002</v>
      </c>
      <c r="AG98" vm="17248">
        <f ca="1"/>
        <v>16.14</v>
      </c>
      <c r="AH98" vm="17267">
        <f ca="1"/>
        <v>16.190000000000001</v>
      </c>
      <c r="AI98" vm="17268">
        <f ca="1"/>
        <v>17.64</v>
      </c>
      <c r="AJ98" vm="17269">
        <f ca="1"/>
        <v>17.07</v>
      </c>
      <c r="AK98" vm="17270">
        <f ca="1"/>
        <v>17.8</v>
      </c>
      <c r="AL98" vm="2270">
        <f ca="1"/>
        <v>17.89</v>
      </c>
      <c r="AM98" vm="17271">
        <f ca="1"/>
        <v>17.48</v>
      </c>
      <c r="AN98" vm="17272">
        <f ca="1"/>
        <v>18.21</v>
      </c>
      <c r="AO98" vm="17273">
        <f ca="1"/>
        <v>18.579999999999998</v>
      </c>
      <c r="AP98" vm="17274">
        <f ca="1"/>
        <v>18.79</v>
      </c>
      <c r="AQ98" vm="17275">
        <f ca="1"/>
        <v>19.149999999999999</v>
      </c>
      <c r="AR98" vm="17276">
        <f ca="1"/>
        <v>19.649999999999999</v>
      </c>
      <c r="AS98" vm="2441">
        <f ca="1"/>
        <v>20.95</v>
      </c>
      <c r="AT98" vm="17277">
        <f ca="1"/>
        <v>22.61</v>
      </c>
      <c r="AU98" vm="16748">
        <f ca="1"/>
        <v>21.73</v>
      </c>
      <c r="AV98" vm="17278">
        <f ca="1"/>
        <v>22.09</v>
      </c>
      <c r="AW98" vm="16709">
        <f ca="1"/>
        <v>21.24</v>
      </c>
      <c r="AX98" vm="16701">
        <f ca="1"/>
        <v>21.75</v>
      </c>
      <c r="AY98" vm="13334">
        <f ca="1"/>
        <v>21.15</v>
      </c>
      <c r="AZ98" vm="13311">
        <f ca="1"/>
        <v>20.86</v>
      </c>
      <c r="BA98" vm="16730">
        <f ca="1"/>
        <v>20.34</v>
      </c>
      <c r="BB98" vm="13249">
        <f ca="1"/>
        <v>21.95</v>
      </c>
      <c r="BC98" vm="2467">
        <f ca="1"/>
        <v>23.11</v>
      </c>
      <c r="BD98" vm="16763">
        <f ca="1"/>
        <v>23.62</v>
      </c>
      <c r="BE98" vm="17279">
        <f ca="1"/>
        <v>22.77</v>
      </c>
      <c r="BF98" vm="2463">
        <f ca="1"/>
        <v>23.19</v>
      </c>
      <c r="BG98" vm="17280">
        <f ca="1"/>
        <v>23.83</v>
      </c>
      <c r="BH98" vm="2429">
        <f ca="1"/>
        <v>23.28</v>
      </c>
      <c r="BI98" vm="13339">
        <f ca="1"/>
        <v>21.65</v>
      </c>
      <c r="BJ98" vm="2281">
        <f ca="1"/>
        <v>21.43</v>
      </c>
      <c r="BK98" vm="17281">
        <f ca="1"/>
        <v>21.79</v>
      </c>
      <c r="BL98" vm="2129">
        <f ca="1"/>
        <v>21.22</v>
      </c>
      <c r="BM98" vm="3119">
        <f ca="1"/>
        <v>21.41</v>
      </c>
      <c r="BN98" vm="13259">
        <f ca="1"/>
        <v>22.35</v>
      </c>
      <c r="BO98" vm="13273">
        <f ca="1"/>
        <v>21.17</v>
      </c>
      <c r="BP98" vm="2136">
        <f ca="1"/>
        <v>20.84</v>
      </c>
      <c r="BQ98" vm="17282">
        <f ca="1"/>
        <v>20.66</v>
      </c>
      <c r="BR98" vm="17283">
        <f ca="1"/>
        <v>20.329999999999998</v>
      </c>
      <c r="BS98" vm="17284">
        <f ca="1"/>
        <v>20.14</v>
      </c>
      <c r="BT98" vm="17285">
        <f ca="1"/>
        <v>20.41</v>
      </c>
      <c r="BU98" vm="16710">
        <f ca="1"/>
        <v>21.33</v>
      </c>
      <c r="BV98" vm="85">
        <f ca="1"/>
        <v>21.61</v>
      </c>
      <c r="BW98" vm="157">
        <f ca="1"/>
        <v>20.7</v>
      </c>
      <c r="BX98" vm="16750">
        <f ca="1"/>
        <v>21.05</v>
      </c>
      <c r="BY98" vm="2124">
        <f ca="1"/>
        <v>21.57</v>
      </c>
      <c r="BZ98" vm="17286">
        <f ca="1"/>
        <v>20.04</v>
      </c>
      <c r="CA98" vm="17287">
        <f ca="1"/>
        <v>19.07</v>
      </c>
      <c r="CB98" vm="17288">
        <f ca="1"/>
        <v>18.28</v>
      </c>
      <c r="CC98" vm="13295">
        <f ca="1"/>
        <v>19.62</v>
      </c>
      <c r="CD98" vm="17258">
        <f ca="1"/>
        <v>18.47</v>
      </c>
      <c r="CE98" vm="17289">
        <f ca="1"/>
        <v>18.63</v>
      </c>
      <c r="CF98" vm="17290">
        <f ca="1"/>
        <v>17.510000000000002</v>
      </c>
      <c r="CG98" vm="17291">
        <f ca="1"/>
        <v>17.36</v>
      </c>
      <c r="CH98" vm="17292">
        <f ca="1"/>
        <v>17.03</v>
      </c>
      <c r="CI98" vm="17292">
        <f ca="1"/>
        <v>17.03</v>
      </c>
      <c r="CJ98" vm="17293">
        <f ca="1"/>
        <v>16.02</v>
      </c>
      <c r="CK98" vm="17294">
        <f ca="1"/>
        <v>15.78</v>
      </c>
      <c r="CL98" vm="17295">
        <f ca="1"/>
        <v>15.73</v>
      </c>
      <c r="CM98" vm="17296">
        <f ca="1"/>
        <v>15.5</v>
      </c>
      <c r="CN98" vm="17297">
        <f ca="1"/>
        <v>15.7</v>
      </c>
      <c r="CO98" vm="17298">
        <f ca="1"/>
        <v>16.62</v>
      </c>
      <c r="CP98" vm="17299">
        <f ca="1"/>
        <v>16.88</v>
      </c>
      <c r="CQ98" vm="17300">
        <f ca="1"/>
        <v>16.739999999999998</v>
      </c>
      <c r="CR98" vm="17301">
        <f ca="1"/>
        <v>17.32</v>
      </c>
      <c r="CS98" vm="17302">
        <f ca="1"/>
        <v>18.32</v>
      </c>
      <c r="CT98" vm="17303">
        <f ca="1"/>
        <v>17.98</v>
      </c>
      <c r="CU98" vm="17304">
        <f ca="1"/>
        <v>17.37</v>
      </c>
      <c r="CV98" vm="17305">
        <f ca="1"/>
        <v>18.170000000000002</v>
      </c>
      <c r="CW98" vm="17306">
        <f ca="1"/>
        <v>18.07</v>
      </c>
      <c r="CX98" vm="17307">
        <f ca="1"/>
        <v>18.98</v>
      </c>
      <c r="CY98" vm="17308">
        <f ca="1"/>
        <v>18.350000000000001</v>
      </c>
      <c r="CZ98" vm="17309">
        <f ca="1"/>
        <v>18.190000000000001</v>
      </c>
      <c r="DA98" vm="17310">
        <f ca="1"/>
        <v>17.399999999999999</v>
      </c>
      <c r="DB98" vm="17311">
        <f ca="1"/>
        <v>16.8</v>
      </c>
      <c r="DC98" vm="17312">
        <f ca="1"/>
        <v>16.71</v>
      </c>
      <c r="DD98" vm="17313">
        <f ca="1"/>
        <v>15.65</v>
      </c>
      <c r="DE98" vm="17314">
        <f ca="1"/>
        <v>16.989999999999998</v>
      </c>
      <c r="DF98" vm="17315">
        <f ca="1"/>
        <v>16.920000000000002</v>
      </c>
      <c r="DG98" vm="17316">
        <f ca="1"/>
        <v>16.649999999999999</v>
      </c>
      <c r="DH98" vm="17317">
        <f ca="1"/>
        <v>16.829999999999998</v>
      </c>
      <c r="DI98" vm="17269">
        <f ca="1"/>
        <v>17.07</v>
      </c>
      <c r="DJ98" vm="17318">
        <f ca="1"/>
        <v>16.149999999999999</v>
      </c>
      <c r="DK98" vm="17255">
        <f ca="1"/>
        <v>15.99</v>
      </c>
      <c r="DL98" vm="17319">
        <f ca="1"/>
        <v>15.71</v>
      </c>
      <c r="DM98" vm="17320">
        <f ca="1"/>
        <v>16.87</v>
      </c>
      <c r="DN98" vm="17321">
        <f ca="1"/>
        <v>16.96</v>
      </c>
      <c r="DO98" vm="17322">
        <f ca="1"/>
        <v>16.91</v>
      </c>
      <c r="DP98" vm="17323">
        <f ca="1"/>
        <v>16.7</v>
      </c>
      <c r="DQ98" vm="2831">
        <f ca="1"/>
        <v>17.18</v>
      </c>
      <c r="DR98" vm="17324">
        <f ca="1"/>
        <v>16.559999999999999</v>
      </c>
      <c r="DS98" vm="17325">
        <f ca="1"/>
        <v>16.059999999999999</v>
      </c>
      <c r="DT98" vm="17326">
        <f ca="1"/>
        <v>15.95</v>
      </c>
      <c r="DU98" vm="17327">
        <f ca="1"/>
        <v>16.07</v>
      </c>
      <c r="DV98" vm="17328">
        <f ca="1"/>
        <v>16.36</v>
      </c>
      <c r="DW98" vm="17329">
        <f ca="1"/>
        <v>16.98</v>
      </c>
      <c r="DX98" vm="17330">
        <f ca="1"/>
        <v>17.579999999999998</v>
      </c>
      <c r="DY98" vm="17331">
        <f ca="1"/>
        <v>18.079999999999998</v>
      </c>
      <c r="DZ98" vm="17332">
        <f ca="1"/>
        <v>17.66</v>
      </c>
      <c r="EA98" vm="17333">
        <f ca="1"/>
        <v>16.84</v>
      </c>
      <c r="EB98" vm="2399">
        <f ca="1"/>
        <v>16.25</v>
      </c>
      <c r="EC98" vm="17334">
        <f ca="1"/>
        <v>15.85</v>
      </c>
      <c r="ED98" vm="2213">
        <f ca="1"/>
        <v>15.66</v>
      </c>
      <c r="EE98" vm="17335">
        <f ca="1"/>
        <v>16.54</v>
      </c>
      <c r="EF98" vm="2390">
        <f ca="1"/>
        <v>15.28</v>
      </c>
      <c r="EG98" vm="2383">
        <f ca="1"/>
        <v>15.11</v>
      </c>
      <c r="EH98" vm="17336">
        <f ca="1"/>
        <v>15.42</v>
      </c>
      <c r="EI98" vm="17337">
        <f ca="1"/>
        <v>15.25</v>
      </c>
      <c r="EJ98" vm="2383">
        <f ca="1"/>
        <v>15.11</v>
      </c>
      <c r="EK98" vm="17338">
        <f ca="1"/>
        <v>14.83</v>
      </c>
      <c r="EL98" vm="17339">
        <f ca="1"/>
        <v>14.2</v>
      </c>
      <c r="EM98" vm="17340">
        <f ca="1"/>
        <v>14.75</v>
      </c>
      <c r="EN98" vm="17341">
        <f ca="1"/>
        <v>14.92</v>
      </c>
      <c r="EO98" vm="17342">
        <f ca="1"/>
        <v>15.29</v>
      </c>
      <c r="EP98" vm="17343">
        <f ca="1"/>
        <v>15.54</v>
      </c>
      <c r="EQ98" vm="17344">
        <f ca="1"/>
        <v>15.8</v>
      </c>
      <c r="ER98" vm="17297">
        <f ca="1"/>
        <v>15.7</v>
      </c>
      <c r="ES98" vm="17334">
        <f ca="1"/>
        <v>15.85</v>
      </c>
      <c r="ET98" vm="17345">
        <f ca="1"/>
        <v>14.68</v>
      </c>
      <c r="EU98" vm="17346">
        <f ca="1"/>
        <v>14.47</v>
      </c>
      <c r="EV98" vm="17347">
        <f ca="1"/>
        <v>13.71</v>
      </c>
      <c r="EW98" vm="17348">
        <f ca="1"/>
        <v>13.86</v>
      </c>
      <c r="EX98" vm="2207">
        <f ca="1"/>
        <v>13.83</v>
      </c>
      <c r="EY98" vm="17349">
        <f ca="1"/>
        <v>13.67</v>
      </c>
      <c r="EZ98" vm="17350">
        <f ca="1"/>
        <v>13.91</v>
      </c>
      <c r="FA98" vm="17351">
        <f ca="1"/>
        <v>13.35</v>
      </c>
      <c r="FB98" vm="17352">
        <f ca="1"/>
        <v>13.59</v>
      </c>
      <c r="FC98" vm="17353">
        <f ca="1"/>
        <v>13.62</v>
      </c>
      <c r="FD98" vm="17354">
        <f ca="1"/>
        <v>12.96</v>
      </c>
      <c r="FE98" vm="17355">
        <f ca="1"/>
        <v>13.19</v>
      </c>
      <c r="FF98" vm="17356">
        <f ca="1"/>
        <v>13.54</v>
      </c>
      <c r="FG98" vm="17357">
        <f ca="1"/>
        <v>13.53</v>
      </c>
      <c r="FH98" vm="17358">
        <f ca="1"/>
        <v>13.2</v>
      </c>
      <c r="FI98" vm="17359">
        <f ca="1"/>
        <v>13.07</v>
      </c>
      <c r="FJ98" vm="17360">
        <f ca="1"/>
        <v>12.28</v>
      </c>
      <c r="FK98" vm="17361">
        <f ca="1"/>
        <v>12.4</v>
      </c>
      <c r="FL98" vm="17362">
        <f ca="1"/>
        <v>12.51</v>
      </c>
      <c r="FM98" vm="17363">
        <f ca="1"/>
        <v>12.83</v>
      </c>
      <c r="FN98" vm="17364">
        <f ca="1"/>
        <v>12.72</v>
      </c>
      <c r="FO98" vm="17365">
        <f ca="1"/>
        <v>12.16</v>
      </c>
      <c r="FP98" vm="17366">
        <f ca="1"/>
        <v>12.13</v>
      </c>
      <c r="FQ98" vm="17361">
        <f ca="1"/>
        <v>12.4</v>
      </c>
      <c r="FR98" vm="17367">
        <f ca="1"/>
        <v>11.91</v>
      </c>
      <c r="FS98" vm="17368">
        <f ca="1"/>
        <v>11.95</v>
      </c>
      <c r="FT98" vm="17369">
        <f ca="1"/>
        <v>11.97</v>
      </c>
      <c r="FU98" vm="27">
        <f ca="1"/>
        <v>12.19</v>
      </c>
      <c r="FV98" vm="17370">
        <f ca="1"/>
        <v>12.57</v>
      </c>
      <c r="FW98" vm="17363">
        <f ca="1"/>
        <v>12.83</v>
      </c>
      <c r="FX98" vm="17371">
        <f ca="1"/>
        <v>12.78</v>
      </c>
      <c r="FY98" vm="17372">
        <f ca="1"/>
        <v>13.06</v>
      </c>
      <c r="FZ98" vm="17373">
        <f ca="1"/>
        <v>13.1</v>
      </c>
      <c r="GA98" vm="17374">
        <f ca="1"/>
        <v>12.94</v>
      </c>
      <c r="GB98" vm="17375">
        <f ca="1"/>
        <v>13.16</v>
      </c>
      <c r="GC98" vm="17376">
        <f ca="1"/>
        <v>13.26</v>
      </c>
      <c r="GD98" vm="17377">
        <f ca="1"/>
        <v>12.88</v>
      </c>
      <c r="GE98" vm="17378">
        <f ca="1"/>
        <v>12.42</v>
      </c>
      <c r="GF98" vm="17362">
        <f ca="1"/>
        <v>12.51</v>
      </c>
      <c r="GG98" vm="17379">
        <f ca="1"/>
        <v>12.91</v>
      </c>
      <c r="GH98" vm="17380">
        <f ca="1"/>
        <v>13.22</v>
      </c>
      <c r="GI98" vm="17373">
        <f ca="1"/>
        <v>13.1</v>
      </c>
      <c r="GJ98" vm="17381">
        <f ca="1"/>
        <v>12.67</v>
      </c>
      <c r="GK98" vm="17370">
        <f ca="1"/>
        <v>12.57</v>
      </c>
      <c r="GL98" vm="17382">
        <f ca="1"/>
        <v>12.15</v>
      </c>
      <c r="GM98" vm="17383">
        <f ca="1"/>
        <v>12.36</v>
      </c>
      <c r="GN98" vm="17383">
        <f ca="1"/>
        <v>12.36</v>
      </c>
      <c r="GO98" vm="17384">
        <f ca="1"/>
        <v>12.59</v>
      </c>
      <c r="GP98" vm="17385">
        <f ca="1"/>
        <v>12.47</v>
      </c>
      <c r="GQ98" vm="17386">
        <f ca="1"/>
        <v>12.82</v>
      </c>
      <c r="GR98" vm="17359">
        <f ca="1"/>
        <v>13.07</v>
      </c>
      <c r="GS98" vm="17353">
        <f ca="1"/>
        <v>13.62</v>
      </c>
      <c r="GT98" vm="17387">
        <f ca="1"/>
        <v>13.45</v>
      </c>
      <c r="GU98" vm="17388">
        <f ca="1"/>
        <v>13.05</v>
      </c>
      <c r="GV98" vm="17389">
        <f ca="1"/>
        <v>13.3</v>
      </c>
      <c r="GW98" vm="17390">
        <f ca="1"/>
        <v>13.78</v>
      </c>
      <c r="GX98" vm="17373">
        <f ca="1"/>
        <v>13.1</v>
      </c>
      <c r="GY98" vm="17391">
        <f ca="1"/>
        <v>12.74</v>
      </c>
      <c r="GZ98" vm="17392">
        <f ca="1"/>
        <v>12.33</v>
      </c>
      <c r="HA98" vm="17393">
        <f ca="1"/>
        <v>12.18</v>
      </c>
      <c r="HB98" vm="17368">
        <f ca="1"/>
        <v>11.95</v>
      </c>
      <c r="HC98" vm="17394">
        <f ca="1"/>
        <v>11.88</v>
      </c>
      <c r="HD98" vm="17395">
        <f ca="1"/>
        <v>11.58</v>
      </c>
      <c r="HE98" vm="17396">
        <f ca="1"/>
        <v>11.87</v>
      </c>
      <c r="HF98" vm="17397">
        <f ca="1"/>
        <v>12.93</v>
      </c>
      <c r="HG98" vm="17398">
        <f ca="1"/>
        <v>13.15</v>
      </c>
      <c r="HH98" vm="17372">
        <f ca="1"/>
        <v>13.06</v>
      </c>
      <c r="HI98" vm="17397">
        <f ca="1"/>
        <v>12.93</v>
      </c>
      <c r="HJ98" vm="17399">
        <f ca="1"/>
        <v>12.97</v>
      </c>
      <c r="HK98" vm="17400">
        <f ca="1"/>
        <v>12.89</v>
      </c>
      <c r="HL98" vm="17401">
        <f ca="1"/>
        <v>12.34</v>
      </c>
      <c r="HM98" vm="17402">
        <f ca="1"/>
        <v>12.21</v>
      </c>
      <c r="HN98" vm="17386">
        <f ca="1"/>
        <v>12.82</v>
      </c>
      <c r="HO98" vm="17403">
        <f ca="1"/>
        <v>13.25</v>
      </c>
      <c r="HP98" vm="17404">
        <f ca="1"/>
        <v>13.76</v>
      </c>
      <c r="HQ98" vm="17405">
        <f ca="1"/>
        <v>13.93</v>
      </c>
      <c r="HR98" vm="17406">
        <f ca="1"/>
        <v>13.63</v>
      </c>
      <c r="HS98" vm="17407">
        <f ca="1"/>
        <v>14.17</v>
      </c>
      <c r="HT98" vm="17242">
        <f ca="1"/>
        <v>13.95</v>
      </c>
      <c r="HU98" vm="2216">
        <f ca="1"/>
        <v>14.1</v>
      </c>
      <c r="HV98" vm="17408">
        <f ca="1"/>
        <v>14.56</v>
      </c>
      <c r="HW98" vm="2205">
        <f ca="1"/>
        <v>14.65</v>
      </c>
      <c r="HX98" vm="17409">
        <f ca="1"/>
        <v>14.81</v>
      </c>
      <c r="HY98" vm="17408">
        <f ca="1"/>
        <v>14.56</v>
      </c>
      <c r="HZ98" vm="17410">
        <f ca="1"/>
        <v>14.12</v>
      </c>
      <c r="IA98" vm="17411">
        <f ca="1"/>
        <v>14.22</v>
      </c>
      <c r="IB98" vm="2203">
        <f ca="1"/>
        <v>14.7</v>
      </c>
      <c r="IC98" vm="2204">
        <f ca="1"/>
        <v>14.42</v>
      </c>
      <c r="ID98" vm="2205">
        <f ca="1"/>
        <v>14.65</v>
      </c>
      <c r="IE98" vm="2206">
        <f ca="1"/>
        <v>14.41</v>
      </c>
      <c r="IF98" vm="2207">
        <f ca="1"/>
        <v>13.83</v>
      </c>
      <c r="IG98" vm="2208">
        <f ca="1"/>
        <v>14.25</v>
      </c>
      <c r="IH98" vm="2209">
        <f ca="1"/>
        <v>14.73</v>
      </c>
      <c r="II98" vm="2210">
        <f ca="1"/>
        <v>15.21</v>
      </c>
      <c r="IJ98" vm="2211">
        <f ca="1"/>
        <v>14.96</v>
      </c>
      <c r="IK98" vm="2212">
        <f ca="1"/>
        <v>15.47</v>
      </c>
      <c r="IL98" vm="2213">
        <f ca="1"/>
        <v>15.66</v>
      </c>
      <c r="IM98" vm="2214">
        <f ca="1"/>
        <v>16.37</v>
      </c>
      <c r="IN98" vm="2215">
        <f ca="1"/>
        <v>15.07</v>
      </c>
      <c r="IO98" vm="2216">
        <f ca="1"/>
        <v>14.1</v>
      </c>
      <c r="IP98" vm="2217">
        <f ca="1"/>
        <v>14.26</v>
      </c>
      <c r="IQ98" vm="2218">
        <f ca="1"/>
        <v>13.08</v>
      </c>
      <c r="IR98" vm="2219">
        <f ca="1"/>
        <v>12.73</v>
      </c>
      <c r="IS98" vm="2220">
        <f ca="1"/>
        <v>12.46</v>
      </c>
      <c r="IT98" vm="2221">
        <f ca="1"/>
        <v>12.1</v>
      </c>
      <c r="IU98" vm="2222">
        <f ca="1"/>
        <v>12.64</v>
      </c>
      <c r="IV98" vm="2223">
        <f ca="1"/>
        <v>12.03</v>
      </c>
      <c r="IW98" vm="27">
        <f ca="1"/>
        <v>12.19</v>
      </c>
    </row>
    <row r="99" spans="1:259" ht="16" x14ac:dyDescent="0.2">
      <c r="A99" t="e" vm="2224">
        <v>#VALUE!</v>
      </c>
      <c r="B99" s="23" t="str" cm="1">
        <f t="array" aca="1" ref="B99" ca="1">_FV(A99,"ticker symbol",TRUE)</f>
        <v>USO</v>
      </c>
      <c r="C99" s="23" t="str" cm="1">
        <f t="array" aca="1" ref="C99" ca="1">_FV(A99,"Name")</f>
        <v>United States Oil Fund</v>
      </c>
      <c r="D99" cm="1" vm="986">
        <f t="array" aca="1" ref="D99:IW99" ca="1">TRANSPOSE(_xlfn.STOCKHISTORY(B99, WORKDAY(TODAY(), -265), TODAY(), 0, 0, 1))</f>
        <v>73.7</v>
      </c>
      <c r="E99" vm="8886">
        <f ca="1"/>
        <v>73.3</v>
      </c>
      <c r="F99" vm="8887">
        <f ca="1"/>
        <v>72.94</v>
      </c>
      <c r="G99" vm="17412">
        <f ca="1"/>
        <v>72.61</v>
      </c>
      <c r="H99" vm="17413">
        <f ca="1"/>
        <v>73.099999999999994</v>
      </c>
      <c r="I99" vm="907">
        <f ca="1"/>
        <v>73.06</v>
      </c>
      <c r="J99" vm="793">
        <f ca="1"/>
        <v>73.650000000000006</v>
      </c>
      <c r="K99" vm="15670">
        <f ca="1"/>
        <v>73.13</v>
      </c>
      <c r="L99" vm="17414">
        <f ca="1"/>
        <v>73.849999999999994</v>
      </c>
      <c r="M99" vm="3155">
        <f ca="1"/>
        <v>74.819999999999993</v>
      </c>
      <c r="N99" vm="17415">
        <f ca="1"/>
        <v>75.55</v>
      </c>
      <c r="O99" vm="17416">
        <f ca="1"/>
        <v>76.930000000000007</v>
      </c>
      <c r="P99" vm="15619">
        <f ca="1"/>
        <v>77.92</v>
      </c>
      <c r="Q99" vm="8949">
        <f ca="1"/>
        <v>77.3</v>
      </c>
      <c r="R99" vm="7222">
        <f ca="1"/>
        <v>78.17</v>
      </c>
      <c r="S99" vm="8949">
        <f ca="1"/>
        <v>77.3</v>
      </c>
      <c r="T99" vm="6029">
        <f ca="1"/>
        <v>80.64</v>
      </c>
      <c r="U99" vm="15648">
        <f ca="1"/>
        <v>82.23</v>
      </c>
      <c r="V99" vm="5967">
        <f ca="1"/>
        <v>81.67</v>
      </c>
      <c r="W99" vm="6785">
        <f ca="1"/>
        <v>84.34</v>
      </c>
      <c r="X99" vm="13475">
        <f ca="1"/>
        <v>82.94</v>
      </c>
      <c r="Y99" vm="14561">
        <f ca="1"/>
        <v>82.52</v>
      </c>
      <c r="Z99" vm="1437">
        <f ca="1"/>
        <v>81.11</v>
      </c>
      <c r="AA99" vm="6004">
        <f ca="1"/>
        <v>80.430000000000007</v>
      </c>
      <c r="AB99" vm="17417">
        <f ca="1"/>
        <v>79.209999999999994</v>
      </c>
      <c r="AC99" vm="15630">
        <f ca="1"/>
        <v>79.599999999999994</v>
      </c>
      <c r="AD99" vm="17418">
        <f ca="1"/>
        <v>77.930000000000007</v>
      </c>
      <c r="AE99" vm="17419">
        <f ca="1"/>
        <v>78.86</v>
      </c>
      <c r="AF99" vm="14537">
        <f ca="1"/>
        <v>77.78</v>
      </c>
      <c r="AG99" vm="15316">
        <f ca="1"/>
        <v>77.75</v>
      </c>
      <c r="AH99" vm="17420">
        <f ca="1"/>
        <v>78.02</v>
      </c>
      <c r="AI99" vm="17421">
        <f ca="1"/>
        <v>77.819999999999993</v>
      </c>
      <c r="AJ99" vm="5922">
        <f ca="1"/>
        <v>77.510000000000005</v>
      </c>
      <c r="AK99" vm="17422">
        <f ca="1"/>
        <v>76.09</v>
      </c>
      <c r="AL99" vm="17423">
        <f ca="1"/>
        <v>75.45</v>
      </c>
      <c r="AM99" vm="17424">
        <f ca="1"/>
        <v>75.86</v>
      </c>
      <c r="AN99" vm="15898">
        <f ca="1"/>
        <v>77.400000000000006</v>
      </c>
      <c r="AO99" vm="1876">
        <f ca="1"/>
        <v>78.27</v>
      </c>
      <c r="AP99" vm="7231">
        <f ca="1"/>
        <v>76.319999999999993</v>
      </c>
      <c r="AQ99" vm="1915">
        <f ca="1"/>
        <v>76.39</v>
      </c>
      <c r="AR99" vm="17425">
        <f ca="1"/>
        <v>75.819999999999993</v>
      </c>
      <c r="AS99" vm="8933">
        <f ca="1"/>
        <v>76.959999999999994</v>
      </c>
      <c r="AT99" vm="14566">
        <f ca="1"/>
        <v>77.45</v>
      </c>
      <c r="AU99" vm="17426">
        <f ca="1"/>
        <v>77.760000000000005</v>
      </c>
      <c r="AV99" vm="10196">
        <f ca="1"/>
        <v>75.349999999999994</v>
      </c>
      <c r="AW99" vm="7229">
        <f ca="1"/>
        <v>75.97</v>
      </c>
      <c r="AX99" vm="17427">
        <f ca="1"/>
        <v>74.13</v>
      </c>
      <c r="AY99" vm="17414">
        <f ca="1"/>
        <v>73.849999999999994</v>
      </c>
      <c r="AZ99" vm="17428">
        <f ca="1"/>
        <v>75.28</v>
      </c>
      <c r="BA99" vm="10398">
        <f ca="1"/>
        <v>75.22</v>
      </c>
      <c r="BB99" vm="8779">
        <f ca="1"/>
        <v>73.319999999999993</v>
      </c>
      <c r="BC99" vm="17429">
        <f ca="1"/>
        <v>73.31</v>
      </c>
      <c r="BD99" vm="8879">
        <f ca="1"/>
        <v>71.42</v>
      </c>
      <c r="BE99" vm="15246">
        <f ca="1"/>
        <v>71.13</v>
      </c>
      <c r="BF99" vm="9763">
        <f ca="1"/>
        <v>72.09</v>
      </c>
      <c r="BG99" vm="15811">
        <f ca="1"/>
        <v>70.89</v>
      </c>
      <c r="BH99" vm="1815">
        <f ca="1"/>
        <v>71.45</v>
      </c>
      <c r="BI99" vm="15749">
        <f ca="1"/>
        <v>72.8</v>
      </c>
      <c r="BJ99" vm="17430">
        <f ca="1"/>
        <v>71.62</v>
      </c>
      <c r="BK99" vm="909">
        <f ca="1"/>
        <v>72.28</v>
      </c>
      <c r="BL99" vm="17431">
        <f ca="1"/>
        <v>72.709999999999994</v>
      </c>
      <c r="BM99" vm="9748">
        <f ca="1"/>
        <v>72.209999999999994</v>
      </c>
      <c r="BN99" vm="1554">
        <f ca="1"/>
        <v>72.42</v>
      </c>
      <c r="BO99" vm="17432">
        <f ca="1"/>
        <v>73.73</v>
      </c>
      <c r="BP99" vm="15748">
        <f ca="1"/>
        <v>73.790000000000006</v>
      </c>
      <c r="BQ99" vm="774">
        <f ca="1"/>
        <v>74.88</v>
      </c>
      <c r="BR99" vm="3155">
        <f ca="1"/>
        <v>74.819999999999993</v>
      </c>
      <c r="BS99" vm="8950">
        <f ca="1"/>
        <v>75.42</v>
      </c>
      <c r="BT99" vm="8943">
        <f ca="1"/>
        <v>75.48</v>
      </c>
      <c r="BU99" vm="17433">
        <f ca="1"/>
        <v>74.77</v>
      </c>
      <c r="BV99" vm="17434">
        <f ca="1"/>
        <v>77.33</v>
      </c>
      <c r="BW99" vm="7186">
        <f ca="1"/>
        <v>77.08</v>
      </c>
      <c r="BX99" vm="14539">
        <f ca="1"/>
        <v>77.739999999999995</v>
      </c>
      <c r="BY99" vm="765">
        <f ca="1"/>
        <v>72.25</v>
      </c>
      <c r="BZ99" vm="10334">
        <f ca="1"/>
        <v>67.92</v>
      </c>
      <c r="CA99" vm="11421">
        <f ca="1"/>
        <v>65.98</v>
      </c>
      <c r="CB99" vm="11398">
        <f ca="1"/>
        <v>63.34</v>
      </c>
      <c r="CC99" vm="13185">
        <f ca="1"/>
        <v>67.58</v>
      </c>
      <c r="CD99" vm="1160">
        <f ca="1"/>
        <v>65.319999999999993</v>
      </c>
      <c r="CE99" vm="2476">
        <f ca="1"/>
        <v>66.459999999999994</v>
      </c>
      <c r="CF99" vm="13834">
        <f ca="1"/>
        <v>66.66</v>
      </c>
      <c r="CG99" vm="10247">
        <f ca="1"/>
        <v>66.48</v>
      </c>
      <c r="CH99" vm="2782">
        <f ca="1"/>
        <v>67.75</v>
      </c>
      <c r="CI99" vm="3083">
        <f ca="1"/>
        <v>69.48</v>
      </c>
      <c r="CJ99" vm="15667">
        <f ca="1"/>
        <v>68.62</v>
      </c>
      <c r="CK99" vm="13892">
        <f ca="1"/>
        <v>69.37</v>
      </c>
      <c r="CL99" vm="17435">
        <f ca="1"/>
        <v>68.05</v>
      </c>
      <c r="CM99" vm="2784">
        <f ca="1"/>
        <v>68.459999999999994</v>
      </c>
      <c r="CN99" vm="10338">
        <f ca="1"/>
        <v>69.03</v>
      </c>
      <c r="CO99" vm="9738">
        <f ca="1"/>
        <v>67.760000000000005</v>
      </c>
      <c r="CP99" vm="11423">
        <f ca="1"/>
        <v>65.849999999999994</v>
      </c>
      <c r="CQ99" vm="13866">
        <f ca="1"/>
        <v>63.56</v>
      </c>
      <c r="CR99" vm="11443">
        <f ca="1"/>
        <v>64.52</v>
      </c>
      <c r="CS99" vm="15834">
        <f ca="1"/>
        <v>64.010000000000005</v>
      </c>
      <c r="CT99" vm="13865">
        <f ca="1"/>
        <v>62.37</v>
      </c>
      <c r="CU99" vm="17436">
        <f ca="1"/>
        <v>64.599999999999994</v>
      </c>
      <c r="CV99" vm="9663">
        <f ca="1"/>
        <v>63.51</v>
      </c>
      <c r="CW99" vm="8723">
        <f ca="1"/>
        <v>65.599999999999994</v>
      </c>
      <c r="CX99" vm="10330">
        <f ca="1"/>
        <v>66.61</v>
      </c>
      <c r="CY99" vm="107">
        <f ca="1"/>
        <v>67.599999999999994</v>
      </c>
      <c r="CZ99" vm="15215">
        <f ca="1"/>
        <v>69.59</v>
      </c>
      <c r="DA99" vm="15305">
        <f ca="1"/>
        <v>68.73</v>
      </c>
      <c r="DB99" vm="13857">
        <f ca="1"/>
        <v>67.59</v>
      </c>
      <c r="DC99" vm="15814">
        <f ca="1"/>
        <v>68.099999999999994</v>
      </c>
      <c r="DD99" vm="8873">
        <f ca="1"/>
        <v>68.510000000000005</v>
      </c>
      <c r="DE99" vm="15740">
        <f ca="1"/>
        <v>68.66</v>
      </c>
      <c r="DF99" vm="13857">
        <f ca="1"/>
        <v>67.59</v>
      </c>
      <c r="DG99" vm="17437">
        <f ca="1"/>
        <v>67.14</v>
      </c>
      <c r="DH99" vm="17438">
        <f ca="1"/>
        <v>67.989999999999995</v>
      </c>
      <c r="DI99" vm="2483">
        <f ca="1"/>
        <v>67.28</v>
      </c>
      <c r="DJ99" vm="2241">
        <f ca="1"/>
        <v>67.89</v>
      </c>
      <c r="DK99" vm="2244">
        <f ca="1"/>
        <v>67.19</v>
      </c>
      <c r="DL99" vm="11411">
        <f ca="1"/>
        <v>67.150000000000006</v>
      </c>
      <c r="DM99" vm="17439">
        <f ca="1"/>
        <v>69.55</v>
      </c>
      <c r="DN99" vm="10168">
        <f ca="1"/>
        <v>69.89</v>
      </c>
      <c r="DO99" vm="13841">
        <f ca="1"/>
        <v>69.34</v>
      </c>
      <c r="DP99" vm="13838">
        <f ca="1"/>
        <v>69.930000000000007</v>
      </c>
      <c r="DQ99" vm="8770">
        <f ca="1"/>
        <v>71.38</v>
      </c>
      <c r="DR99" vm="15266">
        <f ca="1"/>
        <v>72.05</v>
      </c>
      <c r="DS99" vm="15576">
        <f ca="1"/>
        <v>71.599999999999994</v>
      </c>
      <c r="DT99" vm="3155">
        <f ca="1"/>
        <v>74.819999999999993</v>
      </c>
      <c r="DU99" vm="17440">
        <f ca="1"/>
        <v>75.05</v>
      </c>
      <c r="DV99" vm="17441">
        <f ca="1"/>
        <v>80.22</v>
      </c>
      <c r="DW99" vm="17442">
        <f ca="1"/>
        <v>78.59</v>
      </c>
      <c r="DX99" vm="13538">
        <f ca="1"/>
        <v>82.3</v>
      </c>
      <c r="DY99" vm="13010">
        <f ca="1"/>
        <v>82.27</v>
      </c>
      <c r="DZ99" vm="14559">
        <f ca="1"/>
        <v>83.12</v>
      </c>
      <c r="EA99" vm="17443">
        <f ca="1"/>
        <v>76.41</v>
      </c>
      <c r="EB99" vm="17444">
        <f ca="1"/>
        <v>73</v>
      </c>
      <c r="EC99" vm="17429">
        <f ca="1"/>
        <v>73.31</v>
      </c>
      <c r="ED99" vm="1005">
        <f ca="1"/>
        <v>73.59</v>
      </c>
      <c r="EE99" vm="15293">
        <f ca="1"/>
        <v>73.28</v>
      </c>
      <c r="EF99" vm="8891">
        <f ca="1"/>
        <v>73.11</v>
      </c>
      <c r="EG99" vm="17445">
        <f ca="1"/>
        <v>73.930000000000007</v>
      </c>
      <c r="EH99" vm="8930">
        <f ca="1"/>
        <v>75.59</v>
      </c>
      <c r="EI99" vm="8795">
        <f ca="1"/>
        <v>75.19</v>
      </c>
      <c r="EJ99" vm="7181">
        <f ca="1"/>
        <v>76.48</v>
      </c>
      <c r="EK99" vm="8933">
        <f ca="1"/>
        <v>76.959999999999994</v>
      </c>
      <c r="EL99" vm="17416">
        <f ca="1"/>
        <v>76.930000000000007</v>
      </c>
      <c r="EM99" vm="1821">
        <f ca="1"/>
        <v>75.39</v>
      </c>
      <c r="EN99" vm="7214">
        <f ca="1"/>
        <v>77.290000000000006</v>
      </c>
      <c r="EO99" vm="15608">
        <f ca="1"/>
        <v>75.62</v>
      </c>
      <c r="EP99" vm="17446">
        <f ca="1"/>
        <v>75.260000000000005</v>
      </c>
      <c r="EQ99" vm="8795">
        <f ca="1"/>
        <v>75.19</v>
      </c>
      <c r="ER99" vm="15754">
        <f ca="1"/>
        <v>76.16</v>
      </c>
      <c r="ES99" vm="7234">
        <f ca="1"/>
        <v>75.930000000000007</v>
      </c>
      <c r="ET99" vm="8930">
        <f ca="1"/>
        <v>75.59</v>
      </c>
      <c r="EU99" vm="10196">
        <f ca="1"/>
        <v>75.349999999999994</v>
      </c>
      <c r="EV99" vm="17428">
        <f ca="1"/>
        <v>75.28</v>
      </c>
      <c r="EW99" vm="17422">
        <f ca="1"/>
        <v>76.09</v>
      </c>
      <c r="EX99" vm="17447">
        <f ca="1"/>
        <v>74.849999999999994</v>
      </c>
      <c r="EY99" vm="7216">
        <f ca="1"/>
        <v>77.17</v>
      </c>
      <c r="EZ99" vm="7212">
        <f ca="1"/>
        <v>79.8</v>
      </c>
      <c r="FA99" vm="17448">
        <f ca="1"/>
        <v>81.040000000000006</v>
      </c>
      <c r="FB99" vm="10139">
        <f ca="1"/>
        <v>79.59</v>
      </c>
      <c r="FC99" vm="6041">
        <f ca="1"/>
        <v>77.459999999999994</v>
      </c>
      <c r="FD99" vm="8938">
        <f ca="1"/>
        <v>76.11</v>
      </c>
      <c r="FE99" vm="1831">
        <f ca="1"/>
        <v>75.02</v>
      </c>
      <c r="FF99" vm="15748">
        <f ca="1"/>
        <v>73.790000000000006</v>
      </c>
      <c r="FG99" vm="17449">
        <f ca="1"/>
        <v>73.42</v>
      </c>
      <c r="FH99" vm="8886">
        <f ca="1"/>
        <v>73.3</v>
      </c>
      <c r="FI99" vm="15575">
        <f ca="1"/>
        <v>73.8</v>
      </c>
      <c r="FJ99" vm="15592">
        <f ca="1"/>
        <v>72.95</v>
      </c>
      <c r="FK99" vm="804">
        <f ca="1"/>
        <v>72.459999999999994</v>
      </c>
      <c r="FL99" vm="17450">
        <f ca="1"/>
        <v>73.739999999999995</v>
      </c>
      <c r="FM99" vm="15749">
        <f ca="1"/>
        <v>72.8</v>
      </c>
      <c r="FN99" vm="17451">
        <f ca="1"/>
        <v>73.17</v>
      </c>
      <c r="FO99" vm="8915">
        <f ca="1"/>
        <v>72.3</v>
      </c>
      <c r="FP99" vm="8896">
        <f ca="1"/>
        <v>73.52</v>
      </c>
      <c r="FQ99" vm="17427">
        <f ca="1"/>
        <v>74.13</v>
      </c>
      <c r="FR99" vm="15672">
        <f ca="1"/>
        <v>74.64</v>
      </c>
      <c r="FS99" vm="17452">
        <f ca="1"/>
        <v>75.75</v>
      </c>
      <c r="FT99" vm="8902">
        <f ca="1"/>
        <v>74.05</v>
      </c>
      <c r="FU99" vm="10189">
        <f ca="1"/>
        <v>74.680000000000007</v>
      </c>
      <c r="FV99" vm="8932">
        <f ca="1"/>
        <v>75.239999999999995</v>
      </c>
      <c r="FW99" vm="17453">
        <f ca="1"/>
        <v>74.84</v>
      </c>
      <c r="FX99" vm="17454">
        <f ca="1"/>
        <v>76.760000000000005</v>
      </c>
      <c r="FY99" vm="17455">
        <f ca="1"/>
        <v>74.83</v>
      </c>
      <c r="FZ99" vm="17456">
        <f ca="1"/>
        <v>74.180000000000007</v>
      </c>
      <c r="GA99" vm="15671">
        <f ca="1"/>
        <v>72.63</v>
      </c>
      <c r="GB99" vm="1542">
        <f ca="1"/>
        <v>73.040000000000006</v>
      </c>
      <c r="GC99" vm="7227">
        <f ca="1"/>
        <v>73.39</v>
      </c>
      <c r="GD99" vm="797">
        <f ca="1"/>
        <v>74.709999999999994</v>
      </c>
      <c r="GE99" vm="17444">
        <f ca="1"/>
        <v>73</v>
      </c>
      <c r="GF99" vm="17429">
        <f ca="1"/>
        <v>73.31</v>
      </c>
      <c r="GG99" vm="3151">
        <f ca="1"/>
        <v>74.23</v>
      </c>
      <c r="GH99" vm="17457">
        <f ca="1"/>
        <v>75.67</v>
      </c>
      <c r="GI99" vm="8898">
        <f ca="1"/>
        <v>74.97</v>
      </c>
      <c r="GJ99" vm="1545">
        <f ca="1"/>
        <v>74.69</v>
      </c>
      <c r="GK99" vm="8896">
        <f ca="1"/>
        <v>73.52</v>
      </c>
      <c r="GL99" vm="17458">
        <f ca="1"/>
        <v>73.45</v>
      </c>
      <c r="GM99" vm="17440">
        <f ca="1"/>
        <v>75.05</v>
      </c>
      <c r="GN99" vm="1915">
        <f ca="1"/>
        <v>76.39</v>
      </c>
      <c r="GO99" vm="10385">
        <f ca="1"/>
        <v>76.989999999999995</v>
      </c>
      <c r="GP99" vm="7176">
        <f ca="1"/>
        <v>77.02</v>
      </c>
      <c r="GQ99" vm="8899">
        <f ca="1"/>
        <v>74.59</v>
      </c>
      <c r="GR99" vm="17459">
        <f ca="1"/>
        <v>73.75</v>
      </c>
      <c r="GS99" vm="8923">
        <f ca="1"/>
        <v>73.14</v>
      </c>
      <c r="GT99" vm="8767">
        <f ca="1"/>
        <v>71.540000000000006</v>
      </c>
      <c r="GU99" vm="15265">
        <f ca="1"/>
        <v>71.709999999999994</v>
      </c>
      <c r="GV99" vm="17460">
        <f ca="1"/>
        <v>72.87</v>
      </c>
      <c r="GW99" vm="17461">
        <f ca="1"/>
        <v>73.2</v>
      </c>
      <c r="GX99" vm="17462">
        <f ca="1"/>
        <v>73.53</v>
      </c>
      <c r="GY99" vm="15888">
        <f ca="1"/>
        <v>72.510000000000005</v>
      </c>
      <c r="GZ99" vm="17463">
        <f ca="1"/>
        <v>69.39</v>
      </c>
      <c r="HA99" vm="9742">
        <f ca="1"/>
        <v>70.28</v>
      </c>
      <c r="HB99" vm="10176">
        <f ca="1"/>
        <v>69</v>
      </c>
      <c r="HC99" vm="15860">
        <f ca="1"/>
        <v>68.989999999999995</v>
      </c>
      <c r="HD99" vm="8753">
        <f ca="1"/>
        <v>67.81</v>
      </c>
      <c r="HE99" vm="2243">
        <f ca="1"/>
        <v>67.98</v>
      </c>
      <c r="HF99" vm="2935">
        <f ca="1"/>
        <v>67.83</v>
      </c>
      <c r="HG99" vm="17464">
        <f ca="1"/>
        <v>68.27</v>
      </c>
      <c r="HH99" vm="17465">
        <f ca="1"/>
        <v>70.63</v>
      </c>
      <c r="HI99" vm="8888">
        <f ca="1"/>
        <v>73.290000000000006</v>
      </c>
      <c r="HJ99" vm="1553">
        <f ca="1"/>
        <v>73.180000000000007</v>
      </c>
      <c r="HK99" vm="38">
        <f ca="1"/>
        <v>73.12</v>
      </c>
      <c r="HL99" vm="2235">
        <f ca="1"/>
        <v>71.39</v>
      </c>
      <c r="HM99" vm="899">
        <f ca="1"/>
        <v>71.8</v>
      </c>
      <c r="HN99" vm="15265">
        <f ca="1"/>
        <v>71.709999999999994</v>
      </c>
      <c r="HO99" vm="15214">
        <f ca="1"/>
        <v>72.56</v>
      </c>
      <c r="HP99" vm="17466">
        <f ca="1"/>
        <v>72.739999999999995</v>
      </c>
      <c r="HQ99" vm="13208">
        <f ca="1"/>
        <v>71.930000000000007</v>
      </c>
      <c r="HR99" vm="3099">
        <f ca="1"/>
        <v>71.03</v>
      </c>
      <c r="HS99" vm="2225">
        <f ca="1"/>
        <v>70.88</v>
      </c>
      <c r="HT99" vm="17467">
        <f ca="1"/>
        <v>71.260000000000005</v>
      </c>
      <c r="HU99" vm="17468">
        <f ca="1"/>
        <v>71.680000000000007</v>
      </c>
      <c r="HV99" vm="15267">
        <f ca="1"/>
        <v>72.72</v>
      </c>
      <c r="HW99" vm="9758">
        <f ca="1"/>
        <v>69.790000000000006</v>
      </c>
      <c r="HX99" vm="10341">
        <f ca="1"/>
        <v>69.849999999999994</v>
      </c>
      <c r="HY99" vm="8770">
        <f ca="1"/>
        <v>71.38</v>
      </c>
      <c r="HZ99" vm="9752">
        <f ca="1"/>
        <v>71.3</v>
      </c>
      <c r="IA99" vm="912">
        <f ca="1"/>
        <v>72.5</v>
      </c>
      <c r="IB99" vm="2225">
        <f ca="1"/>
        <v>70.88</v>
      </c>
      <c r="IC99" vm="2226">
        <f ca="1"/>
        <v>70.150000000000006</v>
      </c>
      <c r="ID99" vm="2227">
        <f ca="1"/>
        <v>69.3</v>
      </c>
      <c r="IE99" vm="2228">
        <f ca="1"/>
        <v>70.42</v>
      </c>
      <c r="IF99" vm="2229">
        <f ca="1"/>
        <v>69.25</v>
      </c>
      <c r="IG99" vm="2230">
        <f ca="1"/>
        <v>70.040000000000006</v>
      </c>
      <c r="IH99" vm="2231">
        <f ca="1"/>
        <v>71.069999999999993</v>
      </c>
      <c r="II99" vm="2232">
        <f ca="1"/>
        <v>71.06</v>
      </c>
      <c r="IJ99" vm="2233">
        <f ca="1"/>
        <v>70.2</v>
      </c>
      <c r="IK99" vm="2234">
        <f ca="1"/>
        <v>70.66</v>
      </c>
      <c r="IL99" vm="2235">
        <f ca="1"/>
        <v>71.39</v>
      </c>
      <c r="IM99" vm="2236">
        <f ca="1"/>
        <v>71.92</v>
      </c>
      <c r="IN99" vm="2237">
        <f ca="1"/>
        <v>70.489999999999995</v>
      </c>
      <c r="IO99" vm="2238">
        <f ca="1"/>
        <v>69.86</v>
      </c>
      <c r="IP99" vm="2239">
        <f ca="1"/>
        <v>70.540000000000006</v>
      </c>
      <c r="IQ99" vm="2229">
        <f ca="1"/>
        <v>69.25</v>
      </c>
      <c r="IR99" vm="2240">
        <f ca="1"/>
        <v>68.81</v>
      </c>
      <c r="IS99" vm="2241">
        <f ca="1"/>
        <v>67.89</v>
      </c>
      <c r="IT99" vm="2242">
        <f ca="1"/>
        <v>66.17</v>
      </c>
      <c r="IU99" vm="2243">
        <f ca="1"/>
        <v>67.98</v>
      </c>
      <c r="IV99" vm="2244">
        <f ca="1"/>
        <v>67.19</v>
      </c>
      <c r="IW99" vm="29">
        <f ca="1"/>
        <v>68.03</v>
      </c>
    </row>
    <row r="100" spans="1:259" ht="16" x14ac:dyDescent="0.2">
      <c r="A100" t="e" vm="2245">
        <v>#VALUE!</v>
      </c>
      <c r="B100" s="23" t="str" cm="1">
        <f t="array" aca="1" ref="B100" ca="1">_FV(A100,"ticker symbol",TRUE)</f>
        <v>DBA</v>
      </c>
      <c r="C100" s="23" t="str" cm="1">
        <f t="array" aca="1" ref="C100" ca="1">_FV(A100,"Name")</f>
        <v>Invesco DB MS Agri</v>
      </c>
      <c r="D100" cm="1" vm="17469">
        <f t="array" aca="1" ref="D100:IW100" ca="1">TRANSPOSE(_xlfn.STOCKHISTORY(B100, WORKDAY(TODAY(), -265), TODAY(), 0, 0, 1))</f>
        <v>27.76</v>
      </c>
      <c r="E100" vm="17470">
        <f ca="1"/>
        <v>27.71</v>
      </c>
      <c r="F100" vm="17471">
        <f ca="1"/>
        <v>27.83</v>
      </c>
      <c r="G100" vm="17175">
        <f ca="1"/>
        <v>27.33</v>
      </c>
      <c r="H100" vm="17472">
        <f ca="1"/>
        <v>27.6</v>
      </c>
      <c r="I100" vm="17473">
        <f ca="1"/>
        <v>26.39</v>
      </c>
      <c r="J100" vm="16426">
        <f ca="1"/>
        <v>26.53</v>
      </c>
      <c r="K100" vm="2258">
        <f ca="1"/>
        <v>26.25</v>
      </c>
      <c r="L100" vm="2248">
        <f ca="1"/>
        <v>25.85</v>
      </c>
      <c r="M100" vm="17474">
        <f ca="1"/>
        <v>26.27</v>
      </c>
      <c r="N100" vm="2874">
        <f ca="1"/>
        <v>26.59</v>
      </c>
      <c r="O100" vm="9030">
        <f ca="1"/>
        <v>26.62</v>
      </c>
      <c r="P100" vm="2255">
        <f ca="1"/>
        <v>26.49</v>
      </c>
      <c r="Q100" vm="2870">
        <f ca="1"/>
        <v>26.43</v>
      </c>
      <c r="R100" vm="1458">
        <f ca="1"/>
        <v>26.5</v>
      </c>
      <c r="S100" vm="17475">
        <f ca="1"/>
        <v>26.36</v>
      </c>
      <c r="T100" vm="2801">
        <f ca="1"/>
        <v>26.45</v>
      </c>
      <c r="U100" vm="17476">
        <f ca="1"/>
        <v>26.75</v>
      </c>
      <c r="V100" vm="17477">
        <f ca="1"/>
        <v>26.66</v>
      </c>
      <c r="W100" vm="2873">
        <f ca="1"/>
        <v>26.73</v>
      </c>
      <c r="X100" vm="2257">
        <f ca="1"/>
        <v>26.34</v>
      </c>
      <c r="Y100" vm="2871">
        <f ca="1"/>
        <v>26.6</v>
      </c>
      <c r="Z100" vm="13935">
        <f ca="1"/>
        <v>26.92</v>
      </c>
      <c r="AA100" vm="17478">
        <f ca="1"/>
        <v>27.22</v>
      </c>
      <c r="AB100" vm="13934">
        <f ca="1"/>
        <v>27.26</v>
      </c>
      <c r="AC100" vm="17479">
        <f ca="1"/>
        <v>27.36</v>
      </c>
      <c r="AD100" vm="10598">
        <f ca="1"/>
        <v>27.32</v>
      </c>
      <c r="AE100" vm="17480">
        <f ca="1"/>
        <v>27.56</v>
      </c>
      <c r="AF100" vm="17481">
        <f ca="1"/>
        <v>27.92</v>
      </c>
      <c r="AG100" vm="17482">
        <f ca="1"/>
        <v>27.72</v>
      </c>
      <c r="AH100" vm="17472">
        <f ca="1"/>
        <v>27.6</v>
      </c>
      <c r="AI100" vm="17483">
        <f ca="1"/>
        <v>27.64</v>
      </c>
      <c r="AJ100" vm="2898">
        <f ca="1"/>
        <v>27.73</v>
      </c>
      <c r="AK100" vm="17484">
        <f ca="1"/>
        <v>27.87</v>
      </c>
      <c r="AL100" vm="16428">
        <f ca="1"/>
        <v>27.68</v>
      </c>
      <c r="AM100" vm="17485">
        <f ca="1"/>
        <v>27.57</v>
      </c>
      <c r="AN100" vm="2886">
        <f ca="1"/>
        <v>27.89</v>
      </c>
      <c r="AO100" vm="2886">
        <f ca="1"/>
        <v>27.89</v>
      </c>
      <c r="AP100" vm="17486">
        <f ca="1"/>
        <v>27.97</v>
      </c>
      <c r="AQ100" vm="2972">
        <f ca="1"/>
        <v>28.19</v>
      </c>
      <c r="AR100" vm="17487">
        <f ca="1"/>
        <v>28.17</v>
      </c>
      <c r="AS100" vm="17488">
        <f ca="1"/>
        <v>28.38</v>
      </c>
      <c r="AT100" vm="2883">
        <f ca="1"/>
        <v>28.22</v>
      </c>
      <c r="AU100" vm="17481">
        <f ca="1"/>
        <v>27.92</v>
      </c>
      <c r="AV100" vm="1448">
        <f ca="1"/>
        <v>27.55</v>
      </c>
      <c r="AW100" vm="17489">
        <f ca="1"/>
        <v>27.03</v>
      </c>
      <c r="AX100" vm="17490">
        <f ca="1"/>
        <v>27.06</v>
      </c>
      <c r="AY100" vm="17491">
        <f ca="1"/>
        <v>27.12</v>
      </c>
      <c r="AZ100" vm="17492">
        <f ca="1"/>
        <v>26.81</v>
      </c>
      <c r="BA100" vm="2255">
        <f ca="1"/>
        <v>26.49</v>
      </c>
      <c r="BB100" vm="2868">
        <f ca="1"/>
        <v>26.05</v>
      </c>
      <c r="BC100" vm="17493">
        <f ca="1"/>
        <v>26.19</v>
      </c>
      <c r="BD100" vm="17473">
        <f ca="1"/>
        <v>26.39</v>
      </c>
      <c r="BE100" vm="2251">
        <f ca="1"/>
        <v>26.29</v>
      </c>
      <c r="BF100" vm="1458">
        <f ca="1"/>
        <v>26.5</v>
      </c>
      <c r="BG100" vm="17494">
        <f ca="1"/>
        <v>26.63</v>
      </c>
      <c r="BH100" vm="2256">
        <f ca="1"/>
        <v>26.64</v>
      </c>
      <c r="BI100" vm="17495">
        <f ca="1"/>
        <v>26.58</v>
      </c>
      <c r="BJ100" vm="9030">
        <f ca="1"/>
        <v>26.62</v>
      </c>
      <c r="BK100" vm="100">
        <f ca="1"/>
        <v>26.46</v>
      </c>
      <c r="BL100" vm="17496">
        <f ca="1"/>
        <v>26.86</v>
      </c>
      <c r="BM100" vm="17496">
        <f ca="1"/>
        <v>26.86</v>
      </c>
      <c r="BN100" vm="17171">
        <f ca="1"/>
        <v>26.85</v>
      </c>
      <c r="BO100" vm="17497">
        <f ca="1"/>
        <v>26.9</v>
      </c>
      <c r="BP100" vm="17498">
        <f ca="1"/>
        <v>26.74</v>
      </c>
      <c r="BQ100" vm="1455">
        <f ca="1"/>
        <v>26.68</v>
      </c>
      <c r="BR100" vm="1445">
        <f ca="1"/>
        <v>26.77</v>
      </c>
      <c r="BS100" vm="17499">
        <f ca="1"/>
        <v>26.57</v>
      </c>
      <c r="BT100" vm="2870">
        <f ca="1"/>
        <v>26.43</v>
      </c>
      <c r="BU100" vm="2869">
        <f ca="1"/>
        <v>26.47</v>
      </c>
      <c r="BV100" vm="2257">
        <f ca="1"/>
        <v>26.34</v>
      </c>
      <c r="BW100" vm="101">
        <f ca="1"/>
        <v>26.93</v>
      </c>
      <c r="BX100" vm="10597">
        <f ca="1"/>
        <v>27.18</v>
      </c>
      <c r="BY100" vm="2878">
        <f ca="1"/>
        <v>26.98</v>
      </c>
      <c r="BZ100" vm="91">
        <f ca="1"/>
        <v>26.14</v>
      </c>
      <c r="CA100" vm="16399">
        <f ca="1"/>
        <v>25.47</v>
      </c>
      <c r="CB100" vm="16381">
        <f ca="1"/>
        <v>25.27</v>
      </c>
      <c r="CC100" vm="16398">
        <f ca="1"/>
        <v>26.02</v>
      </c>
      <c r="CD100" vm="17500">
        <f ca="1"/>
        <v>25.76</v>
      </c>
      <c r="CE100" vm="1454">
        <f ca="1"/>
        <v>26.31</v>
      </c>
      <c r="CF100" vm="2800">
        <f ca="1"/>
        <v>26.28</v>
      </c>
      <c r="CG100" vm="91">
        <f ca="1"/>
        <v>26.14</v>
      </c>
      <c r="CH100" vm="2253">
        <f ca="1"/>
        <v>26.52</v>
      </c>
      <c r="CI100" vm="2863">
        <f ca="1"/>
        <v>26.65</v>
      </c>
      <c r="CJ100" vm="17494">
        <f ca="1"/>
        <v>26.63</v>
      </c>
      <c r="CK100" vm="2878">
        <f ca="1"/>
        <v>26.98</v>
      </c>
      <c r="CL100" vm="17501">
        <f ca="1"/>
        <v>26.97</v>
      </c>
      <c r="CM100" vm="1446">
        <f ca="1"/>
        <v>27.25</v>
      </c>
      <c r="CN100" vm="2894">
        <f ca="1"/>
        <v>27.48</v>
      </c>
      <c r="CO100" vm="17502">
        <f ca="1"/>
        <v>27.29</v>
      </c>
      <c r="CP100" vm="2878">
        <f ca="1"/>
        <v>26.98</v>
      </c>
      <c r="CQ100" vm="17492">
        <f ca="1"/>
        <v>26.81</v>
      </c>
      <c r="CR100" vm="9030">
        <f ca="1"/>
        <v>26.62</v>
      </c>
      <c r="CS100" vm="17496">
        <f ca="1"/>
        <v>26.86</v>
      </c>
      <c r="CT100" vm="2900">
        <f ca="1"/>
        <v>26.71</v>
      </c>
      <c r="CU100" vm="2881">
        <f ca="1"/>
        <v>26.88</v>
      </c>
      <c r="CV100" vm="2877">
        <f ca="1"/>
        <v>26.87</v>
      </c>
      <c r="CW100" vm="17503">
        <f ca="1"/>
        <v>26.91</v>
      </c>
      <c r="CX100" vm="17173">
        <f ca="1"/>
        <v>27.02</v>
      </c>
      <c r="CY100" vm="17172">
        <f ca="1"/>
        <v>26.99</v>
      </c>
      <c r="CZ100" vm="17504">
        <f ca="1"/>
        <v>27.38</v>
      </c>
      <c r="DA100" vm="17505">
        <f ca="1"/>
        <v>27.23</v>
      </c>
      <c r="DB100" vm="17176">
        <f ca="1"/>
        <v>27.4</v>
      </c>
      <c r="DC100" vm="13937">
        <f ca="1"/>
        <v>27.34</v>
      </c>
      <c r="DD100" vm="2884">
        <f ca="1"/>
        <v>27.58</v>
      </c>
      <c r="DE100" vm="17506">
        <f ca="1"/>
        <v>27.65</v>
      </c>
      <c r="DF100" vm="16428">
        <f ca="1"/>
        <v>27.68</v>
      </c>
      <c r="DG100" vm="17176">
        <f ca="1"/>
        <v>27.4</v>
      </c>
      <c r="DH100" vm="17174">
        <f ca="1"/>
        <v>27.14</v>
      </c>
      <c r="DI100" vm="1452">
        <f ca="1"/>
        <v>27.01</v>
      </c>
      <c r="DJ100" vm="10594">
        <f ca="1"/>
        <v>26.72</v>
      </c>
      <c r="DK100" vm="17499">
        <f ca="1"/>
        <v>26.57</v>
      </c>
      <c r="DL100" vm="17507">
        <f ca="1"/>
        <v>26.7</v>
      </c>
      <c r="DM100" vm="17494">
        <f ca="1"/>
        <v>26.63</v>
      </c>
      <c r="DN100" vm="17507">
        <f ca="1"/>
        <v>26.7</v>
      </c>
      <c r="DO100" vm="17497">
        <f ca="1"/>
        <v>26.9</v>
      </c>
      <c r="DP100" vm="13934">
        <f ca="1"/>
        <v>27.26</v>
      </c>
      <c r="DQ100" vm="2894">
        <f ca="1"/>
        <v>27.48</v>
      </c>
      <c r="DR100" vm="17508">
        <f ca="1"/>
        <v>27.39</v>
      </c>
      <c r="DS100" vm="17509">
        <f ca="1"/>
        <v>27.07</v>
      </c>
      <c r="DT100" vm="17510">
        <f ca="1"/>
        <v>27.05</v>
      </c>
      <c r="DU100" vm="1452">
        <f ca="1"/>
        <v>27.01</v>
      </c>
      <c r="DV100" vm="17178">
        <f ca="1"/>
        <v>26.96</v>
      </c>
      <c r="DW100" vm="17511">
        <f ca="1"/>
        <v>27.17</v>
      </c>
      <c r="DX100" vm="17512">
        <f ca="1"/>
        <v>26.89</v>
      </c>
      <c r="DY100" vm="1451">
        <f ca="1"/>
        <v>26.78</v>
      </c>
      <c r="DZ100" vm="1457">
        <f ca="1"/>
        <v>26.41</v>
      </c>
      <c r="EA100" vm="2797">
        <f ca="1"/>
        <v>26.48</v>
      </c>
      <c r="EB100" vm="2251">
        <f ca="1"/>
        <v>26.29</v>
      </c>
      <c r="EC100" vm="13383">
        <f ca="1"/>
        <v>26.08</v>
      </c>
      <c r="ED100" vm="91">
        <f ca="1"/>
        <v>26.14</v>
      </c>
      <c r="EE100" vm="2867">
        <f ca="1"/>
        <v>26.33</v>
      </c>
      <c r="EF100" vm="2259">
        <f ca="1"/>
        <v>26.15</v>
      </c>
      <c r="EG100" vm="17513">
        <f ca="1"/>
        <v>25.65</v>
      </c>
      <c r="EH100" vm="17514">
        <f ca="1"/>
        <v>25.87</v>
      </c>
      <c r="EI100" vm="17515">
        <f ca="1"/>
        <v>25.89</v>
      </c>
      <c r="EJ100" vm="2803">
        <f ca="1"/>
        <v>25.71</v>
      </c>
      <c r="EK100" vm="17516">
        <f ca="1"/>
        <v>25.74</v>
      </c>
      <c r="EL100" vm="2860">
        <f ca="1"/>
        <v>25.93</v>
      </c>
      <c r="EM100" vm="17517">
        <f ca="1"/>
        <v>25.77</v>
      </c>
      <c r="EN100" vm="17517">
        <f ca="1"/>
        <v>25.77</v>
      </c>
      <c r="EO100" vm="97">
        <f ca="1"/>
        <v>25.88</v>
      </c>
      <c r="EP100" vm="2858">
        <f ca="1"/>
        <v>25.62</v>
      </c>
      <c r="EQ100" vm="97">
        <f ca="1"/>
        <v>25.88</v>
      </c>
      <c r="ER100" vm="17518">
        <f ca="1"/>
        <v>25.78</v>
      </c>
      <c r="ES100" vm="2805">
        <f ca="1"/>
        <v>26.03</v>
      </c>
      <c r="ET100" vm="17519">
        <f ca="1"/>
        <v>25.9</v>
      </c>
      <c r="EU100" vm="17520">
        <f ca="1"/>
        <v>25.97</v>
      </c>
      <c r="EV100" vm="31">
        <f ca="1"/>
        <v>26.2</v>
      </c>
      <c r="EW100" vm="31">
        <f ca="1"/>
        <v>26.2</v>
      </c>
      <c r="EX100" vm="13383">
        <f ca="1"/>
        <v>26.08</v>
      </c>
      <c r="EY100" vm="17521">
        <f ca="1"/>
        <v>26.23</v>
      </c>
      <c r="EZ100" vm="17522">
        <f ca="1"/>
        <v>26.01</v>
      </c>
      <c r="FA100" vm="2804">
        <f ca="1"/>
        <v>25.96</v>
      </c>
      <c r="FB100" vm="17519">
        <f ca="1"/>
        <v>25.9</v>
      </c>
      <c r="FC100" vm="2807">
        <f ca="1"/>
        <v>25.67</v>
      </c>
      <c r="FD100" vm="2859">
        <f ca="1"/>
        <v>25.73</v>
      </c>
      <c r="FE100" vm="17523">
        <f ca="1"/>
        <v>25.92</v>
      </c>
      <c r="FF100" vm="17524">
        <f ca="1"/>
        <v>25.99</v>
      </c>
      <c r="FG100" vm="2258">
        <f ca="1"/>
        <v>26.25</v>
      </c>
      <c r="FH100" vm="17525">
        <f ca="1"/>
        <v>26.21</v>
      </c>
      <c r="FI100" vm="17494">
        <f ca="1"/>
        <v>26.63</v>
      </c>
      <c r="FJ100" vm="17492">
        <f ca="1"/>
        <v>26.81</v>
      </c>
      <c r="FK100" vm="17497">
        <f ca="1"/>
        <v>26.9</v>
      </c>
      <c r="FL100" vm="2871">
        <f ca="1"/>
        <v>26.6</v>
      </c>
      <c r="FM100" vm="17490">
        <f ca="1"/>
        <v>27.06</v>
      </c>
      <c r="FN100" vm="17173">
        <f ca="1"/>
        <v>27.02</v>
      </c>
      <c r="FO100" vm="10602">
        <f ca="1"/>
        <v>27.13</v>
      </c>
      <c r="FP100" vm="99">
        <f ca="1"/>
        <v>27.2</v>
      </c>
      <c r="FQ100" vm="17526">
        <f ca="1"/>
        <v>27.28</v>
      </c>
      <c r="FR100" vm="17527">
        <f ca="1"/>
        <v>27.59</v>
      </c>
      <c r="FS100" vm="2884">
        <f ca="1"/>
        <v>27.58</v>
      </c>
      <c r="FT100" vm="13933">
        <f ca="1"/>
        <v>27.42</v>
      </c>
      <c r="FU100" vm="16428">
        <f ca="1"/>
        <v>27.68</v>
      </c>
      <c r="FV100" vm="17528">
        <f ca="1"/>
        <v>27.52</v>
      </c>
      <c r="FW100" vm="2896">
        <f ca="1"/>
        <v>27.77</v>
      </c>
      <c r="FX100" vm="17529">
        <f ca="1"/>
        <v>27.45</v>
      </c>
      <c r="FY100" vm="10598">
        <f ca="1"/>
        <v>27.32</v>
      </c>
      <c r="FZ100" vm="9023">
        <f ca="1"/>
        <v>27.24</v>
      </c>
      <c r="GA100" vm="16425">
        <f ca="1"/>
        <v>27.16</v>
      </c>
      <c r="GB100" vm="17526">
        <f ca="1"/>
        <v>27.28</v>
      </c>
      <c r="GC100" vm="9028">
        <f ca="1"/>
        <v>27.1</v>
      </c>
      <c r="GD100" vm="17530">
        <f ca="1"/>
        <v>27.21</v>
      </c>
      <c r="GE100" vm="17531">
        <f ca="1"/>
        <v>27.41</v>
      </c>
      <c r="GF100" vm="1447">
        <f ca="1"/>
        <v>27.5</v>
      </c>
      <c r="GG100" vm="2978">
        <f ca="1"/>
        <v>27.91</v>
      </c>
      <c r="GH100" vm="17469">
        <f ca="1"/>
        <v>27.76</v>
      </c>
      <c r="GI100" vm="10597">
        <f ca="1"/>
        <v>27.18</v>
      </c>
      <c r="GJ100" vm="2899">
        <f ca="1"/>
        <v>27.08</v>
      </c>
      <c r="GK100" vm="17501">
        <f ca="1"/>
        <v>26.97</v>
      </c>
      <c r="GL100" vm="17171">
        <f ca="1"/>
        <v>26.85</v>
      </c>
      <c r="GM100" vm="17492">
        <f ca="1"/>
        <v>26.81</v>
      </c>
      <c r="GN100" vm="17497">
        <f ca="1"/>
        <v>26.9</v>
      </c>
      <c r="GO100" vm="10603">
        <f ca="1"/>
        <v>26.84</v>
      </c>
      <c r="GP100" vm="2878">
        <f ca="1"/>
        <v>26.98</v>
      </c>
      <c r="GQ100" vm="17503">
        <f ca="1"/>
        <v>26.91</v>
      </c>
      <c r="GR100" vm="1449">
        <f ca="1"/>
        <v>26.76</v>
      </c>
      <c r="GS100" vm="17492">
        <f ca="1"/>
        <v>26.81</v>
      </c>
      <c r="GT100" vm="1455">
        <f ca="1"/>
        <v>26.68</v>
      </c>
      <c r="GU100" vm="2872">
        <f ca="1"/>
        <v>26.67</v>
      </c>
      <c r="GV100" vm="17498">
        <f ca="1"/>
        <v>26.74</v>
      </c>
      <c r="GW100" vm="2871">
        <f ca="1"/>
        <v>26.6</v>
      </c>
      <c r="GX100" vm="2256">
        <f ca="1"/>
        <v>26.64</v>
      </c>
      <c r="GY100" vm="2255">
        <f ca="1"/>
        <v>26.49</v>
      </c>
      <c r="GZ100" vm="2875">
        <f ca="1"/>
        <v>26.32</v>
      </c>
      <c r="HA100" vm="1457">
        <f ca="1"/>
        <v>26.41</v>
      </c>
      <c r="HB100" vm="2874">
        <f ca="1"/>
        <v>26.59</v>
      </c>
      <c r="HC100" vm="17495">
        <f ca="1"/>
        <v>26.58</v>
      </c>
      <c r="HD100" vm="2873">
        <f ca="1"/>
        <v>26.73</v>
      </c>
      <c r="HE100" vm="17532">
        <f ca="1"/>
        <v>26.54</v>
      </c>
      <c r="HF100" vm="1445">
        <f ca="1"/>
        <v>26.77</v>
      </c>
      <c r="HG100" vm="17533">
        <f ca="1"/>
        <v>26.83</v>
      </c>
      <c r="HH100" vm="17178">
        <f ca="1"/>
        <v>26.96</v>
      </c>
      <c r="HI100" vm="13935">
        <f ca="1"/>
        <v>26.92</v>
      </c>
      <c r="HJ100" vm="2874">
        <f ca="1"/>
        <v>26.59</v>
      </c>
      <c r="HK100" vm="2251">
        <f ca="1"/>
        <v>26.29</v>
      </c>
      <c r="HL100" vm="17534">
        <f ca="1"/>
        <v>26.16</v>
      </c>
      <c r="HM100" vm="2875">
        <f ca="1"/>
        <v>26.32</v>
      </c>
      <c r="HN100" vm="17535">
        <f ca="1"/>
        <v>26.26</v>
      </c>
      <c r="HO100" vm="2876">
        <f ca="1"/>
        <v>26.37</v>
      </c>
      <c r="HP100" vm="13935">
        <f ca="1"/>
        <v>26.92</v>
      </c>
      <c r="HQ100" vm="2863">
        <f ca="1"/>
        <v>26.65</v>
      </c>
      <c r="HR100" vm="17536">
        <f ca="1"/>
        <v>26.55</v>
      </c>
      <c r="HS100" vm="1459">
        <f ca="1"/>
        <v>26.11</v>
      </c>
      <c r="HT100" vm="31">
        <f ca="1"/>
        <v>26.2</v>
      </c>
      <c r="HU100" vm="17537">
        <f ca="1"/>
        <v>26.61</v>
      </c>
      <c r="HV100" vm="17532">
        <f ca="1"/>
        <v>26.54</v>
      </c>
      <c r="HW100" vm="2254">
        <f ca="1"/>
        <v>26.4</v>
      </c>
      <c r="HX100" vm="2861">
        <f ca="1"/>
        <v>26.24</v>
      </c>
      <c r="HY100" vm="2246">
        <f ca="1"/>
        <v>26.09</v>
      </c>
      <c r="HZ100" vm="2870">
        <f ca="1"/>
        <v>26.43</v>
      </c>
      <c r="IA100" vm="2254">
        <f ca="1"/>
        <v>26.4</v>
      </c>
      <c r="IB100" vm="2246">
        <f ca="1"/>
        <v>26.09</v>
      </c>
      <c r="IC100" vm="1442">
        <f ca="1"/>
        <v>25.94</v>
      </c>
      <c r="ID100" vm="97">
        <f ca="1"/>
        <v>25.88</v>
      </c>
      <c r="IE100" vm="2247">
        <f ca="1"/>
        <v>25.68</v>
      </c>
      <c r="IF100" vm="2248">
        <f ca="1"/>
        <v>25.85</v>
      </c>
      <c r="IG100" vm="2249">
        <f ca="1"/>
        <v>26.13</v>
      </c>
      <c r="IH100" vm="2250">
        <f ca="1"/>
        <v>26.42</v>
      </c>
      <c r="II100" vm="2251">
        <f ca="1"/>
        <v>26.29</v>
      </c>
      <c r="IJ100" vm="1457">
        <f ca="1"/>
        <v>26.41</v>
      </c>
      <c r="IK100" vm="2252">
        <f ca="1"/>
        <v>26.38</v>
      </c>
      <c r="IL100" vm="100">
        <f ca="1"/>
        <v>26.46</v>
      </c>
      <c r="IM100" vm="2253">
        <f ca="1"/>
        <v>26.52</v>
      </c>
      <c r="IN100" vm="2254">
        <f ca="1"/>
        <v>26.4</v>
      </c>
      <c r="IO100" vm="2254">
        <f ca="1"/>
        <v>26.4</v>
      </c>
      <c r="IP100" vm="2255">
        <f ca="1"/>
        <v>26.49</v>
      </c>
      <c r="IQ100" vm="2256">
        <f ca="1"/>
        <v>26.64</v>
      </c>
      <c r="IR100" vm="2253">
        <f ca="1"/>
        <v>26.52</v>
      </c>
      <c r="IS100" vm="2257">
        <f ca="1"/>
        <v>26.34</v>
      </c>
      <c r="IT100" vm="2258">
        <f ca="1"/>
        <v>26.25</v>
      </c>
      <c r="IU100" vm="31">
        <f ca="1"/>
        <v>26.2</v>
      </c>
      <c r="IV100" vm="2259">
        <f ca="1"/>
        <v>26.15</v>
      </c>
      <c r="IW100" vm="31">
        <f ca="1"/>
        <v>26.2</v>
      </c>
    </row>
    <row r="101" spans="1:259" ht="16" x14ac:dyDescent="0.2">
      <c r="A101" t="e" vm="2260">
        <v>#VALUE!</v>
      </c>
      <c r="B101" s="23" t="str" cm="1">
        <f t="array" aca="1" ref="B101" ca="1">_FV(A101,"ticker symbol",TRUE)</f>
        <v>CORN</v>
      </c>
      <c r="C101" s="23" t="str" cm="1">
        <f t="array" aca="1" ref="C101" ca="1">_FV(A101,"Name")</f>
        <v>Teucrium:Corn</v>
      </c>
      <c r="D101" cm="1" vm="17538">
        <f t="array" aca="1" ref="D101:IW101" ca="1">TRANSPOSE(_xlfn.STOCKHISTORY(B101, WORKDAY(TODAY(), -265), TODAY(), 0, 0, 1))</f>
        <v>18.36</v>
      </c>
      <c r="E101" vm="17288">
        <f ca="1"/>
        <v>18.28</v>
      </c>
      <c r="F101" vm="17251">
        <f ca="1"/>
        <v>18.03</v>
      </c>
      <c r="G101" vm="17539">
        <f ca="1"/>
        <v>18.09</v>
      </c>
      <c r="H101" vm="17540">
        <f ca="1"/>
        <v>18.260000000000002</v>
      </c>
      <c r="I101" vm="17541">
        <f ca="1"/>
        <v>18.37</v>
      </c>
      <c r="J101" vm="17542">
        <f ca="1"/>
        <v>18.360499999999998</v>
      </c>
      <c r="K101" vm="17289">
        <f ca="1"/>
        <v>18.63</v>
      </c>
      <c r="L101" vm="17543">
        <f ca="1"/>
        <v>18.57</v>
      </c>
      <c r="M101" vm="17273">
        <f ca="1"/>
        <v>18.579999999999998</v>
      </c>
      <c r="N101" vm="17544">
        <f ca="1"/>
        <v>18.77</v>
      </c>
      <c r="O101" vm="17545">
        <f ca="1"/>
        <v>18.89</v>
      </c>
      <c r="P101" vm="17546">
        <f ca="1"/>
        <v>18.52</v>
      </c>
      <c r="Q101" vm="17547">
        <f ca="1"/>
        <v>18.78</v>
      </c>
      <c r="R101" vm="17547">
        <f ca="1"/>
        <v>18.78</v>
      </c>
      <c r="S101" vm="17548">
        <f ca="1"/>
        <v>18.649999999999999</v>
      </c>
      <c r="T101" vm="17549">
        <f ca="1"/>
        <v>19.23</v>
      </c>
      <c r="U101" vm="17550">
        <f ca="1"/>
        <v>19.5</v>
      </c>
      <c r="V101" vm="16726">
        <f ca="1"/>
        <v>19.43</v>
      </c>
      <c r="W101" vm="17551">
        <f ca="1"/>
        <v>19.55</v>
      </c>
      <c r="X101" vm="17552">
        <f ca="1"/>
        <v>19.28</v>
      </c>
      <c r="Y101" vm="13295">
        <f ca="1"/>
        <v>19.62</v>
      </c>
      <c r="Z101" vm="17553">
        <f ca="1"/>
        <v>19.86</v>
      </c>
      <c r="AA101" vm="17554">
        <f ca="1"/>
        <v>19.7</v>
      </c>
      <c r="AB101" vm="13277">
        <f ca="1"/>
        <v>19.91</v>
      </c>
      <c r="AC101" vm="13298">
        <f ca="1"/>
        <v>19.760000000000002</v>
      </c>
      <c r="AD101" vm="17555">
        <f ca="1"/>
        <v>19.63</v>
      </c>
      <c r="AE101" vm="17556">
        <f ca="1"/>
        <v>19.79</v>
      </c>
      <c r="AF101" vm="17557">
        <f ca="1"/>
        <v>20.18</v>
      </c>
      <c r="AG101" vm="17558">
        <f ca="1"/>
        <v>20.05</v>
      </c>
      <c r="AH101" vm="17556">
        <f ca="1"/>
        <v>19.79</v>
      </c>
      <c r="AI101" vm="13306">
        <f ca="1"/>
        <v>19.989999999999998</v>
      </c>
      <c r="AJ101" vm="17559">
        <f ca="1"/>
        <v>20.149999999999999</v>
      </c>
      <c r="AK101" vm="17560">
        <f ca="1"/>
        <v>20.170000000000002</v>
      </c>
      <c r="AL101" vm="16729">
        <f ca="1"/>
        <v>20.28</v>
      </c>
      <c r="AM101" vm="17561">
        <f ca="1"/>
        <v>19.97</v>
      </c>
      <c r="AN101" vm="17560">
        <f ca="1"/>
        <v>20.170000000000002</v>
      </c>
      <c r="AO101" vm="16725">
        <f ca="1"/>
        <v>20.010000000000002</v>
      </c>
      <c r="AP101" vm="13305">
        <f ca="1"/>
        <v>20.2</v>
      </c>
      <c r="AQ101" vm="17562">
        <f ca="1"/>
        <v>20.22</v>
      </c>
      <c r="AR101" vm="17563">
        <f ca="1"/>
        <v>20.32</v>
      </c>
      <c r="AS101" vm="17564">
        <f ca="1"/>
        <v>20.6</v>
      </c>
      <c r="AT101" vm="17565">
        <f ca="1"/>
        <v>20.474</v>
      </c>
      <c r="AU101" vm="13318">
        <f ca="1"/>
        <v>20.54</v>
      </c>
      <c r="AV101" vm="17566">
        <f ca="1"/>
        <v>20.237100000000002</v>
      </c>
      <c r="AW101" vm="17561">
        <f ca="1"/>
        <v>19.97</v>
      </c>
      <c r="AX101" vm="2454">
        <f ca="1"/>
        <v>19.940000000000001</v>
      </c>
      <c r="AY101" vm="17567">
        <f ca="1"/>
        <v>19.87</v>
      </c>
      <c r="AZ101" vm="16726">
        <f ca="1"/>
        <v>19.43</v>
      </c>
      <c r="BA101" vm="17287">
        <f ca="1"/>
        <v>19.07</v>
      </c>
      <c r="BB101" vm="17568">
        <f ca="1"/>
        <v>18.68</v>
      </c>
      <c r="BC101" vm="17546">
        <f ca="1"/>
        <v>18.52</v>
      </c>
      <c r="BD101" vm="17548">
        <f ca="1"/>
        <v>18.649999999999999</v>
      </c>
      <c r="BE101" vm="17569">
        <f ca="1"/>
        <v>18.875</v>
      </c>
      <c r="BF101" vm="17287">
        <f ca="1"/>
        <v>19.07</v>
      </c>
      <c r="BG101" vm="17570">
        <f ca="1"/>
        <v>19.18</v>
      </c>
      <c r="BH101" vm="17571">
        <f ca="1"/>
        <v>19.059999999999999</v>
      </c>
      <c r="BI101" vm="17547">
        <f ca="1"/>
        <v>18.78</v>
      </c>
      <c r="BJ101" vm="17545">
        <f ca="1"/>
        <v>18.89</v>
      </c>
      <c r="BK101" vm="13278">
        <f ca="1"/>
        <v>18.829999999999998</v>
      </c>
      <c r="BL101" vm="17572">
        <f ca="1"/>
        <v>18.96</v>
      </c>
      <c r="BM101" vm="17545">
        <f ca="1"/>
        <v>18.89</v>
      </c>
      <c r="BN101" vm="17573">
        <f ca="1"/>
        <v>18.87</v>
      </c>
      <c r="BO101" vm="17307">
        <f ca="1"/>
        <v>18.98</v>
      </c>
      <c r="BP101" vm="17574">
        <f ca="1"/>
        <v>18.88</v>
      </c>
      <c r="BQ101" vm="17575">
        <f ca="1"/>
        <v>18.93</v>
      </c>
      <c r="BR101" vm="17544">
        <f ca="1"/>
        <v>18.77</v>
      </c>
      <c r="BS101" vm="17576">
        <f ca="1"/>
        <v>18.559999999999999</v>
      </c>
      <c r="BT101" vm="17577">
        <f ca="1"/>
        <v>18.510000000000002</v>
      </c>
      <c r="BU101" vm="17578">
        <f ca="1"/>
        <v>18.461400000000001</v>
      </c>
      <c r="BV101" vm="17576">
        <f ca="1"/>
        <v>18.559999999999999</v>
      </c>
      <c r="BW101" vm="17579">
        <f ca="1"/>
        <v>18.72</v>
      </c>
      <c r="BX101" vm="17580">
        <f ca="1"/>
        <v>18.7</v>
      </c>
      <c r="BY101" vm="17568">
        <f ca="1"/>
        <v>18.68</v>
      </c>
      <c r="BZ101" vm="17581">
        <f ca="1"/>
        <v>18.739999999999998</v>
      </c>
      <c r="CA101" vm="17579">
        <f ca="1"/>
        <v>18.72</v>
      </c>
      <c r="CB101" vm="17581">
        <f ca="1"/>
        <v>18.739999999999998</v>
      </c>
      <c r="CC101" vm="17582">
        <f ca="1"/>
        <v>19.05</v>
      </c>
      <c r="CD101" vm="17570">
        <f ca="1"/>
        <v>19.18</v>
      </c>
      <c r="CE101" vm="17583">
        <f ca="1"/>
        <v>19.579999999999998</v>
      </c>
      <c r="CF101" vm="17584">
        <f ca="1"/>
        <v>19.420000000000002</v>
      </c>
      <c r="CG101" vm="17550">
        <f ca="1"/>
        <v>19.5</v>
      </c>
      <c r="CH101" vm="17583">
        <f ca="1"/>
        <v>19.579999999999998</v>
      </c>
      <c r="CI101" vm="17583">
        <f ca="1"/>
        <v>19.579999999999998</v>
      </c>
      <c r="CJ101" vm="13300">
        <f ca="1"/>
        <v>19.510000000000002</v>
      </c>
      <c r="CK101" vm="17549">
        <f ca="1"/>
        <v>19.23</v>
      </c>
      <c r="CL101" vm="17585">
        <f ca="1"/>
        <v>19.09</v>
      </c>
      <c r="CM101" vm="17586">
        <f ca="1"/>
        <v>19.128299999999999</v>
      </c>
      <c r="CN101" vm="17587">
        <f ca="1"/>
        <v>19.170000000000002</v>
      </c>
      <c r="CO101" vm="17307">
        <f ca="1"/>
        <v>18.98</v>
      </c>
      <c r="CP101" vm="17548">
        <f ca="1"/>
        <v>18.649999999999999</v>
      </c>
      <c r="CQ101" vm="17581">
        <f ca="1"/>
        <v>18.739999999999998</v>
      </c>
      <c r="CR101" vm="17547">
        <f ca="1"/>
        <v>18.78</v>
      </c>
      <c r="CS101" vm="17588">
        <f ca="1"/>
        <v>18.809999999999999</v>
      </c>
      <c r="CT101" vm="17541">
        <f ca="1"/>
        <v>18.37</v>
      </c>
      <c r="CU101" vm="17541">
        <f ca="1"/>
        <v>18.37</v>
      </c>
      <c r="CV101" vm="17589">
        <f ca="1"/>
        <v>18.27</v>
      </c>
      <c r="CW101" vm="17590">
        <f ca="1"/>
        <v>18.16</v>
      </c>
      <c r="CX101" vm="17591">
        <f ca="1"/>
        <v>18.239999999999998</v>
      </c>
      <c r="CY101" vm="17592">
        <f ca="1"/>
        <v>18.3</v>
      </c>
      <c r="CZ101" vm="17593">
        <f ca="1"/>
        <v>18.18</v>
      </c>
      <c r="DA101" vm="17594">
        <f ca="1"/>
        <v>18.13</v>
      </c>
      <c r="DB101" vm="17595">
        <f ca="1"/>
        <v>18.11</v>
      </c>
      <c r="DC101" vm="2265">
        <f ca="1"/>
        <v>17.940000000000001</v>
      </c>
      <c r="DD101" vm="17309">
        <f ca="1"/>
        <v>18.190000000000001</v>
      </c>
      <c r="DE101" vm="13279">
        <f ca="1"/>
        <v>18.5</v>
      </c>
      <c r="DF101" vm="17596">
        <f ca="1"/>
        <v>18.71</v>
      </c>
      <c r="DG101" vm="17597">
        <f ca="1"/>
        <v>18.61</v>
      </c>
      <c r="DH101" vm="17546">
        <f ca="1"/>
        <v>18.52</v>
      </c>
      <c r="DI101" vm="17598">
        <f ca="1"/>
        <v>18.38</v>
      </c>
      <c r="DJ101" vm="17591">
        <f ca="1"/>
        <v>18.239999999999998</v>
      </c>
      <c r="DK101" vm="17590">
        <f ca="1"/>
        <v>18.16</v>
      </c>
      <c r="DL101" vm="17264">
        <f ca="1"/>
        <v>18.12</v>
      </c>
      <c r="DM101" vm="17599">
        <f ca="1"/>
        <v>18.02</v>
      </c>
      <c r="DN101" vm="17272">
        <f ca="1"/>
        <v>18.21</v>
      </c>
      <c r="DO101" vm="17598">
        <f ca="1"/>
        <v>18.38</v>
      </c>
      <c r="DP101" vm="13279">
        <f ca="1"/>
        <v>18.5</v>
      </c>
      <c r="DQ101" vm="17600">
        <f ca="1"/>
        <v>18.62</v>
      </c>
      <c r="DR101" vm="17540">
        <f ca="1"/>
        <v>18.260000000000002</v>
      </c>
      <c r="DS101" vm="17589">
        <f ca="1"/>
        <v>18.27</v>
      </c>
      <c r="DT101" vm="17540">
        <f ca="1"/>
        <v>18.260000000000002</v>
      </c>
      <c r="DU101" vm="17601">
        <f ca="1"/>
        <v>18.309999999999999</v>
      </c>
      <c r="DV101" vm="17602">
        <f ca="1"/>
        <v>18.39</v>
      </c>
      <c r="DW101" vm="17539">
        <f ca="1"/>
        <v>18.09</v>
      </c>
      <c r="DX101" vm="17603">
        <f ca="1"/>
        <v>18.23</v>
      </c>
      <c r="DY101" vm="17604">
        <f ca="1"/>
        <v>18.399999999999999</v>
      </c>
      <c r="DZ101" vm="17260">
        <f ca="1"/>
        <v>18.34</v>
      </c>
      <c r="EA101" vm="17605">
        <f ca="1"/>
        <v>17.96</v>
      </c>
      <c r="EB101" vm="2279">
        <f ca="1"/>
        <v>17.84</v>
      </c>
      <c r="EC101" vm="2262">
        <f ca="1"/>
        <v>17.600000000000001</v>
      </c>
      <c r="ED101" vm="17606">
        <f ca="1"/>
        <v>17.559999999999999</v>
      </c>
      <c r="EE101" vm="17607">
        <f ca="1"/>
        <v>17.72</v>
      </c>
      <c r="EF101" vm="17608">
        <f ca="1"/>
        <v>17.696000000000002</v>
      </c>
      <c r="EG101" vm="17330">
        <f ca="1"/>
        <v>17.579999999999998</v>
      </c>
      <c r="EH101" vm="17609">
        <f ca="1"/>
        <v>18.010000000000002</v>
      </c>
      <c r="EI101" vm="17590">
        <f ca="1"/>
        <v>18.16</v>
      </c>
      <c r="EJ101" vm="17610">
        <f ca="1"/>
        <v>17.54</v>
      </c>
      <c r="EK101" vm="17611">
        <f ca="1"/>
        <v>17.34</v>
      </c>
      <c r="EL101" vm="17612">
        <f ca="1"/>
        <v>17.39</v>
      </c>
      <c r="EM101" vm="17612">
        <f ca="1"/>
        <v>17.39</v>
      </c>
      <c r="EN101" vm="17613">
        <f ca="1"/>
        <v>17.27</v>
      </c>
      <c r="EO101" vm="17614">
        <f ca="1"/>
        <v>17.46</v>
      </c>
      <c r="EP101" vm="17290">
        <f ca="1"/>
        <v>17.510000000000002</v>
      </c>
      <c r="EQ101" vm="17615">
        <f ca="1"/>
        <v>17.625</v>
      </c>
      <c r="ER101" vm="17616">
        <f ca="1"/>
        <v>17.55</v>
      </c>
      <c r="ES101" vm="2269">
        <f ca="1"/>
        <v>17.809999999999999</v>
      </c>
      <c r="ET101" vm="17330">
        <f ca="1"/>
        <v>17.579999999999998</v>
      </c>
      <c r="EU101" vm="17614">
        <f ca="1"/>
        <v>17.46</v>
      </c>
      <c r="EV101" vm="17617">
        <f ca="1"/>
        <v>17.47</v>
      </c>
      <c r="EW101" vm="17618">
        <f ca="1"/>
        <v>17.57</v>
      </c>
      <c r="EX101" vm="17619">
        <f ca="1"/>
        <v>17.489999999999998</v>
      </c>
      <c r="EY101" vm="17620">
        <f ca="1"/>
        <v>17.332999999999998</v>
      </c>
      <c r="EZ101" vm="2834">
        <f ca="1"/>
        <v>17.2</v>
      </c>
      <c r="FA101" vm="2827">
        <f ca="1"/>
        <v>17.25</v>
      </c>
      <c r="FB101" vm="17621">
        <f ca="1"/>
        <v>17.263999999999999</v>
      </c>
      <c r="FC101" vm="2833">
        <f ca="1"/>
        <v>17.170000000000002</v>
      </c>
      <c r="FD101" vm="2826">
        <f ca="1"/>
        <v>17.12</v>
      </c>
      <c r="FE101" vm="17622">
        <f ca="1"/>
        <v>16.899999999999999</v>
      </c>
      <c r="FF101" vm="17623">
        <f ca="1"/>
        <v>16.917000000000002</v>
      </c>
      <c r="FG101" vm="2819">
        <f ca="1"/>
        <v>17.079999999999998</v>
      </c>
      <c r="FH101" vm="17624">
        <f ca="1"/>
        <v>17.04</v>
      </c>
      <c r="FI101" vm="2825">
        <f ca="1"/>
        <v>17.14</v>
      </c>
      <c r="FJ101" vm="17312">
        <f ca="1"/>
        <v>16.71</v>
      </c>
      <c r="FK101" vm="17311">
        <f ca="1"/>
        <v>16.8</v>
      </c>
      <c r="FL101" vm="17625">
        <f ca="1"/>
        <v>16.77</v>
      </c>
      <c r="FM101" vm="17626">
        <f ca="1"/>
        <v>17.091699999999999</v>
      </c>
      <c r="FN101" vm="17627">
        <f ca="1"/>
        <v>17.100200000000001</v>
      </c>
      <c r="FO101" vm="17628">
        <f ca="1"/>
        <v>16.992799999999999</v>
      </c>
      <c r="FP101" vm="17269">
        <f ca="1"/>
        <v>17.07</v>
      </c>
      <c r="FQ101" vm="17629">
        <f ca="1"/>
        <v>17.309999999999999</v>
      </c>
      <c r="FR101" vm="2832">
        <f ca="1"/>
        <v>17.3</v>
      </c>
      <c r="FS101" vm="17630">
        <f ca="1"/>
        <v>17.350000000000001</v>
      </c>
      <c r="FT101" vm="17631">
        <f ca="1"/>
        <v>17.22</v>
      </c>
      <c r="FU101" vm="2823">
        <f ca="1"/>
        <v>17.100000000000001</v>
      </c>
      <c r="FV101" vm="17632">
        <f ca="1"/>
        <v>17.260000000000002</v>
      </c>
      <c r="FW101" vm="17618">
        <f ca="1"/>
        <v>17.57</v>
      </c>
      <c r="FX101" vm="17607">
        <f ca="1"/>
        <v>17.72</v>
      </c>
      <c r="FY101" vm="17606">
        <f ca="1"/>
        <v>17.559999999999999</v>
      </c>
      <c r="FZ101" vm="17268">
        <f ca="1"/>
        <v>17.64</v>
      </c>
      <c r="GA101" vm="17633">
        <f ca="1"/>
        <v>17.53</v>
      </c>
      <c r="GB101" vm="17332">
        <f ca="1"/>
        <v>17.66</v>
      </c>
      <c r="GC101" vm="17330">
        <f ca="1"/>
        <v>17.579999999999998</v>
      </c>
      <c r="GD101" vm="17617">
        <f ca="1"/>
        <v>17.47</v>
      </c>
      <c r="GE101" vm="2262">
        <f ca="1"/>
        <v>17.600000000000001</v>
      </c>
      <c r="GF101" vm="2275">
        <f ca="1"/>
        <v>17.899999999999999</v>
      </c>
      <c r="GG101" vm="17634">
        <f ca="1"/>
        <v>17.78</v>
      </c>
      <c r="GH101" vm="17605">
        <f ca="1"/>
        <v>17.96</v>
      </c>
      <c r="GI101" vm="17635">
        <f ca="1"/>
        <v>17.88</v>
      </c>
      <c r="GJ101" vm="17636">
        <f ca="1"/>
        <v>17.739999999999998</v>
      </c>
      <c r="GK101" vm="17636">
        <f ca="1"/>
        <v>17.739999999999998</v>
      </c>
      <c r="GL101" vm="17637">
        <f ca="1"/>
        <v>17.61</v>
      </c>
      <c r="GM101" vm="2276">
        <f ca="1"/>
        <v>17.75</v>
      </c>
      <c r="GN101" vm="17607">
        <f ca="1"/>
        <v>17.72</v>
      </c>
      <c r="GO101" vm="17607">
        <f ca="1"/>
        <v>17.72</v>
      </c>
      <c r="GP101" vm="17638">
        <f ca="1"/>
        <v>17.62</v>
      </c>
      <c r="GQ101" vm="17639">
        <f ca="1"/>
        <v>17.63</v>
      </c>
      <c r="GR101" vm="17640">
        <f ca="1"/>
        <v>17.45</v>
      </c>
      <c r="GS101" vm="17616">
        <f ca="1"/>
        <v>17.55</v>
      </c>
      <c r="GT101" vm="17641">
        <f ca="1"/>
        <v>17.670000000000002</v>
      </c>
      <c r="GU101" vm="17637">
        <f ca="1"/>
        <v>17.61</v>
      </c>
      <c r="GV101" vm="2262">
        <f ca="1"/>
        <v>17.600000000000001</v>
      </c>
      <c r="GW101" vm="17642">
        <f ca="1"/>
        <v>17.509399999999999</v>
      </c>
      <c r="GX101" vm="17330">
        <f ca="1"/>
        <v>17.579999999999998</v>
      </c>
      <c r="GY101" vm="17640">
        <f ca="1"/>
        <v>17.45</v>
      </c>
      <c r="GZ101" vm="2832">
        <f ca="1"/>
        <v>17.3</v>
      </c>
      <c r="HA101" vm="17631">
        <f ca="1"/>
        <v>17.22</v>
      </c>
      <c r="HB101" vm="17632">
        <f ca="1"/>
        <v>17.260000000000002</v>
      </c>
      <c r="HC101" vm="17643">
        <f ca="1"/>
        <v>17.420000000000002</v>
      </c>
      <c r="HD101" vm="17290">
        <f ca="1"/>
        <v>17.510000000000002</v>
      </c>
      <c r="HE101" vm="17610">
        <f ca="1"/>
        <v>17.54</v>
      </c>
      <c r="HF101" vm="17618">
        <f ca="1"/>
        <v>17.57</v>
      </c>
      <c r="HG101" vm="17614">
        <f ca="1"/>
        <v>17.46</v>
      </c>
      <c r="HH101" vm="17633">
        <f ca="1"/>
        <v>17.53</v>
      </c>
      <c r="HI101" vm="17641">
        <f ca="1"/>
        <v>17.670000000000002</v>
      </c>
      <c r="HJ101" vm="17644">
        <f ca="1"/>
        <v>17.614999999999998</v>
      </c>
      <c r="HK101" vm="17645">
        <f ca="1"/>
        <v>17.87</v>
      </c>
      <c r="HL101" vm="17646">
        <f ca="1"/>
        <v>17.91</v>
      </c>
      <c r="HM101" vm="17647">
        <f ca="1"/>
        <v>17.916599999999999</v>
      </c>
      <c r="HN101" vm="17648">
        <f ca="1"/>
        <v>17.829999999999998</v>
      </c>
      <c r="HO101" vm="17649">
        <f ca="1"/>
        <v>17.7943</v>
      </c>
      <c r="HP101" vm="17650">
        <f ca="1"/>
        <v>17.97</v>
      </c>
      <c r="HQ101" vm="17645">
        <f ca="1"/>
        <v>17.87</v>
      </c>
      <c r="HR101" vm="2268">
        <f ca="1"/>
        <v>18.05</v>
      </c>
      <c r="HS101" vm="17648">
        <f ca="1"/>
        <v>17.829999999999998</v>
      </c>
      <c r="HT101" vm="17651">
        <f ca="1"/>
        <v>17.7654</v>
      </c>
      <c r="HU101" vm="17652">
        <f ca="1"/>
        <v>17.880600000000001</v>
      </c>
      <c r="HV101" vm="17609">
        <f ca="1"/>
        <v>18.010000000000002</v>
      </c>
      <c r="HW101" vm="17653">
        <f ca="1"/>
        <v>18.026499999999999</v>
      </c>
      <c r="HX101" vm="17589">
        <f ca="1"/>
        <v>18.27</v>
      </c>
      <c r="HY101" vm="2275">
        <f ca="1"/>
        <v>17.899999999999999</v>
      </c>
      <c r="HZ101" vm="17654">
        <f ca="1"/>
        <v>18.018000000000001</v>
      </c>
      <c r="IA101" vm="17599">
        <f ca="1"/>
        <v>18.02</v>
      </c>
      <c r="IB101" vm="2261">
        <f ca="1"/>
        <v>17.745000000000001</v>
      </c>
      <c r="IC101" vm="2262">
        <f ca="1"/>
        <v>17.600000000000001</v>
      </c>
      <c r="ID101" vm="2262">
        <f ca="1"/>
        <v>17.600000000000001</v>
      </c>
      <c r="IE101" vm="2263">
        <f ca="1"/>
        <v>17.59</v>
      </c>
      <c r="IF101" vm="2264">
        <f ca="1"/>
        <v>17.6419</v>
      </c>
      <c r="IG101" vm="2265">
        <f ca="1"/>
        <v>17.940000000000001</v>
      </c>
      <c r="IH101" vm="2266">
        <f ca="1"/>
        <v>17.9726</v>
      </c>
      <c r="II101" vm="2267">
        <f ca="1"/>
        <v>17.907299999999999</v>
      </c>
      <c r="IJ101" vm="2268">
        <f ca="1"/>
        <v>18.05</v>
      </c>
      <c r="IK101" vm="2269">
        <f ca="1"/>
        <v>17.809999999999999</v>
      </c>
      <c r="IL101" vm="2270">
        <f ca="1"/>
        <v>17.89</v>
      </c>
      <c r="IM101" vm="2271">
        <f ca="1"/>
        <v>17.850000000000001</v>
      </c>
      <c r="IN101" vm="2272">
        <f ca="1"/>
        <v>17.837599999999998</v>
      </c>
      <c r="IO101" vm="2273">
        <f ca="1"/>
        <v>17.95</v>
      </c>
      <c r="IP101" vm="2274">
        <f ca="1"/>
        <v>17.825900000000001</v>
      </c>
      <c r="IQ101" vm="2275">
        <f ca="1"/>
        <v>17.899999999999999</v>
      </c>
      <c r="IR101" vm="2276">
        <f ca="1"/>
        <v>17.75</v>
      </c>
      <c r="IS101" vm="2277">
        <f ca="1"/>
        <v>17.702100000000002</v>
      </c>
      <c r="IT101" vm="2263">
        <f ca="1"/>
        <v>17.59</v>
      </c>
      <c r="IU101" vm="2278">
        <f ca="1"/>
        <v>17.71</v>
      </c>
      <c r="IV101" vm="2279">
        <f ca="1"/>
        <v>17.84</v>
      </c>
      <c r="IW101" vm="33">
        <f ca="1"/>
        <v>17.790500000000002</v>
      </c>
    </row>
    <row r="102" spans="1:259" ht="16" x14ac:dyDescent="0.2">
      <c r="A102" t="e" vm="2280">
        <v>#VALUE!</v>
      </c>
      <c r="B102" s="23" t="str" cm="1">
        <f t="array" aca="1" ref="B102" ca="1">_FV(A102,"ticker symbol",TRUE)</f>
        <v>DBB</v>
      </c>
      <c r="C102" s="23" t="str" cm="1">
        <f t="array" aca="1" ref="C102" ca="1">_FV(A102,"Name")</f>
        <v>Invesco DB MS BMtl</v>
      </c>
      <c r="D102" cm="1" vm="17558">
        <f t="array" aca="1" ref="D102:IW102" ca="1">TRANSPOSE(_xlfn.STOCKHISTORY(B102, WORKDAY(TODAY(), -265), TODAY(), 0, 0, 1))</f>
        <v>20.05</v>
      </c>
      <c r="E102" vm="17655">
        <f ca="1"/>
        <v>19.89</v>
      </c>
      <c r="F102" vm="16728">
        <f ca="1"/>
        <v>19.61</v>
      </c>
      <c r="G102" vm="17555">
        <f ca="1"/>
        <v>19.63</v>
      </c>
      <c r="H102" vm="17656">
        <f ca="1"/>
        <v>19.739999999999998</v>
      </c>
      <c r="I102" vm="17657">
        <f ca="1"/>
        <v>18.91</v>
      </c>
      <c r="J102" vm="17287">
        <f ca="1"/>
        <v>19.07</v>
      </c>
      <c r="K102" vm="17275">
        <f ca="1"/>
        <v>19.149999999999999</v>
      </c>
      <c r="L102" vm="17658">
        <f ca="1"/>
        <v>19.04</v>
      </c>
      <c r="M102" vm="17572">
        <f ca="1"/>
        <v>18.96</v>
      </c>
      <c r="N102" vm="17659">
        <f ca="1"/>
        <v>18.850000000000001</v>
      </c>
      <c r="O102" vm="17568">
        <f ca="1"/>
        <v>18.68</v>
      </c>
      <c r="P102" vm="17660">
        <f ca="1"/>
        <v>18.55</v>
      </c>
      <c r="Q102" vm="17543">
        <f ca="1"/>
        <v>18.57</v>
      </c>
      <c r="R102" vm="17661">
        <f ca="1"/>
        <v>18.66</v>
      </c>
      <c r="S102" vm="17600">
        <f ca="1"/>
        <v>18.62</v>
      </c>
      <c r="T102" vm="17662">
        <f ca="1"/>
        <v>18.8</v>
      </c>
      <c r="U102" vm="17663">
        <f ca="1"/>
        <v>18.86</v>
      </c>
      <c r="V102" vm="17545">
        <f ca="1"/>
        <v>18.89</v>
      </c>
      <c r="W102" vm="17582">
        <f ca="1"/>
        <v>19.05</v>
      </c>
      <c r="X102" vm="17570">
        <f ca="1"/>
        <v>19.18</v>
      </c>
      <c r="Y102" vm="17664">
        <f ca="1"/>
        <v>19.350000000000001</v>
      </c>
      <c r="Z102" vm="17665">
        <f ca="1"/>
        <v>19.27</v>
      </c>
      <c r="AA102" vm="13286">
        <f ca="1"/>
        <v>19.16</v>
      </c>
      <c r="AB102" vm="17666">
        <f ca="1"/>
        <v>19.100000000000001</v>
      </c>
      <c r="AC102" vm="17667">
        <f ca="1"/>
        <v>19.079999999999998</v>
      </c>
      <c r="AD102" vm="17668">
        <f ca="1"/>
        <v>18.920000000000002</v>
      </c>
      <c r="AE102" vm="17548">
        <f ca="1"/>
        <v>18.649999999999999</v>
      </c>
      <c r="AF102" vm="17573">
        <f ca="1"/>
        <v>18.87</v>
      </c>
      <c r="AG102" vm="17659">
        <f ca="1"/>
        <v>18.850000000000001</v>
      </c>
      <c r="AH102" vm="17568">
        <f ca="1"/>
        <v>18.68</v>
      </c>
      <c r="AI102" vm="17668">
        <f ca="1"/>
        <v>18.920000000000002</v>
      </c>
      <c r="AJ102" vm="17669">
        <f ca="1"/>
        <v>19</v>
      </c>
      <c r="AK102" vm="17572">
        <f ca="1"/>
        <v>18.96</v>
      </c>
      <c r="AL102" vm="17670">
        <f ca="1"/>
        <v>19.11</v>
      </c>
      <c r="AM102" vm="17671">
        <f ca="1"/>
        <v>19.25</v>
      </c>
      <c r="AN102" vm="17672">
        <f ca="1"/>
        <v>19.309999999999999</v>
      </c>
      <c r="AO102" vm="17587">
        <f ca="1"/>
        <v>19.170000000000002</v>
      </c>
      <c r="AP102" vm="17672">
        <f ca="1"/>
        <v>19.309999999999999</v>
      </c>
      <c r="AQ102" vm="17673">
        <f ca="1"/>
        <v>19.22</v>
      </c>
      <c r="AR102" vm="17673">
        <f ca="1"/>
        <v>19.22</v>
      </c>
      <c r="AS102" vm="17674">
        <f ca="1"/>
        <v>19.45</v>
      </c>
      <c r="AT102" vm="17675">
        <f ca="1"/>
        <v>19.489999999999998</v>
      </c>
      <c r="AU102" vm="17554">
        <f ca="1"/>
        <v>19.7</v>
      </c>
      <c r="AV102" vm="17551">
        <f ca="1"/>
        <v>19.55</v>
      </c>
      <c r="AW102" vm="17676">
        <f ca="1"/>
        <v>19.3</v>
      </c>
      <c r="AX102" vm="17677">
        <f ca="1"/>
        <v>19.239999999999998</v>
      </c>
      <c r="AY102" vm="17587">
        <f ca="1"/>
        <v>19.170000000000002</v>
      </c>
      <c r="AZ102" vm="17585">
        <f ca="1"/>
        <v>19.09</v>
      </c>
      <c r="BA102" vm="17571">
        <f ca="1"/>
        <v>19.059999999999999</v>
      </c>
      <c r="BB102" vm="17666">
        <f ca="1"/>
        <v>19.100000000000001</v>
      </c>
      <c r="BC102" vm="13299">
        <f ca="1"/>
        <v>19.13</v>
      </c>
      <c r="BD102" vm="17551">
        <f ca="1"/>
        <v>19.55</v>
      </c>
      <c r="BE102" vm="17678">
        <f ca="1"/>
        <v>19.77</v>
      </c>
      <c r="BF102" vm="13297">
        <f ca="1"/>
        <v>19.59</v>
      </c>
      <c r="BG102" vm="13285">
        <f ca="1"/>
        <v>19.46</v>
      </c>
      <c r="BH102" vm="13298">
        <f ca="1"/>
        <v>19.760000000000002</v>
      </c>
      <c r="BI102" vm="17679">
        <f ca="1"/>
        <v>19.8</v>
      </c>
      <c r="BJ102" vm="17680">
        <f ca="1"/>
        <v>19.95</v>
      </c>
      <c r="BK102" vm="2453">
        <f ca="1"/>
        <v>19.88</v>
      </c>
      <c r="BL102" vm="2452">
        <f ca="1"/>
        <v>19.93</v>
      </c>
      <c r="BM102" vm="2453">
        <f ca="1"/>
        <v>19.88</v>
      </c>
      <c r="BN102" vm="17681">
        <f ca="1"/>
        <v>19.920000000000002</v>
      </c>
      <c r="BO102" vm="17682">
        <f ca="1"/>
        <v>19.78</v>
      </c>
      <c r="BP102" vm="17554">
        <f ca="1"/>
        <v>19.7</v>
      </c>
      <c r="BQ102" vm="17683">
        <f ca="1"/>
        <v>19.73</v>
      </c>
      <c r="BR102" vm="17681">
        <f ca="1"/>
        <v>19.920000000000002</v>
      </c>
      <c r="BS102" vm="17683">
        <f ca="1"/>
        <v>19.73</v>
      </c>
      <c r="BT102" vm="17684">
        <f ca="1"/>
        <v>19.47</v>
      </c>
      <c r="BU102" vm="17685">
        <f ca="1"/>
        <v>19.29</v>
      </c>
      <c r="BV102" vm="17686">
        <f ca="1"/>
        <v>19.190000000000001</v>
      </c>
      <c r="BW102" vm="17658">
        <f ca="1"/>
        <v>19.04</v>
      </c>
      <c r="BX102" vm="17307">
        <f ca="1"/>
        <v>18.98</v>
      </c>
      <c r="BY102" vm="17604">
        <f ca="1"/>
        <v>18.399999999999999</v>
      </c>
      <c r="BZ102" vm="17607">
        <f ca="1"/>
        <v>17.72</v>
      </c>
      <c r="CA102" vm="17639">
        <f ca="1"/>
        <v>17.63</v>
      </c>
      <c r="CB102" vm="17687">
        <f ca="1"/>
        <v>17.23</v>
      </c>
      <c r="CC102" vm="17270">
        <f ca="1"/>
        <v>17.8</v>
      </c>
      <c r="CD102" vm="17634">
        <f ca="1"/>
        <v>17.78</v>
      </c>
      <c r="CE102" vm="17688">
        <f ca="1"/>
        <v>18.114999999999998</v>
      </c>
      <c r="CF102" vm="17689">
        <f ca="1"/>
        <v>18.059999999999999</v>
      </c>
      <c r="CG102" vm="13280">
        <f ca="1"/>
        <v>17.920000000000002</v>
      </c>
      <c r="CH102" vm="2270">
        <f ca="1"/>
        <v>17.89</v>
      </c>
      <c r="CI102" vm="17605">
        <f ca="1"/>
        <v>17.96</v>
      </c>
      <c r="CJ102" vm="17634">
        <f ca="1"/>
        <v>17.78</v>
      </c>
      <c r="CK102" vm="17306">
        <f ca="1"/>
        <v>18.07</v>
      </c>
      <c r="CL102" vm="17288">
        <f ca="1"/>
        <v>18.28</v>
      </c>
      <c r="CM102" vm="17660">
        <f ca="1"/>
        <v>18.55</v>
      </c>
      <c r="CN102" vm="17302">
        <f ca="1"/>
        <v>18.32</v>
      </c>
      <c r="CO102" vm="17601">
        <f ca="1"/>
        <v>18.309999999999999</v>
      </c>
      <c r="CP102" vm="17602">
        <f ca="1"/>
        <v>18.39</v>
      </c>
      <c r="CQ102" vm="17634">
        <f ca="1"/>
        <v>17.78</v>
      </c>
      <c r="CR102" vm="17690">
        <f ca="1"/>
        <v>17.9819</v>
      </c>
      <c r="CS102" vm="17594">
        <f ca="1"/>
        <v>18.13</v>
      </c>
      <c r="CT102" vm="17305">
        <f ca="1"/>
        <v>18.170000000000002</v>
      </c>
      <c r="CU102" vm="17691">
        <f ca="1"/>
        <v>18.2273</v>
      </c>
      <c r="CV102" vm="17692">
        <f ca="1"/>
        <v>17.994900000000001</v>
      </c>
      <c r="CW102" vm="17305">
        <f ca="1"/>
        <v>18.170000000000002</v>
      </c>
      <c r="CX102" vm="17693">
        <f ca="1"/>
        <v>18.2849</v>
      </c>
      <c r="CY102" vm="17262">
        <f ca="1"/>
        <v>18.54</v>
      </c>
      <c r="CZ102" vm="17694">
        <f ca="1"/>
        <v>18.714700000000001</v>
      </c>
      <c r="DA102" vm="17695">
        <f ca="1"/>
        <v>18.899999999999999</v>
      </c>
      <c r="DB102" vm="17696">
        <f ca="1"/>
        <v>18.75</v>
      </c>
      <c r="DC102" vm="17697">
        <f ca="1"/>
        <v>18.46</v>
      </c>
      <c r="DD102" vm="17602">
        <f ca="1"/>
        <v>18.39</v>
      </c>
      <c r="DE102" vm="17698">
        <f ca="1"/>
        <v>18.7074</v>
      </c>
      <c r="DF102" vm="17262">
        <f ca="1"/>
        <v>18.54</v>
      </c>
      <c r="DG102" vm="17546">
        <f ca="1"/>
        <v>18.52</v>
      </c>
      <c r="DH102" vm="17548">
        <f ca="1"/>
        <v>18.649999999999999</v>
      </c>
      <c r="DI102" vm="17699">
        <f ca="1"/>
        <v>18.690000000000001</v>
      </c>
      <c r="DJ102" vm="17576">
        <f ca="1"/>
        <v>18.559999999999999</v>
      </c>
      <c r="DK102" vm="17700">
        <f ca="1"/>
        <v>18.509599999999999</v>
      </c>
      <c r="DL102" vm="17701">
        <f ca="1"/>
        <v>18.3902</v>
      </c>
      <c r="DM102" vm="17568">
        <f ca="1"/>
        <v>18.68</v>
      </c>
      <c r="DN102" vm="17702">
        <f ca="1"/>
        <v>18.73</v>
      </c>
      <c r="DO102" vm="17596">
        <f ca="1"/>
        <v>18.71</v>
      </c>
      <c r="DP102" vm="17600">
        <f ca="1"/>
        <v>18.62</v>
      </c>
      <c r="DQ102" vm="17703">
        <f ca="1"/>
        <v>18.545000000000002</v>
      </c>
      <c r="DR102" vm="17548">
        <f ca="1"/>
        <v>18.649999999999999</v>
      </c>
      <c r="DS102" vm="17579">
        <f ca="1"/>
        <v>18.72</v>
      </c>
      <c r="DT102" vm="17704">
        <f ca="1"/>
        <v>18.708100000000002</v>
      </c>
      <c r="DU102" vm="17705">
        <f ca="1"/>
        <v>18.726500000000001</v>
      </c>
      <c r="DV102" vm="17546">
        <f ca="1"/>
        <v>18.52</v>
      </c>
      <c r="DW102" vm="17706">
        <f ca="1"/>
        <v>18.760000000000002</v>
      </c>
      <c r="DX102" vm="17706">
        <f ca="1"/>
        <v>18.760000000000002</v>
      </c>
      <c r="DY102" vm="17707">
        <f ca="1"/>
        <v>18.824999999999999</v>
      </c>
      <c r="DZ102" vm="17545">
        <f ca="1"/>
        <v>18.89</v>
      </c>
      <c r="EA102" vm="17670">
        <f ca="1"/>
        <v>19.11</v>
      </c>
      <c r="EB102" vm="17708">
        <f ca="1"/>
        <v>19.008199999999999</v>
      </c>
      <c r="EC102" vm="17709">
        <f ca="1"/>
        <v>19.094999999999999</v>
      </c>
      <c r="ED102" vm="17664">
        <f ca="1"/>
        <v>19.350000000000001</v>
      </c>
      <c r="EE102" vm="17710">
        <f ca="1"/>
        <v>19.41</v>
      </c>
      <c r="EF102" vm="17711">
        <f ca="1"/>
        <v>19.37</v>
      </c>
      <c r="EG102" vm="17712">
        <f ca="1"/>
        <v>19.329999999999998</v>
      </c>
      <c r="EH102" vm="17684">
        <f ca="1"/>
        <v>19.47</v>
      </c>
      <c r="EI102" vm="17713">
        <f ca="1"/>
        <v>19.399999999999999</v>
      </c>
      <c r="EJ102" vm="17667">
        <f ca="1"/>
        <v>19.079999999999998</v>
      </c>
      <c r="EK102" vm="17669">
        <f ca="1"/>
        <v>19</v>
      </c>
      <c r="EL102" vm="17549">
        <f ca="1"/>
        <v>19.23</v>
      </c>
      <c r="EM102" vm="17711">
        <f ca="1"/>
        <v>19.37</v>
      </c>
      <c r="EN102" vm="17714">
        <f ca="1"/>
        <v>19.168900000000001</v>
      </c>
      <c r="EO102" vm="17715">
        <f ca="1"/>
        <v>19.1904</v>
      </c>
      <c r="EP102" vm="17716">
        <f ca="1"/>
        <v>19.03</v>
      </c>
      <c r="EQ102" vm="17585">
        <f ca="1"/>
        <v>19.09</v>
      </c>
      <c r="ER102" vm="17717">
        <f ca="1"/>
        <v>19.236899999999999</v>
      </c>
      <c r="ES102" vm="17555">
        <f ca="1"/>
        <v>19.63</v>
      </c>
      <c r="ET102" vm="17718">
        <f ca="1"/>
        <v>19.72</v>
      </c>
      <c r="EU102" vm="17719">
        <f ca="1"/>
        <v>19.84</v>
      </c>
      <c r="EV102" vm="13301">
        <f ca="1"/>
        <v>19.809999999999999</v>
      </c>
      <c r="EW102" vm="13298">
        <f ca="1"/>
        <v>19.760000000000002</v>
      </c>
      <c r="EX102" vm="17276">
        <f ca="1"/>
        <v>19.649999999999999</v>
      </c>
      <c r="EY102" vm="17551">
        <f ca="1"/>
        <v>19.55</v>
      </c>
      <c r="EZ102" vm="17720">
        <f ca="1"/>
        <v>19.52</v>
      </c>
      <c r="FA102" vm="17664">
        <f ca="1"/>
        <v>19.350000000000001</v>
      </c>
      <c r="FB102" vm="17721">
        <f ca="1"/>
        <v>19.260000000000002</v>
      </c>
      <c r="FC102" vm="17686">
        <f ca="1"/>
        <v>19.190000000000001</v>
      </c>
      <c r="FD102" vm="17552">
        <f ca="1"/>
        <v>19.28</v>
      </c>
      <c r="FE102" vm="17722">
        <f ca="1"/>
        <v>19.2</v>
      </c>
      <c r="FF102" vm="17675">
        <f ca="1"/>
        <v>19.489999999999998</v>
      </c>
      <c r="FG102" vm="17723">
        <f ca="1"/>
        <v>19.559999999999999</v>
      </c>
      <c r="FH102" vm="13297">
        <f ca="1"/>
        <v>19.59</v>
      </c>
      <c r="FI102" vm="13300">
        <f ca="1"/>
        <v>19.510000000000002</v>
      </c>
      <c r="FJ102" vm="17718">
        <f ca="1"/>
        <v>19.72</v>
      </c>
      <c r="FK102" vm="17723">
        <f ca="1"/>
        <v>19.559999999999999</v>
      </c>
      <c r="FL102" vm="17724">
        <f ca="1"/>
        <v>19.747</v>
      </c>
      <c r="FM102" vm="17720">
        <f ca="1"/>
        <v>19.52</v>
      </c>
      <c r="FN102" vm="16726">
        <f ca="1"/>
        <v>19.43</v>
      </c>
      <c r="FO102" vm="17712">
        <f ca="1"/>
        <v>19.329999999999998</v>
      </c>
      <c r="FP102" vm="17725">
        <f ca="1"/>
        <v>19.437000000000001</v>
      </c>
      <c r="FQ102" vm="17550">
        <f ca="1"/>
        <v>19.5</v>
      </c>
      <c r="FR102" vm="17726">
        <f ca="1"/>
        <v>19.64</v>
      </c>
      <c r="FS102" vm="17276">
        <f ca="1"/>
        <v>19.649999999999999</v>
      </c>
      <c r="FT102" vm="13298">
        <f ca="1"/>
        <v>19.760000000000002</v>
      </c>
      <c r="FU102" vm="17675">
        <f ca="1"/>
        <v>19.489999999999998</v>
      </c>
      <c r="FV102" vm="17727">
        <f ca="1"/>
        <v>19.603899999999999</v>
      </c>
      <c r="FW102" vm="17728">
        <f ca="1"/>
        <v>19.71</v>
      </c>
      <c r="FX102" vm="2453">
        <f ca="1"/>
        <v>19.88</v>
      </c>
      <c r="FY102" vm="17729">
        <f ca="1"/>
        <v>19.899999999999999</v>
      </c>
      <c r="FZ102" vm="17556">
        <f ca="1"/>
        <v>19.79</v>
      </c>
      <c r="GA102" vm="13301">
        <f ca="1"/>
        <v>19.809999999999999</v>
      </c>
      <c r="GB102" vm="17681">
        <f ca="1"/>
        <v>19.920000000000002</v>
      </c>
      <c r="GC102" vm="2454">
        <f ca="1"/>
        <v>19.940000000000001</v>
      </c>
      <c r="GD102" vm="13277">
        <f ca="1"/>
        <v>19.91</v>
      </c>
      <c r="GE102" vm="17562">
        <f ca="1"/>
        <v>20.22</v>
      </c>
      <c r="GF102" vm="13276">
        <f ca="1"/>
        <v>20.39</v>
      </c>
      <c r="GG102" vm="17730">
        <f ca="1"/>
        <v>20.56</v>
      </c>
      <c r="GH102" vm="2450">
        <f ca="1"/>
        <v>20.53</v>
      </c>
      <c r="GI102" vm="17731">
        <f ca="1"/>
        <v>20.239999999999998</v>
      </c>
      <c r="GJ102" vm="17732">
        <f ca="1"/>
        <v>20.21</v>
      </c>
      <c r="GK102" vm="13305">
        <f ca="1"/>
        <v>20.2</v>
      </c>
      <c r="GL102" vm="17733">
        <f ca="1"/>
        <v>20.09</v>
      </c>
      <c r="GM102" vm="13302">
        <f ca="1"/>
        <v>20.059999999999999</v>
      </c>
      <c r="GN102" vm="16730">
        <f ca="1"/>
        <v>20.34</v>
      </c>
      <c r="GO102" vm="13292">
        <f ca="1"/>
        <v>20.420000000000002</v>
      </c>
      <c r="GP102" vm="13308">
        <f ca="1"/>
        <v>20.23</v>
      </c>
      <c r="GQ102" vm="17734">
        <f ca="1"/>
        <v>20.57</v>
      </c>
      <c r="GR102" vm="13318">
        <f ca="1"/>
        <v>20.54</v>
      </c>
      <c r="GS102" vm="17282">
        <f ca="1"/>
        <v>20.66</v>
      </c>
      <c r="GT102" vm="13311">
        <f ca="1"/>
        <v>20.86</v>
      </c>
      <c r="GU102" vm="2442">
        <f ca="1"/>
        <v>20.96</v>
      </c>
      <c r="GV102" vm="3132">
        <f ca="1"/>
        <v>21</v>
      </c>
      <c r="GW102" vm="16707">
        <f ca="1"/>
        <v>21.13</v>
      </c>
      <c r="GX102" vm="17735">
        <f ca="1"/>
        <v>21.01</v>
      </c>
      <c r="GY102" vm="2127">
        <f ca="1"/>
        <v>21.3</v>
      </c>
      <c r="GZ102" vm="16734">
        <f ca="1"/>
        <v>20.82</v>
      </c>
      <c r="HA102" vm="16707">
        <f ca="1"/>
        <v>21.13</v>
      </c>
      <c r="HB102" vm="2445">
        <f ca="1"/>
        <v>20.87</v>
      </c>
      <c r="HC102" vm="13311">
        <f ca="1"/>
        <v>20.86</v>
      </c>
      <c r="HD102" vm="16735">
        <f ca="1"/>
        <v>21.08</v>
      </c>
      <c r="HE102" vm="2441">
        <f ca="1"/>
        <v>20.95</v>
      </c>
      <c r="HF102" vm="17736">
        <f ca="1"/>
        <v>21.1113</v>
      </c>
      <c r="HG102" vm="2131">
        <f ca="1"/>
        <v>20.97</v>
      </c>
      <c r="HH102" vm="16741">
        <f ca="1"/>
        <v>21.35</v>
      </c>
      <c r="HI102" vm="16724">
        <f ca="1"/>
        <v>21.51</v>
      </c>
      <c r="HJ102" vm="16711">
        <f ca="1"/>
        <v>21.6</v>
      </c>
      <c r="HK102" vm="16720">
        <f ca="1"/>
        <v>21.81</v>
      </c>
      <c r="HL102" vm="16720">
        <f ca="1"/>
        <v>21.81</v>
      </c>
      <c r="HM102" vm="17737">
        <f ca="1"/>
        <v>21.8</v>
      </c>
      <c r="HN102" vm="2748">
        <f ca="1"/>
        <v>21.7</v>
      </c>
      <c r="HO102" vm="13249">
        <f ca="1"/>
        <v>21.95</v>
      </c>
      <c r="HP102" vm="13251">
        <f ca="1"/>
        <v>21.92</v>
      </c>
      <c r="HQ102" vm="16715">
        <f ca="1"/>
        <v>21.62</v>
      </c>
      <c r="HR102" vm="16359">
        <f ca="1"/>
        <v>21.59</v>
      </c>
      <c r="HS102" vm="16724">
        <f ca="1"/>
        <v>21.51</v>
      </c>
      <c r="HT102" vm="16711">
        <f ca="1"/>
        <v>21.6</v>
      </c>
      <c r="HU102" vm="16742">
        <f ca="1"/>
        <v>21.77</v>
      </c>
      <c r="HV102" vm="2285">
        <f ca="1"/>
        <v>21.74</v>
      </c>
      <c r="HW102" vm="17737">
        <f ca="1"/>
        <v>21.8</v>
      </c>
      <c r="HX102" vm="13339">
        <f ca="1"/>
        <v>21.65</v>
      </c>
      <c r="HY102" vm="16718">
        <f ca="1"/>
        <v>21.58</v>
      </c>
      <c r="HZ102" vm="16710">
        <f ca="1"/>
        <v>21.33</v>
      </c>
      <c r="IA102" vm="2129">
        <f ca="1"/>
        <v>21.22</v>
      </c>
      <c r="IB102" vm="2281">
        <f ca="1"/>
        <v>21.43</v>
      </c>
      <c r="IC102" vm="2121">
        <f ca="1"/>
        <v>21.23</v>
      </c>
      <c r="ID102" vm="2282">
        <f ca="1"/>
        <v>21.31</v>
      </c>
      <c r="IE102" vm="2283">
        <f ca="1"/>
        <v>21.4</v>
      </c>
      <c r="IF102" vm="2284">
        <f ca="1"/>
        <v>21.46</v>
      </c>
      <c r="IG102" vm="2285">
        <f ca="1"/>
        <v>21.74</v>
      </c>
      <c r="IH102" vm="2286">
        <f ca="1"/>
        <v>21.98</v>
      </c>
      <c r="II102" vm="52">
        <f ca="1"/>
        <v>22.01</v>
      </c>
      <c r="IJ102" vm="2287">
        <f ca="1"/>
        <v>21.89</v>
      </c>
      <c r="IK102" vm="2288">
        <f ca="1"/>
        <v>22.24</v>
      </c>
      <c r="IL102" vm="2289">
        <f ca="1"/>
        <v>22.21</v>
      </c>
      <c r="IM102" vm="2290">
        <f ca="1"/>
        <v>22.43</v>
      </c>
      <c r="IN102" vm="2291">
        <f ca="1"/>
        <v>22.46</v>
      </c>
      <c r="IO102" vm="2292">
        <f ca="1"/>
        <v>22.06</v>
      </c>
      <c r="IP102" vm="2293">
        <f ca="1"/>
        <v>22.23</v>
      </c>
      <c r="IQ102" vm="2294">
        <f ca="1"/>
        <v>22.49</v>
      </c>
      <c r="IR102" vm="2295">
        <f ca="1"/>
        <v>22.18</v>
      </c>
      <c r="IS102" vm="2296">
        <f ca="1"/>
        <v>22.22</v>
      </c>
      <c r="IT102" vm="2297">
        <f ca="1"/>
        <v>22.13</v>
      </c>
      <c r="IU102" vm="2298">
        <f ca="1"/>
        <v>22.33</v>
      </c>
      <c r="IV102" vm="2299">
        <f ca="1"/>
        <v>22.39</v>
      </c>
      <c r="IW102" vm="35">
        <f ca="1"/>
        <v>22.64</v>
      </c>
    </row>
    <row r="103" spans="1:259" ht="16" x14ac:dyDescent="0.2">
      <c r="A103" t="e" vm="2300">
        <v>#VALUE!</v>
      </c>
      <c r="B103" s="23" t="str" cm="1">
        <f t="array" aca="1" ref="B103" ca="1">_FV(A103,"ticker symbol",TRUE)</f>
        <v>PALL</v>
      </c>
      <c r="C103" s="23" t="str" cm="1">
        <f t="array" aca="1" ref="C103" ca="1">_FV(A103,"Name")</f>
        <v>abrdn:Physical Palladium</v>
      </c>
      <c r="D103" cm="1" vm="15279">
        <f t="array" aca="1" ref="D103:IW103" ca="1">TRANSPOSE(_xlfn.STOCKHISTORY(B103, WORKDAY(TODAY(), -265), TODAY(), 0, 0, 1))</f>
        <v>86.67</v>
      </c>
      <c r="E103" vm="6791">
        <f ca="1"/>
        <v>86.01</v>
      </c>
      <c r="F103" vm="3176">
        <f ca="1"/>
        <v>82.92</v>
      </c>
      <c r="G103" vm="17738">
        <f ca="1"/>
        <v>83.43</v>
      </c>
      <c r="H103" vm="17739">
        <f ca="1"/>
        <v>84.21</v>
      </c>
      <c r="I103" vm="7257">
        <f ca="1"/>
        <v>85.21</v>
      </c>
      <c r="J103" vm="17740">
        <f ca="1"/>
        <v>86.649199999999993</v>
      </c>
      <c r="K103" vm="7275">
        <f ca="1"/>
        <v>84.95</v>
      </c>
      <c r="L103" vm="13011">
        <f ca="1"/>
        <v>83.82</v>
      </c>
      <c r="M103" vm="17741">
        <f ca="1"/>
        <v>82.725800000000007</v>
      </c>
      <c r="N103" vm="5952">
        <f ca="1"/>
        <v>83.52</v>
      </c>
      <c r="O103" vm="6742">
        <f ca="1"/>
        <v>83.75</v>
      </c>
      <c r="P103" vm="13015">
        <f ca="1"/>
        <v>84.71</v>
      </c>
      <c r="Q103" vm="17742">
        <f ca="1"/>
        <v>84.43</v>
      </c>
      <c r="R103" vm="1974">
        <f ca="1"/>
        <v>85.1</v>
      </c>
      <c r="S103" vm="17743">
        <f ca="1"/>
        <v>85.09</v>
      </c>
      <c r="T103" vm="10909">
        <f ca="1"/>
        <v>86.79</v>
      </c>
      <c r="U103" vm="17744">
        <f ca="1"/>
        <v>86.21</v>
      </c>
      <c r="V103" vm="12468">
        <f ca="1"/>
        <v>86.15</v>
      </c>
      <c r="W103" vm="16218">
        <f ca="1"/>
        <v>88.4</v>
      </c>
      <c r="X103" vm="7951">
        <f ca="1"/>
        <v>86.16</v>
      </c>
      <c r="Y103" vm="6173">
        <f ca="1"/>
        <v>87.21</v>
      </c>
      <c r="Z103" vm="14606">
        <f ca="1"/>
        <v>87.54</v>
      </c>
      <c r="AA103" vm="16219">
        <f ca="1"/>
        <v>90.27</v>
      </c>
      <c r="AB103" vm="16238">
        <f ca="1"/>
        <v>91.05</v>
      </c>
      <c r="AC103" vm="17745">
        <f ca="1"/>
        <v>90.28</v>
      </c>
      <c r="AD103" vm="3143">
        <f ca="1"/>
        <v>87.97</v>
      </c>
      <c r="AE103" vm="17746">
        <f ca="1"/>
        <v>87.37</v>
      </c>
      <c r="AF103" vm="592">
        <f ca="1"/>
        <v>88.15</v>
      </c>
      <c r="AG103" vm="8288">
        <f ca="1"/>
        <v>90.67</v>
      </c>
      <c r="AH103" vm="6120">
        <f ca="1"/>
        <v>92.43</v>
      </c>
      <c r="AI103" vm="6116">
        <f ca="1"/>
        <v>92.52</v>
      </c>
      <c r="AJ103" vm="4468">
        <f ca="1"/>
        <v>91.15</v>
      </c>
      <c r="AK103" vm="6757">
        <f ca="1"/>
        <v>90.99</v>
      </c>
      <c r="AL103" vm="1496">
        <f ca="1"/>
        <v>89.8</v>
      </c>
      <c r="AM103" vm="2026">
        <f ca="1"/>
        <v>88.85</v>
      </c>
      <c r="AN103" vm="2854">
        <f ca="1"/>
        <v>90.07</v>
      </c>
      <c r="AO103" vm="6758">
        <f ca="1"/>
        <v>89.92</v>
      </c>
      <c r="AP103" vm="4533">
        <f ca="1"/>
        <v>89.27</v>
      </c>
      <c r="AQ103" vm="6080">
        <f ca="1"/>
        <v>91.22</v>
      </c>
      <c r="AR103" vm="17747">
        <f ca="1"/>
        <v>89.48</v>
      </c>
      <c r="AS103" vm="6088">
        <f ca="1"/>
        <v>90.16</v>
      </c>
      <c r="AT103" vm="16228">
        <f ca="1"/>
        <v>89.12</v>
      </c>
      <c r="AU103" vm="13447">
        <f ca="1"/>
        <v>89.6</v>
      </c>
      <c r="AV103" vm="12458">
        <f ca="1"/>
        <v>88.69</v>
      </c>
      <c r="AW103" vm="6790">
        <f ca="1"/>
        <v>85.87</v>
      </c>
      <c r="AX103" vm="6184">
        <f ca="1"/>
        <v>85.08</v>
      </c>
      <c r="AY103" vm="17748">
        <f ca="1"/>
        <v>84.9</v>
      </c>
      <c r="AZ103" vm="17749">
        <f ca="1"/>
        <v>84.11</v>
      </c>
      <c r="BA103" vm="17750">
        <f ca="1"/>
        <v>84.5</v>
      </c>
      <c r="BB103" vm="17751">
        <f ca="1"/>
        <v>85.73</v>
      </c>
      <c r="BC103" vm="6152">
        <f ca="1"/>
        <v>86.59</v>
      </c>
      <c r="BD103" vm="6766">
        <f ca="1"/>
        <v>86.54</v>
      </c>
      <c r="BE103" vm="6769">
        <f ca="1"/>
        <v>86.3</v>
      </c>
      <c r="BF103" vm="17752">
        <f ca="1"/>
        <v>86.96</v>
      </c>
      <c r="BG103" vm="6106">
        <f ca="1"/>
        <v>85.7</v>
      </c>
      <c r="BH103" vm="17753">
        <f ca="1"/>
        <v>86.4</v>
      </c>
      <c r="BI103" vm="14589">
        <f ca="1"/>
        <v>86.95</v>
      </c>
      <c r="BJ103" vm="6815">
        <f ca="1"/>
        <v>87.87</v>
      </c>
      <c r="BK103" vm="12981">
        <f ca="1"/>
        <v>88.25</v>
      </c>
      <c r="BL103" vm="6155">
        <f ca="1"/>
        <v>88.66</v>
      </c>
      <c r="BM103" vm="6756">
        <f ca="1"/>
        <v>88.62</v>
      </c>
      <c r="BN103" vm="16204">
        <f ca="1"/>
        <v>87.85</v>
      </c>
      <c r="BO103" vm="6762">
        <f ca="1"/>
        <v>87.06</v>
      </c>
      <c r="BP103" vm="14607">
        <f ca="1"/>
        <v>87.62</v>
      </c>
      <c r="BQ103" vm="6789">
        <f ca="1"/>
        <v>87.12</v>
      </c>
      <c r="BR103" vm="15684">
        <f ca="1"/>
        <v>87.75</v>
      </c>
      <c r="BS103" vm="16207">
        <f ca="1"/>
        <v>88.75</v>
      </c>
      <c r="BT103" vm="12500">
        <f ca="1"/>
        <v>89.58</v>
      </c>
      <c r="BU103" vm="104">
        <f ca="1"/>
        <v>88.92</v>
      </c>
      <c r="BV103" vm="15283">
        <f ca="1"/>
        <v>90.55</v>
      </c>
      <c r="BW103" vm="2839">
        <f ca="1"/>
        <v>90.3</v>
      </c>
      <c r="BX103" vm="14598">
        <f ca="1"/>
        <v>89.02</v>
      </c>
      <c r="BY103" vm="17754">
        <f ca="1"/>
        <v>84.84</v>
      </c>
      <c r="BZ103" vm="15382">
        <f ca="1"/>
        <v>84.07</v>
      </c>
      <c r="CA103" vm="12477">
        <f ca="1"/>
        <v>83.02</v>
      </c>
      <c r="CB103" vm="1836">
        <f ca="1"/>
        <v>82.97</v>
      </c>
      <c r="CC103" vm="2670">
        <f ca="1"/>
        <v>84</v>
      </c>
      <c r="CD103" vm="10210">
        <f ca="1"/>
        <v>83.78</v>
      </c>
      <c r="CE103" vm="6069">
        <f ca="1"/>
        <v>83.93</v>
      </c>
      <c r="CF103" vm="10218">
        <f ca="1"/>
        <v>87.15</v>
      </c>
      <c r="CG103" vm="1499">
        <f ca="1"/>
        <v>88.77</v>
      </c>
      <c r="CH103" vm="4511">
        <f ca="1"/>
        <v>88.65</v>
      </c>
      <c r="CI103" vm="6110">
        <f ca="1"/>
        <v>87.38</v>
      </c>
      <c r="CJ103" vm="17755">
        <f ca="1"/>
        <v>85.68</v>
      </c>
      <c r="CK103" vm="10230">
        <f ca="1"/>
        <v>85.12</v>
      </c>
      <c r="CL103" vm="17756">
        <f ca="1"/>
        <v>85.76</v>
      </c>
      <c r="CM103" vm="6213">
        <f ca="1"/>
        <v>86.69</v>
      </c>
      <c r="CN103" vm="6850">
        <f ca="1"/>
        <v>85.82</v>
      </c>
      <c r="CO103" vm="6124">
        <f ca="1"/>
        <v>86.74</v>
      </c>
      <c r="CP103" vm="6136">
        <f ca="1"/>
        <v>85.77</v>
      </c>
      <c r="CQ103" vm="14595">
        <f ca="1"/>
        <v>86</v>
      </c>
      <c r="CR103" vm="6165">
        <f ca="1"/>
        <v>86.19</v>
      </c>
      <c r="CS103" vm="14594">
        <f ca="1"/>
        <v>86.83</v>
      </c>
      <c r="CT103" vm="6165">
        <f ca="1"/>
        <v>86.19</v>
      </c>
      <c r="CU103" vm="104">
        <f ca="1"/>
        <v>88.92</v>
      </c>
      <c r="CV103" vm="6153">
        <f ca="1"/>
        <v>88.1</v>
      </c>
      <c r="CW103" vm="6203">
        <f ca="1"/>
        <v>88.91</v>
      </c>
      <c r="CX103" vm="1493">
        <f ca="1"/>
        <v>89.39</v>
      </c>
      <c r="CY103" vm="14590">
        <f ca="1"/>
        <v>86.2</v>
      </c>
      <c r="CZ103" vm="6789">
        <f ca="1"/>
        <v>87.12</v>
      </c>
      <c r="DA103" vm="17752">
        <f ca="1"/>
        <v>86.96</v>
      </c>
      <c r="DB103" vm="533">
        <f ca="1"/>
        <v>87.81</v>
      </c>
      <c r="DC103" vm="4531">
        <f ca="1"/>
        <v>87.69</v>
      </c>
      <c r="DD103" vm="6093">
        <f ca="1"/>
        <v>89.04</v>
      </c>
      <c r="DE103" vm="17757">
        <f ca="1"/>
        <v>92.97</v>
      </c>
      <c r="DF103" vm="4488">
        <f ca="1"/>
        <v>94.39</v>
      </c>
      <c r="DG103" vm="17758">
        <f ca="1"/>
        <v>92.08</v>
      </c>
      <c r="DH103" vm="17759">
        <f ca="1"/>
        <v>91.2</v>
      </c>
      <c r="DI103" vm="6821">
        <f ca="1"/>
        <v>89.51</v>
      </c>
      <c r="DJ103" vm="17760">
        <f ca="1"/>
        <v>88.45</v>
      </c>
      <c r="DK103" vm="2025">
        <f ca="1"/>
        <v>89.19</v>
      </c>
      <c r="DL103" vm="17761">
        <f ca="1"/>
        <v>88.78</v>
      </c>
      <c r="DM103" vm="6808">
        <f ca="1"/>
        <v>90.68</v>
      </c>
      <c r="DN103" vm="1314">
        <f ca="1"/>
        <v>92.57</v>
      </c>
      <c r="DO103" vm="7940">
        <f ca="1"/>
        <v>91.66</v>
      </c>
      <c r="DP103" vm="16269">
        <f ca="1"/>
        <v>92.33</v>
      </c>
      <c r="DQ103" vm="4492">
        <f ca="1"/>
        <v>95.66</v>
      </c>
      <c r="DR103" vm="17762">
        <f ca="1"/>
        <v>98.6</v>
      </c>
      <c r="DS103" vm="13668">
        <f ca="1"/>
        <v>97.08</v>
      </c>
      <c r="DT103" vm="11917">
        <f ca="1"/>
        <v>97.66</v>
      </c>
      <c r="DU103" vm="13672">
        <f ca="1"/>
        <v>96.99</v>
      </c>
      <c r="DV103" vm="17763">
        <f ca="1"/>
        <v>94.41</v>
      </c>
      <c r="DW103" vm="4482">
        <f ca="1"/>
        <v>94.36</v>
      </c>
      <c r="DX103" vm="2040">
        <f ca="1"/>
        <v>95.79</v>
      </c>
      <c r="DY103" vm="12453">
        <f ca="1"/>
        <v>95.48</v>
      </c>
      <c r="DZ103" vm="16274">
        <f ca="1"/>
        <v>95.9</v>
      </c>
      <c r="EA103" vm="10900">
        <f ca="1"/>
        <v>98.19</v>
      </c>
      <c r="EB103" vm="8279">
        <f ca="1"/>
        <v>97.15</v>
      </c>
      <c r="EC103" vm="4590">
        <f ca="1"/>
        <v>97.64</v>
      </c>
      <c r="ED103" vm="1050">
        <f ca="1"/>
        <v>103.91</v>
      </c>
      <c r="EE103" vm="8304">
        <f ca="1"/>
        <v>103.53</v>
      </c>
      <c r="EF103" vm="274">
        <f ca="1"/>
        <v>100.61</v>
      </c>
      <c r="EG103" vm="17764">
        <f ca="1"/>
        <v>101.16</v>
      </c>
      <c r="EH103" vm="17765">
        <f ca="1"/>
        <v>106.05</v>
      </c>
      <c r="EI103" vm="11956">
        <f ca="1"/>
        <v>104.04</v>
      </c>
      <c r="EJ103" vm="17766">
        <f ca="1"/>
        <v>101.46</v>
      </c>
      <c r="EK103" vm="17767">
        <f ca="1"/>
        <v>101.2</v>
      </c>
      <c r="EL103" vm="17768">
        <f ca="1"/>
        <v>101.25</v>
      </c>
      <c r="EM103" vm="17769">
        <f ca="1"/>
        <v>104.9</v>
      </c>
      <c r="EN103" vm="1239">
        <f ca="1"/>
        <v>111.05</v>
      </c>
      <c r="EO103" vm="8003">
        <f ca="1"/>
        <v>109.11</v>
      </c>
      <c r="EP103" vm="17770">
        <f ca="1"/>
        <v>109.13</v>
      </c>
      <c r="EQ103" vm="7995">
        <f ca="1"/>
        <v>112.88</v>
      </c>
      <c r="ER103" vm="12859">
        <f ca="1"/>
        <v>117.24</v>
      </c>
      <c r="ES103" vm="14660">
        <f ca="1"/>
        <v>114.22</v>
      </c>
      <c r="ET103" vm="12177">
        <f ca="1"/>
        <v>115.31</v>
      </c>
      <c r="EU103" vm="17771">
        <f ca="1"/>
        <v>116.95</v>
      </c>
      <c r="EV103" vm="17772">
        <f ca="1"/>
        <v>117.02</v>
      </c>
      <c r="EW103" vm="12168">
        <f ca="1"/>
        <v>112.87</v>
      </c>
      <c r="EX103" vm="17773">
        <f ca="1"/>
        <v>111.73</v>
      </c>
      <c r="EY103" vm="17774">
        <f ca="1"/>
        <v>112.47</v>
      </c>
      <c r="EZ103" vm="17775">
        <f ca="1"/>
        <v>114.51</v>
      </c>
      <c r="FA103" vm="17776">
        <f ca="1"/>
        <v>108.42</v>
      </c>
      <c r="FB103" vm="17777">
        <f ca="1"/>
        <v>108.66</v>
      </c>
      <c r="FC103" vm="17778">
        <f ca="1"/>
        <v>110.11</v>
      </c>
      <c r="FD103" vm="9266">
        <f ca="1"/>
        <v>108.91</v>
      </c>
      <c r="FE103" vm="17779">
        <f ca="1"/>
        <v>107.39</v>
      </c>
      <c r="FF103" vm="8051">
        <f ca="1"/>
        <v>104.41</v>
      </c>
      <c r="FG103" vm="17780">
        <f ca="1"/>
        <v>105.66</v>
      </c>
      <c r="FH103" vm="4643">
        <f ca="1"/>
        <v>102.45</v>
      </c>
      <c r="FI103" vm="11964">
        <f ca="1"/>
        <v>104.71</v>
      </c>
      <c r="FJ103" vm="17781">
        <f ca="1"/>
        <v>102.83</v>
      </c>
      <c r="FK103" vm="282">
        <f ca="1"/>
        <v>103.55</v>
      </c>
      <c r="FL103" vm="7962">
        <f ca="1"/>
        <v>104.69</v>
      </c>
      <c r="FM103" vm="7963">
        <f ca="1"/>
        <v>101.93</v>
      </c>
      <c r="FN103" vm="13598">
        <f ca="1"/>
        <v>102.16</v>
      </c>
      <c r="FO103" vm="13731">
        <f ca="1"/>
        <v>101.13</v>
      </c>
      <c r="FP103" vm="7911">
        <f ca="1"/>
        <v>101.68</v>
      </c>
      <c r="FQ103" vm="4609">
        <f ca="1"/>
        <v>101.3</v>
      </c>
      <c r="FR103" vm="1054">
        <f ca="1"/>
        <v>102.71</v>
      </c>
      <c r="FS103" vm="17782">
        <f ca="1"/>
        <v>100.22</v>
      </c>
      <c r="FT103" vm="3199">
        <f ca="1"/>
        <v>100.58</v>
      </c>
      <c r="FU103" vm="17783">
        <f ca="1"/>
        <v>99.79</v>
      </c>
      <c r="FV103" vm="4608">
        <f ca="1"/>
        <v>100.84</v>
      </c>
      <c r="FW103" vm="10942">
        <f ca="1"/>
        <v>101.17</v>
      </c>
      <c r="FX103" vm="7907">
        <f ca="1"/>
        <v>104.1</v>
      </c>
      <c r="FY103" vm="17784">
        <f ca="1"/>
        <v>104.64</v>
      </c>
      <c r="FZ103" vm="11929">
        <f ca="1"/>
        <v>102.55</v>
      </c>
      <c r="GA103" vm="5556">
        <f ca="1"/>
        <v>101.69</v>
      </c>
      <c r="GB103" vm="17785">
        <f ca="1"/>
        <v>103.98</v>
      </c>
      <c r="GC103" vm="677">
        <f ca="1"/>
        <v>103.89</v>
      </c>
      <c r="GD103" vm="13042">
        <f ca="1"/>
        <v>107.56</v>
      </c>
      <c r="GE103" vm="7978">
        <f ca="1"/>
        <v>108.71</v>
      </c>
      <c r="GF103" vm="17786">
        <f ca="1"/>
        <v>110.66</v>
      </c>
      <c r="GG103" vm="17787">
        <f ca="1"/>
        <v>109.36</v>
      </c>
      <c r="GH103" vm="15691">
        <f ca="1"/>
        <v>107.3</v>
      </c>
      <c r="GI103" vm="10992">
        <f ca="1"/>
        <v>105.26</v>
      </c>
      <c r="GJ103" vm="8050">
        <f ca="1"/>
        <v>105.49</v>
      </c>
      <c r="GK103" vm="17788">
        <f ca="1"/>
        <v>104.85</v>
      </c>
      <c r="GL103" vm="17789">
        <f ca="1"/>
        <v>108.36</v>
      </c>
      <c r="GM103" vm="17790">
        <f ca="1"/>
        <v>111.79</v>
      </c>
      <c r="GN103" vm="11979">
        <f ca="1"/>
        <v>110.34</v>
      </c>
      <c r="GO103" vm="17791">
        <f ca="1"/>
        <v>115.03</v>
      </c>
      <c r="GP103" vm="10840">
        <f ca="1"/>
        <v>115.91</v>
      </c>
      <c r="GQ103" vm="12012">
        <f ca="1"/>
        <v>115.35</v>
      </c>
      <c r="GR103" vm="5680">
        <f ca="1"/>
        <v>114.17</v>
      </c>
      <c r="GS103" vm="14915">
        <f ca="1"/>
        <v>114.15</v>
      </c>
      <c r="GT103" vm="5651">
        <f ca="1"/>
        <v>114.08</v>
      </c>
      <c r="GU103" vm="17792">
        <f ca="1"/>
        <v>115.68</v>
      </c>
      <c r="GV103" vm="14648">
        <f ca="1"/>
        <v>121.33</v>
      </c>
      <c r="GW103" vm="17793">
        <f ca="1"/>
        <v>122.96</v>
      </c>
      <c r="GX103" vm="17794">
        <f ca="1"/>
        <v>134.28</v>
      </c>
      <c r="GY103" vm="17795">
        <f ca="1"/>
        <v>129.43</v>
      </c>
      <c r="GZ103" vm="17796">
        <f ca="1"/>
        <v>129.53</v>
      </c>
      <c r="HA103" vm="6425">
        <f ca="1"/>
        <v>134.88999999999999</v>
      </c>
      <c r="HB103" vm="14382">
        <f ca="1"/>
        <v>138.38999999999999</v>
      </c>
      <c r="HC103" vm="17797">
        <f ca="1"/>
        <v>140.86000000000001</v>
      </c>
      <c r="HD103" vm="1771">
        <f ca="1"/>
        <v>147.62</v>
      </c>
      <c r="HE103" vm="9404">
        <f ca="1"/>
        <v>132.62</v>
      </c>
      <c r="HF103" vm="17798">
        <f ca="1"/>
        <v>137.93</v>
      </c>
      <c r="HG103" vm="14690">
        <f ca="1"/>
        <v>128.44</v>
      </c>
      <c r="HH103" vm="12811">
        <f ca="1"/>
        <v>132.32</v>
      </c>
      <c r="HI103" vm="12899">
        <f ca="1"/>
        <v>131.74</v>
      </c>
      <c r="HJ103" vm="6628">
        <f ca="1"/>
        <v>130.28</v>
      </c>
      <c r="HK103" vm="14691">
        <f ca="1"/>
        <v>127.42</v>
      </c>
      <c r="HL103" vm="17799">
        <f ca="1"/>
        <v>127.88</v>
      </c>
      <c r="HM103" vm="17800">
        <f ca="1"/>
        <v>127.91</v>
      </c>
      <c r="HN103" vm="14963">
        <f ca="1"/>
        <v>132.38</v>
      </c>
      <c r="HO103" vm="12818">
        <f ca="1"/>
        <v>131.66999999999999</v>
      </c>
      <c r="HP103" vm="12120">
        <f ca="1"/>
        <v>130.99</v>
      </c>
      <c r="HQ103" vm="8379">
        <f ca="1"/>
        <v>127.08</v>
      </c>
      <c r="HR103" vm="14697">
        <f ca="1"/>
        <v>129.61000000000001</v>
      </c>
      <c r="HS103" vm="17801">
        <f ca="1"/>
        <v>125.44</v>
      </c>
      <c r="HT103" vm="12239">
        <f ca="1"/>
        <v>126.49</v>
      </c>
      <c r="HU103" vm="1309">
        <f ca="1"/>
        <v>129.88</v>
      </c>
      <c r="HV103" vm="17802">
        <f ca="1"/>
        <v>132.22</v>
      </c>
      <c r="HW103" vm="17794">
        <f ca="1"/>
        <v>134.28</v>
      </c>
      <c r="HX103" vm="17803">
        <f ca="1"/>
        <v>130.01</v>
      </c>
      <c r="HY103" vm="1311">
        <f ca="1"/>
        <v>127.9</v>
      </c>
      <c r="HZ103" vm="12139">
        <f ca="1"/>
        <v>126.31</v>
      </c>
      <c r="IA103" vm="3033">
        <f ca="1"/>
        <v>128.05000000000001</v>
      </c>
      <c r="IB103" vm="2301">
        <f ca="1"/>
        <v>126.26</v>
      </c>
      <c r="IC103" vm="2302">
        <f ca="1"/>
        <v>125.27</v>
      </c>
      <c r="ID103" vm="2303">
        <f ca="1"/>
        <v>124.7</v>
      </c>
      <c r="IE103" vm="2304">
        <f ca="1"/>
        <v>127.2</v>
      </c>
      <c r="IF103" vm="2305">
        <f ca="1"/>
        <v>126.79</v>
      </c>
      <c r="IG103" vm="2306">
        <f ca="1"/>
        <v>129.55000000000001</v>
      </c>
      <c r="IH103" vm="2307">
        <f ca="1"/>
        <v>132.43</v>
      </c>
      <c r="II103" vm="1730">
        <f ca="1"/>
        <v>130</v>
      </c>
      <c r="IJ103" vm="2308">
        <f ca="1"/>
        <v>133.93</v>
      </c>
      <c r="IK103" vm="2309">
        <f ca="1"/>
        <v>134.68</v>
      </c>
      <c r="IL103" vm="2310">
        <f ca="1"/>
        <v>132.28</v>
      </c>
      <c r="IM103" vm="2311">
        <f ca="1"/>
        <v>133</v>
      </c>
      <c r="IN103" vm="2312">
        <f ca="1"/>
        <v>133.91999999999999</v>
      </c>
      <c r="IO103" vm="2313">
        <f ca="1"/>
        <v>137.38999999999999</v>
      </c>
      <c r="IP103" vm="2314">
        <f ca="1"/>
        <v>134.46</v>
      </c>
      <c r="IQ103" vm="2315">
        <f ca="1"/>
        <v>136.47</v>
      </c>
      <c r="IR103" vm="2316">
        <f ca="1"/>
        <v>136.5</v>
      </c>
      <c r="IS103" vm="2317">
        <f ca="1"/>
        <v>143.38999999999999</v>
      </c>
      <c r="IT103" vm="2318">
        <f ca="1"/>
        <v>146.11000000000001</v>
      </c>
      <c r="IU103" vm="2319">
        <f ca="1"/>
        <v>149.47999999999999</v>
      </c>
      <c r="IV103" vm="2320">
        <f ca="1"/>
        <v>153.96</v>
      </c>
      <c r="IW103" vm="37">
        <f ca="1"/>
        <v>156.06</v>
      </c>
    </row>
    <row r="104" spans="1:259" ht="16" x14ac:dyDescent="0.2">
      <c r="A104" t="e" vm="2321">
        <v>#VALUE!</v>
      </c>
      <c r="B104" s="23" t="str" cm="1">
        <f t="array" aca="1" ref="B104" ca="1">_FV(A104,"ticker symbol",TRUE)</f>
        <v>URA</v>
      </c>
      <c r="C104" s="23" t="str" cm="1">
        <f t="array" aca="1" ref="C104" ca="1">_FV(A104,"Name")</f>
        <v>Glbl X Uranium ETF</v>
      </c>
      <c r="D104" cm="1" vm="13953">
        <f t="array" aca="1" ref="D104:IW104" ca="1">TRANSPOSE(_xlfn.STOCKHISTORY(B104, WORKDAY(TODAY(), -265), TODAY(), 0, 0, 1))</f>
        <v>28.91</v>
      </c>
      <c r="E104" vm="9035">
        <f ca="1"/>
        <v>28.71</v>
      </c>
      <c r="F104" vm="10599">
        <f ca="1"/>
        <v>27.8</v>
      </c>
      <c r="G104" vm="2973">
        <f ca="1"/>
        <v>28.05</v>
      </c>
      <c r="H104" vm="17486">
        <f ca="1"/>
        <v>27.97</v>
      </c>
      <c r="I104" vm="17804">
        <f ca="1"/>
        <v>28.26</v>
      </c>
      <c r="J104" vm="2975">
        <f ca="1"/>
        <v>28.08</v>
      </c>
      <c r="K104" vm="17805">
        <f ca="1"/>
        <v>28.09</v>
      </c>
      <c r="L104" vm="13951">
        <f ca="1"/>
        <v>28.1</v>
      </c>
      <c r="M104" vm="17533">
        <f ca="1"/>
        <v>26.83</v>
      </c>
      <c r="N104" vm="1451">
        <f ca="1"/>
        <v>26.78</v>
      </c>
      <c r="O104" vm="2974">
        <f ca="1"/>
        <v>28.11</v>
      </c>
      <c r="P104" vm="17806">
        <f ca="1"/>
        <v>28.84</v>
      </c>
      <c r="Q104" vm="9036">
        <f ca="1"/>
        <v>29.28</v>
      </c>
      <c r="R104" vm="2971">
        <f ca="1"/>
        <v>28.21</v>
      </c>
      <c r="S104" vm="17807">
        <f ca="1"/>
        <v>27.84</v>
      </c>
      <c r="T104" vm="17511">
        <f ca="1"/>
        <v>27.17</v>
      </c>
      <c r="U104" vm="9028">
        <f ca="1"/>
        <v>27.1</v>
      </c>
      <c r="V104" vm="99">
        <f ca="1"/>
        <v>27.2</v>
      </c>
      <c r="W104" vm="17506">
        <f ca="1"/>
        <v>27.65</v>
      </c>
      <c r="X104" vm="17479">
        <f ca="1"/>
        <v>27.36</v>
      </c>
      <c r="Y104" vm="17808">
        <f ca="1"/>
        <v>28.03</v>
      </c>
      <c r="Z104" vm="17809">
        <f ca="1"/>
        <v>29.18</v>
      </c>
      <c r="AA104" vm="13909">
        <f ca="1"/>
        <v>30.35</v>
      </c>
      <c r="AB104" vm="10573">
        <f ca="1"/>
        <v>30.98</v>
      </c>
      <c r="AC104" vm="9013">
        <f ca="1"/>
        <v>30.53</v>
      </c>
      <c r="AD104" vm="9028">
        <f ca="1"/>
        <v>27.1</v>
      </c>
      <c r="AE104" vm="2884">
        <f ca="1"/>
        <v>27.58</v>
      </c>
      <c r="AF104" vm="10605">
        <f ca="1"/>
        <v>28.36</v>
      </c>
      <c r="AG104" vm="17810">
        <f ca="1"/>
        <v>28.92</v>
      </c>
      <c r="AH104" vm="2969">
        <f ca="1"/>
        <v>28.31</v>
      </c>
      <c r="AI104" vm="2887">
        <f ca="1"/>
        <v>27.99</v>
      </c>
      <c r="AJ104" vm="13953">
        <f ca="1"/>
        <v>28.91</v>
      </c>
      <c r="AK104" vm="2077">
        <f ca="1"/>
        <v>28.98</v>
      </c>
      <c r="AL104" vm="10605">
        <f ca="1"/>
        <v>28.36</v>
      </c>
      <c r="AM104" vm="10606">
        <f ca="1"/>
        <v>29.1</v>
      </c>
      <c r="AN104" vm="10606">
        <f ca="1"/>
        <v>29.1</v>
      </c>
      <c r="AO104" vm="16429">
        <f ca="1"/>
        <v>28.6</v>
      </c>
      <c r="AP104" vm="16500">
        <f ca="1"/>
        <v>28.94</v>
      </c>
      <c r="AQ104" vm="2078">
        <f ca="1"/>
        <v>28.96</v>
      </c>
      <c r="AR104" vm="17808">
        <f ca="1"/>
        <v>28.03</v>
      </c>
      <c r="AS104" vm="2890">
        <f ca="1"/>
        <v>28.2</v>
      </c>
      <c r="AT104" vm="17504">
        <f ca="1"/>
        <v>27.38</v>
      </c>
      <c r="AU104" vm="1446">
        <f ca="1"/>
        <v>27.25</v>
      </c>
      <c r="AV104" vm="17811">
        <f ca="1"/>
        <v>26.06</v>
      </c>
      <c r="AW104" vm="2061">
        <f ca="1"/>
        <v>25.66</v>
      </c>
      <c r="AX104" vm="13382">
        <f ca="1"/>
        <v>25.18</v>
      </c>
      <c r="AY104" vm="2803">
        <f ca="1"/>
        <v>25.71</v>
      </c>
      <c r="AZ104" vm="2070">
        <f ca="1"/>
        <v>24.72</v>
      </c>
      <c r="BA104" vm="9025">
        <f ca="1"/>
        <v>24.8</v>
      </c>
      <c r="BB104" vm="17812">
        <f ca="1"/>
        <v>23.49</v>
      </c>
      <c r="BC104" vm="16322">
        <f ca="1"/>
        <v>24.05</v>
      </c>
      <c r="BD104" vm="17813">
        <f ca="1"/>
        <v>24.67</v>
      </c>
      <c r="BE104" vm="16330">
        <f ca="1"/>
        <v>24.22</v>
      </c>
      <c r="BF104" vm="16837">
        <f ca="1"/>
        <v>23.94</v>
      </c>
      <c r="BG104" vm="2467">
        <f ca="1"/>
        <v>23.11</v>
      </c>
      <c r="BH104" vm="17814">
        <f ca="1"/>
        <v>23.66</v>
      </c>
      <c r="BI104" vm="16770">
        <f ca="1"/>
        <v>23.84</v>
      </c>
      <c r="BJ104" vm="17815">
        <f ca="1"/>
        <v>23.51</v>
      </c>
      <c r="BK104" vm="16311">
        <f ca="1"/>
        <v>23.9</v>
      </c>
      <c r="BL104" vm="13361">
        <f ca="1"/>
        <v>24.64</v>
      </c>
      <c r="BM104" vm="16355">
        <f ca="1"/>
        <v>24.45</v>
      </c>
      <c r="BN104" vm="16384">
        <f ca="1"/>
        <v>25.19</v>
      </c>
      <c r="BO104" vm="9024">
        <f ca="1"/>
        <v>25.38</v>
      </c>
      <c r="BP104" vm="17816">
        <f ca="1"/>
        <v>25</v>
      </c>
      <c r="BQ104" vm="2059">
        <f ca="1"/>
        <v>25.39</v>
      </c>
      <c r="BR104" vm="2069">
        <f ca="1"/>
        <v>24.87</v>
      </c>
      <c r="BS104" vm="16349">
        <f ca="1"/>
        <v>24.29</v>
      </c>
      <c r="BT104" vm="16771">
        <f ca="1"/>
        <v>23.64</v>
      </c>
      <c r="BU104" vm="3291">
        <f ca="1"/>
        <v>23.1</v>
      </c>
      <c r="BV104" vm="2468">
        <f ca="1"/>
        <v>22.92</v>
      </c>
      <c r="BW104" vm="17817">
        <f ca="1"/>
        <v>23.08</v>
      </c>
      <c r="BX104" vm="13246">
        <f ca="1"/>
        <v>23.17</v>
      </c>
      <c r="BY104" vm="2291">
        <f ca="1"/>
        <v>22.46</v>
      </c>
      <c r="BZ104" vm="16734">
        <f ca="1"/>
        <v>20.82</v>
      </c>
      <c r="CA104" vm="2448">
        <f ca="1"/>
        <v>20.51</v>
      </c>
      <c r="CB104" vm="17818">
        <f ca="1"/>
        <v>20.260000000000002</v>
      </c>
      <c r="CC104" vm="3129">
        <f ca="1"/>
        <v>22.12</v>
      </c>
      <c r="CD104" vm="16359">
        <f ca="1"/>
        <v>21.59</v>
      </c>
      <c r="CE104" vm="17819">
        <f ca="1"/>
        <v>22.65</v>
      </c>
      <c r="CF104" vm="17820">
        <f ca="1"/>
        <v>22.84</v>
      </c>
      <c r="CG104" vm="2433">
        <f ca="1"/>
        <v>22.73</v>
      </c>
      <c r="CH104" vm="17821">
        <f ca="1"/>
        <v>22.71</v>
      </c>
      <c r="CI104" vm="2432">
        <f ca="1"/>
        <v>22.87</v>
      </c>
      <c r="CJ104" vm="3120">
        <f ca="1"/>
        <v>22.45</v>
      </c>
      <c r="CK104" vm="17822">
        <f ca="1"/>
        <v>22.66</v>
      </c>
      <c r="CL104" vm="17814">
        <f ca="1"/>
        <v>23.66</v>
      </c>
      <c r="CM104" vm="16367">
        <f ca="1"/>
        <v>24.59</v>
      </c>
      <c r="CN104" vm="16355">
        <f ca="1"/>
        <v>24.45</v>
      </c>
      <c r="CO104" vm="2067">
        <f ca="1"/>
        <v>25.05</v>
      </c>
      <c r="CP104" vm="16342">
        <f ca="1"/>
        <v>25.13</v>
      </c>
      <c r="CQ104" vm="17816">
        <f ca="1"/>
        <v>25</v>
      </c>
      <c r="CR104" vm="17823">
        <f ca="1"/>
        <v>25.31</v>
      </c>
      <c r="CS104" vm="1460">
        <f ca="1"/>
        <v>25.84</v>
      </c>
      <c r="CT104" vm="17513">
        <f ca="1"/>
        <v>25.65</v>
      </c>
      <c r="CU104" vm="17473">
        <f ca="1"/>
        <v>26.39</v>
      </c>
      <c r="CV104" vm="1445">
        <f ca="1"/>
        <v>26.77</v>
      </c>
      <c r="CW104" vm="1455">
        <f ca="1"/>
        <v>26.68</v>
      </c>
      <c r="CX104" vm="16425">
        <f ca="1"/>
        <v>27.16</v>
      </c>
      <c r="CY104" vm="17502">
        <f ca="1"/>
        <v>27.29</v>
      </c>
      <c r="CZ104" vm="17807">
        <f ca="1"/>
        <v>27.84</v>
      </c>
      <c r="DA104" vm="2891">
        <f ca="1"/>
        <v>28.15</v>
      </c>
      <c r="DB104" vm="2977">
        <f ca="1"/>
        <v>28.01</v>
      </c>
      <c r="DC104" vm="17470">
        <f ca="1"/>
        <v>27.71</v>
      </c>
      <c r="DD104" vm="17170">
        <f ca="1"/>
        <v>27.81</v>
      </c>
      <c r="DE104" vm="2977">
        <f ca="1"/>
        <v>28.01</v>
      </c>
      <c r="DF104" vm="2970">
        <f ca="1"/>
        <v>28.23</v>
      </c>
      <c r="DG104" vm="17824">
        <f ca="1"/>
        <v>28.52</v>
      </c>
      <c r="DH104" vm="17825">
        <f ca="1"/>
        <v>31.83</v>
      </c>
      <c r="DI104" vm="17202">
        <f ca="1"/>
        <v>32.97</v>
      </c>
      <c r="DJ104" vm="14019">
        <f ca="1"/>
        <v>32.9</v>
      </c>
      <c r="DK104" vm="17826">
        <f ca="1"/>
        <v>32.26</v>
      </c>
      <c r="DL104" vm="17827">
        <f ca="1"/>
        <v>32.01</v>
      </c>
      <c r="DM104" vm="16476">
        <f ca="1"/>
        <v>31.87</v>
      </c>
      <c r="DN104" vm="2706">
        <f ca="1"/>
        <v>32.74</v>
      </c>
      <c r="DO104" vm="809">
        <f ca="1"/>
        <v>33.08</v>
      </c>
      <c r="DP104" vm="9089">
        <f ca="1"/>
        <v>33.17</v>
      </c>
      <c r="DQ104" vm="17828">
        <f ca="1"/>
        <v>33.64</v>
      </c>
      <c r="DR104" vm="4729">
        <f ca="1"/>
        <v>35.18</v>
      </c>
      <c r="DS104" vm="17829">
        <f ca="1"/>
        <v>34.049999999999997</v>
      </c>
      <c r="DT104" vm="17830">
        <f ca="1"/>
        <v>35.869999999999997</v>
      </c>
      <c r="DU104" vm="17831">
        <f ca="1"/>
        <v>36.01</v>
      </c>
      <c r="DV104" vm="17832">
        <f ca="1"/>
        <v>36.130000000000003</v>
      </c>
      <c r="DW104" vm="12774">
        <f ca="1"/>
        <v>38.07</v>
      </c>
      <c r="DX104" vm="3313">
        <f ca="1"/>
        <v>37.56</v>
      </c>
      <c r="DY104" vm="17833">
        <f ca="1"/>
        <v>37.770000000000003</v>
      </c>
      <c r="DZ104" vm="819">
        <f ca="1"/>
        <v>36.770000000000003</v>
      </c>
      <c r="EA104" vm="12770">
        <f ca="1"/>
        <v>37.54</v>
      </c>
      <c r="EB104" vm="10687">
        <f ca="1"/>
        <v>38.67</v>
      </c>
      <c r="EC104" vm="4672">
        <f ca="1"/>
        <v>37.840000000000003</v>
      </c>
      <c r="ED104" vm="17834">
        <f ca="1"/>
        <v>38.71</v>
      </c>
      <c r="EE104" vm="12774">
        <f ca="1"/>
        <v>38.07</v>
      </c>
      <c r="EF104" vm="16010">
        <f ca="1"/>
        <v>38.81</v>
      </c>
      <c r="EG104" vm="17835">
        <f ca="1"/>
        <v>37.42</v>
      </c>
      <c r="EH104" vm="4678">
        <f ca="1"/>
        <v>37.71</v>
      </c>
      <c r="EI104" vm="15710">
        <f ca="1"/>
        <v>37.9</v>
      </c>
      <c r="EJ104" vm="4675">
        <f ca="1"/>
        <v>37.979999999999997</v>
      </c>
      <c r="EK104" vm="17836">
        <f ca="1"/>
        <v>37.020000000000003</v>
      </c>
      <c r="EL104" vm="1571">
        <f ca="1"/>
        <v>36.729999999999997</v>
      </c>
      <c r="EM104" vm="821">
        <f ca="1"/>
        <v>37.03</v>
      </c>
      <c r="EN104" vm="17227">
        <f ca="1"/>
        <v>37.51</v>
      </c>
      <c r="EO104" vm="9127">
        <f ca="1"/>
        <v>38.97</v>
      </c>
      <c r="EP104" vm="6870">
        <f ca="1"/>
        <v>39.18</v>
      </c>
      <c r="EQ104" vm="12739">
        <f ca="1"/>
        <v>39.99</v>
      </c>
      <c r="ER104" vm="6911">
        <f ca="1"/>
        <v>40.42</v>
      </c>
      <c r="ES104" vm="6965">
        <f ca="1"/>
        <v>40.93</v>
      </c>
      <c r="ET104" vm="12750">
        <f ca="1"/>
        <v>40.14</v>
      </c>
      <c r="EU104" vm="9193">
        <f ca="1"/>
        <v>40.22</v>
      </c>
      <c r="EV104" vm="13797">
        <f ca="1"/>
        <v>41.21</v>
      </c>
      <c r="EW104" vm="12756">
        <f ca="1"/>
        <v>42.16</v>
      </c>
      <c r="EX104" vm="6874">
        <f ca="1"/>
        <v>41.83</v>
      </c>
      <c r="EY104" vm="305">
        <f ca="1"/>
        <v>40.99</v>
      </c>
      <c r="EZ104" vm="12747">
        <f ca="1"/>
        <v>40.25</v>
      </c>
      <c r="FA104" vm="9154">
        <f ca="1"/>
        <v>40.090000000000003</v>
      </c>
      <c r="FB104" vm="17837">
        <f ca="1"/>
        <v>39.36</v>
      </c>
      <c r="FC104" vm="17838">
        <f ca="1"/>
        <v>38.22</v>
      </c>
      <c r="FD104" vm="2623">
        <f ca="1"/>
        <v>39.49</v>
      </c>
      <c r="FE104" vm="12790">
        <f ca="1"/>
        <v>40.43</v>
      </c>
      <c r="FF104" vm="12797">
        <f ca="1"/>
        <v>41.19</v>
      </c>
      <c r="FG104" vm="6913">
        <f ca="1"/>
        <v>40.590000000000003</v>
      </c>
      <c r="FH104" vm="9130">
        <f ca="1"/>
        <v>39.950000000000003</v>
      </c>
      <c r="FI104" vm="17839">
        <f ca="1"/>
        <v>39.630000000000003</v>
      </c>
      <c r="FJ104" vm="17840">
        <f ca="1"/>
        <v>40.409999999999997</v>
      </c>
      <c r="FK104" vm="12789">
        <f ca="1"/>
        <v>39.450000000000003</v>
      </c>
      <c r="FL104" vm="12771">
        <f ca="1"/>
        <v>39.03</v>
      </c>
      <c r="FM104" vm="12731">
        <f ca="1"/>
        <v>39.01</v>
      </c>
      <c r="FN104" vm="13796">
        <f ca="1"/>
        <v>39.200000000000003</v>
      </c>
      <c r="FO104" vm="17841">
        <f ca="1"/>
        <v>36.96</v>
      </c>
      <c r="FP104" vm="15773">
        <f ca="1"/>
        <v>36.450000000000003</v>
      </c>
      <c r="FQ104" vm="17228">
        <f ca="1"/>
        <v>37.18</v>
      </c>
      <c r="FR104" vm="17842">
        <f ca="1"/>
        <v>39.44</v>
      </c>
      <c r="FS104" vm="2623">
        <f ca="1"/>
        <v>39.49</v>
      </c>
      <c r="FT104" vm="6910">
        <f ca="1"/>
        <v>40.450000000000003</v>
      </c>
      <c r="FU104" vm="6871">
        <f ca="1"/>
        <v>39.68</v>
      </c>
      <c r="FV104" vm="17843">
        <f ca="1"/>
        <v>40.98</v>
      </c>
      <c r="FW104" vm="6864">
        <f ca="1"/>
        <v>40.67</v>
      </c>
      <c r="FX104" vm="12737">
        <f ca="1"/>
        <v>40.619999999999997</v>
      </c>
      <c r="FY104" vm="2677">
        <f ca="1"/>
        <v>41.34</v>
      </c>
      <c r="FZ104" vm="9144">
        <f ca="1"/>
        <v>40.4</v>
      </c>
      <c r="GA104" vm="565">
        <f ca="1"/>
        <v>40.729999999999997</v>
      </c>
      <c r="GB104" vm="2719">
        <f ca="1"/>
        <v>41.53</v>
      </c>
      <c r="GC104" vm="6885">
        <f ca="1"/>
        <v>41.97</v>
      </c>
      <c r="GD104" vm="16581">
        <f ca="1"/>
        <v>42.22</v>
      </c>
      <c r="GE104" vm="6961">
        <f ca="1"/>
        <v>42.65</v>
      </c>
      <c r="GF104" vm="6942">
        <f ca="1"/>
        <v>42.05</v>
      </c>
      <c r="GG104" vm="9991">
        <f ca="1"/>
        <v>45.98</v>
      </c>
      <c r="GH104" vm="9209">
        <f ca="1"/>
        <v>44.36</v>
      </c>
      <c r="GI104" vm="9972">
        <f ca="1"/>
        <v>44.55</v>
      </c>
      <c r="GJ104" vm="10014">
        <f ca="1"/>
        <v>45.72</v>
      </c>
      <c r="GK104" vm="11044">
        <f ca="1"/>
        <v>49.43</v>
      </c>
      <c r="GL104" vm="9255">
        <f ca="1"/>
        <v>50.4</v>
      </c>
      <c r="GM104" vm="1135">
        <f ca="1"/>
        <v>50.36</v>
      </c>
      <c r="GN104" vm="6233">
        <f ca="1"/>
        <v>48.59</v>
      </c>
      <c r="GO104" vm="17236">
        <f ca="1"/>
        <v>49.17</v>
      </c>
      <c r="GP104" vm="12033">
        <f ca="1"/>
        <v>48.41</v>
      </c>
      <c r="GQ104" vm="3117">
        <f ca="1"/>
        <v>48.71</v>
      </c>
      <c r="GR104" vm="11039">
        <f ca="1"/>
        <v>47.67</v>
      </c>
      <c r="GS104" vm="10049">
        <f ca="1"/>
        <v>48.26</v>
      </c>
      <c r="GT104" vm="9262">
        <f ca="1"/>
        <v>50.2</v>
      </c>
      <c r="GU104" vm="11026">
        <f ca="1"/>
        <v>49.6</v>
      </c>
      <c r="GV104" vm="2189">
        <f ca="1"/>
        <v>51.21</v>
      </c>
      <c r="GW104" vm="2189">
        <f ca="1"/>
        <v>51.21</v>
      </c>
      <c r="GX104" vm="9254">
        <f ca="1"/>
        <v>51.02</v>
      </c>
      <c r="GY104" vm="11340">
        <f ca="1"/>
        <v>51.49</v>
      </c>
      <c r="GZ104" vm="8683">
        <f ca="1"/>
        <v>51.87</v>
      </c>
      <c r="HA104" vm="14030">
        <f ca="1"/>
        <v>55.49</v>
      </c>
      <c r="HB104" vm="10083">
        <f ca="1"/>
        <v>56.96</v>
      </c>
      <c r="HC104" vm="2199">
        <f ca="1"/>
        <v>58.11</v>
      </c>
      <c r="HD104" vm="1087">
        <f ca="1"/>
        <v>55.74</v>
      </c>
      <c r="HE104" vm="11049">
        <f ca="1"/>
        <v>53.31</v>
      </c>
      <c r="HF104" vm="10059">
        <f ca="1"/>
        <v>53.42</v>
      </c>
      <c r="HG104" vm="1139">
        <f ca="1"/>
        <v>49.9</v>
      </c>
      <c r="HH104" vm="1130">
        <f ca="1"/>
        <v>48.94</v>
      </c>
      <c r="HI104" vm="2915">
        <f ca="1"/>
        <v>49.94</v>
      </c>
      <c r="HJ104" vm="11328">
        <f ca="1"/>
        <v>51.5</v>
      </c>
      <c r="HK104" vm="13829">
        <f ca="1"/>
        <v>50.76</v>
      </c>
      <c r="HL104" vm="17844">
        <f ca="1"/>
        <v>55.02</v>
      </c>
      <c r="HM104" vm="11012">
        <f ca="1"/>
        <v>56.47</v>
      </c>
      <c r="HN104" vm="1579">
        <f ca="1"/>
        <v>56.19</v>
      </c>
      <c r="HO104" vm="17845">
        <f ca="1"/>
        <v>55.12</v>
      </c>
      <c r="HP104" vm="14147">
        <f ca="1"/>
        <v>52.58</v>
      </c>
      <c r="HQ104" vm="2914">
        <f ca="1"/>
        <v>49.73</v>
      </c>
      <c r="HR104" vm="11844">
        <f ca="1"/>
        <v>50.04</v>
      </c>
      <c r="HS104" vm="1256">
        <f ca="1"/>
        <v>47.14</v>
      </c>
      <c r="HT104" vm="17846">
        <f ca="1"/>
        <v>47.82</v>
      </c>
      <c r="HU104" vm="17847">
        <f ca="1"/>
        <v>48.9</v>
      </c>
      <c r="HV104" vm="10006">
        <f ca="1"/>
        <v>47.44</v>
      </c>
      <c r="HW104" vm="17848">
        <f ca="1"/>
        <v>47.64</v>
      </c>
      <c r="HX104" vm="9222">
        <f ca="1"/>
        <v>45.34</v>
      </c>
      <c r="HY104" vm="13774">
        <f ca="1"/>
        <v>44.75</v>
      </c>
      <c r="HZ104" vm="9974">
        <f ca="1"/>
        <v>43.72</v>
      </c>
      <c r="IA104" vm="9977">
        <f ca="1"/>
        <v>43.73</v>
      </c>
      <c r="IB104" vm="2322">
        <f ca="1"/>
        <v>45.14</v>
      </c>
      <c r="IC104" vm="2323">
        <f ca="1"/>
        <v>42.11</v>
      </c>
      <c r="ID104" vm="2324">
        <f ca="1"/>
        <v>41.59</v>
      </c>
      <c r="IE104" vm="2325">
        <f ca="1"/>
        <v>43.29</v>
      </c>
      <c r="IF104" vm="2326">
        <f ca="1"/>
        <v>43.91</v>
      </c>
      <c r="IG104" vm="2327">
        <f ca="1"/>
        <v>44.79</v>
      </c>
      <c r="IH104" vm="2328">
        <f ca="1"/>
        <v>45.28</v>
      </c>
      <c r="II104" vm="2329">
        <f ca="1"/>
        <v>44.2</v>
      </c>
      <c r="IJ104" vm="2330">
        <f ca="1"/>
        <v>45.26</v>
      </c>
      <c r="IK104" vm="2331">
        <f ca="1"/>
        <v>46.62</v>
      </c>
      <c r="IL104" vm="1993">
        <f ca="1"/>
        <v>49.2</v>
      </c>
      <c r="IM104" vm="1260">
        <f ca="1"/>
        <v>47.92</v>
      </c>
      <c r="IN104" vm="1982">
        <f ca="1"/>
        <v>47.81</v>
      </c>
      <c r="IO104" vm="2332">
        <f ca="1"/>
        <v>48.13</v>
      </c>
      <c r="IP104" vm="2333">
        <f ca="1"/>
        <v>47.69</v>
      </c>
      <c r="IQ104" vm="1262">
        <f ca="1"/>
        <v>49</v>
      </c>
      <c r="IR104" vm="2334">
        <f ca="1"/>
        <v>46.05</v>
      </c>
      <c r="IS104" vm="2335">
        <f ca="1"/>
        <v>44.63</v>
      </c>
      <c r="IT104" vm="2336">
        <f ca="1"/>
        <v>44.27</v>
      </c>
      <c r="IU104" vm="2337">
        <f ca="1"/>
        <v>42.71</v>
      </c>
      <c r="IV104" vm="2338">
        <f ca="1"/>
        <v>43.96</v>
      </c>
      <c r="IW104" vm="39">
        <f ca="1"/>
        <v>45.89</v>
      </c>
    </row>
    <row r="105" spans="1:259" ht="16" x14ac:dyDescent="0.2">
      <c r="A105" t="e" vm="2339">
        <v>#VALUE!</v>
      </c>
      <c r="B105" s="23" t="str" cm="1">
        <f t="array" aca="1" ref="B105" ca="1">_FV(A105,"ticker symbol",TRUE)</f>
        <v>UGA</v>
      </c>
      <c r="C105" s="23" t="str" cm="1">
        <f t="array" aca="1" ref="C105" ca="1">_FV(A105,"Name")</f>
        <v>United States Gas</v>
      </c>
      <c r="D105" cm="1" vm="17849">
        <f t="array" aca="1" ref="D105:IW105" ca="1">TRANSPOSE(_xlfn.STOCKHISTORY(B105, WORKDAY(TODAY(), -265), TODAY(), 0, 0, 1))</f>
        <v>62.115600000000001</v>
      </c>
      <c r="E105" vm="1105">
        <f ca="1"/>
        <v>61.22</v>
      </c>
      <c r="F105" vm="17850">
        <f ca="1"/>
        <v>60.7759</v>
      </c>
      <c r="G105" vm="8673">
        <f ca="1"/>
        <v>60.19</v>
      </c>
      <c r="H105" vm="14088">
        <f ca="1"/>
        <v>61.04</v>
      </c>
      <c r="I105" vm="17851">
        <f ca="1"/>
        <v>61.225000000000001</v>
      </c>
      <c r="J105" vm="8702">
        <f ca="1"/>
        <v>61.82</v>
      </c>
      <c r="K105" vm="17852">
        <f ca="1"/>
        <v>61.219099999999997</v>
      </c>
      <c r="L105" vm="17853">
        <f ca="1"/>
        <v>61.401000000000003</v>
      </c>
      <c r="M105" vm="1594">
        <f ca="1"/>
        <v>62.48</v>
      </c>
      <c r="N105" vm="1605">
        <f ca="1"/>
        <v>62.99</v>
      </c>
      <c r="O105" vm="9726">
        <f ca="1"/>
        <v>64.239999999999995</v>
      </c>
      <c r="P105" vm="9724">
        <f ca="1"/>
        <v>64.400000000000006</v>
      </c>
      <c r="Q105" vm="1606">
        <f ca="1"/>
        <v>63.68</v>
      </c>
      <c r="R105" vm="11378">
        <f ca="1"/>
        <v>63.61</v>
      </c>
      <c r="S105" vm="13398">
        <f ca="1"/>
        <v>63.11</v>
      </c>
      <c r="T105" vm="17854">
        <f ca="1"/>
        <v>65.046700000000001</v>
      </c>
      <c r="U105" vm="8743">
        <f ca="1"/>
        <v>65.84</v>
      </c>
      <c r="V105" vm="17855">
        <f ca="1"/>
        <v>66.277600000000007</v>
      </c>
      <c r="W105" vm="8872">
        <f ca="1"/>
        <v>68.150000000000006</v>
      </c>
      <c r="X105" vm="17856">
        <f ca="1"/>
        <v>66.534899999999993</v>
      </c>
      <c r="Y105" vm="11405">
        <f ca="1"/>
        <v>66.14</v>
      </c>
      <c r="Z105" vm="2474">
        <f ca="1"/>
        <v>65.58</v>
      </c>
      <c r="AA105" vm="13860">
        <f ca="1"/>
        <v>64.5</v>
      </c>
      <c r="AB105" vm="17857">
        <f ca="1"/>
        <v>64.554400000000001</v>
      </c>
      <c r="AC105" vm="15837">
        <f ca="1"/>
        <v>64.27</v>
      </c>
      <c r="AD105" vm="17858">
        <f ca="1"/>
        <v>63.55</v>
      </c>
      <c r="AE105" vm="11380">
        <f ca="1"/>
        <v>64.22</v>
      </c>
      <c r="AF105" vm="8659">
        <f ca="1"/>
        <v>63.86</v>
      </c>
      <c r="AG105" vm="2733">
        <f ca="1"/>
        <v>64.13</v>
      </c>
      <c r="AH105" vm="15838">
        <f ca="1"/>
        <v>63.99</v>
      </c>
      <c r="AI105" vm="9727">
        <f ca="1"/>
        <v>65.44</v>
      </c>
      <c r="AJ105" vm="1612">
        <f ca="1"/>
        <v>64.81</v>
      </c>
      <c r="AK105" vm="8853">
        <f ca="1"/>
        <v>63.52</v>
      </c>
      <c r="AL105" vm="17859">
        <f ca="1"/>
        <v>64.2</v>
      </c>
      <c r="AM105" vm="1167">
        <f ca="1"/>
        <v>65.16</v>
      </c>
      <c r="AN105" vm="8740">
        <f ca="1"/>
        <v>65.22</v>
      </c>
      <c r="AO105" vm="8867">
        <f ca="1"/>
        <v>66.489999999999995</v>
      </c>
      <c r="AP105" vm="2548">
        <f ca="1"/>
        <v>64.44</v>
      </c>
      <c r="AQ105" vm="11424">
        <f ca="1"/>
        <v>65.41</v>
      </c>
      <c r="AR105" vm="17860">
        <f ca="1"/>
        <v>64.680000000000007</v>
      </c>
      <c r="AS105" vm="11418">
        <f ca="1"/>
        <v>64.900000000000006</v>
      </c>
      <c r="AT105" vm="1611">
        <f ca="1"/>
        <v>64.94</v>
      </c>
      <c r="AU105" vm="11425">
        <f ca="1"/>
        <v>64.91</v>
      </c>
      <c r="AV105" vm="17861">
        <f ca="1"/>
        <v>63.409399999999998</v>
      </c>
      <c r="AW105" vm="8711">
        <f ca="1"/>
        <v>63.47</v>
      </c>
      <c r="AX105" vm="13104">
        <f ca="1"/>
        <v>62.09</v>
      </c>
      <c r="AY105" vm="1101">
        <f ca="1"/>
        <v>61.4</v>
      </c>
      <c r="AZ105" vm="1465">
        <f ca="1"/>
        <v>62.7</v>
      </c>
      <c r="BA105" vm="17862">
        <f ca="1"/>
        <v>62.506900000000002</v>
      </c>
      <c r="BB105" vm="17863">
        <f ca="1"/>
        <v>61.39</v>
      </c>
      <c r="BC105" vm="2357">
        <f ca="1"/>
        <v>61.35</v>
      </c>
      <c r="BD105" vm="8671">
        <f ca="1"/>
        <v>59.81</v>
      </c>
      <c r="BE105" vm="3010">
        <f ca="1"/>
        <v>58.66</v>
      </c>
      <c r="BF105" vm="8669">
        <f ca="1"/>
        <v>58.97</v>
      </c>
      <c r="BG105" vm="17864">
        <f ca="1"/>
        <v>58.556100000000001</v>
      </c>
      <c r="BH105" vm="17865">
        <f ca="1"/>
        <v>59.142299999999999</v>
      </c>
      <c r="BI105" vm="17866">
        <f ca="1"/>
        <v>60.287700000000001</v>
      </c>
      <c r="BJ105" vm="14130">
        <f ca="1"/>
        <v>59.65</v>
      </c>
      <c r="BK105" vm="17867">
        <f ca="1"/>
        <v>60.2</v>
      </c>
      <c r="BL105" vm="1464">
        <f ca="1"/>
        <v>61.14</v>
      </c>
      <c r="BM105" vm="11359">
        <f ca="1"/>
        <v>60.81</v>
      </c>
      <c r="BN105" vm="17868">
        <f ca="1"/>
        <v>60.85</v>
      </c>
      <c r="BO105" vm="17869">
        <f ca="1"/>
        <v>61.560499999999998</v>
      </c>
      <c r="BP105" vm="8707">
        <f ca="1"/>
        <v>61.56</v>
      </c>
      <c r="BQ105" vm="2538">
        <f ca="1"/>
        <v>61.97</v>
      </c>
      <c r="BR105" vm="17870">
        <f ca="1"/>
        <v>62.101500000000001</v>
      </c>
      <c r="BS105" vm="9718">
        <f ca="1"/>
        <v>62.77</v>
      </c>
      <c r="BT105" vm="11389">
        <f ca="1"/>
        <v>63.04</v>
      </c>
      <c r="BU105" vm="17871">
        <f ca="1"/>
        <v>62.78</v>
      </c>
      <c r="BV105" vm="17872">
        <f ca="1"/>
        <v>64.249499999999998</v>
      </c>
      <c r="BW105" vm="17873">
        <f ca="1"/>
        <v>64.610399999999998</v>
      </c>
      <c r="BX105" vm="17874">
        <f ca="1"/>
        <v>65.453199999999995</v>
      </c>
      <c r="BY105" vm="17875">
        <f ca="1"/>
        <v>60.535400000000003</v>
      </c>
      <c r="BZ105" vm="1641">
        <f ca="1"/>
        <v>58.19</v>
      </c>
      <c r="CA105" vm="17876">
        <f ca="1"/>
        <v>56.875599999999999</v>
      </c>
      <c r="CB105" vm="17877">
        <f ca="1"/>
        <v>55.287300000000002</v>
      </c>
      <c r="CC105" vm="17878">
        <f ca="1"/>
        <v>57.196899999999999</v>
      </c>
      <c r="CD105" vm="17879">
        <f ca="1"/>
        <v>55.3874</v>
      </c>
      <c r="CE105" vm="9676">
        <f ca="1"/>
        <v>56.38</v>
      </c>
      <c r="CF105" vm="11059">
        <f ca="1"/>
        <v>56.9</v>
      </c>
      <c r="CG105" vm="17880">
        <f ca="1"/>
        <v>57.024999999999999</v>
      </c>
      <c r="CH105" vm="17881">
        <f ca="1"/>
        <v>57.580100000000002</v>
      </c>
      <c r="CI105" vm="11894">
        <f ca="1"/>
        <v>58.71</v>
      </c>
      <c r="CJ105" vm="17882">
        <f ca="1"/>
        <v>58.316699999999997</v>
      </c>
      <c r="CK105" vm="14205">
        <f ca="1"/>
        <v>58.89</v>
      </c>
      <c r="CL105" vm="8670">
        <f ca="1"/>
        <v>58.45</v>
      </c>
      <c r="CM105" vm="14092">
        <f ca="1"/>
        <v>59.18</v>
      </c>
      <c r="CN105" vm="8637">
        <f ca="1"/>
        <v>59.66</v>
      </c>
      <c r="CO105" vm="17883">
        <f ca="1"/>
        <v>59.1038</v>
      </c>
      <c r="CP105" vm="14119">
        <f ca="1"/>
        <v>57.87</v>
      </c>
      <c r="CQ105" vm="17884">
        <f ca="1"/>
        <v>56.922199999999997</v>
      </c>
      <c r="CR105" vm="17885">
        <f ca="1"/>
        <v>57.801699999999997</v>
      </c>
      <c r="CS105" vm="17886">
        <f ca="1"/>
        <v>57.211399999999998</v>
      </c>
      <c r="CT105" vm="14102">
        <f ca="1"/>
        <v>57.13</v>
      </c>
      <c r="CU105" vm="17887">
        <f ca="1"/>
        <v>58.359699999999997</v>
      </c>
      <c r="CV105" vm="14105">
        <f ca="1"/>
        <v>57.22</v>
      </c>
      <c r="CW105" vm="2963">
        <f ca="1"/>
        <v>59.06</v>
      </c>
      <c r="CX105" vm="17888">
        <f ca="1"/>
        <v>59.622500000000002</v>
      </c>
      <c r="CY105" vm="17889">
        <f ca="1"/>
        <v>60.28</v>
      </c>
      <c r="CZ105" vm="17890">
        <f ca="1"/>
        <v>61.2408</v>
      </c>
      <c r="DA105" vm="17891">
        <f ca="1"/>
        <v>61.039400000000001</v>
      </c>
      <c r="DB105" vm="8676">
        <f ca="1"/>
        <v>60.45</v>
      </c>
      <c r="DC105" vm="8666">
        <f ca="1"/>
        <v>60.35</v>
      </c>
      <c r="DD105" vm="17892">
        <f ca="1"/>
        <v>60.307600000000001</v>
      </c>
      <c r="DE105" vm="13422">
        <f ca="1"/>
        <v>60.82</v>
      </c>
      <c r="DF105" vm="17893">
        <f ca="1"/>
        <v>60.4178</v>
      </c>
      <c r="DG105" vm="17894">
        <f ca="1"/>
        <v>60.004899999999999</v>
      </c>
      <c r="DH105" vm="8674">
        <f ca="1"/>
        <v>59.87</v>
      </c>
      <c r="DI105" vm="1644">
        <f ca="1"/>
        <v>59.11</v>
      </c>
      <c r="DJ105" vm="17895">
        <f ca="1"/>
        <v>59.173200000000001</v>
      </c>
      <c r="DK105" vm="17896">
        <f ca="1"/>
        <v>58.733199999999997</v>
      </c>
      <c r="DL105" vm="14062">
        <f ca="1"/>
        <v>58.15</v>
      </c>
      <c r="DM105" vm="11095">
        <f ca="1"/>
        <v>59.61</v>
      </c>
      <c r="DN105" vm="8674">
        <f ca="1"/>
        <v>59.87</v>
      </c>
      <c r="DO105" vm="11894">
        <f ca="1"/>
        <v>58.71</v>
      </c>
      <c r="DP105" vm="8640">
        <f ca="1"/>
        <v>59.49</v>
      </c>
      <c r="DQ105" vm="17897">
        <f ca="1"/>
        <v>60.0152</v>
      </c>
      <c r="DR105" vm="17898">
        <f ca="1"/>
        <v>60.4773</v>
      </c>
      <c r="DS105" vm="17899">
        <f ca="1"/>
        <v>60.271500000000003</v>
      </c>
      <c r="DT105" vm="17900">
        <f ca="1"/>
        <v>62.321399999999997</v>
      </c>
      <c r="DU105" vm="17901">
        <f ca="1"/>
        <v>62.05</v>
      </c>
      <c r="DV105" vm="8810">
        <f ca="1"/>
        <v>64.040000000000006</v>
      </c>
      <c r="DW105" vm="8713">
        <f ca="1"/>
        <v>63.98</v>
      </c>
      <c r="DX105" vm="17902">
        <f ca="1"/>
        <v>65.546899999999994</v>
      </c>
      <c r="DY105" vm="11434">
        <f ca="1"/>
        <v>66.319999999999993</v>
      </c>
      <c r="DZ105" vm="17903">
        <f ca="1"/>
        <v>67.275000000000006</v>
      </c>
      <c r="EA105" vm="1604">
        <f ca="1"/>
        <v>63.41</v>
      </c>
      <c r="EB105" vm="1658">
        <f ca="1"/>
        <v>60.54</v>
      </c>
      <c r="EC105" vm="17904">
        <f ca="1"/>
        <v>60.244599999999998</v>
      </c>
      <c r="ED105" vm="17905">
        <f ca="1"/>
        <v>60.48</v>
      </c>
      <c r="EE105" vm="2744">
        <f ca="1"/>
        <v>60.03</v>
      </c>
      <c r="EF105" vm="17906">
        <f ca="1"/>
        <v>60.215000000000003</v>
      </c>
      <c r="EG105" vm="13443">
        <f ca="1"/>
        <v>61.26</v>
      </c>
      <c r="EH105" vm="17907">
        <f ca="1"/>
        <v>61.6233</v>
      </c>
      <c r="EI105" vm="17908">
        <f ca="1"/>
        <v>61.65</v>
      </c>
      <c r="EJ105" vm="17909">
        <f ca="1"/>
        <v>62.731099999999998</v>
      </c>
      <c r="EK105" vm="8714">
        <f ca="1"/>
        <v>63.7</v>
      </c>
      <c r="EL105" vm="17910">
        <f ca="1"/>
        <v>63.82</v>
      </c>
      <c r="EM105" vm="17911">
        <f ca="1"/>
        <v>62.753900000000002</v>
      </c>
      <c r="EN105" vm="17912">
        <f ca="1"/>
        <v>63.830800000000004</v>
      </c>
      <c r="EO105" vm="9659">
        <f ca="1"/>
        <v>63.13</v>
      </c>
      <c r="EP105" vm="17913">
        <f ca="1"/>
        <v>63.238799999999998</v>
      </c>
      <c r="EQ105" vm="17914">
        <f ca="1"/>
        <v>62.773400000000002</v>
      </c>
      <c r="ER105" vm="17915">
        <f ca="1"/>
        <v>63.259300000000003</v>
      </c>
      <c r="ES105" vm="17916">
        <f ca="1"/>
        <v>62.596499999999999</v>
      </c>
      <c r="ET105" vm="17917">
        <f ca="1"/>
        <v>62.051900000000003</v>
      </c>
      <c r="EU105" vm="8708">
        <f ca="1"/>
        <v>61.62</v>
      </c>
      <c r="EV105" vm="17918">
        <f ca="1"/>
        <v>61.965699999999998</v>
      </c>
      <c r="EW105" vm="1603">
        <f ca="1"/>
        <v>61.66</v>
      </c>
      <c r="EX105" vm="17919">
        <f ca="1"/>
        <v>61.182299999999998</v>
      </c>
      <c r="EY105" vm="17920">
        <f ca="1"/>
        <v>62.769399999999997</v>
      </c>
      <c r="EZ105" vm="17921">
        <f ca="1"/>
        <v>64.803200000000004</v>
      </c>
      <c r="FA105" vm="17922">
        <f ca="1"/>
        <v>65.708699999999993</v>
      </c>
      <c r="FB105" vm="17923">
        <f ca="1"/>
        <v>64.385300000000001</v>
      </c>
      <c r="FC105" vm="17924">
        <f ca="1"/>
        <v>62.692999999999998</v>
      </c>
      <c r="FD105" vm="17925">
        <f ca="1"/>
        <v>62.404600000000002</v>
      </c>
      <c r="FE105" vm="17926">
        <f ca="1"/>
        <v>62.191099999999999</v>
      </c>
      <c r="FF105" vm="15827">
        <f ca="1"/>
        <v>61.85</v>
      </c>
      <c r="FG105" vm="17927">
        <f ca="1"/>
        <v>61.625100000000003</v>
      </c>
      <c r="FH105" vm="17928">
        <f ca="1"/>
        <v>61.856900000000003</v>
      </c>
      <c r="FI105" vm="17929">
        <f ca="1"/>
        <v>61.856400000000001</v>
      </c>
      <c r="FJ105" vm="17908">
        <f ca="1"/>
        <v>61.65</v>
      </c>
      <c r="FK105" vm="17930">
        <f ca="1"/>
        <v>61.728200000000001</v>
      </c>
      <c r="FL105" vm="17931">
        <f ca="1"/>
        <v>62.808100000000003</v>
      </c>
      <c r="FM105" vm="17932">
        <f ca="1"/>
        <v>61.963799999999999</v>
      </c>
      <c r="FN105" vm="17933">
        <f ca="1"/>
        <v>62.624499999999998</v>
      </c>
      <c r="FO105" vm="17934">
        <f ca="1"/>
        <v>62.240200000000002</v>
      </c>
      <c r="FP105" vm="8814">
        <f ca="1"/>
        <v>63.45</v>
      </c>
      <c r="FQ105" vm="17935">
        <f ca="1"/>
        <v>64.185599999999994</v>
      </c>
      <c r="FR105" vm="17936">
        <f ca="1"/>
        <v>64.478499999999997</v>
      </c>
      <c r="FS105" vm="17937">
        <f ca="1"/>
        <v>64.59</v>
      </c>
      <c r="FT105" vm="17938">
        <f ca="1"/>
        <v>63.446599999999997</v>
      </c>
      <c r="FU105" vm="17939">
        <f ca="1"/>
        <v>63.476799999999997</v>
      </c>
      <c r="FV105" vm="17940">
        <f ca="1"/>
        <v>64.154200000000003</v>
      </c>
      <c r="FW105" vm="14123">
        <f ca="1"/>
        <v>63.57</v>
      </c>
      <c r="FX105" vm="11405">
        <f ca="1"/>
        <v>66.14</v>
      </c>
      <c r="FY105" vm="8846">
        <f ca="1"/>
        <v>64.98</v>
      </c>
      <c r="FZ105" vm="1612">
        <f ca="1"/>
        <v>64.81</v>
      </c>
      <c r="GA105" vm="17941">
        <f ca="1"/>
        <v>63.772799999999997</v>
      </c>
      <c r="GB105" vm="17942">
        <f ca="1"/>
        <v>63.486499999999999</v>
      </c>
      <c r="GC105" vm="13860">
        <f ca="1"/>
        <v>64.5</v>
      </c>
      <c r="GD105" vm="8722">
        <f ca="1"/>
        <v>65.040000000000006</v>
      </c>
      <c r="GE105" vm="2545">
        <f ca="1"/>
        <v>63.8</v>
      </c>
      <c r="GF105" vm="17943">
        <f ca="1"/>
        <v>64.352000000000004</v>
      </c>
      <c r="GG105" vm="17944">
        <f ca="1"/>
        <v>65.203699999999998</v>
      </c>
      <c r="GH105" vm="14133">
        <f ca="1"/>
        <v>66.13</v>
      </c>
      <c r="GI105" vm="17945">
        <f ca="1"/>
        <v>65.608999999999995</v>
      </c>
      <c r="GJ105" vm="17946">
        <f ca="1"/>
        <v>65.424099999999996</v>
      </c>
      <c r="GK105" vm="17947">
        <f ca="1"/>
        <v>63.940199999999997</v>
      </c>
      <c r="GL105" vm="17948">
        <f ca="1"/>
        <v>64.061300000000003</v>
      </c>
      <c r="GM105" vm="17949">
        <f ca="1"/>
        <v>65.119299999999996</v>
      </c>
      <c r="GN105" vm="11416">
        <f ca="1"/>
        <v>65.37</v>
      </c>
      <c r="GO105" vm="11402">
        <f ca="1"/>
        <v>65.510000000000005</v>
      </c>
      <c r="GP105" vm="17950">
        <f ca="1"/>
        <v>66.209599999999995</v>
      </c>
      <c r="GQ105" vm="17860">
        <f ca="1"/>
        <v>64.680000000000007</v>
      </c>
      <c r="GR105" vm="17951">
        <f ca="1"/>
        <v>64.487499999999997</v>
      </c>
      <c r="GS105" vm="17952">
        <f ca="1"/>
        <v>63.211399999999998</v>
      </c>
      <c r="GT105" vm="15602">
        <f ca="1"/>
        <v>61.96</v>
      </c>
      <c r="GU105" vm="8861">
        <f ca="1"/>
        <v>62.23</v>
      </c>
      <c r="GV105" vm="17953">
        <f ca="1"/>
        <v>63.575000000000003</v>
      </c>
      <c r="GW105" vm="13859">
        <f ca="1"/>
        <v>63.71</v>
      </c>
      <c r="GX105" vm="17954">
        <f ca="1"/>
        <v>63.816800000000001</v>
      </c>
      <c r="GY105" vm="9657">
        <f ca="1"/>
        <v>62.85</v>
      </c>
      <c r="GZ105" vm="13433">
        <f ca="1"/>
        <v>60.9</v>
      </c>
      <c r="HA105" vm="11087">
        <f ca="1"/>
        <v>61.91</v>
      </c>
      <c r="HB105" vm="17955">
        <f ca="1"/>
        <v>61.016599999999997</v>
      </c>
      <c r="HC105" vm="9667">
        <f ca="1"/>
        <v>61.63</v>
      </c>
      <c r="HD105" vm="1657">
        <f ca="1"/>
        <v>60.88</v>
      </c>
      <c r="HE105" vm="14143">
        <f ca="1"/>
        <v>61.45</v>
      </c>
      <c r="HF105" vm="17956">
        <f ca="1"/>
        <v>61.38</v>
      </c>
      <c r="HG105" vm="8863">
        <f ca="1"/>
        <v>61.31</v>
      </c>
      <c r="HH105" vm="13396">
        <f ca="1"/>
        <v>63.16</v>
      </c>
      <c r="HI105" vm="11443">
        <f ca="1"/>
        <v>64.52</v>
      </c>
      <c r="HJ105" vm="17957">
        <f ca="1"/>
        <v>64.438900000000004</v>
      </c>
      <c r="HK105" vm="17958">
        <f ca="1"/>
        <v>64.569900000000004</v>
      </c>
      <c r="HL105" vm="17959">
        <f ca="1"/>
        <v>64.0852</v>
      </c>
      <c r="HM105" vm="15854">
        <f ca="1"/>
        <v>65.27</v>
      </c>
      <c r="HN105" vm="17960">
        <f ca="1"/>
        <v>64.985600000000005</v>
      </c>
      <c r="HO105" vm="17961">
        <f ca="1"/>
        <v>65.574299999999994</v>
      </c>
      <c r="HP105" vm="15664">
        <f ca="1"/>
        <v>66.38</v>
      </c>
      <c r="HQ105" vm="9736">
        <f ca="1"/>
        <v>66.400000000000006</v>
      </c>
      <c r="HR105" vm="8741">
        <f ca="1"/>
        <v>66.069999999999993</v>
      </c>
      <c r="HS105" vm="13202">
        <f ca="1"/>
        <v>67.849999999999994</v>
      </c>
      <c r="HT105" vm="2481">
        <f ca="1"/>
        <v>67.430000000000007</v>
      </c>
      <c r="HU105" vm="17962">
        <f ca="1"/>
        <v>68.118200000000002</v>
      </c>
      <c r="HV105" vm="17963">
        <f ca="1"/>
        <v>69.584999999999994</v>
      </c>
      <c r="HW105" vm="9733">
        <f ca="1"/>
        <v>67.67</v>
      </c>
      <c r="HX105" vm="17964">
        <f ca="1"/>
        <v>67.7</v>
      </c>
      <c r="HY105" vm="17965">
        <f ca="1"/>
        <v>69.456999999999994</v>
      </c>
      <c r="HZ105" vm="15200">
        <f ca="1"/>
        <v>68.77</v>
      </c>
      <c r="IA105" vm="17966">
        <f ca="1"/>
        <v>69.234700000000004</v>
      </c>
      <c r="IB105" vm="1615">
        <f ca="1"/>
        <v>67.08</v>
      </c>
      <c r="IC105" vm="2340">
        <f ca="1"/>
        <v>66.16</v>
      </c>
      <c r="ID105" vm="2341">
        <f ca="1"/>
        <v>65.148700000000005</v>
      </c>
      <c r="IE105" vm="2342">
        <f ca="1"/>
        <v>65.989900000000006</v>
      </c>
      <c r="IF105" vm="2343">
        <f ca="1"/>
        <v>64.911900000000003</v>
      </c>
      <c r="IG105" vm="2344">
        <f ca="1"/>
        <v>65.790000000000006</v>
      </c>
      <c r="IH105" vm="2345">
        <f ca="1"/>
        <v>66.94</v>
      </c>
      <c r="II105" vm="2346">
        <f ca="1"/>
        <v>67.36</v>
      </c>
      <c r="IJ105" vm="1156">
        <f ca="1"/>
        <v>65.97</v>
      </c>
      <c r="IK105" vm="2347">
        <f ca="1"/>
        <v>65.913799999999995</v>
      </c>
      <c r="IL105" vm="2348">
        <f ca="1"/>
        <v>65.971299999999999</v>
      </c>
      <c r="IM105" vm="2349">
        <f ca="1"/>
        <v>66.180000000000007</v>
      </c>
      <c r="IN105" vm="2350">
        <f ca="1"/>
        <v>64.819999999999993</v>
      </c>
      <c r="IO105" vm="1610">
        <f ca="1"/>
        <v>64.72</v>
      </c>
      <c r="IP105" vm="2351">
        <f ca="1"/>
        <v>64.56</v>
      </c>
      <c r="IQ105" vm="2352">
        <f ca="1"/>
        <v>63.72</v>
      </c>
      <c r="IR105" vm="2353">
        <f ca="1"/>
        <v>63.25</v>
      </c>
      <c r="IS105" vm="2354">
        <f ca="1"/>
        <v>62.4</v>
      </c>
      <c r="IT105" vm="2355">
        <f ca="1"/>
        <v>60.61</v>
      </c>
      <c r="IU105" vm="2356">
        <f ca="1"/>
        <v>61.59</v>
      </c>
      <c r="IV105" vm="2357">
        <f ca="1"/>
        <v>61.35</v>
      </c>
      <c r="IW105" vm="41">
        <f ca="1"/>
        <v>61.77</v>
      </c>
    </row>
    <row r="106" spans="1:259" ht="16" x14ac:dyDescent="0.2">
      <c r="A106" t="e" vm="2358">
        <v>#VALUE!</v>
      </c>
      <c r="B106" s="23" t="str" cm="1">
        <f t="array" aca="1" ref="B106" ca="1">_FV(A106,"ticker symbol",TRUE)</f>
        <v>CPER</v>
      </c>
      <c r="C106" s="23" t="str" cm="1">
        <f t="array" aca="1" ref="C106" ca="1">_FV(A106,"Name")</f>
        <v>United States Copper Idx</v>
      </c>
      <c r="D106" cm="1" vm="91">
        <f t="array" aca="1" ref="D106:IW106" ca="1">TRANSPOSE(_xlfn.STOCKHISTORY(B106, WORKDAY(TODAY(), -265), TODAY(), 0, 0, 1))</f>
        <v>26.14</v>
      </c>
      <c r="E106" vm="17515">
        <f ca="1"/>
        <v>25.89</v>
      </c>
      <c r="F106" vm="17967">
        <f ca="1"/>
        <v>25.63</v>
      </c>
      <c r="G106" vm="16389">
        <f ca="1"/>
        <v>25.52</v>
      </c>
      <c r="H106" vm="2858">
        <f ca="1"/>
        <v>25.62</v>
      </c>
      <c r="I106" vm="17968">
        <f ca="1"/>
        <v>25.59</v>
      </c>
      <c r="J106" vm="2061">
        <f ca="1"/>
        <v>25.66</v>
      </c>
      <c r="K106" vm="17515">
        <f ca="1"/>
        <v>25.89</v>
      </c>
      <c r="L106" vm="17969">
        <f ca="1"/>
        <v>25.79</v>
      </c>
      <c r="M106" vm="17967">
        <f ca="1"/>
        <v>25.63</v>
      </c>
      <c r="N106" vm="16372">
        <f ca="1"/>
        <v>25.16</v>
      </c>
      <c r="O106" vm="16794">
        <f ca="1"/>
        <v>25.32</v>
      </c>
      <c r="P106" vm="2060">
        <f ca="1"/>
        <v>25.55</v>
      </c>
      <c r="Q106" vm="17970">
        <f ca="1"/>
        <v>26</v>
      </c>
      <c r="R106" vm="17525">
        <f ca="1"/>
        <v>26.21</v>
      </c>
      <c r="S106" vm="17498">
        <f ca="1"/>
        <v>26.74</v>
      </c>
      <c r="T106" vm="17512">
        <f ca="1"/>
        <v>26.89</v>
      </c>
      <c r="U106" vm="2899">
        <f ca="1"/>
        <v>27.08</v>
      </c>
      <c r="V106" vm="9023">
        <f ca="1"/>
        <v>27.24</v>
      </c>
      <c r="W106" vm="17472">
        <f ca="1"/>
        <v>27.6</v>
      </c>
      <c r="X106" vm="17971">
        <f ca="1"/>
        <v>27.75</v>
      </c>
      <c r="Y106" vm="1446">
        <f ca="1"/>
        <v>27.25</v>
      </c>
      <c r="Z106" vm="17505">
        <f ca="1"/>
        <v>27.23</v>
      </c>
      <c r="AA106" vm="17972">
        <f ca="1"/>
        <v>27</v>
      </c>
      <c r="AB106" vm="10602">
        <f ca="1"/>
        <v>27.13</v>
      </c>
      <c r="AC106" vm="17973">
        <f ca="1"/>
        <v>27.15</v>
      </c>
      <c r="AD106" vm="17494">
        <f ca="1"/>
        <v>26.63</v>
      </c>
      <c r="AE106" vm="1456">
        <f ca="1"/>
        <v>26.69</v>
      </c>
      <c r="AF106" vm="17497">
        <f ca="1"/>
        <v>26.9</v>
      </c>
      <c r="AG106" vm="17511">
        <f ca="1"/>
        <v>27.17</v>
      </c>
      <c r="AH106" vm="17171">
        <f ca="1"/>
        <v>26.85</v>
      </c>
      <c r="AI106" vm="16425">
        <f ca="1"/>
        <v>27.16</v>
      </c>
      <c r="AJ106" vm="2894">
        <f ca="1"/>
        <v>27.48</v>
      </c>
      <c r="AK106" vm="2980">
        <f ca="1"/>
        <v>27.93</v>
      </c>
      <c r="AL106" vm="17805">
        <f ca="1"/>
        <v>28.09</v>
      </c>
      <c r="AM106" vm="10549">
        <f ca="1"/>
        <v>28.9</v>
      </c>
      <c r="AN106" vm="13943">
        <f ca="1"/>
        <v>29.5</v>
      </c>
      <c r="AO106" vm="17974">
        <f ca="1"/>
        <v>28.88</v>
      </c>
      <c r="AP106" vm="16422">
        <f ca="1"/>
        <v>29.58</v>
      </c>
      <c r="AQ106" vm="10624">
        <f ca="1"/>
        <v>30.16</v>
      </c>
      <c r="AR106" vm="9037">
        <f ca="1"/>
        <v>29.27</v>
      </c>
      <c r="AS106" vm="17806">
        <f ca="1"/>
        <v>28.84</v>
      </c>
      <c r="AT106" vm="2081">
        <f ca="1"/>
        <v>28.81</v>
      </c>
      <c r="AU106" vm="13942">
        <f ca="1"/>
        <v>29.07</v>
      </c>
      <c r="AV106" vm="16429">
        <f ca="1"/>
        <v>28.6</v>
      </c>
      <c r="AW106" vm="17188">
        <f ca="1"/>
        <v>28.4</v>
      </c>
      <c r="AX106" vm="10605">
        <f ca="1"/>
        <v>28.36</v>
      </c>
      <c r="AY106" vm="16429">
        <f ca="1"/>
        <v>28.6</v>
      </c>
      <c r="AZ106" vm="13963">
        <f ca="1"/>
        <v>28.69</v>
      </c>
      <c r="BA106" vm="17488">
        <f ca="1"/>
        <v>28.38</v>
      </c>
      <c r="BB106" vm="17975">
        <f ca="1"/>
        <v>28.57</v>
      </c>
      <c r="BC106" vm="13941">
        <f ca="1"/>
        <v>28.49</v>
      </c>
      <c r="BD106" vm="17976">
        <f ca="1"/>
        <v>30.08</v>
      </c>
      <c r="BE106" vm="10556">
        <f ca="1"/>
        <v>29.9</v>
      </c>
      <c r="BF106" vm="17199">
        <f ca="1"/>
        <v>29.48</v>
      </c>
      <c r="BG106" vm="10560">
        <f ca="1"/>
        <v>29.08</v>
      </c>
      <c r="BH106" vm="10556">
        <f ca="1"/>
        <v>29.9</v>
      </c>
      <c r="BI106" vm="16407">
        <f ca="1"/>
        <v>30.22</v>
      </c>
      <c r="BJ106" vm="17977">
        <f ca="1"/>
        <v>30.78</v>
      </c>
      <c r="BK106" vm="13923">
        <f ca="1"/>
        <v>30.46</v>
      </c>
      <c r="BL106" vm="9052">
        <f ca="1"/>
        <v>31.08</v>
      </c>
      <c r="BM106" vm="17192">
        <f ca="1"/>
        <v>31.32</v>
      </c>
      <c r="BN106" vm="16453">
        <f ca="1"/>
        <v>32</v>
      </c>
      <c r="BO106" vm="16444">
        <f ca="1"/>
        <v>31.99</v>
      </c>
      <c r="BP106" vm="2695">
        <f ca="1"/>
        <v>31.9</v>
      </c>
      <c r="BQ106" vm="2364">
        <f ca="1"/>
        <v>31.84</v>
      </c>
      <c r="BR106" vm="17978">
        <f ca="1"/>
        <v>32.68</v>
      </c>
      <c r="BS106" vm="2705">
        <f ca="1"/>
        <v>32.75</v>
      </c>
      <c r="BT106" vm="16446">
        <f ca="1"/>
        <v>31.96</v>
      </c>
      <c r="BU106" vm="8968">
        <f ca="1"/>
        <v>31.95</v>
      </c>
      <c r="BV106" vm="2711">
        <f ca="1"/>
        <v>31.6</v>
      </c>
      <c r="BW106" vm="17979">
        <f ca="1"/>
        <v>31.52</v>
      </c>
      <c r="BX106" vm="9058">
        <f ca="1"/>
        <v>31.53</v>
      </c>
      <c r="BY106" vm="13925">
        <f ca="1"/>
        <v>30.07</v>
      </c>
      <c r="BZ106" vm="17528">
        <f ca="1"/>
        <v>27.52</v>
      </c>
      <c r="CA106" vm="1455">
        <f ca="1"/>
        <v>26.68</v>
      </c>
      <c r="CB106" vm="17980">
        <f ca="1"/>
        <v>25.72</v>
      </c>
      <c r="CC106" vm="2897">
        <f ca="1"/>
        <v>27.74</v>
      </c>
      <c r="CD106" vm="2895">
        <f ca="1"/>
        <v>27.49</v>
      </c>
      <c r="CE106" vm="9033">
        <f ca="1"/>
        <v>28.51</v>
      </c>
      <c r="CF106" vm="17981">
        <f ca="1"/>
        <v>29.4</v>
      </c>
      <c r="CG106" vm="13944">
        <f ca="1"/>
        <v>29.01</v>
      </c>
      <c r="CH106" vm="17982">
        <f ca="1"/>
        <v>29.32</v>
      </c>
      <c r="CI106" vm="10537">
        <f ca="1"/>
        <v>29.47</v>
      </c>
      <c r="CJ106" vm="10547">
        <f ca="1"/>
        <v>29.79</v>
      </c>
      <c r="CK106" vm="17983">
        <f ca="1"/>
        <v>30.38</v>
      </c>
      <c r="CL106" vm="17984">
        <f ca="1"/>
        <v>30.37</v>
      </c>
      <c r="CM106" vm="9042">
        <f ca="1"/>
        <v>30.61</v>
      </c>
      <c r="CN106" vm="17983">
        <f ca="1"/>
        <v>30.38</v>
      </c>
      <c r="CO106" vm="10580">
        <f ca="1"/>
        <v>30.44</v>
      </c>
      <c r="CP106" vm="9006">
        <f ca="1"/>
        <v>30.18</v>
      </c>
      <c r="CQ106" vm="17985">
        <f ca="1"/>
        <v>28.54</v>
      </c>
      <c r="CR106" vm="17986">
        <f ca="1"/>
        <v>28.82</v>
      </c>
      <c r="CS106" vm="10606">
        <f ca="1"/>
        <v>29.1</v>
      </c>
      <c r="CT106" vm="9038">
        <f ca="1"/>
        <v>29.24</v>
      </c>
      <c r="CU106" vm="10577">
        <f ca="1"/>
        <v>29.66</v>
      </c>
      <c r="CV106" vm="2076">
        <f ca="1"/>
        <v>28.74</v>
      </c>
      <c r="CW106" vm="17987">
        <f ca="1"/>
        <v>28.58</v>
      </c>
      <c r="CX106" vm="16500">
        <f ca="1"/>
        <v>28.94</v>
      </c>
      <c r="CY106" vm="17810">
        <f ca="1"/>
        <v>28.92</v>
      </c>
      <c r="CZ106" vm="2090">
        <f ca="1"/>
        <v>29.41</v>
      </c>
      <c r="DA106" vm="10548">
        <f ca="1"/>
        <v>29</v>
      </c>
      <c r="DB106" vm="9037">
        <f ca="1"/>
        <v>29.27</v>
      </c>
      <c r="DC106" vm="17988">
        <f ca="1"/>
        <v>28.61</v>
      </c>
      <c r="DD106" vm="13964">
        <f ca="1"/>
        <v>29.09</v>
      </c>
      <c r="DE106" vm="9038">
        <f ca="1"/>
        <v>29.24</v>
      </c>
      <c r="DF106" vm="17989">
        <f ca="1"/>
        <v>29.21</v>
      </c>
      <c r="DG106" vm="10543">
        <f ca="1"/>
        <v>29.23</v>
      </c>
      <c r="DH106" vm="16420">
        <f ca="1"/>
        <v>30.39</v>
      </c>
      <c r="DI106" vm="17990">
        <f ca="1"/>
        <v>29.65</v>
      </c>
      <c r="DJ106" vm="17989">
        <f ca="1"/>
        <v>29.21</v>
      </c>
      <c r="DK106" vm="17991">
        <f ca="1"/>
        <v>29.16</v>
      </c>
      <c r="DL106" vm="17992">
        <f ca="1"/>
        <v>29.36</v>
      </c>
      <c r="DM106" vm="17984">
        <f ca="1"/>
        <v>30.37</v>
      </c>
      <c r="DN106" vm="16420">
        <f ca="1"/>
        <v>30.39</v>
      </c>
      <c r="DO106" vm="10589">
        <f ca="1"/>
        <v>30.51</v>
      </c>
      <c r="DP106" vm="16401">
        <f ca="1"/>
        <v>30.76</v>
      </c>
      <c r="DQ106" vm="10623">
        <f ca="1"/>
        <v>30.23</v>
      </c>
      <c r="DR106" vm="9015">
        <f ca="1"/>
        <v>30.68</v>
      </c>
      <c r="DS106" vm="16418">
        <f ca="1"/>
        <v>30.7</v>
      </c>
      <c r="DT106" vm="10554">
        <f ca="1"/>
        <v>30.02</v>
      </c>
      <c r="DU106" vm="10546">
        <f ca="1"/>
        <v>30.26</v>
      </c>
      <c r="DV106" vm="10559">
        <f ca="1"/>
        <v>29.77</v>
      </c>
      <c r="DW106" vm="13994">
        <f ca="1"/>
        <v>30.2</v>
      </c>
      <c r="DX106" vm="17190">
        <f ca="1"/>
        <v>29.96</v>
      </c>
      <c r="DY106" vm="13909">
        <f ca="1"/>
        <v>30.35</v>
      </c>
      <c r="DZ106" vm="17993">
        <f ca="1"/>
        <v>30.29</v>
      </c>
      <c r="EA106" vm="14006">
        <f ca="1"/>
        <v>30.65</v>
      </c>
      <c r="EB106" vm="10579">
        <f ca="1"/>
        <v>30.69</v>
      </c>
      <c r="EC106" vm="17994">
        <f ca="1"/>
        <v>30.86</v>
      </c>
      <c r="ED106" vm="16479">
        <f ca="1"/>
        <v>31.7</v>
      </c>
      <c r="EE106" vm="16465">
        <f ca="1"/>
        <v>31.67</v>
      </c>
      <c r="EF106" vm="10612">
        <f ca="1"/>
        <v>31.64</v>
      </c>
      <c r="EG106" vm="10614">
        <f ca="1"/>
        <v>31.57</v>
      </c>
      <c r="EH106" vm="17995">
        <f ca="1"/>
        <v>32.24</v>
      </c>
      <c r="EI106" vm="15764">
        <f ca="1"/>
        <v>31.91</v>
      </c>
      <c r="EJ106" vm="10569">
        <f ca="1"/>
        <v>31.15</v>
      </c>
      <c r="EK106" vm="15702">
        <f ca="1"/>
        <v>33.770000000000003</v>
      </c>
      <c r="EL106" vm="17996">
        <f ca="1"/>
        <v>34.299999999999997</v>
      </c>
      <c r="EM106" vm="17997">
        <f ca="1"/>
        <v>34.799999999999997</v>
      </c>
      <c r="EN106" vm="4720">
        <f ca="1"/>
        <v>34.51</v>
      </c>
      <c r="EO106" vm="17998">
        <f ca="1"/>
        <v>34.28</v>
      </c>
      <c r="EP106" vm="17999">
        <f ca="1"/>
        <v>34.31</v>
      </c>
      <c r="EQ106" vm="17221">
        <f ca="1"/>
        <v>34.18</v>
      </c>
      <c r="ER106" vm="18000">
        <f ca="1"/>
        <v>34.15</v>
      </c>
      <c r="ES106" vm="17216">
        <f ca="1"/>
        <v>34.659999999999997</v>
      </c>
      <c r="ET106" vm="18001">
        <f ca="1"/>
        <v>34.94</v>
      </c>
      <c r="EU106" vm="18002">
        <f ca="1"/>
        <v>35.5</v>
      </c>
      <c r="EV106" vm="18003">
        <f ca="1"/>
        <v>36.1</v>
      </c>
      <c r="EW106" vm="18004">
        <f ca="1"/>
        <v>36.17</v>
      </c>
      <c r="EX106" vm="18005">
        <f ca="1"/>
        <v>35.840000000000003</v>
      </c>
      <c r="EY106" vm="14024">
        <f ca="1"/>
        <v>34.79</v>
      </c>
      <c r="EZ106" vm="826">
        <f ca="1"/>
        <v>35</v>
      </c>
      <c r="FA106" vm="18006">
        <f ca="1"/>
        <v>28.24</v>
      </c>
      <c r="FB106" vm="17529">
        <f ca="1"/>
        <v>27.45</v>
      </c>
      <c r="FC106" vm="17485">
        <f ca="1"/>
        <v>27.57</v>
      </c>
      <c r="FD106" vm="17482">
        <f ca="1"/>
        <v>27.72</v>
      </c>
      <c r="FE106" vm="17530">
        <f ca="1"/>
        <v>27.21</v>
      </c>
      <c r="FF106" vm="17180">
        <f ca="1"/>
        <v>27.46</v>
      </c>
      <c r="FG106" vm="2894">
        <f ca="1"/>
        <v>27.48</v>
      </c>
      <c r="FH106" vm="2896">
        <f ca="1"/>
        <v>27.77</v>
      </c>
      <c r="FI106" vm="18007">
        <f ca="1"/>
        <v>27.69</v>
      </c>
      <c r="FJ106" vm="17195">
        <f ca="1"/>
        <v>28.06</v>
      </c>
      <c r="FK106" vm="2979">
        <f ca="1"/>
        <v>27.95</v>
      </c>
      <c r="FL106" vm="2887">
        <f ca="1"/>
        <v>27.99</v>
      </c>
      <c r="FM106" vm="17481">
        <f ca="1"/>
        <v>27.92</v>
      </c>
      <c r="FN106" vm="17807">
        <f ca="1"/>
        <v>27.84</v>
      </c>
      <c r="FO106" vm="17485">
        <f ca="1"/>
        <v>27.57</v>
      </c>
      <c r="FP106" vm="18008">
        <f ca="1"/>
        <v>27.66</v>
      </c>
      <c r="FQ106" vm="2896">
        <f ca="1"/>
        <v>27.77</v>
      </c>
      <c r="FR106" vm="2896">
        <f ca="1"/>
        <v>27.77</v>
      </c>
      <c r="FS106" vm="18009">
        <f ca="1"/>
        <v>27.86</v>
      </c>
      <c r="FT106" vm="2980">
        <f ca="1"/>
        <v>27.93</v>
      </c>
      <c r="FU106" vm="18008">
        <f ca="1"/>
        <v>27.66</v>
      </c>
      <c r="FV106" vm="2980">
        <f ca="1"/>
        <v>27.93</v>
      </c>
      <c r="FW106" vm="13956">
        <f ca="1"/>
        <v>28.13</v>
      </c>
      <c r="FX106" vm="13941">
        <f ca="1"/>
        <v>28.49</v>
      </c>
      <c r="FY106" vm="10605">
        <f ca="1"/>
        <v>28.36</v>
      </c>
      <c r="FZ106" vm="2975">
        <f ca="1"/>
        <v>28.08</v>
      </c>
      <c r="GA106" vm="16424">
        <f ca="1"/>
        <v>27.94</v>
      </c>
      <c r="GB106" vm="17808">
        <f ca="1"/>
        <v>28.03</v>
      </c>
      <c r="GC106" vm="13956">
        <f ca="1"/>
        <v>28.13</v>
      </c>
      <c r="GD106" vm="13938">
        <f ca="1"/>
        <v>28.33</v>
      </c>
      <c r="GE106" vm="18010">
        <f ca="1"/>
        <v>28.8</v>
      </c>
      <c r="GF106" vm="16429">
        <f ca="1"/>
        <v>28.6</v>
      </c>
      <c r="GG106" vm="17184">
        <f ca="1"/>
        <v>29.03</v>
      </c>
      <c r="GH106" vm="9019">
        <f ca="1"/>
        <v>28.95</v>
      </c>
      <c r="GI106" vm="18011">
        <f ca="1"/>
        <v>28.42</v>
      </c>
      <c r="GJ106" vm="18012">
        <f ca="1"/>
        <v>28.34</v>
      </c>
      <c r="GK106" vm="17987">
        <f ca="1"/>
        <v>28.58</v>
      </c>
      <c r="GL106" vm="18013">
        <f ca="1"/>
        <v>28.62</v>
      </c>
      <c r="GM106" vm="18013">
        <f ca="1"/>
        <v>28.62</v>
      </c>
      <c r="GN106" vm="18014">
        <f ca="1"/>
        <v>29.7</v>
      </c>
      <c r="GO106" vm="10592">
        <f ca="1"/>
        <v>29.51</v>
      </c>
      <c r="GP106" vm="18015">
        <f ca="1"/>
        <v>29.37</v>
      </c>
      <c r="GQ106" vm="17993">
        <f ca="1"/>
        <v>30.29</v>
      </c>
      <c r="GR106" vm="10545">
        <f ca="1"/>
        <v>30</v>
      </c>
      <c r="GS106" vm="10555">
        <f ca="1"/>
        <v>30.15</v>
      </c>
      <c r="GT106" vm="13997">
        <f ca="1"/>
        <v>30.56</v>
      </c>
      <c r="GU106" vm="17192">
        <f ca="1"/>
        <v>31.32</v>
      </c>
      <c r="GV106" vm="2359">
        <f ca="1"/>
        <v>31.13</v>
      </c>
      <c r="GW106" vm="9056">
        <f ca="1"/>
        <v>31.3</v>
      </c>
      <c r="GX106" vm="10617">
        <f ca="1"/>
        <v>31.38</v>
      </c>
      <c r="GY106" vm="16465">
        <f ca="1"/>
        <v>31.67</v>
      </c>
      <c r="GZ106" vm="18016">
        <f ca="1"/>
        <v>30.27</v>
      </c>
      <c r="HA106" vm="10584">
        <f ca="1"/>
        <v>31.59</v>
      </c>
      <c r="HB106" vm="10588">
        <f ca="1"/>
        <v>30.85</v>
      </c>
      <c r="HC106" vm="9016">
        <f ca="1"/>
        <v>30.74</v>
      </c>
      <c r="HD106" vm="18017">
        <f ca="1"/>
        <v>30.84</v>
      </c>
      <c r="HE106" vm="10629">
        <f ca="1"/>
        <v>30.82</v>
      </c>
      <c r="HF106" vm="9001">
        <f ca="1"/>
        <v>31.23</v>
      </c>
      <c r="HG106" vm="18018">
        <f ca="1"/>
        <v>30.54</v>
      </c>
      <c r="HH106" vm="9055">
        <f ca="1"/>
        <v>30.97</v>
      </c>
      <c r="HI106" vm="9059">
        <f ca="1"/>
        <v>31.41</v>
      </c>
      <c r="HJ106" vm="10584">
        <f ca="1"/>
        <v>31.59</v>
      </c>
      <c r="HK106" vm="2695">
        <f ca="1"/>
        <v>31.9</v>
      </c>
      <c r="HL106" vm="16444">
        <f ca="1"/>
        <v>31.99</v>
      </c>
      <c r="HM106" vm="2697">
        <f ca="1"/>
        <v>32.200000000000003</v>
      </c>
      <c r="HN106" vm="10614">
        <f ca="1"/>
        <v>31.57</v>
      </c>
      <c r="HO106" vm="9058">
        <f ca="1"/>
        <v>31.53</v>
      </c>
      <c r="HP106" vm="9000">
        <f ca="1"/>
        <v>31.28</v>
      </c>
      <c r="HQ106" vm="9013">
        <f ca="1"/>
        <v>30.53</v>
      </c>
      <c r="HR106" vm="9010">
        <f ca="1"/>
        <v>30.88</v>
      </c>
      <c r="HS106" vm="9012">
        <f ca="1"/>
        <v>30.83</v>
      </c>
      <c r="HT106" vm="10568">
        <f ca="1"/>
        <v>30.67</v>
      </c>
      <c r="HU106" vm="15759">
        <f ca="1"/>
        <v>31.61</v>
      </c>
      <c r="HV106" vm="10615">
        <f ca="1"/>
        <v>31.34</v>
      </c>
      <c r="HW106" vm="9176">
        <f ca="1"/>
        <v>31.5</v>
      </c>
      <c r="HX106" vm="14001">
        <f ca="1"/>
        <v>31.26</v>
      </c>
      <c r="HY106" vm="17192">
        <f ca="1"/>
        <v>31.32</v>
      </c>
      <c r="HZ106" vm="9060">
        <f ca="1"/>
        <v>30.91</v>
      </c>
      <c r="IA106" vm="10618">
        <f ca="1"/>
        <v>30.8</v>
      </c>
      <c r="IB106" vm="2359">
        <f ca="1"/>
        <v>31.13</v>
      </c>
      <c r="IC106" vm="2360">
        <f ca="1"/>
        <v>30.77</v>
      </c>
      <c r="ID106" vm="2361">
        <f ca="1"/>
        <v>31.07</v>
      </c>
      <c r="IE106" vm="2362">
        <f ca="1"/>
        <v>31.11</v>
      </c>
      <c r="IF106" vm="2363">
        <f ca="1"/>
        <v>31.18</v>
      </c>
      <c r="IG106" vm="2364">
        <f ca="1"/>
        <v>31.84</v>
      </c>
      <c r="IH106" vm="2365">
        <f ca="1"/>
        <v>32.28</v>
      </c>
      <c r="II106" vm="2366">
        <f ca="1"/>
        <v>32.29</v>
      </c>
      <c r="IJ106" vm="2367">
        <f ca="1"/>
        <v>32.14</v>
      </c>
      <c r="IK106" vm="2368">
        <f ca="1"/>
        <v>33.03</v>
      </c>
      <c r="IL106" vm="2369">
        <f ca="1"/>
        <v>32.840000000000003</v>
      </c>
      <c r="IM106" vm="2370">
        <f ca="1"/>
        <v>33.35</v>
      </c>
      <c r="IN106" vm="2371">
        <f ca="1"/>
        <v>33.24</v>
      </c>
      <c r="IO106" vm="2372">
        <f ca="1"/>
        <v>32.65</v>
      </c>
      <c r="IP106" vm="2373">
        <f ca="1"/>
        <v>33.07</v>
      </c>
      <c r="IQ106" vm="2374">
        <f ca="1"/>
        <v>33.61</v>
      </c>
      <c r="IR106" vm="2375">
        <f ca="1"/>
        <v>32.83</v>
      </c>
      <c r="IS106" vm="2376">
        <f ca="1"/>
        <v>33.15</v>
      </c>
      <c r="IT106" vm="2377">
        <f ca="1"/>
        <v>32.89</v>
      </c>
      <c r="IU106" vm="2378">
        <f ca="1"/>
        <v>33.229999999999997</v>
      </c>
      <c r="IV106" vm="2379">
        <f ca="1"/>
        <v>33.26</v>
      </c>
      <c r="IW106" vm="43">
        <f ca="1"/>
        <v>33.6</v>
      </c>
    </row>
    <row r="107" spans="1:259" ht="16" x14ac:dyDescent="0.2">
      <c r="A107" t="e" vm="2380">
        <v>#VALUE!</v>
      </c>
      <c r="B107" s="23" t="str" cm="1">
        <f t="array" aca="1" ref="B107" ca="1">_FV(A107,"ticker symbol",TRUE)</f>
        <v>CATL</v>
      </c>
      <c r="C107" s="23" t="str" cm="1">
        <f t="array" aca="1" ref="C107" ca="1">_FV(A107,"Name")</f>
        <v>WT Live Cattle</v>
      </c>
      <c r="D107" t="e" cm="1" vm="2521">
        <f t="array" aca="1" ref="D107:DW107" ca="1">TRANSPOSE(_xlfn.STOCKHISTORY(B107, WORKDAY(TODAY(), -265), TODAY(), 0, 0, 1))</f>
        <v>#N/A</v>
      </c>
      <c r="E107" t="e" vm="2521">
        <f ca="1"/>
        <v>#N/A</v>
      </c>
      <c r="F107" t="e" vm="2521">
        <f ca="1"/>
        <v>#N/A</v>
      </c>
      <c r="G107" t="e" vm="2521">
        <f ca="1"/>
        <v>#N/A</v>
      </c>
      <c r="H107" vm="17375">
        <f ca="1"/>
        <v>13.16</v>
      </c>
      <c r="I107" t="e" vm="2521">
        <f ca="1"/>
        <v>#N/A</v>
      </c>
      <c r="J107" t="e" vm="2521">
        <f ca="1"/>
        <v>#N/A</v>
      </c>
      <c r="K107" vm="18019">
        <f ca="1"/>
        <v>11.31</v>
      </c>
      <c r="L107" t="e" vm="2521">
        <f ca="1"/>
        <v>#N/A</v>
      </c>
      <c r="M107" vm="18020">
        <f ca="1"/>
        <v>13</v>
      </c>
      <c r="N107" vm="18021">
        <f ca="1"/>
        <v>12.08</v>
      </c>
      <c r="O107" vm="2221">
        <f ca="1"/>
        <v>12.1</v>
      </c>
      <c r="P107" vm="18022">
        <f ca="1"/>
        <v>12.05</v>
      </c>
      <c r="Q107" vm="18023">
        <f ca="1"/>
        <v>12.25</v>
      </c>
      <c r="R107" vm="2204">
        <f ca="1"/>
        <v>14.42</v>
      </c>
      <c r="S107" t="e" vm="2521">
        <f ca="1"/>
        <v>#N/A</v>
      </c>
      <c r="T107" vm="17351">
        <f ca="1"/>
        <v>13.35</v>
      </c>
      <c r="U107" vm="18024">
        <f ca="1"/>
        <v>14</v>
      </c>
      <c r="V107" vm="18025">
        <f ca="1"/>
        <v>14.5</v>
      </c>
      <c r="W107" vm="18024">
        <f ca="1"/>
        <v>14</v>
      </c>
      <c r="X107" vm="18026">
        <f ca="1"/>
        <v>13.75</v>
      </c>
      <c r="Y107" vm="18027">
        <f ca="1"/>
        <v>14.32</v>
      </c>
      <c r="Z107" vm="18028">
        <f ca="1"/>
        <v>14.64</v>
      </c>
      <c r="AA107" vm="18029">
        <f ca="1"/>
        <v>13.47</v>
      </c>
      <c r="AB107" vm="18030">
        <f ca="1"/>
        <v>12.85</v>
      </c>
      <c r="AC107" vm="18031">
        <f ca="1"/>
        <v>12.775</v>
      </c>
      <c r="AD107" vm="17389">
        <f ca="1"/>
        <v>13.3</v>
      </c>
      <c r="AE107" vm="18032">
        <f ca="1"/>
        <v>13.21</v>
      </c>
      <c r="AF107" vm="17388">
        <f ca="1"/>
        <v>13.05</v>
      </c>
      <c r="AG107" vm="18033">
        <f ca="1"/>
        <v>12.7</v>
      </c>
      <c r="AH107" vm="17374">
        <f ca="1"/>
        <v>12.94</v>
      </c>
      <c r="AI107" vm="17375">
        <f ca="1"/>
        <v>13.16</v>
      </c>
      <c r="AJ107" vm="18034">
        <f ca="1"/>
        <v>13.37</v>
      </c>
      <c r="AK107" vm="18035">
        <f ca="1"/>
        <v>13.52</v>
      </c>
      <c r="AL107" vm="17403">
        <f ca="1"/>
        <v>13.25</v>
      </c>
      <c r="AM107" vm="17358">
        <f ca="1"/>
        <v>13.2</v>
      </c>
      <c r="AN107" vm="17358">
        <f ca="1"/>
        <v>13.2</v>
      </c>
      <c r="AO107" vm="18036">
        <f ca="1"/>
        <v>12.891999999999999</v>
      </c>
      <c r="AP107" vm="18030">
        <f ca="1"/>
        <v>12.85</v>
      </c>
      <c r="AQ107" vm="17397">
        <f ca="1"/>
        <v>12.93</v>
      </c>
      <c r="AR107" vm="18037">
        <f ca="1"/>
        <v>13.505000000000001</v>
      </c>
      <c r="AS107" vm="17358">
        <f ca="1"/>
        <v>13.2</v>
      </c>
      <c r="AT107" vm="18038">
        <f ca="1"/>
        <v>13.28</v>
      </c>
      <c r="AU107" vm="18039">
        <f ca="1"/>
        <v>13.01</v>
      </c>
      <c r="AV107" vm="18040">
        <f ca="1"/>
        <v>13.11</v>
      </c>
      <c r="AW107" vm="18041">
        <f ca="1"/>
        <v>13.61</v>
      </c>
      <c r="AX107" vm="18042">
        <f ca="1"/>
        <v>13.31</v>
      </c>
      <c r="AY107" vm="18043">
        <f ca="1"/>
        <v>13.56</v>
      </c>
      <c r="AZ107" vm="18044">
        <f ca="1"/>
        <v>13.36</v>
      </c>
      <c r="BA107" vm="18045">
        <f ca="1"/>
        <v>13.82</v>
      </c>
      <c r="BB107" vm="2207">
        <f ca="1"/>
        <v>13.83</v>
      </c>
      <c r="BC107" vm="18046">
        <f ca="1"/>
        <v>13.79</v>
      </c>
      <c r="BD107" vm="18047">
        <f ca="1"/>
        <v>13.6</v>
      </c>
      <c r="BE107" vm="2207">
        <f ca="1"/>
        <v>13.83</v>
      </c>
      <c r="BF107" vm="18048">
        <f ca="1"/>
        <v>13.87</v>
      </c>
      <c r="BG107" vm="18049">
        <f ca="1"/>
        <v>15.08</v>
      </c>
      <c r="BH107" vm="18050">
        <f ca="1"/>
        <v>15.39</v>
      </c>
      <c r="BI107" vm="18051">
        <f ca="1"/>
        <v>16.2</v>
      </c>
      <c r="BJ107" vm="17267">
        <f ca="1"/>
        <v>16.190000000000001</v>
      </c>
      <c r="BK107" vm="18052">
        <f ca="1"/>
        <v>16.5</v>
      </c>
      <c r="BL107" vm="18053">
        <f ca="1"/>
        <v>16.420000000000002</v>
      </c>
      <c r="BM107" vm="18054">
        <f ca="1"/>
        <v>16.11</v>
      </c>
      <c r="BN107" vm="18051">
        <f ca="1"/>
        <v>16.2</v>
      </c>
      <c r="BO107" vm="17624">
        <f ca="1"/>
        <v>17.04</v>
      </c>
      <c r="BP107" vm="2826">
        <f ca="1"/>
        <v>17.12</v>
      </c>
      <c r="BQ107" vm="18055">
        <f ca="1"/>
        <v>17.649999999999999</v>
      </c>
      <c r="BR107" vm="18056">
        <f ca="1"/>
        <v>18.315000000000001</v>
      </c>
      <c r="BS107" vm="17598">
        <f ca="1"/>
        <v>18.38</v>
      </c>
      <c r="BT107" vm="17550">
        <f ca="1"/>
        <v>19.5</v>
      </c>
      <c r="BU107" vm="18057">
        <f ca="1"/>
        <v>19.75</v>
      </c>
      <c r="BV107" vm="17570">
        <f ca="1"/>
        <v>19.18</v>
      </c>
      <c r="BW107" vm="17667">
        <f ca="1"/>
        <v>19.079999999999998</v>
      </c>
      <c r="BX107" vm="17289">
        <f ca="1"/>
        <v>18.63</v>
      </c>
      <c r="BY107" vm="18058">
        <f ca="1"/>
        <v>18.64</v>
      </c>
      <c r="BZ107" vm="17323">
        <f ca="1"/>
        <v>16.7</v>
      </c>
      <c r="CA107" vm="17640">
        <f ca="1"/>
        <v>17.45</v>
      </c>
      <c r="CB107" vm="2822">
        <f ca="1"/>
        <v>17.010000000000002</v>
      </c>
      <c r="CC107" vm="2832">
        <f ca="1"/>
        <v>17.3</v>
      </c>
      <c r="CD107" vm="2830">
        <f ca="1"/>
        <v>17.149999999999999</v>
      </c>
      <c r="CE107" vm="2819">
        <f ca="1"/>
        <v>17.079999999999998</v>
      </c>
      <c r="CF107" vm="18059">
        <f ca="1"/>
        <v>17.05</v>
      </c>
      <c r="CG107" vm="17630">
        <f ca="1"/>
        <v>17.350000000000001</v>
      </c>
      <c r="CH107" vm="18060">
        <f ca="1"/>
        <v>17.440000000000001</v>
      </c>
      <c r="CI107" vm="2827">
        <f ca="1"/>
        <v>17.25</v>
      </c>
      <c r="CJ107" vm="17270">
        <f ca="1"/>
        <v>17.8</v>
      </c>
      <c r="CK107" vm="17603">
        <f ca="1"/>
        <v>18.23</v>
      </c>
      <c r="CL107" vm="17590">
        <f ca="1"/>
        <v>18.16</v>
      </c>
      <c r="CM107" vm="17263">
        <f ca="1"/>
        <v>18.25</v>
      </c>
      <c r="CN107" vm="17308">
        <f ca="1"/>
        <v>18.350000000000001</v>
      </c>
      <c r="CO107" vm="17605">
        <f ca="1"/>
        <v>17.96</v>
      </c>
      <c r="CP107" vm="17270">
        <f ca="1"/>
        <v>17.8</v>
      </c>
      <c r="CQ107" vm="17290">
        <f ca="1"/>
        <v>17.510000000000002</v>
      </c>
      <c r="CR107" vm="18061">
        <f ca="1"/>
        <v>17.690000000000001</v>
      </c>
      <c r="CS107" vm="17332">
        <f ca="1"/>
        <v>17.66</v>
      </c>
      <c r="CT107" vm="2271">
        <f ca="1"/>
        <v>17.850000000000001</v>
      </c>
      <c r="CU107" vm="2263">
        <f ca="1"/>
        <v>17.59</v>
      </c>
      <c r="CV107" vm="18060">
        <f ca="1"/>
        <v>17.440000000000001</v>
      </c>
      <c r="CW107" vm="17639">
        <f ca="1"/>
        <v>17.63</v>
      </c>
      <c r="CX107" vm="18062">
        <f ca="1"/>
        <v>18.04</v>
      </c>
      <c r="CY107" vm="18063">
        <f ca="1"/>
        <v>17.02</v>
      </c>
      <c r="CZ107" vm="2818">
        <f ca="1"/>
        <v>16.690000000000001</v>
      </c>
      <c r="DA107" vm="18064">
        <f ca="1"/>
        <v>16.100000000000001</v>
      </c>
      <c r="DB107" vm="2381">
        <f ca="1"/>
        <v>16.329999999999998</v>
      </c>
      <c r="DC107" vm="2382">
        <f ca="1"/>
        <v>15.13</v>
      </c>
      <c r="DD107" vm="2383">
        <f ca="1"/>
        <v>15.11</v>
      </c>
      <c r="DE107" vm="2384">
        <f ca="1"/>
        <v>15.045</v>
      </c>
      <c r="DF107" vm="2385">
        <f ca="1"/>
        <v>15</v>
      </c>
      <c r="DG107" vm="2386">
        <f ca="1"/>
        <v>15.1</v>
      </c>
      <c r="DH107" vm="2387">
        <f ca="1"/>
        <v>15.2</v>
      </c>
      <c r="DI107" vm="2388">
        <f ca="1"/>
        <v>15.57</v>
      </c>
      <c r="DJ107" vm="2389">
        <f ca="1"/>
        <v>15.31</v>
      </c>
      <c r="DK107" vm="2390">
        <f ca="1"/>
        <v>15.28</v>
      </c>
      <c r="DL107" vm="2391">
        <f ca="1"/>
        <v>15.55</v>
      </c>
      <c r="DM107" vm="2392">
        <f ca="1"/>
        <v>15.6</v>
      </c>
      <c r="DN107" vm="2393">
        <f ca="1"/>
        <v>16.170000000000002</v>
      </c>
      <c r="DO107" vm="2394">
        <f ca="1"/>
        <v>15.9</v>
      </c>
      <c r="DP107" vm="2395">
        <f ca="1"/>
        <v>16.13</v>
      </c>
      <c r="DQ107" vm="2396">
        <f ca="1"/>
        <v>16.38</v>
      </c>
      <c r="DR107" vm="45">
        <f ca="1"/>
        <v>16.3</v>
      </c>
      <c r="DS107" vm="2397">
        <f ca="1"/>
        <v>16.579999999999998</v>
      </c>
      <c r="DT107" vm="2398">
        <f ca="1"/>
        <v>16.32</v>
      </c>
      <c r="DU107" vm="2399">
        <f ca="1"/>
        <v>16.25</v>
      </c>
      <c r="DV107" vm="2394">
        <f ca="1"/>
        <v>15.9</v>
      </c>
      <c r="DW107" vm="45">
        <f ca="1"/>
        <v>16.3</v>
      </c>
    </row>
    <row r="108" spans="1:259" ht="16" x14ac:dyDescent="0.2">
      <c r="A108" t="e" vm="2400">
        <v>#VALUE!</v>
      </c>
      <c r="B108" s="23" t="str" cm="1">
        <f t="array" aca="1" ref="B108" ca="1">_FV(A108,"ticker symbol",TRUE)</f>
        <v>HOGS</v>
      </c>
      <c r="C108" s="23" t="str" cm="1">
        <f t="array" aca="1" ref="C108" ca="1">_FV(A108,"Name")</f>
        <v>ETFS LEAN HOGS ETC</v>
      </c>
      <c r="D108" cm="1" vm="18065">
        <f t="array" aca="1" ref="D108:IY108" ca="1">TRANSPOSE(_xlfn.STOCKHISTORY(B108, WORKDAY(TODAY(), -265), TODAY(), 0, 0, 1))</f>
        <v>30.52</v>
      </c>
      <c r="E108" vm="18066">
        <f ca="1"/>
        <v>30.06</v>
      </c>
      <c r="F108" vm="18067">
        <f ca="1"/>
        <v>30.065000000000001</v>
      </c>
      <c r="G108" vm="18068">
        <f ca="1"/>
        <v>30.58</v>
      </c>
      <c r="H108" vm="18069">
        <f ca="1"/>
        <v>30.885000000000002</v>
      </c>
      <c r="I108" vm="18070">
        <f ca="1"/>
        <v>30.61</v>
      </c>
      <c r="J108" vm="18071">
        <f ca="1"/>
        <v>30.645</v>
      </c>
      <c r="K108" vm="18072">
        <f ca="1"/>
        <v>29.684999999999999</v>
      </c>
      <c r="L108" vm="18073">
        <f ca="1"/>
        <v>29.734999999999999</v>
      </c>
      <c r="M108" vm="18074">
        <f ca="1"/>
        <v>29.51</v>
      </c>
      <c r="N108" vm="18075">
        <f ca="1"/>
        <v>29.01</v>
      </c>
      <c r="O108" vm="18076">
        <f ca="1"/>
        <v>28.95</v>
      </c>
      <c r="P108" vm="18077">
        <f ca="1"/>
        <v>28.895</v>
      </c>
      <c r="Q108" vm="18067">
        <f ca="1"/>
        <v>30.065000000000001</v>
      </c>
      <c r="R108" vm="18078">
        <f ca="1"/>
        <v>30.48</v>
      </c>
      <c r="S108" vm="18079">
        <f ca="1"/>
        <v>31.094999999999999</v>
      </c>
      <c r="T108" vm="18080">
        <f ca="1"/>
        <v>30.95</v>
      </c>
      <c r="U108" vm="18081">
        <f ca="1"/>
        <v>31.295000000000002</v>
      </c>
      <c r="V108" vm="18082">
        <f ca="1"/>
        <v>31.085000000000001</v>
      </c>
      <c r="W108" vm="18068">
        <f ca="1"/>
        <v>30.58</v>
      </c>
      <c r="X108" vm="18083">
        <f ca="1"/>
        <v>29.99</v>
      </c>
      <c r="Y108" vm="18084">
        <f ca="1"/>
        <v>29.715</v>
      </c>
      <c r="Z108" vm="18085">
        <f ca="1"/>
        <v>29.285</v>
      </c>
      <c r="AA108" vm="18086">
        <f ca="1"/>
        <v>29.535</v>
      </c>
      <c r="AB108" vm="18087">
        <f ca="1"/>
        <v>29.465</v>
      </c>
      <c r="AC108" vm="18088">
        <f ca="1"/>
        <v>30.3</v>
      </c>
      <c r="AD108" vm="18089">
        <f ca="1"/>
        <v>30.87</v>
      </c>
      <c r="AE108" vm="18090">
        <f ca="1"/>
        <v>31.225000000000001</v>
      </c>
      <c r="AF108" vm="18091">
        <f ca="1"/>
        <v>31.48</v>
      </c>
      <c r="AG108" vm="18092">
        <f ca="1"/>
        <v>30.8</v>
      </c>
      <c r="AH108" vm="18093">
        <f ca="1"/>
        <v>29.87</v>
      </c>
      <c r="AI108" vm="18094">
        <f ca="1"/>
        <v>30.574999999999999</v>
      </c>
      <c r="AJ108" vm="18095">
        <f ca="1"/>
        <v>30.984999999999999</v>
      </c>
      <c r="AK108" vm="18096">
        <f ca="1"/>
        <v>31.184999999999999</v>
      </c>
      <c r="AL108" vm="18097">
        <f ca="1"/>
        <v>31.47</v>
      </c>
      <c r="AM108" vm="18098">
        <f ca="1"/>
        <v>31.414999999999999</v>
      </c>
      <c r="AN108" vm="18099">
        <f ca="1"/>
        <v>31.614999999999998</v>
      </c>
      <c r="AO108" vm="18100">
        <f ca="1"/>
        <v>32.299999999999997</v>
      </c>
      <c r="AP108" vm="18101">
        <f ca="1"/>
        <v>31.914999999999999</v>
      </c>
      <c r="AQ108" vm="18102">
        <f ca="1"/>
        <v>31.524999999999999</v>
      </c>
      <c r="AR108" vm="18103">
        <f ca="1"/>
        <v>31.324999999999999</v>
      </c>
      <c r="AS108" vm="18104">
        <f ca="1"/>
        <v>32.03</v>
      </c>
      <c r="AT108" vm="18105">
        <f ca="1"/>
        <v>31.125</v>
      </c>
      <c r="AU108" vm="18106">
        <f ca="1"/>
        <v>30.125</v>
      </c>
      <c r="AV108" vm="18093">
        <f ca="1"/>
        <v>29.87</v>
      </c>
      <c r="AW108" vm="18107">
        <f ca="1"/>
        <v>29.76</v>
      </c>
      <c r="AX108" vm="18108">
        <f ca="1"/>
        <v>29.3</v>
      </c>
      <c r="AY108" vm="18109">
        <f ca="1"/>
        <v>29.385000000000002</v>
      </c>
      <c r="AZ108" vm="18110">
        <f ca="1"/>
        <v>29.015000000000001</v>
      </c>
      <c r="BA108" vm="18111">
        <f ca="1"/>
        <v>28.89</v>
      </c>
      <c r="BB108" vm="18112">
        <f ca="1"/>
        <v>28.2</v>
      </c>
      <c r="BC108" vm="18113">
        <f ca="1"/>
        <v>27.63</v>
      </c>
      <c r="BD108" vm="18114">
        <f ca="1"/>
        <v>27.704999999999998</v>
      </c>
      <c r="BE108" vm="18115">
        <f ca="1"/>
        <v>28.34</v>
      </c>
      <c r="BF108" vm="18116">
        <f ca="1"/>
        <v>28.45</v>
      </c>
      <c r="BG108" vm="18117">
        <f ca="1"/>
        <v>28.63</v>
      </c>
      <c r="BH108" vm="18118">
        <f ca="1"/>
        <v>28.434999999999999</v>
      </c>
      <c r="BI108" vm="18119">
        <f ca="1"/>
        <v>28.3</v>
      </c>
      <c r="BJ108" vm="18120">
        <f ca="1"/>
        <v>28.18</v>
      </c>
      <c r="BK108" vm="18121">
        <f ca="1"/>
        <v>27.79</v>
      </c>
      <c r="BL108" vm="18122">
        <f ca="1"/>
        <v>28.545000000000002</v>
      </c>
      <c r="BM108" vm="18123">
        <f ca="1"/>
        <v>27.86</v>
      </c>
      <c r="BN108" vm="18124">
        <f ca="1"/>
        <v>27.835000000000001</v>
      </c>
      <c r="BO108" vm="18125">
        <f ca="1"/>
        <v>27.77</v>
      </c>
      <c r="BP108" vm="18126">
        <f ca="1"/>
        <v>28.66</v>
      </c>
      <c r="BQ108" vm="18127">
        <f ca="1"/>
        <v>28.08</v>
      </c>
      <c r="BR108" vm="18120">
        <f ca="1"/>
        <v>28.18</v>
      </c>
      <c r="BS108" vm="18118">
        <f ca="1"/>
        <v>28.434999999999999</v>
      </c>
      <c r="BT108" vm="18128">
        <f ca="1"/>
        <v>27.625</v>
      </c>
      <c r="BU108" vm="18129">
        <f ca="1"/>
        <v>28.175000000000001</v>
      </c>
      <c r="BV108" vm="18130">
        <f ca="1"/>
        <v>28.02</v>
      </c>
      <c r="BW108" vm="18131">
        <f ca="1"/>
        <v>28.425000000000001</v>
      </c>
      <c r="BX108" vm="18132">
        <f ca="1"/>
        <v>27.855</v>
      </c>
      <c r="BY108" vm="18133">
        <f ca="1"/>
        <v>27.35</v>
      </c>
      <c r="BZ108" vm="18134">
        <f ca="1"/>
        <v>26.33</v>
      </c>
      <c r="CA108" vm="18135">
        <f ca="1"/>
        <v>25.78</v>
      </c>
      <c r="CB108" vm="18136">
        <f ca="1"/>
        <v>26.11</v>
      </c>
      <c r="CC108" vm="18137">
        <f ca="1"/>
        <v>25.96</v>
      </c>
      <c r="CD108" vm="18138">
        <f ca="1"/>
        <v>26.364999999999998</v>
      </c>
      <c r="CE108" vm="18139">
        <f ca="1"/>
        <v>26.01</v>
      </c>
      <c r="CF108" vm="18140">
        <f ca="1"/>
        <v>26.15</v>
      </c>
      <c r="CG108" vm="18141">
        <f ca="1"/>
        <v>26.795000000000002</v>
      </c>
      <c r="CH108" vm="18142">
        <f ca="1"/>
        <v>27.12</v>
      </c>
      <c r="CI108" vm="18143">
        <f ca="1"/>
        <v>27.21</v>
      </c>
      <c r="CJ108" vm="18144">
        <f ca="1"/>
        <v>27.4</v>
      </c>
      <c r="CK108" vm="18145">
        <f ca="1"/>
        <v>27.975000000000001</v>
      </c>
      <c r="CL108" vm="2420">
        <f ca="1"/>
        <v>27.65</v>
      </c>
      <c r="CM108" vm="18146">
        <f ca="1"/>
        <v>27.91</v>
      </c>
      <c r="CN108" vm="18147">
        <f ca="1"/>
        <v>27.965</v>
      </c>
      <c r="CO108" vm="18148">
        <f ca="1"/>
        <v>27.8</v>
      </c>
      <c r="CP108" vm="18149">
        <f ca="1"/>
        <v>27.69</v>
      </c>
      <c r="CQ108" vm="18128">
        <f ca="1"/>
        <v>27.625</v>
      </c>
      <c r="CR108" vm="18148">
        <f ca="1"/>
        <v>27.8</v>
      </c>
      <c r="CS108" vm="18150">
        <f ca="1"/>
        <v>27.225000000000001</v>
      </c>
      <c r="CT108" vm="18151">
        <f ca="1"/>
        <v>27.25</v>
      </c>
      <c r="CU108" vm="18152">
        <f ca="1"/>
        <v>27.37</v>
      </c>
      <c r="CV108" vm="18153">
        <f ca="1"/>
        <v>27.315000000000001</v>
      </c>
      <c r="CW108" vm="18154">
        <f ca="1"/>
        <v>28.295000000000002</v>
      </c>
      <c r="CX108" vm="18155">
        <f ca="1"/>
        <v>28.125</v>
      </c>
      <c r="CY108" vm="18156">
        <f ca="1"/>
        <v>28.04</v>
      </c>
      <c r="CZ108" vm="18157">
        <f ca="1"/>
        <v>27.97</v>
      </c>
      <c r="DA108" vm="18158">
        <f ca="1"/>
        <v>28.745000000000001</v>
      </c>
      <c r="DB108" vm="18159">
        <f ca="1"/>
        <v>28.234999999999999</v>
      </c>
      <c r="DC108" vm="18160">
        <f ca="1"/>
        <v>28.015000000000001</v>
      </c>
      <c r="DD108" vm="18161">
        <f ca="1"/>
        <v>28.12</v>
      </c>
      <c r="DE108" vm="18162">
        <f ca="1"/>
        <v>27.875</v>
      </c>
      <c r="DF108" vm="18163">
        <f ca="1"/>
        <v>27.414999999999999</v>
      </c>
      <c r="DG108" vm="18164">
        <f ca="1"/>
        <v>27.375</v>
      </c>
      <c r="DH108" vm="18165">
        <f ca="1"/>
        <v>27.364999999999998</v>
      </c>
      <c r="DI108" vm="18157">
        <f ca="1"/>
        <v>27.97</v>
      </c>
      <c r="DJ108" vm="18166">
        <f ca="1"/>
        <v>27.95</v>
      </c>
      <c r="DK108" vm="18167">
        <f ca="1"/>
        <v>28.265000000000001</v>
      </c>
      <c r="DL108" vm="18168">
        <f ca="1"/>
        <v>28.22</v>
      </c>
      <c r="DM108" vm="18169">
        <f ca="1"/>
        <v>28.515000000000001</v>
      </c>
      <c r="DN108" vm="18170">
        <f ca="1"/>
        <v>28.274999999999999</v>
      </c>
      <c r="DO108" vm="18171">
        <f ca="1"/>
        <v>28.245000000000001</v>
      </c>
      <c r="DP108" vm="18172">
        <f ca="1"/>
        <v>28.585000000000001</v>
      </c>
      <c r="DQ108" vm="18173">
        <f ca="1"/>
        <v>28.94</v>
      </c>
      <c r="DR108" vm="18111">
        <f ca="1"/>
        <v>28.89</v>
      </c>
      <c r="DS108" vm="18174">
        <f ca="1"/>
        <v>29.135000000000002</v>
      </c>
      <c r="DT108" vm="18175">
        <f ca="1"/>
        <v>28.87</v>
      </c>
      <c r="DU108" vm="18169">
        <f ca="1"/>
        <v>28.515000000000001</v>
      </c>
      <c r="DV108" vm="18176">
        <f ca="1"/>
        <v>29.045000000000002</v>
      </c>
      <c r="DW108" vm="18177">
        <f ca="1"/>
        <v>29.44</v>
      </c>
      <c r="DX108" vm="18108">
        <f ca="1"/>
        <v>29.3</v>
      </c>
      <c r="DY108" vm="18178">
        <f ca="1"/>
        <v>29.515000000000001</v>
      </c>
      <c r="DZ108" vm="18179">
        <f ca="1"/>
        <v>29.375</v>
      </c>
      <c r="EA108" vm="18074">
        <f ca="1"/>
        <v>29.51</v>
      </c>
      <c r="EB108" vm="18180">
        <f ca="1"/>
        <v>28.984999999999999</v>
      </c>
      <c r="EC108" vm="18181">
        <f ca="1"/>
        <v>28.914999999999999</v>
      </c>
      <c r="ED108" vm="18182">
        <f ca="1"/>
        <v>28.65</v>
      </c>
      <c r="EE108" vm="18183">
        <f ca="1"/>
        <v>28.184999999999999</v>
      </c>
      <c r="EF108" vm="18184">
        <f ca="1"/>
        <v>27.72</v>
      </c>
      <c r="EG108" vm="18185">
        <f ca="1"/>
        <v>27.47</v>
      </c>
      <c r="EH108" vm="18186">
        <f ca="1"/>
        <v>27.59</v>
      </c>
      <c r="EI108" vm="18187">
        <f ca="1"/>
        <v>27.585000000000001</v>
      </c>
      <c r="EJ108" vm="2412">
        <f ca="1"/>
        <v>27.245000000000001</v>
      </c>
      <c r="EK108" vm="48">
        <f ca="1"/>
        <v>27.46</v>
      </c>
      <c r="EL108" vm="2416">
        <f ca="1"/>
        <v>27.6</v>
      </c>
      <c r="EM108" vm="18188">
        <f ca="1"/>
        <v>27.824999999999999</v>
      </c>
      <c r="EN108" vm="18189">
        <f ca="1"/>
        <v>27.495000000000001</v>
      </c>
      <c r="EO108" vm="18190">
        <f ca="1"/>
        <v>27.465</v>
      </c>
      <c r="EP108" vm="18191">
        <f ca="1"/>
        <v>26.344999999999999</v>
      </c>
      <c r="EQ108" vm="18192">
        <f ca="1"/>
        <v>26.175000000000001</v>
      </c>
      <c r="ER108" vm="18193">
        <f ca="1"/>
        <v>26.5</v>
      </c>
      <c r="ES108" vm="18194">
        <f ca="1"/>
        <v>27.32</v>
      </c>
      <c r="ET108" vm="18195">
        <f ca="1"/>
        <v>27.05</v>
      </c>
      <c r="EU108" vm="18196">
        <f ca="1"/>
        <v>26.905000000000001</v>
      </c>
      <c r="EV108" vm="18197">
        <f ca="1"/>
        <v>27.08</v>
      </c>
      <c r="EW108" vm="18198">
        <f ca="1"/>
        <v>26.754999999999999</v>
      </c>
      <c r="EX108" vm="18199">
        <f ca="1"/>
        <v>27.074999999999999</v>
      </c>
      <c r="EY108" vm="18200">
        <f ca="1"/>
        <v>26.84</v>
      </c>
      <c r="EZ108" vm="18201">
        <f ca="1"/>
        <v>27.195</v>
      </c>
      <c r="FA108" vm="18202">
        <f ca="1"/>
        <v>26.98</v>
      </c>
      <c r="FB108" vm="18203">
        <f ca="1"/>
        <v>27.175000000000001</v>
      </c>
      <c r="FC108" vm="18204">
        <f ca="1"/>
        <v>27.445</v>
      </c>
      <c r="FD108" vm="18205">
        <f ca="1"/>
        <v>27.085000000000001</v>
      </c>
      <c r="FE108" vm="18206">
        <f ca="1"/>
        <v>27.52</v>
      </c>
      <c r="FF108" vm="18207">
        <f ca="1"/>
        <v>28.114999999999998</v>
      </c>
      <c r="FG108" vm="18208">
        <f ca="1"/>
        <v>27.664999999999999</v>
      </c>
      <c r="FH108" vm="18209">
        <f ca="1"/>
        <v>27.355</v>
      </c>
      <c r="FI108" vm="18210">
        <f ca="1"/>
        <v>27.26</v>
      </c>
      <c r="FJ108" vm="18211">
        <f ca="1"/>
        <v>27.695</v>
      </c>
      <c r="FK108" vm="18149">
        <f ca="1"/>
        <v>27.69</v>
      </c>
      <c r="FL108" vm="18212">
        <f ca="1"/>
        <v>27.31</v>
      </c>
      <c r="FM108" vm="18141">
        <f ca="1"/>
        <v>26.795000000000002</v>
      </c>
      <c r="FN108" vm="18213">
        <f ca="1"/>
        <v>27.16</v>
      </c>
      <c r="FO108" vm="2408">
        <f ca="1"/>
        <v>27.094999999999999</v>
      </c>
      <c r="FP108" vm="18214">
        <f ca="1"/>
        <v>26.975000000000001</v>
      </c>
      <c r="FQ108" vm="18215">
        <f ca="1"/>
        <v>27.105</v>
      </c>
      <c r="FR108" vm="18152">
        <f ca="1"/>
        <v>27.37</v>
      </c>
      <c r="FS108" vm="18216">
        <f ca="1"/>
        <v>27.475000000000001</v>
      </c>
      <c r="FT108" vm="18217">
        <f ca="1"/>
        <v>27.864999999999998</v>
      </c>
      <c r="FU108" vm="18126">
        <f ca="1"/>
        <v>28.66</v>
      </c>
      <c r="FV108" vm="18218">
        <f ca="1"/>
        <v>28.355</v>
      </c>
      <c r="FW108" vm="18219">
        <f ca="1"/>
        <v>28.4</v>
      </c>
      <c r="FX108" vm="18169">
        <f ca="1"/>
        <v>28.515000000000001</v>
      </c>
      <c r="FY108" vm="18220">
        <f ca="1"/>
        <v>28.734999999999999</v>
      </c>
      <c r="FZ108" vm="18221">
        <f ca="1"/>
        <v>28.344999999999999</v>
      </c>
      <c r="GA108" vm="18222">
        <f ca="1"/>
        <v>28.655000000000001</v>
      </c>
      <c r="GB108" vm="18223">
        <f ca="1"/>
        <v>28.905000000000001</v>
      </c>
      <c r="GC108" vm="18224">
        <f ca="1"/>
        <v>28.574999999999999</v>
      </c>
      <c r="GD108" vm="18225">
        <f ca="1"/>
        <v>28.68</v>
      </c>
      <c r="GE108" vm="18226">
        <f ca="1"/>
        <v>28.96</v>
      </c>
      <c r="GF108" vm="18227">
        <f ca="1"/>
        <v>29.12</v>
      </c>
      <c r="GG108" vm="18228">
        <f ca="1"/>
        <v>29.24</v>
      </c>
      <c r="GH108" vm="18229">
        <f ca="1"/>
        <v>29.04</v>
      </c>
      <c r="GI108" vm="18230">
        <f ca="1"/>
        <v>28.74</v>
      </c>
      <c r="GJ108" vm="18231">
        <f ca="1"/>
        <v>28.55</v>
      </c>
      <c r="GK108" vm="18232">
        <f ca="1"/>
        <v>28.57</v>
      </c>
      <c r="GL108" vm="18122">
        <f ca="1"/>
        <v>28.545000000000002</v>
      </c>
      <c r="GM108" vm="18233">
        <f ca="1"/>
        <v>29.05</v>
      </c>
      <c r="GN108" vm="18234">
        <f ca="1"/>
        <v>29.335000000000001</v>
      </c>
      <c r="GO108" vm="18235">
        <f ca="1"/>
        <v>29.14</v>
      </c>
      <c r="GP108" vm="18236">
        <f ca="1"/>
        <v>29.635000000000002</v>
      </c>
      <c r="GQ108" vm="18237">
        <f ca="1"/>
        <v>29.965</v>
      </c>
      <c r="GR108" vm="18238">
        <f ca="1"/>
        <v>29.83</v>
      </c>
      <c r="GS108" vm="18239">
        <f ca="1"/>
        <v>29.42</v>
      </c>
      <c r="GT108" vm="18240">
        <f ca="1"/>
        <v>29.065000000000001</v>
      </c>
      <c r="GU108" vm="18241">
        <f ca="1"/>
        <v>28.614999999999998</v>
      </c>
      <c r="GV108" vm="18242">
        <f ca="1"/>
        <v>28.625</v>
      </c>
      <c r="GW108" vm="18232">
        <f ca="1"/>
        <v>28.57</v>
      </c>
      <c r="GX108" vm="18243">
        <f ca="1"/>
        <v>28.61</v>
      </c>
      <c r="GY108" vm="18244">
        <f ca="1"/>
        <v>28.765000000000001</v>
      </c>
      <c r="GZ108" vm="18245">
        <f ca="1"/>
        <v>28.54</v>
      </c>
      <c r="HA108" vm="18246">
        <f ca="1"/>
        <v>27.83</v>
      </c>
      <c r="HB108" vm="18247">
        <f ca="1"/>
        <v>28.23</v>
      </c>
      <c r="HC108" vm="18248">
        <f ca="1"/>
        <v>27.565000000000001</v>
      </c>
      <c r="HD108" vm="18249">
        <f ca="1"/>
        <v>27.655000000000001</v>
      </c>
      <c r="HE108" vm="18250">
        <f ca="1"/>
        <v>27.524999999999999</v>
      </c>
      <c r="HF108" vm="18251">
        <f ca="1"/>
        <v>27.295000000000002</v>
      </c>
      <c r="HG108" vm="18252">
        <f ca="1"/>
        <v>27.29</v>
      </c>
      <c r="HH108" vm="2420">
        <f ca="1"/>
        <v>27.65</v>
      </c>
      <c r="HI108" vm="18206">
        <f ca="1"/>
        <v>27.52</v>
      </c>
      <c r="HJ108" vm="18253">
        <f ca="1"/>
        <v>27.48</v>
      </c>
      <c r="HK108" vm="18152">
        <f ca="1"/>
        <v>27.37</v>
      </c>
      <c r="HL108" vm="2408">
        <f ca="1"/>
        <v>27.094999999999999</v>
      </c>
      <c r="HM108" vm="18254">
        <f ca="1"/>
        <v>26.88</v>
      </c>
      <c r="HN108" vm="18255">
        <f ca="1"/>
        <v>26.78</v>
      </c>
      <c r="HO108" vm="18256">
        <f ca="1"/>
        <v>27.065000000000001</v>
      </c>
      <c r="HP108" vm="18257">
        <f ca="1"/>
        <v>27.335000000000001</v>
      </c>
      <c r="HQ108" vm="18258">
        <f ca="1"/>
        <v>26.965</v>
      </c>
      <c r="HR108" vm="18259">
        <f ca="1"/>
        <v>27.135000000000002</v>
      </c>
      <c r="HS108" vm="18260">
        <f ca="1"/>
        <v>26.934999999999999</v>
      </c>
      <c r="HT108" vm="18261">
        <f ca="1"/>
        <v>26.555</v>
      </c>
      <c r="HU108" vm="18262">
        <f ca="1"/>
        <v>26.34</v>
      </c>
      <c r="HV108" vm="18263">
        <f ca="1"/>
        <v>26.86</v>
      </c>
      <c r="HW108" vm="18114">
        <f ca="1"/>
        <v>27.704999999999998</v>
      </c>
      <c r="HX108" vm="18251">
        <f ca="1"/>
        <v>27.295000000000002</v>
      </c>
      <c r="HY108" vm="18264">
        <f ca="1"/>
        <v>26.204999999999998</v>
      </c>
      <c r="HZ108" vm="18265">
        <f ca="1"/>
        <v>26.26</v>
      </c>
      <c r="IA108" vm="18266">
        <f ca="1"/>
        <v>26.48</v>
      </c>
      <c r="IB108" vm="18267">
        <f ca="1"/>
        <v>26.055</v>
      </c>
      <c r="IC108" vm="2401">
        <f ca="1"/>
        <v>26.31</v>
      </c>
      <c r="ID108" vm="2402">
        <f ca="1"/>
        <v>26.605</v>
      </c>
      <c r="IE108" vm="2403">
        <f ca="1"/>
        <v>26.12</v>
      </c>
      <c r="IF108" vm="2404">
        <f ca="1"/>
        <v>26.18</v>
      </c>
      <c r="IG108" vm="2405">
        <f ca="1"/>
        <v>26.27</v>
      </c>
      <c r="IH108" vm="2406">
        <f ca="1"/>
        <v>26.824999999999999</v>
      </c>
      <c r="II108" vm="2407">
        <f ca="1"/>
        <v>26.95</v>
      </c>
      <c r="IJ108" vm="2408">
        <f ca="1"/>
        <v>27.094999999999999</v>
      </c>
      <c r="IK108" vm="2409">
        <f ca="1"/>
        <v>26.79</v>
      </c>
      <c r="IL108" vm="2410">
        <f ca="1"/>
        <v>26.574999999999999</v>
      </c>
      <c r="IM108" vm="2411">
        <f ca="1"/>
        <v>26.76</v>
      </c>
      <c r="IN108" vm="2407">
        <f ca="1"/>
        <v>26.95</v>
      </c>
      <c r="IO108" vm="2412">
        <f ca="1"/>
        <v>27.245000000000001</v>
      </c>
      <c r="IP108" vm="2413">
        <f ca="1"/>
        <v>27.17</v>
      </c>
      <c r="IQ108" vm="2414">
        <f ca="1"/>
        <v>26.91</v>
      </c>
      <c r="IR108" vm="2415">
        <f ca="1"/>
        <v>27.27</v>
      </c>
      <c r="IS108" vm="2416">
        <f ca="1"/>
        <v>27.6</v>
      </c>
      <c r="IT108" vm="2417">
        <f ca="1"/>
        <v>27.795000000000002</v>
      </c>
      <c r="IU108" vm="2412">
        <f ca="1"/>
        <v>27.245000000000001</v>
      </c>
      <c r="IV108" vm="2418">
        <f ca="1"/>
        <v>27.68</v>
      </c>
      <c r="IW108" vm="2419">
        <f ca="1"/>
        <v>27.344999999999999</v>
      </c>
      <c r="IX108" vm="48">
        <f ca="1"/>
        <v>27.46</v>
      </c>
      <c r="IY108" vm="2420">
        <f ca="1"/>
        <v>27.65</v>
      </c>
    </row>
    <row r="109" spans="1:259" ht="16" x14ac:dyDescent="0.2">
      <c r="A109" t="e" vm="1955">
        <v>#VALUE!</v>
      </c>
      <c r="B109" s="23" t="str" cm="1">
        <f t="array" aca="1" ref="B109" ca="1">_FV(A109,"ticker symbol",TRUE)</f>
        <v>SLX</v>
      </c>
      <c r="C109" s="23" t="str" cm="1">
        <f t="array" aca="1" ref="C109" ca="1">_FV(A109,"Name")</f>
        <v>VanEck:Steel</v>
      </c>
      <c r="D109" cm="1" vm="8718">
        <f t="array" aca="1" ref="D109:IW109" ca="1">TRANSPOSE(_xlfn.STOCKHISTORY(B109, WORKDAY(TODAY(), -265), TODAY(), 0, 0, 1))</f>
        <v>64.42</v>
      </c>
      <c r="E109" vm="1150">
        <f ca="1"/>
        <v>63.78</v>
      </c>
      <c r="F109" vm="8700">
        <f ca="1"/>
        <v>61.42</v>
      </c>
      <c r="G109" vm="1659">
        <f ca="1"/>
        <v>60.66</v>
      </c>
      <c r="H109" vm="15818">
        <f ca="1"/>
        <v>60.89</v>
      </c>
      <c r="I109" vm="15819">
        <f ca="1"/>
        <v>58.713900000000002</v>
      </c>
      <c r="J109" vm="15820">
        <f ca="1"/>
        <v>59.116399999999999</v>
      </c>
      <c r="K109" vm="15821">
        <f ca="1"/>
        <v>59.002899999999997</v>
      </c>
      <c r="L109" vm="11893">
        <f ca="1"/>
        <v>58.28</v>
      </c>
      <c r="M109" vm="11901">
        <f ca="1"/>
        <v>57.96</v>
      </c>
      <c r="N109" vm="13388">
        <f ca="1"/>
        <v>58.46</v>
      </c>
      <c r="O109" vm="14040">
        <f ca="1"/>
        <v>58.12</v>
      </c>
      <c r="P109" vm="15822">
        <f ca="1"/>
        <v>57.798900000000003</v>
      </c>
      <c r="Q109" vm="15823">
        <f ca="1"/>
        <v>58.77</v>
      </c>
      <c r="R109" vm="3018">
        <f ca="1"/>
        <v>58.62</v>
      </c>
      <c r="S109" vm="8678">
        <f ca="1"/>
        <v>57.93</v>
      </c>
      <c r="T109" vm="8680">
        <f ca="1"/>
        <v>57.59</v>
      </c>
      <c r="U109" vm="14041">
        <f ca="1"/>
        <v>59.05</v>
      </c>
      <c r="V109" vm="1096">
        <f ca="1"/>
        <v>59.6</v>
      </c>
      <c r="W109" vm="1658">
        <f ca="1"/>
        <v>60.54</v>
      </c>
      <c r="X109" vm="15824">
        <f ca="1"/>
        <v>60.37</v>
      </c>
      <c r="Y109" vm="13417">
        <f ca="1"/>
        <v>60.71</v>
      </c>
      <c r="Z109" vm="15825">
        <f ca="1"/>
        <v>61.47</v>
      </c>
      <c r="AA109" vm="11368">
        <f ca="1"/>
        <v>60.39</v>
      </c>
      <c r="AB109" vm="8705">
        <f ca="1"/>
        <v>60.91</v>
      </c>
      <c r="AC109" vm="8700">
        <f ca="1"/>
        <v>61.42</v>
      </c>
      <c r="AD109" vm="1660">
        <f ca="1"/>
        <v>61.01</v>
      </c>
      <c r="AE109" vm="1464">
        <f ca="1"/>
        <v>61.14</v>
      </c>
      <c r="AF109" vm="15826">
        <f ca="1"/>
        <v>61.564799999999998</v>
      </c>
      <c r="AG109" vm="15827">
        <f ca="1"/>
        <v>61.85</v>
      </c>
      <c r="AH109" vm="8705">
        <f ca="1"/>
        <v>60.91</v>
      </c>
      <c r="AI109" vm="8631">
        <f ca="1"/>
        <v>60.4</v>
      </c>
      <c r="AJ109" vm="15825">
        <f ca="1"/>
        <v>61.47</v>
      </c>
      <c r="AK109" vm="10097">
        <f ca="1"/>
        <v>61.86</v>
      </c>
      <c r="AL109" vm="15828">
        <f ca="1"/>
        <v>62.605499999999999</v>
      </c>
      <c r="AM109" vm="11371">
        <f ca="1"/>
        <v>61.34</v>
      </c>
      <c r="AN109" vm="15829">
        <f ca="1"/>
        <v>63.42</v>
      </c>
      <c r="AO109" vm="15830">
        <f ca="1"/>
        <v>62.906100000000002</v>
      </c>
      <c r="AP109" vm="13430">
        <f ca="1"/>
        <v>62.21</v>
      </c>
      <c r="AQ109" vm="2541">
        <f ca="1"/>
        <v>62.98</v>
      </c>
      <c r="AR109" vm="11397">
        <f ca="1"/>
        <v>63.32</v>
      </c>
      <c r="AS109" vm="15831">
        <f ca="1"/>
        <v>64.64</v>
      </c>
      <c r="AT109" vm="8713">
        <f ca="1"/>
        <v>63.98</v>
      </c>
      <c r="AU109" vm="2733">
        <f ca="1"/>
        <v>64.13</v>
      </c>
      <c r="AV109" vm="8656">
        <f ca="1"/>
        <v>62.82</v>
      </c>
      <c r="AW109" vm="15832">
        <f ca="1"/>
        <v>63.02</v>
      </c>
      <c r="AX109" vm="1465">
        <f ca="1"/>
        <v>62.7</v>
      </c>
      <c r="AY109" vm="8843">
        <f ca="1"/>
        <v>62.72</v>
      </c>
      <c r="AZ109" vm="1483">
        <f ca="1"/>
        <v>62.34</v>
      </c>
      <c r="BA109" vm="8627">
        <f ca="1"/>
        <v>62.24</v>
      </c>
      <c r="BB109" vm="13416">
        <f ca="1"/>
        <v>61.32</v>
      </c>
      <c r="BC109" vm="2355">
        <f ca="1"/>
        <v>60.61</v>
      </c>
      <c r="BD109" vm="8860">
        <f ca="1"/>
        <v>62.75</v>
      </c>
      <c r="BE109" vm="1465">
        <f ca="1"/>
        <v>62.7</v>
      </c>
      <c r="BF109" vm="15833">
        <f ca="1"/>
        <v>62.52</v>
      </c>
      <c r="BG109" vm="13410">
        <f ca="1"/>
        <v>60.47</v>
      </c>
      <c r="BH109" vm="8855">
        <f ca="1"/>
        <v>61.27</v>
      </c>
      <c r="BI109" vm="13421">
        <f ca="1"/>
        <v>61.21</v>
      </c>
      <c r="BJ109" vm="13426">
        <f ca="1"/>
        <v>61.43</v>
      </c>
      <c r="BK109" vm="13155">
        <f ca="1"/>
        <v>63.89</v>
      </c>
      <c r="BL109" vm="15834">
        <f ca="1"/>
        <v>64.010000000000005</v>
      </c>
      <c r="BM109" vm="11382">
        <f ca="1"/>
        <v>64.180000000000007</v>
      </c>
      <c r="BN109" vm="15734">
        <f ca="1"/>
        <v>64.8</v>
      </c>
      <c r="BO109" vm="15835">
        <f ca="1"/>
        <v>64.175299999999993</v>
      </c>
      <c r="BP109" vm="14124">
        <f ca="1"/>
        <v>62.89</v>
      </c>
      <c r="BQ109" vm="15836">
        <f ca="1"/>
        <v>63.762099999999997</v>
      </c>
      <c r="BR109" vm="15837">
        <f ca="1"/>
        <v>64.27</v>
      </c>
      <c r="BS109" vm="15838">
        <f ca="1"/>
        <v>63.99</v>
      </c>
      <c r="BT109" vm="9722">
        <f ca="1"/>
        <v>63.67</v>
      </c>
      <c r="BU109" vm="13420">
        <f ca="1"/>
        <v>61.87</v>
      </c>
      <c r="BV109" vm="8646">
        <f ca="1"/>
        <v>61.5</v>
      </c>
      <c r="BW109" vm="8667">
        <f ca="1"/>
        <v>61.53</v>
      </c>
      <c r="BX109" vm="11087">
        <f ca="1"/>
        <v>61.91</v>
      </c>
      <c r="BY109" vm="11903">
        <f ca="1"/>
        <v>57.58</v>
      </c>
      <c r="BZ109" vm="6340">
        <f ca="1"/>
        <v>54.25</v>
      </c>
      <c r="CA109" vm="14035">
        <f ca="1"/>
        <v>54.19</v>
      </c>
      <c r="CB109" vm="6330">
        <f ca="1"/>
        <v>52.5</v>
      </c>
      <c r="CC109" vm="11905">
        <f ca="1"/>
        <v>57.44</v>
      </c>
      <c r="CD109" vm="15839">
        <f ca="1"/>
        <v>55.204999999999998</v>
      </c>
      <c r="CE109" vm="15840">
        <f ca="1"/>
        <v>56.802500000000002</v>
      </c>
      <c r="CF109" vm="15841">
        <f ca="1"/>
        <v>56.87</v>
      </c>
      <c r="CG109" vm="11010">
        <f ca="1"/>
        <v>56.74</v>
      </c>
      <c r="CH109" vm="2948">
        <f ca="1"/>
        <v>56.36</v>
      </c>
      <c r="CI109" vm="15842">
        <f ca="1"/>
        <v>56.99</v>
      </c>
      <c r="CJ109" vm="15843">
        <f ca="1"/>
        <v>55.892000000000003</v>
      </c>
      <c r="CK109" vm="8679">
        <f ca="1"/>
        <v>57.56</v>
      </c>
      <c r="CL109" vm="10080">
        <f ca="1"/>
        <v>58.85</v>
      </c>
      <c r="CM109" vm="8676">
        <f ca="1"/>
        <v>60.45</v>
      </c>
      <c r="CN109" vm="1655">
        <f ca="1"/>
        <v>60.16</v>
      </c>
      <c r="CO109" vm="13442">
        <f ca="1"/>
        <v>60.6</v>
      </c>
      <c r="CP109" vm="14139">
        <f ca="1"/>
        <v>60.92</v>
      </c>
      <c r="CQ109" vm="15844">
        <f ca="1"/>
        <v>60.13</v>
      </c>
      <c r="CR109" vm="9710">
        <f ca="1"/>
        <v>60.55</v>
      </c>
      <c r="CS109" vm="2729">
        <f ca="1"/>
        <v>62.51</v>
      </c>
      <c r="CT109" vm="2728">
        <f ca="1"/>
        <v>61.8</v>
      </c>
      <c r="CU109" vm="15845">
        <f ca="1"/>
        <v>61.7089</v>
      </c>
      <c r="CV109" vm="13421">
        <f ca="1"/>
        <v>61.21</v>
      </c>
      <c r="CW109" vm="2357">
        <f ca="1"/>
        <v>61.35</v>
      </c>
      <c r="CX109" vm="13426">
        <f ca="1"/>
        <v>61.43</v>
      </c>
      <c r="CY109" vm="9659">
        <f ca="1"/>
        <v>63.13</v>
      </c>
      <c r="CZ109" vm="11387">
        <f ca="1"/>
        <v>63.79</v>
      </c>
      <c r="DA109" vm="8814">
        <f ca="1"/>
        <v>63.45</v>
      </c>
      <c r="DB109" vm="15846">
        <f ca="1"/>
        <v>63.2179</v>
      </c>
      <c r="DC109" vm="15847">
        <f ca="1"/>
        <v>63.494999999999997</v>
      </c>
      <c r="DD109" vm="2731">
        <f ca="1"/>
        <v>63.66</v>
      </c>
      <c r="DE109" vm="1604">
        <f ca="1"/>
        <v>63.41</v>
      </c>
      <c r="DF109" vm="13876">
        <f ca="1"/>
        <v>62.46</v>
      </c>
      <c r="DG109" vm="66">
        <f ca="1"/>
        <v>61.69</v>
      </c>
      <c r="DH109" vm="15848">
        <f ca="1"/>
        <v>62.182400000000001</v>
      </c>
      <c r="DI109" vm="14125">
        <f ca="1"/>
        <v>63.6</v>
      </c>
      <c r="DJ109" vm="13875">
        <f ca="1"/>
        <v>62.65</v>
      </c>
      <c r="DK109" vm="1480">
        <f ca="1"/>
        <v>62.68</v>
      </c>
      <c r="DL109" vm="15849">
        <f ca="1"/>
        <v>61.873899999999999</v>
      </c>
      <c r="DM109" vm="8815">
        <f ca="1"/>
        <v>63.75</v>
      </c>
      <c r="DN109" vm="11448">
        <f ca="1"/>
        <v>64.3</v>
      </c>
      <c r="DO109" vm="15850">
        <f ca="1"/>
        <v>64.398399999999995</v>
      </c>
      <c r="DP109" vm="15851">
        <f ca="1"/>
        <v>64.332899999999995</v>
      </c>
      <c r="DQ109" vm="11428">
        <f ca="1"/>
        <v>65.03</v>
      </c>
      <c r="DR109" vm="11451">
        <f ca="1"/>
        <v>65.75</v>
      </c>
      <c r="DS109" vm="15852">
        <f ca="1"/>
        <v>65.965699999999998</v>
      </c>
      <c r="DT109" vm="10274">
        <f ca="1"/>
        <v>64.959999999999994</v>
      </c>
      <c r="DU109" vm="15853">
        <f ca="1"/>
        <v>64.876400000000004</v>
      </c>
      <c r="DV109" vm="8854">
        <f ca="1"/>
        <v>64.45</v>
      </c>
      <c r="DW109" vm="15854">
        <f ca="1"/>
        <v>65.27</v>
      </c>
      <c r="DX109" vm="15855">
        <f ca="1"/>
        <v>64.963300000000004</v>
      </c>
      <c r="DY109" vm="1612">
        <f ca="1"/>
        <v>64.81</v>
      </c>
      <c r="DZ109" vm="11456">
        <f ca="1"/>
        <v>63.59</v>
      </c>
      <c r="EA109" vm="11448">
        <f ca="1"/>
        <v>64.3</v>
      </c>
      <c r="EB109" vm="15856">
        <f ca="1"/>
        <v>64.83</v>
      </c>
      <c r="EC109" vm="11380">
        <f ca="1"/>
        <v>64.22</v>
      </c>
      <c r="ED109" vm="2349">
        <f ca="1"/>
        <v>66.180000000000007</v>
      </c>
      <c r="EE109" vm="15857">
        <f ca="1"/>
        <v>66.53</v>
      </c>
      <c r="EF109" vm="2340">
        <f ca="1"/>
        <v>66.16</v>
      </c>
      <c r="EG109" vm="15858">
        <f ca="1"/>
        <v>67.180000000000007</v>
      </c>
      <c r="EH109" vm="10168">
        <f ca="1"/>
        <v>69.89</v>
      </c>
      <c r="EI109" vm="15859">
        <f ca="1"/>
        <v>70.193799999999996</v>
      </c>
      <c r="EJ109" vm="15860">
        <f ca="1"/>
        <v>68.989999999999995</v>
      </c>
      <c r="EK109" vm="9754">
        <f ca="1"/>
        <v>69.989999999999995</v>
      </c>
      <c r="EL109" vm="15578">
        <f ca="1"/>
        <v>69.98</v>
      </c>
      <c r="EM109" vm="8883">
        <f ca="1"/>
        <v>71.05</v>
      </c>
      <c r="EN109" vm="15861">
        <f ca="1"/>
        <v>71.380200000000002</v>
      </c>
      <c r="EO109" vm="15251">
        <f ca="1"/>
        <v>70.37</v>
      </c>
      <c r="EP109" vm="1940">
        <f ca="1"/>
        <v>69.36</v>
      </c>
      <c r="EQ109" vm="13847">
        <f ca="1"/>
        <v>69.16</v>
      </c>
      <c r="ER109" vm="2226">
        <f ca="1"/>
        <v>70.150000000000006</v>
      </c>
      <c r="ES109" vm="2230">
        <f ca="1"/>
        <v>70.040000000000006</v>
      </c>
      <c r="ET109" vm="8916">
        <f ca="1"/>
        <v>71.73</v>
      </c>
      <c r="EU109" vm="795">
        <f ca="1"/>
        <v>73.260000000000005</v>
      </c>
      <c r="EV109" vm="15862">
        <f ca="1"/>
        <v>74.16</v>
      </c>
      <c r="EW109" vm="15266">
        <f ca="1"/>
        <v>72.05</v>
      </c>
      <c r="EX109" vm="15863">
        <f ca="1"/>
        <v>72.430000000000007</v>
      </c>
      <c r="EY109" vm="15211">
        <f ca="1"/>
        <v>71.09</v>
      </c>
      <c r="EZ109" vm="10340">
        <f ca="1"/>
        <v>70.61</v>
      </c>
      <c r="FA109" vm="15864">
        <f ca="1"/>
        <v>69.69</v>
      </c>
      <c r="FB109" vm="10314">
        <f ca="1"/>
        <v>68.06</v>
      </c>
      <c r="FC109" vm="15865">
        <f ca="1"/>
        <v>66.97</v>
      </c>
      <c r="FD109" vm="15866">
        <f ca="1"/>
        <v>66.73</v>
      </c>
      <c r="FE109" vm="15867">
        <f ca="1"/>
        <v>67.37</v>
      </c>
      <c r="FF109" vm="15868">
        <f ca="1"/>
        <v>66.921199999999999</v>
      </c>
      <c r="FG109" vm="15230">
        <f ca="1"/>
        <v>67.61</v>
      </c>
      <c r="FH109" vm="13885">
        <f ca="1"/>
        <v>68.22</v>
      </c>
      <c r="FI109" vm="15814">
        <f ca="1"/>
        <v>68.099999999999994</v>
      </c>
      <c r="FJ109" vm="15208">
        <f ca="1"/>
        <v>70.16</v>
      </c>
      <c r="FK109" vm="10183">
        <f ca="1"/>
        <v>71.209999999999994</v>
      </c>
      <c r="FL109" vm="15210">
        <f ca="1"/>
        <v>70.05</v>
      </c>
      <c r="FM109" vm="13893">
        <f ca="1"/>
        <v>69.569999999999993</v>
      </c>
      <c r="FN109" vm="15869">
        <f ca="1"/>
        <v>69.47</v>
      </c>
      <c r="FO109" vm="15870">
        <f ca="1"/>
        <v>69.293999999999997</v>
      </c>
      <c r="FP109" vm="9770">
        <f ca="1"/>
        <v>68.58</v>
      </c>
      <c r="FQ109" vm="15871">
        <f ca="1"/>
        <v>68.721400000000003</v>
      </c>
      <c r="FR109" vm="15872">
        <f ca="1"/>
        <v>71.026399999999995</v>
      </c>
      <c r="FS109" vm="15873">
        <f ca="1"/>
        <v>71.076999999999998</v>
      </c>
      <c r="FT109" vm="15874">
        <f ca="1"/>
        <v>70.835300000000004</v>
      </c>
      <c r="FU109" vm="15875">
        <f ca="1"/>
        <v>71.003299999999996</v>
      </c>
      <c r="FV109" vm="15876">
        <f ca="1"/>
        <v>71.376000000000005</v>
      </c>
      <c r="FW109" vm="15877">
        <f ca="1"/>
        <v>71.092500000000001</v>
      </c>
      <c r="FX109" vm="15878">
        <f ca="1"/>
        <v>69.900000000000006</v>
      </c>
      <c r="FY109" vm="15879">
        <f ca="1"/>
        <v>69.72</v>
      </c>
      <c r="FZ109" vm="15256">
        <f ca="1"/>
        <v>70.510000000000005</v>
      </c>
      <c r="GA109" vm="15213">
        <f ca="1"/>
        <v>72.19</v>
      </c>
      <c r="GB109" vm="15880">
        <f ca="1"/>
        <v>71.488399999999999</v>
      </c>
      <c r="GC109" vm="15881">
        <f ca="1"/>
        <v>70.209999999999994</v>
      </c>
      <c r="GD109" vm="15246">
        <f ca="1"/>
        <v>71.13</v>
      </c>
      <c r="GE109" vm="8925">
        <f ca="1"/>
        <v>72.2</v>
      </c>
      <c r="GF109" vm="15882">
        <f ca="1"/>
        <v>71.529899999999998</v>
      </c>
      <c r="GG109" vm="8901">
        <f ca="1"/>
        <v>72.58</v>
      </c>
      <c r="GH109" vm="15883">
        <f ca="1"/>
        <v>72.848299999999995</v>
      </c>
      <c r="GI109" vm="15884">
        <f ca="1"/>
        <v>72.205500000000001</v>
      </c>
      <c r="GJ109" vm="15885">
        <f ca="1"/>
        <v>72.363299999999995</v>
      </c>
      <c r="GK109" vm="15886">
        <f ca="1"/>
        <v>72.057100000000005</v>
      </c>
      <c r="GL109" vm="9747">
        <f ca="1"/>
        <v>72.31</v>
      </c>
      <c r="GM109" vm="15204">
        <f ca="1"/>
        <v>71.86</v>
      </c>
      <c r="GN109" vm="15887">
        <f ca="1"/>
        <v>71.894999999999996</v>
      </c>
      <c r="GO109" vm="13208">
        <f ca="1"/>
        <v>71.930000000000007</v>
      </c>
      <c r="GP109" vm="8909">
        <f ca="1"/>
        <v>72.69</v>
      </c>
      <c r="GQ109" vm="15888">
        <f ca="1"/>
        <v>72.510000000000005</v>
      </c>
      <c r="GR109" vm="49">
        <f ca="1"/>
        <v>72.48</v>
      </c>
      <c r="GS109" vm="1557">
        <f ca="1"/>
        <v>74.150000000000006</v>
      </c>
      <c r="GT109" vm="1552">
        <f ca="1"/>
        <v>74.010000000000005</v>
      </c>
      <c r="GU109" vm="15889">
        <f ca="1"/>
        <v>74.36</v>
      </c>
      <c r="GV109" vm="1549">
        <f ca="1"/>
        <v>74.75</v>
      </c>
      <c r="GW109" vm="15890">
        <f ca="1"/>
        <v>74.117400000000004</v>
      </c>
      <c r="GX109" vm="15891">
        <f ca="1"/>
        <v>75.734999999999999</v>
      </c>
      <c r="GY109" vm="13487">
        <f ca="1"/>
        <v>74.91</v>
      </c>
      <c r="GZ109" vm="8885">
        <f ca="1"/>
        <v>71.819999999999993</v>
      </c>
      <c r="HA109" vm="1544">
        <f ca="1"/>
        <v>74.12</v>
      </c>
      <c r="HB109" vm="15613">
        <f ca="1"/>
        <v>74.67</v>
      </c>
      <c r="HC109" vm="1549">
        <f ca="1"/>
        <v>74.75</v>
      </c>
      <c r="HD109" vm="15748">
        <f ca="1"/>
        <v>73.790000000000006</v>
      </c>
      <c r="HE109" vm="1556">
        <f ca="1"/>
        <v>73.98</v>
      </c>
      <c r="HF109" vm="15892">
        <f ca="1"/>
        <v>76.52</v>
      </c>
      <c r="HG109" vm="10382">
        <f ca="1"/>
        <v>76.040000000000006</v>
      </c>
      <c r="HH109" vm="15893">
        <f ca="1"/>
        <v>75.52</v>
      </c>
      <c r="HI109" vm="7186">
        <f ca="1"/>
        <v>77.08</v>
      </c>
      <c r="HJ109" vm="15894">
        <f ca="1"/>
        <v>77.86</v>
      </c>
      <c r="HK109" vm="5916">
        <f ca="1"/>
        <v>78.92</v>
      </c>
      <c r="HL109" vm="5942">
        <f ca="1"/>
        <v>79.84</v>
      </c>
      <c r="HM109" vm="14546">
        <f ca="1"/>
        <v>80.510000000000005</v>
      </c>
      <c r="HN109" vm="5935">
        <f ca="1"/>
        <v>78.95</v>
      </c>
      <c r="HO109" vm="5961">
        <f ca="1"/>
        <v>79.36</v>
      </c>
      <c r="HP109" vm="7219">
        <f ca="1"/>
        <v>78.94</v>
      </c>
      <c r="HQ109" vm="8942">
        <f ca="1"/>
        <v>76.239999999999995</v>
      </c>
      <c r="HR109" vm="15895">
        <f ca="1"/>
        <v>77.150000000000006</v>
      </c>
      <c r="HS109" vm="5922">
        <f ca="1"/>
        <v>77.510000000000005</v>
      </c>
      <c r="HT109" vm="6044">
        <f ca="1"/>
        <v>78.040000000000006</v>
      </c>
      <c r="HU109" vm="6050">
        <f ca="1"/>
        <v>78.430000000000007</v>
      </c>
      <c r="HV109" vm="435">
        <f ca="1"/>
        <v>78.459999999999994</v>
      </c>
      <c r="HW109" vm="15896">
        <f ca="1"/>
        <v>80.259799999999998</v>
      </c>
      <c r="HX109" vm="15897">
        <f ca="1"/>
        <v>78.836100000000002</v>
      </c>
      <c r="HY109" vm="7225">
        <f ca="1"/>
        <v>78.849999999999994</v>
      </c>
      <c r="HZ109" vm="15898">
        <f ca="1"/>
        <v>77.400000000000006</v>
      </c>
      <c r="IA109" vm="15899">
        <f ca="1"/>
        <v>77.25</v>
      </c>
      <c r="IB109" vm="1956">
        <f ca="1"/>
        <v>77.034000000000006</v>
      </c>
      <c r="IC109" vm="1957">
        <f ca="1"/>
        <v>75.822500000000005</v>
      </c>
      <c r="ID109" vm="1958">
        <f ca="1"/>
        <v>77.36</v>
      </c>
      <c r="IE109" vm="1959">
        <f ca="1"/>
        <v>77.97</v>
      </c>
      <c r="IF109" vm="1960">
        <f ca="1"/>
        <v>79.77</v>
      </c>
      <c r="IG109" vm="1961">
        <f ca="1"/>
        <v>80.930000000000007</v>
      </c>
      <c r="IH109" vm="1962">
        <f ca="1"/>
        <v>80.86</v>
      </c>
      <c r="II109" vm="1963">
        <f ca="1"/>
        <v>81.09</v>
      </c>
      <c r="IJ109" vm="1964">
        <f ca="1"/>
        <v>81.290000000000006</v>
      </c>
      <c r="IK109" vm="1965">
        <f ca="1"/>
        <v>83.51</v>
      </c>
      <c r="IL109" vm="1928">
        <f ca="1"/>
        <v>83.32</v>
      </c>
      <c r="IM109" vm="1966">
        <f ca="1"/>
        <v>81.691199999999995</v>
      </c>
      <c r="IN109" vm="1967">
        <f ca="1"/>
        <v>81.349999999999994</v>
      </c>
      <c r="IO109" vm="1968">
        <f ca="1"/>
        <v>81.5</v>
      </c>
      <c r="IP109" vm="1969">
        <f ca="1"/>
        <v>83.87</v>
      </c>
      <c r="IQ109" vm="1970">
        <f ca="1"/>
        <v>85.8</v>
      </c>
      <c r="IR109" vm="1971">
        <f ca="1"/>
        <v>85.16</v>
      </c>
      <c r="IS109" vm="1972">
        <f ca="1"/>
        <v>85.05</v>
      </c>
      <c r="IT109" vm="1973">
        <f ca="1"/>
        <v>84.79</v>
      </c>
      <c r="IU109" vm="1974">
        <f ca="1"/>
        <v>85.1</v>
      </c>
      <c r="IV109" vm="1975">
        <f ca="1"/>
        <v>84.86</v>
      </c>
      <c r="IW109" vm="50">
        <f ca="1"/>
        <v>84.69</v>
      </c>
    </row>
    <row r="110" spans="1:259" ht="16" x14ac:dyDescent="0.2">
      <c r="A110" t="e" vm="2421">
        <v>#VALUE!</v>
      </c>
      <c r="B110" s="23" t="str" cm="1">
        <f t="array" aca="1" ref="B110" ca="1">_FV(A110,"ticker symbol",TRUE)</f>
        <v>SOYB</v>
      </c>
      <c r="C110" s="23" t="str" cm="1">
        <f t="array" aca="1" ref="C110" ca="1">_FV(A110,"Name")</f>
        <v>Teucrium:Soybean</v>
      </c>
      <c r="D110" cm="1" vm="2442">
        <f t="array" aca="1" ref="D110:IW110" ca="1">TRANSPOSE(_xlfn.STOCKHISTORY(B110, WORKDAY(TODAY(), -265), TODAY(), 0, 0, 1))</f>
        <v>20.96</v>
      </c>
      <c r="E110" vm="18268">
        <f ca="1"/>
        <v>20.743400000000001</v>
      </c>
      <c r="F110" vm="17562">
        <f ca="1"/>
        <v>20.22</v>
      </c>
      <c r="G110" vm="18269">
        <f ca="1"/>
        <v>20.46</v>
      </c>
      <c r="H110" vm="18270">
        <f ca="1"/>
        <v>20.734999999999999</v>
      </c>
      <c r="I110" vm="16737">
        <f ca="1"/>
        <v>20.72</v>
      </c>
      <c r="J110" vm="18271">
        <f ca="1"/>
        <v>20.760100000000001</v>
      </c>
      <c r="K110" vm="18272">
        <f ca="1"/>
        <v>21.144600000000001</v>
      </c>
      <c r="L110" vm="17735">
        <f ca="1"/>
        <v>21.01</v>
      </c>
      <c r="M110" vm="18273">
        <f ca="1"/>
        <v>21.069700000000001</v>
      </c>
      <c r="N110" vm="16708">
        <f ca="1"/>
        <v>21.48</v>
      </c>
      <c r="O110" vm="13272">
        <f ca="1"/>
        <v>21.53</v>
      </c>
      <c r="P110" vm="2759">
        <f ca="1"/>
        <v>21.07</v>
      </c>
      <c r="Q110" vm="13325">
        <f ca="1"/>
        <v>21.19</v>
      </c>
      <c r="R110" vm="16751">
        <f ca="1"/>
        <v>21.2</v>
      </c>
      <c r="S110" vm="16707">
        <f ca="1"/>
        <v>21.13</v>
      </c>
      <c r="T110" vm="13269">
        <f ca="1"/>
        <v>21.76</v>
      </c>
      <c r="U110" vm="18274">
        <f ca="1"/>
        <v>22.25</v>
      </c>
      <c r="V110" vm="18275">
        <f ca="1"/>
        <v>22.11</v>
      </c>
      <c r="W110" vm="18276">
        <f ca="1"/>
        <v>22.04</v>
      </c>
      <c r="X110" vm="16718">
        <f ca="1"/>
        <v>21.58</v>
      </c>
      <c r="Y110" vm="16720">
        <f ca="1"/>
        <v>21.81</v>
      </c>
      <c r="Z110" vm="18277">
        <f ca="1"/>
        <v>22.42</v>
      </c>
      <c r="AA110" vm="2293">
        <f ca="1"/>
        <v>22.23</v>
      </c>
      <c r="AB110" vm="13239">
        <f ca="1"/>
        <v>22.4</v>
      </c>
      <c r="AC110" vm="18274">
        <f ca="1"/>
        <v>22.25</v>
      </c>
      <c r="AD110" vm="18275">
        <f ca="1"/>
        <v>22.11</v>
      </c>
      <c r="AE110" vm="18275">
        <f ca="1"/>
        <v>22.11</v>
      </c>
      <c r="AF110" vm="3120">
        <f ca="1"/>
        <v>22.45</v>
      </c>
      <c r="AG110" vm="18274">
        <f ca="1"/>
        <v>22.25</v>
      </c>
      <c r="AH110" vm="2750">
        <f ca="1"/>
        <v>22.16</v>
      </c>
      <c r="AI110" vm="2290">
        <f ca="1"/>
        <v>22.43</v>
      </c>
      <c r="AJ110" vm="13260">
        <f ca="1"/>
        <v>22.74</v>
      </c>
      <c r="AK110" vm="2294">
        <f ca="1"/>
        <v>22.49</v>
      </c>
      <c r="AL110" vm="13264">
        <f ca="1"/>
        <v>22.55</v>
      </c>
      <c r="AM110" vm="3130">
        <f ca="1"/>
        <v>22.28</v>
      </c>
      <c r="AN110" vm="18278">
        <f ca="1"/>
        <v>22.27</v>
      </c>
      <c r="AO110" vm="18278">
        <f ca="1"/>
        <v>22.27</v>
      </c>
      <c r="AP110" vm="16358">
        <f ca="1"/>
        <v>21.94</v>
      </c>
      <c r="AQ110" vm="16358">
        <f ca="1"/>
        <v>21.94</v>
      </c>
      <c r="AR110" vm="2297">
        <f ca="1"/>
        <v>22.13</v>
      </c>
      <c r="AS110" vm="18279">
        <f ca="1"/>
        <v>22.19</v>
      </c>
      <c r="AT110" vm="2757">
        <f ca="1"/>
        <v>22.02</v>
      </c>
      <c r="AU110" vm="13255">
        <f ca="1"/>
        <v>22.3</v>
      </c>
      <c r="AV110" vm="2293">
        <f ca="1"/>
        <v>22.23</v>
      </c>
      <c r="AW110" vm="18280">
        <f ca="1"/>
        <v>22.07</v>
      </c>
      <c r="AX110" vm="18281">
        <f ca="1"/>
        <v>22.0548</v>
      </c>
      <c r="AY110" vm="2755">
        <f ca="1"/>
        <v>21.91</v>
      </c>
      <c r="AZ110" vm="2753">
        <f ca="1"/>
        <v>21.82</v>
      </c>
      <c r="BA110" vm="13272">
        <f ca="1"/>
        <v>21.53</v>
      </c>
      <c r="BB110" vm="16723">
        <f ca="1"/>
        <v>21.27</v>
      </c>
      <c r="BC110" vm="16712">
        <f ca="1"/>
        <v>21.03</v>
      </c>
      <c r="BD110" vm="16751">
        <f ca="1"/>
        <v>21.2</v>
      </c>
      <c r="BE110" vm="18282">
        <f ca="1"/>
        <v>21.504999999999999</v>
      </c>
      <c r="BF110" vm="18283">
        <f ca="1"/>
        <v>21.515000000000001</v>
      </c>
      <c r="BG110" vm="2127">
        <f ca="1"/>
        <v>21.3</v>
      </c>
      <c r="BH110" vm="16723">
        <f ca="1"/>
        <v>21.27</v>
      </c>
      <c r="BI110" vm="18284">
        <f ca="1"/>
        <v>21.04</v>
      </c>
      <c r="BJ110" vm="2129">
        <f ca="1"/>
        <v>21.22</v>
      </c>
      <c r="BK110" vm="18285">
        <f ca="1"/>
        <v>21.465</v>
      </c>
      <c r="BL110" vm="2281">
        <f ca="1"/>
        <v>21.43</v>
      </c>
      <c r="BM110" vm="2125">
        <f ca="1"/>
        <v>21.34</v>
      </c>
      <c r="BN110" vm="2129">
        <f ca="1"/>
        <v>21.22</v>
      </c>
      <c r="BO110" vm="18286">
        <f ca="1"/>
        <v>21.285</v>
      </c>
      <c r="BP110" vm="13317">
        <f ca="1"/>
        <v>21.16</v>
      </c>
      <c r="BQ110" vm="13334">
        <f ca="1"/>
        <v>21.15</v>
      </c>
      <c r="BR110" vm="18287">
        <f ca="1"/>
        <v>21.18</v>
      </c>
      <c r="BS110" vm="13317">
        <f ca="1"/>
        <v>21.16</v>
      </c>
      <c r="BT110" vm="18288">
        <f ca="1"/>
        <v>21.381</v>
      </c>
      <c r="BU110" vm="18289">
        <f ca="1"/>
        <v>21.4802</v>
      </c>
      <c r="BV110" vm="2125">
        <f ca="1"/>
        <v>21.34</v>
      </c>
      <c r="BW110" vm="16701">
        <f ca="1"/>
        <v>21.75</v>
      </c>
      <c r="BX110" vm="18290">
        <f ca="1"/>
        <v>21.6982</v>
      </c>
      <c r="BY110" vm="18291">
        <f ca="1"/>
        <v>21.364999999999998</v>
      </c>
      <c r="BZ110" vm="16738">
        <f ca="1"/>
        <v>20.73</v>
      </c>
      <c r="CA110" vm="18292">
        <f ca="1"/>
        <v>20.750399999999999</v>
      </c>
      <c r="CB110" vm="18293">
        <f ca="1"/>
        <v>20.59</v>
      </c>
      <c r="CC110" vm="2130">
        <f ca="1"/>
        <v>21.09</v>
      </c>
      <c r="CD110" vm="16710">
        <f ca="1"/>
        <v>21.33</v>
      </c>
      <c r="CE110" vm="18294">
        <f ca="1"/>
        <v>21.68</v>
      </c>
      <c r="CF110" vm="16721">
        <f ca="1"/>
        <v>21.67</v>
      </c>
      <c r="CG110" vm="18295">
        <f ca="1"/>
        <v>21.607900000000001</v>
      </c>
      <c r="CH110" vm="13270">
        <f ca="1"/>
        <v>21.71</v>
      </c>
      <c r="CI110" vm="18296">
        <f ca="1"/>
        <v>21.622</v>
      </c>
      <c r="CJ110" vm="16711">
        <f ca="1"/>
        <v>21.6</v>
      </c>
      <c r="CK110" vm="18297">
        <f ca="1"/>
        <v>21.5809</v>
      </c>
      <c r="CL110" vm="18298">
        <f ca="1"/>
        <v>21.695</v>
      </c>
      <c r="CM110" vm="18299">
        <f ca="1"/>
        <v>21.877700000000001</v>
      </c>
      <c r="CN110" vm="13333">
        <f ca="1"/>
        <v>21.85</v>
      </c>
      <c r="CO110" vm="2287">
        <f ca="1"/>
        <v>21.89</v>
      </c>
      <c r="CP110" vm="2754">
        <f ca="1"/>
        <v>21.69</v>
      </c>
      <c r="CQ110" vm="16745">
        <f ca="1"/>
        <v>21.47</v>
      </c>
      <c r="CR110" vm="16716">
        <f ca="1"/>
        <v>21.63</v>
      </c>
      <c r="CS110" vm="16701">
        <f ca="1"/>
        <v>21.75</v>
      </c>
      <c r="CT110" vm="16715">
        <f ca="1"/>
        <v>21.62</v>
      </c>
      <c r="CU110" vm="16714">
        <f ca="1"/>
        <v>21.49</v>
      </c>
      <c r="CV110" vm="13324">
        <f ca="1"/>
        <v>21.52</v>
      </c>
      <c r="CW110" vm="85">
        <f ca="1"/>
        <v>21.61</v>
      </c>
      <c r="CX110" vm="2748">
        <f ca="1"/>
        <v>21.7</v>
      </c>
      <c r="CY110" vm="2296">
        <f ca="1"/>
        <v>22.22</v>
      </c>
      <c r="CZ110" vm="18300">
        <f ca="1"/>
        <v>22.265499999999999</v>
      </c>
      <c r="DA110" vm="2296">
        <f ca="1"/>
        <v>22.22</v>
      </c>
      <c r="DB110" vm="18301">
        <f ca="1"/>
        <v>21.774999999999999</v>
      </c>
      <c r="DC110" vm="16717">
        <f ca="1"/>
        <v>21.72</v>
      </c>
      <c r="DD110" vm="17737">
        <f ca="1"/>
        <v>21.8</v>
      </c>
      <c r="DE110" vm="18302">
        <f ca="1"/>
        <v>21.919</v>
      </c>
      <c r="DF110" vm="18303">
        <f ca="1"/>
        <v>22.074999999999999</v>
      </c>
      <c r="DG110" vm="18304">
        <f ca="1"/>
        <v>22.130099999999999</v>
      </c>
      <c r="DH110" vm="2297">
        <f ca="1"/>
        <v>22.13</v>
      </c>
      <c r="DI110" vm="18305">
        <f ca="1"/>
        <v>22.110299999999999</v>
      </c>
      <c r="DJ110" vm="16742">
        <f ca="1"/>
        <v>21.77</v>
      </c>
      <c r="DK110" vm="16746">
        <f ca="1"/>
        <v>21.78</v>
      </c>
      <c r="DL110" vm="16715">
        <f ca="1"/>
        <v>21.62</v>
      </c>
      <c r="DM110" vm="13324">
        <f ca="1"/>
        <v>21.52</v>
      </c>
      <c r="DN110" vm="13250">
        <f ca="1"/>
        <v>21.56</v>
      </c>
      <c r="DO110" vm="13339">
        <f ca="1"/>
        <v>21.65</v>
      </c>
      <c r="DP110" vm="16720">
        <f ca="1"/>
        <v>21.81</v>
      </c>
      <c r="DQ110" vm="18306">
        <f ca="1"/>
        <v>21.99</v>
      </c>
      <c r="DR110" vm="13330">
        <f ca="1"/>
        <v>21.83</v>
      </c>
      <c r="DS110" vm="16749">
        <f ca="1"/>
        <v>21.86</v>
      </c>
      <c r="DT110" vm="16742">
        <f ca="1"/>
        <v>21.77</v>
      </c>
      <c r="DU110" vm="2754">
        <f ca="1"/>
        <v>21.69</v>
      </c>
      <c r="DV110" vm="2438">
        <f ca="1"/>
        <v>22.29</v>
      </c>
      <c r="DW110" vm="13240">
        <f ca="1"/>
        <v>22.38</v>
      </c>
      <c r="DX110" vm="18307">
        <f ca="1"/>
        <v>22.56</v>
      </c>
      <c r="DY110" vm="2294">
        <f ca="1"/>
        <v>22.49</v>
      </c>
      <c r="DZ110" vm="2299">
        <f ca="1"/>
        <v>22.39</v>
      </c>
      <c r="EA110" vm="18308">
        <f ca="1"/>
        <v>22.14</v>
      </c>
      <c r="EB110" vm="18309">
        <f ca="1"/>
        <v>21.950099999999999</v>
      </c>
      <c r="EC110" vm="18310">
        <f ca="1"/>
        <v>21.574999999999999</v>
      </c>
      <c r="ED110" vm="18311">
        <f ca="1"/>
        <v>21.570399999999999</v>
      </c>
      <c r="EE110" vm="16748">
        <f ca="1"/>
        <v>21.73</v>
      </c>
      <c r="EF110" vm="16746">
        <f ca="1"/>
        <v>21.78</v>
      </c>
      <c r="EG110" vm="17281">
        <f ca="1"/>
        <v>21.79</v>
      </c>
      <c r="EH110" vm="18275">
        <f ca="1"/>
        <v>22.11</v>
      </c>
      <c r="EI110" vm="18274">
        <f ca="1"/>
        <v>22.25</v>
      </c>
      <c r="EJ110" vm="13339">
        <f ca="1"/>
        <v>21.65</v>
      </c>
      <c r="EK110" vm="16718">
        <f ca="1"/>
        <v>21.58</v>
      </c>
      <c r="EL110" vm="18312">
        <f ca="1"/>
        <v>21.431699999999999</v>
      </c>
      <c r="EM110" vm="18313">
        <f ca="1"/>
        <v>21.549700000000001</v>
      </c>
      <c r="EN110" vm="2284">
        <f ca="1"/>
        <v>21.46</v>
      </c>
      <c r="EO110" vm="13315">
        <f ca="1"/>
        <v>21.45</v>
      </c>
      <c r="EP110" vm="18314">
        <f ca="1"/>
        <v>21.345600000000001</v>
      </c>
      <c r="EQ110" vm="18315">
        <f ca="1"/>
        <v>21.682600000000001</v>
      </c>
      <c r="ER110" vm="18316">
        <f ca="1"/>
        <v>21.84</v>
      </c>
      <c r="ES110" vm="18317">
        <f ca="1"/>
        <v>21.984400000000001</v>
      </c>
      <c r="ET110" vm="18318">
        <f ca="1"/>
        <v>21.864000000000001</v>
      </c>
      <c r="EU110" vm="18319">
        <f ca="1"/>
        <v>21.88</v>
      </c>
      <c r="EV110" vm="18316">
        <f ca="1"/>
        <v>21.84</v>
      </c>
      <c r="EW110" vm="13333">
        <f ca="1"/>
        <v>21.85</v>
      </c>
      <c r="EX110" vm="18320">
        <f ca="1"/>
        <v>21.761700000000001</v>
      </c>
      <c r="EY110" vm="16721">
        <f ca="1"/>
        <v>21.67</v>
      </c>
      <c r="EZ110" vm="18321">
        <f ca="1"/>
        <v>21.533000000000001</v>
      </c>
      <c r="FA110" vm="16741">
        <f ca="1"/>
        <v>21.35</v>
      </c>
      <c r="FB110" vm="18322">
        <f ca="1"/>
        <v>21.213999999999999</v>
      </c>
      <c r="FC110" vm="2120">
        <f ca="1"/>
        <v>21.21</v>
      </c>
      <c r="FD110" vm="18323">
        <f ca="1"/>
        <v>21.3553</v>
      </c>
      <c r="FE110" vm="2120">
        <f ca="1"/>
        <v>21.21</v>
      </c>
      <c r="FF110" vm="16704">
        <f ca="1"/>
        <v>21.12</v>
      </c>
      <c r="FG110" vm="2128">
        <f ca="1"/>
        <v>21.25</v>
      </c>
      <c r="FH110" vm="2759">
        <f ca="1"/>
        <v>21.07</v>
      </c>
      <c r="FI110" vm="2124">
        <f ca="1"/>
        <v>21.57</v>
      </c>
      <c r="FJ110" vm="18324">
        <f ca="1"/>
        <v>21.974</v>
      </c>
      <c r="FK110" vm="18280">
        <f ca="1"/>
        <v>22.07</v>
      </c>
      <c r="FL110" vm="2756">
        <f ca="1"/>
        <v>21.87</v>
      </c>
      <c r="FM110" vm="2295">
        <f ca="1"/>
        <v>22.18</v>
      </c>
      <c r="FN110" vm="2297">
        <f ca="1"/>
        <v>22.13</v>
      </c>
      <c r="FO110" vm="13268">
        <f ca="1"/>
        <v>21.97</v>
      </c>
      <c r="FP110" vm="2757">
        <f ca="1"/>
        <v>22.02</v>
      </c>
      <c r="FQ110" vm="18325">
        <f ca="1"/>
        <v>22.31</v>
      </c>
      <c r="FR110" vm="13239">
        <f ca="1"/>
        <v>22.4</v>
      </c>
      <c r="FS110" vm="13255">
        <f ca="1"/>
        <v>22.3</v>
      </c>
      <c r="FT110" vm="3130">
        <f ca="1"/>
        <v>22.28</v>
      </c>
      <c r="FU110" vm="2751">
        <f ca="1"/>
        <v>22.26</v>
      </c>
      <c r="FV110" vm="18326">
        <f ca="1"/>
        <v>22.312999999999999</v>
      </c>
      <c r="FW110" vm="2299">
        <f ca="1"/>
        <v>22.39</v>
      </c>
      <c r="FX110" vm="2750">
        <f ca="1"/>
        <v>22.16</v>
      </c>
      <c r="FY110" vm="52">
        <f ca="1"/>
        <v>22.01</v>
      </c>
      <c r="FZ110" vm="2752">
        <f ca="1"/>
        <v>22.05</v>
      </c>
      <c r="GA110" vm="13251">
        <f ca="1"/>
        <v>21.92</v>
      </c>
      <c r="GB110" vm="17278">
        <f ca="1"/>
        <v>22.09</v>
      </c>
      <c r="GC110" vm="2757">
        <f ca="1"/>
        <v>22.02</v>
      </c>
      <c r="GD110" vm="13251">
        <f ca="1"/>
        <v>21.92</v>
      </c>
      <c r="GE110" vm="18275">
        <f ca="1"/>
        <v>22.11</v>
      </c>
      <c r="GF110" vm="18327">
        <f ca="1"/>
        <v>22.32</v>
      </c>
      <c r="GG110" vm="18274">
        <f ca="1"/>
        <v>22.25</v>
      </c>
      <c r="GH110" vm="13239">
        <f ca="1"/>
        <v>22.4</v>
      </c>
      <c r="GI110" vm="18274">
        <f ca="1"/>
        <v>22.25</v>
      </c>
      <c r="GJ110" vm="18328">
        <f ca="1"/>
        <v>22.17</v>
      </c>
      <c r="GK110" vm="18329">
        <f ca="1"/>
        <v>21.96</v>
      </c>
      <c r="GL110" vm="16721">
        <f ca="1"/>
        <v>21.67</v>
      </c>
      <c r="GM110" vm="2754">
        <f ca="1"/>
        <v>21.69</v>
      </c>
      <c r="GN110" vm="16743">
        <f ca="1"/>
        <v>21.66</v>
      </c>
      <c r="GO110" vm="16721">
        <f ca="1"/>
        <v>21.67</v>
      </c>
      <c r="GP110" vm="2285">
        <f ca="1"/>
        <v>21.74</v>
      </c>
      <c r="GQ110" vm="18294">
        <f ca="1"/>
        <v>21.68</v>
      </c>
      <c r="GR110" vm="2284">
        <f ca="1"/>
        <v>21.46</v>
      </c>
      <c r="GS110" vm="16748">
        <f ca="1"/>
        <v>21.73</v>
      </c>
      <c r="GT110" vm="18319">
        <f ca="1"/>
        <v>21.88</v>
      </c>
      <c r="GU110" vm="17281">
        <f ca="1"/>
        <v>21.79</v>
      </c>
      <c r="GV110" vm="16746">
        <f ca="1"/>
        <v>21.78</v>
      </c>
      <c r="GW110" vm="18316">
        <f ca="1"/>
        <v>21.84</v>
      </c>
      <c r="GX110" vm="13251">
        <f ca="1"/>
        <v>21.92</v>
      </c>
      <c r="GY110" vm="18316">
        <f ca="1"/>
        <v>21.84</v>
      </c>
      <c r="GZ110" vm="18330">
        <f ca="1"/>
        <v>21.555</v>
      </c>
      <c r="HA110" vm="16718">
        <f ca="1"/>
        <v>21.58</v>
      </c>
      <c r="HB110" vm="13250">
        <f ca="1"/>
        <v>21.56</v>
      </c>
      <c r="HC110" vm="16359">
        <f ca="1"/>
        <v>21.59</v>
      </c>
      <c r="HD110" vm="13339">
        <f ca="1"/>
        <v>21.65</v>
      </c>
      <c r="HE110" vm="18331">
        <f ca="1"/>
        <v>21.824000000000002</v>
      </c>
      <c r="HF110" vm="2292">
        <f ca="1"/>
        <v>22.06</v>
      </c>
      <c r="HG110" vm="2757">
        <f ca="1"/>
        <v>22.02</v>
      </c>
      <c r="HH110" vm="18332">
        <f ca="1"/>
        <v>22.03</v>
      </c>
      <c r="HI110" vm="2751">
        <f ca="1"/>
        <v>22.26</v>
      </c>
      <c r="HJ110" vm="18333">
        <f ca="1"/>
        <v>22.254000000000001</v>
      </c>
      <c r="HK110" vm="35">
        <f ca="1"/>
        <v>22.64</v>
      </c>
      <c r="HL110" vm="56">
        <f ca="1"/>
        <v>22.85</v>
      </c>
      <c r="HM110" vm="13254">
        <f ca="1"/>
        <v>22.8</v>
      </c>
      <c r="HN110" vm="13253">
        <f ca="1"/>
        <v>22.97</v>
      </c>
      <c r="HO110" vm="18334">
        <f ca="1"/>
        <v>23.14</v>
      </c>
      <c r="HP110" vm="2422">
        <f ca="1"/>
        <v>23.47</v>
      </c>
      <c r="HQ110" vm="18335">
        <f ca="1"/>
        <v>23.18</v>
      </c>
      <c r="HR110" vm="16319">
        <f ca="1"/>
        <v>23.42</v>
      </c>
      <c r="HS110" vm="18336">
        <f ca="1"/>
        <v>22.98</v>
      </c>
      <c r="HT110" vm="3290">
        <f ca="1"/>
        <v>23.15</v>
      </c>
      <c r="HU110" vm="18337">
        <f ca="1"/>
        <v>23.36</v>
      </c>
      <c r="HV110" vm="18337">
        <f ca="1"/>
        <v>23.36</v>
      </c>
      <c r="HW110" vm="18338">
        <f ca="1"/>
        <v>23.45</v>
      </c>
      <c r="HX110" vm="16356">
        <f ca="1"/>
        <v>23.71</v>
      </c>
      <c r="HY110" vm="18337">
        <f ca="1"/>
        <v>23.36</v>
      </c>
      <c r="HZ110" vm="16316">
        <f ca="1"/>
        <v>23.8</v>
      </c>
      <c r="IA110" vm="18339">
        <f ca="1"/>
        <v>23.73</v>
      </c>
      <c r="IB110" vm="2422">
        <f ca="1"/>
        <v>23.47</v>
      </c>
      <c r="IC110" vm="2423">
        <f ca="1"/>
        <v>23.34</v>
      </c>
      <c r="ID110" vm="2424">
        <f ca="1"/>
        <v>23.38</v>
      </c>
      <c r="IE110" vm="2425">
        <f ca="1"/>
        <v>23.32</v>
      </c>
      <c r="IF110" vm="2426">
        <f ca="1"/>
        <v>23.35</v>
      </c>
      <c r="IG110" vm="2422">
        <f ca="1"/>
        <v>23.47</v>
      </c>
      <c r="IH110" vm="2427">
        <f ca="1"/>
        <v>23.6</v>
      </c>
      <c r="II110" vm="2422">
        <f ca="1"/>
        <v>23.47</v>
      </c>
      <c r="IJ110" vm="2428">
        <f ca="1"/>
        <v>23.43</v>
      </c>
      <c r="IK110" vm="2429">
        <f ca="1"/>
        <v>23.28</v>
      </c>
      <c r="IL110" vm="2430">
        <f ca="1"/>
        <v>23.3</v>
      </c>
      <c r="IM110" vm="2431">
        <f ca="1"/>
        <v>23.03</v>
      </c>
      <c r="IN110" vm="2432">
        <f ca="1"/>
        <v>22.87</v>
      </c>
      <c r="IO110" vm="2433">
        <f ca="1"/>
        <v>22.73</v>
      </c>
      <c r="IP110" vm="2434">
        <f ca="1"/>
        <v>22.78</v>
      </c>
      <c r="IQ110" vm="2435">
        <f ca="1"/>
        <v>22.82</v>
      </c>
      <c r="IR110" vm="2436">
        <f ca="1"/>
        <v>22.52</v>
      </c>
      <c r="IS110" vm="2437">
        <f ca="1"/>
        <v>22.48</v>
      </c>
      <c r="IT110" vm="2438">
        <f ca="1"/>
        <v>22.29</v>
      </c>
      <c r="IU110" vm="2293">
        <f ca="1"/>
        <v>22.23</v>
      </c>
      <c r="IV110" vm="2439">
        <f ca="1"/>
        <v>22.08</v>
      </c>
      <c r="IW110" vm="52">
        <f ca="1"/>
        <v>22.01</v>
      </c>
    </row>
    <row r="111" spans="1:259" ht="16" x14ac:dyDescent="0.2">
      <c r="A111" t="e" vm="2440">
        <v>#VALUE!</v>
      </c>
      <c r="B111" s="23" t="str" cm="1">
        <f t="array" aca="1" ref="B111" ca="1">_FV(A111,"ticker symbol",TRUE)</f>
        <v>WEAT</v>
      </c>
      <c r="C111" s="23" t="str" cm="1">
        <f t="array" aca="1" ref="C111" ca="1">_FV(A111,"Name")</f>
        <v>Teucrium:Wheat</v>
      </c>
      <c r="D111" cm="1" vm="16351">
        <f t="array" aca="1" ref="D111:IW111" ca="1">TRANSPOSE(_xlfn.STOCKHISTORY(B111, WORKDAY(TODAY(), -265), TODAY(), 0, 0, 1))</f>
        <v>24</v>
      </c>
      <c r="E111" vm="16317">
        <f ca="1"/>
        <v>23.75</v>
      </c>
      <c r="F111" vm="18340">
        <f ca="1"/>
        <v>23.7</v>
      </c>
      <c r="G111" vm="2426">
        <f ca="1"/>
        <v>23.35</v>
      </c>
      <c r="H111" vm="2430">
        <f ca="1"/>
        <v>23.3</v>
      </c>
      <c r="I111" vm="16772">
        <f ca="1"/>
        <v>23.65</v>
      </c>
      <c r="J111" vm="18341">
        <f ca="1"/>
        <v>23.5</v>
      </c>
      <c r="K111" vm="18340">
        <f ca="1"/>
        <v>23.7</v>
      </c>
      <c r="L111" vm="16892">
        <f ca="1"/>
        <v>23.95</v>
      </c>
      <c r="M111" vm="16322">
        <f ca="1"/>
        <v>24.05</v>
      </c>
      <c r="N111" vm="16312">
        <f ca="1"/>
        <v>24.1</v>
      </c>
      <c r="O111" vm="16311">
        <f ca="1"/>
        <v>23.9</v>
      </c>
      <c r="P111" vm="2426">
        <f ca="1"/>
        <v>23.35</v>
      </c>
      <c r="Q111" vm="18342">
        <f ca="1"/>
        <v>23.85</v>
      </c>
      <c r="R111" vm="16892">
        <f ca="1"/>
        <v>23.95</v>
      </c>
      <c r="S111" vm="2427">
        <f ca="1"/>
        <v>23.6</v>
      </c>
      <c r="T111" vm="18343">
        <f ca="1"/>
        <v>23.55</v>
      </c>
      <c r="U111" vm="16312">
        <f ca="1"/>
        <v>24.1</v>
      </c>
      <c r="V111" vm="18344">
        <f ca="1"/>
        <v>24.15</v>
      </c>
      <c r="W111" vm="16312">
        <f ca="1"/>
        <v>24.1</v>
      </c>
      <c r="X111" vm="16317">
        <f ca="1"/>
        <v>23.75</v>
      </c>
      <c r="Y111" vm="16317">
        <f ca="1"/>
        <v>23.75</v>
      </c>
      <c r="Z111" vm="18345">
        <f ca="1"/>
        <v>24.65</v>
      </c>
      <c r="AA111" vm="16934">
        <f ca="1"/>
        <v>24.5</v>
      </c>
      <c r="AB111" vm="16934">
        <f ca="1"/>
        <v>24.5</v>
      </c>
      <c r="AC111" vm="16347">
        <f ca="1"/>
        <v>24.2</v>
      </c>
      <c r="AD111" vm="18342">
        <f ca="1"/>
        <v>23.85</v>
      </c>
      <c r="AE111" vm="16347">
        <f ca="1"/>
        <v>24.2</v>
      </c>
      <c r="AF111" vm="18346">
        <f ca="1"/>
        <v>24.9</v>
      </c>
      <c r="AG111" vm="2055">
        <f ca="1"/>
        <v>24.95</v>
      </c>
      <c r="AH111" vm="18347">
        <f ca="1"/>
        <v>24.75</v>
      </c>
      <c r="AI111" vm="17816">
        <f ca="1"/>
        <v>25</v>
      </c>
      <c r="AJ111" vm="16792">
        <f ca="1"/>
        <v>25.45</v>
      </c>
      <c r="AK111" vm="16391">
        <f ca="1"/>
        <v>25.25</v>
      </c>
      <c r="AL111" vm="2248">
        <f ca="1"/>
        <v>25.85</v>
      </c>
      <c r="AM111" vm="2811">
        <f ca="1"/>
        <v>25.6</v>
      </c>
      <c r="AN111" vm="2812">
        <f ca="1"/>
        <v>25.5</v>
      </c>
      <c r="AO111" vm="2812">
        <f ca="1"/>
        <v>25.5</v>
      </c>
      <c r="AP111" vm="16385">
        <f ca="1"/>
        <v>25.35</v>
      </c>
      <c r="AQ111" vm="2812">
        <f ca="1"/>
        <v>25.5</v>
      </c>
      <c r="AR111" vm="1458">
        <f ca="1"/>
        <v>26.5</v>
      </c>
      <c r="AS111" vm="2863">
        <f ca="1"/>
        <v>26.65</v>
      </c>
      <c r="AT111" vm="31">
        <f ca="1"/>
        <v>26.2</v>
      </c>
      <c r="AU111" vm="17970">
        <f ca="1"/>
        <v>26</v>
      </c>
      <c r="AV111" vm="2259">
        <f ca="1"/>
        <v>26.15</v>
      </c>
      <c r="AW111" vm="2809">
        <f ca="1"/>
        <v>25.75</v>
      </c>
      <c r="AX111" vm="2812">
        <f ca="1"/>
        <v>25.5</v>
      </c>
      <c r="AY111" vm="2057">
        <f ca="1"/>
        <v>25.15</v>
      </c>
      <c r="AZ111" vm="16934">
        <f ca="1"/>
        <v>24.5</v>
      </c>
      <c r="BA111" vm="18344">
        <f ca="1"/>
        <v>24.15</v>
      </c>
      <c r="BB111" vm="16316">
        <f ca="1"/>
        <v>23.8</v>
      </c>
      <c r="BC111" vm="18341">
        <f ca="1"/>
        <v>23.5</v>
      </c>
      <c r="BD111" vm="16892">
        <f ca="1"/>
        <v>23.95</v>
      </c>
      <c r="BE111" vm="18344">
        <f ca="1"/>
        <v>24.15</v>
      </c>
      <c r="BF111" vm="16322">
        <f ca="1"/>
        <v>24.05</v>
      </c>
      <c r="BG111" vm="16934">
        <f ca="1"/>
        <v>24.5</v>
      </c>
      <c r="BH111" vm="16820">
        <f ca="1"/>
        <v>24.25</v>
      </c>
      <c r="BI111" vm="16820">
        <f ca="1"/>
        <v>24.25</v>
      </c>
      <c r="BJ111" vm="16934">
        <f ca="1"/>
        <v>24.5</v>
      </c>
      <c r="BK111" vm="16355">
        <f ca="1"/>
        <v>24.45</v>
      </c>
      <c r="BL111" vm="16371">
        <f ca="1"/>
        <v>24.85</v>
      </c>
      <c r="BM111" vm="18347">
        <f ca="1"/>
        <v>24.75</v>
      </c>
      <c r="BN111" vm="16374">
        <f ca="1"/>
        <v>24.7</v>
      </c>
      <c r="BO111" vm="16366">
        <f ca="1"/>
        <v>24.3</v>
      </c>
      <c r="BP111" vm="16355">
        <f ca="1"/>
        <v>24.45</v>
      </c>
      <c r="BQ111" vm="16322">
        <f ca="1"/>
        <v>24.05</v>
      </c>
      <c r="BR111" vm="16311">
        <f ca="1"/>
        <v>23.9</v>
      </c>
      <c r="BS111" vm="18338">
        <f ca="1"/>
        <v>23.45</v>
      </c>
      <c r="BT111" vm="2426">
        <f ca="1"/>
        <v>23.35</v>
      </c>
      <c r="BU111" vm="3291">
        <f ca="1"/>
        <v>23.1</v>
      </c>
      <c r="BV111" vm="18348">
        <f ca="1"/>
        <v>23.4</v>
      </c>
      <c r="BW111" vm="2427">
        <f ca="1"/>
        <v>23.6</v>
      </c>
      <c r="BX111" vm="18341">
        <f ca="1"/>
        <v>23.5</v>
      </c>
      <c r="BY111" vm="18338">
        <f ca="1"/>
        <v>23.45</v>
      </c>
      <c r="BZ111" vm="3291">
        <f ca="1"/>
        <v>23.1</v>
      </c>
      <c r="CA111" vm="2430">
        <f ca="1"/>
        <v>23.3</v>
      </c>
      <c r="CB111" vm="2426">
        <f ca="1"/>
        <v>23.35</v>
      </c>
      <c r="CC111" vm="16772">
        <f ca="1"/>
        <v>23.65</v>
      </c>
      <c r="CD111" vm="18338">
        <f ca="1"/>
        <v>23.45</v>
      </c>
      <c r="CE111" vm="18344">
        <f ca="1"/>
        <v>24.15</v>
      </c>
      <c r="CF111" vm="16311">
        <f ca="1"/>
        <v>23.9</v>
      </c>
      <c r="CG111" vm="16772">
        <f ca="1"/>
        <v>23.65</v>
      </c>
      <c r="CH111" vm="16317">
        <f ca="1"/>
        <v>23.75</v>
      </c>
      <c r="CI111" vm="16316">
        <f ca="1"/>
        <v>23.8</v>
      </c>
      <c r="CJ111" vm="18338">
        <f ca="1"/>
        <v>23.45</v>
      </c>
      <c r="CK111" vm="2426">
        <f ca="1"/>
        <v>23.35</v>
      </c>
      <c r="CL111" vm="3290">
        <f ca="1"/>
        <v>23.15</v>
      </c>
      <c r="CM111" vm="3291">
        <f ca="1"/>
        <v>23.1</v>
      </c>
      <c r="CN111" vm="13355">
        <f ca="1"/>
        <v>23.2</v>
      </c>
      <c r="CO111" vm="17819">
        <f ca="1"/>
        <v>22.65</v>
      </c>
      <c r="CP111" vm="13239">
        <f ca="1"/>
        <v>22.4</v>
      </c>
      <c r="CQ111" vm="18349">
        <f ca="1"/>
        <v>22.6</v>
      </c>
      <c r="CR111" vm="17819">
        <f ca="1"/>
        <v>22.65</v>
      </c>
      <c r="CS111" vm="13357">
        <f ca="1"/>
        <v>23.05</v>
      </c>
      <c r="CT111" vm="18349">
        <f ca="1"/>
        <v>22.6</v>
      </c>
      <c r="CU111" vm="16812">
        <f ca="1"/>
        <v>22.7</v>
      </c>
      <c r="CV111" vm="13351">
        <f ca="1"/>
        <v>22.75</v>
      </c>
      <c r="CW111" vm="13264">
        <f ca="1"/>
        <v>22.55</v>
      </c>
      <c r="CX111" vm="13332">
        <f ca="1"/>
        <v>22.2</v>
      </c>
      <c r="CY111" vm="13249">
        <f ca="1"/>
        <v>21.95</v>
      </c>
      <c r="CZ111" vm="2752">
        <f ca="1"/>
        <v>22.05</v>
      </c>
      <c r="DA111" vm="18274">
        <f ca="1"/>
        <v>22.25</v>
      </c>
      <c r="DB111" vm="13264">
        <f ca="1"/>
        <v>22.55</v>
      </c>
      <c r="DC111" vm="13259">
        <f ca="1"/>
        <v>22.35</v>
      </c>
      <c r="DD111" vm="13257">
        <f ca="1"/>
        <v>22.5</v>
      </c>
      <c r="DE111" vm="13357">
        <f ca="1"/>
        <v>23.05</v>
      </c>
      <c r="DF111" vm="3290">
        <f ca="1"/>
        <v>23.15</v>
      </c>
      <c r="DG111" vm="13355">
        <f ca="1"/>
        <v>23.2</v>
      </c>
      <c r="DH111" vm="3291">
        <f ca="1"/>
        <v>23.1</v>
      </c>
      <c r="DI111" vm="13264">
        <f ca="1"/>
        <v>22.55</v>
      </c>
      <c r="DJ111" vm="13264">
        <f ca="1"/>
        <v>22.55</v>
      </c>
      <c r="DK111" vm="13254">
        <f ca="1"/>
        <v>22.8</v>
      </c>
      <c r="DL111" vm="17819">
        <f ca="1"/>
        <v>22.65</v>
      </c>
      <c r="DM111" vm="56">
        <f ca="1"/>
        <v>22.85</v>
      </c>
      <c r="DN111" vm="13351">
        <f ca="1"/>
        <v>22.75</v>
      </c>
      <c r="DO111" vm="13357">
        <f ca="1"/>
        <v>23.05</v>
      </c>
      <c r="DP111" vm="3291">
        <f ca="1"/>
        <v>23.1</v>
      </c>
      <c r="DQ111" vm="18348">
        <f ca="1"/>
        <v>23.4</v>
      </c>
      <c r="DR111" vm="13357">
        <f ca="1"/>
        <v>23.05</v>
      </c>
      <c r="DS111" vm="16812">
        <f ca="1"/>
        <v>22.7</v>
      </c>
      <c r="DT111" vm="16812">
        <f ca="1"/>
        <v>22.7</v>
      </c>
      <c r="DU111" vm="3120">
        <f ca="1"/>
        <v>22.45</v>
      </c>
      <c r="DV111" vm="3291">
        <f ca="1"/>
        <v>23.1</v>
      </c>
      <c r="DW111" vm="13254">
        <f ca="1"/>
        <v>22.8</v>
      </c>
      <c r="DX111" vm="2430">
        <f ca="1"/>
        <v>23.3</v>
      </c>
      <c r="DY111" vm="16347">
        <f ca="1"/>
        <v>24.2</v>
      </c>
      <c r="DZ111" vm="16351">
        <f ca="1"/>
        <v>24</v>
      </c>
      <c r="EA111" vm="18343">
        <f ca="1"/>
        <v>23.55</v>
      </c>
      <c r="EB111" vm="13254">
        <f ca="1"/>
        <v>22.8</v>
      </c>
      <c r="EC111" vm="13264">
        <f ca="1"/>
        <v>22.55</v>
      </c>
      <c r="ED111" vm="18274">
        <f ca="1"/>
        <v>22.25</v>
      </c>
      <c r="EE111" vm="13239">
        <f ca="1"/>
        <v>22.4</v>
      </c>
      <c r="EF111" vm="13332">
        <f ca="1"/>
        <v>22.2</v>
      </c>
      <c r="EG111" vm="17819">
        <f ca="1"/>
        <v>22.65</v>
      </c>
      <c r="EH111" vm="13355">
        <f ca="1"/>
        <v>23.2</v>
      </c>
      <c r="EI111" vm="3290">
        <f ca="1"/>
        <v>23.15</v>
      </c>
      <c r="EJ111" vm="16812">
        <f ca="1"/>
        <v>22.7</v>
      </c>
      <c r="EK111" vm="17819">
        <f ca="1"/>
        <v>22.65</v>
      </c>
      <c r="EL111" vm="18349">
        <f ca="1"/>
        <v>22.6</v>
      </c>
      <c r="EM111" vm="2456">
        <f ca="1"/>
        <v>22.9</v>
      </c>
      <c r="EN111" vm="13257">
        <f ca="1"/>
        <v>22.5</v>
      </c>
      <c r="EO111" vm="3120">
        <f ca="1"/>
        <v>22.45</v>
      </c>
      <c r="EP111" vm="13255">
        <f ca="1"/>
        <v>22.3</v>
      </c>
      <c r="EQ111" vm="13259">
        <f ca="1"/>
        <v>22.35</v>
      </c>
      <c r="ER111" vm="18350">
        <f ca="1"/>
        <v>22.1</v>
      </c>
      <c r="ES111" vm="18349">
        <f ca="1"/>
        <v>22.6</v>
      </c>
      <c r="ET111" vm="3120">
        <f ca="1"/>
        <v>22.45</v>
      </c>
      <c r="EU111" vm="18349">
        <f ca="1"/>
        <v>22.6</v>
      </c>
      <c r="EV111" vm="13259">
        <f ca="1"/>
        <v>22.35</v>
      </c>
      <c r="EW111" vm="13239">
        <f ca="1"/>
        <v>22.4</v>
      </c>
      <c r="EX111" vm="13255">
        <f ca="1"/>
        <v>22.3</v>
      </c>
      <c r="EY111" vm="18274">
        <f ca="1"/>
        <v>22.25</v>
      </c>
      <c r="EZ111" vm="13249">
        <f ca="1"/>
        <v>21.95</v>
      </c>
      <c r="FA111" vm="17737">
        <f ca="1"/>
        <v>21.8</v>
      </c>
      <c r="FB111" vm="16701">
        <f ca="1"/>
        <v>21.75</v>
      </c>
      <c r="FC111" vm="2123">
        <f ca="1"/>
        <v>21.5</v>
      </c>
      <c r="FD111" vm="16713">
        <f ca="1"/>
        <v>21.55</v>
      </c>
      <c r="FE111" vm="2128">
        <f ca="1"/>
        <v>21.25</v>
      </c>
      <c r="FF111" vm="2128">
        <f ca="1"/>
        <v>21.25</v>
      </c>
      <c r="FG111" vm="13339">
        <f ca="1"/>
        <v>21.65</v>
      </c>
      <c r="FH111" vm="2123">
        <f ca="1"/>
        <v>21.5</v>
      </c>
      <c r="FI111" vm="13315">
        <f ca="1"/>
        <v>21.45</v>
      </c>
      <c r="FJ111" vm="13313">
        <f ca="1"/>
        <v>21.1</v>
      </c>
      <c r="FK111" vm="16751">
        <f ca="1"/>
        <v>21.2</v>
      </c>
      <c r="FL111" vm="3132">
        <f ca="1"/>
        <v>21</v>
      </c>
      <c r="FM111" vm="13313">
        <f ca="1"/>
        <v>21.1</v>
      </c>
      <c r="FN111" vm="16750">
        <f ca="1"/>
        <v>21.05</v>
      </c>
      <c r="FO111" vm="2441">
        <f ca="1"/>
        <v>20.95</v>
      </c>
      <c r="FP111" vm="13334">
        <f ca="1"/>
        <v>21.15</v>
      </c>
      <c r="FQ111" vm="13334">
        <f ca="1"/>
        <v>21.15</v>
      </c>
      <c r="FR111" vm="13313">
        <f ca="1"/>
        <v>21.1</v>
      </c>
      <c r="FS111" vm="16751">
        <f ca="1"/>
        <v>21.2</v>
      </c>
      <c r="FT111" vm="2128">
        <f ca="1"/>
        <v>21.25</v>
      </c>
      <c r="FU111" vm="13313">
        <f ca="1"/>
        <v>21.1</v>
      </c>
      <c r="FV111" vm="16751">
        <f ca="1"/>
        <v>21.2</v>
      </c>
      <c r="FW111" vm="2283">
        <f ca="1"/>
        <v>21.4</v>
      </c>
      <c r="FX111" vm="13313">
        <f ca="1"/>
        <v>21.1</v>
      </c>
      <c r="FY111" vm="2132">
        <f ca="1"/>
        <v>20.85</v>
      </c>
      <c r="FZ111" vm="2132">
        <f ca="1"/>
        <v>20.85</v>
      </c>
      <c r="GA111" vm="2132">
        <f ca="1"/>
        <v>20.85</v>
      </c>
      <c r="GB111" vm="3132">
        <f ca="1"/>
        <v>21</v>
      </c>
      <c r="GC111" vm="2137">
        <f ca="1"/>
        <v>20.8</v>
      </c>
      <c r="GD111" vm="157">
        <f ca="1"/>
        <v>20.7</v>
      </c>
      <c r="GE111" vm="2133">
        <f ca="1"/>
        <v>20.9</v>
      </c>
      <c r="GF111" vm="3132">
        <f ca="1"/>
        <v>21</v>
      </c>
      <c r="GG111" vm="13313">
        <f ca="1"/>
        <v>21.1</v>
      </c>
      <c r="GH111" vm="13315">
        <f ca="1"/>
        <v>21.45</v>
      </c>
      <c r="GI111" vm="2128">
        <f ca="1"/>
        <v>21.25</v>
      </c>
      <c r="GJ111" vm="13313">
        <f ca="1"/>
        <v>21.1</v>
      </c>
      <c r="GK111" vm="16750">
        <f ca="1"/>
        <v>21.05</v>
      </c>
      <c r="GL111" vm="17564">
        <f ca="1"/>
        <v>20.6</v>
      </c>
      <c r="GM111" vm="3132">
        <f ca="1"/>
        <v>21</v>
      </c>
      <c r="GN111" vm="2133">
        <f ca="1"/>
        <v>20.9</v>
      </c>
      <c r="GO111" vm="13334">
        <f ca="1"/>
        <v>21.15</v>
      </c>
      <c r="GP111" vm="2441">
        <f ca="1"/>
        <v>20.95</v>
      </c>
      <c r="GQ111" vm="2441">
        <f ca="1"/>
        <v>20.95</v>
      </c>
      <c r="GR111" vm="16702">
        <f ca="1"/>
        <v>20.55</v>
      </c>
      <c r="GS111" vm="2447">
        <f ca="1"/>
        <v>20.65</v>
      </c>
      <c r="GT111" vm="2137">
        <f ca="1"/>
        <v>20.8</v>
      </c>
      <c r="GU111" vm="13312">
        <f ca="1"/>
        <v>20.75</v>
      </c>
      <c r="GV111" vm="157">
        <f ca="1"/>
        <v>20.7</v>
      </c>
      <c r="GW111" vm="18351">
        <f ca="1"/>
        <v>20.5</v>
      </c>
      <c r="GX111" vm="18351">
        <f ca="1"/>
        <v>20.5</v>
      </c>
      <c r="GY111" vm="13321">
        <f ca="1"/>
        <v>20.45</v>
      </c>
      <c r="GZ111" vm="13305">
        <f ca="1"/>
        <v>20.2</v>
      </c>
      <c r="HA111" vm="17559">
        <f ca="1"/>
        <v>20.149999999999999</v>
      </c>
      <c r="HB111" vm="13305">
        <f ca="1"/>
        <v>20.2</v>
      </c>
      <c r="HC111" vm="17559">
        <f ca="1"/>
        <v>20.149999999999999</v>
      </c>
      <c r="HD111" vm="2451">
        <f ca="1"/>
        <v>20.25</v>
      </c>
      <c r="HE111" vm="2451">
        <f ca="1"/>
        <v>20.25</v>
      </c>
      <c r="HF111" vm="18352">
        <f ca="1"/>
        <v>20.399999999999999</v>
      </c>
      <c r="HG111" vm="17559">
        <f ca="1"/>
        <v>20.149999999999999</v>
      </c>
      <c r="HH111" vm="13305">
        <f ca="1"/>
        <v>20.2</v>
      </c>
      <c r="HI111" vm="16702">
        <f ca="1"/>
        <v>20.55</v>
      </c>
      <c r="HJ111" vm="16702">
        <f ca="1"/>
        <v>20.55</v>
      </c>
      <c r="HK111" vm="16750">
        <f ca="1"/>
        <v>21.05</v>
      </c>
      <c r="HL111" vm="2128">
        <f ca="1"/>
        <v>21.25</v>
      </c>
      <c r="HM111" vm="2128">
        <f ca="1"/>
        <v>21.25</v>
      </c>
      <c r="HN111" vm="3132">
        <f ca="1"/>
        <v>21</v>
      </c>
      <c r="HO111" vm="16751">
        <f ca="1"/>
        <v>21.2</v>
      </c>
      <c r="HP111" vm="13339">
        <f ca="1"/>
        <v>21.65</v>
      </c>
      <c r="HQ111" vm="16701">
        <f ca="1"/>
        <v>21.75</v>
      </c>
      <c r="HR111" vm="13333">
        <f ca="1"/>
        <v>21.85</v>
      </c>
      <c r="HS111" vm="2127">
        <f ca="1"/>
        <v>21.3</v>
      </c>
      <c r="HT111" vm="2441">
        <f ca="1"/>
        <v>20.95</v>
      </c>
      <c r="HU111" vm="2127">
        <f ca="1"/>
        <v>21.3</v>
      </c>
      <c r="HV111" vm="13315">
        <f ca="1"/>
        <v>21.45</v>
      </c>
      <c r="HW111" vm="13315">
        <f ca="1"/>
        <v>21.45</v>
      </c>
      <c r="HX111" vm="13315">
        <f ca="1"/>
        <v>21.45</v>
      </c>
      <c r="HY111" vm="16750">
        <f ca="1"/>
        <v>21.05</v>
      </c>
      <c r="HZ111" vm="18353">
        <f ca="1"/>
        <v>21.625</v>
      </c>
      <c r="IA111" vm="13339">
        <f ca="1"/>
        <v>21.65</v>
      </c>
      <c r="IB111" vm="2127">
        <f ca="1"/>
        <v>21.3</v>
      </c>
      <c r="IC111" vm="2441">
        <f ca="1"/>
        <v>20.95</v>
      </c>
      <c r="ID111" vm="2441">
        <f ca="1"/>
        <v>20.95</v>
      </c>
      <c r="IE111" vm="2137">
        <f ca="1"/>
        <v>20.8</v>
      </c>
      <c r="IF111" vm="2134">
        <f ca="1"/>
        <v>20.89</v>
      </c>
      <c r="IG111" vm="2442">
        <f ca="1"/>
        <v>20.96</v>
      </c>
      <c r="IH111" vm="2136">
        <f ca="1"/>
        <v>20.84</v>
      </c>
      <c r="II111" vm="2443">
        <f ca="1"/>
        <v>20.74</v>
      </c>
      <c r="IJ111" vm="2444">
        <f ca="1"/>
        <v>20.91</v>
      </c>
      <c r="IK111" vm="2132">
        <f ca="1"/>
        <v>20.85</v>
      </c>
      <c r="IL111" vm="2445">
        <f ca="1"/>
        <v>20.87</v>
      </c>
      <c r="IM111" vm="157">
        <f ca="1"/>
        <v>20.7</v>
      </c>
      <c r="IN111" vm="2446">
        <f ca="1"/>
        <v>20.68</v>
      </c>
      <c r="IO111" vm="2447">
        <f ca="1"/>
        <v>20.65</v>
      </c>
      <c r="IP111" vm="2448">
        <f ca="1"/>
        <v>20.51</v>
      </c>
      <c r="IQ111" vm="2449">
        <f ca="1"/>
        <v>20.67</v>
      </c>
      <c r="IR111" vm="2450">
        <f ca="1"/>
        <v>20.53</v>
      </c>
      <c r="IS111" vm="2451">
        <f ca="1"/>
        <v>20.25</v>
      </c>
      <c r="IT111" vm="2452">
        <f ca="1"/>
        <v>19.93</v>
      </c>
      <c r="IU111" vm="2453">
        <f ca="1"/>
        <v>19.88</v>
      </c>
      <c r="IV111" vm="2454">
        <f ca="1"/>
        <v>19.940000000000001</v>
      </c>
      <c r="IW111" vm="54">
        <f ca="1"/>
        <v>19.98</v>
      </c>
    </row>
    <row r="112" spans="1:259" ht="16" x14ac:dyDescent="0.2">
      <c r="A112" t="e" vm="2455">
        <v>#VALUE!</v>
      </c>
      <c r="B112" s="23" t="str" cm="1">
        <f t="array" aca="1" ref="B112" ca="1">_FV(A112,"ticker symbol",TRUE)</f>
        <v>DBC</v>
      </c>
      <c r="C112" s="23" t="str" cm="1">
        <f t="array" aca="1" ref="C112" ca="1">_FV(A112,"Name")</f>
        <v>Invesco DB Cm Idx</v>
      </c>
      <c r="D112" cm="1" vm="2293">
        <f t="array" aca="1" ref="D112:IW112" ca="1">TRANSPOSE(_xlfn.STOCKHISTORY(B112, WORKDAY(TODAY(), -265), TODAY(), 0, 0, 1))</f>
        <v>22.23</v>
      </c>
      <c r="E112" vm="2439">
        <f ca="1"/>
        <v>22.08</v>
      </c>
      <c r="F112" vm="18319">
        <f ca="1"/>
        <v>21.88</v>
      </c>
      <c r="G112" vm="18319">
        <f ca="1"/>
        <v>21.88</v>
      </c>
      <c r="H112" vm="2757">
        <f ca="1"/>
        <v>22.02</v>
      </c>
      <c r="I112" vm="2119">
        <f ca="1"/>
        <v>20.92</v>
      </c>
      <c r="J112" vm="18284">
        <f ca="1"/>
        <v>21.04</v>
      </c>
      <c r="K112" vm="18354">
        <f ca="1"/>
        <v>20.98</v>
      </c>
      <c r="L112" vm="16735">
        <f ca="1"/>
        <v>21.08</v>
      </c>
      <c r="M112" vm="16723">
        <f ca="1"/>
        <v>21.27</v>
      </c>
      <c r="N112" vm="16740">
        <f ca="1"/>
        <v>21.38</v>
      </c>
      <c r="O112" vm="16359">
        <f ca="1"/>
        <v>21.59</v>
      </c>
      <c r="P112" vm="16708">
        <f ca="1"/>
        <v>21.48</v>
      </c>
      <c r="Q112" vm="13324">
        <f ca="1"/>
        <v>21.52</v>
      </c>
      <c r="R112" vm="16715">
        <f ca="1"/>
        <v>21.62</v>
      </c>
      <c r="S112" vm="16718">
        <f ca="1"/>
        <v>21.58</v>
      </c>
      <c r="T112" vm="2750">
        <f ca="1"/>
        <v>22.16</v>
      </c>
      <c r="U112" vm="18327">
        <f ca="1"/>
        <v>22.32</v>
      </c>
      <c r="V112" vm="18325">
        <f ca="1"/>
        <v>22.31</v>
      </c>
      <c r="W112" vm="18355">
        <f ca="1"/>
        <v>22.67</v>
      </c>
      <c r="X112" vm="13349">
        <f ca="1"/>
        <v>22.57</v>
      </c>
      <c r="Y112" vm="13258">
        <f ca="1"/>
        <v>22.47</v>
      </c>
      <c r="Z112" vm="13265">
        <f ca="1"/>
        <v>22.36</v>
      </c>
      <c r="AA112" vm="13345">
        <f ca="1"/>
        <v>22.34</v>
      </c>
      <c r="AB112" vm="2751">
        <f ca="1"/>
        <v>22.26</v>
      </c>
      <c r="AC112" vm="18278">
        <f ca="1"/>
        <v>22.27</v>
      </c>
      <c r="AD112" vm="16719">
        <f ca="1"/>
        <v>21.93</v>
      </c>
      <c r="AE112" vm="13249">
        <f ca="1"/>
        <v>21.95</v>
      </c>
      <c r="AF112" vm="18306">
        <f ca="1"/>
        <v>21.99</v>
      </c>
      <c r="AG112" vm="52">
        <f ca="1"/>
        <v>22.01</v>
      </c>
      <c r="AH112" vm="13268">
        <f ca="1"/>
        <v>21.97</v>
      </c>
      <c r="AI112" vm="18308">
        <f ca="1"/>
        <v>22.14</v>
      </c>
      <c r="AJ112" vm="13332">
        <f ca="1"/>
        <v>22.2</v>
      </c>
      <c r="AK112" vm="2292">
        <f ca="1"/>
        <v>22.06</v>
      </c>
      <c r="AL112" vm="18280">
        <f ca="1"/>
        <v>22.07</v>
      </c>
      <c r="AM112" vm="2439">
        <f ca="1"/>
        <v>22.08</v>
      </c>
      <c r="AN112" vm="13239">
        <f ca="1"/>
        <v>22.4</v>
      </c>
      <c r="AO112" vm="13349">
        <f ca="1"/>
        <v>22.57</v>
      </c>
      <c r="AP112" vm="18327">
        <f ca="1"/>
        <v>22.32</v>
      </c>
      <c r="AQ112" vm="2290">
        <f ca="1"/>
        <v>22.43</v>
      </c>
      <c r="AR112" vm="16360">
        <f ca="1"/>
        <v>22.44</v>
      </c>
      <c r="AS112" vm="17279">
        <f ca="1"/>
        <v>22.77</v>
      </c>
      <c r="AT112" vm="3121">
        <f ca="1"/>
        <v>22.95</v>
      </c>
      <c r="AU112" vm="18336">
        <f ca="1"/>
        <v>22.98</v>
      </c>
      <c r="AV112" vm="17822">
        <f ca="1"/>
        <v>22.66</v>
      </c>
      <c r="AW112" vm="2470">
        <f ca="1"/>
        <v>22.58</v>
      </c>
      <c r="AX112" vm="2298">
        <f ca="1"/>
        <v>22.33</v>
      </c>
      <c r="AY112" vm="18308">
        <f ca="1"/>
        <v>22.14</v>
      </c>
      <c r="AZ112" vm="18328">
        <f ca="1"/>
        <v>22.17</v>
      </c>
      <c r="BA112" vm="18356">
        <f ca="1"/>
        <v>22</v>
      </c>
      <c r="BB112" vm="16749">
        <f ca="1"/>
        <v>21.86</v>
      </c>
      <c r="BC112" vm="16719">
        <f ca="1"/>
        <v>21.93</v>
      </c>
      <c r="BD112" vm="2756">
        <f ca="1"/>
        <v>21.87</v>
      </c>
      <c r="BE112" vm="13269">
        <f ca="1"/>
        <v>21.76</v>
      </c>
      <c r="BF112" vm="13249">
        <f ca="1"/>
        <v>21.95</v>
      </c>
      <c r="BG112" vm="16720">
        <f ca="1"/>
        <v>21.81</v>
      </c>
      <c r="BH112" vm="16719">
        <f ca="1"/>
        <v>21.93</v>
      </c>
      <c r="BI112" vm="16719">
        <f ca="1"/>
        <v>21.93</v>
      </c>
      <c r="BJ112" vm="13333">
        <f ca="1"/>
        <v>21.85</v>
      </c>
      <c r="BK112" vm="13268">
        <f ca="1"/>
        <v>21.97</v>
      </c>
      <c r="BL112" vm="3129">
        <f ca="1"/>
        <v>22.12</v>
      </c>
      <c r="BM112" vm="18280">
        <f ca="1"/>
        <v>22.07</v>
      </c>
      <c r="BN112" vm="2289">
        <f ca="1"/>
        <v>22.21</v>
      </c>
      <c r="BO112" vm="18274">
        <f ca="1"/>
        <v>22.25</v>
      </c>
      <c r="BP112" vm="3129">
        <f ca="1"/>
        <v>22.12</v>
      </c>
      <c r="BQ112" vm="13332">
        <f ca="1"/>
        <v>22.2</v>
      </c>
      <c r="BR112" vm="2293">
        <f ca="1"/>
        <v>22.23</v>
      </c>
      <c r="BS112" vm="13332">
        <f ca="1"/>
        <v>22.2</v>
      </c>
      <c r="BT112" vm="2751">
        <f ca="1"/>
        <v>22.26</v>
      </c>
      <c r="BU112" vm="18279">
        <f ca="1"/>
        <v>22.19</v>
      </c>
      <c r="BV112" vm="13257">
        <f ca="1"/>
        <v>22.5</v>
      </c>
      <c r="BW112" vm="3123">
        <f ca="1"/>
        <v>22.51</v>
      </c>
      <c r="BX112" vm="17819">
        <f ca="1"/>
        <v>22.65</v>
      </c>
      <c r="BY112" vm="2285">
        <f ca="1"/>
        <v>21.74</v>
      </c>
      <c r="BZ112" vm="2441">
        <f ca="1"/>
        <v>20.95</v>
      </c>
      <c r="CA112" vm="16733">
        <f ca="1"/>
        <v>20.62</v>
      </c>
      <c r="CB112" vm="18357">
        <f ca="1"/>
        <v>20.16</v>
      </c>
      <c r="CC112" vm="2134">
        <f ca="1"/>
        <v>20.89</v>
      </c>
      <c r="CD112" vm="16732">
        <f ca="1"/>
        <v>20.63</v>
      </c>
      <c r="CE112" vm="13327">
        <f ca="1"/>
        <v>20.93</v>
      </c>
      <c r="CF112" vm="16703">
        <f ca="1"/>
        <v>20.94</v>
      </c>
      <c r="CG112" vm="2134">
        <f ca="1"/>
        <v>20.89</v>
      </c>
      <c r="CH112" vm="13334">
        <f ca="1"/>
        <v>21.15</v>
      </c>
      <c r="CI112" vm="13328">
        <f ca="1"/>
        <v>21.37</v>
      </c>
      <c r="CJ112" vm="13325">
        <f ca="1"/>
        <v>21.19</v>
      </c>
      <c r="CK112" vm="16739">
        <f ca="1"/>
        <v>21.29</v>
      </c>
      <c r="CL112" vm="16707">
        <f ca="1"/>
        <v>21.13</v>
      </c>
      <c r="CM112" vm="3131">
        <f ca="1"/>
        <v>21.32</v>
      </c>
      <c r="CN112" vm="16741">
        <f ca="1"/>
        <v>21.35</v>
      </c>
      <c r="CO112" vm="2121">
        <f ca="1"/>
        <v>21.23</v>
      </c>
      <c r="CP112" vm="2442">
        <f ca="1"/>
        <v>20.96</v>
      </c>
      <c r="CQ112" vm="17734">
        <f ca="1"/>
        <v>20.57</v>
      </c>
      <c r="CR112" vm="2449">
        <f ca="1"/>
        <v>20.67</v>
      </c>
      <c r="CS112" vm="13293">
        <f ca="1"/>
        <v>20.76</v>
      </c>
      <c r="CT112" vm="13322">
        <f ca="1"/>
        <v>20.64</v>
      </c>
      <c r="CU112" vm="2441">
        <f ca="1"/>
        <v>20.95</v>
      </c>
      <c r="CV112" vm="13291">
        <f ca="1"/>
        <v>20.69</v>
      </c>
      <c r="CW112" vm="2442">
        <f ca="1"/>
        <v>20.96</v>
      </c>
      <c r="CX112" vm="16704">
        <f ca="1"/>
        <v>21.12</v>
      </c>
      <c r="CY112" vm="18358">
        <f ca="1"/>
        <v>21.26</v>
      </c>
      <c r="CZ112" vm="16359">
        <f ca="1"/>
        <v>21.59</v>
      </c>
      <c r="DA112" vm="16708">
        <f ca="1"/>
        <v>21.48</v>
      </c>
      <c r="DB112" vm="16723">
        <f ca="1"/>
        <v>21.27</v>
      </c>
      <c r="DC112" vm="13325">
        <f ca="1"/>
        <v>21.19</v>
      </c>
      <c r="DD112" vm="13317">
        <f ca="1"/>
        <v>21.16</v>
      </c>
      <c r="DE112" vm="2281">
        <f ca="1"/>
        <v>21.43</v>
      </c>
      <c r="DF112" vm="2283">
        <f ca="1"/>
        <v>21.4</v>
      </c>
      <c r="DG112" vm="16739">
        <f ca="1"/>
        <v>21.29</v>
      </c>
      <c r="DH112" vm="3119">
        <f ca="1"/>
        <v>21.41</v>
      </c>
      <c r="DI112" vm="2129">
        <f ca="1"/>
        <v>21.22</v>
      </c>
      <c r="DJ112" vm="13334">
        <f ca="1"/>
        <v>21.15</v>
      </c>
      <c r="DK112" vm="18284">
        <f ca="1"/>
        <v>21.04</v>
      </c>
      <c r="DL112" vm="16722">
        <f ca="1"/>
        <v>20.88</v>
      </c>
      <c r="DM112" vm="3131">
        <f ca="1"/>
        <v>21.32</v>
      </c>
      <c r="DN112" vm="2284">
        <f ca="1"/>
        <v>21.46</v>
      </c>
      <c r="DO112" vm="16740">
        <f ca="1"/>
        <v>21.38</v>
      </c>
      <c r="DP112" vm="16708">
        <f ca="1"/>
        <v>21.48</v>
      </c>
      <c r="DQ112" vm="13339">
        <f ca="1"/>
        <v>21.65</v>
      </c>
      <c r="DR112" vm="16721">
        <f ca="1"/>
        <v>21.67</v>
      </c>
      <c r="DS112" vm="16715">
        <f ca="1"/>
        <v>21.62</v>
      </c>
      <c r="DT112" vm="13268">
        <f ca="1"/>
        <v>21.97</v>
      </c>
      <c r="DU112" vm="13268">
        <f ca="1"/>
        <v>21.97</v>
      </c>
      <c r="DV112" vm="17819">
        <f ca="1"/>
        <v>22.65</v>
      </c>
      <c r="DW112" vm="18349">
        <f ca="1"/>
        <v>22.6</v>
      </c>
      <c r="DX112" vm="17817">
        <f ca="1"/>
        <v>23.08</v>
      </c>
      <c r="DY112" vm="18334">
        <f ca="1"/>
        <v>23.14</v>
      </c>
      <c r="DZ112" vm="18359">
        <f ca="1"/>
        <v>23.26</v>
      </c>
      <c r="EA112" vm="13239">
        <f ca="1"/>
        <v>22.4</v>
      </c>
      <c r="EB112" vm="16749">
        <f ca="1"/>
        <v>21.86</v>
      </c>
      <c r="EC112" vm="13330">
        <f ca="1"/>
        <v>21.83</v>
      </c>
      <c r="ED112" vm="2755">
        <f ca="1"/>
        <v>21.91</v>
      </c>
      <c r="EE112" vm="17737">
        <f ca="1"/>
        <v>21.8</v>
      </c>
      <c r="EF112" vm="16720">
        <f ca="1"/>
        <v>21.81</v>
      </c>
      <c r="EG112" vm="16719">
        <f ca="1"/>
        <v>21.93</v>
      </c>
      <c r="EH112" vm="2438">
        <f ca="1"/>
        <v>22.29</v>
      </c>
      <c r="EI112" vm="3130">
        <f ca="1"/>
        <v>22.28</v>
      </c>
      <c r="EJ112" vm="2751">
        <f ca="1"/>
        <v>22.26</v>
      </c>
      <c r="EK112" vm="2298">
        <f ca="1"/>
        <v>22.33</v>
      </c>
      <c r="EL112" vm="2438">
        <f ca="1"/>
        <v>22.29</v>
      </c>
      <c r="EM112" vm="2296">
        <f ca="1"/>
        <v>22.22</v>
      </c>
      <c r="EN112" vm="3123">
        <f ca="1"/>
        <v>22.51</v>
      </c>
      <c r="EO112" vm="18327">
        <f ca="1"/>
        <v>22.32</v>
      </c>
      <c r="EP112" vm="3130">
        <f ca="1"/>
        <v>22.28</v>
      </c>
      <c r="EQ112" vm="18325">
        <f ca="1"/>
        <v>22.31</v>
      </c>
      <c r="ER112" vm="2294">
        <f ca="1"/>
        <v>22.49</v>
      </c>
      <c r="ES112" vm="2458">
        <f ca="1"/>
        <v>22.53</v>
      </c>
      <c r="ET112" vm="2437">
        <f ca="1"/>
        <v>22.48</v>
      </c>
      <c r="EU112" vm="16360">
        <f ca="1"/>
        <v>22.44</v>
      </c>
      <c r="EV112" vm="13240">
        <f ca="1"/>
        <v>22.38</v>
      </c>
      <c r="EW112" vm="13239">
        <f ca="1"/>
        <v>22.4</v>
      </c>
      <c r="EX112" vm="18328">
        <f ca="1"/>
        <v>22.17</v>
      </c>
      <c r="EY112" vm="13239">
        <f ca="1"/>
        <v>22.4</v>
      </c>
      <c r="EZ112" vm="2471">
        <f ca="1"/>
        <v>22.69</v>
      </c>
      <c r="FA112" vm="35">
        <f ca="1"/>
        <v>22.64</v>
      </c>
      <c r="FB112" vm="3120">
        <f ca="1"/>
        <v>22.45</v>
      </c>
      <c r="FC112" vm="17278">
        <f ca="1"/>
        <v>22.09</v>
      </c>
      <c r="FD112" vm="52">
        <f ca="1"/>
        <v>22.01</v>
      </c>
      <c r="FE112" vm="2753">
        <f ca="1"/>
        <v>21.82</v>
      </c>
      <c r="FF112" vm="16742">
        <f ca="1"/>
        <v>21.77</v>
      </c>
      <c r="FG112" vm="18316">
        <f ca="1"/>
        <v>21.84</v>
      </c>
      <c r="FH112" vm="18316">
        <f ca="1"/>
        <v>21.84</v>
      </c>
      <c r="FI112" vm="2756">
        <f ca="1"/>
        <v>21.87</v>
      </c>
      <c r="FJ112" vm="16746">
        <f ca="1"/>
        <v>21.78</v>
      </c>
      <c r="FK112" vm="16701">
        <f ca="1"/>
        <v>21.75</v>
      </c>
      <c r="FL112" vm="18316">
        <f ca="1"/>
        <v>21.84</v>
      </c>
      <c r="FM112" vm="16742">
        <f ca="1"/>
        <v>21.77</v>
      </c>
      <c r="FN112" vm="17281">
        <f ca="1"/>
        <v>21.79</v>
      </c>
      <c r="FO112" vm="16715">
        <f ca="1"/>
        <v>21.62</v>
      </c>
      <c r="FP112" vm="16749">
        <f ca="1"/>
        <v>21.86</v>
      </c>
      <c r="FQ112" vm="18306">
        <f ca="1"/>
        <v>21.99</v>
      </c>
      <c r="FR112" vm="2439">
        <f ca="1"/>
        <v>22.08</v>
      </c>
      <c r="FS112" vm="18279">
        <f ca="1"/>
        <v>22.19</v>
      </c>
      <c r="FT112" vm="2757">
        <f ca="1"/>
        <v>22.02</v>
      </c>
      <c r="FU112" vm="18276">
        <f ca="1"/>
        <v>22.04</v>
      </c>
      <c r="FV112" vm="2295">
        <f ca="1"/>
        <v>22.18</v>
      </c>
      <c r="FW112" vm="2289">
        <f ca="1"/>
        <v>22.21</v>
      </c>
      <c r="FX112" vm="13349">
        <f ca="1"/>
        <v>22.57</v>
      </c>
      <c r="FY112" vm="13343">
        <f ca="1"/>
        <v>22.37</v>
      </c>
      <c r="FZ112" vm="2289">
        <f ca="1"/>
        <v>22.21</v>
      </c>
      <c r="GA112" vm="18332">
        <f ca="1"/>
        <v>22.03</v>
      </c>
      <c r="GB112" vm="2295">
        <f ca="1"/>
        <v>22.18</v>
      </c>
      <c r="GC112" vm="2288">
        <f ca="1"/>
        <v>22.24</v>
      </c>
      <c r="GD112" vm="2299">
        <f ca="1"/>
        <v>22.39</v>
      </c>
      <c r="GE112" vm="2296">
        <f ca="1"/>
        <v>22.22</v>
      </c>
      <c r="GF112" vm="13259">
        <f ca="1"/>
        <v>22.35</v>
      </c>
      <c r="GG112" vm="13264">
        <f ca="1"/>
        <v>22.55</v>
      </c>
      <c r="GH112" vm="2434">
        <f ca="1"/>
        <v>22.78</v>
      </c>
      <c r="GI112" vm="18360">
        <f ca="1"/>
        <v>22.54</v>
      </c>
      <c r="GJ112" vm="16360">
        <f ca="1"/>
        <v>22.44</v>
      </c>
      <c r="GK112" vm="2751">
        <f ca="1"/>
        <v>22.26</v>
      </c>
      <c r="GL112" vm="2751">
        <f ca="1"/>
        <v>22.26</v>
      </c>
      <c r="GM112" vm="2294">
        <f ca="1"/>
        <v>22.49</v>
      </c>
      <c r="GN112" vm="35">
        <f ca="1"/>
        <v>22.64</v>
      </c>
      <c r="GO112" vm="13254">
        <f ca="1"/>
        <v>22.8</v>
      </c>
      <c r="GP112" vm="2469">
        <f ca="1"/>
        <v>22.81</v>
      </c>
      <c r="GQ112" vm="16357">
        <f ca="1"/>
        <v>22.62</v>
      </c>
      <c r="GR112" vm="2458">
        <f ca="1"/>
        <v>22.53</v>
      </c>
      <c r="GS112" vm="2294">
        <f ca="1"/>
        <v>22.49</v>
      </c>
      <c r="GT112" vm="13345">
        <f ca="1"/>
        <v>22.34</v>
      </c>
      <c r="GU112" vm="13256">
        <f ca="1"/>
        <v>22.41</v>
      </c>
      <c r="GV112" vm="35">
        <f ca="1"/>
        <v>22.64</v>
      </c>
      <c r="GW112" vm="2433">
        <f ca="1"/>
        <v>22.73</v>
      </c>
      <c r="GX112" vm="2459">
        <f ca="1"/>
        <v>22.76</v>
      </c>
      <c r="GY112" vm="13264">
        <f ca="1"/>
        <v>22.55</v>
      </c>
      <c r="GZ112" vm="18280">
        <f ca="1"/>
        <v>22.07</v>
      </c>
      <c r="HA112" vm="13259">
        <f ca="1"/>
        <v>22.35</v>
      </c>
      <c r="HB112" vm="18350">
        <f ca="1"/>
        <v>22.1</v>
      </c>
      <c r="HC112" vm="2295">
        <f ca="1"/>
        <v>22.18</v>
      </c>
      <c r="HD112" vm="18308">
        <f ca="1"/>
        <v>22.14</v>
      </c>
      <c r="HE112" vm="3129">
        <f ca="1"/>
        <v>22.12</v>
      </c>
      <c r="HF112" vm="13345">
        <f ca="1"/>
        <v>22.34</v>
      </c>
      <c r="HG112" vm="18275">
        <f ca="1"/>
        <v>22.11</v>
      </c>
      <c r="HH112" vm="2291">
        <f ca="1"/>
        <v>22.46</v>
      </c>
      <c r="HI112" vm="17820">
        <f ca="1"/>
        <v>22.84</v>
      </c>
      <c r="HJ112" vm="56">
        <f ca="1"/>
        <v>22.85</v>
      </c>
      <c r="HK112" vm="13254">
        <f ca="1"/>
        <v>22.8</v>
      </c>
      <c r="HL112" vm="18361">
        <f ca="1"/>
        <v>22.59</v>
      </c>
      <c r="HM112" vm="17821">
        <f ca="1"/>
        <v>22.71</v>
      </c>
      <c r="HN112" vm="13354">
        <f ca="1"/>
        <v>22.72</v>
      </c>
      <c r="HO112" vm="13340">
        <f ca="1"/>
        <v>22.88</v>
      </c>
      <c r="HP112" vm="13357">
        <f ca="1"/>
        <v>23.05</v>
      </c>
      <c r="HQ112" vm="18362">
        <f ca="1"/>
        <v>22.89</v>
      </c>
      <c r="HR112" vm="2435">
        <f ca="1"/>
        <v>22.82</v>
      </c>
      <c r="HS112" vm="56">
        <f ca="1"/>
        <v>22.85</v>
      </c>
      <c r="HT112" vm="2456">
        <f ca="1"/>
        <v>22.9</v>
      </c>
      <c r="HU112" vm="3290">
        <f ca="1"/>
        <v>23.15</v>
      </c>
      <c r="HV112" vm="2430">
        <f ca="1"/>
        <v>23.3</v>
      </c>
      <c r="HW112" vm="2465">
        <f ca="1"/>
        <v>23.04</v>
      </c>
      <c r="HX112" vm="2468">
        <f ca="1"/>
        <v>22.92</v>
      </c>
      <c r="HY112" vm="13253">
        <f ca="1"/>
        <v>22.97</v>
      </c>
      <c r="HZ112" vm="13356">
        <f ca="1"/>
        <v>22.94</v>
      </c>
      <c r="IA112" vm="2462">
        <f ca="1"/>
        <v>23.13</v>
      </c>
      <c r="IB112" vm="2456">
        <f ca="1"/>
        <v>22.9</v>
      </c>
      <c r="IC112" vm="2457">
        <f ca="1"/>
        <v>22.68</v>
      </c>
      <c r="ID112" vm="2458">
        <f ca="1"/>
        <v>22.53</v>
      </c>
      <c r="IE112" vm="35">
        <f ca="1"/>
        <v>22.64</v>
      </c>
      <c r="IF112" vm="2436">
        <f ca="1"/>
        <v>22.52</v>
      </c>
      <c r="IG112" vm="2459">
        <f ca="1"/>
        <v>22.76</v>
      </c>
      <c r="IH112" vm="2460">
        <f ca="1"/>
        <v>23.06</v>
      </c>
      <c r="II112" vm="2461">
        <f ca="1"/>
        <v>23.12</v>
      </c>
      <c r="IJ112" vm="146">
        <f ca="1"/>
        <v>23.02</v>
      </c>
      <c r="IK112" vm="2462">
        <f ca="1"/>
        <v>23.13</v>
      </c>
      <c r="IL112" vm="2463">
        <f ca="1"/>
        <v>23.19</v>
      </c>
      <c r="IM112" vm="2464">
        <f ca="1"/>
        <v>23.33</v>
      </c>
      <c r="IN112" vm="2465">
        <f ca="1"/>
        <v>23.04</v>
      </c>
      <c r="IO112" vm="2466">
        <f ca="1"/>
        <v>22.99</v>
      </c>
      <c r="IP112" vm="2462">
        <f ca="1"/>
        <v>23.13</v>
      </c>
      <c r="IQ112" vm="2467">
        <f ca="1"/>
        <v>23.11</v>
      </c>
      <c r="IR112" vm="2468">
        <f ca="1"/>
        <v>22.92</v>
      </c>
      <c r="IS112" vm="2469">
        <f ca="1"/>
        <v>22.81</v>
      </c>
      <c r="IT112" vm="2470">
        <f ca="1"/>
        <v>22.58</v>
      </c>
      <c r="IU112" vm="56">
        <f ca="1"/>
        <v>22.85</v>
      </c>
      <c r="IV112" vm="2471">
        <f ca="1"/>
        <v>22.69</v>
      </c>
      <c r="IW112" vm="56">
        <f ca="1"/>
        <v>22.85</v>
      </c>
    </row>
    <row r="113" spans="1:262" ht="16" x14ac:dyDescent="0.2">
      <c r="A113" t="e" vm="2472">
        <v>#VALUE!</v>
      </c>
      <c r="B113" s="23" t="str" cm="1">
        <f t="array" aca="1" ref="B113" ca="1">_FV(A113,"ticker symbol",TRUE)</f>
        <v>IEMG</v>
      </c>
      <c r="C113" s="23" t="str" cm="1">
        <f t="array" aca="1" ref="C113" ca="1">_FV(A113,"Name")</f>
        <v>iShares:Core MSCI EmMkts</v>
      </c>
      <c r="D113" cm="1" vm="481">
        <f t="array" aca="1" ref="D113:IW113" ca="1">TRANSPOSE(_xlfn.STOCKHISTORY(B113, WORKDAY(TODAY(), -265), TODAY(), 0, 0, 1))</f>
        <v>54.87</v>
      </c>
      <c r="E113" vm="2775">
        <f ca="1"/>
        <v>53.51</v>
      </c>
      <c r="F113" vm="11857">
        <f ca="1"/>
        <v>52.27</v>
      </c>
      <c r="G113" vm="3110">
        <f ca="1"/>
        <v>52.51</v>
      </c>
      <c r="H113" vm="6314">
        <f ca="1"/>
        <v>52.68</v>
      </c>
      <c r="I113" vm="2650">
        <f ca="1"/>
        <v>52.98</v>
      </c>
      <c r="J113" vm="2191">
        <f ca="1"/>
        <v>53.13</v>
      </c>
      <c r="K113" vm="472">
        <f ca="1"/>
        <v>52.95</v>
      </c>
      <c r="L113" vm="3109">
        <f ca="1"/>
        <v>52.74</v>
      </c>
      <c r="M113" vm="2923">
        <f ca="1"/>
        <v>52.31</v>
      </c>
      <c r="N113" vm="18363">
        <f ca="1"/>
        <v>52.22</v>
      </c>
      <c r="O113" vm="15727">
        <f ca="1"/>
        <v>52.13</v>
      </c>
      <c r="P113" vm="2651">
        <f ca="1"/>
        <v>52.6</v>
      </c>
      <c r="Q113" vm="11861">
        <f ca="1"/>
        <v>52.75</v>
      </c>
      <c r="R113" vm="6320">
        <f ca="1"/>
        <v>52.39</v>
      </c>
      <c r="S113" vm="9258">
        <f ca="1"/>
        <v>52.12</v>
      </c>
      <c r="T113" vm="2765">
        <f ca="1"/>
        <v>51.19</v>
      </c>
      <c r="U113" vm="11331">
        <f ca="1"/>
        <v>50.83</v>
      </c>
      <c r="V113" vm="9690">
        <f ca="1"/>
        <v>51.38</v>
      </c>
      <c r="W113" vm="6319">
        <f ca="1"/>
        <v>52.01</v>
      </c>
      <c r="X113" vm="11341">
        <f ca="1"/>
        <v>51.98</v>
      </c>
      <c r="Y113" vm="14054">
        <f ca="1"/>
        <v>52.38</v>
      </c>
      <c r="Z113" vm="3306">
        <f ca="1"/>
        <v>52.92</v>
      </c>
      <c r="AA113" vm="2767">
        <f ca="1"/>
        <v>52.93</v>
      </c>
      <c r="AB113" vm="2191">
        <f ca="1"/>
        <v>53.13</v>
      </c>
      <c r="AC113" vm="6347">
        <f ca="1"/>
        <v>53.35</v>
      </c>
      <c r="AD113" vm="6320">
        <f ca="1"/>
        <v>52.39</v>
      </c>
      <c r="AE113" vm="6356">
        <f ca="1"/>
        <v>52.78</v>
      </c>
      <c r="AF113" vm="148">
        <f ca="1"/>
        <v>52.8</v>
      </c>
      <c r="AG113" vm="14195">
        <f ca="1"/>
        <v>53.63</v>
      </c>
      <c r="AH113" vm="3301">
        <f ca="1"/>
        <v>52.99</v>
      </c>
      <c r="AI113" vm="9691">
        <f ca="1"/>
        <v>52.67</v>
      </c>
      <c r="AJ113" vm="6339">
        <f ca="1"/>
        <v>53.56</v>
      </c>
      <c r="AK113" vm="105">
        <f ca="1"/>
        <v>53.45</v>
      </c>
      <c r="AL113" vm="18364">
        <f ca="1"/>
        <v>53.69</v>
      </c>
      <c r="AM113" vm="18365">
        <f ca="1"/>
        <v>53.64</v>
      </c>
      <c r="AN113" vm="10292">
        <f ca="1"/>
        <v>54.22</v>
      </c>
      <c r="AO113" vm="3341">
        <f ca="1"/>
        <v>53.97</v>
      </c>
      <c r="AP113" vm="15803">
        <f ca="1"/>
        <v>54.26</v>
      </c>
      <c r="AQ113" vm="15802">
        <f ca="1"/>
        <v>54.57</v>
      </c>
      <c r="AR113" vm="15733">
        <f ca="1"/>
        <v>54.94</v>
      </c>
      <c r="AS113" vm="18366">
        <f ca="1"/>
        <v>55.3</v>
      </c>
      <c r="AT113" vm="11875">
        <f ca="1"/>
        <v>55.19</v>
      </c>
      <c r="AU113" vm="14029">
        <f ca="1"/>
        <v>55.72</v>
      </c>
      <c r="AV113" vm="1637">
        <f ca="1"/>
        <v>55.52</v>
      </c>
      <c r="AW113" vm="952">
        <f ca="1"/>
        <v>54.73</v>
      </c>
      <c r="AX113" vm="11018">
        <f ca="1"/>
        <v>54.76</v>
      </c>
      <c r="AY113" vm="945">
        <f ca="1"/>
        <v>55.24</v>
      </c>
      <c r="AZ113" vm="18367">
        <f ca="1"/>
        <v>54.15</v>
      </c>
      <c r="BA113" vm="6321">
        <f ca="1"/>
        <v>53.44</v>
      </c>
      <c r="BB113" vm="3302">
        <f ca="1"/>
        <v>53.01</v>
      </c>
      <c r="BC113" vm="18368">
        <f ca="1"/>
        <v>53.4</v>
      </c>
      <c r="BD113" vm="483">
        <f ca="1"/>
        <v>54.99</v>
      </c>
      <c r="BE113" vm="11019">
        <f ca="1"/>
        <v>54.65</v>
      </c>
      <c r="BF113" vm="18369">
        <f ca="1"/>
        <v>54.89</v>
      </c>
      <c r="BG113" vm="18365">
        <f ca="1"/>
        <v>53.64</v>
      </c>
      <c r="BH113" vm="2927">
        <f ca="1"/>
        <v>54.01</v>
      </c>
      <c r="BI113" vm="10068">
        <f ca="1"/>
        <v>54.31</v>
      </c>
      <c r="BJ113" vm="1633">
        <f ca="1"/>
        <v>54.05</v>
      </c>
      <c r="BK113" vm="18370">
        <f ca="1"/>
        <v>55.03</v>
      </c>
      <c r="BL113" vm="18371">
        <f ca="1"/>
        <v>55.94</v>
      </c>
      <c r="BM113" vm="940">
        <f ca="1"/>
        <v>55.69</v>
      </c>
      <c r="BN113" vm="1225">
        <f ca="1"/>
        <v>55.76</v>
      </c>
      <c r="BO113" vm="9693">
        <f ca="1"/>
        <v>55.27</v>
      </c>
      <c r="BP113" vm="18372">
        <f ca="1"/>
        <v>55.08</v>
      </c>
      <c r="BQ113" vm="9687">
        <f ca="1"/>
        <v>55.25</v>
      </c>
      <c r="BR113" vm="18373">
        <f ca="1"/>
        <v>55.16</v>
      </c>
      <c r="BS113" vm="8691">
        <f ca="1"/>
        <v>54.83</v>
      </c>
      <c r="BT113" vm="18374">
        <f ca="1"/>
        <v>55.07</v>
      </c>
      <c r="BU113" vm="1530">
        <f ca="1"/>
        <v>54.09</v>
      </c>
      <c r="BV113" vm="3341">
        <f ca="1"/>
        <v>53.97</v>
      </c>
      <c r="BW113" vm="87">
        <f ca="1"/>
        <v>54.21</v>
      </c>
      <c r="BX113" vm="13405">
        <f ca="1"/>
        <v>54.27</v>
      </c>
      <c r="BY113" vm="6337">
        <f ca="1"/>
        <v>53.16</v>
      </c>
      <c r="BZ113" vm="11349">
        <f ca="1"/>
        <v>50.26</v>
      </c>
      <c r="CA113" vm="9995">
        <f ca="1"/>
        <v>48.48</v>
      </c>
      <c r="CB113" vm="9994">
        <f ca="1"/>
        <v>47.74</v>
      </c>
      <c r="CC113" vm="14144">
        <f ca="1"/>
        <v>51.04</v>
      </c>
      <c r="CD113" vm="1148">
        <f ca="1"/>
        <v>50.15</v>
      </c>
      <c r="CE113" vm="2917">
        <f ca="1"/>
        <v>51.66</v>
      </c>
      <c r="CF113" vm="2908">
        <f ca="1"/>
        <v>52.14</v>
      </c>
      <c r="CG113" vm="3113">
        <f ca="1"/>
        <v>52.1</v>
      </c>
      <c r="CH113" vm="11285">
        <f ca="1"/>
        <v>51.51</v>
      </c>
      <c r="CI113" vm="1625">
        <f ca="1"/>
        <v>51.97</v>
      </c>
      <c r="CJ113" vm="6324">
        <f ca="1"/>
        <v>51.95</v>
      </c>
      <c r="CK113" vm="6351">
        <f ca="1"/>
        <v>52.73</v>
      </c>
      <c r="CL113" vm="18375">
        <f ca="1"/>
        <v>53.27</v>
      </c>
      <c r="CM113" vm="2772">
        <f ca="1"/>
        <v>53.95</v>
      </c>
      <c r="CN113" vm="6342">
        <f ca="1"/>
        <v>53.76</v>
      </c>
      <c r="CO113" vm="3340">
        <f ca="1"/>
        <v>53.9</v>
      </c>
      <c r="CP113" vm="8685">
        <f ca="1"/>
        <v>54.1</v>
      </c>
      <c r="CQ113" vm="18376">
        <f ca="1"/>
        <v>54.17</v>
      </c>
      <c r="CR113" vm="3329">
        <f ca="1"/>
        <v>54.14</v>
      </c>
      <c r="CS113" vm="1228">
        <f ca="1"/>
        <v>55.71</v>
      </c>
      <c r="CT113" vm="18377">
        <f ca="1"/>
        <v>56.16</v>
      </c>
      <c r="CU113" vm="11888">
        <f ca="1"/>
        <v>55.88</v>
      </c>
      <c r="CV113" vm="945">
        <f ca="1"/>
        <v>55.24</v>
      </c>
      <c r="CW113" vm="2195">
        <f ca="1"/>
        <v>55.17</v>
      </c>
      <c r="CX113" vm="11876">
        <f ca="1"/>
        <v>55.53</v>
      </c>
      <c r="CY113" vm="11058">
        <f ca="1"/>
        <v>56.75</v>
      </c>
      <c r="CZ113" vm="11892">
        <f ca="1"/>
        <v>56.88</v>
      </c>
      <c r="DA113" vm="14063">
        <f ca="1"/>
        <v>57.29</v>
      </c>
      <c r="DB113" vm="14201">
        <f ca="1"/>
        <v>57.3</v>
      </c>
      <c r="DC113" vm="11909">
        <f ca="1"/>
        <v>57.31</v>
      </c>
      <c r="DD113" vm="18378">
        <f ca="1"/>
        <v>57.48</v>
      </c>
      <c r="DE113" vm="1216">
        <f ca="1"/>
        <v>57.42</v>
      </c>
      <c r="DF113" vm="18379">
        <f ca="1"/>
        <v>57.34</v>
      </c>
      <c r="DG113" vm="18380">
        <f ca="1"/>
        <v>57.19</v>
      </c>
      <c r="DH113" vm="11063">
        <f ca="1"/>
        <v>57.45</v>
      </c>
      <c r="DI113" vm="10091">
        <f ca="1"/>
        <v>57.38</v>
      </c>
      <c r="DJ113" vm="9677">
        <f ca="1"/>
        <v>57.12</v>
      </c>
      <c r="DK113" vm="1216">
        <f ca="1"/>
        <v>57.42</v>
      </c>
      <c r="DL113" vm="2949">
        <f ca="1"/>
        <v>56.69</v>
      </c>
      <c r="DM113" vm="11906">
        <f ca="1"/>
        <v>57.16</v>
      </c>
      <c r="DN113" vm="2951">
        <f ca="1"/>
        <v>57.26</v>
      </c>
      <c r="DO113" vm="11077">
        <f ca="1"/>
        <v>57.97</v>
      </c>
      <c r="DP113" vm="11080">
        <f ca="1"/>
        <v>58.25</v>
      </c>
      <c r="DQ113" vm="2961">
        <f ca="1"/>
        <v>58.49</v>
      </c>
      <c r="DR113" vm="3013">
        <f ca="1"/>
        <v>58.92</v>
      </c>
      <c r="DS113" vm="18381">
        <f ca="1"/>
        <v>59.31</v>
      </c>
      <c r="DT113" vm="11095">
        <f ca="1"/>
        <v>59.61</v>
      </c>
      <c r="DU113" vm="9646">
        <f ca="1"/>
        <v>59.67</v>
      </c>
      <c r="DV113" vm="11894">
        <f ca="1"/>
        <v>58.71</v>
      </c>
      <c r="DW113" vm="3010">
        <f ca="1"/>
        <v>58.66</v>
      </c>
      <c r="DX113" vm="2956">
        <f ca="1"/>
        <v>57.91</v>
      </c>
      <c r="DY113" vm="2954">
        <f ca="1"/>
        <v>57.94</v>
      </c>
      <c r="DZ113" vm="11902">
        <f ca="1"/>
        <v>57.57</v>
      </c>
      <c r="EA113" vm="8681">
        <f ca="1"/>
        <v>58.05</v>
      </c>
      <c r="EB113" vm="13390">
        <f ca="1"/>
        <v>59.51</v>
      </c>
      <c r="EC113" vm="18382">
        <f ca="1"/>
        <v>59.55</v>
      </c>
      <c r="ED113" vm="9706">
        <f ca="1"/>
        <v>59.96</v>
      </c>
      <c r="EE113" vm="11085">
        <f ca="1"/>
        <v>59.75</v>
      </c>
      <c r="EF113" vm="2744">
        <f ca="1"/>
        <v>60.03</v>
      </c>
      <c r="EG113" vm="14090">
        <f ca="1"/>
        <v>60.09</v>
      </c>
      <c r="EH113" vm="1098">
        <f ca="1"/>
        <v>60.32</v>
      </c>
      <c r="EI113" vm="13393">
        <f ca="1"/>
        <v>60.62</v>
      </c>
      <c r="EJ113" vm="11085">
        <f ca="1"/>
        <v>59.75</v>
      </c>
      <c r="EK113" vm="11096">
        <f ca="1"/>
        <v>60.08</v>
      </c>
      <c r="EL113" vm="11363">
        <f ca="1"/>
        <v>60.04</v>
      </c>
      <c r="EM113" vm="9705">
        <f ca="1"/>
        <v>60.23</v>
      </c>
      <c r="EN113" vm="11896">
        <f ca="1"/>
        <v>60.06</v>
      </c>
      <c r="EO113" vm="18383">
        <f ca="1"/>
        <v>60.17</v>
      </c>
      <c r="EP113" vm="10105">
        <f ca="1"/>
        <v>60.59</v>
      </c>
      <c r="EQ113" vm="15226">
        <f ca="1"/>
        <v>60.83</v>
      </c>
      <c r="ER113" vm="9715">
        <f ca="1"/>
        <v>61.18</v>
      </c>
      <c r="ES113" vm="14074">
        <f ca="1"/>
        <v>61.05</v>
      </c>
      <c r="ET113" vm="8700">
        <f ca="1"/>
        <v>61.42</v>
      </c>
      <c r="EU113" vm="17956">
        <f ca="1"/>
        <v>61.38</v>
      </c>
      <c r="EV113" vm="8643">
        <f ca="1"/>
        <v>62.03</v>
      </c>
      <c r="EW113" vm="11090">
        <f ca="1"/>
        <v>61.7</v>
      </c>
      <c r="EX113" vm="8646">
        <f ca="1"/>
        <v>61.5</v>
      </c>
      <c r="EY113" vm="13441">
        <f ca="1"/>
        <v>61.03</v>
      </c>
      <c r="EZ113" vm="8633">
        <f ca="1"/>
        <v>61.1</v>
      </c>
      <c r="FA113" vm="8635">
        <f ca="1"/>
        <v>60.68</v>
      </c>
      <c r="FB113" vm="13434">
        <f ca="1"/>
        <v>60.33</v>
      </c>
      <c r="FC113" vm="18384">
        <f ca="1"/>
        <v>59.9</v>
      </c>
      <c r="FD113" vm="1656">
        <f ca="1"/>
        <v>60.53</v>
      </c>
      <c r="FE113" vm="9669">
        <f ca="1"/>
        <v>60.74</v>
      </c>
      <c r="FF113" vm="11357">
        <f ca="1"/>
        <v>61</v>
      </c>
      <c r="FG113" vm="9641">
        <f ca="1"/>
        <v>61.49</v>
      </c>
      <c r="FH113" vm="18385">
        <f ca="1"/>
        <v>61.41</v>
      </c>
      <c r="FI113" vm="8855">
        <f ca="1"/>
        <v>61.27</v>
      </c>
      <c r="FJ113" vm="17901">
        <f ca="1"/>
        <v>62.05</v>
      </c>
      <c r="FK113" vm="1465">
        <f ca="1"/>
        <v>62.7</v>
      </c>
      <c r="FL113" vm="2538">
        <f ca="1"/>
        <v>61.97</v>
      </c>
      <c r="FM113" vm="18386">
        <f ca="1"/>
        <v>62.12</v>
      </c>
      <c r="FN113" vm="2726">
        <f ca="1"/>
        <v>62.5</v>
      </c>
      <c r="FO113" vm="18387">
        <f ca="1"/>
        <v>62</v>
      </c>
      <c r="FP113" vm="10097">
        <f ca="1"/>
        <v>61.86</v>
      </c>
      <c r="FQ113" vm="8703">
        <f ca="1"/>
        <v>61.76</v>
      </c>
      <c r="FR113" vm="13868">
        <f ca="1"/>
        <v>62.92</v>
      </c>
      <c r="FS113" vm="1597">
        <f ca="1"/>
        <v>62.59</v>
      </c>
      <c r="FT113" vm="2726">
        <f ca="1"/>
        <v>62.5</v>
      </c>
      <c r="FU113" vm="11373">
        <f ca="1"/>
        <v>62.15</v>
      </c>
      <c r="FV113" vm="18388">
        <f ca="1"/>
        <v>62.38</v>
      </c>
      <c r="FW113" vm="13104">
        <f ca="1"/>
        <v>62.09</v>
      </c>
      <c r="FX113" vm="8704">
        <f ca="1"/>
        <v>61.99</v>
      </c>
      <c r="FY113" vm="8627">
        <f ca="1"/>
        <v>62.24</v>
      </c>
      <c r="FZ113" vm="14132">
        <f ca="1"/>
        <v>62.04</v>
      </c>
      <c r="GA113" vm="17871">
        <f ca="1"/>
        <v>62.78</v>
      </c>
      <c r="GB113" vm="11398">
        <f ca="1"/>
        <v>63.34</v>
      </c>
      <c r="GC113" vm="14123">
        <f ca="1"/>
        <v>63.57</v>
      </c>
      <c r="GD113" vm="10275">
        <f ca="1"/>
        <v>64.02</v>
      </c>
      <c r="GE113" vm="1612">
        <f ca="1"/>
        <v>64.81</v>
      </c>
      <c r="GF113" vm="15662">
        <f ca="1"/>
        <v>64.790000000000006</v>
      </c>
      <c r="GG113" vm="15604">
        <f ca="1"/>
        <v>65.239999999999995</v>
      </c>
      <c r="GH113" vm="1158">
        <f ca="1"/>
        <v>65.73</v>
      </c>
      <c r="GI113" vm="11439">
        <f ca="1"/>
        <v>65.989999999999995</v>
      </c>
      <c r="GJ113" vm="18389">
        <f ca="1"/>
        <v>65.83</v>
      </c>
      <c r="GK113" vm="11407">
        <f ca="1"/>
        <v>65.680000000000007</v>
      </c>
      <c r="GL113" vm="8726">
        <f ca="1"/>
        <v>65.94</v>
      </c>
      <c r="GM113" vm="1156">
        <f ca="1"/>
        <v>65.97</v>
      </c>
      <c r="GN113" vm="2944">
        <f ca="1"/>
        <v>65.7</v>
      </c>
      <c r="GO113" vm="11420">
        <f ca="1"/>
        <v>65.38</v>
      </c>
      <c r="GP113" vm="18390">
        <f ca="1"/>
        <v>65.19</v>
      </c>
      <c r="GQ113" vm="2944">
        <f ca="1"/>
        <v>65.7</v>
      </c>
      <c r="GR113" vm="2740">
        <f ca="1"/>
        <v>65.92</v>
      </c>
      <c r="GS113" vm="8839">
        <f ca="1"/>
        <v>66.44</v>
      </c>
      <c r="GT113" vm="18391">
        <f ca="1"/>
        <v>66.75</v>
      </c>
      <c r="GU113" vm="2477">
        <f ca="1"/>
        <v>66.930000000000007</v>
      </c>
      <c r="GV113" vm="8737">
        <f ca="1"/>
        <v>67.209999999999994</v>
      </c>
      <c r="GW113" vm="15866">
        <f ca="1"/>
        <v>66.73</v>
      </c>
      <c r="GX113" vm="18392">
        <f ca="1"/>
        <v>67.23</v>
      </c>
      <c r="GY113" vm="15232">
        <f ca="1"/>
        <v>66.599999999999994</v>
      </c>
      <c r="GZ113" vm="11380">
        <f ca="1"/>
        <v>64.22</v>
      </c>
      <c r="HA113" vm="11401">
        <f ca="1"/>
        <v>66.08</v>
      </c>
      <c r="HB113" vm="15234">
        <f ca="1"/>
        <v>65.48</v>
      </c>
      <c r="HC113" vm="18393">
        <f ca="1"/>
        <v>66.58</v>
      </c>
      <c r="HD113" vm="18394">
        <f ca="1"/>
        <v>66.989999999999995</v>
      </c>
      <c r="HE113" vm="2937">
        <f ca="1"/>
        <v>66.92</v>
      </c>
      <c r="HF113" vm="18395">
        <f ca="1"/>
        <v>67.8</v>
      </c>
      <c r="HG113" vm="2480">
        <f ca="1"/>
        <v>67.069999999999993</v>
      </c>
      <c r="HH113" vm="8835">
        <f ca="1"/>
        <v>67.06</v>
      </c>
      <c r="HI113" vm="15230">
        <f ca="1"/>
        <v>67.61</v>
      </c>
      <c r="HJ113" vm="18396">
        <f ca="1"/>
        <v>68.040000000000006</v>
      </c>
      <c r="HK113" vm="15741">
        <f ca="1"/>
        <v>68.790000000000006</v>
      </c>
      <c r="HL113" vm="15200">
        <f ca="1"/>
        <v>68.77</v>
      </c>
      <c r="HM113" vm="9766">
        <f ca="1"/>
        <v>69.14</v>
      </c>
      <c r="HN113" vm="893">
        <f ca="1"/>
        <v>68.39</v>
      </c>
      <c r="HO113" vm="17464">
        <f ca="1"/>
        <v>68.27</v>
      </c>
      <c r="HP113" vm="15305">
        <f ca="1"/>
        <v>68.73</v>
      </c>
      <c r="HQ113" vm="1619">
        <f ca="1"/>
        <v>67.48</v>
      </c>
      <c r="HR113" vm="981">
        <f ca="1"/>
        <v>68.069999999999993</v>
      </c>
      <c r="HS113" vm="10162">
        <f ca="1"/>
        <v>67.53</v>
      </c>
      <c r="HT113" vm="1618">
        <f ca="1"/>
        <v>67.290000000000006</v>
      </c>
      <c r="HU113" vm="15219">
        <f ca="1"/>
        <v>68.45</v>
      </c>
      <c r="HV113" vm="15738">
        <f ca="1"/>
        <v>68.5</v>
      </c>
      <c r="HW113" vm="8755">
        <f ca="1"/>
        <v>68.53</v>
      </c>
      <c r="HX113" vm="15605">
        <f ca="1"/>
        <v>67.77</v>
      </c>
      <c r="HY113" vm="18397">
        <f ca="1"/>
        <v>67.87</v>
      </c>
      <c r="HZ113" vm="2480">
        <f ca="1"/>
        <v>67.069999999999993</v>
      </c>
      <c r="IA113" vm="18398">
        <f ca="1"/>
        <v>66.7</v>
      </c>
      <c r="IB113" vm="2473">
        <f ca="1"/>
        <v>66.5</v>
      </c>
      <c r="IC113" vm="1159">
        <f ca="1"/>
        <v>65.64</v>
      </c>
      <c r="ID113" vm="2474">
        <f ca="1"/>
        <v>65.58</v>
      </c>
      <c r="IE113" vm="2475">
        <f ca="1"/>
        <v>66.25</v>
      </c>
      <c r="IF113" vm="2476">
        <f ca="1"/>
        <v>66.459999999999994</v>
      </c>
      <c r="IG113" vm="2477">
        <f ca="1"/>
        <v>66.930000000000007</v>
      </c>
      <c r="IH113" vm="2478">
        <f ca="1"/>
        <v>67.099999999999994</v>
      </c>
      <c r="II113" vm="2479">
        <f ca="1"/>
        <v>67.040000000000006</v>
      </c>
      <c r="IJ113" vm="2479">
        <f ca="1"/>
        <v>67.040000000000006</v>
      </c>
      <c r="IK113" vm="2478">
        <f ca="1"/>
        <v>67.099999999999994</v>
      </c>
      <c r="IL113" vm="2480">
        <f ca="1"/>
        <v>67.069999999999993</v>
      </c>
      <c r="IM113" vm="2481">
        <f ca="1"/>
        <v>67.430000000000007</v>
      </c>
      <c r="IN113" vm="2482">
        <f ca="1"/>
        <v>67.349999999999994</v>
      </c>
      <c r="IO113" vm="2483">
        <f ca="1"/>
        <v>67.28</v>
      </c>
      <c r="IP113" vm="2484">
        <f ca="1"/>
        <v>67.930000000000007</v>
      </c>
      <c r="IQ113" vm="2485">
        <f ca="1"/>
        <v>67.650000000000006</v>
      </c>
      <c r="IR113" vm="2486">
        <f ca="1"/>
        <v>66.89</v>
      </c>
      <c r="IS113" vm="2487">
        <f ca="1"/>
        <v>66.72</v>
      </c>
      <c r="IT113" vm="2488">
        <f ca="1"/>
        <v>65.150000000000006</v>
      </c>
      <c r="IU113" vm="1610">
        <f ca="1"/>
        <v>64.72</v>
      </c>
      <c r="IV113" vm="2489">
        <f ca="1"/>
        <v>65.400000000000006</v>
      </c>
      <c r="IW113" vm="58">
        <f ca="1"/>
        <v>66.09</v>
      </c>
    </row>
    <row r="114" spans="1:262" ht="16" x14ac:dyDescent="0.2">
      <c r="A114" t="e" vm="2490">
        <v>#VALUE!</v>
      </c>
      <c r="B114" s="23" t="str" cm="1">
        <f t="array" aca="1" ref="B114" ca="1">_FV(A114,"ticker symbol",TRUE)</f>
        <v>EUE</v>
      </c>
      <c r="C114" s="23" t="str" cm="1">
        <f t="array" aca="1" ref="C114" ca="1">_FV(A114,"Name")</f>
        <v>iShs Cr EUR STXX 50 ETFEURD</v>
      </c>
      <c r="D114" cm="1" vm="18399">
        <f t="array" aca="1" ref="D114:IY114" ca="1">TRANSPOSE(_xlfn.STOCKHISTORY(B114, WORKDAY(TODAY(), -265), TODAY(), 0, 0, 1))</f>
        <v>50.22</v>
      </c>
      <c r="E114" vm="18400">
        <f ca="1"/>
        <v>50.17</v>
      </c>
      <c r="F114" vm="18401">
        <f ca="1"/>
        <v>50.36</v>
      </c>
      <c r="G114" vm="18402">
        <f ca="1"/>
        <v>49.545000000000002</v>
      </c>
      <c r="H114" vm="18403">
        <f ca="1"/>
        <v>49.365000000000002</v>
      </c>
      <c r="I114" vm="18404">
        <f ca="1"/>
        <v>49.234999999999999</v>
      </c>
      <c r="J114" vm="18405">
        <f ca="1"/>
        <v>49.68</v>
      </c>
      <c r="K114" vm="18406">
        <f ca="1"/>
        <v>49.405000000000001</v>
      </c>
      <c r="L114" vm="18407">
        <f ca="1"/>
        <v>49.93</v>
      </c>
      <c r="M114" vm="18408">
        <f ca="1"/>
        <v>49.49</v>
      </c>
      <c r="N114" vm="18409">
        <f ca="1"/>
        <v>50.68</v>
      </c>
      <c r="O114" vm="18410">
        <f ca="1"/>
        <v>50.98</v>
      </c>
      <c r="P114" vm="18411">
        <f ca="1"/>
        <v>50.79</v>
      </c>
      <c r="Q114" vm="18412">
        <f ca="1"/>
        <v>51</v>
      </c>
      <c r="R114" vm="18413">
        <f ca="1"/>
        <v>50.59</v>
      </c>
      <c r="S114" vm="18414">
        <f ca="1"/>
        <v>50.34</v>
      </c>
      <c r="T114" vm="18415">
        <f ca="1"/>
        <v>50.6</v>
      </c>
      <c r="U114" vm="18416">
        <f ca="1"/>
        <v>51.21</v>
      </c>
      <c r="V114" vm="18417">
        <f ca="1"/>
        <v>51.94</v>
      </c>
      <c r="W114" vm="18418">
        <f ca="1"/>
        <v>52.37</v>
      </c>
      <c r="X114" vm="18419">
        <f ca="1"/>
        <v>52.56</v>
      </c>
      <c r="Y114" vm="18420">
        <f ca="1"/>
        <v>52.57</v>
      </c>
      <c r="Z114" vm="18421">
        <f ca="1"/>
        <v>52.97</v>
      </c>
      <c r="AA114" vm="18422">
        <f ca="1"/>
        <v>53.13</v>
      </c>
      <c r="AB114" vm="18423">
        <f ca="1"/>
        <v>53.08</v>
      </c>
      <c r="AC114" vm="18424">
        <f ca="1"/>
        <v>52.8</v>
      </c>
      <c r="AD114" vm="18425">
        <f ca="1"/>
        <v>52.89</v>
      </c>
      <c r="AE114" vm="18426">
        <f ca="1"/>
        <v>53.2</v>
      </c>
      <c r="AF114" vm="18427">
        <f ca="1"/>
        <v>53.77</v>
      </c>
      <c r="AG114" vm="18428">
        <f ca="1"/>
        <v>53.75</v>
      </c>
      <c r="AH114" vm="18429">
        <f ca="1"/>
        <v>53.03</v>
      </c>
      <c r="AI114" vm="18430">
        <f ca="1"/>
        <v>53.61</v>
      </c>
      <c r="AJ114" vm="18431">
        <f ca="1"/>
        <v>53.65</v>
      </c>
      <c r="AK114" vm="18432">
        <f ca="1"/>
        <v>54.52</v>
      </c>
      <c r="AL114" vm="18433">
        <f ca="1"/>
        <v>54.11</v>
      </c>
      <c r="AM114" vm="18434">
        <f ca="1"/>
        <v>54.6</v>
      </c>
      <c r="AN114" vm="18435">
        <f ca="1"/>
        <v>54.87</v>
      </c>
      <c r="AO114" vm="18436">
        <f ca="1"/>
        <v>55</v>
      </c>
      <c r="AP114" vm="18437">
        <f ca="1"/>
        <v>55.81</v>
      </c>
      <c r="AQ114" vm="18438">
        <f ca="1"/>
        <v>55.76</v>
      </c>
      <c r="AR114" vm="18439">
        <f ca="1"/>
        <v>56.09</v>
      </c>
      <c r="AS114" vm="18440">
        <f ca="1"/>
        <v>56.29</v>
      </c>
      <c r="AT114" vm="18441">
        <f ca="1"/>
        <v>55.46</v>
      </c>
      <c r="AU114" vm="18442">
        <f ca="1"/>
        <v>55.5</v>
      </c>
      <c r="AV114" vm="18443">
        <f ca="1"/>
        <v>55.56</v>
      </c>
      <c r="AW114" vm="18444">
        <f ca="1"/>
        <v>55.37</v>
      </c>
      <c r="AX114" vm="18445">
        <f ca="1"/>
        <v>55.3</v>
      </c>
      <c r="AY114" vm="18446">
        <f ca="1"/>
        <v>56.18</v>
      </c>
      <c r="AZ114" vm="18447">
        <f ca="1"/>
        <v>55.6</v>
      </c>
      <c r="BA114" vm="18448">
        <f ca="1"/>
        <v>55.52</v>
      </c>
      <c r="BB114" vm="18449">
        <f ca="1"/>
        <v>56.32</v>
      </c>
      <c r="BC114" vm="18450">
        <f ca="1"/>
        <v>54.73</v>
      </c>
      <c r="BD114" vm="18451">
        <f ca="1"/>
        <v>55.88</v>
      </c>
      <c r="BE114" vm="18452">
        <f ca="1"/>
        <v>56.08</v>
      </c>
      <c r="BF114" vm="18453">
        <f ca="1"/>
        <v>55.51</v>
      </c>
      <c r="BG114" vm="18454">
        <f ca="1"/>
        <v>54.68</v>
      </c>
      <c r="BH114" vm="18455">
        <f ca="1"/>
        <v>53.94</v>
      </c>
      <c r="BI114" vm="18456">
        <f ca="1"/>
        <v>54.46</v>
      </c>
      <c r="BJ114" vm="18457">
        <f ca="1"/>
        <v>54.13</v>
      </c>
      <c r="BK114" vm="18458">
        <f ca="1"/>
        <v>54.85</v>
      </c>
      <c r="BL114" vm="18445">
        <f ca="1"/>
        <v>55.3</v>
      </c>
      <c r="BM114" vm="18459">
        <f ca="1"/>
        <v>55.74</v>
      </c>
      <c r="BN114" vm="18460">
        <f ca="1"/>
        <v>55.98</v>
      </c>
      <c r="BO114" vm="18461">
        <f ca="1"/>
        <v>55.32</v>
      </c>
      <c r="BP114" vm="18462">
        <f ca="1"/>
        <v>55.18</v>
      </c>
      <c r="BQ114" vm="18463">
        <f ca="1"/>
        <v>55.05</v>
      </c>
      <c r="BR114" vm="18464">
        <f ca="1"/>
        <v>55.68</v>
      </c>
      <c r="BS114" vm="18465">
        <f ca="1"/>
        <v>55.01</v>
      </c>
      <c r="BT114" vm="18466">
        <f ca="1"/>
        <v>54.69</v>
      </c>
      <c r="BU114" vm="18467">
        <f ca="1"/>
        <v>54.2</v>
      </c>
      <c r="BV114" vm="18468">
        <f ca="1"/>
        <v>53.43</v>
      </c>
      <c r="BW114" vm="18457">
        <f ca="1"/>
        <v>54.13</v>
      </c>
      <c r="BX114" vm="18469">
        <f ca="1"/>
        <v>53.9</v>
      </c>
      <c r="BY114" vm="18470">
        <f ca="1"/>
        <v>52.02</v>
      </c>
      <c r="BZ114" vm="18471">
        <f ca="1"/>
        <v>49.645000000000003</v>
      </c>
      <c r="CA114" vm="18472">
        <f ca="1"/>
        <v>47.42</v>
      </c>
      <c r="CB114" vm="18473">
        <f ca="1"/>
        <v>48.575000000000003</v>
      </c>
      <c r="CC114" vm="18474">
        <f ca="1"/>
        <v>47.09</v>
      </c>
      <c r="CD114" vm="18475">
        <f ca="1"/>
        <v>49.18</v>
      </c>
      <c r="CE114" vm="18476">
        <f ca="1"/>
        <v>48.814999999999998</v>
      </c>
      <c r="CF114" vm="18477">
        <f ca="1"/>
        <v>49.96</v>
      </c>
      <c r="CG114" vm="18478">
        <f ca="1"/>
        <v>50.7</v>
      </c>
      <c r="CH114" vm="18479">
        <f ca="1"/>
        <v>50.58</v>
      </c>
      <c r="CI114" vm="18480">
        <f ca="1"/>
        <v>50.32</v>
      </c>
      <c r="CJ114" vm="18481">
        <f ca="1"/>
        <v>50.69</v>
      </c>
      <c r="CK114" vm="18482">
        <f ca="1"/>
        <v>52.03</v>
      </c>
      <c r="CL114" vm="18483">
        <f ca="1"/>
        <v>52.28</v>
      </c>
      <c r="CM114" vm="18484">
        <f ca="1"/>
        <v>52.73</v>
      </c>
      <c r="CN114" vm="18485">
        <f ca="1"/>
        <v>52.85</v>
      </c>
      <c r="CO114" vm="18486">
        <f ca="1"/>
        <v>52.83</v>
      </c>
      <c r="CP114" vm="18424">
        <f ca="1"/>
        <v>52.8</v>
      </c>
      <c r="CQ114" vm="18487">
        <f ca="1"/>
        <v>54.07</v>
      </c>
      <c r="CR114" vm="18488">
        <f ca="1"/>
        <v>54.27</v>
      </c>
      <c r="CS114" vm="18489">
        <f ca="1"/>
        <v>54.05</v>
      </c>
      <c r="CT114" vm="18490">
        <f ca="1"/>
        <v>53.76</v>
      </c>
      <c r="CU114" vm="18491">
        <f ca="1"/>
        <v>54.36</v>
      </c>
      <c r="CV114" vm="18492">
        <f ca="1"/>
        <v>54.63</v>
      </c>
      <c r="CW114" vm="18443">
        <f ca="1"/>
        <v>55.56</v>
      </c>
      <c r="CX114" vm="18493">
        <f ca="1"/>
        <v>55.85</v>
      </c>
      <c r="CY114" vm="18494">
        <f ca="1"/>
        <v>55.69</v>
      </c>
      <c r="CZ114" vm="18444">
        <f ca="1"/>
        <v>55.37</v>
      </c>
      <c r="DA114" vm="18453">
        <f ca="1"/>
        <v>55.51</v>
      </c>
      <c r="DB114" vm="18495">
        <f ca="1"/>
        <v>55.64</v>
      </c>
      <c r="DC114" vm="18496">
        <f ca="1"/>
        <v>55.99</v>
      </c>
      <c r="DD114" vm="18460">
        <f ca="1"/>
        <v>55.98</v>
      </c>
      <c r="DE114" vm="18497">
        <f ca="1"/>
        <v>55.67</v>
      </c>
      <c r="DF114" vm="18498">
        <f ca="1"/>
        <v>54.66</v>
      </c>
      <c r="DG114" vm="18499">
        <f ca="1"/>
        <v>55.39</v>
      </c>
      <c r="DH114" vm="18464">
        <f ca="1"/>
        <v>55.68</v>
      </c>
      <c r="DI114" vm="18500">
        <f ca="1"/>
        <v>55.26</v>
      </c>
      <c r="DJ114" vm="18501">
        <f ca="1"/>
        <v>55.24</v>
      </c>
      <c r="DK114" vm="18502">
        <f ca="1"/>
        <v>55.1</v>
      </c>
      <c r="DL114" vm="18463">
        <f ca="1"/>
        <v>55.05</v>
      </c>
      <c r="DM114" vm="18503">
        <f ca="1"/>
        <v>55.19</v>
      </c>
      <c r="DN114" vm="18453">
        <f ca="1"/>
        <v>55.51</v>
      </c>
      <c r="DO114" vm="18504">
        <f ca="1"/>
        <v>55.57</v>
      </c>
      <c r="DP114" vm="18438">
        <f ca="1"/>
        <v>55.76</v>
      </c>
      <c r="DQ114" vm="18505">
        <f ca="1"/>
        <v>55.7</v>
      </c>
      <c r="DR114" vm="18506">
        <f ca="1"/>
        <v>55.71</v>
      </c>
      <c r="DS114" vm="18441">
        <f ca="1"/>
        <v>55.46</v>
      </c>
      <c r="DT114" vm="18502">
        <f ca="1"/>
        <v>55.1</v>
      </c>
      <c r="DU114" vm="18507">
        <f ca="1"/>
        <v>54.34</v>
      </c>
      <c r="DV114" vm="18508">
        <f ca="1"/>
        <v>54.83</v>
      </c>
      <c r="DW114" vm="18491">
        <f ca="1"/>
        <v>54.36</v>
      </c>
      <c r="DX114" vm="18509">
        <f ca="1"/>
        <v>54.15</v>
      </c>
      <c r="DY114" vm="18510">
        <f ca="1"/>
        <v>53.44</v>
      </c>
      <c r="DZ114" vm="18511">
        <f ca="1"/>
        <v>53.74</v>
      </c>
      <c r="EA114" vm="18512">
        <f ca="1"/>
        <v>53.67</v>
      </c>
      <c r="EB114" vm="18513">
        <f ca="1"/>
        <v>54.47</v>
      </c>
      <c r="EC114" vm="18514">
        <f ca="1"/>
        <v>54.01</v>
      </c>
      <c r="ED114" vm="18515">
        <f ca="1"/>
        <v>53.91</v>
      </c>
      <c r="EE114" vm="18516">
        <f ca="1"/>
        <v>54.77</v>
      </c>
      <c r="EF114" vm="18517">
        <f ca="1"/>
        <v>54.53</v>
      </c>
      <c r="EG114" vm="18518">
        <f ca="1"/>
        <v>54.31</v>
      </c>
      <c r="EH114" vm="18519">
        <f ca="1"/>
        <v>54.65</v>
      </c>
      <c r="EI114" vm="18520">
        <f ca="1"/>
        <v>54.94</v>
      </c>
      <c r="EJ114" vm="18521">
        <f ca="1"/>
        <v>54.39</v>
      </c>
      <c r="EK114" vm="18522">
        <f ca="1"/>
        <v>54.9</v>
      </c>
      <c r="EL114" vm="18462">
        <f ca="1"/>
        <v>55.18</v>
      </c>
      <c r="EM114" vm="18523">
        <f ca="1"/>
        <v>56.02</v>
      </c>
      <c r="EN114" vm="18524">
        <f ca="1"/>
        <v>55.92</v>
      </c>
      <c r="EO114" vm="18525">
        <f ca="1"/>
        <v>55.38</v>
      </c>
      <c r="EP114" vm="18526">
        <f ca="1"/>
        <v>55.25</v>
      </c>
      <c r="EQ114" vm="18527">
        <f ca="1"/>
        <v>55.07</v>
      </c>
      <c r="ER114" vm="18528">
        <f ca="1"/>
        <v>54.49</v>
      </c>
      <c r="ES114" vm="18461">
        <f ca="1"/>
        <v>55.32</v>
      </c>
      <c r="ET114" vm="18529">
        <f ca="1"/>
        <v>55.12</v>
      </c>
      <c r="EU114" vm="18530">
        <f ca="1"/>
        <v>54.98</v>
      </c>
      <c r="EV114" vm="18531">
        <f ca="1"/>
        <v>54.41</v>
      </c>
      <c r="EW114" vm="18465">
        <f ca="1"/>
        <v>55.01</v>
      </c>
      <c r="EX114" vm="18532">
        <f ca="1"/>
        <v>55.15</v>
      </c>
      <c r="EY114" vm="18533">
        <f ca="1"/>
        <v>55.14</v>
      </c>
      <c r="EZ114" vm="18522">
        <f ca="1"/>
        <v>54.9</v>
      </c>
      <c r="FA114" vm="18444">
        <f ca="1"/>
        <v>55.37</v>
      </c>
      <c r="FB114" vm="18534">
        <f ca="1"/>
        <v>55.54</v>
      </c>
      <c r="FC114" vm="18535">
        <f ca="1"/>
        <v>54.8</v>
      </c>
      <c r="FD114" vm="18426">
        <f ca="1"/>
        <v>53.2</v>
      </c>
      <c r="FE114" vm="18536">
        <f ca="1"/>
        <v>53.96</v>
      </c>
      <c r="FF114" vm="18537">
        <f ca="1"/>
        <v>54.09</v>
      </c>
      <c r="FG114" vm="18467">
        <f ca="1"/>
        <v>54.2</v>
      </c>
      <c r="FH114" vm="18522">
        <f ca="1"/>
        <v>54.9</v>
      </c>
      <c r="FI114" vm="18533">
        <f ca="1"/>
        <v>55.14</v>
      </c>
      <c r="FJ114" vm="18538">
        <f ca="1"/>
        <v>54.91</v>
      </c>
      <c r="FK114" vm="18436">
        <f ca="1"/>
        <v>55</v>
      </c>
      <c r="FL114" vm="18539">
        <f ca="1"/>
        <v>55.49</v>
      </c>
      <c r="FM114" vm="18532">
        <f ca="1"/>
        <v>55.15</v>
      </c>
      <c r="FN114" vm="18462">
        <f ca="1"/>
        <v>55.18</v>
      </c>
      <c r="FO114" vm="18540">
        <f ca="1"/>
        <v>55.73</v>
      </c>
      <c r="FP114" vm="18541">
        <f ca="1"/>
        <v>55.58</v>
      </c>
      <c r="FQ114" vm="18441">
        <f ca="1"/>
        <v>55.46</v>
      </c>
      <c r="FR114" vm="18542">
        <f ca="1"/>
        <v>55.78</v>
      </c>
      <c r="FS114" vm="18543">
        <f ca="1"/>
        <v>55.29</v>
      </c>
      <c r="FT114" vm="18544">
        <f ca="1"/>
        <v>54.7</v>
      </c>
      <c r="FU114" vm="18545">
        <f ca="1"/>
        <v>54.78</v>
      </c>
      <c r="FV114" vm="18458">
        <f ca="1"/>
        <v>54.85</v>
      </c>
      <c r="FW114" vm="18491">
        <f ca="1"/>
        <v>54.36</v>
      </c>
      <c r="FX114" vm="18546">
        <f ca="1"/>
        <v>54.5</v>
      </c>
      <c r="FY114" vm="18428">
        <f ca="1"/>
        <v>53.75</v>
      </c>
      <c r="FZ114" vm="18547">
        <f ca="1"/>
        <v>54.12</v>
      </c>
      <c r="GA114" vm="18548">
        <f ca="1"/>
        <v>54.3</v>
      </c>
      <c r="GB114" vm="18514">
        <f ca="1"/>
        <v>54.01</v>
      </c>
      <c r="GC114" vm="18456">
        <f ca="1"/>
        <v>54.46</v>
      </c>
      <c r="GD114" vm="18549">
        <f ca="1"/>
        <v>54.56</v>
      </c>
      <c r="GE114" vm="18550">
        <f ca="1"/>
        <v>54.42</v>
      </c>
      <c r="GF114" vm="18454">
        <f ca="1"/>
        <v>54.68</v>
      </c>
      <c r="GG114" vm="18551">
        <f ca="1"/>
        <v>54.71</v>
      </c>
      <c r="GH114" vm="18552">
        <f ca="1"/>
        <v>55.27</v>
      </c>
      <c r="GI114" vm="18432">
        <f ca="1"/>
        <v>54.52</v>
      </c>
      <c r="GJ114" vm="18553">
        <f ca="1"/>
        <v>54.51</v>
      </c>
      <c r="GK114" vm="18499">
        <f ca="1"/>
        <v>55.39</v>
      </c>
      <c r="GL114" vm="18453">
        <f ca="1"/>
        <v>55.51</v>
      </c>
      <c r="GM114" vm="18445">
        <f ca="1"/>
        <v>55.3</v>
      </c>
      <c r="GN114" vm="18464">
        <f ca="1"/>
        <v>55.68</v>
      </c>
      <c r="GO114" vm="18554">
        <f ca="1"/>
        <v>55.53</v>
      </c>
      <c r="GP114" vm="18555">
        <f ca="1"/>
        <v>55.22</v>
      </c>
      <c r="GQ114" vm="18451">
        <f ca="1"/>
        <v>55.88</v>
      </c>
      <c r="GR114" vm="18556">
        <f ca="1"/>
        <v>56.07</v>
      </c>
      <c r="GS114" vm="18557">
        <f ca="1"/>
        <v>56.19</v>
      </c>
      <c r="GT114" vm="18558">
        <f ca="1"/>
        <v>56.76</v>
      </c>
      <c r="GU114" vm="18559">
        <f ca="1"/>
        <v>57.48</v>
      </c>
      <c r="GV114" vm="2496">
        <f ca="1"/>
        <v>57.49</v>
      </c>
      <c r="GW114" vm="18560">
        <f ca="1"/>
        <v>57.27</v>
      </c>
      <c r="GX114" vm="18561">
        <f ca="1"/>
        <v>57.08</v>
      </c>
      <c r="GY114" vm="18562">
        <f ca="1"/>
        <v>57.52</v>
      </c>
      <c r="GZ114" vm="18560">
        <f ca="1"/>
        <v>57.27</v>
      </c>
      <c r="HA114" vm="18563">
        <f ca="1"/>
        <v>56.3</v>
      </c>
      <c r="HB114" vm="18564">
        <f ca="1"/>
        <v>56.58</v>
      </c>
      <c r="HC114" vm="18565">
        <f ca="1"/>
        <v>56.46</v>
      </c>
      <c r="HD114" vm="18566">
        <f ca="1"/>
        <v>57.04</v>
      </c>
      <c r="HE114" vm="18567">
        <f ca="1"/>
        <v>57.46</v>
      </c>
      <c r="HF114" vm="18568">
        <f ca="1"/>
        <v>57.06</v>
      </c>
      <c r="HG114" vm="18569">
        <f ca="1"/>
        <v>57.85</v>
      </c>
      <c r="HH114" vm="18570">
        <f ca="1"/>
        <v>57.83</v>
      </c>
      <c r="HI114" vm="18571">
        <f ca="1"/>
        <v>57.34</v>
      </c>
      <c r="HJ114" vm="18572">
        <f ca="1"/>
        <v>57.61</v>
      </c>
      <c r="HK114" vm="18573">
        <f ca="1"/>
        <v>57.71</v>
      </c>
      <c r="HL114" vm="18574">
        <f ca="1"/>
        <v>58.09</v>
      </c>
      <c r="HM114" vm="18575">
        <f ca="1"/>
        <v>58</v>
      </c>
      <c r="HN114" vm="2501">
        <f ca="1"/>
        <v>58.01</v>
      </c>
      <c r="HO114" vm="18576">
        <f ca="1"/>
        <v>57.98</v>
      </c>
      <c r="HP114" vm="18577">
        <f ca="1"/>
        <v>57.6</v>
      </c>
      <c r="HQ114" vm="18578">
        <f ca="1"/>
        <v>57.75</v>
      </c>
      <c r="HR114" vm="18579">
        <f ca="1"/>
        <v>57.59</v>
      </c>
      <c r="HS114" vm="18578">
        <f ca="1"/>
        <v>57.75</v>
      </c>
      <c r="HT114" vm="18580">
        <f ca="1"/>
        <v>57.15</v>
      </c>
      <c r="HU114" vm="18581">
        <f ca="1"/>
        <v>56.65</v>
      </c>
      <c r="HV114" vm="18582">
        <f ca="1"/>
        <v>57.73</v>
      </c>
      <c r="HW114" vm="2507">
        <f ca="1"/>
        <v>58.31</v>
      </c>
      <c r="HX114" vm="18583">
        <f ca="1"/>
        <v>58.92</v>
      </c>
      <c r="HY114" vm="18584">
        <f ca="1"/>
        <v>58.36</v>
      </c>
      <c r="HZ114" vm="18585">
        <f ca="1"/>
        <v>57.84</v>
      </c>
      <c r="IA114" vm="18586">
        <f ca="1"/>
        <v>57.32</v>
      </c>
      <c r="IB114" vm="18587">
        <f ca="1"/>
        <v>56.23</v>
      </c>
      <c r="IC114" vm="2491">
        <f ca="1"/>
        <v>56.41</v>
      </c>
      <c r="ID114" vm="2492">
        <f ca="1"/>
        <v>56.66</v>
      </c>
      <c r="IE114" vm="2493">
        <f ca="1"/>
        <v>56.03</v>
      </c>
      <c r="IF114" vm="2494">
        <f ca="1"/>
        <v>56.27</v>
      </c>
      <c r="IG114" vm="2495">
        <f ca="1"/>
        <v>56.71</v>
      </c>
      <c r="IH114" vm="2496">
        <f ca="1"/>
        <v>57.49</v>
      </c>
      <c r="II114" vm="2497">
        <f ca="1"/>
        <v>57.56</v>
      </c>
      <c r="IJ114" vm="2498">
        <f ca="1"/>
        <v>57.7</v>
      </c>
      <c r="IK114" vm="2499">
        <f ca="1"/>
        <v>57.72</v>
      </c>
      <c r="IL114" vm="2500">
        <f ca="1"/>
        <v>57.93</v>
      </c>
      <c r="IM114" vm="2501">
        <f ca="1"/>
        <v>58.01</v>
      </c>
      <c r="IN114" vm="2502">
        <f ca="1"/>
        <v>58.25</v>
      </c>
      <c r="IO114" vm="2503">
        <f ca="1"/>
        <v>58.29</v>
      </c>
      <c r="IP114" vm="2504">
        <f ca="1"/>
        <v>58.3</v>
      </c>
      <c r="IQ114" vm="2502">
        <f ca="1"/>
        <v>58.25</v>
      </c>
      <c r="IR114" vm="2505">
        <f ca="1"/>
        <v>58.13</v>
      </c>
      <c r="IS114" vm="2506">
        <f ca="1"/>
        <v>58.57</v>
      </c>
      <c r="IT114" vm="2507">
        <f ca="1"/>
        <v>58.31</v>
      </c>
      <c r="IU114" vm="2508">
        <f ca="1"/>
        <v>58.53</v>
      </c>
      <c r="IV114" vm="2509">
        <f ca="1"/>
        <v>58.23</v>
      </c>
      <c r="IW114" vm="2510">
        <f ca="1"/>
        <v>57.86</v>
      </c>
      <c r="IX114" vm="60">
        <f ca="1"/>
        <v>58.46</v>
      </c>
      <c r="IY114" vm="2511">
        <f ca="1"/>
        <v>58.67</v>
      </c>
    </row>
    <row r="115" spans="1:262" ht="16" x14ac:dyDescent="0.2">
      <c r="A115" t="e" vm="2512">
        <v>#VALUE!</v>
      </c>
      <c r="B115" s="23" t="str" cm="1">
        <f t="array" aca="1" ref="B115" ca="1">_FV(A115,"ticker symbol",TRUE)</f>
        <v>C6E</v>
      </c>
      <c r="C115" s="23" t="str" cm="1">
        <f t="array" aca="1" ref="C115" ca="1">_FV(A115,"Name")</f>
        <v>Amundi StoxxEupe600 ESG UETF A</v>
      </c>
      <c r="D115" cm="1" vm="18588">
        <f t="array" aca="1" ref="D115:JB115" ca="1">TRANSPOSE(_xlfn.STOCKHISTORY(B115, WORKDAY(TODAY(), -265), TODAY(), 0, 0, 1))</f>
        <v>127.057</v>
      </c>
      <c r="E115" vm="18589">
        <f ca="1"/>
        <v>126.6155</v>
      </c>
      <c r="F115" vm="18590">
        <f ca="1"/>
        <v>126.74769999999999</v>
      </c>
      <c r="G115" vm="18591">
        <f ca="1"/>
        <v>124.7517</v>
      </c>
      <c r="H115" vm="18592">
        <f ca="1"/>
        <v>123.524</v>
      </c>
      <c r="I115" vm="18593">
        <f ca="1"/>
        <v>123.70480000000001</v>
      </c>
      <c r="J115" vm="18594">
        <f ca="1"/>
        <v>124.24590000000001</v>
      </c>
      <c r="K115" vm="18595">
        <f ca="1"/>
        <v>124.97499999999999</v>
      </c>
      <c r="L115" vm="18596">
        <f ca="1"/>
        <v>124.1597</v>
      </c>
      <c r="M115" vm="18597">
        <f ca="1"/>
        <v>125.4468</v>
      </c>
      <c r="N115" vm="18598">
        <f ca="1"/>
        <v>125.7381</v>
      </c>
      <c r="O115" vm="18599">
        <f ca="1"/>
        <v>124.858</v>
      </c>
      <c r="P115" vm="18600">
        <f ca="1"/>
        <v>126.3018</v>
      </c>
      <c r="Q115" vm="18601">
        <f ca="1"/>
        <v>126.5622</v>
      </c>
      <c r="R115" vm="18602">
        <f ca="1"/>
        <v>126.28149999999999</v>
      </c>
      <c r="S115" vm="18603">
        <f ca="1"/>
        <v>126.8805</v>
      </c>
      <c r="T115" vm="18604">
        <f ca="1"/>
        <v>125.7148</v>
      </c>
      <c r="U115" vm="18605">
        <f ca="1"/>
        <v>125.03700000000001</v>
      </c>
      <c r="V115" vm="18606">
        <f ca="1"/>
        <v>124.8847</v>
      </c>
      <c r="W115" vm="18607">
        <f ca="1"/>
        <v>126.79179999999999</v>
      </c>
      <c r="X115" vm="18608">
        <f ca="1"/>
        <v>127.998</v>
      </c>
      <c r="Y115" vm="18609">
        <f ca="1"/>
        <v>128.7098</v>
      </c>
      <c r="Z115" vm="18610">
        <f ca="1"/>
        <v>128.88800000000001</v>
      </c>
      <c r="AA115" vm="18611">
        <f ca="1"/>
        <v>129.38480000000001</v>
      </c>
      <c r="AB115" vm="18612">
        <f ca="1"/>
        <v>129.84</v>
      </c>
      <c r="AC115" vm="18613">
        <f ca="1"/>
        <v>130.4624</v>
      </c>
      <c r="AD115" vm="18614">
        <f ca="1"/>
        <v>130.42420000000001</v>
      </c>
      <c r="AE115" vm="18615">
        <f ca="1"/>
        <v>130.3648</v>
      </c>
      <c r="AF115" vm="18616">
        <f ca="1"/>
        <v>130.7944</v>
      </c>
      <c r="AG115" vm="18617">
        <f ca="1"/>
        <v>131.58779999999999</v>
      </c>
      <c r="AH115" vm="18618">
        <f ca="1"/>
        <v>132.64259999999999</v>
      </c>
      <c r="AI115" vm="18619">
        <f ca="1"/>
        <v>132.60730000000001</v>
      </c>
      <c r="AJ115" vm="18620">
        <f ca="1"/>
        <v>131.3349</v>
      </c>
      <c r="AK115" vm="18621">
        <f ca="1"/>
        <v>131.7055</v>
      </c>
      <c r="AL115" vm="18622">
        <f ca="1"/>
        <v>132.26349999999999</v>
      </c>
      <c r="AM115" vm="18623">
        <f ca="1"/>
        <v>134.18279999999999</v>
      </c>
      <c r="AN115" vm="18624">
        <f ca="1"/>
        <v>133.45320000000001</v>
      </c>
      <c r="AO115" vm="18625">
        <f ca="1"/>
        <v>134.40100000000001</v>
      </c>
      <c r="AP115" vm="18626">
        <f ca="1"/>
        <v>134.76</v>
      </c>
      <c r="AQ115" vm="18627">
        <f ca="1"/>
        <v>134.8845</v>
      </c>
      <c r="AR115" vm="18628">
        <f ca="1"/>
        <v>136.4442</v>
      </c>
      <c r="AS115" vm="18629">
        <f ca="1"/>
        <v>135.97810000000001</v>
      </c>
      <c r="AT115" vm="18630">
        <f ca="1"/>
        <v>136.70609999999999</v>
      </c>
      <c r="AU115" vm="18631">
        <f ca="1"/>
        <v>137.11709999999999</v>
      </c>
      <c r="AV115" vm="18632">
        <f ca="1"/>
        <v>135.69329999999999</v>
      </c>
      <c r="AW115" vm="18633">
        <f ca="1"/>
        <v>135.72139999999999</v>
      </c>
      <c r="AX115" vm="18634">
        <f ca="1"/>
        <v>136.7371</v>
      </c>
      <c r="AY115" vm="18635">
        <f ca="1"/>
        <v>136.4819</v>
      </c>
      <c r="AZ115" vm="18636">
        <f ca="1"/>
        <v>136.61850000000001</v>
      </c>
      <c r="BA115" vm="18637">
        <f ca="1"/>
        <v>138.0566</v>
      </c>
      <c r="BB115" vm="18638">
        <f ca="1"/>
        <v>137.17250000000001</v>
      </c>
      <c r="BC115" vm="18639">
        <f ca="1"/>
        <v>137.38130000000001</v>
      </c>
      <c r="BD115" vm="18640">
        <f ca="1"/>
        <v>138.3219</v>
      </c>
      <c r="BE115" vm="18641">
        <f ca="1"/>
        <v>135.31</v>
      </c>
      <c r="BF115" vm="18642">
        <f ca="1"/>
        <v>136.5735</v>
      </c>
      <c r="BG115" vm="18643">
        <f ca="1"/>
        <v>136.59</v>
      </c>
      <c r="BH115" vm="18644">
        <f ca="1"/>
        <v>136.31100000000001</v>
      </c>
      <c r="BI115" vm="18645">
        <f ca="1"/>
        <v>134.10730000000001</v>
      </c>
      <c r="BJ115" vm="18646">
        <f ca="1"/>
        <v>131.90190000000001</v>
      </c>
      <c r="BK115" vm="18647">
        <f ca="1"/>
        <v>133.2105</v>
      </c>
      <c r="BL115" vm="18648">
        <f ca="1"/>
        <v>132.59</v>
      </c>
      <c r="BM115" vm="18649">
        <f ca="1"/>
        <v>133.91239999999999</v>
      </c>
      <c r="BN115" vm="18650">
        <f ca="1"/>
        <v>135.01750000000001</v>
      </c>
      <c r="BO115" vm="18651">
        <f ca="1"/>
        <v>135.86969999999999</v>
      </c>
      <c r="BP115" vm="18652">
        <f ca="1"/>
        <v>136.2362</v>
      </c>
      <c r="BQ115" vm="18653">
        <f ca="1"/>
        <v>135.5992</v>
      </c>
      <c r="BR115" vm="18654">
        <f ca="1"/>
        <v>134.95660000000001</v>
      </c>
      <c r="BS115" vm="18655">
        <f ca="1"/>
        <v>134.79140000000001</v>
      </c>
      <c r="BT115" vm="18656">
        <f ca="1"/>
        <v>135.5205</v>
      </c>
      <c r="BU115" vm="18657">
        <f ca="1"/>
        <v>134.44999999999999</v>
      </c>
      <c r="BV115" vm="18658">
        <f ca="1"/>
        <v>133.96180000000001</v>
      </c>
      <c r="BW115" vm="18659">
        <f ca="1"/>
        <v>133.02529999999999</v>
      </c>
      <c r="BX115" vm="18660">
        <f ca="1"/>
        <v>131.04409999999999</v>
      </c>
      <c r="BY115" vm="18661">
        <f ca="1"/>
        <v>132.34880000000001</v>
      </c>
      <c r="BZ115" vm="18662">
        <f ca="1"/>
        <v>131.61529999999999</v>
      </c>
      <c r="CA115" vm="18663">
        <f ca="1"/>
        <v>128.15190000000001</v>
      </c>
      <c r="CB115" vm="18664">
        <f ca="1"/>
        <v>121.9</v>
      </c>
      <c r="CC115" vm="18665">
        <f ca="1"/>
        <v>116.37</v>
      </c>
      <c r="CD115" vm="18666">
        <f ca="1"/>
        <v>119.9023</v>
      </c>
      <c r="CE115" vm="18667">
        <f ca="1"/>
        <v>115.6811</v>
      </c>
      <c r="CF115" vm="18668">
        <f ca="1"/>
        <v>120.3045</v>
      </c>
      <c r="CG115" vm="18669">
        <f ca="1"/>
        <v>120.316</v>
      </c>
      <c r="CH115" vm="18670">
        <f ca="1"/>
        <v>123.5466</v>
      </c>
      <c r="CI115" vm="18671">
        <f ca="1"/>
        <v>125.5881</v>
      </c>
      <c r="CJ115" vm="18672">
        <f ca="1"/>
        <v>125.2948</v>
      </c>
      <c r="CK115" vm="18673">
        <f ca="1"/>
        <v>124.8511</v>
      </c>
      <c r="CL115" vm="18674">
        <f ca="1"/>
        <v>125.9872</v>
      </c>
      <c r="CM115" vm="18675">
        <f ca="1"/>
        <v>128.1482</v>
      </c>
      <c r="CN115" vm="18676">
        <f ca="1"/>
        <v>128.6925</v>
      </c>
      <c r="CO115" vm="18677">
        <f ca="1"/>
        <v>129.03270000000001</v>
      </c>
      <c r="CP115" vm="18678">
        <f ca="1"/>
        <v>129.768</v>
      </c>
      <c r="CQ115" vm="18679">
        <f ca="1"/>
        <v>130.2253</v>
      </c>
      <c r="CR115" vm="18680">
        <f ca="1"/>
        <v>131.0256</v>
      </c>
      <c r="CS115" vm="18681">
        <f ca="1"/>
        <v>133.41630000000001</v>
      </c>
      <c r="CT115" vm="18682">
        <f ca="1"/>
        <v>133.7773</v>
      </c>
      <c r="CU115" vm="18683">
        <f ca="1"/>
        <v>133.1687</v>
      </c>
      <c r="CV115" vm="18684">
        <f ca="1"/>
        <v>132.56649999999999</v>
      </c>
      <c r="CW115" vm="18685">
        <f ca="1"/>
        <v>133.0213</v>
      </c>
      <c r="CX115" vm="18686">
        <f ca="1"/>
        <v>133.72630000000001</v>
      </c>
      <c r="CY115" vm="18687">
        <f ca="1"/>
        <v>135.67009999999999</v>
      </c>
      <c r="CZ115" vm="18688">
        <f ca="1"/>
        <v>135.65729999999999</v>
      </c>
      <c r="DA115" vm="18689">
        <f ca="1"/>
        <v>135.3218</v>
      </c>
      <c r="DB115" vm="18690">
        <f ca="1"/>
        <v>136.28309999999999</v>
      </c>
      <c r="DC115" vm="18691">
        <f ca="1"/>
        <v>136.89019999999999</v>
      </c>
      <c r="DD115" vm="18692">
        <f ca="1"/>
        <v>137.22739999999999</v>
      </c>
      <c r="DE115" vm="18693">
        <f ca="1"/>
        <v>138.3698</v>
      </c>
      <c r="DF115" vm="18694">
        <f ca="1"/>
        <v>138.3236</v>
      </c>
      <c r="DG115" vm="18695">
        <f ca="1"/>
        <v>137.36099999999999</v>
      </c>
      <c r="DH115" vm="18696">
        <f ca="1"/>
        <v>136.0249</v>
      </c>
      <c r="DI115" vm="18697">
        <f ca="1"/>
        <v>138.12370000000001</v>
      </c>
      <c r="DJ115" vm="18698">
        <f ca="1"/>
        <v>137.83619999999999</v>
      </c>
      <c r="DK115" vm="18699">
        <f ca="1"/>
        <v>136.8142</v>
      </c>
      <c r="DL115" vm="18700">
        <f ca="1"/>
        <v>136.6498</v>
      </c>
      <c r="DM115" vm="18701">
        <f ca="1"/>
        <v>136.99420000000001</v>
      </c>
      <c r="DN115" vm="18702">
        <f ca="1"/>
        <v>136.57220000000001</v>
      </c>
      <c r="DO115" vm="18703">
        <f ca="1"/>
        <v>136.6173</v>
      </c>
      <c r="DP115" vm="18704">
        <f ca="1"/>
        <v>137.25839999999999</v>
      </c>
      <c r="DQ115" vm="18705">
        <f ca="1"/>
        <v>137.5326</v>
      </c>
      <c r="DR115" vm="18706">
        <f ca="1"/>
        <v>138.05359999999999</v>
      </c>
      <c r="DS115" vm="18707">
        <f ca="1"/>
        <v>137.91249999999999</v>
      </c>
      <c r="DT115" vm="18708">
        <f ca="1"/>
        <v>138.00030000000001</v>
      </c>
      <c r="DU115" vm="18709">
        <f ca="1"/>
        <v>137.4478</v>
      </c>
      <c r="DV115" vm="18710">
        <f ca="1"/>
        <v>136.9118</v>
      </c>
      <c r="DW115" vm="18711">
        <f ca="1"/>
        <v>135.53980000000001</v>
      </c>
      <c r="DX115" vm="18712">
        <f ca="1"/>
        <v>136.0359</v>
      </c>
      <c r="DY115" vm="18713">
        <f ca="1"/>
        <v>134.6858</v>
      </c>
      <c r="DZ115" vm="18714">
        <f ca="1"/>
        <v>134.09540000000001</v>
      </c>
      <c r="EA115" vm="18715">
        <f ca="1"/>
        <v>132.94309999999999</v>
      </c>
      <c r="EB115" vm="18716">
        <f ca="1"/>
        <v>133.0557</v>
      </c>
      <c r="EC115" vm="18717">
        <f ca="1"/>
        <v>132.75620000000001</v>
      </c>
      <c r="ED115" vm="18718">
        <f ca="1"/>
        <v>134.7157</v>
      </c>
      <c r="EE115" vm="18719">
        <f ca="1"/>
        <v>133.53139999999999</v>
      </c>
      <c r="EF115" vm="18720">
        <f ca="1"/>
        <v>133.42930000000001</v>
      </c>
      <c r="EG115" vm="18721">
        <f ca="1"/>
        <v>135.17330000000001</v>
      </c>
      <c r="EH115" vm="18722">
        <f ca="1"/>
        <v>134.45419999999999</v>
      </c>
      <c r="EI115" vm="18723">
        <f ca="1"/>
        <v>134.4854</v>
      </c>
      <c r="EJ115" vm="18724">
        <f ca="1"/>
        <v>134.59530000000001</v>
      </c>
      <c r="EK115" vm="18725">
        <f ca="1"/>
        <v>135.2294</v>
      </c>
      <c r="EL115" vm="18726">
        <f ca="1"/>
        <v>134.4624</v>
      </c>
      <c r="EM115" vm="18727">
        <f ca="1"/>
        <v>135.18770000000001</v>
      </c>
      <c r="EN115" vm="18728">
        <f ca="1"/>
        <v>135.65110000000001</v>
      </c>
      <c r="EO115" vm="18729">
        <f ca="1"/>
        <v>136.73410000000001</v>
      </c>
      <c r="EP115" vm="18730">
        <f ca="1"/>
        <v>137.26900000000001</v>
      </c>
      <c r="EQ115" vm="18731">
        <f ca="1"/>
        <v>135.54660000000001</v>
      </c>
      <c r="ER115" vm="18732">
        <f ca="1"/>
        <v>135.51</v>
      </c>
      <c r="ES115" vm="18733">
        <f ca="1"/>
        <v>135.03540000000001</v>
      </c>
      <c r="ET115" vm="18734">
        <f ca="1"/>
        <v>134.06639999999999</v>
      </c>
      <c r="EU115" vm="18735">
        <f ca="1"/>
        <v>135.57910000000001</v>
      </c>
      <c r="EV115" vm="18736">
        <f ca="1"/>
        <v>135.3663</v>
      </c>
      <c r="EW115" vm="18737">
        <f ca="1"/>
        <v>135.24250000000001</v>
      </c>
      <c r="EX115" vm="18738">
        <f ca="1"/>
        <v>134.88999999999999</v>
      </c>
      <c r="EY115" vm="18739">
        <f ca="1"/>
        <v>136.38210000000001</v>
      </c>
      <c r="EZ115" vm="18740">
        <f ca="1"/>
        <v>136.8252</v>
      </c>
      <c r="FA115" vm="18741">
        <f ca="1"/>
        <v>136.37100000000001</v>
      </c>
      <c r="FB115" vm="18742">
        <f ca="1"/>
        <v>136.18549999999999</v>
      </c>
      <c r="FC115" vm="18743">
        <f ca="1"/>
        <v>136.36959999999999</v>
      </c>
      <c r="FD115" vm="18744">
        <f ca="1"/>
        <v>136.4212</v>
      </c>
      <c r="FE115" vm="18745">
        <f ca="1"/>
        <v>135.18129999999999</v>
      </c>
      <c r="FF115" vm="18746">
        <f ca="1"/>
        <v>131.76740000000001</v>
      </c>
      <c r="FG115" vm="18747">
        <f ca="1"/>
        <v>133.7313</v>
      </c>
      <c r="FH115" vm="18748">
        <f ca="1"/>
        <v>133.75239999999999</v>
      </c>
      <c r="FI115" vm="18749">
        <f ca="1"/>
        <v>133.59010000000001</v>
      </c>
      <c r="FJ115" vm="18750">
        <f ca="1"/>
        <v>135.32490000000001</v>
      </c>
      <c r="FK115" vm="18751">
        <f ca="1"/>
        <v>135.6336</v>
      </c>
      <c r="FL115" vm="18752">
        <f ca="1"/>
        <v>135.6867</v>
      </c>
      <c r="FM115" vm="18753">
        <f ca="1"/>
        <v>135.84010000000001</v>
      </c>
      <c r="FN115" vm="18754">
        <f ca="1"/>
        <v>136.8409</v>
      </c>
      <c r="FO115" vm="18755">
        <f ca="1"/>
        <v>137.55000000000001</v>
      </c>
      <c r="FP115" vm="18756">
        <f ca="1"/>
        <v>137.73349999999999</v>
      </c>
      <c r="FQ115" vm="18757">
        <f ca="1"/>
        <v>137.72</v>
      </c>
      <c r="FR115" vm="18758">
        <f ca="1"/>
        <v>139.12639999999999</v>
      </c>
      <c r="FS115" vm="18759">
        <f ca="1"/>
        <v>139.36699999999999</v>
      </c>
      <c r="FT115" vm="18760">
        <f ca="1"/>
        <v>139.20779999999999</v>
      </c>
      <c r="FU115" vm="18761">
        <f ca="1"/>
        <v>139.81209999999999</v>
      </c>
      <c r="FV115" vm="18762">
        <f ca="1"/>
        <v>138.96780000000001</v>
      </c>
      <c r="FW115" vm="18763">
        <f ca="1"/>
        <v>137.83009999999999</v>
      </c>
      <c r="FX115" vm="18764">
        <f ca="1"/>
        <v>137.9221</v>
      </c>
      <c r="FY115" vm="18765">
        <f ca="1"/>
        <v>137.78319999999999</v>
      </c>
      <c r="FZ115" vm="18766">
        <f ca="1"/>
        <v>136.69290000000001</v>
      </c>
      <c r="GA115" vm="18767">
        <f ca="1"/>
        <v>136.8603</v>
      </c>
      <c r="GB115" vm="18768">
        <f ca="1"/>
        <v>134.88249999999999</v>
      </c>
      <c r="GC115" vm="18769">
        <f ca="1"/>
        <v>135.83750000000001</v>
      </c>
      <c r="GD115" vm="18770">
        <f ca="1"/>
        <v>136.77860000000001</v>
      </c>
      <c r="GE115" vm="18771">
        <f ca="1"/>
        <v>136.83439999999999</v>
      </c>
      <c r="GF115" vm="18772">
        <f ca="1"/>
        <v>137.39699999999999</v>
      </c>
      <c r="GG115" vm="18773">
        <f ca="1"/>
        <v>137.34450000000001</v>
      </c>
      <c r="GH115" vm="18774">
        <f ca="1"/>
        <v>137.1634</v>
      </c>
      <c r="GI115" vm="18775">
        <f ca="1"/>
        <v>137.73070000000001</v>
      </c>
      <c r="GJ115" vm="18776">
        <f ca="1"/>
        <v>137.60579999999999</v>
      </c>
      <c r="GK115" vm="18777">
        <f ca="1"/>
        <v>138.1918</v>
      </c>
      <c r="GL115" vm="18778">
        <f ca="1"/>
        <v>136.59010000000001</v>
      </c>
      <c r="GM115" vm="18779">
        <f ca="1"/>
        <v>136.61060000000001</v>
      </c>
      <c r="GN115" vm="18780">
        <f ca="1"/>
        <v>137.89420000000001</v>
      </c>
      <c r="GO115" vm="18781">
        <f ca="1"/>
        <v>137.73159999999999</v>
      </c>
      <c r="GP115" vm="18782">
        <f ca="1"/>
        <v>137.4496</v>
      </c>
      <c r="GQ115" vm="18783">
        <f ca="1"/>
        <v>137.8417</v>
      </c>
      <c r="GR115" vm="18784">
        <f ca="1"/>
        <v>137.26949999999999</v>
      </c>
      <c r="GS115" vm="18785">
        <f ca="1"/>
        <v>136.3056</v>
      </c>
      <c r="GT115" vm="18786">
        <f ca="1"/>
        <v>137.36279999999999</v>
      </c>
      <c r="GU115" vm="18787">
        <f ca="1"/>
        <v>137.69</v>
      </c>
      <c r="GV115" vm="18788">
        <f ca="1"/>
        <v>138.42400000000001</v>
      </c>
      <c r="GW115" vm="18789">
        <f ca="1"/>
        <v>140.44820000000001</v>
      </c>
      <c r="GX115" vm="18790">
        <f ca="1"/>
        <v>141.17420000000001</v>
      </c>
      <c r="GY115" vm="18791">
        <f ca="1"/>
        <v>141.8553</v>
      </c>
      <c r="GZ115" vm="18792">
        <f ca="1"/>
        <v>141.8948</v>
      </c>
      <c r="HA115" vm="18793">
        <f ca="1"/>
        <v>141.61279999999999</v>
      </c>
      <c r="HB115" vm="18794">
        <f ca="1"/>
        <v>142.73509999999999</v>
      </c>
      <c r="HC115" vm="18795">
        <f ca="1"/>
        <v>141.97749999999999</v>
      </c>
      <c r="HD115" vm="18796">
        <f ca="1"/>
        <v>140.3836</v>
      </c>
      <c r="HE115" vm="18797">
        <f ca="1"/>
        <v>141.09520000000001</v>
      </c>
      <c r="HF115" vm="18798">
        <f ca="1"/>
        <v>140.63999999999999</v>
      </c>
      <c r="HG115" vm="18799">
        <f ca="1"/>
        <v>141.5788</v>
      </c>
      <c r="HH115" vm="18800">
        <f ca="1"/>
        <v>142.5599</v>
      </c>
      <c r="HI115" vm="18801">
        <f ca="1"/>
        <v>141.49279999999999</v>
      </c>
      <c r="HJ115" vm="18802">
        <f ca="1"/>
        <v>142.74709999999999</v>
      </c>
      <c r="HK115" vm="18803">
        <f ca="1"/>
        <v>143.04259999999999</v>
      </c>
      <c r="HL115" vm="18804">
        <f ca="1"/>
        <v>142.7381</v>
      </c>
      <c r="HM115" vm="18805">
        <f ca="1"/>
        <v>143.03919999999999</v>
      </c>
      <c r="HN115" vm="18806">
        <f ca="1"/>
        <v>143.3134</v>
      </c>
      <c r="HO115" vm="18807">
        <f ca="1"/>
        <v>143.8306</v>
      </c>
      <c r="HP115" vm="18808">
        <f ca="1"/>
        <v>143.41139999999999</v>
      </c>
      <c r="HQ115" vm="18809">
        <f ca="1"/>
        <v>143.12520000000001</v>
      </c>
      <c r="HR115" vm="18810">
        <f ca="1"/>
        <v>143.07550000000001</v>
      </c>
      <c r="HS115" vm="18811">
        <f ca="1"/>
        <v>142.2868</v>
      </c>
      <c r="HT115" vm="18812">
        <f ca="1"/>
        <v>142.25200000000001</v>
      </c>
      <c r="HU115" vm="18813">
        <f ca="1"/>
        <v>141.9161</v>
      </c>
      <c r="HV115" vm="18814">
        <f ca="1"/>
        <v>142.35650000000001</v>
      </c>
      <c r="HW115" vm="18815">
        <f ca="1"/>
        <v>141.2765</v>
      </c>
      <c r="HX115" vm="18816">
        <f ca="1"/>
        <v>140.45910000000001</v>
      </c>
      <c r="HY115" vm="18817">
        <f ca="1"/>
        <v>142.52699999999999</v>
      </c>
      <c r="HZ115" vm="18818">
        <f ca="1"/>
        <v>144.4325</v>
      </c>
      <c r="IA115" vm="18819">
        <f ca="1"/>
        <v>145.5479</v>
      </c>
      <c r="IB115" vm="18820">
        <f ca="1"/>
        <v>144.71039999999999</v>
      </c>
      <c r="IC115" vm="18821">
        <f ca="1"/>
        <v>143.2056</v>
      </c>
      <c r="ID115" vm="18822">
        <f ca="1"/>
        <v>142.28819999999999</v>
      </c>
      <c r="IE115" vm="18823">
        <f ca="1"/>
        <v>139.8305</v>
      </c>
      <c r="IF115" vm="2513">
        <f ca="1"/>
        <v>140.00110000000001</v>
      </c>
      <c r="IG115" vm="2514">
        <f ca="1"/>
        <v>140.35429999999999</v>
      </c>
      <c r="IH115" vm="2515">
        <f ca="1"/>
        <v>140.3535</v>
      </c>
      <c r="II115" vm="2516">
        <f ca="1"/>
        <v>140.75110000000001</v>
      </c>
      <c r="IJ115" vm="2517">
        <f ca="1"/>
        <v>142.07679999999999</v>
      </c>
      <c r="IK115" vm="2518">
        <f ca="1"/>
        <v>143.67910000000001</v>
      </c>
      <c r="IL115" vm="2519">
        <f ca="1"/>
        <v>143.80099999999999</v>
      </c>
      <c r="IM115" vm="2520">
        <f ca="1"/>
        <v>144.17750000000001</v>
      </c>
      <c r="IN115" t="e" vm="2521">
        <f ca="1"/>
        <v>#N/A</v>
      </c>
      <c r="IO115" vm="2522">
        <f ca="1"/>
        <v>144.32</v>
      </c>
      <c r="IP115" t="e" vm="2521">
        <f ca="1"/>
        <v>#N/A</v>
      </c>
      <c r="IQ115" vm="2523">
        <f ca="1"/>
        <v>144.74</v>
      </c>
      <c r="IR115" vm="2524">
        <f ca="1"/>
        <v>145.32</v>
      </c>
      <c r="IS115" vm="2525">
        <f ca="1"/>
        <v>144.28</v>
      </c>
      <c r="IT115" vm="2526">
        <f ca="1"/>
        <v>144.34</v>
      </c>
      <c r="IU115" vm="2527">
        <f ca="1"/>
        <v>144.13999999999999</v>
      </c>
      <c r="IV115" vm="2528">
        <f ca="1"/>
        <v>145.1</v>
      </c>
      <c r="IW115" vm="2529">
        <f ca="1"/>
        <v>144.76</v>
      </c>
      <c r="IX115" vm="2530">
        <f ca="1"/>
        <v>145.69999999999999</v>
      </c>
      <c r="IY115" vm="2531">
        <f ca="1"/>
        <v>145.96</v>
      </c>
      <c r="IZ115" vm="2532">
        <f ca="1"/>
        <v>145.74</v>
      </c>
      <c r="JA115" t="e" vm="2521">
        <f ca="1"/>
        <v>#N/A</v>
      </c>
      <c r="JB115" vm="2533">
        <f ca="1"/>
        <v>147.08000000000001</v>
      </c>
    </row>
    <row r="116" spans="1:262" ht="16" x14ac:dyDescent="0.2">
      <c r="A116" t="e" vm="2534">
        <v>#VALUE!</v>
      </c>
      <c r="B116" s="23" t="str" cm="1">
        <f t="array" aca="1" ref="B116" ca="1">_FV(A116,"ticker symbol",TRUE)</f>
        <v>FEZ</v>
      </c>
      <c r="C116" s="23" t="str" cm="1">
        <f t="array" aca="1" ref="C116" ca="1">_FV(A116,"Name")</f>
        <v>SPDR EURO STOXX 50</v>
      </c>
      <c r="D116" cm="1" vm="12031">
        <f t="array" aca="1" ref="D116:IW116" ca="1">TRANSPOSE(_xlfn.STOCKHISTORY(B116, WORKDAY(TODAY(), -265), TODAY(), 0, 0, 1))</f>
        <v>49.63</v>
      </c>
      <c r="E116" vm="6274">
        <f ca="1"/>
        <v>49.64</v>
      </c>
      <c r="F116" vm="18824">
        <f ca="1"/>
        <v>48.38</v>
      </c>
      <c r="G116" vm="10049">
        <f ca="1"/>
        <v>48.26</v>
      </c>
      <c r="H116" vm="6230">
        <f ca="1"/>
        <v>48.28</v>
      </c>
      <c r="I116" vm="2188">
        <f ca="1"/>
        <v>48.4</v>
      </c>
      <c r="J116" vm="12048">
        <f ca="1"/>
        <v>48.57</v>
      </c>
      <c r="K116" vm="1992">
        <f ca="1"/>
        <v>48.78</v>
      </c>
      <c r="L116" vm="10050">
        <f ca="1"/>
        <v>48.58</v>
      </c>
      <c r="M116" vm="11040">
        <f ca="1"/>
        <v>48.18</v>
      </c>
      <c r="N116" vm="11570">
        <f ca="1"/>
        <v>48.15</v>
      </c>
      <c r="O116" vm="6237">
        <f ca="1"/>
        <v>47.66</v>
      </c>
      <c r="P116" vm="11316">
        <f ca="1"/>
        <v>47.94</v>
      </c>
      <c r="Q116" vm="17236">
        <f ca="1"/>
        <v>49.17</v>
      </c>
      <c r="R116" vm="10051">
        <f ca="1"/>
        <v>49.32</v>
      </c>
      <c r="S116" vm="6224">
        <f ca="1"/>
        <v>49.1</v>
      </c>
      <c r="T116" vm="15800">
        <f ca="1"/>
        <v>48.69</v>
      </c>
      <c r="U116" vm="3108">
        <f ca="1"/>
        <v>48.5</v>
      </c>
      <c r="V116" vm="3103">
        <f ca="1"/>
        <v>48.96</v>
      </c>
      <c r="W116" vm="6275">
        <f ca="1"/>
        <v>49.46</v>
      </c>
      <c r="X116" vm="6307">
        <f ca="1"/>
        <v>50.22</v>
      </c>
      <c r="Y116" vm="2903">
        <f ca="1"/>
        <v>50.43</v>
      </c>
      <c r="Z116" vm="467">
        <f ca="1"/>
        <v>51.56</v>
      </c>
      <c r="AA116" vm="469">
        <f ca="1"/>
        <v>51.67</v>
      </c>
      <c r="AB116" vm="842">
        <f ca="1"/>
        <v>52.07</v>
      </c>
      <c r="AC116" vm="2766">
        <f ca="1"/>
        <v>52.16</v>
      </c>
      <c r="AD116" vm="11327">
        <f ca="1"/>
        <v>52.24</v>
      </c>
      <c r="AE116" vm="11856">
        <f ca="1"/>
        <v>51.92</v>
      </c>
      <c r="AF116" vm="15729">
        <f ca="1"/>
        <v>52.04</v>
      </c>
      <c r="AG116" vm="15732">
        <f ca="1"/>
        <v>52.59</v>
      </c>
      <c r="AH116" vm="9258">
        <f ca="1"/>
        <v>52.12</v>
      </c>
      <c r="AI116" vm="1523">
        <f ca="1"/>
        <v>51.16</v>
      </c>
      <c r="AJ116" vm="18825">
        <f ca="1"/>
        <v>52.26</v>
      </c>
      <c r="AK116" vm="11342">
        <f ca="1"/>
        <v>52.57</v>
      </c>
      <c r="AL116" vm="3302">
        <f ca="1"/>
        <v>53.01</v>
      </c>
      <c r="AM116" vm="6357">
        <f ca="1"/>
        <v>52.45</v>
      </c>
      <c r="AN116" vm="14055">
        <f ca="1"/>
        <v>52.91</v>
      </c>
      <c r="AO116" vm="14148">
        <f ca="1"/>
        <v>53.46</v>
      </c>
      <c r="AP116" vm="3329">
        <f ca="1"/>
        <v>54.14</v>
      </c>
      <c r="AQ116" vm="11886">
        <f ca="1"/>
        <v>54.66</v>
      </c>
      <c r="AR116" vm="18370">
        <f ca="1"/>
        <v>55.03</v>
      </c>
      <c r="AS116" vm="15804">
        <f ca="1"/>
        <v>55.33</v>
      </c>
      <c r="AT116" vm="11884">
        <f ca="1"/>
        <v>54.43</v>
      </c>
      <c r="AU116" vm="1527">
        <f ca="1"/>
        <v>54.8</v>
      </c>
      <c r="AV116" vm="14107">
        <f ca="1"/>
        <v>54.45</v>
      </c>
      <c r="AW116" vm="10068">
        <f ca="1"/>
        <v>54.31</v>
      </c>
      <c r="AX116" vm="481">
        <f ca="1"/>
        <v>54.87</v>
      </c>
      <c r="AY116" vm="18370">
        <f ca="1"/>
        <v>55.03</v>
      </c>
      <c r="AZ116" vm="2635">
        <f ca="1"/>
        <v>53.85</v>
      </c>
      <c r="BA116" vm="3328">
        <f ca="1"/>
        <v>54.06</v>
      </c>
      <c r="BB116" vm="17845">
        <f ca="1"/>
        <v>55.12</v>
      </c>
      <c r="BC116" vm="18826">
        <f ca="1"/>
        <v>55.28</v>
      </c>
      <c r="BD116" vm="14209">
        <f ca="1"/>
        <v>57.05</v>
      </c>
      <c r="BE116" vm="14200">
        <f ca="1"/>
        <v>56.55</v>
      </c>
      <c r="BF116" vm="9697">
        <f ca="1"/>
        <v>57.25</v>
      </c>
      <c r="BG116" vm="11057">
        <f ca="1"/>
        <v>55.7</v>
      </c>
      <c r="BH116" vm="14118">
        <f ca="1"/>
        <v>55.79</v>
      </c>
      <c r="BI116" vm="11872">
        <f ca="1"/>
        <v>55.8</v>
      </c>
      <c r="BJ116" vm="18373">
        <f ca="1"/>
        <v>55.16</v>
      </c>
      <c r="BK116" vm="1533">
        <f ca="1"/>
        <v>56.48</v>
      </c>
      <c r="BL116" vm="14102">
        <f ca="1"/>
        <v>57.13</v>
      </c>
      <c r="BM116" vm="14114">
        <f ca="1"/>
        <v>57.35</v>
      </c>
      <c r="BN116" vm="11063">
        <f ca="1"/>
        <v>57.45</v>
      </c>
      <c r="BO116" vm="1535">
        <f ca="1"/>
        <v>56.56</v>
      </c>
      <c r="BP116" vm="118">
        <f ca="1"/>
        <v>56.01</v>
      </c>
      <c r="BQ116" vm="1229">
        <f ca="1"/>
        <v>55.87</v>
      </c>
      <c r="BR116" vm="14104">
        <f ca="1"/>
        <v>56.41</v>
      </c>
      <c r="BS116" vm="11889">
        <f ca="1"/>
        <v>55.32</v>
      </c>
      <c r="BT116" vm="18826">
        <f ca="1"/>
        <v>55.28</v>
      </c>
      <c r="BU116" vm="11878">
        <f ca="1"/>
        <v>55.01</v>
      </c>
      <c r="BV116" vm="18827">
        <f ca="1"/>
        <v>54.41</v>
      </c>
      <c r="BW116" vm="2645">
        <f ca="1"/>
        <v>54.62</v>
      </c>
      <c r="BX116" vm="11877">
        <f ca="1"/>
        <v>54.91</v>
      </c>
      <c r="BY116" vm="2774">
        <f ca="1"/>
        <v>53.58</v>
      </c>
      <c r="BZ116" vm="11298">
        <f ca="1"/>
        <v>50.27</v>
      </c>
      <c r="CA116" vm="1986">
        <f ca="1"/>
        <v>48.89</v>
      </c>
      <c r="CB116" vm="18828">
        <f ca="1"/>
        <v>48.22</v>
      </c>
      <c r="CC116" vm="15732">
        <f ca="1"/>
        <v>52.59</v>
      </c>
      <c r="CD116" vm="2193">
        <f ca="1"/>
        <v>51.76</v>
      </c>
      <c r="CE116" vm="11861">
        <f ca="1"/>
        <v>52.75</v>
      </c>
      <c r="CF116" vm="2636">
        <f ca="1"/>
        <v>53.11</v>
      </c>
      <c r="CG116" vm="14148">
        <f ca="1"/>
        <v>53.46</v>
      </c>
      <c r="CH116" vm="11020">
        <f ca="1"/>
        <v>53.3</v>
      </c>
      <c r="CI116" vm="1630">
        <f ca="1"/>
        <v>53.77</v>
      </c>
      <c r="CJ116" vm="2191">
        <f ca="1"/>
        <v>53.13</v>
      </c>
      <c r="CK116" vm="18829">
        <f ca="1"/>
        <v>54.58</v>
      </c>
      <c r="CL116" vm="9693">
        <f ca="1"/>
        <v>55.27</v>
      </c>
      <c r="CM116" vm="14071">
        <f ca="1"/>
        <v>56.06</v>
      </c>
      <c r="CN116" vm="14197">
        <f ca="1"/>
        <v>56.43</v>
      </c>
      <c r="CO116" vm="2949">
        <f ca="1"/>
        <v>56.69</v>
      </c>
      <c r="CP116" vm="14207">
        <f ca="1"/>
        <v>56.51</v>
      </c>
      <c r="CQ116" vm="1537">
        <f ca="1"/>
        <v>56.25</v>
      </c>
      <c r="CR116" vm="18830">
        <f ca="1"/>
        <v>56.3</v>
      </c>
      <c r="CS116" vm="14215">
        <f ca="1"/>
        <v>57.41</v>
      </c>
      <c r="CT116" vm="8856">
        <f ca="1"/>
        <v>57.54</v>
      </c>
      <c r="CU116" vm="9671">
        <f ca="1"/>
        <v>57.47</v>
      </c>
      <c r="CV116" vm="18831">
        <f ca="1"/>
        <v>57.21</v>
      </c>
      <c r="CW116" vm="9697">
        <f ca="1"/>
        <v>57.25</v>
      </c>
      <c r="CX116" vm="14066">
        <f ca="1"/>
        <v>57.75</v>
      </c>
      <c r="CY116" vm="14116">
        <f ca="1"/>
        <v>58.02</v>
      </c>
      <c r="CZ116" vm="14038">
        <f ca="1"/>
        <v>58.5</v>
      </c>
      <c r="DA116" vm="11073">
        <f ca="1"/>
        <v>58.36</v>
      </c>
      <c r="DB116" vm="1091">
        <f ca="1"/>
        <v>58.63</v>
      </c>
      <c r="DC116" vm="3012">
        <f ca="1"/>
        <v>58.8</v>
      </c>
      <c r="DD116" vm="2966">
        <f ca="1"/>
        <v>59.47</v>
      </c>
      <c r="DE116" vm="9707">
        <f ca="1"/>
        <v>59.73</v>
      </c>
      <c r="DF116" vm="8640">
        <f ca="1"/>
        <v>59.49</v>
      </c>
      <c r="DG116" vm="11367">
        <f ca="1"/>
        <v>59.46</v>
      </c>
      <c r="DH116" vm="3012">
        <f ca="1"/>
        <v>58.8</v>
      </c>
      <c r="DI116" vm="9708">
        <f ca="1"/>
        <v>59.77</v>
      </c>
      <c r="DJ116" vm="14041">
        <f ca="1"/>
        <v>59.05</v>
      </c>
      <c r="DK116" vm="1583">
        <f ca="1"/>
        <v>59.32</v>
      </c>
      <c r="DL116" vm="1092">
        <f ca="1"/>
        <v>59.19</v>
      </c>
      <c r="DM116" vm="10104">
        <f ca="1"/>
        <v>59.93</v>
      </c>
      <c r="DN116" vm="11081">
        <f ca="1"/>
        <v>59.54</v>
      </c>
      <c r="DO116" vm="10104">
        <f ca="1"/>
        <v>59.93</v>
      </c>
      <c r="DP116" vm="10104">
        <f ca="1"/>
        <v>59.93</v>
      </c>
      <c r="DQ116" vm="14141">
        <f ca="1"/>
        <v>60.14</v>
      </c>
      <c r="DR116" vm="11896">
        <f ca="1"/>
        <v>60.06</v>
      </c>
      <c r="DS116" vm="1655">
        <f ca="1"/>
        <v>60.16</v>
      </c>
      <c r="DT116" vm="11096">
        <f ca="1"/>
        <v>60.08</v>
      </c>
      <c r="DU116" vm="9712">
        <f ca="1"/>
        <v>60.41</v>
      </c>
      <c r="DV116" vm="3014">
        <f ca="1"/>
        <v>59.2</v>
      </c>
      <c r="DW116" vm="13429">
        <f ca="1"/>
        <v>59.78</v>
      </c>
      <c r="DX116" vm="3012">
        <f ca="1"/>
        <v>58.8</v>
      </c>
      <c r="DY116" vm="9653">
        <f ca="1"/>
        <v>58.72</v>
      </c>
      <c r="DZ116" vm="14038">
        <f ca="1"/>
        <v>58.5</v>
      </c>
      <c r="EA116" vm="14103">
        <f ca="1"/>
        <v>58.01</v>
      </c>
      <c r="EB116" vm="18832">
        <f ca="1"/>
        <v>58.94</v>
      </c>
      <c r="EC116" vm="10078">
        <f ca="1"/>
        <v>58.48</v>
      </c>
      <c r="ED116" vm="2965">
        <f ca="1"/>
        <v>58.84</v>
      </c>
      <c r="EE116" vm="8640">
        <f ca="1"/>
        <v>59.49</v>
      </c>
      <c r="EF116" vm="9707">
        <f ca="1"/>
        <v>59.73</v>
      </c>
      <c r="EG116" vm="8677">
        <f ca="1"/>
        <v>59.5</v>
      </c>
      <c r="EH116" vm="2744">
        <f ca="1"/>
        <v>60.03</v>
      </c>
      <c r="EI116" vm="8636">
        <f ca="1"/>
        <v>59.92</v>
      </c>
      <c r="EJ116" vm="11095">
        <f ca="1"/>
        <v>59.61</v>
      </c>
      <c r="EK116" vm="8668">
        <f ca="1"/>
        <v>60.29</v>
      </c>
      <c r="EL116" vm="15657">
        <f ca="1"/>
        <v>61.24</v>
      </c>
      <c r="EM116" vm="13422">
        <f ca="1"/>
        <v>60.82</v>
      </c>
      <c r="EN116" vm="11096">
        <f ca="1"/>
        <v>60.08</v>
      </c>
      <c r="EO116" vm="11363">
        <f ca="1"/>
        <v>60.04</v>
      </c>
      <c r="EP116" vm="3015">
        <f ca="1"/>
        <v>59.29</v>
      </c>
      <c r="EQ116" vm="13438">
        <f ca="1"/>
        <v>59.45</v>
      </c>
      <c r="ER116" vm="1094">
        <f ca="1"/>
        <v>59.63</v>
      </c>
      <c r="ES116" vm="11897">
        <f ca="1"/>
        <v>59.24</v>
      </c>
      <c r="ET116" vm="13438">
        <f ca="1"/>
        <v>59.45</v>
      </c>
      <c r="EU116" vm="3020">
        <f ca="1"/>
        <v>59.44</v>
      </c>
      <c r="EV116" vm="17868">
        <f ca="1"/>
        <v>60.85</v>
      </c>
      <c r="EW116" vm="13411">
        <f ca="1"/>
        <v>60.05</v>
      </c>
      <c r="EX116" vm="8638">
        <f ca="1"/>
        <v>60.31</v>
      </c>
      <c r="EY116" vm="8696">
        <f ca="1"/>
        <v>59.14</v>
      </c>
      <c r="EZ116" vm="14081">
        <f ca="1"/>
        <v>59.28</v>
      </c>
      <c r="FA116" vm="10080">
        <f ca="1"/>
        <v>58.85</v>
      </c>
      <c r="FB116" vm="14119">
        <f ca="1"/>
        <v>57.87</v>
      </c>
      <c r="FC116" vm="14083">
        <f ca="1"/>
        <v>57.15</v>
      </c>
      <c r="FD116" vm="11094">
        <f ca="1"/>
        <v>57.89</v>
      </c>
      <c r="FE116" vm="2957">
        <f ca="1"/>
        <v>58.03</v>
      </c>
      <c r="FF116" vm="18833">
        <f ca="1"/>
        <v>58.51</v>
      </c>
      <c r="FG116" vm="18381">
        <f ca="1"/>
        <v>59.31</v>
      </c>
      <c r="FH116" vm="18382">
        <f ca="1"/>
        <v>59.55</v>
      </c>
      <c r="FI116" vm="9649">
        <f ca="1"/>
        <v>59.08</v>
      </c>
      <c r="FJ116" vm="8637">
        <f ca="1"/>
        <v>59.66</v>
      </c>
      <c r="FK116" vm="8641">
        <f ca="1"/>
        <v>60.3</v>
      </c>
      <c r="FL116" vm="9710">
        <f ca="1"/>
        <v>60.55</v>
      </c>
      <c r="FM116" vm="18834">
        <f ca="1"/>
        <v>60.96</v>
      </c>
      <c r="FN116" vm="13442">
        <f ca="1"/>
        <v>60.6</v>
      </c>
      <c r="FO116" vm="8632">
        <f ca="1"/>
        <v>60.77</v>
      </c>
      <c r="FP116" vm="8705">
        <f ca="1"/>
        <v>60.91</v>
      </c>
      <c r="FQ116" vm="15655">
        <f ca="1"/>
        <v>60.43</v>
      </c>
      <c r="FR116" vm="14126">
        <f ca="1"/>
        <v>61.37</v>
      </c>
      <c r="FS116" vm="10100">
        <f ca="1"/>
        <v>60.21</v>
      </c>
      <c r="FT116" vm="9706">
        <f ca="1"/>
        <v>59.96</v>
      </c>
      <c r="FU116" vm="8674">
        <f ca="1"/>
        <v>59.87</v>
      </c>
      <c r="FV116" vm="8673">
        <f ca="1"/>
        <v>60.19</v>
      </c>
      <c r="FW116" vm="1645">
        <f ca="1"/>
        <v>59.8</v>
      </c>
      <c r="FX116" vm="1587">
        <f ca="1"/>
        <v>59.13</v>
      </c>
      <c r="FY116" vm="18381">
        <f ca="1"/>
        <v>59.31</v>
      </c>
      <c r="FZ116" vm="1095">
        <f ca="1"/>
        <v>59.53</v>
      </c>
      <c r="GA116" vm="1096">
        <f ca="1"/>
        <v>59.6</v>
      </c>
      <c r="GB116" vm="1655">
        <f ca="1"/>
        <v>60.16</v>
      </c>
      <c r="GC116" vm="15844">
        <f ca="1"/>
        <v>60.13</v>
      </c>
      <c r="GD116" vm="13439">
        <f ca="1"/>
        <v>59.82</v>
      </c>
      <c r="GE116" vm="8676">
        <f ca="1"/>
        <v>60.45</v>
      </c>
      <c r="GF116" vm="15655">
        <f ca="1"/>
        <v>60.43</v>
      </c>
      <c r="GG116" vm="11361">
        <f ca="1"/>
        <v>61.11</v>
      </c>
      <c r="GH116" vm="13425">
        <f ca="1"/>
        <v>60.97</v>
      </c>
      <c r="GI116" vm="13442">
        <f ca="1"/>
        <v>60.6</v>
      </c>
      <c r="GJ116" vm="17956">
        <f ca="1"/>
        <v>61.38</v>
      </c>
      <c r="GK116" vm="8651">
        <f ca="1"/>
        <v>61.29</v>
      </c>
      <c r="GL116" vm="8651">
        <f ca="1"/>
        <v>61.29</v>
      </c>
      <c r="GM116" vm="15825">
        <f ca="1"/>
        <v>61.47</v>
      </c>
      <c r="GN116" vm="1464">
        <f ca="1"/>
        <v>61.14</v>
      </c>
      <c r="GO116" vm="14075">
        <f ca="1"/>
        <v>60.65</v>
      </c>
      <c r="GP116" vm="11088">
        <f ca="1"/>
        <v>61.51</v>
      </c>
      <c r="GQ116" vm="1476">
        <f ca="1"/>
        <v>61.74</v>
      </c>
      <c r="GR116" vm="18386">
        <f ca="1"/>
        <v>62.12</v>
      </c>
      <c r="GS116" vm="9665">
        <f ca="1"/>
        <v>62.88</v>
      </c>
      <c r="GT116" vm="11397">
        <f ca="1"/>
        <v>63.32</v>
      </c>
      <c r="GU116" vm="18835">
        <f ca="1"/>
        <v>63.46</v>
      </c>
      <c r="GV116" vm="13877">
        <f ca="1"/>
        <v>63.12</v>
      </c>
      <c r="GW116" vm="18836">
        <f ca="1"/>
        <v>62.43</v>
      </c>
      <c r="GX116" vm="11376">
        <f ca="1"/>
        <v>62.84</v>
      </c>
      <c r="GY116" vm="9720">
        <f ca="1"/>
        <v>62.18</v>
      </c>
      <c r="GZ116" vm="15225">
        <f ca="1"/>
        <v>61.09</v>
      </c>
      <c r="HA116" vm="9667">
        <f ca="1"/>
        <v>61.63</v>
      </c>
      <c r="HB116" vm="13413">
        <f ca="1"/>
        <v>62.02</v>
      </c>
      <c r="HC116" vm="9720">
        <f ca="1"/>
        <v>62.18</v>
      </c>
      <c r="HD116" vm="13878">
        <f ca="1"/>
        <v>62.74</v>
      </c>
      <c r="HE116" vm="13868">
        <f ca="1"/>
        <v>62.92</v>
      </c>
      <c r="HF116" vm="10277">
        <f ca="1"/>
        <v>63.4</v>
      </c>
      <c r="HG116" vm="10276">
        <f ca="1"/>
        <v>62.9</v>
      </c>
      <c r="HH116" vm="13864">
        <f ca="1"/>
        <v>62.54</v>
      </c>
      <c r="HI116" vm="8662">
        <f ca="1"/>
        <v>62.97</v>
      </c>
      <c r="HJ116" vm="8852">
        <f ca="1"/>
        <v>63</v>
      </c>
      <c r="HK116" vm="14123">
        <f ca="1"/>
        <v>63.57</v>
      </c>
      <c r="HL116" vm="18837">
        <f ca="1"/>
        <v>63.49</v>
      </c>
      <c r="HM116" vm="1473">
        <f ca="1"/>
        <v>63.31</v>
      </c>
      <c r="HN116" vm="11391">
        <f ca="1"/>
        <v>62.83</v>
      </c>
      <c r="HO116" vm="1594">
        <f ca="1"/>
        <v>62.48</v>
      </c>
      <c r="HP116" vm="13864">
        <f ca="1"/>
        <v>62.54</v>
      </c>
      <c r="HQ116" vm="10097">
        <f ca="1"/>
        <v>61.86</v>
      </c>
      <c r="HR116" vm="11396">
        <f ca="1"/>
        <v>62.39</v>
      </c>
      <c r="HS116" vm="13858">
        <f ca="1"/>
        <v>61.94</v>
      </c>
      <c r="HT116" vm="8652">
        <f ca="1"/>
        <v>62.17</v>
      </c>
      <c r="HU116" vm="1605">
        <f ca="1"/>
        <v>62.99</v>
      </c>
      <c r="HV116" vm="14125">
        <f ca="1"/>
        <v>63.6</v>
      </c>
      <c r="HW116" vm="18838">
        <f ca="1"/>
        <v>64.209999999999994</v>
      </c>
      <c r="HX116" vm="2352">
        <f ca="1"/>
        <v>63.72</v>
      </c>
      <c r="HY116" vm="8819">
        <f ca="1"/>
        <v>63.21</v>
      </c>
      <c r="HZ116" vm="13430">
        <f ca="1"/>
        <v>62.21</v>
      </c>
      <c r="IA116" vm="10096">
        <f ca="1"/>
        <v>61.44</v>
      </c>
      <c r="IB116" vm="2535">
        <f ca="1"/>
        <v>61.33</v>
      </c>
      <c r="IC116" vm="1589">
        <f ca="1"/>
        <v>60.46</v>
      </c>
      <c r="ID116" vm="2536">
        <f ca="1"/>
        <v>61.06</v>
      </c>
      <c r="IE116" vm="2537">
        <f ca="1"/>
        <v>60.98</v>
      </c>
      <c r="IF116" vm="2538">
        <f ca="1"/>
        <v>61.97</v>
      </c>
      <c r="IG116" vm="2539">
        <f ca="1"/>
        <v>62.73</v>
      </c>
      <c r="IH116" vm="2540">
        <f ca="1"/>
        <v>63.08</v>
      </c>
      <c r="II116" vm="2541">
        <f ca="1"/>
        <v>62.98</v>
      </c>
      <c r="IJ116" vm="1474">
        <f ca="1"/>
        <v>63.48</v>
      </c>
      <c r="IK116" vm="2542">
        <f ca="1"/>
        <v>63.88</v>
      </c>
      <c r="IL116" vm="2543">
        <f ca="1"/>
        <v>63.83</v>
      </c>
      <c r="IM116" vm="2544">
        <f ca="1"/>
        <v>63.84</v>
      </c>
      <c r="IN116" vm="2545">
        <f ca="1"/>
        <v>63.8</v>
      </c>
      <c r="IO116" vm="1470">
        <f ca="1"/>
        <v>63.62</v>
      </c>
      <c r="IP116" vm="2546">
        <f ca="1"/>
        <v>64.28</v>
      </c>
      <c r="IQ116" vm="2547">
        <f ca="1"/>
        <v>64.95</v>
      </c>
      <c r="IR116" vm="2548">
        <f ca="1"/>
        <v>64.44</v>
      </c>
      <c r="IS116" vm="1937">
        <f ca="1"/>
        <v>64.73</v>
      </c>
      <c r="IT116" vm="2549">
        <f ca="1"/>
        <v>64.540000000000006</v>
      </c>
      <c r="IU116" vm="2545">
        <f ca="1"/>
        <v>63.8</v>
      </c>
      <c r="IV116" vm="2550">
        <f ca="1"/>
        <v>64.290000000000006</v>
      </c>
      <c r="IW116" vm="63">
        <f ca="1"/>
        <v>64.62</v>
      </c>
    </row>
    <row r="117" spans="1:262" ht="16" x14ac:dyDescent="0.2">
      <c r="A117" t="e" vm="2551">
        <v>#VALUE!</v>
      </c>
      <c r="B117" s="23" t="str" cm="1">
        <f t="array" aca="1" ref="B117" ca="1">_FV(A117,"ticker symbol",TRUE)</f>
        <v>E40</v>
      </c>
      <c r="C117" s="23" t="str" cm="1">
        <f t="array" aca="1" ref="C117" ca="1">_FV(A117,"Name")</f>
        <v>BNPP Easy CAC 40 ESG UCITS ETF</v>
      </c>
      <c r="D117" cm="1" vm="18839">
        <f t="array" aca="1" ref="D117:JB117" ca="1">TRANSPOSE(_xlfn.STOCKHISTORY(B117, WORKDAY(TODAY(), -265), TODAY(), 0, 0, 1))</f>
        <v>11.82</v>
      </c>
      <c r="E117" vm="18840">
        <f ca="1"/>
        <v>11.852</v>
      </c>
      <c r="F117" vm="18841">
        <f ca="1"/>
        <v>11.885999999999999</v>
      </c>
      <c r="G117" vm="18842">
        <f ca="1"/>
        <v>11.736000000000001</v>
      </c>
      <c r="H117" vm="18843">
        <f ca="1"/>
        <v>11.651999999999999</v>
      </c>
      <c r="I117" vm="18844">
        <f ca="1"/>
        <v>11.698</v>
      </c>
      <c r="J117" vm="18845">
        <f ca="1"/>
        <v>11.708</v>
      </c>
      <c r="K117" vm="18846">
        <f ca="1"/>
        <v>11.856</v>
      </c>
      <c r="L117" vm="18847">
        <f ca="1"/>
        <v>11.682</v>
      </c>
      <c r="M117" vm="18848">
        <f ca="1"/>
        <v>11.86</v>
      </c>
      <c r="N117" vm="18849">
        <f ca="1"/>
        <v>11.88</v>
      </c>
      <c r="O117" vm="18850">
        <f ca="1"/>
        <v>11.688000000000001</v>
      </c>
      <c r="P117" vm="18851">
        <f ca="1"/>
        <v>11.936</v>
      </c>
      <c r="Q117" vm="18852">
        <f ca="1"/>
        <v>12.013999999999999</v>
      </c>
      <c r="R117" vm="18853">
        <f ca="1"/>
        <v>11.94</v>
      </c>
      <c r="S117" vm="18854">
        <f ca="1"/>
        <v>12.01</v>
      </c>
      <c r="T117" vm="18855">
        <f ca="1"/>
        <v>11.901999999999999</v>
      </c>
      <c r="U117" vm="18856">
        <f ca="1"/>
        <v>11.853999999999999</v>
      </c>
      <c r="V117" vm="18857">
        <f ca="1"/>
        <v>11.896000000000001</v>
      </c>
      <c r="W117" vm="18858">
        <f ca="1"/>
        <v>11.984</v>
      </c>
      <c r="X117" vm="18859">
        <f ca="1"/>
        <v>12.224</v>
      </c>
      <c r="Y117" vm="18860">
        <f ca="1"/>
        <v>12.26</v>
      </c>
      <c r="Z117" vm="18861">
        <f ca="1"/>
        <v>12.316000000000001</v>
      </c>
      <c r="AA117" vm="18862">
        <f ca="1"/>
        <v>12.456</v>
      </c>
      <c r="AB117" vm="18863">
        <f ca="1"/>
        <v>12.566000000000001</v>
      </c>
      <c r="AC117" vm="18864">
        <f ca="1"/>
        <v>12.618</v>
      </c>
      <c r="AD117" vm="18865">
        <f ca="1"/>
        <v>12.704000000000001</v>
      </c>
      <c r="AE117" vm="18866">
        <f ca="1"/>
        <v>12.662000000000001</v>
      </c>
      <c r="AF117" vm="18867">
        <f ca="1"/>
        <v>12.64</v>
      </c>
      <c r="AG117" vm="18868">
        <f ca="1"/>
        <v>12.596</v>
      </c>
      <c r="AH117" vm="18869">
        <f ca="1"/>
        <v>12.71</v>
      </c>
      <c r="AI117" vm="18870">
        <f ca="1"/>
        <v>12.722</v>
      </c>
      <c r="AJ117" vm="18871">
        <f ca="1"/>
        <v>12.568</v>
      </c>
      <c r="AK117" vm="18872">
        <f ca="1"/>
        <v>12.603999999999999</v>
      </c>
      <c r="AL117" vm="18873">
        <f ca="1"/>
        <v>12.555999999999999</v>
      </c>
      <c r="AM117" vm="18874">
        <f ca="1"/>
        <v>12.756</v>
      </c>
      <c r="AN117" vm="18875">
        <f ca="1"/>
        <v>12.694000000000001</v>
      </c>
      <c r="AO117" vm="18876">
        <f ca="1"/>
        <v>12.762</v>
      </c>
      <c r="AP117" vm="18877">
        <f ca="1"/>
        <v>12.794</v>
      </c>
      <c r="AQ117" vm="18878">
        <f ca="1"/>
        <v>12.811999999999999</v>
      </c>
      <c r="AR117" vm="18879">
        <f ca="1"/>
        <v>12.984</v>
      </c>
      <c r="AS117" vm="18880">
        <f ca="1"/>
        <v>13.004</v>
      </c>
      <c r="AT117" vm="18881">
        <f ca="1"/>
        <v>12.964</v>
      </c>
      <c r="AU117" vm="2556">
        <f ca="1"/>
        <v>12.986000000000001</v>
      </c>
      <c r="AV117" vm="18882">
        <f ca="1"/>
        <v>12.824</v>
      </c>
      <c r="AW117" vm="18883">
        <f ca="1"/>
        <v>12.846</v>
      </c>
      <c r="AX117" vm="18884">
        <f ca="1"/>
        <v>12.944000000000001</v>
      </c>
      <c r="AY117" vm="18885">
        <f ca="1"/>
        <v>12.816000000000001</v>
      </c>
      <c r="AZ117" vm="18886">
        <f ca="1"/>
        <v>12.778</v>
      </c>
      <c r="BA117" vm="18887">
        <f ca="1"/>
        <v>12.946</v>
      </c>
      <c r="BB117" vm="18888">
        <f ca="1"/>
        <v>12.916</v>
      </c>
      <c r="BC117" vm="18889">
        <f ca="1"/>
        <v>12.926</v>
      </c>
      <c r="BD117" vm="18890">
        <f ca="1"/>
        <v>13.044</v>
      </c>
      <c r="BE117" vm="18891">
        <f ca="1"/>
        <v>12.862</v>
      </c>
      <c r="BF117" vm="18892">
        <f ca="1"/>
        <v>13.066000000000001</v>
      </c>
      <c r="BG117" vm="18893">
        <f ca="1"/>
        <v>13.186</v>
      </c>
      <c r="BH117" vm="18894">
        <f ca="1"/>
        <v>12.992000000000001</v>
      </c>
      <c r="BI117" vm="18895">
        <f ca="1"/>
        <v>12.891999999999999</v>
      </c>
      <c r="BJ117" vm="18896">
        <f ca="1"/>
        <v>12.728</v>
      </c>
      <c r="BK117" vm="18885">
        <f ca="1"/>
        <v>12.816000000000001</v>
      </c>
      <c r="BL117" vm="18897">
        <f ca="1"/>
        <v>12.696</v>
      </c>
      <c r="BM117" vm="18898">
        <f ca="1"/>
        <v>12.832000000000001</v>
      </c>
      <c r="BN117" vm="18881">
        <f ca="1"/>
        <v>12.964</v>
      </c>
      <c r="BO117" vm="18899">
        <f ca="1"/>
        <v>12.96</v>
      </c>
      <c r="BP117" vm="18900">
        <f ca="1"/>
        <v>13.087999999999999</v>
      </c>
      <c r="BQ117" vm="18901">
        <f ca="1"/>
        <v>12.958</v>
      </c>
      <c r="BR117" vm="18902">
        <f ca="1"/>
        <v>12.843999999999999</v>
      </c>
      <c r="BS117" vm="18903">
        <f ca="1"/>
        <v>12.834</v>
      </c>
      <c r="BT117" vm="18904">
        <f ca="1"/>
        <v>12.917999999999999</v>
      </c>
      <c r="BU117" vm="18886">
        <f ca="1"/>
        <v>12.778</v>
      </c>
      <c r="BV117" vm="18905">
        <f ca="1"/>
        <v>12.686</v>
      </c>
      <c r="BW117" vm="18906">
        <f ca="1"/>
        <v>12.622</v>
      </c>
      <c r="BX117" vm="18907">
        <f ca="1"/>
        <v>12.416</v>
      </c>
      <c r="BY117" vm="18908">
        <f ca="1"/>
        <v>12.513999999999999</v>
      </c>
      <c r="BZ117" vm="18909">
        <f ca="1"/>
        <v>12.507999999999999</v>
      </c>
      <c r="CA117" vm="18910">
        <f ca="1"/>
        <v>12.166</v>
      </c>
      <c r="CB117" vm="18911">
        <f ca="1"/>
        <v>11.667999999999999</v>
      </c>
      <c r="CC117" vm="18912">
        <f ca="1"/>
        <v>11.108000000000001</v>
      </c>
      <c r="CD117" vm="18913">
        <f ca="1"/>
        <v>11.364000000000001</v>
      </c>
      <c r="CE117" vm="18914">
        <f ca="1"/>
        <v>11.038</v>
      </c>
      <c r="CF117" vm="18915">
        <f ca="1"/>
        <v>11.486000000000001</v>
      </c>
      <c r="CG117" vm="18916">
        <f ca="1"/>
        <v>11.41</v>
      </c>
      <c r="CH117" vm="18917">
        <f ca="1"/>
        <v>11.731999999999999</v>
      </c>
      <c r="CI117" vm="18918">
        <f ca="1"/>
        <v>11.83</v>
      </c>
      <c r="CJ117" vm="18919">
        <f ca="1"/>
        <v>11.792</v>
      </c>
      <c r="CK117" vm="18920">
        <f ca="1"/>
        <v>11.742000000000001</v>
      </c>
      <c r="CL117" vm="18921">
        <f ca="1"/>
        <v>11.842000000000001</v>
      </c>
      <c r="CM117" vm="18922">
        <f ca="1"/>
        <v>12.106</v>
      </c>
      <c r="CN117" vm="18923">
        <f ca="1"/>
        <v>12.167999999999999</v>
      </c>
      <c r="CO117" vm="18924">
        <f ca="1"/>
        <v>12.231999999999999</v>
      </c>
      <c r="CP117" vm="18925">
        <f ca="1"/>
        <v>12.298</v>
      </c>
      <c r="CQ117" vm="18926">
        <f ca="1"/>
        <v>12.27</v>
      </c>
      <c r="CR117" vm="18927">
        <f ca="1"/>
        <v>12.375999999999999</v>
      </c>
      <c r="CS117" vm="18928">
        <f ca="1"/>
        <v>12.67</v>
      </c>
      <c r="CT117" vm="18906">
        <f ca="1"/>
        <v>12.622</v>
      </c>
      <c r="CU117" vm="18929">
        <f ca="1"/>
        <v>12.646000000000001</v>
      </c>
      <c r="CV117" vm="18930">
        <f ca="1"/>
        <v>12.516</v>
      </c>
      <c r="CW117" vm="18931">
        <f ca="1"/>
        <v>12.608000000000001</v>
      </c>
      <c r="CX117" vm="18897">
        <f ca="1"/>
        <v>12.696</v>
      </c>
      <c r="CY117" vm="2552">
        <f ca="1"/>
        <v>12.85</v>
      </c>
      <c r="CZ117" vm="18932">
        <f ca="1"/>
        <v>12.932</v>
      </c>
      <c r="DA117" vm="18933">
        <f ca="1"/>
        <v>12.888</v>
      </c>
      <c r="DB117" vm="18889">
        <f ca="1"/>
        <v>12.926</v>
      </c>
      <c r="DC117" vm="18934">
        <f ca="1"/>
        <v>12.904</v>
      </c>
      <c r="DD117" vm="2561">
        <f ca="1"/>
        <v>13.02</v>
      </c>
      <c r="DE117" vm="18935">
        <f ca="1"/>
        <v>13.135999999999999</v>
      </c>
      <c r="DF117" vm="18936">
        <f ca="1"/>
        <v>13.092000000000001</v>
      </c>
      <c r="DG117" vm="18937">
        <f ca="1"/>
        <v>12.98</v>
      </c>
      <c r="DH117" vm="18938">
        <f ca="1"/>
        <v>12.837999999999999</v>
      </c>
      <c r="DI117" vm="18939">
        <f ca="1"/>
        <v>13.002000000000001</v>
      </c>
      <c r="DJ117" vm="18940">
        <f ca="1"/>
        <v>13.026</v>
      </c>
      <c r="DK117" vm="18941">
        <f ca="1"/>
        <v>12.962</v>
      </c>
      <c r="DL117" vm="18884">
        <f ca="1"/>
        <v>12.944000000000001</v>
      </c>
      <c r="DM117" vm="2552">
        <f ca="1"/>
        <v>12.85</v>
      </c>
      <c r="DN117" vm="18882">
        <f ca="1"/>
        <v>12.824</v>
      </c>
      <c r="DO117" vm="18934">
        <f ca="1"/>
        <v>12.904</v>
      </c>
      <c r="DP117" vm="18901">
        <f ca="1"/>
        <v>12.958</v>
      </c>
      <c r="DQ117" vm="18942">
        <f ca="1"/>
        <v>12.988</v>
      </c>
      <c r="DR117" vm="18943">
        <f ca="1"/>
        <v>13.006</v>
      </c>
      <c r="DS117" vm="18879">
        <f ca="1"/>
        <v>12.984</v>
      </c>
      <c r="DT117" vm="2553">
        <f ca="1"/>
        <v>12.894</v>
      </c>
      <c r="DU117" vm="18944">
        <f ca="1"/>
        <v>12.856</v>
      </c>
      <c r="DV117" vm="18945">
        <f ca="1"/>
        <v>12.87</v>
      </c>
      <c r="DW117" vm="18946">
        <f ca="1"/>
        <v>12.757999999999999</v>
      </c>
      <c r="DX117" vm="18947">
        <f ca="1"/>
        <v>12.868</v>
      </c>
      <c r="DY117" vm="18948">
        <f ca="1"/>
        <v>12.742000000000001</v>
      </c>
      <c r="DZ117" vm="18949">
        <f ca="1"/>
        <v>12.706</v>
      </c>
      <c r="EA117" vm="18950">
        <f ca="1"/>
        <v>12.51</v>
      </c>
      <c r="EB117" vm="18951">
        <f ca="1"/>
        <v>12.58</v>
      </c>
      <c r="EC117" vm="18952">
        <f ca="1"/>
        <v>12.506</v>
      </c>
      <c r="ED117" vm="18953">
        <f ca="1"/>
        <v>12.666</v>
      </c>
      <c r="EE117" vm="18954">
        <f ca="1"/>
        <v>12.56</v>
      </c>
      <c r="EF117" vm="18955">
        <f ca="1"/>
        <v>12.548</v>
      </c>
      <c r="EG117" vm="18956">
        <f ca="1"/>
        <v>12.744</v>
      </c>
      <c r="EH117" vm="18957">
        <f ca="1"/>
        <v>12.77</v>
      </c>
      <c r="EI117" vm="18958">
        <f ca="1"/>
        <v>12.714</v>
      </c>
      <c r="EJ117" vm="18959">
        <f ca="1"/>
        <v>12.878</v>
      </c>
      <c r="EK117" vm="18960">
        <f ca="1"/>
        <v>12.885999999999999</v>
      </c>
      <c r="EL117" vm="18961">
        <f ca="1"/>
        <v>12.826000000000001</v>
      </c>
      <c r="EM117" vm="18962">
        <f ca="1"/>
        <v>12.88</v>
      </c>
      <c r="EN117" vm="18963">
        <f ca="1"/>
        <v>12.9</v>
      </c>
      <c r="EO117" vm="18964">
        <f ca="1"/>
        <v>13.118</v>
      </c>
      <c r="EP117" vm="18965">
        <f ca="1"/>
        <v>13.16</v>
      </c>
      <c r="EQ117" vm="18966">
        <f ca="1"/>
        <v>12.976000000000001</v>
      </c>
      <c r="ER117" vm="18967">
        <f ca="1"/>
        <v>12.928000000000001</v>
      </c>
      <c r="ES117" vm="18968">
        <f ca="1"/>
        <v>12.906000000000001</v>
      </c>
      <c r="ET117" vm="2552">
        <f ca="1"/>
        <v>12.85</v>
      </c>
      <c r="EU117" vm="18969">
        <f ca="1"/>
        <v>13.018000000000001</v>
      </c>
      <c r="EV117" vm="2565">
        <f ca="1"/>
        <v>12.981999999999999</v>
      </c>
      <c r="EW117" vm="18970">
        <f ca="1"/>
        <v>12.997999999999999</v>
      </c>
      <c r="EX117" vm="18968">
        <f ca="1"/>
        <v>12.906000000000001</v>
      </c>
      <c r="EY117" vm="18971">
        <f ca="1"/>
        <v>13.086</v>
      </c>
      <c r="EZ117" vm="18890">
        <f ca="1"/>
        <v>13.044</v>
      </c>
      <c r="FA117" vm="18972">
        <f ca="1"/>
        <v>13.052</v>
      </c>
      <c r="FB117" vm="2565">
        <f ca="1"/>
        <v>12.981999999999999</v>
      </c>
      <c r="FC117" vm="18900">
        <f ca="1"/>
        <v>13.087999999999999</v>
      </c>
      <c r="FD117" vm="18973">
        <f ca="1"/>
        <v>13.055999999999999</v>
      </c>
      <c r="FE117" vm="18884">
        <f ca="1"/>
        <v>12.944000000000001</v>
      </c>
      <c r="FF117" vm="18974">
        <f ca="1"/>
        <v>12.577999999999999</v>
      </c>
      <c r="FG117" vm="18975">
        <f ca="1"/>
        <v>12.672000000000001</v>
      </c>
      <c r="FH117" vm="18976">
        <f ca="1"/>
        <v>12.673999999999999</v>
      </c>
      <c r="FI117" vm="18897">
        <f ca="1"/>
        <v>12.696</v>
      </c>
      <c r="FJ117" vm="18977">
        <f ca="1"/>
        <v>12.818</v>
      </c>
      <c r="FK117" vm="18959">
        <f ca="1"/>
        <v>12.878</v>
      </c>
      <c r="FL117" vm="18978">
        <f ca="1"/>
        <v>12.798</v>
      </c>
      <c r="FM117" vm="18878">
        <f ca="1"/>
        <v>12.811999999999999</v>
      </c>
      <c r="FN117" vm="18894">
        <f ca="1"/>
        <v>12.992000000000001</v>
      </c>
      <c r="FO117" vm="18979">
        <f ca="1"/>
        <v>13.032</v>
      </c>
      <c r="FP117" vm="2563">
        <f ca="1"/>
        <v>13.122</v>
      </c>
      <c r="FQ117" vm="18980">
        <f ca="1"/>
        <v>13.102</v>
      </c>
      <c r="FR117" vm="18981">
        <f ca="1"/>
        <v>13.27</v>
      </c>
      <c r="FS117" vm="18982">
        <f ca="1"/>
        <v>13.2</v>
      </c>
      <c r="FT117" vm="18983">
        <f ca="1"/>
        <v>13.188000000000001</v>
      </c>
      <c r="FU117" vm="18984">
        <f ca="1"/>
        <v>13.246</v>
      </c>
      <c r="FV117" vm="18985">
        <f ca="1"/>
        <v>13.012</v>
      </c>
      <c r="FW117" vm="18957">
        <f ca="1"/>
        <v>12.77</v>
      </c>
      <c r="FX117" vm="18986">
        <f ca="1"/>
        <v>12.858000000000001</v>
      </c>
      <c r="FY117" vm="18967">
        <f ca="1"/>
        <v>12.928000000000001</v>
      </c>
      <c r="FZ117" vm="18878">
        <f ca="1"/>
        <v>12.811999999999999</v>
      </c>
      <c r="GA117" vm="18987">
        <f ca="1"/>
        <v>12.747999999999999</v>
      </c>
      <c r="GB117" vm="18988">
        <f ca="1"/>
        <v>12.66</v>
      </c>
      <c r="GC117" vm="2552">
        <f ca="1"/>
        <v>12.85</v>
      </c>
      <c r="GD117" vm="18989">
        <f ca="1"/>
        <v>12.8</v>
      </c>
      <c r="GE117" vm="18990">
        <f ca="1"/>
        <v>12.795999999999999</v>
      </c>
      <c r="GF117" vm="2555">
        <f ca="1"/>
        <v>12.84</v>
      </c>
      <c r="GG117" vm="18991">
        <f ca="1"/>
        <v>12.864000000000001</v>
      </c>
      <c r="GH117" vm="18963">
        <f ca="1"/>
        <v>12.9</v>
      </c>
      <c r="GI117" vm="18992">
        <f ca="1"/>
        <v>13.013999999999999</v>
      </c>
      <c r="GJ117" vm="18993">
        <f ca="1"/>
        <v>13.038</v>
      </c>
      <c r="GK117" vm="18994">
        <f ca="1"/>
        <v>13.128</v>
      </c>
      <c r="GL117" vm="18992">
        <f ca="1"/>
        <v>13.013999999999999</v>
      </c>
      <c r="GM117" vm="18995">
        <f ca="1"/>
        <v>12.93</v>
      </c>
      <c r="GN117" vm="18972">
        <f ca="1"/>
        <v>13.052</v>
      </c>
      <c r="GO117" vm="18971">
        <f ca="1"/>
        <v>13.086</v>
      </c>
      <c r="GP117" vm="18996">
        <f ca="1"/>
        <v>13.034000000000001</v>
      </c>
      <c r="GQ117" vm="18997">
        <f ca="1"/>
        <v>13.116</v>
      </c>
      <c r="GR117" vm="18998">
        <f ca="1"/>
        <v>12.99</v>
      </c>
      <c r="GS117" vm="18904">
        <f ca="1"/>
        <v>12.917999999999999</v>
      </c>
      <c r="GT117" vm="18936">
        <f ca="1"/>
        <v>13.092000000000001</v>
      </c>
      <c r="GU117" vm="18999">
        <f ca="1"/>
        <v>13.093999999999999</v>
      </c>
      <c r="GV117" vm="19000">
        <f ca="1"/>
        <v>13.166</v>
      </c>
      <c r="GW117" vm="19001">
        <f ca="1"/>
        <v>13.282</v>
      </c>
      <c r="GX117" vm="19002">
        <f ca="1"/>
        <v>13.436</v>
      </c>
      <c r="GY117" vm="19003">
        <f ca="1"/>
        <v>13.51</v>
      </c>
      <c r="GZ117" vm="19004">
        <f ca="1"/>
        <v>13.334</v>
      </c>
      <c r="HA117" vm="19005">
        <f ca="1"/>
        <v>13.353999999999999</v>
      </c>
      <c r="HB117" vm="19006">
        <f ca="1"/>
        <v>13.481999999999999</v>
      </c>
      <c r="HC117" vm="19007">
        <f ca="1"/>
        <v>13.454000000000001</v>
      </c>
      <c r="HD117" vm="19008">
        <f ca="1"/>
        <v>13.272</v>
      </c>
      <c r="HE117" vm="19009">
        <f ca="1"/>
        <v>13.31</v>
      </c>
      <c r="HF117" vm="19010">
        <f ca="1"/>
        <v>13.263999999999999</v>
      </c>
      <c r="HG117" vm="19011">
        <f ca="1"/>
        <v>13.532</v>
      </c>
      <c r="HH117" vm="19012">
        <f ca="1"/>
        <v>13.714</v>
      </c>
      <c r="HI117" vm="19013">
        <f ca="1"/>
        <v>13.68</v>
      </c>
      <c r="HJ117" vm="19014">
        <f ca="1"/>
        <v>13.7</v>
      </c>
      <c r="HK117" vm="19015">
        <f ca="1"/>
        <v>13.853999999999999</v>
      </c>
      <c r="HL117" vm="19016">
        <f ca="1"/>
        <v>13.75</v>
      </c>
      <c r="HM117" vm="19012">
        <f ca="1"/>
        <v>13.714</v>
      </c>
      <c r="HN117" vm="19017">
        <f ca="1"/>
        <v>13.756</v>
      </c>
      <c r="HO117" vm="19018">
        <f ca="1"/>
        <v>13.795999999999999</v>
      </c>
      <c r="HP117" vm="19019">
        <f ca="1"/>
        <v>13.766</v>
      </c>
      <c r="HQ117" vm="19020">
        <f ca="1"/>
        <v>13.722</v>
      </c>
      <c r="HR117" vm="19021">
        <f ca="1"/>
        <v>13.603999999999999</v>
      </c>
      <c r="HS117" vm="19022">
        <f ca="1"/>
        <v>13.526</v>
      </c>
      <c r="HT117" vm="19023">
        <f ca="1"/>
        <v>13.497999999999999</v>
      </c>
      <c r="HU117" vm="19024">
        <f ca="1"/>
        <v>13.4</v>
      </c>
      <c r="HV117" vm="19025">
        <f ca="1"/>
        <v>13.496</v>
      </c>
      <c r="HW117" vm="19026">
        <f ca="1"/>
        <v>13.278</v>
      </c>
      <c r="HX117" vm="19027">
        <f ca="1"/>
        <v>13.208</v>
      </c>
      <c r="HY117" vm="19028">
        <f ca="1"/>
        <v>13.43</v>
      </c>
      <c r="HZ117" vm="19029">
        <f ca="1"/>
        <v>13.582000000000001</v>
      </c>
      <c r="IA117" vm="19030">
        <f ca="1"/>
        <v>13.324</v>
      </c>
      <c r="IB117" vm="19031">
        <f ca="1"/>
        <v>13.342000000000001</v>
      </c>
      <c r="IC117" vm="19032">
        <f ca="1"/>
        <v>13.24</v>
      </c>
      <c r="ID117" vm="2559">
        <f ca="1"/>
        <v>13.141999999999999</v>
      </c>
      <c r="IE117" vm="2553">
        <f ca="1"/>
        <v>12.894</v>
      </c>
      <c r="IF117" vm="2552">
        <f ca="1"/>
        <v>12.85</v>
      </c>
      <c r="IG117" vm="2553">
        <f ca="1"/>
        <v>12.894</v>
      </c>
      <c r="IH117" vm="2554">
        <f ca="1"/>
        <v>12.907999999999999</v>
      </c>
      <c r="II117" vm="2555">
        <f ca="1"/>
        <v>12.84</v>
      </c>
      <c r="IJ117" vm="2556">
        <f ca="1"/>
        <v>12.986000000000001</v>
      </c>
      <c r="IK117" vm="2557">
        <f ca="1"/>
        <v>13.054</v>
      </c>
      <c r="IL117" vm="2558">
        <f ca="1"/>
        <v>13.064</v>
      </c>
      <c r="IM117" vm="2559">
        <f ca="1"/>
        <v>13.141999999999999</v>
      </c>
      <c r="IN117" vm="2560">
        <f ca="1"/>
        <v>13.068</v>
      </c>
      <c r="IO117" vm="2561">
        <f ca="1"/>
        <v>13.02</v>
      </c>
      <c r="IP117" vm="2562">
        <f ca="1"/>
        <v>13.076000000000001</v>
      </c>
      <c r="IQ117" vm="2559">
        <f ca="1"/>
        <v>13.141999999999999</v>
      </c>
      <c r="IR117" vm="2563">
        <f ca="1"/>
        <v>13.122</v>
      </c>
      <c r="IS117" vm="2564">
        <f ca="1"/>
        <v>13.098000000000001</v>
      </c>
      <c r="IT117" vm="2561">
        <f ca="1"/>
        <v>13.02</v>
      </c>
      <c r="IU117" vm="2565">
        <f ca="1"/>
        <v>12.981999999999999</v>
      </c>
      <c r="IV117" vm="2560">
        <f ca="1"/>
        <v>13.068</v>
      </c>
      <c r="IW117" vm="2560">
        <f ca="1"/>
        <v>13.068</v>
      </c>
      <c r="IX117" vm="2566">
        <f ca="1"/>
        <v>13.154</v>
      </c>
      <c r="IY117" vm="2567">
        <f ca="1"/>
        <v>13.144</v>
      </c>
      <c r="IZ117" vm="2562">
        <f ca="1"/>
        <v>13.076000000000001</v>
      </c>
      <c r="JA117" vm="65">
        <f ca="1"/>
        <v>13.18</v>
      </c>
      <c r="JB117" vm="2568">
        <f ca="1"/>
        <v>13.173999999999999</v>
      </c>
    </row>
    <row r="118" spans="1:262" ht="16" x14ac:dyDescent="0.2">
      <c r="A118" t="e" vm="2569">
        <v>#VALUE!</v>
      </c>
      <c r="B118" s="23" t="str" cm="1">
        <f t="array" aca="1" ref="B118" ca="1">_FV(A118,"ticker symbol",TRUE)</f>
        <v>DAX</v>
      </c>
      <c r="C118" s="23" t="str" cm="1">
        <f t="array" aca="1" ref="C118" ca="1">_FV(A118,"Name")</f>
        <v>Glbl X DAX Germany</v>
      </c>
      <c r="D118" cm="1" vm="19033">
        <f t="array" aca="1" ref="D118:IW118" ca="1">TRANSPOSE(_xlfn.STOCKHISTORY(B118, WORKDAY(TODAY(), -265), TODAY(), 0, 0, 1))</f>
        <v>34.700600000000001</v>
      </c>
      <c r="E118" vm="19034">
        <f ca="1"/>
        <v>34.466000000000001</v>
      </c>
      <c r="F118" vm="19035">
        <f ca="1"/>
        <v>33.686999999999998</v>
      </c>
      <c r="G118" vm="8996">
        <f ca="1"/>
        <v>33.630000000000003</v>
      </c>
      <c r="H118" vm="15768">
        <f ca="1"/>
        <v>33.68</v>
      </c>
      <c r="I118" vm="8987">
        <f ca="1"/>
        <v>33.549999999999997</v>
      </c>
      <c r="J118" vm="9181">
        <f ca="1"/>
        <v>33.9</v>
      </c>
      <c r="K118" vm="19036">
        <f ca="1"/>
        <v>34.119999999999997</v>
      </c>
      <c r="L118" vm="10639">
        <f ca="1"/>
        <v>33.69</v>
      </c>
      <c r="M118" vm="8985">
        <f ca="1"/>
        <v>33.450000000000003</v>
      </c>
      <c r="N118" vm="19037">
        <f ca="1"/>
        <v>33.319000000000003</v>
      </c>
      <c r="O118" vm="19038">
        <f ca="1"/>
        <v>33.130000000000003</v>
      </c>
      <c r="P118" vm="9072">
        <f ca="1"/>
        <v>33.22</v>
      </c>
      <c r="Q118" vm="9081">
        <f ca="1"/>
        <v>33.909999999999997</v>
      </c>
      <c r="R118" vm="19039">
        <f ca="1"/>
        <v>34.06</v>
      </c>
      <c r="S118" vm="17829">
        <f ca="1"/>
        <v>34.049999999999997</v>
      </c>
      <c r="T118" vm="19040">
        <f ca="1"/>
        <v>33.57</v>
      </c>
      <c r="U118" vm="2699">
        <f ca="1"/>
        <v>33.47</v>
      </c>
      <c r="V118" vm="9077">
        <f ca="1"/>
        <v>33.97</v>
      </c>
      <c r="W118" vm="8980">
        <f ca="1"/>
        <v>34.53</v>
      </c>
      <c r="X118" vm="19041">
        <f ca="1"/>
        <v>34.6</v>
      </c>
      <c r="Y118" vm="14024">
        <f ca="1"/>
        <v>34.79</v>
      </c>
      <c r="Z118" vm="19042">
        <f ca="1"/>
        <v>35.82</v>
      </c>
      <c r="AA118" vm="19043">
        <f ca="1"/>
        <v>35.929900000000004</v>
      </c>
      <c r="AB118" vm="19044">
        <f ca="1"/>
        <v>36.39</v>
      </c>
      <c r="AC118" vm="1562">
        <f ca="1"/>
        <v>36.409999999999997</v>
      </c>
      <c r="AD118" vm="19045">
        <f ca="1"/>
        <v>36.408799999999999</v>
      </c>
      <c r="AE118" vm="9105">
        <f ca="1"/>
        <v>36.31</v>
      </c>
      <c r="AF118" vm="9110">
        <f ca="1"/>
        <v>36.47</v>
      </c>
      <c r="AG118" vm="1561">
        <f ca="1"/>
        <v>36.58</v>
      </c>
      <c r="AH118" vm="19046">
        <f ca="1"/>
        <v>36.299999999999997</v>
      </c>
      <c r="AI118" vm="19047">
        <f ca="1"/>
        <v>35.712800000000001</v>
      </c>
      <c r="AJ118" vm="19048">
        <f ca="1"/>
        <v>36.07</v>
      </c>
      <c r="AK118" vm="15772">
        <f ca="1"/>
        <v>36.51</v>
      </c>
      <c r="AL118" vm="822">
        <f ca="1"/>
        <v>36.93</v>
      </c>
      <c r="AM118" vm="19049">
        <f ca="1"/>
        <v>36.46</v>
      </c>
      <c r="AN118" vm="819">
        <f ca="1"/>
        <v>36.770000000000003</v>
      </c>
      <c r="AO118" vm="17226">
        <f ca="1"/>
        <v>37.15</v>
      </c>
      <c r="AP118" vm="9169">
        <f ca="1"/>
        <v>37.619999999999997</v>
      </c>
      <c r="AQ118" vm="19050">
        <f ca="1"/>
        <v>38.215000000000003</v>
      </c>
      <c r="AR118" vm="12775">
        <f ca="1"/>
        <v>38.35</v>
      </c>
      <c r="AS118" vm="19051">
        <f ca="1"/>
        <v>38.799999999999997</v>
      </c>
      <c r="AT118" vm="19052">
        <f ca="1"/>
        <v>37.963900000000002</v>
      </c>
      <c r="AU118" vm="9160">
        <f ca="1"/>
        <v>38.049999999999997</v>
      </c>
      <c r="AV118" vm="3315">
        <f ca="1"/>
        <v>37.64</v>
      </c>
      <c r="AW118" vm="12767">
        <f ca="1"/>
        <v>37.880000000000003</v>
      </c>
      <c r="AX118" vm="19053">
        <f ca="1"/>
        <v>38.47</v>
      </c>
      <c r="AY118" vm="9135">
        <f ca="1"/>
        <v>38.46</v>
      </c>
      <c r="AZ118" vm="9186">
        <f ca="1"/>
        <v>37.78</v>
      </c>
      <c r="BA118" vm="4675">
        <f ca="1"/>
        <v>37.979999999999997</v>
      </c>
      <c r="BB118" vm="12730">
        <f ca="1"/>
        <v>39.17</v>
      </c>
      <c r="BC118" vm="2631">
        <f ca="1"/>
        <v>39.08</v>
      </c>
      <c r="BD118" vm="9192">
        <f ca="1"/>
        <v>40.72</v>
      </c>
      <c r="BE118" vm="6924">
        <f ca="1"/>
        <v>40.64</v>
      </c>
      <c r="BF118" vm="2715">
        <f ca="1"/>
        <v>40.89</v>
      </c>
      <c r="BG118" vm="12780">
        <f ca="1"/>
        <v>39.700000000000003</v>
      </c>
      <c r="BH118" vm="12748">
        <f ca="1"/>
        <v>39.75</v>
      </c>
      <c r="BI118" vm="6858">
        <f ca="1"/>
        <v>40.06</v>
      </c>
      <c r="BJ118" vm="4811">
        <f ca="1"/>
        <v>39.61</v>
      </c>
      <c r="BK118" vm="558">
        <f ca="1"/>
        <v>40.74</v>
      </c>
      <c r="BL118" vm="12797">
        <f ca="1"/>
        <v>41.19</v>
      </c>
      <c r="BM118" vm="6920">
        <f ca="1"/>
        <v>41.49</v>
      </c>
      <c r="BN118" vm="6967">
        <f ca="1"/>
        <v>41.24</v>
      </c>
      <c r="BO118" vm="6910">
        <f ca="1"/>
        <v>40.450000000000003</v>
      </c>
      <c r="BP118" vm="10026">
        <f ca="1"/>
        <v>40.17</v>
      </c>
      <c r="BQ118" vm="19054">
        <f ca="1"/>
        <v>40.1</v>
      </c>
      <c r="BR118" vm="19055">
        <f ca="1"/>
        <v>40.49</v>
      </c>
      <c r="BS118" vm="17839">
        <f ca="1"/>
        <v>39.630000000000003</v>
      </c>
      <c r="BT118" vm="12741">
        <f ca="1"/>
        <v>39.65</v>
      </c>
      <c r="BU118" vm="15711">
        <f ca="1"/>
        <v>39.42</v>
      </c>
      <c r="BV118" vm="12754">
        <f ca="1"/>
        <v>39.1</v>
      </c>
      <c r="BW118" vm="9132">
        <f ca="1"/>
        <v>39.409999999999997</v>
      </c>
      <c r="BX118" vm="19056">
        <f ca="1"/>
        <v>39.380000000000003</v>
      </c>
      <c r="BY118" vm="16015">
        <f ca="1"/>
        <v>38.619999999999997</v>
      </c>
      <c r="BZ118" vm="15774">
        <f ca="1"/>
        <v>36.06</v>
      </c>
      <c r="CA118" vm="19057">
        <f ca="1"/>
        <v>35.21</v>
      </c>
      <c r="CB118" vm="19058">
        <f ca="1"/>
        <v>34.840000000000003</v>
      </c>
      <c r="CC118" vm="1033">
        <f ca="1"/>
        <v>37.94</v>
      </c>
      <c r="CD118" vm="4684">
        <f ca="1"/>
        <v>37.57</v>
      </c>
      <c r="CE118" vm="12774">
        <f ca="1"/>
        <v>38.07</v>
      </c>
      <c r="CF118" vm="19059">
        <f ca="1"/>
        <v>38.590000000000003</v>
      </c>
      <c r="CG118" vm="13790">
        <f ca="1"/>
        <v>38.86</v>
      </c>
      <c r="CH118" vm="19060">
        <f ca="1"/>
        <v>38.979999999999997</v>
      </c>
      <c r="CI118" vm="12754">
        <f ca="1"/>
        <v>39.1</v>
      </c>
      <c r="CJ118" vm="17230">
        <f ca="1"/>
        <v>38.76</v>
      </c>
      <c r="CK118" vm="12749">
        <f ca="1"/>
        <v>39.729999999999997</v>
      </c>
      <c r="CL118" vm="19">
        <f ca="1"/>
        <v>40.33</v>
      </c>
      <c r="CM118" vm="563">
        <f ca="1"/>
        <v>40.909999999999997</v>
      </c>
      <c r="CN118" vm="12797">
        <f ca="1"/>
        <v>41.19</v>
      </c>
      <c r="CO118" vm="310">
        <f ca="1"/>
        <v>41.36</v>
      </c>
      <c r="CP118" vm="6877">
        <f ca="1"/>
        <v>41.55</v>
      </c>
      <c r="CQ118" vm="6880">
        <f ca="1"/>
        <v>41.51</v>
      </c>
      <c r="CR118" vm="19061">
        <f ca="1"/>
        <v>41.46</v>
      </c>
      <c r="CS118" vm="19062">
        <f ca="1"/>
        <v>42.33</v>
      </c>
      <c r="CT118" vm="19063">
        <f ca="1"/>
        <v>42.81</v>
      </c>
      <c r="CU118" vm="602">
        <f ca="1"/>
        <v>42.72</v>
      </c>
      <c r="CV118" vm="6954">
        <f ca="1"/>
        <v>42.35</v>
      </c>
      <c r="CW118" vm="2680">
        <f ca="1"/>
        <v>42.52</v>
      </c>
      <c r="CX118" vm="19064">
        <f ca="1"/>
        <v>42.825000000000003</v>
      </c>
      <c r="CY118" vm="13812">
        <f ca="1"/>
        <v>42.38</v>
      </c>
      <c r="CZ118" vm="6961">
        <f ca="1"/>
        <v>42.65</v>
      </c>
      <c r="DA118" vm="6856">
        <f ca="1"/>
        <v>42.42</v>
      </c>
      <c r="DB118" vm="16584">
        <f ca="1"/>
        <v>42.92</v>
      </c>
      <c r="DC118" vm="1373">
        <f ca="1"/>
        <v>42.89</v>
      </c>
      <c r="DD118" vm="9200">
        <f ca="1"/>
        <v>43.69</v>
      </c>
      <c r="DE118" vm="10020">
        <f ca="1"/>
        <v>43.84</v>
      </c>
      <c r="DF118" vm="19065">
        <f ca="1"/>
        <v>43.814999999999998</v>
      </c>
      <c r="DG118" vm="10020">
        <f ca="1"/>
        <v>43.84</v>
      </c>
      <c r="DH118" vm="601">
        <f ca="1"/>
        <v>43.3</v>
      </c>
      <c r="DI118" vm="12065">
        <f ca="1"/>
        <v>44.45</v>
      </c>
      <c r="DJ118" vm="12027">
        <f ca="1"/>
        <v>43.93</v>
      </c>
      <c r="DK118" vm="9203">
        <f ca="1"/>
        <v>44</v>
      </c>
      <c r="DL118" vm="2579">
        <f ca="1"/>
        <v>44.11</v>
      </c>
      <c r="DM118" vm="13773">
        <f ca="1"/>
        <v>44.56</v>
      </c>
      <c r="DN118" vm="13786">
        <f ca="1"/>
        <v>44.29</v>
      </c>
      <c r="DO118" vm="19066">
        <f ca="1"/>
        <v>44.72</v>
      </c>
      <c r="DP118" vm="1181">
        <f ca="1"/>
        <v>44.76</v>
      </c>
      <c r="DQ118" vm="9213">
        <f ca="1"/>
        <v>44.74</v>
      </c>
      <c r="DR118" vm="16024">
        <f ca="1"/>
        <v>44.52</v>
      </c>
      <c r="DS118" vm="13786">
        <f ca="1"/>
        <v>44.29</v>
      </c>
      <c r="DT118" vm="2329">
        <f ca="1"/>
        <v>44.2</v>
      </c>
      <c r="DU118" vm="19067">
        <f ca="1"/>
        <v>44.42</v>
      </c>
      <c r="DV118" vm="12054">
        <f ca="1"/>
        <v>43.67</v>
      </c>
      <c r="DW118" vm="598">
        <f ca="1"/>
        <v>43.94</v>
      </c>
      <c r="DX118" vm="609">
        <f ca="1"/>
        <v>43.18</v>
      </c>
      <c r="DY118" vm="19068">
        <f ca="1"/>
        <v>43.14</v>
      </c>
      <c r="DZ118" vm="9978">
        <f ca="1"/>
        <v>43.26</v>
      </c>
      <c r="EA118" vm="9206">
        <f ca="1"/>
        <v>43.79</v>
      </c>
      <c r="EB118" vm="19069">
        <f ca="1"/>
        <v>44.46</v>
      </c>
      <c r="EC118" vm="2329">
        <f ca="1"/>
        <v>44.2</v>
      </c>
      <c r="ED118" vm="19070">
        <f ca="1"/>
        <v>44.84</v>
      </c>
      <c r="EE118" vm="12059">
        <f ca="1"/>
        <v>44.83</v>
      </c>
      <c r="EF118" vm="9214">
        <f ca="1"/>
        <v>44.93</v>
      </c>
      <c r="EG118" vm="19071">
        <f ca="1"/>
        <v>44.51</v>
      </c>
      <c r="EH118" vm="9212">
        <f ca="1"/>
        <v>44.77</v>
      </c>
      <c r="EI118" vm="465">
        <f ca="1"/>
        <v>44.78</v>
      </c>
      <c r="EJ118" vm="465">
        <f ca="1"/>
        <v>44.78</v>
      </c>
      <c r="EK118" vm="12082">
        <f ca="1"/>
        <v>45.33</v>
      </c>
      <c r="EL118" vm="9991">
        <f ca="1"/>
        <v>45.98</v>
      </c>
      <c r="EM118" vm="19072">
        <f ca="1"/>
        <v>45.6</v>
      </c>
      <c r="EN118" vm="14153">
        <f ca="1"/>
        <v>45.11</v>
      </c>
      <c r="EO118" vm="10009">
        <f ca="1"/>
        <v>45.03</v>
      </c>
      <c r="EP118" vm="12060">
        <f ca="1"/>
        <v>44.44</v>
      </c>
      <c r="EQ118" vm="12059">
        <f ca="1"/>
        <v>44.83</v>
      </c>
      <c r="ER118" vm="14153">
        <f ca="1"/>
        <v>45.11</v>
      </c>
      <c r="ES118" vm="12059">
        <f ca="1"/>
        <v>44.83</v>
      </c>
      <c r="ET118" vm="67">
        <f ca="1"/>
        <v>45.16</v>
      </c>
      <c r="EU118" vm="9233">
        <f ca="1"/>
        <v>45.06</v>
      </c>
      <c r="EV118" vm="9991">
        <f ca="1"/>
        <v>45.98</v>
      </c>
      <c r="EW118" vm="458">
        <f ca="1"/>
        <v>45.42</v>
      </c>
      <c r="EX118" vm="9988">
        <f ca="1"/>
        <v>45.45</v>
      </c>
      <c r="EY118" vm="543">
        <f ca="1"/>
        <v>44.24</v>
      </c>
      <c r="EZ118" vm="13770">
        <f ca="1"/>
        <v>44.5</v>
      </c>
      <c r="FA118" vm="9226">
        <f ca="1"/>
        <v>44.14</v>
      </c>
      <c r="FB118" vm="12055">
        <f ca="1"/>
        <v>43.66</v>
      </c>
      <c r="FC118" vm="10022">
        <f ca="1"/>
        <v>43.16</v>
      </c>
      <c r="FD118" vm="9206">
        <f ca="1"/>
        <v>43.79</v>
      </c>
      <c r="FE118" vm="9207">
        <f ca="1"/>
        <v>43.98</v>
      </c>
      <c r="FF118" vm="19067">
        <f ca="1"/>
        <v>44.42</v>
      </c>
      <c r="FG118" vm="1978">
        <f ca="1"/>
        <v>44.91</v>
      </c>
      <c r="FH118" vm="19073">
        <f ca="1"/>
        <v>44.9</v>
      </c>
      <c r="FI118" vm="9225">
        <f ca="1"/>
        <v>44.49</v>
      </c>
      <c r="FJ118" vm="13777">
        <f ca="1"/>
        <v>44.86</v>
      </c>
      <c r="FK118" vm="19074">
        <f ca="1"/>
        <v>45.104999999999997</v>
      </c>
      <c r="FL118" vm="19075">
        <f ca="1"/>
        <v>45.3048</v>
      </c>
      <c r="FM118" vm="16030">
        <f ca="1"/>
        <v>45.38</v>
      </c>
      <c r="FN118" vm="2586">
        <f ca="1"/>
        <v>45.25</v>
      </c>
      <c r="FO118" vm="547">
        <f ca="1"/>
        <v>45.17</v>
      </c>
      <c r="FP118" vm="9233">
        <f ca="1"/>
        <v>45.06</v>
      </c>
      <c r="FQ118" vm="9216">
        <f ca="1"/>
        <v>44.82</v>
      </c>
      <c r="FR118" vm="11633">
        <f ca="1"/>
        <v>45.43</v>
      </c>
      <c r="FS118" vm="12059">
        <f ca="1"/>
        <v>44.83</v>
      </c>
      <c r="FT118" vm="1978">
        <f ca="1"/>
        <v>44.91</v>
      </c>
      <c r="FU118" vm="13764">
        <f ca="1"/>
        <v>44.34</v>
      </c>
      <c r="FV118" vm="16550">
        <f ca="1"/>
        <v>44.69</v>
      </c>
      <c r="FW118" vm="1977">
        <f ca="1"/>
        <v>44.57</v>
      </c>
      <c r="FX118" vm="19076">
        <f ca="1"/>
        <v>43.750100000000003</v>
      </c>
      <c r="FY118" vm="13781">
        <f ca="1"/>
        <v>43.83</v>
      </c>
      <c r="FZ118" vm="16621">
        <f ca="1"/>
        <v>44.23</v>
      </c>
      <c r="GA118" vm="19077">
        <f ca="1"/>
        <v>44.099600000000002</v>
      </c>
      <c r="GB118" vm="2583">
        <f ca="1"/>
        <v>44.59</v>
      </c>
      <c r="GC118" vm="9217">
        <f ca="1"/>
        <v>44.33</v>
      </c>
      <c r="GD118" vm="2338">
        <f ca="1"/>
        <v>43.96</v>
      </c>
      <c r="GE118" vm="19078">
        <f ca="1"/>
        <v>44.39</v>
      </c>
      <c r="GF118" vm="19079">
        <f ca="1"/>
        <v>44.26</v>
      </c>
      <c r="GG118" vm="19080">
        <f ca="1"/>
        <v>44.449599999999997</v>
      </c>
      <c r="GH118" vm="19081">
        <f ca="1"/>
        <v>44.151600000000002</v>
      </c>
      <c r="GI118" vm="9203">
        <f ca="1"/>
        <v>44</v>
      </c>
      <c r="GJ118" vm="9208">
        <f ca="1"/>
        <v>44.43</v>
      </c>
      <c r="GK118" vm="19082">
        <f ca="1"/>
        <v>44.21</v>
      </c>
      <c r="GL118" vm="19083">
        <f ca="1"/>
        <v>44.28</v>
      </c>
      <c r="GM118" vm="19079">
        <f ca="1"/>
        <v>44.26</v>
      </c>
      <c r="GN118" vm="19084">
        <f ca="1"/>
        <v>44.210700000000003</v>
      </c>
      <c r="GO118" vm="600">
        <f ca="1"/>
        <v>43.71</v>
      </c>
      <c r="GP118" vm="543">
        <f ca="1"/>
        <v>44.24</v>
      </c>
      <c r="GQ118" vm="19078">
        <f ca="1"/>
        <v>44.39</v>
      </c>
      <c r="GR118" vm="13774">
        <f ca="1"/>
        <v>44.75</v>
      </c>
      <c r="GS118" vm="2586">
        <f ca="1"/>
        <v>45.25</v>
      </c>
      <c r="GT118" vm="6285">
        <f ca="1"/>
        <v>45.65</v>
      </c>
      <c r="GU118" vm="10017">
        <f ca="1"/>
        <v>45.57</v>
      </c>
      <c r="GV118" vm="13776">
        <f ca="1"/>
        <v>45.58</v>
      </c>
      <c r="GW118" vm="19085">
        <f ca="1"/>
        <v>45.195500000000003</v>
      </c>
      <c r="GX118" vm="19086">
        <f ca="1"/>
        <v>45.550899999999999</v>
      </c>
      <c r="GY118" vm="19087">
        <f ca="1"/>
        <v>45.288899999999998</v>
      </c>
      <c r="GZ118" vm="19088">
        <f ca="1"/>
        <v>44.667499999999997</v>
      </c>
      <c r="HA118" vm="19089">
        <f ca="1"/>
        <v>44.9694</v>
      </c>
      <c r="HB118" vm="13777">
        <f ca="1"/>
        <v>44.86</v>
      </c>
      <c r="HC118" vm="19066">
        <f ca="1"/>
        <v>44.72</v>
      </c>
      <c r="HD118" vm="19090">
        <f ca="1"/>
        <v>44.8</v>
      </c>
      <c r="HE118" vm="9225">
        <f ca="1"/>
        <v>44.49</v>
      </c>
      <c r="HF118" vm="10032">
        <f ca="1"/>
        <v>45.05</v>
      </c>
      <c r="HG118" vm="19091">
        <f ca="1"/>
        <v>44.889299999999999</v>
      </c>
      <c r="HH118" vm="1977">
        <f ca="1"/>
        <v>44.57</v>
      </c>
      <c r="HI118" vm="19092">
        <f ca="1"/>
        <v>44.715000000000003</v>
      </c>
      <c r="HJ118" vm="19093">
        <f ca="1"/>
        <v>44.765900000000002</v>
      </c>
      <c r="HK118" vm="19094">
        <f ca="1"/>
        <v>44.981000000000002</v>
      </c>
      <c r="HL118" vm="19095">
        <f ca="1"/>
        <v>44.890700000000002</v>
      </c>
      <c r="HM118" vm="16024">
        <f ca="1"/>
        <v>44.52</v>
      </c>
      <c r="HN118" vm="19096">
        <f ca="1"/>
        <v>44.2819</v>
      </c>
      <c r="HO118" vm="2338">
        <f ca="1"/>
        <v>43.96</v>
      </c>
      <c r="HP118" vm="19097">
        <f ca="1"/>
        <v>44.213700000000003</v>
      </c>
      <c r="HQ118" vm="19098">
        <f ca="1"/>
        <v>43.59</v>
      </c>
      <c r="HR118" vm="19099">
        <f ca="1"/>
        <v>44.015000000000001</v>
      </c>
      <c r="HS118" vm="19100">
        <f ca="1"/>
        <v>43.5794</v>
      </c>
      <c r="HT118" vm="19101">
        <f ca="1"/>
        <v>43.707000000000001</v>
      </c>
      <c r="HU118" vm="16027">
        <f ca="1"/>
        <v>44.3</v>
      </c>
      <c r="HV118" vm="19102">
        <f ca="1"/>
        <v>44.545000000000002</v>
      </c>
      <c r="HW118" vm="19103">
        <f ca="1"/>
        <v>45.09</v>
      </c>
      <c r="HX118" vm="19104">
        <f ca="1"/>
        <v>44.531700000000001</v>
      </c>
      <c r="HY118" vm="19105">
        <f ca="1"/>
        <v>44.1</v>
      </c>
      <c r="HZ118" vm="12808">
        <f ca="1"/>
        <v>43.21</v>
      </c>
      <c r="IA118" vm="19106">
        <f ca="1"/>
        <v>42.67</v>
      </c>
      <c r="IB118" vm="2570">
        <f ca="1"/>
        <v>42.615299999999998</v>
      </c>
      <c r="IC118" vm="2571">
        <f ca="1"/>
        <v>42.034999999999997</v>
      </c>
      <c r="ID118" vm="2572">
        <f ca="1"/>
        <v>42.552399999999999</v>
      </c>
      <c r="IE118" vm="2573">
        <f ca="1"/>
        <v>42.595100000000002</v>
      </c>
      <c r="IF118" vm="2574">
        <f ca="1"/>
        <v>43.31</v>
      </c>
      <c r="IG118" vm="2575">
        <f ca="1"/>
        <v>43.744999999999997</v>
      </c>
      <c r="IH118" vm="2576">
        <f ca="1"/>
        <v>44.014099999999999</v>
      </c>
      <c r="II118" vm="2577">
        <f ca="1"/>
        <v>43.515000000000001</v>
      </c>
      <c r="IJ118" vm="2578">
        <f ca="1"/>
        <v>43.87</v>
      </c>
      <c r="IK118" vm="2579">
        <f ca="1"/>
        <v>44.11</v>
      </c>
      <c r="IL118" vm="2580">
        <f ca="1"/>
        <v>44.219000000000001</v>
      </c>
      <c r="IM118" vm="2581">
        <f ca="1"/>
        <v>44.490400000000001</v>
      </c>
      <c r="IN118" vm="2582">
        <f ca="1"/>
        <v>44.4</v>
      </c>
      <c r="IO118" vm="2583">
        <f ca="1"/>
        <v>44.59</v>
      </c>
      <c r="IP118" vm="2584">
        <f ca="1"/>
        <v>45.005000000000003</v>
      </c>
      <c r="IQ118" vm="2585">
        <f ca="1"/>
        <v>45.56</v>
      </c>
      <c r="IR118" vm="2586">
        <f ca="1"/>
        <v>45.25</v>
      </c>
      <c r="IS118" vm="2587">
        <f ca="1"/>
        <v>45.22</v>
      </c>
      <c r="IT118" vm="2588">
        <f ca="1"/>
        <v>45.085000000000001</v>
      </c>
      <c r="IU118" vm="2589">
        <f ca="1"/>
        <v>44.6511</v>
      </c>
      <c r="IV118" vm="2590">
        <f ca="1"/>
        <v>44.96</v>
      </c>
      <c r="IW118" vm="67">
        <f ca="1"/>
        <v>45.16</v>
      </c>
    </row>
    <row r="119" spans="1:262" ht="16" x14ac:dyDescent="0.2">
      <c r="A119" t="e" vm="2591">
        <v>#VALUE!</v>
      </c>
      <c r="B119" s="23" t="str" cm="1">
        <f t="array" aca="1" ref="B119" ca="1">_FV(A119,"ticker symbol",TRUE)</f>
        <v>ISF</v>
      </c>
      <c r="C119" s="23" t="str" cm="1">
        <f t="array" aca="1" ref="C119" ca="1">_FV(A119,"Name")</f>
        <v>iShs Cr FTSE 100 ETF GBPD</v>
      </c>
      <c r="D119" cm="1" vm="19107">
        <f t="array" aca="1" ref="D119:IY119" ca="1">TRANSPOSE(_xlfn.STOCKHISTORY(B119, WORKDAY(TODAY(), -265), TODAY(), 0, 0, 1))</f>
        <v>9.6780000000000008</v>
      </c>
      <c r="E119" vm="19108">
        <f ca="1"/>
        <v>9.6259999999999994</v>
      </c>
      <c r="F119" vm="19109">
        <f ca="1"/>
        <v>9.6300000000000008</v>
      </c>
      <c r="G119" vm="19110">
        <f ca="1"/>
        <v>9.5120000000000005</v>
      </c>
      <c r="H119" vm="19111">
        <f ca="1"/>
        <v>9.49</v>
      </c>
      <c r="I119" vm="19112">
        <f ca="1"/>
        <v>9.4619999999999997</v>
      </c>
      <c r="J119" vm="19113">
        <f ca="1"/>
        <v>9.5380000000000003</v>
      </c>
      <c r="K119" vm="19114">
        <f ca="1"/>
        <v>9.5109999999999992</v>
      </c>
      <c r="L119" vm="19115">
        <f ca="1"/>
        <v>9.6760000000000002</v>
      </c>
      <c r="M119" vm="19116">
        <f ca="1"/>
        <v>9.6449999999999996</v>
      </c>
      <c r="N119" vm="19117">
        <f ca="1"/>
        <v>9.6750000000000007</v>
      </c>
      <c r="O119" vm="19118">
        <f ca="1"/>
        <v>9.6709999999999994</v>
      </c>
      <c r="P119" vm="19119">
        <f ca="1"/>
        <v>9.6199999999999992</v>
      </c>
      <c r="Q119" vm="19120">
        <f ca="1"/>
        <v>9.6549999999999994</v>
      </c>
      <c r="R119" vm="19121">
        <f ca="1"/>
        <v>9.5630000000000006</v>
      </c>
      <c r="S119" vm="19122">
        <f ca="1"/>
        <v>9.5250000000000004</v>
      </c>
      <c r="T119" vm="19123">
        <f ca="1"/>
        <v>9.4459999999999997</v>
      </c>
      <c r="U119" vm="19124">
        <f ca="1"/>
        <v>9.5950000000000006</v>
      </c>
      <c r="V119" vm="19125">
        <f ca="1"/>
        <v>9.6850000000000005</v>
      </c>
      <c r="W119" vm="19126">
        <f ca="1"/>
        <v>9.7829999999999995</v>
      </c>
      <c r="X119" vm="19127">
        <f ca="1"/>
        <v>9.7940000000000005</v>
      </c>
      <c r="Y119" vm="19128">
        <f ca="1"/>
        <v>9.8350000000000009</v>
      </c>
      <c r="Z119" vm="19129">
        <f ca="1"/>
        <v>9.8239999999999998</v>
      </c>
      <c r="AA119" vm="19130">
        <f ca="1"/>
        <v>9.8780000000000001</v>
      </c>
      <c r="AB119" vm="19131">
        <f ca="1"/>
        <v>9.82</v>
      </c>
      <c r="AC119" vm="19132">
        <f ca="1"/>
        <v>9.8290000000000006</v>
      </c>
      <c r="AD119" vm="19133">
        <f ca="1"/>
        <v>9.8970000000000002</v>
      </c>
      <c r="AE119" vm="19134">
        <f ca="1"/>
        <v>9.93</v>
      </c>
      <c r="AF119" vm="19135">
        <f ca="1"/>
        <v>10.06</v>
      </c>
      <c r="AG119" vm="19136">
        <f ca="1"/>
        <v>10.09</v>
      </c>
      <c r="AH119" vm="19137">
        <f ca="1"/>
        <v>10.048</v>
      </c>
      <c r="AI119" vm="19138">
        <f ca="1"/>
        <v>10.028</v>
      </c>
      <c r="AJ119" vm="19139">
        <f ca="1"/>
        <v>10.071999999999999</v>
      </c>
      <c r="AK119" vm="19140">
        <f ca="1"/>
        <v>10.192</v>
      </c>
      <c r="AL119" vm="19141">
        <f ca="1"/>
        <v>10.154</v>
      </c>
      <c r="AM119" vm="19142">
        <f ca="1"/>
        <v>10.252000000000001</v>
      </c>
      <c r="AN119" vm="19142">
        <f ca="1"/>
        <v>10.252000000000001</v>
      </c>
      <c r="AO119" vm="19143">
        <f ca="1"/>
        <v>10.263999999999999</v>
      </c>
      <c r="AP119" vm="19144">
        <f ca="1"/>
        <v>10.247999999999999</v>
      </c>
      <c r="AQ119" vm="19145">
        <f ca="1"/>
        <v>10.204000000000001</v>
      </c>
      <c r="AR119" vm="19146">
        <f ca="1"/>
        <v>10.27</v>
      </c>
      <c r="AS119" vm="19147">
        <f ca="1"/>
        <v>10.288</v>
      </c>
      <c r="AT119" vm="19148">
        <f ca="1"/>
        <v>10.231999999999999</v>
      </c>
      <c r="AU119" vm="19149">
        <f ca="1"/>
        <v>10.19</v>
      </c>
      <c r="AV119" vm="19150">
        <f ca="1"/>
        <v>10.212</v>
      </c>
      <c r="AW119" vm="19151">
        <f ca="1"/>
        <v>10.183999999999999</v>
      </c>
      <c r="AX119" vm="19152">
        <f ca="1"/>
        <v>10.18</v>
      </c>
      <c r="AY119" vm="19153">
        <f ca="1"/>
        <v>10.286</v>
      </c>
      <c r="AZ119" vm="19154">
        <f ca="1"/>
        <v>10.356</v>
      </c>
      <c r="BA119" vm="19155">
        <f ca="1"/>
        <v>10.388</v>
      </c>
      <c r="BB119" vm="19156">
        <f ca="1"/>
        <v>10.476000000000001</v>
      </c>
      <c r="BC119" vm="19157">
        <f ca="1"/>
        <v>10.318</v>
      </c>
      <c r="BD119" vm="19150">
        <f ca="1"/>
        <v>10.212</v>
      </c>
      <c r="BE119" vm="19158">
        <f ca="1"/>
        <v>10.11</v>
      </c>
      <c r="BF119" vm="19158">
        <f ca="1"/>
        <v>10.11</v>
      </c>
      <c r="BG119" vm="19159">
        <f ca="1"/>
        <v>10.01</v>
      </c>
      <c r="BH119" vm="19160">
        <f ca="1"/>
        <v>9.843</v>
      </c>
      <c r="BI119" vm="19161">
        <f ca="1"/>
        <v>9.9429999999999996</v>
      </c>
      <c r="BJ119" vm="19162">
        <f ca="1"/>
        <v>9.9220000000000006</v>
      </c>
      <c r="BK119" vm="19163">
        <f ca="1"/>
        <v>9.9960000000000004</v>
      </c>
      <c r="BL119" vm="19164">
        <f ca="1"/>
        <v>10.066000000000001</v>
      </c>
      <c r="BM119" vm="19165">
        <f ca="1"/>
        <v>10.082000000000001</v>
      </c>
      <c r="BN119" vm="19166">
        <f ca="1"/>
        <v>10.132</v>
      </c>
      <c r="BO119" vm="19167">
        <f ca="1"/>
        <v>10.141999999999999</v>
      </c>
      <c r="BP119" vm="19168">
        <f ca="1"/>
        <v>10.068</v>
      </c>
      <c r="BQ119" vm="19165">
        <f ca="1"/>
        <v>10.082000000000001</v>
      </c>
      <c r="BR119" vm="19167">
        <f ca="1"/>
        <v>10.141999999999999</v>
      </c>
      <c r="BS119" vm="19169">
        <f ca="1"/>
        <v>10.130000000000001</v>
      </c>
      <c r="BT119" vm="19170">
        <f ca="1"/>
        <v>10.151999999999999</v>
      </c>
      <c r="BU119" vm="19158">
        <f ca="1"/>
        <v>10.11</v>
      </c>
      <c r="BV119" vm="19171">
        <f ca="1"/>
        <v>10.013999999999999</v>
      </c>
      <c r="BW119" vm="19172">
        <f ca="1"/>
        <v>10.077999999999999</v>
      </c>
      <c r="BX119" vm="19173">
        <f ca="1"/>
        <v>10.023999999999999</v>
      </c>
      <c r="BY119" vm="19174">
        <f ca="1"/>
        <v>9.798</v>
      </c>
      <c r="BZ119" vm="19175">
        <f ca="1"/>
        <v>9.2629999999999999</v>
      </c>
      <c r="CA119" vm="19176">
        <f ca="1"/>
        <v>8.7949999999999999</v>
      </c>
      <c r="CB119" vm="19177">
        <f ca="1"/>
        <v>9.0190000000000001</v>
      </c>
      <c r="CC119" vm="19178">
        <f ca="1"/>
        <v>8.6669999999999998</v>
      </c>
      <c r="CD119" vm="19179">
        <f ca="1"/>
        <v>8.9920000000000009</v>
      </c>
      <c r="CE119" vm="19180">
        <f ca="1"/>
        <v>8.9860000000000007</v>
      </c>
      <c r="CF119" vm="19181">
        <f ca="1"/>
        <v>9.2279999999999998</v>
      </c>
      <c r="CG119" vm="19182">
        <f ca="1"/>
        <v>9.4710000000000001</v>
      </c>
      <c r="CH119" vm="19183">
        <f ca="1"/>
        <v>9.4610000000000003</v>
      </c>
      <c r="CI119" vm="19184">
        <f ca="1"/>
        <v>9.484</v>
      </c>
      <c r="CJ119" vm="19185">
        <f ca="1"/>
        <v>9.5329999999999995</v>
      </c>
      <c r="CK119" vm="19186">
        <f ca="1"/>
        <v>9.6340000000000003</v>
      </c>
      <c r="CL119" vm="19187">
        <f ca="1"/>
        <v>9.6809999999999992</v>
      </c>
      <c r="CM119" vm="19117">
        <f ca="1"/>
        <v>9.6750000000000007</v>
      </c>
      <c r="CN119" vm="19188">
        <f ca="1"/>
        <v>9.7330000000000005</v>
      </c>
      <c r="CO119" vm="19189">
        <f ca="1"/>
        <v>9.782</v>
      </c>
      <c r="CP119" vm="19126">
        <f ca="1"/>
        <v>9.7829999999999995</v>
      </c>
      <c r="CQ119" vm="19190">
        <f ca="1"/>
        <v>9.9120000000000008</v>
      </c>
      <c r="CR119" vm="19191">
        <f ca="1"/>
        <v>9.9359999999999999</v>
      </c>
      <c r="CS119" vm="19192">
        <f ca="1"/>
        <v>9.9510000000000005</v>
      </c>
      <c r="CT119" vm="19193">
        <f ca="1"/>
        <v>9.8919999999999995</v>
      </c>
      <c r="CU119" vm="19194">
        <f ca="1"/>
        <v>9.9049999999999994</v>
      </c>
      <c r="CV119" vm="19195">
        <f ca="1"/>
        <v>9.9260000000000002</v>
      </c>
      <c r="CW119" vm="19196">
        <f ca="1"/>
        <v>10.044</v>
      </c>
      <c r="CX119" vm="19197">
        <f ca="1"/>
        <v>10.055999999999999</v>
      </c>
      <c r="CY119" vm="19198">
        <f ca="1"/>
        <v>10.006</v>
      </c>
      <c r="CZ119" vm="19199">
        <f ca="1"/>
        <v>10.1</v>
      </c>
      <c r="DA119" vm="19152">
        <f ca="1"/>
        <v>10.18</v>
      </c>
      <c r="DB119" vm="19200">
        <f ca="1"/>
        <v>10.16</v>
      </c>
      <c r="DC119" vm="19201">
        <f ca="1"/>
        <v>10.266</v>
      </c>
      <c r="DD119" vm="19202">
        <f ca="1"/>
        <v>10.256</v>
      </c>
      <c r="DE119" vm="19203">
        <f ca="1"/>
        <v>10.228</v>
      </c>
      <c r="DF119" vm="19204">
        <f ca="1"/>
        <v>10.220000000000001</v>
      </c>
      <c r="DG119" vm="19205">
        <f ca="1"/>
        <v>10.311999999999999</v>
      </c>
      <c r="DH119" vm="19206">
        <f ca="1"/>
        <v>10.308</v>
      </c>
      <c r="DI119" vm="19202">
        <f ca="1"/>
        <v>10.256</v>
      </c>
      <c r="DJ119" vm="19207">
        <f ca="1"/>
        <v>10.224</v>
      </c>
      <c r="DK119" vm="19208">
        <f ca="1"/>
        <v>10.268000000000001</v>
      </c>
      <c r="DL119" vm="19209">
        <f ca="1"/>
        <v>10.278</v>
      </c>
      <c r="DM119" vm="19210">
        <f ca="1"/>
        <v>10.31</v>
      </c>
      <c r="DN119" vm="19211">
        <f ca="1"/>
        <v>10.321999999999999</v>
      </c>
      <c r="DO119" vm="19212">
        <f ca="1"/>
        <v>10.334</v>
      </c>
      <c r="DP119" vm="19213">
        <f ca="1"/>
        <v>10.36</v>
      </c>
      <c r="DQ119" vm="19154">
        <f ca="1"/>
        <v>10.356</v>
      </c>
      <c r="DR119" vm="19214">
        <f ca="1"/>
        <v>10.368</v>
      </c>
      <c r="DS119" vm="19215">
        <f ca="1"/>
        <v>10.337999999999999</v>
      </c>
      <c r="DT119" vm="19216">
        <f ca="1"/>
        <v>10.164</v>
      </c>
      <c r="DU119" vm="19169">
        <f ca="1"/>
        <v>10.130000000000001</v>
      </c>
      <c r="DV119" vm="19217">
        <f ca="1"/>
        <v>10.146000000000001</v>
      </c>
      <c r="DW119" vm="19165">
        <f ca="1"/>
        <v>10.082000000000001</v>
      </c>
      <c r="DX119" vm="19218">
        <f ca="1"/>
        <v>10.07</v>
      </c>
      <c r="DY119" vm="2611">
        <f ca="1"/>
        <v>10.034000000000001</v>
      </c>
      <c r="DZ119" vm="19219">
        <f ca="1"/>
        <v>9.9990000000000006</v>
      </c>
      <c r="EA119" vm="19220">
        <f ca="1"/>
        <v>9.9920000000000009</v>
      </c>
      <c r="EB119" vm="19221">
        <f ca="1"/>
        <v>10.02</v>
      </c>
      <c r="EC119" vm="19222">
        <f ca="1"/>
        <v>9.9710000000000001</v>
      </c>
      <c r="ED119" vm="19221">
        <f ca="1"/>
        <v>10.02</v>
      </c>
      <c r="EE119" vm="19137">
        <f ca="1"/>
        <v>10.048</v>
      </c>
      <c r="EF119" vm="19223">
        <f ca="1"/>
        <v>9.98</v>
      </c>
      <c r="EG119" vm="19224">
        <f ca="1"/>
        <v>9.9809999999999999</v>
      </c>
      <c r="EH119" vm="19225">
        <f ca="1"/>
        <v>9.891</v>
      </c>
      <c r="EI119" vm="19224">
        <f ca="1"/>
        <v>9.9809999999999999</v>
      </c>
      <c r="EJ119" vm="19226">
        <f ca="1"/>
        <v>9.9610000000000003</v>
      </c>
      <c r="EK119" vm="2609">
        <f ca="1"/>
        <v>9.9819999999999993</v>
      </c>
      <c r="EL119" vm="19227">
        <f ca="1"/>
        <v>9.9939999999999998</v>
      </c>
      <c r="EM119" vm="19228">
        <f ca="1"/>
        <v>10.038</v>
      </c>
      <c r="EN119" vm="19229">
        <f ca="1"/>
        <v>10.167999999999999</v>
      </c>
      <c r="EO119" vm="19135">
        <f ca="1"/>
        <v>10.06</v>
      </c>
      <c r="EP119" vm="19230">
        <f ca="1"/>
        <v>10.096</v>
      </c>
      <c r="EQ119" vm="19231">
        <f ca="1"/>
        <v>10.054</v>
      </c>
      <c r="ER119" vm="19196">
        <f ca="1"/>
        <v>10.044</v>
      </c>
      <c r="ES119" vm="19232">
        <f ca="1"/>
        <v>10.125999999999999</v>
      </c>
      <c r="ET119" vm="19233">
        <f ca="1"/>
        <v>10.106</v>
      </c>
      <c r="EU119" vm="19234">
        <f ca="1"/>
        <v>10.122</v>
      </c>
      <c r="EV119" vm="19235">
        <f ca="1"/>
        <v>10.116</v>
      </c>
      <c r="EW119" vm="19150">
        <f ca="1"/>
        <v>10.212</v>
      </c>
      <c r="EX119" vm="19236">
        <f ca="1"/>
        <v>10.242000000000001</v>
      </c>
      <c r="EY119" vm="19237">
        <f ca="1"/>
        <v>10.176</v>
      </c>
      <c r="EZ119" vm="19238">
        <f ca="1"/>
        <v>10.196</v>
      </c>
      <c r="FA119" vm="19239">
        <f ca="1"/>
        <v>10.3</v>
      </c>
      <c r="FB119" vm="19240">
        <f ca="1"/>
        <v>10.302</v>
      </c>
      <c r="FC119" vm="19241">
        <f ca="1"/>
        <v>10.295999999999999</v>
      </c>
      <c r="FD119" vm="2612">
        <f ca="1"/>
        <v>10.15</v>
      </c>
      <c r="FE119" vm="19242">
        <f ca="1"/>
        <v>10.218</v>
      </c>
      <c r="FF119" vm="19243">
        <f ca="1"/>
        <v>10.234</v>
      </c>
      <c r="FG119" vm="19244">
        <f ca="1"/>
        <v>10.244</v>
      </c>
      <c r="FH119" vm="19202">
        <f ca="1"/>
        <v>10.256</v>
      </c>
      <c r="FI119" vm="19245">
        <f ca="1"/>
        <v>10.246</v>
      </c>
      <c r="FJ119" vm="19246">
        <f ca="1"/>
        <v>10.305999999999999</v>
      </c>
      <c r="FK119" vm="19215">
        <f ca="1"/>
        <v>10.337999999999999</v>
      </c>
      <c r="FL119" vm="19247">
        <f ca="1"/>
        <v>10.372</v>
      </c>
      <c r="FM119" vm="19248">
        <f ca="1"/>
        <v>10.452</v>
      </c>
      <c r="FN119" vm="19249">
        <f ca="1"/>
        <v>10.39</v>
      </c>
      <c r="FO119" vm="19250">
        <f ca="1"/>
        <v>10.428000000000001</v>
      </c>
      <c r="FP119" vm="19251">
        <f ca="1"/>
        <v>10.522</v>
      </c>
      <c r="FQ119" vm="19252">
        <f ca="1"/>
        <v>10.542</v>
      </c>
      <c r="FR119" vm="19253">
        <f ca="1"/>
        <v>10.555999999999999</v>
      </c>
      <c r="FS119" vm="19254">
        <f ca="1"/>
        <v>10.532</v>
      </c>
      <c r="FT119" vm="19255">
        <f ca="1"/>
        <v>10.502000000000001</v>
      </c>
      <c r="FU119" vm="2592">
        <f ca="1"/>
        <v>10.528</v>
      </c>
      <c r="FV119" vm="19256">
        <f ca="1"/>
        <v>10.474</v>
      </c>
      <c r="FW119" vm="19257">
        <f ca="1"/>
        <v>10.417999999999999</v>
      </c>
      <c r="FX119" vm="19258">
        <f ca="1"/>
        <v>10.433999999999999</v>
      </c>
      <c r="FY119" vm="19259">
        <f ca="1"/>
        <v>10.273999999999999</v>
      </c>
      <c r="FZ119" vm="19214">
        <f ca="1"/>
        <v>10.368</v>
      </c>
      <c r="GA119" vm="19260">
        <f ca="1"/>
        <v>10.442</v>
      </c>
      <c r="GB119" vm="19261">
        <f ca="1"/>
        <v>10.41</v>
      </c>
      <c r="GC119" vm="19262">
        <f ca="1"/>
        <v>10.43</v>
      </c>
      <c r="GD119" vm="19263">
        <f ca="1"/>
        <v>10.464</v>
      </c>
      <c r="GE119" vm="19264">
        <f ca="1"/>
        <v>10.454000000000001</v>
      </c>
      <c r="GF119" vm="19265">
        <f ca="1"/>
        <v>10.45</v>
      </c>
      <c r="GG119" vm="19260">
        <f ca="1"/>
        <v>10.442</v>
      </c>
      <c r="GH119" vm="19250">
        <f ca="1"/>
        <v>10.428000000000001</v>
      </c>
      <c r="GI119" vm="19205">
        <f ca="1"/>
        <v>10.311999999999999</v>
      </c>
      <c r="GJ119" vm="19266">
        <f ca="1"/>
        <v>10.326000000000001</v>
      </c>
      <c r="GK119" vm="19267">
        <f ca="1"/>
        <v>10.324</v>
      </c>
      <c r="GL119" vm="19268">
        <f ca="1"/>
        <v>10.28</v>
      </c>
      <c r="GM119" vm="19153">
        <f ca="1"/>
        <v>10.286</v>
      </c>
      <c r="GN119" vm="19209">
        <f ca="1"/>
        <v>10.278</v>
      </c>
      <c r="GO119" vm="19241">
        <f ca="1"/>
        <v>10.295999999999999</v>
      </c>
      <c r="GP119" vm="19269">
        <f ca="1"/>
        <v>10.23</v>
      </c>
      <c r="GQ119" vm="19270">
        <f ca="1"/>
        <v>10.336</v>
      </c>
      <c r="GR119" vm="19271">
        <f ca="1"/>
        <v>10.366</v>
      </c>
      <c r="GS119" vm="19272">
        <f ca="1"/>
        <v>10.414</v>
      </c>
      <c r="GT119" vm="19273">
        <f ca="1"/>
        <v>10.56</v>
      </c>
      <c r="GU119" vm="19251">
        <f ca="1"/>
        <v>10.522</v>
      </c>
      <c r="GV119" vm="19274">
        <f ca="1"/>
        <v>10.587999999999999</v>
      </c>
      <c r="GW119" vm="19275">
        <f ca="1"/>
        <v>10.612</v>
      </c>
      <c r="GX119" vm="19276">
        <f ca="1"/>
        <v>10.62</v>
      </c>
      <c r="GY119" vm="19277">
        <f ca="1"/>
        <v>10.72</v>
      </c>
      <c r="GZ119" vm="19278">
        <f ca="1"/>
        <v>10.641999999999999</v>
      </c>
      <c r="HA119" vm="19279">
        <f ca="1"/>
        <v>10.534000000000001</v>
      </c>
      <c r="HB119" vm="19274">
        <f ca="1"/>
        <v>10.587999999999999</v>
      </c>
      <c r="HC119" vm="19280">
        <f ca="1"/>
        <v>10.552</v>
      </c>
      <c r="HD119" vm="19253">
        <f ca="1"/>
        <v>10.555999999999999</v>
      </c>
      <c r="HE119" vm="2593">
        <f ca="1"/>
        <v>10.566000000000001</v>
      </c>
      <c r="HF119" vm="19281">
        <f ca="1"/>
        <v>10.458</v>
      </c>
      <c r="HG119" vm="19282">
        <f ca="1"/>
        <v>10.558</v>
      </c>
      <c r="HH119" vm="2594">
        <f ca="1"/>
        <v>10.593999999999999</v>
      </c>
      <c r="HI119" vm="19283">
        <f ca="1"/>
        <v>10.68</v>
      </c>
      <c r="HJ119" vm="19277">
        <f ca="1"/>
        <v>10.72</v>
      </c>
      <c r="HK119" vm="19284">
        <f ca="1"/>
        <v>10.747999999999999</v>
      </c>
      <c r="HL119" vm="19285">
        <f ca="1"/>
        <v>10.776</v>
      </c>
      <c r="HM119" vm="19286">
        <f ca="1"/>
        <v>10.778</v>
      </c>
      <c r="HN119" vm="19287">
        <f ca="1"/>
        <v>10.792</v>
      </c>
      <c r="HO119" vm="19288">
        <f ca="1"/>
        <v>10.814</v>
      </c>
      <c r="HP119" vm="19289">
        <f ca="1"/>
        <v>10.79</v>
      </c>
      <c r="HQ119" vm="19285">
        <f ca="1"/>
        <v>10.776</v>
      </c>
      <c r="HR119" vm="19290">
        <f ca="1"/>
        <v>10.74</v>
      </c>
      <c r="HS119" vm="19291">
        <f ca="1"/>
        <v>10.826000000000001</v>
      </c>
      <c r="HT119" vm="19292">
        <f ca="1"/>
        <v>10.772</v>
      </c>
      <c r="HU119" vm="19293">
        <f ca="1"/>
        <v>10.724</v>
      </c>
      <c r="HV119" vm="19294">
        <f ca="1"/>
        <v>10.868</v>
      </c>
      <c r="HW119" vm="19295">
        <f ca="1"/>
        <v>10.964</v>
      </c>
      <c r="HX119" vm="19296">
        <f ca="1"/>
        <v>10.938000000000001</v>
      </c>
      <c r="HY119" vm="2602">
        <f ca="1"/>
        <v>10.85</v>
      </c>
      <c r="HZ119" vm="19297">
        <f ca="1"/>
        <v>10.726000000000001</v>
      </c>
      <c r="IA119" vm="19298">
        <f ca="1"/>
        <v>10.728</v>
      </c>
      <c r="IB119" vm="19299">
        <f ca="1"/>
        <v>10.574</v>
      </c>
      <c r="IC119" vm="2592">
        <f ca="1"/>
        <v>10.528</v>
      </c>
      <c r="ID119" vm="2593">
        <f ca="1"/>
        <v>10.566000000000001</v>
      </c>
      <c r="IE119" vm="2594">
        <f ca="1"/>
        <v>10.593999999999999</v>
      </c>
      <c r="IF119" vm="2595">
        <f ca="1"/>
        <v>10.61</v>
      </c>
      <c r="IG119" vm="2596">
        <f ca="1"/>
        <v>10.7</v>
      </c>
      <c r="IH119" vm="2597">
        <f ca="1"/>
        <v>10.81</v>
      </c>
      <c r="II119" vm="2598">
        <f ca="1"/>
        <v>10.824</v>
      </c>
      <c r="IJ119" vm="2599">
        <f ca="1"/>
        <v>10.852</v>
      </c>
      <c r="IK119" vm="2600">
        <f ca="1"/>
        <v>10.804</v>
      </c>
      <c r="IL119" vm="2601">
        <f ca="1"/>
        <v>10.786</v>
      </c>
      <c r="IM119" vm="2602">
        <f ca="1"/>
        <v>10.85</v>
      </c>
      <c r="IN119" vm="2603">
        <f ca="1"/>
        <v>10.9</v>
      </c>
      <c r="IO119" vm="2604">
        <f ca="1"/>
        <v>10.848000000000001</v>
      </c>
      <c r="IP119" vm="2605">
        <f ca="1"/>
        <v>10.162000000000001</v>
      </c>
      <c r="IQ119" vm="2606">
        <f ca="1"/>
        <v>10.134</v>
      </c>
      <c r="IR119" vm="2607">
        <f ca="1"/>
        <v>10.108000000000001</v>
      </c>
      <c r="IS119" vm="2608">
        <f ca="1"/>
        <v>10.074</v>
      </c>
      <c r="IT119" vm="2609">
        <f ca="1"/>
        <v>9.9819999999999993</v>
      </c>
      <c r="IU119" vm="2610">
        <f ca="1"/>
        <v>10.118</v>
      </c>
      <c r="IV119" vm="2611">
        <f ca="1"/>
        <v>10.034000000000001</v>
      </c>
      <c r="IW119" vm="2612">
        <f ca="1"/>
        <v>10.15</v>
      </c>
      <c r="IX119" vm="69">
        <f ca="1"/>
        <v>10.166</v>
      </c>
      <c r="IY119" vm="2613">
        <f ca="1"/>
        <v>10.254</v>
      </c>
    </row>
    <row r="120" spans="1:262" ht="16" x14ac:dyDescent="0.2">
      <c r="A120" t="e" vm="2614">
        <v>#VALUE!</v>
      </c>
      <c r="B120" s="23" t="str" cm="1">
        <f t="array" aca="1" ref="B120" ca="1">_FV(A120,"ticker symbol",TRUE)</f>
        <v>FXI</v>
      </c>
      <c r="C120" s="23" t="str" cm="1">
        <f t="array" aca="1" ref="C120" ca="1">_FV(A120,"Name")</f>
        <v>iShares:China Large Cp</v>
      </c>
      <c r="D120" cm="1" vm="13901">
        <f t="array" aca="1" ref="D120:IW120" ca="1">TRANSPOSE(_xlfn.STOCKHISTORY(B120, WORKDAY(TODAY(), -265), TODAY(), 0, 0, 1))</f>
        <v>30.59</v>
      </c>
      <c r="E120" vm="10568">
        <f ca="1"/>
        <v>30.67</v>
      </c>
      <c r="F120" vm="17198">
        <f ca="1"/>
        <v>30.05</v>
      </c>
      <c r="G120" vm="10540">
        <f ca="1"/>
        <v>30.24</v>
      </c>
      <c r="H120" vm="13900">
        <f ca="1"/>
        <v>30.42</v>
      </c>
      <c r="I120" vm="16418">
        <f ca="1"/>
        <v>30.7</v>
      </c>
      <c r="J120" vm="9044">
        <f ca="1"/>
        <v>31.09</v>
      </c>
      <c r="K120" vm="10625">
        <f ca="1"/>
        <v>31.12</v>
      </c>
      <c r="L120" vm="10588">
        <f ca="1"/>
        <v>30.85</v>
      </c>
      <c r="M120" vm="13907">
        <f ca="1"/>
        <v>30.49</v>
      </c>
      <c r="N120" vm="10580">
        <f ca="1"/>
        <v>30.44</v>
      </c>
      <c r="O120" vm="10563">
        <f ca="1"/>
        <v>29.89</v>
      </c>
      <c r="P120" vm="16420">
        <f ca="1"/>
        <v>30.39</v>
      </c>
      <c r="Q120" vm="9005">
        <f ca="1"/>
        <v>29.99</v>
      </c>
      <c r="R120" vm="13986">
        <f ca="1"/>
        <v>29.62</v>
      </c>
      <c r="S120" vm="10592">
        <f ca="1"/>
        <v>29.51</v>
      </c>
      <c r="T120" vm="13989">
        <f ca="1"/>
        <v>28.65</v>
      </c>
      <c r="U120" vm="19300">
        <f ca="1"/>
        <v>28.79</v>
      </c>
      <c r="V120" vm="13946">
        <f ca="1"/>
        <v>29.42</v>
      </c>
      <c r="W120" vm="2089">
        <f ca="1"/>
        <v>29.82</v>
      </c>
      <c r="X120" vm="13971">
        <f ca="1"/>
        <v>29.83</v>
      </c>
      <c r="Y120" vm="19301">
        <f ca="1"/>
        <v>30.41</v>
      </c>
      <c r="Z120" vm="9049">
        <f ca="1"/>
        <v>30.75</v>
      </c>
      <c r="AA120" vm="9013">
        <f ca="1"/>
        <v>30.53</v>
      </c>
      <c r="AB120" vm="13997">
        <f ca="1"/>
        <v>30.56</v>
      </c>
      <c r="AC120" vm="17192">
        <f ca="1"/>
        <v>31.32</v>
      </c>
      <c r="AD120" vm="2711">
        <f ca="1"/>
        <v>31.6</v>
      </c>
      <c r="AE120" vm="16446">
        <f ca="1"/>
        <v>31.96</v>
      </c>
      <c r="AF120" vm="17825">
        <f ca="1"/>
        <v>31.83</v>
      </c>
      <c r="AG120" vm="8977">
        <f ca="1"/>
        <v>32.590000000000003</v>
      </c>
      <c r="AH120" vm="9002">
        <f ca="1"/>
        <v>31.89</v>
      </c>
      <c r="AI120" vm="16472">
        <f ca="1"/>
        <v>31.72</v>
      </c>
      <c r="AJ120" vm="19302">
        <f ca="1"/>
        <v>32.47</v>
      </c>
      <c r="AK120" vm="19303">
        <f ca="1"/>
        <v>31.93</v>
      </c>
      <c r="AL120" vm="2365">
        <f ca="1"/>
        <v>32.28</v>
      </c>
      <c r="AM120" vm="10636">
        <f ca="1"/>
        <v>32.729999999999997</v>
      </c>
      <c r="AN120" vm="19304">
        <f ca="1"/>
        <v>33.619999999999997</v>
      </c>
      <c r="AO120" vm="17207">
        <f ca="1"/>
        <v>33.340000000000003</v>
      </c>
      <c r="AP120" vm="19305">
        <f ca="1"/>
        <v>34.17</v>
      </c>
      <c r="AQ120" vm="19306">
        <f ca="1"/>
        <v>34.159999999999997</v>
      </c>
      <c r="AR120" vm="19307">
        <f ca="1"/>
        <v>35.04</v>
      </c>
      <c r="AS120" vm="9124">
        <f ca="1"/>
        <v>35.299999999999997</v>
      </c>
      <c r="AT120" vm="15704">
        <f ca="1"/>
        <v>35.049999999999997</v>
      </c>
      <c r="AU120" vm="10657">
        <f ca="1"/>
        <v>35.729999999999997</v>
      </c>
      <c r="AV120" vm="19308">
        <f ca="1"/>
        <v>36.24</v>
      </c>
      <c r="AW120" vm="9097">
        <f ca="1"/>
        <v>35.03</v>
      </c>
      <c r="AX120" vm="15706">
        <f ca="1"/>
        <v>35.380000000000003</v>
      </c>
      <c r="AY120" vm="19309">
        <f ca="1"/>
        <v>36.44</v>
      </c>
      <c r="AZ120" vm="9113">
        <f ca="1"/>
        <v>36.049999999999997</v>
      </c>
      <c r="BA120" vm="19310">
        <f ca="1"/>
        <v>35.229999999999997</v>
      </c>
      <c r="BB120" vm="4720">
        <f ca="1"/>
        <v>34.51</v>
      </c>
      <c r="BC120" vm="19307">
        <f ca="1"/>
        <v>35.04</v>
      </c>
      <c r="BD120" vm="19311">
        <f ca="1"/>
        <v>36.79</v>
      </c>
      <c r="BE120" vm="19312">
        <f ca="1"/>
        <v>36.97</v>
      </c>
      <c r="BF120" vm="17841">
        <f ca="1"/>
        <v>36.96</v>
      </c>
      <c r="BG120" vm="10653">
        <f ca="1"/>
        <v>35.97</v>
      </c>
      <c r="BH120" vm="19044">
        <f ca="1"/>
        <v>36.39</v>
      </c>
      <c r="BI120" vm="19313">
        <f ca="1"/>
        <v>36.35</v>
      </c>
      <c r="BJ120" vm="1572">
        <f ca="1"/>
        <v>36.590000000000003</v>
      </c>
      <c r="BK120" vm="13791">
        <f ca="1"/>
        <v>37.659999999999997</v>
      </c>
      <c r="BL120" vm="10685">
        <f ca="1"/>
        <v>38.549999999999997</v>
      </c>
      <c r="BM120" vm="16014">
        <f ca="1"/>
        <v>38.49</v>
      </c>
      <c r="BN120" vm="19314">
        <f ca="1"/>
        <v>38.33</v>
      </c>
      <c r="BO120" vm="3309">
        <f ca="1"/>
        <v>37.229999999999997</v>
      </c>
      <c r="BP120" vm="16007">
        <f ca="1"/>
        <v>36.56</v>
      </c>
      <c r="BQ120" vm="10669">
        <f ca="1"/>
        <v>36.67</v>
      </c>
      <c r="BR120" vm="19046">
        <f ca="1"/>
        <v>36.299999999999997</v>
      </c>
      <c r="BS120" vm="4655">
        <f ca="1"/>
        <v>36.270000000000003</v>
      </c>
      <c r="BT120" vm="19315">
        <f ca="1"/>
        <v>36.68</v>
      </c>
      <c r="BU120" vm="18005">
        <f ca="1"/>
        <v>35.840000000000003</v>
      </c>
      <c r="BV120" vm="18005">
        <f ca="1"/>
        <v>35.840000000000003</v>
      </c>
      <c r="BW120" vm="19316">
        <f ca="1"/>
        <v>35.76</v>
      </c>
      <c r="BX120" vm="19317">
        <f ca="1"/>
        <v>35.54</v>
      </c>
      <c r="BY120" vm="10662">
        <f ca="1"/>
        <v>35.22</v>
      </c>
      <c r="BZ120" vm="2706">
        <f ca="1"/>
        <v>32.74</v>
      </c>
      <c r="CA120" vm="10545">
        <f ca="1"/>
        <v>30</v>
      </c>
      <c r="CB120" vm="10590">
        <f ca="1"/>
        <v>29.59</v>
      </c>
      <c r="CC120" vm="16481">
        <f ca="1"/>
        <v>31.68</v>
      </c>
      <c r="CD120" vm="16437">
        <f ca="1"/>
        <v>31.56</v>
      </c>
      <c r="CE120" vm="19318">
        <f ca="1"/>
        <v>32.94</v>
      </c>
      <c r="CF120" vm="19319">
        <f ca="1"/>
        <v>33.369999999999997</v>
      </c>
      <c r="CG120" vm="8971">
        <f ca="1"/>
        <v>33.18</v>
      </c>
      <c r="CH120" vm="19320">
        <f ca="1"/>
        <v>32.42</v>
      </c>
      <c r="CI120" vm="9174">
        <f ca="1"/>
        <v>32.4</v>
      </c>
      <c r="CJ120" vm="10646">
        <f ca="1"/>
        <v>32.43</v>
      </c>
      <c r="CK120" vm="19321">
        <f ca="1"/>
        <v>33.46</v>
      </c>
      <c r="CL120" vm="19322">
        <f ca="1"/>
        <v>33.83</v>
      </c>
      <c r="CM120" vm="9090">
        <f ca="1"/>
        <v>34.11</v>
      </c>
      <c r="CN120" vm="8978">
        <f ca="1"/>
        <v>33.979999999999997</v>
      </c>
      <c r="CO120" vm="19323">
        <f ca="1"/>
        <v>34</v>
      </c>
      <c r="CP120" vm="9087">
        <f ca="1"/>
        <v>33.799999999999997</v>
      </c>
      <c r="CQ120" vm="9075">
        <f ca="1"/>
        <v>33.86</v>
      </c>
      <c r="CR120" vm="15767">
        <f ca="1"/>
        <v>33.79</v>
      </c>
      <c r="CS120" vm="19324">
        <f ca="1"/>
        <v>34.909999999999997</v>
      </c>
      <c r="CT120" vm="813">
        <f ca="1"/>
        <v>34.869999999999997</v>
      </c>
      <c r="CU120" vm="15769">
        <f ca="1"/>
        <v>35.270000000000003</v>
      </c>
      <c r="CV120" vm="15701">
        <f ca="1"/>
        <v>34.47</v>
      </c>
      <c r="CW120" vm="826">
        <f ca="1"/>
        <v>35</v>
      </c>
      <c r="CX120" vm="9173">
        <f ca="1"/>
        <v>34.83</v>
      </c>
      <c r="CY120" vm="19325">
        <f ca="1"/>
        <v>36.04</v>
      </c>
      <c r="CZ120" vm="19326">
        <f ca="1"/>
        <v>35.74</v>
      </c>
      <c r="DA120" vm="9105">
        <f ca="1"/>
        <v>36.31</v>
      </c>
      <c r="DB120" vm="19327">
        <f ca="1"/>
        <v>35.75</v>
      </c>
      <c r="DC120" vm="19328">
        <f ca="1"/>
        <v>35.64</v>
      </c>
      <c r="DD120" vm="19329">
        <f ca="1"/>
        <v>35.86</v>
      </c>
      <c r="DE120" vm="19330">
        <f ca="1"/>
        <v>36.26</v>
      </c>
      <c r="DF120" vm="4698">
        <f ca="1"/>
        <v>36.090000000000003</v>
      </c>
      <c r="DG120" vm="15782">
        <f ca="1"/>
        <v>35.909999999999997</v>
      </c>
      <c r="DH120" vm="10653">
        <f ca="1"/>
        <v>35.97</v>
      </c>
      <c r="DI120" vm="19331">
        <f ca="1"/>
        <v>35.6</v>
      </c>
      <c r="DJ120" vm="19332">
        <f ca="1"/>
        <v>35.24</v>
      </c>
      <c r="DK120" vm="10659">
        <f ca="1"/>
        <v>35.619999999999997</v>
      </c>
      <c r="DL120" vm="826">
        <f ca="1"/>
        <v>35</v>
      </c>
      <c r="DM120" vm="17213">
        <f ca="1"/>
        <v>35.35</v>
      </c>
      <c r="DN120" vm="15771">
        <f ca="1"/>
        <v>35.700000000000003</v>
      </c>
      <c r="DO120" vm="1568">
        <f ca="1"/>
        <v>36.369999999999997</v>
      </c>
      <c r="DP120" vm="9163">
        <f ca="1"/>
        <v>36.630000000000003</v>
      </c>
      <c r="DQ120" vm="1572">
        <f ca="1"/>
        <v>36.590000000000003</v>
      </c>
      <c r="DR120" vm="1576">
        <f ca="1"/>
        <v>37.06</v>
      </c>
      <c r="DS120" vm="3310">
        <f ca="1"/>
        <v>37.22</v>
      </c>
      <c r="DT120" vm="1042">
        <f ca="1"/>
        <v>37.409999999999997</v>
      </c>
      <c r="DU120" vm="149">
        <f ca="1"/>
        <v>37.26</v>
      </c>
      <c r="DV120" vm="1561">
        <f ca="1"/>
        <v>36.58</v>
      </c>
      <c r="DW120" vm="10669">
        <f ca="1"/>
        <v>36.67</v>
      </c>
      <c r="DX120" vm="19308">
        <f ca="1"/>
        <v>36.24</v>
      </c>
      <c r="DY120" vm="19327">
        <f ca="1"/>
        <v>35.75</v>
      </c>
      <c r="DZ120" vm="17225">
        <f ca="1"/>
        <v>35.520000000000003</v>
      </c>
      <c r="EA120" vm="4663">
        <f ca="1"/>
        <v>36.08</v>
      </c>
      <c r="EB120" vm="1575">
        <f ca="1"/>
        <v>37.1</v>
      </c>
      <c r="EC120" vm="1576">
        <f ca="1"/>
        <v>37.06</v>
      </c>
      <c r="ED120" vm="15777">
        <f ca="1"/>
        <v>37.159999999999997</v>
      </c>
      <c r="EE120" vm="9107">
        <f ca="1"/>
        <v>36.81</v>
      </c>
      <c r="EF120" vm="4705">
        <f ca="1"/>
        <v>36.76</v>
      </c>
      <c r="EG120" vm="4759">
        <f ca="1"/>
        <v>36.83</v>
      </c>
      <c r="EH120" vm="15775">
        <f ca="1"/>
        <v>36.69</v>
      </c>
      <c r="EI120" vm="4655">
        <f ca="1"/>
        <v>36.270000000000003</v>
      </c>
      <c r="EJ120" vm="9105">
        <f ca="1"/>
        <v>36.31</v>
      </c>
      <c r="EK120" vm="15775">
        <f ca="1"/>
        <v>36.69</v>
      </c>
      <c r="EL120" vm="15776">
        <f ca="1"/>
        <v>36.18</v>
      </c>
      <c r="EM120" vm="4664">
        <f ca="1"/>
        <v>36.520000000000003</v>
      </c>
      <c r="EN120" vm="19333">
        <f ca="1"/>
        <v>36.479999999999997</v>
      </c>
      <c r="EO120" vm="19334">
        <f ca="1"/>
        <v>36.909999999999997</v>
      </c>
      <c r="EP120" vm="3315">
        <f ca="1"/>
        <v>37.64</v>
      </c>
      <c r="EQ120" vm="3322">
        <f ca="1"/>
        <v>37.47</v>
      </c>
      <c r="ER120" vm="4669">
        <f ca="1"/>
        <v>37.590000000000003</v>
      </c>
      <c r="ES120" vm="9116">
        <f ca="1"/>
        <v>38.06</v>
      </c>
      <c r="ET120" vm="2633">
        <f ca="1"/>
        <v>38.21</v>
      </c>
      <c r="EU120" vm="2632">
        <f ca="1"/>
        <v>38.74</v>
      </c>
      <c r="EV120" vm="2631">
        <f ca="1"/>
        <v>39.08</v>
      </c>
      <c r="EW120" vm="10691">
        <f ca="1"/>
        <v>38.9</v>
      </c>
      <c r="EX120" vm="19335">
        <f ca="1"/>
        <v>38.65</v>
      </c>
      <c r="EY120" vm="12752">
        <f ca="1"/>
        <v>38.479999999999997</v>
      </c>
      <c r="EZ120" vm="17838">
        <f ca="1"/>
        <v>38.22</v>
      </c>
      <c r="FA120" vm="9186">
        <f ca="1"/>
        <v>37.78</v>
      </c>
      <c r="FB120" vm="3312">
        <f ca="1"/>
        <v>37.44</v>
      </c>
      <c r="FC120" vm="4759">
        <f ca="1"/>
        <v>36.83</v>
      </c>
      <c r="FD120" vm="3322">
        <f ca="1"/>
        <v>37.47</v>
      </c>
      <c r="FE120" vm="3315">
        <f ca="1"/>
        <v>37.64</v>
      </c>
      <c r="FF120" vm="10689">
        <f ca="1"/>
        <v>37.79</v>
      </c>
      <c r="FG120" vm="1031">
        <f ca="1"/>
        <v>37.74</v>
      </c>
      <c r="FH120" vm="19336">
        <f ca="1"/>
        <v>37.67</v>
      </c>
      <c r="FI120" vm="19337">
        <f ca="1"/>
        <v>37.33</v>
      </c>
      <c r="FJ120" vm="1033">
        <f ca="1"/>
        <v>37.94</v>
      </c>
      <c r="FK120" vm="2629">
        <f ca="1"/>
        <v>39.090000000000003</v>
      </c>
      <c r="FL120" vm="17229">
        <f ca="1"/>
        <v>38.340000000000003</v>
      </c>
      <c r="FM120" vm="17229">
        <f ca="1"/>
        <v>38.340000000000003</v>
      </c>
      <c r="FN120" vm="2616">
        <f ca="1"/>
        <v>38.58</v>
      </c>
      <c r="FO120" vm="17838">
        <f ca="1"/>
        <v>38.22</v>
      </c>
      <c r="FP120" vm="61">
        <f ca="1"/>
        <v>38.43</v>
      </c>
      <c r="FQ120" vm="19338">
        <f ca="1"/>
        <v>38.369999999999997</v>
      </c>
      <c r="FR120" vm="9159">
        <f ca="1"/>
        <v>39.24</v>
      </c>
      <c r="FS120" vm="16009">
        <f ca="1"/>
        <v>39.14</v>
      </c>
      <c r="FT120" vm="15789">
        <f ca="1"/>
        <v>39.22</v>
      </c>
      <c r="FU120" vm="17838">
        <f ca="1"/>
        <v>38.22</v>
      </c>
      <c r="FV120" vm="10681">
        <f ca="1"/>
        <v>38.56</v>
      </c>
      <c r="FW120" vm="13795">
        <f ca="1"/>
        <v>38.909999999999997</v>
      </c>
      <c r="FX120" vm="19339">
        <f ca="1"/>
        <v>39.26</v>
      </c>
      <c r="FY120" vm="13795">
        <f ca="1"/>
        <v>38.909999999999997</v>
      </c>
      <c r="FZ120" vm="19314">
        <f ca="1"/>
        <v>38.33</v>
      </c>
      <c r="GA120" vm="10691">
        <f ca="1"/>
        <v>38.9</v>
      </c>
      <c r="GB120" vm="17842">
        <f ca="1"/>
        <v>39.44</v>
      </c>
      <c r="GC120" vm="12787">
        <f ca="1"/>
        <v>39.97</v>
      </c>
      <c r="GD120" vm="293">
        <f ca="1"/>
        <v>39.72</v>
      </c>
      <c r="GE120" vm="558">
        <f ca="1"/>
        <v>40.74</v>
      </c>
      <c r="GF120" vm="19055">
        <f ca="1"/>
        <v>40.49</v>
      </c>
      <c r="GG120" vm="1376">
        <f ca="1"/>
        <v>40.78</v>
      </c>
      <c r="GH120" vm="16019">
        <f ca="1"/>
        <v>41.05</v>
      </c>
      <c r="GI120" vm="308">
        <f ca="1"/>
        <v>41.62</v>
      </c>
      <c r="GJ120" vm="6873">
        <f ca="1"/>
        <v>41.08</v>
      </c>
      <c r="GK120" vm="6965">
        <f ca="1"/>
        <v>40.93</v>
      </c>
      <c r="GL120" vm="6962">
        <f ca="1"/>
        <v>40.65</v>
      </c>
      <c r="GM120" vm="19054">
        <f ca="1"/>
        <v>40.1</v>
      </c>
      <c r="GN120" vm="9125">
        <f ca="1"/>
        <v>40.57</v>
      </c>
      <c r="GO120" vm="6864">
        <f ca="1"/>
        <v>40.67</v>
      </c>
      <c r="GP120" vm="19">
        <f ca="1"/>
        <v>40.33</v>
      </c>
      <c r="GQ120" vm="17843">
        <f ca="1"/>
        <v>40.98</v>
      </c>
      <c r="GR120" vm="2717">
        <f ca="1"/>
        <v>41.14</v>
      </c>
      <c r="GS120" vm="19340">
        <f ca="1"/>
        <v>41.38</v>
      </c>
      <c r="GT120" vm="12801">
        <f ca="1"/>
        <v>41.75</v>
      </c>
      <c r="GU120" vm="6881">
        <f ca="1"/>
        <v>41.42</v>
      </c>
      <c r="GV120" vm="6939">
        <f ca="1"/>
        <v>41.4</v>
      </c>
      <c r="GW120" vm="6965">
        <f ca="1"/>
        <v>40.93</v>
      </c>
      <c r="GX120" vm="16019">
        <f ca="1"/>
        <v>41.05</v>
      </c>
      <c r="GY120" vm="549">
        <f ca="1"/>
        <v>40.51</v>
      </c>
      <c r="GZ120" vm="19314">
        <f ca="1"/>
        <v>38.33</v>
      </c>
      <c r="HA120" vm="2621">
        <f ca="1"/>
        <v>39.53</v>
      </c>
      <c r="HB120" vm="19341">
        <f ca="1"/>
        <v>39.4</v>
      </c>
      <c r="HC120" vm="13800">
        <f ca="1"/>
        <v>39.799999999999997</v>
      </c>
      <c r="HD120" vm="12739">
        <f ca="1"/>
        <v>39.99</v>
      </c>
      <c r="HE120" vm="12743">
        <f ca="1"/>
        <v>40</v>
      </c>
      <c r="HF120" vm="19055">
        <f ca="1"/>
        <v>40.49</v>
      </c>
      <c r="HG120" vm="4828">
        <f ca="1"/>
        <v>39.94</v>
      </c>
      <c r="HH120" vm="12791">
        <f ca="1"/>
        <v>39.74</v>
      </c>
      <c r="HI120" vm="17840">
        <f ca="1"/>
        <v>40.409999999999997</v>
      </c>
      <c r="HJ120" vm="564">
        <f ca="1"/>
        <v>40.549999999999997</v>
      </c>
      <c r="HK120" vm="6873">
        <f ca="1"/>
        <v>41.08</v>
      </c>
      <c r="HL120" vm="15713">
        <f ca="1"/>
        <v>40.86</v>
      </c>
      <c r="HM120" vm="92">
        <f ca="1"/>
        <v>40.97</v>
      </c>
      <c r="HN120" vm="6869">
        <f ca="1"/>
        <v>40.15</v>
      </c>
      <c r="HO120" vm="14161">
        <f ca="1"/>
        <v>39.71</v>
      </c>
      <c r="HP120" vm="19342">
        <f ca="1"/>
        <v>39.83</v>
      </c>
      <c r="HQ120" vm="2620">
        <f ca="1"/>
        <v>39.369999999999997</v>
      </c>
      <c r="HR120" vm="19343">
        <f ca="1"/>
        <v>39.770000000000003</v>
      </c>
      <c r="HS120" vm="12750">
        <f ca="1"/>
        <v>40.14</v>
      </c>
      <c r="HT120" vm="4828">
        <f ca="1"/>
        <v>39.94</v>
      </c>
      <c r="HU120" vm="6857">
        <f ca="1"/>
        <v>40.76</v>
      </c>
      <c r="HV120" vm="6857">
        <f ca="1"/>
        <v>40.76</v>
      </c>
      <c r="HW120" vm="563">
        <f ca="1"/>
        <v>40.909999999999997</v>
      </c>
      <c r="HX120" vm="6962">
        <f ca="1"/>
        <v>40.65</v>
      </c>
      <c r="HY120" vm="12792">
        <f ca="1"/>
        <v>40.119999999999997</v>
      </c>
      <c r="HZ120" vm="19344">
        <f ca="1"/>
        <v>39.67</v>
      </c>
      <c r="IA120" vm="15790">
        <f ca="1"/>
        <v>39.51</v>
      </c>
      <c r="IB120" vm="2615">
        <f ca="1"/>
        <v>39.11</v>
      </c>
      <c r="IC120" vm="2616">
        <f ca="1"/>
        <v>38.58</v>
      </c>
      <c r="ID120" vm="2617">
        <f ca="1"/>
        <v>38.72</v>
      </c>
      <c r="IE120" vm="2618">
        <f ca="1"/>
        <v>39.35</v>
      </c>
      <c r="IF120" vm="2619">
        <f ca="1"/>
        <v>39.6</v>
      </c>
      <c r="IG120" vm="2620">
        <f ca="1"/>
        <v>39.369999999999997</v>
      </c>
      <c r="IH120" vm="2621">
        <f ca="1"/>
        <v>39.53</v>
      </c>
      <c r="II120" vm="2622">
        <f ca="1"/>
        <v>39.64</v>
      </c>
      <c r="IJ120" vm="2623">
        <f ca="1"/>
        <v>39.49</v>
      </c>
      <c r="IK120" vm="2624">
        <f ca="1"/>
        <v>39.21</v>
      </c>
      <c r="IL120" vm="2625">
        <f ca="1"/>
        <v>39.31</v>
      </c>
      <c r="IM120" vm="2626">
        <f ca="1"/>
        <v>39.89</v>
      </c>
      <c r="IN120" vm="2627">
        <f ca="1"/>
        <v>39.47</v>
      </c>
      <c r="IO120" vm="2628">
        <f ca="1"/>
        <v>38.82</v>
      </c>
      <c r="IP120" vm="2629">
        <f ca="1"/>
        <v>39.090000000000003</v>
      </c>
      <c r="IQ120" vm="2630">
        <f ca="1"/>
        <v>39.19</v>
      </c>
      <c r="IR120" vm="2631">
        <f ca="1"/>
        <v>39.08</v>
      </c>
      <c r="IS120" vm="2632">
        <f ca="1"/>
        <v>38.74</v>
      </c>
      <c r="IT120" vm="1565">
        <f ca="1"/>
        <v>37.96</v>
      </c>
      <c r="IU120" vm="1566">
        <f ca="1"/>
        <v>37.85</v>
      </c>
      <c r="IV120" vm="2633">
        <f ca="1"/>
        <v>38.21</v>
      </c>
      <c r="IW120" vm="71">
        <f ca="1"/>
        <v>38.6</v>
      </c>
    </row>
    <row r="121" spans="1:262" ht="16" x14ac:dyDescent="0.2">
      <c r="A121" t="e" vm="2634">
        <v>#VALUE!</v>
      </c>
      <c r="B121" s="23" t="str" cm="1">
        <f t="array" aca="1" ref="B121" ca="1">_FV(A121,"ticker symbol",TRUE)</f>
        <v>EEM</v>
      </c>
      <c r="C121" s="23" t="str" cm="1">
        <f t="array" aca="1" ref="C121" ca="1">_FV(A121,"Name")</f>
        <v>iShares:MSCI Em Mkts</v>
      </c>
      <c r="D121" cm="1" vm="9206">
        <f t="array" aca="1" ref="D121:IW121" ca="1">TRANSPOSE(_xlfn.STOCKHISTORY(B121, WORKDAY(TODAY(), -265), TODAY(), 0, 0, 1))</f>
        <v>43.79</v>
      </c>
      <c r="E121" vm="12807">
        <f ca="1"/>
        <v>42.96</v>
      </c>
      <c r="F121" vm="6878">
        <f ca="1"/>
        <v>41.96</v>
      </c>
      <c r="G121" vm="2722">
        <f ca="1"/>
        <v>42.1</v>
      </c>
      <c r="H121" vm="13806">
        <f ca="1"/>
        <v>42.27</v>
      </c>
      <c r="I121" vm="13809">
        <f ca="1"/>
        <v>42.51</v>
      </c>
      <c r="J121" vm="9979">
        <f ca="1"/>
        <v>42.64</v>
      </c>
      <c r="K121" vm="13811">
        <f ca="1"/>
        <v>42.49</v>
      </c>
      <c r="L121" vm="6955">
        <f ca="1"/>
        <v>42.3</v>
      </c>
      <c r="M121" vm="6878">
        <f ca="1"/>
        <v>41.96</v>
      </c>
      <c r="N121" vm="6896">
        <f ca="1"/>
        <v>41.82</v>
      </c>
      <c r="O121" vm="6930">
        <f ca="1"/>
        <v>41.76</v>
      </c>
      <c r="P121" vm="1361">
        <f ca="1"/>
        <v>42.15</v>
      </c>
      <c r="Q121" vm="6955">
        <f ca="1"/>
        <v>42.3</v>
      </c>
      <c r="R121" vm="6883">
        <f ca="1"/>
        <v>42</v>
      </c>
      <c r="S121" vm="6937">
        <f ca="1"/>
        <v>41.8</v>
      </c>
      <c r="T121" vm="555">
        <f ca="1"/>
        <v>41.09</v>
      </c>
      <c r="U121" vm="6861">
        <f ca="1"/>
        <v>40.81</v>
      </c>
      <c r="V121" vm="6966">
        <f ca="1"/>
        <v>41.27</v>
      </c>
      <c r="W121" vm="12796">
        <f ca="1"/>
        <v>41.81</v>
      </c>
      <c r="X121" vm="6930">
        <f ca="1"/>
        <v>41.76</v>
      </c>
      <c r="Y121" vm="13808">
        <f ca="1"/>
        <v>42.09</v>
      </c>
      <c r="Z121" vm="6953">
        <f ca="1"/>
        <v>42.54</v>
      </c>
      <c r="AA121" vm="12800">
        <f ca="1"/>
        <v>42.57</v>
      </c>
      <c r="AB121" vm="19106">
        <f ca="1"/>
        <v>42.67</v>
      </c>
      <c r="AC121" vm="1369">
        <f ca="1"/>
        <v>42.95</v>
      </c>
      <c r="AD121" vm="9149">
        <f ca="1"/>
        <v>42.17</v>
      </c>
      <c r="AE121" vm="6960">
        <f ca="1"/>
        <v>42.48</v>
      </c>
      <c r="AF121" vm="13811">
        <f ca="1"/>
        <v>42.49</v>
      </c>
      <c r="AG121" vm="12808">
        <f ca="1"/>
        <v>43.21</v>
      </c>
      <c r="AH121" vm="602">
        <f ca="1"/>
        <v>42.72</v>
      </c>
      <c r="AI121" vm="9150">
        <f ca="1"/>
        <v>42.41</v>
      </c>
      <c r="AJ121" vm="11519">
        <f ca="1"/>
        <v>43.17</v>
      </c>
      <c r="AK121" vm="13768">
        <f ca="1"/>
        <v>43.06</v>
      </c>
      <c r="AL121" vm="16611">
        <f ca="1"/>
        <v>43.24</v>
      </c>
      <c r="AM121" vm="9201">
        <f ca="1"/>
        <v>43.2</v>
      </c>
      <c r="AN121" vm="9974">
        <f ca="1"/>
        <v>43.72</v>
      </c>
      <c r="AO121" vm="17239">
        <f ca="1"/>
        <v>43.55</v>
      </c>
      <c r="AP121" vm="9206">
        <f ca="1"/>
        <v>43.79</v>
      </c>
      <c r="AQ121" vm="19345">
        <f ca="1"/>
        <v>44.07</v>
      </c>
      <c r="AR121" vm="12028">
        <f ca="1"/>
        <v>44.41</v>
      </c>
      <c r="AS121" vm="16550">
        <f ca="1"/>
        <v>44.69</v>
      </c>
      <c r="AT121" vm="1183">
        <f ca="1"/>
        <v>44.62</v>
      </c>
      <c r="AU121" vm="10009">
        <f ca="1"/>
        <v>45.03</v>
      </c>
      <c r="AV121" vm="19073">
        <f ca="1"/>
        <v>44.9</v>
      </c>
      <c r="AW121" vm="19082">
        <f ca="1"/>
        <v>44.21</v>
      </c>
      <c r="AX121" vm="543">
        <f ca="1"/>
        <v>44.24</v>
      </c>
      <c r="AY121" vm="9221">
        <f ca="1"/>
        <v>44.68</v>
      </c>
      <c r="AZ121" vm="464">
        <f ca="1"/>
        <v>43.81</v>
      </c>
      <c r="BA121" vm="12808">
        <f ca="1"/>
        <v>43.21</v>
      </c>
      <c r="BB121" vm="606">
        <f ca="1"/>
        <v>42.83</v>
      </c>
      <c r="BC121" vm="1364">
        <f ca="1"/>
        <v>43.19</v>
      </c>
      <c r="BD121" vm="19346">
        <f ca="1"/>
        <v>44.48</v>
      </c>
      <c r="BE121" vm="2329">
        <f ca="1"/>
        <v>44.2</v>
      </c>
      <c r="BF121" vm="19067">
        <f ca="1"/>
        <v>44.42</v>
      </c>
      <c r="BG121" vm="19347">
        <f ca="1"/>
        <v>43.36</v>
      </c>
      <c r="BH121" vm="9974">
        <f ca="1"/>
        <v>43.72</v>
      </c>
      <c r="BI121" vm="2338">
        <f ca="1"/>
        <v>43.96</v>
      </c>
      <c r="BJ121" vm="19348">
        <f ca="1"/>
        <v>43.78</v>
      </c>
      <c r="BK121" vm="10021">
        <f ca="1"/>
        <v>44.58</v>
      </c>
      <c r="BL121" vm="9222">
        <f ca="1"/>
        <v>45.34</v>
      </c>
      <c r="BM121" vm="14153">
        <f ca="1"/>
        <v>45.11</v>
      </c>
      <c r="BN121" vm="2587">
        <f ca="1"/>
        <v>45.22</v>
      </c>
      <c r="BO121" vm="19090">
        <f ca="1"/>
        <v>44.8</v>
      </c>
      <c r="BP121" vm="10021">
        <f ca="1"/>
        <v>44.58</v>
      </c>
      <c r="BQ121" vm="465">
        <f ca="1"/>
        <v>44.78</v>
      </c>
      <c r="BR121" vm="9971">
        <f ca="1"/>
        <v>44.65</v>
      </c>
      <c r="BS121" vm="19349">
        <f ca="1"/>
        <v>44.38</v>
      </c>
      <c r="BT121" vm="13814">
        <f ca="1"/>
        <v>44.6</v>
      </c>
      <c r="BU121" vm="9205">
        <f ca="1"/>
        <v>43.77</v>
      </c>
      <c r="BV121" vm="12062">
        <f ca="1"/>
        <v>43.7</v>
      </c>
      <c r="BW121" vm="10020">
        <f ca="1"/>
        <v>43.84</v>
      </c>
      <c r="BX121" vm="19350">
        <f ca="1"/>
        <v>43.9</v>
      </c>
      <c r="BY121" vm="15797">
        <f ca="1"/>
        <v>42.97</v>
      </c>
      <c r="BZ121" vm="560">
        <f ca="1"/>
        <v>40.58</v>
      </c>
      <c r="CA121" vm="9156">
        <f ca="1"/>
        <v>39.07</v>
      </c>
      <c r="CB121" vm="19351">
        <f ca="1"/>
        <v>38.520000000000003</v>
      </c>
      <c r="CC121" vm="12797">
        <f ca="1"/>
        <v>41.19</v>
      </c>
      <c r="CD121" vm="566">
        <f ca="1"/>
        <v>40.479999999999997</v>
      </c>
      <c r="CE121" vm="12801">
        <f ca="1"/>
        <v>41.75</v>
      </c>
      <c r="CF121" vm="6950">
        <f ca="1"/>
        <v>42.13</v>
      </c>
      <c r="CG121" vm="13808">
        <f ca="1"/>
        <v>42.09</v>
      </c>
      <c r="CH121" vm="9196">
        <f ca="1"/>
        <v>41.6</v>
      </c>
      <c r="CI121" vm="2679">
        <f ca="1"/>
        <v>41.92</v>
      </c>
      <c r="CJ121" vm="6956">
        <f ca="1"/>
        <v>41.91</v>
      </c>
      <c r="CK121" vm="6953">
        <f ca="1"/>
        <v>42.54</v>
      </c>
      <c r="CL121" vm="16022">
        <f ca="1"/>
        <v>43.03</v>
      </c>
      <c r="CM121" vm="9985">
        <f ca="1"/>
        <v>43.53</v>
      </c>
      <c r="CN121" vm="19352">
        <f ca="1"/>
        <v>43.45</v>
      </c>
      <c r="CO121" vm="9985">
        <f ca="1"/>
        <v>43.53</v>
      </c>
      <c r="CP121" vm="2688">
        <f ca="1"/>
        <v>43.65</v>
      </c>
      <c r="CQ121" vm="13779">
        <f ca="1"/>
        <v>43.76</v>
      </c>
      <c r="CR121" vm="2690">
        <f ca="1"/>
        <v>43.75</v>
      </c>
      <c r="CS121" vm="546">
        <f ca="1"/>
        <v>45</v>
      </c>
      <c r="CT121" vm="9222">
        <f ca="1"/>
        <v>45.34</v>
      </c>
      <c r="CU121" vm="67">
        <f ca="1"/>
        <v>45.16</v>
      </c>
      <c r="CV121" vm="9219">
        <f ca="1"/>
        <v>44.64</v>
      </c>
      <c r="CW121" vm="16029">
        <f ca="1"/>
        <v>44.61</v>
      </c>
      <c r="CX121" vm="1978">
        <f ca="1"/>
        <v>44.91</v>
      </c>
      <c r="CY121" vm="12066">
        <f ca="1"/>
        <v>45.88</v>
      </c>
      <c r="CZ121" vm="461">
        <f ca="1"/>
        <v>45.96</v>
      </c>
      <c r="DA121" vm="14051">
        <f ca="1"/>
        <v>46.31</v>
      </c>
      <c r="DB121" vm="10041">
        <f ca="1"/>
        <v>46.29</v>
      </c>
      <c r="DC121" vm="2110">
        <f ca="1"/>
        <v>46.26</v>
      </c>
      <c r="DD121" vm="19353">
        <f ca="1"/>
        <v>46.36</v>
      </c>
      <c r="DE121" vm="14051">
        <f ca="1"/>
        <v>46.31</v>
      </c>
      <c r="DF121" vm="12099">
        <f ca="1"/>
        <v>46.19</v>
      </c>
      <c r="DG121" vm="10043">
        <f ca="1"/>
        <v>46.04</v>
      </c>
      <c r="DH121" vm="12078">
        <f ca="1"/>
        <v>46.23</v>
      </c>
      <c r="DI121" vm="11516">
        <f ca="1"/>
        <v>46.12</v>
      </c>
      <c r="DJ121" vm="6280">
        <f ca="1"/>
        <v>45.91</v>
      </c>
      <c r="DK121" vm="12100">
        <f ca="1"/>
        <v>46.08</v>
      </c>
      <c r="DL121" vm="11638">
        <f ca="1"/>
        <v>45.52</v>
      </c>
      <c r="DM121" vm="14050">
        <f ca="1"/>
        <v>45.85</v>
      </c>
      <c r="DN121" vm="461">
        <f ca="1"/>
        <v>45.96</v>
      </c>
      <c r="DO121" vm="6283">
        <f ca="1"/>
        <v>46.53</v>
      </c>
      <c r="DP121" vm="12068">
        <f ca="1"/>
        <v>46.77</v>
      </c>
      <c r="DQ121" vm="11460">
        <f ca="1"/>
        <v>46.92</v>
      </c>
      <c r="DR121" vm="6236">
        <f ca="1"/>
        <v>47.32</v>
      </c>
      <c r="DS121" vm="19354">
        <f ca="1"/>
        <v>47.59</v>
      </c>
      <c r="DT121" vm="11587">
        <f ca="1"/>
        <v>47.79</v>
      </c>
      <c r="DU121" vm="11567">
        <f ca="1"/>
        <v>47.87</v>
      </c>
      <c r="DV121" vm="13822">
        <f ca="1"/>
        <v>47.11</v>
      </c>
      <c r="DW121" vm="6279">
        <f ca="1"/>
        <v>47.23</v>
      </c>
      <c r="DX121" vm="16524">
        <f ca="1"/>
        <v>46.61</v>
      </c>
      <c r="DY121" vm="16028">
        <f ca="1"/>
        <v>46.6</v>
      </c>
      <c r="DZ121" vm="12025">
        <f ca="1"/>
        <v>46.33</v>
      </c>
      <c r="EA121" vm="12092">
        <f ca="1"/>
        <v>46.71</v>
      </c>
      <c r="EB121" vm="1260">
        <f ca="1"/>
        <v>47.92</v>
      </c>
      <c r="EC121" vm="1268">
        <f ca="1"/>
        <v>47.96</v>
      </c>
      <c r="ED121" vm="6230">
        <f ca="1"/>
        <v>48.28</v>
      </c>
      <c r="EE121" vm="14052">
        <f ca="1"/>
        <v>48.09</v>
      </c>
      <c r="EF121" vm="9240">
        <f ca="1"/>
        <v>48.24</v>
      </c>
      <c r="EG121" vm="6231">
        <f ca="1"/>
        <v>48.33</v>
      </c>
      <c r="EH121" vm="13823">
        <f ca="1"/>
        <v>48.54</v>
      </c>
      <c r="EI121" vm="6290">
        <f ca="1"/>
        <v>48.76</v>
      </c>
      <c r="EJ121" vm="19355">
        <f ca="1"/>
        <v>48.07</v>
      </c>
      <c r="EK121" vm="11024">
        <f ca="1"/>
        <v>48.37</v>
      </c>
      <c r="EL121" vm="11459">
        <f ca="1"/>
        <v>48.29</v>
      </c>
      <c r="EM121" vm="6227">
        <f ca="1"/>
        <v>48.42</v>
      </c>
      <c r="EN121" vm="10049">
        <f ca="1"/>
        <v>48.26</v>
      </c>
      <c r="EO121" vm="6231">
        <f ca="1"/>
        <v>48.33</v>
      </c>
      <c r="EP121" vm="11292">
        <f ca="1"/>
        <v>48.68</v>
      </c>
      <c r="EQ121" vm="9999">
        <f ca="1"/>
        <v>48.91</v>
      </c>
      <c r="ER121" vm="19356">
        <f ca="1"/>
        <v>49.19</v>
      </c>
      <c r="ES121" vm="12042">
        <f ca="1"/>
        <v>49.08</v>
      </c>
      <c r="ET121" vm="1131">
        <f ca="1"/>
        <v>49.4</v>
      </c>
      <c r="EU121" vm="11044">
        <f ca="1"/>
        <v>49.43</v>
      </c>
      <c r="EV121" vm="11289">
        <f ca="1"/>
        <v>49.93</v>
      </c>
      <c r="EW121" vm="9242">
        <f ca="1"/>
        <v>49.66</v>
      </c>
      <c r="EX121" vm="19357">
        <f ca="1"/>
        <v>49.51</v>
      </c>
      <c r="EY121" vm="12049">
        <f ca="1"/>
        <v>49.18</v>
      </c>
      <c r="EZ121" vm="1993">
        <f ca="1"/>
        <v>49.2</v>
      </c>
      <c r="FA121" vm="1132">
        <f ca="1"/>
        <v>48.84</v>
      </c>
      <c r="FB121" vm="1259">
        <f ca="1"/>
        <v>48.56</v>
      </c>
      <c r="FC121" vm="11848">
        <f ca="1"/>
        <v>48.2</v>
      </c>
      <c r="FD121" vm="11029">
        <f ca="1"/>
        <v>48.7</v>
      </c>
      <c r="FE121" vm="1132">
        <f ca="1"/>
        <v>48.84</v>
      </c>
      <c r="FF121" vm="11832">
        <f ca="1"/>
        <v>49.07</v>
      </c>
      <c r="FG121" vm="6239">
        <f ca="1"/>
        <v>49.48</v>
      </c>
      <c r="FH121" vm="6292">
        <f ca="1"/>
        <v>49.44</v>
      </c>
      <c r="FI121" vm="9996">
        <f ca="1"/>
        <v>49.3</v>
      </c>
      <c r="FJ121" vm="1139">
        <f ca="1"/>
        <v>49.9</v>
      </c>
      <c r="FK121" vm="1146">
        <f ca="1"/>
        <v>50.5</v>
      </c>
      <c r="FL121" vm="845">
        <f ca="1"/>
        <v>49.88</v>
      </c>
      <c r="FM121" vm="2915">
        <f ca="1"/>
        <v>49.94</v>
      </c>
      <c r="FN121" vm="6241">
        <f ca="1"/>
        <v>50.23</v>
      </c>
      <c r="FO121" vm="15724">
        <f ca="1"/>
        <v>49.82</v>
      </c>
      <c r="FP121" vm="1991">
        <f ca="1"/>
        <v>49.75</v>
      </c>
      <c r="FQ121" vm="6274">
        <f ca="1"/>
        <v>49.64</v>
      </c>
      <c r="FR121" vm="11319">
        <f ca="1"/>
        <v>50.63</v>
      </c>
      <c r="FS121" vm="19358">
        <f ca="1"/>
        <v>50.34</v>
      </c>
      <c r="FT121" vm="6265">
        <f ca="1"/>
        <v>50.21</v>
      </c>
      <c r="FU121" vm="125">
        <f ca="1"/>
        <v>49.91</v>
      </c>
      <c r="FV121" vm="1134">
        <f ca="1"/>
        <v>50.1</v>
      </c>
      <c r="FW121" vm="6293">
        <f ca="1"/>
        <v>49.86</v>
      </c>
      <c r="FX121" vm="15724">
        <f ca="1"/>
        <v>49.82</v>
      </c>
      <c r="FY121" vm="11317">
        <f ca="1"/>
        <v>50.01</v>
      </c>
      <c r="FZ121" vm="1140">
        <f ca="1"/>
        <v>49.85</v>
      </c>
      <c r="GA121" vm="11853">
        <f ca="1"/>
        <v>50.45</v>
      </c>
      <c r="GB121" vm="13828">
        <f ca="1"/>
        <v>50.91</v>
      </c>
      <c r="GC121" vm="2765">
        <f ca="1"/>
        <v>51.19</v>
      </c>
      <c r="GD121" vm="6254">
        <f ca="1"/>
        <v>51.54</v>
      </c>
      <c r="GE121" vm="2922">
        <f ca="1"/>
        <v>52.29</v>
      </c>
      <c r="GF121" vm="18825">
        <f ca="1"/>
        <v>52.26</v>
      </c>
      <c r="GG121" vm="11006">
        <f ca="1"/>
        <v>52.64</v>
      </c>
      <c r="GH121" vm="19359">
        <f ca="1"/>
        <v>53.03</v>
      </c>
      <c r="GI121" vm="6332">
        <f ca="1"/>
        <v>53.26</v>
      </c>
      <c r="GJ121" vm="2191">
        <f ca="1"/>
        <v>53.13</v>
      </c>
      <c r="GK121" vm="3302">
        <f ca="1"/>
        <v>53.01</v>
      </c>
      <c r="GL121" vm="18375">
        <f ca="1"/>
        <v>53.27</v>
      </c>
      <c r="GM121" vm="11020">
        <f ca="1"/>
        <v>53.3</v>
      </c>
      <c r="GN121" vm="9688">
        <f ca="1"/>
        <v>53.12</v>
      </c>
      <c r="GO121" vm="2910">
        <f ca="1"/>
        <v>52.81</v>
      </c>
      <c r="GP121" vm="2194">
        <f ca="1"/>
        <v>52.71</v>
      </c>
      <c r="GQ121" vm="6313">
        <f ca="1"/>
        <v>53.19</v>
      </c>
      <c r="GR121" vm="18368">
        <f ca="1"/>
        <v>53.4</v>
      </c>
      <c r="GS121" vm="19360">
        <f ca="1"/>
        <v>53.82</v>
      </c>
      <c r="GT121" vm="11007">
        <f ca="1"/>
        <v>54.07</v>
      </c>
      <c r="GU121" vm="11000">
        <f ca="1"/>
        <v>54.23</v>
      </c>
      <c r="GV121" vm="15731">
        <f ca="1"/>
        <v>54.48</v>
      </c>
      <c r="GW121" vm="3328">
        <f ca="1"/>
        <v>54.06</v>
      </c>
      <c r="GX121" vm="11866">
        <f ca="1"/>
        <v>54.49</v>
      </c>
      <c r="GY121" vm="19361">
        <f ca="1"/>
        <v>53.93</v>
      </c>
      <c r="GZ121" vm="6310">
        <f ca="1"/>
        <v>51.94</v>
      </c>
      <c r="HA121" vm="105">
        <f ca="1"/>
        <v>53.45</v>
      </c>
      <c r="HB121" vm="3307">
        <f ca="1"/>
        <v>52.97</v>
      </c>
      <c r="HC121" vm="3338">
        <f ca="1"/>
        <v>53.84</v>
      </c>
      <c r="HD121" vm="14035">
        <f ca="1"/>
        <v>54.19</v>
      </c>
      <c r="HE121" vm="19362">
        <f ca="1"/>
        <v>54.18</v>
      </c>
      <c r="HF121" vm="19363">
        <f ca="1"/>
        <v>54.92</v>
      </c>
      <c r="HG121" vm="10068">
        <f ca="1"/>
        <v>54.31</v>
      </c>
      <c r="HH121" vm="15803">
        <f ca="1"/>
        <v>54.26</v>
      </c>
      <c r="HI121" vm="2644">
        <f ca="1"/>
        <v>54.74</v>
      </c>
      <c r="HJ121" vm="14199">
        <f ca="1"/>
        <v>55.1</v>
      </c>
      <c r="HK121" vm="1228">
        <f ca="1"/>
        <v>55.71</v>
      </c>
      <c r="HL121" vm="940">
        <f ca="1"/>
        <v>55.69</v>
      </c>
      <c r="HM121" vm="118">
        <f ca="1"/>
        <v>56.01</v>
      </c>
      <c r="HN121" vm="11017">
        <f ca="1"/>
        <v>55.43</v>
      </c>
      <c r="HO121" vm="18366">
        <f ca="1"/>
        <v>55.3</v>
      </c>
      <c r="HP121" vm="14031">
        <f ca="1"/>
        <v>55.65</v>
      </c>
      <c r="HQ121" vm="485">
        <f ca="1"/>
        <v>54.63</v>
      </c>
      <c r="HR121" vm="17845">
        <f ca="1"/>
        <v>55.12</v>
      </c>
      <c r="HS121" vm="19364">
        <f ca="1"/>
        <v>54.71</v>
      </c>
      <c r="HT121" vm="11867">
        <f ca="1"/>
        <v>54.55</v>
      </c>
      <c r="HU121" vm="14111">
        <f ca="1"/>
        <v>55.51</v>
      </c>
      <c r="HV121" vm="19365">
        <f ca="1"/>
        <v>55.57</v>
      </c>
      <c r="HW121" vm="19366">
        <f ca="1"/>
        <v>55.58</v>
      </c>
      <c r="HX121" vm="11868">
        <f ca="1"/>
        <v>54.93</v>
      </c>
      <c r="HY121" vm="11882">
        <f ca="1"/>
        <v>54.96</v>
      </c>
      <c r="HZ121" vm="10068">
        <f ca="1"/>
        <v>54.31</v>
      </c>
      <c r="IA121" vm="3335">
        <f ca="1"/>
        <v>54.04</v>
      </c>
      <c r="IB121" vm="2635">
        <f ca="1"/>
        <v>53.85</v>
      </c>
      <c r="IC121" vm="2636">
        <f ca="1"/>
        <v>53.11</v>
      </c>
      <c r="ID121" vm="2637">
        <f ca="1"/>
        <v>53.1</v>
      </c>
      <c r="IE121" vm="477">
        <f ca="1"/>
        <v>53.66</v>
      </c>
      <c r="IF121" vm="2635">
        <f ca="1"/>
        <v>53.85</v>
      </c>
      <c r="IG121" vm="2638">
        <f ca="1"/>
        <v>54.24</v>
      </c>
      <c r="IH121" vm="2639">
        <f ca="1"/>
        <v>54.32</v>
      </c>
      <c r="II121" vm="2640">
        <f ca="1"/>
        <v>54.28</v>
      </c>
      <c r="IJ121" vm="2641">
        <f ca="1"/>
        <v>54.3</v>
      </c>
      <c r="IK121" vm="2642">
        <f ca="1"/>
        <v>54.34</v>
      </c>
      <c r="IL121" vm="2643">
        <f ca="1"/>
        <v>54.33</v>
      </c>
      <c r="IM121" vm="2644">
        <f ca="1"/>
        <v>54.74</v>
      </c>
      <c r="IN121" vm="2645">
        <f ca="1"/>
        <v>54.62</v>
      </c>
      <c r="IO121" vm="2646">
        <f ca="1"/>
        <v>54.53</v>
      </c>
      <c r="IP121" vm="2647">
        <f ca="1"/>
        <v>55.14</v>
      </c>
      <c r="IQ121" vm="2648">
        <f ca="1"/>
        <v>54.88</v>
      </c>
      <c r="IR121" vm="2638">
        <f ca="1"/>
        <v>54.24</v>
      </c>
      <c r="IS121" vm="2649">
        <f ca="1"/>
        <v>54.08</v>
      </c>
      <c r="IT121" vm="2650">
        <f ca="1"/>
        <v>52.98</v>
      </c>
      <c r="IU121" vm="2651">
        <f ca="1"/>
        <v>52.6</v>
      </c>
      <c r="IV121" vm="2652">
        <f ca="1"/>
        <v>53.2</v>
      </c>
      <c r="IW121" vm="73">
        <f ca="1"/>
        <v>53.72</v>
      </c>
    </row>
    <row r="122" spans="1:262" ht="16" x14ac:dyDescent="0.2">
      <c r="A122" t="e" vm="2653">
        <v>#VALUE!</v>
      </c>
      <c r="B122" s="23" t="str" cm="1">
        <f t="array" aca="1" ref="B122" ca="1">_FV(A122,"ticker symbol",TRUE)</f>
        <v>EWJ</v>
      </c>
      <c r="C122" s="23" t="str" cm="1">
        <f t="array" aca="1" ref="C122" ca="1">_FV(A122,"Name")</f>
        <v>iShares:MSCI Japan</v>
      </c>
      <c r="D122" cm="1" vm="783">
        <f t="array" aca="1" ref="D122:IW122" ca="1">TRANSPOSE(_xlfn.STOCKHISTORY(B122, WORKDAY(TODAY(), -265), TODAY(), 0, 0, 1))</f>
        <v>69.180000000000007</v>
      </c>
      <c r="E122" vm="2783">
        <f ca="1"/>
        <v>67.88</v>
      </c>
      <c r="F122" vm="2349">
        <f ca="1"/>
        <v>66.180000000000007</v>
      </c>
      <c r="G122" vm="2938">
        <f ca="1"/>
        <v>66.39</v>
      </c>
      <c r="H122" vm="11406">
        <f ca="1"/>
        <v>66.209999999999994</v>
      </c>
      <c r="I122" vm="8867">
        <f ca="1"/>
        <v>66.489999999999995</v>
      </c>
      <c r="J122" vm="11413">
        <f ca="1"/>
        <v>66.45</v>
      </c>
      <c r="K122" vm="8747">
        <f ca="1"/>
        <v>67.22</v>
      </c>
      <c r="L122" vm="19367">
        <f ca="1"/>
        <v>67.73</v>
      </c>
      <c r="M122" vm="15665">
        <f ca="1"/>
        <v>67.16</v>
      </c>
      <c r="N122" vm="2478">
        <f ca="1"/>
        <v>67.099999999999994</v>
      </c>
      <c r="O122" vm="8738">
        <f ca="1"/>
        <v>67.010000000000005</v>
      </c>
      <c r="P122" vm="2483">
        <f ca="1"/>
        <v>67.28</v>
      </c>
      <c r="Q122" vm="2481">
        <f ca="1"/>
        <v>67.430000000000007</v>
      </c>
      <c r="R122" vm="19368">
        <f ca="1"/>
        <v>67.27</v>
      </c>
      <c r="S122" vm="2478">
        <f ca="1"/>
        <v>67.099999999999994</v>
      </c>
      <c r="T122" vm="15604">
        <f ca="1"/>
        <v>65.239999999999995</v>
      </c>
      <c r="U122" vm="8838">
        <f ca="1"/>
        <v>65.42</v>
      </c>
      <c r="V122" vm="1161">
        <f ca="1"/>
        <v>65.290000000000006</v>
      </c>
      <c r="W122" vm="8746">
        <f ca="1"/>
        <v>66.27</v>
      </c>
      <c r="X122" vm="11423">
        <f ca="1"/>
        <v>65.849999999999994</v>
      </c>
      <c r="Y122" vm="2349">
        <f ca="1"/>
        <v>66.180000000000007</v>
      </c>
      <c r="Z122" vm="9731">
        <f ca="1"/>
        <v>67.33</v>
      </c>
      <c r="AA122" vm="19369">
        <f ca="1"/>
        <v>67.25</v>
      </c>
      <c r="AB122" vm="8751">
        <f ca="1"/>
        <v>67.819999999999993</v>
      </c>
      <c r="AC122" vm="10174">
        <f ca="1"/>
        <v>68.48</v>
      </c>
      <c r="AD122" vm="13855">
        <f ca="1"/>
        <v>67.739999999999995</v>
      </c>
      <c r="AE122" vm="10327">
        <f ca="1"/>
        <v>68.31</v>
      </c>
      <c r="AF122" vm="15814">
        <f ca="1"/>
        <v>68.099999999999994</v>
      </c>
      <c r="AG122" vm="19370">
        <f ca="1"/>
        <v>69.12</v>
      </c>
      <c r="AH122" vm="10327">
        <f ca="1"/>
        <v>68.31</v>
      </c>
      <c r="AI122" vm="8757">
        <f ca="1"/>
        <v>67.66</v>
      </c>
      <c r="AJ122" vm="17464">
        <f ca="1"/>
        <v>68.27</v>
      </c>
      <c r="AK122" vm="19370">
        <f ca="1"/>
        <v>69.12</v>
      </c>
      <c r="AL122" vm="13884">
        <f ca="1"/>
        <v>69.400000000000006</v>
      </c>
      <c r="AM122" vm="10174">
        <f ca="1"/>
        <v>68.48</v>
      </c>
      <c r="AN122" vm="895">
        <f ca="1"/>
        <v>68.75</v>
      </c>
      <c r="AO122" vm="10322">
        <f ca="1"/>
        <v>68.739999999999995</v>
      </c>
      <c r="AP122" vm="19371">
        <f ca="1"/>
        <v>68.02</v>
      </c>
      <c r="AQ122" vm="10263">
        <f ca="1"/>
        <v>69.260000000000005</v>
      </c>
      <c r="AR122" vm="13892">
        <f ca="1"/>
        <v>69.37</v>
      </c>
      <c r="AS122" vm="9759">
        <f ca="1"/>
        <v>70.099999999999994</v>
      </c>
      <c r="AT122" vm="10181">
        <f ca="1"/>
        <v>69.62</v>
      </c>
      <c r="AU122" vm="13887">
        <f ca="1"/>
        <v>69.709999999999994</v>
      </c>
      <c r="AV122" vm="8761">
        <f ca="1"/>
        <v>69.09</v>
      </c>
      <c r="AW122" vm="15218">
        <f ca="1"/>
        <v>68.78</v>
      </c>
      <c r="AX122" vm="15869">
        <f ca="1"/>
        <v>69.47</v>
      </c>
      <c r="AY122" vm="19372">
        <f ca="1"/>
        <v>69.510000000000005</v>
      </c>
      <c r="AZ122" vm="10176">
        <f ca="1"/>
        <v>69</v>
      </c>
      <c r="BA122" vm="15600">
        <f ca="1"/>
        <v>68.47</v>
      </c>
      <c r="BB122" vm="19373">
        <f ca="1"/>
        <v>69.209999999999994</v>
      </c>
      <c r="BC122" vm="2789">
        <f ca="1"/>
        <v>68.64</v>
      </c>
      <c r="BD122" vm="2226">
        <f ca="1"/>
        <v>70.150000000000006</v>
      </c>
      <c r="BE122" vm="2943">
        <f ca="1"/>
        <v>69.61</v>
      </c>
      <c r="BF122" vm="10166">
        <f ca="1"/>
        <v>70.17</v>
      </c>
      <c r="BG122" vm="2788">
        <f ca="1"/>
        <v>68.680000000000007</v>
      </c>
      <c r="BH122" vm="9771">
        <f ca="1"/>
        <v>68.260000000000005</v>
      </c>
      <c r="BI122" vm="15217">
        <f ca="1"/>
        <v>69.52</v>
      </c>
      <c r="BJ122" vm="10263">
        <f ca="1"/>
        <v>69.260000000000005</v>
      </c>
      <c r="BK122" vm="8766">
        <f ca="1"/>
        <v>70.349999999999994</v>
      </c>
      <c r="BL122" vm="15211">
        <f ca="1"/>
        <v>71.09</v>
      </c>
      <c r="BM122" vm="15811">
        <f ca="1"/>
        <v>70.89</v>
      </c>
      <c r="BN122" vm="15241">
        <f ca="1"/>
        <v>71.7</v>
      </c>
      <c r="BO122" vm="15253">
        <f ca="1"/>
        <v>71.319999999999993</v>
      </c>
      <c r="BP122" vm="9750">
        <f ca="1"/>
        <v>71.33</v>
      </c>
      <c r="BQ122" vm="19374">
        <f ca="1"/>
        <v>71.17</v>
      </c>
      <c r="BR122" vm="17468">
        <f ca="1"/>
        <v>71.680000000000007</v>
      </c>
      <c r="BS122" vm="8876">
        <f ca="1"/>
        <v>70.75</v>
      </c>
      <c r="BT122" vm="9765">
        <f ca="1"/>
        <v>70.650000000000006</v>
      </c>
      <c r="BU122" vm="10236">
        <f ca="1"/>
        <v>69.22</v>
      </c>
      <c r="BV122" vm="19375">
        <f ca="1"/>
        <v>68.56</v>
      </c>
      <c r="BW122" vm="8756">
        <f ca="1"/>
        <v>68.2</v>
      </c>
      <c r="BX122" vm="13885">
        <f ca="1"/>
        <v>68.22</v>
      </c>
      <c r="BY122" vm="11424">
        <f ca="1"/>
        <v>65.41</v>
      </c>
      <c r="BZ122" vm="11088">
        <f ca="1"/>
        <v>61.51</v>
      </c>
      <c r="CA122" vm="13416">
        <f ca="1"/>
        <v>61.32</v>
      </c>
      <c r="CB122" vm="17908">
        <f ca="1"/>
        <v>61.65</v>
      </c>
      <c r="CC122" vm="10272">
        <f ca="1"/>
        <v>66.34</v>
      </c>
      <c r="CD122" vm="11380">
        <f ca="1"/>
        <v>64.22</v>
      </c>
      <c r="CE122" vm="19376">
        <f ca="1"/>
        <v>65.819999999999993</v>
      </c>
      <c r="CF122" vm="11414">
        <f ca="1"/>
        <v>66.900000000000006</v>
      </c>
      <c r="CG122" vm="8736">
        <f ca="1"/>
        <v>67.44</v>
      </c>
      <c r="CH122" vm="8848">
        <f ca="1"/>
        <v>66.78</v>
      </c>
      <c r="CI122" vm="981">
        <f ca="1"/>
        <v>68.069999999999993</v>
      </c>
      <c r="CJ122" vm="10334">
        <f ca="1"/>
        <v>67.92</v>
      </c>
      <c r="CK122" vm="2790">
        <f ca="1"/>
        <v>69.27</v>
      </c>
      <c r="CL122" vm="3083">
        <f ca="1"/>
        <v>69.48</v>
      </c>
      <c r="CM122" vm="9742">
        <f ca="1"/>
        <v>70.28</v>
      </c>
      <c r="CN122" vm="19377">
        <f ca="1"/>
        <v>70.77</v>
      </c>
      <c r="CO122" vm="10160">
        <f ca="1"/>
        <v>71.739999999999995</v>
      </c>
      <c r="CP122" vm="15212">
        <f ca="1"/>
        <v>72.02</v>
      </c>
      <c r="CQ122" vm="8768">
        <f ca="1"/>
        <v>71.430000000000007</v>
      </c>
      <c r="CR122" vm="19374">
        <f ca="1"/>
        <v>71.17</v>
      </c>
      <c r="CS122" vm="15807">
        <f ca="1"/>
        <v>71.89</v>
      </c>
      <c r="CT122" vm="15582">
        <f ca="1"/>
        <v>72.39</v>
      </c>
      <c r="CU122" vm="15863">
        <f ca="1"/>
        <v>72.430000000000007</v>
      </c>
      <c r="CV122" vm="8917">
        <f ca="1"/>
        <v>71.98</v>
      </c>
      <c r="CW122" vm="19378">
        <f ca="1"/>
        <v>71.83</v>
      </c>
      <c r="CX122" vm="13205">
        <f ca="1"/>
        <v>72.010000000000005</v>
      </c>
      <c r="CY122" vm="15749">
        <f ca="1"/>
        <v>72.8</v>
      </c>
      <c r="CZ122" vm="765">
        <f ca="1"/>
        <v>72.25</v>
      </c>
      <c r="DA122" vm="1815">
        <f ca="1"/>
        <v>71.45</v>
      </c>
      <c r="DB122" vm="8915">
        <f ca="1"/>
        <v>72.3</v>
      </c>
      <c r="DC122" vm="19379">
        <f ca="1"/>
        <v>72.489999999999995</v>
      </c>
      <c r="DD122" vm="19380">
        <f ca="1"/>
        <v>72.569999999999993</v>
      </c>
      <c r="DE122" vm="8784">
        <f ca="1"/>
        <v>72.989999999999995</v>
      </c>
      <c r="DF122" vm="9747">
        <f ca="1"/>
        <v>72.31</v>
      </c>
      <c r="DG122" vm="19381">
        <f ca="1"/>
        <v>72.37</v>
      </c>
      <c r="DH122" vm="985">
        <f ca="1"/>
        <v>73.03</v>
      </c>
      <c r="DI122" vm="15755">
        <f ca="1"/>
        <v>74.95</v>
      </c>
      <c r="DJ122" vm="791">
        <f ca="1"/>
        <v>73.61</v>
      </c>
      <c r="DK122" vm="3162">
        <f ca="1"/>
        <v>74.03</v>
      </c>
      <c r="DL122" vm="1544">
        <f ca="1"/>
        <v>74.12</v>
      </c>
      <c r="DM122" vm="15584">
        <f ca="1"/>
        <v>75.040000000000006</v>
      </c>
      <c r="DN122" vm="17427">
        <f ca="1"/>
        <v>74.13</v>
      </c>
      <c r="DO122" vm="19382">
        <f ca="1"/>
        <v>74.08</v>
      </c>
      <c r="DP122" vm="7227">
        <f ca="1"/>
        <v>73.39</v>
      </c>
      <c r="DQ122" vm="19383">
        <f ca="1"/>
        <v>73.819999999999993</v>
      </c>
      <c r="DR122" vm="17445">
        <f ca="1"/>
        <v>73.930000000000007</v>
      </c>
      <c r="DS122" vm="1559">
        <f ca="1"/>
        <v>73.88</v>
      </c>
      <c r="DT122" vm="19384">
        <f ca="1"/>
        <v>73.67</v>
      </c>
      <c r="DU122" vm="8903">
        <f ca="1"/>
        <v>74.209999999999994</v>
      </c>
      <c r="DV122" vm="8776">
        <f ca="1"/>
        <v>73.599999999999994</v>
      </c>
      <c r="DW122" vm="769">
        <f ca="1"/>
        <v>73.150000000000006</v>
      </c>
      <c r="DX122" vm="909">
        <f ca="1"/>
        <v>72.28</v>
      </c>
      <c r="DY122" vm="14574">
        <f ca="1"/>
        <v>73.05</v>
      </c>
      <c r="DZ122" vm="15307">
        <f ca="1"/>
        <v>71.760000000000005</v>
      </c>
      <c r="EA122" vm="15212">
        <f ca="1"/>
        <v>72.02</v>
      </c>
      <c r="EB122" vm="17466">
        <f ca="1"/>
        <v>72.739999999999995</v>
      </c>
      <c r="EC122" vm="1816">
        <f ca="1"/>
        <v>72.44</v>
      </c>
      <c r="ED122" vm="15610">
        <f ca="1"/>
        <v>73.97</v>
      </c>
      <c r="EE122" vm="17428">
        <f ca="1"/>
        <v>75.28</v>
      </c>
      <c r="EF122" vm="8898">
        <f ca="1"/>
        <v>74.97</v>
      </c>
      <c r="EG122" vm="8900">
        <f ca="1"/>
        <v>74.42</v>
      </c>
      <c r="EH122" vm="19385">
        <f ca="1"/>
        <v>74.459999999999994</v>
      </c>
      <c r="EI122" vm="14565">
        <f ca="1"/>
        <v>74.599999999999994</v>
      </c>
      <c r="EJ122" vm="19386">
        <f ca="1"/>
        <v>72.819999999999993</v>
      </c>
      <c r="EK122" vm="19387">
        <f ca="1"/>
        <v>73.19</v>
      </c>
      <c r="EL122" vm="8886">
        <f ca="1"/>
        <v>73.3</v>
      </c>
      <c r="EM122" vm="8887">
        <f ca="1"/>
        <v>72.94</v>
      </c>
      <c r="EN122" vm="806">
        <f ca="1"/>
        <v>72.36</v>
      </c>
      <c r="EO122" vm="15676">
        <f ca="1"/>
        <v>72.41</v>
      </c>
      <c r="EP122" vm="19388">
        <f ca="1"/>
        <v>71.69</v>
      </c>
      <c r="EQ122" vm="15212">
        <f ca="1"/>
        <v>72.02</v>
      </c>
      <c r="ER122" vm="15582">
        <f ca="1"/>
        <v>72.39</v>
      </c>
      <c r="ES122" vm="8881">
        <f ca="1"/>
        <v>71.81</v>
      </c>
      <c r="ET122" vm="17412">
        <f ca="1"/>
        <v>72.61</v>
      </c>
      <c r="EU122" vm="1817">
        <f ca="1"/>
        <v>72.98</v>
      </c>
      <c r="EV122" vm="5927">
        <f ca="1"/>
        <v>76.489999999999995</v>
      </c>
      <c r="EW122" vm="10188">
        <f ca="1"/>
        <v>76.55</v>
      </c>
      <c r="EX122" vm="6054">
        <f ca="1"/>
        <v>75.680000000000007</v>
      </c>
      <c r="EY122" vm="6773">
        <f ca="1"/>
        <v>74.27</v>
      </c>
      <c r="EZ122" vm="1559">
        <f ca="1"/>
        <v>73.88</v>
      </c>
      <c r="FA122" vm="1556">
        <f ca="1"/>
        <v>73.98</v>
      </c>
      <c r="FB122" vm="15590">
        <f ca="1"/>
        <v>73.62</v>
      </c>
      <c r="FC122" vm="15298">
        <f ca="1"/>
        <v>74.069999999999993</v>
      </c>
      <c r="FD122" vm="777">
        <f ca="1"/>
        <v>75.290000000000006</v>
      </c>
      <c r="FE122" vm="135">
        <f ca="1"/>
        <v>75.03</v>
      </c>
      <c r="FF122" vm="7188">
        <f ca="1"/>
        <v>76.03</v>
      </c>
      <c r="FG122" vm="19389">
        <f ca="1"/>
        <v>76.62</v>
      </c>
      <c r="FH122" vm="17418">
        <f ca="1"/>
        <v>77.930000000000007</v>
      </c>
      <c r="FI122" vm="6043">
        <f ca="1"/>
        <v>77.790000000000006</v>
      </c>
      <c r="FJ122" vm="6048">
        <f ca="1"/>
        <v>79.23</v>
      </c>
      <c r="FK122" vm="10143">
        <f ca="1"/>
        <v>79.27</v>
      </c>
      <c r="FL122" vm="439">
        <f ca="1"/>
        <v>78.8</v>
      </c>
      <c r="FM122" vm="7948">
        <f ca="1"/>
        <v>80.150000000000006</v>
      </c>
      <c r="FN122" vm="19390">
        <f ca="1"/>
        <v>80.3</v>
      </c>
      <c r="FO122" vm="15322">
        <f ca="1"/>
        <v>80.02</v>
      </c>
      <c r="FP122" vm="441">
        <f ca="1"/>
        <v>79.64</v>
      </c>
      <c r="FQ122" vm="10235">
        <f ca="1"/>
        <v>78.7</v>
      </c>
      <c r="FR122" vm="15322">
        <f ca="1"/>
        <v>80.02</v>
      </c>
      <c r="FS122" vm="6129">
        <f ca="1"/>
        <v>79.05</v>
      </c>
      <c r="FT122" vm="5916">
        <f ca="1"/>
        <v>78.92</v>
      </c>
      <c r="FU122" vm="19391">
        <f ca="1"/>
        <v>78.63</v>
      </c>
      <c r="FV122" vm="431">
        <f ca="1"/>
        <v>79.290000000000006</v>
      </c>
      <c r="FW122" vm="10144">
        <f ca="1"/>
        <v>78.28</v>
      </c>
      <c r="FX122" vm="13516">
        <f ca="1"/>
        <v>78.150000000000006</v>
      </c>
      <c r="FY122" vm="17418">
        <f ca="1"/>
        <v>77.930000000000007</v>
      </c>
      <c r="FZ122" vm="7193">
        <f ca="1"/>
        <v>78.73</v>
      </c>
      <c r="GA122" vm="19392">
        <f ca="1"/>
        <v>79.180000000000007</v>
      </c>
      <c r="GB122" vm="6001">
        <f ca="1"/>
        <v>80.959999999999994</v>
      </c>
      <c r="GC122" vm="15321">
        <f ca="1"/>
        <v>80.06</v>
      </c>
      <c r="GD122" vm="15747">
        <f ca="1"/>
        <v>80.36</v>
      </c>
      <c r="GE122" vm="19393">
        <f ca="1"/>
        <v>81.319999999999993</v>
      </c>
      <c r="GF122" vm="6774">
        <f ca="1"/>
        <v>80.760000000000005</v>
      </c>
      <c r="GG122" vm="1967">
        <f ca="1"/>
        <v>81.349999999999994</v>
      </c>
      <c r="GH122" vm="1967">
        <f ca="1"/>
        <v>81.349999999999994</v>
      </c>
      <c r="GI122" vm="7245">
        <f ca="1"/>
        <v>81.17</v>
      </c>
      <c r="GJ122" vm="5983">
        <f ca="1"/>
        <v>81.489999999999995</v>
      </c>
      <c r="GK122" vm="19394">
        <f ca="1"/>
        <v>80.790000000000006</v>
      </c>
      <c r="GL122" vm="7947">
        <f ca="1"/>
        <v>81.25</v>
      </c>
      <c r="GM122" vm="1963">
        <f ca="1"/>
        <v>81.09</v>
      </c>
      <c r="GN122" vm="2672">
        <f ca="1"/>
        <v>80.849999999999994</v>
      </c>
      <c r="GO122" vm="13004">
        <f ca="1"/>
        <v>80.459999999999994</v>
      </c>
      <c r="GP122" vm="19395">
        <f ca="1"/>
        <v>80.44</v>
      </c>
      <c r="GQ122" vm="14546">
        <f ca="1"/>
        <v>80.510000000000005</v>
      </c>
      <c r="GR122" vm="19396">
        <f ca="1"/>
        <v>80.209999999999994</v>
      </c>
      <c r="GS122" vm="19396">
        <f ca="1"/>
        <v>80.209999999999994</v>
      </c>
      <c r="GT122" vm="7948">
        <f ca="1"/>
        <v>80.150000000000006</v>
      </c>
      <c r="GU122" vm="5994">
        <f ca="1"/>
        <v>81.78</v>
      </c>
      <c r="GV122" vm="13012">
        <f ca="1"/>
        <v>83.27</v>
      </c>
      <c r="GW122" vm="1954">
        <f ca="1"/>
        <v>81.96</v>
      </c>
      <c r="GX122" vm="1886">
        <f ca="1"/>
        <v>81.75</v>
      </c>
      <c r="GY122" vm="1919">
        <f ca="1"/>
        <v>81.55</v>
      </c>
      <c r="GZ122" vm="14578">
        <f ca="1"/>
        <v>78.36</v>
      </c>
      <c r="HA122" vm="431">
        <f ca="1"/>
        <v>79.290000000000006</v>
      </c>
      <c r="HB122" vm="19397">
        <f ca="1"/>
        <v>80.040000000000006</v>
      </c>
      <c r="HC122" vm="1964">
        <f ca="1"/>
        <v>81.290000000000006</v>
      </c>
      <c r="HD122" vm="1919">
        <f ca="1"/>
        <v>81.55</v>
      </c>
      <c r="HE122" vm="5950">
        <f ca="1"/>
        <v>82</v>
      </c>
      <c r="HF122" vm="10225">
        <f ca="1"/>
        <v>83.54</v>
      </c>
      <c r="HG122" vm="7249">
        <f ca="1"/>
        <v>82.57</v>
      </c>
      <c r="HH122" vm="5947">
        <f ca="1"/>
        <v>82.18</v>
      </c>
      <c r="HI122" vm="5996">
        <f ca="1"/>
        <v>82.22</v>
      </c>
      <c r="HJ122" vm="12997">
        <f ca="1"/>
        <v>82.5</v>
      </c>
      <c r="HK122" vm="15287">
        <f ca="1"/>
        <v>83.53</v>
      </c>
      <c r="HL122" vm="6069">
        <f ca="1"/>
        <v>83.93</v>
      </c>
      <c r="HM122" vm="1920">
        <f ca="1"/>
        <v>83.23</v>
      </c>
      <c r="HN122" vm="6741">
        <f ca="1"/>
        <v>83.21</v>
      </c>
      <c r="HO122" vm="19398">
        <f ca="1"/>
        <v>83.45</v>
      </c>
      <c r="HP122" vm="19399">
        <f ca="1"/>
        <v>83.64</v>
      </c>
      <c r="HQ122" vm="1424">
        <f ca="1"/>
        <v>82.83</v>
      </c>
      <c r="HR122" vm="3170">
        <f ca="1"/>
        <v>82.8</v>
      </c>
      <c r="HS122" vm="3177">
        <f ca="1"/>
        <v>82.96</v>
      </c>
      <c r="HT122" vm="19400">
        <f ca="1"/>
        <v>83.29</v>
      </c>
      <c r="HU122" vm="13013">
        <f ca="1"/>
        <v>83.68</v>
      </c>
      <c r="HV122" vm="6742">
        <f ca="1"/>
        <v>83.75</v>
      </c>
      <c r="HW122" vm="6785">
        <f ca="1"/>
        <v>84.34</v>
      </c>
      <c r="HX122" vm="2660">
        <f ca="1"/>
        <v>83.01</v>
      </c>
      <c r="HY122" vm="14558">
        <f ca="1"/>
        <v>83.98</v>
      </c>
      <c r="HZ122" vm="2662">
        <f ca="1"/>
        <v>82.47</v>
      </c>
      <c r="IA122" vm="6026">
        <f ca="1"/>
        <v>80.78</v>
      </c>
      <c r="IB122" vm="2654">
        <f ca="1"/>
        <v>80.680000000000007</v>
      </c>
      <c r="IC122" vm="2655">
        <f ca="1"/>
        <v>79.489999999999995</v>
      </c>
      <c r="ID122" vm="2656">
        <f ca="1"/>
        <v>81.19</v>
      </c>
      <c r="IE122" vm="2657">
        <f ca="1"/>
        <v>81.739999999999995</v>
      </c>
      <c r="IF122" vm="2658">
        <f ca="1"/>
        <v>81.92</v>
      </c>
      <c r="IG122" vm="2659">
        <f ca="1"/>
        <v>83.26</v>
      </c>
      <c r="IH122" vm="2660">
        <f ca="1"/>
        <v>83.01</v>
      </c>
      <c r="II122" vm="2661">
        <f ca="1"/>
        <v>82.53</v>
      </c>
      <c r="IJ122" vm="2662">
        <f ca="1"/>
        <v>82.47</v>
      </c>
      <c r="IK122" vm="2663">
        <f ca="1"/>
        <v>82.61</v>
      </c>
      <c r="IL122" vm="2664">
        <f ca="1"/>
        <v>83.62</v>
      </c>
      <c r="IM122" vm="2665">
        <f ca="1"/>
        <v>83.7</v>
      </c>
      <c r="IN122" vm="2666">
        <f ca="1"/>
        <v>83.19</v>
      </c>
      <c r="IO122" vm="2667">
        <f ca="1"/>
        <v>83.31</v>
      </c>
      <c r="IP122" vm="2668">
        <f ca="1"/>
        <v>83.91</v>
      </c>
      <c r="IQ122" vm="2669">
        <f ca="1"/>
        <v>84.22</v>
      </c>
      <c r="IR122" vm="2670">
        <f ca="1"/>
        <v>84</v>
      </c>
      <c r="IS122" vm="2671">
        <f ca="1"/>
        <v>84.87</v>
      </c>
      <c r="IT122" vm="2672">
        <f ca="1"/>
        <v>80.849999999999994</v>
      </c>
      <c r="IU122" vm="2673">
        <f ca="1"/>
        <v>79.739999999999995</v>
      </c>
      <c r="IV122" vm="2674">
        <f ca="1"/>
        <v>79.97</v>
      </c>
      <c r="IW122" vm="75">
        <f ca="1"/>
        <v>80.58</v>
      </c>
    </row>
    <row r="123" spans="1:262" ht="16" x14ac:dyDescent="0.2">
      <c r="A123" t="e" vm="2675">
        <v>#VALUE!</v>
      </c>
      <c r="B123" s="23" t="str" cm="1">
        <f t="array" aca="1" ref="B123" ca="1">_FV(A123,"ticker symbol",TRUE)</f>
        <v>EWU</v>
      </c>
      <c r="C123" s="23" t="str" cm="1">
        <f t="array" aca="1" ref="C123" ca="1">_FV(A123,"Name")</f>
        <v>iShares:MSCI UK</v>
      </c>
      <c r="D123" cm="1" vm="9103">
        <f t="array" aca="1" ref="D123:IW123" ca="1">TRANSPOSE(_xlfn.STOCKHISTORY(B123, WORKDAY(TODAY(), -265), TODAY(), 0, 0, 1))</f>
        <v>35.43</v>
      </c>
      <c r="E123" vm="17212">
        <f ca="1"/>
        <v>34.61</v>
      </c>
      <c r="F123" vm="808">
        <f ca="1"/>
        <v>33.840000000000003</v>
      </c>
      <c r="G123" vm="9086">
        <f ca="1"/>
        <v>33.67</v>
      </c>
      <c r="H123" vm="10639">
        <f ca="1"/>
        <v>33.69</v>
      </c>
      <c r="I123" vm="15758">
        <f ca="1"/>
        <v>33.85</v>
      </c>
      <c r="J123" vm="811">
        <f ca="1"/>
        <v>34.07</v>
      </c>
      <c r="K123" vm="19401">
        <f ca="1"/>
        <v>34.1</v>
      </c>
      <c r="L123" vm="8992">
        <f ca="1"/>
        <v>33.96</v>
      </c>
      <c r="M123" vm="15758">
        <f ca="1"/>
        <v>33.85</v>
      </c>
      <c r="N123" vm="9181">
        <f ca="1"/>
        <v>33.9</v>
      </c>
      <c r="O123" vm="8993">
        <f ca="1"/>
        <v>33.82</v>
      </c>
      <c r="P123" vm="9077">
        <f ca="1"/>
        <v>33.97</v>
      </c>
      <c r="Q123" vm="19402">
        <f ca="1"/>
        <v>34.130000000000003</v>
      </c>
      <c r="R123" vm="19306">
        <f ca="1"/>
        <v>34.159999999999997</v>
      </c>
      <c r="S123" vm="9077">
        <f ca="1"/>
        <v>33.97</v>
      </c>
      <c r="T123" vm="810">
        <f ca="1"/>
        <v>33.49</v>
      </c>
      <c r="U123" vm="17201">
        <f ca="1"/>
        <v>33.39</v>
      </c>
      <c r="V123" vm="19319">
        <f ca="1"/>
        <v>33.369999999999997</v>
      </c>
      <c r="W123" vm="9181">
        <f ca="1"/>
        <v>33.9</v>
      </c>
      <c r="X123" vm="17998">
        <f ca="1"/>
        <v>34.28</v>
      </c>
      <c r="Y123" vm="8979">
        <f ca="1"/>
        <v>34.380000000000003</v>
      </c>
      <c r="Z123" vm="4729">
        <f ca="1"/>
        <v>35.18</v>
      </c>
      <c r="AA123" vm="15784">
        <f ca="1"/>
        <v>34.9</v>
      </c>
      <c r="AB123" vm="19403">
        <f ca="1"/>
        <v>35.159999999999997</v>
      </c>
      <c r="AC123" vm="814">
        <f ca="1"/>
        <v>35.17</v>
      </c>
      <c r="AD123" vm="19404">
        <f ca="1"/>
        <v>35.409999999999997</v>
      </c>
      <c r="AE123" vm="19405">
        <f ca="1"/>
        <v>35.33</v>
      </c>
      <c r="AF123" vm="15769">
        <f ca="1"/>
        <v>35.270000000000003</v>
      </c>
      <c r="AG123" vm="825">
        <f ca="1"/>
        <v>35.79</v>
      </c>
      <c r="AH123" vm="19406">
        <f ca="1"/>
        <v>35.61</v>
      </c>
      <c r="AI123" vm="19407">
        <f ca="1"/>
        <v>35.28</v>
      </c>
      <c r="AJ123" vm="19317">
        <f ca="1"/>
        <v>35.54</v>
      </c>
      <c r="AK123" vm="19325">
        <f ca="1"/>
        <v>36.04</v>
      </c>
      <c r="AL123" vm="15774">
        <f ca="1"/>
        <v>36.06</v>
      </c>
      <c r="AM123" vm="19408">
        <f ca="1"/>
        <v>35.89</v>
      </c>
      <c r="AN123" vm="18004">
        <f ca="1"/>
        <v>36.17</v>
      </c>
      <c r="AO123" vm="19049">
        <f ca="1"/>
        <v>36.46</v>
      </c>
      <c r="AP123" vm="1027">
        <f ca="1"/>
        <v>36.57</v>
      </c>
      <c r="AQ123" vm="10667">
        <f ca="1"/>
        <v>36.65</v>
      </c>
      <c r="AR123" vm="4694">
        <f ca="1"/>
        <v>36.549999999999997</v>
      </c>
      <c r="AS123" vm="1567">
        <f ca="1"/>
        <v>36.85</v>
      </c>
      <c r="AT123" vm="19409">
        <f ca="1"/>
        <v>36.64</v>
      </c>
      <c r="AU123" vm="4694">
        <f ca="1"/>
        <v>36.549999999999997</v>
      </c>
      <c r="AV123" vm="19410">
        <f ca="1"/>
        <v>36.36</v>
      </c>
      <c r="AW123" vm="19044">
        <f ca="1"/>
        <v>36.39</v>
      </c>
      <c r="AX123" vm="9171">
        <f ca="1"/>
        <v>36.72</v>
      </c>
      <c r="AY123" vm="9106">
        <f ca="1"/>
        <v>36.75</v>
      </c>
      <c r="AZ123" vm="19411">
        <f ca="1"/>
        <v>36.700000000000003</v>
      </c>
      <c r="BA123" vm="19412">
        <f ca="1"/>
        <v>37.04</v>
      </c>
      <c r="BB123" vm="17835">
        <f ca="1"/>
        <v>37.42</v>
      </c>
      <c r="BC123" vm="19413">
        <f ca="1"/>
        <v>37.549999999999997</v>
      </c>
      <c r="BD123" vm="9168">
        <f ca="1"/>
        <v>37.92</v>
      </c>
      <c r="BE123" vm="19414">
        <f ca="1"/>
        <v>37.25</v>
      </c>
      <c r="BF123" vm="9118">
        <f ca="1"/>
        <v>37.83</v>
      </c>
      <c r="BG123" vm="10679">
        <f ca="1"/>
        <v>37.049999999999997</v>
      </c>
      <c r="BH123" vm="17841">
        <f ca="1"/>
        <v>36.96</v>
      </c>
      <c r="BI123" vm="15787">
        <f ca="1"/>
        <v>37.119999999999997</v>
      </c>
      <c r="BJ123" vm="1028">
        <f ca="1"/>
        <v>37.130000000000003</v>
      </c>
      <c r="BK123" vm="4678">
        <f ca="1"/>
        <v>37.71</v>
      </c>
      <c r="BL123" vm="19415">
        <f ca="1"/>
        <v>37.97</v>
      </c>
      <c r="BM123" vm="12776">
        <f ca="1"/>
        <v>37.950000000000003</v>
      </c>
      <c r="BN123" vm="17231">
        <f ca="1"/>
        <v>37.99</v>
      </c>
      <c r="BO123" vm="12767">
        <f ca="1"/>
        <v>37.880000000000003</v>
      </c>
      <c r="BP123" vm="10677">
        <f ca="1"/>
        <v>37.53</v>
      </c>
      <c r="BQ123" vm="10677">
        <f ca="1"/>
        <v>37.53</v>
      </c>
      <c r="BR123" vm="3315">
        <f ca="1"/>
        <v>37.64</v>
      </c>
      <c r="BS123" vm="17227">
        <f ca="1"/>
        <v>37.51</v>
      </c>
      <c r="BT123" vm="13791">
        <f ca="1"/>
        <v>37.659999999999997</v>
      </c>
      <c r="BU123" vm="4669">
        <f ca="1"/>
        <v>37.590000000000003</v>
      </c>
      <c r="BV123" vm="3322">
        <f ca="1"/>
        <v>37.47</v>
      </c>
      <c r="BW123" vm="3312">
        <f ca="1"/>
        <v>37.44</v>
      </c>
      <c r="BX123" vm="10680">
        <f ca="1"/>
        <v>37.61</v>
      </c>
      <c r="BY123" vm="19416">
        <f ca="1"/>
        <v>37.28</v>
      </c>
      <c r="BZ123" vm="19417">
        <f ca="1"/>
        <v>34.619999999999997</v>
      </c>
      <c r="CA123" vm="17209">
        <f ca="1"/>
        <v>33.29</v>
      </c>
      <c r="CB123" vm="14017">
        <f ca="1"/>
        <v>33.19</v>
      </c>
      <c r="CC123" vm="9099">
        <f ca="1"/>
        <v>35.11</v>
      </c>
      <c r="CD123" vm="19418">
        <f ca="1"/>
        <v>34.67</v>
      </c>
      <c r="CE123" vm="19419">
        <f ca="1"/>
        <v>35.57</v>
      </c>
      <c r="CF123" vm="16008">
        <f ca="1"/>
        <v>36.15</v>
      </c>
      <c r="CG123" vm="10667">
        <f ca="1"/>
        <v>36.65</v>
      </c>
      <c r="CH123" vm="4694">
        <f ca="1"/>
        <v>36.549999999999997</v>
      </c>
      <c r="CI123" vm="19312">
        <f ca="1"/>
        <v>36.97</v>
      </c>
      <c r="CJ123" vm="13789">
        <f ca="1"/>
        <v>36.82</v>
      </c>
      <c r="CK123" vm="19420">
        <f ca="1"/>
        <v>37.58</v>
      </c>
      <c r="CL123" vm="19413">
        <f ca="1"/>
        <v>37.549999999999997</v>
      </c>
      <c r="CM123" vm="9187">
        <f ca="1"/>
        <v>37.89</v>
      </c>
      <c r="CN123" vm="1033">
        <f ca="1"/>
        <v>37.94</v>
      </c>
      <c r="CO123" vm="19421">
        <f ca="1"/>
        <v>38.19</v>
      </c>
      <c r="CP123" vm="12775">
        <f ca="1"/>
        <v>38.35</v>
      </c>
      <c r="CQ123" vm="9140">
        <f ca="1"/>
        <v>38.1</v>
      </c>
      <c r="CR123" vm="12767">
        <f ca="1"/>
        <v>37.880000000000003</v>
      </c>
      <c r="CS123" vm="71">
        <f ca="1"/>
        <v>38.6</v>
      </c>
      <c r="CT123" vm="9134">
        <f ca="1"/>
        <v>38.64</v>
      </c>
      <c r="CU123" vm="16011">
        <f ca="1"/>
        <v>38.57</v>
      </c>
      <c r="CV123" vm="61">
        <f ca="1"/>
        <v>38.43</v>
      </c>
      <c r="CW123" vm="19422">
        <f ca="1"/>
        <v>38.11</v>
      </c>
      <c r="CX123" vm="9158">
        <f ca="1"/>
        <v>38.29</v>
      </c>
      <c r="CY123" vm="4682">
        <f ca="1"/>
        <v>38.24</v>
      </c>
      <c r="CZ123" vm="13793">
        <f ca="1"/>
        <v>38.42</v>
      </c>
      <c r="DA123" vm="9119">
        <f ca="1"/>
        <v>38.25</v>
      </c>
      <c r="DB123" vm="19051">
        <f ca="1"/>
        <v>38.799999999999997</v>
      </c>
      <c r="DC123" vm="10691">
        <f ca="1"/>
        <v>38.9</v>
      </c>
      <c r="DD123" vm="12732">
        <f ca="1"/>
        <v>39.33</v>
      </c>
      <c r="DE123" vm="4811">
        <f ca="1"/>
        <v>39.61</v>
      </c>
      <c r="DF123" vm="15796">
        <f ca="1"/>
        <v>39.43</v>
      </c>
      <c r="DG123" vm="2621">
        <f ca="1"/>
        <v>39.53</v>
      </c>
      <c r="DH123" vm="19423">
        <f ca="1"/>
        <v>39.880000000000003</v>
      </c>
      <c r="DI123" vm="19424">
        <f ca="1"/>
        <v>40.07</v>
      </c>
      <c r="DJ123" vm="19344">
        <f ca="1"/>
        <v>39.67</v>
      </c>
      <c r="DK123" vm="19425">
        <f ca="1"/>
        <v>39.79</v>
      </c>
      <c r="DL123" vm="9190">
        <f ca="1"/>
        <v>39.92</v>
      </c>
      <c r="DM123" vm="6865">
        <f ca="1"/>
        <v>40.29</v>
      </c>
      <c r="DN123" vm="6858">
        <f ca="1"/>
        <v>40.06</v>
      </c>
      <c r="DO123" vm="6872">
        <f ca="1"/>
        <v>40.19</v>
      </c>
      <c r="DP123" vm="9193">
        <f ca="1"/>
        <v>40.22</v>
      </c>
      <c r="DQ123" vm="6863">
        <f ca="1"/>
        <v>40.35</v>
      </c>
      <c r="DR123" vm="12779">
        <f ca="1"/>
        <v>40.340000000000003</v>
      </c>
      <c r="DS123" vm="9152">
        <f ca="1"/>
        <v>40.31</v>
      </c>
      <c r="DT123" vm="17840">
        <f ca="1"/>
        <v>40.409999999999997</v>
      </c>
      <c r="DU123" vm="1376">
        <f ca="1"/>
        <v>40.78</v>
      </c>
      <c r="DV123" vm="6911">
        <f ca="1"/>
        <v>40.42</v>
      </c>
      <c r="DW123" vm="12740">
        <f ca="1"/>
        <v>39.619999999999997</v>
      </c>
      <c r="DX123" vm="13796">
        <f ca="1"/>
        <v>39.200000000000003</v>
      </c>
      <c r="DY123" vm="15789">
        <f ca="1"/>
        <v>39.22</v>
      </c>
      <c r="DZ123" vm="10691">
        <f ca="1"/>
        <v>38.9</v>
      </c>
      <c r="EA123" vm="12730">
        <f ca="1"/>
        <v>39.17</v>
      </c>
      <c r="EB123" vm="9132">
        <f ca="1"/>
        <v>39.409999999999997</v>
      </c>
      <c r="EC123" vm="19426">
        <f ca="1"/>
        <v>39.28</v>
      </c>
      <c r="ED123" vm="12788">
        <f ca="1"/>
        <v>39.69</v>
      </c>
      <c r="EE123" vm="293">
        <f ca="1"/>
        <v>39.72</v>
      </c>
      <c r="EF123" vm="293">
        <f ca="1"/>
        <v>39.72</v>
      </c>
      <c r="EG123" vm="12734">
        <f ca="1"/>
        <v>39.85</v>
      </c>
      <c r="EH123" vm="4811">
        <f ca="1"/>
        <v>39.61</v>
      </c>
      <c r="EI123" vm="6909">
        <f ca="1"/>
        <v>39.82</v>
      </c>
      <c r="EJ123" vm="15711">
        <f ca="1"/>
        <v>39.42</v>
      </c>
      <c r="EK123" vm="19425">
        <f ca="1"/>
        <v>39.79</v>
      </c>
      <c r="EL123" vm="19427">
        <f ca="1"/>
        <v>40.01</v>
      </c>
      <c r="EM123" vm="19428">
        <f ca="1"/>
        <v>40.270000000000003</v>
      </c>
      <c r="EN123" vm="9190">
        <f ca="1"/>
        <v>39.92</v>
      </c>
      <c r="EO123" vm="15712">
        <f ca="1"/>
        <v>40.03</v>
      </c>
      <c r="EP123" vm="9137">
        <f ca="1"/>
        <v>39.590000000000003</v>
      </c>
      <c r="EQ123" vm="12734">
        <f ca="1"/>
        <v>39.85</v>
      </c>
      <c r="ER123" vm="19342">
        <f ca="1"/>
        <v>39.83</v>
      </c>
      <c r="ES123" vm="13800">
        <f ca="1"/>
        <v>39.799999999999997</v>
      </c>
      <c r="ET123" vm="19427">
        <f ca="1"/>
        <v>40.01</v>
      </c>
      <c r="EU123" vm="12790">
        <f ca="1"/>
        <v>40.43</v>
      </c>
      <c r="EV123" vm="551">
        <f ca="1"/>
        <v>40.9</v>
      </c>
      <c r="EW123" vm="6922">
        <f ca="1"/>
        <v>40.770000000000003</v>
      </c>
      <c r="EX123" vm="6924">
        <f ca="1"/>
        <v>40.64</v>
      </c>
      <c r="EY123" vm="12792">
        <f ca="1"/>
        <v>40.119999999999997</v>
      </c>
      <c r="EZ123" vm="12784">
        <f ca="1"/>
        <v>40.39</v>
      </c>
      <c r="FA123" vm="12785">
        <f ca="1"/>
        <v>40.04</v>
      </c>
      <c r="FB123" vm="19429">
        <f ca="1"/>
        <v>39.81</v>
      </c>
      <c r="FC123" vm="4828">
        <f ca="1"/>
        <v>39.94</v>
      </c>
      <c r="FD123" vm="19430">
        <f ca="1"/>
        <v>40.21</v>
      </c>
      <c r="FE123" vm="12803">
        <f ca="1"/>
        <v>40.229999999999997</v>
      </c>
      <c r="FF123" vm="15715">
        <f ca="1"/>
        <v>40.380000000000003</v>
      </c>
      <c r="FG123" vm="19055">
        <f ca="1"/>
        <v>40.49</v>
      </c>
      <c r="FH123" vm="6914">
        <f ca="1"/>
        <v>40.53</v>
      </c>
      <c r="FI123" vm="6924">
        <f ca="1"/>
        <v>40.64</v>
      </c>
      <c r="FJ123" vm="13799">
        <f ca="1"/>
        <v>41.03</v>
      </c>
      <c r="FK123" vm="310">
        <f ca="1"/>
        <v>41.36</v>
      </c>
      <c r="FL123" vm="9198">
        <f ca="1"/>
        <v>41.5</v>
      </c>
      <c r="FM123" vm="6966">
        <f ca="1"/>
        <v>41.27</v>
      </c>
      <c r="FN123" vm="553">
        <f ca="1"/>
        <v>41.29</v>
      </c>
      <c r="FO123" vm="553">
        <f ca="1"/>
        <v>41.29</v>
      </c>
      <c r="FP123" vm="6941">
        <f ca="1"/>
        <v>41.72</v>
      </c>
      <c r="FQ123" vm="6957">
        <f ca="1"/>
        <v>41.66</v>
      </c>
      <c r="FR123" vm="6900">
        <f ca="1"/>
        <v>42.08</v>
      </c>
      <c r="FS123" vm="6927">
        <f ca="1"/>
        <v>41.79</v>
      </c>
      <c r="FT123" vm="19431">
        <f ca="1"/>
        <v>41.74</v>
      </c>
      <c r="FU123" vm="6957">
        <f ca="1"/>
        <v>41.66</v>
      </c>
      <c r="FV123" vm="6940">
        <f ca="1"/>
        <v>41.57</v>
      </c>
      <c r="FW123" vm="19061">
        <f ca="1"/>
        <v>41.46</v>
      </c>
      <c r="FX123" vm="551">
        <f ca="1"/>
        <v>40.9</v>
      </c>
      <c r="FY123" vm="12795">
        <f ca="1"/>
        <v>41.18</v>
      </c>
      <c r="FZ123" vm="306">
        <f ca="1"/>
        <v>41.39</v>
      </c>
      <c r="GA123" vm="6877">
        <f ca="1"/>
        <v>41.55</v>
      </c>
      <c r="GB123" vm="10025">
        <f ca="1"/>
        <v>41.71</v>
      </c>
      <c r="GC123" vm="12801">
        <f ca="1"/>
        <v>41.75</v>
      </c>
      <c r="GD123" vm="19431">
        <f ca="1"/>
        <v>41.74</v>
      </c>
      <c r="GE123" vm="6951">
        <f ca="1"/>
        <v>42.19</v>
      </c>
      <c r="GF123" vm="81">
        <f ca="1"/>
        <v>41.94</v>
      </c>
      <c r="GG123" vm="13808">
        <f ca="1"/>
        <v>42.09</v>
      </c>
      <c r="GH123" vm="6932">
        <f ca="1"/>
        <v>41.89</v>
      </c>
      <c r="GI123" vm="6927">
        <f ca="1"/>
        <v>41.79</v>
      </c>
      <c r="GJ123" vm="6957">
        <f ca="1"/>
        <v>41.66</v>
      </c>
      <c r="GK123" vm="310">
        <f ca="1"/>
        <v>41.36</v>
      </c>
      <c r="GL123" vm="2724">
        <f ca="1"/>
        <v>41.61</v>
      </c>
      <c r="GM123" vm="301">
        <f ca="1"/>
        <v>41.47</v>
      </c>
      <c r="GN123" vm="6882">
        <f ca="1"/>
        <v>41.35</v>
      </c>
      <c r="GO123" vm="13803">
        <f ca="1"/>
        <v>41.04</v>
      </c>
      <c r="GP123" vm="19432">
        <f ca="1"/>
        <v>41.58</v>
      </c>
      <c r="GQ123" vm="309">
        <f ca="1"/>
        <v>41.63</v>
      </c>
      <c r="GR123" vm="6885">
        <f ca="1"/>
        <v>41.97</v>
      </c>
      <c r="GS123" vm="1362">
        <f ca="1"/>
        <v>42.5</v>
      </c>
      <c r="GT123" vm="1360">
        <f ca="1"/>
        <v>42.26</v>
      </c>
      <c r="GU123" vm="9979">
        <f ca="1"/>
        <v>42.64</v>
      </c>
      <c r="GV123" vm="6890">
        <f ca="1"/>
        <v>42.58</v>
      </c>
      <c r="GW123" vm="1359">
        <f ca="1"/>
        <v>42.45</v>
      </c>
      <c r="GX123" vm="13805">
        <f ca="1"/>
        <v>42.68</v>
      </c>
      <c r="GY123" vm="12758">
        <f ca="1"/>
        <v>42.07</v>
      </c>
      <c r="GZ123" vm="2676">
        <f ca="1"/>
        <v>41.73</v>
      </c>
      <c r="HA123" vm="12757">
        <f ca="1"/>
        <v>41.99</v>
      </c>
      <c r="HB123" vm="2678">
        <f ca="1"/>
        <v>42.06</v>
      </c>
      <c r="HC123" vm="19433">
        <f ca="1"/>
        <v>42.02</v>
      </c>
      <c r="HD123" vm="12757">
        <f ca="1"/>
        <v>41.99</v>
      </c>
      <c r="HE123" vm="12758">
        <f ca="1"/>
        <v>42.07</v>
      </c>
      <c r="HF123" vm="12756">
        <f ca="1"/>
        <v>42.16</v>
      </c>
      <c r="HG123" vm="6878">
        <f ca="1"/>
        <v>41.96</v>
      </c>
      <c r="HH123" vm="9150">
        <f ca="1"/>
        <v>42.41</v>
      </c>
      <c r="HI123" vm="10029">
        <f ca="1"/>
        <v>42.6</v>
      </c>
      <c r="HJ123" vm="19434">
        <f ca="1"/>
        <v>42.78</v>
      </c>
      <c r="HK123" vm="12053">
        <f ca="1"/>
        <v>42.98</v>
      </c>
      <c r="HL123" vm="16584">
        <f ca="1"/>
        <v>42.92</v>
      </c>
      <c r="HM123" vm="606">
        <f ca="1"/>
        <v>42.83</v>
      </c>
      <c r="HN123" vm="603">
        <f ca="1"/>
        <v>42.75</v>
      </c>
      <c r="HO123" vm="19106">
        <f ca="1"/>
        <v>42.67</v>
      </c>
      <c r="HP123" vm="17234">
        <f ca="1"/>
        <v>42.53</v>
      </c>
      <c r="HQ123" vm="2721">
        <f ca="1"/>
        <v>42.18</v>
      </c>
      <c r="HR123" vm="6855">
        <f ca="1"/>
        <v>42.61</v>
      </c>
      <c r="HS123" vm="13807">
        <f ca="1"/>
        <v>42.62</v>
      </c>
      <c r="HT123" vm="6891">
        <f ca="1"/>
        <v>42.87</v>
      </c>
      <c r="HU123" vm="19435">
        <f ca="1"/>
        <v>43.44</v>
      </c>
      <c r="HV123" vm="2688">
        <f ca="1"/>
        <v>43.65</v>
      </c>
      <c r="HW123" vm="1366">
        <f ca="1"/>
        <v>43.51</v>
      </c>
      <c r="HX123" vm="605">
        <f ca="1"/>
        <v>43.04</v>
      </c>
      <c r="HY123" vm="9151">
        <f ca="1"/>
        <v>42.77</v>
      </c>
      <c r="HZ123" vm="12805">
        <f ca="1"/>
        <v>42.44</v>
      </c>
      <c r="IA123" vm="6951">
        <f ca="1"/>
        <v>42.19</v>
      </c>
      <c r="IB123" vm="2676">
        <f ca="1"/>
        <v>41.73</v>
      </c>
      <c r="IC123" vm="2677">
        <f ca="1"/>
        <v>41.34</v>
      </c>
      <c r="ID123" vm="2678">
        <f ca="1"/>
        <v>42.06</v>
      </c>
      <c r="IE123" vm="2679">
        <f ca="1"/>
        <v>41.92</v>
      </c>
      <c r="IF123" vm="2680">
        <f ca="1"/>
        <v>42.52</v>
      </c>
      <c r="IG123" vm="2681">
        <f ca="1"/>
        <v>42.99</v>
      </c>
      <c r="IH123" vm="2682">
        <f ca="1"/>
        <v>43.15</v>
      </c>
      <c r="II123" vm="1363">
        <f ca="1"/>
        <v>42.93</v>
      </c>
      <c r="IJ123" vm="2683">
        <f ca="1"/>
        <v>43.01</v>
      </c>
      <c r="IK123" vm="2684">
        <f ca="1"/>
        <v>43.46</v>
      </c>
      <c r="IL123" vm="2685">
        <f ca="1"/>
        <v>43.42</v>
      </c>
      <c r="IM123" vm="607">
        <f ca="1"/>
        <v>43.22</v>
      </c>
      <c r="IN123" vm="2686">
        <f ca="1"/>
        <v>43.08</v>
      </c>
      <c r="IO123" vm="2687">
        <f ca="1"/>
        <v>42.88</v>
      </c>
      <c r="IP123" vm="2684">
        <f ca="1"/>
        <v>43.46</v>
      </c>
      <c r="IQ123" vm="2688">
        <f ca="1"/>
        <v>43.65</v>
      </c>
      <c r="IR123" vm="2689">
        <f ca="1"/>
        <v>43.28</v>
      </c>
      <c r="IS123" vm="2690">
        <f ca="1"/>
        <v>43.75</v>
      </c>
      <c r="IT123" vm="604">
        <f ca="1"/>
        <v>42.73</v>
      </c>
      <c r="IU123" vm="2691">
        <f ca="1"/>
        <v>42.94</v>
      </c>
      <c r="IV123" vm="2692">
        <f ca="1"/>
        <v>43.13</v>
      </c>
      <c r="IW123" vm="77">
        <f ca="1"/>
        <v>43.54</v>
      </c>
    </row>
    <row r="124" spans="1:262" ht="16" x14ac:dyDescent="0.2">
      <c r="A124" t="e" vm="2693">
        <v>#VALUE!</v>
      </c>
      <c r="B124" s="23" t="str" cm="1">
        <f t="array" aca="1" ref="B124" ca="1">_FV(A124,"ticker symbol",TRUE)</f>
        <v>EWZ</v>
      </c>
      <c r="C124" s="23" t="str" cm="1">
        <f t="array" aca="1" ref="C124" ca="1">_FV(A124,"Name")</f>
        <v>iShares:MSCI Brazil</v>
      </c>
      <c r="D124" cm="1" vm="16374">
        <f t="array" aca="1" ref="D124:IW124" ca="1">TRANSPOSE(_xlfn.STOCKHISTORY(B124, WORKDAY(TODAY(), -265), TODAY(), 0, 0, 1))</f>
        <v>24.7</v>
      </c>
      <c r="E124" vm="16351">
        <f ca="1"/>
        <v>24</v>
      </c>
      <c r="F124" vm="13239">
        <f ca="1"/>
        <v>22.4</v>
      </c>
      <c r="G124" vm="13242">
        <f ca="1"/>
        <v>22.83</v>
      </c>
      <c r="H124" vm="3296">
        <f ca="1"/>
        <v>23.09</v>
      </c>
      <c r="I124" vm="16357">
        <f ca="1"/>
        <v>22.62</v>
      </c>
      <c r="J124" vm="2459">
        <f ca="1"/>
        <v>22.76</v>
      </c>
      <c r="K124" vm="13354">
        <f ca="1"/>
        <v>22.72</v>
      </c>
      <c r="L124" vm="18307">
        <f ca="1"/>
        <v>22.56</v>
      </c>
      <c r="M124" vm="17277">
        <f ca="1"/>
        <v>22.61</v>
      </c>
      <c r="N124" vm="3123">
        <f ca="1"/>
        <v>22.51</v>
      </c>
      <c r="O124" vm="17821">
        <f ca="1"/>
        <v>22.71</v>
      </c>
      <c r="P124" vm="3120">
        <f ca="1"/>
        <v>22.45</v>
      </c>
      <c r="Q124" vm="17820">
        <f ca="1"/>
        <v>22.84</v>
      </c>
      <c r="R124" vm="18335">
        <f ca="1"/>
        <v>23.18</v>
      </c>
      <c r="S124" vm="2432">
        <f ca="1"/>
        <v>22.87</v>
      </c>
      <c r="T124" vm="2471">
        <f ca="1"/>
        <v>22.69</v>
      </c>
      <c r="U124" vm="2469">
        <f ca="1"/>
        <v>22.81</v>
      </c>
      <c r="V124" vm="13253">
        <f ca="1"/>
        <v>22.97</v>
      </c>
      <c r="W124" vm="19436">
        <f ca="1"/>
        <v>23.78</v>
      </c>
      <c r="X124" vm="19437">
        <f ca="1"/>
        <v>23.37</v>
      </c>
      <c r="Y124" vm="18343">
        <f ca="1"/>
        <v>23.55</v>
      </c>
      <c r="Z124" vm="16770">
        <f ca="1"/>
        <v>23.84</v>
      </c>
      <c r="AA124" vm="16329">
        <f ca="1"/>
        <v>24.18</v>
      </c>
      <c r="AB124" vm="19438">
        <f ca="1"/>
        <v>24.21</v>
      </c>
      <c r="AC124" vm="16352">
        <f ca="1"/>
        <v>24.34</v>
      </c>
      <c r="AD124" vm="13361">
        <f ca="1"/>
        <v>24.64</v>
      </c>
      <c r="AE124" vm="16335">
        <f ca="1"/>
        <v>24.78</v>
      </c>
      <c r="AF124" vm="17813">
        <f ca="1"/>
        <v>24.67</v>
      </c>
      <c r="AG124" vm="16390">
        <f ca="1"/>
        <v>25.37</v>
      </c>
      <c r="AH124" vm="2856">
        <f ca="1"/>
        <v>25.33</v>
      </c>
      <c r="AI124" vm="9024">
        <f ca="1"/>
        <v>25.38</v>
      </c>
      <c r="AJ124" vm="16792">
        <f ca="1"/>
        <v>25.45</v>
      </c>
      <c r="AK124" vm="13373">
        <f ca="1"/>
        <v>25.43</v>
      </c>
      <c r="AL124" vm="17517">
        <f ca="1"/>
        <v>25.77</v>
      </c>
      <c r="AM124" vm="19439">
        <f ca="1"/>
        <v>25.22</v>
      </c>
      <c r="AN124" vm="2864">
        <f ca="1"/>
        <v>25.58</v>
      </c>
      <c r="AO124" vm="17969">
        <f ca="1"/>
        <v>25.79</v>
      </c>
      <c r="AP124" vm="19440">
        <f ca="1"/>
        <v>25.34</v>
      </c>
      <c r="AQ124" vm="16383">
        <f ca="1"/>
        <v>25.46</v>
      </c>
      <c r="AR124" vm="2876">
        <f ca="1"/>
        <v>26.37</v>
      </c>
      <c r="AS124" vm="17473">
        <f ca="1"/>
        <v>26.39</v>
      </c>
      <c r="AT124" vm="2246">
        <f ca="1"/>
        <v>26.09</v>
      </c>
      <c r="AU124" vm="31">
        <f ca="1"/>
        <v>26.2</v>
      </c>
      <c r="AV124" vm="16399">
        <f ca="1"/>
        <v>25.47</v>
      </c>
      <c r="AW124" vm="19441">
        <f ca="1"/>
        <v>25.06</v>
      </c>
      <c r="AX124" vm="19442">
        <f ca="1"/>
        <v>25.28</v>
      </c>
      <c r="AY124" vm="16341">
        <f ca="1"/>
        <v>24.88</v>
      </c>
      <c r="AZ124" vm="154">
        <f ca="1"/>
        <v>24.71</v>
      </c>
      <c r="BA124" vm="19443">
        <f ca="1"/>
        <v>24.11</v>
      </c>
      <c r="BB124" vm="16368">
        <f ca="1"/>
        <v>24.14</v>
      </c>
      <c r="BC124" vm="19444">
        <f ca="1"/>
        <v>23.91</v>
      </c>
      <c r="BD124" vm="16332">
        <f ca="1"/>
        <v>24.58</v>
      </c>
      <c r="BE124" vm="16326">
        <f ca="1"/>
        <v>24.57</v>
      </c>
      <c r="BF124" vm="13364">
        <f ca="1"/>
        <v>24.82</v>
      </c>
      <c r="BG124" vm="16366">
        <f ca="1"/>
        <v>24.3</v>
      </c>
      <c r="BH124" vm="3127">
        <f ca="1"/>
        <v>24.38</v>
      </c>
      <c r="BI124" vm="13363">
        <f ca="1"/>
        <v>24.48</v>
      </c>
      <c r="BJ124" vm="9025">
        <f ca="1"/>
        <v>24.8</v>
      </c>
      <c r="BK124" vm="1460">
        <f ca="1"/>
        <v>25.84</v>
      </c>
      <c r="BL124" vm="2801">
        <f ca="1"/>
        <v>26.45</v>
      </c>
      <c r="BM124" vm="17499">
        <f ca="1"/>
        <v>26.57</v>
      </c>
      <c r="BN124" vm="10601">
        <f ca="1"/>
        <v>26.94</v>
      </c>
      <c r="BO124" vm="17495">
        <f ca="1"/>
        <v>26.58</v>
      </c>
      <c r="BP124" vm="17499">
        <f ca="1"/>
        <v>26.57</v>
      </c>
      <c r="BQ124" vm="17493">
        <f ca="1"/>
        <v>26.19</v>
      </c>
      <c r="BR124" vm="2250">
        <f ca="1"/>
        <v>26.42</v>
      </c>
      <c r="BS124" vm="19445">
        <f ca="1"/>
        <v>26.3</v>
      </c>
      <c r="BT124" vm="2867">
        <f ca="1"/>
        <v>26.33</v>
      </c>
      <c r="BU124" vm="2804">
        <f ca="1"/>
        <v>25.96</v>
      </c>
      <c r="BV124" vm="2248">
        <f ca="1"/>
        <v>25.85</v>
      </c>
      <c r="BW124" vm="91">
        <f ca="1"/>
        <v>26.14</v>
      </c>
      <c r="BX124" vm="91">
        <f ca="1"/>
        <v>26.14</v>
      </c>
      <c r="BY124" vm="2867">
        <f ca="1"/>
        <v>26.33</v>
      </c>
      <c r="BZ124" vm="16934">
        <f ca="1"/>
        <v>24.5</v>
      </c>
      <c r="CA124" vm="16892">
        <f ca="1"/>
        <v>23.95</v>
      </c>
      <c r="CB124" vm="13237">
        <f ca="1"/>
        <v>23.44</v>
      </c>
      <c r="CC124" vm="154">
        <f ca="1"/>
        <v>24.71</v>
      </c>
      <c r="CD124" vm="16369">
        <f ca="1"/>
        <v>24.19</v>
      </c>
      <c r="CE124" vm="10596">
        <f ca="1"/>
        <v>24.69</v>
      </c>
      <c r="CF124" vm="16375">
        <f ca="1"/>
        <v>25.01</v>
      </c>
      <c r="CG124" vm="16339">
        <f ca="1"/>
        <v>24.86</v>
      </c>
      <c r="CH124" vm="2071">
        <f ca="1"/>
        <v>24.79</v>
      </c>
      <c r="CI124" vm="19439">
        <f ca="1"/>
        <v>25.22</v>
      </c>
      <c r="CJ124" vm="16395">
        <f ca="1"/>
        <v>25.2</v>
      </c>
      <c r="CK124" vm="16388">
        <f ca="1"/>
        <v>25.86</v>
      </c>
      <c r="CL124" vm="1454">
        <f ca="1"/>
        <v>26.31</v>
      </c>
      <c r="CM124" vm="17498">
        <f ca="1"/>
        <v>26.74</v>
      </c>
      <c r="CN124" vm="10601">
        <f ca="1"/>
        <v>26.94</v>
      </c>
      <c r="CO124" vm="17530">
        <f ca="1"/>
        <v>27.21</v>
      </c>
      <c r="CP124" vm="17479">
        <f ca="1"/>
        <v>27.36</v>
      </c>
      <c r="CQ124" vm="9027">
        <f ca="1"/>
        <v>27.04</v>
      </c>
      <c r="CR124" vm="2881">
        <f ca="1"/>
        <v>26.88</v>
      </c>
      <c r="CS124" vm="17491">
        <f ca="1"/>
        <v>27.12</v>
      </c>
      <c r="CT124" vm="2900">
        <f ca="1"/>
        <v>26.71</v>
      </c>
      <c r="CU124" vm="17537">
        <f ca="1"/>
        <v>26.61</v>
      </c>
      <c r="CV124" vm="2254">
        <f ca="1"/>
        <v>26.4</v>
      </c>
      <c r="CW124" vm="2894">
        <f ca="1"/>
        <v>27.48</v>
      </c>
      <c r="CX124" vm="17480">
        <f ca="1"/>
        <v>27.56</v>
      </c>
      <c r="CY124" vm="2895">
        <f ca="1"/>
        <v>27.49</v>
      </c>
      <c r="CZ124" vm="13938">
        <f ca="1"/>
        <v>28.33</v>
      </c>
      <c r="DA124" vm="2890">
        <f ca="1"/>
        <v>28.2</v>
      </c>
      <c r="DB124" vm="2977">
        <f ca="1"/>
        <v>28.01</v>
      </c>
      <c r="DC124" vm="17182">
        <f ca="1"/>
        <v>28</v>
      </c>
      <c r="DD124" vm="16427">
        <f ca="1"/>
        <v>28.18</v>
      </c>
      <c r="DE124" vm="2976">
        <f ca="1"/>
        <v>28.16</v>
      </c>
      <c r="DF124" vm="10604">
        <f ca="1"/>
        <v>27.67</v>
      </c>
      <c r="DG124" vm="17528">
        <f ca="1"/>
        <v>27.52</v>
      </c>
      <c r="DH124" vm="17506">
        <f ca="1"/>
        <v>27.65</v>
      </c>
      <c r="DI124" vm="2887">
        <f ca="1"/>
        <v>27.99</v>
      </c>
      <c r="DJ124" vm="18007">
        <f ca="1"/>
        <v>27.69</v>
      </c>
      <c r="DK124" vm="19446">
        <f ca="1"/>
        <v>27.7</v>
      </c>
      <c r="DL124" vm="17530">
        <f ca="1"/>
        <v>27.21</v>
      </c>
      <c r="DM124" vm="19447">
        <f ca="1"/>
        <v>27.27</v>
      </c>
      <c r="DN124" vm="2884">
        <f ca="1"/>
        <v>27.58</v>
      </c>
      <c r="DO124" vm="19448">
        <f ca="1"/>
        <v>27.44</v>
      </c>
      <c r="DP124" vm="17472">
        <f ca="1"/>
        <v>27.6</v>
      </c>
      <c r="DQ124" vm="17482">
        <f ca="1"/>
        <v>27.72</v>
      </c>
      <c r="DR124" vm="2885">
        <f ca="1"/>
        <v>27.62</v>
      </c>
      <c r="DS124" vm="17482">
        <f ca="1"/>
        <v>27.72</v>
      </c>
      <c r="DT124" vm="2883">
        <f ca="1"/>
        <v>28.22</v>
      </c>
      <c r="DU124" vm="2891">
        <f ca="1"/>
        <v>28.15</v>
      </c>
      <c r="DV124" vm="19449">
        <f ca="1"/>
        <v>28.14</v>
      </c>
      <c r="DW124" vm="2969">
        <f ca="1"/>
        <v>28.31</v>
      </c>
      <c r="DX124" vm="2974">
        <f ca="1"/>
        <v>28.11</v>
      </c>
      <c r="DY124" vm="2975">
        <f ca="1"/>
        <v>28.08</v>
      </c>
      <c r="DZ124" vm="10604">
        <f ca="1"/>
        <v>27.67</v>
      </c>
      <c r="EA124" vm="18008">
        <f ca="1"/>
        <v>27.66</v>
      </c>
      <c r="EB124" vm="2983">
        <f ca="1"/>
        <v>27.98</v>
      </c>
      <c r="EC124" vm="17485">
        <f ca="1"/>
        <v>27.57</v>
      </c>
      <c r="ED124" vm="13956">
        <f ca="1"/>
        <v>28.13</v>
      </c>
      <c r="EE124" vm="19449">
        <f ca="1"/>
        <v>28.14</v>
      </c>
      <c r="EF124" vm="2083">
        <f ca="1"/>
        <v>28.85</v>
      </c>
      <c r="EG124" vm="19300">
        <f ca="1"/>
        <v>28.79</v>
      </c>
      <c r="EH124" vm="13953">
        <f ca="1"/>
        <v>28.91</v>
      </c>
      <c r="EI124" vm="13930">
        <f ca="1"/>
        <v>29.31</v>
      </c>
      <c r="EJ124" vm="16429">
        <f ca="1"/>
        <v>28.6</v>
      </c>
      <c r="EK124" vm="9035">
        <f ca="1"/>
        <v>28.71</v>
      </c>
      <c r="EL124" vm="2976">
        <f ca="1"/>
        <v>28.16</v>
      </c>
      <c r="EM124" vm="17482">
        <f ca="1"/>
        <v>27.72</v>
      </c>
      <c r="EN124" vm="10600">
        <f ca="1"/>
        <v>27.53</v>
      </c>
      <c r="EO124" vm="19450">
        <f ca="1"/>
        <v>27.31</v>
      </c>
      <c r="EP124" vm="13939">
        <f ca="1"/>
        <v>27.47</v>
      </c>
      <c r="EQ124" vm="17485">
        <f ca="1"/>
        <v>27.57</v>
      </c>
      <c r="ER124" vm="18007">
        <f ca="1"/>
        <v>27.69</v>
      </c>
      <c r="ES124" vm="17171">
        <f ca="1"/>
        <v>26.85</v>
      </c>
      <c r="ET124" vm="2899">
        <f ca="1"/>
        <v>27.08</v>
      </c>
      <c r="EU124" vm="17972">
        <f ca="1"/>
        <v>27</v>
      </c>
      <c r="EV124" vm="2894">
        <f ca="1"/>
        <v>27.48</v>
      </c>
      <c r="EW124" vm="10602">
        <f ca="1"/>
        <v>27.13</v>
      </c>
      <c r="EX124" vm="10601">
        <f ca="1"/>
        <v>26.94</v>
      </c>
      <c r="EY124" vm="2253">
        <f ca="1"/>
        <v>26.52</v>
      </c>
      <c r="EZ124" vm="1449">
        <f ca="1"/>
        <v>26.76</v>
      </c>
      <c r="FA124" vm="2881">
        <f ca="1"/>
        <v>26.88</v>
      </c>
      <c r="FB124" vm="17536">
        <f ca="1"/>
        <v>26.55</v>
      </c>
      <c r="FC124" vm="2863">
        <f ca="1"/>
        <v>26.65</v>
      </c>
      <c r="FD124" vm="101">
        <f ca="1"/>
        <v>26.93</v>
      </c>
      <c r="FE124" vm="17173">
        <f ca="1"/>
        <v>27.02</v>
      </c>
      <c r="FF124" vm="17529">
        <f ca="1"/>
        <v>27.45</v>
      </c>
      <c r="FG124" vm="2973">
        <f ca="1"/>
        <v>28.05</v>
      </c>
      <c r="FH124" vm="17170">
        <f ca="1"/>
        <v>27.81</v>
      </c>
      <c r="FI124" vm="17483">
        <f ca="1"/>
        <v>27.64</v>
      </c>
      <c r="FJ124" vm="2889">
        <f ca="1"/>
        <v>28.39</v>
      </c>
      <c r="FK124" vm="16427">
        <f ca="1"/>
        <v>28.18</v>
      </c>
      <c r="FL124" vm="2886">
        <f ca="1"/>
        <v>27.89</v>
      </c>
      <c r="FM124" vm="2890">
        <f ca="1"/>
        <v>28.2</v>
      </c>
      <c r="FN124" vm="13957">
        <f ca="1"/>
        <v>28.29</v>
      </c>
      <c r="FO124" vm="17479">
        <f ca="1"/>
        <v>27.36</v>
      </c>
      <c r="FP124" vm="18007">
        <f ca="1"/>
        <v>27.69</v>
      </c>
      <c r="FQ124" vm="18008">
        <f ca="1"/>
        <v>27.66</v>
      </c>
      <c r="FR124" vm="17988">
        <f ca="1"/>
        <v>28.61</v>
      </c>
      <c r="FS124" vm="2076">
        <f ca="1"/>
        <v>28.74</v>
      </c>
      <c r="FT124" vm="17988">
        <f ca="1"/>
        <v>28.61</v>
      </c>
      <c r="FU124" vm="2092">
        <f ca="1"/>
        <v>29.02</v>
      </c>
      <c r="FV124" vm="9040">
        <f ca="1"/>
        <v>29.49</v>
      </c>
      <c r="FW124" vm="13943">
        <f ca="1"/>
        <v>29.5</v>
      </c>
      <c r="FX124" vm="10548">
        <f ca="1"/>
        <v>29</v>
      </c>
      <c r="FY124" vm="2084">
        <f ca="1"/>
        <v>28.99</v>
      </c>
      <c r="FZ124" vm="16430">
        <f ca="1"/>
        <v>29.17</v>
      </c>
      <c r="GA124" vm="10567">
        <f ca="1"/>
        <v>29.63</v>
      </c>
      <c r="GB124" vm="16422">
        <f ca="1"/>
        <v>29.58</v>
      </c>
      <c r="GC124" vm="10562">
        <f ca="1"/>
        <v>29.54</v>
      </c>
      <c r="GD124" vm="10547">
        <f ca="1"/>
        <v>29.79</v>
      </c>
      <c r="GE124" vm="17198">
        <f ca="1"/>
        <v>30.05</v>
      </c>
      <c r="GF124" vm="10621">
        <f ca="1"/>
        <v>30.03</v>
      </c>
      <c r="GG124" vm="10589">
        <f ca="1"/>
        <v>30.51</v>
      </c>
      <c r="GH124" vm="10579">
        <f ca="1"/>
        <v>30.69</v>
      </c>
      <c r="GI124" vm="10585">
        <f ca="1"/>
        <v>30.94</v>
      </c>
      <c r="GJ124" vm="10629">
        <f ca="1"/>
        <v>30.82</v>
      </c>
      <c r="GK124" vm="14000">
        <f ca="1"/>
        <v>30.93</v>
      </c>
      <c r="GL124" vm="9062">
        <f ca="1"/>
        <v>30.79</v>
      </c>
      <c r="GM124" vm="17192">
        <f ca="1"/>
        <v>31.32</v>
      </c>
      <c r="GN124" vm="9045">
        <f ca="1"/>
        <v>31.05</v>
      </c>
      <c r="GO124" vm="10630">
        <f ca="1"/>
        <v>30.58</v>
      </c>
      <c r="GP124" vm="10581">
        <f ca="1"/>
        <v>30.73</v>
      </c>
      <c r="GQ124" vm="9047">
        <f ca="1"/>
        <v>30.99</v>
      </c>
      <c r="GR124" vm="2712">
        <f ca="1"/>
        <v>31</v>
      </c>
      <c r="GS124" vm="10630">
        <f ca="1"/>
        <v>30.58</v>
      </c>
      <c r="GT124" vm="10540">
        <f ca="1"/>
        <v>30.24</v>
      </c>
      <c r="GU124" vm="10610">
        <f ca="1"/>
        <v>30.33</v>
      </c>
      <c r="GV124" vm="13915">
        <f ca="1"/>
        <v>30.31</v>
      </c>
      <c r="GW124" vm="16403">
        <f ca="1"/>
        <v>29.68</v>
      </c>
      <c r="GX124" vm="16405">
        <f ca="1"/>
        <v>29.87</v>
      </c>
      <c r="GY124" vm="13928">
        <f ca="1"/>
        <v>29.67</v>
      </c>
      <c r="GZ124" vm="19300">
        <f ca="1"/>
        <v>28.79</v>
      </c>
      <c r="HA124" vm="17809">
        <f ca="1"/>
        <v>29.18</v>
      </c>
      <c r="HB124" vm="10606">
        <f ca="1"/>
        <v>29.1</v>
      </c>
      <c r="HC124" vm="17982">
        <f ca="1"/>
        <v>29.32</v>
      </c>
      <c r="HD124" vm="9038">
        <f ca="1"/>
        <v>29.24</v>
      </c>
      <c r="HE124" vm="13911">
        <f ca="1"/>
        <v>29.71</v>
      </c>
      <c r="HF124" vm="16407">
        <f ca="1"/>
        <v>30.22</v>
      </c>
      <c r="HG124" vm="10565">
        <f ca="1"/>
        <v>29.94</v>
      </c>
      <c r="HH124" vm="10621">
        <f ca="1"/>
        <v>30.03</v>
      </c>
      <c r="HI124" vm="10552">
        <f ca="1"/>
        <v>30.47</v>
      </c>
      <c r="HJ124" vm="13904">
        <f ca="1"/>
        <v>30.48</v>
      </c>
      <c r="HK124" vm="2360">
        <f ca="1"/>
        <v>30.77</v>
      </c>
      <c r="HL124" vm="14003">
        <f ca="1"/>
        <v>30.92</v>
      </c>
      <c r="HM124" vm="2363">
        <f ca="1"/>
        <v>31.18</v>
      </c>
      <c r="HN124" vm="9045">
        <f ca="1"/>
        <v>31.05</v>
      </c>
      <c r="HO124" vm="79">
        <f ca="1"/>
        <v>31.17</v>
      </c>
      <c r="HP124" vm="17979">
        <f ca="1"/>
        <v>31.52</v>
      </c>
      <c r="HQ124" vm="2363">
        <f ca="1"/>
        <v>31.18</v>
      </c>
      <c r="HR124" vm="16454">
        <f ca="1"/>
        <v>32.1</v>
      </c>
      <c r="HS124" vm="16445">
        <f ca="1"/>
        <v>32.04</v>
      </c>
      <c r="HT124" vm="19451">
        <f ca="1"/>
        <v>32.299999999999997</v>
      </c>
      <c r="HU124" vm="14010">
        <f ca="1"/>
        <v>32.72</v>
      </c>
      <c r="HV124" vm="810">
        <f ca="1"/>
        <v>33.49</v>
      </c>
      <c r="HW124" vm="9072">
        <f ca="1"/>
        <v>33.22</v>
      </c>
      <c r="HX124" vm="8998">
        <f ca="1"/>
        <v>32.979999999999997</v>
      </c>
      <c r="HY124" vm="8971">
        <f ca="1"/>
        <v>33.18</v>
      </c>
      <c r="HZ124" vm="14011">
        <f ca="1"/>
        <v>32.78</v>
      </c>
      <c r="IA124" vm="19452">
        <f ca="1"/>
        <v>32.71</v>
      </c>
      <c r="IB124" vm="2694">
        <f ca="1"/>
        <v>32.49</v>
      </c>
      <c r="IC124" vm="2695">
        <f ca="1"/>
        <v>31.9</v>
      </c>
      <c r="ID124" vm="2696">
        <f ca="1"/>
        <v>32.03</v>
      </c>
      <c r="IE124" vm="2697">
        <f ca="1"/>
        <v>32.200000000000003</v>
      </c>
      <c r="IF124" vm="2698">
        <f ca="1"/>
        <v>32.549999999999997</v>
      </c>
      <c r="IG124" vm="2699">
        <f ca="1"/>
        <v>33.47</v>
      </c>
      <c r="IH124" vm="2374">
        <f ca="1"/>
        <v>33.61</v>
      </c>
      <c r="II124" vm="2700">
        <f ca="1"/>
        <v>33.4</v>
      </c>
      <c r="IJ124" vm="2701">
        <f ca="1"/>
        <v>34.03</v>
      </c>
      <c r="IK124" vm="2702">
        <f ca="1"/>
        <v>34.200000000000003</v>
      </c>
      <c r="IL124" vm="2703">
        <f ca="1"/>
        <v>34.72</v>
      </c>
      <c r="IM124" vm="2704">
        <f ca="1"/>
        <v>32.53</v>
      </c>
      <c r="IN124" vm="2705">
        <f ca="1"/>
        <v>32.75</v>
      </c>
      <c r="IO124" vm="2706">
        <f ca="1"/>
        <v>32.74</v>
      </c>
      <c r="IP124" vm="2707">
        <f ca="1"/>
        <v>32.770000000000003</v>
      </c>
      <c r="IQ124" vm="2708">
        <f ca="1"/>
        <v>33.159999999999997</v>
      </c>
      <c r="IR124" vm="2709">
        <f ca="1"/>
        <v>33.32</v>
      </c>
      <c r="IS124" vm="2710">
        <f ca="1"/>
        <v>33.58</v>
      </c>
      <c r="IT124" vm="2711">
        <f ca="1"/>
        <v>31.6</v>
      </c>
      <c r="IU124" vm="2712">
        <f ca="1"/>
        <v>31</v>
      </c>
      <c r="IV124" vm="79">
        <f ca="1"/>
        <v>31.17</v>
      </c>
      <c r="IW124" vm="79">
        <f ca="1"/>
        <v>31.17</v>
      </c>
    </row>
    <row r="125" spans="1:262" ht="16" x14ac:dyDescent="0.2">
      <c r="A125" t="e" vm="2713">
        <v>#VALUE!</v>
      </c>
      <c r="B125" s="23" t="str" cm="1">
        <f t="array" aca="1" ref="B125" ca="1">_FV(A125,"ticker symbol",TRUE)</f>
        <v>EWG</v>
      </c>
      <c r="C125" s="23" t="str" cm="1">
        <f t="array" aca="1" ref="C125" ca="1">_FV(A125,"Name")</f>
        <v>iShares:MSCI Germany</v>
      </c>
      <c r="D125" t="e" cm="1" vm="2521">
        <f t="array" aca="1" ref="D125:IV125" ca="1">TRANSPOSE(_xlfn.STOCKHISTORY(B125, WORKDAY(TODAY(), -265), TODAY(), 0, 0, 1))</f>
        <v>#N/A</v>
      </c>
      <c r="E125" t="e" vm="2521">
        <f ca="1"/>
        <v>#N/A</v>
      </c>
      <c r="F125" t="e" vm="2521">
        <f ca="1"/>
        <v>#N/A</v>
      </c>
      <c r="G125" t="e" vm="2521">
        <f ca="1"/>
        <v>#N/A</v>
      </c>
      <c r="H125" t="e" vm="2521">
        <f ca="1"/>
        <v>#N/A</v>
      </c>
      <c r="I125" t="e" vm="2521">
        <f ca="1"/>
        <v>#N/A</v>
      </c>
      <c r="J125" t="e" vm="2521">
        <f ca="1"/>
        <v>#N/A</v>
      </c>
      <c r="K125" t="e" vm="2521">
        <f ca="1"/>
        <v>#N/A</v>
      </c>
      <c r="L125" t="e" vm="2521">
        <f ca="1"/>
        <v>#N/A</v>
      </c>
      <c r="M125" t="e" vm="2521">
        <f ca="1"/>
        <v>#N/A</v>
      </c>
      <c r="N125" t="e" vm="2521">
        <f ca="1"/>
        <v>#N/A</v>
      </c>
      <c r="O125" t="e" vm="2521">
        <f ca="1"/>
        <v>#N/A</v>
      </c>
      <c r="P125" t="e" vm="2521">
        <f ca="1"/>
        <v>#N/A</v>
      </c>
      <c r="Q125" t="e" vm="2521">
        <f ca="1"/>
        <v>#N/A</v>
      </c>
      <c r="R125" t="e" vm="2521">
        <f ca="1"/>
        <v>#N/A</v>
      </c>
      <c r="S125" t="e" vm="2521">
        <f ca="1"/>
        <v>#N/A</v>
      </c>
      <c r="T125" t="e" vm="2521">
        <f ca="1"/>
        <v>#N/A</v>
      </c>
      <c r="U125" t="e" vm="2521">
        <f ca="1"/>
        <v>#N/A</v>
      </c>
      <c r="V125" t="e" vm="2521">
        <f ca="1"/>
        <v>#N/A</v>
      </c>
      <c r="W125" t="e" vm="2521">
        <f ca="1"/>
        <v>#N/A</v>
      </c>
      <c r="X125" t="e" vm="2521">
        <f ca="1"/>
        <v>#N/A</v>
      </c>
      <c r="Y125" t="e" vm="2521">
        <f ca="1"/>
        <v>#N/A</v>
      </c>
      <c r="Z125" t="e" vm="2521">
        <f ca="1"/>
        <v>#N/A</v>
      </c>
      <c r="AA125" t="e" vm="2521">
        <f ca="1"/>
        <v>#N/A</v>
      </c>
      <c r="AB125" t="e" vm="2521">
        <f ca="1"/>
        <v>#N/A</v>
      </c>
      <c r="AC125" t="e" vm="2521">
        <f ca="1"/>
        <v>#N/A</v>
      </c>
      <c r="AD125" t="e" vm="2521">
        <f ca="1"/>
        <v>#N/A</v>
      </c>
      <c r="AE125" t="e" vm="2521">
        <f ca="1"/>
        <v>#N/A</v>
      </c>
      <c r="AF125" t="e" vm="2521">
        <f ca="1"/>
        <v>#N/A</v>
      </c>
      <c r="AG125" t="e" vm="2521">
        <f ca="1"/>
        <v>#N/A</v>
      </c>
      <c r="AH125" t="e" vm="2521">
        <f ca="1"/>
        <v>#N/A</v>
      </c>
      <c r="AI125" t="e" vm="2521">
        <f ca="1"/>
        <v>#N/A</v>
      </c>
      <c r="AJ125" t="e" vm="2521">
        <f ca="1"/>
        <v>#N/A</v>
      </c>
      <c r="AK125" t="e" vm="2521">
        <f ca="1"/>
        <v>#N/A</v>
      </c>
      <c r="AL125" t="e" vm="2521">
        <f ca="1"/>
        <v>#N/A</v>
      </c>
      <c r="AM125" t="e" vm="2521">
        <f ca="1"/>
        <v>#N/A</v>
      </c>
      <c r="AN125" t="e" vm="2521">
        <f ca="1"/>
        <v>#N/A</v>
      </c>
      <c r="AO125" t="e" vm="2521">
        <f ca="1"/>
        <v>#N/A</v>
      </c>
      <c r="AP125" t="e" vm="2521">
        <f ca="1"/>
        <v>#N/A</v>
      </c>
      <c r="AQ125" t="e" vm="2521">
        <f ca="1"/>
        <v>#N/A</v>
      </c>
      <c r="AR125" t="e" vm="2521">
        <f ca="1"/>
        <v>#N/A</v>
      </c>
      <c r="AS125" t="e" vm="2521">
        <f ca="1"/>
        <v>#N/A</v>
      </c>
      <c r="AT125" t="e" vm="2521">
        <f ca="1"/>
        <v>#N/A</v>
      </c>
      <c r="AU125" t="e" vm="2521">
        <f ca="1"/>
        <v>#N/A</v>
      </c>
      <c r="AV125" t="e" vm="2521">
        <f ca="1"/>
        <v>#N/A</v>
      </c>
      <c r="AW125" t="e" vm="2521">
        <f ca="1"/>
        <v>#N/A</v>
      </c>
      <c r="AX125" t="e" vm="2521">
        <f ca="1"/>
        <v>#N/A</v>
      </c>
      <c r="AY125" t="e" vm="2521">
        <f ca="1"/>
        <v>#N/A</v>
      </c>
      <c r="AZ125" t="e" vm="2521">
        <f ca="1"/>
        <v>#N/A</v>
      </c>
      <c r="BA125" t="e" vm="2521">
        <f ca="1"/>
        <v>#N/A</v>
      </c>
      <c r="BB125" t="e" vm="2521">
        <f ca="1"/>
        <v>#N/A</v>
      </c>
      <c r="BC125" t="e" vm="2521">
        <f ca="1"/>
        <v>#N/A</v>
      </c>
      <c r="BD125" t="e" vm="2521">
        <f ca="1"/>
        <v>#N/A</v>
      </c>
      <c r="BE125" t="e" vm="2521">
        <f ca="1"/>
        <v>#N/A</v>
      </c>
      <c r="BF125" t="e" vm="2521">
        <f ca="1"/>
        <v>#N/A</v>
      </c>
      <c r="BG125" t="e" vm="2521">
        <f ca="1"/>
        <v>#N/A</v>
      </c>
      <c r="BH125" t="e" vm="2521">
        <f ca="1"/>
        <v>#N/A</v>
      </c>
      <c r="BI125" t="e" vm="2521">
        <f ca="1"/>
        <v>#N/A</v>
      </c>
      <c r="BJ125" t="e" vm="2521">
        <f ca="1"/>
        <v>#N/A</v>
      </c>
      <c r="BK125" t="e" vm="2521">
        <f ca="1"/>
        <v>#N/A</v>
      </c>
      <c r="BL125" t="e" vm="2521">
        <f ca="1"/>
        <v>#N/A</v>
      </c>
      <c r="BM125" t="e" vm="2521">
        <f ca="1"/>
        <v>#N/A</v>
      </c>
      <c r="BN125" t="e" vm="2521">
        <f ca="1"/>
        <v>#N/A</v>
      </c>
      <c r="BO125" t="e" vm="2521">
        <f ca="1"/>
        <v>#N/A</v>
      </c>
      <c r="BP125" t="e" vm="2521">
        <f ca="1"/>
        <v>#N/A</v>
      </c>
      <c r="BQ125" t="e" vm="2521">
        <f ca="1"/>
        <v>#N/A</v>
      </c>
      <c r="BR125" t="e" vm="2521">
        <f ca="1"/>
        <v>#N/A</v>
      </c>
      <c r="BS125" t="e" vm="2521">
        <f ca="1"/>
        <v>#N/A</v>
      </c>
      <c r="BT125" t="e" vm="2521">
        <f ca="1"/>
        <v>#N/A</v>
      </c>
      <c r="BU125" t="e" vm="2521">
        <f ca="1"/>
        <v>#N/A</v>
      </c>
      <c r="BV125" t="e" vm="2521">
        <f ca="1"/>
        <v>#N/A</v>
      </c>
      <c r="BW125" t="e" vm="2521">
        <f ca="1"/>
        <v>#N/A</v>
      </c>
      <c r="BX125" t="e" vm="2521">
        <f ca="1"/>
        <v>#N/A</v>
      </c>
      <c r="BY125" t="e" vm="2521">
        <f ca="1"/>
        <v>#N/A</v>
      </c>
      <c r="BZ125" t="e" vm="2521">
        <f ca="1"/>
        <v>#N/A</v>
      </c>
      <c r="CA125" t="e" vm="2521">
        <f ca="1"/>
        <v>#N/A</v>
      </c>
      <c r="CB125" t="e" vm="2521">
        <f ca="1"/>
        <v>#N/A</v>
      </c>
      <c r="CC125" t="e" vm="2521">
        <f ca="1"/>
        <v>#N/A</v>
      </c>
      <c r="CD125" t="e" vm="2521">
        <f ca="1"/>
        <v>#N/A</v>
      </c>
      <c r="CE125" t="e" vm="2521">
        <f ca="1"/>
        <v>#N/A</v>
      </c>
      <c r="CF125" vm="815">
        <f ca="1"/>
        <v>35.25</v>
      </c>
      <c r="CG125" t="e" vm="2521">
        <f ca="1"/>
        <v>#N/A</v>
      </c>
      <c r="CH125" t="e" vm="2521">
        <f ca="1"/>
        <v>#N/A</v>
      </c>
      <c r="CI125" t="e" vm="2521">
        <f ca="1"/>
        <v>#N/A</v>
      </c>
      <c r="CJ125" t="e" vm="2521">
        <f ca="1"/>
        <v>#N/A</v>
      </c>
      <c r="CK125" t="e" vm="2521">
        <f ca="1"/>
        <v>#N/A</v>
      </c>
      <c r="CL125" t="e" vm="2521">
        <f ca="1"/>
        <v>#N/A</v>
      </c>
      <c r="CM125" t="e" vm="2521">
        <f ca="1"/>
        <v>#N/A</v>
      </c>
      <c r="CN125" t="e" vm="2521">
        <f ca="1"/>
        <v>#N/A</v>
      </c>
      <c r="CO125" t="e" vm="2521">
        <f ca="1"/>
        <v>#N/A</v>
      </c>
      <c r="CP125" t="e" vm="2521">
        <f ca="1"/>
        <v>#N/A</v>
      </c>
      <c r="CQ125" t="e" vm="2521">
        <f ca="1"/>
        <v>#N/A</v>
      </c>
      <c r="CR125" t="e" vm="2521">
        <f ca="1"/>
        <v>#N/A</v>
      </c>
      <c r="CS125" t="e" vm="2521">
        <f ca="1"/>
        <v>#N/A</v>
      </c>
      <c r="CT125" t="e" vm="2521">
        <f ca="1"/>
        <v>#N/A</v>
      </c>
      <c r="CU125" t="e" vm="2521">
        <f ca="1"/>
        <v>#N/A</v>
      </c>
      <c r="CV125" t="e" vm="2521">
        <f ca="1"/>
        <v>#N/A</v>
      </c>
      <c r="CW125" t="e" vm="2521">
        <f ca="1"/>
        <v>#N/A</v>
      </c>
      <c r="CX125" t="e" vm="2521">
        <f ca="1"/>
        <v>#N/A</v>
      </c>
      <c r="CY125" t="e" vm="2521">
        <f ca="1"/>
        <v>#N/A</v>
      </c>
      <c r="CZ125" t="e" vm="2521">
        <f ca="1"/>
        <v>#N/A</v>
      </c>
      <c r="DA125" t="e" vm="2521">
        <f ca="1"/>
        <v>#N/A</v>
      </c>
      <c r="DB125" t="e" vm="2521">
        <f ca="1"/>
        <v>#N/A</v>
      </c>
      <c r="DC125" t="e" vm="2521">
        <f ca="1"/>
        <v>#N/A</v>
      </c>
      <c r="DD125" t="e" vm="2521">
        <f ca="1"/>
        <v>#N/A</v>
      </c>
      <c r="DE125" t="e" vm="2521">
        <f ca="1"/>
        <v>#N/A</v>
      </c>
      <c r="DF125" t="e" vm="2521">
        <f ca="1"/>
        <v>#N/A</v>
      </c>
      <c r="DG125" t="e" vm="2521">
        <f ca="1"/>
        <v>#N/A</v>
      </c>
      <c r="DH125" t="e" vm="2521">
        <f ca="1"/>
        <v>#N/A</v>
      </c>
      <c r="DI125" t="e" vm="2521">
        <f ca="1"/>
        <v>#N/A</v>
      </c>
      <c r="DJ125" t="e" vm="2521">
        <f ca="1"/>
        <v>#N/A</v>
      </c>
      <c r="DK125" t="e" vm="2521">
        <f ca="1"/>
        <v>#N/A</v>
      </c>
      <c r="DL125" t="e" vm="2521">
        <f ca="1"/>
        <v>#N/A</v>
      </c>
      <c r="DM125" t="e" vm="2521">
        <f ca="1"/>
        <v>#N/A</v>
      </c>
      <c r="DN125" t="e" vm="2521">
        <f ca="1"/>
        <v>#N/A</v>
      </c>
      <c r="DO125" t="e" vm="2521">
        <f ca="1"/>
        <v>#N/A</v>
      </c>
      <c r="DP125" t="e" vm="2521">
        <f ca="1"/>
        <v>#N/A</v>
      </c>
      <c r="DQ125" t="e" vm="2521">
        <f ca="1"/>
        <v>#N/A</v>
      </c>
      <c r="DR125" t="e" vm="2521">
        <f ca="1"/>
        <v>#N/A</v>
      </c>
      <c r="DS125" t="e" vm="2521">
        <f ca="1"/>
        <v>#N/A</v>
      </c>
      <c r="DT125" t="e" vm="2521">
        <f ca="1"/>
        <v>#N/A</v>
      </c>
      <c r="DU125" t="e" vm="2521">
        <f ca="1"/>
        <v>#N/A</v>
      </c>
      <c r="DV125" t="e" vm="2521">
        <f ca="1"/>
        <v>#N/A</v>
      </c>
      <c r="DW125" t="e" vm="2521">
        <f ca="1"/>
        <v>#N/A</v>
      </c>
      <c r="DX125" t="e" vm="2521">
        <f ca="1"/>
        <v>#N/A</v>
      </c>
      <c r="DY125" t="e" vm="2521">
        <f ca="1"/>
        <v>#N/A</v>
      </c>
      <c r="DZ125" t="e" vm="2521">
        <f ca="1"/>
        <v>#N/A</v>
      </c>
      <c r="EA125" t="e" vm="2521">
        <f ca="1"/>
        <v>#N/A</v>
      </c>
      <c r="EB125" t="e" vm="2521">
        <f ca="1"/>
        <v>#N/A</v>
      </c>
      <c r="EC125" t="e" vm="2521">
        <f ca="1"/>
        <v>#N/A</v>
      </c>
      <c r="ED125" t="e" vm="2521">
        <f ca="1"/>
        <v>#N/A</v>
      </c>
      <c r="EE125" t="e" vm="2521">
        <f ca="1"/>
        <v>#N/A</v>
      </c>
      <c r="EF125" t="e" vm="2521">
        <f ca="1"/>
        <v>#N/A</v>
      </c>
      <c r="EG125" t="e" vm="2521">
        <f ca="1"/>
        <v>#N/A</v>
      </c>
      <c r="EH125" t="e" vm="2521">
        <f ca="1"/>
        <v>#N/A</v>
      </c>
      <c r="EI125" t="e" vm="2521">
        <f ca="1"/>
        <v>#N/A</v>
      </c>
      <c r="EJ125" t="e" vm="2521">
        <f ca="1"/>
        <v>#N/A</v>
      </c>
      <c r="EK125" t="e" vm="2521">
        <f ca="1"/>
        <v>#N/A</v>
      </c>
      <c r="EL125" t="e" vm="2521">
        <f ca="1"/>
        <v>#N/A</v>
      </c>
      <c r="EM125" vm="815">
        <f ca="1"/>
        <v>35.25</v>
      </c>
      <c r="EN125" vm="815">
        <f ca="1"/>
        <v>35.25</v>
      </c>
      <c r="EO125" t="e" vm="2521">
        <f ca="1"/>
        <v>#N/A</v>
      </c>
      <c r="EP125" t="e" vm="2521">
        <f ca="1"/>
        <v>#N/A</v>
      </c>
      <c r="EQ125" t="e" vm="2521">
        <f ca="1"/>
        <v>#N/A</v>
      </c>
      <c r="ER125" t="e" vm="2521">
        <f ca="1"/>
        <v>#N/A</v>
      </c>
      <c r="ES125" t="e" vm="2521">
        <f ca="1"/>
        <v>#N/A</v>
      </c>
      <c r="ET125" t="e" vm="2521">
        <f ca="1"/>
        <v>#N/A</v>
      </c>
      <c r="EU125" t="e" vm="2521">
        <f ca="1"/>
        <v>#N/A</v>
      </c>
      <c r="EV125" t="e" vm="2521">
        <f ca="1"/>
        <v>#N/A</v>
      </c>
      <c r="EW125" t="e" vm="2521">
        <f ca="1"/>
        <v>#N/A</v>
      </c>
      <c r="EX125" t="e" vm="2521">
        <f ca="1"/>
        <v>#N/A</v>
      </c>
      <c r="EY125" t="e" vm="2521">
        <f ca="1"/>
        <v>#N/A</v>
      </c>
      <c r="EZ125" t="e" vm="2521">
        <f ca="1"/>
        <v>#N/A</v>
      </c>
      <c r="FA125" t="e" vm="2521">
        <f ca="1"/>
        <v>#N/A</v>
      </c>
      <c r="FB125" t="e" vm="2521">
        <f ca="1"/>
        <v>#N/A</v>
      </c>
      <c r="FC125" t="e" vm="2521">
        <f ca="1"/>
        <v>#N/A</v>
      </c>
      <c r="FD125" t="e" vm="2521">
        <f ca="1"/>
        <v>#N/A</v>
      </c>
      <c r="FE125" t="e" vm="2521">
        <f ca="1"/>
        <v>#N/A</v>
      </c>
      <c r="FF125" t="e" vm="2521">
        <f ca="1"/>
        <v>#N/A</v>
      </c>
      <c r="FG125" t="e" vm="2521">
        <f ca="1"/>
        <v>#N/A</v>
      </c>
      <c r="FH125" t="e" vm="2521">
        <f ca="1"/>
        <v>#N/A</v>
      </c>
      <c r="FI125" t="e" vm="2521">
        <f ca="1"/>
        <v>#N/A</v>
      </c>
      <c r="FJ125" t="e" vm="2521">
        <f ca="1"/>
        <v>#N/A</v>
      </c>
      <c r="FK125" t="e" vm="2521">
        <f ca="1"/>
        <v>#N/A</v>
      </c>
      <c r="FL125" t="e" vm="2521">
        <f ca="1"/>
        <v>#N/A</v>
      </c>
      <c r="FM125" t="e" vm="2521">
        <f ca="1"/>
        <v>#N/A</v>
      </c>
      <c r="FN125" t="e" vm="2521">
        <f ca="1"/>
        <v>#N/A</v>
      </c>
      <c r="FO125" t="e" vm="2521">
        <f ca="1"/>
        <v>#N/A</v>
      </c>
      <c r="FP125" t="e" vm="2521">
        <f ca="1"/>
        <v>#N/A</v>
      </c>
      <c r="FQ125" t="e" vm="2521">
        <f ca="1"/>
        <v>#N/A</v>
      </c>
      <c r="FR125" t="e" vm="2521">
        <f ca="1"/>
        <v>#N/A</v>
      </c>
      <c r="FS125" t="e" vm="2521">
        <f ca="1"/>
        <v>#N/A</v>
      </c>
      <c r="FT125" t="e" vm="2521">
        <f ca="1"/>
        <v>#N/A</v>
      </c>
      <c r="FU125" t="e" vm="2521">
        <f ca="1"/>
        <v>#N/A</v>
      </c>
      <c r="FV125" t="e" vm="2521">
        <f ca="1"/>
        <v>#N/A</v>
      </c>
      <c r="FW125" t="e" vm="2521">
        <f ca="1"/>
        <v>#N/A</v>
      </c>
      <c r="FX125" t="e" vm="2521">
        <f ca="1"/>
        <v>#N/A</v>
      </c>
      <c r="FY125" t="e" vm="2521">
        <f ca="1"/>
        <v>#N/A</v>
      </c>
      <c r="FZ125" t="e" vm="2521">
        <f ca="1"/>
        <v>#N/A</v>
      </c>
      <c r="GA125" t="e" vm="2521">
        <f ca="1"/>
        <v>#N/A</v>
      </c>
      <c r="GB125" t="e" vm="2521">
        <f ca="1"/>
        <v>#N/A</v>
      </c>
      <c r="GC125" t="e" vm="2521">
        <f ca="1"/>
        <v>#N/A</v>
      </c>
      <c r="GD125" t="e" vm="2521">
        <f ca="1"/>
        <v>#N/A</v>
      </c>
      <c r="GE125" t="e" vm="2521">
        <f ca="1"/>
        <v>#N/A</v>
      </c>
      <c r="GF125" t="e" vm="2521">
        <f ca="1"/>
        <v>#N/A</v>
      </c>
      <c r="GG125" t="e" vm="2521">
        <f ca="1"/>
        <v>#N/A</v>
      </c>
      <c r="GH125" t="e" vm="2521">
        <f ca="1"/>
        <v>#N/A</v>
      </c>
      <c r="GI125" t="e" vm="2521">
        <f ca="1"/>
        <v>#N/A</v>
      </c>
      <c r="GJ125" t="e" vm="2521">
        <f ca="1"/>
        <v>#N/A</v>
      </c>
      <c r="GK125" t="e" vm="2521">
        <f ca="1"/>
        <v>#N/A</v>
      </c>
      <c r="GL125" t="e" vm="2521">
        <f ca="1"/>
        <v>#N/A</v>
      </c>
      <c r="GM125" t="e" vm="2521">
        <f ca="1"/>
        <v>#N/A</v>
      </c>
      <c r="GN125" t="e" vm="2521">
        <f ca="1"/>
        <v>#N/A</v>
      </c>
      <c r="GO125" t="e" vm="2521">
        <f ca="1"/>
        <v>#N/A</v>
      </c>
      <c r="GP125" t="e" vm="2521">
        <f ca="1"/>
        <v>#N/A</v>
      </c>
      <c r="GQ125" t="e" vm="2521">
        <f ca="1"/>
        <v>#N/A</v>
      </c>
      <c r="GR125" t="e" vm="2521">
        <f ca="1"/>
        <v>#N/A</v>
      </c>
      <c r="GS125" t="e" vm="2521">
        <f ca="1"/>
        <v>#N/A</v>
      </c>
      <c r="GT125" t="e" vm="2521">
        <f ca="1"/>
        <v>#N/A</v>
      </c>
      <c r="GU125" t="e" vm="2521">
        <f ca="1"/>
        <v>#N/A</v>
      </c>
      <c r="GV125" t="e" vm="2521">
        <f ca="1"/>
        <v>#N/A</v>
      </c>
      <c r="GW125" t="e" vm="2521">
        <f ca="1"/>
        <v>#N/A</v>
      </c>
      <c r="GX125" t="e" vm="2521">
        <f ca="1"/>
        <v>#N/A</v>
      </c>
      <c r="GY125" t="e" vm="2521">
        <f ca="1"/>
        <v>#N/A</v>
      </c>
      <c r="GZ125" t="e" vm="2521">
        <f ca="1"/>
        <v>#N/A</v>
      </c>
      <c r="HA125" t="e" vm="2521">
        <f ca="1"/>
        <v>#N/A</v>
      </c>
      <c r="HB125" t="e" vm="2521">
        <f ca="1"/>
        <v>#N/A</v>
      </c>
      <c r="HC125" t="e" vm="2521">
        <f ca="1"/>
        <v>#N/A</v>
      </c>
      <c r="HD125" t="e" vm="2521">
        <f ca="1"/>
        <v>#N/A</v>
      </c>
      <c r="HE125" t="e" vm="2521">
        <f ca="1"/>
        <v>#N/A</v>
      </c>
      <c r="HF125" t="e" vm="2521">
        <f ca="1"/>
        <v>#N/A</v>
      </c>
      <c r="HG125" t="e" vm="2521">
        <f ca="1"/>
        <v>#N/A</v>
      </c>
      <c r="HH125" t="e" vm="2521">
        <f ca="1"/>
        <v>#N/A</v>
      </c>
      <c r="HI125" t="e" vm="2521">
        <f ca="1"/>
        <v>#N/A</v>
      </c>
      <c r="HJ125" t="e" vm="2521">
        <f ca="1"/>
        <v>#N/A</v>
      </c>
      <c r="HK125" t="e" vm="2521">
        <f ca="1"/>
        <v>#N/A</v>
      </c>
      <c r="HL125" t="e" vm="2521">
        <f ca="1"/>
        <v>#N/A</v>
      </c>
      <c r="HM125" t="e" vm="2521">
        <f ca="1"/>
        <v>#N/A</v>
      </c>
      <c r="HN125" t="e" vm="2521">
        <f ca="1"/>
        <v>#N/A</v>
      </c>
      <c r="HO125" t="e" vm="2521">
        <f ca="1"/>
        <v>#N/A</v>
      </c>
      <c r="HP125" t="e" vm="2521">
        <f ca="1"/>
        <v>#N/A</v>
      </c>
      <c r="HQ125" t="e" vm="2521">
        <f ca="1"/>
        <v>#N/A</v>
      </c>
      <c r="HR125" t="e" vm="2521">
        <f ca="1"/>
        <v>#N/A</v>
      </c>
      <c r="HS125" t="e" vm="2521">
        <f ca="1"/>
        <v>#N/A</v>
      </c>
      <c r="HT125" t="e" vm="2521">
        <f ca="1"/>
        <v>#N/A</v>
      </c>
      <c r="HU125" t="e" vm="2521">
        <f ca="1"/>
        <v>#N/A</v>
      </c>
      <c r="HV125" t="e" vm="2521">
        <f ca="1"/>
        <v>#N/A</v>
      </c>
      <c r="HW125" t="e" vm="2521">
        <f ca="1"/>
        <v>#N/A</v>
      </c>
      <c r="HX125" t="e" vm="2521">
        <f ca="1"/>
        <v>#N/A</v>
      </c>
      <c r="HY125" t="e" vm="2521">
        <f ca="1"/>
        <v>#N/A</v>
      </c>
      <c r="HZ125" t="e" vm="2521">
        <f ca="1"/>
        <v>#N/A</v>
      </c>
      <c r="IA125" t="e" vm="2521">
        <f ca="1"/>
        <v>#N/A</v>
      </c>
      <c r="IB125" t="e" vm="2521">
        <f ca="1"/>
        <v>#N/A</v>
      </c>
      <c r="IC125" t="e" vm="2521">
        <f ca="1"/>
        <v>#N/A</v>
      </c>
      <c r="ID125" t="e" vm="2521">
        <f ca="1"/>
        <v>#N/A</v>
      </c>
      <c r="IE125" t="e" vm="2521">
        <f ca="1"/>
        <v>#N/A</v>
      </c>
      <c r="IF125" t="e" vm="2521">
        <f ca="1"/>
        <v>#N/A</v>
      </c>
      <c r="IG125" t="e" vm="2521">
        <f ca="1"/>
        <v>#N/A</v>
      </c>
      <c r="IH125" vm="2714">
        <f ca="1"/>
        <v>40.520000000000003</v>
      </c>
      <c r="II125" vm="2715">
        <f ca="1"/>
        <v>40.89</v>
      </c>
      <c r="IJ125" vm="2716">
        <f ca="1"/>
        <v>40.950000000000003</v>
      </c>
      <c r="IK125" vm="2717">
        <f ca="1"/>
        <v>41.14</v>
      </c>
      <c r="IL125" vm="2718">
        <f ca="1"/>
        <v>41.41</v>
      </c>
      <c r="IM125" vm="2677">
        <f ca="1"/>
        <v>41.34</v>
      </c>
      <c r="IN125" vm="2719">
        <f ca="1"/>
        <v>41.53</v>
      </c>
      <c r="IO125" vm="81">
        <f ca="1"/>
        <v>41.94</v>
      </c>
      <c r="IP125" vm="2720">
        <f ca="1"/>
        <v>42.39</v>
      </c>
      <c r="IQ125" vm="2721">
        <f ca="1"/>
        <v>42.18</v>
      </c>
      <c r="IR125" vm="2722">
        <f ca="1"/>
        <v>42.1</v>
      </c>
      <c r="IS125" vm="2723">
        <f ca="1"/>
        <v>42.03</v>
      </c>
      <c r="IT125" vm="2724">
        <f ca="1"/>
        <v>41.61</v>
      </c>
      <c r="IU125" vm="81">
        <f ca="1"/>
        <v>41.94</v>
      </c>
      <c r="IV125" vm="2722">
        <f ca="1"/>
        <v>42.1</v>
      </c>
    </row>
    <row r="126" spans="1:262" ht="16" x14ac:dyDescent="0.2">
      <c r="A126" t="e" vm="2725">
        <v>#VALUE!</v>
      </c>
      <c r="B126" s="23" t="str" cm="1">
        <f t="array" aca="1" ref="B126" ca="1">_FV(A126,"ticker symbol",TRUE)</f>
        <v>EWT</v>
      </c>
      <c r="C126" s="23" t="str" cm="1">
        <f t="array" aca="1" ref="C126" ca="1">_FV(A126,"Name")</f>
        <v>iShares:MSCI Taiwan</v>
      </c>
      <c r="D126" cm="1" vm="15728">
        <f t="array" aca="1" ref="D126:IW126" ca="1">TRANSPOSE(_xlfn.STOCKHISTORY(B126, WORKDAY(TODAY(), -265), TODAY(), 0, 0, 1))</f>
        <v>54.46</v>
      </c>
      <c r="E126" vm="11004">
        <f ca="1"/>
        <v>52.56</v>
      </c>
      <c r="F126" vm="11320">
        <f ca="1"/>
        <v>51.43</v>
      </c>
      <c r="G126" vm="6326">
        <f ca="1"/>
        <v>51.85</v>
      </c>
      <c r="H126" vm="18363">
        <f ca="1"/>
        <v>52.22</v>
      </c>
      <c r="I126" vm="6313">
        <f ca="1"/>
        <v>53.19</v>
      </c>
      <c r="J126" vm="2636">
        <f ca="1"/>
        <v>53.11</v>
      </c>
      <c r="K126" vm="9689">
        <f ca="1"/>
        <v>52.63</v>
      </c>
      <c r="L126" vm="6317">
        <f ca="1"/>
        <v>52.55</v>
      </c>
      <c r="M126" vm="1625">
        <f ca="1"/>
        <v>51.97</v>
      </c>
      <c r="N126" vm="2193">
        <f ca="1"/>
        <v>51.76</v>
      </c>
      <c r="O126" vm="2762">
        <f ca="1"/>
        <v>51.34</v>
      </c>
      <c r="P126" vm="1628">
        <f ca="1"/>
        <v>52.23</v>
      </c>
      <c r="Q126" vm="19360">
        <f ca="1"/>
        <v>53.82</v>
      </c>
      <c r="R126" vm="9256">
        <f ca="1"/>
        <v>53.09</v>
      </c>
      <c r="S126" vm="2921">
        <f ca="1"/>
        <v>52.49</v>
      </c>
      <c r="T126" vm="6251">
        <f ca="1"/>
        <v>51.14</v>
      </c>
      <c r="U126" vm="11298">
        <f ca="1"/>
        <v>50.27</v>
      </c>
      <c r="V126" vm="6301">
        <f ca="1"/>
        <v>50.98</v>
      </c>
      <c r="W126" vm="11322">
        <f ca="1"/>
        <v>51.53</v>
      </c>
      <c r="X126" vm="11341">
        <f ca="1"/>
        <v>51.98</v>
      </c>
      <c r="Y126" vm="14150">
        <f ca="1"/>
        <v>52.03</v>
      </c>
      <c r="Z126" vm="2636">
        <f ca="1"/>
        <v>53.11</v>
      </c>
      <c r="AA126" vm="6347">
        <f ca="1"/>
        <v>53.35</v>
      </c>
      <c r="AB126" vm="6334">
        <f ca="1"/>
        <v>53.59</v>
      </c>
      <c r="AC126" vm="10057">
        <f ca="1"/>
        <v>53.43</v>
      </c>
      <c r="AD126" vm="2903">
        <f ca="1"/>
        <v>50.43</v>
      </c>
      <c r="AE126" vm="11027">
        <f ca="1"/>
        <v>51.18</v>
      </c>
      <c r="AF126" vm="6295">
        <f ca="1"/>
        <v>51.08</v>
      </c>
      <c r="AG126" vm="469">
        <f ca="1"/>
        <v>51.67</v>
      </c>
      <c r="AH126" vm="6358">
        <f ca="1"/>
        <v>51.45</v>
      </c>
      <c r="AI126" vm="11300">
        <f ca="1"/>
        <v>51.01</v>
      </c>
      <c r="AJ126" vm="2193">
        <f ca="1"/>
        <v>51.76</v>
      </c>
      <c r="AK126" vm="15727">
        <f ca="1"/>
        <v>52.13</v>
      </c>
      <c r="AL126" vm="18825">
        <f ca="1"/>
        <v>52.26</v>
      </c>
      <c r="AM126" vm="6319">
        <f ca="1"/>
        <v>52.01</v>
      </c>
      <c r="AN126" vm="2190">
        <f ca="1"/>
        <v>52.52</v>
      </c>
      <c r="AO126" vm="2190">
        <f ca="1"/>
        <v>52.52</v>
      </c>
      <c r="AP126" vm="1627">
        <f ca="1"/>
        <v>52.35</v>
      </c>
      <c r="AQ126" vm="3303">
        <f ca="1"/>
        <v>52.87</v>
      </c>
      <c r="AR126" vm="11861">
        <f ca="1"/>
        <v>52.75</v>
      </c>
      <c r="AS126" vm="15730">
        <f ca="1"/>
        <v>53.17</v>
      </c>
      <c r="AT126" vm="2636">
        <f ca="1"/>
        <v>53.11</v>
      </c>
      <c r="AU126" vm="15730">
        <f ca="1"/>
        <v>53.17</v>
      </c>
      <c r="AV126" vm="472">
        <f ca="1"/>
        <v>52.95</v>
      </c>
      <c r="AW126" vm="11342">
        <f ca="1"/>
        <v>52.57</v>
      </c>
      <c r="AX126" vm="6311">
        <f ca="1"/>
        <v>52.37</v>
      </c>
      <c r="AY126" vm="9257">
        <f ca="1"/>
        <v>53.08</v>
      </c>
      <c r="AZ126" vm="11331">
        <f ca="1"/>
        <v>50.83</v>
      </c>
      <c r="BA126" vm="2763">
        <f ca="1"/>
        <v>50.81</v>
      </c>
      <c r="BB126" vm="11851">
        <f ca="1"/>
        <v>50.25</v>
      </c>
      <c r="BC126" vm="14144">
        <f ca="1"/>
        <v>51.04</v>
      </c>
      <c r="BD126" vm="842">
        <f ca="1"/>
        <v>52.07</v>
      </c>
      <c r="BE126" vm="1623">
        <f ca="1"/>
        <v>50.79</v>
      </c>
      <c r="BF126" vm="10055">
        <f ca="1"/>
        <v>51.23</v>
      </c>
      <c r="BG126" vm="9247">
        <f ca="1"/>
        <v>49.89</v>
      </c>
      <c r="BH126" vm="10052">
        <f ca="1"/>
        <v>49.98</v>
      </c>
      <c r="BI126" vm="14146">
        <f ca="1"/>
        <v>50.67</v>
      </c>
      <c r="BJ126" vm="12031">
        <f ca="1"/>
        <v>49.63</v>
      </c>
      <c r="BK126" vm="11298">
        <f ca="1"/>
        <v>50.27</v>
      </c>
      <c r="BL126" vm="19453">
        <f ca="1"/>
        <v>50.71</v>
      </c>
      <c r="BM126" vm="9262">
        <f ca="1"/>
        <v>50.2</v>
      </c>
      <c r="BN126" vm="835">
        <f ca="1"/>
        <v>50.14</v>
      </c>
      <c r="BO126" vm="1147">
        <f ca="1"/>
        <v>50.28</v>
      </c>
      <c r="BP126" vm="6307">
        <f ca="1"/>
        <v>50.22</v>
      </c>
      <c r="BQ126" vm="1145">
        <f ca="1"/>
        <v>50.38</v>
      </c>
      <c r="BR126" vm="11321">
        <f ca="1"/>
        <v>50.46</v>
      </c>
      <c r="BS126" vm="19357">
        <f ca="1"/>
        <v>49.51</v>
      </c>
      <c r="BT126" vm="1993">
        <f ca="1"/>
        <v>49.2</v>
      </c>
      <c r="BU126" vm="17846">
        <f ca="1"/>
        <v>47.82</v>
      </c>
      <c r="BV126" vm="19454">
        <f ca="1"/>
        <v>47.48</v>
      </c>
      <c r="BW126" vm="11848">
        <f ca="1"/>
        <v>48.2</v>
      </c>
      <c r="BX126" vm="9995">
        <f ca="1"/>
        <v>48.48</v>
      </c>
      <c r="BY126" vm="2334">
        <f ca="1"/>
        <v>46.05</v>
      </c>
      <c r="BZ126" vm="19455">
        <f ca="1"/>
        <v>43.82</v>
      </c>
      <c r="CA126" vm="2723">
        <f ca="1"/>
        <v>42.03</v>
      </c>
      <c r="CB126" vm="2716">
        <f ca="1"/>
        <v>40.950000000000003</v>
      </c>
      <c r="CC126" vm="2327">
        <f ca="1"/>
        <v>44.79</v>
      </c>
      <c r="CD126" vm="19456">
        <f ca="1"/>
        <v>43.32</v>
      </c>
      <c r="CE126" vm="1189">
        <f ca="1"/>
        <v>45.62</v>
      </c>
      <c r="CF126" vm="12076">
        <f ca="1"/>
        <v>45.77</v>
      </c>
      <c r="CG126" vm="2334">
        <f ca="1"/>
        <v>46.05</v>
      </c>
      <c r="CH126" vm="15721">
        <f ca="1"/>
        <v>44.99</v>
      </c>
      <c r="CI126" vm="9215">
        <f ca="1"/>
        <v>44.88</v>
      </c>
      <c r="CJ126" vm="19457">
        <f ca="1"/>
        <v>44.22</v>
      </c>
      <c r="CK126" vm="9217">
        <f ca="1"/>
        <v>44.33</v>
      </c>
      <c r="CL126" vm="16032">
        <f ca="1"/>
        <v>45.5</v>
      </c>
      <c r="CM126" vm="460">
        <f ca="1"/>
        <v>46.18</v>
      </c>
      <c r="CN126" vm="19458">
        <f ca="1"/>
        <v>46.34</v>
      </c>
      <c r="CO126" vm="9235">
        <f ca="1"/>
        <v>46.47</v>
      </c>
      <c r="CP126" vm="6281">
        <f ca="1"/>
        <v>47.15</v>
      </c>
      <c r="CQ126" vm="19454">
        <f ca="1"/>
        <v>47.48</v>
      </c>
      <c r="CR126" vm="17846">
        <f ca="1"/>
        <v>47.82</v>
      </c>
      <c r="CS126" vm="839">
        <f ca="1"/>
        <v>50.95</v>
      </c>
      <c r="CT126" vm="14046">
        <f ca="1"/>
        <v>52.96</v>
      </c>
      <c r="CU126" vm="467">
        <f ca="1"/>
        <v>51.56</v>
      </c>
      <c r="CV126" vm="6302">
        <f ca="1"/>
        <v>51</v>
      </c>
      <c r="CW126" vm="1523">
        <f ca="1"/>
        <v>51.16</v>
      </c>
      <c r="CX126" vm="11854">
        <f ca="1"/>
        <v>51.75</v>
      </c>
      <c r="CY126" vm="472">
        <f ca="1"/>
        <v>52.95</v>
      </c>
      <c r="CZ126" vm="479">
        <f ca="1"/>
        <v>53.28</v>
      </c>
      <c r="DA126" vm="1630">
        <f ca="1"/>
        <v>53.77</v>
      </c>
      <c r="DB126" vm="3336">
        <f ca="1"/>
        <v>53.99</v>
      </c>
      <c r="DC126" vm="2927">
        <f ca="1"/>
        <v>54.01</v>
      </c>
      <c r="DD126" vm="19360">
        <f ca="1"/>
        <v>53.82</v>
      </c>
      <c r="DE126" vm="478">
        <f ca="1"/>
        <v>53.48</v>
      </c>
      <c r="DF126" vm="73">
        <f ca="1"/>
        <v>53.72</v>
      </c>
      <c r="DG126" vm="1631">
        <f ca="1"/>
        <v>53.7</v>
      </c>
      <c r="DH126" vm="14047">
        <f ca="1"/>
        <v>53.52</v>
      </c>
      <c r="DI126" vm="2774">
        <f ca="1"/>
        <v>53.58</v>
      </c>
      <c r="DJ126" vm="6332">
        <f ca="1"/>
        <v>53.26</v>
      </c>
      <c r="DK126" vm="3303">
        <f ca="1"/>
        <v>52.87</v>
      </c>
      <c r="DL126" vm="14054">
        <f ca="1"/>
        <v>52.38</v>
      </c>
      <c r="DM126" vm="475">
        <f ca="1"/>
        <v>52.84</v>
      </c>
      <c r="DN126" vm="2770">
        <f ca="1"/>
        <v>53.15</v>
      </c>
      <c r="DO126" vm="3332">
        <f ca="1"/>
        <v>53.96</v>
      </c>
      <c r="DP126" vm="14045">
        <f ca="1"/>
        <v>53.74</v>
      </c>
      <c r="DQ126" vm="3342">
        <f ca="1"/>
        <v>54.11</v>
      </c>
      <c r="DR126" vm="19364">
        <f ca="1"/>
        <v>54.71</v>
      </c>
      <c r="DS126" vm="11872">
        <f ca="1"/>
        <v>55.8</v>
      </c>
      <c r="DT126" vm="19459">
        <f ca="1"/>
        <v>55.83</v>
      </c>
      <c r="DU126" vm="11010">
        <f ca="1"/>
        <v>56.74</v>
      </c>
      <c r="DV126" vm="19460">
        <f ca="1"/>
        <v>55.85</v>
      </c>
      <c r="DW126" vm="14044">
        <f ca="1"/>
        <v>56.46</v>
      </c>
      <c r="DX126" vm="14031">
        <f ca="1"/>
        <v>55.65</v>
      </c>
      <c r="DY126" vm="10125">
        <f ca="1"/>
        <v>56.03</v>
      </c>
      <c r="DZ126" vm="15">
        <f ca="1"/>
        <v>54.84</v>
      </c>
      <c r="EA126" vm="19461">
        <f ca="1"/>
        <v>55.18</v>
      </c>
      <c r="EB126" vm="1220">
        <f ca="1"/>
        <v>56.82</v>
      </c>
      <c r="EC126" vm="11909">
        <f ca="1"/>
        <v>57.31</v>
      </c>
      <c r="ED126" vm="11072">
        <f ca="1"/>
        <v>57.85</v>
      </c>
      <c r="EE126" vm="11072">
        <f ca="1"/>
        <v>57.85</v>
      </c>
      <c r="EF126" vm="10108">
        <f ca="1"/>
        <v>57.4</v>
      </c>
      <c r="EG126" vm="11903">
        <f ca="1"/>
        <v>57.58</v>
      </c>
      <c r="EH126" vm="1654">
        <f ca="1"/>
        <v>58.75</v>
      </c>
      <c r="EI126" vm="3020">
        <f ca="1"/>
        <v>59.44</v>
      </c>
      <c r="EJ126" vm="8694">
        <f ca="1"/>
        <v>57.63</v>
      </c>
      <c r="EK126" vm="1581">
        <f ca="1"/>
        <v>57.66</v>
      </c>
      <c r="EL126" vm="2957">
        <f ca="1"/>
        <v>58.03</v>
      </c>
      <c r="EM126" vm="2960">
        <f ca="1"/>
        <v>58.38</v>
      </c>
      <c r="EN126" vm="115">
        <f ca="1"/>
        <v>58.3</v>
      </c>
      <c r="EO126" vm="11062">
        <f ca="1"/>
        <v>57.81</v>
      </c>
      <c r="EP126" vm="14193">
        <f ca="1"/>
        <v>58.27</v>
      </c>
      <c r="EQ126" vm="1585">
        <f ca="1"/>
        <v>58.98</v>
      </c>
      <c r="ER126" vm="1586">
        <f ca="1"/>
        <v>59.48</v>
      </c>
      <c r="ES126" vm="11897">
        <f ca="1"/>
        <v>59.24</v>
      </c>
      <c r="ET126" vm="19462">
        <f ca="1"/>
        <v>59.36</v>
      </c>
      <c r="EU126" vm="9653">
        <f ca="1"/>
        <v>58.72</v>
      </c>
      <c r="EV126" vm="1645">
        <f ca="1"/>
        <v>59.8</v>
      </c>
      <c r="EW126" vm="14120">
        <f ca="1"/>
        <v>59.39</v>
      </c>
      <c r="EX126" vm="19463">
        <f ca="1"/>
        <v>59.43</v>
      </c>
      <c r="EY126" vm="2963">
        <f ca="1"/>
        <v>59.06</v>
      </c>
      <c r="EZ126" vm="3018">
        <f ca="1"/>
        <v>58.62</v>
      </c>
      <c r="FA126" vm="13389">
        <f ca="1"/>
        <v>58.35</v>
      </c>
      <c r="FB126" vm="11073">
        <f ca="1"/>
        <v>58.36</v>
      </c>
      <c r="FC126" vm="14214">
        <f ca="1"/>
        <v>58.39</v>
      </c>
      <c r="FD126" vm="2965">
        <f ca="1"/>
        <v>58.84</v>
      </c>
      <c r="FE126" vm="3013">
        <f ca="1"/>
        <v>58.92</v>
      </c>
      <c r="FF126" vm="8696">
        <f ca="1"/>
        <v>59.14</v>
      </c>
      <c r="FG126" vm="13399">
        <f ca="1"/>
        <v>60.36</v>
      </c>
      <c r="FH126" vm="8668">
        <f ca="1"/>
        <v>60.29</v>
      </c>
      <c r="FI126" vm="17889">
        <f ca="1"/>
        <v>60.28</v>
      </c>
      <c r="FJ126" vm="15225">
        <f ca="1"/>
        <v>61.09</v>
      </c>
      <c r="FK126" vm="13441">
        <f ca="1"/>
        <v>61.03</v>
      </c>
      <c r="FL126" vm="14075">
        <f ca="1"/>
        <v>60.65</v>
      </c>
      <c r="FM126" vm="1590">
        <f ca="1"/>
        <v>60.42</v>
      </c>
      <c r="FN126" vm="14088">
        <f ca="1"/>
        <v>61.04</v>
      </c>
      <c r="FO126" vm="14090">
        <f ca="1"/>
        <v>60.09</v>
      </c>
      <c r="FP126" vm="3009">
        <f ca="1"/>
        <v>58.78</v>
      </c>
      <c r="FQ126" vm="11365">
        <f ca="1"/>
        <v>58.57</v>
      </c>
      <c r="FR126" vm="8637">
        <f ca="1"/>
        <v>59.66</v>
      </c>
      <c r="FS126" vm="9643">
        <f ca="1"/>
        <v>59.26</v>
      </c>
      <c r="FT126" vm="8677">
        <f ca="1"/>
        <v>59.5</v>
      </c>
      <c r="FU126" vm="9708">
        <f ca="1"/>
        <v>59.77</v>
      </c>
      <c r="FV126" vm="18384">
        <f ca="1"/>
        <v>59.9</v>
      </c>
      <c r="FW126" vm="10301">
        <f ca="1"/>
        <v>58.82</v>
      </c>
      <c r="FX126" vm="8681">
        <f ca="1"/>
        <v>58.05</v>
      </c>
      <c r="FY126" vm="1651">
        <f ca="1"/>
        <v>58.73</v>
      </c>
      <c r="FZ126" vm="3016">
        <f ca="1"/>
        <v>59.3</v>
      </c>
      <c r="GA126" vm="10100">
        <f ca="1"/>
        <v>60.21</v>
      </c>
      <c r="GB126" vm="2537">
        <f ca="1"/>
        <v>60.98</v>
      </c>
      <c r="GC126" vm="8708">
        <f ca="1"/>
        <v>61.62</v>
      </c>
      <c r="GD126" vm="8859">
        <f ca="1"/>
        <v>62.56</v>
      </c>
      <c r="GE126" vm="13878">
        <f ca="1"/>
        <v>62.74</v>
      </c>
      <c r="GF126" vm="11391">
        <f ca="1"/>
        <v>62.83</v>
      </c>
      <c r="GG126" vm="15832">
        <f ca="1"/>
        <v>63.02</v>
      </c>
      <c r="GH126" vm="11397">
        <f ca="1"/>
        <v>63.32</v>
      </c>
      <c r="GI126" vm="8819">
        <f ca="1"/>
        <v>63.21</v>
      </c>
      <c r="GJ126" vm="11453">
        <f ca="1"/>
        <v>63.77</v>
      </c>
      <c r="GK126" vm="8658">
        <f ca="1"/>
        <v>63.38</v>
      </c>
      <c r="GL126" vm="10275">
        <f ca="1"/>
        <v>64.02</v>
      </c>
      <c r="GM126" vm="2550">
        <f ca="1"/>
        <v>64.290000000000006</v>
      </c>
      <c r="GN126" vm="14123">
        <f ca="1"/>
        <v>63.57</v>
      </c>
      <c r="GO126" vm="14098">
        <f ca="1"/>
        <v>63.06</v>
      </c>
      <c r="GP126" vm="13878">
        <f ca="1"/>
        <v>62.74</v>
      </c>
      <c r="GQ126" vm="2540">
        <f ca="1"/>
        <v>63.08</v>
      </c>
      <c r="GR126" vm="1470">
        <f ca="1"/>
        <v>63.62</v>
      </c>
      <c r="GS126" vm="11394">
        <f ca="1"/>
        <v>64.14</v>
      </c>
      <c r="GT126" vm="8661">
        <f ca="1"/>
        <v>64</v>
      </c>
      <c r="GU126" vm="15831">
        <f ca="1"/>
        <v>64.64</v>
      </c>
      <c r="GV126" vm="11428">
        <f ca="1"/>
        <v>65.03</v>
      </c>
      <c r="GW126" vm="1612">
        <f ca="1"/>
        <v>64.81</v>
      </c>
      <c r="GX126" vm="1155">
        <f ca="1"/>
        <v>65.650000000000006</v>
      </c>
      <c r="GY126" vm="15856">
        <f ca="1"/>
        <v>64.83</v>
      </c>
      <c r="GZ126" vm="8708">
        <f ca="1"/>
        <v>61.62</v>
      </c>
      <c r="HA126" vm="2351">
        <f ca="1"/>
        <v>64.56</v>
      </c>
      <c r="HB126" vm="8714">
        <f ca="1"/>
        <v>63.7</v>
      </c>
      <c r="HC126" vm="8720">
        <f ca="1"/>
        <v>64.989999999999995</v>
      </c>
      <c r="HD126" vm="1164">
        <f ca="1"/>
        <v>65.17</v>
      </c>
      <c r="HE126" vm="11395">
        <f ca="1"/>
        <v>65.09</v>
      </c>
      <c r="HF126" vm="2242">
        <f ca="1"/>
        <v>66.17</v>
      </c>
      <c r="HG126" vm="13882">
        <f ca="1"/>
        <v>65.78</v>
      </c>
      <c r="HH126" vm="11428">
        <f ca="1"/>
        <v>65.03</v>
      </c>
      <c r="HI126" vm="8744">
        <f ca="1"/>
        <v>65.709999999999994</v>
      </c>
      <c r="HJ126" vm="10247">
        <f ca="1"/>
        <v>66.48</v>
      </c>
      <c r="HK126" vm="19464">
        <f ca="1"/>
        <v>66.98</v>
      </c>
      <c r="HL126" vm="13833">
        <f ca="1"/>
        <v>67.09</v>
      </c>
      <c r="HM126" vm="19465">
        <f ca="1"/>
        <v>67.13</v>
      </c>
      <c r="HN126" vm="8868">
        <f ca="1"/>
        <v>66.540000000000006</v>
      </c>
      <c r="HO126" vm="19466">
        <f ca="1"/>
        <v>66.650000000000006</v>
      </c>
      <c r="HP126" vm="11414">
        <f ca="1"/>
        <v>66.900000000000006</v>
      </c>
      <c r="HQ126" vm="11432">
        <f ca="1"/>
        <v>65.430000000000007</v>
      </c>
      <c r="HR126" vm="8847">
        <f ca="1"/>
        <v>66.03</v>
      </c>
      <c r="HS126" vm="1611">
        <f ca="1"/>
        <v>64.94</v>
      </c>
      <c r="HT126" vm="8850">
        <f ca="1"/>
        <v>64.61</v>
      </c>
      <c r="HU126" vm="11451">
        <f ca="1"/>
        <v>65.75</v>
      </c>
      <c r="HV126" vm="15221">
        <f ca="1"/>
        <v>65.39</v>
      </c>
      <c r="HW126" vm="11424">
        <f ca="1"/>
        <v>65.41</v>
      </c>
      <c r="HX126" vm="15838">
        <f ca="1"/>
        <v>63.99</v>
      </c>
      <c r="HY126" vm="1164">
        <f ca="1"/>
        <v>65.17</v>
      </c>
      <c r="HZ126" vm="13396">
        <f ca="1"/>
        <v>63.16</v>
      </c>
      <c r="IA126" vm="19467">
        <f ca="1"/>
        <v>62.67</v>
      </c>
      <c r="IB126" vm="2726">
        <f ca="1"/>
        <v>62.5</v>
      </c>
      <c r="IC126" vm="2727">
        <f ca="1"/>
        <v>61.68</v>
      </c>
      <c r="ID126" vm="2728">
        <f ca="1"/>
        <v>61.8</v>
      </c>
      <c r="IE126" vm="2729">
        <f ca="1"/>
        <v>62.51</v>
      </c>
      <c r="IF126" vm="2730">
        <f ca="1"/>
        <v>62.8</v>
      </c>
      <c r="IG126" vm="2731">
        <f ca="1"/>
        <v>63.66</v>
      </c>
      <c r="IH126" vm="2732">
        <f ca="1"/>
        <v>64.510000000000005</v>
      </c>
      <c r="II126" vm="2733">
        <f ca="1"/>
        <v>64.13</v>
      </c>
      <c r="IJ126" vm="2734">
        <f ca="1"/>
        <v>64.63</v>
      </c>
      <c r="IK126" vm="2735">
        <f ca="1"/>
        <v>64.849999999999994</v>
      </c>
      <c r="IL126" vm="2732">
        <f ca="1"/>
        <v>64.510000000000005</v>
      </c>
      <c r="IM126" vm="2736">
        <f ca="1"/>
        <v>65.349999999999994</v>
      </c>
      <c r="IN126" vm="2737">
        <f ca="1"/>
        <v>65.569999999999993</v>
      </c>
      <c r="IO126" vm="2738">
        <f ca="1"/>
        <v>65.72</v>
      </c>
      <c r="IP126" vm="2739">
        <f ca="1"/>
        <v>66.8</v>
      </c>
      <c r="IQ126" vm="2740">
        <f ca="1"/>
        <v>65.92</v>
      </c>
      <c r="IR126" vm="2741">
        <f ca="1"/>
        <v>64.099999999999994</v>
      </c>
      <c r="IS126" vm="2742">
        <f ca="1"/>
        <v>64.11</v>
      </c>
      <c r="IT126" vm="2743">
        <f ca="1"/>
        <v>61.12</v>
      </c>
      <c r="IU126" vm="2744">
        <f ca="1"/>
        <v>60.03</v>
      </c>
      <c r="IV126" vm="2745">
        <f ca="1"/>
        <v>60.87</v>
      </c>
      <c r="IW126" vm="83">
        <f ca="1"/>
        <v>61.64</v>
      </c>
    </row>
    <row r="127" spans="1:262" ht="16" x14ac:dyDescent="0.2">
      <c r="A127" t="e" vm="2746">
        <v>#VALUE!</v>
      </c>
      <c r="B127" s="23" t="str" cm="1">
        <f t="array" aca="1" ref="B127" ca="1">_FV(A127,"ticker symbol",TRUE)</f>
        <v>EWH</v>
      </c>
      <c r="C127" s="23" t="str" cm="1">
        <f t="array" aca="1" ref="C127" ca="1">_FV(A127,"Name")</f>
        <v>iShares:MSCI Hong Kong</v>
      </c>
      <c r="D127" cm="1" vm="2819">
        <f t="array" aca="1" ref="D127:IW127" ca="1">TRANSPOSE(_xlfn.STOCKHISTORY(B127, WORKDAY(TODAY(), -265), TODAY(), 0, 0, 1))</f>
        <v>17.079999999999998</v>
      </c>
      <c r="E127" vm="17300">
        <f ca="1"/>
        <v>16.739999999999998</v>
      </c>
      <c r="F127" vm="19468">
        <f ca="1"/>
        <v>16.41</v>
      </c>
      <c r="G127" vm="19469">
        <f ca="1"/>
        <v>16.46</v>
      </c>
      <c r="H127" vm="17324">
        <f ca="1"/>
        <v>16.559999999999999</v>
      </c>
      <c r="I127" vm="17312">
        <f ca="1"/>
        <v>16.71</v>
      </c>
      <c r="J127" vm="17315">
        <f ca="1"/>
        <v>16.920000000000002</v>
      </c>
      <c r="K127" vm="17314">
        <f ca="1"/>
        <v>16.989999999999998</v>
      </c>
      <c r="L127" vm="17266">
        <f ca="1"/>
        <v>16.760000000000002</v>
      </c>
      <c r="M127" vm="19470">
        <f ca="1"/>
        <v>16.63</v>
      </c>
      <c r="N127" vm="19471">
        <f ca="1"/>
        <v>16.66</v>
      </c>
      <c r="O127" vm="19472">
        <f ca="1"/>
        <v>16.399999999999999</v>
      </c>
      <c r="P127" vm="2817">
        <f ca="1"/>
        <v>16.53</v>
      </c>
      <c r="Q127" vm="19473">
        <f ca="1"/>
        <v>16.47</v>
      </c>
      <c r="R127" vm="19474">
        <f ca="1"/>
        <v>16.28</v>
      </c>
      <c r="S127" vm="18064">
        <f ca="1"/>
        <v>16.100000000000001</v>
      </c>
      <c r="T127" vm="19475">
        <f ca="1"/>
        <v>15.83</v>
      </c>
      <c r="U127" vm="17344">
        <f ca="1"/>
        <v>15.8</v>
      </c>
      <c r="V127" vm="19476">
        <f ca="1"/>
        <v>15.89</v>
      </c>
      <c r="W127" vm="19477">
        <f ca="1"/>
        <v>16.09</v>
      </c>
      <c r="X127" vm="19478">
        <f ca="1"/>
        <v>16.12</v>
      </c>
      <c r="Y127" vm="19472">
        <f ca="1"/>
        <v>16.399999999999999</v>
      </c>
      <c r="Z127" vm="19479">
        <f ca="1"/>
        <v>16.510000000000002</v>
      </c>
      <c r="AA127" vm="19480">
        <f ca="1"/>
        <v>16.39</v>
      </c>
      <c r="AB127" vm="45">
        <f ca="1"/>
        <v>16.3</v>
      </c>
      <c r="AC127" vm="19481">
        <f ca="1"/>
        <v>16.43</v>
      </c>
      <c r="AD127" vm="19481">
        <f ca="1"/>
        <v>16.43</v>
      </c>
      <c r="AE127" vm="19479">
        <f ca="1"/>
        <v>16.510000000000002</v>
      </c>
      <c r="AF127" vm="19482">
        <f ca="1"/>
        <v>16.440000000000001</v>
      </c>
      <c r="AG127" vm="17312">
        <f ca="1"/>
        <v>16.71</v>
      </c>
      <c r="AH127" vm="18052">
        <f ca="1"/>
        <v>16.5</v>
      </c>
      <c r="AI127" vm="19483">
        <f ca="1"/>
        <v>16.309999999999999</v>
      </c>
      <c r="AJ127" vm="19469">
        <f ca="1"/>
        <v>16.46</v>
      </c>
      <c r="AK127" vm="18051">
        <f ca="1"/>
        <v>16.2</v>
      </c>
      <c r="AL127" vm="2398">
        <f ca="1"/>
        <v>16.32</v>
      </c>
      <c r="AM127" vm="19484">
        <f ca="1"/>
        <v>16.21</v>
      </c>
      <c r="AN127" vm="19485">
        <f ca="1"/>
        <v>16.34</v>
      </c>
      <c r="AO127" vm="19486">
        <f ca="1"/>
        <v>16.18</v>
      </c>
      <c r="AP127" vm="19471">
        <f ca="1"/>
        <v>16.66</v>
      </c>
      <c r="AQ127" vm="17317">
        <f ca="1"/>
        <v>16.829999999999998</v>
      </c>
      <c r="AR127" vm="17329">
        <f ca="1"/>
        <v>16.98</v>
      </c>
      <c r="AS127" vm="19487">
        <f ca="1"/>
        <v>16.89</v>
      </c>
      <c r="AT127" vm="17322">
        <f ca="1"/>
        <v>16.91</v>
      </c>
      <c r="AU127" vm="17314">
        <f ca="1"/>
        <v>16.989999999999998</v>
      </c>
      <c r="AV127" vm="19488">
        <f ca="1"/>
        <v>17.190000000000001</v>
      </c>
      <c r="AW127" vm="17631">
        <f ca="1"/>
        <v>17.22</v>
      </c>
      <c r="AX127" vm="19489">
        <f ca="1"/>
        <v>17.38</v>
      </c>
      <c r="AY127" vm="18055">
        <f ca="1"/>
        <v>17.649999999999999</v>
      </c>
      <c r="AZ127" vm="18055">
        <f ca="1"/>
        <v>17.649999999999999</v>
      </c>
      <c r="BA127" vm="2263">
        <f ca="1"/>
        <v>17.59</v>
      </c>
      <c r="BB127" vm="17629">
        <f ca="1"/>
        <v>17.309999999999999</v>
      </c>
      <c r="BC127" vm="17616">
        <f ca="1"/>
        <v>17.55</v>
      </c>
      <c r="BD127" vm="17593">
        <f ca="1"/>
        <v>18.18</v>
      </c>
      <c r="BE127" vm="17260">
        <f ca="1"/>
        <v>18.34</v>
      </c>
      <c r="BF127" vm="17601">
        <f ca="1"/>
        <v>18.309999999999999</v>
      </c>
      <c r="BG127" vm="2273">
        <f ca="1"/>
        <v>17.95</v>
      </c>
      <c r="BH127" vm="17595">
        <f ca="1"/>
        <v>18.11</v>
      </c>
      <c r="BI127" vm="17272">
        <f ca="1"/>
        <v>18.21</v>
      </c>
      <c r="BJ127" vm="17305">
        <f ca="1"/>
        <v>18.170000000000002</v>
      </c>
      <c r="BK127" vm="13282">
        <f ca="1"/>
        <v>18.149999999999999</v>
      </c>
      <c r="BL127" vm="17602">
        <f ca="1"/>
        <v>18.39</v>
      </c>
      <c r="BM127" vm="17257">
        <f ca="1"/>
        <v>18.22</v>
      </c>
      <c r="BN127" vm="17541">
        <f ca="1"/>
        <v>18.37</v>
      </c>
      <c r="BO127" vm="17599">
        <f ca="1"/>
        <v>18.02</v>
      </c>
      <c r="BP127" vm="2279">
        <f ca="1"/>
        <v>17.84</v>
      </c>
      <c r="BQ127" vm="17636">
        <f ca="1"/>
        <v>17.739999999999998</v>
      </c>
      <c r="BR127" vm="18061">
        <f ca="1"/>
        <v>17.690000000000001</v>
      </c>
      <c r="BS127" vm="17618">
        <f ca="1"/>
        <v>17.57</v>
      </c>
      <c r="BT127" vm="2269">
        <f ca="1"/>
        <v>17.809999999999999</v>
      </c>
      <c r="BU127" vm="17606">
        <f ca="1"/>
        <v>17.559999999999999</v>
      </c>
      <c r="BV127" vm="17290">
        <f ca="1"/>
        <v>17.510000000000002</v>
      </c>
      <c r="BW127" vm="17636">
        <f ca="1"/>
        <v>17.739999999999998</v>
      </c>
      <c r="BX127" vm="19490">
        <f ca="1"/>
        <v>17.79</v>
      </c>
      <c r="BY127" vm="17271">
        <f ca="1"/>
        <v>17.48</v>
      </c>
      <c r="BZ127" vm="2396">
        <f ca="1"/>
        <v>16.38</v>
      </c>
      <c r="CA127" vm="19491">
        <f ca="1"/>
        <v>15.68</v>
      </c>
      <c r="CB127" vm="2387">
        <f ca="1"/>
        <v>15.2</v>
      </c>
      <c r="CC127" vm="19492">
        <f ca="1"/>
        <v>15.79</v>
      </c>
      <c r="CD127" vm="19493">
        <f ca="1"/>
        <v>15.77</v>
      </c>
      <c r="CE127" vm="19494">
        <f ca="1"/>
        <v>15.97</v>
      </c>
      <c r="CF127" vm="17328">
        <f ca="1"/>
        <v>16.36</v>
      </c>
      <c r="CG127" vm="19495">
        <f ca="1"/>
        <v>16.350000000000001</v>
      </c>
      <c r="CH127" vm="19485">
        <f ca="1"/>
        <v>16.34</v>
      </c>
      <c r="CI127" vm="19481">
        <f ca="1"/>
        <v>16.43</v>
      </c>
      <c r="CJ127" vm="2396">
        <f ca="1"/>
        <v>16.38</v>
      </c>
      <c r="CK127" vm="19496">
        <f ca="1"/>
        <v>16.86</v>
      </c>
      <c r="CL127" vm="2819">
        <f ca="1"/>
        <v>17.079999999999998</v>
      </c>
      <c r="CM127" vm="2833">
        <f ca="1"/>
        <v>17.170000000000002</v>
      </c>
      <c r="CN127" vm="2831">
        <f ca="1"/>
        <v>17.18</v>
      </c>
      <c r="CO127" vm="2821">
        <f ca="1"/>
        <v>17.13</v>
      </c>
      <c r="CP127" vm="17254">
        <f ca="1"/>
        <v>17.16</v>
      </c>
      <c r="CQ127" vm="19497">
        <f ca="1"/>
        <v>17.52</v>
      </c>
      <c r="CR127" vm="17617">
        <f ca="1"/>
        <v>17.47</v>
      </c>
      <c r="CS127" vm="17270">
        <f ca="1"/>
        <v>17.8</v>
      </c>
      <c r="CT127" vm="2269">
        <f ca="1"/>
        <v>17.809999999999999</v>
      </c>
      <c r="CU127" vm="17272">
        <f ca="1"/>
        <v>18.21</v>
      </c>
      <c r="CV127" vm="17592">
        <f ca="1"/>
        <v>18.3</v>
      </c>
      <c r="CW127" vm="17603">
        <f ca="1"/>
        <v>18.23</v>
      </c>
      <c r="CX127" vm="17308">
        <f ca="1"/>
        <v>18.350000000000001</v>
      </c>
      <c r="CY127" vm="17596">
        <f ca="1"/>
        <v>18.71</v>
      </c>
      <c r="CZ127" vm="17568">
        <f ca="1"/>
        <v>18.68</v>
      </c>
      <c r="DA127" vm="17695">
        <f ca="1"/>
        <v>18.899999999999999</v>
      </c>
      <c r="DB127" vm="17662">
        <f ca="1"/>
        <v>18.8</v>
      </c>
      <c r="DC127" vm="19498">
        <f ca="1"/>
        <v>18.84</v>
      </c>
      <c r="DD127" vm="17657">
        <f ca="1"/>
        <v>18.91</v>
      </c>
      <c r="DE127" vm="13283">
        <f ca="1"/>
        <v>19.02</v>
      </c>
      <c r="DF127" vm="19499">
        <f ca="1"/>
        <v>18.82</v>
      </c>
      <c r="DG127" vm="17547">
        <f ca="1"/>
        <v>18.78</v>
      </c>
      <c r="DH127" vm="17544">
        <f ca="1"/>
        <v>18.77</v>
      </c>
      <c r="DI127" vm="16727">
        <f ca="1"/>
        <v>18.940000000000001</v>
      </c>
      <c r="DJ127" vm="19499">
        <f ca="1"/>
        <v>18.82</v>
      </c>
      <c r="DK127" vm="17658">
        <f ca="1"/>
        <v>19.04</v>
      </c>
      <c r="DL127" vm="16727">
        <f ca="1"/>
        <v>18.940000000000001</v>
      </c>
      <c r="DM127" vm="17570">
        <f ca="1"/>
        <v>19.18</v>
      </c>
      <c r="DN127" vm="19500">
        <f ca="1"/>
        <v>19.38</v>
      </c>
      <c r="DO127" vm="16726">
        <f ca="1"/>
        <v>19.43</v>
      </c>
      <c r="DP127" vm="19501">
        <f ca="1"/>
        <v>19.48</v>
      </c>
      <c r="DQ127" vm="17551">
        <f ca="1"/>
        <v>19.55</v>
      </c>
      <c r="DR127" vm="17656">
        <f ca="1"/>
        <v>19.739999999999998</v>
      </c>
      <c r="DS127" vm="2453">
        <f ca="1"/>
        <v>19.88</v>
      </c>
      <c r="DT127" vm="19502">
        <f ca="1"/>
        <v>19.96</v>
      </c>
      <c r="DU127" vm="2452">
        <f ca="1"/>
        <v>19.93</v>
      </c>
      <c r="DV127" vm="18057">
        <f ca="1"/>
        <v>19.75</v>
      </c>
      <c r="DW127" vm="16728">
        <f ca="1"/>
        <v>19.61</v>
      </c>
      <c r="DX127" vm="19503">
        <f ca="1"/>
        <v>19.39</v>
      </c>
      <c r="DY127" vm="17673">
        <f ca="1"/>
        <v>19.22</v>
      </c>
      <c r="DZ127" vm="17669">
        <f ca="1"/>
        <v>19</v>
      </c>
      <c r="EA127" vm="17711">
        <f ca="1"/>
        <v>19.37</v>
      </c>
      <c r="EB127" vm="17729">
        <f ca="1"/>
        <v>19.899999999999999</v>
      </c>
      <c r="EC127" vm="13302">
        <f ca="1"/>
        <v>20.059999999999999</v>
      </c>
      <c r="ED127" vm="17681">
        <f ca="1"/>
        <v>19.920000000000002</v>
      </c>
      <c r="EE127" vm="13277">
        <f ca="1"/>
        <v>19.91</v>
      </c>
      <c r="EF127" vm="17553">
        <f ca="1"/>
        <v>19.86</v>
      </c>
      <c r="EG127" vm="13277">
        <f ca="1"/>
        <v>19.91</v>
      </c>
      <c r="EH127" vm="19504">
        <f ca="1"/>
        <v>20.11</v>
      </c>
      <c r="EI127" vm="17560">
        <f ca="1"/>
        <v>20.170000000000002</v>
      </c>
      <c r="EJ127" vm="19505">
        <f ca="1"/>
        <v>19.82</v>
      </c>
      <c r="EK127" vm="13277">
        <f ca="1"/>
        <v>19.91</v>
      </c>
      <c r="EL127" vm="2452">
        <f ca="1"/>
        <v>19.93</v>
      </c>
      <c r="EM127" vm="2454">
        <f ca="1"/>
        <v>19.940000000000001</v>
      </c>
      <c r="EN127" vm="17733">
        <f ca="1"/>
        <v>20.09</v>
      </c>
      <c r="EO127" vm="19504">
        <f ca="1"/>
        <v>20.11</v>
      </c>
      <c r="EP127" vm="17733">
        <f ca="1"/>
        <v>20.09</v>
      </c>
      <c r="EQ127" vm="17559">
        <f ca="1"/>
        <v>20.149999999999999</v>
      </c>
      <c r="ER127" vm="17818">
        <f ca="1"/>
        <v>20.260000000000002</v>
      </c>
      <c r="ES127" vm="19506">
        <f ca="1"/>
        <v>20.309999999999999</v>
      </c>
      <c r="ET127" vm="16706">
        <f ca="1"/>
        <v>20.47</v>
      </c>
      <c r="EU127" vm="3122">
        <f ca="1"/>
        <v>20.77</v>
      </c>
      <c r="EV127" vm="16736">
        <f ca="1"/>
        <v>20.81</v>
      </c>
      <c r="EW127" vm="16722">
        <f ca="1"/>
        <v>20.88</v>
      </c>
      <c r="EX127" vm="16705">
        <f ca="1"/>
        <v>20.79</v>
      </c>
      <c r="EY127" vm="2759">
        <f ca="1"/>
        <v>21.07</v>
      </c>
      <c r="EZ127" vm="13325">
        <f ca="1"/>
        <v>21.19</v>
      </c>
      <c r="FA127" vm="16703">
        <f ca="1"/>
        <v>20.94</v>
      </c>
      <c r="FB127" vm="157">
        <f ca="1"/>
        <v>20.7</v>
      </c>
      <c r="FC127" vm="17283">
        <f ca="1"/>
        <v>20.329999999999998</v>
      </c>
      <c r="FD127" vm="17282">
        <f ca="1"/>
        <v>20.66</v>
      </c>
      <c r="FE127" vm="16744">
        <f ca="1"/>
        <v>20.83</v>
      </c>
      <c r="FF127" vm="16734">
        <f ca="1"/>
        <v>20.82</v>
      </c>
      <c r="FG127" vm="13294">
        <f ca="1"/>
        <v>21.06</v>
      </c>
      <c r="FH127" vm="16750">
        <f ca="1"/>
        <v>21.05</v>
      </c>
      <c r="FI127" vm="2118">
        <f ca="1"/>
        <v>20.99</v>
      </c>
      <c r="FJ127" vm="13325">
        <f ca="1"/>
        <v>21.19</v>
      </c>
      <c r="FK127" vm="13250">
        <f ca="1"/>
        <v>21.56</v>
      </c>
      <c r="FL127" vm="16740">
        <f ca="1"/>
        <v>21.38</v>
      </c>
      <c r="FM127" vm="13325">
        <f ca="1"/>
        <v>21.19</v>
      </c>
      <c r="FN127" vm="2130">
        <f ca="1"/>
        <v>21.09</v>
      </c>
      <c r="FO127" vm="2130">
        <f ca="1"/>
        <v>21.09</v>
      </c>
      <c r="FP127" vm="13334">
        <f ca="1"/>
        <v>21.15</v>
      </c>
      <c r="FQ127" vm="13273">
        <f ca="1"/>
        <v>21.17</v>
      </c>
      <c r="FR127" vm="16708">
        <f ca="1"/>
        <v>21.48</v>
      </c>
      <c r="FS127" vm="16724">
        <f ca="1"/>
        <v>21.51</v>
      </c>
      <c r="FT127" vm="2284">
        <f ca="1"/>
        <v>21.46</v>
      </c>
      <c r="FU127" vm="2120">
        <f ca="1"/>
        <v>21.21</v>
      </c>
      <c r="FV127" vm="2127">
        <f ca="1"/>
        <v>21.3</v>
      </c>
      <c r="FW127" vm="13317">
        <f ca="1"/>
        <v>21.16</v>
      </c>
      <c r="FX127" vm="16739">
        <f ca="1"/>
        <v>21.29</v>
      </c>
      <c r="FY127" vm="2758">
        <f ca="1"/>
        <v>21.14</v>
      </c>
      <c r="FZ127" vm="3132">
        <f ca="1"/>
        <v>21</v>
      </c>
      <c r="GA127" vm="18287">
        <f ca="1"/>
        <v>21.18</v>
      </c>
      <c r="GB127" vm="2283">
        <f ca="1"/>
        <v>21.4</v>
      </c>
      <c r="GC127" vm="13250">
        <f ca="1"/>
        <v>21.56</v>
      </c>
      <c r="GD127" vm="16743">
        <f ca="1"/>
        <v>21.66</v>
      </c>
      <c r="GE127" vm="18276">
        <f ca="1"/>
        <v>22.04</v>
      </c>
      <c r="GF127" vm="13251">
        <f ca="1"/>
        <v>21.92</v>
      </c>
      <c r="GG127" vm="2286">
        <f ca="1"/>
        <v>21.98</v>
      </c>
      <c r="GH127" vm="2285">
        <f ca="1"/>
        <v>21.74</v>
      </c>
      <c r="GI127" vm="17737">
        <f ca="1"/>
        <v>21.8</v>
      </c>
      <c r="GJ127" vm="16359">
        <f ca="1"/>
        <v>21.59</v>
      </c>
      <c r="GK127" vm="16745">
        <f ca="1"/>
        <v>21.47</v>
      </c>
      <c r="GL127" vm="16740">
        <f ca="1"/>
        <v>21.38</v>
      </c>
      <c r="GM127" vm="18287">
        <f ca="1"/>
        <v>21.18</v>
      </c>
      <c r="GN127" vm="16735">
        <f ca="1"/>
        <v>21.08</v>
      </c>
      <c r="GO127" vm="3132">
        <f ca="1"/>
        <v>21</v>
      </c>
      <c r="GP127" vm="19507">
        <f ca="1"/>
        <v>21.11</v>
      </c>
      <c r="GQ127" vm="2123">
        <f ca="1"/>
        <v>21.5</v>
      </c>
      <c r="GR127" vm="16713">
        <f ca="1"/>
        <v>21.55</v>
      </c>
      <c r="GS127" vm="16721">
        <f ca="1"/>
        <v>21.67</v>
      </c>
      <c r="GT127" vm="16711">
        <f ca="1"/>
        <v>21.6</v>
      </c>
      <c r="GU127" vm="13250">
        <f ca="1"/>
        <v>21.56</v>
      </c>
      <c r="GV127" vm="19508">
        <f ca="1"/>
        <v>21.54</v>
      </c>
      <c r="GW127" vm="3119">
        <f ca="1"/>
        <v>21.41</v>
      </c>
      <c r="GX127" vm="19508">
        <f ca="1"/>
        <v>21.54</v>
      </c>
      <c r="GY127" vm="13250">
        <f ca="1"/>
        <v>21.56</v>
      </c>
      <c r="GZ127" vm="17282">
        <f ca="1"/>
        <v>20.66</v>
      </c>
      <c r="HA127" vm="13313">
        <f ca="1"/>
        <v>21.1</v>
      </c>
      <c r="HB127" vm="13294">
        <f ca="1"/>
        <v>21.06</v>
      </c>
      <c r="HC127" vm="2130">
        <f ca="1"/>
        <v>21.09</v>
      </c>
      <c r="HD127" vm="2118">
        <f ca="1"/>
        <v>20.99</v>
      </c>
      <c r="HE127" vm="13325">
        <f ca="1"/>
        <v>21.19</v>
      </c>
      <c r="HF127" vm="16747">
        <f ca="1"/>
        <v>21.42</v>
      </c>
      <c r="HG127" vm="2282">
        <f ca="1"/>
        <v>21.31</v>
      </c>
      <c r="HH127" vm="16712">
        <f ca="1"/>
        <v>21.03</v>
      </c>
      <c r="HI127" vm="2129">
        <f ca="1"/>
        <v>21.22</v>
      </c>
      <c r="HJ127" vm="3119">
        <f ca="1"/>
        <v>21.41</v>
      </c>
      <c r="HK127" vm="16715">
        <f ca="1"/>
        <v>21.62</v>
      </c>
      <c r="HL127" vm="18319">
        <f ca="1"/>
        <v>21.88</v>
      </c>
      <c r="HM127" vm="16358">
        <f ca="1"/>
        <v>21.94</v>
      </c>
      <c r="HN127" vm="2760">
        <f ca="1"/>
        <v>21.44</v>
      </c>
      <c r="HO127" vm="19508">
        <f ca="1"/>
        <v>21.54</v>
      </c>
      <c r="HP127" vm="18356">
        <f ca="1"/>
        <v>22</v>
      </c>
      <c r="HQ127" vm="16749">
        <f ca="1"/>
        <v>21.86</v>
      </c>
      <c r="HR127" vm="17278">
        <f ca="1"/>
        <v>22.09</v>
      </c>
      <c r="HS127" vm="13332">
        <f ca="1"/>
        <v>22.2</v>
      </c>
      <c r="HT127" vm="3130">
        <f ca="1"/>
        <v>22.28</v>
      </c>
      <c r="HU127" vm="2470">
        <f ca="1"/>
        <v>22.58</v>
      </c>
      <c r="HV127" vm="2435">
        <f ca="1"/>
        <v>22.82</v>
      </c>
      <c r="HW127" vm="18334">
        <f ca="1"/>
        <v>23.14</v>
      </c>
      <c r="HX127" vm="18362">
        <f ca="1"/>
        <v>22.89</v>
      </c>
      <c r="HY127" vm="17279">
        <f ca="1"/>
        <v>22.77</v>
      </c>
      <c r="HZ127" vm="13265">
        <f ca="1"/>
        <v>22.36</v>
      </c>
      <c r="IA127" vm="2439">
        <f ca="1"/>
        <v>22.08</v>
      </c>
      <c r="IB127" vm="2287">
        <f ca="1"/>
        <v>21.89</v>
      </c>
      <c r="IC127" vm="2747">
        <f ca="1"/>
        <v>21.64</v>
      </c>
      <c r="ID127" vm="2748">
        <f ca="1"/>
        <v>21.7</v>
      </c>
      <c r="IE127" vm="2297">
        <f ca="1"/>
        <v>22.13</v>
      </c>
      <c r="IF127" vm="2749">
        <f ca="1"/>
        <v>22.15</v>
      </c>
      <c r="IG127" vm="2750">
        <f ca="1"/>
        <v>22.16</v>
      </c>
      <c r="IH127" vm="2288">
        <f ca="1"/>
        <v>22.24</v>
      </c>
      <c r="II127" vm="2751">
        <f ca="1"/>
        <v>22.26</v>
      </c>
      <c r="IJ127" vm="2295">
        <f ca="1"/>
        <v>22.18</v>
      </c>
      <c r="IK127" vm="2293">
        <f ca="1"/>
        <v>22.23</v>
      </c>
      <c r="IL127" vm="2439">
        <f ca="1"/>
        <v>22.08</v>
      </c>
      <c r="IM127" vm="2752">
        <f ca="1"/>
        <v>22.05</v>
      </c>
      <c r="IN127" vm="2753">
        <f ca="1"/>
        <v>21.82</v>
      </c>
      <c r="IO127" vm="2754">
        <f ca="1"/>
        <v>21.69</v>
      </c>
      <c r="IP127" vm="2753">
        <f ca="1"/>
        <v>21.82</v>
      </c>
      <c r="IQ127" vm="2755">
        <f ca="1"/>
        <v>21.91</v>
      </c>
      <c r="IR127" vm="2756">
        <f ca="1"/>
        <v>21.87</v>
      </c>
      <c r="IS127" vm="2757">
        <f ca="1"/>
        <v>22.02</v>
      </c>
      <c r="IT127" vm="2758">
        <f ca="1"/>
        <v>21.14</v>
      </c>
      <c r="IU127" vm="2759">
        <f ca="1"/>
        <v>21.07</v>
      </c>
      <c r="IV127" vm="2760">
        <f ca="1"/>
        <v>21.44</v>
      </c>
      <c r="IW127" vm="85">
        <f ca="1"/>
        <v>21.61</v>
      </c>
    </row>
    <row r="128" spans="1:262" ht="16" x14ac:dyDescent="0.2">
      <c r="A128" t="e" vm="2761">
        <v>#VALUE!</v>
      </c>
      <c r="B128" s="23" t="str" cm="1">
        <f t="array" aca="1" ref="B128" ca="1">_FV(A128,"ticker symbol",TRUE)</f>
        <v>EWI</v>
      </c>
      <c r="C128" s="23" t="str" cm="1">
        <f t="array" aca="1" ref="C128" ca="1">_FV(A128,"Name")</f>
        <v>iShares:MSCI Italy</v>
      </c>
      <c r="D128" cm="1" vm="3322">
        <f t="array" aca="1" ref="D128:IW128" ca="1">TRANSPOSE(_xlfn.STOCKHISTORY(B128, WORKDAY(TODAY(), -265), TODAY(), 0, 0, 1))</f>
        <v>37.47</v>
      </c>
      <c r="E128" vm="1577">
        <f ca="1"/>
        <v>36.5</v>
      </c>
      <c r="F128" vm="15780">
        <f ca="1"/>
        <v>35.630000000000003</v>
      </c>
      <c r="G128" vm="17225">
        <f ca="1"/>
        <v>35.520000000000003</v>
      </c>
      <c r="H128" vm="19331">
        <f ca="1"/>
        <v>35.6</v>
      </c>
      <c r="I128" vm="19316">
        <f ca="1"/>
        <v>35.76</v>
      </c>
      <c r="J128" vm="4663">
        <f ca="1"/>
        <v>36.08</v>
      </c>
      <c r="K128" vm="9183">
        <f ca="1"/>
        <v>36.200000000000003</v>
      </c>
      <c r="L128" vm="1025">
        <f ca="1"/>
        <v>36.03</v>
      </c>
      <c r="M128" vm="9121">
        <f ca="1"/>
        <v>35.979999999999997</v>
      </c>
      <c r="N128" vm="10653">
        <f ca="1"/>
        <v>35.97</v>
      </c>
      <c r="O128" vm="10654">
        <f ca="1"/>
        <v>35.549999999999997</v>
      </c>
      <c r="P128" vm="19509">
        <f ca="1"/>
        <v>35.67</v>
      </c>
      <c r="Q128" vm="19510">
        <f ca="1"/>
        <v>36.33</v>
      </c>
      <c r="R128" vm="19333">
        <f ca="1"/>
        <v>36.479999999999997</v>
      </c>
      <c r="S128" vm="19315">
        <f ca="1"/>
        <v>36.68</v>
      </c>
      <c r="T128" vm="1577">
        <f ca="1"/>
        <v>36.5</v>
      </c>
      <c r="U128" vm="9183">
        <f ca="1"/>
        <v>36.200000000000003</v>
      </c>
      <c r="V128" vm="19315">
        <f ca="1"/>
        <v>36.68</v>
      </c>
      <c r="W128" vm="19414">
        <f ca="1"/>
        <v>37.25</v>
      </c>
      <c r="X128" vm="3312">
        <f ca="1"/>
        <v>37.44</v>
      </c>
      <c r="Y128" vm="17833">
        <f ca="1"/>
        <v>37.770000000000003</v>
      </c>
      <c r="Z128" vm="9158">
        <f ca="1"/>
        <v>38.29</v>
      </c>
      <c r="AA128" vm="4671">
        <f ca="1"/>
        <v>37.869999999999997</v>
      </c>
      <c r="AB128" vm="19511">
        <f ca="1"/>
        <v>38.4</v>
      </c>
      <c r="AC128" vm="19512">
        <f ca="1"/>
        <v>38.700000000000003</v>
      </c>
      <c r="AD128" vm="13790">
        <f ca="1"/>
        <v>38.86</v>
      </c>
      <c r="AE128" vm="71">
        <f ca="1"/>
        <v>38.6</v>
      </c>
      <c r="AF128" vm="71">
        <f ca="1"/>
        <v>38.6</v>
      </c>
      <c r="AG128" vm="19513">
        <f ca="1"/>
        <v>38.83</v>
      </c>
      <c r="AH128" vm="10685">
        <f ca="1"/>
        <v>38.549999999999997</v>
      </c>
      <c r="AI128" vm="13794">
        <f ca="1"/>
        <v>38.03</v>
      </c>
      <c r="AJ128" vm="19514">
        <f ca="1"/>
        <v>38.869999999999997</v>
      </c>
      <c r="AK128" vm="9126">
        <f ca="1"/>
        <v>39</v>
      </c>
      <c r="AL128" vm="19426">
        <f ca="1"/>
        <v>39.28</v>
      </c>
      <c r="AM128" vm="9155">
        <f ca="1"/>
        <v>38.93</v>
      </c>
      <c r="AN128" vm="13796">
        <f ca="1"/>
        <v>39.200000000000003</v>
      </c>
      <c r="AO128" vm="19343">
        <f ca="1"/>
        <v>39.770000000000003</v>
      </c>
      <c r="AP128" vm="9130">
        <f ca="1"/>
        <v>39.950000000000003</v>
      </c>
      <c r="AQ128" vm="9193">
        <f ca="1"/>
        <v>40.22</v>
      </c>
      <c r="AR128" vm="6913">
        <f ca="1"/>
        <v>40.590000000000003</v>
      </c>
      <c r="AS128" vm="555">
        <f ca="1"/>
        <v>41.09</v>
      </c>
      <c r="AT128" vm="9125">
        <f ca="1"/>
        <v>40.57</v>
      </c>
      <c r="AU128" vm="6964">
        <f ca="1"/>
        <v>40.83</v>
      </c>
      <c r="AV128" vm="10028">
        <f ca="1"/>
        <v>40.6</v>
      </c>
      <c r="AW128" vm="6859">
        <f ca="1"/>
        <v>40.79</v>
      </c>
      <c r="AX128" vm="301">
        <f ca="1"/>
        <v>41.47</v>
      </c>
      <c r="AY128" vm="6966">
        <f ca="1"/>
        <v>41.27</v>
      </c>
      <c r="AZ128" vm="9146">
        <f ca="1"/>
        <v>40.61</v>
      </c>
      <c r="BA128" vm="561">
        <f ca="1"/>
        <v>40.799999999999997</v>
      </c>
      <c r="BB128" vm="6925">
        <f ca="1"/>
        <v>41.31</v>
      </c>
      <c r="BC128" vm="12804">
        <f ca="1"/>
        <v>41.28</v>
      </c>
      <c r="BD128" vm="1374">
        <f ca="1"/>
        <v>42.69</v>
      </c>
      <c r="BE128" vm="13806">
        <f ca="1"/>
        <v>42.27</v>
      </c>
      <c r="BF128" vm="6893">
        <f ca="1"/>
        <v>42.85</v>
      </c>
      <c r="BG128" vm="1361">
        <f ca="1"/>
        <v>42.15</v>
      </c>
      <c r="BH128" vm="13806">
        <f ca="1"/>
        <v>42.27</v>
      </c>
      <c r="BI128" vm="1362">
        <f ca="1"/>
        <v>42.5</v>
      </c>
      <c r="BJ128" vm="81">
        <f ca="1"/>
        <v>41.94</v>
      </c>
      <c r="BK128" vm="16022">
        <f ca="1"/>
        <v>43.03</v>
      </c>
      <c r="BL128" vm="9985">
        <f ca="1"/>
        <v>43.53</v>
      </c>
      <c r="BM128" vm="6278">
        <f ca="1"/>
        <v>43.92</v>
      </c>
      <c r="BN128" vm="11652">
        <f ca="1"/>
        <v>43.99</v>
      </c>
      <c r="BO128" vm="9978">
        <f ca="1"/>
        <v>43.26</v>
      </c>
      <c r="BP128" vm="1369">
        <f ca="1"/>
        <v>42.95</v>
      </c>
      <c r="BQ128" vm="12053">
        <f ca="1"/>
        <v>42.98</v>
      </c>
      <c r="BR128" vm="2685">
        <f ca="1"/>
        <v>43.42</v>
      </c>
      <c r="BS128" vm="6855">
        <f ca="1"/>
        <v>42.61</v>
      </c>
      <c r="BT128" vm="14163">
        <f ca="1"/>
        <v>43.07</v>
      </c>
      <c r="BU128" vm="19515">
        <f ca="1"/>
        <v>42.8</v>
      </c>
      <c r="BV128" vm="9197">
        <f ca="1"/>
        <v>42.32</v>
      </c>
      <c r="BW128" vm="19516">
        <f ca="1"/>
        <v>42.46</v>
      </c>
      <c r="BX128" vm="6892">
        <f ca="1"/>
        <v>42.66</v>
      </c>
      <c r="BY128" vm="6929">
        <f ca="1"/>
        <v>41.77</v>
      </c>
      <c r="BZ128" vm="16014">
        <f ca="1"/>
        <v>38.49</v>
      </c>
      <c r="CA128" vm="1576">
        <f ca="1"/>
        <v>37.06</v>
      </c>
      <c r="CB128" vm="10668">
        <f ca="1"/>
        <v>36.6</v>
      </c>
      <c r="CC128" vm="9193">
        <f ca="1"/>
        <v>40.22</v>
      </c>
      <c r="CD128" vm="9143">
        <f ca="1"/>
        <v>39.659999999999997</v>
      </c>
      <c r="CE128" vm="6914">
        <f ca="1"/>
        <v>40.53</v>
      </c>
      <c r="CF128" vm="19517">
        <f ca="1"/>
        <v>40.92</v>
      </c>
      <c r="CG128" vm="15714">
        <f ca="1"/>
        <v>41.54</v>
      </c>
      <c r="CH128" vm="6930">
        <f ca="1"/>
        <v>41.76</v>
      </c>
      <c r="CI128" vm="6950">
        <f ca="1"/>
        <v>42.13</v>
      </c>
      <c r="CJ128" vm="81">
        <f ca="1"/>
        <v>41.94</v>
      </c>
      <c r="CK128" vm="19063">
        <f ca="1"/>
        <v>42.81</v>
      </c>
      <c r="CL128" vm="1374">
        <f ca="1"/>
        <v>42.69</v>
      </c>
      <c r="CM128" vm="541">
        <f ca="1"/>
        <v>43.48</v>
      </c>
      <c r="CN128" vm="13766">
        <f ca="1"/>
        <v>44.04</v>
      </c>
      <c r="CO128" vm="16621">
        <f ca="1"/>
        <v>44.23</v>
      </c>
      <c r="CP128" vm="15719">
        <f ca="1"/>
        <v>44.67</v>
      </c>
      <c r="CQ128" vm="19082">
        <f ca="1"/>
        <v>44.21</v>
      </c>
      <c r="CR128" vm="19079">
        <f ca="1"/>
        <v>44.26</v>
      </c>
      <c r="CS128" vm="15721">
        <f ca="1"/>
        <v>44.99</v>
      </c>
      <c r="CT128" vm="454">
        <f ca="1"/>
        <v>45.07</v>
      </c>
      <c r="CU128" vm="2587">
        <f ca="1"/>
        <v>45.22</v>
      </c>
      <c r="CV128" vm="15721">
        <f ca="1"/>
        <v>44.99</v>
      </c>
      <c r="CW128" vm="19518">
        <f ca="1"/>
        <v>45.36</v>
      </c>
      <c r="CX128" vm="10015">
        <f ca="1"/>
        <v>45.81</v>
      </c>
      <c r="CY128" vm="11630">
        <f ca="1"/>
        <v>45.66</v>
      </c>
      <c r="CZ128" vm="13821">
        <f ca="1"/>
        <v>46</v>
      </c>
      <c r="DA128" vm="2110">
        <f ca="1"/>
        <v>46.26</v>
      </c>
      <c r="DB128" vm="6283">
        <f ca="1"/>
        <v>46.53</v>
      </c>
      <c r="DC128" vm="10003">
        <f ca="1"/>
        <v>46.85</v>
      </c>
      <c r="DD128" vm="11576">
        <f ca="1"/>
        <v>47.3</v>
      </c>
      <c r="DE128" vm="12034">
        <f ca="1"/>
        <v>47.84</v>
      </c>
      <c r="DF128" vm="19519">
        <f ca="1"/>
        <v>47.65</v>
      </c>
      <c r="DG128" vm="19520">
        <f ca="1"/>
        <v>47.54</v>
      </c>
      <c r="DH128" vm="1981">
        <f ca="1"/>
        <v>46.96</v>
      </c>
      <c r="DI128" vm="6237">
        <f ca="1"/>
        <v>47.66</v>
      </c>
      <c r="DJ128" vm="12094">
        <f ca="1"/>
        <v>47.55</v>
      </c>
      <c r="DK128" vm="11547">
        <f ca="1"/>
        <v>47.58</v>
      </c>
      <c r="DL128" vm="12037">
        <f ca="1"/>
        <v>47.77</v>
      </c>
      <c r="DM128" vm="17241">
        <f ca="1"/>
        <v>48.32</v>
      </c>
      <c r="DN128" vm="11567">
        <f ca="1"/>
        <v>47.87</v>
      </c>
      <c r="DO128" vm="9994">
        <f ca="1"/>
        <v>47.74</v>
      </c>
      <c r="DP128" vm="19521">
        <f ca="1"/>
        <v>47.98</v>
      </c>
      <c r="DQ128" vm="11041">
        <f ca="1"/>
        <v>48.3</v>
      </c>
      <c r="DR128" vm="11040">
        <f ca="1"/>
        <v>48.18</v>
      </c>
      <c r="DS128" vm="19522">
        <f ca="1"/>
        <v>47.93</v>
      </c>
      <c r="DT128" vm="19522">
        <f ca="1"/>
        <v>47.93</v>
      </c>
      <c r="DU128" vm="6238">
        <f ca="1"/>
        <v>48.25</v>
      </c>
      <c r="DV128" vm="11482">
        <f ca="1"/>
        <v>47.43</v>
      </c>
      <c r="DW128" vm="1253">
        <f ca="1"/>
        <v>47.21</v>
      </c>
      <c r="DX128" vm="2110">
        <f ca="1"/>
        <v>46.26</v>
      </c>
      <c r="DY128" vm="12038">
        <f ca="1"/>
        <v>46.46</v>
      </c>
      <c r="DZ128" vm="19353">
        <f ca="1"/>
        <v>46.36</v>
      </c>
      <c r="EA128" vm="2183">
        <f ca="1"/>
        <v>46.45</v>
      </c>
      <c r="EB128" vm="9237">
        <f ca="1"/>
        <v>47.2</v>
      </c>
      <c r="EC128" vm="1270">
        <f ca="1"/>
        <v>47.17</v>
      </c>
      <c r="ED128" vm="10001">
        <f ca="1"/>
        <v>47.5</v>
      </c>
      <c r="EE128" vm="15799">
        <f ca="1"/>
        <v>47.86</v>
      </c>
      <c r="EF128" vm="15801">
        <f ca="1"/>
        <v>48.14</v>
      </c>
      <c r="EG128" vm="12043">
        <f ca="1"/>
        <v>48.05</v>
      </c>
      <c r="EH128" vm="11459">
        <f ca="1"/>
        <v>48.29</v>
      </c>
      <c r="EI128" vm="6232">
        <f ca="1"/>
        <v>48.21</v>
      </c>
      <c r="EJ128" vm="11567">
        <f ca="1"/>
        <v>47.87</v>
      </c>
      <c r="EK128" vm="13824">
        <f ca="1"/>
        <v>48.34</v>
      </c>
      <c r="EL128" vm="17236">
        <f ca="1"/>
        <v>49.17</v>
      </c>
      <c r="EM128" vm="1264">
        <f ca="1"/>
        <v>48.53</v>
      </c>
      <c r="EN128" vm="10002">
        <f ca="1"/>
        <v>47.99</v>
      </c>
      <c r="EO128" vm="1258">
        <f ca="1"/>
        <v>48.16</v>
      </c>
      <c r="EP128" vm="6236">
        <f ca="1"/>
        <v>47.32</v>
      </c>
      <c r="EQ128" vm="1252">
        <f ca="1"/>
        <v>47.76</v>
      </c>
      <c r="ER128" vm="19523">
        <f ca="1"/>
        <v>47.75</v>
      </c>
      <c r="ES128" vm="11587">
        <f ca="1"/>
        <v>47.79</v>
      </c>
      <c r="ET128" vm="12088">
        <f ca="1"/>
        <v>48.03</v>
      </c>
      <c r="EU128" vm="11352">
        <f ca="1"/>
        <v>48.55</v>
      </c>
      <c r="EV128" vm="1988">
        <f ca="1"/>
        <v>49.84</v>
      </c>
      <c r="EW128" vm="6267">
        <f ca="1"/>
        <v>49.12</v>
      </c>
      <c r="EX128" vm="1142">
        <f ca="1"/>
        <v>49.56</v>
      </c>
      <c r="EY128" vm="1992">
        <f ca="1"/>
        <v>48.78</v>
      </c>
      <c r="EZ128" vm="11295">
        <f ca="1"/>
        <v>49.06</v>
      </c>
      <c r="FA128" vm="11354">
        <f ca="1"/>
        <v>49.13</v>
      </c>
      <c r="FB128" vm="6238">
        <f ca="1"/>
        <v>48.25</v>
      </c>
      <c r="FC128" vm="19524">
        <f ca="1"/>
        <v>47.83</v>
      </c>
      <c r="FD128" vm="12048">
        <f ca="1"/>
        <v>48.57</v>
      </c>
      <c r="FE128" vm="11350">
        <f ca="1"/>
        <v>48.74</v>
      </c>
      <c r="FF128" vm="10054">
        <f ca="1"/>
        <v>49.52</v>
      </c>
      <c r="FG128" vm="11845">
        <f ca="1"/>
        <v>49.95</v>
      </c>
      <c r="FH128" vm="6277">
        <f ca="1"/>
        <v>50.16</v>
      </c>
      <c r="FI128" vm="11318">
        <f ca="1"/>
        <v>49.99</v>
      </c>
      <c r="FJ128" vm="11337">
        <f ca="1"/>
        <v>50.64</v>
      </c>
      <c r="FK128" vm="9259">
        <f ca="1"/>
        <v>51.1</v>
      </c>
      <c r="FL128" vm="467">
        <f ca="1"/>
        <v>51.56</v>
      </c>
      <c r="FM128" vm="6309">
        <f ca="1"/>
        <v>51.79</v>
      </c>
      <c r="FN128" vm="6254">
        <f ca="1"/>
        <v>51.54</v>
      </c>
      <c r="FO128" vm="6297">
        <f ca="1"/>
        <v>51.62</v>
      </c>
      <c r="FP128" vm="11841">
        <f ca="1"/>
        <v>51.69</v>
      </c>
      <c r="FQ128" vm="11322">
        <f ca="1"/>
        <v>51.53</v>
      </c>
      <c r="FR128" vm="19525">
        <f ca="1"/>
        <v>52.34</v>
      </c>
      <c r="FS128" vm="2193">
        <f ca="1"/>
        <v>51.76</v>
      </c>
      <c r="FT128" vm="11855">
        <f ca="1"/>
        <v>51.42</v>
      </c>
      <c r="FU128" vm="13828">
        <f ca="1"/>
        <v>50.91</v>
      </c>
      <c r="FV128" vm="2765">
        <f ca="1"/>
        <v>51.19</v>
      </c>
      <c r="FW128" vm="2904">
        <f ca="1"/>
        <v>51.05</v>
      </c>
      <c r="FX128" vm="9255">
        <f ca="1"/>
        <v>50.4</v>
      </c>
      <c r="FY128" vm="1145">
        <f ca="1"/>
        <v>50.38</v>
      </c>
      <c r="FZ128" vm="6242">
        <f ca="1"/>
        <v>50.65</v>
      </c>
      <c r="GA128" vm="11321">
        <f ca="1"/>
        <v>50.46</v>
      </c>
      <c r="GB128" vm="11337">
        <f ca="1"/>
        <v>50.64</v>
      </c>
      <c r="GC128" vm="11301">
        <f ca="1"/>
        <v>50.86</v>
      </c>
      <c r="GD128" vm="6299">
        <f ca="1"/>
        <v>50.93</v>
      </c>
      <c r="GE128" vm="10056">
        <f ca="1"/>
        <v>51.6</v>
      </c>
      <c r="GF128" vm="11842">
        <f ca="1"/>
        <v>51.72</v>
      </c>
      <c r="GG128" vm="6320">
        <f ca="1"/>
        <v>52.39</v>
      </c>
      <c r="GH128" vm="6354">
        <f ca="1"/>
        <v>52.15</v>
      </c>
      <c r="GI128" vm="11335">
        <f ca="1"/>
        <v>51.33</v>
      </c>
      <c r="GJ128" vm="11325">
        <f ca="1"/>
        <v>51.44</v>
      </c>
      <c r="GK128" vm="6325">
        <f ca="1"/>
        <v>51.37</v>
      </c>
      <c r="GL128" vm="6263">
        <f ca="1"/>
        <v>51.74</v>
      </c>
      <c r="GM128" vm="11285">
        <f ca="1"/>
        <v>51.51</v>
      </c>
      <c r="GN128" vm="9253">
        <f ca="1"/>
        <v>51.29</v>
      </c>
      <c r="GO128" vm="6296">
        <f ca="1"/>
        <v>50.94</v>
      </c>
      <c r="GP128" vm="6254">
        <f ca="1"/>
        <v>51.54</v>
      </c>
      <c r="GQ128" vm="11328">
        <f ca="1"/>
        <v>51.5</v>
      </c>
      <c r="GR128" vm="6324">
        <f ca="1"/>
        <v>51.95</v>
      </c>
      <c r="GS128" vm="2920">
        <f ca="1"/>
        <v>52.41</v>
      </c>
      <c r="GT128" vm="14174">
        <f ca="1"/>
        <v>52.33</v>
      </c>
      <c r="GU128" vm="19526">
        <f ca="1"/>
        <v>52.61</v>
      </c>
      <c r="GV128" vm="18825">
        <f ca="1"/>
        <v>52.26</v>
      </c>
      <c r="GW128" vm="6310">
        <f ca="1"/>
        <v>51.94</v>
      </c>
      <c r="GX128" vm="2922">
        <f ca="1"/>
        <v>52.29</v>
      </c>
      <c r="GY128" vm="6262">
        <f ca="1"/>
        <v>51.13</v>
      </c>
      <c r="GZ128" vm="11852">
        <f ca="1"/>
        <v>50.31</v>
      </c>
      <c r="HA128" vm="1146">
        <f ca="1"/>
        <v>50.5</v>
      </c>
      <c r="HB128" vm="1623">
        <f ca="1"/>
        <v>50.79</v>
      </c>
      <c r="HC128" vm="11846">
        <f ca="1"/>
        <v>50.47</v>
      </c>
      <c r="HD128" vm="11338">
        <f ca="1"/>
        <v>50.88</v>
      </c>
      <c r="HE128" vm="11332">
        <f ca="1"/>
        <v>50.77</v>
      </c>
      <c r="HF128" vm="11336">
        <f ca="1"/>
        <v>51.24</v>
      </c>
      <c r="HG128" vm="9259">
        <f ca="1"/>
        <v>51.1</v>
      </c>
      <c r="HH128" vm="11339">
        <f ca="1"/>
        <v>50.66</v>
      </c>
      <c r="HI128" vm="11343">
        <f ca="1"/>
        <v>51.17</v>
      </c>
      <c r="HJ128" vm="9250">
        <f ca="1"/>
        <v>51.27</v>
      </c>
      <c r="HK128" vm="11330">
        <f ca="1"/>
        <v>51.93</v>
      </c>
      <c r="HL128" vm="2907">
        <f ca="1"/>
        <v>52.18</v>
      </c>
      <c r="HM128" vm="6252">
        <f ca="1"/>
        <v>52.11</v>
      </c>
      <c r="HN128" vm="6253">
        <f ca="1"/>
        <v>51.82</v>
      </c>
      <c r="HO128" vm="11334">
        <f ca="1"/>
        <v>51.81</v>
      </c>
      <c r="HP128" vm="6309">
        <f ca="1"/>
        <v>51.79</v>
      </c>
      <c r="HQ128" vm="9690">
        <f ca="1"/>
        <v>51.38</v>
      </c>
      <c r="HR128" vm="11307">
        <f ca="1"/>
        <v>52</v>
      </c>
      <c r="HS128" vm="11854">
        <f ca="1"/>
        <v>51.75</v>
      </c>
      <c r="HT128" vm="1524">
        <f ca="1"/>
        <v>52.19</v>
      </c>
      <c r="HU128" vm="2770">
        <f ca="1"/>
        <v>53.15</v>
      </c>
      <c r="HV128" vm="19527">
        <f ca="1"/>
        <v>53.75</v>
      </c>
      <c r="HW128" vm="11864">
        <f ca="1"/>
        <v>54.12</v>
      </c>
      <c r="HX128" vm="11053">
        <f ca="1"/>
        <v>53.98</v>
      </c>
      <c r="HY128" vm="2652">
        <f ca="1"/>
        <v>53.2</v>
      </c>
      <c r="HZ128" vm="11004">
        <f ca="1"/>
        <v>52.56</v>
      </c>
      <c r="IA128" vm="11334">
        <f ca="1"/>
        <v>51.81</v>
      </c>
      <c r="IB128" vm="2762">
        <f ca="1"/>
        <v>51.34</v>
      </c>
      <c r="IC128" vm="2763">
        <f ca="1"/>
        <v>50.81</v>
      </c>
      <c r="ID128" vm="2764">
        <f ca="1"/>
        <v>51.47</v>
      </c>
      <c r="IE128" vm="2765">
        <f ca="1"/>
        <v>51.19</v>
      </c>
      <c r="IF128" vm="2766">
        <f ca="1"/>
        <v>52.16</v>
      </c>
      <c r="IG128" vm="471">
        <f ca="1"/>
        <v>52.54</v>
      </c>
      <c r="IH128" vm="2767">
        <f ca="1"/>
        <v>52.93</v>
      </c>
      <c r="II128" vm="2768">
        <f ca="1"/>
        <v>52.66</v>
      </c>
      <c r="IJ128" vm="2769">
        <f ca="1"/>
        <v>53</v>
      </c>
      <c r="IK128" vm="1525">
        <f ca="1"/>
        <v>53.29</v>
      </c>
      <c r="IL128" vm="2770">
        <f ca="1"/>
        <v>53.15</v>
      </c>
      <c r="IM128" vm="2650">
        <f ca="1"/>
        <v>52.98</v>
      </c>
      <c r="IN128" vm="2650">
        <f ca="1"/>
        <v>52.98</v>
      </c>
      <c r="IO128" vm="2771">
        <f ca="1"/>
        <v>53.02</v>
      </c>
      <c r="IP128" vm="476">
        <f ca="1"/>
        <v>53.55</v>
      </c>
      <c r="IQ128" vm="2772">
        <f ca="1"/>
        <v>53.95</v>
      </c>
      <c r="IR128" vm="477">
        <f ca="1"/>
        <v>53.66</v>
      </c>
      <c r="IS128" vm="2773">
        <f ca="1"/>
        <v>54.35</v>
      </c>
      <c r="IT128" vm="2774">
        <f ca="1"/>
        <v>53.58</v>
      </c>
      <c r="IU128" vm="2775">
        <f ca="1"/>
        <v>53.51</v>
      </c>
      <c r="IV128" vm="2776">
        <f ca="1"/>
        <v>53.81</v>
      </c>
      <c r="IW128" vm="87">
        <f ca="1"/>
        <v>54.21</v>
      </c>
    </row>
    <row r="129" spans="1:257" ht="16" x14ac:dyDescent="0.2">
      <c r="A129" t="e" vm="2777">
        <v>#VALUE!</v>
      </c>
      <c r="B129" s="23" t="str" cm="1">
        <f t="array" aca="1" ref="B129" ca="1">_FV(A129,"ticker symbol",TRUE)</f>
        <v>EWW</v>
      </c>
      <c r="C129" s="23" t="str" cm="1">
        <f t="array" aca="1" ref="C129" ca="1">_FV(A129,"Name")</f>
        <v>iShares:MSCI Mexico</v>
      </c>
      <c r="D129" cm="1" vm="11855">
        <f t="array" aca="1" ref="D129:IW129" ca="1">TRANSPOSE(_xlfn.STOCKHISTORY(B129, WORKDAY(TODAY(), -265), TODAY(), 0, 0, 1))</f>
        <v>51.42</v>
      </c>
      <c r="E129" vm="19528">
        <f ca="1"/>
        <v>49.62</v>
      </c>
      <c r="F129" vm="19529">
        <f ca="1"/>
        <v>48.45</v>
      </c>
      <c r="G129" vm="1268">
        <f ca="1"/>
        <v>47.96</v>
      </c>
      <c r="H129" vm="19530">
        <f ca="1"/>
        <v>48.87</v>
      </c>
      <c r="I129" vm="10049">
        <f ca="1"/>
        <v>48.26</v>
      </c>
      <c r="J129" vm="12033">
        <f ca="1"/>
        <v>48.41</v>
      </c>
      <c r="K129" vm="6227">
        <f ca="1"/>
        <v>48.42</v>
      </c>
      <c r="L129" vm="10002">
        <f ca="1"/>
        <v>47.99</v>
      </c>
      <c r="M129" vm="11474">
        <f ca="1"/>
        <v>46.69</v>
      </c>
      <c r="N129" vm="11619">
        <f ca="1"/>
        <v>46.82</v>
      </c>
      <c r="O129" vm="6287">
        <f ca="1"/>
        <v>47.72</v>
      </c>
      <c r="P129" vm="11475">
        <f ca="1"/>
        <v>46.84</v>
      </c>
      <c r="Q129" vm="11043">
        <f ca="1"/>
        <v>48.01</v>
      </c>
      <c r="R129" vm="1259">
        <f ca="1"/>
        <v>48.56</v>
      </c>
      <c r="S129" vm="19522">
        <f ca="1"/>
        <v>47.93</v>
      </c>
      <c r="T129" vm="1256">
        <f ca="1"/>
        <v>47.14</v>
      </c>
      <c r="U129" vm="11849">
        <f ca="1"/>
        <v>47.46</v>
      </c>
      <c r="V129" vm="11316">
        <f ca="1"/>
        <v>47.94</v>
      </c>
      <c r="W129" vm="13823">
        <f ca="1"/>
        <v>48.54</v>
      </c>
      <c r="X129" vm="1255">
        <f ca="1"/>
        <v>47.4</v>
      </c>
      <c r="Y129" vm="12036">
        <f ca="1"/>
        <v>47.47</v>
      </c>
      <c r="Z129" vm="11024">
        <f ca="1"/>
        <v>48.37</v>
      </c>
      <c r="AA129" vm="833">
        <f ca="1"/>
        <v>49.25</v>
      </c>
      <c r="AB129" vm="11026">
        <f ca="1"/>
        <v>49.6</v>
      </c>
      <c r="AC129" vm="11045">
        <f ca="1"/>
        <v>50.06</v>
      </c>
      <c r="AD129" vm="19531">
        <f ca="1"/>
        <v>49.29</v>
      </c>
      <c r="AE129" vm="19532">
        <f ca="1"/>
        <v>49.65</v>
      </c>
      <c r="AF129" vm="6291">
        <f ca="1"/>
        <v>49.76</v>
      </c>
      <c r="AG129" vm="11838">
        <f ca="1"/>
        <v>50.02</v>
      </c>
      <c r="AH129" vm="11829">
        <f ca="1"/>
        <v>48.98</v>
      </c>
      <c r="AI129" vm="9262">
        <f ca="1"/>
        <v>50.2</v>
      </c>
      <c r="AJ129" vm="835">
        <f ca="1"/>
        <v>50.14</v>
      </c>
      <c r="AK129" vm="1621">
        <f ca="1"/>
        <v>49.57</v>
      </c>
      <c r="AL129" vm="19453">
        <f ca="1"/>
        <v>50.71</v>
      </c>
      <c r="AM129" vm="9260">
        <f ca="1"/>
        <v>50.68</v>
      </c>
      <c r="AN129" vm="13829">
        <f ca="1"/>
        <v>50.76</v>
      </c>
      <c r="AO129" vm="6248">
        <f ca="1"/>
        <v>51.28</v>
      </c>
      <c r="AP129" vm="6323">
        <f ca="1"/>
        <v>51.91</v>
      </c>
      <c r="AQ129" vm="14054">
        <f ca="1"/>
        <v>52.38</v>
      </c>
      <c r="AR129" vm="9691">
        <f ca="1"/>
        <v>52.67</v>
      </c>
      <c r="AS129" vm="2911">
        <f ca="1"/>
        <v>53.22</v>
      </c>
      <c r="AT129" vm="2905">
        <f ca="1"/>
        <v>52.25</v>
      </c>
      <c r="AU129" vm="3304">
        <f ca="1"/>
        <v>52.86</v>
      </c>
      <c r="AV129" vm="19533">
        <f ca="1"/>
        <v>51.99</v>
      </c>
      <c r="AW129" vm="469">
        <f ca="1"/>
        <v>51.67</v>
      </c>
      <c r="AX129" vm="2904">
        <f ca="1"/>
        <v>51.05</v>
      </c>
      <c r="AY129" vm="11340">
        <f ca="1"/>
        <v>51.49</v>
      </c>
      <c r="AZ129" vm="6300">
        <f ca="1"/>
        <v>50.59</v>
      </c>
      <c r="BA129" vm="844">
        <f ca="1"/>
        <v>50.52</v>
      </c>
      <c r="BB129" vm="1140">
        <f ca="1"/>
        <v>49.85</v>
      </c>
      <c r="BC129" vm="11838">
        <f ca="1"/>
        <v>50.02</v>
      </c>
      <c r="BD129" vm="3106">
        <f ca="1"/>
        <v>51.03</v>
      </c>
      <c r="BE129" vm="6358">
        <f ca="1"/>
        <v>51.45</v>
      </c>
      <c r="BF129" vm="11322">
        <f ca="1"/>
        <v>51.53</v>
      </c>
      <c r="BG129" vm="6277">
        <f ca="1"/>
        <v>50.16</v>
      </c>
      <c r="BH129" vm="11851">
        <f ca="1"/>
        <v>50.25</v>
      </c>
      <c r="BI129" vm="6301">
        <f ca="1"/>
        <v>50.98</v>
      </c>
      <c r="BJ129" vm="2765">
        <f ca="1"/>
        <v>51.19</v>
      </c>
      <c r="BK129" vm="2924">
        <f ca="1"/>
        <v>52.36</v>
      </c>
      <c r="BL129" vm="479">
        <f ca="1"/>
        <v>53.28</v>
      </c>
      <c r="BM129" vm="2920">
        <f ca="1"/>
        <v>52.41</v>
      </c>
      <c r="BN129" vm="6355">
        <f ca="1"/>
        <v>52.42</v>
      </c>
      <c r="BO129" vm="18825">
        <f ca="1"/>
        <v>52.26</v>
      </c>
      <c r="BP129" vm="6256">
        <f ca="1"/>
        <v>51.7</v>
      </c>
      <c r="BQ129" vm="15729">
        <f ca="1"/>
        <v>52.04</v>
      </c>
      <c r="BR129" vm="15732">
        <f ca="1"/>
        <v>52.59</v>
      </c>
      <c r="BS129" vm="6319">
        <f ca="1"/>
        <v>52.01</v>
      </c>
      <c r="BT129" vm="6354">
        <f ca="1"/>
        <v>52.15</v>
      </c>
      <c r="BU129" vm="6297">
        <f ca="1"/>
        <v>51.62</v>
      </c>
      <c r="BV129" vm="6261">
        <f ca="1"/>
        <v>50.96</v>
      </c>
      <c r="BW129" vm="11329">
        <f ca="1"/>
        <v>52.05</v>
      </c>
      <c r="BX129" vm="2766">
        <f ca="1"/>
        <v>52.16</v>
      </c>
      <c r="BY129" vm="15803">
        <f ca="1"/>
        <v>54.26</v>
      </c>
      <c r="BZ129" vm="6264">
        <f ca="1"/>
        <v>49.92</v>
      </c>
      <c r="CA129" vm="6272">
        <f ca="1"/>
        <v>48.52</v>
      </c>
      <c r="CB129" vm="19534">
        <f ca="1"/>
        <v>48.06</v>
      </c>
      <c r="CC129" vm="14175">
        <f ca="1"/>
        <v>51.86</v>
      </c>
      <c r="CD129" vm="14053">
        <f ca="1"/>
        <v>50.3</v>
      </c>
      <c r="CE129" vm="9260">
        <f ca="1"/>
        <v>50.68</v>
      </c>
      <c r="CF129" vm="6323">
        <f ca="1"/>
        <v>51.91</v>
      </c>
      <c r="CG129" vm="1524">
        <f ca="1"/>
        <v>52.19</v>
      </c>
      <c r="CH129" vm="2771">
        <f ca="1"/>
        <v>53.02</v>
      </c>
      <c r="CI129" vm="11868">
        <f ca="1"/>
        <v>54.93</v>
      </c>
      <c r="CJ129" vm="2642">
        <f ca="1"/>
        <v>54.34</v>
      </c>
      <c r="CK129" vm="14111">
        <f ca="1"/>
        <v>55.51</v>
      </c>
      <c r="CL129" vm="14207">
        <f ca="1"/>
        <v>56.51</v>
      </c>
      <c r="CM129" vm="18379">
        <f ca="1"/>
        <v>57.34</v>
      </c>
      <c r="CN129" vm="2954">
        <f ca="1"/>
        <v>57.94</v>
      </c>
      <c r="CO129" vm="14040">
        <f ca="1"/>
        <v>58.12</v>
      </c>
      <c r="CP129" vm="11075">
        <f ca="1"/>
        <v>56.42</v>
      </c>
      <c r="CQ129" vm="9675">
        <f ca="1"/>
        <v>56.97</v>
      </c>
      <c r="CR129" vm="19535">
        <f ca="1"/>
        <v>56.67</v>
      </c>
      <c r="CS129" vm="11014">
        <f ca="1"/>
        <v>56.94</v>
      </c>
      <c r="CT129" vm="19536">
        <f ca="1"/>
        <v>56.68</v>
      </c>
      <c r="CU129" vm="14214">
        <f ca="1"/>
        <v>58.39</v>
      </c>
      <c r="CV129" vm="1650">
        <f ca="1"/>
        <v>59.09</v>
      </c>
      <c r="CW129" vm="2199">
        <f ca="1"/>
        <v>58.11</v>
      </c>
      <c r="CX129" vm="14040">
        <f ca="1"/>
        <v>58.12</v>
      </c>
      <c r="CY129" vm="11100">
        <f ca="1"/>
        <v>57.84</v>
      </c>
      <c r="CZ129" vm="9649">
        <f ca="1"/>
        <v>59.08</v>
      </c>
      <c r="DA129" vm="19462">
        <f ca="1"/>
        <v>59.36</v>
      </c>
      <c r="DB129" vm="9643">
        <f ca="1"/>
        <v>59.26</v>
      </c>
      <c r="DC129" vm="13390">
        <f ca="1"/>
        <v>59.51</v>
      </c>
      <c r="DD129" vm="9656">
        <f ca="1"/>
        <v>60.57</v>
      </c>
      <c r="DE129" vm="1656">
        <f ca="1"/>
        <v>60.53</v>
      </c>
      <c r="DF129" vm="1098">
        <f ca="1"/>
        <v>60.32</v>
      </c>
      <c r="DG129" vm="19537">
        <f ca="1"/>
        <v>59.83</v>
      </c>
      <c r="DH129" vm="9651">
        <f ca="1"/>
        <v>60.67</v>
      </c>
      <c r="DI129" vm="9642">
        <f ca="1"/>
        <v>61.13</v>
      </c>
      <c r="DJ129" vm="13433">
        <f ca="1"/>
        <v>60.9</v>
      </c>
      <c r="DK129" vm="1103">
        <f ca="1"/>
        <v>61.23</v>
      </c>
      <c r="DL129" vm="18383">
        <f ca="1"/>
        <v>60.17</v>
      </c>
      <c r="DM129" vm="10291">
        <f ca="1"/>
        <v>60.64</v>
      </c>
      <c r="DN129" vm="11368">
        <f ca="1"/>
        <v>60.39</v>
      </c>
      <c r="DO129" vm="15656">
        <f ca="1"/>
        <v>60.25</v>
      </c>
      <c r="DP129" vm="13412">
        <f ca="1"/>
        <v>60.72</v>
      </c>
      <c r="DQ129" vm="15657">
        <f ca="1"/>
        <v>61.24</v>
      </c>
      <c r="DR129" vm="15225">
        <f ca="1"/>
        <v>61.09</v>
      </c>
      <c r="DS129" vm="19538">
        <f ca="1"/>
        <v>61.36</v>
      </c>
      <c r="DT129" vm="8707">
        <f ca="1"/>
        <v>61.56</v>
      </c>
      <c r="DU129" vm="19539">
        <f ca="1"/>
        <v>61.57</v>
      </c>
      <c r="DV129" vm="2536">
        <f ca="1"/>
        <v>61.06</v>
      </c>
      <c r="DW129" vm="13439">
        <f ca="1"/>
        <v>59.82</v>
      </c>
      <c r="DX129" vm="3011">
        <f ca="1"/>
        <v>58.91</v>
      </c>
      <c r="DY129" vm="8669">
        <f ca="1"/>
        <v>58.97</v>
      </c>
      <c r="DZ129" vm="2199">
        <f ca="1"/>
        <v>58.11</v>
      </c>
      <c r="EA129" vm="2954">
        <f ca="1"/>
        <v>57.94</v>
      </c>
      <c r="EB129" vm="9654">
        <f ca="1"/>
        <v>59.21</v>
      </c>
      <c r="EC129" vm="9650">
        <f ca="1"/>
        <v>59.68</v>
      </c>
      <c r="ED129" vm="8638">
        <f ca="1"/>
        <v>60.31</v>
      </c>
      <c r="EE129" vm="1098">
        <f ca="1"/>
        <v>60.32</v>
      </c>
      <c r="EF129" vm="14142">
        <f ca="1"/>
        <v>60.56</v>
      </c>
      <c r="EG129" vm="2743">
        <f ca="1"/>
        <v>61.12</v>
      </c>
      <c r="EH129" vm="2356">
        <f ca="1"/>
        <v>61.59</v>
      </c>
      <c r="EI129" vm="11090">
        <f ca="1"/>
        <v>61.7</v>
      </c>
      <c r="EJ129" vm="11361">
        <f ca="1"/>
        <v>61.11</v>
      </c>
      <c r="EK129" vm="15818">
        <f ca="1"/>
        <v>60.89</v>
      </c>
      <c r="EL129" vm="17889">
        <f ca="1"/>
        <v>60.28</v>
      </c>
      <c r="EM129" vm="8668">
        <f ca="1"/>
        <v>60.29</v>
      </c>
      <c r="EN129" vm="15844">
        <f ca="1"/>
        <v>60.13</v>
      </c>
      <c r="EO129" vm="11095">
        <f ca="1"/>
        <v>59.61</v>
      </c>
      <c r="EP129" vm="9709">
        <f ca="1"/>
        <v>59.38</v>
      </c>
      <c r="EQ129" vm="9708">
        <f ca="1"/>
        <v>59.77</v>
      </c>
      <c r="ER129" vm="1600">
        <f ca="1"/>
        <v>59.79</v>
      </c>
      <c r="ES129" vm="11367">
        <f ca="1"/>
        <v>59.46</v>
      </c>
      <c r="ET129" vm="11897">
        <f ca="1"/>
        <v>59.24</v>
      </c>
      <c r="EU129" vm="11366">
        <f ca="1"/>
        <v>59.03</v>
      </c>
      <c r="EV129" vm="13410">
        <f ca="1"/>
        <v>60.47</v>
      </c>
      <c r="EW129" vm="17868">
        <f ca="1"/>
        <v>60.85</v>
      </c>
      <c r="EX129" vm="14074">
        <f ca="1"/>
        <v>61.05</v>
      </c>
      <c r="EY129" vm="11896">
        <f ca="1"/>
        <v>60.06</v>
      </c>
      <c r="EZ129" vm="25">
        <f ca="1"/>
        <v>60.93</v>
      </c>
      <c r="FA129" vm="18383">
        <f ca="1"/>
        <v>60.17</v>
      </c>
      <c r="FB129" vm="14141">
        <f ca="1"/>
        <v>60.14</v>
      </c>
      <c r="FC129" vm="1096">
        <f ca="1"/>
        <v>59.6</v>
      </c>
      <c r="FD129" vm="11898">
        <f ca="1"/>
        <v>59.23</v>
      </c>
      <c r="FE129" vm="8673">
        <f ca="1"/>
        <v>60.19</v>
      </c>
      <c r="FF129" vm="8672">
        <f ca="1"/>
        <v>60.76</v>
      </c>
      <c r="FG129" vm="17908">
        <f ca="1"/>
        <v>61.65</v>
      </c>
      <c r="FH129" vm="83">
        <f ca="1"/>
        <v>61.64</v>
      </c>
      <c r="FI129" vm="8701">
        <f ca="1"/>
        <v>61.54</v>
      </c>
      <c r="FJ129" vm="19540">
        <f ca="1"/>
        <v>62.33</v>
      </c>
      <c r="FK129" vm="8704">
        <f ca="1"/>
        <v>61.99</v>
      </c>
      <c r="FL129" vm="14076">
        <f ca="1"/>
        <v>60.99</v>
      </c>
      <c r="FM129" vm="11371">
        <f ca="1"/>
        <v>61.34</v>
      </c>
      <c r="FN129" vm="8642">
        <f ca="1"/>
        <v>61.19</v>
      </c>
      <c r="FO129" vm="19541">
        <f ca="1"/>
        <v>61.25</v>
      </c>
      <c r="FP129" vm="13427">
        <f ca="1"/>
        <v>61.17</v>
      </c>
      <c r="FQ129" vm="10285">
        <f ca="1"/>
        <v>61.55</v>
      </c>
      <c r="FR129" vm="2730">
        <f ca="1"/>
        <v>62.8</v>
      </c>
      <c r="FS129" vm="19542">
        <f ca="1"/>
        <v>61.71</v>
      </c>
      <c r="FT129" vm="10096">
        <f ca="1"/>
        <v>61.44</v>
      </c>
      <c r="FU129" vm="13858">
        <f ca="1"/>
        <v>61.94</v>
      </c>
      <c r="FV129" vm="15833">
        <f ca="1"/>
        <v>62.52</v>
      </c>
      <c r="FW129" vm="13858">
        <f ca="1"/>
        <v>61.94</v>
      </c>
      <c r="FX129" vm="8715">
        <f ca="1"/>
        <v>62.91</v>
      </c>
      <c r="FY129" vm="2730">
        <f ca="1"/>
        <v>62.8</v>
      </c>
      <c r="FZ129" vm="9658">
        <f ca="1"/>
        <v>63.07</v>
      </c>
      <c r="GA129" vm="2543">
        <f ca="1"/>
        <v>63.83</v>
      </c>
      <c r="GB129" vm="13102">
        <f ca="1"/>
        <v>64.150000000000006</v>
      </c>
      <c r="GC129" vm="11444">
        <f ca="1"/>
        <v>64.260000000000005</v>
      </c>
      <c r="GD129" vm="2546">
        <f ca="1"/>
        <v>64.28</v>
      </c>
      <c r="GE129" vm="8744">
        <f ca="1"/>
        <v>65.709999999999994</v>
      </c>
      <c r="GF129" vm="13881">
        <f ca="1"/>
        <v>66.12</v>
      </c>
      <c r="GG129" vm="2778">
        <f ca="1"/>
        <v>66.77</v>
      </c>
      <c r="GH129" vm="2739">
        <f ca="1"/>
        <v>66.8</v>
      </c>
      <c r="GI129" vm="15857">
        <f ca="1"/>
        <v>66.53</v>
      </c>
      <c r="GJ129" vm="1157">
        <f ca="1"/>
        <v>65.95</v>
      </c>
      <c r="GK129" vm="9730">
        <f ca="1"/>
        <v>66.099999999999994</v>
      </c>
      <c r="GL129" vm="11414">
        <f ca="1"/>
        <v>66.900000000000006</v>
      </c>
      <c r="GM129" vm="2481">
        <f ca="1"/>
        <v>67.430000000000007</v>
      </c>
      <c r="GN129" vm="11410">
        <f ca="1"/>
        <v>66.47</v>
      </c>
      <c r="GO129" vm="2349">
        <f ca="1"/>
        <v>66.180000000000007</v>
      </c>
      <c r="GP129" vm="17437">
        <f ca="1"/>
        <v>67.14</v>
      </c>
      <c r="GQ129" vm="11438">
        <f ca="1"/>
        <v>67.459999999999994</v>
      </c>
      <c r="GR129" vm="19543">
        <f ca="1"/>
        <v>68.209999999999994</v>
      </c>
      <c r="GS129" vm="8848">
        <f ca="1"/>
        <v>66.78</v>
      </c>
      <c r="GT129" vm="11414">
        <f ca="1"/>
        <v>66.900000000000006</v>
      </c>
      <c r="GU129" vm="15303">
        <f ca="1"/>
        <v>66.81</v>
      </c>
      <c r="GV129" vm="9727">
        <f ca="1"/>
        <v>65.44</v>
      </c>
      <c r="GW129" vm="8722">
        <f ca="1"/>
        <v>65.040000000000006</v>
      </c>
      <c r="GX129" vm="1158">
        <f ca="1"/>
        <v>65.73</v>
      </c>
      <c r="GY129" vm="8838">
        <f ca="1"/>
        <v>65.42</v>
      </c>
      <c r="GZ129" vm="19544">
        <f ca="1"/>
        <v>64.39</v>
      </c>
      <c r="HA129" vm="13861">
        <f ca="1"/>
        <v>65.47</v>
      </c>
      <c r="HB129" vm="11417">
        <f ca="1"/>
        <v>64.84</v>
      </c>
      <c r="HC129" vm="1165">
        <f ca="1"/>
        <v>65.87</v>
      </c>
      <c r="HD129" vm="1613">
        <f ca="1"/>
        <v>67.05</v>
      </c>
      <c r="HE129" vm="14133">
        <f ca="1"/>
        <v>66.13</v>
      </c>
      <c r="HF129" vm="8726">
        <f ca="1"/>
        <v>65.94</v>
      </c>
      <c r="HG129" vm="15237">
        <f ca="1"/>
        <v>65.069999999999993</v>
      </c>
      <c r="HH129" vm="11402">
        <f ca="1"/>
        <v>65.510000000000005</v>
      </c>
      <c r="HI129" vm="2779">
        <f ca="1"/>
        <v>66.02</v>
      </c>
      <c r="HJ129" vm="11416">
        <f ca="1"/>
        <v>65.37</v>
      </c>
      <c r="HK129" vm="8727">
        <f ca="1"/>
        <v>66.33</v>
      </c>
      <c r="HL129" vm="2478">
        <f ca="1"/>
        <v>67.099999999999994</v>
      </c>
      <c r="HM129" vm="2481">
        <f ca="1"/>
        <v>67.430000000000007</v>
      </c>
      <c r="HN129" vm="15866">
        <f ca="1"/>
        <v>66.73</v>
      </c>
      <c r="HO129" vm="15857">
        <f ca="1"/>
        <v>66.53</v>
      </c>
      <c r="HP129" vm="13089">
        <f ca="1"/>
        <v>66.23</v>
      </c>
      <c r="HQ129" vm="1155">
        <f ca="1"/>
        <v>65.650000000000006</v>
      </c>
      <c r="HR129" vm="15858">
        <f ca="1"/>
        <v>67.180000000000007</v>
      </c>
      <c r="HS129" vm="15865">
        <f ca="1"/>
        <v>66.97</v>
      </c>
      <c r="HT129" vm="8751">
        <f ca="1"/>
        <v>67.819999999999993</v>
      </c>
      <c r="HU129" vm="8874">
        <f ca="1"/>
        <v>67.91</v>
      </c>
      <c r="HV129" vm="13841">
        <f ca="1"/>
        <v>69.34</v>
      </c>
      <c r="HW129" vm="19545">
        <f ca="1"/>
        <v>68.16</v>
      </c>
      <c r="HX129" vm="10256">
        <f ca="1"/>
        <v>67.38</v>
      </c>
      <c r="HY129" vm="8747">
        <f ca="1"/>
        <v>67.22</v>
      </c>
      <c r="HZ129" vm="1165">
        <f ca="1"/>
        <v>65.87</v>
      </c>
      <c r="IA129" vm="19546">
        <f ca="1"/>
        <v>66.67</v>
      </c>
      <c r="IB129" vm="2778">
        <f ca="1"/>
        <v>66.77</v>
      </c>
      <c r="IC129" vm="2779">
        <f ca="1"/>
        <v>66.02</v>
      </c>
      <c r="ID129" vm="2780">
        <f ca="1"/>
        <v>66.040000000000006</v>
      </c>
      <c r="IE129" vm="2781">
        <f ca="1"/>
        <v>66.55</v>
      </c>
      <c r="IF129" vm="2782">
        <f ca="1"/>
        <v>67.75</v>
      </c>
      <c r="IG129" vm="2783">
        <f ca="1"/>
        <v>67.88</v>
      </c>
      <c r="IH129" vm="1936">
        <f ca="1"/>
        <v>68.42</v>
      </c>
      <c r="II129" vm="2784">
        <f ca="1"/>
        <v>68.459999999999994</v>
      </c>
      <c r="IJ129" vm="2785">
        <f ca="1"/>
        <v>68.709999999999994</v>
      </c>
      <c r="IK129" vm="2786">
        <f ca="1"/>
        <v>68.430000000000007</v>
      </c>
      <c r="IL129" vm="2787">
        <f ca="1"/>
        <v>68.819999999999993</v>
      </c>
      <c r="IM129" vm="2788">
        <f ca="1"/>
        <v>68.680000000000007</v>
      </c>
      <c r="IN129" vm="2789">
        <f ca="1"/>
        <v>68.64</v>
      </c>
      <c r="IO129" vm="2790">
        <f ca="1"/>
        <v>69.27</v>
      </c>
      <c r="IP129" vm="2791">
        <f ca="1"/>
        <v>69.040000000000006</v>
      </c>
      <c r="IQ129" vm="2232">
        <f ca="1"/>
        <v>71.06</v>
      </c>
      <c r="IR129" vm="2792">
        <f ca="1"/>
        <v>70.69</v>
      </c>
      <c r="IS129" vm="2793">
        <f ca="1"/>
        <v>70.48</v>
      </c>
      <c r="IT129" vm="2794">
        <f ca="1"/>
        <v>68.28</v>
      </c>
      <c r="IU129" vm="2795">
        <f ca="1"/>
        <v>67.45</v>
      </c>
      <c r="IV129" vm="895">
        <f ca="1"/>
        <v>68.75</v>
      </c>
      <c r="IW129" vm="89">
        <f ca="1"/>
        <v>68.849999999999994</v>
      </c>
    </row>
    <row r="130" spans="1:257" ht="16" x14ac:dyDescent="0.2">
      <c r="A130" t="e" vm="2796">
        <v>#VALUE!</v>
      </c>
      <c r="B130" s="23" t="str" cm="1">
        <f t="array" aca="1" ref="B130" ca="1">_FV(A130,"ticker symbol",TRUE)</f>
        <v>PIN</v>
      </c>
      <c r="C130" s="23" t="str" cm="1">
        <f t="array" aca="1" ref="C130" ca="1">_FV(A130,"Name")</f>
        <v>Invesco India</v>
      </c>
      <c r="D130" cm="1" vm="9038">
        <f t="array" aca="1" ref="D130:IW130" ca="1">TRANSPOSE(_xlfn.STOCKHISTORY(B130, WORKDAY(TODAY(), -265), TODAY(), 0, 0, 1))</f>
        <v>29.24</v>
      </c>
      <c r="E130" vm="2084">
        <f ca="1"/>
        <v>28.99</v>
      </c>
      <c r="F130" vm="13938">
        <f ca="1"/>
        <v>28.33</v>
      </c>
      <c r="G130" vm="13958">
        <f ca="1"/>
        <v>28.45</v>
      </c>
      <c r="H130" vm="10605">
        <f ca="1"/>
        <v>28.36</v>
      </c>
      <c r="I130" vm="19547">
        <f ca="1"/>
        <v>26.07</v>
      </c>
      <c r="J130" vm="19548">
        <f ca="1"/>
        <v>26.069199999999999</v>
      </c>
      <c r="K130" vm="13383">
        <f ca="1"/>
        <v>26.08</v>
      </c>
      <c r="L130" vm="16398">
        <f ca="1"/>
        <v>26.02</v>
      </c>
      <c r="M130" vm="17500">
        <f ca="1"/>
        <v>25.76</v>
      </c>
      <c r="N130" vm="17517">
        <f ca="1"/>
        <v>25.77</v>
      </c>
      <c r="O130" vm="91">
        <f ca="1"/>
        <v>26.14</v>
      </c>
      <c r="P130" vm="19549">
        <f ca="1"/>
        <v>26.22</v>
      </c>
      <c r="Q130" vm="2803">
        <f ca="1"/>
        <v>25.71</v>
      </c>
      <c r="R130" vm="2814">
        <f ca="1"/>
        <v>25.69</v>
      </c>
      <c r="S130" vm="17513">
        <f ca="1"/>
        <v>25.65</v>
      </c>
      <c r="T130" vm="19441">
        <f ca="1"/>
        <v>25.06</v>
      </c>
      <c r="U130" vm="16335">
        <f ca="1"/>
        <v>24.78</v>
      </c>
      <c r="V130" vm="13378">
        <f ca="1"/>
        <v>24.93</v>
      </c>
      <c r="W130" vm="19550">
        <f ca="1"/>
        <v>25.1</v>
      </c>
      <c r="X130" vm="16338">
        <f ca="1"/>
        <v>24.94</v>
      </c>
      <c r="Y130" vm="19551">
        <f ca="1"/>
        <v>24.97</v>
      </c>
      <c r="Z130" vm="16341">
        <f ca="1"/>
        <v>24.88</v>
      </c>
      <c r="AA130" vm="16337">
        <f ca="1"/>
        <v>24.73</v>
      </c>
      <c r="AB130" vm="13369">
        <f ca="1"/>
        <v>24.98</v>
      </c>
      <c r="AC130" vm="18346">
        <f ca="1"/>
        <v>24.9</v>
      </c>
      <c r="AD130" vm="16326">
        <f ca="1"/>
        <v>24.57</v>
      </c>
      <c r="AE130" vm="16333">
        <f ca="1"/>
        <v>24.49</v>
      </c>
      <c r="AF130" vm="2070">
        <f ca="1"/>
        <v>24.72</v>
      </c>
      <c r="AG130" vm="16336">
        <f ca="1"/>
        <v>24.91</v>
      </c>
      <c r="AH130" vm="13378">
        <f ca="1"/>
        <v>24.93</v>
      </c>
      <c r="AI130" vm="18347">
        <f ca="1"/>
        <v>24.75</v>
      </c>
      <c r="AJ130" vm="16400">
        <f ca="1"/>
        <v>25.08</v>
      </c>
      <c r="AK130" vm="16400">
        <f ca="1"/>
        <v>25.08</v>
      </c>
      <c r="AL130" vm="2056">
        <f ca="1"/>
        <v>24.83</v>
      </c>
      <c r="AM130" vm="16331">
        <f ca="1"/>
        <v>24.63</v>
      </c>
      <c r="AN130" vm="10596">
        <f ca="1"/>
        <v>24.69</v>
      </c>
      <c r="AO130" vm="19552">
        <f ca="1"/>
        <v>24.4373</v>
      </c>
      <c r="AP130" vm="2158">
        <f ca="1"/>
        <v>24.24</v>
      </c>
      <c r="AQ130" vm="16333">
        <f ca="1"/>
        <v>24.49</v>
      </c>
      <c r="AR130" vm="16369">
        <f ca="1"/>
        <v>24.19</v>
      </c>
      <c r="AS130" vm="19443">
        <f ca="1"/>
        <v>24.11</v>
      </c>
      <c r="AT130" vm="16931">
        <f ca="1"/>
        <v>24.12</v>
      </c>
      <c r="AU130" vm="16349">
        <f ca="1"/>
        <v>24.29</v>
      </c>
      <c r="AV130" vm="19553">
        <f ca="1"/>
        <v>23.934999999999999</v>
      </c>
      <c r="AW130" vm="16311">
        <f ca="1"/>
        <v>23.9</v>
      </c>
      <c r="AX130" vm="18342">
        <f ca="1"/>
        <v>23.85</v>
      </c>
      <c r="AY130" vm="19554">
        <f ca="1"/>
        <v>23.815000000000001</v>
      </c>
      <c r="AZ130" vm="18341">
        <f ca="1"/>
        <v>23.5</v>
      </c>
      <c r="BA130" vm="19555">
        <f ca="1"/>
        <v>23.274100000000001</v>
      </c>
      <c r="BB130" vm="3296">
        <f ca="1"/>
        <v>23.09</v>
      </c>
      <c r="BC130" vm="13248">
        <f ca="1"/>
        <v>23.21</v>
      </c>
      <c r="BD130" vm="16346">
        <f ca="1"/>
        <v>23.81</v>
      </c>
      <c r="BE130" vm="19556">
        <f ca="1"/>
        <v>23.86</v>
      </c>
      <c r="BF130" vm="16837">
        <f ca="1"/>
        <v>23.94</v>
      </c>
      <c r="BG130" vm="19557">
        <f ca="1"/>
        <v>23.52</v>
      </c>
      <c r="BH130" vm="16317">
        <f ca="1"/>
        <v>23.75</v>
      </c>
      <c r="BI130" vm="19436">
        <f ca="1"/>
        <v>23.78</v>
      </c>
      <c r="BJ130" vm="16763">
        <f ca="1"/>
        <v>23.62</v>
      </c>
      <c r="BK130" vm="19558">
        <f ca="1"/>
        <v>23.822099999999999</v>
      </c>
      <c r="BL130" vm="16368">
        <f ca="1"/>
        <v>24.14</v>
      </c>
      <c r="BM130" vm="16349">
        <f ca="1"/>
        <v>24.29</v>
      </c>
      <c r="BN130" vm="16309">
        <f ca="1"/>
        <v>24.6</v>
      </c>
      <c r="BO130" vm="10596">
        <f ca="1"/>
        <v>24.69</v>
      </c>
      <c r="BP130" vm="16400">
        <f ca="1"/>
        <v>25.08</v>
      </c>
      <c r="BQ130" vm="19559">
        <f ca="1"/>
        <v>25.41</v>
      </c>
      <c r="BR130" vm="19560">
        <f ca="1"/>
        <v>25.392199999999999</v>
      </c>
      <c r="BS130" vm="2066">
        <f ca="1"/>
        <v>25.04</v>
      </c>
      <c r="BT130" vm="19442">
        <f ca="1"/>
        <v>25.28</v>
      </c>
      <c r="BU130" vm="13378">
        <f ca="1"/>
        <v>24.93</v>
      </c>
      <c r="BV130" vm="16375">
        <f ca="1"/>
        <v>25.01</v>
      </c>
      <c r="BW130" vm="2069">
        <f ca="1"/>
        <v>24.87</v>
      </c>
      <c r="BX130" vm="16342">
        <f ca="1"/>
        <v>25.13</v>
      </c>
      <c r="BY130" vm="2069">
        <f ca="1"/>
        <v>24.87</v>
      </c>
      <c r="BZ130" vm="16316">
        <f ca="1"/>
        <v>23.8</v>
      </c>
      <c r="CA130" vm="16763">
        <f ca="1"/>
        <v>23.62</v>
      </c>
      <c r="CB130" vm="18342">
        <f ca="1"/>
        <v>23.85</v>
      </c>
      <c r="CC130" vm="10596">
        <f ca="1"/>
        <v>24.69</v>
      </c>
      <c r="CD130" vm="19561">
        <f ca="1"/>
        <v>24.42</v>
      </c>
      <c r="CE130" vm="19561">
        <f ca="1"/>
        <v>24.42</v>
      </c>
      <c r="CF130" vm="18347">
        <f ca="1"/>
        <v>24.75</v>
      </c>
      <c r="CG130" vm="2056">
        <f ca="1"/>
        <v>24.83</v>
      </c>
      <c r="CH130" vm="16376">
        <f ca="1"/>
        <v>24.74</v>
      </c>
      <c r="CI130" vm="19562">
        <f ca="1"/>
        <v>25.36</v>
      </c>
      <c r="CJ130" vm="2859">
        <f ca="1"/>
        <v>25.73</v>
      </c>
      <c r="CK130" vm="2804">
        <f ca="1"/>
        <v>25.96</v>
      </c>
      <c r="CL130" vm="17517">
        <f ca="1"/>
        <v>25.77</v>
      </c>
      <c r="CM130" vm="19563">
        <f ca="1"/>
        <v>25.98</v>
      </c>
      <c r="CN130" vm="2060">
        <f ca="1"/>
        <v>25.55</v>
      </c>
      <c r="CO130" vm="19564">
        <f ca="1"/>
        <v>25.728899999999999</v>
      </c>
      <c r="CP130" vm="17523">
        <f ca="1"/>
        <v>25.92</v>
      </c>
      <c r="CQ130" vm="16387">
        <f ca="1"/>
        <v>25.91</v>
      </c>
      <c r="CR130" vm="19563">
        <f ca="1"/>
        <v>25.98</v>
      </c>
      <c r="CS130" vm="17493">
        <f ca="1"/>
        <v>26.19</v>
      </c>
      <c r="CT130" vm="2875">
        <f ca="1"/>
        <v>26.32</v>
      </c>
      <c r="CU130" vm="17970">
        <f ca="1"/>
        <v>26</v>
      </c>
      <c r="CV130" vm="17514">
        <f ca="1"/>
        <v>25.87</v>
      </c>
      <c r="CW130" vm="16340">
        <f ca="1"/>
        <v>25.07</v>
      </c>
      <c r="CX130" vm="16792">
        <f ca="1"/>
        <v>25.45</v>
      </c>
      <c r="CY130" vm="2870">
        <f ca="1"/>
        <v>26.43</v>
      </c>
      <c r="CZ130" vm="1454">
        <f ca="1"/>
        <v>26.31</v>
      </c>
      <c r="DA130" vm="19565">
        <f ca="1"/>
        <v>26.283000000000001</v>
      </c>
      <c r="DB130" vm="9030">
        <f ca="1"/>
        <v>26.62</v>
      </c>
      <c r="DC130" vm="17494">
        <f ca="1"/>
        <v>26.63</v>
      </c>
      <c r="DD130" vm="19566">
        <f ca="1"/>
        <v>26.684999999999999</v>
      </c>
      <c r="DE130" vm="17475">
        <f ca="1"/>
        <v>26.36</v>
      </c>
      <c r="DF130" vm="2867">
        <f ca="1"/>
        <v>26.33</v>
      </c>
      <c r="DG130" vm="9031">
        <f ca="1"/>
        <v>26.17</v>
      </c>
      <c r="DH130" vm="2871">
        <f ca="1"/>
        <v>26.6</v>
      </c>
      <c r="DI130" vm="17495">
        <f ca="1"/>
        <v>26.58</v>
      </c>
      <c r="DJ130" vm="9029">
        <f ca="1"/>
        <v>26.51</v>
      </c>
      <c r="DK130" vm="17494">
        <f ca="1"/>
        <v>26.63</v>
      </c>
      <c r="DL130" vm="2797">
        <f ca="1"/>
        <v>26.48</v>
      </c>
      <c r="DM130" vm="2871">
        <f ca="1"/>
        <v>26.6</v>
      </c>
      <c r="DN130" vm="2862">
        <f ca="1"/>
        <v>26.35</v>
      </c>
      <c r="DO130" vm="2867">
        <f ca="1"/>
        <v>26.33</v>
      </c>
      <c r="DP130" vm="2870">
        <f ca="1"/>
        <v>26.43</v>
      </c>
      <c r="DQ130" vm="10594">
        <f ca="1"/>
        <v>26.72</v>
      </c>
      <c r="DR130" vm="101">
        <f ca="1"/>
        <v>26.93</v>
      </c>
      <c r="DS130" vm="19567">
        <f ca="1"/>
        <v>26.893699999999999</v>
      </c>
      <c r="DT130" vm="17501">
        <f ca="1"/>
        <v>26.97</v>
      </c>
      <c r="DU130" vm="17507">
        <f ca="1"/>
        <v>26.7</v>
      </c>
      <c r="DV130" vm="2251">
        <f ca="1"/>
        <v>26.29</v>
      </c>
      <c r="DW130" vm="17536">
        <f ca="1"/>
        <v>26.55</v>
      </c>
      <c r="DX130" vm="17525">
        <f ca="1"/>
        <v>26.21</v>
      </c>
      <c r="DY130" vm="17493">
        <f ca="1"/>
        <v>26.19</v>
      </c>
      <c r="DZ130" vm="19568">
        <f ca="1"/>
        <v>26.180599999999998</v>
      </c>
      <c r="EA130" vm="19445">
        <f ca="1"/>
        <v>26.3</v>
      </c>
      <c r="EB130" vm="17532">
        <f ca="1"/>
        <v>26.54</v>
      </c>
      <c r="EC130" vm="1455">
        <f ca="1"/>
        <v>26.68</v>
      </c>
      <c r="ED130" vm="19569">
        <f ca="1"/>
        <v>27.015000000000001</v>
      </c>
      <c r="EE130" vm="9028">
        <f ca="1"/>
        <v>27.1</v>
      </c>
      <c r="EF130" vm="1453">
        <f ca="1"/>
        <v>26.95</v>
      </c>
      <c r="EG130" vm="19570">
        <f ca="1"/>
        <v>27.118300000000001</v>
      </c>
      <c r="EH130" vm="17972">
        <f ca="1"/>
        <v>27</v>
      </c>
      <c r="EI130" vm="19571">
        <f ca="1"/>
        <v>27.11</v>
      </c>
      <c r="EJ130" vm="17489">
        <f ca="1"/>
        <v>27.03</v>
      </c>
      <c r="EK130" vm="9027">
        <f ca="1"/>
        <v>27.04</v>
      </c>
      <c r="EL130" vm="17510">
        <f ca="1"/>
        <v>27.05</v>
      </c>
      <c r="EM130" vm="17533">
        <f ca="1"/>
        <v>26.83</v>
      </c>
      <c r="EN130" vm="19572">
        <f ca="1"/>
        <v>26.640699999999999</v>
      </c>
      <c r="EO130" vm="2863">
        <f ca="1"/>
        <v>26.65</v>
      </c>
      <c r="EP130" vm="19573">
        <f ca="1"/>
        <v>26.617999999999999</v>
      </c>
      <c r="EQ130" vm="1451">
        <f ca="1"/>
        <v>26.78</v>
      </c>
      <c r="ER130" vm="17507">
        <f ca="1"/>
        <v>26.7</v>
      </c>
      <c r="ES130" vm="19574">
        <f ca="1"/>
        <v>26.44</v>
      </c>
      <c r="ET130" vm="9029">
        <f ca="1"/>
        <v>26.51</v>
      </c>
      <c r="EU130" vm="2250">
        <f ca="1"/>
        <v>26.42</v>
      </c>
      <c r="EV130" vm="19575">
        <f ca="1"/>
        <v>26.518999999999998</v>
      </c>
      <c r="EW130" vm="2259">
        <f ca="1"/>
        <v>26.15</v>
      </c>
      <c r="EX130" vm="19576">
        <f ca="1"/>
        <v>26.065000000000001</v>
      </c>
      <c r="EY130" vm="19577">
        <f ca="1"/>
        <v>25.8</v>
      </c>
      <c r="EZ130" vm="97">
        <f ca="1"/>
        <v>25.88</v>
      </c>
      <c r="FA130" vm="2060">
        <f ca="1"/>
        <v>25.55</v>
      </c>
      <c r="FB130" vm="19578">
        <f ca="1"/>
        <v>25.54</v>
      </c>
      <c r="FC130" vm="19579">
        <f ca="1"/>
        <v>25.614999999999998</v>
      </c>
      <c r="FD130" vm="2857">
        <f ca="1"/>
        <v>25.44</v>
      </c>
      <c r="FE130" vm="19559">
        <f ca="1"/>
        <v>25.41</v>
      </c>
      <c r="FF130" vm="16794">
        <f ca="1"/>
        <v>25.32</v>
      </c>
      <c r="FG130" vm="16383">
        <f ca="1"/>
        <v>25.46</v>
      </c>
      <c r="FH130" vm="19580">
        <f ca="1"/>
        <v>25.251999999999999</v>
      </c>
      <c r="FI130" vm="16794">
        <f ca="1"/>
        <v>25.32</v>
      </c>
      <c r="FJ130" vm="19559">
        <f ca="1"/>
        <v>25.41</v>
      </c>
      <c r="FK130" vm="2813">
        <f ca="1"/>
        <v>25.51</v>
      </c>
      <c r="FL130" vm="16390">
        <f ca="1"/>
        <v>25.37</v>
      </c>
      <c r="FM130" vm="19581">
        <f ca="1"/>
        <v>25.459700000000002</v>
      </c>
      <c r="FN130" vm="97">
        <f ca="1"/>
        <v>25.88</v>
      </c>
      <c r="FO130" vm="19582">
        <f ca="1"/>
        <v>25.95</v>
      </c>
      <c r="FP130" vm="19583">
        <f ca="1"/>
        <v>26.073</v>
      </c>
      <c r="FQ130" vm="1442">
        <f ca="1"/>
        <v>25.94</v>
      </c>
      <c r="FR130" vm="2860">
        <f ca="1"/>
        <v>25.93</v>
      </c>
      <c r="FS130" vm="17516">
        <f ca="1"/>
        <v>25.74</v>
      </c>
      <c r="FT130" vm="19584">
        <f ca="1"/>
        <v>25.448</v>
      </c>
      <c r="FU130" vm="16792">
        <f ca="1"/>
        <v>25.45</v>
      </c>
      <c r="FV130" vm="9024">
        <f ca="1"/>
        <v>25.38</v>
      </c>
      <c r="FW130" vm="16400">
        <f ca="1"/>
        <v>25.08</v>
      </c>
      <c r="FX130" vm="19585">
        <f ca="1"/>
        <v>25.2822</v>
      </c>
      <c r="FY130" vm="16396">
        <f ca="1"/>
        <v>25.48</v>
      </c>
      <c r="FZ130" vm="19586">
        <f ca="1"/>
        <v>25.454999999999998</v>
      </c>
      <c r="GA130" vm="13377">
        <f ca="1"/>
        <v>25.355</v>
      </c>
      <c r="GB130" vm="2811">
        <f ca="1"/>
        <v>25.6</v>
      </c>
      <c r="GC130" vm="19587">
        <f ca="1"/>
        <v>25.484999999999999</v>
      </c>
      <c r="GD130" vm="19588">
        <f ca="1"/>
        <v>25.7179</v>
      </c>
      <c r="GE130" vm="17516">
        <f ca="1"/>
        <v>25.74</v>
      </c>
      <c r="GF130" vm="19589">
        <f ca="1"/>
        <v>25.709</v>
      </c>
      <c r="GG130" vm="19590">
        <f ca="1"/>
        <v>25.800999999999998</v>
      </c>
      <c r="GH130" vm="17524">
        <f ca="1"/>
        <v>25.99</v>
      </c>
      <c r="GI130" vm="1459">
        <f ca="1"/>
        <v>26.11</v>
      </c>
      <c r="GJ130" vm="19591">
        <f ca="1"/>
        <v>25.965</v>
      </c>
      <c r="GK130" vm="17970">
        <f ca="1"/>
        <v>26</v>
      </c>
      <c r="GL130" vm="1461">
        <f ca="1"/>
        <v>25.82</v>
      </c>
      <c r="GM130" vm="19578">
        <f ca="1"/>
        <v>25.54</v>
      </c>
      <c r="GN130" vm="9024">
        <f ca="1"/>
        <v>25.38</v>
      </c>
      <c r="GO130" vm="16794">
        <f ca="1"/>
        <v>25.32</v>
      </c>
      <c r="GP130" vm="19592">
        <f ca="1"/>
        <v>25.169</v>
      </c>
      <c r="GQ130" vm="19550">
        <f ca="1"/>
        <v>25.1</v>
      </c>
      <c r="GR130" vm="16340">
        <f ca="1"/>
        <v>25.07</v>
      </c>
      <c r="GS130" vm="19593">
        <f ca="1"/>
        <v>25.258700000000001</v>
      </c>
      <c r="GT130" vm="19594">
        <f ca="1"/>
        <v>25.209499999999998</v>
      </c>
      <c r="GU130" vm="19442">
        <f ca="1"/>
        <v>25.28</v>
      </c>
      <c r="GV130" vm="16792">
        <f ca="1"/>
        <v>25.45</v>
      </c>
      <c r="GW130" vm="2812">
        <f ca="1"/>
        <v>25.5</v>
      </c>
      <c r="GX130" vm="16390">
        <f ca="1"/>
        <v>25.37</v>
      </c>
      <c r="GY130" vm="16383">
        <f ca="1"/>
        <v>25.46</v>
      </c>
      <c r="GZ130" vm="19595">
        <f ca="1"/>
        <v>25.469000000000001</v>
      </c>
      <c r="HA130" vm="19578">
        <f ca="1"/>
        <v>25.54</v>
      </c>
      <c r="HB130" vm="16383">
        <f ca="1"/>
        <v>25.46</v>
      </c>
      <c r="HC130" vm="17523">
        <f ca="1"/>
        <v>25.92</v>
      </c>
      <c r="HD130" vm="2868">
        <f ca="1"/>
        <v>26.05</v>
      </c>
      <c r="HE130" vm="17474">
        <f ca="1"/>
        <v>26.27</v>
      </c>
      <c r="HF130" vm="2250">
        <f ca="1"/>
        <v>26.42</v>
      </c>
      <c r="HG130" vm="17525">
        <f ca="1"/>
        <v>26.21</v>
      </c>
      <c r="HH130" vm="17494">
        <f ca="1"/>
        <v>26.63</v>
      </c>
      <c r="HI130" vm="19596">
        <f ca="1"/>
        <v>26.429500000000001</v>
      </c>
      <c r="HJ130" vm="19597">
        <f ca="1"/>
        <v>26.289000000000001</v>
      </c>
      <c r="HK130" vm="9029">
        <f ca="1"/>
        <v>26.51</v>
      </c>
      <c r="HL130" vm="2250">
        <f ca="1"/>
        <v>26.42</v>
      </c>
      <c r="HM130" vm="2257">
        <f ca="1"/>
        <v>26.34</v>
      </c>
      <c r="HN130" vm="17535">
        <f ca="1"/>
        <v>26.26</v>
      </c>
      <c r="HO130" vm="17520">
        <f ca="1"/>
        <v>25.97</v>
      </c>
      <c r="HP130" vm="17535">
        <f ca="1"/>
        <v>26.26</v>
      </c>
      <c r="HQ130" vm="19598">
        <f ca="1"/>
        <v>26.154299999999999</v>
      </c>
      <c r="HR130" vm="19599">
        <f ca="1"/>
        <v>26.273</v>
      </c>
      <c r="HS130" vm="17523">
        <f ca="1"/>
        <v>25.92</v>
      </c>
      <c r="HT130" vm="17520">
        <f ca="1"/>
        <v>25.97</v>
      </c>
      <c r="HU130" vm="19600">
        <f ca="1"/>
        <v>26.18</v>
      </c>
      <c r="HV130" vm="16426">
        <f ca="1"/>
        <v>26.53</v>
      </c>
      <c r="HW130" vm="2876">
        <f ca="1"/>
        <v>26.37</v>
      </c>
      <c r="HX130" vm="19601">
        <f ca="1"/>
        <v>26.185199999999998</v>
      </c>
      <c r="HY130" vm="17473">
        <f ca="1"/>
        <v>26.39</v>
      </c>
      <c r="HZ130" vm="1457">
        <f ca="1"/>
        <v>26.41</v>
      </c>
      <c r="IA130" vm="2252">
        <f ca="1"/>
        <v>26.38</v>
      </c>
      <c r="IB130" vm="2797">
        <f ca="1"/>
        <v>26.48</v>
      </c>
      <c r="IC130" vm="2250">
        <f ca="1"/>
        <v>26.42</v>
      </c>
      <c r="ID130" vm="2798">
        <f ca="1"/>
        <v>26.139299999999999</v>
      </c>
      <c r="IE130" vm="2799">
        <f ca="1"/>
        <v>26.1311</v>
      </c>
      <c r="IF130" vm="1450">
        <f ca="1"/>
        <v>26.1</v>
      </c>
      <c r="IG130" vm="2800">
        <f ca="1"/>
        <v>26.28</v>
      </c>
      <c r="IH130" vm="2801">
        <f ca="1"/>
        <v>26.45</v>
      </c>
      <c r="II130" vm="31">
        <f ca="1"/>
        <v>26.2</v>
      </c>
      <c r="IJ130" vm="2802">
        <f ca="1"/>
        <v>25.975000000000001</v>
      </c>
      <c r="IK130" vm="2803">
        <f ca="1"/>
        <v>25.71</v>
      </c>
      <c r="IL130" vm="2804">
        <f ca="1"/>
        <v>25.96</v>
      </c>
      <c r="IM130" vm="2805">
        <f ca="1"/>
        <v>26.03</v>
      </c>
      <c r="IN130" vm="2806">
        <f ca="1"/>
        <v>25.590499999999999</v>
      </c>
      <c r="IO130" vm="2807">
        <f ca="1"/>
        <v>25.67</v>
      </c>
      <c r="IP130" vm="2808">
        <f ca="1"/>
        <v>25.741499999999998</v>
      </c>
      <c r="IQ130" vm="2809">
        <f ca="1"/>
        <v>25.75</v>
      </c>
      <c r="IR130" vm="2810">
        <f ca="1"/>
        <v>25.57</v>
      </c>
      <c r="IS130" vm="2811">
        <f ca="1"/>
        <v>25.6</v>
      </c>
      <c r="IT130" vm="2812">
        <f ca="1"/>
        <v>25.5</v>
      </c>
      <c r="IU130" vm="2813">
        <f ca="1"/>
        <v>25.51</v>
      </c>
      <c r="IV130" vm="2814">
        <f ca="1"/>
        <v>25.69</v>
      </c>
      <c r="IW130" vm="91">
        <f ca="1"/>
        <v>26.14</v>
      </c>
    </row>
    <row r="131" spans="1:257" ht="16" x14ac:dyDescent="0.2">
      <c r="A131" t="e" vm="2815">
        <v>#VALUE!</v>
      </c>
      <c r="B131" s="23" t="str" cm="1">
        <f t="array" aca="1" ref="B131" ca="1">_FV(A131,"ticker symbol",TRUE)</f>
        <v>IDX</v>
      </c>
      <c r="C131" s="23" t="str" cm="1">
        <f t="array" aca="1" ref="C131" ca="1">_FV(A131,"Name")</f>
        <v>VanEck:Indonesia Index</v>
      </c>
      <c r="D131" cm="1" vm="2395">
        <f t="array" aca="1" ref="D131:IW131" ca="1">TRANSPOSE(_xlfn.STOCKHISTORY(B131, WORKDAY(TODAY(), -265), TODAY(), 0, 0, 1))</f>
        <v>16.13</v>
      </c>
      <c r="E131" vm="19602">
        <f ca="1"/>
        <v>15.86</v>
      </c>
      <c r="F131" vm="19603">
        <f ca="1"/>
        <v>15.34</v>
      </c>
      <c r="G131" vm="19604">
        <f ca="1"/>
        <v>14.84</v>
      </c>
      <c r="H131" vm="19605">
        <f ca="1"/>
        <v>15.09</v>
      </c>
      <c r="I131" vm="19606">
        <f ca="1"/>
        <v>14.94</v>
      </c>
      <c r="J131" vm="19607">
        <f ca="1"/>
        <v>14.865</v>
      </c>
      <c r="K131" vm="19608">
        <f ca="1"/>
        <v>14.93</v>
      </c>
      <c r="L131" vm="19609">
        <f ca="1"/>
        <v>14.77</v>
      </c>
      <c r="M131" vm="19610">
        <f ca="1"/>
        <v>14.87</v>
      </c>
      <c r="N131" vm="19611">
        <f ca="1"/>
        <v>14.8</v>
      </c>
      <c r="O131" vm="19612">
        <f ca="1"/>
        <v>15.04</v>
      </c>
      <c r="P131" vm="19613">
        <f ca="1"/>
        <v>15.18</v>
      </c>
      <c r="Q131" vm="19614">
        <f ca="1"/>
        <v>14.9816</v>
      </c>
      <c r="R131" vm="19615">
        <f ca="1"/>
        <v>14.95</v>
      </c>
      <c r="S131" vm="19616">
        <f ca="1"/>
        <v>14.91</v>
      </c>
      <c r="T131" vm="19617">
        <f ca="1"/>
        <v>14.82</v>
      </c>
      <c r="U131" vm="2203">
        <f ca="1"/>
        <v>14.7</v>
      </c>
      <c r="V131" vm="19618">
        <f ca="1"/>
        <v>14.61</v>
      </c>
      <c r="W131" vm="17409">
        <f ca="1"/>
        <v>14.81</v>
      </c>
      <c r="X131" vm="19609">
        <f ca="1"/>
        <v>14.77</v>
      </c>
      <c r="Y131" vm="19604">
        <f ca="1"/>
        <v>14.84</v>
      </c>
      <c r="Z131" vm="19619">
        <f ca="1"/>
        <v>15.06</v>
      </c>
      <c r="AA131" vm="2387">
        <f ca="1"/>
        <v>15.2</v>
      </c>
      <c r="AB131" vm="2210">
        <f ca="1"/>
        <v>15.21</v>
      </c>
      <c r="AC131" vm="2215">
        <f ca="1"/>
        <v>15.07</v>
      </c>
      <c r="AD131" vm="19619">
        <f ca="1"/>
        <v>15.06</v>
      </c>
      <c r="AE131" vm="19615">
        <f ca="1"/>
        <v>14.95</v>
      </c>
      <c r="AF131" vm="19620">
        <f ca="1"/>
        <v>14.9</v>
      </c>
      <c r="AG131" vm="2203">
        <f ca="1"/>
        <v>14.7</v>
      </c>
      <c r="AH131" vm="19621">
        <f ca="1"/>
        <v>14.57</v>
      </c>
      <c r="AI131" vm="19622">
        <f ca="1"/>
        <v>14.38</v>
      </c>
      <c r="AJ131" vm="19623">
        <f ca="1"/>
        <v>14.62</v>
      </c>
      <c r="AK131" vm="17408">
        <f ca="1"/>
        <v>14.56</v>
      </c>
      <c r="AL131" vm="19624">
        <f ca="1"/>
        <v>14.13</v>
      </c>
      <c r="AM131" vm="19625">
        <f ca="1"/>
        <v>13.58</v>
      </c>
      <c r="AN131" vm="17352">
        <f ca="1"/>
        <v>13.59</v>
      </c>
      <c r="AO131" vm="19626">
        <f ca="1"/>
        <v>13.4</v>
      </c>
      <c r="AP131" vm="17352">
        <f ca="1"/>
        <v>13.59</v>
      </c>
      <c r="AQ131" vm="17349">
        <f ca="1"/>
        <v>13.67</v>
      </c>
      <c r="AR131" vm="17390">
        <f ca="1"/>
        <v>13.78</v>
      </c>
      <c r="AS131" vm="19627">
        <f ca="1"/>
        <v>14.11</v>
      </c>
      <c r="AT131" vm="17405">
        <f ca="1"/>
        <v>13.93</v>
      </c>
      <c r="AU131" vm="19628">
        <f ca="1"/>
        <v>13.96</v>
      </c>
      <c r="AV131" vm="19629">
        <f ca="1"/>
        <v>13.845599999999999</v>
      </c>
      <c r="AW131" vm="17347">
        <f ca="1"/>
        <v>13.71</v>
      </c>
      <c r="AX131" vm="17351">
        <f ca="1"/>
        <v>13.35</v>
      </c>
      <c r="AY131" vm="19630">
        <f ca="1"/>
        <v>13.287000000000001</v>
      </c>
      <c r="AZ131" vm="19631">
        <f ca="1"/>
        <v>12.86</v>
      </c>
      <c r="BA131" vm="19632">
        <f ca="1"/>
        <v>12.49</v>
      </c>
      <c r="BB131" vm="19633">
        <f ca="1"/>
        <v>13.04</v>
      </c>
      <c r="BC131" vm="17371">
        <f ca="1"/>
        <v>12.78</v>
      </c>
      <c r="BD131" vm="18032">
        <f ca="1"/>
        <v>13.21</v>
      </c>
      <c r="BE131" vm="19634">
        <f ca="1"/>
        <v>13.33</v>
      </c>
      <c r="BF131" vm="19635">
        <f ca="1"/>
        <v>13.46</v>
      </c>
      <c r="BG131" vm="19636">
        <f ca="1"/>
        <v>13.0701</v>
      </c>
      <c r="BH131" vm="19637">
        <f ca="1"/>
        <v>12.84</v>
      </c>
      <c r="BI131" vm="18040">
        <f ca="1"/>
        <v>13.11</v>
      </c>
      <c r="BJ131" vm="19638">
        <f ca="1"/>
        <v>12.9961</v>
      </c>
      <c r="BK131" vm="17379">
        <f ca="1"/>
        <v>12.91</v>
      </c>
      <c r="BL131" vm="19639">
        <f ca="1"/>
        <v>13.0047</v>
      </c>
      <c r="BM131" vm="19640">
        <f ca="1"/>
        <v>12.26</v>
      </c>
      <c r="BN131" vm="19641">
        <f ca="1"/>
        <v>12.41</v>
      </c>
      <c r="BO131" vm="19642">
        <f ca="1"/>
        <v>12.4832</v>
      </c>
      <c r="BP131" vm="17401">
        <f ca="1"/>
        <v>12.34</v>
      </c>
      <c r="BQ131" vm="19643">
        <f ca="1"/>
        <v>12</v>
      </c>
      <c r="BR131" vm="19644">
        <f ca="1"/>
        <v>12.09</v>
      </c>
      <c r="BS131" vm="19645">
        <f ca="1"/>
        <v>12.5</v>
      </c>
      <c r="BT131" vm="2222">
        <f ca="1"/>
        <v>12.64</v>
      </c>
      <c r="BU131" vm="19646">
        <f ca="1"/>
        <v>12.53</v>
      </c>
      <c r="BV131" vm="19632">
        <f ca="1"/>
        <v>12.49</v>
      </c>
      <c r="BW131" vm="19647">
        <f ca="1"/>
        <v>12.54</v>
      </c>
      <c r="BX131" vm="17385">
        <f ca="1"/>
        <v>12.47</v>
      </c>
      <c r="BY131" vm="19648">
        <f ca="1"/>
        <v>12.2948</v>
      </c>
      <c r="BZ131" vm="19649">
        <f ca="1"/>
        <v>11.62</v>
      </c>
      <c r="CA131" vm="19650">
        <f ca="1"/>
        <v>11.645</v>
      </c>
      <c r="CB131" vm="19651">
        <f ca="1"/>
        <v>11.03</v>
      </c>
      <c r="CC131" vm="19652">
        <f ca="1"/>
        <v>11.9</v>
      </c>
      <c r="CD131" vm="19653">
        <f ca="1"/>
        <v>11.84</v>
      </c>
      <c r="CE131" vm="27">
        <f ca="1"/>
        <v>12.19</v>
      </c>
      <c r="CF131" vm="17385">
        <f ca="1"/>
        <v>12.47</v>
      </c>
      <c r="CG131" vm="2220">
        <f ca="1"/>
        <v>12.46</v>
      </c>
      <c r="CH131" vm="19654">
        <f ca="1"/>
        <v>12.356</v>
      </c>
      <c r="CI131" vm="19647">
        <f ca="1"/>
        <v>12.54</v>
      </c>
      <c r="CJ131" vm="19655">
        <f ca="1"/>
        <v>12.4712</v>
      </c>
      <c r="CK131" vm="17371">
        <f ca="1"/>
        <v>12.78</v>
      </c>
      <c r="CL131" vm="19656">
        <f ca="1"/>
        <v>12.9354</v>
      </c>
      <c r="CM131" vm="2218">
        <f ca="1"/>
        <v>13.08</v>
      </c>
      <c r="CN131" vm="19657">
        <f ca="1"/>
        <v>13.03</v>
      </c>
      <c r="CO131" vm="19658">
        <f ca="1"/>
        <v>13.17</v>
      </c>
      <c r="CP131" vm="19659">
        <f ca="1"/>
        <v>13.29</v>
      </c>
      <c r="CQ131" vm="19626">
        <f ca="1"/>
        <v>13.4</v>
      </c>
      <c r="CR131" vm="19660">
        <f ca="1"/>
        <v>13.5</v>
      </c>
      <c r="CS131" vm="17404">
        <f ca="1"/>
        <v>13.76</v>
      </c>
      <c r="CT131" vm="18048">
        <f ca="1"/>
        <v>13.87</v>
      </c>
      <c r="CU131" vm="19661">
        <f ca="1"/>
        <v>14.04</v>
      </c>
      <c r="CV131" vm="19662">
        <f ca="1"/>
        <v>13.92</v>
      </c>
      <c r="CW131" vm="18026">
        <f ca="1"/>
        <v>13.75</v>
      </c>
      <c r="CX131" vm="19663">
        <f ca="1"/>
        <v>13.74</v>
      </c>
      <c r="CY131" vm="19664">
        <f ca="1"/>
        <v>13.824999999999999</v>
      </c>
      <c r="CZ131" vm="19665">
        <f ca="1"/>
        <v>13.89</v>
      </c>
      <c r="DA131" vm="17410">
        <f ca="1"/>
        <v>14.12</v>
      </c>
      <c r="DB131" vm="19666">
        <f ca="1"/>
        <v>14.36</v>
      </c>
      <c r="DC131" vm="19666">
        <f ca="1"/>
        <v>14.36</v>
      </c>
      <c r="DD131" vm="17408">
        <f ca="1"/>
        <v>14.56</v>
      </c>
      <c r="DE131" vm="2206">
        <f ca="1"/>
        <v>14.41</v>
      </c>
      <c r="DF131" vm="19667">
        <f ca="1"/>
        <v>14.58</v>
      </c>
      <c r="DG131" vm="19668">
        <f ca="1"/>
        <v>14.66</v>
      </c>
      <c r="DH131" vm="19616">
        <f ca="1"/>
        <v>14.91</v>
      </c>
      <c r="DI131" vm="19669">
        <f ca="1"/>
        <v>14.855</v>
      </c>
      <c r="DJ131" vm="19670">
        <f ca="1"/>
        <v>14.74</v>
      </c>
      <c r="DK131" vm="19671">
        <f ca="1"/>
        <v>14.76</v>
      </c>
      <c r="DL131" vm="2205">
        <f ca="1"/>
        <v>14.65</v>
      </c>
      <c r="DM131" vm="19623">
        <f ca="1"/>
        <v>14.62</v>
      </c>
      <c r="DN131" vm="19672">
        <f ca="1"/>
        <v>14.53</v>
      </c>
      <c r="DO131" vm="19618">
        <f ca="1"/>
        <v>14.61</v>
      </c>
      <c r="DP131" vm="19673">
        <f ca="1"/>
        <v>14.79</v>
      </c>
      <c r="DQ131" vm="19674">
        <f ca="1"/>
        <v>14.785</v>
      </c>
      <c r="DR131" vm="19675">
        <f ca="1"/>
        <v>14.8591</v>
      </c>
      <c r="DS131" vm="19676">
        <f ca="1"/>
        <v>15.15</v>
      </c>
      <c r="DT131" vm="19677">
        <f ca="1"/>
        <v>15.138199999999999</v>
      </c>
      <c r="DU131" vm="19613">
        <f ca="1"/>
        <v>15.18</v>
      </c>
      <c r="DV131" vm="19615">
        <f ca="1"/>
        <v>14.95</v>
      </c>
      <c r="DW131" vm="19678">
        <f ca="1"/>
        <v>14.885</v>
      </c>
      <c r="DX131" vm="19679">
        <f ca="1"/>
        <v>14.88</v>
      </c>
      <c r="DY131" vm="2209">
        <f ca="1"/>
        <v>14.73</v>
      </c>
      <c r="DZ131" vm="2208">
        <f ca="1"/>
        <v>14.25</v>
      </c>
      <c r="EA131" vm="19661">
        <f ca="1"/>
        <v>14.04</v>
      </c>
      <c r="EB131" vm="2217">
        <f ca="1"/>
        <v>14.26</v>
      </c>
      <c r="EC131" vm="19680">
        <f ca="1"/>
        <v>14.164899999999999</v>
      </c>
      <c r="ED131" vm="17346">
        <f ca="1"/>
        <v>14.47</v>
      </c>
      <c r="EE131" vm="19681">
        <f ca="1"/>
        <v>14.382999999999999</v>
      </c>
      <c r="EF131" vm="19682">
        <f ca="1"/>
        <v>14.545</v>
      </c>
      <c r="EG131" vm="17346">
        <f ca="1"/>
        <v>14.47</v>
      </c>
      <c r="EH131" vm="17346">
        <f ca="1"/>
        <v>14.47</v>
      </c>
      <c r="EI131" vm="18025">
        <f ca="1"/>
        <v>14.5</v>
      </c>
      <c r="EJ131" vm="19683">
        <f ca="1"/>
        <v>14.39</v>
      </c>
      <c r="EK131" vm="19684">
        <f ca="1"/>
        <v>14.433999999999999</v>
      </c>
      <c r="EL131" vm="19621">
        <f ca="1"/>
        <v>14.57</v>
      </c>
      <c r="EM131" vm="19685">
        <f ca="1"/>
        <v>14.723699999999999</v>
      </c>
      <c r="EN131" vm="19617">
        <f ca="1"/>
        <v>14.82</v>
      </c>
      <c r="EO131" vm="19686">
        <f ca="1"/>
        <v>14.984999999999999</v>
      </c>
      <c r="EP131" vm="19676">
        <f ca="1"/>
        <v>15.15</v>
      </c>
      <c r="EQ131" vm="19687">
        <f ca="1"/>
        <v>15.16</v>
      </c>
      <c r="ER131" vm="19688">
        <f ca="1"/>
        <v>15.23</v>
      </c>
      <c r="ES131" vm="17342">
        <f ca="1"/>
        <v>15.29</v>
      </c>
      <c r="ET131" vm="19689">
        <f ca="1"/>
        <v>15.36</v>
      </c>
      <c r="EU131" vm="19690">
        <f ca="1"/>
        <v>15.265499999999999</v>
      </c>
      <c r="EV131" vm="2389">
        <f ca="1"/>
        <v>15.31</v>
      </c>
      <c r="EW131" vm="2390">
        <f ca="1"/>
        <v>15.28</v>
      </c>
      <c r="EX131" vm="19691">
        <f ca="1"/>
        <v>15.24</v>
      </c>
      <c r="EY131" vm="19689">
        <f ca="1"/>
        <v>15.36</v>
      </c>
      <c r="EZ131" vm="19692">
        <f ca="1"/>
        <v>15.44</v>
      </c>
      <c r="FA131" vm="2389">
        <f ca="1"/>
        <v>15.31</v>
      </c>
      <c r="FB131" vm="19693">
        <f ca="1"/>
        <v>15.05</v>
      </c>
      <c r="FC131" vm="17342">
        <f ca="1"/>
        <v>15.29</v>
      </c>
      <c r="FD131" vm="19605">
        <f ca="1"/>
        <v>15.09</v>
      </c>
      <c r="FE131" vm="2383">
        <f ca="1"/>
        <v>15.11</v>
      </c>
      <c r="FF131" vm="19694">
        <f ca="1"/>
        <v>15.17</v>
      </c>
      <c r="FG131" vm="2389">
        <f ca="1"/>
        <v>15.31</v>
      </c>
      <c r="FH131" vm="17247">
        <f ca="1"/>
        <v>15.63</v>
      </c>
      <c r="FI131" vm="17250">
        <f ca="1"/>
        <v>15.76</v>
      </c>
      <c r="FJ131" vm="19695">
        <f ca="1"/>
        <v>16.22</v>
      </c>
      <c r="FK131" vm="19696">
        <f ca="1"/>
        <v>16.52</v>
      </c>
      <c r="FL131" vm="19697">
        <f ca="1"/>
        <v>16.3932</v>
      </c>
      <c r="FM131" vm="17267">
        <f ca="1"/>
        <v>16.190000000000001</v>
      </c>
      <c r="FN131" vm="17267">
        <f ca="1"/>
        <v>16.190000000000001</v>
      </c>
      <c r="FO131" vm="18064">
        <f ca="1"/>
        <v>16.100000000000001</v>
      </c>
      <c r="FP131" vm="19698">
        <f ca="1"/>
        <v>16.335000000000001</v>
      </c>
      <c r="FQ131" vm="19699">
        <f ca="1"/>
        <v>16.04</v>
      </c>
      <c r="FR131" vm="2393">
        <f ca="1"/>
        <v>16.170000000000002</v>
      </c>
      <c r="FS131" vm="19700">
        <f ca="1"/>
        <v>16.245000000000001</v>
      </c>
      <c r="FT131" vm="19701">
        <f ca="1"/>
        <v>16.148700000000002</v>
      </c>
      <c r="FU131" vm="19484">
        <f ca="1"/>
        <v>16.21</v>
      </c>
      <c r="FV131" vm="19702">
        <f ca="1"/>
        <v>16.1051</v>
      </c>
      <c r="FW131" vm="19476">
        <f ca="1"/>
        <v>15.89</v>
      </c>
      <c r="FX131" vm="17295">
        <f ca="1"/>
        <v>15.73</v>
      </c>
      <c r="FY131" vm="19476">
        <f ca="1"/>
        <v>15.89</v>
      </c>
      <c r="FZ131" vm="19703">
        <f ca="1"/>
        <v>15.875</v>
      </c>
      <c r="GA131" vm="19704">
        <f ca="1"/>
        <v>15.9993</v>
      </c>
      <c r="GB131" vm="19705">
        <f ca="1"/>
        <v>15.7402</v>
      </c>
      <c r="GC131" vm="17336">
        <f ca="1"/>
        <v>15.42</v>
      </c>
      <c r="GD131" vm="17343">
        <f ca="1"/>
        <v>15.54</v>
      </c>
      <c r="GE131" vm="19706">
        <f ca="1"/>
        <v>15.72</v>
      </c>
      <c r="GF131" vm="19707">
        <f ca="1"/>
        <v>15.96</v>
      </c>
      <c r="GG131" vm="17248">
        <f ca="1"/>
        <v>16.14</v>
      </c>
      <c r="GH131" vm="19708">
        <f ca="1"/>
        <v>16.05</v>
      </c>
      <c r="GI131" vm="17267">
        <f ca="1"/>
        <v>16.190000000000001</v>
      </c>
      <c r="GJ131" vm="19699">
        <f ca="1"/>
        <v>16.04</v>
      </c>
      <c r="GK131" vm="19709">
        <f ca="1"/>
        <v>16.079699999999999</v>
      </c>
      <c r="GL131" vm="19710">
        <f ca="1"/>
        <v>16.064800000000002</v>
      </c>
      <c r="GM131" vm="19711">
        <f ca="1"/>
        <v>16.068100000000001</v>
      </c>
      <c r="GN131" vm="19712">
        <f ca="1"/>
        <v>16.03</v>
      </c>
      <c r="GO131" vm="19713">
        <f ca="1"/>
        <v>15.7996</v>
      </c>
      <c r="GP131" vm="17248">
        <f ca="1"/>
        <v>16.14</v>
      </c>
      <c r="GQ131" vm="19714">
        <f ca="1"/>
        <v>16.233499999999999</v>
      </c>
      <c r="GR131" vm="18064">
        <f ca="1"/>
        <v>16.100000000000001</v>
      </c>
      <c r="GS131" vm="19715">
        <f ca="1"/>
        <v>16</v>
      </c>
      <c r="GT131" vm="19716">
        <f ca="1"/>
        <v>15.984999999999999</v>
      </c>
      <c r="GU131" vm="2395">
        <f ca="1"/>
        <v>16.13</v>
      </c>
      <c r="GV131" vm="19717">
        <f ca="1"/>
        <v>16.16</v>
      </c>
      <c r="GW131" vm="19717">
        <f ca="1"/>
        <v>16.16</v>
      </c>
      <c r="GX131" vm="19695">
        <f ca="1"/>
        <v>16.22</v>
      </c>
      <c r="GY131" vm="2214">
        <f ca="1"/>
        <v>16.37</v>
      </c>
      <c r="GZ131" vm="17318">
        <f ca="1"/>
        <v>16.149999999999999</v>
      </c>
      <c r="HA131" vm="19468">
        <f ca="1"/>
        <v>16.41</v>
      </c>
      <c r="HB131" vm="19718">
        <f ca="1"/>
        <v>16.079999999999998</v>
      </c>
      <c r="HC131" vm="19712">
        <f ca="1"/>
        <v>16.03</v>
      </c>
      <c r="HD131" vm="19719">
        <f ca="1"/>
        <v>16.195699999999999</v>
      </c>
      <c r="HE131" vm="19476">
        <f ca="1"/>
        <v>15.89</v>
      </c>
      <c r="HF131" vm="45">
        <f ca="1"/>
        <v>16.3</v>
      </c>
      <c r="HG131" vm="19720">
        <f ca="1"/>
        <v>16.409800000000001</v>
      </c>
      <c r="HH131" vm="19695">
        <f ca="1"/>
        <v>16.22</v>
      </c>
      <c r="HI131" vm="2817">
        <f ca="1"/>
        <v>16.53</v>
      </c>
      <c r="HJ131" vm="19721">
        <f ca="1"/>
        <v>16.524999999999999</v>
      </c>
      <c r="HK131" vm="2393">
        <f ca="1"/>
        <v>16.170000000000002</v>
      </c>
      <c r="HL131" vm="17318">
        <f ca="1"/>
        <v>16.149999999999999</v>
      </c>
      <c r="HM131" vm="19722">
        <f ca="1"/>
        <v>16.305299999999999</v>
      </c>
      <c r="HN131" vm="19483">
        <f ca="1"/>
        <v>16.309999999999999</v>
      </c>
      <c r="HO131" vm="19723">
        <f ca="1"/>
        <v>16.260000000000002</v>
      </c>
      <c r="HP131" vm="19479">
        <f ca="1"/>
        <v>16.510000000000002</v>
      </c>
      <c r="HQ131" vm="19724">
        <f ca="1"/>
        <v>16.325299999999999</v>
      </c>
      <c r="HR131" vm="17316">
        <f ca="1"/>
        <v>16.649999999999999</v>
      </c>
      <c r="HS131" vm="19725">
        <f ca="1"/>
        <v>16.622</v>
      </c>
      <c r="HT131" vm="19726">
        <f ca="1"/>
        <v>16.750699999999998</v>
      </c>
      <c r="HU131" vm="19727">
        <f ca="1"/>
        <v>16.8002</v>
      </c>
      <c r="HV131" vm="19728">
        <f ca="1"/>
        <v>16.740200000000002</v>
      </c>
      <c r="HW131" vm="19729">
        <f ca="1"/>
        <v>16.670000000000002</v>
      </c>
      <c r="HX131" vm="19696">
        <f ca="1"/>
        <v>16.52</v>
      </c>
      <c r="HY131" vm="19730">
        <f ca="1"/>
        <v>16.64</v>
      </c>
      <c r="HZ131" vm="19731">
        <f ca="1"/>
        <v>16.59</v>
      </c>
      <c r="IA131" vm="2397">
        <f ca="1"/>
        <v>16.579999999999998</v>
      </c>
      <c r="IB131" vm="2816">
        <f ca="1"/>
        <v>16.68</v>
      </c>
      <c r="IC131" vm="2817">
        <f ca="1"/>
        <v>16.53</v>
      </c>
      <c r="ID131" vm="2818">
        <f ca="1"/>
        <v>16.690000000000001</v>
      </c>
      <c r="IE131" vm="2819">
        <f ca="1"/>
        <v>17.079999999999998</v>
      </c>
      <c r="IF131" vm="2820">
        <f ca="1"/>
        <v>17.010200000000001</v>
      </c>
      <c r="IG131" vm="2821">
        <f ca="1"/>
        <v>17.13</v>
      </c>
      <c r="IH131" vm="2822">
        <f ca="1"/>
        <v>17.010000000000002</v>
      </c>
      <c r="II131" vm="2823">
        <f ca="1"/>
        <v>17.100000000000001</v>
      </c>
      <c r="IJ131" vm="2824">
        <f ca="1"/>
        <v>17.239999999999998</v>
      </c>
      <c r="IK131" vm="2825">
        <f ca="1"/>
        <v>17.14</v>
      </c>
      <c r="IL131" vm="2826">
        <f ca="1"/>
        <v>17.12</v>
      </c>
      <c r="IM131" vm="2823">
        <f ca="1"/>
        <v>17.100000000000001</v>
      </c>
      <c r="IN131" vm="2827">
        <f ca="1"/>
        <v>17.25</v>
      </c>
      <c r="IO131" vm="2828">
        <f ca="1"/>
        <v>17.11</v>
      </c>
      <c r="IP131" vm="2829">
        <f ca="1"/>
        <v>17.29</v>
      </c>
      <c r="IQ131" vm="2830">
        <f ca="1"/>
        <v>17.149999999999999</v>
      </c>
      <c r="IR131" vm="2831">
        <f ca="1"/>
        <v>17.18</v>
      </c>
      <c r="IS131" vm="2825">
        <f ca="1"/>
        <v>17.14</v>
      </c>
      <c r="IT131" vm="2832">
        <f ca="1"/>
        <v>17.3</v>
      </c>
      <c r="IU131" vm="2833">
        <f ca="1"/>
        <v>17.170000000000002</v>
      </c>
      <c r="IV131" vm="2834">
        <f ca="1"/>
        <v>17.2</v>
      </c>
      <c r="IW131" vm="93">
        <f ca="1"/>
        <v>17.21</v>
      </c>
    </row>
    <row r="132" spans="1:257" ht="16" x14ac:dyDescent="0.2">
      <c r="A132" t="e" vm="2835">
        <v>#VALUE!</v>
      </c>
      <c r="B132" s="23" t="str" cm="1">
        <f t="array" aca="1" ref="B132" ca="1">_FV(A132,"ticker symbol",TRUE)</f>
        <v>EWY</v>
      </c>
      <c r="C132" s="23" t="str" cm="1">
        <f t="array" aca="1" ref="C132" ca="1">_FV(A132,"Name")</f>
        <v>iShares:MSCI S Korea</v>
      </c>
      <c r="D132" cm="1" vm="19366">
        <f t="array" aca="1" ref="D132:IW132" ca="1">TRANSPOSE(_xlfn.STOCKHISTORY(B132, WORKDAY(TODAY(), -265), TODAY(), 0, 0, 1))</f>
        <v>55.58</v>
      </c>
      <c r="E132" vm="6331">
        <f ca="1"/>
        <v>53.57</v>
      </c>
      <c r="F132" vm="6252">
        <f ca="1"/>
        <v>52.11</v>
      </c>
      <c r="G132" vm="15732">
        <f ca="1"/>
        <v>52.59</v>
      </c>
      <c r="H132" vm="19525">
        <f ca="1"/>
        <v>52.34</v>
      </c>
      <c r="I132" vm="11860">
        <f ca="1"/>
        <v>52.77</v>
      </c>
      <c r="J132" vm="2194">
        <f ca="1"/>
        <v>52.71</v>
      </c>
      <c r="K132" vm="1625">
        <f ca="1"/>
        <v>51.97</v>
      </c>
      <c r="L132" vm="11840">
        <f ca="1"/>
        <v>51.46</v>
      </c>
      <c r="M132" vm="2765">
        <f ca="1"/>
        <v>51.19</v>
      </c>
      <c r="N132" vm="11839">
        <f ca="1"/>
        <v>50.89</v>
      </c>
      <c r="O132" vm="14172">
        <f ca="1"/>
        <v>51.12</v>
      </c>
      <c r="P132" vm="475">
        <f ca="1"/>
        <v>52.84</v>
      </c>
      <c r="Q132" vm="11865">
        <f ca="1"/>
        <v>54.4</v>
      </c>
      <c r="R132" vm="73">
        <f ca="1"/>
        <v>53.72</v>
      </c>
      <c r="S132" vm="2639">
        <f ca="1"/>
        <v>54.32</v>
      </c>
      <c r="T132" vm="14047">
        <f ca="1"/>
        <v>53.52</v>
      </c>
      <c r="U132" vm="1629">
        <f ca="1"/>
        <v>53.49</v>
      </c>
      <c r="V132" vm="6341">
        <f ca="1"/>
        <v>54</v>
      </c>
      <c r="W132" vm="78">
        <f ca="1"/>
        <v>54.79</v>
      </c>
      <c r="X132" vm="486">
        <f ca="1"/>
        <v>54.54</v>
      </c>
      <c r="Y132" vm="8691">
        <f ca="1"/>
        <v>54.83</v>
      </c>
      <c r="Z132" vm="10126">
        <f ca="1"/>
        <v>55.68</v>
      </c>
      <c r="AA132" vm="19732">
        <f ca="1"/>
        <v>56.11</v>
      </c>
      <c r="AB132" vm="14032">
        <f ca="1"/>
        <v>55.67</v>
      </c>
      <c r="AC132" vm="19733">
        <f ca="1"/>
        <v>55.9</v>
      </c>
      <c r="AD132" vm="11867">
        <f ca="1"/>
        <v>54.55</v>
      </c>
      <c r="AE132" vm="2641">
        <f ca="1"/>
        <v>54.3</v>
      </c>
      <c r="AF132" vm="19734">
        <f ca="1"/>
        <v>54.42</v>
      </c>
      <c r="AG132" vm="9693">
        <f ca="1"/>
        <v>55.27</v>
      </c>
      <c r="AH132" vm="3341">
        <f ca="1"/>
        <v>53.97</v>
      </c>
      <c r="AI132" vm="19735">
        <f ca="1"/>
        <v>53.38</v>
      </c>
      <c r="AJ132" vm="2773">
        <f ca="1"/>
        <v>54.35</v>
      </c>
      <c r="AK132" vm="11882">
        <f ca="1"/>
        <v>54.96</v>
      </c>
      <c r="AL132" vm="11874">
        <f ca="1"/>
        <v>55.22</v>
      </c>
      <c r="AM132" vm="3329">
        <f ca="1"/>
        <v>54.14</v>
      </c>
      <c r="AN132" vm="2647">
        <f ca="1"/>
        <v>55.14</v>
      </c>
      <c r="AO132" vm="18374">
        <f ca="1"/>
        <v>55.07</v>
      </c>
      <c r="AP132" vm="18373">
        <f ca="1"/>
        <v>55.16</v>
      </c>
      <c r="AQ132" vm="14043">
        <f ca="1"/>
        <v>56.35</v>
      </c>
      <c r="AR132" vm="19536">
        <f ca="1"/>
        <v>56.68</v>
      </c>
      <c r="AS132" vm="11905">
        <f ca="1"/>
        <v>57.44</v>
      </c>
      <c r="AT132" vm="11893">
        <f ca="1"/>
        <v>58.28</v>
      </c>
      <c r="AU132" vm="13388">
        <f ca="1"/>
        <v>58.46</v>
      </c>
      <c r="AV132" vm="8680">
        <f ca="1"/>
        <v>57.59</v>
      </c>
      <c r="AW132" vm="9671">
        <f ca="1"/>
        <v>57.47</v>
      </c>
      <c r="AX132" vm="2952">
        <f ca="1"/>
        <v>57.55</v>
      </c>
      <c r="AY132" vm="11062">
        <f ca="1"/>
        <v>57.81</v>
      </c>
      <c r="AZ132" vm="1580">
        <f ca="1"/>
        <v>55.95</v>
      </c>
      <c r="BA132" vm="19736">
        <f ca="1"/>
        <v>54.67</v>
      </c>
      <c r="BB132" vm="2639">
        <f ca="1"/>
        <v>54.32</v>
      </c>
      <c r="BC132" vm="15802">
        <f ca="1"/>
        <v>54.57</v>
      </c>
      <c r="BD132" vm="19737">
        <f ca="1"/>
        <v>56.05</v>
      </c>
      <c r="BE132" vm="15733">
        <f ca="1"/>
        <v>54.94</v>
      </c>
      <c r="BF132" vm="10126">
        <f ca="1"/>
        <v>55.68</v>
      </c>
      <c r="BG132" vm="1530">
        <f ca="1"/>
        <v>54.09</v>
      </c>
      <c r="BH132" vm="19738">
        <f ca="1"/>
        <v>54.69</v>
      </c>
      <c r="BI132" vm="1580">
        <f ca="1"/>
        <v>55.95</v>
      </c>
      <c r="BJ132" vm="11874">
        <f ca="1"/>
        <v>55.22</v>
      </c>
      <c r="BK132" vm="19739">
        <f ca="1"/>
        <v>56.14</v>
      </c>
      <c r="BL132" vm="9682">
        <f ca="1"/>
        <v>57.86</v>
      </c>
      <c r="BM132" vm="9675">
        <f ca="1"/>
        <v>56.97</v>
      </c>
      <c r="BN132" vm="14188">
        <f ca="1"/>
        <v>57.24</v>
      </c>
      <c r="BO132" vm="14084">
        <f ca="1"/>
        <v>56.73</v>
      </c>
      <c r="BP132" vm="9672">
        <f ca="1"/>
        <v>56.86</v>
      </c>
      <c r="BQ132" vm="11909">
        <f ca="1"/>
        <v>57.31</v>
      </c>
      <c r="BR132" vm="13408">
        <f ca="1"/>
        <v>57.07</v>
      </c>
      <c r="BS132" vm="10297">
        <f ca="1"/>
        <v>56.81</v>
      </c>
      <c r="BT132" vm="14117">
        <f ca="1"/>
        <v>56.49</v>
      </c>
      <c r="BU132" vm="78">
        <f ca="1"/>
        <v>54.79</v>
      </c>
      <c r="BV132" vm="3335">
        <f ca="1"/>
        <v>54.04</v>
      </c>
      <c r="BW132" vm="8686">
        <f ca="1"/>
        <v>54.85</v>
      </c>
      <c r="BX132" vm="485">
        <f ca="1"/>
        <v>54.63</v>
      </c>
      <c r="BY132" vm="14149">
        <f ca="1"/>
        <v>53.14</v>
      </c>
      <c r="BZ132" vm="11344">
        <f ca="1"/>
        <v>51.25</v>
      </c>
      <c r="CA132" vm="19740">
        <f ca="1"/>
        <v>50.78</v>
      </c>
      <c r="CB132" vm="9245">
        <f ca="1"/>
        <v>48.92</v>
      </c>
      <c r="CC132" vm="479">
        <f ca="1"/>
        <v>53.28</v>
      </c>
      <c r="CD132" vm="6253">
        <f ca="1"/>
        <v>51.82</v>
      </c>
      <c r="CE132" vm="10068">
        <f ca="1"/>
        <v>54.31</v>
      </c>
      <c r="CF132" vm="2773">
        <f ca="1"/>
        <v>54.35</v>
      </c>
      <c r="CG132" vm="19741">
        <f ca="1"/>
        <v>54.38</v>
      </c>
      <c r="CH132" vm="3328">
        <f ca="1"/>
        <v>54.06</v>
      </c>
      <c r="CI132" vm="10068">
        <f ca="1"/>
        <v>54.31</v>
      </c>
      <c r="CJ132" vm="3331">
        <f ca="1"/>
        <v>54.39</v>
      </c>
      <c r="CK132" vm="19742">
        <f ca="1"/>
        <v>54.81</v>
      </c>
      <c r="CL132" vm="19743">
        <f ca="1"/>
        <v>55.6</v>
      </c>
      <c r="CM132" vm="1580">
        <f ca="1"/>
        <v>55.95</v>
      </c>
      <c r="CN132" vm="9695">
        <f ca="1"/>
        <v>55.81</v>
      </c>
      <c r="CO132" vm="14031">
        <f ca="1"/>
        <v>55.65</v>
      </c>
      <c r="CP132" vm="2198">
        <f ca="1"/>
        <v>56.1</v>
      </c>
      <c r="CQ132" vm="1579">
        <f ca="1"/>
        <v>56.19</v>
      </c>
      <c r="CR132" vm="19743">
        <f ca="1"/>
        <v>55.6</v>
      </c>
      <c r="CS132" vm="8857">
        <f ca="1"/>
        <v>57.71</v>
      </c>
      <c r="CT132" vm="2960">
        <f ca="1"/>
        <v>58.38</v>
      </c>
      <c r="CU132" vm="14038">
        <f ca="1"/>
        <v>58.5</v>
      </c>
      <c r="CV132" vm="11910">
        <f ca="1"/>
        <v>57.79</v>
      </c>
      <c r="CW132" vm="14202">
        <f ca="1"/>
        <v>57.2</v>
      </c>
      <c r="CX132" vm="2959">
        <f ca="1"/>
        <v>57.69</v>
      </c>
      <c r="CY132" vm="19744">
        <f ca="1"/>
        <v>58.04</v>
      </c>
      <c r="CZ132" vm="14040">
        <f ca="1"/>
        <v>58.12</v>
      </c>
      <c r="DA132" vm="3007">
        <f ca="1"/>
        <v>58.61</v>
      </c>
      <c r="DB132" vm="3012">
        <f ca="1"/>
        <v>58.8</v>
      </c>
      <c r="DC132" vm="9703">
        <f ca="1"/>
        <v>58.79</v>
      </c>
      <c r="DD132" vm="10301">
        <f ca="1"/>
        <v>58.82</v>
      </c>
      <c r="DE132" vm="15223">
        <f ca="1"/>
        <v>58.4</v>
      </c>
      <c r="DF132" vm="1648">
        <f ca="1"/>
        <v>59.1</v>
      </c>
      <c r="DG132" vm="11900">
        <f ca="1"/>
        <v>58.29</v>
      </c>
      <c r="DH132" vm="1649">
        <f ca="1"/>
        <v>58.96</v>
      </c>
      <c r="DI132" vm="9652">
        <f ca="1"/>
        <v>59.98</v>
      </c>
      <c r="DJ132" vm="11358">
        <f ca="1"/>
        <v>60.75</v>
      </c>
      <c r="DK132" vm="2728">
        <f ca="1"/>
        <v>61.8</v>
      </c>
      <c r="DL132" vm="13435">
        <f ca="1"/>
        <v>60.63</v>
      </c>
      <c r="DM132" vm="1476">
        <f ca="1"/>
        <v>61.74</v>
      </c>
      <c r="DN132" vm="11370">
        <f ca="1"/>
        <v>61.89</v>
      </c>
      <c r="DO132" vm="8713">
        <f ca="1"/>
        <v>63.98</v>
      </c>
      <c r="DP132" vm="8825">
        <f ca="1"/>
        <v>65.36</v>
      </c>
      <c r="DQ132" vm="2737">
        <f ca="1"/>
        <v>65.569999999999993</v>
      </c>
      <c r="DR132" vm="10247">
        <f ca="1"/>
        <v>66.48</v>
      </c>
      <c r="DS132" vm="2340">
        <f ca="1"/>
        <v>66.16</v>
      </c>
      <c r="DT132" vm="18394">
        <f ca="1"/>
        <v>66.989999999999995</v>
      </c>
      <c r="DU132" vm="8834">
        <f ca="1"/>
        <v>67.69</v>
      </c>
      <c r="DV132" vm="11412">
        <f ca="1"/>
        <v>66.42</v>
      </c>
      <c r="DW132" vm="13886">
        <f ca="1"/>
        <v>68.19</v>
      </c>
      <c r="DX132" vm="19745">
        <f ca="1"/>
        <v>66.63</v>
      </c>
      <c r="DY132" vm="18397">
        <f ca="1"/>
        <v>67.87</v>
      </c>
      <c r="DZ132" vm="8755">
        <f ca="1"/>
        <v>68.53</v>
      </c>
      <c r="EA132" vm="8830">
        <f ca="1"/>
        <v>69.42</v>
      </c>
      <c r="EB132" vm="19746">
        <f ca="1"/>
        <v>72.650000000000006</v>
      </c>
      <c r="EC132" vm="19381">
        <f ca="1"/>
        <v>72.37</v>
      </c>
      <c r="ED132" vm="19747">
        <f ca="1"/>
        <v>71.94</v>
      </c>
      <c r="EE132" vm="15207">
        <f ca="1"/>
        <v>70.739999999999995</v>
      </c>
      <c r="EF132" vm="19748">
        <f ca="1"/>
        <v>71.78</v>
      </c>
      <c r="EG132" vm="19749">
        <f ca="1"/>
        <v>71.64</v>
      </c>
      <c r="EH132" vm="8912">
        <f ca="1"/>
        <v>71.95</v>
      </c>
      <c r="EI132" vm="15252">
        <f ca="1"/>
        <v>72.7</v>
      </c>
      <c r="EJ132" vm="15666">
        <f ca="1"/>
        <v>70.069999999999993</v>
      </c>
      <c r="EK132" vm="900">
        <f ca="1"/>
        <v>72.08</v>
      </c>
      <c r="EL132" vm="900">
        <f ca="1"/>
        <v>72.08</v>
      </c>
      <c r="EM132" vm="8923">
        <f ca="1"/>
        <v>73.14</v>
      </c>
      <c r="EN132" vm="15214">
        <f ca="1"/>
        <v>72.56</v>
      </c>
      <c r="EO132" vm="17461">
        <f ca="1"/>
        <v>73.2</v>
      </c>
      <c r="EP132" vm="15588">
        <f ca="1"/>
        <v>73.069999999999993</v>
      </c>
      <c r="EQ132" vm="10266">
        <f ca="1"/>
        <v>73.08</v>
      </c>
      <c r="ER132" vm="907">
        <f ca="1"/>
        <v>73.06</v>
      </c>
      <c r="ES132" vm="15582">
        <f ca="1"/>
        <v>72.39</v>
      </c>
      <c r="ET132" vm="8897">
        <f ca="1"/>
        <v>73.87</v>
      </c>
      <c r="EU132" vm="19750">
        <f ca="1"/>
        <v>72.89</v>
      </c>
      <c r="EV132" vm="17414">
        <f ca="1"/>
        <v>73.849999999999994</v>
      </c>
      <c r="EW132" vm="17429">
        <f ca="1"/>
        <v>73.31</v>
      </c>
      <c r="EX132" vm="8789">
        <f ca="1"/>
        <v>73.209999999999994</v>
      </c>
      <c r="EY132" vm="17431">
        <f ca="1"/>
        <v>72.709999999999994</v>
      </c>
      <c r="EZ132" vm="19751">
        <f ca="1"/>
        <v>73.489999999999995</v>
      </c>
      <c r="FA132" vm="19752">
        <f ca="1"/>
        <v>73.680000000000007</v>
      </c>
      <c r="FB132" vm="19753">
        <f ca="1"/>
        <v>72.81</v>
      </c>
      <c r="FC132" vm="9765">
        <f ca="1"/>
        <v>70.650000000000006</v>
      </c>
      <c r="FD132" vm="8924">
        <f ca="1"/>
        <v>72.33</v>
      </c>
      <c r="FE132" vm="19750">
        <f ca="1"/>
        <v>72.89</v>
      </c>
      <c r="FF132" vm="1553">
        <f ca="1"/>
        <v>73.180000000000007</v>
      </c>
      <c r="FG132" vm="15594">
        <f ca="1"/>
        <v>73.44</v>
      </c>
      <c r="FH132" vm="903">
        <f ca="1"/>
        <v>73.5</v>
      </c>
      <c r="FI132" vm="985">
        <f ca="1"/>
        <v>73.03</v>
      </c>
      <c r="FJ132" vm="8904">
        <f ca="1"/>
        <v>74.099999999999994</v>
      </c>
      <c r="FK132" vm="1551">
        <f ca="1"/>
        <v>74.72</v>
      </c>
      <c r="FL132" vm="12988">
        <f ca="1"/>
        <v>73.66</v>
      </c>
      <c r="FM132" vm="7227">
        <f ca="1"/>
        <v>73.39</v>
      </c>
      <c r="FN132" vm="15749">
        <f ca="1"/>
        <v>72.8</v>
      </c>
      <c r="FO132" vm="19754">
        <f ca="1"/>
        <v>71.44</v>
      </c>
      <c r="FP132" vm="9753">
        <f ca="1"/>
        <v>71.36</v>
      </c>
      <c r="FQ132" vm="15263">
        <f ca="1"/>
        <v>71.22</v>
      </c>
      <c r="FR132" vm="8927">
        <f ca="1"/>
        <v>73.510000000000005</v>
      </c>
      <c r="FS132" vm="902">
        <f ca="1"/>
        <v>72.73</v>
      </c>
      <c r="FT132" vm="15582">
        <f ca="1"/>
        <v>72.39</v>
      </c>
      <c r="FU132" vm="19755">
        <f ca="1"/>
        <v>72.47</v>
      </c>
      <c r="FV132" vm="19756">
        <f ca="1"/>
        <v>73.64</v>
      </c>
      <c r="FW132" vm="19757">
        <f ca="1"/>
        <v>72.239999999999995</v>
      </c>
      <c r="FX132" vm="2236">
        <f ca="1"/>
        <v>71.92</v>
      </c>
      <c r="FY132" vm="905">
        <f ca="1"/>
        <v>72.91</v>
      </c>
      <c r="FZ132" vm="15588">
        <f ca="1"/>
        <v>73.069999999999993</v>
      </c>
      <c r="GA132" vm="19758">
        <f ca="1"/>
        <v>73.63</v>
      </c>
      <c r="GB132" vm="15606">
        <f ca="1"/>
        <v>74.19</v>
      </c>
      <c r="GC132" vm="19759">
        <f ca="1"/>
        <v>74.92</v>
      </c>
      <c r="GD132" vm="14536">
        <f ca="1"/>
        <v>76.650000000000006</v>
      </c>
      <c r="GE132" vm="15894">
        <f ca="1"/>
        <v>77.86</v>
      </c>
      <c r="GF132" vm="4517">
        <f ca="1"/>
        <v>78.66</v>
      </c>
      <c r="GG132" vm="444">
        <f ca="1"/>
        <v>79.19</v>
      </c>
      <c r="GH132" vm="19760">
        <f ca="1"/>
        <v>80.69</v>
      </c>
      <c r="GI132" vm="19761">
        <f ca="1"/>
        <v>79.83</v>
      </c>
      <c r="GJ132" vm="6777">
        <f ca="1"/>
        <v>80.75</v>
      </c>
      <c r="GK132" vm="7195">
        <f ca="1"/>
        <v>80.05</v>
      </c>
      <c r="GL132" vm="1879">
        <f ca="1"/>
        <v>81.56</v>
      </c>
      <c r="GM132" vm="19762">
        <f ca="1"/>
        <v>81.45</v>
      </c>
      <c r="GN132" vm="19397">
        <f ca="1"/>
        <v>80.040000000000006</v>
      </c>
      <c r="GO132" vm="19763">
        <f ca="1"/>
        <v>79.89</v>
      </c>
      <c r="GP132" vm="7217">
        <f ca="1"/>
        <v>78.87</v>
      </c>
      <c r="GQ132" vm="6007">
        <f ca="1"/>
        <v>80.239999999999995</v>
      </c>
      <c r="GR132" vm="7240">
        <f ca="1"/>
        <v>80.099999999999994</v>
      </c>
      <c r="GS132" vm="6021">
        <f ca="1"/>
        <v>81.89</v>
      </c>
      <c r="GT132" vm="15287">
        <f ca="1"/>
        <v>83.53</v>
      </c>
      <c r="GU132" vm="15357">
        <f ca="1"/>
        <v>83.85</v>
      </c>
      <c r="GV132" vm="19764">
        <f ca="1"/>
        <v>84.78</v>
      </c>
      <c r="GW132" vm="14548">
        <f ca="1"/>
        <v>83.35</v>
      </c>
      <c r="GX132" vm="10213">
        <f ca="1"/>
        <v>84.19</v>
      </c>
      <c r="GY132" vm="17738">
        <f ca="1"/>
        <v>83.43</v>
      </c>
      <c r="GZ132" vm="10138">
        <f ca="1"/>
        <v>80.72</v>
      </c>
      <c r="HA132" vm="2664">
        <f ca="1"/>
        <v>83.62</v>
      </c>
      <c r="HB132" vm="19765">
        <f ca="1"/>
        <v>82.69</v>
      </c>
      <c r="HC132" vm="968">
        <f ca="1"/>
        <v>85.17</v>
      </c>
      <c r="HD132" vm="3142">
        <f ca="1"/>
        <v>87.88</v>
      </c>
      <c r="HE132" vm="6198">
        <f ca="1"/>
        <v>88.52</v>
      </c>
      <c r="HF132" vm="16211">
        <f ca="1"/>
        <v>90.43</v>
      </c>
      <c r="HG132" vm="12531">
        <f ca="1"/>
        <v>88.64</v>
      </c>
      <c r="HH132" vm="2028">
        <f ca="1"/>
        <v>89.45</v>
      </c>
      <c r="HI132" vm="2854">
        <f ca="1"/>
        <v>90.07</v>
      </c>
      <c r="HJ132" vm="10914">
        <f ca="1"/>
        <v>92.05</v>
      </c>
      <c r="HK132" vm="12454">
        <f ca="1"/>
        <v>94.31</v>
      </c>
      <c r="HL132" vm="19766">
        <f ca="1"/>
        <v>94.45</v>
      </c>
      <c r="HM132" vm="2039">
        <f ca="1"/>
        <v>96.9</v>
      </c>
      <c r="HN132" vm="19767">
        <f ca="1"/>
        <v>95.26</v>
      </c>
      <c r="HO132" vm="19768">
        <f ca="1"/>
        <v>97</v>
      </c>
      <c r="HP132" vm="19769">
        <f ca="1"/>
        <v>100.78</v>
      </c>
      <c r="HQ132" vm="10819">
        <f ca="1"/>
        <v>95.76</v>
      </c>
      <c r="HR132" vm="4548">
        <f ca="1"/>
        <v>96.62</v>
      </c>
      <c r="HS132" vm="4542">
        <f ca="1"/>
        <v>93.51</v>
      </c>
      <c r="HT132" vm="19770">
        <f ca="1"/>
        <v>91.8</v>
      </c>
      <c r="HU132" vm="13455">
        <f ca="1"/>
        <v>95.67</v>
      </c>
      <c r="HV132" vm="16288">
        <f ca="1"/>
        <v>95.29</v>
      </c>
      <c r="HW132" vm="1324">
        <f ca="1"/>
        <v>95.92</v>
      </c>
      <c r="HX132" vm="8284">
        <f ca="1"/>
        <v>94.07</v>
      </c>
      <c r="HY132" vm="6123">
        <f ca="1"/>
        <v>94.13</v>
      </c>
      <c r="HZ132" vm="153">
        <f ca="1"/>
        <v>93.02</v>
      </c>
      <c r="IA132" vm="6829">
        <f ca="1"/>
        <v>91.59</v>
      </c>
      <c r="IB132" vm="2836">
        <f ca="1"/>
        <v>90.56</v>
      </c>
      <c r="IC132" vm="2837">
        <f ca="1"/>
        <v>88.53</v>
      </c>
      <c r="ID132" vm="2838">
        <f ca="1"/>
        <v>89.22</v>
      </c>
      <c r="IE132" vm="2839">
        <f ca="1"/>
        <v>90.3</v>
      </c>
      <c r="IF132" vm="2840">
        <f ca="1"/>
        <v>89.79</v>
      </c>
      <c r="IG132" vm="2841">
        <f ca="1"/>
        <v>91.55</v>
      </c>
      <c r="IH132" vm="2842">
        <f ca="1"/>
        <v>90.87</v>
      </c>
      <c r="II132" vm="1842">
        <f ca="1"/>
        <v>90.62</v>
      </c>
      <c r="IJ132" vm="2843">
        <f ca="1"/>
        <v>92.07</v>
      </c>
      <c r="IK132" vm="2844">
        <f ca="1"/>
        <v>93</v>
      </c>
      <c r="IL132" vm="2845">
        <f ca="1"/>
        <v>91.87</v>
      </c>
      <c r="IM132" vm="2846">
        <f ca="1"/>
        <v>94.3</v>
      </c>
      <c r="IN132" vm="2035">
        <f ca="1"/>
        <v>95.07</v>
      </c>
      <c r="IO132" vm="2847">
        <f ca="1"/>
        <v>95.57</v>
      </c>
      <c r="IP132" vm="2848">
        <f ca="1"/>
        <v>96.75</v>
      </c>
      <c r="IQ132" vm="2849">
        <f ca="1"/>
        <v>94.96</v>
      </c>
      <c r="IR132" vm="2850">
        <f ca="1"/>
        <v>92.67</v>
      </c>
      <c r="IS132" vm="2851">
        <f ca="1"/>
        <v>92.73</v>
      </c>
      <c r="IT132" vm="2852">
        <f ca="1"/>
        <v>89.52</v>
      </c>
      <c r="IU132" vm="2853">
        <f ca="1"/>
        <v>88.58</v>
      </c>
      <c r="IV132" vm="2854">
        <f ca="1"/>
        <v>90.07</v>
      </c>
      <c r="IW132" vm="95">
        <f ca="1"/>
        <v>91.34</v>
      </c>
    </row>
    <row r="133" spans="1:257" ht="16" x14ac:dyDescent="0.2">
      <c r="A133" t="e" vm="2855">
        <v>#VALUE!</v>
      </c>
      <c r="B133" s="23" t="str" cm="1">
        <f t="array" aca="1" ref="B133" ca="1">_FV(A133,"ticker symbol",TRUE)</f>
        <v>EWA</v>
      </c>
      <c r="C133" s="23" t="str" cm="1">
        <f t="array" aca="1" ref="C133" ca="1">_FV(A133,"Name")</f>
        <v>iShares:MSCI Australia</v>
      </c>
      <c r="D133" cm="1" vm="2057">
        <f t="array" aca="1" ref="D133:IW133" ca="1">TRANSPOSE(_xlfn.STOCKHISTORY(B133, WORKDAY(TODAY(), -265), TODAY(), 0, 0, 1))</f>
        <v>25.15</v>
      </c>
      <c r="E133" vm="9025">
        <f ca="1"/>
        <v>24.8</v>
      </c>
      <c r="F133" vm="19771">
        <f ca="1"/>
        <v>23.98</v>
      </c>
      <c r="G133" vm="17280">
        <f ca="1"/>
        <v>23.83</v>
      </c>
      <c r="H133" vm="3125">
        <f ca="1"/>
        <v>23.77</v>
      </c>
      <c r="I133" vm="16312">
        <f ca="1"/>
        <v>24.1</v>
      </c>
      <c r="J133" vm="16347">
        <f ca="1"/>
        <v>24.2</v>
      </c>
      <c r="K133" vm="13367">
        <f ca="1"/>
        <v>24.32</v>
      </c>
      <c r="L133" vm="19772">
        <f ca="1"/>
        <v>24.06</v>
      </c>
      <c r="M133" vm="16315">
        <f ca="1"/>
        <v>23.97</v>
      </c>
      <c r="N133" vm="19556">
        <f ca="1"/>
        <v>23.86</v>
      </c>
      <c r="O133" vm="19444">
        <f ca="1"/>
        <v>23.91</v>
      </c>
      <c r="P133" vm="16347">
        <f ca="1"/>
        <v>24.2</v>
      </c>
      <c r="Q133" vm="13359">
        <f ca="1"/>
        <v>24.33</v>
      </c>
      <c r="R133" vm="16330">
        <f ca="1"/>
        <v>24.22</v>
      </c>
      <c r="S133" vm="19773">
        <f ca="1"/>
        <v>24.36</v>
      </c>
      <c r="T133" vm="16346">
        <f ca="1"/>
        <v>23.81</v>
      </c>
      <c r="U133" vm="16363">
        <f ca="1"/>
        <v>23.88</v>
      </c>
      <c r="V133" vm="19771">
        <f ca="1"/>
        <v>23.98</v>
      </c>
      <c r="W133" vm="16327">
        <f ca="1"/>
        <v>24.35</v>
      </c>
      <c r="X133" vm="13359">
        <f ca="1"/>
        <v>24.33</v>
      </c>
      <c r="Y133" vm="2158">
        <f ca="1"/>
        <v>24.24</v>
      </c>
      <c r="Z133" vm="9025">
        <f ca="1"/>
        <v>24.8</v>
      </c>
      <c r="AA133" vm="154">
        <f ca="1"/>
        <v>24.71</v>
      </c>
      <c r="AB133" vm="18347">
        <f ca="1"/>
        <v>24.75</v>
      </c>
      <c r="AC133" vm="16336">
        <f ca="1"/>
        <v>24.91</v>
      </c>
      <c r="AD133" vm="2069">
        <f ca="1"/>
        <v>24.87</v>
      </c>
      <c r="AE133" vm="2071">
        <f ca="1"/>
        <v>24.79</v>
      </c>
      <c r="AF133" vm="13361">
        <f ca="1"/>
        <v>24.64</v>
      </c>
      <c r="AG133" vm="2055">
        <f ca="1"/>
        <v>24.95</v>
      </c>
      <c r="AH133" vm="16370">
        <f ca="1"/>
        <v>24.61</v>
      </c>
      <c r="AI133" vm="16333">
        <f ca="1"/>
        <v>24.49</v>
      </c>
      <c r="AJ133" vm="16335">
        <f ca="1"/>
        <v>24.78</v>
      </c>
      <c r="AK133" vm="16375">
        <f ca="1"/>
        <v>25.01</v>
      </c>
      <c r="AL133" vm="16342">
        <f ca="1"/>
        <v>25.13</v>
      </c>
      <c r="AM133" vm="13378">
        <f ca="1"/>
        <v>24.93</v>
      </c>
      <c r="AN133" vm="13375">
        <f ca="1"/>
        <v>25.09</v>
      </c>
      <c r="AO133" vm="2066">
        <f ca="1"/>
        <v>25.04</v>
      </c>
      <c r="AP133" vm="2065">
        <f ca="1"/>
        <v>25.26</v>
      </c>
      <c r="AQ133" vm="2061">
        <f ca="1"/>
        <v>25.66</v>
      </c>
      <c r="AR133" vm="16399">
        <f ca="1"/>
        <v>25.47</v>
      </c>
      <c r="AS133" vm="2063">
        <f ca="1"/>
        <v>25.42</v>
      </c>
      <c r="AT133" vm="2066">
        <f ca="1"/>
        <v>25.04</v>
      </c>
      <c r="AU133" vm="13375">
        <f ca="1"/>
        <v>25.09</v>
      </c>
      <c r="AV133" vm="13370">
        <f ca="1"/>
        <v>24.55</v>
      </c>
      <c r="AW133" vm="16331">
        <f ca="1"/>
        <v>24.63</v>
      </c>
      <c r="AX133" vm="13362">
        <f ca="1"/>
        <v>24.54</v>
      </c>
      <c r="AY133" vm="16365">
        <f ca="1"/>
        <v>24.44</v>
      </c>
      <c r="AZ133" vm="16323">
        <f ca="1"/>
        <v>24.07</v>
      </c>
      <c r="BA133" vm="19774">
        <f ca="1"/>
        <v>23.99</v>
      </c>
      <c r="BB133" vm="16892">
        <f ca="1"/>
        <v>23.95</v>
      </c>
      <c r="BC133" vm="19775">
        <f ca="1"/>
        <v>23.92</v>
      </c>
      <c r="BD133" vm="19776">
        <f ca="1"/>
        <v>24.41</v>
      </c>
      <c r="BE133" vm="13366">
        <f ca="1"/>
        <v>24.02</v>
      </c>
      <c r="BF133" vm="16824">
        <f ca="1"/>
        <v>23.89</v>
      </c>
      <c r="BG133" vm="16319">
        <f ca="1"/>
        <v>23.42</v>
      </c>
      <c r="BH133" vm="2425">
        <f ca="1"/>
        <v>23.32</v>
      </c>
      <c r="BI133" vm="13238">
        <f ca="1"/>
        <v>23.31</v>
      </c>
      <c r="BJ133" vm="146">
        <f ca="1"/>
        <v>23.02</v>
      </c>
      <c r="BK133" vm="18341">
        <f ca="1"/>
        <v>23.5</v>
      </c>
      <c r="BL133" vm="158">
        <f ca="1"/>
        <v>23.87</v>
      </c>
      <c r="BM133" vm="2428">
        <f ca="1"/>
        <v>23.43</v>
      </c>
      <c r="BN133" vm="16772">
        <f ca="1"/>
        <v>23.65</v>
      </c>
      <c r="BO133" vm="19777">
        <f ca="1"/>
        <v>23.53</v>
      </c>
      <c r="BP133" vm="2428">
        <f ca="1"/>
        <v>23.43</v>
      </c>
      <c r="BQ133" vm="18340">
        <f ca="1"/>
        <v>23.7</v>
      </c>
      <c r="BR133" vm="16346">
        <f ca="1"/>
        <v>23.81</v>
      </c>
      <c r="BS133" vm="16356">
        <f ca="1"/>
        <v>23.71</v>
      </c>
      <c r="BT133" vm="16317">
        <f ca="1"/>
        <v>23.75</v>
      </c>
      <c r="BU133" vm="2422">
        <f ca="1"/>
        <v>23.47</v>
      </c>
      <c r="BV133" vm="13237">
        <f ca="1"/>
        <v>23.44</v>
      </c>
      <c r="BW133" vm="16356">
        <f ca="1"/>
        <v>23.71</v>
      </c>
      <c r="BX133" vm="16824">
        <f ca="1"/>
        <v>23.89</v>
      </c>
      <c r="BY133" vm="19778">
        <f ca="1"/>
        <v>23.25</v>
      </c>
      <c r="BZ133" vm="13334">
        <f ca="1"/>
        <v>21.15</v>
      </c>
      <c r="CA133" vm="2132">
        <f ca="1"/>
        <v>20.85</v>
      </c>
      <c r="CB133" vm="16734">
        <f ca="1"/>
        <v>20.82</v>
      </c>
      <c r="CC133" vm="2469">
        <f ca="1"/>
        <v>22.81</v>
      </c>
      <c r="CD133" vm="13259">
        <f ca="1"/>
        <v>22.35</v>
      </c>
      <c r="CE133" vm="17279">
        <f ca="1"/>
        <v>22.77</v>
      </c>
      <c r="CF133" vm="19779">
        <f ca="1"/>
        <v>23.29</v>
      </c>
      <c r="CG133" vm="18337">
        <f ca="1"/>
        <v>23.36</v>
      </c>
      <c r="CH133" vm="16319">
        <f ca="1"/>
        <v>23.42</v>
      </c>
      <c r="CI133" vm="19780">
        <f ca="1"/>
        <v>23.61</v>
      </c>
      <c r="CJ133" vm="19781">
        <f ca="1"/>
        <v>23.48</v>
      </c>
      <c r="CK133" vm="19782">
        <f ca="1"/>
        <v>23.96</v>
      </c>
      <c r="CL133" vm="16351">
        <f ca="1"/>
        <v>24</v>
      </c>
      <c r="CM133" vm="9026">
        <f ca="1"/>
        <v>24.51</v>
      </c>
      <c r="CN133" vm="9026">
        <f ca="1"/>
        <v>24.51</v>
      </c>
      <c r="CO133" vm="16343">
        <f ca="1"/>
        <v>24.52</v>
      </c>
      <c r="CP133" vm="13370">
        <f ca="1"/>
        <v>24.55</v>
      </c>
      <c r="CQ133" vm="17813">
        <f ca="1"/>
        <v>24.67</v>
      </c>
      <c r="CR133" vm="18345">
        <f ca="1"/>
        <v>24.65</v>
      </c>
      <c r="CS133" vm="17823">
        <f ca="1"/>
        <v>25.31</v>
      </c>
      <c r="CT133" vm="13380">
        <f ca="1"/>
        <v>24.99</v>
      </c>
      <c r="CU133" vm="2067">
        <f ca="1"/>
        <v>25.05</v>
      </c>
      <c r="CV133" vm="13372">
        <f ca="1"/>
        <v>24.89</v>
      </c>
      <c r="CW133" vm="2056">
        <f ca="1"/>
        <v>24.83</v>
      </c>
      <c r="CX133" vm="16375">
        <f ca="1"/>
        <v>25.01</v>
      </c>
      <c r="CY133" vm="13382">
        <f ca="1"/>
        <v>25.18</v>
      </c>
      <c r="CZ133" vm="2063">
        <f ca="1"/>
        <v>25.42</v>
      </c>
      <c r="DA133" vm="16372">
        <f ca="1"/>
        <v>25.16</v>
      </c>
      <c r="DB133" vm="2060">
        <f ca="1"/>
        <v>25.55</v>
      </c>
      <c r="DC133" vm="16399">
        <f ca="1"/>
        <v>25.47</v>
      </c>
      <c r="DD133" vm="17967">
        <f ca="1"/>
        <v>25.63</v>
      </c>
      <c r="DE133" vm="17967">
        <f ca="1"/>
        <v>25.63</v>
      </c>
      <c r="DF133" vm="19559">
        <f ca="1"/>
        <v>25.41</v>
      </c>
      <c r="DG133" vm="19559">
        <f ca="1"/>
        <v>25.41</v>
      </c>
      <c r="DH133" vm="17513">
        <f ca="1"/>
        <v>25.65</v>
      </c>
      <c r="DI133" vm="17514">
        <f ca="1"/>
        <v>25.87</v>
      </c>
      <c r="DJ133" vm="16392">
        <f ca="1"/>
        <v>25.56</v>
      </c>
      <c r="DK133" vm="16393">
        <f ca="1"/>
        <v>25.64</v>
      </c>
      <c r="DL133" vm="2865">
        <f ca="1"/>
        <v>25.81</v>
      </c>
      <c r="DM133" vm="2259">
        <f ca="1"/>
        <v>26.15</v>
      </c>
      <c r="DN133" vm="19547">
        <f ca="1"/>
        <v>26.07</v>
      </c>
      <c r="DO133" vm="2867">
        <f ca="1"/>
        <v>26.33</v>
      </c>
      <c r="DP133" vm="17475">
        <f ca="1"/>
        <v>26.36</v>
      </c>
      <c r="DQ133" vm="2876">
        <f ca="1"/>
        <v>26.37</v>
      </c>
      <c r="DR133" vm="19574">
        <f ca="1"/>
        <v>26.44</v>
      </c>
      <c r="DS133" vm="2900">
        <f ca="1"/>
        <v>26.71</v>
      </c>
      <c r="DT133" vm="2871">
        <f ca="1"/>
        <v>26.6</v>
      </c>
      <c r="DU133" vm="2256">
        <f ca="1"/>
        <v>26.64</v>
      </c>
      <c r="DV133" vm="2875">
        <f ca="1"/>
        <v>26.32</v>
      </c>
      <c r="DW133" vm="2246">
        <f ca="1"/>
        <v>26.09</v>
      </c>
      <c r="DX133" vm="17517">
        <f ca="1"/>
        <v>25.77</v>
      </c>
      <c r="DY133" vm="16388">
        <f ca="1"/>
        <v>25.86</v>
      </c>
      <c r="DZ133" vm="2060">
        <f ca="1"/>
        <v>25.55</v>
      </c>
      <c r="EA133" vm="17969">
        <f ca="1"/>
        <v>25.79</v>
      </c>
      <c r="EB133" vm="2868">
        <f ca="1"/>
        <v>26.05</v>
      </c>
      <c r="EC133" vm="2805">
        <f ca="1"/>
        <v>26.03</v>
      </c>
      <c r="ED133" vm="2870">
        <f ca="1"/>
        <v>26.43</v>
      </c>
      <c r="EE133" vm="2246">
        <f ca="1"/>
        <v>26.09</v>
      </c>
      <c r="EF133" vm="2875">
        <f ca="1"/>
        <v>26.32</v>
      </c>
      <c r="EG133" vm="2862">
        <f ca="1"/>
        <v>26.35</v>
      </c>
      <c r="EH133" vm="17532">
        <f ca="1"/>
        <v>26.54</v>
      </c>
      <c r="EI133" vm="2797">
        <f ca="1"/>
        <v>26.48</v>
      </c>
      <c r="EJ133" vm="19563">
        <f ca="1"/>
        <v>25.98</v>
      </c>
      <c r="EK133" vm="91">
        <f ca="1"/>
        <v>26.14</v>
      </c>
      <c r="EL133" vm="2861">
        <f ca="1"/>
        <v>26.24</v>
      </c>
      <c r="EM133" vm="17495">
        <f ca="1"/>
        <v>26.58</v>
      </c>
      <c r="EN133" vm="17475">
        <f ca="1"/>
        <v>26.36</v>
      </c>
      <c r="EO133" vm="17473">
        <f ca="1"/>
        <v>26.39</v>
      </c>
      <c r="EP133" vm="19547">
        <f ca="1"/>
        <v>26.07</v>
      </c>
      <c r="EQ133" vm="17493">
        <f ca="1"/>
        <v>26.19</v>
      </c>
      <c r="ER133" vm="2800">
        <f ca="1"/>
        <v>26.28</v>
      </c>
      <c r="ES133" vm="2801">
        <f ca="1"/>
        <v>26.45</v>
      </c>
      <c r="ET133" vm="2876">
        <f ca="1"/>
        <v>26.37</v>
      </c>
      <c r="EU133" vm="17536">
        <f ca="1"/>
        <v>26.55</v>
      </c>
      <c r="EV133" vm="19783">
        <f ca="1"/>
        <v>26.82</v>
      </c>
      <c r="EW133" vm="17495">
        <f ca="1"/>
        <v>26.58</v>
      </c>
      <c r="EX133" vm="2797">
        <f ca="1"/>
        <v>26.48</v>
      </c>
      <c r="EY133" vm="19549">
        <f ca="1"/>
        <v>26.22</v>
      </c>
      <c r="EZ133" vm="2876">
        <f ca="1"/>
        <v>26.37</v>
      </c>
      <c r="FA133" vm="2259">
        <f ca="1"/>
        <v>26.15</v>
      </c>
      <c r="FB133" vm="16398">
        <f ca="1"/>
        <v>26.02</v>
      </c>
      <c r="FC133" vm="16387">
        <f ca="1"/>
        <v>25.91</v>
      </c>
      <c r="FD133" vm="2800">
        <f ca="1"/>
        <v>26.28</v>
      </c>
      <c r="FE133" vm="1457">
        <f ca="1"/>
        <v>26.41</v>
      </c>
      <c r="FF133" vm="17477">
        <f ca="1"/>
        <v>26.66</v>
      </c>
      <c r="FG133" vm="2871">
        <f ca="1"/>
        <v>26.6</v>
      </c>
      <c r="FH133" vm="17494">
        <f ca="1"/>
        <v>26.63</v>
      </c>
      <c r="FI133" vm="2863">
        <f ca="1"/>
        <v>26.65</v>
      </c>
      <c r="FJ133" vm="17178">
        <f ca="1"/>
        <v>26.96</v>
      </c>
      <c r="FK133" vm="17503">
        <f ca="1"/>
        <v>26.91</v>
      </c>
      <c r="FL133" vm="17498">
        <f ca="1"/>
        <v>26.74</v>
      </c>
      <c r="FM133" vm="17533">
        <f ca="1"/>
        <v>26.83</v>
      </c>
      <c r="FN133" vm="10603">
        <f ca="1"/>
        <v>26.84</v>
      </c>
      <c r="FO133" vm="17537">
        <f ca="1"/>
        <v>26.61</v>
      </c>
      <c r="FP133" vm="17507">
        <f ca="1"/>
        <v>26.7</v>
      </c>
      <c r="FQ133" vm="17496">
        <f ca="1"/>
        <v>26.86</v>
      </c>
      <c r="FR133" vm="13934">
        <f ca="1"/>
        <v>27.26</v>
      </c>
      <c r="FS133" vm="17533">
        <f ca="1"/>
        <v>26.83</v>
      </c>
      <c r="FT133" vm="17501">
        <f ca="1"/>
        <v>26.97</v>
      </c>
      <c r="FU133" vm="17972">
        <f ca="1"/>
        <v>27</v>
      </c>
      <c r="FV133" vm="2879">
        <f ca="1"/>
        <v>27.09</v>
      </c>
      <c r="FW133" vm="2899">
        <f ca="1"/>
        <v>27.08</v>
      </c>
      <c r="FX133" vm="1445">
        <f ca="1"/>
        <v>26.77</v>
      </c>
      <c r="FY133" vm="2871">
        <f ca="1"/>
        <v>26.6</v>
      </c>
      <c r="FZ133" vm="17497">
        <f ca="1"/>
        <v>26.9</v>
      </c>
      <c r="GA133" vm="101">
        <f ca="1"/>
        <v>26.93</v>
      </c>
      <c r="GB133" vm="17972">
        <f ca="1"/>
        <v>27</v>
      </c>
      <c r="GC133" vm="17512">
        <f ca="1"/>
        <v>26.89</v>
      </c>
      <c r="GD133" vm="19571">
        <f ca="1"/>
        <v>27.11</v>
      </c>
      <c r="GE133" vm="17531">
        <f ca="1"/>
        <v>27.41</v>
      </c>
      <c r="GF133" vm="9023">
        <f ca="1"/>
        <v>27.24</v>
      </c>
      <c r="GG133" vm="17485">
        <f ca="1"/>
        <v>27.57</v>
      </c>
      <c r="GH133" vm="17504">
        <f ca="1"/>
        <v>27.38</v>
      </c>
      <c r="GI133" vm="17174">
        <f ca="1"/>
        <v>27.14</v>
      </c>
      <c r="GJ133" vm="17512">
        <f ca="1"/>
        <v>26.89</v>
      </c>
      <c r="GK133" vm="17512">
        <f ca="1"/>
        <v>26.89</v>
      </c>
      <c r="GL133" vm="13935">
        <f ca="1"/>
        <v>26.92</v>
      </c>
      <c r="GM133" vm="2877">
        <f ca="1"/>
        <v>26.87</v>
      </c>
      <c r="GN133" vm="2869">
        <f ca="1"/>
        <v>26.47</v>
      </c>
      <c r="GO133" vm="2869">
        <f ca="1"/>
        <v>26.47</v>
      </c>
      <c r="GP133" vm="2872">
        <f ca="1"/>
        <v>26.67</v>
      </c>
      <c r="GQ133" vm="2878">
        <f ca="1"/>
        <v>26.98</v>
      </c>
      <c r="GR133" vm="17972">
        <f ca="1"/>
        <v>27</v>
      </c>
      <c r="GS133" vm="17973">
        <f ca="1"/>
        <v>27.15</v>
      </c>
      <c r="GT133" vm="10597">
        <f ca="1"/>
        <v>27.18</v>
      </c>
      <c r="GU133" vm="19784">
        <f ca="1"/>
        <v>27.43</v>
      </c>
      <c r="GV133" vm="17479">
        <f ca="1"/>
        <v>27.36</v>
      </c>
      <c r="GW133" vm="17174">
        <f ca="1"/>
        <v>27.14</v>
      </c>
      <c r="GX133" vm="17505">
        <f ca="1"/>
        <v>27.23</v>
      </c>
      <c r="GY133" vm="13935">
        <f ca="1"/>
        <v>26.92</v>
      </c>
      <c r="GZ133" vm="19574">
        <f ca="1"/>
        <v>26.44</v>
      </c>
      <c r="HA133" vm="17477">
        <f ca="1"/>
        <v>26.66</v>
      </c>
      <c r="HB133" vm="17507">
        <f ca="1"/>
        <v>26.7</v>
      </c>
      <c r="HC133" vm="17512">
        <f ca="1"/>
        <v>26.89</v>
      </c>
      <c r="HD133" vm="17501">
        <f ca="1"/>
        <v>26.97</v>
      </c>
      <c r="HE133" vm="13935">
        <f ca="1"/>
        <v>26.92</v>
      </c>
      <c r="HF133" vm="13934">
        <f ca="1"/>
        <v>27.26</v>
      </c>
      <c r="HG133" vm="19571">
        <f ca="1"/>
        <v>27.11</v>
      </c>
      <c r="HH133" vm="17509">
        <f ca="1"/>
        <v>27.07</v>
      </c>
      <c r="HI133" vm="19785">
        <f ca="1"/>
        <v>27.19</v>
      </c>
      <c r="HJ133" vm="10597">
        <f ca="1"/>
        <v>27.18</v>
      </c>
      <c r="HK133" vm="19786">
        <f ca="1"/>
        <v>27.37</v>
      </c>
      <c r="HL133" vm="17528">
        <f ca="1"/>
        <v>27.52</v>
      </c>
      <c r="HM133" vm="17972">
        <f ca="1"/>
        <v>27</v>
      </c>
      <c r="HN133" vm="17512">
        <f ca="1"/>
        <v>26.89</v>
      </c>
      <c r="HO133" vm="1445">
        <f ca="1"/>
        <v>26.77</v>
      </c>
      <c r="HP133" vm="10603">
        <f ca="1"/>
        <v>26.84</v>
      </c>
      <c r="HQ133" vm="1457">
        <f ca="1"/>
        <v>26.41</v>
      </c>
      <c r="HR133" vm="2872">
        <f ca="1"/>
        <v>26.67</v>
      </c>
      <c r="HS133" vm="100">
        <f ca="1"/>
        <v>26.46</v>
      </c>
      <c r="HT133" vm="19574">
        <f ca="1"/>
        <v>26.44</v>
      </c>
      <c r="HU133" vm="17492">
        <f ca="1"/>
        <v>26.81</v>
      </c>
      <c r="HV133" vm="17494">
        <f ca="1"/>
        <v>26.63</v>
      </c>
      <c r="HW133" vm="17495">
        <f ca="1"/>
        <v>26.58</v>
      </c>
      <c r="HX133" vm="1442">
        <f ca="1"/>
        <v>25.94</v>
      </c>
      <c r="HY133" vm="19582">
        <f ca="1"/>
        <v>25.95</v>
      </c>
      <c r="HZ133" vm="16393">
        <f ca="1"/>
        <v>25.64</v>
      </c>
      <c r="IA133" vm="2062">
        <f ca="1"/>
        <v>25.4</v>
      </c>
      <c r="IB133" vm="2064">
        <f ca="1"/>
        <v>25.3</v>
      </c>
      <c r="IC133" vm="2055">
        <f ca="1"/>
        <v>24.95</v>
      </c>
      <c r="ID133" vm="2856">
        <f ca="1"/>
        <v>25.33</v>
      </c>
      <c r="IE133" vm="2857">
        <f ca="1"/>
        <v>25.44</v>
      </c>
      <c r="IF133" vm="2858">
        <f ca="1"/>
        <v>25.62</v>
      </c>
      <c r="IG133" vm="1461">
        <f ca="1"/>
        <v>25.82</v>
      </c>
      <c r="IH133" vm="2248">
        <f ca="1"/>
        <v>25.85</v>
      </c>
      <c r="II133" vm="2859">
        <f ca="1"/>
        <v>25.73</v>
      </c>
      <c r="IJ133" vm="2860">
        <f ca="1"/>
        <v>25.93</v>
      </c>
      <c r="IK133" vm="2249">
        <f ca="1"/>
        <v>26.13</v>
      </c>
      <c r="IL133" vm="2251">
        <f ca="1"/>
        <v>26.29</v>
      </c>
      <c r="IM133" vm="2257">
        <f ca="1"/>
        <v>26.34</v>
      </c>
      <c r="IN133" vm="2861">
        <f ca="1"/>
        <v>26.24</v>
      </c>
      <c r="IO133" vm="2862">
        <f ca="1"/>
        <v>26.35</v>
      </c>
      <c r="IP133" vm="2863">
        <f ca="1"/>
        <v>26.65</v>
      </c>
      <c r="IQ133" vm="2256">
        <f ca="1"/>
        <v>26.64</v>
      </c>
      <c r="IR133" vm="2253">
        <f ca="1"/>
        <v>26.52</v>
      </c>
      <c r="IS133" vm="2250">
        <f ca="1"/>
        <v>26.42</v>
      </c>
      <c r="IT133" vm="1461">
        <f ca="1"/>
        <v>25.82</v>
      </c>
      <c r="IU133" vm="2864">
        <f ca="1"/>
        <v>25.58</v>
      </c>
      <c r="IV133" vm="2865">
        <f ca="1"/>
        <v>25.81</v>
      </c>
      <c r="IW133" vm="97">
        <f ca="1"/>
        <v>25.88</v>
      </c>
    </row>
    <row r="134" spans="1:257" ht="16" x14ac:dyDescent="0.2">
      <c r="A134" t="e" vm="2866">
        <v>#VALUE!</v>
      </c>
      <c r="B134" s="23" t="str" cm="1">
        <f t="array" aca="1" ref="B134" ca="1">_FV(A134,"ticker symbol",TRUE)</f>
        <v>EWM</v>
      </c>
      <c r="C134" s="23" t="str" cm="1">
        <f t="array" aca="1" ref="C134" ca="1">_FV(A134,"Name")</f>
        <v>iShares:MSCI Malaysia</v>
      </c>
      <c r="D134" cm="1" vm="18347">
        <f t="array" aca="1" ref="D134:IW134" ca="1">TRANSPOSE(_xlfn.STOCKHISTORY(B134, WORKDAY(TODAY(), -265), TODAY(), 0, 0, 1))</f>
        <v>24.75</v>
      </c>
      <c r="E134" vm="13366">
        <f ca="1"/>
        <v>24.02</v>
      </c>
      <c r="F134" vm="19780">
        <f ca="1"/>
        <v>23.61</v>
      </c>
      <c r="G134" vm="18340">
        <f ca="1"/>
        <v>23.7</v>
      </c>
      <c r="H134" vm="16362">
        <f ca="1"/>
        <v>23.74</v>
      </c>
      <c r="I134" vm="16771">
        <f ca="1"/>
        <v>23.64</v>
      </c>
      <c r="J134" vm="16363">
        <f ca="1"/>
        <v>23.88</v>
      </c>
      <c r="K134" vm="16329">
        <f ca="1"/>
        <v>24.18</v>
      </c>
      <c r="L134" vm="19787">
        <f ca="1"/>
        <v>24.31</v>
      </c>
      <c r="M134" vm="16860">
        <f ca="1"/>
        <v>24.53</v>
      </c>
      <c r="N134" vm="16860">
        <f ca="1"/>
        <v>24.53</v>
      </c>
      <c r="O134" vm="13359">
        <f ca="1"/>
        <v>24.33</v>
      </c>
      <c r="P134" vm="16352">
        <f ca="1"/>
        <v>24.34</v>
      </c>
      <c r="Q134" vm="2158">
        <f ca="1"/>
        <v>24.24</v>
      </c>
      <c r="R134" vm="16350">
        <f ca="1"/>
        <v>24.27</v>
      </c>
      <c r="S134" vm="19771">
        <f ca="1"/>
        <v>23.98</v>
      </c>
      <c r="T134" vm="16772">
        <f ca="1"/>
        <v>23.65</v>
      </c>
      <c r="U134" vm="2140">
        <f ca="1"/>
        <v>23.58</v>
      </c>
      <c r="V134" vm="17815">
        <f ca="1"/>
        <v>23.51</v>
      </c>
      <c r="W134" vm="2424">
        <f ca="1"/>
        <v>23.38</v>
      </c>
      <c r="X134" vm="16361">
        <f ca="1"/>
        <v>23.22</v>
      </c>
      <c r="Y134" vm="13237">
        <f ca="1"/>
        <v>23.44</v>
      </c>
      <c r="Z134" vm="16346">
        <f ca="1"/>
        <v>23.81</v>
      </c>
      <c r="AA134" vm="16351">
        <f ca="1"/>
        <v>24</v>
      </c>
      <c r="AB134" vm="16770">
        <f ca="1"/>
        <v>23.84</v>
      </c>
      <c r="AC134" vm="16323">
        <f ca="1"/>
        <v>24.07</v>
      </c>
      <c r="AD134" vm="13366">
        <f ca="1"/>
        <v>24.02</v>
      </c>
      <c r="AE134" vm="16310">
        <f ca="1"/>
        <v>23.82</v>
      </c>
      <c r="AF134" vm="19788">
        <f ca="1"/>
        <v>23.76</v>
      </c>
      <c r="AG134" vm="16892">
        <f ca="1"/>
        <v>23.95</v>
      </c>
      <c r="AH134" vm="16319">
        <f ca="1"/>
        <v>23.42</v>
      </c>
      <c r="AI134" vm="19437">
        <f ca="1"/>
        <v>23.37</v>
      </c>
      <c r="AJ134" vm="3124">
        <f ca="1"/>
        <v>23.72</v>
      </c>
      <c r="AK134" vm="13366">
        <f ca="1"/>
        <v>24.02</v>
      </c>
      <c r="AL134" vm="19789">
        <f ca="1"/>
        <v>24.04</v>
      </c>
      <c r="AM134" vm="16315">
        <f ca="1"/>
        <v>23.97</v>
      </c>
      <c r="AN134" vm="19790">
        <f ca="1"/>
        <v>24.09</v>
      </c>
      <c r="AO134" vm="19771">
        <f ca="1"/>
        <v>23.98</v>
      </c>
      <c r="AP134" vm="16323">
        <f ca="1"/>
        <v>24.07</v>
      </c>
      <c r="AQ134" vm="16352">
        <f ca="1"/>
        <v>24.34</v>
      </c>
      <c r="AR134" vm="19791">
        <f ca="1"/>
        <v>24.43</v>
      </c>
      <c r="AS134" vm="16323">
        <f ca="1"/>
        <v>24.07</v>
      </c>
      <c r="AT134" vm="16931">
        <f ca="1"/>
        <v>24.12</v>
      </c>
      <c r="AU134" vm="16348">
        <f ca="1"/>
        <v>24.28</v>
      </c>
      <c r="AV134" vm="16345">
        <f ca="1"/>
        <v>24.23</v>
      </c>
      <c r="AW134" vm="2158">
        <f ca="1"/>
        <v>24.24</v>
      </c>
      <c r="AX134" vm="19782">
        <f ca="1"/>
        <v>23.96</v>
      </c>
      <c r="AY134" vm="16353">
        <f ca="1"/>
        <v>24.16</v>
      </c>
      <c r="AZ134" vm="19788">
        <f ca="1"/>
        <v>23.76</v>
      </c>
      <c r="BA134" vm="19792">
        <f ca="1"/>
        <v>23.67</v>
      </c>
      <c r="BB134" vm="18348">
        <f ca="1"/>
        <v>23.4</v>
      </c>
      <c r="BC134" vm="3287">
        <f ca="1"/>
        <v>23.23</v>
      </c>
      <c r="BD134" vm="18339">
        <f ca="1"/>
        <v>23.73</v>
      </c>
      <c r="BE134" vm="16319">
        <f ca="1"/>
        <v>23.42</v>
      </c>
      <c r="BF134" vm="19779">
        <f ca="1"/>
        <v>23.29</v>
      </c>
      <c r="BG134" vm="2461">
        <f ca="1"/>
        <v>23.12</v>
      </c>
      <c r="BH134" vm="3291">
        <f ca="1"/>
        <v>23.1</v>
      </c>
      <c r="BI134" vm="2458">
        <f ca="1"/>
        <v>22.53</v>
      </c>
      <c r="BJ134" vm="13261">
        <f ca="1"/>
        <v>22.91</v>
      </c>
      <c r="BK134" vm="13248">
        <f ca="1"/>
        <v>23.21</v>
      </c>
      <c r="BL134" vm="13237">
        <f ca="1"/>
        <v>23.44</v>
      </c>
      <c r="BM134" vm="19793">
        <f ca="1"/>
        <v>23.39</v>
      </c>
      <c r="BN134" vm="2425">
        <f ca="1"/>
        <v>23.32</v>
      </c>
      <c r="BO134" vm="13356">
        <f ca="1"/>
        <v>22.94</v>
      </c>
      <c r="BP134" vm="3290">
        <f ca="1"/>
        <v>23.15</v>
      </c>
      <c r="BQ134" vm="13245">
        <f ca="1"/>
        <v>23</v>
      </c>
      <c r="BR134" vm="13246">
        <f ca="1"/>
        <v>23.17</v>
      </c>
      <c r="BS134" vm="13248">
        <f ca="1"/>
        <v>23.21</v>
      </c>
      <c r="BT134" vm="18343">
        <f ca="1"/>
        <v>23.55</v>
      </c>
      <c r="BU134" vm="13245">
        <f ca="1"/>
        <v>23</v>
      </c>
      <c r="BV134" vm="17817">
        <f ca="1"/>
        <v>23.08</v>
      </c>
      <c r="BW134" vm="2431">
        <f ca="1"/>
        <v>23.03</v>
      </c>
      <c r="BX134" vm="2425">
        <f ca="1"/>
        <v>23.32</v>
      </c>
      <c r="BY134" vm="3293">
        <f ca="1"/>
        <v>23.01</v>
      </c>
      <c r="BZ134" vm="2755">
        <f ca="1"/>
        <v>21.91</v>
      </c>
      <c r="CA134" vm="16701">
        <f ca="1"/>
        <v>21.75</v>
      </c>
      <c r="CB134" vm="16751">
        <f ca="1"/>
        <v>21.2</v>
      </c>
      <c r="CC134" vm="18308">
        <f ca="1"/>
        <v>22.14</v>
      </c>
      <c r="CD134" vm="2752">
        <f ca="1"/>
        <v>22.05</v>
      </c>
      <c r="CE134" vm="2291">
        <f ca="1"/>
        <v>22.46</v>
      </c>
      <c r="CF134" vm="17819">
        <f ca="1"/>
        <v>22.65</v>
      </c>
      <c r="CG134" vm="13244">
        <f ca="1"/>
        <v>22.63</v>
      </c>
      <c r="CH134" vm="16360">
        <f ca="1"/>
        <v>22.44</v>
      </c>
      <c r="CI134" vm="17279">
        <f ca="1"/>
        <v>22.77</v>
      </c>
      <c r="CJ134" vm="2465">
        <f ca="1"/>
        <v>23.04</v>
      </c>
      <c r="CK134" vm="13261">
        <f ca="1"/>
        <v>22.91</v>
      </c>
      <c r="CL134" vm="3292">
        <f ca="1"/>
        <v>23.07</v>
      </c>
      <c r="CM134" vm="2428">
        <f ca="1"/>
        <v>23.43</v>
      </c>
      <c r="CN134" vm="2428">
        <f ca="1"/>
        <v>23.43</v>
      </c>
      <c r="CO134" vm="16356">
        <f ca="1"/>
        <v>23.71</v>
      </c>
      <c r="CP134" vm="18340">
        <f ca="1"/>
        <v>23.7</v>
      </c>
      <c r="CQ134" vm="16313">
        <f ca="1"/>
        <v>24.17</v>
      </c>
      <c r="CR134" vm="16931">
        <f ca="1"/>
        <v>24.12</v>
      </c>
      <c r="CS134" vm="16371">
        <f ca="1"/>
        <v>24.85</v>
      </c>
      <c r="CT134" vm="16339">
        <f ca="1"/>
        <v>24.86</v>
      </c>
      <c r="CU134" vm="13361">
        <f ca="1"/>
        <v>24.64</v>
      </c>
      <c r="CV134" vm="16377">
        <f ca="1"/>
        <v>24.68</v>
      </c>
      <c r="CW134" vm="19787">
        <f ca="1"/>
        <v>24.31</v>
      </c>
      <c r="CX134" vm="16355">
        <f ca="1"/>
        <v>24.45</v>
      </c>
      <c r="CY134" vm="16934">
        <f ca="1"/>
        <v>24.5</v>
      </c>
      <c r="CZ134" vm="2069">
        <f ca="1"/>
        <v>24.87</v>
      </c>
      <c r="DA134" vm="16340">
        <f ca="1"/>
        <v>25.07</v>
      </c>
      <c r="DB134" vm="16400">
        <f ca="1"/>
        <v>25.08</v>
      </c>
      <c r="DC134" vm="2069">
        <f ca="1"/>
        <v>24.87</v>
      </c>
      <c r="DD134" vm="10596">
        <f ca="1"/>
        <v>24.69</v>
      </c>
      <c r="DE134" vm="16934">
        <f ca="1"/>
        <v>24.5</v>
      </c>
      <c r="DF134" vm="16333">
        <f ca="1"/>
        <v>24.49</v>
      </c>
      <c r="DG134" vm="2158">
        <f ca="1"/>
        <v>24.24</v>
      </c>
      <c r="DH134" vm="16332">
        <f ca="1"/>
        <v>24.58</v>
      </c>
      <c r="DI134" vm="16343">
        <f ca="1"/>
        <v>24.52</v>
      </c>
      <c r="DJ134" vm="19794">
        <f ca="1"/>
        <v>24.47</v>
      </c>
      <c r="DK134" vm="16366">
        <f ca="1"/>
        <v>24.3</v>
      </c>
      <c r="DL134" vm="19782">
        <f ca="1"/>
        <v>23.96</v>
      </c>
      <c r="DM134" vm="18344">
        <f ca="1"/>
        <v>24.15</v>
      </c>
      <c r="DN134" vm="19790">
        <f ca="1"/>
        <v>24.09</v>
      </c>
      <c r="DO134" vm="16368">
        <f ca="1"/>
        <v>24.14</v>
      </c>
      <c r="DP134" vm="19787">
        <f ca="1"/>
        <v>24.31</v>
      </c>
      <c r="DQ134" vm="16820">
        <f ca="1"/>
        <v>24.25</v>
      </c>
      <c r="DR134" vm="13367">
        <f ca="1"/>
        <v>24.32</v>
      </c>
      <c r="DS134" vm="16348">
        <f ca="1"/>
        <v>24.28</v>
      </c>
      <c r="DT134" vm="16355">
        <f ca="1"/>
        <v>24.45</v>
      </c>
      <c r="DU134" vm="13362">
        <f ca="1"/>
        <v>24.54</v>
      </c>
      <c r="DV134" vm="16324">
        <f ca="1"/>
        <v>24.26</v>
      </c>
      <c r="DW134" vm="16314">
        <f ca="1"/>
        <v>23.93</v>
      </c>
      <c r="DX134" vm="19777">
        <f ca="1"/>
        <v>23.53</v>
      </c>
      <c r="DY134" vm="16320">
        <f ca="1"/>
        <v>23.59</v>
      </c>
      <c r="DZ134" vm="19795">
        <f ca="1"/>
        <v>23.41</v>
      </c>
      <c r="EA134" vm="19777">
        <f ca="1"/>
        <v>23.53</v>
      </c>
      <c r="EB134" vm="3125">
        <f ca="1"/>
        <v>23.77</v>
      </c>
      <c r="EC134" vm="16310">
        <f ca="1"/>
        <v>23.82</v>
      </c>
      <c r="ED134" vm="16323">
        <f ca="1"/>
        <v>24.07</v>
      </c>
      <c r="EE134" vm="16323">
        <f ca="1"/>
        <v>24.07</v>
      </c>
      <c r="EF134" vm="16352">
        <f ca="1"/>
        <v>24.34</v>
      </c>
      <c r="EG134" vm="3127">
        <f ca="1"/>
        <v>24.38</v>
      </c>
      <c r="EH134" vm="19776">
        <f ca="1"/>
        <v>24.41</v>
      </c>
      <c r="EI134" vm="19776">
        <f ca="1"/>
        <v>24.41</v>
      </c>
      <c r="EJ134" vm="16314">
        <f ca="1"/>
        <v>23.93</v>
      </c>
      <c r="EK134" vm="16892">
        <f ca="1"/>
        <v>23.95</v>
      </c>
      <c r="EL134" vm="19771">
        <f ca="1"/>
        <v>23.98</v>
      </c>
      <c r="EM134" vm="19443">
        <f ca="1"/>
        <v>24.11</v>
      </c>
      <c r="EN134" vm="19796">
        <f ca="1"/>
        <v>24.08</v>
      </c>
      <c r="EO134" vm="19790">
        <f ca="1"/>
        <v>24.09</v>
      </c>
      <c r="EP134" vm="16316">
        <f ca="1"/>
        <v>23.8</v>
      </c>
      <c r="EQ134" vm="16356">
        <f ca="1"/>
        <v>23.71</v>
      </c>
      <c r="ER134" vm="16314">
        <f ca="1"/>
        <v>23.93</v>
      </c>
      <c r="ES134" vm="16314">
        <f ca="1"/>
        <v>23.93</v>
      </c>
      <c r="ET134" vm="19797">
        <f ca="1"/>
        <v>24.03</v>
      </c>
      <c r="EU134" vm="19774">
        <f ca="1"/>
        <v>23.99</v>
      </c>
      <c r="EV134" vm="19438">
        <f ca="1"/>
        <v>24.21</v>
      </c>
      <c r="EW134" vm="16366">
        <f ca="1"/>
        <v>24.3</v>
      </c>
      <c r="EX134" vm="16369">
        <f ca="1"/>
        <v>24.19</v>
      </c>
      <c r="EY134" vm="16322">
        <f ca="1"/>
        <v>24.05</v>
      </c>
      <c r="EZ134" vm="19789">
        <f ca="1"/>
        <v>24.04</v>
      </c>
      <c r="FA134" vm="16770">
        <f ca="1"/>
        <v>23.84</v>
      </c>
      <c r="FB134" vm="17812">
        <f ca="1"/>
        <v>23.49</v>
      </c>
      <c r="FC134" vm="19771">
        <f ca="1"/>
        <v>23.98</v>
      </c>
      <c r="FD134" vm="16354">
        <f ca="1"/>
        <v>24.13</v>
      </c>
      <c r="FE134" vm="2158">
        <f ca="1"/>
        <v>24.24</v>
      </c>
      <c r="FF134" vm="19798">
        <f ca="1"/>
        <v>24.4</v>
      </c>
      <c r="FG134" vm="3127">
        <f ca="1"/>
        <v>24.38</v>
      </c>
      <c r="FH134" vm="9026">
        <f ca="1"/>
        <v>24.51</v>
      </c>
      <c r="FI134" vm="16309">
        <f ca="1"/>
        <v>24.6</v>
      </c>
      <c r="FJ134" vm="16338">
        <f ca="1"/>
        <v>24.94</v>
      </c>
      <c r="FK134" vm="16381">
        <f ca="1"/>
        <v>25.27</v>
      </c>
      <c r="FL134" vm="19799">
        <f ca="1"/>
        <v>25.03</v>
      </c>
      <c r="FM134" vm="13369">
        <f ca="1"/>
        <v>24.98</v>
      </c>
      <c r="FN134" vm="16342">
        <f ca="1"/>
        <v>25.13</v>
      </c>
      <c r="FO134" vm="13382">
        <f ca="1"/>
        <v>25.18</v>
      </c>
      <c r="FP134" vm="16384">
        <f ca="1"/>
        <v>25.19</v>
      </c>
      <c r="FQ134" vm="16384">
        <f ca="1"/>
        <v>25.19</v>
      </c>
      <c r="FR134" vm="17980">
        <f ca="1"/>
        <v>25.72</v>
      </c>
      <c r="FS134" vm="2812">
        <f ca="1"/>
        <v>25.5</v>
      </c>
      <c r="FT134" vm="16342">
        <f ca="1"/>
        <v>25.13</v>
      </c>
      <c r="FU134" vm="2067">
        <f ca="1"/>
        <v>25.05</v>
      </c>
      <c r="FV134" vm="16342">
        <f ca="1"/>
        <v>25.13</v>
      </c>
      <c r="FW134" vm="2069">
        <f ca="1"/>
        <v>24.87</v>
      </c>
      <c r="FX134" vm="16337">
        <f ca="1"/>
        <v>24.73</v>
      </c>
      <c r="FY134" vm="2069">
        <f ca="1"/>
        <v>24.87</v>
      </c>
      <c r="FZ134" vm="19551">
        <f ca="1"/>
        <v>24.97</v>
      </c>
      <c r="GA134" vm="19799">
        <f ca="1"/>
        <v>25.03</v>
      </c>
      <c r="GB134" vm="2058">
        <f ca="1"/>
        <v>25.12</v>
      </c>
      <c r="GC134" vm="3126">
        <f ca="1"/>
        <v>25.17</v>
      </c>
      <c r="GD134" vm="3126">
        <f ca="1"/>
        <v>25.17</v>
      </c>
      <c r="GE134" vm="2856">
        <f ca="1"/>
        <v>25.33</v>
      </c>
      <c r="GF134" vm="16399">
        <f ca="1"/>
        <v>25.47</v>
      </c>
      <c r="GG134" vm="2060">
        <f ca="1"/>
        <v>25.55</v>
      </c>
      <c r="GH134" vm="19578">
        <f ca="1"/>
        <v>25.54</v>
      </c>
      <c r="GI134" vm="19582">
        <f ca="1"/>
        <v>25.95</v>
      </c>
      <c r="GJ134" vm="2811">
        <f ca="1"/>
        <v>25.6</v>
      </c>
      <c r="GK134" vm="17968">
        <f ca="1"/>
        <v>25.59</v>
      </c>
      <c r="GL134" vm="17969">
        <f ca="1"/>
        <v>25.79</v>
      </c>
      <c r="GM134" vm="17516">
        <f ca="1"/>
        <v>25.74</v>
      </c>
      <c r="GN134" vm="2856">
        <f ca="1"/>
        <v>25.33</v>
      </c>
      <c r="GO134" vm="16381">
        <f ca="1"/>
        <v>25.27</v>
      </c>
      <c r="GP134" vm="2859">
        <f ca="1"/>
        <v>25.73</v>
      </c>
      <c r="GQ134" vm="17518">
        <f ca="1"/>
        <v>25.78</v>
      </c>
      <c r="GR134" vm="17523">
        <f ca="1"/>
        <v>25.92</v>
      </c>
      <c r="GS134" vm="17525">
        <f ca="1"/>
        <v>26.21</v>
      </c>
      <c r="GT134" vm="17474">
        <f ca="1"/>
        <v>26.27</v>
      </c>
      <c r="GU134" vm="31">
        <f ca="1"/>
        <v>26.2</v>
      </c>
      <c r="GV134" vm="2246">
        <f ca="1"/>
        <v>26.09</v>
      </c>
      <c r="GW134" vm="17524">
        <f ca="1"/>
        <v>25.99</v>
      </c>
      <c r="GX134" vm="16398">
        <f ca="1"/>
        <v>26.02</v>
      </c>
      <c r="GY134" vm="19563">
        <f ca="1"/>
        <v>25.98</v>
      </c>
      <c r="GZ134" vm="2856">
        <f ca="1"/>
        <v>25.33</v>
      </c>
      <c r="HA134" vm="2803">
        <f ca="1"/>
        <v>25.71</v>
      </c>
      <c r="HB134" vm="17980">
        <f ca="1"/>
        <v>25.72</v>
      </c>
      <c r="HC134" vm="2061">
        <f ca="1"/>
        <v>25.66</v>
      </c>
      <c r="HD134" vm="2864">
        <f ca="1"/>
        <v>25.58</v>
      </c>
      <c r="HE134" vm="16397">
        <f ca="1"/>
        <v>25.7</v>
      </c>
      <c r="HF134" vm="1461">
        <f ca="1"/>
        <v>25.82</v>
      </c>
      <c r="HG134" vm="17516">
        <f ca="1"/>
        <v>25.74</v>
      </c>
      <c r="HH134" vm="16399">
        <f ca="1"/>
        <v>25.47</v>
      </c>
      <c r="HI134" vm="17513">
        <f ca="1"/>
        <v>25.65</v>
      </c>
      <c r="HJ134" vm="2814">
        <f ca="1"/>
        <v>25.69</v>
      </c>
      <c r="HK134" vm="2804">
        <f ca="1"/>
        <v>25.96</v>
      </c>
      <c r="HL134" vm="17522">
        <f ca="1"/>
        <v>26.01</v>
      </c>
      <c r="HM134" vm="16387">
        <f ca="1"/>
        <v>25.91</v>
      </c>
      <c r="HN134" vm="97">
        <f ca="1"/>
        <v>25.88</v>
      </c>
      <c r="HO134" vm="2248">
        <f ca="1"/>
        <v>25.85</v>
      </c>
      <c r="HP134" vm="17811">
        <f ca="1"/>
        <v>26.06</v>
      </c>
      <c r="HQ134" vm="19563">
        <f ca="1"/>
        <v>25.98</v>
      </c>
      <c r="HR134" vm="31">
        <f ca="1"/>
        <v>26.2</v>
      </c>
      <c r="HS134" vm="17522">
        <f ca="1"/>
        <v>26.01</v>
      </c>
      <c r="HT134" vm="17521">
        <f ca="1"/>
        <v>26.23</v>
      </c>
      <c r="HU134" vm="2869">
        <f ca="1"/>
        <v>26.47</v>
      </c>
      <c r="HV134" vm="1451">
        <f ca="1"/>
        <v>26.78</v>
      </c>
      <c r="HW134" vm="16426">
        <f ca="1"/>
        <v>26.53</v>
      </c>
      <c r="HX134" vm="1458">
        <f ca="1"/>
        <v>26.5</v>
      </c>
      <c r="HY134" vm="2801">
        <f ca="1"/>
        <v>26.45</v>
      </c>
      <c r="HZ134" vm="17521">
        <f ca="1"/>
        <v>26.23</v>
      </c>
      <c r="IA134" vm="17534">
        <f ca="1"/>
        <v>26.16</v>
      </c>
      <c r="IB134" vm="2867">
        <f ca="1"/>
        <v>26.33</v>
      </c>
      <c r="IC134" vm="2868">
        <f ca="1"/>
        <v>26.05</v>
      </c>
      <c r="ID134" vm="2251">
        <f ca="1"/>
        <v>26.29</v>
      </c>
      <c r="IE134" vm="2869">
        <f ca="1"/>
        <v>26.47</v>
      </c>
      <c r="IF134" vm="2255">
        <f ca="1"/>
        <v>26.49</v>
      </c>
      <c r="IG134" vm="2256">
        <f ca="1"/>
        <v>26.64</v>
      </c>
      <c r="IH134" vm="2870">
        <f ca="1"/>
        <v>26.43</v>
      </c>
      <c r="II134" vm="2871">
        <f ca="1"/>
        <v>26.6</v>
      </c>
      <c r="IJ134" vm="2872">
        <f ca="1"/>
        <v>26.67</v>
      </c>
      <c r="IK134" vm="2873">
        <f ca="1"/>
        <v>26.73</v>
      </c>
      <c r="IL134" vm="2874">
        <f ca="1"/>
        <v>26.59</v>
      </c>
      <c r="IM134" vm="2256">
        <f ca="1"/>
        <v>26.64</v>
      </c>
      <c r="IN134" vm="2875">
        <f ca="1"/>
        <v>26.32</v>
      </c>
      <c r="IO134" vm="2876">
        <f ca="1"/>
        <v>26.37</v>
      </c>
      <c r="IP134" vm="2253">
        <f ca="1"/>
        <v>26.52</v>
      </c>
      <c r="IQ134" vm="2877">
        <f ca="1"/>
        <v>26.87</v>
      </c>
      <c r="IR134" vm="2878">
        <f ca="1"/>
        <v>26.98</v>
      </c>
      <c r="IS134" vm="2879">
        <f ca="1"/>
        <v>27.09</v>
      </c>
      <c r="IT134" vm="2880">
        <f ca="1"/>
        <v>26.79</v>
      </c>
      <c r="IU134" vm="2871">
        <f ca="1"/>
        <v>26.6</v>
      </c>
      <c r="IV134" vm="2881">
        <f ca="1"/>
        <v>26.88</v>
      </c>
      <c r="IW134" vm="99">
        <f ca="1"/>
        <v>27.2</v>
      </c>
    </row>
    <row r="135" spans="1:257" ht="16" x14ac:dyDescent="0.2">
      <c r="A135" t="e" vm="2882">
        <v>#VALUE!</v>
      </c>
      <c r="B135" s="23" t="str" cm="1">
        <f t="array" aca="1" ref="B135" ca="1">_FV(A135,"ticker symbol",TRUE)</f>
        <v>EWS</v>
      </c>
      <c r="C135" s="23" t="str" cm="1">
        <f t="array" aca="1" ref="C135" ca="1">_FV(A135,"Name")</f>
        <v>iShares:MSCI Singapore</v>
      </c>
      <c r="D135" cm="1" vm="19800">
        <f t="array" aca="1" ref="D135:IW135" ca="1">TRANSPOSE(_xlfn.STOCKHISTORY(B135, WORKDAY(TODAY(), -265), TODAY(), 0, 0, 1))</f>
        <v>22.93</v>
      </c>
      <c r="E135" vm="18277">
        <f ca="1"/>
        <v>22.42</v>
      </c>
      <c r="F135" vm="13269">
        <f ca="1"/>
        <v>21.76</v>
      </c>
      <c r="G135" vm="13269">
        <f ca="1"/>
        <v>21.76</v>
      </c>
      <c r="H135" vm="16746">
        <f ca="1"/>
        <v>21.78</v>
      </c>
      <c r="I135" vm="16749">
        <f ca="1"/>
        <v>21.86</v>
      </c>
      <c r="J135" vm="13268">
        <f ca="1"/>
        <v>21.97</v>
      </c>
      <c r="K135" vm="52">
        <f ca="1"/>
        <v>22.01</v>
      </c>
      <c r="L135" vm="18319">
        <f ca="1"/>
        <v>21.88</v>
      </c>
      <c r="M135" vm="13251">
        <f ca="1"/>
        <v>21.92</v>
      </c>
      <c r="N135" vm="13333">
        <f ca="1"/>
        <v>21.85</v>
      </c>
      <c r="O135" vm="16701">
        <f ca="1"/>
        <v>21.75</v>
      </c>
      <c r="P135" vm="16749">
        <f ca="1"/>
        <v>21.86</v>
      </c>
      <c r="Q135" vm="2297">
        <f ca="1"/>
        <v>22.13</v>
      </c>
      <c r="R135" vm="18356">
        <f ca="1"/>
        <v>22</v>
      </c>
      <c r="S135" vm="2438">
        <f ca="1"/>
        <v>22.29</v>
      </c>
      <c r="T135" vm="18294">
        <f ca="1"/>
        <v>21.68</v>
      </c>
      <c r="U135" vm="13339">
        <f ca="1"/>
        <v>21.65</v>
      </c>
      <c r="V135" vm="16742">
        <f ca="1"/>
        <v>21.77</v>
      </c>
      <c r="W135" vm="13330">
        <f ca="1"/>
        <v>21.83</v>
      </c>
      <c r="X135" vm="13252">
        <f ca="1"/>
        <v>21.9</v>
      </c>
      <c r="Y135" vm="2757">
        <f ca="1"/>
        <v>22.02</v>
      </c>
      <c r="Z135" vm="2438">
        <f ca="1"/>
        <v>22.29</v>
      </c>
      <c r="AA135" vm="2295">
        <f ca="1"/>
        <v>22.18</v>
      </c>
      <c r="AB135" vm="18278">
        <f ca="1"/>
        <v>22.27</v>
      </c>
      <c r="AC135" vm="2299">
        <f ca="1"/>
        <v>22.39</v>
      </c>
      <c r="AD135" vm="13256">
        <f ca="1"/>
        <v>22.41</v>
      </c>
      <c r="AE135" vm="13257">
        <f ca="1"/>
        <v>22.5</v>
      </c>
      <c r="AF135" vm="3123">
        <f ca="1"/>
        <v>22.51</v>
      </c>
      <c r="AG135" vm="18355">
        <f ca="1"/>
        <v>22.67</v>
      </c>
      <c r="AH135" vm="2470">
        <f ca="1"/>
        <v>22.58</v>
      </c>
      <c r="AI135" vm="2437">
        <f ca="1"/>
        <v>22.48</v>
      </c>
      <c r="AJ135" vm="13354">
        <f ca="1"/>
        <v>22.72</v>
      </c>
      <c r="AK135" vm="16812">
        <f ca="1"/>
        <v>22.7</v>
      </c>
      <c r="AL135" vm="13351">
        <f ca="1"/>
        <v>22.75</v>
      </c>
      <c r="AM135" vm="18362">
        <f ca="1"/>
        <v>22.89</v>
      </c>
      <c r="AN135" vm="17817">
        <f ca="1"/>
        <v>23.08</v>
      </c>
      <c r="AO135" vm="2467">
        <f ca="1"/>
        <v>23.11</v>
      </c>
      <c r="AP135" vm="18359">
        <f ca="1"/>
        <v>23.26</v>
      </c>
      <c r="AQ135" vm="19557">
        <f ca="1"/>
        <v>23.52</v>
      </c>
      <c r="AR135" vm="18341">
        <f ca="1"/>
        <v>23.5</v>
      </c>
      <c r="AS135" vm="19556">
        <f ca="1"/>
        <v>23.86</v>
      </c>
      <c r="AT135" vm="16317">
        <f ca="1"/>
        <v>23.75</v>
      </c>
      <c r="AU135" vm="19788">
        <f ca="1"/>
        <v>23.76</v>
      </c>
      <c r="AV135" vm="19557">
        <f ca="1"/>
        <v>23.52</v>
      </c>
      <c r="AW135" vm="2422">
        <f ca="1"/>
        <v>23.47</v>
      </c>
      <c r="AX135" vm="2464">
        <f ca="1"/>
        <v>23.33</v>
      </c>
      <c r="AY135" vm="16319">
        <f ca="1"/>
        <v>23.42</v>
      </c>
      <c r="AZ135" vm="19778">
        <f ca="1"/>
        <v>23.25</v>
      </c>
      <c r="BA135" vm="19778">
        <f ca="1"/>
        <v>23.25</v>
      </c>
      <c r="BB135" vm="19778">
        <f ca="1"/>
        <v>23.25</v>
      </c>
      <c r="BC135" vm="2422">
        <f ca="1"/>
        <v>23.47</v>
      </c>
      <c r="BD135" vm="16354">
        <f ca="1"/>
        <v>24.13</v>
      </c>
      <c r="BE135" vm="16310">
        <f ca="1"/>
        <v>23.82</v>
      </c>
      <c r="BF135" vm="17280">
        <f ca="1"/>
        <v>23.83</v>
      </c>
      <c r="BG135" vm="2464">
        <f ca="1"/>
        <v>23.33</v>
      </c>
      <c r="BH135" vm="13357">
        <f ca="1"/>
        <v>23.05</v>
      </c>
      <c r="BI135" vm="2467">
        <f ca="1"/>
        <v>23.11</v>
      </c>
      <c r="BJ135" vm="3293">
        <f ca="1"/>
        <v>23.01</v>
      </c>
      <c r="BK135" vm="2429">
        <f ca="1"/>
        <v>23.28</v>
      </c>
      <c r="BL135" vm="16772">
        <f ca="1"/>
        <v>23.65</v>
      </c>
      <c r="BM135" vm="19801">
        <f ca="1"/>
        <v>23.57</v>
      </c>
      <c r="BN135" vm="3125">
        <f ca="1"/>
        <v>23.77</v>
      </c>
      <c r="BO135" vm="18339">
        <f ca="1"/>
        <v>23.73</v>
      </c>
      <c r="BP135" vm="19788">
        <f ca="1"/>
        <v>23.76</v>
      </c>
      <c r="BQ135" vm="17280">
        <f ca="1"/>
        <v>23.83</v>
      </c>
      <c r="BR135" vm="19789">
        <f ca="1"/>
        <v>24.04</v>
      </c>
      <c r="BS135" vm="19782">
        <f ca="1"/>
        <v>23.96</v>
      </c>
      <c r="BT135" vm="16313">
        <f ca="1"/>
        <v>24.17</v>
      </c>
      <c r="BU135" vm="158">
        <f ca="1"/>
        <v>23.87</v>
      </c>
      <c r="BV135" vm="19788">
        <f ca="1"/>
        <v>23.76</v>
      </c>
      <c r="BW135" vm="16770">
        <f ca="1"/>
        <v>23.84</v>
      </c>
      <c r="BX135" vm="19782">
        <f ca="1"/>
        <v>23.96</v>
      </c>
      <c r="BY135" vm="19793">
        <f ca="1"/>
        <v>23.39</v>
      </c>
      <c r="BZ135" vm="18316">
        <f ca="1"/>
        <v>21.84</v>
      </c>
      <c r="CA135" vm="13310">
        <f ca="1"/>
        <v>20.78</v>
      </c>
      <c r="CB135" vm="17562">
        <f ca="1"/>
        <v>20.22</v>
      </c>
      <c r="CC135" vm="2288">
        <f ca="1"/>
        <v>22.24</v>
      </c>
      <c r="CD135" vm="13272">
        <f ca="1"/>
        <v>21.53</v>
      </c>
      <c r="CE135" vm="2439">
        <f ca="1"/>
        <v>22.08</v>
      </c>
      <c r="CF135" vm="3129">
        <f ca="1"/>
        <v>22.12</v>
      </c>
      <c r="CG135" vm="13345">
        <f ca="1"/>
        <v>22.34</v>
      </c>
      <c r="CH135" vm="16357">
        <f ca="1"/>
        <v>22.62</v>
      </c>
      <c r="CI135" vm="3291">
        <f ca="1"/>
        <v>23.1</v>
      </c>
      <c r="CJ135" vm="3290">
        <f ca="1"/>
        <v>23.15</v>
      </c>
      <c r="CK135" vm="19557">
        <f ca="1"/>
        <v>23.52</v>
      </c>
      <c r="CL135" vm="18343">
        <f ca="1"/>
        <v>23.55</v>
      </c>
      <c r="CM135" vm="19797">
        <f ca="1"/>
        <v>24.03</v>
      </c>
      <c r="CN135" vm="16351">
        <f ca="1"/>
        <v>24</v>
      </c>
      <c r="CO135" vm="16313">
        <f ca="1"/>
        <v>24.17</v>
      </c>
      <c r="CP135" vm="16313">
        <f ca="1"/>
        <v>24.17</v>
      </c>
      <c r="CQ135" vm="13359">
        <f ca="1"/>
        <v>24.33</v>
      </c>
      <c r="CR135" vm="16328">
        <f ca="1"/>
        <v>24.39</v>
      </c>
      <c r="CS135" vm="13372">
        <f ca="1"/>
        <v>24.89</v>
      </c>
      <c r="CT135" vm="2066">
        <f ca="1"/>
        <v>25.04</v>
      </c>
      <c r="CU135" vm="19799">
        <f ca="1"/>
        <v>25.03</v>
      </c>
      <c r="CV135" vm="16380">
        <f ca="1"/>
        <v>24.96</v>
      </c>
      <c r="CW135" vm="16376">
        <f ca="1"/>
        <v>24.74</v>
      </c>
      <c r="CX135" vm="16338">
        <f ca="1"/>
        <v>24.94</v>
      </c>
      <c r="CY135" vm="2058">
        <f ca="1"/>
        <v>25.12</v>
      </c>
      <c r="CZ135" vm="13376">
        <f ca="1"/>
        <v>25.21</v>
      </c>
      <c r="DA135" vm="16391">
        <f ca="1"/>
        <v>25.25</v>
      </c>
      <c r="DB135" vm="17968">
        <f ca="1"/>
        <v>25.59</v>
      </c>
      <c r="DC135" vm="2807">
        <f ca="1"/>
        <v>25.67</v>
      </c>
      <c r="DD135" vm="2247">
        <f ca="1"/>
        <v>25.68</v>
      </c>
      <c r="DE135" vm="2807">
        <f ca="1"/>
        <v>25.67</v>
      </c>
      <c r="DF135" vm="17968">
        <f ca="1"/>
        <v>25.59</v>
      </c>
      <c r="DG135" vm="16397">
        <f ca="1"/>
        <v>25.7</v>
      </c>
      <c r="DH135" vm="17969">
        <f ca="1"/>
        <v>25.79</v>
      </c>
      <c r="DI135" vm="17524">
        <f ca="1"/>
        <v>25.99</v>
      </c>
      <c r="DJ135" vm="17970">
        <f ca="1"/>
        <v>26</v>
      </c>
      <c r="DK135" vm="97">
        <f ca="1"/>
        <v>25.88</v>
      </c>
      <c r="DL135" vm="17516">
        <f ca="1"/>
        <v>25.74</v>
      </c>
      <c r="DM135" vm="2805">
        <f ca="1"/>
        <v>26.03</v>
      </c>
      <c r="DN135" vm="17522">
        <f ca="1"/>
        <v>26.01</v>
      </c>
      <c r="DO135" vm="91">
        <f ca="1"/>
        <v>26.14</v>
      </c>
      <c r="DP135" vm="2862">
        <f ca="1"/>
        <v>26.35</v>
      </c>
      <c r="DQ135" vm="1454">
        <f ca="1"/>
        <v>26.31</v>
      </c>
      <c r="DR135" vm="17525">
        <f ca="1"/>
        <v>26.21</v>
      </c>
      <c r="DS135" vm="17515">
        <f ca="1"/>
        <v>25.89</v>
      </c>
      <c r="DT135" vm="17500">
        <f ca="1"/>
        <v>25.76</v>
      </c>
      <c r="DU135" vm="17519">
        <f ca="1"/>
        <v>25.9</v>
      </c>
      <c r="DV135" vm="17516">
        <f ca="1"/>
        <v>25.74</v>
      </c>
      <c r="DW135" vm="16382">
        <f ca="1"/>
        <v>25.49</v>
      </c>
      <c r="DX135" vm="2812">
        <f ca="1"/>
        <v>25.5</v>
      </c>
      <c r="DY135" vm="2059">
        <f ca="1"/>
        <v>25.39</v>
      </c>
      <c r="DZ135" vm="19550">
        <f ca="1"/>
        <v>25.1</v>
      </c>
      <c r="EA135" vm="16384">
        <f ca="1"/>
        <v>25.19</v>
      </c>
      <c r="EB135" vm="16399">
        <f ca="1"/>
        <v>25.47</v>
      </c>
      <c r="EC135" vm="16396">
        <f ca="1"/>
        <v>25.48</v>
      </c>
      <c r="ED135" vm="2865">
        <f ca="1"/>
        <v>25.81</v>
      </c>
      <c r="EE135" vm="16387">
        <f ca="1"/>
        <v>25.91</v>
      </c>
      <c r="EF135" vm="19563">
        <f ca="1"/>
        <v>25.98</v>
      </c>
      <c r="EG135" vm="19577">
        <f ca="1"/>
        <v>25.8</v>
      </c>
      <c r="EH135" vm="17515">
        <f ca="1"/>
        <v>25.89</v>
      </c>
      <c r="EI135" vm="97">
        <f ca="1"/>
        <v>25.88</v>
      </c>
      <c r="EJ135" vm="17520">
        <f ca="1"/>
        <v>25.97</v>
      </c>
      <c r="EK135" vm="13383">
        <f ca="1"/>
        <v>26.08</v>
      </c>
      <c r="EL135" vm="2257">
        <f ca="1"/>
        <v>26.34</v>
      </c>
      <c r="EM135" vm="1454">
        <f ca="1"/>
        <v>26.31</v>
      </c>
      <c r="EN135" vm="2861">
        <f ca="1"/>
        <v>26.24</v>
      </c>
      <c r="EO135" vm="2255">
        <f ca="1"/>
        <v>26.49</v>
      </c>
      <c r="EP135" vm="19802">
        <f ca="1"/>
        <v>26.56</v>
      </c>
      <c r="EQ135" vm="17512">
        <f ca="1"/>
        <v>26.89</v>
      </c>
      <c r="ER135" vm="17973">
        <f ca="1"/>
        <v>27.15</v>
      </c>
      <c r="ES135" vm="9023">
        <f ca="1"/>
        <v>27.24</v>
      </c>
      <c r="ET135" vm="16425">
        <f ca="1"/>
        <v>27.16</v>
      </c>
      <c r="EU135" vm="16425">
        <f ca="1"/>
        <v>27.16</v>
      </c>
      <c r="EV135" vm="19803">
        <f ca="1"/>
        <v>27.35</v>
      </c>
      <c r="EW135" vm="2895">
        <f ca="1"/>
        <v>27.49</v>
      </c>
      <c r="EX135" vm="2894">
        <f ca="1"/>
        <v>27.48</v>
      </c>
      <c r="EY135" vm="10597">
        <f ca="1"/>
        <v>27.18</v>
      </c>
      <c r="EZ135" vm="17489">
        <f ca="1"/>
        <v>27.03</v>
      </c>
      <c r="FA135" vm="1445">
        <f ca="1"/>
        <v>26.77</v>
      </c>
      <c r="FB135" vm="2869">
        <f ca="1"/>
        <v>26.47</v>
      </c>
      <c r="FC135" vm="16426">
        <f ca="1"/>
        <v>26.53</v>
      </c>
      <c r="FD135" vm="17178">
        <f ca="1"/>
        <v>26.96</v>
      </c>
      <c r="FE135" vm="2880">
        <f ca="1"/>
        <v>26.79</v>
      </c>
      <c r="FF135" vm="17503">
        <f ca="1"/>
        <v>26.91</v>
      </c>
      <c r="FG135" vm="17511">
        <f ca="1"/>
        <v>27.17</v>
      </c>
      <c r="FH135" vm="2879">
        <f ca="1"/>
        <v>27.09</v>
      </c>
      <c r="FI135" vm="13935">
        <f ca="1"/>
        <v>26.92</v>
      </c>
      <c r="FJ135" vm="17170">
        <f ca="1"/>
        <v>27.81</v>
      </c>
      <c r="FK135" vm="17805">
        <f ca="1"/>
        <v>28.09</v>
      </c>
      <c r="FL135" vm="2898">
        <f ca="1"/>
        <v>27.73</v>
      </c>
      <c r="FM135" vm="2897">
        <f ca="1"/>
        <v>27.74</v>
      </c>
      <c r="FN135" vm="1448">
        <f ca="1"/>
        <v>27.55</v>
      </c>
      <c r="FO135" vm="17483">
        <f ca="1"/>
        <v>27.64</v>
      </c>
      <c r="FP135" vm="16428">
        <f ca="1"/>
        <v>27.68</v>
      </c>
      <c r="FQ135" vm="16428">
        <f ca="1"/>
        <v>27.68</v>
      </c>
      <c r="FR135" vm="10593">
        <f ca="1"/>
        <v>28.27</v>
      </c>
      <c r="FS135" vm="13951">
        <f ca="1"/>
        <v>28.1</v>
      </c>
      <c r="FT135" vm="17179">
        <f ca="1"/>
        <v>28.04</v>
      </c>
      <c r="FU135" vm="2886">
        <f ca="1"/>
        <v>27.89</v>
      </c>
      <c r="FV135" vm="2892">
        <f ca="1"/>
        <v>28.02</v>
      </c>
      <c r="FW135" vm="13951">
        <f ca="1"/>
        <v>28.1</v>
      </c>
      <c r="FX135" vm="17182">
        <f ca="1"/>
        <v>28</v>
      </c>
      <c r="FY135" vm="2892">
        <f ca="1"/>
        <v>28.02</v>
      </c>
      <c r="FZ135" vm="13957">
        <f ca="1"/>
        <v>28.29</v>
      </c>
      <c r="GA135" vm="19804">
        <f ca="1"/>
        <v>28.53</v>
      </c>
      <c r="GB135" vm="17988">
        <f ca="1"/>
        <v>28.61</v>
      </c>
      <c r="GC135" vm="17985">
        <f ca="1"/>
        <v>28.54</v>
      </c>
      <c r="GD135" vm="16500">
        <f ca="1"/>
        <v>28.94</v>
      </c>
      <c r="GE135" vm="19805">
        <f ca="1"/>
        <v>29.15</v>
      </c>
      <c r="GF135" vm="13944">
        <f ca="1"/>
        <v>29.01</v>
      </c>
      <c r="GG135" vm="10548">
        <f ca="1"/>
        <v>29</v>
      </c>
      <c r="GH135" vm="17810">
        <f ca="1"/>
        <v>28.92</v>
      </c>
      <c r="GI135" vm="19806">
        <f ca="1"/>
        <v>28.73</v>
      </c>
      <c r="GJ135" vm="19300">
        <f ca="1"/>
        <v>28.79</v>
      </c>
      <c r="GK135" vm="17187">
        <f ca="1"/>
        <v>28.83</v>
      </c>
      <c r="GL135" vm="9022">
        <f ca="1"/>
        <v>28.93</v>
      </c>
      <c r="GM135" vm="17183">
        <f ca="1"/>
        <v>28.67</v>
      </c>
      <c r="GN135" vm="2968">
        <f ca="1"/>
        <v>28.41</v>
      </c>
      <c r="GO135" vm="18006">
        <f ca="1"/>
        <v>28.24</v>
      </c>
      <c r="GP135" vm="19807">
        <f ca="1"/>
        <v>28.35</v>
      </c>
      <c r="GQ135" vm="13957">
        <f ca="1"/>
        <v>28.29</v>
      </c>
      <c r="GR135" vm="18012">
        <f ca="1"/>
        <v>28.34</v>
      </c>
      <c r="GS135" vm="17987">
        <f ca="1"/>
        <v>28.58</v>
      </c>
      <c r="GT135" vm="17810">
        <f ca="1"/>
        <v>28.92</v>
      </c>
      <c r="GU135" vm="10560">
        <f ca="1"/>
        <v>29.08</v>
      </c>
      <c r="GV135" vm="9038">
        <f ca="1"/>
        <v>29.24</v>
      </c>
      <c r="GW135" vm="16423">
        <f ca="1"/>
        <v>29.52</v>
      </c>
      <c r="GX135" vm="2090">
        <f ca="1"/>
        <v>29.41</v>
      </c>
      <c r="GY135" vm="2092">
        <f ca="1"/>
        <v>29.02</v>
      </c>
      <c r="GZ135" vm="13938">
        <f ca="1"/>
        <v>28.33</v>
      </c>
      <c r="HA135" vm="17987">
        <f ca="1"/>
        <v>28.58</v>
      </c>
      <c r="HB135" vm="2968">
        <f ca="1"/>
        <v>28.41</v>
      </c>
      <c r="HC135" vm="2974">
        <f ca="1"/>
        <v>28.11</v>
      </c>
      <c r="HD135" vm="2983">
        <f ca="1"/>
        <v>27.98</v>
      </c>
      <c r="HE135" vm="111">
        <f ca="1"/>
        <v>28.07</v>
      </c>
      <c r="HF135" vm="17488">
        <f ca="1"/>
        <v>28.38</v>
      </c>
      <c r="HG135" vm="13956">
        <f ca="1"/>
        <v>28.13</v>
      </c>
      <c r="HH135" vm="17182">
        <f ca="1"/>
        <v>28</v>
      </c>
      <c r="HI135" vm="17196">
        <f ca="1"/>
        <v>28.28</v>
      </c>
      <c r="HJ135" vm="10605">
        <f ca="1"/>
        <v>28.36</v>
      </c>
      <c r="HK135" vm="19808">
        <f ca="1"/>
        <v>28.7</v>
      </c>
      <c r="HL135" vm="2081">
        <f ca="1"/>
        <v>28.81</v>
      </c>
      <c r="HM135" vm="19809">
        <f ca="1"/>
        <v>28.43</v>
      </c>
      <c r="HN135" vm="2968">
        <f ca="1"/>
        <v>28.41</v>
      </c>
      <c r="HO135" vm="13958">
        <f ca="1"/>
        <v>28.45</v>
      </c>
      <c r="HP135" vm="13947">
        <f ca="1"/>
        <v>28.47</v>
      </c>
      <c r="HQ135" vm="2888">
        <f ca="1"/>
        <v>28.12</v>
      </c>
      <c r="HR135" vm="2976">
        <f ca="1"/>
        <v>28.16</v>
      </c>
      <c r="HS135" vm="17188">
        <f ca="1"/>
        <v>28.4</v>
      </c>
      <c r="HT135" vm="18011">
        <f ca="1"/>
        <v>28.42</v>
      </c>
      <c r="HU135" vm="19810">
        <f ca="1"/>
        <v>28.68</v>
      </c>
      <c r="HV135" vm="19811">
        <f ca="1"/>
        <v>28.78</v>
      </c>
      <c r="HW135" vm="13963">
        <f ca="1"/>
        <v>28.69</v>
      </c>
      <c r="HX135" vm="13957">
        <f ca="1"/>
        <v>28.29</v>
      </c>
      <c r="HY135" vm="13988">
        <f ca="1"/>
        <v>28.44</v>
      </c>
      <c r="HZ135" vm="13938">
        <f ca="1"/>
        <v>28.33</v>
      </c>
      <c r="IA135" vm="13957">
        <f ca="1"/>
        <v>28.29</v>
      </c>
      <c r="IB135" vm="2883">
        <f ca="1"/>
        <v>28.22</v>
      </c>
      <c r="IC135" vm="2884">
        <f ca="1"/>
        <v>27.58</v>
      </c>
      <c r="ID135" vm="2885">
        <f ca="1"/>
        <v>27.62</v>
      </c>
      <c r="IE135" vm="2886">
        <f ca="1"/>
        <v>27.89</v>
      </c>
      <c r="IF135" vm="2887">
        <f ca="1"/>
        <v>27.99</v>
      </c>
      <c r="IG135" vm="2888">
        <f ca="1"/>
        <v>28.12</v>
      </c>
      <c r="IH135" vm="2889">
        <f ca="1"/>
        <v>28.39</v>
      </c>
      <c r="II135" vm="2887">
        <f ca="1"/>
        <v>27.99</v>
      </c>
      <c r="IJ135" vm="2890">
        <f ca="1"/>
        <v>28.2</v>
      </c>
      <c r="IK135" vm="2891">
        <f ca="1"/>
        <v>28.15</v>
      </c>
      <c r="IL135" vm="2892">
        <f ca="1"/>
        <v>28.02</v>
      </c>
      <c r="IM135" vm="2893">
        <f ca="1"/>
        <v>27.82</v>
      </c>
      <c r="IN135" vm="2894">
        <f ca="1"/>
        <v>27.48</v>
      </c>
      <c r="IO135" vm="2895">
        <f ca="1"/>
        <v>27.49</v>
      </c>
      <c r="IP135" vm="2884">
        <f ca="1"/>
        <v>27.58</v>
      </c>
      <c r="IQ135" vm="2896">
        <f ca="1"/>
        <v>27.77</v>
      </c>
      <c r="IR135" vm="2897">
        <f ca="1"/>
        <v>27.74</v>
      </c>
      <c r="IS135" vm="2898">
        <f ca="1"/>
        <v>27.73</v>
      </c>
      <c r="IT135" vm="2899">
        <f ca="1"/>
        <v>27.08</v>
      </c>
      <c r="IU135" vm="2900">
        <f ca="1"/>
        <v>26.71</v>
      </c>
      <c r="IV135" vm="2877">
        <f ca="1"/>
        <v>26.87</v>
      </c>
      <c r="IW135" vm="101">
        <f ca="1"/>
        <v>26.93</v>
      </c>
    </row>
    <row r="136" spans="1:257" ht="16" x14ac:dyDescent="0.2">
      <c r="A136" t="e" vm="2901">
        <v>#VALUE!</v>
      </c>
      <c r="B136" s="23" t="str" cm="1">
        <f t="array" aca="1" ref="B136" ca="1">_FV(A136,"ticker symbol",TRUE)</f>
        <v>EWC</v>
      </c>
      <c r="C136" s="23" t="str" cm="1">
        <f t="array" aca="1" ref="C136" ca="1">_FV(A136,"Name")</f>
        <v>iShares:MSCI Canada</v>
      </c>
      <c r="D136" cm="1" vm="6937">
        <f t="array" aca="1" ref="D136:IW136" ca="1">TRANSPOSE(_xlfn.STOCKHISTORY(B136, WORKDAY(TODAY(), -265), TODAY(), 0, 0, 1))</f>
        <v>41.8</v>
      </c>
      <c r="E136" vm="557">
        <f ca="1"/>
        <v>41</v>
      </c>
      <c r="F136" vm="12734">
        <f ca="1"/>
        <v>39.85</v>
      </c>
      <c r="G136" vm="2622">
        <f ca="1"/>
        <v>39.64</v>
      </c>
      <c r="H136" vm="9131">
        <f ca="1"/>
        <v>39.93</v>
      </c>
      <c r="I136" vm="6869">
        <f ca="1"/>
        <v>40.15</v>
      </c>
      <c r="J136" vm="12778">
        <f ca="1"/>
        <v>40.46</v>
      </c>
      <c r="K136" vm="6911">
        <f ca="1"/>
        <v>40.42</v>
      </c>
      <c r="L136" vm="9193">
        <f ca="1"/>
        <v>40.22</v>
      </c>
      <c r="M136" vm="9154">
        <f ca="1"/>
        <v>40.090000000000003</v>
      </c>
      <c r="N136" vm="9194">
        <f ca="1"/>
        <v>40.299999999999997</v>
      </c>
      <c r="O136" vm="6863">
        <f ca="1"/>
        <v>40.35</v>
      </c>
      <c r="P136" vm="6913">
        <f ca="1"/>
        <v>40.590000000000003</v>
      </c>
      <c r="Q136" vm="6901">
        <f ca="1"/>
        <v>40.82</v>
      </c>
      <c r="R136" vm="560">
        <f ca="1"/>
        <v>40.58</v>
      </c>
      <c r="S136" vm="561">
        <f ca="1"/>
        <v>40.799999999999997</v>
      </c>
      <c r="T136" vm="4834">
        <f ca="1"/>
        <v>40.020000000000003</v>
      </c>
      <c r="U136" vm="6908">
        <f ca="1"/>
        <v>39.840000000000003</v>
      </c>
      <c r="V136" vm="19424">
        <f ca="1"/>
        <v>40.07</v>
      </c>
      <c r="W136" vm="559">
        <f ca="1"/>
        <v>40.5</v>
      </c>
      <c r="X136" vm="17840">
        <f ca="1"/>
        <v>40.409999999999997</v>
      </c>
      <c r="Y136" vm="564">
        <f ca="1"/>
        <v>40.549999999999997</v>
      </c>
      <c r="Z136" vm="311">
        <f ca="1"/>
        <v>41.23</v>
      </c>
      <c r="AA136" vm="6945">
        <f ca="1"/>
        <v>41.06</v>
      </c>
      <c r="AB136" vm="6879">
        <f ca="1"/>
        <v>41.45</v>
      </c>
      <c r="AC136" vm="6919">
        <f ca="1"/>
        <v>41.65</v>
      </c>
      <c r="AD136" vm="6925">
        <f ca="1"/>
        <v>41.31</v>
      </c>
      <c r="AE136" vm="310">
        <f ca="1"/>
        <v>41.36</v>
      </c>
      <c r="AF136" vm="6920">
        <f ca="1"/>
        <v>41.49</v>
      </c>
      <c r="AG136" vm="6936">
        <f ca="1"/>
        <v>41.78</v>
      </c>
      <c r="AH136" vm="12799">
        <f ca="1"/>
        <v>41.22</v>
      </c>
      <c r="AI136" vm="560">
        <f ca="1"/>
        <v>40.58</v>
      </c>
      <c r="AJ136" vm="6897">
        <f ca="1"/>
        <v>41.32</v>
      </c>
      <c r="AK136" vm="19431">
        <f ca="1"/>
        <v>41.74</v>
      </c>
      <c r="AL136" vm="6937">
        <f ca="1"/>
        <v>41.8</v>
      </c>
      <c r="AM136" vm="6919">
        <f ca="1"/>
        <v>41.65</v>
      </c>
      <c r="AN136" vm="19433">
        <f ca="1"/>
        <v>42.02</v>
      </c>
      <c r="AO136" vm="12758">
        <f ca="1"/>
        <v>42.07</v>
      </c>
      <c r="AP136" vm="6878">
        <f ca="1"/>
        <v>41.96</v>
      </c>
      <c r="AQ136" vm="2680">
        <f ca="1"/>
        <v>42.52</v>
      </c>
      <c r="AR136" vm="9149">
        <f ca="1"/>
        <v>42.17</v>
      </c>
      <c r="AS136" vm="12805">
        <f ca="1"/>
        <v>42.44</v>
      </c>
      <c r="AT136" vm="6887">
        <f ca="1"/>
        <v>42.23</v>
      </c>
      <c r="AU136" vm="16581">
        <f ca="1"/>
        <v>42.22</v>
      </c>
      <c r="AV136" vm="6877">
        <f ca="1"/>
        <v>41.55</v>
      </c>
      <c r="AW136" vm="19340">
        <f ca="1"/>
        <v>41.38</v>
      </c>
      <c r="AX136" vm="6882">
        <f ca="1"/>
        <v>41.35</v>
      </c>
      <c r="AY136" vm="6876">
        <f ca="1"/>
        <v>41.43</v>
      </c>
      <c r="AZ136" vm="561">
        <f ca="1"/>
        <v>40.799999999999997</v>
      </c>
      <c r="BA136" vm="311">
        <f ca="1"/>
        <v>41.23</v>
      </c>
      <c r="BB136" vm="6910">
        <f ca="1"/>
        <v>40.450000000000003</v>
      </c>
      <c r="BC136" vm="19343">
        <f ca="1"/>
        <v>39.770000000000003</v>
      </c>
      <c r="BD136" vm="565">
        <f ca="1"/>
        <v>40.729999999999997</v>
      </c>
      <c r="BE136" vm="550">
        <f ca="1"/>
        <v>40.369999999999997</v>
      </c>
      <c r="BF136" vm="6912">
        <f ca="1"/>
        <v>40.47</v>
      </c>
      <c r="BG136" vm="6871">
        <f ca="1"/>
        <v>39.68</v>
      </c>
      <c r="BH136" vm="16013">
        <f ca="1"/>
        <v>39.479999999999997</v>
      </c>
      <c r="BI136" vm="6908">
        <f ca="1"/>
        <v>39.840000000000003</v>
      </c>
      <c r="BJ136" vm="19812">
        <f ca="1"/>
        <v>39.299999999999997</v>
      </c>
      <c r="BK136" vm="19813">
        <f ca="1"/>
        <v>40.11</v>
      </c>
      <c r="BL136" vm="13788">
        <f ca="1"/>
        <v>40.69</v>
      </c>
      <c r="BM136" vm="2714">
        <f ca="1"/>
        <v>40.520000000000003</v>
      </c>
      <c r="BN136" vm="13803">
        <f ca="1"/>
        <v>41.04</v>
      </c>
      <c r="BO136" vm="13799">
        <f ca="1"/>
        <v>41.03</v>
      </c>
      <c r="BP136" vm="6963">
        <f ca="1"/>
        <v>40.880000000000003</v>
      </c>
      <c r="BQ136" vm="6880">
        <f ca="1"/>
        <v>41.51</v>
      </c>
      <c r="BR136" vm="10025">
        <f ca="1"/>
        <v>41.71</v>
      </c>
      <c r="BS136" vm="19340">
        <f ca="1"/>
        <v>41.38</v>
      </c>
      <c r="BT136" vm="6943">
        <f ca="1"/>
        <v>41.25</v>
      </c>
      <c r="BU136" vm="9125">
        <f ca="1"/>
        <v>40.57</v>
      </c>
      <c r="BV136" vm="562">
        <f ca="1"/>
        <v>40.75</v>
      </c>
      <c r="BW136" vm="300">
        <f ca="1"/>
        <v>41.13</v>
      </c>
      <c r="BX136" vm="2324">
        <f ca="1"/>
        <v>41.59</v>
      </c>
      <c r="BY136" vm="12737">
        <f ca="1"/>
        <v>40.619999999999997</v>
      </c>
      <c r="BZ136" vm="10688">
        <f ca="1"/>
        <v>38.409999999999997</v>
      </c>
      <c r="CA136" vm="10689">
        <f ca="1"/>
        <v>37.79</v>
      </c>
      <c r="CB136" vm="9185">
        <f ca="1"/>
        <v>37.17</v>
      </c>
      <c r="CC136" vm="12782">
        <f ca="1"/>
        <v>39.54</v>
      </c>
      <c r="CD136" vm="2632">
        <f ca="1"/>
        <v>38.74</v>
      </c>
      <c r="CE136" vm="12786">
        <f ca="1"/>
        <v>39.869999999999997</v>
      </c>
      <c r="CF136" vm="12736">
        <f ca="1"/>
        <v>40.44</v>
      </c>
      <c r="CG136" vm="6914">
        <f ca="1"/>
        <v>40.53</v>
      </c>
      <c r="CH136" vm="6964">
        <f ca="1"/>
        <v>40.83</v>
      </c>
      <c r="CI136" vm="6875">
        <f ca="1"/>
        <v>41.1</v>
      </c>
      <c r="CJ136" vm="6922">
        <f ca="1"/>
        <v>40.770000000000003</v>
      </c>
      <c r="CK136" vm="306">
        <f ca="1"/>
        <v>41.39</v>
      </c>
      <c r="CL136" vm="19814">
        <f ca="1"/>
        <v>41.52</v>
      </c>
      <c r="CM136" vm="2678">
        <f ca="1"/>
        <v>42.06</v>
      </c>
      <c r="CN136" vm="6959">
        <f ca="1"/>
        <v>42.04</v>
      </c>
      <c r="CO136" vm="13804">
        <f ca="1"/>
        <v>42.37</v>
      </c>
      <c r="CP136" vm="1359">
        <f ca="1"/>
        <v>42.45</v>
      </c>
      <c r="CQ136" vm="1359">
        <f ca="1"/>
        <v>42.45</v>
      </c>
      <c r="CR136" vm="6952">
        <f ca="1"/>
        <v>42.31</v>
      </c>
      <c r="CS136" vm="11032">
        <f ca="1"/>
        <v>42.84</v>
      </c>
      <c r="CT136" vm="6892">
        <f ca="1"/>
        <v>42.66</v>
      </c>
      <c r="CU136" vm="9151">
        <f ca="1"/>
        <v>42.77</v>
      </c>
      <c r="CV136" vm="1373">
        <f ca="1"/>
        <v>42.89</v>
      </c>
      <c r="CW136" vm="19063">
        <f ca="1"/>
        <v>42.81</v>
      </c>
      <c r="CX136" vm="6893">
        <f ca="1"/>
        <v>42.85</v>
      </c>
      <c r="CY136" vm="2686">
        <f ca="1"/>
        <v>43.08</v>
      </c>
      <c r="CZ136" vm="12806">
        <f ca="1"/>
        <v>43.4</v>
      </c>
      <c r="DA136" vm="19435">
        <f ca="1"/>
        <v>43.44</v>
      </c>
      <c r="DB136" vm="13781">
        <f ca="1"/>
        <v>43.83</v>
      </c>
      <c r="DC136" vm="19815">
        <f ca="1"/>
        <v>43.89</v>
      </c>
      <c r="DD136" vm="13784">
        <f ca="1"/>
        <v>44.05</v>
      </c>
      <c r="DE136" vm="13780">
        <f ca="1"/>
        <v>44.19</v>
      </c>
      <c r="DF136" vm="598">
        <f ca="1"/>
        <v>43.94</v>
      </c>
      <c r="DG136" vm="9203">
        <f ca="1"/>
        <v>44</v>
      </c>
      <c r="DH136" vm="12060">
        <f ca="1"/>
        <v>44.44</v>
      </c>
      <c r="DI136" vm="9216">
        <f ca="1"/>
        <v>44.82</v>
      </c>
      <c r="DJ136" vm="1181">
        <f ca="1"/>
        <v>44.76</v>
      </c>
      <c r="DK136" vm="465">
        <f ca="1"/>
        <v>44.78</v>
      </c>
      <c r="DL136" vm="2590">
        <f ca="1"/>
        <v>44.96</v>
      </c>
      <c r="DM136" vm="12096">
        <f ca="1"/>
        <v>45.39</v>
      </c>
      <c r="DN136" vm="9222">
        <f ca="1"/>
        <v>45.34</v>
      </c>
      <c r="DO136" vm="2586">
        <f ca="1"/>
        <v>45.25</v>
      </c>
      <c r="DP136" vm="12083">
        <f ca="1"/>
        <v>45.32</v>
      </c>
      <c r="DQ136" vm="12096">
        <f ca="1"/>
        <v>45.39</v>
      </c>
      <c r="DR136" vm="2185">
        <f ca="1"/>
        <v>45.3</v>
      </c>
      <c r="DS136" vm="11633">
        <f ca="1"/>
        <v>45.43</v>
      </c>
      <c r="DT136" vm="11630">
        <f ca="1"/>
        <v>45.66</v>
      </c>
      <c r="DU136" vm="13821">
        <f ca="1"/>
        <v>46</v>
      </c>
      <c r="DV136" vm="12066">
        <f ca="1"/>
        <v>45.88</v>
      </c>
      <c r="DW136" vm="13772">
        <f ca="1"/>
        <v>45.76</v>
      </c>
      <c r="DX136" vm="9988">
        <f ca="1"/>
        <v>45.45</v>
      </c>
      <c r="DY136" vm="12083">
        <f ca="1"/>
        <v>45.32</v>
      </c>
      <c r="DZ136" vm="19816">
        <f ca="1"/>
        <v>45.1</v>
      </c>
      <c r="EA136" vm="12082">
        <f ca="1"/>
        <v>45.33</v>
      </c>
      <c r="EB136" vm="1189">
        <f ca="1"/>
        <v>45.62</v>
      </c>
      <c r="EC136" vm="12083">
        <f ca="1"/>
        <v>45.32</v>
      </c>
      <c r="ED136" vm="457">
        <f ca="1"/>
        <v>45.92</v>
      </c>
      <c r="EE136" vm="13776">
        <f ca="1"/>
        <v>45.58</v>
      </c>
      <c r="EF136" vm="10016">
        <f ca="1"/>
        <v>46.2</v>
      </c>
      <c r="EG136" vm="12099">
        <f ca="1"/>
        <v>46.19</v>
      </c>
      <c r="EH136" vm="12025">
        <f ca="1"/>
        <v>46.33</v>
      </c>
      <c r="EI136" vm="2187">
        <f ca="1"/>
        <v>46.67</v>
      </c>
      <c r="EJ136" vm="460">
        <f ca="1"/>
        <v>46.18</v>
      </c>
      <c r="EK136" vm="13821">
        <f ca="1"/>
        <v>46</v>
      </c>
      <c r="EL136" vm="16026">
        <f ca="1"/>
        <v>46.13</v>
      </c>
      <c r="EM136" vm="10012">
        <f ca="1"/>
        <v>46.41</v>
      </c>
      <c r="EN136" vm="16026">
        <f ca="1"/>
        <v>46.13</v>
      </c>
      <c r="EO136" vm="14157">
        <f ca="1"/>
        <v>46.44</v>
      </c>
      <c r="EP136" vm="10043">
        <f ca="1"/>
        <v>46.04</v>
      </c>
      <c r="EQ136" vm="9235">
        <f ca="1"/>
        <v>46.47</v>
      </c>
      <c r="ER136" vm="12092">
        <f ca="1"/>
        <v>46.71</v>
      </c>
      <c r="ES136" vm="10040">
        <f ca="1"/>
        <v>46.59</v>
      </c>
      <c r="ET136" vm="12092">
        <f ca="1"/>
        <v>46.71</v>
      </c>
      <c r="EU136" vm="11493">
        <f ca="1"/>
        <v>47.09</v>
      </c>
      <c r="EV136" vm="1270">
        <f ca="1"/>
        <v>47.17</v>
      </c>
      <c r="EW136" vm="12103">
        <f ca="1"/>
        <v>46.97</v>
      </c>
      <c r="EX136" vm="12030">
        <f ca="1"/>
        <v>47.01</v>
      </c>
      <c r="EY136" vm="10039">
        <f ca="1"/>
        <v>46.72</v>
      </c>
      <c r="EZ136" vm="19817">
        <f ca="1"/>
        <v>46.79</v>
      </c>
      <c r="FA136" vm="11476">
        <f ca="1"/>
        <v>46.38</v>
      </c>
      <c r="FB136" vm="460">
        <f ca="1"/>
        <v>46.18</v>
      </c>
      <c r="FC136" vm="11627">
        <f ca="1"/>
        <v>45.86</v>
      </c>
      <c r="FD136" vm="14049">
        <f ca="1"/>
        <v>46.58</v>
      </c>
      <c r="FE136" vm="14158">
        <f ca="1"/>
        <v>46.93</v>
      </c>
      <c r="FF136" vm="19818">
        <f ca="1"/>
        <v>47.73</v>
      </c>
      <c r="FG136" vm="9238">
        <f ca="1"/>
        <v>47.34</v>
      </c>
      <c r="FH136" vm="9238">
        <f ca="1"/>
        <v>47.34</v>
      </c>
      <c r="FI136" vm="12101">
        <f ca="1"/>
        <v>47.28</v>
      </c>
      <c r="FJ136" vm="11478">
        <f ca="1"/>
        <v>47.51</v>
      </c>
      <c r="FK136" vm="17848">
        <f ca="1"/>
        <v>47.64</v>
      </c>
      <c r="FL136" vm="830">
        <f ca="1"/>
        <v>47.33</v>
      </c>
      <c r="FM136" vm="6282">
        <f ca="1"/>
        <v>47.27</v>
      </c>
      <c r="FN136" vm="10047">
        <f ca="1"/>
        <v>47.35</v>
      </c>
      <c r="FO136" vm="19819">
        <f ca="1"/>
        <v>47</v>
      </c>
      <c r="FP136" vm="13822">
        <f ca="1"/>
        <v>47.11</v>
      </c>
      <c r="FQ136" vm="12101">
        <f ca="1"/>
        <v>47.28</v>
      </c>
      <c r="FR136" vm="12088">
        <f ca="1"/>
        <v>48.03</v>
      </c>
      <c r="FS136" vm="12094">
        <f ca="1"/>
        <v>47.55</v>
      </c>
      <c r="FT136" vm="6268">
        <f ca="1"/>
        <v>48.02</v>
      </c>
      <c r="FU136" vm="11024">
        <f ca="1"/>
        <v>48.37</v>
      </c>
      <c r="FV136" vm="19820">
        <f ca="1"/>
        <v>48.46</v>
      </c>
      <c r="FW136" vm="829">
        <f ca="1"/>
        <v>48.79</v>
      </c>
      <c r="FX136" vm="6233">
        <f ca="1"/>
        <v>48.59</v>
      </c>
      <c r="FY136" vm="19530">
        <f ca="1"/>
        <v>48.87</v>
      </c>
      <c r="FZ136" vm="6267">
        <f ca="1"/>
        <v>49.12</v>
      </c>
      <c r="GA136" vm="17236">
        <f ca="1"/>
        <v>49.17</v>
      </c>
      <c r="GB136" vm="9996">
        <f ca="1"/>
        <v>49.3</v>
      </c>
      <c r="GC136" vm="11315">
        <f ca="1"/>
        <v>49.27</v>
      </c>
      <c r="GD136" vm="1141">
        <f ca="1"/>
        <v>49.42</v>
      </c>
      <c r="GE136" vm="6264">
        <f ca="1"/>
        <v>49.92</v>
      </c>
      <c r="GF136" vm="11026">
        <f ca="1"/>
        <v>49.6</v>
      </c>
      <c r="GG136" vm="836">
        <f ca="1"/>
        <v>50.13</v>
      </c>
      <c r="GH136" vm="1137">
        <f ca="1"/>
        <v>50.08</v>
      </c>
      <c r="GI136" vm="10052">
        <f ca="1"/>
        <v>49.98</v>
      </c>
      <c r="GJ136" vm="1138">
        <f ca="1"/>
        <v>50.18</v>
      </c>
      <c r="GK136" vm="42">
        <f ca="1"/>
        <v>50.73</v>
      </c>
      <c r="GL136" vm="11338">
        <f ca="1"/>
        <v>50.88</v>
      </c>
      <c r="GM136" vm="6305">
        <f ca="1"/>
        <v>50.53</v>
      </c>
      <c r="GN136" vm="6306">
        <f ca="1"/>
        <v>50.24</v>
      </c>
      <c r="GO136" vm="6298">
        <f ca="1"/>
        <v>50.05</v>
      </c>
      <c r="GP136" vm="11838">
        <f ca="1"/>
        <v>50.02</v>
      </c>
      <c r="GQ136" vm="11321">
        <f ca="1"/>
        <v>50.46</v>
      </c>
      <c r="GR136" vm="9252">
        <f ca="1"/>
        <v>50.55</v>
      </c>
      <c r="GS136" vm="3105">
        <f ca="1"/>
        <v>50.57</v>
      </c>
      <c r="GT136" vm="6300">
        <f ca="1"/>
        <v>50.59</v>
      </c>
      <c r="GU136" vm="11336">
        <f ca="1"/>
        <v>51.24</v>
      </c>
      <c r="GV136" vm="11847">
        <f ca="1"/>
        <v>51.3</v>
      </c>
      <c r="GW136" vm="6296">
        <f ca="1"/>
        <v>50.94</v>
      </c>
      <c r="GX136" vm="6251">
        <f ca="1"/>
        <v>51.14</v>
      </c>
      <c r="GY136" vm="6305">
        <f ca="1"/>
        <v>50.53</v>
      </c>
      <c r="GZ136" vm="6293">
        <f ca="1"/>
        <v>49.86</v>
      </c>
      <c r="HA136" vm="6300">
        <f ca="1"/>
        <v>50.59</v>
      </c>
      <c r="HB136" vm="6305">
        <f ca="1"/>
        <v>50.53</v>
      </c>
      <c r="HC136" vm="6261">
        <f ca="1"/>
        <v>50.96</v>
      </c>
      <c r="HD136" vm="2902">
        <f ca="1"/>
        <v>50.62</v>
      </c>
      <c r="HE136" vm="1147">
        <f ca="1"/>
        <v>50.28</v>
      </c>
      <c r="HF136" vm="11028">
        <f ca="1"/>
        <v>50.72</v>
      </c>
      <c r="HG136" vm="11318">
        <f ca="1"/>
        <v>49.99</v>
      </c>
      <c r="HH136" vm="9262">
        <f ca="1"/>
        <v>50.2</v>
      </c>
      <c r="HI136" vm="11022">
        <f ca="1"/>
        <v>50.58</v>
      </c>
      <c r="HJ136" vm="838">
        <f ca="1"/>
        <v>50.84</v>
      </c>
      <c r="HK136" vm="1623">
        <f ca="1"/>
        <v>50.79</v>
      </c>
      <c r="HL136" vm="6246">
        <f ca="1"/>
        <v>51.41</v>
      </c>
      <c r="HM136" vm="6259">
        <f ca="1"/>
        <v>50.75</v>
      </c>
      <c r="HN136" vm="14146">
        <f ca="1"/>
        <v>50.67</v>
      </c>
      <c r="HO136" vm="11835">
        <f ca="1"/>
        <v>50.74</v>
      </c>
      <c r="HP136" vm="14146">
        <f ca="1"/>
        <v>50.67</v>
      </c>
      <c r="HQ136" vm="14180">
        <f ca="1"/>
        <v>49.72</v>
      </c>
      <c r="HR136" vm="11349">
        <f ca="1"/>
        <v>50.26</v>
      </c>
      <c r="HS136" vm="1991">
        <f ca="1"/>
        <v>49.75</v>
      </c>
      <c r="HT136" vm="1134">
        <f ca="1"/>
        <v>50.1</v>
      </c>
      <c r="HU136" vm="11839">
        <f ca="1"/>
        <v>50.89</v>
      </c>
      <c r="HV136" vm="14144">
        <f ca="1"/>
        <v>51.04</v>
      </c>
      <c r="HW136" vm="11854">
        <f ca="1"/>
        <v>51.75</v>
      </c>
      <c r="HX136" vm="11337">
        <f ca="1"/>
        <v>50.64</v>
      </c>
      <c r="HY136" vm="11839">
        <f ca="1"/>
        <v>50.89</v>
      </c>
      <c r="HZ136" vm="19358">
        <f ca="1"/>
        <v>50.34</v>
      </c>
      <c r="IA136" vm="6305">
        <f ca="1"/>
        <v>50.53</v>
      </c>
      <c r="IB136" vm="2902">
        <f ca="1"/>
        <v>50.62</v>
      </c>
      <c r="IC136" vm="125">
        <f ca="1"/>
        <v>49.91</v>
      </c>
      <c r="ID136" vm="2903">
        <f ca="1"/>
        <v>50.43</v>
      </c>
      <c r="IE136" vm="2904">
        <f ca="1"/>
        <v>51.05</v>
      </c>
      <c r="IF136" vm="467">
        <f ca="1"/>
        <v>51.56</v>
      </c>
      <c r="IG136" vm="2905">
        <f ca="1"/>
        <v>52.25</v>
      </c>
      <c r="IH136" vm="2906">
        <f ca="1"/>
        <v>52.7</v>
      </c>
      <c r="II136" vm="2907">
        <f ca="1"/>
        <v>52.18</v>
      </c>
      <c r="IJ136" vm="2908">
        <f ca="1"/>
        <v>52.14</v>
      </c>
      <c r="IK136" vm="2909">
        <f ca="1"/>
        <v>52.47</v>
      </c>
      <c r="IL136" vm="2192">
        <f ca="1"/>
        <v>53.07</v>
      </c>
      <c r="IM136" vm="1525">
        <f ca="1"/>
        <v>53.29</v>
      </c>
      <c r="IN136" vm="472">
        <f ca="1"/>
        <v>52.95</v>
      </c>
      <c r="IO136" vm="2192">
        <f ca="1"/>
        <v>53.07</v>
      </c>
      <c r="IP136" vm="73">
        <f ca="1"/>
        <v>53.72</v>
      </c>
      <c r="IQ136" vm="2649">
        <f ca="1"/>
        <v>54.08</v>
      </c>
      <c r="IR136" vm="480">
        <f ca="1"/>
        <v>53.89</v>
      </c>
      <c r="IS136" vm="150">
        <f ca="1"/>
        <v>53.8</v>
      </c>
      <c r="IT136" vm="2650">
        <f ca="1"/>
        <v>52.98</v>
      </c>
      <c r="IU136" vm="2910">
        <f ca="1"/>
        <v>52.81</v>
      </c>
      <c r="IV136" vm="2911">
        <f ca="1"/>
        <v>53.22</v>
      </c>
      <c r="IW136" vm="103">
        <f ca="1"/>
        <v>53.68</v>
      </c>
    </row>
    <row r="137" spans="1:257" ht="16" x14ac:dyDescent="0.2">
      <c r="A137" t="e" vm="2912">
        <v>#VALUE!</v>
      </c>
      <c r="B137" s="23" t="str" cm="1">
        <f t="array" aca="1" ref="B137" ca="1">_FV(A137,"ticker symbol",TRUE)</f>
        <v>EWP</v>
      </c>
      <c r="C137" s="23" t="str" cm="1">
        <f t="array" aca="1" ref="C137" ca="1">_FV(A137,"Name")</f>
        <v>iShares:MSCI Spain</v>
      </c>
      <c r="D137" cm="1" vm="2369">
        <f t="array" aca="1" ref="D137:IW137" ca="1">TRANSPOSE(_xlfn.STOCKHISTORY(B137, WORKDAY(TODAY(), -265), TODAY(), 0, 0, 1))</f>
        <v>32.840000000000003</v>
      </c>
      <c r="E137" vm="9051">
        <f ca="1"/>
        <v>31.51</v>
      </c>
      <c r="F137" vm="19821">
        <f ca="1"/>
        <v>30.72</v>
      </c>
      <c r="G137" vm="14006">
        <f ca="1"/>
        <v>30.65</v>
      </c>
      <c r="H137" vm="2360">
        <f ca="1"/>
        <v>30.77</v>
      </c>
      <c r="I137" vm="10588">
        <f ca="1"/>
        <v>30.85</v>
      </c>
      <c r="J137" vm="9063">
        <f ca="1"/>
        <v>31.04</v>
      </c>
      <c r="K137" vm="10571">
        <f ca="1"/>
        <v>31.16</v>
      </c>
      <c r="L137" vm="19822">
        <f ca="1"/>
        <v>31.02</v>
      </c>
      <c r="M137" vm="9063">
        <f ca="1"/>
        <v>31.04</v>
      </c>
      <c r="N137" vm="9045">
        <f ca="1"/>
        <v>31.05</v>
      </c>
      <c r="O137" vm="9003">
        <f ca="1"/>
        <v>30.96</v>
      </c>
      <c r="P137" vm="10572">
        <f ca="1"/>
        <v>31.22</v>
      </c>
      <c r="Q137" vm="16481">
        <f ca="1"/>
        <v>31.68</v>
      </c>
      <c r="R137" vm="19823">
        <f ca="1"/>
        <v>31.58</v>
      </c>
      <c r="S137" vm="9058">
        <f ca="1"/>
        <v>31.53</v>
      </c>
      <c r="T137" vm="10586">
        <f ca="1"/>
        <v>31.1</v>
      </c>
      <c r="U137" vm="2362">
        <f ca="1"/>
        <v>31.11</v>
      </c>
      <c r="V137" vm="19824">
        <f ca="1"/>
        <v>31.48</v>
      </c>
      <c r="W137" vm="16479">
        <f ca="1"/>
        <v>31.7</v>
      </c>
      <c r="X137" vm="2711">
        <f ca="1"/>
        <v>31.6</v>
      </c>
      <c r="Y137" vm="19825">
        <f ca="1"/>
        <v>31.76</v>
      </c>
      <c r="Z137" vm="16448">
        <f ca="1"/>
        <v>32.32</v>
      </c>
      <c r="AA137" vm="19826">
        <f ca="1"/>
        <v>31.98</v>
      </c>
      <c r="AB137" vm="19302">
        <f ca="1"/>
        <v>32.47</v>
      </c>
      <c r="AC137" vm="8966">
        <f ca="1"/>
        <v>32.520000000000003</v>
      </c>
      <c r="AD137" vm="15763">
        <f ca="1"/>
        <v>32.81</v>
      </c>
      <c r="AE137" vm="19318">
        <f ca="1"/>
        <v>32.94</v>
      </c>
      <c r="AF137" vm="8997">
        <f ca="1"/>
        <v>33.020000000000003</v>
      </c>
      <c r="AG137" vm="14018">
        <f ca="1"/>
        <v>33.380000000000003</v>
      </c>
      <c r="AH137" vm="19827">
        <f ca="1"/>
        <v>32.99</v>
      </c>
      <c r="AI137" vm="19828">
        <f ca="1"/>
        <v>32.35</v>
      </c>
      <c r="AJ137" vm="9089">
        <f ca="1"/>
        <v>33.17</v>
      </c>
      <c r="AK137" vm="9081">
        <f ca="1"/>
        <v>33.909999999999997</v>
      </c>
      <c r="AL137" vm="9090">
        <f ca="1"/>
        <v>34.11</v>
      </c>
      <c r="AM137" vm="8993">
        <f ca="1"/>
        <v>33.82</v>
      </c>
      <c r="AN137" vm="19829">
        <f ca="1"/>
        <v>33.94</v>
      </c>
      <c r="AO137" vm="19830">
        <f ca="1"/>
        <v>34.25</v>
      </c>
      <c r="AP137" vm="9100">
        <f ca="1"/>
        <v>34.89</v>
      </c>
      <c r="AQ137" vm="10642">
        <f ca="1"/>
        <v>34.93</v>
      </c>
      <c r="AR137" vm="19831">
        <f ca="1"/>
        <v>35.19</v>
      </c>
      <c r="AS137" vm="19832">
        <f ca="1"/>
        <v>35.53</v>
      </c>
      <c r="AT137" vm="19324">
        <f ca="1"/>
        <v>34.909999999999997</v>
      </c>
      <c r="AU137" vm="17225">
        <f ca="1"/>
        <v>35.520000000000003</v>
      </c>
      <c r="AV137" vm="19833">
        <f ca="1"/>
        <v>35.200000000000003</v>
      </c>
      <c r="AW137" vm="19834">
        <f ca="1"/>
        <v>35.46</v>
      </c>
      <c r="AX137" vm="16008">
        <f ca="1"/>
        <v>36.15</v>
      </c>
      <c r="AY137" vm="4711">
        <f ca="1"/>
        <v>36.29</v>
      </c>
      <c r="AZ137" vm="10656">
        <f ca="1"/>
        <v>35.81</v>
      </c>
      <c r="BA137" vm="4663">
        <f ca="1"/>
        <v>36.08</v>
      </c>
      <c r="BB137" vm="1568">
        <f ca="1"/>
        <v>36.369999999999997</v>
      </c>
      <c r="BC137" vm="15772">
        <f ca="1"/>
        <v>36.51</v>
      </c>
      <c r="BD137" vm="10672">
        <f ca="1"/>
        <v>37.520000000000003</v>
      </c>
      <c r="BE137" vm="17836">
        <f ca="1"/>
        <v>37.020000000000003</v>
      </c>
      <c r="BF137" vm="4676">
        <f ca="1"/>
        <v>37.86</v>
      </c>
      <c r="BG137" vm="821">
        <f ca="1"/>
        <v>37.03</v>
      </c>
      <c r="BH137" vm="15787">
        <f ca="1"/>
        <v>37.119999999999997</v>
      </c>
      <c r="BI137" vm="1570">
        <f ca="1"/>
        <v>36.950000000000003</v>
      </c>
      <c r="BJ137" vm="9172">
        <f ca="1"/>
        <v>36.99</v>
      </c>
      <c r="BK137" vm="10690">
        <f ca="1"/>
        <v>37.82</v>
      </c>
      <c r="BL137" vm="19314">
        <f ca="1"/>
        <v>38.33</v>
      </c>
      <c r="BM137" vm="19514">
        <f ca="1"/>
        <v>38.869999999999997</v>
      </c>
      <c r="BN137" vm="16010">
        <f ca="1"/>
        <v>38.81</v>
      </c>
      <c r="BO137" vm="9189">
        <f ca="1"/>
        <v>38.32</v>
      </c>
      <c r="BP137" vm="19835">
        <f ca="1"/>
        <v>38.44</v>
      </c>
      <c r="BQ137" vm="19836">
        <f ca="1"/>
        <v>38.17</v>
      </c>
      <c r="BR137" vm="19837">
        <f ca="1"/>
        <v>38.79</v>
      </c>
      <c r="BS137" vm="13792">
        <f ca="1"/>
        <v>38.270000000000003</v>
      </c>
      <c r="BT137" vm="16011">
        <f ca="1"/>
        <v>38.57</v>
      </c>
      <c r="BU137" vm="10688">
        <f ca="1"/>
        <v>38.409999999999997</v>
      </c>
      <c r="BV137" vm="9116">
        <f ca="1"/>
        <v>38.06</v>
      </c>
      <c r="BW137" vm="13792">
        <f ca="1"/>
        <v>38.270000000000003</v>
      </c>
      <c r="BX137" vm="19838">
        <f ca="1"/>
        <v>38.729999999999997</v>
      </c>
      <c r="BY137" vm="19839">
        <f ca="1"/>
        <v>38.89</v>
      </c>
      <c r="BZ137" vm="19326">
        <f ca="1"/>
        <v>35.74</v>
      </c>
      <c r="CA137" vm="15701">
        <f ca="1"/>
        <v>34.47</v>
      </c>
      <c r="CB137" vm="18000">
        <f ca="1"/>
        <v>34.15</v>
      </c>
      <c r="CC137" vm="10679">
        <f ca="1"/>
        <v>37.049999999999997</v>
      </c>
      <c r="CD137" vm="820">
        <f ca="1"/>
        <v>36.89</v>
      </c>
      <c r="CE137" vm="17833">
        <f ca="1"/>
        <v>37.770000000000003</v>
      </c>
      <c r="CF137" vm="9160">
        <f ca="1"/>
        <v>38.049999999999997</v>
      </c>
      <c r="CG137" vm="12772">
        <f ca="1"/>
        <v>38.68</v>
      </c>
      <c r="CH137" vm="19514">
        <f ca="1"/>
        <v>38.869999999999997</v>
      </c>
      <c r="CI137" vm="9128">
        <f ca="1"/>
        <v>39.25</v>
      </c>
      <c r="CJ137" vm="9136">
        <f ca="1"/>
        <v>39.130000000000003</v>
      </c>
      <c r="CK137" vm="12750">
        <f ca="1"/>
        <v>40.14</v>
      </c>
      <c r="CL137" vm="15712">
        <f ca="1"/>
        <v>40.03</v>
      </c>
      <c r="CM137" vm="15715">
        <f ca="1"/>
        <v>40.380000000000003</v>
      </c>
      <c r="CN137" vm="15713">
        <f ca="1"/>
        <v>40.86</v>
      </c>
      <c r="CO137" vm="6925">
        <f ca="1"/>
        <v>41.31</v>
      </c>
      <c r="CP137" vm="6934">
        <f ca="1"/>
        <v>41.12</v>
      </c>
      <c r="CQ137" vm="10028">
        <f ca="1"/>
        <v>40.6</v>
      </c>
      <c r="CR137" vm="6912">
        <f ca="1"/>
        <v>40.47</v>
      </c>
      <c r="CS137" vm="19840">
        <f ca="1"/>
        <v>40.85</v>
      </c>
      <c r="CT137" vm="13803">
        <f ca="1"/>
        <v>41.04</v>
      </c>
      <c r="CU137" vm="9148">
        <f ca="1"/>
        <v>41.16</v>
      </c>
      <c r="CV137" vm="19841">
        <f ca="1"/>
        <v>41.17</v>
      </c>
      <c r="CW137" vm="565">
        <f ca="1"/>
        <v>40.729999999999997</v>
      </c>
      <c r="CX137" vm="13803">
        <f ca="1"/>
        <v>41.04</v>
      </c>
      <c r="CY137" vm="13788">
        <f ca="1"/>
        <v>40.69</v>
      </c>
      <c r="CZ137" vm="19842">
        <f ca="1"/>
        <v>41.15</v>
      </c>
      <c r="DA137" vm="15714">
        <f ca="1"/>
        <v>41.54</v>
      </c>
      <c r="DB137" vm="6930">
        <f ca="1"/>
        <v>41.76</v>
      </c>
      <c r="DC137" vm="6888">
        <f ca="1"/>
        <v>42.21</v>
      </c>
      <c r="DD137" vm="12056">
        <f ca="1"/>
        <v>42.7</v>
      </c>
      <c r="DE137" vm="19843">
        <f ca="1"/>
        <v>43.5</v>
      </c>
      <c r="DF137" vm="10022">
        <f ca="1"/>
        <v>43.16</v>
      </c>
      <c r="DG137" vm="19347">
        <f ca="1"/>
        <v>43.36</v>
      </c>
      <c r="DH137" vm="2574">
        <f ca="1"/>
        <v>43.31</v>
      </c>
      <c r="DI137" vm="9985">
        <f ca="1"/>
        <v>43.53</v>
      </c>
      <c r="DJ137" vm="2687">
        <f ca="1"/>
        <v>42.88</v>
      </c>
      <c r="DK137" vm="2686">
        <f ca="1"/>
        <v>43.08</v>
      </c>
      <c r="DL137" vm="2325">
        <f ca="1"/>
        <v>43.29</v>
      </c>
      <c r="DM137" vm="19815">
        <f ca="1"/>
        <v>43.89</v>
      </c>
      <c r="DN137" vm="2689">
        <f ca="1"/>
        <v>43.28</v>
      </c>
      <c r="DO137" vm="607">
        <f ca="1"/>
        <v>43.22</v>
      </c>
      <c r="DP137" vm="9986">
        <f ca="1"/>
        <v>43.6</v>
      </c>
      <c r="DQ137" vm="12064">
        <f ca="1"/>
        <v>43.64</v>
      </c>
      <c r="DR137" vm="19843">
        <f ca="1"/>
        <v>43.5</v>
      </c>
      <c r="DS137" vm="19843">
        <f ca="1"/>
        <v>43.5</v>
      </c>
      <c r="DT137" vm="541">
        <f ca="1"/>
        <v>43.48</v>
      </c>
      <c r="DU137" vm="19844">
        <f ca="1"/>
        <v>43.97</v>
      </c>
      <c r="DV137" vm="1372">
        <f ca="1"/>
        <v>43.25</v>
      </c>
      <c r="DW137" vm="17239">
        <f ca="1"/>
        <v>43.55</v>
      </c>
      <c r="DX137" vm="12805">
        <f ca="1"/>
        <v>42.44</v>
      </c>
      <c r="DY137" vm="1357">
        <f ca="1"/>
        <v>42.74</v>
      </c>
      <c r="DZ137" vm="1374">
        <f ca="1"/>
        <v>42.69</v>
      </c>
      <c r="EA137" vm="605">
        <f ca="1"/>
        <v>43.04</v>
      </c>
      <c r="EB137" vm="12062">
        <f ca="1"/>
        <v>43.7</v>
      </c>
      <c r="EC137" vm="19845">
        <f ca="1"/>
        <v>43.09</v>
      </c>
      <c r="ED137" vm="9982">
        <f ca="1"/>
        <v>43.33</v>
      </c>
      <c r="EE137" vm="9977">
        <f ca="1"/>
        <v>43.73</v>
      </c>
      <c r="EF137" vm="13785">
        <f ca="1"/>
        <v>44.03</v>
      </c>
      <c r="EG137" vm="15717">
        <f ca="1"/>
        <v>44.25</v>
      </c>
      <c r="EH137" vm="13814">
        <f ca="1"/>
        <v>44.6</v>
      </c>
      <c r="EI137" vm="9971">
        <f ca="1"/>
        <v>44.65</v>
      </c>
      <c r="EJ137" vm="13778">
        <f ca="1"/>
        <v>44.31</v>
      </c>
      <c r="EK137" vm="11504">
        <f ca="1"/>
        <v>44.7</v>
      </c>
      <c r="EL137" vm="2328">
        <f ca="1"/>
        <v>45.28</v>
      </c>
      <c r="EM137" vm="19071">
        <f ca="1"/>
        <v>44.51</v>
      </c>
      <c r="EN137" vm="19846">
        <f ca="1"/>
        <v>44.16</v>
      </c>
      <c r="EO137" vm="13764">
        <f ca="1"/>
        <v>44.34</v>
      </c>
      <c r="EP137" vm="541">
        <f ca="1"/>
        <v>43.48</v>
      </c>
      <c r="EQ137" vm="13785">
        <f ca="1"/>
        <v>44.03</v>
      </c>
      <c r="ER137" vm="17238">
        <f ca="1"/>
        <v>44.01</v>
      </c>
      <c r="ES137" vm="19350">
        <f ca="1"/>
        <v>43.9</v>
      </c>
      <c r="ET137" vm="16621">
        <f ca="1"/>
        <v>44.23</v>
      </c>
      <c r="EU137" vm="1184">
        <f ca="1"/>
        <v>44.73</v>
      </c>
      <c r="EV137" vm="19847">
        <f ca="1"/>
        <v>45.35</v>
      </c>
      <c r="EW137" vm="12082">
        <f ca="1"/>
        <v>45.33</v>
      </c>
      <c r="EX137" vm="1188">
        <f ca="1"/>
        <v>45.47</v>
      </c>
      <c r="EY137" vm="1181">
        <f ca="1"/>
        <v>44.76</v>
      </c>
      <c r="EZ137" vm="19848">
        <f ca="1"/>
        <v>44.97</v>
      </c>
      <c r="FA137" vm="9221">
        <f ca="1"/>
        <v>44.68</v>
      </c>
      <c r="FB137" vm="19066">
        <f ca="1"/>
        <v>44.72</v>
      </c>
      <c r="FC137" vm="16024">
        <f ca="1"/>
        <v>44.52</v>
      </c>
      <c r="FD137" vm="2185">
        <f ca="1"/>
        <v>45.3</v>
      </c>
      <c r="FE137" vm="11033">
        <f ca="1"/>
        <v>45.48</v>
      </c>
      <c r="FF137" vm="10036">
        <f ca="1"/>
        <v>46.16</v>
      </c>
      <c r="FG137" vm="2187">
        <f ca="1"/>
        <v>46.67</v>
      </c>
      <c r="FH137" vm="1256">
        <f ca="1"/>
        <v>47.14</v>
      </c>
      <c r="FI137" vm="11493">
        <f ca="1"/>
        <v>47.09</v>
      </c>
      <c r="FJ137" vm="12035">
        <f ca="1"/>
        <v>47.38</v>
      </c>
      <c r="FK137" vm="3104">
        <f ca="1"/>
        <v>47.97</v>
      </c>
      <c r="FL137" vm="6227">
        <f ca="1"/>
        <v>48.42</v>
      </c>
      <c r="FM137" vm="1132">
        <f ca="1"/>
        <v>48.84</v>
      </c>
      <c r="FN137" vm="11833">
        <f ca="1"/>
        <v>48.6</v>
      </c>
      <c r="FO137" vm="19529">
        <f ca="1"/>
        <v>48.45</v>
      </c>
      <c r="FP137" vm="6289">
        <f ca="1"/>
        <v>48.67</v>
      </c>
      <c r="FQ137" vm="9995">
        <f ca="1"/>
        <v>48.48</v>
      </c>
      <c r="FR137" vm="9244">
        <f ca="1"/>
        <v>49.24</v>
      </c>
      <c r="FS137" vm="11041">
        <f ca="1"/>
        <v>48.3</v>
      </c>
      <c r="FT137" vm="14052">
        <f ca="1"/>
        <v>48.09</v>
      </c>
      <c r="FU137" vm="6237">
        <f ca="1"/>
        <v>47.66</v>
      </c>
      <c r="FV137" vm="6268">
        <f ca="1"/>
        <v>48.02</v>
      </c>
      <c r="FW137" vm="11574">
        <f ca="1"/>
        <v>47.71</v>
      </c>
      <c r="FX137" vm="12072">
        <f ca="1"/>
        <v>47.02</v>
      </c>
      <c r="FY137" vm="10008">
        <f ca="1"/>
        <v>47.05</v>
      </c>
      <c r="FZ137" vm="19454">
        <f ca="1"/>
        <v>47.48</v>
      </c>
      <c r="GA137" vm="831">
        <f ca="1"/>
        <v>47.6</v>
      </c>
      <c r="GB137" vm="19355">
        <f ca="1"/>
        <v>48.07</v>
      </c>
      <c r="GC137" vm="12093">
        <f ca="1"/>
        <v>48.08</v>
      </c>
      <c r="GD137" vm="19849">
        <f ca="1"/>
        <v>48.47</v>
      </c>
      <c r="GE137" vm="11829">
        <f ca="1"/>
        <v>48.98</v>
      </c>
      <c r="GF137" vm="1262">
        <f ca="1"/>
        <v>49</v>
      </c>
      <c r="GG137" vm="9243">
        <f ca="1"/>
        <v>49.23</v>
      </c>
      <c r="GH137" vm="19850">
        <f ca="1"/>
        <v>48.95</v>
      </c>
      <c r="GI137" vm="6229">
        <f ca="1"/>
        <v>48.75</v>
      </c>
      <c r="GJ137" vm="3115">
        <f ca="1"/>
        <v>48.66</v>
      </c>
      <c r="GK137" vm="19851">
        <f ca="1"/>
        <v>48.83</v>
      </c>
      <c r="GL137" vm="11480">
        <f ca="1"/>
        <v>48.43</v>
      </c>
      <c r="GM137" vm="11352">
        <f ca="1"/>
        <v>48.55</v>
      </c>
      <c r="GN137" vm="12048">
        <f ca="1"/>
        <v>48.57</v>
      </c>
      <c r="GO137" vm="6238">
        <f ca="1"/>
        <v>48.25</v>
      </c>
      <c r="GP137" vm="10000">
        <f ca="1"/>
        <v>49.04</v>
      </c>
      <c r="GQ137" vm="9245">
        <f ca="1"/>
        <v>48.92</v>
      </c>
      <c r="GR137" vm="9263">
        <f ca="1"/>
        <v>49.5</v>
      </c>
      <c r="GS137" vm="6274">
        <f ca="1"/>
        <v>49.64</v>
      </c>
      <c r="GT137" vm="14170">
        <f ca="1"/>
        <v>49.36</v>
      </c>
      <c r="GU137" vm="19532">
        <f ca="1"/>
        <v>49.65</v>
      </c>
      <c r="GV137" vm="11296">
        <f ca="1"/>
        <v>49.22</v>
      </c>
      <c r="GW137" vm="9245">
        <f ca="1"/>
        <v>48.92</v>
      </c>
      <c r="GX137" vm="14176">
        <f ca="1"/>
        <v>49.33</v>
      </c>
      <c r="GY137" vm="6289">
        <f ca="1"/>
        <v>48.67</v>
      </c>
      <c r="GZ137" vm="6231">
        <f ca="1"/>
        <v>48.33</v>
      </c>
      <c r="HA137" vm="11834">
        <f ca="1"/>
        <v>48.73</v>
      </c>
      <c r="HB137" vm="6267">
        <f ca="1"/>
        <v>49.12</v>
      </c>
      <c r="HC137" vm="19850">
        <f ca="1"/>
        <v>48.95</v>
      </c>
      <c r="HD137" vm="11044">
        <f ca="1"/>
        <v>49.43</v>
      </c>
      <c r="HE137" vm="11311">
        <f ca="1"/>
        <v>49.47</v>
      </c>
      <c r="HF137" vm="6264">
        <f ca="1"/>
        <v>49.92</v>
      </c>
      <c r="HG137" vm="6276">
        <f ca="1"/>
        <v>49.21</v>
      </c>
      <c r="HH137" vm="9246">
        <f ca="1"/>
        <v>49.34</v>
      </c>
      <c r="HI137" vm="1621">
        <f ca="1"/>
        <v>49.57</v>
      </c>
      <c r="HJ137" vm="11025">
        <f ca="1"/>
        <v>49.7</v>
      </c>
      <c r="HK137" vm="6241">
        <f ca="1"/>
        <v>50.23</v>
      </c>
      <c r="HL137" vm="19852">
        <f ca="1"/>
        <v>50.6</v>
      </c>
      <c r="HM137" vm="6242">
        <f ca="1"/>
        <v>50.65</v>
      </c>
      <c r="HN137" vm="1147">
        <f ca="1"/>
        <v>50.28</v>
      </c>
      <c r="HO137" vm="10053">
        <f ca="1"/>
        <v>50.17</v>
      </c>
      <c r="HP137" vm="836">
        <f ca="1"/>
        <v>50.13</v>
      </c>
      <c r="HQ137" vm="2914">
        <f ca="1"/>
        <v>49.73</v>
      </c>
      <c r="HR137" vm="9255">
        <f ca="1"/>
        <v>50.4</v>
      </c>
      <c r="HS137" vm="6242">
        <f ca="1"/>
        <v>50.65</v>
      </c>
      <c r="HT137" vm="844">
        <f ca="1"/>
        <v>50.52</v>
      </c>
      <c r="HU137" vm="6250">
        <f ca="1"/>
        <v>51.26</v>
      </c>
      <c r="HV137" vm="14171">
        <f ca="1"/>
        <v>51.9</v>
      </c>
      <c r="HW137" vm="2190">
        <f ca="1"/>
        <v>52.52</v>
      </c>
      <c r="HX137" vm="6315">
        <f ca="1"/>
        <v>52.21</v>
      </c>
      <c r="HY137" vm="6318">
        <f ca="1"/>
        <v>51.65</v>
      </c>
      <c r="HZ137" vm="19740">
        <f ca="1"/>
        <v>50.78</v>
      </c>
      <c r="IA137" vm="11318">
        <f ca="1"/>
        <v>49.99</v>
      </c>
      <c r="IB137" vm="125">
        <f ca="1"/>
        <v>49.91</v>
      </c>
      <c r="IC137" vm="2913">
        <f ca="1"/>
        <v>49.37</v>
      </c>
      <c r="ID137" vm="2914">
        <f ca="1"/>
        <v>49.73</v>
      </c>
      <c r="IE137" vm="2915">
        <f ca="1"/>
        <v>49.94</v>
      </c>
      <c r="IF137" vm="838">
        <f ca="1"/>
        <v>50.84</v>
      </c>
      <c r="IG137" vm="2916">
        <f ca="1"/>
        <v>51.59</v>
      </c>
      <c r="IH137" vm="2917">
        <f ca="1"/>
        <v>51.66</v>
      </c>
      <c r="II137" vm="2918">
        <f ca="1"/>
        <v>51.57</v>
      </c>
      <c r="IJ137" vm="2919">
        <f ca="1"/>
        <v>52.02</v>
      </c>
      <c r="IK137" vm="2920">
        <f ca="1"/>
        <v>52.41</v>
      </c>
      <c r="IL137" vm="2921">
        <f ca="1"/>
        <v>52.49</v>
      </c>
      <c r="IM137" vm="2922">
        <f ca="1"/>
        <v>52.29</v>
      </c>
      <c r="IN137" vm="2923">
        <f ca="1"/>
        <v>52.31</v>
      </c>
      <c r="IO137" vm="2924">
        <f ca="1"/>
        <v>52.36</v>
      </c>
      <c r="IP137" vm="2925">
        <f ca="1"/>
        <v>53.06</v>
      </c>
      <c r="IQ137" vm="478">
        <f ca="1"/>
        <v>53.48</v>
      </c>
      <c r="IR137" vm="2926">
        <f ca="1"/>
        <v>53.36</v>
      </c>
      <c r="IS137" vm="2927">
        <f ca="1"/>
        <v>54.01</v>
      </c>
      <c r="IT137" vm="2928">
        <f ca="1"/>
        <v>52.88</v>
      </c>
      <c r="IU137" vm="148">
        <f ca="1"/>
        <v>52.8</v>
      </c>
      <c r="IV137" vm="2929">
        <f ca="1"/>
        <v>53.21</v>
      </c>
      <c r="IW137" vm="105">
        <f ca="1"/>
        <v>53.45</v>
      </c>
    </row>
    <row r="138" spans="1:257" ht="16" x14ac:dyDescent="0.2">
      <c r="A138" t="e" vm="2930">
        <v>#VALUE!</v>
      </c>
      <c r="B138" s="23" t="str" cm="1">
        <f t="array" aca="1" ref="B138" ca="1">_FV(A138,"ticker symbol",TRUE)</f>
        <v>EZA</v>
      </c>
      <c r="C138" s="23" t="str" cm="1">
        <f t="array" aca="1" ref="C138" ca="1">_FV(A138,"Name")</f>
        <v>iShares:MSCI S Africa</v>
      </c>
      <c r="D138" cm="1" vm="847">
        <f t="array" aca="1" ref="D138:IW138" ca="1">TRANSPOSE(_xlfn.STOCKHISTORY(B138, WORKDAY(TODAY(), -265), TODAY(), 0, 0, 1))</f>
        <v>48.97</v>
      </c>
      <c r="E138" vm="2328">
        <f ca="1"/>
        <v>45.28</v>
      </c>
      <c r="F138" vm="19456">
        <f ca="1"/>
        <v>43.32</v>
      </c>
      <c r="G138" vm="2685">
        <f ca="1"/>
        <v>43.42</v>
      </c>
      <c r="H138" vm="600">
        <f ca="1"/>
        <v>43.71</v>
      </c>
      <c r="I138" vm="1371">
        <f ca="1"/>
        <v>43.37</v>
      </c>
      <c r="J138" vm="16611">
        <f ca="1"/>
        <v>43.24</v>
      </c>
      <c r="K138" vm="6893">
        <f ca="1"/>
        <v>42.85</v>
      </c>
      <c r="L138" vm="19515">
        <f ca="1"/>
        <v>42.8</v>
      </c>
      <c r="M138" vm="1361">
        <f ca="1"/>
        <v>42.15</v>
      </c>
      <c r="N138" vm="6956">
        <f ca="1"/>
        <v>41.91</v>
      </c>
      <c r="O138" vm="19062">
        <f ca="1"/>
        <v>42.33</v>
      </c>
      <c r="P138" vm="19434">
        <f ca="1"/>
        <v>42.78</v>
      </c>
      <c r="Q138" vm="19853">
        <f ca="1"/>
        <v>42.43</v>
      </c>
      <c r="R138" vm="6885">
        <f ca="1"/>
        <v>41.97</v>
      </c>
      <c r="S138" vm="6935">
        <f ca="1"/>
        <v>41.7</v>
      </c>
      <c r="T138" vm="300">
        <f ca="1"/>
        <v>41.13</v>
      </c>
      <c r="U138" vm="6964">
        <f ca="1"/>
        <v>40.83</v>
      </c>
      <c r="V138" vm="12795">
        <f ca="1"/>
        <v>41.18</v>
      </c>
      <c r="W138" vm="6856">
        <f ca="1"/>
        <v>42.42</v>
      </c>
      <c r="X138" vm="2723">
        <f ca="1"/>
        <v>42.03</v>
      </c>
      <c r="Y138" vm="19106">
        <f ca="1"/>
        <v>42.67</v>
      </c>
      <c r="Z138" vm="17239">
        <f ca="1"/>
        <v>43.55</v>
      </c>
      <c r="AA138" vm="1371">
        <f ca="1"/>
        <v>43.37</v>
      </c>
      <c r="AB138" vm="19068">
        <f ca="1"/>
        <v>43.14</v>
      </c>
      <c r="AC138" vm="9984">
        <f ca="1"/>
        <v>43.38</v>
      </c>
      <c r="AD138" vm="2337">
        <f ca="1"/>
        <v>42.71</v>
      </c>
      <c r="AE138" vm="10022">
        <f ca="1"/>
        <v>43.16</v>
      </c>
      <c r="AF138" vm="9204">
        <f ca="1"/>
        <v>43.68</v>
      </c>
      <c r="AG138" vm="16029">
        <f ca="1"/>
        <v>44.61</v>
      </c>
      <c r="AH138" vm="2690">
        <f ca="1"/>
        <v>43.75</v>
      </c>
      <c r="AI138" vm="13779">
        <f ca="1"/>
        <v>43.76</v>
      </c>
      <c r="AJ138" vm="2335">
        <f ca="1"/>
        <v>44.63</v>
      </c>
      <c r="AK138" vm="19070">
        <f ca="1"/>
        <v>44.84</v>
      </c>
      <c r="AL138" vm="13771">
        <f ca="1"/>
        <v>45.61</v>
      </c>
      <c r="AM138" vm="11633">
        <f ca="1"/>
        <v>45.43</v>
      </c>
      <c r="AN138" vm="2334">
        <f ca="1"/>
        <v>46.05</v>
      </c>
      <c r="AO138" vm="11630">
        <f ca="1"/>
        <v>45.66</v>
      </c>
      <c r="AP138" vm="12066">
        <f ca="1"/>
        <v>45.88</v>
      </c>
      <c r="AQ138" vm="12100">
        <f ca="1"/>
        <v>46.08</v>
      </c>
      <c r="AR138" vm="19854">
        <f ca="1"/>
        <v>46.21</v>
      </c>
      <c r="AS138" vm="2103">
        <f ca="1"/>
        <v>46.73</v>
      </c>
      <c r="AT138" vm="1269">
        <f ca="1"/>
        <v>46.22</v>
      </c>
      <c r="AU138" vm="9236">
        <f ca="1"/>
        <v>46.83</v>
      </c>
      <c r="AV138" vm="14049">
        <f ca="1"/>
        <v>46.58</v>
      </c>
      <c r="AW138" vm="12067">
        <f ca="1"/>
        <v>46.06</v>
      </c>
      <c r="AX138" vm="16026">
        <f ca="1"/>
        <v>46.13</v>
      </c>
      <c r="AY138" vm="14156">
        <f ca="1"/>
        <v>46.1</v>
      </c>
      <c r="AZ138" vm="11470">
        <f ca="1"/>
        <v>45.21</v>
      </c>
      <c r="BA138" vm="2582">
        <f ca="1"/>
        <v>44.4</v>
      </c>
      <c r="BB138" vm="19855">
        <f ca="1"/>
        <v>44.54</v>
      </c>
      <c r="BC138" vm="454">
        <f ca="1"/>
        <v>45.07</v>
      </c>
      <c r="BD138" vm="10011">
        <f ca="1"/>
        <v>46.39</v>
      </c>
      <c r="BE138" vm="10046">
        <f ca="1"/>
        <v>46.57</v>
      </c>
      <c r="BF138" vm="11475">
        <f ca="1"/>
        <v>46.84</v>
      </c>
      <c r="BG138" vm="12076">
        <f ca="1"/>
        <v>45.77</v>
      </c>
      <c r="BH138" vm="14051">
        <f ca="1"/>
        <v>46.31</v>
      </c>
      <c r="BI138" vm="12084">
        <f ca="1"/>
        <v>45.97</v>
      </c>
      <c r="BJ138" vm="11627">
        <f ca="1"/>
        <v>45.86</v>
      </c>
      <c r="BK138" vm="19819">
        <f ca="1"/>
        <v>47</v>
      </c>
      <c r="BL138" vm="9994">
        <f ca="1"/>
        <v>47.74</v>
      </c>
      <c r="BM138" vm="2333">
        <f ca="1"/>
        <v>47.69</v>
      </c>
      <c r="BN138" vm="11831">
        <f ca="1"/>
        <v>48.77</v>
      </c>
      <c r="BO138" vm="12088">
        <f ca="1"/>
        <v>48.03</v>
      </c>
      <c r="BP138" vm="831">
        <f ca="1"/>
        <v>47.6</v>
      </c>
      <c r="BQ138" vm="11574">
        <f ca="1"/>
        <v>47.71</v>
      </c>
      <c r="BR138" vm="19522">
        <f ca="1"/>
        <v>47.93</v>
      </c>
      <c r="BS138" vm="1258">
        <f ca="1"/>
        <v>48.16</v>
      </c>
      <c r="BT138" vm="6232">
        <f ca="1"/>
        <v>48.21</v>
      </c>
      <c r="BU138" vm="831">
        <f ca="1"/>
        <v>47.6</v>
      </c>
      <c r="BV138" vm="2332">
        <f ca="1"/>
        <v>48.13</v>
      </c>
      <c r="BW138" vm="19856">
        <f ca="1"/>
        <v>48.1</v>
      </c>
      <c r="BX138" vm="6284">
        <f ca="1"/>
        <v>46.65</v>
      </c>
      <c r="BY138" vm="9215">
        <f ca="1"/>
        <v>44.88</v>
      </c>
      <c r="BZ138" vm="553">
        <f ca="1"/>
        <v>41.29</v>
      </c>
      <c r="CA138" vm="6922">
        <f ca="1"/>
        <v>40.770000000000003</v>
      </c>
      <c r="CB138" vm="6860">
        <f ca="1"/>
        <v>40.54</v>
      </c>
      <c r="CC138" vm="2336">
        <f ca="1"/>
        <v>44.27</v>
      </c>
      <c r="CD138" vm="598">
        <f ca="1"/>
        <v>43.94</v>
      </c>
      <c r="CE138" vm="1189">
        <f ca="1"/>
        <v>45.62</v>
      </c>
      <c r="CF138" vm="12045">
        <f ca="1"/>
        <v>47.22</v>
      </c>
      <c r="CG138" vm="12044">
        <f ca="1"/>
        <v>47.1</v>
      </c>
      <c r="CH138" vm="11482">
        <f ca="1"/>
        <v>47.43</v>
      </c>
      <c r="CI138" vm="19857">
        <f ca="1"/>
        <v>47.9</v>
      </c>
      <c r="CJ138" vm="831">
        <f ca="1"/>
        <v>47.6</v>
      </c>
      <c r="CK138" vm="1258">
        <f ca="1"/>
        <v>48.16</v>
      </c>
      <c r="CL138" vm="12094">
        <f ca="1"/>
        <v>47.55</v>
      </c>
      <c r="CM138" vm="1268">
        <f ca="1"/>
        <v>47.96</v>
      </c>
      <c r="CN138" vm="18824">
        <f ca="1"/>
        <v>48.38</v>
      </c>
      <c r="CO138" vm="1984">
        <f ca="1"/>
        <v>49.09</v>
      </c>
      <c r="CP138" vm="9241">
        <f ca="1"/>
        <v>49.14</v>
      </c>
      <c r="CQ138" vm="10054">
        <f ca="1"/>
        <v>49.52</v>
      </c>
      <c r="CR138" vm="11315">
        <f ca="1"/>
        <v>49.27</v>
      </c>
      <c r="CS138" vm="19858">
        <f ca="1"/>
        <v>50.19</v>
      </c>
      <c r="CT138" vm="837">
        <f ca="1"/>
        <v>50.44</v>
      </c>
      <c r="CU138" vm="19453">
        <f ca="1"/>
        <v>50.71</v>
      </c>
      <c r="CV138" vm="6241">
        <f ca="1"/>
        <v>50.23</v>
      </c>
      <c r="CW138" vm="1140">
        <f ca="1"/>
        <v>49.85</v>
      </c>
      <c r="CX138" vm="11337">
        <f ca="1"/>
        <v>50.64</v>
      </c>
      <c r="CY138" vm="19858">
        <f ca="1"/>
        <v>50.19</v>
      </c>
      <c r="CZ138" vm="6243">
        <f ca="1"/>
        <v>50.41</v>
      </c>
      <c r="DA138" vm="6307">
        <f ca="1"/>
        <v>50.22</v>
      </c>
      <c r="DB138" vm="11836">
        <f ca="1"/>
        <v>51.09</v>
      </c>
      <c r="DC138" vm="11336">
        <f ca="1"/>
        <v>51.24</v>
      </c>
      <c r="DD138" vm="6295">
        <f ca="1"/>
        <v>51.08</v>
      </c>
      <c r="DE138" vm="11001">
        <f ca="1"/>
        <v>51.61</v>
      </c>
      <c r="DF138" vm="6358">
        <f ca="1"/>
        <v>51.45</v>
      </c>
      <c r="DG138" vm="11320">
        <f ca="1"/>
        <v>51.43</v>
      </c>
      <c r="DH138" vm="2190">
        <f ca="1"/>
        <v>52.52</v>
      </c>
      <c r="DI138" vm="6323">
        <f ca="1"/>
        <v>51.91</v>
      </c>
      <c r="DJ138" vm="14150">
        <f ca="1"/>
        <v>52.03</v>
      </c>
      <c r="DK138" vm="11002">
        <f ca="1"/>
        <v>53.05</v>
      </c>
      <c r="DL138" vm="6315">
        <f ca="1"/>
        <v>52.21</v>
      </c>
      <c r="DM138" vm="18375">
        <f ca="1"/>
        <v>53.27</v>
      </c>
      <c r="DN138" vm="2191">
        <f ca="1"/>
        <v>53.13</v>
      </c>
      <c r="DO138" vm="14148">
        <f ca="1"/>
        <v>53.46</v>
      </c>
      <c r="DP138" vm="6338">
        <f ca="1"/>
        <v>54.03</v>
      </c>
      <c r="DQ138" vm="11054">
        <f ca="1"/>
        <v>53.94</v>
      </c>
      <c r="DR138" vm="3330">
        <f ca="1"/>
        <v>54.44</v>
      </c>
      <c r="DS138" vm="11886">
        <f ca="1"/>
        <v>54.66</v>
      </c>
      <c r="DT138" vm="2649">
        <f ca="1"/>
        <v>54.08</v>
      </c>
      <c r="DU138" vm="19859">
        <f ca="1"/>
        <v>54.77</v>
      </c>
      <c r="DV138" vm="11020">
        <f ca="1"/>
        <v>53.3</v>
      </c>
      <c r="DW138" vm="19860">
        <f ca="1"/>
        <v>53.04</v>
      </c>
      <c r="DX138" vm="467">
        <f ca="1"/>
        <v>51.56</v>
      </c>
      <c r="DY138" vm="6257">
        <f ca="1"/>
        <v>51.8</v>
      </c>
      <c r="DZ138" vm="11304">
        <f ca="1"/>
        <v>51.73</v>
      </c>
      <c r="EA138" vm="1627">
        <f ca="1"/>
        <v>52.35</v>
      </c>
      <c r="EB138" vm="14148">
        <f ca="1"/>
        <v>53.46</v>
      </c>
      <c r="EC138" vm="474">
        <f ca="1"/>
        <v>52.89</v>
      </c>
      <c r="ED138" vm="2650">
        <f ca="1"/>
        <v>52.98</v>
      </c>
      <c r="EE138" vm="11006">
        <f ca="1"/>
        <v>52.64</v>
      </c>
      <c r="EF138" vm="19527">
        <f ca="1"/>
        <v>53.75</v>
      </c>
      <c r="EG138" vm="87">
        <f ca="1"/>
        <v>54.21</v>
      </c>
      <c r="EH138" vm="10068">
        <f ca="1"/>
        <v>54.31</v>
      </c>
      <c r="EI138" vm="78">
        <f ca="1"/>
        <v>54.79</v>
      </c>
      <c r="EJ138" vm="3338">
        <f ca="1"/>
        <v>53.84</v>
      </c>
      <c r="EK138" vm="2776">
        <f ca="1"/>
        <v>53.81</v>
      </c>
      <c r="EL138" vm="6341">
        <f ca="1"/>
        <v>54</v>
      </c>
      <c r="EM138" vm="2772">
        <f ca="1"/>
        <v>53.95</v>
      </c>
      <c r="EN138" vm="2650">
        <f ca="1"/>
        <v>52.98</v>
      </c>
      <c r="EO138" vm="3301">
        <f ca="1"/>
        <v>52.99</v>
      </c>
      <c r="EP138" vm="3304">
        <f ca="1"/>
        <v>52.86</v>
      </c>
      <c r="EQ138" vm="10057">
        <f ca="1"/>
        <v>53.43</v>
      </c>
      <c r="ER138" vm="6331">
        <f ca="1"/>
        <v>53.57</v>
      </c>
      <c r="ES138" vm="19742">
        <f ca="1"/>
        <v>54.81</v>
      </c>
      <c r="ET138" vm="11057">
        <f ca="1"/>
        <v>55.7</v>
      </c>
      <c r="EU138" vm="1087">
        <f ca="1"/>
        <v>55.74</v>
      </c>
      <c r="EV138" vm="14069">
        <f ca="1"/>
        <v>56.27</v>
      </c>
      <c r="EW138" vm="19861">
        <f ca="1"/>
        <v>55.44</v>
      </c>
      <c r="EX138" vm="2644">
        <f ca="1"/>
        <v>54.74</v>
      </c>
      <c r="EY138" vm="10292">
        <f ca="1"/>
        <v>54.22</v>
      </c>
      <c r="EZ138" vm="486">
        <f ca="1"/>
        <v>54.54</v>
      </c>
      <c r="FA138" vm="3336">
        <f ca="1"/>
        <v>53.99</v>
      </c>
      <c r="FB138" vm="11002">
        <f ca="1"/>
        <v>53.05</v>
      </c>
      <c r="FC138" vm="10057">
        <f ca="1"/>
        <v>53.43</v>
      </c>
      <c r="FD138" vm="19862">
        <f ca="1"/>
        <v>55.05</v>
      </c>
      <c r="FE138" vm="11873">
        <f ca="1"/>
        <v>55.4</v>
      </c>
      <c r="FF138" vm="1538">
        <f ca="1"/>
        <v>56.17</v>
      </c>
      <c r="FG138" vm="19863">
        <f ca="1"/>
        <v>56.66</v>
      </c>
      <c r="FH138" vm="1634">
        <f ca="1"/>
        <v>56.45</v>
      </c>
      <c r="FI138" vm="2948">
        <f ca="1"/>
        <v>56.36</v>
      </c>
      <c r="FJ138" vm="11061">
        <f ca="1"/>
        <v>57.5</v>
      </c>
      <c r="FK138" vm="11073">
        <f ca="1"/>
        <v>58.36</v>
      </c>
      <c r="FL138" vm="14208">
        <f ca="1"/>
        <v>57.64</v>
      </c>
      <c r="FM138" vm="2197">
        <f ca="1"/>
        <v>57.62</v>
      </c>
      <c r="FN138" vm="19864">
        <f ca="1"/>
        <v>57.11</v>
      </c>
      <c r="FO138" vm="19535">
        <f ca="1"/>
        <v>56.67</v>
      </c>
      <c r="FP138" vm="19864">
        <f ca="1"/>
        <v>57.11</v>
      </c>
      <c r="FQ138" vm="10089">
        <f ca="1"/>
        <v>56.91</v>
      </c>
      <c r="FR138" vm="3012">
        <f ca="1"/>
        <v>58.8</v>
      </c>
      <c r="FS138" vm="13389">
        <f ca="1"/>
        <v>58.35</v>
      </c>
      <c r="FT138" vm="11093">
        <f ca="1"/>
        <v>58.1</v>
      </c>
      <c r="FU138" vm="10091">
        <f ca="1"/>
        <v>57.38</v>
      </c>
      <c r="FV138" vm="14083">
        <f ca="1"/>
        <v>57.15</v>
      </c>
      <c r="FW138" vm="19865">
        <f ca="1"/>
        <v>57.67</v>
      </c>
      <c r="FX138" vm="9697">
        <f ca="1"/>
        <v>57.25</v>
      </c>
      <c r="FY138" vm="15659">
        <f ca="1"/>
        <v>57.7</v>
      </c>
      <c r="FZ138" vm="1222">
        <f ca="1"/>
        <v>56.57</v>
      </c>
      <c r="GA138" vm="13385">
        <f ca="1"/>
        <v>57.92</v>
      </c>
      <c r="GB138" vm="13400">
        <f ca="1"/>
        <v>59.34</v>
      </c>
      <c r="GC138" vm="11366">
        <f ca="1"/>
        <v>59.03</v>
      </c>
      <c r="GD138" vm="9707">
        <f ca="1"/>
        <v>59.73</v>
      </c>
      <c r="GE138" vm="14142">
        <f ca="1"/>
        <v>60.56</v>
      </c>
      <c r="GF138" vm="9656">
        <f ca="1"/>
        <v>60.57</v>
      </c>
      <c r="GG138" vm="25">
        <f ca="1"/>
        <v>60.93</v>
      </c>
      <c r="GH138" vm="11357">
        <f ca="1"/>
        <v>61</v>
      </c>
      <c r="GI138" vm="9668">
        <f ca="1"/>
        <v>60.86</v>
      </c>
      <c r="GJ138" vm="1100">
        <f ca="1"/>
        <v>61.48</v>
      </c>
      <c r="GK138" vm="13864">
        <f ca="1"/>
        <v>62.54</v>
      </c>
      <c r="GL138" vm="13876">
        <f ca="1"/>
        <v>62.46</v>
      </c>
      <c r="GM138" vm="11375">
        <f ca="1"/>
        <v>62.87</v>
      </c>
      <c r="GN138" vm="2538">
        <f ca="1"/>
        <v>61.97</v>
      </c>
      <c r="GO138" vm="13414">
        <f ca="1"/>
        <v>61.67</v>
      </c>
      <c r="GP138" vm="9664">
        <f ca="1"/>
        <v>63.3</v>
      </c>
      <c r="GQ138" vm="15829">
        <f ca="1"/>
        <v>63.42</v>
      </c>
      <c r="GR138" vm="2741">
        <f ca="1"/>
        <v>64.099999999999994</v>
      </c>
      <c r="GS138" vm="14096">
        <f ca="1"/>
        <v>64.75</v>
      </c>
      <c r="GT138" vm="18838">
        <f ca="1"/>
        <v>64.209999999999994</v>
      </c>
      <c r="GU138" vm="13879">
        <f ca="1"/>
        <v>65.06</v>
      </c>
      <c r="GV138" vm="1160">
        <f ca="1"/>
        <v>65.319999999999993</v>
      </c>
      <c r="GW138" vm="15662">
        <f ca="1"/>
        <v>64.790000000000006</v>
      </c>
      <c r="GX138" vm="2739">
        <f ca="1"/>
        <v>66.8</v>
      </c>
      <c r="GY138" vm="13879">
        <f ca="1"/>
        <v>65.06</v>
      </c>
      <c r="GZ138" vm="11397">
        <f ca="1"/>
        <v>63.32</v>
      </c>
      <c r="HA138" vm="11422">
        <f ca="1"/>
        <v>66.010000000000005</v>
      </c>
      <c r="HB138" vm="8865">
        <f ca="1"/>
        <v>65.31</v>
      </c>
      <c r="HC138" vm="8847">
        <f ca="1"/>
        <v>66.03</v>
      </c>
      <c r="HD138" vm="9731">
        <f ca="1"/>
        <v>67.33</v>
      </c>
      <c r="HE138" vm="11424">
        <f ca="1"/>
        <v>65.41</v>
      </c>
      <c r="HF138" vm="11406">
        <f ca="1"/>
        <v>66.209999999999994</v>
      </c>
      <c r="HG138" vm="14127">
        <f ca="1"/>
        <v>63.27</v>
      </c>
      <c r="HH138" vm="11392">
        <f ca="1"/>
        <v>63.58</v>
      </c>
      <c r="HI138" vm="2932">
        <f ca="1"/>
        <v>64.930000000000007</v>
      </c>
      <c r="HJ138" vm="19866">
        <f ca="1"/>
        <v>65.180000000000007</v>
      </c>
      <c r="HK138" vm="17859">
        <f ca="1"/>
        <v>64.2</v>
      </c>
      <c r="HL138" vm="11441">
        <f ca="1"/>
        <v>65.23</v>
      </c>
      <c r="HM138" vm="14096">
        <f ca="1"/>
        <v>64.75</v>
      </c>
      <c r="HN138" vm="11446">
        <f ca="1"/>
        <v>64.37</v>
      </c>
      <c r="HO138" vm="11453">
        <f ca="1"/>
        <v>63.77</v>
      </c>
      <c r="HP138" vm="11431">
        <f ca="1"/>
        <v>63.76</v>
      </c>
      <c r="HQ138" vm="10096">
        <f ca="1"/>
        <v>61.44</v>
      </c>
      <c r="HR138" vm="10277">
        <f ca="1"/>
        <v>63.4</v>
      </c>
      <c r="HS138" vm="8714">
        <f ca="1"/>
        <v>63.7</v>
      </c>
      <c r="HT138" vm="9726">
        <f ca="1"/>
        <v>64.239999999999995</v>
      </c>
      <c r="HU138" vm="8826">
        <f ca="1"/>
        <v>66.62</v>
      </c>
      <c r="HV138" vm="15857">
        <f ca="1"/>
        <v>66.53</v>
      </c>
      <c r="HW138" vm="8871">
        <f ca="1"/>
        <v>68.08</v>
      </c>
      <c r="HX138" vm="2935">
        <f ca="1"/>
        <v>67.83</v>
      </c>
      <c r="HY138" vm="18394">
        <f ca="1"/>
        <v>66.989999999999995</v>
      </c>
      <c r="HZ138" vm="14133">
        <f ca="1"/>
        <v>66.13</v>
      </c>
      <c r="IA138" vm="2340">
        <f ca="1"/>
        <v>66.16</v>
      </c>
      <c r="IB138" vm="2931">
        <f ca="1"/>
        <v>66.569999999999993</v>
      </c>
      <c r="IC138" vm="2932">
        <f ca="1"/>
        <v>64.930000000000007</v>
      </c>
      <c r="ID138" vm="72">
        <f ca="1"/>
        <v>64.86</v>
      </c>
      <c r="IE138" vm="2933">
        <f ca="1"/>
        <v>65.89</v>
      </c>
      <c r="IF138" vm="2934">
        <f ca="1"/>
        <v>66.3</v>
      </c>
      <c r="IG138" vm="2935">
        <f ca="1"/>
        <v>67.83</v>
      </c>
      <c r="IH138" vm="2936">
        <f ca="1"/>
        <v>66.739999999999995</v>
      </c>
      <c r="II138" vm="2795">
        <f ca="1"/>
        <v>67.45</v>
      </c>
      <c r="IJ138" vm="2473">
        <f ca="1"/>
        <v>66.5</v>
      </c>
      <c r="IK138" vm="2937">
        <f ca="1"/>
        <v>66.92</v>
      </c>
      <c r="IL138" vm="1613">
        <f ca="1"/>
        <v>67.05</v>
      </c>
      <c r="IM138" vm="2783">
        <f ca="1"/>
        <v>67.88</v>
      </c>
      <c r="IN138" vm="2938">
        <f ca="1"/>
        <v>66.39</v>
      </c>
      <c r="IO138" vm="2939">
        <f ca="1"/>
        <v>66.91</v>
      </c>
      <c r="IP138" vm="2940">
        <f ca="1"/>
        <v>68.180000000000007</v>
      </c>
      <c r="IQ138" vm="2941">
        <f ca="1"/>
        <v>69.5</v>
      </c>
      <c r="IR138" vm="2942">
        <f ca="1"/>
        <v>68.63</v>
      </c>
      <c r="IS138" vm="2943">
        <f ca="1"/>
        <v>69.61</v>
      </c>
      <c r="IT138" vm="2944">
        <f ca="1"/>
        <v>65.7</v>
      </c>
      <c r="IU138" vm="2945">
        <f ca="1"/>
        <v>66.64</v>
      </c>
      <c r="IV138" vm="2946">
        <f ca="1"/>
        <v>67.510000000000005</v>
      </c>
      <c r="IW138" vm="107">
        <f ca="1"/>
        <v>67.599999999999994</v>
      </c>
    </row>
    <row r="139" spans="1:257" ht="16" x14ac:dyDescent="0.2">
      <c r="A139" t="e" vm="2947">
        <v>#VALUE!</v>
      </c>
      <c r="B139" s="23" t="str" cm="1">
        <f t="array" aca="1" ref="B139" ca="1">_FV(A139,"ticker symbol",TRUE)</f>
        <v>EWL</v>
      </c>
      <c r="C139" s="23" t="str" cm="1">
        <f t="array" aca="1" ref="C139" ca="1">_FV(A139,"Name")</f>
        <v>iShares:MSCI Switzerland</v>
      </c>
      <c r="D139" cm="1" vm="11493">
        <f t="array" aca="1" ref="D139:IW139" ca="1">TRANSPOSE(_xlfn.STOCKHISTORY(B139, WORKDAY(TODAY(), -265), TODAY(), 0, 0, 1))</f>
        <v>47.09</v>
      </c>
      <c r="E139" vm="19867">
        <f ca="1"/>
        <v>47.24</v>
      </c>
      <c r="F139" vm="461">
        <f ca="1"/>
        <v>45.96</v>
      </c>
      <c r="G139" vm="10005">
        <f ca="1"/>
        <v>45.73</v>
      </c>
      <c r="H139" vm="457">
        <f ca="1"/>
        <v>45.92</v>
      </c>
      <c r="I139" vm="9989">
        <f ca="1"/>
        <v>46.3</v>
      </c>
      <c r="J139" vm="9235">
        <f ca="1"/>
        <v>46.47</v>
      </c>
      <c r="K139" vm="2331">
        <f ca="1"/>
        <v>46.62</v>
      </c>
      <c r="L139" vm="19458">
        <f ca="1"/>
        <v>46.34</v>
      </c>
      <c r="M139" vm="10016">
        <f ca="1"/>
        <v>46.2</v>
      </c>
      <c r="N139" vm="461">
        <f ca="1"/>
        <v>45.96</v>
      </c>
      <c r="O139" vm="14050">
        <f ca="1"/>
        <v>45.85</v>
      </c>
      <c r="P139" vm="2110">
        <f ca="1"/>
        <v>46.26</v>
      </c>
      <c r="Q139" vm="14168">
        <f ca="1"/>
        <v>46.52</v>
      </c>
      <c r="R139" vm="12029">
        <f ca="1"/>
        <v>46.87</v>
      </c>
      <c r="S139" vm="19819">
        <f ca="1"/>
        <v>47</v>
      </c>
      <c r="T139" vm="10012">
        <f ca="1"/>
        <v>46.41</v>
      </c>
      <c r="U139" vm="10036">
        <f ca="1"/>
        <v>46.16</v>
      </c>
      <c r="V139" vm="12025">
        <f ca="1"/>
        <v>46.33</v>
      </c>
      <c r="W139" vm="16028">
        <f ca="1"/>
        <v>46.6</v>
      </c>
      <c r="X139" vm="13822">
        <f ca="1"/>
        <v>47.11</v>
      </c>
      <c r="Y139" vm="1270">
        <f ca="1"/>
        <v>47.17</v>
      </c>
      <c r="Z139" vm="19868">
        <f ca="1"/>
        <v>48.35</v>
      </c>
      <c r="AA139" vm="6234">
        <f ca="1"/>
        <v>48.44</v>
      </c>
      <c r="AB139" vm="829">
        <f ca="1"/>
        <v>48.79</v>
      </c>
      <c r="AC139" vm="19851">
        <f ca="1"/>
        <v>48.83</v>
      </c>
      <c r="AD139" vm="1988">
        <f ca="1"/>
        <v>49.84</v>
      </c>
      <c r="AE139" vm="3116">
        <f ca="1"/>
        <v>49.71</v>
      </c>
      <c r="AF139" vm="1133">
        <f ca="1"/>
        <v>49.59</v>
      </c>
      <c r="AG139" vm="11838">
        <f ca="1"/>
        <v>50.02</v>
      </c>
      <c r="AH139" vm="1621">
        <f ca="1"/>
        <v>49.57</v>
      </c>
      <c r="AI139" vm="9244">
        <f ca="1"/>
        <v>49.24</v>
      </c>
      <c r="AJ139" vm="19357">
        <f ca="1"/>
        <v>49.51</v>
      </c>
      <c r="AK139" vm="6265">
        <f ca="1"/>
        <v>50.21</v>
      </c>
      <c r="AL139" vm="11287">
        <f ca="1"/>
        <v>49.97</v>
      </c>
      <c r="AM139" vm="1133">
        <f ca="1"/>
        <v>49.59</v>
      </c>
      <c r="AN139" vm="1139">
        <f ca="1"/>
        <v>49.9</v>
      </c>
      <c r="AO139" vm="6298">
        <f ca="1"/>
        <v>50.05</v>
      </c>
      <c r="AP139" vm="6307">
        <f ca="1"/>
        <v>50.22</v>
      </c>
      <c r="AQ139" vm="6322">
        <f ca="1"/>
        <v>51.4</v>
      </c>
      <c r="AR139" vm="6246">
        <f ca="1"/>
        <v>51.41</v>
      </c>
      <c r="AS139" vm="11314">
        <f ca="1"/>
        <v>51.31</v>
      </c>
      <c r="AT139" vm="11301">
        <f ca="1"/>
        <v>50.86</v>
      </c>
      <c r="AU139" vm="9253">
        <f ca="1"/>
        <v>51.29</v>
      </c>
      <c r="AV139" vm="6297">
        <f ca="1"/>
        <v>51.62</v>
      </c>
      <c r="AW139" vm="6254">
        <f ca="1"/>
        <v>51.54</v>
      </c>
      <c r="AX139" vm="1625">
        <f ca="1"/>
        <v>51.97</v>
      </c>
      <c r="AY139" vm="14150">
        <f ca="1"/>
        <v>52.03</v>
      </c>
      <c r="AZ139" vm="11335">
        <f ca="1"/>
        <v>51.33</v>
      </c>
      <c r="BA139" vm="11304">
        <f ca="1"/>
        <v>51.73</v>
      </c>
      <c r="BB139" vm="11303">
        <f ca="1"/>
        <v>52.3</v>
      </c>
      <c r="BC139" vm="2194">
        <f ca="1"/>
        <v>52.71</v>
      </c>
      <c r="BD139" vm="3304">
        <f ca="1"/>
        <v>52.86</v>
      </c>
      <c r="BE139" vm="15732">
        <f ca="1"/>
        <v>52.59</v>
      </c>
      <c r="BF139" vm="10058">
        <f ca="1"/>
        <v>53.53</v>
      </c>
      <c r="BG139" vm="6312">
        <f ca="1"/>
        <v>52.62</v>
      </c>
      <c r="BH139" vm="8683">
        <f ca="1"/>
        <v>51.87</v>
      </c>
      <c r="BI139" vm="2920">
        <f ca="1"/>
        <v>52.41</v>
      </c>
      <c r="BJ139" vm="2908">
        <f ca="1"/>
        <v>52.14</v>
      </c>
      <c r="BK139" vm="15732">
        <f ca="1"/>
        <v>52.59</v>
      </c>
      <c r="BL139" vm="473">
        <f ca="1"/>
        <v>53.33</v>
      </c>
      <c r="BM139" vm="10057">
        <f ca="1"/>
        <v>53.43</v>
      </c>
      <c r="BN139" vm="6349">
        <f ca="1"/>
        <v>53.24</v>
      </c>
      <c r="BO139" vm="479">
        <f ca="1"/>
        <v>53.28</v>
      </c>
      <c r="BP139" vm="2925">
        <f ca="1"/>
        <v>53.06</v>
      </c>
      <c r="BQ139" vm="3300">
        <f ca="1"/>
        <v>52.9</v>
      </c>
      <c r="BR139" vm="2650">
        <f ca="1"/>
        <v>52.98</v>
      </c>
      <c r="BS139" vm="6357">
        <f ca="1"/>
        <v>52.45</v>
      </c>
      <c r="BT139" vm="15732">
        <f ca="1"/>
        <v>52.59</v>
      </c>
      <c r="BU139" vm="11021">
        <f ca="1"/>
        <v>52.48</v>
      </c>
      <c r="BV139" vm="6309">
        <f ca="1"/>
        <v>51.79</v>
      </c>
      <c r="BW139" vm="2193">
        <f ca="1"/>
        <v>51.76</v>
      </c>
      <c r="BX139" vm="11340">
        <f ca="1"/>
        <v>51.49</v>
      </c>
      <c r="BY139" vm="6246">
        <f ca="1"/>
        <v>51.41</v>
      </c>
      <c r="BZ139" vm="11042">
        <f ca="1"/>
        <v>48.36</v>
      </c>
      <c r="CA139" vm="12086">
        <f ca="1"/>
        <v>47.04</v>
      </c>
      <c r="CB139" vm="12090">
        <f ca="1"/>
        <v>47.12</v>
      </c>
      <c r="CC139" vm="3116">
        <f ca="1"/>
        <v>49.71</v>
      </c>
      <c r="CD139" vm="11025">
        <f ca="1"/>
        <v>49.7</v>
      </c>
      <c r="CE139" vm="2904">
        <f ca="1"/>
        <v>51.05</v>
      </c>
      <c r="CF139" vm="3114">
        <f ca="1"/>
        <v>51.2</v>
      </c>
      <c r="CG139" vm="6358">
        <f ca="1"/>
        <v>51.45</v>
      </c>
      <c r="CH139" vm="9253">
        <f ca="1"/>
        <v>51.29</v>
      </c>
      <c r="CI139" vm="6324">
        <f ca="1"/>
        <v>51.95</v>
      </c>
      <c r="CJ139" vm="6253">
        <f ca="1"/>
        <v>51.82</v>
      </c>
      <c r="CK139" vm="6357">
        <f ca="1"/>
        <v>52.45</v>
      </c>
      <c r="CL139" vm="1628">
        <f ca="1"/>
        <v>52.23</v>
      </c>
      <c r="CM139" vm="14046">
        <f ca="1"/>
        <v>52.96</v>
      </c>
      <c r="CN139" vm="19860">
        <f ca="1"/>
        <v>53.04</v>
      </c>
      <c r="CO139" vm="9692">
        <f ca="1"/>
        <v>53.71</v>
      </c>
      <c r="CP139" vm="6333">
        <f ca="1"/>
        <v>53.67</v>
      </c>
      <c r="CQ139" vm="3327">
        <f ca="1"/>
        <v>53.86</v>
      </c>
      <c r="CR139" vm="14047">
        <f ca="1"/>
        <v>53.52</v>
      </c>
      <c r="CS139" vm="19869">
        <f ca="1"/>
        <v>54.47</v>
      </c>
      <c r="CT139" vm="484">
        <f ca="1"/>
        <v>54.64</v>
      </c>
      <c r="CU139" vm="2642">
        <f ca="1"/>
        <v>54.34</v>
      </c>
      <c r="CV139" vm="18367">
        <f ca="1"/>
        <v>54.15</v>
      </c>
      <c r="CW139" vm="2774">
        <f ca="1"/>
        <v>53.58</v>
      </c>
      <c r="CX139" vm="2774">
        <f ca="1"/>
        <v>53.58</v>
      </c>
      <c r="CY139" vm="10058">
        <f ca="1"/>
        <v>53.53</v>
      </c>
      <c r="CZ139" vm="6313">
        <f ca="1"/>
        <v>53.19</v>
      </c>
      <c r="DA139" vm="14057">
        <f ca="1"/>
        <v>52.94</v>
      </c>
      <c r="DB139" vm="3333">
        <f ca="1"/>
        <v>54.02</v>
      </c>
      <c r="DC139" vm="18827">
        <f ca="1"/>
        <v>54.41</v>
      </c>
      <c r="DD139" vm="17844">
        <f ca="1"/>
        <v>55.02</v>
      </c>
      <c r="DE139" vm="2195">
        <f ca="1"/>
        <v>55.17</v>
      </c>
      <c r="DF139" vm="19870">
        <f ca="1"/>
        <v>55.04</v>
      </c>
      <c r="DG139" vm="19859">
        <f ca="1"/>
        <v>54.77</v>
      </c>
      <c r="DH139" vm="18370">
        <f ca="1"/>
        <v>55.03</v>
      </c>
      <c r="DI139" vm="14033">
        <f ca="1"/>
        <v>55.2</v>
      </c>
      <c r="DJ139" vm="2645">
        <f ca="1"/>
        <v>54.62</v>
      </c>
      <c r="DK139" vm="19871">
        <f ca="1"/>
        <v>54.9</v>
      </c>
      <c r="DL139" vm="19461">
        <f ca="1"/>
        <v>55.18</v>
      </c>
      <c r="DM139" vm="8682">
        <f ca="1"/>
        <v>55.54</v>
      </c>
      <c r="DN139" vm="18370">
        <f ca="1"/>
        <v>55.03</v>
      </c>
      <c r="DO139" vm="11887">
        <f ca="1"/>
        <v>55.56</v>
      </c>
      <c r="DP139" vm="1226">
        <f ca="1"/>
        <v>55.47</v>
      </c>
      <c r="DQ139" vm="14087">
        <f ca="1"/>
        <v>55.64</v>
      </c>
      <c r="DR139" vm="19872">
        <f ca="1"/>
        <v>55.62</v>
      </c>
      <c r="DS139" vm="14032">
        <f ca="1"/>
        <v>55.67</v>
      </c>
      <c r="DT139" vm="11017">
        <f ca="1"/>
        <v>55.43</v>
      </c>
      <c r="DU139" vm="14069">
        <f ca="1"/>
        <v>56.27</v>
      </c>
      <c r="DV139" vm="11874">
        <f ca="1"/>
        <v>55.22</v>
      </c>
      <c r="DW139" vm="1630">
        <f ca="1"/>
        <v>53.77</v>
      </c>
      <c r="DX139" vm="10059">
        <f ca="1"/>
        <v>53.42</v>
      </c>
      <c r="DY139" vm="11047">
        <f ca="1"/>
        <v>53.25</v>
      </c>
      <c r="DZ139" vm="6314">
        <f ca="1"/>
        <v>52.68</v>
      </c>
      <c r="EA139" vm="14148">
        <f ca="1"/>
        <v>53.46</v>
      </c>
      <c r="EB139" vm="2639">
        <f ca="1"/>
        <v>54.32</v>
      </c>
      <c r="EC139" vm="19527">
        <f ca="1"/>
        <v>53.75</v>
      </c>
      <c r="ED139" vm="15803">
        <f ca="1"/>
        <v>54.26</v>
      </c>
      <c r="EE139" vm="485">
        <f ca="1"/>
        <v>54.63</v>
      </c>
      <c r="EF139" vm="19742">
        <f ca="1"/>
        <v>54.81</v>
      </c>
      <c r="EG139" vm="15805">
        <f ca="1"/>
        <v>54.98</v>
      </c>
      <c r="EH139" vm="9693">
        <f ca="1"/>
        <v>55.27</v>
      </c>
      <c r="EI139" vm="19871">
        <f ca="1"/>
        <v>54.9</v>
      </c>
      <c r="EJ139" vm="2646">
        <f ca="1"/>
        <v>54.53</v>
      </c>
      <c r="EK139" vm="10066">
        <f ca="1"/>
        <v>54.82</v>
      </c>
      <c r="EL139" vm="18826">
        <f ca="1"/>
        <v>55.28</v>
      </c>
      <c r="EM139" vm="19873">
        <f ca="1"/>
        <v>55.45</v>
      </c>
      <c r="EN139" vm="14185">
        <f ca="1"/>
        <v>54.7</v>
      </c>
      <c r="EO139" vm="19364">
        <f ca="1"/>
        <v>54.71</v>
      </c>
      <c r="EP139" vm="19362">
        <f ca="1"/>
        <v>54.18</v>
      </c>
      <c r="EQ139" vm="11867">
        <f ca="1"/>
        <v>54.55</v>
      </c>
      <c r="ER139" vm="1532">
        <f ca="1"/>
        <v>54.36</v>
      </c>
      <c r="ES139" vm="15731">
        <f ca="1"/>
        <v>54.48</v>
      </c>
      <c r="ET139" vm="19874">
        <f ca="1"/>
        <v>54.51</v>
      </c>
      <c r="EU139" vm="11882">
        <f ca="1"/>
        <v>54.96</v>
      </c>
      <c r="EV139" vm="19875">
        <f ca="1"/>
        <v>56.2</v>
      </c>
      <c r="EW139" vm="17845">
        <f ca="1"/>
        <v>55.12</v>
      </c>
      <c r="EX139" vm="18373">
        <f ca="1"/>
        <v>55.16</v>
      </c>
      <c r="EY139" vm="11055">
        <f ca="1"/>
        <v>54.16</v>
      </c>
      <c r="EZ139" vm="11864">
        <f ca="1"/>
        <v>54.12</v>
      </c>
      <c r="FA139" vm="478">
        <f ca="1"/>
        <v>53.48</v>
      </c>
      <c r="FB139" vm="19876">
        <f ca="1"/>
        <v>52.72</v>
      </c>
      <c r="FC139" vm="6352">
        <f ca="1"/>
        <v>52.43</v>
      </c>
      <c r="FD139" vm="11049">
        <f ca="1"/>
        <v>53.31</v>
      </c>
      <c r="FE139" vm="478">
        <f ca="1"/>
        <v>53.48</v>
      </c>
      <c r="FF139" vm="2650">
        <f ca="1"/>
        <v>52.98</v>
      </c>
      <c r="FG139" vm="103">
        <f ca="1"/>
        <v>53.68</v>
      </c>
      <c r="FH139" vm="8690">
        <f ca="1"/>
        <v>53.6</v>
      </c>
      <c r="FI139" vm="2652">
        <f ca="1"/>
        <v>53.2</v>
      </c>
      <c r="FJ139" vm="2776">
        <f ca="1"/>
        <v>53.81</v>
      </c>
      <c r="FK139" vm="8688">
        <f ca="1"/>
        <v>54.2</v>
      </c>
      <c r="FL139" vm="8685">
        <f ca="1"/>
        <v>54.1</v>
      </c>
      <c r="FM139" vm="11052">
        <f ca="1"/>
        <v>54.5</v>
      </c>
      <c r="FN139" vm="2773">
        <f ca="1"/>
        <v>54.35</v>
      </c>
      <c r="FO139" vm="19871">
        <f ca="1"/>
        <v>54.9</v>
      </c>
      <c r="FP139" vm="1637">
        <f ca="1"/>
        <v>55.52</v>
      </c>
      <c r="FQ139" vm="15733">
        <f ca="1"/>
        <v>54.94</v>
      </c>
      <c r="FR139" vm="14087">
        <f ca="1"/>
        <v>55.64</v>
      </c>
      <c r="FS139" vm="8687">
        <f ca="1"/>
        <v>54.97</v>
      </c>
      <c r="FT139" vm="11879">
        <f ca="1"/>
        <v>55.11</v>
      </c>
      <c r="FU139" vm="945">
        <f ca="1"/>
        <v>55.24</v>
      </c>
      <c r="FV139" vm="15804">
        <f ca="1"/>
        <v>55.33</v>
      </c>
      <c r="FW139" vm="15804">
        <f ca="1"/>
        <v>55.33</v>
      </c>
      <c r="FX139" vm="19736">
        <f ca="1"/>
        <v>54.67</v>
      </c>
      <c r="FY139" vm="18372">
        <f ca="1"/>
        <v>55.08</v>
      </c>
      <c r="FZ139" vm="1228">
        <f ca="1"/>
        <v>55.71</v>
      </c>
      <c r="GA139" vm="1537">
        <f ca="1"/>
        <v>56.25</v>
      </c>
      <c r="GB139" vm="11009">
        <f ca="1"/>
        <v>56.33</v>
      </c>
      <c r="GC139" vm="19877">
        <f ca="1"/>
        <v>56.02</v>
      </c>
      <c r="GD139" vm="19872">
        <f ca="1"/>
        <v>55.62</v>
      </c>
      <c r="GE139" vm="11890">
        <f ca="1"/>
        <v>56.12</v>
      </c>
      <c r="GF139" vm="14031">
        <f ca="1"/>
        <v>55.65</v>
      </c>
      <c r="GG139" vm="11887">
        <f ca="1"/>
        <v>55.56</v>
      </c>
      <c r="GH139" vm="9694">
        <f ca="1"/>
        <v>55.48</v>
      </c>
      <c r="GI139" vm="10065">
        <f ca="1"/>
        <v>55.29</v>
      </c>
      <c r="GJ139" vm="14034">
        <f ca="1"/>
        <v>55.21</v>
      </c>
      <c r="GK139" vm="1540">
        <f ca="1"/>
        <v>55.26</v>
      </c>
      <c r="GL139" vm="19365">
        <f ca="1"/>
        <v>55.57</v>
      </c>
      <c r="GM139" vm="945">
        <f ca="1"/>
        <v>55.24</v>
      </c>
      <c r="GN139" vm="19874">
        <f ca="1"/>
        <v>54.51</v>
      </c>
      <c r="GO139" vm="3327">
        <f ca="1"/>
        <v>53.86</v>
      </c>
      <c r="GP139" vm="15803">
        <f ca="1"/>
        <v>54.26</v>
      </c>
      <c r="GQ139" vm="15802">
        <f ca="1"/>
        <v>54.57</v>
      </c>
      <c r="GR139" vm="945">
        <f ca="1"/>
        <v>55.24</v>
      </c>
      <c r="GS139" vm="18371">
        <f ca="1"/>
        <v>55.94</v>
      </c>
      <c r="GT139" vm="1537">
        <f ca="1"/>
        <v>56.25</v>
      </c>
      <c r="GU139" vm="19863">
        <f ca="1"/>
        <v>56.66</v>
      </c>
      <c r="GV139" vm="19878">
        <f ca="1"/>
        <v>56.72</v>
      </c>
      <c r="GW139" vm="14200">
        <f ca="1"/>
        <v>56.55</v>
      </c>
      <c r="GX139" vm="11074">
        <f ca="1"/>
        <v>56.83</v>
      </c>
      <c r="GY139" vm="2948">
        <f ca="1"/>
        <v>56.36</v>
      </c>
      <c r="GZ139" vm="2198">
        <f ca="1"/>
        <v>56.1</v>
      </c>
      <c r="HA139" vm="10072">
        <f ca="1"/>
        <v>56.08</v>
      </c>
      <c r="HB139" vm="11009">
        <f ca="1"/>
        <v>56.33</v>
      </c>
      <c r="HC139" vm="9685">
        <f ca="1"/>
        <v>56.64</v>
      </c>
      <c r="HD139" vm="9671">
        <f ca="1"/>
        <v>57.47</v>
      </c>
      <c r="HE139" vm="10117">
        <f ca="1"/>
        <v>57.78</v>
      </c>
      <c r="HF139" vm="14086">
        <f ca="1"/>
        <v>57.68</v>
      </c>
      <c r="HG139" vm="19864">
        <f ca="1"/>
        <v>57.11</v>
      </c>
      <c r="HH139" vm="19879">
        <f ca="1"/>
        <v>57.14</v>
      </c>
      <c r="HI139" vm="1212">
        <f ca="1"/>
        <v>57.17</v>
      </c>
      <c r="HJ139" vm="9677">
        <f ca="1"/>
        <v>57.12</v>
      </c>
      <c r="HK139" vm="11014">
        <f ca="1"/>
        <v>56.94</v>
      </c>
      <c r="HL139" vm="1538">
        <f ca="1"/>
        <v>56.17</v>
      </c>
      <c r="HM139" vm="11871">
        <f ca="1"/>
        <v>55.66</v>
      </c>
      <c r="HN139" vm="19743">
        <f ca="1"/>
        <v>55.6</v>
      </c>
      <c r="HO139" vm="19880">
        <f ca="1"/>
        <v>55.36</v>
      </c>
      <c r="HP139" vm="17845">
        <f ca="1"/>
        <v>55.12</v>
      </c>
      <c r="HQ139" vm="10070">
        <f ca="1"/>
        <v>55.06</v>
      </c>
      <c r="HR139" vm="11873">
        <f ca="1"/>
        <v>55.4</v>
      </c>
      <c r="HS139" vm="11874">
        <f ca="1"/>
        <v>55.22</v>
      </c>
      <c r="HT139" vm="1087">
        <f ca="1"/>
        <v>55.74</v>
      </c>
      <c r="HU139" vm="2948">
        <f ca="1"/>
        <v>56.36</v>
      </c>
      <c r="HV139" vm="19865">
        <f ca="1"/>
        <v>57.67</v>
      </c>
      <c r="HW139" vm="14061">
        <f ca="1"/>
        <v>58.06</v>
      </c>
      <c r="HX139" vm="11072">
        <f ca="1"/>
        <v>57.85</v>
      </c>
      <c r="HY139" vm="2952">
        <f ca="1"/>
        <v>57.55</v>
      </c>
      <c r="HZ139" vm="10297">
        <f ca="1"/>
        <v>56.81</v>
      </c>
      <c r="IA139" vm="1089">
        <f ca="1"/>
        <v>56.58</v>
      </c>
      <c r="IB139" vm="2948">
        <f ca="1"/>
        <v>56.36</v>
      </c>
      <c r="IC139" vm="940">
        <f ca="1"/>
        <v>55.69</v>
      </c>
      <c r="ID139" vm="2949">
        <f ca="1"/>
        <v>56.69</v>
      </c>
      <c r="IE139" vm="2950">
        <f ca="1"/>
        <v>56.39</v>
      </c>
      <c r="IF139" vm="2951">
        <f ca="1"/>
        <v>57.26</v>
      </c>
      <c r="IG139" vm="2952">
        <f ca="1"/>
        <v>57.55</v>
      </c>
      <c r="IH139" vm="2953">
        <f ca="1"/>
        <v>57.82</v>
      </c>
      <c r="II139" vm="1216">
        <f ca="1"/>
        <v>57.42</v>
      </c>
      <c r="IJ139" vm="2954">
        <f ca="1"/>
        <v>57.94</v>
      </c>
      <c r="IK139" vm="2955">
        <f ca="1"/>
        <v>58.07</v>
      </c>
      <c r="IL139" vm="2956">
        <f ca="1"/>
        <v>57.91</v>
      </c>
      <c r="IM139" vm="2957">
        <f ca="1"/>
        <v>58.03</v>
      </c>
      <c r="IN139" vm="2958">
        <f ca="1"/>
        <v>57.76</v>
      </c>
      <c r="IO139" vm="2959">
        <f ca="1"/>
        <v>57.69</v>
      </c>
      <c r="IP139" vm="2960">
        <f ca="1"/>
        <v>58.38</v>
      </c>
      <c r="IQ139" vm="2961">
        <f ca="1"/>
        <v>58.49</v>
      </c>
      <c r="IR139" vm="2962">
        <f ca="1"/>
        <v>58.37</v>
      </c>
      <c r="IS139" vm="2963">
        <f ca="1"/>
        <v>59.06</v>
      </c>
      <c r="IT139" vm="2964">
        <f ca="1"/>
        <v>59.02</v>
      </c>
      <c r="IU139" vm="2965">
        <f ca="1"/>
        <v>58.84</v>
      </c>
      <c r="IV139" vm="2966">
        <f ca="1"/>
        <v>59.47</v>
      </c>
      <c r="IW139" vm="109">
        <f ca="1"/>
        <v>59.57</v>
      </c>
    </row>
    <row r="140" spans="1:257" ht="16" x14ac:dyDescent="0.2">
      <c r="A140" t="e" vm="2967">
        <v>#VALUE!</v>
      </c>
      <c r="B140" s="23" t="str" cm="1">
        <f t="array" aca="1" ref="B140" ca="1">_FV(A140,"ticker symbol",TRUE)</f>
        <v>UUP</v>
      </c>
      <c r="C140" s="23" t="str" cm="1">
        <f t="array" aca="1" ref="C140" ca="1">_FV(A140,"Name")</f>
        <v>Invesco DB USD Idx Bl</v>
      </c>
      <c r="D140" cm="1" vm="16406">
        <f t="array" aca="1" ref="D140:IW140" ca="1">TRANSPOSE(_xlfn.STOCKHISTORY(B140, WORKDAY(TODAY(), -265), TODAY(), 0, 0, 1))</f>
        <v>30.21</v>
      </c>
      <c r="E140" vm="10540">
        <f ca="1"/>
        <v>30.24</v>
      </c>
      <c r="F140" vm="13901">
        <f ca="1"/>
        <v>30.59</v>
      </c>
      <c r="G140" vm="14006">
        <f ca="1"/>
        <v>30.65</v>
      </c>
      <c r="H140" vm="9011">
        <f ca="1"/>
        <v>30.5</v>
      </c>
      <c r="I140" vm="19881">
        <f ca="1"/>
        <v>29.29</v>
      </c>
      <c r="J140" vm="18015">
        <f ca="1"/>
        <v>29.37</v>
      </c>
      <c r="K140" vm="13930">
        <f ca="1"/>
        <v>29.31</v>
      </c>
      <c r="L140" vm="19882">
        <f ca="1"/>
        <v>29.26</v>
      </c>
      <c r="M140" vm="19881">
        <f ca="1"/>
        <v>29.29</v>
      </c>
      <c r="N140" vm="13946">
        <f ca="1"/>
        <v>29.42</v>
      </c>
      <c r="O140" vm="13928">
        <f ca="1"/>
        <v>29.67</v>
      </c>
      <c r="P140" vm="16422">
        <f ca="1"/>
        <v>29.58</v>
      </c>
      <c r="Q140" vm="10591">
        <f ca="1"/>
        <v>29.39</v>
      </c>
      <c r="R140" vm="13943">
        <f ca="1"/>
        <v>29.5</v>
      </c>
      <c r="S140" vm="17200">
        <f ca="1"/>
        <v>29.61</v>
      </c>
      <c r="T140" vm="13917">
        <f ca="1"/>
        <v>29.76</v>
      </c>
      <c r="U140" vm="10622">
        <f ca="1"/>
        <v>29.85</v>
      </c>
      <c r="V140" vm="10577">
        <f ca="1"/>
        <v>29.66</v>
      </c>
      <c r="W140" vm="17200">
        <f ca="1"/>
        <v>29.61</v>
      </c>
      <c r="X140" vm="17200">
        <f ca="1"/>
        <v>29.61</v>
      </c>
      <c r="Y140" vm="13967">
        <f ca="1"/>
        <v>29.72</v>
      </c>
      <c r="Z140" vm="9041">
        <f ca="1"/>
        <v>29.34</v>
      </c>
      <c r="AA140" vm="10591">
        <f ca="1"/>
        <v>29.39</v>
      </c>
      <c r="AB140" vm="16412">
        <f ca="1"/>
        <v>29.38</v>
      </c>
      <c r="AC140" vm="13985">
        <f ca="1"/>
        <v>29.2</v>
      </c>
      <c r="AD140" vm="17989">
        <f ca="1"/>
        <v>29.21</v>
      </c>
      <c r="AE140" vm="10608">
        <f ca="1"/>
        <v>29.33</v>
      </c>
      <c r="AF140" vm="10591">
        <f ca="1"/>
        <v>29.39</v>
      </c>
      <c r="AG140" vm="10591">
        <f ca="1"/>
        <v>29.39</v>
      </c>
      <c r="AH140" vm="10592">
        <f ca="1"/>
        <v>29.51</v>
      </c>
      <c r="AI140" vm="10627">
        <f ca="1"/>
        <v>29.64</v>
      </c>
      <c r="AJ140" vm="18015">
        <f ca="1"/>
        <v>29.37</v>
      </c>
      <c r="AK140" vm="17982">
        <f ca="1"/>
        <v>29.32</v>
      </c>
      <c r="AL140" vm="10607">
        <f ca="1"/>
        <v>29.3</v>
      </c>
      <c r="AM140" vm="10536">
        <f ca="1"/>
        <v>29.43</v>
      </c>
      <c r="AN140" vm="16423">
        <f ca="1"/>
        <v>29.52</v>
      </c>
      <c r="AO140" vm="13946">
        <f ca="1"/>
        <v>29.42</v>
      </c>
      <c r="AP140" vm="17186">
        <f ca="1"/>
        <v>29.44</v>
      </c>
      <c r="AQ140" vm="13985">
        <f ca="1"/>
        <v>29.2</v>
      </c>
      <c r="AR140" vm="9039">
        <f ca="1"/>
        <v>29.12</v>
      </c>
      <c r="AS140" vm="17809">
        <f ca="1"/>
        <v>29.18</v>
      </c>
      <c r="AT140" vm="17989">
        <f ca="1"/>
        <v>29.21</v>
      </c>
      <c r="AU140" vm="2077">
        <f ca="1"/>
        <v>28.98</v>
      </c>
      <c r="AV140" vm="10560">
        <f ca="1"/>
        <v>29.08</v>
      </c>
      <c r="AW140" vm="10606">
        <f ca="1"/>
        <v>29.1</v>
      </c>
      <c r="AX140" vm="2084">
        <f ca="1"/>
        <v>28.99</v>
      </c>
      <c r="AY140" vm="19883">
        <f ca="1"/>
        <v>29.05</v>
      </c>
      <c r="AZ140" vm="19882">
        <f ca="1"/>
        <v>29.26</v>
      </c>
      <c r="BA140" vm="10591">
        <f ca="1"/>
        <v>29.39</v>
      </c>
      <c r="BB140" vm="13927">
        <f ca="1"/>
        <v>29.11</v>
      </c>
      <c r="BC140" vm="2083">
        <f ca="1"/>
        <v>28.85</v>
      </c>
      <c r="BD140" vm="19884">
        <f ca="1"/>
        <v>28.5</v>
      </c>
      <c r="BE140" vm="19885">
        <f ca="1"/>
        <v>28.48</v>
      </c>
      <c r="BF140" vm="2889">
        <f ca="1"/>
        <v>28.39</v>
      </c>
      <c r="BG140" vm="2968">
        <f ca="1"/>
        <v>28.41</v>
      </c>
      <c r="BH140" vm="19886">
        <f ca="1"/>
        <v>28.25</v>
      </c>
      <c r="BI140" vm="19887">
        <f ca="1"/>
        <v>28.32</v>
      </c>
      <c r="BJ140" vm="18011">
        <f ca="1"/>
        <v>28.42</v>
      </c>
      <c r="BK140" vm="2889">
        <f ca="1"/>
        <v>28.39</v>
      </c>
      <c r="BL140" vm="17196">
        <f ca="1"/>
        <v>28.28</v>
      </c>
      <c r="BM140" vm="17804">
        <f ca="1"/>
        <v>28.26</v>
      </c>
      <c r="BN140" vm="13938">
        <f ca="1"/>
        <v>28.33</v>
      </c>
      <c r="BO140" vm="2968">
        <f ca="1"/>
        <v>28.41</v>
      </c>
      <c r="BP140" vm="19884">
        <f ca="1"/>
        <v>28.5</v>
      </c>
      <c r="BQ140" vm="19888">
        <f ca="1"/>
        <v>28.55</v>
      </c>
      <c r="BR140" vm="17824">
        <f ca="1"/>
        <v>28.52</v>
      </c>
      <c r="BS140" vm="13989">
        <f ca="1"/>
        <v>28.65</v>
      </c>
      <c r="BT140" vm="2075">
        <f ca="1"/>
        <v>28.56</v>
      </c>
      <c r="BU140" vm="9033">
        <f ca="1"/>
        <v>28.51</v>
      </c>
      <c r="BV140" vm="17985">
        <f ca="1"/>
        <v>28.54</v>
      </c>
      <c r="BW140" vm="17975">
        <f ca="1"/>
        <v>28.57</v>
      </c>
      <c r="BX140" vm="13958">
        <f ca="1"/>
        <v>28.45</v>
      </c>
      <c r="BY140" vm="2979">
        <f ca="1"/>
        <v>27.95</v>
      </c>
      <c r="BZ140" vm="17804">
        <f ca="1"/>
        <v>28.26</v>
      </c>
      <c r="CA140" vm="17488">
        <f ca="1"/>
        <v>28.38</v>
      </c>
      <c r="CB140" vm="19886">
        <f ca="1"/>
        <v>28.25</v>
      </c>
      <c r="CC140" vm="13957">
        <f ca="1"/>
        <v>28.29</v>
      </c>
      <c r="CD140" vm="19446">
        <f ca="1"/>
        <v>27.7</v>
      </c>
      <c r="CE140" vm="17529">
        <f ca="1"/>
        <v>27.45</v>
      </c>
      <c r="CF140" vm="17479">
        <f ca="1"/>
        <v>27.36</v>
      </c>
      <c r="CG140" vm="19889">
        <f ca="1"/>
        <v>27.51</v>
      </c>
      <c r="CH140" vm="17526">
        <f ca="1"/>
        <v>27.28</v>
      </c>
      <c r="CI140" vm="19890">
        <f ca="1"/>
        <v>27.3</v>
      </c>
      <c r="CJ140" vm="9027">
        <f ca="1"/>
        <v>27.04</v>
      </c>
      <c r="CK140" vm="19785">
        <f ca="1"/>
        <v>27.19</v>
      </c>
      <c r="CL140" vm="19448">
        <f ca="1"/>
        <v>27.44</v>
      </c>
      <c r="CM140" vm="10598">
        <f ca="1"/>
        <v>27.32</v>
      </c>
      <c r="CN140" vm="17508">
        <f ca="1"/>
        <v>27.39</v>
      </c>
      <c r="CO140" vm="17478">
        <f ca="1"/>
        <v>27.22</v>
      </c>
      <c r="CP140" vm="19450">
        <f ca="1"/>
        <v>27.31</v>
      </c>
      <c r="CQ140" vm="17531">
        <f ca="1"/>
        <v>27.41</v>
      </c>
      <c r="CR140" vm="17485">
        <f ca="1"/>
        <v>27.57</v>
      </c>
      <c r="CS140" vm="10600">
        <f ca="1"/>
        <v>27.53</v>
      </c>
      <c r="CT140" vm="2894">
        <f ca="1"/>
        <v>27.48</v>
      </c>
      <c r="CU140" vm="19450">
        <f ca="1"/>
        <v>27.31</v>
      </c>
      <c r="CV140" vm="19889">
        <f ca="1"/>
        <v>27.51</v>
      </c>
      <c r="CW140" vm="2897">
        <f ca="1"/>
        <v>27.74</v>
      </c>
      <c r="CX140" vm="18008">
        <f ca="1"/>
        <v>27.66</v>
      </c>
      <c r="CY140" vm="2973">
        <f ca="1"/>
        <v>28.05</v>
      </c>
      <c r="CZ140" vm="17170">
        <f ca="1"/>
        <v>27.81</v>
      </c>
      <c r="DA140" vm="17484">
        <f ca="1"/>
        <v>27.87</v>
      </c>
      <c r="DB140" vm="10599">
        <f ca="1"/>
        <v>27.8</v>
      </c>
      <c r="DC140" vm="19891">
        <f ca="1"/>
        <v>27.88</v>
      </c>
      <c r="DD140" vm="18007">
        <f ca="1"/>
        <v>27.69</v>
      </c>
      <c r="DE140" vm="17177">
        <f ca="1"/>
        <v>27.61</v>
      </c>
      <c r="DF140" vm="2895">
        <f ca="1"/>
        <v>27.49</v>
      </c>
      <c r="DG140" vm="17485">
        <f ca="1"/>
        <v>27.57</v>
      </c>
      <c r="DH140" vm="19786">
        <f ca="1"/>
        <v>27.37</v>
      </c>
      <c r="DI140" vm="17528">
        <f ca="1"/>
        <v>27.52</v>
      </c>
      <c r="DJ140" vm="17177">
        <f ca="1"/>
        <v>27.61</v>
      </c>
      <c r="DK140" vm="17180">
        <f ca="1"/>
        <v>27.46</v>
      </c>
      <c r="DL140" vm="17529">
        <f ca="1"/>
        <v>27.45</v>
      </c>
      <c r="DM140" vm="13934">
        <f ca="1"/>
        <v>27.26</v>
      </c>
      <c r="DN140" vm="19448">
        <f ca="1"/>
        <v>27.44</v>
      </c>
      <c r="DO140" vm="10598">
        <f ca="1"/>
        <v>27.32</v>
      </c>
      <c r="DP140" vm="19890">
        <f ca="1"/>
        <v>27.3</v>
      </c>
      <c r="DQ140" vm="19448">
        <f ca="1"/>
        <v>27.44</v>
      </c>
      <c r="DR140" vm="19786">
        <f ca="1"/>
        <v>27.37</v>
      </c>
      <c r="DS140" vm="17176">
        <f ca="1"/>
        <v>27.4</v>
      </c>
      <c r="DT140" vm="19890">
        <f ca="1"/>
        <v>27.3</v>
      </c>
      <c r="DU140" vm="9028">
        <f ca="1"/>
        <v>27.1</v>
      </c>
      <c r="DV140" vm="17511">
        <f ca="1"/>
        <v>27.17</v>
      </c>
      <c r="DW140" vm="99">
        <f ca="1"/>
        <v>27.2</v>
      </c>
      <c r="DX140" vm="17504">
        <f ca="1"/>
        <v>27.38</v>
      </c>
      <c r="DY140" vm="19784">
        <f ca="1"/>
        <v>27.43</v>
      </c>
      <c r="DZ140" vm="17176">
        <f ca="1"/>
        <v>27.4</v>
      </c>
      <c r="EA140" vm="17502">
        <f ca="1"/>
        <v>27.29</v>
      </c>
      <c r="EB140" vm="17973">
        <f ca="1"/>
        <v>27.15</v>
      </c>
      <c r="EC140" vm="2899">
        <f ca="1"/>
        <v>27.08</v>
      </c>
      <c r="ED140" vm="17501">
        <f ca="1"/>
        <v>26.97</v>
      </c>
      <c r="EE140" vm="17173">
        <f ca="1"/>
        <v>27.02</v>
      </c>
      <c r="EF140" vm="2881">
        <f ca="1"/>
        <v>26.88</v>
      </c>
      <c r="EG140" vm="2877">
        <f ca="1"/>
        <v>26.87</v>
      </c>
      <c r="EH140" vm="17171">
        <f ca="1"/>
        <v>26.85</v>
      </c>
      <c r="EI140" vm="2878">
        <f ca="1"/>
        <v>26.98</v>
      </c>
      <c r="EJ140" vm="17509">
        <f ca="1"/>
        <v>27.07</v>
      </c>
      <c r="EK140" vm="2879">
        <f ca="1"/>
        <v>27.09</v>
      </c>
      <c r="EL140" vm="2879">
        <f ca="1"/>
        <v>27.09</v>
      </c>
      <c r="EM140" vm="17174">
        <f ca="1"/>
        <v>27.14</v>
      </c>
      <c r="EN140" vm="17478">
        <f ca="1"/>
        <v>27.22</v>
      </c>
      <c r="EO140" vm="17502">
        <f ca="1"/>
        <v>27.29</v>
      </c>
      <c r="EP140" vm="19448">
        <f ca="1"/>
        <v>27.44</v>
      </c>
      <c r="EQ140" vm="13937">
        <f ca="1"/>
        <v>27.34</v>
      </c>
      <c r="ER140" vm="17180">
        <f ca="1"/>
        <v>27.46</v>
      </c>
      <c r="ES140" vm="13933">
        <f ca="1"/>
        <v>27.42</v>
      </c>
      <c r="ET140" vm="9023">
        <f ca="1"/>
        <v>27.24</v>
      </c>
      <c r="EU140" vm="9028">
        <f ca="1"/>
        <v>27.1</v>
      </c>
      <c r="EV140" vm="17490">
        <f ca="1"/>
        <v>27.06</v>
      </c>
      <c r="EW140" vm="10602">
        <f ca="1"/>
        <v>27.13</v>
      </c>
      <c r="EX140" vm="19785">
        <f ca="1"/>
        <v>27.19</v>
      </c>
      <c r="EY140" vm="1447">
        <f ca="1"/>
        <v>27.5</v>
      </c>
      <c r="EZ140" vm="17485">
        <f ca="1"/>
        <v>27.57</v>
      </c>
      <c r="FA140" vm="17807">
        <f ca="1"/>
        <v>27.84</v>
      </c>
      <c r="FB140" vm="2981">
        <f ca="1"/>
        <v>27.9</v>
      </c>
      <c r="FC140" vm="17485">
        <f ca="1"/>
        <v>27.57</v>
      </c>
      <c r="FD140" vm="17480">
        <f ca="1"/>
        <v>27.56</v>
      </c>
      <c r="FE140" vm="17480">
        <f ca="1"/>
        <v>27.56</v>
      </c>
      <c r="FF140" vm="17176">
        <f ca="1"/>
        <v>27.4</v>
      </c>
      <c r="FG140" vm="17504">
        <f ca="1"/>
        <v>27.38</v>
      </c>
      <c r="FH140" vm="19784">
        <f ca="1"/>
        <v>27.43</v>
      </c>
      <c r="FI140" vm="19892">
        <f ca="1"/>
        <v>27.54</v>
      </c>
      <c r="FJ140" vm="17176">
        <f ca="1"/>
        <v>27.4</v>
      </c>
      <c r="FK140" vm="17175">
        <f ca="1"/>
        <v>27.33</v>
      </c>
      <c r="FL140" vm="19784">
        <f ca="1"/>
        <v>27.43</v>
      </c>
      <c r="FM140" vm="13937">
        <f ca="1"/>
        <v>27.34</v>
      </c>
      <c r="FN140" vm="17531">
        <f ca="1"/>
        <v>27.41</v>
      </c>
      <c r="FO140" vm="2894">
        <f ca="1"/>
        <v>27.48</v>
      </c>
      <c r="FP140" vm="17180">
        <f ca="1"/>
        <v>27.46</v>
      </c>
      <c r="FQ140" vm="17472">
        <f ca="1"/>
        <v>27.6</v>
      </c>
      <c r="FR140" vm="17175">
        <f ca="1"/>
        <v>27.33</v>
      </c>
      <c r="FS140" vm="1448">
        <f ca="1"/>
        <v>27.55</v>
      </c>
      <c r="FT140" vm="2894">
        <f ca="1"/>
        <v>27.48</v>
      </c>
      <c r="FU140" vm="2895">
        <f ca="1"/>
        <v>27.49</v>
      </c>
      <c r="FV140" vm="17508">
        <f ca="1"/>
        <v>27.39</v>
      </c>
      <c r="FW140" vm="19786">
        <f ca="1"/>
        <v>27.37</v>
      </c>
      <c r="FX140" vm="1448">
        <f ca="1"/>
        <v>27.55</v>
      </c>
      <c r="FY140" vm="1447">
        <f ca="1"/>
        <v>27.5</v>
      </c>
      <c r="FZ140" vm="19892">
        <f ca="1"/>
        <v>27.54</v>
      </c>
      <c r="GA140" vm="17176">
        <f ca="1"/>
        <v>27.4</v>
      </c>
      <c r="GB140" vm="19450">
        <f ca="1"/>
        <v>27.31</v>
      </c>
      <c r="GC140" vm="13933">
        <f ca="1"/>
        <v>27.42</v>
      </c>
      <c r="GD140" vm="19448">
        <f ca="1"/>
        <v>27.44</v>
      </c>
      <c r="GE140" vm="19803">
        <f ca="1"/>
        <v>27.35</v>
      </c>
      <c r="GF140" vm="17508">
        <f ca="1"/>
        <v>27.39</v>
      </c>
      <c r="GG140" vm="19890">
        <f ca="1"/>
        <v>27.3</v>
      </c>
      <c r="GH140" vm="10602">
        <f ca="1"/>
        <v>27.13</v>
      </c>
      <c r="GI140" vm="17478">
        <f ca="1"/>
        <v>27.22</v>
      </c>
      <c r="GJ140" vm="19803">
        <f ca="1"/>
        <v>27.35</v>
      </c>
      <c r="GK140" vm="19784">
        <f ca="1"/>
        <v>27.43</v>
      </c>
      <c r="GL140" vm="17175">
        <f ca="1"/>
        <v>27.33</v>
      </c>
      <c r="GM140" vm="19450">
        <f ca="1"/>
        <v>27.31</v>
      </c>
      <c r="GN140" vm="19889">
        <f ca="1"/>
        <v>27.51</v>
      </c>
      <c r="GO140" vm="19446">
        <f ca="1"/>
        <v>27.7</v>
      </c>
      <c r="GP140" vm="17472">
        <f ca="1"/>
        <v>27.6</v>
      </c>
      <c r="GQ140" vm="19892">
        <f ca="1"/>
        <v>27.54</v>
      </c>
      <c r="GR140" vm="19889">
        <f ca="1"/>
        <v>27.51</v>
      </c>
      <c r="GS140" vm="1447">
        <f ca="1"/>
        <v>27.5</v>
      </c>
      <c r="GT140" vm="19892">
        <f ca="1"/>
        <v>27.54</v>
      </c>
      <c r="GU140" vm="2895">
        <f ca="1"/>
        <v>27.49</v>
      </c>
      <c r="GV140" vm="2885">
        <f ca="1"/>
        <v>27.62</v>
      </c>
      <c r="GW140" vm="19893">
        <f ca="1"/>
        <v>27.78</v>
      </c>
      <c r="GX140" vm="17807">
        <f ca="1"/>
        <v>27.84</v>
      </c>
      <c r="GY140" vm="17808">
        <f ca="1"/>
        <v>28.03</v>
      </c>
      <c r="GZ140" vm="2886">
        <f ca="1"/>
        <v>27.89</v>
      </c>
      <c r="HA140" vm="2887">
        <f ca="1"/>
        <v>27.99</v>
      </c>
      <c r="HB140" vm="2978">
        <f ca="1"/>
        <v>27.91</v>
      </c>
      <c r="HC140" vm="17471">
        <f ca="1"/>
        <v>27.83</v>
      </c>
      <c r="HD140" vm="17482">
        <f ca="1"/>
        <v>27.72</v>
      </c>
      <c r="HE140" vm="17971">
        <f ca="1"/>
        <v>27.75</v>
      </c>
      <c r="HF140" vm="2893">
        <f ca="1"/>
        <v>27.82</v>
      </c>
      <c r="HG140" vm="2980">
        <f ca="1"/>
        <v>27.93</v>
      </c>
      <c r="HH140" vm="2981">
        <f ca="1"/>
        <v>27.9</v>
      </c>
      <c r="HI140" vm="2978">
        <f ca="1"/>
        <v>27.91</v>
      </c>
      <c r="HJ140" vm="2978">
        <f ca="1"/>
        <v>27.91</v>
      </c>
      <c r="HK140" vm="19891">
        <f ca="1"/>
        <v>27.88</v>
      </c>
      <c r="HL140" vm="18009">
        <f ca="1"/>
        <v>27.86</v>
      </c>
      <c r="HM140" vm="2892">
        <f ca="1"/>
        <v>28.02</v>
      </c>
      <c r="HN140" vm="13956">
        <f ca="1"/>
        <v>28.13</v>
      </c>
      <c r="HO140" vm="2971">
        <f ca="1"/>
        <v>28.21</v>
      </c>
      <c r="HP140" vm="2970">
        <f ca="1"/>
        <v>28.23</v>
      </c>
      <c r="HQ140" vm="19887">
        <f ca="1"/>
        <v>28.32</v>
      </c>
      <c r="HR140" vm="13938">
        <f ca="1"/>
        <v>28.33</v>
      </c>
      <c r="HS140" vm="16427">
        <f ca="1"/>
        <v>28.18</v>
      </c>
      <c r="HT140" vm="2976">
        <f ca="1"/>
        <v>28.16</v>
      </c>
      <c r="HU140" vm="16427">
        <f ca="1"/>
        <v>28.18</v>
      </c>
      <c r="HV140" vm="19449">
        <f ca="1"/>
        <v>28.14</v>
      </c>
      <c r="HW140" vm="2891">
        <f ca="1"/>
        <v>28.15</v>
      </c>
      <c r="HX140" vm="111">
        <f ca="1"/>
        <v>28.07</v>
      </c>
      <c r="HY140" vm="2974">
        <f ca="1"/>
        <v>28.11</v>
      </c>
      <c r="HZ140" vm="16427">
        <f ca="1"/>
        <v>28.18</v>
      </c>
      <c r="IA140" vm="2971">
        <f ca="1"/>
        <v>28.21</v>
      </c>
      <c r="IB140" vm="2889">
        <f ca="1"/>
        <v>28.39</v>
      </c>
      <c r="IC140" vm="2968">
        <f ca="1"/>
        <v>28.41</v>
      </c>
      <c r="ID140" vm="2889">
        <f ca="1"/>
        <v>28.39</v>
      </c>
      <c r="IE140" vm="2889">
        <f ca="1"/>
        <v>28.39</v>
      </c>
      <c r="IF140" vm="2969">
        <f ca="1"/>
        <v>28.31</v>
      </c>
      <c r="IG140" vm="2970">
        <f ca="1"/>
        <v>28.23</v>
      </c>
      <c r="IH140" vm="2971">
        <f ca="1"/>
        <v>28.21</v>
      </c>
      <c r="II140" vm="2890">
        <f ca="1"/>
        <v>28.2</v>
      </c>
      <c r="IJ140" vm="2972">
        <f ca="1"/>
        <v>28.19</v>
      </c>
      <c r="IK140" vm="2973">
        <f ca="1"/>
        <v>28.05</v>
      </c>
      <c r="IL140" vm="2974">
        <f ca="1"/>
        <v>28.11</v>
      </c>
      <c r="IM140" vm="2975">
        <f ca="1"/>
        <v>28.08</v>
      </c>
      <c r="IN140" vm="2888">
        <f ca="1"/>
        <v>28.12</v>
      </c>
      <c r="IO140" vm="2976">
        <f ca="1"/>
        <v>28.16</v>
      </c>
      <c r="IP140" vm="2977">
        <f ca="1"/>
        <v>28.01</v>
      </c>
      <c r="IQ140" vm="2978">
        <f ca="1"/>
        <v>27.91</v>
      </c>
      <c r="IR140" vm="2979">
        <f ca="1"/>
        <v>27.95</v>
      </c>
      <c r="IS140" vm="2980">
        <f ca="1"/>
        <v>27.93</v>
      </c>
      <c r="IT140" vm="2981">
        <f ca="1"/>
        <v>27.9</v>
      </c>
      <c r="IU140" vm="2982">
        <f ca="1"/>
        <v>27.96</v>
      </c>
      <c r="IV140" vm="2983">
        <f ca="1"/>
        <v>27.98</v>
      </c>
      <c r="IW140" vm="111">
        <f ca="1"/>
        <v>28.07</v>
      </c>
    </row>
    <row r="141" spans="1:257" ht="16" x14ac:dyDescent="0.2">
      <c r="A141" t="e" vm="2984">
        <v>#VALUE!</v>
      </c>
      <c r="B141" s="23" t="str" cm="1">
        <f t="array" aca="1" ref="B141" ca="1">_FV(A141,"ticker symbol",TRUE)</f>
        <v>FXE</v>
      </c>
      <c r="C141" s="23" t="str" cm="1">
        <f t="array" aca="1" ref="C141" ca="1">_FV(A141,"Name")</f>
        <v>Invesco:Euro</v>
      </c>
      <c r="D141" cm="1" vm="19768">
        <f t="array" aca="1" ref="D141:IW141" ca="1">TRANSPOSE(_xlfn.STOCKHISTORY(B141, WORKDAY(TODAY(), -265), TODAY(), 0, 0, 1))</f>
        <v>97</v>
      </c>
      <c r="E141" vm="5569">
        <f ca="1"/>
        <v>96.84</v>
      </c>
      <c r="F141" vm="13455">
        <f ca="1"/>
        <v>95.67</v>
      </c>
      <c r="G141" vm="16277">
        <f ca="1"/>
        <v>95.71</v>
      </c>
      <c r="H141" vm="16283">
        <f ca="1"/>
        <v>96.31</v>
      </c>
      <c r="I141" vm="1325">
        <f ca="1"/>
        <v>96.08</v>
      </c>
      <c r="J141" vm="19894">
        <f ca="1"/>
        <v>95.932000000000002</v>
      </c>
      <c r="K141" vm="134">
        <f ca="1"/>
        <v>96.24</v>
      </c>
      <c r="L141" vm="19895">
        <f ca="1"/>
        <v>96.284999999999997</v>
      </c>
      <c r="M141" vm="19896">
        <f ca="1"/>
        <v>96.0411</v>
      </c>
      <c r="N141" vm="4492">
        <f ca="1"/>
        <v>95.66</v>
      </c>
      <c r="O141" vm="19897">
        <f ca="1"/>
        <v>94.67</v>
      </c>
      <c r="P141" vm="2050">
        <f ca="1"/>
        <v>95.08</v>
      </c>
      <c r="Q141" vm="16275">
        <f ca="1"/>
        <v>95.87</v>
      </c>
      <c r="R141" vm="19898">
        <f ca="1"/>
        <v>95.46</v>
      </c>
      <c r="S141" vm="19899">
        <f ca="1"/>
        <v>95.22</v>
      </c>
      <c r="T141" vm="16260">
        <f ca="1"/>
        <v>94.54</v>
      </c>
      <c r="U141" vm="19900">
        <f ca="1"/>
        <v>94.314999999999998</v>
      </c>
      <c r="V141" vm="19901">
        <f ca="1"/>
        <v>95.11</v>
      </c>
      <c r="W141" vm="8282">
        <f ca="1"/>
        <v>95.03</v>
      </c>
      <c r="X141" vm="12465">
        <f ca="1"/>
        <v>95.06</v>
      </c>
      <c r="Y141" vm="4555">
        <f ca="1"/>
        <v>94.88</v>
      </c>
      <c r="Z141" vm="16267">
        <f ca="1"/>
        <v>96.22</v>
      </c>
      <c r="AA141" vm="3192">
        <f ca="1"/>
        <v>96.13</v>
      </c>
      <c r="AB141" vm="12438">
        <f ca="1"/>
        <v>96.2</v>
      </c>
      <c r="AC141" vm="19902">
        <f ca="1"/>
        <v>96.93</v>
      </c>
      <c r="AD141" vm="19903">
        <f ca="1"/>
        <v>96.88</v>
      </c>
      <c r="AE141" vm="7914">
        <f ca="1"/>
        <v>96.36</v>
      </c>
      <c r="AF141" vm="9329">
        <f ca="1"/>
        <v>96.18</v>
      </c>
      <c r="AG141" vm="19904">
        <f ca="1"/>
        <v>96.15</v>
      </c>
      <c r="AH141" vm="16308">
        <f ca="1"/>
        <v>95.83</v>
      </c>
      <c r="AI141" vm="19905">
        <f ca="1"/>
        <v>95.01</v>
      </c>
      <c r="AJ141" vm="19906">
        <f ca="1"/>
        <v>95.835099999999997</v>
      </c>
      <c r="AK141" vm="16300">
        <f ca="1"/>
        <v>96</v>
      </c>
      <c r="AL141" vm="19907">
        <f ca="1"/>
        <v>95.88</v>
      </c>
      <c r="AM141" vm="19908">
        <f ca="1"/>
        <v>95.314999999999998</v>
      </c>
      <c r="AN141" vm="19909">
        <f ca="1"/>
        <v>95.140100000000004</v>
      </c>
      <c r="AO141" vm="4492">
        <f ca="1"/>
        <v>95.66</v>
      </c>
      <c r="AP141" vm="19910">
        <f ca="1"/>
        <v>95.931100000000001</v>
      </c>
      <c r="AQ141" vm="5565">
        <f ca="1"/>
        <v>96.58</v>
      </c>
      <c r="AR141" vm="19911">
        <f ca="1"/>
        <v>96.866799999999998</v>
      </c>
      <c r="AS141" vm="9331">
        <f ca="1"/>
        <v>96.48</v>
      </c>
      <c r="AT141" vm="3191">
        <f ca="1"/>
        <v>96.27</v>
      </c>
      <c r="AU141" vm="13626">
        <f ca="1"/>
        <v>96.96</v>
      </c>
      <c r="AV141" vm="5565">
        <f ca="1"/>
        <v>96.58</v>
      </c>
      <c r="AW141" vm="8286">
        <f ca="1"/>
        <v>96.66</v>
      </c>
      <c r="AX141" vm="5526">
        <f ca="1"/>
        <v>97.13</v>
      </c>
      <c r="AY141" vm="19912">
        <f ca="1"/>
        <v>96.86</v>
      </c>
      <c r="AZ141" vm="7954">
        <f ca="1"/>
        <v>96.1</v>
      </c>
      <c r="BA141" vm="16296">
        <f ca="1"/>
        <v>95.84</v>
      </c>
      <c r="BB141" vm="10927">
        <f ca="1"/>
        <v>96.73</v>
      </c>
      <c r="BC141" vm="19913">
        <f ca="1"/>
        <v>97.93</v>
      </c>
      <c r="BD141" vm="19914">
        <f ca="1"/>
        <v>99.59</v>
      </c>
      <c r="BE141" vm="19915">
        <f ca="1"/>
        <v>99.56</v>
      </c>
      <c r="BF141" vm="3262">
        <f ca="1"/>
        <v>100.1</v>
      </c>
      <c r="BG141" vm="10827">
        <f ca="1"/>
        <v>100.01</v>
      </c>
      <c r="BH141" vm="19916">
        <f ca="1"/>
        <v>100.83</v>
      </c>
      <c r="BI141" vm="19917">
        <f ca="1"/>
        <v>100.55</v>
      </c>
      <c r="BJ141" vm="1907">
        <f ca="1"/>
        <v>100.15</v>
      </c>
      <c r="BK141" vm="3210">
        <f ca="1"/>
        <v>100.49</v>
      </c>
      <c r="BL141" vm="1910">
        <f ca="1"/>
        <v>100.85</v>
      </c>
      <c r="BM141" vm="4639">
        <f ca="1"/>
        <v>101.09</v>
      </c>
      <c r="BN141" vm="3201">
        <f ca="1"/>
        <v>100.63</v>
      </c>
      <c r="BO141" vm="17782">
        <f ca="1"/>
        <v>100.22</v>
      </c>
      <c r="BP141" vm="11920">
        <f ca="1"/>
        <v>99.9</v>
      </c>
      <c r="BQ141" vm="3261">
        <f ca="1"/>
        <v>99.78</v>
      </c>
      <c r="BR141" vm="19918">
        <f ca="1"/>
        <v>99.72</v>
      </c>
      <c r="BS141" vm="19919">
        <f ca="1"/>
        <v>99.32</v>
      </c>
      <c r="BT141" vm="19920">
        <f ca="1"/>
        <v>99.7</v>
      </c>
      <c r="BU141" vm="19921">
        <f ca="1"/>
        <v>99.97</v>
      </c>
      <c r="BV141" vm="11920">
        <f ca="1"/>
        <v>99.9</v>
      </c>
      <c r="BW141" vm="19915">
        <f ca="1"/>
        <v>99.56</v>
      </c>
      <c r="BX141" vm="11924">
        <f ca="1"/>
        <v>100.13</v>
      </c>
      <c r="BY141" vm="19922">
        <f ca="1"/>
        <v>101.49</v>
      </c>
      <c r="BZ141" vm="19923">
        <f ca="1"/>
        <v>100.97</v>
      </c>
      <c r="CA141" vm="4610">
        <f ca="1"/>
        <v>100.69</v>
      </c>
      <c r="CB141" vm="10896">
        <f ca="1"/>
        <v>101.11</v>
      </c>
      <c r="CC141" vm="3255">
        <f ca="1"/>
        <v>100.96</v>
      </c>
      <c r="CD141" vm="5613">
        <f ca="1"/>
        <v>103.47</v>
      </c>
      <c r="CE141" vm="7958">
        <f ca="1"/>
        <v>104.73</v>
      </c>
      <c r="CF141" vm="19924">
        <f ca="1"/>
        <v>104.84</v>
      </c>
      <c r="CG141" vm="19925">
        <f ca="1"/>
        <v>104.18</v>
      </c>
      <c r="CH141" vm="19926">
        <f ca="1"/>
        <v>105.14</v>
      </c>
      <c r="CI141" vm="19927">
        <f ca="1"/>
        <v>105.02</v>
      </c>
      <c r="CJ141" vm="2988">
        <f ca="1"/>
        <v>106.36</v>
      </c>
      <c r="CK141" vm="8050">
        <f ca="1"/>
        <v>105.49</v>
      </c>
      <c r="CL141" vm="7927">
        <f ca="1"/>
        <v>104.62</v>
      </c>
      <c r="CM141" vm="19928">
        <f ca="1"/>
        <v>105.13</v>
      </c>
      <c r="CN141" vm="19929">
        <f ca="1"/>
        <v>104.91</v>
      </c>
      <c r="CO141" vm="19930">
        <f ca="1"/>
        <v>105.51</v>
      </c>
      <c r="CP141" vm="13039">
        <f ca="1"/>
        <v>105.12</v>
      </c>
      <c r="CQ141" vm="19931">
        <f ca="1"/>
        <v>104.63</v>
      </c>
      <c r="CR141" vm="10995">
        <f ca="1"/>
        <v>104.17</v>
      </c>
      <c r="CS141" vm="7924">
        <f ca="1"/>
        <v>104.31</v>
      </c>
      <c r="CT141" vm="285">
        <f ca="1"/>
        <v>104.43</v>
      </c>
      <c r="CU141" vm="7925">
        <f ca="1"/>
        <v>104.97</v>
      </c>
      <c r="CV141" vm="19932">
        <f ca="1"/>
        <v>104.38</v>
      </c>
      <c r="CW141" vm="5610">
        <f ca="1"/>
        <v>103.63</v>
      </c>
      <c r="CX141" vm="1050">
        <f ca="1"/>
        <v>103.91</v>
      </c>
      <c r="CY141" vm="3250">
        <f ca="1"/>
        <v>102.35</v>
      </c>
      <c r="CZ141" vm="19933">
        <f ca="1"/>
        <v>103.25</v>
      </c>
      <c r="DA141" vm="19934">
        <f ca="1"/>
        <v>103.04</v>
      </c>
      <c r="DB141" vm="10829">
        <f ca="1"/>
        <v>103.18</v>
      </c>
      <c r="DC141" vm="19935">
        <f ca="1"/>
        <v>102.87</v>
      </c>
      <c r="DD141" vm="9311">
        <f ca="1"/>
        <v>103.76</v>
      </c>
      <c r="DE141" vm="9276">
        <f ca="1"/>
        <v>104.13</v>
      </c>
      <c r="DF141" vm="19936">
        <f ca="1"/>
        <v>104.49</v>
      </c>
      <c r="DG141" vm="281">
        <f ca="1"/>
        <v>104.08</v>
      </c>
      <c r="DH141" vm="10894">
        <f ca="1"/>
        <v>104.89</v>
      </c>
      <c r="DI141" vm="17784">
        <f ca="1"/>
        <v>104.64</v>
      </c>
      <c r="DJ141" vm="19937">
        <f ca="1"/>
        <v>104.24</v>
      </c>
      <c r="DK141" vm="4633">
        <f ca="1"/>
        <v>104.95</v>
      </c>
      <c r="DL141" vm="14655">
        <f ca="1"/>
        <v>104.87</v>
      </c>
      <c r="DM141" vm="1052">
        <f ca="1"/>
        <v>105.59</v>
      </c>
      <c r="DN141" vm="19938">
        <f ca="1"/>
        <v>104.92</v>
      </c>
      <c r="DO141" vm="9348">
        <f ca="1"/>
        <v>105.3</v>
      </c>
      <c r="DP141" vm="10948">
        <f ca="1"/>
        <v>105.55</v>
      </c>
      <c r="DQ141" vm="19939">
        <f ca="1"/>
        <v>105.18</v>
      </c>
      <c r="DR141" vm="19940">
        <f ca="1"/>
        <v>105.43</v>
      </c>
      <c r="DS141" vm="8050">
        <f ca="1"/>
        <v>105.49</v>
      </c>
      <c r="DT141" vm="8006">
        <f ca="1"/>
        <v>105.96</v>
      </c>
      <c r="DU141" vm="11993">
        <f ca="1"/>
        <v>106.83</v>
      </c>
      <c r="DV141" vm="19941">
        <f ca="1"/>
        <v>106.62</v>
      </c>
      <c r="DW141" vm="686">
        <f ca="1"/>
        <v>106.68</v>
      </c>
      <c r="DX141" vm="19942">
        <f ca="1"/>
        <v>106.02</v>
      </c>
      <c r="DY141" vm="19943">
        <f ca="1"/>
        <v>105.9</v>
      </c>
      <c r="DZ141" vm="19944">
        <f ca="1"/>
        <v>106.3</v>
      </c>
      <c r="EA141" vm="19945">
        <f ca="1"/>
        <v>106.89</v>
      </c>
      <c r="EB141" vm="19946">
        <f ca="1"/>
        <v>107.21</v>
      </c>
      <c r="EC141" vm="11990">
        <f ca="1"/>
        <v>107.64</v>
      </c>
      <c r="ED141" vm="11973">
        <f ca="1"/>
        <v>108.07</v>
      </c>
      <c r="EE141" vm="8011">
        <f ca="1"/>
        <v>108.1</v>
      </c>
      <c r="EF141" vm="19947">
        <f ca="1"/>
        <v>108.79</v>
      </c>
      <c r="EG141" vm="11992">
        <f ca="1"/>
        <v>108.8</v>
      </c>
      <c r="EH141" vm="9266">
        <f ca="1"/>
        <v>108.91</v>
      </c>
      <c r="EI141" vm="19948">
        <f ca="1"/>
        <v>108.49</v>
      </c>
      <c r="EJ141" vm="3005">
        <f ca="1"/>
        <v>108.15</v>
      </c>
      <c r="EK141" vm="19949">
        <f ca="1"/>
        <v>108.21</v>
      </c>
      <c r="EL141" vm="8274">
        <f ca="1"/>
        <v>108.17</v>
      </c>
      <c r="EM141" vm="13040">
        <f ca="1"/>
        <v>107.91</v>
      </c>
      <c r="EN141" vm="11972">
        <f ca="1"/>
        <v>107.85</v>
      </c>
      <c r="EO141" vm="19950">
        <f ca="1"/>
        <v>107.69</v>
      </c>
      <c r="EP141" vm="3269">
        <f ca="1"/>
        <v>107.05</v>
      </c>
      <c r="EQ141" vm="17779">
        <f ca="1"/>
        <v>107.39</v>
      </c>
      <c r="ER141" vm="3283">
        <f ca="1"/>
        <v>107.02</v>
      </c>
      <c r="ES141" vm="19951">
        <f ca="1"/>
        <v>107.22</v>
      </c>
      <c r="ET141" vm="19952">
        <f ca="1"/>
        <v>107.89</v>
      </c>
      <c r="EU141" vm="19953">
        <f ca="1"/>
        <v>108.48</v>
      </c>
      <c r="EV141" vm="17777">
        <f ca="1"/>
        <v>108.66</v>
      </c>
      <c r="EW141" vm="5617">
        <f ca="1"/>
        <v>108.53</v>
      </c>
      <c r="EX141" vm="17776">
        <f ca="1"/>
        <v>108.42</v>
      </c>
      <c r="EY141" vm="2990">
        <f ca="1"/>
        <v>106.99</v>
      </c>
      <c r="EZ141" vm="19954">
        <f ca="1"/>
        <v>106.59</v>
      </c>
      <c r="FA141" vm="19940">
        <f ca="1"/>
        <v>105.43</v>
      </c>
      <c r="FB141" vm="5550">
        <f ca="1"/>
        <v>105.31</v>
      </c>
      <c r="FC141" vm="8008">
        <f ca="1"/>
        <v>106.69</v>
      </c>
      <c r="FD141" vm="19955">
        <f ca="1"/>
        <v>106.73</v>
      </c>
      <c r="FE141" vm="19956">
        <f ca="1"/>
        <v>106.75</v>
      </c>
      <c r="FF141" vm="19957">
        <f ca="1"/>
        <v>107.54</v>
      </c>
      <c r="FG141" vm="19958">
        <f ca="1"/>
        <v>107.5</v>
      </c>
      <c r="FH141" vm="2996">
        <f ca="1"/>
        <v>107.42</v>
      </c>
      <c r="FI141" vm="5621">
        <f ca="1"/>
        <v>107.06</v>
      </c>
      <c r="FJ141" vm="5635">
        <f ca="1"/>
        <v>107.73</v>
      </c>
      <c r="FK141" vm="19959">
        <f ca="1"/>
        <v>107.95099999999999</v>
      </c>
      <c r="FL141" vm="19960">
        <f ca="1"/>
        <v>107.47</v>
      </c>
      <c r="FM141" vm="19961">
        <f ca="1"/>
        <v>107.96</v>
      </c>
      <c r="FN141" vm="10893">
        <f ca="1"/>
        <v>107.65</v>
      </c>
      <c r="FO141" vm="8007">
        <f ca="1"/>
        <v>107.46</v>
      </c>
      <c r="FP141" vm="10954">
        <f ca="1"/>
        <v>107.52</v>
      </c>
      <c r="FQ141" vm="5621">
        <f ca="1"/>
        <v>107.06</v>
      </c>
      <c r="FR141" vm="19962">
        <f ca="1"/>
        <v>108.19</v>
      </c>
      <c r="FS141" vm="3271">
        <f ca="1"/>
        <v>107.16</v>
      </c>
      <c r="FT141" vm="19960">
        <f ca="1"/>
        <v>107.47</v>
      </c>
      <c r="FU141" vm="19963">
        <f ca="1"/>
        <v>107.395</v>
      </c>
      <c r="FV141" vm="8271">
        <f ca="1"/>
        <v>107.8</v>
      </c>
      <c r="FW141" vm="19964">
        <f ca="1"/>
        <v>107.995</v>
      </c>
      <c r="FX141" vm="2996">
        <f ca="1"/>
        <v>107.42</v>
      </c>
      <c r="FY141" vm="1081">
        <f ca="1"/>
        <v>107.59</v>
      </c>
      <c r="FZ141" vm="7987">
        <f ca="1"/>
        <v>107.48</v>
      </c>
      <c r="GA141" vm="1243">
        <f ca="1"/>
        <v>108.14</v>
      </c>
      <c r="GB141" vm="5617">
        <f ca="1"/>
        <v>108.53</v>
      </c>
      <c r="GC141" vm="19965">
        <f ca="1"/>
        <v>108.02</v>
      </c>
      <c r="GD141" vm="19961">
        <f ca="1"/>
        <v>107.96</v>
      </c>
      <c r="GE141" vm="9353">
        <f ca="1"/>
        <v>108.29</v>
      </c>
      <c r="GF141" vm="19966">
        <f ca="1"/>
        <v>108.32</v>
      </c>
      <c r="GG141" vm="10987">
        <f ca="1"/>
        <v>108.6</v>
      </c>
      <c r="GH141" vm="19967">
        <f ca="1"/>
        <v>109.49</v>
      </c>
      <c r="GI141" vm="10979">
        <f ca="1"/>
        <v>109.12</v>
      </c>
      <c r="GJ141" vm="10888">
        <f ca="1"/>
        <v>108.73</v>
      </c>
      <c r="GK141" vm="10890">
        <f ca="1"/>
        <v>108.4</v>
      </c>
      <c r="GL141" vm="12330">
        <f ca="1"/>
        <v>108.89</v>
      </c>
      <c r="GM141" vm="7988">
        <f ca="1"/>
        <v>109.05</v>
      </c>
      <c r="GN141" vm="19968">
        <f ca="1"/>
        <v>108.33</v>
      </c>
      <c r="GO141" vm="1081">
        <f ca="1"/>
        <v>107.59</v>
      </c>
      <c r="GP141" vm="19965">
        <f ca="1"/>
        <v>108.02</v>
      </c>
      <c r="GQ141" vm="19969">
        <f ca="1"/>
        <v>108.22</v>
      </c>
      <c r="GR141" vm="8001">
        <f ca="1"/>
        <v>108.37</v>
      </c>
      <c r="GS141" vm="19970">
        <f ca="1"/>
        <v>108.205</v>
      </c>
      <c r="GT141" vm="11973">
        <f ca="1"/>
        <v>108.07</v>
      </c>
      <c r="GU141" vm="10991">
        <f ca="1"/>
        <v>108.28</v>
      </c>
      <c r="GV141" vm="19971">
        <f ca="1"/>
        <v>108</v>
      </c>
      <c r="GW141" vm="8007">
        <f ca="1"/>
        <v>107.46</v>
      </c>
      <c r="GX141" vm="2993">
        <f ca="1"/>
        <v>107.25</v>
      </c>
      <c r="GY141" vm="19941">
        <f ca="1"/>
        <v>106.62</v>
      </c>
      <c r="GZ141" vm="3271">
        <f ca="1"/>
        <v>107.16</v>
      </c>
      <c r="HA141" vm="9285">
        <f ca="1"/>
        <v>106.72</v>
      </c>
      <c r="HB141" vm="19972">
        <f ca="1"/>
        <v>107.071</v>
      </c>
      <c r="HC141" vm="3273">
        <f ca="1"/>
        <v>107.43</v>
      </c>
      <c r="HD141" vm="5626">
        <f ca="1"/>
        <v>107.86</v>
      </c>
      <c r="HE141" vm="10947">
        <f ca="1"/>
        <v>107.7</v>
      </c>
      <c r="HF141" vm="2996">
        <f ca="1"/>
        <v>107.42</v>
      </c>
      <c r="HG141" vm="5630">
        <f ca="1"/>
        <v>107.04</v>
      </c>
      <c r="HH141" vm="9278">
        <f ca="1"/>
        <v>107.11499999999999</v>
      </c>
      <c r="HI141" vm="19973">
        <f ca="1"/>
        <v>107.205</v>
      </c>
      <c r="HJ141" vm="19974">
        <f ca="1"/>
        <v>107.36</v>
      </c>
      <c r="HK141" vm="10954">
        <f ca="1"/>
        <v>107.52</v>
      </c>
      <c r="HL141" vm="19957">
        <f ca="1"/>
        <v>107.54</v>
      </c>
      <c r="HM141" vm="3269">
        <f ca="1"/>
        <v>107.05</v>
      </c>
      <c r="HN141" vm="9285">
        <f ca="1"/>
        <v>106.72</v>
      </c>
      <c r="HO141" vm="7977">
        <f ca="1"/>
        <v>106.37</v>
      </c>
      <c r="HP141" vm="12326">
        <f ca="1"/>
        <v>106.25</v>
      </c>
      <c r="HQ141" vm="19943">
        <f ca="1"/>
        <v>105.9</v>
      </c>
      <c r="HR141" vm="8006">
        <f ca="1"/>
        <v>105.96</v>
      </c>
      <c r="HS141" vm="9306">
        <f ca="1"/>
        <v>106.5</v>
      </c>
      <c r="HT141" vm="19975">
        <f ca="1"/>
        <v>106.66500000000001</v>
      </c>
      <c r="HU141" vm="19976">
        <f ca="1"/>
        <v>106.685</v>
      </c>
      <c r="HV141" vm="19977">
        <f ca="1"/>
        <v>106.869</v>
      </c>
      <c r="HW141" vm="19978">
        <f ca="1"/>
        <v>106.92</v>
      </c>
      <c r="HX141" vm="19979">
        <f ca="1"/>
        <v>107.34</v>
      </c>
      <c r="HY141" vm="3272">
        <f ca="1"/>
        <v>107.2</v>
      </c>
      <c r="HZ141" vm="19980">
        <f ca="1"/>
        <v>106.925</v>
      </c>
      <c r="IA141" vm="19981">
        <f ca="1"/>
        <v>106.855</v>
      </c>
      <c r="IB141" vm="2985">
        <f ca="1"/>
        <v>106.355</v>
      </c>
      <c r="IC141" vm="2986">
        <f ca="1"/>
        <v>106.33</v>
      </c>
      <c r="ID141" vm="2987">
        <f ca="1"/>
        <v>106.27500000000001</v>
      </c>
      <c r="IE141" vm="2988">
        <f ca="1"/>
        <v>106.36</v>
      </c>
      <c r="IF141" vm="2989">
        <f ca="1"/>
        <v>106.7</v>
      </c>
      <c r="IG141" vm="2990">
        <f ca="1"/>
        <v>106.99</v>
      </c>
      <c r="IH141" vm="2991">
        <f ca="1"/>
        <v>107.09</v>
      </c>
      <c r="II141" vm="2992">
        <f ca="1"/>
        <v>107.07</v>
      </c>
      <c r="IJ141" vm="2993">
        <f ca="1"/>
        <v>107.25</v>
      </c>
      <c r="IK141" vm="2994">
        <f ca="1"/>
        <v>107.61499999999999</v>
      </c>
      <c r="IL141" vm="2995">
        <f ca="1"/>
        <v>107.45</v>
      </c>
      <c r="IM141" vm="2996">
        <f ca="1"/>
        <v>107.42</v>
      </c>
      <c r="IN141" vm="2997">
        <f ca="1"/>
        <v>107.38500000000001</v>
      </c>
      <c r="IO141" vm="2998">
        <f ca="1"/>
        <v>107.265</v>
      </c>
      <c r="IP141" vm="2999">
        <f ca="1"/>
        <v>107.87</v>
      </c>
      <c r="IQ141" vm="3000">
        <f ca="1"/>
        <v>108.319</v>
      </c>
      <c r="IR141" vm="3001">
        <f ca="1"/>
        <v>108.3</v>
      </c>
      <c r="IS141" vm="3002">
        <f ca="1"/>
        <v>108.44</v>
      </c>
      <c r="IT141" vm="3003">
        <f ca="1"/>
        <v>108.39</v>
      </c>
      <c r="IU141" vm="3004">
        <f ca="1"/>
        <v>108.325</v>
      </c>
      <c r="IV141" vm="3005">
        <f ca="1"/>
        <v>108.15</v>
      </c>
      <c r="IW141" vm="113">
        <f ca="1"/>
        <v>108.05</v>
      </c>
    </row>
    <row r="142" spans="1:257" ht="16" x14ac:dyDescent="0.2">
      <c r="A142" t="e" vm="3006">
        <v>#VALUE!</v>
      </c>
      <c r="B142" s="23" t="str" cm="1">
        <f t="array" aca="1" ref="B142" ca="1">_FV(A142,"ticker symbol",TRUE)</f>
        <v>FXY</v>
      </c>
      <c r="C142" s="23" t="str" cm="1">
        <f t="array" aca="1" ref="C142" ca="1">_FV(A142,"Name")</f>
        <v>Invesco:Japanese Yen</v>
      </c>
      <c r="D142" cm="1" vm="1097">
        <f t="array" aca="1" ref="D142:IW142" ca="1">TRANSPOSE(_xlfn.STOCKHISTORY(B142, WORKDAY(TODAY(), -265), TODAY(), 0, 0, 1))</f>
        <v>59.89</v>
      </c>
      <c r="E142" vm="15844">
        <f ca="1"/>
        <v>60.13</v>
      </c>
      <c r="F142" vm="9650">
        <f ca="1"/>
        <v>59.68</v>
      </c>
      <c r="G142" vm="3010">
        <f ca="1"/>
        <v>58.66</v>
      </c>
      <c r="H142" vm="14099">
        <f ca="1"/>
        <v>59.04</v>
      </c>
      <c r="I142" vm="1654">
        <f ca="1"/>
        <v>58.75</v>
      </c>
      <c r="J142" vm="14217">
        <f ca="1"/>
        <v>58.67</v>
      </c>
      <c r="K142" vm="15223">
        <f ca="1"/>
        <v>58.4</v>
      </c>
      <c r="L142" vm="13388">
        <f ca="1"/>
        <v>58.46</v>
      </c>
      <c r="M142" vm="11895">
        <f ca="1"/>
        <v>58.81</v>
      </c>
      <c r="N142" vm="3018">
        <f ca="1"/>
        <v>58.62</v>
      </c>
      <c r="O142" vm="1218">
        <f ca="1"/>
        <v>58.55</v>
      </c>
      <c r="P142" vm="11068">
        <f ca="1"/>
        <v>58.69</v>
      </c>
      <c r="Q142" vm="1218">
        <f ca="1"/>
        <v>58.55</v>
      </c>
      <c r="R142" vm="2961">
        <f ca="1"/>
        <v>58.49</v>
      </c>
      <c r="S142" vm="14091">
        <f ca="1"/>
        <v>58.31</v>
      </c>
      <c r="T142" vm="10078">
        <f ca="1"/>
        <v>58.48</v>
      </c>
      <c r="U142" vm="1653">
        <f ca="1"/>
        <v>58.54</v>
      </c>
      <c r="V142" vm="14065">
        <f ca="1"/>
        <v>58.44</v>
      </c>
      <c r="W142" vm="1585">
        <f ca="1"/>
        <v>58.98</v>
      </c>
      <c r="X142" vm="2966">
        <f ca="1"/>
        <v>59.47</v>
      </c>
      <c r="Y142" vm="8696">
        <f ca="1"/>
        <v>59.14</v>
      </c>
      <c r="Z142" vm="9709">
        <f ca="1"/>
        <v>59.38</v>
      </c>
      <c r="AA142" vm="1643">
        <f ca="1"/>
        <v>58.99</v>
      </c>
      <c r="AB142" vm="3014">
        <f ca="1"/>
        <v>59.2</v>
      </c>
      <c r="AC142" vm="3014">
        <f ca="1"/>
        <v>59.2</v>
      </c>
      <c r="AD142" vm="9655">
        <f ca="1"/>
        <v>59.69</v>
      </c>
      <c r="AE142" vm="19462">
        <f ca="1"/>
        <v>59.36</v>
      </c>
      <c r="AF142" vm="19982">
        <f ca="1"/>
        <v>59.405000000000001</v>
      </c>
      <c r="AG142" vm="1600">
        <f ca="1"/>
        <v>59.79</v>
      </c>
      <c r="AH142" vm="2966">
        <f ca="1"/>
        <v>59.47</v>
      </c>
      <c r="AI142" vm="8630">
        <f ca="1"/>
        <v>59.62</v>
      </c>
      <c r="AJ142" vm="1600">
        <f ca="1"/>
        <v>59.79</v>
      </c>
      <c r="AK142" vm="15655">
        <f ca="1"/>
        <v>60.43</v>
      </c>
      <c r="AL142" vm="15818">
        <f ca="1"/>
        <v>60.89</v>
      </c>
      <c r="AM142" vm="14076">
        <f ca="1"/>
        <v>60.99</v>
      </c>
      <c r="AN142" vm="1104">
        <f ca="1"/>
        <v>60.73</v>
      </c>
      <c r="AO142" vm="19983">
        <f ca="1"/>
        <v>60.49</v>
      </c>
      <c r="AP142" vm="19984">
        <f ca="1"/>
        <v>59.76</v>
      </c>
      <c r="AQ142" vm="11368">
        <f ca="1"/>
        <v>60.39</v>
      </c>
      <c r="AR142" vm="1099">
        <f ca="1"/>
        <v>60.58</v>
      </c>
      <c r="AS142" vm="1104">
        <f ca="1"/>
        <v>60.73</v>
      </c>
      <c r="AT142" vm="120">
        <f ca="1"/>
        <v>60.94</v>
      </c>
      <c r="AU142" vm="1603">
        <f ca="1"/>
        <v>61.66</v>
      </c>
      <c r="AV142" vm="13418">
        <f ca="1"/>
        <v>61.9</v>
      </c>
      <c r="AW142" vm="17908">
        <f ca="1"/>
        <v>61.65</v>
      </c>
      <c r="AX142" vm="2538">
        <f ca="1"/>
        <v>61.97</v>
      </c>
      <c r="AY142" vm="14128">
        <f ca="1"/>
        <v>61.93</v>
      </c>
      <c r="AZ142" vm="8708">
        <f ca="1"/>
        <v>61.62</v>
      </c>
      <c r="BA142" vm="13416">
        <f ca="1"/>
        <v>61.32</v>
      </c>
      <c r="BB142" vm="13137">
        <f ca="1"/>
        <v>61.73</v>
      </c>
      <c r="BC142" vm="13418">
        <f ca="1"/>
        <v>61.9</v>
      </c>
      <c r="BD142" vm="2538">
        <f ca="1"/>
        <v>61.97</v>
      </c>
      <c r="BE142" vm="19985">
        <f ca="1"/>
        <v>62.42</v>
      </c>
      <c r="BF142" vm="13865">
        <f ca="1"/>
        <v>62.37</v>
      </c>
      <c r="BG142" vm="1595">
        <f ca="1"/>
        <v>62.66</v>
      </c>
      <c r="BH142" vm="19986">
        <f ca="1"/>
        <v>62.435000000000002</v>
      </c>
      <c r="BI142" vm="1479">
        <f ca="1"/>
        <v>62.19</v>
      </c>
      <c r="BJ142" vm="19987">
        <f ca="1"/>
        <v>62.47</v>
      </c>
      <c r="BK142" vm="8650">
        <f ca="1"/>
        <v>62.06</v>
      </c>
      <c r="BL142" vm="10097">
        <f ca="1"/>
        <v>61.86</v>
      </c>
      <c r="BM142" vm="8702">
        <f ca="1"/>
        <v>61.82</v>
      </c>
      <c r="BN142" vm="15602">
        <f ca="1"/>
        <v>61.96</v>
      </c>
      <c r="BO142" vm="2538">
        <f ca="1"/>
        <v>61.97</v>
      </c>
      <c r="BP142" vm="41">
        <f ca="1"/>
        <v>61.77</v>
      </c>
      <c r="BQ142" vm="1105">
        <f ca="1"/>
        <v>61.22</v>
      </c>
      <c r="BR142" vm="19988">
        <f ca="1"/>
        <v>61.52</v>
      </c>
      <c r="BS142" vm="15657">
        <f ca="1"/>
        <v>61.24</v>
      </c>
      <c r="BT142" vm="14088">
        <f ca="1"/>
        <v>61.04</v>
      </c>
      <c r="BU142" vm="19539">
        <f ca="1"/>
        <v>61.57</v>
      </c>
      <c r="BV142" vm="8646">
        <f ca="1"/>
        <v>61.5</v>
      </c>
      <c r="BW142" vm="8708">
        <f ca="1"/>
        <v>61.62</v>
      </c>
      <c r="BX142" vm="1100">
        <f ca="1"/>
        <v>61.48</v>
      </c>
      <c r="BY142" vm="9658">
        <f ca="1"/>
        <v>63.07</v>
      </c>
      <c r="BZ142" vm="11376">
        <f ca="1"/>
        <v>62.84</v>
      </c>
      <c r="CA142" vm="1477">
        <f ca="1"/>
        <v>62.31</v>
      </c>
      <c r="CB142" vm="9658">
        <f ca="1"/>
        <v>63.07</v>
      </c>
      <c r="CC142" vm="1592">
        <f ca="1"/>
        <v>62.36</v>
      </c>
      <c r="CD142" vm="11387">
        <f ca="1"/>
        <v>63.79</v>
      </c>
      <c r="CE142" vm="15837">
        <f ca="1"/>
        <v>64.27</v>
      </c>
      <c r="CF142" vm="10171">
        <f ca="1"/>
        <v>64.53</v>
      </c>
      <c r="CG142" vm="13870">
        <f ca="1"/>
        <v>64.430000000000007</v>
      </c>
      <c r="CH142" vm="1611">
        <f ca="1"/>
        <v>64.94</v>
      </c>
      <c r="CI142" vm="15734">
        <f ca="1"/>
        <v>64.8</v>
      </c>
      <c r="CJ142" vm="8725">
        <f ca="1"/>
        <v>65.52</v>
      </c>
      <c r="CK142" vm="19989">
        <f ca="1"/>
        <v>65.14</v>
      </c>
      <c r="CL142" vm="13395">
        <f ca="1"/>
        <v>64.25</v>
      </c>
      <c r="CM142" vm="63">
        <f ca="1"/>
        <v>64.62</v>
      </c>
      <c r="CN142" vm="13394">
        <f ca="1"/>
        <v>64.17</v>
      </c>
      <c r="CO142" vm="19990">
        <f ca="1"/>
        <v>64.88</v>
      </c>
      <c r="CP142" vm="8822">
        <f ca="1"/>
        <v>64.739999999999995</v>
      </c>
      <c r="CQ142" vm="2549">
        <f ca="1"/>
        <v>64.540000000000006</v>
      </c>
      <c r="CR142" vm="13873">
        <f ca="1"/>
        <v>63.29</v>
      </c>
      <c r="CS142" vm="13866">
        <f ca="1"/>
        <v>63.56</v>
      </c>
      <c r="CT142" vm="11408">
        <f ca="1"/>
        <v>64.12</v>
      </c>
      <c r="CU142" vm="11385">
        <f ca="1"/>
        <v>64.760000000000005</v>
      </c>
      <c r="CV142" vm="2742">
        <f ca="1"/>
        <v>64.11</v>
      </c>
      <c r="CW142" vm="14122">
        <f ca="1"/>
        <v>63.15</v>
      </c>
      <c r="CX142" vm="8814">
        <f ca="1"/>
        <v>63.45</v>
      </c>
      <c r="CY142" vm="13104">
        <f ca="1"/>
        <v>62.09</v>
      </c>
      <c r="CZ142" vm="8645">
        <f ca="1"/>
        <v>62.49</v>
      </c>
      <c r="DA142" vm="1593">
        <f ca="1"/>
        <v>62.79</v>
      </c>
      <c r="DB142" vm="9664">
        <f ca="1"/>
        <v>63.3</v>
      </c>
      <c r="DC142" vm="13877">
        <f ca="1"/>
        <v>63.12</v>
      </c>
      <c r="DD142" vm="11379">
        <f ca="1"/>
        <v>63.64</v>
      </c>
      <c r="DE142" vm="11457">
        <f ca="1"/>
        <v>63.74</v>
      </c>
      <c r="DF142" vm="13394">
        <f ca="1"/>
        <v>64.17</v>
      </c>
      <c r="DG142" vm="19991">
        <f ca="1"/>
        <v>63.97</v>
      </c>
      <c r="DH142" vm="17860">
        <f ca="1"/>
        <v>64.680000000000007</v>
      </c>
      <c r="DI142" vm="2544">
        <f ca="1"/>
        <v>63.84</v>
      </c>
      <c r="DJ142" vm="1470">
        <f ca="1"/>
        <v>63.62</v>
      </c>
      <c r="DK142" vm="19992">
        <f ca="1"/>
        <v>63.9</v>
      </c>
      <c r="DL142" vm="11447">
        <f ca="1"/>
        <v>64.03</v>
      </c>
      <c r="DM142" vm="19993">
        <f ca="1"/>
        <v>64.58</v>
      </c>
      <c r="DN142" vm="15838">
        <f ca="1"/>
        <v>63.99</v>
      </c>
      <c r="DO142" vm="8854">
        <f ca="1"/>
        <v>64.45</v>
      </c>
      <c r="DP142" vm="2741">
        <f ca="1"/>
        <v>64.099999999999994</v>
      </c>
      <c r="DQ142" vm="8820">
        <f ca="1"/>
        <v>63.65</v>
      </c>
      <c r="DR142" vm="11431">
        <f ca="1"/>
        <v>63.76</v>
      </c>
      <c r="DS142" vm="17858">
        <f ca="1"/>
        <v>63.55</v>
      </c>
      <c r="DT142" vm="1606">
        <f ca="1"/>
        <v>63.68</v>
      </c>
      <c r="DU142" vm="13102">
        <f ca="1"/>
        <v>64.150000000000006</v>
      </c>
      <c r="DV142" vm="10275">
        <f ca="1"/>
        <v>64.02</v>
      </c>
      <c r="DW142" vm="11392">
        <f ca="1"/>
        <v>63.58</v>
      </c>
      <c r="DX142" vm="8814">
        <f ca="1"/>
        <v>63.45</v>
      </c>
      <c r="DY142" vm="13103">
        <f ca="1"/>
        <v>63.44</v>
      </c>
      <c r="DZ142" vm="15832">
        <f ca="1"/>
        <v>63.02</v>
      </c>
      <c r="EA142" vm="9662">
        <f ca="1"/>
        <v>63.03</v>
      </c>
      <c r="EB142" vm="11378">
        <f ca="1"/>
        <v>63.61</v>
      </c>
      <c r="EC142" vm="1604">
        <f ca="1"/>
        <v>63.41</v>
      </c>
      <c r="ED142" vm="1150">
        <f ca="1"/>
        <v>63.78</v>
      </c>
      <c r="EE142" vm="11456">
        <f ca="1"/>
        <v>63.59</v>
      </c>
      <c r="EF142" vm="19994">
        <f ca="1"/>
        <v>63.94</v>
      </c>
      <c r="EG142" vm="8810">
        <f ca="1"/>
        <v>64.040000000000006</v>
      </c>
      <c r="EH142" vm="2733">
        <f ca="1"/>
        <v>64.13</v>
      </c>
      <c r="EI142" vm="8853">
        <f ca="1"/>
        <v>63.52</v>
      </c>
      <c r="EJ142" vm="8717">
        <f ca="1"/>
        <v>63.1</v>
      </c>
      <c r="EK142" vm="8656">
        <f ca="1"/>
        <v>62.82</v>
      </c>
      <c r="EL142" vm="8716">
        <f ca="1"/>
        <v>62.93</v>
      </c>
      <c r="EM142" vm="11390">
        <f ca="1"/>
        <v>62.95</v>
      </c>
      <c r="EN142" vm="13876">
        <f ca="1"/>
        <v>62.46</v>
      </c>
      <c r="EO142" vm="8649">
        <f ca="1"/>
        <v>62.32</v>
      </c>
      <c r="EP142" vm="15827">
        <f ca="1"/>
        <v>61.85</v>
      </c>
      <c r="EQ142" vm="1482">
        <f ca="1"/>
        <v>62.29</v>
      </c>
      <c r="ER142" vm="11369">
        <f ca="1"/>
        <v>61.95</v>
      </c>
      <c r="ES142" vm="11087">
        <f ca="1"/>
        <v>61.91</v>
      </c>
      <c r="ET142" vm="1594">
        <f ca="1"/>
        <v>62.48</v>
      </c>
      <c r="EU142" vm="8710">
        <f ca="1"/>
        <v>62.81</v>
      </c>
      <c r="EV142" vm="9657">
        <f ca="1"/>
        <v>62.85</v>
      </c>
      <c r="EW142" vm="19995">
        <f ca="1"/>
        <v>62.645000000000003</v>
      </c>
      <c r="EX142" vm="2354">
        <f ca="1"/>
        <v>62.4</v>
      </c>
      <c r="EY142" vm="2538">
        <f ca="1"/>
        <v>61.97</v>
      </c>
      <c r="EZ142" vm="8704">
        <f ca="1"/>
        <v>61.99</v>
      </c>
      <c r="FA142" vm="13419">
        <f ca="1"/>
        <v>61.6</v>
      </c>
      <c r="FB142" vm="8699">
        <f ca="1"/>
        <v>61.08</v>
      </c>
      <c r="FC142" vm="18836">
        <f ca="1"/>
        <v>62.43</v>
      </c>
      <c r="FD142" vm="13423">
        <f ca="1"/>
        <v>62.64</v>
      </c>
      <c r="FE142" vm="8654">
        <f ca="1"/>
        <v>62.35</v>
      </c>
      <c r="FF142" vm="8644">
        <f ca="1"/>
        <v>62.57</v>
      </c>
      <c r="FG142" vm="1597">
        <f ca="1"/>
        <v>62.59</v>
      </c>
      <c r="FH142" vm="8649">
        <f ca="1"/>
        <v>62.32</v>
      </c>
      <c r="FI142" vm="13104">
        <f ca="1"/>
        <v>62.09</v>
      </c>
      <c r="FJ142" vm="1482">
        <f ca="1"/>
        <v>62.29</v>
      </c>
      <c r="FK142" vm="13431">
        <f ca="1"/>
        <v>62.44</v>
      </c>
      <c r="FL142" vm="13424">
        <f ca="1"/>
        <v>62.3</v>
      </c>
      <c r="FM142" vm="13864">
        <f ca="1"/>
        <v>62.54</v>
      </c>
      <c r="FN142" vm="19996">
        <f ca="1"/>
        <v>62.27</v>
      </c>
      <c r="FO142" vm="11396">
        <f ca="1"/>
        <v>62.39</v>
      </c>
      <c r="FP142" vm="1594">
        <f ca="1"/>
        <v>62.48</v>
      </c>
      <c r="FQ142" vm="19997">
        <f ca="1"/>
        <v>62.01</v>
      </c>
      <c r="FR142" vm="13423">
        <f ca="1"/>
        <v>62.64</v>
      </c>
      <c r="FS142" vm="13424">
        <f ca="1"/>
        <v>62.3</v>
      </c>
      <c r="FT142" vm="18836">
        <f ca="1"/>
        <v>62.43</v>
      </c>
      <c r="FU142" vm="19985">
        <f ca="1"/>
        <v>62.42</v>
      </c>
      <c r="FV142" vm="13875">
        <f ca="1"/>
        <v>62.65</v>
      </c>
      <c r="FW142" vm="102">
        <f ca="1"/>
        <v>62.63</v>
      </c>
      <c r="FX142" vm="11356">
        <f ca="1"/>
        <v>62.07</v>
      </c>
      <c r="FY142" vm="1481">
        <f ca="1"/>
        <v>62.16</v>
      </c>
      <c r="FZ142" vm="8706">
        <f ca="1"/>
        <v>61.98</v>
      </c>
      <c r="GA142" vm="2354">
        <f ca="1"/>
        <v>62.4</v>
      </c>
      <c r="GB142" vm="19985">
        <f ca="1"/>
        <v>62.42</v>
      </c>
      <c r="GC142" vm="19985">
        <f ca="1"/>
        <v>62.42</v>
      </c>
      <c r="GD142" vm="18836">
        <f ca="1"/>
        <v>62.43</v>
      </c>
      <c r="GE142" vm="8644">
        <f ca="1"/>
        <v>62.57</v>
      </c>
      <c r="GF142" vm="8654">
        <f ca="1"/>
        <v>62.35</v>
      </c>
      <c r="GG142" vm="13431">
        <f ca="1"/>
        <v>62.44</v>
      </c>
      <c r="GH142" vm="8656">
        <f ca="1"/>
        <v>62.82</v>
      </c>
      <c r="GI142" vm="8653">
        <f ca="1"/>
        <v>62.71</v>
      </c>
      <c r="GJ142" vm="1479">
        <f ca="1"/>
        <v>62.19</v>
      </c>
      <c r="GK142" vm="1479">
        <f ca="1"/>
        <v>62.19</v>
      </c>
      <c r="GL142" vm="1482">
        <f ca="1"/>
        <v>62.29</v>
      </c>
      <c r="GM142" vm="8649">
        <f ca="1"/>
        <v>62.32</v>
      </c>
      <c r="GN142" vm="9666">
        <f ca="1"/>
        <v>61.84</v>
      </c>
      <c r="GO142" vm="14143">
        <f ca="1"/>
        <v>61.45</v>
      </c>
      <c r="GP142" vm="14129">
        <f ca="1"/>
        <v>61.58</v>
      </c>
      <c r="GQ142" vm="13418">
        <f ca="1"/>
        <v>61.9</v>
      </c>
      <c r="GR142" vm="13430">
        <f ca="1"/>
        <v>62.21</v>
      </c>
      <c r="GS142" vm="15833">
        <f ca="1"/>
        <v>62.52</v>
      </c>
      <c r="GT142" vm="19987">
        <f ca="1"/>
        <v>62.47</v>
      </c>
      <c r="GU142" vm="19985">
        <f ca="1"/>
        <v>62.42</v>
      </c>
      <c r="GV142" vm="1103">
        <f ca="1"/>
        <v>61.23</v>
      </c>
      <c r="GW142" vm="1099">
        <f ca="1"/>
        <v>60.58</v>
      </c>
      <c r="GX142" vm="2201">
        <f ca="1"/>
        <v>60.26</v>
      </c>
      <c r="GY142" vm="14090">
        <f ca="1"/>
        <v>60.09</v>
      </c>
      <c r="GZ142" vm="8635">
        <f ca="1"/>
        <v>60.68</v>
      </c>
      <c r="HA142" vm="8631">
        <f ca="1"/>
        <v>60.4</v>
      </c>
      <c r="HB142" vm="10291">
        <f ca="1"/>
        <v>60.64</v>
      </c>
      <c r="HC142" vm="10279">
        <f ca="1"/>
        <v>60.8</v>
      </c>
      <c r="HD142" vm="9642">
        <f ca="1"/>
        <v>61.13</v>
      </c>
      <c r="HE142" vm="15651">
        <f ca="1"/>
        <v>61.15</v>
      </c>
      <c r="HF142" vm="13441">
        <f ca="1"/>
        <v>61.03</v>
      </c>
      <c r="HG142" vm="9656">
        <f ca="1"/>
        <v>60.57</v>
      </c>
      <c r="HH142" vm="10281">
        <f ca="1"/>
        <v>60.51</v>
      </c>
      <c r="HI142" vm="8641">
        <f ca="1"/>
        <v>60.3</v>
      </c>
      <c r="HJ142" vm="17867">
        <f ca="1"/>
        <v>60.2</v>
      </c>
      <c r="HK142" vm="18383">
        <f ca="1"/>
        <v>60.17</v>
      </c>
      <c r="HL142" vm="8676">
        <f ca="1"/>
        <v>60.45</v>
      </c>
      <c r="HM142" vm="17867">
        <f ca="1"/>
        <v>60.2</v>
      </c>
      <c r="HN142" vm="9655">
        <f ca="1"/>
        <v>59.69</v>
      </c>
      <c r="HO142" vm="8637">
        <f ca="1"/>
        <v>59.66</v>
      </c>
      <c r="HP142" vm="11082">
        <f ca="1"/>
        <v>59.64</v>
      </c>
      <c r="HQ142" vm="13391">
        <f ca="1"/>
        <v>59.85</v>
      </c>
      <c r="HR142" vm="14130">
        <f ca="1"/>
        <v>59.65</v>
      </c>
      <c r="HS142" vm="14089">
        <f ca="1"/>
        <v>60.11</v>
      </c>
      <c r="HT142" vm="14077">
        <f ca="1"/>
        <v>59.94</v>
      </c>
      <c r="HU142" vm="9707">
        <f ca="1"/>
        <v>59.73</v>
      </c>
      <c r="HV142" vm="9650">
        <f ca="1"/>
        <v>59.68</v>
      </c>
      <c r="HW142" vm="19998">
        <f ca="1"/>
        <v>59.41</v>
      </c>
      <c r="HX142" vm="8677">
        <f ca="1"/>
        <v>59.5</v>
      </c>
      <c r="HY142" vm="1095">
        <f ca="1"/>
        <v>59.53</v>
      </c>
      <c r="HZ142" vm="11897">
        <f ca="1"/>
        <v>59.24</v>
      </c>
      <c r="IA142" vm="8639">
        <f ca="1"/>
        <v>59.15</v>
      </c>
      <c r="IB142" vm="3007">
        <f ca="1"/>
        <v>58.61</v>
      </c>
      <c r="IC142" vm="3008">
        <f ca="1"/>
        <v>58.33</v>
      </c>
      <c r="ID142" vm="3009">
        <f ca="1"/>
        <v>58.78</v>
      </c>
      <c r="IE142" vm="3010">
        <f ca="1"/>
        <v>58.66</v>
      </c>
      <c r="IF142" vm="3011">
        <f ca="1"/>
        <v>58.91</v>
      </c>
      <c r="IG142" vm="3012">
        <f ca="1"/>
        <v>58.8</v>
      </c>
      <c r="IH142" vm="3013">
        <f ca="1"/>
        <v>58.92</v>
      </c>
      <c r="II142" vm="3014">
        <f ca="1"/>
        <v>59.2</v>
      </c>
      <c r="IJ142" vm="2964">
        <f ca="1"/>
        <v>59.02</v>
      </c>
      <c r="IK142" vm="3015">
        <f ca="1"/>
        <v>59.29</v>
      </c>
      <c r="IL142" vm="3016">
        <f ca="1"/>
        <v>59.3</v>
      </c>
      <c r="IM142" vm="3017">
        <f ca="1"/>
        <v>59.244999999999997</v>
      </c>
      <c r="IN142" vm="1643">
        <f ca="1"/>
        <v>58.99</v>
      </c>
      <c r="IO142" vm="3018">
        <f ca="1"/>
        <v>58.62</v>
      </c>
      <c r="IP142" vm="2964">
        <f ca="1"/>
        <v>59.02</v>
      </c>
      <c r="IQ142" vm="1648">
        <f ca="1"/>
        <v>59.1</v>
      </c>
      <c r="IR142" vm="1585">
        <f ca="1"/>
        <v>58.98</v>
      </c>
      <c r="IS142" vm="3019">
        <f ca="1"/>
        <v>59.25</v>
      </c>
      <c r="IT142" vm="3020">
        <f ca="1"/>
        <v>59.44</v>
      </c>
      <c r="IU142" vm="2963">
        <f ca="1"/>
        <v>59.06</v>
      </c>
      <c r="IV142" vm="1648">
        <f ca="1"/>
        <v>59.1</v>
      </c>
      <c r="IW142" vm="115">
        <f ca="1"/>
        <v>58.3</v>
      </c>
    </row>
    <row r="143" spans="1:257" ht="16" x14ac:dyDescent="0.2">
      <c r="A143" t="e" vm="3021">
        <v>#VALUE!</v>
      </c>
      <c r="B143" s="23" t="str" cm="1">
        <f t="array" aca="1" ref="B143" ca="1">_FV(A143,"ticker symbol",TRUE)</f>
        <v>FXB</v>
      </c>
      <c r="C143" s="23" t="str" cm="1">
        <f t="array" aca="1" ref="C143" ca="1">_FV(A143,"Name")</f>
        <v>Invesco:GBP Sterling</v>
      </c>
      <c r="D143" cm="1" vm="19999">
        <f t="array" aca="1" ref="D143:IW143" ca="1">TRANSPOSE(_xlfn.STOCKHISTORY(B143, WORKDAY(TODAY(), -265), TODAY(), 0, 0, 1))</f>
        <v>122.00069999999999</v>
      </c>
      <c r="E143" vm="20000">
        <f ca="1"/>
        <v>122.2063</v>
      </c>
      <c r="F143" vm="20001">
        <f ca="1"/>
        <v>120.9406</v>
      </c>
      <c r="G143" vm="20002">
        <f ca="1"/>
        <v>120.2683</v>
      </c>
      <c r="H143" vm="20003">
        <f ca="1"/>
        <v>120.9841</v>
      </c>
      <c r="I143" vm="14925">
        <f ca="1"/>
        <v>120.59</v>
      </c>
      <c r="J143" vm="20004">
        <f ca="1"/>
        <v>120.47</v>
      </c>
      <c r="K143" vm="20005">
        <f ca="1"/>
        <v>120.6</v>
      </c>
      <c r="L143" vm="20006">
        <f ca="1"/>
        <v>121.0705</v>
      </c>
      <c r="M143" vm="20007">
        <f ca="1"/>
        <v>120.80159999999999</v>
      </c>
      <c r="N143" vm="20008">
        <f ca="1"/>
        <v>120.5487</v>
      </c>
      <c r="O143" vm="20009">
        <f ca="1"/>
        <v>118.935</v>
      </c>
      <c r="P143" vm="20010">
        <f ca="1"/>
        <v>119.3737</v>
      </c>
      <c r="Q143" vm="8363">
        <f ca="1"/>
        <v>120.25</v>
      </c>
      <c r="R143" vm="20011">
        <f ca="1"/>
        <v>119.94029999999999</v>
      </c>
      <c r="S143" vm="20012">
        <f ca="1"/>
        <v>118.79</v>
      </c>
      <c r="T143" vm="20013">
        <f ca="1"/>
        <v>117.37</v>
      </c>
      <c r="U143" vm="20014">
        <f ca="1"/>
        <v>117.06399999999999</v>
      </c>
      <c r="V143" vm="12188">
        <f ca="1"/>
        <v>117.34</v>
      </c>
      <c r="W143" vm="20015">
        <f ca="1"/>
        <v>117.7437</v>
      </c>
      <c r="X143" vm="20016">
        <f ca="1"/>
        <v>117.6343</v>
      </c>
      <c r="Y143" vm="8355">
        <f ca="1"/>
        <v>117.05</v>
      </c>
      <c r="Z143" vm="20017">
        <f ca="1"/>
        <v>118.7063</v>
      </c>
      <c r="AA143" vm="20018">
        <f ca="1"/>
        <v>118.54300000000001</v>
      </c>
      <c r="AB143" vm="20019">
        <f ca="1"/>
        <v>118.87869999999999</v>
      </c>
      <c r="AC143" vm="20020">
        <f ca="1"/>
        <v>120.1562</v>
      </c>
      <c r="AD143" vm="20021">
        <f ca="1"/>
        <v>120.22</v>
      </c>
      <c r="AE143" vm="20022">
        <f ca="1"/>
        <v>119.74</v>
      </c>
      <c r="AF143" vm="20023">
        <f ca="1"/>
        <v>119.77670000000001</v>
      </c>
      <c r="AG143" vm="20024">
        <f ca="1"/>
        <v>119.71129999999999</v>
      </c>
      <c r="AH143" vm="20025">
        <f ca="1"/>
        <v>119.36190000000001</v>
      </c>
      <c r="AI143" vm="20026">
        <f ca="1"/>
        <v>119.2</v>
      </c>
      <c r="AJ143" vm="1419">
        <f ca="1"/>
        <v>120.01</v>
      </c>
      <c r="AK143" vm="12216">
        <f ca="1"/>
        <v>120.13</v>
      </c>
      <c r="AL143" vm="1402">
        <f ca="1"/>
        <v>119.58</v>
      </c>
      <c r="AM143" vm="12111">
        <f ca="1"/>
        <v>119.27</v>
      </c>
      <c r="AN143" vm="12341">
        <f ca="1"/>
        <v>118.84</v>
      </c>
      <c r="AO143" vm="20027">
        <f ca="1"/>
        <v>119.65470000000001</v>
      </c>
      <c r="AP143" vm="20028">
        <f ca="1"/>
        <v>119.66500000000001</v>
      </c>
      <c r="AQ143" vm="20007">
        <f ca="1"/>
        <v>120.80159999999999</v>
      </c>
      <c r="AR143" vm="20029">
        <f ca="1"/>
        <v>121.02070000000001</v>
      </c>
      <c r="AS143" vm="20030">
        <f ca="1"/>
        <v>121.24420000000001</v>
      </c>
      <c r="AT143" vm="20031">
        <f ca="1"/>
        <v>121.0776</v>
      </c>
      <c r="AU143" vm="20032">
        <f ca="1"/>
        <v>121.899</v>
      </c>
      <c r="AV143" vm="20033">
        <f ca="1"/>
        <v>121.5228</v>
      </c>
      <c r="AW143" vm="20034">
        <f ca="1"/>
        <v>121.46380000000001</v>
      </c>
      <c r="AX143" vm="20035">
        <f ca="1"/>
        <v>121.94029999999999</v>
      </c>
      <c r="AY143" vm="20036">
        <f ca="1"/>
        <v>122.00060000000001</v>
      </c>
      <c r="AZ143" vm="20037">
        <f ca="1"/>
        <v>121.36709999999999</v>
      </c>
      <c r="BA143" vm="20038">
        <f ca="1"/>
        <v>121.1123</v>
      </c>
      <c r="BB143" vm="20039">
        <f ca="1"/>
        <v>122.03</v>
      </c>
      <c r="BC143" vm="20040">
        <f ca="1"/>
        <v>122.8758</v>
      </c>
      <c r="BD143" vm="20041">
        <f ca="1"/>
        <v>123.989</v>
      </c>
      <c r="BE143" vm="20042">
        <f ca="1"/>
        <v>123.795</v>
      </c>
      <c r="BF143" vm="20043">
        <f ca="1"/>
        <v>124.2283</v>
      </c>
      <c r="BG143" vm="20044">
        <f ca="1"/>
        <v>123.76990000000001</v>
      </c>
      <c r="BH143" vm="20045">
        <f ca="1"/>
        <v>124.53</v>
      </c>
      <c r="BI143" vm="20046">
        <f ca="1"/>
        <v>124.67489999999999</v>
      </c>
      <c r="BJ143" vm="20047">
        <f ca="1"/>
        <v>124.4969</v>
      </c>
      <c r="BK143" vm="20048">
        <f ca="1"/>
        <v>124.39</v>
      </c>
      <c r="BL143" vm="14748">
        <f ca="1"/>
        <v>124.97</v>
      </c>
      <c r="BM143" vm="20049">
        <f ca="1"/>
        <v>125.1079</v>
      </c>
      <c r="BN143" vm="20050">
        <f ca="1"/>
        <v>125.0309</v>
      </c>
      <c r="BO143" vm="20051">
        <f ca="1"/>
        <v>124.77</v>
      </c>
      <c r="BP143" vm="1726">
        <f ca="1"/>
        <v>124.33</v>
      </c>
      <c r="BQ143" vm="12153">
        <f ca="1"/>
        <v>124.38</v>
      </c>
      <c r="BR143" vm="20052">
        <f ca="1"/>
        <v>124.59</v>
      </c>
      <c r="BS143" vm="20053">
        <f ca="1"/>
        <v>124.08</v>
      </c>
      <c r="BT143" vm="12242">
        <f ca="1"/>
        <v>124.64</v>
      </c>
      <c r="BU143" vm="20054">
        <f ca="1"/>
        <v>124.6219</v>
      </c>
      <c r="BV143" vm="20055">
        <f ca="1"/>
        <v>124.4015</v>
      </c>
      <c r="BW143" vm="20056">
        <f ca="1"/>
        <v>124.125</v>
      </c>
      <c r="BX143" vm="20057">
        <f ca="1"/>
        <v>124.7312</v>
      </c>
      <c r="BY143" vm="14734">
        <f ca="1"/>
        <v>125.75</v>
      </c>
      <c r="BZ143" vm="12190">
        <f ca="1"/>
        <v>123.76</v>
      </c>
      <c r="CA143" vm="12215">
        <f ca="1"/>
        <v>122.45</v>
      </c>
      <c r="CB143" vm="20058">
        <f ca="1"/>
        <v>122.78489999999999</v>
      </c>
      <c r="CC143" vm="20059">
        <f ca="1"/>
        <v>123.1358</v>
      </c>
      <c r="CD143" vm="20060">
        <f ca="1"/>
        <v>124.6173</v>
      </c>
      <c r="CE143" vm="20061">
        <f ca="1"/>
        <v>125.68</v>
      </c>
      <c r="CF143" vm="8377">
        <f ca="1"/>
        <v>126.81</v>
      </c>
      <c r="CG143" vm="20062">
        <f ca="1"/>
        <v>127.21429999999999</v>
      </c>
      <c r="CH143" vm="12265">
        <f ca="1"/>
        <v>127.37</v>
      </c>
      <c r="CI143" vm="20063">
        <f ca="1"/>
        <v>127.61490000000001</v>
      </c>
      <c r="CJ143" vm="1279">
        <f ca="1"/>
        <v>128.77000000000001</v>
      </c>
      <c r="CK143" vm="1288">
        <f ca="1"/>
        <v>128.30000000000001</v>
      </c>
      <c r="CL143" vm="20064">
        <f ca="1"/>
        <v>127.68</v>
      </c>
      <c r="CM143" vm="12160">
        <f ca="1"/>
        <v>128.4</v>
      </c>
      <c r="CN143" vm="9395">
        <f ca="1"/>
        <v>128.22</v>
      </c>
      <c r="CO143" vm="20065">
        <f ca="1"/>
        <v>129.4</v>
      </c>
      <c r="CP143" vm="20066">
        <f ca="1"/>
        <v>129.06</v>
      </c>
      <c r="CQ143" vm="1284">
        <f ca="1"/>
        <v>128.35</v>
      </c>
      <c r="CR143" vm="20067">
        <f ca="1"/>
        <v>127.6</v>
      </c>
      <c r="CS143" vm="20068">
        <f ca="1"/>
        <v>127.5835</v>
      </c>
      <c r="CT143" vm="12364">
        <f ca="1"/>
        <v>127.78</v>
      </c>
      <c r="CU143" vm="3038">
        <f ca="1"/>
        <v>128.61000000000001</v>
      </c>
      <c r="CV143" vm="738">
        <f ca="1"/>
        <v>127.85</v>
      </c>
      <c r="CW143" vm="12136">
        <f ca="1"/>
        <v>127.3</v>
      </c>
      <c r="CX143" vm="14737">
        <f ca="1"/>
        <v>127.98</v>
      </c>
      <c r="CY143" vm="20069">
        <f ca="1"/>
        <v>126.71</v>
      </c>
      <c r="CZ143" vm="20070">
        <f ca="1"/>
        <v>127.93</v>
      </c>
      <c r="DA143" vm="20071">
        <f ca="1"/>
        <v>127.55</v>
      </c>
      <c r="DB143" vm="20072">
        <f ca="1"/>
        <v>127.8</v>
      </c>
      <c r="DC143" vm="20073">
        <f ca="1"/>
        <v>127.72</v>
      </c>
      <c r="DD143" vm="20074">
        <f ca="1"/>
        <v>128.49209999999999</v>
      </c>
      <c r="DE143" vm="20075">
        <f ca="1"/>
        <v>128.83000000000001</v>
      </c>
      <c r="DF143" vm="20076">
        <f ca="1"/>
        <v>129.1</v>
      </c>
      <c r="DG143" vm="20076">
        <f ca="1"/>
        <v>129.1</v>
      </c>
      <c r="DH143" vm="12159">
        <f ca="1"/>
        <v>130.25</v>
      </c>
      <c r="DI143" vm="1730">
        <f ca="1"/>
        <v>130</v>
      </c>
      <c r="DJ143" vm="9399">
        <f ca="1"/>
        <v>129.62</v>
      </c>
      <c r="DK143" vm="20077">
        <f ca="1"/>
        <v>129.93</v>
      </c>
      <c r="DL143" vm="12161">
        <f ca="1"/>
        <v>129.71</v>
      </c>
      <c r="DM143" vm="20078">
        <f ca="1"/>
        <v>130.18</v>
      </c>
      <c r="DN143" vm="14732">
        <f ca="1"/>
        <v>129.9</v>
      </c>
      <c r="DO143" vm="20079">
        <f ca="1"/>
        <v>130.19999999999999</v>
      </c>
      <c r="DP143" vm="14709">
        <f ca="1"/>
        <v>130.44</v>
      </c>
      <c r="DQ143" vm="20080">
        <f ca="1"/>
        <v>130.07</v>
      </c>
      <c r="DR143" vm="20081">
        <f ca="1"/>
        <v>130.37</v>
      </c>
      <c r="DS143" vm="20082">
        <f ca="1"/>
        <v>129.82</v>
      </c>
      <c r="DT143" vm="20083">
        <f ca="1"/>
        <v>130.16999999999999</v>
      </c>
      <c r="DU143" vm="20084">
        <f ca="1"/>
        <v>130.80000000000001</v>
      </c>
      <c r="DV143" vm="6492">
        <f ca="1"/>
        <v>130.51</v>
      </c>
      <c r="DW143" vm="20085">
        <f ca="1"/>
        <v>130.57</v>
      </c>
      <c r="DX143" vm="12901">
        <f ca="1"/>
        <v>129.13</v>
      </c>
      <c r="DY143" vm="14279">
        <f ca="1"/>
        <v>128.97</v>
      </c>
      <c r="DZ143" vm="20086">
        <f ca="1"/>
        <v>129.31</v>
      </c>
      <c r="EA143" vm="20083">
        <f ca="1"/>
        <v>130.16999999999999</v>
      </c>
      <c r="EB143" vm="6629">
        <f ca="1"/>
        <v>131.22</v>
      </c>
      <c r="EC143" vm="12271">
        <f ca="1"/>
        <v>131.53</v>
      </c>
      <c r="ED143" vm="20087">
        <f ca="1"/>
        <v>132.19</v>
      </c>
      <c r="EE143" vm="20088">
        <f ca="1"/>
        <v>131.94999999999999</v>
      </c>
      <c r="EF143" vm="6453">
        <f ca="1"/>
        <v>132.16</v>
      </c>
      <c r="EG143" vm="12912">
        <f ca="1"/>
        <v>132.04</v>
      </c>
      <c r="EH143" vm="20089">
        <f ca="1"/>
        <v>131.00530000000001</v>
      </c>
      <c r="EI143" vm="20090">
        <f ca="1"/>
        <v>131.19999999999999</v>
      </c>
      <c r="EJ143" vm="1296">
        <f ca="1"/>
        <v>130.83000000000001</v>
      </c>
      <c r="EK143" vm="20091">
        <f ca="1"/>
        <v>130.61000000000001</v>
      </c>
      <c r="EL143" vm="12370">
        <f ca="1"/>
        <v>130.71</v>
      </c>
      <c r="EM143" vm="6451">
        <f ca="1"/>
        <v>130.55000000000001</v>
      </c>
      <c r="EN143" vm="20092">
        <f ca="1"/>
        <v>129.75880000000001</v>
      </c>
      <c r="EO143" vm="20093">
        <f ca="1"/>
        <v>129.09</v>
      </c>
      <c r="EP143" vm="20094">
        <f ca="1"/>
        <v>128.73159999999999</v>
      </c>
      <c r="EQ143" vm="6493">
        <f ca="1"/>
        <v>129.01</v>
      </c>
      <c r="ER143" vm="14706">
        <f ca="1"/>
        <v>129.04</v>
      </c>
      <c r="ES143" vm="20095">
        <f ca="1"/>
        <v>128.99</v>
      </c>
      <c r="ET143" vm="20096">
        <f ca="1"/>
        <v>129.73670000000001</v>
      </c>
      <c r="EU143" vm="6494">
        <f ca="1"/>
        <v>130.16</v>
      </c>
      <c r="EV143" vm="20097">
        <f ca="1"/>
        <v>130.66030000000001</v>
      </c>
      <c r="EW143" vm="20098">
        <f ca="1"/>
        <v>129.9999</v>
      </c>
      <c r="EX143" vm="20099">
        <f ca="1"/>
        <v>129.27330000000001</v>
      </c>
      <c r="EY143" vm="8380">
        <f ca="1"/>
        <v>128.5</v>
      </c>
      <c r="EZ143" vm="20100">
        <f ca="1"/>
        <v>128.56200000000001</v>
      </c>
      <c r="FA143" vm="20101">
        <f ca="1"/>
        <v>127.45</v>
      </c>
      <c r="FB143" vm="14741">
        <f ca="1"/>
        <v>127.1</v>
      </c>
      <c r="FC143" vm="20102">
        <f ca="1"/>
        <v>127.4481</v>
      </c>
      <c r="FD143" vm="20103">
        <f ca="1"/>
        <v>127.5253</v>
      </c>
      <c r="FE143" vm="20104">
        <f ca="1"/>
        <v>127.7598</v>
      </c>
      <c r="FF143" vm="20105">
        <f ca="1"/>
        <v>128.35599999999999</v>
      </c>
      <c r="FG143" vm="20106">
        <f ca="1"/>
        <v>129.13419999999999</v>
      </c>
      <c r="FH143" vm="20107">
        <f ca="1"/>
        <v>129.2568</v>
      </c>
      <c r="FI143" vm="20108">
        <f ca="1"/>
        <v>129.04570000000001</v>
      </c>
      <c r="FJ143" vm="20109">
        <f ca="1"/>
        <v>129.72730000000001</v>
      </c>
      <c r="FK143" vm="20110">
        <f ca="1"/>
        <v>130.47559999999999</v>
      </c>
      <c r="FL143" vm="6600">
        <f ca="1"/>
        <v>130.12</v>
      </c>
      <c r="FM143" vm="6495">
        <f ca="1"/>
        <v>130.29</v>
      </c>
      <c r="FN143" vm="20111">
        <f ca="1"/>
        <v>129.86000000000001</v>
      </c>
      <c r="FO143" vm="12382">
        <f ca="1"/>
        <v>129.69999999999999</v>
      </c>
      <c r="FP143" vm="20112">
        <f ca="1"/>
        <v>129.38499999999999</v>
      </c>
      <c r="FQ143" vm="12399">
        <f ca="1"/>
        <v>129.03</v>
      </c>
      <c r="FR143" vm="17803">
        <f ca="1"/>
        <v>130.01</v>
      </c>
      <c r="FS143" vm="17795">
        <f ca="1"/>
        <v>129.43</v>
      </c>
      <c r="FT143" vm="12161">
        <f ca="1"/>
        <v>129.71</v>
      </c>
      <c r="FU143" vm="1309">
        <f ca="1"/>
        <v>129.88</v>
      </c>
      <c r="FV143" vm="20113">
        <f ca="1"/>
        <v>130.01499999999999</v>
      </c>
      <c r="FW143" vm="20114">
        <f ca="1"/>
        <v>130.04839999999999</v>
      </c>
      <c r="FX143" vm="20115">
        <f ca="1"/>
        <v>128.6378</v>
      </c>
      <c r="FY143" vm="3039">
        <f ca="1"/>
        <v>129.11000000000001</v>
      </c>
      <c r="FZ143" vm="12897">
        <f ca="1"/>
        <v>129.05000000000001</v>
      </c>
      <c r="GA143" vm="20116">
        <f ca="1"/>
        <v>129.74850000000001</v>
      </c>
      <c r="GB143" vm="20117">
        <f ca="1"/>
        <v>130.2217</v>
      </c>
      <c r="GC143" vm="20118">
        <f ca="1"/>
        <v>129.94589999999999</v>
      </c>
      <c r="GD143" vm="20119">
        <f ca="1"/>
        <v>130.0455</v>
      </c>
      <c r="GE143" vm="8397">
        <f ca="1"/>
        <v>130.49</v>
      </c>
      <c r="GF143" vm="20120">
        <f ca="1"/>
        <v>130.38</v>
      </c>
      <c r="GG143" vm="20084">
        <f ca="1"/>
        <v>130.80000000000001</v>
      </c>
      <c r="GH143" vm="12911">
        <f ca="1"/>
        <v>131.22999999999999</v>
      </c>
      <c r="GI143" vm="20121">
        <f ca="1"/>
        <v>131.13140000000001</v>
      </c>
      <c r="GJ143" vm="20122">
        <f ca="1"/>
        <v>130.29220000000001</v>
      </c>
      <c r="GK143" vm="20123">
        <f ca="1"/>
        <v>129.59</v>
      </c>
      <c r="GL143" vm="20124">
        <f ca="1"/>
        <v>130.02780000000001</v>
      </c>
      <c r="GM143" vm="20125">
        <f ca="1"/>
        <v>130.11660000000001</v>
      </c>
      <c r="GN143" vm="20126">
        <f ca="1"/>
        <v>129.345</v>
      </c>
      <c r="GO143" vm="20127">
        <f ca="1"/>
        <v>128.37</v>
      </c>
      <c r="GP143" vm="20095">
        <f ca="1"/>
        <v>128.99</v>
      </c>
      <c r="GQ143" vm="14412">
        <f ca="1"/>
        <v>129.32</v>
      </c>
      <c r="GR143" vm="17795">
        <f ca="1"/>
        <v>129.43</v>
      </c>
      <c r="GS143" vm="12315">
        <f ca="1"/>
        <v>129.51</v>
      </c>
      <c r="GT143" vm="20128">
        <f ca="1"/>
        <v>129.1619</v>
      </c>
      <c r="GU143" vm="12393">
        <f ca="1"/>
        <v>129.54</v>
      </c>
      <c r="GV143" vm="17796">
        <f ca="1"/>
        <v>129.53</v>
      </c>
      <c r="GW143" vm="12362">
        <f ca="1"/>
        <v>128.96</v>
      </c>
      <c r="GX143" vm="14435">
        <f ca="1"/>
        <v>128.76</v>
      </c>
      <c r="GY143" vm="12364">
        <f ca="1"/>
        <v>127.78</v>
      </c>
      <c r="GZ143" vm="1288">
        <f ca="1"/>
        <v>128.30000000000001</v>
      </c>
      <c r="HA143" vm="9395">
        <f ca="1"/>
        <v>128.22</v>
      </c>
      <c r="HB143" vm="14689">
        <f ca="1"/>
        <v>128.13</v>
      </c>
      <c r="HC143" vm="20129">
        <f ca="1"/>
        <v>128.73439999999999</v>
      </c>
      <c r="HD143" vm="20130">
        <f ca="1"/>
        <v>129.19999999999999</v>
      </c>
      <c r="HE143" vm="20131">
        <f ca="1"/>
        <v>129.21209999999999</v>
      </c>
      <c r="HF143" vm="20132">
        <f ca="1"/>
        <v>128.94</v>
      </c>
      <c r="HG143" vm="20133">
        <f ca="1"/>
        <v>128.626</v>
      </c>
      <c r="HH143" vm="3037">
        <f ca="1"/>
        <v>128.51</v>
      </c>
      <c r="HI143" vm="20134">
        <f ca="1"/>
        <v>128.1739</v>
      </c>
      <c r="HJ143" vm="20135">
        <f ca="1"/>
        <v>128.06229999999999</v>
      </c>
      <c r="HK143" vm="20136">
        <f ca="1"/>
        <v>128.32839999999999</v>
      </c>
      <c r="HL143" vm="20137">
        <f ca="1"/>
        <v>127.7303</v>
      </c>
      <c r="HM143" vm="12880">
        <f ca="1"/>
        <v>126.96</v>
      </c>
      <c r="HN143" vm="20138">
        <f ca="1"/>
        <v>126.4943</v>
      </c>
      <c r="HO143" vm="20139">
        <f ca="1"/>
        <v>126.44</v>
      </c>
      <c r="HP143" vm="20140">
        <f ca="1"/>
        <v>126.2296</v>
      </c>
      <c r="HQ143" vm="20141">
        <f ca="1"/>
        <v>125.0776</v>
      </c>
      <c r="HR143" vm="14627">
        <f ca="1"/>
        <v>125.41</v>
      </c>
      <c r="HS143" vm="20142">
        <f ca="1"/>
        <v>126.21</v>
      </c>
      <c r="HT143" vm="20143">
        <f ca="1"/>
        <v>126.4842</v>
      </c>
      <c r="HU143" vm="20069">
        <f ca="1"/>
        <v>126.71</v>
      </c>
      <c r="HV143" vm="12891">
        <f ca="1"/>
        <v>126.51</v>
      </c>
      <c r="HW143" vm="20144">
        <f ca="1"/>
        <v>126.2238</v>
      </c>
      <c r="HX143" vm="20145">
        <f ca="1"/>
        <v>126.75409999999999</v>
      </c>
      <c r="HY143" vm="20146">
        <f ca="1"/>
        <v>126.59310000000001</v>
      </c>
      <c r="HZ143" vm="20147">
        <f ca="1"/>
        <v>126.4759</v>
      </c>
      <c r="IA143" vm="20148">
        <f ca="1"/>
        <v>126.43</v>
      </c>
      <c r="IB143" vm="1725">
        <f ca="1"/>
        <v>125.47</v>
      </c>
      <c r="IC143" vm="3022">
        <f ca="1"/>
        <v>125.6992</v>
      </c>
      <c r="ID143" vm="3023">
        <f ca="1"/>
        <v>126.03740000000001</v>
      </c>
      <c r="IE143" vm="3024">
        <f ca="1"/>
        <v>126.12</v>
      </c>
      <c r="IF143" vm="3025">
        <f ca="1"/>
        <v>126.601</v>
      </c>
      <c r="IG143" vm="3026">
        <f ca="1"/>
        <v>127.3402</v>
      </c>
      <c r="IH143" vm="3027">
        <f ca="1"/>
        <v>127.363</v>
      </c>
      <c r="II143" vm="3028">
        <f ca="1"/>
        <v>126.9161</v>
      </c>
      <c r="IJ143" vm="3029">
        <f ca="1"/>
        <v>126.9255</v>
      </c>
      <c r="IK143" vm="3030">
        <f ca="1"/>
        <v>128.25059999999999</v>
      </c>
      <c r="IL143" vm="3031">
        <f ca="1"/>
        <v>128.05770000000001</v>
      </c>
      <c r="IM143" vm="3032">
        <f ca="1"/>
        <v>128.1</v>
      </c>
      <c r="IN143" vm="3033">
        <f ca="1"/>
        <v>128.05000000000001</v>
      </c>
      <c r="IO143" vm="3034">
        <f ca="1"/>
        <v>127.81</v>
      </c>
      <c r="IP143" vm="3035">
        <f ca="1"/>
        <v>128.66</v>
      </c>
      <c r="IQ143" vm="3036">
        <f ca="1"/>
        <v>128.71</v>
      </c>
      <c r="IR143" vm="3037">
        <f ca="1"/>
        <v>128.51</v>
      </c>
      <c r="IS143" vm="3038">
        <f ca="1"/>
        <v>128.61000000000001</v>
      </c>
      <c r="IT143" vm="3039">
        <f ca="1"/>
        <v>129.11000000000001</v>
      </c>
      <c r="IU143" vm="3035">
        <f ca="1"/>
        <v>128.66</v>
      </c>
      <c r="IV143" vm="3040">
        <f ca="1"/>
        <v>128.72999999999999</v>
      </c>
      <c r="IW143" vm="117">
        <f ca="1"/>
        <v>128.63570000000001</v>
      </c>
    </row>
    <row r="144" spans="1:257" ht="16" x14ac:dyDescent="0.2">
      <c r="A144" t="e" vm="3041">
        <v>#VALUE!</v>
      </c>
      <c r="B144" s="23" t="str" cm="1">
        <f t="array" aca="1" ref="B144" ca="1">_FV(A144,"ticker symbol",TRUE)</f>
        <v>FXA</v>
      </c>
      <c r="C144" s="23" t="str" cm="1">
        <f t="array" aca="1" ref="C144" ca="1">_FV(A144,"Name")</f>
        <v>Invesco:AU Dollar</v>
      </c>
      <c r="D144" cm="1" vm="20149">
        <f t="array" aca="1" ref="D144:IW144" ca="1">TRANSPOSE(_xlfn.STOCKHISTORY(B144, WORKDAY(TODAY(), -265), TODAY(), 0, 0, 1))</f>
        <v>63.079799999999999</v>
      </c>
      <c r="E144" vm="20150">
        <f ca="1"/>
        <v>62.7318</v>
      </c>
      <c r="F144" vm="13414">
        <f ca="1"/>
        <v>61.67</v>
      </c>
      <c r="G144" vm="20151">
        <f ca="1"/>
        <v>61.819699999999997</v>
      </c>
      <c r="H144" vm="2538">
        <f ca="1"/>
        <v>61.97</v>
      </c>
      <c r="I144" vm="20152">
        <f ca="1"/>
        <v>61.936100000000003</v>
      </c>
      <c r="J144" vm="20153">
        <f ca="1"/>
        <v>61.72</v>
      </c>
      <c r="K144" vm="13414">
        <f ca="1"/>
        <v>61.67</v>
      </c>
      <c r="L144" vm="20154">
        <f ca="1"/>
        <v>61.590299999999999</v>
      </c>
      <c r="M144" vm="20155">
        <f ca="1"/>
        <v>61.6676</v>
      </c>
      <c r="N144" vm="2535">
        <f ca="1"/>
        <v>61.33</v>
      </c>
      <c r="O144" vm="20156">
        <f ca="1"/>
        <v>61.412700000000001</v>
      </c>
      <c r="P144" vm="20157">
        <f ca="1"/>
        <v>61.5687</v>
      </c>
      <c r="Q144" vm="20158">
        <f ca="1"/>
        <v>61.798900000000003</v>
      </c>
      <c r="R144" vm="20159">
        <f ca="1"/>
        <v>61.6997</v>
      </c>
      <c r="S144" vm="8701">
        <f ca="1"/>
        <v>61.54</v>
      </c>
      <c r="T144" vm="20160">
        <f ca="1"/>
        <v>60.862699999999997</v>
      </c>
      <c r="U144" vm="1660">
        <f ca="1"/>
        <v>61.01</v>
      </c>
      <c r="V144" vm="20161">
        <f ca="1"/>
        <v>61.290399999999998</v>
      </c>
      <c r="W144" vm="2727">
        <f ca="1"/>
        <v>61.68</v>
      </c>
      <c r="X144" vm="20162">
        <f ca="1"/>
        <v>61.495899999999999</v>
      </c>
      <c r="Y144" vm="17863">
        <f ca="1"/>
        <v>61.39</v>
      </c>
      <c r="Z144" vm="11372">
        <f ca="1"/>
        <v>62.13</v>
      </c>
      <c r="AA144" vm="20163">
        <f ca="1"/>
        <v>62.1434</v>
      </c>
      <c r="AB144" vm="20164">
        <f ca="1"/>
        <v>62.2639</v>
      </c>
      <c r="AC144" vm="8859">
        <f ca="1"/>
        <v>62.56</v>
      </c>
      <c r="AD144" vm="20165">
        <f ca="1"/>
        <v>62.308</v>
      </c>
      <c r="AE144" vm="20166">
        <f ca="1"/>
        <v>61.9726</v>
      </c>
      <c r="AF144" vm="11090">
        <f ca="1"/>
        <v>61.7</v>
      </c>
      <c r="AG144" vm="20167">
        <f ca="1"/>
        <v>61.603200000000001</v>
      </c>
      <c r="AH144" vm="20168">
        <f ca="1"/>
        <v>61.588900000000002</v>
      </c>
      <c r="AI144" vm="1105">
        <f ca="1"/>
        <v>61.22</v>
      </c>
      <c r="AJ144" vm="8706">
        <f ca="1"/>
        <v>61.98</v>
      </c>
      <c r="AK144" vm="8861">
        <f ca="1"/>
        <v>62.23</v>
      </c>
      <c r="AL144" vm="9717">
        <f ca="1"/>
        <v>62.22</v>
      </c>
      <c r="AM144" vm="20169">
        <f ca="1"/>
        <v>62.085900000000002</v>
      </c>
      <c r="AN144" vm="11373">
        <f ca="1"/>
        <v>62.15</v>
      </c>
      <c r="AO144" vm="13865">
        <f ca="1"/>
        <v>62.37</v>
      </c>
      <c r="AP144" vm="20170">
        <f ca="1"/>
        <v>62.2288</v>
      </c>
      <c r="AQ144" vm="20171">
        <f ca="1"/>
        <v>62.587699999999998</v>
      </c>
      <c r="AR144" vm="9716">
        <f ca="1"/>
        <v>62.96</v>
      </c>
      <c r="AS144" vm="20172">
        <f ca="1"/>
        <v>62.902200000000001</v>
      </c>
      <c r="AT144" vm="20173">
        <f ca="1"/>
        <v>62.870800000000003</v>
      </c>
      <c r="AU144" vm="20174">
        <f ca="1"/>
        <v>63.423999999999999</v>
      </c>
      <c r="AV144" vm="8662">
        <f ca="1"/>
        <v>62.97</v>
      </c>
      <c r="AW144" vm="20175">
        <f ca="1"/>
        <v>62.865699999999997</v>
      </c>
      <c r="AX144" vm="11391">
        <f ca="1"/>
        <v>62.83</v>
      </c>
      <c r="AY144" vm="20176">
        <f ca="1"/>
        <v>62.4298</v>
      </c>
      <c r="AZ144" vm="20177">
        <f ca="1"/>
        <v>61.81</v>
      </c>
      <c r="BA144" vm="11088">
        <f ca="1"/>
        <v>61.51</v>
      </c>
      <c r="BB144" vm="20178">
        <f ca="1"/>
        <v>61.569099999999999</v>
      </c>
      <c r="BC144" vm="13418">
        <f ca="1"/>
        <v>61.9</v>
      </c>
      <c r="BD144" vm="20179">
        <f ca="1"/>
        <v>62.788400000000003</v>
      </c>
      <c r="BE144" vm="1465">
        <f ca="1"/>
        <v>62.7</v>
      </c>
      <c r="BF144" vm="8645">
        <f ca="1"/>
        <v>62.49</v>
      </c>
      <c r="BG144" vm="20180">
        <f ca="1"/>
        <v>62.209200000000003</v>
      </c>
      <c r="BH144" vm="20181">
        <f ca="1"/>
        <v>62.402700000000003</v>
      </c>
      <c r="BI144" vm="20182">
        <f ca="1"/>
        <v>62.5749</v>
      </c>
      <c r="BJ144" vm="20183">
        <f ca="1"/>
        <v>62.240600000000001</v>
      </c>
      <c r="BK144" vm="20184">
        <f ca="1"/>
        <v>62.665100000000002</v>
      </c>
      <c r="BL144" vm="8809">
        <f ca="1"/>
        <v>63.24</v>
      </c>
      <c r="BM144" vm="20185">
        <f ca="1"/>
        <v>63.0244</v>
      </c>
      <c r="BN144" vm="20186">
        <f ca="1"/>
        <v>62.912500000000001</v>
      </c>
      <c r="BO144" vm="20187">
        <f ca="1"/>
        <v>62.45</v>
      </c>
      <c r="BP144" vm="11373">
        <f ca="1"/>
        <v>62.15</v>
      </c>
      <c r="BQ144" vm="8627">
        <f ca="1"/>
        <v>62.24</v>
      </c>
      <c r="BR144" vm="11396">
        <f ca="1"/>
        <v>62.39</v>
      </c>
      <c r="BS144" vm="20188">
        <f ca="1"/>
        <v>62.329500000000003</v>
      </c>
      <c r="BT144" vm="19985">
        <f ca="1"/>
        <v>62.42</v>
      </c>
      <c r="BU144" vm="20189">
        <f ca="1"/>
        <v>62.281500000000001</v>
      </c>
      <c r="BV144" vm="20190">
        <f ca="1"/>
        <v>61.917999999999999</v>
      </c>
      <c r="BW144" vm="20191">
        <f ca="1"/>
        <v>62.110100000000003</v>
      </c>
      <c r="BX144" vm="20192">
        <f ca="1"/>
        <v>62.324800000000003</v>
      </c>
      <c r="BY144" vm="13432">
        <f ca="1"/>
        <v>62.53</v>
      </c>
      <c r="BZ144" vm="1645">
        <f ca="1"/>
        <v>59.8</v>
      </c>
      <c r="CA144" vm="20193">
        <f ca="1"/>
        <v>59.189900000000002</v>
      </c>
      <c r="CB144" vm="2963">
        <f ca="1"/>
        <v>59.06</v>
      </c>
      <c r="CC144" vm="20194">
        <f ca="1"/>
        <v>60.821800000000003</v>
      </c>
      <c r="CD144" vm="14129">
        <f ca="1"/>
        <v>61.58</v>
      </c>
      <c r="CE144" vm="20195">
        <f ca="1"/>
        <v>62.330300000000001</v>
      </c>
      <c r="CF144" vm="1598">
        <f ca="1"/>
        <v>62.76</v>
      </c>
      <c r="CG144" vm="11375">
        <f ca="1"/>
        <v>62.87</v>
      </c>
      <c r="CH144" vm="13877">
        <f ca="1"/>
        <v>63.12</v>
      </c>
      <c r="CI144" vm="20196">
        <f ca="1"/>
        <v>63.293999999999997</v>
      </c>
      <c r="CJ144" vm="11388">
        <f ca="1"/>
        <v>63.63</v>
      </c>
      <c r="CK144" vm="20197">
        <f ca="1"/>
        <v>63.044499999999999</v>
      </c>
      <c r="CL144" vm="20198">
        <f ca="1"/>
        <v>63.026299999999999</v>
      </c>
      <c r="CM144" vm="20199">
        <f ca="1"/>
        <v>63.471699999999998</v>
      </c>
      <c r="CN144" vm="20200">
        <f ca="1"/>
        <v>63.420200000000001</v>
      </c>
      <c r="CO144" vm="11453">
        <f ca="1"/>
        <v>63.77</v>
      </c>
      <c r="CP144" vm="13863">
        <f ca="1"/>
        <v>63.26</v>
      </c>
      <c r="CQ144" vm="8711">
        <f ca="1"/>
        <v>63.47</v>
      </c>
      <c r="CR144" vm="20201">
        <f ca="1"/>
        <v>63.216900000000003</v>
      </c>
      <c r="CS144" vm="17910">
        <f ca="1"/>
        <v>63.82</v>
      </c>
      <c r="CT144" vm="20202">
        <f ca="1"/>
        <v>64.060199999999995</v>
      </c>
      <c r="CU144" vm="20203">
        <f ca="1"/>
        <v>64.368399999999994</v>
      </c>
      <c r="CV144" vm="20204">
        <f ca="1"/>
        <v>63.709000000000003</v>
      </c>
      <c r="CW144" vm="8658">
        <f ca="1"/>
        <v>63.38</v>
      </c>
      <c r="CX144" vm="20205">
        <f ca="1"/>
        <v>63.490200000000002</v>
      </c>
      <c r="CY144" vm="20206">
        <f ca="1"/>
        <v>63.0837</v>
      </c>
      <c r="CZ144" vm="13102">
        <f ca="1"/>
        <v>64.150000000000006</v>
      </c>
      <c r="DA144" vm="20207">
        <f ca="1"/>
        <v>63.671399999999998</v>
      </c>
      <c r="DB144" vm="20208">
        <f ca="1"/>
        <v>63.450200000000002</v>
      </c>
      <c r="DC144" vm="8814">
        <f ca="1"/>
        <v>63.45</v>
      </c>
      <c r="DD144" vm="15838">
        <f ca="1"/>
        <v>63.99</v>
      </c>
      <c r="DE144" vm="1470">
        <f ca="1"/>
        <v>63.62</v>
      </c>
      <c r="DF144" vm="11431">
        <f ca="1"/>
        <v>63.76</v>
      </c>
      <c r="DG144" vm="8853">
        <f ca="1"/>
        <v>63.52</v>
      </c>
      <c r="DH144" vm="19544">
        <f ca="1"/>
        <v>64.39</v>
      </c>
      <c r="DI144" vm="8659">
        <f ca="1"/>
        <v>63.86</v>
      </c>
      <c r="DJ144" vm="8714">
        <f ca="1"/>
        <v>63.7</v>
      </c>
      <c r="DK144" vm="20209">
        <f ca="1"/>
        <v>63.895000000000003</v>
      </c>
      <c r="DL144" vm="20210">
        <f ca="1"/>
        <v>63.878999999999998</v>
      </c>
      <c r="DM144" vm="11430">
        <f ca="1"/>
        <v>64.319999999999993</v>
      </c>
      <c r="DN144" vm="20211">
        <f ca="1"/>
        <v>63.992600000000003</v>
      </c>
      <c r="DO144" vm="20212">
        <f ca="1"/>
        <v>64.31</v>
      </c>
      <c r="DP144" vm="8854">
        <f ca="1"/>
        <v>64.45</v>
      </c>
      <c r="DQ144" vm="1153">
        <f ca="1"/>
        <v>64.349999999999994</v>
      </c>
      <c r="DR144" vm="19993">
        <f ca="1"/>
        <v>64.58</v>
      </c>
      <c r="DS144" vm="8850">
        <f ca="1"/>
        <v>64.61</v>
      </c>
      <c r="DT144" vm="20213">
        <f ca="1"/>
        <v>64.365700000000004</v>
      </c>
      <c r="DU144" vm="11384">
        <f ca="1"/>
        <v>64.67</v>
      </c>
      <c r="DV144" vm="11442">
        <f ca="1"/>
        <v>64.34</v>
      </c>
      <c r="DW144" vm="17937">
        <f ca="1"/>
        <v>64.59</v>
      </c>
      <c r="DX144" vm="20214">
        <f ca="1"/>
        <v>64.140299999999996</v>
      </c>
      <c r="DY144" vm="9724">
        <f ca="1"/>
        <v>64.400000000000006</v>
      </c>
      <c r="DZ144" vm="9660">
        <f ca="1"/>
        <v>63.91</v>
      </c>
      <c r="EA144" vm="20215">
        <f ca="1"/>
        <v>63.9574</v>
      </c>
      <c r="EB144" vm="1469">
        <f ca="1"/>
        <v>64.36</v>
      </c>
      <c r="EC144" vm="20216">
        <f ca="1"/>
        <v>64.502499999999998</v>
      </c>
      <c r="ED144" vm="10170">
        <f ca="1"/>
        <v>64.89</v>
      </c>
      <c r="EE144" vm="20217">
        <f ca="1"/>
        <v>64.6434</v>
      </c>
      <c r="EF144" vm="20218">
        <f ca="1"/>
        <v>65.211699999999993</v>
      </c>
      <c r="EG144" vm="20219">
        <f ca="1"/>
        <v>65.11</v>
      </c>
      <c r="EH144" vm="11441">
        <f ca="1"/>
        <v>65.23</v>
      </c>
      <c r="EI144" vm="20220">
        <f ca="1"/>
        <v>65.069199999999995</v>
      </c>
      <c r="EJ144" vm="9725">
        <f ca="1"/>
        <v>64.38</v>
      </c>
      <c r="EK144" vm="20221">
        <f ca="1"/>
        <v>64.649299999999997</v>
      </c>
      <c r="EL144" vm="15734">
        <f ca="1"/>
        <v>64.8</v>
      </c>
      <c r="EM144" vm="20222">
        <f ca="1"/>
        <v>65.244100000000003</v>
      </c>
      <c r="EN144" vm="20223">
        <f ca="1"/>
        <v>65.119500000000002</v>
      </c>
      <c r="EO144" vm="15734">
        <f ca="1"/>
        <v>64.8</v>
      </c>
      <c r="EP144" vm="11443">
        <f ca="1"/>
        <v>64.52</v>
      </c>
      <c r="EQ144" vm="20224">
        <f ca="1"/>
        <v>64.643100000000004</v>
      </c>
      <c r="ER144" vm="20225">
        <f ca="1"/>
        <v>64.285399999999996</v>
      </c>
      <c r="ES144" vm="20226">
        <f ca="1"/>
        <v>64.420599999999993</v>
      </c>
      <c r="ET144" vm="20227">
        <f ca="1"/>
        <v>64.599500000000006</v>
      </c>
      <c r="EU144" vm="20228">
        <f ca="1"/>
        <v>64.893799999999999</v>
      </c>
      <c r="EV144" vm="20229">
        <f ca="1"/>
        <v>65.360600000000005</v>
      </c>
      <c r="EW144" vm="20230">
        <f ca="1"/>
        <v>65.301299999999998</v>
      </c>
      <c r="EX144" vm="20231">
        <f ca="1"/>
        <v>64.991500000000002</v>
      </c>
      <c r="EY144" vm="2351">
        <f ca="1"/>
        <v>64.56</v>
      </c>
      <c r="EZ144" vm="20232">
        <f ca="1"/>
        <v>64.504900000000006</v>
      </c>
      <c r="FA144" vm="9722">
        <f ca="1"/>
        <v>63.67</v>
      </c>
      <c r="FB144" vm="20233">
        <f ca="1"/>
        <v>63.641500000000001</v>
      </c>
      <c r="FC144" vm="8712">
        <f ca="1"/>
        <v>63.87</v>
      </c>
      <c r="FD144" vm="8661">
        <f ca="1"/>
        <v>64</v>
      </c>
      <c r="FE144" vm="20234">
        <f ca="1"/>
        <v>64.019800000000004</v>
      </c>
      <c r="FF144" vm="20235">
        <f ca="1"/>
        <v>64.359700000000004</v>
      </c>
      <c r="FG144" vm="20236">
        <f ca="1"/>
        <v>64.460300000000004</v>
      </c>
      <c r="FH144" vm="3047">
        <f ca="1"/>
        <v>64.55</v>
      </c>
      <c r="FI144" vm="8718">
        <f ca="1"/>
        <v>64.42</v>
      </c>
      <c r="FJ144" vm="20237">
        <f ca="1"/>
        <v>64.633300000000006</v>
      </c>
      <c r="FK144" vm="20238">
        <f ca="1"/>
        <v>64.7774</v>
      </c>
      <c r="FL144" vm="20239">
        <f ca="1"/>
        <v>64.320800000000006</v>
      </c>
      <c r="FM144" vm="20240">
        <f ca="1"/>
        <v>64.430300000000003</v>
      </c>
      <c r="FN144" vm="20241">
        <f ca="1"/>
        <v>64.305099999999996</v>
      </c>
      <c r="FO144" vm="20242">
        <f ca="1"/>
        <v>63.891100000000002</v>
      </c>
      <c r="FP144" vm="20243">
        <f ca="1"/>
        <v>63.706499999999998</v>
      </c>
      <c r="FQ144" vm="20244">
        <f ca="1"/>
        <v>63.576300000000003</v>
      </c>
      <c r="FR144" vm="20245">
        <f ca="1"/>
        <v>64.232699999999994</v>
      </c>
      <c r="FS144" vm="20246">
        <f ca="1"/>
        <v>64.165300000000002</v>
      </c>
      <c r="FT144" vm="20247">
        <f ca="1"/>
        <v>64.302000000000007</v>
      </c>
      <c r="FU144" vm="20248">
        <f ca="1"/>
        <v>64.451999999999998</v>
      </c>
      <c r="FV144" vm="20249">
        <f ca="1"/>
        <v>64.674700000000001</v>
      </c>
      <c r="FW144" vm="15856">
        <f ca="1"/>
        <v>64.83</v>
      </c>
      <c r="FX144" vm="20250">
        <f ca="1"/>
        <v>64.507499999999993</v>
      </c>
      <c r="FY144" vm="20251">
        <f ca="1"/>
        <v>64.729500000000002</v>
      </c>
      <c r="FZ144" vm="20252">
        <f ca="1"/>
        <v>64.490799999999993</v>
      </c>
      <c r="GA144" vm="15856">
        <f ca="1"/>
        <v>64.83</v>
      </c>
      <c r="GB144" vm="20253">
        <f ca="1"/>
        <v>65.248500000000007</v>
      </c>
      <c r="GC144" vm="20254">
        <f ca="1"/>
        <v>65.138300000000001</v>
      </c>
      <c r="GD144" vm="20255">
        <f ca="1"/>
        <v>65.484999999999999</v>
      </c>
      <c r="GE144" vm="20256">
        <f ca="1"/>
        <v>65.953000000000003</v>
      </c>
      <c r="GF144" vm="20257">
        <f ca="1"/>
        <v>65.839600000000004</v>
      </c>
      <c r="GG144" vm="20258">
        <f ca="1"/>
        <v>66.0441</v>
      </c>
      <c r="GH144" vm="20259">
        <f ca="1"/>
        <v>66.134299999999996</v>
      </c>
      <c r="GI144" vm="11409">
        <f ca="1"/>
        <v>65.900000000000006</v>
      </c>
      <c r="GJ144" vm="20260">
        <f ca="1"/>
        <v>65.474199999999996</v>
      </c>
      <c r="GK144" vm="20261">
        <f ca="1"/>
        <v>65.304000000000002</v>
      </c>
      <c r="GL144" vm="20262">
        <f ca="1"/>
        <v>65.378200000000007</v>
      </c>
      <c r="GM144" vm="20263">
        <f ca="1"/>
        <v>65.3476</v>
      </c>
      <c r="GN144" vm="20264">
        <f ca="1"/>
        <v>65.168599999999998</v>
      </c>
      <c r="GO144" vm="20265">
        <f ca="1"/>
        <v>64.729799999999997</v>
      </c>
      <c r="GP144" vm="20266">
        <f ca="1"/>
        <v>64.886300000000006</v>
      </c>
      <c r="GQ144" vm="20267">
        <f ca="1"/>
        <v>65.159300000000002</v>
      </c>
      <c r="GR144" vm="20268">
        <f ca="1"/>
        <v>65.522800000000004</v>
      </c>
      <c r="GS144" vm="9727">
        <f ca="1"/>
        <v>65.44</v>
      </c>
      <c r="GT144" vm="20269">
        <f ca="1"/>
        <v>65.270099999999999</v>
      </c>
      <c r="GU144" vm="20270">
        <f ca="1"/>
        <v>65.364400000000003</v>
      </c>
      <c r="GV144" vm="8745">
        <f ca="1"/>
        <v>65.489999999999995</v>
      </c>
      <c r="GW144" vm="20271">
        <f ca="1"/>
        <v>65.131100000000004</v>
      </c>
      <c r="GX144" vm="20272">
        <f ca="1"/>
        <v>65.204499999999996</v>
      </c>
      <c r="GY144" vm="20273">
        <f ca="1"/>
        <v>64.852699999999999</v>
      </c>
      <c r="GZ144" vm="20274">
        <f ca="1"/>
        <v>64.173000000000002</v>
      </c>
      <c r="HA144" vm="20275">
        <f ca="1"/>
        <v>64.507199999999997</v>
      </c>
      <c r="HB144" vm="20276">
        <f ca="1"/>
        <v>64.194100000000006</v>
      </c>
      <c r="HC144" vm="20277">
        <f ca="1"/>
        <v>64.433700000000002</v>
      </c>
      <c r="HD144" vm="20278">
        <f ca="1"/>
        <v>64.201300000000003</v>
      </c>
      <c r="HE144" vm="9724">
        <f ca="1"/>
        <v>64.400000000000006</v>
      </c>
      <c r="HF144" vm="1467">
        <f ca="1"/>
        <v>64.47</v>
      </c>
      <c r="HG144" vm="15837">
        <f ca="1"/>
        <v>64.27</v>
      </c>
      <c r="HH144" vm="20279">
        <f ca="1"/>
        <v>64.258399999999995</v>
      </c>
      <c r="HI144" vm="20280">
        <f ca="1"/>
        <v>64.486400000000003</v>
      </c>
      <c r="HJ144" vm="20281">
        <f ca="1"/>
        <v>64.475399999999993</v>
      </c>
      <c r="HK144" vm="14134">
        <f ca="1"/>
        <v>64.92</v>
      </c>
      <c r="HL144" vm="20282">
        <f ca="1"/>
        <v>65.200100000000006</v>
      </c>
      <c r="HM144" vm="20283">
        <f ca="1"/>
        <v>65.079700000000003</v>
      </c>
      <c r="HN144" vm="20284">
        <f ca="1"/>
        <v>64.840500000000006</v>
      </c>
      <c r="HO144" vm="20285">
        <f ca="1"/>
        <v>64.806799999999996</v>
      </c>
      <c r="HP144" vm="20286">
        <f ca="1"/>
        <v>64.721000000000004</v>
      </c>
      <c r="HQ144" vm="20287">
        <f ca="1"/>
        <v>64.205600000000004</v>
      </c>
      <c r="HR144" vm="20288">
        <f ca="1"/>
        <v>64.408299999999997</v>
      </c>
      <c r="HS144" vm="20289">
        <f ca="1"/>
        <v>64.134900000000002</v>
      </c>
      <c r="HT144" vm="20290">
        <f ca="1"/>
        <v>64.317499999999995</v>
      </c>
      <c r="HU144" vm="20291">
        <f ca="1"/>
        <v>64.716999999999999</v>
      </c>
      <c r="HV144" vm="20292">
        <f ca="1"/>
        <v>64.658500000000004</v>
      </c>
      <c r="HW144" vm="20293">
        <f ca="1"/>
        <v>64.785399999999996</v>
      </c>
      <c r="HX144" vm="20294">
        <f ca="1"/>
        <v>64.639600000000002</v>
      </c>
      <c r="HY144" vm="20295">
        <f ca="1"/>
        <v>64.716399999999993</v>
      </c>
      <c r="HZ144" vm="20296">
        <f ca="1"/>
        <v>64.290499999999994</v>
      </c>
      <c r="IA144" vm="8719">
        <f ca="1"/>
        <v>64.489999999999995</v>
      </c>
      <c r="IB144" vm="3042">
        <f ca="1"/>
        <v>64.066999999999993</v>
      </c>
      <c r="IC144" vm="3043">
        <f ca="1"/>
        <v>63.826799999999999</v>
      </c>
      <c r="ID144" vm="3044">
        <f ca="1"/>
        <v>63.941699999999997</v>
      </c>
      <c r="IE144" vm="3045">
        <f ca="1"/>
        <v>64.062299999999993</v>
      </c>
      <c r="IF144" vm="3046">
        <f ca="1"/>
        <v>64.070599999999999</v>
      </c>
      <c r="IG144" vm="3047">
        <f ca="1"/>
        <v>64.55</v>
      </c>
      <c r="IH144" vm="3048">
        <f ca="1"/>
        <v>64.8827</v>
      </c>
      <c r="II144" vm="3049">
        <f ca="1"/>
        <v>64.760300000000001</v>
      </c>
      <c r="IJ144" vm="3050">
        <f ca="1"/>
        <v>65.011600000000001</v>
      </c>
      <c r="IK144" vm="3051">
        <f ca="1"/>
        <v>65.364599999999996</v>
      </c>
      <c r="IL144" vm="3052">
        <f ca="1"/>
        <v>65.466200000000001</v>
      </c>
      <c r="IM144" vm="3053">
        <f ca="1"/>
        <v>65.723600000000005</v>
      </c>
      <c r="IN144" vm="3054">
        <f ca="1"/>
        <v>65.595299999999995</v>
      </c>
      <c r="IO144" vm="3055">
        <f ca="1"/>
        <v>65.760099999999994</v>
      </c>
      <c r="IP144" vm="3056">
        <f ca="1"/>
        <v>66.162300000000002</v>
      </c>
      <c r="IQ144" vm="3057">
        <f ca="1"/>
        <v>65.985600000000005</v>
      </c>
      <c r="IR144" vm="3058">
        <f ca="1"/>
        <v>65.866</v>
      </c>
      <c r="IS144" vm="3059">
        <f ca="1"/>
        <v>65.77</v>
      </c>
      <c r="IT144" vm="3060">
        <f ca="1"/>
        <v>65.721800000000002</v>
      </c>
      <c r="IU144" vm="3061">
        <f ca="1"/>
        <v>65.417500000000004</v>
      </c>
      <c r="IV144" vm="3062">
        <f ca="1"/>
        <v>65.482399999999998</v>
      </c>
      <c r="IW144" vm="119">
        <f ca="1"/>
        <v>65.478399999999993</v>
      </c>
    </row>
    <row r="145" spans="1:257" ht="16" x14ac:dyDescent="0.2">
      <c r="A145" t="e" vm="3063">
        <v>#VALUE!</v>
      </c>
      <c r="B145" s="23" t="str" cm="1">
        <f t="array" aca="1" ref="B145" ca="1">_FV(A145,"ticker symbol",TRUE)</f>
        <v>FXF</v>
      </c>
      <c r="C145" s="23" t="str" cm="1">
        <f t="array" aca="1" ref="C145" ca="1">_FV(A145,"Name")</f>
        <v>Invesco:Swiss Franc</v>
      </c>
      <c r="D145" cm="1" vm="20297">
        <f t="array" aca="1" ref="D145:IW145" ca="1">TRANSPOSE(_xlfn.STOCKHISTORY(B145, WORKDAY(TODAY(), -265), TODAY(), 0, 0, 1))</f>
        <v>99.38</v>
      </c>
      <c r="E145" vm="20298">
        <f ca="1"/>
        <v>99.5017</v>
      </c>
      <c r="F145" vm="20299">
        <f ca="1"/>
        <v>98.640299999999996</v>
      </c>
      <c r="G145" vm="20300">
        <f ca="1"/>
        <v>98.898700000000005</v>
      </c>
      <c r="H145" vm="11923">
        <f ca="1"/>
        <v>99.46</v>
      </c>
      <c r="I145" vm="20301">
        <f ca="1"/>
        <v>98.811199999999999</v>
      </c>
      <c r="J145" vm="20302">
        <f ca="1"/>
        <v>98.602400000000003</v>
      </c>
      <c r="K145" vm="20303">
        <f ca="1"/>
        <v>98.803399999999996</v>
      </c>
      <c r="L145" vm="20304">
        <f ca="1"/>
        <v>98.450900000000004</v>
      </c>
      <c r="M145" vm="4570">
        <f ca="1"/>
        <v>98.26</v>
      </c>
      <c r="N145" vm="20305">
        <f ca="1"/>
        <v>97.860799999999998</v>
      </c>
      <c r="O145" vm="20306">
        <f ca="1"/>
        <v>97.293599999999998</v>
      </c>
      <c r="P145" vm="20307">
        <f ca="1"/>
        <v>97.728700000000003</v>
      </c>
      <c r="Q145" vm="20308">
        <f ca="1"/>
        <v>98.174400000000006</v>
      </c>
      <c r="R145" vm="5519">
        <f ca="1"/>
        <v>97.7</v>
      </c>
      <c r="S145" vm="20309">
        <f ca="1"/>
        <v>97.459400000000002</v>
      </c>
      <c r="T145" vm="20310">
        <f ca="1"/>
        <v>96.870999999999995</v>
      </c>
      <c r="U145" vm="20311">
        <f ca="1"/>
        <v>96.738200000000006</v>
      </c>
      <c r="V145" vm="20312">
        <f ca="1"/>
        <v>97.312799999999996</v>
      </c>
      <c r="W145" vm="13032">
        <f ca="1"/>
        <v>97.3</v>
      </c>
      <c r="X145" vm="5593">
        <f ca="1"/>
        <v>97.45</v>
      </c>
      <c r="Y145" vm="5568">
        <f ca="1"/>
        <v>97.05</v>
      </c>
      <c r="Z145" vm="20313">
        <f ca="1"/>
        <v>98</v>
      </c>
      <c r="AA145" vm="20314">
        <f ca="1"/>
        <v>97.92</v>
      </c>
      <c r="AB145" vm="20315">
        <f ca="1"/>
        <v>97.841999999999999</v>
      </c>
      <c r="AC145" vm="10903">
        <f ca="1"/>
        <v>98.01</v>
      </c>
      <c r="AD145" vm="1047">
        <f ca="1"/>
        <v>98.46</v>
      </c>
      <c r="AE145" vm="20316">
        <f ca="1"/>
        <v>98.209800000000001</v>
      </c>
      <c r="AF145" vm="20317">
        <f ca="1"/>
        <v>97.857699999999994</v>
      </c>
      <c r="AG145" vm="20318">
        <f ca="1"/>
        <v>97.627600000000001</v>
      </c>
      <c r="AH145" vm="20319">
        <f ca="1"/>
        <v>97.496300000000005</v>
      </c>
      <c r="AI145" vm="13032">
        <f ca="1"/>
        <v>97.3</v>
      </c>
      <c r="AJ145" vm="20320">
        <f ca="1"/>
        <v>98.119900000000001</v>
      </c>
      <c r="AK145" vm="20321">
        <f ca="1"/>
        <v>98.535600000000002</v>
      </c>
      <c r="AL145" vm="20322">
        <f ca="1"/>
        <v>98.127899999999997</v>
      </c>
      <c r="AM145" vm="4582">
        <f ca="1"/>
        <v>97.65</v>
      </c>
      <c r="AN145" vm="20323">
        <f ca="1"/>
        <v>97.424099999999996</v>
      </c>
      <c r="AO145" vm="20324">
        <f ca="1"/>
        <v>97.2209</v>
      </c>
      <c r="AP145" vm="20325">
        <f ca="1"/>
        <v>97.230699999999999</v>
      </c>
      <c r="AQ145" vm="4587">
        <f ca="1"/>
        <v>98.28</v>
      </c>
      <c r="AR145" vm="20326">
        <f ca="1"/>
        <v>98.686999999999998</v>
      </c>
      <c r="AS145" vm="20327">
        <f ca="1"/>
        <v>98.25</v>
      </c>
      <c r="AT145" vm="20328">
        <f ca="1"/>
        <v>98.202299999999994</v>
      </c>
      <c r="AU145" vm="10748">
        <f ca="1"/>
        <v>98.879499999999993</v>
      </c>
      <c r="AV145" vm="4567">
        <f ca="1"/>
        <v>98.96</v>
      </c>
      <c r="AW145" vm="1056">
        <f ca="1"/>
        <v>99.01</v>
      </c>
      <c r="AX145" vm="20329">
        <f ca="1"/>
        <v>99.529899999999998</v>
      </c>
      <c r="AY145" vm="20330">
        <f ca="1"/>
        <v>99.347099999999998</v>
      </c>
      <c r="AZ145" vm="20331">
        <f ca="1"/>
        <v>98.77</v>
      </c>
      <c r="BA145" vm="20332">
        <f ca="1"/>
        <v>98.343500000000006</v>
      </c>
      <c r="BB145" vm="20333">
        <f ca="1"/>
        <v>99.08</v>
      </c>
      <c r="BC145" vm="20334">
        <f ca="1"/>
        <v>99.98</v>
      </c>
      <c r="BD145" vm="10870">
        <f ca="1"/>
        <v>99.73</v>
      </c>
      <c r="BE145" vm="3212">
        <f ca="1"/>
        <v>100.54</v>
      </c>
      <c r="BF145" vm="20335">
        <f ca="1"/>
        <v>100.99</v>
      </c>
      <c r="BG145" vm="678">
        <f ca="1"/>
        <v>100.8</v>
      </c>
      <c r="BH145" vm="8258">
        <f ca="1"/>
        <v>100.66</v>
      </c>
      <c r="BI145" vm="20336">
        <f ca="1"/>
        <v>100.6846</v>
      </c>
      <c r="BJ145" vm="3198">
        <f ca="1"/>
        <v>100.56</v>
      </c>
      <c r="BK145" vm="20337">
        <f ca="1"/>
        <v>100.36</v>
      </c>
      <c r="BL145" vm="1910">
        <f ca="1"/>
        <v>100.85</v>
      </c>
      <c r="BM145" vm="20338">
        <f ca="1"/>
        <v>101.36</v>
      </c>
      <c r="BN145" vm="20339">
        <f ca="1"/>
        <v>101.15</v>
      </c>
      <c r="BO145" vm="5599">
        <f ca="1"/>
        <v>100.65</v>
      </c>
      <c r="BP145" vm="3198">
        <f ca="1"/>
        <v>100.56</v>
      </c>
      <c r="BQ145" vm="3211">
        <f ca="1"/>
        <v>100.53</v>
      </c>
      <c r="BR145" vm="3200">
        <f ca="1"/>
        <v>100.6</v>
      </c>
      <c r="BS145" vm="11937">
        <f ca="1"/>
        <v>100.39</v>
      </c>
      <c r="BT145" vm="3203">
        <f ca="1"/>
        <v>100.67</v>
      </c>
      <c r="BU145" vm="20340">
        <f ca="1"/>
        <v>100.71</v>
      </c>
      <c r="BV145" vm="3204">
        <f ca="1"/>
        <v>100.38</v>
      </c>
      <c r="BW145" vm="7934">
        <f ca="1"/>
        <v>100.45</v>
      </c>
      <c r="BX145" vm="3199">
        <f ca="1"/>
        <v>100.58</v>
      </c>
      <c r="BY145" vm="20341">
        <f ca="1"/>
        <v>103.3</v>
      </c>
      <c r="BZ145" vm="20342">
        <f ca="1"/>
        <v>103.05</v>
      </c>
      <c r="CA145" vm="20343">
        <f ca="1"/>
        <v>103.56</v>
      </c>
      <c r="CB145" vm="11969">
        <f ca="1"/>
        <v>104.74</v>
      </c>
      <c r="CC145" vm="8304">
        <f ca="1"/>
        <v>103.53</v>
      </c>
      <c r="CD145" vm="20344">
        <f ca="1"/>
        <v>107.66</v>
      </c>
      <c r="CE145" vm="1071">
        <f ca="1"/>
        <v>108.88</v>
      </c>
      <c r="CF145" vm="17770">
        <f ca="1"/>
        <v>109.13</v>
      </c>
      <c r="CG145" vm="1078">
        <f ca="1"/>
        <v>107.9</v>
      </c>
      <c r="CH145" vm="20345">
        <f ca="1"/>
        <v>109.08</v>
      </c>
      <c r="CI145" vm="8001">
        <f ca="1"/>
        <v>108.37</v>
      </c>
      <c r="CJ145" vm="20346">
        <f ca="1"/>
        <v>109.88</v>
      </c>
      <c r="CK145" vm="11971">
        <f ca="1"/>
        <v>108.47</v>
      </c>
      <c r="CL145" vm="8317">
        <f ca="1"/>
        <v>106.98</v>
      </c>
      <c r="CM145" vm="20347">
        <f ca="1"/>
        <v>107.31</v>
      </c>
      <c r="CN145" vm="3272">
        <f ca="1"/>
        <v>107.2</v>
      </c>
      <c r="CO145" vm="1511">
        <f ca="1"/>
        <v>108.2</v>
      </c>
      <c r="CP145" vm="20348">
        <f ca="1"/>
        <v>107.71</v>
      </c>
      <c r="CQ145" vm="19957">
        <f ca="1"/>
        <v>107.54</v>
      </c>
      <c r="CR145" vm="2990">
        <f ca="1"/>
        <v>106.99</v>
      </c>
      <c r="CS145" vm="1076">
        <f ca="1"/>
        <v>107.41</v>
      </c>
      <c r="CT145" vm="19961">
        <f ca="1"/>
        <v>107.96</v>
      </c>
      <c r="CU145" vm="11973">
        <f ca="1"/>
        <v>108.07</v>
      </c>
      <c r="CV145" vm="7933">
        <f ca="1"/>
        <v>107.83</v>
      </c>
      <c r="CW145" vm="20349">
        <f ca="1"/>
        <v>106.8</v>
      </c>
      <c r="CX145" vm="11993">
        <f ca="1"/>
        <v>106.83</v>
      </c>
      <c r="CY145" vm="20350">
        <f ca="1"/>
        <v>104.93559999999999</v>
      </c>
      <c r="CZ145" vm="8266">
        <f ca="1"/>
        <v>105.63</v>
      </c>
      <c r="DA145" vm="7961">
        <f ca="1"/>
        <v>105.16</v>
      </c>
      <c r="DB145" vm="20351">
        <f ca="1"/>
        <v>106.17</v>
      </c>
      <c r="DC145" vm="13748">
        <f ca="1"/>
        <v>105.68</v>
      </c>
      <c r="DD145" vm="2986">
        <f ca="1"/>
        <v>106.33</v>
      </c>
      <c r="DE145" vm="8261">
        <f ca="1"/>
        <v>106.94</v>
      </c>
      <c r="DF145" vm="19960">
        <f ca="1"/>
        <v>107.47</v>
      </c>
      <c r="DG145" vm="5630">
        <f ca="1"/>
        <v>107.04</v>
      </c>
      <c r="DH145" vm="8272">
        <f ca="1"/>
        <v>108.11</v>
      </c>
      <c r="DI145" vm="9287">
        <f ca="1"/>
        <v>107.18</v>
      </c>
      <c r="DJ145" vm="10953">
        <f ca="1"/>
        <v>107.26</v>
      </c>
      <c r="DK145" vm="20352">
        <f ca="1"/>
        <v>107.7444</v>
      </c>
      <c r="DL145" vm="20353">
        <f ca="1"/>
        <v>107.82</v>
      </c>
      <c r="DM145" vm="11996">
        <f ca="1"/>
        <v>108.65</v>
      </c>
      <c r="DN145" vm="10893">
        <f ca="1"/>
        <v>107.65</v>
      </c>
      <c r="DO145" vm="19968">
        <f ca="1"/>
        <v>108.33</v>
      </c>
      <c r="DP145" vm="8011">
        <f ca="1"/>
        <v>108.1</v>
      </c>
      <c r="DQ145" vm="13040">
        <f ca="1"/>
        <v>107.91</v>
      </c>
      <c r="DR145" vm="20354">
        <f ca="1"/>
        <v>107.97499999999999</v>
      </c>
      <c r="DS145" vm="8271">
        <f ca="1"/>
        <v>107.8</v>
      </c>
      <c r="DT145" vm="1244">
        <f ca="1"/>
        <v>108.09</v>
      </c>
      <c r="DU145" vm="17787">
        <f ca="1"/>
        <v>109.36</v>
      </c>
      <c r="DV145" vm="20355">
        <f ca="1"/>
        <v>109.37</v>
      </c>
      <c r="DW145" vm="20356">
        <f ca="1"/>
        <v>108.92</v>
      </c>
      <c r="DX145" vm="17777">
        <f ca="1"/>
        <v>108.66</v>
      </c>
      <c r="DY145" vm="1073">
        <f ca="1"/>
        <v>108.25</v>
      </c>
      <c r="DZ145" vm="3003">
        <f ca="1"/>
        <v>108.39</v>
      </c>
      <c r="EA145" vm="20357">
        <f ca="1"/>
        <v>109.26</v>
      </c>
      <c r="EB145" vm="3068">
        <f ca="1"/>
        <v>110.12</v>
      </c>
      <c r="EC145" vm="5643">
        <f ca="1"/>
        <v>110.18</v>
      </c>
      <c r="ED145" vm="20358">
        <f ca="1"/>
        <v>110.82</v>
      </c>
      <c r="EE145" vm="20359">
        <f ca="1"/>
        <v>110.87</v>
      </c>
      <c r="EF145" vm="20360">
        <f ca="1"/>
        <v>111.8</v>
      </c>
      <c r="EG145" vm="20361">
        <f ca="1"/>
        <v>111.94</v>
      </c>
      <c r="EH145" vm="20362">
        <f ca="1"/>
        <v>112.08</v>
      </c>
      <c r="EI145" vm="5641">
        <f ca="1"/>
        <v>111.48</v>
      </c>
      <c r="EJ145" vm="20363">
        <f ca="1"/>
        <v>111.09</v>
      </c>
      <c r="EK145" vm="5649">
        <f ca="1"/>
        <v>111.39</v>
      </c>
      <c r="EL145" vm="20364">
        <f ca="1"/>
        <v>111.57</v>
      </c>
      <c r="EM145" vm="20365">
        <f ca="1"/>
        <v>111.26</v>
      </c>
      <c r="EN145" vm="20366">
        <f ca="1"/>
        <v>111.25</v>
      </c>
      <c r="EO145" vm="10832">
        <f ca="1"/>
        <v>111.07</v>
      </c>
      <c r="EP145" vm="8013">
        <f ca="1"/>
        <v>110.52</v>
      </c>
      <c r="EQ145" vm="10837">
        <f ca="1"/>
        <v>110.7</v>
      </c>
      <c r="ER145" vm="20367">
        <f ca="1"/>
        <v>110.2</v>
      </c>
      <c r="ES145" vm="20368">
        <f ca="1"/>
        <v>110.54</v>
      </c>
      <c r="ET145" vm="20369">
        <f ca="1"/>
        <v>111.04</v>
      </c>
      <c r="EU145" vm="382">
        <f ca="1"/>
        <v>111.9</v>
      </c>
      <c r="EV145" vm="382">
        <f ca="1"/>
        <v>111.9</v>
      </c>
      <c r="EW145" vm="20370">
        <f ca="1"/>
        <v>111.51</v>
      </c>
      <c r="EX145" vm="20371">
        <f ca="1"/>
        <v>111.46</v>
      </c>
      <c r="EY145" vm="20372">
        <f ca="1"/>
        <v>110.3</v>
      </c>
      <c r="EZ145" vm="381">
        <f ca="1"/>
        <v>109.97</v>
      </c>
      <c r="FA145" vm="20373">
        <f ca="1"/>
        <v>108.84</v>
      </c>
      <c r="FB145" vm="20374">
        <f ca="1"/>
        <v>109.06</v>
      </c>
      <c r="FC145" vm="20375">
        <f ca="1"/>
        <v>110.05</v>
      </c>
      <c r="FD145" vm="20376">
        <f ca="1"/>
        <v>109.66</v>
      </c>
      <c r="FE145" vm="11986">
        <f ca="1"/>
        <v>109.75</v>
      </c>
      <c r="FF145" vm="7990">
        <f ca="1"/>
        <v>109.81</v>
      </c>
      <c r="FG145" vm="10985">
        <f ca="1"/>
        <v>109.82</v>
      </c>
      <c r="FH145" vm="1074">
        <f ca="1"/>
        <v>109.59</v>
      </c>
      <c r="FI145" vm="7989">
        <f ca="1"/>
        <v>108.99</v>
      </c>
      <c r="FJ145" vm="20377">
        <f ca="1"/>
        <v>109.89</v>
      </c>
      <c r="FK145" vm="8320">
        <f ca="1"/>
        <v>109.96</v>
      </c>
      <c r="FL145" vm="20378">
        <f ca="1"/>
        <v>109.68170000000001</v>
      </c>
      <c r="FM145" vm="10985">
        <f ca="1"/>
        <v>109.82</v>
      </c>
      <c r="FN145" vm="11986">
        <f ca="1"/>
        <v>109.75</v>
      </c>
      <c r="FO145" vm="20379">
        <f ca="1"/>
        <v>109.65600000000001</v>
      </c>
      <c r="FP145" vm="20367">
        <f ca="1"/>
        <v>110.2</v>
      </c>
      <c r="FQ145" vm="20380">
        <f ca="1"/>
        <v>109.45</v>
      </c>
      <c r="FR145" vm="20368">
        <f ca="1"/>
        <v>110.54</v>
      </c>
      <c r="FS145" vm="20381">
        <f ca="1"/>
        <v>109.77</v>
      </c>
      <c r="FT145" vm="11997">
        <f ca="1"/>
        <v>110.28</v>
      </c>
      <c r="FU145" vm="10844">
        <f ca="1"/>
        <v>110.41</v>
      </c>
      <c r="FV145" vm="20382">
        <f ca="1"/>
        <v>110.46</v>
      </c>
      <c r="FW145" vm="1240">
        <f ca="1"/>
        <v>110.72</v>
      </c>
      <c r="FX145" vm="20383">
        <f ca="1"/>
        <v>110.06</v>
      </c>
      <c r="FY145" vm="20384">
        <f ca="1"/>
        <v>110.16</v>
      </c>
      <c r="FZ145" vm="20385">
        <f ca="1"/>
        <v>109.93</v>
      </c>
      <c r="GA145" vm="20386">
        <f ca="1"/>
        <v>110.94</v>
      </c>
      <c r="GB145" vm="11998">
        <f ca="1"/>
        <v>111.71</v>
      </c>
      <c r="GC145" vm="20387">
        <f ca="1"/>
        <v>111.08499999999999</v>
      </c>
      <c r="GD145" vm="20388">
        <f ca="1"/>
        <v>110.84</v>
      </c>
      <c r="GE145" vm="20389">
        <f ca="1"/>
        <v>111.30500000000001</v>
      </c>
      <c r="GF145" vm="20390">
        <f ca="1"/>
        <v>111.28</v>
      </c>
      <c r="GG145" vm="20364">
        <f ca="1"/>
        <v>111.57</v>
      </c>
      <c r="GH145" vm="20391">
        <f ca="1"/>
        <v>112.68980000000001</v>
      </c>
      <c r="GI145" vm="20392">
        <f ca="1"/>
        <v>112.36</v>
      </c>
      <c r="GJ145" vm="20393">
        <f ca="1"/>
        <v>111.68</v>
      </c>
      <c r="GK145" vm="10977">
        <f ca="1"/>
        <v>111.32</v>
      </c>
      <c r="GL145" vm="20360">
        <f ca="1"/>
        <v>111.8</v>
      </c>
      <c r="GM145" vm="20361">
        <f ca="1"/>
        <v>111.94</v>
      </c>
      <c r="GN145" vm="20394">
        <f ca="1"/>
        <v>111.38</v>
      </c>
      <c r="GO145" vm="10837">
        <f ca="1"/>
        <v>110.7</v>
      </c>
      <c r="GP145" vm="10832">
        <f ca="1"/>
        <v>111.07</v>
      </c>
      <c r="GQ145" vm="3078">
        <f ca="1"/>
        <v>111.03</v>
      </c>
      <c r="GR145" vm="20395">
        <f ca="1"/>
        <v>111.23</v>
      </c>
      <c r="GS145" vm="5640">
        <f ca="1"/>
        <v>111.11</v>
      </c>
      <c r="GT145" vm="20396">
        <f ca="1"/>
        <v>110.97</v>
      </c>
      <c r="GU145" vm="5645">
        <f ca="1"/>
        <v>111.31</v>
      </c>
      <c r="GV145" vm="5649">
        <f ca="1"/>
        <v>111.39</v>
      </c>
      <c r="GW145" vm="20358">
        <f ca="1"/>
        <v>110.82</v>
      </c>
      <c r="GX145" vm="20397">
        <f ca="1"/>
        <v>110.4294</v>
      </c>
      <c r="GY145" vm="11981">
        <f ca="1"/>
        <v>109.7</v>
      </c>
      <c r="GZ145" vm="20398">
        <f ca="1"/>
        <v>110.51</v>
      </c>
      <c r="HA145" vm="20399">
        <f ca="1"/>
        <v>110.07</v>
      </c>
      <c r="HB145" vm="20400">
        <f ca="1"/>
        <v>110.55670000000001</v>
      </c>
      <c r="HC145" vm="12018">
        <f ca="1"/>
        <v>111.15</v>
      </c>
      <c r="HD145" vm="20401">
        <f ca="1"/>
        <v>111.63</v>
      </c>
      <c r="HE145" vm="20402">
        <f ca="1"/>
        <v>111.72499999999999</v>
      </c>
      <c r="HF145" vm="20403">
        <f ca="1"/>
        <v>111.755</v>
      </c>
      <c r="HG145" vm="20404">
        <f ca="1"/>
        <v>111.1909</v>
      </c>
      <c r="HH145" vm="20405">
        <f ca="1"/>
        <v>111.1596</v>
      </c>
      <c r="HI145" vm="20390">
        <f ca="1"/>
        <v>111.28</v>
      </c>
      <c r="HJ145" vm="20390">
        <f ca="1"/>
        <v>111.28</v>
      </c>
      <c r="HK145" vm="20390">
        <f ca="1"/>
        <v>111.28</v>
      </c>
      <c r="HL145" vm="20406">
        <f ca="1"/>
        <v>111.58</v>
      </c>
      <c r="HM145" vm="3076">
        <f ca="1"/>
        <v>110.57</v>
      </c>
      <c r="HN145" vm="10988">
        <f ca="1"/>
        <v>110.31</v>
      </c>
      <c r="HO145" vm="8320">
        <f ca="1"/>
        <v>109.96</v>
      </c>
      <c r="HP145" vm="1242">
        <f ca="1"/>
        <v>109.54</v>
      </c>
      <c r="HQ145" vm="20407">
        <f ca="1"/>
        <v>109.16</v>
      </c>
      <c r="HR145" vm="20408">
        <f ca="1"/>
        <v>109.19</v>
      </c>
      <c r="HS145" vm="20409">
        <f ca="1"/>
        <v>109.74</v>
      </c>
      <c r="HT145" vm="20377">
        <f ca="1"/>
        <v>109.89</v>
      </c>
      <c r="HU145" vm="20410">
        <f ca="1"/>
        <v>109.9778</v>
      </c>
      <c r="HV145" vm="20411">
        <f ca="1"/>
        <v>110.53</v>
      </c>
      <c r="HW145" vm="10836">
        <f ca="1"/>
        <v>110.88</v>
      </c>
      <c r="HX145" vm="20406">
        <f ca="1"/>
        <v>111.58</v>
      </c>
      <c r="HY145" vm="20412">
        <f ca="1"/>
        <v>111.45</v>
      </c>
      <c r="HZ145" vm="20363">
        <f ca="1"/>
        <v>111.09</v>
      </c>
      <c r="IA145" vm="10882">
        <f ca="1"/>
        <v>110.67</v>
      </c>
      <c r="IB145" vm="3064">
        <f ca="1"/>
        <v>109.8</v>
      </c>
      <c r="IC145" vm="3065">
        <f ca="1"/>
        <v>109.753</v>
      </c>
      <c r="ID145" vm="3066">
        <f ca="1"/>
        <v>109.55880000000001</v>
      </c>
      <c r="IE145" vm="688">
        <f ca="1"/>
        <v>109.46</v>
      </c>
      <c r="IF145" vm="3067">
        <f ca="1"/>
        <v>109.56</v>
      </c>
      <c r="IG145" vm="381">
        <f ca="1"/>
        <v>109.97</v>
      </c>
      <c r="IH145" vm="3068">
        <f ca="1"/>
        <v>110.12</v>
      </c>
      <c r="II145" vm="3069">
        <f ca="1"/>
        <v>109.9</v>
      </c>
      <c r="IJ145" vm="3070">
        <f ca="1"/>
        <v>110.1502</v>
      </c>
      <c r="IK145" vm="3071">
        <f ca="1"/>
        <v>110.61</v>
      </c>
      <c r="IL145" vm="3072">
        <f ca="1"/>
        <v>110.01300000000001</v>
      </c>
      <c r="IM145" vm="3073">
        <f ca="1"/>
        <v>109.98</v>
      </c>
      <c r="IN145" vm="3074">
        <f ca="1"/>
        <v>109.605</v>
      </c>
      <c r="IO145" vm="3075">
        <f ca="1"/>
        <v>109.73</v>
      </c>
      <c r="IP145" vm="3076">
        <f ca="1"/>
        <v>110.57</v>
      </c>
      <c r="IQ145" vm="1232">
        <f ca="1"/>
        <v>111.24</v>
      </c>
      <c r="IR145" vm="3077">
        <f ca="1"/>
        <v>111.06</v>
      </c>
      <c r="IS145" vm="3078">
        <f ca="1"/>
        <v>111.03</v>
      </c>
      <c r="IT145" vm="3079">
        <f ca="1"/>
        <v>111.2013</v>
      </c>
      <c r="IU145" vm="3080">
        <f ca="1"/>
        <v>111.14</v>
      </c>
      <c r="IV145" vm="3081">
        <f ca="1"/>
        <v>111.35</v>
      </c>
      <c r="IW145" vm="121">
        <f ca="1"/>
        <v>111.16500000000001</v>
      </c>
    </row>
    <row r="146" spans="1:257" ht="16" x14ac:dyDescent="0.2">
      <c r="A146" t="e" vm="3082">
        <v>#VALUE!</v>
      </c>
      <c r="B146" s="23" t="str" cm="1">
        <f t="array" aca="1" ref="B146" ca="1">_FV(A146,"ticker symbol",TRUE)</f>
        <v>FXC</v>
      </c>
      <c r="C146" s="23" t="str" cm="1">
        <f t="array" aca="1" ref="C146" ca="1">_FV(A146,"Name")</f>
        <v>Invesco:Canadian Dollar</v>
      </c>
      <c r="D146" cm="1" vm="2942">
        <f t="array" aca="1" ref="D146:IW146" ca="1">TRANSPOSE(_xlfn.STOCKHISTORY(B146, WORKDAY(TODAY(), -265), TODAY(), 0, 0, 1))</f>
        <v>68.63</v>
      </c>
      <c r="E146" vm="20413">
        <f ca="1"/>
        <v>68.33</v>
      </c>
      <c r="F146" vm="15605">
        <f ca="1"/>
        <v>67.77</v>
      </c>
      <c r="G146" vm="2243">
        <f ca="1"/>
        <v>67.98</v>
      </c>
      <c r="H146" vm="20414">
        <f ca="1"/>
        <v>68.09</v>
      </c>
      <c r="I146" vm="20415">
        <f ca="1"/>
        <v>68.072199999999995</v>
      </c>
      <c r="J146" vm="20416">
        <f ca="1"/>
        <v>68.034999999999997</v>
      </c>
      <c r="K146" vm="2241">
        <f ca="1"/>
        <v>67.89</v>
      </c>
      <c r="L146" vm="13202">
        <f ca="1"/>
        <v>67.849999999999994</v>
      </c>
      <c r="M146" vm="20417">
        <f ca="1"/>
        <v>68.149299999999997</v>
      </c>
      <c r="N146" vm="19371">
        <f ca="1"/>
        <v>68.02</v>
      </c>
      <c r="O146" vm="2241">
        <f ca="1"/>
        <v>67.89</v>
      </c>
      <c r="P146" vm="8827">
        <f ca="1"/>
        <v>67.64</v>
      </c>
      <c r="Q146" vm="13885">
        <f ca="1"/>
        <v>68.22</v>
      </c>
      <c r="R146" vm="15814">
        <f ca="1"/>
        <v>68.099999999999994</v>
      </c>
      <c r="S146" vm="20418">
        <f ca="1"/>
        <v>67.944999999999993</v>
      </c>
      <c r="T146" vm="2782">
        <f ca="1"/>
        <v>67.75</v>
      </c>
      <c r="U146" vm="20419">
        <f ca="1"/>
        <v>67.879099999999994</v>
      </c>
      <c r="V146" vm="981">
        <f ca="1"/>
        <v>68.069999999999993</v>
      </c>
      <c r="W146" vm="19543">
        <f ca="1"/>
        <v>68.209999999999994</v>
      </c>
      <c r="X146" vm="20420">
        <f ca="1"/>
        <v>67.889799999999994</v>
      </c>
      <c r="Y146" vm="13185">
        <f ca="1"/>
        <v>67.58</v>
      </c>
      <c r="Z146" vm="8756">
        <f ca="1"/>
        <v>68.2</v>
      </c>
      <c r="AA146" vm="20421">
        <f ca="1"/>
        <v>67.939899999999994</v>
      </c>
      <c r="AB146" vm="20422">
        <f ca="1"/>
        <v>68.004599999999996</v>
      </c>
      <c r="AC146" vm="20423">
        <f ca="1"/>
        <v>68.144800000000004</v>
      </c>
      <c r="AD146" vm="18396">
        <f ca="1"/>
        <v>68.040000000000006</v>
      </c>
      <c r="AE146" vm="2484">
        <f ca="1"/>
        <v>67.930000000000007</v>
      </c>
      <c r="AF146" vm="10261">
        <f ca="1"/>
        <v>67.78</v>
      </c>
      <c r="AG146" vm="10162">
        <f ca="1"/>
        <v>67.53</v>
      </c>
      <c r="AH146" vm="20424">
        <f ca="1"/>
        <v>67.319999999999993</v>
      </c>
      <c r="AI146" vm="20425">
        <f ca="1"/>
        <v>67.12</v>
      </c>
      <c r="AJ146" vm="13853">
        <f ca="1"/>
        <v>68.290000000000006</v>
      </c>
      <c r="AK146" vm="20426">
        <f ca="1"/>
        <v>68.287499999999994</v>
      </c>
      <c r="AL146" vm="20427">
        <f ca="1"/>
        <v>68.344999999999999</v>
      </c>
      <c r="AM146" vm="15219">
        <f ca="1"/>
        <v>68.45</v>
      </c>
      <c r="AN146" vm="20428">
        <f ca="1"/>
        <v>68.34</v>
      </c>
      <c r="AO146" vm="15219">
        <f ca="1"/>
        <v>68.45</v>
      </c>
      <c r="AP146" vm="20429">
        <f ca="1"/>
        <v>68.430800000000005</v>
      </c>
      <c r="AQ146" vm="8829">
        <f ca="1"/>
        <v>68.900000000000006</v>
      </c>
      <c r="AR146" vm="15860">
        <f ca="1"/>
        <v>68.989999999999995</v>
      </c>
      <c r="AS146" vm="20430">
        <f ca="1"/>
        <v>68.94</v>
      </c>
      <c r="AT146" vm="15218">
        <f ca="1"/>
        <v>68.78</v>
      </c>
      <c r="AU146" vm="10161">
        <f ca="1"/>
        <v>69.02</v>
      </c>
      <c r="AV146" vm="895">
        <f ca="1"/>
        <v>68.75</v>
      </c>
      <c r="AW146" vm="19375">
        <f ca="1"/>
        <v>68.56</v>
      </c>
      <c r="AX146" vm="13856">
        <f ca="1"/>
        <v>68.319999999999993</v>
      </c>
      <c r="AY146" vm="20431">
        <f ca="1"/>
        <v>68.178799999999995</v>
      </c>
      <c r="AZ146" vm="9733">
        <f ca="1"/>
        <v>67.67</v>
      </c>
      <c r="BA146" vm="10257">
        <f ca="1"/>
        <v>67.569999999999993</v>
      </c>
      <c r="BB146" vm="20432">
        <f ca="1"/>
        <v>67.334999999999994</v>
      </c>
      <c r="BC146" vm="20433">
        <f ca="1"/>
        <v>67.504999999999995</v>
      </c>
      <c r="BD146" vm="8872">
        <f ca="1"/>
        <v>68.150000000000006</v>
      </c>
      <c r="BE146" vm="20434">
        <f ca="1"/>
        <v>68.325000000000003</v>
      </c>
      <c r="BF146" vm="20435">
        <f ca="1"/>
        <v>68.025899999999993</v>
      </c>
      <c r="BG146" vm="20436">
        <f ca="1"/>
        <v>67.689499999999995</v>
      </c>
      <c r="BH146" vm="20437">
        <f ca="1"/>
        <v>67.848399999999998</v>
      </c>
      <c r="BI146" vm="20438">
        <f ca="1"/>
        <v>68.003</v>
      </c>
      <c r="BJ146" vm="20439">
        <f ca="1"/>
        <v>67.752300000000005</v>
      </c>
      <c r="BK146" vm="20440">
        <f ca="1"/>
        <v>68.063199999999995</v>
      </c>
      <c r="BL146" vm="20441">
        <f ca="1"/>
        <v>68.440100000000001</v>
      </c>
      <c r="BM146" vm="10237">
        <f ca="1"/>
        <v>68.38</v>
      </c>
      <c r="BN146" vm="20442">
        <f ca="1"/>
        <v>68.249899999999997</v>
      </c>
      <c r="BO146" vm="2794">
        <f ca="1"/>
        <v>68.28</v>
      </c>
      <c r="BP146" vm="2940">
        <f ca="1"/>
        <v>68.180000000000007</v>
      </c>
      <c r="BQ146" vm="13853">
        <f ca="1"/>
        <v>68.290000000000006</v>
      </c>
      <c r="BR146" vm="15668">
        <f ca="1"/>
        <v>68.489999999999995</v>
      </c>
      <c r="BS146" vm="10174">
        <f ca="1"/>
        <v>68.48</v>
      </c>
      <c r="BT146" vm="10337">
        <f ca="1"/>
        <v>68.36</v>
      </c>
      <c r="BU146" vm="20428">
        <f ca="1"/>
        <v>68.34</v>
      </c>
      <c r="BV146" vm="17438">
        <f ca="1"/>
        <v>67.989999999999995</v>
      </c>
      <c r="BW146" vm="20413">
        <f ca="1"/>
        <v>68.33</v>
      </c>
      <c r="BX146" vm="2794">
        <f ca="1"/>
        <v>68.28</v>
      </c>
      <c r="BY146" vm="15268">
        <f ca="1"/>
        <v>69.44</v>
      </c>
      <c r="BZ146" vm="895">
        <f ca="1"/>
        <v>68.75</v>
      </c>
      <c r="CA146" vm="2789">
        <f ca="1"/>
        <v>68.64</v>
      </c>
      <c r="CB146" vm="15740">
        <f ca="1"/>
        <v>68.66</v>
      </c>
      <c r="CC146" vm="10263">
        <f ca="1"/>
        <v>69.260000000000005</v>
      </c>
      <c r="CD146" vm="20443">
        <f ca="1"/>
        <v>69.936400000000006</v>
      </c>
      <c r="CE146" vm="15277">
        <f ca="1"/>
        <v>70.400000000000006</v>
      </c>
      <c r="CF146" vm="13890">
        <f ca="1"/>
        <v>70.5</v>
      </c>
      <c r="CG146" vm="20444">
        <f ca="1"/>
        <v>69.999600000000001</v>
      </c>
      <c r="CH146" vm="2239">
        <f ca="1"/>
        <v>70.540000000000006</v>
      </c>
      <c r="CI146" vm="13839">
        <f ca="1"/>
        <v>70.64</v>
      </c>
      <c r="CJ146" vm="20445">
        <f ca="1"/>
        <v>70.72</v>
      </c>
      <c r="CK146" vm="20445">
        <f ca="1"/>
        <v>70.72</v>
      </c>
      <c r="CL146" vm="9744">
        <f ca="1"/>
        <v>70.39</v>
      </c>
      <c r="CM146" vm="2239">
        <f ca="1"/>
        <v>70.540000000000006</v>
      </c>
      <c r="CN146" vm="13198">
        <f ca="1"/>
        <v>70.52</v>
      </c>
      <c r="CO146" vm="15207">
        <f ca="1"/>
        <v>70.739999999999995</v>
      </c>
      <c r="CP146" vm="9765">
        <f ca="1"/>
        <v>70.650000000000006</v>
      </c>
      <c r="CQ146" vm="15580">
        <f ca="1"/>
        <v>70.930000000000007</v>
      </c>
      <c r="CR146" vm="17465">
        <f ca="1"/>
        <v>70.63</v>
      </c>
      <c r="CS146" vm="15255">
        <f ca="1"/>
        <v>70.81</v>
      </c>
      <c r="CT146" vm="15260">
        <f ca="1"/>
        <v>70.8</v>
      </c>
      <c r="CU146" vm="9743">
        <f ca="1"/>
        <v>70.989999999999995</v>
      </c>
      <c r="CV146" vm="3093">
        <f ca="1"/>
        <v>70.67</v>
      </c>
      <c r="CW146" vm="15243">
        <f ca="1"/>
        <v>70.260000000000005</v>
      </c>
      <c r="CX146" vm="15881">
        <f ca="1"/>
        <v>70.209999999999994</v>
      </c>
      <c r="CY146" vm="10168">
        <f ca="1"/>
        <v>69.89</v>
      </c>
      <c r="CZ146" vm="15208">
        <f ca="1"/>
        <v>70.16</v>
      </c>
      <c r="DA146" vm="3091">
        <f ca="1"/>
        <v>69.92</v>
      </c>
      <c r="DB146" vm="9754">
        <f ca="1"/>
        <v>69.989999999999995</v>
      </c>
      <c r="DC146" vm="20446">
        <f ca="1"/>
        <v>69.885000000000005</v>
      </c>
      <c r="DD146" vm="15666">
        <f ca="1"/>
        <v>70.069999999999993</v>
      </c>
      <c r="DE146" vm="15257">
        <f ca="1"/>
        <v>70.239999999999995</v>
      </c>
      <c r="DF146" vm="2239">
        <f ca="1"/>
        <v>70.540000000000006</v>
      </c>
      <c r="DG146" vm="13890">
        <f ca="1"/>
        <v>70.5</v>
      </c>
      <c r="DH146" vm="20447">
        <f ca="1"/>
        <v>71.232299999999995</v>
      </c>
      <c r="DI146" vm="8876">
        <f ca="1"/>
        <v>70.75</v>
      </c>
      <c r="DJ146" vm="20448">
        <f ca="1"/>
        <v>70.680000000000007</v>
      </c>
      <c r="DK146" vm="9760">
        <f ca="1"/>
        <v>70.83</v>
      </c>
      <c r="DL146" vm="15595">
        <f ca="1"/>
        <v>71.27</v>
      </c>
      <c r="DM146" vm="15244">
        <f ca="1"/>
        <v>71.37</v>
      </c>
      <c r="DN146" vm="15245">
        <f ca="1"/>
        <v>71.239999999999995</v>
      </c>
      <c r="DO146" vm="20449">
        <f ca="1"/>
        <v>71.48</v>
      </c>
      <c r="DP146" vm="8767">
        <f ca="1"/>
        <v>71.540000000000006</v>
      </c>
      <c r="DQ146" vm="10159">
        <f ca="1"/>
        <v>71.400000000000006</v>
      </c>
      <c r="DR146" vm="8781">
        <f ca="1"/>
        <v>71.459999999999994</v>
      </c>
      <c r="DS146" vm="10360">
        <f ca="1"/>
        <v>71.510000000000005</v>
      </c>
      <c r="DT146" vm="8910">
        <f ca="1"/>
        <v>71.53</v>
      </c>
      <c r="DU146" vm="20450">
        <f ca="1"/>
        <v>71.87</v>
      </c>
      <c r="DV146" vm="13205">
        <f ca="1"/>
        <v>72.010000000000005</v>
      </c>
      <c r="DW146" vm="20451">
        <f ca="1"/>
        <v>72.03</v>
      </c>
      <c r="DX146" vm="17468">
        <f ca="1"/>
        <v>71.680000000000007</v>
      </c>
      <c r="DY146" vm="15261">
        <f ca="1"/>
        <v>71.349999999999994</v>
      </c>
      <c r="DZ146" vm="20452">
        <f ca="1"/>
        <v>71.11</v>
      </c>
      <c r="EA146" vm="8913">
        <f ca="1"/>
        <v>71.19</v>
      </c>
      <c r="EB146" vm="20453">
        <f ca="1"/>
        <v>71.23</v>
      </c>
      <c r="EC146" vm="17467">
        <f ca="1"/>
        <v>71.260000000000005</v>
      </c>
      <c r="ED146" vm="8916">
        <f ca="1"/>
        <v>71.73</v>
      </c>
      <c r="EE146" vm="2235">
        <f ca="1"/>
        <v>71.39</v>
      </c>
      <c r="EF146" vm="8881">
        <f ca="1"/>
        <v>71.81</v>
      </c>
      <c r="EG146" vm="8832">
        <f ca="1"/>
        <v>71.67</v>
      </c>
      <c r="EH146" vm="2236">
        <f ca="1"/>
        <v>71.92</v>
      </c>
      <c r="EI146" vm="900">
        <f ca="1"/>
        <v>72.08</v>
      </c>
      <c r="EJ146" vm="8882">
        <f ca="1"/>
        <v>71.52</v>
      </c>
      <c r="EK146" vm="19754">
        <f ca="1"/>
        <v>71.44</v>
      </c>
      <c r="EL146" vm="8884">
        <f ca="1"/>
        <v>71.41</v>
      </c>
      <c r="EM146" vm="10360">
        <f ca="1"/>
        <v>71.510000000000005</v>
      </c>
      <c r="EN146" vm="8768">
        <f ca="1"/>
        <v>71.430000000000007</v>
      </c>
      <c r="EO146" vm="805">
        <f ca="1"/>
        <v>71.34</v>
      </c>
      <c r="EP146" vm="15263">
        <f ca="1"/>
        <v>71.22</v>
      </c>
      <c r="EQ146" vm="8884">
        <f ca="1"/>
        <v>71.41</v>
      </c>
      <c r="ER146" vm="15211">
        <f ca="1"/>
        <v>71.09</v>
      </c>
      <c r="ES146" vm="20454">
        <f ca="1"/>
        <v>71.2</v>
      </c>
      <c r="ET146" vm="8768">
        <f ca="1"/>
        <v>71.430000000000007</v>
      </c>
      <c r="EU146" vm="20455">
        <f ca="1"/>
        <v>71.849999999999994</v>
      </c>
      <c r="EV146" vm="15807">
        <f ca="1"/>
        <v>71.89</v>
      </c>
      <c r="EW146" vm="19749">
        <f ca="1"/>
        <v>71.64</v>
      </c>
      <c r="EX146" vm="9750">
        <f ca="1"/>
        <v>71.33</v>
      </c>
      <c r="EY146" vm="20454">
        <f ca="1"/>
        <v>71.2</v>
      </c>
      <c r="EZ146" vm="15579">
        <f ca="1"/>
        <v>71.010000000000005</v>
      </c>
      <c r="FA146" vm="20456">
        <f ca="1"/>
        <v>70.7</v>
      </c>
      <c r="FB146" vm="10340">
        <f ca="1"/>
        <v>70.61</v>
      </c>
      <c r="FC146" vm="2225">
        <f ca="1"/>
        <v>70.88</v>
      </c>
      <c r="FD146" vm="3098">
        <f ca="1"/>
        <v>70.98</v>
      </c>
      <c r="FE146" vm="9743">
        <f ca="1"/>
        <v>70.989999999999995</v>
      </c>
      <c r="FF146" vm="19374">
        <f ca="1"/>
        <v>71.17</v>
      </c>
      <c r="FG146" vm="9746">
        <f ca="1"/>
        <v>71.150000000000006</v>
      </c>
      <c r="FH146" vm="15579">
        <f ca="1"/>
        <v>71.010000000000005</v>
      </c>
      <c r="FI146" vm="2225">
        <f ca="1"/>
        <v>70.88</v>
      </c>
      <c r="FJ146" vm="20457">
        <f ca="1"/>
        <v>70.894999999999996</v>
      </c>
      <c r="FK146" vm="20458">
        <f ca="1"/>
        <v>70.999700000000004</v>
      </c>
      <c r="FL146" vm="15207">
        <f ca="1"/>
        <v>70.739999999999995</v>
      </c>
      <c r="FM146" vm="20459">
        <f ca="1"/>
        <v>70.749700000000004</v>
      </c>
      <c r="FN146" vm="15302">
        <f ca="1"/>
        <v>70.760000000000005</v>
      </c>
      <c r="FO146" vm="9757">
        <f ca="1"/>
        <v>70.47</v>
      </c>
      <c r="FP146" vm="2228">
        <f ca="1"/>
        <v>70.42</v>
      </c>
      <c r="FQ146" vm="13896">
        <f ca="1"/>
        <v>70.27</v>
      </c>
      <c r="FR146" vm="20460">
        <f ca="1"/>
        <v>70.661199999999994</v>
      </c>
      <c r="FS146" vm="2793">
        <f ca="1"/>
        <v>70.48</v>
      </c>
      <c r="FT146" vm="15250">
        <f ca="1"/>
        <v>70.62</v>
      </c>
      <c r="FU146" vm="20461">
        <f ca="1"/>
        <v>70.86</v>
      </c>
      <c r="FV146" vm="20462">
        <f ca="1"/>
        <v>71.066900000000004</v>
      </c>
      <c r="FW146" vm="20463">
        <f ca="1"/>
        <v>71.177400000000006</v>
      </c>
      <c r="FX146" vm="20464">
        <f ca="1"/>
        <v>70.87</v>
      </c>
      <c r="FY146" vm="9762">
        <f ca="1"/>
        <v>70.819999999999993</v>
      </c>
      <c r="FZ146" vm="3093">
        <f ca="1"/>
        <v>70.67</v>
      </c>
      <c r="GA146" vm="10164">
        <f ca="1"/>
        <v>70.55</v>
      </c>
      <c r="GB146" vm="15239">
        <f ca="1"/>
        <v>70.78</v>
      </c>
      <c r="GC146" vm="20465">
        <f ca="1"/>
        <v>70.519499999999994</v>
      </c>
      <c r="GD146" vm="9757">
        <f ca="1"/>
        <v>70.47</v>
      </c>
      <c r="GE146" vm="20466">
        <f ca="1"/>
        <v>70.646000000000001</v>
      </c>
      <c r="GF146" vm="20467">
        <f ca="1"/>
        <v>70.581500000000005</v>
      </c>
      <c r="GG146" vm="3096">
        <f ca="1"/>
        <v>70.959999999999994</v>
      </c>
      <c r="GH146" vm="20468">
        <f ca="1"/>
        <v>71.070800000000006</v>
      </c>
      <c r="GI146" vm="20469">
        <f ca="1"/>
        <v>70.962500000000006</v>
      </c>
      <c r="GJ146" vm="20470">
        <f ca="1"/>
        <v>70.844999999999999</v>
      </c>
      <c r="GK146" vm="20471">
        <f ca="1"/>
        <v>70.898600000000002</v>
      </c>
      <c r="GL146" vm="15302">
        <f ca="1"/>
        <v>70.760000000000005</v>
      </c>
      <c r="GM146" vm="3093">
        <f ca="1"/>
        <v>70.67</v>
      </c>
      <c r="GN146" vm="20472">
        <f ca="1"/>
        <v>70.344099999999997</v>
      </c>
      <c r="GO146" vm="10182">
        <f ca="1"/>
        <v>70.12</v>
      </c>
      <c r="GP146" vm="2226">
        <f ca="1"/>
        <v>70.150000000000006</v>
      </c>
      <c r="GQ146" vm="20473">
        <f ca="1"/>
        <v>70.223200000000006</v>
      </c>
      <c r="GR146" vm="13896">
        <f ca="1"/>
        <v>70.27</v>
      </c>
      <c r="GS146" vm="20474">
        <f ca="1"/>
        <v>70.103700000000003</v>
      </c>
      <c r="GT146" vm="9754">
        <f ca="1"/>
        <v>69.989999999999995</v>
      </c>
      <c r="GU146" vm="1813">
        <f ca="1"/>
        <v>70.03</v>
      </c>
      <c r="GV146" vm="15210">
        <f ca="1"/>
        <v>70.05</v>
      </c>
      <c r="GW146" vm="1813">
        <f ca="1"/>
        <v>70.03</v>
      </c>
      <c r="GX146" vm="20475">
        <f ca="1"/>
        <v>70.025800000000004</v>
      </c>
      <c r="GY146" vm="20476">
        <f ca="1"/>
        <v>69.670199999999994</v>
      </c>
      <c r="GZ146" vm="20477">
        <f ca="1"/>
        <v>69.801900000000003</v>
      </c>
      <c r="HA146" vm="10326">
        <f ca="1"/>
        <v>69.599999999999994</v>
      </c>
      <c r="HB146" vm="20478">
        <f ca="1"/>
        <v>69.583200000000005</v>
      </c>
      <c r="HC146" vm="20479">
        <f ca="1"/>
        <v>69.564700000000002</v>
      </c>
      <c r="HD146" vm="13893">
        <f ca="1"/>
        <v>69.569999999999993</v>
      </c>
      <c r="HE146" vm="20480">
        <f ca="1"/>
        <v>69.768000000000001</v>
      </c>
      <c r="HF146" vm="13894">
        <f ca="1"/>
        <v>69.63</v>
      </c>
      <c r="HG146" vm="20481">
        <f ca="1"/>
        <v>69.7209</v>
      </c>
      <c r="HH146" vm="10341">
        <f ca="1"/>
        <v>69.849999999999994</v>
      </c>
      <c r="HI146" vm="8762">
        <f ca="1"/>
        <v>69.87</v>
      </c>
      <c r="HJ146" vm="36">
        <f ca="1"/>
        <v>69.8</v>
      </c>
      <c r="HK146" vm="20482">
        <f ca="1"/>
        <v>69.811999999999998</v>
      </c>
      <c r="HL146" vm="9768">
        <f ca="1"/>
        <v>70.09</v>
      </c>
      <c r="HM146" vm="2230">
        <f ca="1"/>
        <v>70.040000000000006</v>
      </c>
      <c r="HN146" vm="13840">
        <f ca="1"/>
        <v>69.88</v>
      </c>
      <c r="HO146" vm="8760">
        <f ca="1"/>
        <v>69.680000000000007</v>
      </c>
      <c r="HP146" vm="17439">
        <f ca="1"/>
        <v>69.55</v>
      </c>
      <c r="HQ146" vm="20483">
        <f ca="1"/>
        <v>69.314999999999998</v>
      </c>
      <c r="HR146" vm="20484">
        <f ca="1"/>
        <v>69.265000000000001</v>
      </c>
      <c r="HS146" vm="2229">
        <f ca="1"/>
        <v>69.25</v>
      </c>
      <c r="HT146" vm="20485">
        <f ca="1"/>
        <v>69.647000000000006</v>
      </c>
      <c r="HU146" vm="20486">
        <f ca="1"/>
        <v>69.709299999999999</v>
      </c>
      <c r="HV146" vm="20487">
        <f ca="1"/>
        <v>69.733800000000002</v>
      </c>
      <c r="HW146" vm="20488">
        <f ca="1"/>
        <v>69.784199999999998</v>
      </c>
      <c r="HX146" vm="13894">
        <f ca="1"/>
        <v>69.63</v>
      </c>
      <c r="HY146" vm="20489">
        <f ca="1"/>
        <v>69.653400000000005</v>
      </c>
      <c r="HZ146" vm="20490">
        <f ca="1"/>
        <v>69.539599999999993</v>
      </c>
      <c r="IA146" vm="8762">
        <f ca="1"/>
        <v>69.87</v>
      </c>
      <c r="IB146" vm="3083">
        <f ca="1"/>
        <v>69.48</v>
      </c>
      <c r="IC146" vm="3084">
        <f ca="1"/>
        <v>69.305400000000006</v>
      </c>
      <c r="ID146" vm="3085">
        <f ca="1"/>
        <v>69.335400000000007</v>
      </c>
      <c r="IE146" vm="3086">
        <f ca="1"/>
        <v>69.261099999999999</v>
      </c>
      <c r="IF146" vm="3087">
        <f ca="1"/>
        <v>69.287899999999993</v>
      </c>
      <c r="IG146" vm="3088">
        <f ca="1"/>
        <v>69.572999999999993</v>
      </c>
      <c r="IH146" vm="3089">
        <f ca="1"/>
        <v>69.91</v>
      </c>
      <c r="II146" vm="3090">
        <f ca="1"/>
        <v>69.81</v>
      </c>
      <c r="IJ146" vm="3091">
        <f ca="1"/>
        <v>69.92</v>
      </c>
      <c r="IK146" vm="3092">
        <f ca="1"/>
        <v>70.044700000000006</v>
      </c>
      <c r="IL146" vm="1813">
        <f ca="1"/>
        <v>70.03</v>
      </c>
      <c r="IM146" vm="3093">
        <f ca="1"/>
        <v>70.67</v>
      </c>
      <c r="IN146" vm="2239">
        <f ca="1"/>
        <v>70.540000000000006</v>
      </c>
      <c r="IO146" vm="3094">
        <f ca="1"/>
        <v>70.569999999999993</v>
      </c>
      <c r="IP146" vm="3095">
        <f ca="1"/>
        <v>70.849999999999994</v>
      </c>
      <c r="IQ146" vm="3096">
        <f ca="1"/>
        <v>70.959999999999994</v>
      </c>
      <c r="IR146" vm="3097">
        <f ca="1"/>
        <v>70.97</v>
      </c>
      <c r="IS146" vm="3098">
        <f ca="1"/>
        <v>70.98</v>
      </c>
      <c r="IT146" vm="3099">
        <f ca="1"/>
        <v>71.03</v>
      </c>
      <c r="IU146" vm="3100">
        <f ca="1"/>
        <v>70.910700000000006</v>
      </c>
      <c r="IV146" vm="3101">
        <f ca="1"/>
        <v>70.927000000000007</v>
      </c>
      <c r="IW146" vm="123">
        <f ca="1"/>
        <v>70.8125</v>
      </c>
    </row>
    <row r="147" spans="1:257" ht="16" x14ac:dyDescent="0.2">
      <c r="A147" t="e" vm="3102">
        <v>#VALUE!</v>
      </c>
      <c r="B147" s="23" t="str" cm="1">
        <f t="array" aca="1" ref="B147" ca="1">_FV(A147,"ticker symbol",TRUE)</f>
        <v>IBIT</v>
      </c>
      <c r="C147" s="23" t="str" cm="1">
        <f t="array" aca="1" ref="C147" ca="1">_FV(A147,"Name")</f>
        <v>iShares Bitcoin Trust</v>
      </c>
      <c r="D147" cm="1" vm="8862">
        <f t="array" aca="1" ref="D147:IW147" ca="1">TRANSPOSE(_xlfn.STOCKHISTORY(B147, WORKDAY(TODAY(), -265), TODAY(), 0, 0, 1))</f>
        <v>60.22</v>
      </c>
      <c r="E147" vm="1104">
        <f ca="1"/>
        <v>60.73</v>
      </c>
      <c r="F147" vm="9699">
        <f ca="1"/>
        <v>57.18</v>
      </c>
      <c r="G147" vm="11880">
        <f ca="1"/>
        <v>54.72</v>
      </c>
      <c r="H147" vm="19742">
        <f ca="1"/>
        <v>54.81</v>
      </c>
      <c r="I147" vm="3303">
        <f ca="1"/>
        <v>52.87</v>
      </c>
      <c r="J147" vm="1635">
        <f ca="1"/>
        <v>56.23</v>
      </c>
      <c r="K147" vm="2641">
        <f ca="1"/>
        <v>54.3</v>
      </c>
      <c r="L147" vm="103">
        <f ca="1"/>
        <v>53.68</v>
      </c>
      <c r="M147" vm="476">
        <f ca="1"/>
        <v>53.55</v>
      </c>
      <c r="N147" vm="11002">
        <f ca="1"/>
        <v>53.05</v>
      </c>
      <c r="O147" vm="20491">
        <f ca="1"/>
        <v>55.37</v>
      </c>
      <c r="P147" vm="14184">
        <f ca="1"/>
        <v>55.96</v>
      </c>
      <c r="Q147" vm="14026">
        <f ca="1"/>
        <v>58.17</v>
      </c>
      <c r="R147" vm="78">
        <f ca="1"/>
        <v>54.79</v>
      </c>
      <c r="S147" vm="6336">
        <f ca="1"/>
        <v>53.34</v>
      </c>
      <c r="T147" vm="3338">
        <f ca="1"/>
        <v>53.84</v>
      </c>
      <c r="U147" vm="2911">
        <f ca="1"/>
        <v>53.22</v>
      </c>
      <c r="V147" vm="8691">
        <f ca="1"/>
        <v>54.83</v>
      </c>
      <c r="W147" vm="9685">
        <f ca="1"/>
        <v>56.64</v>
      </c>
      <c r="X147" vm="14037">
        <f ca="1"/>
        <v>57.09</v>
      </c>
      <c r="Y147" vm="8630">
        <f ca="1"/>
        <v>59.62</v>
      </c>
      <c r="Z147" vm="1590">
        <f ca="1"/>
        <v>60.42</v>
      </c>
      <c r="AA147" vm="9709">
        <f ca="1"/>
        <v>59.38</v>
      </c>
      <c r="AB147" vm="9703">
        <f ca="1"/>
        <v>58.79</v>
      </c>
      <c r="AC147" vm="13392">
        <f ca="1"/>
        <v>59.7</v>
      </c>
      <c r="AD147" vm="19865">
        <f ca="1"/>
        <v>57.67</v>
      </c>
      <c r="AE147" vm="11903">
        <f ca="1"/>
        <v>57.58</v>
      </c>
      <c r="AF147" vm="13400">
        <f ca="1"/>
        <v>59.34</v>
      </c>
      <c r="AG147" vm="14204">
        <f ca="1"/>
        <v>59.72</v>
      </c>
      <c r="AH147" vm="8857">
        <f ca="1"/>
        <v>57.71</v>
      </c>
      <c r="AI147" vm="11903">
        <f ca="1"/>
        <v>57.58</v>
      </c>
      <c r="AJ147" vm="14183">
        <f ca="1"/>
        <v>56.13</v>
      </c>
      <c r="AK147" vm="15804">
        <f ca="1"/>
        <v>55.33</v>
      </c>
      <c r="AL147" vm="17845">
        <f ca="1"/>
        <v>55.12</v>
      </c>
      <c r="AM147" vm="19869">
        <f ca="1"/>
        <v>54.47</v>
      </c>
      <c r="AN147" vm="13404">
        <f ca="1"/>
        <v>55.38</v>
      </c>
      <c r="AO147" vm="3342">
        <f ca="1"/>
        <v>54.11</v>
      </c>
      <c r="AP147" vm="18373">
        <f ca="1"/>
        <v>55.16</v>
      </c>
      <c r="AQ147" vm="2644">
        <f ca="1"/>
        <v>54.74</v>
      </c>
      <c r="AR147" vm="15804">
        <f ca="1"/>
        <v>55.33</v>
      </c>
      <c r="AS147" vm="2775">
        <f ca="1"/>
        <v>53.51</v>
      </c>
      <c r="AT147" vm="11019">
        <f ca="1"/>
        <v>54.65</v>
      </c>
      <c r="AU147" vm="14109">
        <f ca="1"/>
        <v>56.04</v>
      </c>
      <c r="AV147" vm="11051">
        <f ca="1"/>
        <v>53.92</v>
      </c>
      <c r="AW147" vm="14058">
        <f ca="1"/>
        <v>53.41</v>
      </c>
      <c r="AX147" vm="11297">
        <f ca="1"/>
        <v>50.03</v>
      </c>
      <c r="AY147" vm="1268">
        <f ca="1"/>
        <v>47.96</v>
      </c>
      <c r="AZ147" vm="10047">
        <f ca="1"/>
        <v>47.35</v>
      </c>
      <c r="BA147" vm="19857">
        <f ca="1"/>
        <v>47.9</v>
      </c>
      <c r="BB147" vm="17847">
        <f ca="1"/>
        <v>48.9</v>
      </c>
      <c r="BC147" vm="1622">
        <f ca="1"/>
        <v>49.39</v>
      </c>
      <c r="BD147" vm="11325">
        <f ca="1"/>
        <v>51.44</v>
      </c>
      <c r="BE147" vm="11337">
        <f ca="1"/>
        <v>50.64</v>
      </c>
      <c r="BF147" vm="11044">
        <f ca="1"/>
        <v>49.43</v>
      </c>
      <c r="BG147" vm="1978">
        <f ca="1"/>
        <v>44.91</v>
      </c>
      <c r="BH147" vm="19867">
        <f ca="1"/>
        <v>47.24</v>
      </c>
      <c r="BI147" vm="6281">
        <f ca="1"/>
        <v>47.15</v>
      </c>
      <c r="BJ147" vm="11638">
        <f ca="1"/>
        <v>45.52</v>
      </c>
      <c r="BK147" vm="15801">
        <f ca="1"/>
        <v>48.14</v>
      </c>
      <c r="BL147" vm="19534">
        <f ca="1"/>
        <v>48.06</v>
      </c>
      <c r="BM147" vm="12102">
        <f ca="1"/>
        <v>46.81</v>
      </c>
      <c r="BN147" vm="11351">
        <f ca="1"/>
        <v>48.61</v>
      </c>
      <c r="BO147" vm="13819">
        <f ca="1"/>
        <v>47.85</v>
      </c>
      <c r="BP147" vm="20492">
        <f ca="1"/>
        <v>47.7</v>
      </c>
      <c r="BQ147" vm="1138">
        <f ca="1"/>
        <v>50.18</v>
      </c>
      <c r="BR147" vm="835">
        <f ca="1"/>
        <v>50.14</v>
      </c>
      <c r="BS147" vm="12049">
        <f ca="1"/>
        <v>49.18</v>
      </c>
      <c r="BT147" vm="6292">
        <f ca="1"/>
        <v>49.44</v>
      </c>
      <c r="BU147" vm="11492">
        <f ca="1"/>
        <v>47.56</v>
      </c>
      <c r="BV147" vm="12102">
        <f ca="1"/>
        <v>46.81</v>
      </c>
      <c r="BW147" vm="11041">
        <f ca="1"/>
        <v>48.3</v>
      </c>
      <c r="BX147" vm="1994">
        <f ca="1"/>
        <v>49.41</v>
      </c>
      <c r="BY147" vm="10046">
        <f ca="1"/>
        <v>46.57</v>
      </c>
      <c r="BZ147" vm="11574">
        <f ca="1"/>
        <v>47.71</v>
      </c>
      <c r="CA147" vm="2336">
        <f ca="1"/>
        <v>44.27</v>
      </c>
      <c r="CB147" vm="19098">
        <f ca="1"/>
        <v>43.59</v>
      </c>
      <c r="CC147" vm="9236">
        <f ca="1"/>
        <v>46.83</v>
      </c>
      <c r="CD147" vm="547">
        <f ca="1"/>
        <v>45.17</v>
      </c>
      <c r="CE147" vm="11039">
        <f ca="1"/>
        <v>47.67</v>
      </c>
      <c r="CF147" vm="6230">
        <f ca="1"/>
        <v>48.28</v>
      </c>
      <c r="CG147" vm="9994">
        <f ca="1"/>
        <v>47.74</v>
      </c>
      <c r="CH147" vm="1268">
        <f ca="1"/>
        <v>47.96</v>
      </c>
      <c r="CI147" vm="10049">
        <f ca="1"/>
        <v>48.26</v>
      </c>
      <c r="CJ147" vm="14180">
        <f ca="1"/>
        <v>49.72</v>
      </c>
      <c r="CK147" vm="11306">
        <f ca="1"/>
        <v>52.08</v>
      </c>
      <c r="CL147" vm="2652">
        <f ca="1"/>
        <v>53.2</v>
      </c>
      <c r="CM147" vm="6332">
        <f ca="1"/>
        <v>53.26</v>
      </c>
      <c r="CN147" vm="13405">
        <f ca="1"/>
        <v>54.27</v>
      </c>
      <c r="CO147" vm="20493">
        <f ca="1"/>
        <v>53.88</v>
      </c>
      <c r="CP147" vm="10292">
        <f ca="1"/>
        <v>54.22</v>
      </c>
      <c r="CQ147" vm="2775">
        <f ca="1"/>
        <v>53.51</v>
      </c>
      <c r="CR147" vm="482">
        <f ca="1"/>
        <v>54.95</v>
      </c>
      <c r="CS147" vm="11875">
        <f ca="1"/>
        <v>55.19</v>
      </c>
      <c r="CT147" vm="14195">
        <f ca="1"/>
        <v>53.63</v>
      </c>
      <c r="CU147" vm="3341">
        <f ca="1"/>
        <v>53.97</v>
      </c>
      <c r="CV147" vm="20494">
        <f ca="1"/>
        <v>54.68</v>
      </c>
      <c r="CW147" vm="2197">
        <f ca="1"/>
        <v>57.62</v>
      </c>
      <c r="CX147" vm="3010">
        <f ca="1"/>
        <v>58.66</v>
      </c>
      <c r="CY147" vm="20495">
        <f ca="1"/>
        <v>57.88</v>
      </c>
      <c r="CZ147" vm="8630">
        <f ca="1"/>
        <v>59.62</v>
      </c>
      <c r="DA147" vm="11078">
        <f ca="1"/>
        <v>58.74</v>
      </c>
      <c r="DB147" vm="14217">
        <f ca="1"/>
        <v>58.67</v>
      </c>
      <c r="DC147" vm="3014">
        <f ca="1"/>
        <v>59.2</v>
      </c>
      <c r="DD147" vm="13403">
        <f ca="1"/>
        <v>59.99</v>
      </c>
      <c r="DE147" vm="8705">
        <f ca="1"/>
        <v>60.91</v>
      </c>
      <c r="DF147" vm="8648">
        <f ca="1"/>
        <v>61.79</v>
      </c>
      <c r="DG147" vm="9661">
        <f ca="1"/>
        <v>63.23</v>
      </c>
      <c r="DH147" vm="11089">
        <f ca="1"/>
        <v>61.83</v>
      </c>
      <c r="DI147" vm="2726">
        <f ca="1"/>
        <v>62.5</v>
      </c>
      <c r="DJ147" vm="9713">
        <f ca="1"/>
        <v>60.79</v>
      </c>
      <c r="DK147" vm="13403">
        <f ca="1"/>
        <v>59.99</v>
      </c>
      <c r="DL147" vm="11367">
        <f ca="1"/>
        <v>59.46</v>
      </c>
      <c r="DM147" vm="19462">
        <f ca="1"/>
        <v>59.36</v>
      </c>
      <c r="DN147" vm="8631">
        <f ca="1"/>
        <v>60.4</v>
      </c>
      <c r="DO147" vm="11082">
        <f ca="1"/>
        <v>59.64</v>
      </c>
      <c r="DP147" vm="14119">
        <f ca="1"/>
        <v>57.87</v>
      </c>
      <c r="DQ147" vm="9643">
        <f ca="1"/>
        <v>59.26</v>
      </c>
      <c r="DR147" vm="41">
        <f ca="1"/>
        <v>61.77</v>
      </c>
      <c r="DS147" vm="1482">
        <f ca="1"/>
        <v>62.29</v>
      </c>
      <c r="DT147" vm="9666">
        <f ca="1"/>
        <v>61.84</v>
      </c>
      <c r="DU147" vm="20496">
        <f ca="1"/>
        <v>60.7</v>
      </c>
      <c r="DV147" vm="8629">
        <f ca="1"/>
        <v>59.74</v>
      </c>
      <c r="DW147" vm="2728">
        <f ca="1"/>
        <v>61.8</v>
      </c>
      <c r="DX147" vm="8677">
        <f ca="1"/>
        <v>59.5</v>
      </c>
      <c r="DY147" vm="8669">
        <f ca="1"/>
        <v>58.97</v>
      </c>
      <c r="DZ147" vm="14217">
        <f ca="1"/>
        <v>58.67</v>
      </c>
      <c r="EA147" vm="14217">
        <f ca="1"/>
        <v>58.67</v>
      </c>
      <c r="EB147" vm="11896">
        <f ca="1"/>
        <v>60.06</v>
      </c>
      <c r="EC147" vm="20497">
        <f ca="1"/>
        <v>61.274999999999999</v>
      </c>
      <c r="ED147" vm="1464">
        <f ca="1"/>
        <v>61.14</v>
      </c>
      <c r="EE147" vm="13412">
        <f ca="1"/>
        <v>60.72</v>
      </c>
      <c r="EF147" vm="13421">
        <f ca="1"/>
        <v>61.21</v>
      </c>
      <c r="EG147" vm="14078">
        <f ca="1"/>
        <v>59.84</v>
      </c>
      <c r="EH147" vm="19985">
        <f ca="1"/>
        <v>62.42</v>
      </c>
      <c r="EI147" vm="1479">
        <f ca="1"/>
        <v>62.19</v>
      </c>
      <c r="EJ147" vm="1101">
        <f ca="1"/>
        <v>61.4</v>
      </c>
      <c r="EK147" vm="8702">
        <f ca="1"/>
        <v>61.82</v>
      </c>
      <c r="EL147" vm="11392">
        <f ca="1"/>
        <v>63.58</v>
      </c>
      <c r="EM147" vm="13860">
        <f ca="1"/>
        <v>64.5</v>
      </c>
      <c r="EN147" vm="8737">
        <f ca="1"/>
        <v>67.209999999999994</v>
      </c>
      <c r="EO147" vm="2940">
        <f ca="1"/>
        <v>68.180000000000007</v>
      </c>
      <c r="EP147" vm="2340">
        <f ca="1"/>
        <v>66.16</v>
      </c>
      <c r="EQ147" vm="2935">
        <f ca="1"/>
        <v>67.83</v>
      </c>
      <c r="ER147" vm="2485">
        <f ca="1"/>
        <v>67.650000000000006</v>
      </c>
      <c r="ES147" vm="11437">
        <f ca="1"/>
        <v>66.680000000000007</v>
      </c>
      <c r="ET147" vm="8727">
        <f ca="1"/>
        <v>66.33</v>
      </c>
      <c r="EU147" vm="8751">
        <f ca="1"/>
        <v>67.819999999999993</v>
      </c>
      <c r="EV147" vm="1618">
        <f ca="1"/>
        <v>67.290000000000006</v>
      </c>
      <c r="EW147" vm="8757">
        <f ca="1"/>
        <v>67.66</v>
      </c>
      <c r="EX147" vm="8724">
        <f ca="1"/>
        <v>66.36</v>
      </c>
      <c r="EY147" vm="2478">
        <f ca="1"/>
        <v>67.099999999999994</v>
      </c>
      <c r="EZ147" vm="8824">
        <f ca="1"/>
        <v>66.709999999999994</v>
      </c>
      <c r="FA147" vm="11400">
        <f ca="1"/>
        <v>66.37</v>
      </c>
      <c r="FB147" vm="11434">
        <f ca="1"/>
        <v>66.319999999999993</v>
      </c>
      <c r="FC147" vm="11380">
        <f ca="1"/>
        <v>64.22</v>
      </c>
      <c r="FD147" vm="15735">
        <f ca="1"/>
        <v>65.2</v>
      </c>
      <c r="FE147" vm="3047">
        <f ca="1"/>
        <v>64.55</v>
      </c>
      <c r="FF147" vm="11402">
        <f ca="1"/>
        <v>65.510000000000005</v>
      </c>
      <c r="FG147" vm="20498">
        <f ca="1"/>
        <v>66.83</v>
      </c>
      <c r="FH147" vm="14133">
        <f ca="1"/>
        <v>66.13</v>
      </c>
      <c r="FI147" vm="8827">
        <f ca="1"/>
        <v>67.64</v>
      </c>
      <c r="FJ147" vm="10315">
        <f ca="1"/>
        <v>67.95</v>
      </c>
      <c r="FK147" vm="9756">
        <f ca="1"/>
        <v>69.84</v>
      </c>
      <c r="FL147" vm="20499">
        <f ca="1"/>
        <v>67.03</v>
      </c>
      <c r="FM147" vm="8839">
        <f ca="1"/>
        <v>66.44</v>
      </c>
      <c r="FN147" vm="9729">
        <f ca="1"/>
        <v>66.05</v>
      </c>
      <c r="FO147" vm="8842">
        <f ca="1"/>
        <v>64.19</v>
      </c>
      <c r="FP147" vm="11418">
        <f ca="1"/>
        <v>64.900000000000006</v>
      </c>
      <c r="FQ147" vm="13874">
        <f ca="1"/>
        <v>63.69</v>
      </c>
      <c r="FR147" vm="2475">
        <f ca="1"/>
        <v>66.25</v>
      </c>
      <c r="FS147" vm="9665">
        <f ca="1"/>
        <v>62.88</v>
      </c>
      <c r="FT147" vm="8717">
        <f ca="1"/>
        <v>63.1</v>
      </c>
      <c r="FU147" vm="8820">
        <f ca="1"/>
        <v>63.65</v>
      </c>
      <c r="FV147" vm="11392">
        <f ca="1"/>
        <v>63.58</v>
      </c>
      <c r="FW147" vm="10096">
        <f ca="1"/>
        <v>61.44</v>
      </c>
      <c r="FX147" vm="8662">
        <f ca="1"/>
        <v>62.97</v>
      </c>
      <c r="FY147" vm="11453">
        <f ca="1"/>
        <v>63.77</v>
      </c>
      <c r="FZ147" vm="8654">
        <f ca="1"/>
        <v>62.35</v>
      </c>
      <c r="GA147" vm="15829">
        <f ca="1"/>
        <v>63.42</v>
      </c>
      <c r="GB147" vm="8714">
        <f ca="1"/>
        <v>63.7</v>
      </c>
      <c r="GC147" vm="1472">
        <f ca="1"/>
        <v>63.22</v>
      </c>
      <c r="GD147" vm="10171">
        <f ca="1"/>
        <v>64.53</v>
      </c>
      <c r="GE147" vm="11428">
        <f ca="1"/>
        <v>65.03</v>
      </c>
      <c r="GF147" vm="15664">
        <f ca="1"/>
        <v>66.38</v>
      </c>
      <c r="GG147" vm="14097">
        <f ca="1"/>
        <v>65.5</v>
      </c>
      <c r="GH147" vm="11400">
        <f ca="1"/>
        <v>66.37</v>
      </c>
      <c r="GI147" vm="10169">
        <f ca="1"/>
        <v>65.67</v>
      </c>
      <c r="GJ147" vm="18391">
        <f ca="1"/>
        <v>66.75</v>
      </c>
      <c r="GK147" vm="11416">
        <f ca="1"/>
        <v>65.37</v>
      </c>
      <c r="GL147" vm="8820">
        <f ca="1"/>
        <v>63.65</v>
      </c>
      <c r="GM147" vm="1604">
        <f ca="1"/>
        <v>63.41</v>
      </c>
      <c r="GN147" vm="8718">
        <f ca="1"/>
        <v>64.42</v>
      </c>
      <c r="GO147" vm="13867">
        <f ca="1"/>
        <v>62.1</v>
      </c>
      <c r="GP147" vm="13858">
        <f ca="1"/>
        <v>61.94</v>
      </c>
      <c r="GQ147" vm="15222">
        <f ca="1"/>
        <v>64.97</v>
      </c>
      <c r="GR147" vm="1938">
        <f ca="1"/>
        <v>65</v>
      </c>
      <c r="GS147" vm="2936">
        <f ca="1"/>
        <v>66.739999999999995</v>
      </c>
      <c r="GT147" vm="15200">
        <f ca="1"/>
        <v>68.77</v>
      </c>
      <c r="GU147" vm="3090">
        <f ca="1"/>
        <v>69.81</v>
      </c>
      <c r="GV147" vm="15203">
        <f ca="1"/>
        <v>71.290000000000006</v>
      </c>
      <c r="GW147" vm="20500">
        <f ca="1"/>
        <v>69.13</v>
      </c>
      <c r="GX147" vm="13845">
        <f ca="1"/>
        <v>70.06</v>
      </c>
      <c r="GY147" vm="10322">
        <f ca="1"/>
        <v>68.739999999999995</v>
      </c>
      <c r="GZ147" vm="11433">
        <f ca="1"/>
        <v>66.2</v>
      </c>
      <c r="HA147" vm="20501">
        <f ca="1"/>
        <v>65.81</v>
      </c>
      <c r="HB147" vm="9660">
        <f ca="1"/>
        <v>63.91</v>
      </c>
      <c r="HC147" vm="1471">
        <f ca="1"/>
        <v>63.17</v>
      </c>
      <c r="HD147" vm="13426">
        <f ca="1"/>
        <v>61.43</v>
      </c>
      <c r="HE147" vm="13410">
        <f ca="1"/>
        <v>60.47</v>
      </c>
      <c r="HF147" vm="8716">
        <f ca="1"/>
        <v>62.93</v>
      </c>
      <c r="HG147" vm="18837">
        <f ca="1"/>
        <v>63.49</v>
      </c>
      <c r="HH147" vm="13421">
        <f ca="1"/>
        <v>61.21</v>
      </c>
      <c r="HI147" vm="8859">
        <f ca="1"/>
        <v>62.56</v>
      </c>
      <c r="HJ147" vm="11391">
        <f ca="1"/>
        <v>62.83</v>
      </c>
      <c r="HK147" vm="13831">
        <f ca="1"/>
        <v>65.28</v>
      </c>
      <c r="HL147" vm="8719">
        <f ca="1"/>
        <v>64.489999999999995</v>
      </c>
      <c r="HM147" vm="8860">
        <f ca="1"/>
        <v>62.75</v>
      </c>
      <c r="HN147" vm="8631">
        <f ca="1"/>
        <v>60.4</v>
      </c>
      <c r="HO147" vm="13424">
        <f ca="1"/>
        <v>62.3</v>
      </c>
      <c r="HP147" vm="1656">
        <f ca="1"/>
        <v>60.53</v>
      </c>
      <c r="HQ147" vm="9699">
        <f ca="1"/>
        <v>57.18</v>
      </c>
      <c r="HR147" vm="3013">
        <f ca="1"/>
        <v>58.92</v>
      </c>
      <c r="HS147" vm="2951">
        <f ca="1"/>
        <v>57.26</v>
      </c>
      <c r="HT147" vm="14080">
        <f ca="1"/>
        <v>58.88</v>
      </c>
      <c r="HU147" vm="8673">
        <f ca="1"/>
        <v>60.19</v>
      </c>
      <c r="HV147" vm="13389">
        <f ca="1"/>
        <v>58.35</v>
      </c>
      <c r="HW147" vm="8680">
        <f ca="1"/>
        <v>57.59</v>
      </c>
      <c r="HX147" vm="20502">
        <f ca="1"/>
        <v>55.59</v>
      </c>
      <c r="HY147" vm="20503">
        <f ca="1"/>
        <v>53.475000000000001</v>
      </c>
      <c r="HZ147" vm="3113">
        <f ca="1"/>
        <v>52.1</v>
      </c>
      <c r="IA147" vm="2768">
        <f ca="1"/>
        <v>52.66</v>
      </c>
      <c r="IB147" vm="42">
        <f ca="1"/>
        <v>50.73</v>
      </c>
      <c r="IC147" vm="3103">
        <f ca="1"/>
        <v>48.96</v>
      </c>
      <c r="ID147" vm="3104">
        <f ca="1"/>
        <v>47.97</v>
      </c>
      <c r="IE147" vm="3105">
        <f ca="1"/>
        <v>50.57</v>
      </c>
      <c r="IF147" vm="1142">
        <f ca="1"/>
        <v>49.56</v>
      </c>
      <c r="IG147" vm="3106">
        <f ca="1"/>
        <v>51.03</v>
      </c>
      <c r="IH147" vm="3107">
        <f ca="1"/>
        <v>51.55</v>
      </c>
      <c r="II147" vm="3108">
        <f ca="1"/>
        <v>48.5</v>
      </c>
      <c r="IJ147" vm="469">
        <f ca="1"/>
        <v>51.67</v>
      </c>
      <c r="IK147" vm="3109">
        <f ca="1"/>
        <v>52.74</v>
      </c>
      <c r="IL147" vm="3110">
        <f ca="1"/>
        <v>52.51</v>
      </c>
      <c r="IM147" vm="3111">
        <f ca="1"/>
        <v>50.69</v>
      </c>
      <c r="IN147" vm="841">
        <f ca="1"/>
        <v>51.52</v>
      </c>
      <c r="IO147" vm="3112">
        <f ca="1"/>
        <v>52.85</v>
      </c>
      <c r="IP147" vm="2921">
        <f ca="1"/>
        <v>52.49</v>
      </c>
      <c r="IQ147" vm="3113">
        <f ca="1"/>
        <v>52.1</v>
      </c>
      <c r="IR147" vm="3114">
        <f ca="1"/>
        <v>51.2</v>
      </c>
      <c r="IS147" vm="3115">
        <f ca="1"/>
        <v>48.66</v>
      </c>
      <c r="IT147" vm="3116">
        <f ca="1"/>
        <v>49.71</v>
      </c>
      <c r="IU147" vm="3117">
        <f ca="1"/>
        <v>48.71</v>
      </c>
      <c r="IV147" vm="1268">
        <f ca="1"/>
        <v>47.96</v>
      </c>
      <c r="IW147" vm="125">
        <f ca="1"/>
        <v>49.91</v>
      </c>
    </row>
    <row r="148" spans="1:257" ht="16" x14ac:dyDescent="0.2">
      <c r="A148" t="e" vm="3118">
        <v>#VALUE!</v>
      </c>
      <c r="B148" s="23" t="str" cm="1">
        <f t="array" aca="1" ref="B148" ca="1">_FV(A148,"ticker symbol",TRUE)</f>
        <v>ETHA</v>
      </c>
      <c r="C148" s="23" t="str" cm="1">
        <f t="array" aca="1" ref="C148" ca="1">_FV(A148,"Name")</f>
        <v>iShares Ethereum Trust</v>
      </c>
      <c r="D148" cm="1" vm="10579">
        <f t="array" aca="1" ref="D148:IW148" ca="1">TRANSPOSE(_xlfn.STOCKHISTORY(B148, WORKDAY(TODAY(), -265), TODAY(), 0, 0, 1))</f>
        <v>30.69</v>
      </c>
      <c r="E148" vm="13971">
        <f ca="1"/>
        <v>29.83</v>
      </c>
      <c r="F148" vm="2979">
        <f ca="1"/>
        <v>27.95</v>
      </c>
      <c r="G148" vm="2810">
        <f ca="1"/>
        <v>25.57</v>
      </c>
      <c r="H148" vm="2246">
        <f ca="1"/>
        <v>26.09</v>
      </c>
      <c r="I148" vm="2809">
        <f ca="1"/>
        <v>25.75</v>
      </c>
      <c r="J148" vm="17499">
        <f ca="1"/>
        <v>26.57</v>
      </c>
      <c r="K148" vm="16384">
        <f ca="1"/>
        <v>25.19</v>
      </c>
      <c r="L148" vm="16378">
        <f ca="1"/>
        <v>25.24</v>
      </c>
      <c r="M148" vm="17980">
        <f ca="1"/>
        <v>25.72</v>
      </c>
      <c r="N148" vm="20504">
        <f ca="1"/>
        <v>25.29</v>
      </c>
      <c r="O148" vm="31">
        <f ca="1"/>
        <v>26.2</v>
      </c>
      <c r="P148" vm="17175">
        <f ca="1"/>
        <v>27.33</v>
      </c>
      <c r="Q148" vm="16424">
        <f ca="1"/>
        <v>27.94</v>
      </c>
      <c r="R148" vm="17513">
        <f ca="1"/>
        <v>25.65</v>
      </c>
      <c r="S148" vm="16379">
        <f ca="1"/>
        <v>24.84</v>
      </c>
      <c r="T148" vm="10596">
        <f ca="1"/>
        <v>24.69</v>
      </c>
      <c r="U148" vm="18348">
        <f ca="1"/>
        <v>23.4</v>
      </c>
      <c r="V148" vm="19561">
        <f ca="1"/>
        <v>24.42</v>
      </c>
      <c r="W148" vm="2868">
        <f ca="1"/>
        <v>26.05</v>
      </c>
      <c r="X148" vm="20504">
        <f ca="1"/>
        <v>25.29</v>
      </c>
      <c r="Y148" vm="1456">
        <f ca="1"/>
        <v>26.69</v>
      </c>
      <c r="Z148" vm="19550">
        <f ca="1"/>
        <v>25.1</v>
      </c>
      <c r="AA148" vm="18345">
        <f ca="1"/>
        <v>24.65</v>
      </c>
      <c r="AB148" vm="16367">
        <f ca="1"/>
        <v>24.59</v>
      </c>
      <c r="AC148" vm="16391">
        <f ca="1"/>
        <v>25.25</v>
      </c>
      <c r="AD148" vm="16945">
        <f ca="1"/>
        <v>23.79</v>
      </c>
      <c r="AE148" vm="2428">
        <f ca="1"/>
        <v>23.43</v>
      </c>
      <c r="AF148" vm="16945">
        <f ca="1"/>
        <v>23.79</v>
      </c>
      <c r="AG148" vm="16934">
        <f ca="1"/>
        <v>24.5</v>
      </c>
      <c r="AH148" vm="2058">
        <f ca="1"/>
        <v>25.12</v>
      </c>
      <c r="AI148" vm="2450">
        <f ca="1"/>
        <v>20.53</v>
      </c>
      <c r="AJ148" vm="20505">
        <f ca="1"/>
        <v>20.715</v>
      </c>
      <c r="AK148" vm="16703">
        <f ca="1"/>
        <v>20.94</v>
      </c>
      <c r="AL148" vm="20506">
        <f ca="1"/>
        <v>20.61</v>
      </c>
      <c r="AM148" vm="13297">
        <f ca="1"/>
        <v>19.59</v>
      </c>
      <c r="AN148" vm="20507">
        <f ca="1"/>
        <v>20.350000000000001</v>
      </c>
      <c r="AO148" vm="17726">
        <f ca="1"/>
        <v>19.64</v>
      </c>
      <c r="AP148" vm="20508">
        <f ca="1"/>
        <v>20.29</v>
      </c>
      <c r="AQ148" vm="17733">
        <f ca="1"/>
        <v>20.09</v>
      </c>
      <c r="AR148" vm="2446">
        <f ca="1"/>
        <v>20.68</v>
      </c>
      <c r="AS148" vm="17729">
        <f ca="1"/>
        <v>19.899999999999999</v>
      </c>
      <c r="AT148" vm="20506">
        <f ca="1"/>
        <v>20.61</v>
      </c>
      <c r="AU148" vm="2132">
        <f ca="1"/>
        <v>20.85</v>
      </c>
      <c r="AV148" vm="17567">
        <f ca="1"/>
        <v>19.87</v>
      </c>
      <c r="AW148" vm="13306">
        <f ca="1"/>
        <v>19.989999999999998</v>
      </c>
      <c r="AX148" vm="13278">
        <f ca="1"/>
        <v>18.829999999999998</v>
      </c>
      <c r="AY148" vm="17332">
        <f ca="1"/>
        <v>17.66</v>
      </c>
      <c r="AZ148" vm="18059">
        <f ca="1"/>
        <v>17.05</v>
      </c>
      <c r="BA148" vm="20509">
        <f ca="1"/>
        <v>16.79</v>
      </c>
      <c r="BB148" vm="19477">
        <f ca="1"/>
        <v>16.09</v>
      </c>
      <c r="BC148" vm="18051">
        <f ca="1"/>
        <v>16.2</v>
      </c>
      <c r="BD148" vm="17322">
        <f ca="1"/>
        <v>16.91</v>
      </c>
      <c r="BE148" vm="17316">
        <f ca="1"/>
        <v>16.649999999999999</v>
      </c>
      <c r="BF148" vm="19483">
        <f ca="1"/>
        <v>16.309999999999999</v>
      </c>
      <c r="BG148" vm="17410">
        <f ca="1"/>
        <v>14.12</v>
      </c>
      <c r="BH148" vm="17340">
        <f ca="1"/>
        <v>14.75</v>
      </c>
      <c r="BI148" vm="17339">
        <f ca="1"/>
        <v>14.2</v>
      </c>
      <c r="BJ148" vm="20510">
        <f ca="1"/>
        <v>13.98</v>
      </c>
      <c r="BK148" vm="18028">
        <f ca="1"/>
        <v>14.64</v>
      </c>
      <c r="BL148" vm="20511">
        <f ca="1"/>
        <v>14.69</v>
      </c>
      <c r="BM148" vm="19683">
        <f ca="1"/>
        <v>14.39</v>
      </c>
      <c r="BN148" vm="20512">
        <f ca="1"/>
        <v>15.38</v>
      </c>
      <c r="BO148" vm="19608">
        <f ca="1"/>
        <v>14.93</v>
      </c>
      <c r="BP148" vm="19608">
        <f ca="1"/>
        <v>14.93</v>
      </c>
      <c r="BQ148" vm="19475">
        <f ca="1"/>
        <v>15.83</v>
      </c>
      <c r="BR148" vm="19706">
        <f ca="1"/>
        <v>15.72</v>
      </c>
      <c r="BS148" vm="2382">
        <f ca="1"/>
        <v>15.13</v>
      </c>
      <c r="BT148" vm="19694">
        <f ca="1"/>
        <v>15.17</v>
      </c>
      <c r="BU148" vm="20513">
        <f ca="1"/>
        <v>14.16</v>
      </c>
      <c r="BV148" vm="18045">
        <f ca="1"/>
        <v>13.82</v>
      </c>
      <c r="BW148" vm="17346">
        <f ca="1"/>
        <v>14.47</v>
      </c>
      <c r="BX148" vm="17346">
        <f ca="1"/>
        <v>14.47</v>
      </c>
      <c r="BY148" vm="20514">
        <f ca="1"/>
        <v>13.51</v>
      </c>
      <c r="BZ148" vm="20515">
        <f ca="1"/>
        <v>13.7</v>
      </c>
      <c r="CA148" vm="20516">
        <f ca="1"/>
        <v>11.63</v>
      </c>
      <c r="CB148" vm="20517">
        <f ca="1"/>
        <v>11.07</v>
      </c>
      <c r="CC148" vm="17378">
        <f ca="1"/>
        <v>12.42</v>
      </c>
      <c r="CD148" vm="20518">
        <f ca="1"/>
        <v>11.43</v>
      </c>
      <c r="CE148" vm="20519">
        <f ca="1"/>
        <v>11.85</v>
      </c>
      <c r="CF148" vm="17361">
        <f ca="1"/>
        <v>12.4</v>
      </c>
      <c r="CG148" vm="17365">
        <f ca="1"/>
        <v>12.16</v>
      </c>
      <c r="CH148" vm="20520">
        <f ca="1"/>
        <v>12.01</v>
      </c>
      <c r="CI148" vm="20521">
        <f ca="1"/>
        <v>11.98</v>
      </c>
      <c r="CJ148" vm="20522">
        <f ca="1"/>
        <v>11.92</v>
      </c>
      <c r="CK148" vm="17400">
        <f ca="1"/>
        <v>12.89</v>
      </c>
      <c r="CL148" vm="20523">
        <f ca="1"/>
        <v>13.55</v>
      </c>
      <c r="CM148" vm="18034">
        <f ca="1"/>
        <v>13.37</v>
      </c>
      <c r="CN148" vm="17349">
        <f ca="1"/>
        <v>13.67</v>
      </c>
      <c r="CO148" vm="18041">
        <f ca="1"/>
        <v>13.61</v>
      </c>
      <c r="CP148" vm="18045">
        <f ca="1"/>
        <v>13.82</v>
      </c>
      <c r="CQ148" vm="18035">
        <f ca="1"/>
        <v>13.52</v>
      </c>
      <c r="CR148" vm="19628">
        <f ca="1"/>
        <v>13.96</v>
      </c>
      <c r="CS148" vm="17405">
        <f ca="1"/>
        <v>13.93</v>
      </c>
      <c r="CT148" vm="19663">
        <f ca="1"/>
        <v>13.74</v>
      </c>
      <c r="CU148" vm="19660">
        <f ca="1"/>
        <v>13.5</v>
      </c>
      <c r="CV148" vm="17352">
        <f ca="1"/>
        <v>13.59</v>
      </c>
      <c r="CW148" vm="17325">
        <f ca="1"/>
        <v>16.059999999999999</v>
      </c>
      <c r="CX148" vm="20524">
        <f ca="1"/>
        <v>17.68</v>
      </c>
      <c r="CY148" vm="17289">
        <f ca="1"/>
        <v>18.63</v>
      </c>
      <c r="CZ148" vm="17285">
        <f ca="1"/>
        <v>20.41</v>
      </c>
      <c r="DA148" vm="17728">
        <f ca="1"/>
        <v>19.71</v>
      </c>
      <c r="DB148" vm="13286">
        <f ca="1"/>
        <v>19.16</v>
      </c>
      <c r="DC148" vm="17276">
        <f ca="1"/>
        <v>19.649999999999999</v>
      </c>
      <c r="DD148" vm="17667">
        <f ca="1"/>
        <v>19.079999999999998</v>
      </c>
      <c r="DE148" vm="16727">
        <f ca="1"/>
        <v>18.940000000000001</v>
      </c>
      <c r="DF148" vm="17716">
        <f ca="1"/>
        <v>19.03</v>
      </c>
      <c r="DG148" vm="13306">
        <f ca="1"/>
        <v>19.989999999999998</v>
      </c>
      <c r="DH148" vm="19500">
        <f ca="1"/>
        <v>19.38</v>
      </c>
      <c r="DI148" vm="20525">
        <f ca="1"/>
        <v>20.38</v>
      </c>
      <c r="DJ148" vm="17719">
        <f ca="1"/>
        <v>19.84</v>
      </c>
      <c r="DK148" vm="17733">
        <f ca="1"/>
        <v>20.09</v>
      </c>
      <c r="DL148" vm="17675">
        <f ca="1"/>
        <v>19.489999999999998</v>
      </c>
      <c r="DM148" vm="17570">
        <f ca="1"/>
        <v>19.18</v>
      </c>
      <c r="DN148" vm="13277">
        <f ca="1"/>
        <v>19.91</v>
      </c>
      <c r="DO148" vm="2453">
        <f ca="1"/>
        <v>19.88</v>
      </c>
      <c r="DP148" vm="17275">
        <f ca="1"/>
        <v>19.149999999999999</v>
      </c>
      <c r="DQ148" vm="17588">
        <f ca="1"/>
        <v>18.809999999999999</v>
      </c>
      <c r="DR148" vm="17723">
        <f ca="1"/>
        <v>19.559999999999999</v>
      </c>
      <c r="DS148" vm="2135">
        <f ca="1"/>
        <v>21.02</v>
      </c>
      <c r="DT148" vm="2282">
        <f ca="1"/>
        <v>21.31</v>
      </c>
      <c r="DU148" vm="13276">
        <f ca="1"/>
        <v>20.39</v>
      </c>
      <c r="DV148" vm="20526">
        <f ca="1"/>
        <v>19.14</v>
      </c>
      <c r="DW148" vm="18357">
        <f ca="1"/>
        <v>20.16</v>
      </c>
      <c r="DX148" vm="20526">
        <f ca="1"/>
        <v>19.14</v>
      </c>
      <c r="DY148" vm="17574">
        <f ca="1"/>
        <v>18.88</v>
      </c>
      <c r="DZ148" vm="17589">
        <f ca="1"/>
        <v>18.27</v>
      </c>
      <c r="EA148" vm="19497">
        <f ca="1"/>
        <v>17.52</v>
      </c>
      <c r="EB148" vm="20527">
        <f ca="1"/>
        <v>18.45</v>
      </c>
      <c r="EC148" vm="17604">
        <f ca="1"/>
        <v>18.399999999999999</v>
      </c>
      <c r="ED148" vm="17697">
        <f ca="1"/>
        <v>18.46</v>
      </c>
      <c r="EE148" vm="17589">
        <f ca="1"/>
        <v>18.27</v>
      </c>
      <c r="EF148" vm="17287">
        <f ca="1"/>
        <v>19.07</v>
      </c>
      <c r="EG148" vm="17309">
        <f ca="1"/>
        <v>18.190000000000001</v>
      </c>
      <c r="EH148" vm="18057">
        <f ca="1"/>
        <v>19.75</v>
      </c>
      <c r="EI148" vm="17675">
        <f ca="1"/>
        <v>19.489999999999998</v>
      </c>
      <c r="EJ148" vm="17721">
        <f ca="1"/>
        <v>19.260000000000002</v>
      </c>
      <c r="EK148" vm="17682">
        <f ca="1"/>
        <v>19.78</v>
      </c>
      <c r="EL148" vm="2131">
        <f ca="1"/>
        <v>20.97</v>
      </c>
      <c r="EM148" vm="16741">
        <f ca="1"/>
        <v>21.35</v>
      </c>
      <c r="EN148" vm="13254">
        <f ca="1"/>
        <v>22.8</v>
      </c>
      <c r="EO148" vm="13351">
        <f ca="1"/>
        <v>22.75</v>
      </c>
      <c r="EP148" vm="13357">
        <f ca="1"/>
        <v>23.05</v>
      </c>
      <c r="EQ148" vm="17967">
        <f ca="1"/>
        <v>25.63</v>
      </c>
      <c r="ER148" vm="97">
        <f ca="1"/>
        <v>25.88</v>
      </c>
      <c r="ES148" vm="13935">
        <f ca="1"/>
        <v>26.92</v>
      </c>
      <c r="ET148" vm="19887">
        <f ca="1"/>
        <v>28.32</v>
      </c>
      <c r="EU148" vm="17170">
        <f ca="1"/>
        <v>27.81</v>
      </c>
      <c r="EV148" vm="17511">
        <f ca="1"/>
        <v>27.17</v>
      </c>
      <c r="EW148" vm="17488">
        <f ca="1"/>
        <v>28.38</v>
      </c>
      <c r="EX148" vm="2884">
        <f ca="1"/>
        <v>27.58</v>
      </c>
      <c r="EY148" vm="19300">
        <f ca="1"/>
        <v>28.79</v>
      </c>
      <c r="EZ148" vm="13941">
        <f ca="1"/>
        <v>28.49</v>
      </c>
      <c r="FA148" vm="19885">
        <f ca="1"/>
        <v>28.48</v>
      </c>
      <c r="FB148" vm="10593">
        <f ca="1"/>
        <v>28.27</v>
      </c>
      <c r="FC148" vm="9029">
        <f ca="1"/>
        <v>26.51</v>
      </c>
      <c r="FD148" vm="17971">
        <f ca="1"/>
        <v>27.75</v>
      </c>
      <c r="FE148" vm="17173">
        <f ca="1"/>
        <v>27.02</v>
      </c>
      <c r="FF148" vm="2978">
        <f ca="1"/>
        <v>27.91</v>
      </c>
      <c r="FG148" vm="13930">
        <f ca="1"/>
        <v>29.31</v>
      </c>
      <c r="FH148" vm="9062">
        <f ca="1"/>
        <v>30.79</v>
      </c>
      <c r="FI148" vm="20528">
        <f ca="1"/>
        <v>32.25</v>
      </c>
      <c r="FJ148" vm="19830">
        <f ca="1"/>
        <v>34.25</v>
      </c>
      <c r="FK148" vm="15705">
        <f ca="1"/>
        <v>35.9</v>
      </c>
      <c r="FL148" vm="9096">
        <f ca="1"/>
        <v>34.369999999999997</v>
      </c>
      <c r="FM148" vm="2376">
        <f ca="1"/>
        <v>33.15</v>
      </c>
      <c r="FN148" vm="17202">
        <f ca="1"/>
        <v>32.97</v>
      </c>
      <c r="FO148" vm="9056">
        <f ca="1"/>
        <v>31.3</v>
      </c>
      <c r="FP148" vm="15762">
        <f ca="1"/>
        <v>32.909999999999997</v>
      </c>
      <c r="FQ148" vm="16416">
        <f ca="1"/>
        <v>31.94</v>
      </c>
      <c r="FR148" vm="1572">
        <f ca="1"/>
        <v>36.590000000000003</v>
      </c>
      <c r="FS148" vm="8985">
        <f ca="1"/>
        <v>33.450000000000003</v>
      </c>
      <c r="FT148" vm="10641">
        <f ca="1"/>
        <v>34.82</v>
      </c>
      <c r="FU148" vm="10640">
        <f ca="1"/>
        <v>34.56</v>
      </c>
      <c r="FV148" vm="19040">
        <f ca="1"/>
        <v>33.57</v>
      </c>
      <c r="FW148" vm="20529">
        <f ca="1"/>
        <v>32.82</v>
      </c>
      <c r="FX148" vm="19451">
        <f ca="1"/>
        <v>32.299999999999997</v>
      </c>
      <c r="FY148" vm="17222">
        <f ca="1"/>
        <v>33.869999999999997</v>
      </c>
      <c r="FZ148" vm="19451">
        <f ca="1"/>
        <v>32.299999999999997</v>
      </c>
      <c r="GA148" vm="2707">
        <f ca="1"/>
        <v>32.770000000000003</v>
      </c>
      <c r="GB148" vm="10635">
        <f ca="1"/>
        <v>32.46</v>
      </c>
      <c r="GC148" vm="20530">
        <f ca="1"/>
        <v>32.475000000000001</v>
      </c>
      <c r="GD148" vm="14009">
        <f ca="1"/>
        <v>32.700000000000003</v>
      </c>
      <c r="GE148" vm="810">
        <f ca="1"/>
        <v>33.49</v>
      </c>
      <c r="GF148" vm="827">
        <f ca="1"/>
        <v>35.36</v>
      </c>
      <c r="GG148" vm="20531">
        <f ca="1"/>
        <v>34.01</v>
      </c>
      <c r="GH148" vm="19323">
        <f ca="1"/>
        <v>34</v>
      </c>
      <c r="GI148" vm="17221">
        <f ca="1"/>
        <v>34.18</v>
      </c>
      <c r="GJ148" vm="9179">
        <f ca="1"/>
        <v>34.729999999999997</v>
      </c>
      <c r="GK148" vm="19040">
        <f ca="1"/>
        <v>33.57</v>
      </c>
      <c r="GL148" vm="10570">
        <f ca="1"/>
        <v>31.29</v>
      </c>
      <c r="GM148" vm="9059">
        <f ca="1"/>
        <v>31.41</v>
      </c>
      <c r="GN148" vm="8975">
        <f ca="1"/>
        <v>31.46</v>
      </c>
      <c r="GO148" vm="16422">
        <f ca="1"/>
        <v>29.58</v>
      </c>
      <c r="GP148" vm="13923">
        <f ca="1"/>
        <v>30.46</v>
      </c>
      <c r="GQ148" vm="16472">
        <f ca="1"/>
        <v>31.72</v>
      </c>
      <c r="GR148" vm="9051">
        <f ca="1"/>
        <v>31.51</v>
      </c>
      <c r="GS148" vm="14013">
        <f ca="1"/>
        <v>32.799999999999997</v>
      </c>
      <c r="GT148" vm="17829">
        <f ca="1"/>
        <v>34.049999999999997</v>
      </c>
      <c r="GU148" vm="9074">
        <f ca="1"/>
        <v>34.26</v>
      </c>
      <c r="GV148" vm="825">
        <f ca="1"/>
        <v>35.79</v>
      </c>
      <c r="GW148" vm="9181">
        <f ca="1"/>
        <v>33.9</v>
      </c>
      <c r="GX148" vm="19305">
        <f ca="1"/>
        <v>34.17</v>
      </c>
      <c r="GY148" vm="15763">
        <f ca="1"/>
        <v>32.81</v>
      </c>
      <c r="GZ148" vm="13994">
        <f ca="1"/>
        <v>30.2</v>
      </c>
      <c r="HA148" vm="20532">
        <f ca="1"/>
        <v>32.18</v>
      </c>
      <c r="HB148" vm="9052">
        <f ca="1"/>
        <v>31.08</v>
      </c>
      <c r="HC148" vm="10555">
        <f ca="1"/>
        <v>30.15</v>
      </c>
      <c r="HD148" vm="9038">
        <f ca="1"/>
        <v>29.24</v>
      </c>
      <c r="HE148" vm="16500">
        <f ca="1"/>
        <v>28.94</v>
      </c>
      <c r="HF148" vm="20533">
        <f ca="1"/>
        <v>30.14</v>
      </c>
      <c r="HG148" vm="20534">
        <f ca="1"/>
        <v>30.28</v>
      </c>
      <c r="HH148" vm="13931">
        <f ca="1"/>
        <v>28.76</v>
      </c>
      <c r="HI148" vm="17197">
        <f ca="1"/>
        <v>29.19</v>
      </c>
      <c r="HJ148" vm="13911">
        <f ca="1"/>
        <v>29.71</v>
      </c>
      <c r="HK148" vm="16442">
        <f ca="1"/>
        <v>31.75</v>
      </c>
      <c r="HL148" vm="13901">
        <f ca="1"/>
        <v>30.59</v>
      </c>
      <c r="HM148" vm="16423">
        <f ca="1"/>
        <v>29.52</v>
      </c>
      <c r="HN148" vm="17471">
        <f ca="1"/>
        <v>27.83</v>
      </c>
      <c r="HO148" vm="17992">
        <f ca="1"/>
        <v>29.36</v>
      </c>
      <c r="HP148" vm="2879">
        <f ca="1"/>
        <v>27.09</v>
      </c>
      <c r="HQ148" vm="16348">
        <f ca="1"/>
        <v>24.28</v>
      </c>
      <c r="HR148" vm="13383">
        <f ca="1"/>
        <v>26.08</v>
      </c>
      <c r="HS148" vm="17816">
        <f ca="1"/>
        <v>25</v>
      </c>
      <c r="HT148" vm="17493">
        <f ca="1"/>
        <v>26.19</v>
      </c>
      <c r="HU148" vm="2878">
        <f ca="1"/>
        <v>26.98</v>
      </c>
      <c r="HV148" vm="17524">
        <f ca="1"/>
        <v>25.99</v>
      </c>
      <c r="HW148" vm="17969">
        <f ca="1"/>
        <v>25.79</v>
      </c>
      <c r="HX148" vm="16837">
        <f ca="1"/>
        <v>23.94</v>
      </c>
      <c r="HY148" vm="2151">
        <f ca="1"/>
        <v>23.69</v>
      </c>
      <c r="HZ148" vm="17821">
        <f ca="1"/>
        <v>22.71</v>
      </c>
      <c r="IA148" vm="16320">
        <f ca="1"/>
        <v>23.59</v>
      </c>
      <c r="IB148" vm="2288">
        <f ca="1"/>
        <v>22.24</v>
      </c>
      <c r="IC148" vm="3119">
        <f ca="1"/>
        <v>21.41</v>
      </c>
      <c r="ID148" vm="157">
        <f ca="1"/>
        <v>20.7</v>
      </c>
      <c r="IE148" vm="3120">
        <f ca="1"/>
        <v>22.45</v>
      </c>
      <c r="IF148" vm="2297">
        <f ca="1"/>
        <v>22.13</v>
      </c>
      <c r="IG148" vm="2456">
        <f ca="1"/>
        <v>22.9</v>
      </c>
      <c r="IH148" vm="3121">
        <f ca="1"/>
        <v>22.95</v>
      </c>
      <c r="II148" vm="3122">
        <f ca="1"/>
        <v>20.77</v>
      </c>
      <c r="IJ148" vm="3123">
        <f ca="1"/>
        <v>22.51</v>
      </c>
      <c r="IK148" vm="3124">
        <f ca="1"/>
        <v>23.72</v>
      </c>
      <c r="IL148" vm="3125">
        <f ca="1"/>
        <v>23.77</v>
      </c>
      <c r="IM148" vm="56">
        <f ca="1"/>
        <v>22.85</v>
      </c>
      <c r="IN148" vm="3124">
        <f ca="1"/>
        <v>23.72</v>
      </c>
      <c r="IO148" vm="3126">
        <f ca="1"/>
        <v>25.17</v>
      </c>
      <c r="IP148" vm="2059">
        <f ca="1"/>
        <v>25.39</v>
      </c>
      <c r="IQ148" vm="3127">
        <f ca="1"/>
        <v>24.38</v>
      </c>
      <c r="IR148" vm="3128">
        <f ca="1"/>
        <v>23.27</v>
      </c>
      <c r="IS148" vm="3129">
        <f ca="1"/>
        <v>22.12</v>
      </c>
      <c r="IT148" vm="3130">
        <f ca="1"/>
        <v>22.28</v>
      </c>
      <c r="IU148" vm="3131">
        <f ca="1"/>
        <v>21.32</v>
      </c>
      <c r="IV148" vm="3132">
        <f ca="1"/>
        <v>21</v>
      </c>
      <c r="IW148" vm="35">
        <f ca="1"/>
        <v>22.64</v>
      </c>
    </row>
    <row r="149" spans="1:257" ht="16" x14ac:dyDescent="0.2">
      <c r="A149" t="e" vm="3133">
        <v>#VALUE!</v>
      </c>
      <c r="B149" s="23" t="str" cm="1">
        <f t="array" aca="1" ref="B149" ca="1">_FV(A149,"ticker symbol",TRUE)</f>
        <v>TLT</v>
      </c>
      <c r="C149" s="23" t="str" cm="1">
        <f t="array" aca="1" ref="C149" ca="1">_FV(A149,"Name")</f>
        <v>iShares:20+ Trs Bd ETF</v>
      </c>
      <c r="D149" cm="1" vm="20535">
        <f t="array" aca="1" ref="D149:IW149" ca="1">TRANSPOSE(_xlfn.STOCKHISTORY(B149, WORKDAY(TODAY(), -265), TODAY(), 0, 0, 1))</f>
        <v>90.42</v>
      </c>
      <c r="E149" vm="2020">
        <f ca="1"/>
        <v>90.64</v>
      </c>
      <c r="F149" vm="16223">
        <f ca="1"/>
        <v>89.16</v>
      </c>
      <c r="G149" vm="533">
        <f ca="1"/>
        <v>87.81</v>
      </c>
      <c r="H149" vm="3144">
        <f ca="1"/>
        <v>88.31</v>
      </c>
      <c r="I149" vm="20536">
        <f ca="1"/>
        <v>87.5</v>
      </c>
      <c r="J149" vm="6815">
        <f ca="1"/>
        <v>87.87</v>
      </c>
      <c r="K149" vm="6104">
        <f ca="1"/>
        <v>87.82</v>
      </c>
      <c r="L149" vm="6170">
        <f ca="1"/>
        <v>87.1</v>
      </c>
      <c r="M149" vm="3148">
        <f ca="1"/>
        <v>87.8</v>
      </c>
      <c r="N149" vm="14603">
        <f ca="1"/>
        <v>87.33</v>
      </c>
      <c r="O149" vm="6852">
        <f ca="1"/>
        <v>87.57</v>
      </c>
      <c r="P149" vm="978">
        <f ca="1"/>
        <v>87.29</v>
      </c>
      <c r="Q149" vm="1840">
        <f ca="1"/>
        <v>86.9</v>
      </c>
      <c r="R149" vm="20537">
        <f ca="1"/>
        <v>85.92</v>
      </c>
      <c r="S149" vm="6157">
        <f ca="1"/>
        <v>86.03</v>
      </c>
      <c r="T149" vm="6163">
        <f ca="1"/>
        <v>85.46</v>
      </c>
      <c r="U149" vm="10231">
        <f ca="1"/>
        <v>85.43</v>
      </c>
      <c r="V149" vm="14592">
        <f ca="1"/>
        <v>85.29</v>
      </c>
      <c r="W149" vm="20538">
        <f ca="1"/>
        <v>86.76</v>
      </c>
      <c r="X149" vm="6746">
        <f ca="1"/>
        <v>87.04</v>
      </c>
      <c r="Y149" vm="1491">
        <f ca="1"/>
        <v>87.19</v>
      </c>
      <c r="Z149" vm="3143">
        <f ca="1"/>
        <v>87.97</v>
      </c>
      <c r="AA149" vm="55">
        <f ca="1"/>
        <v>87.51</v>
      </c>
      <c r="AB149" vm="14594">
        <f ca="1"/>
        <v>86.83</v>
      </c>
      <c r="AC149" vm="20539">
        <f ca="1"/>
        <v>87.22</v>
      </c>
      <c r="AD149" vm="12981">
        <f ca="1"/>
        <v>88.25</v>
      </c>
      <c r="AE149" vm="3145">
        <f ca="1"/>
        <v>88.19</v>
      </c>
      <c r="AF149" vm="6216">
        <f ca="1"/>
        <v>88.01</v>
      </c>
      <c r="AG149" vm="20540">
        <f ca="1"/>
        <v>88.34</v>
      </c>
      <c r="AH149" vm="6206">
        <f ca="1"/>
        <v>87.76</v>
      </c>
      <c r="AI149" vm="1492">
        <f ca="1"/>
        <v>88.16</v>
      </c>
      <c r="AJ149" vm="12507">
        <f ca="1"/>
        <v>88.43</v>
      </c>
      <c r="AK149" vm="12967">
        <f ca="1"/>
        <v>89.89</v>
      </c>
      <c r="AL149" vm="4506">
        <f ca="1"/>
        <v>89.85</v>
      </c>
      <c r="AM149" vm="4533">
        <f ca="1"/>
        <v>89.27</v>
      </c>
      <c r="AN149" vm="6750">
        <f ca="1"/>
        <v>89</v>
      </c>
      <c r="AO149" vm="12507">
        <f ca="1"/>
        <v>88.43</v>
      </c>
      <c r="AP149" vm="5579">
        <f ca="1"/>
        <v>87.23</v>
      </c>
      <c r="AQ149" vm="1896">
        <f ca="1"/>
        <v>88.68</v>
      </c>
      <c r="AR149" vm="593">
        <f ca="1"/>
        <v>89.15</v>
      </c>
      <c r="AS149" vm="6153">
        <f ca="1"/>
        <v>88.1</v>
      </c>
      <c r="AT149" vm="20541">
        <f ca="1"/>
        <v>88.21</v>
      </c>
      <c r="AU149" vm="20542">
        <f ca="1"/>
        <v>88.54</v>
      </c>
      <c r="AV149" vm="6102">
        <f ca="1"/>
        <v>89.61</v>
      </c>
      <c r="AW149" vm="7944">
        <f ca="1"/>
        <v>89.87</v>
      </c>
      <c r="AX149" vm="1897">
        <f ca="1"/>
        <v>91.42</v>
      </c>
      <c r="AY149" vm="6831">
        <f ca="1"/>
        <v>91.96</v>
      </c>
      <c r="AZ149" vm="1316">
        <f ca="1"/>
        <v>91.31</v>
      </c>
      <c r="BA149" vm="6120">
        <f ca="1"/>
        <v>92.43</v>
      </c>
      <c r="BB149" vm="1314">
        <f ca="1"/>
        <v>92.57</v>
      </c>
      <c r="BC149" vm="6801">
        <f ca="1"/>
        <v>91.43</v>
      </c>
      <c r="BD149" vm="13451">
        <f ca="1"/>
        <v>90.7</v>
      </c>
      <c r="BE149" vm="7286">
        <f ca="1"/>
        <v>90.4</v>
      </c>
      <c r="BF149" vm="12980">
        <f ca="1"/>
        <v>90.11</v>
      </c>
      <c r="BG149" vm="16238">
        <f ca="1"/>
        <v>91.05</v>
      </c>
      <c r="BH149" vm="7286">
        <f ca="1"/>
        <v>90.4</v>
      </c>
      <c r="BI149" vm="6843">
        <f ca="1"/>
        <v>89.86</v>
      </c>
      <c r="BJ149" vm="12483">
        <f ca="1"/>
        <v>90.65</v>
      </c>
      <c r="BK149" vm="12503">
        <f ca="1"/>
        <v>90.17</v>
      </c>
      <c r="BL149" vm="1842">
        <f ca="1"/>
        <v>90.62</v>
      </c>
      <c r="BM149" vm="6834">
        <f ca="1"/>
        <v>90.71</v>
      </c>
      <c r="BN149" vm="15281">
        <f ca="1"/>
        <v>91.18</v>
      </c>
      <c r="BO149" vm="4475">
        <f ca="1"/>
        <v>91.24</v>
      </c>
      <c r="BP149" vm="13451">
        <f ca="1"/>
        <v>90.7</v>
      </c>
      <c r="BQ149" vm="4473">
        <f ca="1"/>
        <v>89.77</v>
      </c>
      <c r="BR149" vm="6112">
        <f ca="1"/>
        <v>89.76</v>
      </c>
      <c r="BS149" vm="449">
        <f ca="1"/>
        <v>89.17</v>
      </c>
      <c r="BT149" vm="6203">
        <f ca="1"/>
        <v>88.91</v>
      </c>
      <c r="BU149" vm="1713">
        <f ca="1"/>
        <v>90.14</v>
      </c>
      <c r="BV149" vm="6812">
        <f ca="1"/>
        <v>91.03</v>
      </c>
      <c r="BW149" vm="20543">
        <f ca="1"/>
        <v>91.49</v>
      </c>
      <c r="BX149" vm="6801">
        <f ca="1"/>
        <v>91.43</v>
      </c>
      <c r="BY149" vm="20544">
        <f ca="1"/>
        <v>91.85</v>
      </c>
      <c r="BZ149" vm="6117">
        <f ca="1"/>
        <v>92.85</v>
      </c>
      <c r="CA149" vm="6822">
        <f ca="1"/>
        <v>90.05</v>
      </c>
      <c r="CB149" vm="6818">
        <f ca="1"/>
        <v>88.35</v>
      </c>
      <c r="CC149" vm="20545">
        <f ca="1"/>
        <v>88.87</v>
      </c>
      <c r="CD149" vm="6796">
        <f ca="1"/>
        <v>86.42</v>
      </c>
      <c r="CE149" vm="6212">
        <f ca="1"/>
        <v>86.89</v>
      </c>
      <c r="CF149" vm="55">
        <f ca="1"/>
        <v>87.51</v>
      </c>
      <c r="CG149" vm="6104">
        <f ca="1"/>
        <v>87.82</v>
      </c>
      <c r="CH149" vm="3144">
        <f ca="1"/>
        <v>88.31</v>
      </c>
      <c r="CI149" vm="6816">
        <f ca="1"/>
        <v>87.53</v>
      </c>
      <c r="CJ149" vm="14595">
        <f ca="1"/>
        <v>86</v>
      </c>
      <c r="CK149" vm="12433">
        <f ca="1"/>
        <v>86.48</v>
      </c>
      <c r="CL149" vm="976">
        <f ca="1"/>
        <v>87.32</v>
      </c>
      <c r="CM149" vm="15280">
        <f ca="1"/>
        <v>88.24</v>
      </c>
      <c r="CN149" vm="534">
        <f ca="1"/>
        <v>88.89</v>
      </c>
      <c r="CO149" vm="2028">
        <f ca="1"/>
        <v>89.45</v>
      </c>
      <c r="CP149" vm="1716">
        <f ca="1"/>
        <v>90.2</v>
      </c>
      <c r="CQ149" vm="20546">
        <f ca="1"/>
        <v>89.47</v>
      </c>
      <c r="CR149" vm="12458">
        <f ca="1"/>
        <v>88.69</v>
      </c>
      <c r="CS149" vm="6813">
        <f ca="1"/>
        <v>87.73</v>
      </c>
      <c r="CT149" vm="977">
        <f ca="1"/>
        <v>87.24</v>
      </c>
      <c r="CU149" vm="6816">
        <f ca="1"/>
        <v>87.53</v>
      </c>
      <c r="CV149" vm="12506">
        <f ca="1"/>
        <v>87.9</v>
      </c>
      <c r="CW149" vm="13022">
        <f ca="1"/>
        <v>86.92</v>
      </c>
      <c r="CX149" vm="4529">
        <f ca="1"/>
        <v>87.05</v>
      </c>
      <c r="CY149" vm="4509">
        <f ca="1"/>
        <v>86.24</v>
      </c>
      <c r="CZ149" vm="13468">
        <f ca="1"/>
        <v>85.89</v>
      </c>
      <c r="DA149" vm="13021">
        <f ca="1"/>
        <v>85.32</v>
      </c>
      <c r="DB149" vm="20547">
        <f ca="1"/>
        <v>86.07</v>
      </c>
      <c r="DC149" vm="6769">
        <f ca="1"/>
        <v>86.3</v>
      </c>
      <c r="DD149" vm="20548">
        <f ca="1"/>
        <v>86.05</v>
      </c>
      <c r="DE149" vm="10231">
        <f ca="1"/>
        <v>85.43</v>
      </c>
      <c r="DF149" vm="13472">
        <f ca="1"/>
        <v>83.97</v>
      </c>
      <c r="DG149" vm="7255">
        <f ca="1"/>
        <v>84.41</v>
      </c>
      <c r="DH149" vm="6072">
        <f ca="1"/>
        <v>84.55</v>
      </c>
      <c r="DI149" vm="17751">
        <f ca="1"/>
        <v>85.73</v>
      </c>
      <c r="DJ149" vm="15345">
        <f ca="1"/>
        <v>85.36</v>
      </c>
      <c r="DK149" vm="12468">
        <f ca="1"/>
        <v>86.15</v>
      </c>
      <c r="DL149" vm="7263">
        <f ca="1"/>
        <v>86.28</v>
      </c>
      <c r="DM149" vm="1971">
        <f ca="1"/>
        <v>85.16</v>
      </c>
      <c r="DN149" vm="20549">
        <f ca="1"/>
        <v>85.01</v>
      </c>
      <c r="DO149" vm="7258">
        <f ca="1"/>
        <v>86.39</v>
      </c>
      <c r="DP149" vm="20550">
        <f ca="1"/>
        <v>86.45</v>
      </c>
      <c r="DQ149" vm="10222">
        <f ca="1"/>
        <v>85.35</v>
      </c>
      <c r="DR149" vm="8293">
        <f ca="1"/>
        <v>85.44</v>
      </c>
      <c r="DS149" vm="14593">
        <f ca="1"/>
        <v>85.88</v>
      </c>
      <c r="DT149" vm="15326">
        <f ca="1"/>
        <v>86.14</v>
      </c>
      <c r="DU149" vm="20551">
        <f ca="1"/>
        <v>87.17</v>
      </c>
      <c r="DV149" vm="1707">
        <f ca="1"/>
        <v>86.33</v>
      </c>
      <c r="DW149" vm="6163">
        <f ca="1"/>
        <v>85.46</v>
      </c>
      <c r="DX149" vm="20552">
        <f ca="1"/>
        <v>86.5</v>
      </c>
      <c r="DY149" vm="6765">
        <f ca="1"/>
        <v>86.65</v>
      </c>
      <c r="DZ149" vm="7949">
        <f ca="1"/>
        <v>86.49</v>
      </c>
      <c r="EA149" vm="6853">
        <f ca="1"/>
        <v>86.77</v>
      </c>
      <c r="EB149" vm="3147">
        <f ca="1"/>
        <v>87.4</v>
      </c>
      <c r="EC149" vm="55">
        <f ca="1"/>
        <v>87.51</v>
      </c>
      <c r="ED149" vm="6734">
        <f ca="1"/>
        <v>87.95</v>
      </c>
      <c r="EE149" vm="12435">
        <f ca="1"/>
        <v>87.39</v>
      </c>
      <c r="EF149" vm="12981">
        <f ca="1"/>
        <v>88.25</v>
      </c>
      <c r="EG149" vm="1841">
        <f ca="1"/>
        <v>88.14</v>
      </c>
      <c r="EH149" vm="4530">
        <f ca="1"/>
        <v>87.58</v>
      </c>
      <c r="EI149" vm="6105">
        <f ca="1"/>
        <v>86.97</v>
      </c>
      <c r="EJ149" vm="15326">
        <f ca="1"/>
        <v>86.14</v>
      </c>
      <c r="EK149" vm="6157">
        <f ca="1"/>
        <v>86.03</v>
      </c>
      <c r="EL149" vm="1708">
        <f ca="1"/>
        <v>86.93</v>
      </c>
      <c r="EM149" vm="10221">
        <f ca="1"/>
        <v>86.99</v>
      </c>
      <c r="EN149" vm="6185">
        <f ca="1"/>
        <v>85.79</v>
      </c>
      <c r="EO149" vm="6138">
        <f ca="1"/>
        <v>85.61</v>
      </c>
      <c r="EP149" vm="20549">
        <f ca="1"/>
        <v>85.01</v>
      </c>
      <c r="EQ149" vm="20553">
        <f ca="1"/>
        <v>85.13</v>
      </c>
      <c r="ER149" vm="20554">
        <f ca="1"/>
        <v>85.11</v>
      </c>
      <c r="ES149" vm="13014">
        <f ca="1"/>
        <v>85.24</v>
      </c>
      <c r="ET149" vm="14595">
        <f ca="1"/>
        <v>86</v>
      </c>
      <c r="EU149" vm="532">
        <f ca="1"/>
        <v>86.52</v>
      </c>
      <c r="EV149" vm="7266">
        <f ca="1"/>
        <v>86.04</v>
      </c>
      <c r="EW149" vm="13468">
        <f ca="1"/>
        <v>85.89</v>
      </c>
      <c r="EX149" vm="20555">
        <f ca="1"/>
        <v>86.43</v>
      </c>
      <c r="EY149" vm="6790">
        <f ca="1"/>
        <v>85.87</v>
      </c>
      <c r="EZ149" vm="976">
        <f ca="1"/>
        <v>87.32</v>
      </c>
      <c r="FA149" vm="20556">
        <f ca="1"/>
        <v>86.87</v>
      </c>
      <c r="FB149" vm="13022">
        <f ca="1"/>
        <v>86.92</v>
      </c>
      <c r="FC149" vm="6104">
        <f ca="1"/>
        <v>87.82</v>
      </c>
      <c r="FD149" vm="4507">
        <f ca="1"/>
        <v>88.06</v>
      </c>
      <c r="FE149" vm="6747">
        <f ca="1"/>
        <v>88.33</v>
      </c>
      <c r="FF149" vm="6104">
        <f ca="1"/>
        <v>87.82</v>
      </c>
      <c r="FG149" vm="6199">
        <f ca="1"/>
        <v>87.67</v>
      </c>
      <c r="FH149" vm="978">
        <f ca="1"/>
        <v>87.29</v>
      </c>
      <c r="FI149" vm="12435">
        <f ca="1"/>
        <v>87.39</v>
      </c>
      <c r="FJ149" vm="14589">
        <f ca="1"/>
        <v>86.95</v>
      </c>
      <c r="FK149" vm="6199">
        <f ca="1"/>
        <v>87.67</v>
      </c>
      <c r="FL149" vm="13017">
        <f ca="1"/>
        <v>87.02</v>
      </c>
      <c r="FM149" vm="17753">
        <f ca="1"/>
        <v>86.4</v>
      </c>
      <c r="FN149" vm="12468">
        <f ca="1"/>
        <v>86.15</v>
      </c>
      <c r="FO149" vm="6765">
        <f ca="1"/>
        <v>86.65</v>
      </c>
      <c r="FP149" vm="14604">
        <f ca="1"/>
        <v>86.84</v>
      </c>
      <c r="FQ149" vm="20557">
        <f ca="1"/>
        <v>86.41</v>
      </c>
      <c r="FR149" vm="4529">
        <f ca="1"/>
        <v>87.05</v>
      </c>
      <c r="FS149" vm="4528">
        <f ca="1"/>
        <v>86.8</v>
      </c>
      <c r="FT149" vm="14588">
        <f ca="1"/>
        <v>86.75</v>
      </c>
      <c r="FU149" vm="6765">
        <f ca="1"/>
        <v>86.65</v>
      </c>
      <c r="FV149" vm="20539">
        <f ca="1"/>
        <v>87.22</v>
      </c>
      <c r="FW149" vm="16209">
        <f ca="1"/>
        <v>86.6</v>
      </c>
      <c r="FX149" vm="20558">
        <f ca="1"/>
        <v>85.63</v>
      </c>
      <c r="FY149" vm="13019">
        <f ca="1"/>
        <v>86.57</v>
      </c>
      <c r="FZ149" vm="5579">
        <f ca="1"/>
        <v>87.23</v>
      </c>
      <c r="GA149" vm="6092">
        <f ca="1"/>
        <v>88.56</v>
      </c>
      <c r="GB149" vm="16210">
        <f ca="1"/>
        <v>89.74</v>
      </c>
      <c r="GC149" vm="3135">
        <f ca="1"/>
        <v>89.23</v>
      </c>
      <c r="GD149" vm="16210">
        <f ca="1"/>
        <v>89.74</v>
      </c>
      <c r="GE149" vm="6200">
        <f ca="1"/>
        <v>90.34</v>
      </c>
      <c r="GF149" vm="20559">
        <f ca="1"/>
        <v>89.95</v>
      </c>
      <c r="GG149" vm="6088">
        <f ca="1"/>
        <v>90.16</v>
      </c>
      <c r="GH149" vm="6220">
        <f ca="1"/>
        <v>90.35</v>
      </c>
      <c r="GI149" vm="6823">
        <f ca="1"/>
        <v>90.12</v>
      </c>
      <c r="GJ149" vm="2025">
        <f ca="1"/>
        <v>89.19</v>
      </c>
      <c r="GK149" vm="14598">
        <f ca="1"/>
        <v>89.02</v>
      </c>
      <c r="GL149" vm="20560">
        <f ca="1"/>
        <v>88.7</v>
      </c>
      <c r="GM149" vm="16226">
        <f ca="1"/>
        <v>89.32</v>
      </c>
      <c r="GN149" vm="6156">
        <f ca="1"/>
        <v>88.98</v>
      </c>
      <c r="GO149" vm="6156">
        <f ca="1"/>
        <v>88.98</v>
      </c>
      <c r="GP149" vm="12530">
        <f ca="1"/>
        <v>88.9</v>
      </c>
      <c r="GQ149" vm="1495">
        <f ca="1"/>
        <v>89.63</v>
      </c>
      <c r="GR149" vm="20561">
        <f ca="1"/>
        <v>89.37</v>
      </c>
      <c r="GS149" vm="20562">
        <f ca="1"/>
        <v>89.29</v>
      </c>
      <c r="GT149" vm="20563">
        <f ca="1"/>
        <v>89.55</v>
      </c>
      <c r="GU149" vm="6753">
        <f ca="1"/>
        <v>89.38</v>
      </c>
      <c r="GV149" vm="6844">
        <f ca="1"/>
        <v>88.67</v>
      </c>
      <c r="GW149" vm="536">
        <f ca="1"/>
        <v>89.18</v>
      </c>
      <c r="GX149" vm="14600">
        <f ca="1"/>
        <v>89.25</v>
      </c>
      <c r="GY149" vm="536">
        <f ca="1"/>
        <v>89.18</v>
      </c>
      <c r="GZ149" vm="1842">
        <f ca="1"/>
        <v>90.62</v>
      </c>
      <c r="HA149" vm="1315">
        <f ca="1"/>
        <v>90.57</v>
      </c>
      <c r="HB149" vm="20564">
        <f ca="1"/>
        <v>90.86</v>
      </c>
      <c r="HC149" vm="6838">
        <f ca="1"/>
        <v>90.66</v>
      </c>
      <c r="HD149" vm="95">
        <f ca="1"/>
        <v>91.34</v>
      </c>
      <c r="HE149" vm="17759">
        <f ca="1"/>
        <v>91.2</v>
      </c>
      <c r="HF149" vm="2841">
        <f ca="1"/>
        <v>91.55</v>
      </c>
      <c r="HG149" vm="1844">
        <f ca="1"/>
        <v>92</v>
      </c>
      <c r="HH149" vm="4505">
        <f ca="1"/>
        <v>92.06</v>
      </c>
      <c r="HI149" vm="6801">
        <f ca="1"/>
        <v>91.43</v>
      </c>
      <c r="HJ149" vm="12511">
        <f ca="1"/>
        <v>91.47</v>
      </c>
      <c r="HK149" vm="6084">
        <f ca="1"/>
        <v>91.78</v>
      </c>
      <c r="HL149" vm="6096">
        <f ca="1"/>
        <v>92.02</v>
      </c>
      <c r="HM149" vm="20565">
        <f ca="1"/>
        <v>91.09</v>
      </c>
      <c r="HN149" vm="2836">
        <f ca="1"/>
        <v>90.56</v>
      </c>
      <c r="HO149" vm="2022">
        <f ca="1"/>
        <v>90.29</v>
      </c>
      <c r="HP149" vm="16210">
        <f ca="1"/>
        <v>89.74</v>
      </c>
      <c r="HQ149" vm="16229">
        <f ca="1"/>
        <v>89.94</v>
      </c>
      <c r="HR149" vm="20566">
        <f ca="1"/>
        <v>88.96</v>
      </c>
      <c r="HS149" vm="6112">
        <f ca="1"/>
        <v>89.76</v>
      </c>
      <c r="HT149" vm="2018">
        <f ca="1"/>
        <v>89.57</v>
      </c>
      <c r="HU149" vm="20563">
        <f ca="1"/>
        <v>89.55</v>
      </c>
      <c r="HV149" vm="13448">
        <f ca="1"/>
        <v>89.96</v>
      </c>
      <c r="HW149" vm="6823">
        <f ca="1"/>
        <v>90.12</v>
      </c>
      <c r="HX149" vm="6753">
        <f ca="1"/>
        <v>89.38</v>
      </c>
      <c r="HY149" vm="20545">
        <f ca="1"/>
        <v>88.87</v>
      </c>
      <c r="HZ149" vm="4534">
        <f ca="1"/>
        <v>89.09</v>
      </c>
      <c r="IA149" vm="3140">
        <f ca="1"/>
        <v>89.06</v>
      </c>
      <c r="IB149" vm="3134">
        <f ca="1"/>
        <v>88.88</v>
      </c>
      <c r="IC149" vm="3135">
        <f ca="1"/>
        <v>89.23</v>
      </c>
      <c r="ID149" vm="3136">
        <f ca="1"/>
        <v>89.5</v>
      </c>
      <c r="IE149" vm="3137">
        <f ca="1"/>
        <v>90.01</v>
      </c>
      <c r="IF149" vm="3138">
        <f ca="1"/>
        <v>90.24</v>
      </c>
      <c r="IG149" vm="2020">
        <f ca="1"/>
        <v>90.64</v>
      </c>
      <c r="IH149" vm="3139">
        <f ca="1"/>
        <v>90.21</v>
      </c>
      <c r="II149" vm="1499">
        <f ca="1"/>
        <v>88.77</v>
      </c>
      <c r="IJ149" vm="594">
        <f ca="1"/>
        <v>88.81</v>
      </c>
      <c r="IK149" vm="3140">
        <f ca="1"/>
        <v>89.06</v>
      </c>
      <c r="IL149" vm="2853">
        <f ca="1"/>
        <v>88.58</v>
      </c>
      <c r="IM149" vm="3141">
        <f ca="1"/>
        <v>88.17</v>
      </c>
      <c r="IN149" vm="3142">
        <f ca="1"/>
        <v>87.88</v>
      </c>
      <c r="IO149" vm="3143">
        <f ca="1"/>
        <v>87.97</v>
      </c>
      <c r="IP149" vm="3144">
        <f ca="1"/>
        <v>88.31</v>
      </c>
      <c r="IQ149" vm="3145">
        <f ca="1"/>
        <v>88.19</v>
      </c>
      <c r="IR149" vm="3146">
        <f ca="1"/>
        <v>87.34</v>
      </c>
      <c r="IS149" vm="3147">
        <f ca="1"/>
        <v>87.4</v>
      </c>
      <c r="IT149" vm="3142">
        <f ca="1"/>
        <v>87.88</v>
      </c>
      <c r="IU149" vm="3148">
        <f ca="1"/>
        <v>87.8</v>
      </c>
      <c r="IV149" vm="3149">
        <f ca="1"/>
        <v>88.22</v>
      </c>
      <c r="IW149" vm="128">
        <f ca="1"/>
        <v>87.55</v>
      </c>
    </row>
    <row r="150" spans="1:257" ht="16" x14ac:dyDescent="0.2">
      <c r="A150" t="e" vm="3150">
        <v>#VALUE!</v>
      </c>
      <c r="B150" s="23" t="str" cm="1">
        <f t="array" aca="1" ref="B150" ca="1">_FV(A150,"ticker symbol",TRUE)</f>
        <v>BND</v>
      </c>
      <c r="C150" s="23" t="str" cm="1">
        <f t="array" aca="1" ref="C150" ca="1">_FV(A150,"Name")</f>
        <v>Vanguard Tot Bd;ETF</v>
      </c>
      <c r="D150" cm="1" vm="13899">
        <f t="array" aca="1" ref="D150:IW150" ca="1">TRANSPOSE(_xlfn.STOCKHISTORY(B150, WORKDAY(TODAY(), -265), TODAY(), 0, 0, 1))</f>
        <v>72.75</v>
      </c>
      <c r="E150" vm="20567">
        <f ca="1"/>
        <v>72.760000000000005</v>
      </c>
      <c r="F150" vm="15213">
        <f ca="1"/>
        <v>72.19</v>
      </c>
      <c r="G150" vm="14576">
        <f ca="1"/>
        <v>71.989999999999995</v>
      </c>
      <c r="H150" vm="9748">
        <f ca="1"/>
        <v>72.209999999999994</v>
      </c>
      <c r="I150" vm="8917">
        <f ca="1"/>
        <v>71.98</v>
      </c>
      <c r="J150" vm="20455">
        <f ca="1"/>
        <v>71.849999999999994</v>
      </c>
      <c r="K150" vm="8919">
        <f ca="1"/>
        <v>71.900000000000006</v>
      </c>
      <c r="L150" vm="911">
        <f ca="1"/>
        <v>71.75</v>
      </c>
      <c r="M150" vm="20451">
        <f ca="1"/>
        <v>72.03</v>
      </c>
      <c r="N150" vm="9749">
        <f ca="1"/>
        <v>71.91</v>
      </c>
      <c r="O150" vm="19747">
        <f ca="1"/>
        <v>71.94</v>
      </c>
      <c r="P150" vm="20455">
        <f ca="1"/>
        <v>71.849999999999994</v>
      </c>
      <c r="Q150" vm="19748">
        <f ca="1"/>
        <v>71.78</v>
      </c>
      <c r="R150" vm="8910">
        <f ca="1"/>
        <v>71.53</v>
      </c>
      <c r="S150" vm="12989">
        <f ca="1"/>
        <v>71.61</v>
      </c>
      <c r="T150" vm="15245">
        <f ca="1"/>
        <v>71.239999999999995</v>
      </c>
      <c r="U150" vm="19374">
        <f ca="1"/>
        <v>71.17</v>
      </c>
      <c r="V150" vm="15263">
        <f ca="1"/>
        <v>71.22</v>
      </c>
      <c r="W150" vm="20568">
        <f ca="1"/>
        <v>71.790000000000006</v>
      </c>
      <c r="X150" vm="13208">
        <f ca="1"/>
        <v>71.930000000000007</v>
      </c>
      <c r="Y150" vm="8912">
        <f ca="1"/>
        <v>71.95</v>
      </c>
      <c r="Z150" vm="9764">
        <f ca="1"/>
        <v>72.16</v>
      </c>
      <c r="AA150" vm="13205">
        <f ca="1"/>
        <v>72.010000000000005</v>
      </c>
      <c r="AB150" vm="8919">
        <f ca="1"/>
        <v>71.900000000000006</v>
      </c>
      <c r="AC150" vm="15275">
        <f ca="1"/>
        <v>72.040000000000006</v>
      </c>
      <c r="AD150" vm="1554">
        <f ca="1"/>
        <v>72.42</v>
      </c>
      <c r="AE150" vm="15276">
        <f ca="1"/>
        <v>72.38</v>
      </c>
      <c r="AF150" vm="10414">
        <f ca="1"/>
        <v>72.34</v>
      </c>
      <c r="AG150" vm="1816">
        <f ca="1"/>
        <v>72.44</v>
      </c>
      <c r="AH150" vm="10414">
        <f ca="1"/>
        <v>72.34</v>
      </c>
      <c r="AI150" vm="8895">
        <f ca="1"/>
        <v>72.17</v>
      </c>
      <c r="AJ150" vm="10267">
        <f ca="1"/>
        <v>72.27</v>
      </c>
      <c r="AK150" vm="20569">
        <f ca="1"/>
        <v>72.64</v>
      </c>
      <c r="AL150" vm="15214">
        <f ca="1"/>
        <v>72.56</v>
      </c>
      <c r="AM150" vm="10414">
        <f ca="1"/>
        <v>72.34</v>
      </c>
      <c r="AN150" vm="806">
        <f ca="1"/>
        <v>72.36</v>
      </c>
      <c r="AO150" vm="19757">
        <f ca="1"/>
        <v>72.239999999999995</v>
      </c>
      <c r="AP150" vm="20450">
        <f ca="1"/>
        <v>71.87</v>
      </c>
      <c r="AQ150" vm="8915">
        <f ca="1"/>
        <v>72.3</v>
      </c>
      <c r="AR150" vm="20570">
        <f ca="1"/>
        <v>72.53</v>
      </c>
      <c r="AS150" vm="20571">
        <f ca="1"/>
        <v>72.260000000000005</v>
      </c>
      <c r="AT150" vm="806">
        <f ca="1"/>
        <v>72.36</v>
      </c>
      <c r="AU150" vm="790">
        <f ca="1"/>
        <v>72.45</v>
      </c>
      <c r="AV150" vm="20572">
        <f ca="1"/>
        <v>72.765000000000001</v>
      </c>
      <c r="AW150" vm="17460">
        <f ca="1"/>
        <v>72.87</v>
      </c>
      <c r="AX150" vm="15310">
        <f ca="1"/>
        <v>73.33</v>
      </c>
      <c r="AY150" vm="15594">
        <f ca="1"/>
        <v>73.44</v>
      </c>
      <c r="AZ150" vm="15589">
        <f ca="1"/>
        <v>73.349999999999994</v>
      </c>
      <c r="BA150" vm="12988">
        <f ca="1"/>
        <v>73.66</v>
      </c>
      <c r="BB150" vm="791">
        <f ca="1"/>
        <v>73.61</v>
      </c>
      <c r="BC150" vm="1941">
        <f ca="1"/>
        <v>73.400000000000006</v>
      </c>
      <c r="BD150" vm="8923">
        <f ca="1"/>
        <v>73.14</v>
      </c>
      <c r="BE150" vm="10266">
        <f ca="1"/>
        <v>73.08</v>
      </c>
      <c r="BF150" vm="17444">
        <f ca="1"/>
        <v>73</v>
      </c>
      <c r="BG150" vm="1555">
        <f ca="1"/>
        <v>73.34</v>
      </c>
      <c r="BH150" vm="907">
        <f ca="1"/>
        <v>73.06</v>
      </c>
      <c r="BI150" vm="905">
        <f ca="1"/>
        <v>72.91</v>
      </c>
      <c r="BJ150" vm="15670">
        <f ca="1"/>
        <v>73.13</v>
      </c>
      <c r="BK150" vm="15592">
        <f ca="1"/>
        <v>72.95</v>
      </c>
      <c r="BL150" vm="14574">
        <f ca="1"/>
        <v>73.05</v>
      </c>
      <c r="BM150" vm="15670">
        <f ca="1"/>
        <v>73.13</v>
      </c>
      <c r="BN150" vm="15589">
        <f ca="1"/>
        <v>73.349999999999994</v>
      </c>
      <c r="BO150" vm="787">
        <f ca="1"/>
        <v>73.38</v>
      </c>
      <c r="BP150" vm="8779">
        <f ca="1"/>
        <v>73.319999999999993</v>
      </c>
      <c r="BQ150" vm="17444">
        <f ca="1"/>
        <v>73</v>
      </c>
      <c r="BR150" vm="7228">
        <f ca="1"/>
        <v>73.09</v>
      </c>
      <c r="BS150" vm="8894">
        <f ca="1"/>
        <v>72.930000000000007</v>
      </c>
      <c r="BT150" vm="15750">
        <f ca="1"/>
        <v>72.900000000000006</v>
      </c>
      <c r="BU150" vm="8779">
        <f ca="1"/>
        <v>73.319999999999993</v>
      </c>
      <c r="BV150" vm="17458">
        <f ca="1"/>
        <v>73.45</v>
      </c>
      <c r="BW150" vm="15594">
        <f ca="1"/>
        <v>73.44</v>
      </c>
      <c r="BX150" vm="787">
        <f ca="1"/>
        <v>73.38</v>
      </c>
      <c r="BY150" vm="8957">
        <f ca="1"/>
        <v>73.760000000000005</v>
      </c>
      <c r="BZ150" vm="19383">
        <f ca="1"/>
        <v>73.819999999999993</v>
      </c>
      <c r="CA150" vm="8894">
        <f ca="1"/>
        <v>72.930000000000007</v>
      </c>
      <c r="CB150" vm="15888">
        <f ca="1"/>
        <v>72.510000000000005</v>
      </c>
      <c r="CC150" vm="20573">
        <f ca="1"/>
        <v>72.680000000000007</v>
      </c>
      <c r="CD150" vm="10351">
        <f ca="1"/>
        <v>72.099999999999994</v>
      </c>
      <c r="CE150" vm="15212">
        <f ca="1"/>
        <v>72.02</v>
      </c>
      <c r="CF150" vm="15863">
        <f ca="1"/>
        <v>72.430000000000007</v>
      </c>
      <c r="CG150" vm="17412">
        <f ca="1"/>
        <v>72.61</v>
      </c>
      <c r="CH150" vm="19753">
        <f ca="1"/>
        <v>72.81</v>
      </c>
      <c r="CI150" vm="19746">
        <f ca="1"/>
        <v>72.650000000000006</v>
      </c>
      <c r="CJ150" vm="765">
        <f ca="1"/>
        <v>72.25</v>
      </c>
      <c r="CK150" vm="15276">
        <f ca="1"/>
        <v>72.38</v>
      </c>
      <c r="CL150" vm="20570">
        <f ca="1"/>
        <v>72.53</v>
      </c>
      <c r="CM150" vm="8887">
        <f ca="1"/>
        <v>72.94</v>
      </c>
      <c r="CN150" vm="1553">
        <f ca="1"/>
        <v>73.180000000000007</v>
      </c>
      <c r="CO150" vm="20574">
        <f ca="1"/>
        <v>73.36</v>
      </c>
      <c r="CP150" vm="15593">
        <f ca="1"/>
        <v>73.55</v>
      </c>
      <c r="CQ150" vm="903">
        <f ca="1"/>
        <v>73.5</v>
      </c>
      <c r="CR150" vm="907">
        <f ca="1"/>
        <v>73.06</v>
      </c>
      <c r="CS150" vm="15252">
        <f ca="1"/>
        <v>72.7</v>
      </c>
      <c r="CT150" vm="20575">
        <f ca="1"/>
        <v>72.599999999999994</v>
      </c>
      <c r="CU150" vm="20567">
        <f ca="1"/>
        <v>72.760000000000005</v>
      </c>
      <c r="CV150" vm="15750">
        <f ca="1"/>
        <v>72.900000000000006</v>
      </c>
      <c r="CW150" vm="15888">
        <f ca="1"/>
        <v>72.510000000000005</v>
      </c>
      <c r="CX150" vm="19380">
        <f ca="1"/>
        <v>72.569999999999993</v>
      </c>
      <c r="CY150" vm="15264">
        <f ca="1"/>
        <v>72.319999999999993</v>
      </c>
      <c r="CZ150" vm="15206">
        <f ca="1"/>
        <v>72.290000000000006</v>
      </c>
      <c r="DA150" vm="15275">
        <f ca="1"/>
        <v>72.040000000000006</v>
      </c>
      <c r="DB150" vm="15863">
        <f ca="1"/>
        <v>72.430000000000007</v>
      </c>
      <c r="DC150" vm="49">
        <f ca="1"/>
        <v>72.48</v>
      </c>
      <c r="DD150" vm="804">
        <f ca="1"/>
        <v>72.459999999999994</v>
      </c>
      <c r="DE150" vm="8924">
        <f ca="1"/>
        <v>72.33</v>
      </c>
      <c r="DF150" vm="20576">
        <f ca="1"/>
        <v>71.88</v>
      </c>
      <c r="DG150" vm="900">
        <f ca="1"/>
        <v>72.08</v>
      </c>
      <c r="DH150" vm="15213">
        <f ca="1"/>
        <v>72.19</v>
      </c>
      <c r="DI150" vm="20570">
        <f ca="1"/>
        <v>72.53</v>
      </c>
      <c r="DJ150" vm="19381">
        <f ca="1"/>
        <v>72.37</v>
      </c>
      <c r="DK150" vm="15671">
        <f ca="1"/>
        <v>72.63</v>
      </c>
      <c r="DL150" vm="13898">
        <f ca="1"/>
        <v>72.77</v>
      </c>
      <c r="DM150" vm="19381">
        <f ca="1"/>
        <v>72.37</v>
      </c>
      <c r="DN150" vm="15206">
        <f ca="1"/>
        <v>72.290000000000006</v>
      </c>
      <c r="DO150" vm="17466">
        <f ca="1"/>
        <v>72.739999999999995</v>
      </c>
      <c r="DP150" vm="20575">
        <f ca="1"/>
        <v>72.599999999999994</v>
      </c>
      <c r="DQ150" vm="20577">
        <f ca="1"/>
        <v>72.204999999999998</v>
      </c>
      <c r="DR150" vm="15264">
        <f ca="1"/>
        <v>72.319999999999993</v>
      </c>
      <c r="DS150" vm="804">
        <f ca="1"/>
        <v>72.459999999999994</v>
      </c>
      <c r="DT150" vm="8909">
        <f ca="1"/>
        <v>72.69</v>
      </c>
      <c r="DU150" vm="792">
        <f ca="1"/>
        <v>72.959999999999994</v>
      </c>
      <c r="DV150" vm="15252">
        <f ca="1"/>
        <v>72.7</v>
      </c>
      <c r="DW150" vm="15214">
        <f ca="1"/>
        <v>72.56</v>
      </c>
      <c r="DX150" vm="794">
        <f ca="1"/>
        <v>72.790000000000006</v>
      </c>
      <c r="DY150" vm="20578">
        <f ca="1"/>
        <v>72.83</v>
      </c>
      <c r="DZ150" vm="20579">
        <f ca="1"/>
        <v>72.88</v>
      </c>
      <c r="EA150" vm="907">
        <f ca="1"/>
        <v>73.06</v>
      </c>
      <c r="EB150" vm="15293">
        <f ca="1"/>
        <v>73.28</v>
      </c>
      <c r="EC150" vm="8886">
        <f ca="1"/>
        <v>73.3</v>
      </c>
      <c r="ED150" vm="8927">
        <f ca="1"/>
        <v>73.510000000000005</v>
      </c>
      <c r="EE150" vm="1555">
        <f ca="1"/>
        <v>73.34</v>
      </c>
      <c r="EF150" vm="19758">
        <f ca="1"/>
        <v>73.63</v>
      </c>
      <c r="EG150" vm="1555">
        <f ca="1"/>
        <v>73.34</v>
      </c>
      <c r="EH150" vm="795">
        <f ca="1"/>
        <v>73.260000000000005</v>
      </c>
      <c r="EI150" vm="10266">
        <f ca="1"/>
        <v>73.08</v>
      </c>
      <c r="EJ150" vm="1818">
        <f ca="1"/>
        <v>72.84</v>
      </c>
      <c r="EK150" vm="15749">
        <f ca="1"/>
        <v>72.8</v>
      </c>
      <c r="EL150" vm="7228">
        <f ca="1"/>
        <v>73.09</v>
      </c>
      <c r="EM150" vm="17413">
        <f ca="1"/>
        <v>73.099999999999994</v>
      </c>
      <c r="EN150" vm="15749">
        <f ca="1"/>
        <v>72.8</v>
      </c>
      <c r="EO150" vm="794">
        <f ca="1"/>
        <v>72.790000000000006</v>
      </c>
      <c r="EP150" vm="19380">
        <f ca="1"/>
        <v>72.569999999999993</v>
      </c>
      <c r="EQ150" vm="17431">
        <f ca="1"/>
        <v>72.709999999999994</v>
      </c>
      <c r="ER150" vm="902">
        <f ca="1"/>
        <v>72.73</v>
      </c>
      <c r="ES150" vm="15587">
        <f ca="1"/>
        <v>72.849999999999994</v>
      </c>
      <c r="ET150" vm="907">
        <f ca="1"/>
        <v>73.06</v>
      </c>
      <c r="EU150" vm="1553">
        <f ca="1"/>
        <v>73.180000000000007</v>
      </c>
      <c r="EV150" vm="985">
        <f ca="1"/>
        <v>73.03</v>
      </c>
      <c r="EW150" vm="8887">
        <f ca="1"/>
        <v>72.94</v>
      </c>
      <c r="EX150" vm="38">
        <f ca="1"/>
        <v>73.12</v>
      </c>
      <c r="EY150" vm="17444">
        <f ca="1"/>
        <v>73</v>
      </c>
      <c r="EZ150" vm="787">
        <f ca="1"/>
        <v>73.38</v>
      </c>
      <c r="FA150" vm="19387">
        <f ca="1"/>
        <v>73.19</v>
      </c>
      <c r="FB150" vm="17461">
        <f ca="1"/>
        <v>73.2</v>
      </c>
      <c r="FC150" vm="1005">
        <f ca="1"/>
        <v>73.59</v>
      </c>
      <c r="FD150" vm="19756">
        <f ca="1"/>
        <v>73.64</v>
      </c>
      <c r="FE150" vm="19384">
        <f ca="1"/>
        <v>73.67</v>
      </c>
      <c r="FF150" vm="791">
        <f ca="1"/>
        <v>73.61</v>
      </c>
      <c r="FG150" vm="20580">
        <f ca="1"/>
        <v>73.58</v>
      </c>
      <c r="FH150" vm="17449">
        <f ca="1"/>
        <v>73.42</v>
      </c>
      <c r="FI150" vm="20581">
        <f ca="1"/>
        <v>73.47</v>
      </c>
      <c r="FJ150" vm="8889">
        <f ca="1"/>
        <v>73.48</v>
      </c>
      <c r="FK150" vm="17459">
        <f ca="1"/>
        <v>73.75</v>
      </c>
      <c r="FL150" vm="10365">
        <f ca="1"/>
        <v>73.540000000000006</v>
      </c>
      <c r="FM150" vm="15594">
        <f ca="1"/>
        <v>73.44</v>
      </c>
      <c r="FN150" vm="20574">
        <f ca="1"/>
        <v>73.36</v>
      </c>
      <c r="FO150" vm="903">
        <f ca="1"/>
        <v>73.5</v>
      </c>
      <c r="FP150" vm="15593">
        <f ca="1"/>
        <v>73.55</v>
      </c>
      <c r="FQ150" vm="15586">
        <f ca="1"/>
        <v>73.37</v>
      </c>
      <c r="FR150" vm="17450">
        <f ca="1"/>
        <v>73.739999999999995</v>
      </c>
      <c r="FS150" vm="19756">
        <f ca="1"/>
        <v>73.64</v>
      </c>
      <c r="FT150" vm="17432">
        <f ca="1"/>
        <v>73.73</v>
      </c>
      <c r="FU150" vm="15575">
        <f ca="1"/>
        <v>73.8</v>
      </c>
      <c r="FV150" vm="802">
        <f ca="1"/>
        <v>73.89</v>
      </c>
      <c r="FW150" vm="15575">
        <f ca="1"/>
        <v>73.8</v>
      </c>
      <c r="FX150" vm="1941">
        <f ca="1"/>
        <v>73.400000000000006</v>
      </c>
      <c r="FY150" vm="19756">
        <f ca="1"/>
        <v>73.64</v>
      </c>
      <c r="FZ150" vm="8922">
        <f ca="1"/>
        <v>73.92</v>
      </c>
      <c r="GA150" vm="6773">
        <f ca="1"/>
        <v>74.27</v>
      </c>
      <c r="GB150" vm="10186">
        <f ca="1"/>
        <v>74.510000000000005</v>
      </c>
      <c r="GC150" vm="20582">
        <f ca="1"/>
        <v>74.37</v>
      </c>
      <c r="GD150" vm="20583">
        <f ca="1"/>
        <v>74.5</v>
      </c>
      <c r="GE150" vm="8906">
        <f ca="1"/>
        <v>74.66</v>
      </c>
      <c r="GF150" vm="10417">
        <f ca="1"/>
        <v>74.569999999999993</v>
      </c>
      <c r="GG150" vm="797">
        <f ca="1"/>
        <v>74.709999999999994</v>
      </c>
      <c r="GH150" vm="1551">
        <f ca="1"/>
        <v>74.72</v>
      </c>
      <c r="GI150" vm="8899">
        <f ca="1"/>
        <v>74.59</v>
      </c>
      <c r="GJ150" vm="20584">
        <f ca="1"/>
        <v>74.400000000000006</v>
      </c>
      <c r="GK150" vm="771">
        <f ca="1"/>
        <v>74.430000000000007</v>
      </c>
      <c r="GL150" vm="1550">
        <f ca="1"/>
        <v>74.290000000000006</v>
      </c>
      <c r="GM150" vm="20585">
        <f ca="1"/>
        <v>74.44</v>
      </c>
      <c r="GN150" vm="1550">
        <f ca="1"/>
        <v>74.290000000000006</v>
      </c>
      <c r="GO150" vm="8903">
        <f ca="1"/>
        <v>74.209999999999994</v>
      </c>
      <c r="GP150" vm="8903">
        <f ca="1"/>
        <v>74.209999999999994</v>
      </c>
      <c r="GQ150" vm="20584">
        <f ca="1"/>
        <v>74.400000000000006</v>
      </c>
      <c r="GR150" vm="20582">
        <f ca="1"/>
        <v>74.37</v>
      </c>
      <c r="GS150" vm="3159">
        <f ca="1"/>
        <v>74.319999999999993</v>
      </c>
      <c r="GT150" vm="20584">
        <f ca="1"/>
        <v>74.400000000000006</v>
      </c>
      <c r="GU150" vm="8907">
        <f ca="1"/>
        <v>74.31</v>
      </c>
      <c r="GV150" vm="10158">
        <f ca="1"/>
        <v>74.14</v>
      </c>
      <c r="GW150" vm="773">
        <f ca="1"/>
        <v>74.28</v>
      </c>
      <c r="GX150" vm="773">
        <f ca="1"/>
        <v>74.28</v>
      </c>
      <c r="GY150" vm="3151">
        <f ca="1"/>
        <v>74.23</v>
      </c>
      <c r="GZ150" vm="3153">
        <f ca="1"/>
        <v>74.52</v>
      </c>
      <c r="HA150" vm="15672">
        <f ca="1"/>
        <v>74.64</v>
      </c>
      <c r="HB150" vm="1549">
        <f ca="1"/>
        <v>74.75</v>
      </c>
      <c r="HC150" vm="7191">
        <f ca="1"/>
        <v>74.7</v>
      </c>
      <c r="HD150" vm="781">
        <f ca="1"/>
        <v>74.98</v>
      </c>
      <c r="HE150" vm="774">
        <f ca="1"/>
        <v>74.88</v>
      </c>
      <c r="HF150" vm="781">
        <f ca="1"/>
        <v>74.98</v>
      </c>
      <c r="HG150" vm="20586">
        <f ca="1"/>
        <v>75.069999999999993</v>
      </c>
      <c r="HH150" vm="20586">
        <f ca="1"/>
        <v>75.069999999999993</v>
      </c>
      <c r="HI150" vm="19759">
        <f ca="1"/>
        <v>74.92</v>
      </c>
      <c r="HJ150" vm="1831">
        <f ca="1"/>
        <v>75.02</v>
      </c>
      <c r="HK150" vm="1824">
        <f ca="1"/>
        <v>75.06</v>
      </c>
      <c r="HL150" vm="20587">
        <f ca="1"/>
        <v>75.099999999999994</v>
      </c>
      <c r="HM150" vm="20588">
        <f ca="1"/>
        <v>74.73</v>
      </c>
      <c r="HN150" vm="14565">
        <f ca="1"/>
        <v>74.599999999999994</v>
      </c>
      <c r="HO150" vm="20589">
        <f ca="1"/>
        <v>74.58</v>
      </c>
      <c r="HP150" vm="3158">
        <f ca="1"/>
        <v>74.25</v>
      </c>
      <c r="HQ150" vm="1550">
        <f ca="1"/>
        <v>74.290000000000006</v>
      </c>
      <c r="HR150" vm="19382">
        <f ca="1"/>
        <v>74.08</v>
      </c>
      <c r="HS150" vm="20582">
        <f ca="1"/>
        <v>74.37</v>
      </c>
      <c r="HT150" vm="10187">
        <f ca="1"/>
        <v>74.33</v>
      </c>
      <c r="HU150" vm="8907">
        <f ca="1"/>
        <v>74.31</v>
      </c>
      <c r="HV150" vm="3153">
        <f ca="1"/>
        <v>74.52</v>
      </c>
      <c r="HW150" vm="20590">
        <f ca="1"/>
        <v>74.489999999999995</v>
      </c>
      <c r="HX150" vm="6773">
        <f ca="1"/>
        <v>74.27</v>
      </c>
      <c r="HY150" vm="15862">
        <f ca="1"/>
        <v>74.16</v>
      </c>
      <c r="HZ150" vm="3160">
        <f ca="1"/>
        <v>74.2</v>
      </c>
      <c r="IA150" vm="3161">
        <f ca="1"/>
        <v>74.260000000000005</v>
      </c>
      <c r="IB150" vm="3151">
        <f ca="1"/>
        <v>74.23</v>
      </c>
      <c r="IC150" vm="3152">
        <f ca="1"/>
        <v>74.34</v>
      </c>
      <c r="ID150" vm="3153">
        <f ca="1"/>
        <v>74.52</v>
      </c>
      <c r="IE150" vm="3154">
        <f ca="1"/>
        <v>74.650000000000006</v>
      </c>
      <c r="IF150" vm="3155">
        <f ca="1"/>
        <v>74.819999999999993</v>
      </c>
      <c r="IG150" vm="3156">
        <f ca="1"/>
        <v>74.900000000000006</v>
      </c>
      <c r="IH150" vm="3157">
        <f ca="1"/>
        <v>74.78</v>
      </c>
      <c r="II150" vm="3158">
        <f ca="1"/>
        <v>74.25</v>
      </c>
      <c r="IJ150" vm="3159">
        <f ca="1"/>
        <v>74.319999999999993</v>
      </c>
      <c r="IK150" vm="771">
        <f ca="1"/>
        <v>74.430000000000007</v>
      </c>
      <c r="IL150" vm="1550">
        <f ca="1"/>
        <v>74.290000000000006</v>
      </c>
      <c r="IM150" vm="3160">
        <f ca="1"/>
        <v>74.2</v>
      </c>
      <c r="IN150" vm="1558">
        <f ca="1"/>
        <v>74.09</v>
      </c>
      <c r="IO150" vm="130">
        <f ca="1"/>
        <v>74.040000000000006</v>
      </c>
      <c r="IP150" vm="3161">
        <f ca="1"/>
        <v>74.260000000000005</v>
      </c>
      <c r="IQ150" vm="3161">
        <f ca="1"/>
        <v>74.260000000000005</v>
      </c>
      <c r="IR150" vm="3162">
        <f ca="1"/>
        <v>74.03</v>
      </c>
      <c r="IS150" vm="1544">
        <f ca="1"/>
        <v>74.12</v>
      </c>
      <c r="IT150" vm="3161">
        <f ca="1"/>
        <v>74.260000000000005</v>
      </c>
      <c r="IU150" vm="796">
        <f ca="1"/>
        <v>74.239999999999995</v>
      </c>
      <c r="IV150" vm="1557">
        <f ca="1"/>
        <v>74.150000000000006</v>
      </c>
      <c r="IW150" vm="130">
        <f ca="1"/>
        <v>74.040000000000006</v>
      </c>
    </row>
    <row r="151" spans="1:257" ht="16" x14ac:dyDescent="0.2">
      <c r="A151" t="e" vm="3163">
        <v>#VALUE!</v>
      </c>
      <c r="B151" s="23" t="str" cm="1">
        <f t="array" aca="1" ref="B151" ca="1">_FV(A151,"ticker symbol",TRUE)</f>
        <v>SHY</v>
      </c>
      <c r="C151" s="23" t="str" cm="1">
        <f t="array" aca="1" ref="C151" ca="1">_FV(A151,"Name")</f>
        <v>iShares:1-3 Trs Bd ETF</v>
      </c>
      <c r="D151" cm="1" vm="5953">
        <f t="array" aca="1" ref="D151:IW151" ca="1">TRANSPOSE(_xlfn.STOCKHISTORY(B151, WORKDAY(TODAY(), -265), TODAY(), 0, 0, 1))</f>
        <v>82.1</v>
      </c>
      <c r="E151" vm="1429">
        <f ca="1"/>
        <v>82.11</v>
      </c>
      <c r="F151" vm="12476">
        <f ca="1"/>
        <v>81.680000000000007</v>
      </c>
      <c r="G151" vm="5976">
        <f ca="1"/>
        <v>81.77</v>
      </c>
      <c r="H151" vm="5994">
        <f ca="1"/>
        <v>81.78</v>
      </c>
      <c r="I151" vm="6142">
        <f ca="1"/>
        <v>81.73</v>
      </c>
      <c r="J151" vm="5976">
        <f ca="1"/>
        <v>81.77</v>
      </c>
      <c r="K151" vm="1952">
        <f ca="1"/>
        <v>81.790000000000006</v>
      </c>
      <c r="L151" vm="20591">
        <f ca="1"/>
        <v>81.81</v>
      </c>
      <c r="M151" vm="20592">
        <f ca="1"/>
        <v>81.93</v>
      </c>
      <c r="N151" vm="1880">
        <f ca="1"/>
        <v>81.98</v>
      </c>
      <c r="O151" vm="1954">
        <f ca="1"/>
        <v>81.96</v>
      </c>
      <c r="P151" vm="1954">
        <f ca="1"/>
        <v>81.96</v>
      </c>
      <c r="Q151" vm="1880">
        <f ca="1"/>
        <v>81.98</v>
      </c>
      <c r="R151" vm="20592">
        <f ca="1"/>
        <v>81.93</v>
      </c>
      <c r="S151" vm="1880">
        <f ca="1"/>
        <v>81.98</v>
      </c>
      <c r="T151" vm="5981">
        <f ca="1"/>
        <v>81.83</v>
      </c>
      <c r="U151" vm="13479">
        <f ca="1"/>
        <v>81.849999999999994</v>
      </c>
      <c r="V151" vm="5975">
        <f ca="1"/>
        <v>81.87</v>
      </c>
      <c r="W151" vm="6141">
        <f ca="1"/>
        <v>82.05</v>
      </c>
      <c r="X151" vm="5953">
        <f ca="1"/>
        <v>82.1</v>
      </c>
      <c r="Y151" vm="20593">
        <f ca="1"/>
        <v>82.08</v>
      </c>
      <c r="Z151" vm="1429">
        <f ca="1"/>
        <v>82.11</v>
      </c>
      <c r="AA151" vm="20594">
        <f ca="1"/>
        <v>82.09</v>
      </c>
      <c r="AB151" vm="20594">
        <f ca="1"/>
        <v>82.09</v>
      </c>
      <c r="AC151" vm="20595">
        <f ca="1"/>
        <v>82.14</v>
      </c>
      <c r="AD151" vm="6144">
        <f ca="1"/>
        <v>82.26</v>
      </c>
      <c r="AE151" vm="14581">
        <f ca="1"/>
        <v>82.28</v>
      </c>
      <c r="AF151" vm="15648">
        <f ca="1"/>
        <v>82.23</v>
      </c>
      <c r="AG151" vm="14581">
        <f ca="1"/>
        <v>82.28</v>
      </c>
      <c r="AH151" vm="13508">
        <f ca="1"/>
        <v>82.29</v>
      </c>
      <c r="AI151" vm="1954">
        <f ca="1"/>
        <v>81.96</v>
      </c>
      <c r="AJ151" vm="20596">
        <f ca="1"/>
        <v>82.04</v>
      </c>
      <c r="AK151" vm="20594">
        <f ca="1"/>
        <v>82.09</v>
      </c>
      <c r="AL151" vm="15647">
        <f ca="1"/>
        <v>82.06</v>
      </c>
      <c r="AM151" vm="20597">
        <f ca="1"/>
        <v>81.97</v>
      </c>
      <c r="AN151" vm="7247">
        <f ca="1"/>
        <v>82.01</v>
      </c>
      <c r="AO151" vm="5951">
        <f ca="1"/>
        <v>81.99</v>
      </c>
      <c r="AP151" vm="12995">
        <f ca="1"/>
        <v>81.88</v>
      </c>
      <c r="AQ151" vm="5951">
        <f ca="1"/>
        <v>81.99</v>
      </c>
      <c r="AR151" vm="5953">
        <f ca="1"/>
        <v>82.1</v>
      </c>
      <c r="AS151" vm="7252">
        <f ca="1"/>
        <v>82.03</v>
      </c>
      <c r="AT151" vm="20594">
        <f ca="1"/>
        <v>82.09</v>
      </c>
      <c r="AU151" vm="5953">
        <f ca="1"/>
        <v>82.1</v>
      </c>
      <c r="AV151" vm="1951">
        <f ca="1"/>
        <v>82.24</v>
      </c>
      <c r="AW151" vm="13538">
        <f ca="1"/>
        <v>82.3</v>
      </c>
      <c r="AX151" vm="6019">
        <f ca="1"/>
        <v>82.41</v>
      </c>
      <c r="AY151" vm="5954">
        <f ca="1"/>
        <v>82.44</v>
      </c>
      <c r="AZ151" vm="2662">
        <f ca="1"/>
        <v>82.47</v>
      </c>
      <c r="BA151" vm="6780">
        <f ca="1"/>
        <v>82.62</v>
      </c>
      <c r="BB151" vm="20598">
        <f ca="1"/>
        <v>82.42</v>
      </c>
      <c r="BC151" vm="5948">
        <f ca="1"/>
        <v>82.43</v>
      </c>
      <c r="BD151" vm="5993">
        <f ca="1"/>
        <v>82.34</v>
      </c>
      <c r="BE151" vm="6130">
        <f ca="1"/>
        <v>82.39</v>
      </c>
      <c r="BF151" vm="13009">
        <f ca="1"/>
        <v>82.38</v>
      </c>
      <c r="BG151" vm="2661">
        <f ca="1"/>
        <v>82.53</v>
      </c>
      <c r="BH151" vm="1950">
        <f ca="1"/>
        <v>82.48</v>
      </c>
      <c r="BI151" vm="20598">
        <f ca="1"/>
        <v>82.42</v>
      </c>
      <c r="BJ151" vm="1950">
        <f ca="1"/>
        <v>82.48</v>
      </c>
      <c r="BK151" vm="20598">
        <f ca="1"/>
        <v>82.42</v>
      </c>
      <c r="BL151" vm="6130">
        <f ca="1"/>
        <v>82.39</v>
      </c>
      <c r="BM151" vm="6130">
        <f ca="1"/>
        <v>82.39</v>
      </c>
      <c r="BN151" vm="20599">
        <f ca="1"/>
        <v>82.51</v>
      </c>
      <c r="BO151" vm="2661">
        <f ca="1"/>
        <v>82.53</v>
      </c>
      <c r="BP151" vm="12471">
        <f ca="1"/>
        <v>82.58</v>
      </c>
      <c r="BQ151" vm="2662">
        <f ca="1"/>
        <v>82.47</v>
      </c>
      <c r="BR151" vm="12997">
        <f ca="1"/>
        <v>82.5</v>
      </c>
      <c r="BS151" vm="1950">
        <f ca="1"/>
        <v>82.48</v>
      </c>
      <c r="BT151" vm="14561">
        <f ca="1"/>
        <v>82.52</v>
      </c>
      <c r="BU151" vm="10206">
        <f ca="1"/>
        <v>82.67</v>
      </c>
      <c r="BV151" vm="6131">
        <f ca="1"/>
        <v>82.73</v>
      </c>
      <c r="BW151" vm="1950">
        <f ca="1"/>
        <v>82.48</v>
      </c>
      <c r="BX151" vm="20598">
        <f ca="1"/>
        <v>82.42</v>
      </c>
      <c r="BY151" vm="6131">
        <f ca="1"/>
        <v>82.73</v>
      </c>
      <c r="BZ151" vm="5955">
        <f ca="1"/>
        <v>82.68</v>
      </c>
      <c r="CA151" vm="19765">
        <f ca="1"/>
        <v>82.69</v>
      </c>
      <c r="CB151" vm="20600">
        <f ca="1"/>
        <v>82.64</v>
      </c>
      <c r="CC151" vm="4526">
        <f ca="1"/>
        <v>82.59</v>
      </c>
      <c r="CD151" vm="12471">
        <f ca="1"/>
        <v>82.58</v>
      </c>
      <c r="CE151" vm="5948">
        <f ca="1"/>
        <v>82.43</v>
      </c>
      <c r="CF151" vm="2663">
        <f ca="1"/>
        <v>82.61</v>
      </c>
      <c r="CG151" vm="2663">
        <f ca="1"/>
        <v>82.61</v>
      </c>
      <c r="CH151" vm="20601">
        <f ca="1"/>
        <v>82.72</v>
      </c>
      <c r="CI151" vm="3172">
        <f ca="1"/>
        <v>82.75</v>
      </c>
      <c r="CJ151" vm="6143">
        <f ca="1"/>
        <v>82.7</v>
      </c>
      <c r="CK151" vm="6131">
        <f ca="1"/>
        <v>82.73</v>
      </c>
      <c r="CL151" vm="10206">
        <f ca="1"/>
        <v>82.67</v>
      </c>
      <c r="CM151" vm="3171">
        <f ca="1"/>
        <v>82.77</v>
      </c>
      <c r="CN151" vm="14547">
        <f ca="1"/>
        <v>82.84</v>
      </c>
      <c r="CO151" vm="3177">
        <f ca="1"/>
        <v>82.96</v>
      </c>
      <c r="CP151" vm="2660">
        <f ca="1"/>
        <v>83.01</v>
      </c>
      <c r="CQ151" vm="14559">
        <f ca="1"/>
        <v>83.12</v>
      </c>
      <c r="CR151" vm="19765">
        <f ca="1"/>
        <v>82.69</v>
      </c>
      <c r="CS151" vm="2661">
        <f ca="1"/>
        <v>82.53</v>
      </c>
      <c r="CT151" vm="14561">
        <f ca="1"/>
        <v>82.52</v>
      </c>
      <c r="CU151" vm="4526">
        <f ca="1"/>
        <v>82.59</v>
      </c>
      <c r="CV151" vm="6780">
        <f ca="1"/>
        <v>82.62</v>
      </c>
      <c r="CW151" vm="7250">
        <f ca="1"/>
        <v>82.45</v>
      </c>
      <c r="CX151" vm="20602">
        <f ca="1"/>
        <v>82.49</v>
      </c>
      <c r="CY151" vm="5993">
        <f ca="1"/>
        <v>82.34</v>
      </c>
      <c r="CZ151" vm="12480">
        <f ca="1"/>
        <v>82.32</v>
      </c>
      <c r="DA151" vm="6144">
        <f ca="1"/>
        <v>82.26</v>
      </c>
      <c r="DB151" vm="20598">
        <f ca="1"/>
        <v>82.42</v>
      </c>
      <c r="DC151" vm="1885">
        <f ca="1"/>
        <v>82.4</v>
      </c>
      <c r="DD151" vm="5948">
        <f ca="1"/>
        <v>82.43</v>
      </c>
      <c r="DE151" vm="5954">
        <f ca="1"/>
        <v>82.44</v>
      </c>
      <c r="DF151" vm="6130">
        <f ca="1"/>
        <v>82.39</v>
      </c>
      <c r="DG151" vm="5954">
        <f ca="1"/>
        <v>82.44</v>
      </c>
      <c r="DH151" vm="20602">
        <f ca="1"/>
        <v>82.49</v>
      </c>
      <c r="DI151" vm="14561">
        <f ca="1"/>
        <v>82.52</v>
      </c>
      <c r="DJ151" vm="4524">
        <f ca="1"/>
        <v>82.46</v>
      </c>
      <c r="DK151" vm="20603">
        <f ca="1"/>
        <v>82.55</v>
      </c>
      <c r="DL151" vm="12999">
        <f ca="1"/>
        <v>82.65</v>
      </c>
      <c r="DM151" vm="5989">
        <f ca="1"/>
        <v>82.31</v>
      </c>
      <c r="DN151" vm="13508">
        <f ca="1"/>
        <v>82.29</v>
      </c>
      <c r="DO151" vm="5954">
        <f ca="1"/>
        <v>82.44</v>
      </c>
      <c r="DP151" vm="14579">
        <f ca="1"/>
        <v>82.35</v>
      </c>
      <c r="DQ151" vm="13506">
        <f ca="1"/>
        <v>82.21</v>
      </c>
      <c r="DR151" vm="13010">
        <f ca="1"/>
        <v>82.27</v>
      </c>
      <c r="DS151" vm="13010">
        <f ca="1"/>
        <v>82.27</v>
      </c>
      <c r="DT151" vm="1885">
        <f ca="1"/>
        <v>82.4</v>
      </c>
      <c r="DU151" vm="2662">
        <f ca="1"/>
        <v>82.47</v>
      </c>
      <c r="DV151" vm="6019">
        <f ca="1"/>
        <v>82.41</v>
      </c>
      <c r="DW151" vm="1885">
        <f ca="1"/>
        <v>82.4</v>
      </c>
      <c r="DX151" vm="5954">
        <f ca="1"/>
        <v>82.44</v>
      </c>
      <c r="DY151" vm="1950">
        <f ca="1"/>
        <v>82.48</v>
      </c>
      <c r="DZ151" vm="1884">
        <f ca="1"/>
        <v>82.54</v>
      </c>
      <c r="EA151" vm="12999">
        <f ca="1"/>
        <v>82.65</v>
      </c>
      <c r="EB151" vm="20604">
        <f ca="1"/>
        <v>82.715000000000003</v>
      </c>
      <c r="EC151" vm="6131">
        <f ca="1"/>
        <v>82.73</v>
      </c>
      <c r="ED151" vm="1424">
        <f ca="1"/>
        <v>82.83</v>
      </c>
      <c r="EE151" vm="3170">
        <f ca="1"/>
        <v>82.8</v>
      </c>
      <c r="EF151" vm="1883">
        <f ca="1"/>
        <v>82.86</v>
      </c>
      <c r="EG151" vm="20599">
        <f ca="1"/>
        <v>82.51</v>
      </c>
      <c r="EH151" vm="12997">
        <f ca="1"/>
        <v>82.5</v>
      </c>
      <c r="EI151" vm="6019">
        <f ca="1"/>
        <v>82.41</v>
      </c>
      <c r="EJ151" vm="6130">
        <f ca="1"/>
        <v>82.39</v>
      </c>
      <c r="EK151" vm="1885">
        <f ca="1"/>
        <v>82.4</v>
      </c>
      <c r="EL151" vm="2662">
        <f ca="1"/>
        <v>82.47</v>
      </c>
      <c r="EM151" vm="2662">
        <f ca="1"/>
        <v>82.47</v>
      </c>
      <c r="EN151" vm="7250">
        <f ca="1"/>
        <v>82.45</v>
      </c>
      <c r="EO151" vm="4524">
        <f ca="1"/>
        <v>82.46</v>
      </c>
      <c r="EP151" vm="20605">
        <f ca="1"/>
        <v>82.375</v>
      </c>
      <c r="EQ151" vm="20602">
        <f ca="1"/>
        <v>82.49</v>
      </c>
      <c r="ER151" vm="4524">
        <f ca="1"/>
        <v>82.46</v>
      </c>
      <c r="ES151" vm="2661">
        <f ca="1"/>
        <v>82.53</v>
      </c>
      <c r="ET151" vm="12471">
        <f ca="1"/>
        <v>82.58</v>
      </c>
      <c r="EU151" vm="20600">
        <f ca="1"/>
        <v>82.64</v>
      </c>
      <c r="EV151" vm="7249">
        <f ca="1"/>
        <v>82.57</v>
      </c>
      <c r="EW151" vm="12997">
        <f ca="1"/>
        <v>82.5</v>
      </c>
      <c r="EX151" vm="20603">
        <f ca="1"/>
        <v>82.55</v>
      </c>
      <c r="EY151" vm="20606">
        <f ca="1"/>
        <v>82.534999999999997</v>
      </c>
      <c r="EZ151" vm="2663">
        <f ca="1"/>
        <v>82.61</v>
      </c>
      <c r="FA151" vm="14561">
        <f ca="1"/>
        <v>82.52</v>
      </c>
      <c r="FB151" vm="14561">
        <f ca="1"/>
        <v>82.52</v>
      </c>
      <c r="FC151" vm="13008">
        <f ca="1"/>
        <v>82.66</v>
      </c>
      <c r="FD151" vm="5955">
        <f ca="1"/>
        <v>82.68</v>
      </c>
      <c r="FE151" vm="12999">
        <f ca="1"/>
        <v>82.65</v>
      </c>
      <c r="FF151" vm="5955">
        <f ca="1"/>
        <v>82.68</v>
      </c>
      <c r="FG151" vm="20600">
        <f ca="1"/>
        <v>82.64</v>
      </c>
      <c r="FH151" vm="6780">
        <f ca="1"/>
        <v>82.62</v>
      </c>
      <c r="FI151" vm="6780">
        <f ca="1"/>
        <v>82.62</v>
      </c>
      <c r="FJ151" vm="5955">
        <f ca="1"/>
        <v>82.68</v>
      </c>
      <c r="FK151" vm="141">
        <f ca="1"/>
        <v>82.79</v>
      </c>
      <c r="FL151" vm="6143">
        <f ca="1"/>
        <v>82.7</v>
      </c>
      <c r="FM151" vm="10206">
        <f ca="1"/>
        <v>82.67</v>
      </c>
      <c r="FN151" vm="10206">
        <f ca="1"/>
        <v>82.67</v>
      </c>
      <c r="FO151" vm="3173">
        <f ca="1"/>
        <v>82.71</v>
      </c>
      <c r="FP151" vm="20607">
        <f ca="1"/>
        <v>82.74</v>
      </c>
      <c r="FQ151" vm="10206">
        <f ca="1"/>
        <v>82.67</v>
      </c>
      <c r="FR151" vm="3174">
        <f ca="1"/>
        <v>82.85</v>
      </c>
      <c r="FS151" vm="20608">
        <f ca="1"/>
        <v>82.805000000000007</v>
      </c>
      <c r="FT151" vm="5995">
        <f ca="1"/>
        <v>82.88</v>
      </c>
      <c r="FU151" vm="13475">
        <f ca="1"/>
        <v>82.94</v>
      </c>
      <c r="FV151" vm="14583">
        <f ca="1"/>
        <v>82.91</v>
      </c>
      <c r="FW151" vm="20609">
        <f ca="1"/>
        <v>82.98</v>
      </c>
      <c r="FX151" vm="5955">
        <f ca="1"/>
        <v>82.68</v>
      </c>
      <c r="FY151" vm="20607">
        <f ca="1"/>
        <v>82.74</v>
      </c>
      <c r="FZ151" vm="3170">
        <f ca="1"/>
        <v>82.8</v>
      </c>
      <c r="GA151" vm="3176">
        <f ca="1"/>
        <v>82.92</v>
      </c>
      <c r="GB151" vm="1836">
        <f ca="1"/>
        <v>82.97</v>
      </c>
      <c r="GC151" vm="10207">
        <f ca="1"/>
        <v>82.9</v>
      </c>
      <c r="GD151" vm="14583">
        <f ca="1"/>
        <v>82.91</v>
      </c>
      <c r="GE151" vm="13475">
        <f ca="1"/>
        <v>82.94</v>
      </c>
      <c r="GF151" vm="3164">
        <f ca="1"/>
        <v>82.93</v>
      </c>
      <c r="GG151" vm="3177">
        <f ca="1"/>
        <v>82.96</v>
      </c>
      <c r="GH151" vm="13480">
        <f ca="1"/>
        <v>83</v>
      </c>
      <c r="GI151" vm="3177">
        <f ca="1"/>
        <v>82.96</v>
      </c>
      <c r="GJ151" vm="3164">
        <f ca="1"/>
        <v>82.93</v>
      </c>
      <c r="GK151" vm="3177">
        <f ca="1"/>
        <v>82.96</v>
      </c>
      <c r="GL151" vm="3176">
        <f ca="1"/>
        <v>82.92</v>
      </c>
      <c r="GM151" vm="12996">
        <f ca="1"/>
        <v>82.95</v>
      </c>
      <c r="GN151" vm="14583">
        <f ca="1"/>
        <v>82.91</v>
      </c>
      <c r="GO151" vm="14547">
        <f ca="1"/>
        <v>82.84</v>
      </c>
      <c r="GP151" vm="14580">
        <f ca="1"/>
        <v>82.89</v>
      </c>
      <c r="GQ151" vm="3176">
        <f ca="1"/>
        <v>82.92</v>
      </c>
      <c r="GR151" vm="3177">
        <f ca="1"/>
        <v>82.96</v>
      </c>
      <c r="GS151" vm="3170">
        <f ca="1"/>
        <v>82.8</v>
      </c>
      <c r="GT151" vm="1921">
        <f ca="1"/>
        <v>82.82</v>
      </c>
      <c r="GU151" vm="141">
        <f ca="1"/>
        <v>82.79</v>
      </c>
      <c r="GV151" vm="3171">
        <f ca="1"/>
        <v>82.77</v>
      </c>
      <c r="GW151" vm="3169">
        <f ca="1"/>
        <v>82.81</v>
      </c>
      <c r="GX151" vm="3170">
        <f ca="1"/>
        <v>82.8</v>
      </c>
      <c r="GY151" vm="141">
        <f ca="1"/>
        <v>82.79</v>
      </c>
      <c r="GZ151" vm="3164">
        <f ca="1"/>
        <v>82.93</v>
      </c>
      <c r="HA151" vm="3167">
        <f ca="1"/>
        <v>83.09</v>
      </c>
      <c r="HB151" vm="3165">
        <f ca="1"/>
        <v>83.03</v>
      </c>
      <c r="HC151" vm="4520">
        <f ca="1"/>
        <v>82.99</v>
      </c>
      <c r="HD151" vm="20610">
        <f ca="1"/>
        <v>83.1</v>
      </c>
      <c r="HE151" vm="20611">
        <f ca="1"/>
        <v>83.084999999999994</v>
      </c>
      <c r="HF151" vm="20610">
        <f ca="1"/>
        <v>83.1</v>
      </c>
      <c r="HG151" vm="14559">
        <f ca="1"/>
        <v>83.12</v>
      </c>
      <c r="HH151" vm="14559">
        <f ca="1"/>
        <v>83.12</v>
      </c>
      <c r="HI151" vm="15644">
        <f ca="1"/>
        <v>83.06</v>
      </c>
      <c r="HJ151" vm="20612">
        <f ca="1"/>
        <v>83.11</v>
      </c>
      <c r="HK151" vm="3167">
        <f ca="1"/>
        <v>83.09</v>
      </c>
      <c r="HL151" vm="20610">
        <f ca="1"/>
        <v>83.1</v>
      </c>
      <c r="HM151" vm="20613">
        <f ca="1"/>
        <v>82.935000000000002</v>
      </c>
      <c r="HN151" vm="12996">
        <f ca="1"/>
        <v>82.95</v>
      </c>
      <c r="HO151" vm="20609">
        <f ca="1"/>
        <v>82.98</v>
      </c>
      <c r="HP151" vm="20601">
        <f ca="1"/>
        <v>82.72</v>
      </c>
      <c r="HQ151" vm="3172">
        <f ca="1"/>
        <v>82.75</v>
      </c>
      <c r="HR151" vm="19765">
        <f ca="1"/>
        <v>82.69</v>
      </c>
      <c r="HS151" vm="141">
        <f ca="1"/>
        <v>82.79</v>
      </c>
      <c r="HT151" vm="1424">
        <f ca="1"/>
        <v>82.83</v>
      </c>
      <c r="HU151" vm="3169">
        <f ca="1"/>
        <v>82.81</v>
      </c>
      <c r="HV151" vm="5995">
        <f ca="1"/>
        <v>82.88</v>
      </c>
      <c r="HW151" vm="3174">
        <f ca="1"/>
        <v>82.85</v>
      </c>
      <c r="HX151" vm="3170">
        <f ca="1"/>
        <v>82.8</v>
      </c>
      <c r="HY151" vm="1424">
        <f ca="1"/>
        <v>82.83</v>
      </c>
      <c r="HZ151" vm="1921">
        <f ca="1"/>
        <v>82.82</v>
      </c>
      <c r="IA151" vm="3175">
        <f ca="1"/>
        <v>82.87</v>
      </c>
      <c r="IB151" vm="1883">
        <f ca="1"/>
        <v>82.86</v>
      </c>
      <c r="IC151" vm="3164">
        <f ca="1"/>
        <v>82.93</v>
      </c>
      <c r="ID151" vm="3165">
        <f ca="1"/>
        <v>83.03</v>
      </c>
      <c r="IE151" vm="3166">
        <f ca="1"/>
        <v>83.04</v>
      </c>
      <c r="IF151" vm="3167">
        <f ca="1"/>
        <v>83.09</v>
      </c>
      <c r="IG151" vm="3168">
        <f ca="1"/>
        <v>83.08</v>
      </c>
      <c r="IH151" vm="3168">
        <f ca="1"/>
        <v>83.08</v>
      </c>
      <c r="II151" vm="132">
        <f ca="1"/>
        <v>82.76</v>
      </c>
      <c r="IJ151" vm="3169">
        <f ca="1"/>
        <v>82.81</v>
      </c>
      <c r="IK151" vm="1883">
        <f ca="1"/>
        <v>82.86</v>
      </c>
      <c r="IL151" vm="3170">
        <f ca="1"/>
        <v>82.8</v>
      </c>
      <c r="IM151" vm="3171">
        <f ca="1"/>
        <v>82.77</v>
      </c>
      <c r="IN151" vm="3172">
        <f ca="1"/>
        <v>82.75</v>
      </c>
      <c r="IO151" vm="3173">
        <f ca="1"/>
        <v>82.71</v>
      </c>
      <c r="IP151" vm="3174">
        <f ca="1"/>
        <v>82.85</v>
      </c>
      <c r="IQ151" vm="1883">
        <f ca="1"/>
        <v>82.86</v>
      </c>
      <c r="IR151" vm="3175">
        <f ca="1"/>
        <v>82.87</v>
      </c>
      <c r="IS151" vm="3176">
        <f ca="1"/>
        <v>82.92</v>
      </c>
      <c r="IT151" vm="3177">
        <f ca="1"/>
        <v>82.96</v>
      </c>
      <c r="IU151" vm="1836">
        <f ca="1"/>
        <v>82.97</v>
      </c>
      <c r="IV151" vm="3165">
        <f ca="1"/>
        <v>83.03</v>
      </c>
      <c r="IW151" vm="132">
        <f ca="1"/>
        <v>82.76</v>
      </c>
    </row>
    <row r="152" spans="1:257" ht="16" x14ac:dyDescent="0.2">
      <c r="A152" t="e" vm="3178">
        <v>#VALUE!</v>
      </c>
      <c r="B152" s="23" t="str" cm="1">
        <f t="array" aca="1" ref="B152" ca="1">_FV(A152,"ticker symbol",TRUE)</f>
        <v>IEF</v>
      </c>
      <c r="C152" s="23" t="str" cm="1">
        <f t="array" aca="1" ref="C152" ca="1">_FV(A152,"Name")</f>
        <v>iShares:7-10 Trs Bd</v>
      </c>
      <c r="D152" cm="1" vm="20614">
        <f t="array" aca="1" ref="D152:IW152" ca="1">TRANSPOSE(_xlfn.STOCKHISTORY(B152, WORKDAY(TODAY(), -265), TODAY(), 0, 0, 1))</f>
        <v>93.72</v>
      </c>
      <c r="E152" vm="20614">
        <f ca="1"/>
        <v>93.72</v>
      </c>
      <c r="F152" vm="12497">
        <f ca="1"/>
        <v>92.69</v>
      </c>
      <c r="G152" vm="6805">
        <f ca="1"/>
        <v>92.27</v>
      </c>
      <c r="H152" vm="6835">
        <f ca="1"/>
        <v>92.61</v>
      </c>
      <c r="I152" vm="6085">
        <f ca="1"/>
        <v>92.2</v>
      </c>
      <c r="J152" vm="16237">
        <f ca="1"/>
        <v>92.25</v>
      </c>
      <c r="K152" vm="20615">
        <f ca="1"/>
        <v>92.32</v>
      </c>
      <c r="L152" vm="17758">
        <f ca="1"/>
        <v>92.08</v>
      </c>
      <c r="M152" vm="8297">
        <f ca="1"/>
        <v>92.62</v>
      </c>
      <c r="N152" vm="1331">
        <f ca="1"/>
        <v>92.45</v>
      </c>
      <c r="O152" vm="20616">
        <f ca="1"/>
        <v>92.5</v>
      </c>
      <c r="P152" vm="20617">
        <f ca="1"/>
        <v>92.35</v>
      </c>
      <c r="Q152" vm="1319">
        <f ca="1"/>
        <v>92.26</v>
      </c>
      <c r="R152" vm="15699">
        <f ca="1"/>
        <v>91.84</v>
      </c>
      <c r="S152" vm="1844">
        <f ca="1"/>
        <v>92</v>
      </c>
      <c r="T152" vm="1894">
        <f ca="1"/>
        <v>91.33</v>
      </c>
      <c r="U152" vm="12494">
        <f ca="1"/>
        <v>91.17</v>
      </c>
      <c r="V152" vm="17759">
        <f ca="1"/>
        <v>91.2</v>
      </c>
      <c r="W152" vm="4470">
        <f ca="1"/>
        <v>92.16</v>
      </c>
      <c r="X152" vm="20618">
        <f ca="1"/>
        <v>92.38</v>
      </c>
      <c r="Y152" vm="1331">
        <f ca="1"/>
        <v>92.45</v>
      </c>
      <c r="Z152" vm="12436">
        <f ca="1"/>
        <v>92.76</v>
      </c>
      <c r="AA152" vm="6116">
        <f ca="1"/>
        <v>92.52</v>
      </c>
      <c r="AB152" vm="6828">
        <f ca="1"/>
        <v>92.28</v>
      </c>
      <c r="AC152" vm="1720">
        <f ca="1"/>
        <v>92.47</v>
      </c>
      <c r="AD152" vm="10931">
        <f ca="1"/>
        <v>93.07</v>
      </c>
      <c r="AE152" vm="20619">
        <f ca="1"/>
        <v>93.08</v>
      </c>
      <c r="AF152" vm="17757">
        <f ca="1"/>
        <v>92.97</v>
      </c>
      <c r="AG152" vm="6115">
        <f ca="1"/>
        <v>93.17</v>
      </c>
      <c r="AH152" vm="153">
        <f ca="1"/>
        <v>93.02</v>
      </c>
      <c r="AI152" vm="16246">
        <f ca="1"/>
        <v>92.79</v>
      </c>
      <c r="AJ152" vm="153">
        <f ca="1"/>
        <v>93.02</v>
      </c>
      <c r="AK152" vm="15696">
        <f ca="1"/>
        <v>93.56</v>
      </c>
      <c r="AL152" vm="6121">
        <f ca="1"/>
        <v>93.45</v>
      </c>
      <c r="AM152" vm="10938">
        <f ca="1"/>
        <v>93.14</v>
      </c>
      <c r="AN152" vm="12526">
        <f ca="1"/>
        <v>93.12</v>
      </c>
      <c r="AO152" vm="13025">
        <f ca="1"/>
        <v>92.88</v>
      </c>
      <c r="AP152" vm="6809">
        <f ca="1"/>
        <v>92.24</v>
      </c>
      <c r="AQ152" vm="4502">
        <f ca="1"/>
        <v>92.93</v>
      </c>
      <c r="AR152" vm="12451">
        <f ca="1"/>
        <v>93.32</v>
      </c>
      <c r="AS152" vm="20620">
        <f ca="1"/>
        <v>92.82</v>
      </c>
      <c r="AT152" vm="17757">
        <f ca="1"/>
        <v>92.97</v>
      </c>
      <c r="AU152" vm="20621">
        <f ca="1"/>
        <v>93.16</v>
      </c>
      <c r="AV152" vm="4481">
        <f ca="1"/>
        <v>93.71</v>
      </c>
      <c r="AW152" vm="20622">
        <f ca="1"/>
        <v>93.91</v>
      </c>
      <c r="AX152" vm="2045">
        <f ca="1"/>
        <v>94.65</v>
      </c>
      <c r="AY152" vm="12446">
        <f ca="1"/>
        <v>94.91</v>
      </c>
      <c r="AZ152" vm="16287">
        <f ca="1"/>
        <v>94.8</v>
      </c>
      <c r="BA152" vm="10937">
        <f ca="1"/>
        <v>95.32</v>
      </c>
      <c r="BB152" vm="4498">
        <f ca="1"/>
        <v>95.39</v>
      </c>
      <c r="BC152" vm="4553">
        <f ca="1"/>
        <v>95.09</v>
      </c>
      <c r="BD152" vm="16307">
        <f ca="1"/>
        <v>94.56</v>
      </c>
      <c r="BE152" vm="2047">
        <f ca="1"/>
        <v>94.51</v>
      </c>
      <c r="BF152" vm="4488">
        <f ca="1"/>
        <v>94.39</v>
      </c>
      <c r="BG152" vm="20623">
        <f ca="1"/>
        <v>95.05</v>
      </c>
      <c r="BH152" vm="13457">
        <f ca="1"/>
        <v>94.71</v>
      </c>
      <c r="BI152" vm="12462">
        <f ca="1"/>
        <v>94.43</v>
      </c>
      <c r="BJ152" vm="10824">
        <f ca="1"/>
        <v>94.81</v>
      </c>
      <c r="BK152" vm="20624">
        <f ca="1"/>
        <v>94.48</v>
      </c>
      <c r="BL152" vm="16307">
        <f ca="1"/>
        <v>94.56</v>
      </c>
      <c r="BM152" vm="19897">
        <f ca="1"/>
        <v>94.67</v>
      </c>
      <c r="BN152" vm="2849">
        <f ca="1"/>
        <v>94.96</v>
      </c>
      <c r="BO152" vm="10818">
        <f ca="1"/>
        <v>95.1</v>
      </c>
      <c r="BP152" vm="16278">
        <f ca="1"/>
        <v>95.02</v>
      </c>
      <c r="BQ152" vm="20625">
        <f ca="1"/>
        <v>94.47</v>
      </c>
      <c r="BR152" vm="1329">
        <f ca="1"/>
        <v>94.63</v>
      </c>
      <c r="BS152" vm="17763">
        <f ca="1"/>
        <v>94.41</v>
      </c>
      <c r="BT152" vm="20626">
        <f ca="1"/>
        <v>94.33</v>
      </c>
      <c r="BU152" vm="4553">
        <f ca="1"/>
        <v>95.09</v>
      </c>
      <c r="BV152" vm="20627">
        <f ca="1"/>
        <v>95.37</v>
      </c>
      <c r="BW152" vm="20628">
        <f ca="1"/>
        <v>95.4</v>
      </c>
      <c r="BX152" vm="13623">
        <f ca="1"/>
        <v>95.31</v>
      </c>
      <c r="BY152" vm="20629">
        <f ca="1"/>
        <v>96.29</v>
      </c>
      <c r="BZ152" vm="16297">
        <f ca="1"/>
        <v>96.56</v>
      </c>
      <c r="CA152" vm="5589">
        <f ca="1"/>
        <v>95.41</v>
      </c>
      <c r="CB152" vm="10929">
        <f ca="1"/>
        <v>94.93</v>
      </c>
      <c r="CC152" vm="1329">
        <f ca="1"/>
        <v>94.63</v>
      </c>
      <c r="CD152" vm="20630">
        <f ca="1"/>
        <v>94.04</v>
      </c>
      <c r="CE152" vm="4542">
        <f ca="1"/>
        <v>93.51</v>
      </c>
      <c r="CF152" vm="10930">
        <f ca="1"/>
        <v>94.26</v>
      </c>
      <c r="CG152" vm="16260">
        <f ca="1"/>
        <v>94.54</v>
      </c>
      <c r="CH152" vm="20631">
        <f ca="1"/>
        <v>94.95</v>
      </c>
      <c r="CI152" vm="4499">
        <f ca="1"/>
        <v>94.68</v>
      </c>
      <c r="CJ152" vm="20632">
        <f ca="1"/>
        <v>94.17</v>
      </c>
      <c r="CK152" vm="12534">
        <f ca="1"/>
        <v>94.24</v>
      </c>
      <c r="CL152" vm="16214">
        <f ca="1"/>
        <v>94.34</v>
      </c>
      <c r="CM152" vm="4546">
        <f ca="1"/>
        <v>94.85</v>
      </c>
      <c r="CN152" vm="20633">
        <f ca="1"/>
        <v>95.21</v>
      </c>
      <c r="CO152" vm="20634">
        <f ca="1"/>
        <v>95.59</v>
      </c>
      <c r="CP152" vm="1324">
        <f ca="1"/>
        <v>95.92</v>
      </c>
      <c r="CQ152" vm="7955">
        <f ca="1"/>
        <v>96.07</v>
      </c>
      <c r="CR152" vm="1899">
        <f ca="1"/>
        <v>95.34</v>
      </c>
      <c r="CS152" vm="4538">
        <f ca="1"/>
        <v>94.7</v>
      </c>
      <c r="CT152" vm="20635">
        <f ca="1"/>
        <v>94.53</v>
      </c>
      <c r="CU152" vm="16276">
        <f ca="1"/>
        <v>94.77</v>
      </c>
      <c r="CV152" vm="16278">
        <f ca="1"/>
        <v>95.02</v>
      </c>
      <c r="CW152" vm="20636">
        <f ca="1"/>
        <v>94.28</v>
      </c>
      <c r="CX152" vm="10915">
        <f ca="1"/>
        <v>94.35</v>
      </c>
      <c r="CY152" vm="12514">
        <f ca="1"/>
        <v>93.75</v>
      </c>
      <c r="CZ152" vm="20637">
        <f ca="1"/>
        <v>93.68</v>
      </c>
      <c r="DA152" vm="2053">
        <f ca="1"/>
        <v>93.33</v>
      </c>
      <c r="DB152" vm="20638">
        <f ca="1"/>
        <v>93.94</v>
      </c>
      <c r="DC152" vm="12466">
        <f ca="1"/>
        <v>93.97</v>
      </c>
      <c r="DD152" vm="20639">
        <f ca="1"/>
        <v>93.92</v>
      </c>
      <c r="DE152" vm="20640">
        <f ca="1"/>
        <v>93.8</v>
      </c>
      <c r="DF152" vm="4485">
        <f ca="1"/>
        <v>93.15</v>
      </c>
      <c r="DG152" vm="12513">
        <f ca="1"/>
        <v>93.5</v>
      </c>
      <c r="DH152" vm="4501">
        <f ca="1"/>
        <v>93.77</v>
      </c>
      <c r="DI152" vm="2046">
        <f ca="1"/>
        <v>94.16</v>
      </c>
      <c r="DJ152" vm="10917">
        <f ca="1"/>
        <v>93.9</v>
      </c>
      <c r="DK152" vm="13454">
        <f ca="1"/>
        <v>94.29</v>
      </c>
      <c r="DL152" vm="16273">
        <f ca="1"/>
        <v>94.57</v>
      </c>
      <c r="DM152" vm="20638">
        <f ca="1"/>
        <v>93.94</v>
      </c>
      <c r="DN152" vm="2052">
        <f ca="1"/>
        <v>93.85</v>
      </c>
      <c r="DO152" vm="16260">
        <f ca="1"/>
        <v>94.54</v>
      </c>
      <c r="DP152" vm="10930">
        <f ca="1"/>
        <v>94.26</v>
      </c>
      <c r="DQ152" vm="4542">
        <f ca="1"/>
        <v>93.51</v>
      </c>
      <c r="DR152" vm="20637">
        <f ca="1"/>
        <v>93.68</v>
      </c>
      <c r="DS152" vm="20641">
        <f ca="1"/>
        <v>93.84</v>
      </c>
      <c r="DT152" vm="10928">
        <f ca="1"/>
        <v>94.23</v>
      </c>
      <c r="DU152" vm="16254">
        <f ca="1"/>
        <v>94.64</v>
      </c>
      <c r="DV152" vm="13454">
        <f ca="1"/>
        <v>94.29</v>
      </c>
      <c r="DW152" vm="20642">
        <f ca="1"/>
        <v>94.02</v>
      </c>
      <c r="DX152" vm="20624">
        <f ca="1"/>
        <v>94.48</v>
      </c>
      <c r="DY152" vm="16260">
        <f ca="1"/>
        <v>94.54</v>
      </c>
      <c r="DZ152" vm="12535">
        <f ca="1"/>
        <v>94.6</v>
      </c>
      <c r="EA152" vm="10929">
        <f ca="1"/>
        <v>94.93</v>
      </c>
      <c r="EB152" vm="19767">
        <f ca="1"/>
        <v>95.26</v>
      </c>
      <c r="EC152" vm="4540">
        <f ca="1"/>
        <v>95.3</v>
      </c>
      <c r="ED152" vm="16279">
        <f ca="1"/>
        <v>95.64</v>
      </c>
      <c r="EE152" vm="4498">
        <f ca="1"/>
        <v>95.39</v>
      </c>
      <c r="EF152" vm="2042">
        <f ca="1"/>
        <v>95.77</v>
      </c>
      <c r="EG152" vm="16288">
        <f ca="1"/>
        <v>95.29</v>
      </c>
      <c r="EH152" vm="4553">
        <f ca="1"/>
        <v>95.09</v>
      </c>
      <c r="EI152" vm="2049">
        <f ca="1"/>
        <v>94.76</v>
      </c>
      <c r="EJ152" vm="20643">
        <f ca="1"/>
        <v>94.46</v>
      </c>
      <c r="EK152" vm="4465">
        <f ca="1"/>
        <v>94.32</v>
      </c>
      <c r="EL152" vm="10824">
        <f ca="1"/>
        <v>94.81</v>
      </c>
      <c r="EM152" vm="2049">
        <f ca="1"/>
        <v>94.76</v>
      </c>
      <c r="EN152" vm="4465">
        <f ca="1"/>
        <v>94.32</v>
      </c>
      <c r="EO152" vm="20636">
        <f ca="1"/>
        <v>94.28</v>
      </c>
      <c r="EP152" vm="20622">
        <f ca="1"/>
        <v>93.91</v>
      </c>
      <c r="EQ152" vm="20632">
        <f ca="1"/>
        <v>94.17</v>
      </c>
      <c r="ER152" vm="20644">
        <f ca="1"/>
        <v>94.14</v>
      </c>
      <c r="ES152" vm="16272">
        <f ca="1"/>
        <v>94.4</v>
      </c>
      <c r="ET152" vm="15694">
        <f ca="1"/>
        <v>94.73</v>
      </c>
      <c r="EU152" vm="13589">
        <f ca="1"/>
        <v>95</v>
      </c>
      <c r="EV152" vm="16264">
        <f ca="1"/>
        <v>94.66</v>
      </c>
      <c r="EW152" vm="20645">
        <f ca="1"/>
        <v>94.52</v>
      </c>
      <c r="EX152" vm="16265">
        <f ca="1"/>
        <v>94.74</v>
      </c>
      <c r="EY152" vm="20635">
        <f ca="1"/>
        <v>94.53</v>
      </c>
      <c r="EZ152" vm="4545">
        <f ca="1"/>
        <v>95.15</v>
      </c>
      <c r="FA152" vm="1327">
        <f ca="1"/>
        <v>94.82</v>
      </c>
      <c r="FB152" vm="20646">
        <f ca="1"/>
        <v>94.9</v>
      </c>
      <c r="FC152" vm="20647">
        <f ca="1"/>
        <v>95.68</v>
      </c>
      <c r="FD152" vm="1901">
        <f ca="1"/>
        <v>95.81</v>
      </c>
      <c r="FE152" vm="5575">
        <f ca="1"/>
        <v>95.74</v>
      </c>
      <c r="FF152" vm="13455">
        <f ca="1"/>
        <v>95.67</v>
      </c>
      <c r="FG152" vm="4493">
        <f ca="1"/>
        <v>95.6</v>
      </c>
      <c r="FH152" vm="4539">
        <f ca="1"/>
        <v>95.38</v>
      </c>
      <c r="FI152" vm="5589">
        <f ca="1"/>
        <v>95.41</v>
      </c>
      <c r="FJ152" vm="4498">
        <f ca="1"/>
        <v>95.39</v>
      </c>
      <c r="FK152" vm="16301">
        <f ca="1"/>
        <v>95.73</v>
      </c>
      <c r="FL152" vm="20648">
        <f ca="1"/>
        <v>95.42</v>
      </c>
      <c r="FM152" vm="8300">
        <f ca="1"/>
        <v>95.23</v>
      </c>
      <c r="FN152" vm="4554">
        <f ca="1"/>
        <v>95.14</v>
      </c>
      <c r="FO152" vm="4539">
        <f ca="1"/>
        <v>95.38</v>
      </c>
      <c r="FP152" vm="20649">
        <f ca="1"/>
        <v>95.52</v>
      </c>
      <c r="FQ152" vm="15697">
        <f ca="1"/>
        <v>95.24</v>
      </c>
      <c r="FR152" vm="2042">
        <f ca="1"/>
        <v>95.77</v>
      </c>
      <c r="FS152" vm="10926">
        <f ca="1"/>
        <v>95.58</v>
      </c>
      <c r="FT152" vm="16308">
        <f ca="1"/>
        <v>95.83</v>
      </c>
      <c r="FU152" vm="1328">
        <f ca="1"/>
        <v>96.01</v>
      </c>
      <c r="FV152" vm="20650">
        <f ca="1"/>
        <v>96.23</v>
      </c>
      <c r="FW152" vm="19904">
        <f ca="1"/>
        <v>96.15</v>
      </c>
      <c r="FX152" vm="13645">
        <f ca="1"/>
        <v>95.55</v>
      </c>
      <c r="FY152" vm="19907">
        <f ca="1"/>
        <v>95.88</v>
      </c>
      <c r="FZ152" vm="16283">
        <f ca="1"/>
        <v>96.31</v>
      </c>
      <c r="GA152" vm="20651">
        <f ca="1"/>
        <v>96.78</v>
      </c>
      <c r="GB152" vm="13668">
        <f ca="1"/>
        <v>97.08</v>
      </c>
      <c r="GC152" vm="5577">
        <f ca="1"/>
        <v>96.85</v>
      </c>
      <c r="GD152" vm="10872">
        <f ca="1"/>
        <v>97.11</v>
      </c>
      <c r="GE152" vm="4497">
        <f ca="1"/>
        <v>97.26</v>
      </c>
      <c r="GF152" vm="13624">
        <f ca="1"/>
        <v>96.98</v>
      </c>
      <c r="GG152" vm="20652">
        <f ca="1"/>
        <v>97.14</v>
      </c>
      <c r="GH152" vm="10907">
        <f ca="1"/>
        <v>97.2</v>
      </c>
      <c r="GI152" vm="13672">
        <f ca="1"/>
        <v>96.99</v>
      </c>
      <c r="GJ152" vm="3189">
        <f ca="1"/>
        <v>96.67</v>
      </c>
      <c r="GK152" vm="4557">
        <f ca="1"/>
        <v>96.63</v>
      </c>
      <c r="GL152" vm="3190">
        <f ca="1"/>
        <v>96.47</v>
      </c>
      <c r="GM152" vm="11915">
        <f ca="1"/>
        <v>96.74</v>
      </c>
      <c r="GN152" vm="9331">
        <f ca="1"/>
        <v>96.48</v>
      </c>
      <c r="GO152" vm="3191">
        <f ca="1"/>
        <v>96.27</v>
      </c>
      <c r="GP152" vm="16267">
        <f ca="1"/>
        <v>96.22</v>
      </c>
      <c r="GQ152" vm="13670">
        <f ca="1"/>
        <v>96.5</v>
      </c>
      <c r="GR152" vm="12443">
        <f ca="1"/>
        <v>96.46</v>
      </c>
      <c r="GS152" vm="20653">
        <f ca="1"/>
        <v>96.49</v>
      </c>
      <c r="GT152" vm="10919">
        <f ca="1"/>
        <v>96.59</v>
      </c>
      <c r="GU152" vm="20654">
        <f ca="1"/>
        <v>96.4</v>
      </c>
      <c r="GV152" vm="16261">
        <f ca="1"/>
        <v>96.12</v>
      </c>
      <c r="GW152" vm="7914">
        <f ca="1"/>
        <v>96.36</v>
      </c>
      <c r="GX152" vm="15698">
        <f ca="1"/>
        <v>96.38</v>
      </c>
      <c r="GY152" vm="16283">
        <f ca="1"/>
        <v>96.31</v>
      </c>
      <c r="GZ152" vm="271">
        <f ca="1"/>
        <v>96.91</v>
      </c>
      <c r="HA152" vm="13626">
        <f ca="1"/>
        <v>96.96</v>
      </c>
      <c r="HB152" vm="7913">
        <f ca="1"/>
        <v>97.21</v>
      </c>
      <c r="HC152" vm="5531">
        <f ca="1"/>
        <v>97.1</v>
      </c>
      <c r="HD152" vm="20655">
        <f ca="1"/>
        <v>97.55</v>
      </c>
      <c r="HE152" vm="5533">
        <f ca="1"/>
        <v>97.39</v>
      </c>
      <c r="HF152" vm="20656">
        <f ca="1"/>
        <v>97.52</v>
      </c>
      <c r="HG152" vm="5519">
        <f ca="1"/>
        <v>97.7</v>
      </c>
      <c r="HH152" vm="11922">
        <f ca="1"/>
        <v>97.72</v>
      </c>
      <c r="HI152" vm="10940">
        <f ca="1"/>
        <v>97.4</v>
      </c>
      <c r="HJ152" vm="20657">
        <f ca="1"/>
        <v>97.49</v>
      </c>
      <c r="HK152" vm="20657">
        <f ca="1"/>
        <v>97.49</v>
      </c>
      <c r="HL152" vm="4579">
        <f ca="1"/>
        <v>97.58</v>
      </c>
      <c r="HM152" vm="16303">
        <f ca="1"/>
        <v>96.95</v>
      </c>
      <c r="HN152" vm="4494">
        <f ca="1"/>
        <v>96.81</v>
      </c>
      <c r="HO152" vm="5577">
        <f ca="1"/>
        <v>96.85</v>
      </c>
      <c r="HP152" vm="13670">
        <f ca="1"/>
        <v>96.5</v>
      </c>
      <c r="HQ152" vm="4548">
        <f ca="1"/>
        <v>96.62</v>
      </c>
      <c r="HR152" vm="16295">
        <f ca="1"/>
        <v>96.16</v>
      </c>
      <c r="HS152" vm="16298">
        <f ca="1"/>
        <v>96.65</v>
      </c>
      <c r="HT152" vm="3186">
        <f ca="1"/>
        <v>96.69</v>
      </c>
      <c r="HU152" vm="16297">
        <f ca="1"/>
        <v>96.56</v>
      </c>
      <c r="HV152" vm="19912">
        <f ca="1"/>
        <v>96.86</v>
      </c>
      <c r="HW152" vm="19903">
        <f ca="1"/>
        <v>96.88</v>
      </c>
      <c r="HX152" vm="1902">
        <f ca="1"/>
        <v>96.6</v>
      </c>
      <c r="HY152" vm="3193">
        <f ca="1"/>
        <v>96.44</v>
      </c>
      <c r="HZ152" vm="5532">
        <f ca="1"/>
        <v>96.55</v>
      </c>
      <c r="IA152" vm="16293">
        <f ca="1"/>
        <v>96.71</v>
      </c>
      <c r="IB152" vm="3179">
        <f ca="1"/>
        <v>96.64</v>
      </c>
      <c r="IC152" vm="3180">
        <f ca="1"/>
        <v>96.87</v>
      </c>
      <c r="ID152" vm="3181">
        <f ca="1"/>
        <v>97.19</v>
      </c>
      <c r="IE152" vm="3182">
        <f ca="1"/>
        <v>97.34</v>
      </c>
      <c r="IF152" vm="3183">
        <f ca="1"/>
        <v>97.59</v>
      </c>
      <c r="IG152" vm="3184">
        <f ca="1"/>
        <v>97.67</v>
      </c>
      <c r="IH152" vm="3185">
        <f ca="1"/>
        <v>97.5</v>
      </c>
      <c r="II152" vm="3186">
        <f ca="1"/>
        <v>96.69</v>
      </c>
      <c r="IJ152" vm="3187">
        <f ca="1"/>
        <v>96.77</v>
      </c>
      <c r="IK152" vm="3188">
        <f ca="1"/>
        <v>96.97</v>
      </c>
      <c r="IL152" vm="3189">
        <f ca="1"/>
        <v>96.67</v>
      </c>
      <c r="IM152" vm="3190">
        <f ca="1"/>
        <v>96.47</v>
      </c>
      <c r="IN152" vm="3191">
        <f ca="1"/>
        <v>96.27</v>
      </c>
      <c r="IO152" vm="3192">
        <f ca="1"/>
        <v>96.13</v>
      </c>
      <c r="IP152" vm="3193">
        <f ca="1"/>
        <v>96.44</v>
      </c>
      <c r="IQ152" vm="3194">
        <f ca="1"/>
        <v>96.45</v>
      </c>
      <c r="IR152" vm="3195">
        <f ca="1"/>
        <v>96.19</v>
      </c>
      <c r="IS152" vm="3191">
        <f ca="1"/>
        <v>96.27</v>
      </c>
      <c r="IT152" vm="3196">
        <f ca="1"/>
        <v>96.54</v>
      </c>
      <c r="IU152" vm="2038">
        <f ca="1"/>
        <v>96.52</v>
      </c>
      <c r="IV152" vm="3187">
        <f ca="1"/>
        <v>96.77</v>
      </c>
      <c r="IW152" vm="134">
        <f ca="1"/>
        <v>96.24</v>
      </c>
    </row>
    <row r="153" spans="1:257" ht="16" x14ac:dyDescent="0.2">
      <c r="A153" t="e" vm="3197">
        <v>#VALUE!</v>
      </c>
      <c r="B153" s="23" t="str" cm="1">
        <f t="array" aca="1" ref="B153" ca="1">_FV(A153,"ticker symbol",TRUE)</f>
        <v>SGOV</v>
      </c>
      <c r="C153" s="23" t="str" cm="1">
        <f t="array" aca="1" ref="C153" ca="1">_FV(A153,"Name")</f>
        <v>iShares:0-3 Month Trs Bd</v>
      </c>
      <c r="D153" cm="1" vm="20658">
        <f t="array" aca="1" ref="D153:IW153" ca="1">TRANSPOSE(_xlfn.STOCKHISTORY(B153, WORKDAY(TODAY(), -265), TODAY(), 0, 0, 1))</f>
        <v>100.51</v>
      </c>
      <c r="E153" vm="20658">
        <f ca="1"/>
        <v>100.51</v>
      </c>
      <c r="F153" vm="11933">
        <f ca="1"/>
        <v>100.16</v>
      </c>
      <c r="G153" vm="5560">
        <f ca="1"/>
        <v>100.18</v>
      </c>
      <c r="H153" vm="3253">
        <f ca="1"/>
        <v>100.2</v>
      </c>
      <c r="I153" vm="17782">
        <f ca="1"/>
        <v>100.22</v>
      </c>
      <c r="J153" vm="20659">
        <f ca="1"/>
        <v>100.25</v>
      </c>
      <c r="K153" vm="4574">
        <f ca="1"/>
        <v>100.26</v>
      </c>
      <c r="L153" vm="5562">
        <f ca="1"/>
        <v>100.29</v>
      </c>
      <c r="M153" vm="5562">
        <f ca="1"/>
        <v>100.29</v>
      </c>
      <c r="N153" vm="3267">
        <f ca="1"/>
        <v>100.32</v>
      </c>
      <c r="O153" vm="20660">
        <f ca="1"/>
        <v>100.34</v>
      </c>
      <c r="P153" vm="20661">
        <f ca="1"/>
        <v>100.37</v>
      </c>
      <c r="Q153" vm="20661">
        <f ca="1"/>
        <v>100.37</v>
      </c>
      <c r="R153" vm="11937">
        <f ca="1"/>
        <v>100.39</v>
      </c>
      <c r="S153" vm="3206">
        <f ca="1"/>
        <v>100.41</v>
      </c>
      <c r="T153" vm="7934">
        <f ca="1"/>
        <v>100.45</v>
      </c>
      <c r="U153" vm="3209">
        <f ca="1"/>
        <v>100.47</v>
      </c>
      <c r="V153" vm="20662">
        <f ca="1"/>
        <v>100.48</v>
      </c>
      <c r="W153" vm="3210">
        <f ca="1"/>
        <v>100.49</v>
      </c>
      <c r="X153" vm="3210">
        <f ca="1"/>
        <v>100.49</v>
      </c>
      <c r="Y153" vm="3212">
        <f ca="1"/>
        <v>100.54</v>
      </c>
      <c r="Z153" vm="19917">
        <f ca="1"/>
        <v>100.55</v>
      </c>
      <c r="AA153" vm="5518">
        <f ca="1"/>
        <v>100.57</v>
      </c>
      <c r="AB153" vm="3199">
        <f ca="1"/>
        <v>100.58</v>
      </c>
      <c r="AC153" vm="274">
        <f ca="1"/>
        <v>100.61</v>
      </c>
      <c r="AD153" vm="274">
        <f ca="1"/>
        <v>100.61</v>
      </c>
      <c r="AE153" vm="3202">
        <f ca="1"/>
        <v>100.64</v>
      </c>
      <c r="AF153" vm="3202">
        <f ca="1"/>
        <v>100.64</v>
      </c>
      <c r="AG153" vm="8258">
        <f ca="1"/>
        <v>100.66</v>
      </c>
      <c r="AH153" vm="20663">
        <f ca="1"/>
        <v>100.68</v>
      </c>
      <c r="AI153" vm="20660">
        <f ca="1"/>
        <v>100.34</v>
      </c>
      <c r="AJ153" vm="20337">
        <f ca="1"/>
        <v>100.36</v>
      </c>
      <c r="AK153" vm="20337">
        <f ca="1"/>
        <v>100.36</v>
      </c>
      <c r="AL153" vm="3204">
        <f ca="1"/>
        <v>100.38</v>
      </c>
      <c r="AM153" vm="3206">
        <f ca="1"/>
        <v>100.41</v>
      </c>
      <c r="AN153" vm="3207">
        <f ca="1"/>
        <v>100.43</v>
      </c>
      <c r="AO153" vm="3207">
        <f ca="1"/>
        <v>100.43</v>
      </c>
      <c r="AP153" vm="3254">
        <f ca="1"/>
        <v>100.44</v>
      </c>
      <c r="AQ153" vm="3208">
        <f ca="1"/>
        <v>100.46</v>
      </c>
      <c r="AR153" vm="20664">
        <f ca="1"/>
        <v>100.5</v>
      </c>
      <c r="AS153" vm="20665">
        <f ca="1"/>
        <v>100.52</v>
      </c>
      <c r="AT153" vm="20665">
        <f ca="1"/>
        <v>100.52</v>
      </c>
      <c r="AU153" vm="3212">
        <f ca="1"/>
        <v>100.54</v>
      </c>
      <c r="AV153" vm="3199">
        <f ca="1"/>
        <v>100.58</v>
      </c>
      <c r="AW153" vm="1055">
        <f ca="1"/>
        <v>100.59</v>
      </c>
      <c r="AX153" vm="3200">
        <f ca="1"/>
        <v>100.6</v>
      </c>
      <c r="AY153" vm="3200">
        <f ca="1"/>
        <v>100.6</v>
      </c>
      <c r="AZ153" vm="3201">
        <f ca="1"/>
        <v>100.63</v>
      </c>
      <c r="BA153" vm="5599">
        <f ca="1"/>
        <v>100.65</v>
      </c>
      <c r="BB153" vm="20337">
        <f ca="1"/>
        <v>100.36</v>
      </c>
      <c r="BC153" vm="20661">
        <f ca="1"/>
        <v>100.37</v>
      </c>
      <c r="BD153" vm="20661">
        <f ca="1"/>
        <v>100.37</v>
      </c>
      <c r="BE153" vm="3205">
        <f ca="1"/>
        <v>100.4</v>
      </c>
      <c r="BF153" vm="3207">
        <f ca="1"/>
        <v>100.43</v>
      </c>
      <c r="BG153" vm="3207">
        <f ca="1"/>
        <v>100.43</v>
      </c>
      <c r="BH153" vm="7934">
        <f ca="1"/>
        <v>100.45</v>
      </c>
      <c r="BI153" vm="7934">
        <f ca="1"/>
        <v>100.45</v>
      </c>
      <c r="BJ153" vm="20662">
        <f ca="1"/>
        <v>100.48</v>
      </c>
      <c r="BK153" vm="20658">
        <f ca="1"/>
        <v>100.51</v>
      </c>
      <c r="BL153" vm="20665">
        <f ca="1"/>
        <v>100.52</v>
      </c>
      <c r="BM153" vm="3211">
        <f ca="1"/>
        <v>100.53</v>
      </c>
      <c r="BN153" vm="19917">
        <f ca="1"/>
        <v>100.55</v>
      </c>
      <c r="BO153" vm="19917">
        <f ca="1"/>
        <v>100.55</v>
      </c>
      <c r="BP153" vm="3199">
        <f ca="1"/>
        <v>100.58</v>
      </c>
      <c r="BQ153" vm="3200">
        <f ca="1"/>
        <v>100.6</v>
      </c>
      <c r="BR153" vm="274">
        <f ca="1"/>
        <v>100.61</v>
      </c>
      <c r="BS153" vm="3201">
        <f ca="1"/>
        <v>100.63</v>
      </c>
      <c r="BT153" vm="3202">
        <f ca="1"/>
        <v>100.64</v>
      </c>
      <c r="BU153" vm="3203">
        <f ca="1"/>
        <v>100.67</v>
      </c>
      <c r="BV153" vm="3203">
        <f ca="1"/>
        <v>100.67</v>
      </c>
      <c r="BW153" vm="20666">
        <f ca="1"/>
        <v>100.35</v>
      </c>
      <c r="BX153" vm="20337">
        <f ca="1"/>
        <v>100.36</v>
      </c>
      <c r="BY153" vm="3204">
        <f ca="1"/>
        <v>100.38</v>
      </c>
      <c r="BZ153" vm="3206">
        <f ca="1"/>
        <v>100.41</v>
      </c>
      <c r="CA153" vm="10865">
        <f ca="1"/>
        <v>100.42</v>
      </c>
      <c r="CB153" vm="10865">
        <f ca="1"/>
        <v>100.42</v>
      </c>
      <c r="CC153" vm="3254">
        <f ca="1"/>
        <v>100.44</v>
      </c>
      <c r="CD153" vm="3254">
        <f ca="1"/>
        <v>100.44</v>
      </c>
      <c r="CE153" vm="3210">
        <f ca="1"/>
        <v>100.49</v>
      </c>
      <c r="CF153" vm="20664">
        <f ca="1"/>
        <v>100.5</v>
      </c>
      <c r="CG153" vm="20658">
        <f ca="1"/>
        <v>100.51</v>
      </c>
      <c r="CH153" vm="3211">
        <f ca="1"/>
        <v>100.53</v>
      </c>
      <c r="CI153" vm="5518">
        <f ca="1"/>
        <v>100.57</v>
      </c>
      <c r="CJ153" vm="5518">
        <f ca="1"/>
        <v>100.57</v>
      </c>
      <c r="CK153" vm="3199">
        <f ca="1"/>
        <v>100.58</v>
      </c>
      <c r="CL153" vm="274">
        <f ca="1"/>
        <v>100.61</v>
      </c>
      <c r="CM153" vm="274">
        <f ca="1"/>
        <v>100.61</v>
      </c>
      <c r="CN153" vm="5599">
        <f ca="1"/>
        <v>100.65</v>
      </c>
      <c r="CO153" vm="5599">
        <f ca="1"/>
        <v>100.65</v>
      </c>
      <c r="CP153" vm="8258">
        <f ca="1"/>
        <v>100.66</v>
      </c>
      <c r="CQ153" vm="4610">
        <f ca="1"/>
        <v>100.69</v>
      </c>
      <c r="CR153" vm="20661">
        <f ca="1"/>
        <v>100.37</v>
      </c>
      <c r="CS153" vm="3205">
        <f ca="1"/>
        <v>100.4</v>
      </c>
      <c r="CT153" vm="3206">
        <f ca="1"/>
        <v>100.41</v>
      </c>
      <c r="CU153" vm="3206">
        <f ca="1"/>
        <v>100.41</v>
      </c>
      <c r="CV153" vm="10865">
        <f ca="1"/>
        <v>100.42</v>
      </c>
      <c r="CW153" vm="7934">
        <f ca="1"/>
        <v>100.45</v>
      </c>
      <c r="CX153" vm="20662">
        <f ca="1"/>
        <v>100.48</v>
      </c>
      <c r="CY153" vm="20662">
        <f ca="1"/>
        <v>100.48</v>
      </c>
      <c r="CZ153" vm="20664">
        <f ca="1"/>
        <v>100.5</v>
      </c>
      <c r="DA153" vm="20658">
        <f ca="1"/>
        <v>100.51</v>
      </c>
      <c r="DB153" vm="20658">
        <f ca="1"/>
        <v>100.51</v>
      </c>
      <c r="DC153" vm="19917">
        <f ca="1"/>
        <v>100.55</v>
      </c>
      <c r="DD153" vm="3198">
        <f ca="1"/>
        <v>100.56</v>
      </c>
      <c r="DE153" vm="3199">
        <f ca="1"/>
        <v>100.58</v>
      </c>
      <c r="DF153" vm="1055">
        <f ca="1"/>
        <v>100.59</v>
      </c>
      <c r="DG153" vm="274">
        <f ca="1"/>
        <v>100.61</v>
      </c>
      <c r="DH153" vm="3202">
        <f ca="1"/>
        <v>100.64</v>
      </c>
      <c r="DI153" vm="5599">
        <f ca="1"/>
        <v>100.65</v>
      </c>
      <c r="DJ153" vm="20663">
        <f ca="1"/>
        <v>100.68</v>
      </c>
      <c r="DK153" vm="20663">
        <f ca="1"/>
        <v>100.68</v>
      </c>
      <c r="DL153" vm="20340">
        <f ca="1"/>
        <v>100.71</v>
      </c>
      <c r="DM153" vm="3204">
        <f ca="1"/>
        <v>100.38</v>
      </c>
      <c r="DN153" vm="11937">
        <f ca="1"/>
        <v>100.39</v>
      </c>
      <c r="DO153" vm="3205">
        <f ca="1"/>
        <v>100.4</v>
      </c>
      <c r="DP153" vm="3206">
        <f ca="1"/>
        <v>100.41</v>
      </c>
      <c r="DQ153" vm="3254">
        <f ca="1"/>
        <v>100.44</v>
      </c>
      <c r="DR153" vm="7934">
        <f ca="1"/>
        <v>100.45</v>
      </c>
      <c r="DS153" vm="3208">
        <f ca="1"/>
        <v>100.46</v>
      </c>
      <c r="DT153" vm="20662">
        <f ca="1"/>
        <v>100.48</v>
      </c>
      <c r="DU153" vm="3210">
        <f ca="1"/>
        <v>100.49</v>
      </c>
      <c r="DV153" vm="3211">
        <f ca="1"/>
        <v>100.53</v>
      </c>
      <c r="DW153" vm="3211">
        <f ca="1"/>
        <v>100.53</v>
      </c>
      <c r="DX153" vm="3212">
        <f ca="1"/>
        <v>100.54</v>
      </c>
      <c r="DY153" vm="3198">
        <f ca="1"/>
        <v>100.56</v>
      </c>
      <c r="DZ153" vm="3200">
        <f ca="1"/>
        <v>100.6</v>
      </c>
      <c r="EA153" vm="20667">
        <f ca="1"/>
        <v>100.62</v>
      </c>
      <c r="EB153" vm="3201">
        <f ca="1"/>
        <v>100.63</v>
      </c>
      <c r="EC153" vm="3202">
        <f ca="1"/>
        <v>100.64</v>
      </c>
      <c r="ED153" vm="5599">
        <f ca="1"/>
        <v>100.65</v>
      </c>
      <c r="EE153" vm="4610">
        <f ca="1"/>
        <v>100.69</v>
      </c>
      <c r="EF153" vm="4610">
        <f ca="1"/>
        <v>100.69</v>
      </c>
      <c r="EG153" vm="20661">
        <f ca="1"/>
        <v>100.37</v>
      </c>
      <c r="EH153" vm="20661">
        <f ca="1"/>
        <v>100.37</v>
      </c>
      <c r="EI153" vm="10865">
        <f ca="1"/>
        <v>100.42</v>
      </c>
      <c r="EJ153" vm="3254">
        <f ca="1"/>
        <v>100.44</v>
      </c>
      <c r="EK153" vm="3208">
        <f ca="1"/>
        <v>100.46</v>
      </c>
      <c r="EL153" vm="7934">
        <f ca="1"/>
        <v>100.45</v>
      </c>
      <c r="EM153" vm="3209">
        <f ca="1"/>
        <v>100.47</v>
      </c>
      <c r="EN153" vm="20658">
        <f ca="1"/>
        <v>100.51</v>
      </c>
      <c r="EO153" vm="20658">
        <f ca="1"/>
        <v>100.51</v>
      </c>
      <c r="EP153" vm="20665">
        <f ca="1"/>
        <v>100.52</v>
      </c>
      <c r="EQ153" vm="19917">
        <f ca="1"/>
        <v>100.55</v>
      </c>
      <c r="ER153" vm="3198">
        <f ca="1"/>
        <v>100.56</v>
      </c>
      <c r="ES153" vm="1055">
        <f ca="1"/>
        <v>100.59</v>
      </c>
      <c r="ET153" vm="3200">
        <f ca="1"/>
        <v>100.6</v>
      </c>
      <c r="EU153" vm="20667">
        <f ca="1"/>
        <v>100.62</v>
      </c>
      <c r="EV153" vm="3201">
        <f ca="1"/>
        <v>100.63</v>
      </c>
      <c r="EW153" vm="3202">
        <f ca="1"/>
        <v>100.64</v>
      </c>
      <c r="EX153" vm="8258">
        <f ca="1"/>
        <v>100.66</v>
      </c>
      <c r="EY153" vm="4610">
        <f ca="1"/>
        <v>100.69</v>
      </c>
      <c r="EZ153" vm="4610">
        <f ca="1"/>
        <v>100.69</v>
      </c>
      <c r="FA153" vm="20340">
        <f ca="1"/>
        <v>100.71</v>
      </c>
      <c r="FB153" vm="8307">
        <f ca="1"/>
        <v>100.72</v>
      </c>
      <c r="FC153" vm="11937">
        <f ca="1"/>
        <v>100.39</v>
      </c>
      <c r="FD153" vm="3206">
        <f ca="1"/>
        <v>100.41</v>
      </c>
      <c r="FE153" vm="10865">
        <f ca="1"/>
        <v>100.42</v>
      </c>
      <c r="FF153" vm="3207">
        <f ca="1"/>
        <v>100.43</v>
      </c>
      <c r="FG153" vm="3207">
        <f ca="1"/>
        <v>100.43</v>
      </c>
      <c r="FH153" vm="20662">
        <f ca="1"/>
        <v>100.48</v>
      </c>
      <c r="FI153" vm="3210">
        <f ca="1"/>
        <v>100.49</v>
      </c>
      <c r="FJ153" vm="3210">
        <f ca="1"/>
        <v>100.49</v>
      </c>
      <c r="FK153" vm="20658">
        <f ca="1"/>
        <v>100.51</v>
      </c>
      <c r="FL153" vm="20665">
        <f ca="1"/>
        <v>100.52</v>
      </c>
      <c r="FM153" vm="19917">
        <f ca="1"/>
        <v>100.55</v>
      </c>
      <c r="FN153" vm="3199">
        <f ca="1"/>
        <v>100.58</v>
      </c>
      <c r="FO153" vm="3199">
        <f ca="1"/>
        <v>100.58</v>
      </c>
      <c r="FP153" vm="3200">
        <f ca="1"/>
        <v>100.6</v>
      </c>
      <c r="FQ153" vm="3200">
        <f ca="1"/>
        <v>100.6</v>
      </c>
      <c r="FR153" vm="3202">
        <f ca="1"/>
        <v>100.64</v>
      </c>
      <c r="FS153" vm="8258">
        <f ca="1"/>
        <v>100.66</v>
      </c>
      <c r="FT153" vm="8258">
        <f ca="1"/>
        <v>100.66</v>
      </c>
      <c r="FU153" vm="3203">
        <f ca="1"/>
        <v>100.67</v>
      </c>
      <c r="FV153" vm="20663">
        <f ca="1"/>
        <v>100.68</v>
      </c>
      <c r="FW153" vm="8259">
        <f ca="1"/>
        <v>100.74</v>
      </c>
      <c r="FX153" vm="11937">
        <f ca="1"/>
        <v>100.39</v>
      </c>
      <c r="FY153" vm="3205">
        <f ca="1"/>
        <v>100.4</v>
      </c>
      <c r="FZ153" vm="10865">
        <f ca="1"/>
        <v>100.42</v>
      </c>
      <c r="GA153" vm="3254">
        <f ca="1"/>
        <v>100.44</v>
      </c>
      <c r="GB153" vm="3209">
        <f ca="1"/>
        <v>100.47</v>
      </c>
      <c r="GC153" vm="3209">
        <f ca="1"/>
        <v>100.47</v>
      </c>
      <c r="GD153" vm="20662">
        <f ca="1"/>
        <v>100.48</v>
      </c>
      <c r="GE153" vm="20664">
        <f ca="1"/>
        <v>100.5</v>
      </c>
      <c r="GF153" vm="3211">
        <f ca="1"/>
        <v>100.53</v>
      </c>
      <c r="GG153" vm="3211">
        <f ca="1"/>
        <v>100.53</v>
      </c>
      <c r="GH153" vm="19917">
        <f ca="1"/>
        <v>100.55</v>
      </c>
      <c r="GI153" vm="3198">
        <f ca="1"/>
        <v>100.56</v>
      </c>
      <c r="GJ153" vm="3199">
        <f ca="1"/>
        <v>100.58</v>
      </c>
      <c r="GK153" vm="20667">
        <f ca="1"/>
        <v>100.62</v>
      </c>
      <c r="GL153" vm="20667">
        <f ca="1"/>
        <v>100.62</v>
      </c>
      <c r="GM153" vm="3202">
        <f ca="1"/>
        <v>100.64</v>
      </c>
      <c r="GN153" vm="5599">
        <f ca="1"/>
        <v>100.65</v>
      </c>
      <c r="GO153" vm="8258">
        <f ca="1"/>
        <v>100.66</v>
      </c>
      <c r="GP153" vm="4610">
        <f ca="1"/>
        <v>100.69</v>
      </c>
      <c r="GQ153" vm="20668">
        <f ca="1"/>
        <v>100.7</v>
      </c>
      <c r="GR153" vm="20668">
        <f ca="1"/>
        <v>100.7</v>
      </c>
      <c r="GS153" vm="20661">
        <f ca="1"/>
        <v>100.37</v>
      </c>
      <c r="GT153" vm="3204">
        <f ca="1"/>
        <v>100.38</v>
      </c>
      <c r="GU153" vm="10865">
        <f ca="1"/>
        <v>100.42</v>
      </c>
      <c r="GV153" vm="10865">
        <f ca="1"/>
        <v>100.42</v>
      </c>
      <c r="GW153" vm="3254">
        <f ca="1"/>
        <v>100.44</v>
      </c>
      <c r="GX153" vm="7934">
        <f ca="1"/>
        <v>100.45</v>
      </c>
      <c r="GY153" vm="3208">
        <f ca="1"/>
        <v>100.46</v>
      </c>
      <c r="GZ153" vm="20658">
        <f ca="1"/>
        <v>100.51</v>
      </c>
      <c r="HA153" vm="20664">
        <f ca="1"/>
        <v>100.5</v>
      </c>
      <c r="HB153" vm="20658">
        <f ca="1"/>
        <v>100.51</v>
      </c>
      <c r="HC153" vm="3211">
        <f ca="1"/>
        <v>100.53</v>
      </c>
      <c r="HD153" vm="3212">
        <f ca="1"/>
        <v>100.54</v>
      </c>
      <c r="HE153" vm="5518">
        <f ca="1"/>
        <v>100.57</v>
      </c>
      <c r="HF153" vm="3199">
        <f ca="1"/>
        <v>100.58</v>
      </c>
      <c r="HG153" vm="3200">
        <f ca="1"/>
        <v>100.6</v>
      </c>
      <c r="HH153" vm="274">
        <f ca="1"/>
        <v>100.61</v>
      </c>
      <c r="HI153" vm="20667">
        <f ca="1"/>
        <v>100.62</v>
      </c>
      <c r="HJ153" vm="5599">
        <f ca="1"/>
        <v>100.65</v>
      </c>
      <c r="HK153" vm="8258">
        <f ca="1"/>
        <v>100.66</v>
      </c>
      <c r="HL153" vm="3203">
        <f ca="1"/>
        <v>100.67</v>
      </c>
      <c r="HM153" vm="20663">
        <f ca="1"/>
        <v>100.68</v>
      </c>
      <c r="HN153" vm="4610">
        <f ca="1"/>
        <v>100.69</v>
      </c>
      <c r="HO153" vm="8307">
        <f ca="1"/>
        <v>100.72</v>
      </c>
      <c r="HP153" vm="3205">
        <f ca="1"/>
        <v>100.4</v>
      </c>
      <c r="HQ153" vm="3205">
        <f ca="1"/>
        <v>100.4</v>
      </c>
      <c r="HR153" vm="10865">
        <f ca="1"/>
        <v>100.42</v>
      </c>
      <c r="HS153" vm="3207">
        <f ca="1"/>
        <v>100.43</v>
      </c>
      <c r="HT153" vm="3208">
        <f ca="1"/>
        <v>100.46</v>
      </c>
      <c r="HU153" vm="3209">
        <f ca="1"/>
        <v>100.47</v>
      </c>
      <c r="HV153" vm="20662">
        <f ca="1"/>
        <v>100.48</v>
      </c>
      <c r="HW153" vm="3210">
        <f ca="1"/>
        <v>100.49</v>
      </c>
      <c r="HX153" vm="20664">
        <f ca="1"/>
        <v>100.5</v>
      </c>
      <c r="HY153" vm="3211">
        <f ca="1"/>
        <v>100.53</v>
      </c>
      <c r="HZ153" vm="3212">
        <f ca="1"/>
        <v>100.54</v>
      </c>
      <c r="IA153" vm="3212">
        <f ca="1"/>
        <v>100.54</v>
      </c>
      <c r="IB153" vm="3198">
        <f ca="1"/>
        <v>100.56</v>
      </c>
      <c r="IC153" vm="3199">
        <f ca="1"/>
        <v>100.58</v>
      </c>
      <c r="ID153" vm="3200">
        <f ca="1"/>
        <v>100.6</v>
      </c>
      <c r="IE153" vm="274">
        <f ca="1"/>
        <v>100.61</v>
      </c>
      <c r="IF153" vm="3201">
        <f ca="1"/>
        <v>100.63</v>
      </c>
      <c r="IG153" vm="3202">
        <f ca="1"/>
        <v>100.64</v>
      </c>
      <c r="IH153" vm="3203">
        <f ca="1"/>
        <v>100.67</v>
      </c>
      <c r="II153" vm="3204">
        <f ca="1"/>
        <v>100.38</v>
      </c>
      <c r="IJ153" vm="3205">
        <f ca="1"/>
        <v>100.4</v>
      </c>
      <c r="IK153" vm="3206">
        <f ca="1"/>
        <v>100.41</v>
      </c>
      <c r="IL153" vm="3207">
        <f ca="1"/>
        <v>100.43</v>
      </c>
      <c r="IM153" vm="3208">
        <f ca="1"/>
        <v>100.46</v>
      </c>
      <c r="IN153" vm="3208">
        <f ca="1"/>
        <v>100.46</v>
      </c>
      <c r="IO153" vm="3209">
        <f ca="1"/>
        <v>100.47</v>
      </c>
      <c r="IP153" vm="3209">
        <f ca="1"/>
        <v>100.47</v>
      </c>
      <c r="IQ153" vm="3210">
        <f ca="1"/>
        <v>100.49</v>
      </c>
      <c r="IR153" vm="3211">
        <f ca="1"/>
        <v>100.53</v>
      </c>
      <c r="IS153" vm="3211">
        <f ca="1"/>
        <v>100.53</v>
      </c>
      <c r="IT153" vm="3212">
        <f ca="1"/>
        <v>100.54</v>
      </c>
      <c r="IU153" vm="3198">
        <f ca="1"/>
        <v>100.56</v>
      </c>
      <c r="IV153" vm="3198">
        <f ca="1"/>
        <v>100.56</v>
      </c>
      <c r="IW153" vm="136">
        <f ca="1"/>
        <v>100.28</v>
      </c>
    </row>
    <row r="154" spans="1:257" ht="16" x14ac:dyDescent="0.2">
      <c r="A154" t="e" vm="3213">
        <v>#VALUE!</v>
      </c>
      <c r="B154" s="23" t="str" cm="1">
        <f t="array" aca="1" ref="B154" ca="1">_FV(A154,"ticker symbol",TRUE)</f>
        <v>IEI</v>
      </c>
      <c r="C154" s="23" t="str" cm="1">
        <f t="array" aca="1" ref="C154" ca="1">_FV(A154,"Name")</f>
        <v>iShares:3-7 Trs Bd</v>
      </c>
      <c r="D154" cm="1" vm="20669">
        <f t="array" aca="1" ref="D154:IW154" ca="1">TRANSPOSE(_xlfn.STOCKHISTORY(B154, WORKDAY(TODAY(), -265), TODAY(), 0, 0, 1))</f>
        <v>116.2</v>
      </c>
      <c r="E154" vm="20669">
        <f ca="1"/>
        <v>116.2</v>
      </c>
      <c r="F154" vm="20670">
        <f ca="1"/>
        <v>115.21</v>
      </c>
      <c r="G154" vm="389">
        <f ca="1"/>
        <v>115.13</v>
      </c>
      <c r="H154" vm="20671">
        <f ca="1"/>
        <v>115.34</v>
      </c>
      <c r="I154" vm="20672">
        <f ca="1"/>
        <v>115.08</v>
      </c>
      <c r="J154" vm="389">
        <f ca="1"/>
        <v>115.13</v>
      </c>
      <c r="K154" vm="20673">
        <f ca="1"/>
        <v>115.2</v>
      </c>
      <c r="L154" vm="20674">
        <f ca="1"/>
        <v>115.1</v>
      </c>
      <c r="M154" vm="20675">
        <f ca="1"/>
        <v>115.54</v>
      </c>
      <c r="N154" vm="5685">
        <f ca="1"/>
        <v>115.55</v>
      </c>
      <c r="O154" vm="20675">
        <f ca="1"/>
        <v>115.54</v>
      </c>
      <c r="P154" vm="20676">
        <f ca="1"/>
        <v>115.41</v>
      </c>
      <c r="Q154" vm="20676">
        <f ca="1"/>
        <v>115.41</v>
      </c>
      <c r="R154" vm="14935">
        <f ca="1"/>
        <v>115.16</v>
      </c>
      <c r="S154" vm="20677">
        <f ca="1"/>
        <v>115.29</v>
      </c>
      <c r="T154" vm="8354">
        <f ca="1"/>
        <v>114.68</v>
      </c>
      <c r="U154" vm="20678">
        <f ca="1"/>
        <v>114.57</v>
      </c>
      <c r="V154" vm="12169">
        <f ca="1"/>
        <v>114.65</v>
      </c>
      <c r="W154" vm="8017">
        <f ca="1"/>
        <v>115.37</v>
      </c>
      <c r="X154" vm="14661">
        <f ca="1"/>
        <v>115.61</v>
      </c>
      <c r="Y154" vm="12005">
        <f ca="1"/>
        <v>115.56</v>
      </c>
      <c r="Z154" vm="12007">
        <f ca="1"/>
        <v>115.75</v>
      </c>
      <c r="AA154" vm="5685">
        <f ca="1"/>
        <v>115.55</v>
      </c>
      <c r="AB154" vm="10972">
        <f ca="1"/>
        <v>115.46</v>
      </c>
      <c r="AC154" vm="20679">
        <f ca="1"/>
        <v>115.65</v>
      </c>
      <c r="AD154" vm="8341">
        <f ca="1"/>
        <v>116.11</v>
      </c>
      <c r="AE154" vm="20680">
        <f ca="1"/>
        <v>116.13</v>
      </c>
      <c r="AF154" vm="20681">
        <f ca="1"/>
        <v>116.03</v>
      </c>
      <c r="AG154" vm="20682">
        <f ca="1"/>
        <v>116.17</v>
      </c>
      <c r="AH154" vm="20680">
        <f ca="1"/>
        <v>116.13</v>
      </c>
      <c r="AI154" vm="12007">
        <f ca="1"/>
        <v>115.75</v>
      </c>
      <c r="AJ154" vm="8342">
        <f ca="1"/>
        <v>115.93</v>
      </c>
      <c r="AK154" vm="14912">
        <f ca="1"/>
        <v>116.27</v>
      </c>
      <c r="AL154" vm="10971">
        <f ca="1"/>
        <v>116.16</v>
      </c>
      <c r="AM154" vm="8353">
        <f ca="1"/>
        <v>115.88</v>
      </c>
      <c r="AN154" vm="20683">
        <f ca="1"/>
        <v>115.89</v>
      </c>
      <c r="AO154" vm="14938">
        <f ca="1"/>
        <v>115.78</v>
      </c>
      <c r="AP154" vm="20684">
        <f ca="1"/>
        <v>115.28</v>
      </c>
      <c r="AQ154" vm="14916">
        <f ca="1"/>
        <v>115.71</v>
      </c>
      <c r="AR154" vm="20685">
        <f ca="1"/>
        <v>116.04</v>
      </c>
      <c r="AS154" vm="10956">
        <f ca="1"/>
        <v>115.73</v>
      </c>
      <c r="AT154" vm="20686">
        <f ca="1"/>
        <v>115.92</v>
      </c>
      <c r="AU154" vm="20685">
        <f ca="1"/>
        <v>116.04</v>
      </c>
      <c r="AV154" vm="20687">
        <f ca="1"/>
        <v>116.46</v>
      </c>
      <c r="AW154" vm="12868">
        <f ca="1"/>
        <v>116.63</v>
      </c>
      <c r="AX154" vm="20688">
        <f ca="1"/>
        <v>117.17</v>
      </c>
      <c r="AY154" vm="20013">
        <f ca="1"/>
        <v>117.37</v>
      </c>
      <c r="AZ154" vm="14941">
        <f ca="1"/>
        <v>117.36</v>
      </c>
      <c r="BA154" vm="8019">
        <f ca="1"/>
        <v>117.79</v>
      </c>
      <c r="BB154" vm="20689">
        <f ca="1"/>
        <v>117.72</v>
      </c>
      <c r="BC154" vm="20690">
        <f ca="1"/>
        <v>117.61</v>
      </c>
      <c r="BD154" vm="20691">
        <f ca="1"/>
        <v>117.18</v>
      </c>
      <c r="BE154" vm="20692">
        <f ca="1"/>
        <v>117.23</v>
      </c>
      <c r="BF154" vm="20693">
        <f ca="1"/>
        <v>117.15</v>
      </c>
      <c r="BG154" vm="20694">
        <f ca="1"/>
        <v>117.69</v>
      </c>
      <c r="BH154" vm="20695">
        <f ca="1"/>
        <v>117.47</v>
      </c>
      <c r="BI154" vm="20696">
        <f ca="1"/>
        <v>117.26</v>
      </c>
      <c r="BJ154" vm="20697">
        <f ca="1"/>
        <v>117.54</v>
      </c>
      <c r="BK154" vm="8358">
        <f ca="1"/>
        <v>117.25</v>
      </c>
      <c r="BL154" vm="12186">
        <f ca="1"/>
        <v>117.22</v>
      </c>
      <c r="BM154" vm="20698">
        <f ca="1"/>
        <v>117.33</v>
      </c>
      <c r="BN154" vm="20699">
        <f ca="1"/>
        <v>117.6</v>
      </c>
      <c r="BO154" vm="20700">
        <f ca="1"/>
        <v>117.73</v>
      </c>
      <c r="BP154" vm="20701">
        <f ca="1"/>
        <v>117.76</v>
      </c>
      <c r="BQ154" vm="20698">
        <f ca="1"/>
        <v>117.33</v>
      </c>
      <c r="BR154" vm="8356">
        <f ca="1"/>
        <v>117.49</v>
      </c>
      <c r="BS154" vm="14941">
        <f ca="1"/>
        <v>117.36</v>
      </c>
      <c r="BT154" vm="20702">
        <f ca="1"/>
        <v>117.4</v>
      </c>
      <c r="BU154" vm="414">
        <f ca="1"/>
        <v>117.99</v>
      </c>
      <c r="BV154" vm="20703">
        <f ca="1"/>
        <v>118.13500000000001</v>
      </c>
      <c r="BW154" vm="20704">
        <f ca="1"/>
        <v>118.01</v>
      </c>
      <c r="BX154" vm="20705">
        <f ca="1"/>
        <v>117.87</v>
      </c>
      <c r="BY154" vm="14617">
        <f ca="1"/>
        <v>118.9</v>
      </c>
      <c r="BZ154" vm="20706">
        <f ca="1"/>
        <v>119.1</v>
      </c>
      <c r="CA154" vm="20707">
        <f ca="1"/>
        <v>118.31</v>
      </c>
      <c r="CB154" vm="20708">
        <f ca="1"/>
        <v>118.19</v>
      </c>
      <c r="CC154" vm="20709">
        <f ca="1"/>
        <v>117.68</v>
      </c>
      <c r="CD154" vm="14918">
        <f ca="1"/>
        <v>117.52</v>
      </c>
      <c r="CE154" vm="20710">
        <f ca="1"/>
        <v>116.99</v>
      </c>
      <c r="CF154" vm="20711">
        <f ca="1"/>
        <v>117.66</v>
      </c>
      <c r="CG154" vm="14616">
        <f ca="1"/>
        <v>117.83</v>
      </c>
      <c r="CH154" vm="20712">
        <f ca="1"/>
        <v>118.23</v>
      </c>
      <c r="CI154" vm="20713">
        <f ca="1"/>
        <v>118.14</v>
      </c>
      <c r="CJ154" vm="14620">
        <f ca="1"/>
        <v>117.95</v>
      </c>
      <c r="CK154" vm="20714">
        <f ca="1"/>
        <v>117.93</v>
      </c>
      <c r="CL154" vm="20715">
        <f ca="1"/>
        <v>117.82</v>
      </c>
      <c r="CM154" vm="410">
        <f ca="1"/>
        <v>118.22</v>
      </c>
      <c r="CN154" vm="20716">
        <f ca="1"/>
        <v>118.5</v>
      </c>
      <c r="CO154" vm="20717">
        <f ca="1"/>
        <v>118.85</v>
      </c>
      <c r="CP154" vm="20706">
        <f ca="1"/>
        <v>119.1</v>
      </c>
      <c r="CQ154" vm="20718">
        <f ca="1"/>
        <v>119.39</v>
      </c>
      <c r="CR154" vm="20719">
        <f ca="1"/>
        <v>118.62</v>
      </c>
      <c r="CS154" vm="20720">
        <f ca="1"/>
        <v>118.06</v>
      </c>
      <c r="CT154" vm="415">
        <f ca="1"/>
        <v>117.98</v>
      </c>
      <c r="CU154" vm="9369">
        <f ca="1"/>
        <v>118.2</v>
      </c>
      <c r="CV154" vm="20721">
        <f ca="1"/>
        <v>118.32</v>
      </c>
      <c r="CW154" vm="20722">
        <f ca="1"/>
        <v>117.71</v>
      </c>
      <c r="CX154" vm="20723">
        <f ca="1"/>
        <v>117.78</v>
      </c>
      <c r="CY154" vm="10967">
        <f ca="1"/>
        <v>117.21</v>
      </c>
      <c r="CZ154" vm="20724">
        <f ca="1"/>
        <v>117.2</v>
      </c>
      <c r="DA154" vm="20725">
        <f ca="1"/>
        <v>116.93</v>
      </c>
      <c r="DB154" vm="5665">
        <f ca="1"/>
        <v>117.43</v>
      </c>
      <c r="DC154" vm="20726">
        <f ca="1"/>
        <v>117.44</v>
      </c>
      <c r="DD154" vm="20727">
        <f ca="1"/>
        <v>117.51</v>
      </c>
      <c r="DE154" vm="20728">
        <f ca="1"/>
        <v>117.48</v>
      </c>
      <c r="DF154" vm="20729">
        <f ca="1"/>
        <v>117.12</v>
      </c>
      <c r="DG154" vm="20013">
        <f ca="1"/>
        <v>117.37</v>
      </c>
      <c r="DH154" vm="20730">
        <f ca="1"/>
        <v>117.56</v>
      </c>
      <c r="DI154" vm="20731">
        <f ca="1"/>
        <v>117.77</v>
      </c>
      <c r="DJ154" vm="20732">
        <f ca="1"/>
        <v>117.59</v>
      </c>
      <c r="DK154" vm="20705">
        <f ca="1"/>
        <v>117.87</v>
      </c>
      <c r="DL154" vm="20708">
        <f ca="1"/>
        <v>118.19</v>
      </c>
      <c r="DM154" vm="20733">
        <f ca="1"/>
        <v>117.58</v>
      </c>
      <c r="DN154" vm="20728">
        <f ca="1"/>
        <v>117.48</v>
      </c>
      <c r="DO154" vm="414">
        <f ca="1"/>
        <v>117.99</v>
      </c>
      <c r="DP154" vm="20694">
        <f ca="1"/>
        <v>117.69</v>
      </c>
      <c r="DQ154" vm="20734">
        <f ca="1"/>
        <v>117.11</v>
      </c>
      <c r="DR154" vm="8358">
        <f ca="1"/>
        <v>117.25</v>
      </c>
      <c r="DS154" vm="20735">
        <f ca="1"/>
        <v>117.32</v>
      </c>
      <c r="DT154" vm="20694">
        <f ca="1"/>
        <v>117.69</v>
      </c>
      <c r="DU154" vm="415">
        <f ca="1"/>
        <v>117.98</v>
      </c>
      <c r="DV154" vm="20701">
        <f ca="1"/>
        <v>117.76</v>
      </c>
      <c r="DW154" vm="20690">
        <f ca="1"/>
        <v>117.61</v>
      </c>
      <c r="DX154" vm="20736">
        <f ca="1"/>
        <v>117.9</v>
      </c>
      <c r="DY154" vm="14646">
        <f ca="1"/>
        <v>117.96</v>
      </c>
      <c r="DZ154" vm="14931">
        <f ca="1"/>
        <v>118.08</v>
      </c>
      <c r="EA154" vm="20737">
        <f ca="1"/>
        <v>118.4</v>
      </c>
      <c r="EB154" vm="20738">
        <f ca="1"/>
        <v>118.64</v>
      </c>
      <c r="EC154" vm="20739">
        <f ca="1"/>
        <v>118.72</v>
      </c>
      <c r="ED154" vm="20740">
        <f ca="1"/>
        <v>119.01</v>
      </c>
      <c r="EE154" vm="20717">
        <f ca="1"/>
        <v>118.85</v>
      </c>
      <c r="EF154" vm="12221">
        <f ca="1"/>
        <v>119.09</v>
      </c>
      <c r="EG154" vm="20741">
        <f ca="1"/>
        <v>118.49</v>
      </c>
      <c r="EH154" vm="20742">
        <f ca="1"/>
        <v>118.39</v>
      </c>
      <c r="EI154" vm="14931">
        <f ca="1"/>
        <v>118.08</v>
      </c>
      <c r="EJ154" vm="20743">
        <f ca="1"/>
        <v>117.97</v>
      </c>
      <c r="EK154" vm="20705">
        <f ca="1"/>
        <v>117.87</v>
      </c>
      <c r="EL154" vm="20744">
        <f ca="1"/>
        <v>118.21</v>
      </c>
      <c r="EM154" vm="20745">
        <f ca="1"/>
        <v>118.18</v>
      </c>
      <c r="EN154" vm="14620">
        <f ca="1"/>
        <v>117.95</v>
      </c>
      <c r="EO154" vm="20714">
        <f ca="1"/>
        <v>117.93</v>
      </c>
      <c r="EP154" vm="20746">
        <f ca="1"/>
        <v>117.65</v>
      </c>
      <c r="EQ154" vm="14620">
        <f ca="1"/>
        <v>117.95</v>
      </c>
      <c r="ER154" vm="8360">
        <f ca="1"/>
        <v>117.88</v>
      </c>
      <c r="ES154" vm="20747">
        <f ca="1"/>
        <v>118.13</v>
      </c>
      <c r="ET154" vm="20748">
        <f ca="1"/>
        <v>118.35</v>
      </c>
      <c r="EU154" vm="20749">
        <f ca="1"/>
        <v>118.53</v>
      </c>
      <c r="EV154" vm="14618">
        <f ca="1"/>
        <v>118.27</v>
      </c>
      <c r="EW154" vm="20747">
        <f ca="1"/>
        <v>118.13</v>
      </c>
      <c r="EX154" vm="14618">
        <f ca="1"/>
        <v>118.27</v>
      </c>
      <c r="EY154" vm="5667">
        <f ca="1"/>
        <v>118.17</v>
      </c>
      <c r="EZ154" vm="20750">
        <f ca="1"/>
        <v>118.54</v>
      </c>
      <c r="FA154" vm="20751">
        <f ca="1"/>
        <v>118.28</v>
      </c>
      <c r="FB154" vm="20707">
        <f ca="1"/>
        <v>118.31</v>
      </c>
      <c r="FC154" vm="20740">
        <f ca="1"/>
        <v>119.01</v>
      </c>
      <c r="FD154" vm="20752">
        <f ca="1"/>
        <v>119.08</v>
      </c>
      <c r="FE154" vm="20753">
        <f ca="1"/>
        <v>118.98</v>
      </c>
      <c r="FF154" vm="5658">
        <f ca="1"/>
        <v>119</v>
      </c>
      <c r="FG154" vm="8357">
        <f ca="1"/>
        <v>118.93</v>
      </c>
      <c r="FH154" vm="20754">
        <f ca="1"/>
        <v>118.72499999999999</v>
      </c>
      <c r="FI154" vm="20755">
        <f ca="1"/>
        <v>118.75</v>
      </c>
      <c r="FJ154" vm="20012">
        <f ca="1"/>
        <v>118.79</v>
      </c>
      <c r="FK154" vm="20706">
        <f ca="1"/>
        <v>119.1</v>
      </c>
      <c r="FL154" vm="20717">
        <f ca="1"/>
        <v>118.85</v>
      </c>
      <c r="FM154" vm="20756">
        <f ca="1"/>
        <v>118.76</v>
      </c>
      <c r="FN154" vm="20757">
        <f ca="1"/>
        <v>118.71</v>
      </c>
      <c r="FO154" vm="20758">
        <f ca="1"/>
        <v>118.88</v>
      </c>
      <c r="FP154" vm="20759">
        <f ca="1"/>
        <v>118.96</v>
      </c>
      <c r="FQ154" vm="20760">
        <f ca="1"/>
        <v>118.73</v>
      </c>
      <c r="FR154" vm="3226">
        <f ca="1"/>
        <v>119.24</v>
      </c>
      <c r="FS154" vm="3227">
        <f ca="1"/>
        <v>119.11</v>
      </c>
      <c r="FT154" vm="3230">
        <f ca="1"/>
        <v>119.36</v>
      </c>
      <c r="FU154" vm="20761">
        <f ca="1"/>
        <v>119.54</v>
      </c>
      <c r="FV154" vm="20762">
        <f ca="1"/>
        <v>119.61</v>
      </c>
      <c r="FW154" vm="20763">
        <f ca="1"/>
        <v>119.69</v>
      </c>
      <c r="FX154" vm="12147">
        <f ca="1"/>
        <v>119.14</v>
      </c>
      <c r="FY154" vm="138">
        <f ca="1"/>
        <v>119.34</v>
      </c>
      <c r="FZ154" vm="20764">
        <f ca="1"/>
        <v>119.6</v>
      </c>
      <c r="GA154" vm="14943">
        <f ca="1"/>
        <v>119.91</v>
      </c>
      <c r="GB154" vm="3216">
        <f ca="1"/>
        <v>120.08</v>
      </c>
      <c r="GC154" vm="20765">
        <f ca="1"/>
        <v>119.89</v>
      </c>
      <c r="GD154" vm="20766">
        <f ca="1"/>
        <v>119.98</v>
      </c>
      <c r="GE154" vm="1419">
        <f ca="1"/>
        <v>120.01</v>
      </c>
      <c r="GF154" vm="20767">
        <f ca="1"/>
        <v>119.84</v>
      </c>
      <c r="GG154" vm="20768">
        <f ca="1"/>
        <v>119.97</v>
      </c>
      <c r="GH154" vm="20769">
        <f ca="1"/>
        <v>120.06</v>
      </c>
      <c r="GI154" vm="1406">
        <f ca="1"/>
        <v>119.85</v>
      </c>
      <c r="GJ154" vm="20763">
        <f ca="1"/>
        <v>119.69</v>
      </c>
      <c r="GK154" vm="20770">
        <f ca="1"/>
        <v>119.68</v>
      </c>
      <c r="GL154" vm="20771">
        <f ca="1"/>
        <v>119.57</v>
      </c>
      <c r="GM154" vm="20022">
        <f ca="1"/>
        <v>119.74</v>
      </c>
      <c r="GN154" vm="12869">
        <f ca="1"/>
        <v>119.53</v>
      </c>
      <c r="GO154" vm="12148">
        <f ca="1"/>
        <v>119.3</v>
      </c>
      <c r="GP154" vm="12179">
        <f ca="1"/>
        <v>119.32</v>
      </c>
      <c r="GQ154" vm="3229">
        <f ca="1"/>
        <v>119.47</v>
      </c>
      <c r="GR154" vm="14919">
        <f ca="1"/>
        <v>119.51</v>
      </c>
      <c r="GS154" vm="3229">
        <f ca="1"/>
        <v>119.47</v>
      </c>
      <c r="GT154" vm="20772">
        <f ca="1"/>
        <v>119.52</v>
      </c>
      <c r="GU154" vm="20773">
        <f ca="1"/>
        <v>119.35</v>
      </c>
      <c r="GV154" vm="12218">
        <f ca="1"/>
        <v>119.19</v>
      </c>
      <c r="GW154" vm="14647">
        <f ca="1"/>
        <v>119.38</v>
      </c>
      <c r="GX154" vm="20774">
        <f ca="1"/>
        <v>119.33</v>
      </c>
      <c r="GY154" vm="12225">
        <f ca="1"/>
        <v>119.29</v>
      </c>
      <c r="GZ154" vm="20775">
        <f ca="1"/>
        <v>119.78</v>
      </c>
      <c r="HA154" vm="20765">
        <f ca="1"/>
        <v>119.89</v>
      </c>
      <c r="HB154" vm="20769">
        <f ca="1"/>
        <v>120.06</v>
      </c>
      <c r="HC154" vm="12209">
        <f ca="1"/>
        <v>119.96</v>
      </c>
      <c r="HD154" vm="3218">
        <f ca="1"/>
        <v>120.35</v>
      </c>
      <c r="HE154" vm="417">
        <f ca="1"/>
        <v>120.18</v>
      </c>
      <c r="HF154" vm="8363">
        <f ca="1"/>
        <v>120.25</v>
      </c>
      <c r="HG154" vm="12222">
        <f ca="1"/>
        <v>120.36</v>
      </c>
      <c r="HH154" vm="12196">
        <f ca="1"/>
        <v>120.38</v>
      </c>
      <c r="HI154" vm="20776">
        <f ca="1"/>
        <v>120.12</v>
      </c>
      <c r="HJ154" vm="20777">
        <f ca="1"/>
        <v>120.2</v>
      </c>
      <c r="HK154" vm="12216">
        <f ca="1"/>
        <v>120.13</v>
      </c>
      <c r="HL154" vm="20778">
        <f ca="1"/>
        <v>120.19</v>
      </c>
      <c r="HM154" vm="20763">
        <f ca="1"/>
        <v>119.69</v>
      </c>
      <c r="HN154" vm="12112">
        <f ca="1"/>
        <v>119.65</v>
      </c>
      <c r="HO154" vm="20779">
        <f ca="1"/>
        <v>119.75</v>
      </c>
      <c r="HP154" vm="20773">
        <f ca="1"/>
        <v>119.35</v>
      </c>
      <c r="HQ154" vm="8362">
        <f ca="1"/>
        <v>119.46</v>
      </c>
      <c r="HR154" vm="20780">
        <f ca="1"/>
        <v>119.13</v>
      </c>
      <c r="HS154" vm="12869">
        <f ca="1"/>
        <v>119.53</v>
      </c>
      <c r="HT154" vm="20764">
        <f ca="1"/>
        <v>119.6</v>
      </c>
      <c r="HU154" vm="3231">
        <f ca="1"/>
        <v>119.45</v>
      </c>
      <c r="HV154" vm="20781">
        <f ca="1"/>
        <v>119.72</v>
      </c>
      <c r="HW154" vm="20782">
        <f ca="1"/>
        <v>119.7</v>
      </c>
      <c r="HX154" vm="20783">
        <f ca="1"/>
        <v>119.5</v>
      </c>
      <c r="HY154" vm="3225">
        <f ca="1"/>
        <v>119.42</v>
      </c>
      <c r="HZ154" vm="3229">
        <f ca="1"/>
        <v>119.47</v>
      </c>
      <c r="IA154" vm="12112">
        <f ca="1"/>
        <v>119.65</v>
      </c>
      <c r="IB154" vm="3214">
        <f ca="1"/>
        <v>119.62</v>
      </c>
      <c r="IC154" vm="3215">
        <f ca="1"/>
        <v>119.82</v>
      </c>
      <c r="ID154" vm="3216">
        <f ca="1"/>
        <v>120.08</v>
      </c>
      <c r="IE154" vm="3217">
        <f ca="1"/>
        <v>120.14</v>
      </c>
      <c r="IF154" vm="3218">
        <f ca="1"/>
        <v>120.35</v>
      </c>
      <c r="IG154" vm="3219">
        <f ca="1"/>
        <v>120.37</v>
      </c>
      <c r="IH154" vm="3220">
        <f ca="1"/>
        <v>120.26</v>
      </c>
      <c r="II154" vm="3221">
        <f ca="1"/>
        <v>119.56</v>
      </c>
      <c r="IJ154" vm="3222">
        <f ca="1"/>
        <v>119.66</v>
      </c>
      <c r="IK154" vm="3223">
        <f ca="1"/>
        <v>119.8</v>
      </c>
      <c r="IL154" vm="3224">
        <f ca="1"/>
        <v>119.59</v>
      </c>
      <c r="IM154" vm="3225">
        <f ca="1"/>
        <v>119.42</v>
      </c>
      <c r="IN154" vm="3226">
        <f ca="1"/>
        <v>119.24</v>
      </c>
      <c r="IO154" vm="3227">
        <f ca="1"/>
        <v>119.11</v>
      </c>
      <c r="IP154" vm="3228">
        <f ca="1"/>
        <v>119.43</v>
      </c>
      <c r="IQ154" vm="3229">
        <f ca="1"/>
        <v>119.47</v>
      </c>
      <c r="IR154" vm="3230">
        <f ca="1"/>
        <v>119.36</v>
      </c>
      <c r="IS154" vm="3231">
        <f ca="1"/>
        <v>119.45</v>
      </c>
      <c r="IT154" vm="3222">
        <f ca="1"/>
        <v>119.66</v>
      </c>
      <c r="IU154" vm="3232">
        <f ca="1"/>
        <v>119.655</v>
      </c>
      <c r="IV154" vm="1406">
        <f ca="1"/>
        <v>119.85</v>
      </c>
      <c r="IW154" vm="138">
        <f ca="1"/>
        <v>119.34</v>
      </c>
    </row>
    <row r="155" spans="1:257" ht="16" x14ac:dyDescent="0.2">
      <c r="A155" t="e" vm="3233">
        <v>#VALUE!</v>
      </c>
      <c r="B155" s="23" t="str" cm="1">
        <f t="array" aca="1" ref="B155" ca="1">_FV(A155,"ticker symbol",TRUE)</f>
        <v>TLH</v>
      </c>
      <c r="C155" s="23" t="str" cm="1">
        <f t="array" aca="1" ref="C155" ca="1">_FV(A155,"Name")</f>
        <v>iShares:10-20 Trs Bd ETF</v>
      </c>
      <c r="D155" cm="1" vm="20784">
        <f t="array" aca="1" ref="D155:IW155" ca="1">TRANSPOSE(_xlfn.STOCKHISTORY(B155, WORKDAY(TODAY(), -265), TODAY(), 0, 0, 1))</f>
        <v>102.03</v>
      </c>
      <c r="E155" vm="20785">
        <f ca="1"/>
        <v>102.08</v>
      </c>
      <c r="F155" vm="5518">
        <f ca="1"/>
        <v>100.57</v>
      </c>
      <c r="G155" vm="20786">
        <f ca="1"/>
        <v>99.63</v>
      </c>
      <c r="H155" vm="20787">
        <f ca="1"/>
        <v>100.04</v>
      </c>
      <c r="I155" vm="9334">
        <f ca="1"/>
        <v>99.41</v>
      </c>
      <c r="J155" vm="5561">
        <f ca="1"/>
        <v>99.65</v>
      </c>
      <c r="K155" vm="5561">
        <f ca="1"/>
        <v>99.65</v>
      </c>
      <c r="L155" vm="5524">
        <f ca="1"/>
        <v>99.04</v>
      </c>
      <c r="M155" vm="20788">
        <f ca="1"/>
        <v>99.85</v>
      </c>
      <c r="N155" vm="4573">
        <f ca="1"/>
        <v>99.54</v>
      </c>
      <c r="O155" vm="19918">
        <f ca="1"/>
        <v>99.72</v>
      </c>
      <c r="P155" vm="1906">
        <f ca="1"/>
        <v>99.47</v>
      </c>
      <c r="Q155" vm="12440">
        <f ca="1"/>
        <v>99.12</v>
      </c>
      <c r="R155" vm="5534">
        <f ca="1"/>
        <v>98.27</v>
      </c>
      <c r="S155" vm="20789">
        <f ca="1"/>
        <v>98.4</v>
      </c>
      <c r="T155" vm="11917">
        <f ca="1"/>
        <v>97.66</v>
      </c>
      <c r="U155" vm="10940">
        <f ca="1"/>
        <v>97.4</v>
      </c>
      <c r="V155" vm="20790">
        <f ca="1"/>
        <v>97.25</v>
      </c>
      <c r="W155" vm="20791">
        <f ca="1"/>
        <v>98.74</v>
      </c>
      <c r="X155" vm="4565">
        <f ca="1"/>
        <v>99.11</v>
      </c>
      <c r="Y155" vm="20792">
        <f ca="1"/>
        <v>99.24</v>
      </c>
      <c r="Z155" vm="1063">
        <f ca="1"/>
        <v>99.89</v>
      </c>
      <c r="AA155" vm="20793">
        <f ca="1"/>
        <v>99.57</v>
      </c>
      <c r="AB155" vm="20794">
        <f ca="1"/>
        <v>99.06</v>
      </c>
      <c r="AC155" vm="20795">
        <f ca="1"/>
        <v>99.39</v>
      </c>
      <c r="AD155" vm="20658">
        <f ca="1"/>
        <v>100.51</v>
      </c>
      <c r="AE155" vm="3204">
        <f ca="1"/>
        <v>100.38</v>
      </c>
      <c r="AF155" vm="11938">
        <f ca="1"/>
        <v>100.27</v>
      </c>
      <c r="AG155" vm="5599">
        <f ca="1"/>
        <v>100.65</v>
      </c>
      <c r="AH155" vm="4574">
        <f ca="1"/>
        <v>100.26</v>
      </c>
      <c r="AI155" vm="20337">
        <f ca="1"/>
        <v>100.36</v>
      </c>
      <c r="AJ155" vm="3201">
        <f ca="1"/>
        <v>100.63</v>
      </c>
      <c r="AK155" vm="20796">
        <f ca="1"/>
        <v>101.92</v>
      </c>
      <c r="AL155" vm="7963">
        <f ca="1"/>
        <v>101.93</v>
      </c>
      <c r="AM155" vm="8257">
        <f ca="1"/>
        <v>101.43</v>
      </c>
      <c r="AN155" vm="20797">
        <f ca="1"/>
        <v>101.24</v>
      </c>
      <c r="AO155" vm="20668">
        <f ca="1"/>
        <v>100.7</v>
      </c>
      <c r="AP155" vm="20798">
        <f ca="1"/>
        <v>99.53</v>
      </c>
      <c r="AQ155" vm="20799">
        <f ca="1"/>
        <v>100.81</v>
      </c>
      <c r="AR155" vm="5602">
        <f ca="1"/>
        <v>101.4</v>
      </c>
      <c r="AS155" vm="20658">
        <f ca="1"/>
        <v>100.51</v>
      </c>
      <c r="AT155" vm="274">
        <f ca="1"/>
        <v>100.61</v>
      </c>
      <c r="AU155" vm="5536">
        <f ca="1"/>
        <v>100.93</v>
      </c>
      <c r="AV155" vm="7963">
        <f ca="1"/>
        <v>101.93</v>
      </c>
      <c r="AW155" vm="276">
        <f ca="1"/>
        <v>102.15</v>
      </c>
      <c r="AX155" vm="11947">
        <f ca="1"/>
        <v>103.49</v>
      </c>
      <c r="AY155" vm="20800">
        <f ca="1"/>
        <v>103.95</v>
      </c>
      <c r="AZ155" vm="1051">
        <f ca="1"/>
        <v>103.64</v>
      </c>
      <c r="BA155" vm="10993">
        <f ca="1"/>
        <v>104.53</v>
      </c>
      <c r="BB155" vm="11960">
        <f ca="1"/>
        <v>104.79</v>
      </c>
      <c r="BC155" vm="1050">
        <f ca="1"/>
        <v>103.91</v>
      </c>
      <c r="BD155" vm="8308">
        <f ca="1"/>
        <v>103.13</v>
      </c>
      <c r="BE155" vm="19935">
        <f ca="1"/>
        <v>102.87</v>
      </c>
      <c r="BF155" vm="20801">
        <f ca="1"/>
        <v>102.61</v>
      </c>
      <c r="BG155" vm="280">
        <f ca="1"/>
        <v>103.59</v>
      </c>
      <c r="BH155" vm="8260">
        <f ca="1"/>
        <v>102.98</v>
      </c>
      <c r="BI155" vm="4643">
        <f ca="1"/>
        <v>102.45</v>
      </c>
      <c r="BJ155" vm="5555">
        <f ca="1"/>
        <v>103.22</v>
      </c>
      <c r="BK155" vm="5545">
        <f ca="1"/>
        <v>102.74</v>
      </c>
      <c r="BL155" vm="7965">
        <f ca="1"/>
        <v>103.08</v>
      </c>
      <c r="BM155" vm="20802">
        <f ca="1"/>
        <v>103.23</v>
      </c>
      <c r="BN155" vm="20803">
        <f ca="1"/>
        <v>103.66</v>
      </c>
      <c r="BO155" vm="20804">
        <f ca="1"/>
        <v>103.83</v>
      </c>
      <c r="BP155" vm="5548">
        <f ca="1"/>
        <v>103.48</v>
      </c>
      <c r="BQ155" vm="20805">
        <f ca="1"/>
        <v>102.51</v>
      </c>
      <c r="BR155" vm="20806">
        <f ca="1"/>
        <v>102.63</v>
      </c>
      <c r="BS155" vm="7921">
        <f ca="1"/>
        <v>102.13</v>
      </c>
      <c r="BT155" vm="11931">
        <f ca="1"/>
        <v>101.89</v>
      </c>
      <c r="BU155" vm="20807">
        <f ca="1"/>
        <v>103.14</v>
      </c>
      <c r="BV155" vm="10863">
        <f ca="1"/>
        <v>103.75</v>
      </c>
      <c r="BW155" vm="20808">
        <f ca="1"/>
        <v>104.05</v>
      </c>
      <c r="BX155" vm="279">
        <f ca="1"/>
        <v>103.92</v>
      </c>
      <c r="BY155" vm="17788">
        <f ca="1"/>
        <v>104.85</v>
      </c>
      <c r="BZ155" vm="8266">
        <f ca="1"/>
        <v>105.63</v>
      </c>
      <c r="CA155" vm="20809">
        <f ca="1"/>
        <v>102.88</v>
      </c>
      <c r="CB155" vm="20810">
        <f ca="1"/>
        <v>101.19</v>
      </c>
      <c r="CC155" vm="8257">
        <f ca="1"/>
        <v>101.43</v>
      </c>
      <c r="CD155" vm="20798">
        <f ca="1"/>
        <v>99.53</v>
      </c>
      <c r="CE155" vm="11923">
        <f ca="1"/>
        <v>99.46</v>
      </c>
      <c r="CF155" vm="11937">
        <f ca="1"/>
        <v>100.39</v>
      </c>
      <c r="CG155" vm="20340">
        <f ca="1"/>
        <v>100.71</v>
      </c>
      <c r="CH155" vm="20797">
        <f ca="1"/>
        <v>101.24</v>
      </c>
      <c r="CI155" vm="1055">
        <f ca="1"/>
        <v>100.59</v>
      </c>
      <c r="CJ155" vm="5573">
        <f ca="1"/>
        <v>99.09</v>
      </c>
      <c r="CK155" vm="20786">
        <f ca="1"/>
        <v>99.63</v>
      </c>
      <c r="CL155" vm="3205">
        <f ca="1"/>
        <v>100.4</v>
      </c>
      <c r="CM155" vm="275">
        <f ca="1"/>
        <v>101.22</v>
      </c>
      <c r="CN155" vm="3249">
        <f ca="1"/>
        <v>101.96</v>
      </c>
      <c r="CO155" vm="5605">
        <f ca="1"/>
        <v>102.4</v>
      </c>
      <c r="CP155" vm="4618">
        <f ca="1"/>
        <v>103.12</v>
      </c>
      <c r="CQ155" vm="11946">
        <f ca="1"/>
        <v>102.64</v>
      </c>
      <c r="CR155" vm="11940">
        <f ca="1"/>
        <v>101.73</v>
      </c>
      <c r="CS155" vm="19916">
        <f ca="1"/>
        <v>100.83</v>
      </c>
      <c r="CT155" vm="10865">
        <f ca="1"/>
        <v>100.42</v>
      </c>
      <c r="CU155" vm="3201">
        <f ca="1"/>
        <v>100.63</v>
      </c>
      <c r="CV155" vm="20811">
        <f ca="1"/>
        <v>101.06</v>
      </c>
      <c r="CW155" vm="10827">
        <f ca="1"/>
        <v>100.01</v>
      </c>
      <c r="CX155" vm="5596">
        <f ca="1"/>
        <v>100.17</v>
      </c>
      <c r="CY155" vm="4566">
        <f ca="1"/>
        <v>99.37</v>
      </c>
      <c r="CZ155" vm="13674">
        <f ca="1"/>
        <v>98.97</v>
      </c>
      <c r="DA155" vm="9332">
        <f ca="1"/>
        <v>98.51</v>
      </c>
      <c r="DB155" vm="20812">
        <f ca="1"/>
        <v>99.27</v>
      </c>
      <c r="DC155" vm="4563">
        <f ca="1"/>
        <v>99.45</v>
      </c>
      <c r="DD155" vm="11934">
        <f ca="1"/>
        <v>99.16</v>
      </c>
      <c r="DE155" vm="5571">
        <f ca="1"/>
        <v>98.69</v>
      </c>
      <c r="DF155" vm="15692">
        <f ca="1"/>
        <v>97.29</v>
      </c>
      <c r="DG155" vm="4496">
        <f ca="1"/>
        <v>97.73</v>
      </c>
      <c r="DH155" vm="4594">
        <f ca="1"/>
        <v>98.08</v>
      </c>
      <c r="DI155" vm="20813">
        <f ca="1"/>
        <v>99.03</v>
      </c>
      <c r="DJ155" vm="20814">
        <f ca="1"/>
        <v>98.63</v>
      </c>
      <c r="DK155" vm="4566">
        <f ca="1"/>
        <v>99.37</v>
      </c>
      <c r="DL155" vm="19920">
        <f ca="1"/>
        <v>99.7</v>
      </c>
      <c r="DM155" vm="4586">
        <f ca="1"/>
        <v>98.59</v>
      </c>
      <c r="DN155" vm="20815">
        <f ca="1"/>
        <v>98.48</v>
      </c>
      <c r="DO155" vm="142">
        <f ca="1"/>
        <v>99.84</v>
      </c>
      <c r="DP155" vm="1904">
        <f ca="1"/>
        <v>99.74</v>
      </c>
      <c r="DQ155" vm="20816">
        <f ca="1"/>
        <v>98.61</v>
      </c>
      <c r="DR155" vm="10822">
        <f ca="1"/>
        <v>98.75</v>
      </c>
      <c r="DS155" vm="12440">
        <f ca="1"/>
        <v>99.12</v>
      </c>
      <c r="DT155" vm="19915">
        <f ca="1"/>
        <v>99.56</v>
      </c>
      <c r="DU155" vm="20658">
        <f ca="1"/>
        <v>100.51</v>
      </c>
      <c r="DV155" vm="1903">
        <f ca="1"/>
        <v>99.67</v>
      </c>
      <c r="DW155" vm="7935">
        <f ca="1"/>
        <v>98.95</v>
      </c>
      <c r="DX155" vm="3265">
        <f ca="1"/>
        <v>99.91</v>
      </c>
      <c r="DY155" vm="9318">
        <f ca="1"/>
        <v>99.99</v>
      </c>
      <c r="DZ155" vm="11925">
        <f ca="1"/>
        <v>99.93</v>
      </c>
      <c r="EA155" vm="20660">
        <f ca="1"/>
        <v>100.34</v>
      </c>
      <c r="EB155" vm="5598">
        <f ca="1"/>
        <v>100.87</v>
      </c>
      <c r="EC155" vm="7910">
        <f ca="1"/>
        <v>100.94</v>
      </c>
      <c r="ED155" vm="20817">
        <f ca="1"/>
        <v>101.31</v>
      </c>
      <c r="EE155" vm="20799">
        <f ca="1"/>
        <v>100.81</v>
      </c>
      <c r="EF155" vm="20818">
        <f ca="1"/>
        <v>101.6</v>
      </c>
      <c r="EG155" vm="4626">
        <f ca="1"/>
        <v>101.28</v>
      </c>
      <c r="EH155" vm="20819">
        <f ca="1"/>
        <v>100.73</v>
      </c>
      <c r="EI155" vm="5562">
        <f ca="1"/>
        <v>100.29</v>
      </c>
      <c r="EJ155" vm="4573">
        <f ca="1"/>
        <v>99.54</v>
      </c>
      <c r="EK155" vm="9334">
        <f ca="1"/>
        <v>99.41</v>
      </c>
      <c r="EL155" vm="5562">
        <f ca="1"/>
        <v>100.29</v>
      </c>
      <c r="EM155" vm="20337">
        <f ca="1"/>
        <v>100.36</v>
      </c>
      <c r="EN155" vm="20820">
        <f ca="1"/>
        <v>99.28</v>
      </c>
      <c r="EO155" vm="20821">
        <f ca="1"/>
        <v>99.15</v>
      </c>
      <c r="EP155" vm="13665">
        <f ca="1"/>
        <v>98.52</v>
      </c>
      <c r="EQ155" vm="10866">
        <f ca="1"/>
        <v>98.7</v>
      </c>
      <c r="ER155" vm="4564">
        <f ca="1"/>
        <v>98.66</v>
      </c>
      <c r="ES155" vm="5529">
        <f ca="1"/>
        <v>98.94</v>
      </c>
      <c r="ET155" vm="5561">
        <f ca="1"/>
        <v>99.65</v>
      </c>
      <c r="EU155" vm="10999">
        <f ca="1"/>
        <v>100.11</v>
      </c>
      <c r="EV155" vm="13676">
        <f ca="1"/>
        <v>99.71</v>
      </c>
      <c r="EW155" vm="19915">
        <f ca="1"/>
        <v>99.56</v>
      </c>
      <c r="EX155" vm="9318">
        <f ca="1"/>
        <v>99.99</v>
      </c>
      <c r="EY155" vm="273">
        <f ca="1"/>
        <v>99.58</v>
      </c>
      <c r="EZ155" vm="1910">
        <f ca="1"/>
        <v>100.85</v>
      </c>
      <c r="FA155" vm="20661">
        <f ca="1"/>
        <v>100.37</v>
      </c>
      <c r="FB155" vm="3210">
        <f ca="1"/>
        <v>100.49</v>
      </c>
      <c r="FC155" vm="11926">
        <f ca="1"/>
        <v>101.52</v>
      </c>
      <c r="FD155" vm="20822">
        <f ca="1"/>
        <v>101.7</v>
      </c>
      <c r="FE155" vm="5538">
        <f ca="1"/>
        <v>101.87</v>
      </c>
      <c r="FF155" vm="8257">
        <f ca="1"/>
        <v>101.43</v>
      </c>
      <c r="FG155" vm="4623">
        <f ca="1"/>
        <v>101.35</v>
      </c>
      <c r="FH155" vm="20335">
        <f ca="1"/>
        <v>100.99</v>
      </c>
      <c r="FI155" vm="20823">
        <f ca="1"/>
        <v>101.12</v>
      </c>
      <c r="FJ155" vm="4610">
        <f ca="1"/>
        <v>100.69</v>
      </c>
      <c r="FK155" vm="3246">
        <f ca="1"/>
        <v>101.41</v>
      </c>
      <c r="FL155" vm="13655">
        <f ca="1"/>
        <v>100.76</v>
      </c>
      <c r="FM155" vm="10821">
        <f ca="1"/>
        <v>100.23</v>
      </c>
      <c r="FN155" vm="11918">
        <f ca="1"/>
        <v>100.02</v>
      </c>
      <c r="FO155" vm="3208">
        <f ca="1"/>
        <v>100.46</v>
      </c>
      <c r="FP155" vm="3203">
        <f ca="1"/>
        <v>100.67</v>
      </c>
      <c r="FQ155" vm="11943">
        <f ca="1"/>
        <v>100.21</v>
      </c>
      <c r="FR155" vm="3255">
        <f ca="1"/>
        <v>100.96</v>
      </c>
      <c r="FS155" vm="8259">
        <f ca="1"/>
        <v>100.74</v>
      </c>
      <c r="FT155" vm="20824">
        <f ca="1"/>
        <v>100.79</v>
      </c>
      <c r="FU155" vm="19769">
        <f ca="1"/>
        <v>100.78</v>
      </c>
      <c r="FV155" vm="20817">
        <f ca="1"/>
        <v>101.31</v>
      </c>
      <c r="FW155" vm="679">
        <f ca="1"/>
        <v>100.92</v>
      </c>
      <c r="FX155" vm="11925">
        <f ca="1"/>
        <v>99.93</v>
      </c>
      <c r="FY155" vm="20340">
        <f ca="1"/>
        <v>100.71</v>
      </c>
      <c r="FZ155" vm="5517">
        <f ca="1"/>
        <v>101.33</v>
      </c>
      <c r="GA155" vm="11929">
        <f ca="1"/>
        <v>102.55</v>
      </c>
      <c r="GB155" vm="3235">
        <f ca="1"/>
        <v>103.42</v>
      </c>
      <c r="GC155" vm="11948">
        <f ca="1"/>
        <v>103.06</v>
      </c>
      <c r="GD155" vm="11947">
        <f ca="1"/>
        <v>103.49</v>
      </c>
      <c r="GE155" vm="20825">
        <f ca="1"/>
        <v>103.93</v>
      </c>
      <c r="GF155" vm="11947">
        <f ca="1"/>
        <v>103.49</v>
      </c>
      <c r="GG155" vm="7964">
        <f ca="1"/>
        <v>103.8</v>
      </c>
      <c r="GH155" vm="279">
        <f ca="1"/>
        <v>103.92</v>
      </c>
      <c r="GI155" vm="13037">
        <f ca="1"/>
        <v>103.68</v>
      </c>
      <c r="GJ155" vm="13738">
        <f ca="1"/>
        <v>102.91</v>
      </c>
      <c r="GK155" vm="278">
        <f ca="1"/>
        <v>102.78</v>
      </c>
      <c r="GL155" vm="20826">
        <f ca="1"/>
        <v>102.48</v>
      </c>
      <c r="GM155" vm="7965">
        <f ca="1"/>
        <v>103.08</v>
      </c>
      <c r="GN155" vm="20827">
        <f ca="1"/>
        <v>102.75</v>
      </c>
      <c r="GO155" vm="11946">
        <f ca="1"/>
        <v>102.64</v>
      </c>
      <c r="GP155" vm="1059">
        <f ca="1"/>
        <v>102.53</v>
      </c>
      <c r="GQ155" vm="4618">
        <f ca="1"/>
        <v>103.12</v>
      </c>
      <c r="GR155" vm="3241">
        <f ca="1"/>
        <v>102.99</v>
      </c>
      <c r="GS155" vm="5544">
        <f ca="1"/>
        <v>102.96</v>
      </c>
      <c r="GT155" vm="11949">
        <f ca="1"/>
        <v>103.21</v>
      </c>
      <c r="GU155" vm="8260">
        <f ca="1"/>
        <v>102.98</v>
      </c>
      <c r="GV155" vm="10897">
        <f ca="1"/>
        <v>102.37</v>
      </c>
      <c r="GW155" vm="4629">
        <f ca="1"/>
        <v>102.84</v>
      </c>
      <c r="GX155" vm="20828">
        <f ca="1"/>
        <v>102.9</v>
      </c>
      <c r="GY155" vm="17781">
        <f ca="1"/>
        <v>102.83</v>
      </c>
      <c r="GZ155" vm="20808">
        <f ca="1"/>
        <v>104.05</v>
      </c>
      <c r="HA155" vm="4634">
        <f ca="1"/>
        <v>104</v>
      </c>
      <c r="HB155" vm="11959">
        <f ca="1"/>
        <v>104.36</v>
      </c>
      <c r="HC155" vm="281">
        <f ca="1"/>
        <v>104.08</v>
      </c>
      <c r="HD155" vm="10878">
        <f ca="1"/>
        <v>104.77</v>
      </c>
      <c r="HE155" vm="11957">
        <f ca="1"/>
        <v>104.57</v>
      </c>
      <c r="HF155" vm="20829">
        <f ca="1"/>
        <v>104.86</v>
      </c>
      <c r="HG155" vm="20830">
        <f ca="1"/>
        <v>105.28</v>
      </c>
      <c r="HH155" vm="8268">
        <f ca="1"/>
        <v>105.36</v>
      </c>
      <c r="HI155" vm="7959">
        <f ca="1"/>
        <v>104.8</v>
      </c>
      <c r="HJ155" vm="11962">
        <f ca="1"/>
        <v>104.83</v>
      </c>
      <c r="HK155" vm="64">
        <f ca="1"/>
        <v>105.07</v>
      </c>
      <c r="HL155" vm="20830">
        <f ca="1"/>
        <v>105.28</v>
      </c>
      <c r="HM155" vm="12328">
        <f ca="1"/>
        <v>104.39</v>
      </c>
      <c r="HN155" vm="4631">
        <f ca="1"/>
        <v>103.99</v>
      </c>
      <c r="HO155" vm="20804">
        <f ca="1"/>
        <v>103.83</v>
      </c>
      <c r="HP155" vm="20341">
        <f ca="1"/>
        <v>103.3</v>
      </c>
      <c r="HQ155" vm="20831">
        <f ca="1"/>
        <v>103.51</v>
      </c>
      <c r="HR155" vm="11928">
        <f ca="1"/>
        <v>102.57</v>
      </c>
      <c r="HS155" vm="10857">
        <f ca="1"/>
        <v>103.36</v>
      </c>
      <c r="HT155" vm="5555">
        <f ca="1"/>
        <v>103.22</v>
      </c>
      <c r="HU155" vm="20832">
        <f ca="1"/>
        <v>103.11</v>
      </c>
      <c r="HV155" vm="5610">
        <f ca="1"/>
        <v>103.63</v>
      </c>
      <c r="HW155" vm="10941">
        <f ca="1"/>
        <v>103.72</v>
      </c>
      <c r="HX155" vm="8308">
        <f ca="1"/>
        <v>103.13</v>
      </c>
      <c r="HY155" vm="20833">
        <f ca="1"/>
        <v>102.69</v>
      </c>
      <c r="HZ155" vm="7906">
        <f ca="1"/>
        <v>102.92</v>
      </c>
      <c r="IA155" vm="13738">
        <f ca="1"/>
        <v>102.91</v>
      </c>
      <c r="IB155" vm="288">
        <f ca="1"/>
        <v>102.8</v>
      </c>
      <c r="IC155" vm="3234">
        <f ca="1"/>
        <v>103.16</v>
      </c>
      <c r="ID155" vm="3235">
        <f ca="1"/>
        <v>103.42</v>
      </c>
      <c r="IE155" vm="3236">
        <f ca="1"/>
        <v>103.86</v>
      </c>
      <c r="IF155" vm="3237">
        <f ca="1"/>
        <v>104.19</v>
      </c>
      <c r="IG155" vm="3238">
        <f ca="1"/>
        <v>104.46</v>
      </c>
      <c r="IH155" vm="281">
        <f ca="1"/>
        <v>104.08</v>
      </c>
      <c r="II155" vm="3239">
        <f ca="1"/>
        <v>102.66</v>
      </c>
      <c r="IJ155" vm="3240">
        <f ca="1"/>
        <v>102.72</v>
      </c>
      <c r="IK155" vm="3241">
        <f ca="1"/>
        <v>102.99</v>
      </c>
      <c r="IL155" vm="3242">
        <f ca="1"/>
        <v>102.56</v>
      </c>
      <c r="IM155" vm="1909">
        <f ca="1"/>
        <v>102.14</v>
      </c>
      <c r="IN155" vm="3243">
        <f ca="1"/>
        <v>101.81</v>
      </c>
      <c r="IO155" vm="3244">
        <f ca="1"/>
        <v>101.83</v>
      </c>
      <c r="IP155" vm="3245">
        <f ca="1"/>
        <v>102.2</v>
      </c>
      <c r="IQ155" vm="276">
        <f ca="1"/>
        <v>102.15</v>
      </c>
      <c r="IR155" vm="3246">
        <f ca="1"/>
        <v>101.41</v>
      </c>
      <c r="IS155" vm="3247">
        <f ca="1"/>
        <v>101.57</v>
      </c>
      <c r="IT155" vm="3248">
        <f ca="1"/>
        <v>102.05</v>
      </c>
      <c r="IU155" vm="3249">
        <f ca="1"/>
        <v>101.96</v>
      </c>
      <c r="IV155" vm="3250">
        <f ca="1"/>
        <v>102.35</v>
      </c>
      <c r="IW155" vm="140">
        <f ca="1"/>
        <v>101.62</v>
      </c>
    </row>
    <row r="156" spans="1:257" ht="16" x14ac:dyDescent="0.2">
      <c r="A156" t="e" vm="3251">
        <v>#VALUE!</v>
      </c>
      <c r="B156" s="23" t="str" cm="1">
        <f t="array" aca="1" ref="B156" ca="1">_FV(A156,"ticker symbol",TRUE)</f>
        <v>AGG</v>
      </c>
      <c r="C156" s="23" t="str" cm="1">
        <f t="array" aca="1" ref="C156" ca="1">_FV(A156,"Name")</f>
        <v>iShares:Core US Agg Bd</v>
      </c>
      <c r="D156" cm="1" vm="10903">
        <f t="array" aca="1" ref="D156:IW156" ca="1">TRANSPOSE(_xlfn.STOCKHISTORY(B156, WORKDAY(TODAY(), -265), TODAY(), 0, 0, 1))</f>
        <v>98.01</v>
      </c>
      <c r="E156" vm="10903">
        <f ca="1"/>
        <v>98.01</v>
      </c>
      <c r="F156" vm="16303">
        <f ca="1"/>
        <v>96.95</v>
      </c>
      <c r="G156" vm="20834">
        <f ca="1"/>
        <v>96.7</v>
      </c>
      <c r="H156" vm="13626">
        <f ca="1"/>
        <v>96.96</v>
      </c>
      <c r="I156" vm="8286">
        <f ca="1"/>
        <v>96.66</v>
      </c>
      <c r="J156" vm="3187">
        <f ca="1"/>
        <v>96.77</v>
      </c>
      <c r="K156" vm="5569">
        <f ca="1"/>
        <v>96.84</v>
      </c>
      <c r="L156" vm="3179">
        <f ca="1"/>
        <v>96.64</v>
      </c>
      <c r="M156" vm="20835">
        <f ca="1"/>
        <v>97.02</v>
      </c>
      <c r="N156" vm="2039">
        <f ca="1"/>
        <v>96.9</v>
      </c>
      <c r="O156" vm="271">
        <f ca="1"/>
        <v>96.91</v>
      </c>
      <c r="P156" vm="4494">
        <f ca="1"/>
        <v>96.81</v>
      </c>
      <c r="Q156" vm="16293">
        <f ca="1"/>
        <v>96.71</v>
      </c>
      <c r="R156" vm="4549">
        <f ca="1"/>
        <v>96.37</v>
      </c>
      <c r="S156" vm="9331">
        <f ca="1"/>
        <v>96.48</v>
      </c>
      <c r="T156" vm="16255">
        <f ca="1"/>
        <v>95.94</v>
      </c>
      <c r="U156" vm="5530">
        <f ca="1"/>
        <v>95.85</v>
      </c>
      <c r="V156" vm="19907">
        <f ca="1"/>
        <v>95.88</v>
      </c>
      <c r="W156" vm="16293">
        <f ca="1"/>
        <v>96.71</v>
      </c>
      <c r="X156" vm="20836">
        <f ca="1"/>
        <v>96.92</v>
      </c>
      <c r="Y156" vm="20836">
        <f ca="1"/>
        <v>96.92</v>
      </c>
      <c r="Z156" vm="8278">
        <f ca="1"/>
        <v>97.24</v>
      </c>
      <c r="AA156" vm="7956">
        <f ca="1"/>
        <v>97.01</v>
      </c>
      <c r="AB156" vm="5577">
        <f ca="1"/>
        <v>96.85</v>
      </c>
      <c r="AC156" vm="7956">
        <f ca="1"/>
        <v>97.01</v>
      </c>
      <c r="AD156" vm="20655">
        <f ca="1"/>
        <v>97.55</v>
      </c>
      <c r="AE156" vm="20656">
        <f ca="1"/>
        <v>97.52</v>
      </c>
      <c r="AF156" vm="20837">
        <f ca="1"/>
        <v>97.46</v>
      </c>
      <c r="AG156" vm="5570">
        <f ca="1"/>
        <v>97.6</v>
      </c>
      <c r="AH156" vm="10940">
        <f ca="1"/>
        <v>97.4</v>
      </c>
      <c r="AI156" vm="20838">
        <f ca="1"/>
        <v>97.17</v>
      </c>
      <c r="AJ156" vm="20839">
        <f ca="1"/>
        <v>97.35</v>
      </c>
      <c r="AK156" vm="20840">
        <f ca="1"/>
        <v>97.87</v>
      </c>
      <c r="AL156" vm="4597">
        <f ca="1"/>
        <v>97.77</v>
      </c>
      <c r="AM156" vm="20837">
        <f ca="1"/>
        <v>97.46</v>
      </c>
      <c r="AN156" vm="20657">
        <f ca="1"/>
        <v>97.49</v>
      </c>
      <c r="AO156" vm="5566">
        <f ca="1"/>
        <v>97.27</v>
      </c>
      <c r="AP156" vm="20841">
        <f ca="1"/>
        <v>96.76</v>
      </c>
      <c r="AQ156" vm="3182">
        <f ca="1"/>
        <v>97.34</v>
      </c>
      <c r="AR156" vm="5519">
        <f ca="1"/>
        <v>97.7</v>
      </c>
      <c r="AS156" vm="20842">
        <f ca="1"/>
        <v>97.31</v>
      </c>
      <c r="AT156" vm="5593">
        <f ca="1"/>
        <v>97.45</v>
      </c>
      <c r="AU156" vm="5570">
        <f ca="1"/>
        <v>97.6</v>
      </c>
      <c r="AV156" vm="10823">
        <f ca="1"/>
        <v>98.02</v>
      </c>
      <c r="AW156" vm="10900">
        <f ca="1"/>
        <v>98.19</v>
      </c>
      <c r="AX156" vm="20843">
        <f ca="1"/>
        <v>98.8</v>
      </c>
      <c r="AY156" vm="4567">
        <f ca="1"/>
        <v>98.96</v>
      </c>
      <c r="AZ156" vm="4569">
        <f ca="1"/>
        <v>98.81</v>
      </c>
      <c r="BA156" vm="5535">
        <f ca="1"/>
        <v>99.25</v>
      </c>
      <c r="BB156" vm="11934">
        <f ca="1"/>
        <v>99.16</v>
      </c>
      <c r="BC156" vm="13653">
        <f ca="1"/>
        <v>98.91</v>
      </c>
      <c r="BD156" vm="4600">
        <f ca="1"/>
        <v>98.57</v>
      </c>
      <c r="BE156" vm="4568">
        <f ca="1"/>
        <v>98.47</v>
      </c>
      <c r="BF156" vm="4561">
        <f ca="1"/>
        <v>98.35</v>
      </c>
      <c r="BG156" vm="8280">
        <f ca="1"/>
        <v>98.82</v>
      </c>
      <c r="BH156" vm="4568">
        <f ca="1"/>
        <v>98.47</v>
      </c>
      <c r="BI156" vm="62">
        <f ca="1"/>
        <v>98.18</v>
      </c>
      <c r="BJ156" vm="20815">
        <f ca="1"/>
        <v>98.48</v>
      </c>
      <c r="BK156" vm="4587">
        <f ca="1"/>
        <v>98.28</v>
      </c>
      <c r="BL156" vm="16258">
        <f ca="1"/>
        <v>98.41</v>
      </c>
      <c r="BM156" vm="9332">
        <f ca="1"/>
        <v>98.51</v>
      </c>
      <c r="BN156" vm="20843">
        <f ca="1"/>
        <v>98.8</v>
      </c>
      <c r="BO156" vm="20844">
        <f ca="1"/>
        <v>98.86</v>
      </c>
      <c r="BP156" vm="20791">
        <f ca="1"/>
        <v>98.74</v>
      </c>
      <c r="BQ156" vm="4576">
        <f ca="1"/>
        <v>98.36</v>
      </c>
      <c r="BR156" vm="20845">
        <f ca="1"/>
        <v>98.45</v>
      </c>
      <c r="BS156" vm="11911">
        <f ca="1"/>
        <v>98.21</v>
      </c>
      <c r="BT156" vm="5525">
        <f ca="1"/>
        <v>98.16</v>
      </c>
      <c r="BU156" vm="20846">
        <f ca="1"/>
        <v>98.73</v>
      </c>
      <c r="BV156" vm="20847">
        <f ca="1"/>
        <v>98.92</v>
      </c>
      <c r="BW156" vm="4567">
        <f ca="1"/>
        <v>98.96</v>
      </c>
      <c r="BX156" vm="20848">
        <f ca="1"/>
        <v>98.85</v>
      </c>
      <c r="BY156" vm="4566">
        <f ca="1"/>
        <v>99.37</v>
      </c>
      <c r="BZ156" vm="11923">
        <f ca="1"/>
        <v>99.46</v>
      </c>
      <c r="CA156" vm="1905">
        <f ca="1"/>
        <v>98.2</v>
      </c>
      <c r="CB156" vm="13662">
        <f ca="1"/>
        <v>97.69</v>
      </c>
      <c r="CC156" vm="13724">
        <f ca="1"/>
        <v>97.91</v>
      </c>
      <c r="CD156" vm="20652">
        <f ca="1"/>
        <v>97.14</v>
      </c>
      <c r="CE156" vm="16299">
        <f ca="1"/>
        <v>97.04</v>
      </c>
      <c r="CF156" vm="13637">
        <f ca="1"/>
        <v>97.61</v>
      </c>
      <c r="CG156" vm="20849">
        <f ca="1"/>
        <v>97.81</v>
      </c>
      <c r="CH156" vm="20850">
        <f ca="1"/>
        <v>98.12</v>
      </c>
      <c r="CI156" vm="20840">
        <f ca="1"/>
        <v>97.87</v>
      </c>
      <c r="CJ156" vm="5527">
        <f ca="1"/>
        <v>97.28</v>
      </c>
      <c r="CK156" vm="20837">
        <f ca="1"/>
        <v>97.46</v>
      </c>
      <c r="CL156" vm="5519">
        <f ca="1"/>
        <v>97.7</v>
      </c>
      <c r="CM156" vm="5522">
        <f ca="1"/>
        <v>98.24</v>
      </c>
      <c r="CN156" vm="17762">
        <f ca="1"/>
        <v>98.6</v>
      </c>
      <c r="CO156" vm="20851">
        <f ca="1"/>
        <v>98.87</v>
      </c>
      <c r="CP156" vm="4565">
        <f ca="1"/>
        <v>99.11</v>
      </c>
      <c r="CQ156" vm="4645">
        <f ca="1"/>
        <v>99.02</v>
      </c>
      <c r="CR156" vm="20852">
        <f ca="1"/>
        <v>98.43</v>
      </c>
      <c r="CS156" vm="1048">
        <f ca="1"/>
        <v>97.95</v>
      </c>
      <c r="CT156" vm="20853">
        <f ca="1"/>
        <v>97.78</v>
      </c>
      <c r="CU156" vm="10823">
        <f ca="1"/>
        <v>98.02</v>
      </c>
      <c r="CV156" vm="10826">
        <f ca="1"/>
        <v>98.17</v>
      </c>
      <c r="CW156" vm="11917">
        <f ca="1"/>
        <v>97.66</v>
      </c>
      <c r="CX156" vm="16281">
        <f ca="1"/>
        <v>97.76</v>
      </c>
      <c r="CY156" vm="5520">
        <f ca="1"/>
        <v>97.43</v>
      </c>
      <c r="CZ156" vm="16243">
        <f ca="1"/>
        <v>97.33</v>
      </c>
      <c r="DA156" vm="5568">
        <f ca="1"/>
        <v>97.05</v>
      </c>
      <c r="DB156" vm="5570">
        <f ca="1"/>
        <v>97.6</v>
      </c>
      <c r="DC156" vm="11917">
        <f ca="1"/>
        <v>97.66</v>
      </c>
      <c r="DD156" vm="5592">
        <f ca="1"/>
        <v>97.63</v>
      </c>
      <c r="DE156" vm="20837">
        <f ca="1"/>
        <v>97.46</v>
      </c>
      <c r="DF156" vm="20854">
        <f ca="1"/>
        <v>96.82</v>
      </c>
      <c r="DG156" vm="5531">
        <f ca="1"/>
        <v>97.1</v>
      </c>
      <c r="DH156" vm="8278">
        <f ca="1"/>
        <v>97.24</v>
      </c>
      <c r="DI156" vm="5594">
        <f ca="1"/>
        <v>97.68</v>
      </c>
      <c r="DJ156" vm="3185">
        <f ca="1"/>
        <v>97.5</v>
      </c>
      <c r="DK156" vm="13616">
        <f ca="1"/>
        <v>97.86</v>
      </c>
      <c r="DL156" vm="20855">
        <f ca="1"/>
        <v>98.1</v>
      </c>
      <c r="DM156" vm="20656">
        <f ca="1"/>
        <v>97.52</v>
      </c>
      <c r="DN156" vm="5593">
        <f ca="1"/>
        <v>97.45</v>
      </c>
      <c r="DO156" vm="20856">
        <f ca="1"/>
        <v>98.03</v>
      </c>
      <c r="DP156" vm="20853">
        <f ca="1"/>
        <v>97.78</v>
      </c>
      <c r="DQ156" vm="5527">
        <f ca="1"/>
        <v>97.28</v>
      </c>
      <c r="DR156" vm="10940">
        <f ca="1"/>
        <v>97.4</v>
      </c>
      <c r="DS156" vm="16304">
        <f ca="1"/>
        <v>97.62</v>
      </c>
      <c r="DT156" vm="1048">
        <f ca="1"/>
        <v>97.95</v>
      </c>
      <c r="DU156" vm="4560">
        <f ca="1"/>
        <v>98.31</v>
      </c>
      <c r="DV156" vm="5521">
        <f ca="1"/>
        <v>97.96</v>
      </c>
      <c r="DW156" vm="16281">
        <f ca="1"/>
        <v>97.76</v>
      </c>
      <c r="DX156" vm="10935">
        <f ca="1"/>
        <v>98.06</v>
      </c>
      <c r="DY156" vm="20857">
        <f ca="1"/>
        <v>98.13</v>
      </c>
      <c r="DZ156" vm="20858">
        <f ca="1"/>
        <v>98.22</v>
      </c>
      <c r="EA156" vm="272">
        <f ca="1"/>
        <v>98.42</v>
      </c>
      <c r="EB156" vm="8280">
        <f ca="1"/>
        <v>98.82</v>
      </c>
      <c r="EC156" vm="4569">
        <f ca="1"/>
        <v>98.81</v>
      </c>
      <c r="ED156" vm="20333">
        <f ca="1"/>
        <v>99.08</v>
      </c>
      <c r="EE156" vm="20843">
        <f ca="1"/>
        <v>98.8</v>
      </c>
      <c r="EF156" vm="5595">
        <f ca="1"/>
        <v>99.2</v>
      </c>
      <c r="EG156" vm="20859">
        <f ca="1"/>
        <v>98.79</v>
      </c>
      <c r="EH156" vm="10925">
        <f ca="1"/>
        <v>98.67</v>
      </c>
      <c r="EI156" vm="4568">
        <f ca="1"/>
        <v>98.47</v>
      </c>
      <c r="EJ156" vm="20850">
        <f ca="1"/>
        <v>98.12</v>
      </c>
      <c r="EK156" vm="4594">
        <f ca="1"/>
        <v>98.08</v>
      </c>
      <c r="EL156" vm="20860">
        <f ca="1"/>
        <v>98.49</v>
      </c>
      <c r="EM156" vm="1047">
        <f ca="1"/>
        <v>98.46</v>
      </c>
      <c r="EN156" vm="4593">
        <f ca="1"/>
        <v>98.05</v>
      </c>
      <c r="EO156" vm="20861">
        <f ca="1"/>
        <v>98.04</v>
      </c>
      <c r="EP156" vm="4601">
        <f ca="1"/>
        <v>97.75</v>
      </c>
      <c r="EQ156" vm="20862">
        <f ca="1"/>
        <v>97.89</v>
      </c>
      <c r="ER156" vm="19913">
        <f ca="1"/>
        <v>97.93</v>
      </c>
      <c r="ES156" vm="20863">
        <f ca="1"/>
        <v>98.11</v>
      </c>
      <c r="ET156" vm="10904">
        <f ca="1"/>
        <v>98.38</v>
      </c>
      <c r="EU156" vm="4600">
        <f ca="1"/>
        <v>98.57</v>
      </c>
      <c r="EV156" vm="4561">
        <f ca="1"/>
        <v>98.35</v>
      </c>
      <c r="EW156" vm="13673">
        <f ca="1"/>
        <v>98.29</v>
      </c>
      <c r="EX156" vm="20845">
        <f ca="1"/>
        <v>98.45</v>
      </c>
      <c r="EY156" vm="4599">
        <f ca="1"/>
        <v>98.32</v>
      </c>
      <c r="EZ156" vm="20848">
        <f ca="1"/>
        <v>98.85</v>
      </c>
      <c r="FA156" vm="4600">
        <f ca="1"/>
        <v>98.57</v>
      </c>
      <c r="FB156" vm="20864">
        <f ca="1"/>
        <v>98.62</v>
      </c>
      <c r="FC156" vm="9333">
        <f ca="1"/>
        <v>99.14</v>
      </c>
      <c r="FD156" vm="4585">
        <f ca="1"/>
        <v>99.22</v>
      </c>
      <c r="FE156" vm="5535">
        <f ca="1"/>
        <v>99.25</v>
      </c>
      <c r="FF156" vm="10820">
        <f ca="1"/>
        <v>99.21</v>
      </c>
      <c r="FG156" vm="4572">
        <f ca="1"/>
        <v>99.13</v>
      </c>
      <c r="FH156" vm="5529">
        <f ca="1"/>
        <v>98.94</v>
      </c>
      <c r="FI156" vm="1056">
        <f ca="1"/>
        <v>99.01</v>
      </c>
      <c r="FJ156" vm="1056">
        <f ca="1"/>
        <v>99.01</v>
      </c>
      <c r="FK156" vm="4566">
        <f ca="1"/>
        <v>99.37</v>
      </c>
      <c r="FL156" vm="5573">
        <f ca="1"/>
        <v>99.09</v>
      </c>
      <c r="FM156" vm="5529">
        <f ca="1"/>
        <v>98.94</v>
      </c>
      <c r="FN156" vm="20865">
        <f ca="1"/>
        <v>98.83</v>
      </c>
      <c r="FO156" vm="4645">
        <f ca="1"/>
        <v>99.02</v>
      </c>
      <c r="FP156" vm="20333">
        <f ca="1"/>
        <v>99.08</v>
      </c>
      <c r="FQ156" vm="20848">
        <f ca="1"/>
        <v>98.85</v>
      </c>
      <c r="FR156" vm="13035">
        <f ca="1"/>
        <v>99.4</v>
      </c>
      <c r="FS156" vm="5535">
        <f ca="1"/>
        <v>99.25</v>
      </c>
      <c r="FT156" vm="4566">
        <f ca="1"/>
        <v>99.37</v>
      </c>
      <c r="FU156" vm="1906">
        <f ca="1"/>
        <v>99.47</v>
      </c>
      <c r="FV156" vm="19914">
        <f ca="1"/>
        <v>99.59</v>
      </c>
      <c r="FW156" vm="11923">
        <f ca="1"/>
        <v>99.46</v>
      </c>
      <c r="FX156" vm="20851">
        <f ca="1"/>
        <v>98.87</v>
      </c>
      <c r="FY156" vm="20866">
        <f ca="1"/>
        <v>99.23</v>
      </c>
      <c r="FZ156" vm="20786">
        <f ca="1"/>
        <v>99.63</v>
      </c>
      <c r="GA156" vm="3262">
        <f ca="1"/>
        <v>100.1</v>
      </c>
      <c r="GB156" vm="3254">
        <f ca="1"/>
        <v>100.44</v>
      </c>
      <c r="GC156" vm="10855">
        <f ca="1"/>
        <v>100.24</v>
      </c>
      <c r="GD156" vm="3254">
        <f ca="1"/>
        <v>100.44</v>
      </c>
      <c r="GE156" vm="3201">
        <f ca="1"/>
        <v>100.63</v>
      </c>
      <c r="GF156" vm="3212">
        <f ca="1"/>
        <v>100.54</v>
      </c>
      <c r="GG156" vm="20340">
        <f ca="1"/>
        <v>100.71</v>
      </c>
      <c r="GH156" vm="20867">
        <f ca="1"/>
        <v>100.75</v>
      </c>
      <c r="GI156" vm="5518">
        <f ca="1"/>
        <v>100.57</v>
      </c>
      <c r="GJ156" vm="5562">
        <f ca="1"/>
        <v>100.29</v>
      </c>
      <c r="GK156" vm="5562">
        <f ca="1"/>
        <v>100.29</v>
      </c>
      <c r="GL156" vm="5596">
        <f ca="1"/>
        <v>100.17</v>
      </c>
      <c r="GM156" vm="20868">
        <f ca="1"/>
        <v>100.33</v>
      </c>
      <c r="GN156" vm="3259">
        <f ca="1"/>
        <v>100.14</v>
      </c>
      <c r="GO156" vm="20869">
        <f ca="1"/>
        <v>100</v>
      </c>
      <c r="GP156" vm="3266">
        <f ca="1"/>
        <v>100.07</v>
      </c>
      <c r="GQ156" vm="4574">
        <f ca="1"/>
        <v>100.26</v>
      </c>
      <c r="GR156" vm="20659">
        <f ca="1"/>
        <v>100.25</v>
      </c>
      <c r="GS156" vm="5560">
        <f ca="1"/>
        <v>100.18</v>
      </c>
      <c r="GT156" vm="5562">
        <f ca="1"/>
        <v>100.29</v>
      </c>
      <c r="GU156" vm="5560">
        <f ca="1"/>
        <v>100.18</v>
      </c>
      <c r="GV156" vm="4575">
        <f ca="1"/>
        <v>99.96</v>
      </c>
      <c r="GW156" vm="11924">
        <f ca="1"/>
        <v>100.13</v>
      </c>
      <c r="GX156" vm="3259">
        <f ca="1"/>
        <v>100.14</v>
      </c>
      <c r="GY156" vm="11918">
        <f ca="1"/>
        <v>100.02</v>
      </c>
      <c r="GZ156" vm="3207">
        <f ca="1"/>
        <v>100.43</v>
      </c>
      <c r="HA156" vm="20667">
        <f ca="1"/>
        <v>100.62</v>
      </c>
      <c r="HB156" vm="19769">
        <f ca="1"/>
        <v>100.78</v>
      </c>
      <c r="HC156" vm="8259">
        <f ca="1"/>
        <v>100.74</v>
      </c>
      <c r="HD156" vm="20870">
        <f ca="1"/>
        <v>101.1</v>
      </c>
      <c r="HE156" vm="3255">
        <f ca="1"/>
        <v>100.96</v>
      </c>
      <c r="HF156" vm="13731">
        <f ca="1"/>
        <v>101.13</v>
      </c>
      <c r="HG156" vm="10902">
        <f ca="1"/>
        <v>101.23</v>
      </c>
      <c r="HH156" vm="275">
        <f ca="1"/>
        <v>101.22</v>
      </c>
      <c r="HI156" vm="1061">
        <f ca="1"/>
        <v>101.04</v>
      </c>
      <c r="HJ156" vm="20871">
        <f ca="1"/>
        <v>101.14</v>
      </c>
      <c r="HK156" vm="9319">
        <f ca="1"/>
        <v>101.21</v>
      </c>
      <c r="HL156" vm="11927">
        <f ca="1"/>
        <v>101.27</v>
      </c>
      <c r="HM156" vm="20824">
        <f ca="1"/>
        <v>100.79</v>
      </c>
      <c r="HN156" vm="3200">
        <f ca="1"/>
        <v>100.6</v>
      </c>
      <c r="HO156" vm="3212">
        <f ca="1"/>
        <v>100.54</v>
      </c>
      <c r="HP156" vm="8277">
        <f ca="1"/>
        <v>100.09</v>
      </c>
      <c r="HQ156" vm="3259">
        <f ca="1"/>
        <v>100.14</v>
      </c>
      <c r="HR156" vm="1062">
        <f ca="1"/>
        <v>99.87</v>
      </c>
      <c r="HS156" vm="10855">
        <f ca="1"/>
        <v>100.24</v>
      </c>
      <c r="HT156" vm="3253">
        <f ca="1"/>
        <v>100.2</v>
      </c>
      <c r="HU156" vm="11933">
        <f ca="1"/>
        <v>100.16</v>
      </c>
      <c r="HV156" vm="3208">
        <f ca="1"/>
        <v>100.46</v>
      </c>
      <c r="HW156" vm="10865">
        <f ca="1"/>
        <v>100.42</v>
      </c>
      <c r="HX156" vm="3263">
        <f ca="1"/>
        <v>100.12</v>
      </c>
      <c r="HY156" vm="20869">
        <f ca="1"/>
        <v>100</v>
      </c>
      <c r="HZ156" vm="11918">
        <f ca="1"/>
        <v>100.02</v>
      </c>
      <c r="IA156" vm="3252">
        <f ca="1"/>
        <v>100.08</v>
      </c>
      <c r="IB156" vm="3252">
        <f ca="1"/>
        <v>100.08</v>
      </c>
      <c r="IC156" vm="3253">
        <f ca="1"/>
        <v>100.2</v>
      </c>
      <c r="ID156" vm="3254">
        <f ca="1"/>
        <v>100.44</v>
      </c>
      <c r="IE156" vm="3202">
        <f ca="1"/>
        <v>100.64</v>
      </c>
      <c r="IF156" vm="678">
        <f ca="1"/>
        <v>100.8</v>
      </c>
      <c r="IG156" vm="3255">
        <f ca="1"/>
        <v>100.96</v>
      </c>
      <c r="IH156" vm="3256">
        <f ca="1"/>
        <v>100.82</v>
      </c>
      <c r="II156" vm="3257">
        <f ca="1"/>
        <v>100.06</v>
      </c>
      <c r="IJ156" vm="3258">
        <f ca="1"/>
        <v>100.19</v>
      </c>
      <c r="IK156" vm="3204">
        <f ca="1"/>
        <v>100.38</v>
      </c>
      <c r="IL156" vm="3259">
        <f ca="1"/>
        <v>100.14</v>
      </c>
      <c r="IM156" vm="3260">
        <f ca="1"/>
        <v>100.03</v>
      </c>
      <c r="IN156" vm="1062">
        <f ca="1"/>
        <v>99.87</v>
      </c>
      <c r="IO156" vm="3261">
        <f ca="1"/>
        <v>99.78</v>
      </c>
      <c r="IP156" vm="3262">
        <f ca="1"/>
        <v>100.1</v>
      </c>
      <c r="IQ156" vm="3263">
        <f ca="1"/>
        <v>100.12</v>
      </c>
      <c r="IR156" vm="3264">
        <f ca="1"/>
        <v>99.81</v>
      </c>
      <c r="IS156" vm="3265">
        <f ca="1"/>
        <v>99.91</v>
      </c>
      <c r="IT156" vm="3262">
        <f ca="1"/>
        <v>100.1</v>
      </c>
      <c r="IU156" vm="3266">
        <f ca="1"/>
        <v>100.07</v>
      </c>
      <c r="IV156" vm="3267">
        <f ca="1"/>
        <v>100.32</v>
      </c>
      <c r="IW156" vm="142">
        <f ca="1"/>
        <v>99.84</v>
      </c>
    </row>
    <row r="157" spans="1:257" ht="16" x14ac:dyDescent="0.2">
      <c r="A157" t="e" vm="3268">
        <v>#VALUE!</v>
      </c>
      <c r="B157" s="23" t="str" cm="1">
        <f t="array" aca="1" ref="B157" ca="1">_FV(A157,"ticker symbol",TRUE)</f>
        <v>MUB</v>
      </c>
      <c r="C157" s="23" t="str" cm="1">
        <f t="array" aca="1" ref="C157" ca="1">_FV(A157,"Name")</f>
        <v>iShares:Natl Muni Bond</v>
      </c>
      <c r="D157" cm="1" vm="7987">
        <f t="array" aca="1" ref="D157:IW157" ca="1">TRANSPOSE(_xlfn.STOCKHISTORY(B157, WORKDAY(TODAY(), -265), TODAY(), 0, 0, 1))</f>
        <v>107.48</v>
      </c>
      <c r="E157" vm="9287">
        <f ca="1"/>
        <v>107.18</v>
      </c>
      <c r="F157" vm="695">
        <f ca="1"/>
        <v>106.31</v>
      </c>
      <c r="G157" vm="20872">
        <f ca="1"/>
        <v>105.78</v>
      </c>
      <c r="H157" vm="20873">
        <f ca="1"/>
        <v>106.2</v>
      </c>
      <c r="I157" vm="8318">
        <f ca="1"/>
        <v>106.11</v>
      </c>
      <c r="J157" vm="10997">
        <f ca="1"/>
        <v>106.15</v>
      </c>
      <c r="K157" vm="10997">
        <f ca="1"/>
        <v>106.15</v>
      </c>
      <c r="L157" vm="8267">
        <f ca="1"/>
        <v>106.16</v>
      </c>
      <c r="M157" vm="8005">
        <f ca="1"/>
        <v>106.58</v>
      </c>
      <c r="N157" vm="20874">
        <f ca="1"/>
        <v>106.55</v>
      </c>
      <c r="O157" vm="686">
        <f ca="1"/>
        <v>106.68</v>
      </c>
      <c r="P157" vm="8005">
        <f ca="1"/>
        <v>106.58</v>
      </c>
      <c r="Q157" vm="20875">
        <f ca="1"/>
        <v>106.64</v>
      </c>
      <c r="R157" vm="5615">
        <f ca="1"/>
        <v>106.43</v>
      </c>
      <c r="S157" vm="20876">
        <f ca="1"/>
        <v>106.1</v>
      </c>
      <c r="T157" vm="20877">
        <f ca="1"/>
        <v>105.65</v>
      </c>
      <c r="U157" vm="9339">
        <f ca="1"/>
        <v>105.47</v>
      </c>
      <c r="V157" vm="14654">
        <f ca="1"/>
        <v>105.35</v>
      </c>
      <c r="W157" vm="20878">
        <f ca="1"/>
        <v>105.93</v>
      </c>
      <c r="X157" vm="5623">
        <f ca="1"/>
        <v>105.99</v>
      </c>
      <c r="Y157" vm="1503">
        <f ca="1"/>
        <v>106.23</v>
      </c>
      <c r="Z157" vm="7977">
        <f ca="1"/>
        <v>106.37</v>
      </c>
      <c r="AA157" vm="695">
        <f ca="1"/>
        <v>106.31</v>
      </c>
      <c r="AB157" vm="19942">
        <f ca="1"/>
        <v>106.02</v>
      </c>
      <c r="AC157" vm="20879">
        <f ca="1"/>
        <v>106.29</v>
      </c>
      <c r="AD157" vm="11993">
        <f ca="1"/>
        <v>106.83</v>
      </c>
      <c r="AE157" vm="686">
        <f ca="1"/>
        <v>106.68</v>
      </c>
      <c r="AF157" vm="8270">
        <f ca="1"/>
        <v>106.53</v>
      </c>
      <c r="AG157" vm="144">
        <f ca="1"/>
        <v>106.71</v>
      </c>
      <c r="AH157" vm="20880">
        <f ca="1"/>
        <v>106.54</v>
      </c>
      <c r="AI157" vm="5615">
        <f ca="1"/>
        <v>106.43</v>
      </c>
      <c r="AJ157" vm="8008">
        <f ca="1"/>
        <v>106.69</v>
      </c>
      <c r="AK157" vm="5621">
        <f ca="1"/>
        <v>107.06</v>
      </c>
      <c r="AL157" vm="8261">
        <f ca="1"/>
        <v>106.94</v>
      </c>
      <c r="AM157" vm="144">
        <f ca="1"/>
        <v>106.71</v>
      </c>
      <c r="AN157" vm="9285">
        <f ca="1"/>
        <v>106.72</v>
      </c>
      <c r="AO157" vm="19954">
        <f ca="1"/>
        <v>106.59</v>
      </c>
      <c r="AP157" vm="7970">
        <f ca="1"/>
        <v>106.13</v>
      </c>
      <c r="AQ157" vm="20880">
        <f ca="1"/>
        <v>106.54</v>
      </c>
      <c r="AR157" vm="2989">
        <f ca="1"/>
        <v>106.7</v>
      </c>
      <c r="AS157" vm="9306">
        <f ca="1"/>
        <v>106.5</v>
      </c>
      <c r="AT157" vm="144">
        <f ca="1"/>
        <v>106.71</v>
      </c>
      <c r="AU157" vm="3281">
        <f ca="1"/>
        <v>106.84</v>
      </c>
      <c r="AV157" vm="20881">
        <f ca="1"/>
        <v>107.08</v>
      </c>
      <c r="AW157" vm="9274">
        <f ca="1"/>
        <v>107.1</v>
      </c>
      <c r="AX157" vm="8007">
        <f ca="1"/>
        <v>107.46</v>
      </c>
      <c r="AY157" vm="1519">
        <f ca="1"/>
        <v>107.6</v>
      </c>
      <c r="AZ157" vm="1076">
        <f ca="1"/>
        <v>107.41</v>
      </c>
      <c r="BA157" vm="5616">
        <f ca="1"/>
        <v>107.68</v>
      </c>
      <c r="BB157" vm="20347">
        <f ca="1"/>
        <v>107.31</v>
      </c>
      <c r="BC157" vm="3282">
        <f ca="1"/>
        <v>106.96</v>
      </c>
      <c r="BD157" vm="3275">
        <f ca="1"/>
        <v>106.81</v>
      </c>
      <c r="BE157" vm="10830">
        <f ca="1"/>
        <v>106.46</v>
      </c>
      <c r="BF157" vm="20882">
        <f ca="1"/>
        <v>106.41</v>
      </c>
      <c r="BG157" vm="10892">
        <f ca="1"/>
        <v>106.51</v>
      </c>
      <c r="BH157" vm="5624">
        <f ca="1"/>
        <v>106.19</v>
      </c>
      <c r="BI157" vm="1077">
        <f ca="1"/>
        <v>105.74</v>
      </c>
      <c r="BJ157" vm="20883">
        <f ca="1"/>
        <v>105.81</v>
      </c>
      <c r="BK157" vm="20884">
        <f ca="1"/>
        <v>105.86</v>
      </c>
      <c r="BL157" vm="20884">
        <f ca="1"/>
        <v>105.86</v>
      </c>
      <c r="BM157" vm="8315">
        <f ca="1"/>
        <v>105.95</v>
      </c>
      <c r="BN157" vm="8315">
        <f ca="1"/>
        <v>105.95</v>
      </c>
      <c r="BO157" vm="20885">
        <f ca="1"/>
        <v>106.03</v>
      </c>
      <c r="BP157" vm="20886">
        <f ca="1"/>
        <v>105.83</v>
      </c>
      <c r="BQ157" vm="20887">
        <f ca="1"/>
        <v>105.54</v>
      </c>
      <c r="BR157" vm="14654">
        <f ca="1"/>
        <v>105.35</v>
      </c>
      <c r="BS157" vm="19924">
        <f ca="1"/>
        <v>104.84</v>
      </c>
      <c r="BT157" vm="11964">
        <f ca="1"/>
        <v>104.71</v>
      </c>
      <c r="BU157" vm="8312">
        <f ca="1"/>
        <v>105.19</v>
      </c>
      <c r="BV157" vm="11989">
        <f ca="1"/>
        <v>105.44</v>
      </c>
      <c r="BW157" vm="19930">
        <f ca="1"/>
        <v>105.51</v>
      </c>
      <c r="BX157" vm="20830">
        <f ca="1"/>
        <v>105.28</v>
      </c>
      <c r="BY157" vm="20888">
        <f ca="1"/>
        <v>105.8</v>
      </c>
      <c r="BZ157" vm="1077">
        <f ca="1"/>
        <v>105.74</v>
      </c>
      <c r="CA157" vm="10860">
        <f ca="1"/>
        <v>103.82</v>
      </c>
      <c r="CB157" vm="10897">
        <f ca="1"/>
        <v>102.37</v>
      </c>
      <c r="CC157" vm="8305">
        <f ca="1"/>
        <v>103.32</v>
      </c>
      <c r="CD157" vm="5544">
        <f ca="1"/>
        <v>102.96</v>
      </c>
      <c r="CE157" vm="20889">
        <f ca="1"/>
        <v>102.31</v>
      </c>
      <c r="CF157" vm="11949">
        <f ca="1"/>
        <v>103.21</v>
      </c>
      <c r="CG157" vm="3235">
        <f ca="1"/>
        <v>103.42</v>
      </c>
      <c r="CH157" vm="20803">
        <f ca="1"/>
        <v>103.66</v>
      </c>
      <c r="CI157" vm="13036">
        <f ca="1"/>
        <v>103.6</v>
      </c>
      <c r="CJ157" vm="682">
        <f ca="1"/>
        <v>102.97</v>
      </c>
      <c r="CK157" vm="8308">
        <f ca="1"/>
        <v>103.13</v>
      </c>
      <c r="CL157" vm="11947">
        <f ca="1"/>
        <v>103.49</v>
      </c>
      <c r="CM157" vm="677">
        <f ca="1"/>
        <v>103.89</v>
      </c>
      <c r="CN157" vm="10944">
        <f ca="1"/>
        <v>104.02</v>
      </c>
      <c r="CO157" vm="20890">
        <f ca="1"/>
        <v>104.25</v>
      </c>
      <c r="CP157" vm="19932">
        <f ca="1"/>
        <v>104.38</v>
      </c>
      <c r="CQ157" vm="7958">
        <f ca="1"/>
        <v>104.73</v>
      </c>
      <c r="CR157" vm="12328">
        <f ca="1"/>
        <v>104.39</v>
      </c>
      <c r="CS157" vm="20890">
        <f ca="1"/>
        <v>104.25</v>
      </c>
      <c r="CT157" vm="4634">
        <f ca="1"/>
        <v>104</v>
      </c>
      <c r="CU157" vm="7960">
        <f ca="1"/>
        <v>104.4</v>
      </c>
      <c r="CV157" vm="10993">
        <f ca="1"/>
        <v>104.53</v>
      </c>
      <c r="CW157" vm="3237">
        <f ca="1"/>
        <v>104.19</v>
      </c>
      <c r="CX157" vm="20891">
        <f ca="1"/>
        <v>104.28</v>
      </c>
      <c r="CY157" vm="20892">
        <f ca="1"/>
        <v>104.21</v>
      </c>
      <c r="CZ157" vm="285">
        <f ca="1"/>
        <v>104.43</v>
      </c>
      <c r="DA157" vm="10944">
        <f ca="1"/>
        <v>104.02</v>
      </c>
      <c r="DB157" vm="8051">
        <f ca="1"/>
        <v>104.41</v>
      </c>
      <c r="DC157" vm="20893">
        <f ca="1"/>
        <v>104.51</v>
      </c>
      <c r="DD157" vm="284">
        <f ca="1"/>
        <v>104.44</v>
      </c>
      <c r="DE157" vm="19925">
        <f ca="1"/>
        <v>104.18</v>
      </c>
      <c r="DF157" vm="13037">
        <f ca="1"/>
        <v>103.68</v>
      </c>
      <c r="DG157" vm="4635">
        <f ca="1"/>
        <v>103.7</v>
      </c>
      <c r="DH157" vm="10863">
        <f ca="1"/>
        <v>103.75</v>
      </c>
      <c r="DI157" vm="684">
        <f ca="1"/>
        <v>104.07</v>
      </c>
      <c r="DJ157" vm="677">
        <f ca="1"/>
        <v>103.89</v>
      </c>
      <c r="DK157" vm="4631">
        <f ca="1"/>
        <v>103.99</v>
      </c>
      <c r="DL157" vm="7920">
        <f ca="1"/>
        <v>103.85</v>
      </c>
      <c r="DM157" vm="20894">
        <f ca="1"/>
        <v>103.28</v>
      </c>
      <c r="DN157" vm="20341">
        <f ca="1"/>
        <v>103.3</v>
      </c>
      <c r="DO157" vm="282">
        <f ca="1"/>
        <v>103.55</v>
      </c>
      <c r="DP157" vm="4630">
        <f ca="1"/>
        <v>103.54</v>
      </c>
      <c r="DQ157" vm="5546">
        <f ca="1"/>
        <v>103.2</v>
      </c>
      <c r="DR157" vm="5613">
        <f ca="1"/>
        <v>103.47</v>
      </c>
      <c r="DS157" vm="20895">
        <f ca="1"/>
        <v>103.44</v>
      </c>
      <c r="DT157" vm="1051">
        <f ca="1"/>
        <v>103.64</v>
      </c>
      <c r="DU157" vm="7907">
        <f ca="1"/>
        <v>104.1</v>
      </c>
      <c r="DV157" vm="10858">
        <f ca="1"/>
        <v>103.88</v>
      </c>
      <c r="DW157" vm="20896">
        <f ca="1"/>
        <v>103.96</v>
      </c>
      <c r="DX157" vm="684">
        <f ca="1"/>
        <v>104.07</v>
      </c>
      <c r="DY157" vm="10861">
        <f ca="1"/>
        <v>103.97</v>
      </c>
      <c r="DZ157" vm="20896">
        <f ca="1"/>
        <v>103.96</v>
      </c>
      <c r="EA157" vm="281">
        <f ca="1"/>
        <v>104.08</v>
      </c>
      <c r="EB157" vm="20892">
        <f ca="1"/>
        <v>104.21</v>
      </c>
      <c r="EC157" vm="3237">
        <f ca="1"/>
        <v>104.19</v>
      </c>
      <c r="ED157" vm="8253">
        <f ca="1"/>
        <v>104.35</v>
      </c>
      <c r="EE157" vm="11953">
        <f ca="1"/>
        <v>104.32</v>
      </c>
      <c r="EF157" vm="5609">
        <f ca="1"/>
        <v>104.48</v>
      </c>
      <c r="EG157" vm="7919">
        <f ca="1"/>
        <v>104.29</v>
      </c>
      <c r="EH157" vm="11959">
        <f ca="1"/>
        <v>104.36</v>
      </c>
      <c r="EI157" vm="20897">
        <f ca="1"/>
        <v>104.27</v>
      </c>
      <c r="EJ157" vm="7919">
        <f ca="1"/>
        <v>104.29</v>
      </c>
      <c r="EK157" vm="9276">
        <f ca="1"/>
        <v>104.13</v>
      </c>
      <c r="EL157" vm="20898">
        <f ca="1"/>
        <v>104.26</v>
      </c>
      <c r="EM157" vm="20898">
        <f ca="1"/>
        <v>104.26</v>
      </c>
      <c r="EN157" vm="20800">
        <f ca="1"/>
        <v>103.95</v>
      </c>
      <c r="EO157" vm="20804">
        <f ca="1"/>
        <v>103.83</v>
      </c>
      <c r="EP157" vm="7966">
        <f ca="1"/>
        <v>103.65</v>
      </c>
      <c r="EQ157" vm="5607">
        <f ca="1"/>
        <v>103.41</v>
      </c>
      <c r="ER157" vm="10879">
        <f ca="1"/>
        <v>103.26</v>
      </c>
      <c r="ES157" vm="286">
        <f ca="1"/>
        <v>103.24</v>
      </c>
      <c r="ET157" vm="282">
        <f ca="1"/>
        <v>103.55</v>
      </c>
      <c r="EU157" vm="7905">
        <f ca="1"/>
        <v>103.62</v>
      </c>
      <c r="EV157" vm="4630">
        <f ca="1"/>
        <v>103.54</v>
      </c>
      <c r="EW157" vm="11947">
        <f ca="1"/>
        <v>103.49</v>
      </c>
      <c r="EX157" vm="7905">
        <f ca="1"/>
        <v>103.62</v>
      </c>
      <c r="EY157" vm="5610">
        <f ca="1"/>
        <v>103.63</v>
      </c>
      <c r="EZ157" vm="3236">
        <f ca="1"/>
        <v>103.86</v>
      </c>
      <c r="FA157" vm="5610">
        <f ca="1"/>
        <v>103.63</v>
      </c>
      <c r="FB157" vm="7908">
        <f ca="1"/>
        <v>103.87</v>
      </c>
      <c r="FC157" vm="7918">
        <f ca="1"/>
        <v>104.11</v>
      </c>
      <c r="FD157" vm="683">
        <f ca="1"/>
        <v>104.09</v>
      </c>
      <c r="FE157" vm="19925">
        <f ca="1"/>
        <v>104.18</v>
      </c>
      <c r="FF157" vm="11961">
        <f ca="1"/>
        <v>104.03</v>
      </c>
      <c r="FG157" vm="281">
        <f ca="1"/>
        <v>104.08</v>
      </c>
      <c r="FH157" vm="10944">
        <f ca="1"/>
        <v>104.02</v>
      </c>
      <c r="FI157" vm="20899">
        <f ca="1"/>
        <v>104.15</v>
      </c>
      <c r="FJ157" vm="20899">
        <f ca="1"/>
        <v>104.15</v>
      </c>
      <c r="FK157" vm="20900">
        <f ca="1"/>
        <v>104.22</v>
      </c>
      <c r="FL157" vm="20808">
        <f ca="1"/>
        <v>104.05</v>
      </c>
      <c r="FM157" vm="20901">
        <f ca="1"/>
        <v>104.06</v>
      </c>
      <c r="FN157" vm="11956">
        <f ca="1"/>
        <v>104.04</v>
      </c>
      <c r="FO157" vm="7907">
        <f ca="1"/>
        <v>104.1</v>
      </c>
      <c r="FP157" vm="20808">
        <f ca="1"/>
        <v>104.05</v>
      </c>
      <c r="FQ157" vm="1050">
        <f ca="1"/>
        <v>103.91</v>
      </c>
      <c r="FR157" vm="20902">
        <f ca="1"/>
        <v>104.23</v>
      </c>
      <c r="FS157" vm="20890">
        <f ca="1"/>
        <v>104.25</v>
      </c>
      <c r="FT157" vm="9336">
        <f ca="1"/>
        <v>104.33</v>
      </c>
      <c r="FU157" vm="284">
        <f ca="1"/>
        <v>104.44</v>
      </c>
      <c r="FV157" vm="20903">
        <f ca="1"/>
        <v>104.54</v>
      </c>
      <c r="FW157" vm="3238">
        <f ca="1"/>
        <v>104.46</v>
      </c>
      <c r="FX157" vm="10861">
        <f ca="1"/>
        <v>103.97</v>
      </c>
      <c r="FY157" vm="20902">
        <f ca="1"/>
        <v>104.23</v>
      </c>
      <c r="FZ157" vm="8250">
        <f ca="1"/>
        <v>104.55</v>
      </c>
      <c r="GA157" vm="20904">
        <f ca="1"/>
        <v>105.25</v>
      </c>
      <c r="GB157" vm="20886">
        <f ca="1"/>
        <v>105.83</v>
      </c>
      <c r="GC157" vm="20905">
        <f ca="1"/>
        <v>105.67</v>
      </c>
      <c r="GD157" vm="7975">
        <f ca="1"/>
        <v>106.09</v>
      </c>
      <c r="GE157" vm="11988">
        <f ca="1"/>
        <v>106.48</v>
      </c>
      <c r="GF157" vm="5615">
        <f ca="1"/>
        <v>106.43</v>
      </c>
      <c r="GG157" vm="20906">
        <f ca="1"/>
        <v>106.63</v>
      </c>
      <c r="GH157" vm="686">
        <f ca="1"/>
        <v>106.68</v>
      </c>
      <c r="GI157" vm="1082">
        <f ca="1"/>
        <v>106.66</v>
      </c>
      <c r="GJ157" vm="8005">
        <f ca="1"/>
        <v>106.58</v>
      </c>
      <c r="GK157" vm="20907">
        <f ca="1"/>
        <v>106.47</v>
      </c>
      <c r="GL157" vm="11988">
        <f ca="1"/>
        <v>106.48</v>
      </c>
      <c r="GM157" vm="5615">
        <f ca="1"/>
        <v>106.43</v>
      </c>
      <c r="GN157" vm="20908">
        <f ca="1"/>
        <v>106.35</v>
      </c>
      <c r="GO157" vm="12326">
        <f ca="1"/>
        <v>106.25</v>
      </c>
      <c r="GP157" vm="20909">
        <f ca="1"/>
        <v>106.26</v>
      </c>
      <c r="GQ157" vm="20910">
        <f ca="1"/>
        <v>106.42</v>
      </c>
      <c r="GR157" vm="20911">
        <f ca="1"/>
        <v>106.49</v>
      </c>
      <c r="GS157" vm="20912">
        <f ca="1"/>
        <v>106.39</v>
      </c>
      <c r="GT157" vm="2988">
        <f ca="1"/>
        <v>106.36</v>
      </c>
      <c r="GU157" vm="9314">
        <f ca="1"/>
        <v>106.38</v>
      </c>
      <c r="GV157" vm="10830">
        <f ca="1"/>
        <v>106.46</v>
      </c>
      <c r="GW157" vm="20880">
        <f ca="1"/>
        <v>106.54</v>
      </c>
      <c r="GX157" vm="8009">
        <f ca="1"/>
        <v>106.57</v>
      </c>
      <c r="GY157" vm="20913">
        <f ca="1"/>
        <v>106.56</v>
      </c>
      <c r="GZ157" vm="3278">
        <f ca="1"/>
        <v>106.85</v>
      </c>
      <c r="HA157" vm="8314">
        <f ca="1"/>
        <v>107.01</v>
      </c>
      <c r="HB157" vm="8247">
        <f ca="1"/>
        <v>106.95</v>
      </c>
      <c r="HC157" vm="9274">
        <f ca="1"/>
        <v>107.1</v>
      </c>
      <c r="HD157" vm="2996">
        <f ca="1"/>
        <v>107.42</v>
      </c>
      <c r="HE157" vm="2996">
        <f ca="1"/>
        <v>107.42</v>
      </c>
      <c r="HF157" vm="20914">
        <f ca="1"/>
        <v>107.51</v>
      </c>
      <c r="HG157" vm="20915">
        <f ca="1"/>
        <v>107.58</v>
      </c>
      <c r="HH157" vm="1519">
        <f ca="1"/>
        <v>107.6</v>
      </c>
      <c r="HI157" vm="20916">
        <f ca="1"/>
        <v>107.53</v>
      </c>
      <c r="HJ157" vm="1519">
        <f ca="1"/>
        <v>107.6</v>
      </c>
      <c r="HK157" vm="5625">
        <f ca="1"/>
        <v>107.61</v>
      </c>
      <c r="HL157" vm="9271">
        <f ca="1"/>
        <v>107.55</v>
      </c>
      <c r="HM157" vm="80">
        <f ca="1"/>
        <v>107.4</v>
      </c>
      <c r="HN157" vm="19974">
        <f ca="1"/>
        <v>107.36</v>
      </c>
      <c r="HO157" vm="7987">
        <f ca="1"/>
        <v>107.48</v>
      </c>
      <c r="HP157" vm="5621">
        <f ca="1"/>
        <v>107.06</v>
      </c>
      <c r="HQ157" vm="20917">
        <f ca="1"/>
        <v>107.23</v>
      </c>
      <c r="HR157" vm="2990">
        <f ca="1"/>
        <v>106.99</v>
      </c>
      <c r="HS157" vm="20917">
        <f ca="1"/>
        <v>107.23</v>
      </c>
      <c r="HT157" vm="19951">
        <f ca="1"/>
        <v>107.22</v>
      </c>
      <c r="HU157" vm="5636">
        <f ca="1"/>
        <v>107.27</v>
      </c>
      <c r="HV157" vm="19957">
        <f ca="1"/>
        <v>107.54</v>
      </c>
      <c r="HW157" vm="20918">
        <f ca="1"/>
        <v>107.37</v>
      </c>
      <c r="HX157" vm="20919">
        <f ca="1"/>
        <v>107.19</v>
      </c>
      <c r="HY157" vm="3280">
        <f ca="1"/>
        <v>106.97</v>
      </c>
      <c r="HZ157" vm="2991">
        <f ca="1"/>
        <v>107.09</v>
      </c>
      <c r="IA157" vm="19946">
        <f ca="1"/>
        <v>107.21</v>
      </c>
      <c r="IB157" vm="3269">
        <f ca="1"/>
        <v>107.05</v>
      </c>
      <c r="IC157" vm="3270">
        <f ca="1"/>
        <v>107.12</v>
      </c>
      <c r="ID157" vm="3271">
        <f ca="1"/>
        <v>107.16</v>
      </c>
      <c r="IE157" vm="3272">
        <f ca="1"/>
        <v>107.2</v>
      </c>
      <c r="IF157" vm="2993">
        <f ca="1"/>
        <v>107.25</v>
      </c>
      <c r="IG157" vm="80">
        <f ca="1"/>
        <v>107.4</v>
      </c>
      <c r="IH157" vm="3273">
        <f ca="1"/>
        <v>107.43</v>
      </c>
      <c r="II157" vm="3274">
        <f ca="1"/>
        <v>106.87</v>
      </c>
      <c r="IJ157" vm="3275">
        <f ca="1"/>
        <v>106.81</v>
      </c>
      <c r="IK157" vm="3274">
        <f ca="1"/>
        <v>106.87</v>
      </c>
      <c r="IL157" vm="3276">
        <f ca="1"/>
        <v>106.86</v>
      </c>
      <c r="IM157" vm="3277">
        <f ca="1"/>
        <v>106.91</v>
      </c>
      <c r="IN157" vm="3278">
        <f ca="1"/>
        <v>106.85</v>
      </c>
      <c r="IO157" vm="3279">
        <f ca="1"/>
        <v>106.79</v>
      </c>
      <c r="IP157" vm="3280">
        <f ca="1"/>
        <v>106.97</v>
      </c>
      <c r="IQ157" vm="3280">
        <f ca="1"/>
        <v>106.97</v>
      </c>
      <c r="IR157" vm="3278">
        <f ca="1"/>
        <v>106.85</v>
      </c>
      <c r="IS157" vm="3281">
        <f ca="1"/>
        <v>106.84</v>
      </c>
      <c r="IT157" vm="2990">
        <f ca="1"/>
        <v>106.99</v>
      </c>
      <c r="IU157" vm="3282">
        <f ca="1"/>
        <v>106.96</v>
      </c>
      <c r="IV157" vm="3283">
        <f ca="1"/>
        <v>107.02</v>
      </c>
      <c r="IW157" vm="144">
        <f ca="1"/>
        <v>106.71</v>
      </c>
    </row>
    <row r="158" spans="1:257" ht="16" x14ac:dyDescent="0.2">
      <c r="A158" t="e" vm="3284">
        <v>#VALUE!</v>
      </c>
      <c r="B158" s="23" t="str" cm="1">
        <f t="array" aca="1" ref="B158" ca="1">_FV(A158,"ticker symbol",TRUE)</f>
        <v>GOVT</v>
      </c>
      <c r="C158" s="23" t="str" cm="1">
        <f t="array" aca="1" ref="C158" ca="1">_FV(A158,"Name")</f>
        <v>iShares:US Treasury Bond</v>
      </c>
      <c r="D158" cm="1" vm="20920">
        <f t="array" aca="1" ref="D158:IW158" ca="1">TRANSPOSE(_xlfn.STOCKHISTORY(B158, WORKDAY(TODAY(), -265), TODAY(), 0, 0, 1))</f>
        <v>22.675000000000001</v>
      </c>
      <c r="E158" vm="20921">
        <f ca="1"/>
        <v>22.684999999999999</v>
      </c>
      <c r="F158" vm="20922">
        <f ca="1"/>
        <v>22.484999999999999</v>
      </c>
      <c r="G158" vm="2290">
        <f ca="1"/>
        <v>22.43</v>
      </c>
      <c r="H158" vm="20923">
        <f ca="1"/>
        <v>22.465</v>
      </c>
      <c r="I158" vm="20924">
        <f ca="1"/>
        <v>22.405000000000001</v>
      </c>
      <c r="J158" vm="18277">
        <f ca="1"/>
        <v>22.42</v>
      </c>
      <c r="K158" vm="20925">
        <f ca="1"/>
        <v>22.434999999999999</v>
      </c>
      <c r="L158" vm="2299">
        <f ca="1"/>
        <v>22.39</v>
      </c>
      <c r="M158" vm="20926">
        <f ca="1"/>
        <v>22.475000000000001</v>
      </c>
      <c r="N158" vm="18336">
        <f ca="1"/>
        <v>22.98</v>
      </c>
      <c r="O158" vm="20923">
        <f ca="1"/>
        <v>22.465</v>
      </c>
      <c r="P158" vm="16360">
        <f ca="1"/>
        <v>22.44</v>
      </c>
      <c r="Q158" vm="2290">
        <f ca="1"/>
        <v>22.43</v>
      </c>
      <c r="R158" vm="13259">
        <f ca="1"/>
        <v>22.35</v>
      </c>
      <c r="S158" vm="20927">
        <f ca="1"/>
        <v>22.375</v>
      </c>
      <c r="T158" vm="18278">
        <f ca="1"/>
        <v>22.27</v>
      </c>
      <c r="U158" vm="20928">
        <f ca="1"/>
        <v>22.254999999999999</v>
      </c>
      <c r="V158" vm="18274">
        <f ca="1"/>
        <v>22.25</v>
      </c>
      <c r="W158" vm="13256">
        <f ca="1"/>
        <v>22.41</v>
      </c>
      <c r="X158" vm="20929">
        <f ca="1"/>
        <v>22.454999999999998</v>
      </c>
      <c r="Y158" vm="20929">
        <f ca="1"/>
        <v>22.454999999999998</v>
      </c>
      <c r="Z158" vm="20930">
        <f ca="1"/>
        <v>22.515000000000001</v>
      </c>
      <c r="AA158" vm="2437">
        <f ca="1"/>
        <v>22.48</v>
      </c>
      <c r="AB158" vm="2290">
        <f ca="1"/>
        <v>22.43</v>
      </c>
      <c r="AC158" vm="2437">
        <f ca="1"/>
        <v>22.48</v>
      </c>
      <c r="AD158" vm="18361">
        <f ca="1"/>
        <v>22.59</v>
      </c>
      <c r="AE158" vm="20931">
        <f ca="1"/>
        <v>22.585000000000001</v>
      </c>
      <c r="AF158" vm="18307">
        <f ca="1"/>
        <v>22.56</v>
      </c>
      <c r="AG158" vm="18349">
        <f ca="1"/>
        <v>22.6</v>
      </c>
      <c r="AH158" vm="2470">
        <f ca="1"/>
        <v>22.58</v>
      </c>
      <c r="AI158" vm="2458">
        <f ca="1"/>
        <v>22.53</v>
      </c>
      <c r="AJ158" vm="20932">
        <f ca="1"/>
        <v>22.565000000000001</v>
      </c>
      <c r="AK158" vm="18355">
        <f ca="1"/>
        <v>22.67</v>
      </c>
      <c r="AL158" vm="17822">
        <f ca="1"/>
        <v>22.66</v>
      </c>
      <c r="AM158" vm="18361">
        <f ca="1"/>
        <v>22.59</v>
      </c>
      <c r="AN158" vm="20931">
        <f ca="1"/>
        <v>22.585000000000001</v>
      </c>
      <c r="AO158" vm="13264">
        <f ca="1"/>
        <v>22.55</v>
      </c>
      <c r="AP158" vm="2290">
        <f ca="1"/>
        <v>22.43</v>
      </c>
      <c r="AQ158" vm="20933">
        <f ca="1"/>
        <v>22.555</v>
      </c>
      <c r="AR158" vm="20934">
        <f ca="1"/>
        <v>22.625</v>
      </c>
      <c r="AS158" vm="20935">
        <f ca="1"/>
        <v>22.535</v>
      </c>
      <c r="AT158" vm="20932">
        <f ca="1"/>
        <v>22.565000000000001</v>
      </c>
      <c r="AU158" vm="20936">
        <f ca="1"/>
        <v>22.594999999999999</v>
      </c>
      <c r="AV158" vm="20937">
        <f ca="1"/>
        <v>22.695</v>
      </c>
      <c r="AW158" vm="20938">
        <f ca="1"/>
        <v>22.734999999999999</v>
      </c>
      <c r="AX158" vm="20939">
        <f ca="1"/>
        <v>22.864999999999998</v>
      </c>
      <c r="AY158" vm="2468">
        <f ca="1"/>
        <v>22.92</v>
      </c>
      <c r="AZ158" vm="20940">
        <f ca="1"/>
        <v>22.895</v>
      </c>
      <c r="BA158" vm="13245">
        <f ca="1"/>
        <v>23</v>
      </c>
      <c r="BB158" vm="20941">
        <f ca="1"/>
        <v>22.984999999999999</v>
      </c>
      <c r="BC158" vm="19800">
        <f ca="1"/>
        <v>22.93</v>
      </c>
      <c r="BD158" vm="17820">
        <f ca="1"/>
        <v>22.84</v>
      </c>
      <c r="BE158" vm="20942">
        <f ca="1"/>
        <v>22.835000000000001</v>
      </c>
      <c r="BF158" vm="20943">
        <f ca="1"/>
        <v>22.805</v>
      </c>
      <c r="BG158" vm="20944">
        <f ca="1"/>
        <v>22.925000000000001</v>
      </c>
      <c r="BH158" vm="20939">
        <f ca="1"/>
        <v>22.864999999999998</v>
      </c>
      <c r="BI158" vm="20943">
        <f ca="1"/>
        <v>22.805</v>
      </c>
      <c r="BJ158" vm="13340">
        <f ca="1"/>
        <v>22.88</v>
      </c>
      <c r="BK158" vm="2435">
        <f ca="1"/>
        <v>22.82</v>
      </c>
      <c r="BL158" vm="20942">
        <f ca="1"/>
        <v>22.835000000000001</v>
      </c>
      <c r="BM158" vm="20939">
        <f ca="1"/>
        <v>22.864999999999998</v>
      </c>
      <c r="BN158" vm="20945">
        <f ca="1"/>
        <v>22.914999999999999</v>
      </c>
      <c r="BO158" vm="20946">
        <f ca="1"/>
        <v>22.934999999999999</v>
      </c>
      <c r="BP158" vm="2468">
        <f ca="1"/>
        <v>22.92</v>
      </c>
      <c r="BQ158" vm="2435">
        <f ca="1"/>
        <v>22.82</v>
      </c>
      <c r="BR158" vm="17820">
        <f ca="1"/>
        <v>22.84</v>
      </c>
      <c r="BS158" vm="20947">
        <f ca="1"/>
        <v>22.795000000000002</v>
      </c>
      <c r="BT158" vm="13241">
        <f ca="1"/>
        <v>22.79</v>
      </c>
      <c r="BU158" vm="19800">
        <f ca="1"/>
        <v>22.93</v>
      </c>
      <c r="BV158" vm="20941">
        <f ca="1"/>
        <v>22.984999999999999</v>
      </c>
      <c r="BW158" vm="13253">
        <f ca="1"/>
        <v>22.97</v>
      </c>
      <c r="BX158" vm="3121">
        <f ca="1"/>
        <v>22.95</v>
      </c>
      <c r="BY158" vm="2461">
        <f ca="1"/>
        <v>23.12</v>
      </c>
      <c r="BZ158" vm="13246">
        <f ca="1"/>
        <v>23.17</v>
      </c>
      <c r="CA158" vm="3121">
        <f ca="1"/>
        <v>22.95</v>
      </c>
      <c r="CB158" vm="56">
        <f ca="1"/>
        <v>22.85</v>
      </c>
      <c r="CC158" vm="2435">
        <f ca="1"/>
        <v>22.82</v>
      </c>
      <c r="CD158" vm="2471">
        <f ca="1"/>
        <v>22.69</v>
      </c>
      <c r="CE158" vm="35">
        <f ca="1"/>
        <v>22.64</v>
      </c>
      <c r="CF158" vm="13351">
        <f ca="1"/>
        <v>22.75</v>
      </c>
      <c r="CG158" vm="13241">
        <f ca="1"/>
        <v>22.79</v>
      </c>
      <c r="CH158" vm="20948">
        <f ca="1"/>
        <v>22.86</v>
      </c>
      <c r="CI158" vm="2469">
        <f ca="1"/>
        <v>22.81</v>
      </c>
      <c r="CJ158" vm="20949">
        <f ca="1"/>
        <v>22.715</v>
      </c>
      <c r="CK158" vm="13260">
        <f ca="1"/>
        <v>22.74</v>
      </c>
      <c r="CL158" vm="17279">
        <f ca="1"/>
        <v>22.77</v>
      </c>
      <c r="CM158" vm="20948">
        <f ca="1"/>
        <v>22.86</v>
      </c>
      <c r="CN158" vm="2468">
        <f ca="1"/>
        <v>22.92</v>
      </c>
      <c r="CO158" vm="2466">
        <f ca="1"/>
        <v>22.99</v>
      </c>
      <c r="CP158" vm="2460">
        <f ca="1"/>
        <v>23.06</v>
      </c>
      <c r="CQ158" vm="17817">
        <f ca="1"/>
        <v>23.08</v>
      </c>
      <c r="CR158" vm="13261">
        <f ca="1"/>
        <v>22.91</v>
      </c>
      <c r="CS158" vm="2469">
        <f ca="1"/>
        <v>22.81</v>
      </c>
      <c r="CT158" vm="17279">
        <f ca="1"/>
        <v>22.77</v>
      </c>
      <c r="CU158" vm="2469">
        <f ca="1"/>
        <v>22.81</v>
      </c>
      <c r="CV158" vm="20950">
        <f ca="1"/>
        <v>22.844999999999999</v>
      </c>
      <c r="CW158" vm="13354">
        <f ca="1"/>
        <v>22.72</v>
      </c>
      <c r="CX158" vm="13260">
        <f ca="1"/>
        <v>22.74</v>
      </c>
      <c r="CY158" vm="13244">
        <f ca="1"/>
        <v>22.63</v>
      </c>
      <c r="CZ158" vm="20951">
        <f ca="1"/>
        <v>22.605</v>
      </c>
      <c r="DA158" vm="18360">
        <f ca="1"/>
        <v>22.54</v>
      </c>
      <c r="DB158" vm="20952">
        <f ca="1"/>
        <v>22.655000000000001</v>
      </c>
      <c r="DC158" vm="20953">
        <f ca="1"/>
        <v>22.664999999999999</v>
      </c>
      <c r="DD158" vm="20952">
        <f ca="1"/>
        <v>22.655000000000001</v>
      </c>
      <c r="DE158" vm="20934">
        <f ca="1"/>
        <v>22.625</v>
      </c>
      <c r="DF158" vm="3123">
        <f ca="1"/>
        <v>22.51</v>
      </c>
      <c r="DG158" vm="18307">
        <f ca="1"/>
        <v>22.56</v>
      </c>
      <c r="DH158" vm="18349">
        <f ca="1"/>
        <v>22.6</v>
      </c>
      <c r="DI158" vm="2457">
        <f ca="1"/>
        <v>22.68</v>
      </c>
      <c r="DJ158" vm="35">
        <f ca="1"/>
        <v>22.64</v>
      </c>
      <c r="DK158" vm="20949">
        <f ca="1"/>
        <v>22.715</v>
      </c>
      <c r="DL158" vm="2459">
        <f ca="1"/>
        <v>22.76</v>
      </c>
      <c r="DM158" vm="16357">
        <f ca="1"/>
        <v>22.62</v>
      </c>
      <c r="DN158" vm="18349">
        <f ca="1"/>
        <v>22.6</v>
      </c>
      <c r="DO158" vm="13260">
        <f ca="1"/>
        <v>22.74</v>
      </c>
      <c r="DP158" vm="16812">
        <f ca="1"/>
        <v>22.7</v>
      </c>
      <c r="DQ158" vm="2470">
        <f ca="1"/>
        <v>22.58</v>
      </c>
      <c r="DR158" vm="20951">
        <f ca="1"/>
        <v>22.605</v>
      </c>
      <c r="DS158" vm="13244">
        <f ca="1"/>
        <v>22.63</v>
      </c>
      <c r="DT158" vm="2471">
        <f ca="1"/>
        <v>22.69</v>
      </c>
      <c r="DU158" vm="17279">
        <f ca="1"/>
        <v>22.77</v>
      </c>
      <c r="DV158" vm="16812">
        <f ca="1"/>
        <v>22.7</v>
      </c>
      <c r="DW158" vm="17819">
        <f ca="1"/>
        <v>22.65</v>
      </c>
      <c r="DX158" vm="2433">
        <f ca="1"/>
        <v>22.73</v>
      </c>
      <c r="DY158" vm="13351">
        <f ca="1"/>
        <v>22.75</v>
      </c>
      <c r="DZ158" vm="20954">
        <f ca="1"/>
        <v>22.754999999999999</v>
      </c>
      <c r="EA158" vm="2469">
        <f ca="1"/>
        <v>22.81</v>
      </c>
      <c r="EB158" vm="2432">
        <f ca="1"/>
        <v>22.87</v>
      </c>
      <c r="EC158" vm="18362">
        <f ca="1"/>
        <v>22.89</v>
      </c>
      <c r="ED158" vm="20955">
        <f ca="1"/>
        <v>22.945</v>
      </c>
      <c r="EE158" vm="2456">
        <f ca="1"/>
        <v>22.9</v>
      </c>
      <c r="EF158" vm="18336">
        <f ca="1"/>
        <v>22.98</v>
      </c>
      <c r="EG158" vm="20956">
        <f ca="1"/>
        <v>22.885000000000002</v>
      </c>
      <c r="EH158" vm="17820">
        <f ca="1"/>
        <v>22.84</v>
      </c>
      <c r="EI158" vm="2434">
        <f ca="1"/>
        <v>22.78</v>
      </c>
      <c r="EJ158" vm="13354">
        <f ca="1"/>
        <v>22.72</v>
      </c>
      <c r="EK158" vm="20957">
        <f ca="1"/>
        <v>22.704999999999998</v>
      </c>
      <c r="EL158" vm="13254">
        <f ca="1"/>
        <v>22.8</v>
      </c>
      <c r="EM158" vm="20958">
        <f ca="1"/>
        <v>22.785</v>
      </c>
      <c r="EN158" vm="17821">
        <f ca="1"/>
        <v>22.71</v>
      </c>
      <c r="EO158" vm="20957">
        <f ca="1"/>
        <v>22.704999999999998</v>
      </c>
      <c r="EP158" vm="20959">
        <f ca="1"/>
        <v>22.635000000000002</v>
      </c>
      <c r="EQ158" vm="20920">
        <f ca="1"/>
        <v>22.675000000000001</v>
      </c>
      <c r="ER158" vm="17822">
        <f ca="1"/>
        <v>22.66</v>
      </c>
      <c r="ES158" vm="17821">
        <f ca="1"/>
        <v>22.71</v>
      </c>
      <c r="ET158" vm="17279">
        <f ca="1"/>
        <v>22.77</v>
      </c>
      <c r="EU158" vm="20960">
        <f ca="1"/>
        <v>22.815000000000001</v>
      </c>
      <c r="EV158" vm="20961">
        <f ca="1"/>
        <v>22.765000000000001</v>
      </c>
      <c r="EW158" vm="13260">
        <f ca="1"/>
        <v>22.74</v>
      </c>
      <c r="EX158" vm="20958">
        <f ca="1"/>
        <v>22.785</v>
      </c>
      <c r="EY158" vm="20962">
        <f ca="1"/>
        <v>22.745000000000001</v>
      </c>
      <c r="EZ158" vm="20948">
        <f ca="1"/>
        <v>22.86</v>
      </c>
      <c r="FA158" vm="2469">
        <f ca="1"/>
        <v>22.81</v>
      </c>
      <c r="FB158" vm="2435">
        <f ca="1"/>
        <v>22.82</v>
      </c>
      <c r="FC158" vm="20955">
        <f ca="1"/>
        <v>22.945</v>
      </c>
      <c r="FD158" vm="20963">
        <f ca="1"/>
        <v>22.965</v>
      </c>
      <c r="FE158" vm="20963">
        <f ca="1"/>
        <v>22.965</v>
      </c>
      <c r="FF158" vm="20955">
        <f ca="1"/>
        <v>22.945</v>
      </c>
      <c r="FG158" vm="19800">
        <f ca="1"/>
        <v>22.93</v>
      </c>
      <c r="FH158" vm="18362">
        <f ca="1"/>
        <v>22.89</v>
      </c>
      <c r="FI158" vm="2456">
        <f ca="1"/>
        <v>22.9</v>
      </c>
      <c r="FJ158" vm="13340">
        <f ca="1"/>
        <v>22.88</v>
      </c>
      <c r="FK158" vm="20964">
        <f ca="1"/>
        <v>22.954999999999998</v>
      </c>
      <c r="FL158" vm="20940">
        <f ca="1"/>
        <v>22.895</v>
      </c>
      <c r="FM158" vm="20965">
        <f ca="1"/>
        <v>22.855</v>
      </c>
      <c r="FN158" vm="20942">
        <f ca="1"/>
        <v>22.835000000000001</v>
      </c>
      <c r="FO158" vm="20956">
        <f ca="1"/>
        <v>22.885000000000002</v>
      </c>
      <c r="FP158" vm="20966">
        <f ca="1"/>
        <v>22.905000000000001</v>
      </c>
      <c r="FQ158" vm="20965">
        <f ca="1"/>
        <v>22.855</v>
      </c>
      <c r="FR158" vm="3121">
        <f ca="1"/>
        <v>22.95</v>
      </c>
      <c r="FS158" vm="20945">
        <f ca="1"/>
        <v>22.914999999999999</v>
      </c>
      <c r="FT158" vm="3121">
        <f ca="1"/>
        <v>22.95</v>
      </c>
      <c r="FU158" vm="20963">
        <f ca="1"/>
        <v>22.965</v>
      </c>
      <c r="FV158" vm="20967">
        <f ca="1"/>
        <v>23.004999999999999</v>
      </c>
      <c r="FW158" vm="20941">
        <f ca="1"/>
        <v>22.984999999999999</v>
      </c>
      <c r="FX158" vm="20939">
        <f ca="1"/>
        <v>22.864999999999998</v>
      </c>
      <c r="FY158" vm="20946">
        <f ca="1"/>
        <v>22.934999999999999</v>
      </c>
      <c r="FZ158" vm="2466">
        <f ca="1"/>
        <v>22.99</v>
      </c>
      <c r="GA158" vm="3289">
        <f ca="1"/>
        <v>23.105</v>
      </c>
      <c r="GB158" vm="20968">
        <f ca="1"/>
        <v>23.184999999999999</v>
      </c>
      <c r="GC158" vm="20969">
        <f ca="1"/>
        <v>23.135000000000002</v>
      </c>
      <c r="GD158" vm="20970">
        <f ca="1"/>
        <v>23.175000000000001</v>
      </c>
      <c r="GE158" vm="3286">
        <f ca="1"/>
        <v>23.204999999999998</v>
      </c>
      <c r="GF158" vm="20970">
        <f ca="1"/>
        <v>23.175000000000001</v>
      </c>
      <c r="GG158" vm="20971">
        <f ca="1"/>
        <v>23.195</v>
      </c>
      <c r="GH158" vm="16361">
        <f ca="1"/>
        <v>23.22</v>
      </c>
      <c r="GI158" vm="18335">
        <f ca="1"/>
        <v>23.18</v>
      </c>
      <c r="GJ158" vm="2467">
        <f ca="1"/>
        <v>23.11</v>
      </c>
      <c r="GK158" vm="20972">
        <f ca="1"/>
        <v>23.114999999999998</v>
      </c>
      <c r="GL158" vm="17817">
        <f ca="1"/>
        <v>23.08</v>
      </c>
      <c r="GM158" vm="20969">
        <f ca="1"/>
        <v>23.135000000000002</v>
      </c>
      <c r="GN158" vm="20973">
        <f ca="1"/>
        <v>23.094999999999999</v>
      </c>
      <c r="GO158" vm="2460">
        <f ca="1"/>
        <v>23.06</v>
      </c>
      <c r="GP158" vm="20974">
        <f ca="1"/>
        <v>23.065000000000001</v>
      </c>
      <c r="GQ158" vm="2461">
        <f ca="1"/>
        <v>23.12</v>
      </c>
      <c r="GR158" vm="2461">
        <f ca="1"/>
        <v>23.12</v>
      </c>
      <c r="GS158" vm="3291">
        <f ca="1"/>
        <v>23.1</v>
      </c>
      <c r="GT158" vm="2461">
        <f ca="1"/>
        <v>23.12</v>
      </c>
      <c r="GU158" vm="3296">
        <f ca="1"/>
        <v>23.09</v>
      </c>
      <c r="GV158" vm="2465">
        <f ca="1"/>
        <v>23.04</v>
      </c>
      <c r="GW158" vm="3297">
        <f ca="1"/>
        <v>23.085000000000001</v>
      </c>
      <c r="GX158" vm="3296">
        <f ca="1"/>
        <v>23.09</v>
      </c>
      <c r="GY158" vm="17817">
        <f ca="1"/>
        <v>23.08</v>
      </c>
      <c r="GZ158" vm="3286">
        <f ca="1"/>
        <v>23.204999999999998</v>
      </c>
      <c r="HA158" vm="20975">
        <f ca="1"/>
        <v>23.215</v>
      </c>
      <c r="HB158" vm="20976">
        <f ca="1"/>
        <v>23.254999999999999</v>
      </c>
      <c r="HC158" vm="3287">
        <f ca="1"/>
        <v>23.23</v>
      </c>
      <c r="HD158" vm="20977">
        <f ca="1"/>
        <v>23.315000000000001</v>
      </c>
      <c r="HE158" vm="2429">
        <f ca="1"/>
        <v>23.28</v>
      </c>
      <c r="HF158" vm="13238">
        <f ca="1"/>
        <v>23.31</v>
      </c>
      <c r="HG158" vm="20978">
        <f ca="1"/>
        <v>23.344999999999999</v>
      </c>
      <c r="HH158" vm="18337">
        <f ca="1"/>
        <v>23.36</v>
      </c>
      <c r="HI158" vm="19779">
        <f ca="1"/>
        <v>23.29</v>
      </c>
      <c r="HJ158" vm="20979">
        <f ca="1"/>
        <v>23.305</v>
      </c>
      <c r="HK158" vm="20977">
        <f ca="1"/>
        <v>23.315000000000001</v>
      </c>
      <c r="HL158" vm="2464">
        <f ca="1"/>
        <v>23.33</v>
      </c>
      <c r="HM158" vm="3287">
        <f ca="1"/>
        <v>23.23</v>
      </c>
      <c r="HN158" vm="20971">
        <f ca="1"/>
        <v>23.195</v>
      </c>
      <c r="HO158" vm="13355">
        <f ca="1"/>
        <v>23.2</v>
      </c>
      <c r="HP158" vm="20972">
        <f ca="1"/>
        <v>23.114999999999998</v>
      </c>
      <c r="HQ158" vm="20969">
        <f ca="1"/>
        <v>23.135000000000002</v>
      </c>
      <c r="HR158" vm="13357">
        <f ca="1"/>
        <v>23.05</v>
      </c>
      <c r="HS158" vm="20969">
        <f ca="1"/>
        <v>23.135000000000002</v>
      </c>
      <c r="HT158" vm="20980">
        <f ca="1"/>
        <v>23.145</v>
      </c>
      <c r="HU158" vm="2461">
        <f ca="1"/>
        <v>23.12</v>
      </c>
      <c r="HV158" vm="20970">
        <f ca="1"/>
        <v>23.175000000000001</v>
      </c>
      <c r="HW158" vm="20968">
        <f ca="1"/>
        <v>23.184999999999999</v>
      </c>
      <c r="HX158" vm="2461">
        <f ca="1"/>
        <v>23.12</v>
      </c>
      <c r="HY158" vm="3296">
        <f ca="1"/>
        <v>23.09</v>
      </c>
      <c r="HZ158" vm="2467">
        <f ca="1"/>
        <v>23.11</v>
      </c>
      <c r="IA158" vm="3298">
        <f ca="1"/>
        <v>23.125</v>
      </c>
      <c r="IB158" vm="2461">
        <f ca="1"/>
        <v>23.12</v>
      </c>
      <c r="IC158" vm="3285">
        <f ca="1"/>
        <v>23.164999999999999</v>
      </c>
      <c r="ID158" vm="3286">
        <f ca="1"/>
        <v>23.204999999999998</v>
      </c>
      <c r="IE158" vm="3287">
        <f ca="1"/>
        <v>23.23</v>
      </c>
      <c r="IF158" vm="2429">
        <f ca="1"/>
        <v>23.28</v>
      </c>
      <c r="IG158" vm="3288">
        <f ca="1"/>
        <v>23.295000000000002</v>
      </c>
      <c r="IH158" vm="3128">
        <f ca="1"/>
        <v>23.27</v>
      </c>
      <c r="II158" vm="3289">
        <f ca="1"/>
        <v>23.105</v>
      </c>
      <c r="IJ158" vm="2461">
        <f ca="1"/>
        <v>23.12</v>
      </c>
      <c r="IK158" vm="3290">
        <f ca="1"/>
        <v>23.15</v>
      </c>
      <c r="IL158" vm="3291">
        <f ca="1"/>
        <v>23.1</v>
      </c>
      <c r="IM158" vm="3292">
        <f ca="1"/>
        <v>23.07</v>
      </c>
      <c r="IN158" vm="2431">
        <f ca="1"/>
        <v>23.03</v>
      </c>
      <c r="IO158" vm="3293">
        <f ca="1"/>
        <v>23.01</v>
      </c>
      <c r="IP158" vm="3292">
        <f ca="1"/>
        <v>23.07</v>
      </c>
      <c r="IQ158" vm="3294">
        <f ca="1"/>
        <v>23.074999999999999</v>
      </c>
      <c r="IR158" vm="3295">
        <f ca="1"/>
        <v>23.015000000000001</v>
      </c>
      <c r="IS158" vm="2465">
        <f ca="1"/>
        <v>23.04</v>
      </c>
      <c r="IT158" vm="3296">
        <f ca="1"/>
        <v>23.09</v>
      </c>
      <c r="IU158" vm="3297">
        <f ca="1"/>
        <v>23.085000000000001</v>
      </c>
      <c r="IV158" vm="3298">
        <f ca="1"/>
        <v>23.125</v>
      </c>
      <c r="IW158" vm="146">
        <f ca="1"/>
        <v>23.02</v>
      </c>
    </row>
    <row r="159" spans="1:257" ht="16" x14ac:dyDescent="0.2">
      <c r="A159" t="e" vm="3299">
        <v>#VALUE!</v>
      </c>
      <c r="B159" s="23" t="str" cm="1">
        <f t="array" aca="1" ref="B159" ca="1">_FV(A159,"ticker symbol",TRUE)</f>
        <v>IGSB</v>
      </c>
      <c r="C159" s="23" t="str" cm="1">
        <f t="array" aca="1" ref="C159" ca="1">_FV(A159,"Name")</f>
        <v>iShares:1-5 IG Corp Bd</v>
      </c>
      <c r="D159" cm="1" vm="6324">
        <f t="array" aca="1" ref="D159:IW159" ca="1">TRANSPOSE(_xlfn.STOCKHISTORY(B159, WORKDAY(TODAY(), -265), TODAY(), 0, 0, 1))</f>
        <v>51.95</v>
      </c>
      <c r="E159" vm="11330">
        <f ca="1"/>
        <v>51.93</v>
      </c>
      <c r="F159" vm="11322">
        <f ca="1"/>
        <v>51.53</v>
      </c>
      <c r="G159" vm="6254">
        <f ca="1"/>
        <v>51.54</v>
      </c>
      <c r="H159" vm="10056">
        <f ca="1"/>
        <v>51.6</v>
      </c>
      <c r="I159" vm="467">
        <f ca="1"/>
        <v>51.56</v>
      </c>
      <c r="J159" vm="6297">
        <f ca="1"/>
        <v>51.62</v>
      </c>
      <c r="K159" vm="9261">
        <f ca="1"/>
        <v>51.64</v>
      </c>
      <c r="L159" vm="11001">
        <f ca="1"/>
        <v>51.61</v>
      </c>
      <c r="M159" vm="6256">
        <f ca="1"/>
        <v>51.7</v>
      </c>
      <c r="N159" vm="6256">
        <f ca="1"/>
        <v>51.7</v>
      </c>
      <c r="O159" vm="11842">
        <f ca="1"/>
        <v>51.72</v>
      </c>
      <c r="P159" vm="6256">
        <f ca="1"/>
        <v>51.7</v>
      </c>
      <c r="Q159" vm="11841">
        <f ca="1"/>
        <v>51.69</v>
      </c>
      <c r="R159" vm="6318">
        <f ca="1"/>
        <v>51.65</v>
      </c>
      <c r="S159" vm="11841">
        <f ca="1"/>
        <v>51.69</v>
      </c>
      <c r="T159" vm="6254">
        <f ca="1"/>
        <v>51.54</v>
      </c>
      <c r="U159" vm="841">
        <f ca="1"/>
        <v>51.52</v>
      </c>
      <c r="V159" vm="467">
        <f ca="1"/>
        <v>51.56</v>
      </c>
      <c r="W159" vm="2193">
        <f ca="1"/>
        <v>51.76</v>
      </c>
      <c r="X159" vm="6309">
        <f ca="1"/>
        <v>51.79</v>
      </c>
      <c r="Y159" vm="6309">
        <f ca="1"/>
        <v>51.79</v>
      </c>
      <c r="Z159" vm="14175">
        <f ca="1"/>
        <v>51.86</v>
      </c>
      <c r="AA159" vm="11334">
        <f ca="1"/>
        <v>51.81</v>
      </c>
      <c r="AB159" vm="6327">
        <f ca="1"/>
        <v>51.83</v>
      </c>
      <c r="AC159" vm="1626">
        <f ca="1"/>
        <v>51.88</v>
      </c>
      <c r="AD159" vm="11307">
        <f ca="1"/>
        <v>52</v>
      </c>
      <c r="AE159" vm="11307">
        <f ca="1"/>
        <v>52</v>
      </c>
      <c r="AF159" vm="19533">
        <f ca="1"/>
        <v>51.99</v>
      </c>
      <c r="AG159" vm="2919">
        <f ca="1"/>
        <v>52.02</v>
      </c>
      <c r="AH159" vm="2919">
        <f ca="1"/>
        <v>52.02</v>
      </c>
      <c r="AI159" vm="6309">
        <f ca="1"/>
        <v>51.79</v>
      </c>
      <c r="AJ159" vm="14175">
        <f ca="1"/>
        <v>51.86</v>
      </c>
      <c r="AK159" vm="11856">
        <f ca="1"/>
        <v>51.92</v>
      </c>
      <c r="AL159" vm="470">
        <f ca="1"/>
        <v>51.89</v>
      </c>
      <c r="AM159" vm="6253">
        <f ca="1"/>
        <v>51.82</v>
      </c>
      <c r="AN159" vm="14173">
        <f ca="1"/>
        <v>51.84</v>
      </c>
      <c r="AO159" vm="14173">
        <f ca="1"/>
        <v>51.84</v>
      </c>
      <c r="AP159" vm="2193">
        <f ca="1"/>
        <v>51.76</v>
      </c>
      <c r="AQ159" vm="1626">
        <f ca="1"/>
        <v>51.88</v>
      </c>
      <c r="AR159" vm="11326">
        <f ca="1"/>
        <v>51.96</v>
      </c>
      <c r="AS159" vm="11856">
        <f ca="1"/>
        <v>51.92</v>
      </c>
      <c r="AT159" vm="11326">
        <f ca="1"/>
        <v>51.96</v>
      </c>
      <c r="AU159" vm="11341">
        <f ca="1"/>
        <v>51.98</v>
      </c>
      <c r="AV159" vm="11858">
        <f ca="1"/>
        <v>52.06</v>
      </c>
      <c r="AW159" vm="6252">
        <f ca="1"/>
        <v>52.11</v>
      </c>
      <c r="AX159" vm="6315">
        <f ca="1"/>
        <v>52.21</v>
      </c>
      <c r="AY159" vm="11327">
        <f ca="1"/>
        <v>52.24</v>
      </c>
      <c r="AZ159" vm="11327">
        <f ca="1"/>
        <v>52.24</v>
      </c>
      <c r="BA159" vm="1627">
        <f ca="1"/>
        <v>52.35</v>
      </c>
      <c r="BB159" vm="2907">
        <f ca="1"/>
        <v>52.18</v>
      </c>
      <c r="BC159" vm="11005">
        <f ca="1"/>
        <v>52.2</v>
      </c>
      <c r="BD159" vm="2908">
        <f ca="1"/>
        <v>52.14</v>
      </c>
      <c r="BE159" vm="15727">
        <f ca="1"/>
        <v>52.13</v>
      </c>
      <c r="BF159" vm="6252">
        <f ca="1"/>
        <v>52.11</v>
      </c>
      <c r="BG159" vm="11005">
        <f ca="1"/>
        <v>52.2</v>
      </c>
      <c r="BH159" vm="3113">
        <f ca="1"/>
        <v>52.1</v>
      </c>
      <c r="BI159" vm="2919">
        <f ca="1"/>
        <v>52.02</v>
      </c>
      <c r="BJ159" vm="6353">
        <f ca="1"/>
        <v>52.09</v>
      </c>
      <c r="BK159" vm="11858">
        <f ca="1"/>
        <v>52.06</v>
      </c>
      <c r="BL159" vm="842">
        <f ca="1"/>
        <v>52.07</v>
      </c>
      <c r="BM159" vm="15727">
        <f ca="1"/>
        <v>52.13</v>
      </c>
      <c r="BN159" vm="18825">
        <f ca="1"/>
        <v>52.26</v>
      </c>
      <c r="BO159" vm="18825">
        <f ca="1"/>
        <v>52.26</v>
      </c>
      <c r="BP159" vm="20981">
        <f ca="1"/>
        <v>52.28</v>
      </c>
      <c r="BQ159" vm="6315">
        <f ca="1"/>
        <v>52.21</v>
      </c>
      <c r="BR159" vm="11327">
        <f ca="1"/>
        <v>52.24</v>
      </c>
      <c r="BS159" vm="6315">
        <f ca="1"/>
        <v>52.21</v>
      </c>
      <c r="BT159" vm="11327">
        <f ca="1"/>
        <v>52.24</v>
      </c>
      <c r="BU159" vm="19525">
        <f ca="1"/>
        <v>52.34</v>
      </c>
      <c r="BV159" vm="6311">
        <f ca="1"/>
        <v>52.37</v>
      </c>
      <c r="BW159" vm="18363">
        <f ca="1"/>
        <v>52.22</v>
      </c>
      <c r="BX159" vm="11005">
        <f ca="1"/>
        <v>52.2</v>
      </c>
      <c r="BY159" vm="14054">
        <f ca="1"/>
        <v>52.38</v>
      </c>
      <c r="BZ159" vm="2905">
        <f ca="1"/>
        <v>52.25</v>
      </c>
      <c r="CA159" vm="6323">
        <f ca="1"/>
        <v>51.91</v>
      </c>
      <c r="CB159" vm="6327">
        <f ca="1"/>
        <v>51.83</v>
      </c>
      <c r="CC159" vm="11306">
        <f ca="1"/>
        <v>52.08</v>
      </c>
      <c r="CD159" vm="11334">
        <f ca="1"/>
        <v>51.81</v>
      </c>
      <c r="CE159" vm="843">
        <f ca="1"/>
        <v>51.68</v>
      </c>
      <c r="CF159" vm="14171">
        <f ca="1"/>
        <v>51.9</v>
      </c>
      <c r="CG159" vm="1625">
        <f ca="1"/>
        <v>51.97</v>
      </c>
      <c r="CH159" vm="6353">
        <f ca="1"/>
        <v>52.09</v>
      </c>
      <c r="CI159" vm="9258">
        <f ca="1"/>
        <v>52.12</v>
      </c>
      <c r="CJ159" vm="15729">
        <f ca="1"/>
        <v>52.04</v>
      </c>
      <c r="CK159" vm="842">
        <f ca="1"/>
        <v>52.07</v>
      </c>
      <c r="CL159" vm="11329">
        <f ca="1"/>
        <v>52.05</v>
      </c>
      <c r="CM159" vm="18825">
        <f ca="1"/>
        <v>52.26</v>
      </c>
      <c r="CN159" vm="2924">
        <f ca="1"/>
        <v>52.36</v>
      </c>
      <c r="CO159" vm="6357">
        <f ca="1"/>
        <v>52.45</v>
      </c>
      <c r="CP159" vm="6330">
        <f ca="1"/>
        <v>52.5</v>
      </c>
      <c r="CQ159" vm="2921">
        <f ca="1"/>
        <v>52.49</v>
      </c>
      <c r="CR159" vm="18363">
        <f ca="1"/>
        <v>52.22</v>
      </c>
      <c r="CS159" vm="9258">
        <f ca="1"/>
        <v>52.12</v>
      </c>
      <c r="CT159" vm="6354">
        <f ca="1"/>
        <v>52.15</v>
      </c>
      <c r="CU159" vm="6315">
        <f ca="1"/>
        <v>52.21</v>
      </c>
      <c r="CV159" vm="6315">
        <f ca="1"/>
        <v>52.21</v>
      </c>
      <c r="CW159" vm="3113">
        <f ca="1"/>
        <v>52.1</v>
      </c>
      <c r="CX159" vm="15727">
        <f ca="1"/>
        <v>52.13</v>
      </c>
      <c r="CY159" vm="6353">
        <f ca="1"/>
        <v>52.09</v>
      </c>
      <c r="CZ159" vm="15727">
        <f ca="1"/>
        <v>52.13</v>
      </c>
      <c r="DA159" vm="15729">
        <f ca="1"/>
        <v>52.04</v>
      </c>
      <c r="DB159" vm="6315">
        <f ca="1"/>
        <v>52.21</v>
      </c>
      <c r="DC159" vm="11327">
        <f ca="1"/>
        <v>52.24</v>
      </c>
      <c r="DD159" vm="20981">
        <f ca="1"/>
        <v>52.28</v>
      </c>
      <c r="DE159" vm="2922">
        <f ca="1"/>
        <v>52.29</v>
      </c>
      <c r="DF159" vm="2908">
        <f ca="1"/>
        <v>52.14</v>
      </c>
      <c r="DG159" vm="18363">
        <f ca="1"/>
        <v>52.22</v>
      </c>
      <c r="DH159" vm="11327">
        <f ca="1"/>
        <v>52.24</v>
      </c>
      <c r="DI159" vm="19525">
        <f ca="1"/>
        <v>52.34</v>
      </c>
      <c r="DJ159" vm="2922">
        <f ca="1"/>
        <v>52.29</v>
      </c>
      <c r="DK159" vm="6311">
        <f ca="1"/>
        <v>52.37</v>
      </c>
      <c r="DL159" vm="6357">
        <f ca="1"/>
        <v>52.45</v>
      </c>
      <c r="DM159" vm="1628">
        <f ca="1"/>
        <v>52.23</v>
      </c>
      <c r="DN159" vm="18363">
        <f ca="1"/>
        <v>52.22</v>
      </c>
      <c r="DO159" vm="2924">
        <f ca="1"/>
        <v>52.36</v>
      </c>
      <c r="DP159" vm="2905">
        <f ca="1"/>
        <v>52.25</v>
      </c>
      <c r="DQ159" vm="15727">
        <f ca="1"/>
        <v>52.13</v>
      </c>
      <c r="DR159" vm="2907">
        <f ca="1"/>
        <v>52.18</v>
      </c>
      <c r="DS159" vm="6315">
        <f ca="1"/>
        <v>52.21</v>
      </c>
      <c r="DT159" vm="2923">
        <f ca="1"/>
        <v>52.31</v>
      </c>
      <c r="DU159" vm="14054">
        <f ca="1"/>
        <v>52.38</v>
      </c>
      <c r="DV159" vm="2923">
        <f ca="1"/>
        <v>52.31</v>
      </c>
      <c r="DW159" vm="20982">
        <f ca="1"/>
        <v>52.32</v>
      </c>
      <c r="DX159" vm="1627">
        <f ca="1"/>
        <v>52.35</v>
      </c>
      <c r="DY159" vm="6311">
        <f ca="1"/>
        <v>52.37</v>
      </c>
      <c r="DZ159" vm="6357">
        <f ca="1"/>
        <v>52.45</v>
      </c>
      <c r="EA159" vm="6317">
        <f ca="1"/>
        <v>52.55</v>
      </c>
      <c r="EB159" vm="9689">
        <f ca="1"/>
        <v>52.63</v>
      </c>
      <c r="EC159" vm="2651">
        <f ca="1"/>
        <v>52.6</v>
      </c>
      <c r="ED159" vm="2906">
        <f ca="1"/>
        <v>52.7</v>
      </c>
      <c r="EE159" vm="2906">
        <f ca="1"/>
        <v>52.7</v>
      </c>
      <c r="EF159" vm="6329">
        <f ca="1"/>
        <v>52.76</v>
      </c>
      <c r="EG159" vm="3110">
        <f ca="1"/>
        <v>52.51</v>
      </c>
      <c r="EH159" vm="11046">
        <f ca="1"/>
        <v>52.53</v>
      </c>
      <c r="EI159" vm="11021">
        <f ca="1"/>
        <v>52.48</v>
      </c>
      <c r="EJ159" vm="6352">
        <f ca="1"/>
        <v>52.43</v>
      </c>
      <c r="EK159" vm="6320">
        <f ca="1"/>
        <v>52.39</v>
      </c>
      <c r="EL159" vm="6330">
        <f ca="1"/>
        <v>52.5</v>
      </c>
      <c r="EM159" vm="11021">
        <f ca="1"/>
        <v>52.48</v>
      </c>
      <c r="EN159" vm="6357">
        <f ca="1"/>
        <v>52.45</v>
      </c>
      <c r="EO159" vm="6357">
        <f ca="1"/>
        <v>52.45</v>
      </c>
      <c r="EP159" vm="6320">
        <f ca="1"/>
        <v>52.39</v>
      </c>
      <c r="EQ159" vm="2909">
        <f ca="1"/>
        <v>52.47</v>
      </c>
      <c r="ER159" vm="3110">
        <f ca="1"/>
        <v>52.51</v>
      </c>
      <c r="ES159" vm="11342">
        <f ca="1"/>
        <v>52.57</v>
      </c>
      <c r="ET159" vm="11006">
        <f ca="1"/>
        <v>52.64</v>
      </c>
      <c r="EU159" vm="6314">
        <f ca="1"/>
        <v>52.68</v>
      </c>
      <c r="EV159" vm="19526">
        <f ca="1"/>
        <v>52.61</v>
      </c>
      <c r="EW159" vm="14147">
        <f ca="1"/>
        <v>52.58</v>
      </c>
      <c r="EX159" vm="9689">
        <f ca="1"/>
        <v>52.63</v>
      </c>
      <c r="EY159" vm="19526">
        <f ca="1"/>
        <v>52.61</v>
      </c>
      <c r="EZ159" vm="8684">
        <f ca="1"/>
        <v>52.69</v>
      </c>
      <c r="FA159" vm="6312">
        <f ca="1"/>
        <v>52.62</v>
      </c>
      <c r="FB159" vm="9689">
        <f ca="1"/>
        <v>52.63</v>
      </c>
      <c r="FC159" vm="19876">
        <f ca="1"/>
        <v>52.72</v>
      </c>
      <c r="FD159" vm="11861">
        <f ca="1"/>
        <v>52.75</v>
      </c>
      <c r="FE159" vm="19876">
        <f ca="1"/>
        <v>52.72</v>
      </c>
      <c r="FF159" vm="6329">
        <f ca="1"/>
        <v>52.76</v>
      </c>
      <c r="FG159" vm="6351">
        <f ca="1"/>
        <v>52.73</v>
      </c>
      <c r="FH159" vm="6314">
        <f ca="1"/>
        <v>52.68</v>
      </c>
      <c r="FI159" vm="2194">
        <f ca="1"/>
        <v>52.71</v>
      </c>
      <c r="FJ159" vm="6329">
        <f ca="1"/>
        <v>52.76</v>
      </c>
      <c r="FK159" vm="3303">
        <f ca="1"/>
        <v>52.87</v>
      </c>
      <c r="FL159" vm="6350">
        <f ca="1"/>
        <v>52.79</v>
      </c>
      <c r="FM159" vm="6350">
        <f ca="1"/>
        <v>52.79</v>
      </c>
      <c r="FN159" vm="148">
        <f ca="1"/>
        <v>52.8</v>
      </c>
      <c r="FO159" vm="3305">
        <f ca="1"/>
        <v>52.83</v>
      </c>
      <c r="FP159" vm="3305">
        <f ca="1"/>
        <v>52.83</v>
      </c>
      <c r="FQ159" vm="11861">
        <f ca="1"/>
        <v>52.75</v>
      </c>
      <c r="FR159" vm="14057">
        <f ca="1"/>
        <v>52.94</v>
      </c>
      <c r="FS159" vm="2928">
        <f ca="1"/>
        <v>52.88</v>
      </c>
      <c r="FT159" vm="14057">
        <f ca="1"/>
        <v>52.94</v>
      </c>
      <c r="FU159" vm="3302">
        <f ca="1"/>
        <v>53.01</v>
      </c>
      <c r="FV159" vm="3301">
        <f ca="1"/>
        <v>52.99</v>
      </c>
      <c r="FW159" vm="3301">
        <f ca="1"/>
        <v>52.99</v>
      </c>
      <c r="FX159" vm="6329">
        <f ca="1"/>
        <v>52.76</v>
      </c>
      <c r="FY159" vm="3305">
        <f ca="1"/>
        <v>52.83</v>
      </c>
      <c r="FZ159" vm="3306">
        <f ca="1"/>
        <v>52.92</v>
      </c>
      <c r="GA159" vm="2769">
        <f ca="1"/>
        <v>53</v>
      </c>
      <c r="GB159" vm="3302">
        <f ca="1"/>
        <v>53.01</v>
      </c>
      <c r="GC159" vm="3301">
        <f ca="1"/>
        <v>52.99</v>
      </c>
      <c r="GD159" vm="3302">
        <f ca="1"/>
        <v>53.01</v>
      </c>
      <c r="GE159" vm="11002">
        <f ca="1"/>
        <v>53.05</v>
      </c>
      <c r="GF159" vm="11002">
        <f ca="1"/>
        <v>53.05</v>
      </c>
      <c r="GG159" vm="9257">
        <f ca="1"/>
        <v>53.08</v>
      </c>
      <c r="GH159" vm="2636">
        <f ca="1"/>
        <v>53.11</v>
      </c>
      <c r="GI159" vm="2192">
        <f ca="1"/>
        <v>53.07</v>
      </c>
      <c r="GJ159" vm="11002">
        <f ca="1"/>
        <v>53.05</v>
      </c>
      <c r="GK159" vm="9257">
        <f ca="1"/>
        <v>53.08</v>
      </c>
      <c r="GL159" vm="2771">
        <f ca="1"/>
        <v>53.02</v>
      </c>
      <c r="GM159" vm="11002">
        <f ca="1"/>
        <v>53.05</v>
      </c>
      <c r="GN159" vm="2771">
        <f ca="1"/>
        <v>53.02</v>
      </c>
      <c r="GO159" vm="2767">
        <f ca="1"/>
        <v>52.93</v>
      </c>
      <c r="GP159" vm="2650">
        <f ca="1"/>
        <v>52.98</v>
      </c>
      <c r="GQ159" vm="3302">
        <f ca="1"/>
        <v>53.01</v>
      </c>
      <c r="GR159" vm="19359">
        <f ca="1"/>
        <v>53.03</v>
      </c>
      <c r="GS159" vm="14057">
        <f ca="1"/>
        <v>52.94</v>
      </c>
      <c r="GT159" vm="472">
        <f ca="1"/>
        <v>52.95</v>
      </c>
      <c r="GU159" vm="3306">
        <f ca="1"/>
        <v>52.92</v>
      </c>
      <c r="GV159" vm="2928">
        <f ca="1"/>
        <v>52.88</v>
      </c>
      <c r="GW159" vm="14057">
        <f ca="1"/>
        <v>52.94</v>
      </c>
      <c r="GX159" vm="3300">
        <f ca="1"/>
        <v>52.9</v>
      </c>
      <c r="GY159" vm="2928">
        <f ca="1"/>
        <v>52.88</v>
      </c>
      <c r="GZ159" vm="2767">
        <f ca="1"/>
        <v>52.93</v>
      </c>
      <c r="HA159" vm="2771">
        <f ca="1"/>
        <v>53.02</v>
      </c>
      <c r="HB159" vm="11002">
        <f ca="1"/>
        <v>53.05</v>
      </c>
      <c r="HC159" vm="2925">
        <f ca="1"/>
        <v>53.06</v>
      </c>
      <c r="HD159" vm="2191">
        <f ca="1"/>
        <v>53.13</v>
      </c>
      <c r="HE159" vm="9257">
        <f ca="1"/>
        <v>53.08</v>
      </c>
      <c r="HF159" vm="9688">
        <f ca="1"/>
        <v>53.12</v>
      </c>
      <c r="HG159" vm="14149">
        <f ca="1"/>
        <v>53.14</v>
      </c>
      <c r="HH159" vm="14149">
        <f ca="1"/>
        <v>53.14</v>
      </c>
      <c r="HI159" vm="2636">
        <f ca="1"/>
        <v>53.11</v>
      </c>
      <c r="HJ159" vm="6337">
        <f ca="1"/>
        <v>53.16</v>
      </c>
      <c r="HK159" vm="6337">
        <f ca="1"/>
        <v>53.16</v>
      </c>
      <c r="HL159" vm="11003">
        <f ca="1"/>
        <v>53.18</v>
      </c>
      <c r="HM159" vm="11002">
        <f ca="1"/>
        <v>53.05</v>
      </c>
      <c r="HN159" vm="2771">
        <f ca="1"/>
        <v>53.02</v>
      </c>
      <c r="HO159" vm="3302">
        <f ca="1"/>
        <v>53.01</v>
      </c>
      <c r="HP159" vm="148">
        <f ca="1"/>
        <v>52.8</v>
      </c>
      <c r="HQ159" vm="2910">
        <f ca="1"/>
        <v>52.81</v>
      </c>
      <c r="HR159" vm="6329">
        <f ca="1"/>
        <v>52.76</v>
      </c>
      <c r="HS159" vm="3304">
        <f ca="1"/>
        <v>52.86</v>
      </c>
      <c r="HT159" vm="3303">
        <f ca="1"/>
        <v>52.87</v>
      </c>
      <c r="HU159" vm="3112">
        <f ca="1"/>
        <v>52.85</v>
      </c>
      <c r="HV159" vm="14057">
        <f ca="1"/>
        <v>52.94</v>
      </c>
      <c r="HW159" vm="14055">
        <f ca="1"/>
        <v>52.91</v>
      </c>
      <c r="HX159" vm="3112">
        <f ca="1"/>
        <v>52.85</v>
      </c>
      <c r="HY159" vm="11862">
        <f ca="1"/>
        <v>52.82</v>
      </c>
      <c r="HZ159" vm="475">
        <f ca="1"/>
        <v>52.84</v>
      </c>
      <c r="IA159" vm="3303">
        <f ca="1"/>
        <v>52.87</v>
      </c>
      <c r="IB159" vm="2928">
        <f ca="1"/>
        <v>52.88</v>
      </c>
      <c r="IC159" vm="3300">
        <f ca="1"/>
        <v>52.9</v>
      </c>
      <c r="ID159" vm="3301">
        <f ca="1"/>
        <v>52.99</v>
      </c>
      <c r="IE159" vm="3302">
        <f ca="1"/>
        <v>53.01</v>
      </c>
      <c r="IF159" vm="2637">
        <f ca="1"/>
        <v>53.1</v>
      </c>
      <c r="IG159" vm="2191">
        <f ca="1"/>
        <v>53.13</v>
      </c>
      <c r="IH159" vm="2636">
        <f ca="1"/>
        <v>53.11</v>
      </c>
      <c r="II159" vm="3112">
        <f ca="1"/>
        <v>52.85</v>
      </c>
      <c r="IJ159" vm="3303">
        <f ca="1"/>
        <v>52.87</v>
      </c>
      <c r="IK159" vm="2767">
        <f ca="1"/>
        <v>52.93</v>
      </c>
      <c r="IL159" vm="2928">
        <f ca="1"/>
        <v>52.88</v>
      </c>
      <c r="IM159" vm="3304">
        <f ca="1"/>
        <v>52.86</v>
      </c>
      <c r="IN159" vm="3305">
        <f ca="1"/>
        <v>52.83</v>
      </c>
      <c r="IO159" vm="148">
        <f ca="1"/>
        <v>52.8</v>
      </c>
      <c r="IP159" vm="3306">
        <f ca="1"/>
        <v>52.92</v>
      </c>
      <c r="IQ159" vm="3306">
        <f ca="1"/>
        <v>52.92</v>
      </c>
      <c r="IR159" vm="3303">
        <f ca="1"/>
        <v>52.87</v>
      </c>
      <c r="IS159" vm="3306">
        <f ca="1"/>
        <v>52.92</v>
      </c>
      <c r="IT159" vm="3307">
        <f ca="1"/>
        <v>52.97</v>
      </c>
      <c r="IU159" vm="472">
        <f ca="1"/>
        <v>52.95</v>
      </c>
      <c r="IV159" vm="2771">
        <f ca="1"/>
        <v>53.02</v>
      </c>
      <c r="IW159" vm="148">
        <f ca="1"/>
        <v>52.8</v>
      </c>
    </row>
    <row r="160" spans="1:257" ht="16" x14ac:dyDescent="0.2">
      <c r="A160" t="e" vm="3308">
        <v>#VALUE!</v>
      </c>
      <c r="B160" s="23" t="str" cm="1">
        <f t="array" aca="1" ref="B160" ca="1">_FV(A160,"ticker symbol",TRUE)</f>
        <v>USHY</v>
      </c>
      <c r="C160" s="23" t="str" cm="1">
        <f t="array" aca="1" ref="C160" ca="1">_FV(A160,"Name")</f>
        <v>iShares:Brd USD HY Cp Bd</v>
      </c>
      <c r="D160" cm="1" vm="3309">
        <f t="array" aca="1" ref="D160:IW160" ca="1">TRANSPOSE(_xlfn.STOCKHISTORY(B160, WORKDAY(TODAY(), -265), TODAY(), 0, 0, 1))</f>
        <v>37.229999999999997</v>
      </c>
      <c r="E160" vm="12769">
        <f ca="1"/>
        <v>37.19</v>
      </c>
      <c r="F160" vm="1561">
        <f ca="1"/>
        <v>36.58</v>
      </c>
      <c r="G160" vm="9170">
        <f ca="1"/>
        <v>36.54</v>
      </c>
      <c r="H160" vm="1571">
        <f ca="1"/>
        <v>36.729999999999997</v>
      </c>
      <c r="I160" vm="20983">
        <f ca="1"/>
        <v>36.674999999999997</v>
      </c>
      <c r="J160" vm="9106">
        <f ca="1"/>
        <v>36.75</v>
      </c>
      <c r="K160" vm="112">
        <f ca="1"/>
        <v>36.840000000000003</v>
      </c>
      <c r="L160" vm="9106">
        <f ca="1"/>
        <v>36.75</v>
      </c>
      <c r="M160" vm="20984">
        <f ca="1"/>
        <v>36.78</v>
      </c>
      <c r="N160" vm="19311">
        <f ca="1"/>
        <v>36.79</v>
      </c>
      <c r="O160" vm="9111">
        <f ca="1"/>
        <v>36.86</v>
      </c>
      <c r="P160" vm="17841">
        <f ca="1"/>
        <v>36.96</v>
      </c>
      <c r="Q160" vm="9172">
        <f ca="1"/>
        <v>36.99</v>
      </c>
      <c r="R160" vm="818">
        <f ca="1"/>
        <v>36.880000000000003</v>
      </c>
      <c r="S160" vm="19334">
        <f ca="1"/>
        <v>36.909999999999997</v>
      </c>
      <c r="T160" vm="20985">
        <f ca="1"/>
        <v>36.71</v>
      </c>
      <c r="U160" vm="1571">
        <f ca="1"/>
        <v>36.729999999999997</v>
      </c>
      <c r="V160" vm="4705">
        <f ca="1"/>
        <v>36.76</v>
      </c>
      <c r="W160" vm="6904">
        <f ca="1"/>
        <v>37.08</v>
      </c>
      <c r="X160" vm="15787">
        <f ca="1"/>
        <v>37.119999999999997</v>
      </c>
      <c r="Y160" vm="12769">
        <f ca="1"/>
        <v>37.19</v>
      </c>
      <c r="Z160" vm="149">
        <f ca="1"/>
        <v>37.26</v>
      </c>
      <c r="AA160" vm="4667">
        <f ca="1"/>
        <v>37.21</v>
      </c>
      <c r="AB160" vm="1574">
        <f ca="1"/>
        <v>37.270000000000003</v>
      </c>
      <c r="AC160" vm="20986">
        <f ca="1"/>
        <v>37.29</v>
      </c>
      <c r="AD160" vm="20987">
        <f ca="1"/>
        <v>37.344999999999999</v>
      </c>
      <c r="AE160" vm="4668">
        <f ca="1"/>
        <v>37.31</v>
      </c>
      <c r="AF160" vm="9108">
        <f ca="1"/>
        <v>37.299999999999997</v>
      </c>
      <c r="AG160" vm="3321">
        <f ca="1"/>
        <v>37.35</v>
      </c>
      <c r="AH160" vm="20986">
        <f ca="1"/>
        <v>37.29</v>
      </c>
      <c r="AI160" vm="10679">
        <f ca="1"/>
        <v>37.049999999999997</v>
      </c>
      <c r="AJ160" vm="12761">
        <f ca="1"/>
        <v>37.14</v>
      </c>
      <c r="AK160" vm="149">
        <f ca="1"/>
        <v>37.26</v>
      </c>
      <c r="AL160" vm="12769">
        <f ca="1"/>
        <v>37.19</v>
      </c>
      <c r="AM160" vm="15778">
        <f ca="1"/>
        <v>37.090000000000003</v>
      </c>
      <c r="AN160" vm="15777">
        <f ca="1"/>
        <v>37.159999999999997</v>
      </c>
      <c r="AO160" vm="1028">
        <f ca="1"/>
        <v>37.130000000000003</v>
      </c>
      <c r="AP160" vm="1576">
        <f ca="1"/>
        <v>37.06</v>
      </c>
      <c r="AQ160" vm="3309">
        <f ca="1"/>
        <v>37.229999999999997</v>
      </c>
      <c r="AR160" vm="149">
        <f ca="1"/>
        <v>37.26</v>
      </c>
      <c r="AS160" vm="19414">
        <f ca="1"/>
        <v>37.25</v>
      </c>
      <c r="AT160" vm="149">
        <f ca="1"/>
        <v>37.26</v>
      </c>
      <c r="AU160" vm="20986">
        <f ca="1"/>
        <v>37.29</v>
      </c>
      <c r="AV160" vm="3309">
        <f ca="1"/>
        <v>37.229999999999997</v>
      </c>
      <c r="AW160" vm="19416">
        <f ca="1"/>
        <v>37.28</v>
      </c>
      <c r="AX160" vm="12765">
        <f ca="1"/>
        <v>37.369999999999997</v>
      </c>
      <c r="AY160" vm="3320">
        <f ca="1"/>
        <v>37.4</v>
      </c>
      <c r="AZ160" vm="19337">
        <f ca="1"/>
        <v>37.33</v>
      </c>
      <c r="BA160" vm="20988">
        <f ca="1"/>
        <v>37.450000000000003</v>
      </c>
      <c r="BB160" vm="17226">
        <f ca="1"/>
        <v>37.15</v>
      </c>
      <c r="BC160" vm="12761">
        <f ca="1"/>
        <v>37.14</v>
      </c>
      <c r="BD160" vm="17226">
        <f ca="1"/>
        <v>37.15</v>
      </c>
      <c r="BE160" vm="20989">
        <f ca="1"/>
        <v>37.01</v>
      </c>
      <c r="BF160" vm="15778">
        <f ca="1"/>
        <v>37.090000000000003</v>
      </c>
      <c r="BG160" vm="20990">
        <f ca="1"/>
        <v>36.94</v>
      </c>
      <c r="BH160" vm="1569">
        <f ca="1"/>
        <v>36.799999999999997</v>
      </c>
      <c r="BI160" vm="20984">
        <f ca="1"/>
        <v>36.78</v>
      </c>
      <c r="BJ160" vm="9163">
        <f ca="1"/>
        <v>36.630000000000003</v>
      </c>
      <c r="BK160" vm="9107">
        <f ca="1"/>
        <v>36.81</v>
      </c>
      <c r="BL160" vm="818">
        <f ca="1"/>
        <v>36.880000000000003</v>
      </c>
      <c r="BM160" vm="20991">
        <f ca="1"/>
        <v>36.814999999999998</v>
      </c>
      <c r="BN160" vm="10679">
        <f ca="1"/>
        <v>37.049999999999997</v>
      </c>
      <c r="BO160" vm="9172">
        <f ca="1"/>
        <v>36.99</v>
      </c>
      <c r="BP160" vm="19312">
        <f ca="1"/>
        <v>36.97</v>
      </c>
      <c r="BQ160" vm="12768">
        <f ca="1"/>
        <v>37.11</v>
      </c>
      <c r="BR160" vm="10679">
        <f ca="1"/>
        <v>37.049999999999997</v>
      </c>
      <c r="BS160" vm="19334">
        <f ca="1"/>
        <v>36.909999999999997</v>
      </c>
      <c r="BT160" vm="4759">
        <f ca="1"/>
        <v>36.83</v>
      </c>
      <c r="BU160" vm="819">
        <f ca="1"/>
        <v>36.770000000000003</v>
      </c>
      <c r="BV160" vm="9107">
        <f ca="1"/>
        <v>36.81</v>
      </c>
      <c r="BW160" vm="10669">
        <f ca="1"/>
        <v>36.67</v>
      </c>
      <c r="BX160" vm="20992">
        <f ca="1"/>
        <v>36.74</v>
      </c>
      <c r="BY160" vm="4711">
        <f ca="1"/>
        <v>36.29</v>
      </c>
      <c r="BZ160" vm="17215">
        <f ca="1"/>
        <v>35.69</v>
      </c>
      <c r="CA160" vm="20993">
        <f ca="1"/>
        <v>35.4</v>
      </c>
      <c r="CB160" vm="9124">
        <f ca="1"/>
        <v>35.299999999999997</v>
      </c>
      <c r="CC160" vm="20994">
        <f ca="1"/>
        <v>36.21</v>
      </c>
      <c r="CD160" vm="19406">
        <f ca="1"/>
        <v>35.61</v>
      </c>
      <c r="CE160" vm="17215">
        <f ca="1"/>
        <v>35.69</v>
      </c>
      <c r="CF160" vm="19408">
        <f ca="1"/>
        <v>35.89</v>
      </c>
      <c r="CG160" vm="12763">
        <f ca="1"/>
        <v>35.99</v>
      </c>
      <c r="CH160" vm="20995">
        <f ca="1"/>
        <v>36.020000000000003</v>
      </c>
      <c r="CI160" vm="12764">
        <f ca="1"/>
        <v>36.22</v>
      </c>
      <c r="CJ160" vm="20995">
        <f ca="1"/>
        <v>36.020000000000003</v>
      </c>
      <c r="CK160" vm="824">
        <f ca="1"/>
        <v>36.14</v>
      </c>
      <c r="CL160" vm="15707">
        <f ca="1"/>
        <v>36.32</v>
      </c>
      <c r="CM160" vm="10669">
        <f ca="1"/>
        <v>36.67</v>
      </c>
      <c r="CN160" vm="1571">
        <f ca="1"/>
        <v>36.729999999999997</v>
      </c>
      <c r="CO160" vm="20985">
        <f ca="1"/>
        <v>36.71</v>
      </c>
      <c r="CP160" vm="4759">
        <f ca="1"/>
        <v>36.83</v>
      </c>
      <c r="CQ160" vm="10668">
        <f ca="1"/>
        <v>36.6</v>
      </c>
      <c r="CR160" vm="15785">
        <f ca="1"/>
        <v>36.43</v>
      </c>
      <c r="CS160" vm="4694">
        <f ca="1"/>
        <v>36.549999999999997</v>
      </c>
      <c r="CT160" vm="4664">
        <f ca="1"/>
        <v>36.520000000000003</v>
      </c>
      <c r="CU160" vm="9110">
        <f ca="1"/>
        <v>36.47</v>
      </c>
      <c r="CV160" vm="10666">
        <f ca="1"/>
        <v>36.53</v>
      </c>
      <c r="CW160" vm="15772">
        <f ca="1"/>
        <v>36.51</v>
      </c>
      <c r="CX160" vm="10666">
        <f ca="1"/>
        <v>36.53</v>
      </c>
      <c r="CY160" vm="20996">
        <f ca="1"/>
        <v>36.92</v>
      </c>
      <c r="CZ160" vm="15793">
        <f ca="1"/>
        <v>36.979999999999997</v>
      </c>
      <c r="DA160" vm="9111">
        <f ca="1"/>
        <v>36.86</v>
      </c>
      <c r="DB160" vm="822">
        <f ca="1"/>
        <v>36.93</v>
      </c>
      <c r="DC160" vm="17841">
        <f ca="1"/>
        <v>36.96</v>
      </c>
      <c r="DD160" vm="1570">
        <f ca="1"/>
        <v>36.950000000000003</v>
      </c>
      <c r="DE160" vm="822">
        <f ca="1"/>
        <v>36.93</v>
      </c>
      <c r="DF160" vm="19315">
        <f ca="1"/>
        <v>36.68</v>
      </c>
      <c r="DG160" vm="20997">
        <f ca="1"/>
        <v>36.755000000000003</v>
      </c>
      <c r="DH160" vm="9106">
        <f ca="1"/>
        <v>36.75</v>
      </c>
      <c r="DI160" vm="15793">
        <f ca="1"/>
        <v>36.979999999999997</v>
      </c>
      <c r="DJ160" vm="17841">
        <f ca="1"/>
        <v>36.96</v>
      </c>
      <c r="DK160" vm="9120">
        <f ca="1"/>
        <v>37</v>
      </c>
      <c r="DL160" vm="821">
        <f ca="1"/>
        <v>37.03</v>
      </c>
      <c r="DM160" vm="13789">
        <f ca="1"/>
        <v>36.82</v>
      </c>
      <c r="DN160" vm="818">
        <f ca="1"/>
        <v>36.880000000000003</v>
      </c>
      <c r="DO160" vm="19312">
        <f ca="1"/>
        <v>36.97</v>
      </c>
      <c r="DP160" vm="818">
        <f ca="1"/>
        <v>36.880000000000003</v>
      </c>
      <c r="DQ160" vm="820">
        <f ca="1"/>
        <v>36.89</v>
      </c>
      <c r="DR160" vm="20998">
        <f ca="1"/>
        <v>36.914999999999999</v>
      </c>
      <c r="DS160" vm="9120">
        <f ca="1"/>
        <v>37</v>
      </c>
      <c r="DT160" vm="9172">
        <f ca="1"/>
        <v>36.99</v>
      </c>
      <c r="DU160" vm="19412">
        <f ca="1"/>
        <v>37.04</v>
      </c>
      <c r="DV160" vm="20990">
        <f ca="1"/>
        <v>36.94</v>
      </c>
      <c r="DW160" vm="17836">
        <f ca="1"/>
        <v>37.020000000000003</v>
      </c>
      <c r="DX160" vm="19312">
        <f ca="1"/>
        <v>36.97</v>
      </c>
      <c r="DY160" vm="10679">
        <f ca="1"/>
        <v>37.049999999999997</v>
      </c>
      <c r="DZ160" vm="1028">
        <f ca="1"/>
        <v>37.130000000000003</v>
      </c>
      <c r="EA160" vm="20999">
        <f ca="1"/>
        <v>37.215000000000003</v>
      </c>
      <c r="EB160" vm="4668">
        <f ca="1"/>
        <v>37.31</v>
      </c>
      <c r="EC160" vm="4668">
        <f ca="1"/>
        <v>37.31</v>
      </c>
      <c r="ED160" vm="3320">
        <f ca="1"/>
        <v>37.4</v>
      </c>
      <c r="EE160" vm="3320">
        <f ca="1"/>
        <v>37.4</v>
      </c>
      <c r="EF160" vm="17227">
        <f ca="1"/>
        <v>37.51</v>
      </c>
      <c r="EG160" vm="19416">
        <f ca="1"/>
        <v>37.28</v>
      </c>
      <c r="EH160" vm="19337">
        <f ca="1"/>
        <v>37.33</v>
      </c>
      <c r="EI160" vm="21000">
        <f ca="1"/>
        <v>37.365000000000002</v>
      </c>
      <c r="EJ160" vm="19414">
        <f ca="1"/>
        <v>37.25</v>
      </c>
      <c r="EK160" vm="21001">
        <f ca="1"/>
        <v>37.200000000000003</v>
      </c>
      <c r="EL160" vm="9108">
        <f ca="1"/>
        <v>37.299999999999997</v>
      </c>
      <c r="EM160" vm="1574">
        <f ca="1"/>
        <v>37.270000000000003</v>
      </c>
      <c r="EN160" vm="3310">
        <f ca="1"/>
        <v>37.22</v>
      </c>
      <c r="EO160" vm="1563">
        <f ca="1"/>
        <v>37.24</v>
      </c>
      <c r="EP160" vm="12761">
        <f ca="1"/>
        <v>37.14</v>
      </c>
      <c r="EQ160" vm="4667">
        <f ca="1"/>
        <v>37.21</v>
      </c>
      <c r="ER160" vm="21002">
        <f ca="1"/>
        <v>37.265000000000001</v>
      </c>
      <c r="ES160" vm="1024">
        <f ca="1"/>
        <v>37.32</v>
      </c>
      <c r="ET160" vm="12765">
        <f ca="1"/>
        <v>37.369999999999997</v>
      </c>
      <c r="EU160" vm="21003">
        <f ca="1"/>
        <v>37.43</v>
      </c>
      <c r="EV160" vm="9162">
        <f ca="1"/>
        <v>37.46</v>
      </c>
      <c r="EW160" vm="3320">
        <f ca="1"/>
        <v>37.4</v>
      </c>
      <c r="EX160" vm="21003">
        <f ca="1"/>
        <v>37.43</v>
      </c>
      <c r="EY160" vm="17835">
        <f ca="1"/>
        <v>37.42</v>
      </c>
      <c r="EZ160" vm="21004">
        <f ca="1"/>
        <v>37.435000000000002</v>
      </c>
      <c r="FA160" vm="12765">
        <f ca="1"/>
        <v>37.369999999999997</v>
      </c>
      <c r="FB160" vm="3324">
        <f ca="1"/>
        <v>37.39</v>
      </c>
      <c r="FC160" vm="17228">
        <f ca="1"/>
        <v>37.18</v>
      </c>
      <c r="FD160" vm="9108">
        <f ca="1"/>
        <v>37.299999999999997</v>
      </c>
      <c r="FE160" vm="9108">
        <f ca="1"/>
        <v>37.299999999999997</v>
      </c>
      <c r="FF160" vm="21005">
        <f ca="1"/>
        <v>37.325000000000003</v>
      </c>
      <c r="FG160" vm="4668">
        <f ca="1"/>
        <v>37.31</v>
      </c>
      <c r="FH160" vm="9108">
        <f ca="1"/>
        <v>37.299999999999997</v>
      </c>
      <c r="FI160" vm="4668">
        <f ca="1"/>
        <v>37.31</v>
      </c>
      <c r="FJ160" vm="21006">
        <f ca="1"/>
        <v>37.384999999999998</v>
      </c>
      <c r="FK160" vm="3325">
        <f ca="1"/>
        <v>37.49</v>
      </c>
      <c r="FL160" vm="3320">
        <f ca="1"/>
        <v>37.4</v>
      </c>
      <c r="FM160" vm="1042">
        <f ca="1"/>
        <v>37.409999999999997</v>
      </c>
      <c r="FN160" vm="3324">
        <f ca="1"/>
        <v>37.39</v>
      </c>
      <c r="FO160" vm="3320">
        <f ca="1"/>
        <v>37.4</v>
      </c>
      <c r="FP160" vm="12765">
        <f ca="1"/>
        <v>37.369999999999997</v>
      </c>
      <c r="FQ160" vm="1024">
        <f ca="1"/>
        <v>37.32</v>
      </c>
      <c r="FR160" vm="10695">
        <f ca="1"/>
        <v>37.6</v>
      </c>
      <c r="FS160" vm="19413">
        <f ca="1"/>
        <v>37.549999999999997</v>
      </c>
      <c r="FT160" vm="21007">
        <f ca="1"/>
        <v>37.634999999999998</v>
      </c>
      <c r="FU160" vm="21008">
        <f ca="1"/>
        <v>37.68</v>
      </c>
      <c r="FV160" vm="19336">
        <f ca="1"/>
        <v>37.67</v>
      </c>
      <c r="FW160" vm="21009">
        <f ca="1"/>
        <v>37.630000000000003</v>
      </c>
      <c r="FX160" vm="3316">
        <f ca="1"/>
        <v>37.36</v>
      </c>
      <c r="FY160" vm="21010">
        <f ca="1"/>
        <v>37.454999999999998</v>
      </c>
      <c r="FZ160" vm="19413">
        <f ca="1"/>
        <v>37.549999999999997</v>
      </c>
      <c r="GA160" vm="4669">
        <f ca="1"/>
        <v>37.590000000000003</v>
      </c>
      <c r="GB160" vm="10695">
        <f ca="1"/>
        <v>37.6</v>
      </c>
      <c r="GC160" vm="3313">
        <f ca="1"/>
        <v>37.56</v>
      </c>
      <c r="GD160" vm="4669">
        <f ca="1"/>
        <v>37.590000000000003</v>
      </c>
      <c r="GE160" vm="21011">
        <f ca="1"/>
        <v>37.695</v>
      </c>
      <c r="GF160" vm="4686">
        <f ca="1"/>
        <v>37.69</v>
      </c>
      <c r="GG160" vm="9186">
        <f ca="1"/>
        <v>37.78</v>
      </c>
      <c r="GH160" vm="9166">
        <f ca="1"/>
        <v>37.75</v>
      </c>
      <c r="GI160" vm="4678">
        <f ca="1"/>
        <v>37.71</v>
      </c>
      <c r="GJ160" vm="9186">
        <f ca="1"/>
        <v>37.78</v>
      </c>
      <c r="GK160" vm="10689">
        <f ca="1"/>
        <v>37.79</v>
      </c>
      <c r="GL160" vm="1566">
        <f ca="1"/>
        <v>37.85</v>
      </c>
      <c r="GM160" vm="1029">
        <f ca="1"/>
        <v>37.799999999999997</v>
      </c>
      <c r="GN160" vm="9186">
        <f ca="1"/>
        <v>37.78</v>
      </c>
      <c r="GO160" vm="13791">
        <f ca="1"/>
        <v>37.659999999999997</v>
      </c>
      <c r="GP160" vm="9114">
        <f ca="1"/>
        <v>37.729999999999997</v>
      </c>
      <c r="GQ160" vm="1029">
        <f ca="1"/>
        <v>37.799999999999997</v>
      </c>
      <c r="GR160" vm="9186">
        <f ca="1"/>
        <v>37.78</v>
      </c>
      <c r="GS160" vm="1041">
        <f ca="1"/>
        <v>37.65</v>
      </c>
      <c r="GT160" vm="10680">
        <f ca="1"/>
        <v>37.61</v>
      </c>
      <c r="GU160" vm="21012">
        <f ca="1"/>
        <v>37.594999999999999</v>
      </c>
      <c r="GV160" vm="4669">
        <f ca="1"/>
        <v>37.590000000000003</v>
      </c>
      <c r="GW160" vm="19413">
        <f ca="1"/>
        <v>37.549999999999997</v>
      </c>
      <c r="GX160" vm="15709">
        <f ca="1"/>
        <v>37.5</v>
      </c>
      <c r="GY160" vm="3324">
        <f ca="1"/>
        <v>37.39</v>
      </c>
      <c r="GZ160" vm="12769">
        <f ca="1"/>
        <v>37.19</v>
      </c>
      <c r="HA160" vm="3320">
        <f ca="1"/>
        <v>37.4</v>
      </c>
      <c r="HB160" vm="3312">
        <f ca="1"/>
        <v>37.44</v>
      </c>
      <c r="HC160" vm="19413">
        <f ca="1"/>
        <v>37.549999999999997</v>
      </c>
      <c r="HD160" vm="20988">
        <f ca="1"/>
        <v>37.450000000000003</v>
      </c>
      <c r="HE160" vm="12770">
        <f ca="1"/>
        <v>37.54</v>
      </c>
      <c r="HF160" vm="10695">
        <f ca="1"/>
        <v>37.6</v>
      </c>
      <c r="HG160" vm="19420">
        <f ca="1"/>
        <v>37.58</v>
      </c>
      <c r="HH160" vm="10677">
        <f ca="1"/>
        <v>37.53</v>
      </c>
      <c r="HI160" vm="10695">
        <f ca="1"/>
        <v>37.6</v>
      </c>
      <c r="HJ160" vm="4685">
        <f ca="1"/>
        <v>37.700000000000003</v>
      </c>
      <c r="HK160" vm="1029">
        <f ca="1"/>
        <v>37.799999999999997</v>
      </c>
      <c r="HL160" vm="4674">
        <f ca="1"/>
        <v>37.76</v>
      </c>
      <c r="HM160" vm="1041">
        <f ca="1"/>
        <v>37.65</v>
      </c>
      <c r="HN160" vm="19420">
        <f ca="1"/>
        <v>37.58</v>
      </c>
      <c r="HO160" vm="19420">
        <f ca="1"/>
        <v>37.58</v>
      </c>
      <c r="HP160" vm="19414">
        <f ca="1"/>
        <v>37.25</v>
      </c>
      <c r="HQ160" vm="21013">
        <f ca="1"/>
        <v>37.234999999999999</v>
      </c>
      <c r="HR160" vm="1574">
        <f ca="1"/>
        <v>37.270000000000003</v>
      </c>
      <c r="HS160" vm="9108">
        <f ca="1"/>
        <v>37.299999999999997</v>
      </c>
      <c r="HT160" vm="19337">
        <f ca="1"/>
        <v>37.33</v>
      </c>
      <c r="HU160" vm="3312">
        <f ca="1"/>
        <v>37.44</v>
      </c>
      <c r="HV160" vm="21014">
        <f ca="1"/>
        <v>37.494999999999997</v>
      </c>
      <c r="HW160" vm="21003">
        <f ca="1"/>
        <v>37.43</v>
      </c>
      <c r="HX160" vm="149">
        <f ca="1"/>
        <v>37.26</v>
      </c>
      <c r="HY160" vm="1574">
        <f ca="1"/>
        <v>37.270000000000003</v>
      </c>
      <c r="HZ160" vm="4667">
        <f ca="1"/>
        <v>37.21</v>
      </c>
      <c r="IA160" vm="4667">
        <f ca="1"/>
        <v>37.21</v>
      </c>
      <c r="IB160" vm="3309">
        <f ca="1"/>
        <v>37.229999999999997</v>
      </c>
      <c r="IC160" vm="3310">
        <f ca="1"/>
        <v>37.22</v>
      </c>
      <c r="ID160" vm="3311">
        <f ca="1"/>
        <v>37.340000000000003</v>
      </c>
      <c r="IE160" vm="3312">
        <f ca="1"/>
        <v>37.44</v>
      </c>
      <c r="IF160" vm="3313">
        <f ca="1"/>
        <v>37.56</v>
      </c>
      <c r="IG160" vm="3314">
        <f ca="1"/>
        <v>37.604999999999997</v>
      </c>
      <c r="IH160" vm="3315">
        <f ca="1"/>
        <v>37.64</v>
      </c>
      <c r="II160" vm="3316">
        <f ca="1"/>
        <v>37.36</v>
      </c>
      <c r="IJ160" vm="3317">
        <f ca="1"/>
        <v>37.414999999999999</v>
      </c>
      <c r="IK160" vm="3318">
        <f ca="1"/>
        <v>37.479999999999997</v>
      </c>
      <c r="IL160" vm="3319">
        <f ca="1"/>
        <v>37.484999999999999</v>
      </c>
      <c r="IM160" vm="3318">
        <f ca="1"/>
        <v>37.479999999999997</v>
      </c>
      <c r="IN160" vm="3320">
        <f ca="1"/>
        <v>37.4</v>
      </c>
      <c r="IO160" vm="3321">
        <f ca="1"/>
        <v>37.35</v>
      </c>
      <c r="IP160" vm="3322">
        <f ca="1"/>
        <v>37.47</v>
      </c>
      <c r="IQ160" vm="3322">
        <f ca="1"/>
        <v>37.47</v>
      </c>
      <c r="IR160" vm="3323">
        <f ca="1"/>
        <v>37.380000000000003</v>
      </c>
      <c r="IS160" vm="3320">
        <f ca="1"/>
        <v>37.4</v>
      </c>
      <c r="IT160" vm="3312">
        <f ca="1"/>
        <v>37.44</v>
      </c>
      <c r="IU160" vm="3324">
        <f ca="1"/>
        <v>37.39</v>
      </c>
      <c r="IV160" vm="3325">
        <f ca="1"/>
        <v>37.49</v>
      </c>
      <c r="IW160" vm="149">
        <f ca="1"/>
        <v>37.26</v>
      </c>
    </row>
    <row r="161" spans="1:257" ht="16" x14ac:dyDescent="0.2">
      <c r="A161" t="e" vm="3326">
        <v>#VALUE!</v>
      </c>
      <c r="B161" s="23" t="str" cm="1">
        <f t="array" aca="1" ref="B161" ca="1">_FV(A161,"ticker symbol",TRUE)</f>
        <v>IGIB</v>
      </c>
      <c r="C161" s="23" t="str" cm="1">
        <f t="array" aca="1" ref="C161" ca="1">_FV(A161,"Name")</f>
        <v>iShares:5-10 IG Corp Bd</v>
      </c>
      <c r="D161" cm="1" vm="6315">
        <f t="array" aca="1" ref="D161:IW161" ca="1">TRANSPOSE(_xlfn.STOCKHISTORY(B161, WORKDAY(TODAY(), -265), TODAY(), 0, 0, 1))</f>
        <v>52.21</v>
      </c>
      <c r="E161" vm="21015">
        <f ca="1"/>
        <v>52.195</v>
      </c>
      <c r="F161" vm="2764">
        <f ca="1"/>
        <v>51.47</v>
      </c>
      <c r="G161" vm="11335">
        <f ca="1"/>
        <v>51.33</v>
      </c>
      <c r="H161" vm="11328">
        <f ca="1"/>
        <v>51.5</v>
      </c>
      <c r="I161" vm="6258">
        <f ca="1"/>
        <v>51.39</v>
      </c>
      <c r="J161" vm="11340">
        <f ca="1"/>
        <v>51.49</v>
      </c>
      <c r="K161" vm="3107">
        <f ca="1"/>
        <v>51.55</v>
      </c>
      <c r="L161" vm="6322">
        <f ca="1"/>
        <v>51.4</v>
      </c>
      <c r="M161" vm="11001">
        <f ca="1"/>
        <v>51.61</v>
      </c>
      <c r="N161" vm="11285">
        <f ca="1"/>
        <v>51.51</v>
      </c>
      <c r="O161" vm="11322">
        <f ca="1"/>
        <v>51.53</v>
      </c>
      <c r="P161" vm="11325">
        <f ca="1"/>
        <v>51.44</v>
      </c>
      <c r="Q161" vm="9690">
        <f ca="1"/>
        <v>51.38</v>
      </c>
      <c r="R161" vm="3114">
        <f ca="1"/>
        <v>51.2</v>
      </c>
      <c r="S161" vm="9250">
        <f ca="1"/>
        <v>51.27</v>
      </c>
      <c r="T161" vm="6296">
        <f ca="1"/>
        <v>50.94</v>
      </c>
      <c r="U161" vm="1624">
        <f ca="1"/>
        <v>50.82</v>
      </c>
      <c r="V161" vm="6294">
        <f ca="1"/>
        <v>50.87</v>
      </c>
      <c r="W161" vm="11048">
        <f ca="1"/>
        <v>51.35</v>
      </c>
      <c r="X161" vm="2764">
        <f ca="1"/>
        <v>51.47</v>
      </c>
      <c r="Y161" vm="11328">
        <f ca="1"/>
        <v>51.5</v>
      </c>
      <c r="Z161" vm="11302">
        <f ca="1"/>
        <v>51.71</v>
      </c>
      <c r="AA161" vm="2918">
        <f ca="1"/>
        <v>51.57</v>
      </c>
      <c r="AB161" vm="6254">
        <f ca="1"/>
        <v>51.54</v>
      </c>
      <c r="AC161" vm="11001">
        <f ca="1"/>
        <v>51.61</v>
      </c>
      <c r="AD161" vm="14171">
        <f ca="1"/>
        <v>51.9</v>
      </c>
      <c r="AE161" vm="470">
        <f ca="1"/>
        <v>51.89</v>
      </c>
      <c r="AF161" vm="14173">
        <f ca="1"/>
        <v>51.84</v>
      </c>
      <c r="AG161" vm="6324">
        <f ca="1"/>
        <v>51.95</v>
      </c>
      <c r="AH161" vm="8683">
        <f ca="1"/>
        <v>51.87</v>
      </c>
      <c r="AI161" vm="469">
        <f ca="1"/>
        <v>51.67</v>
      </c>
      <c r="AJ161" vm="6249">
        <f ca="1"/>
        <v>51.77</v>
      </c>
      <c r="AK161" vm="6319">
        <f ca="1"/>
        <v>52.01</v>
      </c>
      <c r="AL161" vm="11330">
        <f ca="1"/>
        <v>51.93</v>
      </c>
      <c r="AM161" vm="6309">
        <f ca="1"/>
        <v>51.79</v>
      </c>
      <c r="AN161" vm="6253">
        <f ca="1"/>
        <v>51.82</v>
      </c>
      <c r="AO161" vm="11304">
        <f ca="1"/>
        <v>51.73</v>
      </c>
      <c r="AP161" vm="11340">
        <f ca="1"/>
        <v>51.49</v>
      </c>
      <c r="AQ161" vm="6257">
        <f ca="1"/>
        <v>51.8</v>
      </c>
      <c r="AR161" vm="19533">
        <f ca="1"/>
        <v>51.99</v>
      </c>
      <c r="AS161" vm="6253">
        <f ca="1"/>
        <v>51.82</v>
      </c>
      <c r="AT161" vm="1626">
        <f ca="1"/>
        <v>51.88</v>
      </c>
      <c r="AU161" vm="1625">
        <f ca="1"/>
        <v>51.97</v>
      </c>
      <c r="AV161" vm="2908">
        <f ca="1"/>
        <v>52.14</v>
      </c>
      <c r="AW161" vm="1628">
        <f ca="1"/>
        <v>52.23</v>
      </c>
      <c r="AX161" vm="2190">
        <f ca="1"/>
        <v>52.52</v>
      </c>
      <c r="AY161" vm="19526">
        <f ca="1"/>
        <v>52.61</v>
      </c>
      <c r="AZ161" vm="2921">
        <f ca="1"/>
        <v>52.49</v>
      </c>
      <c r="BA161" vm="2906">
        <f ca="1"/>
        <v>52.7</v>
      </c>
      <c r="BB161" vm="6312">
        <f ca="1"/>
        <v>52.62</v>
      </c>
      <c r="BC161" vm="471">
        <f ca="1"/>
        <v>52.54</v>
      </c>
      <c r="BD161" vm="6311">
        <f ca="1"/>
        <v>52.37</v>
      </c>
      <c r="BE161" vm="11857">
        <f ca="1"/>
        <v>52.27</v>
      </c>
      <c r="BF161" vm="1628">
        <f ca="1"/>
        <v>52.23</v>
      </c>
      <c r="BG161" vm="6320">
        <f ca="1"/>
        <v>52.39</v>
      </c>
      <c r="BH161" vm="2908">
        <f ca="1"/>
        <v>52.14</v>
      </c>
      <c r="BI161" vm="6319">
        <f ca="1"/>
        <v>52.01</v>
      </c>
      <c r="BJ161" vm="2908">
        <f ca="1"/>
        <v>52.14</v>
      </c>
      <c r="BK161" vm="6353">
        <f ca="1"/>
        <v>52.09</v>
      </c>
      <c r="BL161" vm="2908">
        <f ca="1"/>
        <v>52.14</v>
      </c>
      <c r="BM161" vm="2905">
        <f ca="1"/>
        <v>52.25</v>
      </c>
      <c r="BN161" vm="11021">
        <f ca="1"/>
        <v>52.48</v>
      </c>
      <c r="BO161" vm="6328">
        <f ca="1"/>
        <v>52.46</v>
      </c>
      <c r="BP161" vm="21016">
        <f ca="1"/>
        <v>52.44</v>
      </c>
      <c r="BQ161" vm="2905">
        <f ca="1"/>
        <v>52.25</v>
      </c>
      <c r="BR161" vm="14174">
        <f ca="1"/>
        <v>52.33</v>
      </c>
      <c r="BS161" vm="11005">
        <f ca="1"/>
        <v>52.2</v>
      </c>
      <c r="BT161" vm="2907">
        <f ca="1"/>
        <v>52.18</v>
      </c>
      <c r="BU161" vm="21016">
        <f ca="1"/>
        <v>52.44</v>
      </c>
      <c r="BV161" vm="2190">
        <f ca="1"/>
        <v>52.52</v>
      </c>
      <c r="BW161" vm="6352">
        <f ca="1"/>
        <v>52.43</v>
      </c>
      <c r="BX161" vm="2921">
        <f ca="1"/>
        <v>52.49</v>
      </c>
      <c r="BY161" vm="1529">
        <f ca="1"/>
        <v>52.65</v>
      </c>
      <c r="BZ161" vm="2190">
        <f ca="1"/>
        <v>52.52</v>
      </c>
      <c r="CA161" vm="11854">
        <f ca="1"/>
        <v>51.75</v>
      </c>
      <c r="CB161" vm="2762">
        <f ca="1"/>
        <v>51.34</v>
      </c>
      <c r="CC161" vm="11854">
        <f ca="1"/>
        <v>51.75</v>
      </c>
      <c r="CD161" vm="10055">
        <f ca="1"/>
        <v>51.23</v>
      </c>
      <c r="CE161" vm="9259">
        <f ca="1"/>
        <v>51.1</v>
      </c>
      <c r="CF161" vm="6246">
        <f ca="1"/>
        <v>51.41</v>
      </c>
      <c r="CG161" vm="2917">
        <f ca="1"/>
        <v>51.66</v>
      </c>
      <c r="CH161" vm="14173">
        <f ca="1"/>
        <v>51.84</v>
      </c>
      <c r="CI161" vm="14173">
        <f ca="1"/>
        <v>51.84</v>
      </c>
      <c r="CJ161" vm="841">
        <f ca="1"/>
        <v>51.52</v>
      </c>
      <c r="CK161" vm="10056">
        <f ca="1"/>
        <v>51.6</v>
      </c>
      <c r="CL161" vm="11302">
        <f ca="1"/>
        <v>51.71</v>
      </c>
      <c r="CM161" vm="6252">
        <f ca="1"/>
        <v>52.11</v>
      </c>
      <c r="CN161" vm="20982">
        <f ca="1"/>
        <v>52.32</v>
      </c>
      <c r="CO161" vm="6357">
        <f ca="1"/>
        <v>52.45</v>
      </c>
      <c r="CP161" vm="6317">
        <f ca="1"/>
        <v>52.55</v>
      </c>
      <c r="CQ161" vm="2921">
        <f ca="1"/>
        <v>52.49</v>
      </c>
      <c r="CR161" vm="15727">
        <f ca="1"/>
        <v>52.13</v>
      </c>
      <c r="CS161" vm="19533">
        <f ca="1"/>
        <v>51.99</v>
      </c>
      <c r="CT161" vm="1625">
        <f ca="1"/>
        <v>51.97</v>
      </c>
      <c r="CU161" vm="11858">
        <f ca="1"/>
        <v>52.06</v>
      </c>
      <c r="CV161" vm="1522">
        <f ca="1"/>
        <v>52.17</v>
      </c>
      <c r="CW161" vm="6310">
        <f ca="1"/>
        <v>51.94</v>
      </c>
      <c r="CX161" vm="11330">
        <f ca="1"/>
        <v>51.93</v>
      </c>
      <c r="CY161" vm="1626">
        <f ca="1"/>
        <v>51.88</v>
      </c>
      <c r="CZ161" vm="6310">
        <f ca="1"/>
        <v>51.94</v>
      </c>
      <c r="DA161" vm="11854">
        <f ca="1"/>
        <v>51.75</v>
      </c>
      <c r="DB161" vm="11306">
        <f ca="1"/>
        <v>52.08</v>
      </c>
      <c r="DC161" vm="6354">
        <f ca="1"/>
        <v>52.15</v>
      </c>
      <c r="DD161" vm="1524">
        <f ca="1"/>
        <v>52.19</v>
      </c>
      <c r="DE161" vm="9258">
        <f ca="1"/>
        <v>52.12</v>
      </c>
      <c r="DF161" vm="11304">
        <f ca="1"/>
        <v>51.73</v>
      </c>
      <c r="DG161" vm="11856">
        <f ca="1"/>
        <v>51.92</v>
      </c>
      <c r="DH161" vm="1625">
        <f ca="1"/>
        <v>51.97</v>
      </c>
      <c r="DI161" vm="20981">
        <f ca="1"/>
        <v>52.28</v>
      </c>
      <c r="DJ161" vm="1522">
        <f ca="1"/>
        <v>52.17</v>
      </c>
      <c r="DK161" vm="1627">
        <f ca="1"/>
        <v>52.35</v>
      </c>
      <c r="DL161" vm="3110">
        <f ca="1"/>
        <v>52.51</v>
      </c>
      <c r="DM161" vm="11005">
        <f ca="1"/>
        <v>52.2</v>
      </c>
      <c r="DN161" vm="18363">
        <f ca="1"/>
        <v>52.22</v>
      </c>
      <c r="DO161" vm="6330">
        <f ca="1"/>
        <v>52.5</v>
      </c>
      <c r="DP161" vm="11303">
        <f ca="1"/>
        <v>52.3</v>
      </c>
      <c r="DQ161" vm="842">
        <f ca="1"/>
        <v>52.07</v>
      </c>
      <c r="DR161" vm="1524">
        <f ca="1"/>
        <v>52.19</v>
      </c>
      <c r="DS161" vm="18825">
        <f ca="1"/>
        <v>52.26</v>
      </c>
      <c r="DT161" vm="6357">
        <f ca="1"/>
        <v>52.45</v>
      </c>
      <c r="DU161" vm="9689">
        <f ca="1"/>
        <v>52.63</v>
      </c>
      <c r="DV161" vm="6355">
        <f ca="1"/>
        <v>52.42</v>
      </c>
      <c r="DW161" vm="6320">
        <f ca="1"/>
        <v>52.39</v>
      </c>
      <c r="DX161" vm="3110">
        <f ca="1"/>
        <v>52.51</v>
      </c>
      <c r="DY161" vm="6317">
        <f ca="1"/>
        <v>52.55</v>
      </c>
      <c r="DZ161" vm="6312">
        <f ca="1"/>
        <v>52.62</v>
      </c>
      <c r="EA161" vm="11860">
        <f ca="1"/>
        <v>52.77</v>
      </c>
      <c r="EB161" vm="14046">
        <f ca="1"/>
        <v>52.96</v>
      </c>
      <c r="EC161" vm="14046">
        <f ca="1"/>
        <v>52.96</v>
      </c>
      <c r="ED161" vm="14149">
        <f ca="1"/>
        <v>53.14</v>
      </c>
      <c r="EE161" vm="2192">
        <f ca="1"/>
        <v>53.07</v>
      </c>
      <c r="EF161" vm="1525">
        <f ca="1"/>
        <v>53.29</v>
      </c>
      <c r="EG161" vm="2192">
        <f ca="1"/>
        <v>53.07</v>
      </c>
      <c r="EH161" vm="9257">
        <f ca="1"/>
        <v>53.08</v>
      </c>
      <c r="EI161" vm="2650">
        <f ca="1"/>
        <v>52.98</v>
      </c>
      <c r="EJ161" vm="148">
        <f ca="1"/>
        <v>52.8</v>
      </c>
      <c r="EK161" vm="6314">
        <f ca="1"/>
        <v>52.68</v>
      </c>
      <c r="EL161" vm="3306">
        <f ca="1"/>
        <v>52.92</v>
      </c>
      <c r="EM161" vm="14055">
        <f ca="1"/>
        <v>52.91</v>
      </c>
      <c r="EN161" vm="2194">
        <f ca="1"/>
        <v>52.71</v>
      </c>
      <c r="EO161" vm="19876">
        <f ca="1"/>
        <v>52.72</v>
      </c>
      <c r="EP161" vm="6317">
        <f ca="1"/>
        <v>52.55</v>
      </c>
      <c r="EQ161" vm="6314">
        <f ca="1"/>
        <v>52.68</v>
      </c>
      <c r="ER161" vm="11861">
        <f ca="1"/>
        <v>52.75</v>
      </c>
      <c r="ES161" vm="2928">
        <f ca="1"/>
        <v>52.88</v>
      </c>
      <c r="ET161" vm="19359">
        <f ca="1"/>
        <v>53.03</v>
      </c>
      <c r="EU161" vm="14149">
        <f ca="1"/>
        <v>53.14</v>
      </c>
      <c r="EV161" vm="11002">
        <f ca="1"/>
        <v>53.05</v>
      </c>
      <c r="EW161" vm="3307">
        <f ca="1"/>
        <v>52.97</v>
      </c>
      <c r="EX161" vm="9688">
        <f ca="1"/>
        <v>53.12</v>
      </c>
      <c r="EY161" vm="19860">
        <f ca="1"/>
        <v>53.04</v>
      </c>
      <c r="EZ161" vm="6332">
        <f ca="1"/>
        <v>53.26</v>
      </c>
      <c r="FA161" vm="14149">
        <f ca="1"/>
        <v>53.14</v>
      </c>
      <c r="FB161" vm="2770">
        <f ca="1"/>
        <v>53.15</v>
      </c>
      <c r="FC161" vm="18368">
        <f ca="1"/>
        <v>53.4</v>
      </c>
      <c r="FD161" vm="6344">
        <f ca="1"/>
        <v>53.47</v>
      </c>
      <c r="FE161" vm="105">
        <f ca="1"/>
        <v>53.45</v>
      </c>
      <c r="FF161" vm="105">
        <f ca="1"/>
        <v>53.45</v>
      </c>
      <c r="FG161" vm="10059">
        <f ca="1"/>
        <v>53.42</v>
      </c>
      <c r="FH161" vm="479">
        <f ca="1"/>
        <v>53.28</v>
      </c>
      <c r="FI161" vm="473">
        <f ca="1"/>
        <v>53.33</v>
      </c>
      <c r="FJ161" vm="18368">
        <f ca="1"/>
        <v>53.4</v>
      </c>
      <c r="FK161" vm="6334">
        <f ca="1"/>
        <v>53.59</v>
      </c>
      <c r="FL161" vm="105">
        <f ca="1"/>
        <v>53.45</v>
      </c>
      <c r="FM161" vm="18368">
        <f ca="1"/>
        <v>53.4</v>
      </c>
      <c r="FN161" vm="2926">
        <f ca="1"/>
        <v>53.36</v>
      </c>
      <c r="FO161" vm="6321">
        <f ca="1"/>
        <v>53.44</v>
      </c>
      <c r="FP161" vm="14148">
        <f ca="1"/>
        <v>53.46</v>
      </c>
      <c r="FQ161" vm="1525">
        <f ca="1"/>
        <v>53.29</v>
      </c>
      <c r="FR161" vm="18365">
        <f ca="1"/>
        <v>53.64</v>
      </c>
      <c r="FS161" vm="10058">
        <f ca="1"/>
        <v>53.53</v>
      </c>
      <c r="FT161" vm="21017">
        <f ca="1"/>
        <v>53.62</v>
      </c>
      <c r="FU161" vm="6333">
        <f ca="1"/>
        <v>53.67</v>
      </c>
      <c r="FV161" vm="21018">
        <f ca="1"/>
        <v>53.715000000000003</v>
      </c>
      <c r="FW161" vm="11050">
        <f ca="1"/>
        <v>53.65</v>
      </c>
      <c r="FX161" vm="473">
        <f ca="1"/>
        <v>53.33</v>
      </c>
      <c r="FY161" vm="6335">
        <f ca="1"/>
        <v>53.5</v>
      </c>
      <c r="FZ161" vm="150">
        <f ca="1"/>
        <v>53.8</v>
      </c>
      <c r="GA161" vm="6341">
        <f ca="1"/>
        <v>54</v>
      </c>
      <c r="GB161" vm="8685">
        <f ca="1"/>
        <v>54.1</v>
      </c>
      <c r="GC161" vm="3335">
        <f ca="1"/>
        <v>54.04</v>
      </c>
      <c r="GD161" vm="18376">
        <f ca="1"/>
        <v>54.17</v>
      </c>
      <c r="GE161" vm="2641">
        <f ca="1"/>
        <v>54.3</v>
      </c>
      <c r="GF161" vm="11000">
        <f ca="1"/>
        <v>54.23</v>
      </c>
      <c r="GG161" vm="2773">
        <f ca="1"/>
        <v>54.35</v>
      </c>
      <c r="GH161" vm="8689">
        <f ca="1"/>
        <v>54.37</v>
      </c>
      <c r="GI161" vm="15803">
        <f ca="1"/>
        <v>54.26</v>
      </c>
      <c r="GJ161" vm="87">
        <f ca="1"/>
        <v>54.21</v>
      </c>
      <c r="GK161" vm="87">
        <f ca="1"/>
        <v>54.21</v>
      </c>
      <c r="GL161" vm="11864">
        <f ca="1"/>
        <v>54.12</v>
      </c>
      <c r="GM161" vm="87">
        <f ca="1"/>
        <v>54.21</v>
      </c>
      <c r="GN161" vm="3328">
        <f ca="1"/>
        <v>54.06</v>
      </c>
      <c r="GO161" vm="19361">
        <f ca="1"/>
        <v>53.93</v>
      </c>
      <c r="GP161" vm="3336">
        <f ca="1"/>
        <v>53.99</v>
      </c>
      <c r="GQ161" vm="1530">
        <f ca="1"/>
        <v>54.09</v>
      </c>
      <c r="GR161" vm="1530">
        <f ca="1"/>
        <v>54.09</v>
      </c>
      <c r="GS161" vm="2649">
        <f ca="1"/>
        <v>54.08</v>
      </c>
      <c r="GT161" vm="11864">
        <f ca="1"/>
        <v>54.12</v>
      </c>
      <c r="GU161" vm="3328">
        <f ca="1"/>
        <v>54.06</v>
      </c>
      <c r="GV161" vm="11054">
        <f ca="1"/>
        <v>53.94</v>
      </c>
      <c r="GW161" vm="3333">
        <f ca="1"/>
        <v>54.02</v>
      </c>
      <c r="GX161" vm="3332">
        <f ca="1"/>
        <v>53.96</v>
      </c>
      <c r="GY161" vm="6345">
        <f ca="1"/>
        <v>53.87</v>
      </c>
      <c r="GZ161" vm="11053">
        <f ca="1"/>
        <v>53.98</v>
      </c>
      <c r="HA161" vm="3334">
        <f ca="1"/>
        <v>54.13</v>
      </c>
      <c r="HB161" vm="2638">
        <f ca="1"/>
        <v>54.24</v>
      </c>
      <c r="HC161" vm="15803">
        <f ca="1"/>
        <v>54.26</v>
      </c>
      <c r="HD161" vm="11865">
        <f ca="1"/>
        <v>54.4</v>
      </c>
      <c r="HE161" vm="10068">
        <f ca="1"/>
        <v>54.31</v>
      </c>
      <c r="HF161" vm="18827">
        <f ca="1"/>
        <v>54.41</v>
      </c>
      <c r="HG161" vm="11884">
        <f ca="1"/>
        <v>54.43</v>
      </c>
      <c r="HH161" vm="14107">
        <f ca="1"/>
        <v>54.45</v>
      </c>
      <c r="HI161" vm="3331">
        <f ca="1"/>
        <v>54.39</v>
      </c>
      <c r="HJ161" vm="11866">
        <f ca="1"/>
        <v>54.49</v>
      </c>
      <c r="HK161" vm="486">
        <f ca="1"/>
        <v>54.54</v>
      </c>
      <c r="HL161" vm="486">
        <f ca="1"/>
        <v>54.54</v>
      </c>
      <c r="HM161" vm="2640">
        <f ca="1"/>
        <v>54.28</v>
      </c>
      <c r="HN161" vm="11864">
        <f ca="1"/>
        <v>54.12</v>
      </c>
      <c r="HO161" vm="11007">
        <f ca="1"/>
        <v>54.07</v>
      </c>
      <c r="HP161" vm="6342">
        <f ca="1"/>
        <v>53.76</v>
      </c>
      <c r="HQ161" vm="19360">
        <f ca="1"/>
        <v>53.82</v>
      </c>
      <c r="HR161" vm="103">
        <f ca="1"/>
        <v>53.68</v>
      </c>
      <c r="HS161" vm="3340">
        <f ca="1"/>
        <v>53.9</v>
      </c>
      <c r="HT161" vm="480">
        <f ca="1"/>
        <v>53.89</v>
      </c>
      <c r="HU161" vm="6345">
        <f ca="1"/>
        <v>53.87</v>
      </c>
      <c r="HV161" vm="11007">
        <f ca="1"/>
        <v>54.07</v>
      </c>
      <c r="HW161" vm="2927">
        <f ca="1"/>
        <v>54.01</v>
      </c>
      <c r="HX161" vm="3338">
        <f ca="1"/>
        <v>53.84</v>
      </c>
      <c r="HY161" vm="6342">
        <f ca="1"/>
        <v>53.76</v>
      </c>
      <c r="HZ161" vm="1630">
        <f ca="1"/>
        <v>53.77</v>
      </c>
      <c r="IA161" vm="2776">
        <f ca="1"/>
        <v>53.81</v>
      </c>
      <c r="IB161" vm="2776">
        <f ca="1"/>
        <v>53.81</v>
      </c>
      <c r="IC161" vm="3327">
        <f ca="1"/>
        <v>53.86</v>
      </c>
      <c r="ID161" vm="3328">
        <f ca="1"/>
        <v>54.06</v>
      </c>
      <c r="IE161" vm="3329">
        <f ca="1"/>
        <v>54.14</v>
      </c>
      <c r="IF161" vm="2643">
        <f ca="1"/>
        <v>54.33</v>
      </c>
      <c r="IG161" vm="3330">
        <f ca="1"/>
        <v>54.44</v>
      </c>
      <c r="IH161" vm="3331">
        <f ca="1"/>
        <v>54.39</v>
      </c>
      <c r="II161" vm="3332">
        <f ca="1"/>
        <v>53.96</v>
      </c>
      <c r="IJ161" vm="3333">
        <f ca="1"/>
        <v>54.02</v>
      </c>
      <c r="IK161" vm="3334">
        <f ca="1"/>
        <v>54.13</v>
      </c>
      <c r="IL161" vm="3335">
        <f ca="1"/>
        <v>54.04</v>
      </c>
      <c r="IM161" vm="3336">
        <f ca="1"/>
        <v>53.99</v>
      </c>
      <c r="IN161" vm="3337">
        <f ca="1"/>
        <v>53.91</v>
      </c>
      <c r="IO161" vm="3338">
        <f ca="1"/>
        <v>53.84</v>
      </c>
      <c r="IP161" vm="1633">
        <f ca="1"/>
        <v>54.05</v>
      </c>
      <c r="IQ161" vm="3333">
        <f ca="1"/>
        <v>54.02</v>
      </c>
      <c r="IR161" vm="3339">
        <f ca="1"/>
        <v>53.83</v>
      </c>
      <c r="IS161" vm="3340">
        <f ca="1"/>
        <v>53.9</v>
      </c>
      <c r="IT161" vm="3341">
        <f ca="1"/>
        <v>53.97</v>
      </c>
      <c r="IU161" vm="2772">
        <f ca="1"/>
        <v>53.95</v>
      </c>
      <c r="IV161" vm="3342">
        <f ca="1"/>
        <v>54.11</v>
      </c>
      <c r="IW161" vm="150">
        <f ca="1"/>
        <v>53.8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Data</vt:lpstr>
      <vt:lpstr>Price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 Bucci</cp:lastModifiedBy>
  <cp:revision/>
  <dcterms:created xsi:type="dcterms:W3CDTF">2025-11-14T12:13:37Z</dcterms:created>
  <dcterms:modified xsi:type="dcterms:W3CDTF">2025-12-22T11:42:52Z</dcterms:modified>
  <cp:category/>
  <cp:contentStatus/>
</cp:coreProperties>
</file>